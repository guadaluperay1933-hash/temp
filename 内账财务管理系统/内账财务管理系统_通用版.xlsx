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首页" sheetId="1" state="visible" r:id="rId3"/>
    <sheet name="操作说明" sheetId="2" state="visible" r:id="rId4"/>
    <sheet name="使用说明" sheetId="3" state="visible" r:id="rId5"/>
    <sheet name="科目参数" sheetId="4" state="visible" r:id="rId6"/>
    <sheet name="基础资料" sheetId="5" state="visible" r:id="rId7"/>
    <sheet name="期初数据" sheetId="6" state="visible" r:id="rId8"/>
    <sheet name="资金流水" sheetId="7" state="visible" r:id="rId9"/>
    <sheet name="销售录入" sheetId="8" state="visible" r:id="rId10"/>
    <sheet name="采购录入" sheetId="9" state="visible" r:id="rId11"/>
    <sheet name="其他凭证" sheetId="10" state="visible" r:id="rId12"/>
    <sheet name="科目余额表" sheetId="11" state="visible" r:id="rId13"/>
    <sheet name="科目分析" sheetId="12" state="visible" r:id="rId14"/>
    <sheet name="利润表" sheetId="13" state="visible" r:id="rId15"/>
    <sheet name="资产负债表" sheetId="14" state="visible" r:id="rId16"/>
    <sheet name="现金流量表" sheetId="15" state="visible" r:id="rId17"/>
    <sheet name="账户余额" sheetId="16" state="visible" r:id="rId18"/>
    <sheet name="库存收发存" sheetId="17" state="visible" r:id="rId19"/>
    <sheet name="应收跟进" sheetId="18" state="visible" r:id="rId20"/>
    <sheet name="应付跟进" sheetId="19" state="visible" r:id="rId21"/>
    <sheet name="固定资产台账" sheetId="20" state="visible" r:id="rId22"/>
    <sheet name="工资表" sheetId="21" state="visible" r:id="rId23"/>
    <sheet name="辅助核算" sheetId="22" state="visible" r:id="rId24"/>
    <sheet name="客户对账单" sheetId="23" state="visible" r:id="rId25"/>
    <sheet name="供应商对账单" sheetId="24" state="visible" r:id="rId26"/>
    <sheet name="经营分析" sheetId="25" state="visible" r:id="rId27"/>
    <sheet name="财务勾稽核查" sheetId="26" state="visible" r:id="rId28"/>
  </sheets>
  <definedNames>
    <definedName function="false" hidden="false" localSheetId="23" name="_xlnm.Print_Titles" vbProcedure="false">供应商对账单!$7:$8</definedName>
    <definedName function="false" hidden="false" localSheetId="9" name="_xlnm.Print_Titles" vbProcedure="false">其他凭证!$4:$4</definedName>
    <definedName function="false" hidden="true" localSheetId="9" name="_xlnm._FilterDatabase" vbProcedure="false">其他凭证!$A$4:$N$304</definedName>
    <definedName function="false" hidden="false" localSheetId="12" name="_xlnm.Print_Titles" vbProcedure="false">利润表!$5:$5</definedName>
    <definedName function="false" hidden="false" localSheetId="19" name="_xlnm.Print_Titles" vbProcedure="false">固定资产台账!$5:$5</definedName>
    <definedName function="false" hidden="true" localSheetId="19" name="_xlnm._FilterDatabase" vbProcedure="false">固定资产台账!$A$5:$N$105</definedName>
    <definedName function="false" hidden="false" localSheetId="4" name="_xlnm.Print_Titles" vbProcedure="false">基础资料!$5:$5</definedName>
    <definedName function="false" hidden="false" localSheetId="22" name="_xlnm.Print_Titles" vbProcedure="false">客户对账单!$7:$8</definedName>
    <definedName function="false" hidden="false" localSheetId="20" name="_xlnm.Print_Titles" vbProcedure="false">工资表!$5:$5</definedName>
    <definedName function="false" hidden="false" localSheetId="16" name="_xlnm.Print_Titles" vbProcedure="false">库存收发存!$5:$5</definedName>
    <definedName function="false" hidden="true" localSheetId="16" name="_xlnm._FilterDatabase" vbProcedure="false">库存收发存!$A$5:$P$205</definedName>
    <definedName function="false" hidden="false" localSheetId="18" name="_xlnm.Print_Titles" vbProcedure="false">应付跟进!$5:$5</definedName>
    <definedName function="false" hidden="true" localSheetId="18" name="_xlnm._FilterDatabase" vbProcedure="false">应付跟进!$A$5:$N$155</definedName>
    <definedName function="false" hidden="false" localSheetId="17" name="_xlnm.Print_Titles" vbProcedure="false">应收跟进!$5:$5</definedName>
    <definedName function="false" hidden="true" localSheetId="17" name="_xlnm._FilterDatabase" vbProcedure="false">应收跟进!$A$5:$N$155</definedName>
    <definedName function="false" hidden="false" localSheetId="5" name="_xlnm.Print_Titles" vbProcedure="false">期初数据!$5:$5</definedName>
    <definedName function="false" hidden="false" localSheetId="14" name="_xlnm.Print_Titles" vbProcedure="false">现金流量表!$5:$5</definedName>
    <definedName function="false" hidden="false" localSheetId="10" name="_xlnm.Print_Titles" vbProcedure="false">科目余额表!$5:$5</definedName>
    <definedName function="false" hidden="true" localSheetId="10" name="_xlnm._FilterDatabase" vbProcedure="false">科目余额表!$A$5:$P$125</definedName>
    <definedName function="false" hidden="false" localSheetId="11" name="_xlnm.Print_Titles" vbProcedure="false">科目分析!$5:$5</definedName>
    <definedName function="false" hidden="false" localSheetId="3" name="_xlnm.Print_Titles" vbProcedure="false">科目参数!$5:$5</definedName>
    <definedName function="false" hidden="false" localSheetId="24" name="_xlnm.Print_Titles" vbProcedure="false">经营分析!$5:$5</definedName>
    <definedName function="false" hidden="false" localSheetId="25" name="_xlnm.Print_Titles" vbProcedure="false">财务勾稽核查!$5:$5</definedName>
    <definedName function="false" hidden="false" localSheetId="15" name="_xlnm.Print_Titles" vbProcedure="false">账户余额!$5:$5</definedName>
    <definedName function="false" hidden="false" localSheetId="13" name="_xlnm.Print_Titles" vbProcedure="false">资产负债表!$5:$5</definedName>
    <definedName function="false" hidden="false" localSheetId="6" name="_xlnm.Print_Titles" vbProcedure="false">资金流水!$4:$4</definedName>
    <definedName function="false" hidden="true" localSheetId="6" name="_xlnm._FilterDatabase" vbProcedure="false">资金流水!$A$4:$W$504</definedName>
    <definedName function="false" hidden="false" localSheetId="21" name="_xlnm.Print_Titles" vbProcedure="false">辅助核算!$5:$5</definedName>
    <definedName function="false" hidden="false" localSheetId="8" name="_xlnm.Print_Titles" vbProcedure="false">采购录入!$4:$4</definedName>
    <definedName function="false" hidden="true" localSheetId="8" name="_xlnm._FilterDatabase" vbProcedure="false">采购录入!$A$4:$AA$404</definedName>
    <definedName function="false" hidden="false" localSheetId="7" name="_xlnm.Print_Titles" vbProcedure="false">销售录入!$4:$4</definedName>
    <definedName function="false" hidden="true" localSheetId="7" name="_xlnm._FilterDatabase" vbProcedure="false">销售录入!$A$4:$AE$404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<sst xmlns="http://schemas.openxmlformats.org/spreadsheetml/2006/main" count="1764" uniqueCount="877">
  <si>
    <t xml:space="preserve">内账财务管理系统</t>
  </si>
  <si>
    <r>
      <rPr>
        <sz val="9"/>
        <color rgb="FFFFFFFF"/>
        <rFont val="WenQuanYi Zen Hei"/>
        <family val="2"/>
      </rPr>
      <t xml:space="preserve">　日常只录四张表：资金流水 </t>
    </r>
    <r>
      <rPr>
        <sz val="9"/>
        <color rgb="FFFFFFFF"/>
        <rFont val="微软雅黑"/>
        <family val="0"/>
        <charset val="1"/>
      </rPr>
      <t xml:space="preserve">· </t>
    </r>
    <r>
      <rPr>
        <sz val="9"/>
        <color rgb="FFFFFFFF"/>
        <rFont val="WenQuanYi Zen Hei"/>
        <family val="2"/>
      </rPr>
      <t xml:space="preserve">销售录入 </t>
    </r>
    <r>
      <rPr>
        <sz val="9"/>
        <color rgb="FFFFFFFF"/>
        <rFont val="微软雅黑"/>
        <family val="0"/>
        <charset val="1"/>
      </rPr>
      <t xml:space="preserve">· </t>
    </r>
    <r>
      <rPr>
        <sz val="9"/>
        <color rgb="FFFFFFFF"/>
        <rFont val="WenQuanYi Zen Hei"/>
        <family val="2"/>
      </rPr>
      <t xml:space="preserve">采购录入 </t>
    </r>
    <r>
      <rPr>
        <sz val="9"/>
        <color rgb="FFFFFFFF"/>
        <rFont val="微软雅黑"/>
        <family val="0"/>
        <charset val="1"/>
      </rPr>
      <t xml:space="preserve">· </t>
    </r>
    <r>
      <rPr>
        <sz val="9"/>
        <color rgb="FFFFFFFF"/>
        <rFont val="WenQuanYi Zen Hei"/>
        <family val="2"/>
      </rPr>
      <t xml:space="preserve">其他凭证　→　总账与全部报表自动生成</t>
    </r>
  </si>
  <si>
    <t xml:space="preserve">会计年度</t>
  </si>
  <si>
    <t xml:space="preserve">查询月份</t>
  </si>
  <si>
    <t xml:space="preserve">← 全表只有这两格需要设置。跨年度把会计年度改成新的一年，所有报表自动切换，不用改任何公式。</t>
  </si>
  <si>
    <t xml:space="preserve">本月月份</t>
  </si>
  <si>
    <t xml:space="preserve">本月月初</t>
  </si>
  <si>
    <t xml:space="preserve">本月月末</t>
  </si>
  <si>
    <t xml:space="preserve">本月营业收入</t>
  </si>
  <si>
    <t xml:space="preserve">本月毛利</t>
  </si>
  <si>
    <t xml:space="preserve">本月净利润</t>
  </si>
  <si>
    <t xml:space="preserve">本年累计净利润</t>
  </si>
  <si>
    <t xml:space="preserve">货币资金余额</t>
  </si>
  <si>
    <t xml:space="preserve">应收账款余额</t>
  </si>
  <si>
    <t xml:space="preserve">应付账款余额</t>
  </si>
  <si>
    <t xml:space="preserve">存货金额</t>
  </si>
  <si>
    <t xml:space="preserve">逾期应收</t>
  </si>
  <si>
    <t xml:space="preserve">本月经营现金净额</t>
  </si>
  <si>
    <t xml:space="preserve">资产总计</t>
  </si>
  <si>
    <t xml:space="preserve">所有者权益</t>
  </si>
  <si>
    <t xml:space="preserve">月结状态</t>
  </si>
  <si>
    <t xml:space="preserve">　每月怎么用</t>
  </si>
  <si>
    <r>
      <rPr>
        <b val="true"/>
        <sz val="9"/>
        <rFont val="WenQuanYi Zen Hei"/>
        <family val="2"/>
      </rPr>
      <t xml:space="preserve">第 </t>
    </r>
    <r>
      <rPr>
        <b val="true"/>
        <sz val="9"/>
        <rFont val="微软雅黑"/>
        <family val="0"/>
        <charset val="1"/>
      </rPr>
      <t xml:space="preserve">1 </t>
    </r>
    <r>
      <rPr>
        <b val="true"/>
        <sz val="9"/>
        <rFont val="WenQuanYi Zen Hei"/>
        <family val="2"/>
      </rPr>
      <t xml:space="preserve">步</t>
    </r>
  </si>
  <si>
    <t xml:space="preserve">启用时先做一次</t>
  </si>
  <si>
    <t xml:space="preserve">【科目参数】核对科目和收支科目 →【基础资料】建档案 →【期初数据】录期初余额</t>
  </si>
  <si>
    <r>
      <rPr>
        <b val="true"/>
        <sz val="9"/>
        <rFont val="WenQuanYi Zen Hei"/>
        <family val="2"/>
      </rPr>
      <t xml:space="preserve">第 </t>
    </r>
    <r>
      <rPr>
        <b val="true"/>
        <sz val="9"/>
        <rFont val="微软雅黑"/>
        <family val="0"/>
        <charset val="1"/>
      </rPr>
      <t xml:space="preserve">2 </t>
    </r>
    <r>
      <rPr>
        <b val="true"/>
        <sz val="9"/>
        <rFont val="WenQuanYi Zen Hei"/>
        <family val="2"/>
      </rPr>
      <t xml:space="preserve">步</t>
    </r>
  </si>
  <si>
    <t xml:space="preserve">平时随时录</t>
  </si>
  <si>
    <t xml:space="preserve">收付款记【资金流水】；卖出记【销售录入】；进货记【采购录入】</t>
  </si>
  <si>
    <r>
      <rPr>
        <b val="true"/>
        <sz val="9"/>
        <rFont val="WenQuanYi Zen Hei"/>
        <family val="2"/>
      </rPr>
      <t xml:space="preserve">第 </t>
    </r>
    <r>
      <rPr>
        <b val="true"/>
        <sz val="9"/>
        <rFont val="微软雅黑"/>
        <family val="0"/>
        <charset val="1"/>
      </rPr>
      <t xml:space="preserve">3 </t>
    </r>
    <r>
      <rPr>
        <b val="true"/>
        <sz val="9"/>
        <rFont val="WenQuanYi Zen Hei"/>
        <family val="2"/>
      </rPr>
      <t xml:space="preserve">步</t>
    </r>
  </si>
  <si>
    <t xml:space="preserve">月末做一次</t>
  </si>
  <si>
    <t xml:space="preserve">工资社保计提、折旧摊销、税金计提记【其他凭证】</t>
  </si>
  <si>
    <r>
      <rPr>
        <b val="true"/>
        <sz val="9"/>
        <rFont val="WenQuanYi Zen Hei"/>
        <family val="2"/>
      </rPr>
      <t xml:space="preserve">第 </t>
    </r>
    <r>
      <rPr>
        <b val="true"/>
        <sz val="9"/>
        <rFont val="微软雅黑"/>
        <family val="0"/>
        <charset val="1"/>
      </rPr>
      <t xml:space="preserve">4 </t>
    </r>
    <r>
      <rPr>
        <b val="true"/>
        <sz val="9"/>
        <rFont val="WenQuanYi Zen Hei"/>
        <family val="2"/>
      </rPr>
      <t xml:space="preserve">步</t>
    </r>
  </si>
  <si>
    <t xml:space="preserve">月末检查</t>
  </si>
  <si>
    <t xml:space="preserve">把【首页】查询月份切到本月 →【财务勾稽核查】全部✓ → 打印报表</t>
  </si>
  <si>
    <r>
      <rPr>
        <b val="true"/>
        <sz val="9"/>
        <rFont val="WenQuanYi Zen Hei"/>
        <family val="2"/>
      </rPr>
      <t xml:space="preserve">第 </t>
    </r>
    <r>
      <rPr>
        <b val="true"/>
        <sz val="9"/>
        <rFont val="微软雅黑"/>
        <family val="0"/>
        <charset val="1"/>
      </rPr>
      <t xml:space="preserve">5 </t>
    </r>
    <r>
      <rPr>
        <b val="true"/>
        <sz val="9"/>
        <rFont val="WenQuanYi Zen Hei"/>
        <family val="2"/>
      </rPr>
      <t xml:space="preserve">步</t>
    </r>
  </si>
  <si>
    <t xml:space="preserve">年末</t>
  </si>
  <si>
    <t xml:space="preserve">【其他凭证】做结转损益，次年在新文件的【期初数据】录新年度期初</t>
  </si>
  <si>
    <t xml:space="preserve">操作说明</t>
  </si>
  <si>
    <t xml:space="preserve">一、这套账的设计</t>
  </si>
  <si>
    <t xml:space="preserve">只有四个录入口</t>
  </si>
  <si>
    <t xml:space="preserve">资金流水（实际收付的钱）、销售录入（卖出去的东西）、采购录入（买进来的东西）、其他凭证（不涉及收付款的账，如计提折旧）。除此之外所有表都是自动算出来的，不要手工改。</t>
  </si>
  <si>
    <t xml:space="preserve">每行自动生成分录</t>
  </si>
  <si>
    <t xml:space="preserve">每一行业务都会自动算出借方科目和贷方科目，金额相同。所以借贷永远相等，资产负债表永远平——除非期初就没配平。</t>
  </si>
  <si>
    <t xml:space="preserve">没有写死的科目和年份</t>
  </si>
  <si>
    <t xml:space="preserve">科目表可以随便加，年份改【首页】的会计年度就行，所有报表自动跟着走，不需要改任何公式。</t>
  </si>
  <si>
    <t xml:space="preserve">二、启用步骤（只做一次）</t>
  </si>
  <si>
    <r>
      <rPr>
        <b val="true"/>
        <sz val="9"/>
        <rFont val="微软雅黑"/>
        <family val="0"/>
        <charset val="1"/>
      </rPr>
      <t xml:space="preserve">1. </t>
    </r>
    <r>
      <rPr>
        <b val="true"/>
        <sz val="9"/>
        <rFont val="WenQuanYi Zen Hei"/>
        <family val="2"/>
      </rPr>
      <t xml:space="preserve">核对科目参数</t>
    </r>
  </si>
  <si>
    <t xml:space="preserve">【科目参数】里已经内置了小企业会计准则的全套科目。行业特殊的科目直接在下面加行；用不到的把「启用」改成停用（不要删行）。</t>
  </si>
  <si>
    <r>
      <rPr>
        <b val="true"/>
        <sz val="9"/>
        <rFont val="微软雅黑"/>
        <family val="0"/>
        <charset val="1"/>
      </rPr>
      <t xml:space="preserve">2. </t>
    </r>
    <r>
      <rPr>
        <b val="true"/>
        <sz val="9"/>
        <rFont val="WenQuanYi Zen Hei"/>
        <family val="2"/>
      </rPr>
      <t xml:space="preserve">配置收支科目</t>
    </r>
  </si>
  <si>
    <r>
      <rPr>
        <sz val="9"/>
        <rFont val="WenQuanYi Zen Hei"/>
        <family val="2"/>
      </rPr>
      <t xml:space="preserve">【科目参数】②是资金流水下拉的来源。每一条要配「对方科目」——就是这笔钱的另一半。比如「房租物业」对方科目是 </t>
    </r>
    <r>
      <rPr>
        <sz val="9"/>
        <rFont val="微软雅黑"/>
        <family val="0"/>
        <charset val="1"/>
      </rPr>
      <t xml:space="preserve">6602 </t>
    </r>
    <r>
      <rPr>
        <sz val="9"/>
        <rFont val="WenQuanYi Zen Hei"/>
        <family val="2"/>
      </rPr>
      <t xml:space="preserve">管理费用，「客户回款」对方科目是 </t>
    </r>
    <r>
      <rPr>
        <sz val="9"/>
        <rFont val="微软雅黑"/>
        <family val="0"/>
        <charset val="1"/>
      </rPr>
      <t xml:space="preserve">1122 </t>
    </r>
    <r>
      <rPr>
        <sz val="9"/>
        <rFont val="WenQuanYi Zen Hei"/>
        <family val="2"/>
      </rPr>
      <t xml:space="preserve">应收账款。行业不同，主要就改这张表。</t>
    </r>
  </si>
  <si>
    <r>
      <rPr>
        <b val="true"/>
        <sz val="9"/>
        <rFont val="微软雅黑"/>
        <family val="0"/>
        <charset val="1"/>
      </rPr>
      <t xml:space="preserve">3. </t>
    </r>
    <r>
      <rPr>
        <b val="true"/>
        <sz val="9"/>
        <rFont val="WenQuanYi Zen Hei"/>
        <family val="2"/>
      </rPr>
      <t xml:space="preserve">建立基础资料</t>
    </r>
  </si>
  <si>
    <t xml:space="preserve">【基础资料】里录账户、部门、员工、商品、客户、供应商。停用请改「状态」，不要删整行。</t>
  </si>
  <si>
    <r>
      <rPr>
        <b val="true"/>
        <sz val="9"/>
        <rFont val="微软雅黑"/>
        <family val="0"/>
        <charset val="1"/>
      </rPr>
      <t xml:space="preserve">4. </t>
    </r>
    <r>
      <rPr>
        <b val="true"/>
        <sz val="9"/>
        <rFont val="WenQuanYi Zen Hei"/>
        <family val="2"/>
      </rPr>
      <t xml:space="preserve">录入期初</t>
    </r>
  </si>
  <si>
    <r>
      <rPr>
        <sz val="9"/>
        <rFont val="WenQuanYi Zen Hei"/>
        <family val="2"/>
      </rPr>
      <t xml:space="preserve">【期初数据】录启用那一天的余额。注意两件事：⑤会计科目期初必须借贷相等；</t>
    </r>
    <r>
      <rPr>
        <sz val="9"/>
        <rFont val="微软雅黑"/>
        <family val="0"/>
        <charset val="1"/>
      </rPr>
      <t xml:space="preserve">5xxx/6xxx </t>
    </r>
    <r>
      <rPr>
        <sz val="9"/>
        <rFont val="WenQuanYi Zen Hei"/>
        <family val="2"/>
      </rPr>
      <t xml:space="preserve">损益类科目不要录期初。</t>
    </r>
  </si>
  <si>
    <r>
      <rPr>
        <b val="true"/>
        <sz val="9"/>
        <rFont val="微软雅黑"/>
        <family val="0"/>
        <charset val="1"/>
      </rPr>
      <t xml:space="preserve">5. </t>
    </r>
    <r>
      <rPr>
        <b val="true"/>
        <sz val="9"/>
        <rFont val="WenQuanYi Zen Hei"/>
        <family val="2"/>
      </rPr>
      <t xml:space="preserve">核对期初</t>
    </r>
  </si>
  <si>
    <r>
      <rPr>
        <sz val="9"/>
        <rFont val="WenQuanYi Zen Hei"/>
        <family val="2"/>
      </rPr>
      <t xml:space="preserve">到【财务勾稽核查】看第 </t>
    </r>
    <r>
      <rPr>
        <sz val="9"/>
        <rFont val="微软雅黑"/>
        <family val="0"/>
        <charset val="1"/>
      </rPr>
      <t xml:space="preserve">2</t>
    </r>
    <r>
      <rPr>
        <sz val="9"/>
        <rFont val="WenQuanYi Zen Hei"/>
        <family val="2"/>
      </rPr>
      <t xml:space="preserve">～</t>
    </r>
    <r>
      <rPr>
        <sz val="9"/>
        <rFont val="微软雅黑"/>
        <family val="0"/>
        <charset val="1"/>
      </rPr>
      <t xml:space="preserve">7 </t>
    </r>
    <r>
      <rPr>
        <sz val="9"/>
        <rFont val="WenQuanYi Zen Hei"/>
        <family val="2"/>
      </rPr>
      <t xml:space="preserve">项是不是全部✓。期初没配平，后面所有报表都不会平。</t>
    </r>
  </si>
  <si>
    <t xml:space="preserve">三、年中启用怎么办</t>
  </si>
  <si>
    <t xml:space="preserve">期初只录资产负债</t>
  </si>
  <si>
    <r>
      <rPr>
        <sz val="9"/>
        <rFont val="WenQuanYi Zen Hei"/>
        <family val="2"/>
      </rPr>
      <t xml:space="preserve">比如 </t>
    </r>
    <r>
      <rPr>
        <sz val="9"/>
        <rFont val="微软雅黑"/>
        <family val="0"/>
        <charset val="1"/>
      </rPr>
      <t xml:space="preserve">8 </t>
    </r>
    <r>
      <rPr>
        <sz val="9"/>
        <rFont val="WenQuanYi Zen Hei"/>
        <family val="2"/>
      </rPr>
      <t xml:space="preserve">月才开始用，【期初数据】录的是 </t>
    </r>
    <r>
      <rPr>
        <sz val="9"/>
        <rFont val="微软雅黑"/>
        <family val="0"/>
        <charset val="1"/>
      </rPr>
      <t xml:space="preserve">7 </t>
    </r>
    <r>
      <rPr>
        <sz val="9"/>
        <rFont val="WenQuanYi Zen Hei"/>
        <family val="2"/>
      </rPr>
      <t xml:space="preserve">月 </t>
    </r>
    <r>
      <rPr>
        <sz val="9"/>
        <rFont val="微软雅黑"/>
        <family val="0"/>
        <charset val="1"/>
      </rPr>
      <t xml:space="preserve">31 </t>
    </r>
    <r>
      <rPr>
        <sz val="9"/>
        <rFont val="WenQuanYi Zen Hei"/>
        <family val="2"/>
      </rPr>
      <t xml:space="preserve">日的资产、负债、所有者权益余额，不要把 </t>
    </r>
    <r>
      <rPr>
        <sz val="9"/>
        <rFont val="微软雅黑"/>
        <family val="0"/>
        <charset val="1"/>
      </rPr>
      <t xml:space="preserve">1</t>
    </r>
    <r>
      <rPr>
        <sz val="9"/>
        <rFont val="WenQuanYi Zen Hei"/>
        <family val="2"/>
      </rPr>
      <t xml:space="preserve">～</t>
    </r>
    <r>
      <rPr>
        <sz val="9"/>
        <rFont val="微软雅黑"/>
        <family val="0"/>
        <charset val="1"/>
      </rPr>
      <t xml:space="preserve">7 </t>
    </r>
    <r>
      <rPr>
        <sz val="9"/>
        <rFont val="WenQuanYi Zen Hei"/>
        <family val="2"/>
      </rPr>
      <t xml:space="preserve">月的收入费用录进去。</t>
    </r>
  </si>
  <si>
    <t xml:space="preserve">本年已发生损益</t>
  </si>
  <si>
    <r>
      <rPr>
        <sz val="9"/>
        <rFont val="微软雅黑"/>
        <family val="0"/>
        <charset val="1"/>
      </rPr>
      <t xml:space="preserve">1</t>
    </r>
    <r>
      <rPr>
        <sz val="9"/>
        <rFont val="WenQuanYi Zen Hei"/>
        <family val="2"/>
      </rPr>
      <t xml:space="preserve">～</t>
    </r>
    <r>
      <rPr>
        <sz val="9"/>
        <rFont val="微软雅黑"/>
        <family val="0"/>
        <charset val="1"/>
      </rPr>
      <t xml:space="preserve">7 </t>
    </r>
    <r>
      <rPr>
        <sz val="9"/>
        <rFont val="WenQuanYi Zen Hei"/>
        <family val="2"/>
      </rPr>
      <t xml:space="preserve">月的收入和费用，到【其他凭证】按月各做一笔汇总分录补录（业务类型选「年初建账」）。这样利润表的本年累计才是完整的，资产负债表也不会不平。</t>
    </r>
  </si>
  <si>
    <t xml:space="preserve">四、每月流程</t>
  </si>
  <si>
    <t xml:space="preserve">平时</t>
  </si>
  <si>
    <t xml:space="preserve">收到钱、付出钱 → 资金流水；卖货开单 → 销售录入；进货收料 → 采购录入。每张表最右边的【校验】列必须是「√」，红色提示必须当天改掉。</t>
  </si>
  <si>
    <t xml:space="preserve">月末</t>
  </si>
  <si>
    <t xml:space="preserve">工资计提、社保计提、折旧、摊销、税金计提 → 其他凭证。然后把【首页】的查询月份切到本月。</t>
  </si>
  <si>
    <t xml:space="preserve">结账前</t>
  </si>
  <si>
    <r>
      <rPr>
        <sz val="9"/>
        <rFont val="WenQuanYi Zen Hei"/>
        <family val="2"/>
      </rPr>
      <t xml:space="preserve">【财务勾稽核查】必须全部✓。第 </t>
    </r>
    <r>
      <rPr>
        <sz val="9"/>
        <rFont val="微软雅黑"/>
        <family val="0"/>
        <charset val="1"/>
      </rPr>
      <t xml:space="preserve">14 </t>
    </r>
    <r>
      <rPr>
        <sz val="9"/>
        <rFont val="WenQuanYi Zen Hei"/>
        <family val="2"/>
      </rPr>
      <t xml:space="preserve">项「查询月份有业务数据」如果报错，说明这个月一笔账都没有，此时报表全是 </t>
    </r>
    <r>
      <rPr>
        <sz val="9"/>
        <rFont val="微软雅黑"/>
        <family val="0"/>
        <charset val="1"/>
      </rPr>
      <t xml:space="preserve">0</t>
    </r>
    <r>
      <rPr>
        <sz val="9"/>
        <rFont val="WenQuanYi Zen Hei"/>
        <family val="2"/>
      </rPr>
      <t xml:space="preserve">，不要误以为账平了。</t>
    </r>
  </si>
  <si>
    <t xml:space="preserve">五、常见问题</t>
  </si>
  <si>
    <t xml:space="preserve">资产负债表不平</t>
  </si>
  <si>
    <r>
      <rPr>
        <sz val="9"/>
        <rFont val="WenQuanYi Zen Hei"/>
        <family val="2"/>
      </rPr>
      <t xml:space="preserve">按顺序查勾稽核查的第 </t>
    </r>
    <r>
      <rPr>
        <sz val="9"/>
        <rFont val="微软雅黑"/>
        <family val="0"/>
        <charset val="1"/>
      </rPr>
      <t xml:space="preserve">2 </t>
    </r>
    <r>
      <rPr>
        <sz val="9"/>
        <rFont val="WenQuanYi Zen Hei"/>
        <family val="2"/>
      </rPr>
      <t xml:space="preserve">项（期初借贷）、第 </t>
    </r>
    <r>
      <rPr>
        <sz val="9"/>
        <rFont val="微软雅黑"/>
        <family val="0"/>
        <charset val="1"/>
      </rPr>
      <t xml:space="preserve">3 </t>
    </r>
    <r>
      <rPr>
        <sz val="9"/>
        <rFont val="WenQuanYi Zen Hei"/>
        <family val="2"/>
      </rPr>
      <t xml:space="preserve">项（表间平衡）。九成是期初没配平，或某个科目在【科目参数】里没填「资产负债表项目」。</t>
    </r>
  </si>
  <si>
    <t xml:space="preserve">应收和总账对不上</t>
  </si>
  <si>
    <r>
      <rPr>
        <sz val="9"/>
        <rFont val="WenQuanYi Zen Hei"/>
        <family val="2"/>
      </rPr>
      <t xml:space="preserve">资金流水里「客户回款」的【往来单位】必须从下拉里选，手打的名字或多一个空格，</t>
    </r>
    <r>
      <rPr>
        <sz val="9"/>
        <rFont val="微软雅黑"/>
        <family val="0"/>
        <charset val="1"/>
      </rPr>
      <t xml:space="preserve">SUMIFS </t>
    </r>
    <r>
      <rPr>
        <sz val="9"/>
        <rFont val="WenQuanYi Zen Hei"/>
        <family val="2"/>
      </rPr>
      <t xml:space="preserve">就匹配不上，钱进了总账却没冲掉这个客户的应收。</t>
    </r>
  </si>
  <si>
    <t xml:space="preserve">现金流量表和银行对不上</t>
  </si>
  <si>
    <r>
      <rPr>
        <sz val="9"/>
        <rFont val="WenQuanYi Zen Hei"/>
        <family val="2"/>
      </rPr>
      <t xml:space="preserve">某个收支科目在【科目参数】②里没配「现金流量表项目」。查勾稽核查第 </t>
    </r>
    <r>
      <rPr>
        <sz val="9"/>
        <rFont val="微软雅黑"/>
        <family val="0"/>
        <charset val="1"/>
      </rPr>
      <t xml:space="preserve">12 </t>
    </r>
    <r>
      <rPr>
        <sz val="9"/>
        <rFont val="WenQuanYi Zen Hei"/>
        <family val="2"/>
      </rPr>
      <t xml:space="preserve">项。</t>
    </r>
  </si>
  <si>
    <t xml:space="preserve">销售成本不对</t>
  </si>
  <si>
    <r>
      <rPr>
        <sz val="9"/>
        <rFont val="WenQuanYi Zen Hei"/>
        <family val="2"/>
      </rPr>
      <t xml:space="preserve">成本单价是按「期初 </t>
    </r>
    <r>
      <rPr>
        <sz val="9"/>
        <rFont val="微软雅黑"/>
        <family val="0"/>
        <charset val="1"/>
      </rPr>
      <t xml:space="preserve">+ </t>
    </r>
    <r>
      <rPr>
        <sz val="9"/>
        <rFont val="WenQuanYi Zen Hei"/>
        <family val="2"/>
      </rPr>
      <t xml:space="preserve">该笔销售日期之前的入库」算移动加权平均。如果这个商品还没有采购记录，会退回用【基础资料】里的参考成本；参考成本也没填就会是 </t>
    </r>
    <r>
      <rPr>
        <sz val="9"/>
        <rFont val="微软雅黑"/>
        <family val="0"/>
        <charset val="1"/>
      </rPr>
      <t xml:space="preserve">0</t>
    </r>
    <r>
      <rPr>
        <sz val="9"/>
        <rFont val="WenQuanYi Zen Hei"/>
        <family val="2"/>
      </rPr>
      <t xml:space="preserve">，校验列会提示。</t>
    </r>
  </si>
  <si>
    <t xml:space="preserve">要加行怎么办</t>
  </si>
  <si>
    <r>
      <rPr>
        <sz val="9"/>
        <rFont val="WenQuanYi Zen Hei"/>
        <family val="2"/>
      </rPr>
      <t xml:space="preserve">各表都预留了行数（资金流水 </t>
    </r>
    <r>
      <rPr>
        <sz val="9"/>
        <rFont val="微软雅黑"/>
        <family val="0"/>
        <charset val="1"/>
      </rPr>
      <t xml:space="preserve">500 </t>
    </r>
    <r>
      <rPr>
        <sz val="9"/>
        <rFont val="WenQuanYi Zen Hei"/>
        <family val="2"/>
      </rPr>
      <t xml:space="preserve">行、销售采购各 </t>
    </r>
    <r>
      <rPr>
        <sz val="9"/>
        <rFont val="微软雅黑"/>
        <family val="0"/>
        <charset val="1"/>
      </rPr>
      <t xml:space="preserve">400 </t>
    </r>
    <r>
      <rPr>
        <sz val="9"/>
        <rFont val="WenQuanYi Zen Hei"/>
        <family val="2"/>
      </rPr>
      <t xml:space="preserve">行）。不够时请在数据区中间插入整行再复制公式，不要在最后一行下面直接粘贴，那会盖掉合计行。</t>
    </r>
  </si>
  <si>
    <t xml:space="preserve">六、注意</t>
  </si>
  <si>
    <t xml:space="preserve">不要删整行</t>
  </si>
  <si>
    <r>
      <rPr>
        <sz val="9"/>
        <rFont val="WenQuanYi Zen Hei"/>
        <family val="2"/>
      </rPr>
      <t xml:space="preserve">基础资料、期初数据都是横向分区共用行号，删整行会同时删掉旁边几个区的数据。要清空请选中单元格按 </t>
    </r>
    <r>
      <rPr>
        <sz val="9"/>
        <rFont val="微软雅黑"/>
        <family val="0"/>
        <charset val="1"/>
      </rPr>
      <t xml:space="preserve">Delete</t>
    </r>
    <r>
      <rPr>
        <sz val="9"/>
        <rFont val="WenQuanYi Zen Hei"/>
        <family val="2"/>
      </rPr>
      <t xml:space="preserve">。</t>
    </r>
  </si>
  <si>
    <t xml:space="preserve">不要动白色和灰色区域</t>
  </si>
  <si>
    <r>
      <rPr>
        <sz val="9"/>
        <rFont val="WenQuanYi Zen Hei"/>
        <family val="2"/>
      </rPr>
      <t xml:space="preserve">黄色是录入区，白色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灰色是公式区。公式被覆盖后不会有任何报错，但报表会静默算错。</t>
    </r>
  </si>
  <si>
    <t xml:space="preserve">年内不要做结转损益</t>
  </si>
  <si>
    <r>
      <rPr>
        <sz val="9"/>
        <rFont val="WenQuanYi Zen Hei"/>
        <family val="2"/>
      </rPr>
      <t xml:space="preserve">损益科目的余额本身就是本年利润，资产负债表已经自动接住了。结转损益只在 </t>
    </r>
    <r>
      <rPr>
        <sz val="9"/>
        <rFont val="微软雅黑"/>
        <family val="0"/>
        <charset val="1"/>
      </rPr>
      <t xml:space="preserve">12 </t>
    </r>
    <r>
      <rPr>
        <sz val="9"/>
        <rFont val="WenQuanYi Zen Hei"/>
        <family val="2"/>
      </rPr>
      <t xml:space="preserve">月做一次。</t>
    </r>
  </si>
  <si>
    <r>
      <rPr>
        <b val="true"/>
        <sz val="15"/>
        <color rgb="FF1F3864"/>
        <rFont val="WenQuanYi Zen Hei"/>
        <family val="2"/>
      </rPr>
      <t xml:space="preserve">内账财务管理系统 </t>
    </r>
    <r>
      <rPr>
        <b val="true"/>
        <sz val="15"/>
        <color rgb="FF1F3864"/>
        <rFont val="微软雅黑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通用版　使用说明</t>
    </r>
  </si>
  <si>
    <t xml:space="preserve">适用范围</t>
  </si>
  <si>
    <r>
      <rPr>
        <sz val="9"/>
        <rFont val="WenQuanYi Zen Hei"/>
        <family val="2"/>
      </rPr>
      <t xml:space="preserve">一套开箱即用的 </t>
    </r>
    <r>
      <rPr>
        <sz val="9"/>
        <rFont val="微软雅黑"/>
        <family val="0"/>
        <charset val="1"/>
      </rPr>
      <t xml:space="preserve">Excel </t>
    </r>
    <r>
      <rPr>
        <sz val="9"/>
        <rFont val="WenQuanYi Zen Hei"/>
        <family val="2"/>
      </rPr>
      <t xml:space="preserve">内账（管理账）系统，适用于贸易、零售、服务、加工等各类中小企业。只录四张表，总账与全部报表自动生成。</t>
    </r>
  </si>
  <si>
    <r>
      <rPr>
        <b val="true"/>
        <sz val="9"/>
        <color rgb="FFFFFFFF"/>
        <rFont val="微软雅黑"/>
        <family val="0"/>
        <charset val="1"/>
      </rPr>
      <t xml:space="preserve">25 </t>
    </r>
    <r>
      <rPr>
        <b val="true"/>
        <sz val="9"/>
        <color rgb="FFFFFFFF"/>
        <rFont val="WenQuanYi Zen Hei"/>
        <family val="2"/>
      </rPr>
      <t xml:space="preserve">张表怎么分</t>
    </r>
  </si>
  <si>
    <t xml:space="preserve">入口</t>
  </si>
  <si>
    <r>
      <rPr>
        <sz val="9"/>
        <rFont val="WenQuanYi Zen Hei"/>
        <family val="2"/>
      </rPr>
      <t xml:space="preserve">首页（仪表盘）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操作说明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使用说明（本页）</t>
    </r>
  </si>
  <si>
    <t xml:space="preserve">配置</t>
  </si>
  <si>
    <r>
      <rPr>
        <sz val="9"/>
        <rFont val="WenQuanYi Zen Hei"/>
        <family val="2"/>
      </rPr>
      <t xml:space="preserve">科目参数（会计科目 </t>
    </r>
    <r>
      <rPr>
        <sz val="9"/>
        <rFont val="微软雅黑"/>
        <family val="0"/>
        <charset val="1"/>
      </rPr>
      <t xml:space="preserve">+ </t>
    </r>
    <r>
      <rPr>
        <sz val="9"/>
        <rFont val="WenQuanYi Zen Hei"/>
        <family val="2"/>
      </rPr>
      <t xml:space="preserve">收支科目）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基础资料（账户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部门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员工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商品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客户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供应商）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期初数据</t>
    </r>
  </si>
  <si>
    <t xml:space="preserve">录入（只有这四张手工填）</t>
  </si>
  <si>
    <r>
      <rPr>
        <sz val="9"/>
        <rFont val="WenQuanYi Zen Hei"/>
        <family val="2"/>
      </rPr>
      <t xml:space="preserve">资金流水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销售录入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采购录入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其他凭证</t>
    </r>
  </si>
  <si>
    <t xml:space="preserve">总账报表</t>
  </si>
  <si>
    <r>
      <rPr>
        <sz val="9"/>
        <rFont val="WenQuanYi Zen Hei"/>
        <family val="2"/>
      </rPr>
      <t xml:space="preserve">科目余额表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科目分析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利润表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资产负债表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现金流量表</t>
    </r>
  </si>
  <si>
    <t xml:space="preserve">业务辅助</t>
  </si>
  <si>
    <r>
      <rPr>
        <sz val="9"/>
        <rFont val="WenQuanYi Zen Hei"/>
        <family val="2"/>
      </rPr>
      <t xml:space="preserve">账户余额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库存收发存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应收跟进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应付跟进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固定资产台账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工资表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辅助核算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客户对账单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供应商对账单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经营分析</t>
    </r>
  </si>
  <si>
    <t xml:space="preserve">月结</t>
  </si>
  <si>
    <r>
      <rPr>
        <sz val="9"/>
        <rFont val="WenQuanYi Zen Hei"/>
        <family val="2"/>
      </rPr>
      <t xml:space="preserve">财务勾稽核查（</t>
    </r>
    <r>
      <rPr>
        <sz val="9"/>
        <rFont val="微软雅黑"/>
        <family val="0"/>
        <charset val="1"/>
      </rPr>
      <t xml:space="preserve">16 </t>
    </r>
    <r>
      <rPr>
        <sz val="9"/>
        <rFont val="WenQuanYi Zen Hei"/>
        <family val="2"/>
      </rPr>
      <t xml:space="preserve">项跨表比对）</t>
    </r>
  </si>
  <si>
    <t xml:space="preserve">核心设计</t>
  </si>
  <si>
    <t xml:space="preserve">每行业务自带分录对</t>
  </si>
  <si>
    <t xml:space="preserve">每一行录入都会自动算出借方科目、贷方科目和金额，一行同时贡献一借一贷。所以借贷是结构性相等，不可能出现单边挂账。</t>
  </si>
  <si>
    <r>
      <rPr>
        <sz val="9"/>
        <rFont val="WenQuanYi Zen Hei"/>
        <family val="2"/>
      </rPr>
      <t xml:space="preserve">科目表随便加，年度在首页改一格，所有报表自动跟随。科目余额表以「期间 </t>
    </r>
    <r>
      <rPr>
        <sz val="9"/>
        <rFont val="微软雅黑"/>
        <family val="0"/>
        <charset val="1"/>
      </rPr>
      <t xml:space="preserve">+ </t>
    </r>
    <r>
      <rPr>
        <sz val="9"/>
        <rFont val="WenQuanYi Zen Hei"/>
        <family val="2"/>
      </rPr>
      <t xml:space="preserve">科目」为键统一汇总。</t>
    </r>
  </si>
  <si>
    <t xml:space="preserve">兼容性</t>
  </si>
  <si>
    <r>
      <rPr>
        <sz val="9"/>
        <rFont val="WenQuanYi Zen Hei"/>
        <family val="2"/>
      </rPr>
      <t xml:space="preserve">全部使用 </t>
    </r>
    <r>
      <rPr>
        <sz val="9"/>
        <rFont val="微软雅黑"/>
        <family val="0"/>
        <charset val="1"/>
      </rPr>
      <t xml:space="preserve">Excel 2007 </t>
    </r>
    <r>
      <rPr>
        <sz val="9"/>
        <rFont val="WenQuanYi Zen Hei"/>
        <family val="2"/>
      </rPr>
      <t xml:space="preserve">就有的函数，没有 </t>
    </r>
    <r>
      <rPr>
        <sz val="9"/>
        <rFont val="微软雅黑"/>
        <family val="0"/>
        <charset val="1"/>
      </rPr>
      <t xml:space="preserve">FILTER / XLOOKUP / TEXTJOIN </t>
    </r>
    <r>
      <rPr>
        <sz val="9"/>
        <rFont val="WenQuanYi Zen Hei"/>
        <family val="2"/>
      </rPr>
      <t xml:space="preserve">等动态数组函数。</t>
    </r>
    <r>
      <rPr>
        <sz val="9"/>
        <rFont val="微软雅黑"/>
        <family val="0"/>
        <charset val="1"/>
      </rPr>
      <t xml:space="preserve">WPS </t>
    </r>
    <r>
      <rPr>
        <sz val="9"/>
        <rFont val="WenQuanYi Zen Hei"/>
        <family val="2"/>
      </rPr>
      <t xml:space="preserve">个人版、</t>
    </r>
    <r>
      <rPr>
        <sz val="9"/>
        <rFont val="微软雅黑"/>
        <family val="0"/>
        <charset val="1"/>
      </rPr>
      <t xml:space="preserve">Excel 2016 </t>
    </r>
    <r>
      <rPr>
        <sz val="9"/>
        <rFont val="WenQuanYi Zen Hei"/>
        <family val="2"/>
      </rPr>
      <t xml:space="preserve">都能正常打开和重算。</t>
    </r>
  </si>
  <si>
    <t xml:space="preserve">快速开始（只做一次）</t>
  </si>
  <si>
    <r>
      <rPr>
        <b val="true"/>
        <sz val="9"/>
        <rFont val="微软雅黑"/>
        <family val="0"/>
        <charset val="1"/>
      </rPr>
      <t xml:space="preserve">1. </t>
    </r>
    <r>
      <rPr>
        <b val="true"/>
        <sz val="9"/>
        <rFont val="WenQuanYi Zen Hei"/>
        <family val="2"/>
      </rPr>
      <t xml:space="preserve">改首页两格</t>
    </r>
  </si>
  <si>
    <t xml:space="preserve">会计年度、查询月份。</t>
  </si>
  <si>
    <r>
      <rPr>
        <b val="true"/>
        <sz val="9"/>
        <rFont val="微软雅黑"/>
        <family val="0"/>
        <charset val="1"/>
      </rPr>
      <t xml:space="preserve">2. </t>
    </r>
    <r>
      <rPr>
        <b val="true"/>
        <sz val="9"/>
        <rFont val="WenQuanYi Zen Hei"/>
        <family val="2"/>
      </rPr>
      <t xml:space="preserve">配收支科目</t>
    </r>
  </si>
  <si>
    <t xml:space="preserve">【科目参数】第二区，每条配好「对方科目」——这笔钱的另一半。这是适配不同行业的主要工作：餐饮加「食材采购」、电商加「平台佣金」、诊所加「药品采购」。</t>
  </si>
  <si>
    <r>
      <rPr>
        <b val="true"/>
        <sz val="9"/>
        <rFont val="微软雅黑"/>
        <family val="0"/>
        <charset val="1"/>
      </rPr>
      <t xml:space="preserve">3. </t>
    </r>
    <r>
      <rPr>
        <b val="true"/>
        <sz val="9"/>
        <rFont val="WenQuanYi Zen Hei"/>
        <family val="2"/>
      </rPr>
      <t xml:space="preserve">建档案</t>
    </r>
  </si>
  <si>
    <t xml:space="preserve">【基础资料】录账户、部门、员工、商品、客户、供应商。</t>
  </si>
  <si>
    <r>
      <rPr>
        <b val="true"/>
        <sz val="9"/>
        <rFont val="微软雅黑"/>
        <family val="0"/>
        <charset val="1"/>
      </rPr>
      <t xml:space="preserve">4. </t>
    </r>
    <r>
      <rPr>
        <b val="true"/>
        <sz val="9"/>
        <rFont val="WenQuanYi Zen Hei"/>
        <family val="2"/>
      </rPr>
      <t xml:space="preserve">录期初</t>
    </r>
  </si>
  <si>
    <t xml:space="preserve">【期初数据】录启用日的资产、负债、所有者权益余额。⑤会计科目期初必须借贷相等。</t>
  </si>
  <si>
    <r>
      <rPr>
        <b val="true"/>
        <sz val="9"/>
        <rFont val="微软雅黑"/>
        <family val="0"/>
        <charset val="1"/>
      </rPr>
      <t xml:space="preserve">5. </t>
    </r>
    <r>
      <rPr>
        <b val="true"/>
        <sz val="9"/>
        <rFont val="WenQuanYi Zen Hei"/>
        <family val="2"/>
      </rPr>
      <t xml:space="preserve">核对</t>
    </r>
  </si>
  <si>
    <r>
      <rPr>
        <sz val="9"/>
        <rFont val="WenQuanYi Zen Hei"/>
        <family val="2"/>
      </rPr>
      <t xml:space="preserve">【财务勾稽核查】第 </t>
    </r>
    <r>
      <rPr>
        <sz val="9"/>
        <rFont val="微软雅黑"/>
        <family val="0"/>
        <charset val="1"/>
      </rPr>
      <t xml:space="preserve">2</t>
    </r>
    <r>
      <rPr>
        <sz val="9"/>
        <rFont val="WenQuanYi Zen Hei"/>
        <family val="2"/>
      </rPr>
      <t xml:space="preserve">～</t>
    </r>
    <r>
      <rPr>
        <sz val="9"/>
        <rFont val="微软雅黑"/>
        <family val="0"/>
        <charset val="1"/>
      </rPr>
      <t xml:space="preserve">7 </t>
    </r>
    <r>
      <rPr>
        <sz val="9"/>
        <rFont val="WenQuanYi Zen Hei"/>
        <family val="2"/>
      </rPr>
      <t xml:space="preserve">项全部 ✓ 之后再开始日常录入。</t>
    </r>
  </si>
  <si>
    <t xml:space="preserve">每月流程</t>
  </si>
  <si>
    <t xml:space="preserve">收付款 → 资金流水；卖出 → 销售录入；买入 → 采购录入。</t>
  </si>
  <si>
    <r>
      <rPr>
        <sz val="9"/>
        <rFont val="WenQuanYi Zen Hei"/>
        <family val="2"/>
      </rPr>
      <t xml:space="preserve">工资 </t>
    </r>
    <r>
      <rPr>
        <sz val="9"/>
        <rFont val="微软雅黑"/>
        <family val="0"/>
        <charset val="1"/>
      </rPr>
      <t xml:space="preserve">/ </t>
    </r>
    <r>
      <rPr>
        <sz val="9"/>
        <rFont val="WenQuanYi Zen Hei"/>
        <family val="2"/>
      </rPr>
      <t xml:space="preserve">社保 </t>
    </r>
    <r>
      <rPr>
        <sz val="9"/>
        <rFont val="微软雅黑"/>
        <family val="0"/>
        <charset val="1"/>
      </rPr>
      <t xml:space="preserve">/ </t>
    </r>
    <r>
      <rPr>
        <sz val="9"/>
        <rFont val="WenQuanYi Zen Hei"/>
        <family val="2"/>
      </rPr>
      <t xml:space="preserve">折旧 </t>
    </r>
    <r>
      <rPr>
        <sz val="9"/>
        <rFont val="微软雅黑"/>
        <family val="0"/>
        <charset val="1"/>
      </rPr>
      <t xml:space="preserve">/ </t>
    </r>
    <r>
      <rPr>
        <sz val="9"/>
        <rFont val="WenQuanYi Zen Hei"/>
        <family val="2"/>
      </rPr>
      <t xml:space="preserve">摊销 </t>
    </r>
    <r>
      <rPr>
        <sz val="9"/>
        <rFont val="微软雅黑"/>
        <family val="0"/>
        <charset val="1"/>
      </rPr>
      <t xml:space="preserve">/ </t>
    </r>
    <r>
      <rPr>
        <sz val="9"/>
        <rFont val="WenQuanYi Zen Hei"/>
        <family val="2"/>
      </rPr>
      <t xml:space="preserve">税金计提 → 其他凭证。</t>
    </r>
  </si>
  <si>
    <t xml:space="preserve">首页切到本月 →【财务勾稽核查】全部 ✓ → 打印报表。</t>
  </si>
  <si>
    <t xml:space="preserve">【其他凭证】做结转损益，次年在新文件的【期初数据】录新年度期初。</t>
  </si>
  <si>
    <t xml:space="preserve">关键口径</t>
  </si>
  <si>
    <t xml:space="preserve">销售成本</t>
  </si>
  <si>
    <r>
      <rPr>
        <sz val="9"/>
        <rFont val="WenQuanYi Zen Hei"/>
        <family val="2"/>
      </rPr>
      <t xml:space="preserve">按「期初 </t>
    </r>
    <r>
      <rPr>
        <sz val="9"/>
        <rFont val="微软雅黑"/>
        <family val="0"/>
        <charset val="1"/>
      </rPr>
      <t xml:space="preserve">+ </t>
    </r>
    <r>
      <rPr>
        <sz val="9"/>
        <rFont val="WenQuanYi Zen Hei"/>
        <family val="2"/>
      </rPr>
      <t xml:space="preserve">该笔销售日期之前的入库」计算移动加权平均单价。无采购记录时退回商品档案的参考成本。</t>
    </r>
  </si>
  <si>
    <t xml:space="preserve">库存金额</t>
  </si>
  <si>
    <r>
      <rPr>
        <sz val="9"/>
        <rFont val="WenQuanYi Zen Hei"/>
        <family val="2"/>
      </rPr>
      <t xml:space="preserve">期初金额 </t>
    </r>
    <r>
      <rPr>
        <sz val="9"/>
        <rFont val="微软雅黑"/>
        <family val="0"/>
        <charset val="1"/>
      </rPr>
      <t xml:space="preserve">+ </t>
    </r>
    <r>
      <rPr>
        <sz val="9"/>
        <rFont val="WenQuanYi Zen Hei"/>
        <family val="2"/>
      </rPr>
      <t xml:space="preserve">采购金额 − 结转成本，与科目余额表的「库存商品」永远一致。</t>
    </r>
  </si>
  <si>
    <t xml:space="preserve">账龄分桶</t>
  </si>
  <si>
    <r>
      <rPr>
        <sz val="9"/>
        <rFont val="WenQuanYi Zen Hei"/>
        <family val="2"/>
      </rPr>
      <t xml:space="preserve">按到期日累计应收额减累计回款，等价于回款先冲抵最早的单据（</t>
    </r>
    <r>
      <rPr>
        <sz val="9"/>
        <rFont val="微软雅黑"/>
        <family val="0"/>
        <charset val="1"/>
      </rPr>
      <t xml:space="preserve">FIFO</t>
    </r>
    <r>
      <rPr>
        <sz val="9"/>
        <rFont val="WenQuanYi Zen Hei"/>
        <family val="2"/>
      </rPr>
      <t xml:space="preserve">）。</t>
    </r>
  </si>
  <si>
    <t xml:space="preserve">未分配利润</t>
  </si>
  <si>
    <r>
      <rPr>
        <sz val="9"/>
        <rFont val="WenQuanYi Zen Hei"/>
        <family val="2"/>
      </rPr>
      <t xml:space="preserve">利润分配类科目余额 </t>
    </r>
    <r>
      <rPr>
        <sz val="9"/>
        <rFont val="微软雅黑"/>
        <family val="0"/>
        <charset val="1"/>
      </rPr>
      <t xml:space="preserve">+ </t>
    </r>
    <r>
      <rPr>
        <sz val="9"/>
        <rFont val="WenQuanYi Zen Hei"/>
        <family val="2"/>
      </rPr>
      <t xml:space="preserve">利润表本年净利润。年末做了结转损益也不会重复计算。</t>
    </r>
  </si>
  <si>
    <t xml:space="preserve">现金流量表</t>
  </si>
  <si>
    <t xml:space="preserve">直接法，按收支科目自动归类；账户间内部转账不计入。</t>
  </si>
  <si>
    <t xml:space="preserve">年中启用</t>
  </si>
  <si>
    <t xml:space="preserve">期初只录资产负债权益，本年已发生的收入费用到【其他凭证】按月补录（业务类型选「年初建账」）。损益类科目不要录期初。</t>
  </si>
  <si>
    <t xml:space="preserve">容量</t>
  </si>
  <si>
    <r>
      <rPr>
        <sz val="9"/>
        <rFont val="WenQuanYi Zen Hei"/>
        <family val="2"/>
      </rPr>
      <t xml:space="preserve">资金流水 </t>
    </r>
    <r>
      <rPr>
        <sz val="9"/>
        <rFont val="微软雅黑"/>
        <family val="0"/>
        <charset val="1"/>
      </rPr>
      <t xml:space="preserve">500 </t>
    </r>
    <r>
      <rPr>
        <sz val="9"/>
        <rFont val="WenQuanYi Zen Hei"/>
        <family val="2"/>
      </rPr>
      <t xml:space="preserve">行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销售 </t>
    </r>
    <r>
      <rPr>
        <sz val="9"/>
        <rFont val="微软雅黑"/>
        <family val="0"/>
        <charset val="1"/>
      </rPr>
      <t xml:space="preserve">400 </t>
    </r>
    <r>
      <rPr>
        <sz val="9"/>
        <rFont val="WenQuanYi Zen Hei"/>
        <family val="2"/>
      </rPr>
      <t xml:space="preserve">行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采购 </t>
    </r>
    <r>
      <rPr>
        <sz val="9"/>
        <rFont val="微软雅黑"/>
        <family val="0"/>
        <charset val="1"/>
      </rPr>
      <t xml:space="preserve">400 </t>
    </r>
    <r>
      <rPr>
        <sz val="9"/>
        <rFont val="WenQuanYi Zen Hei"/>
        <family val="2"/>
      </rPr>
      <t xml:space="preserve">行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其他凭证 </t>
    </r>
    <r>
      <rPr>
        <sz val="9"/>
        <rFont val="微软雅黑"/>
        <family val="0"/>
        <charset val="1"/>
      </rPr>
      <t xml:space="preserve">300 </t>
    </r>
    <r>
      <rPr>
        <sz val="9"/>
        <rFont val="WenQuanYi Zen Hei"/>
        <family val="2"/>
      </rPr>
      <t xml:space="preserve">行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会计科目 </t>
    </r>
    <r>
      <rPr>
        <sz val="9"/>
        <rFont val="微软雅黑"/>
        <family val="0"/>
        <charset val="1"/>
      </rPr>
      <t xml:space="preserve">120 </t>
    </r>
    <r>
      <rPr>
        <sz val="9"/>
        <rFont val="WenQuanYi Zen Hei"/>
        <family val="2"/>
      </rPr>
      <t xml:space="preserve">个 </t>
    </r>
    <r>
      <rPr>
        <sz val="9"/>
        <rFont val="微软雅黑"/>
        <family val="0"/>
        <charset val="1"/>
      </rPr>
      <t xml:space="preserve">· </t>
    </r>
    <r>
      <rPr>
        <sz val="9"/>
        <rFont val="WenQuanYi Zen Hei"/>
        <family val="2"/>
      </rPr>
      <t xml:space="preserve">商品 </t>
    </r>
    <r>
      <rPr>
        <sz val="9"/>
        <rFont val="微软雅黑"/>
        <family val="0"/>
        <charset val="1"/>
      </rPr>
      <t xml:space="preserve">200 · </t>
    </r>
    <r>
      <rPr>
        <sz val="9"/>
        <rFont val="WenQuanYi Zen Hei"/>
        <family val="2"/>
      </rPr>
      <t xml:space="preserve">客户</t>
    </r>
    <r>
      <rPr>
        <sz val="9"/>
        <rFont val="微软雅黑"/>
        <family val="0"/>
        <charset val="1"/>
      </rPr>
      <t xml:space="preserve">/</t>
    </r>
    <r>
      <rPr>
        <sz val="9"/>
        <rFont val="WenQuanYi Zen Hei"/>
        <family val="2"/>
      </rPr>
      <t xml:space="preserve">供应商各 </t>
    </r>
    <r>
      <rPr>
        <sz val="9"/>
        <rFont val="微软雅黑"/>
        <family val="0"/>
        <charset val="1"/>
      </rPr>
      <t xml:space="preserve">150 · </t>
    </r>
    <r>
      <rPr>
        <sz val="9"/>
        <rFont val="WenQuanYi Zen Hei"/>
        <family val="2"/>
      </rPr>
      <t xml:space="preserve">员工 </t>
    </r>
    <r>
      <rPr>
        <sz val="9"/>
        <rFont val="微软雅黑"/>
        <family val="0"/>
        <charset val="1"/>
      </rPr>
      <t xml:space="preserve">60 · </t>
    </r>
    <r>
      <rPr>
        <sz val="9"/>
        <rFont val="WenQuanYi Zen Hei"/>
        <family val="2"/>
      </rPr>
      <t xml:space="preserve">固定资产 </t>
    </r>
    <r>
      <rPr>
        <sz val="9"/>
        <rFont val="微软雅黑"/>
        <family val="0"/>
        <charset val="1"/>
      </rPr>
      <t xml:space="preserve">100</t>
    </r>
    <r>
      <rPr>
        <sz val="9"/>
        <rFont val="WenQuanYi Zen Hei"/>
        <family val="2"/>
      </rPr>
      <t xml:space="preserve">。</t>
    </r>
  </si>
  <si>
    <t xml:space="preserve">不够时在数据区中间插入整行再复制公式，不要在最后一行下面直接粘贴（会盖掉合计行）。</t>
  </si>
  <si>
    <t xml:space="preserve">颜色约定</t>
  </si>
  <si>
    <r>
      <rPr>
        <sz val="9"/>
        <rFont val="WenQuanYi Zen Hei"/>
        <family val="2"/>
      </rPr>
      <t xml:space="preserve">淡黄底＝手工录入　｜　白 </t>
    </r>
    <r>
      <rPr>
        <sz val="9"/>
        <rFont val="微软雅黑"/>
        <family val="0"/>
        <charset val="1"/>
      </rPr>
      <t xml:space="preserve">/ </t>
    </r>
    <r>
      <rPr>
        <sz val="9"/>
        <rFont val="WenQuanYi Zen Hei"/>
        <family val="2"/>
      </rPr>
      <t xml:space="preserve">灰底＝公式自动计算，请勿覆盖　｜　绿色字＝引用其他工作表　｜　红底＝校验未通过，必须处理。</t>
    </r>
  </si>
  <si>
    <t xml:space="preserve">工作表标签也按功能分色：深蓝＝入口，灰＝配置，橙＝录入，绿＝总账报表，蓝＝业务辅助，红＝月结检查。</t>
  </si>
  <si>
    <t xml:space="preserve">注意</t>
  </si>
  <si>
    <r>
      <rPr>
        <sz val="9"/>
        <rFont val="WenQuanYi Zen Hei"/>
        <family val="2"/>
      </rPr>
      <t xml:space="preserve">基础资料、期初数据是横向分区共用行号，删整行会同时删掉旁边几个区的数据。清空请选中单元格按 </t>
    </r>
    <r>
      <rPr>
        <sz val="9"/>
        <rFont val="微软雅黑"/>
        <family val="0"/>
        <charset val="1"/>
      </rPr>
      <t xml:space="preserve">Delete</t>
    </r>
    <r>
      <rPr>
        <sz val="9"/>
        <rFont val="WenQuanYi Zen Hei"/>
        <family val="2"/>
      </rPr>
      <t xml:space="preserve">。</t>
    </r>
  </si>
  <si>
    <t xml:space="preserve">停用不要删</t>
  </si>
  <si>
    <t xml:space="preserve">停用档案请把「状态」改成停用。</t>
  </si>
  <si>
    <t xml:space="preserve">年内不做结转损益</t>
  </si>
  <si>
    <r>
      <rPr>
        <sz val="9"/>
        <rFont val="WenQuanYi Zen Hei"/>
        <family val="2"/>
      </rPr>
      <t xml:space="preserve">损益科目余额本身就是本年利润，资产负债表已经自动接住。结转损益只在 </t>
    </r>
    <r>
      <rPr>
        <sz val="9"/>
        <rFont val="微软雅黑"/>
        <family val="0"/>
        <charset val="1"/>
      </rPr>
      <t xml:space="preserve">12 </t>
    </r>
    <r>
      <rPr>
        <sz val="9"/>
        <rFont val="WenQuanYi Zen Hei"/>
        <family val="2"/>
      </rPr>
      <t xml:space="preserve">月做一次。</t>
    </r>
  </si>
  <si>
    <t xml:space="preserve">科目参数</t>
  </si>
  <si>
    <t xml:space="preserve">会计科目表决定报表怎么出数；收支科目表决定每一笔资金流水自动记到哪个科目。两张表都可以按自己行业增删。</t>
  </si>
  <si>
    <t xml:space="preserve">一、会计科目表（报表按这里的映射自动归集，不要删除已用科目）</t>
  </si>
  <si>
    <t xml:space="preserve">二、收支科目表（资金流水的下拉来源，决定自动分录）</t>
  </si>
  <si>
    <t xml:space="preserve">科目编码</t>
  </si>
  <si>
    <t xml:space="preserve">科目名称</t>
  </si>
  <si>
    <t xml:space="preserve">类别</t>
  </si>
  <si>
    <t xml:space="preserve">余额
方向</t>
  </si>
  <si>
    <t xml:space="preserve">启用</t>
  </si>
  <si>
    <t xml:space="preserve">资产负债表项目</t>
  </si>
  <si>
    <t xml:space="preserve">利润表项目</t>
  </si>
  <si>
    <t xml:space="preserve">现金流性质</t>
  </si>
  <si>
    <t xml:space="preserve">辅助核算</t>
  </si>
  <si>
    <t xml:space="preserve">序号</t>
  </si>
  <si>
    <t xml:space="preserve">收支
类型</t>
  </si>
  <si>
    <t xml:space="preserve">收支科目</t>
  </si>
  <si>
    <t xml:space="preserve">对方科目
编码</t>
  </si>
  <si>
    <t xml:space="preserve">对方科目名称</t>
  </si>
  <si>
    <t xml:space="preserve">现金流量表项目</t>
  </si>
  <si>
    <t xml:space="preserve">说明</t>
  </si>
  <si>
    <t xml:space="preserve">1001</t>
  </si>
  <si>
    <t xml:space="preserve">库存现金</t>
  </si>
  <si>
    <t xml:space="preserve">资产</t>
  </si>
  <si>
    <t xml:space="preserve">借</t>
  </si>
  <si>
    <t xml:space="preserve">货币资金</t>
  </si>
  <si>
    <t xml:space="preserve">现金类</t>
  </si>
  <si>
    <t xml:space="preserve">—</t>
  </si>
  <si>
    <t xml:space="preserve">收入</t>
  </si>
  <si>
    <t xml:space="preserve">客户回款</t>
  </si>
  <si>
    <t xml:space="preserve">1122</t>
  </si>
  <si>
    <t xml:space="preserve">销售商品、提供劳务收到的现金</t>
  </si>
  <si>
    <t xml:space="preserve">1002</t>
  </si>
  <si>
    <t xml:space="preserve">银行存款</t>
  </si>
  <si>
    <t xml:space="preserve">预收货款</t>
  </si>
  <si>
    <t xml:space="preserve">2203</t>
  </si>
  <si>
    <t xml:space="preserve">1012</t>
  </si>
  <si>
    <t xml:space="preserve">其他货币资金</t>
  </si>
  <si>
    <t xml:space="preserve">现销收入</t>
  </si>
  <si>
    <t xml:space="preserve">6001</t>
  </si>
  <si>
    <t xml:space="preserve">1101</t>
  </si>
  <si>
    <t xml:space="preserve">交易性金融资产</t>
  </si>
  <si>
    <t xml:space="preserve">投资活动</t>
  </si>
  <si>
    <t xml:space="preserve">其他业务收入</t>
  </si>
  <si>
    <t xml:space="preserve">6051</t>
  </si>
  <si>
    <t xml:space="preserve">收到的其他与经营活动有关的现金</t>
  </si>
  <si>
    <t xml:space="preserve">1121</t>
  </si>
  <si>
    <t xml:space="preserve">应收票据</t>
  </si>
  <si>
    <t xml:space="preserve">经营活动</t>
  </si>
  <si>
    <t xml:space="preserve">客户</t>
  </si>
  <si>
    <t xml:space="preserve">政府补助</t>
  </si>
  <si>
    <t xml:space="preserve">6117</t>
  </si>
  <si>
    <t xml:space="preserve">应收账款</t>
  </si>
  <si>
    <t xml:space="preserve">利息收入</t>
  </si>
  <si>
    <t xml:space="preserve">6603</t>
  </si>
  <si>
    <t xml:space="preserve">1123</t>
  </si>
  <si>
    <t xml:space="preserve">预付账款</t>
  </si>
  <si>
    <t xml:space="preserve">预付款项</t>
  </si>
  <si>
    <t xml:space="preserve">供应商</t>
  </si>
  <si>
    <t xml:space="preserve">租金收入</t>
  </si>
  <si>
    <t xml:space="preserve">1131</t>
  </si>
  <si>
    <t xml:space="preserve">应收股利</t>
  </si>
  <si>
    <t xml:space="preserve">其他应收款</t>
  </si>
  <si>
    <t xml:space="preserve">废料收入</t>
  </si>
  <si>
    <t xml:space="preserve">1132</t>
  </si>
  <si>
    <t xml:space="preserve">应收利息</t>
  </si>
  <si>
    <t xml:space="preserve">退回押金保证金</t>
  </si>
  <si>
    <t xml:space="preserve">1221</t>
  </si>
  <si>
    <r>
      <rPr>
        <sz val="9"/>
        <color rgb="FF0000C0"/>
        <rFont val="WenQuanYi Zen Hei"/>
        <family val="2"/>
      </rPr>
      <t xml:space="preserve">员工</t>
    </r>
    <r>
      <rPr>
        <sz val="9"/>
        <color rgb="FF0000C0"/>
        <rFont val="微软雅黑"/>
        <family val="0"/>
        <charset val="1"/>
      </rPr>
      <t xml:space="preserve">/</t>
    </r>
    <r>
      <rPr>
        <sz val="9"/>
        <color rgb="FF0000C0"/>
        <rFont val="WenQuanYi Zen Hei"/>
        <family val="2"/>
      </rPr>
      <t xml:space="preserve">其他</t>
    </r>
  </si>
  <si>
    <t xml:space="preserve">收回备用金</t>
  </si>
  <si>
    <t xml:space="preserve">1231</t>
  </si>
  <si>
    <t xml:space="preserve">坏账准备</t>
  </si>
  <si>
    <t xml:space="preserve">贷</t>
  </si>
  <si>
    <t xml:space="preserve">非现金</t>
  </si>
  <si>
    <t xml:space="preserve">营业外收入</t>
  </si>
  <si>
    <t xml:space="preserve">6301</t>
  </si>
  <si>
    <t xml:space="preserve">1401</t>
  </si>
  <si>
    <t xml:space="preserve">材料采购</t>
  </si>
  <si>
    <t xml:space="preserve">存货</t>
  </si>
  <si>
    <t xml:space="preserve">处置固定资产收入</t>
  </si>
  <si>
    <t xml:space="preserve">1606</t>
  </si>
  <si>
    <t xml:space="preserve">处置固定资产收回的现金净额</t>
  </si>
  <si>
    <t xml:space="preserve">1402</t>
  </si>
  <si>
    <t xml:space="preserve">在途物资</t>
  </si>
  <si>
    <t xml:space="preserve">股东投入</t>
  </si>
  <si>
    <t xml:space="preserve">4001</t>
  </si>
  <si>
    <t xml:space="preserve">吸收投资收到的现金</t>
  </si>
  <si>
    <t xml:space="preserve">1403</t>
  </si>
  <si>
    <t xml:space="preserve">原材料</t>
  </si>
  <si>
    <t xml:space="preserve">商品</t>
  </si>
  <si>
    <t xml:space="preserve">取得借款</t>
  </si>
  <si>
    <t xml:space="preserve">2001</t>
  </si>
  <si>
    <t xml:space="preserve">取得借款收到的现金</t>
  </si>
  <si>
    <t xml:space="preserve">1405</t>
  </si>
  <si>
    <t xml:space="preserve">库存商品</t>
  </si>
  <si>
    <t xml:space="preserve">收到投资收益</t>
  </si>
  <si>
    <t xml:space="preserve">6111</t>
  </si>
  <si>
    <t xml:space="preserve">取得投资收益收到的现金</t>
  </si>
  <si>
    <t xml:space="preserve">1406</t>
  </si>
  <si>
    <t xml:space="preserve">发出商品</t>
  </si>
  <si>
    <t xml:space="preserve">支出</t>
  </si>
  <si>
    <t xml:space="preserve">供应商付款</t>
  </si>
  <si>
    <t xml:space="preserve">2202</t>
  </si>
  <si>
    <t xml:space="preserve">购买商品、接受劳务支付的现金</t>
  </si>
  <si>
    <t xml:space="preserve">1408</t>
  </si>
  <si>
    <t xml:space="preserve">委托加工物资</t>
  </si>
  <si>
    <t xml:space="preserve">预付货款</t>
  </si>
  <si>
    <t xml:space="preserve">1411</t>
  </si>
  <si>
    <t xml:space="preserve">周转材料</t>
  </si>
  <si>
    <t xml:space="preserve">现购材料商品</t>
  </si>
  <si>
    <t xml:space="preserve">1471</t>
  </si>
  <si>
    <t xml:space="preserve">存货跌价准备</t>
  </si>
  <si>
    <t xml:space="preserve">工资发放</t>
  </si>
  <si>
    <t xml:space="preserve">2211</t>
  </si>
  <si>
    <t xml:space="preserve">支付给职工以及为职工支付的现金</t>
  </si>
  <si>
    <t xml:space="preserve">1501</t>
  </si>
  <si>
    <t xml:space="preserve">债权投资</t>
  </si>
  <si>
    <t xml:space="preserve">社保公积金</t>
  </si>
  <si>
    <t xml:space="preserve">1511</t>
  </si>
  <si>
    <t xml:space="preserve">长期股权投资</t>
  </si>
  <si>
    <t xml:space="preserve">劳务派遣费</t>
  </si>
  <si>
    <t xml:space="preserve">6602</t>
  </si>
  <si>
    <t xml:space="preserve">1521</t>
  </si>
  <si>
    <t xml:space="preserve">投资性房地产</t>
  </si>
  <si>
    <t xml:space="preserve">税费缴纳</t>
  </si>
  <si>
    <t xml:space="preserve">2221</t>
  </si>
  <si>
    <t xml:space="preserve">支付的各项税费</t>
  </si>
  <si>
    <t xml:space="preserve">1601</t>
  </si>
  <si>
    <t xml:space="preserve">固定资产</t>
  </si>
  <si>
    <t xml:space="preserve">房租物业</t>
  </si>
  <si>
    <t xml:space="preserve">支付的其他与经营活动有关的现金</t>
  </si>
  <si>
    <t xml:space="preserve">1602</t>
  </si>
  <si>
    <t xml:space="preserve">累计折旧</t>
  </si>
  <si>
    <t xml:space="preserve">水电燃气费</t>
  </si>
  <si>
    <t xml:space="preserve">1604</t>
  </si>
  <si>
    <t xml:space="preserve">在建工程</t>
  </si>
  <si>
    <t xml:space="preserve">办公费</t>
  </si>
  <si>
    <t xml:space="preserve">固定资产清理</t>
  </si>
  <si>
    <t xml:space="preserve">差旅费</t>
  </si>
  <si>
    <t xml:space="preserve">1701</t>
  </si>
  <si>
    <t xml:space="preserve">无形资产</t>
  </si>
  <si>
    <t xml:space="preserve">业务招待费</t>
  </si>
  <si>
    <t xml:space="preserve">1702</t>
  </si>
  <si>
    <t xml:space="preserve">累计摊销</t>
  </si>
  <si>
    <t xml:space="preserve">通讯费</t>
  </si>
  <si>
    <t xml:space="preserve">1801</t>
  </si>
  <si>
    <t xml:space="preserve">长期待摊费用</t>
  </si>
  <si>
    <t xml:space="preserve">修理费</t>
  </si>
  <si>
    <t xml:space="preserve">1811</t>
  </si>
  <si>
    <t xml:space="preserve">递延所得税资产</t>
  </si>
  <si>
    <t xml:space="preserve">低值易耗品</t>
  </si>
  <si>
    <t xml:space="preserve">1901</t>
  </si>
  <si>
    <t xml:space="preserve">待处理财产损溢</t>
  </si>
  <si>
    <t xml:space="preserve">其他流动资产</t>
  </si>
  <si>
    <t xml:space="preserve">保险费</t>
  </si>
  <si>
    <t xml:space="preserve">1905</t>
  </si>
  <si>
    <t xml:space="preserve">咨询服务费</t>
  </si>
  <si>
    <t xml:space="preserve">短期借款</t>
  </si>
  <si>
    <t xml:space="preserve">负债</t>
  </si>
  <si>
    <t xml:space="preserve">筹资活动</t>
  </si>
  <si>
    <t xml:space="preserve">折旧摊销以外的管理费用</t>
  </si>
  <si>
    <t xml:space="preserve">2201</t>
  </si>
  <si>
    <t xml:space="preserve">应付票据</t>
  </si>
  <si>
    <t xml:space="preserve">运输物流费</t>
  </si>
  <si>
    <t xml:space="preserve">6601</t>
  </si>
  <si>
    <t xml:space="preserve">应付账款</t>
  </si>
  <si>
    <t xml:space="preserve">广告宣传费</t>
  </si>
  <si>
    <t xml:space="preserve">预收账款</t>
  </si>
  <si>
    <t xml:space="preserve">预收款项</t>
  </si>
  <si>
    <t xml:space="preserve">销售佣金</t>
  </si>
  <si>
    <t xml:space="preserve">应付职工薪酬</t>
  </si>
  <si>
    <t xml:space="preserve">员工</t>
  </si>
  <si>
    <t xml:space="preserve">平台服务费</t>
  </si>
  <si>
    <t xml:space="preserve">应交税费</t>
  </si>
  <si>
    <t xml:space="preserve">研发支出</t>
  </si>
  <si>
    <t xml:space="preserve">6604</t>
  </si>
  <si>
    <t xml:space="preserve">2231</t>
  </si>
  <si>
    <t xml:space="preserve">应付利息</t>
  </si>
  <si>
    <t xml:space="preserve">其他应付款</t>
  </si>
  <si>
    <t xml:space="preserve">银行手续费</t>
  </si>
  <si>
    <t xml:space="preserve">2232</t>
  </si>
  <si>
    <t xml:space="preserve">应付股利</t>
  </si>
  <si>
    <t xml:space="preserve">利息支出</t>
  </si>
  <si>
    <t xml:space="preserve">分配股利、利润或偿付利息支付的现金</t>
  </si>
  <si>
    <t xml:space="preserve">2241</t>
  </si>
  <si>
    <r>
      <rPr>
        <sz val="9"/>
        <color rgb="FF0000C0"/>
        <rFont val="WenQuanYi Zen Hei"/>
        <family val="2"/>
      </rPr>
      <t xml:space="preserve">供应商</t>
    </r>
    <r>
      <rPr>
        <sz val="9"/>
        <color rgb="FF0000C0"/>
        <rFont val="微软雅黑"/>
        <family val="0"/>
        <charset val="1"/>
      </rPr>
      <t xml:space="preserve">/</t>
    </r>
    <r>
      <rPr>
        <sz val="9"/>
        <color rgb="FF0000C0"/>
        <rFont val="WenQuanYi Zen Hei"/>
        <family val="2"/>
      </rPr>
      <t xml:space="preserve">员工</t>
    </r>
  </si>
  <si>
    <t xml:space="preserve">营业外支出</t>
  </si>
  <si>
    <t xml:space="preserve">6711</t>
  </si>
  <si>
    <t xml:space="preserve">2301</t>
  </si>
  <si>
    <t xml:space="preserve">一年内到期的非流动负债</t>
  </si>
  <si>
    <t xml:space="preserve">支付押金保证金</t>
  </si>
  <si>
    <t xml:space="preserve">2401</t>
  </si>
  <si>
    <t xml:space="preserve">递延收益</t>
  </si>
  <si>
    <t xml:space="preserve">借出备用金</t>
  </si>
  <si>
    <t xml:space="preserve">2501</t>
  </si>
  <si>
    <t xml:space="preserve">长期借款</t>
  </si>
  <si>
    <t xml:space="preserve">购置固定资产</t>
  </si>
  <si>
    <t xml:space="preserve">购建固定资产支付的现金</t>
  </si>
  <si>
    <t xml:space="preserve">2701</t>
  </si>
  <si>
    <t xml:space="preserve">长期应付款</t>
  </si>
  <si>
    <t xml:space="preserve">购置无形资产</t>
  </si>
  <si>
    <t xml:space="preserve">购建无形资产支付的现金</t>
  </si>
  <si>
    <t xml:space="preserve">2901</t>
  </si>
  <si>
    <t xml:space="preserve">递延所得税负债</t>
  </si>
  <si>
    <t xml:space="preserve">归还借款</t>
  </si>
  <si>
    <t xml:space="preserve">偿还债务支付的现金</t>
  </si>
  <si>
    <t xml:space="preserve">实收资本</t>
  </si>
  <si>
    <t xml:space="preserve">权益</t>
  </si>
  <si>
    <t xml:space="preserve">股东分红</t>
  </si>
  <si>
    <t xml:space="preserve">4104</t>
  </si>
  <si>
    <t xml:space="preserve">4002</t>
  </si>
  <si>
    <t xml:space="preserve">资本公积</t>
  </si>
  <si>
    <t xml:space="preserve">对外投资</t>
  </si>
  <si>
    <t xml:space="preserve">投资支付的现金</t>
  </si>
  <si>
    <t xml:space="preserve">4101</t>
  </si>
  <si>
    <t xml:space="preserve">盈余公积</t>
  </si>
  <si>
    <t xml:space="preserve">转账</t>
  </si>
  <si>
    <t xml:space="preserve">账户转账</t>
  </si>
  <si>
    <t xml:space="preserve">4103</t>
  </si>
  <si>
    <t xml:space="preserve">本年利润</t>
  </si>
  <si>
    <t xml:space="preserve">利润分配</t>
  </si>
  <si>
    <t xml:space="preserve">5001</t>
  </si>
  <si>
    <t xml:space="preserve">生产成本</t>
  </si>
  <si>
    <t xml:space="preserve">成本</t>
  </si>
  <si>
    <t xml:space="preserve">5101</t>
  </si>
  <si>
    <t xml:space="preserve">制造费用</t>
  </si>
  <si>
    <t xml:space="preserve">部门</t>
  </si>
  <si>
    <t xml:space="preserve">5201</t>
  </si>
  <si>
    <t xml:space="preserve">劳务成本</t>
  </si>
  <si>
    <t xml:space="preserve">主营业务收入</t>
  </si>
  <si>
    <r>
      <rPr>
        <sz val="9"/>
        <color rgb="FF0000C0"/>
        <rFont val="WenQuanYi Zen Hei"/>
        <family val="2"/>
      </rPr>
      <t xml:space="preserve">客户</t>
    </r>
    <r>
      <rPr>
        <sz val="9"/>
        <color rgb="FF0000C0"/>
        <rFont val="微软雅黑"/>
        <family val="0"/>
        <charset val="1"/>
      </rPr>
      <t xml:space="preserve">/</t>
    </r>
    <r>
      <rPr>
        <sz val="9"/>
        <color rgb="FF0000C0"/>
        <rFont val="WenQuanYi Zen Hei"/>
        <family val="2"/>
      </rPr>
      <t xml:space="preserve">商品</t>
    </r>
  </si>
  <si>
    <t xml:space="preserve">投资收益</t>
  </si>
  <si>
    <t xml:space="preserve">6115</t>
  </si>
  <si>
    <t xml:space="preserve">资产处置收益</t>
  </si>
  <si>
    <t xml:space="preserve">其他收益</t>
  </si>
  <si>
    <t xml:space="preserve">6401</t>
  </si>
  <si>
    <t xml:space="preserve">主营业务成本</t>
  </si>
  <si>
    <t xml:space="preserve">费用</t>
  </si>
  <si>
    <t xml:space="preserve">6402</t>
  </si>
  <si>
    <t xml:space="preserve">其他业务成本</t>
  </si>
  <si>
    <t xml:space="preserve">6403</t>
  </si>
  <si>
    <t xml:space="preserve">税金及附加</t>
  </si>
  <si>
    <t xml:space="preserve">销售费用</t>
  </si>
  <si>
    <r>
      <rPr>
        <sz val="9"/>
        <color rgb="FF0000C0"/>
        <rFont val="WenQuanYi Zen Hei"/>
        <family val="2"/>
      </rPr>
      <t xml:space="preserve">部门</t>
    </r>
    <r>
      <rPr>
        <sz val="9"/>
        <color rgb="FF0000C0"/>
        <rFont val="微软雅黑"/>
        <family val="0"/>
        <charset val="1"/>
      </rPr>
      <t xml:space="preserve">/</t>
    </r>
    <r>
      <rPr>
        <sz val="9"/>
        <color rgb="FF0000C0"/>
        <rFont val="WenQuanYi Zen Hei"/>
        <family val="2"/>
      </rPr>
      <t xml:space="preserve">员工</t>
    </r>
  </si>
  <si>
    <t xml:space="preserve">管理费用</t>
  </si>
  <si>
    <t xml:space="preserve">财务费用</t>
  </si>
  <si>
    <t xml:space="preserve">研发费用</t>
  </si>
  <si>
    <t xml:space="preserve">6701</t>
  </si>
  <si>
    <t xml:space="preserve">资产减值损失</t>
  </si>
  <si>
    <t xml:space="preserve">6702</t>
  </si>
  <si>
    <t xml:space="preserve">信用减值损失</t>
  </si>
  <si>
    <t xml:space="preserve">6801</t>
  </si>
  <si>
    <t xml:space="preserve">所得税费用</t>
  </si>
  <si>
    <t xml:space="preserve">提示：「对方科目」是这笔钱的另一半。收入类＝钱从哪来，支出类＝钱花到哪个科目。</t>
  </si>
  <si>
    <t xml:space="preserve">提示：新增科目请接着往下填，并填好【资产负债表项目】或【利润表项目】，否则该科目不会出现在报表上。</t>
  </si>
  <si>
    <r>
      <rPr>
        <sz val="8"/>
        <color rgb="FF808080"/>
        <rFont val="WenQuanYi Zen Hei"/>
        <family val="2"/>
      </rPr>
      <t xml:space="preserve">颜色约定：淡黄色＝手工录入　｜　白色 </t>
    </r>
    <r>
      <rPr>
        <sz val="8"/>
        <color rgb="FF808080"/>
        <rFont val="微软雅黑"/>
        <family val="0"/>
        <charset val="1"/>
      </rPr>
      <t xml:space="preserve">/ </t>
    </r>
    <r>
      <rPr>
        <sz val="8"/>
        <color rgb="FF808080"/>
        <rFont val="WenQuanYi Zen Hei"/>
        <family val="2"/>
      </rPr>
      <t xml:space="preserve">灰色＝公式自动计算，请勿覆盖　｜　绿色字＝引用其他工作表，改动会连锁出错。整行删除会破坏结构，清空请选中后按 </t>
    </r>
    <r>
      <rPr>
        <sz val="8"/>
        <color rgb="FF808080"/>
        <rFont val="微软雅黑"/>
        <family val="0"/>
        <charset val="1"/>
      </rPr>
      <t xml:space="preserve">Delete</t>
    </r>
    <r>
      <rPr>
        <sz val="8"/>
        <color rgb="FF808080"/>
        <rFont val="WenQuanYi Zen Hei"/>
        <family val="2"/>
      </rPr>
      <t xml:space="preserve">。</t>
    </r>
  </si>
  <si>
    <t xml:space="preserve">基础资料</t>
  </si>
  <si>
    <t xml:space="preserve">所有下拉都来自这里。要停用某个档案请把【状态】改成停用，不要删除整行——本表六个区共用行号，删行会同时删掉其他区的档案。</t>
  </si>
  <si>
    <t xml:space="preserve">① 资金账户</t>
  </si>
  <si>
    <t xml:space="preserve">② 部门</t>
  </si>
  <si>
    <t xml:space="preserve">③ 员工</t>
  </si>
  <si>
    <r>
      <rPr>
        <b val="true"/>
        <sz val="9"/>
        <color rgb="FF1F3864"/>
        <rFont val="WenQuanYi Zen Hei"/>
        <family val="2"/>
      </rPr>
      <t xml:space="preserve">④ 商品 </t>
    </r>
    <r>
      <rPr>
        <b val="true"/>
        <sz val="9"/>
        <color rgb="FF1F3864"/>
        <rFont val="微软雅黑"/>
        <family val="0"/>
        <charset val="1"/>
      </rPr>
      <t xml:space="preserve">/ </t>
    </r>
    <r>
      <rPr>
        <b val="true"/>
        <sz val="9"/>
        <color rgb="FF1F3864"/>
        <rFont val="WenQuanYi Zen Hei"/>
        <family val="2"/>
      </rPr>
      <t xml:space="preserve">材料 </t>
    </r>
    <r>
      <rPr>
        <b val="true"/>
        <sz val="9"/>
        <color rgb="FF1F3864"/>
        <rFont val="微软雅黑"/>
        <family val="0"/>
        <charset val="1"/>
      </rPr>
      <t xml:space="preserve">/ </t>
    </r>
    <r>
      <rPr>
        <b val="true"/>
        <sz val="9"/>
        <color rgb="FF1F3864"/>
        <rFont val="WenQuanYi Zen Hei"/>
        <family val="2"/>
      </rPr>
      <t xml:space="preserve">服务</t>
    </r>
  </si>
  <si>
    <t xml:space="preserve">⑤ 客户</t>
  </si>
  <si>
    <t xml:space="preserve">⑥ 供应商</t>
  </si>
  <si>
    <t xml:space="preserve">账户名称</t>
  </si>
  <si>
    <t xml:space="preserve">账户类型</t>
  </si>
  <si>
    <t xml:space="preserve">资金科目
编码</t>
  </si>
  <si>
    <t xml:space="preserve">状态</t>
  </si>
  <si>
    <t xml:space="preserve">备注</t>
  </si>
  <si>
    <t xml:space="preserve">部门名称</t>
  </si>
  <si>
    <t xml:space="preserve">姓名</t>
  </si>
  <si>
    <t xml:space="preserve">所属部门</t>
  </si>
  <si>
    <t xml:space="preserve">岗位</t>
  </si>
  <si>
    <t xml:space="preserve">商品编号</t>
  </si>
  <si>
    <t xml:space="preserve">商品名称</t>
  </si>
  <si>
    <t xml:space="preserve">规格型号</t>
  </si>
  <si>
    <t xml:space="preserve">单位</t>
  </si>
  <si>
    <t xml:space="preserve">参考售价</t>
  </si>
  <si>
    <t xml:space="preserve">参考成本</t>
  </si>
  <si>
    <t xml:space="preserve">是否
存货</t>
  </si>
  <si>
    <t xml:space="preserve">客户编号</t>
  </si>
  <si>
    <t xml:space="preserve">客户名称</t>
  </si>
  <si>
    <t xml:space="preserve">业务员</t>
  </si>
  <si>
    <r>
      <rPr>
        <b val="true"/>
        <sz val="9"/>
        <color rgb="FFFFFFFF"/>
        <rFont val="WenQuanYi Zen Hei"/>
        <family val="2"/>
      </rPr>
      <t xml:space="preserve">账期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天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</si>
  <si>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供应商编号</t>
  </si>
  <si>
    <t xml:space="preserve">供应商名称</t>
  </si>
  <si>
    <t xml:space="preserve">采购员</t>
  </si>
  <si>
    <t xml:space="preserve">现金</t>
  </si>
  <si>
    <t xml:space="preserve">正常</t>
  </si>
  <si>
    <t xml:space="preserve">销售部</t>
  </si>
  <si>
    <t xml:space="preserve">张伟</t>
  </si>
  <si>
    <t xml:space="preserve">销售</t>
  </si>
  <si>
    <t xml:space="preserve">P001</t>
  </si>
  <si>
    <r>
      <rPr>
        <sz val="9"/>
        <color rgb="FF0000C0"/>
        <rFont val="微软雅黑"/>
        <family val="0"/>
        <charset val="1"/>
      </rPr>
      <t xml:space="preserve">A</t>
    </r>
    <r>
      <rPr>
        <sz val="9"/>
        <color rgb="FF0000C0"/>
        <rFont val="WenQuanYi Zen Hei"/>
        <family val="2"/>
      </rPr>
      <t xml:space="preserve">型配件</t>
    </r>
  </si>
  <si>
    <t xml:space="preserve">A-01</t>
  </si>
  <si>
    <t xml:space="preserve">个</t>
  </si>
  <si>
    <t xml:space="preserve">是</t>
  </si>
  <si>
    <t xml:space="preserve">C001</t>
  </si>
  <si>
    <t xml:space="preserve">示例客户甲</t>
  </si>
  <si>
    <t xml:space="preserve">S001</t>
  </si>
  <si>
    <t xml:space="preserve">示例供应商甲</t>
  </si>
  <si>
    <t xml:space="preserve">李娜</t>
  </si>
  <si>
    <t xml:space="preserve">工商银行</t>
  </si>
  <si>
    <t xml:space="preserve">银行</t>
  </si>
  <si>
    <t xml:space="preserve">采购部</t>
  </si>
  <si>
    <t xml:space="preserve">采购</t>
  </si>
  <si>
    <t xml:space="preserve">P002</t>
  </si>
  <si>
    <r>
      <rPr>
        <sz val="9"/>
        <color rgb="FF0000C0"/>
        <rFont val="微软雅黑"/>
        <family val="0"/>
        <charset val="1"/>
      </rPr>
      <t xml:space="preserve">B</t>
    </r>
    <r>
      <rPr>
        <sz val="9"/>
        <color rgb="FF0000C0"/>
        <rFont val="WenQuanYi Zen Hei"/>
        <family val="2"/>
      </rPr>
      <t xml:space="preserve">型配件</t>
    </r>
  </si>
  <si>
    <t xml:space="preserve">B-02</t>
  </si>
  <si>
    <t xml:space="preserve">C002</t>
  </si>
  <si>
    <t xml:space="preserve">示例客户乙</t>
  </si>
  <si>
    <t xml:space="preserve">S002</t>
  </si>
  <si>
    <t xml:space="preserve">示例供应商乙</t>
  </si>
  <si>
    <t xml:space="preserve">支付宝</t>
  </si>
  <si>
    <t xml:space="preserve">第三方</t>
  </si>
  <si>
    <t xml:space="preserve">财务部</t>
  </si>
  <si>
    <t xml:space="preserve">王强</t>
  </si>
  <si>
    <t xml:space="preserve">会计</t>
  </si>
  <si>
    <t xml:space="preserve">P003</t>
  </si>
  <si>
    <r>
      <rPr>
        <sz val="9"/>
        <color rgb="FF0000C0"/>
        <rFont val="微软雅黑"/>
        <family val="0"/>
        <charset val="1"/>
      </rPr>
      <t xml:space="preserve">C</t>
    </r>
    <r>
      <rPr>
        <sz val="9"/>
        <color rgb="FF0000C0"/>
        <rFont val="WenQuanYi Zen Hei"/>
        <family val="2"/>
      </rPr>
      <t xml:space="preserve">型组件</t>
    </r>
  </si>
  <si>
    <t xml:space="preserve">C-10</t>
  </si>
  <si>
    <t xml:space="preserve">套</t>
  </si>
  <si>
    <t xml:space="preserve">C003</t>
  </si>
  <si>
    <t xml:space="preserve">示例客户丙</t>
  </si>
  <si>
    <t xml:space="preserve">微信</t>
  </si>
  <si>
    <t xml:space="preserve">行政部</t>
  </si>
  <si>
    <t xml:space="preserve">赵敏</t>
  </si>
  <si>
    <t xml:space="preserve">行政</t>
  </si>
  <si>
    <t xml:space="preserve">F001</t>
  </si>
  <si>
    <t xml:space="preserve">安装服务</t>
  </si>
  <si>
    <t xml:space="preserve">次</t>
  </si>
  <si>
    <t xml:space="preserve">否</t>
  </si>
  <si>
    <t xml:space="preserve">期初数据（启用时录一次）</t>
  </si>
  <si>
    <t xml:space="preserve">只录启用日的资产、负债、所有者权益余额。本年已发生的收入和费用请到【其他凭证】按月补录，不要录在这里，否则资产负债表会不平。</t>
  </si>
  <si>
    <t xml:space="preserve">平衡校验：</t>
  </si>
  <si>
    <r>
      <rPr>
        <sz val="8"/>
        <color rgb="FF808080"/>
        <rFont val="WenQuanYi Zen Hei"/>
        <family val="2"/>
      </rPr>
      <t xml:space="preserve">明细合计</t>
    </r>
    <r>
      <rPr>
        <sz val="8"/>
        <color rgb="FF808080"/>
        <rFont val="微软雅黑"/>
        <family val="0"/>
        <charset val="1"/>
      </rPr>
      <t xml:space="preserve">·</t>
    </r>
    <r>
      <rPr>
        <sz val="8"/>
        <color rgb="FF808080"/>
        <rFont val="WenQuanYi Zen Hei"/>
        <family val="2"/>
      </rPr>
      <t xml:space="preserve">资金</t>
    </r>
  </si>
  <si>
    <r>
      <rPr>
        <sz val="8"/>
        <color rgb="FF808080"/>
        <rFont val="WenQuanYi Zen Hei"/>
        <family val="2"/>
      </rPr>
      <t xml:space="preserve">明细合计</t>
    </r>
    <r>
      <rPr>
        <sz val="8"/>
        <color rgb="FF808080"/>
        <rFont val="微软雅黑"/>
        <family val="0"/>
        <charset val="1"/>
      </rPr>
      <t xml:space="preserve">·</t>
    </r>
    <r>
      <rPr>
        <sz val="8"/>
        <color rgb="FF808080"/>
        <rFont val="WenQuanYi Zen Hei"/>
        <family val="2"/>
      </rPr>
      <t xml:space="preserve">应收</t>
    </r>
  </si>
  <si>
    <r>
      <rPr>
        <sz val="8"/>
        <color rgb="FF808080"/>
        <rFont val="WenQuanYi Zen Hei"/>
        <family val="2"/>
      </rPr>
      <t xml:space="preserve">明细合计</t>
    </r>
    <r>
      <rPr>
        <sz val="8"/>
        <color rgb="FF808080"/>
        <rFont val="微软雅黑"/>
        <family val="0"/>
        <charset val="1"/>
      </rPr>
      <t xml:space="preserve">·</t>
    </r>
    <r>
      <rPr>
        <sz val="8"/>
        <color rgb="FF808080"/>
        <rFont val="WenQuanYi Zen Hei"/>
        <family val="2"/>
      </rPr>
      <t xml:space="preserve">应付</t>
    </r>
  </si>
  <si>
    <r>
      <rPr>
        <sz val="8"/>
        <color rgb="FF808080"/>
        <rFont val="WenQuanYi Zen Hei"/>
        <family val="2"/>
      </rPr>
      <t xml:space="preserve">明细合计</t>
    </r>
    <r>
      <rPr>
        <sz val="8"/>
        <color rgb="FF808080"/>
        <rFont val="微软雅黑"/>
        <family val="0"/>
        <charset val="1"/>
      </rPr>
      <t xml:space="preserve">·</t>
    </r>
    <r>
      <rPr>
        <sz val="8"/>
        <color rgb="FF808080"/>
        <rFont val="WenQuanYi Zen Hei"/>
        <family val="2"/>
      </rPr>
      <t xml:space="preserve">存货</t>
    </r>
  </si>
  <si>
    <t xml:space="preserve">科目借方合计</t>
  </si>
  <si>
    <t xml:space="preserve">科目贷方合计</t>
  </si>
  <si>
    <t xml:space="preserve">① 资金期初</t>
  </si>
  <si>
    <t xml:space="preserve">② 应收期初</t>
  </si>
  <si>
    <t xml:space="preserve">③ 应付期初</t>
  </si>
  <si>
    <t xml:space="preserve">④ 存货期初</t>
  </si>
  <si>
    <t xml:space="preserve">⑤ 会计科目期初（总账口径，必须借贷相等）</t>
  </si>
  <si>
    <t xml:space="preserve">账户</t>
  </si>
  <si>
    <t xml:space="preserve">期初余额</t>
  </si>
  <si>
    <t xml:space="preserve">原业务日期</t>
  </si>
  <si>
    <t xml:space="preserve">期初应收</t>
  </si>
  <si>
    <t xml:space="preserve">期初应付</t>
  </si>
  <si>
    <t xml:space="preserve">规格</t>
  </si>
  <si>
    <t xml:space="preserve">期初数量</t>
  </si>
  <si>
    <t xml:space="preserve">期初单位成本</t>
  </si>
  <si>
    <t xml:space="preserve">期初金额</t>
  </si>
  <si>
    <t xml:space="preserve">方向</t>
  </si>
  <si>
    <t xml:space="preserve">期初借方</t>
  </si>
  <si>
    <t xml:space="preserve">期初贷方</t>
  </si>
  <si>
    <r>
      <rPr>
        <sz val="8"/>
        <color rgb="FF808080"/>
        <rFont val="WenQuanYi Zen Hei"/>
        <family val="2"/>
      </rPr>
      <t xml:space="preserve">损益类科目（</t>
    </r>
    <r>
      <rPr>
        <sz val="8"/>
        <color rgb="FF808080"/>
        <rFont val="微软雅黑"/>
        <family val="0"/>
        <charset val="1"/>
      </rPr>
      <t xml:space="preserve">6xxx / 5xxx</t>
    </r>
    <r>
      <rPr>
        <sz val="8"/>
        <color rgb="FF808080"/>
        <rFont val="WenQuanYi Zen Hei"/>
        <family val="2"/>
      </rPr>
      <t xml:space="preserve">）不要填期初。</t>
    </r>
  </si>
  <si>
    <t xml:space="preserve">资金流水</t>
  </si>
  <si>
    <t xml:space="preserve">所有实际收到、付出的钱只在这里登记一次。每一行自动生成一借一贷，借贷天然相等。</t>
  </si>
  <si>
    <r>
      <rPr>
        <b val="true"/>
        <sz val="9"/>
        <color rgb="FF1F3864"/>
        <rFont val="WenQuanYi Zen Hei"/>
        <family val="2"/>
      </rPr>
      <t xml:space="preserve">录入区 </t>
    </r>
    <r>
      <rPr>
        <b val="true"/>
        <sz val="9"/>
        <color rgb="FF1F3864"/>
        <rFont val="微软雅黑"/>
        <family val="0"/>
        <charset val="1"/>
      </rPr>
      <t xml:space="preserve">· </t>
    </r>
    <r>
      <rPr>
        <b val="true"/>
        <sz val="9"/>
        <color rgb="FF1F3864"/>
        <rFont val="WenQuanYi Zen Hei"/>
        <family val="2"/>
      </rPr>
      <t xml:space="preserve">黄色格子手工填写</t>
    </r>
  </si>
  <si>
    <r>
      <rPr>
        <b val="true"/>
        <sz val="9"/>
        <color rgb="FF1F3864"/>
        <rFont val="WenQuanYi Zen Hei"/>
        <family val="2"/>
      </rPr>
      <t xml:space="preserve">系统自动计算区 </t>
    </r>
    <r>
      <rPr>
        <b val="true"/>
        <sz val="9"/>
        <color rgb="FF1F3864"/>
        <rFont val="微软雅黑"/>
        <family val="0"/>
        <charset val="1"/>
      </rPr>
      <t xml:space="preserve">· </t>
    </r>
    <r>
      <rPr>
        <b val="true"/>
        <sz val="9"/>
        <color rgb="FF1F3864"/>
        <rFont val="WenQuanYi Zen Hei"/>
        <family val="2"/>
      </rPr>
      <t xml:space="preserve">请勿修改</t>
    </r>
  </si>
  <si>
    <t xml:space="preserve">单据编号</t>
  </si>
  <si>
    <t xml:space="preserve">日期</t>
  </si>
  <si>
    <t xml:space="preserve">月份</t>
  </si>
  <si>
    <r>
      <rPr>
        <b val="true"/>
        <sz val="9"/>
        <color rgb="FFFFFFFF"/>
        <rFont val="WenQuanYi Zen Hei"/>
        <family val="2"/>
      </rPr>
      <t xml:space="preserve">往来单位 </t>
    </r>
    <r>
      <rPr>
        <b val="true"/>
        <sz val="9"/>
        <color rgb="FFFFFFFF"/>
        <rFont val="微软雅黑"/>
        <family val="0"/>
        <charset val="1"/>
      </rPr>
      <t xml:space="preserve">/
</t>
    </r>
    <r>
      <rPr>
        <b val="true"/>
        <sz val="9"/>
        <color rgb="FFFFFFFF"/>
        <rFont val="WenQuanYi Zen Hei"/>
        <family val="2"/>
      </rPr>
      <t xml:space="preserve">转入账户</t>
    </r>
  </si>
  <si>
    <t xml:space="preserve">摘要</t>
  </si>
  <si>
    <t xml:space="preserve">收入金额</t>
  </si>
  <si>
    <t xml:space="preserve">支出金额</t>
  </si>
  <si>
    <t xml:space="preserve">校验</t>
  </si>
  <si>
    <t xml:space="preserve">发生金额</t>
  </si>
  <si>
    <t xml:space="preserve">借方科目</t>
  </si>
  <si>
    <t xml:space="preserve">贷方科目</t>
  </si>
  <si>
    <t xml:space="preserve">该账户余额</t>
  </si>
  <si>
    <t xml:space="preserve">对方科目</t>
  </si>
  <si>
    <t xml:space="preserve">本账户
资金科目</t>
  </si>
  <si>
    <t xml:space="preserve">转入账户
资金科目</t>
  </si>
  <si>
    <t xml:space="preserve">对账
序号</t>
  </si>
  <si>
    <t xml:space="preserve">收甲客户货款</t>
  </si>
  <si>
    <t xml:space="preserve">买文具</t>
  </si>
  <si>
    <t xml:space="preserve">付甲供应商</t>
  </si>
  <si>
    <r>
      <rPr>
        <sz val="9"/>
        <color rgb="FF0000C0"/>
        <rFont val="微软雅黑"/>
        <family val="0"/>
        <charset val="1"/>
      </rPr>
      <t xml:space="preserve">1</t>
    </r>
    <r>
      <rPr>
        <sz val="9"/>
        <color rgb="FF0000C0"/>
        <rFont val="WenQuanYi Zen Hei"/>
        <family val="2"/>
      </rPr>
      <t xml:space="preserve">月房租</t>
    </r>
  </si>
  <si>
    <t xml:space="preserve">发上月工资</t>
  </si>
  <si>
    <t xml:space="preserve">收乙客户货款</t>
  </si>
  <si>
    <t xml:space="preserve">提现备用</t>
  </si>
  <si>
    <t xml:space="preserve">销售录入</t>
  </si>
  <si>
    <t xml:space="preserve">所有对外销售（含赊销、现销）都在这里登记一次；客户什么时候把钱打过来，到【资金流水】登记「客户回款」。</t>
  </si>
  <si>
    <r>
      <rPr>
        <b val="true"/>
        <sz val="9"/>
        <color rgb="FFFFFFFF"/>
        <rFont val="WenQuanYi Zen Hei"/>
        <family val="2"/>
      </rPr>
      <t xml:space="preserve">商品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服务</t>
    </r>
  </si>
  <si>
    <t xml:space="preserve">数量</t>
  </si>
  <si>
    <r>
      <rPr>
        <b val="true"/>
        <sz val="9"/>
        <color rgb="FFFFFFFF"/>
        <rFont val="WenQuanYi Zen Hei"/>
        <family val="2"/>
      </rPr>
      <t xml:space="preserve">单价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不含税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</si>
  <si>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税率</t>
  </si>
  <si>
    <t xml:space="preserve">不含税金额</t>
  </si>
  <si>
    <t xml:space="preserve">销项税额</t>
  </si>
  <si>
    <t xml:space="preserve">价税合计</t>
  </si>
  <si>
    <r>
      <rPr>
        <b val="true"/>
        <sz val="9"/>
        <color rgb="FF1F3864"/>
        <rFont val="WenQuanYi Zen Hei"/>
        <family val="2"/>
      </rPr>
      <t xml:space="preserve">单位成本
</t>
    </r>
    <r>
      <rPr>
        <b val="true"/>
        <sz val="9"/>
        <color rgb="FF1F3864"/>
        <rFont val="微软雅黑"/>
        <family val="0"/>
        <charset val="1"/>
      </rPr>
      <t xml:space="preserve">(</t>
    </r>
    <r>
      <rPr>
        <b val="true"/>
        <sz val="9"/>
        <color rgb="FF1F3864"/>
        <rFont val="WenQuanYi Zen Hei"/>
        <family val="2"/>
      </rPr>
      <t xml:space="preserve">移动加权</t>
    </r>
    <r>
      <rPr>
        <b val="true"/>
        <sz val="9"/>
        <color rgb="FF1F3864"/>
        <rFont val="微软雅黑"/>
        <family val="0"/>
        <charset val="1"/>
      </rPr>
      <t xml:space="preserve">)</t>
    </r>
  </si>
  <si>
    <t xml:space="preserve">毛利</t>
  </si>
  <si>
    <t xml:space="preserve">到期日</t>
  </si>
  <si>
    <r>
      <rPr>
        <b val="true"/>
        <sz val="9"/>
        <color rgb="FF1F3864"/>
        <rFont val="WenQuanYi Zen Hei"/>
        <family val="2"/>
      </rPr>
      <t xml:space="preserve">借</t>
    </r>
    <r>
      <rPr>
        <b val="true"/>
        <sz val="9"/>
        <color rgb="FF1F3864"/>
        <rFont val="微软雅黑"/>
        <family val="0"/>
        <charset val="1"/>
      </rPr>
      <t xml:space="preserve">1</t>
    </r>
  </si>
  <si>
    <r>
      <rPr>
        <b val="true"/>
        <sz val="9"/>
        <color rgb="FF1F3864"/>
        <rFont val="WenQuanYi Zen Hei"/>
        <family val="2"/>
      </rPr>
      <t xml:space="preserve">贷</t>
    </r>
    <r>
      <rPr>
        <b val="true"/>
        <sz val="9"/>
        <color rgb="FF1F3864"/>
        <rFont val="微软雅黑"/>
        <family val="0"/>
        <charset val="1"/>
      </rPr>
      <t xml:space="preserve">1</t>
    </r>
  </si>
  <si>
    <r>
      <rPr>
        <b val="true"/>
        <sz val="9"/>
        <color rgb="FF1F3864"/>
        <rFont val="WenQuanYi Zen Hei"/>
        <family val="2"/>
      </rPr>
      <t xml:space="preserve">金额</t>
    </r>
    <r>
      <rPr>
        <b val="true"/>
        <sz val="9"/>
        <color rgb="FF1F3864"/>
        <rFont val="微软雅黑"/>
        <family val="0"/>
        <charset val="1"/>
      </rPr>
      <t xml:space="preserve">1</t>
    </r>
  </si>
  <si>
    <r>
      <rPr>
        <b val="true"/>
        <sz val="9"/>
        <color rgb="FF1F3864"/>
        <rFont val="WenQuanYi Zen Hei"/>
        <family val="2"/>
      </rPr>
      <t xml:space="preserve">借</t>
    </r>
    <r>
      <rPr>
        <b val="true"/>
        <sz val="9"/>
        <color rgb="FF1F3864"/>
        <rFont val="微软雅黑"/>
        <family val="0"/>
        <charset val="1"/>
      </rPr>
      <t xml:space="preserve">2</t>
    </r>
  </si>
  <si>
    <r>
      <rPr>
        <b val="true"/>
        <sz val="9"/>
        <color rgb="FF1F3864"/>
        <rFont val="WenQuanYi Zen Hei"/>
        <family val="2"/>
      </rPr>
      <t xml:space="preserve">贷</t>
    </r>
    <r>
      <rPr>
        <b val="true"/>
        <sz val="9"/>
        <color rgb="FF1F3864"/>
        <rFont val="微软雅黑"/>
        <family val="0"/>
        <charset val="1"/>
      </rPr>
      <t xml:space="preserve">2</t>
    </r>
  </si>
  <si>
    <r>
      <rPr>
        <b val="true"/>
        <sz val="9"/>
        <color rgb="FF1F3864"/>
        <rFont val="WenQuanYi Zen Hei"/>
        <family val="2"/>
      </rPr>
      <t xml:space="preserve">金额</t>
    </r>
    <r>
      <rPr>
        <b val="true"/>
        <sz val="9"/>
        <color rgb="FF1F3864"/>
        <rFont val="微软雅黑"/>
        <family val="0"/>
        <charset val="1"/>
      </rPr>
      <t xml:space="preserve">2</t>
    </r>
  </si>
  <si>
    <r>
      <rPr>
        <b val="true"/>
        <sz val="9"/>
        <color rgb="FF1F3864"/>
        <rFont val="WenQuanYi Zen Hei"/>
        <family val="2"/>
      </rPr>
      <t xml:space="preserve">借</t>
    </r>
    <r>
      <rPr>
        <b val="true"/>
        <sz val="9"/>
        <color rgb="FF1F3864"/>
        <rFont val="微软雅黑"/>
        <family val="0"/>
        <charset val="1"/>
      </rPr>
      <t xml:space="preserve">3</t>
    </r>
  </si>
  <si>
    <r>
      <rPr>
        <b val="true"/>
        <sz val="9"/>
        <color rgb="FF1F3864"/>
        <rFont val="WenQuanYi Zen Hei"/>
        <family val="2"/>
      </rPr>
      <t xml:space="preserve">贷</t>
    </r>
    <r>
      <rPr>
        <b val="true"/>
        <sz val="9"/>
        <color rgb="FF1F3864"/>
        <rFont val="微软雅黑"/>
        <family val="0"/>
        <charset val="1"/>
      </rPr>
      <t xml:space="preserve">3</t>
    </r>
  </si>
  <si>
    <r>
      <rPr>
        <b val="true"/>
        <sz val="9"/>
        <color rgb="FF1F3864"/>
        <rFont val="WenQuanYi Zen Hei"/>
        <family val="2"/>
      </rPr>
      <t xml:space="preserve">金额</t>
    </r>
    <r>
      <rPr>
        <b val="true"/>
        <sz val="9"/>
        <color rgb="FF1F3864"/>
        <rFont val="微软雅黑"/>
        <family val="0"/>
        <charset val="1"/>
      </rPr>
      <t xml:space="preserve">3</t>
    </r>
  </si>
  <si>
    <r>
      <rPr>
        <sz val="9"/>
        <color rgb="FF0000C0"/>
        <rFont val="微软雅黑"/>
        <family val="0"/>
        <charset val="1"/>
      </rPr>
      <t xml:space="preserve">1</t>
    </r>
    <r>
      <rPr>
        <sz val="9"/>
        <color rgb="FF0000C0"/>
        <rFont val="WenQuanYi Zen Hei"/>
        <family val="2"/>
      </rPr>
      <t xml:space="preserve">月首单</t>
    </r>
  </si>
  <si>
    <t xml:space="preserve">服务类无库存成本</t>
  </si>
  <si>
    <t xml:space="preserve">采购录入</t>
  </si>
  <si>
    <t xml:space="preserve">所有采购、进货、接受劳务在这里登记一次；实际付款到【资金流水】登记「供应商付款」。不入库的直接费用请把「是否入库」选否并指定费用科目。</t>
  </si>
  <si>
    <r>
      <rPr>
        <b val="true"/>
        <sz val="9"/>
        <color rgb="FFFFFFFF"/>
        <rFont val="WenQuanYi Zen Hei"/>
        <family val="2"/>
      </rPr>
      <t xml:space="preserve">商品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内容</t>
    </r>
  </si>
  <si>
    <t xml:space="preserve">是否
入库</t>
  </si>
  <si>
    <t xml:space="preserve">不入库时
费用科目</t>
  </si>
  <si>
    <t xml:space="preserve">进项税额</t>
  </si>
  <si>
    <t xml:space="preserve">补库</t>
  </si>
  <si>
    <t xml:space="preserve">办公用品</t>
  </si>
  <si>
    <t xml:space="preserve">不入库直接进费用</t>
  </si>
  <si>
    <t xml:space="preserve">其他凭证</t>
  </si>
  <si>
    <t xml:space="preserve">不涉及收付款的账都在这里做：工资社保计提、折旧摊销、税金计提、坏账、年末结转损益、以及任何需要手工调整的分录。一行一借一贷；多借多贷请拆成多行、凭证号填同一个。</t>
  </si>
  <si>
    <t xml:space="preserve">凭证号</t>
  </si>
  <si>
    <t xml:space="preserve">业务类型</t>
  </si>
  <si>
    <t xml:space="preserve">借方科目
编码</t>
  </si>
  <si>
    <t xml:space="preserve">贷方科目
编码</t>
  </si>
  <si>
    <t xml:space="preserve">金额</t>
  </si>
  <si>
    <t xml:space="preserve">借方科目名称</t>
  </si>
  <si>
    <t xml:space="preserve">贷方科目名称</t>
  </si>
  <si>
    <t xml:space="preserve">折旧计提</t>
  </si>
  <si>
    <r>
      <rPr>
        <sz val="9"/>
        <color rgb="FF0000C0"/>
        <rFont val="微软雅黑"/>
        <family val="0"/>
        <charset val="1"/>
      </rPr>
      <t xml:space="preserve">1</t>
    </r>
    <r>
      <rPr>
        <sz val="9"/>
        <color rgb="FF0000C0"/>
        <rFont val="WenQuanYi Zen Hei"/>
        <family val="2"/>
      </rPr>
      <t xml:space="preserve">月固定资产折旧</t>
    </r>
  </si>
  <si>
    <t xml:space="preserve">工资计提</t>
  </si>
  <si>
    <r>
      <rPr>
        <sz val="9"/>
        <color rgb="FF0000C0"/>
        <rFont val="微软雅黑"/>
        <family val="0"/>
        <charset val="1"/>
      </rPr>
      <t xml:space="preserve">1</t>
    </r>
    <r>
      <rPr>
        <sz val="9"/>
        <color rgb="FF0000C0"/>
        <rFont val="WenQuanYi Zen Hei"/>
        <family val="2"/>
      </rPr>
      <t xml:space="preserve">月工资计提</t>
    </r>
  </si>
  <si>
    <t xml:space="preserve">税金计提</t>
  </si>
  <si>
    <r>
      <rPr>
        <sz val="9"/>
        <color rgb="FF0000C0"/>
        <rFont val="微软雅黑"/>
        <family val="0"/>
        <charset val="1"/>
      </rPr>
      <t xml:space="preserve">1</t>
    </r>
    <r>
      <rPr>
        <sz val="9"/>
        <color rgb="FF0000C0"/>
        <rFont val="WenQuanYi Zen Hei"/>
        <family val="2"/>
      </rPr>
      <t xml:space="preserve">月附加税计提</t>
    </r>
  </si>
  <si>
    <t xml:space="preserve">科目余额表</t>
  </si>
  <si>
    <t xml:space="preserve">全部数据由四张录入表自动汇总，没有任何写死的科目清单和年份——新增科目、跨年度都自动生效。每一行业务同时产生一借一贷，所以借贷永远相等。</t>
  </si>
  <si>
    <t xml:space="preserve">本月借方合计</t>
  </si>
  <si>
    <t xml:space="preserve">本月贷方合计</t>
  </si>
  <si>
    <t xml:space="preserve">平衡</t>
  </si>
  <si>
    <t xml:space="preserve">本月借方</t>
  </si>
  <si>
    <t xml:space="preserve">本月贷方</t>
  </si>
  <si>
    <t xml:space="preserve">本年累计
借方</t>
  </si>
  <si>
    <t xml:space="preserve">本年累计
贷方</t>
  </si>
  <si>
    <r>
      <rPr>
        <b val="true"/>
        <sz val="9"/>
        <color rgb="FFFFFFFF"/>
        <rFont val="WenQuanYi Zen Hei"/>
        <family val="2"/>
      </rPr>
      <t xml:space="preserve">期末余额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借正贷负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</si>
  <si>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期末借方</t>
  </si>
  <si>
    <t xml:space="preserve">期末贷方</t>
  </si>
  <si>
    <t xml:space="preserve">合  计</t>
  </si>
  <si>
    <t xml:space="preserve">科目分析（对方科目）</t>
  </si>
  <si>
    <t xml:space="preserve">选一个科目，看它本月的钱是从哪些科目来、又到哪些科目去。查账定位最快的一张表。</t>
  </si>
  <si>
    <t xml:space="preserve">选择科目</t>
  </si>
  <si>
    <r>
      <rPr>
        <b val="true"/>
        <sz val="9"/>
        <color rgb="FFFFFFFF"/>
        <rFont val="WenQuanYi Zen Hei"/>
        <family val="2"/>
      </rPr>
      <t xml:space="preserve">本月借方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本科目增加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</si>
  <si>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本月贷方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本科目减少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</si>
  <si>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净额</t>
  </si>
  <si>
    <t xml:space="preserve">利润表</t>
  </si>
  <si>
    <t xml:space="preserve">按【科目参数】里的「利润表项目」自动归集。收入类取贷方减借方，成本费用类取借方减贷方。</t>
  </si>
  <si>
    <t xml:space="preserve">项    目</t>
  </si>
  <si>
    <t xml:space="preserve">行次</t>
  </si>
  <si>
    <t xml:space="preserve">本月金额</t>
  </si>
  <si>
    <t xml:space="preserve">本年累计</t>
  </si>
  <si>
    <t xml:space="preserve">一、营业收入</t>
  </si>
  <si>
    <t xml:space="preserve">        其中：主营业务收入</t>
  </si>
  <si>
    <t xml:space="preserve">               其他业务收入</t>
  </si>
  <si>
    <t xml:space="preserve">减：营业成本</t>
  </si>
  <si>
    <t xml:space="preserve">        其中：主营业务成本</t>
  </si>
  <si>
    <t xml:space="preserve">               其他业务成本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</si>
  <si>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</si>
  <si>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</si>
  <si>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</si>
  <si>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</si>
  <si>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</si>
  <si>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      资产减值损失</t>
  </si>
  <si>
    <t xml:space="preserve">        信用减值损失</t>
  </si>
  <si>
    <t xml:space="preserve">加：其他收益</t>
  </si>
  <si>
    <t xml:space="preserve">        投资收益</t>
  </si>
  <si>
    <t xml:space="preserve">        资产处置收益</t>
  </si>
  <si>
    <t xml:space="preserve">二、营业利润</t>
  </si>
  <si>
    <t xml:space="preserve">加：营业外收入</t>
  </si>
  <si>
    <t xml:space="preserve">减：营业外支出</t>
  </si>
  <si>
    <t xml:space="preserve">三、利润总额</t>
  </si>
  <si>
    <t xml:space="preserve">减：所得税费用</t>
  </si>
  <si>
    <t xml:space="preserve">四、净利润</t>
  </si>
  <si>
    <t xml:space="preserve">资产负债表</t>
  </si>
  <si>
    <t xml:space="preserve">按【科目参数】里的「资产负债表项目」自动归集。未分配利润＝利润分配类科目余额＋利润表本年净利润，年末做了结转损益也不会重复计算。</t>
  </si>
  <si>
    <t xml:space="preserve">资      产</t>
  </si>
  <si>
    <t xml:space="preserve">期末余额</t>
  </si>
  <si>
    <t xml:space="preserve">年初余额</t>
  </si>
  <si>
    <t xml:space="preserve">负债和所有者权益</t>
  </si>
  <si>
    <t xml:space="preserve">　货币资金</t>
  </si>
  <si>
    <t xml:space="preserve">　短期借款</t>
  </si>
  <si>
    <t xml:space="preserve">　交易性金融资产</t>
  </si>
  <si>
    <t xml:space="preserve">　应付票据</t>
  </si>
  <si>
    <t xml:space="preserve">　应收票据</t>
  </si>
  <si>
    <t xml:space="preserve">　应付账款</t>
  </si>
  <si>
    <t xml:space="preserve">　应收账款</t>
  </si>
  <si>
    <t xml:space="preserve">　预收款项</t>
  </si>
  <si>
    <t xml:space="preserve">　预付款项</t>
  </si>
  <si>
    <t xml:space="preserve">　应付职工薪酬</t>
  </si>
  <si>
    <t xml:space="preserve">　其他应收款</t>
  </si>
  <si>
    <t xml:space="preserve">　应交税费</t>
  </si>
  <si>
    <t xml:space="preserve">　存货</t>
  </si>
  <si>
    <t xml:space="preserve">　其他应付款</t>
  </si>
  <si>
    <t xml:space="preserve">　其他流动资产</t>
  </si>
  <si>
    <t xml:space="preserve">　一年内到期的非流动负债</t>
  </si>
  <si>
    <t xml:space="preserve">流动资产合计</t>
  </si>
  <si>
    <t xml:space="preserve">　其他流动负债</t>
  </si>
  <si>
    <t xml:space="preserve">　债权投资</t>
  </si>
  <si>
    <t xml:space="preserve">流动负债合计</t>
  </si>
  <si>
    <t xml:space="preserve">　长期股权投资</t>
  </si>
  <si>
    <t xml:space="preserve">　长期借款</t>
  </si>
  <si>
    <t xml:space="preserve">　投资性房地产</t>
  </si>
  <si>
    <t xml:space="preserve">　长期应付款</t>
  </si>
  <si>
    <t xml:space="preserve">　固定资产</t>
  </si>
  <si>
    <t xml:space="preserve">　递延收益</t>
  </si>
  <si>
    <t xml:space="preserve">　在建工程</t>
  </si>
  <si>
    <t xml:space="preserve">　递延所得税负债</t>
  </si>
  <si>
    <t xml:space="preserve">　无形资产</t>
  </si>
  <si>
    <t xml:space="preserve">　其他非流动负债</t>
  </si>
  <si>
    <t xml:space="preserve">　长期待摊费用</t>
  </si>
  <si>
    <t xml:space="preserve">非流动负债合计</t>
  </si>
  <si>
    <t xml:space="preserve">　递延所得税资产</t>
  </si>
  <si>
    <t xml:space="preserve">负债合计</t>
  </si>
  <si>
    <t xml:space="preserve">　其他非流动资产</t>
  </si>
  <si>
    <t xml:space="preserve">非流动资产合计</t>
  </si>
  <si>
    <t xml:space="preserve">　实收资本</t>
  </si>
  <si>
    <t xml:space="preserve">　资本公积</t>
  </si>
  <si>
    <t xml:space="preserve">　盈余公积</t>
  </si>
  <si>
    <t xml:space="preserve">　未分配利润</t>
  </si>
  <si>
    <t xml:space="preserve">所有者权益合计</t>
  </si>
  <si>
    <t xml:space="preserve">负债和所有者权益总计</t>
  </si>
  <si>
    <t xml:space="preserve">平 衡 校 验</t>
  </si>
  <si>
    <t xml:space="preserve">年初平衡</t>
  </si>
  <si>
    <t xml:space="preserve">直接法，取自【资金流水】。每一笔收付款按收支科目自动归入现金流量表项目；账户之间的内部转账不计入。</t>
  </si>
  <si>
    <t xml:space="preserve">一、经营活动产生的现金流量</t>
  </si>
  <si>
    <t xml:space="preserve">　　销售商品、提供劳务收到的现金</t>
  </si>
  <si>
    <t xml:space="preserve">　　收到的其他与经营活动有关的现金</t>
  </si>
  <si>
    <t xml:space="preserve">　　　　经营活动现金流入小计</t>
  </si>
  <si>
    <t xml:space="preserve">　　购买商品、接受劳务支付的现金</t>
  </si>
  <si>
    <t xml:space="preserve">　　支付给职工以及为职工支付的现金</t>
  </si>
  <si>
    <t xml:space="preserve">　　支付的各项税费</t>
  </si>
  <si>
    <t xml:space="preserve">　　支付的其他与经营活动有关的现金</t>
  </si>
  <si>
    <t xml:space="preserve">　　　　经营活动现金流出小计</t>
  </si>
  <si>
    <t xml:space="preserve">　　经营活动产生的现金流量净额</t>
  </si>
  <si>
    <t xml:space="preserve">二、投资活动产生的现金流量</t>
  </si>
  <si>
    <t xml:space="preserve">　　处置固定资产收回的现金净额</t>
  </si>
  <si>
    <t xml:space="preserve">　　取得投资收益收到的现金</t>
  </si>
  <si>
    <t xml:space="preserve">　　　　投资活动现金流入小计</t>
  </si>
  <si>
    <t xml:space="preserve">　　购建固定资产支付的现金</t>
  </si>
  <si>
    <t xml:space="preserve">　　购建无形资产支付的现金</t>
  </si>
  <si>
    <t xml:space="preserve">　　投资支付的现金</t>
  </si>
  <si>
    <t xml:space="preserve">　　　　投资活动现金流出小计</t>
  </si>
  <si>
    <t xml:space="preserve">　　投资活动产生的现金流量净额</t>
  </si>
  <si>
    <t xml:space="preserve">三、筹资活动产生的现金流量</t>
  </si>
  <si>
    <t xml:space="preserve">　　吸收投资收到的现金</t>
  </si>
  <si>
    <t xml:space="preserve">　　取得借款收到的现金</t>
  </si>
  <si>
    <t xml:space="preserve">　　　　筹资活动现金流入小计</t>
  </si>
  <si>
    <t xml:space="preserve">　　偿还债务支付的现金</t>
  </si>
  <si>
    <t xml:space="preserve">　　分配股利、利润或偿付利息支付的现金</t>
  </si>
  <si>
    <t xml:space="preserve">　　　　筹资活动现金流出小计</t>
  </si>
  <si>
    <t xml:space="preserve">　　筹资活动产生的现金流量净额</t>
  </si>
  <si>
    <t xml:space="preserve">四、现金及现金等价物净增加额</t>
  </si>
  <si>
    <t xml:space="preserve">　　加：期初现金及现金等价物余额</t>
  </si>
  <si>
    <t xml:space="preserve">五、期末现金及现金等价物余额</t>
  </si>
  <si>
    <t xml:space="preserve">核对：本表「期末现金及现金等价物余额」应等于【账户余额】的期末合计、也等于【资产负债表】的货币资金。三个数不一致时请到【财务勾稽核查】查原因。</t>
  </si>
  <si>
    <t xml:space="preserve">账户余额</t>
  </si>
  <si>
    <t xml:space="preserve">每个资金账户的期初、本月收支、本年累计与期末余额。期末余额合计应与现金流量表、资产负债表货币资金一致。</t>
  </si>
  <si>
    <t xml:space="preserve">类型</t>
  </si>
  <si>
    <r>
      <rPr>
        <b val="true"/>
        <sz val="9"/>
        <color rgb="FFFFFFFF"/>
        <rFont val="WenQuanYi Zen Hei"/>
        <family val="2"/>
      </rPr>
      <t xml:space="preserve">本月收入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含转入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</si>
  <si>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本月支出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含转出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</si>
  <si>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本年收入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含转入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</si>
  <si>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本年支出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含转出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</si>
  <si>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占比</t>
  </si>
  <si>
    <t xml:space="preserve">库存收发存</t>
  </si>
  <si>
    <t xml:space="preserve">数量按「期初＋入库－出库」滚动，金额按「期初金额＋采购金额－结转成本」滚动，所以月末金额与科目余额表的「库存商品」永远一致。</t>
  </si>
  <si>
    <t xml:space="preserve">月初数量</t>
  </si>
  <si>
    <t xml:space="preserve">月初金额</t>
  </si>
  <si>
    <t xml:space="preserve">本月入库
数量</t>
  </si>
  <si>
    <t xml:space="preserve">本月入库
金额</t>
  </si>
  <si>
    <t xml:space="preserve">本月出库
数量</t>
  </si>
  <si>
    <t xml:space="preserve">本月出库
成本</t>
  </si>
  <si>
    <t xml:space="preserve">月末数量</t>
  </si>
  <si>
    <t xml:space="preserve">月末金额</t>
  </si>
  <si>
    <t xml:space="preserve">月末
单位成本</t>
  </si>
  <si>
    <t xml:space="preserve">本月销售额</t>
  </si>
  <si>
    <t xml:space="preserve">毛利率</t>
  </si>
  <si>
    <t xml:space="preserve">预警</t>
  </si>
  <si>
    <t xml:space="preserve">应收跟进</t>
  </si>
  <si>
    <t xml:space="preserve">月末应收＝月初＋本月销售－本月回款；账龄按到期日分桶，回款按最早的单据先冲抵。</t>
  </si>
  <si>
    <t xml:space="preserve">截止日</t>
  </si>
  <si>
    <t xml:space="preserve">月初应收</t>
  </si>
  <si>
    <t xml:space="preserve">本月销售</t>
  </si>
  <si>
    <t xml:space="preserve">本月回款</t>
  </si>
  <si>
    <t xml:space="preserve">月末应收</t>
  </si>
  <si>
    <t xml:space="preserve">未到期</t>
  </si>
  <si>
    <r>
      <rPr>
        <b val="true"/>
        <sz val="9"/>
        <color rgb="FFFFFFFF"/>
        <rFont val="WenQuanYi Zen Hei"/>
        <family val="2"/>
      </rPr>
      <t xml:space="preserve">逾期
</t>
    </r>
    <r>
      <rPr>
        <b val="true"/>
        <sz val="9"/>
        <color rgb="FFFFFFFF"/>
        <rFont val="微软雅黑"/>
        <family val="0"/>
        <charset val="1"/>
      </rPr>
      <t xml:space="preserve">1-30</t>
    </r>
    <r>
      <rPr>
        <b val="true"/>
        <sz val="9"/>
        <color rgb="FFFFFFFF"/>
        <rFont val="WenQuanYi Zen Hei"/>
        <family val="2"/>
      </rPr>
      <t xml:space="preserve">天</t>
    </r>
  </si>
  <si>
    <r>
      <rPr>
        <b val="true"/>
        <sz val="9"/>
        <color rgb="FFFFFFFF"/>
        <rFont val="WenQuanYi Zen Hei"/>
        <family val="2"/>
      </rPr>
      <t xml:space="preserve">逾期
</t>
    </r>
    <r>
      <rPr>
        <b val="true"/>
        <sz val="9"/>
        <color rgb="FFFFFFFF"/>
        <rFont val="微软雅黑"/>
        <family val="0"/>
        <charset val="1"/>
      </rPr>
      <t xml:space="preserve">31-60</t>
    </r>
    <r>
      <rPr>
        <b val="true"/>
        <sz val="9"/>
        <color rgb="FFFFFFFF"/>
        <rFont val="WenQuanYi Zen Hei"/>
        <family val="2"/>
      </rPr>
      <t xml:space="preserve">天</t>
    </r>
  </si>
  <si>
    <r>
      <rPr>
        <b val="true"/>
        <sz val="9"/>
        <color rgb="FFFFFFFF"/>
        <rFont val="WenQuanYi Zen Hei"/>
        <family val="2"/>
      </rPr>
      <t xml:space="preserve">逾期
</t>
    </r>
    <r>
      <rPr>
        <b val="true"/>
        <sz val="9"/>
        <color rgb="FFFFFFFF"/>
        <rFont val="微软雅黑"/>
        <family val="0"/>
        <charset val="1"/>
      </rPr>
      <t xml:space="preserve">61-90</t>
    </r>
    <r>
      <rPr>
        <b val="true"/>
        <sz val="9"/>
        <color rgb="FFFFFFFF"/>
        <rFont val="WenQuanYi Zen Hei"/>
        <family val="2"/>
      </rPr>
      <t xml:space="preserve">天</t>
    </r>
  </si>
  <si>
    <r>
      <rPr>
        <b val="true"/>
        <sz val="9"/>
        <color rgb="FFFFFFFF"/>
        <rFont val="WenQuanYi Zen Hei"/>
        <family val="2"/>
      </rPr>
      <t xml:space="preserve">逾期
</t>
    </r>
    <r>
      <rPr>
        <b val="true"/>
        <sz val="9"/>
        <color rgb="FFFFFFFF"/>
        <rFont val="微软雅黑"/>
        <family val="0"/>
        <charset val="1"/>
      </rPr>
      <t xml:space="preserve">90</t>
    </r>
    <r>
      <rPr>
        <b val="true"/>
        <sz val="9"/>
        <color rgb="FFFFFFFF"/>
        <rFont val="WenQuanYi Zen Hei"/>
        <family val="2"/>
      </rPr>
      <t xml:space="preserve">天以上</t>
    </r>
  </si>
  <si>
    <t xml:space="preserve">逾期合计</t>
  </si>
  <si>
    <t xml:space="preserve">风险
等级</t>
  </si>
  <si>
    <t xml:space="preserve">应付跟进</t>
  </si>
  <si>
    <t xml:space="preserve">月末应付＝月初＋本月采购－本月付款；账龄按到期日分桶，付款按最早的单据先冲抵。</t>
  </si>
  <si>
    <t xml:space="preserve">月初应付</t>
  </si>
  <si>
    <t xml:space="preserve">本月采购</t>
  </si>
  <si>
    <t xml:space="preserve">本月付款</t>
  </si>
  <si>
    <t xml:space="preserve">月末应付</t>
  </si>
  <si>
    <t xml:space="preserve">固定资产台账</t>
  </si>
  <si>
    <r>
      <rPr>
        <sz val="8"/>
        <color rgb="FF808080"/>
        <rFont val="WenQuanYi Zen Hei"/>
        <family val="2"/>
      </rPr>
      <t xml:space="preserve">本表自动算出每月应提折旧。月末请把最下面的「本月折旧合计」按使用部门在【其他凭证】做一笔计提分录（借 管理费用</t>
    </r>
    <r>
      <rPr>
        <sz val="8"/>
        <color rgb="FF808080"/>
        <rFont val="微软雅黑"/>
        <family val="0"/>
        <charset val="1"/>
      </rPr>
      <t xml:space="preserve">/</t>
    </r>
    <r>
      <rPr>
        <sz val="8"/>
        <color rgb="FF808080"/>
        <rFont val="WenQuanYi Zen Hei"/>
        <family val="2"/>
      </rPr>
      <t xml:space="preserve">销售费用 贷 累计折旧）。</t>
    </r>
  </si>
  <si>
    <t xml:space="preserve">资产编号</t>
  </si>
  <si>
    <t xml:space="preserve">资产名称</t>
  </si>
  <si>
    <t xml:space="preserve">使用部门</t>
  </si>
  <si>
    <t xml:space="preserve">购入日期</t>
  </si>
  <si>
    <t xml:space="preserve">原值</t>
  </si>
  <si>
    <t xml:space="preserve">使用
年限</t>
  </si>
  <si>
    <t xml:space="preserve">残值率</t>
  </si>
  <si>
    <t xml:space="preserve">月折旧额</t>
  </si>
  <si>
    <t xml:space="preserve">已提
月数</t>
  </si>
  <si>
    <t xml:space="preserve">账面净值</t>
  </si>
  <si>
    <t xml:space="preserve">GD001</t>
  </si>
  <si>
    <t xml:space="preserve">送货车辆</t>
  </si>
  <si>
    <t xml:space="preserve">运输工具</t>
  </si>
  <si>
    <t xml:space="preserve">本月应计提折旧合计 →</t>
  </si>
  <si>
    <r>
      <rPr>
        <sz val="8"/>
        <color rgb="FF808080"/>
        <rFont val="WenQuanYi Zen Hei"/>
        <family val="2"/>
      </rPr>
      <t xml:space="preserve">请到【其他凭证】做：业务类型「折旧计提」，借方 </t>
    </r>
    <r>
      <rPr>
        <sz val="8"/>
        <color rgb="FF808080"/>
        <rFont val="微软雅黑"/>
        <family val="0"/>
        <charset val="1"/>
      </rPr>
      <t xml:space="preserve">6602 </t>
    </r>
    <r>
      <rPr>
        <sz val="8"/>
        <color rgb="FF808080"/>
        <rFont val="WenQuanYi Zen Hei"/>
        <family val="2"/>
      </rPr>
      <t xml:space="preserve">管理费用（或按部门用 </t>
    </r>
    <r>
      <rPr>
        <sz val="8"/>
        <color rgb="FF808080"/>
        <rFont val="微软雅黑"/>
        <family val="0"/>
        <charset val="1"/>
      </rPr>
      <t xml:space="preserve">6601 </t>
    </r>
    <r>
      <rPr>
        <sz val="8"/>
        <color rgb="FF808080"/>
        <rFont val="WenQuanYi Zen Hei"/>
        <family val="2"/>
      </rPr>
      <t xml:space="preserve">销售费用），贷方 </t>
    </r>
    <r>
      <rPr>
        <sz val="8"/>
        <color rgb="FF808080"/>
        <rFont val="微软雅黑"/>
        <family val="0"/>
        <charset val="1"/>
      </rPr>
      <t xml:space="preserve">1602 </t>
    </r>
    <r>
      <rPr>
        <sz val="8"/>
        <color rgb="FF808080"/>
        <rFont val="WenQuanYi Zen Hei"/>
        <family val="2"/>
      </rPr>
      <t xml:space="preserve">累计折旧。</t>
    </r>
  </si>
  <si>
    <t xml:space="preserve">工资表</t>
  </si>
  <si>
    <t xml:space="preserve">计提用最右边的「单位负担合计」，发放用「实发工资」。两笔分录分别在【其他凭证】（计提）和【资金流水】（发放）登记。</t>
  </si>
  <si>
    <t xml:space="preserve">工资月份</t>
  </si>
  <si>
    <t xml:space="preserve">基本工资</t>
  </si>
  <si>
    <t xml:space="preserve">绩效奖金</t>
  </si>
  <si>
    <t xml:space="preserve">补贴津贴</t>
  </si>
  <si>
    <t xml:space="preserve">应发合计</t>
  </si>
  <si>
    <r>
      <rPr>
        <b val="true"/>
        <sz val="9"/>
        <color rgb="FFFFFFFF"/>
        <rFont val="WenQuanYi Zen Hei"/>
        <family val="2"/>
      </rPr>
      <t xml:space="preserve">社保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个人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</si>
  <si>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公积金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个人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</si>
  <si>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个人所得税</t>
  </si>
  <si>
    <t xml:space="preserve">实发工资</t>
  </si>
  <si>
    <r>
      <rPr>
        <b val="true"/>
        <sz val="9"/>
        <color rgb="FF1F3864"/>
        <rFont val="WenQuanYi Zen Hei"/>
        <family val="2"/>
      </rPr>
      <t xml:space="preserve">社保
</t>
    </r>
    <r>
      <rPr>
        <b val="true"/>
        <sz val="9"/>
        <color rgb="FF1F3864"/>
        <rFont val="微软雅黑"/>
        <family val="0"/>
        <charset val="1"/>
      </rPr>
      <t xml:space="preserve">(</t>
    </r>
    <r>
      <rPr>
        <b val="true"/>
        <sz val="9"/>
        <color rgb="FF1F3864"/>
        <rFont val="WenQuanYi Zen Hei"/>
        <family val="2"/>
      </rPr>
      <t xml:space="preserve">单位</t>
    </r>
    <r>
      <rPr>
        <b val="true"/>
        <sz val="9"/>
        <color rgb="FF1F3864"/>
        <rFont val="微软雅黑"/>
        <family val="0"/>
        <charset val="1"/>
      </rPr>
      <t xml:space="preserve">)</t>
    </r>
  </si>
  <si>
    <r>
      <rPr>
        <b val="true"/>
        <sz val="9"/>
        <color rgb="FF1F3864"/>
        <rFont val="WenQuanYi Zen Hei"/>
        <family val="2"/>
      </rPr>
      <t xml:space="preserve">公积金
</t>
    </r>
    <r>
      <rPr>
        <b val="true"/>
        <sz val="9"/>
        <color rgb="FF1F3864"/>
        <rFont val="微软雅黑"/>
        <family val="0"/>
        <charset val="1"/>
      </rPr>
      <t xml:space="preserve">(</t>
    </r>
    <r>
      <rPr>
        <b val="true"/>
        <sz val="9"/>
        <color rgb="FF1F3864"/>
        <rFont val="WenQuanYi Zen Hei"/>
        <family val="2"/>
      </rPr>
      <t xml:space="preserve">单位</t>
    </r>
    <r>
      <rPr>
        <b val="true"/>
        <sz val="9"/>
        <color rgb="FF1F3864"/>
        <rFont val="微软雅黑"/>
        <family val="0"/>
        <charset val="1"/>
      </rPr>
      <t xml:space="preserve">)</t>
    </r>
  </si>
  <si>
    <t xml:space="preserve">单位负担合计</t>
  </si>
  <si>
    <r>
      <rPr>
        <sz val="8"/>
        <color rgb="FF808080"/>
        <rFont val="WenQuanYi Zen Hei"/>
        <family val="2"/>
      </rPr>
      <t xml:space="preserve">① 月末计提：借 </t>
    </r>
    <r>
      <rPr>
        <sz val="8"/>
        <color rgb="FF808080"/>
        <rFont val="微软雅黑"/>
        <family val="0"/>
        <charset val="1"/>
      </rPr>
      <t xml:space="preserve">6602 </t>
    </r>
    <r>
      <rPr>
        <sz val="8"/>
        <color rgb="FF808080"/>
        <rFont val="WenQuanYi Zen Hei"/>
        <family val="2"/>
      </rPr>
      <t xml:space="preserve">管理费用（按部门也可用 </t>
    </r>
    <r>
      <rPr>
        <sz val="8"/>
        <color rgb="FF808080"/>
        <rFont val="微软雅黑"/>
        <family val="0"/>
        <charset val="1"/>
      </rPr>
      <t xml:space="preserve">6601</t>
    </r>
    <r>
      <rPr>
        <sz val="8"/>
        <color rgb="FF808080"/>
        <rFont val="WenQuanYi Zen Hei"/>
        <family val="2"/>
      </rPr>
      <t xml:space="preserve">）</t>
    </r>
  </si>
  <si>
    <r>
      <rPr>
        <sz val="8"/>
        <color rgb="FF808080"/>
        <rFont val="WenQuanYi Zen Hei"/>
        <family val="2"/>
      </rPr>
      <t xml:space="preserve">贷 </t>
    </r>
    <r>
      <rPr>
        <sz val="8"/>
        <color rgb="FF808080"/>
        <rFont val="微软雅黑"/>
        <family val="0"/>
        <charset val="1"/>
      </rPr>
      <t xml:space="preserve">2211 </t>
    </r>
    <r>
      <rPr>
        <sz val="8"/>
        <color rgb="FF808080"/>
        <rFont val="WenQuanYi Zen Hei"/>
        <family val="2"/>
      </rPr>
      <t xml:space="preserve">应付职工薪酬（同额）→ 记在【其他凭证】，业务类型选「工资计提」</t>
    </r>
  </si>
  <si>
    <r>
      <rPr>
        <sz val="8"/>
        <color rgb="FF808080"/>
        <rFont val="WenQuanYi Zen Hei"/>
        <family val="2"/>
      </rPr>
      <t xml:space="preserve">② 实际发放：借 </t>
    </r>
    <r>
      <rPr>
        <sz val="8"/>
        <color rgb="FF808080"/>
        <rFont val="微软雅黑"/>
        <family val="0"/>
        <charset val="1"/>
      </rPr>
      <t xml:space="preserve">2211 </t>
    </r>
    <r>
      <rPr>
        <sz val="8"/>
        <color rgb="FF808080"/>
        <rFont val="WenQuanYi Zen Hei"/>
        <family val="2"/>
      </rPr>
      <t xml:space="preserve">应付职工薪酬</t>
    </r>
  </si>
  <si>
    <t xml:space="preserve">贷 银行存款 → 记在【资金流水】，收支科目选「工资发放」。代扣的社保个税单独在缴纳时登记。</t>
  </si>
  <si>
    <t xml:space="preserve">客户、供应商、部门、员工四个维度的本月汇总。数据全部来自录入表，与总账同源。</t>
  </si>
  <si>
    <t xml:space="preserve">① 客户</t>
  </si>
  <si>
    <t xml:space="preserve">② 供应商</t>
  </si>
  <si>
    <t xml:space="preserve">③ 部门</t>
  </si>
  <si>
    <t xml:space="preserve">④ 员工</t>
  </si>
  <si>
    <t xml:space="preserve">期末应收</t>
  </si>
  <si>
    <t xml:space="preserve">期末应付</t>
  </si>
  <si>
    <t xml:space="preserve">逾期应付</t>
  </si>
  <si>
    <t xml:space="preserve">本月销售成本</t>
  </si>
  <si>
    <t xml:space="preserve">本月期间费用</t>
  </si>
  <si>
    <t xml:space="preserve">部门利润</t>
  </si>
  <si>
    <t xml:space="preserve">经办销售额</t>
  </si>
  <si>
    <t xml:space="preserve">经办采购额</t>
  </si>
  <si>
    <t xml:space="preserve">经办收款</t>
  </si>
  <si>
    <t xml:space="preserve">经办付款</t>
  </si>
  <si>
    <t xml:space="preserve">合计</t>
  </si>
  <si>
    <t xml:space="preserve">客户对账单</t>
  </si>
  <si>
    <t xml:space="preserve">选好客户和起止日期即可打印。左边是本期业务明细，右边是本期收款明细，上方四个数是对账结论。</t>
  </si>
  <si>
    <t xml:space="preserve">起始日期</t>
  </si>
  <si>
    <t xml:space="preserve">结束日期</t>
  </si>
  <si>
    <t xml:space="preserve">对账状态</t>
  </si>
  <si>
    <t xml:space="preserve">待对方确认</t>
  </si>
  <si>
    <t xml:space="preserve">本期销售</t>
  </si>
  <si>
    <t xml:space="preserve">本期收款</t>
  </si>
  <si>
    <t xml:space="preserve">本期销售明细</t>
  </si>
  <si>
    <t xml:space="preserve">本期收款明细</t>
  </si>
  <si>
    <r>
      <rPr>
        <b val="true"/>
        <sz val="9"/>
        <color rgb="FF1F3864"/>
        <rFont val="WenQuanYi Zen Hei"/>
        <family val="2"/>
      </rPr>
      <t xml:space="preserve">商品 </t>
    </r>
    <r>
      <rPr>
        <b val="true"/>
        <sz val="9"/>
        <color rgb="FF1F3864"/>
        <rFont val="微软雅黑"/>
        <family val="0"/>
        <charset val="1"/>
      </rPr>
      <t xml:space="preserve">/ </t>
    </r>
    <r>
      <rPr>
        <b val="true"/>
        <sz val="9"/>
        <color rgb="FF1F3864"/>
        <rFont val="WenQuanYi Zen Hei"/>
        <family val="2"/>
      </rPr>
      <t xml:space="preserve">内容</t>
    </r>
  </si>
  <si>
    <t xml:space="preserve">单价</t>
  </si>
  <si>
    <t xml:space="preserve">收款账户</t>
  </si>
  <si>
    <t xml:space="preserve">经办人</t>
  </si>
  <si>
    <t xml:space="preserve">小计</t>
  </si>
  <si>
    <r>
      <rPr>
        <sz val="8"/>
        <color rgb="FF808080"/>
        <rFont val="WenQuanYi Zen Hei"/>
        <family val="2"/>
      </rPr>
      <t xml:space="preserve">本对账单根据双方往来记录生成，如有差异请在 </t>
    </r>
    <r>
      <rPr>
        <sz val="8"/>
        <color rgb="FF808080"/>
        <rFont val="微软雅黑"/>
        <family val="0"/>
        <charset val="1"/>
      </rPr>
      <t xml:space="preserve">30 </t>
    </r>
    <r>
      <rPr>
        <sz val="8"/>
        <color rgb="FF808080"/>
        <rFont val="WenQuanYi Zen Hei"/>
        <family val="2"/>
      </rPr>
      <t xml:space="preserve">日内书面提出。　　制表：＿＿＿＿＿　　日期：＿＿＿＿＿　　对方确认（盖章）：＿＿＿＿＿＿＿＿</t>
    </r>
  </si>
  <si>
    <r>
      <rPr>
        <sz val="8"/>
        <color rgb="FF808080"/>
        <rFont val="WenQuanYi Zen Hei"/>
        <family val="2"/>
      </rPr>
      <t xml:space="preserve">注：明细最多显示 </t>
    </r>
    <r>
      <rPr>
        <sz val="8"/>
        <color rgb="FF808080"/>
        <rFont val="微软雅黑"/>
        <family val="0"/>
        <charset val="1"/>
      </rPr>
      <t xml:space="preserve">100 </t>
    </r>
    <r>
      <rPr>
        <sz val="8"/>
        <color rgb="FF808080"/>
        <rFont val="WenQuanYi Zen Hei"/>
        <family val="2"/>
      </rPr>
      <t xml:space="preserve">行。超过时请缩短对账期间分次打印。</t>
    </r>
  </si>
  <si>
    <t xml:space="preserve">供应商对账单</t>
  </si>
  <si>
    <t xml:space="preserve">选好供应商和起止日期即可打印。左边是本期业务明细，右边是本期付款明细，上方四个数是对账结论。</t>
  </si>
  <si>
    <t xml:space="preserve">本期采购</t>
  </si>
  <si>
    <t xml:space="preserve">本期付款</t>
  </si>
  <si>
    <t xml:space="preserve">本期采购明细</t>
  </si>
  <si>
    <t xml:space="preserve">本期付款明细</t>
  </si>
  <si>
    <t xml:space="preserve">付款账户</t>
  </si>
  <si>
    <t xml:space="preserve">经营分析</t>
  </si>
  <si>
    <r>
      <rPr>
        <sz val="8"/>
        <color rgb="FF808080"/>
        <rFont val="WenQuanYi Zen Hei"/>
        <family val="2"/>
      </rPr>
      <t xml:space="preserve">全年 </t>
    </r>
    <r>
      <rPr>
        <sz val="8"/>
        <color rgb="FF808080"/>
        <rFont val="微软雅黑"/>
        <family val="0"/>
        <charset val="1"/>
      </rPr>
      <t xml:space="preserve">12 </t>
    </r>
    <r>
      <rPr>
        <sz val="8"/>
        <color rgb="FF808080"/>
        <rFont val="WenQuanYi Zen Hei"/>
        <family val="2"/>
      </rPr>
      <t xml:space="preserve">个月趋势。数据全部取自科目余额表口径以外的业务表，可与利润表交叉验证。</t>
    </r>
  </si>
  <si>
    <r>
      <rPr>
        <b val="true"/>
        <sz val="9"/>
        <color rgb="FFFFFFFF"/>
        <rFont val="WenQuanYi Zen Hei"/>
        <family val="2"/>
      </rPr>
      <t xml:space="preserve">销售收入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不含税</t>
    </r>
    <r>
      <rPr>
        <b val="true"/>
        <sz val="9"/>
        <color rgb="FFFFFFFF"/>
        <rFont val="微软雅黑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</si>
  <si>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采购金额
</t>
    </r>
    <r>
      <rPr>
        <b val="true"/>
        <sz val="9"/>
        <color rgb="FFFFFFFF"/>
        <rFont val="微软雅黑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不含税</t>
    </r>
    <r>
      <rPr>
        <b val="true"/>
        <sz val="9"/>
        <color rgb="FFFFFFFF"/>
        <rFont val="微软雅黑"/>
        <family val="0"/>
        <charset val="1"/>
      </rPr>
      <t xml:space="preserve">)</t>
    </r>
  </si>
  <si>
    <t xml:space="preserve">期间费用</t>
  </si>
  <si>
    <t xml:space="preserve">资金流入</t>
  </si>
  <si>
    <t xml:space="preserve">资金流出</t>
  </si>
  <si>
    <t xml:space="preserve">资金净额</t>
  </si>
  <si>
    <t xml:space="preserve">期末资金余额</t>
  </si>
  <si>
    <t xml:space="preserve">全年合计</t>
  </si>
  <si>
    <t xml:space="preserve">财务勾稽核查</t>
  </si>
  <si>
    <t xml:space="preserve">月结前请确认全部为「✓ 正常」。这些都是跨表比对，不是自己和自己比，真实错账会被抓出来。</t>
  </si>
  <si>
    <t xml:space="preserve">#</t>
  </si>
  <si>
    <t xml:space="preserve">核查项目</t>
  </si>
  <si>
    <r>
      <rPr>
        <b val="true"/>
        <sz val="9"/>
        <color rgb="FFFFFFFF"/>
        <rFont val="WenQuanYi Zen Hei"/>
        <family val="2"/>
      </rPr>
      <t xml:space="preserve">业务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明细数</t>
    </r>
  </si>
  <si>
    <r>
      <rPr>
        <b val="true"/>
        <sz val="9"/>
        <color rgb="FFFFFFFF"/>
        <rFont val="WenQuanYi Zen Hei"/>
        <family val="2"/>
      </rPr>
      <t xml:space="preserve">总账 </t>
    </r>
    <r>
      <rPr>
        <b val="true"/>
        <sz val="9"/>
        <color rgb="FFFFFFFF"/>
        <rFont val="微软雅黑"/>
        <family val="0"/>
        <charset val="1"/>
      </rPr>
      <t xml:space="preserve">/ </t>
    </r>
    <r>
      <rPr>
        <b val="true"/>
        <sz val="9"/>
        <color rgb="FFFFFFFF"/>
        <rFont val="WenQuanYi Zen Hei"/>
        <family val="2"/>
      </rPr>
      <t xml:space="preserve">报表数</t>
    </r>
  </si>
  <si>
    <t xml:space="preserve">不一致时怎么办</t>
  </si>
  <si>
    <t xml:space="preserve">本月凭证借贷平衡</t>
  </si>
  <si>
    <t xml:space="preserve">每行业务自动生成一借一贷，不平说明有公式被改动或删除，请检查科目余额表的公式列。</t>
  </si>
  <si>
    <t xml:space="preserve">期初借贷平衡</t>
  </si>
  <si>
    <t xml:space="preserve">【期初数据】⑤会计科目期初的借方合计必须等于贷方合计，先把这里配平。</t>
  </si>
  <si>
    <t xml:space="preserve">资产负债表平衡</t>
  </si>
  <si>
    <t xml:space="preserve">通常是期初不平、或有科目没在【科目参数】里映射资产负债表项目。</t>
  </si>
  <si>
    <t xml:space="preserve">期初资金明细 ↔ 科目期初</t>
  </si>
  <si>
    <r>
      <rPr>
        <sz val="8"/>
        <color rgb="FF808080"/>
        <rFont val="WenQuanYi Zen Hei"/>
        <family val="2"/>
      </rPr>
      <t xml:space="preserve">【期初数据】①各账户期初余额合计，应等于⑤里 </t>
    </r>
    <r>
      <rPr>
        <sz val="8"/>
        <color rgb="FF808080"/>
        <rFont val="微软雅黑"/>
        <family val="0"/>
        <charset val="1"/>
      </rPr>
      <t xml:space="preserve">1001/1002/1012 </t>
    </r>
    <r>
      <rPr>
        <sz val="8"/>
        <color rgb="FF808080"/>
        <rFont val="WenQuanYi Zen Hei"/>
        <family val="2"/>
      </rPr>
      <t xml:space="preserve">三个科目的期初借方合计。</t>
    </r>
  </si>
  <si>
    <t xml:space="preserve">期初应收明细 ↔ 科目期初</t>
  </si>
  <si>
    <r>
      <rPr>
        <sz val="8"/>
        <color rgb="FF808080"/>
        <rFont val="WenQuanYi Zen Hei"/>
        <family val="2"/>
      </rPr>
      <t xml:space="preserve">【期初数据】②应收期初合计，应等于⑤里 </t>
    </r>
    <r>
      <rPr>
        <sz val="8"/>
        <color rgb="FF808080"/>
        <rFont val="微软雅黑"/>
        <family val="0"/>
        <charset val="1"/>
      </rPr>
      <t xml:space="preserve">1122 </t>
    </r>
    <r>
      <rPr>
        <sz val="8"/>
        <color rgb="FF808080"/>
        <rFont val="WenQuanYi Zen Hei"/>
        <family val="2"/>
      </rPr>
      <t xml:space="preserve">应收账款的期初借方。</t>
    </r>
  </si>
  <si>
    <t xml:space="preserve">期初应付明细 ↔ 科目期初</t>
  </si>
  <si>
    <r>
      <rPr>
        <sz val="8"/>
        <color rgb="FF808080"/>
        <rFont val="WenQuanYi Zen Hei"/>
        <family val="2"/>
      </rPr>
      <t xml:space="preserve">【期初数据】③应付期初合计，应等于⑤里 </t>
    </r>
    <r>
      <rPr>
        <sz val="8"/>
        <color rgb="FF808080"/>
        <rFont val="微软雅黑"/>
        <family val="0"/>
        <charset val="1"/>
      </rPr>
      <t xml:space="preserve">2202 </t>
    </r>
    <r>
      <rPr>
        <sz val="8"/>
        <color rgb="FF808080"/>
        <rFont val="WenQuanYi Zen Hei"/>
        <family val="2"/>
      </rPr>
      <t xml:space="preserve">应付账款的期初贷方。</t>
    </r>
  </si>
  <si>
    <t xml:space="preserve">期初存货明细 ↔ 科目期初</t>
  </si>
  <si>
    <r>
      <rPr>
        <sz val="8"/>
        <color rgb="FF808080"/>
        <rFont val="WenQuanYi Zen Hei"/>
        <family val="2"/>
      </rPr>
      <t xml:space="preserve">【期初数据】④存货期初金额合计，应等于⑤里 </t>
    </r>
    <r>
      <rPr>
        <sz val="8"/>
        <color rgb="FF808080"/>
        <rFont val="微软雅黑"/>
        <family val="0"/>
        <charset val="1"/>
      </rPr>
      <t xml:space="preserve">1405 </t>
    </r>
    <r>
      <rPr>
        <sz val="8"/>
        <color rgb="FF808080"/>
        <rFont val="WenQuanYi Zen Hei"/>
        <family val="2"/>
      </rPr>
      <t xml:space="preserve">库存商品的期初借方。</t>
    </r>
  </si>
  <si>
    <t xml:space="preserve">库存台账 ↔ 库存商品科目</t>
  </si>
  <si>
    <r>
      <rPr>
        <sz val="8"/>
        <color rgb="FF808080"/>
        <rFont val="WenQuanYi Zen Hei"/>
        <family val="2"/>
      </rPr>
      <t xml:space="preserve">两边都是「期初＋采购－结转成本」，不一致说明有人直接改了库存表公式，或用【其他凭证】动过 </t>
    </r>
    <r>
      <rPr>
        <sz val="8"/>
        <color rgb="FF808080"/>
        <rFont val="微软雅黑"/>
        <family val="0"/>
        <charset val="1"/>
      </rPr>
      <t xml:space="preserve">1405</t>
    </r>
    <r>
      <rPr>
        <sz val="8"/>
        <color rgb="FF808080"/>
        <rFont val="WenQuanYi Zen Hei"/>
        <family val="2"/>
      </rPr>
      <t xml:space="preserve">。</t>
    </r>
  </si>
  <si>
    <t xml:space="preserve">应收跟进 ↔ 应收账款科目</t>
  </si>
  <si>
    <t xml:space="preserve">多半是资金流水里「客户回款」的【往来单位】写了档案里没有的客户名，或客户名有多余空格。</t>
  </si>
  <si>
    <t xml:space="preserve">应付跟进 ↔ 应付账款科目</t>
  </si>
  <si>
    <t xml:space="preserve">多半是资金流水里「供应商付款」的【往来单位】没选档案里的供应商。</t>
  </si>
  <si>
    <t xml:space="preserve">账户余额 ↔ 货币资金科目</t>
  </si>
  <si>
    <r>
      <rPr>
        <sz val="8"/>
        <color rgb="FF808080"/>
        <rFont val="WenQuanYi Zen Hei"/>
        <family val="2"/>
      </rPr>
      <t xml:space="preserve">检查【基础资料】①里每个账户的「资金科目编码」是否都填了，且填的是 </t>
    </r>
    <r>
      <rPr>
        <sz val="8"/>
        <color rgb="FF808080"/>
        <rFont val="微软雅黑"/>
        <family val="0"/>
        <charset val="1"/>
      </rPr>
      <t xml:space="preserve">1001/1002/1012</t>
    </r>
    <r>
      <rPr>
        <sz val="8"/>
        <color rgb="FF808080"/>
        <rFont val="WenQuanYi Zen Hei"/>
        <family val="2"/>
      </rPr>
      <t xml:space="preserve">。</t>
    </r>
  </si>
  <si>
    <t xml:space="preserve">现金流量表 ↔ 账户余额</t>
  </si>
  <si>
    <t xml:space="preserve">说明有收支科目没在【科目参数】②里配「现金流量表项目」，那笔钱进了总账但没进现金流量表。</t>
  </si>
  <si>
    <t xml:space="preserve">利润表净利润 ↔ 业务毛利勾稽</t>
  </si>
  <si>
    <t xml:space="preserve">经营分析的全年毛利应等于利润表的营业收入减营业成本。不等说明有销售或成本是用【其他凭证】直接做的。</t>
  </si>
  <si>
    <t xml:space="preserve">录入表校验全部通过</t>
  </si>
  <si>
    <t xml:space="preserve">左边是校验通过的行数，右边是已录入的业务行数，两者必须相等。不等说明有行报错，按各表【校验】列的红色提示逐行修正。</t>
  </si>
  <si>
    <t xml:space="preserve">查询月份有业务数据</t>
  </si>
  <si>
    <r>
      <rPr>
        <sz val="8"/>
        <color rgb="FF808080"/>
        <rFont val="WenQuanYi Zen Hei"/>
        <family val="2"/>
      </rPr>
      <t xml:space="preserve">本项「相等」反而是异常：说明查询月份在四张录入表里一笔业务都没有，此时所有报表都是 </t>
    </r>
    <r>
      <rPr>
        <sz val="8"/>
        <color rgb="FF808080"/>
        <rFont val="微软雅黑"/>
        <family val="0"/>
        <charset val="1"/>
      </rPr>
      <t xml:space="preserve">0</t>
    </r>
    <r>
      <rPr>
        <sz val="8"/>
        <color rgb="FF808080"/>
        <rFont val="WenQuanYi Zen Hei"/>
        <family val="2"/>
      </rPr>
      <t xml:space="preserve">，不要误以为账是平的。</t>
    </r>
  </si>
  <si>
    <t xml:space="preserve">损益科目未录期初</t>
  </si>
  <si>
    <r>
      <rPr>
        <sz val="8"/>
        <color rgb="FF808080"/>
        <rFont val="微软雅黑"/>
        <family val="0"/>
        <charset val="1"/>
      </rPr>
      <t xml:space="preserve">5xxx / 6xxx </t>
    </r>
    <r>
      <rPr>
        <sz val="8"/>
        <color rgb="FF808080"/>
        <rFont val="WenQuanYi Zen Hei"/>
        <family val="2"/>
      </rPr>
      <t xml:space="preserve">损益类科目不能录期初余额。年中启用时，本年已发生的收入费用请到【其他凭证】按月补录。</t>
    </r>
  </si>
  <si>
    <t xml:space="preserve">总  体  结  论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</si>
</sst>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\年"/>
    <numFmt numFmtId="166" formatCode="yyyy\年m\月"/>
    <numFmt numFmtId="167" formatCode="yyyy\-mm\-dd"/>
    <numFmt numFmtId="168" formatCode="#,##0.00;[RED]\-#,##0.00;\-"/>
    <numFmt numFmtId="169" formatCode="General"/>
    <numFmt numFmtId="170" formatCode="#,##0.###;[RED]\-#,##0.###;\-"/>
    <numFmt numFmtId="171" formatCode="0.00%"/>
    <numFmt numFmtId="172" formatCode="0"/>
    <numFmt numFmtId="173" formatCode="#,##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WenQuanYi Zen Hei"/>
      <family val="2"/>
    </font>
    <font>
      <sz val="9"/>
      <color rgb="FFFFFFFF"/>
      <name val="WenQuanYi Zen Hei"/>
      <family val="2"/>
    </font>
    <font>
      <sz val="9"/>
      <color rgb="FFFFFFFF"/>
      <name val="微软雅黑"/>
      <family val="0"/>
      <charset val="1"/>
    </font>
    <font>
      <b val="true"/>
      <sz val="10"/>
      <color rgb="FF1F4E79"/>
      <name val="WenQuanYi Zen Hei"/>
      <family val="2"/>
    </font>
    <font>
      <b val="true"/>
      <sz val="12"/>
      <color rgb="FF0000C0"/>
      <name val="微软雅黑"/>
      <family val="0"/>
      <charset val="1"/>
    </font>
    <font>
      <sz val="8"/>
      <color rgb="FF808080"/>
      <name val="WenQuanYi Zen Hei"/>
      <family val="2"/>
    </font>
    <font>
      <sz val="8"/>
      <color rgb="FF808080"/>
      <name val="微软雅黑"/>
      <family val="0"/>
      <charset val="1"/>
    </font>
    <font>
      <b val="true"/>
      <sz val="9"/>
      <color rgb="FF404040"/>
      <name val="WenQuanYi Zen Hei"/>
      <family val="2"/>
    </font>
    <font>
      <b val="true"/>
      <sz val="16"/>
      <color rgb="FF1F3864"/>
      <name val="微软雅黑"/>
      <family val="0"/>
      <charset val="1"/>
    </font>
    <font>
      <b val="true"/>
      <sz val="9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name val="微软雅黑"/>
      <family val="0"/>
      <charset val="1"/>
    </font>
    <font>
      <sz val="9"/>
      <name val="WenQuanYi Zen Hei"/>
      <family val="2"/>
    </font>
    <font>
      <b val="true"/>
      <sz val="15"/>
      <color rgb="FF1F3864"/>
      <name val="WenQuanYi Zen Hei"/>
      <family val="2"/>
    </font>
    <font>
      <sz val="9"/>
      <name val="微软雅黑"/>
      <family val="0"/>
      <charset val="1"/>
    </font>
    <font>
      <b val="true"/>
      <sz val="15"/>
      <color rgb="FF1F3864"/>
      <name val="微软雅黑"/>
      <family val="0"/>
      <charset val="1"/>
    </font>
    <font>
      <b val="true"/>
      <sz val="9"/>
      <color rgb="FFFFFFFF"/>
      <name val="微软雅黑"/>
      <family val="0"/>
      <charset val="1"/>
    </font>
    <font>
      <b val="true"/>
      <sz val="9"/>
      <color rgb="FF1F3864"/>
      <name val="WenQuanYi Zen Hei"/>
      <family val="2"/>
    </font>
    <font>
      <sz val="9"/>
      <color rgb="FF0000C0"/>
      <name val="微软雅黑"/>
      <family val="0"/>
      <charset val="1"/>
    </font>
    <font>
      <sz val="9"/>
      <color rgb="FF0000C0"/>
      <name val="WenQuanYi Zen Hei"/>
      <family val="2"/>
    </font>
    <font>
      <sz val="9"/>
      <color rgb="FF006100"/>
      <name val="WenQuanYi Zen Hei"/>
      <family val="2"/>
    </font>
    <font>
      <b val="true"/>
      <sz val="9"/>
      <color rgb="FF1F3864"/>
      <name val="微软雅黑"/>
      <family val="0"/>
      <charset val="1"/>
    </font>
    <font>
      <sz val="9"/>
      <color rgb="FF006100"/>
      <name val="微软雅黑"/>
      <family val="0"/>
      <charset val="1"/>
    </font>
    <font>
      <b val="true"/>
      <sz val="11"/>
      <color rgb="FF0000C0"/>
      <name val="微软雅黑"/>
      <family val="0"/>
      <charset val="1"/>
    </font>
    <font>
      <b val="true"/>
      <sz val="11"/>
      <color rgb="FF0000C0"/>
      <name val="WenQuanYi Zen Hei"/>
      <family val="2"/>
    </font>
    <font>
      <b val="true"/>
      <sz val="10"/>
      <color rgb="FF0000C0"/>
      <name val="微软雅黑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F5597"/>
        <bgColor rgb="FF1F4E79"/>
      </patternFill>
    </fill>
    <fill>
      <patternFill patternType="solid">
        <fgColor rgb="FFD6E4F0"/>
        <bgColor rgb="FFDDEBF7"/>
      </patternFill>
    </fill>
    <fill>
      <patternFill patternType="solid">
        <fgColor rgb="FFFFF7E0"/>
        <bgColor rgb="FFFFF2CC"/>
      </patternFill>
    </fill>
    <fill>
      <patternFill patternType="solid">
        <fgColor rgb="FFE2EFDA"/>
        <bgColor rgb="FFEFEFEF"/>
      </patternFill>
    </fill>
    <fill>
      <patternFill patternType="solid">
        <fgColor rgb="FFFCE4E4"/>
        <bgColor rgb="FFEFEFEF"/>
      </patternFill>
    </fill>
    <fill>
      <patternFill patternType="solid">
        <fgColor rgb="FFFFF2CC"/>
        <bgColor rgb="FFFFF7E0"/>
      </patternFill>
    </fill>
    <fill>
      <patternFill patternType="solid">
        <fgColor rgb="FFDDEBF7"/>
        <bgColor rgb="FFD6E4F0"/>
      </patternFill>
    </fill>
    <fill>
      <patternFill patternType="solid">
        <fgColor rgb="FFEFEFEF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0000C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ont>
        <b val="1"/>
        <color rgb="FF9C0006"/>
      </font>
      <fill>
        <patternFill>
          <bgColor rgb="FFFCE4E4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C0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7E0"/>
      <rgbColor rgb="FFDDEBF7"/>
      <rgbColor rgb="FF660066"/>
      <rgbColor rgb="FFFF8080"/>
      <rgbColor rgb="FF2F5597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EFDA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ED7D31"/>
      <rgbColor rgb="FF7F7F7F"/>
      <rgbColor rgb="FF9E9E9E"/>
      <rgbColor rgb="FF1F3864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25"/>
  <sheetViews>
    <sheetView tabSelected="1"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"/>
    <col collapsed="false" customWidth="true" hidden="false" outlineLevel="0" max="5" min="4" style="0" width="13"/>
    <col collapsed="false" customWidth="true" hidden="false" outlineLevel="0" max="6" min="6" style="0" width="3"/>
    <col collapsed="false" customWidth="true" hidden="false" outlineLevel="0" max="8" min="7" style="0" width="13"/>
    <col collapsed="false" customWidth="true" hidden="false" outlineLevel="0" max="9" min="9" style="0" width="3"/>
    <col collapsed="false" customWidth="true" hidden="false" outlineLevel="0" max="11" min="10" style="0" width="13"/>
    <col collapsed="false" customWidth="true" hidden="false" outlineLevel="0" max="12" min="12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5.5" hidden="false" customHeight="true" outlineLevel="0" collapsed="false">
      <c r="A3" s="3" t="s">
        <v>2</v>
      </c>
      <c r="B3" s="4" t="n">
        <v>2026</v>
      </c>
      <c r="D3" s="3" t="s">
        <v>3</v>
      </c>
      <c r="E3" s="5" t="n">
        <v>46023</v>
      </c>
      <c r="G3" s="6" t="s">
        <v>4</v>
      </c>
      <c r="H3" s="6"/>
      <c r="I3" s="6"/>
      <c r="J3" s="6"/>
      <c r="K3" s="6"/>
      <c r="L3" s="6"/>
    </row>
    <row r="5" customFormat="false" ht="12.75" hidden="false" customHeight="true" outlineLevel="0" collapsed="false">
      <c r="A5" s="7" t="s">
        <v>5</v>
      </c>
      <c r="B5" s="8" t="str">
        <f aca="false">TEXT($E$3,"yyyy-mm")</f>
        <v>2026-01</v>
      </c>
      <c r="D5" s="7" t="s">
        <v>6</v>
      </c>
      <c r="E5" s="9" t="n">
        <f aca="false">DATE(YEAR($E$3),MONTH($E$3),1)</f>
        <v>46023</v>
      </c>
      <c r="G5" s="7" t="s">
        <v>7</v>
      </c>
      <c r="H5" s="9" t="n">
        <f aca="false">EOMONTH($E$3,0)</f>
        <v>46053</v>
      </c>
    </row>
    <row r="6" customFormat="false" ht="12.75" hidden="true" customHeight="true" outlineLevel="0" collapsed="false">
      <c r="B6" s="9" t="n">
        <f aca="false">$E$5</f>
        <v>46023</v>
      </c>
    </row>
    <row r="7" customFormat="false" ht="12.75" hidden="true" customHeight="true" outlineLevel="0" collapsed="false">
      <c r="B7" s="9" t="n">
        <f aca="false">$H$5</f>
        <v>46053</v>
      </c>
    </row>
    <row r="9" customFormat="false" ht="18" hidden="false" customHeight="true" outlineLevel="0" collapsed="false">
      <c r="A9" s="10" t="s">
        <v>8</v>
      </c>
      <c r="B9" s="10"/>
      <c r="D9" s="10" t="s">
        <v>9</v>
      </c>
      <c r="E9" s="10"/>
      <c r="G9" s="10" t="s">
        <v>10</v>
      </c>
      <c r="H9" s="10"/>
      <c r="J9" s="10" t="s">
        <v>11</v>
      </c>
      <c r="K9" s="10"/>
    </row>
    <row r="10" customFormat="false" ht="30" hidden="false" customHeight="true" outlineLevel="0" collapsed="false">
      <c r="A10" s="11" t="n">
        <f aca="false">利润表!$C$6</f>
        <v>24600</v>
      </c>
      <c r="B10" s="11"/>
      <c r="D10" s="11" t="n">
        <f aca="false">利润表!$C$6-利润表!$C$9</f>
        <v>11137.5</v>
      </c>
      <c r="E10" s="11"/>
      <c r="G10" s="11" t="n">
        <f aca="false">利润表!$C$27</f>
        <v>-20662.5</v>
      </c>
      <c r="H10" s="11"/>
      <c r="J10" s="11" t="n">
        <f aca="false">利润表!$D$27</f>
        <v>-20662.5</v>
      </c>
      <c r="K10" s="11"/>
    </row>
    <row r="11" customFormat="false" ht="6" hidden="false" customHeight="true" outlineLevel="0" collapsed="false"/>
    <row r="12" customFormat="false" ht="18" hidden="false" customHeight="true" outlineLevel="0" collapsed="false">
      <c r="A12" s="12" t="s">
        <v>12</v>
      </c>
      <c r="B12" s="12"/>
      <c r="D12" s="12" t="s">
        <v>13</v>
      </c>
      <c r="E12" s="12"/>
      <c r="G12" s="12" t="s">
        <v>14</v>
      </c>
      <c r="H12" s="12"/>
      <c r="J12" s="12" t="s">
        <v>15</v>
      </c>
      <c r="K12" s="12"/>
    </row>
    <row r="13" customFormat="false" ht="30" hidden="false" customHeight="true" outlineLevel="0" collapsed="false">
      <c r="A13" s="13" t="n">
        <f aca="false">账户余额!$H$36</f>
        <v>332200</v>
      </c>
      <c r="B13" s="13"/>
      <c r="D13" s="13" t="n">
        <f aca="false">应收跟进!$F$156</f>
        <v>46686</v>
      </c>
      <c r="E13" s="13"/>
      <c r="G13" s="13" t="n">
        <f aca="false">应付跟进!$F$156</f>
        <v>21752.5</v>
      </c>
      <c r="H13" s="13"/>
      <c r="J13" s="13" t="n">
        <f aca="false">库存收发存!$K$206</f>
        <v>40387.5</v>
      </c>
      <c r="K13" s="13"/>
    </row>
    <row r="14" customFormat="false" ht="6" hidden="false" customHeight="true" outlineLevel="0" collapsed="false"/>
    <row r="15" customFormat="false" ht="18" hidden="false" customHeight="true" outlineLevel="0" collapsed="false">
      <c r="A15" s="14" t="s">
        <v>16</v>
      </c>
      <c r="B15" s="14"/>
      <c r="D15" s="14" t="s">
        <v>17</v>
      </c>
      <c r="E15" s="14"/>
      <c r="G15" s="15" t="s">
        <v>18</v>
      </c>
      <c r="H15" s="15"/>
      <c r="J15" s="15" t="s">
        <v>19</v>
      </c>
      <c r="K15" s="15"/>
    </row>
    <row r="16" customFormat="false" ht="30" hidden="false" customHeight="true" outlineLevel="0" collapsed="false">
      <c r="A16" s="16" t="n">
        <f aca="false">应收跟进!$L$156</f>
        <v>20696</v>
      </c>
      <c r="B16" s="16"/>
      <c r="D16" s="16" t="n">
        <f aca="false">现金流量表!$C$15</f>
        <v>-2800</v>
      </c>
      <c r="E16" s="16"/>
      <c r="G16" s="17" t="n">
        <f aca="false">资产负债表!$C$25</f>
        <v>506773.5</v>
      </c>
      <c r="H16" s="17"/>
      <c r="J16" s="17" t="n">
        <f aca="false">资产负债表!$G$28</f>
        <v>457937.5</v>
      </c>
      <c r="K16" s="17"/>
    </row>
    <row r="17" customFormat="false" ht="6" hidden="false" customHeight="true" outlineLevel="0" collapsed="false"/>
    <row r="18" customFormat="false" ht="25.5" hidden="false" customHeight="true" outlineLevel="0" collapsed="false">
      <c r="A18" s="18" t="s">
        <v>20</v>
      </c>
      <c r="B18" s="18"/>
      <c r="D18" s="19" t="str">
        <f aca="false">财务勾稽核查!$E$23&amp;"　（"&amp;财务勾稽核查!$C$23&amp;"）　"&amp;IF(财务勾稽核查!$E$23="✓ 可以月结","全部勾稽通过，可以结账。","请到【财务勾稽核查】查看未通过的项目。")</f>
        <v>✓ 可以月结　（16 / 16 项通过）　全部勾稽通过，可以结账。</v>
      </c>
      <c r="E18" s="19"/>
      <c r="F18" s="19"/>
      <c r="G18" s="19"/>
      <c r="H18" s="19"/>
      <c r="I18" s="19"/>
      <c r="J18" s="19"/>
      <c r="K18" s="19"/>
      <c r="L18" s="19"/>
    </row>
    <row r="20" customFormat="false" ht="21.75" hidden="false" customHeight="true" outlineLevel="0" collapsed="false">
      <c r="A20" s="20" t="s">
        <v>21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9.5" hidden="false" customHeight="true" outlineLevel="0" collapsed="false">
      <c r="A21" s="21" t="s">
        <v>22</v>
      </c>
      <c r="B21" s="22" t="s">
        <v>23</v>
      </c>
      <c r="C21" s="22"/>
      <c r="D21" s="22" t="s">
        <v>24</v>
      </c>
      <c r="E21" s="22"/>
      <c r="F21" s="22"/>
      <c r="G21" s="22"/>
      <c r="H21" s="22"/>
      <c r="I21" s="22"/>
      <c r="J21" s="22"/>
      <c r="K21" s="22"/>
      <c r="L21" s="22"/>
    </row>
    <row r="22" customFormat="false" ht="19.5" hidden="false" customHeight="true" outlineLevel="0" collapsed="false">
      <c r="A22" s="21" t="s">
        <v>25</v>
      </c>
      <c r="B22" s="22" t="s">
        <v>26</v>
      </c>
      <c r="C22" s="22"/>
      <c r="D22" s="22" t="s">
        <v>27</v>
      </c>
      <c r="E22" s="22"/>
      <c r="F22" s="22"/>
      <c r="G22" s="22"/>
      <c r="H22" s="22"/>
      <c r="I22" s="22"/>
      <c r="J22" s="22"/>
      <c r="K22" s="22"/>
      <c r="L22" s="22"/>
    </row>
    <row r="23" customFormat="false" ht="19.5" hidden="false" customHeight="true" outlineLevel="0" collapsed="false">
      <c r="A23" s="21" t="s">
        <v>28</v>
      </c>
      <c r="B23" s="22" t="s">
        <v>29</v>
      </c>
      <c r="C23" s="22"/>
      <c r="D23" s="22" t="s">
        <v>30</v>
      </c>
      <c r="E23" s="22"/>
      <c r="F23" s="22"/>
      <c r="G23" s="22"/>
      <c r="H23" s="22"/>
      <c r="I23" s="22"/>
      <c r="J23" s="22"/>
      <c r="K23" s="22"/>
      <c r="L23" s="22"/>
    </row>
    <row r="24" customFormat="false" ht="19.5" hidden="false" customHeight="true" outlineLevel="0" collapsed="false">
      <c r="A24" s="21" t="s">
        <v>31</v>
      </c>
      <c r="B24" s="22" t="s">
        <v>32</v>
      </c>
      <c r="C24" s="22"/>
      <c r="D24" s="22" t="s">
        <v>33</v>
      </c>
      <c r="E24" s="22"/>
      <c r="F24" s="22"/>
      <c r="G24" s="22"/>
      <c r="H24" s="22"/>
      <c r="I24" s="22"/>
      <c r="J24" s="22"/>
      <c r="K24" s="22"/>
      <c r="L24" s="22"/>
    </row>
    <row r="25" customFormat="false" ht="19.5" hidden="false" customHeight="true" outlineLevel="0" collapsed="false">
      <c r="A25" s="21" t="s">
        <v>34</v>
      </c>
      <c r="B25" s="22" t="s">
        <v>35</v>
      </c>
      <c r="C25" s="22"/>
      <c r="D25" s="22" t="s">
        <v>36</v>
      </c>
      <c r="E25" s="22"/>
      <c r="F25" s="22"/>
      <c r="G25" s="22"/>
      <c r="H25" s="22"/>
      <c r="I25" s="22"/>
      <c r="J25" s="22"/>
      <c r="K25" s="22"/>
      <c r="L25" s="22"/>
    </row>
  </sheetData>
  <mergeCells count="40">
    <mergeCell ref="A1:L1"/>
    <mergeCell ref="A2:L2"/>
    <mergeCell ref="G3:L3"/>
    <mergeCell ref="A9:B9"/>
    <mergeCell ref="D9:E9"/>
    <mergeCell ref="G9:H9"/>
    <mergeCell ref="J9:K9"/>
    <mergeCell ref="A10:B10"/>
    <mergeCell ref="D10:E10"/>
    <mergeCell ref="G10:H10"/>
    <mergeCell ref="J10:K10"/>
    <mergeCell ref="A12:B12"/>
    <mergeCell ref="D12:E12"/>
    <mergeCell ref="G12:H12"/>
    <mergeCell ref="J12:K12"/>
    <mergeCell ref="A13:B13"/>
    <mergeCell ref="D13:E13"/>
    <mergeCell ref="G13:H13"/>
    <mergeCell ref="J13:K13"/>
    <mergeCell ref="A15:B15"/>
    <mergeCell ref="D15:E15"/>
    <mergeCell ref="G15:H15"/>
    <mergeCell ref="J15:K15"/>
    <mergeCell ref="A16:B16"/>
    <mergeCell ref="D16:E16"/>
    <mergeCell ref="G16:H16"/>
    <mergeCell ref="J16:K16"/>
    <mergeCell ref="A18:B18"/>
    <mergeCell ref="D18:L18"/>
    <mergeCell ref="A20:L20"/>
    <mergeCell ref="B21:C21"/>
    <mergeCell ref="D21:L21"/>
    <mergeCell ref="B22:C22"/>
    <mergeCell ref="D22:L22"/>
    <mergeCell ref="B23:C23"/>
    <mergeCell ref="D23:L23"/>
    <mergeCell ref="B24:C24"/>
    <mergeCell ref="D24:L24"/>
    <mergeCell ref="B25:C25"/>
    <mergeCell ref="D25:L25"/>
  </mergeCells>
  <dataValidations count="1">
    <dataValidation allowBlank="true" error="本列必须是数字，填成文本会让整笔业务被静默丢弃" errorStyle="stop" errorTitle="只能填数字" operator="between" showDropDown="false" showErrorMessage="true" showInputMessage="false" sqref="B3" type="decimal">
      <formula1>2000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30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0"/>
  </cols>
  <sheetData>
    <row r="2" customFormat="false" ht="27.75" hidden="false" customHeight="true" outlineLevel="0" collapsed="false">
      <c r="B2" s="23" t="s">
        <v>37</v>
      </c>
      <c r="C2" s="23"/>
    </row>
    <row r="4" customFormat="false" ht="21.75" hidden="false" customHeight="true" outlineLevel="0" collapsed="false">
      <c r="B4" s="24" t="s">
        <v>38</v>
      </c>
      <c r="C4" s="24"/>
    </row>
    <row r="5" customFormat="false" ht="33.75" hidden="false" customHeight="true" outlineLevel="0" collapsed="false">
      <c r="B5" s="25" t="s">
        <v>39</v>
      </c>
      <c r="C5" s="22" t="s">
        <v>40</v>
      </c>
    </row>
    <row r="6" customFormat="false" ht="33.75" hidden="false" customHeight="true" outlineLevel="0" collapsed="false">
      <c r="B6" s="25" t="s">
        <v>41</v>
      </c>
      <c r="C6" s="22" t="s">
        <v>42</v>
      </c>
    </row>
    <row r="7" customFormat="false" ht="33.75" hidden="false" customHeight="true" outlineLevel="0" collapsed="false">
      <c r="B7" s="25" t="s">
        <v>43</v>
      </c>
      <c r="C7" s="22" t="s">
        <v>44</v>
      </c>
    </row>
    <row r="8" customFormat="false" ht="21.75" hidden="false" customHeight="true" outlineLevel="0" collapsed="false">
      <c r="B8" s="24" t="s">
        <v>45</v>
      </c>
      <c r="C8" s="24"/>
    </row>
    <row r="9" customFormat="false" ht="33.75" hidden="false" customHeight="true" outlineLevel="0" collapsed="false">
      <c r="B9" s="26" t="s">
        <v>46</v>
      </c>
      <c r="C9" s="22" t="s">
        <v>47</v>
      </c>
    </row>
    <row r="10" customFormat="false" ht="33.75" hidden="false" customHeight="true" outlineLevel="0" collapsed="false">
      <c r="B10" s="26" t="s">
        <v>48</v>
      </c>
      <c r="C10" s="22" t="s">
        <v>49</v>
      </c>
    </row>
    <row r="11" customFormat="false" ht="33.75" hidden="false" customHeight="true" outlineLevel="0" collapsed="false">
      <c r="B11" s="26" t="s">
        <v>50</v>
      </c>
      <c r="C11" s="22" t="s">
        <v>51</v>
      </c>
    </row>
    <row r="12" customFormat="false" ht="33.75" hidden="false" customHeight="true" outlineLevel="0" collapsed="false">
      <c r="B12" s="26" t="s">
        <v>52</v>
      </c>
      <c r="C12" s="22" t="s">
        <v>53</v>
      </c>
    </row>
    <row r="13" customFormat="false" ht="33.75" hidden="false" customHeight="true" outlineLevel="0" collapsed="false">
      <c r="B13" s="26" t="s">
        <v>54</v>
      </c>
      <c r="C13" s="22" t="s">
        <v>55</v>
      </c>
    </row>
    <row r="14" customFormat="false" ht="21.75" hidden="false" customHeight="true" outlineLevel="0" collapsed="false">
      <c r="B14" s="24" t="s">
        <v>56</v>
      </c>
      <c r="C14" s="24"/>
    </row>
    <row r="15" customFormat="false" ht="33.75" hidden="false" customHeight="true" outlineLevel="0" collapsed="false">
      <c r="B15" s="25" t="s">
        <v>57</v>
      </c>
      <c r="C15" s="22" t="s">
        <v>58</v>
      </c>
    </row>
    <row r="16" customFormat="false" ht="33.75" hidden="false" customHeight="true" outlineLevel="0" collapsed="false">
      <c r="B16" s="25" t="s">
        <v>59</v>
      </c>
      <c r="C16" s="27" t="s">
        <v>60</v>
      </c>
    </row>
    <row r="17" customFormat="false" ht="21.75" hidden="false" customHeight="true" outlineLevel="0" collapsed="false">
      <c r="B17" s="24" t="s">
        <v>61</v>
      </c>
      <c r="C17" s="24"/>
    </row>
    <row r="18" customFormat="false" ht="33.75" hidden="false" customHeight="true" outlineLevel="0" collapsed="false">
      <c r="B18" s="25" t="s">
        <v>62</v>
      </c>
      <c r="C18" s="22" t="s">
        <v>63</v>
      </c>
    </row>
    <row r="19" customFormat="false" ht="33.75" hidden="false" customHeight="true" outlineLevel="0" collapsed="false">
      <c r="B19" s="25" t="s">
        <v>64</v>
      </c>
      <c r="C19" s="22" t="s">
        <v>65</v>
      </c>
    </row>
    <row r="20" customFormat="false" ht="33.75" hidden="false" customHeight="true" outlineLevel="0" collapsed="false">
      <c r="B20" s="25" t="s">
        <v>66</v>
      </c>
      <c r="C20" s="22" t="s">
        <v>67</v>
      </c>
    </row>
    <row r="21" customFormat="false" ht="21.75" hidden="false" customHeight="true" outlineLevel="0" collapsed="false">
      <c r="B21" s="24" t="s">
        <v>68</v>
      </c>
      <c r="C21" s="24"/>
    </row>
    <row r="22" customFormat="false" ht="33.75" hidden="false" customHeight="true" outlineLevel="0" collapsed="false">
      <c r="B22" s="25" t="s">
        <v>69</v>
      </c>
      <c r="C22" s="22" t="s">
        <v>70</v>
      </c>
    </row>
    <row r="23" customFormat="false" ht="33.75" hidden="false" customHeight="true" outlineLevel="0" collapsed="false">
      <c r="B23" s="25" t="s">
        <v>71</v>
      </c>
      <c r="C23" s="22" t="s">
        <v>72</v>
      </c>
    </row>
    <row r="24" customFormat="false" ht="33.75" hidden="false" customHeight="true" outlineLevel="0" collapsed="false">
      <c r="B24" s="25" t="s">
        <v>73</v>
      </c>
      <c r="C24" s="22" t="s">
        <v>74</v>
      </c>
    </row>
    <row r="25" customFormat="false" ht="33.75" hidden="false" customHeight="true" outlineLevel="0" collapsed="false">
      <c r="B25" s="25" t="s">
        <v>75</v>
      </c>
      <c r="C25" s="22" t="s">
        <v>76</v>
      </c>
    </row>
    <row r="26" customFormat="false" ht="33.75" hidden="false" customHeight="true" outlineLevel="0" collapsed="false">
      <c r="B26" s="25" t="s">
        <v>77</v>
      </c>
      <c r="C26" s="22" t="s">
        <v>78</v>
      </c>
    </row>
    <row r="27" customFormat="false" ht="21.75" hidden="false" customHeight="true" outlineLevel="0" collapsed="false">
      <c r="B27" s="24" t="s">
        <v>79</v>
      </c>
      <c r="C27" s="24"/>
    </row>
    <row r="28" customFormat="false" ht="33.75" hidden="false" customHeight="true" outlineLevel="0" collapsed="false">
      <c r="B28" s="25" t="s">
        <v>80</v>
      </c>
      <c r="C28" s="22" t="s">
        <v>81</v>
      </c>
    </row>
    <row r="29" customFormat="false" ht="33.75" hidden="false" customHeight="true" outlineLevel="0" collapsed="false">
      <c r="B29" s="25" t="s">
        <v>82</v>
      </c>
      <c r="C29" s="22" t="s">
        <v>83</v>
      </c>
    </row>
    <row r="30" customFormat="false" ht="33.75" hidden="false" customHeight="true" outlineLevel="0" collapsed="false">
      <c r="B30" s="25" t="s">
        <v>84</v>
      </c>
      <c r="C30" s="22" t="s">
        <v>85</v>
      </c>
    </row>
  </sheetData>
  <mergeCells count="7">
    <mergeCell ref="B2:C2"/>
    <mergeCell ref="B4:C4"/>
    <mergeCell ref="B8:C8"/>
    <mergeCell ref="B14:C14"/>
    <mergeCell ref="B17:C17"/>
    <mergeCell ref="B21:C21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C44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4"/>
  </cols>
  <sheetData>
    <row r="2" customFormat="false" ht="30" hidden="false" customHeight="true" outlineLevel="0" collapsed="false">
      <c r="B2" s="23" t="s">
        <v>86</v>
      </c>
      <c r="C2" s="23"/>
    </row>
    <row r="4" customFormat="false" ht="21.75" hidden="false" customHeight="true" outlineLevel="0" collapsed="false">
      <c r="B4" s="24" t="s">
        <v>87</v>
      </c>
      <c r="C4" s="24"/>
    </row>
    <row r="5" customFormat="false" ht="31.5" hidden="false" customHeight="true" outlineLevel="0" collapsed="false">
      <c r="B5" s="22" t="s">
        <v>88</v>
      </c>
      <c r="C5" s="22"/>
    </row>
    <row r="6" customFormat="false" ht="21.75" hidden="false" customHeight="true" outlineLevel="0" collapsed="false">
      <c r="B6" s="28" t="s">
        <v>89</v>
      </c>
      <c r="C6" s="28"/>
    </row>
    <row r="7" customFormat="false" ht="33.75" hidden="false" customHeight="true" outlineLevel="0" collapsed="false">
      <c r="B7" s="25" t="s">
        <v>90</v>
      </c>
      <c r="C7" s="22" t="s">
        <v>91</v>
      </c>
    </row>
    <row r="8" customFormat="false" ht="33.75" hidden="false" customHeight="true" outlineLevel="0" collapsed="false">
      <c r="B8" s="25" t="s">
        <v>92</v>
      </c>
      <c r="C8" s="22" t="s">
        <v>93</v>
      </c>
    </row>
    <row r="9" customFormat="false" ht="33.75" hidden="false" customHeight="true" outlineLevel="0" collapsed="false">
      <c r="B9" s="25" t="s">
        <v>94</v>
      </c>
      <c r="C9" s="22" t="s">
        <v>95</v>
      </c>
    </row>
    <row r="10" customFormat="false" ht="33.75" hidden="false" customHeight="true" outlineLevel="0" collapsed="false">
      <c r="B10" s="25" t="s">
        <v>96</v>
      </c>
      <c r="C10" s="22" t="s">
        <v>97</v>
      </c>
    </row>
    <row r="11" customFormat="false" ht="33.75" hidden="false" customHeight="true" outlineLevel="0" collapsed="false">
      <c r="B11" s="25" t="s">
        <v>98</v>
      </c>
      <c r="C11" s="22" t="s">
        <v>99</v>
      </c>
    </row>
    <row r="12" customFormat="false" ht="33.75" hidden="false" customHeight="true" outlineLevel="0" collapsed="false">
      <c r="B12" s="25" t="s">
        <v>100</v>
      </c>
      <c r="C12" s="22" t="s">
        <v>101</v>
      </c>
    </row>
    <row r="13" customFormat="false" ht="21.75" hidden="false" customHeight="true" outlineLevel="0" collapsed="false">
      <c r="B13" s="24" t="s">
        <v>102</v>
      </c>
      <c r="C13" s="24"/>
    </row>
    <row r="14" customFormat="false" ht="33.75" hidden="false" customHeight="true" outlineLevel="0" collapsed="false">
      <c r="B14" s="25" t="s">
        <v>103</v>
      </c>
      <c r="C14" s="22" t="s">
        <v>104</v>
      </c>
    </row>
    <row r="15" customFormat="false" ht="33.75" hidden="false" customHeight="true" outlineLevel="0" collapsed="false">
      <c r="B15" s="25" t="s">
        <v>43</v>
      </c>
      <c r="C15" s="22" t="s">
        <v>105</v>
      </c>
    </row>
    <row r="16" customFormat="false" ht="33.75" hidden="false" customHeight="true" outlineLevel="0" collapsed="false">
      <c r="B16" s="25" t="s">
        <v>106</v>
      </c>
      <c r="C16" s="22" t="s">
        <v>107</v>
      </c>
    </row>
    <row r="17" customFormat="false" ht="21.75" hidden="false" customHeight="true" outlineLevel="0" collapsed="false">
      <c r="B17" s="24" t="s">
        <v>108</v>
      </c>
      <c r="C17" s="24"/>
    </row>
    <row r="18" customFormat="false" ht="33.75" hidden="false" customHeight="true" outlineLevel="0" collapsed="false">
      <c r="B18" s="26" t="s">
        <v>109</v>
      </c>
      <c r="C18" s="22" t="s">
        <v>110</v>
      </c>
    </row>
    <row r="19" customFormat="false" ht="33.75" hidden="false" customHeight="true" outlineLevel="0" collapsed="false">
      <c r="B19" s="26" t="s">
        <v>111</v>
      </c>
      <c r="C19" s="22" t="s">
        <v>112</v>
      </c>
    </row>
    <row r="20" customFormat="false" ht="33.75" hidden="false" customHeight="true" outlineLevel="0" collapsed="false">
      <c r="B20" s="26" t="s">
        <v>113</v>
      </c>
      <c r="C20" s="22" t="s">
        <v>114</v>
      </c>
    </row>
    <row r="21" customFormat="false" ht="33.75" hidden="false" customHeight="true" outlineLevel="0" collapsed="false">
      <c r="B21" s="26" t="s">
        <v>115</v>
      </c>
      <c r="C21" s="22" t="s">
        <v>116</v>
      </c>
    </row>
    <row r="22" customFormat="false" ht="33.75" hidden="false" customHeight="true" outlineLevel="0" collapsed="false">
      <c r="B22" s="26" t="s">
        <v>117</v>
      </c>
      <c r="C22" s="22" t="s">
        <v>118</v>
      </c>
    </row>
    <row r="23" customFormat="false" ht="21.75" hidden="false" customHeight="true" outlineLevel="0" collapsed="false">
      <c r="B23" s="24" t="s">
        <v>119</v>
      </c>
      <c r="C23" s="24"/>
    </row>
    <row r="24" customFormat="false" ht="33.75" hidden="false" customHeight="true" outlineLevel="0" collapsed="false">
      <c r="B24" s="25" t="s">
        <v>62</v>
      </c>
      <c r="C24" s="22" t="s">
        <v>120</v>
      </c>
    </row>
    <row r="25" customFormat="false" ht="33.75" hidden="false" customHeight="true" outlineLevel="0" collapsed="false">
      <c r="B25" s="25" t="s">
        <v>64</v>
      </c>
      <c r="C25" s="22" t="s">
        <v>121</v>
      </c>
    </row>
    <row r="26" customFormat="false" ht="33.75" hidden="false" customHeight="true" outlineLevel="0" collapsed="false">
      <c r="B26" s="25" t="s">
        <v>66</v>
      </c>
      <c r="C26" s="22" t="s">
        <v>122</v>
      </c>
    </row>
    <row r="27" customFormat="false" ht="33.75" hidden="false" customHeight="true" outlineLevel="0" collapsed="false">
      <c r="B27" s="25" t="s">
        <v>35</v>
      </c>
      <c r="C27" s="22" t="s">
        <v>123</v>
      </c>
    </row>
    <row r="28" customFormat="false" ht="21.75" hidden="false" customHeight="true" outlineLevel="0" collapsed="false">
      <c r="B28" s="24" t="s">
        <v>124</v>
      </c>
      <c r="C28" s="24"/>
    </row>
    <row r="29" customFormat="false" ht="33.75" hidden="false" customHeight="true" outlineLevel="0" collapsed="false">
      <c r="B29" s="25" t="s">
        <v>125</v>
      </c>
      <c r="C29" s="22" t="s">
        <v>126</v>
      </c>
    </row>
    <row r="30" customFormat="false" ht="33.75" hidden="false" customHeight="true" outlineLevel="0" collapsed="false">
      <c r="B30" s="25" t="s">
        <v>127</v>
      </c>
      <c r="C30" s="22" t="s">
        <v>128</v>
      </c>
    </row>
    <row r="31" customFormat="false" ht="33.75" hidden="false" customHeight="true" outlineLevel="0" collapsed="false">
      <c r="B31" s="25" t="s">
        <v>129</v>
      </c>
      <c r="C31" s="22" t="s">
        <v>130</v>
      </c>
    </row>
    <row r="32" customFormat="false" ht="33.75" hidden="false" customHeight="true" outlineLevel="0" collapsed="false">
      <c r="B32" s="25" t="s">
        <v>131</v>
      </c>
      <c r="C32" s="22" t="s">
        <v>132</v>
      </c>
    </row>
    <row r="33" customFormat="false" ht="33.75" hidden="false" customHeight="true" outlineLevel="0" collapsed="false">
      <c r="B33" s="25" t="s">
        <v>133</v>
      </c>
      <c r="C33" s="22" t="s">
        <v>134</v>
      </c>
    </row>
    <row r="34" customFormat="false" ht="33.75" hidden="false" customHeight="true" outlineLevel="0" collapsed="false">
      <c r="B34" s="25" t="s">
        <v>135</v>
      </c>
      <c r="C34" s="22" t="s">
        <v>136</v>
      </c>
    </row>
    <row r="35" customFormat="false" ht="21.75" hidden="false" customHeight="true" outlineLevel="0" collapsed="false">
      <c r="B35" s="24" t="s">
        <v>137</v>
      </c>
      <c r="C35" s="24"/>
    </row>
    <row r="36" customFormat="false" ht="31.5" hidden="false" customHeight="true" outlineLevel="0" collapsed="false">
      <c r="B36" s="22" t="s">
        <v>138</v>
      </c>
      <c r="C36" s="22"/>
    </row>
    <row r="37" customFormat="false" ht="31.5" hidden="false" customHeight="true" outlineLevel="0" collapsed="false">
      <c r="B37" s="22" t="s">
        <v>139</v>
      </c>
      <c r="C37" s="22"/>
    </row>
    <row r="38" customFormat="false" ht="21.75" hidden="false" customHeight="true" outlineLevel="0" collapsed="false">
      <c r="B38" s="24" t="s">
        <v>140</v>
      </c>
      <c r="C38" s="24"/>
    </row>
    <row r="39" customFormat="false" ht="31.5" hidden="false" customHeight="true" outlineLevel="0" collapsed="false">
      <c r="B39" s="22" t="s">
        <v>141</v>
      </c>
      <c r="C39" s="22"/>
    </row>
    <row r="40" customFormat="false" ht="31.5" hidden="false" customHeight="true" outlineLevel="0" collapsed="false">
      <c r="B40" s="22" t="s">
        <v>142</v>
      </c>
      <c r="C40" s="22"/>
    </row>
    <row r="41" customFormat="false" ht="21.75" hidden="false" customHeight="true" outlineLevel="0" collapsed="false">
      <c r="B41" s="24" t="s">
        <v>143</v>
      </c>
      <c r="C41" s="24"/>
    </row>
    <row r="42" customFormat="false" ht="33.75" hidden="false" customHeight="true" outlineLevel="0" collapsed="false">
      <c r="B42" s="25" t="s">
        <v>80</v>
      </c>
      <c r="C42" s="22" t="s">
        <v>144</v>
      </c>
    </row>
    <row r="43" customFormat="false" ht="33.75" hidden="false" customHeight="true" outlineLevel="0" collapsed="false">
      <c r="B43" s="25" t="s">
        <v>145</v>
      </c>
      <c r="C43" s="22" t="s">
        <v>146</v>
      </c>
    </row>
    <row r="44" customFormat="false" ht="33.75" hidden="false" customHeight="true" outlineLevel="0" collapsed="false">
      <c r="B44" s="25" t="s">
        <v>147</v>
      </c>
      <c r="C44" s="22" t="s">
        <v>148</v>
      </c>
    </row>
  </sheetData>
  <mergeCells count="15">
    <mergeCell ref="B2:C2"/>
    <mergeCell ref="B4:C4"/>
    <mergeCell ref="B5:C5"/>
    <mergeCell ref="B6:C6"/>
    <mergeCell ref="B13:C13"/>
    <mergeCell ref="B17:C17"/>
    <mergeCell ref="B23:C23"/>
    <mergeCell ref="B28:C28"/>
    <mergeCell ref="B35:C35"/>
    <mergeCell ref="B36:C36"/>
    <mergeCell ref="B37:C37"/>
    <mergeCell ref="B38:C38"/>
    <mergeCell ref="B39:C39"/>
    <mergeCell ref="B40:C40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Q128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false" outlineLevel="0" max="11" min="11" style="0" width="6"/>
    <col collapsed="false" customWidth="true" hidden="false" outlineLevel="0" max="12" min="12" style="0" width="9"/>
    <col collapsed="false" customWidth="true" hidden="false" outlineLevel="0" max="13" min="13" style="0" width="17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30"/>
    <col collapsed="false" customWidth="true" hidden="false" outlineLevel="0" max="17" min="17" style="0" width="22"/>
  </cols>
  <sheetData>
    <row r="1" customFormat="false" ht="25.5" hidden="false" customHeight="true" outlineLevel="0" collapsed="false">
      <c r="A1" s="23" t="s">
        <v>149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customFormat="false" ht="15" hidden="false" customHeight="true" outlineLevel="0" collapsed="false">
      <c r="A2" s="6" t="s">
        <v>150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4" customFormat="false" ht="15" hidden="false" customHeight="true" outlineLevel="0" collapsed="false">
      <c r="A4" s="29" t="s">
        <v>151</v>
      </c>
      <c r="B4" s="29"/>
      <c r="C4" s="29"/>
      <c r="D4" s="29"/>
      <c r="E4" s="29"/>
      <c r="F4" s="29"/>
      <c r="G4" s="29"/>
      <c r="H4" s="29"/>
      <c r="I4" s="29"/>
      <c r="K4" s="29" t="s">
        <v>152</v>
      </c>
      <c r="L4" s="29"/>
      <c r="M4" s="29"/>
      <c r="N4" s="29"/>
      <c r="O4" s="29"/>
      <c r="P4" s="29"/>
      <c r="Q4" s="29"/>
    </row>
    <row r="5" customFormat="false" ht="30" hidden="false" customHeight="true" outlineLevel="0" collapsed="false">
      <c r="A5" s="30" t="s">
        <v>153</v>
      </c>
      <c r="B5" s="30" t="s">
        <v>154</v>
      </c>
      <c r="C5" s="30" t="s">
        <v>155</v>
      </c>
      <c r="D5" s="30" t="s">
        <v>156</v>
      </c>
      <c r="E5" s="30" t="s">
        <v>157</v>
      </c>
      <c r="F5" s="30" t="s">
        <v>158</v>
      </c>
      <c r="G5" s="30" t="s">
        <v>159</v>
      </c>
      <c r="H5" s="30" t="s">
        <v>160</v>
      </c>
      <c r="I5" s="30" t="s">
        <v>161</v>
      </c>
      <c r="K5" s="30" t="s">
        <v>162</v>
      </c>
      <c r="L5" s="30" t="s">
        <v>163</v>
      </c>
      <c r="M5" s="30" t="s">
        <v>164</v>
      </c>
      <c r="N5" s="30" t="s">
        <v>165</v>
      </c>
      <c r="O5" s="30" t="s">
        <v>166</v>
      </c>
      <c r="P5" s="30" t="s">
        <v>167</v>
      </c>
      <c r="Q5" s="30" t="s">
        <v>168</v>
      </c>
    </row>
    <row r="6" customFormat="false" ht="15.75" hidden="false" customHeight="true" outlineLevel="0" collapsed="false">
      <c r="A6" s="31" t="s">
        <v>169</v>
      </c>
      <c r="B6" s="32" t="s">
        <v>170</v>
      </c>
      <c r="C6" s="33" t="s">
        <v>171</v>
      </c>
      <c r="D6" s="33" t="s">
        <v>172</v>
      </c>
      <c r="E6" s="33" t="s">
        <v>157</v>
      </c>
      <c r="F6" s="32" t="s">
        <v>173</v>
      </c>
      <c r="G6" s="32"/>
      <c r="H6" s="33" t="s">
        <v>174</v>
      </c>
      <c r="I6" s="31" t="s">
        <v>175</v>
      </c>
      <c r="K6" s="34" t="n">
        <f aca="false">IF($M6="","",ROW()-5)</f>
        <v>1</v>
      </c>
      <c r="L6" s="33" t="s">
        <v>176</v>
      </c>
      <c r="M6" s="33" t="s">
        <v>177</v>
      </c>
      <c r="N6" s="31" t="s">
        <v>178</v>
      </c>
      <c r="O6" s="35" t="str">
        <f aca="false">IF($N6="","",IFERROR(INDEX($B$6:$B$125,MATCH($N6,$A$6:$A$125,0)),"⚠科目不存在"))</f>
        <v>应收账款</v>
      </c>
      <c r="P6" s="32" t="s">
        <v>179</v>
      </c>
      <c r="Q6" s="32"/>
    </row>
    <row r="7" customFormat="false" ht="15.75" hidden="false" customHeight="true" outlineLevel="0" collapsed="false">
      <c r="A7" s="31" t="s">
        <v>180</v>
      </c>
      <c r="B7" s="32" t="s">
        <v>181</v>
      </c>
      <c r="C7" s="33" t="s">
        <v>171</v>
      </c>
      <c r="D7" s="33" t="s">
        <v>172</v>
      </c>
      <c r="E7" s="33" t="s">
        <v>157</v>
      </c>
      <c r="F7" s="32" t="s">
        <v>173</v>
      </c>
      <c r="G7" s="32"/>
      <c r="H7" s="33" t="s">
        <v>174</v>
      </c>
      <c r="I7" s="31" t="s">
        <v>175</v>
      </c>
      <c r="K7" s="34" t="n">
        <f aca="false">IF($M7="","",ROW()-5)</f>
        <v>2</v>
      </c>
      <c r="L7" s="33" t="s">
        <v>176</v>
      </c>
      <c r="M7" s="33" t="s">
        <v>182</v>
      </c>
      <c r="N7" s="31" t="s">
        <v>183</v>
      </c>
      <c r="O7" s="35" t="str">
        <f aca="false">IF($N7="","",IFERROR(INDEX($B$6:$B$125,MATCH($N7,$A$6:$A$125,0)),"⚠科目不存在"))</f>
        <v>预收账款</v>
      </c>
      <c r="P7" s="32" t="s">
        <v>179</v>
      </c>
      <c r="Q7" s="32"/>
    </row>
    <row r="8" customFormat="false" ht="15.75" hidden="false" customHeight="true" outlineLevel="0" collapsed="false">
      <c r="A8" s="31" t="s">
        <v>184</v>
      </c>
      <c r="B8" s="32" t="s">
        <v>185</v>
      </c>
      <c r="C8" s="33" t="s">
        <v>171</v>
      </c>
      <c r="D8" s="33" t="s">
        <v>172</v>
      </c>
      <c r="E8" s="33" t="s">
        <v>157</v>
      </c>
      <c r="F8" s="32" t="s">
        <v>173</v>
      </c>
      <c r="G8" s="32"/>
      <c r="H8" s="33" t="s">
        <v>174</v>
      </c>
      <c r="I8" s="31" t="s">
        <v>175</v>
      </c>
      <c r="K8" s="34" t="n">
        <f aca="false">IF($M8="","",ROW()-5)</f>
        <v>3</v>
      </c>
      <c r="L8" s="33" t="s">
        <v>176</v>
      </c>
      <c r="M8" s="33" t="s">
        <v>186</v>
      </c>
      <c r="N8" s="31" t="s">
        <v>187</v>
      </c>
      <c r="O8" s="35" t="str">
        <f aca="false">IF($N8="","",IFERROR(INDEX($B$6:$B$125,MATCH($N8,$A$6:$A$125,0)),"⚠科目不存在"))</f>
        <v>主营业务收入</v>
      </c>
      <c r="P8" s="32" t="s">
        <v>179</v>
      </c>
      <c r="Q8" s="32"/>
    </row>
    <row r="9" customFormat="false" ht="15.75" hidden="false" customHeight="true" outlineLevel="0" collapsed="false">
      <c r="A9" s="31" t="s">
        <v>188</v>
      </c>
      <c r="B9" s="32" t="s">
        <v>189</v>
      </c>
      <c r="C9" s="33" t="s">
        <v>171</v>
      </c>
      <c r="D9" s="33" t="s">
        <v>172</v>
      </c>
      <c r="E9" s="33" t="s">
        <v>157</v>
      </c>
      <c r="F9" s="32" t="s">
        <v>189</v>
      </c>
      <c r="G9" s="32"/>
      <c r="H9" s="33" t="s">
        <v>190</v>
      </c>
      <c r="I9" s="31" t="s">
        <v>175</v>
      </c>
      <c r="K9" s="34" t="n">
        <f aca="false">IF($M9="","",ROW()-5)</f>
        <v>4</v>
      </c>
      <c r="L9" s="33" t="s">
        <v>176</v>
      </c>
      <c r="M9" s="33" t="s">
        <v>191</v>
      </c>
      <c r="N9" s="31" t="s">
        <v>192</v>
      </c>
      <c r="O9" s="35" t="str">
        <f aca="false">IF($N9="","",IFERROR(INDEX($B$6:$B$125,MATCH($N9,$A$6:$A$125,0)),"⚠科目不存在"))</f>
        <v>其他业务收入</v>
      </c>
      <c r="P9" s="32" t="s">
        <v>193</v>
      </c>
      <c r="Q9" s="32"/>
    </row>
    <row r="10" customFormat="false" ht="15.75" hidden="false" customHeight="true" outlineLevel="0" collapsed="false">
      <c r="A10" s="31" t="s">
        <v>194</v>
      </c>
      <c r="B10" s="32" t="s">
        <v>195</v>
      </c>
      <c r="C10" s="33" t="s">
        <v>171</v>
      </c>
      <c r="D10" s="33" t="s">
        <v>172</v>
      </c>
      <c r="E10" s="33" t="s">
        <v>157</v>
      </c>
      <c r="F10" s="32" t="s">
        <v>195</v>
      </c>
      <c r="G10" s="32"/>
      <c r="H10" s="33" t="s">
        <v>196</v>
      </c>
      <c r="I10" s="33" t="s">
        <v>197</v>
      </c>
      <c r="K10" s="34" t="n">
        <f aca="false">IF($M10="","",ROW()-5)</f>
        <v>5</v>
      </c>
      <c r="L10" s="33" t="s">
        <v>176</v>
      </c>
      <c r="M10" s="33" t="s">
        <v>198</v>
      </c>
      <c r="N10" s="31" t="s">
        <v>199</v>
      </c>
      <c r="O10" s="35" t="str">
        <f aca="false">IF($N10="","",IFERROR(INDEX($B$6:$B$125,MATCH($N10,$A$6:$A$125,0)),"⚠科目不存在"))</f>
        <v>其他收益</v>
      </c>
      <c r="P10" s="32" t="s">
        <v>193</v>
      </c>
      <c r="Q10" s="32"/>
    </row>
    <row r="11" customFormat="false" ht="15.75" hidden="false" customHeight="true" outlineLevel="0" collapsed="false">
      <c r="A11" s="31" t="s">
        <v>178</v>
      </c>
      <c r="B11" s="32" t="s">
        <v>200</v>
      </c>
      <c r="C11" s="33" t="s">
        <v>171</v>
      </c>
      <c r="D11" s="33" t="s">
        <v>172</v>
      </c>
      <c r="E11" s="33" t="s">
        <v>157</v>
      </c>
      <c r="F11" s="32" t="s">
        <v>200</v>
      </c>
      <c r="G11" s="32"/>
      <c r="H11" s="33" t="s">
        <v>196</v>
      </c>
      <c r="I11" s="33" t="s">
        <v>197</v>
      </c>
      <c r="K11" s="34" t="n">
        <f aca="false">IF($M11="","",ROW()-5)</f>
        <v>6</v>
      </c>
      <c r="L11" s="33" t="s">
        <v>176</v>
      </c>
      <c r="M11" s="33" t="s">
        <v>201</v>
      </c>
      <c r="N11" s="31" t="s">
        <v>202</v>
      </c>
      <c r="O11" s="35" t="str">
        <f aca="false">IF($N11="","",IFERROR(INDEX($B$6:$B$125,MATCH($N11,$A$6:$A$125,0)),"⚠科目不存在"))</f>
        <v>财务费用</v>
      </c>
      <c r="P11" s="32" t="s">
        <v>193</v>
      </c>
      <c r="Q11" s="32"/>
    </row>
    <row r="12" customFormat="false" ht="15.75" hidden="false" customHeight="true" outlineLevel="0" collapsed="false">
      <c r="A12" s="31" t="s">
        <v>203</v>
      </c>
      <c r="B12" s="32" t="s">
        <v>204</v>
      </c>
      <c r="C12" s="33" t="s">
        <v>171</v>
      </c>
      <c r="D12" s="33" t="s">
        <v>172</v>
      </c>
      <c r="E12" s="33" t="s">
        <v>157</v>
      </c>
      <c r="F12" s="32" t="s">
        <v>205</v>
      </c>
      <c r="G12" s="32"/>
      <c r="H12" s="33" t="s">
        <v>196</v>
      </c>
      <c r="I12" s="33" t="s">
        <v>206</v>
      </c>
      <c r="K12" s="34" t="n">
        <f aca="false">IF($M12="","",ROW()-5)</f>
        <v>7</v>
      </c>
      <c r="L12" s="33" t="s">
        <v>176</v>
      </c>
      <c r="M12" s="33" t="s">
        <v>207</v>
      </c>
      <c r="N12" s="31" t="s">
        <v>192</v>
      </c>
      <c r="O12" s="35" t="str">
        <f aca="false">IF($N12="","",IFERROR(INDEX($B$6:$B$125,MATCH($N12,$A$6:$A$125,0)),"⚠科目不存在"))</f>
        <v>其他业务收入</v>
      </c>
      <c r="P12" s="32" t="s">
        <v>193</v>
      </c>
      <c r="Q12" s="32"/>
    </row>
    <row r="13" customFormat="false" ht="15.75" hidden="false" customHeight="true" outlineLevel="0" collapsed="false">
      <c r="A13" s="31" t="s">
        <v>208</v>
      </c>
      <c r="B13" s="32" t="s">
        <v>209</v>
      </c>
      <c r="C13" s="33" t="s">
        <v>171</v>
      </c>
      <c r="D13" s="33" t="s">
        <v>172</v>
      </c>
      <c r="E13" s="33" t="s">
        <v>157</v>
      </c>
      <c r="F13" s="32" t="s">
        <v>210</v>
      </c>
      <c r="G13" s="32"/>
      <c r="H13" s="33" t="s">
        <v>190</v>
      </c>
      <c r="I13" s="31" t="s">
        <v>175</v>
      </c>
      <c r="K13" s="34" t="n">
        <f aca="false">IF($M13="","",ROW()-5)</f>
        <v>8</v>
      </c>
      <c r="L13" s="33" t="s">
        <v>176</v>
      </c>
      <c r="M13" s="33" t="s">
        <v>211</v>
      </c>
      <c r="N13" s="31" t="s">
        <v>192</v>
      </c>
      <c r="O13" s="35" t="str">
        <f aca="false">IF($N13="","",IFERROR(INDEX($B$6:$B$125,MATCH($N13,$A$6:$A$125,0)),"⚠科目不存在"))</f>
        <v>其他业务收入</v>
      </c>
      <c r="P13" s="32" t="s">
        <v>193</v>
      </c>
      <c r="Q13" s="32"/>
    </row>
    <row r="14" customFormat="false" ht="15.75" hidden="false" customHeight="true" outlineLevel="0" collapsed="false">
      <c r="A14" s="31" t="s">
        <v>212</v>
      </c>
      <c r="B14" s="32" t="s">
        <v>213</v>
      </c>
      <c r="C14" s="33" t="s">
        <v>171</v>
      </c>
      <c r="D14" s="33" t="s">
        <v>172</v>
      </c>
      <c r="E14" s="33" t="s">
        <v>157</v>
      </c>
      <c r="F14" s="32" t="s">
        <v>210</v>
      </c>
      <c r="G14" s="32"/>
      <c r="H14" s="33" t="s">
        <v>190</v>
      </c>
      <c r="I14" s="31" t="s">
        <v>175</v>
      </c>
      <c r="K14" s="34" t="n">
        <f aca="false">IF($M14="","",ROW()-5)</f>
        <v>9</v>
      </c>
      <c r="L14" s="33" t="s">
        <v>176</v>
      </c>
      <c r="M14" s="33" t="s">
        <v>214</v>
      </c>
      <c r="N14" s="31" t="s">
        <v>215</v>
      </c>
      <c r="O14" s="35" t="str">
        <f aca="false">IF($N14="","",IFERROR(INDEX($B$6:$B$125,MATCH($N14,$A$6:$A$125,0)),"⚠科目不存在"))</f>
        <v>其他应收款</v>
      </c>
      <c r="P14" s="32" t="s">
        <v>193</v>
      </c>
      <c r="Q14" s="32"/>
    </row>
    <row r="15" customFormat="false" ht="15.75" hidden="false" customHeight="true" outlineLevel="0" collapsed="false">
      <c r="A15" s="31" t="s">
        <v>215</v>
      </c>
      <c r="B15" s="32" t="s">
        <v>210</v>
      </c>
      <c r="C15" s="33" t="s">
        <v>171</v>
      </c>
      <c r="D15" s="33" t="s">
        <v>172</v>
      </c>
      <c r="E15" s="33" t="s">
        <v>157</v>
      </c>
      <c r="F15" s="32" t="s">
        <v>210</v>
      </c>
      <c r="G15" s="32"/>
      <c r="H15" s="33" t="s">
        <v>196</v>
      </c>
      <c r="I15" s="33" t="s">
        <v>216</v>
      </c>
      <c r="K15" s="34" t="n">
        <f aca="false">IF($M15="","",ROW()-5)</f>
        <v>10</v>
      </c>
      <c r="L15" s="33" t="s">
        <v>176</v>
      </c>
      <c r="M15" s="33" t="s">
        <v>217</v>
      </c>
      <c r="N15" s="31" t="s">
        <v>215</v>
      </c>
      <c r="O15" s="35" t="str">
        <f aca="false">IF($N15="","",IFERROR(INDEX($B$6:$B$125,MATCH($N15,$A$6:$A$125,0)),"⚠科目不存在"))</f>
        <v>其他应收款</v>
      </c>
      <c r="P15" s="32" t="s">
        <v>193</v>
      </c>
      <c r="Q15" s="32"/>
    </row>
    <row r="16" customFormat="false" ht="15.75" hidden="false" customHeight="true" outlineLevel="0" collapsed="false">
      <c r="A16" s="31" t="s">
        <v>218</v>
      </c>
      <c r="B16" s="32" t="s">
        <v>219</v>
      </c>
      <c r="C16" s="33" t="s">
        <v>171</v>
      </c>
      <c r="D16" s="33" t="s">
        <v>220</v>
      </c>
      <c r="E16" s="33" t="s">
        <v>157</v>
      </c>
      <c r="F16" s="32" t="s">
        <v>200</v>
      </c>
      <c r="G16" s="32"/>
      <c r="H16" s="33" t="s">
        <v>221</v>
      </c>
      <c r="I16" s="31" t="s">
        <v>175</v>
      </c>
      <c r="K16" s="34" t="n">
        <f aca="false">IF($M16="","",ROW()-5)</f>
        <v>11</v>
      </c>
      <c r="L16" s="33" t="s">
        <v>176</v>
      </c>
      <c r="M16" s="33" t="s">
        <v>222</v>
      </c>
      <c r="N16" s="31" t="s">
        <v>223</v>
      </c>
      <c r="O16" s="35" t="str">
        <f aca="false">IF($N16="","",IFERROR(INDEX($B$6:$B$125,MATCH($N16,$A$6:$A$125,0)),"⚠科目不存在"))</f>
        <v>营业外收入</v>
      </c>
      <c r="P16" s="32" t="s">
        <v>193</v>
      </c>
      <c r="Q16" s="32"/>
    </row>
    <row r="17" customFormat="false" ht="15.75" hidden="false" customHeight="true" outlineLevel="0" collapsed="false">
      <c r="A17" s="31" t="s">
        <v>224</v>
      </c>
      <c r="B17" s="32" t="s">
        <v>225</v>
      </c>
      <c r="C17" s="33" t="s">
        <v>171</v>
      </c>
      <c r="D17" s="33" t="s">
        <v>172</v>
      </c>
      <c r="E17" s="33" t="s">
        <v>157</v>
      </c>
      <c r="F17" s="32" t="s">
        <v>226</v>
      </c>
      <c r="G17" s="32"/>
      <c r="H17" s="33" t="s">
        <v>196</v>
      </c>
      <c r="I17" s="31" t="s">
        <v>175</v>
      </c>
      <c r="K17" s="34" t="n">
        <f aca="false">IF($M17="","",ROW()-5)</f>
        <v>12</v>
      </c>
      <c r="L17" s="33" t="s">
        <v>176</v>
      </c>
      <c r="M17" s="33" t="s">
        <v>227</v>
      </c>
      <c r="N17" s="31" t="s">
        <v>228</v>
      </c>
      <c r="O17" s="35" t="str">
        <f aca="false">IF($N17="","",IFERROR(INDEX($B$6:$B$125,MATCH($N17,$A$6:$A$125,0)),"⚠科目不存在"))</f>
        <v>固定资产清理</v>
      </c>
      <c r="P17" s="32" t="s">
        <v>229</v>
      </c>
      <c r="Q17" s="32"/>
    </row>
    <row r="18" customFormat="false" ht="15.75" hidden="false" customHeight="true" outlineLevel="0" collapsed="false">
      <c r="A18" s="31" t="s">
        <v>230</v>
      </c>
      <c r="B18" s="32" t="s">
        <v>231</v>
      </c>
      <c r="C18" s="33" t="s">
        <v>171</v>
      </c>
      <c r="D18" s="33" t="s">
        <v>172</v>
      </c>
      <c r="E18" s="33" t="s">
        <v>157</v>
      </c>
      <c r="F18" s="32" t="s">
        <v>226</v>
      </c>
      <c r="G18" s="32"/>
      <c r="H18" s="33" t="s">
        <v>196</v>
      </c>
      <c r="I18" s="31" t="s">
        <v>175</v>
      </c>
      <c r="K18" s="34" t="n">
        <f aca="false">IF($M18="","",ROW()-5)</f>
        <v>13</v>
      </c>
      <c r="L18" s="33" t="s">
        <v>176</v>
      </c>
      <c r="M18" s="33" t="s">
        <v>232</v>
      </c>
      <c r="N18" s="31" t="s">
        <v>233</v>
      </c>
      <c r="O18" s="35" t="str">
        <f aca="false">IF($N18="","",IFERROR(INDEX($B$6:$B$125,MATCH($N18,$A$6:$A$125,0)),"⚠科目不存在"))</f>
        <v>实收资本</v>
      </c>
      <c r="P18" s="32" t="s">
        <v>234</v>
      </c>
      <c r="Q18" s="32"/>
    </row>
    <row r="19" customFormat="false" ht="15.75" hidden="false" customHeight="true" outlineLevel="0" collapsed="false">
      <c r="A19" s="31" t="s">
        <v>235</v>
      </c>
      <c r="B19" s="32" t="s">
        <v>236</v>
      </c>
      <c r="C19" s="33" t="s">
        <v>171</v>
      </c>
      <c r="D19" s="33" t="s">
        <v>172</v>
      </c>
      <c r="E19" s="33" t="s">
        <v>157</v>
      </c>
      <c r="F19" s="32" t="s">
        <v>226</v>
      </c>
      <c r="G19" s="32"/>
      <c r="H19" s="33" t="s">
        <v>196</v>
      </c>
      <c r="I19" s="33" t="s">
        <v>237</v>
      </c>
      <c r="K19" s="34" t="n">
        <f aca="false">IF($M19="","",ROW()-5)</f>
        <v>14</v>
      </c>
      <c r="L19" s="33" t="s">
        <v>176</v>
      </c>
      <c r="M19" s="33" t="s">
        <v>238</v>
      </c>
      <c r="N19" s="31" t="s">
        <v>239</v>
      </c>
      <c r="O19" s="35" t="str">
        <f aca="false">IF($N19="","",IFERROR(INDEX($B$6:$B$125,MATCH($N19,$A$6:$A$125,0)),"⚠科目不存在"))</f>
        <v>短期借款</v>
      </c>
      <c r="P19" s="32" t="s">
        <v>240</v>
      </c>
      <c r="Q19" s="32"/>
    </row>
    <row r="20" customFormat="false" ht="15.75" hidden="false" customHeight="true" outlineLevel="0" collapsed="false">
      <c r="A20" s="31" t="s">
        <v>241</v>
      </c>
      <c r="B20" s="32" t="s">
        <v>242</v>
      </c>
      <c r="C20" s="33" t="s">
        <v>171</v>
      </c>
      <c r="D20" s="33" t="s">
        <v>172</v>
      </c>
      <c r="E20" s="33" t="s">
        <v>157</v>
      </c>
      <c r="F20" s="32" t="s">
        <v>226</v>
      </c>
      <c r="G20" s="32"/>
      <c r="H20" s="33" t="s">
        <v>196</v>
      </c>
      <c r="I20" s="33" t="s">
        <v>237</v>
      </c>
      <c r="K20" s="34" t="n">
        <f aca="false">IF($M20="","",ROW()-5)</f>
        <v>15</v>
      </c>
      <c r="L20" s="33" t="s">
        <v>176</v>
      </c>
      <c r="M20" s="33" t="s">
        <v>243</v>
      </c>
      <c r="N20" s="31" t="s">
        <v>244</v>
      </c>
      <c r="O20" s="35" t="str">
        <f aca="false">IF($N20="","",IFERROR(INDEX($B$6:$B$125,MATCH($N20,$A$6:$A$125,0)),"⚠科目不存在"))</f>
        <v>投资收益</v>
      </c>
      <c r="P20" s="32" t="s">
        <v>245</v>
      </c>
      <c r="Q20" s="32"/>
    </row>
    <row r="21" customFormat="false" ht="15.75" hidden="false" customHeight="true" outlineLevel="0" collapsed="false">
      <c r="A21" s="31" t="s">
        <v>246</v>
      </c>
      <c r="B21" s="32" t="s">
        <v>247</v>
      </c>
      <c r="C21" s="33" t="s">
        <v>171</v>
      </c>
      <c r="D21" s="33" t="s">
        <v>172</v>
      </c>
      <c r="E21" s="33" t="s">
        <v>157</v>
      </c>
      <c r="F21" s="32" t="s">
        <v>226</v>
      </c>
      <c r="G21" s="32"/>
      <c r="H21" s="33" t="s">
        <v>196</v>
      </c>
      <c r="I21" s="33" t="s">
        <v>237</v>
      </c>
      <c r="K21" s="34" t="n">
        <f aca="false">IF($M21="","",ROW()-5)</f>
        <v>16</v>
      </c>
      <c r="L21" s="33" t="s">
        <v>248</v>
      </c>
      <c r="M21" s="33" t="s">
        <v>249</v>
      </c>
      <c r="N21" s="31" t="s">
        <v>250</v>
      </c>
      <c r="O21" s="35" t="str">
        <f aca="false">IF($N21="","",IFERROR(INDEX($B$6:$B$125,MATCH($N21,$A$6:$A$125,0)),"⚠科目不存在"))</f>
        <v>应付账款</v>
      </c>
      <c r="P21" s="32" t="s">
        <v>251</v>
      </c>
      <c r="Q21" s="32"/>
    </row>
    <row r="22" customFormat="false" ht="15.75" hidden="false" customHeight="true" outlineLevel="0" collapsed="false">
      <c r="A22" s="31" t="s">
        <v>252</v>
      </c>
      <c r="B22" s="32" t="s">
        <v>253</v>
      </c>
      <c r="C22" s="33" t="s">
        <v>171</v>
      </c>
      <c r="D22" s="33" t="s">
        <v>172</v>
      </c>
      <c r="E22" s="33" t="s">
        <v>157</v>
      </c>
      <c r="F22" s="32" t="s">
        <v>226</v>
      </c>
      <c r="G22" s="32"/>
      <c r="H22" s="33" t="s">
        <v>196</v>
      </c>
      <c r="I22" s="31" t="s">
        <v>175</v>
      </c>
      <c r="K22" s="34" t="n">
        <f aca="false">IF($M22="","",ROW()-5)</f>
        <v>17</v>
      </c>
      <c r="L22" s="33" t="s">
        <v>248</v>
      </c>
      <c r="M22" s="33" t="s">
        <v>254</v>
      </c>
      <c r="N22" s="31" t="s">
        <v>203</v>
      </c>
      <c r="O22" s="35" t="str">
        <f aca="false">IF($N22="","",IFERROR(INDEX($B$6:$B$125,MATCH($N22,$A$6:$A$125,0)),"⚠科目不存在"))</f>
        <v>预付账款</v>
      </c>
      <c r="P22" s="32" t="s">
        <v>251</v>
      </c>
      <c r="Q22" s="32"/>
    </row>
    <row r="23" customFormat="false" ht="15.75" hidden="false" customHeight="true" outlineLevel="0" collapsed="false">
      <c r="A23" s="31" t="s">
        <v>255</v>
      </c>
      <c r="B23" s="32" t="s">
        <v>256</v>
      </c>
      <c r="C23" s="33" t="s">
        <v>171</v>
      </c>
      <c r="D23" s="33" t="s">
        <v>172</v>
      </c>
      <c r="E23" s="33" t="s">
        <v>157</v>
      </c>
      <c r="F23" s="32" t="s">
        <v>226</v>
      </c>
      <c r="G23" s="32"/>
      <c r="H23" s="33" t="s">
        <v>196</v>
      </c>
      <c r="I23" s="31" t="s">
        <v>175</v>
      </c>
      <c r="K23" s="34" t="n">
        <f aca="false">IF($M23="","",ROW()-5)</f>
        <v>18</v>
      </c>
      <c r="L23" s="33" t="s">
        <v>248</v>
      </c>
      <c r="M23" s="33" t="s">
        <v>257</v>
      </c>
      <c r="N23" s="31" t="s">
        <v>241</v>
      </c>
      <c r="O23" s="35" t="str">
        <f aca="false">IF($N23="","",IFERROR(INDEX($B$6:$B$125,MATCH($N23,$A$6:$A$125,0)),"⚠科目不存在"))</f>
        <v>库存商品</v>
      </c>
      <c r="P23" s="32" t="s">
        <v>251</v>
      </c>
      <c r="Q23" s="32"/>
    </row>
    <row r="24" customFormat="false" ht="15.75" hidden="false" customHeight="true" outlineLevel="0" collapsed="false">
      <c r="A24" s="31" t="s">
        <v>258</v>
      </c>
      <c r="B24" s="32" t="s">
        <v>259</v>
      </c>
      <c r="C24" s="33" t="s">
        <v>171</v>
      </c>
      <c r="D24" s="33" t="s">
        <v>220</v>
      </c>
      <c r="E24" s="33" t="s">
        <v>157</v>
      </c>
      <c r="F24" s="32" t="s">
        <v>226</v>
      </c>
      <c r="G24" s="32"/>
      <c r="H24" s="33" t="s">
        <v>221</v>
      </c>
      <c r="I24" s="31" t="s">
        <v>175</v>
      </c>
      <c r="K24" s="34" t="n">
        <f aca="false">IF($M24="","",ROW()-5)</f>
        <v>19</v>
      </c>
      <c r="L24" s="33" t="s">
        <v>248</v>
      </c>
      <c r="M24" s="33" t="s">
        <v>260</v>
      </c>
      <c r="N24" s="31" t="s">
        <v>261</v>
      </c>
      <c r="O24" s="35" t="str">
        <f aca="false">IF($N24="","",IFERROR(INDEX($B$6:$B$125,MATCH($N24,$A$6:$A$125,0)),"⚠科目不存在"))</f>
        <v>应付职工薪酬</v>
      </c>
      <c r="P24" s="32" t="s">
        <v>262</v>
      </c>
      <c r="Q24" s="32"/>
    </row>
    <row r="25" customFormat="false" ht="15.75" hidden="false" customHeight="true" outlineLevel="0" collapsed="false">
      <c r="A25" s="31" t="s">
        <v>263</v>
      </c>
      <c r="B25" s="32" t="s">
        <v>264</v>
      </c>
      <c r="C25" s="33" t="s">
        <v>171</v>
      </c>
      <c r="D25" s="33" t="s">
        <v>172</v>
      </c>
      <c r="E25" s="33" t="s">
        <v>157</v>
      </c>
      <c r="F25" s="32" t="s">
        <v>264</v>
      </c>
      <c r="G25" s="32"/>
      <c r="H25" s="33" t="s">
        <v>190</v>
      </c>
      <c r="I25" s="31" t="s">
        <v>175</v>
      </c>
      <c r="K25" s="34" t="n">
        <f aca="false">IF($M25="","",ROW()-5)</f>
        <v>20</v>
      </c>
      <c r="L25" s="33" t="s">
        <v>248</v>
      </c>
      <c r="M25" s="33" t="s">
        <v>265</v>
      </c>
      <c r="N25" s="31" t="s">
        <v>261</v>
      </c>
      <c r="O25" s="35" t="str">
        <f aca="false">IF($N25="","",IFERROR(INDEX($B$6:$B$125,MATCH($N25,$A$6:$A$125,0)),"⚠科目不存在"))</f>
        <v>应付职工薪酬</v>
      </c>
      <c r="P25" s="32" t="s">
        <v>262</v>
      </c>
      <c r="Q25" s="32"/>
    </row>
    <row r="26" customFormat="false" ht="15.75" hidden="false" customHeight="true" outlineLevel="0" collapsed="false">
      <c r="A26" s="31" t="s">
        <v>266</v>
      </c>
      <c r="B26" s="32" t="s">
        <v>267</v>
      </c>
      <c r="C26" s="33" t="s">
        <v>171</v>
      </c>
      <c r="D26" s="33" t="s">
        <v>172</v>
      </c>
      <c r="E26" s="33" t="s">
        <v>157</v>
      </c>
      <c r="F26" s="32" t="s">
        <v>267</v>
      </c>
      <c r="G26" s="32"/>
      <c r="H26" s="33" t="s">
        <v>190</v>
      </c>
      <c r="I26" s="31" t="s">
        <v>175</v>
      </c>
      <c r="K26" s="34" t="n">
        <f aca="false">IF($M26="","",ROW()-5)</f>
        <v>21</v>
      </c>
      <c r="L26" s="33" t="s">
        <v>248</v>
      </c>
      <c r="M26" s="33" t="s">
        <v>268</v>
      </c>
      <c r="N26" s="31" t="s">
        <v>269</v>
      </c>
      <c r="O26" s="35" t="str">
        <f aca="false">IF($N26="","",IFERROR(INDEX($B$6:$B$125,MATCH($N26,$A$6:$A$125,0)),"⚠科目不存在"))</f>
        <v>管理费用</v>
      </c>
      <c r="P26" s="32" t="s">
        <v>262</v>
      </c>
      <c r="Q26" s="32"/>
    </row>
    <row r="27" customFormat="false" ht="15.75" hidden="false" customHeight="true" outlineLevel="0" collapsed="false">
      <c r="A27" s="31" t="s">
        <v>270</v>
      </c>
      <c r="B27" s="32" t="s">
        <v>271</v>
      </c>
      <c r="C27" s="33" t="s">
        <v>171</v>
      </c>
      <c r="D27" s="33" t="s">
        <v>172</v>
      </c>
      <c r="E27" s="33" t="s">
        <v>157</v>
      </c>
      <c r="F27" s="32" t="s">
        <v>271</v>
      </c>
      <c r="G27" s="32"/>
      <c r="H27" s="33" t="s">
        <v>190</v>
      </c>
      <c r="I27" s="31" t="s">
        <v>175</v>
      </c>
      <c r="K27" s="34" t="n">
        <f aca="false">IF($M27="","",ROW()-5)</f>
        <v>22</v>
      </c>
      <c r="L27" s="33" t="s">
        <v>248</v>
      </c>
      <c r="M27" s="33" t="s">
        <v>272</v>
      </c>
      <c r="N27" s="31" t="s">
        <v>273</v>
      </c>
      <c r="O27" s="35" t="str">
        <f aca="false">IF($N27="","",IFERROR(INDEX($B$6:$B$125,MATCH($N27,$A$6:$A$125,0)),"⚠科目不存在"))</f>
        <v>应交税费</v>
      </c>
      <c r="P27" s="32" t="s">
        <v>274</v>
      </c>
      <c r="Q27" s="32"/>
    </row>
    <row r="28" customFormat="false" ht="15.75" hidden="false" customHeight="true" outlineLevel="0" collapsed="false">
      <c r="A28" s="31" t="s">
        <v>275</v>
      </c>
      <c r="B28" s="32" t="s">
        <v>276</v>
      </c>
      <c r="C28" s="33" t="s">
        <v>171</v>
      </c>
      <c r="D28" s="33" t="s">
        <v>172</v>
      </c>
      <c r="E28" s="33" t="s">
        <v>157</v>
      </c>
      <c r="F28" s="32" t="s">
        <v>276</v>
      </c>
      <c r="G28" s="32"/>
      <c r="H28" s="33" t="s">
        <v>190</v>
      </c>
      <c r="I28" s="33" t="s">
        <v>171</v>
      </c>
      <c r="K28" s="34" t="n">
        <f aca="false">IF($M28="","",ROW()-5)</f>
        <v>23</v>
      </c>
      <c r="L28" s="33" t="s">
        <v>248</v>
      </c>
      <c r="M28" s="33" t="s">
        <v>277</v>
      </c>
      <c r="N28" s="31" t="s">
        <v>269</v>
      </c>
      <c r="O28" s="35" t="str">
        <f aca="false">IF($N28="","",IFERROR(INDEX($B$6:$B$125,MATCH($N28,$A$6:$A$125,0)),"⚠科目不存在"))</f>
        <v>管理费用</v>
      </c>
      <c r="P28" s="32" t="s">
        <v>278</v>
      </c>
      <c r="Q28" s="32"/>
    </row>
    <row r="29" customFormat="false" ht="15.75" hidden="false" customHeight="true" outlineLevel="0" collapsed="false">
      <c r="A29" s="31" t="s">
        <v>279</v>
      </c>
      <c r="B29" s="32" t="s">
        <v>280</v>
      </c>
      <c r="C29" s="33" t="s">
        <v>171</v>
      </c>
      <c r="D29" s="33" t="s">
        <v>220</v>
      </c>
      <c r="E29" s="33" t="s">
        <v>157</v>
      </c>
      <c r="F29" s="32" t="s">
        <v>276</v>
      </c>
      <c r="G29" s="32"/>
      <c r="H29" s="33" t="s">
        <v>221</v>
      </c>
      <c r="I29" s="33" t="s">
        <v>171</v>
      </c>
      <c r="K29" s="34" t="n">
        <f aca="false">IF($M29="","",ROW()-5)</f>
        <v>24</v>
      </c>
      <c r="L29" s="33" t="s">
        <v>248</v>
      </c>
      <c r="M29" s="33" t="s">
        <v>281</v>
      </c>
      <c r="N29" s="31" t="s">
        <v>269</v>
      </c>
      <c r="O29" s="35" t="str">
        <f aca="false">IF($N29="","",IFERROR(INDEX($B$6:$B$125,MATCH($N29,$A$6:$A$125,0)),"⚠科目不存在"))</f>
        <v>管理费用</v>
      </c>
      <c r="P29" s="32" t="s">
        <v>278</v>
      </c>
      <c r="Q29" s="32"/>
    </row>
    <row r="30" customFormat="false" ht="15.75" hidden="false" customHeight="true" outlineLevel="0" collapsed="false">
      <c r="A30" s="31" t="s">
        <v>282</v>
      </c>
      <c r="B30" s="32" t="s">
        <v>283</v>
      </c>
      <c r="C30" s="33" t="s">
        <v>171</v>
      </c>
      <c r="D30" s="33" t="s">
        <v>172</v>
      </c>
      <c r="E30" s="33" t="s">
        <v>157</v>
      </c>
      <c r="F30" s="32" t="s">
        <v>283</v>
      </c>
      <c r="G30" s="32"/>
      <c r="H30" s="33" t="s">
        <v>190</v>
      </c>
      <c r="I30" s="31" t="s">
        <v>175</v>
      </c>
      <c r="K30" s="34" t="n">
        <f aca="false">IF($M30="","",ROW()-5)</f>
        <v>25</v>
      </c>
      <c r="L30" s="33" t="s">
        <v>248</v>
      </c>
      <c r="M30" s="33" t="s">
        <v>284</v>
      </c>
      <c r="N30" s="31" t="s">
        <v>269</v>
      </c>
      <c r="O30" s="35" t="str">
        <f aca="false">IF($N30="","",IFERROR(INDEX($B$6:$B$125,MATCH($N30,$A$6:$A$125,0)),"⚠科目不存在"))</f>
        <v>管理费用</v>
      </c>
      <c r="P30" s="32" t="s">
        <v>278</v>
      </c>
      <c r="Q30" s="32"/>
    </row>
    <row r="31" customFormat="false" ht="15.75" hidden="false" customHeight="true" outlineLevel="0" collapsed="false">
      <c r="A31" s="31" t="s">
        <v>228</v>
      </c>
      <c r="B31" s="32" t="s">
        <v>285</v>
      </c>
      <c r="C31" s="33" t="s">
        <v>171</v>
      </c>
      <c r="D31" s="33" t="s">
        <v>172</v>
      </c>
      <c r="E31" s="33" t="s">
        <v>157</v>
      </c>
      <c r="F31" s="32" t="s">
        <v>276</v>
      </c>
      <c r="G31" s="32"/>
      <c r="H31" s="33" t="s">
        <v>190</v>
      </c>
      <c r="I31" s="31" t="s">
        <v>175</v>
      </c>
      <c r="K31" s="34" t="n">
        <f aca="false">IF($M31="","",ROW()-5)</f>
        <v>26</v>
      </c>
      <c r="L31" s="33" t="s">
        <v>248</v>
      </c>
      <c r="M31" s="33" t="s">
        <v>286</v>
      </c>
      <c r="N31" s="31" t="s">
        <v>269</v>
      </c>
      <c r="O31" s="35" t="str">
        <f aca="false">IF($N31="","",IFERROR(INDEX($B$6:$B$125,MATCH($N31,$A$6:$A$125,0)),"⚠科目不存在"))</f>
        <v>管理费用</v>
      </c>
      <c r="P31" s="32" t="s">
        <v>278</v>
      </c>
      <c r="Q31" s="32"/>
    </row>
    <row r="32" customFormat="false" ht="15.75" hidden="false" customHeight="true" outlineLevel="0" collapsed="false">
      <c r="A32" s="31" t="s">
        <v>287</v>
      </c>
      <c r="B32" s="32" t="s">
        <v>288</v>
      </c>
      <c r="C32" s="33" t="s">
        <v>171</v>
      </c>
      <c r="D32" s="33" t="s">
        <v>172</v>
      </c>
      <c r="E32" s="33" t="s">
        <v>157</v>
      </c>
      <c r="F32" s="32" t="s">
        <v>288</v>
      </c>
      <c r="G32" s="32"/>
      <c r="H32" s="33" t="s">
        <v>190</v>
      </c>
      <c r="I32" s="33" t="s">
        <v>171</v>
      </c>
      <c r="K32" s="34" t="n">
        <f aca="false">IF($M32="","",ROW()-5)</f>
        <v>27</v>
      </c>
      <c r="L32" s="33" t="s">
        <v>248</v>
      </c>
      <c r="M32" s="33" t="s">
        <v>289</v>
      </c>
      <c r="N32" s="31" t="s">
        <v>269</v>
      </c>
      <c r="O32" s="35" t="str">
        <f aca="false">IF($N32="","",IFERROR(INDEX($B$6:$B$125,MATCH($N32,$A$6:$A$125,0)),"⚠科目不存在"))</f>
        <v>管理费用</v>
      </c>
      <c r="P32" s="32" t="s">
        <v>278</v>
      </c>
      <c r="Q32" s="32"/>
    </row>
    <row r="33" customFormat="false" ht="15.75" hidden="false" customHeight="true" outlineLevel="0" collapsed="false">
      <c r="A33" s="31" t="s">
        <v>290</v>
      </c>
      <c r="B33" s="32" t="s">
        <v>291</v>
      </c>
      <c r="C33" s="33" t="s">
        <v>171</v>
      </c>
      <c r="D33" s="33" t="s">
        <v>220</v>
      </c>
      <c r="E33" s="33" t="s">
        <v>157</v>
      </c>
      <c r="F33" s="32" t="s">
        <v>288</v>
      </c>
      <c r="G33" s="32"/>
      <c r="H33" s="33" t="s">
        <v>221</v>
      </c>
      <c r="I33" s="33" t="s">
        <v>171</v>
      </c>
      <c r="K33" s="34" t="n">
        <f aca="false">IF($M33="","",ROW()-5)</f>
        <v>28</v>
      </c>
      <c r="L33" s="33" t="s">
        <v>248</v>
      </c>
      <c r="M33" s="33" t="s">
        <v>292</v>
      </c>
      <c r="N33" s="31" t="s">
        <v>269</v>
      </c>
      <c r="O33" s="35" t="str">
        <f aca="false">IF($N33="","",IFERROR(INDEX($B$6:$B$125,MATCH($N33,$A$6:$A$125,0)),"⚠科目不存在"))</f>
        <v>管理费用</v>
      </c>
      <c r="P33" s="32" t="s">
        <v>278</v>
      </c>
      <c r="Q33" s="32"/>
    </row>
    <row r="34" customFormat="false" ht="15.75" hidden="false" customHeight="true" outlineLevel="0" collapsed="false">
      <c r="A34" s="31" t="s">
        <v>293</v>
      </c>
      <c r="B34" s="32" t="s">
        <v>294</v>
      </c>
      <c r="C34" s="33" t="s">
        <v>171</v>
      </c>
      <c r="D34" s="33" t="s">
        <v>172</v>
      </c>
      <c r="E34" s="33" t="s">
        <v>157</v>
      </c>
      <c r="F34" s="32" t="s">
        <v>294</v>
      </c>
      <c r="G34" s="32"/>
      <c r="H34" s="33" t="s">
        <v>190</v>
      </c>
      <c r="I34" s="31" t="s">
        <v>175</v>
      </c>
      <c r="K34" s="34" t="n">
        <f aca="false">IF($M34="","",ROW()-5)</f>
        <v>29</v>
      </c>
      <c r="L34" s="33" t="s">
        <v>248</v>
      </c>
      <c r="M34" s="33" t="s">
        <v>295</v>
      </c>
      <c r="N34" s="31" t="s">
        <v>269</v>
      </c>
      <c r="O34" s="35" t="str">
        <f aca="false">IF($N34="","",IFERROR(INDEX($B$6:$B$125,MATCH($N34,$A$6:$A$125,0)),"⚠科目不存在"))</f>
        <v>管理费用</v>
      </c>
      <c r="P34" s="32" t="s">
        <v>278</v>
      </c>
      <c r="Q34" s="32"/>
    </row>
    <row r="35" customFormat="false" ht="15.75" hidden="false" customHeight="true" outlineLevel="0" collapsed="false">
      <c r="A35" s="31" t="s">
        <v>296</v>
      </c>
      <c r="B35" s="32" t="s">
        <v>297</v>
      </c>
      <c r="C35" s="33" t="s">
        <v>171</v>
      </c>
      <c r="D35" s="33" t="s">
        <v>172</v>
      </c>
      <c r="E35" s="33" t="s">
        <v>157</v>
      </c>
      <c r="F35" s="32" t="s">
        <v>297</v>
      </c>
      <c r="G35" s="32"/>
      <c r="H35" s="33" t="s">
        <v>221</v>
      </c>
      <c r="I35" s="31" t="s">
        <v>175</v>
      </c>
      <c r="K35" s="34" t="n">
        <f aca="false">IF($M35="","",ROW()-5)</f>
        <v>30</v>
      </c>
      <c r="L35" s="33" t="s">
        <v>248</v>
      </c>
      <c r="M35" s="33" t="s">
        <v>298</v>
      </c>
      <c r="N35" s="31" t="s">
        <v>269</v>
      </c>
      <c r="O35" s="35" t="str">
        <f aca="false">IF($N35="","",IFERROR(INDEX($B$6:$B$125,MATCH($N35,$A$6:$A$125,0)),"⚠科目不存在"))</f>
        <v>管理费用</v>
      </c>
      <c r="P35" s="32" t="s">
        <v>278</v>
      </c>
      <c r="Q35" s="32"/>
    </row>
    <row r="36" customFormat="false" ht="15.75" hidden="false" customHeight="true" outlineLevel="0" collapsed="false">
      <c r="A36" s="31" t="s">
        <v>299</v>
      </c>
      <c r="B36" s="32" t="s">
        <v>300</v>
      </c>
      <c r="C36" s="33" t="s">
        <v>171</v>
      </c>
      <c r="D36" s="33" t="s">
        <v>172</v>
      </c>
      <c r="E36" s="33" t="s">
        <v>157</v>
      </c>
      <c r="F36" s="32" t="s">
        <v>301</v>
      </c>
      <c r="G36" s="32"/>
      <c r="H36" s="33" t="s">
        <v>221</v>
      </c>
      <c r="I36" s="31" t="s">
        <v>175</v>
      </c>
      <c r="K36" s="34" t="n">
        <f aca="false">IF($M36="","",ROW()-5)</f>
        <v>31</v>
      </c>
      <c r="L36" s="33" t="s">
        <v>248</v>
      </c>
      <c r="M36" s="33" t="s">
        <v>302</v>
      </c>
      <c r="N36" s="31" t="s">
        <v>269</v>
      </c>
      <c r="O36" s="35" t="str">
        <f aca="false">IF($N36="","",IFERROR(INDEX($B$6:$B$125,MATCH($N36,$A$6:$A$125,0)),"⚠科目不存在"))</f>
        <v>管理费用</v>
      </c>
      <c r="P36" s="32" t="s">
        <v>278</v>
      </c>
      <c r="Q36" s="32"/>
    </row>
    <row r="37" customFormat="false" ht="15.75" hidden="false" customHeight="true" outlineLevel="0" collapsed="false">
      <c r="A37" s="31" t="s">
        <v>303</v>
      </c>
      <c r="B37" s="32" t="s">
        <v>301</v>
      </c>
      <c r="C37" s="33" t="s">
        <v>171</v>
      </c>
      <c r="D37" s="33" t="s">
        <v>172</v>
      </c>
      <c r="E37" s="33" t="s">
        <v>157</v>
      </c>
      <c r="F37" s="32" t="s">
        <v>301</v>
      </c>
      <c r="G37" s="32"/>
      <c r="H37" s="33" t="s">
        <v>196</v>
      </c>
      <c r="I37" s="31" t="s">
        <v>175</v>
      </c>
      <c r="K37" s="34" t="n">
        <f aca="false">IF($M37="","",ROW()-5)</f>
        <v>32</v>
      </c>
      <c r="L37" s="33" t="s">
        <v>248</v>
      </c>
      <c r="M37" s="33" t="s">
        <v>304</v>
      </c>
      <c r="N37" s="31" t="s">
        <v>269</v>
      </c>
      <c r="O37" s="35" t="str">
        <f aca="false">IF($N37="","",IFERROR(INDEX($B$6:$B$125,MATCH($N37,$A$6:$A$125,0)),"⚠科目不存在"))</f>
        <v>管理费用</v>
      </c>
      <c r="P37" s="32" t="s">
        <v>278</v>
      </c>
      <c r="Q37" s="32"/>
    </row>
    <row r="38" customFormat="false" ht="15.75" hidden="false" customHeight="true" outlineLevel="0" collapsed="false">
      <c r="A38" s="31" t="s">
        <v>239</v>
      </c>
      <c r="B38" s="32" t="s">
        <v>305</v>
      </c>
      <c r="C38" s="33" t="s">
        <v>306</v>
      </c>
      <c r="D38" s="33" t="s">
        <v>220</v>
      </c>
      <c r="E38" s="33" t="s">
        <v>157</v>
      </c>
      <c r="F38" s="32" t="s">
        <v>305</v>
      </c>
      <c r="G38" s="32"/>
      <c r="H38" s="33" t="s">
        <v>307</v>
      </c>
      <c r="I38" s="31" t="s">
        <v>175</v>
      </c>
      <c r="K38" s="34" t="n">
        <f aca="false">IF($M38="","",ROW()-5)</f>
        <v>33</v>
      </c>
      <c r="L38" s="33" t="s">
        <v>248</v>
      </c>
      <c r="M38" s="33" t="s">
        <v>308</v>
      </c>
      <c r="N38" s="31" t="s">
        <v>269</v>
      </c>
      <c r="O38" s="35" t="str">
        <f aca="false">IF($N38="","",IFERROR(INDEX($B$6:$B$125,MATCH($N38,$A$6:$A$125,0)),"⚠科目不存在"))</f>
        <v>管理费用</v>
      </c>
      <c r="P38" s="32" t="s">
        <v>278</v>
      </c>
      <c r="Q38" s="32"/>
    </row>
    <row r="39" customFormat="false" ht="15.75" hidden="false" customHeight="true" outlineLevel="0" collapsed="false">
      <c r="A39" s="31" t="s">
        <v>309</v>
      </c>
      <c r="B39" s="32" t="s">
        <v>310</v>
      </c>
      <c r="C39" s="33" t="s">
        <v>306</v>
      </c>
      <c r="D39" s="33" t="s">
        <v>220</v>
      </c>
      <c r="E39" s="33" t="s">
        <v>157</v>
      </c>
      <c r="F39" s="32" t="s">
        <v>310</v>
      </c>
      <c r="G39" s="32"/>
      <c r="H39" s="33" t="s">
        <v>196</v>
      </c>
      <c r="I39" s="33" t="s">
        <v>206</v>
      </c>
      <c r="K39" s="34" t="n">
        <f aca="false">IF($M39="","",ROW()-5)</f>
        <v>34</v>
      </c>
      <c r="L39" s="33" t="s">
        <v>248</v>
      </c>
      <c r="M39" s="33" t="s">
        <v>311</v>
      </c>
      <c r="N39" s="31" t="s">
        <v>312</v>
      </c>
      <c r="O39" s="35" t="str">
        <f aca="false">IF($N39="","",IFERROR(INDEX($B$6:$B$125,MATCH($N39,$A$6:$A$125,0)),"⚠科目不存在"))</f>
        <v>销售费用</v>
      </c>
      <c r="P39" s="32" t="s">
        <v>278</v>
      </c>
      <c r="Q39" s="32"/>
    </row>
    <row r="40" customFormat="false" ht="15.75" hidden="false" customHeight="true" outlineLevel="0" collapsed="false">
      <c r="A40" s="31" t="s">
        <v>250</v>
      </c>
      <c r="B40" s="32" t="s">
        <v>313</v>
      </c>
      <c r="C40" s="33" t="s">
        <v>306</v>
      </c>
      <c r="D40" s="33" t="s">
        <v>220</v>
      </c>
      <c r="E40" s="33" t="s">
        <v>157</v>
      </c>
      <c r="F40" s="32" t="s">
        <v>313</v>
      </c>
      <c r="G40" s="32"/>
      <c r="H40" s="33" t="s">
        <v>196</v>
      </c>
      <c r="I40" s="33" t="s">
        <v>206</v>
      </c>
      <c r="K40" s="34" t="n">
        <f aca="false">IF($M40="","",ROW()-5)</f>
        <v>35</v>
      </c>
      <c r="L40" s="33" t="s">
        <v>248</v>
      </c>
      <c r="M40" s="33" t="s">
        <v>314</v>
      </c>
      <c r="N40" s="31" t="s">
        <v>312</v>
      </c>
      <c r="O40" s="35" t="str">
        <f aca="false">IF($N40="","",IFERROR(INDEX($B$6:$B$125,MATCH($N40,$A$6:$A$125,0)),"⚠科目不存在"))</f>
        <v>销售费用</v>
      </c>
      <c r="P40" s="32" t="s">
        <v>278</v>
      </c>
      <c r="Q40" s="32"/>
    </row>
    <row r="41" customFormat="false" ht="15.75" hidden="false" customHeight="true" outlineLevel="0" collapsed="false">
      <c r="A41" s="31" t="s">
        <v>183</v>
      </c>
      <c r="B41" s="32" t="s">
        <v>315</v>
      </c>
      <c r="C41" s="33" t="s">
        <v>306</v>
      </c>
      <c r="D41" s="33" t="s">
        <v>220</v>
      </c>
      <c r="E41" s="33" t="s">
        <v>157</v>
      </c>
      <c r="F41" s="32" t="s">
        <v>316</v>
      </c>
      <c r="G41" s="32"/>
      <c r="H41" s="33" t="s">
        <v>196</v>
      </c>
      <c r="I41" s="33" t="s">
        <v>197</v>
      </c>
      <c r="K41" s="34" t="n">
        <f aca="false">IF($M41="","",ROW()-5)</f>
        <v>36</v>
      </c>
      <c r="L41" s="33" t="s">
        <v>248</v>
      </c>
      <c r="M41" s="33" t="s">
        <v>317</v>
      </c>
      <c r="N41" s="31" t="s">
        <v>312</v>
      </c>
      <c r="O41" s="35" t="str">
        <f aca="false">IF($N41="","",IFERROR(INDEX($B$6:$B$125,MATCH($N41,$A$6:$A$125,0)),"⚠科目不存在"))</f>
        <v>销售费用</v>
      </c>
      <c r="P41" s="32" t="s">
        <v>278</v>
      </c>
      <c r="Q41" s="32"/>
    </row>
    <row r="42" customFormat="false" ht="15.75" hidden="false" customHeight="true" outlineLevel="0" collapsed="false">
      <c r="A42" s="31" t="s">
        <v>261</v>
      </c>
      <c r="B42" s="32" t="s">
        <v>318</v>
      </c>
      <c r="C42" s="33" t="s">
        <v>306</v>
      </c>
      <c r="D42" s="33" t="s">
        <v>220</v>
      </c>
      <c r="E42" s="33" t="s">
        <v>157</v>
      </c>
      <c r="F42" s="32" t="s">
        <v>318</v>
      </c>
      <c r="G42" s="32"/>
      <c r="H42" s="33" t="s">
        <v>196</v>
      </c>
      <c r="I42" s="33" t="s">
        <v>319</v>
      </c>
      <c r="K42" s="34" t="n">
        <f aca="false">IF($M42="","",ROW()-5)</f>
        <v>37</v>
      </c>
      <c r="L42" s="33" t="s">
        <v>248</v>
      </c>
      <c r="M42" s="33" t="s">
        <v>320</v>
      </c>
      <c r="N42" s="31" t="s">
        <v>312</v>
      </c>
      <c r="O42" s="35" t="str">
        <f aca="false">IF($N42="","",IFERROR(INDEX($B$6:$B$125,MATCH($N42,$A$6:$A$125,0)),"⚠科目不存在"))</f>
        <v>销售费用</v>
      </c>
      <c r="P42" s="32" t="s">
        <v>278</v>
      </c>
      <c r="Q42" s="32"/>
    </row>
    <row r="43" customFormat="false" ht="15.75" hidden="false" customHeight="true" outlineLevel="0" collapsed="false">
      <c r="A43" s="31" t="s">
        <v>273</v>
      </c>
      <c r="B43" s="32" t="s">
        <v>321</v>
      </c>
      <c r="C43" s="33" t="s">
        <v>306</v>
      </c>
      <c r="D43" s="33" t="s">
        <v>220</v>
      </c>
      <c r="E43" s="33" t="s">
        <v>157</v>
      </c>
      <c r="F43" s="32" t="s">
        <v>321</v>
      </c>
      <c r="G43" s="32"/>
      <c r="H43" s="33" t="s">
        <v>196</v>
      </c>
      <c r="I43" s="31" t="s">
        <v>175</v>
      </c>
      <c r="K43" s="34" t="n">
        <f aca="false">IF($M43="","",ROW()-5)</f>
        <v>38</v>
      </c>
      <c r="L43" s="33" t="s">
        <v>248</v>
      </c>
      <c r="M43" s="33" t="s">
        <v>322</v>
      </c>
      <c r="N43" s="31" t="s">
        <v>323</v>
      </c>
      <c r="O43" s="35" t="str">
        <f aca="false">IF($N43="","",IFERROR(INDEX($B$6:$B$125,MATCH($N43,$A$6:$A$125,0)),"⚠科目不存在"))</f>
        <v>研发费用</v>
      </c>
      <c r="P43" s="32" t="s">
        <v>278</v>
      </c>
      <c r="Q43" s="32"/>
    </row>
    <row r="44" customFormat="false" ht="15.75" hidden="false" customHeight="true" outlineLevel="0" collapsed="false">
      <c r="A44" s="31" t="s">
        <v>324</v>
      </c>
      <c r="B44" s="32" t="s">
        <v>325</v>
      </c>
      <c r="C44" s="33" t="s">
        <v>306</v>
      </c>
      <c r="D44" s="33" t="s">
        <v>220</v>
      </c>
      <c r="E44" s="33" t="s">
        <v>157</v>
      </c>
      <c r="F44" s="32" t="s">
        <v>326</v>
      </c>
      <c r="G44" s="32"/>
      <c r="H44" s="33" t="s">
        <v>307</v>
      </c>
      <c r="I44" s="31" t="s">
        <v>175</v>
      </c>
      <c r="K44" s="34" t="n">
        <f aca="false">IF($M44="","",ROW()-5)</f>
        <v>39</v>
      </c>
      <c r="L44" s="33" t="s">
        <v>248</v>
      </c>
      <c r="M44" s="33" t="s">
        <v>327</v>
      </c>
      <c r="N44" s="31" t="s">
        <v>202</v>
      </c>
      <c r="O44" s="35" t="str">
        <f aca="false">IF($N44="","",IFERROR(INDEX($B$6:$B$125,MATCH($N44,$A$6:$A$125,0)),"⚠科目不存在"))</f>
        <v>财务费用</v>
      </c>
      <c r="P44" s="32" t="s">
        <v>278</v>
      </c>
      <c r="Q44" s="32"/>
    </row>
    <row r="45" customFormat="false" ht="15.75" hidden="false" customHeight="true" outlineLevel="0" collapsed="false">
      <c r="A45" s="31" t="s">
        <v>328</v>
      </c>
      <c r="B45" s="32" t="s">
        <v>329</v>
      </c>
      <c r="C45" s="33" t="s">
        <v>306</v>
      </c>
      <c r="D45" s="33" t="s">
        <v>220</v>
      </c>
      <c r="E45" s="33" t="s">
        <v>157</v>
      </c>
      <c r="F45" s="32" t="s">
        <v>326</v>
      </c>
      <c r="G45" s="32"/>
      <c r="H45" s="33" t="s">
        <v>307</v>
      </c>
      <c r="I45" s="31" t="s">
        <v>175</v>
      </c>
      <c r="K45" s="34" t="n">
        <f aca="false">IF($M45="","",ROW()-5)</f>
        <v>40</v>
      </c>
      <c r="L45" s="33" t="s">
        <v>248</v>
      </c>
      <c r="M45" s="33" t="s">
        <v>330</v>
      </c>
      <c r="N45" s="31" t="s">
        <v>202</v>
      </c>
      <c r="O45" s="35" t="str">
        <f aca="false">IF($N45="","",IFERROR(INDEX($B$6:$B$125,MATCH($N45,$A$6:$A$125,0)),"⚠科目不存在"))</f>
        <v>财务费用</v>
      </c>
      <c r="P45" s="32" t="s">
        <v>331</v>
      </c>
      <c r="Q45" s="32"/>
    </row>
    <row r="46" customFormat="false" ht="15.75" hidden="false" customHeight="true" outlineLevel="0" collapsed="false">
      <c r="A46" s="31" t="s">
        <v>332</v>
      </c>
      <c r="B46" s="32" t="s">
        <v>326</v>
      </c>
      <c r="C46" s="33" t="s">
        <v>306</v>
      </c>
      <c r="D46" s="33" t="s">
        <v>220</v>
      </c>
      <c r="E46" s="33" t="s">
        <v>157</v>
      </c>
      <c r="F46" s="32" t="s">
        <v>326</v>
      </c>
      <c r="G46" s="32"/>
      <c r="H46" s="33" t="s">
        <v>196</v>
      </c>
      <c r="I46" s="33" t="s">
        <v>333</v>
      </c>
      <c r="K46" s="34" t="n">
        <f aca="false">IF($M46="","",ROW()-5)</f>
        <v>41</v>
      </c>
      <c r="L46" s="33" t="s">
        <v>248</v>
      </c>
      <c r="M46" s="33" t="s">
        <v>334</v>
      </c>
      <c r="N46" s="31" t="s">
        <v>335</v>
      </c>
      <c r="O46" s="35" t="str">
        <f aca="false">IF($N46="","",IFERROR(INDEX($B$6:$B$125,MATCH($N46,$A$6:$A$125,0)),"⚠科目不存在"))</f>
        <v>营业外支出</v>
      </c>
      <c r="P46" s="32" t="s">
        <v>278</v>
      </c>
      <c r="Q46" s="32"/>
    </row>
    <row r="47" customFormat="false" ht="15.75" hidden="false" customHeight="true" outlineLevel="0" collapsed="false">
      <c r="A47" s="31" t="s">
        <v>336</v>
      </c>
      <c r="B47" s="32" t="s">
        <v>337</v>
      </c>
      <c r="C47" s="33" t="s">
        <v>306</v>
      </c>
      <c r="D47" s="33" t="s">
        <v>220</v>
      </c>
      <c r="E47" s="33" t="s">
        <v>157</v>
      </c>
      <c r="F47" s="32" t="s">
        <v>337</v>
      </c>
      <c r="G47" s="32"/>
      <c r="H47" s="33" t="s">
        <v>307</v>
      </c>
      <c r="I47" s="31" t="s">
        <v>175</v>
      </c>
      <c r="K47" s="34" t="n">
        <f aca="false">IF($M47="","",ROW()-5)</f>
        <v>42</v>
      </c>
      <c r="L47" s="33" t="s">
        <v>248</v>
      </c>
      <c r="M47" s="33" t="s">
        <v>338</v>
      </c>
      <c r="N47" s="31" t="s">
        <v>215</v>
      </c>
      <c r="O47" s="35" t="str">
        <f aca="false">IF($N47="","",IFERROR(INDEX($B$6:$B$125,MATCH($N47,$A$6:$A$125,0)),"⚠科目不存在"))</f>
        <v>其他应收款</v>
      </c>
      <c r="P47" s="32" t="s">
        <v>278</v>
      </c>
      <c r="Q47" s="32"/>
    </row>
    <row r="48" customFormat="false" ht="15.75" hidden="false" customHeight="true" outlineLevel="0" collapsed="false">
      <c r="A48" s="31" t="s">
        <v>339</v>
      </c>
      <c r="B48" s="32" t="s">
        <v>340</v>
      </c>
      <c r="C48" s="33" t="s">
        <v>306</v>
      </c>
      <c r="D48" s="33" t="s">
        <v>220</v>
      </c>
      <c r="E48" s="33" t="s">
        <v>157</v>
      </c>
      <c r="F48" s="32" t="s">
        <v>340</v>
      </c>
      <c r="G48" s="32"/>
      <c r="H48" s="33" t="s">
        <v>221</v>
      </c>
      <c r="I48" s="31" t="s">
        <v>175</v>
      </c>
      <c r="K48" s="34" t="n">
        <f aca="false">IF($M48="","",ROW()-5)</f>
        <v>43</v>
      </c>
      <c r="L48" s="33" t="s">
        <v>248</v>
      </c>
      <c r="M48" s="33" t="s">
        <v>341</v>
      </c>
      <c r="N48" s="31" t="s">
        <v>215</v>
      </c>
      <c r="O48" s="35" t="str">
        <f aca="false">IF($N48="","",IFERROR(INDEX($B$6:$B$125,MATCH($N48,$A$6:$A$125,0)),"⚠科目不存在"))</f>
        <v>其他应收款</v>
      </c>
      <c r="P48" s="32" t="s">
        <v>278</v>
      </c>
      <c r="Q48" s="32"/>
    </row>
    <row r="49" customFormat="false" ht="15.75" hidden="false" customHeight="true" outlineLevel="0" collapsed="false">
      <c r="A49" s="31" t="s">
        <v>342</v>
      </c>
      <c r="B49" s="32" t="s">
        <v>343</v>
      </c>
      <c r="C49" s="33" t="s">
        <v>306</v>
      </c>
      <c r="D49" s="33" t="s">
        <v>220</v>
      </c>
      <c r="E49" s="33" t="s">
        <v>157</v>
      </c>
      <c r="F49" s="32" t="s">
        <v>343</v>
      </c>
      <c r="G49" s="32"/>
      <c r="H49" s="33" t="s">
        <v>307</v>
      </c>
      <c r="I49" s="31" t="s">
        <v>175</v>
      </c>
      <c r="K49" s="34" t="n">
        <f aca="false">IF($M49="","",ROW()-5)</f>
        <v>44</v>
      </c>
      <c r="L49" s="33" t="s">
        <v>248</v>
      </c>
      <c r="M49" s="33" t="s">
        <v>344</v>
      </c>
      <c r="N49" s="31" t="s">
        <v>275</v>
      </c>
      <c r="O49" s="35" t="str">
        <f aca="false">IF($N49="","",IFERROR(INDEX($B$6:$B$125,MATCH($N49,$A$6:$A$125,0)),"⚠科目不存在"))</f>
        <v>固定资产</v>
      </c>
      <c r="P49" s="32" t="s">
        <v>345</v>
      </c>
      <c r="Q49" s="32"/>
    </row>
    <row r="50" customFormat="false" ht="15.75" hidden="false" customHeight="true" outlineLevel="0" collapsed="false">
      <c r="A50" s="31" t="s">
        <v>346</v>
      </c>
      <c r="B50" s="32" t="s">
        <v>347</v>
      </c>
      <c r="C50" s="33" t="s">
        <v>306</v>
      </c>
      <c r="D50" s="33" t="s">
        <v>220</v>
      </c>
      <c r="E50" s="33" t="s">
        <v>157</v>
      </c>
      <c r="F50" s="32" t="s">
        <v>347</v>
      </c>
      <c r="G50" s="32"/>
      <c r="H50" s="33" t="s">
        <v>307</v>
      </c>
      <c r="I50" s="31" t="s">
        <v>175</v>
      </c>
      <c r="K50" s="34" t="n">
        <f aca="false">IF($M50="","",ROW()-5)</f>
        <v>45</v>
      </c>
      <c r="L50" s="33" t="s">
        <v>248</v>
      </c>
      <c r="M50" s="33" t="s">
        <v>348</v>
      </c>
      <c r="N50" s="31" t="s">
        <v>287</v>
      </c>
      <c r="O50" s="35" t="str">
        <f aca="false">IF($N50="","",IFERROR(INDEX($B$6:$B$125,MATCH($N50,$A$6:$A$125,0)),"⚠科目不存在"))</f>
        <v>无形资产</v>
      </c>
      <c r="P50" s="32" t="s">
        <v>349</v>
      </c>
      <c r="Q50" s="32"/>
    </row>
    <row r="51" customFormat="false" ht="15.75" hidden="false" customHeight="true" outlineLevel="0" collapsed="false">
      <c r="A51" s="31" t="s">
        <v>350</v>
      </c>
      <c r="B51" s="32" t="s">
        <v>351</v>
      </c>
      <c r="C51" s="33" t="s">
        <v>306</v>
      </c>
      <c r="D51" s="33" t="s">
        <v>220</v>
      </c>
      <c r="E51" s="33" t="s">
        <v>157</v>
      </c>
      <c r="F51" s="32" t="s">
        <v>351</v>
      </c>
      <c r="G51" s="32"/>
      <c r="H51" s="33" t="s">
        <v>221</v>
      </c>
      <c r="I51" s="31" t="s">
        <v>175</v>
      </c>
      <c r="K51" s="34" t="n">
        <f aca="false">IF($M51="","",ROW()-5)</f>
        <v>46</v>
      </c>
      <c r="L51" s="33" t="s">
        <v>248</v>
      </c>
      <c r="M51" s="33" t="s">
        <v>352</v>
      </c>
      <c r="N51" s="31" t="s">
        <v>239</v>
      </c>
      <c r="O51" s="35" t="str">
        <f aca="false">IF($N51="","",IFERROR(INDEX($B$6:$B$125,MATCH($N51,$A$6:$A$125,0)),"⚠科目不存在"))</f>
        <v>短期借款</v>
      </c>
      <c r="P51" s="32" t="s">
        <v>353</v>
      </c>
      <c r="Q51" s="32"/>
    </row>
    <row r="52" customFormat="false" ht="15.75" hidden="false" customHeight="true" outlineLevel="0" collapsed="false">
      <c r="A52" s="31" t="s">
        <v>233</v>
      </c>
      <c r="B52" s="32" t="s">
        <v>354</v>
      </c>
      <c r="C52" s="33" t="s">
        <v>355</v>
      </c>
      <c r="D52" s="33" t="s">
        <v>220</v>
      </c>
      <c r="E52" s="33" t="s">
        <v>157</v>
      </c>
      <c r="F52" s="32" t="s">
        <v>354</v>
      </c>
      <c r="G52" s="32"/>
      <c r="H52" s="33" t="s">
        <v>307</v>
      </c>
      <c r="I52" s="31" t="s">
        <v>175</v>
      </c>
      <c r="K52" s="34" t="n">
        <f aca="false">IF($M52="","",ROW()-5)</f>
        <v>47</v>
      </c>
      <c r="L52" s="33" t="s">
        <v>248</v>
      </c>
      <c r="M52" s="33" t="s">
        <v>356</v>
      </c>
      <c r="N52" s="31" t="s">
        <v>357</v>
      </c>
      <c r="O52" s="35" t="str">
        <f aca="false">IF($N52="","",IFERROR(INDEX($B$6:$B$125,MATCH($N52,$A$6:$A$125,0)),"⚠科目不存在"))</f>
        <v>利润分配</v>
      </c>
      <c r="P52" s="32" t="s">
        <v>331</v>
      </c>
      <c r="Q52" s="32"/>
    </row>
    <row r="53" customFormat="false" ht="15.75" hidden="false" customHeight="true" outlineLevel="0" collapsed="false">
      <c r="A53" s="31" t="s">
        <v>358</v>
      </c>
      <c r="B53" s="32" t="s">
        <v>359</v>
      </c>
      <c r="C53" s="33" t="s">
        <v>355</v>
      </c>
      <c r="D53" s="33" t="s">
        <v>220</v>
      </c>
      <c r="E53" s="33" t="s">
        <v>157</v>
      </c>
      <c r="F53" s="32" t="s">
        <v>359</v>
      </c>
      <c r="G53" s="32"/>
      <c r="H53" s="33" t="s">
        <v>307</v>
      </c>
      <c r="I53" s="31" t="s">
        <v>175</v>
      </c>
      <c r="K53" s="34" t="n">
        <f aca="false">IF($M53="","",ROW()-5)</f>
        <v>48</v>
      </c>
      <c r="L53" s="33" t="s">
        <v>248</v>
      </c>
      <c r="M53" s="33" t="s">
        <v>360</v>
      </c>
      <c r="N53" s="31" t="s">
        <v>266</v>
      </c>
      <c r="O53" s="35" t="str">
        <f aca="false">IF($N53="","",IFERROR(INDEX($B$6:$B$125,MATCH($N53,$A$6:$A$125,0)),"⚠科目不存在"))</f>
        <v>长期股权投资</v>
      </c>
      <c r="P53" s="32" t="s">
        <v>361</v>
      </c>
      <c r="Q53" s="32"/>
    </row>
    <row r="54" customFormat="false" ht="15.75" hidden="false" customHeight="true" outlineLevel="0" collapsed="false">
      <c r="A54" s="31" t="s">
        <v>362</v>
      </c>
      <c r="B54" s="32" t="s">
        <v>363</v>
      </c>
      <c r="C54" s="33" t="s">
        <v>355</v>
      </c>
      <c r="D54" s="33" t="s">
        <v>220</v>
      </c>
      <c r="E54" s="33" t="s">
        <v>157</v>
      </c>
      <c r="F54" s="32" t="s">
        <v>363</v>
      </c>
      <c r="G54" s="32"/>
      <c r="H54" s="33" t="s">
        <v>221</v>
      </c>
      <c r="I54" s="31" t="s">
        <v>175</v>
      </c>
      <c r="K54" s="34" t="n">
        <f aca="false">IF($M54="","",ROW()-5)</f>
        <v>49</v>
      </c>
      <c r="L54" s="33" t="s">
        <v>364</v>
      </c>
      <c r="M54" s="33" t="s">
        <v>365</v>
      </c>
      <c r="N54" s="31"/>
      <c r="O54" s="35" t="str">
        <f aca="false">IF($N54="","",IFERROR(INDEX($B$6:$B$125,MATCH($N54,$A$6:$A$125,0)),"⚠科目不存在"))</f>
        <v/>
      </c>
      <c r="P54" s="36" t="s">
        <v>175</v>
      </c>
      <c r="Q54" s="36"/>
    </row>
    <row r="55" customFormat="false" ht="15.75" hidden="false" customHeight="true" outlineLevel="0" collapsed="false">
      <c r="A55" s="31" t="s">
        <v>366</v>
      </c>
      <c r="B55" s="32" t="s">
        <v>367</v>
      </c>
      <c r="C55" s="33" t="s">
        <v>355</v>
      </c>
      <c r="D55" s="33" t="s">
        <v>220</v>
      </c>
      <c r="E55" s="33" t="s">
        <v>157</v>
      </c>
      <c r="F55" s="32" t="s">
        <v>131</v>
      </c>
      <c r="G55" s="36"/>
      <c r="H55" s="33" t="s">
        <v>221</v>
      </c>
      <c r="I55" s="31" t="s">
        <v>175</v>
      </c>
      <c r="K55" s="34" t="str">
        <f aca="false">IF($M55="","",ROW()-5)</f>
        <v/>
      </c>
      <c r="L55" s="33"/>
      <c r="M55" s="31"/>
      <c r="N55" s="31"/>
      <c r="O55" s="35" t="str">
        <f aca="false">IF($N55="","",IFERROR(INDEX($B$6:$B$125,MATCH($N55,$A$6:$A$125,0)),"⚠科目不存在"))</f>
        <v/>
      </c>
      <c r="P55" s="36"/>
      <c r="Q55" s="36"/>
    </row>
    <row r="56" customFormat="false" ht="15.75" hidden="false" customHeight="true" outlineLevel="0" collapsed="false">
      <c r="A56" s="31" t="s">
        <v>357</v>
      </c>
      <c r="B56" s="32" t="s">
        <v>368</v>
      </c>
      <c r="C56" s="33" t="s">
        <v>355</v>
      </c>
      <c r="D56" s="33" t="s">
        <v>220</v>
      </c>
      <c r="E56" s="33" t="s">
        <v>157</v>
      </c>
      <c r="F56" s="32" t="s">
        <v>131</v>
      </c>
      <c r="G56" s="36"/>
      <c r="H56" s="33" t="s">
        <v>307</v>
      </c>
      <c r="I56" s="31" t="s">
        <v>175</v>
      </c>
      <c r="K56" s="34" t="str">
        <f aca="false">IF($M56="","",ROW()-5)</f>
        <v/>
      </c>
      <c r="L56" s="33"/>
      <c r="M56" s="31"/>
      <c r="N56" s="31"/>
      <c r="O56" s="35" t="str">
        <f aca="false">IF($N56="","",IFERROR(INDEX($B$6:$B$125,MATCH($N56,$A$6:$A$125,0)),"⚠科目不存在"))</f>
        <v/>
      </c>
      <c r="P56" s="36"/>
      <c r="Q56" s="36"/>
    </row>
    <row r="57" customFormat="false" ht="15.75" hidden="false" customHeight="true" outlineLevel="0" collapsed="false">
      <c r="A57" s="31" t="s">
        <v>369</v>
      </c>
      <c r="B57" s="32" t="s">
        <v>370</v>
      </c>
      <c r="C57" s="33" t="s">
        <v>371</v>
      </c>
      <c r="D57" s="33" t="s">
        <v>172</v>
      </c>
      <c r="E57" s="33" t="s">
        <v>157</v>
      </c>
      <c r="F57" s="32" t="s">
        <v>226</v>
      </c>
      <c r="G57" s="36"/>
      <c r="H57" s="33" t="s">
        <v>196</v>
      </c>
      <c r="I57" s="31" t="s">
        <v>175</v>
      </c>
      <c r="K57" s="34" t="str">
        <f aca="false">IF($M57="","",ROW()-5)</f>
        <v/>
      </c>
      <c r="L57" s="33"/>
      <c r="M57" s="31"/>
      <c r="N57" s="31"/>
      <c r="O57" s="35" t="str">
        <f aca="false">IF($N57="","",IFERROR(INDEX($B$6:$B$125,MATCH($N57,$A$6:$A$125,0)),"⚠科目不存在"))</f>
        <v/>
      </c>
      <c r="P57" s="36"/>
      <c r="Q57" s="36"/>
    </row>
    <row r="58" customFormat="false" ht="15.75" hidden="false" customHeight="true" outlineLevel="0" collapsed="false">
      <c r="A58" s="31" t="s">
        <v>372</v>
      </c>
      <c r="B58" s="32" t="s">
        <v>373</v>
      </c>
      <c r="C58" s="33" t="s">
        <v>371</v>
      </c>
      <c r="D58" s="33" t="s">
        <v>172</v>
      </c>
      <c r="E58" s="33" t="s">
        <v>157</v>
      </c>
      <c r="F58" s="32" t="s">
        <v>226</v>
      </c>
      <c r="G58" s="36"/>
      <c r="H58" s="33" t="s">
        <v>196</v>
      </c>
      <c r="I58" s="33" t="s">
        <v>374</v>
      </c>
      <c r="K58" s="34" t="str">
        <f aca="false">IF($M58="","",ROW()-5)</f>
        <v/>
      </c>
      <c r="L58" s="33"/>
      <c r="M58" s="31"/>
      <c r="N58" s="31"/>
      <c r="O58" s="35" t="str">
        <f aca="false">IF($N58="","",IFERROR(INDEX($B$6:$B$125,MATCH($N58,$A$6:$A$125,0)),"⚠科目不存在"))</f>
        <v/>
      </c>
      <c r="P58" s="36"/>
      <c r="Q58" s="36"/>
    </row>
    <row r="59" customFormat="false" ht="15.75" hidden="false" customHeight="true" outlineLevel="0" collapsed="false">
      <c r="A59" s="31" t="s">
        <v>375</v>
      </c>
      <c r="B59" s="32" t="s">
        <v>376</v>
      </c>
      <c r="C59" s="33" t="s">
        <v>371</v>
      </c>
      <c r="D59" s="33" t="s">
        <v>172</v>
      </c>
      <c r="E59" s="33" t="s">
        <v>157</v>
      </c>
      <c r="F59" s="32" t="s">
        <v>226</v>
      </c>
      <c r="G59" s="36"/>
      <c r="H59" s="33" t="s">
        <v>196</v>
      </c>
      <c r="I59" s="31" t="s">
        <v>175</v>
      </c>
      <c r="K59" s="34" t="str">
        <f aca="false">IF($M59="","",ROW()-5)</f>
        <v/>
      </c>
      <c r="L59" s="33"/>
      <c r="M59" s="31"/>
      <c r="N59" s="31"/>
      <c r="O59" s="35" t="str">
        <f aca="false">IF($N59="","",IFERROR(INDEX($B$6:$B$125,MATCH($N59,$A$6:$A$125,0)),"⚠科目不存在"))</f>
        <v/>
      </c>
      <c r="P59" s="36"/>
      <c r="Q59" s="36"/>
    </row>
    <row r="60" customFormat="false" ht="15.75" hidden="false" customHeight="true" outlineLevel="0" collapsed="false">
      <c r="A60" s="31" t="s">
        <v>187</v>
      </c>
      <c r="B60" s="32" t="s">
        <v>377</v>
      </c>
      <c r="C60" s="33" t="s">
        <v>176</v>
      </c>
      <c r="D60" s="33" t="s">
        <v>220</v>
      </c>
      <c r="E60" s="33" t="s">
        <v>157</v>
      </c>
      <c r="F60" s="36"/>
      <c r="G60" s="32" t="s">
        <v>377</v>
      </c>
      <c r="H60" s="33" t="s">
        <v>196</v>
      </c>
      <c r="I60" s="33" t="s">
        <v>378</v>
      </c>
      <c r="K60" s="34" t="str">
        <f aca="false">IF($M60="","",ROW()-5)</f>
        <v/>
      </c>
      <c r="L60" s="33"/>
      <c r="M60" s="31"/>
      <c r="N60" s="31"/>
      <c r="O60" s="35" t="str">
        <f aca="false">IF($N60="","",IFERROR(INDEX($B$6:$B$125,MATCH($N60,$A$6:$A$125,0)),"⚠科目不存在"))</f>
        <v/>
      </c>
      <c r="P60" s="36"/>
      <c r="Q60" s="36"/>
    </row>
    <row r="61" customFormat="false" ht="15.75" hidden="false" customHeight="true" outlineLevel="0" collapsed="false">
      <c r="A61" s="31" t="s">
        <v>192</v>
      </c>
      <c r="B61" s="32" t="s">
        <v>191</v>
      </c>
      <c r="C61" s="33" t="s">
        <v>176</v>
      </c>
      <c r="D61" s="33" t="s">
        <v>220</v>
      </c>
      <c r="E61" s="33" t="s">
        <v>157</v>
      </c>
      <c r="F61" s="36"/>
      <c r="G61" s="32" t="s">
        <v>191</v>
      </c>
      <c r="H61" s="33" t="s">
        <v>196</v>
      </c>
      <c r="I61" s="33" t="s">
        <v>197</v>
      </c>
      <c r="K61" s="34" t="str">
        <f aca="false">IF($M61="","",ROW()-5)</f>
        <v/>
      </c>
      <c r="L61" s="33"/>
      <c r="M61" s="31"/>
      <c r="N61" s="31"/>
      <c r="O61" s="35" t="str">
        <f aca="false">IF($N61="","",IFERROR(INDEX($B$6:$B$125,MATCH($N61,$A$6:$A$125,0)),"⚠科目不存在"))</f>
        <v/>
      </c>
      <c r="P61" s="36"/>
      <c r="Q61" s="36"/>
    </row>
    <row r="62" customFormat="false" ht="15.75" hidden="false" customHeight="true" outlineLevel="0" collapsed="false">
      <c r="A62" s="31" t="s">
        <v>244</v>
      </c>
      <c r="B62" s="32" t="s">
        <v>379</v>
      </c>
      <c r="C62" s="33" t="s">
        <v>176</v>
      </c>
      <c r="D62" s="33" t="s">
        <v>220</v>
      </c>
      <c r="E62" s="33" t="s">
        <v>157</v>
      </c>
      <c r="F62" s="36"/>
      <c r="G62" s="32" t="s">
        <v>379</v>
      </c>
      <c r="H62" s="33" t="s">
        <v>190</v>
      </c>
      <c r="I62" s="31" t="s">
        <v>175</v>
      </c>
      <c r="K62" s="34" t="str">
        <f aca="false">IF($M62="","",ROW()-5)</f>
        <v/>
      </c>
      <c r="L62" s="33"/>
      <c r="M62" s="31"/>
      <c r="N62" s="31"/>
      <c r="O62" s="35" t="str">
        <f aca="false">IF($N62="","",IFERROR(INDEX($B$6:$B$125,MATCH($N62,$A$6:$A$125,0)),"⚠科目不存在"))</f>
        <v/>
      </c>
      <c r="P62" s="36"/>
      <c r="Q62" s="36"/>
    </row>
    <row r="63" customFormat="false" ht="15.75" hidden="false" customHeight="true" outlineLevel="0" collapsed="false">
      <c r="A63" s="31" t="s">
        <v>380</v>
      </c>
      <c r="B63" s="32" t="s">
        <v>381</v>
      </c>
      <c r="C63" s="33" t="s">
        <v>176</v>
      </c>
      <c r="D63" s="33" t="s">
        <v>220</v>
      </c>
      <c r="E63" s="33" t="s">
        <v>157</v>
      </c>
      <c r="F63" s="36"/>
      <c r="G63" s="32" t="s">
        <v>381</v>
      </c>
      <c r="H63" s="33" t="s">
        <v>190</v>
      </c>
      <c r="I63" s="31" t="s">
        <v>175</v>
      </c>
      <c r="K63" s="34" t="str">
        <f aca="false">IF($M63="","",ROW()-5)</f>
        <v/>
      </c>
      <c r="L63" s="33"/>
      <c r="M63" s="31"/>
      <c r="N63" s="31"/>
      <c r="O63" s="35" t="str">
        <f aca="false">IF($N63="","",IFERROR(INDEX($B$6:$B$125,MATCH($N63,$A$6:$A$125,0)),"⚠科目不存在"))</f>
        <v/>
      </c>
      <c r="P63" s="36"/>
      <c r="Q63" s="36"/>
    </row>
    <row r="64" customFormat="false" ht="15.75" hidden="false" customHeight="true" outlineLevel="0" collapsed="false">
      <c r="A64" s="31" t="s">
        <v>199</v>
      </c>
      <c r="B64" s="32" t="s">
        <v>382</v>
      </c>
      <c r="C64" s="33" t="s">
        <v>176</v>
      </c>
      <c r="D64" s="33" t="s">
        <v>220</v>
      </c>
      <c r="E64" s="33" t="s">
        <v>157</v>
      </c>
      <c r="F64" s="36"/>
      <c r="G64" s="32" t="s">
        <v>382</v>
      </c>
      <c r="H64" s="33" t="s">
        <v>196</v>
      </c>
      <c r="I64" s="31" t="s">
        <v>175</v>
      </c>
      <c r="K64" s="34" t="str">
        <f aca="false">IF($M64="","",ROW()-5)</f>
        <v/>
      </c>
      <c r="L64" s="33"/>
      <c r="M64" s="31"/>
      <c r="N64" s="31"/>
      <c r="O64" s="35" t="str">
        <f aca="false">IF($N64="","",IFERROR(INDEX($B$6:$B$125,MATCH($N64,$A$6:$A$125,0)),"⚠科目不存在"))</f>
        <v/>
      </c>
      <c r="P64" s="36"/>
      <c r="Q64" s="36"/>
    </row>
    <row r="65" customFormat="false" ht="15.75" hidden="false" customHeight="true" outlineLevel="0" collapsed="false">
      <c r="A65" s="31" t="s">
        <v>223</v>
      </c>
      <c r="B65" s="32" t="s">
        <v>222</v>
      </c>
      <c r="C65" s="33" t="s">
        <v>176</v>
      </c>
      <c r="D65" s="33" t="s">
        <v>220</v>
      </c>
      <c r="E65" s="33" t="s">
        <v>157</v>
      </c>
      <c r="F65" s="36"/>
      <c r="G65" s="32" t="s">
        <v>222</v>
      </c>
      <c r="H65" s="33" t="s">
        <v>196</v>
      </c>
      <c r="I65" s="31" t="s">
        <v>175</v>
      </c>
      <c r="K65" s="34" t="str">
        <f aca="false">IF($M65="","",ROW()-5)</f>
        <v/>
      </c>
      <c r="L65" s="33"/>
      <c r="M65" s="31"/>
      <c r="N65" s="31"/>
      <c r="O65" s="35" t="str">
        <f aca="false">IF($N65="","",IFERROR(INDEX($B$6:$B$125,MATCH($N65,$A$6:$A$125,0)),"⚠科目不存在"))</f>
        <v/>
      </c>
      <c r="P65" s="36"/>
      <c r="Q65" s="36"/>
    </row>
    <row r="66" customFormat="false" ht="15.75" hidden="false" customHeight="true" outlineLevel="0" collapsed="false">
      <c r="A66" s="31" t="s">
        <v>383</v>
      </c>
      <c r="B66" s="32" t="s">
        <v>384</v>
      </c>
      <c r="C66" s="33" t="s">
        <v>385</v>
      </c>
      <c r="D66" s="33" t="s">
        <v>172</v>
      </c>
      <c r="E66" s="33" t="s">
        <v>157</v>
      </c>
      <c r="F66" s="36"/>
      <c r="G66" s="32" t="s">
        <v>384</v>
      </c>
      <c r="H66" s="33" t="s">
        <v>196</v>
      </c>
      <c r="I66" s="33" t="s">
        <v>378</v>
      </c>
      <c r="K66" s="34" t="str">
        <f aca="false">IF($M66="","",ROW()-5)</f>
        <v/>
      </c>
      <c r="L66" s="33"/>
      <c r="M66" s="31"/>
      <c r="N66" s="31"/>
      <c r="O66" s="35" t="str">
        <f aca="false">IF($N66="","",IFERROR(INDEX($B$6:$B$125,MATCH($N66,$A$6:$A$125,0)),"⚠科目不存在"))</f>
        <v/>
      </c>
      <c r="P66" s="36"/>
      <c r="Q66" s="36"/>
    </row>
    <row r="67" customFormat="false" ht="15.75" hidden="false" customHeight="true" outlineLevel="0" collapsed="false">
      <c r="A67" s="31" t="s">
        <v>386</v>
      </c>
      <c r="B67" s="32" t="s">
        <v>387</v>
      </c>
      <c r="C67" s="33" t="s">
        <v>385</v>
      </c>
      <c r="D67" s="33" t="s">
        <v>172</v>
      </c>
      <c r="E67" s="33" t="s">
        <v>157</v>
      </c>
      <c r="F67" s="36"/>
      <c r="G67" s="32" t="s">
        <v>387</v>
      </c>
      <c r="H67" s="33" t="s">
        <v>196</v>
      </c>
      <c r="I67" s="31" t="s">
        <v>175</v>
      </c>
      <c r="K67" s="34" t="str">
        <f aca="false">IF($M67="","",ROW()-5)</f>
        <v/>
      </c>
      <c r="L67" s="33"/>
      <c r="M67" s="31"/>
      <c r="N67" s="31"/>
      <c r="O67" s="35" t="str">
        <f aca="false">IF($N67="","",IFERROR(INDEX($B$6:$B$125,MATCH($N67,$A$6:$A$125,0)),"⚠科目不存在"))</f>
        <v/>
      </c>
      <c r="P67" s="36"/>
      <c r="Q67" s="36"/>
    </row>
    <row r="68" customFormat="false" ht="15.75" hidden="false" customHeight="true" outlineLevel="0" collapsed="false">
      <c r="A68" s="31" t="s">
        <v>388</v>
      </c>
      <c r="B68" s="32" t="s">
        <v>389</v>
      </c>
      <c r="C68" s="33" t="s">
        <v>385</v>
      </c>
      <c r="D68" s="33" t="s">
        <v>172</v>
      </c>
      <c r="E68" s="33" t="s">
        <v>157</v>
      </c>
      <c r="F68" s="36"/>
      <c r="G68" s="32" t="s">
        <v>389</v>
      </c>
      <c r="H68" s="33" t="s">
        <v>196</v>
      </c>
      <c r="I68" s="31" t="s">
        <v>175</v>
      </c>
      <c r="K68" s="34" t="str">
        <f aca="false">IF($M68="","",ROW()-5)</f>
        <v/>
      </c>
      <c r="L68" s="33"/>
      <c r="M68" s="31"/>
      <c r="N68" s="31"/>
      <c r="O68" s="35" t="str">
        <f aca="false">IF($N68="","",IFERROR(INDEX($B$6:$B$125,MATCH($N68,$A$6:$A$125,0)),"⚠科目不存在"))</f>
        <v/>
      </c>
      <c r="P68" s="36"/>
      <c r="Q68" s="36"/>
    </row>
    <row r="69" customFormat="false" ht="15.75" hidden="false" customHeight="true" outlineLevel="0" collapsed="false">
      <c r="A69" s="31" t="s">
        <v>312</v>
      </c>
      <c r="B69" s="32" t="s">
        <v>390</v>
      </c>
      <c r="C69" s="33" t="s">
        <v>385</v>
      </c>
      <c r="D69" s="33" t="s">
        <v>172</v>
      </c>
      <c r="E69" s="33" t="s">
        <v>157</v>
      </c>
      <c r="F69" s="36"/>
      <c r="G69" s="32" t="s">
        <v>390</v>
      </c>
      <c r="H69" s="33" t="s">
        <v>196</v>
      </c>
      <c r="I69" s="33" t="s">
        <v>391</v>
      </c>
      <c r="K69" s="34" t="str">
        <f aca="false">IF($M69="","",ROW()-5)</f>
        <v/>
      </c>
      <c r="L69" s="33"/>
      <c r="M69" s="31"/>
      <c r="N69" s="31"/>
      <c r="O69" s="35" t="str">
        <f aca="false">IF($N69="","",IFERROR(INDEX($B$6:$B$125,MATCH($N69,$A$6:$A$125,0)),"⚠科目不存在"))</f>
        <v/>
      </c>
      <c r="P69" s="36"/>
      <c r="Q69" s="36"/>
    </row>
    <row r="70" customFormat="false" ht="15.75" hidden="false" customHeight="true" outlineLevel="0" collapsed="false">
      <c r="A70" s="31" t="s">
        <v>269</v>
      </c>
      <c r="B70" s="32" t="s">
        <v>392</v>
      </c>
      <c r="C70" s="33" t="s">
        <v>385</v>
      </c>
      <c r="D70" s="33" t="s">
        <v>172</v>
      </c>
      <c r="E70" s="33" t="s">
        <v>157</v>
      </c>
      <c r="F70" s="36"/>
      <c r="G70" s="32" t="s">
        <v>392</v>
      </c>
      <c r="H70" s="33" t="s">
        <v>196</v>
      </c>
      <c r="I70" s="33" t="s">
        <v>391</v>
      </c>
      <c r="K70" s="34" t="str">
        <f aca="false">IF($M70="","",ROW()-5)</f>
        <v/>
      </c>
      <c r="L70" s="33"/>
      <c r="M70" s="31"/>
      <c r="N70" s="31"/>
      <c r="O70" s="35" t="str">
        <f aca="false">IF($N70="","",IFERROR(INDEX($B$6:$B$125,MATCH($N70,$A$6:$A$125,0)),"⚠科目不存在"))</f>
        <v/>
      </c>
      <c r="P70" s="36"/>
      <c r="Q70" s="36"/>
    </row>
    <row r="71" customFormat="false" ht="15.75" hidden="false" customHeight="true" outlineLevel="0" collapsed="false">
      <c r="A71" s="31" t="s">
        <v>202</v>
      </c>
      <c r="B71" s="32" t="s">
        <v>393</v>
      </c>
      <c r="C71" s="33" t="s">
        <v>385</v>
      </c>
      <c r="D71" s="33" t="s">
        <v>172</v>
      </c>
      <c r="E71" s="33" t="s">
        <v>157</v>
      </c>
      <c r="F71" s="36"/>
      <c r="G71" s="32" t="s">
        <v>393</v>
      </c>
      <c r="H71" s="33" t="s">
        <v>196</v>
      </c>
      <c r="I71" s="31" t="s">
        <v>175</v>
      </c>
      <c r="K71" s="34" t="str">
        <f aca="false">IF($M71="","",ROW()-5)</f>
        <v/>
      </c>
      <c r="L71" s="33"/>
      <c r="M71" s="31"/>
      <c r="N71" s="31"/>
      <c r="O71" s="35" t="str">
        <f aca="false">IF($N71="","",IFERROR(INDEX($B$6:$B$125,MATCH($N71,$A$6:$A$125,0)),"⚠科目不存在"))</f>
        <v/>
      </c>
      <c r="P71" s="36"/>
      <c r="Q71" s="36"/>
    </row>
    <row r="72" customFormat="false" ht="15.75" hidden="false" customHeight="true" outlineLevel="0" collapsed="false">
      <c r="A72" s="31" t="s">
        <v>323</v>
      </c>
      <c r="B72" s="32" t="s">
        <v>394</v>
      </c>
      <c r="C72" s="33" t="s">
        <v>385</v>
      </c>
      <c r="D72" s="33" t="s">
        <v>172</v>
      </c>
      <c r="E72" s="33" t="s">
        <v>157</v>
      </c>
      <c r="F72" s="36"/>
      <c r="G72" s="32" t="s">
        <v>394</v>
      </c>
      <c r="H72" s="33" t="s">
        <v>196</v>
      </c>
      <c r="I72" s="33" t="s">
        <v>374</v>
      </c>
      <c r="K72" s="34" t="str">
        <f aca="false">IF($M72="","",ROW()-5)</f>
        <v/>
      </c>
      <c r="L72" s="33"/>
      <c r="M72" s="31"/>
      <c r="N72" s="31"/>
      <c r="O72" s="35" t="str">
        <f aca="false">IF($N72="","",IFERROR(INDEX($B$6:$B$125,MATCH($N72,$A$6:$A$125,0)),"⚠科目不存在"))</f>
        <v/>
      </c>
      <c r="P72" s="36"/>
      <c r="Q72" s="36"/>
    </row>
    <row r="73" customFormat="false" ht="15.75" hidden="false" customHeight="true" outlineLevel="0" collapsed="false">
      <c r="A73" s="31" t="s">
        <v>395</v>
      </c>
      <c r="B73" s="32" t="s">
        <v>396</v>
      </c>
      <c r="C73" s="33" t="s">
        <v>385</v>
      </c>
      <c r="D73" s="33" t="s">
        <v>172</v>
      </c>
      <c r="E73" s="33" t="s">
        <v>157</v>
      </c>
      <c r="F73" s="36"/>
      <c r="G73" s="32" t="s">
        <v>396</v>
      </c>
      <c r="H73" s="33" t="s">
        <v>221</v>
      </c>
      <c r="I73" s="31" t="s">
        <v>175</v>
      </c>
      <c r="K73" s="34" t="str">
        <f aca="false">IF($M73="","",ROW()-5)</f>
        <v/>
      </c>
      <c r="L73" s="33"/>
      <c r="M73" s="31"/>
      <c r="N73" s="31"/>
      <c r="O73" s="35" t="str">
        <f aca="false">IF($N73="","",IFERROR(INDEX($B$6:$B$125,MATCH($N73,$A$6:$A$125,0)),"⚠科目不存在"))</f>
        <v/>
      </c>
      <c r="P73" s="36"/>
      <c r="Q73" s="36"/>
    </row>
    <row r="74" customFormat="false" ht="15.75" hidden="false" customHeight="true" outlineLevel="0" collapsed="false">
      <c r="A74" s="31" t="s">
        <v>397</v>
      </c>
      <c r="B74" s="32" t="s">
        <v>398</v>
      </c>
      <c r="C74" s="33" t="s">
        <v>385</v>
      </c>
      <c r="D74" s="33" t="s">
        <v>172</v>
      </c>
      <c r="E74" s="33" t="s">
        <v>157</v>
      </c>
      <c r="F74" s="36"/>
      <c r="G74" s="32" t="s">
        <v>398</v>
      </c>
      <c r="H74" s="33" t="s">
        <v>221</v>
      </c>
      <c r="I74" s="31" t="s">
        <v>175</v>
      </c>
      <c r="K74" s="34" t="str">
        <f aca="false">IF($M74="","",ROW()-5)</f>
        <v/>
      </c>
      <c r="L74" s="33"/>
      <c r="M74" s="31"/>
      <c r="N74" s="31"/>
      <c r="O74" s="35" t="str">
        <f aca="false">IF($N74="","",IFERROR(INDEX($B$6:$B$125,MATCH($N74,$A$6:$A$125,0)),"⚠科目不存在"))</f>
        <v/>
      </c>
      <c r="P74" s="36"/>
      <c r="Q74" s="36"/>
    </row>
    <row r="75" customFormat="false" ht="15.75" hidden="false" customHeight="true" outlineLevel="0" collapsed="false">
      <c r="A75" s="31" t="s">
        <v>335</v>
      </c>
      <c r="B75" s="32" t="s">
        <v>334</v>
      </c>
      <c r="C75" s="33" t="s">
        <v>385</v>
      </c>
      <c r="D75" s="33" t="s">
        <v>172</v>
      </c>
      <c r="E75" s="33" t="s">
        <v>157</v>
      </c>
      <c r="F75" s="36"/>
      <c r="G75" s="32" t="s">
        <v>334</v>
      </c>
      <c r="H75" s="33" t="s">
        <v>196</v>
      </c>
      <c r="I75" s="31" t="s">
        <v>175</v>
      </c>
      <c r="K75" s="34" t="str">
        <f aca="false">IF($M75="","",ROW()-5)</f>
        <v/>
      </c>
      <c r="L75" s="33"/>
      <c r="M75" s="31"/>
      <c r="N75" s="31"/>
      <c r="O75" s="35" t="str">
        <f aca="false">IF($N75="","",IFERROR(INDEX($B$6:$B$125,MATCH($N75,$A$6:$A$125,0)),"⚠科目不存在"))</f>
        <v/>
      </c>
      <c r="P75" s="36"/>
      <c r="Q75" s="36"/>
    </row>
    <row r="76" customFormat="false" ht="15.75" hidden="false" customHeight="true" outlineLevel="0" collapsed="false">
      <c r="A76" s="31" t="s">
        <v>399</v>
      </c>
      <c r="B76" s="32" t="s">
        <v>400</v>
      </c>
      <c r="C76" s="33" t="s">
        <v>385</v>
      </c>
      <c r="D76" s="33" t="s">
        <v>172</v>
      </c>
      <c r="E76" s="33" t="s">
        <v>157</v>
      </c>
      <c r="F76" s="36"/>
      <c r="G76" s="32" t="s">
        <v>400</v>
      </c>
      <c r="H76" s="33" t="s">
        <v>196</v>
      </c>
      <c r="I76" s="31" t="s">
        <v>175</v>
      </c>
      <c r="K76" s="34" t="str">
        <f aca="false">IF($M76="","",ROW()-5)</f>
        <v/>
      </c>
      <c r="L76" s="33"/>
      <c r="M76" s="31"/>
      <c r="N76" s="31"/>
      <c r="O76" s="35" t="str">
        <f aca="false">IF($N76="","",IFERROR(INDEX($B$6:$B$125,MATCH($N76,$A$6:$A$125,0)),"⚠科目不存在"))</f>
        <v/>
      </c>
      <c r="P76" s="36"/>
      <c r="Q76" s="36"/>
    </row>
    <row r="77" customFormat="false" ht="15.75" hidden="false" customHeight="true" outlineLevel="0" collapsed="false">
      <c r="A77" s="31"/>
      <c r="B77" s="36"/>
      <c r="C77" s="33"/>
      <c r="D77" s="33"/>
      <c r="E77" s="33"/>
      <c r="F77" s="36"/>
      <c r="G77" s="36"/>
      <c r="H77" s="31"/>
      <c r="I77" s="31"/>
      <c r="K77" s="34" t="str">
        <f aca="false">IF($M77="","",ROW()-5)</f>
        <v/>
      </c>
      <c r="L77" s="33"/>
      <c r="M77" s="31"/>
      <c r="N77" s="31"/>
      <c r="O77" s="35" t="str">
        <f aca="false">IF($N77="","",IFERROR(INDEX($B$6:$B$125,MATCH($N77,$A$6:$A$125,0)),"⚠科目不存在"))</f>
        <v/>
      </c>
      <c r="P77" s="36"/>
      <c r="Q77" s="36"/>
    </row>
    <row r="78" customFormat="false" ht="15.75" hidden="false" customHeight="true" outlineLevel="0" collapsed="false">
      <c r="A78" s="31"/>
      <c r="B78" s="36"/>
      <c r="C78" s="33"/>
      <c r="D78" s="33"/>
      <c r="E78" s="33"/>
      <c r="F78" s="36"/>
      <c r="G78" s="36"/>
      <c r="H78" s="31"/>
      <c r="I78" s="31"/>
      <c r="K78" s="34" t="str">
        <f aca="false">IF($M78="","",ROW()-5)</f>
        <v/>
      </c>
      <c r="L78" s="33"/>
      <c r="M78" s="31"/>
      <c r="N78" s="31"/>
      <c r="O78" s="35" t="str">
        <f aca="false">IF($N78="","",IFERROR(INDEX($B$6:$B$125,MATCH($N78,$A$6:$A$125,0)),"⚠科目不存在"))</f>
        <v/>
      </c>
      <c r="P78" s="36"/>
      <c r="Q78" s="36"/>
    </row>
    <row r="79" customFormat="false" ht="15.75" hidden="false" customHeight="true" outlineLevel="0" collapsed="false">
      <c r="A79" s="31"/>
      <c r="B79" s="36"/>
      <c r="C79" s="33"/>
      <c r="D79" s="33"/>
      <c r="E79" s="33"/>
      <c r="F79" s="36"/>
      <c r="G79" s="36"/>
      <c r="H79" s="31"/>
      <c r="I79" s="31"/>
      <c r="K79" s="34" t="str">
        <f aca="false">IF($M79="","",ROW()-5)</f>
        <v/>
      </c>
      <c r="L79" s="33"/>
      <c r="M79" s="31"/>
      <c r="N79" s="31"/>
      <c r="O79" s="35" t="str">
        <f aca="false">IF($N79="","",IFERROR(INDEX($B$6:$B$125,MATCH($N79,$A$6:$A$125,0)),"⚠科目不存在"))</f>
        <v/>
      </c>
      <c r="P79" s="36"/>
      <c r="Q79" s="36"/>
    </row>
    <row r="80" customFormat="false" ht="15.75" hidden="false" customHeight="true" outlineLevel="0" collapsed="false">
      <c r="A80" s="31"/>
      <c r="B80" s="36"/>
      <c r="C80" s="33"/>
      <c r="D80" s="33"/>
      <c r="E80" s="33"/>
      <c r="F80" s="36"/>
      <c r="G80" s="36"/>
      <c r="H80" s="31"/>
      <c r="I80" s="31"/>
      <c r="K80" s="34" t="str">
        <f aca="false">IF($M80="","",ROW()-5)</f>
        <v/>
      </c>
      <c r="L80" s="33"/>
      <c r="M80" s="31"/>
      <c r="N80" s="31"/>
      <c r="O80" s="35" t="str">
        <f aca="false">IF($N80="","",IFERROR(INDEX($B$6:$B$125,MATCH($N80,$A$6:$A$125,0)),"⚠科目不存在"))</f>
        <v/>
      </c>
      <c r="P80" s="36"/>
      <c r="Q80" s="36"/>
    </row>
    <row r="81" customFormat="false" ht="15.75" hidden="false" customHeight="true" outlineLevel="0" collapsed="false">
      <c r="A81" s="31"/>
      <c r="B81" s="36"/>
      <c r="C81" s="33"/>
      <c r="D81" s="33"/>
      <c r="E81" s="33"/>
      <c r="F81" s="36"/>
      <c r="G81" s="36"/>
      <c r="H81" s="31"/>
      <c r="I81" s="31"/>
      <c r="K81" s="34" t="str">
        <f aca="false">IF($M81="","",ROW()-5)</f>
        <v/>
      </c>
      <c r="L81" s="33"/>
      <c r="M81" s="31"/>
      <c r="N81" s="31"/>
      <c r="O81" s="35" t="str">
        <f aca="false">IF($N81="","",IFERROR(INDEX($B$6:$B$125,MATCH($N81,$A$6:$A$125,0)),"⚠科目不存在"))</f>
        <v/>
      </c>
      <c r="P81" s="36"/>
      <c r="Q81" s="36"/>
    </row>
    <row r="82" customFormat="false" ht="15.75" hidden="false" customHeight="true" outlineLevel="0" collapsed="false">
      <c r="A82" s="31"/>
      <c r="B82" s="36"/>
      <c r="C82" s="33"/>
      <c r="D82" s="33"/>
      <c r="E82" s="33"/>
      <c r="F82" s="36"/>
      <c r="G82" s="36"/>
      <c r="H82" s="31"/>
      <c r="I82" s="31"/>
      <c r="K82" s="34" t="str">
        <f aca="false">IF($M82="","",ROW()-5)</f>
        <v/>
      </c>
      <c r="L82" s="33"/>
      <c r="M82" s="31"/>
      <c r="N82" s="31"/>
      <c r="O82" s="35" t="str">
        <f aca="false">IF($N82="","",IFERROR(INDEX($B$6:$B$125,MATCH($N82,$A$6:$A$125,0)),"⚠科目不存在"))</f>
        <v/>
      </c>
      <c r="P82" s="36"/>
      <c r="Q82" s="36"/>
    </row>
    <row r="83" customFormat="false" ht="15.75" hidden="false" customHeight="true" outlineLevel="0" collapsed="false">
      <c r="A83" s="31"/>
      <c r="B83" s="36"/>
      <c r="C83" s="33"/>
      <c r="D83" s="33"/>
      <c r="E83" s="33"/>
      <c r="F83" s="36"/>
      <c r="G83" s="36"/>
      <c r="H83" s="31"/>
      <c r="I83" s="31"/>
      <c r="K83" s="34" t="str">
        <f aca="false">IF($M83="","",ROW()-5)</f>
        <v/>
      </c>
      <c r="L83" s="33"/>
      <c r="M83" s="31"/>
      <c r="N83" s="31"/>
      <c r="O83" s="35" t="str">
        <f aca="false">IF($N83="","",IFERROR(INDEX($B$6:$B$125,MATCH($N83,$A$6:$A$125,0)),"⚠科目不存在"))</f>
        <v/>
      </c>
      <c r="P83" s="36"/>
      <c r="Q83" s="36"/>
    </row>
    <row r="84" customFormat="false" ht="15.75" hidden="false" customHeight="true" outlineLevel="0" collapsed="false">
      <c r="A84" s="31"/>
      <c r="B84" s="36"/>
      <c r="C84" s="33"/>
      <c r="D84" s="33"/>
      <c r="E84" s="33"/>
      <c r="F84" s="36"/>
      <c r="G84" s="36"/>
      <c r="H84" s="31"/>
      <c r="I84" s="31"/>
      <c r="K84" s="34" t="str">
        <f aca="false">IF($M84="","",ROW()-5)</f>
        <v/>
      </c>
      <c r="L84" s="33"/>
      <c r="M84" s="31"/>
      <c r="N84" s="31"/>
      <c r="O84" s="35" t="str">
        <f aca="false">IF($N84="","",IFERROR(INDEX($B$6:$B$125,MATCH($N84,$A$6:$A$125,0)),"⚠科目不存在"))</f>
        <v/>
      </c>
      <c r="P84" s="36"/>
      <c r="Q84" s="36"/>
    </row>
    <row r="85" customFormat="false" ht="15.75" hidden="false" customHeight="true" outlineLevel="0" collapsed="false">
      <c r="A85" s="31"/>
      <c r="B85" s="36"/>
      <c r="C85" s="33"/>
      <c r="D85" s="33"/>
      <c r="E85" s="33"/>
      <c r="F85" s="36"/>
      <c r="G85" s="36"/>
      <c r="H85" s="31"/>
      <c r="I85" s="31"/>
      <c r="K85" s="34" t="str">
        <f aca="false">IF($M85="","",ROW()-5)</f>
        <v/>
      </c>
      <c r="L85" s="33"/>
      <c r="M85" s="31"/>
      <c r="N85" s="31"/>
      <c r="O85" s="35" t="str">
        <f aca="false">IF($N85="","",IFERROR(INDEX($B$6:$B$125,MATCH($N85,$A$6:$A$125,0)),"⚠科目不存在"))</f>
        <v/>
      </c>
      <c r="P85" s="36"/>
      <c r="Q85" s="36"/>
    </row>
    <row r="86" customFormat="false" ht="15.75" hidden="false" customHeight="true" outlineLevel="0" collapsed="false">
      <c r="A86" s="31"/>
      <c r="B86" s="36"/>
      <c r="C86" s="33"/>
      <c r="D86" s="33"/>
      <c r="E86" s="33"/>
      <c r="F86" s="36"/>
      <c r="G86" s="36"/>
      <c r="H86" s="31"/>
      <c r="I86" s="31"/>
      <c r="K86" s="6" t="s">
        <v>401</v>
      </c>
      <c r="L86" s="6"/>
      <c r="M86" s="6"/>
      <c r="N86" s="6"/>
      <c r="O86" s="6"/>
      <c r="P86" s="6"/>
      <c r="Q86" s="6"/>
    </row>
    <row r="87" customFormat="false" ht="15.75" hidden="false" customHeight="true" outlineLevel="0" collapsed="false">
      <c r="A87" s="31"/>
      <c r="B87" s="36"/>
      <c r="C87" s="33"/>
      <c r="D87" s="33"/>
      <c r="E87" s="33"/>
      <c r="F87" s="36"/>
      <c r="G87" s="36"/>
      <c r="H87" s="31"/>
      <c r="I87" s="31"/>
    </row>
    <row r="88" customFormat="false" ht="15.75" hidden="false" customHeight="true" outlineLevel="0" collapsed="false">
      <c r="A88" s="31"/>
      <c r="B88" s="36"/>
      <c r="C88" s="33"/>
      <c r="D88" s="33"/>
      <c r="E88" s="33"/>
      <c r="F88" s="36"/>
      <c r="G88" s="36"/>
      <c r="H88" s="31"/>
      <c r="I88" s="31"/>
    </row>
    <row r="89" customFormat="false" ht="15.75" hidden="false" customHeight="true" outlineLevel="0" collapsed="false">
      <c r="A89" s="31"/>
      <c r="B89" s="36"/>
      <c r="C89" s="33"/>
      <c r="D89" s="33"/>
      <c r="E89" s="33"/>
      <c r="F89" s="36"/>
      <c r="G89" s="36"/>
      <c r="H89" s="31"/>
      <c r="I89" s="31"/>
    </row>
    <row r="90" customFormat="false" ht="15.75" hidden="false" customHeight="true" outlineLevel="0" collapsed="false">
      <c r="A90" s="31"/>
      <c r="B90" s="36"/>
      <c r="C90" s="33"/>
      <c r="D90" s="33"/>
      <c r="E90" s="33"/>
      <c r="F90" s="36"/>
      <c r="G90" s="36"/>
      <c r="H90" s="31"/>
      <c r="I90" s="31"/>
    </row>
    <row r="91" customFormat="false" ht="15.75" hidden="false" customHeight="true" outlineLevel="0" collapsed="false">
      <c r="A91" s="31"/>
      <c r="B91" s="36"/>
      <c r="C91" s="33"/>
      <c r="D91" s="33"/>
      <c r="E91" s="33"/>
      <c r="F91" s="36"/>
      <c r="G91" s="36"/>
      <c r="H91" s="31"/>
      <c r="I91" s="31"/>
    </row>
    <row r="92" customFormat="false" ht="15.75" hidden="false" customHeight="true" outlineLevel="0" collapsed="false">
      <c r="A92" s="31"/>
      <c r="B92" s="36"/>
      <c r="C92" s="33"/>
      <c r="D92" s="33"/>
      <c r="E92" s="33"/>
      <c r="F92" s="36"/>
      <c r="G92" s="36"/>
      <c r="H92" s="31"/>
      <c r="I92" s="31"/>
    </row>
    <row r="93" customFormat="false" ht="15.75" hidden="false" customHeight="true" outlineLevel="0" collapsed="false">
      <c r="A93" s="31"/>
      <c r="B93" s="36"/>
      <c r="C93" s="33"/>
      <c r="D93" s="33"/>
      <c r="E93" s="33"/>
      <c r="F93" s="36"/>
      <c r="G93" s="36"/>
      <c r="H93" s="31"/>
      <c r="I93" s="31"/>
    </row>
    <row r="94" customFormat="false" ht="15.75" hidden="false" customHeight="true" outlineLevel="0" collapsed="false">
      <c r="A94" s="31"/>
      <c r="B94" s="36"/>
      <c r="C94" s="33"/>
      <c r="D94" s="33"/>
      <c r="E94" s="33"/>
      <c r="F94" s="36"/>
      <c r="G94" s="36"/>
      <c r="H94" s="31"/>
      <c r="I94" s="31"/>
    </row>
    <row r="95" customFormat="false" ht="15.75" hidden="false" customHeight="true" outlineLevel="0" collapsed="false">
      <c r="A95" s="31"/>
      <c r="B95" s="36"/>
      <c r="C95" s="33"/>
      <c r="D95" s="33"/>
      <c r="E95" s="33"/>
      <c r="F95" s="36"/>
      <c r="G95" s="36"/>
      <c r="H95" s="31"/>
      <c r="I95" s="31"/>
    </row>
    <row r="96" customFormat="false" ht="15.75" hidden="false" customHeight="true" outlineLevel="0" collapsed="false">
      <c r="A96" s="31"/>
      <c r="B96" s="36"/>
      <c r="C96" s="33"/>
      <c r="D96" s="33"/>
      <c r="E96" s="33"/>
      <c r="F96" s="36"/>
      <c r="G96" s="36"/>
      <c r="H96" s="31"/>
      <c r="I96" s="31"/>
    </row>
    <row r="97" customFormat="false" ht="15.75" hidden="false" customHeight="true" outlineLevel="0" collapsed="false">
      <c r="A97" s="31"/>
      <c r="B97" s="36"/>
      <c r="C97" s="33"/>
      <c r="D97" s="33"/>
      <c r="E97" s="33"/>
      <c r="F97" s="36"/>
      <c r="G97" s="36"/>
      <c r="H97" s="31"/>
      <c r="I97" s="31"/>
    </row>
    <row r="98" customFormat="false" ht="15.75" hidden="false" customHeight="true" outlineLevel="0" collapsed="false">
      <c r="A98" s="31"/>
      <c r="B98" s="36"/>
      <c r="C98" s="33"/>
      <c r="D98" s="33"/>
      <c r="E98" s="33"/>
      <c r="F98" s="36"/>
      <c r="G98" s="36"/>
      <c r="H98" s="31"/>
      <c r="I98" s="31"/>
    </row>
    <row r="99" customFormat="false" ht="15.75" hidden="false" customHeight="true" outlineLevel="0" collapsed="false">
      <c r="A99" s="31"/>
      <c r="B99" s="36"/>
      <c r="C99" s="33"/>
      <c r="D99" s="33"/>
      <c r="E99" s="33"/>
      <c r="F99" s="36"/>
      <c r="G99" s="36"/>
      <c r="H99" s="31"/>
      <c r="I99" s="31"/>
    </row>
    <row r="100" customFormat="false" ht="15.75" hidden="false" customHeight="true" outlineLevel="0" collapsed="false">
      <c r="A100" s="31"/>
      <c r="B100" s="36"/>
      <c r="C100" s="33"/>
      <c r="D100" s="33"/>
      <c r="E100" s="33"/>
      <c r="F100" s="36"/>
      <c r="G100" s="36"/>
      <c r="H100" s="31"/>
      <c r="I100" s="31"/>
    </row>
    <row r="101" customFormat="false" ht="15.75" hidden="false" customHeight="true" outlineLevel="0" collapsed="false">
      <c r="A101" s="31"/>
      <c r="B101" s="36"/>
      <c r="C101" s="33"/>
      <c r="D101" s="33"/>
      <c r="E101" s="33"/>
      <c r="F101" s="36"/>
      <c r="G101" s="36"/>
      <c r="H101" s="31"/>
      <c r="I101" s="31"/>
    </row>
    <row r="102" customFormat="false" ht="15.75" hidden="false" customHeight="true" outlineLevel="0" collapsed="false">
      <c r="A102" s="31"/>
      <c r="B102" s="36"/>
      <c r="C102" s="33"/>
      <c r="D102" s="33"/>
      <c r="E102" s="33"/>
      <c r="F102" s="36"/>
      <c r="G102" s="36"/>
      <c r="H102" s="31"/>
      <c r="I102" s="31"/>
    </row>
    <row r="103" customFormat="false" ht="15.75" hidden="false" customHeight="true" outlineLevel="0" collapsed="false">
      <c r="A103" s="31"/>
      <c r="B103" s="36"/>
      <c r="C103" s="33"/>
      <c r="D103" s="33"/>
      <c r="E103" s="33"/>
      <c r="F103" s="36"/>
      <c r="G103" s="36"/>
      <c r="H103" s="31"/>
      <c r="I103" s="31"/>
    </row>
    <row r="104" customFormat="false" ht="15.75" hidden="false" customHeight="true" outlineLevel="0" collapsed="false">
      <c r="A104" s="31"/>
      <c r="B104" s="36"/>
      <c r="C104" s="33"/>
      <c r="D104" s="33"/>
      <c r="E104" s="33"/>
      <c r="F104" s="36"/>
      <c r="G104" s="36"/>
      <c r="H104" s="31"/>
      <c r="I104" s="31"/>
    </row>
    <row r="105" customFormat="false" ht="15.75" hidden="false" customHeight="true" outlineLevel="0" collapsed="false">
      <c r="A105" s="31"/>
      <c r="B105" s="36"/>
      <c r="C105" s="33"/>
      <c r="D105" s="33"/>
      <c r="E105" s="33"/>
      <c r="F105" s="36"/>
      <c r="G105" s="36"/>
      <c r="H105" s="31"/>
      <c r="I105" s="31"/>
    </row>
    <row r="106" customFormat="false" ht="15.75" hidden="false" customHeight="true" outlineLevel="0" collapsed="false">
      <c r="A106" s="31"/>
      <c r="B106" s="36"/>
      <c r="C106" s="33"/>
      <c r="D106" s="33"/>
      <c r="E106" s="33"/>
      <c r="F106" s="36"/>
      <c r="G106" s="36"/>
      <c r="H106" s="31"/>
      <c r="I106" s="31"/>
    </row>
    <row r="107" customFormat="false" ht="15.75" hidden="false" customHeight="true" outlineLevel="0" collapsed="false">
      <c r="A107" s="31"/>
      <c r="B107" s="36"/>
      <c r="C107" s="33"/>
      <c r="D107" s="33"/>
      <c r="E107" s="33"/>
      <c r="F107" s="36"/>
      <c r="G107" s="36"/>
      <c r="H107" s="31"/>
      <c r="I107" s="31"/>
    </row>
    <row r="108" customFormat="false" ht="15.75" hidden="false" customHeight="true" outlineLevel="0" collapsed="false">
      <c r="A108" s="31"/>
      <c r="B108" s="36"/>
      <c r="C108" s="33"/>
      <c r="D108" s="33"/>
      <c r="E108" s="33"/>
      <c r="F108" s="36"/>
      <c r="G108" s="36"/>
      <c r="H108" s="31"/>
      <c r="I108" s="31"/>
    </row>
    <row r="109" customFormat="false" ht="15.75" hidden="false" customHeight="true" outlineLevel="0" collapsed="false">
      <c r="A109" s="31"/>
      <c r="B109" s="36"/>
      <c r="C109" s="33"/>
      <c r="D109" s="33"/>
      <c r="E109" s="33"/>
      <c r="F109" s="36"/>
      <c r="G109" s="36"/>
      <c r="H109" s="31"/>
      <c r="I109" s="31"/>
    </row>
    <row r="110" customFormat="false" ht="15.75" hidden="false" customHeight="true" outlineLevel="0" collapsed="false">
      <c r="A110" s="31"/>
      <c r="B110" s="36"/>
      <c r="C110" s="33"/>
      <c r="D110" s="33"/>
      <c r="E110" s="33"/>
      <c r="F110" s="36"/>
      <c r="G110" s="36"/>
      <c r="H110" s="31"/>
      <c r="I110" s="31"/>
    </row>
    <row r="111" customFormat="false" ht="15.75" hidden="false" customHeight="true" outlineLevel="0" collapsed="false">
      <c r="A111" s="31"/>
      <c r="B111" s="36"/>
      <c r="C111" s="33"/>
      <c r="D111" s="33"/>
      <c r="E111" s="33"/>
      <c r="F111" s="36"/>
      <c r="G111" s="36"/>
      <c r="H111" s="31"/>
      <c r="I111" s="31"/>
    </row>
    <row r="112" customFormat="false" ht="15.75" hidden="false" customHeight="true" outlineLevel="0" collapsed="false">
      <c r="A112" s="31"/>
      <c r="B112" s="36"/>
      <c r="C112" s="33"/>
      <c r="D112" s="33"/>
      <c r="E112" s="33"/>
      <c r="F112" s="36"/>
      <c r="G112" s="36"/>
      <c r="H112" s="31"/>
      <c r="I112" s="31"/>
    </row>
    <row r="113" customFormat="false" ht="15.75" hidden="false" customHeight="true" outlineLevel="0" collapsed="false">
      <c r="A113" s="31"/>
      <c r="B113" s="36"/>
      <c r="C113" s="33"/>
      <c r="D113" s="33"/>
      <c r="E113" s="33"/>
      <c r="F113" s="36"/>
      <c r="G113" s="36"/>
      <c r="H113" s="31"/>
      <c r="I113" s="31"/>
    </row>
    <row r="114" customFormat="false" ht="15.75" hidden="false" customHeight="true" outlineLevel="0" collapsed="false">
      <c r="A114" s="31"/>
      <c r="B114" s="36"/>
      <c r="C114" s="33"/>
      <c r="D114" s="33"/>
      <c r="E114" s="33"/>
      <c r="F114" s="36"/>
      <c r="G114" s="36"/>
      <c r="H114" s="31"/>
      <c r="I114" s="31"/>
    </row>
    <row r="115" customFormat="false" ht="15.75" hidden="false" customHeight="true" outlineLevel="0" collapsed="false">
      <c r="A115" s="31"/>
      <c r="B115" s="36"/>
      <c r="C115" s="33"/>
      <c r="D115" s="33"/>
      <c r="E115" s="33"/>
      <c r="F115" s="36"/>
      <c r="G115" s="36"/>
      <c r="H115" s="31"/>
      <c r="I115" s="31"/>
    </row>
    <row r="116" customFormat="false" ht="15.75" hidden="false" customHeight="true" outlineLevel="0" collapsed="false">
      <c r="A116" s="31"/>
      <c r="B116" s="36"/>
      <c r="C116" s="33"/>
      <c r="D116" s="33"/>
      <c r="E116" s="33"/>
      <c r="F116" s="36"/>
      <c r="G116" s="36"/>
      <c r="H116" s="31"/>
      <c r="I116" s="31"/>
    </row>
    <row r="117" customFormat="false" ht="15.75" hidden="false" customHeight="true" outlineLevel="0" collapsed="false">
      <c r="A117" s="31"/>
      <c r="B117" s="36"/>
      <c r="C117" s="33"/>
      <c r="D117" s="33"/>
      <c r="E117" s="33"/>
      <c r="F117" s="36"/>
      <c r="G117" s="36"/>
      <c r="H117" s="31"/>
      <c r="I117" s="31"/>
    </row>
    <row r="118" customFormat="false" ht="15.75" hidden="false" customHeight="true" outlineLevel="0" collapsed="false">
      <c r="A118" s="31"/>
      <c r="B118" s="36"/>
      <c r="C118" s="33"/>
      <c r="D118" s="33"/>
      <c r="E118" s="33"/>
      <c r="F118" s="36"/>
      <c r="G118" s="36"/>
      <c r="H118" s="31"/>
      <c r="I118" s="31"/>
    </row>
    <row r="119" customFormat="false" ht="15.75" hidden="false" customHeight="true" outlineLevel="0" collapsed="false">
      <c r="A119" s="31"/>
      <c r="B119" s="36"/>
      <c r="C119" s="33"/>
      <c r="D119" s="33"/>
      <c r="E119" s="33"/>
      <c r="F119" s="36"/>
      <c r="G119" s="36"/>
      <c r="H119" s="31"/>
      <c r="I119" s="31"/>
    </row>
    <row r="120" customFormat="false" ht="15.75" hidden="false" customHeight="true" outlineLevel="0" collapsed="false">
      <c r="A120" s="31"/>
      <c r="B120" s="36"/>
      <c r="C120" s="33"/>
      <c r="D120" s="33"/>
      <c r="E120" s="33"/>
      <c r="F120" s="36"/>
      <c r="G120" s="36"/>
      <c r="H120" s="31"/>
      <c r="I120" s="31"/>
    </row>
    <row r="121" customFormat="false" ht="15.75" hidden="false" customHeight="true" outlineLevel="0" collapsed="false">
      <c r="A121" s="31"/>
      <c r="B121" s="36"/>
      <c r="C121" s="33"/>
      <c r="D121" s="33"/>
      <c r="E121" s="33"/>
      <c r="F121" s="36"/>
      <c r="G121" s="36"/>
      <c r="H121" s="31"/>
      <c r="I121" s="31"/>
    </row>
    <row r="122" customFormat="false" ht="15.75" hidden="false" customHeight="true" outlineLevel="0" collapsed="false">
      <c r="A122" s="31"/>
      <c r="B122" s="36"/>
      <c r="C122" s="33"/>
      <c r="D122" s="33"/>
      <c r="E122" s="33"/>
      <c r="F122" s="36"/>
      <c r="G122" s="36"/>
      <c r="H122" s="31"/>
      <c r="I122" s="31"/>
    </row>
    <row r="123" customFormat="false" ht="15.75" hidden="false" customHeight="true" outlineLevel="0" collapsed="false">
      <c r="A123" s="31"/>
      <c r="B123" s="36"/>
      <c r="C123" s="33"/>
      <c r="D123" s="33"/>
      <c r="E123" s="33"/>
      <c r="F123" s="36"/>
      <c r="G123" s="36"/>
      <c r="H123" s="31"/>
      <c r="I123" s="31"/>
    </row>
    <row r="124" customFormat="false" ht="15.75" hidden="false" customHeight="true" outlineLevel="0" collapsed="false">
      <c r="A124" s="31"/>
      <c r="B124" s="36"/>
      <c r="C124" s="33"/>
      <c r="D124" s="33"/>
      <c r="E124" s="33"/>
      <c r="F124" s="36"/>
      <c r="G124" s="36"/>
      <c r="H124" s="31"/>
      <c r="I124" s="31"/>
    </row>
    <row r="125" customFormat="false" ht="15.75" hidden="false" customHeight="true" outlineLevel="0" collapsed="false">
      <c r="A125" s="31"/>
      <c r="B125" s="36"/>
      <c r="C125" s="33"/>
      <c r="D125" s="33"/>
      <c r="E125" s="33"/>
      <c r="F125" s="36"/>
      <c r="G125" s="36"/>
      <c r="H125" s="31"/>
      <c r="I125" s="31"/>
    </row>
    <row r="126" customFormat="false" ht="15" hidden="false" customHeight="true" outlineLevel="0" collapsed="false">
      <c r="A126" s="6" t="s">
        <v>402</v>
      </c>
      <c r="B126" s="6"/>
      <c r="C126" s="6"/>
      <c r="D126" s="6"/>
      <c r="E126" s="6"/>
      <c r="F126" s="6"/>
      <c r="G126" s="6"/>
      <c r="H126" s="6"/>
      <c r="I126" s="6"/>
    </row>
    <row r="128" customFormat="false" ht="105.95" hidden="false" customHeight="false" outlineLevel="0" collapsed="false">
      <c r="A128" s="37" t="s">
        <v>403</v>
      </c>
    </row>
  </sheetData>
  <mergeCells count="6">
    <mergeCell ref="A1:Q1"/>
    <mergeCell ref="A2:Q2"/>
    <mergeCell ref="A4:I4"/>
    <mergeCell ref="K4:Q4"/>
    <mergeCell ref="K86:Q86"/>
    <mergeCell ref="A126:I126"/>
  </mergeCells>
  <dataValidations count="4">
    <dataValidation allowBlank="true" error="必须选择下拉中已维护的值，手工输入会导致取数错位" errorStyle="stop" errorTitle="请从下拉中选择" operator="between" showDropDown="false" showErrorMessage="true" showInputMessage="false" sqref="L6:L85" type="list">
      <formula1>"收入,支出,转账"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6:E125" type="list">
      <formula1>"启用,停用"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C6:C125" type="list">
      <formula1>"资产,负债,权益,成本,收入,费用"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D6:D125" type="list">
      <formula1>"借,贷"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I207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3"/>
    <col collapsed="false" customWidth="true" hidden="false" outlineLevel="0" max="16" min="16" style="0" width="11"/>
    <col collapsed="false" customWidth="true" hidden="false" outlineLevel="0" max="17" min="17" style="0" width="18"/>
    <col collapsed="false" customWidth="true" hidden="false" outlineLevel="0" max="18" min="18" style="0" width="12"/>
    <col collapsed="false" customWidth="true" hidden="false" outlineLevel="0" max="19" min="19" style="0" width="7"/>
    <col collapsed="false" customWidth="true" hidden="false" outlineLevel="0" max="21" min="20" style="0" width="11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3"/>
    <col collapsed="false" customWidth="true" hidden="false" outlineLevel="0" max="25" min="25" style="0" width="11"/>
    <col collapsed="false" customWidth="true" hidden="false" outlineLevel="0" max="26" min="26" style="0" width="18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7"/>
    <col collapsed="false" customWidth="true" hidden="false" outlineLevel="0" max="30" min="30" style="0" width="3"/>
    <col collapsed="false" customWidth="true" hidden="false" outlineLevel="0" max="31" min="31" style="0" width="11"/>
    <col collapsed="false" customWidth="true" hidden="false" outlineLevel="0" max="32" min="32" style="0" width="18"/>
    <col collapsed="false" customWidth="true" hidden="false" outlineLevel="0" max="33" min="33" style="0" width="10"/>
    <col collapsed="false" customWidth="true" hidden="false" outlineLevel="0" max="34" min="34" style="0" width="9"/>
    <col collapsed="false" customWidth="true" hidden="false" outlineLevel="0" max="35" min="35" style="0" width="7"/>
  </cols>
  <sheetData>
    <row r="1" customFormat="false" ht="25.5" hidden="false" customHeight="true" outlineLevel="0" collapsed="false">
      <c r="A1" s="23" t="s">
        <v>404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customFormat="false" ht="15" hidden="false" customHeight="true" outlineLevel="0" collapsed="false">
      <c r="A2" s="6" t="s">
        <v>405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4" customFormat="false" ht="15" hidden="false" customHeight="true" outlineLevel="0" collapsed="false">
      <c r="A4" s="29" t="s">
        <v>406</v>
      </c>
      <c r="B4" s="29"/>
      <c r="C4" s="29"/>
      <c r="D4" s="29"/>
      <c r="E4" s="29"/>
      <c r="G4" s="29" t="s">
        <v>407</v>
      </c>
      <c r="H4" s="29"/>
      <c r="I4" s="29"/>
      <c r="K4" s="29" t="s">
        <v>408</v>
      </c>
      <c r="L4" s="29"/>
      <c r="M4" s="29"/>
      <c r="N4" s="29"/>
      <c r="P4" s="29" t="s">
        <v>409</v>
      </c>
      <c r="Q4" s="29"/>
      <c r="R4" s="29"/>
      <c r="S4" s="29"/>
      <c r="T4" s="29"/>
      <c r="U4" s="29"/>
      <c r="V4" s="29"/>
      <c r="W4" s="29"/>
      <c r="Y4" s="29" t="s">
        <v>410</v>
      </c>
      <c r="Z4" s="29"/>
      <c r="AA4" s="29"/>
      <c r="AB4" s="29"/>
      <c r="AC4" s="29"/>
      <c r="AE4" s="29" t="s">
        <v>411</v>
      </c>
      <c r="AF4" s="29"/>
      <c r="AG4" s="29"/>
      <c r="AH4" s="29"/>
      <c r="AI4" s="29"/>
    </row>
    <row r="5" customFormat="false" ht="30" hidden="false" customHeight="true" outlineLevel="0" collapsed="false">
      <c r="A5" s="30" t="s">
        <v>412</v>
      </c>
      <c r="B5" s="30" t="s">
        <v>413</v>
      </c>
      <c r="C5" s="30" t="s">
        <v>414</v>
      </c>
      <c r="D5" s="30" t="s">
        <v>415</v>
      </c>
      <c r="E5" s="30" t="s">
        <v>416</v>
      </c>
      <c r="G5" s="30" t="s">
        <v>417</v>
      </c>
      <c r="H5" s="30" t="s">
        <v>415</v>
      </c>
      <c r="I5" s="30" t="s">
        <v>416</v>
      </c>
      <c r="K5" s="30" t="s">
        <v>418</v>
      </c>
      <c r="L5" s="30" t="s">
        <v>419</v>
      </c>
      <c r="M5" s="30" t="s">
        <v>420</v>
      </c>
      <c r="N5" s="30" t="s">
        <v>415</v>
      </c>
      <c r="P5" s="30" t="s">
        <v>421</v>
      </c>
      <c r="Q5" s="30" t="s">
        <v>422</v>
      </c>
      <c r="R5" s="30" t="s">
        <v>423</v>
      </c>
      <c r="S5" s="30" t="s">
        <v>424</v>
      </c>
      <c r="T5" s="30" t="s">
        <v>425</v>
      </c>
      <c r="U5" s="30" t="s">
        <v>426</v>
      </c>
      <c r="V5" s="30" t="s">
        <v>427</v>
      </c>
      <c r="W5" s="30" t="s">
        <v>415</v>
      </c>
      <c r="Y5" s="30" t="s">
        <v>428</v>
      </c>
      <c r="Z5" s="30" t="s">
        <v>429</v>
      </c>
      <c r="AA5" s="30" t="s">
        <v>430</v>
      </c>
      <c r="AB5" s="30" t="s">
        <v>431</v>
      </c>
      <c r="AC5" s="30" t="s">
        <v>415</v>
      </c>
      <c r="AE5" s="30" t="s">
        <v>432</v>
      </c>
      <c r="AF5" s="30" t="s">
        <v>433</v>
      </c>
      <c r="AG5" s="30" t="s">
        <v>434</v>
      </c>
      <c r="AH5" s="30" t="s">
        <v>431</v>
      </c>
      <c r="AI5" s="30" t="s">
        <v>415</v>
      </c>
    </row>
    <row r="6" customFormat="false" ht="15.75" hidden="false" customHeight="true" outlineLevel="0" collapsed="false">
      <c r="A6" s="32" t="s">
        <v>170</v>
      </c>
      <c r="B6" s="33" t="s">
        <v>435</v>
      </c>
      <c r="C6" s="31" t="s">
        <v>169</v>
      </c>
      <c r="D6" s="33" t="s">
        <v>436</v>
      </c>
      <c r="E6" s="36"/>
      <c r="G6" s="32" t="s">
        <v>437</v>
      </c>
      <c r="H6" s="33" t="s">
        <v>436</v>
      </c>
      <c r="I6" s="36"/>
      <c r="K6" s="32" t="s">
        <v>438</v>
      </c>
      <c r="L6" s="33" t="s">
        <v>437</v>
      </c>
      <c r="M6" s="33" t="s">
        <v>439</v>
      </c>
      <c r="N6" s="33" t="s">
        <v>436</v>
      </c>
      <c r="P6" s="31" t="s">
        <v>440</v>
      </c>
      <c r="Q6" s="36" t="s">
        <v>441</v>
      </c>
      <c r="R6" s="31" t="s">
        <v>442</v>
      </c>
      <c r="S6" s="33" t="s">
        <v>443</v>
      </c>
      <c r="T6" s="31" t="n">
        <v>200</v>
      </c>
      <c r="U6" s="31" t="n">
        <v>100</v>
      </c>
      <c r="V6" s="33" t="s">
        <v>444</v>
      </c>
      <c r="W6" s="33" t="s">
        <v>436</v>
      </c>
      <c r="Y6" s="31" t="s">
        <v>445</v>
      </c>
      <c r="Z6" s="32" t="s">
        <v>446</v>
      </c>
      <c r="AA6" s="33" t="s">
        <v>438</v>
      </c>
      <c r="AB6" s="31" t="n">
        <v>30</v>
      </c>
      <c r="AC6" s="33" t="s">
        <v>436</v>
      </c>
      <c r="AE6" s="31" t="s">
        <v>447</v>
      </c>
      <c r="AF6" s="32" t="s">
        <v>448</v>
      </c>
      <c r="AG6" s="33" t="s">
        <v>449</v>
      </c>
      <c r="AH6" s="31" t="n">
        <v>30</v>
      </c>
      <c r="AI6" s="33" t="s">
        <v>436</v>
      </c>
    </row>
    <row r="7" customFormat="false" ht="15.75" hidden="false" customHeight="true" outlineLevel="0" collapsed="false">
      <c r="A7" s="32" t="s">
        <v>450</v>
      </c>
      <c r="B7" s="33" t="s">
        <v>451</v>
      </c>
      <c r="C7" s="31" t="s">
        <v>180</v>
      </c>
      <c r="D7" s="33" t="s">
        <v>436</v>
      </c>
      <c r="E7" s="36"/>
      <c r="G7" s="32" t="s">
        <v>452</v>
      </c>
      <c r="H7" s="33" t="s">
        <v>436</v>
      </c>
      <c r="I7" s="36"/>
      <c r="K7" s="32" t="s">
        <v>449</v>
      </c>
      <c r="L7" s="33" t="s">
        <v>452</v>
      </c>
      <c r="M7" s="33" t="s">
        <v>453</v>
      </c>
      <c r="N7" s="33" t="s">
        <v>436</v>
      </c>
      <c r="P7" s="31" t="s">
        <v>454</v>
      </c>
      <c r="Q7" s="36" t="s">
        <v>455</v>
      </c>
      <c r="R7" s="31" t="s">
        <v>456</v>
      </c>
      <c r="S7" s="33" t="s">
        <v>443</v>
      </c>
      <c r="T7" s="31" t="n">
        <v>350</v>
      </c>
      <c r="U7" s="31" t="n">
        <v>220</v>
      </c>
      <c r="V7" s="33" t="s">
        <v>444</v>
      </c>
      <c r="W7" s="33" t="s">
        <v>436</v>
      </c>
      <c r="Y7" s="31" t="s">
        <v>457</v>
      </c>
      <c r="Z7" s="32" t="s">
        <v>458</v>
      </c>
      <c r="AA7" s="33" t="s">
        <v>438</v>
      </c>
      <c r="AB7" s="31" t="n">
        <v>60</v>
      </c>
      <c r="AC7" s="33" t="s">
        <v>436</v>
      </c>
      <c r="AE7" s="31" t="s">
        <v>459</v>
      </c>
      <c r="AF7" s="32" t="s">
        <v>460</v>
      </c>
      <c r="AG7" s="33" t="s">
        <v>449</v>
      </c>
      <c r="AH7" s="31" t="n">
        <v>45</v>
      </c>
      <c r="AI7" s="33" t="s">
        <v>436</v>
      </c>
    </row>
    <row r="8" customFormat="false" ht="15.75" hidden="false" customHeight="true" outlineLevel="0" collapsed="false">
      <c r="A8" s="32" t="s">
        <v>461</v>
      </c>
      <c r="B8" s="33" t="s">
        <v>462</v>
      </c>
      <c r="C8" s="31" t="s">
        <v>184</v>
      </c>
      <c r="D8" s="33" t="s">
        <v>436</v>
      </c>
      <c r="E8" s="36"/>
      <c r="G8" s="32" t="s">
        <v>463</v>
      </c>
      <c r="H8" s="33" t="s">
        <v>436</v>
      </c>
      <c r="I8" s="36"/>
      <c r="K8" s="32" t="s">
        <v>464</v>
      </c>
      <c r="L8" s="33" t="s">
        <v>463</v>
      </c>
      <c r="M8" s="33" t="s">
        <v>465</v>
      </c>
      <c r="N8" s="33" t="s">
        <v>436</v>
      </c>
      <c r="P8" s="31" t="s">
        <v>466</v>
      </c>
      <c r="Q8" s="36" t="s">
        <v>467</v>
      </c>
      <c r="R8" s="31" t="s">
        <v>468</v>
      </c>
      <c r="S8" s="33" t="s">
        <v>469</v>
      </c>
      <c r="T8" s="31" t="n">
        <v>1200</v>
      </c>
      <c r="U8" s="31" t="n">
        <v>780</v>
      </c>
      <c r="V8" s="33" t="s">
        <v>444</v>
      </c>
      <c r="W8" s="33" t="s">
        <v>436</v>
      </c>
      <c r="Y8" s="31" t="s">
        <v>470</v>
      </c>
      <c r="Z8" s="32" t="s">
        <v>471</v>
      </c>
      <c r="AA8" s="33" t="s">
        <v>438</v>
      </c>
      <c r="AB8" s="31" t="n">
        <v>0</v>
      </c>
      <c r="AC8" s="33" t="s">
        <v>436</v>
      </c>
      <c r="AE8" s="31"/>
      <c r="AF8" s="36"/>
      <c r="AG8" s="33"/>
      <c r="AH8" s="31"/>
      <c r="AI8" s="33"/>
    </row>
    <row r="9" customFormat="false" ht="15.75" hidden="false" customHeight="true" outlineLevel="0" collapsed="false">
      <c r="A9" s="32" t="s">
        <v>472</v>
      </c>
      <c r="B9" s="33" t="s">
        <v>462</v>
      </c>
      <c r="C9" s="31" t="s">
        <v>184</v>
      </c>
      <c r="D9" s="33" t="s">
        <v>436</v>
      </c>
      <c r="E9" s="36"/>
      <c r="G9" s="32" t="s">
        <v>473</v>
      </c>
      <c r="H9" s="33" t="s">
        <v>436</v>
      </c>
      <c r="I9" s="36"/>
      <c r="K9" s="32" t="s">
        <v>474</v>
      </c>
      <c r="L9" s="33" t="s">
        <v>473</v>
      </c>
      <c r="M9" s="33" t="s">
        <v>475</v>
      </c>
      <c r="N9" s="33" t="s">
        <v>436</v>
      </c>
      <c r="P9" s="31" t="s">
        <v>476</v>
      </c>
      <c r="Q9" s="32" t="s">
        <v>477</v>
      </c>
      <c r="R9" s="31" t="s">
        <v>175</v>
      </c>
      <c r="S9" s="33" t="s">
        <v>478</v>
      </c>
      <c r="T9" s="31" t="n">
        <v>800</v>
      </c>
      <c r="U9" s="31" t="n">
        <v>0</v>
      </c>
      <c r="V9" s="33" t="s">
        <v>479</v>
      </c>
      <c r="W9" s="33" t="s">
        <v>436</v>
      </c>
      <c r="Y9" s="31"/>
      <c r="Z9" s="36"/>
      <c r="AA9" s="33"/>
      <c r="AB9" s="31"/>
      <c r="AC9" s="33"/>
      <c r="AE9" s="31"/>
      <c r="AF9" s="36"/>
      <c r="AG9" s="33"/>
      <c r="AH9" s="31"/>
      <c r="AI9" s="33"/>
    </row>
    <row r="10" customFormat="false" ht="15.75" hidden="false" customHeight="true" outlineLevel="0" collapsed="false">
      <c r="A10" s="36"/>
      <c r="B10" s="33"/>
      <c r="C10" s="31"/>
      <c r="D10" s="33"/>
      <c r="E10" s="36"/>
      <c r="G10" s="36"/>
      <c r="H10" s="33"/>
      <c r="I10" s="36"/>
      <c r="K10" s="36"/>
      <c r="L10" s="33"/>
      <c r="M10" s="31"/>
      <c r="N10" s="33"/>
      <c r="P10" s="31"/>
      <c r="Q10" s="36"/>
      <c r="R10" s="31"/>
      <c r="S10" s="31"/>
      <c r="T10" s="31"/>
      <c r="U10" s="31"/>
      <c r="V10" s="33"/>
      <c r="W10" s="33"/>
      <c r="Y10" s="31"/>
      <c r="Z10" s="36"/>
      <c r="AA10" s="33"/>
      <c r="AB10" s="31"/>
      <c r="AC10" s="33"/>
      <c r="AE10" s="31"/>
      <c r="AF10" s="36"/>
      <c r="AG10" s="33"/>
      <c r="AH10" s="31"/>
      <c r="AI10" s="33"/>
    </row>
    <row r="11" customFormat="false" ht="15.75" hidden="false" customHeight="true" outlineLevel="0" collapsed="false">
      <c r="A11" s="36"/>
      <c r="B11" s="33"/>
      <c r="C11" s="31"/>
      <c r="D11" s="33"/>
      <c r="E11" s="36"/>
      <c r="G11" s="36"/>
      <c r="H11" s="33"/>
      <c r="I11" s="36"/>
      <c r="K11" s="36"/>
      <c r="L11" s="33"/>
      <c r="M11" s="31"/>
      <c r="N11" s="33"/>
      <c r="P11" s="31"/>
      <c r="Q11" s="36"/>
      <c r="R11" s="31"/>
      <c r="S11" s="31"/>
      <c r="T11" s="31"/>
      <c r="U11" s="31"/>
      <c r="V11" s="33"/>
      <c r="W11" s="33"/>
      <c r="Y11" s="31"/>
      <c r="Z11" s="36"/>
      <c r="AA11" s="33"/>
      <c r="AB11" s="31"/>
      <c r="AC11" s="33"/>
      <c r="AE11" s="31"/>
      <c r="AF11" s="36"/>
      <c r="AG11" s="33"/>
      <c r="AH11" s="31"/>
      <c r="AI11" s="33"/>
    </row>
    <row r="12" customFormat="false" ht="15.75" hidden="false" customHeight="true" outlineLevel="0" collapsed="false">
      <c r="A12" s="36"/>
      <c r="B12" s="33"/>
      <c r="C12" s="31"/>
      <c r="D12" s="33"/>
      <c r="E12" s="36"/>
      <c r="G12" s="36"/>
      <c r="H12" s="33"/>
      <c r="I12" s="36"/>
      <c r="K12" s="36"/>
      <c r="L12" s="33"/>
      <c r="M12" s="31"/>
      <c r="N12" s="33"/>
      <c r="P12" s="31"/>
      <c r="Q12" s="36"/>
      <c r="R12" s="31"/>
      <c r="S12" s="31"/>
      <c r="T12" s="31"/>
      <c r="U12" s="31"/>
      <c r="V12" s="33"/>
      <c r="W12" s="33"/>
      <c r="Y12" s="31"/>
      <c r="Z12" s="36"/>
      <c r="AA12" s="33"/>
      <c r="AB12" s="31"/>
      <c r="AC12" s="33"/>
      <c r="AE12" s="31"/>
      <c r="AF12" s="36"/>
      <c r="AG12" s="33"/>
      <c r="AH12" s="31"/>
      <c r="AI12" s="33"/>
    </row>
    <row r="13" customFormat="false" ht="15.75" hidden="false" customHeight="true" outlineLevel="0" collapsed="false">
      <c r="A13" s="36"/>
      <c r="B13" s="33"/>
      <c r="C13" s="31"/>
      <c r="D13" s="33"/>
      <c r="E13" s="36"/>
      <c r="G13" s="36"/>
      <c r="H13" s="33"/>
      <c r="I13" s="36"/>
      <c r="K13" s="36"/>
      <c r="L13" s="33"/>
      <c r="M13" s="31"/>
      <c r="N13" s="33"/>
      <c r="P13" s="31"/>
      <c r="Q13" s="36"/>
      <c r="R13" s="31"/>
      <c r="S13" s="31"/>
      <c r="T13" s="31"/>
      <c r="U13" s="31"/>
      <c r="V13" s="33"/>
      <c r="W13" s="33"/>
      <c r="Y13" s="31"/>
      <c r="Z13" s="36"/>
      <c r="AA13" s="33"/>
      <c r="AB13" s="31"/>
      <c r="AC13" s="33"/>
      <c r="AE13" s="31"/>
      <c r="AF13" s="36"/>
      <c r="AG13" s="33"/>
      <c r="AH13" s="31"/>
      <c r="AI13" s="33"/>
    </row>
    <row r="14" customFormat="false" ht="15.75" hidden="false" customHeight="true" outlineLevel="0" collapsed="false">
      <c r="A14" s="36"/>
      <c r="B14" s="33"/>
      <c r="C14" s="31"/>
      <c r="D14" s="33"/>
      <c r="E14" s="36"/>
      <c r="G14" s="36"/>
      <c r="H14" s="33"/>
      <c r="I14" s="36"/>
      <c r="K14" s="36"/>
      <c r="L14" s="33"/>
      <c r="M14" s="31"/>
      <c r="N14" s="33"/>
      <c r="P14" s="31"/>
      <c r="Q14" s="36"/>
      <c r="R14" s="31"/>
      <c r="S14" s="31"/>
      <c r="T14" s="31"/>
      <c r="U14" s="31"/>
      <c r="V14" s="33"/>
      <c r="W14" s="33"/>
      <c r="Y14" s="31"/>
      <c r="Z14" s="36"/>
      <c r="AA14" s="33"/>
      <c r="AB14" s="31"/>
      <c r="AC14" s="33"/>
      <c r="AE14" s="31"/>
      <c r="AF14" s="36"/>
      <c r="AG14" s="33"/>
      <c r="AH14" s="31"/>
      <c r="AI14" s="33"/>
    </row>
    <row r="15" customFormat="false" ht="15.75" hidden="false" customHeight="true" outlineLevel="0" collapsed="false">
      <c r="A15" s="36"/>
      <c r="B15" s="33"/>
      <c r="C15" s="31"/>
      <c r="D15" s="33"/>
      <c r="E15" s="36"/>
      <c r="G15" s="36"/>
      <c r="H15" s="33"/>
      <c r="I15" s="36"/>
      <c r="K15" s="36"/>
      <c r="L15" s="33"/>
      <c r="M15" s="31"/>
      <c r="N15" s="33"/>
      <c r="P15" s="31"/>
      <c r="Q15" s="36"/>
      <c r="R15" s="31"/>
      <c r="S15" s="31"/>
      <c r="T15" s="31"/>
      <c r="U15" s="31"/>
      <c r="V15" s="33"/>
      <c r="W15" s="33"/>
      <c r="Y15" s="31"/>
      <c r="Z15" s="36"/>
      <c r="AA15" s="33"/>
      <c r="AB15" s="31"/>
      <c r="AC15" s="33"/>
      <c r="AE15" s="31"/>
      <c r="AF15" s="36"/>
      <c r="AG15" s="33"/>
      <c r="AH15" s="31"/>
      <c r="AI15" s="33"/>
    </row>
    <row r="16" customFormat="false" ht="15.75" hidden="false" customHeight="true" outlineLevel="0" collapsed="false">
      <c r="A16" s="36"/>
      <c r="B16" s="33"/>
      <c r="C16" s="31"/>
      <c r="D16" s="33"/>
      <c r="E16" s="36"/>
      <c r="G16" s="36"/>
      <c r="H16" s="33"/>
      <c r="I16" s="36"/>
      <c r="K16" s="36"/>
      <c r="L16" s="33"/>
      <c r="M16" s="31"/>
      <c r="N16" s="33"/>
      <c r="P16" s="31"/>
      <c r="Q16" s="36"/>
      <c r="R16" s="31"/>
      <c r="S16" s="31"/>
      <c r="T16" s="31"/>
      <c r="U16" s="31"/>
      <c r="V16" s="33"/>
      <c r="W16" s="33"/>
      <c r="Y16" s="31"/>
      <c r="Z16" s="36"/>
      <c r="AA16" s="33"/>
      <c r="AB16" s="31"/>
      <c r="AC16" s="33"/>
      <c r="AE16" s="31"/>
      <c r="AF16" s="36"/>
      <c r="AG16" s="33"/>
      <c r="AH16" s="31"/>
      <c r="AI16" s="33"/>
    </row>
    <row r="17" customFormat="false" ht="15.75" hidden="false" customHeight="true" outlineLevel="0" collapsed="false">
      <c r="A17" s="36"/>
      <c r="B17" s="33"/>
      <c r="C17" s="31"/>
      <c r="D17" s="33"/>
      <c r="E17" s="36"/>
      <c r="G17" s="36"/>
      <c r="H17" s="33"/>
      <c r="I17" s="36"/>
      <c r="K17" s="36"/>
      <c r="L17" s="33"/>
      <c r="M17" s="31"/>
      <c r="N17" s="33"/>
      <c r="P17" s="31"/>
      <c r="Q17" s="36"/>
      <c r="R17" s="31"/>
      <c r="S17" s="31"/>
      <c r="T17" s="31"/>
      <c r="U17" s="31"/>
      <c r="V17" s="33"/>
      <c r="W17" s="33"/>
      <c r="Y17" s="31"/>
      <c r="Z17" s="36"/>
      <c r="AA17" s="33"/>
      <c r="AB17" s="31"/>
      <c r="AC17" s="33"/>
      <c r="AE17" s="31"/>
      <c r="AF17" s="36"/>
      <c r="AG17" s="33"/>
      <c r="AH17" s="31"/>
      <c r="AI17" s="33"/>
    </row>
    <row r="18" customFormat="false" ht="15.75" hidden="false" customHeight="true" outlineLevel="0" collapsed="false">
      <c r="A18" s="36"/>
      <c r="B18" s="33"/>
      <c r="C18" s="31"/>
      <c r="D18" s="33"/>
      <c r="E18" s="36"/>
      <c r="G18" s="36"/>
      <c r="H18" s="33"/>
      <c r="I18" s="36"/>
      <c r="K18" s="36"/>
      <c r="L18" s="33"/>
      <c r="M18" s="31"/>
      <c r="N18" s="33"/>
      <c r="P18" s="31"/>
      <c r="Q18" s="36"/>
      <c r="R18" s="31"/>
      <c r="S18" s="31"/>
      <c r="T18" s="31"/>
      <c r="U18" s="31"/>
      <c r="V18" s="33"/>
      <c r="W18" s="33"/>
      <c r="Y18" s="31"/>
      <c r="Z18" s="36"/>
      <c r="AA18" s="33"/>
      <c r="AB18" s="31"/>
      <c r="AC18" s="33"/>
      <c r="AE18" s="31"/>
      <c r="AF18" s="36"/>
      <c r="AG18" s="33"/>
      <c r="AH18" s="31"/>
      <c r="AI18" s="33"/>
    </row>
    <row r="19" customFormat="false" ht="15.75" hidden="false" customHeight="true" outlineLevel="0" collapsed="false">
      <c r="A19" s="36"/>
      <c r="B19" s="33"/>
      <c r="C19" s="31"/>
      <c r="D19" s="33"/>
      <c r="E19" s="36"/>
      <c r="G19" s="36"/>
      <c r="H19" s="33"/>
      <c r="I19" s="36"/>
      <c r="K19" s="36"/>
      <c r="L19" s="33"/>
      <c r="M19" s="31"/>
      <c r="N19" s="33"/>
      <c r="P19" s="31"/>
      <c r="Q19" s="36"/>
      <c r="R19" s="31"/>
      <c r="S19" s="31"/>
      <c r="T19" s="31"/>
      <c r="U19" s="31"/>
      <c r="V19" s="33"/>
      <c r="W19" s="33"/>
      <c r="Y19" s="31"/>
      <c r="Z19" s="36"/>
      <c r="AA19" s="33"/>
      <c r="AB19" s="31"/>
      <c r="AC19" s="33"/>
      <c r="AE19" s="31"/>
      <c r="AF19" s="36"/>
      <c r="AG19" s="33"/>
      <c r="AH19" s="31"/>
      <c r="AI19" s="33"/>
    </row>
    <row r="20" customFormat="false" ht="15.75" hidden="false" customHeight="true" outlineLevel="0" collapsed="false">
      <c r="A20" s="36"/>
      <c r="B20" s="33"/>
      <c r="C20" s="31"/>
      <c r="D20" s="33"/>
      <c r="E20" s="36"/>
      <c r="G20" s="36"/>
      <c r="H20" s="33"/>
      <c r="I20" s="36"/>
      <c r="K20" s="36"/>
      <c r="L20" s="33"/>
      <c r="M20" s="31"/>
      <c r="N20" s="33"/>
      <c r="P20" s="31"/>
      <c r="Q20" s="36"/>
      <c r="R20" s="31"/>
      <c r="S20" s="31"/>
      <c r="T20" s="31"/>
      <c r="U20" s="31"/>
      <c r="V20" s="33"/>
      <c r="W20" s="33"/>
      <c r="Y20" s="31"/>
      <c r="Z20" s="36"/>
      <c r="AA20" s="33"/>
      <c r="AB20" s="31"/>
      <c r="AC20" s="33"/>
      <c r="AE20" s="31"/>
      <c r="AF20" s="36"/>
      <c r="AG20" s="33"/>
      <c r="AH20" s="31"/>
      <c r="AI20" s="33"/>
    </row>
    <row r="21" customFormat="false" ht="15.75" hidden="false" customHeight="true" outlineLevel="0" collapsed="false">
      <c r="A21" s="36"/>
      <c r="B21" s="33"/>
      <c r="C21" s="31"/>
      <c r="D21" s="33"/>
      <c r="E21" s="36"/>
      <c r="G21" s="36"/>
      <c r="H21" s="33"/>
      <c r="I21" s="36"/>
      <c r="K21" s="36"/>
      <c r="L21" s="33"/>
      <c r="M21" s="31"/>
      <c r="N21" s="33"/>
      <c r="P21" s="31"/>
      <c r="Q21" s="36"/>
      <c r="R21" s="31"/>
      <c r="S21" s="31"/>
      <c r="T21" s="31"/>
      <c r="U21" s="31"/>
      <c r="V21" s="33"/>
      <c r="W21" s="33"/>
      <c r="Y21" s="31"/>
      <c r="Z21" s="36"/>
      <c r="AA21" s="33"/>
      <c r="AB21" s="31"/>
      <c r="AC21" s="33"/>
      <c r="AE21" s="31"/>
      <c r="AF21" s="36"/>
      <c r="AG21" s="33"/>
      <c r="AH21" s="31"/>
      <c r="AI21" s="33"/>
    </row>
    <row r="22" customFormat="false" ht="15.75" hidden="false" customHeight="true" outlineLevel="0" collapsed="false">
      <c r="A22" s="36"/>
      <c r="B22" s="33"/>
      <c r="C22" s="31"/>
      <c r="D22" s="33"/>
      <c r="E22" s="36"/>
      <c r="G22" s="36"/>
      <c r="H22" s="33"/>
      <c r="I22" s="36"/>
      <c r="K22" s="36"/>
      <c r="L22" s="33"/>
      <c r="M22" s="31"/>
      <c r="N22" s="33"/>
      <c r="P22" s="31"/>
      <c r="Q22" s="36"/>
      <c r="R22" s="31"/>
      <c r="S22" s="31"/>
      <c r="T22" s="31"/>
      <c r="U22" s="31"/>
      <c r="V22" s="33"/>
      <c r="W22" s="33"/>
      <c r="Y22" s="31"/>
      <c r="Z22" s="36"/>
      <c r="AA22" s="33"/>
      <c r="AB22" s="31"/>
      <c r="AC22" s="33"/>
      <c r="AE22" s="31"/>
      <c r="AF22" s="36"/>
      <c r="AG22" s="33"/>
      <c r="AH22" s="31"/>
      <c r="AI22" s="33"/>
    </row>
    <row r="23" customFormat="false" ht="15.75" hidden="false" customHeight="true" outlineLevel="0" collapsed="false">
      <c r="A23" s="36"/>
      <c r="B23" s="33"/>
      <c r="C23" s="31"/>
      <c r="D23" s="33"/>
      <c r="E23" s="36"/>
      <c r="G23" s="36"/>
      <c r="H23" s="33"/>
      <c r="I23" s="36"/>
      <c r="K23" s="36"/>
      <c r="L23" s="33"/>
      <c r="M23" s="31"/>
      <c r="N23" s="33"/>
      <c r="P23" s="31"/>
      <c r="Q23" s="36"/>
      <c r="R23" s="31"/>
      <c r="S23" s="31"/>
      <c r="T23" s="31"/>
      <c r="U23" s="31"/>
      <c r="V23" s="33"/>
      <c r="W23" s="33"/>
      <c r="Y23" s="31"/>
      <c r="Z23" s="36"/>
      <c r="AA23" s="33"/>
      <c r="AB23" s="31"/>
      <c r="AC23" s="33"/>
      <c r="AE23" s="31"/>
      <c r="AF23" s="36"/>
      <c r="AG23" s="33"/>
      <c r="AH23" s="31"/>
      <c r="AI23" s="33"/>
    </row>
    <row r="24" customFormat="false" ht="15.75" hidden="false" customHeight="true" outlineLevel="0" collapsed="false">
      <c r="A24" s="36"/>
      <c r="B24" s="33"/>
      <c r="C24" s="31"/>
      <c r="D24" s="33"/>
      <c r="E24" s="36"/>
      <c r="G24" s="36"/>
      <c r="H24" s="33"/>
      <c r="I24" s="36"/>
      <c r="K24" s="36"/>
      <c r="L24" s="33"/>
      <c r="M24" s="31"/>
      <c r="N24" s="33"/>
      <c r="P24" s="31"/>
      <c r="Q24" s="36"/>
      <c r="R24" s="31"/>
      <c r="S24" s="31"/>
      <c r="T24" s="31"/>
      <c r="U24" s="31"/>
      <c r="V24" s="33"/>
      <c r="W24" s="33"/>
      <c r="Y24" s="31"/>
      <c r="Z24" s="36"/>
      <c r="AA24" s="33"/>
      <c r="AB24" s="31"/>
      <c r="AC24" s="33"/>
      <c r="AE24" s="31"/>
      <c r="AF24" s="36"/>
      <c r="AG24" s="33"/>
      <c r="AH24" s="31"/>
      <c r="AI24" s="33"/>
    </row>
    <row r="25" customFormat="false" ht="15.75" hidden="false" customHeight="true" outlineLevel="0" collapsed="false">
      <c r="A25" s="36"/>
      <c r="B25" s="33"/>
      <c r="C25" s="31"/>
      <c r="D25" s="33"/>
      <c r="E25" s="36"/>
      <c r="G25" s="36"/>
      <c r="H25" s="33"/>
      <c r="I25" s="36"/>
      <c r="K25" s="36"/>
      <c r="L25" s="33"/>
      <c r="M25" s="31"/>
      <c r="N25" s="33"/>
      <c r="P25" s="31"/>
      <c r="Q25" s="36"/>
      <c r="R25" s="31"/>
      <c r="S25" s="31"/>
      <c r="T25" s="31"/>
      <c r="U25" s="31"/>
      <c r="V25" s="33"/>
      <c r="W25" s="33"/>
      <c r="Y25" s="31"/>
      <c r="Z25" s="36"/>
      <c r="AA25" s="33"/>
      <c r="AB25" s="31"/>
      <c r="AC25" s="33"/>
      <c r="AE25" s="31"/>
      <c r="AF25" s="36"/>
      <c r="AG25" s="33"/>
      <c r="AH25" s="31"/>
      <c r="AI25" s="33"/>
    </row>
    <row r="26" customFormat="false" ht="15.75" hidden="false" customHeight="true" outlineLevel="0" collapsed="false">
      <c r="A26" s="36"/>
      <c r="B26" s="33"/>
      <c r="C26" s="31"/>
      <c r="D26" s="33"/>
      <c r="E26" s="36"/>
      <c r="K26" s="36"/>
      <c r="L26" s="33"/>
      <c r="M26" s="31"/>
      <c r="N26" s="33"/>
      <c r="P26" s="31"/>
      <c r="Q26" s="36"/>
      <c r="R26" s="31"/>
      <c r="S26" s="31"/>
      <c r="T26" s="31"/>
      <c r="U26" s="31"/>
      <c r="V26" s="33"/>
      <c r="W26" s="33"/>
      <c r="Y26" s="31"/>
      <c r="Z26" s="36"/>
      <c r="AA26" s="33"/>
      <c r="AB26" s="31"/>
      <c r="AC26" s="33"/>
      <c r="AE26" s="31"/>
      <c r="AF26" s="36"/>
      <c r="AG26" s="33"/>
      <c r="AH26" s="31"/>
      <c r="AI26" s="33"/>
    </row>
    <row r="27" customFormat="false" ht="15.75" hidden="false" customHeight="true" outlineLevel="0" collapsed="false">
      <c r="A27" s="36"/>
      <c r="B27" s="33"/>
      <c r="C27" s="31"/>
      <c r="D27" s="33"/>
      <c r="E27" s="36"/>
      <c r="K27" s="36"/>
      <c r="L27" s="33"/>
      <c r="M27" s="31"/>
      <c r="N27" s="33"/>
      <c r="P27" s="31"/>
      <c r="Q27" s="36"/>
      <c r="R27" s="31"/>
      <c r="S27" s="31"/>
      <c r="T27" s="31"/>
      <c r="U27" s="31"/>
      <c r="V27" s="33"/>
      <c r="W27" s="33"/>
      <c r="Y27" s="31"/>
      <c r="Z27" s="36"/>
      <c r="AA27" s="33"/>
      <c r="AB27" s="31"/>
      <c r="AC27" s="33"/>
      <c r="AE27" s="31"/>
      <c r="AF27" s="36"/>
      <c r="AG27" s="33"/>
      <c r="AH27" s="31"/>
      <c r="AI27" s="33"/>
    </row>
    <row r="28" customFormat="false" ht="15.75" hidden="false" customHeight="true" outlineLevel="0" collapsed="false">
      <c r="A28" s="36"/>
      <c r="B28" s="33"/>
      <c r="C28" s="31"/>
      <c r="D28" s="33"/>
      <c r="E28" s="36"/>
      <c r="K28" s="36"/>
      <c r="L28" s="33"/>
      <c r="M28" s="31"/>
      <c r="N28" s="33"/>
      <c r="P28" s="31"/>
      <c r="Q28" s="36"/>
      <c r="R28" s="31"/>
      <c r="S28" s="31"/>
      <c r="T28" s="31"/>
      <c r="U28" s="31"/>
      <c r="V28" s="33"/>
      <c r="W28" s="33"/>
      <c r="Y28" s="31"/>
      <c r="Z28" s="36"/>
      <c r="AA28" s="33"/>
      <c r="AB28" s="31"/>
      <c r="AC28" s="33"/>
      <c r="AE28" s="31"/>
      <c r="AF28" s="36"/>
      <c r="AG28" s="33"/>
      <c r="AH28" s="31"/>
      <c r="AI28" s="33"/>
    </row>
    <row r="29" customFormat="false" ht="15.75" hidden="false" customHeight="true" outlineLevel="0" collapsed="false">
      <c r="A29" s="36"/>
      <c r="B29" s="33"/>
      <c r="C29" s="31"/>
      <c r="D29" s="33"/>
      <c r="E29" s="36"/>
      <c r="K29" s="36"/>
      <c r="L29" s="33"/>
      <c r="M29" s="31"/>
      <c r="N29" s="33"/>
      <c r="P29" s="31"/>
      <c r="Q29" s="36"/>
      <c r="R29" s="31"/>
      <c r="S29" s="31"/>
      <c r="T29" s="31"/>
      <c r="U29" s="31"/>
      <c r="V29" s="33"/>
      <c r="W29" s="33"/>
      <c r="Y29" s="31"/>
      <c r="Z29" s="36"/>
      <c r="AA29" s="33"/>
      <c r="AB29" s="31"/>
      <c r="AC29" s="33"/>
      <c r="AE29" s="31"/>
      <c r="AF29" s="36"/>
      <c r="AG29" s="33"/>
      <c r="AH29" s="31"/>
      <c r="AI29" s="33"/>
    </row>
    <row r="30" customFormat="false" ht="15.75" hidden="false" customHeight="true" outlineLevel="0" collapsed="false">
      <c r="A30" s="36"/>
      <c r="B30" s="33"/>
      <c r="C30" s="31"/>
      <c r="D30" s="33"/>
      <c r="E30" s="36"/>
      <c r="K30" s="36"/>
      <c r="L30" s="33"/>
      <c r="M30" s="31"/>
      <c r="N30" s="33"/>
      <c r="P30" s="31"/>
      <c r="Q30" s="36"/>
      <c r="R30" s="31"/>
      <c r="S30" s="31"/>
      <c r="T30" s="31"/>
      <c r="U30" s="31"/>
      <c r="V30" s="33"/>
      <c r="W30" s="33"/>
      <c r="Y30" s="31"/>
      <c r="Z30" s="36"/>
      <c r="AA30" s="33"/>
      <c r="AB30" s="31"/>
      <c r="AC30" s="33"/>
      <c r="AE30" s="31"/>
      <c r="AF30" s="36"/>
      <c r="AG30" s="33"/>
      <c r="AH30" s="31"/>
      <c r="AI30" s="33"/>
    </row>
    <row r="31" customFormat="false" ht="15.75" hidden="false" customHeight="true" outlineLevel="0" collapsed="false">
      <c r="A31" s="36"/>
      <c r="B31" s="33"/>
      <c r="C31" s="31"/>
      <c r="D31" s="33"/>
      <c r="E31" s="36"/>
      <c r="K31" s="36"/>
      <c r="L31" s="33"/>
      <c r="M31" s="31"/>
      <c r="N31" s="33"/>
      <c r="P31" s="31"/>
      <c r="Q31" s="36"/>
      <c r="R31" s="31"/>
      <c r="S31" s="31"/>
      <c r="T31" s="31"/>
      <c r="U31" s="31"/>
      <c r="V31" s="33"/>
      <c r="W31" s="33"/>
      <c r="Y31" s="31"/>
      <c r="Z31" s="36"/>
      <c r="AA31" s="33"/>
      <c r="AB31" s="31"/>
      <c r="AC31" s="33"/>
      <c r="AE31" s="31"/>
      <c r="AF31" s="36"/>
      <c r="AG31" s="33"/>
      <c r="AH31" s="31"/>
      <c r="AI31" s="33"/>
    </row>
    <row r="32" customFormat="false" ht="15.75" hidden="false" customHeight="true" outlineLevel="0" collapsed="false">
      <c r="A32" s="36"/>
      <c r="B32" s="33"/>
      <c r="C32" s="31"/>
      <c r="D32" s="33"/>
      <c r="E32" s="36"/>
      <c r="K32" s="36"/>
      <c r="L32" s="33"/>
      <c r="M32" s="31"/>
      <c r="N32" s="33"/>
      <c r="P32" s="31"/>
      <c r="Q32" s="36"/>
      <c r="R32" s="31"/>
      <c r="S32" s="31"/>
      <c r="T32" s="31"/>
      <c r="U32" s="31"/>
      <c r="V32" s="33"/>
      <c r="W32" s="33"/>
      <c r="Y32" s="31"/>
      <c r="Z32" s="36"/>
      <c r="AA32" s="33"/>
      <c r="AB32" s="31"/>
      <c r="AC32" s="33"/>
      <c r="AE32" s="31"/>
      <c r="AF32" s="36"/>
      <c r="AG32" s="33"/>
      <c r="AH32" s="31"/>
      <c r="AI32" s="33"/>
    </row>
    <row r="33" customFormat="false" ht="15.75" hidden="false" customHeight="true" outlineLevel="0" collapsed="false">
      <c r="A33" s="36"/>
      <c r="B33" s="33"/>
      <c r="C33" s="31"/>
      <c r="D33" s="33"/>
      <c r="E33" s="36"/>
      <c r="K33" s="36"/>
      <c r="L33" s="33"/>
      <c r="M33" s="31"/>
      <c r="N33" s="33"/>
      <c r="P33" s="31"/>
      <c r="Q33" s="36"/>
      <c r="R33" s="31"/>
      <c r="S33" s="31"/>
      <c r="T33" s="31"/>
      <c r="U33" s="31"/>
      <c r="V33" s="33"/>
      <c r="W33" s="33"/>
      <c r="Y33" s="31"/>
      <c r="Z33" s="36"/>
      <c r="AA33" s="33"/>
      <c r="AB33" s="31"/>
      <c r="AC33" s="33"/>
      <c r="AE33" s="31"/>
      <c r="AF33" s="36"/>
      <c r="AG33" s="33"/>
      <c r="AH33" s="31"/>
      <c r="AI33" s="33"/>
    </row>
    <row r="34" customFormat="false" ht="15.75" hidden="false" customHeight="true" outlineLevel="0" collapsed="false">
      <c r="A34" s="36"/>
      <c r="B34" s="33"/>
      <c r="C34" s="31"/>
      <c r="D34" s="33"/>
      <c r="E34" s="36"/>
      <c r="K34" s="36"/>
      <c r="L34" s="33"/>
      <c r="M34" s="31"/>
      <c r="N34" s="33"/>
      <c r="P34" s="31"/>
      <c r="Q34" s="36"/>
      <c r="R34" s="31"/>
      <c r="S34" s="31"/>
      <c r="T34" s="31"/>
      <c r="U34" s="31"/>
      <c r="V34" s="33"/>
      <c r="W34" s="33"/>
      <c r="Y34" s="31"/>
      <c r="Z34" s="36"/>
      <c r="AA34" s="33"/>
      <c r="AB34" s="31"/>
      <c r="AC34" s="33"/>
      <c r="AE34" s="31"/>
      <c r="AF34" s="36"/>
      <c r="AG34" s="33"/>
      <c r="AH34" s="31"/>
      <c r="AI34" s="33"/>
    </row>
    <row r="35" customFormat="false" ht="15.75" hidden="false" customHeight="true" outlineLevel="0" collapsed="false">
      <c r="A35" s="36"/>
      <c r="B35" s="33"/>
      <c r="C35" s="31"/>
      <c r="D35" s="33"/>
      <c r="E35" s="36"/>
      <c r="K35" s="36"/>
      <c r="L35" s="33"/>
      <c r="M35" s="31"/>
      <c r="N35" s="33"/>
      <c r="P35" s="31"/>
      <c r="Q35" s="36"/>
      <c r="R35" s="31"/>
      <c r="S35" s="31"/>
      <c r="T35" s="31"/>
      <c r="U35" s="31"/>
      <c r="V35" s="33"/>
      <c r="W35" s="33"/>
      <c r="Y35" s="31"/>
      <c r="Z35" s="36"/>
      <c r="AA35" s="33"/>
      <c r="AB35" s="31"/>
      <c r="AC35" s="33"/>
      <c r="AE35" s="31"/>
      <c r="AF35" s="36"/>
      <c r="AG35" s="33"/>
      <c r="AH35" s="31"/>
      <c r="AI35" s="33"/>
    </row>
    <row r="36" customFormat="false" ht="15.75" hidden="false" customHeight="true" outlineLevel="0" collapsed="false">
      <c r="K36" s="36"/>
      <c r="L36" s="33"/>
      <c r="M36" s="31"/>
      <c r="N36" s="33"/>
      <c r="P36" s="31"/>
      <c r="Q36" s="36"/>
      <c r="R36" s="31"/>
      <c r="S36" s="31"/>
      <c r="T36" s="31"/>
      <c r="U36" s="31"/>
      <c r="V36" s="33"/>
      <c r="W36" s="33"/>
      <c r="Y36" s="31"/>
      <c r="Z36" s="36"/>
      <c r="AA36" s="33"/>
      <c r="AB36" s="31"/>
      <c r="AC36" s="33"/>
      <c r="AE36" s="31"/>
      <c r="AF36" s="36"/>
      <c r="AG36" s="33"/>
      <c r="AH36" s="31"/>
      <c r="AI36" s="33"/>
    </row>
    <row r="37" customFormat="false" ht="15.75" hidden="false" customHeight="true" outlineLevel="0" collapsed="false">
      <c r="K37" s="36"/>
      <c r="L37" s="33"/>
      <c r="M37" s="31"/>
      <c r="N37" s="33"/>
      <c r="P37" s="31"/>
      <c r="Q37" s="36"/>
      <c r="R37" s="31"/>
      <c r="S37" s="31"/>
      <c r="T37" s="31"/>
      <c r="U37" s="31"/>
      <c r="V37" s="33"/>
      <c r="W37" s="33"/>
      <c r="Y37" s="31"/>
      <c r="Z37" s="36"/>
      <c r="AA37" s="33"/>
      <c r="AB37" s="31"/>
      <c r="AC37" s="33"/>
      <c r="AE37" s="31"/>
      <c r="AF37" s="36"/>
      <c r="AG37" s="33"/>
      <c r="AH37" s="31"/>
      <c r="AI37" s="33"/>
    </row>
    <row r="38" customFormat="false" ht="15.75" hidden="false" customHeight="true" outlineLevel="0" collapsed="false">
      <c r="K38" s="36"/>
      <c r="L38" s="33"/>
      <c r="M38" s="31"/>
      <c r="N38" s="33"/>
      <c r="P38" s="31"/>
      <c r="Q38" s="36"/>
      <c r="R38" s="31"/>
      <c r="S38" s="31"/>
      <c r="T38" s="31"/>
      <c r="U38" s="31"/>
      <c r="V38" s="33"/>
      <c r="W38" s="33"/>
      <c r="Y38" s="31"/>
      <c r="Z38" s="36"/>
      <c r="AA38" s="33"/>
      <c r="AB38" s="31"/>
      <c r="AC38" s="33"/>
      <c r="AE38" s="31"/>
      <c r="AF38" s="36"/>
      <c r="AG38" s="33"/>
      <c r="AH38" s="31"/>
      <c r="AI38" s="33"/>
    </row>
    <row r="39" customFormat="false" ht="15.75" hidden="false" customHeight="true" outlineLevel="0" collapsed="false">
      <c r="K39" s="36"/>
      <c r="L39" s="33"/>
      <c r="M39" s="31"/>
      <c r="N39" s="33"/>
      <c r="P39" s="31"/>
      <c r="Q39" s="36"/>
      <c r="R39" s="31"/>
      <c r="S39" s="31"/>
      <c r="T39" s="31"/>
      <c r="U39" s="31"/>
      <c r="V39" s="33"/>
      <c r="W39" s="33"/>
      <c r="Y39" s="31"/>
      <c r="Z39" s="36"/>
      <c r="AA39" s="33"/>
      <c r="AB39" s="31"/>
      <c r="AC39" s="33"/>
      <c r="AE39" s="31"/>
      <c r="AF39" s="36"/>
      <c r="AG39" s="33"/>
      <c r="AH39" s="31"/>
      <c r="AI39" s="33"/>
    </row>
    <row r="40" customFormat="false" ht="15.75" hidden="false" customHeight="true" outlineLevel="0" collapsed="false">
      <c r="K40" s="36"/>
      <c r="L40" s="33"/>
      <c r="M40" s="31"/>
      <c r="N40" s="33"/>
      <c r="P40" s="31"/>
      <c r="Q40" s="36"/>
      <c r="R40" s="31"/>
      <c r="S40" s="31"/>
      <c r="T40" s="31"/>
      <c r="U40" s="31"/>
      <c r="V40" s="33"/>
      <c r="W40" s="33"/>
      <c r="Y40" s="31"/>
      <c r="Z40" s="36"/>
      <c r="AA40" s="33"/>
      <c r="AB40" s="31"/>
      <c r="AC40" s="33"/>
      <c r="AE40" s="31"/>
      <c r="AF40" s="36"/>
      <c r="AG40" s="33"/>
      <c r="AH40" s="31"/>
      <c r="AI40" s="33"/>
    </row>
    <row r="41" customFormat="false" ht="15.75" hidden="false" customHeight="true" outlineLevel="0" collapsed="false">
      <c r="K41" s="36"/>
      <c r="L41" s="33"/>
      <c r="M41" s="31"/>
      <c r="N41" s="33"/>
      <c r="P41" s="31"/>
      <c r="Q41" s="36"/>
      <c r="R41" s="31"/>
      <c r="S41" s="31"/>
      <c r="T41" s="31"/>
      <c r="U41" s="31"/>
      <c r="V41" s="33"/>
      <c r="W41" s="33"/>
      <c r="Y41" s="31"/>
      <c r="Z41" s="36"/>
      <c r="AA41" s="33"/>
      <c r="AB41" s="31"/>
      <c r="AC41" s="33"/>
      <c r="AE41" s="31"/>
      <c r="AF41" s="36"/>
      <c r="AG41" s="33"/>
      <c r="AH41" s="31"/>
      <c r="AI41" s="33"/>
    </row>
    <row r="42" customFormat="false" ht="15.75" hidden="false" customHeight="true" outlineLevel="0" collapsed="false">
      <c r="K42" s="36"/>
      <c r="L42" s="33"/>
      <c r="M42" s="31"/>
      <c r="N42" s="33"/>
      <c r="P42" s="31"/>
      <c r="Q42" s="36"/>
      <c r="R42" s="31"/>
      <c r="S42" s="31"/>
      <c r="T42" s="31"/>
      <c r="U42" s="31"/>
      <c r="V42" s="33"/>
      <c r="W42" s="33"/>
      <c r="Y42" s="31"/>
      <c r="Z42" s="36"/>
      <c r="AA42" s="33"/>
      <c r="AB42" s="31"/>
      <c r="AC42" s="33"/>
      <c r="AE42" s="31"/>
      <c r="AF42" s="36"/>
      <c r="AG42" s="33"/>
      <c r="AH42" s="31"/>
      <c r="AI42" s="33"/>
    </row>
    <row r="43" customFormat="false" ht="15.75" hidden="false" customHeight="true" outlineLevel="0" collapsed="false">
      <c r="K43" s="36"/>
      <c r="L43" s="33"/>
      <c r="M43" s="31"/>
      <c r="N43" s="33"/>
      <c r="P43" s="31"/>
      <c r="Q43" s="36"/>
      <c r="R43" s="31"/>
      <c r="S43" s="31"/>
      <c r="T43" s="31"/>
      <c r="U43" s="31"/>
      <c r="V43" s="33"/>
      <c r="W43" s="33"/>
      <c r="Y43" s="31"/>
      <c r="Z43" s="36"/>
      <c r="AA43" s="33"/>
      <c r="AB43" s="31"/>
      <c r="AC43" s="33"/>
      <c r="AE43" s="31"/>
      <c r="AF43" s="36"/>
      <c r="AG43" s="33"/>
      <c r="AH43" s="31"/>
      <c r="AI43" s="33"/>
    </row>
    <row r="44" customFormat="false" ht="15.75" hidden="false" customHeight="true" outlineLevel="0" collapsed="false">
      <c r="K44" s="36"/>
      <c r="L44" s="33"/>
      <c r="M44" s="31"/>
      <c r="N44" s="33"/>
      <c r="P44" s="31"/>
      <c r="Q44" s="36"/>
      <c r="R44" s="31"/>
      <c r="S44" s="31"/>
      <c r="T44" s="31"/>
      <c r="U44" s="31"/>
      <c r="V44" s="33"/>
      <c r="W44" s="33"/>
      <c r="Y44" s="31"/>
      <c r="Z44" s="36"/>
      <c r="AA44" s="33"/>
      <c r="AB44" s="31"/>
      <c r="AC44" s="33"/>
      <c r="AE44" s="31"/>
      <c r="AF44" s="36"/>
      <c r="AG44" s="33"/>
      <c r="AH44" s="31"/>
      <c r="AI44" s="33"/>
    </row>
    <row r="45" customFormat="false" ht="15.75" hidden="false" customHeight="true" outlineLevel="0" collapsed="false">
      <c r="K45" s="36"/>
      <c r="L45" s="33"/>
      <c r="M45" s="31"/>
      <c r="N45" s="33"/>
      <c r="P45" s="31"/>
      <c r="Q45" s="36"/>
      <c r="R45" s="31"/>
      <c r="S45" s="31"/>
      <c r="T45" s="31"/>
      <c r="U45" s="31"/>
      <c r="V45" s="33"/>
      <c r="W45" s="33"/>
      <c r="Y45" s="31"/>
      <c r="Z45" s="36"/>
      <c r="AA45" s="33"/>
      <c r="AB45" s="31"/>
      <c r="AC45" s="33"/>
      <c r="AE45" s="31"/>
      <c r="AF45" s="36"/>
      <c r="AG45" s="33"/>
      <c r="AH45" s="31"/>
      <c r="AI45" s="33"/>
    </row>
    <row r="46" customFormat="false" ht="15.75" hidden="false" customHeight="true" outlineLevel="0" collapsed="false">
      <c r="K46" s="36"/>
      <c r="L46" s="33"/>
      <c r="M46" s="31"/>
      <c r="N46" s="33"/>
      <c r="P46" s="31"/>
      <c r="Q46" s="36"/>
      <c r="R46" s="31"/>
      <c r="S46" s="31"/>
      <c r="T46" s="31"/>
      <c r="U46" s="31"/>
      <c r="V46" s="33"/>
      <c r="W46" s="33"/>
      <c r="Y46" s="31"/>
      <c r="Z46" s="36"/>
      <c r="AA46" s="33"/>
      <c r="AB46" s="31"/>
      <c r="AC46" s="33"/>
      <c r="AE46" s="31"/>
      <c r="AF46" s="36"/>
      <c r="AG46" s="33"/>
      <c r="AH46" s="31"/>
      <c r="AI46" s="33"/>
    </row>
    <row r="47" customFormat="false" ht="15.75" hidden="false" customHeight="true" outlineLevel="0" collapsed="false">
      <c r="K47" s="36"/>
      <c r="L47" s="33"/>
      <c r="M47" s="31"/>
      <c r="N47" s="33"/>
      <c r="P47" s="31"/>
      <c r="Q47" s="36"/>
      <c r="R47" s="31"/>
      <c r="S47" s="31"/>
      <c r="T47" s="31"/>
      <c r="U47" s="31"/>
      <c r="V47" s="33"/>
      <c r="W47" s="33"/>
      <c r="Y47" s="31"/>
      <c r="Z47" s="36"/>
      <c r="AA47" s="33"/>
      <c r="AB47" s="31"/>
      <c r="AC47" s="33"/>
      <c r="AE47" s="31"/>
      <c r="AF47" s="36"/>
      <c r="AG47" s="33"/>
      <c r="AH47" s="31"/>
      <c r="AI47" s="33"/>
    </row>
    <row r="48" customFormat="false" ht="15.75" hidden="false" customHeight="true" outlineLevel="0" collapsed="false">
      <c r="K48" s="36"/>
      <c r="L48" s="33"/>
      <c r="M48" s="31"/>
      <c r="N48" s="33"/>
      <c r="P48" s="31"/>
      <c r="Q48" s="36"/>
      <c r="R48" s="31"/>
      <c r="S48" s="31"/>
      <c r="T48" s="31"/>
      <c r="U48" s="31"/>
      <c r="V48" s="33"/>
      <c r="W48" s="33"/>
      <c r="Y48" s="31"/>
      <c r="Z48" s="36"/>
      <c r="AA48" s="33"/>
      <c r="AB48" s="31"/>
      <c r="AC48" s="33"/>
      <c r="AE48" s="31"/>
      <c r="AF48" s="36"/>
      <c r="AG48" s="33"/>
      <c r="AH48" s="31"/>
      <c r="AI48" s="33"/>
    </row>
    <row r="49" customFormat="false" ht="15.75" hidden="false" customHeight="true" outlineLevel="0" collapsed="false">
      <c r="K49" s="36"/>
      <c r="L49" s="33"/>
      <c r="M49" s="31"/>
      <c r="N49" s="33"/>
      <c r="P49" s="31"/>
      <c r="Q49" s="36"/>
      <c r="R49" s="31"/>
      <c r="S49" s="31"/>
      <c r="T49" s="31"/>
      <c r="U49" s="31"/>
      <c r="V49" s="33"/>
      <c r="W49" s="33"/>
      <c r="Y49" s="31"/>
      <c r="Z49" s="36"/>
      <c r="AA49" s="33"/>
      <c r="AB49" s="31"/>
      <c r="AC49" s="33"/>
      <c r="AE49" s="31"/>
      <c r="AF49" s="36"/>
      <c r="AG49" s="33"/>
      <c r="AH49" s="31"/>
      <c r="AI49" s="33"/>
    </row>
    <row r="50" customFormat="false" ht="15.75" hidden="false" customHeight="true" outlineLevel="0" collapsed="false">
      <c r="K50" s="36"/>
      <c r="L50" s="33"/>
      <c r="M50" s="31"/>
      <c r="N50" s="33"/>
      <c r="P50" s="31"/>
      <c r="Q50" s="36"/>
      <c r="R50" s="31"/>
      <c r="S50" s="31"/>
      <c r="T50" s="31"/>
      <c r="U50" s="31"/>
      <c r="V50" s="33"/>
      <c r="W50" s="33"/>
      <c r="Y50" s="31"/>
      <c r="Z50" s="36"/>
      <c r="AA50" s="33"/>
      <c r="AB50" s="31"/>
      <c r="AC50" s="33"/>
      <c r="AE50" s="31"/>
      <c r="AF50" s="36"/>
      <c r="AG50" s="33"/>
      <c r="AH50" s="31"/>
      <c r="AI50" s="33"/>
    </row>
    <row r="51" customFormat="false" ht="15.75" hidden="false" customHeight="true" outlineLevel="0" collapsed="false">
      <c r="K51" s="36"/>
      <c r="L51" s="33"/>
      <c r="M51" s="31"/>
      <c r="N51" s="33"/>
      <c r="P51" s="31"/>
      <c r="Q51" s="36"/>
      <c r="R51" s="31"/>
      <c r="S51" s="31"/>
      <c r="T51" s="31"/>
      <c r="U51" s="31"/>
      <c r="V51" s="33"/>
      <c r="W51" s="33"/>
      <c r="Y51" s="31"/>
      <c r="Z51" s="36"/>
      <c r="AA51" s="33"/>
      <c r="AB51" s="31"/>
      <c r="AC51" s="33"/>
      <c r="AE51" s="31"/>
      <c r="AF51" s="36"/>
      <c r="AG51" s="33"/>
      <c r="AH51" s="31"/>
      <c r="AI51" s="33"/>
    </row>
    <row r="52" customFormat="false" ht="15.75" hidden="false" customHeight="true" outlineLevel="0" collapsed="false">
      <c r="K52" s="36"/>
      <c r="L52" s="33"/>
      <c r="M52" s="31"/>
      <c r="N52" s="33"/>
      <c r="P52" s="31"/>
      <c r="Q52" s="36"/>
      <c r="R52" s="31"/>
      <c r="S52" s="31"/>
      <c r="T52" s="31"/>
      <c r="U52" s="31"/>
      <c r="V52" s="33"/>
      <c r="W52" s="33"/>
      <c r="Y52" s="31"/>
      <c r="Z52" s="36"/>
      <c r="AA52" s="33"/>
      <c r="AB52" s="31"/>
      <c r="AC52" s="33"/>
      <c r="AE52" s="31"/>
      <c r="AF52" s="36"/>
      <c r="AG52" s="33"/>
      <c r="AH52" s="31"/>
      <c r="AI52" s="33"/>
    </row>
    <row r="53" customFormat="false" ht="15.75" hidden="false" customHeight="true" outlineLevel="0" collapsed="false">
      <c r="K53" s="36"/>
      <c r="L53" s="33"/>
      <c r="M53" s="31"/>
      <c r="N53" s="33"/>
      <c r="P53" s="31"/>
      <c r="Q53" s="36"/>
      <c r="R53" s="31"/>
      <c r="S53" s="31"/>
      <c r="T53" s="31"/>
      <c r="U53" s="31"/>
      <c r="V53" s="33"/>
      <c r="W53" s="33"/>
      <c r="Y53" s="31"/>
      <c r="Z53" s="36"/>
      <c r="AA53" s="33"/>
      <c r="AB53" s="31"/>
      <c r="AC53" s="33"/>
      <c r="AE53" s="31"/>
      <c r="AF53" s="36"/>
      <c r="AG53" s="33"/>
      <c r="AH53" s="31"/>
      <c r="AI53" s="33"/>
    </row>
    <row r="54" customFormat="false" ht="15.75" hidden="false" customHeight="true" outlineLevel="0" collapsed="false">
      <c r="K54" s="36"/>
      <c r="L54" s="33"/>
      <c r="M54" s="31"/>
      <c r="N54" s="33"/>
      <c r="P54" s="31"/>
      <c r="Q54" s="36"/>
      <c r="R54" s="31"/>
      <c r="S54" s="31"/>
      <c r="T54" s="31"/>
      <c r="U54" s="31"/>
      <c r="V54" s="33"/>
      <c r="W54" s="33"/>
      <c r="Y54" s="31"/>
      <c r="Z54" s="36"/>
      <c r="AA54" s="33"/>
      <c r="AB54" s="31"/>
      <c r="AC54" s="33"/>
      <c r="AE54" s="31"/>
      <c r="AF54" s="36"/>
      <c r="AG54" s="33"/>
      <c r="AH54" s="31"/>
      <c r="AI54" s="33"/>
    </row>
    <row r="55" customFormat="false" ht="15.75" hidden="false" customHeight="true" outlineLevel="0" collapsed="false">
      <c r="K55" s="36"/>
      <c r="L55" s="33"/>
      <c r="M55" s="31"/>
      <c r="N55" s="33"/>
      <c r="P55" s="31"/>
      <c r="Q55" s="36"/>
      <c r="R55" s="31"/>
      <c r="S55" s="31"/>
      <c r="T55" s="31"/>
      <c r="U55" s="31"/>
      <c r="V55" s="33"/>
      <c r="W55" s="33"/>
      <c r="Y55" s="31"/>
      <c r="Z55" s="36"/>
      <c r="AA55" s="33"/>
      <c r="AB55" s="31"/>
      <c r="AC55" s="33"/>
      <c r="AE55" s="31"/>
      <c r="AF55" s="36"/>
      <c r="AG55" s="33"/>
      <c r="AH55" s="31"/>
      <c r="AI55" s="33"/>
    </row>
    <row r="56" customFormat="false" ht="15.75" hidden="false" customHeight="true" outlineLevel="0" collapsed="false">
      <c r="K56" s="36"/>
      <c r="L56" s="33"/>
      <c r="M56" s="31"/>
      <c r="N56" s="33"/>
      <c r="P56" s="31"/>
      <c r="Q56" s="36"/>
      <c r="R56" s="31"/>
      <c r="S56" s="31"/>
      <c r="T56" s="31"/>
      <c r="U56" s="31"/>
      <c r="V56" s="33"/>
      <c r="W56" s="33"/>
      <c r="Y56" s="31"/>
      <c r="Z56" s="36"/>
      <c r="AA56" s="33"/>
      <c r="AB56" s="31"/>
      <c r="AC56" s="33"/>
      <c r="AE56" s="31"/>
      <c r="AF56" s="36"/>
      <c r="AG56" s="33"/>
      <c r="AH56" s="31"/>
      <c r="AI56" s="33"/>
    </row>
    <row r="57" customFormat="false" ht="15.75" hidden="false" customHeight="true" outlineLevel="0" collapsed="false">
      <c r="K57" s="36"/>
      <c r="L57" s="33"/>
      <c r="M57" s="31"/>
      <c r="N57" s="33"/>
      <c r="P57" s="31"/>
      <c r="Q57" s="36"/>
      <c r="R57" s="31"/>
      <c r="S57" s="31"/>
      <c r="T57" s="31"/>
      <c r="U57" s="31"/>
      <c r="V57" s="33"/>
      <c r="W57" s="33"/>
      <c r="Y57" s="31"/>
      <c r="Z57" s="36"/>
      <c r="AA57" s="33"/>
      <c r="AB57" s="31"/>
      <c r="AC57" s="33"/>
      <c r="AE57" s="31"/>
      <c r="AF57" s="36"/>
      <c r="AG57" s="33"/>
      <c r="AH57" s="31"/>
      <c r="AI57" s="33"/>
    </row>
    <row r="58" customFormat="false" ht="15.75" hidden="false" customHeight="true" outlineLevel="0" collapsed="false">
      <c r="K58" s="36"/>
      <c r="L58" s="33"/>
      <c r="M58" s="31"/>
      <c r="N58" s="33"/>
      <c r="P58" s="31"/>
      <c r="Q58" s="36"/>
      <c r="R58" s="31"/>
      <c r="S58" s="31"/>
      <c r="T58" s="31"/>
      <c r="U58" s="31"/>
      <c r="V58" s="33"/>
      <c r="W58" s="33"/>
      <c r="Y58" s="31"/>
      <c r="Z58" s="36"/>
      <c r="AA58" s="33"/>
      <c r="AB58" s="31"/>
      <c r="AC58" s="33"/>
      <c r="AE58" s="31"/>
      <c r="AF58" s="36"/>
      <c r="AG58" s="33"/>
      <c r="AH58" s="31"/>
      <c r="AI58" s="33"/>
    </row>
    <row r="59" customFormat="false" ht="15.75" hidden="false" customHeight="true" outlineLevel="0" collapsed="false">
      <c r="K59" s="36"/>
      <c r="L59" s="33"/>
      <c r="M59" s="31"/>
      <c r="N59" s="33"/>
      <c r="P59" s="31"/>
      <c r="Q59" s="36"/>
      <c r="R59" s="31"/>
      <c r="S59" s="31"/>
      <c r="T59" s="31"/>
      <c r="U59" s="31"/>
      <c r="V59" s="33"/>
      <c r="W59" s="33"/>
      <c r="Y59" s="31"/>
      <c r="Z59" s="36"/>
      <c r="AA59" s="33"/>
      <c r="AB59" s="31"/>
      <c r="AC59" s="33"/>
      <c r="AE59" s="31"/>
      <c r="AF59" s="36"/>
      <c r="AG59" s="33"/>
      <c r="AH59" s="31"/>
      <c r="AI59" s="33"/>
    </row>
    <row r="60" customFormat="false" ht="15.75" hidden="false" customHeight="true" outlineLevel="0" collapsed="false">
      <c r="K60" s="36"/>
      <c r="L60" s="33"/>
      <c r="M60" s="31"/>
      <c r="N60" s="33"/>
      <c r="P60" s="31"/>
      <c r="Q60" s="36"/>
      <c r="R60" s="31"/>
      <c r="S60" s="31"/>
      <c r="T60" s="31"/>
      <c r="U60" s="31"/>
      <c r="V60" s="33"/>
      <c r="W60" s="33"/>
      <c r="Y60" s="31"/>
      <c r="Z60" s="36"/>
      <c r="AA60" s="33"/>
      <c r="AB60" s="31"/>
      <c r="AC60" s="33"/>
      <c r="AE60" s="31"/>
      <c r="AF60" s="36"/>
      <c r="AG60" s="33"/>
      <c r="AH60" s="31"/>
      <c r="AI60" s="33"/>
    </row>
    <row r="61" customFormat="false" ht="15.75" hidden="false" customHeight="true" outlineLevel="0" collapsed="false">
      <c r="K61" s="36"/>
      <c r="L61" s="33"/>
      <c r="M61" s="31"/>
      <c r="N61" s="33"/>
      <c r="P61" s="31"/>
      <c r="Q61" s="36"/>
      <c r="R61" s="31"/>
      <c r="S61" s="31"/>
      <c r="T61" s="31"/>
      <c r="U61" s="31"/>
      <c r="V61" s="33"/>
      <c r="W61" s="33"/>
      <c r="Y61" s="31"/>
      <c r="Z61" s="36"/>
      <c r="AA61" s="33"/>
      <c r="AB61" s="31"/>
      <c r="AC61" s="33"/>
      <c r="AE61" s="31"/>
      <c r="AF61" s="36"/>
      <c r="AG61" s="33"/>
      <c r="AH61" s="31"/>
      <c r="AI61" s="33"/>
    </row>
    <row r="62" customFormat="false" ht="15.75" hidden="false" customHeight="true" outlineLevel="0" collapsed="false">
      <c r="K62" s="36"/>
      <c r="L62" s="33"/>
      <c r="M62" s="31"/>
      <c r="N62" s="33"/>
      <c r="P62" s="31"/>
      <c r="Q62" s="36"/>
      <c r="R62" s="31"/>
      <c r="S62" s="31"/>
      <c r="T62" s="31"/>
      <c r="U62" s="31"/>
      <c r="V62" s="33"/>
      <c r="W62" s="33"/>
      <c r="Y62" s="31"/>
      <c r="Z62" s="36"/>
      <c r="AA62" s="33"/>
      <c r="AB62" s="31"/>
      <c r="AC62" s="33"/>
      <c r="AE62" s="31"/>
      <c r="AF62" s="36"/>
      <c r="AG62" s="33"/>
      <c r="AH62" s="31"/>
      <c r="AI62" s="33"/>
    </row>
    <row r="63" customFormat="false" ht="15.75" hidden="false" customHeight="true" outlineLevel="0" collapsed="false">
      <c r="K63" s="36"/>
      <c r="L63" s="33"/>
      <c r="M63" s="31"/>
      <c r="N63" s="33"/>
      <c r="P63" s="31"/>
      <c r="Q63" s="36"/>
      <c r="R63" s="31"/>
      <c r="S63" s="31"/>
      <c r="T63" s="31"/>
      <c r="U63" s="31"/>
      <c r="V63" s="33"/>
      <c r="W63" s="33"/>
      <c r="Y63" s="31"/>
      <c r="Z63" s="36"/>
      <c r="AA63" s="33"/>
      <c r="AB63" s="31"/>
      <c r="AC63" s="33"/>
      <c r="AE63" s="31"/>
      <c r="AF63" s="36"/>
      <c r="AG63" s="33"/>
      <c r="AH63" s="31"/>
      <c r="AI63" s="33"/>
    </row>
    <row r="64" customFormat="false" ht="15.75" hidden="false" customHeight="true" outlineLevel="0" collapsed="false">
      <c r="K64" s="36"/>
      <c r="L64" s="33"/>
      <c r="M64" s="31"/>
      <c r="N64" s="33"/>
      <c r="P64" s="31"/>
      <c r="Q64" s="36"/>
      <c r="R64" s="31"/>
      <c r="S64" s="31"/>
      <c r="T64" s="31"/>
      <c r="U64" s="31"/>
      <c r="V64" s="33"/>
      <c r="W64" s="33"/>
      <c r="Y64" s="31"/>
      <c r="Z64" s="36"/>
      <c r="AA64" s="33"/>
      <c r="AB64" s="31"/>
      <c r="AC64" s="33"/>
      <c r="AE64" s="31"/>
      <c r="AF64" s="36"/>
      <c r="AG64" s="33"/>
      <c r="AH64" s="31"/>
      <c r="AI64" s="33"/>
    </row>
    <row r="65" customFormat="false" ht="15.75" hidden="false" customHeight="true" outlineLevel="0" collapsed="false">
      <c r="K65" s="36"/>
      <c r="L65" s="33"/>
      <c r="M65" s="31"/>
      <c r="N65" s="33"/>
      <c r="P65" s="31"/>
      <c r="Q65" s="36"/>
      <c r="R65" s="31"/>
      <c r="S65" s="31"/>
      <c r="T65" s="31"/>
      <c r="U65" s="31"/>
      <c r="V65" s="33"/>
      <c r="W65" s="33"/>
      <c r="Y65" s="31"/>
      <c r="Z65" s="36"/>
      <c r="AA65" s="33"/>
      <c r="AB65" s="31"/>
      <c r="AC65" s="33"/>
      <c r="AE65" s="31"/>
      <c r="AF65" s="36"/>
      <c r="AG65" s="33"/>
      <c r="AH65" s="31"/>
      <c r="AI65" s="33"/>
    </row>
    <row r="66" customFormat="false" ht="15.75" hidden="false" customHeight="true" outlineLevel="0" collapsed="false">
      <c r="P66" s="31"/>
      <c r="Q66" s="36"/>
      <c r="R66" s="31"/>
      <c r="S66" s="31"/>
      <c r="T66" s="31"/>
      <c r="U66" s="31"/>
      <c r="V66" s="33"/>
      <c r="W66" s="33"/>
      <c r="Y66" s="31"/>
      <c r="Z66" s="36"/>
      <c r="AA66" s="33"/>
      <c r="AB66" s="31"/>
      <c r="AC66" s="33"/>
      <c r="AE66" s="31"/>
      <c r="AF66" s="36"/>
      <c r="AG66" s="33"/>
      <c r="AH66" s="31"/>
      <c r="AI66" s="33"/>
    </row>
    <row r="67" customFormat="false" ht="15.75" hidden="false" customHeight="true" outlineLevel="0" collapsed="false">
      <c r="P67" s="31"/>
      <c r="Q67" s="36"/>
      <c r="R67" s="31"/>
      <c r="S67" s="31"/>
      <c r="T67" s="31"/>
      <c r="U67" s="31"/>
      <c r="V67" s="33"/>
      <c r="W67" s="33"/>
      <c r="Y67" s="31"/>
      <c r="Z67" s="36"/>
      <c r="AA67" s="33"/>
      <c r="AB67" s="31"/>
      <c r="AC67" s="33"/>
      <c r="AE67" s="31"/>
      <c r="AF67" s="36"/>
      <c r="AG67" s="33"/>
      <c r="AH67" s="31"/>
      <c r="AI67" s="33"/>
    </row>
    <row r="68" customFormat="false" ht="15.75" hidden="false" customHeight="true" outlineLevel="0" collapsed="false">
      <c r="P68" s="31"/>
      <c r="Q68" s="36"/>
      <c r="R68" s="31"/>
      <c r="S68" s="31"/>
      <c r="T68" s="31"/>
      <c r="U68" s="31"/>
      <c r="V68" s="33"/>
      <c r="W68" s="33"/>
      <c r="Y68" s="31"/>
      <c r="Z68" s="36"/>
      <c r="AA68" s="33"/>
      <c r="AB68" s="31"/>
      <c r="AC68" s="33"/>
      <c r="AE68" s="31"/>
      <c r="AF68" s="36"/>
      <c r="AG68" s="33"/>
      <c r="AH68" s="31"/>
      <c r="AI68" s="33"/>
    </row>
    <row r="69" customFormat="false" ht="15.75" hidden="false" customHeight="true" outlineLevel="0" collapsed="false">
      <c r="P69" s="31"/>
      <c r="Q69" s="36"/>
      <c r="R69" s="31"/>
      <c r="S69" s="31"/>
      <c r="T69" s="31"/>
      <c r="U69" s="31"/>
      <c r="V69" s="33"/>
      <c r="W69" s="33"/>
      <c r="Y69" s="31"/>
      <c r="Z69" s="36"/>
      <c r="AA69" s="33"/>
      <c r="AB69" s="31"/>
      <c r="AC69" s="33"/>
      <c r="AE69" s="31"/>
      <c r="AF69" s="36"/>
      <c r="AG69" s="33"/>
      <c r="AH69" s="31"/>
      <c r="AI69" s="33"/>
    </row>
    <row r="70" customFormat="false" ht="15.75" hidden="false" customHeight="true" outlineLevel="0" collapsed="false">
      <c r="P70" s="31"/>
      <c r="Q70" s="36"/>
      <c r="R70" s="31"/>
      <c r="S70" s="31"/>
      <c r="T70" s="31"/>
      <c r="U70" s="31"/>
      <c r="V70" s="33"/>
      <c r="W70" s="33"/>
      <c r="Y70" s="31"/>
      <c r="Z70" s="36"/>
      <c r="AA70" s="33"/>
      <c r="AB70" s="31"/>
      <c r="AC70" s="33"/>
      <c r="AE70" s="31"/>
      <c r="AF70" s="36"/>
      <c r="AG70" s="33"/>
      <c r="AH70" s="31"/>
      <c r="AI70" s="33"/>
    </row>
    <row r="71" customFormat="false" ht="15.75" hidden="false" customHeight="true" outlineLevel="0" collapsed="false">
      <c r="P71" s="31"/>
      <c r="Q71" s="36"/>
      <c r="R71" s="31"/>
      <c r="S71" s="31"/>
      <c r="T71" s="31"/>
      <c r="U71" s="31"/>
      <c r="V71" s="33"/>
      <c r="W71" s="33"/>
      <c r="Y71" s="31"/>
      <c r="Z71" s="36"/>
      <c r="AA71" s="33"/>
      <c r="AB71" s="31"/>
      <c r="AC71" s="33"/>
      <c r="AE71" s="31"/>
      <c r="AF71" s="36"/>
      <c r="AG71" s="33"/>
      <c r="AH71" s="31"/>
      <c r="AI71" s="33"/>
    </row>
    <row r="72" customFormat="false" ht="15.75" hidden="false" customHeight="true" outlineLevel="0" collapsed="false">
      <c r="P72" s="31"/>
      <c r="Q72" s="36"/>
      <c r="R72" s="31"/>
      <c r="S72" s="31"/>
      <c r="T72" s="31"/>
      <c r="U72" s="31"/>
      <c r="V72" s="33"/>
      <c r="W72" s="33"/>
      <c r="Y72" s="31"/>
      <c r="Z72" s="36"/>
      <c r="AA72" s="33"/>
      <c r="AB72" s="31"/>
      <c r="AC72" s="33"/>
      <c r="AE72" s="31"/>
      <c r="AF72" s="36"/>
      <c r="AG72" s="33"/>
      <c r="AH72" s="31"/>
      <c r="AI72" s="33"/>
    </row>
    <row r="73" customFormat="false" ht="15.75" hidden="false" customHeight="true" outlineLevel="0" collapsed="false">
      <c r="P73" s="31"/>
      <c r="Q73" s="36"/>
      <c r="R73" s="31"/>
      <c r="S73" s="31"/>
      <c r="T73" s="31"/>
      <c r="U73" s="31"/>
      <c r="V73" s="33"/>
      <c r="W73" s="33"/>
      <c r="Y73" s="31"/>
      <c r="Z73" s="36"/>
      <c r="AA73" s="33"/>
      <c r="AB73" s="31"/>
      <c r="AC73" s="33"/>
      <c r="AE73" s="31"/>
      <c r="AF73" s="36"/>
      <c r="AG73" s="33"/>
      <c r="AH73" s="31"/>
      <c r="AI73" s="33"/>
    </row>
    <row r="74" customFormat="false" ht="15.75" hidden="false" customHeight="true" outlineLevel="0" collapsed="false">
      <c r="P74" s="31"/>
      <c r="Q74" s="36"/>
      <c r="R74" s="31"/>
      <c r="S74" s="31"/>
      <c r="T74" s="31"/>
      <c r="U74" s="31"/>
      <c r="V74" s="33"/>
      <c r="W74" s="33"/>
      <c r="Y74" s="31"/>
      <c r="Z74" s="36"/>
      <c r="AA74" s="33"/>
      <c r="AB74" s="31"/>
      <c r="AC74" s="33"/>
      <c r="AE74" s="31"/>
      <c r="AF74" s="36"/>
      <c r="AG74" s="33"/>
      <c r="AH74" s="31"/>
      <c r="AI74" s="33"/>
    </row>
    <row r="75" customFormat="false" ht="15.75" hidden="false" customHeight="true" outlineLevel="0" collapsed="false">
      <c r="P75" s="31"/>
      <c r="Q75" s="36"/>
      <c r="R75" s="31"/>
      <c r="S75" s="31"/>
      <c r="T75" s="31"/>
      <c r="U75" s="31"/>
      <c r="V75" s="33"/>
      <c r="W75" s="33"/>
      <c r="Y75" s="31"/>
      <c r="Z75" s="36"/>
      <c r="AA75" s="33"/>
      <c r="AB75" s="31"/>
      <c r="AC75" s="33"/>
      <c r="AE75" s="31"/>
      <c r="AF75" s="36"/>
      <c r="AG75" s="33"/>
      <c r="AH75" s="31"/>
      <c r="AI75" s="33"/>
    </row>
    <row r="76" customFormat="false" ht="15.75" hidden="false" customHeight="true" outlineLevel="0" collapsed="false">
      <c r="P76" s="31"/>
      <c r="Q76" s="36"/>
      <c r="R76" s="31"/>
      <c r="S76" s="31"/>
      <c r="T76" s="31"/>
      <c r="U76" s="31"/>
      <c r="V76" s="33"/>
      <c r="W76" s="33"/>
      <c r="Y76" s="31"/>
      <c r="Z76" s="36"/>
      <c r="AA76" s="33"/>
      <c r="AB76" s="31"/>
      <c r="AC76" s="33"/>
      <c r="AE76" s="31"/>
      <c r="AF76" s="36"/>
      <c r="AG76" s="33"/>
      <c r="AH76" s="31"/>
      <c r="AI76" s="33"/>
    </row>
    <row r="77" customFormat="false" ht="15.75" hidden="false" customHeight="true" outlineLevel="0" collapsed="false">
      <c r="P77" s="31"/>
      <c r="Q77" s="36"/>
      <c r="R77" s="31"/>
      <c r="S77" s="31"/>
      <c r="T77" s="31"/>
      <c r="U77" s="31"/>
      <c r="V77" s="33"/>
      <c r="W77" s="33"/>
      <c r="Y77" s="31"/>
      <c r="Z77" s="36"/>
      <c r="AA77" s="33"/>
      <c r="AB77" s="31"/>
      <c r="AC77" s="33"/>
      <c r="AE77" s="31"/>
      <c r="AF77" s="36"/>
      <c r="AG77" s="33"/>
      <c r="AH77" s="31"/>
      <c r="AI77" s="33"/>
    </row>
    <row r="78" customFormat="false" ht="15.75" hidden="false" customHeight="true" outlineLevel="0" collapsed="false">
      <c r="P78" s="31"/>
      <c r="Q78" s="36"/>
      <c r="R78" s="31"/>
      <c r="S78" s="31"/>
      <c r="T78" s="31"/>
      <c r="U78" s="31"/>
      <c r="V78" s="33"/>
      <c r="W78" s="33"/>
      <c r="Y78" s="31"/>
      <c r="Z78" s="36"/>
      <c r="AA78" s="33"/>
      <c r="AB78" s="31"/>
      <c r="AC78" s="33"/>
      <c r="AE78" s="31"/>
      <c r="AF78" s="36"/>
      <c r="AG78" s="33"/>
      <c r="AH78" s="31"/>
      <c r="AI78" s="33"/>
    </row>
    <row r="79" customFormat="false" ht="15.75" hidden="false" customHeight="true" outlineLevel="0" collapsed="false">
      <c r="P79" s="31"/>
      <c r="Q79" s="36"/>
      <c r="R79" s="31"/>
      <c r="S79" s="31"/>
      <c r="T79" s="31"/>
      <c r="U79" s="31"/>
      <c r="V79" s="33"/>
      <c r="W79" s="33"/>
      <c r="Y79" s="31"/>
      <c r="Z79" s="36"/>
      <c r="AA79" s="33"/>
      <c r="AB79" s="31"/>
      <c r="AC79" s="33"/>
      <c r="AE79" s="31"/>
      <c r="AF79" s="36"/>
      <c r="AG79" s="33"/>
      <c r="AH79" s="31"/>
      <c r="AI79" s="33"/>
    </row>
    <row r="80" customFormat="false" ht="15.75" hidden="false" customHeight="true" outlineLevel="0" collapsed="false">
      <c r="P80" s="31"/>
      <c r="Q80" s="36"/>
      <c r="R80" s="31"/>
      <c r="S80" s="31"/>
      <c r="T80" s="31"/>
      <c r="U80" s="31"/>
      <c r="V80" s="33"/>
      <c r="W80" s="33"/>
      <c r="Y80" s="31"/>
      <c r="Z80" s="36"/>
      <c r="AA80" s="33"/>
      <c r="AB80" s="31"/>
      <c r="AC80" s="33"/>
      <c r="AE80" s="31"/>
      <c r="AF80" s="36"/>
      <c r="AG80" s="33"/>
      <c r="AH80" s="31"/>
      <c r="AI80" s="33"/>
    </row>
    <row r="81" customFormat="false" ht="15.75" hidden="false" customHeight="true" outlineLevel="0" collapsed="false">
      <c r="P81" s="31"/>
      <c r="Q81" s="36"/>
      <c r="R81" s="31"/>
      <c r="S81" s="31"/>
      <c r="T81" s="31"/>
      <c r="U81" s="31"/>
      <c r="V81" s="33"/>
      <c r="W81" s="33"/>
      <c r="Y81" s="31"/>
      <c r="Z81" s="36"/>
      <c r="AA81" s="33"/>
      <c r="AB81" s="31"/>
      <c r="AC81" s="33"/>
      <c r="AE81" s="31"/>
      <c r="AF81" s="36"/>
      <c r="AG81" s="33"/>
      <c r="AH81" s="31"/>
      <c r="AI81" s="33"/>
    </row>
    <row r="82" customFormat="false" ht="15.75" hidden="false" customHeight="true" outlineLevel="0" collapsed="false">
      <c r="P82" s="31"/>
      <c r="Q82" s="36"/>
      <c r="R82" s="31"/>
      <c r="S82" s="31"/>
      <c r="T82" s="31"/>
      <c r="U82" s="31"/>
      <c r="V82" s="33"/>
      <c r="W82" s="33"/>
      <c r="Y82" s="31"/>
      <c r="Z82" s="36"/>
      <c r="AA82" s="33"/>
      <c r="AB82" s="31"/>
      <c r="AC82" s="33"/>
      <c r="AE82" s="31"/>
      <c r="AF82" s="36"/>
      <c r="AG82" s="33"/>
      <c r="AH82" s="31"/>
      <c r="AI82" s="33"/>
    </row>
    <row r="83" customFormat="false" ht="15.75" hidden="false" customHeight="true" outlineLevel="0" collapsed="false">
      <c r="P83" s="31"/>
      <c r="Q83" s="36"/>
      <c r="R83" s="31"/>
      <c r="S83" s="31"/>
      <c r="T83" s="31"/>
      <c r="U83" s="31"/>
      <c r="V83" s="33"/>
      <c r="W83" s="33"/>
      <c r="Y83" s="31"/>
      <c r="Z83" s="36"/>
      <c r="AA83" s="33"/>
      <c r="AB83" s="31"/>
      <c r="AC83" s="33"/>
      <c r="AE83" s="31"/>
      <c r="AF83" s="36"/>
      <c r="AG83" s="33"/>
      <c r="AH83" s="31"/>
      <c r="AI83" s="33"/>
    </row>
    <row r="84" customFormat="false" ht="15.75" hidden="false" customHeight="true" outlineLevel="0" collapsed="false">
      <c r="P84" s="31"/>
      <c r="Q84" s="36"/>
      <c r="R84" s="31"/>
      <c r="S84" s="31"/>
      <c r="T84" s="31"/>
      <c r="U84" s="31"/>
      <c r="V84" s="33"/>
      <c r="W84" s="33"/>
      <c r="Y84" s="31"/>
      <c r="Z84" s="36"/>
      <c r="AA84" s="33"/>
      <c r="AB84" s="31"/>
      <c r="AC84" s="33"/>
      <c r="AE84" s="31"/>
      <c r="AF84" s="36"/>
      <c r="AG84" s="33"/>
      <c r="AH84" s="31"/>
      <c r="AI84" s="33"/>
    </row>
    <row r="85" customFormat="false" ht="15.75" hidden="false" customHeight="true" outlineLevel="0" collapsed="false">
      <c r="P85" s="31"/>
      <c r="Q85" s="36"/>
      <c r="R85" s="31"/>
      <c r="S85" s="31"/>
      <c r="T85" s="31"/>
      <c r="U85" s="31"/>
      <c r="V85" s="33"/>
      <c r="W85" s="33"/>
      <c r="Y85" s="31"/>
      <c r="Z85" s="36"/>
      <c r="AA85" s="33"/>
      <c r="AB85" s="31"/>
      <c r="AC85" s="33"/>
      <c r="AE85" s="31"/>
      <c r="AF85" s="36"/>
      <c r="AG85" s="33"/>
      <c r="AH85" s="31"/>
      <c r="AI85" s="33"/>
    </row>
    <row r="86" customFormat="false" ht="15.75" hidden="false" customHeight="true" outlineLevel="0" collapsed="false">
      <c r="P86" s="31"/>
      <c r="Q86" s="36"/>
      <c r="R86" s="31"/>
      <c r="S86" s="31"/>
      <c r="T86" s="31"/>
      <c r="U86" s="31"/>
      <c r="V86" s="33"/>
      <c r="W86" s="33"/>
      <c r="Y86" s="31"/>
      <c r="Z86" s="36"/>
      <c r="AA86" s="33"/>
      <c r="AB86" s="31"/>
      <c r="AC86" s="33"/>
      <c r="AE86" s="31"/>
      <c r="AF86" s="36"/>
      <c r="AG86" s="33"/>
      <c r="AH86" s="31"/>
      <c r="AI86" s="33"/>
    </row>
    <row r="87" customFormat="false" ht="15.75" hidden="false" customHeight="true" outlineLevel="0" collapsed="false">
      <c r="P87" s="31"/>
      <c r="Q87" s="36"/>
      <c r="R87" s="31"/>
      <c r="S87" s="31"/>
      <c r="T87" s="31"/>
      <c r="U87" s="31"/>
      <c r="V87" s="33"/>
      <c r="W87" s="33"/>
      <c r="Y87" s="31"/>
      <c r="Z87" s="36"/>
      <c r="AA87" s="33"/>
      <c r="AB87" s="31"/>
      <c r="AC87" s="33"/>
      <c r="AE87" s="31"/>
      <c r="AF87" s="36"/>
      <c r="AG87" s="33"/>
      <c r="AH87" s="31"/>
      <c r="AI87" s="33"/>
    </row>
    <row r="88" customFormat="false" ht="15.75" hidden="false" customHeight="true" outlineLevel="0" collapsed="false">
      <c r="P88" s="31"/>
      <c r="Q88" s="36"/>
      <c r="R88" s="31"/>
      <c r="S88" s="31"/>
      <c r="T88" s="31"/>
      <c r="U88" s="31"/>
      <c r="V88" s="33"/>
      <c r="W88" s="33"/>
      <c r="Y88" s="31"/>
      <c r="Z88" s="36"/>
      <c r="AA88" s="33"/>
      <c r="AB88" s="31"/>
      <c r="AC88" s="33"/>
      <c r="AE88" s="31"/>
      <c r="AF88" s="36"/>
      <c r="AG88" s="33"/>
      <c r="AH88" s="31"/>
      <c r="AI88" s="33"/>
    </row>
    <row r="89" customFormat="false" ht="15.75" hidden="false" customHeight="true" outlineLevel="0" collapsed="false">
      <c r="P89" s="31"/>
      <c r="Q89" s="36"/>
      <c r="R89" s="31"/>
      <c r="S89" s="31"/>
      <c r="T89" s="31"/>
      <c r="U89" s="31"/>
      <c r="V89" s="33"/>
      <c r="W89" s="33"/>
      <c r="Y89" s="31"/>
      <c r="Z89" s="36"/>
      <c r="AA89" s="33"/>
      <c r="AB89" s="31"/>
      <c r="AC89" s="33"/>
      <c r="AE89" s="31"/>
      <c r="AF89" s="36"/>
      <c r="AG89" s="33"/>
      <c r="AH89" s="31"/>
      <c r="AI89" s="33"/>
    </row>
    <row r="90" customFormat="false" ht="15.75" hidden="false" customHeight="true" outlineLevel="0" collapsed="false">
      <c r="P90" s="31"/>
      <c r="Q90" s="36"/>
      <c r="R90" s="31"/>
      <c r="S90" s="31"/>
      <c r="T90" s="31"/>
      <c r="U90" s="31"/>
      <c r="V90" s="33"/>
      <c r="W90" s="33"/>
      <c r="Y90" s="31"/>
      <c r="Z90" s="36"/>
      <c r="AA90" s="33"/>
      <c r="AB90" s="31"/>
      <c r="AC90" s="33"/>
      <c r="AE90" s="31"/>
      <c r="AF90" s="36"/>
      <c r="AG90" s="33"/>
      <c r="AH90" s="31"/>
      <c r="AI90" s="33"/>
    </row>
    <row r="91" customFormat="false" ht="15.75" hidden="false" customHeight="true" outlineLevel="0" collapsed="false">
      <c r="P91" s="31"/>
      <c r="Q91" s="36"/>
      <c r="R91" s="31"/>
      <c r="S91" s="31"/>
      <c r="T91" s="31"/>
      <c r="U91" s="31"/>
      <c r="V91" s="33"/>
      <c r="W91" s="33"/>
      <c r="Y91" s="31"/>
      <c r="Z91" s="36"/>
      <c r="AA91" s="33"/>
      <c r="AB91" s="31"/>
      <c r="AC91" s="33"/>
      <c r="AE91" s="31"/>
      <c r="AF91" s="36"/>
      <c r="AG91" s="33"/>
      <c r="AH91" s="31"/>
      <c r="AI91" s="33"/>
    </row>
    <row r="92" customFormat="false" ht="15.75" hidden="false" customHeight="true" outlineLevel="0" collapsed="false">
      <c r="P92" s="31"/>
      <c r="Q92" s="36"/>
      <c r="R92" s="31"/>
      <c r="S92" s="31"/>
      <c r="T92" s="31"/>
      <c r="U92" s="31"/>
      <c r="V92" s="33"/>
      <c r="W92" s="33"/>
      <c r="Y92" s="31"/>
      <c r="Z92" s="36"/>
      <c r="AA92" s="33"/>
      <c r="AB92" s="31"/>
      <c r="AC92" s="33"/>
      <c r="AE92" s="31"/>
      <c r="AF92" s="36"/>
      <c r="AG92" s="33"/>
      <c r="AH92" s="31"/>
      <c r="AI92" s="33"/>
    </row>
    <row r="93" customFormat="false" ht="15.75" hidden="false" customHeight="true" outlineLevel="0" collapsed="false">
      <c r="P93" s="31"/>
      <c r="Q93" s="36"/>
      <c r="R93" s="31"/>
      <c r="S93" s="31"/>
      <c r="T93" s="31"/>
      <c r="U93" s="31"/>
      <c r="V93" s="33"/>
      <c r="W93" s="33"/>
      <c r="Y93" s="31"/>
      <c r="Z93" s="36"/>
      <c r="AA93" s="33"/>
      <c r="AB93" s="31"/>
      <c r="AC93" s="33"/>
      <c r="AE93" s="31"/>
      <c r="AF93" s="36"/>
      <c r="AG93" s="33"/>
      <c r="AH93" s="31"/>
      <c r="AI93" s="33"/>
    </row>
    <row r="94" customFormat="false" ht="15.75" hidden="false" customHeight="true" outlineLevel="0" collapsed="false">
      <c r="P94" s="31"/>
      <c r="Q94" s="36"/>
      <c r="R94" s="31"/>
      <c r="S94" s="31"/>
      <c r="T94" s="31"/>
      <c r="U94" s="31"/>
      <c r="V94" s="33"/>
      <c r="W94" s="33"/>
      <c r="Y94" s="31"/>
      <c r="Z94" s="36"/>
      <c r="AA94" s="33"/>
      <c r="AB94" s="31"/>
      <c r="AC94" s="33"/>
      <c r="AE94" s="31"/>
      <c r="AF94" s="36"/>
      <c r="AG94" s="33"/>
      <c r="AH94" s="31"/>
      <c r="AI94" s="33"/>
    </row>
    <row r="95" customFormat="false" ht="15.75" hidden="false" customHeight="true" outlineLevel="0" collapsed="false">
      <c r="P95" s="31"/>
      <c r="Q95" s="36"/>
      <c r="R95" s="31"/>
      <c r="S95" s="31"/>
      <c r="T95" s="31"/>
      <c r="U95" s="31"/>
      <c r="V95" s="33"/>
      <c r="W95" s="33"/>
      <c r="Y95" s="31"/>
      <c r="Z95" s="36"/>
      <c r="AA95" s="33"/>
      <c r="AB95" s="31"/>
      <c r="AC95" s="33"/>
      <c r="AE95" s="31"/>
      <c r="AF95" s="36"/>
      <c r="AG95" s="33"/>
      <c r="AH95" s="31"/>
      <c r="AI95" s="33"/>
    </row>
    <row r="96" customFormat="false" ht="15.75" hidden="false" customHeight="true" outlineLevel="0" collapsed="false">
      <c r="P96" s="31"/>
      <c r="Q96" s="36"/>
      <c r="R96" s="31"/>
      <c r="S96" s="31"/>
      <c r="T96" s="31"/>
      <c r="U96" s="31"/>
      <c r="V96" s="33"/>
      <c r="W96" s="33"/>
      <c r="Y96" s="31"/>
      <c r="Z96" s="36"/>
      <c r="AA96" s="33"/>
      <c r="AB96" s="31"/>
      <c r="AC96" s="33"/>
      <c r="AE96" s="31"/>
      <c r="AF96" s="36"/>
      <c r="AG96" s="33"/>
      <c r="AH96" s="31"/>
      <c r="AI96" s="33"/>
    </row>
    <row r="97" customFormat="false" ht="15.75" hidden="false" customHeight="true" outlineLevel="0" collapsed="false">
      <c r="P97" s="31"/>
      <c r="Q97" s="36"/>
      <c r="R97" s="31"/>
      <c r="S97" s="31"/>
      <c r="T97" s="31"/>
      <c r="U97" s="31"/>
      <c r="V97" s="33"/>
      <c r="W97" s="33"/>
      <c r="Y97" s="31"/>
      <c r="Z97" s="36"/>
      <c r="AA97" s="33"/>
      <c r="AB97" s="31"/>
      <c r="AC97" s="33"/>
      <c r="AE97" s="31"/>
      <c r="AF97" s="36"/>
      <c r="AG97" s="33"/>
      <c r="AH97" s="31"/>
      <c r="AI97" s="33"/>
    </row>
    <row r="98" customFormat="false" ht="15.75" hidden="false" customHeight="true" outlineLevel="0" collapsed="false">
      <c r="P98" s="31"/>
      <c r="Q98" s="36"/>
      <c r="R98" s="31"/>
      <c r="S98" s="31"/>
      <c r="T98" s="31"/>
      <c r="U98" s="31"/>
      <c r="V98" s="33"/>
      <c r="W98" s="33"/>
      <c r="Y98" s="31"/>
      <c r="Z98" s="36"/>
      <c r="AA98" s="33"/>
      <c r="AB98" s="31"/>
      <c r="AC98" s="33"/>
      <c r="AE98" s="31"/>
      <c r="AF98" s="36"/>
      <c r="AG98" s="33"/>
      <c r="AH98" s="31"/>
      <c r="AI98" s="33"/>
    </row>
    <row r="99" customFormat="false" ht="15.75" hidden="false" customHeight="true" outlineLevel="0" collapsed="false">
      <c r="P99" s="31"/>
      <c r="Q99" s="36"/>
      <c r="R99" s="31"/>
      <c r="S99" s="31"/>
      <c r="T99" s="31"/>
      <c r="U99" s="31"/>
      <c r="V99" s="33"/>
      <c r="W99" s="33"/>
      <c r="Y99" s="31"/>
      <c r="Z99" s="36"/>
      <c r="AA99" s="33"/>
      <c r="AB99" s="31"/>
      <c r="AC99" s="33"/>
      <c r="AE99" s="31"/>
      <c r="AF99" s="36"/>
      <c r="AG99" s="33"/>
      <c r="AH99" s="31"/>
      <c r="AI99" s="33"/>
    </row>
    <row r="100" customFormat="false" ht="15.75" hidden="false" customHeight="true" outlineLevel="0" collapsed="false">
      <c r="P100" s="31"/>
      <c r="Q100" s="36"/>
      <c r="R100" s="31"/>
      <c r="S100" s="31"/>
      <c r="T100" s="31"/>
      <c r="U100" s="31"/>
      <c r="V100" s="33"/>
      <c r="W100" s="33"/>
      <c r="Y100" s="31"/>
      <c r="Z100" s="36"/>
      <c r="AA100" s="33"/>
      <c r="AB100" s="31"/>
      <c r="AC100" s="33"/>
      <c r="AE100" s="31"/>
      <c r="AF100" s="36"/>
      <c r="AG100" s="33"/>
      <c r="AH100" s="31"/>
      <c r="AI100" s="33"/>
    </row>
    <row r="101" customFormat="false" ht="15.75" hidden="false" customHeight="true" outlineLevel="0" collapsed="false">
      <c r="P101" s="31"/>
      <c r="Q101" s="36"/>
      <c r="R101" s="31"/>
      <c r="S101" s="31"/>
      <c r="T101" s="31"/>
      <c r="U101" s="31"/>
      <c r="V101" s="33"/>
      <c r="W101" s="33"/>
      <c r="Y101" s="31"/>
      <c r="Z101" s="36"/>
      <c r="AA101" s="33"/>
      <c r="AB101" s="31"/>
      <c r="AC101" s="33"/>
      <c r="AE101" s="31"/>
      <c r="AF101" s="36"/>
      <c r="AG101" s="33"/>
      <c r="AH101" s="31"/>
      <c r="AI101" s="33"/>
    </row>
    <row r="102" customFormat="false" ht="15.75" hidden="false" customHeight="true" outlineLevel="0" collapsed="false">
      <c r="P102" s="31"/>
      <c r="Q102" s="36"/>
      <c r="R102" s="31"/>
      <c r="S102" s="31"/>
      <c r="T102" s="31"/>
      <c r="U102" s="31"/>
      <c r="V102" s="33"/>
      <c r="W102" s="33"/>
      <c r="Y102" s="31"/>
      <c r="Z102" s="36"/>
      <c r="AA102" s="33"/>
      <c r="AB102" s="31"/>
      <c r="AC102" s="33"/>
      <c r="AE102" s="31"/>
      <c r="AF102" s="36"/>
      <c r="AG102" s="33"/>
      <c r="AH102" s="31"/>
      <c r="AI102" s="33"/>
    </row>
    <row r="103" customFormat="false" ht="15.75" hidden="false" customHeight="true" outlineLevel="0" collapsed="false">
      <c r="P103" s="31"/>
      <c r="Q103" s="36"/>
      <c r="R103" s="31"/>
      <c r="S103" s="31"/>
      <c r="T103" s="31"/>
      <c r="U103" s="31"/>
      <c r="V103" s="33"/>
      <c r="W103" s="33"/>
      <c r="Y103" s="31"/>
      <c r="Z103" s="36"/>
      <c r="AA103" s="33"/>
      <c r="AB103" s="31"/>
      <c r="AC103" s="33"/>
      <c r="AE103" s="31"/>
      <c r="AF103" s="36"/>
      <c r="AG103" s="33"/>
      <c r="AH103" s="31"/>
      <c r="AI103" s="33"/>
    </row>
    <row r="104" customFormat="false" ht="15.75" hidden="false" customHeight="true" outlineLevel="0" collapsed="false">
      <c r="P104" s="31"/>
      <c r="Q104" s="36"/>
      <c r="R104" s="31"/>
      <c r="S104" s="31"/>
      <c r="T104" s="31"/>
      <c r="U104" s="31"/>
      <c r="V104" s="33"/>
      <c r="W104" s="33"/>
      <c r="Y104" s="31"/>
      <c r="Z104" s="36"/>
      <c r="AA104" s="33"/>
      <c r="AB104" s="31"/>
      <c r="AC104" s="33"/>
      <c r="AE104" s="31"/>
      <c r="AF104" s="36"/>
      <c r="AG104" s="33"/>
      <c r="AH104" s="31"/>
      <c r="AI104" s="33"/>
    </row>
    <row r="105" customFormat="false" ht="15.75" hidden="false" customHeight="true" outlineLevel="0" collapsed="false">
      <c r="P105" s="31"/>
      <c r="Q105" s="36"/>
      <c r="R105" s="31"/>
      <c r="S105" s="31"/>
      <c r="T105" s="31"/>
      <c r="U105" s="31"/>
      <c r="V105" s="33"/>
      <c r="W105" s="33"/>
      <c r="Y105" s="31"/>
      <c r="Z105" s="36"/>
      <c r="AA105" s="33"/>
      <c r="AB105" s="31"/>
      <c r="AC105" s="33"/>
      <c r="AE105" s="31"/>
      <c r="AF105" s="36"/>
      <c r="AG105" s="33"/>
      <c r="AH105" s="31"/>
      <c r="AI105" s="33"/>
    </row>
    <row r="106" customFormat="false" ht="15.75" hidden="false" customHeight="true" outlineLevel="0" collapsed="false">
      <c r="P106" s="31"/>
      <c r="Q106" s="36"/>
      <c r="R106" s="31"/>
      <c r="S106" s="31"/>
      <c r="T106" s="31"/>
      <c r="U106" s="31"/>
      <c r="V106" s="33"/>
      <c r="W106" s="33"/>
      <c r="Y106" s="31"/>
      <c r="Z106" s="36"/>
      <c r="AA106" s="33"/>
      <c r="AB106" s="31"/>
      <c r="AC106" s="33"/>
      <c r="AE106" s="31"/>
      <c r="AF106" s="36"/>
      <c r="AG106" s="33"/>
      <c r="AH106" s="31"/>
      <c r="AI106" s="33"/>
    </row>
    <row r="107" customFormat="false" ht="15.75" hidden="false" customHeight="true" outlineLevel="0" collapsed="false">
      <c r="P107" s="31"/>
      <c r="Q107" s="36"/>
      <c r="R107" s="31"/>
      <c r="S107" s="31"/>
      <c r="T107" s="31"/>
      <c r="U107" s="31"/>
      <c r="V107" s="33"/>
      <c r="W107" s="33"/>
      <c r="Y107" s="31"/>
      <c r="Z107" s="36"/>
      <c r="AA107" s="33"/>
      <c r="AB107" s="31"/>
      <c r="AC107" s="33"/>
      <c r="AE107" s="31"/>
      <c r="AF107" s="36"/>
      <c r="AG107" s="33"/>
      <c r="AH107" s="31"/>
      <c r="AI107" s="33"/>
    </row>
    <row r="108" customFormat="false" ht="15.75" hidden="false" customHeight="true" outlineLevel="0" collapsed="false">
      <c r="P108" s="31"/>
      <c r="Q108" s="36"/>
      <c r="R108" s="31"/>
      <c r="S108" s="31"/>
      <c r="T108" s="31"/>
      <c r="U108" s="31"/>
      <c r="V108" s="33"/>
      <c r="W108" s="33"/>
      <c r="Y108" s="31"/>
      <c r="Z108" s="36"/>
      <c r="AA108" s="33"/>
      <c r="AB108" s="31"/>
      <c r="AC108" s="33"/>
      <c r="AE108" s="31"/>
      <c r="AF108" s="36"/>
      <c r="AG108" s="33"/>
      <c r="AH108" s="31"/>
      <c r="AI108" s="33"/>
    </row>
    <row r="109" customFormat="false" ht="15.75" hidden="false" customHeight="true" outlineLevel="0" collapsed="false">
      <c r="P109" s="31"/>
      <c r="Q109" s="36"/>
      <c r="R109" s="31"/>
      <c r="S109" s="31"/>
      <c r="T109" s="31"/>
      <c r="U109" s="31"/>
      <c r="V109" s="33"/>
      <c r="W109" s="33"/>
      <c r="Y109" s="31"/>
      <c r="Z109" s="36"/>
      <c r="AA109" s="33"/>
      <c r="AB109" s="31"/>
      <c r="AC109" s="33"/>
      <c r="AE109" s="31"/>
      <c r="AF109" s="36"/>
      <c r="AG109" s="33"/>
      <c r="AH109" s="31"/>
      <c r="AI109" s="33"/>
    </row>
    <row r="110" customFormat="false" ht="15.75" hidden="false" customHeight="true" outlineLevel="0" collapsed="false">
      <c r="P110" s="31"/>
      <c r="Q110" s="36"/>
      <c r="R110" s="31"/>
      <c r="S110" s="31"/>
      <c r="T110" s="31"/>
      <c r="U110" s="31"/>
      <c r="V110" s="33"/>
      <c r="W110" s="33"/>
      <c r="Y110" s="31"/>
      <c r="Z110" s="36"/>
      <c r="AA110" s="33"/>
      <c r="AB110" s="31"/>
      <c r="AC110" s="33"/>
      <c r="AE110" s="31"/>
      <c r="AF110" s="36"/>
      <c r="AG110" s="33"/>
      <c r="AH110" s="31"/>
      <c r="AI110" s="33"/>
    </row>
    <row r="111" customFormat="false" ht="15.75" hidden="false" customHeight="true" outlineLevel="0" collapsed="false">
      <c r="P111" s="31"/>
      <c r="Q111" s="36"/>
      <c r="R111" s="31"/>
      <c r="S111" s="31"/>
      <c r="T111" s="31"/>
      <c r="U111" s="31"/>
      <c r="V111" s="33"/>
      <c r="W111" s="33"/>
      <c r="Y111" s="31"/>
      <c r="Z111" s="36"/>
      <c r="AA111" s="33"/>
      <c r="AB111" s="31"/>
      <c r="AC111" s="33"/>
      <c r="AE111" s="31"/>
      <c r="AF111" s="36"/>
      <c r="AG111" s="33"/>
      <c r="AH111" s="31"/>
      <c r="AI111" s="33"/>
    </row>
    <row r="112" customFormat="false" ht="15.75" hidden="false" customHeight="true" outlineLevel="0" collapsed="false">
      <c r="P112" s="31"/>
      <c r="Q112" s="36"/>
      <c r="R112" s="31"/>
      <c r="S112" s="31"/>
      <c r="T112" s="31"/>
      <c r="U112" s="31"/>
      <c r="V112" s="33"/>
      <c r="W112" s="33"/>
      <c r="Y112" s="31"/>
      <c r="Z112" s="36"/>
      <c r="AA112" s="33"/>
      <c r="AB112" s="31"/>
      <c r="AC112" s="33"/>
      <c r="AE112" s="31"/>
      <c r="AF112" s="36"/>
      <c r="AG112" s="33"/>
      <c r="AH112" s="31"/>
      <c r="AI112" s="33"/>
    </row>
    <row r="113" customFormat="false" ht="15.75" hidden="false" customHeight="true" outlineLevel="0" collapsed="false">
      <c r="P113" s="31"/>
      <c r="Q113" s="36"/>
      <c r="R113" s="31"/>
      <c r="S113" s="31"/>
      <c r="T113" s="31"/>
      <c r="U113" s="31"/>
      <c r="V113" s="33"/>
      <c r="W113" s="33"/>
      <c r="Y113" s="31"/>
      <c r="Z113" s="36"/>
      <c r="AA113" s="33"/>
      <c r="AB113" s="31"/>
      <c r="AC113" s="33"/>
      <c r="AE113" s="31"/>
      <c r="AF113" s="36"/>
      <c r="AG113" s="33"/>
      <c r="AH113" s="31"/>
      <c r="AI113" s="33"/>
    </row>
    <row r="114" customFormat="false" ht="15.75" hidden="false" customHeight="true" outlineLevel="0" collapsed="false">
      <c r="P114" s="31"/>
      <c r="Q114" s="36"/>
      <c r="R114" s="31"/>
      <c r="S114" s="31"/>
      <c r="T114" s="31"/>
      <c r="U114" s="31"/>
      <c r="V114" s="33"/>
      <c r="W114" s="33"/>
      <c r="Y114" s="31"/>
      <c r="Z114" s="36"/>
      <c r="AA114" s="33"/>
      <c r="AB114" s="31"/>
      <c r="AC114" s="33"/>
      <c r="AE114" s="31"/>
      <c r="AF114" s="36"/>
      <c r="AG114" s="33"/>
      <c r="AH114" s="31"/>
      <c r="AI114" s="33"/>
    </row>
    <row r="115" customFormat="false" ht="15.75" hidden="false" customHeight="true" outlineLevel="0" collapsed="false">
      <c r="P115" s="31"/>
      <c r="Q115" s="36"/>
      <c r="R115" s="31"/>
      <c r="S115" s="31"/>
      <c r="T115" s="31"/>
      <c r="U115" s="31"/>
      <c r="V115" s="33"/>
      <c r="W115" s="33"/>
      <c r="Y115" s="31"/>
      <c r="Z115" s="36"/>
      <c r="AA115" s="33"/>
      <c r="AB115" s="31"/>
      <c r="AC115" s="33"/>
      <c r="AE115" s="31"/>
      <c r="AF115" s="36"/>
      <c r="AG115" s="33"/>
      <c r="AH115" s="31"/>
      <c r="AI115" s="33"/>
    </row>
    <row r="116" customFormat="false" ht="15.75" hidden="false" customHeight="true" outlineLevel="0" collapsed="false">
      <c r="P116" s="31"/>
      <c r="Q116" s="36"/>
      <c r="R116" s="31"/>
      <c r="S116" s="31"/>
      <c r="T116" s="31"/>
      <c r="U116" s="31"/>
      <c r="V116" s="33"/>
      <c r="W116" s="33"/>
      <c r="Y116" s="31"/>
      <c r="Z116" s="36"/>
      <c r="AA116" s="33"/>
      <c r="AB116" s="31"/>
      <c r="AC116" s="33"/>
      <c r="AE116" s="31"/>
      <c r="AF116" s="36"/>
      <c r="AG116" s="33"/>
      <c r="AH116" s="31"/>
      <c r="AI116" s="33"/>
    </row>
    <row r="117" customFormat="false" ht="15.75" hidden="false" customHeight="true" outlineLevel="0" collapsed="false">
      <c r="P117" s="31"/>
      <c r="Q117" s="36"/>
      <c r="R117" s="31"/>
      <c r="S117" s="31"/>
      <c r="T117" s="31"/>
      <c r="U117" s="31"/>
      <c r="V117" s="33"/>
      <c r="W117" s="33"/>
      <c r="Y117" s="31"/>
      <c r="Z117" s="36"/>
      <c r="AA117" s="33"/>
      <c r="AB117" s="31"/>
      <c r="AC117" s="33"/>
      <c r="AE117" s="31"/>
      <c r="AF117" s="36"/>
      <c r="AG117" s="33"/>
      <c r="AH117" s="31"/>
      <c r="AI117" s="33"/>
    </row>
    <row r="118" customFormat="false" ht="15.75" hidden="false" customHeight="true" outlineLevel="0" collapsed="false">
      <c r="P118" s="31"/>
      <c r="Q118" s="36"/>
      <c r="R118" s="31"/>
      <c r="S118" s="31"/>
      <c r="T118" s="31"/>
      <c r="U118" s="31"/>
      <c r="V118" s="33"/>
      <c r="W118" s="33"/>
      <c r="Y118" s="31"/>
      <c r="Z118" s="36"/>
      <c r="AA118" s="33"/>
      <c r="AB118" s="31"/>
      <c r="AC118" s="33"/>
      <c r="AE118" s="31"/>
      <c r="AF118" s="36"/>
      <c r="AG118" s="33"/>
      <c r="AH118" s="31"/>
      <c r="AI118" s="33"/>
    </row>
    <row r="119" customFormat="false" ht="15.75" hidden="false" customHeight="true" outlineLevel="0" collapsed="false">
      <c r="P119" s="31"/>
      <c r="Q119" s="36"/>
      <c r="R119" s="31"/>
      <c r="S119" s="31"/>
      <c r="T119" s="31"/>
      <c r="U119" s="31"/>
      <c r="V119" s="33"/>
      <c r="W119" s="33"/>
      <c r="Y119" s="31"/>
      <c r="Z119" s="36"/>
      <c r="AA119" s="33"/>
      <c r="AB119" s="31"/>
      <c r="AC119" s="33"/>
      <c r="AE119" s="31"/>
      <c r="AF119" s="36"/>
      <c r="AG119" s="33"/>
      <c r="AH119" s="31"/>
      <c r="AI119" s="33"/>
    </row>
    <row r="120" customFormat="false" ht="15.75" hidden="false" customHeight="true" outlineLevel="0" collapsed="false">
      <c r="P120" s="31"/>
      <c r="Q120" s="36"/>
      <c r="R120" s="31"/>
      <c r="S120" s="31"/>
      <c r="T120" s="31"/>
      <c r="U120" s="31"/>
      <c r="V120" s="33"/>
      <c r="W120" s="33"/>
      <c r="Y120" s="31"/>
      <c r="Z120" s="36"/>
      <c r="AA120" s="33"/>
      <c r="AB120" s="31"/>
      <c r="AC120" s="33"/>
      <c r="AE120" s="31"/>
      <c r="AF120" s="36"/>
      <c r="AG120" s="33"/>
      <c r="AH120" s="31"/>
      <c r="AI120" s="33"/>
    </row>
    <row r="121" customFormat="false" ht="15.75" hidden="false" customHeight="true" outlineLevel="0" collapsed="false">
      <c r="P121" s="31"/>
      <c r="Q121" s="36"/>
      <c r="R121" s="31"/>
      <c r="S121" s="31"/>
      <c r="T121" s="31"/>
      <c r="U121" s="31"/>
      <c r="V121" s="33"/>
      <c r="W121" s="33"/>
      <c r="Y121" s="31"/>
      <c r="Z121" s="36"/>
      <c r="AA121" s="33"/>
      <c r="AB121" s="31"/>
      <c r="AC121" s="33"/>
      <c r="AE121" s="31"/>
      <c r="AF121" s="36"/>
      <c r="AG121" s="33"/>
      <c r="AH121" s="31"/>
      <c r="AI121" s="33"/>
    </row>
    <row r="122" customFormat="false" ht="15.75" hidden="false" customHeight="true" outlineLevel="0" collapsed="false">
      <c r="P122" s="31"/>
      <c r="Q122" s="36"/>
      <c r="R122" s="31"/>
      <c r="S122" s="31"/>
      <c r="T122" s="31"/>
      <c r="U122" s="31"/>
      <c r="V122" s="33"/>
      <c r="W122" s="33"/>
      <c r="Y122" s="31"/>
      <c r="Z122" s="36"/>
      <c r="AA122" s="33"/>
      <c r="AB122" s="31"/>
      <c r="AC122" s="33"/>
      <c r="AE122" s="31"/>
      <c r="AF122" s="36"/>
      <c r="AG122" s="33"/>
      <c r="AH122" s="31"/>
      <c r="AI122" s="33"/>
    </row>
    <row r="123" customFormat="false" ht="15.75" hidden="false" customHeight="true" outlineLevel="0" collapsed="false">
      <c r="P123" s="31"/>
      <c r="Q123" s="36"/>
      <c r="R123" s="31"/>
      <c r="S123" s="31"/>
      <c r="T123" s="31"/>
      <c r="U123" s="31"/>
      <c r="V123" s="33"/>
      <c r="W123" s="33"/>
      <c r="Y123" s="31"/>
      <c r="Z123" s="36"/>
      <c r="AA123" s="33"/>
      <c r="AB123" s="31"/>
      <c r="AC123" s="33"/>
      <c r="AE123" s="31"/>
      <c r="AF123" s="36"/>
      <c r="AG123" s="33"/>
      <c r="AH123" s="31"/>
      <c r="AI123" s="33"/>
    </row>
    <row r="124" customFormat="false" ht="15.75" hidden="false" customHeight="true" outlineLevel="0" collapsed="false">
      <c r="P124" s="31"/>
      <c r="Q124" s="36"/>
      <c r="R124" s="31"/>
      <c r="S124" s="31"/>
      <c r="T124" s="31"/>
      <c r="U124" s="31"/>
      <c r="V124" s="33"/>
      <c r="W124" s="33"/>
      <c r="Y124" s="31"/>
      <c r="Z124" s="36"/>
      <c r="AA124" s="33"/>
      <c r="AB124" s="31"/>
      <c r="AC124" s="33"/>
      <c r="AE124" s="31"/>
      <c r="AF124" s="36"/>
      <c r="AG124" s="33"/>
      <c r="AH124" s="31"/>
      <c r="AI124" s="33"/>
    </row>
    <row r="125" customFormat="false" ht="15.75" hidden="false" customHeight="true" outlineLevel="0" collapsed="false">
      <c r="P125" s="31"/>
      <c r="Q125" s="36"/>
      <c r="R125" s="31"/>
      <c r="S125" s="31"/>
      <c r="T125" s="31"/>
      <c r="U125" s="31"/>
      <c r="V125" s="33"/>
      <c r="W125" s="33"/>
      <c r="Y125" s="31"/>
      <c r="Z125" s="36"/>
      <c r="AA125" s="33"/>
      <c r="AB125" s="31"/>
      <c r="AC125" s="33"/>
      <c r="AE125" s="31"/>
      <c r="AF125" s="36"/>
      <c r="AG125" s="33"/>
      <c r="AH125" s="31"/>
      <c r="AI125" s="33"/>
    </row>
    <row r="126" customFormat="false" ht="15.75" hidden="false" customHeight="true" outlineLevel="0" collapsed="false">
      <c r="P126" s="31"/>
      <c r="Q126" s="36"/>
      <c r="R126" s="31"/>
      <c r="S126" s="31"/>
      <c r="T126" s="31"/>
      <c r="U126" s="31"/>
      <c r="V126" s="33"/>
      <c r="W126" s="33"/>
      <c r="Y126" s="31"/>
      <c r="Z126" s="36"/>
      <c r="AA126" s="33"/>
      <c r="AB126" s="31"/>
      <c r="AC126" s="33"/>
      <c r="AE126" s="31"/>
      <c r="AF126" s="36"/>
      <c r="AG126" s="33"/>
      <c r="AH126" s="31"/>
      <c r="AI126" s="33"/>
    </row>
    <row r="127" customFormat="false" ht="15.75" hidden="false" customHeight="true" outlineLevel="0" collapsed="false">
      <c r="P127" s="31"/>
      <c r="Q127" s="36"/>
      <c r="R127" s="31"/>
      <c r="S127" s="31"/>
      <c r="T127" s="31"/>
      <c r="U127" s="31"/>
      <c r="V127" s="33"/>
      <c r="W127" s="33"/>
      <c r="Y127" s="31"/>
      <c r="Z127" s="36"/>
      <c r="AA127" s="33"/>
      <c r="AB127" s="31"/>
      <c r="AC127" s="33"/>
      <c r="AE127" s="31"/>
      <c r="AF127" s="36"/>
      <c r="AG127" s="33"/>
      <c r="AH127" s="31"/>
      <c r="AI127" s="33"/>
    </row>
    <row r="128" customFormat="false" ht="15.75" hidden="false" customHeight="true" outlineLevel="0" collapsed="false">
      <c r="P128" s="31"/>
      <c r="Q128" s="36"/>
      <c r="R128" s="31"/>
      <c r="S128" s="31"/>
      <c r="T128" s="31"/>
      <c r="U128" s="31"/>
      <c r="V128" s="33"/>
      <c r="W128" s="33"/>
      <c r="Y128" s="31"/>
      <c r="Z128" s="36"/>
      <c r="AA128" s="33"/>
      <c r="AB128" s="31"/>
      <c r="AC128" s="33"/>
      <c r="AE128" s="31"/>
      <c r="AF128" s="36"/>
      <c r="AG128" s="33"/>
      <c r="AH128" s="31"/>
      <c r="AI128" s="33"/>
    </row>
    <row r="129" customFormat="false" ht="15.75" hidden="false" customHeight="true" outlineLevel="0" collapsed="false">
      <c r="P129" s="31"/>
      <c r="Q129" s="36"/>
      <c r="R129" s="31"/>
      <c r="S129" s="31"/>
      <c r="T129" s="31"/>
      <c r="U129" s="31"/>
      <c r="V129" s="33"/>
      <c r="W129" s="33"/>
      <c r="Y129" s="31"/>
      <c r="Z129" s="36"/>
      <c r="AA129" s="33"/>
      <c r="AB129" s="31"/>
      <c r="AC129" s="33"/>
      <c r="AE129" s="31"/>
      <c r="AF129" s="36"/>
      <c r="AG129" s="33"/>
      <c r="AH129" s="31"/>
      <c r="AI129" s="33"/>
    </row>
    <row r="130" customFormat="false" ht="15.75" hidden="false" customHeight="true" outlineLevel="0" collapsed="false">
      <c r="P130" s="31"/>
      <c r="Q130" s="36"/>
      <c r="R130" s="31"/>
      <c r="S130" s="31"/>
      <c r="T130" s="31"/>
      <c r="U130" s="31"/>
      <c r="V130" s="33"/>
      <c r="W130" s="33"/>
      <c r="Y130" s="31"/>
      <c r="Z130" s="36"/>
      <c r="AA130" s="33"/>
      <c r="AB130" s="31"/>
      <c r="AC130" s="33"/>
      <c r="AE130" s="31"/>
      <c r="AF130" s="36"/>
      <c r="AG130" s="33"/>
      <c r="AH130" s="31"/>
      <c r="AI130" s="33"/>
    </row>
    <row r="131" customFormat="false" ht="15.75" hidden="false" customHeight="true" outlineLevel="0" collapsed="false">
      <c r="P131" s="31"/>
      <c r="Q131" s="36"/>
      <c r="R131" s="31"/>
      <c r="S131" s="31"/>
      <c r="T131" s="31"/>
      <c r="U131" s="31"/>
      <c r="V131" s="33"/>
      <c r="W131" s="33"/>
      <c r="Y131" s="31"/>
      <c r="Z131" s="36"/>
      <c r="AA131" s="33"/>
      <c r="AB131" s="31"/>
      <c r="AC131" s="33"/>
      <c r="AE131" s="31"/>
      <c r="AF131" s="36"/>
      <c r="AG131" s="33"/>
      <c r="AH131" s="31"/>
      <c r="AI131" s="33"/>
    </row>
    <row r="132" customFormat="false" ht="15.75" hidden="false" customHeight="true" outlineLevel="0" collapsed="false">
      <c r="P132" s="31"/>
      <c r="Q132" s="36"/>
      <c r="R132" s="31"/>
      <c r="S132" s="31"/>
      <c r="T132" s="31"/>
      <c r="U132" s="31"/>
      <c r="V132" s="33"/>
      <c r="W132" s="33"/>
      <c r="Y132" s="31"/>
      <c r="Z132" s="36"/>
      <c r="AA132" s="33"/>
      <c r="AB132" s="31"/>
      <c r="AC132" s="33"/>
      <c r="AE132" s="31"/>
      <c r="AF132" s="36"/>
      <c r="AG132" s="33"/>
      <c r="AH132" s="31"/>
      <c r="AI132" s="33"/>
    </row>
    <row r="133" customFormat="false" ht="15.75" hidden="false" customHeight="true" outlineLevel="0" collapsed="false">
      <c r="P133" s="31"/>
      <c r="Q133" s="36"/>
      <c r="R133" s="31"/>
      <c r="S133" s="31"/>
      <c r="T133" s="31"/>
      <c r="U133" s="31"/>
      <c r="V133" s="33"/>
      <c r="W133" s="33"/>
      <c r="Y133" s="31"/>
      <c r="Z133" s="36"/>
      <c r="AA133" s="33"/>
      <c r="AB133" s="31"/>
      <c r="AC133" s="33"/>
      <c r="AE133" s="31"/>
      <c r="AF133" s="36"/>
      <c r="AG133" s="33"/>
      <c r="AH133" s="31"/>
      <c r="AI133" s="33"/>
    </row>
    <row r="134" customFormat="false" ht="15.75" hidden="false" customHeight="true" outlineLevel="0" collapsed="false">
      <c r="P134" s="31"/>
      <c r="Q134" s="36"/>
      <c r="R134" s="31"/>
      <c r="S134" s="31"/>
      <c r="T134" s="31"/>
      <c r="U134" s="31"/>
      <c r="V134" s="33"/>
      <c r="W134" s="33"/>
      <c r="Y134" s="31"/>
      <c r="Z134" s="36"/>
      <c r="AA134" s="33"/>
      <c r="AB134" s="31"/>
      <c r="AC134" s="33"/>
      <c r="AE134" s="31"/>
      <c r="AF134" s="36"/>
      <c r="AG134" s="33"/>
      <c r="AH134" s="31"/>
      <c r="AI134" s="33"/>
    </row>
    <row r="135" customFormat="false" ht="15.75" hidden="false" customHeight="true" outlineLevel="0" collapsed="false">
      <c r="P135" s="31"/>
      <c r="Q135" s="36"/>
      <c r="R135" s="31"/>
      <c r="S135" s="31"/>
      <c r="T135" s="31"/>
      <c r="U135" s="31"/>
      <c r="V135" s="33"/>
      <c r="W135" s="33"/>
      <c r="Y135" s="31"/>
      <c r="Z135" s="36"/>
      <c r="AA135" s="33"/>
      <c r="AB135" s="31"/>
      <c r="AC135" s="33"/>
      <c r="AE135" s="31"/>
      <c r="AF135" s="36"/>
      <c r="AG135" s="33"/>
      <c r="AH135" s="31"/>
      <c r="AI135" s="33"/>
    </row>
    <row r="136" customFormat="false" ht="15.75" hidden="false" customHeight="true" outlineLevel="0" collapsed="false">
      <c r="P136" s="31"/>
      <c r="Q136" s="36"/>
      <c r="R136" s="31"/>
      <c r="S136" s="31"/>
      <c r="T136" s="31"/>
      <c r="U136" s="31"/>
      <c r="V136" s="33"/>
      <c r="W136" s="33"/>
      <c r="Y136" s="31"/>
      <c r="Z136" s="36"/>
      <c r="AA136" s="33"/>
      <c r="AB136" s="31"/>
      <c r="AC136" s="33"/>
      <c r="AE136" s="31"/>
      <c r="AF136" s="36"/>
      <c r="AG136" s="33"/>
      <c r="AH136" s="31"/>
      <c r="AI136" s="33"/>
    </row>
    <row r="137" customFormat="false" ht="15.75" hidden="false" customHeight="true" outlineLevel="0" collapsed="false">
      <c r="P137" s="31"/>
      <c r="Q137" s="36"/>
      <c r="R137" s="31"/>
      <c r="S137" s="31"/>
      <c r="T137" s="31"/>
      <c r="U137" s="31"/>
      <c r="V137" s="33"/>
      <c r="W137" s="33"/>
      <c r="Y137" s="31"/>
      <c r="Z137" s="36"/>
      <c r="AA137" s="33"/>
      <c r="AB137" s="31"/>
      <c r="AC137" s="33"/>
      <c r="AE137" s="31"/>
      <c r="AF137" s="36"/>
      <c r="AG137" s="33"/>
      <c r="AH137" s="31"/>
      <c r="AI137" s="33"/>
    </row>
    <row r="138" customFormat="false" ht="15.75" hidden="false" customHeight="true" outlineLevel="0" collapsed="false">
      <c r="P138" s="31"/>
      <c r="Q138" s="36"/>
      <c r="R138" s="31"/>
      <c r="S138" s="31"/>
      <c r="T138" s="31"/>
      <c r="U138" s="31"/>
      <c r="V138" s="33"/>
      <c r="W138" s="33"/>
      <c r="Y138" s="31"/>
      <c r="Z138" s="36"/>
      <c r="AA138" s="33"/>
      <c r="AB138" s="31"/>
      <c r="AC138" s="33"/>
      <c r="AE138" s="31"/>
      <c r="AF138" s="36"/>
      <c r="AG138" s="33"/>
      <c r="AH138" s="31"/>
      <c r="AI138" s="33"/>
    </row>
    <row r="139" customFormat="false" ht="15.75" hidden="false" customHeight="true" outlineLevel="0" collapsed="false">
      <c r="P139" s="31"/>
      <c r="Q139" s="36"/>
      <c r="R139" s="31"/>
      <c r="S139" s="31"/>
      <c r="T139" s="31"/>
      <c r="U139" s="31"/>
      <c r="V139" s="33"/>
      <c r="W139" s="33"/>
      <c r="Y139" s="31"/>
      <c r="Z139" s="36"/>
      <c r="AA139" s="33"/>
      <c r="AB139" s="31"/>
      <c r="AC139" s="33"/>
      <c r="AE139" s="31"/>
      <c r="AF139" s="36"/>
      <c r="AG139" s="33"/>
      <c r="AH139" s="31"/>
      <c r="AI139" s="33"/>
    </row>
    <row r="140" customFormat="false" ht="15.75" hidden="false" customHeight="true" outlineLevel="0" collapsed="false">
      <c r="P140" s="31"/>
      <c r="Q140" s="36"/>
      <c r="R140" s="31"/>
      <c r="S140" s="31"/>
      <c r="T140" s="31"/>
      <c r="U140" s="31"/>
      <c r="V140" s="33"/>
      <c r="W140" s="33"/>
      <c r="Y140" s="31"/>
      <c r="Z140" s="36"/>
      <c r="AA140" s="33"/>
      <c r="AB140" s="31"/>
      <c r="AC140" s="33"/>
      <c r="AE140" s="31"/>
      <c r="AF140" s="36"/>
      <c r="AG140" s="33"/>
      <c r="AH140" s="31"/>
      <c r="AI140" s="33"/>
    </row>
    <row r="141" customFormat="false" ht="15.75" hidden="false" customHeight="true" outlineLevel="0" collapsed="false">
      <c r="P141" s="31"/>
      <c r="Q141" s="36"/>
      <c r="R141" s="31"/>
      <c r="S141" s="31"/>
      <c r="T141" s="31"/>
      <c r="U141" s="31"/>
      <c r="V141" s="33"/>
      <c r="W141" s="33"/>
      <c r="Y141" s="31"/>
      <c r="Z141" s="36"/>
      <c r="AA141" s="33"/>
      <c r="AB141" s="31"/>
      <c r="AC141" s="33"/>
      <c r="AE141" s="31"/>
      <c r="AF141" s="36"/>
      <c r="AG141" s="33"/>
      <c r="AH141" s="31"/>
      <c r="AI141" s="33"/>
    </row>
    <row r="142" customFormat="false" ht="15.75" hidden="false" customHeight="true" outlineLevel="0" collapsed="false">
      <c r="P142" s="31"/>
      <c r="Q142" s="36"/>
      <c r="R142" s="31"/>
      <c r="S142" s="31"/>
      <c r="T142" s="31"/>
      <c r="U142" s="31"/>
      <c r="V142" s="33"/>
      <c r="W142" s="33"/>
      <c r="Y142" s="31"/>
      <c r="Z142" s="36"/>
      <c r="AA142" s="33"/>
      <c r="AB142" s="31"/>
      <c r="AC142" s="33"/>
      <c r="AE142" s="31"/>
      <c r="AF142" s="36"/>
      <c r="AG142" s="33"/>
      <c r="AH142" s="31"/>
      <c r="AI142" s="33"/>
    </row>
    <row r="143" customFormat="false" ht="15.75" hidden="false" customHeight="true" outlineLevel="0" collapsed="false">
      <c r="P143" s="31"/>
      <c r="Q143" s="36"/>
      <c r="R143" s="31"/>
      <c r="S143" s="31"/>
      <c r="T143" s="31"/>
      <c r="U143" s="31"/>
      <c r="V143" s="33"/>
      <c r="W143" s="33"/>
      <c r="Y143" s="31"/>
      <c r="Z143" s="36"/>
      <c r="AA143" s="33"/>
      <c r="AB143" s="31"/>
      <c r="AC143" s="33"/>
      <c r="AE143" s="31"/>
      <c r="AF143" s="36"/>
      <c r="AG143" s="33"/>
      <c r="AH143" s="31"/>
      <c r="AI143" s="33"/>
    </row>
    <row r="144" customFormat="false" ht="15.75" hidden="false" customHeight="true" outlineLevel="0" collapsed="false">
      <c r="P144" s="31"/>
      <c r="Q144" s="36"/>
      <c r="R144" s="31"/>
      <c r="S144" s="31"/>
      <c r="T144" s="31"/>
      <c r="U144" s="31"/>
      <c r="V144" s="33"/>
      <c r="W144" s="33"/>
      <c r="Y144" s="31"/>
      <c r="Z144" s="36"/>
      <c r="AA144" s="33"/>
      <c r="AB144" s="31"/>
      <c r="AC144" s="33"/>
      <c r="AE144" s="31"/>
      <c r="AF144" s="36"/>
      <c r="AG144" s="33"/>
      <c r="AH144" s="31"/>
      <c r="AI144" s="33"/>
    </row>
    <row r="145" customFormat="false" ht="15.75" hidden="false" customHeight="true" outlineLevel="0" collapsed="false">
      <c r="P145" s="31"/>
      <c r="Q145" s="36"/>
      <c r="R145" s="31"/>
      <c r="S145" s="31"/>
      <c r="T145" s="31"/>
      <c r="U145" s="31"/>
      <c r="V145" s="33"/>
      <c r="W145" s="33"/>
      <c r="Y145" s="31"/>
      <c r="Z145" s="36"/>
      <c r="AA145" s="33"/>
      <c r="AB145" s="31"/>
      <c r="AC145" s="33"/>
      <c r="AE145" s="31"/>
      <c r="AF145" s="36"/>
      <c r="AG145" s="33"/>
      <c r="AH145" s="31"/>
      <c r="AI145" s="33"/>
    </row>
    <row r="146" customFormat="false" ht="15.75" hidden="false" customHeight="true" outlineLevel="0" collapsed="false">
      <c r="P146" s="31"/>
      <c r="Q146" s="36"/>
      <c r="R146" s="31"/>
      <c r="S146" s="31"/>
      <c r="T146" s="31"/>
      <c r="U146" s="31"/>
      <c r="V146" s="33"/>
      <c r="W146" s="33"/>
      <c r="Y146" s="31"/>
      <c r="Z146" s="36"/>
      <c r="AA146" s="33"/>
      <c r="AB146" s="31"/>
      <c r="AC146" s="33"/>
      <c r="AE146" s="31"/>
      <c r="AF146" s="36"/>
      <c r="AG146" s="33"/>
      <c r="AH146" s="31"/>
      <c r="AI146" s="33"/>
    </row>
    <row r="147" customFormat="false" ht="15.75" hidden="false" customHeight="true" outlineLevel="0" collapsed="false">
      <c r="P147" s="31"/>
      <c r="Q147" s="36"/>
      <c r="R147" s="31"/>
      <c r="S147" s="31"/>
      <c r="T147" s="31"/>
      <c r="U147" s="31"/>
      <c r="V147" s="33"/>
      <c r="W147" s="33"/>
      <c r="Y147" s="31"/>
      <c r="Z147" s="36"/>
      <c r="AA147" s="33"/>
      <c r="AB147" s="31"/>
      <c r="AC147" s="33"/>
      <c r="AE147" s="31"/>
      <c r="AF147" s="36"/>
      <c r="AG147" s="33"/>
      <c r="AH147" s="31"/>
      <c r="AI147" s="33"/>
    </row>
    <row r="148" customFormat="false" ht="15.75" hidden="false" customHeight="true" outlineLevel="0" collapsed="false">
      <c r="P148" s="31"/>
      <c r="Q148" s="36"/>
      <c r="R148" s="31"/>
      <c r="S148" s="31"/>
      <c r="T148" s="31"/>
      <c r="U148" s="31"/>
      <c r="V148" s="33"/>
      <c r="W148" s="33"/>
      <c r="Y148" s="31"/>
      <c r="Z148" s="36"/>
      <c r="AA148" s="33"/>
      <c r="AB148" s="31"/>
      <c r="AC148" s="33"/>
      <c r="AE148" s="31"/>
      <c r="AF148" s="36"/>
      <c r="AG148" s="33"/>
      <c r="AH148" s="31"/>
      <c r="AI148" s="33"/>
    </row>
    <row r="149" customFormat="false" ht="15.75" hidden="false" customHeight="true" outlineLevel="0" collapsed="false">
      <c r="P149" s="31"/>
      <c r="Q149" s="36"/>
      <c r="R149" s="31"/>
      <c r="S149" s="31"/>
      <c r="T149" s="31"/>
      <c r="U149" s="31"/>
      <c r="V149" s="33"/>
      <c r="W149" s="33"/>
      <c r="Y149" s="31"/>
      <c r="Z149" s="36"/>
      <c r="AA149" s="33"/>
      <c r="AB149" s="31"/>
      <c r="AC149" s="33"/>
      <c r="AE149" s="31"/>
      <c r="AF149" s="36"/>
      <c r="AG149" s="33"/>
      <c r="AH149" s="31"/>
      <c r="AI149" s="33"/>
    </row>
    <row r="150" customFormat="false" ht="15.75" hidden="false" customHeight="true" outlineLevel="0" collapsed="false">
      <c r="P150" s="31"/>
      <c r="Q150" s="36"/>
      <c r="R150" s="31"/>
      <c r="S150" s="31"/>
      <c r="T150" s="31"/>
      <c r="U150" s="31"/>
      <c r="V150" s="33"/>
      <c r="W150" s="33"/>
      <c r="Y150" s="31"/>
      <c r="Z150" s="36"/>
      <c r="AA150" s="33"/>
      <c r="AB150" s="31"/>
      <c r="AC150" s="33"/>
      <c r="AE150" s="31"/>
      <c r="AF150" s="36"/>
      <c r="AG150" s="33"/>
      <c r="AH150" s="31"/>
      <c r="AI150" s="33"/>
    </row>
    <row r="151" customFormat="false" ht="15.75" hidden="false" customHeight="true" outlineLevel="0" collapsed="false">
      <c r="P151" s="31"/>
      <c r="Q151" s="36"/>
      <c r="R151" s="31"/>
      <c r="S151" s="31"/>
      <c r="T151" s="31"/>
      <c r="U151" s="31"/>
      <c r="V151" s="33"/>
      <c r="W151" s="33"/>
      <c r="Y151" s="31"/>
      <c r="Z151" s="36"/>
      <c r="AA151" s="33"/>
      <c r="AB151" s="31"/>
      <c r="AC151" s="33"/>
      <c r="AE151" s="31"/>
      <c r="AF151" s="36"/>
      <c r="AG151" s="33"/>
      <c r="AH151" s="31"/>
      <c r="AI151" s="33"/>
    </row>
    <row r="152" customFormat="false" ht="15.75" hidden="false" customHeight="true" outlineLevel="0" collapsed="false">
      <c r="P152" s="31"/>
      <c r="Q152" s="36"/>
      <c r="R152" s="31"/>
      <c r="S152" s="31"/>
      <c r="T152" s="31"/>
      <c r="U152" s="31"/>
      <c r="V152" s="33"/>
      <c r="W152" s="33"/>
      <c r="Y152" s="31"/>
      <c r="Z152" s="36"/>
      <c r="AA152" s="33"/>
      <c r="AB152" s="31"/>
      <c r="AC152" s="33"/>
      <c r="AE152" s="31"/>
      <c r="AF152" s="36"/>
      <c r="AG152" s="33"/>
      <c r="AH152" s="31"/>
      <c r="AI152" s="33"/>
    </row>
    <row r="153" customFormat="false" ht="15.75" hidden="false" customHeight="true" outlineLevel="0" collapsed="false">
      <c r="P153" s="31"/>
      <c r="Q153" s="36"/>
      <c r="R153" s="31"/>
      <c r="S153" s="31"/>
      <c r="T153" s="31"/>
      <c r="U153" s="31"/>
      <c r="V153" s="33"/>
      <c r="W153" s="33"/>
      <c r="Y153" s="31"/>
      <c r="Z153" s="36"/>
      <c r="AA153" s="33"/>
      <c r="AB153" s="31"/>
      <c r="AC153" s="33"/>
      <c r="AE153" s="31"/>
      <c r="AF153" s="36"/>
      <c r="AG153" s="33"/>
      <c r="AH153" s="31"/>
      <c r="AI153" s="33"/>
    </row>
    <row r="154" customFormat="false" ht="15.75" hidden="false" customHeight="true" outlineLevel="0" collapsed="false">
      <c r="P154" s="31"/>
      <c r="Q154" s="36"/>
      <c r="R154" s="31"/>
      <c r="S154" s="31"/>
      <c r="T154" s="31"/>
      <c r="U154" s="31"/>
      <c r="V154" s="33"/>
      <c r="W154" s="33"/>
      <c r="Y154" s="31"/>
      <c r="Z154" s="36"/>
      <c r="AA154" s="33"/>
      <c r="AB154" s="31"/>
      <c r="AC154" s="33"/>
      <c r="AE154" s="31"/>
      <c r="AF154" s="36"/>
      <c r="AG154" s="33"/>
      <c r="AH154" s="31"/>
      <c r="AI154" s="33"/>
    </row>
    <row r="155" customFormat="false" ht="15.75" hidden="false" customHeight="true" outlineLevel="0" collapsed="false">
      <c r="P155" s="31"/>
      <c r="Q155" s="36"/>
      <c r="R155" s="31"/>
      <c r="S155" s="31"/>
      <c r="T155" s="31"/>
      <c r="U155" s="31"/>
      <c r="V155" s="33"/>
      <c r="W155" s="33"/>
      <c r="Y155" s="31"/>
      <c r="Z155" s="36"/>
      <c r="AA155" s="33"/>
      <c r="AB155" s="31"/>
      <c r="AC155" s="33"/>
      <c r="AE155" s="31"/>
      <c r="AF155" s="36"/>
      <c r="AG155" s="33"/>
      <c r="AH155" s="31"/>
      <c r="AI155" s="33"/>
    </row>
    <row r="156" customFormat="false" ht="15.75" hidden="false" customHeight="true" outlineLevel="0" collapsed="false">
      <c r="P156" s="31"/>
      <c r="Q156" s="36"/>
      <c r="R156" s="31"/>
      <c r="S156" s="31"/>
      <c r="T156" s="31"/>
      <c r="U156" s="31"/>
      <c r="V156" s="33"/>
      <c r="W156" s="33"/>
    </row>
    <row r="157" customFormat="false" ht="15.75" hidden="false" customHeight="true" outlineLevel="0" collapsed="false">
      <c r="P157" s="31"/>
      <c r="Q157" s="36"/>
      <c r="R157" s="31"/>
      <c r="S157" s="31"/>
      <c r="T157" s="31"/>
      <c r="U157" s="31"/>
      <c r="V157" s="33"/>
      <c r="W157" s="33"/>
    </row>
    <row r="158" customFormat="false" ht="15.75" hidden="false" customHeight="true" outlineLevel="0" collapsed="false">
      <c r="P158" s="31"/>
      <c r="Q158" s="36"/>
      <c r="R158" s="31"/>
      <c r="S158" s="31"/>
      <c r="T158" s="31"/>
      <c r="U158" s="31"/>
      <c r="V158" s="33"/>
      <c r="W158" s="33"/>
    </row>
    <row r="159" customFormat="false" ht="15.75" hidden="false" customHeight="true" outlineLevel="0" collapsed="false">
      <c r="P159" s="31"/>
      <c r="Q159" s="36"/>
      <c r="R159" s="31"/>
      <c r="S159" s="31"/>
      <c r="T159" s="31"/>
      <c r="U159" s="31"/>
      <c r="V159" s="33"/>
      <c r="W159" s="33"/>
    </row>
    <row r="160" customFormat="false" ht="15.75" hidden="false" customHeight="true" outlineLevel="0" collapsed="false">
      <c r="P160" s="31"/>
      <c r="Q160" s="36"/>
      <c r="R160" s="31"/>
      <c r="S160" s="31"/>
      <c r="T160" s="31"/>
      <c r="U160" s="31"/>
      <c r="V160" s="33"/>
      <c r="W160" s="33"/>
    </row>
    <row r="161" customFormat="false" ht="15.75" hidden="false" customHeight="true" outlineLevel="0" collapsed="false">
      <c r="P161" s="31"/>
      <c r="Q161" s="36"/>
      <c r="R161" s="31"/>
      <c r="S161" s="31"/>
      <c r="T161" s="31"/>
      <c r="U161" s="31"/>
      <c r="V161" s="33"/>
      <c r="W161" s="33"/>
    </row>
    <row r="162" customFormat="false" ht="15.75" hidden="false" customHeight="true" outlineLevel="0" collapsed="false">
      <c r="P162" s="31"/>
      <c r="Q162" s="36"/>
      <c r="R162" s="31"/>
      <c r="S162" s="31"/>
      <c r="T162" s="31"/>
      <c r="U162" s="31"/>
      <c r="V162" s="33"/>
      <c r="W162" s="33"/>
    </row>
    <row r="163" customFormat="false" ht="15.75" hidden="false" customHeight="true" outlineLevel="0" collapsed="false">
      <c r="P163" s="31"/>
      <c r="Q163" s="36"/>
      <c r="R163" s="31"/>
      <c r="S163" s="31"/>
      <c r="T163" s="31"/>
      <c r="U163" s="31"/>
      <c r="V163" s="33"/>
      <c r="W163" s="33"/>
    </row>
    <row r="164" customFormat="false" ht="15.75" hidden="false" customHeight="true" outlineLevel="0" collapsed="false">
      <c r="P164" s="31"/>
      <c r="Q164" s="36"/>
      <c r="R164" s="31"/>
      <c r="S164" s="31"/>
      <c r="T164" s="31"/>
      <c r="U164" s="31"/>
      <c r="V164" s="33"/>
      <c r="W164" s="33"/>
    </row>
    <row r="165" customFormat="false" ht="15.75" hidden="false" customHeight="true" outlineLevel="0" collapsed="false">
      <c r="P165" s="31"/>
      <c r="Q165" s="36"/>
      <c r="R165" s="31"/>
      <c r="S165" s="31"/>
      <c r="T165" s="31"/>
      <c r="U165" s="31"/>
      <c r="V165" s="33"/>
      <c r="W165" s="33"/>
    </row>
    <row r="166" customFormat="false" ht="15.75" hidden="false" customHeight="true" outlineLevel="0" collapsed="false">
      <c r="P166" s="31"/>
      <c r="Q166" s="36"/>
      <c r="R166" s="31"/>
      <c r="S166" s="31"/>
      <c r="T166" s="31"/>
      <c r="U166" s="31"/>
      <c r="V166" s="33"/>
      <c r="W166" s="33"/>
    </row>
    <row r="167" customFormat="false" ht="15.75" hidden="false" customHeight="true" outlineLevel="0" collapsed="false">
      <c r="P167" s="31"/>
      <c r="Q167" s="36"/>
      <c r="R167" s="31"/>
      <c r="S167" s="31"/>
      <c r="T167" s="31"/>
      <c r="U167" s="31"/>
      <c r="V167" s="33"/>
      <c r="W167" s="33"/>
    </row>
    <row r="168" customFormat="false" ht="15.75" hidden="false" customHeight="true" outlineLevel="0" collapsed="false">
      <c r="P168" s="31"/>
      <c r="Q168" s="36"/>
      <c r="R168" s="31"/>
      <c r="S168" s="31"/>
      <c r="T168" s="31"/>
      <c r="U168" s="31"/>
      <c r="V168" s="33"/>
      <c r="W168" s="33"/>
    </row>
    <row r="169" customFormat="false" ht="15.75" hidden="false" customHeight="true" outlineLevel="0" collapsed="false">
      <c r="P169" s="31"/>
      <c r="Q169" s="36"/>
      <c r="R169" s="31"/>
      <c r="S169" s="31"/>
      <c r="T169" s="31"/>
      <c r="U169" s="31"/>
      <c r="V169" s="33"/>
      <c r="W169" s="33"/>
    </row>
    <row r="170" customFormat="false" ht="15.75" hidden="false" customHeight="true" outlineLevel="0" collapsed="false">
      <c r="P170" s="31"/>
      <c r="Q170" s="36"/>
      <c r="R170" s="31"/>
      <c r="S170" s="31"/>
      <c r="T170" s="31"/>
      <c r="U170" s="31"/>
      <c r="V170" s="33"/>
      <c r="W170" s="33"/>
    </row>
    <row r="171" customFormat="false" ht="15.75" hidden="false" customHeight="true" outlineLevel="0" collapsed="false">
      <c r="P171" s="31"/>
      <c r="Q171" s="36"/>
      <c r="R171" s="31"/>
      <c r="S171" s="31"/>
      <c r="T171" s="31"/>
      <c r="U171" s="31"/>
      <c r="V171" s="33"/>
      <c r="W171" s="33"/>
    </row>
    <row r="172" customFormat="false" ht="15.75" hidden="false" customHeight="true" outlineLevel="0" collapsed="false">
      <c r="P172" s="31"/>
      <c r="Q172" s="36"/>
      <c r="R172" s="31"/>
      <c r="S172" s="31"/>
      <c r="T172" s="31"/>
      <c r="U172" s="31"/>
      <c r="V172" s="33"/>
      <c r="W172" s="33"/>
    </row>
    <row r="173" customFormat="false" ht="15.75" hidden="false" customHeight="true" outlineLevel="0" collapsed="false">
      <c r="P173" s="31"/>
      <c r="Q173" s="36"/>
      <c r="R173" s="31"/>
      <c r="S173" s="31"/>
      <c r="T173" s="31"/>
      <c r="U173" s="31"/>
      <c r="V173" s="33"/>
      <c r="W173" s="33"/>
    </row>
    <row r="174" customFormat="false" ht="15.75" hidden="false" customHeight="true" outlineLevel="0" collapsed="false">
      <c r="P174" s="31"/>
      <c r="Q174" s="36"/>
      <c r="R174" s="31"/>
      <c r="S174" s="31"/>
      <c r="T174" s="31"/>
      <c r="U174" s="31"/>
      <c r="V174" s="33"/>
      <c r="W174" s="33"/>
    </row>
    <row r="175" customFormat="false" ht="15.75" hidden="false" customHeight="true" outlineLevel="0" collapsed="false">
      <c r="P175" s="31"/>
      <c r="Q175" s="36"/>
      <c r="R175" s="31"/>
      <c r="S175" s="31"/>
      <c r="T175" s="31"/>
      <c r="U175" s="31"/>
      <c r="V175" s="33"/>
      <c r="W175" s="33"/>
    </row>
    <row r="176" customFormat="false" ht="15.75" hidden="false" customHeight="true" outlineLevel="0" collapsed="false">
      <c r="P176" s="31"/>
      <c r="Q176" s="36"/>
      <c r="R176" s="31"/>
      <c r="S176" s="31"/>
      <c r="T176" s="31"/>
      <c r="U176" s="31"/>
      <c r="V176" s="33"/>
      <c r="W176" s="33"/>
    </row>
    <row r="177" customFormat="false" ht="15.75" hidden="false" customHeight="true" outlineLevel="0" collapsed="false">
      <c r="P177" s="31"/>
      <c r="Q177" s="36"/>
      <c r="R177" s="31"/>
      <c r="S177" s="31"/>
      <c r="T177" s="31"/>
      <c r="U177" s="31"/>
      <c r="V177" s="33"/>
      <c r="W177" s="33"/>
    </row>
    <row r="178" customFormat="false" ht="15.75" hidden="false" customHeight="true" outlineLevel="0" collapsed="false">
      <c r="P178" s="31"/>
      <c r="Q178" s="36"/>
      <c r="R178" s="31"/>
      <c r="S178" s="31"/>
      <c r="T178" s="31"/>
      <c r="U178" s="31"/>
      <c r="V178" s="33"/>
      <c r="W178" s="33"/>
    </row>
    <row r="179" customFormat="false" ht="15.75" hidden="false" customHeight="true" outlineLevel="0" collapsed="false">
      <c r="P179" s="31"/>
      <c r="Q179" s="36"/>
      <c r="R179" s="31"/>
      <c r="S179" s="31"/>
      <c r="T179" s="31"/>
      <c r="U179" s="31"/>
      <c r="V179" s="33"/>
      <c r="W179" s="33"/>
    </row>
    <row r="180" customFormat="false" ht="15.75" hidden="false" customHeight="true" outlineLevel="0" collapsed="false">
      <c r="P180" s="31"/>
      <c r="Q180" s="36"/>
      <c r="R180" s="31"/>
      <c r="S180" s="31"/>
      <c r="T180" s="31"/>
      <c r="U180" s="31"/>
      <c r="V180" s="33"/>
      <c r="W180" s="33"/>
    </row>
    <row r="181" customFormat="false" ht="15.75" hidden="false" customHeight="true" outlineLevel="0" collapsed="false">
      <c r="P181" s="31"/>
      <c r="Q181" s="36"/>
      <c r="R181" s="31"/>
      <c r="S181" s="31"/>
      <c r="T181" s="31"/>
      <c r="U181" s="31"/>
      <c r="V181" s="33"/>
      <c r="W181" s="33"/>
    </row>
    <row r="182" customFormat="false" ht="15.75" hidden="false" customHeight="true" outlineLevel="0" collapsed="false">
      <c r="P182" s="31"/>
      <c r="Q182" s="36"/>
      <c r="R182" s="31"/>
      <c r="S182" s="31"/>
      <c r="T182" s="31"/>
      <c r="U182" s="31"/>
      <c r="V182" s="33"/>
      <c r="W182" s="33"/>
    </row>
    <row r="183" customFormat="false" ht="15.75" hidden="false" customHeight="true" outlineLevel="0" collapsed="false">
      <c r="P183" s="31"/>
      <c r="Q183" s="36"/>
      <c r="R183" s="31"/>
      <c r="S183" s="31"/>
      <c r="T183" s="31"/>
      <c r="U183" s="31"/>
      <c r="V183" s="33"/>
      <c r="W183" s="33"/>
    </row>
    <row r="184" customFormat="false" ht="15.75" hidden="false" customHeight="true" outlineLevel="0" collapsed="false">
      <c r="P184" s="31"/>
      <c r="Q184" s="36"/>
      <c r="R184" s="31"/>
      <c r="S184" s="31"/>
      <c r="T184" s="31"/>
      <c r="U184" s="31"/>
      <c r="V184" s="33"/>
      <c r="W184" s="33"/>
    </row>
    <row r="185" customFormat="false" ht="15.75" hidden="false" customHeight="true" outlineLevel="0" collapsed="false">
      <c r="P185" s="31"/>
      <c r="Q185" s="36"/>
      <c r="R185" s="31"/>
      <c r="S185" s="31"/>
      <c r="T185" s="31"/>
      <c r="U185" s="31"/>
      <c r="V185" s="33"/>
      <c r="W185" s="33"/>
    </row>
    <row r="186" customFormat="false" ht="15.75" hidden="false" customHeight="true" outlineLevel="0" collapsed="false">
      <c r="P186" s="31"/>
      <c r="Q186" s="36"/>
      <c r="R186" s="31"/>
      <c r="S186" s="31"/>
      <c r="T186" s="31"/>
      <c r="U186" s="31"/>
      <c r="V186" s="33"/>
      <c r="W186" s="33"/>
    </row>
    <row r="187" customFormat="false" ht="15.75" hidden="false" customHeight="true" outlineLevel="0" collapsed="false">
      <c r="P187" s="31"/>
      <c r="Q187" s="36"/>
      <c r="R187" s="31"/>
      <c r="S187" s="31"/>
      <c r="T187" s="31"/>
      <c r="U187" s="31"/>
      <c r="V187" s="33"/>
      <c r="W187" s="33"/>
    </row>
    <row r="188" customFormat="false" ht="15.75" hidden="false" customHeight="true" outlineLevel="0" collapsed="false">
      <c r="P188" s="31"/>
      <c r="Q188" s="36"/>
      <c r="R188" s="31"/>
      <c r="S188" s="31"/>
      <c r="T188" s="31"/>
      <c r="U188" s="31"/>
      <c r="V188" s="33"/>
      <c r="W188" s="33"/>
    </row>
    <row r="189" customFormat="false" ht="15.75" hidden="false" customHeight="true" outlineLevel="0" collapsed="false">
      <c r="P189" s="31"/>
      <c r="Q189" s="36"/>
      <c r="R189" s="31"/>
      <c r="S189" s="31"/>
      <c r="T189" s="31"/>
      <c r="U189" s="31"/>
      <c r="V189" s="33"/>
      <c r="W189" s="33"/>
    </row>
    <row r="190" customFormat="false" ht="15.75" hidden="false" customHeight="true" outlineLevel="0" collapsed="false">
      <c r="P190" s="31"/>
      <c r="Q190" s="36"/>
      <c r="R190" s="31"/>
      <c r="S190" s="31"/>
      <c r="T190" s="31"/>
      <c r="U190" s="31"/>
      <c r="V190" s="33"/>
      <c r="W190" s="33"/>
    </row>
    <row r="191" customFormat="false" ht="15.75" hidden="false" customHeight="true" outlineLevel="0" collapsed="false">
      <c r="P191" s="31"/>
      <c r="Q191" s="36"/>
      <c r="R191" s="31"/>
      <c r="S191" s="31"/>
      <c r="T191" s="31"/>
      <c r="U191" s="31"/>
      <c r="V191" s="33"/>
      <c r="W191" s="33"/>
    </row>
    <row r="192" customFormat="false" ht="15.75" hidden="false" customHeight="true" outlineLevel="0" collapsed="false">
      <c r="P192" s="31"/>
      <c r="Q192" s="36"/>
      <c r="R192" s="31"/>
      <c r="S192" s="31"/>
      <c r="T192" s="31"/>
      <c r="U192" s="31"/>
      <c r="V192" s="33"/>
      <c r="W192" s="33"/>
    </row>
    <row r="193" customFormat="false" ht="15.75" hidden="false" customHeight="true" outlineLevel="0" collapsed="false">
      <c r="P193" s="31"/>
      <c r="Q193" s="36"/>
      <c r="R193" s="31"/>
      <c r="S193" s="31"/>
      <c r="T193" s="31"/>
      <c r="U193" s="31"/>
      <c r="V193" s="33"/>
      <c r="W193" s="33"/>
    </row>
    <row r="194" customFormat="false" ht="15.75" hidden="false" customHeight="true" outlineLevel="0" collapsed="false">
      <c r="P194" s="31"/>
      <c r="Q194" s="36"/>
      <c r="R194" s="31"/>
      <c r="S194" s="31"/>
      <c r="T194" s="31"/>
      <c r="U194" s="31"/>
      <c r="V194" s="33"/>
      <c r="W194" s="33"/>
    </row>
    <row r="195" customFormat="false" ht="15.75" hidden="false" customHeight="true" outlineLevel="0" collapsed="false">
      <c r="P195" s="31"/>
      <c r="Q195" s="36"/>
      <c r="R195" s="31"/>
      <c r="S195" s="31"/>
      <c r="T195" s="31"/>
      <c r="U195" s="31"/>
      <c r="V195" s="33"/>
      <c r="W195" s="33"/>
    </row>
    <row r="196" customFormat="false" ht="15.75" hidden="false" customHeight="true" outlineLevel="0" collapsed="false">
      <c r="P196" s="31"/>
      <c r="Q196" s="36"/>
      <c r="R196" s="31"/>
      <c r="S196" s="31"/>
      <c r="T196" s="31"/>
      <c r="U196" s="31"/>
      <c r="V196" s="33"/>
      <c r="W196" s="33"/>
    </row>
    <row r="197" customFormat="false" ht="15.75" hidden="false" customHeight="true" outlineLevel="0" collapsed="false">
      <c r="P197" s="31"/>
      <c r="Q197" s="36"/>
      <c r="R197" s="31"/>
      <c r="S197" s="31"/>
      <c r="T197" s="31"/>
      <c r="U197" s="31"/>
      <c r="V197" s="33"/>
      <c r="W197" s="33"/>
    </row>
    <row r="198" customFormat="false" ht="15.75" hidden="false" customHeight="true" outlineLevel="0" collapsed="false">
      <c r="P198" s="31"/>
      <c r="Q198" s="36"/>
      <c r="R198" s="31"/>
      <c r="S198" s="31"/>
      <c r="T198" s="31"/>
      <c r="U198" s="31"/>
      <c r="V198" s="33"/>
      <c r="W198" s="33"/>
    </row>
    <row r="199" customFormat="false" ht="15.75" hidden="false" customHeight="true" outlineLevel="0" collapsed="false">
      <c r="P199" s="31"/>
      <c r="Q199" s="36"/>
      <c r="R199" s="31"/>
      <c r="S199" s="31"/>
      <c r="T199" s="31"/>
      <c r="U199" s="31"/>
      <c r="V199" s="33"/>
      <c r="W199" s="33"/>
    </row>
    <row r="200" customFormat="false" ht="15.75" hidden="false" customHeight="true" outlineLevel="0" collapsed="false">
      <c r="P200" s="31"/>
      <c r="Q200" s="36"/>
      <c r="R200" s="31"/>
      <c r="S200" s="31"/>
      <c r="T200" s="31"/>
      <c r="U200" s="31"/>
      <c r="V200" s="33"/>
      <c r="W200" s="33"/>
    </row>
    <row r="201" customFormat="false" ht="15.75" hidden="false" customHeight="true" outlineLevel="0" collapsed="false">
      <c r="P201" s="31"/>
      <c r="Q201" s="36"/>
      <c r="R201" s="31"/>
      <c r="S201" s="31"/>
      <c r="T201" s="31"/>
      <c r="U201" s="31"/>
      <c r="V201" s="33"/>
      <c r="W201" s="33"/>
    </row>
    <row r="202" customFormat="false" ht="15.75" hidden="false" customHeight="true" outlineLevel="0" collapsed="false">
      <c r="P202" s="31"/>
      <c r="Q202" s="36"/>
      <c r="R202" s="31"/>
      <c r="S202" s="31"/>
      <c r="T202" s="31"/>
      <c r="U202" s="31"/>
      <c r="V202" s="33"/>
      <c r="W202" s="33"/>
    </row>
    <row r="203" customFormat="false" ht="15.75" hidden="false" customHeight="true" outlineLevel="0" collapsed="false">
      <c r="P203" s="31"/>
      <c r="Q203" s="36"/>
      <c r="R203" s="31"/>
      <c r="S203" s="31"/>
      <c r="T203" s="31"/>
      <c r="U203" s="31"/>
      <c r="V203" s="33"/>
      <c r="W203" s="33"/>
    </row>
    <row r="204" customFormat="false" ht="15.75" hidden="false" customHeight="true" outlineLevel="0" collapsed="false">
      <c r="P204" s="31"/>
      <c r="Q204" s="36"/>
      <c r="R204" s="31"/>
      <c r="S204" s="31"/>
      <c r="T204" s="31"/>
      <c r="U204" s="31"/>
      <c r="V204" s="33"/>
      <c r="W204" s="33"/>
    </row>
    <row r="205" customFormat="false" ht="15.75" hidden="false" customHeight="true" outlineLevel="0" collapsed="false">
      <c r="P205" s="31"/>
      <c r="Q205" s="36"/>
      <c r="R205" s="31"/>
      <c r="S205" s="31"/>
      <c r="T205" s="31"/>
      <c r="U205" s="31"/>
      <c r="V205" s="33"/>
      <c r="W205" s="33"/>
    </row>
    <row r="207" customFormat="false" ht="74.6" hidden="false" customHeight="false" outlineLevel="0" collapsed="false">
      <c r="A207" s="37" t="s">
        <v>403</v>
      </c>
    </row>
  </sheetData>
  <mergeCells count="8">
    <mergeCell ref="A1:AI1"/>
    <mergeCell ref="A2:AI2"/>
    <mergeCell ref="A4:E4"/>
    <mergeCell ref="G4:I4"/>
    <mergeCell ref="K4:N4"/>
    <mergeCell ref="P4:W4"/>
    <mergeCell ref="Y4:AC4"/>
    <mergeCell ref="AE4:AI4"/>
  </mergeCells>
  <dataValidations count="12">
    <dataValidation allowBlank="true" error="必须选择下拉中已维护的值，手工输入会导致取数错位" errorStyle="stop" errorTitle="请从下拉中选择" operator="between" showDropDown="false" showErrorMessage="true" showInputMessage="false" sqref="D6:D35" type="list">
      <formula1>"正常,停用"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6:H25" type="list">
      <formula1>"正常,停用"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N6:N65" type="list">
      <formula1>"正常,停用"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W6:W205" type="list">
      <formula1>"正常,停用"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AC6:AC155" type="list">
      <formula1>"正常,停用"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AI6:AI155" type="list">
      <formula1>"正常,停用"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B6:B35" type="list">
      <formula1>"现金,银行,第三方,其他"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V6:V205" type="list">
      <formula1>"是,否"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C6:C35" type="list">
      <formula1>科目参数!$A$6:$A$125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L6:L65" type="list">
      <formula1>基础资料!$G$6:$G$25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AA6:AA155" type="list">
      <formula1>基础资料!$K$6:$K$65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AG6:AG155" type="list">
      <formula1>基础资料!$K$6:$K$65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AB207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3"/>
    <col collapsed="false" customWidth="true" hidden="false" outlineLevel="0" max="14" min="14" style="0" width="3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7"/>
    <col collapsed="false" customWidth="true" hidden="false" outlineLevel="0" max="18" min="18" style="0" width="11"/>
    <col collapsed="false" customWidth="true" hidden="false" outlineLevel="0" max="19" min="19" style="0" width="12"/>
    <col collapsed="false" customWidth="true" hidden="false" outlineLevel="0" max="21" min="20" style="0" width="13"/>
    <col collapsed="false" customWidth="true" hidden="false" outlineLevel="0" max="22" min="22" style="0" width="3"/>
    <col collapsed="false" customWidth="true" hidden="false" outlineLevel="0" max="23" min="23" style="0" width="11"/>
    <col collapsed="false" customWidth="true" hidden="false" outlineLevel="0" max="24" min="24" style="0" width="18"/>
    <col collapsed="false" customWidth="true" hidden="false" outlineLevel="0" max="25" min="25" style="0" width="7"/>
    <col collapsed="false" customWidth="true" hidden="false" outlineLevel="0" max="28" min="26" style="0" width="14"/>
  </cols>
  <sheetData>
    <row r="1" customFormat="false" ht="25.5" hidden="false" customHeight="true" outlineLevel="0" collapsed="false">
      <c r="A1" s="23" t="s">
        <v>480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customFormat="false" ht="15" hidden="false" customHeight="true" outlineLevel="0" collapsed="false">
      <c r="A2" s="6" t="s">
        <v>481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customFormat="false" ht="15" hidden="false" customHeight="false" outlineLevel="0" collapsed="false">
      <c r="A3" s="38" t="s">
        <v>482</v>
      </c>
      <c r="B3" s="7" t="s">
        <v>483</v>
      </c>
      <c r="C3" s="39" t="n">
        <f aca="false">SUM($B$6:$B$35)</f>
        <v>335000</v>
      </c>
      <c r="E3" s="7" t="s">
        <v>484</v>
      </c>
      <c r="F3" s="39" t="n">
        <f aca="false">SUM($G$6:$G$155)</f>
        <v>80000</v>
      </c>
      <c r="J3" s="7" t="s">
        <v>485</v>
      </c>
      <c r="K3" s="39" t="n">
        <f aca="false">SUM($L$6:$L$155)</f>
        <v>40000</v>
      </c>
      <c r="O3" s="7" t="s">
        <v>486</v>
      </c>
      <c r="P3" s="39" t="n">
        <f aca="false">SUM($T$6:$T$205)</f>
        <v>36600</v>
      </c>
      <c r="W3" s="7" t="s">
        <v>487</v>
      </c>
      <c r="X3" s="39" t="n">
        <f aca="false">SUM($Z$6:$Z$125)</f>
        <v>571600</v>
      </c>
      <c r="Z3" s="7" t="s">
        <v>488</v>
      </c>
      <c r="AA3" s="39" t="n">
        <f aca="false">SUM($AA$6:$AA$125)</f>
        <v>571600</v>
      </c>
      <c r="AB3" s="19" t="str">
        <f aca="false">IF(ABS(SUM($Z$6:$Z$125)-SUM($AA$6:$AA$125))&lt;0.01,"✓ 借贷平衡","✗ 借贷不平，差额 "&amp;TEXT(SUM($Z$6:$Z$125)-SUM($AA$6:$AA$125),"#,##0.00"))</f>
        <v>✓ 借贷平衡</v>
      </c>
    </row>
    <row r="4" customFormat="false" ht="15" hidden="false" customHeight="true" outlineLevel="0" collapsed="false">
      <c r="A4" s="29" t="s">
        <v>489</v>
      </c>
      <c r="B4" s="29"/>
      <c r="C4" s="29"/>
      <c r="E4" s="29" t="s">
        <v>490</v>
      </c>
      <c r="F4" s="29"/>
      <c r="G4" s="29"/>
      <c r="H4" s="29"/>
      <c r="J4" s="29" t="s">
        <v>491</v>
      </c>
      <c r="K4" s="29"/>
      <c r="L4" s="29"/>
      <c r="M4" s="29"/>
      <c r="O4" s="29" t="s">
        <v>492</v>
      </c>
      <c r="P4" s="29"/>
      <c r="Q4" s="29"/>
      <c r="R4" s="29"/>
      <c r="S4" s="29"/>
      <c r="T4" s="29"/>
      <c r="U4" s="29"/>
      <c r="W4" s="29" t="s">
        <v>493</v>
      </c>
      <c r="X4" s="29"/>
      <c r="Y4" s="29"/>
      <c r="Z4" s="29"/>
      <c r="AA4" s="29"/>
      <c r="AB4" s="29"/>
    </row>
    <row r="5" customFormat="false" ht="30" hidden="false" customHeight="true" outlineLevel="0" collapsed="false">
      <c r="A5" s="30" t="s">
        <v>494</v>
      </c>
      <c r="B5" s="30" t="s">
        <v>495</v>
      </c>
      <c r="C5" s="30" t="s">
        <v>416</v>
      </c>
      <c r="E5" s="30" t="s">
        <v>197</v>
      </c>
      <c r="F5" s="30" t="s">
        <v>496</v>
      </c>
      <c r="G5" s="30" t="s">
        <v>497</v>
      </c>
      <c r="H5" s="30" t="s">
        <v>416</v>
      </c>
      <c r="J5" s="30" t="s">
        <v>206</v>
      </c>
      <c r="K5" s="30" t="s">
        <v>496</v>
      </c>
      <c r="L5" s="30" t="s">
        <v>498</v>
      </c>
      <c r="M5" s="30" t="s">
        <v>416</v>
      </c>
      <c r="O5" s="30" t="s">
        <v>237</v>
      </c>
      <c r="P5" s="30" t="s">
        <v>499</v>
      </c>
      <c r="Q5" s="30" t="s">
        <v>424</v>
      </c>
      <c r="R5" s="30" t="s">
        <v>500</v>
      </c>
      <c r="S5" s="30" t="s">
        <v>501</v>
      </c>
      <c r="T5" s="30" t="s">
        <v>502</v>
      </c>
      <c r="U5" s="30" t="s">
        <v>416</v>
      </c>
      <c r="W5" s="30" t="s">
        <v>153</v>
      </c>
      <c r="X5" s="30" t="s">
        <v>154</v>
      </c>
      <c r="Y5" s="30" t="s">
        <v>503</v>
      </c>
      <c r="Z5" s="30" t="s">
        <v>504</v>
      </c>
      <c r="AA5" s="30" t="s">
        <v>505</v>
      </c>
      <c r="AB5" s="30" t="s">
        <v>416</v>
      </c>
    </row>
    <row r="6" customFormat="false" ht="15.75" hidden="false" customHeight="true" outlineLevel="0" collapsed="false">
      <c r="A6" s="33" t="s">
        <v>170</v>
      </c>
      <c r="B6" s="40" t="n">
        <v>20000</v>
      </c>
      <c r="C6" s="36"/>
      <c r="E6" s="33" t="s">
        <v>446</v>
      </c>
      <c r="F6" s="41" t="n">
        <v>45992</v>
      </c>
      <c r="G6" s="40" t="n">
        <v>50000</v>
      </c>
      <c r="H6" s="36"/>
      <c r="J6" s="33" t="s">
        <v>448</v>
      </c>
      <c r="K6" s="41" t="n">
        <v>46001</v>
      </c>
      <c r="L6" s="40" t="n">
        <v>40000</v>
      </c>
      <c r="M6" s="36"/>
      <c r="O6" s="31" t="s">
        <v>441</v>
      </c>
      <c r="P6" s="42" t="str">
        <f aca="false">IF($O6="","",IFERROR(INDEX(基础资料!$R$6:$R$205,MATCH($O6,基础资料!$Q$6:$Q$205,0)),""))</f>
        <v>A-01</v>
      </c>
      <c r="Q6" s="42" t="str">
        <f aca="false">IF($O6="","",IFERROR(INDEX(基础资料!$S$6:$S$205,MATCH($O6,基础资料!$Q$6:$Q$205,0)),""))</f>
        <v>个</v>
      </c>
      <c r="R6" s="43" t="n">
        <v>100</v>
      </c>
      <c r="S6" s="40" t="n">
        <v>100</v>
      </c>
      <c r="T6" s="44" t="n">
        <f aca="false">IF($O6="","",ROUND(N($R6)*N($S6),2))</f>
        <v>10000</v>
      </c>
      <c r="U6" s="36"/>
      <c r="W6" s="31" t="s">
        <v>169</v>
      </c>
      <c r="X6" s="35" t="str">
        <f aca="false">IF($W6="","",IFERROR(INDEX(科目参数!$B$6:$B$125,MATCH($W6,科目参数!$A$6:$A$125,0)),"⚠科目不存在"))</f>
        <v>库存现金</v>
      </c>
      <c r="Y6" s="42" t="str">
        <f aca="false">IF($W6="","",IFERROR(INDEX(科目参数!$D$6:$D$125,MATCH($W6,科目参数!$A$6:$A$125,0)),""))</f>
        <v>借</v>
      </c>
      <c r="Z6" s="40" t="n">
        <v>20000</v>
      </c>
      <c r="AA6" s="40" t="n">
        <v>0</v>
      </c>
      <c r="AB6" s="36"/>
    </row>
    <row r="7" customFormat="false" ht="15.75" hidden="false" customHeight="true" outlineLevel="0" collapsed="false">
      <c r="A7" s="33" t="s">
        <v>450</v>
      </c>
      <c r="B7" s="40" t="n">
        <v>300000</v>
      </c>
      <c r="C7" s="36"/>
      <c r="E7" s="33" t="s">
        <v>458</v>
      </c>
      <c r="F7" s="41" t="n">
        <v>45976</v>
      </c>
      <c r="G7" s="40" t="n">
        <v>30000</v>
      </c>
      <c r="H7" s="36"/>
      <c r="J7" s="33"/>
      <c r="K7" s="41"/>
      <c r="L7" s="40"/>
      <c r="M7" s="36"/>
      <c r="O7" s="31" t="s">
        <v>455</v>
      </c>
      <c r="P7" s="42" t="str">
        <f aca="false">IF($O7="","",IFERROR(INDEX(基础资料!$R$6:$R$205,MATCH($O7,基础资料!$Q$6:$Q$205,0)),""))</f>
        <v>B-02</v>
      </c>
      <c r="Q7" s="42" t="str">
        <f aca="false">IF($O7="","",IFERROR(INDEX(基础资料!$S$6:$S$205,MATCH($O7,基础资料!$Q$6:$Q$205,0)),""))</f>
        <v>个</v>
      </c>
      <c r="R7" s="43" t="n">
        <v>50</v>
      </c>
      <c r="S7" s="40" t="n">
        <v>220</v>
      </c>
      <c r="T7" s="44" t="n">
        <f aca="false">IF($O7="","",ROUND(N($R7)*N($S7),2))</f>
        <v>11000</v>
      </c>
      <c r="U7" s="36"/>
      <c r="W7" s="31" t="s">
        <v>180</v>
      </c>
      <c r="X7" s="35" t="str">
        <f aca="false">IF($W7="","",IFERROR(INDEX(科目参数!$B$6:$B$125,MATCH($W7,科目参数!$A$6:$A$125,0)),"⚠科目不存在"))</f>
        <v>银行存款</v>
      </c>
      <c r="Y7" s="42" t="str">
        <f aca="false">IF($W7="","",IFERROR(INDEX(科目参数!$D$6:$D$125,MATCH($W7,科目参数!$A$6:$A$125,0)),""))</f>
        <v>借</v>
      </c>
      <c r="Z7" s="40" t="n">
        <v>300000</v>
      </c>
      <c r="AA7" s="40" t="n">
        <v>0</v>
      </c>
      <c r="AB7" s="36"/>
    </row>
    <row r="8" customFormat="false" ht="15.75" hidden="false" customHeight="true" outlineLevel="0" collapsed="false">
      <c r="A8" s="33" t="s">
        <v>461</v>
      </c>
      <c r="B8" s="40" t="n">
        <v>15000</v>
      </c>
      <c r="C8" s="36"/>
      <c r="E8" s="33"/>
      <c r="F8" s="41"/>
      <c r="G8" s="40"/>
      <c r="H8" s="36"/>
      <c r="J8" s="33"/>
      <c r="K8" s="41"/>
      <c r="L8" s="40"/>
      <c r="M8" s="36"/>
      <c r="O8" s="31" t="s">
        <v>467</v>
      </c>
      <c r="P8" s="42" t="str">
        <f aca="false">IF($O8="","",IFERROR(INDEX(基础资料!$R$6:$R$205,MATCH($O8,基础资料!$Q$6:$Q$205,0)),""))</f>
        <v>C-10</v>
      </c>
      <c r="Q8" s="42" t="str">
        <f aca="false">IF($O8="","",IFERROR(INDEX(基础资料!$S$6:$S$205,MATCH($O8,基础资料!$Q$6:$Q$205,0)),""))</f>
        <v>套</v>
      </c>
      <c r="R8" s="43" t="n">
        <v>20</v>
      </c>
      <c r="S8" s="40" t="n">
        <v>780</v>
      </c>
      <c r="T8" s="44" t="n">
        <f aca="false">IF($O8="","",ROUND(N($R8)*N($S8),2))</f>
        <v>15600</v>
      </c>
      <c r="U8" s="36"/>
      <c r="W8" s="31" t="s">
        <v>184</v>
      </c>
      <c r="X8" s="35" t="str">
        <f aca="false">IF($W8="","",IFERROR(INDEX(科目参数!$B$6:$B$125,MATCH($W8,科目参数!$A$6:$A$125,0)),"⚠科目不存在"))</f>
        <v>其他货币资金</v>
      </c>
      <c r="Y8" s="42" t="str">
        <f aca="false">IF($W8="","",IFERROR(INDEX(科目参数!$D$6:$D$125,MATCH($W8,科目参数!$A$6:$A$125,0)),""))</f>
        <v>借</v>
      </c>
      <c r="Z8" s="40" t="n">
        <v>15000</v>
      </c>
      <c r="AA8" s="40" t="n">
        <v>0</v>
      </c>
      <c r="AB8" s="36"/>
    </row>
    <row r="9" customFormat="false" ht="15.75" hidden="false" customHeight="true" outlineLevel="0" collapsed="false">
      <c r="A9" s="33"/>
      <c r="B9" s="40"/>
      <c r="C9" s="36"/>
      <c r="E9" s="33"/>
      <c r="F9" s="41"/>
      <c r="G9" s="40"/>
      <c r="H9" s="36"/>
      <c r="J9" s="33"/>
      <c r="K9" s="41"/>
      <c r="L9" s="40"/>
      <c r="M9" s="36"/>
      <c r="O9" s="31"/>
      <c r="P9" s="42" t="str">
        <f aca="false">IF($O9="","",IFERROR(INDEX(基础资料!$R$6:$R$205,MATCH($O9,基础资料!$Q$6:$Q$205,0)),""))</f>
        <v/>
      </c>
      <c r="Q9" s="42" t="str">
        <f aca="false">IF($O9="","",IFERROR(INDEX(基础资料!$S$6:$S$205,MATCH($O9,基础资料!$Q$6:$Q$205,0)),""))</f>
        <v/>
      </c>
      <c r="R9" s="43"/>
      <c r="S9" s="40"/>
      <c r="T9" s="44" t="str">
        <f aca="false">IF($O9="","",ROUND(N($R9)*N($S9),2))</f>
        <v/>
      </c>
      <c r="U9" s="36"/>
      <c r="W9" s="31" t="s">
        <v>178</v>
      </c>
      <c r="X9" s="35" t="str">
        <f aca="false">IF($W9="","",IFERROR(INDEX(科目参数!$B$6:$B$125,MATCH($W9,科目参数!$A$6:$A$125,0)),"⚠科目不存在"))</f>
        <v>应收账款</v>
      </c>
      <c r="Y9" s="42" t="str">
        <f aca="false">IF($W9="","",IFERROR(INDEX(科目参数!$D$6:$D$125,MATCH($W9,科目参数!$A$6:$A$125,0)),""))</f>
        <v>借</v>
      </c>
      <c r="Z9" s="40" t="n">
        <v>80000</v>
      </c>
      <c r="AA9" s="40" t="n">
        <v>0</v>
      </c>
      <c r="AB9" s="36"/>
    </row>
    <row r="10" customFormat="false" ht="15.75" hidden="false" customHeight="true" outlineLevel="0" collapsed="false">
      <c r="A10" s="33"/>
      <c r="B10" s="40"/>
      <c r="C10" s="36"/>
      <c r="E10" s="33"/>
      <c r="F10" s="41"/>
      <c r="G10" s="40"/>
      <c r="H10" s="36"/>
      <c r="J10" s="33"/>
      <c r="K10" s="41"/>
      <c r="L10" s="40"/>
      <c r="M10" s="36"/>
      <c r="O10" s="31"/>
      <c r="P10" s="42" t="str">
        <f aca="false">IF($O10="","",IFERROR(INDEX(基础资料!$R$6:$R$205,MATCH($O10,基础资料!$Q$6:$Q$205,0)),""))</f>
        <v/>
      </c>
      <c r="Q10" s="42" t="str">
        <f aca="false">IF($O10="","",IFERROR(INDEX(基础资料!$S$6:$S$205,MATCH($O10,基础资料!$Q$6:$Q$205,0)),""))</f>
        <v/>
      </c>
      <c r="R10" s="43"/>
      <c r="S10" s="40"/>
      <c r="T10" s="44" t="str">
        <f aca="false">IF($O10="","",ROUND(N($R10)*N($S10),2))</f>
        <v/>
      </c>
      <c r="U10" s="36"/>
      <c r="W10" s="31" t="s">
        <v>241</v>
      </c>
      <c r="X10" s="35" t="str">
        <f aca="false">IF($W10="","",IFERROR(INDEX(科目参数!$B$6:$B$125,MATCH($W10,科目参数!$A$6:$A$125,0)),"⚠科目不存在"))</f>
        <v>库存商品</v>
      </c>
      <c r="Y10" s="42" t="str">
        <f aca="false">IF($W10="","",IFERROR(INDEX(科目参数!$D$6:$D$125,MATCH($W10,科目参数!$A$6:$A$125,0)),""))</f>
        <v>借</v>
      </c>
      <c r="Z10" s="40" t="n">
        <v>36600</v>
      </c>
      <c r="AA10" s="40" t="n">
        <v>0</v>
      </c>
      <c r="AB10" s="36"/>
    </row>
    <row r="11" customFormat="false" ht="15.75" hidden="false" customHeight="true" outlineLevel="0" collapsed="false">
      <c r="A11" s="33"/>
      <c r="B11" s="40"/>
      <c r="C11" s="36"/>
      <c r="E11" s="33"/>
      <c r="F11" s="41"/>
      <c r="G11" s="40"/>
      <c r="H11" s="36"/>
      <c r="J11" s="33"/>
      <c r="K11" s="41"/>
      <c r="L11" s="40"/>
      <c r="M11" s="36"/>
      <c r="O11" s="31"/>
      <c r="P11" s="42" t="str">
        <f aca="false">IF($O11="","",IFERROR(INDEX(基础资料!$R$6:$R$205,MATCH($O11,基础资料!$Q$6:$Q$205,0)),""))</f>
        <v/>
      </c>
      <c r="Q11" s="42" t="str">
        <f aca="false">IF($O11="","",IFERROR(INDEX(基础资料!$S$6:$S$205,MATCH($O11,基础资料!$Q$6:$Q$205,0)),""))</f>
        <v/>
      </c>
      <c r="R11" s="43"/>
      <c r="S11" s="40"/>
      <c r="T11" s="44" t="str">
        <f aca="false">IF($O11="","",ROUND(N($R11)*N($S11),2))</f>
        <v/>
      </c>
      <c r="U11" s="36"/>
      <c r="W11" s="31" t="s">
        <v>275</v>
      </c>
      <c r="X11" s="35" t="str">
        <f aca="false">IF($W11="","",IFERROR(INDEX(科目参数!$B$6:$B$125,MATCH($W11,科目参数!$A$6:$A$125,0)),"⚠科目不存在"))</f>
        <v>固定资产</v>
      </c>
      <c r="Y11" s="42" t="str">
        <f aca="false">IF($W11="","",IFERROR(INDEX(科目参数!$D$6:$D$125,MATCH($W11,科目参数!$A$6:$A$125,0)),""))</f>
        <v>借</v>
      </c>
      <c r="Z11" s="40" t="n">
        <v>120000</v>
      </c>
      <c r="AA11" s="40" t="n">
        <v>0</v>
      </c>
      <c r="AB11" s="36"/>
    </row>
    <row r="12" customFormat="false" ht="15.75" hidden="false" customHeight="true" outlineLevel="0" collapsed="false">
      <c r="A12" s="33"/>
      <c r="B12" s="40"/>
      <c r="C12" s="36"/>
      <c r="E12" s="33"/>
      <c r="F12" s="41"/>
      <c r="G12" s="40"/>
      <c r="H12" s="36"/>
      <c r="J12" s="33"/>
      <c r="K12" s="41"/>
      <c r="L12" s="40"/>
      <c r="M12" s="36"/>
      <c r="O12" s="31"/>
      <c r="P12" s="42" t="str">
        <f aca="false">IF($O12="","",IFERROR(INDEX(基础资料!$R$6:$R$205,MATCH($O12,基础资料!$Q$6:$Q$205,0)),""))</f>
        <v/>
      </c>
      <c r="Q12" s="42" t="str">
        <f aca="false">IF($O12="","",IFERROR(INDEX(基础资料!$S$6:$S$205,MATCH($O12,基础资料!$Q$6:$Q$205,0)),""))</f>
        <v/>
      </c>
      <c r="R12" s="43"/>
      <c r="S12" s="40"/>
      <c r="T12" s="44" t="str">
        <f aca="false">IF($O12="","",ROUND(N($R12)*N($S12),2))</f>
        <v/>
      </c>
      <c r="U12" s="36"/>
      <c r="W12" s="31" t="s">
        <v>279</v>
      </c>
      <c r="X12" s="35" t="str">
        <f aca="false">IF($W12="","",IFERROR(INDEX(科目参数!$B$6:$B$125,MATCH($W12,科目参数!$A$6:$A$125,0)),"⚠科目不存在"))</f>
        <v>累计折旧</v>
      </c>
      <c r="Y12" s="42" t="str">
        <f aca="false">IF($W12="","",IFERROR(INDEX(科目参数!$D$6:$D$125,MATCH($W12,科目参数!$A$6:$A$125,0)),""))</f>
        <v>贷</v>
      </c>
      <c r="Z12" s="40" t="n">
        <v>0</v>
      </c>
      <c r="AA12" s="40" t="n">
        <v>30000</v>
      </c>
      <c r="AB12" s="36"/>
    </row>
    <row r="13" customFormat="false" ht="15.75" hidden="false" customHeight="true" outlineLevel="0" collapsed="false">
      <c r="A13" s="33"/>
      <c r="B13" s="40"/>
      <c r="C13" s="36"/>
      <c r="E13" s="33"/>
      <c r="F13" s="41"/>
      <c r="G13" s="40"/>
      <c r="H13" s="36"/>
      <c r="J13" s="33"/>
      <c r="K13" s="41"/>
      <c r="L13" s="40"/>
      <c r="M13" s="36"/>
      <c r="O13" s="31"/>
      <c r="P13" s="42" t="str">
        <f aca="false">IF($O13="","",IFERROR(INDEX(基础资料!$R$6:$R$205,MATCH($O13,基础资料!$Q$6:$Q$205,0)),""))</f>
        <v/>
      </c>
      <c r="Q13" s="42" t="str">
        <f aca="false">IF($O13="","",IFERROR(INDEX(基础资料!$S$6:$S$205,MATCH($O13,基础资料!$Q$6:$Q$205,0)),""))</f>
        <v/>
      </c>
      <c r="R13" s="43"/>
      <c r="S13" s="40"/>
      <c r="T13" s="44" t="str">
        <f aca="false">IF($O13="","",ROUND(N($R13)*N($S13),2))</f>
        <v/>
      </c>
      <c r="U13" s="36"/>
      <c r="W13" s="31" t="s">
        <v>250</v>
      </c>
      <c r="X13" s="35" t="str">
        <f aca="false">IF($W13="","",IFERROR(INDEX(科目参数!$B$6:$B$125,MATCH($W13,科目参数!$A$6:$A$125,0)),"⚠科目不存在"))</f>
        <v>应付账款</v>
      </c>
      <c r="Y13" s="42" t="str">
        <f aca="false">IF($W13="","",IFERROR(INDEX(科目参数!$D$6:$D$125,MATCH($W13,科目参数!$A$6:$A$125,0)),""))</f>
        <v>贷</v>
      </c>
      <c r="Z13" s="40" t="n">
        <v>0</v>
      </c>
      <c r="AA13" s="40" t="n">
        <v>40000</v>
      </c>
      <c r="AB13" s="36"/>
    </row>
    <row r="14" customFormat="false" ht="15.75" hidden="false" customHeight="true" outlineLevel="0" collapsed="false">
      <c r="A14" s="33"/>
      <c r="B14" s="40"/>
      <c r="C14" s="36"/>
      <c r="E14" s="33"/>
      <c r="F14" s="41"/>
      <c r="G14" s="40"/>
      <c r="H14" s="36"/>
      <c r="J14" s="33"/>
      <c r="K14" s="41"/>
      <c r="L14" s="40"/>
      <c r="M14" s="36"/>
      <c r="O14" s="31"/>
      <c r="P14" s="42" t="str">
        <f aca="false">IF($O14="","",IFERROR(INDEX(基础资料!$R$6:$R$205,MATCH($O14,基础资料!$Q$6:$Q$205,0)),""))</f>
        <v/>
      </c>
      <c r="Q14" s="42" t="str">
        <f aca="false">IF($O14="","",IFERROR(INDEX(基础资料!$S$6:$S$205,MATCH($O14,基础资料!$Q$6:$Q$205,0)),""))</f>
        <v/>
      </c>
      <c r="R14" s="43"/>
      <c r="S14" s="40"/>
      <c r="T14" s="44" t="str">
        <f aca="false">IF($O14="","",ROUND(N($R14)*N($S14),2))</f>
        <v/>
      </c>
      <c r="U14" s="36"/>
      <c r="W14" s="31" t="s">
        <v>261</v>
      </c>
      <c r="X14" s="35" t="str">
        <f aca="false">IF($W14="","",IFERROR(INDEX(科目参数!$B$6:$B$125,MATCH($W14,科目参数!$A$6:$A$125,0)),"⚠科目不存在"))</f>
        <v>应付职工薪酬</v>
      </c>
      <c r="Y14" s="42" t="str">
        <f aca="false">IF($W14="","",IFERROR(INDEX(科目参数!$D$6:$D$125,MATCH($W14,科目参数!$A$6:$A$125,0)),""))</f>
        <v>贷</v>
      </c>
      <c r="Z14" s="40" t="n">
        <v>0</v>
      </c>
      <c r="AA14" s="40" t="n">
        <v>15000</v>
      </c>
      <c r="AB14" s="36"/>
    </row>
    <row r="15" customFormat="false" ht="15.75" hidden="false" customHeight="true" outlineLevel="0" collapsed="false">
      <c r="A15" s="33"/>
      <c r="B15" s="40"/>
      <c r="C15" s="36"/>
      <c r="E15" s="33"/>
      <c r="F15" s="41"/>
      <c r="G15" s="40"/>
      <c r="H15" s="36"/>
      <c r="J15" s="33"/>
      <c r="K15" s="41"/>
      <c r="L15" s="40"/>
      <c r="M15" s="36"/>
      <c r="O15" s="31"/>
      <c r="P15" s="42" t="str">
        <f aca="false">IF($O15="","",IFERROR(INDEX(基础资料!$R$6:$R$205,MATCH($O15,基础资料!$Q$6:$Q$205,0)),""))</f>
        <v/>
      </c>
      <c r="Q15" s="42" t="str">
        <f aca="false">IF($O15="","",IFERROR(INDEX(基础资料!$S$6:$S$205,MATCH($O15,基础资料!$Q$6:$Q$205,0)),""))</f>
        <v/>
      </c>
      <c r="R15" s="43"/>
      <c r="S15" s="40"/>
      <c r="T15" s="44" t="str">
        <f aca="false">IF($O15="","",ROUND(N($R15)*N($S15),2))</f>
        <v/>
      </c>
      <c r="U15" s="36"/>
      <c r="W15" s="31" t="s">
        <v>273</v>
      </c>
      <c r="X15" s="35" t="str">
        <f aca="false">IF($W15="","",IFERROR(INDEX(科目参数!$B$6:$B$125,MATCH($W15,科目参数!$A$6:$A$125,0)),"⚠科目不存在"))</f>
        <v>应交税费</v>
      </c>
      <c r="Y15" s="42" t="str">
        <f aca="false">IF($W15="","",IFERROR(INDEX(科目参数!$D$6:$D$125,MATCH($W15,科目参数!$A$6:$A$125,0)),""))</f>
        <v>贷</v>
      </c>
      <c r="Z15" s="40" t="n">
        <v>0</v>
      </c>
      <c r="AA15" s="40" t="n">
        <v>8000</v>
      </c>
      <c r="AB15" s="36"/>
    </row>
    <row r="16" customFormat="false" ht="15.75" hidden="false" customHeight="true" outlineLevel="0" collapsed="false">
      <c r="A16" s="33"/>
      <c r="B16" s="40"/>
      <c r="C16" s="36"/>
      <c r="E16" s="33"/>
      <c r="F16" s="41"/>
      <c r="G16" s="40"/>
      <c r="H16" s="36"/>
      <c r="J16" s="33"/>
      <c r="K16" s="41"/>
      <c r="L16" s="40"/>
      <c r="M16" s="36"/>
      <c r="O16" s="31"/>
      <c r="P16" s="42" t="str">
        <f aca="false">IF($O16="","",IFERROR(INDEX(基础资料!$R$6:$R$205,MATCH($O16,基础资料!$Q$6:$Q$205,0)),""))</f>
        <v/>
      </c>
      <c r="Q16" s="42" t="str">
        <f aca="false">IF($O16="","",IFERROR(INDEX(基础资料!$S$6:$S$205,MATCH($O16,基础资料!$Q$6:$Q$205,0)),""))</f>
        <v/>
      </c>
      <c r="R16" s="43"/>
      <c r="S16" s="40"/>
      <c r="T16" s="44" t="str">
        <f aca="false">IF($O16="","",ROUND(N($R16)*N($S16),2))</f>
        <v/>
      </c>
      <c r="U16" s="36"/>
      <c r="W16" s="31" t="s">
        <v>233</v>
      </c>
      <c r="X16" s="35" t="str">
        <f aca="false">IF($W16="","",IFERROR(INDEX(科目参数!$B$6:$B$125,MATCH($W16,科目参数!$A$6:$A$125,0)),"⚠科目不存在"))</f>
        <v>实收资本</v>
      </c>
      <c r="Y16" s="42" t="str">
        <f aca="false">IF($W16="","",IFERROR(INDEX(科目参数!$D$6:$D$125,MATCH($W16,科目参数!$A$6:$A$125,0)),""))</f>
        <v>贷</v>
      </c>
      <c r="Z16" s="40" t="n">
        <v>0</v>
      </c>
      <c r="AA16" s="40" t="n">
        <v>400000</v>
      </c>
      <c r="AB16" s="36"/>
    </row>
    <row r="17" customFormat="false" ht="15.75" hidden="false" customHeight="true" outlineLevel="0" collapsed="false">
      <c r="A17" s="33"/>
      <c r="B17" s="40"/>
      <c r="C17" s="36"/>
      <c r="E17" s="33"/>
      <c r="F17" s="41"/>
      <c r="G17" s="40"/>
      <c r="H17" s="36"/>
      <c r="J17" s="33"/>
      <c r="K17" s="41"/>
      <c r="L17" s="40"/>
      <c r="M17" s="36"/>
      <c r="O17" s="31"/>
      <c r="P17" s="42" t="str">
        <f aca="false">IF($O17="","",IFERROR(INDEX(基础资料!$R$6:$R$205,MATCH($O17,基础资料!$Q$6:$Q$205,0)),""))</f>
        <v/>
      </c>
      <c r="Q17" s="42" t="str">
        <f aca="false">IF($O17="","",IFERROR(INDEX(基础资料!$S$6:$S$205,MATCH($O17,基础资料!$Q$6:$Q$205,0)),""))</f>
        <v/>
      </c>
      <c r="R17" s="43"/>
      <c r="S17" s="40"/>
      <c r="T17" s="44" t="str">
        <f aca="false">IF($O17="","",ROUND(N($R17)*N($S17),2))</f>
        <v/>
      </c>
      <c r="U17" s="36"/>
      <c r="W17" s="31" t="s">
        <v>357</v>
      </c>
      <c r="X17" s="35" t="str">
        <f aca="false">IF($W17="","",IFERROR(INDEX(科目参数!$B$6:$B$125,MATCH($W17,科目参数!$A$6:$A$125,0)),"⚠科目不存在"))</f>
        <v>利润分配</v>
      </c>
      <c r="Y17" s="42" t="str">
        <f aca="false">IF($W17="","",IFERROR(INDEX(科目参数!$D$6:$D$125,MATCH($W17,科目参数!$A$6:$A$125,0)),""))</f>
        <v>贷</v>
      </c>
      <c r="Z17" s="40" t="n">
        <v>0</v>
      </c>
      <c r="AA17" s="40" t="n">
        <v>78600</v>
      </c>
      <c r="AB17" s="36"/>
    </row>
    <row r="18" customFormat="false" ht="15.75" hidden="false" customHeight="true" outlineLevel="0" collapsed="false">
      <c r="A18" s="33"/>
      <c r="B18" s="40"/>
      <c r="C18" s="36"/>
      <c r="E18" s="33"/>
      <c r="F18" s="41"/>
      <c r="G18" s="40"/>
      <c r="H18" s="36"/>
      <c r="J18" s="33"/>
      <c r="K18" s="41"/>
      <c r="L18" s="40"/>
      <c r="M18" s="36"/>
      <c r="O18" s="31"/>
      <c r="P18" s="42" t="str">
        <f aca="false">IF($O18="","",IFERROR(INDEX(基础资料!$R$6:$R$205,MATCH($O18,基础资料!$Q$6:$Q$205,0)),""))</f>
        <v/>
      </c>
      <c r="Q18" s="42" t="str">
        <f aca="false">IF($O18="","",IFERROR(INDEX(基础资料!$S$6:$S$205,MATCH($O18,基础资料!$Q$6:$Q$205,0)),""))</f>
        <v/>
      </c>
      <c r="R18" s="43"/>
      <c r="S18" s="40"/>
      <c r="T18" s="44" t="str">
        <f aca="false">IF($O18="","",ROUND(N($R18)*N($S18),2))</f>
        <v/>
      </c>
      <c r="U18" s="36"/>
      <c r="W18" s="31"/>
      <c r="X18" s="35" t="str">
        <f aca="false">IF($W18="","",IFERROR(INDEX(科目参数!$B$6:$B$125,MATCH($W18,科目参数!$A$6:$A$125,0)),"⚠科目不存在"))</f>
        <v/>
      </c>
      <c r="Y18" s="42" t="str">
        <f aca="false">IF($W18="","",IFERROR(INDEX(科目参数!$D$6:$D$125,MATCH($W18,科目参数!$A$6:$A$125,0)),""))</f>
        <v/>
      </c>
      <c r="Z18" s="40"/>
      <c r="AA18" s="40"/>
      <c r="AB18" s="36"/>
    </row>
    <row r="19" customFormat="false" ht="15.75" hidden="false" customHeight="true" outlineLevel="0" collapsed="false">
      <c r="A19" s="33"/>
      <c r="B19" s="40"/>
      <c r="C19" s="36"/>
      <c r="E19" s="33"/>
      <c r="F19" s="41"/>
      <c r="G19" s="40"/>
      <c r="H19" s="36"/>
      <c r="J19" s="33"/>
      <c r="K19" s="41"/>
      <c r="L19" s="40"/>
      <c r="M19" s="36"/>
      <c r="O19" s="31"/>
      <c r="P19" s="42" t="str">
        <f aca="false">IF($O19="","",IFERROR(INDEX(基础资料!$R$6:$R$205,MATCH($O19,基础资料!$Q$6:$Q$205,0)),""))</f>
        <v/>
      </c>
      <c r="Q19" s="42" t="str">
        <f aca="false">IF($O19="","",IFERROR(INDEX(基础资料!$S$6:$S$205,MATCH($O19,基础资料!$Q$6:$Q$205,0)),""))</f>
        <v/>
      </c>
      <c r="R19" s="43"/>
      <c r="S19" s="40"/>
      <c r="T19" s="44" t="str">
        <f aca="false">IF($O19="","",ROUND(N($R19)*N($S19),2))</f>
        <v/>
      </c>
      <c r="U19" s="36"/>
      <c r="W19" s="31"/>
      <c r="X19" s="35" t="str">
        <f aca="false">IF($W19="","",IFERROR(INDEX(科目参数!$B$6:$B$125,MATCH($W19,科目参数!$A$6:$A$125,0)),"⚠科目不存在"))</f>
        <v/>
      </c>
      <c r="Y19" s="42" t="str">
        <f aca="false">IF($W19="","",IFERROR(INDEX(科目参数!$D$6:$D$125,MATCH($W19,科目参数!$A$6:$A$125,0)),""))</f>
        <v/>
      </c>
      <c r="Z19" s="40"/>
      <c r="AA19" s="40"/>
      <c r="AB19" s="36"/>
    </row>
    <row r="20" customFormat="false" ht="15.75" hidden="false" customHeight="true" outlineLevel="0" collapsed="false">
      <c r="A20" s="33"/>
      <c r="B20" s="40"/>
      <c r="C20" s="36"/>
      <c r="E20" s="33"/>
      <c r="F20" s="41"/>
      <c r="G20" s="40"/>
      <c r="H20" s="36"/>
      <c r="J20" s="33"/>
      <c r="K20" s="41"/>
      <c r="L20" s="40"/>
      <c r="M20" s="36"/>
      <c r="O20" s="31"/>
      <c r="P20" s="42" t="str">
        <f aca="false">IF($O20="","",IFERROR(INDEX(基础资料!$R$6:$R$205,MATCH($O20,基础资料!$Q$6:$Q$205,0)),""))</f>
        <v/>
      </c>
      <c r="Q20" s="42" t="str">
        <f aca="false">IF($O20="","",IFERROR(INDEX(基础资料!$S$6:$S$205,MATCH($O20,基础资料!$Q$6:$Q$205,0)),""))</f>
        <v/>
      </c>
      <c r="R20" s="43"/>
      <c r="S20" s="40"/>
      <c r="T20" s="44" t="str">
        <f aca="false">IF($O20="","",ROUND(N($R20)*N($S20),2))</f>
        <v/>
      </c>
      <c r="U20" s="36"/>
      <c r="W20" s="31"/>
      <c r="X20" s="35" t="str">
        <f aca="false">IF($W20="","",IFERROR(INDEX(科目参数!$B$6:$B$125,MATCH($W20,科目参数!$A$6:$A$125,0)),"⚠科目不存在"))</f>
        <v/>
      </c>
      <c r="Y20" s="42" t="str">
        <f aca="false">IF($W20="","",IFERROR(INDEX(科目参数!$D$6:$D$125,MATCH($W20,科目参数!$A$6:$A$125,0)),""))</f>
        <v/>
      </c>
      <c r="Z20" s="40"/>
      <c r="AA20" s="40"/>
      <c r="AB20" s="36"/>
    </row>
    <row r="21" customFormat="false" ht="15.75" hidden="false" customHeight="true" outlineLevel="0" collapsed="false">
      <c r="A21" s="33"/>
      <c r="B21" s="40"/>
      <c r="C21" s="36"/>
      <c r="E21" s="33"/>
      <c r="F21" s="41"/>
      <c r="G21" s="40"/>
      <c r="H21" s="36"/>
      <c r="J21" s="33"/>
      <c r="K21" s="41"/>
      <c r="L21" s="40"/>
      <c r="M21" s="36"/>
      <c r="O21" s="31"/>
      <c r="P21" s="42" t="str">
        <f aca="false">IF($O21="","",IFERROR(INDEX(基础资料!$R$6:$R$205,MATCH($O21,基础资料!$Q$6:$Q$205,0)),""))</f>
        <v/>
      </c>
      <c r="Q21" s="42" t="str">
        <f aca="false">IF($O21="","",IFERROR(INDEX(基础资料!$S$6:$S$205,MATCH($O21,基础资料!$Q$6:$Q$205,0)),""))</f>
        <v/>
      </c>
      <c r="R21" s="43"/>
      <c r="S21" s="40"/>
      <c r="T21" s="44" t="str">
        <f aca="false">IF($O21="","",ROUND(N($R21)*N($S21),2))</f>
        <v/>
      </c>
      <c r="U21" s="36"/>
      <c r="W21" s="31"/>
      <c r="X21" s="35" t="str">
        <f aca="false">IF($W21="","",IFERROR(INDEX(科目参数!$B$6:$B$125,MATCH($W21,科目参数!$A$6:$A$125,0)),"⚠科目不存在"))</f>
        <v/>
      </c>
      <c r="Y21" s="42" t="str">
        <f aca="false">IF($W21="","",IFERROR(INDEX(科目参数!$D$6:$D$125,MATCH($W21,科目参数!$A$6:$A$125,0)),""))</f>
        <v/>
      </c>
      <c r="Z21" s="40"/>
      <c r="AA21" s="40"/>
      <c r="AB21" s="36"/>
    </row>
    <row r="22" customFormat="false" ht="15.75" hidden="false" customHeight="true" outlineLevel="0" collapsed="false">
      <c r="A22" s="33"/>
      <c r="B22" s="40"/>
      <c r="C22" s="36"/>
      <c r="E22" s="33"/>
      <c r="F22" s="41"/>
      <c r="G22" s="40"/>
      <c r="H22" s="36"/>
      <c r="J22" s="33"/>
      <c r="K22" s="41"/>
      <c r="L22" s="40"/>
      <c r="M22" s="36"/>
      <c r="O22" s="31"/>
      <c r="P22" s="42" t="str">
        <f aca="false">IF($O22="","",IFERROR(INDEX(基础资料!$R$6:$R$205,MATCH($O22,基础资料!$Q$6:$Q$205,0)),""))</f>
        <v/>
      </c>
      <c r="Q22" s="42" t="str">
        <f aca="false">IF($O22="","",IFERROR(INDEX(基础资料!$S$6:$S$205,MATCH($O22,基础资料!$Q$6:$Q$205,0)),""))</f>
        <v/>
      </c>
      <c r="R22" s="43"/>
      <c r="S22" s="40"/>
      <c r="T22" s="44" t="str">
        <f aca="false">IF($O22="","",ROUND(N($R22)*N($S22),2))</f>
        <v/>
      </c>
      <c r="U22" s="36"/>
      <c r="W22" s="31"/>
      <c r="X22" s="35" t="str">
        <f aca="false">IF($W22="","",IFERROR(INDEX(科目参数!$B$6:$B$125,MATCH($W22,科目参数!$A$6:$A$125,0)),"⚠科目不存在"))</f>
        <v/>
      </c>
      <c r="Y22" s="42" t="str">
        <f aca="false">IF($W22="","",IFERROR(INDEX(科目参数!$D$6:$D$125,MATCH($W22,科目参数!$A$6:$A$125,0)),""))</f>
        <v/>
      </c>
      <c r="Z22" s="40"/>
      <c r="AA22" s="40"/>
      <c r="AB22" s="36"/>
    </row>
    <row r="23" customFormat="false" ht="15.75" hidden="false" customHeight="true" outlineLevel="0" collapsed="false">
      <c r="A23" s="33"/>
      <c r="B23" s="40"/>
      <c r="C23" s="36"/>
      <c r="E23" s="33"/>
      <c r="F23" s="41"/>
      <c r="G23" s="40"/>
      <c r="H23" s="36"/>
      <c r="J23" s="33"/>
      <c r="K23" s="41"/>
      <c r="L23" s="40"/>
      <c r="M23" s="36"/>
      <c r="O23" s="31"/>
      <c r="P23" s="42" t="str">
        <f aca="false">IF($O23="","",IFERROR(INDEX(基础资料!$R$6:$R$205,MATCH($O23,基础资料!$Q$6:$Q$205,0)),""))</f>
        <v/>
      </c>
      <c r="Q23" s="42" t="str">
        <f aca="false">IF($O23="","",IFERROR(INDEX(基础资料!$S$6:$S$205,MATCH($O23,基础资料!$Q$6:$Q$205,0)),""))</f>
        <v/>
      </c>
      <c r="R23" s="43"/>
      <c r="S23" s="40"/>
      <c r="T23" s="44" t="str">
        <f aca="false">IF($O23="","",ROUND(N($R23)*N($S23),2))</f>
        <v/>
      </c>
      <c r="U23" s="36"/>
      <c r="W23" s="31"/>
      <c r="X23" s="35" t="str">
        <f aca="false">IF($W23="","",IFERROR(INDEX(科目参数!$B$6:$B$125,MATCH($W23,科目参数!$A$6:$A$125,0)),"⚠科目不存在"))</f>
        <v/>
      </c>
      <c r="Y23" s="42" t="str">
        <f aca="false">IF($W23="","",IFERROR(INDEX(科目参数!$D$6:$D$125,MATCH($W23,科目参数!$A$6:$A$125,0)),""))</f>
        <v/>
      </c>
      <c r="Z23" s="40"/>
      <c r="AA23" s="40"/>
      <c r="AB23" s="36"/>
    </row>
    <row r="24" customFormat="false" ht="15.75" hidden="false" customHeight="true" outlineLevel="0" collapsed="false">
      <c r="A24" s="33"/>
      <c r="B24" s="40"/>
      <c r="C24" s="36"/>
      <c r="E24" s="33"/>
      <c r="F24" s="41"/>
      <c r="G24" s="40"/>
      <c r="H24" s="36"/>
      <c r="J24" s="33"/>
      <c r="K24" s="41"/>
      <c r="L24" s="40"/>
      <c r="M24" s="36"/>
      <c r="O24" s="31"/>
      <c r="P24" s="42" t="str">
        <f aca="false">IF($O24="","",IFERROR(INDEX(基础资料!$R$6:$R$205,MATCH($O24,基础资料!$Q$6:$Q$205,0)),""))</f>
        <v/>
      </c>
      <c r="Q24" s="42" t="str">
        <f aca="false">IF($O24="","",IFERROR(INDEX(基础资料!$S$6:$S$205,MATCH($O24,基础资料!$Q$6:$Q$205,0)),""))</f>
        <v/>
      </c>
      <c r="R24" s="43"/>
      <c r="S24" s="40"/>
      <c r="T24" s="44" t="str">
        <f aca="false">IF($O24="","",ROUND(N($R24)*N($S24),2))</f>
        <v/>
      </c>
      <c r="U24" s="36"/>
      <c r="W24" s="31"/>
      <c r="X24" s="35" t="str">
        <f aca="false">IF($W24="","",IFERROR(INDEX(科目参数!$B$6:$B$125,MATCH($W24,科目参数!$A$6:$A$125,0)),"⚠科目不存在"))</f>
        <v/>
      </c>
      <c r="Y24" s="42" t="str">
        <f aca="false">IF($W24="","",IFERROR(INDEX(科目参数!$D$6:$D$125,MATCH($W24,科目参数!$A$6:$A$125,0)),""))</f>
        <v/>
      </c>
      <c r="Z24" s="40"/>
      <c r="AA24" s="40"/>
      <c r="AB24" s="36"/>
    </row>
    <row r="25" customFormat="false" ht="15.75" hidden="false" customHeight="true" outlineLevel="0" collapsed="false">
      <c r="A25" s="33"/>
      <c r="B25" s="40"/>
      <c r="C25" s="36"/>
      <c r="E25" s="33"/>
      <c r="F25" s="41"/>
      <c r="G25" s="40"/>
      <c r="H25" s="36"/>
      <c r="J25" s="33"/>
      <c r="K25" s="41"/>
      <c r="L25" s="40"/>
      <c r="M25" s="36"/>
      <c r="O25" s="31"/>
      <c r="P25" s="42" t="str">
        <f aca="false">IF($O25="","",IFERROR(INDEX(基础资料!$R$6:$R$205,MATCH($O25,基础资料!$Q$6:$Q$205,0)),""))</f>
        <v/>
      </c>
      <c r="Q25" s="42" t="str">
        <f aca="false">IF($O25="","",IFERROR(INDEX(基础资料!$S$6:$S$205,MATCH($O25,基础资料!$Q$6:$Q$205,0)),""))</f>
        <v/>
      </c>
      <c r="R25" s="43"/>
      <c r="S25" s="40"/>
      <c r="T25" s="44" t="str">
        <f aca="false">IF($O25="","",ROUND(N($R25)*N($S25),2))</f>
        <v/>
      </c>
      <c r="U25" s="36"/>
      <c r="W25" s="31"/>
      <c r="X25" s="35" t="str">
        <f aca="false">IF($W25="","",IFERROR(INDEX(科目参数!$B$6:$B$125,MATCH($W25,科目参数!$A$6:$A$125,0)),"⚠科目不存在"))</f>
        <v/>
      </c>
      <c r="Y25" s="42" t="str">
        <f aca="false">IF($W25="","",IFERROR(INDEX(科目参数!$D$6:$D$125,MATCH($W25,科目参数!$A$6:$A$125,0)),""))</f>
        <v/>
      </c>
      <c r="Z25" s="40"/>
      <c r="AA25" s="40"/>
      <c r="AB25" s="36"/>
    </row>
    <row r="26" customFormat="false" ht="15.75" hidden="false" customHeight="true" outlineLevel="0" collapsed="false">
      <c r="A26" s="33"/>
      <c r="B26" s="40"/>
      <c r="C26" s="36"/>
      <c r="E26" s="33"/>
      <c r="F26" s="41"/>
      <c r="G26" s="40"/>
      <c r="H26" s="36"/>
      <c r="J26" s="33"/>
      <c r="K26" s="41"/>
      <c r="L26" s="40"/>
      <c r="M26" s="36"/>
      <c r="O26" s="31"/>
      <c r="P26" s="42" t="str">
        <f aca="false">IF($O26="","",IFERROR(INDEX(基础资料!$R$6:$R$205,MATCH($O26,基础资料!$Q$6:$Q$205,0)),""))</f>
        <v/>
      </c>
      <c r="Q26" s="42" t="str">
        <f aca="false">IF($O26="","",IFERROR(INDEX(基础资料!$S$6:$S$205,MATCH($O26,基础资料!$Q$6:$Q$205,0)),""))</f>
        <v/>
      </c>
      <c r="R26" s="43"/>
      <c r="S26" s="40"/>
      <c r="T26" s="44" t="str">
        <f aca="false">IF($O26="","",ROUND(N($R26)*N($S26),2))</f>
        <v/>
      </c>
      <c r="U26" s="36"/>
      <c r="W26" s="31"/>
      <c r="X26" s="35" t="str">
        <f aca="false">IF($W26="","",IFERROR(INDEX(科目参数!$B$6:$B$125,MATCH($W26,科目参数!$A$6:$A$125,0)),"⚠科目不存在"))</f>
        <v/>
      </c>
      <c r="Y26" s="42" t="str">
        <f aca="false">IF($W26="","",IFERROR(INDEX(科目参数!$D$6:$D$125,MATCH($W26,科目参数!$A$6:$A$125,0)),""))</f>
        <v/>
      </c>
      <c r="Z26" s="40"/>
      <c r="AA26" s="40"/>
      <c r="AB26" s="36"/>
    </row>
    <row r="27" customFormat="false" ht="15.75" hidden="false" customHeight="true" outlineLevel="0" collapsed="false">
      <c r="A27" s="33"/>
      <c r="B27" s="40"/>
      <c r="C27" s="36"/>
      <c r="E27" s="33"/>
      <c r="F27" s="41"/>
      <c r="G27" s="40"/>
      <c r="H27" s="36"/>
      <c r="J27" s="33"/>
      <c r="K27" s="41"/>
      <c r="L27" s="40"/>
      <c r="M27" s="36"/>
      <c r="O27" s="31"/>
      <c r="P27" s="42" t="str">
        <f aca="false">IF($O27="","",IFERROR(INDEX(基础资料!$R$6:$R$205,MATCH($O27,基础资料!$Q$6:$Q$205,0)),""))</f>
        <v/>
      </c>
      <c r="Q27" s="42" t="str">
        <f aca="false">IF($O27="","",IFERROR(INDEX(基础资料!$S$6:$S$205,MATCH($O27,基础资料!$Q$6:$Q$205,0)),""))</f>
        <v/>
      </c>
      <c r="R27" s="43"/>
      <c r="S27" s="40"/>
      <c r="T27" s="44" t="str">
        <f aca="false">IF($O27="","",ROUND(N($R27)*N($S27),2))</f>
        <v/>
      </c>
      <c r="U27" s="36"/>
      <c r="W27" s="31"/>
      <c r="X27" s="35" t="str">
        <f aca="false">IF($W27="","",IFERROR(INDEX(科目参数!$B$6:$B$125,MATCH($W27,科目参数!$A$6:$A$125,0)),"⚠科目不存在"))</f>
        <v/>
      </c>
      <c r="Y27" s="42" t="str">
        <f aca="false">IF($W27="","",IFERROR(INDEX(科目参数!$D$6:$D$125,MATCH($W27,科目参数!$A$6:$A$125,0)),""))</f>
        <v/>
      </c>
      <c r="Z27" s="40"/>
      <c r="AA27" s="40"/>
      <c r="AB27" s="36"/>
    </row>
    <row r="28" customFormat="false" ht="15.75" hidden="false" customHeight="true" outlineLevel="0" collapsed="false">
      <c r="A28" s="33"/>
      <c r="B28" s="40"/>
      <c r="C28" s="36"/>
      <c r="E28" s="33"/>
      <c r="F28" s="41"/>
      <c r="G28" s="40"/>
      <c r="H28" s="36"/>
      <c r="J28" s="33"/>
      <c r="K28" s="41"/>
      <c r="L28" s="40"/>
      <c r="M28" s="36"/>
      <c r="O28" s="31"/>
      <c r="P28" s="42" t="str">
        <f aca="false">IF($O28="","",IFERROR(INDEX(基础资料!$R$6:$R$205,MATCH($O28,基础资料!$Q$6:$Q$205,0)),""))</f>
        <v/>
      </c>
      <c r="Q28" s="42" t="str">
        <f aca="false">IF($O28="","",IFERROR(INDEX(基础资料!$S$6:$S$205,MATCH($O28,基础资料!$Q$6:$Q$205,0)),""))</f>
        <v/>
      </c>
      <c r="R28" s="43"/>
      <c r="S28" s="40"/>
      <c r="T28" s="44" t="str">
        <f aca="false">IF($O28="","",ROUND(N($R28)*N($S28),2))</f>
        <v/>
      </c>
      <c r="U28" s="36"/>
      <c r="W28" s="31"/>
      <c r="X28" s="35" t="str">
        <f aca="false">IF($W28="","",IFERROR(INDEX(科目参数!$B$6:$B$125,MATCH($W28,科目参数!$A$6:$A$125,0)),"⚠科目不存在"))</f>
        <v/>
      </c>
      <c r="Y28" s="42" t="str">
        <f aca="false">IF($W28="","",IFERROR(INDEX(科目参数!$D$6:$D$125,MATCH($W28,科目参数!$A$6:$A$125,0)),""))</f>
        <v/>
      </c>
      <c r="Z28" s="40"/>
      <c r="AA28" s="40"/>
      <c r="AB28" s="36"/>
    </row>
    <row r="29" customFormat="false" ht="15.75" hidden="false" customHeight="true" outlineLevel="0" collapsed="false">
      <c r="A29" s="33"/>
      <c r="B29" s="40"/>
      <c r="C29" s="36"/>
      <c r="E29" s="33"/>
      <c r="F29" s="41"/>
      <c r="G29" s="40"/>
      <c r="H29" s="36"/>
      <c r="J29" s="33"/>
      <c r="K29" s="41"/>
      <c r="L29" s="40"/>
      <c r="M29" s="36"/>
      <c r="O29" s="31"/>
      <c r="P29" s="42" t="str">
        <f aca="false">IF($O29="","",IFERROR(INDEX(基础资料!$R$6:$R$205,MATCH($O29,基础资料!$Q$6:$Q$205,0)),""))</f>
        <v/>
      </c>
      <c r="Q29" s="42" t="str">
        <f aca="false">IF($O29="","",IFERROR(INDEX(基础资料!$S$6:$S$205,MATCH($O29,基础资料!$Q$6:$Q$205,0)),""))</f>
        <v/>
      </c>
      <c r="R29" s="43"/>
      <c r="S29" s="40"/>
      <c r="T29" s="44" t="str">
        <f aca="false">IF($O29="","",ROUND(N($R29)*N($S29),2))</f>
        <v/>
      </c>
      <c r="U29" s="36"/>
      <c r="W29" s="31"/>
      <c r="X29" s="35" t="str">
        <f aca="false">IF($W29="","",IFERROR(INDEX(科目参数!$B$6:$B$125,MATCH($W29,科目参数!$A$6:$A$125,0)),"⚠科目不存在"))</f>
        <v/>
      </c>
      <c r="Y29" s="42" t="str">
        <f aca="false">IF($W29="","",IFERROR(INDEX(科目参数!$D$6:$D$125,MATCH($W29,科目参数!$A$6:$A$125,0)),""))</f>
        <v/>
      </c>
      <c r="Z29" s="40"/>
      <c r="AA29" s="40"/>
      <c r="AB29" s="36"/>
    </row>
    <row r="30" customFormat="false" ht="15.75" hidden="false" customHeight="true" outlineLevel="0" collapsed="false">
      <c r="A30" s="33"/>
      <c r="B30" s="40"/>
      <c r="C30" s="36"/>
      <c r="E30" s="33"/>
      <c r="F30" s="41"/>
      <c r="G30" s="40"/>
      <c r="H30" s="36"/>
      <c r="J30" s="33"/>
      <c r="K30" s="41"/>
      <c r="L30" s="40"/>
      <c r="M30" s="36"/>
      <c r="O30" s="31"/>
      <c r="P30" s="42" t="str">
        <f aca="false">IF($O30="","",IFERROR(INDEX(基础资料!$R$6:$R$205,MATCH($O30,基础资料!$Q$6:$Q$205,0)),""))</f>
        <v/>
      </c>
      <c r="Q30" s="42" t="str">
        <f aca="false">IF($O30="","",IFERROR(INDEX(基础资料!$S$6:$S$205,MATCH($O30,基础资料!$Q$6:$Q$205,0)),""))</f>
        <v/>
      </c>
      <c r="R30" s="43"/>
      <c r="S30" s="40"/>
      <c r="T30" s="44" t="str">
        <f aca="false">IF($O30="","",ROUND(N($R30)*N($S30),2))</f>
        <v/>
      </c>
      <c r="U30" s="36"/>
      <c r="W30" s="31"/>
      <c r="X30" s="35" t="str">
        <f aca="false">IF($W30="","",IFERROR(INDEX(科目参数!$B$6:$B$125,MATCH($W30,科目参数!$A$6:$A$125,0)),"⚠科目不存在"))</f>
        <v/>
      </c>
      <c r="Y30" s="42" t="str">
        <f aca="false">IF($W30="","",IFERROR(INDEX(科目参数!$D$6:$D$125,MATCH($W30,科目参数!$A$6:$A$125,0)),""))</f>
        <v/>
      </c>
      <c r="Z30" s="40"/>
      <c r="AA30" s="40"/>
      <c r="AB30" s="36"/>
    </row>
    <row r="31" customFormat="false" ht="15.75" hidden="false" customHeight="true" outlineLevel="0" collapsed="false">
      <c r="A31" s="33"/>
      <c r="B31" s="40"/>
      <c r="C31" s="36"/>
      <c r="E31" s="33"/>
      <c r="F31" s="41"/>
      <c r="G31" s="40"/>
      <c r="H31" s="36"/>
      <c r="J31" s="33"/>
      <c r="K31" s="41"/>
      <c r="L31" s="40"/>
      <c r="M31" s="36"/>
      <c r="O31" s="31"/>
      <c r="P31" s="42" t="str">
        <f aca="false">IF($O31="","",IFERROR(INDEX(基础资料!$R$6:$R$205,MATCH($O31,基础资料!$Q$6:$Q$205,0)),""))</f>
        <v/>
      </c>
      <c r="Q31" s="42" t="str">
        <f aca="false">IF($O31="","",IFERROR(INDEX(基础资料!$S$6:$S$205,MATCH($O31,基础资料!$Q$6:$Q$205,0)),""))</f>
        <v/>
      </c>
      <c r="R31" s="43"/>
      <c r="S31" s="40"/>
      <c r="T31" s="44" t="str">
        <f aca="false">IF($O31="","",ROUND(N($R31)*N($S31),2))</f>
        <v/>
      </c>
      <c r="U31" s="36"/>
      <c r="W31" s="31"/>
      <c r="X31" s="35" t="str">
        <f aca="false">IF($W31="","",IFERROR(INDEX(科目参数!$B$6:$B$125,MATCH($W31,科目参数!$A$6:$A$125,0)),"⚠科目不存在"))</f>
        <v/>
      </c>
      <c r="Y31" s="42" t="str">
        <f aca="false">IF($W31="","",IFERROR(INDEX(科目参数!$D$6:$D$125,MATCH($W31,科目参数!$A$6:$A$125,0)),""))</f>
        <v/>
      </c>
      <c r="Z31" s="40"/>
      <c r="AA31" s="40"/>
      <c r="AB31" s="36"/>
    </row>
    <row r="32" customFormat="false" ht="15.75" hidden="false" customHeight="true" outlineLevel="0" collapsed="false">
      <c r="A32" s="33"/>
      <c r="B32" s="40"/>
      <c r="C32" s="36"/>
      <c r="E32" s="33"/>
      <c r="F32" s="41"/>
      <c r="G32" s="40"/>
      <c r="H32" s="36"/>
      <c r="J32" s="33"/>
      <c r="K32" s="41"/>
      <c r="L32" s="40"/>
      <c r="M32" s="36"/>
      <c r="O32" s="31"/>
      <c r="P32" s="42" t="str">
        <f aca="false">IF($O32="","",IFERROR(INDEX(基础资料!$R$6:$R$205,MATCH($O32,基础资料!$Q$6:$Q$205,0)),""))</f>
        <v/>
      </c>
      <c r="Q32" s="42" t="str">
        <f aca="false">IF($O32="","",IFERROR(INDEX(基础资料!$S$6:$S$205,MATCH($O32,基础资料!$Q$6:$Q$205,0)),""))</f>
        <v/>
      </c>
      <c r="R32" s="43"/>
      <c r="S32" s="40"/>
      <c r="T32" s="44" t="str">
        <f aca="false">IF($O32="","",ROUND(N($R32)*N($S32),2))</f>
        <v/>
      </c>
      <c r="U32" s="36"/>
      <c r="W32" s="31"/>
      <c r="X32" s="35" t="str">
        <f aca="false">IF($W32="","",IFERROR(INDEX(科目参数!$B$6:$B$125,MATCH($W32,科目参数!$A$6:$A$125,0)),"⚠科目不存在"))</f>
        <v/>
      </c>
      <c r="Y32" s="42" t="str">
        <f aca="false">IF($W32="","",IFERROR(INDEX(科目参数!$D$6:$D$125,MATCH($W32,科目参数!$A$6:$A$125,0)),""))</f>
        <v/>
      </c>
      <c r="Z32" s="40"/>
      <c r="AA32" s="40"/>
      <c r="AB32" s="36"/>
    </row>
    <row r="33" customFormat="false" ht="15.75" hidden="false" customHeight="true" outlineLevel="0" collapsed="false">
      <c r="A33" s="33"/>
      <c r="B33" s="40"/>
      <c r="C33" s="36"/>
      <c r="E33" s="33"/>
      <c r="F33" s="41"/>
      <c r="G33" s="40"/>
      <c r="H33" s="36"/>
      <c r="J33" s="33"/>
      <c r="K33" s="41"/>
      <c r="L33" s="40"/>
      <c r="M33" s="36"/>
      <c r="O33" s="31"/>
      <c r="P33" s="42" t="str">
        <f aca="false">IF($O33="","",IFERROR(INDEX(基础资料!$R$6:$R$205,MATCH($O33,基础资料!$Q$6:$Q$205,0)),""))</f>
        <v/>
      </c>
      <c r="Q33" s="42" t="str">
        <f aca="false">IF($O33="","",IFERROR(INDEX(基础资料!$S$6:$S$205,MATCH($O33,基础资料!$Q$6:$Q$205,0)),""))</f>
        <v/>
      </c>
      <c r="R33" s="43"/>
      <c r="S33" s="40"/>
      <c r="T33" s="44" t="str">
        <f aca="false">IF($O33="","",ROUND(N($R33)*N($S33),2))</f>
        <v/>
      </c>
      <c r="U33" s="36"/>
      <c r="W33" s="31"/>
      <c r="X33" s="35" t="str">
        <f aca="false">IF($W33="","",IFERROR(INDEX(科目参数!$B$6:$B$125,MATCH($W33,科目参数!$A$6:$A$125,0)),"⚠科目不存在"))</f>
        <v/>
      </c>
      <c r="Y33" s="42" t="str">
        <f aca="false">IF($W33="","",IFERROR(INDEX(科目参数!$D$6:$D$125,MATCH($W33,科目参数!$A$6:$A$125,0)),""))</f>
        <v/>
      </c>
      <c r="Z33" s="40"/>
      <c r="AA33" s="40"/>
      <c r="AB33" s="36"/>
    </row>
    <row r="34" customFormat="false" ht="15.75" hidden="false" customHeight="true" outlineLevel="0" collapsed="false">
      <c r="A34" s="33"/>
      <c r="B34" s="40"/>
      <c r="C34" s="36"/>
      <c r="E34" s="33"/>
      <c r="F34" s="41"/>
      <c r="G34" s="40"/>
      <c r="H34" s="36"/>
      <c r="J34" s="33"/>
      <c r="K34" s="41"/>
      <c r="L34" s="40"/>
      <c r="M34" s="36"/>
      <c r="O34" s="31"/>
      <c r="P34" s="42" t="str">
        <f aca="false">IF($O34="","",IFERROR(INDEX(基础资料!$R$6:$R$205,MATCH($O34,基础资料!$Q$6:$Q$205,0)),""))</f>
        <v/>
      </c>
      <c r="Q34" s="42" t="str">
        <f aca="false">IF($O34="","",IFERROR(INDEX(基础资料!$S$6:$S$205,MATCH($O34,基础资料!$Q$6:$Q$205,0)),""))</f>
        <v/>
      </c>
      <c r="R34" s="43"/>
      <c r="S34" s="40"/>
      <c r="T34" s="44" t="str">
        <f aca="false">IF($O34="","",ROUND(N($R34)*N($S34),2))</f>
        <v/>
      </c>
      <c r="U34" s="36"/>
      <c r="W34" s="31"/>
      <c r="X34" s="35" t="str">
        <f aca="false">IF($W34="","",IFERROR(INDEX(科目参数!$B$6:$B$125,MATCH($W34,科目参数!$A$6:$A$125,0)),"⚠科目不存在"))</f>
        <v/>
      </c>
      <c r="Y34" s="42" t="str">
        <f aca="false">IF($W34="","",IFERROR(INDEX(科目参数!$D$6:$D$125,MATCH($W34,科目参数!$A$6:$A$125,0)),""))</f>
        <v/>
      </c>
      <c r="Z34" s="40"/>
      <c r="AA34" s="40"/>
      <c r="AB34" s="36"/>
    </row>
    <row r="35" customFormat="false" ht="15.75" hidden="false" customHeight="true" outlineLevel="0" collapsed="false">
      <c r="A35" s="33"/>
      <c r="B35" s="40"/>
      <c r="C35" s="36"/>
      <c r="E35" s="33"/>
      <c r="F35" s="41"/>
      <c r="G35" s="40"/>
      <c r="H35" s="36"/>
      <c r="J35" s="33"/>
      <c r="K35" s="41"/>
      <c r="L35" s="40"/>
      <c r="M35" s="36"/>
      <c r="O35" s="31"/>
      <c r="P35" s="42" t="str">
        <f aca="false">IF($O35="","",IFERROR(INDEX(基础资料!$R$6:$R$205,MATCH($O35,基础资料!$Q$6:$Q$205,0)),""))</f>
        <v/>
      </c>
      <c r="Q35" s="42" t="str">
        <f aca="false">IF($O35="","",IFERROR(INDEX(基础资料!$S$6:$S$205,MATCH($O35,基础资料!$Q$6:$Q$205,0)),""))</f>
        <v/>
      </c>
      <c r="R35" s="43"/>
      <c r="S35" s="40"/>
      <c r="T35" s="44" t="str">
        <f aca="false">IF($O35="","",ROUND(N($R35)*N($S35),2))</f>
        <v/>
      </c>
      <c r="U35" s="36"/>
      <c r="W35" s="31"/>
      <c r="X35" s="35" t="str">
        <f aca="false">IF($W35="","",IFERROR(INDEX(科目参数!$B$6:$B$125,MATCH($W35,科目参数!$A$6:$A$125,0)),"⚠科目不存在"))</f>
        <v/>
      </c>
      <c r="Y35" s="42" t="str">
        <f aca="false">IF($W35="","",IFERROR(INDEX(科目参数!$D$6:$D$125,MATCH($W35,科目参数!$A$6:$A$125,0)),""))</f>
        <v/>
      </c>
      <c r="Z35" s="40"/>
      <c r="AA35" s="40"/>
      <c r="AB35" s="36"/>
    </row>
    <row r="36" customFormat="false" ht="15.75" hidden="false" customHeight="true" outlineLevel="0" collapsed="false">
      <c r="E36" s="33"/>
      <c r="F36" s="41"/>
      <c r="G36" s="40"/>
      <c r="H36" s="36"/>
      <c r="J36" s="33"/>
      <c r="K36" s="41"/>
      <c r="L36" s="40"/>
      <c r="M36" s="36"/>
      <c r="O36" s="31"/>
      <c r="P36" s="42" t="str">
        <f aca="false">IF($O36="","",IFERROR(INDEX(基础资料!$R$6:$R$205,MATCH($O36,基础资料!$Q$6:$Q$205,0)),""))</f>
        <v/>
      </c>
      <c r="Q36" s="42" t="str">
        <f aca="false">IF($O36="","",IFERROR(INDEX(基础资料!$S$6:$S$205,MATCH($O36,基础资料!$Q$6:$Q$205,0)),""))</f>
        <v/>
      </c>
      <c r="R36" s="43"/>
      <c r="S36" s="40"/>
      <c r="T36" s="44" t="str">
        <f aca="false">IF($O36="","",ROUND(N($R36)*N($S36),2))</f>
        <v/>
      </c>
      <c r="U36" s="36"/>
      <c r="W36" s="31"/>
      <c r="X36" s="35" t="str">
        <f aca="false">IF($W36="","",IFERROR(INDEX(科目参数!$B$6:$B$125,MATCH($W36,科目参数!$A$6:$A$125,0)),"⚠科目不存在"))</f>
        <v/>
      </c>
      <c r="Y36" s="42" t="str">
        <f aca="false">IF($W36="","",IFERROR(INDEX(科目参数!$D$6:$D$125,MATCH($W36,科目参数!$A$6:$A$125,0)),""))</f>
        <v/>
      </c>
      <c r="Z36" s="40"/>
      <c r="AA36" s="40"/>
      <c r="AB36" s="36"/>
    </row>
    <row r="37" customFormat="false" ht="15.75" hidden="false" customHeight="true" outlineLevel="0" collapsed="false">
      <c r="E37" s="33"/>
      <c r="F37" s="41"/>
      <c r="G37" s="40"/>
      <c r="H37" s="36"/>
      <c r="J37" s="33"/>
      <c r="K37" s="41"/>
      <c r="L37" s="40"/>
      <c r="M37" s="36"/>
      <c r="O37" s="31"/>
      <c r="P37" s="42" t="str">
        <f aca="false">IF($O37="","",IFERROR(INDEX(基础资料!$R$6:$R$205,MATCH($O37,基础资料!$Q$6:$Q$205,0)),""))</f>
        <v/>
      </c>
      <c r="Q37" s="42" t="str">
        <f aca="false">IF($O37="","",IFERROR(INDEX(基础资料!$S$6:$S$205,MATCH($O37,基础资料!$Q$6:$Q$205,0)),""))</f>
        <v/>
      </c>
      <c r="R37" s="43"/>
      <c r="S37" s="40"/>
      <c r="T37" s="44" t="str">
        <f aca="false">IF($O37="","",ROUND(N($R37)*N($S37),2))</f>
        <v/>
      </c>
      <c r="U37" s="36"/>
      <c r="W37" s="31"/>
      <c r="X37" s="35" t="str">
        <f aca="false">IF($W37="","",IFERROR(INDEX(科目参数!$B$6:$B$125,MATCH($W37,科目参数!$A$6:$A$125,0)),"⚠科目不存在"))</f>
        <v/>
      </c>
      <c r="Y37" s="42" t="str">
        <f aca="false">IF($W37="","",IFERROR(INDEX(科目参数!$D$6:$D$125,MATCH($W37,科目参数!$A$6:$A$125,0)),""))</f>
        <v/>
      </c>
      <c r="Z37" s="40"/>
      <c r="AA37" s="40"/>
      <c r="AB37" s="36"/>
    </row>
    <row r="38" customFormat="false" ht="15.75" hidden="false" customHeight="true" outlineLevel="0" collapsed="false">
      <c r="E38" s="33"/>
      <c r="F38" s="41"/>
      <c r="G38" s="40"/>
      <c r="H38" s="36"/>
      <c r="J38" s="33"/>
      <c r="K38" s="41"/>
      <c r="L38" s="40"/>
      <c r="M38" s="36"/>
      <c r="O38" s="31"/>
      <c r="P38" s="42" t="str">
        <f aca="false">IF($O38="","",IFERROR(INDEX(基础资料!$R$6:$R$205,MATCH($O38,基础资料!$Q$6:$Q$205,0)),""))</f>
        <v/>
      </c>
      <c r="Q38" s="42" t="str">
        <f aca="false">IF($O38="","",IFERROR(INDEX(基础资料!$S$6:$S$205,MATCH($O38,基础资料!$Q$6:$Q$205,0)),""))</f>
        <v/>
      </c>
      <c r="R38" s="43"/>
      <c r="S38" s="40"/>
      <c r="T38" s="44" t="str">
        <f aca="false">IF($O38="","",ROUND(N($R38)*N($S38),2))</f>
        <v/>
      </c>
      <c r="U38" s="36"/>
      <c r="W38" s="31"/>
      <c r="X38" s="35" t="str">
        <f aca="false">IF($W38="","",IFERROR(INDEX(科目参数!$B$6:$B$125,MATCH($W38,科目参数!$A$6:$A$125,0)),"⚠科目不存在"))</f>
        <v/>
      </c>
      <c r="Y38" s="42" t="str">
        <f aca="false">IF($W38="","",IFERROR(INDEX(科目参数!$D$6:$D$125,MATCH($W38,科目参数!$A$6:$A$125,0)),""))</f>
        <v/>
      </c>
      <c r="Z38" s="40"/>
      <c r="AA38" s="40"/>
      <c r="AB38" s="36"/>
    </row>
    <row r="39" customFormat="false" ht="15.75" hidden="false" customHeight="true" outlineLevel="0" collapsed="false">
      <c r="E39" s="33"/>
      <c r="F39" s="41"/>
      <c r="G39" s="40"/>
      <c r="H39" s="36"/>
      <c r="J39" s="33"/>
      <c r="K39" s="41"/>
      <c r="L39" s="40"/>
      <c r="M39" s="36"/>
      <c r="O39" s="31"/>
      <c r="P39" s="42" t="str">
        <f aca="false">IF($O39="","",IFERROR(INDEX(基础资料!$R$6:$R$205,MATCH($O39,基础资料!$Q$6:$Q$205,0)),""))</f>
        <v/>
      </c>
      <c r="Q39" s="42" t="str">
        <f aca="false">IF($O39="","",IFERROR(INDEX(基础资料!$S$6:$S$205,MATCH($O39,基础资料!$Q$6:$Q$205,0)),""))</f>
        <v/>
      </c>
      <c r="R39" s="43"/>
      <c r="S39" s="40"/>
      <c r="T39" s="44" t="str">
        <f aca="false">IF($O39="","",ROUND(N($R39)*N($S39),2))</f>
        <v/>
      </c>
      <c r="U39" s="36"/>
      <c r="W39" s="31"/>
      <c r="X39" s="35" t="str">
        <f aca="false">IF($W39="","",IFERROR(INDEX(科目参数!$B$6:$B$125,MATCH($W39,科目参数!$A$6:$A$125,0)),"⚠科目不存在"))</f>
        <v/>
      </c>
      <c r="Y39" s="42" t="str">
        <f aca="false">IF($W39="","",IFERROR(INDEX(科目参数!$D$6:$D$125,MATCH($W39,科目参数!$A$6:$A$125,0)),""))</f>
        <v/>
      </c>
      <c r="Z39" s="40"/>
      <c r="AA39" s="40"/>
      <c r="AB39" s="36"/>
    </row>
    <row r="40" customFormat="false" ht="15.75" hidden="false" customHeight="true" outlineLevel="0" collapsed="false">
      <c r="E40" s="33"/>
      <c r="F40" s="41"/>
      <c r="G40" s="40"/>
      <c r="H40" s="36"/>
      <c r="J40" s="33"/>
      <c r="K40" s="41"/>
      <c r="L40" s="40"/>
      <c r="M40" s="36"/>
      <c r="O40" s="31"/>
      <c r="P40" s="42" t="str">
        <f aca="false">IF($O40="","",IFERROR(INDEX(基础资料!$R$6:$R$205,MATCH($O40,基础资料!$Q$6:$Q$205,0)),""))</f>
        <v/>
      </c>
      <c r="Q40" s="42" t="str">
        <f aca="false">IF($O40="","",IFERROR(INDEX(基础资料!$S$6:$S$205,MATCH($O40,基础资料!$Q$6:$Q$205,0)),""))</f>
        <v/>
      </c>
      <c r="R40" s="43"/>
      <c r="S40" s="40"/>
      <c r="T40" s="44" t="str">
        <f aca="false">IF($O40="","",ROUND(N($R40)*N($S40),2))</f>
        <v/>
      </c>
      <c r="U40" s="36"/>
      <c r="W40" s="31"/>
      <c r="X40" s="35" t="str">
        <f aca="false">IF($W40="","",IFERROR(INDEX(科目参数!$B$6:$B$125,MATCH($W40,科目参数!$A$6:$A$125,0)),"⚠科目不存在"))</f>
        <v/>
      </c>
      <c r="Y40" s="42" t="str">
        <f aca="false">IF($W40="","",IFERROR(INDEX(科目参数!$D$6:$D$125,MATCH($W40,科目参数!$A$6:$A$125,0)),""))</f>
        <v/>
      </c>
      <c r="Z40" s="40"/>
      <c r="AA40" s="40"/>
      <c r="AB40" s="36"/>
    </row>
    <row r="41" customFormat="false" ht="15.75" hidden="false" customHeight="true" outlineLevel="0" collapsed="false">
      <c r="E41" s="33"/>
      <c r="F41" s="41"/>
      <c r="G41" s="40"/>
      <c r="H41" s="36"/>
      <c r="J41" s="33"/>
      <c r="K41" s="41"/>
      <c r="L41" s="40"/>
      <c r="M41" s="36"/>
      <c r="O41" s="31"/>
      <c r="P41" s="42" t="str">
        <f aca="false">IF($O41="","",IFERROR(INDEX(基础资料!$R$6:$R$205,MATCH($O41,基础资料!$Q$6:$Q$205,0)),""))</f>
        <v/>
      </c>
      <c r="Q41" s="42" t="str">
        <f aca="false">IF($O41="","",IFERROR(INDEX(基础资料!$S$6:$S$205,MATCH($O41,基础资料!$Q$6:$Q$205,0)),""))</f>
        <v/>
      </c>
      <c r="R41" s="43"/>
      <c r="S41" s="40"/>
      <c r="T41" s="44" t="str">
        <f aca="false">IF($O41="","",ROUND(N($R41)*N($S41),2))</f>
        <v/>
      </c>
      <c r="U41" s="36"/>
      <c r="W41" s="31"/>
      <c r="X41" s="35" t="str">
        <f aca="false">IF($W41="","",IFERROR(INDEX(科目参数!$B$6:$B$125,MATCH($W41,科目参数!$A$6:$A$125,0)),"⚠科目不存在"))</f>
        <v/>
      </c>
      <c r="Y41" s="42" t="str">
        <f aca="false">IF($W41="","",IFERROR(INDEX(科目参数!$D$6:$D$125,MATCH($W41,科目参数!$A$6:$A$125,0)),""))</f>
        <v/>
      </c>
      <c r="Z41" s="40"/>
      <c r="AA41" s="40"/>
      <c r="AB41" s="36"/>
    </row>
    <row r="42" customFormat="false" ht="15.75" hidden="false" customHeight="true" outlineLevel="0" collapsed="false">
      <c r="E42" s="33"/>
      <c r="F42" s="41"/>
      <c r="G42" s="40"/>
      <c r="H42" s="36"/>
      <c r="J42" s="33"/>
      <c r="K42" s="41"/>
      <c r="L42" s="40"/>
      <c r="M42" s="36"/>
      <c r="O42" s="31"/>
      <c r="P42" s="42" t="str">
        <f aca="false">IF($O42="","",IFERROR(INDEX(基础资料!$R$6:$R$205,MATCH($O42,基础资料!$Q$6:$Q$205,0)),""))</f>
        <v/>
      </c>
      <c r="Q42" s="42" t="str">
        <f aca="false">IF($O42="","",IFERROR(INDEX(基础资料!$S$6:$S$205,MATCH($O42,基础资料!$Q$6:$Q$205,0)),""))</f>
        <v/>
      </c>
      <c r="R42" s="43"/>
      <c r="S42" s="40"/>
      <c r="T42" s="44" t="str">
        <f aca="false">IF($O42="","",ROUND(N($R42)*N($S42),2))</f>
        <v/>
      </c>
      <c r="U42" s="36"/>
      <c r="W42" s="31"/>
      <c r="X42" s="35" t="str">
        <f aca="false">IF($W42="","",IFERROR(INDEX(科目参数!$B$6:$B$125,MATCH($W42,科目参数!$A$6:$A$125,0)),"⚠科目不存在"))</f>
        <v/>
      </c>
      <c r="Y42" s="42" t="str">
        <f aca="false">IF($W42="","",IFERROR(INDEX(科目参数!$D$6:$D$125,MATCH($W42,科目参数!$A$6:$A$125,0)),""))</f>
        <v/>
      </c>
      <c r="Z42" s="40"/>
      <c r="AA42" s="40"/>
      <c r="AB42" s="36"/>
    </row>
    <row r="43" customFormat="false" ht="15.75" hidden="false" customHeight="true" outlineLevel="0" collapsed="false">
      <c r="E43" s="33"/>
      <c r="F43" s="41"/>
      <c r="G43" s="40"/>
      <c r="H43" s="36"/>
      <c r="J43" s="33"/>
      <c r="K43" s="41"/>
      <c r="L43" s="40"/>
      <c r="M43" s="36"/>
      <c r="O43" s="31"/>
      <c r="P43" s="42" t="str">
        <f aca="false">IF($O43="","",IFERROR(INDEX(基础资料!$R$6:$R$205,MATCH($O43,基础资料!$Q$6:$Q$205,0)),""))</f>
        <v/>
      </c>
      <c r="Q43" s="42" t="str">
        <f aca="false">IF($O43="","",IFERROR(INDEX(基础资料!$S$6:$S$205,MATCH($O43,基础资料!$Q$6:$Q$205,0)),""))</f>
        <v/>
      </c>
      <c r="R43" s="43"/>
      <c r="S43" s="40"/>
      <c r="T43" s="44" t="str">
        <f aca="false">IF($O43="","",ROUND(N($R43)*N($S43),2))</f>
        <v/>
      </c>
      <c r="U43" s="36"/>
      <c r="W43" s="31"/>
      <c r="X43" s="35" t="str">
        <f aca="false">IF($W43="","",IFERROR(INDEX(科目参数!$B$6:$B$125,MATCH($W43,科目参数!$A$6:$A$125,0)),"⚠科目不存在"))</f>
        <v/>
      </c>
      <c r="Y43" s="42" t="str">
        <f aca="false">IF($W43="","",IFERROR(INDEX(科目参数!$D$6:$D$125,MATCH($W43,科目参数!$A$6:$A$125,0)),""))</f>
        <v/>
      </c>
      <c r="Z43" s="40"/>
      <c r="AA43" s="40"/>
      <c r="AB43" s="36"/>
    </row>
    <row r="44" customFormat="false" ht="15.75" hidden="false" customHeight="true" outlineLevel="0" collapsed="false">
      <c r="E44" s="33"/>
      <c r="F44" s="41"/>
      <c r="G44" s="40"/>
      <c r="H44" s="36"/>
      <c r="J44" s="33"/>
      <c r="K44" s="41"/>
      <c r="L44" s="40"/>
      <c r="M44" s="36"/>
      <c r="O44" s="31"/>
      <c r="P44" s="42" t="str">
        <f aca="false">IF($O44="","",IFERROR(INDEX(基础资料!$R$6:$R$205,MATCH($O44,基础资料!$Q$6:$Q$205,0)),""))</f>
        <v/>
      </c>
      <c r="Q44" s="42" t="str">
        <f aca="false">IF($O44="","",IFERROR(INDEX(基础资料!$S$6:$S$205,MATCH($O44,基础资料!$Q$6:$Q$205,0)),""))</f>
        <v/>
      </c>
      <c r="R44" s="43"/>
      <c r="S44" s="40"/>
      <c r="T44" s="44" t="str">
        <f aca="false">IF($O44="","",ROUND(N($R44)*N($S44),2))</f>
        <v/>
      </c>
      <c r="U44" s="36"/>
      <c r="W44" s="31"/>
      <c r="X44" s="35" t="str">
        <f aca="false">IF($W44="","",IFERROR(INDEX(科目参数!$B$6:$B$125,MATCH($W44,科目参数!$A$6:$A$125,0)),"⚠科目不存在"))</f>
        <v/>
      </c>
      <c r="Y44" s="42" t="str">
        <f aca="false">IF($W44="","",IFERROR(INDEX(科目参数!$D$6:$D$125,MATCH($W44,科目参数!$A$6:$A$125,0)),""))</f>
        <v/>
      </c>
      <c r="Z44" s="40"/>
      <c r="AA44" s="40"/>
      <c r="AB44" s="36"/>
    </row>
    <row r="45" customFormat="false" ht="15.75" hidden="false" customHeight="true" outlineLevel="0" collapsed="false">
      <c r="E45" s="33"/>
      <c r="F45" s="41"/>
      <c r="G45" s="40"/>
      <c r="H45" s="36"/>
      <c r="J45" s="33"/>
      <c r="K45" s="41"/>
      <c r="L45" s="40"/>
      <c r="M45" s="36"/>
      <c r="O45" s="31"/>
      <c r="P45" s="42" t="str">
        <f aca="false">IF($O45="","",IFERROR(INDEX(基础资料!$R$6:$R$205,MATCH($O45,基础资料!$Q$6:$Q$205,0)),""))</f>
        <v/>
      </c>
      <c r="Q45" s="42" t="str">
        <f aca="false">IF($O45="","",IFERROR(INDEX(基础资料!$S$6:$S$205,MATCH($O45,基础资料!$Q$6:$Q$205,0)),""))</f>
        <v/>
      </c>
      <c r="R45" s="43"/>
      <c r="S45" s="40"/>
      <c r="T45" s="44" t="str">
        <f aca="false">IF($O45="","",ROUND(N($R45)*N($S45),2))</f>
        <v/>
      </c>
      <c r="U45" s="36"/>
      <c r="W45" s="31"/>
      <c r="X45" s="35" t="str">
        <f aca="false">IF($W45="","",IFERROR(INDEX(科目参数!$B$6:$B$125,MATCH($W45,科目参数!$A$6:$A$125,0)),"⚠科目不存在"))</f>
        <v/>
      </c>
      <c r="Y45" s="42" t="str">
        <f aca="false">IF($W45="","",IFERROR(INDEX(科目参数!$D$6:$D$125,MATCH($W45,科目参数!$A$6:$A$125,0)),""))</f>
        <v/>
      </c>
      <c r="Z45" s="40"/>
      <c r="AA45" s="40"/>
      <c r="AB45" s="36"/>
    </row>
    <row r="46" customFormat="false" ht="15.75" hidden="false" customHeight="true" outlineLevel="0" collapsed="false">
      <c r="E46" s="33"/>
      <c r="F46" s="41"/>
      <c r="G46" s="40"/>
      <c r="H46" s="36"/>
      <c r="J46" s="33"/>
      <c r="K46" s="41"/>
      <c r="L46" s="40"/>
      <c r="M46" s="36"/>
      <c r="O46" s="31"/>
      <c r="P46" s="42" t="str">
        <f aca="false">IF($O46="","",IFERROR(INDEX(基础资料!$R$6:$R$205,MATCH($O46,基础资料!$Q$6:$Q$205,0)),""))</f>
        <v/>
      </c>
      <c r="Q46" s="42" t="str">
        <f aca="false">IF($O46="","",IFERROR(INDEX(基础资料!$S$6:$S$205,MATCH($O46,基础资料!$Q$6:$Q$205,0)),""))</f>
        <v/>
      </c>
      <c r="R46" s="43"/>
      <c r="S46" s="40"/>
      <c r="T46" s="44" t="str">
        <f aca="false">IF($O46="","",ROUND(N($R46)*N($S46),2))</f>
        <v/>
      </c>
      <c r="U46" s="36"/>
      <c r="W46" s="31"/>
      <c r="X46" s="35" t="str">
        <f aca="false">IF($W46="","",IFERROR(INDEX(科目参数!$B$6:$B$125,MATCH($W46,科目参数!$A$6:$A$125,0)),"⚠科目不存在"))</f>
        <v/>
      </c>
      <c r="Y46" s="42" t="str">
        <f aca="false">IF($W46="","",IFERROR(INDEX(科目参数!$D$6:$D$125,MATCH($W46,科目参数!$A$6:$A$125,0)),""))</f>
        <v/>
      </c>
      <c r="Z46" s="40"/>
      <c r="AA46" s="40"/>
      <c r="AB46" s="36"/>
    </row>
    <row r="47" customFormat="false" ht="15.75" hidden="false" customHeight="true" outlineLevel="0" collapsed="false">
      <c r="E47" s="33"/>
      <c r="F47" s="41"/>
      <c r="G47" s="40"/>
      <c r="H47" s="36"/>
      <c r="J47" s="33"/>
      <c r="K47" s="41"/>
      <c r="L47" s="40"/>
      <c r="M47" s="36"/>
      <c r="O47" s="31"/>
      <c r="P47" s="42" t="str">
        <f aca="false">IF($O47="","",IFERROR(INDEX(基础资料!$R$6:$R$205,MATCH($O47,基础资料!$Q$6:$Q$205,0)),""))</f>
        <v/>
      </c>
      <c r="Q47" s="42" t="str">
        <f aca="false">IF($O47="","",IFERROR(INDEX(基础资料!$S$6:$S$205,MATCH($O47,基础资料!$Q$6:$Q$205,0)),""))</f>
        <v/>
      </c>
      <c r="R47" s="43"/>
      <c r="S47" s="40"/>
      <c r="T47" s="44" t="str">
        <f aca="false">IF($O47="","",ROUND(N($R47)*N($S47),2))</f>
        <v/>
      </c>
      <c r="U47" s="36"/>
      <c r="W47" s="31"/>
      <c r="X47" s="35" t="str">
        <f aca="false">IF($W47="","",IFERROR(INDEX(科目参数!$B$6:$B$125,MATCH($W47,科目参数!$A$6:$A$125,0)),"⚠科目不存在"))</f>
        <v/>
      </c>
      <c r="Y47" s="42" t="str">
        <f aca="false">IF($W47="","",IFERROR(INDEX(科目参数!$D$6:$D$125,MATCH($W47,科目参数!$A$6:$A$125,0)),""))</f>
        <v/>
      </c>
      <c r="Z47" s="40"/>
      <c r="AA47" s="40"/>
      <c r="AB47" s="36"/>
    </row>
    <row r="48" customFormat="false" ht="15.75" hidden="false" customHeight="true" outlineLevel="0" collapsed="false">
      <c r="E48" s="33"/>
      <c r="F48" s="41"/>
      <c r="G48" s="40"/>
      <c r="H48" s="36"/>
      <c r="J48" s="33"/>
      <c r="K48" s="41"/>
      <c r="L48" s="40"/>
      <c r="M48" s="36"/>
      <c r="O48" s="31"/>
      <c r="P48" s="42" t="str">
        <f aca="false">IF($O48="","",IFERROR(INDEX(基础资料!$R$6:$R$205,MATCH($O48,基础资料!$Q$6:$Q$205,0)),""))</f>
        <v/>
      </c>
      <c r="Q48" s="42" t="str">
        <f aca="false">IF($O48="","",IFERROR(INDEX(基础资料!$S$6:$S$205,MATCH($O48,基础资料!$Q$6:$Q$205,0)),""))</f>
        <v/>
      </c>
      <c r="R48" s="43"/>
      <c r="S48" s="40"/>
      <c r="T48" s="44" t="str">
        <f aca="false">IF($O48="","",ROUND(N($R48)*N($S48),2))</f>
        <v/>
      </c>
      <c r="U48" s="36"/>
      <c r="W48" s="31"/>
      <c r="X48" s="35" t="str">
        <f aca="false">IF($W48="","",IFERROR(INDEX(科目参数!$B$6:$B$125,MATCH($W48,科目参数!$A$6:$A$125,0)),"⚠科目不存在"))</f>
        <v/>
      </c>
      <c r="Y48" s="42" t="str">
        <f aca="false">IF($W48="","",IFERROR(INDEX(科目参数!$D$6:$D$125,MATCH($W48,科目参数!$A$6:$A$125,0)),""))</f>
        <v/>
      </c>
      <c r="Z48" s="40"/>
      <c r="AA48" s="40"/>
      <c r="AB48" s="36"/>
    </row>
    <row r="49" customFormat="false" ht="15.75" hidden="false" customHeight="true" outlineLevel="0" collapsed="false">
      <c r="E49" s="33"/>
      <c r="F49" s="41"/>
      <c r="G49" s="40"/>
      <c r="H49" s="36"/>
      <c r="J49" s="33"/>
      <c r="K49" s="41"/>
      <c r="L49" s="40"/>
      <c r="M49" s="36"/>
      <c r="O49" s="31"/>
      <c r="P49" s="42" t="str">
        <f aca="false">IF($O49="","",IFERROR(INDEX(基础资料!$R$6:$R$205,MATCH($O49,基础资料!$Q$6:$Q$205,0)),""))</f>
        <v/>
      </c>
      <c r="Q49" s="42" t="str">
        <f aca="false">IF($O49="","",IFERROR(INDEX(基础资料!$S$6:$S$205,MATCH($O49,基础资料!$Q$6:$Q$205,0)),""))</f>
        <v/>
      </c>
      <c r="R49" s="43"/>
      <c r="S49" s="40"/>
      <c r="T49" s="44" t="str">
        <f aca="false">IF($O49="","",ROUND(N($R49)*N($S49),2))</f>
        <v/>
      </c>
      <c r="U49" s="36"/>
      <c r="W49" s="31"/>
      <c r="X49" s="35" t="str">
        <f aca="false">IF($W49="","",IFERROR(INDEX(科目参数!$B$6:$B$125,MATCH($W49,科目参数!$A$6:$A$125,0)),"⚠科目不存在"))</f>
        <v/>
      </c>
      <c r="Y49" s="42" t="str">
        <f aca="false">IF($W49="","",IFERROR(INDEX(科目参数!$D$6:$D$125,MATCH($W49,科目参数!$A$6:$A$125,0)),""))</f>
        <v/>
      </c>
      <c r="Z49" s="40"/>
      <c r="AA49" s="40"/>
      <c r="AB49" s="36"/>
    </row>
    <row r="50" customFormat="false" ht="15.75" hidden="false" customHeight="true" outlineLevel="0" collapsed="false">
      <c r="E50" s="33"/>
      <c r="F50" s="41"/>
      <c r="G50" s="40"/>
      <c r="H50" s="36"/>
      <c r="J50" s="33"/>
      <c r="K50" s="41"/>
      <c r="L50" s="40"/>
      <c r="M50" s="36"/>
      <c r="O50" s="31"/>
      <c r="P50" s="42" t="str">
        <f aca="false">IF($O50="","",IFERROR(INDEX(基础资料!$R$6:$R$205,MATCH($O50,基础资料!$Q$6:$Q$205,0)),""))</f>
        <v/>
      </c>
      <c r="Q50" s="42" t="str">
        <f aca="false">IF($O50="","",IFERROR(INDEX(基础资料!$S$6:$S$205,MATCH($O50,基础资料!$Q$6:$Q$205,0)),""))</f>
        <v/>
      </c>
      <c r="R50" s="43"/>
      <c r="S50" s="40"/>
      <c r="T50" s="44" t="str">
        <f aca="false">IF($O50="","",ROUND(N($R50)*N($S50),2))</f>
        <v/>
      </c>
      <c r="U50" s="36"/>
      <c r="W50" s="31"/>
      <c r="X50" s="35" t="str">
        <f aca="false">IF($W50="","",IFERROR(INDEX(科目参数!$B$6:$B$125,MATCH($W50,科目参数!$A$6:$A$125,0)),"⚠科目不存在"))</f>
        <v/>
      </c>
      <c r="Y50" s="42" t="str">
        <f aca="false">IF($W50="","",IFERROR(INDEX(科目参数!$D$6:$D$125,MATCH($W50,科目参数!$A$6:$A$125,0)),""))</f>
        <v/>
      </c>
      <c r="Z50" s="40"/>
      <c r="AA50" s="40"/>
      <c r="AB50" s="36"/>
    </row>
    <row r="51" customFormat="false" ht="15.75" hidden="false" customHeight="true" outlineLevel="0" collapsed="false">
      <c r="E51" s="33"/>
      <c r="F51" s="41"/>
      <c r="G51" s="40"/>
      <c r="H51" s="36"/>
      <c r="J51" s="33"/>
      <c r="K51" s="41"/>
      <c r="L51" s="40"/>
      <c r="M51" s="36"/>
      <c r="O51" s="31"/>
      <c r="P51" s="42" t="str">
        <f aca="false">IF($O51="","",IFERROR(INDEX(基础资料!$R$6:$R$205,MATCH($O51,基础资料!$Q$6:$Q$205,0)),""))</f>
        <v/>
      </c>
      <c r="Q51" s="42" t="str">
        <f aca="false">IF($O51="","",IFERROR(INDEX(基础资料!$S$6:$S$205,MATCH($O51,基础资料!$Q$6:$Q$205,0)),""))</f>
        <v/>
      </c>
      <c r="R51" s="43"/>
      <c r="S51" s="40"/>
      <c r="T51" s="44" t="str">
        <f aca="false">IF($O51="","",ROUND(N($R51)*N($S51),2))</f>
        <v/>
      </c>
      <c r="U51" s="36"/>
      <c r="W51" s="31"/>
      <c r="X51" s="35" t="str">
        <f aca="false">IF($W51="","",IFERROR(INDEX(科目参数!$B$6:$B$125,MATCH($W51,科目参数!$A$6:$A$125,0)),"⚠科目不存在"))</f>
        <v/>
      </c>
      <c r="Y51" s="42" t="str">
        <f aca="false">IF($W51="","",IFERROR(INDEX(科目参数!$D$6:$D$125,MATCH($W51,科目参数!$A$6:$A$125,0)),""))</f>
        <v/>
      </c>
      <c r="Z51" s="40"/>
      <c r="AA51" s="40"/>
      <c r="AB51" s="36"/>
    </row>
    <row r="52" customFormat="false" ht="15.75" hidden="false" customHeight="true" outlineLevel="0" collapsed="false">
      <c r="E52" s="33"/>
      <c r="F52" s="41"/>
      <c r="G52" s="40"/>
      <c r="H52" s="36"/>
      <c r="J52" s="33"/>
      <c r="K52" s="41"/>
      <c r="L52" s="40"/>
      <c r="M52" s="36"/>
      <c r="O52" s="31"/>
      <c r="P52" s="42" t="str">
        <f aca="false">IF($O52="","",IFERROR(INDEX(基础资料!$R$6:$R$205,MATCH($O52,基础资料!$Q$6:$Q$205,0)),""))</f>
        <v/>
      </c>
      <c r="Q52" s="42" t="str">
        <f aca="false">IF($O52="","",IFERROR(INDEX(基础资料!$S$6:$S$205,MATCH($O52,基础资料!$Q$6:$Q$205,0)),""))</f>
        <v/>
      </c>
      <c r="R52" s="43"/>
      <c r="S52" s="40"/>
      <c r="T52" s="44" t="str">
        <f aca="false">IF($O52="","",ROUND(N($R52)*N($S52),2))</f>
        <v/>
      </c>
      <c r="U52" s="36"/>
      <c r="W52" s="31"/>
      <c r="X52" s="35" t="str">
        <f aca="false">IF($W52="","",IFERROR(INDEX(科目参数!$B$6:$B$125,MATCH($W52,科目参数!$A$6:$A$125,0)),"⚠科目不存在"))</f>
        <v/>
      </c>
      <c r="Y52" s="42" t="str">
        <f aca="false">IF($W52="","",IFERROR(INDEX(科目参数!$D$6:$D$125,MATCH($W52,科目参数!$A$6:$A$125,0)),""))</f>
        <v/>
      </c>
      <c r="Z52" s="40"/>
      <c r="AA52" s="40"/>
      <c r="AB52" s="36"/>
    </row>
    <row r="53" customFormat="false" ht="15.75" hidden="false" customHeight="true" outlineLevel="0" collapsed="false">
      <c r="E53" s="33"/>
      <c r="F53" s="41"/>
      <c r="G53" s="40"/>
      <c r="H53" s="36"/>
      <c r="J53" s="33"/>
      <c r="K53" s="41"/>
      <c r="L53" s="40"/>
      <c r="M53" s="36"/>
      <c r="O53" s="31"/>
      <c r="P53" s="42" t="str">
        <f aca="false">IF($O53="","",IFERROR(INDEX(基础资料!$R$6:$R$205,MATCH($O53,基础资料!$Q$6:$Q$205,0)),""))</f>
        <v/>
      </c>
      <c r="Q53" s="42" t="str">
        <f aca="false">IF($O53="","",IFERROR(INDEX(基础资料!$S$6:$S$205,MATCH($O53,基础资料!$Q$6:$Q$205,0)),""))</f>
        <v/>
      </c>
      <c r="R53" s="43"/>
      <c r="S53" s="40"/>
      <c r="T53" s="44" t="str">
        <f aca="false">IF($O53="","",ROUND(N($R53)*N($S53),2))</f>
        <v/>
      </c>
      <c r="U53" s="36"/>
      <c r="W53" s="31"/>
      <c r="X53" s="35" t="str">
        <f aca="false">IF($W53="","",IFERROR(INDEX(科目参数!$B$6:$B$125,MATCH($W53,科目参数!$A$6:$A$125,0)),"⚠科目不存在"))</f>
        <v/>
      </c>
      <c r="Y53" s="42" t="str">
        <f aca="false">IF($W53="","",IFERROR(INDEX(科目参数!$D$6:$D$125,MATCH($W53,科目参数!$A$6:$A$125,0)),""))</f>
        <v/>
      </c>
      <c r="Z53" s="40"/>
      <c r="AA53" s="40"/>
      <c r="AB53" s="36"/>
    </row>
    <row r="54" customFormat="false" ht="15.75" hidden="false" customHeight="true" outlineLevel="0" collapsed="false">
      <c r="E54" s="33"/>
      <c r="F54" s="41"/>
      <c r="G54" s="40"/>
      <c r="H54" s="36"/>
      <c r="J54" s="33"/>
      <c r="K54" s="41"/>
      <c r="L54" s="40"/>
      <c r="M54" s="36"/>
      <c r="O54" s="31"/>
      <c r="P54" s="42" t="str">
        <f aca="false">IF($O54="","",IFERROR(INDEX(基础资料!$R$6:$R$205,MATCH($O54,基础资料!$Q$6:$Q$205,0)),""))</f>
        <v/>
      </c>
      <c r="Q54" s="42" t="str">
        <f aca="false">IF($O54="","",IFERROR(INDEX(基础资料!$S$6:$S$205,MATCH($O54,基础资料!$Q$6:$Q$205,0)),""))</f>
        <v/>
      </c>
      <c r="R54" s="43"/>
      <c r="S54" s="40"/>
      <c r="T54" s="44" t="str">
        <f aca="false">IF($O54="","",ROUND(N($R54)*N($S54),2))</f>
        <v/>
      </c>
      <c r="U54" s="36"/>
      <c r="W54" s="31"/>
      <c r="X54" s="35" t="str">
        <f aca="false">IF($W54="","",IFERROR(INDEX(科目参数!$B$6:$B$125,MATCH($W54,科目参数!$A$6:$A$125,0)),"⚠科目不存在"))</f>
        <v/>
      </c>
      <c r="Y54" s="42" t="str">
        <f aca="false">IF($W54="","",IFERROR(INDEX(科目参数!$D$6:$D$125,MATCH($W54,科目参数!$A$6:$A$125,0)),""))</f>
        <v/>
      </c>
      <c r="Z54" s="40"/>
      <c r="AA54" s="40"/>
      <c r="AB54" s="36"/>
    </row>
    <row r="55" customFormat="false" ht="15.75" hidden="false" customHeight="true" outlineLevel="0" collapsed="false">
      <c r="E55" s="33"/>
      <c r="F55" s="41"/>
      <c r="G55" s="40"/>
      <c r="H55" s="36"/>
      <c r="J55" s="33"/>
      <c r="K55" s="41"/>
      <c r="L55" s="40"/>
      <c r="M55" s="36"/>
      <c r="O55" s="31"/>
      <c r="P55" s="42" t="str">
        <f aca="false">IF($O55="","",IFERROR(INDEX(基础资料!$R$6:$R$205,MATCH($O55,基础资料!$Q$6:$Q$205,0)),""))</f>
        <v/>
      </c>
      <c r="Q55" s="42" t="str">
        <f aca="false">IF($O55="","",IFERROR(INDEX(基础资料!$S$6:$S$205,MATCH($O55,基础资料!$Q$6:$Q$205,0)),""))</f>
        <v/>
      </c>
      <c r="R55" s="43"/>
      <c r="S55" s="40"/>
      <c r="T55" s="44" t="str">
        <f aca="false">IF($O55="","",ROUND(N($R55)*N($S55),2))</f>
        <v/>
      </c>
      <c r="U55" s="36"/>
      <c r="W55" s="31"/>
      <c r="X55" s="35" t="str">
        <f aca="false">IF($W55="","",IFERROR(INDEX(科目参数!$B$6:$B$125,MATCH($W55,科目参数!$A$6:$A$125,0)),"⚠科目不存在"))</f>
        <v/>
      </c>
      <c r="Y55" s="42" t="str">
        <f aca="false">IF($W55="","",IFERROR(INDEX(科目参数!$D$6:$D$125,MATCH($W55,科目参数!$A$6:$A$125,0)),""))</f>
        <v/>
      </c>
      <c r="Z55" s="40"/>
      <c r="AA55" s="40"/>
      <c r="AB55" s="36"/>
    </row>
    <row r="56" customFormat="false" ht="15.75" hidden="false" customHeight="true" outlineLevel="0" collapsed="false">
      <c r="E56" s="33"/>
      <c r="F56" s="41"/>
      <c r="G56" s="40"/>
      <c r="H56" s="36"/>
      <c r="J56" s="33"/>
      <c r="K56" s="41"/>
      <c r="L56" s="40"/>
      <c r="M56" s="36"/>
      <c r="O56" s="31"/>
      <c r="P56" s="42" t="str">
        <f aca="false">IF($O56="","",IFERROR(INDEX(基础资料!$R$6:$R$205,MATCH($O56,基础资料!$Q$6:$Q$205,0)),""))</f>
        <v/>
      </c>
      <c r="Q56" s="42" t="str">
        <f aca="false">IF($O56="","",IFERROR(INDEX(基础资料!$S$6:$S$205,MATCH($O56,基础资料!$Q$6:$Q$205,0)),""))</f>
        <v/>
      </c>
      <c r="R56" s="43"/>
      <c r="S56" s="40"/>
      <c r="T56" s="44" t="str">
        <f aca="false">IF($O56="","",ROUND(N($R56)*N($S56),2))</f>
        <v/>
      </c>
      <c r="U56" s="36"/>
      <c r="W56" s="31"/>
      <c r="X56" s="35" t="str">
        <f aca="false">IF($W56="","",IFERROR(INDEX(科目参数!$B$6:$B$125,MATCH($W56,科目参数!$A$6:$A$125,0)),"⚠科目不存在"))</f>
        <v/>
      </c>
      <c r="Y56" s="42" t="str">
        <f aca="false">IF($W56="","",IFERROR(INDEX(科目参数!$D$6:$D$125,MATCH($W56,科目参数!$A$6:$A$125,0)),""))</f>
        <v/>
      </c>
      <c r="Z56" s="40"/>
      <c r="AA56" s="40"/>
      <c r="AB56" s="36"/>
    </row>
    <row r="57" customFormat="false" ht="15.75" hidden="false" customHeight="true" outlineLevel="0" collapsed="false">
      <c r="E57" s="33"/>
      <c r="F57" s="41"/>
      <c r="G57" s="40"/>
      <c r="H57" s="36"/>
      <c r="J57" s="33"/>
      <c r="K57" s="41"/>
      <c r="L57" s="40"/>
      <c r="M57" s="36"/>
      <c r="O57" s="31"/>
      <c r="P57" s="42" t="str">
        <f aca="false">IF($O57="","",IFERROR(INDEX(基础资料!$R$6:$R$205,MATCH($O57,基础资料!$Q$6:$Q$205,0)),""))</f>
        <v/>
      </c>
      <c r="Q57" s="42" t="str">
        <f aca="false">IF($O57="","",IFERROR(INDEX(基础资料!$S$6:$S$205,MATCH($O57,基础资料!$Q$6:$Q$205,0)),""))</f>
        <v/>
      </c>
      <c r="R57" s="43"/>
      <c r="S57" s="40"/>
      <c r="T57" s="44" t="str">
        <f aca="false">IF($O57="","",ROUND(N($R57)*N($S57),2))</f>
        <v/>
      </c>
      <c r="U57" s="36"/>
      <c r="W57" s="31"/>
      <c r="X57" s="35" t="str">
        <f aca="false">IF($W57="","",IFERROR(INDEX(科目参数!$B$6:$B$125,MATCH($W57,科目参数!$A$6:$A$125,0)),"⚠科目不存在"))</f>
        <v/>
      </c>
      <c r="Y57" s="42" t="str">
        <f aca="false">IF($W57="","",IFERROR(INDEX(科目参数!$D$6:$D$125,MATCH($W57,科目参数!$A$6:$A$125,0)),""))</f>
        <v/>
      </c>
      <c r="Z57" s="40"/>
      <c r="AA57" s="40"/>
      <c r="AB57" s="36"/>
    </row>
    <row r="58" customFormat="false" ht="15.75" hidden="false" customHeight="true" outlineLevel="0" collapsed="false">
      <c r="E58" s="33"/>
      <c r="F58" s="41"/>
      <c r="G58" s="40"/>
      <c r="H58" s="36"/>
      <c r="J58" s="33"/>
      <c r="K58" s="41"/>
      <c r="L58" s="40"/>
      <c r="M58" s="36"/>
      <c r="O58" s="31"/>
      <c r="P58" s="42" t="str">
        <f aca="false">IF($O58="","",IFERROR(INDEX(基础资料!$R$6:$R$205,MATCH($O58,基础资料!$Q$6:$Q$205,0)),""))</f>
        <v/>
      </c>
      <c r="Q58" s="42" t="str">
        <f aca="false">IF($O58="","",IFERROR(INDEX(基础资料!$S$6:$S$205,MATCH($O58,基础资料!$Q$6:$Q$205,0)),""))</f>
        <v/>
      </c>
      <c r="R58" s="43"/>
      <c r="S58" s="40"/>
      <c r="T58" s="44" t="str">
        <f aca="false">IF($O58="","",ROUND(N($R58)*N($S58),2))</f>
        <v/>
      </c>
      <c r="U58" s="36"/>
      <c r="W58" s="31"/>
      <c r="X58" s="35" t="str">
        <f aca="false">IF($W58="","",IFERROR(INDEX(科目参数!$B$6:$B$125,MATCH($W58,科目参数!$A$6:$A$125,0)),"⚠科目不存在"))</f>
        <v/>
      </c>
      <c r="Y58" s="42" t="str">
        <f aca="false">IF($W58="","",IFERROR(INDEX(科目参数!$D$6:$D$125,MATCH($W58,科目参数!$A$6:$A$125,0)),""))</f>
        <v/>
      </c>
      <c r="Z58" s="40"/>
      <c r="AA58" s="40"/>
      <c r="AB58" s="36"/>
    </row>
    <row r="59" customFormat="false" ht="15.75" hidden="false" customHeight="true" outlineLevel="0" collapsed="false">
      <c r="E59" s="33"/>
      <c r="F59" s="41"/>
      <c r="G59" s="40"/>
      <c r="H59" s="36"/>
      <c r="J59" s="33"/>
      <c r="K59" s="41"/>
      <c r="L59" s="40"/>
      <c r="M59" s="36"/>
      <c r="O59" s="31"/>
      <c r="P59" s="42" t="str">
        <f aca="false">IF($O59="","",IFERROR(INDEX(基础资料!$R$6:$R$205,MATCH($O59,基础资料!$Q$6:$Q$205,0)),""))</f>
        <v/>
      </c>
      <c r="Q59" s="42" t="str">
        <f aca="false">IF($O59="","",IFERROR(INDEX(基础资料!$S$6:$S$205,MATCH($O59,基础资料!$Q$6:$Q$205,0)),""))</f>
        <v/>
      </c>
      <c r="R59" s="43"/>
      <c r="S59" s="40"/>
      <c r="T59" s="44" t="str">
        <f aca="false">IF($O59="","",ROUND(N($R59)*N($S59),2))</f>
        <v/>
      </c>
      <c r="U59" s="36"/>
      <c r="W59" s="31"/>
      <c r="X59" s="35" t="str">
        <f aca="false">IF($W59="","",IFERROR(INDEX(科目参数!$B$6:$B$125,MATCH($W59,科目参数!$A$6:$A$125,0)),"⚠科目不存在"))</f>
        <v/>
      </c>
      <c r="Y59" s="42" t="str">
        <f aca="false">IF($W59="","",IFERROR(INDEX(科目参数!$D$6:$D$125,MATCH($W59,科目参数!$A$6:$A$125,0)),""))</f>
        <v/>
      </c>
      <c r="Z59" s="40"/>
      <c r="AA59" s="40"/>
      <c r="AB59" s="36"/>
    </row>
    <row r="60" customFormat="false" ht="15.75" hidden="false" customHeight="true" outlineLevel="0" collapsed="false">
      <c r="E60" s="33"/>
      <c r="F60" s="41"/>
      <c r="G60" s="40"/>
      <c r="H60" s="36"/>
      <c r="J60" s="33"/>
      <c r="K60" s="41"/>
      <c r="L60" s="40"/>
      <c r="M60" s="36"/>
      <c r="O60" s="31"/>
      <c r="P60" s="42" t="str">
        <f aca="false">IF($O60="","",IFERROR(INDEX(基础资料!$R$6:$R$205,MATCH($O60,基础资料!$Q$6:$Q$205,0)),""))</f>
        <v/>
      </c>
      <c r="Q60" s="42" t="str">
        <f aca="false">IF($O60="","",IFERROR(INDEX(基础资料!$S$6:$S$205,MATCH($O60,基础资料!$Q$6:$Q$205,0)),""))</f>
        <v/>
      </c>
      <c r="R60" s="43"/>
      <c r="S60" s="40"/>
      <c r="T60" s="44" t="str">
        <f aca="false">IF($O60="","",ROUND(N($R60)*N($S60),2))</f>
        <v/>
      </c>
      <c r="U60" s="36"/>
      <c r="W60" s="31"/>
      <c r="X60" s="35" t="str">
        <f aca="false">IF($W60="","",IFERROR(INDEX(科目参数!$B$6:$B$125,MATCH($W60,科目参数!$A$6:$A$125,0)),"⚠科目不存在"))</f>
        <v/>
      </c>
      <c r="Y60" s="42" t="str">
        <f aca="false">IF($W60="","",IFERROR(INDEX(科目参数!$D$6:$D$125,MATCH($W60,科目参数!$A$6:$A$125,0)),""))</f>
        <v/>
      </c>
      <c r="Z60" s="40"/>
      <c r="AA60" s="40"/>
      <c r="AB60" s="36"/>
    </row>
    <row r="61" customFormat="false" ht="15.75" hidden="false" customHeight="true" outlineLevel="0" collapsed="false">
      <c r="E61" s="33"/>
      <c r="F61" s="41"/>
      <c r="G61" s="40"/>
      <c r="H61" s="36"/>
      <c r="J61" s="33"/>
      <c r="K61" s="41"/>
      <c r="L61" s="40"/>
      <c r="M61" s="36"/>
      <c r="O61" s="31"/>
      <c r="P61" s="42" t="str">
        <f aca="false">IF($O61="","",IFERROR(INDEX(基础资料!$R$6:$R$205,MATCH($O61,基础资料!$Q$6:$Q$205,0)),""))</f>
        <v/>
      </c>
      <c r="Q61" s="42" t="str">
        <f aca="false">IF($O61="","",IFERROR(INDEX(基础资料!$S$6:$S$205,MATCH($O61,基础资料!$Q$6:$Q$205,0)),""))</f>
        <v/>
      </c>
      <c r="R61" s="43"/>
      <c r="S61" s="40"/>
      <c r="T61" s="44" t="str">
        <f aca="false">IF($O61="","",ROUND(N($R61)*N($S61),2))</f>
        <v/>
      </c>
      <c r="U61" s="36"/>
      <c r="W61" s="31"/>
      <c r="X61" s="35" t="str">
        <f aca="false">IF($W61="","",IFERROR(INDEX(科目参数!$B$6:$B$125,MATCH($W61,科目参数!$A$6:$A$125,0)),"⚠科目不存在"))</f>
        <v/>
      </c>
      <c r="Y61" s="42" t="str">
        <f aca="false">IF($W61="","",IFERROR(INDEX(科目参数!$D$6:$D$125,MATCH($W61,科目参数!$A$6:$A$125,0)),""))</f>
        <v/>
      </c>
      <c r="Z61" s="40"/>
      <c r="AA61" s="40"/>
      <c r="AB61" s="36"/>
    </row>
    <row r="62" customFormat="false" ht="15.75" hidden="false" customHeight="true" outlineLevel="0" collapsed="false">
      <c r="E62" s="33"/>
      <c r="F62" s="41"/>
      <c r="G62" s="40"/>
      <c r="H62" s="36"/>
      <c r="J62" s="33"/>
      <c r="K62" s="41"/>
      <c r="L62" s="40"/>
      <c r="M62" s="36"/>
      <c r="O62" s="31"/>
      <c r="P62" s="42" t="str">
        <f aca="false">IF($O62="","",IFERROR(INDEX(基础资料!$R$6:$R$205,MATCH($O62,基础资料!$Q$6:$Q$205,0)),""))</f>
        <v/>
      </c>
      <c r="Q62" s="42" t="str">
        <f aca="false">IF($O62="","",IFERROR(INDEX(基础资料!$S$6:$S$205,MATCH($O62,基础资料!$Q$6:$Q$205,0)),""))</f>
        <v/>
      </c>
      <c r="R62" s="43"/>
      <c r="S62" s="40"/>
      <c r="T62" s="44" t="str">
        <f aca="false">IF($O62="","",ROUND(N($R62)*N($S62),2))</f>
        <v/>
      </c>
      <c r="U62" s="36"/>
      <c r="W62" s="31"/>
      <c r="X62" s="35" t="str">
        <f aca="false">IF($W62="","",IFERROR(INDEX(科目参数!$B$6:$B$125,MATCH($W62,科目参数!$A$6:$A$125,0)),"⚠科目不存在"))</f>
        <v/>
      </c>
      <c r="Y62" s="42" t="str">
        <f aca="false">IF($W62="","",IFERROR(INDEX(科目参数!$D$6:$D$125,MATCH($W62,科目参数!$A$6:$A$125,0)),""))</f>
        <v/>
      </c>
      <c r="Z62" s="40"/>
      <c r="AA62" s="40"/>
      <c r="AB62" s="36"/>
    </row>
    <row r="63" customFormat="false" ht="15.75" hidden="false" customHeight="true" outlineLevel="0" collapsed="false">
      <c r="E63" s="33"/>
      <c r="F63" s="41"/>
      <c r="G63" s="40"/>
      <c r="H63" s="36"/>
      <c r="J63" s="33"/>
      <c r="K63" s="41"/>
      <c r="L63" s="40"/>
      <c r="M63" s="36"/>
      <c r="O63" s="31"/>
      <c r="P63" s="42" t="str">
        <f aca="false">IF($O63="","",IFERROR(INDEX(基础资料!$R$6:$R$205,MATCH($O63,基础资料!$Q$6:$Q$205,0)),""))</f>
        <v/>
      </c>
      <c r="Q63" s="42" t="str">
        <f aca="false">IF($O63="","",IFERROR(INDEX(基础资料!$S$6:$S$205,MATCH($O63,基础资料!$Q$6:$Q$205,0)),""))</f>
        <v/>
      </c>
      <c r="R63" s="43"/>
      <c r="S63" s="40"/>
      <c r="T63" s="44" t="str">
        <f aca="false">IF($O63="","",ROUND(N($R63)*N($S63),2))</f>
        <v/>
      </c>
      <c r="U63" s="36"/>
      <c r="W63" s="31"/>
      <c r="X63" s="35" t="str">
        <f aca="false">IF($W63="","",IFERROR(INDEX(科目参数!$B$6:$B$125,MATCH($W63,科目参数!$A$6:$A$125,0)),"⚠科目不存在"))</f>
        <v/>
      </c>
      <c r="Y63" s="42" t="str">
        <f aca="false">IF($W63="","",IFERROR(INDEX(科目参数!$D$6:$D$125,MATCH($W63,科目参数!$A$6:$A$125,0)),""))</f>
        <v/>
      </c>
      <c r="Z63" s="40"/>
      <c r="AA63" s="40"/>
      <c r="AB63" s="36"/>
    </row>
    <row r="64" customFormat="false" ht="15.75" hidden="false" customHeight="true" outlineLevel="0" collapsed="false">
      <c r="E64" s="33"/>
      <c r="F64" s="41"/>
      <c r="G64" s="40"/>
      <c r="H64" s="36"/>
      <c r="J64" s="33"/>
      <c r="K64" s="41"/>
      <c r="L64" s="40"/>
      <c r="M64" s="36"/>
      <c r="O64" s="31"/>
      <c r="P64" s="42" t="str">
        <f aca="false">IF($O64="","",IFERROR(INDEX(基础资料!$R$6:$R$205,MATCH($O64,基础资料!$Q$6:$Q$205,0)),""))</f>
        <v/>
      </c>
      <c r="Q64" s="42" t="str">
        <f aca="false">IF($O64="","",IFERROR(INDEX(基础资料!$S$6:$S$205,MATCH($O64,基础资料!$Q$6:$Q$205,0)),""))</f>
        <v/>
      </c>
      <c r="R64" s="43"/>
      <c r="S64" s="40"/>
      <c r="T64" s="44" t="str">
        <f aca="false">IF($O64="","",ROUND(N($R64)*N($S64),2))</f>
        <v/>
      </c>
      <c r="U64" s="36"/>
      <c r="W64" s="31"/>
      <c r="X64" s="35" t="str">
        <f aca="false">IF($W64="","",IFERROR(INDEX(科目参数!$B$6:$B$125,MATCH($W64,科目参数!$A$6:$A$125,0)),"⚠科目不存在"))</f>
        <v/>
      </c>
      <c r="Y64" s="42" t="str">
        <f aca="false">IF($W64="","",IFERROR(INDEX(科目参数!$D$6:$D$125,MATCH($W64,科目参数!$A$6:$A$125,0)),""))</f>
        <v/>
      </c>
      <c r="Z64" s="40"/>
      <c r="AA64" s="40"/>
      <c r="AB64" s="36"/>
    </row>
    <row r="65" customFormat="false" ht="15.75" hidden="false" customHeight="true" outlineLevel="0" collapsed="false">
      <c r="E65" s="33"/>
      <c r="F65" s="41"/>
      <c r="G65" s="40"/>
      <c r="H65" s="36"/>
      <c r="J65" s="33"/>
      <c r="K65" s="41"/>
      <c r="L65" s="40"/>
      <c r="M65" s="36"/>
      <c r="O65" s="31"/>
      <c r="P65" s="42" t="str">
        <f aca="false">IF($O65="","",IFERROR(INDEX(基础资料!$R$6:$R$205,MATCH($O65,基础资料!$Q$6:$Q$205,0)),""))</f>
        <v/>
      </c>
      <c r="Q65" s="42" t="str">
        <f aca="false">IF($O65="","",IFERROR(INDEX(基础资料!$S$6:$S$205,MATCH($O65,基础资料!$Q$6:$Q$205,0)),""))</f>
        <v/>
      </c>
      <c r="R65" s="43"/>
      <c r="S65" s="40"/>
      <c r="T65" s="44" t="str">
        <f aca="false">IF($O65="","",ROUND(N($R65)*N($S65),2))</f>
        <v/>
      </c>
      <c r="U65" s="36"/>
      <c r="W65" s="31"/>
      <c r="X65" s="35" t="str">
        <f aca="false">IF($W65="","",IFERROR(INDEX(科目参数!$B$6:$B$125,MATCH($W65,科目参数!$A$6:$A$125,0)),"⚠科目不存在"))</f>
        <v/>
      </c>
      <c r="Y65" s="42" t="str">
        <f aca="false">IF($W65="","",IFERROR(INDEX(科目参数!$D$6:$D$125,MATCH($W65,科目参数!$A$6:$A$125,0)),""))</f>
        <v/>
      </c>
      <c r="Z65" s="40"/>
      <c r="AA65" s="40"/>
      <c r="AB65" s="36"/>
    </row>
    <row r="66" customFormat="false" ht="15.75" hidden="false" customHeight="true" outlineLevel="0" collapsed="false">
      <c r="E66" s="33"/>
      <c r="F66" s="41"/>
      <c r="G66" s="40"/>
      <c r="H66" s="36"/>
      <c r="J66" s="33"/>
      <c r="K66" s="41"/>
      <c r="L66" s="40"/>
      <c r="M66" s="36"/>
      <c r="O66" s="31"/>
      <c r="P66" s="42" t="str">
        <f aca="false">IF($O66="","",IFERROR(INDEX(基础资料!$R$6:$R$205,MATCH($O66,基础资料!$Q$6:$Q$205,0)),""))</f>
        <v/>
      </c>
      <c r="Q66" s="42" t="str">
        <f aca="false">IF($O66="","",IFERROR(INDEX(基础资料!$S$6:$S$205,MATCH($O66,基础资料!$Q$6:$Q$205,0)),""))</f>
        <v/>
      </c>
      <c r="R66" s="43"/>
      <c r="S66" s="40"/>
      <c r="T66" s="44" t="str">
        <f aca="false">IF($O66="","",ROUND(N($R66)*N($S66),2))</f>
        <v/>
      </c>
      <c r="U66" s="36"/>
      <c r="W66" s="31"/>
      <c r="X66" s="35" t="str">
        <f aca="false">IF($W66="","",IFERROR(INDEX(科目参数!$B$6:$B$125,MATCH($W66,科目参数!$A$6:$A$125,0)),"⚠科目不存在"))</f>
        <v/>
      </c>
      <c r="Y66" s="42" t="str">
        <f aca="false">IF($W66="","",IFERROR(INDEX(科目参数!$D$6:$D$125,MATCH($W66,科目参数!$A$6:$A$125,0)),""))</f>
        <v/>
      </c>
      <c r="Z66" s="40"/>
      <c r="AA66" s="40"/>
      <c r="AB66" s="36"/>
    </row>
    <row r="67" customFormat="false" ht="15.75" hidden="false" customHeight="true" outlineLevel="0" collapsed="false">
      <c r="E67" s="33"/>
      <c r="F67" s="41"/>
      <c r="G67" s="40"/>
      <c r="H67" s="36"/>
      <c r="J67" s="33"/>
      <c r="K67" s="41"/>
      <c r="L67" s="40"/>
      <c r="M67" s="36"/>
      <c r="O67" s="31"/>
      <c r="P67" s="42" t="str">
        <f aca="false">IF($O67="","",IFERROR(INDEX(基础资料!$R$6:$R$205,MATCH($O67,基础资料!$Q$6:$Q$205,0)),""))</f>
        <v/>
      </c>
      <c r="Q67" s="42" t="str">
        <f aca="false">IF($O67="","",IFERROR(INDEX(基础资料!$S$6:$S$205,MATCH($O67,基础资料!$Q$6:$Q$205,0)),""))</f>
        <v/>
      </c>
      <c r="R67" s="43"/>
      <c r="S67" s="40"/>
      <c r="T67" s="44" t="str">
        <f aca="false">IF($O67="","",ROUND(N($R67)*N($S67),2))</f>
        <v/>
      </c>
      <c r="U67" s="36"/>
      <c r="W67" s="31"/>
      <c r="X67" s="35" t="str">
        <f aca="false">IF($W67="","",IFERROR(INDEX(科目参数!$B$6:$B$125,MATCH($W67,科目参数!$A$6:$A$125,0)),"⚠科目不存在"))</f>
        <v/>
      </c>
      <c r="Y67" s="42" t="str">
        <f aca="false">IF($W67="","",IFERROR(INDEX(科目参数!$D$6:$D$125,MATCH($W67,科目参数!$A$6:$A$125,0)),""))</f>
        <v/>
      </c>
      <c r="Z67" s="40"/>
      <c r="AA67" s="40"/>
      <c r="AB67" s="36"/>
    </row>
    <row r="68" customFormat="false" ht="15.75" hidden="false" customHeight="true" outlineLevel="0" collapsed="false">
      <c r="E68" s="33"/>
      <c r="F68" s="41"/>
      <c r="G68" s="40"/>
      <c r="H68" s="36"/>
      <c r="J68" s="33"/>
      <c r="K68" s="41"/>
      <c r="L68" s="40"/>
      <c r="M68" s="36"/>
      <c r="O68" s="31"/>
      <c r="P68" s="42" t="str">
        <f aca="false">IF($O68="","",IFERROR(INDEX(基础资料!$R$6:$R$205,MATCH($O68,基础资料!$Q$6:$Q$205,0)),""))</f>
        <v/>
      </c>
      <c r="Q68" s="42" t="str">
        <f aca="false">IF($O68="","",IFERROR(INDEX(基础资料!$S$6:$S$205,MATCH($O68,基础资料!$Q$6:$Q$205,0)),""))</f>
        <v/>
      </c>
      <c r="R68" s="43"/>
      <c r="S68" s="40"/>
      <c r="T68" s="44" t="str">
        <f aca="false">IF($O68="","",ROUND(N($R68)*N($S68),2))</f>
        <v/>
      </c>
      <c r="U68" s="36"/>
      <c r="W68" s="31"/>
      <c r="X68" s="35" t="str">
        <f aca="false">IF($W68="","",IFERROR(INDEX(科目参数!$B$6:$B$125,MATCH($W68,科目参数!$A$6:$A$125,0)),"⚠科目不存在"))</f>
        <v/>
      </c>
      <c r="Y68" s="42" t="str">
        <f aca="false">IF($W68="","",IFERROR(INDEX(科目参数!$D$6:$D$125,MATCH($W68,科目参数!$A$6:$A$125,0)),""))</f>
        <v/>
      </c>
      <c r="Z68" s="40"/>
      <c r="AA68" s="40"/>
      <c r="AB68" s="36"/>
    </row>
    <row r="69" customFormat="false" ht="15.75" hidden="false" customHeight="true" outlineLevel="0" collapsed="false">
      <c r="E69" s="33"/>
      <c r="F69" s="41"/>
      <c r="G69" s="40"/>
      <c r="H69" s="36"/>
      <c r="J69" s="33"/>
      <c r="K69" s="41"/>
      <c r="L69" s="40"/>
      <c r="M69" s="36"/>
      <c r="O69" s="31"/>
      <c r="P69" s="42" t="str">
        <f aca="false">IF($O69="","",IFERROR(INDEX(基础资料!$R$6:$R$205,MATCH($O69,基础资料!$Q$6:$Q$205,0)),""))</f>
        <v/>
      </c>
      <c r="Q69" s="42" t="str">
        <f aca="false">IF($O69="","",IFERROR(INDEX(基础资料!$S$6:$S$205,MATCH($O69,基础资料!$Q$6:$Q$205,0)),""))</f>
        <v/>
      </c>
      <c r="R69" s="43"/>
      <c r="S69" s="40"/>
      <c r="T69" s="44" t="str">
        <f aca="false">IF($O69="","",ROUND(N($R69)*N($S69),2))</f>
        <v/>
      </c>
      <c r="U69" s="36"/>
      <c r="W69" s="31"/>
      <c r="X69" s="35" t="str">
        <f aca="false">IF($W69="","",IFERROR(INDEX(科目参数!$B$6:$B$125,MATCH($W69,科目参数!$A$6:$A$125,0)),"⚠科目不存在"))</f>
        <v/>
      </c>
      <c r="Y69" s="42" t="str">
        <f aca="false">IF($W69="","",IFERROR(INDEX(科目参数!$D$6:$D$125,MATCH($W69,科目参数!$A$6:$A$125,0)),""))</f>
        <v/>
      </c>
      <c r="Z69" s="40"/>
      <c r="AA69" s="40"/>
      <c r="AB69" s="36"/>
    </row>
    <row r="70" customFormat="false" ht="15.75" hidden="false" customHeight="true" outlineLevel="0" collapsed="false">
      <c r="E70" s="33"/>
      <c r="F70" s="41"/>
      <c r="G70" s="40"/>
      <c r="H70" s="36"/>
      <c r="J70" s="33"/>
      <c r="K70" s="41"/>
      <c r="L70" s="40"/>
      <c r="M70" s="36"/>
      <c r="O70" s="31"/>
      <c r="P70" s="42" t="str">
        <f aca="false">IF($O70="","",IFERROR(INDEX(基础资料!$R$6:$R$205,MATCH($O70,基础资料!$Q$6:$Q$205,0)),""))</f>
        <v/>
      </c>
      <c r="Q70" s="42" t="str">
        <f aca="false">IF($O70="","",IFERROR(INDEX(基础资料!$S$6:$S$205,MATCH($O70,基础资料!$Q$6:$Q$205,0)),""))</f>
        <v/>
      </c>
      <c r="R70" s="43"/>
      <c r="S70" s="40"/>
      <c r="T70" s="44" t="str">
        <f aca="false">IF($O70="","",ROUND(N($R70)*N($S70),2))</f>
        <v/>
      </c>
      <c r="U70" s="36"/>
      <c r="W70" s="31"/>
      <c r="X70" s="35" t="str">
        <f aca="false">IF($W70="","",IFERROR(INDEX(科目参数!$B$6:$B$125,MATCH($W70,科目参数!$A$6:$A$125,0)),"⚠科目不存在"))</f>
        <v/>
      </c>
      <c r="Y70" s="42" t="str">
        <f aca="false">IF($W70="","",IFERROR(INDEX(科目参数!$D$6:$D$125,MATCH($W70,科目参数!$A$6:$A$125,0)),""))</f>
        <v/>
      </c>
      <c r="Z70" s="40"/>
      <c r="AA70" s="40"/>
      <c r="AB70" s="36"/>
    </row>
    <row r="71" customFormat="false" ht="15.75" hidden="false" customHeight="true" outlineLevel="0" collapsed="false">
      <c r="E71" s="33"/>
      <c r="F71" s="41"/>
      <c r="G71" s="40"/>
      <c r="H71" s="36"/>
      <c r="J71" s="33"/>
      <c r="K71" s="41"/>
      <c r="L71" s="40"/>
      <c r="M71" s="36"/>
      <c r="O71" s="31"/>
      <c r="P71" s="42" t="str">
        <f aca="false">IF($O71="","",IFERROR(INDEX(基础资料!$R$6:$R$205,MATCH($O71,基础资料!$Q$6:$Q$205,0)),""))</f>
        <v/>
      </c>
      <c r="Q71" s="42" t="str">
        <f aca="false">IF($O71="","",IFERROR(INDEX(基础资料!$S$6:$S$205,MATCH($O71,基础资料!$Q$6:$Q$205,0)),""))</f>
        <v/>
      </c>
      <c r="R71" s="43"/>
      <c r="S71" s="40"/>
      <c r="T71" s="44" t="str">
        <f aca="false">IF($O71="","",ROUND(N($R71)*N($S71),2))</f>
        <v/>
      </c>
      <c r="U71" s="36"/>
      <c r="W71" s="31"/>
      <c r="X71" s="35" t="str">
        <f aca="false">IF($W71="","",IFERROR(INDEX(科目参数!$B$6:$B$125,MATCH($W71,科目参数!$A$6:$A$125,0)),"⚠科目不存在"))</f>
        <v/>
      </c>
      <c r="Y71" s="42" t="str">
        <f aca="false">IF($W71="","",IFERROR(INDEX(科目参数!$D$6:$D$125,MATCH($W71,科目参数!$A$6:$A$125,0)),""))</f>
        <v/>
      </c>
      <c r="Z71" s="40"/>
      <c r="AA71" s="40"/>
      <c r="AB71" s="36"/>
    </row>
    <row r="72" customFormat="false" ht="15.75" hidden="false" customHeight="true" outlineLevel="0" collapsed="false">
      <c r="E72" s="33"/>
      <c r="F72" s="41"/>
      <c r="G72" s="40"/>
      <c r="H72" s="36"/>
      <c r="J72" s="33"/>
      <c r="K72" s="41"/>
      <c r="L72" s="40"/>
      <c r="M72" s="36"/>
      <c r="O72" s="31"/>
      <c r="P72" s="42" t="str">
        <f aca="false">IF($O72="","",IFERROR(INDEX(基础资料!$R$6:$R$205,MATCH($O72,基础资料!$Q$6:$Q$205,0)),""))</f>
        <v/>
      </c>
      <c r="Q72" s="42" t="str">
        <f aca="false">IF($O72="","",IFERROR(INDEX(基础资料!$S$6:$S$205,MATCH($O72,基础资料!$Q$6:$Q$205,0)),""))</f>
        <v/>
      </c>
      <c r="R72" s="43"/>
      <c r="S72" s="40"/>
      <c r="T72" s="44" t="str">
        <f aca="false">IF($O72="","",ROUND(N($R72)*N($S72),2))</f>
        <v/>
      </c>
      <c r="U72" s="36"/>
      <c r="W72" s="31"/>
      <c r="X72" s="35" t="str">
        <f aca="false">IF($W72="","",IFERROR(INDEX(科目参数!$B$6:$B$125,MATCH($W72,科目参数!$A$6:$A$125,0)),"⚠科目不存在"))</f>
        <v/>
      </c>
      <c r="Y72" s="42" t="str">
        <f aca="false">IF($W72="","",IFERROR(INDEX(科目参数!$D$6:$D$125,MATCH($W72,科目参数!$A$6:$A$125,0)),""))</f>
        <v/>
      </c>
      <c r="Z72" s="40"/>
      <c r="AA72" s="40"/>
      <c r="AB72" s="36"/>
    </row>
    <row r="73" customFormat="false" ht="15.75" hidden="false" customHeight="true" outlineLevel="0" collapsed="false">
      <c r="E73" s="33"/>
      <c r="F73" s="41"/>
      <c r="G73" s="40"/>
      <c r="H73" s="36"/>
      <c r="J73" s="33"/>
      <c r="K73" s="41"/>
      <c r="L73" s="40"/>
      <c r="M73" s="36"/>
      <c r="O73" s="31"/>
      <c r="P73" s="42" t="str">
        <f aca="false">IF($O73="","",IFERROR(INDEX(基础资料!$R$6:$R$205,MATCH($O73,基础资料!$Q$6:$Q$205,0)),""))</f>
        <v/>
      </c>
      <c r="Q73" s="42" t="str">
        <f aca="false">IF($O73="","",IFERROR(INDEX(基础资料!$S$6:$S$205,MATCH($O73,基础资料!$Q$6:$Q$205,0)),""))</f>
        <v/>
      </c>
      <c r="R73" s="43"/>
      <c r="S73" s="40"/>
      <c r="T73" s="44" t="str">
        <f aca="false">IF($O73="","",ROUND(N($R73)*N($S73),2))</f>
        <v/>
      </c>
      <c r="U73" s="36"/>
      <c r="W73" s="31"/>
      <c r="X73" s="35" t="str">
        <f aca="false">IF($W73="","",IFERROR(INDEX(科目参数!$B$6:$B$125,MATCH($W73,科目参数!$A$6:$A$125,0)),"⚠科目不存在"))</f>
        <v/>
      </c>
      <c r="Y73" s="42" t="str">
        <f aca="false">IF($W73="","",IFERROR(INDEX(科目参数!$D$6:$D$125,MATCH($W73,科目参数!$A$6:$A$125,0)),""))</f>
        <v/>
      </c>
      <c r="Z73" s="40"/>
      <c r="AA73" s="40"/>
      <c r="AB73" s="36"/>
    </row>
    <row r="74" customFormat="false" ht="15.75" hidden="false" customHeight="true" outlineLevel="0" collapsed="false">
      <c r="E74" s="33"/>
      <c r="F74" s="41"/>
      <c r="G74" s="40"/>
      <c r="H74" s="36"/>
      <c r="J74" s="33"/>
      <c r="K74" s="41"/>
      <c r="L74" s="40"/>
      <c r="M74" s="36"/>
      <c r="O74" s="31"/>
      <c r="P74" s="42" t="str">
        <f aca="false">IF($O74="","",IFERROR(INDEX(基础资料!$R$6:$R$205,MATCH($O74,基础资料!$Q$6:$Q$205,0)),""))</f>
        <v/>
      </c>
      <c r="Q74" s="42" t="str">
        <f aca="false">IF($O74="","",IFERROR(INDEX(基础资料!$S$6:$S$205,MATCH($O74,基础资料!$Q$6:$Q$205,0)),""))</f>
        <v/>
      </c>
      <c r="R74" s="43"/>
      <c r="S74" s="40"/>
      <c r="T74" s="44" t="str">
        <f aca="false">IF($O74="","",ROUND(N($R74)*N($S74),2))</f>
        <v/>
      </c>
      <c r="U74" s="36"/>
      <c r="W74" s="31"/>
      <c r="X74" s="35" t="str">
        <f aca="false">IF($W74="","",IFERROR(INDEX(科目参数!$B$6:$B$125,MATCH($W74,科目参数!$A$6:$A$125,0)),"⚠科目不存在"))</f>
        <v/>
      </c>
      <c r="Y74" s="42" t="str">
        <f aca="false">IF($W74="","",IFERROR(INDEX(科目参数!$D$6:$D$125,MATCH($W74,科目参数!$A$6:$A$125,0)),""))</f>
        <v/>
      </c>
      <c r="Z74" s="40"/>
      <c r="AA74" s="40"/>
      <c r="AB74" s="36"/>
    </row>
    <row r="75" customFormat="false" ht="15.75" hidden="false" customHeight="true" outlineLevel="0" collapsed="false">
      <c r="E75" s="33"/>
      <c r="F75" s="41"/>
      <c r="G75" s="40"/>
      <c r="H75" s="36"/>
      <c r="J75" s="33"/>
      <c r="K75" s="41"/>
      <c r="L75" s="40"/>
      <c r="M75" s="36"/>
      <c r="O75" s="31"/>
      <c r="P75" s="42" t="str">
        <f aca="false">IF($O75="","",IFERROR(INDEX(基础资料!$R$6:$R$205,MATCH($O75,基础资料!$Q$6:$Q$205,0)),""))</f>
        <v/>
      </c>
      <c r="Q75" s="42" t="str">
        <f aca="false">IF($O75="","",IFERROR(INDEX(基础资料!$S$6:$S$205,MATCH($O75,基础资料!$Q$6:$Q$205,0)),""))</f>
        <v/>
      </c>
      <c r="R75" s="43"/>
      <c r="S75" s="40"/>
      <c r="T75" s="44" t="str">
        <f aca="false">IF($O75="","",ROUND(N($R75)*N($S75),2))</f>
        <v/>
      </c>
      <c r="U75" s="36"/>
      <c r="W75" s="31"/>
      <c r="X75" s="35" t="str">
        <f aca="false">IF($W75="","",IFERROR(INDEX(科目参数!$B$6:$B$125,MATCH($W75,科目参数!$A$6:$A$125,0)),"⚠科目不存在"))</f>
        <v/>
      </c>
      <c r="Y75" s="42" t="str">
        <f aca="false">IF($W75="","",IFERROR(INDEX(科目参数!$D$6:$D$125,MATCH($W75,科目参数!$A$6:$A$125,0)),""))</f>
        <v/>
      </c>
      <c r="Z75" s="40"/>
      <c r="AA75" s="40"/>
      <c r="AB75" s="36"/>
    </row>
    <row r="76" customFormat="false" ht="15.75" hidden="false" customHeight="true" outlineLevel="0" collapsed="false">
      <c r="E76" s="33"/>
      <c r="F76" s="41"/>
      <c r="G76" s="40"/>
      <c r="H76" s="36"/>
      <c r="J76" s="33"/>
      <c r="K76" s="41"/>
      <c r="L76" s="40"/>
      <c r="M76" s="36"/>
      <c r="O76" s="31"/>
      <c r="P76" s="42" t="str">
        <f aca="false">IF($O76="","",IFERROR(INDEX(基础资料!$R$6:$R$205,MATCH($O76,基础资料!$Q$6:$Q$205,0)),""))</f>
        <v/>
      </c>
      <c r="Q76" s="42" t="str">
        <f aca="false">IF($O76="","",IFERROR(INDEX(基础资料!$S$6:$S$205,MATCH($O76,基础资料!$Q$6:$Q$205,0)),""))</f>
        <v/>
      </c>
      <c r="R76" s="43"/>
      <c r="S76" s="40"/>
      <c r="T76" s="44" t="str">
        <f aca="false">IF($O76="","",ROUND(N($R76)*N($S76),2))</f>
        <v/>
      </c>
      <c r="U76" s="36"/>
      <c r="W76" s="31"/>
      <c r="X76" s="35" t="str">
        <f aca="false">IF($W76="","",IFERROR(INDEX(科目参数!$B$6:$B$125,MATCH($W76,科目参数!$A$6:$A$125,0)),"⚠科目不存在"))</f>
        <v/>
      </c>
      <c r="Y76" s="42" t="str">
        <f aca="false">IF($W76="","",IFERROR(INDEX(科目参数!$D$6:$D$125,MATCH($W76,科目参数!$A$6:$A$125,0)),""))</f>
        <v/>
      </c>
      <c r="Z76" s="40"/>
      <c r="AA76" s="40"/>
      <c r="AB76" s="36"/>
    </row>
    <row r="77" customFormat="false" ht="15.75" hidden="false" customHeight="true" outlineLevel="0" collapsed="false">
      <c r="E77" s="33"/>
      <c r="F77" s="41"/>
      <c r="G77" s="40"/>
      <c r="H77" s="36"/>
      <c r="J77" s="33"/>
      <c r="K77" s="41"/>
      <c r="L77" s="40"/>
      <c r="M77" s="36"/>
      <c r="O77" s="31"/>
      <c r="P77" s="42" t="str">
        <f aca="false">IF($O77="","",IFERROR(INDEX(基础资料!$R$6:$R$205,MATCH($O77,基础资料!$Q$6:$Q$205,0)),""))</f>
        <v/>
      </c>
      <c r="Q77" s="42" t="str">
        <f aca="false">IF($O77="","",IFERROR(INDEX(基础资料!$S$6:$S$205,MATCH($O77,基础资料!$Q$6:$Q$205,0)),""))</f>
        <v/>
      </c>
      <c r="R77" s="43"/>
      <c r="S77" s="40"/>
      <c r="T77" s="44" t="str">
        <f aca="false">IF($O77="","",ROUND(N($R77)*N($S77),2))</f>
        <v/>
      </c>
      <c r="U77" s="36"/>
      <c r="W77" s="31"/>
      <c r="X77" s="35" t="str">
        <f aca="false">IF($W77="","",IFERROR(INDEX(科目参数!$B$6:$B$125,MATCH($W77,科目参数!$A$6:$A$125,0)),"⚠科目不存在"))</f>
        <v/>
      </c>
      <c r="Y77" s="42" t="str">
        <f aca="false">IF($W77="","",IFERROR(INDEX(科目参数!$D$6:$D$125,MATCH($W77,科目参数!$A$6:$A$125,0)),""))</f>
        <v/>
      </c>
      <c r="Z77" s="40"/>
      <c r="AA77" s="40"/>
      <c r="AB77" s="36"/>
    </row>
    <row r="78" customFormat="false" ht="15.75" hidden="false" customHeight="true" outlineLevel="0" collapsed="false">
      <c r="E78" s="33"/>
      <c r="F78" s="41"/>
      <c r="G78" s="40"/>
      <c r="H78" s="36"/>
      <c r="J78" s="33"/>
      <c r="K78" s="41"/>
      <c r="L78" s="40"/>
      <c r="M78" s="36"/>
      <c r="O78" s="31"/>
      <c r="P78" s="42" t="str">
        <f aca="false">IF($O78="","",IFERROR(INDEX(基础资料!$R$6:$R$205,MATCH($O78,基础资料!$Q$6:$Q$205,0)),""))</f>
        <v/>
      </c>
      <c r="Q78" s="42" t="str">
        <f aca="false">IF($O78="","",IFERROR(INDEX(基础资料!$S$6:$S$205,MATCH($O78,基础资料!$Q$6:$Q$205,0)),""))</f>
        <v/>
      </c>
      <c r="R78" s="43"/>
      <c r="S78" s="40"/>
      <c r="T78" s="44" t="str">
        <f aca="false">IF($O78="","",ROUND(N($R78)*N($S78),2))</f>
        <v/>
      </c>
      <c r="U78" s="36"/>
      <c r="W78" s="31"/>
      <c r="X78" s="35" t="str">
        <f aca="false">IF($W78="","",IFERROR(INDEX(科目参数!$B$6:$B$125,MATCH($W78,科目参数!$A$6:$A$125,0)),"⚠科目不存在"))</f>
        <v/>
      </c>
      <c r="Y78" s="42" t="str">
        <f aca="false">IF($W78="","",IFERROR(INDEX(科目参数!$D$6:$D$125,MATCH($W78,科目参数!$A$6:$A$125,0)),""))</f>
        <v/>
      </c>
      <c r="Z78" s="40"/>
      <c r="AA78" s="40"/>
      <c r="AB78" s="36"/>
    </row>
    <row r="79" customFormat="false" ht="15.75" hidden="false" customHeight="true" outlineLevel="0" collapsed="false">
      <c r="E79" s="33"/>
      <c r="F79" s="41"/>
      <c r="G79" s="40"/>
      <c r="H79" s="36"/>
      <c r="J79" s="33"/>
      <c r="K79" s="41"/>
      <c r="L79" s="40"/>
      <c r="M79" s="36"/>
      <c r="O79" s="31"/>
      <c r="P79" s="42" t="str">
        <f aca="false">IF($O79="","",IFERROR(INDEX(基础资料!$R$6:$R$205,MATCH($O79,基础资料!$Q$6:$Q$205,0)),""))</f>
        <v/>
      </c>
      <c r="Q79" s="42" t="str">
        <f aca="false">IF($O79="","",IFERROR(INDEX(基础资料!$S$6:$S$205,MATCH($O79,基础资料!$Q$6:$Q$205,0)),""))</f>
        <v/>
      </c>
      <c r="R79" s="43"/>
      <c r="S79" s="40"/>
      <c r="T79" s="44" t="str">
        <f aca="false">IF($O79="","",ROUND(N($R79)*N($S79),2))</f>
        <v/>
      </c>
      <c r="U79" s="36"/>
      <c r="W79" s="31"/>
      <c r="X79" s="35" t="str">
        <f aca="false">IF($W79="","",IFERROR(INDEX(科目参数!$B$6:$B$125,MATCH($W79,科目参数!$A$6:$A$125,0)),"⚠科目不存在"))</f>
        <v/>
      </c>
      <c r="Y79" s="42" t="str">
        <f aca="false">IF($W79="","",IFERROR(INDEX(科目参数!$D$6:$D$125,MATCH($W79,科目参数!$A$6:$A$125,0)),""))</f>
        <v/>
      </c>
      <c r="Z79" s="40"/>
      <c r="AA79" s="40"/>
      <c r="AB79" s="36"/>
    </row>
    <row r="80" customFormat="false" ht="15.75" hidden="false" customHeight="true" outlineLevel="0" collapsed="false">
      <c r="E80" s="33"/>
      <c r="F80" s="41"/>
      <c r="G80" s="40"/>
      <c r="H80" s="36"/>
      <c r="J80" s="33"/>
      <c r="K80" s="41"/>
      <c r="L80" s="40"/>
      <c r="M80" s="36"/>
      <c r="O80" s="31"/>
      <c r="P80" s="42" t="str">
        <f aca="false">IF($O80="","",IFERROR(INDEX(基础资料!$R$6:$R$205,MATCH($O80,基础资料!$Q$6:$Q$205,0)),""))</f>
        <v/>
      </c>
      <c r="Q80" s="42" t="str">
        <f aca="false">IF($O80="","",IFERROR(INDEX(基础资料!$S$6:$S$205,MATCH($O80,基础资料!$Q$6:$Q$205,0)),""))</f>
        <v/>
      </c>
      <c r="R80" s="43"/>
      <c r="S80" s="40"/>
      <c r="T80" s="44" t="str">
        <f aca="false">IF($O80="","",ROUND(N($R80)*N($S80),2))</f>
        <v/>
      </c>
      <c r="U80" s="36"/>
      <c r="W80" s="31"/>
      <c r="X80" s="35" t="str">
        <f aca="false">IF($W80="","",IFERROR(INDEX(科目参数!$B$6:$B$125,MATCH($W80,科目参数!$A$6:$A$125,0)),"⚠科目不存在"))</f>
        <v/>
      </c>
      <c r="Y80" s="42" t="str">
        <f aca="false">IF($W80="","",IFERROR(INDEX(科目参数!$D$6:$D$125,MATCH($W80,科目参数!$A$6:$A$125,0)),""))</f>
        <v/>
      </c>
      <c r="Z80" s="40"/>
      <c r="AA80" s="40"/>
      <c r="AB80" s="36"/>
    </row>
    <row r="81" customFormat="false" ht="15.75" hidden="false" customHeight="true" outlineLevel="0" collapsed="false">
      <c r="E81" s="33"/>
      <c r="F81" s="41"/>
      <c r="G81" s="40"/>
      <c r="H81" s="36"/>
      <c r="J81" s="33"/>
      <c r="K81" s="41"/>
      <c r="L81" s="40"/>
      <c r="M81" s="36"/>
      <c r="O81" s="31"/>
      <c r="P81" s="42" t="str">
        <f aca="false">IF($O81="","",IFERROR(INDEX(基础资料!$R$6:$R$205,MATCH($O81,基础资料!$Q$6:$Q$205,0)),""))</f>
        <v/>
      </c>
      <c r="Q81" s="42" t="str">
        <f aca="false">IF($O81="","",IFERROR(INDEX(基础资料!$S$6:$S$205,MATCH($O81,基础资料!$Q$6:$Q$205,0)),""))</f>
        <v/>
      </c>
      <c r="R81" s="43"/>
      <c r="S81" s="40"/>
      <c r="T81" s="44" t="str">
        <f aca="false">IF($O81="","",ROUND(N($R81)*N($S81),2))</f>
        <v/>
      </c>
      <c r="U81" s="36"/>
      <c r="W81" s="31"/>
      <c r="X81" s="35" t="str">
        <f aca="false">IF($W81="","",IFERROR(INDEX(科目参数!$B$6:$B$125,MATCH($W81,科目参数!$A$6:$A$125,0)),"⚠科目不存在"))</f>
        <v/>
      </c>
      <c r="Y81" s="42" t="str">
        <f aca="false">IF($W81="","",IFERROR(INDEX(科目参数!$D$6:$D$125,MATCH($W81,科目参数!$A$6:$A$125,0)),""))</f>
        <v/>
      </c>
      <c r="Z81" s="40"/>
      <c r="AA81" s="40"/>
      <c r="AB81" s="36"/>
    </row>
    <row r="82" customFormat="false" ht="15.75" hidden="false" customHeight="true" outlineLevel="0" collapsed="false">
      <c r="E82" s="33"/>
      <c r="F82" s="41"/>
      <c r="G82" s="40"/>
      <c r="H82" s="36"/>
      <c r="J82" s="33"/>
      <c r="K82" s="41"/>
      <c r="L82" s="40"/>
      <c r="M82" s="36"/>
      <c r="O82" s="31"/>
      <c r="P82" s="42" t="str">
        <f aca="false">IF($O82="","",IFERROR(INDEX(基础资料!$R$6:$R$205,MATCH($O82,基础资料!$Q$6:$Q$205,0)),""))</f>
        <v/>
      </c>
      <c r="Q82" s="42" t="str">
        <f aca="false">IF($O82="","",IFERROR(INDEX(基础资料!$S$6:$S$205,MATCH($O82,基础资料!$Q$6:$Q$205,0)),""))</f>
        <v/>
      </c>
      <c r="R82" s="43"/>
      <c r="S82" s="40"/>
      <c r="T82" s="44" t="str">
        <f aca="false">IF($O82="","",ROUND(N($R82)*N($S82),2))</f>
        <v/>
      </c>
      <c r="U82" s="36"/>
      <c r="W82" s="31"/>
      <c r="X82" s="35" t="str">
        <f aca="false">IF($W82="","",IFERROR(INDEX(科目参数!$B$6:$B$125,MATCH($W82,科目参数!$A$6:$A$125,0)),"⚠科目不存在"))</f>
        <v/>
      </c>
      <c r="Y82" s="42" t="str">
        <f aca="false">IF($W82="","",IFERROR(INDEX(科目参数!$D$6:$D$125,MATCH($W82,科目参数!$A$6:$A$125,0)),""))</f>
        <v/>
      </c>
      <c r="Z82" s="40"/>
      <c r="AA82" s="40"/>
      <c r="AB82" s="36"/>
    </row>
    <row r="83" customFormat="false" ht="15.75" hidden="false" customHeight="true" outlineLevel="0" collapsed="false">
      <c r="E83" s="33"/>
      <c r="F83" s="41"/>
      <c r="G83" s="40"/>
      <c r="H83" s="36"/>
      <c r="J83" s="33"/>
      <c r="K83" s="41"/>
      <c r="L83" s="40"/>
      <c r="M83" s="36"/>
      <c r="O83" s="31"/>
      <c r="P83" s="42" t="str">
        <f aca="false">IF($O83="","",IFERROR(INDEX(基础资料!$R$6:$R$205,MATCH($O83,基础资料!$Q$6:$Q$205,0)),""))</f>
        <v/>
      </c>
      <c r="Q83" s="42" t="str">
        <f aca="false">IF($O83="","",IFERROR(INDEX(基础资料!$S$6:$S$205,MATCH($O83,基础资料!$Q$6:$Q$205,0)),""))</f>
        <v/>
      </c>
      <c r="R83" s="43"/>
      <c r="S83" s="40"/>
      <c r="T83" s="44" t="str">
        <f aca="false">IF($O83="","",ROUND(N($R83)*N($S83),2))</f>
        <v/>
      </c>
      <c r="U83" s="36"/>
      <c r="W83" s="31"/>
      <c r="X83" s="35" t="str">
        <f aca="false">IF($W83="","",IFERROR(INDEX(科目参数!$B$6:$B$125,MATCH($W83,科目参数!$A$6:$A$125,0)),"⚠科目不存在"))</f>
        <v/>
      </c>
      <c r="Y83" s="42" t="str">
        <f aca="false">IF($W83="","",IFERROR(INDEX(科目参数!$D$6:$D$125,MATCH($W83,科目参数!$A$6:$A$125,0)),""))</f>
        <v/>
      </c>
      <c r="Z83" s="40"/>
      <c r="AA83" s="40"/>
      <c r="AB83" s="36"/>
    </row>
    <row r="84" customFormat="false" ht="15.75" hidden="false" customHeight="true" outlineLevel="0" collapsed="false">
      <c r="E84" s="33"/>
      <c r="F84" s="41"/>
      <c r="G84" s="40"/>
      <c r="H84" s="36"/>
      <c r="J84" s="33"/>
      <c r="K84" s="41"/>
      <c r="L84" s="40"/>
      <c r="M84" s="36"/>
      <c r="O84" s="31"/>
      <c r="P84" s="42" t="str">
        <f aca="false">IF($O84="","",IFERROR(INDEX(基础资料!$R$6:$R$205,MATCH($O84,基础资料!$Q$6:$Q$205,0)),""))</f>
        <v/>
      </c>
      <c r="Q84" s="42" t="str">
        <f aca="false">IF($O84="","",IFERROR(INDEX(基础资料!$S$6:$S$205,MATCH($O84,基础资料!$Q$6:$Q$205,0)),""))</f>
        <v/>
      </c>
      <c r="R84" s="43"/>
      <c r="S84" s="40"/>
      <c r="T84" s="44" t="str">
        <f aca="false">IF($O84="","",ROUND(N($R84)*N($S84),2))</f>
        <v/>
      </c>
      <c r="U84" s="36"/>
      <c r="W84" s="31"/>
      <c r="X84" s="35" t="str">
        <f aca="false">IF($W84="","",IFERROR(INDEX(科目参数!$B$6:$B$125,MATCH($W84,科目参数!$A$6:$A$125,0)),"⚠科目不存在"))</f>
        <v/>
      </c>
      <c r="Y84" s="42" t="str">
        <f aca="false">IF($W84="","",IFERROR(INDEX(科目参数!$D$6:$D$125,MATCH($W84,科目参数!$A$6:$A$125,0)),""))</f>
        <v/>
      </c>
      <c r="Z84" s="40"/>
      <c r="AA84" s="40"/>
      <c r="AB84" s="36"/>
    </row>
    <row r="85" customFormat="false" ht="15.75" hidden="false" customHeight="true" outlineLevel="0" collapsed="false">
      <c r="E85" s="33"/>
      <c r="F85" s="41"/>
      <c r="G85" s="40"/>
      <c r="H85" s="36"/>
      <c r="J85" s="33"/>
      <c r="K85" s="41"/>
      <c r="L85" s="40"/>
      <c r="M85" s="36"/>
      <c r="O85" s="31"/>
      <c r="P85" s="42" t="str">
        <f aca="false">IF($O85="","",IFERROR(INDEX(基础资料!$R$6:$R$205,MATCH($O85,基础资料!$Q$6:$Q$205,0)),""))</f>
        <v/>
      </c>
      <c r="Q85" s="42" t="str">
        <f aca="false">IF($O85="","",IFERROR(INDEX(基础资料!$S$6:$S$205,MATCH($O85,基础资料!$Q$6:$Q$205,0)),""))</f>
        <v/>
      </c>
      <c r="R85" s="43"/>
      <c r="S85" s="40"/>
      <c r="T85" s="44" t="str">
        <f aca="false">IF($O85="","",ROUND(N($R85)*N($S85),2))</f>
        <v/>
      </c>
      <c r="U85" s="36"/>
      <c r="W85" s="31"/>
      <c r="X85" s="35" t="str">
        <f aca="false">IF($W85="","",IFERROR(INDEX(科目参数!$B$6:$B$125,MATCH($W85,科目参数!$A$6:$A$125,0)),"⚠科目不存在"))</f>
        <v/>
      </c>
      <c r="Y85" s="42" t="str">
        <f aca="false">IF($W85="","",IFERROR(INDEX(科目参数!$D$6:$D$125,MATCH($W85,科目参数!$A$6:$A$125,0)),""))</f>
        <v/>
      </c>
      <c r="Z85" s="40"/>
      <c r="AA85" s="40"/>
      <c r="AB85" s="36"/>
    </row>
    <row r="86" customFormat="false" ht="15.75" hidden="false" customHeight="true" outlineLevel="0" collapsed="false">
      <c r="E86" s="33"/>
      <c r="F86" s="41"/>
      <c r="G86" s="40"/>
      <c r="H86" s="36"/>
      <c r="J86" s="33"/>
      <c r="K86" s="41"/>
      <c r="L86" s="40"/>
      <c r="M86" s="36"/>
      <c r="O86" s="31"/>
      <c r="P86" s="42" t="str">
        <f aca="false">IF($O86="","",IFERROR(INDEX(基础资料!$R$6:$R$205,MATCH($O86,基础资料!$Q$6:$Q$205,0)),""))</f>
        <v/>
      </c>
      <c r="Q86" s="42" t="str">
        <f aca="false">IF($O86="","",IFERROR(INDEX(基础资料!$S$6:$S$205,MATCH($O86,基础资料!$Q$6:$Q$205,0)),""))</f>
        <v/>
      </c>
      <c r="R86" s="43"/>
      <c r="S86" s="40"/>
      <c r="T86" s="44" t="str">
        <f aca="false">IF($O86="","",ROUND(N($R86)*N($S86),2))</f>
        <v/>
      </c>
      <c r="U86" s="36"/>
      <c r="W86" s="31"/>
      <c r="X86" s="35" t="str">
        <f aca="false">IF($W86="","",IFERROR(INDEX(科目参数!$B$6:$B$125,MATCH($W86,科目参数!$A$6:$A$125,0)),"⚠科目不存在"))</f>
        <v/>
      </c>
      <c r="Y86" s="42" t="str">
        <f aca="false">IF($W86="","",IFERROR(INDEX(科目参数!$D$6:$D$125,MATCH($W86,科目参数!$A$6:$A$125,0)),""))</f>
        <v/>
      </c>
      <c r="Z86" s="40"/>
      <c r="AA86" s="40"/>
      <c r="AB86" s="36"/>
    </row>
    <row r="87" customFormat="false" ht="15.75" hidden="false" customHeight="true" outlineLevel="0" collapsed="false">
      <c r="E87" s="33"/>
      <c r="F87" s="41"/>
      <c r="G87" s="40"/>
      <c r="H87" s="36"/>
      <c r="J87" s="33"/>
      <c r="K87" s="41"/>
      <c r="L87" s="40"/>
      <c r="M87" s="36"/>
      <c r="O87" s="31"/>
      <c r="P87" s="42" t="str">
        <f aca="false">IF($O87="","",IFERROR(INDEX(基础资料!$R$6:$R$205,MATCH($O87,基础资料!$Q$6:$Q$205,0)),""))</f>
        <v/>
      </c>
      <c r="Q87" s="42" t="str">
        <f aca="false">IF($O87="","",IFERROR(INDEX(基础资料!$S$6:$S$205,MATCH($O87,基础资料!$Q$6:$Q$205,0)),""))</f>
        <v/>
      </c>
      <c r="R87" s="43"/>
      <c r="S87" s="40"/>
      <c r="T87" s="44" t="str">
        <f aca="false">IF($O87="","",ROUND(N($R87)*N($S87),2))</f>
        <v/>
      </c>
      <c r="U87" s="36"/>
      <c r="W87" s="31"/>
      <c r="X87" s="35" t="str">
        <f aca="false">IF($W87="","",IFERROR(INDEX(科目参数!$B$6:$B$125,MATCH($W87,科目参数!$A$6:$A$125,0)),"⚠科目不存在"))</f>
        <v/>
      </c>
      <c r="Y87" s="42" t="str">
        <f aca="false">IF($W87="","",IFERROR(INDEX(科目参数!$D$6:$D$125,MATCH($W87,科目参数!$A$6:$A$125,0)),""))</f>
        <v/>
      </c>
      <c r="Z87" s="40"/>
      <c r="AA87" s="40"/>
      <c r="AB87" s="36"/>
    </row>
    <row r="88" customFormat="false" ht="15.75" hidden="false" customHeight="true" outlineLevel="0" collapsed="false">
      <c r="E88" s="33"/>
      <c r="F88" s="41"/>
      <c r="G88" s="40"/>
      <c r="H88" s="36"/>
      <c r="J88" s="33"/>
      <c r="K88" s="41"/>
      <c r="L88" s="40"/>
      <c r="M88" s="36"/>
      <c r="O88" s="31"/>
      <c r="P88" s="42" t="str">
        <f aca="false">IF($O88="","",IFERROR(INDEX(基础资料!$R$6:$R$205,MATCH($O88,基础资料!$Q$6:$Q$205,0)),""))</f>
        <v/>
      </c>
      <c r="Q88" s="42" t="str">
        <f aca="false">IF($O88="","",IFERROR(INDEX(基础资料!$S$6:$S$205,MATCH($O88,基础资料!$Q$6:$Q$205,0)),""))</f>
        <v/>
      </c>
      <c r="R88" s="43"/>
      <c r="S88" s="40"/>
      <c r="T88" s="44" t="str">
        <f aca="false">IF($O88="","",ROUND(N($R88)*N($S88),2))</f>
        <v/>
      </c>
      <c r="U88" s="36"/>
      <c r="W88" s="31"/>
      <c r="X88" s="35" t="str">
        <f aca="false">IF($W88="","",IFERROR(INDEX(科目参数!$B$6:$B$125,MATCH($W88,科目参数!$A$6:$A$125,0)),"⚠科目不存在"))</f>
        <v/>
      </c>
      <c r="Y88" s="42" t="str">
        <f aca="false">IF($W88="","",IFERROR(INDEX(科目参数!$D$6:$D$125,MATCH($W88,科目参数!$A$6:$A$125,0)),""))</f>
        <v/>
      </c>
      <c r="Z88" s="40"/>
      <c r="AA88" s="40"/>
      <c r="AB88" s="36"/>
    </row>
    <row r="89" customFormat="false" ht="15.75" hidden="false" customHeight="true" outlineLevel="0" collapsed="false">
      <c r="E89" s="33"/>
      <c r="F89" s="41"/>
      <c r="G89" s="40"/>
      <c r="H89" s="36"/>
      <c r="J89" s="33"/>
      <c r="K89" s="41"/>
      <c r="L89" s="40"/>
      <c r="M89" s="36"/>
      <c r="O89" s="31"/>
      <c r="P89" s="42" t="str">
        <f aca="false">IF($O89="","",IFERROR(INDEX(基础资料!$R$6:$R$205,MATCH($O89,基础资料!$Q$6:$Q$205,0)),""))</f>
        <v/>
      </c>
      <c r="Q89" s="42" t="str">
        <f aca="false">IF($O89="","",IFERROR(INDEX(基础资料!$S$6:$S$205,MATCH($O89,基础资料!$Q$6:$Q$205,0)),""))</f>
        <v/>
      </c>
      <c r="R89" s="43"/>
      <c r="S89" s="40"/>
      <c r="T89" s="44" t="str">
        <f aca="false">IF($O89="","",ROUND(N($R89)*N($S89),2))</f>
        <v/>
      </c>
      <c r="U89" s="36"/>
      <c r="W89" s="31"/>
      <c r="X89" s="35" t="str">
        <f aca="false">IF($W89="","",IFERROR(INDEX(科目参数!$B$6:$B$125,MATCH($W89,科目参数!$A$6:$A$125,0)),"⚠科目不存在"))</f>
        <v/>
      </c>
      <c r="Y89" s="42" t="str">
        <f aca="false">IF($W89="","",IFERROR(INDEX(科目参数!$D$6:$D$125,MATCH($W89,科目参数!$A$6:$A$125,0)),""))</f>
        <v/>
      </c>
      <c r="Z89" s="40"/>
      <c r="AA89" s="40"/>
      <c r="AB89" s="36"/>
    </row>
    <row r="90" customFormat="false" ht="15.75" hidden="false" customHeight="true" outlineLevel="0" collapsed="false">
      <c r="E90" s="33"/>
      <c r="F90" s="41"/>
      <c r="G90" s="40"/>
      <c r="H90" s="36"/>
      <c r="J90" s="33"/>
      <c r="K90" s="41"/>
      <c r="L90" s="40"/>
      <c r="M90" s="36"/>
      <c r="O90" s="31"/>
      <c r="P90" s="42" t="str">
        <f aca="false">IF($O90="","",IFERROR(INDEX(基础资料!$R$6:$R$205,MATCH($O90,基础资料!$Q$6:$Q$205,0)),""))</f>
        <v/>
      </c>
      <c r="Q90" s="42" t="str">
        <f aca="false">IF($O90="","",IFERROR(INDEX(基础资料!$S$6:$S$205,MATCH($O90,基础资料!$Q$6:$Q$205,0)),""))</f>
        <v/>
      </c>
      <c r="R90" s="43"/>
      <c r="S90" s="40"/>
      <c r="T90" s="44" t="str">
        <f aca="false">IF($O90="","",ROUND(N($R90)*N($S90),2))</f>
        <v/>
      </c>
      <c r="U90" s="36"/>
      <c r="W90" s="31"/>
      <c r="X90" s="35" t="str">
        <f aca="false">IF($W90="","",IFERROR(INDEX(科目参数!$B$6:$B$125,MATCH($W90,科目参数!$A$6:$A$125,0)),"⚠科目不存在"))</f>
        <v/>
      </c>
      <c r="Y90" s="42" t="str">
        <f aca="false">IF($W90="","",IFERROR(INDEX(科目参数!$D$6:$D$125,MATCH($W90,科目参数!$A$6:$A$125,0)),""))</f>
        <v/>
      </c>
      <c r="Z90" s="40"/>
      <c r="AA90" s="40"/>
      <c r="AB90" s="36"/>
    </row>
    <row r="91" customFormat="false" ht="15.75" hidden="false" customHeight="true" outlineLevel="0" collapsed="false">
      <c r="E91" s="33"/>
      <c r="F91" s="41"/>
      <c r="G91" s="40"/>
      <c r="H91" s="36"/>
      <c r="J91" s="33"/>
      <c r="K91" s="41"/>
      <c r="L91" s="40"/>
      <c r="M91" s="36"/>
      <c r="O91" s="31"/>
      <c r="P91" s="42" t="str">
        <f aca="false">IF($O91="","",IFERROR(INDEX(基础资料!$R$6:$R$205,MATCH($O91,基础资料!$Q$6:$Q$205,0)),""))</f>
        <v/>
      </c>
      <c r="Q91" s="42" t="str">
        <f aca="false">IF($O91="","",IFERROR(INDEX(基础资料!$S$6:$S$205,MATCH($O91,基础资料!$Q$6:$Q$205,0)),""))</f>
        <v/>
      </c>
      <c r="R91" s="43"/>
      <c r="S91" s="40"/>
      <c r="T91" s="44" t="str">
        <f aca="false">IF($O91="","",ROUND(N($R91)*N($S91),2))</f>
        <v/>
      </c>
      <c r="U91" s="36"/>
      <c r="W91" s="31"/>
      <c r="X91" s="35" t="str">
        <f aca="false">IF($W91="","",IFERROR(INDEX(科目参数!$B$6:$B$125,MATCH($W91,科目参数!$A$6:$A$125,0)),"⚠科目不存在"))</f>
        <v/>
      </c>
      <c r="Y91" s="42" t="str">
        <f aca="false">IF($W91="","",IFERROR(INDEX(科目参数!$D$6:$D$125,MATCH($W91,科目参数!$A$6:$A$125,0)),""))</f>
        <v/>
      </c>
      <c r="Z91" s="40"/>
      <c r="AA91" s="40"/>
      <c r="AB91" s="36"/>
    </row>
    <row r="92" customFormat="false" ht="15.75" hidden="false" customHeight="true" outlineLevel="0" collapsed="false">
      <c r="E92" s="33"/>
      <c r="F92" s="41"/>
      <c r="G92" s="40"/>
      <c r="H92" s="36"/>
      <c r="J92" s="33"/>
      <c r="K92" s="41"/>
      <c r="L92" s="40"/>
      <c r="M92" s="36"/>
      <c r="O92" s="31"/>
      <c r="P92" s="42" t="str">
        <f aca="false">IF($O92="","",IFERROR(INDEX(基础资料!$R$6:$R$205,MATCH($O92,基础资料!$Q$6:$Q$205,0)),""))</f>
        <v/>
      </c>
      <c r="Q92" s="42" t="str">
        <f aca="false">IF($O92="","",IFERROR(INDEX(基础资料!$S$6:$S$205,MATCH($O92,基础资料!$Q$6:$Q$205,0)),""))</f>
        <v/>
      </c>
      <c r="R92" s="43"/>
      <c r="S92" s="40"/>
      <c r="T92" s="44" t="str">
        <f aca="false">IF($O92="","",ROUND(N($R92)*N($S92),2))</f>
        <v/>
      </c>
      <c r="U92" s="36"/>
      <c r="W92" s="31"/>
      <c r="X92" s="35" t="str">
        <f aca="false">IF($W92="","",IFERROR(INDEX(科目参数!$B$6:$B$125,MATCH($W92,科目参数!$A$6:$A$125,0)),"⚠科目不存在"))</f>
        <v/>
      </c>
      <c r="Y92" s="42" t="str">
        <f aca="false">IF($W92="","",IFERROR(INDEX(科目参数!$D$6:$D$125,MATCH($W92,科目参数!$A$6:$A$125,0)),""))</f>
        <v/>
      </c>
      <c r="Z92" s="40"/>
      <c r="AA92" s="40"/>
      <c r="AB92" s="36"/>
    </row>
    <row r="93" customFormat="false" ht="15.75" hidden="false" customHeight="true" outlineLevel="0" collapsed="false">
      <c r="E93" s="33"/>
      <c r="F93" s="41"/>
      <c r="G93" s="40"/>
      <c r="H93" s="36"/>
      <c r="J93" s="33"/>
      <c r="K93" s="41"/>
      <c r="L93" s="40"/>
      <c r="M93" s="36"/>
      <c r="O93" s="31"/>
      <c r="P93" s="42" t="str">
        <f aca="false">IF($O93="","",IFERROR(INDEX(基础资料!$R$6:$R$205,MATCH($O93,基础资料!$Q$6:$Q$205,0)),""))</f>
        <v/>
      </c>
      <c r="Q93" s="42" t="str">
        <f aca="false">IF($O93="","",IFERROR(INDEX(基础资料!$S$6:$S$205,MATCH($O93,基础资料!$Q$6:$Q$205,0)),""))</f>
        <v/>
      </c>
      <c r="R93" s="43"/>
      <c r="S93" s="40"/>
      <c r="T93" s="44" t="str">
        <f aca="false">IF($O93="","",ROUND(N($R93)*N($S93),2))</f>
        <v/>
      </c>
      <c r="U93" s="36"/>
      <c r="W93" s="31"/>
      <c r="X93" s="35" t="str">
        <f aca="false">IF($W93="","",IFERROR(INDEX(科目参数!$B$6:$B$125,MATCH($W93,科目参数!$A$6:$A$125,0)),"⚠科目不存在"))</f>
        <v/>
      </c>
      <c r="Y93" s="42" t="str">
        <f aca="false">IF($W93="","",IFERROR(INDEX(科目参数!$D$6:$D$125,MATCH($W93,科目参数!$A$6:$A$125,0)),""))</f>
        <v/>
      </c>
      <c r="Z93" s="40"/>
      <c r="AA93" s="40"/>
      <c r="AB93" s="36"/>
    </row>
    <row r="94" customFormat="false" ht="15.75" hidden="false" customHeight="true" outlineLevel="0" collapsed="false">
      <c r="E94" s="33"/>
      <c r="F94" s="41"/>
      <c r="G94" s="40"/>
      <c r="H94" s="36"/>
      <c r="J94" s="33"/>
      <c r="K94" s="41"/>
      <c r="L94" s="40"/>
      <c r="M94" s="36"/>
      <c r="O94" s="31"/>
      <c r="P94" s="42" t="str">
        <f aca="false">IF($O94="","",IFERROR(INDEX(基础资料!$R$6:$R$205,MATCH($O94,基础资料!$Q$6:$Q$205,0)),""))</f>
        <v/>
      </c>
      <c r="Q94" s="42" t="str">
        <f aca="false">IF($O94="","",IFERROR(INDEX(基础资料!$S$6:$S$205,MATCH($O94,基础资料!$Q$6:$Q$205,0)),""))</f>
        <v/>
      </c>
      <c r="R94" s="43"/>
      <c r="S94" s="40"/>
      <c r="T94" s="44" t="str">
        <f aca="false">IF($O94="","",ROUND(N($R94)*N($S94),2))</f>
        <v/>
      </c>
      <c r="U94" s="36"/>
      <c r="W94" s="31"/>
      <c r="X94" s="35" t="str">
        <f aca="false">IF($W94="","",IFERROR(INDEX(科目参数!$B$6:$B$125,MATCH($W94,科目参数!$A$6:$A$125,0)),"⚠科目不存在"))</f>
        <v/>
      </c>
      <c r="Y94" s="42" t="str">
        <f aca="false">IF($W94="","",IFERROR(INDEX(科目参数!$D$6:$D$125,MATCH($W94,科目参数!$A$6:$A$125,0)),""))</f>
        <v/>
      </c>
      <c r="Z94" s="40"/>
      <c r="AA94" s="40"/>
      <c r="AB94" s="36"/>
    </row>
    <row r="95" customFormat="false" ht="15.75" hidden="false" customHeight="true" outlineLevel="0" collapsed="false">
      <c r="E95" s="33"/>
      <c r="F95" s="41"/>
      <c r="G95" s="40"/>
      <c r="H95" s="36"/>
      <c r="J95" s="33"/>
      <c r="K95" s="41"/>
      <c r="L95" s="40"/>
      <c r="M95" s="36"/>
      <c r="O95" s="31"/>
      <c r="P95" s="42" t="str">
        <f aca="false">IF($O95="","",IFERROR(INDEX(基础资料!$R$6:$R$205,MATCH($O95,基础资料!$Q$6:$Q$205,0)),""))</f>
        <v/>
      </c>
      <c r="Q95" s="42" t="str">
        <f aca="false">IF($O95="","",IFERROR(INDEX(基础资料!$S$6:$S$205,MATCH($O95,基础资料!$Q$6:$Q$205,0)),""))</f>
        <v/>
      </c>
      <c r="R95" s="43"/>
      <c r="S95" s="40"/>
      <c r="T95" s="44" t="str">
        <f aca="false">IF($O95="","",ROUND(N($R95)*N($S95),2))</f>
        <v/>
      </c>
      <c r="U95" s="36"/>
      <c r="W95" s="31"/>
      <c r="X95" s="35" t="str">
        <f aca="false">IF($W95="","",IFERROR(INDEX(科目参数!$B$6:$B$125,MATCH($W95,科目参数!$A$6:$A$125,0)),"⚠科目不存在"))</f>
        <v/>
      </c>
      <c r="Y95" s="42" t="str">
        <f aca="false">IF($W95="","",IFERROR(INDEX(科目参数!$D$6:$D$125,MATCH($W95,科目参数!$A$6:$A$125,0)),""))</f>
        <v/>
      </c>
      <c r="Z95" s="40"/>
      <c r="AA95" s="40"/>
      <c r="AB95" s="36"/>
    </row>
    <row r="96" customFormat="false" ht="15.75" hidden="false" customHeight="true" outlineLevel="0" collapsed="false">
      <c r="E96" s="33"/>
      <c r="F96" s="41"/>
      <c r="G96" s="40"/>
      <c r="H96" s="36"/>
      <c r="J96" s="33"/>
      <c r="K96" s="41"/>
      <c r="L96" s="40"/>
      <c r="M96" s="36"/>
      <c r="O96" s="31"/>
      <c r="P96" s="42" t="str">
        <f aca="false">IF($O96="","",IFERROR(INDEX(基础资料!$R$6:$R$205,MATCH($O96,基础资料!$Q$6:$Q$205,0)),""))</f>
        <v/>
      </c>
      <c r="Q96" s="42" t="str">
        <f aca="false">IF($O96="","",IFERROR(INDEX(基础资料!$S$6:$S$205,MATCH($O96,基础资料!$Q$6:$Q$205,0)),""))</f>
        <v/>
      </c>
      <c r="R96" s="43"/>
      <c r="S96" s="40"/>
      <c r="T96" s="44" t="str">
        <f aca="false">IF($O96="","",ROUND(N($R96)*N($S96),2))</f>
        <v/>
      </c>
      <c r="U96" s="36"/>
      <c r="W96" s="31"/>
      <c r="X96" s="35" t="str">
        <f aca="false">IF($W96="","",IFERROR(INDEX(科目参数!$B$6:$B$125,MATCH($W96,科目参数!$A$6:$A$125,0)),"⚠科目不存在"))</f>
        <v/>
      </c>
      <c r="Y96" s="42" t="str">
        <f aca="false">IF($W96="","",IFERROR(INDEX(科目参数!$D$6:$D$125,MATCH($W96,科目参数!$A$6:$A$125,0)),""))</f>
        <v/>
      </c>
      <c r="Z96" s="40"/>
      <c r="AA96" s="40"/>
      <c r="AB96" s="36"/>
    </row>
    <row r="97" customFormat="false" ht="15.75" hidden="false" customHeight="true" outlineLevel="0" collapsed="false">
      <c r="E97" s="33"/>
      <c r="F97" s="41"/>
      <c r="G97" s="40"/>
      <c r="H97" s="36"/>
      <c r="J97" s="33"/>
      <c r="K97" s="41"/>
      <c r="L97" s="40"/>
      <c r="M97" s="36"/>
      <c r="O97" s="31"/>
      <c r="P97" s="42" t="str">
        <f aca="false">IF($O97="","",IFERROR(INDEX(基础资料!$R$6:$R$205,MATCH($O97,基础资料!$Q$6:$Q$205,0)),""))</f>
        <v/>
      </c>
      <c r="Q97" s="42" t="str">
        <f aca="false">IF($O97="","",IFERROR(INDEX(基础资料!$S$6:$S$205,MATCH($O97,基础资料!$Q$6:$Q$205,0)),""))</f>
        <v/>
      </c>
      <c r="R97" s="43"/>
      <c r="S97" s="40"/>
      <c r="T97" s="44" t="str">
        <f aca="false">IF($O97="","",ROUND(N($R97)*N($S97),2))</f>
        <v/>
      </c>
      <c r="U97" s="36"/>
      <c r="W97" s="31"/>
      <c r="X97" s="35" t="str">
        <f aca="false">IF($W97="","",IFERROR(INDEX(科目参数!$B$6:$B$125,MATCH($W97,科目参数!$A$6:$A$125,0)),"⚠科目不存在"))</f>
        <v/>
      </c>
      <c r="Y97" s="42" t="str">
        <f aca="false">IF($W97="","",IFERROR(INDEX(科目参数!$D$6:$D$125,MATCH($W97,科目参数!$A$6:$A$125,0)),""))</f>
        <v/>
      </c>
      <c r="Z97" s="40"/>
      <c r="AA97" s="40"/>
      <c r="AB97" s="36"/>
    </row>
    <row r="98" customFormat="false" ht="15.75" hidden="false" customHeight="true" outlineLevel="0" collapsed="false">
      <c r="E98" s="33"/>
      <c r="F98" s="41"/>
      <c r="G98" s="40"/>
      <c r="H98" s="36"/>
      <c r="J98" s="33"/>
      <c r="K98" s="41"/>
      <c r="L98" s="40"/>
      <c r="M98" s="36"/>
      <c r="O98" s="31"/>
      <c r="P98" s="42" t="str">
        <f aca="false">IF($O98="","",IFERROR(INDEX(基础资料!$R$6:$R$205,MATCH($O98,基础资料!$Q$6:$Q$205,0)),""))</f>
        <v/>
      </c>
      <c r="Q98" s="42" t="str">
        <f aca="false">IF($O98="","",IFERROR(INDEX(基础资料!$S$6:$S$205,MATCH($O98,基础资料!$Q$6:$Q$205,0)),""))</f>
        <v/>
      </c>
      <c r="R98" s="43"/>
      <c r="S98" s="40"/>
      <c r="T98" s="44" t="str">
        <f aca="false">IF($O98="","",ROUND(N($R98)*N($S98),2))</f>
        <v/>
      </c>
      <c r="U98" s="36"/>
      <c r="W98" s="31"/>
      <c r="X98" s="35" t="str">
        <f aca="false">IF($W98="","",IFERROR(INDEX(科目参数!$B$6:$B$125,MATCH($W98,科目参数!$A$6:$A$125,0)),"⚠科目不存在"))</f>
        <v/>
      </c>
      <c r="Y98" s="42" t="str">
        <f aca="false">IF($W98="","",IFERROR(INDEX(科目参数!$D$6:$D$125,MATCH($W98,科目参数!$A$6:$A$125,0)),""))</f>
        <v/>
      </c>
      <c r="Z98" s="40"/>
      <c r="AA98" s="40"/>
      <c r="AB98" s="36"/>
    </row>
    <row r="99" customFormat="false" ht="15.75" hidden="false" customHeight="true" outlineLevel="0" collapsed="false">
      <c r="E99" s="33"/>
      <c r="F99" s="41"/>
      <c r="G99" s="40"/>
      <c r="H99" s="36"/>
      <c r="J99" s="33"/>
      <c r="K99" s="41"/>
      <c r="L99" s="40"/>
      <c r="M99" s="36"/>
      <c r="O99" s="31"/>
      <c r="P99" s="42" t="str">
        <f aca="false">IF($O99="","",IFERROR(INDEX(基础资料!$R$6:$R$205,MATCH($O99,基础资料!$Q$6:$Q$205,0)),""))</f>
        <v/>
      </c>
      <c r="Q99" s="42" t="str">
        <f aca="false">IF($O99="","",IFERROR(INDEX(基础资料!$S$6:$S$205,MATCH($O99,基础资料!$Q$6:$Q$205,0)),""))</f>
        <v/>
      </c>
      <c r="R99" s="43"/>
      <c r="S99" s="40"/>
      <c r="T99" s="44" t="str">
        <f aca="false">IF($O99="","",ROUND(N($R99)*N($S99),2))</f>
        <v/>
      </c>
      <c r="U99" s="36"/>
      <c r="W99" s="31"/>
      <c r="X99" s="35" t="str">
        <f aca="false">IF($W99="","",IFERROR(INDEX(科目参数!$B$6:$B$125,MATCH($W99,科目参数!$A$6:$A$125,0)),"⚠科目不存在"))</f>
        <v/>
      </c>
      <c r="Y99" s="42" t="str">
        <f aca="false">IF($W99="","",IFERROR(INDEX(科目参数!$D$6:$D$125,MATCH($W99,科目参数!$A$6:$A$125,0)),""))</f>
        <v/>
      </c>
      <c r="Z99" s="40"/>
      <c r="AA99" s="40"/>
      <c r="AB99" s="36"/>
    </row>
    <row r="100" customFormat="false" ht="15.75" hidden="false" customHeight="true" outlineLevel="0" collapsed="false">
      <c r="E100" s="33"/>
      <c r="F100" s="41"/>
      <c r="G100" s="40"/>
      <c r="H100" s="36"/>
      <c r="J100" s="33"/>
      <c r="K100" s="41"/>
      <c r="L100" s="40"/>
      <c r="M100" s="36"/>
      <c r="O100" s="31"/>
      <c r="P100" s="42" t="str">
        <f aca="false">IF($O100="","",IFERROR(INDEX(基础资料!$R$6:$R$205,MATCH($O100,基础资料!$Q$6:$Q$205,0)),""))</f>
        <v/>
      </c>
      <c r="Q100" s="42" t="str">
        <f aca="false">IF($O100="","",IFERROR(INDEX(基础资料!$S$6:$S$205,MATCH($O100,基础资料!$Q$6:$Q$205,0)),""))</f>
        <v/>
      </c>
      <c r="R100" s="43"/>
      <c r="S100" s="40"/>
      <c r="T100" s="44" t="str">
        <f aca="false">IF($O100="","",ROUND(N($R100)*N($S100),2))</f>
        <v/>
      </c>
      <c r="U100" s="36"/>
      <c r="W100" s="31"/>
      <c r="X100" s="35" t="str">
        <f aca="false">IF($W100="","",IFERROR(INDEX(科目参数!$B$6:$B$125,MATCH($W100,科目参数!$A$6:$A$125,0)),"⚠科目不存在"))</f>
        <v/>
      </c>
      <c r="Y100" s="42" t="str">
        <f aca="false">IF($W100="","",IFERROR(INDEX(科目参数!$D$6:$D$125,MATCH($W100,科目参数!$A$6:$A$125,0)),""))</f>
        <v/>
      </c>
      <c r="Z100" s="40"/>
      <c r="AA100" s="40"/>
      <c r="AB100" s="36"/>
    </row>
    <row r="101" customFormat="false" ht="15.75" hidden="false" customHeight="true" outlineLevel="0" collapsed="false">
      <c r="E101" s="33"/>
      <c r="F101" s="41"/>
      <c r="G101" s="40"/>
      <c r="H101" s="36"/>
      <c r="J101" s="33"/>
      <c r="K101" s="41"/>
      <c r="L101" s="40"/>
      <c r="M101" s="36"/>
      <c r="O101" s="31"/>
      <c r="P101" s="42" t="str">
        <f aca="false">IF($O101="","",IFERROR(INDEX(基础资料!$R$6:$R$205,MATCH($O101,基础资料!$Q$6:$Q$205,0)),""))</f>
        <v/>
      </c>
      <c r="Q101" s="42" t="str">
        <f aca="false">IF($O101="","",IFERROR(INDEX(基础资料!$S$6:$S$205,MATCH($O101,基础资料!$Q$6:$Q$205,0)),""))</f>
        <v/>
      </c>
      <c r="R101" s="43"/>
      <c r="S101" s="40"/>
      <c r="T101" s="44" t="str">
        <f aca="false">IF($O101="","",ROUND(N($R101)*N($S101),2))</f>
        <v/>
      </c>
      <c r="U101" s="36"/>
      <c r="W101" s="31"/>
      <c r="X101" s="35" t="str">
        <f aca="false">IF($W101="","",IFERROR(INDEX(科目参数!$B$6:$B$125,MATCH($W101,科目参数!$A$6:$A$125,0)),"⚠科目不存在"))</f>
        <v/>
      </c>
      <c r="Y101" s="42" t="str">
        <f aca="false">IF($W101="","",IFERROR(INDEX(科目参数!$D$6:$D$125,MATCH($W101,科目参数!$A$6:$A$125,0)),""))</f>
        <v/>
      </c>
      <c r="Z101" s="40"/>
      <c r="AA101" s="40"/>
      <c r="AB101" s="36"/>
    </row>
    <row r="102" customFormat="false" ht="15.75" hidden="false" customHeight="true" outlineLevel="0" collapsed="false">
      <c r="E102" s="33"/>
      <c r="F102" s="41"/>
      <c r="G102" s="40"/>
      <c r="H102" s="36"/>
      <c r="J102" s="33"/>
      <c r="K102" s="41"/>
      <c r="L102" s="40"/>
      <c r="M102" s="36"/>
      <c r="O102" s="31"/>
      <c r="P102" s="42" t="str">
        <f aca="false">IF($O102="","",IFERROR(INDEX(基础资料!$R$6:$R$205,MATCH($O102,基础资料!$Q$6:$Q$205,0)),""))</f>
        <v/>
      </c>
      <c r="Q102" s="42" t="str">
        <f aca="false">IF($O102="","",IFERROR(INDEX(基础资料!$S$6:$S$205,MATCH($O102,基础资料!$Q$6:$Q$205,0)),""))</f>
        <v/>
      </c>
      <c r="R102" s="43"/>
      <c r="S102" s="40"/>
      <c r="T102" s="44" t="str">
        <f aca="false">IF($O102="","",ROUND(N($R102)*N($S102),2))</f>
        <v/>
      </c>
      <c r="U102" s="36"/>
      <c r="W102" s="31"/>
      <c r="X102" s="35" t="str">
        <f aca="false">IF($W102="","",IFERROR(INDEX(科目参数!$B$6:$B$125,MATCH($W102,科目参数!$A$6:$A$125,0)),"⚠科目不存在"))</f>
        <v/>
      </c>
      <c r="Y102" s="42" t="str">
        <f aca="false">IF($W102="","",IFERROR(INDEX(科目参数!$D$6:$D$125,MATCH($W102,科目参数!$A$6:$A$125,0)),""))</f>
        <v/>
      </c>
      <c r="Z102" s="40"/>
      <c r="AA102" s="40"/>
      <c r="AB102" s="36"/>
    </row>
    <row r="103" customFormat="false" ht="15.75" hidden="false" customHeight="true" outlineLevel="0" collapsed="false">
      <c r="E103" s="33"/>
      <c r="F103" s="41"/>
      <c r="G103" s="40"/>
      <c r="H103" s="36"/>
      <c r="J103" s="33"/>
      <c r="K103" s="41"/>
      <c r="L103" s="40"/>
      <c r="M103" s="36"/>
      <c r="O103" s="31"/>
      <c r="P103" s="42" t="str">
        <f aca="false">IF($O103="","",IFERROR(INDEX(基础资料!$R$6:$R$205,MATCH($O103,基础资料!$Q$6:$Q$205,0)),""))</f>
        <v/>
      </c>
      <c r="Q103" s="42" t="str">
        <f aca="false">IF($O103="","",IFERROR(INDEX(基础资料!$S$6:$S$205,MATCH($O103,基础资料!$Q$6:$Q$205,0)),""))</f>
        <v/>
      </c>
      <c r="R103" s="43"/>
      <c r="S103" s="40"/>
      <c r="T103" s="44" t="str">
        <f aca="false">IF($O103="","",ROUND(N($R103)*N($S103),2))</f>
        <v/>
      </c>
      <c r="U103" s="36"/>
      <c r="W103" s="31"/>
      <c r="X103" s="35" t="str">
        <f aca="false">IF($W103="","",IFERROR(INDEX(科目参数!$B$6:$B$125,MATCH($W103,科目参数!$A$6:$A$125,0)),"⚠科目不存在"))</f>
        <v/>
      </c>
      <c r="Y103" s="42" t="str">
        <f aca="false">IF($W103="","",IFERROR(INDEX(科目参数!$D$6:$D$125,MATCH($W103,科目参数!$A$6:$A$125,0)),""))</f>
        <v/>
      </c>
      <c r="Z103" s="40"/>
      <c r="AA103" s="40"/>
      <c r="AB103" s="36"/>
    </row>
    <row r="104" customFormat="false" ht="15.75" hidden="false" customHeight="true" outlineLevel="0" collapsed="false">
      <c r="E104" s="33"/>
      <c r="F104" s="41"/>
      <c r="G104" s="40"/>
      <c r="H104" s="36"/>
      <c r="J104" s="33"/>
      <c r="K104" s="41"/>
      <c r="L104" s="40"/>
      <c r="M104" s="36"/>
      <c r="O104" s="31"/>
      <c r="P104" s="42" t="str">
        <f aca="false">IF($O104="","",IFERROR(INDEX(基础资料!$R$6:$R$205,MATCH($O104,基础资料!$Q$6:$Q$205,0)),""))</f>
        <v/>
      </c>
      <c r="Q104" s="42" t="str">
        <f aca="false">IF($O104="","",IFERROR(INDEX(基础资料!$S$6:$S$205,MATCH($O104,基础资料!$Q$6:$Q$205,0)),""))</f>
        <v/>
      </c>
      <c r="R104" s="43"/>
      <c r="S104" s="40"/>
      <c r="T104" s="44" t="str">
        <f aca="false">IF($O104="","",ROUND(N($R104)*N($S104),2))</f>
        <v/>
      </c>
      <c r="U104" s="36"/>
      <c r="W104" s="31"/>
      <c r="X104" s="35" t="str">
        <f aca="false">IF($W104="","",IFERROR(INDEX(科目参数!$B$6:$B$125,MATCH($W104,科目参数!$A$6:$A$125,0)),"⚠科目不存在"))</f>
        <v/>
      </c>
      <c r="Y104" s="42" t="str">
        <f aca="false">IF($W104="","",IFERROR(INDEX(科目参数!$D$6:$D$125,MATCH($W104,科目参数!$A$6:$A$125,0)),""))</f>
        <v/>
      </c>
      <c r="Z104" s="40"/>
      <c r="AA104" s="40"/>
      <c r="AB104" s="36"/>
    </row>
    <row r="105" customFormat="false" ht="15.75" hidden="false" customHeight="true" outlineLevel="0" collapsed="false">
      <c r="E105" s="33"/>
      <c r="F105" s="41"/>
      <c r="G105" s="40"/>
      <c r="H105" s="36"/>
      <c r="J105" s="33"/>
      <c r="K105" s="41"/>
      <c r="L105" s="40"/>
      <c r="M105" s="36"/>
      <c r="O105" s="31"/>
      <c r="P105" s="42" t="str">
        <f aca="false">IF($O105="","",IFERROR(INDEX(基础资料!$R$6:$R$205,MATCH($O105,基础资料!$Q$6:$Q$205,0)),""))</f>
        <v/>
      </c>
      <c r="Q105" s="42" t="str">
        <f aca="false">IF($O105="","",IFERROR(INDEX(基础资料!$S$6:$S$205,MATCH($O105,基础资料!$Q$6:$Q$205,0)),""))</f>
        <v/>
      </c>
      <c r="R105" s="43"/>
      <c r="S105" s="40"/>
      <c r="T105" s="44" t="str">
        <f aca="false">IF($O105="","",ROUND(N($R105)*N($S105),2))</f>
        <v/>
      </c>
      <c r="U105" s="36"/>
      <c r="W105" s="31"/>
      <c r="X105" s="35" t="str">
        <f aca="false">IF($W105="","",IFERROR(INDEX(科目参数!$B$6:$B$125,MATCH($W105,科目参数!$A$6:$A$125,0)),"⚠科目不存在"))</f>
        <v/>
      </c>
      <c r="Y105" s="42" t="str">
        <f aca="false">IF($W105="","",IFERROR(INDEX(科目参数!$D$6:$D$125,MATCH($W105,科目参数!$A$6:$A$125,0)),""))</f>
        <v/>
      </c>
      <c r="Z105" s="40"/>
      <c r="AA105" s="40"/>
      <c r="AB105" s="36"/>
    </row>
    <row r="106" customFormat="false" ht="15.75" hidden="false" customHeight="true" outlineLevel="0" collapsed="false">
      <c r="E106" s="33"/>
      <c r="F106" s="41"/>
      <c r="G106" s="40"/>
      <c r="H106" s="36"/>
      <c r="J106" s="33"/>
      <c r="K106" s="41"/>
      <c r="L106" s="40"/>
      <c r="M106" s="36"/>
      <c r="O106" s="31"/>
      <c r="P106" s="42" t="str">
        <f aca="false">IF($O106="","",IFERROR(INDEX(基础资料!$R$6:$R$205,MATCH($O106,基础资料!$Q$6:$Q$205,0)),""))</f>
        <v/>
      </c>
      <c r="Q106" s="42" t="str">
        <f aca="false">IF($O106="","",IFERROR(INDEX(基础资料!$S$6:$S$205,MATCH($O106,基础资料!$Q$6:$Q$205,0)),""))</f>
        <v/>
      </c>
      <c r="R106" s="43"/>
      <c r="S106" s="40"/>
      <c r="T106" s="44" t="str">
        <f aca="false">IF($O106="","",ROUND(N($R106)*N($S106),2))</f>
        <v/>
      </c>
      <c r="U106" s="36"/>
      <c r="W106" s="31"/>
      <c r="X106" s="35" t="str">
        <f aca="false">IF($W106="","",IFERROR(INDEX(科目参数!$B$6:$B$125,MATCH($W106,科目参数!$A$6:$A$125,0)),"⚠科目不存在"))</f>
        <v/>
      </c>
      <c r="Y106" s="42" t="str">
        <f aca="false">IF($W106="","",IFERROR(INDEX(科目参数!$D$6:$D$125,MATCH($W106,科目参数!$A$6:$A$125,0)),""))</f>
        <v/>
      </c>
      <c r="Z106" s="40"/>
      <c r="AA106" s="40"/>
      <c r="AB106" s="36"/>
    </row>
    <row r="107" customFormat="false" ht="15.75" hidden="false" customHeight="true" outlineLevel="0" collapsed="false">
      <c r="E107" s="33"/>
      <c r="F107" s="41"/>
      <c r="G107" s="40"/>
      <c r="H107" s="36"/>
      <c r="J107" s="33"/>
      <c r="K107" s="41"/>
      <c r="L107" s="40"/>
      <c r="M107" s="36"/>
      <c r="O107" s="31"/>
      <c r="P107" s="42" t="str">
        <f aca="false">IF($O107="","",IFERROR(INDEX(基础资料!$R$6:$R$205,MATCH($O107,基础资料!$Q$6:$Q$205,0)),""))</f>
        <v/>
      </c>
      <c r="Q107" s="42" t="str">
        <f aca="false">IF($O107="","",IFERROR(INDEX(基础资料!$S$6:$S$205,MATCH($O107,基础资料!$Q$6:$Q$205,0)),""))</f>
        <v/>
      </c>
      <c r="R107" s="43"/>
      <c r="S107" s="40"/>
      <c r="T107" s="44" t="str">
        <f aca="false">IF($O107="","",ROUND(N($R107)*N($S107),2))</f>
        <v/>
      </c>
      <c r="U107" s="36"/>
      <c r="W107" s="31"/>
      <c r="X107" s="35" t="str">
        <f aca="false">IF($W107="","",IFERROR(INDEX(科目参数!$B$6:$B$125,MATCH($W107,科目参数!$A$6:$A$125,0)),"⚠科目不存在"))</f>
        <v/>
      </c>
      <c r="Y107" s="42" t="str">
        <f aca="false">IF($W107="","",IFERROR(INDEX(科目参数!$D$6:$D$125,MATCH($W107,科目参数!$A$6:$A$125,0)),""))</f>
        <v/>
      </c>
      <c r="Z107" s="40"/>
      <c r="AA107" s="40"/>
      <c r="AB107" s="36"/>
    </row>
    <row r="108" customFormat="false" ht="15.75" hidden="false" customHeight="true" outlineLevel="0" collapsed="false">
      <c r="E108" s="33"/>
      <c r="F108" s="41"/>
      <c r="G108" s="40"/>
      <c r="H108" s="36"/>
      <c r="J108" s="33"/>
      <c r="K108" s="41"/>
      <c r="L108" s="40"/>
      <c r="M108" s="36"/>
      <c r="O108" s="31"/>
      <c r="P108" s="42" t="str">
        <f aca="false">IF($O108="","",IFERROR(INDEX(基础资料!$R$6:$R$205,MATCH($O108,基础资料!$Q$6:$Q$205,0)),""))</f>
        <v/>
      </c>
      <c r="Q108" s="42" t="str">
        <f aca="false">IF($O108="","",IFERROR(INDEX(基础资料!$S$6:$S$205,MATCH($O108,基础资料!$Q$6:$Q$205,0)),""))</f>
        <v/>
      </c>
      <c r="R108" s="43"/>
      <c r="S108" s="40"/>
      <c r="T108" s="44" t="str">
        <f aca="false">IF($O108="","",ROUND(N($R108)*N($S108),2))</f>
        <v/>
      </c>
      <c r="U108" s="36"/>
      <c r="W108" s="31"/>
      <c r="X108" s="35" t="str">
        <f aca="false">IF($W108="","",IFERROR(INDEX(科目参数!$B$6:$B$125,MATCH($W108,科目参数!$A$6:$A$125,0)),"⚠科目不存在"))</f>
        <v/>
      </c>
      <c r="Y108" s="42" t="str">
        <f aca="false">IF($W108="","",IFERROR(INDEX(科目参数!$D$6:$D$125,MATCH($W108,科目参数!$A$6:$A$125,0)),""))</f>
        <v/>
      </c>
      <c r="Z108" s="40"/>
      <c r="AA108" s="40"/>
      <c r="AB108" s="36"/>
    </row>
    <row r="109" customFormat="false" ht="15.75" hidden="false" customHeight="true" outlineLevel="0" collapsed="false">
      <c r="E109" s="33"/>
      <c r="F109" s="41"/>
      <c r="G109" s="40"/>
      <c r="H109" s="36"/>
      <c r="J109" s="33"/>
      <c r="K109" s="41"/>
      <c r="L109" s="40"/>
      <c r="M109" s="36"/>
      <c r="O109" s="31"/>
      <c r="P109" s="42" t="str">
        <f aca="false">IF($O109="","",IFERROR(INDEX(基础资料!$R$6:$R$205,MATCH($O109,基础资料!$Q$6:$Q$205,0)),""))</f>
        <v/>
      </c>
      <c r="Q109" s="42" t="str">
        <f aca="false">IF($O109="","",IFERROR(INDEX(基础资料!$S$6:$S$205,MATCH($O109,基础资料!$Q$6:$Q$205,0)),""))</f>
        <v/>
      </c>
      <c r="R109" s="43"/>
      <c r="S109" s="40"/>
      <c r="T109" s="44" t="str">
        <f aca="false">IF($O109="","",ROUND(N($R109)*N($S109),2))</f>
        <v/>
      </c>
      <c r="U109" s="36"/>
      <c r="W109" s="31"/>
      <c r="X109" s="35" t="str">
        <f aca="false">IF($W109="","",IFERROR(INDEX(科目参数!$B$6:$B$125,MATCH($W109,科目参数!$A$6:$A$125,0)),"⚠科目不存在"))</f>
        <v/>
      </c>
      <c r="Y109" s="42" t="str">
        <f aca="false">IF($W109="","",IFERROR(INDEX(科目参数!$D$6:$D$125,MATCH($W109,科目参数!$A$6:$A$125,0)),""))</f>
        <v/>
      </c>
      <c r="Z109" s="40"/>
      <c r="AA109" s="40"/>
      <c r="AB109" s="36"/>
    </row>
    <row r="110" customFormat="false" ht="15.75" hidden="false" customHeight="true" outlineLevel="0" collapsed="false">
      <c r="E110" s="33"/>
      <c r="F110" s="41"/>
      <c r="G110" s="40"/>
      <c r="H110" s="36"/>
      <c r="J110" s="33"/>
      <c r="K110" s="41"/>
      <c r="L110" s="40"/>
      <c r="M110" s="36"/>
      <c r="O110" s="31"/>
      <c r="P110" s="42" t="str">
        <f aca="false">IF($O110="","",IFERROR(INDEX(基础资料!$R$6:$R$205,MATCH($O110,基础资料!$Q$6:$Q$205,0)),""))</f>
        <v/>
      </c>
      <c r="Q110" s="42" t="str">
        <f aca="false">IF($O110="","",IFERROR(INDEX(基础资料!$S$6:$S$205,MATCH($O110,基础资料!$Q$6:$Q$205,0)),""))</f>
        <v/>
      </c>
      <c r="R110" s="43"/>
      <c r="S110" s="40"/>
      <c r="T110" s="44" t="str">
        <f aca="false">IF($O110="","",ROUND(N($R110)*N($S110),2))</f>
        <v/>
      </c>
      <c r="U110" s="36"/>
      <c r="W110" s="31"/>
      <c r="X110" s="35" t="str">
        <f aca="false">IF($W110="","",IFERROR(INDEX(科目参数!$B$6:$B$125,MATCH($W110,科目参数!$A$6:$A$125,0)),"⚠科目不存在"))</f>
        <v/>
      </c>
      <c r="Y110" s="42" t="str">
        <f aca="false">IF($W110="","",IFERROR(INDEX(科目参数!$D$6:$D$125,MATCH($W110,科目参数!$A$6:$A$125,0)),""))</f>
        <v/>
      </c>
      <c r="Z110" s="40"/>
      <c r="AA110" s="40"/>
      <c r="AB110" s="36"/>
    </row>
    <row r="111" customFormat="false" ht="15.75" hidden="false" customHeight="true" outlineLevel="0" collapsed="false">
      <c r="E111" s="33"/>
      <c r="F111" s="41"/>
      <c r="G111" s="40"/>
      <c r="H111" s="36"/>
      <c r="J111" s="33"/>
      <c r="K111" s="41"/>
      <c r="L111" s="40"/>
      <c r="M111" s="36"/>
      <c r="O111" s="31"/>
      <c r="P111" s="42" t="str">
        <f aca="false">IF($O111="","",IFERROR(INDEX(基础资料!$R$6:$R$205,MATCH($O111,基础资料!$Q$6:$Q$205,0)),""))</f>
        <v/>
      </c>
      <c r="Q111" s="42" t="str">
        <f aca="false">IF($O111="","",IFERROR(INDEX(基础资料!$S$6:$S$205,MATCH($O111,基础资料!$Q$6:$Q$205,0)),""))</f>
        <v/>
      </c>
      <c r="R111" s="43"/>
      <c r="S111" s="40"/>
      <c r="T111" s="44" t="str">
        <f aca="false">IF($O111="","",ROUND(N($R111)*N($S111),2))</f>
        <v/>
      </c>
      <c r="U111" s="36"/>
      <c r="W111" s="31"/>
      <c r="X111" s="35" t="str">
        <f aca="false">IF($W111="","",IFERROR(INDEX(科目参数!$B$6:$B$125,MATCH($W111,科目参数!$A$6:$A$125,0)),"⚠科目不存在"))</f>
        <v/>
      </c>
      <c r="Y111" s="42" t="str">
        <f aca="false">IF($W111="","",IFERROR(INDEX(科目参数!$D$6:$D$125,MATCH($W111,科目参数!$A$6:$A$125,0)),""))</f>
        <v/>
      </c>
      <c r="Z111" s="40"/>
      <c r="AA111" s="40"/>
      <c r="AB111" s="36"/>
    </row>
    <row r="112" customFormat="false" ht="15.75" hidden="false" customHeight="true" outlineLevel="0" collapsed="false">
      <c r="E112" s="33"/>
      <c r="F112" s="41"/>
      <c r="G112" s="40"/>
      <c r="H112" s="36"/>
      <c r="J112" s="33"/>
      <c r="K112" s="41"/>
      <c r="L112" s="40"/>
      <c r="M112" s="36"/>
      <c r="O112" s="31"/>
      <c r="P112" s="42" t="str">
        <f aca="false">IF($O112="","",IFERROR(INDEX(基础资料!$R$6:$R$205,MATCH($O112,基础资料!$Q$6:$Q$205,0)),""))</f>
        <v/>
      </c>
      <c r="Q112" s="42" t="str">
        <f aca="false">IF($O112="","",IFERROR(INDEX(基础资料!$S$6:$S$205,MATCH($O112,基础资料!$Q$6:$Q$205,0)),""))</f>
        <v/>
      </c>
      <c r="R112" s="43"/>
      <c r="S112" s="40"/>
      <c r="T112" s="44" t="str">
        <f aca="false">IF($O112="","",ROUND(N($R112)*N($S112),2))</f>
        <v/>
      </c>
      <c r="U112" s="36"/>
      <c r="W112" s="31"/>
      <c r="X112" s="35" t="str">
        <f aca="false">IF($W112="","",IFERROR(INDEX(科目参数!$B$6:$B$125,MATCH($W112,科目参数!$A$6:$A$125,0)),"⚠科目不存在"))</f>
        <v/>
      </c>
      <c r="Y112" s="42" t="str">
        <f aca="false">IF($W112="","",IFERROR(INDEX(科目参数!$D$6:$D$125,MATCH($W112,科目参数!$A$6:$A$125,0)),""))</f>
        <v/>
      </c>
      <c r="Z112" s="40"/>
      <c r="AA112" s="40"/>
      <c r="AB112" s="36"/>
    </row>
    <row r="113" customFormat="false" ht="15.75" hidden="false" customHeight="true" outlineLevel="0" collapsed="false">
      <c r="E113" s="33"/>
      <c r="F113" s="41"/>
      <c r="G113" s="40"/>
      <c r="H113" s="36"/>
      <c r="J113" s="33"/>
      <c r="K113" s="41"/>
      <c r="L113" s="40"/>
      <c r="M113" s="36"/>
      <c r="O113" s="31"/>
      <c r="P113" s="42" t="str">
        <f aca="false">IF($O113="","",IFERROR(INDEX(基础资料!$R$6:$R$205,MATCH($O113,基础资料!$Q$6:$Q$205,0)),""))</f>
        <v/>
      </c>
      <c r="Q113" s="42" t="str">
        <f aca="false">IF($O113="","",IFERROR(INDEX(基础资料!$S$6:$S$205,MATCH($O113,基础资料!$Q$6:$Q$205,0)),""))</f>
        <v/>
      </c>
      <c r="R113" s="43"/>
      <c r="S113" s="40"/>
      <c r="T113" s="44" t="str">
        <f aca="false">IF($O113="","",ROUND(N($R113)*N($S113),2))</f>
        <v/>
      </c>
      <c r="U113" s="36"/>
      <c r="W113" s="31"/>
      <c r="X113" s="35" t="str">
        <f aca="false">IF($W113="","",IFERROR(INDEX(科目参数!$B$6:$B$125,MATCH($W113,科目参数!$A$6:$A$125,0)),"⚠科目不存在"))</f>
        <v/>
      </c>
      <c r="Y113" s="42" t="str">
        <f aca="false">IF($W113="","",IFERROR(INDEX(科目参数!$D$6:$D$125,MATCH($W113,科目参数!$A$6:$A$125,0)),""))</f>
        <v/>
      </c>
      <c r="Z113" s="40"/>
      <c r="AA113" s="40"/>
      <c r="AB113" s="36"/>
    </row>
    <row r="114" customFormat="false" ht="15.75" hidden="false" customHeight="true" outlineLevel="0" collapsed="false">
      <c r="E114" s="33"/>
      <c r="F114" s="41"/>
      <c r="G114" s="40"/>
      <c r="H114" s="36"/>
      <c r="J114" s="33"/>
      <c r="K114" s="41"/>
      <c r="L114" s="40"/>
      <c r="M114" s="36"/>
      <c r="O114" s="31"/>
      <c r="P114" s="42" t="str">
        <f aca="false">IF($O114="","",IFERROR(INDEX(基础资料!$R$6:$R$205,MATCH($O114,基础资料!$Q$6:$Q$205,0)),""))</f>
        <v/>
      </c>
      <c r="Q114" s="42" t="str">
        <f aca="false">IF($O114="","",IFERROR(INDEX(基础资料!$S$6:$S$205,MATCH($O114,基础资料!$Q$6:$Q$205,0)),""))</f>
        <v/>
      </c>
      <c r="R114" s="43"/>
      <c r="S114" s="40"/>
      <c r="T114" s="44" t="str">
        <f aca="false">IF($O114="","",ROUND(N($R114)*N($S114),2))</f>
        <v/>
      </c>
      <c r="U114" s="36"/>
      <c r="W114" s="31"/>
      <c r="X114" s="35" t="str">
        <f aca="false">IF($W114="","",IFERROR(INDEX(科目参数!$B$6:$B$125,MATCH($W114,科目参数!$A$6:$A$125,0)),"⚠科目不存在"))</f>
        <v/>
      </c>
      <c r="Y114" s="42" t="str">
        <f aca="false">IF($W114="","",IFERROR(INDEX(科目参数!$D$6:$D$125,MATCH($W114,科目参数!$A$6:$A$125,0)),""))</f>
        <v/>
      </c>
      <c r="Z114" s="40"/>
      <c r="AA114" s="40"/>
      <c r="AB114" s="36"/>
    </row>
    <row r="115" customFormat="false" ht="15.75" hidden="false" customHeight="true" outlineLevel="0" collapsed="false">
      <c r="E115" s="33"/>
      <c r="F115" s="41"/>
      <c r="G115" s="40"/>
      <c r="H115" s="36"/>
      <c r="J115" s="33"/>
      <c r="K115" s="41"/>
      <c r="L115" s="40"/>
      <c r="M115" s="36"/>
      <c r="O115" s="31"/>
      <c r="P115" s="42" t="str">
        <f aca="false">IF($O115="","",IFERROR(INDEX(基础资料!$R$6:$R$205,MATCH($O115,基础资料!$Q$6:$Q$205,0)),""))</f>
        <v/>
      </c>
      <c r="Q115" s="42" t="str">
        <f aca="false">IF($O115="","",IFERROR(INDEX(基础资料!$S$6:$S$205,MATCH($O115,基础资料!$Q$6:$Q$205,0)),""))</f>
        <v/>
      </c>
      <c r="R115" s="43"/>
      <c r="S115" s="40"/>
      <c r="T115" s="44" t="str">
        <f aca="false">IF($O115="","",ROUND(N($R115)*N($S115),2))</f>
        <v/>
      </c>
      <c r="U115" s="36"/>
      <c r="W115" s="31"/>
      <c r="X115" s="35" t="str">
        <f aca="false">IF($W115="","",IFERROR(INDEX(科目参数!$B$6:$B$125,MATCH($W115,科目参数!$A$6:$A$125,0)),"⚠科目不存在"))</f>
        <v/>
      </c>
      <c r="Y115" s="42" t="str">
        <f aca="false">IF($W115="","",IFERROR(INDEX(科目参数!$D$6:$D$125,MATCH($W115,科目参数!$A$6:$A$125,0)),""))</f>
        <v/>
      </c>
      <c r="Z115" s="40"/>
      <c r="AA115" s="40"/>
      <c r="AB115" s="36"/>
    </row>
    <row r="116" customFormat="false" ht="15.75" hidden="false" customHeight="true" outlineLevel="0" collapsed="false">
      <c r="E116" s="33"/>
      <c r="F116" s="41"/>
      <c r="G116" s="40"/>
      <c r="H116" s="36"/>
      <c r="J116" s="33"/>
      <c r="K116" s="41"/>
      <c r="L116" s="40"/>
      <c r="M116" s="36"/>
      <c r="O116" s="31"/>
      <c r="P116" s="42" t="str">
        <f aca="false">IF($O116="","",IFERROR(INDEX(基础资料!$R$6:$R$205,MATCH($O116,基础资料!$Q$6:$Q$205,0)),""))</f>
        <v/>
      </c>
      <c r="Q116" s="42" t="str">
        <f aca="false">IF($O116="","",IFERROR(INDEX(基础资料!$S$6:$S$205,MATCH($O116,基础资料!$Q$6:$Q$205,0)),""))</f>
        <v/>
      </c>
      <c r="R116" s="43"/>
      <c r="S116" s="40"/>
      <c r="T116" s="44" t="str">
        <f aca="false">IF($O116="","",ROUND(N($R116)*N($S116),2))</f>
        <v/>
      </c>
      <c r="U116" s="36"/>
      <c r="W116" s="31"/>
      <c r="X116" s="35" t="str">
        <f aca="false">IF($W116="","",IFERROR(INDEX(科目参数!$B$6:$B$125,MATCH($W116,科目参数!$A$6:$A$125,0)),"⚠科目不存在"))</f>
        <v/>
      </c>
      <c r="Y116" s="42" t="str">
        <f aca="false">IF($W116="","",IFERROR(INDEX(科目参数!$D$6:$D$125,MATCH($W116,科目参数!$A$6:$A$125,0)),""))</f>
        <v/>
      </c>
      <c r="Z116" s="40"/>
      <c r="AA116" s="40"/>
      <c r="AB116" s="36"/>
    </row>
    <row r="117" customFormat="false" ht="15.75" hidden="false" customHeight="true" outlineLevel="0" collapsed="false">
      <c r="E117" s="33"/>
      <c r="F117" s="41"/>
      <c r="G117" s="40"/>
      <c r="H117" s="36"/>
      <c r="J117" s="33"/>
      <c r="K117" s="41"/>
      <c r="L117" s="40"/>
      <c r="M117" s="36"/>
      <c r="O117" s="31"/>
      <c r="P117" s="42" t="str">
        <f aca="false">IF($O117="","",IFERROR(INDEX(基础资料!$R$6:$R$205,MATCH($O117,基础资料!$Q$6:$Q$205,0)),""))</f>
        <v/>
      </c>
      <c r="Q117" s="42" t="str">
        <f aca="false">IF($O117="","",IFERROR(INDEX(基础资料!$S$6:$S$205,MATCH($O117,基础资料!$Q$6:$Q$205,0)),""))</f>
        <v/>
      </c>
      <c r="R117" s="43"/>
      <c r="S117" s="40"/>
      <c r="T117" s="44" t="str">
        <f aca="false">IF($O117="","",ROUND(N($R117)*N($S117),2))</f>
        <v/>
      </c>
      <c r="U117" s="36"/>
      <c r="W117" s="31"/>
      <c r="X117" s="35" t="str">
        <f aca="false">IF($W117="","",IFERROR(INDEX(科目参数!$B$6:$B$125,MATCH($W117,科目参数!$A$6:$A$125,0)),"⚠科目不存在"))</f>
        <v/>
      </c>
      <c r="Y117" s="42" t="str">
        <f aca="false">IF($W117="","",IFERROR(INDEX(科目参数!$D$6:$D$125,MATCH($W117,科目参数!$A$6:$A$125,0)),""))</f>
        <v/>
      </c>
      <c r="Z117" s="40"/>
      <c r="AA117" s="40"/>
      <c r="AB117" s="36"/>
    </row>
    <row r="118" customFormat="false" ht="15.75" hidden="false" customHeight="true" outlineLevel="0" collapsed="false">
      <c r="E118" s="33"/>
      <c r="F118" s="41"/>
      <c r="G118" s="40"/>
      <c r="H118" s="36"/>
      <c r="J118" s="33"/>
      <c r="K118" s="41"/>
      <c r="L118" s="40"/>
      <c r="M118" s="36"/>
      <c r="O118" s="31"/>
      <c r="P118" s="42" t="str">
        <f aca="false">IF($O118="","",IFERROR(INDEX(基础资料!$R$6:$R$205,MATCH($O118,基础资料!$Q$6:$Q$205,0)),""))</f>
        <v/>
      </c>
      <c r="Q118" s="42" t="str">
        <f aca="false">IF($O118="","",IFERROR(INDEX(基础资料!$S$6:$S$205,MATCH($O118,基础资料!$Q$6:$Q$205,0)),""))</f>
        <v/>
      </c>
      <c r="R118" s="43"/>
      <c r="S118" s="40"/>
      <c r="T118" s="44" t="str">
        <f aca="false">IF($O118="","",ROUND(N($R118)*N($S118),2))</f>
        <v/>
      </c>
      <c r="U118" s="36"/>
      <c r="W118" s="31"/>
      <c r="X118" s="35" t="str">
        <f aca="false">IF($W118="","",IFERROR(INDEX(科目参数!$B$6:$B$125,MATCH($W118,科目参数!$A$6:$A$125,0)),"⚠科目不存在"))</f>
        <v/>
      </c>
      <c r="Y118" s="42" t="str">
        <f aca="false">IF($W118="","",IFERROR(INDEX(科目参数!$D$6:$D$125,MATCH($W118,科目参数!$A$6:$A$125,0)),""))</f>
        <v/>
      </c>
      <c r="Z118" s="40"/>
      <c r="AA118" s="40"/>
      <c r="AB118" s="36"/>
    </row>
    <row r="119" customFormat="false" ht="15.75" hidden="false" customHeight="true" outlineLevel="0" collapsed="false">
      <c r="E119" s="33"/>
      <c r="F119" s="41"/>
      <c r="G119" s="40"/>
      <c r="H119" s="36"/>
      <c r="J119" s="33"/>
      <c r="K119" s="41"/>
      <c r="L119" s="40"/>
      <c r="M119" s="36"/>
      <c r="O119" s="31"/>
      <c r="P119" s="42" t="str">
        <f aca="false">IF($O119="","",IFERROR(INDEX(基础资料!$R$6:$R$205,MATCH($O119,基础资料!$Q$6:$Q$205,0)),""))</f>
        <v/>
      </c>
      <c r="Q119" s="42" t="str">
        <f aca="false">IF($O119="","",IFERROR(INDEX(基础资料!$S$6:$S$205,MATCH($O119,基础资料!$Q$6:$Q$205,0)),""))</f>
        <v/>
      </c>
      <c r="R119" s="43"/>
      <c r="S119" s="40"/>
      <c r="T119" s="44" t="str">
        <f aca="false">IF($O119="","",ROUND(N($R119)*N($S119),2))</f>
        <v/>
      </c>
      <c r="U119" s="36"/>
      <c r="W119" s="31"/>
      <c r="X119" s="35" t="str">
        <f aca="false">IF($W119="","",IFERROR(INDEX(科目参数!$B$6:$B$125,MATCH($W119,科目参数!$A$6:$A$125,0)),"⚠科目不存在"))</f>
        <v/>
      </c>
      <c r="Y119" s="42" t="str">
        <f aca="false">IF($W119="","",IFERROR(INDEX(科目参数!$D$6:$D$125,MATCH($W119,科目参数!$A$6:$A$125,0)),""))</f>
        <v/>
      </c>
      <c r="Z119" s="40"/>
      <c r="AA119" s="40"/>
      <c r="AB119" s="36"/>
    </row>
    <row r="120" customFormat="false" ht="15.75" hidden="false" customHeight="true" outlineLevel="0" collapsed="false">
      <c r="E120" s="33"/>
      <c r="F120" s="41"/>
      <c r="G120" s="40"/>
      <c r="H120" s="36"/>
      <c r="J120" s="33"/>
      <c r="K120" s="41"/>
      <c r="L120" s="40"/>
      <c r="M120" s="36"/>
      <c r="O120" s="31"/>
      <c r="P120" s="42" t="str">
        <f aca="false">IF($O120="","",IFERROR(INDEX(基础资料!$R$6:$R$205,MATCH($O120,基础资料!$Q$6:$Q$205,0)),""))</f>
        <v/>
      </c>
      <c r="Q120" s="42" t="str">
        <f aca="false">IF($O120="","",IFERROR(INDEX(基础资料!$S$6:$S$205,MATCH($O120,基础资料!$Q$6:$Q$205,0)),""))</f>
        <v/>
      </c>
      <c r="R120" s="43"/>
      <c r="S120" s="40"/>
      <c r="T120" s="44" t="str">
        <f aca="false">IF($O120="","",ROUND(N($R120)*N($S120),2))</f>
        <v/>
      </c>
      <c r="U120" s="36"/>
      <c r="W120" s="31"/>
      <c r="X120" s="35" t="str">
        <f aca="false">IF($W120="","",IFERROR(INDEX(科目参数!$B$6:$B$125,MATCH($W120,科目参数!$A$6:$A$125,0)),"⚠科目不存在"))</f>
        <v/>
      </c>
      <c r="Y120" s="42" t="str">
        <f aca="false">IF($W120="","",IFERROR(INDEX(科目参数!$D$6:$D$125,MATCH($W120,科目参数!$A$6:$A$125,0)),""))</f>
        <v/>
      </c>
      <c r="Z120" s="40"/>
      <c r="AA120" s="40"/>
      <c r="AB120" s="36"/>
    </row>
    <row r="121" customFormat="false" ht="15.75" hidden="false" customHeight="true" outlineLevel="0" collapsed="false">
      <c r="E121" s="33"/>
      <c r="F121" s="41"/>
      <c r="G121" s="40"/>
      <c r="H121" s="36"/>
      <c r="J121" s="33"/>
      <c r="K121" s="41"/>
      <c r="L121" s="40"/>
      <c r="M121" s="36"/>
      <c r="O121" s="31"/>
      <c r="P121" s="42" t="str">
        <f aca="false">IF($O121="","",IFERROR(INDEX(基础资料!$R$6:$R$205,MATCH($O121,基础资料!$Q$6:$Q$205,0)),""))</f>
        <v/>
      </c>
      <c r="Q121" s="42" t="str">
        <f aca="false">IF($O121="","",IFERROR(INDEX(基础资料!$S$6:$S$205,MATCH($O121,基础资料!$Q$6:$Q$205,0)),""))</f>
        <v/>
      </c>
      <c r="R121" s="43"/>
      <c r="S121" s="40"/>
      <c r="T121" s="44" t="str">
        <f aca="false">IF($O121="","",ROUND(N($R121)*N($S121),2))</f>
        <v/>
      </c>
      <c r="U121" s="36"/>
      <c r="W121" s="31"/>
      <c r="X121" s="35" t="str">
        <f aca="false">IF($W121="","",IFERROR(INDEX(科目参数!$B$6:$B$125,MATCH($W121,科目参数!$A$6:$A$125,0)),"⚠科目不存在"))</f>
        <v/>
      </c>
      <c r="Y121" s="42" t="str">
        <f aca="false">IF($W121="","",IFERROR(INDEX(科目参数!$D$6:$D$125,MATCH($W121,科目参数!$A$6:$A$125,0)),""))</f>
        <v/>
      </c>
      <c r="Z121" s="40"/>
      <c r="AA121" s="40"/>
      <c r="AB121" s="36"/>
    </row>
    <row r="122" customFormat="false" ht="15.75" hidden="false" customHeight="true" outlineLevel="0" collapsed="false">
      <c r="E122" s="33"/>
      <c r="F122" s="41"/>
      <c r="G122" s="40"/>
      <c r="H122" s="36"/>
      <c r="J122" s="33"/>
      <c r="K122" s="41"/>
      <c r="L122" s="40"/>
      <c r="M122" s="36"/>
      <c r="O122" s="31"/>
      <c r="P122" s="42" t="str">
        <f aca="false">IF($O122="","",IFERROR(INDEX(基础资料!$R$6:$R$205,MATCH($O122,基础资料!$Q$6:$Q$205,0)),""))</f>
        <v/>
      </c>
      <c r="Q122" s="42" t="str">
        <f aca="false">IF($O122="","",IFERROR(INDEX(基础资料!$S$6:$S$205,MATCH($O122,基础资料!$Q$6:$Q$205,0)),""))</f>
        <v/>
      </c>
      <c r="R122" s="43"/>
      <c r="S122" s="40"/>
      <c r="T122" s="44" t="str">
        <f aca="false">IF($O122="","",ROUND(N($R122)*N($S122),2))</f>
        <v/>
      </c>
      <c r="U122" s="36"/>
      <c r="W122" s="31"/>
      <c r="X122" s="35" t="str">
        <f aca="false">IF($W122="","",IFERROR(INDEX(科目参数!$B$6:$B$125,MATCH($W122,科目参数!$A$6:$A$125,0)),"⚠科目不存在"))</f>
        <v/>
      </c>
      <c r="Y122" s="42" t="str">
        <f aca="false">IF($W122="","",IFERROR(INDEX(科目参数!$D$6:$D$125,MATCH($W122,科目参数!$A$6:$A$125,0)),""))</f>
        <v/>
      </c>
      <c r="Z122" s="40"/>
      <c r="AA122" s="40"/>
      <c r="AB122" s="36"/>
    </row>
    <row r="123" customFormat="false" ht="15.75" hidden="false" customHeight="true" outlineLevel="0" collapsed="false">
      <c r="E123" s="33"/>
      <c r="F123" s="41"/>
      <c r="G123" s="40"/>
      <c r="H123" s="36"/>
      <c r="J123" s="33"/>
      <c r="K123" s="41"/>
      <c r="L123" s="40"/>
      <c r="M123" s="36"/>
      <c r="O123" s="31"/>
      <c r="P123" s="42" t="str">
        <f aca="false">IF($O123="","",IFERROR(INDEX(基础资料!$R$6:$R$205,MATCH($O123,基础资料!$Q$6:$Q$205,0)),""))</f>
        <v/>
      </c>
      <c r="Q123" s="42" t="str">
        <f aca="false">IF($O123="","",IFERROR(INDEX(基础资料!$S$6:$S$205,MATCH($O123,基础资料!$Q$6:$Q$205,0)),""))</f>
        <v/>
      </c>
      <c r="R123" s="43"/>
      <c r="S123" s="40"/>
      <c r="T123" s="44" t="str">
        <f aca="false">IF($O123="","",ROUND(N($R123)*N($S123),2))</f>
        <v/>
      </c>
      <c r="U123" s="36"/>
      <c r="W123" s="31"/>
      <c r="X123" s="35" t="str">
        <f aca="false">IF($W123="","",IFERROR(INDEX(科目参数!$B$6:$B$125,MATCH($W123,科目参数!$A$6:$A$125,0)),"⚠科目不存在"))</f>
        <v/>
      </c>
      <c r="Y123" s="42" t="str">
        <f aca="false">IF($W123="","",IFERROR(INDEX(科目参数!$D$6:$D$125,MATCH($W123,科目参数!$A$6:$A$125,0)),""))</f>
        <v/>
      </c>
      <c r="Z123" s="40"/>
      <c r="AA123" s="40"/>
      <c r="AB123" s="36"/>
    </row>
    <row r="124" customFormat="false" ht="15.75" hidden="false" customHeight="true" outlineLevel="0" collapsed="false">
      <c r="E124" s="33"/>
      <c r="F124" s="41"/>
      <c r="G124" s="40"/>
      <c r="H124" s="36"/>
      <c r="J124" s="33"/>
      <c r="K124" s="41"/>
      <c r="L124" s="40"/>
      <c r="M124" s="36"/>
      <c r="O124" s="31"/>
      <c r="P124" s="42" t="str">
        <f aca="false">IF($O124="","",IFERROR(INDEX(基础资料!$R$6:$R$205,MATCH($O124,基础资料!$Q$6:$Q$205,0)),""))</f>
        <v/>
      </c>
      <c r="Q124" s="42" t="str">
        <f aca="false">IF($O124="","",IFERROR(INDEX(基础资料!$S$6:$S$205,MATCH($O124,基础资料!$Q$6:$Q$205,0)),""))</f>
        <v/>
      </c>
      <c r="R124" s="43"/>
      <c r="S124" s="40"/>
      <c r="T124" s="44" t="str">
        <f aca="false">IF($O124="","",ROUND(N($R124)*N($S124),2))</f>
        <v/>
      </c>
      <c r="U124" s="36"/>
      <c r="W124" s="31"/>
      <c r="X124" s="35" t="str">
        <f aca="false">IF($W124="","",IFERROR(INDEX(科目参数!$B$6:$B$125,MATCH($W124,科目参数!$A$6:$A$125,0)),"⚠科目不存在"))</f>
        <v/>
      </c>
      <c r="Y124" s="42" t="str">
        <f aca="false">IF($W124="","",IFERROR(INDEX(科目参数!$D$6:$D$125,MATCH($W124,科目参数!$A$6:$A$125,0)),""))</f>
        <v/>
      </c>
      <c r="Z124" s="40"/>
      <c r="AA124" s="40"/>
      <c r="AB124" s="36"/>
    </row>
    <row r="125" customFormat="false" ht="15.75" hidden="false" customHeight="true" outlineLevel="0" collapsed="false">
      <c r="E125" s="33"/>
      <c r="F125" s="41"/>
      <c r="G125" s="40"/>
      <c r="H125" s="36"/>
      <c r="J125" s="33"/>
      <c r="K125" s="41"/>
      <c r="L125" s="40"/>
      <c r="M125" s="36"/>
      <c r="O125" s="31"/>
      <c r="P125" s="42" t="str">
        <f aca="false">IF($O125="","",IFERROR(INDEX(基础资料!$R$6:$R$205,MATCH($O125,基础资料!$Q$6:$Q$205,0)),""))</f>
        <v/>
      </c>
      <c r="Q125" s="42" t="str">
        <f aca="false">IF($O125="","",IFERROR(INDEX(基础资料!$S$6:$S$205,MATCH($O125,基础资料!$Q$6:$Q$205,0)),""))</f>
        <v/>
      </c>
      <c r="R125" s="43"/>
      <c r="S125" s="40"/>
      <c r="T125" s="44" t="str">
        <f aca="false">IF($O125="","",ROUND(N($R125)*N($S125),2))</f>
        <v/>
      </c>
      <c r="U125" s="36"/>
      <c r="W125" s="31"/>
      <c r="X125" s="35" t="str">
        <f aca="false">IF($W125="","",IFERROR(INDEX(科目参数!$B$6:$B$125,MATCH($W125,科目参数!$A$6:$A$125,0)),"⚠科目不存在"))</f>
        <v/>
      </c>
      <c r="Y125" s="42" t="str">
        <f aca="false">IF($W125="","",IFERROR(INDEX(科目参数!$D$6:$D$125,MATCH($W125,科目参数!$A$6:$A$125,0)),""))</f>
        <v/>
      </c>
      <c r="Z125" s="40"/>
      <c r="AA125" s="40"/>
      <c r="AB125" s="36"/>
    </row>
    <row r="126" customFormat="false" ht="15.75" hidden="false" customHeight="true" outlineLevel="0" collapsed="false">
      <c r="E126" s="33"/>
      <c r="F126" s="41"/>
      <c r="G126" s="40"/>
      <c r="H126" s="36"/>
      <c r="J126" s="33"/>
      <c r="K126" s="41"/>
      <c r="L126" s="40"/>
      <c r="M126" s="36"/>
      <c r="O126" s="31"/>
      <c r="P126" s="42" t="str">
        <f aca="false">IF($O126="","",IFERROR(INDEX(基础资料!$R$6:$R$205,MATCH($O126,基础资料!$Q$6:$Q$205,0)),""))</f>
        <v/>
      </c>
      <c r="Q126" s="42" t="str">
        <f aca="false">IF($O126="","",IFERROR(INDEX(基础资料!$S$6:$S$205,MATCH($O126,基础资料!$Q$6:$Q$205,0)),""))</f>
        <v/>
      </c>
      <c r="R126" s="43"/>
      <c r="S126" s="40"/>
      <c r="T126" s="44" t="str">
        <f aca="false">IF($O126="","",ROUND(N($R126)*N($S126),2))</f>
        <v/>
      </c>
      <c r="U126" s="36"/>
      <c r="W126" s="6" t="s">
        <v>506</v>
      </c>
      <c r="X126" s="6"/>
      <c r="Y126" s="6"/>
      <c r="Z126" s="6"/>
      <c r="AA126" s="6"/>
      <c r="AB126" s="6"/>
    </row>
    <row r="127" customFormat="false" ht="15.75" hidden="false" customHeight="true" outlineLevel="0" collapsed="false">
      <c r="E127" s="33"/>
      <c r="F127" s="41"/>
      <c r="G127" s="40"/>
      <c r="H127" s="36"/>
      <c r="J127" s="33"/>
      <c r="K127" s="41"/>
      <c r="L127" s="40"/>
      <c r="M127" s="36"/>
      <c r="O127" s="31"/>
      <c r="P127" s="42" t="str">
        <f aca="false">IF($O127="","",IFERROR(INDEX(基础资料!$R$6:$R$205,MATCH($O127,基础资料!$Q$6:$Q$205,0)),""))</f>
        <v/>
      </c>
      <c r="Q127" s="42" t="str">
        <f aca="false">IF($O127="","",IFERROR(INDEX(基础资料!$S$6:$S$205,MATCH($O127,基础资料!$Q$6:$Q$205,0)),""))</f>
        <v/>
      </c>
      <c r="R127" s="43"/>
      <c r="S127" s="40"/>
      <c r="T127" s="44" t="str">
        <f aca="false">IF($O127="","",ROUND(N($R127)*N($S127),2))</f>
        <v/>
      </c>
      <c r="U127" s="36"/>
    </row>
    <row r="128" customFormat="false" ht="15.75" hidden="false" customHeight="true" outlineLevel="0" collapsed="false">
      <c r="E128" s="33"/>
      <c r="F128" s="41"/>
      <c r="G128" s="40"/>
      <c r="H128" s="36"/>
      <c r="J128" s="33"/>
      <c r="K128" s="41"/>
      <c r="L128" s="40"/>
      <c r="M128" s="36"/>
      <c r="O128" s="31"/>
      <c r="P128" s="42" t="str">
        <f aca="false">IF($O128="","",IFERROR(INDEX(基础资料!$R$6:$R$205,MATCH($O128,基础资料!$Q$6:$Q$205,0)),""))</f>
        <v/>
      </c>
      <c r="Q128" s="42" t="str">
        <f aca="false">IF($O128="","",IFERROR(INDEX(基础资料!$S$6:$S$205,MATCH($O128,基础资料!$Q$6:$Q$205,0)),""))</f>
        <v/>
      </c>
      <c r="R128" s="43"/>
      <c r="S128" s="40"/>
      <c r="T128" s="44" t="str">
        <f aca="false">IF($O128="","",ROUND(N($R128)*N($S128),2))</f>
        <v/>
      </c>
      <c r="U128" s="36"/>
    </row>
    <row r="129" customFormat="false" ht="15.75" hidden="false" customHeight="true" outlineLevel="0" collapsed="false">
      <c r="E129" s="33"/>
      <c r="F129" s="41"/>
      <c r="G129" s="40"/>
      <c r="H129" s="36"/>
      <c r="J129" s="33"/>
      <c r="K129" s="41"/>
      <c r="L129" s="40"/>
      <c r="M129" s="36"/>
      <c r="O129" s="31"/>
      <c r="P129" s="42" t="str">
        <f aca="false">IF($O129="","",IFERROR(INDEX(基础资料!$R$6:$R$205,MATCH($O129,基础资料!$Q$6:$Q$205,0)),""))</f>
        <v/>
      </c>
      <c r="Q129" s="42" t="str">
        <f aca="false">IF($O129="","",IFERROR(INDEX(基础资料!$S$6:$S$205,MATCH($O129,基础资料!$Q$6:$Q$205,0)),""))</f>
        <v/>
      </c>
      <c r="R129" s="43"/>
      <c r="S129" s="40"/>
      <c r="T129" s="44" t="str">
        <f aca="false">IF($O129="","",ROUND(N($R129)*N($S129),2))</f>
        <v/>
      </c>
      <c r="U129" s="36"/>
    </row>
    <row r="130" customFormat="false" ht="15.75" hidden="false" customHeight="true" outlineLevel="0" collapsed="false">
      <c r="E130" s="33"/>
      <c r="F130" s="41"/>
      <c r="G130" s="40"/>
      <c r="H130" s="36"/>
      <c r="J130" s="33"/>
      <c r="K130" s="41"/>
      <c r="L130" s="40"/>
      <c r="M130" s="36"/>
      <c r="O130" s="31"/>
      <c r="P130" s="42" t="str">
        <f aca="false">IF($O130="","",IFERROR(INDEX(基础资料!$R$6:$R$205,MATCH($O130,基础资料!$Q$6:$Q$205,0)),""))</f>
        <v/>
      </c>
      <c r="Q130" s="42" t="str">
        <f aca="false">IF($O130="","",IFERROR(INDEX(基础资料!$S$6:$S$205,MATCH($O130,基础资料!$Q$6:$Q$205,0)),""))</f>
        <v/>
      </c>
      <c r="R130" s="43"/>
      <c r="S130" s="40"/>
      <c r="T130" s="44" t="str">
        <f aca="false">IF($O130="","",ROUND(N($R130)*N($S130),2))</f>
        <v/>
      </c>
      <c r="U130" s="36"/>
    </row>
    <row r="131" customFormat="false" ht="15.75" hidden="false" customHeight="true" outlineLevel="0" collapsed="false">
      <c r="E131" s="33"/>
      <c r="F131" s="41"/>
      <c r="G131" s="40"/>
      <c r="H131" s="36"/>
      <c r="J131" s="33"/>
      <c r="K131" s="41"/>
      <c r="L131" s="40"/>
      <c r="M131" s="36"/>
      <c r="O131" s="31"/>
      <c r="P131" s="42" t="str">
        <f aca="false">IF($O131="","",IFERROR(INDEX(基础资料!$R$6:$R$205,MATCH($O131,基础资料!$Q$6:$Q$205,0)),""))</f>
        <v/>
      </c>
      <c r="Q131" s="42" t="str">
        <f aca="false">IF($O131="","",IFERROR(INDEX(基础资料!$S$6:$S$205,MATCH($O131,基础资料!$Q$6:$Q$205,0)),""))</f>
        <v/>
      </c>
      <c r="R131" s="43"/>
      <c r="S131" s="40"/>
      <c r="T131" s="44" t="str">
        <f aca="false">IF($O131="","",ROUND(N($R131)*N($S131),2))</f>
        <v/>
      </c>
      <c r="U131" s="36"/>
    </row>
    <row r="132" customFormat="false" ht="15.75" hidden="false" customHeight="true" outlineLevel="0" collapsed="false">
      <c r="E132" s="33"/>
      <c r="F132" s="41"/>
      <c r="G132" s="40"/>
      <c r="H132" s="36"/>
      <c r="J132" s="33"/>
      <c r="K132" s="41"/>
      <c r="L132" s="40"/>
      <c r="M132" s="36"/>
      <c r="O132" s="31"/>
      <c r="P132" s="42" t="str">
        <f aca="false">IF($O132="","",IFERROR(INDEX(基础资料!$R$6:$R$205,MATCH($O132,基础资料!$Q$6:$Q$205,0)),""))</f>
        <v/>
      </c>
      <c r="Q132" s="42" t="str">
        <f aca="false">IF($O132="","",IFERROR(INDEX(基础资料!$S$6:$S$205,MATCH($O132,基础资料!$Q$6:$Q$205,0)),""))</f>
        <v/>
      </c>
      <c r="R132" s="43"/>
      <c r="S132" s="40"/>
      <c r="T132" s="44" t="str">
        <f aca="false">IF($O132="","",ROUND(N($R132)*N($S132),2))</f>
        <v/>
      </c>
      <c r="U132" s="36"/>
    </row>
    <row r="133" customFormat="false" ht="15.75" hidden="false" customHeight="true" outlineLevel="0" collapsed="false">
      <c r="E133" s="33"/>
      <c r="F133" s="41"/>
      <c r="G133" s="40"/>
      <c r="H133" s="36"/>
      <c r="J133" s="33"/>
      <c r="K133" s="41"/>
      <c r="L133" s="40"/>
      <c r="M133" s="36"/>
      <c r="O133" s="31"/>
      <c r="P133" s="42" t="str">
        <f aca="false">IF($O133="","",IFERROR(INDEX(基础资料!$R$6:$R$205,MATCH($O133,基础资料!$Q$6:$Q$205,0)),""))</f>
        <v/>
      </c>
      <c r="Q133" s="42" t="str">
        <f aca="false">IF($O133="","",IFERROR(INDEX(基础资料!$S$6:$S$205,MATCH($O133,基础资料!$Q$6:$Q$205,0)),""))</f>
        <v/>
      </c>
      <c r="R133" s="43"/>
      <c r="S133" s="40"/>
      <c r="T133" s="44" t="str">
        <f aca="false">IF($O133="","",ROUND(N($R133)*N($S133),2))</f>
        <v/>
      </c>
      <c r="U133" s="36"/>
    </row>
    <row r="134" customFormat="false" ht="15.75" hidden="false" customHeight="true" outlineLevel="0" collapsed="false">
      <c r="E134" s="33"/>
      <c r="F134" s="41"/>
      <c r="G134" s="40"/>
      <c r="H134" s="36"/>
      <c r="J134" s="33"/>
      <c r="K134" s="41"/>
      <c r="L134" s="40"/>
      <c r="M134" s="36"/>
      <c r="O134" s="31"/>
      <c r="P134" s="42" t="str">
        <f aca="false">IF($O134="","",IFERROR(INDEX(基础资料!$R$6:$R$205,MATCH($O134,基础资料!$Q$6:$Q$205,0)),""))</f>
        <v/>
      </c>
      <c r="Q134" s="42" t="str">
        <f aca="false">IF($O134="","",IFERROR(INDEX(基础资料!$S$6:$S$205,MATCH($O134,基础资料!$Q$6:$Q$205,0)),""))</f>
        <v/>
      </c>
      <c r="R134" s="43"/>
      <c r="S134" s="40"/>
      <c r="T134" s="44" t="str">
        <f aca="false">IF($O134="","",ROUND(N($R134)*N($S134),2))</f>
        <v/>
      </c>
      <c r="U134" s="36"/>
    </row>
    <row r="135" customFormat="false" ht="15.75" hidden="false" customHeight="true" outlineLevel="0" collapsed="false">
      <c r="E135" s="33"/>
      <c r="F135" s="41"/>
      <c r="G135" s="40"/>
      <c r="H135" s="36"/>
      <c r="J135" s="33"/>
      <c r="K135" s="41"/>
      <c r="L135" s="40"/>
      <c r="M135" s="36"/>
      <c r="O135" s="31"/>
      <c r="P135" s="42" t="str">
        <f aca="false">IF($O135="","",IFERROR(INDEX(基础资料!$R$6:$R$205,MATCH($O135,基础资料!$Q$6:$Q$205,0)),""))</f>
        <v/>
      </c>
      <c r="Q135" s="42" t="str">
        <f aca="false">IF($O135="","",IFERROR(INDEX(基础资料!$S$6:$S$205,MATCH($O135,基础资料!$Q$6:$Q$205,0)),""))</f>
        <v/>
      </c>
      <c r="R135" s="43"/>
      <c r="S135" s="40"/>
      <c r="T135" s="44" t="str">
        <f aca="false">IF($O135="","",ROUND(N($R135)*N($S135),2))</f>
        <v/>
      </c>
      <c r="U135" s="36"/>
    </row>
    <row r="136" customFormat="false" ht="15.75" hidden="false" customHeight="true" outlineLevel="0" collapsed="false">
      <c r="E136" s="33"/>
      <c r="F136" s="41"/>
      <c r="G136" s="40"/>
      <c r="H136" s="36"/>
      <c r="J136" s="33"/>
      <c r="K136" s="41"/>
      <c r="L136" s="40"/>
      <c r="M136" s="36"/>
      <c r="O136" s="31"/>
      <c r="P136" s="42" t="str">
        <f aca="false">IF($O136="","",IFERROR(INDEX(基础资料!$R$6:$R$205,MATCH($O136,基础资料!$Q$6:$Q$205,0)),""))</f>
        <v/>
      </c>
      <c r="Q136" s="42" t="str">
        <f aca="false">IF($O136="","",IFERROR(INDEX(基础资料!$S$6:$S$205,MATCH($O136,基础资料!$Q$6:$Q$205,0)),""))</f>
        <v/>
      </c>
      <c r="R136" s="43"/>
      <c r="S136" s="40"/>
      <c r="T136" s="44" t="str">
        <f aca="false">IF($O136="","",ROUND(N($R136)*N($S136),2))</f>
        <v/>
      </c>
      <c r="U136" s="36"/>
    </row>
    <row r="137" customFormat="false" ht="15.75" hidden="false" customHeight="true" outlineLevel="0" collapsed="false">
      <c r="E137" s="33"/>
      <c r="F137" s="41"/>
      <c r="G137" s="40"/>
      <c r="H137" s="36"/>
      <c r="J137" s="33"/>
      <c r="K137" s="41"/>
      <c r="L137" s="40"/>
      <c r="M137" s="36"/>
      <c r="O137" s="31"/>
      <c r="P137" s="42" t="str">
        <f aca="false">IF($O137="","",IFERROR(INDEX(基础资料!$R$6:$R$205,MATCH($O137,基础资料!$Q$6:$Q$205,0)),""))</f>
        <v/>
      </c>
      <c r="Q137" s="42" t="str">
        <f aca="false">IF($O137="","",IFERROR(INDEX(基础资料!$S$6:$S$205,MATCH($O137,基础资料!$Q$6:$Q$205,0)),""))</f>
        <v/>
      </c>
      <c r="R137" s="43"/>
      <c r="S137" s="40"/>
      <c r="T137" s="44" t="str">
        <f aca="false">IF($O137="","",ROUND(N($R137)*N($S137),2))</f>
        <v/>
      </c>
      <c r="U137" s="36"/>
    </row>
    <row r="138" customFormat="false" ht="15.75" hidden="false" customHeight="true" outlineLevel="0" collapsed="false">
      <c r="E138" s="33"/>
      <c r="F138" s="41"/>
      <c r="G138" s="40"/>
      <c r="H138" s="36"/>
      <c r="J138" s="33"/>
      <c r="K138" s="41"/>
      <c r="L138" s="40"/>
      <c r="M138" s="36"/>
      <c r="O138" s="31"/>
      <c r="P138" s="42" t="str">
        <f aca="false">IF($O138="","",IFERROR(INDEX(基础资料!$R$6:$R$205,MATCH($O138,基础资料!$Q$6:$Q$205,0)),""))</f>
        <v/>
      </c>
      <c r="Q138" s="42" t="str">
        <f aca="false">IF($O138="","",IFERROR(INDEX(基础资料!$S$6:$S$205,MATCH($O138,基础资料!$Q$6:$Q$205,0)),""))</f>
        <v/>
      </c>
      <c r="R138" s="43"/>
      <c r="S138" s="40"/>
      <c r="T138" s="44" t="str">
        <f aca="false">IF($O138="","",ROUND(N($R138)*N($S138),2))</f>
        <v/>
      </c>
      <c r="U138" s="36"/>
    </row>
    <row r="139" customFormat="false" ht="15.75" hidden="false" customHeight="true" outlineLevel="0" collapsed="false">
      <c r="E139" s="33"/>
      <c r="F139" s="41"/>
      <c r="G139" s="40"/>
      <c r="H139" s="36"/>
      <c r="J139" s="33"/>
      <c r="K139" s="41"/>
      <c r="L139" s="40"/>
      <c r="M139" s="36"/>
      <c r="O139" s="31"/>
      <c r="P139" s="42" t="str">
        <f aca="false">IF($O139="","",IFERROR(INDEX(基础资料!$R$6:$R$205,MATCH($O139,基础资料!$Q$6:$Q$205,0)),""))</f>
        <v/>
      </c>
      <c r="Q139" s="42" t="str">
        <f aca="false">IF($O139="","",IFERROR(INDEX(基础资料!$S$6:$S$205,MATCH($O139,基础资料!$Q$6:$Q$205,0)),""))</f>
        <v/>
      </c>
      <c r="R139" s="43"/>
      <c r="S139" s="40"/>
      <c r="T139" s="44" t="str">
        <f aca="false">IF($O139="","",ROUND(N($R139)*N($S139),2))</f>
        <v/>
      </c>
      <c r="U139" s="36"/>
    </row>
    <row r="140" customFormat="false" ht="15.75" hidden="false" customHeight="true" outlineLevel="0" collapsed="false">
      <c r="E140" s="33"/>
      <c r="F140" s="41"/>
      <c r="G140" s="40"/>
      <c r="H140" s="36"/>
      <c r="J140" s="33"/>
      <c r="K140" s="41"/>
      <c r="L140" s="40"/>
      <c r="M140" s="36"/>
      <c r="O140" s="31"/>
      <c r="P140" s="42" t="str">
        <f aca="false">IF($O140="","",IFERROR(INDEX(基础资料!$R$6:$R$205,MATCH($O140,基础资料!$Q$6:$Q$205,0)),""))</f>
        <v/>
      </c>
      <c r="Q140" s="42" t="str">
        <f aca="false">IF($O140="","",IFERROR(INDEX(基础资料!$S$6:$S$205,MATCH($O140,基础资料!$Q$6:$Q$205,0)),""))</f>
        <v/>
      </c>
      <c r="R140" s="43"/>
      <c r="S140" s="40"/>
      <c r="T140" s="44" t="str">
        <f aca="false">IF($O140="","",ROUND(N($R140)*N($S140),2))</f>
        <v/>
      </c>
      <c r="U140" s="36"/>
    </row>
    <row r="141" customFormat="false" ht="15.75" hidden="false" customHeight="true" outlineLevel="0" collapsed="false">
      <c r="E141" s="33"/>
      <c r="F141" s="41"/>
      <c r="G141" s="40"/>
      <c r="H141" s="36"/>
      <c r="J141" s="33"/>
      <c r="K141" s="41"/>
      <c r="L141" s="40"/>
      <c r="M141" s="36"/>
      <c r="O141" s="31"/>
      <c r="P141" s="42" t="str">
        <f aca="false">IF($O141="","",IFERROR(INDEX(基础资料!$R$6:$R$205,MATCH($O141,基础资料!$Q$6:$Q$205,0)),""))</f>
        <v/>
      </c>
      <c r="Q141" s="42" t="str">
        <f aca="false">IF($O141="","",IFERROR(INDEX(基础资料!$S$6:$S$205,MATCH($O141,基础资料!$Q$6:$Q$205,0)),""))</f>
        <v/>
      </c>
      <c r="R141" s="43"/>
      <c r="S141" s="40"/>
      <c r="T141" s="44" t="str">
        <f aca="false">IF($O141="","",ROUND(N($R141)*N($S141),2))</f>
        <v/>
      </c>
      <c r="U141" s="36"/>
    </row>
    <row r="142" customFormat="false" ht="15.75" hidden="false" customHeight="true" outlineLevel="0" collapsed="false">
      <c r="E142" s="33"/>
      <c r="F142" s="41"/>
      <c r="G142" s="40"/>
      <c r="H142" s="36"/>
      <c r="J142" s="33"/>
      <c r="K142" s="41"/>
      <c r="L142" s="40"/>
      <c r="M142" s="36"/>
      <c r="O142" s="31"/>
      <c r="P142" s="42" t="str">
        <f aca="false">IF($O142="","",IFERROR(INDEX(基础资料!$R$6:$R$205,MATCH($O142,基础资料!$Q$6:$Q$205,0)),""))</f>
        <v/>
      </c>
      <c r="Q142" s="42" t="str">
        <f aca="false">IF($O142="","",IFERROR(INDEX(基础资料!$S$6:$S$205,MATCH($O142,基础资料!$Q$6:$Q$205,0)),""))</f>
        <v/>
      </c>
      <c r="R142" s="43"/>
      <c r="S142" s="40"/>
      <c r="T142" s="44" t="str">
        <f aca="false">IF($O142="","",ROUND(N($R142)*N($S142),2))</f>
        <v/>
      </c>
      <c r="U142" s="36"/>
    </row>
    <row r="143" customFormat="false" ht="15.75" hidden="false" customHeight="true" outlineLevel="0" collapsed="false">
      <c r="E143" s="33"/>
      <c r="F143" s="41"/>
      <c r="G143" s="40"/>
      <c r="H143" s="36"/>
      <c r="J143" s="33"/>
      <c r="K143" s="41"/>
      <c r="L143" s="40"/>
      <c r="M143" s="36"/>
      <c r="O143" s="31"/>
      <c r="P143" s="42" t="str">
        <f aca="false">IF($O143="","",IFERROR(INDEX(基础资料!$R$6:$R$205,MATCH($O143,基础资料!$Q$6:$Q$205,0)),""))</f>
        <v/>
      </c>
      <c r="Q143" s="42" t="str">
        <f aca="false">IF($O143="","",IFERROR(INDEX(基础资料!$S$6:$S$205,MATCH($O143,基础资料!$Q$6:$Q$205,0)),""))</f>
        <v/>
      </c>
      <c r="R143" s="43"/>
      <c r="S143" s="40"/>
      <c r="T143" s="44" t="str">
        <f aca="false">IF($O143="","",ROUND(N($R143)*N($S143),2))</f>
        <v/>
      </c>
      <c r="U143" s="36"/>
    </row>
    <row r="144" customFormat="false" ht="15.75" hidden="false" customHeight="true" outlineLevel="0" collapsed="false">
      <c r="E144" s="33"/>
      <c r="F144" s="41"/>
      <c r="G144" s="40"/>
      <c r="H144" s="36"/>
      <c r="J144" s="33"/>
      <c r="K144" s="41"/>
      <c r="L144" s="40"/>
      <c r="M144" s="36"/>
      <c r="O144" s="31"/>
      <c r="P144" s="42" t="str">
        <f aca="false">IF($O144="","",IFERROR(INDEX(基础资料!$R$6:$R$205,MATCH($O144,基础资料!$Q$6:$Q$205,0)),""))</f>
        <v/>
      </c>
      <c r="Q144" s="42" t="str">
        <f aca="false">IF($O144="","",IFERROR(INDEX(基础资料!$S$6:$S$205,MATCH($O144,基础资料!$Q$6:$Q$205,0)),""))</f>
        <v/>
      </c>
      <c r="R144" s="43"/>
      <c r="S144" s="40"/>
      <c r="T144" s="44" t="str">
        <f aca="false">IF($O144="","",ROUND(N($R144)*N($S144),2))</f>
        <v/>
      </c>
      <c r="U144" s="36"/>
    </row>
    <row r="145" customFormat="false" ht="15.75" hidden="false" customHeight="true" outlineLevel="0" collapsed="false">
      <c r="E145" s="33"/>
      <c r="F145" s="41"/>
      <c r="G145" s="40"/>
      <c r="H145" s="36"/>
      <c r="J145" s="33"/>
      <c r="K145" s="41"/>
      <c r="L145" s="40"/>
      <c r="M145" s="36"/>
      <c r="O145" s="31"/>
      <c r="P145" s="42" t="str">
        <f aca="false">IF($O145="","",IFERROR(INDEX(基础资料!$R$6:$R$205,MATCH($O145,基础资料!$Q$6:$Q$205,0)),""))</f>
        <v/>
      </c>
      <c r="Q145" s="42" t="str">
        <f aca="false">IF($O145="","",IFERROR(INDEX(基础资料!$S$6:$S$205,MATCH($O145,基础资料!$Q$6:$Q$205,0)),""))</f>
        <v/>
      </c>
      <c r="R145" s="43"/>
      <c r="S145" s="40"/>
      <c r="T145" s="44" t="str">
        <f aca="false">IF($O145="","",ROUND(N($R145)*N($S145),2))</f>
        <v/>
      </c>
      <c r="U145" s="36"/>
    </row>
    <row r="146" customFormat="false" ht="15.75" hidden="false" customHeight="true" outlineLevel="0" collapsed="false">
      <c r="E146" s="33"/>
      <c r="F146" s="41"/>
      <c r="G146" s="40"/>
      <c r="H146" s="36"/>
      <c r="J146" s="33"/>
      <c r="K146" s="41"/>
      <c r="L146" s="40"/>
      <c r="M146" s="36"/>
      <c r="O146" s="31"/>
      <c r="P146" s="42" t="str">
        <f aca="false">IF($O146="","",IFERROR(INDEX(基础资料!$R$6:$R$205,MATCH($O146,基础资料!$Q$6:$Q$205,0)),""))</f>
        <v/>
      </c>
      <c r="Q146" s="42" t="str">
        <f aca="false">IF($O146="","",IFERROR(INDEX(基础资料!$S$6:$S$205,MATCH($O146,基础资料!$Q$6:$Q$205,0)),""))</f>
        <v/>
      </c>
      <c r="R146" s="43"/>
      <c r="S146" s="40"/>
      <c r="T146" s="44" t="str">
        <f aca="false">IF($O146="","",ROUND(N($R146)*N($S146),2))</f>
        <v/>
      </c>
      <c r="U146" s="36"/>
    </row>
    <row r="147" customFormat="false" ht="15.75" hidden="false" customHeight="true" outlineLevel="0" collapsed="false">
      <c r="E147" s="33"/>
      <c r="F147" s="41"/>
      <c r="G147" s="40"/>
      <c r="H147" s="36"/>
      <c r="J147" s="33"/>
      <c r="K147" s="41"/>
      <c r="L147" s="40"/>
      <c r="M147" s="36"/>
      <c r="O147" s="31"/>
      <c r="P147" s="42" t="str">
        <f aca="false">IF($O147="","",IFERROR(INDEX(基础资料!$R$6:$R$205,MATCH($O147,基础资料!$Q$6:$Q$205,0)),""))</f>
        <v/>
      </c>
      <c r="Q147" s="42" t="str">
        <f aca="false">IF($O147="","",IFERROR(INDEX(基础资料!$S$6:$S$205,MATCH($O147,基础资料!$Q$6:$Q$205,0)),""))</f>
        <v/>
      </c>
      <c r="R147" s="43"/>
      <c r="S147" s="40"/>
      <c r="T147" s="44" t="str">
        <f aca="false">IF($O147="","",ROUND(N($R147)*N($S147),2))</f>
        <v/>
      </c>
      <c r="U147" s="36"/>
    </row>
    <row r="148" customFormat="false" ht="15.75" hidden="false" customHeight="true" outlineLevel="0" collapsed="false">
      <c r="E148" s="33"/>
      <c r="F148" s="41"/>
      <c r="G148" s="40"/>
      <c r="H148" s="36"/>
      <c r="J148" s="33"/>
      <c r="K148" s="41"/>
      <c r="L148" s="40"/>
      <c r="M148" s="36"/>
      <c r="O148" s="31"/>
      <c r="P148" s="42" t="str">
        <f aca="false">IF($O148="","",IFERROR(INDEX(基础资料!$R$6:$R$205,MATCH($O148,基础资料!$Q$6:$Q$205,0)),""))</f>
        <v/>
      </c>
      <c r="Q148" s="42" t="str">
        <f aca="false">IF($O148="","",IFERROR(INDEX(基础资料!$S$6:$S$205,MATCH($O148,基础资料!$Q$6:$Q$205,0)),""))</f>
        <v/>
      </c>
      <c r="R148" s="43"/>
      <c r="S148" s="40"/>
      <c r="T148" s="44" t="str">
        <f aca="false">IF($O148="","",ROUND(N($R148)*N($S148),2))</f>
        <v/>
      </c>
      <c r="U148" s="36"/>
    </row>
    <row r="149" customFormat="false" ht="15.75" hidden="false" customHeight="true" outlineLevel="0" collapsed="false">
      <c r="E149" s="33"/>
      <c r="F149" s="41"/>
      <c r="G149" s="40"/>
      <c r="H149" s="36"/>
      <c r="J149" s="33"/>
      <c r="K149" s="41"/>
      <c r="L149" s="40"/>
      <c r="M149" s="36"/>
      <c r="O149" s="31"/>
      <c r="P149" s="42" t="str">
        <f aca="false">IF($O149="","",IFERROR(INDEX(基础资料!$R$6:$R$205,MATCH($O149,基础资料!$Q$6:$Q$205,0)),""))</f>
        <v/>
      </c>
      <c r="Q149" s="42" t="str">
        <f aca="false">IF($O149="","",IFERROR(INDEX(基础资料!$S$6:$S$205,MATCH($O149,基础资料!$Q$6:$Q$205,0)),""))</f>
        <v/>
      </c>
      <c r="R149" s="43"/>
      <c r="S149" s="40"/>
      <c r="T149" s="44" t="str">
        <f aca="false">IF($O149="","",ROUND(N($R149)*N($S149),2))</f>
        <v/>
      </c>
      <c r="U149" s="36"/>
    </row>
    <row r="150" customFormat="false" ht="15.75" hidden="false" customHeight="true" outlineLevel="0" collapsed="false">
      <c r="E150" s="33"/>
      <c r="F150" s="41"/>
      <c r="G150" s="40"/>
      <c r="H150" s="36"/>
      <c r="J150" s="33"/>
      <c r="K150" s="41"/>
      <c r="L150" s="40"/>
      <c r="M150" s="36"/>
      <c r="O150" s="31"/>
      <c r="P150" s="42" t="str">
        <f aca="false">IF($O150="","",IFERROR(INDEX(基础资料!$R$6:$R$205,MATCH($O150,基础资料!$Q$6:$Q$205,0)),""))</f>
        <v/>
      </c>
      <c r="Q150" s="42" t="str">
        <f aca="false">IF($O150="","",IFERROR(INDEX(基础资料!$S$6:$S$205,MATCH($O150,基础资料!$Q$6:$Q$205,0)),""))</f>
        <v/>
      </c>
      <c r="R150" s="43"/>
      <c r="S150" s="40"/>
      <c r="T150" s="44" t="str">
        <f aca="false">IF($O150="","",ROUND(N($R150)*N($S150),2))</f>
        <v/>
      </c>
      <c r="U150" s="36"/>
    </row>
    <row r="151" customFormat="false" ht="15.75" hidden="false" customHeight="true" outlineLevel="0" collapsed="false">
      <c r="E151" s="33"/>
      <c r="F151" s="41"/>
      <c r="G151" s="40"/>
      <c r="H151" s="36"/>
      <c r="J151" s="33"/>
      <c r="K151" s="41"/>
      <c r="L151" s="40"/>
      <c r="M151" s="36"/>
      <c r="O151" s="31"/>
      <c r="P151" s="42" t="str">
        <f aca="false">IF($O151="","",IFERROR(INDEX(基础资料!$R$6:$R$205,MATCH($O151,基础资料!$Q$6:$Q$205,0)),""))</f>
        <v/>
      </c>
      <c r="Q151" s="42" t="str">
        <f aca="false">IF($O151="","",IFERROR(INDEX(基础资料!$S$6:$S$205,MATCH($O151,基础资料!$Q$6:$Q$205,0)),""))</f>
        <v/>
      </c>
      <c r="R151" s="43"/>
      <c r="S151" s="40"/>
      <c r="T151" s="44" t="str">
        <f aca="false">IF($O151="","",ROUND(N($R151)*N($S151),2))</f>
        <v/>
      </c>
      <c r="U151" s="36"/>
    </row>
    <row r="152" customFormat="false" ht="15.75" hidden="false" customHeight="true" outlineLevel="0" collapsed="false">
      <c r="E152" s="33"/>
      <c r="F152" s="41"/>
      <c r="G152" s="40"/>
      <c r="H152" s="36"/>
      <c r="J152" s="33"/>
      <c r="K152" s="41"/>
      <c r="L152" s="40"/>
      <c r="M152" s="36"/>
      <c r="O152" s="31"/>
      <c r="P152" s="42" t="str">
        <f aca="false">IF($O152="","",IFERROR(INDEX(基础资料!$R$6:$R$205,MATCH($O152,基础资料!$Q$6:$Q$205,0)),""))</f>
        <v/>
      </c>
      <c r="Q152" s="42" t="str">
        <f aca="false">IF($O152="","",IFERROR(INDEX(基础资料!$S$6:$S$205,MATCH($O152,基础资料!$Q$6:$Q$205,0)),""))</f>
        <v/>
      </c>
      <c r="R152" s="43"/>
      <c r="S152" s="40"/>
      <c r="T152" s="44" t="str">
        <f aca="false">IF($O152="","",ROUND(N($R152)*N($S152),2))</f>
        <v/>
      </c>
      <c r="U152" s="36"/>
    </row>
    <row r="153" customFormat="false" ht="15.75" hidden="false" customHeight="true" outlineLevel="0" collapsed="false">
      <c r="E153" s="33"/>
      <c r="F153" s="41"/>
      <c r="G153" s="40"/>
      <c r="H153" s="36"/>
      <c r="J153" s="33"/>
      <c r="K153" s="41"/>
      <c r="L153" s="40"/>
      <c r="M153" s="36"/>
      <c r="O153" s="31"/>
      <c r="P153" s="42" t="str">
        <f aca="false">IF($O153="","",IFERROR(INDEX(基础资料!$R$6:$R$205,MATCH($O153,基础资料!$Q$6:$Q$205,0)),""))</f>
        <v/>
      </c>
      <c r="Q153" s="42" t="str">
        <f aca="false">IF($O153="","",IFERROR(INDEX(基础资料!$S$6:$S$205,MATCH($O153,基础资料!$Q$6:$Q$205,0)),""))</f>
        <v/>
      </c>
      <c r="R153" s="43"/>
      <c r="S153" s="40"/>
      <c r="T153" s="44" t="str">
        <f aca="false">IF($O153="","",ROUND(N($R153)*N($S153),2))</f>
        <v/>
      </c>
      <c r="U153" s="36"/>
    </row>
    <row r="154" customFormat="false" ht="15.75" hidden="false" customHeight="true" outlineLevel="0" collapsed="false">
      <c r="E154" s="33"/>
      <c r="F154" s="41"/>
      <c r="G154" s="40"/>
      <c r="H154" s="36"/>
      <c r="J154" s="33"/>
      <c r="K154" s="41"/>
      <c r="L154" s="40"/>
      <c r="M154" s="36"/>
      <c r="O154" s="31"/>
      <c r="P154" s="42" t="str">
        <f aca="false">IF($O154="","",IFERROR(INDEX(基础资料!$R$6:$R$205,MATCH($O154,基础资料!$Q$6:$Q$205,0)),""))</f>
        <v/>
      </c>
      <c r="Q154" s="42" t="str">
        <f aca="false">IF($O154="","",IFERROR(INDEX(基础资料!$S$6:$S$205,MATCH($O154,基础资料!$Q$6:$Q$205,0)),""))</f>
        <v/>
      </c>
      <c r="R154" s="43"/>
      <c r="S154" s="40"/>
      <c r="T154" s="44" t="str">
        <f aca="false">IF($O154="","",ROUND(N($R154)*N($S154),2))</f>
        <v/>
      </c>
      <c r="U154" s="36"/>
    </row>
    <row r="155" customFormat="false" ht="15.75" hidden="false" customHeight="true" outlineLevel="0" collapsed="false">
      <c r="E155" s="33"/>
      <c r="F155" s="41"/>
      <c r="G155" s="40"/>
      <c r="H155" s="36"/>
      <c r="J155" s="33"/>
      <c r="K155" s="41"/>
      <c r="L155" s="40"/>
      <c r="M155" s="36"/>
      <c r="O155" s="31"/>
      <c r="P155" s="42" t="str">
        <f aca="false">IF($O155="","",IFERROR(INDEX(基础资料!$R$6:$R$205,MATCH($O155,基础资料!$Q$6:$Q$205,0)),""))</f>
        <v/>
      </c>
      <c r="Q155" s="42" t="str">
        <f aca="false">IF($O155="","",IFERROR(INDEX(基础资料!$S$6:$S$205,MATCH($O155,基础资料!$Q$6:$Q$205,0)),""))</f>
        <v/>
      </c>
      <c r="R155" s="43"/>
      <c r="S155" s="40"/>
      <c r="T155" s="44" t="str">
        <f aca="false">IF($O155="","",ROUND(N($R155)*N($S155),2))</f>
        <v/>
      </c>
      <c r="U155" s="36"/>
    </row>
    <row r="156" customFormat="false" ht="15.75" hidden="false" customHeight="true" outlineLevel="0" collapsed="false">
      <c r="O156" s="31"/>
      <c r="P156" s="42" t="str">
        <f aca="false">IF($O156="","",IFERROR(INDEX(基础资料!$R$6:$R$205,MATCH($O156,基础资料!$Q$6:$Q$205,0)),""))</f>
        <v/>
      </c>
      <c r="Q156" s="42" t="str">
        <f aca="false">IF($O156="","",IFERROR(INDEX(基础资料!$S$6:$S$205,MATCH($O156,基础资料!$Q$6:$Q$205,0)),""))</f>
        <v/>
      </c>
      <c r="R156" s="43"/>
      <c r="S156" s="40"/>
      <c r="T156" s="44" t="str">
        <f aca="false">IF($O156="","",ROUND(N($R156)*N($S156),2))</f>
        <v/>
      </c>
      <c r="U156" s="36"/>
    </row>
    <row r="157" customFormat="false" ht="15.75" hidden="false" customHeight="true" outlineLevel="0" collapsed="false">
      <c r="O157" s="31"/>
      <c r="P157" s="42" t="str">
        <f aca="false">IF($O157="","",IFERROR(INDEX(基础资料!$R$6:$R$205,MATCH($O157,基础资料!$Q$6:$Q$205,0)),""))</f>
        <v/>
      </c>
      <c r="Q157" s="42" t="str">
        <f aca="false">IF($O157="","",IFERROR(INDEX(基础资料!$S$6:$S$205,MATCH($O157,基础资料!$Q$6:$Q$205,0)),""))</f>
        <v/>
      </c>
      <c r="R157" s="43"/>
      <c r="S157" s="40"/>
      <c r="T157" s="44" t="str">
        <f aca="false">IF($O157="","",ROUND(N($R157)*N($S157),2))</f>
        <v/>
      </c>
      <c r="U157" s="36"/>
    </row>
    <row r="158" customFormat="false" ht="15.75" hidden="false" customHeight="true" outlineLevel="0" collapsed="false">
      <c r="O158" s="31"/>
      <c r="P158" s="42" t="str">
        <f aca="false">IF($O158="","",IFERROR(INDEX(基础资料!$R$6:$R$205,MATCH($O158,基础资料!$Q$6:$Q$205,0)),""))</f>
        <v/>
      </c>
      <c r="Q158" s="42" t="str">
        <f aca="false">IF($O158="","",IFERROR(INDEX(基础资料!$S$6:$S$205,MATCH($O158,基础资料!$Q$6:$Q$205,0)),""))</f>
        <v/>
      </c>
      <c r="R158" s="43"/>
      <c r="S158" s="40"/>
      <c r="T158" s="44" t="str">
        <f aca="false">IF($O158="","",ROUND(N($R158)*N($S158),2))</f>
        <v/>
      </c>
      <c r="U158" s="36"/>
    </row>
    <row r="159" customFormat="false" ht="15.75" hidden="false" customHeight="true" outlineLevel="0" collapsed="false">
      <c r="O159" s="31"/>
      <c r="P159" s="42" t="str">
        <f aca="false">IF($O159="","",IFERROR(INDEX(基础资料!$R$6:$R$205,MATCH($O159,基础资料!$Q$6:$Q$205,0)),""))</f>
        <v/>
      </c>
      <c r="Q159" s="42" t="str">
        <f aca="false">IF($O159="","",IFERROR(INDEX(基础资料!$S$6:$S$205,MATCH($O159,基础资料!$Q$6:$Q$205,0)),""))</f>
        <v/>
      </c>
      <c r="R159" s="43"/>
      <c r="S159" s="40"/>
      <c r="T159" s="44" t="str">
        <f aca="false">IF($O159="","",ROUND(N($R159)*N($S159),2))</f>
        <v/>
      </c>
      <c r="U159" s="36"/>
    </row>
    <row r="160" customFormat="false" ht="15.75" hidden="false" customHeight="true" outlineLevel="0" collapsed="false">
      <c r="O160" s="31"/>
      <c r="P160" s="42" t="str">
        <f aca="false">IF($O160="","",IFERROR(INDEX(基础资料!$R$6:$R$205,MATCH($O160,基础资料!$Q$6:$Q$205,0)),""))</f>
        <v/>
      </c>
      <c r="Q160" s="42" t="str">
        <f aca="false">IF($O160="","",IFERROR(INDEX(基础资料!$S$6:$S$205,MATCH($O160,基础资料!$Q$6:$Q$205,0)),""))</f>
        <v/>
      </c>
      <c r="R160" s="43"/>
      <c r="S160" s="40"/>
      <c r="T160" s="44" t="str">
        <f aca="false">IF($O160="","",ROUND(N($R160)*N($S160),2))</f>
        <v/>
      </c>
      <c r="U160" s="36"/>
    </row>
    <row r="161" customFormat="false" ht="15.75" hidden="false" customHeight="true" outlineLevel="0" collapsed="false">
      <c r="O161" s="31"/>
      <c r="P161" s="42" t="str">
        <f aca="false">IF($O161="","",IFERROR(INDEX(基础资料!$R$6:$R$205,MATCH($O161,基础资料!$Q$6:$Q$205,0)),""))</f>
        <v/>
      </c>
      <c r="Q161" s="42" t="str">
        <f aca="false">IF($O161="","",IFERROR(INDEX(基础资料!$S$6:$S$205,MATCH($O161,基础资料!$Q$6:$Q$205,0)),""))</f>
        <v/>
      </c>
      <c r="R161" s="43"/>
      <c r="S161" s="40"/>
      <c r="T161" s="44" t="str">
        <f aca="false">IF($O161="","",ROUND(N($R161)*N($S161),2))</f>
        <v/>
      </c>
      <c r="U161" s="36"/>
    </row>
    <row r="162" customFormat="false" ht="15.75" hidden="false" customHeight="true" outlineLevel="0" collapsed="false">
      <c r="O162" s="31"/>
      <c r="P162" s="42" t="str">
        <f aca="false">IF($O162="","",IFERROR(INDEX(基础资料!$R$6:$R$205,MATCH($O162,基础资料!$Q$6:$Q$205,0)),""))</f>
        <v/>
      </c>
      <c r="Q162" s="42" t="str">
        <f aca="false">IF($O162="","",IFERROR(INDEX(基础资料!$S$6:$S$205,MATCH($O162,基础资料!$Q$6:$Q$205,0)),""))</f>
        <v/>
      </c>
      <c r="R162" s="43"/>
      <c r="S162" s="40"/>
      <c r="T162" s="44" t="str">
        <f aca="false">IF($O162="","",ROUND(N($R162)*N($S162),2))</f>
        <v/>
      </c>
      <c r="U162" s="36"/>
    </row>
    <row r="163" customFormat="false" ht="15.75" hidden="false" customHeight="true" outlineLevel="0" collapsed="false">
      <c r="O163" s="31"/>
      <c r="P163" s="42" t="str">
        <f aca="false">IF($O163="","",IFERROR(INDEX(基础资料!$R$6:$R$205,MATCH($O163,基础资料!$Q$6:$Q$205,0)),""))</f>
        <v/>
      </c>
      <c r="Q163" s="42" t="str">
        <f aca="false">IF($O163="","",IFERROR(INDEX(基础资料!$S$6:$S$205,MATCH($O163,基础资料!$Q$6:$Q$205,0)),""))</f>
        <v/>
      </c>
      <c r="R163" s="43"/>
      <c r="S163" s="40"/>
      <c r="T163" s="44" t="str">
        <f aca="false">IF($O163="","",ROUND(N($R163)*N($S163),2))</f>
        <v/>
      </c>
      <c r="U163" s="36"/>
    </row>
    <row r="164" customFormat="false" ht="15.75" hidden="false" customHeight="true" outlineLevel="0" collapsed="false">
      <c r="O164" s="31"/>
      <c r="P164" s="42" t="str">
        <f aca="false">IF($O164="","",IFERROR(INDEX(基础资料!$R$6:$R$205,MATCH($O164,基础资料!$Q$6:$Q$205,0)),""))</f>
        <v/>
      </c>
      <c r="Q164" s="42" t="str">
        <f aca="false">IF($O164="","",IFERROR(INDEX(基础资料!$S$6:$S$205,MATCH($O164,基础资料!$Q$6:$Q$205,0)),""))</f>
        <v/>
      </c>
      <c r="R164" s="43"/>
      <c r="S164" s="40"/>
      <c r="T164" s="44" t="str">
        <f aca="false">IF($O164="","",ROUND(N($R164)*N($S164),2))</f>
        <v/>
      </c>
      <c r="U164" s="36"/>
    </row>
    <row r="165" customFormat="false" ht="15.75" hidden="false" customHeight="true" outlineLevel="0" collapsed="false">
      <c r="O165" s="31"/>
      <c r="P165" s="42" t="str">
        <f aca="false">IF($O165="","",IFERROR(INDEX(基础资料!$R$6:$R$205,MATCH($O165,基础资料!$Q$6:$Q$205,0)),""))</f>
        <v/>
      </c>
      <c r="Q165" s="42" t="str">
        <f aca="false">IF($O165="","",IFERROR(INDEX(基础资料!$S$6:$S$205,MATCH($O165,基础资料!$Q$6:$Q$205,0)),""))</f>
        <v/>
      </c>
      <c r="R165" s="43"/>
      <c r="S165" s="40"/>
      <c r="T165" s="44" t="str">
        <f aca="false">IF($O165="","",ROUND(N($R165)*N($S165),2))</f>
        <v/>
      </c>
      <c r="U165" s="36"/>
    </row>
    <row r="166" customFormat="false" ht="15.75" hidden="false" customHeight="true" outlineLevel="0" collapsed="false">
      <c r="O166" s="31"/>
      <c r="P166" s="42" t="str">
        <f aca="false">IF($O166="","",IFERROR(INDEX(基础资料!$R$6:$R$205,MATCH($O166,基础资料!$Q$6:$Q$205,0)),""))</f>
        <v/>
      </c>
      <c r="Q166" s="42" t="str">
        <f aca="false">IF($O166="","",IFERROR(INDEX(基础资料!$S$6:$S$205,MATCH($O166,基础资料!$Q$6:$Q$205,0)),""))</f>
        <v/>
      </c>
      <c r="R166" s="43"/>
      <c r="S166" s="40"/>
      <c r="T166" s="44" t="str">
        <f aca="false">IF($O166="","",ROUND(N($R166)*N($S166),2))</f>
        <v/>
      </c>
      <c r="U166" s="36"/>
    </row>
    <row r="167" customFormat="false" ht="15.75" hidden="false" customHeight="true" outlineLevel="0" collapsed="false">
      <c r="O167" s="31"/>
      <c r="P167" s="42" t="str">
        <f aca="false">IF($O167="","",IFERROR(INDEX(基础资料!$R$6:$R$205,MATCH($O167,基础资料!$Q$6:$Q$205,0)),""))</f>
        <v/>
      </c>
      <c r="Q167" s="42" t="str">
        <f aca="false">IF($O167="","",IFERROR(INDEX(基础资料!$S$6:$S$205,MATCH($O167,基础资料!$Q$6:$Q$205,0)),""))</f>
        <v/>
      </c>
      <c r="R167" s="43"/>
      <c r="S167" s="40"/>
      <c r="T167" s="44" t="str">
        <f aca="false">IF($O167="","",ROUND(N($R167)*N($S167),2))</f>
        <v/>
      </c>
      <c r="U167" s="36"/>
    </row>
    <row r="168" customFormat="false" ht="15.75" hidden="false" customHeight="true" outlineLevel="0" collapsed="false">
      <c r="O168" s="31"/>
      <c r="P168" s="42" t="str">
        <f aca="false">IF($O168="","",IFERROR(INDEX(基础资料!$R$6:$R$205,MATCH($O168,基础资料!$Q$6:$Q$205,0)),""))</f>
        <v/>
      </c>
      <c r="Q168" s="42" t="str">
        <f aca="false">IF($O168="","",IFERROR(INDEX(基础资料!$S$6:$S$205,MATCH($O168,基础资料!$Q$6:$Q$205,0)),""))</f>
        <v/>
      </c>
      <c r="R168" s="43"/>
      <c r="S168" s="40"/>
      <c r="T168" s="44" t="str">
        <f aca="false">IF($O168="","",ROUND(N($R168)*N($S168),2))</f>
        <v/>
      </c>
      <c r="U168" s="36"/>
    </row>
    <row r="169" customFormat="false" ht="15.75" hidden="false" customHeight="true" outlineLevel="0" collapsed="false">
      <c r="O169" s="31"/>
      <c r="P169" s="42" t="str">
        <f aca="false">IF($O169="","",IFERROR(INDEX(基础资料!$R$6:$R$205,MATCH($O169,基础资料!$Q$6:$Q$205,0)),""))</f>
        <v/>
      </c>
      <c r="Q169" s="42" t="str">
        <f aca="false">IF($O169="","",IFERROR(INDEX(基础资料!$S$6:$S$205,MATCH($O169,基础资料!$Q$6:$Q$205,0)),""))</f>
        <v/>
      </c>
      <c r="R169" s="43"/>
      <c r="S169" s="40"/>
      <c r="T169" s="44" t="str">
        <f aca="false">IF($O169="","",ROUND(N($R169)*N($S169),2))</f>
        <v/>
      </c>
      <c r="U169" s="36"/>
    </row>
    <row r="170" customFormat="false" ht="15.75" hidden="false" customHeight="true" outlineLevel="0" collapsed="false">
      <c r="O170" s="31"/>
      <c r="P170" s="42" t="str">
        <f aca="false">IF($O170="","",IFERROR(INDEX(基础资料!$R$6:$R$205,MATCH($O170,基础资料!$Q$6:$Q$205,0)),""))</f>
        <v/>
      </c>
      <c r="Q170" s="42" t="str">
        <f aca="false">IF($O170="","",IFERROR(INDEX(基础资料!$S$6:$S$205,MATCH($O170,基础资料!$Q$6:$Q$205,0)),""))</f>
        <v/>
      </c>
      <c r="R170" s="43"/>
      <c r="S170" s="40"/>
      <c r="T170" s="44" t="str">
        <f aca="false">IF($O170="","",ROUND(N($R170)*N($S170),2))</f>
        <v/>
      </c>
      <c r="U170" s="36"/>
    </row>
    <row r="171" customFormat="false" ht="15.75" hidden="false" customHeight="true" outlineLevel="0" collapsed="false">
      <c r="O171" s="31"/>
      <c r="P171" s="42" t="str">
        <f aca="false">IF($O171="","",IFERROR(INDEX(基础资料!$R$6:$R$205,MATCH($O171,基础资料!$Q$6:$Q$205,0)),""))</f>
        <v/>
      </c>
      <c r="Q171" s="42" t="str">
        <f aca="false">IF($O171="","",IFERROR(INDEX(基础资料!$S$6:$S$205,MATCH($O171,基础资料!$Q$6:$Q$205,0)),""))</f>
        <v/>
      </c>
      <c r="R171" s="43"/>
      <c r="S171" s="40"/>
      <c r="T171" s="44" t="str">
        <f aca="false">IF($O171="","",ROUND(N($R171)*N($S171),2))</f>
        <v/>
      </c>
      <c r="U171" s="36"/>
    </row>
    <row r="172" customFormat="false" ht="15.75" hidden="false" customHeight="true" outlineLevel="0" collapsed="false">
      <c r="O172" s="31"/>
      <c r="P172" s="42" t="str">
        <f aca="false">IF($O172="","",IFERROR(INDEX(基础资料!$R$6:$R$205,MATCH($O172,基础资料!$Q$6:$Q$205,0)),""))</f>
        <v/>
      </c>
      <c r="Q172" s="42" t="str">
        <f aca="false">IF($O172="","",IFERROR(INDEX(基础资料!$S$6:$S$205,MATCH($O172,基础资料!$Q$6:$Q$205,0)),""))</f>
        <v/>
      </c>
      <c r="R172" s="43"/>
      <c r="S172" s="40"/>
      <c r="T172" s="44" t="str">
        <f aca="false">IF($O172="","",ROUND(N($R172)*N($S172),2))</f>
        <v/>
      </c>
      <c r="U172" s="36"/>
    </row>
    <row r="173" customFormat="false" ht="15.75" hidden="false" customHeight="true" outlineLevel="0" collapsed="false">
      <c r="O173" s="31"/>
      <c r="P173" s="42" t="str">
        <f aca="false">IF($O173="","",IFERROR(INDEX(基础资料!$R$6:$R$205,MATCH($O173,基础资料!$Q$6:$Q$205,0)),""))</f>
        <v/>
      </c>
      <c r="Q173" s="42" t="str">
        <f aca="false">IF($O173="","",IFERROR(INDEX(基础资料!$S$6:$S$205,MATCH($O173,基础资料!$Q$6:$Q$205,0)),""))</f>
        <v/>
      </c>
      <c r="R173" s="43"/>
      <c r="S173" s="40"/>
      <c r="T173" s="44" t="str">
        <f aca="false">IF($O173="","",ROUND(N($R173)*N($S173),2))</f>
        <v/>
      </c>
      <c r="U173" s="36"/>
    </row>
    <row r="174" customFormat="false" ht="15.75" hidden="false" customHeight="true" outlineLevel="0" collapsed="false">
      <c r="O174" s="31"/>
      <c r="P174" s="42" t="str">
        <f aca="false">IF($O174="","",IFERROR(INDEX(基础资料!$R$6:$R$205,MATCH($O174,基础资料!$Q$6:$Q$205,0)),""))</f>
        <v/>
      </c>
      <c r="Q174" s="42" t="str">
        <f aca="false">IF($O174="","",IFERROR(INDEX(基础资料!$S$6:$S$205,MATCH($O174,基础资料!$Q$6:$Q$205,0)),""))</f>
        <v/>
      </c>
      <c r="R174" s="43"/>
      <c r="S174" s="40"/>
      <c r="T174" s="44" t="str">
        <f aca="false">IF($O174="","",ROUND(N($R174)*N($S174),2))</f>
        <v/>
      </c>
      <c r="U174" s="36"/>
    </row>
    <row r="175" customFormat="false" ht="15.75" hidden="false" customHeight="true" outlineLevel="0" collapsed="false">
      <c r="O175" s="31"/>
      <c r="P175" s="42" t="str">
        <f aca="false">IF($O175="","",IFERROR(INDEX(基础资料!$R$6:$R$205,MATCH($O175,基础资料!$Q$6:$Q$205,0)),""))</f>
        <v/>
      </c>
      <c r="Q175" s="42" t="str">
        <f aca="false">IF($O175="","",IFERROR(INDEX(基础资料!$S$6:$S$205,MATCH($O175,基础资料!$Q$6:$Q$205,0)),""))</f>
        <v/>
      </c>
      <c r="R175" s="43"/>
      <c r="S175" s="40"/>
      <c r="T175" s="44" t="str">
        <f aca="false">IF($O175="","",ROUND(N($R175)*N($S175),2))</f>
        <v/>
      </c>
      <c r="U175" s="36"/>
    </row>
    <row r="176" customFormat="false" ht="15.75" hidden="false" customHeight="true" outlineLevel="0" collapsed="false">
      <c r="O176" s="31"/>
      <c r="P176" s="42" t="str">
        <f aca="false">IF($O176="","",IFERROR(INDEX(基础资料!$R$6:$R$205,MATCH($O176,基础资料!$Q$6:$Q$205,0)),""))</f>
        <v/>
      </c>
      <c r="Q176" s="42" t="str">
        <f aca="false">IF($O176="","",IFERROR(INDEX(基础资料!$S$6:$S$205,MATCH($O176,基础资料!$Q$6:$Q$205,0)),""))</f>
        <v/>
      </c>
      <c r="R176" s="43"/>
      <c r="S176" s="40"/>
      <c r="T176" s="44" t="str">
        <f aca="false">IF($O176="","",ROUND(N($R176)*N($S176),2))</f>
        <v/>
      </c>
      <c r="U176" s="36"/>
    </row>
    <row r="177" customFormat="false" ht="15.75" hidden="false" customHeight="true" outlineLevel="0" collapsed="false">
      <c r="O177" s="31"/>
      <c r="P177" s="42" t="str">
        <f aca="false">IF($O177="","",IFERROR(INDEX(基础资料!$R$6:$R$205,MATCH($O177,基础资料!$Q$6:$Q$205,0)),""))</f>
        <v/>
      </c>
      <c r="Q177" s="42" t="str">
        <f aca="false">IF($O177="","",IFERROR(INDEX(基础资料!$S$6:$S$205,MATCH($O177,基础资料!$Q$6:$Q$205,0)),""))</f>
        <v/>
      </c>
      <c r="R177" s="43"/>
      <c r="S177" s="40"/>
      <c r="T177" s="44" t="str">
        <f aca="false">IF($O177="","",ROUND(N($R177)*N($S177),2))</f>
        <v/>
      </c>
      <c r="U177" s="36"/>
    </row>
    <row r="178" customFormat="false" ht="15.75" hidden="false" customHeight="true" outlineLevel="0" collapsed="false">
      <c r="O178" s="31"/>
      <c r="P178" s="42" t="str">
        <f aca="false">IF($O178="","",IFERROR(INDEX(基础资料!$R$6:$R$205,MATCH($O178,基础资料!$Q$6:$Q$205,0)),""))</f>
        <v/>
      </c>
      <c r="Q178" s="42" t="str">
        <f aca="false">IF($O178="","",IFERROR(INDEX(基础资料!$S$6:$S$205,MATCH($O178,基础资料!$Q$6:$Q$205,0)),""))</f>
        <v/>
      </c>
      <c r="R178" s="43"/>
      <c r="S178" s="40"/>
      <c r="T178" s="44" t="str">
        <f aca="false">IF($O178="","",ROUND(N($R178)*N($S178),2))</f>
        <v/>
      </c>
      <c r="U178" s="36"/>
    </row>
    <row r="179" customFormat="false" ht="15.75" hidden="false" customHeight="true" outlineLevel="0" collapsed="false">
      <c r="O179" s="31"/>
      <c r="P179" s="42" t="str">
        <f aca="false">IF($O179="","",IFERROR(INDEX(基础资料!$R$6:$R$205,MATCH($O179,基础资料!$Q$6:$Q$205,0)),""))</f>
        <v/>
      </c>
      <c r="Q179" s="42" t="str">
        <f aca="false">IF($O179="","",IFERROR(INDEX(基础资料!$S$6:$S$205,MATCH($O179,基础资料!$Q$6:$Q$205,0)),""))</f>
        <v/>
      </c>
      <c r="R179" s="43"/>
      <c r="S179" s="40"/>
      <c r="T179" s="44" t="str">
        <f aca="false">IF($O179="","",ROUND(N($R179)*N($S179),2))</f>
        <v/>
      </c>
      <c r="U179" s="36"/>
    </row>
    <row r="180" customFormat="false" ht="15.75" hidden="false" customHeight="true" outlineLevel="0" collapsed="false">
      <c r="O180" s="31"/>
      <c r="P180" s="42" t="str">
        <f aca="false">IF($O180="","",IFERROR(INDEX(基础资料!$R$6:$R$205,MATCH($O180,基础资料!$Q$6:$Q$205,0)),""))</f>
        <v/>
      </c>
      <c r="Q180" s="42" t="str">
        <f aca="false">IF($O180="","",IFERROR(INDEX(基础资料!$S$6:$S$205,MATCH($O180,基础资料!$Q$6:$Q$205,0)),""))</f>
        <v/>
      </c>
      <c r="R180" s="43"/>
      <c r="S180" s="40"/>
      <c r="T180" s="44" t="str">
        <f aca="false">IF($O180="","",ROUND(N($R180)*N($S180),2))</f>
        <v/>
      </c>
      <c r="U180" s="36"/>
    </row>
    <row r="181" customFormat="false" ht="15.75" hidden="false" customHeight="true" outlineLevel="0" collapsed="false">
      <c r="O181" s="31"/>
      <c r="P181" s="42" t="str">
        <f aca="false">IF($O181="","",IFERROR(INDEX(基础资料!$R$6:$R$205,MATCH($O181,基础资料!$Q$6:$Q$205,0)),""))</f>
        <v/>
      </c>
      <c r="Q181" s="42" t="str">
        <f aca="false">IF($O181="","",IFERROR(INDEX(基础资料!$S$6:$S$205,MATCH($O181,基础资料!$Q$6:$Q$205,0)),""))</f>
        <v/>
      </c>
      <c r="R181" s="43"/>
      <c r="S181" s="40"/>
      <c r="T181" s="44" t="str">
        <f aca="false">IF($O181="","",ROUND(N($R181)*N($S181),2))</f>
        <v/>
      </c>
      <c r="U181" s="36"/>
    </row>
    <row r="182" customFormat="false" ht="15.75" hidden="false" customHeight="true" outlineLevel="0" collapsed="false">
      <c r="O182" s="31"/>
      <c r="P182" s="42" t="str">
        <f aca="false">IF($O182="","",IFERROR(INDEX(基础资料!$R$6:$R$205,MATCH($O182,基础资料!$Q$6:$Q$205,0)),""))</f>
        <v/>
      </c>
      <c r="Q182" s="42" t="str">
        <f aca="false">IF($O182="","",IFERROR(INDEX(基础资料!$S$6:$S$205,MATCH($O182,基础资料!$Q$6:$Q$205,0)),""))</f>
        <v/>
      </c>
      <c r="R182" s="43"/>
      <c r="S182" s="40"/>
      <c r="T182" s="44" t="str">
        <f aca="false">IF($O182="","",ROUND(N($R182)*N($S182),2))</f>
        <v/>
      </c>
      <c r="U182" s="36"/>
    </row>
    <row r="183" customFormat="false" ht="15.75" hidden="false" customHeight="true" outlineLevel="0" collapsed="false">
      <c r="O183" s="31"/>
      <c r="P183" s="42" t="str">
        <f aca="false">IF($O183="","",IFERROR(INDEX(基础资料!$R$6:$R$205,MATCH($O183,基础资料!$Q$6:$Q$205,0)),""))</f>
        <v/>
      </c>
      <c r="Q183" s="42" t="str">
        <f aca="false">IF($O183="","",IFERROR(INDEX(基础资料!$S$6:$S$205,MATCH($O183,基础资料!$Q$6:$Q$205,0)),""))</f>
        <v/>
      </c>
      <c r="R183" s="43"/>
      <c r="S183" s="40"/>
      <c r="T183" s="44" t="str">
        <f aca="false">IF($O183="","",ROUND(N($R183)*N($S183),2))</f>
        <v/>
      </c>
      <c r="U183" s="36"/>
    </row>
    <row r="184" customFormat="false" ht="15.75" hidden="false" customHeight="true" outlineLevel="0" collapsed="false">
      <c r="O184" s="31"/>
      <c r="P184" s="42" t="str">
        <f aca="false">IF($O184="","",IFERROR(INDEX(基础资料!$R$6:$R$205,MATCH($O184,基础资料!$Q$6:$Q$205,0)),""))</f>
        <v/>
      </c>
      <c r="Q184" s="42" t="str">
        <f aca="false">IF($O184="","",IFERROR(INDEX(基础资料!$S$6:$S$205,MATCH($O184,基础资料!$Q$6:$Q$205,0)),""))</f>
        <v/>
      </c>
      <c r="R184" s="43"/>
      <c r="S184" s="40"/>
      <c r="T184" s="44" t="str">
        <f aca="false">IF($O184="","",ROUND(N($R184)*N($S184),2))</f>
        <v/>
      </c>
      <c r="U184" s="36"/>
    </row>
    <row r="185" customFormat="false" ht="15.75" hidden="false" customHeight="true" outlineLevel="0" collapsed="false">
      <c r="O185" s="31"/>
      <c r="P185" s="42" t="str">
        <f aca="false">IF($O185="","",IFERROR(INDEX(基础资料!$R$6:$R$205,MATCH($O185,基础资料!$Q$6:$Q$205,0)),""))</f>
        <v/>
      </c>
      <c r="Q185" s="42" t="str">
        <f aca="false">IF($O185="","",IFERROR(INDEX(基础资料!$S$6:$S$205,MATCH($O185,基础资料!$Q$6:$Q$205,0)),""))</f>
        <v/>
      </c>
      <c r="R185" s="43"/>
      <c r="S185" s="40"/>
      <c r="T185" s="44" t="str">
        <f aca="false">IF($O185="","",ROUND(N($R185)*N($S185),2))</f>
        <v/>
      </c>
      <c r="U185" s="36"/>
    </row>
    <row r="186" customFormat="false" ht="15.75" hidden="false" customHeight="true" outlineLevel="0" collapsed="false">
      <c r="O186" s="31"/>
      <c r="P186" s="42" t="str">
        <f aca="false">IF($O186="","",IFERROR(INDEX(基础资料!$R$6:$R$205,MATCH($O186,基础资料!$Q$6:$Q$205,0)),""))</f>
        <v/>
      </c>
      <c r="Q186" s="42" t="str">
        <f aca="false">IF($O186="","",IFERROR(INDEX(基础资料!$S$6:$S$205,MATCH($O186,基础资料!$Q$6:$Q$205,0)),""))</f>
        <v/>
      </c>
      <c r="R186" s="43"/>
      <c r="S186" s="40"/>
      <c r="T186" s="44" t="str">
        <f aca="false">IF($O186="","",ROUND(N($R186)*N($S186),2))</f>
        <v/>
      </c>
      <c r="U186" s="36"/>
    </row>
    <row r="187" customFormat="false" ht="15.75" hidden="false" customHeight="true" outlineLevel="0" collapsed="false">
      <c r="O187" s="31"/>
      <c r="P187" s="42" t="str">
        <f aca="false">IF($O187="","",IFERROR(INDEX(基础资料!$R$6:$R$205,MATCH($O187,基础资料!$Q$6:$Q$205,0)),""))</f>
        <v/>
      </c>
      <c r="Q187" s="42" t="str">
        <f aca="false">IF($O187="","",IFERROR(INDEX(基础资料!$S$6:$S$205,MATCH($O187,基础资料!$Q$6:$Q$205,0)),""))</f>
        <v/>
      </c>
      <c r="R187" s="43"/>
      <c r="S187" s="40"/>
      <c r="T187" s="44" t="str">
        <f aca="false">IF($O187="","",ROUND(N($R187)*N($S187),2))</f>
        <v/>
      </c>
      <c r="U187" s="36"/>
    </row>
    <row r="188" customFormat="false" ht="15.75" hidden="false" customHeight="true" outlineLevel="0" collapsed="false">
      <c r="O188" s="31"/>
      <c r="P188" s="42" t="str">
        <f aca="false">IF($O188="","",IFERROR(INDEX(基础资料!$R$6:$R$205,MATCH($O188,基础资料!$Q$6:$Q$205,0)),""))</f>
        <v/>
      </c>
      <c r="Q188" s="42" t="str">
        <f aca="false">IF($O188="","",IFERROR(INDEX(基础资料!$S$6:$S$205,MATCH($O188,基础资料!$Q$6:$Q$205,0)),""))</f>
        <v/>
      </c>
      <c r="R188" s="43"/>
      <c r="S188" s="40"/>
      <c r="T188" s="44" t="str">
        <f aca="false">IF($O188="","",ROUND(N($R188)*N($S188),2))</f>
        <v/>
      </c>
      <c r="U188" s="36"/>
    </row>
    <row r="189" customFormat="false" ht="15.75" hidden="false" customHeight="true" outlineLevel="0" collapsed="false">
      <c r="O189" s="31"/>
      <c r="P189" s="42" t="str">
        <f aca="false">IF($O189="","",IFERROR(INDEX(基础资料!$R$6:$R$205,MATCH($O189,基础资料!$Q$6:$Q$205,0)),""))</f>
        <v/>
      </c>
      <c r="Q189" s="42" t="str">
        <f aca="false">IF($O189="","",IFERROR(INDEX(基础资料!$S$6:$S$205,MATCH($O189,基础资料!$Q$6:$Q$205,0)),""))</f>
        <v/>
      </c>
      <c r="R189" s="43"/>
      <c r="S189" s="40"/>
      <c r="T189" s="44" t="str">
        <f aca="false">IF($O189="","",ROUND(N($R189)*N($S189),2))</f>
        <v/>
      </c>
      <c r="U189" s="36"/>
    </row>
    <row r="190" customFormat="false" ht="15.75" hidden="false" customHeight="true" outlineLevel="0" collapsed="false">
      <c r="O190" s="31"/>
      <c r="P190" s="42" t="str">
        <f aca="false">IF($O190="","",IFERROR(INDEX(基础资料!$R$6:$R$205,MATCH($O190,基础资料!$Q$6:$Q$205,0)),""))</f>
        <v/>
      </c>
      <c r="Q190" s="42" t="str">
        <f aca="false">IF($O190="","",IFERROR(INDEX(基础资料!$S$6:$S$205,MATCH($O190,基础资料!$Q$6:$Q$205,0)),""))</f>
        <v/>
      </c>
      <c r="R190" s="43"/>
      <c r="S190" s="40"/>
      <c r="T190" s="44" t="str">
        <f aca="false">IF($O190="","",ROUND(N($R190)*N($S190),2))</f>
        <v/>
      </c>
      <c r="U190" s="36"/>
    </row>
    <row r="191" customFormat="false" ht="15.75" hidden="false" customHeight="true" outlineLevel="0" collapsed="false">
      <c r="O191" s="31"/>
      <c r="P191" s="42" t="str">
        <f aca="false">IF($O191="","",IFERROR(INDEX(基础资料!$R$6:$R$205,MATCH($O191,基础资料!$Q$6:$Q$205,0)),""))</f>
        <v/>
      </c>
      <c r="Q191" s="42" t="str">
        <f aca="false">IF($O191="","",IFERROR(INDEX(基础资料!$S$6:$S$205,MATCH($O191,基础资料!$Q$6:$Q$205,0)),""))</f>
        <v/>
      </c>
      <c r="R191" s="43"/>
      <c r="S191" s="40"/>
      <c r="T191" s="44" t="str">
        <f aca="false">IF($O191="","",ROUND(N($R191)*N($S191),2))</f>
        <v/>
      </c>
      <c r="U191" s="36"/>
    </row>
    <row r="192" customFormat="false" ht="15.75" hidden="false" customHeight="true" outlineLevel="0" collapsed="false">
      <c r="O192" s="31"/>
      <c r="P192" s="42" t="str">
        <f aca="false">IF($O192="","",IFERROR(INDEX(基础资料!$R$6:$R$205,MATCH($O192,基础资料!$Q$6:$Q$205,0)),""))</f>
        <v/>
      </c>
      <c r="Q192" s="42" t="str">
        <f aca="false">IF($O192="","",IFERROR(INDEX(基础资料!$S$6:$S$205,MATCH($O192,基础资料!$Q$6:$Q$205,0)),""))</f>
        <v/>
      </c>
      <c r="R192" s="43"/>
      <c r="S192" s="40"/>
      <c r="T192" s="44" t="str">
        <f aca="false">IF($O192="","",ROUND(N($R192)*N($S192),2))</f>
        <v/>
      </c>
      <c r="U192" s="36"/>
    </row>
    <row r="193" customFormat="false" ht="15.75" hidden="false" customHeight="true" outlineLevel="0" collapsed="false">
      <c r="O193" s="31"/>
      <c r="P193" s="42" t="str">
        <f aca="false">IF($O193="","",IFERROR(INDEX(基础资料!$R$6:$R$205,MATCH($O193,基础资料!$Q$6:$Q$205,0)),""))</f>
        <v/>
      </c>
      <c r="Q193" s="42" t="str">
        <f aca="false">IF($O193="","",IFERROR(INDEX(基础资料!$S$6:$S$205,MATCH($O193,基础资料!$Q$6:$Q$205,0)),""))</f>
        <v/>
      </c>
      <c r="R193" s="43"/>
      <c r="S193" s="40"/>
      <c r="T193" s="44" t="str">
        <f aca="false">IF($O193="","",ROUND(N($R193)*N($S193),2))</f>
        <v/>
      </c>
      <c r="U193" s="36"/>
    </row>
    <row r="194" customFormat="false" ht="15.75" hidden="false" customHeight="true" outlineLevel="0" collapsed="false">
      <c r="O194" s="31"/>
      <c r="P194" s="42" t="str">
        <f aca="false">IF($O194="","",IFERROR(INDEX(基础资料!$R$6:$R$205,MATCH($O194,基础资料!$Q$6:$Q$205,0)),""))</f>
        <v/>
      </c>
      <c r="Q194" s="42" t="str">
        <f aca="false">IF($O194="","",IFERROR(INDEX(基础资料!$S$6:$S$205,MATCH($O194,基础资料!$Q$6:$Q$205,0)),""))</f>
        <v/>
      </c>
      <c r="R194" s="43"/>
      <c r="S194" s="40"/>
      <c r="T194" s="44" t="str">
        <f aca="false">IF($O194="","",ROUND(N($R194)*N($S194),2))</f>
        <v/>
      </c>
      <c r="U194" s="36"/>
    </row>
    <row r="195" customFormat="false" ht="15.75" hidden="false" customHeight="true" outlineLevel="0" collapsed="false">
      <c r="O195" s="31"/>
      <c r="P195" s="42" t="str">
        <f aca="false">IF($O195="","",IFERROR(INDEX(基础资料!$R$6:$R$205,MATCH($O195,基础资料!$Q$6:$Q$205,0)),""))</f>
        <v/>
      </c>
      <c r="Q195" s="42" t="str">
        <f aca="false">IF($O195="","",IFERROR(INDEX(基础资料!$S$6:$S$205,MATCH($O195,基础资料!$Q$6:$Q$205,0)),""))</f>
        <v/>
      </c>
      <c r="R195" s="43"/>
      <c r="S195" s="40"/>
      <c r="T195" s="44" t="str">
        <f aca="false">IF($O195="","",ROUND(N($R195)*N($S195),2))</f>
        <v/>
      </c>
      <c r="U195" s="36"/>
    </row>
    <row r="196" customFormat="false" ht="15.75" hidden="false" customHeight="true" outlineLevel="0" collapsed="false">
      <c r="O196" s="31"/>
      <c r="P196" s="42" t="str">
        <f aca="false">IF($O196="","",IFERROR(INDEX(基础资料!$R$6:$R$205,MATCH($O196,基础资料!$Q$6:$Q$205,0)),""))</f>
        <v/>
      </c>
      <c r="Q196" s="42" t="str">
        <f aca="false">IF($O196="","",IFERROR(INDEX(基础资料!$S$6:$S$205,MATCH($O196,基础资料!$Q$6:$Q$205,0)),""))</f>
        <v/>
      </c>
      <c r="R196" s="43"/>
      <c r="S196" s="40"/>
      <c r="T196" s="44" t="str">
        <f aca="false">IF($O196="","",ROUND(N($R196)*N($S196),2))</f>
        <v/>
      </c>
      <c r="U196" s="36"/>
    </row>
    <row r="197" customFormat="false" ht="15.75" hidden="false" customHeight="true" outlineLevel="0" collapsed="false">
      <c r="O197" s="31"/>
      <c r="P197" s="42" t="str">
        <f aca="false">IF($O197="","",IFERROR(INDEX(基础资料!$R$6:$R$205,MATCH($O197,基础资料!$Q$6:$Q$205,0)),""))</f>
        <v/>
      </c>
      <c r="Q197" s="42" t="str">
        <f aca="false">IF($O197="","",IFERROR(INDEX(基础资料!$S$6:$S$205,MATCH($O197,基础资料!$Q$6:$Q$205,0)),""))</f>
        <v/>
      </c>
      <c r="R197" s="43"/>
      <c r="S197" s="40"/>
      <c r="T197" s="44" t="str">
        <f aca="false">IF($O197="","",ROUND(N($R197)*N($S197),2))</f>
        <v/>
      </c>
      <c r="U197" s="36"/>
    </row>
    <row r="198" customFormat="false" ht="15.75" hidden="false" customHeight="true" outlineLevel="0" collapsed="false">
      <c r="O198" s="31"/>
      <c r="P198" s="42" t="str">
        <f aca="false">IF($O198="","",IFERROR(INDEX(基础资料!$R$6:$R$205,MATCH($O198,基础资料!$Q$6:$Q$205,0)),""))</f>
        <v/>
      </c>
      <c r="Q198" s="42" t="str">
        <f aca="false">IF($O198="","",IFERROR(INDEX(基础资料!$S$6:$S$205,MATCH($O198,基础资料!$Q$6:$Q$205,0)),""))</f>
        <v/>
      </c>
      <c r="R198" s="43"/>
      <c r="S198" s="40"/>
      <c r="T198" s="44" t="str">
        <f aca="false">IF($O198="","",ROUND(N($R198)*N($S198),2))</f>
        <v/>
      </c>
      <c r="U198" s="36"/>
    </row>
    <row r="199" customFormat="false" ht="15.75" hidden="false" customHeight="true" outlineLevel="0" collapsed="false">
      <c r="O199" s="31"/>
      <c r="P199" s="42" t="str">
        <f aca="false">IF($O199="","",IFERROR(INDEX(基础资料!$R$6:$R$205,MATCH($O199,基础资料!$Q$6:$Q$205,0)),""))</f>
        <v/>
      </c>
      <c r="Q199" s="42" t="str">
        <f aca="false">IF($O199="","",IFERROR(INDEX(基础资料!$S$6:$S$205,MATCH($O199,基础资料!$Q$6:$Q$205,0)),""))</f>
        <v/>
      </c>
      <c r="R199" s="43"/>
      <c r="S199" s="40"/>
      <c r="T199" s="44" t="str">
        <f aca="false">IF($O199="","",ROUND(N($R199)*N($S199),2))</f>
        <v/>
      </c>
      <c r="U199" s="36"/>
    </row>
    <row r="200" customFormat="false" ht="15.75" hidden="false" customHeight="true" outlineLevel="0" collapsed="false">
      <c r="O200" s="31"/>
      <c r="P200" s="42" t="str">
        <f aca="false">IF($O200="","",IFERROR(INDEX(基础资料!$R$6:$R$205,MATCH($O200,基础资料!$Q$6:$Q$205,0)),""))</f>
        <v/>
      </c>
      <c r="Q200" s="42" t="str">
        <f aca="false">IF($O200="","",IFERROR(INDEX(基础资料!$S$6:$S$205,MATCH($O200,基础资料!$Q$6:$Q$205,0)),""))</f>
        <v/>
      </c>
      <c r="R200" s="43"/>
      <c r="S200" s="40"/>
      <c r="T200" s="44" t="str">
        <f aca="false">IF($O200="","",ROUND(N($R200)*N($S200),2))</f>
        <v/>
      </c>
      <c r="U200" s="36"/>
    </row>
    <row r="201" customFormat="false" ht="15.75" hidden="false" customHeight="true" outlineLevel="0" collapsed="false">
      <c r="O201" s="31"/>
      <c r="P201" s="42" t="str">
        <f aca="false">IF($O201="","",IFERROR(INDEX(基础资料!$R$6:$R$205,MATCH($O201,基础资料!$Q$6:$Q$205,0)),""))</f>
        <v/>
      </c>
      <c r="Q201" s="42" t="str">
        <f aca="false">IF($O201="","",IFERROR(INDEX(基础资料!$S$6:$S$205,MATCH($O201,基础资料!$Q$6:$Q$205,0)),""))</f>
        <v/>
      </c>
      <c r="R201" s="43"/>
      <c r="S201" s="40"/>
      <c r="T201" s="44" t="str">
        <f aca="false">IF($O201="","",ROUND(N($R201)*N($S201),2))</f>
        <v/>
      </c>
      <c r="U201" s="36"/>
    </row>
    <row r="202" customFormat="false" ht="15.75" hidden="false" customHeight="true" outlineLevel="0" collapsed="false">
      <c r="O202" s="31"/>
      <c r="P202" s="42" t="str">
        <f aca="false">IF($O202="","",IFERROR(INDEX(基础资料!$R$6:$R$205,MATCH($O202,基础资料!$Q$6:$Q$205,0)),""))</f>
        <v/>
      </c>
      <c r="Q202" s="42" t="str">
        <f aca="false">IF($O202="","",IFERROR(INDEX(基础资料!$S$6:$S$205,MATCH($O202,基础资料!$Q$6:$Q$205,0)),""))</f>
        <v/>
      </c>
      <c r="R202" s="43"/>
      <c r="S202" s="40"/>
      <c r="T202" s="44" t="str">
        <f aca="false">IF($O202="","",ROUND(N($R202)*N($S202),2))</f>
        <v/>
      </c>
      <c r="U202" s="36"/>
    </row>
    <row r="203" customFormat="false" ht="15.75" hidden="false" customHeight="true" outlineLevel="0" collapsed="false">
      <c r="O203" s="31"/>
      <c r="P203" s="42" t="str">
        <f aca="false">IF($O203="","",IFERROR(INDEX(基础资料!$R$6:$R$205,MATCH($O203,基础资料!$Q$6:$Q$205,0)),""))</f>
        <v/>
      </c>
      <c r="Q203" s="42" t="str">
        <f aca="false">IF($O203="","",IFERROR(INDEX(基础资料!$S$6:$S$205,MATCH($O203,基础资料!$Q$6:$Q$205,0)),""))</f>
        <v/>
      </c>
      <c r="R203" s="43"/>
      <c r="S203" s="40"/>
      <c r="T203" s="44" t="str">
        <f aca="false">IF($O203="","",ROUND(N($R203)*N($S203),2))</f>
        <v/>
      </c>
      <c r="U203" s="36"/>
    </row>
    <row r="204" customFormat="false" ht="15.75" hidden="false" customHeight="true" outlineLevel="0" collapsed="false">
      <c r="O204" s="31"/>
      <c r="P204" s="42" t="str">
        <f aca="false">IF($O204="","",IFERROR(INDEX(基础资料!$R$6:$R$205,MATCH($O204,基础资料!$Q$6:$Q$205,0)),""))</f>
        <v/>
      </c>
      <c r="Q204" s="42" t="str">
        <f aca="false">IF($O204="","",IFERROR(INDEX(基础资料!$S$6:$S$205,MATCH($O204,基础资料!$Q$6:$Q$205,0)),""))</f>
        <v/>
      </c>
      <c r="R204" s="43"/>
      <c r="S204" s="40"/>
      <c r="T204" s="44" t="str">
        <f aca="false">IF($O204="","",ROUND(N($R204)*N($S204),2))</f>
        <v/>
      </c>
      <c r="U204" s="36"/>
    </row>
    <row r="205" customFormat="false" ht="15.75" hidden="false" customHeight="true" outlineLevel="0" collapsed="false">
      <c r="O205" s="31"/>
      <c r="P205" s="42" t="str">
        <f aca="false">IF($O205="","",IFERROR(INDEX(基础资料!$R$6:$R$205,MATCH($O205,基础资料!$Q$6:$Q$205,0)),""))</f>
        <v/>
      </c>
      <c r="Q205" s="42" t="str">
        <f aca="false">IF($O205="","",IFERROR(INDEX(基础资料!$S$6:$S$205,MATCH($O205,基础资料!$Q$6:$Q$205,0)),""))</f>
        <v/>
      </c>
      <c r="R205" s="43"/>
      <c r="S205" s="40"/>
      <c r="T205" s="44" t="str">
        <f aca="false">IF($O205="","",ROUND(N($R205)*N($S205),2))</f>
        <v/>
      </c>
      <c r="U205" s="36"/>
    </row>
    <row r="207" customFormat="false" ht="74.6" hidden="false" customHeight="false" outlineLevel="0" collapsed="false">
      <c r="A207" s="37" t="s">
        <v>403</v>
      </c>
    </row>
  </sheetData>
  <mergeCells count="8">
    <mergeCell ref="A1:AB1"/>
    <mergeCell ref="A2:AB2"/>
    <mergeCell ref="A4:C4"/>
    <mergeCell ref="E4:H4"/>
    <mergeCell ref="J4:M4"/>
    <mergeCell ref="O4:U4"/>
    <mergeCell ref="W4:AB4"/>
    <mergeCell ref="W126:AB126"/>
  </mergeCells>
  <dataValidations count="10">
    <dataValidation allowBlank="true" error="必须选择下拉中已维护的值，手工输入会导致取数错位" errorStyle="stop" errorTitle="请从下拉中选择" operator="between" showDropDown="false" showErrorMessage="true" showInputMessage="false" sqref="A6:A35" type="list">
      <formula1>基础资料!$A$6:$A$35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6:E155" type="list">
      <formula1>基础资料!$Z$6:$Z$155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J6:J155" type="list">
      <formula1>基础资料!$AF$6:$AF$155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O6:O205" type="list">
      <formula1>基础资料!$Q$6:$Q$205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W6:W125" type="list">
      <formula1>科目参数!$A$6:$A$125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B6:B35" type="decimal">
      <formula1>-999999999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G6:G155" type="decimal">
      <formula1>-999999999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L6:L155" type="decimal">
      <formula1>-999999999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Z6:Z125" type="decimal">
      <formula1>-999999999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AA6:AA125" type="decimal">
      <formula1>-999999999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50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false" outlineLevel="0" max="12" min="11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1"/>
    <col collapsed="false" customWidth="true" hidden="false" outlineLevel="0" max="17" min="17" style="0" width="24"/>
    <col collapsed="false" customWidth="true" hidden="false" outlineLevel="0" max="18" min="18" style="0" width="14"/>
    <col collapsed="false" customWidth="true" hidden="false" outlineLevel="0" max="21" min="19" style="0" width="11"/>
    <col collapsed="false" customWidth="true" hidden="false" outlineLevel="0" max="23" min="22" style="0" width="8"/>
  </cols>
  <sheetData>
    <row r="1" customFormat="false" ht="25.5" hidden="false" customHeight="true" outlineLevel="0" collapsed="false">
      <c r="A1" s="23" t="s">
        <v>507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customFormat="false" ht="15" hidden="false" customHeight="true" outlineLevel="0" collapsed="false">
      <c r="A2" s="6" t="s">
        <v>508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customFormat="false" ht="15" hidden="false" customHeight="true" outlineLevel="0" collapsed="false">
      <c r="A3" s="45" t="s">
        <v>509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 t="s">
        <v>510</v>
      </c>
      <c r="O3" s="46"/>
      <c r="P3" s="46"/>
      <c r="Q3" s="46"/>
      <c r="R3" s="46"/>
      <c r="S3" s="46"/>
      <c r="T3" s="46"/>
      <c r="U3" s="46"/>
    </row>
    <row r="4" customFormat="false" ht="30" hidden="false" customHeight="true" outlineLevel="0" collapsed="false">
      <c r="A4" s="30" t="s">
        <v>511</v>
      </c>
      <c r="B4" s="30" t="s">
        <v>512</v>
      </c>
      <c r="C4" s="30" t="s">
        <v>513</v>
      </c>
      <c r="D4" s="30" t="s">
        <v>163</v>
      </c>
      <c r="E4" s="30" t="s">
        <v>164</v>
      </c>
      <c r="F4" s="30" t="s">
        <v>494</v>
      </c>
      <c r="G4" s="30" t="s">
        <v>514</v>
      </c>
      <c r="H4" s="30" t="s">
        <v>374</v>
      </c>
      <c r="I4" s="30" t="s">
        <v>319</v>
      </c>
      <c r="J4" s="30" t="s">
        <v>515</v>
      </c>
      <c r="K4" s="30" t="s">
        <v>516</v>
      </c>
      <c r="L4" s="30" t="s">
        <v>517</v>
      </c>
      <c r="M4" s="30" t="s">
        <v>518</v>
      </c>
      <c r="N4" s="46" t="s">
        <v>519</v>
      </c>
      <c r="O4" s="46" t="s">
        <v>520</v>
      </c>
      <c r="P4" s="46" t="s">
        <v>521</v>
      </c>
      <c r="Q4" s="46" t="s">
        <v>167</v>
      </c>
      <c r="R4" s="46" t="s">
        <v>522</v>
      </c>
      <c r="S4" s="46" t="s">
        <v>523</v>
      </c>
      <c r="T4" s="46" t="s">
        <v>524</v>
      </c>
      <c r="U4" s="46" t="s">
        <v>525</v>
      </c>
      <c r="V4" s="46" t="s">
        <v>526</v>
      </c>
      <c r="W4" s="46" t="s">
        <v>526</v>
      </c>
    </row>
    <row r="5" customFormat="false" ht="15.75" hidden="false" customHeight="true" outlineLevel="0" collapsed="false">
      <c r="A5" s="42" t="str">
        <f aca="false">IF($B5="","","ZJ"&amp;TEXT($B5,"yyyymm")&amp;"-"&amp;TEXT(ROW()-4,"000"))</f>
        <v>ZJ202601-001</v>
      </c>
      <c r="B5" s="41" t="n">
        <v>46030</v>
      </c>
      <c r="C5" s="42" t="str">
        <f aca="false">IF($B5="","",TEXT($B5,"yyyy-mm"))</f>
        <v>2026-01</v>
      </c>
      <c r="D5" s="42" t="str">
        <f aca="false">IF($E5="","",IFERROR(INDEX(科目参数!$L$6:$L$85,MATCH($E5,科目参数!$M$6:$M$85,0)),"⚠"))</f>
        <v>收入</v>
      </c>
      <c r="E5" s="33" t="s">
        <v>177</v>
      </c>
      <c r="F5" s="33" t="s">
        <v>450</v>
      </c>
      <c r="G5" s="32" t="s">
        <v>446</v>
      </c>
      <c r="H5" s="33" t="s">
        <v>463</v>
      </c>
      <c r="I5" s="33" t="s">
        <v>464</v>
      </c>
      <c r="J5" s="32" t="s">
        <v>527</v>
      </c>
      <c r="K5" s="40" t="n">
        <v>50000</v>
      </c>
      <c r="L5" s="40"/>
      <c r="M5" s="47" t="str">
        <f aca="false">IF($B5="","",IF(NOT(ISNUMBER($B5)),"日期不是日期格式",IF(YEAR($B5)&lt;&gt;首页!$B$3,"不在会计年度",IF($E5="","未选收支科目",IF($D5="⚠","收支科目不存在",IF($F5="","未选账户",IF($T5="","账户未设资金科目",IF(AND($D5="转账",$U5=""),"转入账户无效",IF(AND(N($K5)&gt;0,N($L5)&gt;0),"收支不能同时填",IF(AND($D5="收入",N($K5)&lt;=0),"收入金额须大于0",IF(AND($D5&lt;&gt;"收入",N($L5)&lt;=0),"支出金额须大于0",IF($O5="","借方科目缺失",IF($P5="","贷方科目缺失","√")))))))))))))</f>
        <v>√</v>
      </c>
      <c r="N5" s="48" t="n">
        <f aca="false">IF($B5="","",IF($D5="收入",N($K5),N($L5)))</f>
        <v>50000</v>
      </c>
      <c r="O5" s="49" t="str">
        <f aca="false">IF($B5="","",IF($D5="收入",$T5,IF($D5="转账",$U5,$S5)))</f>
        <v>1002</v>
      </c>
      <c r="P5" s="49" t="str">
        <f aca="false">IF($B5="","",IF($D5="收入",$S5,$T5))</f>
        <v>1122</v>
      </c>
      <c r="Q5" s="50" t="str">
        <f aca="false">IF($E5="","",IF($D5="转账","—",IFERROR(INDEX(科目参数!$P$6:$P$85,MATCH($E5,科目参数!$M$6:$M$85,0)),"")))</f>
        <v>销售商品、提供劳务收到的现金</v>
      </c>
      <c r="R5" s="48" t="n">
        <f aca="false">IF($B5="","",SUMIFS(期初数据!$B$6:$B$35,期初数据!$A$6:$A$35,$F5)+SUMIFS($N$5:$N5,$F$5:$F5,$F5,$D$5:$D5,"收入")-SUMIFS($N$5:$N5,$F$5:$F5,$F5,$D$5:$D5,"支出")-SUMIFS($N$5:$N5,$F$5:$F5,$F5,$D$5:$D5,"转账")+SUMIFS($N$5:$N5,$G$5:$G5,$F5,$D$5:$D5,"转账"))</f>
        <v>350000</v>
      </c>
      <c r="S5" s="49" t="str">
        <f aca="false">IF($E5="","",IFERROR(INDEX(科目参数!$N$6:$N$85,MATCH($E5,科目参数!$M$6:$M$85,0)),""))</f>
        <v>1122</v>
      </c>
      <c r="T5" s="49" t="str">
        <f aca="false">IF($F5="","",IFERROR(INDEX(基础资料!$C$6:$C$35,MATCH($F5,基础资料!$A$6:$A$35,0)),""))</f>
        <v>1002</v>
      </c>
      <c r="U5" s="49" t="str">
        <f aca="false">IF($G5="","",IFERROR(INDEX(基础资料!$C$6:$C$35,MATCH($G5,基础资料!$A$6:$A$35,0)),""))</f>
        <v/>
      </c>
      <c r="V5" s="49" t="n">
        <f aca="false">IF(AND($G5=客户对账单!$B$3,$E5="客户回款",$B5&gt;=客户对账单!$E$3,$B5&lt;=客户对账单!$H$3),COUNTIFS($G$5:$G5,客户对账单!$B$3,$E$5:$E5,"客户回款",$B$5:$B5,"&gt;="&amp;客户对账单!$E$3,$B$5:$B5,"&lt;="&amp;客户对账单!$H$3),"")</f>
        <v>1</v>
      </c>
      <c r="W5" s="49" t="str">
        <f aca="false">IF(AND($G5=供应商对账单!$B$3,$E5="供应商付款",$B5&gt;=供应商对账单!$E$3,$B5&lt;=供应商对账单!$H$3),COUNTIFS($G$5:$G5,供应商对账单!$B$3,$E$5:$E5,"供应商付款",$B$5:$B5,"&gt;="&amp;供应商对账单!$E$3,$B$5:$B5,"&lt;="&amp;供应商对账单!$H$3),"")</f>
        <v/>
      </c>
    </row>
    <row r="6" customFormat="false" ht="15.75" hidden="false" customHeight="true" outlineLevel="0" collapsed="false">
      <c r="A6" s="42" t="str">
        <f aca="false">IF($B6="","","ZJ"&amp;TEXT($B6,"yyyymm")&amp;"-"&amp;TEXT(ROW()-4,"000"))</f>
        <v>ZJ202601-002</v>
      </c>
      <c r="B6" s="41" t="n">
        <v>46032</v>
      </c>
      <c r="C6" s="42" t="str">
        <f aca="false">IF($B6="","",TEXT($B6,"yyyy-mm"))</f>
        <v>2026-01</v>
      </c>
      <c r="D6" s="42" t="str">
        <f aca="false">IF($E6="","",IFERROR(INDEX(科目参数!$L$6:$L$85,MATCH($E6,科目参数!$M$6:$M$85,0)),"⚠"))</f>
        <v>支出</v>
      </c>
      <c r="E6" s="33" t="s">
        <v>284</v>
      </c>
      <c r="F6" s="33" t="s">
        <v>170</v>
      </c>
      <c r="G6" s="36"/>
      <c r="H6" s="33" t="s">
        <v>473</v>
      </c>
      <c r="I6" s="33" t="s">
        <v>474</v>
      </c>
      <c r="J6" s="32" t="s">
        <v>528</v>
      </c>
      <c r="K6" s="40"/>
      <c r="L6" s="40" t="n">
        <v>800</v>
      </c>
      <c r="M6" s="47" t="str">
        <f aca="false">IF($B6="","",IF(NOT(ISNUMBER($B6)),"日期不是日期格式",IF(YEAR($B6)&lt;&gt;首页!$B$3,"不在会计年度",IF($E6="","未选收支科目",IF($D6="⚠","收支科目不存在",IF($F6="","未选账户",IF($T6="","账户未设资金科目",IF(AND($D6="转账",$U6=""),"转入账户无效",IF(AND(N($K6)&gt;0,N($L6)&gt;0),"收支不能同时填",IF(AND($D6="收入",N($K6)&lt;=0),"收入金额须大于0",IF(AND($D6&lt;&gt;"收入",N($L6)&lt;=0),"支出金额须大于0",IF($O6="","借方科目缺失",IF($P6="","贷方科目缺失","√")))))))))))))</f>
        <v>√</v>
      </c>
      <c r="N6" s="48" t="n">
        <f aca="false">IF($B6="","",IF($D6="收入",N($K6),N($L6)))</f>
        <v>800</v>
      </c>
      <c r="O6" s="49" t="str">
        <f aca="false">IF($B6="","",IF($D6="收入",$T6,IF($D6="转账",$U6,$S6)))</f>
        <v>6602</v>
      </c>
      <c r="P6" s="49" t="str">
        <f aca="false">IF($B6="","",IF($D6="收入",$S6,$T6))</f>
        <v>1001</v>
      </c>
      <c r="Q6" s="50" t="str">
        <f aca="false">IF($E6="","",IF($D6="转账","—",IFERROR(INDEX(科目参数!$P$6:$P$85,MATCH($E6,科目参数!$M$6:$M$85,0)),"")))</f>
        <v>支付的其他与经营活动有关的现金</v>
      </c>
      <c r="R6" s="48" t="n">
        <f aca="false">IF($B6="","",SUMIFS(期初数据!$B$6:$B$35,期初数据!$A$6:$A$35,$F6)+SUMIFS($N$5:$N6,$F$5:$F6,$F6,$D$5:$D6,"收入")-SUMIFS($N$5:$N6,$F$5:$F6,$F6,$D$5:$D6,"支出")-SUMIFS($N$5:$N6,$F$5:$F6,$F6,$D$5:$D6,"转账")+SUMIFS($N$5:$N6,$G$5:$G6,$F6,$D$5:$D6,"转账"))</f>
        <v>19200</v>
      </c>
      <c r="S6" s="49" t="str">
        <f aca="false">IF($E6="","",IFERROR(INDEX(科目参数!$N$6:$N$85,MATCH($E6,科目参数!$M$6:$M$85,0)),""))</f>
        <v>6602</v>
      </c>
      <c r="T6" s="49" t="str">
        <f aca="false">IF($F6="","",IFERROR(INDEX(基础资料!$C$6:$C$35,MATCH($F6,基础资料!$A$6:$A$35,0)),""))</f>
        <v>1001</v>
      </c>
      <c r="U6" s="49" t="str">
        <f aca="false">IF($G6="","",IFERROR(INDEX(基础资料!$C$6:$C$35,MATCH($G6,基础资料!$A$6:$A$35,0)),""))</f>
        <v/>
      </c>
      <c r="V6" s="49" t="str">
        <f aca="false">IF(AND($G6=客户对账单!$B$3,$E6="客户回款",$B6&gt;=客户对账单!$E$3,$B6&lt;=客户对账单!$H$3),COUNTIFS($G$5:$G6,客户对账单!$B$3,$E$5:$E6,"客户回款",$B$5:$B6,"&gt;="&amp;客户对账单!$E$3,$B$5:$B6,"&lt;="&amp;客户对账单!$H$3),"")</f>
        <v/>
      </c>
      <c r="W6" s="49" t="str">
        <f aca="false">IF(AND($G6=供应商对账单!$B$3,$E6="供应商付款",$B6&gt;=供应商对账单!$E$3,$B6&lt;=供应商对账单!$H$3),COUNTIFS($G$5:$G6,供应商对账单!$B$3,$E$5:$E6,"供应商付款",$B$5:$B6,"&gt;="&amp;供应商对账单!$E$3,$B$5:$B6,"&lt;="&amp;供应商对账单!$H$3),"")</f>
        <v/>
      </c>
    </row>
    <row r="7" customFormat="false" ht="15.75" hidden="false" customHeight="true" outlineLevel="0" collapsed="false">
      <c r="A7" s="42" t="str">
        <f aca="false">IF($B7="","","ZJ"&amp;TEXT($B7,"yyyymm")&amp;"-"&amp;TEXT(ROW()-4,"000"))</f>
        <v>ZJ202601-003</v>
      </c>
      <c r="B7" s="41" t="n">
        <v>46037</v>
      </c>
      <c r="C7" s="42" t="str">
        <f aca="false">IF($B7="","",TEXT($B7,"yyyy-mm"))</f>
        <v>2026-01</v>
      </c>
      <c r="D7" s="42" t="str">
        <f aca="false">IF($E7="","",IFERROR(INDEX(科目参数!$L$6:$L$85,MATCH($E7,科目参数!$M$6:$M$85,0)),"⚠"))</f>
        <v>支出</v>
      </c>
      <c r="E7" s="33" t="s">
        <v>249</v>
      </c>
      <c r="F7" s="33" t="s">
        <v>450</v>
      </c>
      <c r="G7" s="32" t="s">
        <v>448</v>
      </c>
      <c r="H7" s="33" t="s">
        <v>463</v>
      </c>
      <c r="I7" s="33" t="s">
        <v>464</v>
      </c>
      <c r="J7" s="32" t="s">
        <v>529</v>
      </c>
      <c r="K7" s="40"/>
      <c r="L7" s="40" t="n">
        <v>40000</v>
      </c>
      <c r="M7" s="47" t="str">
        <f aca="false">IF($B7="","",IF(NOT(ISNUMBER($B7)),"日期不是日期格式",IF(YEAR($B7)&lt;&gt;首页!$B$3,"不在会计年度",IF($E7="","未选收支科目",IF($D7="⚠","收支科目不存在",IF($F7="","未选账户",IF($T7="","账户未设资金科目",IF(AND($D7="转账",$U7=""),"转入账户无效",IF(AND(N($K7)&gt;0,N($L7)&gt;0),"收支不能同时填",IF(AND($D7="收入",N($K7)&lt;=0),"收入金额须大于0",IF(AND($D7&lt;&gt;"收入",N($L7)&lt;=0),"支出金额须大于0",IF($O7="","借方科目缺失",IF($P7="","贷方科目缺失","√")))))))))))))</f>
        <v>√</v>
      </c>
      <c r="N7" s="48" t="n">
        <f aca="false">IF($B7="","",IF($D7="收入",N($K7),N($L7)))</f>
        <v>40000</v>
      </c>
      <c r="O7" s="49" t="str">
        <f aca="false">IF($B7="","",IF($D7="收入",$T7,IF($D7="转账",$U7,$S7)))</f>
        <v>2202</v>
      </c>
      <c r="P7" s="49" t="str">
        <f aca="false">IF($B7="","",IF($D7="收入",$S7,$T7))</f>
        <v>1002</v>
      </c>
      <c r="Q7" s="50" t="str">
        <f aca="false">IF($E7="","",IF($D7="转账","—",IFERROR(INDEX(科目参数!$P$6:$P$85,MATCH($E7,科目参数!$M$6:$M$85,0)),"")))</f>
        <v>购买商品、接受劳务支付的现金</v>
      </c>
      <c r="R7" s="48" t="n">
        <f aca="false">IF($B7="","",SUMIFS(期初数据!$B$6:$B$35,期初数据!$A$6:$A$35,$F7)+SUMIFS($N$5:$N7,$F$5:$F7,$F7,$D$5:$D7,"收入")-SUMIFS($N$5:$N7,$F$5:$F7,$F7,$D$5:$D7,"支出")-SUMIFS($N$5:$N7,$F$5:$F7,$F7,$D$5:$D7,"转账")+SUMIFS($N$5:$N7,$G$5:$G7,$F7,$D$5:$D7,"转账"))</f>
        <v>310000</v>
      </c>
      <c r="S7" s="49" t="str">
        <f aca="false">IF($E7="","",IFERROR(INDEX(科目参数!$N$6:$N$85,MATCH($E7,科目参数!$M$6:$M$85,0)),""))</f>
        <v>2202</v>
      </c>
      <c r="T7" s="49" t="str">
        <f aca="false">IF($F7="","",IFERROR(INDEX(基础资料!$C$6:$C$35,MATCH($F7,基础资料!$A$6:$A$35,0)),""))</f>
        <v>1002</v>
      </c>
      <c r="U7" s="49" t="str">
        <f aca="false">IF($G7="","",IFERROR(INDEX(基础资料!$C$6:$C$35,MATCH($G7,基础资料!$A$6:$A$35,0)),""))</f>
        <v/>
      </c>
      <c r="V7" s="49" t="str">
        <f aca="false">IF(AND($G7=客户对账单!$B$3,$E7="客户回款",$B7&gt;=客户对账单!$E$3,$B7&lt;=客户对账单!$H$3),COUNTIFS($G$5:$G7,客户对账单!$B$3,$E$5:$E7,"客户回款",$B$5:$B7,"&gt;="&amp;客户对账单!$E$3,$B$5:$B7,"&lt;="&amp;客户对账单!$H$3),"")</f>
        <v/>
      </c>
      <c r="W7" s="49" t="n">
        <f aca="false">IF(AND($G7=供应商对账单!$B$3,$E7="供应商付款",$B7&gt;=供应商对账单!$E$3,$B7&lt;=供应商对账单!$H$3),COUNTIFS($G$5:$G7,供应商对账单!$B$3,$E$5:$E7,"供应商付款",$B$5:$B7,"&gt;="&amp;供应商对账单!$E$3,$B$5:$B7,"&lt;="&amp;供应商对账单!$H$3),"")</f>
        <v>1</v>
      </c>
    </row>
    <row r="8" customFormat="false" ht="15.75" hidden="false" customHeight="true" outlineLevel="0" collapsed="false">
      <c r="A8" s="42" t="str">
        <f aca="false">IF($B8="","","ZJ"&amp;TEXT($B8,"yyyymm")&amp;"-"&amp;TEXT(ROW()-4,"000"))</f>
        <v>ZJ202601-004</v>
      </c>
      <c r="B8" s="41" t="n">
        <v>46042</v>
      </c>
      <c r="C8" s="42" t="str">
        <f aca="false">IF($B8="","",TEXT($B8,"yyyy-mm"))</f>
        <v>2026-01</v>
      </c>
      <c r="D8" s="42" t="str">
        <f aca="false">IF($E8="","",IFERROR(INDEX(科目参数!$L$6:$L$85,MATCH($E8,科目参数!$M$6:$M$85,0)),"⚠"))</f>
        <v>支出</v>
      </c>
      <c r="E8" s="33" t="s">
        <v>277</v>
      </c>
      <c r="F8" s="33" t="s">
        <v>450</v>
      </c>
      <c r="G8" s="36"/>
      <c r="H8" s="33" t="s">
        <v>473</v>
      </c>
      <c r="I8" s="33" t="s">
        <v>474</v>
      </c>
      <c r="J8" s="36" t="s">
        <v>530</v>
      </c>
      <c r="K8" s="40"/>
      <c r="L8" s="40" t="n">
        <v>8000</v>
      </c>
      <c r="M8" s="47" t="str">
        <f aca="false">IF($B8="","",IF(NOT(ISNUMBER($B8)),"日期不是日期格式",IF(YEAR($B8)&lt;&gt;首页!$B$3,"不在会计年度",IF($E8="","未选收支科目",IF($D8="⚠","收支科目不存在",IF($F8="","未选账户",IF($T8="","账户未设资金科目",IF(AND($D8="转账",$U8=""),"转入账户无效",IF(AND(N($K8)&gt;0,N($L8)&gt;0),"收支不能同时填",IF(AND($D8="收入",N($K8)&lt;=0),"收入金额须大于0",IF(AND($D8&lt;&gt;"收入",N($L8)&lt;=0),"支出金额须大于0",IF($O8="","借方科目缺失",IF($P8="","贷方科目缺失","√")))))))))))))</f>
        <v>√</v>
      </c>
      <c r="N8" s="48" t="n">
        <f aca="false">IF($B8="","",IF($D8="收入",N($K8),N($L8)))</f>
        <v>8000</v>
      </c>
      <c r="O8" s="49" t="str">
        <f aca="false">IF($B8="","",IF($D8="收入",$T8,IF($D8="转账",$U8,$S8)))</f>
        <v>6602</v>
      </c>
      <c r="P8" s="49" t="str">
        <f aca="false">IF($B8="","",IF($D8="收入",$S8,$T8))</f>
        <v>1002</v>
      </c>
      <c r="Q8" s="50" t="str">
        <f aca="false">IF($E8="","",IF($D8="转账","—",IFERROR(INDEX(科目参数!$P$6:$P$85,MATCH($E8,科目参数!$M$6:$M$85,0)),"")))</f>
        <v>支付的其他与经营活动有关的现金</v>
      </c>
      <c r="R8" s="48" t="n">
        <f aca="false">IF($B8="","",SUMIFS(期初数据!$B$6:$B$35,期初数据!$A$6:$A$35,$F8)+SUMIFS($N$5:$N8,$F$5:$F8,$F8,$D$5:$D8,"收入")-SUMIFS($N$5:$N8,$F$5:$F8,$F8,$D$5:$D8,"支出")-SUMIFS($N$5:$N8,$F$5:$F8,$F8,$D$5:$D8,"转账")+SUMIFS($N$5:$N8,$G$5:$G8,$F8,$D$5:$D8,"转账"))</f>
        <v>302000</v>
      </c>
      <c r="S8" s="49" t="str">
        <f aca="false">IF($E8="","",IFERROR(INDEX(科目参数!$N$6:$N$85,MATCH($E8,科目参数!$M$6:$M$85,0)),""))</f>
        <v>6602</v>
      </c>
      <c r="T8" s="49" t="str">
        <f aca="false">IF($F8="","",IFERROR(INDEX(基础资料!$C$6:$C$35,MATCH($F8,基础资料!$A$6:$A$35,0)),""))</f>
        <v>1002</v>
      </c>
      <c r="U8" s="49" t="str">
        <f aca="false">IF($G8="","",IFERROR(INDEX(基础资料!$C$6:$C$35,MATCH($G8,基础资料!$A$6:$A$35,0)),""))</f>
        <v/>
      </c>
      <c r="V8" s="49" t="str">
        <f aca="false">IF(AND($G8=客户对账单!$B$3,$E8="客户回款",$B8&gt;=客户对账单!$E$3,$B8&lt;=客户对账单!$H$3),COUNTIFS($G$5:$G8,客户对账单!$B$3,$E$5:$E8,"客户回款",$B$5:$B8,"&gt;="&amp;客户对账单!$E$3,$B$5:$B8,"&lt;="&amp;客户对账单!$H$3),"")</f>
        <v/>
      </c>
      <c r="W8" s="49" t="str">
        <f aca="false">IF(AND($G8=供应商对账单!$B$3,$E8="供应商付款",$B8&gt;=供应商对账单!$E$3,$B8&lt;=供应商对账单!$H$3),COUNTIFS($G$5:$G8,供应商对账单!$B$3,$E$5:$E8,"供应商付款",$B$5:$B8,"&gt;="&amp;供应商对账单!$E$3,$B$5:$B8,"&lt;="&amp;供应商对账单!$H$3),"")</f>
        <v/>
      </c>
    </row>
    <row r="9" customFormat="false" ht="15.75" hidden="false" customHeight="true" outlineLevel="0" collapsed="false">
      <c r="A9" s="42" t="str">
        <f aca="false">IF($B9="","","ZJ"&amp;TEXT($B9,"yyyymm")&amp;"-"&amp;TEXT(ROW()-4,"000"))</f>
        <v>ZJ202601-005</v>
      </c>
      <c r="B9" s="41" t="n">
        <v>46047</v>
      </c>
      <c r="C9" s="42" t="str">
        <f aca="false">IF($B9="","",TEXT($B9,"yyyy-mm"))</f>
        <v>2026-01</v>
      </c>
      <c r="D9" s="42" t="str">
        <f aca="false">IF($E9="","",IFERROR(INDEX(科目参数!$L$6:$L$85,MATCH($E9,科目参数!$M$6:$M$85,0)),"⚠"))</f>
        <v>支出</v>
      </c>
      <c r="E9" s="33" t="s">
        <v>260</v>
      </c>
      <c r="F9" s="33" t="s">
        <v>450</v>
      </c>
      <c r="G9" s="36"/>
      <c r="H9" s="33" t="s">
        <v>463</v>
      </c>
      <c r="I9" s="33" t="s">
        <v>464</v>
      </c>
      <c r="J9" s="32" t="s">
        <v>531</v>
      </c>
      <c r="K9" s="40"/>
      <c r="L9" s="40" t="n">
        <v>15000</v>
      </c>
      <c r="M9" s="47" t="str">
        <f aca="false">IF($B9="","",IF(NOT(ISNUMBER($B9)),"日期不是日期格式",IF(YEAR($B9)&lt;&gt;首页!$B$3,"不在会计年度",IF($E9="","未选收支科目",IF($D9="⚠","收支科目不存在",IF($F9="","未选账户",IF($T9="","账户未设资金科目",IF(AND($D9="转账",$U9=""),"转入账户无效",IF(AND(N($K9)&gt;0,N($L9)&gt;0),"收支不能同时填",IF(AND($D9="收入",N($K9)&lt;=0),"收入金额须大于0",IF(AND($D9&lt;&gt;"收入",N($L9)&lt;=0),"支出金额须大于0",IF($O9="","借方科目缺失",IF($P9="","贷方科目缺失","√")))))))))))))</f>
        <v>√</v>
      </c>
      <c r="N9" s="48" t="n">
        <f aca="false">IF($B9="","",IF($D9="收入",N($K9),N($L9)))</f>
        <v>15000</v>
      </c>
      <c r="O9" s="49" t="str">
        <f aca="false">IF($B9="","",IF($D9="收入",$T9,IF($D9="转账",$U9,$S9)))</f>
        <v>2211</v>
      </c>
      <c r="P9" s="49" t="str">
        <f aca="false">IF($B9="","",IF($D9="收入",$S9,$T9))</f>
        <v>1002</v>
      </c>
      <c r="Q9" s="50" t="str">
        <f aca="false">IF($E9="","",IF($D9="转账","—",IFERROR(INDEX(科目参数!$P$6:$P$85,MATCH($E9,科目参数!$M$6:$M$85,0)),"")))</f>
        <v>支付给职工以及为职工支付的现金</v>
      </c>
      <c r="R9" s="48" t="n">
        <f aca="false">IF($B9="","",SUMIFS(期初数据!$B$6:$B$35,期初数据!$A$6:$A$35,$F9)+SUMIFS($N$5:$N9,$F$5:$F9,$F9,$D$5:$D9,"收入")-SUMIFS($N$5:$N9,$F$5:$F9,$F9,$D$5:$D9,"支出")-SUMIFS($N$5:$N9,$F$5:$F9,$F9,$D$5:$D9,"转账")+SUMIFS($N$5:$N9,$G$5:$G9,$F9,$D$5:$D9,"转账"))</f>
        <v>287000</v>
      </c>
      <c r="S9" s="49" t="str">
        <f aca="false">IF($E9="","",IFERROR(INDEX(科目参数!$N$6:$N$85,MATCH($E9,科目参数!$M$6:$M$85,0)),""))</f>
        <v>2211</v>
      </c>
      <c r="T9" s="49" t="str">
        <f aca="false">IF($F9="","",IFERROR(INDEX(基础资料!$C$6:$C$35,MATCH($F9,基础资料!$A$6:$A$35,0)),""))</f>
        <v>1002</v>
      </c>
      <c r="U9" s="49" t="str">
        <f aca="false">IF($G9="","",IFERROR(INDEX(基础资料!$C$6:$C$35,MATCH($G9,基础资料!$A$6:$A$35,0)),""))</f>
        <v/>
      </c>
      <c r="V9" s="49" t="str">
        <f aca="false">IF(AND($G9=客户对账单!$B$3,$E9="客户回款",$B9&gt;=客户对账单!$E$3,$B9&lt;=客户对账单!$H$3),COUNTIFS($G$5:$G9,客户对账单!$B$3,$E$5:$E9,"客户回款",$B$5:$B9,"&gt;="&amp;客户对账单!$E$3,$B$5:$B9,"&lt;="&amp;客户对账单!$H$3),"")</f>
        <v/>
      </c>
      <c r="W9" s="49" t="str">
        <f aca="false">IF(AND($G9=供应商对账单!$B$3,$E9="供应商付款",$B9&gt;=供应商对账单!$E$3,$B9&lt;=供应商对账单!$H$3),COUNTIFS($G$5:$G9,供应商对账单!$B$3,$E$5:$E9,"供应商付款",$B$5:$B9,"&gt;="&amp;供应商对账单!$E$3,$B$5:$B9,"&lt;="&amp;供应商对账单!$H$3),"")</f>
        <v/>
      </c>
    </row>
    <row r="10" customFormat="false" ht="15.75" hidden="false" customHeight="true" outlineLevel="0" collapsed="false">
      <c r="A10" s="42" t="str">
        <f aca="false">IF($B10="","","ZJ"&amp;TEXT($B10,"yyyymm")&amp;"-"&amp;TEXT(ROW()-4,"000"))</f>
        <v>ZJ202601-006</v>
      </c>
      <c r="B10" s="41" t="n">
        <v>46050</v>
      </c>
      <c r="C10" s="42" t="str">
        <f aca="false">IF($B10="","",TEXT($B10,"yyyy-mm"))</f>
        <v>2026-01</v>
      </c>
      <c r="D10" s="42" t="str">
        <f aca="false">IF($E10="","",IFERROR(INDEX(科目参数!$L$6:$L$85,MATCH($E10,科目参数!$M$6:$M$85,0)),"⚠"))</f>
        <v>收入</v>
      </c>
      <c r="E10" s="33" t="s">
        <v>177</v>
      </c>
      <c r="F10" s="33" t="s">
        <v>461</v>
      </c>
      <c r="G10" s="32" t="s">
        <v>458</v>
      </c>
      <c r="H10" s="33" t="s">
        <v>463</v>
      </c>
      <c r="I10" s="33" t="s">
        <v>464</v>
      </c>
      <c r="J10" s="32" t="s">
        <v>532</v>
      </c>
      <c r="K10" s="40" t="n">
        <v>11000</v>
      </c>
      <c r="L10" s="40"/>
      <c r="M10" s="47" t="str">
        <f aca="false">IF($B10="","",IF(NOT(ISNUMBER($B10)),"日期不是日期格式",IF(YEAR($B10)&lt;&gt;首页!$B$3,"不在会计年度",IF($E10="","未选收支科目",IF($D10="⚠","收支科目不存在",IF($F10="","未选账户",IF($T10="","账户未设资金科目",IF(AND($D10="转账",$U10=""),"转入账户无效",IF(AND(N($K10)&gt;0,N($L10)&gt;0),"收支不能同时填",IF(AND($D10="收入",N($K10)&lt;=0),"收入金额须大于0",IF(AND($D10&lt;&gt;"收入",N($L10)&lt;=0),"支出金额须大于0",IF($O10="","借方科目缺失",IF($P10="","贷方科目缺失","√")))))))))))))</f>
        <v>√</v>
      </c>
      <c r="N10" s="48" t="n">
        <f aca="false">IF($B10="","",IF($D10="收入",N($K10),N($L10)))</f>
        <v>11000</v>
      </c>
      <c r="O10" s="49" t="str">
        <f aca="false">IF($B10="","",IF($D10="收入",$T10,IF($D10="转账",$U10,$S10)))</f>
        <v>1012</v>
      </c>
      <c r="P10" s="49" t="str">
        <f aca="false">IF($B10="","",IF($D10="收入",$S10,$T10))</f>
        <v>1122</v>
      </c>
      <c r="Q10" s="50" t="str">
        <f aca="false">IF($E10="","",IF($D10="转账","—",IFERROR(INDEX(科目参数!$P$6:$P$85,MATCH($E10,科目参数!$M$6:$M$85,0)),"")))</f>
        <v>销售商品、提供劳务收到的现金</v>
      </c>
      <c r="R10" s="48" t="n">
        <f aca="false">IF($B10="","",SUMIFS(期初数据!$B$6:$B$35,期初数据!$A$6:$A$35,$F10)+SUMIFS($N$5:$N10,$F$5:$F10,$F10,$D$5:$D10,"收入")-SUMIFS($N$5:$N10,$F$5:$F10,$F10,$D$5:$D10,"支出")-SUMIFS($N$5:$N10,$F$5:$F10,$F10,$D$5:$D10,"转账")+SUMIFS($N$5:$N10,$G$5:$G10,$F10,$D$5:$D10,"转账"))</f>
        <v>26000</v>
      </c>
      <c r="S10" s="49" t="str">
        <f aca="false">IF($E10="","",IFERROR(INDEX(科目参数!$N$6:$N$85,MATCH($E10,科目参数!$M$6:$M$85,0)),""))</f>
        <v>1122</v>
      </c>
      <c r="T10" s="49" t="str">
        <f aca="false">IF($F10="","",IFERROR(INDEX(基础资料!$C$6:$C$35,MATCH($F10,基础资料!$A$6:$A$35,0)),""))</f>
        <v>1012</v>
      </c>
      <c r="U10" s="49" t="str">
        <f aca="false">IF($G10="","",IFERROR(INDEX(基础资料!$C$6:$C$35,MATCH($G10,基础资料!$A$6:$A$35,0)),""))</f>
        <v/>
      </c>
      <c r="V10" s="49" t="str">
        <f aca="false">IF(AND($G10=客户对账单!$B$3,$E10="客户回款",$B10&gt;=客户对账单!$E$3,$B10&lt;=客户对账单!$H$3),COUNTIFS($G$5:$G10,客户对账单!$B$3,$E$5:$E10,"客户回款",$B$5:$B10,"&gt;="&amp;客户对账单!$E$3,$B$5:$B10,"&lt;="&amp;客户对账单!$H$3),"")</f>
        <v/>
      </c>
      <c r="W10" s="49" t="str">
        <f aca="false">IF(AND($G10=供应商对账单!$B$3,$E10="供应商付款",$B10&gt;=供应商对账单!$E$3,$B10&lt;=供应商对账单!$H$3),COUNTIFS($G$5:$G10,供应商对账单!$B$3,$E$5:$E10,"供应商付款",$B$5:$B10,"&gt;="&amp;供应商对账单!$E$3,$B$5:$B10,"&lt;="&amp;供应商对账单!$H$3),"")</f>
        <v/>
      </c>
    </row>
    <row r="11" customFormat="false" ht="15.75" hidden="false" customHeight="true" outlineLevel="0" collapsed="false">
      <c r="A11" s="42" t="str">
        <f aca="false">IF($B11="","","ZJ"&amp;TEXT($B11,"yyyymm")&amp;"-"&amp;TEXT(ROW()-4,"000"))</f>
        <v>ZJ202601-007</v>
      </c>
      <c r="B11" s="41" t="n">
        <v>46052</v>
      </c>
      <c r="C11" s="42" t="str">
        <f aca="false">IF($B11="","",TEXT($B11,"yyyy-mm"))</f>
        <v>2026-01</v>
      </c>
      <c r="D11" s="42" t="str">
        <f aca="false">IF($E11="","",IFERROR(INDEX(科目参数!$L$6:$L$85,MATCH($E11,科目参数!$M$6:$M$85,0)),"⚠"))</f>
        <v>转账</v>
      </c>
      <c r="E11" s="33" t="s">
        <v>365</v>
      </c>
      <c r="F11" s="33" t="s">
        <v>450</v>
      </c>
      <c r="G11" s="32" t="s">
        <v>170</v>
      </c>
      <c r="H11" s="33" t="s">
        <v>463</v>
      </c>
      <c r="I11" s="33" t="s">
        <v>464</v>
      </c>
      <c r="J11" s="32" t="s">
        <v>533</v>
      </c>
      <c r="K11" s="40"/>
      <c r="L11" s="40" t="n">
        <v>5000</v>
      </c>
      <c r="M11" s="47" t="str">
        <f aca="false">IF($B11="","",IF(NOT(ISNUMBER($B11)),"日期不是日期格式",IF(YEAR($B11)&lt;&gt;首页!$B$3,"不在会计年度",IF($E11="","未选收支科目",IF($D11="⚠","收支科目不存在",IF($F11="","未选账户",IF($T11="","账户未设资金科目",IF(AND($D11="转账",$U11=""),"转入账户无效",IF(AND(N($K11)&gt;0,N($L11)&gt;0),"收支不能同时填",IF(AND($D11="收入",N($K11)&lt;=0),"收入金额须大于0",IF(AND($D11&lt;&gt;"收入",N($L11)&lt;=0),"支出金额须大于0",IF($O11="","借方科目缺失",IF($P11="","贷方科目缺失","√")))))))))))))</f>
        <v>√</v>
      </c>
      <c r="N11" s="48" t="n">
        <f aca="false">IF($B11="","",IF($D11="收入",N($K11),N($L11)))</f>
        <v>5000</v>
      </c>
      <c r="O11" s="49" t="str">
        <f aca="false">IF($B11="","",IF($D11="收入",$T11,IF($D11="转账",$U11,$S11)))</f>
        <v>1001</v>
      </c>
      <c r="P11" s="49" t="str">
        <f aca="false">IF($B11="","",IF($D11="收入",$S11,$T11))</f>
        <v>1002</v>
      </c>
      <c r="Q11" s="50" t="str">
        <f aca="false">IF($E11="","",IF($D11="转账","—",IFERROR(INDEX(科目参数!$P$6:$P$85,MATCH($E11,科目参数!$M$6:$M$85,0)),"")))</f>
        <v>—</v>
      </c>
      <c r="R11" s="48" t="n">
        <f aca="false">IF($B11="","",SUMIFS(期初数据!$B$6:$B$35,期初数据!$A$6:$A$35,$F11)+SUMIFS($N$5:$N11,$F$5:$F11,$F11,$D$5:$D11,"收入")-SUMIFS($N$5:$N11,$F$5:$F11,$F11,$D$5:$D11,"支出")-SUMIFS($N$5:$N11,$F$5:$F11,$F11,$D$5:$D11,"转账")+SUMIFS($N$5:$N11,$G$5:$G11,$F11,$D$5:$D11,"转账"))</f>
        <v>282000</v>
      </c>
      <c r="S11" s="49" t="n">
        <f aca="false">IF($E11="","",IFERROR(INDEX(科目参数!$N$6:$N$85,MATCH($E11,科目参数!$M$6:$M$85,0)),""))</f>
        <v>0</v>
      </c>
      <c r="T11" s="49" t="str">
        <f aca="false">IF($F11="","",IFERROR(INDEX(基础资料!$C$6:$C$35,MATCH($F11,基础资料!$A$6:$A$35,0)),""))</f>
        <v>1002</v>
      </c>
      <c r="U11" s="49" t="str">
        <f aca="false">IF($G11="","",IFERROR(INDEX(基础资料!$C$6:$C$35,MATCH($G11,基础资料!$A$6:$A$35,0)),""))</f>
        <v>1001</v>
      </c>
      <c r="V11" s="49" t="str">
        <f aca="false">IF(AND($G11=客户对账单!$B$3,$E11="客户回款",$B11&gt;=客户对账单!$E$3,$B11&lt;=客户对账单!$H$3),COUNTIFS($G$5:$G11,客户对账单!$B$3,$E$5:$E11,"客户回款",$B$5:$B11,"&gt;="&amp;客户对账单!$E$3,$B$5:$B11,"&lt;="&amp;客户对账单!$H$3),"")</f>
        <v/>
      </c>
      <c r="W11" s="49" t="str">
        <f aca="false">IF(AND($G11=供应商对账单!$B$3,$E11="供应商付款",$B11&gt;=供应商对账单!$E$3,$B11&lt;=供应商对账单!$H$3),COUNTIFS($G$5:$G11,供应商对账单!$B$3,$E$5:$E11,"供应商付款",$B$5:$B11,"&gt;="&amp;供应商对账单!$E$3,$B$5:$B11,"&lt;="&amp;供应商对账单!$H$3),"")</f>
        <v/>
      </c>
    </row>
    <row r="12" customFormat="false" ht="15.75" hidden="false" customHeight="true" outlineLevel="0" collapsed="false">
      <c r="A12" s="42" t="str">
        <f aca="false">IF($B12="","","ZJ"&amp;TEXT($B12,"yyyymm")&amp;"-"&amp;TEXT(ROW()-4,"000"))</f>
        <v/>
      </c>
      <c r="B12" s="41"/>
      <c r="C12" s="42" t="str">
        <f aca="false">IF($B12="","",TEXT($B12,"yyyy-mm"))</f>
        <v/>
      </c>
      <c r="D12" s="42" t="str">
        <f aca="false">IF($E12="","",IFERROR(INDEX(科目参数!$L$6:$L$85,MATCH($E12,科目参数!$M$6:$M$85,0)),"⚠"))</f>
        <v/>
      </c>
      <c r="E12" s="33"/>
      <c r="F12" s="33"/>
      <c r="G12" s="36"/>
      <c r="H12" s="33"/>
      <c r="I12" s="33"/>
      <c r="J12" s="36"/>
      <c r="K12" s="40"/>
      <c r="L12" s="40"/>
      <c r="M12" s="47" t="str">
        <f aca="false">IF($B12="","",IF(NOT(ISNUMBER($B12)),"日期不是日期格式",IF(YEAR($B12)&lt;&gt;首页!$B$3,"不在会计年度",IF($E12="","未选收支科目",IF($D12="⚠","收支科目不存在",IF($F12="","未选账户",IF($T12="","账户未设资金科目",IF(AND($D12="转账",$U12=""),"转入账户无效",IF(AND(N($K12)&gt;0,N($L12)&gt;0),"收支不能同时填",IF(AND($D12="收入",N($K12)&lt;=0),"收入金额须大于0",IF(AND($D12&lt;&gt;"收入",N($L12)&lt;=0),"支出金额须大于0",IF($O12="","借方科目缺失",IF($P12="","贷方科目缺失","√")))))))))))))</f>
        <v/>
      </c>
      <c r="N12" s="48" t="str">
        <f aca="false">IF($B12="","",IF($D12="收入",N($K12),N($L12)))</f>
        <v/>
      </c>
      <c r="O12" s="49" t="str">
        <f aca="false">IF($B12="","",IF($D12="收入",$T12,IF($D12="转账",$U12,$S12)))</f>
        <v/>
      </c>
      <c r="P12" s="49" t="str">
        <f aca="false">IF($B12="","",IF($D12="收入",$S12,$T12))</f>
        <v/>
      </c>
      <c r="Q12" s="50" t="str">
        <f aca="false">IF($E12="","",IF($D12="转账","—",IFERROR(INDEX(科目参数!$P$6:$P$85,MATCH($E12,科目参数!$M$6:$M$85,0)),"")))</f>
        <v/>
      </c>
      <c r="R12" s="48" t="str">
        <f aca="false">IF($B12="","",SUMIFS(期初数据!$B$6:$B$35,期初数据!$A$6:$A$35,$F12)+SUMIFS($N$5:$N12,$F$5:$F12,$F12,$D$5:$D12,"收入")-SUMIFS($N$5:$N12,$F$5:$F12,$F12,$D$5:$D12,"支出")-SUMIFS($N$5:$N12,$F$5:$F12,$F12,$D$5:$D12,"转账")+SUMIFS($N$5:$N12,$G$5:$G12,$F12,$D$5:$D12,"转账"))</f>
        <v/>
      </c>
      <c r="S12" s="49" t="str">
        <f aca="false">IF($E12="","",IFERROR(INDEX(科目参数!$N$6:$N$85,MATCH($E12,科目参数!$M$6:$M$85,0)),""))</f>
        <v/>
      </c>
      <c r="T12" s="49" t="str">
        <f aca="false">IF($F12="","",IFERROR(INDEX(基础资料!$C$6:$C$35,MATCH($F12,基础资料!$A$6:$A$35,0)),""))</f>
        <v/>
      </c>
      <c r="U12" s="49" t="str">
        <f aca="false">IF($G12="","",IFERROR(INDEX(基础资料!$C$6:$C$35,MATCH($G12,基础资料!$A$6:$A$35,0)),""))</f>
        <v/>
      </c>
      <c r="V12" s="49" t="str">
        <f aca="false">IF(AND($G12=客户对账单!$B$3,$E12="客户回款",$B12&gt;=客户对账单!$E$3,$B12&lt;=客户对账单!$H$3),COUNTIFS($G$5:$G12,客户对账单!$B$3,$E$5:$E12,"客户回款",$B$5:$B12,"&gt;="&amp;客户对账单!$E$3,$B$5:$B12,"&lt;="&amp;客户对账单!$H$3),"")</f>
        <v/>
      </c>
      <c r="W12" s="49" t="str">
        <f aca="false">IF(AND($G12=供应商对账单!$B$3,$E12="供应商付款",$B12&gt;=供应商对账单!$E$3,$B12&lt;=供应商对账单!$H$3),COUNTIFS($G$5:$G12,供应商对账单!$B$3,$E$5:$E12,"供应商付款",$B$5:$B12,"&gt;="&amp;供应商对账单!$E$3,$B$5:$B12,"&lt;="&amp;供应商对账单!$H$3),"")</f>
        <v/>
      </c>
    </row>
    <row r="13" customFormat="false" ht="15.75" hidden="false" customHeight="true" outlineLevel="0" collapsed="false">
      <c r="A13" s="42" t="str">
        <f aca="false">IF($B13="","","ZJ"&amp;TEXT($B13,"yyyymm")&amp;"-"&amp;TEXT(ROW()-4,"000"))</f>
        <v/>
      </c>
      <c r="B13" s="41"/>
      <c r="C13" s="42" t="str">
        <f aca="false">IF($B13="","",TEXT($B13,"yyyy-mm"))</f>
        <v/>
      </c>
      <c r="D13" s="42" t="str">
        <f aca="false">IF($E13="","",IFERROR(INDEX(科目参数!$L$6:$L$85,MATCH($E13,科目参数!$M$6:$M$85,0)),"⚠"))</f>
        <v/>
      </c>
      <c r="E13" s="33"/>
      <c r="F13" s="33"/>
      <c r="G13" s="36"/>
      <c r="H13" s="33"/>
      <c r="I13" s="33"/>
      <c r="J13" s="36"/>
      <c r="K13" s="40"/>
      <c r="L13" s="40"/>
      <c r="M13" s="47" t="str">
        <f aca="false">IF($B13="","",IF(NOT(ISNUMBER($B13)),"日期不是日期格式",IF(YEAR($B13)&lt;&gt;首页!$B$3,"不在会计年度",IF($E13="","未选收支科目",IF($D13="⚠","收支科目不存在",IF($F13="","未选账户",IF($T13="","账户未设资金科目",IF(AND($D13="转账",$U13=""),"转入账户无效",IF(AND(N($K13)&gt;0,N($L13)&gt;0),"收支不能同时填",IF(AND($D13="收入",N($K13)&lt;=0),"收入金额须大于0",IF(AND($D13&lt;&gt;"收入",N($L13)&lt;=0),"支出金额须大于0",IF($O13="","借方科目缺失",IF($P13="","贷方科目缺失","√")))))))))))))</f>
        <v/>
      </c>
      <c r="N13" s="48" t="str">
        <f aca="false">IF($B13="","",IF($D13="收入",N($K13),N($L13)))</f>
        <v/>
      </c>
      <c r="O13" s="49" t="str">
        <f aca="false">IF($B13="","",IF($D13="收入",$T13,IF($D13="转账",$U13,$S13)))</f>
        <v/>
      </c>
      <c r="P13" s="49" t="str">
        <f aca="false">IF($B13="","",IF($D13="收入",$S13,$T13))</f>
        <v/>
      </c>
      <c r="Q13" s="50" t="str">
        <f aca="false">IF($E13="","",IF($D13="转账","—",IFERROR(INDEX(科目参数!$P$6:$P$85,MATCH($E13,科目参数!$M$6:$M$85,0)),"")))</f>
        <v/>
      </c>
      <c r="R13" s="48" t="str">
        <f aca="false">IF($B13="","",SUMIFS(期初数据!$B$6:$B$35,期初数据!$A$6:$A$35,$F13)+SUMIFS($N$5:$N13,$F$5:$F13,$F13,$D$5:$D13,"收入")-SUMIFS($N$5:$N13,$F$5:$F13,$F13,$D$5:$D13,"支出")-SUMIFS($N$5:$N13,$F$5:$F13,$F13,$D$5:$D13,"转账")+SUMIFS($N$5:$N13,$G$5:$G13,$F13,$D$5:$D13,"转账"))</f>
        <v/>
      </c>
      <c r="S13" s="49" t="str">
        <f aca="false">IF($E13="","",IFERROR(INDEX(科目参数!$N$6:$N$85,MATCH($E13,科目参数!$M$6:$M$85,0)),""))</f>
        <v/>
      </c>
      <c r="T13" s="49" t="str">
        <f aca="false">IF($F13="","",IFERROR(INDEX(基础资料!$C$6:$C$35,MATCH($F13,基础资料!$A$6:$A$35,0)),""))</f>
        <v/>
      </c>
      <c r="U13" s="49" t="str">
        <f aca="false">IF($G13="","",IFERROR(INDEX(基础资料!$C$6:$C$35,MATCH($G13,基础资料!$A$6:$A$35,0)),""))</f>
        <v/>
      </c>
      <c r="V13" s="49" t="str">
        <f aca="false">IF(AND($G13=客户对账单!$B$3,$E13="客户回款",$B13&gt;=客户对账单!$E$3,$B13&lt;=客户对账单!$H$3),COUNTIFS($G$5:$G13,客户对账单!$B$3,$E$5:$E13,"客户回款",$B$5:$B13,"&gt;="&amp;客户对账单!$E$3,$B$5:$B13,"&lt;="&amp;客户对账单!$H$3),"")</f>
        <v/>
      </c>
      <c r="W13" s="49" t="str">
        <f aca="false">IF(AND($G13=供应商对账单!$B$3,$E13="供应商付款",$B13&gt;=供应商对账单!$E$3,$B13&lt;=供应商对账单!$H$3),COUNTIFS($G$5:$G13,供应商对账单!$B$3,$E$5:$E13,"供应商付款",$B$5:$B13,"&gt;="&amp;供应商对账单!$E$3,$B$5:$B13,"&lt;="&amp;供应商对账单!$H$3),"")</f>
        <v/>
      </c>
    </row>
    <row r="14" customFormat="false" ht="15.75" hidden="false" customHeight="true" outlineLevel="0" collapsed="false">
      <c r="A14" s="42" t="str">
        <f aca="false">IF($B14="","","ZJ"&amp;TEXT($B14,"yyyymm")&amp;"-"&amp;TEXT(ROW()-4,"000"))</f>
        <v/>
      </c>
      <c r="B14" s="41"/>
      <c r="C14" s="42" t="str">
        <f aca="false">IF($B14="","",TEXT($B14,"yyyy-mm"))</f>
        <v/>
      </c>
      <c r="D14" s="42" t="str">
        <f aca="false">IF($E14="","",IFERROR(INDEX(科目参数!$L$6:$L$85,MATCH($E14,科目参数!$M$6:$M$85,0)),"⚠"))</f>
        <v/>
      </c>
      <c r="E14" s="33"/>
      <c r="F14" s="33"/>
      <c r="G14" s="36"/>
      <c r="H14" s="33"/>
      <c r="I14" s="33"/>
      <c r="J14" s="36"/>
      <c r="K14" s="40"/>
      <c r="L14" s="40"/>
      <c r="M14" s="47" t="str">
        <f aca="false">IF($B14="","",IF(NOT(ISNUMBER($B14)),"日期不是日期格式",IF(YEAR($B14)&lt;&gt;首页!$B$3,"不在会计年度",IF($E14="","未选收支科目",IF($D14="⚠","收支科目不存在",IF($F14="","未选账户",IF($T14="","账户未设资金科目",IF(AND($D14="转账",$U14=""),"转入账户无效",IF(AND(N($K14)&gt;0,N($L14)&gt;0),"收支不能同时填",IF(AND($D14="收入",N($K14)&lt;=0),"收入金额须大于0",IF(AND($D14&lt;&gt;"收入",N($L14)&lt;=0),"支出金额须大于0",IF($O14="","借方科目缺失",IF($P14="","贷方科目缺失","√")))))))))))))</f>
        <v/>
      </c>
      <c r="N14" s="48" t="str">
        <f aca="false">IF($B14="","",IF($D14="收入",N($K14),N($L14)))</f>
        <v/>
      </c>
      <c r="O14" s="49" t="str">
        <f aca="false">IF($B14="","",IF($D14="收入",$T14,IF($D14="转账",$U14,$S14)))</f>
        <v/>
      </c>
      <c r="P14" s="49" t="str">
        <f aca="false">IF($B14="","",IF($D14="收入",$S14,$T14))</f>
        <v/>
      </c>
      <c r="Q14" s="50" t="str">
        <f aca="false">IF($E14="","",IF($D14="转账","—",IFERROR(INDEX(科目参数!$P$6:$P$85,MATCH($E14,科目参数!$M$6:$M$85,0)),"")))</f>
        <v/>
      </c>
      <c r="R14" s="48" t="str">
        <f aca="false">IF($B14="","",SUMIFS(期初数据!$B$6:$B$35,期初数据!$A$6:$A$35,$F14)+SUMIFS($N$5:$N14,$F$5:$F14,$F14,$D$5:$D14,"收入")-SUMIFS($N$5:$N14,$F$5:$F14,$F14,$D$5:$D14,"支出")-SUMIFS($N$5:$N14,$F$5:$F14,$F14,$D$5:$D14,"转账")+SUMIFS($N$5:$N14,$G$5:$G14,$F14,$D$5:$D14,"转账"))</f>
        <v/>
      </c>
      <c r="S14" s="49" t="str">
        <f aca="false">IF($E14="","",IFERROR(INDEX(科目参数!$N$6:$N$85,MATCH($E14,科目参数!$M$6:$M$85,0)),""))</f>
        <v/>
      </c>
      <c r="T14" s="49" t="str">
        <f aca="false">IF($F14="","",IFERROR(INDEX(基础资料!$C$6:$C$35,MATCH($F14,基础资料!$A$6:$A$35,0)),""))</f>
        <v/>
      </c>
      <c r="U14" s="49" t="str">
        <f aca="false">IF($G14="","",IFERROR(INDEX(基础资料!$C$6:$C$35,MATCH($G14,基础资料!$A$6:$A$35,0)),""))</f>
        <v/>
      </c>
      <c r="V14" s="49" t="str">
        <f aca="false">IF(AND($G14=客户对账单!$B$3,$E14="客户回款",$B14&gt;=客户对账单!$E$3,$B14&lt;=客户对账单!$H$3),COUNTIFS($G$5:$G14,客户对账单!$B$3,$E$5:$E14,"客户回款",$B$5:$B14,"&gt;="&amp;客户对账单!$E$3,$B$5:$B14,"&lt;="&amp;客户对账单!$H$3),"")</f>
        <v/>
      </c>
      <c r="W14" s="49" t="str">
        <f aca="false">IF(AND($G14=供应商对账单!$B$3,$E14="供应商付款",$B14&gt;=供应商对账单!$E$3,$B14&lt;=供应商对账单!$H$3),COUNTIFS($G$5:$G14,供应商对账单!$B$3,$E$5:$E14,"供应商付款",$B$5:$B14,"&gt;="&amp;供应商对账单!$E$3,$B$5:$B14,"&lt;="&amp;供应商对账单!$H$3),"")</f>
        <v/>
      </c>
    </row>
    <row r="15" customFormat="false" ht="15.75" hidden="false" customHeight="true" outlineLevel="0" collapsed="false">
      <c r="A15" s="42" t="str">
        <f aca="false">IF($B15="","","ZJ"&amp;TEXT($B15,"yyyymm")&amp;"-"&amp;TEXT(ROW()-4,"000"))</f>
        <v/>
      </c>
      <c r="B15" s="41"/>
      <c r="C15" s="42" t="str">
        <f aca="false">IF($B15="","",TEXT($B15,"yyyy-mm"))</f>
        <v/>
      </c>
      <c r="D15" s="42" t="str">
        <f aca="false">IF($E15="","",IFERROR(INDEX(科目参数!$L$6:$L$85,MATCH($E15,科目参数!$M$6:$M$85,0)),"⚠"))</f>
        <v/>
      </c>
      <c r="E15" s="33"/>
      <c r="F15" s="33"/>
      <c r="G15" s="36"/>
      <c r="H15" s="33"/>
      <c r="I15" s="33"/>
      <c r="J15" s="36"/>
      <c r="K15" s="40"/>
      <c r="L15" s="40"/>
      <c r="M15" s="47" t="str">
        <f aca="false">IF($B15="","",IF(NOT(ISNUMBER($B15)),"日期不是日期格式",IF(YEAR($B15)&lt;&gt;首页!$B$3,"不在会计年度",IF($E15="","未选收支科目",IF($D15="⚠","收支科目不存在",IF($F15="","未选账户",IF($T15="","账户未设资金科目",IF(AND($D15="转账",$U15=""),"转入账户无效",IF(AND(N($K15)&gt;0,N($L15)&gt;0),"收支不能同时填",IF(AND($D15="收入",N($K15)&lt;=0),"收入金额须大于0",IF(AND($D15&lt;&gt;"收入",N($L15)&lt;=0),"支出金额须大于0",IF($O15="","借方科目缺失",IF($P15="","贷方科目缺失","√")))))))))))))</f>
        <v/>
      </c>
      <c r="N15" s="48" t="str">
        <f aca="false">IF($B15="","",IF($D15="收入",N($K15),N($L15)))</f>
        <v/>
      </c>
      <c r="O15" s="49" t="str">
        <f aca="false">IF($B15="","",IF($D15="收入",$T15,IF($D15="转账",$U15,$S15)))</f>
        <v/>
      </c>
      <c r="P15" s="49" t="str">
        <f aca="false">IF($B15="","",IF($D15="收入",$S15,$T15))</f>
        <v/>
      </c>
      <c r="Q15" s="50" t="str">
        <f aca="false">IF($E15="","",IF($D15="转账","—",IFERROR(INDEX(科目参数!$P$6:$P$85,MATCH($E15,科目参数!$M$6:$M$85,0)),"")))</f>
        <v/>
      </c>
      <c r="R15" s="48" t="str">
        <f aca="false">IF($B15="","",SUMIFS(期初数据!$B$6:$B$35,期初数据!$A$6:$A$35,$F15)+SUMIFS($N$5:$N15,$F$5:$F15,$F15,$D$5:$D15,"收入")-SUMIFS($N$5:$N15,$F$5:$F15,$F15,$D$5:$D15,"支出")-SUMIFS($N$5:$N15,$F$5:$F15,$F15,$D$5:$D15,"转账")+SUMIFS($N$5:$N15,$G$5:$G15,$F15,$D$5:$D15,"转账"))</f>
        <v/>
      </c>
      <c r="S15" s="49" t="str">
        <f aca="false">IF($E15="","",IFERROR(INDEX(科目参数!$N$6:$N$85,MATCH($E15,科目参数!$M$6:$M$85,0)),""))</f>
        <v/>
      </c>
      <c r="T15" s="49" t="str">
        <f aca="false">IF($F15="","",IFERROR(INDEX(基础资料!$C$6:$C$35,MATCH($F15,基础资料!$A$6:$A$35,0)),""))</f>
        <v/>
      </c>
      <c r="U15" s="49" t="str">
        <f aca="false">IF($G15="","",IFERROR(INDEX(基础资料!$C$6:$C$35,MATCH($G15,基础资料!$A$6:$A$35,0)),""))</f>
        <v/>
      </c>
      <c r="V15" s="49" t="str">
        <f aca="false">IF(AND($G15=客户对账单!$B$3,$E15="客户回款",$B15&gt;=客户对账单!$E$3,$B15&lt;=客户对账单!$H$3),COUNTIFS($G$5:$G15,客户对账单!$B$3,$E$5:$E15,"客户回款",$B$5:$B15,"&gt;="&amp;客户对账单!$E$3,$B$5:$B15,"&lt;="&amp;客户对账单!$H$3),"")</f>
        <v/>
      </c>
      <c r="W15" s="49" t="str">
        <f aca="false">IF(AND($G15=供应商对账单!$B$3,$E15="供应商付款",$B15&gt;=供应商对账单!$E$3,$B15&lt;=供应商对账单!$H$3),COUNTIFS($G$5:$G15,供应商对账单!$B$3,$E$5:$E15,"供应商付款",$B$5:$B15,"&gt;="&amp;供应商对账单!$E$3,$B$5:$B15,"&lt;="&amp;供应商对账单!$H$3),"")</f>
        <v/>
      </c>
    </row>
    <row r="16" customFormat="false" ht="15.75" hidden="false" customHeight="true" outlineLevel="0" collapsed="false">
      <c r="A16" s="42" t="str">
        <f aca="false">IF($B16="","","ZJ"&amp;TEXT($B16,"yyyymm")&amp;"-"&amp;TEXT(ROW()-4,"000"))</f>
        <v/>
      </c>
      <c r="B16" s="41"/>
      <c r="C16" s="42" t="str">
        <f aca="false">IF($B16="","",TEXT($B16,"yyyy-mm"))</f>
        <v/>
      </c>
      <c r="D16" s="42" t="str">
        <f aca="false">IF($E16="","",IFERROR(INDEX(科目参数!$L$6:$L$85,MATCH($E16,科目参数!$M$6:$M$85,0)),"⚠"))</f>
        <v/>
      </c>
      <c r="E16" s="33"/>
      <c r="F16" s="33"/>
      <c r="G16" s="36"/>
      <c r="H16" s="33"/>
      <c r="I16" s="33"/>
      <c r="J16" s="36"/>
      <c r="K16" s="40"/>
      <c r="L16" s="40"/>
      <c r="M16" s="47" t="str">
        <f aca="false">IF($B16="","",IF(NOT(ISNUMBER($B16)),"日期不是日期格式",IF(YEAR($B16)&lt;&gt;首页!$B$3,"不在会计年度",IF($E16="","未选收支科目",IF($D16="⚠","收支科目不存在",IF($F16="","未选账户",IF($T16="","账户未设资金科目",IF(AND($D16="转账",$U16=""),"转入账户无效",IF(AND(N($K16)&gt;0,N($L16)&gt;0),"收支不能同时填",IF(AND($D16="收入",N($K16)&lt;=0),"收入金额须大于0",IF(AND($D16&lt;&gt;"收入",N($L16)&lt;=0),"支出金额须大于0",IF($O16="","借方科目缺失",IF($P16="","贷方科目缺失","√")))))))))))))</f>
        <v/>
      </c>
      <c r="N16" s="48" t="str">
        <f aca="false">IF($B16="","",IF($D16="收入",N($K16),N($L16)))</f>
        <v/>
      </c>
      <c r="O16" s="49" t="str">
        <f aca="false">IF($B16="","",IF($D16="收入",$T16,IF($D16="转账",$U16,$S16)))</f>
        <v/>
      </c>
      <c r="P16" s="49" t="str">
        <f aca="false">IF($B16="","",IF($D16="收入",$S16,$T16))</f>
        <v/>
      </c>
      <c r="Q16" s="50" t="str">
        <f aca="false">IF($E16="","",IF($D16="转账","—",IFERROR(INDEX(科目参数!$P$6:$P$85,MATCH($E16,科目参数!$M$6:$M$85,0)),"")))</f>
        <v/>
      </c>
      <c r="R16" s="48" t="str">
        <f aca="false">IF($B16="","",SUMIFS(期初数据!$B$6:$B$35,期初数据!$A$6:$A$35,$F16)+SUMIFS($N$5:$N16,$F$5:$F16,$F16,$D$5:$D16,"收入")-SUMIFS($N$5:$N16,$F$5:$F16,$F16,$D$5:$D16,"支出")-SUMIFS($N$5:$N16,$F$5:$F16,$F16,$D$5:$D16,"转账")+SUMIFS($N$5:$N16,$G$5:$G16,$F16,$D$5:$D16,"转账"))</f>
        <v/>
      </c>
      <c r="S16" s="49" t="str">
        <f aca="false">IF($E16="","",IFERROR(INDEX(科目参数!$N$6:$N$85,MATCH($E16,科目参数!$M$6:$M$85,0)),""))</f>
        <v/>
      </c>
      <c r="T16" s="49" t="str">
        <f aca="false">IF($F16="","",IFERROR(INDEX(基础资料!$C$6:$C$35,MATCH($F16,基础资料!$A$6:$A$35,0)),""))</f>
        <v/>
      </c>
      <c r="U16" s="49" t="str">
        <f aca="false">IF($G16="","",IFERROR(INDEX(基础资料!$C$6:$C$35,MATCH($G16,基础资料!$A$6:$A$35,0)),""))</f>
        <v/>
      </c>
      <c r="V16" s="49" t="str">
        <f aca="false">IF(AND($G16=客户对账单!$B$3,$E16="客户回款",$B16&gt;=客户对账单!$E$3,$B16&lt;=客户对账单!$H$3),COUNTIFS($G$5:$G16,客户对账单!$B$3,$E$5:$E16,"客户回款",$B$5:$B16,"&gt;="&amp;客户对账单!$E$3,$B$5:$B16,"&lt;="&amp;客户对账单!$H$3),"")</f>
        <v/>
      </c>
      <c r="W16" s="49" t="str">
        <f aca="false">IF(AND($G16=供应商对账单!$B$3,$E16="供应商付款",$B16&gt;=供应商对账单!$E$3,$B16&lt;=供应商对账单!$H$3),COUNTIFS($G$5:$G16,供应商对账单!$B$3,$E$5:$E16,"供应商付款",$B$5:$B16,"&gt;="&amp;供应商对账单!$E$3,$B$5:$B16,"&lt;="&amp;供应商对账单!$H$3),"")</f>
        <v/>
      </c>
    </row>
    <row r="17" customFormat="false" ht="15.75" hidden="false" customHeight="true" outlineLevel="0" collapsed="false">
      <c r="A17" s="42" t="str">
        <f aca="false">IF($B17="","","ZJ"&amp;TEXT($B17,"yyyymm")&amp;"-"&amp;TEXT(ROW()-4,"000"))</f>
        <v/>
      </c>
      <c r="B17" s="41"/>
      <c r="C17" s="42" t="str">
        <f aca="false">IF($B17="","",TEXT($B17,"yyyy-mm"))</f>
        <v/>
      </c>
      <c r="D17" s="42" t="str">
        <f aca="false">IF($E17="","",IFERROR(INDEX(科目参数!$L$6:$L$85,MATCH($E17,科目参数!$M$6:$M$85,0)),"⚠"))</f>
        <v/>
      </c>
      <c r="E17" s="33"/>
      <c r="F17" s="33"/>
      <c r="G17" s="36"/>
      <c r="H17" s="33"/>
      <c r="I17" s="33"/>
      <c r="J17" s="36"/>
      <c r="K17" s="40"/>
      <c r="L17" s="40"/>
      <c r="M17" s="47" t="str">
        <f aca="false">IF($B17="","",IF(NOT(ISNUMBER($B17)),"日期不是日期格式",IF(YEAR($B17)&lt;&gt;首页!$B$3,"不在会计年度",IF($E17="","未选收支科目",IF($D17="⚠","收支科目不存在",IF($F17="","未选账户",IF($T17="","账户未设资金科目",IF(AND($D17="转账",$U17=""),"转入账户无效",IF(AND(N($K17)&gt;0,N($L17)&gt;0),"收支不能同时填",IF(AND($D17="收入",N($K17)&lt;=0),"收入金额须大于0",IF(AND($D17&lt;&gt;"收入",N($L17)&lt;=0),"支出金额须大于0",IF($O17="","借方科目缺失",IF($P17="","贷方科目缺失","√")))))))))))))</f>
        <v/>
      </c>
      <c r="N17" s="48" t="str">
        <f aca="false">IF($B17="","",IF($D17="收入",N($K17),N($L17)))</f>
        <v/>
      </c>
      <c r="O17" s="49" t="str">
        <f aca="false">IF($B17="","",IF($D17="收入",$T17,IF($D17="转账",$U17,$S17)))</f>
        <v/>
      </c>
      <c r="P17" s="49" t="str">
        <f aca="false">IF($B17="","",IF($D17="收入",$S17,$T17))</f>
        <v/>
      </c>
      <c r="Q17" s="50" t="str">
        <f aca="false">IF($E17="","",IF($D17="转账","—",IFERROR(INDEX(科目参数!$P$6:$P$85,MATCH($E17,科目参数!$M$6:$M$85,0)),"")))</f>
        <v/>
      </c>
      <c r="R17" s="48" t="str">
        <f aca="false">IF($B17="","",SUMIFS(期初数据!$B$6:$B$35,期初数据!$A$6:$A$35,$F17)+SUMIFS($N$5:$N17,$F$5:$F17,$F17,$D$5:$D17,"收入")-SUMIFS($N$5:$N17,$F$5:$F17,$F17,$D$5:$D17,"支出")-SUMIFS($N$5:$N17,$F$5:$F17,$F17,$D$5:$D17,"转账")+SUMIFS($N$5:$N17,$G$5:$G17,$F17,$D$5:$D17,"转账"))</f>
        <v/>
      </c>
      <c r="S17" s="49" t="str">
        <f aca="false">IF($E17="","",IFERROR(INDEX(科目参数!$N$6:$N$85,MATCH($E17,科目参数!$M$6:$M$85,0)),""))</f>
        <v/>
      </c>
      <c r="T17" s="49" t="str">
        <f aca="false">IF($F17="","",IFERROR(INDEX(基础资料!$C$6:$C$35,MATCH($F17,基础资料!$A$6:$A$35,0)),""))</f>
        <v/>
      </c>
      <c r="U17" s="49" t="str">
        <f aca="false">IF($G17="","",IFERROR(INDEX(基础资料!$C$6:$C$35,MATCH($G17,基础资料!$A$6:$A$35,0)),""))</f>
        <v/>
      </c>
      <c r="V17" s="49" t="str">
        <f aca="false">IF(AND($G17=客户对账单!$B$3,$E17="客户回款",$B17&gt;=客户对账单!$E$3,$B17&lt;=客户对账单!$H$3),COUNTIFS($G$5:$G17,客户对账单!$B$3,$E$5:$E17,"客户回款",$B$5:$B17,"&gt;="&amp;客户对账单!$E$3,$B$5:$B17,"&lt;="&amp;客户对账单!$H$3),"")</f>
        <v/>
      </c>
      <c r="W17" s="49" t="str">
        <f aca="false">IF(AND($G17=供应商对账单!$B$3,$E17="供应商付款",$B17&gt;=供应商对账单!$E$3,$B17&lt;=供应商对账单!$H$3),COUNTIFS($G$5:$G17,供应商对账单!$B$3,$E$5:$E17,"供应商付款",$B$5:$B17,"&gt;="&amp;供应商对账单!$E$3,$B$5:$B17,"&lt;="&amp;供应商对账单!$H$3),"")</f>
        <v/>
      </c>
    </row>
    <row r="18" customFormat="false" ht="15.75" hidden="false" customHeight="true" outlineLevel="0" collapsed="false">
      <c r="A18" s="42" t="str">
        <f aca="false">IF($B18="","","ZJ"&amp;TEXT($B18,"yyyymm")&amp;"-"&amp;TEXT(ROW()-4,"000"))</f>
        <v/>
      </c>
      <c r="B18" s="41"/>
      <c r="C18" s="42" t="str">
        <f aca="false">IF($B18="","",TEXT($B18,"yyyy-mm"))</f>
        <v/>
      </c>
      <c r="D18" s="42" t="str">
        <f aca="false">IF($E18="","",IFERROR(INDEX(科目参数!$L$6:$L$85,MATCH($E18,科目参数!$M$6:$M$85,0)),"⚠"))</f>
        <v/>
      </c>
      <c r="E18" s="33"/>
      <c r="F18" s="33"/>
      <c r="G18" s="36"/>
      <c r="H18" s="33"/>
      <c r="I18" s="33"/>
      <c r="J18" s="36"/>
      <c r="K18" s="40"/>
      <c r="L18" s="40"/>
      <c r="M18" s="47" t="str">
        <f aca="false">IF($B18="","",IF(NOT(ISNUMBER($B18)),"日期不是日期格式",IF(YEAR($B18)&lt;&gt;首页!$B$3,"不在会计年度",IF($E18="","未选收支科目",IF($D18="⚠","收支科目不存在",IF($F18="","未选账户",IF($T18="","账户未设资金科目",IF(AND($D18="转账",$U18=""),"转入账户无效",IF(AND(N($K18)&gt;0,N($L18)&gt;0),"收支不能同时填",IF(AND($D18="收入",N($K18)&lt;=0),"收入金额须大于0",IF(AND($D18&lt;&gt;"收入",N($L18)&lt;=0),"支出金额须大于0",IF($O18="","借方科目缺失",IF($P18="","贷方科目缺失","√")))))))))))))</f>
        <v/>
      </c>
      <c r="N18" s="48" t="str">
        <f aca="false">IF($B18="","",IF($D18="收入",N($K18),N($L18)))</f>
        <v/>
      </c>
      <c r="O18" s="49" t="str">
        <f aca="false">IF($B18="","",IF($D18="收入",$T18,IF($D18="转账",$U18,$S18)))</f>
        <v/>
      </c>
      <c r="P18" s="49" t="str">
        <f aca="false">IF($B18="","",IF($D18="收入",$S18,$T18))</f>
        <v/>
      </c>
      <c r="Q18" s="50" t="str">
        <f aca="false">IF($E18="","",IF($D18="转账","—",IFERROR(INDEX(科目参数!$P$6:$P$85,MATCH($E18,科目参数!$M$6:$M$85,0)),"")))</f>
        <v/>
      </c>
      <c r="R18" s="48" t="str">
        <f aca="false">IF($B18="","",SUMIFS(期初数据!$B$6:$B$35,期初数据!$A$6:$A$35,$F18)+SUMIFS($N$5:$N18,$F$5:$F18,$F18,$D$5:$D18,"收入")-SUMIFS($N$5:$N18,$F$5:$F18,$F18,$D$5:$D18,"支出")-SUMIFS($N$5:$N18,$F$5:$F18,$F18,$D$5:$D18,"转账")+SUMIFS($N$5:$N18,$G$5:$G18,$F18,$D$5:$D18,"转账"))</f>
        <v/>
      </c>
      <c r="S18" s="49" t="str">
        <f aca="false">IF($E18="","",IFERROR(INDEX(科目参数!$N$6:$N$85,MATCH($E18,科目参数!$M$6:$M$85,0)),""))</f>
        <v/>
      </c>
      <c r="T18" s="49" t="str">
        <f aca="false">IF($F18="","",IFERROR(INDEX(基础资料!$C$6:$C$35,MATCH($F18,基础资料!$A$6:$A$35,0)),""))</f>
        <v/>
      </c>
      <c r="U18" s="49" t="str">
        <f aca="false">IF($G18="","",IFERROR(INDEX(基础资料!$C$6:$C$35,MATCH($G18,基础资料!$A$6:$A$35,0)),""))</f>
        <v/>
      </c>
      <c r="V18" s="49" t="str">
        <f aca="false">IF(AND($G18=客户对账单!$B$3,$E18="客户回款",$B18&gt;=客户对账单!$E$3,$B18&lt;=客户对账单!$H$3),COUNTIFS($G$5:$G18,客户对账单!$B$3,$E$5:$E18,"客户回款",$B$5:$B18,"&gt;="&amp;客户对账单!$E$3,$B$5:$B18,"&lt;="&amp;客户对账单!$H$3),"")</f>
        <v/>
      </c>
      <c r="W18" s="49" t="str">
        <f aca="false">IF(AND($G18=供应商对账单!$B$3,$E18="供应商付款",$B18&gt;=供应商对账单!$E$3,$B18&lt;=供应商对账单!$H$3),COUNTIFS($G$5:$G18,供应商对账单!$B$3,$E$5:$E18,"供应商付款",$B$5:$B18,"&gt;="&amp;供应商对账单!$E$3,$B$5:$B18,"&lt;="&amp;供应商对账单!$H$3),"")</f>
        <v/>
      </c>
    </row>
    <row r="19" customFormat="false" ht="15.75" hidden="false" customHeight="true" outlineLevel="0" collapsed="false">
      <c r="A19" s="42" t="str">
        <f aca="false">IF($B19="","","ZJ"&amp;TEXT($B19,"yyyymm")&amp;"-"&amp;TEXT(ROW()-4,"000"))</f>
        <v/>
      </c>
      <c r="B19" s="41"/>
      <c r="C19" s="42" t="str">
        <f aca="false">IF($B19="","",TEXT($B19,"yyyy-mm"))</f>
        <v/>
      </c>
      <c r="D19" s="42" t="str">
        <f aca="false">IF($E19="","",IFERROR(INDEX(科目参数!$L$6:$L$85,MATCH($E19,科目参数!$M$6:$M$85,0)),"⚠"))</f>
        <v/>
      </c>
      <c r="E19" s="33"/>
      <c r="F19" s="33"/>
      <c r="G19" s="36"/>
      <c r="H19" s="33"/>
      <c r="I19" s="33"/>
      <c r="J19" s="36"/>
      <c r="K19" s="40"/>
      <c r="L19" s="40"/>
      <c r="M19" s="47" t="str">
        <f aca="false">IF($B19="","",IF(NOT(ISNUMBER($B19)),"日期不是日期格式",IF(YEAR($B19)&lt;&gt;首页!$B$3,"不在会计年度",IF($E19="","未选收支科目",IF($D19="⚠","收支科目不存在",IF($F19="","未选账户",IF($T19="","账户未设资金科目",IF(AND($D19="转账",$U19=""),"转入账户无效",IF(AND(N($K19)&gt;0,N($L19)&gt;0),"收支不能同时填",IF(AND($D19="收入",N($K19)&lt;=0),"收入金额须大于0",IF(AND($D19&lt;&gt;"收入",N($L19)&lt;=0),"支出金额须大于0",IF($O19="","借方科目缺失",IF($P19="","贷方科目缺失","√")))))))))))))</f>
        <v/>
      </c>
      <c r="N19" s="48" t="str">
        <f aca="false">IF($B19="","",IF($D19="收入",N($K19),N($L19)))</f>
        <v/>
      </c>
      <c r="O19" s="49" t="str">
        <f aca="false">IF($B19="","",IF($D19="收入",$T19,IF($D19="转账",$U19,$S19)))</f>
        <v/>
      </c>
      <c r="P19" s="49" t="str">
        <f aca="false">IF($B19="","",IF($D19="收入",$S19,$T19))</f>
        <v/>
      </c>
      <c r="Q19" s="50" t="str">
        <f aca="false">IF($E19="","",IF($D19="转账","—",IFERROR(INDEX(科目参数!$P$6:$P$85,MATCH($E19,科目参数!$M$6:$M$85,0)),"")))</f>
        <v/>
      </c>
      <c r="R19" s="48" t="str">
        <f aca="false">IF($B19="","",SUMIFS(期初数据!$B$6:$B$35,期初数据!$A$6:$A$35,$F19)+SUMIFS($N$5:$N19,$F$5:$F19,$F19,$D$5:$D19,"收入")-SUMIFS($N$5:$N19,$F$5:$F19,$F19,$D$5:$D19,"支出")-SUMIFS($N$5:$N19,$F$5:$F19,$F19,$D$5:$D19,"转账")+SUMIFS($N$5:$N19,$G$5:$G19,$F19,$D$5:$D19,"转账"))</f>
        <v/>
      </c>
      <c r="S19" s="49" t="str">
        <f aca="false">IF($E19="","",IFERROR(INDEX(科目参数!$N$6:$N$85,MATCH($E19,科目参数!$M$6:$M$85,0)),""))</f>
        <v/>
      </c>
      <c r="T19" s="49" t="str">
        <f aca="false">IF($F19="","",IFERROR(INDEX(基础资料!$C$6:$C$35,MATCH($F19,基础资料!$A$6:$A$35,0)),""))</f>
        <v/>
      </c>
      <c r="U19" s="49" t="str">
        <f aca="false">IF($G19="","",IFERROR(INDEX(基础资料!$C$6:$C$35,MATCH($G19,基础资料!$A$6:$A$35,0)),""))</f>
        <v/>
      </c>
      <c r="V19" s="49" t="str">
        <f aca="false">IF(AND($G19=客户对账单!$B$3,$E19="客户回款",$B19&gt;=客户对账单!$E$3,$B19&lt;=客户对账单!$H$3),COUNTIFS($G$5:$G19,客户对账单!$B$3,$E$5:$E19,"客户回款",$B$5:$B19,"&gt;="&amp;客户对账单!$E$3,$B$5:$B19,"&lt;="&amp;客户对账单!$H$3),"")</f>
        <v/>
      </c>
      <c r="W19" s="49" t="str">
        <f aca="false">IF(AND($G19=供应商对账单!$B$3,$E19="供应商付款",$B19&gt;=供应商对账单!$E$3,$B19&lt;=供应商对账单!$H$3),COUNTIFS($G$5:$G19,供应商对账单!$B$3,$E$5:$E19,"供应商付款",$B$5:$B19,"&gt;="&amp;供应商对账单!$E$3,$B$5:$B19,"&lt;="&amp;供应商对账单!$H$3),"")</f>
        <v/>
      </c>
    </row>
    <row r="20" customFormat="false" ht="15.75" hidden="false" customHeight="true" outlineLevel="0" collapsed="false">
      <c r="A20" s="42" t="str">
        <f aca="false">IF($B20="","","ZJ"&amp;TEXT($B20,"yyyymm")&amp;"-"&amp;TEXT(ROW()-4,"000"))</f>
        <v/>
      </c>
      <c r="B20" s="41"/>
      <c r="C20" s="42" t="str">
        <f aca="false">IF($B20="","",TEXT($B20,"yyyy-mm"))</f>
        <v/>
      </c>
      <c r="D20" s="42" t="str">
        <f aca="false">IF($E20="","",IFERROR(INDEX(科目参数!$L$6:$L$85,MATCH($E20,科目参数!$M$6:$M$85,0)),"⚠"))</f>
        <v/>
      </c>
      <c r="E20" s="33"/>
      <c r="F20" s="33"/>
      <c r="G20" s="36"/>
      <c r="H20" s="33"/>
      <c r="I20" s="33"/>
      <c r="J20" s="36"/>
      <c r="K20" s="40"/>
      <c r="L20" s="40"/>
      <c r="M20" s="47" t="str">
        <f aca="false">IF($B20="","",IF(NOT(ISNUMBER($B20)),"日期不是日期格式",IF(YEAR($B20)&lt;&gt;首页!$B$3,"不在会计年度",IF($E20="","未选收支科目",IF($D20="⚠","收支科目不存在",IF($F20="","未选账户",IF($T20="","账户未设资金科目",IF(AND($D20="转账",$U20=""),"转入账户无效",IF(AND(N($K20)&gt;0,N($L20)&gt;0),"收支不能同时填",IF(AND($D20="收入",N($K20)&lt;=0),"收入金额须大于0",IF(AND($D20&lt;&gt;"收入",N($L20)&lt;=0),"支出金额须大于0",IF($O20="","借方科目缺失",IF($P20="","贷方科目缺失","√")))))))))))))</f>
        <v/>
      </c>
      <c r="N20" s="48" t="str">
        <f aca="false">IF($B20="","",IF($D20="收入",N($K20),N($L20)))</f>
        <v/>
      </c>
      <c r="O20" s="49" t="str">
        <f aca="false">IF($B20="","",IF($D20="收入",$T20,IF($D20="转账",$U20,$S20)))</f>
        <v/>
      </c>
      <c r="P20" s="49" t="str">
        <f aca="false">IF($B20="","",IF($D20="收入",$S20,$T20))</f>
        <v/>
      </c>
      <c r="Q20" s="50" t="str">
        <f aca="false">IF($E20="","",IF($D20="转账","—",IFERROR(INDEX(科目参数!$P$6:$P$85,MATCH($E20,科目参数!$M$6:$M$85,0)),"")))</f>
        <v/>
      </c>
      <c r="R20" s="48" t="str">
        <f aca="false">IF($B20="","",SUMIFS(期初数据!$B$6:$B$35,期初数据!$A$6:$A$35,$F20)+SUMIFS($N$5:$N20,$F$5:$F20,$F20,$D$5:$D20,"收入")-SUMIFS($N$5:$N20,$F$5:$F20,$F20,$D$5:$D20,"支出")-SUMIFS($N$5:$N20,$F$5:$F20,$F20,$D$5:$D20,"转账")+SUMIFS($N$5:$N20,$G$5:$G20,$F20,$D$5:$D20,"转账"))</f>
        <v/>
      </c>
      <c r="S20" s="49" t="str">
        <f aca="false">IF($E20="","",IFERROR(INDEX(科目参数!$N$6:$N$85,MATCH($E20,科目参数!$M$6:$M$85,0)),""))</f>
        <v/>
      </c>
      <c r="T20" s="49" t="str">
        <f aca="false">IF($F20="","",IFERROR(INDEX(基础资料!$C$6:$C$35,MATCH($F20,基础资料!$A$6:$A$35,0)),""))</f>
        <v/>
      </c>
      <c r="U20" s="49" t="str">
        <f aca="false">IF($G20="","",IFERROR(INDEX(基础资料!$C$6:$C$35,MATCH($G20,基础资料!$A$6:$A$35,0)),""))</f>
        <v/>
      </c>
      <c r="V20" s="49" t="str">
        <f aca="false">IF(AND($G20=客户对账单!$B$3,$E20="客户回款",$B20&gt;=客户对账单!$E$3,$B20&lt;=客户对账单!$H$3),COUNTIFS($G$5:$G20,客户对账单!$B$3,$E$5:$E20,"客户回款",$B$5:$B20,"&gt;="&amp;客户对账单!$E$3,$B$5:$B20,"&lt;="&amp;客户对账单!$H$3),"")</f>
        <v/>
      </c>
      <c r="W20" s="49" t="str">
        <f aca="false">IF(AND($G20=供应商对账单!$B$3,$E20="供应商付款",$B20&gt;=供应商对账单!$E$3,$B20&lt;=供应商对账单!$H$3),COUNTIFS($G$5:$G20,供应商对账单!$B$3,$E$5:$E20,"供应商付款",$B$5:$B20,"&gt;="&amp;供应商对账单!$E$3,$B$5:$B20,"&lt;="&amp;供应商对账单!$H$3),"")</f>
        <v/>
      </c>
    </row>
    <row r="21" customFormat="false" ht="15.75" hidden="false" customHeight="true" outlineLevel="0" collapsed="false">
      <c r="A21" s="42" t="str">
        <f aca="false">IF($B21="","","ZJ"&amp;TEXT($B21,"yyyymm")&amp;"-"&amp;TEXT(ROW()-4,"000"))</f>
        <v/>
      </c>
      <c r="B21" s="41"/>
      <c r="C21" s="42" t="str">
        <f aca="false">IF($B21="","",TEXT($B21,"yyyy-mm"))</f>
        <v/>
      </c>
      <c r="D21" s="42" t="str">
        <f aca="false">IF($E21="","",IFERROR(INDEX(科目参数!$L$6:$L$85,MATCH($E21,科目参数!$M$6:$M$85,0)),"⚠"))</f>
        <v/>
      </c>
      <c r="E21" s="33"/>
      <c r="F21" s="33"/>
      <c r="G21" s="36"/>
      <c r="H21" s="33"/>
      <c r="I21" s="33"/>
      <c r="J21" s="36"/>
      <c r="K21" s="40"/>
      <c r="L21" s="40"/>
      <c r="M21" s="47" t="str">
        <f aca="false">IF($B21="","",IF(NOT(ISNUMBER($B21)),"日期不是日期格式",IF(YEAR($B21)&lt;&gt;首页!$B$3,"不在会计年度",IF($E21="","未选收支科目",IF($D21="⚠","收支科目不存在",IF($F21="","未选账户",IF($T21="","账户未设资金科目",IF(AND($D21="转账",$U21=""),"转入账户无效",IF(AND(N($K21)&gt;0,N($L21)&gt;0),"收支不能同时填",IF(AND($D21="收入",N($K21)&lt;=0),"收入金额须大于0",IF(AND($D21&lt;&gt;"收入",N($L21)&lt;=0),"支出金额须大于0",IF($O21="","借方科目缺失",IF($P21="","贷方科目缺失","√")))))))))))))</f>
        <v/>
      </c>
      <c r="N21" s="48" t="str">
        <f aca="false">IF($B21="","",IF($D21="收入",N($K21),N($L21)))</f>
        <v/>
      </c>
      <c r="O21" s="49" t="str">
        <f aca="false">IF($B21="","",IF($D21="收入",$T21,IF($D21="转账",$U21,$S21)))</f>
        <v/>
      </c>
      <c r="P21" s="49" t="str">
        <f aca="false">IF($B21="","",IF($D21="收入",$S21,$T21))</f>
        <v/>
      </c>
      <c r="Q21" s="50" t="str">
        <f aca="false">IF($E21="","",IF($D21="转账","—",IFERROR(INDEX(科目参数!$P$6:$P$85,MATCH($E21,科目参数!$M$6:$M$85,0)),"")))</f>
        <v/>
      </c>
      <c r="R21" s="48" t="str">
        <f aca="false">IF($B21="","",SUMIFS(期初数据!$B$6:$B$35,期初数据!$A$6:$A$35,$F21)+SUMIFS($N$5:$N21,$F$5:$F21,$F21,$D$5:$D21,"收入")-SUMIFS($N$5:$N21,$F$5:$F21,$F21,$D$5:$D21,"支出")-SUMIFS($N$5:$N21,$F$5:$F21,$F21,$D$5:$D21,"转账")+SUMIFS($N$5:$N21,$G$5:$G21,$F21,$D$5:$D21,"转账"))</f>
        <v/>
      </c>
      <c r="S21" s="49" t="str">
        <f aca="false">IF($E21="","",IFERROR(INDEX(科目参数!$N$6:$N$85,MATCH($E21,科目参数!$M$6:$M$85,0)),""))</f>
        <v/>
      </c>
      <c r="T21" s="49" t="str">
        <f aca="false">IF($F21="","",IFERROR(INDEX(基础资料!$C$6:$C$35,MATCH($F21,基础资料!$A$6:$A$35,0)),""))</f>
        <v/>
      </c>
      <c r="U21" s="49" t="str">
        <f aca="false">IF($G21="","",IFERROR(INDEX(基础资料!$C$6:$C$35,MATCH($G21,基础资料!$A$6:$A$35,0)),""))</f>
        <v/>
      </c>
      <c r="V21" s="49" t="str">
        <f aca="false">IF(AND($G21=客户对账单!$B$3,$E21="客户回款",$B21&gt;=客户对账单!$E$3,$B21&lt;=客户对账单!$H$3),COUNTIFS($G$5:$G21,客户对账单!$B$3,$E$5:$E21,"客户回款",$B$5:$B21,"&gt;="&amp;客户对账单!$E$3,$B$5:$B21,"&lt;="&amp;客户对账单!$H$3),"")</f>
        <v/>
      </c>
      <c r="W21" s="49" t="str">
        <f aca="false">IF(AND($G21=供应商对账单!$B$3,$E21="供应商付款",$B21&gt;=供应商对账单!$E$3,$B21&lt;=供应商对账单!$H$3),COUNTIFS($G$5:$G21,供应商对账单!$B$3,$E$5:$E21,"供应商付款",$B$5:$B21,"&gt;="&amp;供应商对账单!$E$3,$B$5:$B21,"&lt;="&amp;供应商对账单!$H$3),"")</f>
        <v/>
      </c>
    </row>
    <row r="22" customFormat="false" ht="15.75" hidden="false" customHeight="true" outlineLevel="0" collapsed="false">
      <c r="A22" s="42" t="str">
        <f aca="false">IF($B22="","","ZJ"&amp;TEXT($B22,"yyyymm")&amp;"-"&amp;TEXT(ROW()-4,"000"))</f>
        <v/>
      </c>
      <c r="B22" s="41"/>
      <c r="C22" s="42" t="str">
        <f aca="false">IF($B22="","",TEXT($B22,"yyyy-mm"))</f>
        <v/>
      </c>
      <c r="D22" s="42" t="str">
        <f aca="false">IF($E22="","",IFERROR(INDEX(科目参数!$L$6:$L$85,MATCH($E22,科目参数!$M$6:$M$85,0)),"⚠"))</f>
        <v/>
      </c>
      <c r="E22" s="33"/>
      <c r="F22" s="33"/>
      <c r="G22" s="36"/>
      <c r="H22" s="33"/>
      <c r="I22" s="33"/>
      <c r="J22" s="36"/>
      <c r="K22" s="40"/>
      <c r="L22" s="40"/>
      <c r="M22" s="47" t="str">
        <f aca="false">IF($B22="","",IF(NOT(ISNUMBER($B22)),"日期不是日期格式",IF(YEAR($B22)&lt;&gt;首页!$B$3,"不在会计年度",IF($E22="","未选收支科目",IF($D22="⚠","收支科目不存在",IF($F22="","未选账户",IF($T22="","账户未设资金科目",IF(AND($D22="转账",$U22=""),"转入账户无效",IF(AND(N($K22)&gt;0,N($L22)&gt;0),"收支不能同时填",IF(AND($D22="收入",N($K22)&lt;=0),"收入金额须大于0",IF(AND($D22&lt;&gt;"收入",N($L22)&lt;=0),"支出金额须大于0",IF($O22="","借方科目缺失",IF($P22="","贷方科目缺失","√")))))))))))))</f>
        <v/>
      </c>
      <c r="N22" s="48" t="str">
        <f aca="false">IF($B22="","",IF($D22="收入",N($K22),N($L22)))</f>
        <v/>
      </c>
      <c r="O22" s="49" t="str">
        <f aca="false">IF($B22="","",IF($D22="收入",$T22,IF($D22="转账",$U22,$S22)))</f>
        <v/>
      </c>
      <c r="P22" s="49" t="str">
        <f aca="false">IF($B22="","",IF($D22="收入",$S22,$T22))</f>
        <v/>
      </c>
      <c r="Q22" s="50" t="str">
        <f aca="false">IF($E22="","",IF($D22="转账","—",IFERROR(INDEX(科目参数!$P$6:$P$85,MATCH($E22,科目参数!$M$6:$M$85,0)),"")))</f>
        <v/>
      </c>
      <c r="R22" s="48" t="str">
        <f aca="false">IF($B22="","",SUMIFS(期初数据!$B$6:$B$35,期初数据!$A$6:$A$35,$F22)+SUMIFS($N$5:$N22,$F$5:$F22,$F22,$D$5:$D22,"收入")-SUMIFS($N$5:$N22,$F$5:$F22,$F22,$D$5:$D22,"支出")-SUMIFS($N$5:$N22,$F$5:$F22,$F22,$D$5:$D22,"转账")+SUMIFS($N$5:$N22,$G$5:$G22,$F22,$D$5:$D22,"转账"))</f>
        <v/>
      </c>
      <c r="S22" s="49" t="str">
        <f aca="false">IF($E22="","",IFERROR(INDEX(科目参数!$N$6:$N$85,MATCH($E22,科目参数!$M$6:$M$85,0)),""))</f>
        <v/>
      </c>
      <c r="T22" s="49" t="str">
        <f aca="false">IF($F22="","",IFERROR(INDEX(基础资料!$C$6:$C$35,MATCH($F22,基础资料!$A$6:$A$35,0)),""))</f>
        <v/>
      </c>
      <c r="U22" s="49" t="str">
        <f aca="false">IF($G22="","",IFERROR(INDEX(基础资料!$C$6:$C$35,MATCH($G22,基础资料!$A$6:$A$35,0)),""))</f>
        <v/>
      </c>
      <c r="V22" s="49" t="str">
        <f aca="false">IF(AND($G22=客户对账单!$B$3,$E22="客户回款",$B22&gt;=客户对账单!$E$3,$B22&lt;=客户对账单!$H$3),COUNTIFS($G$5:$G22,客户对账单!$B$3,$E$5:$E22,"客户回款",$B$5:$B22,"&gt;="&amp;客户对账单!$E$3,$B$5:$B22,"&lt;="&amp;客户对账单!$H$3),"")</f>
        <v/>
      </c>
      <c r="W22" s="49" t="str">
        <f aca="false">IF(AND($G22=供应商对账单!$B$3,$E22="供应商付款",$B22&gt;=供应商对账单!$E$3,$B22&lt;=供应商对账单!$H$3),COUNTIFS($G$5:$G22,供应商对账单!$B$3,$E$5:$E22,"供应商付款",$B$5:$B22,"&gt;="&amp;供应商对账单!$E$3,$B$5:$B22,"&lt;="&amp;供应商对账单!$H$3),"")</f>
        <v/>
      </c>
    </row>
    <row r="23" customFormat="false" ht="15.75" hidden="false" customHeight="true" outlineLevel="0" collapsed="false">
      <c r="A23" s="42" t="str">
        <f aca="false">IF($B23="","","ZJ"&amp;TEXT($B23,"yyyymm")&amp;"-"&amp;TEXT(ROW()-4,"000"))</f>
        <v/>
      </c>
      <c r="B23" s="41"/>
      <c r="C23" s="42" t="str">
        <f aca="false">IF($B23="","",TEXT($B23,"yyyy-mm"))</f>
        <v/>
      </c>
      <c r="D23" s="42" t="str">
        <f aca="false">IF($E23="","",IFERROR(INDEX(科目参数!$L$6:$L$85,MATCH($E23,科目参数!$M$6:$M$85,0)),"⚠"))</f>
        <v/>
      </c>
      <c r="E23" s="33"/>
      <c r="F23" s="33"/>
      <c r="G23" s="36"/>
      <c r="H23" s="33"/>
      <c r="I23" s="33"/>
      <c r="J23" s="36"/>
      <c r="K23" s="40"/>
      <c r="L23" s="40"/>
      <c r="M23" s="47" t="str">
        <f aca="false">IF($B23="","",IF(NOT(ISNUMBER($B23)),"日期不是日期格式",IF(YEAR($B23)&lt;&gt;首页!$B$3,"不在会计年度",IF($E23="","未选收支科目",IF($D23="⚠","收支科目不存在",IF($F23="","未选账户",IF($T23="","账户未设资金科目",IF(AND($D23="转账",$U23=""),"转入账户无效",IF(AND(N($K23)&gt;0,N($L23)&gt;0),"收支不能同时填",IF(AND($D23="收入",N($K23)&lt;=0),"收入金额须大于0",IF(AND($D23&lt;&gt;"收入",N($L23)&lt;=0),"支出金额须大于0",IF($O23="","借方科目缺失",IF($P23="","贷方科目缺失","√")))))))))))))</f>
        <v/>
      </c>
      <c r="N23" s="48" t="str">
        <f aca="false">IF($B23="","",IF($D23="收入",N($K23),N($L23)))</f>
        <v/>
      </c>
      <c r="O23" s="49" t="str">
        <f aca="false">IF($B23="","",IF($D23="收入",$T23,IF($D23="转账",$U23,$S23)))</f>
        <v/>
      </c>
      <c r="P23" s="49" t="str">
        <f aca="false">IF($B23="","",IF($D23="收入",$S23,$T23))</f>
        <v/>
      </c>
      <c r="Q23" s="50" t="str">
        <f aca="false">IF($E23="","",IF($D23="转账","—",IFERROR(INDEX(科目参数!$P$6:$P$85,MATCH($E23,科目参数!$M$6:$M$85,0)),"")))</f>
        <v/>
      </c>
      <c r="R23" s="48" t="str">
        <f aca="false">IF($B23="","",SUMIFS(期初数据!$B$6:$B$35,期初数据!$A$6:$A$35,$F23)+SUMIFS($N$5:$N23,$F$5:$F23,$F23,$D$5:$D23,"收入")-SUMIFS($N$5:$N23,$F$5:$F23,$F23,$D$5:$D23,"支出")-SUMIFS($N$5:$N23,$F$5:$F23,$F23,$D$5:$D23,"转账")+SUMIFS($N$5:$N23,$G$5:$G23,$F23,$D$5:$D23,"转账"))</f>
        <v/>
      </c>
      <c r="S23" s="49" t="str">
        <f aca="false">IF($E23="","",IFERROR(INDEX(科目参数!$N$6:$N$85,MATCH($E23,科目参数!$M$6:$M$85,0)),""))</f>
        <v/>
      </c>
      <c r="T23" s="49" t="str">
        <f aca="false">IF($F23="","",IFERROR(INDEX(基础资料!$C$6:$C$35,MATCH($F23,基础资料!$A$6:$A$35,0)),""))</f>
        <v/>
      </c>
      <c r="U23" s="49" t="str">
        <f aca="false">IF($G23="","",IFERROR(INDEX(基础资料!$C$6:$C$35,MATCH($G23,基础资料!$A$6:$A$35,0)),""))</f>
        <v/>
      </c>
      <c r="V23" s="49" t="str">
        <f aca="false">IF(AND($G23=客户对账单!$B$3,$E23="客户回款",$B23&gt;=客户对账单!$E$3,$B23&lt;=客户对账单!$H$3),COUNTIFS($G$5:$G23,客户对账单!$B$3,$E$5:$E23,"客户回款",$B$5:$B23,"&gt;="&amp;客户对账单!$E$3,$B$5:$B23,"&lt;="&amp;客户对账单!$H$3),"")</f>
        <v/>
      </c>
      <c r="W23" s="49" t="str">
        <f aca="false">IF(AND($G23=供应商对账单!$B$3,$E23="供应商付款",$B23&gt;=供应商对账单!$E$3,$B23&lt;=供应商对账单!$H$3),COUNTIFS($G$5:$G23,供应商对账单!$B$3,$E$5:$E23,"供应商付款",$B$5:$B23,"&gt;="&amp;供应商对账单!$E$3,$B$5:$B23,"&lt;="&amp;供应商对账单!$H$3),"")</f>
        <v/>
      </c>
    </row>
    <row r="24" customFormat="false" ht="15.75" hidden="false" customHeight="true" outlineLevel="0" collapsed="false">
      <c r="A24" s="42" t="str">
        <f aca="false">IF($B24="","","ZJ"&amp;TEXT($B24,"yyyymm")&amp;"-"&amp;TEXT(ROW()-4,"000"))</f>
        <v/>
      </c>
      <c r="B24" s="41"/>
      <c r="C24" s="42" t="str">
        <f aca="false">IF($B24="","",TEXT($B24,"yyyy-mm"))</f>
        <v/>
      </c>
      <c r="D24" s="42" t="str">
        <f aca="false">IF($E24="","",IFERROR(INDEX(科目参数!$L$6:$L$85,MATCH($E24,科目参数!$M$6:$M$85,0)),"⚠"))</f>
        <v/>
      </c>
      <c r="E24" s="33"/>
      <c r="F24" s="33"/>
      <c r="G24" s="36"/>
      <c r="H24" s="33"/>
      <c r="I24" s="33"/>
      <c r="J24" s="36"/>
      <c r="K24" s="40"/>
      <c r="L24" s="40"/>
      <c r="M24" s="47" t="str">
        <f aca="false">IF($B24="","",IF(NOT(ISNUMBER($B24)),"日期不是日期格式",IF(YEAR($B24)&lt;&gt;首页!$B$3,"不在会计年度",IF($E24="","未选收支科目",IF($D24="⚠","收支科目不存在",IF($F24="","未选账户",IF($T24="","账户未设资金科目",IF(AND($D24="转账",$U24=""),"转入账户无效",IF(AND(N($K24)&gt;0,N($L24)&gt;0),"收支不能同时填",IF(AND($D24="收入",N($K24)&lt;=0),"收入金额须大于0",IF(AND($D24&lt;&gt;"收入",N($L24)&lt;=0),"支出金额须大于0",IF($O24="","借方科目缺失",IF($P24="","贷方科目缺失","√")))))))))))))</f>
        <v/>
      </c>
      <c r="N24" s="48" t="str">
        <f aca="false">IF($B24="","",IF($D24="收入",N($K24),N($L24)))</f>
        <v/>
      </c>
      <c r="O24" s="49" t="str">
        <f aca="false">IF($B24="","",IF($D24="收入",$T24,IF($D24="转账",$U24,$S24)))</f>
        <v/>
      </c>
      <c r="P24" s="49" t="str">
        <f aca="false">IF($B24="","",IF($D24="收入",$S24,$T24))</f>
        <v/>
      </c>
      <c r="Q24" s="50" t="str">
        <f aca="false">IF($E24="","",IF($D24="转账","—",IFERROR(INDEX(科目参数!$P$6:$P$85,MATCH($E24,科目参数!$M$6:$M$85,0)),"")))</f>
        <v/>
      </c>
      <c r="R24" s="48" t="str">
        <f aca="false">IF($B24="","",SUMIFS(期初数据!$B$6:$B$35,期初数据!$A$6:$A$35,$F24)+SUMIFS($N$5:$N24,$F$5:$F24,$F24,$D$5:$D24,"收入")-SUMIFS($N$5:$N24,$F$5:$F24,$F24,$D$5:$D24,"支出")-SUMIFS($N$5:$N24,$F$5:$F24,$F24,$D$5:$D24,"转账")+SUMIFS($N$5:$N24,$G$5:$G24,$F24,$D$5:$D24,"转账"))</f>
        <v/>
      </c>
      <c r="S24" s="49" t="str">
        <f aca="false">IF($E24="","",IFERROR(INDEX(科目参数!$N$6:$N$85,MATCH($E24,科目参数!$M$6:$M$85,0)),""))</f>
        <v/>
      </c>
      <c r="T24" s="49" t="str">
        <f aca="false">IF($F24="","",IFERROR(INDEX(基础资料!$C$6:$C$35,MATCH($F24,基础资料!$A$6:$A$35,0)),""))</f>
        <v/>
      </c>
      <c r="U24" s="49" t="str">
        <f aca="false">IF($G24="","",IFERROR(INDEX(基础资料!$C$6:$C$35,MATCH($G24,基础资料!$A$6:$A$35,0)),""))</f>
        <v/>
      </c>
      <c r="V24" s="49" t="str">
        <f aca="false">IF(AND($G24=客户对账单!$B$3,$E24="客户回款",$B24&gt;=客户对账单!$E$3,$B24&lt;=客户对账单!$H$3),COUNTIFS($G$5:$G24,客户对账单!$B$3,$E$5:$E24,"客户回款",$B$5:$B24,"&gt;="&amp;客户对账单!$E$3,$B$5:$B24,"&lt;="&amp;客户对账单!$H$3),"")</f>
        <v/>
      </c>
      <c r="W24" s="49" t="str">
        <f aca="false">IF(AND($G24=供应商对账单!$B$3,$E24="供应商付款",$B24&gt;=供应商对账单!$E$3,$B24&lt;=供应商对账单!$H$3),COUNTIFS($G$5:$G24,供应商对账单!$B$3,$E$5:$E24,"供应商付款",$B$5:$B24,"&gt;="&amp;供应商对账单!$E$3,$B$5:$B24,"&lt;="&amp;供应商对账单!$H$3),"")</f>
        <v/>
      </c>
    </row>
    <row r="25" customFormat="false" ht="15.75" hidden="false" customHeight="true" outlineLevel="0" collapsed="false">
      <c r="A25" s="42" t="str">
        <f aca="false">IF($B25="","","ZJ"&amp;TEXT($B25,"yyyymm")&amp;"-"&amp;TEXT(ROW()-4,"000"))</f>
        <v/>
      </c>
      <c r="B25" s="41"/>
      <c r="C25" s="42" t="str">
        <f aca="false">IF($B25="","",TEXT($B25,"yyyy-mm"))</f>
        <v/>
      </c>
      <c r="D25" s="42" t="str">
        <f aca="false">IF($E25="","",IFERROR(INDEX(科目参数!$L$6:$L$85,MATCH($E25,科目参数!$M$6:$M$85,0)),"⚠"))</f>
        <v/>
      </c>
      <c r="E25" s="33"/>
      <c r="F25" s="33"/>
      <c r="G25" s="36"/>
      <c r="H25" s="33"/>
      <c r="I25" s="33"/>
      <c r="J25" s="36"/>
      <c r="K25" s="40"/>
      <c r="L25" s="40"/>
      <c r="M25" s="47" t="str">
        <f aca="false">IF($B25="","",IF(NOT(ISNUMBER($B25)),"日期不是日期格式",IF(YEAR($B25)&lt;&gt;首页!$B$3,"不在会计年度",IF($E25="","未选收支科目",IF($D25="⚠","收支科目不存在",IF($F25="","未选账户",IF($T25="","账户未设资金科目",IF(AND($D25="转账",$U25=""),"转入账户无效",IF(AND(N($K25)&gt;0,N($L25)&gt;0),"收支不能同时填",IF(AND($D25="收入",N($K25)&lt;=0),"收入金额须大于0",IF(AND($D25&lt;&gt;"收入",N($L25)&lt;=0),"支出金额须大于0",IF($O25="","借方科目缺失",IF($P25="","贷方科目缺失","√")))))))))))))</f>
        <v/>
      </c>
      <c r="N25" s="48" t="str">
        <f aca="false">IF($B25="","",IF($D25="收入",N($K25),N($L25)))</f>
        <v/>
      </c>
      <c r="O25" s="49" t="str">
        <f aca="false">IF($B25="","",IF($D25="收入",$T25,IF($D25="转账",$U25,$S25)))</f>
        <v/>
      </c>
      <c r="P25" s="49" t="str">
        <f aca="false">IF($B25="","",IF($D25="收入",$S25,$T25))</f>
        <v/>
      </c>
      <c r="Q25" s="50" t="str">
        <f aca="false">IF($E25="","",IF($D25="转账","—",IFERROR(INDEX(科目参数!$P$6:$P$85,MATCH($E25,科目参数!$M$6:$M$85,0)),"")))</f>
        <v/>
      </c>
      <c r="R25" s="48" t="str">
        <f aca="false">IF($B25="","",SUMIFS(期初数据!$B$6:$B$35,期初数据!$A$6:$A$35,$F25)+SUMIFS($N$5:$N25,$F$5:$F25,$F25,$D$5:$D25,"收入")-SUMIFS($N$5:$N25,$F$5:$F25,$F25,$D$5:$D25,"支出")-SUMIFS($N$5:$N25,$F$5:$F25,$F25,$D$5:$D25,"转账")+SUMIFS($N$5:$N25,$G$5:$G25,$F25,$D$5:$D25,"转账"))</f>
        <v/>
      </c>
      <c r="S25" s="49" t="str">
        <f aca="false">IF($E25="","",IFERROR(INDEX(科目参数!$N$6:$N$85,MATCH($E25,科目参数!$M$6:$M$85,0)),""))</f>
        <v/>
      </c>
      <c r="T25" s="49" t="str">
        <f aca="false">IF($F25="","",IFERROR(INDEX(基础资料!$C$6:$C$35,MATCH($F25,基础资料!$A$6:$A$35,0)),""))</f>
        <v/>
      </c>
      <c r="U25" s="49" t="str">
        <f aca="false">IF($G25="","",IFERROR(INDEX(基础资料!$C$6:$C$35,MATCH($G25,基础资料!$A$6:$A$35,0)),""))</f>
        <v/>
      </c>
      <c r="V25" s="49" t="str">
        <f aca="false">IF(AND($G25=客户对账单!$B$3,$E25="客户回款",$B25&gt;=客户对账单!$E$3,$B25&lt;=客户对账单!$H$3),COUNTIFS($G$5:$G25,客户对账单!$B$3,$E$5:$E25,"客户回款",$B$5:$B25,"&gt;="&amp;客户对账单!$E$3,$B$5:$B25,"&lt;="&amp;客户对账单!$H$3),"")</f>
        <v/>
      </c>
      <c r="W25" s="49" t="str">
        <f aca="false">IF(AND($G25=供应商对账单!$B$3,$E25="供应商付款",$B25&gt;=供应商对账单!$E$3,$B25&lt;=供应商对账单!$H$3),COUNTIFS($G$5:$G25,供应商对账单!$B$3,$E$5:$E25,"供应商付款",$B$5:$B25,"&gt;="&amp;供应商对账单!$E$3,$B$5:$B25,"&lt;="&amp;供应商对账单!$H$3),"")</f>
        <v/>
      </c>
    </row>
    <row r="26" customFormat="false" ht="15.75" hidden="false" customHeight="true" outlineLevel="0" collapsed="false">
      <c r="A26" s="42" t="str">
        <f aca="false">IF($B26="","","ZJ"&amp;TEXT($B26,"yyyymm")&amp;"-"&amp;TEXT(ROW()-4,"000"))</f>
        <v/>
      </c>
      <c r="B26" s="41"/>
      <c r="C26" s="42" t="str">
        <f aca="false">IF($B26="","",TEXT($B26,"yyyy-mm"))</f>
        <v/>
      </c>
      <c r="D26" s="42" t="str">
        <f aca="false">IF($E26="","",IFERROR(INDEX(科目参数!$L$6:$L$85,MATCH($E26,科目参数!$M$6:$M$85,0)),"⚠"))</f>
        <v/>
      </c>
      <c r="E26" s="33"/>
      <c r="F26" s="33"/>
      <c r="G26" s="36"/>
      <c r="H26" s="33"/>
      <c r="I26" s="33"/>
      <c r="J26" s="36"/>
      <c r="K26" s="40"/>
      <c r="L26" s="40"/>
      <c r="M26" s="47" t="str">
        <f aca="false">IF($B26="","",IF(NOT(ISNUMBER($B26)),"日期不是日期格式",IF(YEAR($B26)&lt;&gt;首页!$B$3,"不在会计年度",IF($E26="","未选收支科目",IF($D26="⚠","收支科目不存在",IF($F26="","未选账户",IF($T26="","账户未设资金科目",IF(AND($D26="转账",$U26=""),"转入账户无效",IF(AND(N($K26)&gt;0,N($L26)&gt;0),"收支不能同时填",IF(AND($D26="收入",N($K26)&lt;=0),"收入金额须大于0",IF(AND($D26&lt;&gt;"收入",N($L26)&lt;=0),"支出金额须大于0",IF($O26="","借方科目缺失",IF($P26="","贷方科目缺失","√")))))))))))))</f>
        <v/>
      </c>
      <c r="N26" s="48" t="str">
        <f aca="false">IF($B26="","",IF($D26="收入",N($K26),N($L26)))</f>
        <v/>
      </c>
      <c r="O26" s="49" t="str">
        <f aca="false">IF($B26="","",IF($D26="收入",$T26,IF($D26="转账",$U26,$S26)))</f>
        <v/>
      </c>
      <c r="P26" s="49" t="str">
        <f aca="false">IF($B26="","",IF($D26="收入",$S26,$T26))</f>
        <v/>
      </c>
      <c r="Q26" s="50" t="str">
        <f aca="false">IF($E26="","",IF($D26="转账","—",IFERROR(INDEX(科目参数!$P$6:$P$85,MATCH($E26,科目参数!$M$6:$M$85,0)),"")))</f>
        <v/>
      </c>
      <c r="R26" s="48" t="str">
        <f aca="false">IF($B26="","",SUMIFS(期初数据!$B$6:$B$35,期初数据!$A$6:$A$35,$F26)+SUMIFS($N$5:$N26,$F$5:$F26,$F26,$D$5:$D26,"收入")-SUMIFS($N$5:$N26,$F$5:$F26,$F26,$D$5:$D26,"支出")-SUMIFS($N$5:$N26,$F$5:$F26,$F26,$D$5:$D26,"转账")+SUMIFS($N$5:$N26,$G$5:$G26,$F26,$D$5:$D26,"转账"))</f>
        <v/>
      </c>
      <c r="S26" s="49" t="str">
        <f aca="false">IF($E26="","",IFERROR(INDEX(科目参数!$N$6:$N$85,MATCH($E26,科目参数!$M$6:$M$85,0)),""))</f>
        <v/>
      </c>
      <c r="T26" s="49" t="str">
        <f aca="false">IF($F26="","",IFERROR(INDEX(基础资料!$C$6:$C$35,MATCH($F26,基础资料!$A$6:$A$35,0)),""))</f>
        <v/>
      </c>
      <c r="U26" s="49" t="str">
        <f aca="false">IF($G26="","",IFERROR(INDEX(基础资料!$C$6:$C$35,MATCH($G26,基础资料!$A$6:$A$35,0)),""))</f>
        <v/>
      </c>
      <c r="V26" s="49" t="str">
        <f aca="false">IF(AND($G26=客户对账单!$B$3,$E26="客户回款",$B26&gt;=客户对账单!$E$3,$B26&lt;=客户对账单!$H$3),COUNTIFS($G$5:$G26,客户对账单!$B$3,$E$5:$E26,"客户回款",$B$5:$B26,"&gt;="&amp;客户对账单!$E$3,$B$5:$B26,"&lt;="&amp;客户对账单!$H$3),"")</f>
        <v/>
      </c>
      <c r="W26" s="49" t="str">
        <f aca="false">IF(AND($G26=供应商对账单!$B$3,$E26="供应商付款",$B26&gt;=供应商对账单!$E$3,$B26&lt;=供应商对账单!$H$3),COUNTIFS($G$5:$G26,供应商对账单!$B$3,$E$5:$E26,"供应商付款",$B$5:$B26,"&gt;="&amp;供应商对账单!$E$3,$B$5:$B26,"&lt;="&amp;供应商对账单!$H$3),"")</f>
        <v/>
      </c>
    </row>
    <row r="27" customFormat="false" ht="15.75" hidden="false" customHeight="true" outlineLevel="0" collapsed="false">
      <c r="A27" s="42" t="str">
        <f aca="false">IF($B27="","","ZJ"&amp;TEXT($B27,"yyyymm")&amp;"-"&amp;TEXT(ROW()-4,"000"))</f>
        <v/>
      </c>
      <c r="B27" s="41"/>
      <c r="C27" s="42" t="str">
        <f aca="false">IF($B27="","",TEXT($B27,"yyyy-mm"))</f>
        <v/>
      </c>
      <c r="D27" s="42" t="str">
        <f aca="false">IF($E27="","",IFERROR(INDEX(科目参数!$L$6:$L$85,MATCH($E27,科目参数!$M$6:$M$85,0)),"⚠"))</f>
        <v/>
      </c>
      <c r="E27" s="33"/>
      <c r="F27" s="33"/>
      <c r="G27" s="36"/>
      <c r="H27" s="33"/>
      <c r="I27" s="33"/>
      <c r="J27" s="36"/>
      <c r="K27" s="40"/>
      <c r="L27" s="40"/>
      <c r="M27" s="47" t="str">
        <f aca="false">IF($B27="","",IF(NOT(ISNUMBER($B27)),"日期不是日期格式",IF(YEAR($B27)&lt;&gt;首页!$B$3,"不在会计年度",IF($E27="","未选收支科目",IF($D27="⚠","收支科目不存在",IF($F27="","未选账户",IF($T27="","账户未设资金科目",IF(AND($D27="转账",$U27=""),"转入账户无效",IF(AND(N($K27)&gt;0,N($L27)&gt;0),"收支不能同时填",IF(AND($D27="收入",N($K27)&lt;=0),"收入金额须大于0",IF(AND($D27&lt;&gt;"收入",N($L27)&lt;=0),"支出金额须大于0",IF($O27="","借方科目缺失",IF($P27="","贷方科目缺失","√")))))))))))))</f>
        <v/>
      </c>
      <c r="N27" s="48" t="str">
        <f aca="false">IF($B27="","",IF($D27="收入",N($K27),N($L27)))</f>
        <v/>
      </c>
      <c r="O27" s="49" t="str">
        <f aca="false">IF($B27="","",IF($D27="收入",$T27,IF($D27="转账",$U27,$S27)))</f>
        <v/>
      </c>
      <c r="P27" s="49" t="str">
        <f aca="false">IF($B27="","",IF($D27="收入",$S27,$T27))</f>
        <v/>
      </c>
      <c r="Q27" s="50" t="str">
        <f aca="false">IF($E27="","",IF($D27="转账","—",IFERROR(INDEX(科目参数!$P$6:$P$85,MATCH($E27,科目参数!$M$6:$M$85,0)),"")))</f>
        <v/>
      </c>
      <c r="R27" s="48" t="str">
        <f aca="false">IF($B27="","",SUMIFS(期初数据!$B$6:$B$35,期初数据!$A$6:$A$35,$F27)+SUMIFS($N$5:$N27,$F$5:$F27,$F27,$D$5:$D27,"收入")-SUMIFS($N$5:$N27,$F$5:$F27,$F27,$D$5:$D27,"支出")-SUMIFS($N$5:$N27,$F$5:$F27,$F27,$D$5:$D27,"转账")+SUMIFS($N$5:$N27,$G$5:$G27,$F27,$D$5:$D27,"转账"))</f>
        <v/>
      </c>
      <c r="S27" s="49" t="str">
        <f aca="false">IF($E27="","",IFERROR(INDEX(科目参数!$N$6:$N$85,MATCH($E27,科目参数!$M$6:$M$85,0)),""))</f>
        <v/>
      </c>
      <c r="T27" s="49" t="str">
        <f aca="false">IF($F27="","",IFERROR(INDEX(基础资料!$C$6:$C$35,MATCH($F27,基础资料!$A$6:$A$35,0)),""))</f>
        <v/>
      </c>
      <c r="U27" s="49" t="str">
        <f aca="false">IF($G27="","",IFERROR(INDEX(基础资料!$C$6:$C$35,MATCH($G27,基础资料!$A$6:$A$35,0)),""))</f>
        <v/>
      </c>
      <c r="V27" s="49" t="str">
        <f aca="false">IF(AND($G27=客户对账单!$B$3,$E27="客户回款",$B27&gt;=客户对账单!$E$3,$B27&lt;=客户对账单!$H$3),COUNTIFS($G$5:$G27,客户对账单!$B$3,$E$5:$E27,"客户回款",$B$5:$B27,"&gt;="&amp;客户对账单!$E$3,$B$5:$B27,"&lt;="&amp;客户对账单!$H$3),"")</f>
        <v/>
      </c>
      <c r="W27" s="49" t="str">
        <f aca="false">IF(AND($G27=供应商对账单!$B$3,$E27="供应商付款",$B27&gt;=供应商对账单!$E$3,$B27&lt;=供应商对账单!$H$3),COUNTIFS($G$5:$G27,供应商对账单!$B$3,$E$5:$E27,"供应商付款",$B$5:$B27,"&gt;="&amp;供应商对账单!$E$3,$B$5:$B27,"&lt;="&amp;供应商对账单!$H$3),"")</f>
        <v/>
      </c>
    </row>
    <row r="28" customFormat="false" ht="15.75" hidden="false" customHeight="true" outlineLevel="0" collapsed="false">
      <c r="A28" s="42" t="str">
        <f aca="false">IF($B28="","","ZJ"&amp;TEXT($B28,"yyyymm")&amp;"-"&amp;TEXT(ROW()-4,"000"))</f>
        <v/>
      </c>
      <c r="B28" s="41"/>
      <c r="C28" s="42" t="str">
        <f aca="false">IF($B28="","",TEXT($B28,"yyyy-mm"))</f>
        <v/>
      </c>
      <c r="D28" s="42" t="str">
        <f aca="false">IF($E28="","",IFERROR(INDEX(科目参数!$L$6:$L$85,MATCH($E28,科目参数!$M$6:$M$85,0)),"⚠"))</f>
        <v/>
      </c>
      <c r="E28" s="33"/>
      <c r="F28" s="33"/>
      <c r="G28" s="36"/>
      <c r="H28" s="33"/>
      <c r="I28" s="33"/>
      <c r="J28" s="36"/>
      <c r="K28" s="40"/>
      <c r="L28" s="40"/>
      <c r="M28" s="47" t="str">
        <f aca="false">IF($B28="","",IF(NOT(ISNUMBER($B28)),"日期不是日期格式",IF(YEAR($B28)&lt;&gt;首页!$B$3,"不在会计年度",IF($E28="","未选收支科目",IF($D28="⚠","收支科目不存在",IF($F28="","未选账户",IF($T28="","账户未设资金科目",IF(AND($D28="转账",$U28=""),"转入账户无效",IF(AND(N($K28)&gt;0,N($L28)&gt;0),"收支不能同时填",IF(AND($D28="收入",N($K28)&lt;=0),"收入金额须大于0",IF(AND($D28&lt;&gt;"收入",N($L28)&lt;=0),"支出金额须大于0",IF($O28="","借方科目缺失",IF($P28="","贷方科目缺失","√")))))))))))))</f>
        <v/>
      </c>
      <c r="N28" s="48" t="str">
        <f aca="false">IF($B28="","",IF($D28="收入",N($K28),N($L28)))</f>
        <v/>
      </c>
      <c r="O28" s="49" t="str">
        <f aca="false">IF($B28="","",IF($D28="收入",$T28,IF($D28="转账",$U28,$S28)))</f>
        <v/>
      </c>
      <c r="P28" s="49" t="str">
        <f aca="false">IF($B28="","",IF($D28="收入",$S28,$T28))</f>
        <v/>
      </c>
      <c r="Q28" s="50" t="str">
        <f aca="false">IF($E28="","",IF($D28="转账","—",IFERROR(INDEX(科目参数!$P$6:$P$85,MATCH($E28,科目参数!$M$6:$M$85,0)),"")))</f>
        <v/>
      </c>
      <c r="R28" s="48" t="str">
        <f aca="false">IF($B28="","",SUMIFS(期初数据!$B$6:$B$35,期初数据!$A$6:$A$35,$F28)+SUMIFS($N$5:$N28,$F$5:$F28,$F28,$D$5:$D28,"收入")-SUMIFS($N$5:$N28,$F$5:$F28,$F28,$D$5:$D28,"支出")-SUMIFS($N$5:$N28,$F$5:$F28,$F28,$D$5:$D28,"转账")+SUMIFS($N$5:$N28,$G$5:$G28,$F28,$D$5:$D28,"转账"))</f>
        <v/>
      </c>
      <c r="S28" s="49" t="str">
        <f aca="false">IF($E28="","",IFERROR(INDEX(科目参数!$N$6:$N$85,MATCH($E28,科目参数!$M$6:$M$85,0)),""))</f>
        <v/>
      </c>
      <c r="T28" s="49" t="str">
        <f aca="false">IF($F28="","",IFERROR(INDEX(基础资料!$C$6:$C$35,MATCH($F28,基础资料!$A$6:$A$35,0)),""))</f>
        <v/>
      </c>
      <c r="U28" s="49" t="str">
        <f aca="false">IF($G28="","",IFERROR(INDEX(基础资料!$C$6:$C$35,MATCH($G28,基础资料!$A$6:$A$35,0)),""))</f>
        <v/>
      </c>
      <c r="V28" s="49" t="str">
        <f aca="false">IF(AND($G28=客户对账单!$B$3,$E28="客户回款",$B28&gt;=客户对账单!$E$3,$B28&lt;=客户对账单!$H$3),COUNTIFS($G$5:$G28,客户对账单!$B$3,$E$5:$E28,"客户回款",$B$5:$B28,"&gt;="&amp;客户对账单!$E$3,$B$5:$B28,"&lt;="&amp;客户对账单!$H$3),"")</f>
        <v/>
      </c>
      <c r="W28" s="49" t="str">
        <f aca="false">IF(AND($G28=供应商对账单!$B$3,$E28="供应商付款",$B28&gt;=供应商对账单!$E$3,$B28&lt;=供应商对账单!$H$3),COUNTIFS($G$5:$G28,供应商对账单!$B$3,$E$5:$E28,"供应商付款",$B$5:$B28,"&gt;="&amp;供应商对账单!$E$3,$B$5:$B28,"&lt;="&amp;供应商对账单!$H$3),"")</f>
        <v/>
      </c>
    </row>
    <row r="29" customFormat="false" ht="15.75" hidden="false" customHeight="true" outlineLevel="0" collapsed="false">
      <c r="A29" s="42" t="str">
        <f aca="false">IF($B29="","","ZJ"&amp;TEXT($B29,"yyyymm")&amp;"-"&amp;TEXT(ROW()-4,"000"))</f>
        <v/>
      </c>
      <c r="B29" s="41"/>
      <c r="C29" s="42" t="str">
        <f aca="false">IF($B29="","",TEXT($B29,"yyyy-mm"))</f>
        <v/>
      </c>
      <c r="D29" s="42" t="str">
        <f aca="false">IF($E29="","",IFERROR(INDEX(科目参数!$L$6:$L$85,MATCH($E29,科目参数!$M$6:$M$85,0)),"⚠"))</f>
        <v/>
      </c>
      <c r="E29" s="33"/>
      <c r="F29" s="33"/>
      <c r="G29" s="36"/>
      <c r="H29" s="33"/>
      <c r="I29" s="33"/>
      <c r="J29" s="36"/>
      <c r="K29" s="40"/>
      <c r="L29" s="40"/>
      <c r="M29" s="47" t="str">
        <f aca="false">IF($B29="","",IF(NOT(ISNUMBER($B29)),"日期不是日期格式",IF(YEAR($B29)&lt;&gt;首页!$B$3,"不在会计年度",IF($E29="","未选收支科目",IF($D29="⚠","收支科目不存在",IF($F29="","未选账户",IF($T29="","账户未设资金科目",IF(AND($D29="转账",$U29=""),"转入账户无效",IF(AND(N($K29)&gt;0,N($L29)&gt;0),"收支不能同时填",IF(AND($D29="收入",N($K29)&lt;=0),"收入金额须大于0",IF(AND($D29&lt;&gt;"收入",N($L29)&lt;=0),"支出金额须大于0",IF($O29="","借方科目缺失",IF($P29="","贷方科目缺失","√")))))))))))))</f>
        <v/>
      </c>
      <c r="N29" s="48" t="str">
        <f aca="false">IF($B29="","",IF($D29="收入",N($K29),N($L29)))</f>
        <v/>
      </c>
      <c r="O29" s="49" t="str">
        <f aca="false">IF($B29="","",IF($D29="收入",$T29,IF($D29="转账",$U29,$S29)))</f>
        <v/>
      </c>
      <c r="P29" s="49" t="str">
        <f aca="false">IF($B29="","",IF($D29="收入",$S29,$T29))</f>
        <v/>
      </c>
      <c r="Q29" s="50" t="str">
        <f aca="false">IF($E29="","",IF($D29="转账","—",IFERROR(INDEX(科目参数!$P$6:$P$85,MATCH($E29,科目参数!$M$6:$M$85,0)),"")))</f>
        <v/>
      </c>
      <c r="R29" s="48" t="str">
        <f aca="false">IF($B29="","",SUMIFS(期初数据!$B$6:$B$35,期初数据!$A$6:$A$35,$F29)+SUMIFS($N$5:$N29,$F$5:$F29,$F29,$D$5:$D29,"收入")-SUMIFS($N$5:$N29,$F$5:$F29,$F29,$D$5:$D29,"支出")-SUMIFS($N$5:$N29,$F$5:$F29,$F29,$D$5:$D29,"转账")+SUMIFS($N$5:$N29,$G$5:$G29,$F29,$D$5:$D29,"转账"))</f>
        <v/>
      </c>
      <c r="S29" s="49" t="str">
        <f aca="false">IF($E29="","",IFERROR(INDEX(科目参数!$N$6:$N$85,MATCH($E29,科目参数!$M$6:$M$85,0)),""))</f>
        <v/>
      </c>
      <c r="T29" s="49" t="str">
        <f aca="false">IF($F29="","",IFERROR(INDEX(基础资料!$C$6:$C$35,MATCH($F29,基础资料!$A$6:$A$35,0)),""))</f>
        <v/>
      </c>
      <c r="U29" s="49" t="str">
        <f aca="false">IF($G29="","",IFERROR(INDEX(基础资料!$C$6:$C$35,MATCH($G29,基础资料!$A$6:$A$35,0)),""))</f>
        <v/>
      </c>
      <c r="V29" s="49" t="str">
        <f aca="false">IF(AND($G29=客户对账单!$B$3,$E29="客户回款",$B29&gt;=客户对账单!$E$3,$B29&lt;=客户对账单!$H$3),COUNTIFS($G$5:$G29,客户对账单!$B$3,$E$5:$E29,"客户回款",$B$5:$B29,"&gt;="&amp;客户对账单!$E$3,$B$5:$B29,"&lt;="&amp;客户对账单!$H$3),"")</f>
        <v/>
      </c>
      <c r="W29" s="49" t="str">
        <f aca="false">IF(AND($G29=供应商对账单!$B$3,$E29="供应商付款",$B29&gt;=供应商对账单!$E$3,$B29&lt;=供应商对账单!$H$3),COUNTIFS($G$5:$G29,供应商对账单!$B$3,$E$5:$E29,"供应商付款",$B$5:$B29,"&gt;="&amp;供应商对账单!$E$3,$B$5:$B29,"&lt;="&amp;供应商对账单!$H$3),"")</f>
        <v/>
      </c>
    </row>
    <row r="30" customFormat="false" ht="15.75" hidden="false" customHeight="true" outlineLevel="0" collapsed="false">
      <c r="A30" s="42" t="str">
        <f aca="false">IF($B30="","","ZJ"&amp;TEXT($B30,"yyyymm")&amp;"-"&amp;TEXT(ROW()-4,"000"))</f>
        <v/>
      </c>
      <c r="B30" s="41"/>
      <c r="C30" s="42" t="str">
        <f aca="false">IF($B30="","",TEXT($B30,"yyyy-mm"))</f>
        <v/>
      </c>
      <c r="D30" s="42" t="str">
        <f aca="false">IF($E30="","",IFERROR(INDEX(科目参数!$L$6:$L$85,MATCH($E30,科目参数!$M$6:$M$85,0)),"⚠"))</f>
        <v/>
      </c>
      <c r="E30" s="33"/>
      <c r="F30" s="33"/>
      <c r="G30" s="36"/>
      <c r="H30" s="33"/>
      <c r="I30" s="33"/>
      <c r="J30" s="36"/>
      <c r="K30" s="40"/>
      <c r="L30" s="40"/>
      <c r="M30" s="47" t="str">
        <f aca="false">IF($B30="","",IF(NOT(ISNUMBER($B30)),"日期不是日期格式",IF(YEAR($B30)&lt;&gt;首页!$B$3,"不在会计年度",IF($E30="","未选收支科目",IF($D30="⚠","收支科目不存在",IF($F30="","未选账户",IF($T30="","账户未设资金科目",IF(AND($D30="转账",$U30=""),"转入账户无效",IF(AND(N($K30)&gt;0,N($L30)&gt;0),"收支不能同时填",IF(AND($D30="收入",N($K30)&lt;=0),"收入金额须大于0",IF(AND($D30&lt;&gt;"收入",N($L30)&lt;=0),"支出金额须大于0",IF($O30="","借方科目缺失",IF($P30="","贷方科目缺失","√")))))))))))))</f>
        <v/>
      </c>
      <c r="N30" s="48" t="str">
        <f aca="false">IF($B30="","",IF($D30="收入",N($K30),N($L30)))</f>
        <v/>
      </c>
      <c r="O30" s="49" t="str">
        <f aca="false">IF($B30="","",IF($D30="收入",$T30,IF($D30="转账",$U30,$S30)))</f>
        <v/>
      </c>
      <c r="P30" s="49" t="str">
        <f aca="false">IF($B30="","",IF($D30="收入",$S30,$T30))</f>
        <v/>
      </c>
      <c r="Q30" s="50" t="str">
        <f aca="false">IF($E30="","",IF($D30="转账","—",IFERROR(INDEX(科目参数!$P$6:$P$85,MATCH($E30,科目参数!$M$6:$M$85,0)),"")))</f>
        <v/>
      </c>
      <c r="R30" s="48" t="str">
        <f aca="false">IF($B30="","",SUMIFS(期初数据!$B$6:$B$35,期初数据!$A$6:$A$35,$F30)+SUMIFS($N$5:$N30,$F$5:$F30,$F30,$D$5:$D30,"收入")-SUMIFS($N$5:$N30,$F$5:$F30,$F30,$D$5:$D30,"支出")-SUMIFS($N$5:$N30,$F$5:$F30,$F30,$D$5:$D30,"转账")+SUMIFS($N$5:$N30,$G$5:$G30,$F30,$D$5:$D30,"转账"))</f>
        <v/>
      </c>
      <c r="S30" s="49" t="str">
        <f aca="false">IF($E30="","",IFERROR(INDEX(科目参数!$N$6:$N$85,MATCH($E30,科目参数!$M$6:$M$85,0)),""))</f>
        <v/>
      </c>
      <c r="T30" s="49" t="str">
        <f aca="false">IF($F30="","",IFERROR(INDEX(基础资料!$C$6:$C$35,MATCH($F30,基础资料!$A$6:$A$35,0)),""))</f>
        <v/>
      </c>
      <c r="U30" s="49" t="str">
        <f aca="false">IF($G30="","",IFERROR(INDEX(基础资料!$C$6:$C$35,MATCH($G30,基础资料!$A$6:$A$35,0)),""))</f>
        <v/>
      </c>
      <c r="V30" s="49" t="str">
        <f aca="false">IF(AND($G30=客户对账单!$B$3,$E30="客户回款",$B30&gt;=客户对账单!$E$3,$B30&lt;=客户对账单!$H$3),COUNTIFS($G$5:$G30,客户对账单!$B$3,$E$5:$E30,"客户回款",$B$5:$B30,"&gt;="&amp;客户对账单!$E$3,$B$5:$B30,"&lt;="&amp;客户对账单!$H$3),"")</f>
        <v/>
      </c>
      <c r="W30" s="49" t="str">
        <f aca="false">IF(AND($G30=供应商对账单!$B$3,$E30="供应商付款",$B30&gt;=供应商对账单!$E$3,$B30&lt;=供应商对账单!$H$3),COUNTIFS($G$5:$G30,供应商对账单!$B$3,$E$5:$E30,"供应商付款",$B$5:$B30,"&gt;="&amp;供应商对账单!$E$3,$B$5:$B30,"&lt;="&amp;供应商对账单!$H$3),"")</f>
        <v/>
      </c>
    </row>
    <row r="31" customFormat="false" ht="15.75" hidden="false" customHeight="true" outlineLevel="0" collapsed="false">
      <c r="A31" s="42" t="str">
        <f aca="false">IF($B31="","","ZJ"&amp;TEXT($B31,"yyyymm")&amp;"-"&amp;TEXT(ROW()-4,"000"))</f>
        <v/>
      </c>
      <c r="B31" s="41"/>
      <c r="C31" s="42" t="str">
        <f aca="false">IF($B31="","",TEXT($B31,"yyyy-mm"))</f>
        <v/>
      </c>
      <c r="D31" s="42" t="str">
        <f aca="false">IF($E31="","",IFERROR(INDEX(科目参数!$L$6:$L$85,MATCH($E31,科目参数!$M$6:$M$85,0)),"⚠"))</f>
        <v/>
      </c>
      <c r="E31" s="33"/>
      <c r="F31" s="33"/>
      <c r="G31" s="36"/>
      <c r="H31" s="33"/>
      <c r="I31" s="33"/>
      <c r="J31" s="36"/>
      <c r="K31" s="40"/>
      <c r="L31" s="40"/>
      <c r="M31" s="47" t="str">
        <f aca="false">IF($B31="","",IF(NOT(ISNUMBER($B31)),"日期不是日期格式",IF(YEAR($B31)&lt;&gt;首页!$B$3,"不在会计年度",IF($E31="","未选收支科目",IF($D31="⚠","收支科目不存在",IF($F31="","未选账户",IF($T31="","账户未设资金科目",IF(AND($D31="转账",$U31=""),"转入账户无效",IF(AND(N($K31)&gt;0,N($L31)&gt;0),"收支不能同时填",IF(AND($D31="收入",N($K31)&lt;=0),"收入金额须大于0",IF(AND($D31&lt;&gt;"收入",N($L31)&lt;=0),"支出金额须大于0",IF($O31="","借方科目缺失",IF($P31="","贷方科目缺失","√")))))))))))))</f>
        <v/>
      </c>
      <c r="N31" s="48" t="str">
        <f aca="false">IF($B31="","",IF($D31="收入",N($K31),N($L31)))</f>
        <v/>
      </c>
      <c r="O31" s="49" t="str">
        <f aca="false">IF($B31="","",IF($D31="收入",$T31,IF($D31="转账",$U31,$S31)))</f>
        <v/>
      </c>
      <c r="P31" s="49" t="str">
        <f aca="false">IF($B31="","",IF($D31="收入",$S31,$T31))</f>
        <v/>
      </c>
      <c r="Q31" s="50" t="str">
        <f aca="false">IF($E31="","",IF($D31="转账","—",IFERROR(INDEX(科目参数!$P$6:$P$85,MATCH($E31,科目参数!$M$6:$M$85,0)),"")))</f>
        <v/>
      </c>
      <c r="R31" s="48" t="str">
        <f aca="false">IF($B31="","",SUMIFS(期初数据!$B$6:$B$35,期初数据!$A$6:$A$35,$F31)+SUMIFS($N$5:$N31,$F$5:$F31,$F31,$D$5:$D31,"收入")-SUMIFS($N$5:$N31,$F$5:$F31,$F31,$D$5:$D31,"支出")-SUMIFS($N$5:$N31,$F$5:$F31,$F31,$D$5:$D31,"转账")+SUMIFS($N$5:$N31,$G$5:$G31,$F31,$D$5:$D31,"转账"))</f>
        <v/>
      </c>
      <c r="S31" s="49" t="str">
        <f aca="false">IF($E31="","",IFERROR(INDEX(科目参数!$N$6:$N$85,MATCH($E31,科目参数!$M$6:$M$85,0)),""))</f>
        <v/>
      </c>
      <c r="T31" s="49" t="str">
        <f aca="false">IF($F31="","",IFERROR(INDEX(基础资料!$C$6:$C$35,MATCH($F31,基础资料!$A$6:$A$35,0)),""))</f>
        <v/>
      </c>
      <c r="U31" s="49" t="str">
        <f aca="false">IF($G31="","",IFERROR(INDEX(基础资料!$C$6:$C$35,MATCH($G31,基础资料!$A$6:$A$35,0)),""))</f>
        <v/>
      </c>
      <c r="V31" s="49" t="str">
        <f aca="false">IF(AND($G31=客户对账单!$B$3,$E31="客户回款",$B31&gt;=客户对账单!$E$3,$B31&lt;=客户对账单!$H$3),COUNTIFS($G$5:$G31,客户对账单!$B$3,$E$5:$E31,"客户回款",$B$5:$B31,"&gt;="&amp;客户对账单!$E$3,$B$5:$B31,"&lt;="&amp;客户对账单!$H$3),"")</f>
        <v/>
      </c>
      <c r="W31" s="49" t="str">
        <f aca="false">IF(AND($G31=供应商对账单!$B$3,$E31="供应商付款",$B31&gt;=供应商对账单!$E$3,$B31&lt;=供应商对账单!$H$3),COUNTIFS($G$5:$G31,供应商对账单!$B$3,$E$5:$E31,"供应商付款",$B$5:$B31,"&gt;="&amp;供应商对账单!$E$3,$B$5:$B31,"&lt;="&amp;供应商对账单!$H$3),"")</f>
        <v/>
      </c>
    </row>
    <row r="32" customFormat="false" ht="15.75" hidden="false" customHeight="true" outlineLevel="0" collapsed="false">
      <c r="A32" s="42" t="str">
        <f aca="false">IF($B32="","","ZJ"&amp;TEXT($B32,"yyyymm")&amp;"-"&amp;TEXT(ROW()-4,"000"))</f>
        <v/>
      </c>
      <c r="B32" s="41"/>
      <c r="C32" s="42" t="str">
        <f aca="false">IF($B32="","",TEXT($B32,"yyyy-mm"))</f>
        <v/>
      </c>
      <c r="D32" s="42" t="str">
        <f aca="false">IF($E32="","",IFERROR(INDEX(科目参数!$L$6:$L$85,MATCH($E32,科目参数!$M$6:$M$85,0)),"⚠"))</f>
        <v/>
      </c>
      <c r="E32" s="33"/>
      <c r="F32" s="33"/>
      <c r="G32" s="36"/>
      <c r="H32" s="33"/>
      <c r="I32" s="33"/>
      <c r="J32" s="36"/>
      <c r="K32" s="40"/>
      <c r="L32" s="40"/>
      <c r="M32" s="47" t="str">
        <f aca="false">IF($B32="","",IF(NOT(ISNUMBER($B32)),"日期不是日期格式",IF(YEAR($B32)&lt;&gt;首页!$B$3,"不在会计年度",IF($E32="","未选收支科目",IF($D32="⚠","收支科目不存在",IF($F32="","未选账户",IF($T32="","账户未设资金科目",IF(AND($D32="转账",$U32=""),"转入账户无效",IF(AND(N($K32)&gt;0,N($L32)&gt;0),"收支不能同时填",IF(AND($D32="收入",N($K32)&lt;=0),"收入金额须大于0",IF(AND($D32&lt;&gt;"收入",N($L32)&lt;=0),"支出金额须大于0",IF($O32="","借方科目缺失",IF($P32="","贷方科目缺失","√")))))))))))))</f>
        <v/>
      </c>
      <c r="N32" s="48" t="str">
        <f aca="false">IF($B32="","",IF($D32="收入",N($K32),N($L32)))</f>
        <v/>
      </c>
      <c r="O32" s="49" t="str">
        <f aca="false">IF($B32="","",IF($D32="收入",$T32,IF($D32="转账",$U32,$S32)))</f>
        <v/>
      </c>
      <c r="P32" s="49" t="str">
        <f aca="false">IF($B32="","",IF($D32="收入",$S32,$T32))</f>
        <v/>
      </c>
      <c r="Q32" s="50" t="str">
        <f aca="false">IF($E32="","",IF($D32="转账","—",IFERROR(INDEX(科目参数!$P$6:$P$85,MATCH($E32,科目参数!$M$6:$M$85,0)),"")))</f>
        <v/>
      </c>
      <c r="R32" s="48" t="str">
        <f aca="false">IF($B32="","",SUMIFS(期初数据!$B$6:$B$35,期初数据!$A$6:$A$35,$F32)+SUMIFS($N$5:$N32,$F$5:$F32,$F32,$D$5:$D32,"收入")-SUMIFS($N$5:$N32,$F$5:$F32,$F32,$D$5:$D32,"支出")-SUMIFS($N$5:$N32,$F$5:$F32,$F32,$D$5:$D32,"转账")+SUMIFS($N$5:$N32,$G$5:$G32,$F32,$D$5:$D32,"转账"))</f>
        <v/>
      </c>
      <c r="S32" s="49" t="str">
        <f aca="false">IF($E32="","",IFERROR(INDEX(科目参数!$N$6:$N$85,MATCH($E32,科目参数!$M$6:$M$85,0)),""))</f>
        <v/>
      </c>
      <c r="T32" s="49" t="str">
        <f aca="false">IF($F32="","",IFERROR(INDEX(基础资料!$C$6:$C$35,MATCH($F32,基础资料!$A$6:$A$35,0)),""))</f>
        <v/>
      </c>
      <c r="U32" s="49" t="str">
        <f aca="false">IF($G32="","",IFERROR(INDEX(基础资料!$C$6:$C$35,MATCH($G32,基础资料!$A$6:$A$35,0)),""))</f>
        <v/>
      </c>
      <c r="V32" s="49" t="str">
        <f aca="false">IF(AND($G32=客户对账单!$B$3,$E32="客户回款",$B32&gt;=客户对账单!$E$3,$B32&lt;=客户对账单!$H$3),COUNTIFS($G$5:$G32,客户对账单!$B$3,$E$5:$E32,"客户回款",$B$5:$B32,"&gt;="&amp;客户对账单!$E$3,$B$5:$B32,"&lt;="&amp;客户对账单!$H$3),"")</f>
        <v/>
      </c>
      <c r="W32" s="49" t="str">
        <f aca="false">IF(AND($G32=供应商对账单!$B$3,$E32="供应商付款",$B32&gt;=供应商对账单!$E$3,$B32&lt;=供应商对账单!$H$3),COUNTIFS($G$5:$G32,供应商对账单!$B$3,$E$5:$E32,"供应商付款",$B$5:$B32,"&gt;="&amp;供应商对账单!$E$3,$B$5:$B32,"&lt;="&amp;供应商对账单!$H$3),"")</f>
        <v/>
      </c>
    </row>
    <row r="33" customFormat="false" ht="15.75" hidden="false" customHeight="true" outlineLevel="0" collapsed="false">
      <c r="A33" s="42" t="str">
        <f aca="false">IF($B33="","","ZJ"&amp;TEXT($B33,"yyyymm")&amp;"-"&amp;TEXT(ROW()-4,"000"))</f>
        <v/>
      </c>
      <c r="B33" s="41"/>
      <c r="C33" s="42" t="str">
        <f aca="false">IF($B33="","",TEXT($B33,"yyyy-mm"))</f>
        <v/>
      </c>
      <c r="D33" s="42" t="str">
        <f aca="false">IF($E33="","",IFERROR(INDEX(科目参数!$L$6:$L$85,MATCH($E33,科目参数!$M$6:$M$85,0)),"⚠"))</f>
        <v/>
      </c>
      <c r="E33" s="33"/>
      <c r="F33" s="33"/>
      <c r="G33" s="36"/>
      <c r="H33" s="33"/>
      <c r="I33" s="33"/>
      <c r="J33" s="36"/>
      <c r="K33" s="40"/>
      <c r="L33" s="40"/>
      <c r="M33" s="47" t="str">
        <f aca="false">IF($B33="","",IF(NOT(ISNUMBER($B33)),"日期不是日期格式",IF(YEAR($B33)&lt;&gt;首页!$B$3,"不在会计年度",IF($E33="","未选收支科目",IF($D33="⚠","收支科目不存在",IF($F33="","未选账户",IF($T33="","账户未设资金科目",IF(AND($D33="转账",$U33=""),"转入账户无效",IF(AND(N($K33)&gt;0,N($L33)&gt;0),"收支不能同时填",IF(AND($D33="收入",N($K33)&lt;=0),"收入金额须大于0",IF(AND($D33&lt;&gt;"收入",N($L33)&lt;=0),"支出金额须大于0",IF($O33="","借方科目缺失",IF($P33="","贷方科目缺失","√")))))))))))))</f>
        <v/>
      </c>
      <c r="N33" s="48" t="str">
        <f aca="false">IF($B33="","",IF($D33="收入",N($K33),N($L33)))</f>
        <v/>
      </c>
      <c r="O33" s="49" t="str">
        <f aca="false">IF($B33="","",IF($D33="收入",$T33,IF($D33="转账",$U33,$S33)))</f>
        <v/>
      </c>
      <c r="P33" s="49" t="str">
        <f aca="false">IF($B33="","",IF($D33="收入",$S33,$T33))</f>
        <v/>
      </c>
      <c r="Q33" s="50" t="str">
        <f aca="false">IF($E33="","",IF($D33="转账","—",IFERROR(INDEX(科目参数!$P$6:$P$85,MATCH($E33,科目参数!$M$6:$M$85,0)),"")))</f>
        <v/>
      </c>
      <c r="R33" s="48" t="str">
        <f aca="false">IF($B33="","",SUMIFS(期初数据!$B$6:$B$35,期初数据!$A$6:$A$35,$F33)+SUMIFS($N$5:$N33,$F$5:$F33,$F33,$D$5:$D33,"收入")-SUMIFS($N$5:$N33,$F$5:$F33,$F33,$D$5:$D33,"支出")-SUMIFS($N$5:$N33,$F$5:$F33,$F33,$D$5:$D33,"转账")+SUMIFS($N$5:$N33,$G$5:$G33,$F33,$D$5:$D33,"转账"))</f>
        <v/>
      </c>
      <c r="S33" s="49" t="str">
        <f aca="false">IF($E33="","",IFERROR(INDEX(科目参数!$N$6:$N$85,MATCH($E33,科目参数!$M$6:$M$85,0)),""))</f>
        <v/>
      </c>
      <c r="T33" s="49" t="str">
        <f aca="false">IF($F33="","",IFERROR(INDEX(基础资料!$C$6:$C$35,MATCH($F33,基础资料!$A$6:$A$35,0)),""))</f>
        <v/>
      </c>
      <c r="U33" s="49" t="str">
        <f aca="false">IF($G33="","",IFERROR(INDEX(基础资料!$C$6:$C$35,MATCH($G33,基础资料!$A$6:$A$35,0)),""))</f>
        <v/>
      </c>
      <c r="V33" s="49" t="str">
        <f aca="false">IF(AND($G33=客户对账单!$B$3,$E33="客户回款",$B33&gt;=客户对账单!$E$3,$B33&lt;=客户对账单!$H$3),COUNTIFS($G$5:$G33,客户对账单!$B$3,$E$5:$E33,"客户回款",$B$5:$B33,"&gt;="&amp;客户对账单!$E$3,$B$5:$B33,"&lt;="&amp;客户对账单!$H$3),"")</f>
        <v/>
      </c>
      <c r="W33" s="49" t="str">
        <f aca="false">IF(AND($G33=供应商对账单!$B$3,$E33="供应商付款",$B33&gt;=供应商对账单!$E$3,$B33&lt;=供应商对账单!$H$3),COUNTIFS($G$5:$G33,供应商对账单!$B$3,$E$5:$E33,"供应商付款",$B$5:$B33,"&gt;="&amp;供应商对账单!$E$3,$B$5:$B33,"&lt;="&amp;供应商对账单!$H$3),"")</f>
        <v/>
      </c>
    </row>
    <row r="34" customFormat="false" ht="15.75" hidden="false" customHeight="true" outlineLevel="0" collapsed="false">
      <c r="A34" s="42" t="str">
        <f aca="false">IF($B34="","","ZJ"&amp;TEXT($B34,"yyyymm")&amp;"-"&amp;TEXT(ROW()-4,"000"))</f>
        <v/>
      </c>
      <c r="B34" s="41"/>
      <c r="C34" s="42" t="str">
        <f aca="false">IF($B34="","",TEXT($B34,"yyyy-mm"))</f>
        <v/>
      </c>
      <c r="D34" s="42" t="str">
        <f aca="false">IF($E34="","",IFERROR(INDEX(科目参数!$L$6:$L$85,MATCH($E34,科目参数!$M$6:$M$85,0)),"⚠"))</f>
        <v/>
      </c>
      <c r="E34" s="33"/>
      <c r="F34" s="33"/>
      <c r="G34" s="36"/>
      <c r="H34" s="33"/>
      <c r="I34" s="33"/>
      <c r="J34" s="36"/>
      <c r="K34" s="40"/>
      <c r="L34" s="40"/>
      <c r="M34" s="47" t="str">
        <f aca="false">IF($B34="","",IF(NOT(ISNUMBER($B34)),"日期不是日期格式",IF(YEAR($B34)&lt;&gt;首页!$B$3,"不在会计年度",IF($E34="","未选收支科目",IF($D34="⚠","收支科目不存在",IF($F34="","未选账户",IF($T34="","账户未设资金科目",IF(AND($D34="转账",$U34=""),"转入账户无效",IF(AND(N($K34)&gt;0,N($L34)&gt;0),"收支不能同时填",IF(AND($D34="收入",N($K34)&lt;=0),"收入金额须大于0",IF(AND($D34&lt;&gt;"收入",N($L34)&lt;=0),"支出金额须大于0",IF($O34="","借方科目缺失",IF($P34="","贷方科目缺失","√")))))))))))))</f>
        <v/>
      </c>
      <c r="N34" s="48" t="str">
        <f aca="false">IF($B34="","",IF($D34="收入",N($K34),N($L34)))</f>
        <v/>
      </c>
      <c r="O34" s="49" t="str">
        <f aca="false">IF($B34="","",IF($D34="收入",$T34,IF($D34="转账",$U34,$S34)))</f>
        <v/>
      </c>
      <c r="P34" s="49" t="str">
        <f aca="false">IF($B34="","",IF($D34="收入",$S34,$T34))</f>
        <v/>
      </c>
      <c r="Q34" s="50" t="str">
        <f aca="false">IF($E34="","",IF($D34="转账","—",IFERROR(INDEX(科目参数!$P$6:$P$85,MATCH($E34,科目参数!$M$6:$M$85,0)),"")))</f>
        <v/>
      </c>
      <c r="R34" s="48" t="str">
        <f aca="false">IF($B34="","",SUMIFS(期初数据!$B$6:$B$35,期初数据!$A$6:$A$35,$F34)+SUMIFS($N$5:$N34,$F$5:$F34,$F34,$D$5:$D34,"收入")-SUMIFS($N$5:$N34,$F$5:$F34,$F34,$D$5:$D34,"支出")-SUMIFS($N$5:$N34,$F$5:$F34,$F34,$D$5:$D34,"转账")+SUMIFS($N$5:$N34,$G$5:$G34,$F34,$D$5:$D34,"转账"))</f>
        <v/>
      </c>
      <c r="S34" s="49" t="str">
        <f aca="false">IF($E34="","",IFERROR(INDEX(科目参数!$N$6:$N$85,MATCH($E34,科目参数!$M$6:$M$85,0)),""))</f>
        <v/>
      </c>
      <c r="T34" s="49" t="str">
        <f aca="false">IF($F34="","",IFERROR(INDEX(基础资料!$C$6:$C$35,MATCH($F34,基础资料!$A$6:$A$35,0)),""))</f>
        <v/>
      </c>
      <c r="U34" s="49" t="str">
        <f aca="false">IF($G34="","",IFERROR(INDEX(基础资料!$C$6:$C$35,MATCH($G34,基础资料!$A$6:$A$35,0)),""))</f>
        <v/>
      </c>
      <c r="V34" s="49" t="str">
        <f aca="false">IF(AND($G34=客户对账单!$B$3,$E34="客户回款",$B34&gt;=客户对账单!$E$3,$B34&lt;=客户对账单!$H$3),COUNTIFS($G$5:$G34,客户对账单!$B$3,$E$5:$E34,"客户回款",$B$5:$B34,"&gt;="&amp;客户对账单!$E$3,$B$5:$B34,"&lt;="&amp;客户对账单!$H$3),"")</f>
        <v/>
      </c>
      <c r="W34" s="49" t="str">
        <f aca="false">IF(AND($G34=供应商对账单!$B$3,$E34="供应商付款",$B34&gt;=供应商对账单!$E$3,$B34&lt;=供应商对账单!$H$3),COUNTIFS($G$5:$G34,供应商对账单!$B$3,$E$5:$E34,"供应商付款",$B$5:$B34,"&gt;="&amp;供应商对账单!$E$3,$B$5:$B34,"&lt;="&amp;供应商对账单!$H$3),"")</f>
        <v/>
      </c>
    </row>
    <row r="35" customFormat="false" ht="15.75" hidden="false" customHeight="true" outlineLevel="0" collapsed="false">
      <c r="A35" s="42" t="str">
        <f aca="false">IF($B35="","","ZJ"&amp;TEXT($B35,"yyyymm")&amp;"-"&amp;TEXT(ROW()-4,"000"))</f>
        <v/>
      </c>
      <c r="B35" s="41"/>
      <c r="C35" s="42" t="str">
        <f aca="false">IF($B35="","",TEXT($B35,"yyyy-mm"))</f>
        <v/>
      </c>
      <c r="D35" s="42" t="str">
        <f aca="false">IF($E35="","",IFERROR(INDEX(科目参数!$L$6:$L$85,MATCH($E35,科目参数!$M$6:$M$85,0)),"⚠"))</f>
        <v/>
      </c>
      <c r="E35" s="33"/>
      <c r="F35" s="33"/>
      <c r="G35" s="36"/>
      <c r="H35" s="33"/>
      <c r="I35" s="33"/>
      <c r="J35" s="36"/>
      <c r="K35" s="40"/>
      <c r="L35" s="40"/>
      <c r="M35" s="47" t="str">
        <f aca="false">IF($B35="","",IF(NOT(ISNUMBER($B35)),"日期不是日期格式",IF(YEAR($B35)&lt;&gt;首页!$B$3,"不在会计年度",IF($E35="","未选收支科目",IF($D35="⚠","收支科目不存在",IF($F35="","未选账户",IF($T35="","账户未设资金科目",IF(AND($D35="转账",$U35=""),"转入账户无效",IF(AND(N($K35)&gt;0,N($L35)&gt;0),"收支不能同时填",IF(AND($D35="收入",N($K35)&lt;=0),"收入金额须大于0",IF(AND($D35&lt;&gt;"收入",N($L35)&lt;=0),"支出金额须大于0",IF($O35="","借方科目缺失",IF($P35="","贷方科目缺失","√")))))))))))))</f>
        <v/>
      </c>
      <c r="N35" s="48" t="str">
        <f aca="false">IF($B35="","",IF($D35="收入",N($K35),N($L35)))</f>
        <v/>
      </c>
      <c r="O35" s="49" t="str">
        <f aca="false">IF($B35="","",IF($D35="收入",$T35,IF($D35="转账",$U35,$S35)))</f>
        <v/>
      </c>
      <c r="P35" s="49" t="str">
        <f aca="false">IF($B35="","",IF($D35="收入",$S35,$T35))</f>
        <v/>
      </c>
      <c r="Q35" s="50" t="str">
        <f aca="false">IF($E35="","",IF($D35="转账","—",IFERROR(INDEX(科目参数!$P$6:$P$85,MATCH($E35,科目参数!$M$6:$M$85,0)),"")))</f>
        <v/>
      </c>
      <c r="R35" s="48" t="str">
        <f aca="false">IF($B35="","",SUMIFS(期初数据!$B$6:$B$35,期初数据!$A$6:$A$35,$F35)+SUMIFS($N$5:$N35,$F$5:$F35,$F35,$D$5:$D35,"收入")-SUMIFS($N$5:$N35,$F$5:$F35,$F35,$D$5:$D35,"支出")-SUMIFS($N$5:$N35,$F$5:$F35,$F35,$D$5:$D35,"转账")+SUMIFS($N$5:$N35,$G$5:$G35,$F35,$D$5:$D35,"转账"))</f>
        <v/>
      </c>
      <c r="S35" s="49" t="str">
        <f aca="false">IF($E35="","",IFERROR(INDEX(科目参数!$N$6:$N$85,MATCH($E35,科目参数!$M$6:$M$85,0)),""))</f>
        <v/>
      </c>
      <c r="T35" s="49" t="str">
        <f aca="false">IF($F35="","",IFERROR(INDEX(基础资料!$C$6:$C$35,MATCH($F35,基础资料!$A$6:$A$35,0)),""))</f>
        <v/>
      </c>
      <c r="U35" s="49" t="str">
        <f aca="false">IF($G35="","",IFERROR(INDEX(基础资料!$C$6:$C$35,MATCH($G35,基础资料!$A$6:$A$35,0)),""))</f>
        <v/>
      </c>
      <c r="V35" s="49" t="str">
        <f aca="false">IF(AND($G35=客户对账单!$B$3,$E35="客户回款",$B35&gt;=客户对账单!$E$3,$B35&lt;=客户对账单!$H$3),COUNTIFS($G$5:$G35,客户对账单!$B$3,$E$5:$E35,"客户回款",$B$5:$B35,"&gt;="&amp;客户对账单!$E$3,$B$5:$B35,"&lt;="&amp;客户对账单!$H$3),"")</f>
        <v/>
      </c>
      <c r="W35" s="49" t="str">
        <f aca="false">IF(AND($G35=供应商对账单!$B$3,$E35="供应商付款",$B35&gt;=供应商对账单!$E$3,$B35&lt;=供应商对账单!$H$3),COUNTIFS($G$5:$G35,供应商对账单!$B$3,$E$5:$E35,"供应商付款",$B$5:$B35,"&gt;="&amp;供应商对账单!$E$3,$B$5:$B35,"&lt;="&amp;供应商对账单!$H$3),"")</f>
        <v/>
      </c>
    </row>
    <row r="36" customFormat="false" ht="15.75" hidden="false" customHeight="true" outlineLevel="0" collapsed="false">
      <c r="A36" s="42" t="str">
        <f aca="false">IF($B36="","","ZJ"&amp;TEXT($B36,"yyyymm")&amp;"-"&amp;TEXT(ROW()-4,"000"))</f>
        <v/>
      </c>
      <c r="B36" s="41"/>
      <c r="C36" s="42" t="str">
        <f aca="false">IF($B36="","",TEXT($B36,"yyyy-mm"))</f>
        <v/>
      </c>
      <c r="D36" s="42" t="str">
        <f aca="false">IF($E36="","",IFERROR(INDEX(科目参数!$L$6:$L$85,MATCH($E36,科目参数!$M$6:$M$85,0)),"⚠"))</f>
        <v/>
      </c>
      <c r="E36" s="33"/>
      <c r="F36" s="33"/>
      <c r="G36" s="36"/>
      <c r="H36" s="33"/>
      <c r="I36" s="33"/>
      <c r="J36" s="36"/>
      <c r="K36" s="40"/>
      <c r="L36" s="40"/>
      <c r="M36" s="47" t="str">
        <f aca="false">IF($B36="","",IF(NOT(ISNUMBER($B36)),"日期不是日期格式",IF(YEAR($B36)&lt;&gt;首页!$B$3,"不在会计年度",IF($E36="","未选收支科目",IF($D36="⚠","收支科目不存在",IF($F36="","未选账户",IF($T36="","账户未设资金科目",IF(AND($D36="转账",$U36=""),"转入账户无效",IF(AND(N($K36)&gt;0,N($L36)&gt;0),"收支不能同时填",IF(AND($D36="收入",N($K36)&lt;=0),"收入金额须大于0",IF(AND($D36&lt;&gt;"收入",N($L36)&lt;=0),"支出金额须大于0",IF($O36="","借方科目缺失",IF($P36="","贷方科目缺失","√")))))))))))))</f>
        <v/>
      </c>
      <c r="N36" s="48" t="str">
        <f aca="false">IF($B36="","",IF($D36="收入",N($K36),N($L36)))</f>
        <v/>
      </c>
      <c r="O36" s="49" t="str">
        <f aca="false">IF($B36="","",IF($D36="收入",$T36,IF($D36="转账",$U36,$S36)))</f>
        <v/>
      </c>
      <c r="P36" s="49" t="str">
        <f aca="false">IF($B36="","",IF($D36="收入",$S36,$T36))</f>
        <v/>
      </c>
      <c r="Q36" s="50" t="str">
        <f aca="false">IF($E36="","",IF($D36="转账","—",IFERROR(INDEX(科目参数!$P$6:$P$85,MATCH($E36,科目参数!$M$6:$M$85,0)),"")))</f>
        <v/>
      </c>
      <c r="R36" s="48" t="str">
        <f aca="false">IF($B36="","",SUMIFS(期初数据!$B$6:$B$35,期初数据!$A$6:$A$35,$F36)+SUMIFS($N$5:$N36,$F$5:$F36,$F36,$D$5:$D36,"收入")-SUMIFS($N$5:$N36,$F$5:$F36,$F36,$D$5:$D36,"支出")-SUMIFS($N$5:$N36,$F$5:$F36,$F36,$D$5:$D36,"转账")+SUMIFS($N$5:$N36,$G$5:$G36,$F36,$D$5:$D36,"转账"))</f>
        <v/>
      </c>
      <c r="S36" s="49" t="str">
        <f aca="false">IF($E36="","",IFERROR(INDEX(科目参数!$N$6:$N$85,MATCH($E36,科目参数!$M$6:$M$85,0)),""))</f>
        <v/>
      </c>
      <c r="T36" s="49" t="str">
        <f aca="false">IF($F36="","",IFERROR(INDEX(基础资料!$C$6:$C$35,MATCH($F36,基础资料!$A$6:$A$35,0)),""))</f>
        <v/>
      </c>
      <c r="U36" s="49" t="str">
        <f aca="false">IF($G36="","",IFERROR(INDEX(基础资料!$C$6:$C$35,MATCH($G36,基础资料!$A$6:$A$35,0)),""))</f>
        <v/>
      </c>
      <c r="V36" s="49" t="str">
        <f aca="false">IF(AND($G36=客户对账单!$B$3,$E36="客户回款",$B36&gt;=客户对账单!$E$3,$B36&lt;=客户对账单!$H$3),COUNTIFS($G$5:$G36,客户对账单!$B$3,$E$5:$E36,"客户回款",$B$5:$B36,"&gt;="&amp;客户对账单!$E$3,$B$5:$B36,"&lt;="&amp;客户对账单!$H$3),"")</f>
        <v/>
      </c>
      <c r="W36" s="49" t="str">
        <f aca="false">IF(AND($G36=供应商对账单!$B$3,$E36="供应商付款",$B36&gt;=供应商对账单!$E$3,$B36&lt;=供应商对账单!$H$3),COUNTIFS($G$5:$G36,供应商对账单!$B$3,$E$5:$E36,"供应商付款",$B$5:$B36,"&gt;="&amp;供应商对账单!$E$3,$B$5:$B36,"&lt;="&amp;供应商对账单!$H$3),"")</f>
        <v/>
      </c>
    </row>
    <row r="37" customFormat="false" ht="15.75" hidden="false" customHeight="true" outlineLevel="0" collapsed="false">
      <c r="A37" s="42" t="str">
        <f aca="false">IF($B37="","","ZJ"&amp;TEXT($B37,"yyyymm")&amp;"-"&amp;TEXT(ROW()-4,"000"))</f>
        <v/>
      </c>
      <c r="B37" s="41"/>
      <c r="C37" s="42" t="str">
        <f aca="false">IF($B37="","",TEXT($B37,"yyyy-mm"))</f>
        <v/>
      </c>
      <c r="D37" s="42" t="str">
        <f aca="false">IF($E37="","",IFERROR(INDEX(科目参数!$L$6:$L$85,MATCH($E37,科目参数!$M$6:$M$85,0)),"⚠"))</f>
        <v/>
      </c>
      <c r="E37" s="33"/>
      <c r="F37" s="33"/>
      <c r="G37" s="36"/>
      <c r="H37" s="33"/>
      <c r="I37" s="33"/>
      <c r="J37" s="36"/>
      <c r="K37" s="40"/>
      <c r="L37" s="40"/>
      <c r="M37" s="47" t="str">
        <f aca="false">IF($B37="","",IF(NOT(ISNUMBER($B37)),"日期不是日期格式",IF(YEAR($B37)&lt;&gt;首页!$B$3,"不在会计年度",IF($E37="","未选收支科目",IF($D37="⚠","收支科目不存在",IF($F37="","未选账户",IF($T37="","账户未设资金科目",IF(AND($D37="转账",$U37=""),"转入账户无效",IF(AND(N($K37)&gt;0,N($L37)&gt;0),"收支不能同时填",IF(AND($D37="收入",N($K37)&lt;=0),"收入金额须大于0",IF(AND($D37&lt;&gt;"收入",N($L37)&lt;=0),"支出金额须大于0",IF($O37="","借方科目缺失",IF($P37="","贷方科目缺失","√")))))))))))))</f>
        <v/>
      </c>
      <c r="N37" s="48" t="str">
        <f aca="false">IF($B37="","",IF($D37="收入",N($K37),N($L37)))</f>
        <v/>
      </c>
      <c r="O37" s="49" t="str">
        <f aca="false">IF($B37="","",IF($D37="收入",$T37,IF($D37="转账",$U37,$S37)))</f>
        <v/>
      </c>
      <c r="P37" s="49" t="str">
        <f aca="false">IF($B37="","",IF($D37="收入",$S37,$T37))</f>
        <v/>
      </c>
      <c r="Q37" s="50" t="str">
        <f aca="false">IF($E37="","",IF($D37="转账","—",IFERROR(INDEX(科目参数!$P$6:$P$85,MATCH($E37,科目参数!$M$6:$M$85,0)),"")))</f>
        <v/>
      </c>
      <c r="R37" s="48" t="str">
        <f aca="false">IF($B37="","",SUMIFS(期初数据!$B$6:$B$35,期初数据!$A$6:$A$35,$F37)+SUMIFS($N$5:$N37,$F$5:$F37,$F37,$D$5:$D37,"收入")-SUMIFS($N$5:$N37,$F$5:$F37,$F37,$D$5:$D37,"支出")-SUMIFS($N$5:$N37,$F$5:$F37,$F37,$D$5:$D37,"转账")+SUMIFS($N$5:$N37,$G$5:$G37,$F37,$D$5:$D37,"转账"))</f>
        <v/>
      </c>
      <c r="S37" s="49" t="str">
        <f aca="false">IF($E37="","",IFERROR(INDEX(科目参数!$N$6:$N$85,MATCH($E37,科目参数!$M$6:$M$85,0)),""))</f>
        <v/>
      </c>
      <c r="T37" s="49" t="str">
        <f aca="false">IF($F37="","",IFERROR(INDEX(基础资料!$C$6:$C$35,MATCH($F37,基础资料!$A$6:$A$35,0)),""))</f>
        <v/>
      </c>
      <c r="U37" s="49" t="str">
        <f aca="false">IF($G37="","",IFERROR(INDEX(基础资料!$C$6:$C$35,MATCH($G37,基础资料!$A$6:$A$35,0)),""))</f>
        <v/>
      </c>
      <c r="V37" s="49" t="str">
        <f aca="false">IF(AND($G37=客户对账单!$B$3,$E37="客户回款",$B37&gt;=客户对账单!$E$3,$B37&lt;=客户对账单!$H$3),COUNTIFS($G$5:$G37,客户对账单!$B$3,$E$5:$E37,"客户回款",$B$5:$B37,"&gt;="&amp;客户对账单!$E$3,$B$5:$B37,"&lt;="&amp;客户对账单!$H$3),"")</f>
        <v/>
      </c>
      <c r="W37" s="49" t="str">
        <f aca="false">IF(AND($G37=供应商对账单!$B$3,$E37="供应商付款",$B37&gt;=供应商对账单!$E$3,$B37&lt;=供应商对账单!$H$3),COUNTIFS($G$5:$G37,供应商对账单!$B$3,$E$5:$E37,"供应商付款",$B$5:$B37,"&gt;="&amp;供应商对账单!$E$3,$B$5:$B37,"&lt;="&amp;供应商对账单!$H$3),"")</f>
        <v/>
      </c>
    </row>
    <row r="38" customFormat="false" ht="15.75" hidden="false" customHeight="true" outlineLevel="0" collapsed="false">
      <c r="A38" s="42" t="str">
        <f aca="false">IF($B38="","","ZJ"&amp;TEXT($B38,"yyyymm")&amp;"-"&amp;TEXT(ROW()-4,"000"))</f>
        <v/>
      </c>
      <c r="B38" s="41"/>
      <c r="C38" s="42" t="str">
        <f aca="false">IF($B38="","",TEXT($B38,"yyyy-mm"))</f>
        <v/>
      </c>
      <c r="D38" s="42" t="str">
        <f aca="false">IF($E38="","",IFERROR(INDEX(科目参数!$L$6:$L$85,MATCH($E38,科目参数!$M$6:$M$85,0)),"⚠"))</f>
        <v/>
      </c>
      <c r="E38" s="33"/>
      <c r="F38" s="33"/>
      <c r="G38" s="36"/>
      <c r="H38" s="33"/>
      <c r="I38" s="33"/>
      <c r="J38" s="36"/>
      <c r="K38" s="40"/>
      <c r="L38" s="40"/>
      <c r="M38" s="47" t="str">
        <f aca="false">IF($B38="","",IF(NOT(ISNUMBER($B38)),"日期不是日期格式",IF(YEAR($B38)&lt;&gt;首页!$B$3,"不在会计年度",IF($E38="","未选收支科目",IF($D38="⚠","收支科目不存在",IF($F38="","未选账户",IF($T38="","账户未设资金科目",IF(AND($D38="转账",$U38=""),"转入账户无效",IF(AND(N($K38)&gt;0,N($L38)&gt;0),"收支不能同时填",IF(AND($D38="收入",N($K38)&lt;=0),"收入金额须大于0",IF(AND($D38&lt;&gt;"收入",N($L38)&lt;=0),"支出金额须大于0",IF($O38="","借方科目缺失",IF($P38="","贷方科目缺失","√")))))))))))))</f>
        <v/>
      </c>
      <c r="N38" s="48" t="str">
        <f aca="false">IF($B38="","",IF($D38="收入",N($K38),N($L38)))</f>
        <v/>
      </c>
      <c r="O38" s="49" t="str">
        <f aca="false">IF($B38="","",IF($D38="收入",$T38,IF($D38="转账",$U38,$S38)))</f>
        <v/>
      </c>
      <c r="P38" s="49" t="str">
        <f aca="false">IF($B38="","",IF($D38="收入",$S38,$T38))</f>
        <v/>
      </c>
      <c r="Q38" s="50" t="str">
        <f aca="false">IF($E38="","",IF($D38="转账","—",IFERROR(INDEX(科目参数!$P$6:$P$85,MATCH($E38,科目参数!$M$6:$M$85,0)),"")))</f>
        <v/>
      </c>
      <c r="R38" s="48" t="str">
        <f aca="false">IF($B38="","",SUMIFS(期初数据!$B$6:$B$35,期初数据!$A$6:$A$35,$F38)+SUMIFS($N$5:$N38,$F$5:$F38,$F38,$D$5:$D38,"收入")-SUMIFS($N$5:$N38,$F$5:$F38,$F38,$D$5:$D38,"支出")-SUMIFS($N$5:$N38,$F$5:$F38,$F38,$D$5:$D38,"转账")+SUMIFS($N$5:$N38,$G$5:$G38,$F38,$D$5:$D38,"转账"))</f>
        <v/>
      </c>
      <c r="S38" s="49" t="str">
        <f aca="false">IF($E38="","",IFERROR(INDEX(科目参数!$N$6:$N$85,MATCH($E38,科目参数!$M$6:$M$85,0)),""))</f>
        <v/>
      </c>
      <c r="T38" s="49" t="str">
        <f aca="false">IF($F38="","",IFERROR(INDEX(基础资料!$C$6:$C$35,MATCH($F38,基础资料!$A$6:$A$35,0)),""))</f>
        <v/>
      </c>
      <c r="U38" s="49" t="str">
        <f aca="false">IF($G38="","",IFERROR(INDEX(基础资料!$C$6:$C$35,MATCH($G38,基础资料!$A$6:$A$35,0)),""))</f>
        <v/>
      </c>
      <c r="V38" s="49" t="str">
        <f aca="false">IF(AND($G38=客户对账单!$B$3,$E38="客户回款",$B38&gt;=客户对账单!$E$3,$B38&lt;=客户对账单!$H$3),COUNTIFS($G$5:$G38,客户对账单!$B$3,$E$5:$E38,"客户回款",$B$5:$B38,"&gt;="&amp;客户对账单!$E$3,$B$5:$B38,"&lt;="&amp;客户对账单!$H$3),"")</f>
        <v/>
      </c>
      <c r="W38" s="49" t="str">
        <f aca="false">IF(AND($G38=供应商对账单!$B$3,$E38="供应商付款",$B38&gt;=供应商对账单!$E$3,$B38&lt;=供应商对账单!$H$3),COUNTIFS($G$5:$G38,供应商对账单!$B$3,$E$5:$E38,"供应商付款",$B$5:$B38,"&gt;="&amp;供应商对账单!$E$3,$B$5:$B38,"&lt;="&amp;供应商对账单!$H$3),"")</f>
        <v/>
      </c>
    </row>
    <row r="39" customFormat="false" ht="15.75" hidden="false" customHeight="true" outlineLevel="0" collapsed="false">
      <c r="A39" s="42" t="str">
        <f aca="false">IF($B39="","","ZJ"&amp;TEXT($B39,"yyyymm")&amp;"-"&amp;TEXT(ROW()-4,"000"))</f>
        <v/>
      </c>
      <c r="B39" s="41"/>
      <c r="C39" s="42" t="str">
        <f aca="false">IF($B39="","",TEXT($B39,"yyyy-mm"))</f>
        <v/>
      </c>
      <c r="D39" s="42" t="str">
        <f aca="false">IF($E39="","",IFERROR(INDEX(科目参数!$L$6:$L$85,MATCH($E39,科目参数!$M$6:$M$85,0)),"⚠"))</f>
        <v/>
      </c>
      <c r="E39" s="33"/>
      <c r="F39" s="33"/>
      <c r="G39" s="36"/>
      <c r="H39" s="33"/>
      <c r="I39" s="33"/>
      <c r="J39" s="36"/>
      <c r="K39" s="40"/>
      <c r="L39" s="40"/>
      <c r="M39" s="47" t="str">
        <f aca="false">IF($B39="","",IF(NOT(ISNUMBER($B39)),"日期不是日期格式",IF(YEAR($B39)&lt;&gt;首页!$B$3,"不在会计年度",IF($E39="","未选收支科目",IF($D39="⚠","收支科目不存在",IF($F39="","未选账户",IF($T39="","账户未设资金科目",IF(AND($D39="转账",$U39=""),"转入账户无效",IF(AND(N($K39)&gt;0,N($L39)&gt;0),"收支不能同时填",IF(AND($D39="收入",N($K39)&lt;=0),"收入金额须大于0",IF(AND($D39&lt;&gt;"收入",N($L39)&lt;=0),"支出金额须大于0",IF($O39="","借方科目缺失",IF($P39="","贷方科目缺失","√")))))))))))))</f>
        <v/>
      </c>
      <c r="N39" s="48" t="str">
        <f aca="false">IF($B39="","",IF($D39="收入",N($K39),N($L39)))</f>
        <v/>
      </c>
      <c r="O39" s="49" t="str">
        <f aca="false">IF($B39="","",IF($D39="收入",$T39,IF($D39="转账",$U39,$S39)))</f>
        <v/>
      </c>
      <c r="P39" s="49" t="str">
        <f aca="false">IF($B39="","",IF($D39="收入",$S39,$T39))</f>
        <v/>
      </c>
      <c r="Q39" s="50" t="str">
        <f aca="false">IF($E39="","",IF($D39="转账","—",IFERROR(INDEX(科目参数!$P$6:$P$85,MATCH($E39,科目参数!$M$6:$M$85,0)),"")))</f>
        <v/>
      </c>
      <c r="R39" s="48" t="str">
        <f aca="false">IF($B39="","",SUMIFS(期初数据!$B$6:$B$35,期初数据!$A$6:$A$35,$F39)+SUMIFS($N$5:$N39,$F$5:$F39,$F39,$D$5:$D39,"收入")-SUMIFS($N$5:$N39,$F$5:$F39,$F39,$D$5:$D39,"支出")-SUMIFS($N$5:$N39,$F$5:$F39,$F39,$D$5:$D39,"转账")+SUMIFS($N$5:$N39,$G$5:$G39,$F39,$D$5:$D39,"转账"))</f>
        <v/>
      </c>
      <c r="S39" s="49" t="str">
        <f aca="false">IF($E39="","",IFERROR(INDEX(科目参数!$N$6:$N$85,MATCH($E39,科目参数!$M$6:$M$85,0)),""))</f>
        <v/>
      </c>
      <c r="T39" s="49" t="str">
        <f aca="false">IF($F39="","",IFERROR(INDEX(基础资料!$C$6:$C$35,MATCH($F39,基础资料!$A$6:$A$35,0)),""))</f>
        <v/>
      </c>
      <c r="U39" s="49" t="str">
        <f aca="false">IF($G39="","",IFERROR(INDEX(基础资料!$C$6:$C$35,MATCH($G39,基础资料!$A$6:$A$35,0)),""))</f>
        <v/>
      </c>
      <c r="V39" s="49" t="str">
        <f aca="false">IF(AND($G39=客户对账单!$B$3,$E39="客户回款",$B39&gt;=客户对账单!$E$3,$B39&lt;=客户对账单!$H$3),COUNTIFS($G$5:$G39,客户对账单!$B$3,$E$5:$E39,"客户回款",$B$5:$B39,"&gt;="&amp;客户对账单!$E$3,$B$5:$B39,"&lt;="&amp;客户对账单!$H$3),"")</f>
        <v/>
      </c>
      <c r="W39" s="49" t="str">
        <f aca="false">IF(AND($G39=供应商对账单!$B$3,$E39="供应商付款",$B39&gt;=供应商对账单!$E$3,$B39&lt;=供应商对账单!$H$3),COUNTIFS($G$5:$G39,供应商对账单!$B$3,$E$5:$E39,"供应商付款",$B$5:$B39,"&gt;="&amp;供应商对账单!$E$3,$B$5:$B39,"&lt;="&amp;供应商对账单!$H$3),"")</f>
        <v/>
      </c>
    </row>
    <row r="40" customFormat="false" ht="15.75" hidden="false" customHeight="true" outlineLevel="0" collapsed="false">
      <c r="A40" s="42" t="str">
        <f aca="false">IF($B40="","","ZJ"&amp;TEXT($B40,"yyyymm")&amp;"-"&amp;TEXT(ROW()-4,"000"))</f>
        <v/>
      </c>
      <c r="B40" s="41"/>
      <c r="C40" s="42" t="str">
        <f aca="false">IF($B40="","",TEXT($B40,"yyyy-mm"))</f>
        <v/>
      </c>
      <c r="D40" s="42" t="str">
        <f aca="false">IF($E40="","",IFERROR(INDEX(科目参数!$L$6:$L$85,MATCH($E40,科目参数!$M$6:$M$85,0)),"⚠"))</f>
        <v/>
      </c>
      <c r="E40" s="33"/>
      <c r="F40" s="33"/>
      <c r="G40" s="36"/>
      <c r="H40" s="33"/>
      <c r="I40" s="33"/>
      <c r="J40" s="36"/>
      <c r="K40" s="40"/>
      <c r="L40" s="40"/>
      <c r="M40" s="47" t="str">
        <f aca="false">IF($B40="","",IF(NOT(ISNUMBER($B40)),"日期不是日期格式",IF(YEAR($B40)&lt;&gt;首页!$B$3,"不在会计年度",IF($E40="","未选收支科目",IF($D40="⚠","收支科目不存在",IF($F40="","未选账户",IF($T40="","账户未设资金科目",IF(AND($D40="转账",$U40=""),"转入账户无效",IF(AND(N($K40)&gt;0,N($L40)&gt;0),"收支不能同时填",IF(AND($D40="收入",N($K40)&lt;=0),"收入金额须大于0",IF(AND($D40&lt;&gt;"收入",N($L40)&lt;=0),"支出金额须大于0",IF($O40="","借方科目缺失",IF($P40="","贷方科目缺失","√")))))))))))))</f>
        <v/>
      </c>
      <c r="N40" s="48" t="str">
        <f aca="false">IF($B40="","",IF($D40="收入",N($K40),N($L40)))</f>
        <v/>
      </c>
      <c r="O40" s="49" t="str">
        <f aca="false">IF($B40="","",IF($D40="收入",$T40,IF($D40="转账",$U40,$S40)))</f>
        <v/>
      </c>
      <c r="P40" s="49" t="str">
        <f aca="false">IF($B40="","",IF($D40="收入",$S40,$T40))</f>
        <v/>
      </c>
      <c r="Q40" s="50" t="str">
        <f aca="false">IF($E40="","",IF($D40="转账","—",IFERROR(INDEX(科目参数!$P$6:$P$85,MATCH($E40,科目参数!$M$6:$M$85,0)),"")))</f>
        <v/>
      </c>
      <c r="R40" s="48" t="str">
        <f aca="false">IF($B40="","",SUMIFS(期初数据!$B$6:$B$35,期初数据!$A$6:$A$35,$F40)+SUMIFS($N$5:$N40,$F$5:$F40,$F40,$D$5:$D40,"收入")-SUMIFS($N$5:$N40,$F$5:$F40,$F40,$D$5:$D40,"支出")-SUMIFS($N$5:$N40,$F$5:$F40,$F40,$D$5:$D40,"转账")+SUMIFS($N$5:$N40,$G$5:$G40,$F40,$D$5:$D40,"转账"))</f>
        <v/>
      </c>
      <c r="S40" s="49" t="str">
        <f aca="false">IF($E40="","",IFERROR(INDEX(科目参数!$N$6:$N$85,MATCH($E40,科目参数!$M$6:$M$85,0)),""))</f>
        <v/>
      </c>
      <c r="T40" s="49" t="str">
        <f aca="false">IF($F40="","",IFERROR(INDEX(基础资料!$C$6:$C$35,MATCH($F40,基础资料!$A$6:$A$35,0)),""))</f>
        <v/>
      </c>
      <c r="U40" s="49" t="str">
        <f aca="false">IF($G40="","",IFERROR(INDEX(基础资料!$C$6:$C$35,MATCH($G40,基础资料!$A$6:$A$35,0)),""))</f>
        <v/>
      </c>
      <c r="V40" s="49" t="str">
        <f aca="false">IF(AND($G40=客户对账单!$B$3,$E40="客户回款",$B40&gt;=客户对账单!$E$3,$B40&lt;=客户对账单!$H$3),COUNTIFS($G$5:$G40,客户对账单!$B$3,$E$5:$E40,"客户回款",$B$5:$B40,"&gt;="&amp;客户对账单!$E$3,$B$5:$B40,"&lt;="&amp;客户对账单!$H$3),"")</f>
        <v/>
      </c>
      <c r="W40" s="49" t="str">
        <f aca="false">IF(AND($G40=供应商对账单!$B$3,$E40="供应商付款",$B40&gt;=供应商对账单!$E$3,$B40&lt;=供应商对账单!$H$3),COUNTIFS($G$5:$G40,供应商对账单!$B$3,$E$5:$E40,"供应商付款",$B$5:$B40,"&gt;="&amp;供应商对账单!$E$3,$B$5:$B40,"&lt;="&amp;供应商对账单!$H$3),"")</f>
        <v/>
      </c>
    </row>
    <row r="41" customFormat="false" ht="15.75" hidden="false" customHeight="true" outlineLevel="0" collapsed="false">
      <c r="A41" s="42" t="str">
        <f aca="false">IF($B41="","","ZJ"&amp;TEXT($B41,"yyyymm")&amp;"-"&amp;TEXT(ROW()-4,"000"))</f>
        <v/>
      </c>
      <c r="B41" s="41"/>
      <c r="C41" s="42" t="str">
        <f aca="false">IF($B41="","",TEXT($B41,"yyyy-mm"))</f>
        <v/>
      </c>
      <c r="D41" s="42" t="str">
        <f aca="false">IF($E41="","",IFERROR(INDEX(科目参数!$L$6:$L$85,MATCH($E41,科目参数!$M$6:$M$85,0)),"⚠"))</f>
        <v/>
      </c>
      <c r="E41" s="33"/>
      <c r="F41" s="33"/>
      <c r="G41" s="36"/>
      <c r="H41" s="33"/>
      <c r="I41" s="33"/>
      <c r="J41" s="36"/>
      <c r="K41" s="40"/>
      <c r="L41" s="40"/>
      <c r="M41" s="47" t="str">
        <f aca="false">IF($B41="","",IF(NOT(ISNUMBER($B41)),"日期不是日期格式",IF(YEAR($B41)&lt;&gt;首页!$B$3,"不在会计年度",IF($E41="","未选收支科目",IF($D41="⚠","收支科目不存在",IF($F41="","未选账户",IF($T41="","账户未设资金科目",IF(AND($D41="转账",$U41=""),"转入账户无效",IF(AND(N($K41)&gt;0,N($L41)&gt;0),"收支不能同时填",IF(AND($D41="收入",N($K41)&lt;=0),"收入金额须大于0",IF(AND($D41&lt;&gt;"收入",N($L41)&lt;=0),"支出金额须大于0",IF($O41="","借方科目缺失",IF($P41="","贷方科目缺失","√")))))))))))))</f>
        <v/>
      </c>
      <c r="N41" s="48" t="str">
        <f aca="false">IF($B41="","",IF($D41="收入",N($K41),N($L41)))</f>
        <v/>
      </c>
      <c r="O41" s="49" t="str">
        <f aca="false">IF($B41="","",IF($D41="收入",$T41,IF($D41="转账",$U41,$S41)))</f>
        <v/>
      </c>
      <c r="P41" s="49" t="str">
        <f aca="false">IF($B41="","",IF($D41="收入",$S41,$T41))</f>
        <v/>
      </c>
      <c r="Q41" s="50" t="str">
        <f aca="false">IF($E41="","",IF($D41="转账","—",IFERROR(INDEX(科目参数!$P$6:$P$85,MATCH($E41,科目参数!$M$6:$M$85,0)),"")))</f>
        <v/>
      </c>
      <c r="R41" s="48" t="str">
        <f aca="false">IF($B41="","",SUMIFS(期初数据!$B$6:$B$35,期初数据!$A$6:$A$35,$F41)+SUMIFS($N$5:$N41,$F$5:$F41,$F41,$D$5:$D41,"收入")-SUMIFS($N$5:$N41,$F$5:$F41,$F41,$D$5:$D41,"支出")-SUMIFS($N$5:$N41,$F$5:$F41,$F41,$D$5:$D41,"转账")+SUMIFS($N$5:$N41,$G$5:$G41,$F41,$D$5:$D41,"转账"))</f>
        <v/>
      </c>
      <c r="S41" s="49" t="str">
        <f aca="false">IF($E41="","",IFERROR(INDEX(科目参数!$N$6:$N$85,MATCH($E41,科目参数!$M$6:$M$85,0)),""))</f>
        <v/>
      </c>
      <c r="T41" s="49" t="str">
        <f aca="false">IF($F41="","",IFERROR(INDEX(基础资料!$C$6:$C$35,MATCH($F41,基础资料!$A$6:$A$35,0)),""))</f>
        <v/>
      </c>
      <c r="U41" s="49" t="str">
        <f aca="false">IF($G41="","",IFERROR(INDEX(基础资料!$C$6:$C$35,MATCH($G41,基础资料!$A$6:$A$35,0)),""))</f>
        <v/>
      </c>
      <c r="V41" s="49" t="str">
        <f aca="false">IF(AND($G41=客户对账单!$B$3,$E41="客户回款",$B41&gt;=客户对账单!$E$3,$B41&lt;=客户对账单!$H$3),COUNTIFS($G$5:$G41,客户对账单!$B$3,$E$5:$E41,"客户回款",$B$5:$B41,"&gt;="&amp;客户对账单!$E$3,$B$5:$B41,"&lt;="&amp;客户对账单!$H$3),"")</f>
        <v/>
      </c>
      <c r="W41" s="49" t="str">
        <f aca="false">IF(AND($G41=供应商对账单!$B$3,$E41="供应商付款",$B41&gt;=供应商对账单!$E$3,$B41&lt;=供应商对账单!$H$3),COUNTIFS($G$5:$G41,供应商对账单!$B$3,$E$5:$E41,"供应商付款",$B$5:$B41,"&gt;="&amp;供应商对账单!$E$3,$B$5:$B41,"&lt;="&amp;供应商对账单!$H$3),"")</f>
        <v/>
      </c>
    </row>
    <row r="42" customFormat="false" ht="15.75" hidden="false" customHeight="true" outlineLevel="0" collapsed="false">
      <c r="A42" s="42" t="str">
        <f aca="false">IF($B42="","","ZJ"&amp;TEXT($B42,"yyyymm")&amp;"-"&amp;TEXT(ROW()-4,"000"))</f>
        <v/>
      </c>
      <c r="B42" s="41"/>
      <c r="C42" s="42" t="str">
        <f aca="false">IF($B42="","",TEXT($B42,"yyyy-mm"))</f>
        <v/>
      </c>
      <c r="D42" s="42" t="str">
        <f aca="false">IF($E42="","",IFERROR(INDEX(科目参数!$L$6:$L$85,MATCH($E42,科目参数!$M$6:$M$85,0)),"⚠"))</f>
        <v/>
      </c>
      <c r="E42" s="33"/>
      <c r="F42" s="33"/>
      <c r="G42" s="36"/>
      <c r="H42" s="33"/>
      <c r="I42" s="33"/>
      <c r="J42" s="36"/>
      <c r="K42" s="40"/>
      <c r="L42" s="40"/>
      <c r="M42" s="47" t="str">
        <f aca="false">IF($B42="","",IF(NOT(ISNUMBER($B42)),"日期不是日期格式",IF(YEAR($B42)&lt;&gt;首页!$B$3,"不在会计年度",IF($E42="","未选收支科目",IF($D42="⚠","收支科目不存在",IF($F42="","未选账户",IF($T42="","账户未设资金科目",IF(AND($D42="转账",$U42=""),"转入账户无效",IF(AND(N($K42)&gt;0,N($L42)&gt;0),"收支不能同时填",IF(AND($D42="收入",N($K42)&lt;=0),"收入金额须大于0",IF(AND($D42&lt;&gt;"收入",N($L42)&lt;=0),"支出金额须大于0",IF($O42="","借方科目缺失",IF($P42="","贷方科目缺失","√")))))))))))))</f>
        <v/>
      </c>
      <c r="N42" s="48" t="str">
        <f aca="false">IF($B42="","",IF($D42="收入",N($K42),N($L42)))</f>
        <v/>
      </c>
      <c r="O42" s="49" t="str">
        <f aca="false">IF($B42="","",IF($D42="收入",$T42,IF($D42="转账",$U42,$S42)))</f>
        <v/>
      </c>
      <c r="P42" s="49" t="str">
        <f aca="false">IF($B42="","",IF($D42="收入",$S42,$T42))</f>
        <v/>
      </c>
      <c r="Q42" s="50" t="str">
        <f aca="false">IF($E42="","",IF($D42="转账","—",IFERROR(INDEX(科目参数!$P$6:$P$85,MATCH($E42,科目参数!$M$6:$M$85,0)),"")))</f>
        <v/>
      </c>
      <c r="R42" s="48" t="str">
        <f aca="false">IF($B42="","",SUMIFS(期初数据!$B$6:$B$35,期初数据!$A$6:$A$35,$F42)+SUMIFS($N$5:$N42,$F$5:$F42,$F42,$D$5:$D42,"收入")-SUMIFS($N$5:$N42,$F$5:$F42,$F42,$D$5:$D42,"支出")-SUMIFS($N$5:$N42,$F$5:$F42,$F42,$D$5:$D42,"转账")+SUMIFS($N$5:$N42,$G$5:$G42,$F42,$D$5:$D42,"转账"))</f>
        <v/>
      </c>
      <c r="S42" s="49" t="str">
        <f aca="false">IF($E42="","",IFERROR(INDEX(科目参数!$N$6:$N$85,MATCH($E42,科目参数!$M$6:$M$85,0)),""))</f>
        <v/>
      </c>
      <c r="T42" s="49" t="str">
        <f aca="false">IF($F42="","",IFERROR(INDEX(基础资料!$C$6:$C$35,MATCH($F42,基础资料!$A$6:$A$35,0)),""))</f>
        <v/>
      </c>
      <c r="U42" s="49" t="str">
        <f aca="false">IF($G42="","",IFERROR(INDEX(基础资料!$C$6:$C$35,MATCH($G42,基础资料!$A$6:$A$35,0)),""))</f>
        <v/>
      </c>
      <c r="V42" s="49" t="str">
        <f aca="false">IF(AND($G42=客户对账单!$B$3,$E42="客户回款",$B42&gt;=客户对账单!$E$3,$B42&lt;=客户对账单!$H$3),COUNTIFS($G$5:$G42,客户对账单!$B$3,$E$5:$E42,"客户回款",$B$5:$B42,"&gt;="&amp;客户对账单!$E$3,$B$5:$B42,"&lt;="&amp;客户对账单!$H$3),"")</f>
        <v/>
      </c>
      <c r="W42" s="49" t="str">
        <f aca="false">IF(AND($G42=供应商对账单!$B$3,$E42="供应商付款",$B42&gt;=供应商对账单!$E$3,$B42&lt;=供应商对账单!$H$3),COUNTIFS($G$5:$G42,供应商对账单!$B$3,$E$5:$E42,"供应商付款",$B$5:$B42,"&gt;="&amp;供应商对账单!$E$3,$B$5:$B42,"&lt;="&amp;供应商对账单!$H$3),"")</f>
        <v/>
      </c>
    </row>
    <row r="43" customFormat="false" ht="15.75" hidden="false" customHeight="true" outlineLevel="0" collapsed="false">
      <c r="A43" s="42" t="str">
        <f aca="false">IF($B43="","","ZJ"&amp;TEXT($B43,"yyyymm")&amp;"-"&amp;TEXT(ROW()-4,"000"))</f>
        <v/>
      </c>
      <c r="B43" s="41"/>
      <c r="C43" s="42" t="str">
        <f aca="false">IF($B43="","",TEXT($B43,"yyyy-mm"))</f>
        <v/>
      </c>
      <c r="D43" s="42" t="str">
        <f aca="false">IF($E43="","",IFERROR(INDEX(科目参数!$L$6:$L$85,MATCH($E43,科目参数!$M$6:$M$85,0)),"⚠"))</f>
        <v/>
      </c>
      <c r="E43" s="33"/>
      <c r="F43" s="33"/>
      <c r="G43" s="36"/>
      <c r="H43" s="33"/>
      <c r="I43" s="33"/>
      <c r="J43" s="36"/>
      <c r="K43" s="40"/>
      <c r="L43" s="40"/>
      <c r="M43" s="47" t="str">
        <f aca="false">IF($B43="","",IF(NOT(ISNUMBER($B43)),"日期不是日期格式",IF(YEAR($B43)&lt;&gt;首页!$B$3,"不在会计年度",IF($E43="","未选收支科目",IF($D43="⚠","收支科目不存在",IF($F43="","未选账户",IF($T43="","账户未设资金科目",IF(AND($D43="转账",$U43=""),"转入账户无效",IF(AND(N($K43)&gt;0,N($L43)&gt;0),"收支不能同时填",IF(AND($D43="收入",N($K43)&lt;=0),"收入金额须大于0",IF(AND($D43&lt;&gt;"收入",N($L43)&lt;=0),"支出金额须大于0",IF($O43="","借方科目缺失",IF($P43="","贷方科目缺失","√")))))))))))))</f>
        <v/>
      </c>
      <c r="N43" s="48" t="str">
        <f aca="false">IF($B43="","",IF($D43="收入",N($K43),N($L43)))</f>
        <v/>
      </c>
      <c r="O43" s="49" t="str">
        <f aca="false">IF($B43="","",IF($D43="收入",$T43,IF($D43="转账",$U43,$S43)))</f>
        <v/>
      </c>
      <c r="P43" s="49" t="str">
        <f aca="false">IF($B43="","",IF($D43="收入",$S43,$T43))</f>
        <v/>
      </c>
      <c r="Q43" s="50" t="str">
        <f aca="false">IF($E43="","",IF($D43="转账","—",IFERROR(INDEX(科目参数!$P$6:$P$85,MATCH($E43,科目参数!$M$6:$M$85,0)),"")))</f>
        <v/>
      </c>
      <c r="R43" s="48" t="str">
        <f aca="false">IF($B43="","",SUMIFS(期初数据!$B$6:$B$35,期初数据!$A$6:$A$35,$F43)+SUMIFS($N$5:$N43,$F$5:$F43,$F43,$D$5:$D43,"收入")-SUMIFS($N$5:$N43,$F$5:$F43,$F43,$D$5:$D43,"支出")-SUMIFS($N$5:$N43,$F$5:$F43,$F43,$D$5:$D43,"转账")+SUMIFS($N$5:$N43,$G$5:$G43,$F43,$D$5:$D43,"转账"))</f>
        <v/>
      </c>
      <c r="S43" s="49" t="str">
        <f aca="false">IF($E43="","",IFERROR(INDEX(科目参数!$N$6:$N$85,MATCH($E43,科目参数!$M$6:$M$85,0)),""))</f>
        <v/>
      </c>
      <c r="T43" s="49" t="str">
        <f aca="false">IF($F43="","",IFERROR(INDEX(基础资料!$C$6:$C$35,MATCH($F43,基础资料!$A$6:$A$35,0)),""))</f>
        <v/>
      </c>
      <c r="U43" s="49" t="str">
        <f aca="false">IF($G43="","",IFERROR(INDEX(基础资料!$C$6:$C$35,MATCH($G43,基础资料!$A$6:$A$35,0)),""))</f>
        <v/>
      </c>
      <c r="V43" s="49" t="str">
        <f aca="false">IF(AND($G43=客户对账单!$B$3,$E43="客户回款",$B43&gt;=客户对账单!$E$3,$B43&lt;=客户对账单!$H$3),COUNTIFS($G$5:$G43,客户对账单!$B$3,$E$5:$E43,"客户回款",$B$5:$B43,"&gt;="&amp;客户对账单!$E$3,$B$5:$B43,"&lt;="&amp;客户对账单!$H$3),"")</f>
        <v/>
      </c>
      <c r="W43" s="49" t="str">
        <f aca="false">IF(AND($G43=供应商对账单!$B$3,$E43="供应商付款",$B43&gt;=供应商对账单!$E$3,$B43&lt;=供应商对账单!$H$3),COUNTIFS($G$5:$G43,供应商对账单!$B$3,$E$5:$E43,"供应商付款",$B$5:$B43,"&gt;="&amp;供应商对账单!$E$3,$B$5:$B43,"&lt;="&amp;供应商对账单!$H$3),"")</f>
        <v/>
      </c>
    </row>
    <row r="44" customFormat="false" ht="15.75" hidden="false" customHeight="true" outlineLevel="0" collapsed="false">
      <c r="A44" s="42" t="str">
        <f aca="false">IF($B44="","","ZJ"&amp;TEXT($B44,"yyyymm")&amp;"-"&amp;TEXT(ROW()-4,"000"))</f>
        <v/>
      </c>
      <c r="B44" s="41"/>
      <c r="C44" s="42" t="str">
        <f aca="false">IF($B44="","",TEXT($B44,"yyyy-mm"))</f>
        <v/>
      </c>
      <c r="D44" s="42" t="str">
        <f aca="false">IF($E44="","",IFERROR(INDEX(科目参数!$L$6:$L$85,MATCH($E44,科目参数!$M$6:$M$85,0)),"⚠"))</f>
        <v/>
      </c>
      <c r="E44" s="33"/>
      <c r="F44" s="33"/>
      <c r="G44" s="36"/>
      <c r="H44" s="33"/>
      <c r="I44" s="33"/>
      <c r="J44" s="36"/>
      <c r="K44" s="40"/>
      <c r="L44" s="40"/>
      <c r="M44" s="47" t="str">
        <f aca="false">IF($B44="","",IF(NOT(ISNUMBER($B44)),"日期不是日期格式",IF(YEAR($B44)&lt;&gt;首页!$B$3,"不在会计年度",IF($E44="","未选收支科目",IF($D44="⚠","收支科目不存在",IF($F44="","未选账户",IF($T44="","账户未设资金科目",IF(AND($D44="转账",$U44=""),"转入账户无效",IF(AND(N($K44)&gt;0,N($L44)&gt;0),"收支不能同时填",IF(AND($D44="收入",N($K44)&lt;=0),"收入金额须大于0",IF(AND($D44&lt;&gt;"收入",N($L44)&lt;=0),"支出金额须大于0",IF($O44="","借方科目缺失",IF($P44="","贷方科目缺失","√")))))))))))))</f>
        <v/>
      </c>
      <c r="N44" s="48" t="str">
        <f aca="false">IF($B44="","",IF($D44="收入",N($K44),N($L44)))</f>
        <v/>
      </c>
      <c r="O44" s="49" t="str">
        <f aca="false">IF($B44="","",IF($D44="收入",$T44,IF($D44="转账",$U44,$S44)))</f>
        <v/>
      </c>
      <c r="P44" s="49" t="str">
        <f aca="false">IF($B44="","",IF($D44="收入",$S44,$T44))</f>
        <v/>
      </c>
      <c r="Q44" s="50" t="str">
        <f aca="false">IF($E44="","",IF($D44="转账","—",IFERROR(INDEX(科目参数!$P$6:$P$85,MATCH($E44,科目参数!$M$6:$M$85,0)),"")))</f>
        <v/>
      </c>
      <c r="R44" s="48" t="str">
        <f aca="false">IF($B44="","",SUMIFS(期初数据!$B$6:$B$35,期初数据!$A$6:$A$35,$F44)+SUMIFS($N$5:$N44,$F$5:$F44,$F44,$D$5:$D44,"收入")-SUMIFS($N$5:$N44,$F$5:$F44,$F44,$D$5:$D44,"支出")-SUMIFS($N$5:$N44,$F$5:$F44,$F44,$D$5:$D44,"转账")+SUMIFS($N$5:$N44,$G$5:$G44,$F44,$D$5:$D44,"转账"))</f>
        <v/>
      </c>
      <c r="S44" s="49" t="str">
        <f aca="false">IF($E44="","",IFERROR(INDEX(科目参数!$N$6:$N$85,MATCH($E44,科目参数!$M$6:$M$85,0)),""))</f>
        <v/>
      </c>
      <c r="T44" s="49" t="str">
        <f aca="false">IF($F44="","",IFERROR(INDEX(基础资料!$C$6:$C$35,MATCH($F44,基础资料!$A$6:$A$35,0)),""))</f>
        <v/>
      </c>
      <c r="U44" s="49" t="str">
        <f aca="false">IF($G44="","",IFERROR(INDEX(基础资料!$C$6:$C$35,MATCH($G44,基础资料!$A$6:$A$35,0)),""))</f>
        <v/>
      </c>
      <c r="V44" s="49" t="str">
        <f aca="false">IF(AND($G44=客户对账单!$B$3,$E44="客户回款",$B44&gt;=客户对账单!$E$3,$B44&lt;=客户对账单!$H$3),COUNTIFS($G$5:$G44,客户对账单!$B$3,$E$5:$E44,"客户回款",$B$5:$B44,"&gt;="&amp;客户对账单!$E$3,$B$5:$B44,"&lt;="&amp;客户对账单!$H$3),"")</f>
        <v/>
      </c>
      <c r="W44" s="49" t="str">
        <f aca="false">IF(AND($G44=供应商对账单!$B$3,$E44="供应商付款",$B44&gt;=供应商对账单!$E$3,$B44&lt;=供应商对账单!$H$3),COUNTIFS($G$5:$G44,供应商对账单!$B$3,$E$5:$E44,"供应商付款",$B$5:$B44,"&gt;="&amp;供应商对账单!$E$3,$B$5:$B44,"&lt;="&amp;供应商对账单!$H$3),"")</f>
        <v/>
      </c>
    </row>
    <row r="45" customFormat="false" ht="15.75" hidden="false" customHeight="true" outlineLevel="0" collapsed="false">
      <c r="A45" s="42" t="str">
        <f aca="false">IF($B45="","","ZJ"&amp;TEXT($B45,"yyyymm")&amp;"-"&amp;TEXT(ROW()-4,"000"))</f>
        <v/>
      </c>
      <c r="B45" s="41"/>
      <c r="C45" s="42" t="str">
        <f aca="false">IF($B45="","",TEXT($B45,"yyyy-mm"))</f>
        <v/>
      </c>
      <c r="D45" s="42" t="str">
        <f aca="false">IF($E45="","",IFERROR(INDEX(科目参数!$L$6:$L$85,MATCH($E45,科目参数!$M$6:$M$85,0)),"⚠"))</f>
        <v/>
      </c>
      <c r="E45" s="33"/>
      <c r="F45" s="33"/>
      <c r="G45" s="36"/>
      <c r="H45" s="33"/>
      <c r="I45" s="33"/>
      <c r="J45" s="36"/>
      <c r="K45" s="40"/>
      <c r="L45" s="40"/>
      <c r="M45" s="47" t="str">
        <f aca="false">IF($B45="","",IF(NOT(ISNUMBER($B45)),"日期不是日期格式",IF(YEAR($B45)&lt;&gt;首页!$B$3,"不在会计年度",IF($E45="","未选收支科目",IF($D45="⚠","收支科目不存在",IF($F45="","未选账户",IF($T45="","账户未设资金科目",IF(AND($D45="转账",$U45=""),"转入账户无效",IF(AND(N($K45)&gt;0,N($L45)&gt;0),"收支不能同时填",IF(AND($D45="收入",N($K45)&lt;=0),"收入金额须大于0",IF(AND($D45&lt;&gt;"收入",N($L45)&lt;=0),"支出金额须大于0",IF($O45="","借方科目缺失",IF($P45="","贷方科目缺失","√")))))))))))))</f>
        <v/>
      </c>
      <c r="N45" s="48" t="str">
        <f aca="false">IF($B45="","",IF($D45="收入",N($K45),N($L45)))</f>
        <v/>
      </c>
      <c r="O45" s="49" t="str">
        <f aca="false">IF($B45="","",IF($D45="收入",$T45,IF($D45="转账",$U45,$S45)))</f>
        <v/>
      </c>
      <c r="P45" s="49" t="str">
        <f aca="false">IF($B45="","",IF($D45="收入",$S45,$T45))</f>
        <v/>
      </c>
      <c r="Q45" s="50" t="str">
        <f aca="false">IF($E45="","",IF($D45="转账","—",IFERROR(INDEX(科目参数!$P$6:$P$85,MATCH($E45,科目参数!$M$6:$M$85,0)),"")))</f>
        <v/>
      </c>
      <c r="R45" s="48" t="str">
        <f aca="false">IF($B45="","",SUMIFS(期初数据!$B$6:$B$35,期初数据!$A$6:$A$35,$F45)+SUMIFS($N$5:$N45,$F$5:$F45,$F45,$D$5:$D45,"收入")-SUMIFS($N$5:$N45,$F$5:$F45,$F45,$D$5:$D45,"支出")-SUMIFS($N$5:$N45,$F$5:$F45,$F45,$D$5:$D45,"转账")+SUMIFS($N$5:$N45,$G$5:$G45,$F45,$D$5:$D45,"转账"))</f>
        <v/>
      </c>
      <c r="S45" s="49" t="str">
        <f aca="false">IF($E45="","",IFERROR(INDEX(科目参数!$N$6:$N$85,MATCH($E45,科目参数!$M$6:$M$85,0)),""))</f>
        <v/>
      </c>
      <c r="T45" s="49" t="str">
        <f aca="false">IF($F45="","",IFERROR(INDEX(基础资料!$C$6:$C$35,MATCH($F45,基础资料!$A$6:$A$35,0)),""))</f>
        <v/>
      </c>
      <c r="U45" s="49" t="str">
        <f aca="false">IF($G45="","",IFERROR(INDEX(基础资料!$C$6:$C$35,MATCH($G45,基础资料!$A$6:$A$35,0)),""))</f>
        <v/>
      </c>
      <c r="V45" s="49" t="str">
        <f aca="false">IF(AND($G45=客户对账单!$B$3,$E45="客户回款",$B45&gt;=客户对账单!$E$3,$B45&lt;=客户对账单!$H$3),COUNTIFS($G$5:$G45,客户对账单!$B$3,$E$5:$E45,"客户回款",$B$5:$B45,"&gt;="&amp;客户对账单!$E$3,$B$5:$B45,"&lt;="&amp;客户对账单!$H$3),"")</f>
        <v/>
      </c>
      <c r="W45" s="49" t="str">
        <f aca="false">IF(AND($G45=供应商对账单!$B$3,$E45="供应商付款",$B45&gt;=供应商对账单!$E$3,$B45&lt;=供应商对账单!$H$3),COUNTIFS($G$5:$G45,供应商对账单!$B$3,$E$5:$E45,"供应商付款",$B$5:$B45,"&gt;="&amp;供应商对账单!$E$3,$B$5:$B45,"&lt;="&amp;供应商对账单!$H$3),"")</f>
        <v/>
      </c>
    </row>
    <row r="46" customFormat="false" ht="15.75" hidden="false" customHeight="true" outlineLevel="0" collapsed="false">
      <c r="A46" s="42" t="str">
        <f aca="false">IF($B46="","","ZJ"&amp;TEXT($B46,"yyyymm")&amp;"-"&amp;TEXT(ROW()-4,"000"))</f>
        <v/>
      </c>
      <c r="B46" s="41"/>
      <c r="C46" s="42" t="str">
        <f aca="false">IF($B46="","",TEXT($B46,"yyyy-mm"))</f>
        <v/>
      </c>
      <c r="D46" s="42" t="str">
        <f aca="false">IF($E46="","",IFERROR(INDEX(科目参数!$L$6:$L$85,MATCH($E46,科目参数!$M$6:$M$85,0)),"⚠"))</f>
        <v/>
      </c>
      <c r="E46" s="33"/>
      <c r="F46" s="33"/>
      <c r="G46" s="36"/>
      <c r="H46" s="33"/>
      <c r="I46" s="33"/>
      <c r="J46" s="36"/>
      <c r="K46" s="40"/>
      <c r="L46" s="40"/>
      <c r="M46" s="47" t="str">
        <f aca="false">IF($B46="","",IF(NOT(ISNUMBER($B46)),"日期不是日期格式",IF(YEAR($B46)&lt;&gt;首页!$B$3,"不在会计年度",IF($E46="","未选收支科目",IF($D46="⚠","收支科目不存在",IF($F46="","未选账户",IF($T46="","账户未设资金科目",IF(AND($D46="转账",$U46=""),"转入账户无效",IF(AND(N($K46)&gt;0,N($L46)&gt;0),"收支不能同时填",IF(AND($D46="收入",N($K46)&lt;=0),"收入金额须大于0",IF(AND($D46&lt;&gt;"收入",N($L46)&lt;=0),"支出金额须大于0",IF($O46="","借方科目缺失",IF($P46="","贷方科目缺失","√")))))))))))))</f>
        <v/>
      </c>
      <c r="N46" s="48" t="str">
        <f aca="false">IF($B46="","",IF($D46="收入",N($K46),N($L46)))</f>
        <v/>
      </c>
      <c r="O46" s="49" t="str">
        <f aca="false">IF($B46="","",IF($D46="收入",$T46,IF($D46="转账",$U46,$S46)))</f>
        <v/>
      </c>
      <c r="P46" s="49" t="str">
        <f aca="false">IF($B46="","",IF($D46="收入",$S46,$T46))</f>
        <v/>
      </c>
      <c r="Q46" s="50" t="str">
        <f aca="false">IF($E46="","",IF($D46="转账","—",IFERROR(INDEX(科目参数!$P$6:$P$85,MATCH($E46,科目参数!$M$6:$M$85,0)),"")))</f>
        <v/>
      </c>
      <c r="R46" s="48" t="str">
        <f aca="false">IF($B46="","",SUMIFS(期初数据!$B$6:$B$35,期初数据!$A$6:$A$35,$F46)+SUMIFS($N$5:$N46,$F$5:$F46,$F46,$D$5:$D46,"收入")-SUMIFS($N$5:$N46,$F$5:$F46,$F46,$D$5:$D46,"支出")-SUMIFS($N$5:$N46,$F$5:$F46,$F46,$D$5:$D46,"转账")+SUMIFS($N$5:$N46,$G$5:$G46,$F46,$D$5:$D46,"转账"))</f>
        <v/>
      </c>
      <c r="S46" s="49" t="str">
        <f aca="false">IF($E46="","",IFERROR(INDEX(科目参数!$N$6:$N$85,MATCH($E46,科目参数!$M$6:$M$85,0)),""))</f>
        <v/>
      </c>
      <c r="T46" s="49" t="str">
        <f aca="false">IF($F46="","",IFERROR(INDEX(基础资料!$C$6:$C$35,MATCH($F46,基础资料!$A$6:$A$35,0)),""))</f>
        <v/>
      </c>
      <c r="U46" s="49" t="str">
        <f aca="false">IF($G46="","",IFERROR(INDEX(基础资料!$C$6:$C$35,MATCH($G46,基础资料!$A$6:$A$35,0)),""))</f>
        <v/>
      </c>
      <c r="V46" s="49" t="str">
        <f aca="false">IF(AND($G46=客户对账单!$B$3,$E46="客户回款",$B46&gt;=客户对账单!$E$3,$B46&lt;=客户对账单!$H$3),COUNTIFS($G$5:$G46,客户对账单!$B$3,$E$5:$E46,"客户回款",$B$5:$B46,"&gt;="&amp;客户对账单!$E$3,$B$5:$B46,"&lt;="&amp;客户对账单!$H$3),"")</f>
        <v/>
      </c>
      <c r="W46" s="49" t="str">
        <f aca="false">IF(AND($G46=供应商对账单!$B$3,$E46="供应商付款",$B46&gt;=供应商对账单!$E$3,$B46&lt;=供应商对账单!$H$3),COUNTIFS($G$5:$G46,供应商对账单!$B$3,$E$5:$E46,"供应商付款",$B$5:$B46,"&gt;="&amp;供应商对账单!$E$3,$B$5:$B46,"&lt;="&amp;供应商对账单!$H$3),"")</f>
        <v/>
      </c>
    </row>
    <row r="47" customFormat="false" ht="15.75" hidden="false" customHeight="true" outlineLevel="0" collapsed="false">
      <c r="A47" s="42" t="str">
        <f aca="false">IF($B47="","","ZJ"&amp;TEXT($B47,"yyyymm")&amp;"-"&amp;TEXT(ROW()-4,"000"))</f>
        <v/>
      </c>
      <c r="B47" s="41"/>
      <c r="C47" s="42" t="str">
        <f aca="false">IF($B47="","",TEXT($B47,"yyyy-mm"))</f>
        <v/>
      </c>
      <c r="D47" s="42" t="str">
        <f aca="false">IF($E47="","",IFERROR(INDEX(科目参数!$L$6:$L$85,MATCH($E47,科目参数!$M$6:$M$85,0)),"⚠"))</f>
        <v/>
      </c>
      <c r="E47" s="33"/>
      <c r="F47" s="33"/>
      <c r="G47" s="36"/>
      <c r="H47" s="33"/>
      <c r="I47" s="33"/>
      <c r="J47" s="36"/>
      <c r="K47" s="40"/>
      <c r="L47" s="40"/>
      <c r="M47" s="47" t="str">
        <f aca="false">IF($B47="","",IF(NOT(ISNUMBER($B47)),"日期不是日期格式",IF(YEAR($B47)&lt;&gt;首页!$B$3,"不在会计年度",IF($E47="","未选收支科目",IF($D47="⚠","收支科目不存在",IF($F47="","未选账户",IF($T47="","账户未设资金科目",IF(AND($D47="转账",$U47=""),"转入账户无效",IF(AND(N($K47)&gt;0,N($L47)&gt;0),"收支不能同时填",IF(AND($D47="收入",N($K47)&lt;=0),"收入金额须大于0",IF(AND($D47&lt;&gt;"收入",N($L47)&lt;=0),"支出金额须大于0",IF($O47="","借方科目缺失",IF($P47="","贷方科目缺失","√")))))))))))))</f>
        <v/>
      </c>
      <c r="N47" s="48" t="str">
        <f aca="false">IF($B47="","",IF($D47="收入",N($K47),N($L47)))</f>
        <v/>
      </c>
      <c r="O47" s="49" t="str">
        <f aca="false">IF($B47="","",IF($D47="收入",$T47,IF($D47="转账",$U47,$S47)))</f>
        <v/>
      </c>
      <c r="P47" s="49" t="str">
        <f aca="false">IF($B47="","",IF($D47="收入",$S47,$T47))</f>
        <v/>
      </c>
      <c r="Q47" s="50" t="str">
        <f aca="false">IF($E47="","",IF($D47="转账","—",IFERROR(INDEX(科目参数!$P$6:$P$85,MATCH($E47,科目参数!$M$6:$M$85,0)),"")))</f>
        <v/>
      </c>
      <c r="R47" s="48" t="str">
        <f aca="false">IF($B47="","",SUMIFS(期初数据!$B$6:$B$35,期初数据!$A$6:$A$35,$F47)+SUMIFS($N$5:$N47,$F$5:$F47,$F47,$D$5:$D47,"收入")-SUMIFS($N$5:$N47,$F$5:$F47,$F47,$D$5:$D47,"支出")-SUMIFS($N$5:$N47,$F$5:$F47,$F47,$D$5:$D47,"转账")+SUMIFS($N$5:$N47,$G$5:$G47,$F47,$D$5:$D47,"转账"))</f>
        <v/>
      </c>
      <c r="S47" s="49" t="str">
        <f aca="false">IF($E47="","",IFERROR(INDEX(科目参数!$N$6:$N$85,MATCH($E47,科目参数!$M$6:$M$85,0)),""))</f>
        <v/>
      </c>
      <c r="T47" s="49" t="str">
        <f aca="false">IF($F47="","",IFERROR(INDEX(基础资料!$C$6:$C$35,MATCH($F47,基础资料!$A$6:$A$35,0)),""))</f>
        <v/>
      </c>
      <c r="U47" s="49" t="str">
        <f aca="false">IF($G47="","",IFERROR(INDEX(基础资料!$C$6:$C$35,MATCH($G47,基础资料!$A$6:$A$35,0)),""))</f>
        <v/>
      </c>
      <c r="V47" s="49" t="str">
        <f aca="false">IF(AND($G47=客户对账单!$B$3,$E47="客户回款",$B47&gt;=客户对账单!$E$3,$B47&lt;=客户对账单!$H$3),COUNTIFS($G$5:$G47,客户对账单!$B$3,$E$5:$E47,"客户回款",$B$5:$B47,"&gt;="&amp;客户对账单!$E$3,$B$5:$B47,"&lt;="&amp;客户对账单!$H$3),"")</f>
        <v/>
      </c>
      <c r="W47" s="49" t="str">
        <f aca="false">IF(AND($G47=供应商对账单!$B$3,$E47="供应商付款",$B47&gt;=供应商对账单!$E$3,$B47&lt;=供应商对账单!$H$3),COUNTIFS($G$5:$G47,供应商对账单!$B$3,$E$5:$E47,"供应商付款",$B$5:$B47,"&gt;="&amp;供应商对账单!$E$3,$B$5:$B47,"&lt;="&amp;供应商对账单!$H$3),"")</f>
        <v/>
      </c>
    </row>
    <row r="48" customFormat="false" ht="15.75" hidden="false" customHeight="true" outlineLevel="0" collapsed="false">
      <c r="A48" s="42" t="str">
        <f aca="false">IF($B48="","","ZJ"&amp;TEXT($B48,"yyyymm")&amp;"-"&amp;TEXT(ROW()-4,"000"))</f>
        <v/>
      </c>
      <c r="B48" s="41"/>
      <c r="C48" s="42" t="str">
        <f aca="false">IF($B48="","",TEXT($B48,"yyyy-mm"))</f>
        <v/>
      </c>
      <c r="D48" s="42" t="str">
        <f aca="false">IF($E48="","",IFERROR(INDEX(科目参数!$L$6:$L$85,MATCH($E48,科目参数!$M$6:$M$85,0)),"⚠"))</f>
        <v/>
      </c>
      <c r="E48" s="33"/>
      <c r="F48" s="33"/>
      <c r="G48" s="36"/>
      <c r="H48" s="33"/>
      <c r="I48" s="33"/>
      <c r="J48" s="36"/>
      <c r="K48" s="40"/>
      <c r="L48" s="40"/>
      <c r="M48" s="47" t="str">
        <f aca="false">IF($B48="","",IF(NOT(ISNUMBER($B48)),"日期不是日期格式",IF(YEAR($B48)&lt;&gt;首页!$B$3,"不在会计年度",IF($E48="","未选收支科目",IF($D48="⚠","收支科目不存在",IF($F48="","未选账户",IF($T48="","账户未设资金科目",IF(AND($D48="转账",$U48=""),"转入账户无效",IF(AND(N($K48)&gt;0,N($L48)&gt;0),"收支不能同时填",IF(AND($D48="收入",N($K48)&lt;=0),"收入金额须大于0",IF(AND($D48&lt;&gt;"收入",N($L48)&lt;=0),"支出金额须大于0",IF($O48="","借方科目缺失",IF($P48="","贷方科目缺失","√")))))))))))))</f>
        <v/>
      </c>
      <c r="N48" s="48" t="str">
        <f aca="false">IF($B48="","",IF($D48="收入",N($K48),N($L48)))</f>
        <v/>
      </c>
      <c r="O48" s="49" t="str">
        <f aca="false">IF($B48="","",IF($D48="收入",$T48,IF($D48="转账",$U48,$S48)))</f>
        <v/>
      </c>
      <c r="P48" s="49" t="str">
        <f aca="false">IF($B48="","",IF($D48="收入",$S48,$T48))</f>
        <v/>
      </c>
      <c r="Q48" s="50" t="str">
        <f aca="false">IF($E48="","",IF($D48="转账","—",IFERROR(INDEX(科目参数!$P$6:$P$85,MATCH($E48,科目参数!$M$6:$M$85,0)),"")))</f>
        <v/>
      </c>
      <c r="R48" s="48" t="str">
        <f aca="false">IF($B48="","",SUMIFS(期初数据!$B$6:$B$35,期初数据!$A$6:$A$35,$F48)+SUMIFS($N$5:$N48,$F$5:$F48,$F48,$D$5:$D48,"收入")-SUMIFS($N$5:$N48,$F$5:$F48,$F48,$D$5:$D48,"支出")-SUMIFS($N$5:$N48,$F$5:$F48,$F48,$D$5:$D48,"转账")+SUMIFS($N$5:$N48,$G$5:$G48,$F48,$D$5:$D48,"转账"))</f>
        <v/>
      </c>
      <c r="S48" s="49" t="str">
        <f aca="false">IF($E48="","",IFERROR(INDEX(科目参数!$N$6:$N$85,MATCH($E48,科目参数!$M$6:$M$85,0)),""))</f>
        <v/>
      </c>
      <c r="T48" s="49" t="str">
        <f aca="false">IF($F48="","",IFERROR(INDEX(基础资料!$C$6:$C$35,MATCH($F48,基础资料!$A$6:$A$35,0)),""))</f>
        <v/>
      </c>
      <c r="U48" s="49" t="str">
        <f aca="false">IF($G48="","",IFERROR(INDEX(基础资料!$C$6:$C$35,MATCH($G48,基础资料!$A$6:$A$35,0)),""))</f>
        <v/>
      </c>
      <c r="V48" s="49" t="str">
        <f aca="false">IF(AND($G48=客户对账单!$B$3,$E48="客户回款",$B48&gt;=客户对账单!$E$3,$B48&lt;=客户对账单!$H$3),COUNTIFS($G$5:$G48,客户对账单!$B$3,$E$5:$E48,"客户回款",$B$5:$B48,"&gt;="&amp;客户对账单!$E$3,$B$5:$B48,"&lt;="&amp;客户对账单!$H$3),"")</f>
        <v/>
      </c>
      <c r="W48" s="49" t="str">
        <f aca="false">IF(AND($G48=供应商对账单!$B$3,$E48="供应商付款",$B48&gt;=供应商对账单!$E$3,$B48&lt;=供应商对账单!$H$3),COUNTIFS($G$5:$G48,供应商对账单!$B$3,$E$5:$E48,"供应商付款",$B$5:$B48,"&gt;="&amp;供应商对账单!$E$3,$B$5:$B48,"&lt;="&amp;供应商对账单!$H$3),"")</f>
        <v/>
      </c>
    </row>
    <row r="49" customFormat="false" ht="15.75" hidden="false" customHeight="true" outlineLevel="0" collapsed="false">
      <c r="A49" s="42" t="str">
        <f aca="false">IF($B49="","","ZJ"&amp;TEXT($B49,"yyyymm")&amp;"-"&amp;TEXT(ROW()-4,"000"))</f>
        <v/>
      </c>
      <c r="B49" s="41"/>
      <c r="C49" s="42" t="str">
        <f aca="false">IF($B49="","",TEXT($B49,"yyyy-mm"))</f>
        <v/>
      </c>
      <c r="D49" s="42" t="str">
        <f aca="false">IF($E49="","",IFERROR(INDEX(科目参数!$L$6:$L$85,MATCH($E49,科目参数!$M$6:$M$85,0)),"⚠"))</f>
        <v/>
      </c>
      <c r="E49" s="33"/>
      <c r="F49" s="33"/>
      <c r="G49" s="36"/>
      <c r="H49" s="33"/>
      <c r="I49" s="33"/>
      <c r="J49" s="36"/>
      <c r="K49" s="40"/>
      <c r="L49" s="40"/>
      <c r="M49" s="47" t="str">
        <f aca="false">IF($B49="","",IF(NOT(ISNUMBER($B49)),"日期不是日期格式",IF(YEAR($B49)&lt;&gt;首页!$B$3,"不在会计年度",IF($E49="","未选收支科目",IF($D49="⚠","收支科目不存在",IF($F49="","未选账户",IF($T49="","账户未设资金科目",IF(AND($D49="转账",$U49=""),"转入账户无效",IF(AND(N($K49)&gt;0,N($L49)&gt;0),"收支不能同时填",IF(AND($D49="收入",N($K49)&lt;=0),"收入金额须大于0",IF(AND($D49&lt;&gt;"收入",N($L49)&lt;=0),"支出金额须大于0",IF($O49="","借方科目缺失",IF($P49="","贷方科目缺失","√")))))))))))))</f>
        <v/>
      </c>
      <c r="N49" s="48" t="str">
        <f aca="false">IF($B49="","",IF($D49="收入",N($K49),N($L49)))</f>
        <v/>
      </c>
      <c r="O49" s="49" t="str">
        <f aca="false">IF($B49="","",IF($D49="收入",$T49,IF($D49="转账",$U49,$S49)))</f>
        <v/>
      </c>
      <c r="P49" s="49" t="str">
        <f aca="false">IF($B49="","",IF($D49="收入",$S49,$T49))</f>
        <v/>
      </c>
      <c r="Q49" s="50" t="str">
        <f aca="false">IF($E49="","",IF($D49="转账","—",IFERROR(INDEX(科目参数!$P$6:$P$85,MATCH($E49,科目参数!$M$6:$M$85,0)),"")))</f>
        <v/>
      </c>
      <c r="R49" s="48" t="str">
        <f aca="false">IF($B49="","",SUMIFS(期初数据!$B$6:$B$35,期初数据!$A$6:$A$35,$F49)+SUMIFS($N$5:$N49,$F$5:$F49,$F49,$D$5:$D49,"收入")-SUMIFS($N$5:$N49,$F$5:$F49,$F49,$D$5:$D49,"支出")-SUMIFS($N$5:$N49,$F$5:$F49,$F49,$D$5:$D49,"转账")+SUMIFS($N$5:$N49,$G$5:$G49,$F49,$D$5:$D49,"转账"))</f>
        <v/>
      </c>
      <c r="S49" s="49" t="str">
        <f aca="false">IF($E49="","",IFERROR(INDEX(科目参数!$N$6:$N$85,MATCH($E49,科目参数!$M$6:$M$85,0)),""))</f>
        <v/>
      </c>
      <c r="T49" s="49" t="str">
        <f aca="false">IF($F49="","",IFERROR(INDEX(基础资料!$C$6:$C$35,MATCH($F49,基础资料!$A$6:$A$35,0)),""))</f>
        <v/>
      </c>
      <c r="U49" s="49" t="str">
        <f aca="false">IF($G49="","",IFERROR(INDEX(基础资料!$C$6:$C$35,MATCH($G49,基础资料!$A$6:$A$35,0)),""))</f>
        <v/>
      </c>
      <c r="V49" s="49" t="str">
        <f aca="false">IF(AND($G49=客户对账单!$B$3,$E49="客户回款",$B49&gt;=客户对账单!$E$3,$B49&lt;=客户对账单!$H$3),COUNTIFS($G$5:$G49,客户对账单!$B$3,$E$5:$E49,"客户回款",$B$5:$B49,"&gt;="&amp;客户对账单!$E$3,$B$5:$B49,"&lt;="&amp;客户对账单!$H$3),"")</f>
        <v/>
      </c>
      <c r="W49" s="49" t="str">
        <f aca="false">IF(AND($G49=供应商对账单!$B$3,$E49="供应商付款",$B49&gt;=供应商对账单!$E$3,$B49&lt;=供应商对账单!$H$3),COUNTIFS($G$5:$G49,供应商对账单!$B$3,$E$5:$E49,"供应商付款",$B$5:$B49,"&gt;="&amp;供应商对账单!$E$3,$B$5:$B49,"&lt;="&amp;供应商对账单!$H$3),"")</f>
        <v/>
      </c>
    </row>
    <row r="50" customFormat="false" ht="15.75" hidden="false" customHeight="true" outlineLevel="0" collapsed="false">
      <c r="A50" s="42" t="str">
        <f aca="false">IF($B50="","","ZJ"&amp;TEXT($B50,"yyyymm")&amp;"-"&amp;TEXT(ROW()-4,"000"))</f>
        <v/>
      </c>
      <c r="B50" s="41"/>
      <c r="C50" s="42" t="str">
        <f aca="false">IF($B50="","",TEXT($B50,"yyyy-mm"))</f>
        <v/>
      </c>
      <c r="D50" s="42" t="str">
        <f aca="false">IF($E50="","",IFERROR(INDEX(科目参数!$L$6:$L$85,MATCH($E50,科目参数!$M$6:$M$85,0)),"⚠"))</f>
        <v/>
      </c>
      <c r="E50" s="33"/>
      <c r="F50" s="33"/>
      <c r="G50" s="36"/>
      <c r="H50" s="33"/>
      <c r="I50" s="33"/>
      <c r="J50" s="36"/>
      <c r="K50" s="40"/>
      <c r="L50" s="40"/>
      <c r="M50" s="47" t="str">
        <f aca="false">IF($B50="","",IF(NOT(ISNUMBER($B50)),"日期不是日期格式",IF(YEAR($B50)&lt;&gt;首页!$B$3,"不在会计年度",IF($E50="","未选收支科目",IF($D50="⚠","收支科目不存在",IF($F50="","未选账户",IF($T50="","账户未设资金科目",IF(AND($D50="转账",$U50=""),"转入账户无效",IF(AND(N($K50)&gt;0,N($L50)&gt;0),"收支不能同时填",IF(AND($D50="收入",N($K50)&lt;=0),"收入金额须大于0",IF(AND($D50&lt;&gt;"收入",N($L50)&lt;=0),"支出金额须大于0",IF($O50="","借方科目缺失",IF($P50="","贷方科目缺失","√")))))))))))))</f>
        <v/>
      </c>
      <c r="N50" s="48" t="str">
        <f aca="false">IF($B50="","",IF($D50="收入",N($K50),N($L50)))</f>
        <v/>
      </c>
      <c r="O50" s="49" t="str">
        <f aca="false">IF($B50="","",IF($D50="收入",$T50,IF($D50="转账",$U50,$S50)))</f>
        <v/>
      </c>
      <c r="P50" s="49" t="str">
        <f aca="false">IF($B50="","",IF($D50="收入",$S50,$T50))</f>
        <v/>
      </c>
      <c r="Q50" s="50" t="str">
        <f aca="false">IF($E50="","",IF($D50="转账","—",IFERROR(INDEX(科目参数!$P$6:$P$85,MATCH($E50,科目参数!$M$6:$M$85,0)),"")))</f>
        <v/>
      </c>
      <c r="R50" s="48" t="str">
        <f aca="false">IF($B50="","",SUMIFS(期初数据!$B$6:$B$35,期初数据!$A$6:$A$35,$F50)+SUMIFS($N$5:$N50,$F$5:$F50,$F50,$D$5:$D50,"收入")-SUMIFS($N$5:$N50,$F$5:$F50,$F50,$D$5:$D50,"支出")-SUMIFS($N$5:$N50,$F$5:$F50,$F50,$D$5:$D50,"转账")+SUMIFS($N$5:$N50,$G$5:$G50,$F50,$D$5:$D50,"转账"))</f>
        <v/>
      </c>
      <c r="S50" s="49" t="str">
        <f aca="false">IF($E50="","",IFERROR(INDEX(科目参数!$N$6:$N$85,MATCH($E50,科目参数!$M$6:$M$85,0)),""))</f>
        <v/>
      </c>
      <c r="T50" s="49" t="str">
        <f aca="false">IF($F50="","",IFERROR(INDEX(基础资料!$C$6:$C$35,MATCH($F50,基础资料!$A$6:$A$35,0)),""))</f>
        <v/>
      </c>
      <c r="U50" s="49" t="str">
        <f aca="false">IF($G50="","",IFERROR(INDEX(基础资料!$C$6:$C$35,MATCH($G50,基础资料!$A$6:$A$35,0)),""))</f>
        <v/>
      </c>
      <c r="V50" s="49" t="str">
        <f aca="false">IF(AND($G50=客户对账单!$B$3,$E50="客户回款",$B50&gt;=客户对账单!$E$3,$B50&lt;=客户对账单!$H$3),COUNTIFS($G$5:$G50,客户对账单!$B$3,$E$5:$E50,"客户回款",$B$5:$B50,"&gt;="&amp;客户对账单!$E$3,$B$5:$B50,"&lt;="&amp;客户对账单!$H$3),"")</f>
        <v/>
      </c>
      <c r="W50" s="49" t="str">
        <f aca="false">IF(AND($G50=供应商对账单!$B$3,$E50="供应商付款",$B50&gt;=供应商对账单!$E$3,$B50&lt;=供应商对账单!$H$3),COUNTIFS($G$5:$G50,供应商对账单!$B$3,$E$5:$E50,"供应商付款",$B$5:$B50,"&gt;="&amp;供应商对账单!$E$3,$B$5:$B50,"&lt;="&amp;供应商对账单!$H$3),"")</f>
        <v/>
      </c>
    </row>
    <row r="51" customFormat="false" ht="15.75" hidden="false" customHeight="true" outlineLevel="0" collapsed="false">
      <c r="A51" s="42" t="str">
        <f aca="false">IF($B51="","","ZJ"&amp;TEXT($B51,"yyyymm")&amp;"-"&amp;TEXT(ROW()-4,"000"))</f>
        <v/>
      </c>
      <c r="B51" s="41"/>
      <c r="C51" s="42" t="str">
        <f aca="false">IF($B51="","",TEXT($B51,"yyyy-mm"))</f>
        <v/>
      </c>
      <c r="D51" s="42" t="str">
        <f aca="false">IF($E51="","",IFERROR(INDEX(科目参数!$L$6:$L$85,MATCH($E51,科目参数!$M$6:$M$85,0)),"⚠"))</f>
        <v/>
      </c>
      <c r="E51" s="33"/>
      <c r="F51" s="33"/>
      <c r="G51" s="36"/>
      <c r="H51" s="33"/>
      <c r="I51" s="33"/>
      <c r="J51" s="36"/>
      <c r="K51" s="40"/>
      <c r="L51" s="40"/>
      <c r="M51" s="47" t="str">
        <f aca="false">IF($B51="","",IF(NOT(ISNUMBER($B51)),"日期不是日期格式",IF(YEAR($B51)&lt;&gt;首页!$B$3,"不在会计年度",IF($E51="","未选收支科目",IF($D51="⚠","收支科目不存在",IF($F51="","未选账户",IF($T51="","账户未设资金科目",IF(AND($D51="转账",$U51=""),"转入账户无效",IF(AND(N($K51)&gt;0,N($L51)&gt;0),"收支不能同时填",IF(AND($D51="收入",N($K51)&lt;=0),"收入金额须大于0",IF(AND($D51&lt;&gt;"收入",N($L51)&lt;=0),"支出金额须大于0",IF($O51="","借方科目缺失",IF($P51="","贷方科目缺失","√")))))))))))))</f>
        <v/>
      </c>
      <c r="N51" s="48" t="str">
        <f aca="false">IF($B51="","",IF($D51="收入",N($K51),N($L51)))</f>
        <v/>
      </c>
      <c r="O51" s="49" t="str">
        <f aca="false">IF($B51="","",IF($D51="收入",$T51,IF($D51="转账",$U51,$S51)))</f>
        <v/>
      </c>
      <c r="P51" s="49" t="str">
        <f aca="false">IF($B51="","",IF($D51="收入",$S51,$T51))</f>
        <v/>
      </c>
      <c r="Q51" s="50" t="str">
        <f aca="false">IF($E51="","",IF($D51="转账","—",IFERROR(INDEX(科目参数!$P$6:$P$85,MATCH($E51,科目参数!$M$6:$M$85,0)),"")))</f>
        <v/>
      </c>
      <c r="R51" s="48" t="str">
        <f aca="false">IF($B51="","",SUMIFS(期初数据!$B$6:$B$35,期初数据!$A$6:$A$35,$F51)+SUMIFS($N$5:$N51,$F$5:$F51,$F51,$D$5:$D51,"收入")-SUMIFS($N$5:$N51,$F$5:$F51,$F51,$D$5:$D51,"支出")-SUMIFS($N$5:$N51,$F$5:$F51,$F51,$D$5:$D51,"转账")+SUMIFS($N$5:$N51,$G$5:$G51,$F51,$D$5:$D51,"转账"))</f>
        <v/>
      </c>
      <c r="S51" s="49" t="str">
        <f aca="false">IF($E51="","",IFERROR(INDEX(科目参数!$N$6:$N$85,MATCH($E51,科目参数!$M$6:$M$85,0)),""))</f>
        <v/>
      </c>
      <c r="T51" s="49" t="str">
        <f aca="false">IF($F51="","",IFERROR(INDEX(基础资料!$C$6:$C$35,MATCH($F51,基础资料!$A$6:$A$35,0)),""))</f>
        <v/>
      </c>
      <c r="U51" s="49" t="str">
        <f aca="false">IF($G51="","",IFERROR(INDEX(基础资料!$C$6:$C$35,MATCH($G51,基础资料!$A$6:$A$35,0)),""))</f>
        <v/>
      </c>
      <c r="V51" s="49" t="str">
        <f aca="false">IF(AND($G51=客户对账单!$B$3,$E51="客户回款",$B51&gt;=客户对账单!$E$3,$B51&lt;=客户对账单!$H$3),COUNTIFS($G$5:$G51,客户对账单!$B$3,$E$5:$E51,"客户回款",$B$5:$B51,"&gt;="&amp;客户对账单!$E$3,$B$5:$B51,"&lt;="&amp;客户对账单!$H$3),"")</f>
        <v/>
      </c>
      <c r="W51" s="49" t="str">
        <f aca="false">IF(AND($G51=供应商对账单!$B$3,$E51="供应商付款",$B51&gt;=供应商对账单!$E$3,$B51&lt;=供应商对账单!$H$3),COUNTIFS($G$5:$G51,供应商对账单!$B$3,$E$5:$E51,"供应商付款",$B$5:$B51,"&gt;="&amp;供应商对账单!$E$3,$B$5:$B51,"&lt;="&amp;供应商对账单!$H$3),"")</f>
        <v/>
      </c>
    </row>
    <row r="52" customFormat="false" ht="15.75" hidden="false" customHeight="true" outlineLevel="0" collapsed="false">
      <c r="A52" s="42" t="str">
        <f aca="false">IF($B52="","","ZJ"&amp;TEXT($B52,"yyyymm")&amp;"-"&amp;TEXT(ROW()-4,"000"))</f>
        <v/>
      </c>
      <c r="B52" s="41"/>
      <c r="C52" s="42" t="str">
        <f aca="false">IF($B52="","",TEXT($B52,"yyyy-mm"))</f>
        <v/>
      </c>
      <c r="D52" s="42" t="str">
        <f aca="false">IF($E52="","",IFERROR(INDEX(科目参数!$L$6:$L$85,MATCH($E52,科目参数!$M$6:$M$85,0)),"⚠"))</f>
        <v/>
      </c>
      <c r="E52" s="33"/>
      <c r="F52" s="33"/>
      <c r="G52" s="36"/>
      <c r="H52" s="33"/>
      <c r="I52" s="33"/>
      <c r="J52" s="36"/>
      <c r="K52" s="40"/>
      <c r="L52" s="40"/>
      <c r="M52" s="47" t="str">
        <f aca="false">IF($B52="","",IF(NOT(ISNUMBER($B52)),"日期不是日期格式",IF(YEAR($B52)&lt;&gt;首页!$B$3,"不在会计年度",IF($E52="","未选收支科目",IF($D52="⚠","收支科目不存在",IF($F52="","未选账户",IF($T52="","账户未设资金科目",IF(AND($D52="转账",$U52=""),"转入账户无效",IF(AND(N($K52)&gt;0,N($L52)&gt;0),"收支不能同时填",IF(AND($D52="收入",N($K52)&lt;=0),"收入金额须大于0",IF(AND($D52&lt;&gt;"收入",N($L52)&lt;=0),"支出金额须大于0",IF($O52="","借方科目缺失",IF($P52="","贷方科目缺失","√")))))))))))))</f>
        <v/>
      </c>
      <c r="N52" s="48" t="str">
        <f aca="false">IF($B52="","",IF($D52="收入",N($K52),N($L52)))</f>
        <v/>
      </c>
      <c r="O52" s="49" t="str">
        <f aca="false">IF($B52="","",IF($D52="收入",$T52,IF($D52="转账",$U52,$S52)))</f>
        <v/>
      </c>
      <c r="P52" s="49" t="str">
        <f aca="false">IF($B52="","",IF($D52="收入",$S52,$T52))</f>
        <v/>
      </c>
      <c r="Q52" s="50" t="str">
        <f aca="false">IF($E52="","",IF($D52="转账","—",IFERROR(INDEX(科目参数!$P$6:$P$85,MATCH($E52,科目参数!$M$6:$M$85,0)),"")))</f>
        <v/>
      </c>
      <c r="R52" s="48" t="str">
        <f aca="false">IF($B52="","",SUMIFS(期初数据!$B$6:$B$35,期初数据!$A$6:$A$35,$F52)+SUMIFS($N$5:$N52,$F$5:$F52,$F52,$D$5:$D52,"收入")-SUMIFS($N$5:$N52,$F$5:$F52,$F52,$D$5:$D52,"支出")-SUMIFS($N$5:$N52,$F$5:$F52,$F52,$D$5:$D52,"转账")+SUMIFS($N$5:$N52,$G$5:$G52,$F52,$D$5:$D52,"转账"))</f>
        <v/>
      </c>
      <c r="S52" s="49" t="str">
        <f aca="false">IF($E52="","",IFERROR(INDEX(科目参数!$N$6:$N$85,MATCH($E52,科目参数!$M$6:$M$85,0)),""))</f>
        <v/>
      </c>
      <c r="T52" s="49" t="str">
        <f aca="false">IF($F52="","",IFERROR(INDEX(基础资料!$C$6:$C$35,MATCH($F52,基础资料!$A$6:$A$35,0)),""))</f>
        <v/>
      </c>
      <c r="U52" s="49" t="str">
        <f aca="false">IF($G52="","",IFERROR(INDEX(基础资料!$C$6:$C$35,MATCH($G52,基础资料!$A$6:$A$35,0)),""))</f>
        <v/>
      </c>
      <c r="V52" s="49" t="str">
        <f aca="false">IF(AND($G52=客户对账单!$B$3,$E52="客户回款",$B52&gt;=客户对账单!$E$3,$B52&lt;=客户对账单!$H$3),COUNTIFS($G$5:$G52,客户对账单!$B$3,$E$5:$E52,"客户回款",$B$5:$B52,"&gt;="&amp;客户对账单!$E$3,$B$5:$B52,"&lt;="&amp;客户对账单!$H$3),"")</f>
        <v/>
      </c>
      <c r="W52" s="49" t="str">
        <f aca="false">IF(AND($G52=供应商对账单!$B$3,$E52="供应商付款",$B52&gt;=供应商对账单!$E$3,$B52&lt;=供应商对账单!$H$3),COUNTIFS($G$5:$G52,供应商对账单!$B$3,$E$5:$E52,"供应商付款",$B$5:$B52,"&gt;="&amp;供应商对账单!$E$3,$B$5:$B52,"&lt;="&amp;供应商对账单!$H$3),"")</f>
        <v/>
      </c>
    </row>
    <row r="53" customFormat="false" ht="15.75" hidden="false" customHeight="true" outlineLevel="0" collapsed="false">
      <c r="A53" s="42" t="str">
        <f aca="false">IF($B53="","","ZJ"&amp;TEXT($B53,"yyyymm")&amp;"-"&amp;TEXT(ROW()-4,"000"))</f>
        <v/>
      </c>
      <c r="B53" s="41"/>
      <c r="C53" s="42" t="str">
        <f aca="false">IF($B53="","",TEXT($B53,"yyyy-mm"))</f>
        <v/>
      </c>
      <c r="D53" s="42" t="str">
        <f aca="false">IF($E53="","",IFERROR(INDEX(科目参数!$L$6:$L$85,MATCH($E53,科目参数!$M$6:$M$85,0)),"⚠"))</f>
        <v/>
      </c>
      <c r="E53" s="33"/>
      <c r="F53" s="33"/>
      <c r="G53" s="36"/>
      <c r="H53" s="33"/>
      <c r="I53" s="33"/>
      <c r="J53" s="36"/>
      <c r="K53" s="40"/>
      <c r="L53" s="40"/>
      <c r="M53" s="47" t="str">
        <f aca="false">IF($B53="","",IF(NOT(ISNUMBER($B53)),"日期不是日期格式",IF(YEAR($B53)&lt;&gt;首页!$B$3,"不在会计年度",IF($E53="","未选收支科目",IF($D53="⚠","收支科目不存在",IF($F53="","未选账户",IF($T53="","账户未设资金科目",IF(AND($D53="转账",$U53=""),"转入账户无效",IF(AND(N($K53)&gt;0,N($L53)&gt;0),"收支不能同时填",IF(AND($D53="收入",N($K53)&lt;=0),"收入金额须大于0",IF(AND($D53&lt;&gt;"收入",N($L53)&lt;=0),"支出金额须大于0",IF($O53="","借方科目缺失",IF($P53="","贷方科目缺失","√")))))))))))))</f>
        <v/>
      </c>
      <c r="N53" s="48" t="str">
        <f aca="false">IF($B53="","",IF($D53="收入",N($K53),N($L53)))</f>
        <v/>
      </c>
      <c r="O53" s="49" t="str">
        <f aca="false">IF($B53="","",IF($D53="收入",$T53,IF($D53="转账",$U53,$S53)))</f>
        <v/>
      </c>
      <c r="P53" s="49" t="str">
        <f aca="false">IF($B53="","",IF($D53="收入",$S53,$T53))</f>
        <v/>
      </c>
      <c r="Q53" s="50" t="str">
        <f aca="false">IF($E53="","",IF($D53="转账","—",IFERROR(INDEX(科目参数!$P$6:$P$85,MATCH($E53,科目参数!$M$6:$M$85,0)),"")))</f>
        <v/>
      </c>
      <c r="R53" s="48" t="str">
        <f aca="false">IF($B53="","",SUMIFS(期初数据!$B$6:$B$35,期初数据!$A$6:$A$35,$F53)+SUMIFS($N$5:$N53,$F$5:$F53,$F53,$D$5:$D53,"收入")-SUMIFS($N$5:$N53,$F$5:$F53,$F53,$D$5:$D53,"支出")-SUMIFS($N$5:$N53,$F$5:$F53,$F53,$D$5:$D53,"转账")+SUMIFS($N$5:$N53,$G$5:$G53,$F53,$D$5:$D53,"转账"))</f>
        <v/>
      </c>
      <c r="S53" s="49" t="str">
        <f aca="false">IF($E53="","",IFERROR(INDEX(科目参数!$N$6:$N$85,MATCH($E53,科目参数!$M$6:$M$85,0)),""))</f>
        <v/>
      </c>
      <c r="T53" s="49" t="str">
        <f aca="false">IF($F53="","",IFERROR(INDEX(基础资料!$C$6:$C$35,MATCH($F53,基础资料!$A$6:$A$35,0)),""))</f>
        <v/>
      </c>
      <c r="U53" s="49" t="str">
        <f aca="false">IF($G53="","",IFERROR(INDEX(基础资料!$C$6:$C$35,MATCH($G53,基础资料!$A$6:$A$35,0)),""))</f>
        <v/>
      </c>
      <c r="V53" s="49" t="str">
        <f aca="false">IF(AND($G53=客户对账单!$B$3,$E53="客户回款",$B53&gt;=客户对账单!$E$3,$B53&lt;=客户对账单!$H$3),COUNTIFS($G$5:$G53,客户对账单!$B$3,$E$5:$E53,"客户回款",$B$5:$B53,"&gt;="&amp;客户对账单!$E$3,$B$5:$B53,"&lt;="&amp;客户对账单!$H$3),"")</f>
        <v/>
      </c>
      <c r="W53" s="49" t="str">
        <f aca="false">IF(AND($G53=供应商对账单!$B$3,$E53="供应商付款",$B53&gt;=供应商对账单!$E$3,$B53&lt;=供应商对账单!$H$3),COUNTIFS($G$5:$G53,供应商对账单!$B$3,$E$5:$E53,"供应商付款",$B$5:$B53,"&gt;="&amp;供应商对账单!$E$3,$B$5:$B53,"&lt;="&amp;供应商对账单!$H$3),"")</f>
        <v/>
      </c>
    </row>
    <row r="54" customFormat="false" ht="15.75" hidden="false" customHeight="true" outlineLevel="0" collapsed="false">
      <c r="A54" s="42" t="str">
        <f aca="false">IF($B54="","","ZJ"&amp;TEXT($B54,"yyyymm")&amp;"-"&amp;TEXT(ROW()-4,"000"))</f>
        <v/>
      </c>
      <c r="B54" s="41"/>
      <c r="C54" s="42" t="str">
        <f aca="false">IF($B54="","",TEXT($B54,"yyyy-mm"))</f>
        <v/>
      </c>
      <c r="D54" s="42" t="str">
        <f aca="false">IF($E54="","",IFERROR(INDEX(科目参数!$L$6:$L$85,MATCH($E54,科目参数!$M$6:$M$85,0)),"⚠"))</f>
        <v/>
      </c>
      <c r="E54" s="33"/>
      <c r="F54" s="33"/>
      <c r="G54" s="36"/>
      <c r="H54" s="33"/>
      <c r="I54" s="33"/>
      <c r="J54" s="36"/>
      <c r="K54" s="40"/>
      <c r="L54" s="40"/>
      <c r="M54" s="47" t="str">
        <f aca="false">IF($B54="","",IF(NOT(ISNUMBER($B54)),"日期不是日期格式",IF(YEAR($B54)&lt;&gt;首页!$B$3,"不在会计年度",IF($E54="","未选收支科目",IF($D54="⚠","收支科目不存在",IF($F54="","未选账户",IF($T54="","账户未设资金科目",IF(AND($D54="转账",$U54=""),"转入账户无效",IF(AND(N($K54)&gt;0,N($L54)&gt;0),"收支不能同时填",IF(AND($D54="收入",N($K54)&lt;=0),"收入金额须大于0",IF(AND($D54&lt;&gt;"收入",N($L54)&lt;=0),"支出金额须大于0",IF($O54="","借方科目缺失",IF($P54="","贷方科目缺失","√")))))))))))))</f>
        <v/>
      </c>
      <c r="N54" s="48" t="str">
        <f aca="false">IF($B54="","",IF($D54="收入",N($K54),N($L54)))</f>
        <v/>
      </c>
      <c r="O54" s="49" t="str">
        <f aca="false">IF($B54="","",IF($D54="收入",$T54,IF($D54="转账",$U54,$S54)))</f>
        <v/>
      </c>
      <c r="P54" s="49" t="str">
        <f aca="false">IF($B54="","",IF($D54="收入",$S54,$T54))</f>
        <v/>
      </c>
      <c r="Q54" s="50" t="str">
        <f aca="false">IF($E54="","",IF($D54="转账","—",IFERROR(INDEX(科目参数!$P$6:$P$85,MATCH($E54,科目参数!$M$6:$M$85,0)),"")))</f>
        <v/>
      </c>
      <c r="R54" s="48" t="str">
        <f aca="false">IF($B54="","",SUMIFS(期初数据!$B$6:$B$35,期初数据!$A$6:$A$35,$F54)+SUMIFS($N$5:$N54,$F$5:$F54,$F54,$D$5:$D54,"收入")-SUMIFS($N$5:$N54,$F$5:$F54,$F54,$D$5:$D54,"支出")-SUMIFS($N$5:$N54,$F$5:$F54,$F54,$D$5:$D54,"转账")+SUMIFS($N$5:$N54,$G$5:$G54,$F54,$D$5:$D54,"转账"))</f>
        <v/>
      </c>
      <c r="S54" s="49" t="str">
        <f aca="false">IF($E54="","",IFERROR(INDEX(科目参数!$N$6:$N$85,MATCH($E54,科目参数!$M$6:$M$85,0)),""))</f>
        <v/>
      </c>
      <c r="T54" s="49" t="str">
        <f aca="false">IF($F54="","",IFERROR(INDEX(基础资料!$C$6:$C$35,MATCH($F54,基础资料!$A$6:$A$35,0)),""))</f>
        <v/>
      </c>
      <c r="U54" s="49" t="str">
        <f aca="false">IF($G54="","",IFERROR(INDEX(基础资料!$C$6:$C$35,MATCH($G54,基础资料!$A$6:$A$35,0)),""))</f>
        <v/>
      </c>
      <c r="V54" s="49" t="str">
        <f aca="false">IF(AND($G54=客户对账单!$B$3,$E54="客户回款",$B54&gt;=客户对账单!$E$3,$B54&lt;=客户对账单!$H$3),COUNTIFS($G$5:$G54,客户对账单!$B$3,$E$5:$E54,"客户回款",$B$5:$B54,"&gt;="&amp;客户对账单!$E$3,$B$5:$B54,"&lt;="&amp;客户对账单!$H$3),"")</f>
        <v/>
      </c>
      <c r="W54" s="49" t="str">
        <f aca="false">IF(AND($G54=供应商对账单!$B$3,$E54="供应商付款",$B54&gt;=供应商对账单!$E$3,$B54&lt;=供应商对账单!$H$3),COUNTIFS($G$5:$G54,供应商对账单!$B$3,$E$5:$E54,"供应商付款",$B$5:$B54,"&gt;="&amp;供应商对账单!$E$3,$B$5:$B54,"&lt;="&amp;供应商对账单!$H$3),"")</f>
        <v/>
      </c>
    </row>
    <row r="55" customFormat="false" ht="15.75" hidden="false" customHeight="true" outlineLevel="0" collapsed="false">
      <c r="A55" s="42" t="str">
        <f aca="false">IF($B55="","","ZJ"&amp;TEXT($B55,"yyyymm")&amp;"-"&amp;TEXT(ROW()-4,"000"))</f>
        <v/>
      </c>
      <c r="B55" s="41"/>
      <c r="C55" s="42" t="str">
        <f aca="false">IF($B55="","",TEXT($B55,"yyyy-mm"))</f>
        <v/>
      </c>
      <c r="D55" s="42" t="str">
        <f aca="false">IF($E55="","",IFERROR(INDEX(科目参数!$L$6:$L$85,MATCH($E55,科目参数!$M$6:$M$85,0)),"⚠"))</f>
        <v/>
      </c>
      <c r="E55" s="33"/>
      <c r="F55" s="33"/>
      <c r="G55" s="36"/>
      <c r="H55" s="33"/>
      <c r="I55" s="33"/>
      <c r="J55" s="36"/>
      <c r="K55" s="40"/>
      <c r="L55" s="40"/>
      <c r="M55" s="47" t="str">
        <f aca="false">IF($B55="","",IF(NOT(ISNUMBER($B55)),"日期不是日期格式",IF(YEAR($B55)&lt;&gt;首页!$B$3,"不在会计年度",IF($E55="","未选收支科目",IF($D55="⚠","收支科目不存在",IF($F55="","未选账户",IF($T55="","账户未设资金科目",IF(AND($D55="转账",$U55=""),"转入账户无效",IF(AND(N($K55)&gt;0,N($L55)&gt;0),"收支不能同时填",IF(AND($D55="收入",N($K55)&lt;=0),"收入金额须大于0",IF(AND($D55&lt;&gt;"收入",N($L55)&lt;=0),"支出金额须大于0",IF($O55="","借方科目缺失",IF($P55="","贷方科目缺失","√")))))))))))))</f>
        <v/>
      </c>
      <c r="N55" s="48" t="str">
        <f aca="false">IF($B55="","",IF($D55="收入",N($K55),N($L55)))</f>
        <v/>
      </c>
      <c r="O55" s="49" t="str">
        <f aca="false">IF($B55="","",IF($D55="收入",$T55,IF($D55="转账",$U55,$S55)))</f>
        <v/>
      </c>
      <c r="P55" s="49" t="str">
        <f aca="false">IF($B55="","",IF($D55="收入",$S55,$T55))</f>
        <v/>
      </c>
      <c r="Q55" s="50" t="str">
        <f aca="false">IF($E55="","",IF($D55="转账","—",IFERROR(INDEX(科目参数!$P$6:$P$85,MATCH($E55,科目参数!$M$6:$M$85,0)),"")))</f>
        <v/>
      </c>
      <c r="R55" s="48" t="str">
        <f aca="false">IF($B55="","",SUMIFS(期初数据!$B$6:$B$35,期初数据!$A$6:$A$35,$F55)+SUMIFS($N$5:$N55,$F$5:$F55,$F55,$D$5:$D55,"收入")-SUMIFS($N$5:$N55,$F$5:$F55,$F55,$D$5:$D55,"支出")-SUMIFS($N$5:$N55,$F$5:$F55,$F55,$D$5:$D55,"转账")+SUMIFS($N$5:$N55,$G$5:$G55,$F55,$D$5:$D55,"转账"))</f>
        <v/>
      </c>
      <c r="S55" s="49" t="str">
        <f aca="false">IF($E55="","",IFERROR(INDEX(科目参数!$N$6:$N$85,MATCH($E55,科目参数!$M$6:$M$85,0)),""))</f>
        <v/>
      </c>
      <c r="T55" s="49" t="str">
        <f aca="false">IF($F55="","",IFERROR(INDEX(基础资料!$C$6:$C$35,MATCH($F55,基础资料!$A$6:$A$35,0)),""))</f>
        <v/>
      </c>
      <c r="U55" s="49" t="str">
        <f aca="false">IF($G55="","",IFERROR(INDEX(基础资料!$C$6:$C$35,MATCH($G55,基础资料!$A$6:$A$35,0)),""))</f>
        <v/>
      </c>
      <c r="V55" s="49" t="str">
        <f aca="false">IF(AND($G55=客户对账单!$B$3,$E55="客户回款",$B55&gt;=客户对账单!$E$3,$B55&lt;=客户对账单!$H$3),COUNTIFS($G$5:$G55,客户对账单!$B$3,$E$5:$E55,"客户回款",$B$5:$B55,"&gt;="&amp;客户对账单!$E$3,$B$5:$B55,"&lt;="&amp;客户对账单!$H$3),"")</f>
        <v/>
      </c>
      <c r="W55" s="49" t="str">
        <f aca="false">IF(AND($G55=供应商对账单!$B$3,$E55="供应商付款",$B55&gt;=供应商对账单!$E$3,$B55&lt;=供应商对账单!$H$3),COUNTIFS($G$5:$G55,供应商对账单!$B$3,$E$5:$E55,"供应商付款",$B$5:$B55,"&gt;="&amp;供应商对账单!$E$3,$B$5:$B55,"&lt;="&amp;供应商对账单!$H$3),"")</f>
        <v/>
      </c>
    </row>
    <row r="56" customFormat="false" ht="15.75" hidden="false" customHeight="true" outlineLevel="0" collapsed="false">
      <c r="A56" s="42" t="str">
        <f aca="false">IF($B56="","","ZJ"&amp;TEXT($B56,"yyyymm")&amp;"-"&amp;TEXT(ROW()-4,"000"))</f>
        <v/>
      </c>
      <c r="B56" s="41"/>
      <c r="C56" s="42" t="str">
        <f aca="false">IF($B56="","",TEXT($B56,"yyyy-mm"))</f>
        <v/>
      </c>
      <c r="D56" s="42" t="str">
        <f aca="false">IF($E56="","",IFERROR(INDEX(科目参数!$L$6:$L$85,MATCH($E56,科目参数!$M$6:$M$85,0)),"⚠"))</f>
        <v/>
      </c>
      <c r="E56" s="33"/>
      <c r="F56" s="33"/>
      <c r="G56" s="36"/>
      <c r="H56" s="33"/>
      <c r="I56" s="33"/>
      <c r="J56" s="36"/>
      <c r="K56" s="40"/>
      <c r="L56" s="40"/>
      <c r="M56" s="47" t="str">
        <f aca="false">IF($B56="","",IF(NOT(ISNUMBER($B56)),"日期不是日期格式",IF(YEAR($B56)&lt;&gt;首页!$B$3,"不在会计年度",IF($E56="","未选收支科目",IF($D56="⚠","收支科目不存在",IF($F56="","未选账户",IF($T56="","账户未设资金科目",IF(AND($D56="转账",$U56=""),"转入账户无效",IF(AND(N($K56)&gt;0,N($L56)&gt;0),"收支不能同时填",IF(AND($D56="收入",N($K56)&lt;=0),"收入金额须大于0",IF(AND($D56&lt;&gt;"收入",N($L56)&lt;=0),"支出金额须大于0",IF($O56="","借方科目缺失",IF($P56="","贷方科目缺失","√")))))))))))))</f>
        <v/>
      </c>
      <c r="N56" s="48" t="str">
        <f aca="false">IF($B56="","",IF($D56="收入",N($K56),N($L56)))</f>
        <v/>
      </c>
      <c r="O56" s="49" t="str">
        <f aca="false">IF($B56="","",IF($D56="收入",$T56,IF($D56="转账",$U56,$S56)))</f>
        <v/>
      </c>
      <c r="P56" s="49" t="str">
        <f aca="false">IF($B56="","",IF($D56="收入",$S56,$T56))</f>
        <v/>
      </c>
      <c r="Q56" s="50" t="str">
        <f aca="false">IF($E56="","",IF($D56="转账","—",IFERROR(INDEX(科目参数!$P$6:$P$85,MATCH($E56,科目参数!$M$6:$M$85,0)),"")))</f>
        <v/>
      </c>
      <c r="R56" s="48" t="str">
        <f aca="false">IF($B56="","",SUMIFS(期初数据!$B$6:$B$35,期初数据!$A$6:$A$35,$F56)+SUMIFS($N$5:$N56,$F$5:$F56,$F56,$D$5:$D56,"收入")-SUMIFS($N$5:$N56,$F$5:$F56,$F56,$D$5:$D56,"支出")-SUMIFS($N$5:$N56,$F$5:$F56,$F56,$D$5:$D56,"转账")+SUMIFS($N$5:$N56,$G$5:$G56,$F56,$D$5:$D56,"转账"))</f>
        <v/>
      </c>
      <c r="S56" s="49" t="str">
        <f aca="false">IF($E56="","",IFERROR(INDEX(科目参数!$N$6:$N$85,MATCH($E56,科目参数!$M$6:$M$85,0)),""))</f>
        <v/>
      </c>
      <c r="T56" s="49" t="str">
        <f aca="false">IF($F56="","",IFERROR(INDEX(基础资料!$C$6:$C$35,MATCH($F56,基础资料!$A$6:$A$35,0)),""))</f>
        <v/>
      </c>
      <c r="U56" s="49" t="str">
        <f aca="false">IF($G56="","",IFERROR(INDEX(基础资料!$C$6:$C$35,MATCH($G56,基础资料!$A$6:$A$35,0)),""))</f>
        <v/>
      </c>
      <c r="V56" s="49" t="str">
        <f aca="false">IF(AND($G56=客户对账单!$B$3,$E56="客户回款",$B56&gt;=客户对账单!$E$3,$B56&lt;=客户对账单!$H$3),COUNTIFS($G$5:$G56,客户对账单!$B$3,$E$5:$E56,"客户回款",$B$5:$B56,"&gt;="&amp;客户对账单!$E$3,$B$5:$B56,"&lt;="&amp;客户对账单!$H$3),"")</f>
        <v/>
      </c>
      <c r="W56" s="49" t="str">
        <f aca="false">IF(AND($G56=供应商对账单!$B$3,$E56="供应商付款",$B56&gt;=供应商对账单!$E$3,$B56&lt;=供应商对账单!$H$3),COUNTIFS($G$5:$G56,供应商对账单!$B$3,$E$5:$E56,"供应商付款",$B$5:$B56,"&gt;="&amp;供应商对账单!$E$3,$B$5:$B56,"&lt;="&amp;供应商对账单!$H$3),"")</f>
        <v/>
      </c>
    </row>
    <row r="57" customFormat="false" ht="15.75" hidden="false" customHeight="true" outlineLevel="0" collapsed="false">
      <c r="A57" s="42" t="str">
        <f aca="false">IF($B57="","","ZJ"&amp;TEXT($B57,"yyyymm")&amp;"-"&amp;TEXT(ROW()-4,"000"))</f>
        <v/>
      </c>
      <c r="B57" s="41"/>
      <c r="C57" s="42" t="str">
        <f aca="false">IF($B57="","",TEXT($B57,"yyyy-mm"))</f>
        <v/>
      </c>
      <c r="D57" s="42" t="str">
        <f aca="false">IF($E57="","",IFERROR(INDEX(科目参数!$L$6:$L$85,MATCH($E57,科目参数!$M$6:$M$85,0)),"⚠"))</f>
        <v/>
      </c>
      <c r="E57" s="33"/>
      <c r="F57" s="33"/>
      <c r="G57" s="36"/>
      <c r="H57" s="33"/>
      <c r="I57" s="33"/>
      <c r="J57" s="36"/>
      <c r="K57" s="40"/>
      <c r="L57" s="40"/>
      <c r="M57" s="47" t="str">
        <f aca="false">IF($B57="","",IF(NOT(ISNUMBER($B57)),"日期不是日期格式",IF(YEAR($B57)&lt;&gt;首页!$B$3,"不在会计年度",IF($E57="","未选收支科目",IF($D57="⚠","收支科目不存在",IF($F57="","未选账户",IF($T57="","账户未设资金科目",IF(AND($D57="转账",$U57=""),"转入账户无效",IF(AND(N($K57)&gt;0,N($L57)&gt;0),"收支不能同时填",IF(AND($D57="收入",N($K57)&lt;=0),"收入金额须大于0",IF(AND($D57&lt;&gt;"收入",N($L57)&lt;=0),"支出金额须大于0",IF($O57="","借方科目缺失",IF($P57="","贷方科目缺失","√")))))))))))))</f>
        <v/>
      </c>
      <c r="N57" s="48" t="str">
        <f aca="false">IF($B57="","",IF($D57="收入",N($K57),N($L57)))</f>
        <v/>
      </c>
      <c r="O57" s="49" t="str">
        <f aca="false">IF($B57="","",IF($D57="收入",$T57,IF($D57="转账",$U57,$S57)))</f>
        <v/>
      </c>
      <c r="P57" s="49" t="str">
        <f aca="false">IF($B57="","",IF($D57="收入",$S57,$T57))</f>
        <v/>
      </c>
      <c r="Q57" s="50" t="str">
        <f aca="false">IF($E57="","",IF($D57="转账","—",IFERROR(INDEX(科目参数!$P$6:$P$85,MATCH($E57,科目参数!$M$6:$M$85,0)),"")))</f>
        <v/>
      </c>
      <c r="R57" s="48" t="str">
        <f aca="false">IF($B57="","",SUMIFS(期初数据!$B$6:$B$35,期初数据!$A$6:$A$35,$F57)+SUMIFS($N$5:$N57,$F$5:$F57,$F57,$D$5:$D57,"收入")-SUMIFS($N$5:$N57,$F$5:$F57,$F57,$D$5:$D57,"支出")-SUMIFS($N$5:$N57,$F$5:$F57,$F57,$D$5:$D57,"转账")+SUMIFS($N$5:$N57,$G$5:$G57,$F57,$D$5:$D57,"转账"))</f>
        <v/>
      </c>
      <c r="S57" s="49" t="str">
        <f aca="false">IF($E57="","",IFERROR(INDEX(科目参数!$N$6:$N$85,MATCH($E57,科目参数!$M$6:$M$85,0)),""))</f>
        <v/>
      </c>
      <c r="T57" s="49" t="str">
        <f aca="false">IF($F57="","",IFERROR(INDEX(基础资料!$C$6:$C$35,MATCH($F57,基础资料!$A$6:$A$35,0)),""))</f>
        <v/>
      </c>
      <c r="U57" s="49" t="str">
        <f aca="false">IF($G57="","",IFERROR(INDEX(基础资料!$C$6:$C$35,MATCH($G57,基础资料!$A$6:$A$35,0)),""))</f>
        <v/>
      </c>
      <c r="V57" s="49" t="str">
        <f aca="false">IF(AND($G57=客户对账单!$B$3,$E57="客户回款",$B57&gt;=客户对账单!$E$3,$B57&lt;=客户对账单!$H$3),COUNTIFS($G$5:$G57,客户对账单!$B$3,$E$5:$E57,"客户回款",$B$5:$B57,"&gt;="&amp;客户对账单!$E$3,$B$5:$B57,"&lt;="&amp;客户对账单!$H$3),"")</f>
        <v/>
      </c>
      <c r="W57" s="49" t="str">
        <f aca="false">IF(AND($G57=供应商对账单!$B$3,$E57="供应商付款",$B57&gt;=供应商对账单!$E$3,$B57&lt;=供应商对账单!$H$3),COUNTIFS($G$5:$G57,供应商对账单!$B$3,$E$5:$E57,"供应商付款",$B$5:$B57,"&gt;="&amp;供应商对账单!$E$3,$B$5:$B57,"&lt;="&amp;供应商对账单!$H$3),"")</f>
        <v/>
      </c>
    </row>
    <row r="58" customFormat="false" ht="15.75" hidden="false" customHeight="true" outlineLevel="0" collapsed="false">
      <c r="A58" s="42" t="str">
        <f aca="false">IF($B58="","","ZJ"&amp;TEXT($B58,"yyyymm")&amp;"-"&amp;TEXT(ROW()-4,"000"))</f>
        <v/>
      </c>
      <c r="B58" s="41"/>
      <c r="C58" s="42" t="str">
        <f aca="false">IF($B58="","",TEXT($B58,"yyyy-mm"))</f>
        <v/>
      </c>
      <c r="D58" s="42" t="str">
        <f aca="false">IF($E58="","",IFERROR(INDEX(科目参数!$L$6:$L$85,MATCH($E58,科目参数!$M$6:$M$85,0)),"⚠"))</f>
        <v/>
      </c>
      <c r="E58" s="33"/>
      <c r="F58" s="33"/>
      <c r="G58" s="36"/>
      <c r="H58" s="33"/>
      <c r="I58" s="33"/>
      <c r="J58" s="36"/>
      <c r="K58" s="40"/>
      <c r="L58" s="40"/>
      <c r="M58" s="47" t="str">
        <f aca="false">IF($B58="","",IF(NOT(ISNUMBER($B58)),"日期不是日期格式",IF(YEAR($B58)&lt;&gt;首页!$B$3,"不在会计年度",IF($E58="","未选收支科目",IF($D58="⚠","收支科目不存在",IF($F58="","未选账户",IF($T58="","账户未设资金科目",IF(AND($D58="转账",$U58=""),"转入账户无效",IF(AND(N($K58)&gt;0,N($L58)&gt;0),"收支不能同时填",IF(AND($D58="收入",N($K58)&lt;=0),"收入金额须大于0",IF(AND($D58&lt;&gt;"收入",N($L58)&lt;=0),"支出金额须大于0",IF($O58="","借方科目缺失",IF($P58="","贷方科目缺失","√")))))))))))))</f>
        <v/>
      </c>
      <c r="N58" s="48" t="str">
        <f aca="false">IF($B58="","",IF($D58="收入",N($K58),N($L58)))</f>
        <v/>
      </c>
      <c r="O58" s="49" t="str">
        <f aca="false">IF($B58="","",IF($D58="收入",$T58,IF($D58="转账",$U58,$S58)))</f>
        <v/>
      </c>
      <c r="P58" s="49" t="str">
        <f aca="false">IF($B58="","",IF($D58="收入",$S58,$T58))</f>
        <v/>
      </c>
      <c r="Q58" s="50" t="str">
        <f aca="false">IF($E58="","",IF($D58="转账","—",IFERROR(INDEX(科目参数!$P$6:$P$85,MATCH($E58,科目参数!$M$6:$M$85,0)),"")))</f>
        <v/>
      </c>
      <c r="R58" s="48" t="str">
        <f aca="false">IF($B58="","",SUMIFS(期初数据!$B$6:$B$35,期初数据!$A$6:$A$35,$F58)+SUMIFS($N$5:$N58,$F$5:$F58,$F58,$D$5:$D58,"收入")-SUMIFS($N$5:$N58,$F$5:$F58,$F58,$D$5:$D58,"支出")-SUMIFS($N$5:$N58,$F$5:$F58,$F58,$D$5:$D58,"转账")+SUMIFS($N$5:$N58,$G$5:$G58,$F58,$D$5:$D58,"转账"))</f>
        <v/>
      </c>
      <c r="S58" s="49" t="str">
        <f aca="false">IF($E58="","",IFERROR(INDEX(科目参数!$N$6:$N$85,MATCH($E58,科目参数!$M$6:$M$85,0)),""))</f>
        <v/>
      </c>
      <c r="T58" s="49" t="str">
        <f aca="false">IF($F58="","",IFERROR(INDEX(基础资料!$C$6:$C$35,MATCH($F58,基础资料!$A$6:$A$35,0)),""))</f>
        <v/>
      </c>
      <c r="U58" s="49" t="str">
        <f aca="false">IF($G58="","",IFERROR(INDEX(基础资料!$C$6:$C$35,MATCH($G58,基础资料!$A$6:$A$35,0)),""))</f>
        <v/>
      </c>
      <c r="V58" s="49" t="str">
        <f aca="false">IF(AND($G58=客户对账单!$B$3,$E58="客户回款",$B58&gt;=客户对账单!$E$3,$B58&lt;=客户对账单!$H$3),COUNTIFS($G$5:$G58,客户对账单!$B$3,$E$5:$E58,"客户回款",$B$5:$B58,"&gt;="&amp;客户对账单!$E$3,$B$5:$B58,"&lt;="&amp;客户对账单!$H$3),"")</f>
        <v/>
      </c>
      <c r="W58" s="49" t="str">
        <f aca="false">IF(AND($G58=供应商对账单!$B$3,$E58="供应商付款",$B58&gt;=供应商对账单!$E$3,$B58&lt;=供应商对账单!$H$3),COUNTIFS($G$5:$G58,供应商对账单!$B$3,$E$5:$E58,"供应商付款",$B$5:$B58,"&gt;="&amp;供应商对账单!$E$3,$B$5:$B58,"&lt;="&amp;供应商对账单!$H$3),"")</f>
        <v/>
      </c>
    </row>
    <row r="59" customFormat="false" ht="15.75" hidden="false" customHeight="true" outlineLevel="0" collapsed="false">
      <c r="A59" s="42" t="str">
        <f aca="false">IF($B59="","","ZJ"&amp;TEXT($B59,"yyyymm")&amp;"-"&amp;TEXT(ROW()-4,"000"))</f>
        <v/>
      </c>
      <c r="B59" s="41"/>
      <c r="C59" s="42" t="str">
        <f aca="false">IF($B59="","",TEXT($B59,"yyyy-mm"))</f>
        <v/>
      </c>
      <c r="D59" s="42" t="str">
        <f aca="false">IF($E59="","",IFERROR(INDEX(科目参数!$L$6:$L$85,MATCH($E59,科目参数!$M$6:$M$85,0)),"⚠"))</f>
        <v/>
      </c>
      <c r="E59" s="33"/>
      <c r="F59" s="33"/>
      <c r="G59" s="36"/>
      <c r="H59" s="33"/>
      <c r="I59" s="33"/>
      <c r="J59" s="36"/>
      <c r="K59" s="40"/>
      <c r="L59" s="40"/>
      <c r="M59" s="47" t="str">
        <f aca="false">IF($B59="","",IF(NOT(ISNUMBER($B59)),"日期不是日期格式",IF(YEAR($B59)&lt;&gt;首页!$B$3,"不在会计年度",IF($E59="","未选收支科目",IF($D59="⚠","收支科目不存在",IF($F59="","未选账户",IF($T59="","账户未设资金科目",IF(AND($D59="转账",$U59=""),"转入账户无效",IF(AND(N($K59)&gt;0,N($L59)&gt;0),"收支不能同时填",IF(AND($D59="收入",N($K59)&lt;=0),"收入金额须大于0",IF(AND($D59&lt;&gt;"收入",N($L59)&lt;=0),"支出金额须大于0",IF($O59="","借方科目缺失",IF($P59="","贷方科目缺失","√")))))))))))))</f>
        <v/>
      </c>
      <c r="N59" s="48" t="str">
        <f aca="false">IF($B59="","",IF($D59="收入",N($K59),N($L59)))</f>
        <v/>
      </c>
      <c r="O59" s="49" t="str">
        <f aca="false">IF($B59="","",IF($D59="收入",$T59,IF($D59="转账",$U59,$S59)))</f>
        <v/>
      </c>
      <c r="P59" s="49" t="str">
        <f aca="false">IF($B59="","",IF($D59="收入",$S59,$T59))</f>
        <v/>
      </c>
      <c r="Q59" s="50" t="str">
        <f aca="false">IF($E59="","",IF($D59="转账","—",IFERROR(INDEX(科目参数!$P$6:$P$85,MATCH($E59,科目参数!$M$6:$M$85,0)),"")))</f>
        <v/>
      </c>
      <c r="R59" s="48" t="str">
        <f aca="false">IF($B59="","",SUMIFS(期初数据!$B$6:$B$35,期初数据!$A$6:$A$35,$F59)+SUMIFS($N$5:$N59,$F$5:$F59,$F59,$D$5:$D59,"收入")-SUMIFS($N$5:$N59,$F$5:$F59,$F59,$D$5:$D59,"支出")-SUMIFS($N$5:$N59,$F$5:$F59,$F59,$D$5:$D59,"转账")+SUMIFS($N$5:$N59,$G$5:$G59,$F59,$D$5:$D59,"转账"))</f>
        <v/>
      </c>
      <c r="S59" s="49" t="str">
        <f aca="false">IF($E59="","",IFERROR(INDEX(科目参数!$N$6:$N$85,MATCH($E59,科目参数!$M$6:$M$85,0)),""))</f>
        <v/>
      </c>
      <c r="T59" s="49" t="str">
        <f aca="false">IF($F59="","",IFERROR(INDEX(基础资料!$C$6:$C$35,MATCH($F59,基础资料!$A$6:$A$35,0)),""))</f>
        <v/>
      </c>
      <c r="U59" s="49" t="str">
        <f aca="false">IF($G59="","",IFERROR(INDEX(基础资料!$C$6:$C$35,MATCH($G59,基础资料!$A$6:$A$35,0)),""))</f>
        <v/>
      </c>
      <c r="V59" s="49" t="str">
        <f aca="false">IF(AND($G59=客户对账单!$B$3,$E59="客户回款",$B59&gt;=客户对账单!$E$3,$B59&lt;=客户对账单!$H$3),COUNTIFS($G$5:$G59,客户对账单!$B$3,$E$5:$E59,"客户回款",$B$5:$B59,"&gt;="&amp;客户对账单!$E$3,$B$5:$B59,"&lt;="&amp;客户对账单!$H$3),"")</f>
        <v/>
      </c>
      <c r="W59" s="49" t="str">
        <f aca="false">IF(AND($G59=供应商对账单!$B$3,$E59="供应商付款",$B59&gt;=供应商对账单!$E$3,$B59&lt;=供应商对账单!$H$3),COUNTIFS($G$5:$G59,供应商对账单!$B$3,$E$5:$E59,"供应商付款",$B$5:$B59,"&gt;="&amp;供应商对账单!$E$3,$B$5:$B59,"&lt;="&amp;供应商对账单!$H$3),"")</f>
        <v/>
      </c>
    </row>
    <row r="60" customFormat="false" ht="15.75" hidden="false" customHeight="true" outlineLevel="0" collapsed="false">
      <c r="A60" s="42" t="str">
        <f aca="false">IF($B60="","","ZJ"&amp;TEXT($B60,"yyyymm")&amp;"-"&amp;TEXT(ROW()-4,"000"))</f>
        <v/>
      </c>
      <c r="B60" s="41"/>
      <c r="C60" s="42" t="str">
        <f aca="false">IF($B60="","",TEXT($B60,"yyyy-mm"))</f>
        <v/>
      </c>
      <c r="D60" s="42" t="str">
        <f aca="false">IF($E60="","",IFERROR(INDEX(科目参数!$L$6:$L$85,MATCH($E60,科目参数!$M$6:$M$85,0)),"⚠"))</f>
        <v/>
      </c>
      <c r="E60" s="33"/>
      <c r="F60" s="33"/>
      <c r="G60" s="36"/>
      <c r="H60" s="33"/>
      <c r="I60" s="33"/>
      <c r="J60" s="36"/>
      <c r="K60" s="40"/>
      <c r="L60" s="40"/>
      <c r="M60" s="47" t="str">
        <f aca="false">IF($B60="","",IF(NOT(ISNUMBER($B60)),"日期不是日期格式",IF(YEAR($B60)&lt;&gt;首页!$B$3,"不在会计年度",IF($E60="","未选收支科目",IF($D60="⚠","收支科目不存在",IF($F60="","未选账户",IF($T60="","账户未设资金科目",IF(AND($D60="转账",$U60=""),"转入账户无效",IF(AND(N($K60)&gt;0,N($L60)&gt;0),"收支不能同时填",IF(AND($D60="收入",N($K60)&lt;=0),"收入金额须大于0",IF(AND($D60&lt;&gt;"收入",N($L60)&lt;=0),"支出金额须大于0",IF($O60="","借方科目缺失",IF($P60="","贷方科目缺失","√")))))))))))))</f>
        <v/>
      </c>
      <c r="N60" s="48" t="str">
        <f aca="false">IF($B60="","",IF($D60="收入",N($K60),N($L60)))</f>
        <v/>
      </c>
      <c r="O60" s="49" t="str">
        <f aca="false">IF($B60="","",IF($D60="收入",$T60,IF($D60="转账",$U60,$S60)))</f>
        <v/>
      </c>
      <c r="P60" s="49" t="str">
        <f aca="false">IF($B60="","",IF($D60="收入",$S60,$T60))</f>
        <v/>
      </c>
      <c r="Q60" s="50" t="str">
        <f aca="false">IF($E60="","",IF($D60="转账","—",IFERROR(INDEX(科目参数!$P$6:$P$85,MATCH($E60,科目参数!$M$6:$M$85,0)),"")))</f>
        <v/>
      </c>
      <c r="R60" s="48" t="str">
        <f aca="false">IF($B60="","",SUMIFS(期初数据!$B$6:$B$35,期初数据!$A$6:$A$35,$F60)+SUMIFS($N$5:$N60,$F$5:$F60,$F60,$D$5:$D60,"收入")-SUMIFS($N$5:$N60,$F$5:$F60,$F60,$D$5:$D60,"支出")-SUMIFS($N$5:$N60,$F$5:$F60,$F60,$D$5:$D60,"转账")+SUMIFS($N$5:$N60,$G$5:$G60,$F60,$D$5:$D60,"转账"))</f>
        <v/>
      </c>
      <c r="S60" s="49" t="str">
        <f aca="false">IF($E60="","",IFERROR(INDEX(科目参数!$N$6:$N$85,MATCH($E60,科目参数!$M$6:$M$85,0)),""))</f>
        <v/>
      </c>
      <c r="T60" s="49" t="str">
        <f aca="false">IF($F60="","",IFERROR(INDEX(基础资料!$C$6:$C$35,MATCH($F60,基础资料!$A$6:$A$35,0)),""))</f>
        <v/>
      </c>
      <c r="U60" s="49" t="str">
        <f aca="false">IF($G60="","",IFERROR(INDEX(基础资料!$C$6:$C$35,MATCH($G60,基础资料!$A$6:$A$35,0)),""))</f>
        <v/>
      </c>
      <c r="V60" s="49" t="str">
        <f aca="false">IF(AND($G60=客户对账单!$B$3,$E60="客户回款",$B60&gt;=客户对账单!$E$3,$B60&lt;=客户对账单!$H$3),COUNTIFS($G$5:$G60,客户对账单!$B$3,$E$5:$E60,"客户回款",$B$5:$B60,"&gt;="&amp;客户对账单!$E$3,$B$5:$B60,"&lt;="&amp;客户对账单!$H$3),"")</f>
        <v/>
      </c>
      <c r="W60" s="49" t="str">
        <f aca="false">IF(AND($G60=供应商对账单!$B$3,$E60="供应商付款",$B60&gt;=供应商对账单!$E$3,$B60&lt;=供应商对账单!$H$3),COUNTIFS($G$5:$G60,供应商对账单!$B$3,$E$5:$E60,"供应商付款",$B$5:$B60,"&gt;="&amp;供应商对账单!$E$3,$B$5:$B60,"&lt;="&amp;供应商对账单!$H$3),"")</f>
        <v/>
      </c>
    </row>
    <row r="61" customFormat="false" ht="15.75" hidden="false" customHeight="true" outlineLevel="0" collapsed="false">
      <c r="A61" s="42" t="str">
        <f aca="false">IF($B61="","","ZJ"&amp;TEXT($B61,"yyyymm")&amp;"-"&amp;TEXT(ROW()-4,"000"))</f>
        <v/>
      </c>
      <c r="B61" s="41"/>
      <c r="C61" s="42" t="str">
        <f aca="false">IF($B61="","",TEXT($B61,"yyyy-mm"))</f>
        <v/>
      </c>
      <c r="D61" s="42" t="str">
        <f aca="false">IF($E61="","",IFERROR(INDEX(科目参数!$L$6:$L$85,MATCH($E61,科目参数!$M$6:$M$85,0)),"⚠"))</f>
        <v/>
      </c>
      <c r="E61" s="33"/>
      <c r="F61" s="33"/>
      <c r="G61" s="36"/>
      <c r="H61" s="33"/>
      <c r="I61" s="33"/>
      <c r="J61" s="36"/>
      <c r="K61" s="40"/>
      <c r="L61" s="40"/>
      <c r="M61" s="47" t="str">
        <f aca="false">IF($B61="","",IF(NOT(ISNUMBER($B61)),"日期不是日期格式",IF(YEAR($B61)&lt;&gt;首页!$B$3,"不在会计年度",IF($E61="","未选收支科目",IF($D61="⚠","收支科目不存在",IF($F61="","未选账户",IF($T61="","账户未设资金科目",IF(AND($D61="转账",$U61=""),"转入账户无效",IF(AND(N($K61)&gt;0,N($L61)&gt;0),"收支不能同时填",IF(AND($D61="收入",N($K61)&lt;=0),"收入金额须大于0",IF(AND($D61&lt;&gt;"收入",N($L61)&lt;=0),"支出金额须大于0",IF($O61="","借方科目缺失",IF($P61="","贷方科目缺失","√")))))))))))))</f>
        <v/>
      </c>
      <c r="N61" s="48" t="str">
        <f aca="false">IF($B61="","",IF($D61="收入",N($K61),N($L61)))</f>
        <v/>
      </c>
      <c r="O61" s="49" t="str">
        <f aca="false">IF($B61="","",IF($D61="收入",$T61,IF($D61="转账",$U61,$S61)))</f>
        <v/>
      </c>
      <c r="P61" s="49" t="str">
        <f aca="false">IF($B61="","",IF($D61="收入",$S61,$T61))</f>
        <v/>
      </c>
      <c r="Q61" s="50" t="str">
        <f aca="false">IF($E61="","",IF($D61="转账","—",IFERROR(INDEX(科目参数!$P$6:$P$85,MATCH($E61,科目参数!$M$6:$M$85,0)),"")))</f>
        <v/>
      </c>
      <c r="R61" s="48" t="str">
        <f aca="false">IF($B61="","",SUMIFS(期初数据!$B$6:$B$35,期初数据!$A$6:$A$35,$F61)+SUMIFS($N$5:$N61,$F$5:$F61,$F61,$D$5:$D61,"收入")-SUMIFS($N$5:$N61,$F$5:$F61,$F61,$D$5:$D61,"支出")-SUMIFS($N$5:$N61,$F$5:$F61,$F61,$D$5:$D61,"转账")+SUMIFS($N$5:$N61,$G$5:$G61,$F61,$D$5:$D61,"转账"))</f>
        <v/>
      </c>
      <c r="S61" s="49" t="str">
        <f aca="false">IF($E61="","",IFERROR(INDEX(科目参数!$N$6:$N$85,MATCH($E61,科目参数!$M$6:$M$85,0)),""))</f>
        <v/>
      </c>
      <c r="T61" s="49" t="str">
        <f aca="false">IF($F61="","",IFERROR(INDEX(基础资料!$C$6:$C$35,MATCH($F61,基础资料!$A$6:$A$35,0)),""))</f>
        <v/>
      </c>
      <c r="U61" s="49" t="str">
        <f aca="false">IF($G61="","",IFERROR(INDEX(基础资料!$C$6:$C$35,MATCH($G61,基础资料!$A$6:$A$35,0)),""))</f>
        <v/>
      </c>
      <c r="V61" s="49" t="str">
        <f aca="false">IF(AND($G61=客户对账单!$B$3,$E61="客户回款",$B61&gt;=客户对账单!$E$3,$B61&lt;=客户对账单!$H$3),COUNTIFS($G$5:$G61,客户对账单!$B$3,$E$5:$E61,"客户回款",$B$5:$B61,"&gt;="&amp;客户对账单!$E$3,$B$5:$B61,"&lt;="&amp;客户对账单!$H$3),"")</f>
        <v/>
      </c>
      <c r="W61" s="49" t="str">
        <f aca="false">IF(AND($G61=供应商对账单!$B$3,$E61="供应商付款",$B61&gt;=供应商对账单!$E$3,$B61&lt;=供应商对账单!$H$3),COUNTIFS($G$5:$G61,供应商对账单!$B$3,$E$5:$E61,"供应商付款",$B$5:$B61,"&gt;="&amp;供应商对账单!$E$3,$B$5:$B61,"&lt;="&amp;供应商对账单!$H$3),"")</f>
        <v/>
      </c>
    </row>
    <row r="62" customFormat="false" ht="15.75" hidden="false" customHeight="true" outlineLevel="0" collapsed="false">
      <c r="A62" s="42" t="str">
        <f aca="false">IF($B62="","","ZJ"&amp;TEXT($B62,"yyyymm")&amp;"-"&amp;TEXT(ROW()-4,"000"))</f>
        <v/>
      </c>
      <c r="B62" s="41"/>
      <c r="C62" s="42" t="str">
        <f aca="false">IF($B62="","",TEXT($B62,"yyyy-mm"))</f>
        <v/>
      </c>
      <c r="D62" s="42" t="str">
        <f aca="false">IF($E62="","",IFERROR(INDEX(科目参数!$L$6:$L$85,MATCH($E62,科目参数!$M$6:$M$85,0)),"⚠"))</f>
        <v/>
      </c>
      <c r="E62" s="33"/>
      <c r="F62" s="33"/>
      <c r="G62" s="36"/>
      <c r="H62" s="33"/>
      <c r="I62" s="33"/>
      <c r="J62" s="36"/>
      <c r="K62" s="40"/>
      <c r="L62" s="40"/>
      <c r="M62" s="47" t="str">
        <f aca="false">IF($B62="","",IF(NOT(ISNUMBER($B62)),"日期不是日期格式",IF(YEAR($B62)&lt;&gt;首页!$B$3,"不在会计年度",IF($E62="","未选收支科目",IF($D62="⚠","收支科目不存在",IF($F62="","未选账户",IF($T62="","账户未设资金科目",IF(AND($D62="转账",$U62=""),"转入账户无效",IF(AND(N($K62)&gt;0,N($L62)&gt;0),"收支不能同时填",IF(AND($D62="收入",N($K62)&lt;=0),"收入金额须大于0",IF(AND($D62&lt;&gt;"收入",N($L62)&lt;=0),"支出金额须大于0",IF($O62="","借方科目缺失",IF($P62="","贷方科目缺失","√")))))))))))))</f>
        <v/>
      </c>
      <c r="N62" s="48" t="str">
        <f aca="false">IF($B62="","",IF($D62="收入",N($K62),N($L62)))</f>
        <v/>
      </c>
      <c r="O62" s="49" t="str">
        <f aca="false">IF($B62="","",IF($D62="收入",$T62,IF($D62="转账",$U62,$S62)))</f>
        <v/>
      </c>
      <c r="P62" s="49" t="str">
        <f aca="false">IF($B62="","",IF($D62="收入",$S62,$T62))</f>
        <v/>
      </c>
      <c r="Q62" s="50" t="str">
        <f aca="false">IF($E62="","",IF($D62="转账","—",IFERROR(INDEX(科目参数!$P$6:$P$85,MATCH($E62,科目参数!$M$6:$M$85,0)),"")))</f>
        <v/>
      </c>
      <c r="R62" s="48" t="str">
        <f aca="false">IF($B62="","",SUMIFS(期初数据!$B$6:$B$35,期初数据!$A$6:$A$35,$F62)+SUMIFS($N$5:$N62,$F$5:$F62,$F62,$D$5:$D62,"收入")-SUMIFS($N$5:$N62,$F$5:$F62,$F62,$D$5:$D62,"支出")-SUMIFS($N$5:$N62,$F$5:$F62,$F62,$D$5:$D62,"转账")+SUMIFS($N$5:$N62,$G$5:$G62,$F62,$D$5:$D62,"转账"))</f>
        <v/>
      </c>
      <c r="S62" s="49" t="str">
        <f aca="false">IF($E62="","",IFERROR(INDEX(科目参数!$N$6:$N$85,MATCH($E62,科目参数!$M$6:$M$85,0)),""))</f>
        <v/>
      </c>
      <c r="T62" s="49" t="str">
        <f aca="false">IF($F62="","",IFERROR(INDEX(基础资料!$C$6:$C$35,MATCH($F62,基础资料!$A$6:$A$35,0)),""))</f>
        <v/>
      </c>
      <c r="U62" s="49" t="str">
        <f aca="false">IF($G62="","",IFERROR(INDEX(基础资料!$C$6:$C$35,MATCH($G62,基础资料!$A$6:$A$35,0)),""))</f>
        <v/>
      </c>
      <c r="V62" s="49" t="str">
        <f aca="false">IF(AND($G62=客户对账单!$B$3,$E62="客户回款",$B62&gt;=客户对账单!$E$3,$B62&lt;=客户对账单!$H$3),COUNTIFS($G$5:$G62,客户对账单!$B$3,$E$5:$E62,"客户回款",$B$5:$B62,"&gt;="&amp;客户对账单!$E$3,$B$5:$B62,"&lt;="&amp;客户对账单!$H$3),"")</f>
        <v/>
      </c>
      <c r="W62" s="49" t="str">
        <f aca="false">IF(AND($G62=供应商对账单!$B$3,$E62="供应商付款",$B62&gt;=供应商对账单!$E$3,$B62&lt;=供应商对账单!$H$3),COUNTIFS($G$5:$G62,供应商对账单!$B$3,$E$5:$E62,"供应商付款",$B$5:$B62,"&gt;="&amp;供应商对账单!$E$3,$B$5:$B62,"&lt;="&amp;供应商对账单!$H$3),"")</f>
        <v/>
      </c>
    </row>
    <row r="63" customFormat="false" ht="15.75" hidden="false" customHeight="true" outlineLevel="0" collapsed="false">
      <c r="A63" s="42" t="str">
        <f aca="false">IF($B63="","","ZJ"&amp;TEXT($B63,"yyyymm")&amp;"-"&amp;TEXT(ROW()-4,"000"))</f>
        <v/>
      </c>
      <c r="B63" s="41"/>
      <c r="C63" s="42" t="str">
        <f aca="false">IF($B63="","",TEXT($B63,"yyyy-mm"))</f>
        <v/>
      </c>
      <c r="D63" s="42" t="str">
        <f aca="false">IF($E63="","",IFERROR(INDEX(科目参数!$L$6:$L$85,MATCH($E63,科目参数!$M$6:$M$85,0)),"⚠"))</f>
        <v/>
      </c>
      <c r="E63" s="33"/>
      <c r="F63" s="33"/>
      <c r="G63" s="36"/>
      <c r="H63" s="33"/>
      <c r="I63" s="33"/>
      <c r="J63" s="36"/>
      <c r="K63" s="40"/>
      <c r="L63" s="40"/>
      <c r="M63" s="47" t="str">
        <f aca="false">IF($B63="","",IF(NOT(ISNUMBER($B63)),"日期不是日期格式",IF(YEAR($B63)&lt;&gt;首页!$B$3,"不在会计年度",IF($E63="","未选收支科目",IF($D63="⚠","收支科目不存在",IF($F63="","未选账户",IF($T63="","账户未设资金科目",IF(AND($D63="转账",$U63=""),"转入账户无效",IF(AND(N($K63)&gt;0,N($L63)&gt;0),"收支不能同时填",IF(AND($D63="收入",N($K63)&lt;=0),"收入金额须大于0",IF(AND($D63&lt;&gt;"收入",N($L63)&lt;=0),"支出金额须大于0",IF($O63="","借方科目缺失",IF($P63="","贷方科目缺失","√")))))))))))))</f>
        <v/>
      </c>
      <c r="N63" s="48" t="str">
        <f aca="false">IF($B63="","",IF($D63="收入",N($K63),N($L63)))</f>
        <v/>
      </c>
      <c r="O63" s="49" t="str">
        <f aca="false">IF($B63="","",IF($D63="收入",$T63,IF($D63="转账",$U63,$S63)))</f>
        <v/>
      </c>
      <c r="P63" s="49" t="str">
        <f aca="false">IF($B63="","",IF($D63="收入",$S63,$T63))</f>
        <v/>
      </c>
      <c r="Q63" s="50" t="str">
        <f aca="false">IF($E63="","",IF($D63="转账","—",IFERROR(INDEX(科目参数!$P$6:$P$85,MATCH($E63,科目参数!$M$6:$M$85,0)),"")))</f>
        <v/>
      </c>
      <c r="R63" s="48" t="str">
        <f aca="false">IF($B63="","",SUMIFS(期初数据!$B$6:$B$35,期初数据!$A$6:$A$35,$F63)+SUMIFS($N$5:$N63,$F$5:$F63,$F63,$D$5:$D63,"收入")-SUMIFS($N$5:$N63,$F$5:$F63,$F63,$D$5:$D63,"支出")-SUMIFS($N$5:$N63,$F$5:$F63,$F63,$D$5:$D63,"转账")+SUMIFS($N$5:$N63,$G$5:$G63,$F63,$D$5:$D63,"转账"))</f>
        <v/>
      </c>
      <c r="S63" s="49" t="str">
        <f aca="false">IF($E63="","",IFERROR(INDEX(科目参数!$N$6:$N$85,MATCH($E63,科目参数!$M$6:$M$85,0)),""))</f>
        <v/>
      </c>
      <c r="T63" s="49" t="str">
        <f aca="false">IF($F63="","",IFERROR(INDEX(基础资料!$C$6:$C$35,MATCH($F63,基础资料!$A$6:$A$35,0)),""))</f>
        <v/>
      </c>
      <c r="U63" s="49" t="str">
        <f aca="false">IF($G63="","",IFERROR(INDEX(基础资料!$C$6:$C$35,MATCH($G63,基础资料!$A$6:$A$35,0)),""))</f>
        <v/>
      </c>
      <c r="V63" s="49" t="str">
        <f aca="false">IF(AND($G63=客户对账单!$B$3,$E63="客户回款",$B63&gt;=客户对账单!$E$3,$B63&lt;=客户对账单!$H$3),COUNTIFS($G$5:$G63,客户对账单!$B$3,$E$5:$E63,"客户回款",$B$5:$B63,"&gt;="&amp;客户对账单!$E$3,$B$5:$B63,"&lt;="&amp;客户对账单!$H$3),"")</f>
        <v/>
      </c>
      <c r="W63" s="49" t="str">
        <f aca="false">IF(AND($G63=供应商对账单!$B$3,$E63="供应商付款",$B63&gt;=供应商对账单!$E$3,$B63&lt;=供应商对账单!$H$3),COUNTIFS($G$5:$G63,供应商对账单!$B$3,$E$5:$E63,"供应商付款",$B$5:$B63,"&gt;="&amp;供应商对账单!$E$3,$B$5:$B63,"&lt;="&amp;供应商对账单!$H$3),"")</f>
        <v/>
      </c>
    </row>
    <row r="64" customFormat="false" ht="15.75" hidden="false" customHeight="true" outlineLevel="0" collapsed="false">
      <c r="A64" s="42" t="str">
        <f aca="false">IF($B64="","","ZJ"&amp;TEXT($B64,"yyyymm")&amp;"-"&amp;TEXT(ROW()-4,"000"))</f>
        <v/>
      </c>
      <c r="B64" s="41"/>
      <c r="C64" s="42" t="str">
        <f aca="false">IF($B64="","",TEXT($B64,"yyyy-mm"))</f>
        <v/>
      </c>
      <c r="D64" s="42" t="str">
        <f aca="false">IF($E64="","",IFERROR(INDEX(科目参数!$L$6:$L$85,MATCH($E64,科目参数!$M$6:$M$85,0)),"⚠"))</f>
        <v/>
      </c>
      <c r="E64" s="33"/>
      <c r="F64" s="33"/>
      <c r="G64" s="36"/>
      <c r="H64" s="33"/>
      <c r="I64" s="33"/>
      <c r="J64" s="36"/>
      <c r="K64" s="40"/>
      <c r="L64" s="40"/>
      <c r="M64" s="47" t="str">
        <f aca="false">IF($B64="","",IF(NOT(ISNUMBER($B64)),"日期不是日期格式",IF(YEAR($B64)&lt;&gt;首页!$B$3,"不在会计年度",IF($E64="","未选收支科目",IF($D64="⚠","收支科目不存在",IF($F64="","未选账户",IF($T64="","账户未设资金科目",IF(AND($D64="转账",$U64=""),"转入账户无效",IF(AND(N($K64)&gt;0,N($L64)&gt;0),"收支不能同时填",IF(AND($D64="收入",N($K64)&lt;=0),"收入金额须大于0",IF(AND($D64&lt;&gt;"收入",N($L64)&lt;=0),"支出金额须大于0",IF($O64="","借方科目缺失",IF($P64="","贷方科目缺失","√")))))))))))))</f>
        <v/>
      </c>
      <c r="N64" s="48" t="str">
        <f aca="false">IF($B64="","",IF($D64="收入",N($K64),N($L64)))</f>
        <v/>
      </c>
      <c r="O64" s="49" t="str">
        <f aca="false">IF($B64="","",IF($D64="收入",$T64,IF($D64="转账",$U64,$S64)))</f>
        <v/>
      </c>
      <c r="P64" s="49" t="str">
        <f aca="false">IF($B64="","",IF($D64="收入",$S64,$T64))</f>
        <v/>
      </c>
      <c r="Q64" s="50" t="str">
        <f aca="false">IF($E64="","",IF($D64="转账","—",IFERROR(INDEX(科目参数!$P$6:$P$85,MATCH($E64,科目参数!$M$6:$M$85,0)),"")))</f>
        <v/>
      </c>
      <c r="R64" s="48" t="str">
        <f aca="false">IF($B64="","",SUMIFS(期初数据!$B$6:$B$35,期初数据!$A$6:$A$35,$F64)+SUMIFS($N$5:$N64,$F$5:$F64,$F64,$D$5:$D64,"收入")-SUMIFS($N$5:$N64,$F$5:$F64,$F64,$D$5:$D64,"支出")-SUMIFS($N$5:$N64,$F$5:$F64,$F64,$D$5:$D64,"转账")+SUMIFS($N$5:$N64,$G$5:$G64,$F64,$D$5:$D64,"转账"))</f>
        <v/>
      </c>
      <c r="S64" s="49" t="str">
        <f aca="false">IF($E64="","",IFERROR(INDEX(科目参数!$N$6:$N$85,MATCH($E64,科目参数!$M$6:$M$85,0)),""))</f>
        <v/>
      </c>
      <c r="T64" s="49" t="str">
        <f aca="false">IF($F64="","",IFERROR(INDEX(基础资料!$C$6:$C$35,MATCH($F64,基础资料!$A$6:$A$35,0)),""))</f>
        <v/>
      </c>
      <c r="U64" s="49" t="str">
        <f aca="false">IF($G64="","",IFERROR(INDEX(基础资料!$C$6:$C$35,MATCH($G64,基础资料!$A$6:$A$35,0)),""))</f>
        <v/>
      </c>
      <c r="V64" s="49" t="str">
        <f aca="false">IF(AND($G64=客户对账单!$B$3,$E64="客户回款",$B64&gt;=客户对账单!$E$3,$B64&lt;=客户对账单!$H$3),COUNTIFS($G$5:$G64,客户对账单!$B$3,$E$5:$E64,"客户回款",$B$5:$B64,"&gt;="&amp;客户对账单!$E$3,$B$5:$B64,"&lt;="&amp;客户对账单!$H$3),"")</f>
        <v/>
      </c>
      <c r="W64" s="49" t="str">
        <f aca="false">IF(AND($G64=供应商对账单!$B$3,$E64="供应商付款",$B64&gt;=供应商对账单!$E$3,$B64&lt;=供应商对账单!$H$3),COUNTIFS($G$5:$G64,供应商对账单!$B$3,$E$5:$E64,"供应商付款",$B$5:$B64,"&gt;="&amp;供应商对账单!$E$3,$B$5:$B64,"&lt;="&amp;供应商对账单!$H$3),"")</f>
        <v/>
      </c>
    </row>
    <row r="65" customFormat="false" ht="15.75" hidden="false" customHeight="true" outlineLevel="0" collapsed="false">
      <c r="A65" s="42" t="str">
        <f aca="false">IF($B65="","","ZJ"&amp;TEXT($B65,"yyyymm")&amp;"-"&amp;TEXT(ROW()-4,"000"))</f>
        <v/>
      </c>
      <c r="B65" s="41"/>
      <c r="C65" s="42" t="str">
        <f aca="false">IF($B65="","",TEXT($B65,"yyyy-mm"))</f>
        <v/>
      </c>
      <c r="D65" s="42" t="str">
        <f aca="false">IF($E65="","",IFERROR(INDEX(科目参数!$L$6:$L$85,MATCH($E65,科目参数!$M$6:$M$85,0)),"⚠"))</f>
        <v/>
      </c>
      <c r="E65" s="33"/>
      <c r="F65" s="33"/>
      <c r="G65" s="36"/>
      <c r="H65" s="33"/>
      <c r="I65" s="33"/>
      <c r="J65" s="36"/>
      <c r="K65" s="40"/>
      <c r="L65" s="40"/>
      <c r="M65" s="47" t="str">
        <f aca="false">IF($B65="","",IF(NOT(ISNUMBER($B65)),"日期不是日期格式",IF(YEAR($B65)&lt;&gt;首页!$B$3,"不在会计年度",IF($E65="","未选收支科目",IF($D65="⚠","收支科目不存在",IF($F65="","未选账户",IF($T65="","账户未设资金科目",IF(AND($D65="转账",$U65=""),"转入账户无效",IF(AND(N($K65)&gt;0,N($L65)&gt;0),"收支不能同时填",IF(AND($D65="收入",N($K65)&lt;=0),"收入金额须大于0",IF(AND($D65&lt;&gt;"收入",N($L65)&lt;=0),"支出金额须大于0",IF($O65="","借方科目缺失",IF($P65="","贷方科目缺失","√")))))))))))))</f>
        <v/>
      </c>
      <c r="N65" s="48" t="str">
        <f aca="false">IF($B65="","",IF($D65="收入",N($K65),N($L65)))</f>
        <v/>
      </c>
      <c r="O65" s="49" t="str">
        <f aca="false">IF($B65="","",IF($D65="收入",$T65,IF($D65="转账",$U65,$S65)))</f>
        <v/>
      </c>
      <c r="P65" s="49" t="str">
        <f aca="false">IF($B65="","",IF($D65="收入",$S65,$T65))</f>
        <v/>
      </c>
      <c r="Q65" s="50" t="str">
        <f aca="false">IF($E65="","",IF($D65="转账","—",IFERROR(INDEX(科目参数!$P$6:$P$85,MATCH($E65,科目参数!$M$6:$M$85,0)),"")))</f>
        <v/>
      </c>
      <c r="R65" s="48" t="str">
        <f aca="false">IF($B65="","",SUMIFS(期初数据!$B$6:$B$35,期初数据!$A$6:$A$35,$F65)+SUMIFS($N$5:$N65,$F$5:$F65,$F65,$D$5:$D65,"收入")-SUMIFS($N$5:$N65,$F$5:$F65,$F65,$D$5:$D65,"支出")-SUMIFS($N$5:$N65,$F$5:$F65,$F65,$D$5:$D65,"转账")+SUMIFS($N$5:$N65,$G$5:$G65,$F65,$D$5:$D65,"转账"))</f>
        <v/>
      </c>
      <c r="S65" s="49" t="str">
        <f aca="false">IF($E65="","",IFERROR(INDEX(科目参数!$N$6:$N$85,MATCH($E65,科目参数!$M$6:$M$85,0)),""))</f>
        <v/>
      </c>
      <c r="T65" s="49" t="str">
        <f aca="false">IF($F65="","",IFERROR(INDEX(基础资料!$C$6:$C$35,MATCH($F65,基础资料!$A$6:$A$35,0)),""))</f>
        <v/>
      </c>
      <c r="U65" s="49" t="str">
        <f aca="false">IF($G65="","",IFERROR(INDEX(基础资料!$C$6:$C$35,MATCH($G65,基础资料!$A$6:$A$35,0)),""))</f>
        <v/>
      </c>
      <c r="V65" s="49" t="str">
        <f aca="false">IF(AND($G65=客户对账单!$B$3,$E65="客户回款",$B65&gt;=客户对账单!$E$3,$B65&lt;=客户对账单!$H$3),COUNTIFS($G$5:$G65,客户对账单!$B$3,$E$5:$E65,"客户回款",$B$5:$B65,"&gt;="&amp;客户对账单!$E$3,$B$5:$B65,"&lt;="&amp;客户对账单!$H$3),"")</f>
        <v/>
      </c>
      <c r="W65" s="49" t="str">
        <f aca="false">IF(AND($G65=供应商对账单!$B$3,$E65="供应商付款",$B65&gt;=供应商对账单!$E$3,$B65&lt;=供应商对账单!$H$3),COUNTIFS($G$5:$G65,供应商对账单!$B$3,$E$5:$E65,"供应商付款",$B$5:$B65,"&gt;="&amp;供应商对账单!$E$3,$B$5:$B65,"&lt;="&amp;供应商对账单!$H$3),"")</f>
        <v/>
      </c>
    </row>
    <row r="66" customFormat="false" ht="15.75" hidden="false" customHeight="true" outlineLevel="0" collapsed="false">
      <c r="A66" s="42" t="str">
        <f aca="false">IF($B66="","","ZJ"&amp;TEXT($B66,"yyyymm")&amp;"-"&amp;TEXT(ROW()-4,"000"))</f>
        <v/>
      </c>
      <c r="B66" s="41"/>
      <c r="C66" s="42" t="str">
        <f aca="false">IF($B66="","",TEXT($B66,"yyyy-mm"))</f>
        <v/>
      </c>
      <c r="D66" s="42" t="str">
        <f aca="false">IF($E66="","",IFERROR(INDEX(科目参数!$L$6:$L$85,MATCH($E66,科目参数!$M$6:$M$85,0)),"⚠"))</f>
        <v/>
      </c>
      <c r="E66" s="33"/>
      <c r="F66" s="33"/>
      <c r="G66" s="36"/>
      <c r="H66" s="33"/>
      <c r="I66" s="33"/>
      <c r="J66" s="36"/>
      <c r="K66" s="40"/>
      <c r="L66" s="40"/>
      <c r="M66" s="47" t="str">
        <f aca="false">IF($B66="","",IF(NOT(ISNUMBER($B66)),"日期不是日期格式",IF(YEAR($B66)&lt;&gt;首页!$B$3,"不在会计年度",IF($E66="","未选收支科目",IF($D66="⚠","收支科目不存在",IF($F66="","未选账户",IF($T66="","账户未设资金科目",IF(AND($D66="转账",$U66=""),"转入账户无效",IF(AND(N($K66)&gt;0,N($L66)&gt;0),"收支不能同时填",IF(AND($D66="收入",N($K66)&lt;=0),"收入金额须大于0",IF(AND($D66&lt;&gt;"收入",N($L66)&lt;=0),"支出金额须大于0",IF($O66="","借方科目缺失",IF($P66="","贷方科目缺失","√")))))))))))))</f>
        <v/>
      </c>
      <c r="N66" s="48" t="str">
        <f aca="false">IF($B66="","",IF($D66="收入",N($K66),N($L66)))</f>
        <v/>
      </c>
      <c r="O66" s="49" t="str">
        <f aca="false">IF($B66="","",IF($D66="收入",$T66,IF($D66="转账",$U66,$S66)))</f>
        <v/>
      </c>
      <c r="P66" s="49" t="str">
        <f aca="false">IF($B66="","",IF($D66="收入",$S66,$T66))</f>
        <v/>
      </c>
      <c r="Q66" s="50" t="str">
        <f aca="false">IF($E66="","",IF($D66="转账","—",IFERROR(INDEX(科目参数!$P$6:$P$85,MATCH($E66,科目参数!$M$6:$M$85,0)),"")))</f>
        <v/>
      </c>
      <c r="R66" s="48" t="str">
        <f aca="false">IF($B66="","",SUMIFS(期初数据!$B$6:$B$35,期初数据!$A$6:$A$35,$F66)+SUMIFS($N$5:$N66,$F$5:$F66,$F66,$D$5:$D66,"收入")-SUMIFS($N$5:$N66,$F$5:$F66,$F66,$D$5:$D66,"支出")-SUMIFS($N$5:$N66,$F$5:$F66,$F66,$D$5:$D66,"转账")+SUMIFS($N$5:$N66,$G$5:$G66,$F66,$D$5:$D66,"转账"))</f>
        <v/>
      </c>
      <c r="S66" s="49" t="str">
        <f aca="false">IF($E66="","",IFERROR(INDEX(科目参数!$N$6:$N$85,MATCH($E66,科目参数!$M$6:$M$85,0)),""))</f>
        <v/>
      </c>
      <c r="T66" s="49" t="str">
        <f aca="false">IF($F66="","",IFERROR(INDEX(基础资料!$C$6:$C$35,MATCH($F66,基础资料!$A$6:$A$35,0)),""))</f>
        <v/>
      </c>
      <c r="U66" s="49" t="str">
        <f aca="false">IF($G66="","",IFERROR(INDEX(基础资料!$C$6:$C$35,MATCH($G66,基础资料!$A$6:$A$35,0)),""))</f>
        <v/>
      </c>
      <c r="V66" s="49" t="str">
        <f aca="false">IF(AND($G66=客户对账单!$B$3,$E66="客户回款",$B66&gt;=客户对账单!$E$3,$B66&lt;=客户对账单!$H$3),COUNTIFS($G$5:$G66,客户对账单!$B$3,$E$5:$E66,"客户回款",$B$5:$B66,"&gt;="&amp;客户对账单!$E$3,$B$5:$B66,"&lt;="&amp;客户对账单!$H$3),"")</f>
        <v/>
      </c>
      <c r="W66" s="49" t="str">
        <f aca="false">IF(AND($G66=供应商对账单!$B$3,$E66="供应商付款",$B66&gt;=供应商对账单!$E$3,$B66&lt;=供应商对账单!$H$3),COUNTIFS($G$5:$G66,供应商对账单!$B$3,$E$5:$E66,"供应商付款",$B$5:$B66,"&gt;="&amp;供应商对账单!$E$3,$B$5:$B66,"&lt;="&amp;供应商对账单!$H$3),"")</f>
        <v/>
      </c>
    </row>
    <row r="67" customFormat="false" ht="15.75" hidden="false" customHeight="true" outlineLevel="0" collapsed="false">
      <c r="A67" s="42" t="str">
        <f aca="false">IF($B67="","","ZJ"&amp;TEXT($B67,"yyyymm")&amp;"-"&amp;TEXT(ROW()-4,"000"))</f>
        <v/>
      </c>
      <c r="B67" s="41"/>
      <c r="C67" s="42" t="str">
        <f aca="false">IF($B67="","",TEXT($B67,"yyyy-mm"))</f>
        <v/>
      </c>
      <c r="D67" s="42" t="str">
        <f aca="false">IF($E67="","",IFERROR(INDEX(科目参数!$L$6:$L$85,MATCH($E67,科目参数!$M$6:$M$85,0)),"⚠"))</f>
        <v/>
      </c>
      <c r="E67" s="33"/>
      <c r="F67" s="33"/>
      <c r="G67" s="36"/>
      <c r="H67" s="33"/>
      <c r="I67" s="33"/>
      <c r="J67" s="36"/>
      <c r="K67" s="40"/>
      <c r="L67" s="40"/>
      <c r="M67" s="47" t="str">
        <f aca="false">IF($B67="","",IF(NOT(ISNUMBER($B67)),"日期不是日期格式",IF(YEAR($B67)&lt;&gt;首页!$B$3,"不在会计年度",IF($E67="","未选收支科目",IF($D67="⚠","收支科目不存在",IF($F67="","未选账户",IF($T67="","账户未设资金科目",IF(AND($D67="转账",$U67=""),"转入账户无效",IF(AND(N($K67)&gt;0,N($L67)&gt;0),"收支不能同时填",IF(AND($D67="收入",N($K67)&lt;=0),"收入金额须大于0",IF(AND($D67&lt;&gt;"收入",N($L67)&lt;=0),"支出金额须大于0",IF($O67="","借方科目缺失",IF($P67="","贷方科目缺失","√")))))))))))))</f>
        <v/>
      </c>
      <c r="N67" s="48" t="str">
        <f aca="false">IF($B67="","",IF($D67="收入",N($K67),N($L67)))</f>
        <v/>
      </c>
      <c r="O67" s="49" t="str">
        <f aca="false">IF($B67="","",IF($D67="收入",$T67,IF($D67="转账",$U67,$S67)))</f>
        <v/>
      </c>
      <c r="P67" s="49" t="str">
        <f aca="false">IF($B67="","",IF($D67="收入",$S67,$T67))</f>
        <v/>
      </c>
      <c r="Q67" s="50" t="str">
        <f aca="false">IF($E67="","",IF($D67="转账","—",IFERROR(INDEX(科目参数!$P$6:$P$85,MATCH($E67,科目参数!$M$6:$M$85,0)),"")))</f>
        <v/>
      </c>
      <c r="R67" s="48" t="str">
        <f aca="false">IF($B67="","",SUMIFS(期初数据!$B$6:$B$35,期初数据!$A$6:$A$35,$F67)+SUMIFS($N$5:$N67,$F$5:$F67,$F67,$D$5:$D67,"收入")-SUMIFS($N$5:$N67,$F$5:$F67,$F67,$D$5:$D67,"支出")-SUMIFS($N$5:$N67,$F$5:$F67,$F67,$D$5:$D67,"转账")+SUMIFS($N$5:$N67,$G$5:$G67,$F67,$D$5:$D67,"转账"))</f>
        <v/>
      </c>
      <c r="S67" s="49" t="str">
        <f aca="false">IF($E67="","",IFERROR(INDEX(科目参数!$N$6:$N$85,MATCH($E67,科目参数!$M$6:$M$85,0)),""))</f>
        <v/>
      </c>
      <c r="T67" s="49" t="str">
        <f aca="false">IF($F67="","",IFERROR(INDEX(基础资料!$C$6:$C$35,MATCH($F67,基础资料!$A$6:$A$35,0)),""))</f>
        <v/>
      </c>
      <c r="U67" s="49" t="str">
        <f aca="false">IF($G67="","",IFERROR(INDEX(基础资料!$C$6:$C$35,MATCH($G67,基础资料!$A$6:$A$35,0)),""))</f>
        <v/>
      </c>
      <c r="V67" s="49" t="str">
        <f aca="false">IF(AND($G67=客户对账单!$B$3,$E67="客户回款",$B67&gt;=客户对账单!$E$3,$B67&lt;=客户对账单!$H$3),COUNTIFS($G$5:$G67,客户对账单!$B$3,$E$5:$E67,"客户回款",$B$5:$B67,"&gt;="&amp;客户对账单!$E$3,$B$5:$B67,"&lt;="&amp;客户对账单!$H$3),"")</f>
        <v/>
      </c>
      <c r="W67" s="49" t="str">
        <f aca="false">IF(AND($G67=供应商对账单!$B$3,$E67="供应商付款",$B67&gt;=供应商对账单!$E$3,$B67&lt;=供应商对账单!$H$3),COUNTIFS($G$5:$G67,供应商对账单!$B$3,$E$5:$E67,"供应商付款",$B$5:$B67,"&gt;="&amp;供应商对账单!$E$3,$B$5:$B67,"&lt;="&amp;供应商对账单!$H$3),"")</f>
        <v/>
      </c>
    </row>
    <row r="68" customFormat="false" ht="15.75" hidden="false" customHeight="true" outlineLevel="0" collapsed="false">
      <c r="A68" s="42" t="str">
        <f aca="false">IF($B68="","","ZJ"&amp;TEXT($B68,"yyyymm")&amp;"-"&amp;TEXT(ROW()-4,"000"))</f>
        <v/>
      </c>
      <c r="B68" s="41"/>
      <c r="C68" s="42" t="str">
        <f aca="false">IF($B68="","",TEXT($B68,"yyyy-mm"))</f>
        <v/>
      </c>
      <c r="D68" s="42" t="str">
        <f aca="false">IF($E68="","",IFERROR(INDEX(科目参数!$L$6:$L$85,MATCH($E68,科目参数!$M$6:$M$85,0)),"⚠"))</f>
        <v/>
      </c>
      <c r="E68" s="33"/>
      <c r="F68" s="33"/>
      <c r="G68" s="36"/>
      <c r="H68" s="33"/>
      <c r="I68" s="33"/>
      <c r="J68" s="36"/>
      <c r="K68" s="40"/>
      <c r="L68" s="40"/>
      <c r="M68" s="47" t="str">
        <f aca="false">IF($B68="","",IF(NOT(ISNUMBER($B68)),"日期不是日期格式",IF(YEAR($B68)&lt;&gt;首页!$B$3,"不在会计年度",IF($E68="","未选收支科目",IF($D68="⚠","收支科目不存在",IF($F68="","未选账户",IF($T68="","账户未设资金科目",IF(AND($D68="转账",$U68=""),"转入账户无效",IF(AND(N($K68)&gt;0,N($L68)&gt;0),"收支不能同时填",IF(AND($D68="收入",N($K68)&lt;=0),"收入金额须大于0",IF(AND($D68&lt;&gt;"收入",N($L68)&lt;=0),"支出金额须大于0",IF($O68="","借方科目缺失",IF($P68="","贷方科目缺失","√")))))))))))))</f>
        <v/>
      </c>
      <c r="N68" s="48" t="str">
        <f aca="false">IF($B68="","",IF($D68="收入",N($K68),N($L68)))</f>
        <v/>
      </c>
      <c r="O68" s="49" t="str">
        <f aca="false">IF($B68="","",IF($D68="收入",$T68,IF($D68="转账",$U68,$S68)))</f>
        <v/>
      </c>
      <c r="P68" s="49" t="str">
        <f aca="false">IF($B68="","",IF($D68="收入",$S68,$T68))</f>
        <v/>
      </c>
      <c r="Q68" s="50" t="str">
        <f aca="false">IF($E68="","",IF($D68="转账","—",IFERROR(INDEX(科目参数!$P$6:$P$85,MATCH($E68,科目参数!$M$6:$M$85,0)),"")))</f>
        <v/>
      </c>
      <c r="R68" s="48" t="str">
        <f aca="false">IF($B68="","",SUMIFS(期初数据!$B$6:$B$35,期初数据!$A$6:$A$35,$F68)+SUMIFS($N$5:$N68,$F$5:$F68,$F68,$D$5:$D68,"收入")-SUMIFS($N$5:$N68,$F$5:$F68,$F68,$D$5:$D68,"支出")-SUMIFS($N$5:$N68,$F$5:$F68,$F68,$D$5:$D68,"转账")+SUMIFS($N$5:$N68,$G$5:$G68,$F68,$D$5:$D68,"转账"))</f>
        <v/>
      </c>
      <c r="S68" s="49" t="str">
        <f aca="false">IF($E68="","",IFERROR(INDEX(科目参数!$N$6:$N$85,MATCH($E68,科目参数!$M$6:$M$85,0)),""))</f>
        <v/>
      </c>
      <c r="T68" s="49" t="str">
        <f aca="false">IF($F68="","",IFERROR(INDEX(基础资料!$C$6:$C$35,MATCH($F68,基础资料!$A$6:$A$35,0)),""))</f>
        <v/>
      </c>
      <c r="U68" s="49" t="str">
        <f aca="false">IF($G68="","",IFERROR(INDEX(基础资料!$C$6:$C$35,MATCH($G68,基础资料!$A$6:$A$35,0)),""))</f>
        <v/>
      </c>
      <c r="V68" s="49" t="str">
        <f aca="false">IF(AND($G68=客户对账单!$B$3,$E68="客户回款",$B68&gt;=客户对账单!$E$3,$B68&lt;=客户对账单!$H$3),COUNTIFS($G$5:$G68,客户对账单!$B$3,$E$5:$E68,"客户回款",$B$5:$B68,"&gt;="&amp;客户对账单!$E$3,$B$5:$B68,"&lt;="&amp;客户对账单!$H$3),"")</f>
        <v/>
      </c>
      <c r="W68" s="49" t="str">
        <f aca="false">IF(AND($G68=供应商对账单!$B$3,$E68="供应商付款",$B68&gt;=供应商对账单!$E$3,$B68&lt;=供应商对账单!$H$3),COUNTIFS($G$5:$G68,供应商对账单!$B$3,$E$5:$E68,"供应商付款",$B$5:$B68,"&gt;="&amp;供应商对账单!$E$3,$B$5:$B68,"&lt;="&amp;供应商对账单!$H$3),"")</f>
        <v/>
      </c>
    </row>
    <row r="69" customFormat="false" ht="15.75" hidden="false" customHeight="true" outlineLevel="0" collapsed="false">
      <c r="A69" s="42" t="str">
        <f aca="false">IF($B69="","","ZJ"&amp;TEXT($B69,"yyyymm")&amp;"-"&amp;TEXT(ROW()-4,"000"))</f>
        <v/>
      </c>
      <c r="B69" s="41"/>
      <c r="C69" s="42" t="str">
        <f aca="false">IF($B69="","",TEXT($B69,"yyyy-mm"))</f>
        <v/>
      </c>
      <c r="D69" s="42" t="str">
        <f aca="false">IF($E69="","",IFERROR(INDEX(科目参数!$L$6:$L$85,MATCH($E69,科目参数!$M$6:$M$85,0)),"⚠"))</f>
        <v/>
      </c>
      <c r="E69" s="33"/>
      <c r="F69" s="33"/>
      <c r="G69" s="36"/>
      <c r="H69" s="33"/>
      <c r="I69" s="33"/>
      <c r="J69" s="36"/>
      <c r="K69" s="40"/>
      <c r="L69" s="40"/>
      <c r="M69" s="47" t="str">
        <f aca="false">IF($B69="","",IF(NOT(ISNUMBER($B69)),"日期不是日期格式",IF(YEAR($B69)&lt;&gt;首页!$B$3,"不在会计年度",IF($E69="","未选收支科目",IF($D69="⚠","收支科目不存在",IF($F69="","未选账户",IF($T69="","账户未设资金科目",IF(AND($D69="转账",$U69=""),"转入账户无效",IF(AND(N($K69)&gt;0,N($L69)&gt;0),"收支不能同时填",IF(AND($D69="收入",N($K69)&lt;=0),"收入金额须大于0",IF(AND($D69&lt;&gt;"收入",N($L69)&lt;=0),"支出金额须大于0",IF($O69="","借方科目缺失",IF($P69="","贷方科目缺失","√")))))))))))))</f>
        <v/>
      </c>
      <c r="N69" s="48" t="str">
        <f aca="false">IF($B69="","",IF($D69="收入",N($K69),N($L69)))</f>
        <v/>
      </c>
      <c r="O69" s="49" t="str">
        <f aca="false">IF($B69="","",IF($D69="收入",$T69,IF($D69="转账",$U69,$S69)))</f>
        <v/>
      </c>
      <c r="P69" s="49" t="str">
        <f aca="false">IF($B69="","",IF($D69="收入",$S69,$T69))</f>
        <v/>
      </c>
      <c r="Q69" s="50" t="str">
        <f aca="false">IF($E69="","",IF($D69="转账","—",IFERROR(INDEX(科目参数!$P$6:$P$85,MATCH($E69,科目参数!$M$6:$M$85,0)),"")))</f>
        <v/>
      </c>
      <c r="R69" s="48" t="str">
        <f aca="false">IF($B69="","",SUMIFS(期初数据!$B$6:$B$35,期初数据!$A$6:$A$35,$F69)+SUMIFS($N$5:$N69,$F$5:$F69,$F69,$D$5:$D69,"收入")-SUMIFS($N$5:$N69,$F$5:$F69,$F69,$D$5:$D69,"支出")-SUMIFS($N$5:$N69,$F$5:$F69,$F69,$D$5:$D69,"转账")+SUMIFS($N$5:$N69,$G$5:$G69,$F69,$D$5:$D69,"转账"))</f>
        <v/>
      </c>
      <c r="S69" s="49" t="str">
        <f aca="false">IF($E69="","",IFERROR(INDEX(科目参数!$N$6:$N$85,MATCH($E69,科目参数!$M$6:$M$85,0)),""))</f>
        <v/>
      </c>
      <c r="T69" s="49" t="str">
        <f aca="false">IF($F69="","",IFERROR(INDEX(基础资料!$C$6:$C$35,MATCH($F69,基础资料!$A$6:$A$35,0)),""))</f>
        <v/>
      </c>
      <c r="U69" s="49" t="str">
        <f aca="false">IF($G69="","",IFERROR(INDEX(基础资料!$C$6:$C$35,MATCH($G69,基础资料!$A$6:$A$35,0)),""))</f>
        <v/>
      </c>
      <c r="V69" s="49" t="str">
        <f aca="false">IF(AND($G69=客户对账单!$B$3,$E69="客户回款",$B69&gt;=客户对账单!$E$3,$B69&lt;=客户对账单!$H$3),COUNTIFS($G$5:$G69,客户对账单!$B$3,$E$5:$E69,"客户回款",$B$5:$B69,"&gt;="&amp;客户对账单!$E$3,$B$5:$B69,"&lt;="&amp;客户对账单!$H$3),"")</f>
        <v/>
      </c>
      <c r="W69" s="49" t="str">
        <f aca="false">IF(AND($G69=供应商对账单!$B$3,$E69="供应商付款",$B69&gt;=供应商对账单!$E$3,$B69&lt;=供应商对账单!$H$3),COUNTIFS($G$5:$G69,供应商对账单!$B$3,$E$5:$E69,"供应商付款",$B$5:$B69,"&gt;="&amp;供应商对账单!$E$3,$B$5:$B69,"&lt;="&amp;供应商对账单!$H$3),"")</f>
        <v/>
      </c>
    </row>
    <row r="70" customFormat="false" ht="15.75" hidden="false" customHeight="true" outlineLevel="0" collapsed="false">
      <c r="A70" s="42" t="str">
        <f aca="false">IF($B70="","","ZJ"&amp;TEXT($B70,"yyyymm")&amp;"-"&amp;TEXT(ROW()-4,"000"))</f>
        <v/>
      </c>
      <c r="B70" s="41"/>
      <c r="C70" s="42" t="str">
        <f aca="false">IF($B70="","",TEXT($B70,"yyyy-mm"))</f>
        <v/>
      </c>
      <c r="D70" s="42" t="str">
        <f aca="false">IF($E70="","",IFERROR(INDEX(科目参数!$L$6:$L$85,MATCH($E70,科目参数!$M$6:$M$85,0)),"⚠"))</f>
        <v/>
      </c>
      <c r="E70" s="33"/>
      <c r="F70" s="33"/>
      <c r="G70" s="36"/>
      <c r="H70" s="33"/>
      <c r="I70" s="33"/>
      <c r="J70" s="36"/>
      <c r="K70" s="40"/>
      <c r="L70" s="40"/>
      <c r="M70" s="47" t="str">
        <f aca="false">IF($B70="","",IF(NOT(ISNUMBER($B70)),"日期不是日期格式",IF(YEAR($B70)&lt;&gt;首页!$B$3,"不在会计年度",IF($E70="","未选收支科目",IF($D70="⚠","收支科目不存在",IF($F70="","未选账户",IF($T70="","账户未设资金科目",IF(AND($D70="转账",$U70=""),"转入账户无效",IF(AND(N($K70)&gt;0,N($L70)&gt;0),"收支不能同时填",IF(AND($D70="收入",N($K70)&lt;=0),"收入金额须大于0",IF(AND($D70&lt;&gt;"收入",N($L70)&lt;=0),"支出金额须大于0",IF($O70="","借方科目缺失",IF($P70="","贷方科目缺失","√")))))))))))))</f>
        <v/>
      </c>
      <c r="N70" s="48" t="str">
        <f aca="false">IF($B70="","",IF($D70="收入",N($K70),N($L70)))</f>
        <v/>
      </c>
      <c r="O70" s="49" t="str">
        <f aca="false">IF($B70="","",IF($D70="收入",$T70,IF($D70="转账",$U70,$S70)))</f>
        <v/>
      </c>
      <c r="P70" s="49" t="str">
        <f aca="false">IF($B70="","",IF($D70="收入",$S70,$T70))</f>
        <v/>
      </c>
      <c r="Q70" s="50" t="str">
        <f aca="false">IF($E70="","",IF($D70="转账","—",IFERROR(INDEX(科目参数!$P$6:$P$85,MATCH($E70,科目参数!$M$6:$M$85,0)),"")))</f>
        <v/>
      </c>
      <c r="R70" s="48" t="str">
        <f aca="false">IF($B70="","",SUMIFS(期初数据!$B$6:$B$35,期初数据!$A$6:$A$35,$F70)+SUMIFS($N$5:$N70,$F$5:$F70,$F70,$D$5:$D70,"收入")-SUMIFS($N$5:$N70,$F$5:$F70,$F70,$D$5:$D70,"支出")-SUMIFS($N$5:$N70,$F$5:$F70,$F70,$D$5:$D70,"转账")+SUMIFS($N$5:$N70,$G$5:$G70,$F70,$D$5:$D70,"转账"))</f>
        <v/>
      </c>
      <c r="S70" s="49" t="str">
        <f aca="false">IF($E70="","",IFERROR(INDEX(科目参数!$N$6:$N$85,MATCH($E70,科目参数!$M$6:$M$85,0)),""))</f>
        <v/>
      </c>
      <c r="T70" s="49" t="str">
        <f aca="false">IF($F70="","",IFERROR(INDEX(基础资料!$C$6:$C$35,MATCH($F70,基础资料!$A$6:$A$35,0)),""))</f>
        <v/>
      </c>
      <c r="U70" s="49" t="str">
        <f aca="false">IF($G70="","",IFERROR(INDEX(基础资料!$C$6:$C$35,MATCH($G70,基础资料!$A$6:$A$35,0)),""))</f>
        <v/>
      </c>
      <c r="V70" s="49" t="str">
        <f aca="false">IF(AND($G70=客户对账单!$B$3,$E70="客户回款",$B70&gt;=客户对账单!$E$3,$B70&lt;=客户对账单!$H$3),COUNTIFS($G$5:$G70,客户对账单!$B$3,$E$5:$E70,"客户回款",$B$5:$B70,"&gt;="&amp;客户对账单!$E$3,$B$5:$B70,"&lt;="&amp;客户对账单!$H$3),"")</f>
        <v/>
      </c>
      <c r="W70" s="49" t="str">
        <f aca="false">IF(AND($G70=供应商对账单!$B$3,$E70="供应商付款",$B70&gt;=供应商对账单!$E$3,$B70&lt;=供应商对账单!$H$3),COUNTIFS($G$5:$G70,供应商对账单!$B$3,$E$5:$E70,"供应商付款",$B$5:$B70,"&gt;="&amp;供应商对账单!$E$3,$B$5:$B70,"&lt;="&amp;供应商对账单!$H$3),"")</f>
        <v/>
      </c>
    </row>
    <row r="71" customFormat="false" ht="15.75" hidden="false" customHeight="true" outlineLevel="0" collapsed="false">
      <c r="A71" s="42" t="str">
        <f aca="false">IF($B71="","","ZJ"&amp;TEXT($B71,"yyyymm")&amp;"-"&amp;TEXT(ROW()-4,"000"))</f>
        <v/>
      </c>
      <c r="B71" s="41"/>
      <c r="C71" s="42" t="str">
        <f aca="false">IF($B71="","",TEXT($B71,"yyyy-mm"))</f>
        <v/>
      </c>
      <c r="D71" s="42" t="str">
        <f aca="false">IF($E71="","",IFERROR(INDEX(科目参数!$L$6:$L$85,MATCH($E71,科目参数!$M$6:$M$85,0)),"⚠"))</f>
        <v/>
      </c>
      <c r="E71" s="33"/>
      <c r="F71" s="33"/>
      <c r="G71" s="36"/>
      <c r="H71" s="33"/>
      <c r="I71" s="33"/>
      <c r="J71" s="36"/>
      <c r="K71" s="40"/>
      <c r="L71" s="40"/>
      <c r="M71" s="47" t="str">
        <f aca="false">IF($B71="","",IF(NOT(ISNUMBER($B71)),"日期不是日期格式",IF(YEAR($B71)&lt;&gt;首页!$B$3,"不在会计年度",IF($E71="","未选收支科目",IF($D71="⚠","收支科目不存在",IF($F71="","未选账户",IF($T71="","账户未设资金科目",IF(AND($D71="转账",$U71=""),"转入账户无效",IF(AND(N($K71)&gt;0,N($L71)&gt;0),"收支不能同时填",IF(AND($D71="收入",N($K71)&lt;=0),"收入金额须大于0",IF(AND($D71&lt;&gt;"收入",N($L71)&lt;=0),"支出金额须大于0",IF($O71="","借方科目缺失",IF($P71="","贷方科目缺失","√")))))))))))))</f>
        <v/>
      </c>
      <c r="N71" s="48" t="str">
        <f aca="false">IF($B71="","",IF($D71="收入",N($K71),N($L71)))</f>
        <v/>
      </c>
      <c r="O71" s="49" t="str">
        <f aca="false">IF($B71="","",IF($D71="收入",$T71,IF($D71="转账",$U71,$S71)))</f>
        <v/>
      </c>
      <c r="P71" s="49" t="str">
        <f aca="false">IF($B71="","",IF($D71="收入",$S71,$T71))</f>
        <v/>
      </c>
      <c r="Q71" s="50" t="str">
        <f aca="false">IF($E71="","",IF($D71="转账","—",IFERROR(INDEX(科目参数!$P$6:$P$85,MATCH($E71,科目参数!$M$6:$M$85,0)),"")))</f>
        <v/>
      </c>
      <c r="R71" s="48" t="str">
        <f aca="false">IF($B71="","",SUMIFS(期初数据!$B$6:$B$35,期初数据!$A$6:$A$35,$F71)+SUMIFS($N$5:$N71,$F$5:$F71,$F71,$D$5:$D71,"收入")-SUMIFS($N$5:$N71,$F$5:$F71,$F71,$D$5:$D71,"支出")-SUMIFS($N$5:$N71,$F$5:$F71,$F71,$D$5:$D71,"转账")+SUMIFS($N$5:$N71,$G$5:$G71,$F71,$D$5:$D71,"转账"))</f>
        <v/>
      </c>
      <c r="S71" s="49" t="str">
        <f aca="false">IF($E71="","",IFERROR(INDEX(科目参数!$N$6:$N$85,MATCH($E71,科目参数!$M$6:$M$85,0)),""))</f>
        <v/>
      </c>
      <c r="T71" s="49" t="str">
        <f aca="false">IF($F71="","",IFERROR(INDEX(基础资料!$C$6:$C$35,MATCH($F71,基础资料!$A$6:$A$35,0)),""))</f>
        <v/>
      </c>
      <c r="U71" s="49" t="str">
        <f aca="false">IF($G71="","",IFERROR(INDEX(基础资料!$C$6:$C$35,MATCH($G71,基础资料!$A$6:$A$35,0)),""))</f>
        <v/>
      </c>
      <c r="V71" s="49" t="str">
        <f aca="false">IF(AND($G71=客户对账单!$B$3,$E71="客户回款",$B71&gt;=客户对账单!$E$3,$B71&lt;=客户对账单!$H$3),COUNTIFS($G$5:$G71,客户对账单!$B$3,$E$5:$E71,"客户回款",$B$5:$B71,"&gt;="&amp;客户对账单!$E$3,$B$5:$B71,"&lt;="&amp;客户对账单!$H$3),"")</f>
        <v/>
      </c>
      <c r="W71" s="49" t="str">
        <f aca="false">IF(AND($G71=供应商对账单!$B$3,$E71="供应商付款",$B71&gt;=供应商对账单!$E$3,$B71&lt;=供应商对账单!$H$3),COUNTIFS($G$5:$G71,供应商对账单!$B$3,$E$5:$E71,"供应商付款",$B$5:$B71,"&gt;="&amp;供应商对账单!$E$3,$B$5:$B71,"&lt;="&amp;供应商对账单!$H$3),"")</f>
        <v/>
      </c>
    </row>
    <row r="72" customFormat="false" ht="15.75" hidden="false" customHeight="true" outlineLevel="0" collapsed="false">
      <c r="A72" s="42" t="str">
        <f aca="false">IF($B72="","","ZJ"&amp;TEXT($B72,"yyyymm")&amp;"-"&amp;TEXT(ROW()-4,"000"))</f>
        <v/>
      </c>
      <c r="B72" s="41"/>
      <c r="C72" s="42" t="str">
        <f aca="false">IF($B72="","",TEXT($B72,"yyyy-mm"))</f>
        <v/>
      </c>
      <c r="D72" s="42" t="str">
        <f aca="false">IF($E72="","",IFERROR(INDEX(科目参数!$L$6:$L$85,MATCH($E72,科目参数!$M$6:$M$85,0)),"⚠"))</f>
        <v/>
      </c>
      <c r="E72" s="33"/>
      <c r="F72" s="33"/>
      <c r="G72" s="36"/>
      <c r="H72" s="33"/>
      <c r="I72" s="33"/>
      <c r="J72" s="36"/>
      <c r="K72" s="40"/>
      <c r="L72" s="40"/>
      <c r="M72" s="47" t="str">
        <f aca="false">IF($B72="","",IF(NOT(ISNUMBER($B72)),"日期不是日期格式",IF(YEAR($B72)&lt;&gt;首页!$B$3,"不在会计年度",IF($E72="","未选收支科目",IF($D72="⚠","收支科目不存在",IF($F72="","未选账户",IF($T72="","账户未设资金科目",IF(AND($D72="转账",$U72=""),"转入账户无效",IF(AND(N($K72)&gt;0,N($L72)&gt;0),"收支不能同时填",IF(AND($D72="收入",N($K72)&lt;=0),"收入金额须大于0",IF(AND($D72&lt;&gt;"收入",N($L72)&lt;=0),"支出金额须大于0",IF($O72="","借方科目缺失",IF($P72="","贷方科目缺失","√")))))))))))))</f>
        <v/>
      </c>
      <c r="N72" s="48" t="str">
        <f aca="false">IF($B72="","",IF($D72="收入",N($K72),N($L72)))</f>
        <v/>
      </c>
      <c r="O72" s="49" t="str">
        <f aca="false">IF($B72="","",IF($D72="收入",$T72,IF($D72="转账",$U72,$S72)))</f>
        <v/>
      </c>
      <c r="P72" s="49" t="str">
        <f aca="false">IF($B72="","",IF($D72="收入",$S72,$T72))</f>
        <v/>
      </c>
      <c r="Q72" s="50" t="str">
        <f aca="false">IF($E72="","",IF($D72="转账","—",IFERROR(INDEX(科目参数!$P$6:$P$85,MATCH($E72,科目参数!$M$6:$M$85,0)),"")))</f>
        <v/>
      </c>
      <c r="R72" s="48" t="str">
        <f aca="false">IF($B72="","",SUMIFS(期初数据!$B$6:$B$35,期初数据!$A$6:$A$35,$F72)+SUMIFS($N$5:$N72,$F$5:$F72,$F72,$D$5:$D72,"收入")-SUMIFS($N$5:$N72,$F$5:$F72,$F72,$D$5:$D72,"支出")-SUMIFS($N$5:$N72,$F$5:$F72,$F72,$D$5:$D72,"转账")+SUMIFS($N$5:$N72,$G$5:$G72,$F72,$D$5:$D72,"转账"))</f>
        <v/>
      </c>
      <c r="S72" s="49" t="str">
        <f aca="false">IF($E72="","",IFERROR(INDEX(科目参数!$N$6:$N$85,MATCH($E72,科目参数!$M$6:$M$85,0)),""))</f>
        <v/>
      </c>
      <c r="T72" s="49" t="str">
        <f aca="false">IF($F72="","",IFERROR(INDEX(基础资料!$C$6:$C$35,MATCH($F72,基础资料!$A$6:$A$35,0)),""))</f>
        <v/>
      </c>
      <c r="U72" s="49" t="str">
        <f aca="false">IF($G72="","",IFERROR(INDEX(基础资料!$C$6:$C$35,MATCH($G72,基础资料!$A$6:$A$35,0)),""))</f>
        <v/>
      </c>
      <c r="V72" s="49" t="str">
        <f aca="false">IF(AND($G72=客户对账单!$B$3,$E72="客户回款",$B72&gt;=客户对账单!$E$3,$B72&lt;=客户对账单!$H$3),COUNTIFS($G$5:$G72,客户对账单!$B$3,$E$5:$E72,"客户回款",$B$5:$B72,"&gt;="&amp;客户对账单!$E$3,$B$5:$B72,"&lt;="&amp;客户对账单!$H$3),"")</f>
        <v/>
      </c>
      <c r="W72" s="49" t="str">
        <f aca="false">IF(AND($G72=供应商对账单!$B$3,$E72="供应商付款",$B72&gt;=供应商对账单!$E$3,$B72&lt;=供应商对账单!$H$3),COUNTIFS($G$5:$G72,供应商对账单!$B$3,$E$5:$E72,"供应商付款",$B$5:$B72,"&gt;="&amp;供应商对账单!$E$3,$B$5:$B72,"&lt;="&amp;供应商对账单!$H$3),"")</f>
        <v/>
      </c>
    </row>
    <row r="73" customFormat="false" ht="15.75" hidden="false" customHeight="true" outlineLevel="0" collapsed="false">
      <c r="A73" s="42" t="str">
        <f aca="false">IF($B73="","","ZJ"&amp;TEXT($B73,"yyyymm")&amp;"-"&amp;TEXT(ROW()-4,"000"))</f>
        <v/>
      </c>
      <c r="B73" s="41"/>
      <c r="C73" s="42" t="str">
        <f aca="false">IF($B73="","",TEXT($B73,"yyyy-mm"))</f>
        <v/>
      </c>
      <c r="D73" s="42" t="str">
        <f aca="false">IF($E73="","",IFERROR(INDEX(科目参数!$L$6:$L$85,MATCH($E73,科目参数!$M$6:$M$85,0)),"⚠"))</f>
        <v/>
      </c>
      <c r="E73" s="33"/>
      <c r="F73" s="33"/>
      <c r="G73" s="36"/>
      <c r="H73" s="33"/>
      <c r="I73" s="33"/>
      <c r="J73" s="36"/>
      <c r="K73" s="40"/>
      <c r="L73" s="40"/>
      <c r="M73" s="47" t="str">
        <f aca="false">IF($B73="","",IF(NOT(ISNUMBER($B73)),"日期不是日期格式",IF(YEAR($B73)&lt;&gt;首页!$B$3,"不在会计年度",IF($E73="","未选收支科目",IF($D73="⚠","收支科目不存在",IF($F73="","未选账户",IF($T73="","账户未设资金科目",IF(AND($D73="转账",$U73=""),"转入账户无效",IF(AND(N($K73)&gt;0,N($L73)&gt;0),"收支不能同时填",IF(AND($D73="收入",N($K73)&lt;=0),"收入金额须大于0",IF(AND($D73&lt;&gt;"收入",N($L73)&lt;=0),"支出金额须大于0",IF($O73="","借方科目缺失",IF($P73="","贷方科目缺失","√")))))))))))))</f>
        <v/>
      </c>
      <c r="N73" s="48" t="str">
        <f aca="false">IF($B73="","",IF($D73="收入",N($K73),N($L73)))</f>
        <v/>
      </c>
      <c r="O73" s="49" t="str">
        <f aca="false">IF($B73="","",IF($D73="收入",$T73,IF($D73="转账",$U73,$S73)))</f>
        <v/>
      </c>
      <c r="P73" s="49" t="str">
        <f aca="false">IF($B73="","",IF($D73="收入",$S73,$T73))</f>
        <v/>
      </c>
      <c r="Q73" s="50" t="str">
        <f aca="false">IF($E73="","",IF($D73="转账","—",IFERROR(INDEX(科目参数!$P$6:$P$85,MATCH($E73,科目参数!$M$6:$M$85,0)),"")))</f>
        <v/>
      </c>
      <c r="R73" s="48" t="str">
        <f aca="false">IF($B73="","",SUMIFS(期初数据!$B$6:$B$35,期初数据!$A$6:$A$35,$F73)+SUMIFS($N$5:$N73,$F$5:$F73,$F73,$D$5:$D73,"收入")-SUMIFS($N$5:$N73,$F$5:$F73,$F73,$D$5:$D73,"支出")-SUMIFS($N$5:$N73,$F$5:$F73,$F73,$D$5:$D73,"转账")+SUMIFS($N$5:$N73,$G$5:$G73,$F73,$D$5:$D73,"转账"))</f>
        <v/>
      </c>
      <c r="S73" s="49" t="str">
        <f aca="false">IF($E73="","",IFERROR(INDEX(科目参数!$N$6:$N$85,MATCH($E73,科目参数!$M$6:$M$85,0)),""))</f>
        <v/>
      </c>
      <c r="T73" s="49" t="str">
        <f aca="false">IF($F73="","",IFERROR(INDEX(基础资料!$C$6:$C$35,MATCH($F73,基础资料!$A$6:$A$35,0)),""))</f>
        <v/>
      </c>
      <c r="U73" s="49" t="str">
        <f aca="false">IF($G73="","",IFERROR(INDEX(基础资料!$C$6:$C$35,MATCH($G73,基础资料!$A$6:$A$35,0)),""))</f>
        <v/>
      </c>
      <c r="V73" s="49" t="str">
        <f aca="false">IF(AND($G73=客户对账单!$B$3,$E73="客户回款",$B73&gt;=客户对账单!$E$3,$B73&lt;=客户对账单!$H$3),COUNTIFS($G$5:$G73,客户对账单!$B$3,$E$5:$E73,"客户回款",$B$5:$B73,"&gt;="&amp;客户对账单!$E$3,$B$5:$B73,"&lt;="&amp;客户对账单!$H$3),"")</f>
        <v/>
      </c>
      <c r="W73" s="49" t="str">
        <f aca="false">IF(AND($G73=供应商对账单!$B$3,$E73="供应商付款",$B73&gt;=供应商对账单!$E$3,$B73&lt;=供应商对账单!$H$3),COUNTIFS($G$5:$G73,供应商对账单!$B$3,$E$5:$E73,"供应商付款",$B$5:$B73,"&gt;="&amp;供应商对账单!$E$3,$B$5:$B73,"&lt;="&amp;供应商对账单!$H$3),"")</f>
        <v/>
      </c>
    </row>
    <row r="74" customFormat="false" ht="15.75" hidden="false" customHeight="true" outlineLevel="0" collapsed="false">
      <c r="A74" s="42" t="str">
        <f aca="false">IF($B74="","","ZJ"&amp;TEXT($B74,"yyyymm")&amp;"-"&amp;TEXT(ROW()-4,"000"))</f>
        <v/>
      </c>
      <c r="B74" s="41"/>
      <c r="C74" s="42" t="str">
        <f aca="false">IF($B74="","",TEXT($B74,"yyyy-mm"))</f>
        <v/>
      </c>
      <c r="D74" s="42" t="str">
        <f aca="false">IF($E74="","",IFERROR(INDEX(科目参数!$L$6:$L$85,MATCH($E74,科目参数!$M$6:$M$85,0)),"⚠"))</f>
        <v/>
      </c>
      <c r="E74" s="33"/>
      <c r="F74" s="33"/>
      <c r="G74" s="36"/>
      <c r="H74" s="33"/>
      <c r="I74" s="33"/>
      <c r="J74" s="36"/>
      <c r="K74" s="40"/>
      <c r="L74" s="40"/>
      <c r="M74" s="47" t="str">
        <f aca="false">IF($B74="","",IF(NOT(ISNUMBER($B74)),"日期不是日期格式",IF(YEAR($B74)&lt;&gt;首页!$B$3,"不在会计年度",IF($E74="","未选收支科目",IF($D74="⚠","收支科目不存在",IF($F74="","未选账户",IF($T74="","账户未设资金科目",IF(AND($D74="转账",$U74=""),"转入账户无效",IF(AND(N($K74)&gt;0,N($L74)&gt;0),"收支不能同时填",IF(AND($D74="收入",N($K74)&lt;=0),"收入金额须大于0",IF(AND($D74&lt;&gt;"收入",N($L74)&lt;=0),"支出金额须大于0",IF($O74="","借方科目缺失",IF($P74="","贷方科目缺失","√")))))))))))))</f>
        <v/>
      </c>
      <c r="N74" s="48" t="str">
        <f aca="false">IF($B74="","",IF($D74="收入",N($K74),N($L74)))</f>
        <v/>
      </c>
      <c r="O74" s="49" t="str">
        <f aca="false">IF($B74="","",IF($D74="收入",$T74,IF($D74="转账",$U74,$S74)))</f>
        <v/>
      </c>
      <c r="P74" s="49" t="str">
        <f aca="false">IF($B74="","",IF($D74="收入",$S74,$T74))</f>
        <v/>
      </c>
      <c r="Q74" s="50" t="str">
        <f aca="false">IF($E74="","",IF($D74="转账","—",IFERROR(INDEX(科目参数!$P$6:$P$85,MATCH($E74,科目参数!$M$6:$M$85,0)),"")))</f>
        <v/>
      </c>
      <c r="R74" s="48" t="str">
        <f aca="false">IF($B74="","",SUMIFS(期初数据!$B$6:$B$35,期初数据!$A$6:$A$35,$F74)+SUMIFS($N$5:$N74,$F$5:$F74,$F74,$D$5:$D74,"收入")-SUMIFS($N$5:$N74,$F$5:$F74,$F74,$D$5:$D74,"支出")-SUMIFS($N$5:$N74,$F$5:$F74,$F74,$D$5:$D74,"转账")+SUMIFS($N$5:$N74,$G$5:$G74,$F74,$D$5:$D74,"转账"))</f>
        <v/>
      </c>
      <c r="S74" s="49" t="str">
        <f aca="false">IF($E74="","",IFERROR(INDEX(科目参数!$N$6:$N$85,MATCH($E74,科目参数!$M$6:$M$85,0)),""))</f>
        <v/>
      </c>
      <c r="T74" s="49" t="str">
        <f aca="false">IF($F74="","",IFERROR(INDEX(基础资料!$C$6:$C$35,MATCH($F74,基础资料!$A$6:$A$35,0)),""))</f>
        <v/>
      </c>
      <c r="U74" s="49" t="str">
        <f aca="false">IF($G74="","",IFERROR(INDEX(基础资料!$C$6:$C$35,MATCH($G74,基础资料!$A$6:$A$35,0)),""))</f>
        <v/>
      </c>
      <c r="V74" s="49" t="str">
        <f aca="false">IF(AND($G74=客户对账单!$B$3,$E74="客户回款",$B74&gt;=客户对账单!$E$3,$B74&lt;=客户对账单!$H$3),COUNTIFS($G$5:$G74,客户对账单!$B$3,$E$5:$E74,"客户回款",$B$5:$B74,"&gt;="&amp;客户对账单!$E$3,$B$5:$B74,"&lt;="&amp;客户对账单!$H$3),"")</f>
        <v/>
      </c>
      <c r="W74" s="49" t="str">
        <f aca="false">IF(AND($G74=供应商对账单!$B$3,$E74="供应商付款",$B74&gt;=供应商对账单!$E$3,$B74&lt;=供应商对账单!$H$3),COUNTIFS($G$5:$G74,供应商对账单!$B$3,$E$5:$E74,"供应商付款",$B$5:$B74,"&gt;="&amp;供应商对账单!$E$3,$B$5:$B74,"&lt;="&amp;供应商对账单!$H$3),"")</f>
        <v/>
      </c>
    </row>
    <row r="75" customFormat="false" ht="15.75" hidden="false" customHeight="true" outlineLevel="0" collapsed="false">
      <c r="A75" s="42" t="str">
        <f aca="false">IF($B75="","","ZJ"&amp;TEXT($B75,"yyyymm")&amp;"-"&amp;TEXT(ROW()-4,"000"))</f>
        <v/>
      </c>
      <c r="B75" s="41"/>
      <c r="C75" s="42" t="str">
        <f aca="false">IF($B75="","",TEXT($B75,"yyyy-mm"))</f>
        <v/>
      </c>
      <c r="D75" s="42" t="str">
        <f aca="false">IF($E75="","",IFERROR(INDEX(科目参数!$L$6:$L$85,MATCH($E75,科目参数!$M$6:$M$85,0)),"⚠"))</f>
        <v/>
      </c>
      <c r="E75" s="33"/>
      <c r="F75" s="33"/>
      <c r="G75" s="36"/>
      <c r="H75" s="33"/>
      <c r="I75" s="33"/>
      <c r="J75" s="36"/>
      <c r="K75" s="40"/>
      <c r="L75" s="40"/>
      <c r="M75" s="47" t="str">
        <f aca="false">IF($B75="","",IF(NOT(ISNUMBER($B75)),"日期不是日期格式",IF(YEAR($B75)&lt;&gt;首页!$B$3,"不在会计年度",IF($E75="","未选收支科目",IF($D75="⚠","收支科目不存在",IF($F75="","未选账户",IF($T75="","账户未设资金科目",IF(AND($D75="转账",$U75=""),"转入账户无效",IF(AND(N($K75)&gt;0,N($L75)&gt;0),"收支不能同时填",IF(AND($D75="收入",N($K75)&lt;=0),"收入金额须大于0",IF(AND($D75&lt;&gt;"收入",N($L75)&lt;=0),"支出金额须大于0",IF($O75="","借方科目缺失",IF($P75="","贷方科目缺失","√")))))))))))))</f>
        <v/>
      </c>
      <c r="N75" s="48" t="str">
        <f aca="false">IF($B75="","",IF($D75="收入",N($K75),N($L75)))</f>
        <v/>
      </c>
      <c r="O75" s="49" t="str">
        <f aca="false">IF($B75="","",IF($D75="收入",$T75,IF($D75="转账",$U75,$S75)))</f>
        <v/>
      </c>
      <c r="P75" s="49" t="str">
        <f aca="false">IF($B75="","",IF($D75="收入",$S75,$T75))</f>
        <v/>
      </c>
      <c r="Q75" s="50" t="str">
        <f aca="false">IF($E75="","",IF($D75="转账","—",IFERROR(INDEX(科目参数!$P$6:$P$85,MATCH($E75,科目参数!$M$6:$M$85,0)),"")))</f>
        <v/>
      </c>
      <c r="R75" s="48" t="str">
        <f aca="false">IF($B75="","",SUMIFS(期初数据!$B$6:$B$35,期初数据!$A$6:$A$35,$F75)+SUMIFS($N$5:$N75,$F$5:$F75,$F75,$D$5:$D75,"收入")-SUMIFS($N$5:$N75,$F$5:$F75,$F75,$D$5:$D75,"支出")-SUMIFS($N$5:$N75,$F$5:$F75,$F75,$D$5:$D75,"转账")+SUMIFS($N$5:$N75,$G$5:$G75,$F75,$D$5:$D75,"转账"))</f>
        <v/>
      </c>
      <c r="S75" s="49" t="str">
        <f aca="false">IF($E75="","",IFERROR(INDEX(科目参数!$N$6:$N$85,MATCH($E75,科目参数!$M$6:$M$85,0)),""))</f>
        <v/>
      </c>
      <c r="T75" s="49" t="str">
        <f aca="false">IF($F75="","",IFERROR(INDEX(基础资料!$C$6:$C$35,MATCH($F75,基础资料!$A$6:$A$35,0)),""))</f>
        <v/>
      </c>
      <c r="U75" s="49" t="str">
        <f aca="false">IF($G75="","",IFERROR(INDEX(基础资料!$C$6:$C$35,MATCH($G75,基础资料!$A$6:$A$35,0)),""))</f>
        <v/>
      </c>
      <c r="V75" s="49" t="str">
        <f aca="false">IF(AND($G75=客户对账单!$B$3,$E75="客户回款",$B75&gt;=客户对账单!$E$3,$B75&lt;=客户对账单!$H$3),COUNTIFS($G$5:$G75,客户对账单!$B$3,$E$5:$E75,"客户回款",$B$5:$B75,"&gt;="&amp;客户对账单!$E$3,$B$5:$B75,"&lt;="&amp;客户对账单!$H$3),"")</f>
        <v/>
      </c>
      <c r="W75" s="49" t="str">
        <f aca="false">IF(AND($G75=供应商对账单!$B$3,$E75="供应商付款",$B75&gt;=供应商对账单!$E$3,$B75&lt;=供应商对账单!$H$3),COUNTIFS($G$5:$G75,供应商对账单!$B$3,$E$5:$E75,"供应商付款",$B$5:$B75,"&gt;="&amp;供应商对账单!$E$3,$B$5:$B75,"&lt;="&amp;供应商对账单!$H$3),"")</f>
        <v/>
      </c>
    </row>
    <row r="76" customFormat="false" ht="15.75" hidden="false" customHeight="true" outlineLevel="0" collapsed="false">
      <c r="A76" s="42" t="str">
        <f aca="false">IF($B76="","","ZJ"&amp;TEXT($B76,"yyyymm")&amp;"-"&amp;TEXT(ROW()-4,"000"))</f>
        <v/>
      </c>
      <c r="B76" s="41"/>
      <c r="C76" s="42" t="str">
        <f aca="false">IF($B76="","",TEXT($B76,"yyyy-mm"))</f>
        <v/>
      </c>
      <c r="D76" s="42" t="str">
        <f aca="false">IF($E76="","",IFERROR(INDEX(科目参数!$L$6:$L$85,MATCH($E76,科目参数!$M$6:$M$85,0)),"⚠"))</f>
        <v/>
      </c>
      <c r="E76" s="33"/>
      <c r="F76" s="33"/>
      <c r="G76" s="36"/>
      <c r="H76" s="33"/>
      <c r="I76" s="33"/>
      <c r="J76" s="36"/>
      <c r="K76" s="40"/>
      <c r="L76" s="40"/>
      <c r="M76" s="47" t="str">
        <f aca="false">IF($B76="","",IF(NOT(ISNUMBER($B76)),"日期不是日期格式",IF(YEAR($B76)&lt;&gt;首页!$B$3,"不在会计年度",IF($E76="","未选收支科目",IF($D76="⚠","收支科目不存在",IF($F76="","未选账户",IF($T76="","账户未设资金科目",IF(AND($D76="转账",$U76=""),"转入账户无效",IF(AND(N($K76)&gt;0,N($L76)&gt;0),"收支不能同时填",IF(AND($D76="收入",N($K76)&lt;=0),"收入金额须大于0",IF(AND($D76&lt;&gt;"收入",N($L76)&lt;=0),"支出金额须大于0",IF($O76="","借方科目缺失",IF($P76="","贷方科目缺失","√")))))))))))))</f>
        <v/>
      </c>
      <c r="N76" s="48" t="str">
        <f aca="false">IF($B76="","",IF($D76="收入",N($K76),N($L76)))</f>
        <v/>
      </c>
      <c r="O76" s="49" t="str">
        <f aca="false">IF($B76="","",IF($D76="收入",$T76,IF($D76="转账",$U76,$S76)))</f>
        <v/>
      </c>
      <c r="P76" s="49" t="str">
        <f aca="false">IF($B76="","",IF($D76="收入",$S76,$T76))</f>
        <v/>
      </c>
      <c r="Q76" s="50" t="str">
        <f aca="false">IF($E76="","",IF($D76="转账","—",IFERROR(INDEX(科目参数!$P$6:$P$85,MATCH($E76,科目参数!$M$6:$M$85,0)),"")))</f>
        <v/>
      </c>
      <c r="R76" s="48" t="str">
        <f aca="false">IF($B76="","",SUMIFS(期初数据!$B$6:$B$35,期初数据!$A$6:$A$35,$F76)+SUMIFS($N$5:$N76,$F$5:$F76,$F76,$D$5:$D76,"收入")-SUMIFS($N$5:$N76,$F$5:$F76,$F76,$D$5:$D76,"支出")-SUMIFS($N$5:$N76,$F$5:$F76,$F76,$D$5:$D76,"转账")+SUMIFS($N$5:$N76,$G$5:$G76,$F76,$D$5:$D76,"转账"))</f>
        <v/>
      </c>
      <c r="S76" s="49" t="str">
        <f aca="false">IF($E76="","",IFERROR(INDEX(科目参数!$N$6:$N$85,MATCH($E76,科目参数!$M$6:$M$85,0)),""))</f>
        <v/>
      </c>
      <c r="T76" s="49" t="str">
        <f aca="false">IF($F76="","",IFERROR(INDEX(基础资料!$C$6:$C$35,MATCH($F76,基础资料!$A$6:$A$35,0)),""))</f>
        <v/>
      </c>
      <c r="U76" s="49" t="str">
        <f aca="false">IF($G76="","",IFERROR(INDEX(基础资料!$C$6:$C$35,MATCH($G76,基础资料!$A$6:$A$35,0)),""))</f>
        <v/>
      </c>
      <c r="V76" s="49" t="str">
        <f aca="false">IF(AND($G76=客户对账单!$B$3,$E76="客户回款",$B76&gt;=客户对账单!$E$3,$B76&lt;=客户对账单!$H$3),COUNTIFS($G$5:$G76,客户对账单!$B$3,$E$5:$E76,"客户回款",$B$5:$B76,"&gt;="&amp;客户对账单!$E$3,$B$5:$B76,"&lt;="&amp;客户对账单!$H$3),"")</f>
        <v/>
      </c>
      <c r="W76" s="49" t="str">
        <f aca="false">IF(AND($G76=供应商对账单!$B$3,$E76="供应商付款",$B76&gt;=供应商对账单!$E$3,$B76&lt;=供应商对账单!$H$3),COUNTIFS($G$5:$G76,供应商对账单!$B$3,$E$5:$E76,"供应商付款",$B$5:$B76,"&gt;="&amp;供应商对账单!$E$3,$B$5:$B76,"&lt;="&amp;供应商对账单!$H$3),"")</f>
        <v/>
      </c>
    </row>
    <row r="77" customFormat="false" ht="15.75" hidden="false" customHeight="true" outlineLevel="0" collapsed="false">
      <c r="A77" s="42" t="str">
        <f aca="false">IF($B77="","","ZJ"&amp;TEXT($B77,"yyyymm")&amp;"-"&amp;TEXT(ROW()-4,"000"))</f>
        <v/>
      </c>
      <c r="B77" s="41"/>
      <c r="C77" s="42" t="str">
        <f aca="false">IF($B77="","",TEXT($B77,"yyyy-mm"))</f>
        <v/>
      </c>
      <c r="D77" s="42" t="str">
        <f aca="false">IF($E77="","",IFERROR(INDEX(科目参数!$L$6:$L$85,MATCH($E77,科目参数!$M$6:$M$85,0)),"⚠"))</f>
        <v/>
      </c>
      <c r="E77" s="33"/>
      <c r="F77" s="33"/>
      <c r="G77" s="36"/>
      <c r="H77" s="33"/>
      <c r="I77" s="33"/>
      <c r="J77" s="36"/>
      <c r="K77" s="40"/>
      <c r="L77" s="40"/>
      <c r="M77" s="47" t="str">
        <f aca="false">IF($B77="","",IF(NOT(ISNUMBER($B77)),"日期不是日期格式",IF(YEAR($B77)&lt;&gt;首页!$B$3,"不在会计年度",IF($E77="","未选收支科目",IF($D77="⚠","收支科目不存在",IF($F77="","未选账户",IF($T77="","账户未设资金科目",IF(AND($D77="转账",$U77=""),"转入账户无效",IF(AND(N($K77)&gt;0,N($L77)&gt;0),"收支不能同时填",IF(AND($D77="收入",N($K77)&lt;=0),"收入金额须大于0",IF(AND($D77&lt;&gt;"收入",N($L77)&lt;=0),"支出金额须大于0",IF($O77="","借方科目缺失",IF($P77="","贷方科目缺失","√")))))))))))))</f>
        <v/>
      </c>
      <c r="N77" s="48" t="str">
        <f aca="false">IF($B77="","",IF($D77="收入",N($K77),N($L77)))</f>
        <v/>
      </c>
      <c r="O77" s="49" t="str">
        <f aca="false">IF($B77="","",IF($D77="收入",$T77,IF($D77="转账",$U77,$S77)))</f>
        <v/>
      </c>
      <c r="P77" s="49" t="str">
        <f aca="false">IF($B77="","",IF($D77="收入",$S77,$T77))</f>
        <v/>
      </c>
      <c r="Q77" s="50" t="str">
        <f aca="false">IF($E77="","",IF($D77="转账","—",IFERROR(INDEX(科目参数!$P$6:$P$85,MATCH($E77,科目参数!$M$6:$M$85,0)),"")))</f>
        <v/>
      </c>
      <c r="R77" s="48" t="str">
        <f aca="false">IF($B77="","",SUMIFS(期初数据!$B$6:$B$35,期初数据!$A$6:$A$35,$F77)+SUMIFS($N$5:$N77,$F$5:$F77,$F77,$D$5:$D77,"收入")-SUMIFS($N$5:$N77,$F$5:$F77,$F77,$D$5:$D77,"支出")-SUMIFS($N$5:$N77,$F$5:$F77,$F77,$D$5:$D77,"转账")+SUMIFS($N$5:$N77,$G$5:$G77,$F77,$D$5:$D77,"转账"))</f>
        <v/>
      </c>
      <c r="S77" s="49" t="str">
        <f aca="false">IF($E77="","",IFERROR(INDEX(科目参数!$N$6:$N$85,MATCH($E77,科目参数!$M$6:$M$85,0)),""))</f>
        <v/>
      </c>
      <c r="T77" s="49" t="str">
        <f aca="false">IF($F77="","",IFERROR(INDEX(基础资料!$C$6:$C$35,MATCH($F77,基础资料!$A$6:$A$35,0)),""))</f>
        <v/>
      </c>
      <c r="U77" s="49" t="str">
        <f aca="false">IF($G77="","",IFERROR(INDEX(基础资料!$C$6:$C$35,MATCH($G77,基础资料!$A$6:$A$35,0)),""))</f>
        <v/>
      </c>
      <c r="V77" s="49" t="str">
        <f aca="false">IF(AND($G77=客户对账单!$B$3,$E77="客户回款",$B77&gt;=客户对账单!$E$3,$B77&lt;=客户对账单!$H$3),COUNTIFS($G$5:$G77,客户对账单!$B$3,$E$5:$E77,"客户回款",$B$5:$B77,"&gt;="&amp;客户对账单!$E$3,$B$5:$B77,"&lt;="&amp;客户对账单!$H$3),"")</f>
        <v/>
      </c>
      <c r="W77" s="49" t="str">
        <f aca="false">IF(AND($G77=供应商对账单!$B$3,$E77="供应商付款",$B77&gt;=供应商对账单!$E$3,$B77&lt;=供应商对账单!$H$3),COUNTIFS($G$5:$G77,供应商对账单!$B$3,$E$5:$E77,"供应商付款",$B$5:$B77,"&gt;="&amp;供应商对账单!$E$3,$B$5:$B77,"&lt;="&amp;供应商对账单!$H$3),"")</f>
        <v/>
      </c>
    </row>
    <row r="78" customFormat="false" ht="15.75" hidden="false" customHeight="true" outlineLevel="0" collapsed="false">
      <c r="A78" s="42" t="str">
        <f aca="false">IF($B78="","","ZJ"&amp;TEXT($B78,"yyyymm")&amp;"-"&amp;TEXT(ROW()-4,"000"))</f>
        <v/>
      </c>
      <c r="B78" s="41"/>
      <c r="C78" s="42" t="str">
        <f aca="false">IF($B78="","",TEXT($B78,"yyyy-mm"))</f>
        <v/>
      </c>
      <c r="D78" s="42" t="str">
        <f aca="false">IF($E78="","",IFERROR(INDEX(科目参数!$L$6:$L$85,MATCH($E78,科目参数!$M$6:$M$85,0)),"⚠"))</f>
        <v/>
      </c>
      <c r="E78" s="33"/>
      <c r="F78" s="33"/>
      <c r="G78" s="36"/>
      <c r="H78" s="33"/>
      <c r="I78" s="33"/>
      <c r="J78" s="36"/>
      <c r="K78" s="40"/>
      <c r="L78" s="40"/>
      <c r="M78" s="47" t="str">
        <f aca="false">IF($B78="","",IF(NOT(ISNUMBER($B78)),"日期不是日期格式",IF(YEAR($B78)&lt;&gt;首页!$B$3,"不在会计年度",IF($E78="","未选收支科目",IF($D78="⚠","收支科目不存在",IF($F78="","未选账户",IF($T78="","账户未设资金科目",IF(AND($D78="转账",$U78=""),"转入账户无效",IF(AND(N($K78)&gt;0,N($L78)&gt;0),"收支不能同时填",IF(AND($D78="收入",N($K78)&lt;=0),"收入金额须大于0",IF(AND($D78&lt;&gt;"收入",N($L78)&lt;=0),"支出金额须大于0",IF($O78="","借方科目缺失",IF($P78="","贷方科目缺失","√")))))))))))))</f>
        <v/>
      </c>
      <c r="N78" s="48" t="str">
        <f aca="false">IF($B78="","",IF($D78="收入",N($K78),N($L78)))</f>
        <v/>
      </c>
      <c r="O78" s="49" t="str">
        <f aca="false">IF($B78="","",IF($D78="收入",$T78,IF($D78="转账",$U78,$S78)))</f>
        <v/>
      </c>
      <c r="P78" s="49" t="str">
        <f aca="false">IF($B78="","",IF($D78="收入",$S78,$T78))</f>
        <v/>
      </c>
      <c r="Q78" s="50" t="str">
        <f aca="false">IF($E78="","",IF($D78="转账","—",IFERROR(INDEX(科目参数!$P$6:$P$85,MATCH($E78,科目参数!$M$6:$M$85,0)),"")))</f>
        <v/>
      </c>
      <c r="R78" s="48" t="str">
        <f aca="false">IF($B78="","",SUMIFS(期初数据!$B$6:$B$35,期初数据!$A$6:$A$35,$F78)+SUMIFS($N$5:$N78,$F$5:$F78,$F78,$D$5:$D78,"收入")-SUMIFS($N$5:$N78,$F$5:$F78,$F78,$D$5:$D78,"支出")-SUMIFS($N$5:$N78,$F$5:$F78,$F78,$D$5:$D78,"转账")+SUMIFS($N$5:$N78,$G$5:$G78,$F78,$D$5:$D78,"转账"))</f>
        <v/>
      </c>
      <c r="S78" s="49" t="str">
        <f aca="false">IF($E78="","",IFERROR(INDEX(科目参数!$N$6:$N$85,MATCH($E78,科目参数!$M$6:$M$85,0)),""))</f>
        <v/>
      </c>
      <c r="T78" s="49" t="str">
        <f aca="false">IF($F78="","",IFERROR(INDEX(基础资料!$C$6:$C$35,MATCH($F78,基础资料!$A$6:$A$35,0)),""))</f>
        <v/>
      </c>
      <c r="U78" s="49" t="str">
        <f aca="false">IF($G78="","",IFERROR(INDEX(基础资料!$C$6:$C$35,MATCH($G78,基础资料!$A$6:$A$35,0)),""))</f>
        <v/>
      </c>
      <c r="V78" s="49" t="str">
        <f aca="false">IF(AND($G78=客户对账单!$B$3,$E78="客户回款",$B78&gt;=客户对账单!$E$3,$B78&lt;=客户对账单!$H$3),COUNTIFS($G$5:$G78,客户对账单!$B$3,$E$5:$E78,"客户回款",$B$5:$B78,"&gt;="&amp;客户对账单!$E$3,$B$5:$B78,"&lt;="&amp;客户对账单!$H$3),"")</f>
        <v/>
      </c>
      <c r="W78" s="49" t="str">
        <f aca="false">IF(AND($G78=供应商对账单!$B$3,$E78="供应商付款",$B78&gt;=供应商对账单!$E$3,$B78&lt;=供应商对账单!$H$3),COUNTIFS($G$5:$G78,供应商对账单!$B$3,$E$5:$E78,"供应商付款",$B$5:$B78,"&gt;="&amp;供应商对账单!$E$3,$B$5:$B78,"&lt;="&amp;供应商对账单!$H$3),"")</f>
        <v/>
      </c>
    </row>
    <row r="79" customFormat="false" ht="15.75" hidden="false" customHeight="true" outlineLevel="0" collapsed="false">
      <c r="A79" s="42" t="str">
        <f aca="false">IF($B79="","","ZJ"&amp;TEXT($B79,"yyyymm")&amp;"-"&amp;TEXT(ROW()-4,"000"))</f>
        <v/>
      </c>
      <c r="B79" s="41"/>
      <c r="C79" s="42" t="str">
        <f aca="false">IF($B79="","",TEXT($B79,"yyyy-mm"))</f>
        <v/>
      </c>
      <c r="D79" s="42" t="str">
        <f aca="false">IF($E79="","",IFERROR(INDEX(科目参数!$L$6:$L$85,MATCH($E79,科目参数!$M$6:$M$85,0)),"⚠"))</f>
        <v/>
      </c>
      <c r="E79" s="33"/>
      <c r="F79" s="33"/>
      <c r="G79" s="36"/>
      <c r="H79" s="33"/>
      <c r="I79" s="33"/>
      <c r="J79" s="36"/>
      <c r="K79" s="40"/>
      <c r="L79" s="40"/>
      <c r="M79" s="47" t="str">
        <f aca="false">IF($B79="","",IF(NOT(ISNUMBER($B79)),"日期不是日期格式",IF(YEAR($B79)&lt;&gt;首页!$B$3,"不在会计年度",IF($E79="","未选收支科目",IF($D79="⚠","收支科目不存在",IF($F79="","未选账户",IF($T79="","账户未设资金科目",IF(AND($D79="转账",$U79=""),"转入账户无效",IF(AND(N($K79)&gt;0,N($L79)&gt;0),"收支不能同时填",IF(AND($D79="收入",N($K79)&lt;=0),"收入金额须大于0",IF(AND($D79&lt;&gt;"收入",N($L79)&lt;=0),"支出金额须大于0",IF($O79="","借方科目缺失",IF($P79="","贷方科目缺失","√")))))))))))))</f>
        <v/>
      </c>
      <c r="N79" s="48" t="str">
        <f aca="false">IF($B79="","",IF($D79="收入",N($K79),N($L79)))</f>
        <v/>
      </c>
      <c r="O79" s="49" t="str">
        <f aca="false">IF($B79="","",IF($D79="收入",$T79,IF($D79="转账",$U79,$S79)))</f>
        <v/>
      </c>
      <c r="P79" s="49" t="str">
        <f aca="false">IF($B79="","",IF($D79="收入",$S79,$T79))</f>
        <v/>
      </c>
      <c r="Q79" s="50" t="str">
        <f aca="false">IF($E79="","",IF($D79="转账","—",IFERROR(INDEX(科目参数!$P$6:$P$85,MATCH($E79,科目参数!$M$6:$M$85,0)),"")))</f>
        <v/>
      </c>
      <c r="R79" s="48" t="str">
        <f aca="false">IF($B79="","",SUMIFS(期初数据!$B$6:$B$35,期初数据!$A$6:$A$35,$F79)+SUMIFS($N$5:$N79,$F$5:$F79,$F79,$D$5:$D79,"收入")-SUMIFS($N$5:$N79,$F$5:$F79,$F79,$D$5:$D79,"支出")-SUMIFS($N$5:$N79,$F$5:$F79,$F79,$D$5:$D79,"转账")+SUMIFS($N$5:$N79,$G$5:$G79,$F79,$D$5:$D79,"转账"))</f>
        <v/>
      </c>
      <c r="S79" s="49" t="str">
        <f aca="false">IF($E79="","",IFERROR(INDEX(科目参数!$N$6:$N$85,MATCH($E79,科目参数!$M$6:$M$85,0)),""))</f>
        <v/>
      </c>
      <c r="T79" s="49" t="str">
        <f aca="false">IF($F79="","",IFERROR(INDEX(基础资料!$C$6:$C$35,MATCH($F79,基础资料!$A$6:$A$35,0)),""))</f>
        <v/>
      </c>
      <c r="U79" s="49" t="str">
        <f aca="false">IF($G79="","",IFERROR(INDEX(基础资料!$C$6:$C$35,MATCH($G79,基础资料!$A$6:$A$35,0)),""))</f>
        <v/>
      </c>
      <c r="V79" s="49" t="str">
        <f aca="false">IF(AND($G79=客户对账单!$B$3,$E79="客户回款",$B79&gt;=客户对账单!$E$3,$B79&lt;=客户对账单!$H$3),COUNTIFS($G$5:$G79,客户对账单!$B$3,$E$5:$E79,"客户回款",$B$5:$B79,"&gt;="&amp;客户对账单!$E$3,$B$5:$B79,"&lt;="&amp;客户对账单!$H$3),"")</f>
        <v/>
      </c>
      <c r="W79" s="49" t="str">
        <f aca="false">IF(AND($G79=供应商对账单!$B$3,$E79="供应商付款",$B79&gt;=供应商对账单!$E$3,$B79&lt;=供应商对账单!$H$3),COUNTIFS($G$5:$G79,供应商对账单!$B$3,$E$5:$E79,"供应商付款",$B$5:$B79,"&gt;="&amp;供应商对账单!$E$3,$B$5:$B79,"&lt;="&amp;供应商对账单!$H$3),"")</f>
        <v/>
      </c>
    </row>
    <row r="80" customFormat="false" ht="15.75" hidden="false" customHeight="true" outlineLevel="0" collapsed="false">
      <c r="A80" s="42" t="str">
        <f aca="false">IF($B80="","","ZJ"&amp;TEXT($B80,"yyyymm")&amp;"-"&amp;TEXT(ROW()-4,"000"))</f>
        <v/>
      </c>
      <c r="B80" s="41"/>
      <c r="C80" s="42" t="str">
        <f aca="false">IF($B80="","",TEXT($B80,"yyyy-mm"))</f>
        <v/>
      </c>
      <c r="D80" s="42" t="str">
        <f aca="false">IF($E80="","",IFERROR(INDEX(科目参数!$L$6:$L$85,MATCH($E80,科目参数!$M$6:$M$85,0)),"⚠"))</f>
        <v/>
      </c>
      <c r="E80" s="33"/>
      <c r="F80" s="33"/>
      <c r="G80" s="36"/>
      <c r="H80" s="33"/>
      <c r="I80" s="33"/>
      <c r="J80" s="36"/>
      <c r="K80" s="40"/>
      <c r="L80" s="40"/>
      <c r="M80" s="47" t="str">
        <f aca="false">IF($B80="","",IF(NOT(ISNUMBER($B80)),"日期不是日期格式",IF(YEAR($B80)&lt;&gt;首页!$B$3,"不在会计年度",IF($E80="","未选收支科目",IF($D80="⚠","收支科目不存在",IF($F80="","未选账户",IF($T80="","账户未设资金科目",IF(AND($D80="转账",$U80=""),"转入账户无效",IF(AND(N($K80)&gt;0,N($L80)&gt;0),"收支不能同时填",IF(AND($D80="收入",N($K80)&lt;=0),"收入金额须大于0",IF(AND($D80&lt;&gt;"收入",N($L80)&lt;=0),"支出金额须大于0",IF($O80="","借方科目缺失",IF($P80="","贷方科目缺失","√")))))))))))))</f>
        <v/>
      </c>
      <c r="N80" s="48" t="str">
        <f aca="false">IF($B80="","",IF($D80="收入",N($K80),N($L80)))</f>
        <v/>
      </c>
      <c r="O80" s="49" t="str">
        <f aca="false">IF($B80="","",IF($D80="收入",$T80,IF($D80="转账",$U80,$S80)))</f>
        <v/>
      </c>
      <c r="P80" s="49" t="str">
        <f aca="false">IF($B80="","",IF($D80="收入",$S80,$T80))</f>
        <v/>
      </c>
      <c r="Q80" s="50" t="str">
        <f aca="false">IF($E80="","",IF($D80="转账","—",IFERROR(INDEX(科目参数!$P$6:$P$85,MATCH($E80,科目参数!$M$6:$M$85,0)),"")))</f>
        <v/>
      </c>
      <c r="R80" s="48" t="str">
        <f aca="false">IF($B80="","",SUMIFS(期初数据!$B$6:$B$35,期初数据!$A$6:$A$35,$F80)+SUMIFS($N$5:$N80,$F$5:$F80,$F80,$D$5:$D80,"收入")-SUMIFS($N$5:$N80,$F$5:$F80,$F80,$D$5:$D80,"支出")-SUMIFS($N$5:$N80,$F$5:$F80,$F80,$D$5:$D80,"转账")+SUMIFS($N$5:$N80,$G$5:$G80,$F80,$D$5:$D80,"转账"))</f>
        <v/>
      </c>
      <c r="S80" s="49" t="str">
        <f aca="false">IF($E80="","",IFERROR(INDEX(科目参数!$N$6:$N$85,MATCH($E80,科目参数!$M$6:$M$85,0)),""))</f>
        <v/>
      </c>
      <c r="T80" s="49" t="str">
        <f aca="false">IF($F80="","",IFERROR(INDEX(基础资料!$C$6:$C$35,MATCH($F80,基础资料!$A$6:$A$35,0)),""))</f>
        <v/>
      </c>
      <c r="U80" s="49" t="str">
        <f aca="false">IF($G80="","",IFERROR(INDEX(基础资料!$C$6:$C$35,MATCH($G80,基础资料!$A$6:$A$35,0)),""))</f>
        <v/>
      </c>
      <c r="V80" s="49" t="str">
        <f aca="false">IF(AND($G80=客户对账单!$B$3,$E80="客户回款",$B80&gt;=客户对账单!$E$3,$B80&lt;=客户对账单!$H$3),COUNTIFS($G$5:$G80,客户对账单!$B$3,$E$5:$E80,"客户回款",$B$5:$B80,"&gt;="&amp;客户对账单!$E$3,$B$5:$B80,"&lt;="&amp;客户对账单!$H$3),"")</f>
        <v/>
      </c>
      <c r="W80" s="49" t="str">
        <f aca="false">IF(AND($G80=供应商对账单!$B$3,$E80="供应商付款",$B80&gt;=供应商对账单!$E$3,$B80&lt;=供应商对账单!$H$3),COUNTIFS($G$5:$G80,供应商对账单!$B$3,$E$5:$E80,"供应商付款",$B$5:$B80,"&gt;="&amp;供应商对账单!$E$3,$B$5:$B80,"&lt;="&amp;供应商对账单!$H$3),"")</f>
        <v/>
      </c>
    </row>
    <row r="81" customFormat="false" ht="15.75" hidden="false" customHeight="true" outlineLevel="0" collapsed="false">
      <c r="A81" s="42" t="str">
        <f aca="false">IF($B81="","","ZJ"&amp;TEXT($B81,"yyyymm")&amp;"-"&amp;TEXT(ROW()-4,"000"))</f>
        <v/>
      </c>
      <c r="B81" s="41"/>
      <c r="C81" s="42" t="str">
        <f aca="false">IF($B81="","",TEXT($B81,"yyyy-mm"))</f>
        <v/>
      </c>
      <c r="D81" s="42" t="str">
        <f aca="false">IF($E81="","",IFERROR(INDEX(科目参数!$L$6:$L$85,MATCH($E81,科目参数!$M$6:$M$85,0)),"⚠"))</f>
        <v/>
      </c>
      <c r="E81" s="33"/>
      <c r="F81" s="33"/>
      <c r="G81" s="36"/>
      <c r="H81" s="33"/>
      <c r="I81" s="33"/>
      <c r="J81" s="36"/>
      <c r="K81" s="40"/>
      <c r="L81" s="40"/>
      <c r="M81" s="47" t="str">
        <f aca="false">IF($B81="","",IF(NOT(ISNUMBER($B81)),"日期不是日期格式",IF(YEAR($B81)&lt;&gt;首页!$B$3,"不在会计年度",IF($E81="","未选收支科目",IF($D81="⚠","收支科目不存在",IF($F81="","未选账户",IF($T81="","账户未设资金科目",IF(AND($D81="转账",$U81=""),"转入账户无效",IF(AND(N($K81)&gt;0,N($L81)&gt;0),"收支不能同时填",IF(AND($D81="收入",N($K81)&lt;=0),"收入金额须大于0",IF(AND($D81&lt;&gt;"收入",N($L81)&lt;=0),"支出金额须大于0",IF($O81="","借方科目缺失",IF($P81="","贷方科目缺失","√")))))))))))))</f>
        <v/>
      </c>
      <c r="N81" s="48" t="str">
        <f aca="false">IF($B81="","",IF($D81="收入",N($K81),N($L81)))</f>
        <v/>
      </c>
      <c r="O81" s="49" t="str">
        <f aca="false">IF($B81="","",IF($D81="收入",$T81,IF($D81="转账",$U81,$S81)))</f>
        <v/>
      </c>
      <c r="P81" s="49" t="str">
        <f aca="false">IF($B81="","",IF($D81="收入",$S81,$T81))</f>
        <v/>
      </c>
      <c r="Q81" s="50" t="str">
        <f aca="false">IF($E81="","",IF($D81="转账","—",IFERROR(INDEX(科目参数!$P$6:$P$85,MATCH($E81,科目参数!$M$6:$M$85,0)),"")))</f>
        <v/>
      </c>
      <c r="R81" s="48" t="str">
        <f aca="false">IF($B81="","",SUMIFS(期初数据!$B$6:$B$35,期初数据!$A$6:$A$35,$F81)+SUMIFS($N$5:$N81,$F$5:$F81,$F81,$D$5:$D81,"收入")-SUMIFS($N$5:$N81,$F$5:$F81,$F81,$D$5:$D81,"支出")-SUMIFS($N$5:$N81,$F$5:$F81,$F81,$D$5:$D81,"转账")+SUMIFS($N$5:$N81,$G$5:$G81,$F81,$D$5:$D81,"转账"))</f>
        <v/>
      </c>
      <c r="S81" s="49" t="str">
        <f aca="false">IF($E81="","",IFERROR(INDEX(科目参数!$N$6:$N$85,MATCH($E81,科目参数!$M$6:$M$85,0)),""))</f>
        <v/>
      </c>
      <c r="T81" s="49" t="str">
        <f aca="false">IF($F81="","",IFERROR(INDEX(基础资料!$C$6:$C$35,MATCH($F81,基础资料!$A$6:$A$35,0)),""))</f>
        <v/>
      </c>
      <c r="U81" s="49" t="str">
        <f aca="false">IF($G81="","",IFERROR(INDEX(基础资料!$C$6:$C$35,MATCH($G81,基础资料!$A$6:$A$35,0)),""))</f>
        <v/>
      </c>
      <c r="V81" s="49" t="str">
        <f aca="false">IF(AND($G81=客户对账单!$B$3,$E81="客户回款",$B81&gt;=客户对账单!$E$3,$B81&lt;=客户对账单!$H$3),COUNTIFS($G$5:$G81,客户对账单!$B$3,$E$5:$E81,"客户回款",$B$5:$B81,"&gt;="&amp;客户对账单!$E$3,$B$5:$B81,"&lt;="&amp;客户对账单!$H$3),"")</f>
        <v/>
      </c>
      <c r="W81" s="49" t="str">
        <f aca="false">IF(AND($G81=供应商对账单!$B$3,$E81="供应商付款",$B81&gt;=供应商对账单!$E$3,$B81&lt;=供应商对账单!$H$3),COUNTIFS($G$5:$G81,供应商对账单!$B$3,$E$5:$E81,"供应商付款",$B$5:$B81,"&gt;="&amp;供应商对账单!$E$3,$B$5:$B81,"&lt;="&amp;供应商对账单!$H$3),"")</f>
        <v/>
      </c>
    </row>
    <row r="82" customFormat="false" ht="15.75" hidden="false" customHeight="true" outlineLevel="0" collapsed="false">
      <c r="A82" s="42" t="str">
        <f aca="false">IF($B82="","","ZJ"&amp;TEXT($B82,"yyyymm")&amp;"-"&amp;TEXT(ROW()-4,"000"))</f>
        <v/>
      </c>
      <c r="B82" s="41"/>
      <c r="C82" s="42" t="str">
        <f aca="false">IF($B82="","",TEXT($B82,"yyyy-mm"))</f>
        <v/>
      </c>
      <c r="D82" s="42" t="str">
        <f aca="false">IF($E82="","",IFERROR(INDEX(科目参数!$L$6:$L$85,MATCH($E82,科目参数!$M$6:$M$85,0)),"⚠"))</f>
        <v/>
      </c>
      <c r="E82" s="33"/>
      <c r="F82" s="33"/>
      <c r="G82" s="36"/>
      <c r="H82" s="33"/>
      <c r="I82" s="33"/>
      <c r="J82" s="36"/>
      <c r="K82" s="40"/>
      <c r="L82" s="40"/>
      <c r="M82" s="47" t="str">
        <f aca="false">IF($B82="","",IF(NOT(ISNUMBER($B82)),"日期不是日期格式",IF(YEAR($B82)&lt;&gt;首页!$B$3,"不在会计年度",IF($E82="","未选收支科目",IF($D82="⚠","收支科目不存在",IF($F82="","未选账户",IF($T82="","账户未设资金科目",IF(AND($D82="转账",$U82=""),"转入账户无效",IF(AND(N($K82)&gt;0,N($L82)&gt;0),"收支不能同时填",IF(AND($D82="收入",N($K82)&lt;=0),"收入金额须大于0",IF(AND($D82&lt;&gt;"收入",N($L82)&lt;=0),"支出金额须大于0",IF($O82="","借方科目缺失",IF($P82="","贷方科目缺失","√")))))))))))))</f>
        <v/>
      </c>
      <c r="N82" s="48" t="str">
        <f aca="false">IF($B82="","",IF($D82="收入",N($K82),N($L82)))</f>
        <v/>
      </c>
      <c r="O82" s="49" t="str">
        <f aca="false">IF($B82="","",IF($D82="收入",$T82,IF($D82="转账",$U82,$S82)))</f>
        <v/>
      </c>
      <c r="P82" s="49" t="str">
        <f aca="false">IF($B82="","",IF($D82="收入",$S82,$T82))</f>
        <v/>
      </c>
      <c r="Q82" s="50" t="str">
        <f aca="false">IF($E82="","",IF($D82="转账","—",IFERROR(INDEX(科目参数!$P$6:$P$85,MATCH($E82,科目参数!$M$6:$M$85,0)),"")))</f>
        <v/>
      </c>
      <c r="R82" s="48" t="str">
        <f aca="false">IF($B82="","",SUMIFS(期初数据!$B$6:$B$35,期初数据!$A$6:$A$35,$F82)+SUMIFS($N$5:$N82,$F$5:$F82,$F82,$D$5:$D82,"收入")-SUMIFS($N$5:$N82,$F$5:$F82,$F82,$D$5:$D82,"支出")-SUMIFS($N$5:$N82,$F$5:$F82,$F82,$D$5:$D82,"转账")+SUMIFS($N$5:$N82,$G$5:$G82,$F82,$D$5:$D82,"转账"))</f>
        <v/>
      </c>
      <c r="S82" s="49" t="str">
        <f aca="false">IF($E82="","",IFERROR(INDEX(科目参数!$N$6:$N$85,MATCH($E82,科目参数!$M$6:$M$85,0)),""))</f>
        <v/>
      </c>
      <c r="T82" s="49" t="str">
        <f aca="false">IF($F82="","",IFERROR(INDEX(基础资料!$C$6:$C$35,MATCH($F82,基础资料!$A$6:$A$35,0)),""))</f>
        <v/>
      </c>
      <c r="U82" s="49" t="str">
        <f aca="false">IF($G82="","",IFERROR(INDEX(基础资料!$C$6:$C$35,MATCH($G82,基础资料!$A$6:$A$35,0)),""))</f>
        <v/>
      </c>
      <c r="V82" s="49" t="str">
        <f aca="false">IF(AND($G82=客户对账单!$B$3,$E82="客户回款",$B82&gt;=客户对账单!$E$3,$B82&lt;=客户对账单!$H$3),COUNTIFS($G$5:$G82,客户对账单!$B$3,$E$5:$E82,"客户回款",$B$5:$B82,"&gt;="&amp;客户对账单!$E$3,$B$5:$B82,"&lt;="&amp;客户对账单!$H$3),"")</f>
        <v/>
      </c>
      <c r="W82" s="49" t="str">
        <f aca="false">IF(AND($G82=供应商对账单!$B$3,$E82="供应商付款",$B82&gt;=供应商对账单!$E$3,$B82&lt;=供应商对账单!$H$3),COUNTIFS($G$5:$G82,供应商对账单!$B$3,$E$5:$E82,"供应商付款",$B$5:$B82,"&gt;="&amp;供应商对账单!$E$3,$B$5:$B82,"&lt;="&amp;供应商对账单!$H$3),"")</f>
        <v/>
      </c>
    </row>
    <row r="83" customFormat="false" ht="15.75" hidden="false" customHeight="true" outlineLevel="0" collapsed="false">
      <c r="A83" s="42" t="str">
        <f aca="false">IF($B83="","","ZJ"&amp;TEXT($B83,"yyyymm")&amp;"-"&amp;TEXT(ROW()-4,"000"))</f>
        <v/>
      </c>
      <c r="B83" s="41"/>
      <c r="C83" s="42" t="str">
        <f aca="false">IF($B83="","",TEXT($B83,"yyyy-mm"))</f>
        <v/>
      </c>
      <c r="D83" s="42" t="str">
        <f aca="false">IF($E83="","",IFERROR(INDEX(科目参数!$L$6:$L$85,MATCH($E83,科目参数!$M$6:$M$85,0)),"⚠"))</f>
        <v/>
      </c>
      <c r="E83" s="33"/>
      <c r="F83" s="33"/>
      <c r="G83" s="36"/>
      <c r="H83" s="33"/>
      <c r="I83" s="33"/>
      <c r="J83" s="36"/>
      <c r="K83" s="40"/>
      <c r="L83" s="40"/>
      <c r="M83" s="47" t="str">
        <f aca="false">IF($B83="","",IF(NOT(ISNUMBER($B83)),"日期不是日期格式",IF(YEAR($B83)&lt;&gt;首页!$B$3,"不在会计年度",IF($E83="","未选收支科目",IF($D83="⚠","收支科目不存在",IF($F83="","未选账户",IF($T83="","账户未设资金科目",IF(AND($D83="转账",$U83=""),"转入账户无效",IF(AND(N($K83)&gt;0,N($L83)&gt;0),"收支不能同时填",IF(AND($D83="收入",N($K83)&lt;=0),"收入金额须大于0",IF(AND($D83&lt;&gt;"收入",N($L83)&lt;=0),"支出金额须大于0",IF($O83="","借方科目缺失",IF($P83="","贷方科目缺失","√")))))))))))))</f>
        <v/>
      </c>
      <c r="N83" s="48" t="str">
        <f aca="false">IF($B83="","",IF($D83="收入",N($K83),N($L83)))</f>
        <v/>
      </c>
      <c r="O83" s="49" t="str">
        <f aca="false">IF($B83="","",IF($D83="收入",$T83,IF($D83="转账",$U83,$S83)))</f>
        <v/>
      </c>
      <c r="P83" s="49" t="str">
        <f aca="false">IF($B83="","",IF($D83="收入",$S83,$T83))</f>
        <v/>
      </c>
      <c r="Q83" s="50" t="str">
        <f aca="false">IF($E83="","",IF($D83="转账","—",IFERROR(INDEX(科目参数!$P$6:$P$85,MATCH($E83,科目参数!$M$6:$M$85,0)),"")))</f>
        <v/>
      </c>
      <c r="R83" s="48" t="str">
        <f aca="false">IF($B83="","",SUMIFS(期初数据!$B$6:$B$35,期初数据!$A$6:$A$35,$F83)+SUMIFS($N$5:$N83,$F$5:$F83,$F83,$D$5:$D83,"收入")-SUMIFS($N$5:$N83,$F$5:$F83,$F83,$D$5:$D83,"支出")-SUMIFS($N$5:$N83,$F$5:$F83,$F83,$D$5:$D83,"转账")+SUMIFS($N$5:$N83,$G$5:$G83,$F83,$D$5:$D83,"转账"))</f>
        <v/>
      </c>
      <c r="S83" s="49" t="str">
        <f aca="false">IF($E83="","",IFERROR(INDEX(科目参数!$N$6:$N$85,MATCH($E83,科目参数!$M$6:$M$85,0)),""))</f>
        <v/>
      </c>
      <c r="T83" s="49" t="str">
        <f aca="false">IF($F83="","",IFERROR(INDEX(基础资料!$C$6:$C$35,MATCH($F83,基础资料!$A$6:$A$35,0)),""))</f>
        <v/>
      </c>
      <c r="U83" s="49" t="str">
        <f aca="false">IF($G83="","",IFERROR(INDEX(基础资料!$C$6:$C$35,MATCH($G83,基础资料!$A$6:$A$35,0)),""))</f>
        <v/>
      </c>
      <c r="V83" s="49" t="str">
        <f aca="false">IF(AND($G83=客户对账单!$B$3,$E83="客户回款",$B83&gt;=客户对账单!$E$3,$B83&lt;=客户对账单!$H$3),COUNTIFS($G$5:$G83,客户对账单!$B$3,$E$5:$E83,"客户回款",$B$5:$B83,"&gt;="&amp;客户对账单!$E$3,$B$5:$B83,"&lt;="&amp;客户对账单!$H$3),"")</f>
        <v/>
      </c>
      <c r="W83" s="49" t="str">
        <f aca="false">IF(AND($G83=供应商对账单!$B$3,$E83="供应商付款",$B83&gt;=供应商对账单!$E$3,$B83&lt;=供应商对账单!$H$3),COUNTIFS($G$5:$G83,供应商对账单!$B$3,$E$5:$E83,"供应商付款",$B$5:$B83,"&gt;="&amp;供应商对账单!$E$3,$B$5:$B83,"&lt;="&amp;供应商对账单!$H$3),"")</f>
        <v/>
      </c>
    </row>
    <row r="84" customFormat="false" ht="15.75" hidden="false" customHeight="true" outlineLevel="0" collapsed="false">
      <c r="A84" s="42" t="str">
        <f aca="false">IF($B84="","","ZJ"&amp;TEXT($B84,"yyyymm")&amp;"-"&amp;TEXT(ROW()-4,"000"))</f>
        <v/>
      </c>
      <c r="B84" s="41"/>
      <c r="C84" s="42" t="str">
        <f aca="false">IF($B84="","",TEXT($B84,"yyyy-mm"))</f>
        <v/>
      </c>
      <c r="D84" s="42" t="str">
        <f aca="false">IF($E84="","",IFERROR(INDEX(科目参数!$L$6:$L$85,MATCH($E84,科目参数!$M$6:$M$85,0)),"⚠"))</f>
        <v/>
      </c>
      <c r="E84" s="33"/>
      <c r="F84" s="33"/>
      <c r="G84" s="36"/>
      <c r="H84" s="33"/>
      <c r="I84" s="33"/>
      <c r="J84" s="36"/>
      <c r="K84" s="40"/>
      <c r="L84" s="40"/>
      <c r="M84" s="47" t="str">
        <f aca="false">IF($B84="","",IF(NOT(ISNUMBER($B84)),"日期不是日期格式",IF(YEAR($B84)&lt;&gt;首页!$B$3,"不在会计年度",IF($E84="","未选收支科目",IF($D84="⚠","收支科目不存在",IF($F84="","未选账户",IF($T84="","账户未设资金科目",IF(AND($D84="转账",$U84=""),"转入账户无效",IF(AND(N($K84)&gt;0,N($L84)&gt;0),"收支不能同时填",IF(AND($D84="收入",N($K84)&lt;=0),"收入金额须大于0",IF(AND($D84&lt;&gt;"收入",N($L84)&lt;=0),"支出金额须大于0",IF($O84="","借方科目缺失",IF($P84="","贷方科目缺失","√")))))))))))))</f>
        <v/>
      </c>
      <c r="N84" s="48" t="str">
        <f aca="false">IF($B84="","",IF($D84="收入",N($K84),N($L84)))</f>
        <v/>
      </c>
      <c r="O84" s="49" t="str">
        <f aca="false">IF($B84="","",IF($D84="收入",$T84,IF($D84="转账",$U84,$S84)))</f>
        <v/>
      </c>
      <c r="P84" s="49" t="str">
        <f aca="false">IF($B84="","",IF($D84="收入",$S84,$T84))</f>
        <v/>
      </c>
      <c r="Q84" s="50" t="str">
        <f aca="false">IF($E84="","",IF($D84="转账","—",IFERROR(INDEX(科目参数!$P$6:$P$85,MATCH($E84,科目参数!$M$6:$M$85,0)),"")))</f>
        <v/>
      </c>
      <c r="R84" s="48" t="str">
        <f aca="false">IF($B84="","",SUMIFS(期初数据!$B$6:$B$35,期初数据!$A$6:$A$35,$F84)+SUMIFS($N$5:$N84,$F$5:$F84,$F84,$D$5:$D84,"收入")-SUMIFS($N$5:$N84,$F$5:$F84,$F84,$D$5:$D84,"支出")-SUMIFS($N$5:$N84,$F$5:$F84,$F84,$D$5:$D84,"转账")+SUMIFS($N$5:$N84,$G$5:$G84,$F84,$D$5:$D84,"转账"))</f>
        <v/>
      </c>
      <c r="S84" s="49" t="str">
        <f aca="false">IF($E84="","",IFERROR(INDEX(科目参数!$N$6:$N$85,MATCH($E84,科目参数!$M$6:$M$85,0)),""))</f>
        <v/>
      </c>
      <c r="T84" s="49" t="str">
        <f aca="false">IF($F84="","",IFERROR(INDEX(基础资料!$C$6:$C$35,MATCH($F84,基础资料!$A$6:$A$35,0)),""))</f>
        <v/>
      </c>
      <c r="U84" s="49" t="str">
        <f aca="false">IF($G84="","",IFERROR(INDEX(基础资料!$C$6:$C$35,MATCH($G84,基础资料!$A$6:$A$35,0)),""))</f>
        <v/>
      </c>
      <c r="V84" s="49" t="str">
        <f aca="false">IF(AND($G84=客户对账单!$B$3,$E84="客户回款",$B84&gt;=客户对账单!$E$3,$B84&lt;=客户对账单!$H$3),COUNTIFS($G$5:$G84,客户对账单!$B$3,$E$5:$E84,"客户回款",$B$5:$B84,"&gt;="&amp;客户对账单!$E$3,$B$5:$B84,"&lt;="&amp;客户对账单!$H$3),"")</f>
        <v/>
      </c>
      <c r="W84" s="49" t="str">
        <f aca="false">IF(AND($G84=供应商对账单!$B$3,$E84="供应商付款",$B84&gt;=供应商对账单!$E$3,$B84&lt;=供应商对账单!$H$3),COUNTIFS($G$5:$G84,供应商对账单!$B$3,$E$5:$E84,"供应商付款",$B$5:$B84,"&gt;="&amp;供应商对账单!$E$3,$B$5:$B84,"&lt;="&amp;供应商对账单!$H$3),"")</f>
        <v/>
      </c>
    </row>
    <row r="85" customFormat="false" ht="15.75" hidden="false" customHeight="true" outlineLevel="0" collapsed="false">
      <c r="A85" s="42" t="str">
        <f aca="false">IF($B85="","","ZJ"&amp;TEXT($B85,"yyyymm")&amp;"-"&amp;TEXT(ROW()-4,"000"))</f>
        <v/>
      </c>
      <c r="B85" s="41"/>
      <c r="C85" s="42" t="str">
        <f aca="false">IF($B85="","",TEXT($B85,"yyyy-mm"))</f>
        <v/>
      </c>
      <c r="D85" s="42" t="str">
        <f aca="false">IF($E85="","",IFERROR(INDEX(科目参数!$L$6:$L$85,MATCH($E85,科目参数!$M$6:$M$85,0)),"⚠"))</f>
        <v/>
      </c>
      <c r="E85" s="33"/>
      <c r="F85" s="33"/>
      <c r="G85" s="36"/>
      <c r="H85" s="33"/>
      <c r="I85" s="33"/>
      <c r="J85" s="36"/>
      <c r="K85" s="40"/>
      <c r="L85" s="40"/>
      <c r="M85" s="47" t="str">
        <f aca="false">IF($B85="","",IF(NOT(ISNUMBER($B85)),"日期不是日期格式",IF(YEAR($B85)&lt;&gt;首页!$B$3,"不在会计年度",IF($E85="","未选收支科目",IF($D85="⚠","收支科目不存在",IF($F85="","未选账户",IF($T85="","账户未设资金科目",IF(AND($D85="转账",$U85=""),"转入账户无效",IF(AND(N($K85)&gt;0,N($L85)&gt;0),"收支不能同时填",IF(AND($D85="收入",N($K85)&lt;=0),"收入金额须大于0",IF(AND($D85&lt;&gt;"收入",N($L85)&lt;=0),"支出金额须大于0",IF($O85="","借方科目缺失",IF($P85="","贷方科目缺失","√")))))))))))))</f>
        <v/>
      </c>
      <c r="N85" s="48" t="str">
        <f aca="false">IF($B85="","",IF($D85="收入",N($K85),N($L85)))</f>
        <v/>
      </c>
      <c r="O85" s="49" t="str">
        <f aca="false">IF($B85="","",IF($D85="收入",$T85,IF($D85="转账",$U85,$S85)))</f>
        <v/>
      </c>
      <c r="P85" s="49" t="str">
        <f aca="false">IF($B85="","",IF($D85="收入",$S85,$T85))</f>
        <v/>
      </c>
      <c r="Q85" s="50" t="str">
        <f aca="false">IF($E85="","",IF($D85="转账","—",IFERROR(INDEX(科目参数!$P$6:$P$85,MATCH($E85,科目参数!$M$6:$M$85,0)),"")))</f>
        <v/>
      </c>
      <c r="R85" s="48" t="str">
        <f aca="false">IF($B85="","",SUMIFS(期初数据!$B$6:$B$35,期初数据!$A$6:$A$35,$F85)+SUMIFS($N$5:$N85,$F$5:$F85,$F85,$D$5:$D85,"收入")-SUMIFS($N$5:$N85,$F$5:$F85,$F85,$D$5:$D85,"支出")-SUMIFS($N$5:$N85,$F$5:$F85,$F85,$D$5:$D85,"转账")+SUMIFS($N$5:$N85,$G$5:$G85,$F85,$D$5:$D85,"转账"))</f>
        <v/>
      </c>
      <c r="S85" s="49" t="str">
        <f aca="false">IF($E85="","",IFERROR(INDEX(科目参数!$N$6:$N$85,MATCH($E85,科目参数!$M$6:$M$85,0)),""))</f>
        <v/>
      </c>
      <c r="T85" s="49" t="str">
        <f aca="false">IF($F85="","",IFERROR(INDEX(基础资料!$C$6:$C$35,MATCH($F85,基础资料!$A$6:$A$35,0)),""))</f>
        <v/>
      </c>
      <c r="U85" s="49" t="str">
        <f aca="false">IF($G85="","",IFERROR(INDEX(基础资料!$C$6:$C$35,MATCH($G85,基础资料!$A$6:$A$35,0)),""))</f>
        <v/>
      </c>
      <c r="V85" s="49" t="str">
        <f aca="false">IF(AND($G85=客户对账单!$B$3,$E85="客户回款",$B85&gt;=客户对账单!$E$3,$B85&lt;=客户对账单!$H$3),COUNTIFS($G$5:$G85,客户对账单!$B$3,$E$5:$E85,"客户回款",$B$5:$B85,"&gt;="&amp;客户对账单!$E$3,$B$5:$B85,"&lt;="&amp;客户对账单!$H$3),"")</f>
        <v/>
      </c>
      <c r="W85" s="49" t="str">
        <f aca="false">IF(AND($G85=供应商对账单!$B$3,$E85="供应商付款",$B85&gt;=供应商对账单!$E$3,$B85&lt;=供应商对账单!$H$3),COUNTIFS($G$5:$G85,供应商对账单!$B$3,$E$5:$E85,"供应商付款",$B$5:$B85,"&gt;="&amp;供应商对账单!$E$3,$B$5:$B85,"&lt;="&amp;供应商对账单!$H$3),"")</f>
        <v/>
      </c>
    </row>
    <row r="86" customFormat="false" ht="15.75" hidden="false" customHeight="true" outlineLevel="0" collapsed="false">
      <c r="A86" s="42" t="str">
        <f aca="false">IF($B86="","","ZJ"&amp;TEXT($B86,"yyyymm")&amp;"-"&amp;TEXT(ROW()-4,"000"))</f>
        <v/>
      </c>
      <c r="B86" s="41"/>
      <c r="C86" s="42" t="str">
        <f aca="false">IF($B86="","",TEXT($B86,"yyyy-mm"))</f>
        <v/>
      </c>
      <c r="D86" s="42" t="str">
        <f aca="false">IF($E86="","",IFERROR(INDEX(科目参数!$L$6:$L$85,MATCH($E86,科目参数!$M$6:$M$85,0)),"⚠"))</f>
        <v/>
      </c>
      <c r="E86" s="33"/>
      <c r="F86" s="33"/>
      <c r="G86" s="36"/>
      <c r="H86" s="33"/>
      <c r="I86" s="33"/>
      <c r="J86" s="36"/>
      <c r="K86" s="40"/>
      <c r="L86" s="40"/>
      <c r="M86" s="47" t="str">
        <f aca="false">IF($B86="","",IF(NOT(ISNUMBER($B86)),"日期不是日期格式",IF(YEAR($B86)&lt;&gt;首页!$B$3,"不在会计年度",IF($E86="","未选收支科目",IF($D86="⚠","收支科目不存在",IF($F86="","未选账户",IF($T86="","账户未设资金科目",IF(AND($D86="转账",$U86=""),"转入账户无效",IF(AND(N($K86)&gt;0,N($L86)&gt;0),"收支不能同时填",IF(AND($D86="收入",N($K86)&lt;=0),"收入金额须大于0",IF(AND($D86&lt;&gt;"收入",N($L86)&lt;=0),"支出金额须大于0",IF($O86="","借方科目缺失",IF($P86="","贷方科目缺失","√")))))))))))))</f>
        <v/>
      </c>
      <c r="N86" s="48" t="str">
        <f aca="false">IF($B86="","",IF($D86="收入",N($K86),N($L86)))</f>
        <v/>
      </c>
      <c r="O86" s="49" t="str">
        <f aca="false">IF($B86="","",IF($D86="收入",$T86,IF($D86="转账",$U86,$S86)))</f>
        <v/>
      </c>
      <c r="P86" s="49" t="str">
        <f aca="false">IF($B86="","",IF($D86="收入",$S86,$T86))</f>
        <v/>
      </c>
      <c r="Q86" s="50" t="str">
        <f aca="false">IF($E86="","",IF($D86="转账","—",IFERROR(INDEX(科目参数!$P$6:$P$85,MATCH($E86,科目参数!$M$6:$M$85,0)),"")))</f>
        <v/>
      </c>
      <c r="R86" s="48" t="str">
        <f aca="false">IF($B86="","",SUMIFS(期初数据!$B$6:$B$35,期初数据!$A$6:$A$35,$F86)+SUMIFS($N$5:$N86,$F$5:$F86,$F86,$D$5:$D86,"收入")-SUMIFS($N$5:$N86,$F$5:$F86,$F86,$D$5:$D86,"支出")-SUMIFS($N$5:$N86,$F$5:$F86,$F86,$D$5:$D86,"转账")+SUMIFS($N$5:$N86,$G$5:$G86,$F86,$D$5:$D86,"转账"))</f>
        <v/>
      </c>
      <c r="S86" s="49" t="str">
        <f aca="false">IF($E86="","",IFERROR(INDEX(科目参数!$N$6:$N$85,MATCH($E86,科目参数!$M$6:$M$85,0)),""))</f>
        <v/>
      </c>
      <c r="T86" s="49" t="str">
        <f aca="false">IF($F86="","",IFERROR(INDEX(基础资料!$C$6:$C$35,MATCH($F86,基础资料!$A$6:$A$35,0)),""))</f>
        <v/>
      </c>
      <c r="U86" s="49" t="str">
        <f aca="false">IF($G86="","",IFERROR(INDEX(基础资料!$C$6:$C$35,MATCH($G86,基础资料!$A$6:$A$35,0)),""))</f>
        <v/>
      </c>
      <c r="V86" s="49" t="str">
        <f aca="false">IF(AND($G86=客户对账单!$B$3,$E86="客户回款",$B86&gt;=客户对账单!$E$3,$B86&lt;=客户对账单!$H$3),COUNTIFS($G$5:$G86,客户对账单!$B$3,$E$5:$E86,"客户回款",$B$5:$B86,"&gt;="&amp;客户对账单!$E$3,$B$5:$B86,"&lt;="&amp;客户对账单!$H$3),"")</f>
        <v/>
      </c>
      <c r="W86" s="49" t="str">
        <f aca="false">IF(AND($G86=供应商对账单!$B$3,$E86="供应商付款",$B86&gt;=供应商对账单!$E$3,$B86&lt;=供应商对账单!$H$3),COUNTIFS($G$5:$G86,供应商对账单!$B$3,$E$5:$E86,"供应商付款",$B$5:$B86,"&gt;="&amp;供应商对账单!$E$3,$B$5:$B86,"&lt;="&amp;供应商对账单!$H$3),"")</f>
        <v/>
      </c>
    </row>
    <row r="87" customFormat="false" ht="15.75" hidden="false" customHeight="true" outlineLevel="0" collapsed="false">
      <c r="A87" s="42" t="str">
        <f aca="false">IF($B87="","","ZJ"&amp;TEXT($B87,"yyyymm")&amp;"-"&amp;TEXT(ROW()-4,"000"))</f>
        <v/>
      </c>
      <c r="B87" s="41"/>
      <c r="C87" s="42" t="str">
        <f aca="false">IF($B87="","",TEXT($B87,"yyyy-mm"))</f>
        <v/>
      </c>
      <c r="D87" s="42" t="str">
        <f aca="false">IF($E87="","",IFERROR(INDEX(科目参数!$L$6:$L$85,MATCH($E87,科目参数!$M$6:$M$85,0)),"⚠"))</f>
        <v/>
      </c>
      <c r="E87" s="33"/>
      <c r="F87" s="33"/>
      <c r="G87" s="36"/>
      <c r="H87" s="33"/>
      <c r="I87" s="33"/>
      <c r="J87" s="36"/>
      <c r="K87" s="40"/>
      <c r="L87" s="40"/>
      <c r="M87" s="47" t="str">
        <f aca="false">IF($B87="","",IF(NOT(ISNUMBER($B87)),"日期不是日期格式",IF(YEAR($B87)&lt;&gt;首页!$B$3,"不在会计年度",IF($E87="","未选收支科目",IF($D87="⚠","收支科目不存在",IF($F87="","未选账户",IF($T87="","账户未设资金科目",IF(AND($D87="转账",$U87=""),"转入账户无效",IF(AND(N($K87)&gt;0,N($L87)&gt;0),"收支不能同时填",IF(AND($D87="收入",N($K87)&lt;=0),"收入金额须大于0",IF(AND($D87&lt;&gt;"收入",N($L87)&lt;=0),"支出金额须大于0",IF($O87="","借方科目缺失",IF($P87="","贷方科目缺失","√")))))))))))))</f>
        <v/>
      </c>
      <c r="N87" s="48" t="str">
        <f aca="false">IF($B87="","",IF($D87="收入",N($K87),N($L87)))</f>
        <v/>
      </c>
      <c r="O87" s="49" t="str">
        <f aca="false">IF($B87="","",IF($D87="收入",$T87,IF($D87="转账",$U87,$S87)))</f>
        <v/>
      </c>
      <c r="P87" s="49" t="str">
        <f aca="false">IF($B87="","",IF($D87="收入",$S87,$T87))</f>
        <v/>
      </c>
      <c r="Q87" s="50" t="str">
        <f aca="false">IF($E87="","",IF($D87="转账","—",IFERROR(INDEX(科目参数!$P$6:$P$85,MATCH($E87,科目参数!$M$6:$M$85,0)),"")))</f>
        <v/>
      </c>
      <c r="R87" s="48" t="str">
        <f aca="false">IF($B87="","",SUMIFS(期初数据!$B$6:$B$35,期初数据!$A$6:$A$35,$F87)+SUMIFS($N$5:$N87,$F$5:$F87,$F87,$D$5:$D87,"收入")-SUMIFS($N$5:$N87,$F$5:$F87,$F87,$D$5:$D87,"支出")-SUMIFS($N$5:$N87,$F$5:$F87,$F87,$D$5:$D87,"转账")+SUMIFS($N$5:$N87,$G$5:$G87,$F87,$D$5:$D87,"转账"))</f>
        <v/>
      </c>
      <c r="S87" s="49" t="str">
        <f aca="false">IF($E87="","",IFERROR(INDEX(科目参数!$N$6:$N$85,MATCH($E87,科目参数!$M$6:$M$85,0)),""))</f>
        <v/>
      </c>
      <c r="T87" s="49" t="str">
        <f aca="false">IF($F87="","",IFERROR(INDEX(基础资料!$C$6:$C$35,MATCH($F87,基础资料!$A$6:$A$35,0)),""))</f>
        <v/>
      </c>
      <c r="U87" s="49" t="str">
        <f aca="false">IF($G87="","",IFERROR(INDEX(基础资料!$C$6:$C$35,MATCH($G87,基础资料!$A$6:$A$35,0)),""))</f>
        <v/>
      </c>
      <c r="V87" s="49" t="str">
        <f aca="false">IF(AND($G87=客户对账单!$B$3,$E87="客户回款",$B87&gt;=客户对账单!$E$3,$B87&lt;=客户对账单!$H$3),COUNTIFS($G$5:$G87,客户对账单!$B$3,$E$5:$E87,"客户回款",$B$5:$B87,"&gt;="&amp;客户对账单!$E$3,$B$5:$B87,"&lt;="&amp;客户对账单!$H$3),"")</f>
        <v/>
      </c>
      <c r="W87" s="49" t="str">
        <f aca="false">IF(AND($G87=供应商对账单!$B$3,$E87="供应商付款",$B87&gt;=供应商对账单!$E$3,$B87&lt;=供应商对账单!$H$3),COUNTIFS($G$5:$G87,供应商对账单!$B$3,$E$5:$E87,"供应商付款",$B$5:$B87,"&gt;="&amp;供应商对账单!$E$3,$B$5:$B87,"&lt;="&amp;供应商对账单!$H$3),"")</f>
        <v/>
      </c>
    </row>
    <row r="88" customFormat="false" ht="15.75" hidden="false" customHeight="true" outlineLevel="0" collapsed="false">
      <c r="A88" s="42" t="str">
        <f aca="false">IF($B88="","","ZJ"&amp;TEXT($B88,"yyyymm")&amp;"-"&amp;TEXT(ROW()-4,"000"))</f>
        <v/>
      </c>
      <c r="B88" s="41"/>
      <c r="C88" s="42" t="str">
        <f aca="false">IF($B88="","",TEXT($B88,"yyyy-mm"))</f>
        <v/>
      </c>
      <c r="D88" s="42" t="str">
        <f aca="false">IF($E88="","",IFERROR(INDEX(科目参数!$L$6:$L$85,MATCH($E88,科目参数!$M$6:$M$85,0)),"⚠"))</f>
        <v/>
      </c>
      <c r="E88" s="33"/>
      <c r="F88" s="33"/>
      <c r="G88" s="36"/>
      <c r="H88" s="33"/>
      <c r="I88" s="33"/>
      <c r="J88" s="36"/>
      <c r="K88" s="40"/>
      <c r="L88" s="40"/>
      <c r="M88" s="47" t="str">
        <f aca="false">IF($B88="","",IF(NOT(ISNUMBER($B88)),"日期不是日期格式",IF(YEAR($B88)&lt;&gt;首页!$B$3,"不在会计年度",IF($E88="","未选收支科目",IF($D88="⚠","收支科目不存在",IF($F88="","未选账户",IF($T88="","账户未设资金科目",IF(AND($D88="转账",$U88=""),"转入账户无效",IF(AND(N($K88)&gt;0,N($L88)&gt;0),"收支不能同时填",IF(AND($D88="收入",N($K88)&lt;=0),"收入金额须大于0",IF(AND($D88&lt;&gt;"收入",N($L88)&lt;=0),"支出金额须大于0",IF($O88="","借方科目缺失",IF($P88="","贷方科目缺失","√")))))))))))))</f>
        <v/>
      </c>
      <c r="N88" s="48" t="str">
        <f aca="false">IF($B88="","",IF($D88="收入",N($K88),N($L88)))</f>
        <v/>
      </c>
      <c r="O88" s="49" t="str">
        <f aca="false">IF($B88="","",IF($D88="收入",$T88,IF($D88="转账",$U88,$S88)))</f>
        <v/>
      </c>
      <c r="P88" s="49" t="str">
        <f aca="false">IF($B88="","",IF($D88="收入",$S88,$T88))</f>
        <v/>
      </c>
      <c r="Q88" s="50" t="str">
        <f aca="false">IF($E88="","",IF($D88="转账","—",IFERROR(INDEX(科目参数!$P$6:$P$85,MATCH($E88,科目参数!$M$6:$M$85,0)),"")))</f>
        <v/>
      </c>
      <c r="R88" s="48" t="str">
        <f aca="false">IF($B88="","",SUMIFS(期初数据!$B$6:$B$35,期初数据!$A$6:$A$35,$F88)+SUMIFS($N$5:$N88,$F$5:$F88,$F88,$D$5:$D88,"收入")-SUMIFS($N$5:$N88,$F$5:$F88,$F88,$D$5:$D88,"支出")-SUMIFS($N$5:$N88,$F$5:$F88,$F88,$D$5:$D88,"转账")+SUMIFS($N$5:$N88,$G$5:$G88,$F88,$D$5:$D88,"转账"))</f>
        <v/>
      </c>
      <c r="S88" s="49" t="str">
        <f aca="false">IF($E88="","",IFERROR(INDEX(科目参数!$N$6:$N$85,MATCH($E88,科目参数!$M$6:$M$85,0)),""))</f>
        <v/>
      </c>
      <c r="T88" s="49" t="str">
        <f aca="false">IF($F88="","",IFERROR(INDEX(基础资料!$C$6:$C$35,MATCH($F88,基础资料!$A$6:$A$35,0)),""))</f>
        <v/>
      </c>
      <c r="U88" s="49" t="str">
        <f aca="false">IF($G88="","",IFERROR(INDEX(基础资料!$C$6:$C$35,MATCH($G88,基础资料!$A$6:$A$35,0)),""))</f>
        <v/>
      </c>
      <c r="V88" s="49" t="str">
        <f aca="false">IF(AND($G88=客户对账单!$B$3,$E88="客户回款",$B88&gt;=客户对账单!$E$3,$B88&lt;=客户对账单!$H$3),COUNTIFS($G$5:$G88,客户对账单!$B$3,$E$5:$E88,"客户回款",$B$5:$B88,"&gt;="&amp;客户对账单!$E$3,$B$5:$B88,"&lt;="&amp;客户对账单!$H$3),"")</f>
        <v/>
      </c>
      <c r="W88" s="49" t="str">
        <f aca="false">IF(AND($G88=供应商对账单!$B$3,$E88="供应商付款",$B88&gt;=供应商对账单!$E$3,$B88&lt;=供应商对账单!$H$3),COUNTIFS($G$5:$G88,供应商对账单!$B$3,$E$5:$E88,"供应商付款",$B$5:$B88,"&gt;="&amp;供应商对账单!$E$3,$B$5:$B88,"&lt;="&amp;供应商对账单!$H$3),"")</f>
        <v/>
      </c>
    </row>
    <row r="89" customFormat="false" ht="15.75" hidden="false" customHeight="true" outlineLevel="0" collapsed="false">
      <c r="A89" s="42" t="str">
        <f aca="false">IF($B89="","","ZJ"&amp;TEXT($B89,"yyyymm")&amp;"-"&amp;TEXT(ROW()-4,"000"))</f>
        <v/>
      </c>
      <c r="B89" s="41"/>
      <c r="C89" s="42" t="str">
        <f aca="false">IF($B89="","",TEXT($B89,"yyyy-mm"))</f>
        <v/>
      </c>
      <c r="D89" s="42" t="str">
        <f aca="false">IF($E89="","",IFERROR(INDEX(科目参数!$L$6:$L$85,MATCH($E89,科目参数!$M$6:$M$85,0)),"⚠"))</f>
        <v/>
      </c>
      <c r="E89" s="33"/>
      <c r="F89" s="33"/>
      <c r="G89" s="36"/>
      <c r="H89" s="33"/>
      <c r="I89" s="33"/>
      <c r="J89" s="36"/>
      <c r="K89" s="40"/>
      <c r="L89" s="40"/>
      <c r="M89" s="47" t="str">
        <f aca="false">IF($B89="","",IF(NOT(ISNUMBER($B89)),"日期不是日期格式",IF(YEAR($B89)&lt;&gt;首页!$B$3,"不在会计年度",IF($E89="","未选收支科目",IF($D89="⚠","收支科目不存在",IF($F89="","未选账户",IF($T89="","账户未设资金科目",IF(AND($D89="转账",$U89=""),"转入账户无效",IF(AND(N($K89)&gt;0,N($L89)&gt;0),"收支不能同时填",IF(AND($D89="收入",N($K89)&lt;=0),"收入金额须大于0",IF(AND($D89&lt;&gt;"收入",N($L89)&lt;=0),"支出金额须大于0",IF($O89="","借方科目缺失",IF($P89="","贷方科目缺失","√")))))))))))))</f>
        <v/>
      </c>
      <c r="N89" s="48" t="str">
        <f aca="false">IF($B89="","",IF($D89="收入",N($K89),N($L89)))</f>
        <v/>
      </c>
      <c r="O89" s="49" t="str">
        <f aca="false">IF($B89="","",IF($D89="收入",$T89,IF($D89="转账",$U89,$S89)))</f>
        <v/>
      </c>
      <c r="P89" s="49" t="str">
        <f aca="false">IF($B89="","",IF($D89="收入",$S89,$T89))</f>
        <v/>
      </c>
      <c r="Q89" s="50" t="str">
        <f aca="false">IF($E89="","",IF($D89="转账","—",IFERROR(INDEX(科目参数!$P$6:$P$85,MATCH($E89,科目参数!$M$6:$M$85,0)),"")))</f>
        <v/>
      </c>
      <c r="R89" s="48" t="str">
        <f aca="false">IF($B89="","",SUMIFS(期初数据!$B$6:$B$35,期初数据!$A$6:$A$35,$F89)+SUMIFS($N$5:$N89,$F$5:$F89,$F89,$D$5:$D89,"收入")-SUMIFS($N$5:$N89,$F$5:$F89,$F89,$D$5:$D89,"支出")-SUMIFS($N$5:$N89,$F$5:$F89,$F89,$D$5:$D89,"转账")+SUMIFS($N$5:$N89,$G$5:$G89,$F89,$D$5:$D89,"转账"))</f>
        <v/>
      </c>
      <c r="S89" s="49" t="str">
        <f aca="false">IF($E89="","",IFERROR(INDEX(科目参数!$N$6:$N$85,MATCH($E89,科目参数!$M$6:$M$85,0)),""))</f>
        <v/>
      </c>
      <c r="T89" s="49" t="str">
        <f aca="false">IF($F89="","",IFERROR(INDEX(基础资料!$C$6:$C$35,MATCH($F89,基础资料!$A$6:$A$35,0)),""))</f>
        <v/>
      </c>
      <c r="U89" s="49" t="str">
        <f aca="false">IF($G89="","",IFERROR(INDEX(基础资料!$C$6:$C$35,MATCH($G89,基础资料!$A$6:$A$35,0)),""))</f>
        <v/>
      </c>
      <c r="V89" s="49" t="str">
        <f aca="false">IF(AND($G89=客户对账单!$B$3,$E89="客户回款",$B89&gt;=客户对账单!$E$3,$B89&lt;=客户对账单!$H$3),COUNTIFS($G$5:$G89,客户对账单!$B$3,$E$5:$E89,"客户回款",$B$5:$B89,"&gt;="&amp;客户对账单!$E$3,$B$5:$B89,"&lt;="&amp;客户对账单!$H$3),"")</f>
        <v/>
      </c>
      <c r="W89" s="49" t="str">
        <f aca="false">IF(AND($G89=供应商对账单!$B$3,$E89="供应商付款",$B89&gt;=供应商对账单!$E$3,$B89&lt;=供应商对账单!$H$3),COUNTIFS($G$5:$G89,供应商对账单!$B$3,$E$5:$E89,"供应商付款",$B$5:$B89,"&gt;="&amp;供应商对账单!$E$3,$B$5:$B89,"&lt;="&amp;供应商对账单!$H$3),"")</f>
        <v/>
      </c>
    </row>
    <row r="90" customFormat="false" ht="15.75" hidden="false" customHeight="true" outlineLevel="0" collapsed="false">
      <c r="A90" s="42" t="str">
        <f aca="false">IF($B90="","","ZJ"&amp;TEXT($B90,"yyyymm")&amp;"-"&amp;TEXT(ROW()-4,"000"))</f>
        <v/>
      </c>
      <c r="B90" s="41"/>
      <c r="C90" s="42" t="str">
        <f aca="false">IF($B90="","",TEXT($B90,"yyyy-mm"))</f>
        <v/>
      </c>
      <c r="D90" s="42" t="str">
        <f aca="false">IF($E90="","",IFERROR(INDEX(科目参数!$L$6:$L$85,MATCH($E90,科目参数!$M$6:$M$85,0)),"⚠"))</f>
        <v/>
      </c>
      <c r="E90" s="33"/>
      <c r="F90" s="33"/>
      <c r="G90" s="36"/>
      <c r="H90" s="33"/>
      <c r="I90" s="33"/>
      <c r="J90" s="36"/>
      <c r="K90" s="40"/>
      <c r="L90" s="40"/>
      <c r="M90" s="47" t="str">
        <f aca="false">IF($B90="","",IF(NOT(ISNUMBER($B90)),"日期不是日期格式",IF(YEAR($B90)&lt;&gt;首页!$B$3,"不在会计年度",IF($E90="","未选收支科目",IF($D90="⚠","收支科目不存在",IF($F90="","未选账户",IF($T90="","账户未设资金科目",IF(AND($D90="转账",$U90=""),"转入账户无效",IF(AND(N($K90)&gt;0,N($L90)&gt;0),"收支不能同时填",IF(AND($D90="收入",N($K90)&lt;=0),"收入金额须大于0",IF(AND($D90&lt;&gt;"收入",N($L90)&lt;=0),"支出金额须大于0",IF($O90="","借方科目缺失",IF($P90="","贷方科目缺失","√")))))))))))))</f>
        <v/>
      </c>
      <c r="N90" s="48" t="str">
        <f aca="false">IF($B90="","",IF($D90="收入",N($K90),N($L90)))</f>
        <v/>
      </c>
      <c r="O90" s="49" t="str">
        <f aca="false">IF($B90="","",IF($D90="收入",$T90,IF($D90="转账",$U90,$S90)))</f>
        <v/>
      </c>
      <c r="P90" s="49" t="str">
        <f aca="false">IF($B90="","",IF($D90="收入",$S90,$T90))</f>
        <v/>
      </c>
      <c r="Q90" s="50" t="str">
        <f aca="false">IF($E90="","",IF($D90="转账","—",IFERROR(INDEX(科目参数!$P$6:$P$85,MATCH($E90,科目参数!$M$6:$M$85,0)),"")))</f>
        <v/>
      </c>
      <c r="R90" s="48" t="str">
        <f aca="false">IF($B90="","",SUMIFS(期初数据!$B$6:$B$35,期初数据!$A$6:$A$35,$F90)+SUMIFS($N$5:$N90,$F$5:$F90,$F90,$D$5:$D90,"收入")-SUMIFS($N$5:$N90,$F$5:$F90,$F90,$D$5:$D90,"支出")-SUMIFS($N$5:$N90,$F$5:$F90,$F90,$D$5:$D90,"转账")+SUMIFS($N$5:$N90,$G$5:$G90,$F90,$D$5:$D90,"转账"))</f>
        <v/>
      </c>
      <c r="S90" s="49" t="str">
        <f aca="false">IF($E90="","",IFERROR(INDEX(科目参数!$N$6:$N$85,MATCH($E90,科目参数!$M$6:$M$85,0)),""))</f>
        <v/>
      </c>
      <c r="T90" s="49" t="str">
        <f aca="false">IF($F90="","",IFERROR(INDEX(基础资料!$C$6:$C$35,MATCH($F90,基础资料!$A$6:$A$35,0)),""))</f>
        <v/>
      </c>
      <c r="U90" s="49" t="str">
        <f aca="false">IF($G90="","",IFERROR(INDEX(基础资料!$C$6:$C$35,MATCH($G90,基础资料!$A$6:$A$35,0)),""))</f>
        <v/>
      </c>
      <c r="V90" s="49" t="str">
        <f aca="false">IF(AND($G90=客户对账单!$B$3,$E90="客户回款",$B90&gt;=客户对账单!$E$3,$B90&lt;=客户对账单!$H$3),COUNTIFS($G$5:$G90,客户对账单!$B$3,$E$5:$E90,"客户回款",$B$5:$B90,"&gt;="&amp;客户对账单!$E$3,$B$5:$B90,"&lt;="&amp;客户对账单!$H$3),"")</f>
        <v/>
      </c>
      <c r="W90" s="49" t="str">
        <f aca="false">IF(AND($G90=供应商对账单!$B$3,$E90="供应商付款",$B90&gt;=供应商对账单!$E$3,$B90&lt;=供应商对账单!$H$3),COUNTIFS($G$5:$G90,供应商对账单!$B$3,$E$5:$E90,"供应商付款",$B$5:$B90,"&gt;="&amp;供应商对账单!$E$3,$B$5:$B90,"&lt;="&amp;供应商对账单!$H$3),"")</f>
        <v/>
      </c>
    </row>
    <row r="91" customFormat="false" ht="15.75" hidden="false" customHeight="true" outlineLevel="0" collapsed="false">
      <c r="A91" s="42" t="str">
        <f aca="false">IF($B91="","","ZJ"&amp;TEXT($B91,"yyyymm")&amp;"-"&amp;TEXT(ROW()-4,"000"))</f>
        <v/>
      </c>
      <c r="B91" s="41"/>
      <c r="C91" s="42" t="str">
        <f aca="false">IF($B91="","",TEXT($B91,"yyyy-mm"))</f>
        <v/>
      </c>
      <c r="D91" s="42" t="str">
        <f aca="false">IF($E91="","",IFERROR(INDEX(科目参数!$L$6:$L$85,MATCH($E91,科目参数!$M$6:$M$85,0)),"⚠"))</f>
        <v/>
      </c>
      <c r="E91" s="33"/>
      <c r="F91" s="33"/>
      <c r="G91" s="36"/>
      <c r="H91" s="33"/>
      <c r="I91" s="33"/>
      <c r="J91" s="36"/>
      <c r="K91" s="40"/>
      <c r="L91" s="40"/>
      <c r="M91" s="47" t="str">
        <f aca="false">IF($B91="","",IF(NOT(ISNUMBER($B91)),"日期不是日期格式",IF(YEAR($B91)&lt;&gt;首页!$B$3,"不在会计年度",IF($E91="","未选收支科目",IF($D91="⚠","收支科目不存在",IF($F91="","未选账户",IF($T91="","账户未设资金科目",IF(AND($D91="转账",$U91=""),"转入账户无效",IF(AND(N($K91)&gt;0,N($L91)&gt;0),"收支不能同时填",IF(AND($D91="收入",N($K91)&lt;=0),"收入金额须大于0",IF(AND($D91&lt;&gt;"收入",N($L91)&lt;=0),"支出金额须大于0",IF($O91="","借方科目缺失",IF($P91="","贷方科目缺失","√")))))))))))))</f>
        <v/>
      </c>
      <c r="N91" s="48" t="str">
        <f aca="false">IF($B91="","",IF($D91="收入",N($K91),N($L91)))</f>
        <v/>
      </c>
      <c r="O91" s="49" t="str">
        <f aca="false">IF($B91="","",IF($D91="收入",$T91,IF($D91="转账",$U91,$S91)))</f>
        <v/>
      </c>
      <c r="P91" s="49" t="str">
        <f aca="false">IF($B91="","",IF($D91="收入",$S91,$T91))</f>
        <v/>
      </c>
      <c r="Q91" s="50" t="str">
        <f aca="false">IF($E91="","",IF($D91="转账","—",IFERROR(INDEX(科目参数!$P$6:$P$85,MATCH($E91,科目参数!$M$6:$M$85,0)),"")))</f>
        <v/>
      </c>
      <c r="R91" s="48" t="str">
        <f aca="false">IF($B91="","",SUMIFS(期初数据!$B$6:$B$35,期初数据!$A$6:$A$35,$F91)+SUMIFS($N$5:$N91,$F$5:$F91,$F91,$D$5:$D91,"收入")-SUMIFS($N$5:$N91,$F$5:$F91,$F91,$D$5:$D91,"支出")-SUMIFS($N$5:$N91,$F$5:$F91,$F91,$D$5:$D91,"转账")+SUMIFS($N$5:$N91,$G$5:$G91,$F91,$D$5:$D91,"转账"))</f>
        <v/>
      </c>
      <c r="S91" s="49" t="str">
        <f aca="false">IF($E91="","",IFERROR(INDEX(科目参数!$N$6:$N$85,MATCH($E91,科目参数!$M$6:$M$85,0)),""))</f>
        <v/>
      </c>
      <c r="T91" s="49" t="str">
        <f aca="false">IF($F91="","",IFERROR(INDEX(基础资料!$C$6:$C$35,MATCH($F91,基础资料!$A$6:$A$35,0)),""))</f>
        <v/>
      </c>
      <c r="U91" s="49" t="str">
        <f aca="false">IF($G91="","",IFERROR(INDEX(基础资料!$C$6:$C$35,MATCH($G91,基础资料!$A$6:$A$35,0)),""))</f>
        <v/>
      </c>
      <c r="V91" s="49" t="str">
        <f aca="false">IF(AND($G91=客户对账单!$B$3,$E91="客户回款",$B91&gt;=客户对账单!$E$3,$B91&lt;=客户对账单!$H$3),COUNTIFS($G$5:$G91,客户对账单!$B$3,$E$5:$E91,"客户回款",$B$5:$B91,"&gt;="&amp;客户对账单!$E$3,$B$5:$B91,"&lt;="&amp;客户对账单!$H$3),"")</f>
        <v/>
      </c>
      <c r="W91" s="49" t="str">
        <f aca="false">IF(AND($G91=供应商对账单!$B$3,$E91="供应商付款",$B91&gt;=供应商对账单!$E$3,$B91&lt;=供应商对账单!$H$3),COUNTIFS($G$5:$G91,供应商对账单!$B$3,$E$5:$E91,"供应商付款",$B$5:$B91,"&gt;="&amp;供应商对账单!$E$3,$B$5:$B91,"&lt;="&amp;供应商对账单!$H$3),"")</f>
        <v/>
      </c>
    </row>
    <row r="92" customFormat="false" ht="15.75" hidden="false" customHeight="true" outlineLevel="0" collapsed="false">
      <c r="A92" s="42" t="str">
        <f aca="false">IF($B92="","","ZJ"&amp;TEXT($B92,"yyyymm")&amp;"-"&amp;TEXT(ROW()-4,"000"))</f>
        <v/>
      </c>
      <c r="B92" s="41"/>
      <c r="C92" s="42" t="str">
        <f aca="false">IF($B92="","",TEXT($B92,"yyyy-mm"))</f>
        <v/>
      </c>
      <c r="D92" s="42" t="str">
        <f aca="false">IF($E92="","",IFERROR(INDEX(科目参数!$L$6:$L$85,MATCH($E92,科目参数!$M$6:$M$85,0)),"⚠"))</f>
        <v/>
      </c>
      <c r="E92" s="33"/>
      <c r="F92" s="33"/>
      <c r="G92" s="36"/>
      <c r="H92" s="33"/>
      <c r="I92" s="33"/>
      <c r="J92" s="36"/>
      <c r="K92" s="40"/>
      <c r="L92" s="40"/>
      <c r="M92" s="47" t="str">
        <f aca="false">IF($B92="","",IF(NOT(ISNUMBER($B92)),"日期不是日期格式",IF(YEAR($B92)&lt;&gt;首页!$B$3,"不在会计年度",IF($E92="","未选收支科目",IF($D92="⚠","收支科目不存在",IF($F92="","未选账户",IF($T92="","账户未设资金科目",IF(AND($D92="转账",$U92=""),"转入账户无效",IF(AND(N($K92)&gt;0,N($L92)&gt;0),"收支不能同时填",IF(AND($D92="收入",N($K92)&lt;=0),"收入金额须大于0",IF(AND($D92&lt;&gt;"收入",N($L92)&lt;=0),"支出金额须大于0",IF($O92="","借方科目缺失",IF($P92="","贷方科目缺失","√")))))))))))))</f>
        <v/>
      </c>
      <c r="N92" s="48" t="str">
        <f aca="false">IF($B92="","",IF($D92="收入",N($K92),N($L92)))</f>
        <v/>
      </c>
      <c r="O92" s="49" t="str">
        <f aca="false">IF($B92="","",IF($D92="收入",$T92,IF($D92="转账",$U92,$S92)))</f>
        <v/>
      </c>
      <c r="P92" s="49" t="str">
        <f aca="false">IF($B92="","",IF($D92="收入",$S92,$T92))</f>
        <v/>
      </c>
      <c r="Q92" s="50" t="str">
        <f aca="false">IF($E92="","",IF($D92="转账","—",IFERROR(INDEX(科目参数!$P$6:$P$85,MATCH($E92,科目参数!$M$6:$M$85,0)),"")))</f>
        <v/>
      </c>
      <c r="R92" s="48" t="str">
        <f aca="false">IF($B92="","",SUMIFS(期初数据!$B$6:$B$35,期初数据!$A$6:$A$35,$F92)+SUMIFS($N$5:$N92,$F$5:$F92,$F92,$D$5:$D92,"收入")-SUMIFS($N$5:$N92,$F$5:$F92,$F92,$D$5:$D92,"支出")-SUMIFS($N$5:$N92,$F$5:$F92,$F92,$D$5:$D92,"转账")+SUMIFS($N$5:$N92,$G$5:$G92,$F92,$D$5:$D92,"转账"))</f>
        <v/>
      </c>
      <c r="S92" s="49" t="str">
        <f aca="false">IF($E92="","",IFERROR(INDEX(科目参数!$N$6:$N$85,MATCH($E92,科目参数!$M$6:$M$85,0)),""))</f>
        <v/>
      </c>
      <c r="T92" s="49" t="str">
        <f aca="false">IF($F92="","",IFERROR(INDEX(基础资料!$C$6:$C$35,MATCH($F92,基础资料!$A$6:$A$35,0)),""))</f>
        <v/>
      </c>
      <c r="U92" s="49" t="str">
        <f aca="false">IF($G92="","",IFERROR(INDEX(基础资料!$C$6:$C$35,MATCH($G92,基础资料!$A$6:$A$35,0)),""))</f>
        <v/>
      </c>
      <c r="V92" s="49" t="str">
        <f aca="false">IF(AND($G92=客户对账单!$B$3,$E92="客户回款",$B92&gt;=客户对账单!$E$3,$B92&lt;=客户对账单!$H$3),COUNTIFS($G$5:$G92,客户对账单!$B$3,$E$5:$E92,"客户回款",$B$5:$B92,"&gt;="&amp;客户对账单!$E$3,$B$5:$B92,"&lt;="&amp;客户对账单!$H$3),"")</f>
        <v/>
      </c>
      <c r="W92" s="49" t="str">
        <f aca="false">IF(AND($G92=供应商对账单!$B$3,$E92="供应商付款",$B92&gt;=供应商对账单!$E$3,$B92&lt;=供应商对账单!$H$3),COUNTIFS($G$5:$G92,供应商对账单!$B$3,$E$5:$E92,"供应商付款",$B$5:$B92,"&gt;="&amp;供应商对账单!$E$3,$B$5:$B92,"&lt;="&amp;供应商对账单!$H$3),"")</f>
        <v/>
      </c>
    </row>
    <row r="93" customFormat="false" ht="15.75" hidden="false" customHeight="true" outlineLevel="0" collapsed="false">
      <c r="A93" s="42" t="str">
        <f aca="false">IF($B93="","","ZJ"&amp;TEXT($B93,"yyyymm")&amp;"-"&amp;TEXT(ROW()-4,"000"))</f>
        <v/>
      </c>
      <c r="B93" s="41"/>
      <c r="C93" s="42" t="str">
        <f aca="false">IF($B93="","",TEXT($B93,"yyyy-mm"))</f>
        <v/>
      </c>
      <c r="D93" s="42" t="str">
        <f aca="false">IF($E93="","",IFERROR(INDEX(科目参数!$L$6:$L$85,MATCH($E93,科目参数!$M$6:$M$85,0)),"⚠"))</f>
        <v/>
      </c>
      <c r="E93" s="33"/>
      <c r="F93" s="33"/>
      <c r="G93" s="36"/>
      <c r="H93" s="33"/>
      <c r="I93" s="33"/>
      <c r="J93" s="36"/>
      <c r="K93" s="40"/>
      <c r="L93" s="40"/>
      <c r="M93" s="47" t="str">
        <f aca="false">IF($B93="","",IF(NOT(ISNUMBER($B93)),"日期不是日期格式",IF(YEAR($B93)&lt;&gt;首页!$B$3,"不在会计年度",IF($E93="","未选收支科目",IF($D93="⚠","收支科目不存在",IF($F93="","未选账户",IF($T93="","账户未设资金科目",IF(AND($D93="转账",$U93=""),"转入账户无效",IF(AND(N($K93)&gt;0,N($L93)&gt;0),"收支不能同时填",IF(AND($D93="收入",N($K93)&lt;=0),"收入金额须大于0",IF(AND($D93&lt;&gt;"收入",N($L93)&lt;=0),"支出金额须大于0",IF($O93="","借方科目缺失",IF($P93="","贷方科目缺失","√")))))))))))))</f>
        <v/>
      </c>
      <c r="N93" s="48" t="str">
        <f aca="false">IF($B93="","",IF($D93="收入",N($K93),N($L93)))</f>
        <v/>
      </c>
      <c r="O93" s="49" t="str">
        <f aca="false">IF($B93="","",IF($D93="收入",$T93,IF($D93="转账",$U93,$S93)))</f>
        <v/>
      </c>
      <c r="P93" s="49" t="str">
        <f aca="false">IF($B93="","",IF($D93="收入",$S93,$T93))</f>
        <v/>
      </c>
      <c r="Q93" s="50" t="str">
        <f aca="false">IF($E93="","",IF($D93="转账","—",IFERROR(INDEX(科目参数!$P$6:$P$85,MATCH($E93,科目参数!$M$6:$M$85,0)),"")))</f>
        <v/>
      </c>
      <c r="R93" s="48" t="str">
        <f aca="false">IF($B93="","",SUMIFS(期初数据!$B$6:$B$35,期初数据!$A$6:$A$35,$F93)+SUMIFS($N$5:$N93,$F$5:$F93,$F93,$D$5:$D93,"收入")-SUMIFS($N$5:$N93,$F$5:$F93,$F93,$D$5:$D93,"支出")-SUMIFS($N$5:$N93,$F$5:$F93,$F93,$D$5:$D93,"转账")+SUMIFS($N$5:$N93,$G$5:$G93,$F93,$D$5:$D93,"转账"))</f>
        <v/>
      </c>
      <c r="S93" s="49" t="str">
        <f aca="false">IF($E93="","",IFERROR(INDEX(科目参数!$N$6:$N$85,MATCH($E93,科目参数!$M$6:$M$85,0)),""))</f>
        <v/>
      </c>
      <c r="T93" s="49" t="str">
        <f aca="false">IF($F93="","",IFERROR(INDEX(基础资料!$C$6:$C$35,MATCH($F93,基础资料!$A$6:$A$35,0)),""))</f>
        <v/>
      </c>
      <c r="U93" s="49" t="str">
        <f aca="false">IF($G93="","",IFERROR(INDEX(基础资料!$C$6:$C$35,MATCH($G93,基础资料!$A$6:$A$35,0)),""))</f>
        <v/>
      </c>
      <c r="V93" s="49" t="str">
        <f aca="false">IF(AND($G93=客户对账单!$B$3,$E93="客户回款",$B93&gt;=客户对账单!$E$3,$B93&lt;=客户对账单!$H$3),COUNTIFS($G$5:$G93,客户对账单!$B$3,$E$5:$E93,"客户回款",$B$5:$B93,"&gt;="&amp;客户对账单!$E$3,$B$5:$B93,"&lt;="&amp;客户对账单!$H$3),"")</f>
        <v/>
      </c>
      <c r="W93" s="49" t="str">
        <f aca="false">IF(AND($G93=供应商对账单!$B$3,$E93="供应商付款",$B93&gt;=供应商对账单!$E$3,$B93&lt;=供应商对账单!$H$3),COUNTIFS($G$5:$G93,供应商对账单!$B$3,$E$5:$E93,"供应商付款",$B$5:$B93,"&gt;="&amp;供应商对账单!$E$3,$B$5:$B93,"&lt;="&amp;供应商对账单!$H$3),"")</f>
        <v/>
      </c>
    </row>
    <row r="94" customFormat="false" ht="15.75" hidden="false" customHeight="true" outlineLevel="0" collapsed="false">
      <c r="A94" s="42" t="str">
        <f aca="false">IF($B94="","","ZJ"&amp;TEXT($B94,"yyyymm")&amp;"-"&amp;TEXT(ROW()-4,"000"))</f>
        <v/>
      </c>
      <c r="B94" s="41"/>
      <c r="C94" s="42" t="str">
        <f aca="false">IF($B94="","",TEXT($B94,"yyyy-mm"))</f>
        <v/>
      </c>
      <c r="D94" s="42" t="str">
        <f aca="false">IF($E94="","",IFERROR(INDEX(科目参数!$L$6:$L$85,MATCH($E94,科目参数!$M$6:$M$85,0)),"⚠"))</f>
        <v/>
      </c>
      <c r="E94" s="33"/>
      <c r="F94" s="33"/>
      <c r="G94" s="36"/>
      <c r="H94" s="33"/>
      <c r="I94" s="33"/>
      <c r="J94" s="36"/>
      <c r="K94" s="40"/>
      <c r="L94" s="40"/>
      <c r="M94" s="47" t="str">
        <f aca="false">IF($B94="","",IF(NOT(ISNUMBER($B94)),"日期不是日期格式",IF(YEAR($B94)&lt;&gt;首页!$B$3,"不在会计年度",IF($E94="","未选收支科目",IF($D94="⚠","收支科目不存在",IF($F94="","未选账户",IF($T94="","账户未设资金科目",IF(AND($D94="转账",$U94=""),"转入账户无效",IF(AND(N($K94)&gt;0,N($L94)&gt;0),"收支不能同时填",IF(AND($D94="收入",N($K94)&lt;=0),"收入金额须大于0",IF(AND($D94&lt;&gt;"收入",N($L94)&lt;=0),"支出金额须大于0",IF($O94="","借方科目缺失",IF($P94="","贷方科目缺失","√")))))))))))))</f>
        <v/>
      </c>
      <c r="N94" s="48" t="str">
        <f aca="false">IF($B94="","",IF($D94="收入",N($K94),N($L94)))</f>
        <v/>
      </c>
      <c r="O94" s="49" t="str">
        <f aca="false">IF($B94="","",IF($D94="收入",$T94,IF($D94="转账",$U94,$S94)))</f>
        <v/>
      </c>
      <c r="P94" s="49" t="str">
        <f aca="false">IF($B94="","",IF($D94="收入",$S94,$T94))</f>
        <v/>
      </c>
      <c r="Q94" s="50" t="str">
        <f aca="false">IF($E94="","",IF($D94="转账","—",IFERROR(INDEX(科目参数!$P$6:$P$85,MATCH($E94,科目参数!$M$6:$M$85,0)),"")))</f>
        <v/>
      </c>
      <c r="R94" s="48" t="str">
        <f aca="false">IF($B94="","",SUMIFS(期初数据!$B$6:$B$35,期初数据!$A$6:$A$35,$F94)+SUMIFS($N$5:$N94,$F$5:$F94,$F94,$D$5:$D94,"收入")-SUMIFS($N$5:$N94,$F$5:$F94,$F94,$D$5:$D94,"支出")-SUMIFS($N$5:$N94,$F$5:$F94,$F94,$D$5:$D94,"转账")+SUMIFS($N$5:$N94,$G$5:$G94,$F94,$D$5:$D94,"转账"))</f>
        <v/>
      </c>
      <c r="S94" s="49" t="str">
        <f aca="false">IF($E94="","",IFERROR(INDEX(科目参数!$N$6:$N$85,MATCH($E94,科目参数!$M$6:$M$85,0)),""))</f>
        <v/>
      </c>
      <c r="T94" s="49" t="str">
        <f aca="false">IF($F94="","",IFERROR(INDEX(基础资料!$C$6:$C$35,MATCH($F94,基础资料!$A$6:$A$35,0)),""))</f>
        <v/>
      </c>
      <c r="U94" s="49" t="str">
        <f aca="false">IF($G94="","",IFERROR(INDEX(基础资料!$C$6:$C$35,MATCH($G94,基础资料!$A$6:$A$35,0)),""))</f>
        <v/>
      </c>
      <c r="V94" s="49" t="str">
        <f aca="false">IF(AND($G94=客户对账单!$B$3,$E94="客户回款",$B94&gt;=客户对账单!$E$3,$B94&lt;=客户对账单!$H$3),COUNTIFS($G$5:$G94,客户对账单!$B$3,$E$5:$E94,"客户回款",$B$5:$B94,"&gt;="&amp;客户对账单!$E$3,$B$5:$B94,"&lt;="&amp;客户对账单!$H$3),"")</f>
        <v/>
      </c>
      <c r="W94" s="49" t="str">
        <f aca="false">IF(AND($G94=供应商对账单!$B$3,$E94="供应商付款",$B94&gt;=供应商对账单!$E$3,$B94&lt;=供应商对账单!$H$3),COUNTIFS($G$5:$G94,供应商对账单!$B$3,$E$5:$E94,"供应商付款",$B$5:$B94,"&gt;="&amp;供应商对账单!$E$3,$B$5:$B94,"&lt;="&amp;供应商对账单!$H$3),"")</f>
        <v/>
      </c>
    </row>
    <row r="95" customFormat="false" ht="15.75" hidden="false" customHeight="true" outlineLevel="0" collapsed="false">
      <c r="A95" s="42" t="str">
        <f aca="false">IF($B95="","","ZJ"&amp;TEXT($B95,"yyyymm")&amp;"-"&amp;TEXT(ROW()-4,"000"))</f>
        <v/>
      </c>
      <c r="B95" s="41"/>
      <c r="C95" s="42" t="str">
        <f aca="false">IF($B95="","",TEXT($B95,"yyyy-mm"))</f>
        <v/>
      </c>
      <c r="D95" s="42" t="str">
        <f aca="false">IF($E95="","",IFERROR(INDEX(科目参数!$L$6:$L$85,MATCH($E95,科目参数!$M$6:$M$85,0)),"⚠"))</f>
        <v/>
      </c>
      <c r="E95" s="33"/>
      <c r="F95" s="33"/>
      <c r="G95" s="36"/>
      <c r="H95" s="33"/>
      <c r="I95" s="33"/>
      <c r="J95" s="36"/>
      <c r="K95" s="40"/>
      <c r="L95" s="40"/>
      <c r="M95" s="47" t="str">
        <f aca="false">IF($B95="","",IF(NOT(ISNUMBER($B95)),"日期不是日期格式",IF(YEAR($B95)&lt;&gt;首页!$B$3,"不在会计年度",IF($E95="","未选收支科目",IF($D95="⚠","收支科目不存在",IF($F95="","未选账户",IF($T95="","账户未设资金科目",IF(AND($D95="转账",$U95=""),"转入账户无效",IF(AND(N($K95)&gt;0,N($L95)&gt;0),"收支不能同时填",IF(AND($D95="收入",N($K95)&lt;=0),"收入金额须大于0",IF(AND($D95&lt;&gt;"收入",N($L95)&lt;=0),"支出金额须大于0",IF($O95="","借方科目缺失",IF($P95="","贷方科目缺失","√")))))))))))))</f>
        <v/>
      </c>
      <c r="N95" s="48" t="str">
        <f aca="false">IF($B95="","",IF($D95="收入",N($K95),N($L95)))</f>
        <v/>
      </c>
      <c r="O95" s="49" t="str">
        <f aca="false">IF($B95="","",IF($D95="收入",$T95,IF($D95="转账",$U95,$S95)))</f>
        <v/>
      </c>
      <c r="P95" s="49" t="str">
        <f aca="false">IF($B95="","",IF($D95="收入",$S95,$T95))</f>
        <v/>
      </c>
      <c r="Q95" s="50" t="str">
        <f aca="false">IF($E95="","",IF($D95="转账","—",IFERROR(INDEX(科目参数!$P$6:$P$85,MATCH($E95,科目参数!$M$6:$M$85,0)),"")))</f>
        <v/>
      </c>
      <c r="R95" s="48" t="str">
        <f aca="false">IF($B95="","",SUMIFS(期初数据!$B$6:$B$35,期初数据!$A$6:$A$35,$F95)+SUMIFS($N$5:$N95,$F$5:$F95,$F95,$D$5:$D95,"收入")-SUMIFS($N$5:$N95,$F$5:$F95,$F95,$D$5:$D95,"支出")-SUMIFS($N$5:$N95,$F$5:$F95,$F95,$D$5:$D95,"转账")+SUMIFS($N$5:$N95,$G$5:$G95,$F95,$D$5:$D95,"转账"))</f>
        <v/>
      </c>
      <c r="S95" s="49" t="str">
        <f aca="false">IF($E95="","",IFERROR(INDEX(科目参数!$N$6:$N$85,MATCH($E95,科目参数!$M$6:$M$85,0)),""))</f>
        <v/>
      </c>
      <c r="T95" s="49" t="str">
        <f aca="false">IF($F95="","",IFERROR(INDEX(基础资料!$C$6:$C$35,MATCH($F95,基础资料!$A$6:$A$35,0)),""))</f>
        <v/>
      </c>
      <c r="U95" s="49" t="str">
        <f aca="false">IF($G95="","",IFERROR(INDEX(基础资料!$C$6:$C$35,MATCH($G95,基础资料!$A$6:$A$35,0)),""))</f>
        <v/>
      </c>
      <c r="V95" s="49" t="str">
        <f aca="false">IF(AND($G95=客户对账单!$B$3,$E95="客户回款",$B95&gt;=客户对账单!$E$3,$B95&lt;=客户对账单!$H$3),COUNTIFS($G$5:$G95,客户对账单!$B$3,$E$5:$E95,"客户回款",$B$5:$B95,"&gt;="&amp;客户对账单!$E$3,$B$5:$B95,"&lt;="&amp;客户对账单!$H$3),"")</f>
        <v/>
      </c>
      <c r="W95" s="49" t="str">
        <f aca="false">IF(AND($G95=供应商对账单!$B$3,$E95="供应商付款",$B95&gt;=供应商对账单!$E$3,$B95&lt;=供应商对账单!$H$3),COUNTIFS($G$5:$G95,供应商对账单!$B$3,$E$5:$E95,"供应商付款",$B$5:$B95,"&gt;="&amp;供应商对账单!$E$3,$B$5:$B95,"&lt;="&amp;供应商对账单!$H$3),"")</f>
        <v/>
      </c>
    </row>
    <row r="96" customFormat="false" ht="15.75" hidden="false" customHeight="true" outlineLevel="0" collapsed="false">
      <c r="A96" s="42" t="str">
        <f aca="false">IF($B96="","","ZJ"&amp;TEXT($B96,"yyyymm")&amp;"-"&amp;TEXT(ROW()-4,"000"))</f>
        <v/>
      </c>
      <c r="B96" s="41"/>
      <c r="C96" s="42" t="str">
        <f aca="false">IF($B96="","",TEXT($B96,"yyyy-mm"))</f>
        <v/>
      </c>
      <c r="D96" s="42" t="str">
        <f aca="false">IF($E96="","",IFERROR(INDEX(科目参数!$L$6:$L$85,MATCH($E96,科目参数!$M$6:$M$85,0)),"⚠"))</f>
        <v/>
      </c>
      <c r="E96" s="33"/>
      <c r="F96" s="33"/>
      <c r="G96" s="36"/>
      <c r="H96" s="33"/>
      <c r="I96" s="33"/>
      <c r="J96" s="36"/>
      <c r="K96" s="40"/>
      <c r="L96" s="40"/>
      <c r="M96" s="47" t="str">
        <f aca="false">IF($B96="","",IF(NOT(ISNUMBER($B96)),"日期不是日期格式",IF(YEAR($B96)&lt;&gt;首页!$B$3,"不在会计年度",IF($E96="","未选收支科目",IF($D96="⚠","收支科目不存在",IF($F96="","未选账户",IF($T96="","账户未设资金科目",IF(AND($D96="转账",$U96=""),"转入账户无效",IF(AND(N($K96)&gt;0,N($L96)&gt;0),"收支不能同时填",IF(AND($D96="收入",N($K96)&lt;=0),"收入金额须大于0",IF(AND($D96&lt;&gt;"收入",N($L96)&lt;=0),"支出金额须大于0",IF($O96="","借方科目缺失",IF($P96="","贷方科目缺失","√")))))))))))))</f>
        <v/>
      </c>
      <c r="N96" s="48" t="str">
        <f aca="false">IF($B96="","",IF($D96="收入",N($K96),N($L96)))</f>
        <v/>
      </c>
      <c r="O96" s="49" t="str">
        <f aca="false">IF($B96="","",IF($D96="收入",$T96,IF($D96="转账",$U96,$S96)))</f>
        <v/>
      </c>
      <c r="P96" s="49" t="str">
        <f aca="false">IF($B96="","",IF($D96="收入",$S96,$T96))</f>
        <v/>
      </c>
      <c r="Q96" s="50" t="str">
        <f aca="false">IF($E96="","",IF($D96="转账","—",IFERROR(INDEX(科目参数!$P$6:$P$85,MATCH($E96,科目参数!$M$6:$M$85,0)),"")))</f>
        <v/>
      </c>
      <c r="R96" s="48" t="str">
        <f aca="false">IF($B96="","",SUMIFS(期初数据!$B$6:$B$35,期初数据!$A$6:$A$35,$F96)+SUMIFS($N$5:$N96,$F$5:$F96,$F96,$D$5:$D96,"收入")-SUMIFS($N$5:$N96,$F$5:$F96,$F96,$D$5:$D96,"支出")-SUMIFS($N$5:$N96,$F$5:$F96,$F96,$D$5:$D96,"转账")+SUMIFS($N$5:$N96,$G$5:$G96,$F96,$D$5:$D96,"转账"))</f>
        <v/>
      </c>
      <c r="S96" s="49" t="str">
        <f aca="false">IF($E96="","",IFERROR(INDEX(科目参数!$N$6:$N$85,MATCH($E96,科目参数!$M$6:$M$85,0)),""))</f>
        <v/>
      </c>
      <c r="T96" s="49" t="str">
        <f aca="false">IF($F96="","",IFERROR(INDEX(基础资料!$C$6:$C$35,MATCH($F96,基础资料!$A$6:$A$35,0)),""))</f>
        <v/>
      </c>
      <c r="U96" s="49" t="str">
        <f aca="false">IF($G96="","",IFERROR(INDEX(基础资料!$C$6:$C$35,MATCH($G96,基础资料!$A$6:$A$35,0)),""))</f>
        <v/>
      </c>
      <c r="V96" s="49" t="str">
        <f aca="false">IF(AND($G96=客户对账单!$B$3,$E96="客户回款",$B96&gt;=客户对账单!$E$3,$B96&lt;=客户对账单!$H$3),COUNTIFS($G$5:$G96,客户对账单!$B$3,$E$5:$E96,"客户回款",$B$5:$B96,"&gt;="&amp;客户对账单!$E$3,$B$5:$B96,"&lt;="&amp;客户对账单!$H$3),"")</f>
        <v/>
      </c>
      <c r="W96" s="49" t="str">
        <f aca="false">IF(AND($G96=供应商对账单!$B$3,$E96="供应商付款",$B96&gt;=供应商对账单!$E$3,$B96&lt;=供应商对账单!$H$3),COUNTIFS($G$5:$G96,供应商对账单!$B$3,$E$5:$E96,"供应商付款",$B$5:$B96,"&gt;="&amp;供应商对账单!$E$3,$B$5:$B96,"&lt;="&amp;供应商对账单!$H$3),"")</f>
        <v/>
      </c>
    </row>
    <row r="97" customFormat="false" ht="15.75" hidden="false" customHeight="true" outlineLevel="0" collapsed="false">
      <c r="A97" s="42" t="str">
        <f aca="false">IF($B97="","","ZJ"&amp;TEXT($B97,"yyyymm")&amp;"-"&amp;TEXT(ROW()-4,"000"))</f>
        <v/>
      </c>
      <c r="B97" s="41"/>
      <c r="C97" s="42" t="str">
        <f aca="false">IF($B97="","",TEXT($B97,"yyyy-mm"))</f>
        <v/>
      </c>
      <c r="D97" s="42" t="str">
        <f aca="false">IF($E97="","",IFERROR(INDEX(科目参数!$L$6:$L$85,MATCH($E97,科目参数!$M$6:$M$85,0)),"⚠"))</f>
        <v/>
      </c>
      <c r="E97" s="33"/>
      <c r="F97" s="33"/>
      <c r="G97" s="36"/>
      <c r="H97" s="33"/>
      <c r="I97" s="33"/>
      <c r="J97" s="36"/>
      <c r="K97" s="40"/>
      <c r="L97" s="40"/>
      <c r="M97" s="47" t="str">
        <f aca="false">IF($B97="","",IF(NOT(ISNUMBER($B97)),"日期不是日期格式",IF(YEAR($B97)&lt;&gt;首页!$B$3,"不在会计年度",IF($E97="","未选收支科目",IF($D97="⚠","收支科目不存在",IF($F97="","未选账户",IF($T97="","账户未设资金科目",IF(AND($D97="转账",$U97=""),"转入账户无效",IF(AND(N($K97)&gt;0,N($L97)&gt;0),"收支不能同时填",IF(AND($D97="收入",N($K97)&lt;=0),"收入金额须大于0",IF(AND($D97&lt;&gt;"收入",N($L97)&lt;=0),"支出金额须大于0",IF($O97="","借方科目缺失",IF($P97="","贷方科目缺失","√")))))))))))))</f>
        <v/>
      </c>
      <c r="N97" s="48" t="str">
        <f aca="false">IF($B97="","",IF($D97="收入",N($K97),N($L97)))</f>
        <v/>
      </c>
      <c r="O97" s="49" t="str">
        <f aca="false">IF($B97="","",IF($D97="收入",$T97,IF($D97="转账",$U97,$S97)))</f>
        <v/>
      </c>
      <c r="P97" s="49" t="str">
        <f aca="false">IF($B97="","",IF($D97="收入",$S97,$T97))</f>
        <v/>
      </c>
      <c r="Q97" s="50" t="str">
        <f aca="false">IF($E97="","",IF($D97="转账","—",IFERROR(INDEX(科目参数!$P$6:$P$85,MATCH($E97,科目参数!$M$6:$M$85,0)),"")))</f>
        <v/>
      </c>
      <c r="R97" s="48" t="str">
        <f aca="false">IF($B97="","",SUMIFS(期初数据!$B$6:$B$35,期初数据!$A$6:$A$35,$F97)+SUMIFS($N$5:$N97,$F$5:$F97,$F97,$D$5:$D97,"收入")-SUMIFS($N$5:$N97,$F$5:$F97,$F97,$D$5:$D97,"支出")-SUMIFS($N$5:$N97,$F$5:$F97,$F97,$D$5:$D97,"转账")+SUMIFS($N$5:$N97,$G$5:$G97,$F97,$D$5:$D97,"转账"))</f>
        <v/>
      </c>
      <c r="S97" s="49" t="str">
        <f aca="false">IF($E97="","",IFERROR(INDEX(科目参数!$N$6:$N$85,MATCH($E97,科目参数!$M$6:$M$85,0)),""))</f>
        <v/>
      </c>
      <c r="T97" s="49" t="str">
        <f aca="false">IF($F97="","",IFERROR(INDEX(基础资料!$C$6:$C$35,MATCH($F97,基础资料!$A$6:$A$35,0)),""))</f>
        <v/>
      </c>
      <c r="U97" s="49" t="str">
        <f aca="false">IF($G97="","",IFERROR(INDEX(基础资料!$C$6:$C$35,MATCH($G97,基础资料!$A$6:$A$35,0)),""))</f>
        <v/>
      </c>
      <c r="V97" s="49" t="str">
        <f aca="false">IF(AND($G97=客户对账单!$B$3,$E97="客户回款",$B97&gt;=客户对账单!$E$3,$B97&lt;=客户对账单!$H$3),COUNTIFS($G$5:$G97,客户对账单!$B$3,$E$5:$E97,"客户回款",$B$5:$B97,"&gt;="&amp;客户对账单!$E$3,$B$5:$B97,"&lt;="&amp;客户对账单!$H$3),"")</f>
        <v/>
      </c>
      <c r="W97" s="49" t="str">
        <f aca="false">IF(AND($G97=供应商对账单!$B$3,$E97="供应商付款",$B97&gt;=供应商对账单!$E$3,$B97&lt;=供应商对账单!$H$3),COUNTIFS($G$5:$G97,供应商对账单!$B$3,$E$5:$E97,"供应商付款",$B$5:$B97,"&gt;="&amp;供应商对账单!$E$3,$B$5:$B97,"&lt;="&amp;供应商对账单!$H$3),"")</f>
        <v/>
      </c>
    </row>
    <row r="98" customFormat="false" ht="15.75" hidden="false" customHeight="true" outlineLevel="0" collapsed="false">
      <c r="A98" s="42" t="str">
        <f aca="false">IF($B98="","","ZJ"&amp;TEXT($B98,"yyyymm")&amp;"-"&amp;TEXT(ROW()-4,"000"))</f>
        <v/>
      </c>
      <c r="B98" s="41"/>
      <c r="C98" s="42" t="str">
        <f aca="false">IF($B98="","",TEXT($B98,"yyyy-mm"))</f>
        <v/>
      </c>
      <c r="D98" s="42" t="str">
        <f aca="false">IF($E98="","",IFERROR(INDEX(科目参数!$L$6:$L$85,MATCH($E98,科目参数!$M$6:$M$85,0)),"⚠"))</f>
        <v/>
      </c>
      <c r="E98" s="33"/>
      <c r="F98" s="33"/>
      <c r="G98" s="36"/>
      <c r="H98" s="33"/>
      <c r="I98" s="33"/>
      <c r="J98" s="36"/>
      <c r="K98" s="40"/>
      <c r="L98" s="40"/>
      <c r="M98" s="47" t="str">
        <f aca="false">IF($B98="","",IF(NOT(ISNUMBER($B98)),"日期不是日期格式",IF(YEAR($B98)&lt;&gt;首页!$B$3,"不在会计年度",IF($E98="","未选收支科目",IF($D98="⚠","收支科目不存在",IF($F98="","未选账户",IF($T98="","账户未设资金科目",IF(AND($D98="转账",$U98=""),"转入账户无效",IF(AND(N($K98)&gt;0,N($L98)&gt;0),"收支不能同时填",IF(AND($D98="收入",N($K98)&lt;=0),"收入金额须大于0",IF(AND($D98&lt;&gt;"收入",N($L98)&lt;=0),"支出金额须大于0",IF($O98="","借方科目缺失",IF($P98="","贷方科目缺失","√")))))))))))))</f>
        <v/>
      </c>
      <c r="N98" s="48" t="str">
        <f aca="false">IF($B98="","",IF($D98="收入",N($K98),N($L98)))</f>
        <v/>
      </c>
      <c r="O98" s="49" t="str">
        <f aca="false">IF($B98="","",IF($D98="收入",$T98,IF($D98="转账",$U98,$S98)))</f>
        <v/>
      </c>
      <c r="P98" s="49" t="str">
        <f aca="false">IF($B98="","",IF($D98="收入",$S98,$T98))</f>
        <v/>
      </c>
      <c r="Q98" s="50" t="str">
        <f aca="false">IF($E98="","",IF($D98="转账","—",IFERROR(INDEX(科目参数!$P$6:$P$85,MATCH($E98,科目参数!$M$6:$M$85,0)),"")))</f>
        <v/>
      </c>
      <c r="R98" s="48" t="str">
        <f aca="false">IF($B98="","",SUMIFS(期初数据!$B$6:$B$35,期初数据!$A$6:$A$35,$F98)+SUMIFS($N$5:$N98,$F$5:$F98,$F98,$D$5:$D98,"收入")-SUMIFS($N$5:$N98,$F$5:$F98,$F98,$D$5:$D98,"支出")-SUMIFS($N$5:$N98,$F$5:$F98,$F98,$D$5:$D98,"转账")+SUMIFS($N$5:$N98,$G$5:$G98,$F98,$D$5:$D98,"转账"))</f>
        <v/>
      </c>
      <c r="S98" s="49" t="str">
        <f aca="false">IF($E98="","",IFERROR(INDEX(科目参数!$N$6:$N$85,MATCH($E98,科目参数!$M$6:$M$85,0)),""))</f>
        <v/>
      </c>
      <c r="T98" s="49" t="str">
        <f aca="false">IF($F98="","",IFERROR(INDEX(基础资料!$C$6:$C$35,MATCH($F98,基础资料!$A$6:$A$35,0)),""))</f>
        <v/>
      </c>
      <c r="U98" s="49" t="str">
        <f aca="false">IF($G98="","",IFERROR(INDEX(基础资料!$C$6:$C$35,MATCH($G98,基础资料!$A$6:$A$35,0)),""))</f>
        <v/>
      </c>
      <c r="V98" s="49" t="str">
        <f aca="false">IF(AND($G98=客户对账单!$B$3,$E98="客户回款",$B98&gt;=客户对账单!$E$3,$B98&lt;=客户对账单!$H$3),COUNTIFS($G$5:$G98,客户对账单!$B$3,$E$5:$E98,"客户回款",$B$5:$B98,"&gt;="&amp;客户对账单!$E$3,$B$5:$B98,"&lt;="&amp;客户对账单!$H$3),"")</f>
        <v/>
      </c>
      <c r="W98" s="49" t="str">
        <f aca="false">IF(AND($G98=供应商对账单!$B$3,$E98="供应商付款",$B98&gt;=供应商对账单!$E$3,$B98&lt;=供应商对账单!$H$3),COUNTIFS($G$5:$G98,供应商对账单!$B$3,$E$5:$E98,"供应商付款",$B$5:$B98,"&gt;="&amp;供应商对账单!$E$3,$B$5:$B98,"&lt;="&amp;供应商对账单!$H$3),"")</f>
        <v/>
      </c>
    </row>
    <row r="99" customFormat="false" ht="15.75" hidden="false" customHeight="true" outlineLevel="0" collapsed="false">
      <c r="A99" s="42" t="str">
        <f aca="false">IF($B99="","","ZJ"&amp;TEXT($B99,"yyyymm")&amp;"-"&amp;TEXT(ROW()-4,"000"))</f>
        <v/>
      </c>
      <c r="B99" s="41"/>
      <c r="C99" s="42" t="str">
        <f aca="false">IF($B99="","",TEXT($B99,"yyyy-mm"))</f>
        <v/>
      </c>
      <c r="D99" s="42" t="str">
        <f aca="false">IF($E99="","",IFERROR(INDEX(科目参数!$L$6:$L$85,MATCH($E99,科目参数!$M$6:$M$85,0)),"⚠"))</f>
        <v/>
      </c>
      <c r="E99" s="33"/>
      <c r="F99" s="33"/>
      <c r="G99" s="36"/>
      <c r="H99" s="33"/>
      <c r="I99" s="33"/>
      <c r="J99" s="36"/>
      <c r="K99" s="40"/>
      <c r="L99" s="40"/>
      <c r="M99" s="47" t="str">
        <f aca="false">IF($B99="","",IF(NOT(ISNUMBER($B99)),"日期不是日期格式",IF(YEAR($B99)&lt;&gt;首页!$B$3,"不在会计年度",IF($E99="","未选收支科目",IF($D99="⚠","收支科目不存在",IF($F99="","未选账户",IF($T99="","账户未设资金科目",IF(AND($D99="转账",$U99=""),"转入账户无效",IF(AND(N($K99)&gt;0,N($L99)&gt;0),"收支不能同时填",IF(AND($D99="收入",N($K99)&lt;=0),"收入金额须大于0",IF(AND($D99&lt;&gt;"收入",N($L99)&lt;=0),"支出金额须大于0",IF($O99="","借方科目缺失",IF($P99="","贷方科目缺失","√")))))))))))))</f>
        <v/>
      </c>
      <c r="N99" s="48" t="str">
        <f aca="false">IF($B99="","",IF($D99="收入",N($K99),N($L99)))</f>
        <v/>
      </c>
      <c r="O99" s="49" t="str">
        <f aca="false">IF($B99="","",IF($D99="收入",$T99,IF($D99="转账",$U99,$S99)))</f>
        <v/>
      </c>
      <c r="P99" s="49" t="str">
        <f aca="false">IF($B99="","",IF($D99="收入",$S99,$T99))</f>
        <v/>
      </c>
      <c r="Q99" s="50" t="str">
        <f aca="false">IF($E99="","",IF($D99="转账","—",IFERROR(INDEX(科目参数!$P$6:$P$85,MATCH($E99,科目参数!$M$6:$M$85,0)),"")))</f>
        <v/>
      </c>
      <c r="R99" s="48" t="str">
        <f aca="false">IF($B99="","",SUMIFS(期初数据!$B$6:$B$35,期初数据!$A$6:$A$35,$F99)+SUMIFS($N$5:$N99,$F$5:$F99,$F99,$D$5:$D99,"收入")-SUMIFS($N$5:$N99,$F$5:$F99,$F99,$D$5:$D99,"支出")-SUMIFS($N$5:$N99,$F$5:$F99,$F99,$D$5:$D99,"转账")+SUMIFS($N$5:$N99,$G$5:$G99,$F99,$D$5:$D99,"转账"))</f>
        <v/>
      </c>
      <c r="S99" s="49" t="str">
        <f aca="false">IF($E99="","",IFERROR(INDEX(科目参数!$N$6:$N$85,MATCH($E99,科目参数!$M$6:$M$85,0)),""))</f>
        <v/>
      </c>
      <c r="T99" s="49" t="str">
        <f aca="false">IF($F99="","",IFERROR(INDEX(基础资料!$C$6:$C$35,MATCH($F99,基础资料!$A$6:$A$35,0)),""))</f>
        <v/>
      </c>
      <c r="U99" s="49" t="str">
        <f aca="false">IF($G99="","",IFERROR(INDEX(基础资料!$C$6:$C$35,MATCH($G99,基础资料!$A$6:$A$35,0)),""))</f>
        <v/>
      </c>
      <c r="V99" s="49" t="str">
        <f aca="false">IF(AND($G99=客户对账单!$B$3,$E99="客户回款",$B99&gt;=客户对账单!$E$3,$B99&lt;=客户对账单!$H$3),COUNTIFS($G$5:$G99,客户对账单!$B$3,$E$5:$E99,"客户回款",$B$5:$B99,"&gt;="&amp;客户对账单!$E$3,$B$5:$B99,"&lt;="&amp;客户对账单!$H$3),"")</f>
        <v/>
      </c>
      <c r="W99" s="49" t="str">
        <f aca="false">IF(AND($G99=供应商对账单!$B$3,$E99="供应商付款",$B99&gt;=供应商对账单!$E$3,$B99&lt;=供应商对账单!$H$3),COUNTIFS($G$5:$G99,供应商对账单!$B$3,$E$5:$E99,"供应商付款",$B$5:$B99,"&gt;="&amp;供应商对账单!$E$3,$B$5:$B99,"&lt;="&amp;供应商对账单!$H$3),"")</f>
        <v/>
      </c>
    </row>
    <row r="100" customFormat="false" ht="15.75" hidden="false" customHeight="true" outlineLevel="0" collapsed="false">
      <c r="A100" s="42" t="str">
        <f aca="false">IF($B100="","","ZJ"&amp;TEXT($B100,"yyyymm")&amp;"-"&amp;TEXT(ROW()-4,"000"))</f>
        <v/>
      </c>
      <c r="B100" s="41"/>
      <c r="C100" s="42" t="str">
        <f aca="false">IF($B100="","",TEXT($B100,"yyyy-mm"))</f>
        <v/>
      </c>
      <c r="D100" s="42" t="str">
        <f aca="false">IF($E100="","",IFERROR(INDEX(科目参数!$L$6:$L$85,MATCH($E100,科目参数!$M$6:$M$85,0)),"⚠"))</f>
        <v/>
      </c>
      <c r="E100" s="33"/>
      <c r="F100" s="33"/>
      <c r="G100" s="36"/>
      <c r="H100" s="33"/>
      <c r="I100" s="33"/>
      <c r="J100" s="36"/>
      <c r="K100" s="40"/>
      <c r="L100" s="40"/>
      <c r="M100" s="47" t="str">
        <f aca="false">IF($B100="","",IF(NOT(ISNUMBER($B100)),"日期不是日期格式",IF(YEAR($B100)&lt;&gt;首页!$B$3,"不在会计年度",IF($E100="","未选收支科目",IF($D100="⚠","收支科目不存在",IF($F100="","未选账户",IF($T100="","账户未设资金科目",IF(AND($D100="转账",$U100=""),"转入账户无效",IF(AND(N($K100)&gt;0,N($L100)&gt;0),"收支不能同时填",IF(AND($D100="收入",N($K100)&lt;=0),"收入金额须大于0",IF(AND($D100&lt;&gt;"收入",N($L100)&lt;=0),"支出金额须大于0",IF($O100="","借方科目缺失",IF($P100="","贷方科目缺失","√")))))))))))))</f>
        <v/>
      </c>
      <c r="N100" s="48" t="str">
        <f aca="false">IF($B100="","",IF($D100="收入",N($K100),N($L100)))</f>
        <v/>
      </c>
      <c r="O100" s="49" t="str">
        <f aca="false">IF($B100="","",IF($D100="收入",$T100,IF($D100="转账",$U100,$S100)))</f>
        <v/>
      </c>
      <c r="P100" s="49" t="str">
        <f aca="false">IF($B100="","",IF($D100="收入",$S100,$T100))</f>
        <v/>
      </c>
      <c r="Q100" s="50" t="str">
        <f aca="false">IF($E100="","",IF($D100="转账","—",IFERROR(INDEX(科目参数!$P$6:$P$85,MATCH($E100,科目参数!$M$6:$M$85,0)),"")))</f>
        <v/>
      </c>
      <c r="R100" s="48" t="str">
        <f aca="false">IF($B100="","",SUMIFS(期初数据!$B$6:$B$35,期初数据!$A$6:$A$35,$F100)+SUMIFS($N$5:$N100,$F$5:$F100,$F100,$D$5:$D100,"收入")-SUMIFS($N$5:$N100,$F$5:$F100,$F100,$D$5:$D100,"支出")-SUMIFS($N$5:$N100,$F$5:$F100,$F100,$D$5:$D100,"转账")+SUMIFS($N$5:$N100,$G$5:$G100,$F100,$D$5:$D100,"转账"))</f>
        <v/>
      </c>
      <c r="S100" s="49" t="str">
        <f aca="false">IF($E100="","",IFERROR(INDEX(科目参数!$N$6:$N$85,MATCH($E100,科目参数!$M$6:$M$85,0)),""))</f>
        <v/>
      </c>
      <c r="T100" s="49" t="str">
        <f aca="false">IF($F100="","",IFERROR(INDEX(基础资料!$C$6:$C$35,MATCH($F100,基础资料!$A$6:$A$35,0)),""))</f>
        <v/>
      </c>
      <c r="U100" s="49" t="str">
        <f aca="false">IF($G100="","",IFERROR(INDEX(基础资料!$C$6:$C$35,MATCH($G100,基础资料!$A$6:$A$35,0)),""))</f>
        <v/>
      </c>
      <c r="V100" s="49" t="str">
        <f aca="false">IF(AND($G100=客户对账单!$B$3,$E100="客户回款",$B100&gt;=客户对账单!$E$3,$B100&lt;=客户对账单!$H$3),COUNTIFS($G$5:$G100,客户对账单!$B$3,$E$5:$E100,"客户回款",$B$5:$B100,"&gt;="&amp;客户对账单!$E$3,$B$5:$B100,"&lt;="&amp;客户对账单!$H$3),"")</f>
        <v/>
      </c>
      <c r="W100" s="49" t="str">
        <f aca="false">IF(AND($G100=供应商对账单!$B$3,$E100="供应商付款",$B100&gt;=供应商对账单!$E$3,$B100&lt;=供应商对账单!$H$3),COUNTIFS($G$5:$G100,供应商对账单!$B$3,$E$5:$E100,"供应商付款",$B$5:$B100,"&gt;="&amp;供应商对账单!$E$3,$B$5:$B100,"&lt;="&amp;供应商对账单!$H$3),"")</f>
        <v/>
      </c>
    </row>
    <row r="101" customFormat="false" ht="15.75" hidden="false" customHeight="true" outlineLevel="0" collapsed="false">
      <c r="A101" s="42" t="str">
        <f aca="false">IF($B101="","","ZJ"&amp;TEXT($B101,"yyyymm")&amp;"-"&amp;TEXT(ROW()-4,"000"))</f>
        <v/>
      </c>
      <c r="B101" s="41"/>
      <c r="C101" s="42" t="str">
        <f aca="false">IF($B101="","",TEXT($B101,"yyyy-mm"))</f>
        <v/>
      </c>
      <c r="D101" s="42" t="str">
        <f aca="false">IF($E101="","",IFERROR(INDEX(科目参数!$L$6:$L$85,MATCH($E101,科目参数!$M$6:$M$85,0)),"⚠"))</f>
        <v/>
      </c>
      <c r="E101" s="33"/>
      <c r="F101" s="33"/>
      <c r="G101" s="36"/>
      <c r="H101" s="33"/>
      <c r="I101" s="33"/>
      <c r="J101" s="36"/>
      <c r="K101" s="40"/>
      <c r="L101" s="40"/>
      <c r="M101" s="47" t="str">
        <f aca="false">IF($B101="","",IF(NOT(ISNUMBER($B101)),"日期不是日期格式",IF(YEAR($B101)&lt;&gt;首页!$B$3,"不在会计年度",IF($E101="","未选收支科目",IF($D101="⚠","收支科目不存在",IF($F101="","未选账户",IF($T101="","账户未设资金科目",IF(AND($D101="转账",$U101=""),"转入账户无效",IF(AND(N($K101)&gt;0,N($L101)&gt;0),"收支不能同时填",IF(AND($D101="收入",N($K101)&lt;=0),"收入金额须大于0",IF(AND($D101&lt;&gt;"收入",N($L101)&lt;=0),"支出金额须大于0",IF($O101="","借方科目缺失",IF($P101="","贷方科目缺失","√")))))))))))))</f>
        <v/>
      </c>
      <c r="N101" s="48" t="str">
        <f aca="false">IF($B101="","",IF($D101="收入",N($K101),N($L101)))</f>
        <v/>
      </c>
      <c r="O101" s="49" t="str">
        <f aca="false">IF($B101="","",IF($D101="收入",$T101,IF($D101="转账",$U101,$S101)))</f>
        <v/>
      </c>
      <c r="P101" s="49" t="str">
        <f aca="false">IF($B101="","",IF($D101="收入",$S101,$T101))</f>
        <v/>
      </c>
      <c r="Q101" s="50" t="str">
        <f aca="false">IF($E101="","",IF($D101="转账","—",IFERROR(INDEX(科目参数!$P$6:$P$85,MATCH($E101,科目参数!$M$6:$M$85,0)),"")))</f>
        <v/>
      </c>
      <c r="R101" s="48" t="str">
        <f aca="false">IF($B101="","",SUMIFS(期初数据!$B$6:$B$35,期初数据!$A$6:$A$35,$F101)+SUMIFS($N$5:$N101,$F$5:$F101,$F101,$D$5:$D101,"收入")-SUMIFS($N$5:$N101,$F$5:$F101,$F101,$D$5:$D101,"支出")-SUMIFS($N$5:$N101,$F$5:$F101,$F101,$D$5:$D101,"转账")+SUMIFS($N$5:$N101,$G$5:$G101,$F101,$D$5:$D101,"转账"))</f>
        <v/>
      </c>
      <c r="S101" s="49" t="str">
        <f aca="false">IF($E101="","",IFERROR(INDEX(科目参数!$N$6:$N$85,MATCH($E101,科目参数!$M$6:$M$85,0)),""))</f>
        <v/>
      </c>
      <c r="T101" s="49" t="str">
        <f aca="false">IF($F101="","",IFERROR(INDEX(基础资料!$C$6:$C$35,MATCH($F101,基础资料!$A$6:$A$35,0)),""))</f>
        <v/>
      </c>
      <c r="U101" s="49" t="str">
        <f aca="false">IF($G101="","",IFERROR(INDEX(基础资料!$C$6:$C$35,MATCH($G101,基础资料!$A$6:$A$35,0)),""))</f>
        <v/>
      </c>
      <c r="V101" s="49" t="str">
        <f aca="false">IF(AND($G101=客户对账单!$B$3,$E101="客户回款",$B101&gt;=客户对账单!$E$3,$B101&lt;=客户对账单!$H$3),COUNTIFS($G$5:$G101,客户对账单!$B$3,$E$5:$E101,"客户回款",$B$5:$B101,"&gt;="&amp;客户对账单!$E$3,$B$5:$B101,"&lt;="&amp;客户对账单!$H$3),"")</f>
        <v/>
      </c>
      <c r="W101" s="49" t="str">
        <f aca="false">IF(AND($G101=供应商对账单!$B$3,$E101="供应商付款",$B101&gt;=供应商对账单!$E$3,$B101&lt;=供应商对账单!$H$3),COUNTIFS($G$5:$G101,供应商对账单!$B$3,$E$5:$E101,"供应商付款",$B$5:$B101,"&gt;="&amp;供应商对账单!$E$3,$B$5:$B101,"&lt;="&amp;供应商对账单!$H$3),"")</f>
        <v/>
      </c>
    </row>
    <row r="102" customFormat="false" ht="15.75" hidden="false" customHeight="true" outlineLevel="0" collapsed="false">
      <c r="A102" s="42" t="str">
        <f aca="false">IF($B102="","","ZJ"&amp;TEXT($B102,"yyyymm")&amp;"-"&amp;TEXT(ROW()-4,"000"))</f>
        <v/>
      </c>
      <c r="B102" s="41"/>
      <c r="C102" s="42" t="str">
        <f aca="false">IF($B102="","",TEXT($B102,"yyyy-mm"))</f>
        <v/>
      </c>
      <c r="D102" s="42" t="str">
        <f aca="false">IF($E102="","",IFERROR(INDEX(科目参数!$L$6:$L$85,MATCH($E102,科目参数!$M$6:$M$85,0)),"⚠"))</f>
        <v/>
      </c>
      <c r="E102" s="33"/>
      <c r="F102" s="33"/>
      <c r="G102" s="36"/>
      <c r="H102" s="33"/>
      <c r="I102" s="33"/>
      <c r="J102" s="36"/>
      <c r="K102" s="40"/>
      <c r="L102" s="40"/>
      <c r="M102" s="47" t="str">
        <f aca="false">IF($B102="","",IF(NOT(ISNUMBER($B102)),"日期不是日期格式",IF(YEAR($B102)&lt;&gt;首页!$B$3,"不在会计年度",IF($E102="","未选收支科目",IF($D102="⚠","收支科目不存在",IF($F102="","未选账户",IF($T102="","账户未设资金科目",IF(AND($D102="转账",$U102=""),"转入账户无效",IF(AND(N($K102)&gt;0,N($L102)&gt;0),"收支不能同时填",IF(AND($D102="收入",N($K102)&lt;=0),"收入金额须大于0",IF(AND($D102&lt;&gt;"收入",N($L102)&lt;=0),"支出金额须大于0",IF($O102="","借方科目缺失",IF($P102="","贷方科目缺失","√")))))))))))))</f>
        <v/>
      </c>
      <c r="N102" s="48" t="str">
        <f aca="false">IF($B102="","",IF($D102="收入",N($K102),N($L102)))</f>
        <v/>
      </c>
      <c r="O102" s="49" t="str">
        <f aca="false">IF($B102="","",IF($D102="收入",$T102,IF($D102="转账",$U102,$S102)))</f>
        <v/>
      </c>
      <c r="P102" s="49" t="str">
        <f aca="false">IF($B102="","",IF($D102="收入",$S102,$T102))</f>
        <v/>
      </c>
      <c r="Q102" s="50" t="str">
        <f aca="false">IF($E102="","",IF($D102="转账","—",IFERROR(INDEX(科目参数!$P$6:$P$85,MATCH($E102,科目参数!$M$6:$M$85,0)),"")))</f>
        <v/>
      </c>
      <c r="R102" s="48" t="str">
        <f aca="false">IF($B102="","",SUMIFS(期初数据!$B$6:$B$35,期初数据!$A$6:$A$35,$F102)+SUMIFS($N$5:$N102,$F$5:$F102,$F102,$D$5:$D102,"收入")-SUMIFS($N$5:$N102,$F$5:$F102,$F102,$D$5:$D102,"支出")-SUMIFS($N$5:$N102,$F$5:$F102,$F102,$D$5:$D102,"转账")+SUMIFS($N$5:$N102,$G$5:$G102,$F102,$D$5:$D102,"转账"))</f>
        <v/>
      </c>
      <c r="S102" s="49" t="str">
        <f aca="false">IF($E102="","",IFERROR(INDEX(科目参数!$N$6:$N$85,MATCH($E102,科目参数!$M$6:$M$85,0)),""))</f>
        <v/>
      </c>
      <c r="T102" s="49" t="str">
        <f aca="false">IF($F102="","",IFERROR(INDEX(基础资料!$C$6:$C$35,MATCH($F102,基础资料!$A$6:$A$35,0)),""))</f>
        <v/>
      </c>
      <c r="U102" s="49" t="str">
        <f aca="false">IF($G102="","",IFERROR(INDEX(基础资料!$C$6:$C$35,MATCH($G102,基础资料!$A$6:$A$35,0)),""))</f>
        <v/>
      </c>
      <c r="V102" s="49" t="str">
        <f aca="false">IF(AND($G102=客户对账单!$B$3,$E102="客户回款",$B102&gt;=客户对账单!$E$3,$B102&lt;=客户对账单!$H$3),COUNTIFS($G$5:$G102,客户对账单!$B$3,$E$5:$E102,"客户回款",$B$5:$B102,"&gt;="&amp;客户对账单!$E$3,$B$5:$B102,"&lt;="&amp;客户对账单!$H$3),"")</f>
        <v/>
      </c>
      <c r="W102" s="49" t="str">
        <f aca="false">IF(AND($G102=供应商对账单!$B$3,$E102="供应商付款",$B102&gt;=供应商对账单!$E$3,$B102&lt;=供应商对账单!$H$3),COUNTIFS($G$5:$G102,供应商对账单!$B$3,$E$5:$E102,"供应商付款",$B$5:$B102,"&gt;="&amp;供应商对账单!$E$3,$B$5:$B102,"&lt;="&amp;供应商对账单!$H$3),"")</f>
        <v/>
      </c>
    </row>
    <row r="103" customFormat="false" ht="15.75" hidden="false" customHeight="true" outlineLevel="0" collapsed="false">
      <c r="A103" s="42" t="str">
        <f aca="false">IF($B103="","","ZJ"&amp;TEXT($B103,"yyyymm")&amp;"-"&amp;TEXT(ROW()-4,"000"))</f>
        <v/>
      </c>
      <c r="B103" s="41"/>
      <c r="C103" s="42" t="str">
        <f aca="false">IF($B103="","",TEXT($B103,"yyyy-mm"))</f>
        <v/>
      </c>
      <c r="D103" s="42" t="str">
        <f aca="false">IF($E103="","",IFERROR(INDEX(科目参数!$L$6:$L$85,MATCH($E103,科目参数!$M$6:$M$85,0)),"⚠"))</f>
        <v/>
      </c>
      <c r="E103" s="33"/>
      <c r="F103" s="33"/>
      <c r="G103" s="36"/>
      <c r="H103" s="33"/>
      <c r="I103" s="33"/>
      <c r="J103" s="36"/>
      <c r="K103" s="40"/>
      <c r="L103" s="40"/>
      <c r="M103" s="47" t="str">
        <f aca="false">IF($B103="","",IF(NOT(ISNUMBER($B103)),"日期不是日期格式",IF(YEAR($B103)&lt;&gt;首页!$B$3,"不在会计年度",IF($E103="","未选收支科目",IF($D103="⚠","收支科目不存在",IF($F103="","未选账户",IF($T103="","账户未设资金科目",IF(AND($D103="转账",$U103=""),"转入账户无效",IF(AND(N($K103)&gt;0,N($L103)&gt;0),"收支不能同时填",IF(AND($D103="收入",N($K103)&lt;=0),"收入金额须大于0",IF(AND($D103&lt;&gt;"收入",N($L103)&lt;=0),"支出金额须大于0",IF($O103="","借方科目缺失",IF($P103="","贷方科目缺失","√")))))))))))))</f>
        <v/>
      </c>
      <c r="N103" s="48" t="str">
        <f aca="false">IF($B103="","",IF($D103="收入",N($K103),N($L103)))</f>
        <v/>
      </c>
      <c r="O103" s="49" t="str">
        <f aca="false">IF($B103="","",IF($D103="收入",$T103,IF($D103="转账",$U103,$S103)))</f>
        <v/>
      </c>
      <c r="P103" s="49" t="str">
        <f aca="false">IF($B103="","",IF($D103="收入",$S103,$T103))</f>
        <v/>
      </c>
      <c r="Q103" s="50" t="str">
        <f aca="false">IF($E103="","",IF($D103="转账","—",IFERROR(INDEX(科目参数!$P$6:$P$85,MATCH($E103,科目参数!$M$6:$M$85,0)),"")))</f>
        <v/>
      </c>
      <c r="R103" s="48" t="str">
        <f aca="false">IF($B103="","",SUMIFS(期初数据!$B$6:$B$35,期初数据!$A$6:$A$35,$F103)+SUMIFS($N$5:$N103,$F$5:$F103,$F103,$D$5:$D103,"收入")-SUMIFS($N$5:$N103,$F$5:$F103,$F103,$D$5:$D103,"支出")-SUMIFS($N$5:$N103,$F$5:$F103,$F103,$D$5:$D103,"转账")+SUMIFS($N$5:$N103,$G$5:$G103,$F103,$D$5:$D103,"转账"))</f>
        <v/>
      </c>
      <c r="S103" s="49" t="str">
        <f aca="false">IF($E103="","",IFERROR(INDEX(科目参数!$N$6:$N$85,MATCH($E103,科目参数!$M$6:$M$85,0)),""))</f>
        <v/>
      </c>
      <c r="T103" s="49" t="str">
        <f aca="false">IF($F103="","",IFERROR(INDEX(基础资料!$C$6:$C$35,MATCH($F103,基础资料!$A$6:$A$35,0)),""))</f>
        <v/>
      </c>
      <c r="U103" s="49" t="str">
        <f aca="false">IF($G103="","",IFERROR(INDEX(基础资料!$C$6:$C$35,MATCH($G103,基础资料!$A$6:$A$35,0)),""))</f>
        <v/>
      </c>
      <c r="V103" s="49" t="str">
        <f aca="false">IF(AND($G103=客户对账单!$B$3,$E103="客户回款",$B103&gt;=客户对账单!$E$3,$B103&lt;=客户对账单!$H$3),COUNTIFS($G$5:$G103,客户对账单!$B$3,$E$5:$E103,"客户回款",$B$5:$B103,"&gt;="&amp;客户对账单!$E$3,$B$5:$B103,"&lt;="&amp;客户对账单!$H$3),"")</f>
        <v/>
      </c>
      <c r="W103" s="49" t="str">
        <f aca="false">IF(AND($G103=供应商对账单!$B$3,$E103="供应商付款",$B103&gt;=供应商对账单!$E$3,$B103&lt;=供应商对账单!$H$3),COUNTIFS($G$5:$G103,供应商对账单!$B$3,$E$5:$E103,"供应商付款",$B$5:$B103,"&gt;="&amp;供应商对账单!$E$3,$B$5:$B103,"&lt;="&amp;供应商对账单!$H$3),"")</f>
        <v/>
      </c>
    </row>
    <row r="104" customFormat="false" ht="15.75" hidden="false" customHeight="true" outlineLevel="0" collapsed="false">
      <c r="A104" s="42" t="str">
        <f aca="false">IF($B104="","","ZJ"&amp;TEXT($B104,"yyyymm")&amp;"-"&amp;TEXT(ROW()-4,"000"))</f>
        <v/>
      </c>
      <c r="B104" s="41"/>
      <c r="C104" s="42" t="str">
        <f aca="false">IF($B104="","",TEXT($B104,"yyyy-mm"))</f>
        <v/>
      </c>
      <c r="D104" s="42" t="str">
        <f aca="false">IF($E104="","",IFERROR(INDEX(科目参数!$L$6:$L$85,MATCH($E104,科目参数!$M$6:$M$85,0)),"⚠"))</f>
        <v/>
      </c>
      <c r="E104" s="33"/>
      <c r="F104" s="33"/>
      <c r="G104" s="36"/>
      <c r="H104" s="33"/>
      <c r="I104" s="33"/>
      <c r="J104" s="36"/>
      <c r="K104" s="40"/>
      <c r="L104" s="40"/>
      <c r="M104" s="47" t="str">
        <f aca="false">IF($B104="","",IF(NOT(ISNUMBER($B104)),"日期不是日期格式",IF(YEAR($B104)&lt;&gt;首页!$B$3,"不在会计年度",IF($E104="","未选收支科目",IF($D104="⚠","收支科目不存在",IF($F104="","未选账户",IF($T104="","账户未设资金科目",IF(AND($D104="转账",$U104=""),"转入账户无效",IF(AND(N($K104)&gt;0,N($L104)&gt;0),"收支不能同时填",IF(AND($D104="收入",N($K104)&lt;=0),"收入金额须大于0",IF(AND($D104&lt;&gt;"收入",N($L104)&lt;=0),"支出金额须大于0",IF($O104="","借方科目缺失",IF($P104="","贷方科目缺失","√")))))))))))))</f>
        <v/>
      </c>
      <c r="N104" s="48" t="str">
        <f aca="false">IF($B104="","",IF($D104="收入",N($K104),N($L104)))</f>
        <v/>
      </c>
      <c r="O104" s="49" t="str">
        <f aca="false">IF($B104="","",IF($D104="收入",$T104,IF($D104="转账",$U104,$S104)))</f>
        <v/>
      </c>
      <c r="P104" s="49" t="str">
        <f aca="false">IF($B104="","",IF($D104="收入",$S104,$T104))</f>
        <v/>
      </c>
      <c r="Q104" s="50" t="str">
        <f aca="false">IF($E104="","",IF($D104="转账","—",IFERROR(INDEX(科目参数!$P$6:$P$85,MATCH($E104,科目参数!$M$6:$M$85,0)),"")))</f>
        <v/>
      </c>
      <c r="R104" s="48" t="str">
        <f aca="false">IF($B104="","",SUMIFS(期初数据!$B$6:$B$35,期初数据!$A$6:$A$35,$F104)+SUMIFS($N$5:$N104,$F$5:$F104,$F104,$D$5:$D104,"收入")-SUMIFS($N$5:$N104,$F$5:$F104,$F104,$D$5:$D104,"支出")-SUMIFS($N$5:$N104,$F$5:$F104,$F104,$D$5:$D104,"转账")+SUMIFS($N$5:$N104,$G$5:$G104,$F104,$D$5:$D104,"转账"))</f>
        <v/>
      </c>
      <c r="S104" s="49" t="str">
        <f aca="false">IF($E104="","",IFERROR(INDEX(科目参数!$N$6:$N$85,MATCH($E104,科目参数!$M$6:$M$85,0)),""))</f>
        <v/>
      </c>
      <c r="T104" s="49" t="str">
        <f aca="false">IF($F104="","",IFERROR(INDEX(基础资料!$C$6:$C$35,MATCH($F104,基础资料!$A$6:$A$35,0)),""))</f>
        <v/>
      </c>
      <c r="U104" s="49" t="str">
        <f aca="false">IF($G104="","",IFERROR(INDEX(基础资料!$C$6:$C$35,MATCH($G104,基础资料!$A$6:$A$35,0)),""))</f>
        <v/>
      </c>
      <c r="V104" s="49" t="str">
        <f aca="false">IF(AND($G104=客户对账单!$B$3,$E104="客户回款",$B104&gt;=客户对账单!$E$3,$B104&lt;=客户对账单!$H$3),COUNTIFS($G$5:$G104,客户对账单!$B$3,$E$5:$E104,"客户回款",$B$5:$B104,"&gt;="&amp;客户对账单!$E$3,$B$5:$B104,"&lt;="&amp;客户对账单!$H$3),"")</f>
        <v/>
      </c>
      <c r="W104" s="49" t="str">
        <f aca="false">IF(AND($G104=供应商对账单!$B$3,$E104="供应商付款",$B104&gt;=供应商对账单!$E$3,$B104&lt;=供应商对账单!$H$3),COUNTIFS($G$5:$G104,供应商对账单!$B$3,$E$5:$E104,"供应商付款",$B$5:$B104,"&gt;="&amp;供应商对账单!$E$3,$B$5:$B104,"&lt;="&amp;供应商对账单!$H$3),"")</f>
        <v/>
      </c>
    </row>
    <row r="105" customFormat="false" ht="15.75" hidden="false" customHeight="true" outlineLevel="0" collapsed="false">
      <c r="A105" s="42" t="str">
        <f aca="false">IF($B105="","","ZJ"&amp;TEXT($B105,"yyyymm")&amp;"-"&amp;TEXT(ROW()-4,"000"))</f>
        <v/>
      </c>
      <c r="B105" s="41"/>
      <c r="C105" s="42" t="str">
        <f aca="false">IF($B105="","",TEXT($B105,"yyyy-mm"))</f>
        <v/>
      </c>
      <c r="D105" s="42" t="str">
        <f aca="false">IF($E105="","",IFERROR(INDEX(科目参数!$L$6:$L$85,MATCH($E105,科目参数!$M$6:$M$85,0)),"⚠"))</f>
        <v/>
      </c>
      <c r="E105" s="33"/>
      <c r="F105" s="33"/>
      <c r="G105" s="36"/>
      <c r="H105" s="33"/>
      <c r="I105" s="33"/>
      <c r="J105" s="36"/>
      <c r="K105" s="40"/>
      <c r="L105" s="40"/>
      <c r="M105" s="47" t="str">
        <f aca="false">IF($B105="","",IF(NOT(ISNUMBER($B105)),"日期不是日期格式",IF(YEAR($B105)&lt;&gt;首页!$B$3,"不在会计年度",IF($E105="","未选收支科目",IF($D105="⚠","收支科目不存在",IF($F105="","未选账户",IF($T105="","账户未设资金科目",IF(AND($D105="转账",$U105=""),"转入账户无效",IF(AND(N($K105)&gt;0,N($L105)&gt;0),"收支不能同时填",IF(AND($D105="收入",N($K105)&lt;=0),"收入金额须大于0",IF(AND($D105&lt;&gt;"收入",N($L105)&lt;=0),"支出金额须大于0",IF($O105="","借方科目缺失",IF($P105="","贷方科目缺失","√")))))))))))))</f>
        <v/>
      </c>
      <c r="N105" s="48" t="str">
        <f aca="false">IF($B105="","",IF($D105="收入",N($K105),N($L105)))</f>
        <v/>
      </c>
      <c r="O105" s="49" t="str">
        <f aca="false">IF($B105="","",IF($D105="收入",$T105,IF($D105="转账",$U105,$S105)))</f>
        <v/>
      </c>
      <c r="P105" s="49" t="str">
        <f aca="false">IF($B105="","",IF($D105="收入",$S105,$T105))</f>
        <v/>
      </c>
      <c r="Q105" s="50" t="str">
        <f aca="false">IF($E105="","",IF($D105="转账","—",IFERROR(INDEX(科目参数!$P$6:$P$85,MATCH($E105,科目参数!$M$6:$M$85,0)),"")))</f>
        <v/>
      </c>
      <c r="R105" s="48" t="str">
        <f aca="false">IF($B105="","",SUMIFS(期初数据!$B$6:$B$35,期初数据!$A$6:$A$35,$F105)+SUMIFS($N$5:$N105,$F$5:$F105,$F105,$D$5:$D105,"收入")-SUMIFS($N$5:$N105,$F$5:$F105,$F105,$D$5:$D105,"支出")-SUMIFS($N$5:$N105,$F$5:$F105,$F105,$D$5:$D105,"转账")+SUMIFS($N$5:$N105,$G$5:$G105,$F105,$D$5:$D105,"转账"))</f>
        <v/>
      </c>
      <c r="S105" s="49" t="str">
        <f aca="false">IF($E105="","",IFERROR(INDEX(科目参数!$N$6:$N$85,MATCH($E105,科目参数!$M$6:$M$85,0)),""))</f>
        <v/>
      </c>
      <c r="T105" s="49" t="str">
        <f aca="false">IF($F105="","",IFERROR(INDEX(基础资料!$C$6:$C$35,MATCH($F105,基础资料!$A$6:$A$35,0)),""))</f>
        <v/>
      </c>
      <c r="U105" s="49" t="str">
        <f aca="false">IF($G105="","",IFERROR(INDEX(基础资料!$C$6:$C$35,MATCH($G105,基础资料!$A$6:$A$35,0)),""))</f>
        <v/>
      </c>
      <c r="V105" s="49" t="str">
        <f aca="false">IF(AND($G105=客户对账单!$B$3,$E105="客户回款",$B105&gt;=客户对账单!$E$3,$B105&lt;=客户对账单!$H$3),COUNTIFS($G$5:$G105,客户对账单!$B$3,$E$5:$E105,"客户回款",$B$5:$B105,"&gt;="&amp;客户对账单!$E$3,$B$5:$B105,"&lt;="&amp;客户对账单!$H$3),"")</f>
        <v/>
      </c>
      <c r="W105" s="49" t="str">
        <f aca="false">IF(AND($G105=供应商对账单!$B$3,$E105="供应商付款",$B105&gt;=供应商对账单!$E$3,$B105&lt;=供应商对账单!$H$3),COUNTIFS($G$5:$G105,供应商对账单!$B$3,$E$5:$E105,"供应商付款",$B$5:$B105,"&gt;="&amp;供应商对账单!$E$3,$B$5:$B105,"&lt;="&amp;供应商对账单!$H$3),"")</f>
        <v/>
      </c>
    </row>
    <row r="106" customFormat="false" ht="15.75" hidden="false" customHeight="true" outlineLevel="0" collapsed="false">
      <c r="A106" s="42" t="str">
        <f aca="false">IF($B106="","","ZJ"&amp;TEXT($B106,"yyyymm")&amp;"-"&amp;TEXT(ROW()-4,"000"))</f>
        <v/>
      </c>
      <c r="B106" s="41"/>
      <c r="C106" s="42" t="str">
        <f aca="false">IF($B106="","",TEXT($B106,"yyyy-mm"))</f>
        <v/>
      </c>
      <c r="D106" s="42" t="str">
        <f aca="false">IF($E106="","",IFERROR(INDEX(科目参数!$L$6:$L$85,MATCH($E106,科目参数!$M$6:$M$85,0)),"⚠"))</f>
        <v/>
      </c>
      <c r="E106" s="33"/>
      <c r="F106" s="33"/>
      <c r="G106" s="36"/>
      <c r="H106" s="33"/>
      <c r="I106" s="33"/>
      <c r="J106" s="36"/>
      <c r="K106" s="40"/>
      <c r="L106" s="40"/>
      <c r="M106" s="47" t="str">
        <f aca="false">IF($B106="","",IF(NOT(ISNUMBER($B106)),"日期不是日期格式",IF(YEAR($B106)&lt;&gt;首页!$B$3,"不在会计年度",IF($E106="","未选收支科目",IF($D106="⚠","收支科目不存在",IF($F106="","未选账户",IF($T106="","账户未设资金科目",IF(AND($D106="转账",$U106=""),"转入账户无效",IF(AND(N($K106)&gt;0,N($L106)&gt;0),"收支不能同时填",IF(AND($D106="收入",N($K106)&lt;=0),"收入金额须大于0",IF(AND($D106&lt;&gt;"收入",N($L106)&lt;=0),"支出金额须大于0",IF($O106="","借方科目缺失",IF($P106="","贷方科目缺失","√")))))))))))))</f>
        <v/>
      </c>
      <c r="N106" s="48" t="str">
        <f aca="false">IF($B106="","",IF($D106="收入",N($K106),N($L106)))</f>
        <v/>
      </c>
      <c r="O106" s="49" t="str">
        <f aca="false">IF($B106="","",IF($D106="收入",$T106,IF($D106="转账",$U106,$S106)))</f>
        <v/>
      </c>
      <c r="P106" s="49" t="str">
        <f aca="false">IF($B106="","",IF($D106="收入",$S106,$T106))</f>
        <v/>
      </c>
      <c r="Q106" s="50" t="str">
        <f aca="false">IF($E106="","",IF($D106="转账","—",IFERROR(INDEX(科目参数!$P$6:$P$85,MATCH($E106,科目参数!$M$6:$M$85,0)),"")))</f>
        <v/>
      </c>
      <c r="R106" s="48" t="str">
        <f aca="false">IF($B106="","",SUMIFS(期初数据!$B$6:$B$35,期初数据!$A$6:$A$35,$F106)+SUMIFS($N$5:$N106,$F$5:$F106,$F106,$D$5:$D106,"收入")-SUMIFS($N$5:$N106,$F$5:$F106,$F106,$D$5:$D106,"支出")-SUMIFS($N$5:$N106,$F$5:$F106,$F106,$D$5:$D106,"转账")+SUMIFS($N$5:$N106,$G$5:$G106,$F106,$D$5:$D106,"转账"))</f>
        <v/>
      </c>
      <c r="S106" s="49" t="str">
        <f aca="false">IF($E106="","",IFERROR(INDEX(科目参数!$N$6:$N$85,MATCH($E106,科目参数!$M$6:$M$85,0)),""))</f>
        <v/>
      </c>
      <c r="T106" s="49" t="str">
        <f aca="false">IF($F106="","",IFERROR(INDEX(基础资料!$C$6:$C$35,MATCH($F106,基础资料!$A$6:$A$35,0)),""))</f>
        <v/>
      </c>
      <c r="U106" s="49" t="str">
        <f aca="false">IF($G106="","",IFERROR(INDEX(基础资料!$C$6:$C$35,MATCH($G106,基础资料!$A$6:$A$35,0)),""))</f>
        <v/>
      </c>
      <c r="V106" s="49" t="str">
        <f aca="false">IF(AND($G106=客户对账单!$B$3,$E106="客户回款",$B106&gt;=客户对账单!$E$3,$B106&lt;=客户对账单!$H$3),COUNTIFS($G$5:$G106,客户对账单!$B$3,$E$5:$E106,"客户回款",$B$5:$B106,"&gt;="&amp;客户对账单!$E$3,$B$5:$B106,"&lt;="&amp;客户对账单!$H$3),"")</f>
        <v/>
      </c>
      <c r="W106" s="49" t="str">
        <f aca="false">IF(AND($G106=供应商对账单!$B$3,$E106="供应商付款",$B106&gt;=供应商对账单!$E$3,$B106&lt;=供应商对账单!$H$3),COUNTIFS($G$5:$G106,供应商对账单!$B$3,$E$5:$E106,"供应商付款",$B$5:$B106,"&gt;="&amp;供应商对账单!$E$3,$B$5:$B106,"&lt;="&amp;供应商对账单!$H$3),"")</f>
        <v/>
      </c>
    </row>
    <row r="107" customFormat="false" ht="15.75" hidden="false" customHeight="true" outlineLevel="0" collapsed="false">
      <c r="A107" s="42" t="str">
        <f aca="false">IF($B107="","","ZJ"&amp;TEXT($B107,"yyyymm")&amp;"-"&amp;TEXT(ROW()-4,"000"))</f>
        <v/>
      </c>
      <c r="B107" s="41"/>
      <c r="C107" s="42" t="str">
        <f aca="false">IF($B107="","",TEXT($B107,"yyyy-mm"))</f>
        <v/>
      </c>
      <c r="D107" s="42" t="str">
        <f aca="false">IF($E107="","",IFERROR(INDEX(科目参数!$L$6:$L$85,MATCH($E107,科目参数!$M$6:$M$85,0)),"⚠"))</f>
        <v/>
      </c>
      <c r="E107" s="33"/>
      <c r="F107" s="33"/>
      <c r="G107" s="36"/>
      <c r="H107" s="33"/>
      <c r="I107" s="33"/>
      <c r="J107" s="36"/>
      <c r="K107" s="40"/>
      <c r="L107" s="40"/>
      <c r="M107" s="47" t="str">
        <f aca="false">IF($B107="","",IF(NOT(ISNUMBER($B107)),"日期不是日期格式",IF(YEAR($B107)&lt;&gt;首页!$B$3,"不在会计年度",IF($E107="","未选收支科目",IF($D107="⚠","收支科目不存在",IF($F107="","未选账户",IF($T107="","账户未设资金科目",IF(AND($D107="转账",$U107=""),"转入账户无效",IF(AND(N($K107)&gt;0,N($L107)&gt;0),"收支不能同时填",IF(AND($D107="收入",N($K107)&lt;=0),"收入金额须大于0",IF(AND($D107&lt;&gt;"收入",N($L107)&lt;=0),"支出金额须大于0",IF($O107="","借方科目缺失",IF($P107="","贷方科目缺失","√")))))))))))))</f>
        <v/>
      </c>
      <c r="N107" s="48" t="str">
        <f aca="false">IF($B107="","",IF($D107="收入",N($K107),N($L107)))</f>
        <v/>
      </c>
      <c r="O107" s="49" t="str">
        <f aca="false">IF($B107="","",IF($D107="收入",$T107,IF($D107="转账",$U107,$S107)))</f>
        <v/>
      </c>
      <c r="P107" s="49" t="str">
        <f aca="false">IF($B107="","",IF($D107="收入",$S107,$T107))</f>
        <v/>
      </c>
      <c r="Q107" s="50" t="str">
        <f aca="false">IF($E107="","",IF($D107="转账","—",IFERROR(INDEX(科目参数!$P$6:$P$85,MATCH($E107,科目参数!$M$6:$M$85,0)),"")))</f>
        <v/>
      </c>
      <c r="R107" s="48" t="str">
        <f aca="false">IF($B107="","",SUMIFS(期初数据!$B$6:$B$35,期初数据!$A$6:$A$35,$F107)+SUMIFS($N$5:$N107,$F$5:$F107,$F107,$D$5:$D107,"收入")-SUMIFS($N$5:$N107,$F$5:$F107,$F107,$D$5:$D107,"支出")-SUMIFS($N$5:$N107,$F$5:$F107,$F107,$D$5:$D107,"转账")+SUMIFS($N$5:$N107,$G$5:$G107,$F107,$D$5:$D107,"转账"))</f>
        <v/>
      </c>
      <c r="S107" s="49" t="str">
        <f aca="false">IF($E107="","",IFERROR(INDEX(科目参数!$N$6:$N$85,MATCH($E107,科目参数!$M$6:$M$85,0)),""))</f>
        <v/>
      </c>
      <c r="T107" s="49" t="str">
        <f aca="false">IF($F107="","",IFERROR(INDEX(基础资料!$C$6:$C$35,MATCH($F107,基础资料!$A$6:$A$35,0)),""))</f>
        <v/>
      </c>
      <c r="U107" s="49" t="str">
        <f aca="false">IF($G107="","",IFERROR(INDEX(基础资料!$C$6:$C$35,MATCH($G107,基础资料!$A$6:$A$35,0)),""))</f>
        <v/>
      </c>
      <c r="V107" s="49" t="str">
        <f aca="false">IF(AND($G107=客户对账单!$B$3,$E107="客户回款",$B107&gt;=客户对账单!$E$3,$B107&lt;=客户对账单!$H$3),COUNTIFS($G$5:$G107,客户对账单!$B$3,$E$5:$E107,"客户回款",$B$5:$B107,"&gt;="&amp;客户对账单!$E$3,$B$5:$B107,"&lt;="&amp;客户对账单!$H$3),"")</f>
        <v/>
      </c>
      <c r="W107" s="49" t="str">
        <f aca="false">IF(AND($G107=供应商对账单!$B$3,$E107="供应商付款",$B107&gt;=供应商对账单!$E$3,$B107&lt;=供应商对账单!$H$3),COUNTIFS($G$5:$G107,供应商对账单!$B$3,$E$5:$E107,"供应商付款",$B$5:$B107,"&gt;="&amp;供应商对账单!$E$3,$B$5:$B107,"&lt;="&amp;供应商对账单!$H$3),"")</f>
        <v/>
      </c>
    </row>
    <row r="108" customFormat="false" ht="15.75" hidden="false" customHeight="true" outlineLevel="0" collapsed="false">
      <c r="A108" s="42" t="str">
        <f aca="false">IF($B108="","","ZJ"&amp;TEXT($B108,"yyyymm")&amp;"-"&amp;TEXT(ROW()-4,"000"))</f>
        <v/>
      </c>
      <c r="B108" s="41"/>
      <c r="C108" s="42" t="str">
        <f aca="false">IF($B108="","",TEXT($B108,"yyyy-mm"))</f>
        <v/>
      </c>
      <c r="D108" s="42" t="str">
        <f aca="false">IF($E108="","",IFERROR(INDEX(科目参数!$L$6:$L$85,MATCH($E108,科目参数!$M$6:$M$85,0)),"⚠"))</f>
        <v/>
      </c>
      <c r="E108" s="33"/>
      <c r="F108" s="33"/>
      <c r="G108" s="36"/>
      <c r="H108" s="33"/>
      <c r="I108" s="33"/>
      <c r="J108" s="36"/>
      <c r="K108" s="40"/>
      <c r="L108" s="40"/>
      <c r="M108" s="47" t="str">
        <f aca="false">IF($B108="","",IF(NOT(ISNUMBER($B108)),"日期不是日期格式",IF(YEAR($B108)&lt;&gt;首页!$B$3,"不在会计年度",IF($E108="","未选收支科目",IF($D108="⚠","收支科目不存在",IF($F108="","未选账户",IF($T108="","账户未设资金科目",IF(AND($D108="转账",$U108=""),"转入账户无效",IF(AND(N($K108)&gt;0,N($L108)&gt;0),"收支不能同时填",IF(AND($D108="收入",N($K108)&lt;=0),"收入金额须大于0",IF(AND($D108&lt;&gt;"收入",N($L108)&lt;=0),"支出金额须大于0",IF($O108="","借方科目缺失",IF($P108="","贷方科目缺失","√")))))))))))))</f>
        <v/>
      </c>
      <c r="N108" s="48" t="str">
        <f aca="false">IF($B108="","",IF($D108="收入",N($K108),N($L108)))</f>
        <v/>
      </c>
      <c r="O108" s="49" t="str">
        <f aca="false">IF($B108="","",IF($D108="收入",$T108,IF($D108="转账",$U108,$S108)))</f>
        <v/>
      </c>
      <c r="P108" s="49" t="str">
        <f aca="false">IF($B108="","",IF($D108="收入",$S108,$T108))</f>
        <v/>
      </c>
      <c r="Q108" s="50" t="str">
        <f aca="false">IF($E108="","",IF($D108="转账","—",IFERROR(INDEX(科目参数!$P$6:$P$85,MATCH($E108,科目参数!$M$6:$M$85,0)),"")))</f>
        <v/>
      </c>
      <c r="R108" s="48" t="str">
        <f aca="false">IF($B108="","",SUMIFS(期初数据!$B$6:$B$35,期初数据!$A$6:$A$35,$F108)+SUMIFS($N$5:$N108,$F$5:$F108,$F108,$D$5:$D108,"收入")-SUMIFS($N$5:$N108,$F$5:$F108,$F108,$D$5:$D108,"支出")-SUMIFS($N$5:$N108,$F$5:$F108,$F108,$D$5:$D108,"转账")+SUMIFS($N$5:$N108,$G$5:$G108,$F108,$D$5:$D108,"转账"))</f>
        <v/>
      </c>
      <c r="S108" s="49" t="str">
        <f aca="false">IF($E108="","",IFERROR(INDEX(科目参数!$N$6:$N$85,MATCH($E108,科目参数!$M$6:$M$85,0)),""))</f>
        <v/>
      </c>
      <c r="T108" s="49" t="str">
        <f aca="false">IF($F108="","",IFERROR(INDEX(基础资料!$C$6:$C$35,MATCH($F108,基础资料!$A$6:$A$35,0)),""))</f>
        <v/>
      </c>
      <c r="U108" s="49" t="str">
        <f aca="false">IF($G108="","",IFERROR(INDEX(基础资料!$C$6:$C$35,MATCH($G108,基础资料!$A$6:$A$35,0)),""))</f>
        <v/>
      </c>
      <c r="V108" s="49" t="str">
        <f aca="false">IF(AND($G108=客户对账单!$B$3,$E108="客户回款",$B108&gt;=客户对账单!$E$3,$B108&lt;=客户对账单!$H$3),COUNTIFS($G$5:$G108,客户对账单!$B$3,$E$5:$E108,"客户回款",$B$5:$B108,"&gt;="&amp;客户对账单!$E$3,$B$5:$B108,"&lt;="&amp;客户对账单!$H$3),"")</f>
        <v/>
      </c>
      <c r="W108" s="49" t="str">
        <f aca="false">IF(AND($G108=供应商对账单!$B$3,$E108="供应商付款",$B108&gt;=供应商对账单!$E$3,$B108&lt;=供应商对账单!$H$3),COUNTIFS($G$5:$G108,供应商对账单!$B$3,$E$5:$E108,"供应商付款",$B$5:$B108,"&gt;="&amp;供应商对账单!$E$3,$B$5:$B108,"&lt;="&amp;供应商对账单!$H$3),"")</f>
        <v/>
      </c>
    </row>
    <row r="109" customFormat="false" ht="15.75" hidden="false" customHeight="true" outlineLevel="0" collapsed="false">
      <c r="A109" s="42" t="str">
        <f aca="false">IF($B109="","","ZJ"&amp;TEXT($B109,"yyyymm")&amp;"-"&amp;TEXT(ROW()-4,"000"))</f>
        <v/>
      </c>
      <c r="B109" s="41"/>
      <c r="C109" s="42" t="str">
        <f aca="false">IF($B109="","",TEXT($B109,"yyyy-mm"))</f>
        <v/>
      </c>
      <c r="D109" s="42" t="str">
        <f aca="false">IF($E109="","",IFERROR(INDEX(科目参数!$L$6:$L$85,MATCH($E109,科目参数!$M$6:$M$85,0)),"⚠"))</f>
        <v/>
      </c>
      <c r="E109" s="33"/>
      <c r="F109" s="33"/>
      <c r="G109" s="36"/>
      <c r="H109" s="33"/>
      <c r="I109" s="33"/>
      <c r="J109" s="36"/>
      <c r="K109" s="40"/>
      <c r="L109" s="40"/>
      <c r="M109" s="47" t="str">
        <f aca="false">IF($B109="","",IF(NOT(ISNUMBER($B109)),"日期不是日期格式",IF(YEAR($B109)&lt;&gt;首页!$B$3,"不在会计年度",IF($E109="","未选收支科目",IF($D109="⚠","收支科目不存在",IF($F109="","未选账户",IF($T109="","账户未设资金科目",IF(AND($D109="转账",$U109=""),"转入账户无效",IF(AND(N($K109)&gt;0,N($L109)&gt;0),"收支不能同时填",IF(AND($D109="收入",N($K109)&lt;=0),"收入金额须大于0",IF(AND($D109&lt;&gt;"收入",N($L109)&lt;=0),"支出金额须大于0",IF($O109="","借方科目缺失",IF($P109="","贷方科目缺失","√")))))))))))))</f>
        <v/>
      </c>
      <c r="N109" s="48" t="str">
        <f aca="false">IF($B109="","",IF($D109="收入",N($K109),N($L109)))</f>
        <v/>
      </c>
      <c r="O109" s="49" t="str">
        <f aca="false">IF($B109="","",IF($D109="收入",$T109,IF($D109="转账",$U109,$S109)))</f>
        <v/>
      </c>
      <c r="P109" s="49" t="str">
        <f aca="false">IF($B109="","",IF($D109="收入",$S109,$T109))</f>
        <v/>
      </c>
      <c r="Q109" s="50" t="str">
        <f aca="false">IF($E109="","",IF($D109="转账","—",IFERROR(INDEX(科目参数!$P$6:$P$85,MATCH($E109,科目参数!$M$6:$M$85,0)),"")))</f>
        <v/>
      </c>
      <c r="R109" s="48" t="str">
        <f aca="false">IF($B109="","",SUMIFS(期初数据!$B$6:$B$35,期初数据!$A$6:$A$35,$F109)+SUMIFS($N$5:$N109,$F$5:$F109,$F109,$D$5:$D109,"收入")-SUMIFS($N$5:$N109,$F$5:$F109,$F109,$D$5:$D109,"支出")-SUMIFS($N$5:$N109,$F$5:$F109,$F109,$D$5:$D109,"转账")+SUMIFS($N$5:$N109,$G$5:$G109,$F109,$D$5:$D109,"转账"))</f>
        <v/>
      </c>
      <c r="S109" s="49" t="str">
        <f aca="false">IF($E109="","",IFERROR(INDEX(科目参数!$N$6:$N$85,MATCH($E109,科目参数!$M$6:$M$85,0)),""))</f>
        <v/>
      </c>
      <c r="T109" s="49" t="str">
        <f aca="false">IF($F109="","",IFERROR(INDEX(基础资料!$C$6:$C$35,MATCH($F109,基础资料!$A$6:$A$35,0)),""))</f>
        <v/>
      </c>
      <c r="U109" s="49" t="str">
        <f aca="false">IF($G109="","",IFERROR(INDEX(基础资料!$C$6:$C$35,MATCH($G109,基础资料!$A$6:$A$35,0)),""))</f>
        <v/>
      </c>
      <c r="V109" s="49" t="str">
        <f aca="false">IF(AND($G109=客户对账单!$B$3,$E109="客户回款",$B109&gt;=客户对账单!$E$3,$B109&lt;=客户对账单!$H$3),COUNTIFS($G$5:$G109,客户对账单!$B$3,$E$5:$E109,"客户回款",$B$5:$B109,"&gt;="&amp;客户对账单!$E$3,$B$5:$B109,"&lt;="&amp;客户对账单!$H$3),"")</f>
        <v/>
      </c>
      <c r="W109" s="49" t="str">
        <f aca="false">IF(AND($G109=供应商对账单!$B$3,$E109="供应商付款",$B109&gt;=供应商对账单!$E$3,$B109&lt;=供应商对账单!$H$3),COUNTIFS($G$5:$G109,供应商对账单!$B$3,$E$5:$E109,"供应商付款",$B$5:$B109,"&gt;="&amp;供应商对账单!$E$3,$B$5:$B109,"&lt;="&amp;供应商对账单!$H$3),"")</f>
        <v/>
      </c>
    </row>
    <row r="110" customFormat="false" ht="15.75" hidden="false" customHeight="true" outlineLevel="0" collapsed="false">
      <c r="A110" s="42" t="str">
        <f aca="false">IF($B110="","","ZJ"&amp;TEXT($B110,"yyyymm")&amp;"-"&amp;TEXT(ROW()-4,"000"))</f>
        <v/>
      </c>
      <c r="B110" s="41"/>
      <c r="C110" s="42" t="str">
        <f aca="false">IF($B110="","",TEXT($B110,"yyyy-mm"))</f>
        <v/>
      </c>
      <c r="D110" s="42" t="str">
        <f aca="false">IF($E110="","",IFERROR(INDEX(科目参数!$L$6:$L$85,MATCH($E110,科目参数!$M$6:$M$85,0)),"⚠"))</f>
        <v/>
      </c>
      <c r="E110" s="33"/>
      <c r="F110" s="33"/>
      <c r="G110" s="36"/>
      <c r="H110" s="33"/>
      <c r="I110" s="33"/>
      <c r="J110" s="36"/>
      <c r="K110" s="40"/>
      <c r="L110" s="40"/>
      <c r="M110" s="47" t="str">
        <f aca="false">IF($B110="","",IF(NOT(ISNUMBER($B110)),"日期不是日期格式",IF(YEAR($B110)&lt;&gt;首页!$B$3,"不在会计年度",IF($E110="","未选收支科目",IF($D110="⚠","收支科目不存在",IF($F110="","未选账户",IF($T110="","账户未设资金科目",IF(AND($D110="转账",$U110=""),"转入账户无效",IF(AND(N($K110)&gt;0,N($L110)&gt;0),"收支不能同时填",IF(AND($D110="收入",N($K110)&lt;=0),"收入金额须大于0",IF(AND($D110&lt;&gt;"收入",N($L110)&lt;=0),"支出金额须大于0",IF($O110="","借方科目缺失",IF($P110="","贷方科目缺失","√")))))))))))))</f>
        <v/>
      </c>
      <c r="N110" s="48" t="str">
        <f aca="false">IF($B110="","",IF($D110="收入",N($K110),N($L110)))</f>
        <v/>
      </c>
      <c r="O110" s="49" t="str">
        <f aca="false">IF($B110="","",IF($D110="收入",$T110,IF($D110="转账",$U110,$S110)))</f>
        <v/>
      </c>
      <c r="P110" s="49" t="str">
        <f aca="false">IF($B110="","",IF($D110="收入",$S110,$T110))</f>
        <v/>
      </c>
      <c r="Q110" s="50" t="str">
        <f aca="false">IF($E110="","",IF($D110="转账","—",IFERROR(INDEX(科目参数!$P$6:$P$85,MATCH($E110,科目参数!$M$6:$M$85,0)),"")))</f>
        <v/>
      </c>
      <c r="R110" s="48" t="str">
        <f aca="false">IF($B110="","",SUMIFS(期初数据!$B$6:$B$35,期初数据!$A$6:$A$35,$F110)+SUMIFS($N$5:$N110,$F$5:$F110,$F110,$D$5:$D110,"收入")-SUMIFS($N$5:$N110,$F$5:$F110,$F110,$D$5:$D110,"支出")-SUMIFS($N$5:$N110,$F$5:$F110,$F110,$D$5:$D110,"转账")+SUMIFS($N$5:$N110,$G$5:$G110,$F110,$D$5:$D110,"转账"))</f>
        <v/>
      </c>
      <c r="S110" s="49" t="str">
        <f aca="false">IF($E110="","",IFERROR(INDEX(科目参数!$N$6:$N$85,MATCH($E110,科目参数!$M$6:$M$85,0)),""))</f>
        <v/>
      </c>
      <c r="T110" s="49" t="str">
        <f aca="false">IF($F110="","",IFERROR(INDEX(基础资料!$C$6:$C$35,MATCH($F110,基础资料!$A$6:$A$35,0)),""))</f>
        <v/>
      </c>
      <c r="U110" s="49" t="str">
        <f aca="false">IF($G110="","",IFERROR(INDEX(基础资料!$C$6:$C$35,MATCH($G110,基础资料!$A$6:$A$35,0)),""))</f>
        <v/>
      </c>
      <c r="V110" s="49" t="str">
        <f aca="false">IF(AND($G110=客户对账单!$B$3,$E110="客户回款",$B110&gt;=客户对账单!$E$3,$B110&lt;=客户对账单!$H$3),COUNTIFS($G$5:$G110,客户对账单!$B$3,$E$5:$E110,"客户回款",$B$5:$B110,"&gt;="&amp;客户对账单!$E$3,$B$5:$B110,"&lt;="&amp;客户对账单!$H$3),"")</f>
        <v/>
      </c>
      <c r="W110" s="49" t="str">
        <f aca="false">IF(AND($G110=供应商对账单!$B$3,$E110="供应商付款",$B110&gt;=供应商对账单!$E$3,$B110&lt;=供应商对账单!$H$3),COUNTIFS($G$5:$G110,供应商对账单!$B$3,$E$5:$E110,"供应商付款",$B$5:$B110,"&gt;="&amp;供应商对账单!$E$3,$B$5:$B110,"&lt;="&amp;供应商对账单!$H$3),"")</f>
        <v/>
      </c>
    </row>
    <row r="111" customFormat="false" ht="15.75" hidden="false" customHeight="true" outlineLevel="0" collapsed="false">
      <c r="A111" s="42" t="str">
        <f aca="false">IF($B111="","","ZJ"&amp;TEXT($B111,"yyyymm")&amp;"-"&amp;TEXT(ROW()-4,"000"))</f>
        <v/>
      </c>
      <c r="B111" s="41"/>
      <c r="C111" s="42" t="str">
        <f aca="false">IF($B111="","",TEXT($B111,"yyyy-mm"))</f>
        <v/>
      </c>
      <c r="D111" s="42" t="str">
        <f aca="false">IF($E111="","",IFERROR(INDEX(科目参数!$L$6:$L$85,MATCH($E111,科目参数!$M$6:$M$85,0)),"⚠"))</f>
        <v/>
      </c>
      <c r="E111" s="33"/>
      <c r="F111" s="33"/>
      <c r="G111" s="36"/>
      <c r="H111" s="33"/>
      <c r="I111" s="33"/>
      <c r="J111" s="36"/>
      <c r="K111" s="40"/>
      <c r="L111" s="40"/>
      <c r="M111" s="47" t="str">
        <f aca="false">IF($B111="","",IF(NOT(ISNUMBER($B111)),"日期不是日期格式",IF(YEAR($B111)&lt;&gt;首页!$B$3,"不在会计年度",IF($E111="","未选收支科目",IF($D111="⚠","收支科目不存在",IF($F111="","未选账户",IF($T111="","账户未设资金科目",IF(AND($D111="转账",$U111=""),"转入账户无效",IF(AND(N($K111)&gt;0,N($L111)&gt;0),"收支不能同时填",IF(AND($D111="收入",N($K111)&lt;=0),"收入金额须大于0",IF(AND($D111&lt;&gt;"收入",N($L111)&lt;=0),"支出金额须大于0",IF($O111="","借方科目缺失",IF($P111="","贷方科目缺失","√")))))))))))))</f>
        <v/>
      </c>
      <c r="N111" s="48" t="str">
        <f aca="false">IF($B111="","",IF($D111="收入",N($K111),N($L111)))</f>
        <v/>
      </c>
      <c r="O111" s="49" t="str">
        <f aca="false">IF($B111="","",IF($D111="收入",$T111,IF($D111="转账",$U111,$S111)))</f>
        <v/>
      </c>
      <c r="P111" s="49" t="str">
        <f aca="false">IF($B111="","",IF($D111="收入",$S111,$T111))</f>
        <v/>
      </c>
      <c r="Q111" s="50" t="str">
        <f aca="false">IF($E111="","",IF($D111="转账","—",IFERROR(INDEX(科目参数!$P$6:$P$85,MATCH($E111,科目参数!$M$6:$M$85,0)),"")))</f>
        <v/>
      </c>
      <c r="R111" s="48" t="str">
        <f aca="false">IF($B111="","",SUMIFS(期初数据!$B$6:$B$35,期初数据!$A$6:$A$35,$F111)+SUMIFS($N$5:$N111,$F$5:$F111,$F111,$D$5:$D111,"收入")-SUMIFS($N$5:$N111,$F$5:$F111,$F111,$D$5:$D111,"支出")-SUMIFS($N$5:$N111,$F$5:$F111,$F111,$D$5:$D111,"转账")+SUMIFS($N$5:$N111,$G$5:$G111,$F111,$D$5:$D111,"转账"))</f>
        <v/>
      </c>
      <c r="S111" s="49" t="str">
        <f aca="false">IF($E111="","",IFERROR(INDEX(科目参数!$N$6:$N$85,MATCH($E111,科目参数!$M$6:$M$85,0)),""))</f>
        <v/>
      </c>
      <c r="T111" s="49" t="str">
        <f aca="false">IF($F111="","",IFERROR(INDEX(基础资料!$C$6:$C$35,MATCH($F111,基础资料!$A$6:$A$35,0)),""))</f>
        <v/>
      </c>
      <c r="U111" s="49" t="str">
        <f aca="false">IF($G111="","",IFERROR(INDEX(基础资料!$C$6:$C$35,MATCH($G111,基础资料!$A$6:$A$35,0)),""))</f>
        <v/>
      </c>
      <c r="V111" s="49" t="str">
        <f aca="false">IF(AND($G111=客户对账单!$B$3,$E111="客户回款",$B111&gt;=客户对账单!$E$3,$B111&lt;=客户对账单!$H$3),COUNTIFS($G$5:$G111,客户对账单!$B$3,$E$5:$E111,"客户回款",$B$5:$B111,"&gt;="&amp;客户对账单!$E$3,$B$5:$B111,"&lt;="&amp;客户对账单!$H$3),"")</f>
        <v/>
      </c>
      <c r="W111" s="49" t="str">
        <f aca="false">IF(AND($G111=供应商对账单!$B$3,$E111="供应商付款",$B111&gt;=供应商对账单!$E$3,$B111&lt;=供应商对账单!$H$3),COUNTIFS($G$5:$G111,供应商对账单!$B$3,$E$5:$E111,"供应商付款",$B$5:$B111,"&gt;="&amp;供应商对账单!$E$3,$B$5:$B111,"&lt;="&amp;供应商对账单!$H$3),"")</f>
        <v/>
      </c>
    </row>
    <row r="112" customFormat="false" ht="15.75" hidden="false" customHeight="true" outlineLevel="0" collapsed="false">
      <c r="A112" s="42" t="str">
        <f aca="false">IF($B112="","","ZJ"&amp;TEXT($B112,"yyyymm")&amp;"-"&amp;TEXT(ROW()-4,"000"))</f>
        <v/>
      </c>
      <c r="B112" s="41"/>
      <c r="C112" s="42" t="str">
        <f aca="false">IF($B112="","",TEXT($B112,"yyyy-mm"))</f>
        <v/>
      </c>
      <c r="D112" s="42" t="str">
        <f aca="false">IF($E112="","",IFERROR(INDEX(科目参数!$L$6:$L$85,MATCH($E112,科目参数!$M$6:$M$85,0)),"⚠"))</f>
        <v/>
      </c>
      <c r="E112" s="33"/>
      <c r="F112" s="33"/>
      <c r="G112" s="36"/>
      <c r="H112" s="33"/>
      <c r="I112" s="33"/>
      <c r="J112" s="36"/>
      <c r="K112" s="40"/>
      <c r="L112" s="40"/>
      <c r="M112" s="47" t="str">
        <f aca="false">IF($B112="","",IF(NOT(ISNUMBER($B112)),"日期不是日期格式",IF(YEAR($B112)&lt;&gt;首页!$B$3,"不在会计年度",IF($E112="","未选收支科目",IF($D112="⚠","收支科目不存在",IF($F112="","未选账户",IF($T112="","账户未设资金科目",IF(AND($D112="转账",$U112=""),"转入账户无效",IF(AND(N($K112)&gt;0,N($L112)&gt;0),"收支不能同时填",IF(AND($D112="收入",N($K112)&lt;=0),"收入金额须大于0",IF(AND($D112&lt;&gt;"收入",N($L112)&lt;=0),"支出金额须大于0",IF($O112="","借方科目缺失",IF($P112="","贷方科目缺失","√")))))))))))))</f>
        <v/>
      </c>
      <c r="N112" s="48" t="str">
        <f aca="false">IF($B112="","",IF($D112="收入",N($K112),N($L112)))</f>
        <v/>
      </c>
      <c r="O112" s="49" t="str">
        <f aca="false">IF($B112="","",IF($D112="收入",$T112,IF($D112="转账",$U112,$S112)))</f>
        <v/>
      </c>
      <c r="P112" s="49" t="str">
        <f aca="false">IF($B112="","",IF($D112="收入",$S112,$T112))</f>
        <v/>
      </c>
      <c r="Q112" s="50" t="str">
        <f aca="false">IF($E112="","",IF($D112="转账","—",IFERROR(INDEX(科目参数!$P$6:$P$85,MATCH($E112,科目参数!$M$6:$M$85,0)),"")))</f>
        <v/>
      </c>
      <c r="R112" s="48" t="str">
        <f aca="false">IF($B112="","",SUMIFS(期初数据!$B$6:$B$35,期初数据!$A$6:$A$35,$F112)+SUMIFS($N$5:$N112,$F$5:$F112,$F112,$D$5:$D112,"收入")-SUMIFS($N$5:$N112,$F$5:$F112,$F112,$D$5:$D112,"支出")-SUMIFS($N$5:$N112,$F$5:$F112,$F112,$D$5:$D112,"转账")+SUMIFS($N$5:$N112,$G$5:$G112,$F112,$D$5:$D112,"转账"))</f>
        <v/>
      </c>
      <c r="S112" s="49" t="str">
        <f aca="false">IF($E112="","",IFERROR(INDEX(科目参数!$N$6:$N$85,MATCH($E112,科目参数!$M$6:$M$85,0)),""))</f>
        <v/>
      </c>
      <c r="T112" s="49" t="str">
        <f aca="false">IF($F112="","",IFERROR(INDEX(基础资料!$C$6:$C$35,MATCH($F112,基础资料!$A$6:$A$35,0)),""))</f>
        <v/>
      </c>
      <c r="U112" s="49" t="str">
        <f aca="false">IF($G112="","",IFERROR(INDEX(基础资料!$C$6:$C$35,MATCH($G112,基础资料!$A$6:$A$35,0)),""))</f>
        <v/>
      </c>
      <c r="V112" s="49" t="str">
        <f aca="false">IF(AND($G112=客户对账单!$B$3,$E112="客户回款",$B112&gt;=客户对账单!$E$3,$B112&lt;=客户对账单!$H$3),COUNTIFS($G$5:$G112,客户对账单!$B$3,$E$5:$E112,"客户回款",$B$5:$B112,"&gt;="&amp;客户对账单!$E$3,$B$5:$B112,"&lt;="&amp;客户对账单!$H$3),"")</f>
        <v/>
      </c>
      <c r="W112" s="49" t="str">
        <f aca="false">IF(AND($G112=供应商对账单!$B$3,$E112="供应商付款",$B112&gt;=供应商对账单!$E$3,$B112&lt;=供应商对账单!$H$3),COUNTIFS($G$5:$G112,供应商对账单!$B$3,$E$5:$E112,"供应商付款",$B$5:$B112,"&gt;="&amp;供应商对账单!$E$3,$B$5:$B112,"&lt;="&amp;供应商对账单!$H$3),"")</f>
        <v/>
      </c>
    </row>
    <row r="113" customFormat="false" ht="15.75" hidden="false" customHeight="true" outlineLevel="0" collapsed="false">
      <c r="A113" s="42" t="str">
        <f aca="false">IF($B113="","","ZJ"&amp;TEXT($B113,"yyyymm")&amp;"-"&amp;TEXT(ROW()-4,"000"))</f>
        <v/>
      </c>
      <c r="B113" s="41"/>
      <c r="C113" s="42" t="str">
        <f aca="false">IF($B113="","",TEXT($B113,"yyyy-mm"))</f>
        <v/>
      </c>
      <c r="D113" s="42" t="str">
        <f aca="false">IF($E113="","",IFERROR(INDEX(科目参数!$L$6:$L$85,MATCH($E113,科目参数!$M$6:$M$85,0)),"⚠"))</f>
        <v/>
      </c>
      <c r="E113" s="33"/>
      <c r="F113" s="33"/>
      <c r="G113" s="36"/>
      <c r="H113" s="33"/>
      <c r="I113" s="33"/>
      <c r="J113" s="36"/>
      <c r="K113" s="40"/>
      <c r="L113" s="40"/>
      <c r="M113" s="47" t="str">
        <f aca="false">IF($B113="","",IF(NOT(ISNUMBER($B113)),"日期不是日期格式",IF(YEAR($B113)&lt;&gt;首页!$B$3,"不在会计年度",IF($E113="","未选收支科目",IF($D113="⚠","收支科目不存在",IF($F113="","未选账户",IF($T113="","账户未设资金科目",IF(AND($D113="转账",$U113=""),"转入账户无效",IF(AND(N($K113)&gt;0,N($L113)&gt;0),"收支不能同时填",IF(AND($D113="收入",N($K113)&lt;=0),"收入金额须大于0",IF(AND($D113&lt;&gt;"收入",N($L113)&lt;=0),"支出金额须大于0",IF($O113="","借方科目缺失",IF($P113="","贷方科目缺失","√")))))))))))))</f>
        <v/>
      </c>
      <c r="N113" s="48" t="str">
        <f aca="false">IF($B113="","",IF($D113="收入",N($K113),N($L113)))</f>
        <v/>
      </c>
      <c r="O113" s="49" t="str">
        <f aca="false">IF($B113="","",IF($D113="收入",$T113,IF($D113="转账",$U113,$S113)))</f>
        <v/>
      </c>
      <c r="P113" s="49" t="str">
        <f aca="false">IF($B113="","",IF($D113="收入",$S113,$T113))</f>
        <v/>
      </c>
      <c r="Q113" s="50" t="str">
        <f aca="false">IF($E113="","",IF($D113="转账","—",IFERROR(INDEX(科目参数!$P$6:$P$85,MATCH($E113,科目参数!$M$6:$M$85,0)),"")))</f>
        <v/>
      </c>
      <c r="R113" s="48" t="str">
        <f aca="false">IF($B113="","",SUMIFS(期初数据!$B$6:$B$35,期初数据!$A$6:$A$35,$F113)+SUMIFS($N$5:$N113,$F$5:$F113,$F113,$D$5:$D113,"收入")-SUMIFS($N$5:$N113,$F$5:$F113,$F113,$D$5:$D113,"支出")-SUMIFS($N$5:$N113,$F$5:$F113,$F113,$D$5:$D113,"转账")+SUMIFS($N$5:$N113,$G$5:$G113,$F113,$D$5:$D113,"转账"))</f>
        <v/>
      </c>
      <c r="S113" s="49" t="str">
        <f aca="false">IF($E113="","",IFERROR(INDEX(科目参数!$N$6:$N$85,MATCH($E113,科目参数!$M$6:$M$85,0)),""))</f>
        <v/>
      </c>
      <c r="T113" s="49" t="str">
        <f aca="false">IF($F113="","",IFERROR(INDEX(基础资料!$C$6:$C$35,MATCH($F113,基础资料!$A$6:$A$35,0)),""))</f>
        <v/>
      </c>
      <c r="U113" s="49" t="str">
        <f aca="false">IF($G113="","",IFERROR(INDEX(基础资料!$C$6:$C$35,MATCH($G113,基础资料!$A$6:$A$35,0)),""))</f>
        <v/>
      </c>
      <c r="V113" s="49" t="str">
        <f aca="false">IF(AND($G113=客户对账单!$B$3,$E113="客户回款",$B113&gt;=客户对账单!$E$3,$B113&lt;=客户对账单!$H$3),COUNTIFS($G$5:$G113,客户对账单!$B$3,$E$5:$E113,"客户回款",$B$5:$B113,"&gt;="&amp;客户对账单!$E$3,$B$5:$B113,"&lt;="&amp;客户对账单!$H$3),"")</f>
        <v/>
      </c>
      <c r="W113" s="49" t="str">
        <f aca="false">IF(AND($G113=供应商对账单!$B$3,$E113="供应商付款",$B113&gt;=供应商对账单!$E$3,$B113&lt;=供应商对账单!$H$3),COUNTIFS($G$5:$G113,供应商对账单!$B$3,$E$5:$E113,"供应商付款",$B$5:$B113,"&gt;="&amp;供应商对账单!$E$3,$B$5:$B113,"&lt;="&amp;供应商对账单!$H$3),"")</f>
        <v/>
      </c>
    </row>
    <row r="114" customFormat="false" ht="15.75" hidden="false" customHeight="true" outlineLevel="0" collapsed="false">
      <c r="A114" s="42" t="str">
        <f aca="false">IF($B114="","","ZJ"&amp;TEXT($B114,"yyyymm")&amp;"-"&amp;TEXT(ROW()-4,"000"))</f>
        <v/>
      </c>
      <c r="B114" s="41"/>
      <c r="C114" s="42" t="str">
        <f aca="false">IF($B114="","",TEXT($B114,"yyyy-mm"))</f>
        <v/>
      </c>
      <c r="D114" s="42" t="str">
        <f aca="false">IF($E114="","",IFERROR(INDEX(科目参数!$L$6:$L$85,MATCH($E114,科目参数!$M$6:$M$85,0)),"⚠"))</f>
        <v/>
      </c>
      <c r="E114" s="33"/>
      <c r="F114" s="33"/>
      <c r="G114" s="36"/>
      <c r="H114" s="33"/>
      <c r="I114" s="33"/>
      <c r="J114" s="36"/>
      <c r="K114" s="40"/>
      <c r="L114" s="40"/>
      <c r="M114" s="47" t="str">
        <f aca="false">IF($B114="","",IF(NOT(ISNUMBER($B114)),"日期不是日期格式",IF(YEAR($B114)&lt;&gt;首页!$B$3,"不在会计年度",IF($E114="","未选收支科目",IF($D114="⚠","收支科目不存在",IF($F114="","未选账户",IF($T114="","账户未设资金科目",IF(AND($D114="转账",$U114=""),"转入账户无效",IF(AND(N($K114)&gt;0,N($L114)&gt;0),"收支不能同时填",IF(AND($D114="收入",N($K114)&lt;=0),"收入金额须大于0",IF(AND($D114&lt;&gt;"收入",N($L114)&lt;=0),"支出金额须大于0",IF($O114="","借方科目缺失",IF($P114="","贷方科目缺失","√")))))))))))))</f>
        <v/>
      </c>
      <c r="N114" s="48" t="str">
        <f aca="false">IF($B114="","",IF($D114="收入",N($K114),N($L114)))</f>
        <v/>
      </c>
      <c r="O114" s="49" t="str">
        <f aca="false">IF($B114="","",IF($D114="收入",$T114,IF($D114="转账",$U114,$S114)))</f>
        <v/>
      </c>
      <c r="P114" s="49" t="str">
        <f aca="false">IF($B114="","",IF($D114="收入",$S114,$T114))</f>
        <v/>
      </c>
      <c r="Q114" s="50" t="str">
        <f aca="false">IF($E114="","",IF($D114="转账","—",IFERROR(INDEX(科目参数!$P$6:$P$85,MATCH($E114,科目参数!$M$6:$M$85,0)),"")))</f>
        <v/>
      </c>
      <c r="R114" s="48" t="str">
        <f aca="false">IF($B114="","",SUMIFS(期初数据!$B$6:$B$35,期初数据!$A$6:$A$35,$F114)+SUMIFS($N$5:$N114,$F$5:$F114,$F114,$D$5:$D114,"收入")-SUMIFS($N$5:$N114,$F$5:$F114,$F114,$D$5:$D114,"支出")-SUMIFS($N$5:$N114,$F$5:$F114,$F114,$D$5:$D114,"转账")+SUMIFS($N$5:$N114,$G$5:$G114,$F114,$D$5:$D114,"转账"))</f>
        <v/>
      </c>
      <c r="S114" s="49" t="str">
        <f aca="false">IF($E114="","",IFERROR(INDEX(科目参数!$N$6:$N$85,MATCH($E114,科目参数!$M$6:$M$85,0)),""))</f>
        <v/>
      </c>
      <c r="T114" s="49" t="str">
        <f aca="false">IF($F114="","",IFERROR(INDEX(基础资料!$C$6:$C$35,MATCH($F114,基础资料!$A$6:$A$35,0)),""))</f>
        <v/>
      </c>
      <c r="U114" s="49" t="str">
        <f aca="false">IF($G114="","",IFERROR(INDEX(基础资料!$C$6:$C$35,MATCH($G114,基础资料!$A$6:$A$35,0)),""))</f>
        <v/>
      </c>
      <c r="V114" s="49" t="str">
        <f aca="false">IF(AND($G114=客户对账单!$B$3,$E114="客户回款",$B114&gt;=客户对账单!$E$3,$B114&lt;=客户对账单!$H$3),COUNTIFS($G$5:$G114,客户对账单!$B$3,$E$5:$E114,"客户回款",$B$5:$B114,"&gt;="&amp;客户对账单!$E$3,$B$5:$B114,"&lt;="&amp;客户对账单!$H$3),"")</f>
        <v/>
      </c>
      <c r="W114" s="49" t="str">
        <f aca="false">IF(AND($G114=供应商对账单!$B$3,$E114="供应商付款",$B114&gt;=供应商对账单!$E$3,$B114&lt;=供应商对账单!$H$3),COUNTIFS($G$5:$G114,供应商对账单!$B$3,$E$5:$E114,"供应商付款",$B$5:$B114,"&gt;="&amp;供应商对账单!$E$3,$B$5:$B114,"&lt;="&amp;供应商对账单!$H$3),"")</f>
        <v/>
      </c>
    </row>
    <row r="115" customFormat="false" ht="15.75" hidden="false" customHeight="true" outlineLevel="0" collapsed="false">
      <c r="A115" s="42" t="str">
        <f aca="false">IF($B115="","","ZJ"&amp;TEXT($B115,"yyyymm")&amp;"-"&amp;TEXT(ROW()-4,"000"))</f>
        <v/>
      </c>
      <c r="B115" s="41"/>
      <c r="C115" s="42" t="str">
        <f aca="false">IF($B115="","",TEXT($B115,"yyyy-mm"))</f>
        <v/>
      </c>
      <c r="D115" s="42" t="str">
        <f aca="false">IF($E115="","",IFERROR(INDEX(科目参数!$L$6:$L$85,MATCH($E115,科目参数!$M$6:$M$85,0)),"⚠"))</f>
        <v/>
      </c>
      <c r="E115" s="33"/>
      <c r="F115" s="33"/>
      <c r="G115" s="36"/>
      <c r="H115" s="33"/>
      <c r="I115" s="33"/>
      <c r="J115" s="36"/>
      <c r="K115" s="40"/>
      <c r="L115" s="40"/>
      <c r="M115" s="47" t="str">
        <f aca="false">IF($B115="","",IF(NOT(ISNUMBER($B115)),"日期不是日期格式",IF(YEAR($B115)&lt;&gt;首页!$B$3,"不在会计年度",IF($E115="","未选收支科目",IF($D115="⚠","收支科目不存在",IF($F115="","未选账户",IF($T115="","账户未设资金科目",IF(AND($D115="转账",$U115=""),"转入账户无效",IF(AND(N($K115)&gt;0,N($L115)&gt;0),"收支不能同时填",IF(AND($D115="收入",N($K115)&lt;=0),"收入金额须大于0",IF(AND($D115&lt;&gt;"收入",N($L115)&lt;=0),"支出金额须大于0",IF($O115="","借方科目缺失",IF($P115="","贷方科目缺失","√")))))))))))))</f>
        <v/>
      </c>
      <c r="N115" s="48" t="str">
        <f aca="false">IF($B115="","",IF($D115="收入",N($K115),N($L115)))</f>
        <v/>
      </c>
      <c r="O115" s="49" t="str">
        <f aca="false">IF($B115="","",IF($D115="收入",$T115,IF($D115="转账",$U115,$S115)))</f>
        <v/>
      </c>
      <c r="P115" s="49" t="str">
        <f aca="false">IF($B115="","",IF($D115="收入",$S115,$T115))</f>
        <v/>
      </c>
      <c r="Q115" s="50" t="str">
        <f aca="false">IF($E115="","",IF($D115="转账","—",IFERROR(INDEX(科目参数!$P$6:$P$85,MATCH($E115,科目参数!$M$6:$M$85,0)),"")))</f>
        <v/>
      </c>
      <c r="R115" s="48" t="str">
        <f aca="false">IF($B115="","",SUMIFS(期初数据!$B$6:$B$35,期初数据!$A$6:$A$35,$F115)+SUMIFS($N$5:$N115,$F$5:$F115,$F115,$D$5:$D115,"收入")-SUMIFS($N$5:$N115,$F$5:$F115,$F115,$D$5:$D115,"支出")-SUMIFS($N$5:$N115,$F$5:$F115,$F115,$D$5:$D115,"转账")+SUMIFS($N$5:$N115,$G$5:$G115,$F115,$D$5:$D115,"转账"))</f>
        <v/>
      </c>
      <c r="S115" s="49" t="str">
        <f aca="false">IF($E115="","",IFERROR(INDEX(科目参数!$N$6:$N$85,MATCH($E115,科目参数!$M$6:$M$85,0)),""))</f>
        <v/>
      </c>
      <c r="T115" s="49" t="str">
        <f aca="false">IF($F115="","",IFERROR(INDEX(基础资料!$C$6:$C$35,MATCH($F115,基础资料!$A$6:$A$35,0)),""))</f>
        <v/>
      </c>
      <c r="U115" s="49" t="str">
        <f aca="false">IF($G115="","",IFERROR(INDEX(基础资料!$C$6:$C$35,MATCH($G115,基础资料!$A$6:$A$35,0)),""))</f>
        <v/>
      </c>
      <c r="V115" s="49" t="str">
        <f aca="false">IF(AND($G115=客户对账单!$B$3,$E115="客户回款",$B115&gt;=客户对账单!$E$3,$B115&lt;=客户对账单!$H$3),COUNTIFS($G$5:$G115,客户对账单!$B$3,$E$5:$E115,"客户回款",$B$5:$B115,"&gt;="&amp;客户对账单!$E$3,$B$5:$B115,"&lt;="&amp;客户对账单!$H$3),"")</f>
        <v/>
      </c>
      <c r="W115" s="49" t="str">
        <f aca="false">IF(AND($G115=供应商对账单!$B$3,$E115="供应商付款",$B115&gt;=供应商对账单!$E$3,$B115&lt;=供应商对账单!$H$3),COUNTIFS($G$5:$G115,供应商对账单!$B$3,$E$5:$E115,"供应商付款",$B$5:$B115,"&gt;="&amp;供应商对账单!$E$3,$B$5:$B115,"&lt;="&amp;供应商对账单!$H$3),"")</f>
        <v/>
      </c>
    </row>
    <row r="116" customFormat="false" ht="15.75" hidden="false" customHeight="true" outlineLevel="0" collapsed="false">
      <c r="A116" s="42" t="str">
        <f aca="false">IF($B116="","","ZJ"&amp;TEXT($B116,"yyyymm")&amp;"-"&amp;TEXT(ROW()-4,"000"))</f>
        <v/>
      </c>
      <c r="B116" s="41"/>
      <c r="C116" s="42" t="str">
        <f aca="false">IF($B116="","",TEXT($B116,"yyyy-mm"))</f>
        <v/>
      </c>
      <c r="D116" s="42" t="str">
        <f aca="false">IF($E116="","",IFERROR(INDEX(科目参数!$L$6:$L$85,MATCH($E116,科目参数!$M$6:$M$85,0)),"⚠"))</f>
        <v/>
      </c>
      <c r="E116" s="33"/>
      <c r="F116" s="33"/>
      <c r="G116" s="36"/>
      <c r="H116" s="33"/>
      <c r="I116" s="33"/>
      <c r="J116" s="36"/>
      <c r="K116" s="40"/>
      <c r="L116" s="40"/>
      <c r="M116" s="47" t="str">
        <f aca="false">IF($B116="","",IF(NOT(ISNUMBER($B116)),"日期不是日期格式",IF(YEAR($B116)&lt;&gt;首页!$B$3,"不在会计年度",IF($E116="","未选收支科目",IF($D116="⚠","收支科目不存在",IF($F116="","未选账户",IF($T116="","账户未设资金科目",IF(AND($D116="转账",$U116=""),"转入账户无效",IF(AND(N($K116)&gt;0,N($L116)&gt;0),"收支不能同时填",IF(AND($D116="收入",N($K116)&lt;=0),"收入金额须大于0",IF(AND($D116&lt;&gt;"收入",N($L116)&lt;=0),"支出金额须大于0",IF($O116="","借方科目缺失",IF($P116="","贷方科目缺失","√")))))))))))))</f>
        <v/>
      </c>
      <c r="N116" s="48" t="str">
        <f aca="false">IF($B116="","",IF($D116="收入",N($K116),N($L116)))</f>
        <v/>
      </c>
      <c r="O116" s="49" t="str">
        <f aca="false">IF($B116="","",IF($D116="收入",$T116,IF($D116="转账",$U116,$S116)))</f>
        <v/>
      </c>
      <c r="P116" s="49" t="str">
        <f aca="false">IF($B116="","",IF($D116="收入",$S116,$T116))</f>
        <v/>
      </c>
      <c r="Q116" s="50" t="str">
        <f aca="false">IF($E116="","",IF($D116="转账","—",IFERROR(INDEX(科目参数!$P$6:$P$85,MATCH($E116,科目参数!$M$6:$M$85,0)),"")))</f>
        <v/>
      </c>
      <c r="R116" s="48" t="str">
        <f aca="false">IF($B116="","",SUMIFS(期初数据!$B$6:$B$35,期初数据!$A$6:$A$35,$F116)+SUMIFS($N$5:$N116,$F$5:$F116,$F116,$D$5:$D116,"收入")-SUMIFS($N$5:$N116,$F$5:$F116,$F116,$D$5:$D116,"支出")-SUMIFS($N$5:$N116,$F$5:$F116,$F116,$D$5:$D116,"转账")+SUMIFS($N$5:$N116,$G$5:$G116,$F116,$D$5:$D116,"转账"))</f>
        <v/>
      </c>
      <c r="S116" s="49" t="str">
        <f aca="false">IF($E116="","",IFERROR(INDEX(科目参数!$N$6:$N$85,MATCH($E116,科目参数!$M$6:$M$85,0)),""))</f>
        <v/>
      </c>
      <c r="T116" s="49" t="str">
        <f aca="false">IF($F116="","",IFERROR(INDEX(基础资料!$C$6:$C$35,MATCH($F116,基础资料!$A$6:$A$35,0)),""))</f>
        <v/>
      </c>
      <c r="U116" s="49" t="str">
        <f aca="false">IF($G116="","",IFERROR(INDEX(基础资料!$C$6:$C$35,MATCH($G116,基础资料!$A$6:$A$35,0)),""))</f>
        <v/>
      </c>
      <c r="V116" s="49" t="str">
        <f aca="false">IF(AND($G116=客户对账单!$B$3,$E116="客户回款",$B116&gt;=客户对账单!$E$3,$B116&lt;=客户对账单!$H$3),COUNTIFS($G$5:$G116,客户对账单!$B$3,$E$5:$E116,"客户回款",$B$5:$B116,"&gt;="&amp;客户对账单!$E$3,$B$5:$B116,"&lt;="&amp;客户对账单!$H$3),"")</f>
        <v/>
      </c>
      <c r="W116" s="49" t="str">
        <f aca="false">IF(AND($G116=供应商对账单!$B$3,$E116="供应商付款",$B116&gt;=供应商对账单!$E$3,$B116&lt;=供应商对账单!$H$3),COUNTIFS($G$5:$G116,供应商对账单!$B$3,$E$5:$E116,"供应商付款",$B$5:$B116,"&gt;="&amp;供应商对账单!$E$3,$B$5:$B116,"&lt;="&amp;供应商对账单!$H$3),"")</f>
        <v/>
      </c>
    </row>
    <row r="117" customFormat="false" ht="15.75" hidden="false" customHeight="true" outlineLevel="0" collapsed="false">
      <c r="A117" s="42" t="str">
        <f aca="false">IF($B117="","","ZJ"&amp;TEXT($B117,"yyyymm")&amp;"-"&amp;TEXT(ROW()-4,"000"))</f>
        <v/>
      </c>
      <c r="B117" s="41"/>
      <c r="C117" s="42" t="str">
        <f aca="false">IF($B117="","",TEXT($B117,"yyyy-mm"))</f>
        <v/>
      </c>
      <c r="D117" s="42" t="str">
        <f aca="false">IF($E117="","",IFERROR(INDEX(科目参数!$L$6:$L$85,MATCH($E117,科目参数!$M$6:$M$85,0)),"⚠"))</f>
        <v/>
      </c>
      <c r="E117" s="33"/>
      <c r="F117" s="33"/>
      <c r="G117" s="36"/>
      <c r="H117" s="33"/>
      <c r="I117" s="33"/>
      <c r="J117" s="36"/>
      <c r="K117" s="40"/>
      <c r="L117" s="40"/>
      <c r="M117" s="47" t="str">
        <f aca="false">IF($B117="","",IF(NOT(ISNUMBER($B117)),"日期不是日期格式",IF(YEAR($B117)&lt;&gt;首页!$B$3,"不在会计年度",IF($E117="","未选收支科目",IF($D117="⚠","收支科目不存在",IF($F117="","未选账户",IF($T117="","账户未设资金科目",IF(AND($D117="转账",$U117=""),"转入账户无效",IF(AND(N($K117)&gt;0,N($L117)&gt;0),"收支不能同时填",IF(AND($D117="收入",N($K117)&lt;=0),"收入金额须大于0",IF(AND($D117&lt;&gt;"收入",N($L117)&lt;=0),"支出金额须大于0",IF($O117="","借方科目缺失",IF($P117="","贷方科目缺失","√")))))))))))))</f>
        <v/>
      </c>
      <c r="N117" s="48" t="str">
        <f aca="false">IF($B117="","",IF($D117="收入",N($K117),N($L117)))</f>
        <v/>
      </c>
      <c r="O117" s="49" t="str">
        <f aca="false">IF($B117="","",IF($D117="收入",$T117,IF($D117="转账",$U117,$S117)))</f>
        <v/>
      </c>
      <c r="P117" s="49" t="str">
        <f aca="false">IF($B117="","",IF($D117="收入",$S117,$T117))</f>
        <v/>
      </c>
      <c r="Q117" s="50" t="str">
        <f aca="false">IF($E117="","",IF($D117="转账","—",IFERROR(INDEX(科目参数!$P$6:$P$85,MATCH($E117,科目参数!$M$6:$M$85,0)),"")))</f>
        <v/>
      </c>
      <c r="R117" s="48" t="str">
        <f aca="false">IF($B117="","",SUMIFS(期初数据!$B$6:$B$35,期初数据!$A$6:$A$35,$F117)+SUMIFS($N$5:$N117,$F$5:$F117,$F117,$D$5:$D117,"收入")-SUMIFS($N$5:$N117,$F$5:$F117,$F117,$D$5:$D117,"支出")-SUMIFS($N$5:$N117,$F$5:$F117,$F117,$D$5:$D117,"转账")+SUMIFS($N$5:$N117,$G$5:$G117,$F117,$D$5:$D117,"转账"))</f>
        <v/>
      </c>
      <c r="S117" s="49" t="str">
        <f aca="false">IF($E117="","",IFERROR(INDEX(科目参数!$N$6:$N$85,MATCH($E117,科目参数!$M$6:$M$85,0)),""))</f>
        <v/>
      </c>
      <c r="T117" s="49" t="str">
        <f aca="false">IF($F117="","",IFERROR(INDEX(基础资料!$C$6:$C$35,MATCH($F117,基础资料!$A$6:$A$35,0)),""))</f>
        <v/>
      </c>
      <c r="U117" s="49" t="str">
        <f aca="false">IF($G117="","",IFERROR(INDEX(基础资料!$C$6:$C$35,MATCH($G117,基础资料!$A$6:$A$35,0)),""))</f>
        <v/>
      </c>
      <c r="V117" s="49" t="str">
        <f aca="false">IF(AND($G117=客户对账单!$B$3,$E117="客户回款",$B117&gt;=客户对账单!$E$3,$B117&lt;=客户对账单!$H$3),COUNTIFS($G$5:$G117,客户对账单!$B$3,$E$5:$E117,"客户回款",$B$5:$B117,"&gt;="&amp;客户对账单!$E$3,$B$5:$B117,"&lt;="&amp;客户对账单!$H$3),"")</f>
        <v/>
      </c>
      <c r="W117" s="49" t="str">
        <f aca="false">IF(AND($G117=供应商对账单!$B$3,$E117="供应商付款",$B117&gt;=供应商对账单!$E$3,$B117&lt;=供应商对账单!$H$3),COUNTIFS($G$5:$G117,供应商对账单!$B$3,$E$5:$E117,"供应商付款",$B$5:$B117,"&gt;="&amp;供应商对账单!$E$3,$B$5:$B117,"&lt;="&amp;供应商对账单!$H$3),"")</f>
        <v/>
      </c>
    </row>
    <row r="118" customFormat="false" ht="15.75" hidden="false" customHeight="true" outlineLevel="0" collapsed="false">
      <c r="A118" s="42" t="str">
        <f aca="false">IF($B118="","","ZJ"&amp;TEXT($B118,"yyyymm")&amp;"-"&amp;TEXT(ROW()-4,"000"))</f>
        <v/>
      </c>
      <c r="B118" s="41"/>
      <c r="C118" s="42" t="str">
        <f aca="false">IF($B118="","",TEXT($B118,"yyyy-mm"))</f>
        <v/>
      </c>
      <c r="D118" s="42" t="str">
        <f aca="false">IF($E118="","",IFERROR(INDEX(科目参数!$L$6:$L$85,MATCH($E118,科目参数!$M$6:$M$85,0)),"⚠"))</f>
        <v/>
      </c>
      <c r="E118" s="33"/>
      <c r="F118" s="33"/>
      <c r="G118" s="36"/>
      <c r="H118" s="33"/>
      <c r="I118" s="33"/>
      <c r="J118" s="36"/>
      <c r="K118" s="40"/>
      <c r="L118" s="40"/>
      <c r="M118" s="47" t="str">
        <f aca="false">IF($B118="","",IF(NOT(ISNUMBER($B118)),"日期不是日期格式",IF(YEAR($B118)&lt;&gt;首页!$B$3,"不在会计年度",IF($E118="","未选收支科目",IF($D118="⚠","收支科目不存在",IF($F118="","未选账户",IF($T118="","账户未设资金科目",IF(AND($D118="转账",$U118=""),"转入账户无效",IF(AND(N($K118)&gt;0,N($L118)&gt;0),"收支不能同时填",IF(AND($D118="收入",N($K118)&lt;=0),"收入金额须大于0",IF(AND($D118&lt;&gt;"收入",N($L118)&lt;=0),"支出金额须大于0",IF($O118="","借方科目缺失",IF($P118="","贷方科目缺失","√")))))))))))))</f>
        <v/>
      </c>
      <c r="N118" s="48" t="str">
        <f aca="false">IF($B118="","",IF($D118="收入",N($K118),N($L118)))</f>
        <v/>
      </c>
      <c r="O118" s="49" t="str">
        <f aca="false">IF($B118="","",IF($D118="收入",$T118,IF($D118="转账",$U118,$S118)))</f>
        <v/>
      </c>
      <c r="P118" s="49" t="str">
        <f aca="false">IF($B118="","",IF($D118="收入",$S118,$T118))</f>
        <v/>
      </c>
      <c r="Q118" s="50" t="str">
        <f aca="false">IF($E118="","",IF($D118="转账","—",IFERROR(INDEX(科目参数!$P$6:$P$85,MATCH($E118,科目参数!$M$6:$M$85,0)),"")))</f>
        <v/>
      </c>
      <c r="R118" s="48" t="str">
        <f aca="false">IF($B118="","",SUMIFS(期初数据!$B$6:$B$35,期初数据!$A$6:$A$35,$F118)+SUMIFS($N$5:$N118,$F$5:$F118,$F118,$D$5:$D118,"收入")-SUMIFS($N$5:$N118,$F$5:$F118,$F118,$D$5:$D118,"支出")-SUMIFS($N$5:$N118,$F$5:$F118,$F118,$D$5:$D118,"转账")+SUMIFS($N$5:$N118,$G$5:$G118,$F118,$D$5:$D118,"转账"))</f>
        <v/>
      </c>
      <c r="S118" s="49" t="str">
        <f aca="false">IF($E118="","",IFERROR(INDEX(科目参数!$N$6:$N$85,MATCH($E118,科目参数!$M$6:$M$85,0)),""))</f>
        <v/>
      </c>
      <c r="T118" s="49" t="str">
        <f aca="false">IF($F118="","",IFERROR(INDEX(基础资料!$C$6:$C$35,MATCH($F118,基础资料!$A$6:$A$35,0)),""))</f>
        <v/>
      </c>
      <c r="U118" s="49" t="str">
        <f aca="false">IF($G118="","",IFERROR(INDEX(基础资料!$C$6:$C$35,MATCH($G118,基础资料!$A$6:$A$35,0)),""))</f>
        <v/>
      </c>
      <c r="V118" s="49" t="str">
        <f aca="false">IF(AND($G118=客户对账单!$B$3,$E118="客户回款",$B118&gt;=客户对账单!$E$3,$B118&lt;=客户对账单!$H$3),COUNTIFS($G$5:$G118,客户对账单!$B$3,$E$5:$E118,"客户回款",$B$5:$B118,"&gt;="&amp;客户对账单!$E$3,$B$5:$B118,"&lt;="&amp;客户对账单!$H$3),"")</f>
        <v/>
      </c>
      <c r="W118" s="49" t="str">
        <f aca="false">IF(AND($G118=供应商对账单!$B$3,$E118="供应商付款",$B118&gt;=供应商对账单!$E$3,$B118&lt;=供应商对账单!$H$3),COUNTIFS($G$5:$G118,供应商对账单!$B$3,$E$5:$E118,"供应商付款",$B$5:$B118,"&gt;="&amp;供应商对账单!$E$3,$B$5:$B118,"&lt;="&amp;供应商对账单!$H$3),"")</f>
        <v/>
      </c>
    </row>
    <row r="119" customFormat="false" ht="15.75" hidden="false" customHeight="true" outlineLevel="0" collapsed="false">
      <c r="A119" s="42" t="str">
        <f aca="false">IF($B119="","","ZJ"&amp;TEXT($B119,"yyyymm")&amp;"-"&amp;TEXT(ROW()-4,"000"))</f>
        <v/>
      </c>
      <c r="B119" s="41"/>
      <c r="C119" s="42" t="str">
        <f aca="false">IF($B119="","",TEXT($B119,"yyyy-mm"))</f>
        <v/>
      </c>
      <c r="D119" s="42" t="str">
        <f aca="false">IF($E119="","",IFERROR(INDEX(科目参数!$L$6:$L$85,MATCH($E119,科目参数!$M$6:$M$85,0)),"⚠"))</f>
        <v/>
      </c>
      <c r="E119" s="33"/>
      <c r="F119" s="33"/>
      <c r="G119" s="36"/>
      <c r="H119" s="33"/>
      <c r="I119" s="33"/>
      <c r="J119" s="36"/>
      <c r="K119" s="40"/>
      <c r="L119" s="40"/>
      <c r="M119" s="47" t="str">
        <f aca="false">IF($B119="","",IF(NOT(ISNUMBER($B119)),"日期不是日期格式",IF(YEAR($B119)&lt;&gt;首页!$B$3,"不在会计年度",IF($E119="","未选收支科目",IF($D119="⚠","收支科目不存在",IF($F119="","未选账户",IF($T119="","账户未设资金科目",IF(AND($D119="转账",$U119=""),"转入账户无效",IF(AND(N($K119)&gt;0,N($L119)&gt;0),"收支不能同时填",IF(AND($D119="收入",N($K119)&lt;=0),"收入金额须大于0",IF(AND($D119&lt;&gt;"收入",N($L119)&lt;=0),"支出金额须大于0",IF($O119="","借方科目缺失",IF($P119="","贷方科目缺失","√")))))))))))))</f>
        <v/>
      </c>
      <c r="N119" s="48" t="str">
        <f aca="false">IF($B119="","",IF($D119="收入",N($K119),N($L119)))</f>
        <v/>
      </c>
      <c r="O119" s="49" t="str">
        <f aca="false">IF($B119="","",IF($D119="收入",$T119,IF($D119="转账",$U119,$S119)))</f>
        <v/>
      </c>
      <c r="P119" s="49" t="str">
        <f aca="false">IF($B119="","",IF($D119="收入",$S119,$T119))</f>
        <v/>
      </c>
      <c r="Q119" s="50" t="str">
        <f aca="false">IF($E119="","",IF($D119="转账","—",IFERROR(INDEX(科目参数!$P$6:$P$85,MATCH($E119,科目参数!$M$6:$M$85,0)),"")))</f>
        <v/>
      </c>
      <c r="R119" s="48" t="str">
        <f aca="false">IF($B119="","",SUMIFS(期初数据!$B$6:$B$35,期初数据!$A$6:$A$35,$F119)+SUMIFS($N$5:$N119,$F$5:$F119,$F119,$D$5:$D119,"收入")-SUMIFS($N$5:$N119,$F$5:$F119,$F119,$D$5:$D119,"支出")-SUMIFS($N$5:$N119,$F$5:$F119,$F119,$D$5:$D119,"转账")+SUMIFS($N$5:$N119,$G$5:$G119,$F119,$D$5:$D119,"转账"))</f>
        <v/>
      </c>
      <c r="S119" s="49" t="str">
        <f aca="false">IF($E119="","",IFERROR(INDEX(科目参数!$N$6:$N$85,MATCH($E119,科目参数!$M$6:$M$85,0)),""))</f>
        <v/>
      </c>
      <c r="T119" s="49" t="str">
        <f aca="false">IF($F119="","",IFERROR(INDEX(基础资料!$C$6:$C$35,MATCH($F119,基础资料!$A$6:$A$35,0)),""))</f>
        <v/>
      </c>
      <c r="U119" s="49" t="str">
        <f aca="false">IF($G119="","",IFERROR(INDEX(基础资料!$C$6:$C$35,MATCH($G119,基础资料!$A$6:$A$35,0)),""))</f>
        <v/>
      </c>
      <c r="V119" s="49" t="str">
        <f aca="false">IF(AND($G119=客户对账单!$B$3,$E119="客户回款",$B119&gt;=客户对账单!$E$3,$B119&lt;=客户对账单!$H$3),COUNTIFS($G$5:$G119,客户对账单!$B$3,$E$5:$E119,"客户回款",$B$5:$B119,"&gt;="&amp;客户对账单!$E$3,$B$5:$B119,"&lt;="&amp;客户对账单!$H$3),"")</f>
        <v/>
      </c>
      <c r="W119" s="49" t="str">
        <f aca="false">IF(AND($G119=供应商对账单!$B$3,$E119="供应商付款",$B119&gt;=供应商对账单!$E$3,$B119&lt;=供应商对账单!$H$3),COUNTIFS($G$5:$G119,供应商对账单!$B$3,$E$5:$E119,"供应商付款",$B$5:$B119,"&gt;="&amp;供应商对账单!$E$3,$B$5:$B119,"&lt;="&amp;供应商对账单!$H$3),"")</f>
        <v/>
      </c>
    </row>
    <row r="120" customFormat="false" ht="15.75" hidden="false" customHeight="true" outlineLevel="0" collapsed="false">
      <c r="A120" s="42" t="str">
        <f aca="false">IF($B120="","","ZJ"&amp;TEXT($B120,"yyyymm")&amp;"-"&amp;TEXT(ROW()-4,"000"))</f>
        <v/>
      </c>
      <c r="B120" s="41"/>
      <c r="C120" s="42" t="str">
        <f aca="false">IF($B120="","",TEXT($B120,"yyyy-mm"))</f>
        <v/>
      </c>
      <c r="D120" s="42" t="str">
        <f aca="false">IF($E120="","",IFERROR(INDEX(科目参数!$L$6:$L$85,MATCH($E120,科目参数!$M$6:$M$85,0)),"⚠"))</f>
        <v/>
      </c>
      <c r="E120" s="33"/>
      <c r="F120" s="33"/>
      <c r="G120" s="36"/>
      <c r="H120" s="33"/>
      <c r="I120" s="33"/>
      <c r="J120" s="36"/>
      <c r="K120" s="40"/>
      <c r="L120" s="40"/>
      <c r="M120" s="47" t="str">
        <f aca="false">IF($B120="","",IF(NOT(ISNUMBER($B120)),"日期不是日期格式",IF(YEAR($B120)&lt;&gt;首页!$B$3,"不在会计年度",IF($E120="","未选收支科目",IF($D120="⚠","收支科目不存在",IF($F120="","未选账户",IF($T120="","账户未设资金科目",IF(AND($D120="转账",$U120=""),"转入账户无效",IF(AND(N($K120)&gt;0,N($L120)&gt;0),"收支不能同时填",IF(AND($D120="收入",N($K120)&lt;=0),"收入金额须大于0",IF(AND($D120&lt;&gt;"收入",N($L120)&lt;=0),"支出金额须大于0",IF($O120="","借方科目缺失",IF($P120="","贷方科目缺失","√")))))))))))))</f>
        <v/>
      </c>
      <c r="N120" s="48" t="str">
        <f aca="false">IF($B120="","",IF($D120="收入",N($K120),N($L120)))</f>
        <v/>
      </c>
      <c r="O120" s="49" t="str">
        <f aca="false">IF($B120="","",IF($D120="收入",$T120,IF($D120="转账",$U120,$S120)))</f>
        <v/>
      </c>
      <c r="P120" s="49" t="str">
        <f aca="false">IF($B120="","",IF($D120="收入",$S120,$T120))</f>
        <v/>
      </c>
      <c r="Q120" s="50" t="str">
        <f aca="false">IF($E120="","",IF($D120="转账","—",IFERROR(INDEX(科目参数!$P$6:$P$85,MATCH($E120,科目参数!$M$6:$M$85,0)),"")))</f>
        <v/>
      </c>
      <c r="R120" s="48" t="str">
        <f aca="false">IF($B120="","",SUMIFS(期初数据!$B$6:$B$35,期初数据!$A$6:$A$35,$F120)+SUMIFS($N$5:$N120,$F$5:$F120,$F120,$D$5:$D120,"收入")-SUMIFS($N$5:$N120,$F$5:$F120,$F120,$D$5:$D120,"支出")-SUMIFS($N$5:$N120,$F$5:$F120,$F120,$D$5:$D120,"转账")+SUMIFS($N$5:$N120,$G$5:$G120,$F120,$D$5:$D120,"转账"))</f>
        <v/>
      </c>
      <c r="S120" s="49" t="str">
        <f aca="false">IF($E120="","",IFERROR(INDEX(科目参数!$N$6:$N$85,MATCH($E120,科目参数!$M$6:$M$85,0)),""))</f>
        <v/>
      </c>
      <c r="T120" s="49" t="str">
        <f aca="false">IF($F120="","",IFERROR(INDEX(基础资料!$C$6:$C$35,MATCH($F120,基础资料!$A$6:$A$35,0)),""))</f>
        <v/>
      </c>
      <c r="U120" s="49" t="str">
        <f aca="false">IF($G120="","",IFERROR(INDEX(基础资料!$C$6:$C$35,MATCH($G120,基础资料!$A$6:$A$35,0)),""))</f>
        <v/>
      </c>
      <c r="V120" s="49" t="str">
        <f aca="false">IF(AND($G120=客户对账单!$B$3,$E120="客户回款",$B120&gt;=客户对账单!$E$3,$B120&lt;=客户对账单!$H$3),COUNTIFS($G$5:$G120,客户对账单!$B$3,$E$5:$E120,"客户回款",$B$5:$B120,"&gt;="&amp;客户对账单!$E$3,$B$5:$B120,"&lt;="&amp;客户对账单!$H$3),"")</f>
        <v/>
      </c>
      <c r="W120" s="49" t="str">
        <f aca="false">IF(AND($G120=供应商对账单!$B$3,$E120="供应商付款",$B120&gt;=供应商对账单!$E$3,$B120&lt;=供应商对账单!$H$3),COUNTIFS($G$5:$G120,供应商对账单!$B$3,$E$5:$E120,"供应商付款",$B$5:$B120,"&gt;="&amp;供应商对账单!$E$3,$B$5:$B120,"&lt;="&amp;供应商对账单!$H$3),"")</f>
        <v/>
      </c>
    </row>
    <row r="121" customFormat="false" ht="15.75" hidden="false" customHeight="true" outlineLevel="0" collapsed="false">
      <c r="A121" s="42" t="str">
        <f aca="false">IF($B121="","","ZJ"&amp;TEXT($B121,"yyyymm")&amp;"-"&amp;TEXT(ROW()-4,"000"))</f>
        <v/>
      </c>
      <c r="B121" s="41"/>
      <c r="C121" s="42" t="str">
        <f aca="false">IF($B121="","",TEXT($B121,"yyyy-mm"))</f>
        <v/>
      </c>
      <c r="D121" s="42" t="str">
        <f aca="false">IF($E121="","",IFERROR(INDEX(科目参数!$L$6:$L$85,MATCH($E121,科目参数!$M$6:$M$85,0)),"⚠"))</f>
        <v/>
      </c>
      <c r="E121" s="33"/>
      <c r="F121" s="33"/>
      <c r="G121" s="36"/>
      <c r="H121" s="33"/>
      <c r="I121" s="33"/>
      <c r="J121" s="36"/>
      <c r="K121" s="40"/>
      <c r="L121" s="40"/>
      <c r="M121" s="47" t="str">
        <f aca="false">IF($B121="","",IF(NOT(ISNUMBER($B121)),"日期不是日期格式",IF(YEAR($B121)&lt;&gt;首页!$B$3,"不在会计年度",IF($E121="","未选收支科目",IF($D121="⚠","收支科目不存在",IF($F121="","未选账户",IF($T121="","账户未设资金科目",IF(AND($D121="转账",$U121=""),"转入账户无效",IF(AND(N($K121)&gt;0,N($L121)&gt;0),"收支不能同时填",IF(AND($D121="收入",N($K121)&lt;=0),"收入金额须大于0",IF(AND($D121&lt;&gt;"收入",N($L121)&lt;=0),"支出金额须大于0",IF($O121="","借方科目缺失",IF($P121="","贷方科目缺失","√")))))))))))))</f>
        <v/>
      </c>
      <c r="N121" s="48" t="str">
        <f aca="false">IF($B121="","",IF($D121="收入",N($K121),N($L121)))</f>
        <v/>
      </c>
      <c r="O121" s="49" t="str">
        <f aca="false">IF($B121="","",IF($D121="收入",$T121,IF($D121="转账",$U121,$S121)))</f>
        <v/>
      </c>
      <c r="P121" s="49" t="str">
        <f aca="false">IF($B121="","",IF($D121="收入",$S121,$T121))</f>
        <v/>
      </c>
      <c r="Q121" s="50" t="str">
        <f aca="false">IF($E121="","",IF($D121="转账","—",IFERROR(INDEX(科目参数!$P$6:$P$85,MATCH($E121,科目参数!$M$6:$M$85,0)),"")))</f>
        <v/>
      </c>
      <c r="R121" s="48" t="str">
        <f aca="false">IF($B121="","",SUMIFS(期初数据!$B$6:$B$35,期初数据!$A$6:$A$35,$F121)+SUMIFS($N$5:$N121,$F$5:$F121,$F121,$D$5:$D121,"收入")-SUMIFS($N$5:$N121,$F$5:$F121,$F121,$D$5:$D121,"支出")-SUMIFS($N$5:$N121,$F$5:$F121,$F121,$D$5:$D121,"转账")+SUMIFS($N$5:$N121,$G$5:$G121,$F121,$D$5:$D121,"转账"))</f>
        <v/>
      </c>
      <c r="S121" s="49" t="str">
        <f aca="false">IF($E121="","",IFERROR(INDEX(科目参数!$N$6:$N$85,MATCH($E121,科目参数!$M$6:$M$85,0)),""))</f>
        <v/>
      </c>
      <c r="T121" s="49" t="str">
        <f aca="false">IF($F121="","",IFERROR(INDEX(基础资料!$C$6:$C$35,MATCH($F121,基础资料!$A$6:$A$35,0)),""))</f>
        <v/>
      </c>
      <c r="U121" s="49" t="str">
        <f aca="false">IF($G121="","",IFERROR(INDEX(基础资料!$C$6:$C$35,MATCH($G121,基础资料!$A$6:$A$35,0)),""))</f>
        <v/>
      </c>
      <c r="V121" s="49" t="str">
        <f aca="false">IF(AND($G121=客户对账单!$B$3,$E121="客户回款",$B121&gt;=客户对账单!$E$3,$B121&lt;=客户对账单!$H$3),COUNTIFS($G$5:$G121,客户对账单!$B$3,$E$5:$E121,"客户回款",$B$5:$B121,"&gt;="&amp;客户对账单!$E$3,$B$5:$B121,"&lt;="&amp;客户对账单!$H$3),"")</f>
        <v/>
      </c>
      <c r="W121" s="49" t="str">
        <f aca="false">IF(AND($G121=供应商对账单!$B$3,$E121="供应商付款",$B121&gt;=供应商对账单!$E$3,$B121&lt;=供应商对账单!$H$3),COUNTIFS($G$5:$G121,供应商对账单!$B$3,$E$5:$E121,"供应商付款",$B$5:$B121,"&gt;="&amp;供应商对账单!$E$3,$B$5:$B121,"&lt;="&amp;供应商对账单!$H$3),"")</f>
        <v/>
      </c>
    </row>
    <row r="122" customFormat="false" ht="15.75" hidden="false" customHeight="true" outlineLevel="0" collapsed="false">
      <c r="A122" s="42" t="str">
        <f aca="false">IF($B122="","","ZJ"&amp;TEXT($B122,"yyyymm")&amp;"-"&amp;TEXT(ROW()-4,"000"))</f>
        <v/>
      </c>
      <c r="B122" s="41"/>
      <c r="C122" s="42" t="str">
        <f aca="false">IF($B122="","",TEXT($B122,"yyyy-mm"))</f>
        <v/>
      </c>
      <c r="D122" s="42" t="str">
        <f aca="false">IF($E122="","",IFERROR(INDEX(科目参数!$L$6:$L$85,MATCH($E122,科目参数!$M$6:$M$85,0)),"⚠"))</f>
        <v/>
      </c>
      <c r="E122" s="33"/>
      <c r="F122" s="33"/>
      <c r="G122" s="36"/>
      <c r="H122" s="33"/>
      <c r="I122" s="33"/>
      <c r="J122" s="36"/>
      <c r="K122" s="40"/>
      <c r="L122" s="40"/>
      <c r="M122" s="47" t="str">
        <f aca="false">IF($B122="","",IF(NOT(ISNUMBER($B122)),"日期不是日期格式",IF(YEAR($B122)&lt;&gt;首页!$B$3,"不在会计年度",IF($E122="","未选收支科目",IF($D122="⚠","收支科目不存在",IF($F122="","未选账户",IF($T122="","账户未设资金科目",IF(AND($D122="转账",$U122=""),"转入账户无效",IF(AND(N($K122)&gt;0,N($L122)&gt;0),"收支不能同时填",IF(AND($D122="收入",N($K122)&lt;=0),"收入金额须大于0",IF(AND($D122&lt;&gt;"收入",N($L122)&lt;=0),"支出金额须大于0",IF($O122="","借方科目缺失",IF($P122="","贷方科目缺失","√")))))))))))))</f>
        <v/>
      </c>
      <c r="N122" s="48" t="str">
        <f aca="false">IF($B122="","",IF($D122="收入",N($K122),N($L122)))</f>
        <v/>
      </c>
      <c r="O122" s="49" t="str">
        <f aca="false">IF($B122="","",IF($D122="收入",$T122,IF($D122="转账",$U122,$S122)))</f>
        <v/>
      </c>
      <c r="P122" s="49" t="str">
        <f aca="false">IF($B122="","",IF($D122="收入",$S122,$T122))</f>
        <v/>
      </c>
      <c r="Q122" s="50" t="str">
        <f aca="false">IF($E122="","",IF($D122="转账","—",IFERROR(INDEX(科目参数!$P$6:$P$85,MATCH($E122,科目参数!$M$6:$M$85,0)),"")))</f>
        <v/>
      </c>
      <c r="R122" s="48" t="str">
        <f aca="false">IF($B122="","",SUMIFS(期初数据!$B$6:$B$35,期初数据!$A$6:$A$35,$F122)+SUMIFS($N$5:$N122,$F$5:$F122,$F122,$D$5:$D122,"收入")-SUMIFS($N$5:$N122,$F$5:$F122,$F122,$D$5:$D122,"支出")-SUMIFS($N$5:$N122,$F$5:$F122,$F122,$D$5:$D122,"转账")+SUMIFS($N$5:$N122,$G$5:$G122,$F122,$D$5:$D122,"转账"))</f>
        <v/>
      </c>
      <c r="S122" s="49" t="str">
        <f aca="false">IF($E122="","",IFERROR(INDEX(科目参数!$N$6:$N$85,MATCH($E122,科目参数!$M$6:$M$85,0)),""))</f>
        <v/>
      </c>
      <c r="T122" s="49" t="str">
        <f aca="false">IF($F122="","",IFERROR(INDEX(基础资料!$C$6:$C$35,MATCH($F122,基础资料!$A$6:$A$35,0)),""))</f>
        <v/>
      </c>
      <c r="U122" s="49" t="str">
        <f aca="false">IF($G122="","",IFERROR(INDEX(基础资料!$C$6:$C$35,MATCH($G122,基础资料!$A$6:$A$35,0)),""))</f>
        <v/>
      </c>
      <c r="V122" s="49" t="str">
        <f aca="false">IF(AND($G122=客户对账单!$B$3,$E122="客户回款",$B122&gt;=客户对账单!$E$3,$B122&lt;=客户对账单!$H$3),COUNTIFS($G$5:$G122,客户对账单!$B$3,$E$5:$E122,"客户回款",$B$5:$B122,"&gt;="&amp;客户对账单!$E$3,$B$5:$B122,"&lt;="&amp;客户对账单!$H$3),"")</f>
        <v/>
      </c>
      <c r="W122" s="49" t="str">
        <f aca="false">IF(AND($G122=供应商对账单!$B$3,$E122="供应商付款",$B122&gt;=供应商对账单!$E$3,$B122&lt;=供应商对账单!$H$3),COUNTIFS($G$5:$G122,供应商对账单!$B$3,$E$5:$E122,"供应商付款",$B$5:$B122,"&gt;="&amp;供应商对账单!$E$3,$B$5:$B122,"&lt;="&amp;供应商对账单!$H$3),"")</f>
        <v/>
      </c>
    </row>
    <row r="123" customFormat="false" ht="15.75" hidden="false" customHeight="true" outlineLevel="0" collapsed="false">
      <c r="A123" s="42" t="str">
        <f aca="false">IF($B123="","","ZJ"&amp;TEXT($B123,"yyyymm")&amp;"-"&amp;TEXT(ROW()-4,"000"))</f>
        <v/>
      </c>
      <c r="B123" s="41"/>
      <c r="C123" s="42" t="str">
        <f aca="false">IF($B123="","",TEXT($B123,"yyyy-mm"))</f>
        <v/>
      </c>
      <c r="D123" s="42" t="str">
        <f aca="false">IF($E123="","",IFERROR(INDEX(科目参数!$L$6:$L$85,MATCH($E123,科目参数!$M$6:$M$85,0)),"⚠"))</f>
        <v/>
      </c>
      <c r="E123" s="33"/>
      <c r="F123" s="33"/>
      <c r="G123" s="36"/>
      <c r="H123" s="33"/>
      <c r="I123" s="33"/>
      <c r="J123" s="36"/>
      <c r="K123" s="40"/>
      <c r="L123" s="40"/>
      <c r="M123" s="47" t="str">
        <f aca="false">IF($B123="","",IF(NOT(ISNUMBER($B123)),"日期不是日期格式",IF(YEAR($B123)&lt;&gt;首页!$B$3,"不在会计年度",IF($E123="","未选收支科目",IF($D123="⚠","收支科目不存在",IF($F123="","未选账户",IF($T123="","账户未设资金科目",IF(AND($D123="转账",$U123=""),"转入账户无效",IF(AND(N($K123)&gt;0,N($L123)&gt;0),"收支不能同时填",IF(AND($D123="收入",N($K123)&lt;=0),"收入金额须大于0",IF(AND($D123&lt;&gt;"收入",N($L123)&lt;=0),"支出金额须大于0",IF($O123="","借方科目缺失",IF($P123="","贷方科目缺失","√")))))))))))))</f>
        <v/>
      </c>
      <c r="N123" s="48" t="str">
        <f aca="false">IF($B123="","",IF($D123="收入",N($K123),N($L123)))</f>
        <v/>
      </c>
      <c r="O123" s="49" t="str">
        <f aca="false">IF($B123="","",IF($D123="收入",$T123,IF($D123="转账",$U123,$S123)))</f>
        <v/>
      </c>
      <c r="P123" s="49" t="str">
        <f aca="false">IF($B123="","",IF($D123="收入",$S123,$T123))</f>
        <v/>
      </c>
      <c r="Q123" s="50" t="str">
        <f aca="false">IF($E123="","",IF($D123="转账","—",IFERROR(INDEX(科目参数!$P$6:$P$85,MATCH($E123,科目参数!$M$6:$M$85,0)),"")))</f>
        <v/>
      </c>
      <c r="R123" s="48" t="str">
        <f aca="false">IF($B123="","",SUMIFS(期初数据!$B$6:$B$35,期初数据!$A$6:$A$35,$F123)+SUMIFS($N$5:$N123,$F$5:$F123,$F123,$D$5:$D123,"收入")-SUMIFS($N$5:$N123,$F$5:$F123,$F123,$D$5:$D123,"支出")-SUMIFS($N$5:$N123,$F$5:$F123,$F123,$D$5:$D123,"转账")+SUMIFS($N$5:$N123,$G$5:$G123,$F123,$D$5:$D123,"转账"))</f>
        <v/>
      </c>
      <c r="S123" s="49" t="str">
        <f aca="false">IF($E123="","",IFERROR(INDEX(科目参数!$N$6:$N$85,MATCH($E123,科目参数!$M$6:$M$85,0)),""))</f>
        <v/>
      </c>
      <c r="T123" s="49" t="str">
        <f aca="false">IF($F123="","",IFERROR(INDEX(基础资料!$C$6:$C$35,MATCH($F123,基础资料!$A$6:$A$35,0)),""))</f>
        <v/>
      </c>
      <c r="U123" s="49" t="str">
        <f aca="false">IF($G123="","",IFERROR(INDEX(基础资料!$C$6:$C$35,MATCH($G123,基础资料!$A$6:$A$35,0)),""))</f>
        <v/>
      </c>
      <c r="V123" s="49" t="str">
        <f aca="false">IF(AND($G123=客户对账单!$B$3,$E123="客户回款",$B123&gt;=客户对账单!$E$3,$B123&lt;=客户对账单!$H$3),COUNTIFS($G$5:$G123,客户对账单!$B$3,$E$5:$E123,"客户回款",$B$5:$B123,"&gt;="&amp;客户对账单!$E$3,$B$5:$B123,"&lt;="&amp;客户对账单!$H$3),"")</f>
        <v/>
      </c>
      <c r="W123" s="49" t="str">
        <f aca="false">IF(AND($G123=供应商对账单!$B$3,$E123="供应商付款",$B123&gt;=供应商对账单!$E$3,$B123&lt;=供应商对账单!$H$3),COUNTIFS($G$5:$G123,供应商对账单!$B$3,$E$5:$E123,"供应商付款",$B$5:$B123,"&gt;="&amp;供应商对账单!$E$3,$B$5:$B123,"&lt;="&amp;供应商对账单!$H$3),"")</f>
        <v/>
      </c>
    </row>
    <row r="124" customFormat="false" ht="15.75" hidden="false" customHeight="true" outlineLevel="0" collapsed="false">
      <c r="A124" s="42" t="str">
        <f aca="false">IF($B124="","","ZJ"&amp;TEXT($B124,"yyyymm")&amp;"-"&amp;TEXT(ROW()-4,"000"))</f>
        <v/>
      </c>
      <c r="B124" s="41"/>
      <c r="C124" s="42" t="str">
        <f aca="false">IF($B124="","",TEXT($B124,"yyyy-mm"))</f>
        <v/>
      </c>
      <c r="D124" s="42" t="str">
        <f aca="false">IF($E124="","",IFERROR(INDEX(科目参数!$L$6:$L$85,MATCH($E124,科目参数!$M$6:$M$85,0)),"⚠"))</f>
        <v/>
      </c>
      <c r="E124" s="33"/>
      <c r="F124" s="33"/>
      <c r="G124" s="36"/>
      <c r="H124" s="33"/>
      <c r="I124" s="33"/>
      <c r="J124" s="36"/>
      <c r="K124" s="40"/>
      <c r="L124" s="40"/>
      <c r="M124" s="47" t="str">
        <f aca="false">IF($B124="","",IF(NOT(ISNUMBER($B124)),"日期不是日期格式",IF(YEAR($B124)&lt;&gt;首页!$B$3,"不在会计年度",IF($E124="","未选收支科目",IF($D124="⚠","收支科目不存在",IF($F124="","未选账户",IF($T124="","账户未设资金科目",IF(AND($D124="转账",$U124=""),"转入账户无效",IF(AND(N($K124)&gt;0,N($L124)&gt;0),"收支不能同时填",IF(AND($D124="收入",N($K124)&lt;=0),"收入金额须大于0",IF(AND($D124&lt;&gt;"收入",N($L124)&lt;=0),"支出金额须大于0",IF($O124="","借方科目缺失",IF($P124="","贷方科目缺失","√")))))))))))))</f>
        <v/>
      </c>
      <c r="N124" s="48" t="str">
        <f aca="false">IF($B124="","",IF($D124="收入",N($K124),N($L124)))</f>
        <v/>
      </c>
      <c r="O124" s="49" t="str">
        <f aca="false">IF($B124="","",IF($D124="收入",$T124,IF($D124="转账",$U124,$S124)))</f>
        <v/>
      </c>
      <c r="P124" s="49" t="str">
        <f aca="false">IF($B124="","",IF($D124="收入",$S124,$T124))</f>
        <v/>
      </c>
      <c r="Q124" s="50" t="str">
        <f aca="false">IF($E124="","",IF($D124="转账","—",IFERROR(INDEX(科目参数!$P$6:$P$85,MATCH($E124,科目参数!$M$6:$M$85,0)),"")))</f>
        <v/>
      </c>
      <c r="R124" s="48" t="str">
        <f aca="false">IF($B124="","",SUMIFS(期初数据!$B$6:$B$35,期初数据!$A$6:$A$35,$F124)+SUMIFS($N$5:$N124,$F$5:$F124,$F124,$D$5:$D124,"收入")-SUMIFS($N$5:$N124,$F$5:$F124,$F124,$D$5:$D124,"支出")-SUMIFS($N$5:$N124,$F$5:$F124,$F124,$D$5:$D124,"转账")+SUMIFS($N$5:$N124,$G$5:$G124,$F124,$D$5:$D124,"转账"))</f>
        <v/>
      </c>
      <c r="S124" s="49" t="str">
        <f aca="false">IF($E124="","",IFERROR(INDEX(科目参数!$N$6:$N$85,MATCH($E124,科目参数!$M$6:$M$85,0)),""))</f>
        <v/>
      </c>
      <c r="T124" s="49" t="str">
        <f aca="false">IF($F124="","",IFERROR(INDEX(基础资料!$C$6:$C$35,MATCH($F124,基础资料!$A$6:$A$35,0)),""))</f>
        <v/>
      </c>
      <c r="U124" s="49" t="str">
        <f aca="false">IF($G124="","",IFERROR(INDEX(基础资料!$C$6:$C$35,MATCH($G124,基础资料!$A$6:$A$35,0)),""))</f>
        <v/>
      </c>
      <c r="V124" s="49" t="str">
        <f aca="false">IF(AND($G124=客户对账单!$B$3,$E124="客户回款",$B124&gt;=客户对账单!$E$3,$B124&lt;=客户对账单!$H$3),COUNTIFS($G$5:$G124,客户对账单!$B$3,$E$5:$E124,"客户回款",$B$5:$B124,"&gt;="&amp;客户对账单!$E$3,$B$5:$B124,"&lt;="&amp;客户对账单!$H$3),"")</f>
        <v/>
      </c>
      <c r="W124" s="49" t="str">
        <f aca="false">IF(AND($G124=供应商对账单!$B$3,$E124="供应商付款",$B124&gt;=供应商对账单!$E$3,$B124&lt;=供应商对账单!$H$3),COUNTIFS($G$5:$G124,供应商对账单!$B$3,$E$5:$E124,"供应商付款",$B$5:$B124,"&gt;="&amp;供应商对账单!$E$3,$B$5:$B124,"&lt;="&amp;供应商对账单!$H$3),"")</f>
        <v/>
      </c>
    </row>
    <row r="125" customFormat="false" ht="15.75" hidden="false" customHeight="true" outlineLevel="0" collapsed="false">
      <c r="A125" s="42" t="str">
        <f aca="false">IF($B125="","","ZJ"&amp;TEXT($B125,"yyyymm")&amp;"-"&amp;TEXT(ROW()-4,"000"))</f>
        <v/>
      </c>
      <c r="B125" s="41"/>
      <c r="C125" s="42" t="str">
        <f aca="false">IF($B125="","",TEXT($B125,"yyyy-mm"))</f>
        <v/>
      </c>
      <c r="D125" s="42" t="str">
        <f aca="false">IF($E125="","",IFERROR(INDEX(科目参数!$L$6:$L$85,MATCH($E125,科目参数!$M$6:$M$85,0)),"⚠"))</f>
        <v/>
      </c>
      <c r="E125" s="33"/>
      <c r="F125" s="33"/>
      <c r="G125" s="36"/>
      <c r="H125" s="33"/>
      <c r="I125" s="33"/>
      <c r="J125" s="36"/>
      <c r="K125" s="40"/>
      <c r="L125" s="40"/>
      <c r="M125" s="47" t="str">
        <f aca="false">IF($B125="","",IF(NOT(ISNUMBER($B125)),"日期不是日期格式",IF(YEAR($B125)&lt;&gt;首页!$B$3,"不在会计年度",IF($E125="","未选收支科目",IF($D125="⚠","收支科目不存在",IF($F125="","未选账户",IF($T125="","账户未设资金科目",IF(AND($D125="转账",$U125=""),"转入账户无效",IF(AND(N($K125)&gt;0,N($L125)&gt;0),"收支不能同时填",IF(AND($D125="收入",N($K125)&lt;=0),"收入金额须大于0",IF(AND($D125&lt;&gt;"收入",N($L125)&lt;=0),"支出金额须大于0",IF($O125="","借方科目缺失",IF($P125="","贷方科目缺失","√")))))))))))))</f>
        <v/>
      </c>
      <c r="N125" s="48" t="str">
        <f aca="false">IF($B125="","",IF($D125="收入",N($K125),N($L125)))</f>
        <v/>
      </c>
      <c r="O125" s="49" t="str">
        <f aca="false">IF($B125="","",IF($D125="收入",$T125,IF($D125="转账",$U125,$S125)))</f>
        <v/>
      </c>
      <c r="P125" s="49" t="str">
        <f aca="false">IF($B125="","",IF($D125="收入",$S125,$T125))</f>
        <v/>
      </c>
      <c r="Q125" s="50" t="str">
        <f aca="false">IF($E125="","",IF($D125="转账","—",IFERROR(INDEX(科目参数!$P$6:$P$85,MATCH($E125,科目参数!$M$6:$M$85,0)),"")))</f>
        <v/>
      </c>
      <c r="R125" s="48" t="str">
        <f aca="false">IF($B125="","",SUMIFS(期初数据!$B$6:$B$35,期初数据!$A$6:$A$35,$F125)+SUMIFS($N$5:$N125,$F$5:$F125,$F125,$D$5:$D125,"收入")-SUMIFS($N$5:$N125,$F$5:$F125,$F125,$D$5:$D125,"支出")-SUMIFS($N$5:$N125,$F$5:$F125,$F125,$D$5:$D125,"转账")+SUMIFS($N$5:$N125,$G$5:$G125,$F125,$D$5:$D125,"转账"))</f>
        <v/>
      </c>
      <c r="S125" s="49" t="str">
        <f aca="false">IF($E125="","",IFERROR(INDEX(科目参数!$N$6:$N$85,MATCH($E125,科目参数!$M$6:$M$85,0)),""))</f>
        <v/>
      </c>
      <c r="T125" s="49" t="str">
        <f aca="false">IF($F125="","",IFERROR(INDEX(基础资料!$C$6:$C$35,MATCH($F125,基础资料!$A$6:$A$35,0)),""))</f>
        <v/>
      </c>
      <c r="U125" s="49" t="str">
        <f aca="false">IF($G125="","",IFERROR(INDEX(基础资料!$C$6:$C$35,MATCH($G125,基础资料!$A$6:$A$35,0)),""))</f>
        <v/>
      </c>
      <c r="V125" s="49" t="str">
        <f aca="false">IF(AND($G125=客户对账单!$B$3,$E125="客户回款",$B125&gt;=客户对账单!$E$3,$B125&lt;=客户对账单!$H$3),COUNTIFS($G$5:$G125,客户对账单!$B$3,$E$5:$E125,"客户回款",$B$5:$B125,"&gt;="&amp;客户对账单!$E$3,$B$5:$B125,"&lt;="&amp;客户对账单!$H$3),"")</f>
        <v/>
      </c>
      <c r="W125" s="49" t="str">
        <f aca="false">IF(AND($G125=供应商对账单!$B$3,$E125="供应商付款",$B125&gt;=供应商对账单!$E$3,$B125&lt;=供应商对账单!$H$3),COUNTIFS($G$5:$G125,供应商对账单!$B$3,$E$5:$E125,"供应商付款",$B$5:$B125,"&gt;="&amp;供应商对账单!$E$3,$B$5:$B125,"&lt;="&amp;供应商对账单!$H$3),"")</f>
        <v/>
      </c>
    </row>
    <row r="126" customFormat="false" ht="15.75" hidden="false" customHeight="true" outlineLevel="0" collapsed="false">
      <c r="A126" s="42" t="str">
        <f aca="false">IF($B126="","","ZJ"&amp;TEXT($B126,"yyyymm")&amp;"-"&amp;TEXT(ROW()-4,"000"))</f>
        <v/>
      </c>
      <c r="B126" s="41"/>
      <c r="C126" s="42" t="str">
        <f aca="false">IF($B126="","",TEXT($B126,"yyyy-mm"))</f>
        <v/>
      </c>
      <c r="D126" s="42" t="str">
        <f aca="false">IF($E126="","",IFERROR(INDEX(科目参数!$L$6:$L$85,MATCH($E126,科目参数!$M$6:$M$85,0)),"⚠"))</f>
        <v/>
      </c>
      <c r="E126" s="33"/>
      <c r="F126" s="33"/>
      <c r="G126" s="36"/>
      <c r="H126" s="33"/>
      <c r="I126" s="33"/>
      <c r="J126" s="36"/>
      <c r="K126" s="40"/>
      <c r="L126" s="40"/>
      <c r="M126" s="47" t="str">
        <f aca="false">IF($B126="","",IF(NOT(ISNUMBER($B126)),"日期不是日期格式",IF(YEAR($B126)&lt;&gt;首页!$B$3,"不在会计年度",IF($E126="","未选收支科目",IF($D126="⚠","收支科目不存在",IF($F126="","未选账户",IF($T126="","账户未设资金科目",IF(AND($D126="转账",$U126=""),"转入账户无效",IF(AND(N($K126)&gt;0,N($L126)&gt;0),"收支不能同时填",IF(AND($D126="收入",N($K126)&lt;=0),"收入金额须大于0",IF(AND($D126&lt;&gt;"收入",N($L126)&lt;=0),"支出金额须大于0",IF($O126="","借方科目缺失",IF($P126="","贷方科目缺失","√")))))))))))))</f>
        <v/>
      </c>
      <c r="N126" s="48" t="str">
        <f aca="false">IF($B126="","",IF($D126="收入",N($K126),N($L126)))</f>
        <v/>
      </c>
      <c r="O126" s="49" t="str">
        <f aca="false">IF($B126="","",IF($D126="收入",$T126,IF($D126="转账",$U126,$S126)))</f>
        <v/>
      </c>
      <c r="P126" s="49" t="str">
        <f aca="false">IF($B126="","",IF($D126="收入",$S126,$T126))</f>
        <v/>
      </c>
      <c r="Q126" s="50" t="str">
        <f aca="false">IF($E126="","",IF($D126="转账","—",IFERROR(INDEX(科目参数!$P$6:$P$85,MATCH($E126,科目参数!$M$6:$M$85,0)),"")))</f>
        <v/>
      </c>
      <c r="R126" s="48" t="str">
        <f aca="false">IF($B126="","",SUMIFS(期初数据!$B$6:$B$35,期初数据!$A$6:$A$35,$F126)+SUMIFS($N$5:$N126,$F$5:$F126,$F126,$D$5:$D126,"收入")-SUMIFS($N$5:$N126,$F$5:$F126,$F126,$D$5:$D126,"支出")-SUMIFS($N$5:$N126,$F$5:$F126,$F126,$D$5:$D126,"转账")+SUMIFS($N$5:$N126,$G$5:$G126,$F126,$D$5:$D126,"转账"))</f>
        <v/>
      </c>
      <c r="S126" s="49" t="str">
        <f aca="false">IF($E126="","",IFERROR(INDEX(科目参数!$N$6:$N$85,MATCH($E126,科目参数!$M$6:$M$85,0)),""))</f>
        <v/>
      </c>
      <c r="T126" s="49" t="str">
        <f aca="false">IF($F126="","",IFERROR(INDEX(基础资料!$C$6:$C$35,MATCH($F126,基础资料!$A$6:$A$35,0)),""))</f>
        <v/>
      </c>
      <c r="U126" s="49" t="str">
        <f aca="false">IF($G126="","",IFERROR(INDEX(基础资料!$C$6:$C$35,MATCH($G126,基础资料!$A$6:$A$35,0)),""))</f>
        <v/>
      </c>
      <c r="V126" s="49" t="str">
        <f aca="false">IF(AND($G126=客户对账单!$B$3,$E126="客户回款",$B126&gt;=客户对账单!$E$3,$B126&lt;=客户对账单!$H$3),COUNTIFS($G$5:$G126,客户对账单!$B$3,$E$5:$E126,"客户回款",$B$5:$B126,"&gt;="&amp;客户对账单!$E$3,$B$5:$B126,"&lt;="&amp;客户对账单!$H$3),"")</f>
        <v/>
      </c>
      <c r="W126" s="49" t="str">
        <f aca="false">IF(AND($G126=供应商对账单!$B$3,$E126="供应商付款",$B126&gt;=供应商对账单!$E$3,$B126&lt;=供应商对账单!$H$3),COUNTIFS($G$5:$G126,供应商对账单!$B$3,$E$5:$E126,"供应商付款",$B$5:$B126,"&gt;="&amp;供应商对账单!$E$3,$B$5:$B126,"&lt;="&amp;供应商对账单!$H$3),"")</f>
        <v/>
      </c>
    </row>
    <row r="127" customFormat="false" ht="15.75" hidden="false" customHeight="true" outlineLevel="0" collapsed="false">
      <c r="A127" s="42" t="str">
        <f aca="false">IF($B127="","","ZJ"&amp;TEXT($B127,"yyyymm")&amp;"-"&amp;TEXT(ROW()-4,"000"))</f>
        <v/>
      </c>
      <c r="B127" s="41"/>
      <c r="C127" s="42" t="str">
        <f aca="false">IF($B127="","",TEXT($B127,"yyyy-mm"))</f>
        <v/>
      </c>
      <c r="D127" s="42" t="str">
        <f aca="false">IF($E127="","",IFERROR(INDEX(科目参数!$L$6:$L$85,MATCH($E127,科目参数!$M$6:$M$85,0)),"⚠"))</f>
        <v/>
      </c>
      <c r="E127" s="33"/>
      <c r="F127" s="33"/>
      <c r="G127" s="36"/>
      <c r="H127" s="33"/>
      <c r="I127" s="33"/>
      <c r="J127" s="36"/>
      <c r="K127" s="40"/>
      <c r="L127" s="40"/>
      <c r="M127" s="47" t="str">
        <f aca="false">IF($B127="","",IF(NOT(ISNUMBER($B127)),"日期不是日期格式",IF(YEAR($B127)&lt;&gt;首页!$B$3,"不在会计年度",IF($E127="","未选收支科目",IF($D127="⚠","收支科目不存在",IF($F127="","未选账户",IF($T127="","账户未设资金科目",IF(AND($D127="转账",$U127=""),"转入账户无效",IF(AND(N($K127)&gt;0,N($L127)&gt;0),"收支不能同时填",IF(AND($D127="收入",N($K127)&lt;=0),"收入金额须大于0",IF(AND($D127&lt;&gt;"收入",N($L127)&lt;=0),"支出金额须大于0",IF($O127="","借方科目缺失",IF($P127="","贷方科目缺失","√")))))))))))))</f>
        <v/>
      </c>
      <c r="N127" s="48" t="str">
        <f aca="false">IF($B127="","",IF($D127="收入",N($K127),N($L127)))</f>
        <v/>
      </c>
      <c r="O127" s="49" t="str">
        <f aca="false">IF($B127="","",IF($D127="收入",$T127,IF($D127="转账",$U127,$S127)))</f>
        <v/>
      </c>
      <c r="P127" s="49" t="str">
        <f aca="false">IF($B127="","",IF($D127="收入",$S127,$T127))</f>
        <v/>
      </c>
      <c r="Q127" s="50" t="str">
        <f aca="false">IF($E127="","",IF($D127="转账","—",IFERROR(INDEX(科目参数!$P$6:$P$85,MATCH($E127,科目参数!$M$6:$M$85,0)),"")))</f>
        <v/>
      </c>
      <c r="R127" s="48" t="str">
        <f aca="false">IF($B127="","",SUMIFS(期初数据!$B$6:$B$35,期初数据!$A$6:$A$35,$F127)+SUMIFS($N$5:$N127,$F$5:$F127,$F127,$D$5:$D127,"收入")-SUMIFS($N$5:$N127,$F$5:$F127,$F127,$D$5:$D127,"支出")-SUMIFS($N$5:$N127,$F$5:$F127,$F127,$D$5:$D127,"转账")+SUMIFS($N$5:$N127,$G$5:$G127,$F127,$D$5:$D127,"转账"))</f>
        <v/>
      </c>
      <c r="S127" s="49" t="str">
        <f aca="false">IF($E127="","",IFERROR(INDEX(科目参数!$N$6:$N$85,MATCH($E127,科目参数!$M$6:$M$85,0)),""))</f>
        <v/>
      </c>
      <c r="T127" s="49" t="str">
        <f aca="false">IF($F127="","",IFERROR(INDEX(基础资料!$C$6:$C$35,MATCH($F127,基础资料!$A$6:$A$35,0)),""))</f>
        <v/>
      </c>
      <c r="U127" s="49" t="str">
        <f aca="false">IF($G127="","",IFERROR(INDEX(基础资料!$C$6:$C$35,MATCH($G127,基础资料!$A$6:$A$35,0)),""))</f>
        <v/>
      </c>
      <c r="V127" s="49" t="str">
        <f aca="false">IF(AND($G127=客户对账单!$B$3,$E127="客户回款",$B127&gt;=客户对账单!$E$3,$B127&lt;=客户对账单!$H$3),COUNTIFS($G$5:$G127,客户对账单!$B$3,$E$5:$E127,"客户回款",$B$5:$B127,"&gt;="&amp;客户对账单!$E$3,$B$5:$B127,"&lt;="&amp;客户对账单!$H$3),"")</f>
        <v/>
      </c>
      <c r="W127" s="49" t="str">
        <f aca="false">IF(AND($G127=供应商对账单!$B$3,$E127="供应商付款",$B127&gt;=供应商对账单!$E$3,$B127&lt;=供应商对账单!$H$3),COUNTIFS($G$5:$G127,供应商对账单!$B$3,$E$5:$E127,"供应商付款",$B$5:$B127,"&gt;="&amp;供应商对账单!$E$3,$B$5:$B127,"&lt;="&amp;供应商对账单!$H$3),"")</f>
        <v/>
      </c>
    </row>
    <row r="128" customFormat="false" ht="15.75" hidden="false" customHeight="true" outlineLevel="0" collapsed="false">
      <c r="A128" s="42" t="str">
        <f aca="false">IF($B128="","","ZJ"&amp;TEXT($B128,"yyyymm")&amp;"-"&amp;TEXT(ROW()-4,"000"))</f>
        <v/>
      </c>
      <c r="B128" s="41"/>
      <c r="C128" s="42" t="str">
        <f aca="false">IF($B128="","",TEXT($B128,"yyyy-mm"))</f>
        <v/>
      </c>
      <c r="D128" s="42" t="str">
        <f aca="false">IF($E128="","",IFERROR(INDEX(科目参数!$L$6:$L$85,MATCH($E128,科目参数!$M$6:$M$85,0)),"⚠"))</f>
        <v/>
      </c>
      <c r="E128" s="33"/>
      <c r="F128" s="33"/>
      <c r="G128" s="36"/>
      <c r="H128" s="33"/>
      <c r="I128" s="33"/>
      <c r="J128" s="36"/>
      <c r="K128" s="40"/>
      <c r="L128" s="40"/>
      <c r="M128" s="47" t="str">
        <f aca="false">IF($B128="","",IF(NOT(ISNUMBER($B128)),"日期不是日期格式",IF(YEAR($B128)&lt;&gt;首页!$B$3,"不在会计年度",IF($E128="","未选收支科目",IF($D128="⚠","收支科目不存在",IF($F128="","未选账户",IF($T128="","账户未设资金科目",IF(AND($D128="转账",$U128=""),"转入账户无效",IF(AND(N($K128)&gt;0,N($L128)&gt;0),"收支不能同时填",IF(AND($D128="收入",N($K128)&lt;=0),"收入金额须大于0",IF(AND($D128&lt;&gt;"收入",N($L128)&lt;=0),"支出金额须大于0",IF($O128="","借方科目缺失",IF($P128="","贷方科目缺失","√")))))))))))))</f>
        <v/>
      </c>
      <c r="N128" s="48" t="str">
        <f aca="false">IF($B128="","",IF($D128="收入",N($K128),N($L128)))</f>
        <v/>
      </c>
      <c r="O128" s="49" t="str">
        <f aca="false">IF($B128="","",IF($D128="收入",$T128,IF($D128="转账",$U128,$S128)))</f>
        <v/>
      </c>
      <c r="P128" s="49" t="str">
        <f aca="false">IF($B128="","",IF($D128="收入",$S128,$T128))</f>
        <v/>
      </c>
      <c r="Q128" s="50" t="str">
        <f aca="false">IF($E128="","",IF($D128="转账","—",IFERROR(INDEX(科目参数!$P$6:$P$85,MATCH($E128,科目参数!$M$6:$M$85,0)),"")))</f>
        <v/>
      </c>
      <c r="R128" s="48" t="str">
        <f aca="false">IF($B128="","",SUMIFS(期初数据!$B$6:$B$35,期初数据!$A$6:$A$35,$F128)+SUMIFS($N$5:$N128,$F$5:$F128,$F128,$D$5:$D128,"收入")-SUMIFS($N$5:$N128,$F$5:$F128,$F128,$D$5:$D128,"支出")-SUMIFS($N$5:$N128,$F$5:$F128,$F128,$D$5:$D128,"转账")+SUMIFS($N$5:$N128,$G$5:$G128,$F128,$D$5:$D128,"转账"))</f>
        <v/>
      </c>
      <c r="S128" s="49" t="str">
        <f aca="false">IF($E128="","",IFERROR(INDEX(科目参数!$N$6:$N$85,MATCH($E128,科目参数!$M$6:$M$85,0)),""))</f>
        <v/>
      </c>
      <c r="T128" s="49" t="str">
        <f aca="false">IF($F128="","",IFERROR(INDEX(基础资料!$C$6:$C$35,MATCH($F128,基础资料!$A$6:$A$35,0)),""))</f>
        <v/>
      </c>
      <c r="U128" s="49" t="str">
        <f aca="false">IF($G128="","",IFERROR(INDEX(基础资料!$C$6:$C$35,MATCH($G128,基础资料!$A$6:$A$35,0)),""))</f>
        <v/>
      </c>
      <c r="V128" s="49" t="str">
        <f aca="false">IF(AND($G128=客户对账单!$B$3,$E128="客户回款",$B128&gt;=客户对账单!$E$3,$B128&lt;=客户对账单!$H$3),COUNTIFS($G$5:$G128,客户对账单!$B$3,$E$5:$E128,"客户回款",$B$5:$B128,"&gt;="&amp;客户对账单!$E$3,$B$5:$B128,"&lt;="&amp;客户对账单!$H$3),"")</f>
        <v/>
      </c>
      <c r="W128" s="49" t="str">
        <f aca="false">IF(AND($G128=供应商对账单!$B$3,$E128="供应商付款",$B128&gt;=供应商对账单!$E$3,$B128&lt;=供应商对账单!$H$3),COUNTIFS($G$5:$G128,供应商对账单!$B$3,$E$5:$E128,"供应商付款",$B$5:$B128,"&gt;="&amp;供应商对账单!$E$3,$B$5:$B128,"&lt;="&amp;供应商对账单!$H$3),"")</f>
        <v/>
      </c>
    </row>
    <row r="129" customFormat="false" ht="15.75" hidden="false" customHeight="true" outlineLevel="0" collapsed="false">
      <c r="A129" s="42" t="str">
        <f aca="false">IF($B129="","","ZJ"&amp;TEXT($B129,"yyyymm")&amp;"-"&amp;TEXT(ROW()-4,"000"))</f>
        <v/>
      </c>
      <c r="B129" s="41"/>
      <c r="C129" s="42" t="str">
        <f aca="false">IF($B129="","",TEXT($B129,"yyyy-mm"))</f>
        <v/>
      </c>
      <c r="D129" s="42" t="str">
        <f aca="false">IF($E129="","",IFERROR(INDEX(科目参数!$L$6:$L$85,MATCH($E129,科目参数!$M$6:$M$85,0)),"⚠"))</f>
        <v/>
      </c>
      <c r="E129" s="33"/>
      <c r="F129" s="33"/>
      <c r="G129" s="36"/>
      <c r="H129" s="33"/>
      <c r="I129" s="33"/>
      <c r="J129" s="36"/>
      <c r="K129" s="40"/>
      <c r="L129" s="40"/>
      <c r="M129" s="47" t="str">
        <f aca="false">IF($B129="","",IF(NOT(ISNUMBER($B129)),"日期不是日期格式",IF(YEAR($B129)&lt;&gt;首页!$B$3,"不在会计年度",IF($E129="","未选收支科目",IF($D129="⚠","收支科目不存在",IF($F129="","未选账户",IF($T129="","账户未设资金科目",IF(AND($D129="转账",$U129=""),"转入账户无效",IF(AND(N($K129)&gt;0,N($L129)&gt;0),"收支不能同时填",IF(AND($D129="收入",N($K129)&lt;=0),"收入金额须大于0",IF(AND($D129&lt;&gt;"收入",N($L129)&lt;=0),"支出金额须大于0",IF($O129="","借方科目缺失",IF($P129="","贷方科目缺失","√")))))))))))))</f>
        <v/>
      </c>
      <c r="N129" s="48" t="str">
        <f aca="false">IF($B129="","",IF($D129="收入",N($K129),N($L129)))</f>
        <v/>
      </c>
      <c r="O129" s="49" t="str">
        <f aca="false">IF($B129="","",IF($D129="收入",$T129,IF($D129="转账",$U129,$S129)))</f>
        <v/>
      </c>
      <c r="P129" s="49" t="str">
        <f aca="false">IF($B129="","",IF($D129="收入",$S129,$T129))</f>
        <v/>
      </c>
      <c r="Q129" s="50" t="str">
        <f aca="false">IF($E129="","",IF($D129="转账","—",IFERROR(INDEX(科目参数!$P$6:$P$85,MATCH($E129,科目参数!$M$6:$M$85,0)),"")))</f>
        <v/>
      </c>
      <c r="R129" s="48" t="str">
        <f aca="false">IF($B129="","",SUMIFS(期初数据!$B$6:$B$35,期初数据!$A$6:$A$35,$F129)+SUMIFS($N$5:$N129,$F$5:$F129,$F129,$D$5:$D129,"收入")-SUMIFS($N$5:$N129,$F$5:$F129,$F129,$D$5:$D129,"支出")-SUMIFS($N$5:$N129,$F$5:$F129,$F129,$D$5:$D129,"转账")+SUMIFS($N$5:$N129,$G$5:$G129,$F129,$D$5:$D129,"转账"))</f>
        <v/>
      </c>
      <c r="S129" s="49" t="str">
        <f aca="false">IF($E129="","",IFERROR(INDEX(科目参数!$N$6:$N$85,MATCH($E129,科目参数!$M$6:$M$85,0)),""))</f>
        <v/>
      </c>
      <c r="T129" s="49" t="str">
        <f aca="false">IF($F129="","",IFERROR(INDEX(基础资料!$C$6:$C$35,MATCH($F129,基础资料!$A$6:$A$35,0)),""))</f>
        <v/>
      </c>
      <c r="U129" s="49" t="str">
        <f aca="false">IF($G129="","",IFERROR(INDEX(基础资料!$C$6:$C$35,MATCH($G129,基础资料!$A$6:$A$35,0)),""))</f>
        <v/>
      </c>
      <c r="V129" s="49" t="str">
        <f aca="false">IF(AND($G129=客户对账单!$B$3,$E129="客户回款",$B129&gt;=客户对账单!$E$3,$B129&lt;=客户对账单!$H$3),COUNTIFS($G$5:$G129,客户对账单!$B$3,$E$5:$E129,"客户回款",$B$5:$B129,"&gt;="&amp;客户对账单!$E$3,$B$5:$B129,"&lt;="&amp;客户对账单!$H$3),"")</f>
        <v/>
      </c>
      <c r="W129" s="49" t="str">
        <f aca="false">IF(AND($G129=供应商对账单!$B$3,$E129="供应商付款",$B129&gt;=供应商对账单!$E$3,$B129&lt;=供应商对账单!$H$3),COUNTIFS($G$5:$G129,供应商对账单!$B$3,$E$5:$E129,"供应商付款",$B$5:$B129,"&gt;="&amp;供应商对账单!$E$3,$B$5:$B129,"&lt;="&amp;供应商对账单!$H$3),"")</f>
        <v/>
      </c>
    </row>
    <row r="130" customFormat="false" ht="15.75" hidden="false" customHeight="true" outlineLevel="0" collapsed="false">
      <c r="A130" s="42" t="str">
        <f aca="false">IF($B130="","","ZJ"&amp;TEXT($B130,"yyyymm")&amp;"-"&amp;TEXT(ROW()-4,"000"))</f>
        <v/>
      </c>
      <c r="B130" s="41"/>
      <c r="C130" s="42" t="str">
        <f aca="false">IF($B130="","",TEXT($B130,"yyyy-mm"))</f>
        <v/>
      </c>
      <c r="D130" s="42" t="str">
        <f aca="false">IF($E130="","",IFERROR(INDEX(科目参数!$L$6:$L$85,MATCH($E130,科目参数!$M$6:$M$85,0)),"⚠"))</f>
        <v/>
      </c>
      <c r="E130" s="33"/>
      <c r="F130" s="33"/>
      <c r="G130" s="36"/>
      <c r="H130" s="33"/>
      <c r="I130" s="33"/>
      <c r="J130" s="36"/>
      <c r="K130" s="40"/>
      <c r="L130" s="40"/>
      <c r="M130" s="47" t="str">
        <f aca="false">IF($B130="","",IF(NOT(ISNUMBER($B130)),"日期不是日期格式",IF(YEAR($B130)&lt;&gt;首页!$B$3,"不在会计年度",IF($E130="","未选收支科目",IF($D130="⚠","收支科目不存在",IF($F130="","未选账户",IF($T130="","账户未设资金科目",IF(AND($D130="转账",$U130=""),"转入账户无效",IF(AND(N($K130)&gt;0,N($L130)&gt;0),"收支不能同时填",IF(AND($D130="收入",N($K130)&lt;=0),"收入金额须大于0",IF(AND($D130&lt;&gt;"收入",N($L130)&lt;=0),"支出金额须大于0",IF($O130="","借方科目缺失",IF($P130="","贷方科目缺失","√")))))))))))))</f>
        <v/>
      </c>
      <c r="N130" s="48" t="str">
        <f aca="false">IF($B130="","",IF($D130="收入",N($K130),N($L130)))</f>
        <v/>
      </c>
      <c r="O130" s="49" t="str">
        <f aca="false">IF($B130="","",IF($D130="收入",$T130,IF($D130="转账",$U130,$S130)))</f>
        <v/>
      </c>
      <c r="P130" s="49" t="str">
        <f aca="false">IF($B130="","",IF($D130="收入",$S130,$T130))</f>
        <v/>
      </c>
      <c r="Q130" s="50" t="str">
        <f aca="false">IF($E130="","",IF($D130="转账","—",IFERROR(INDEX(科目参数!$P$6:$P$85,MATCH($E130,科目参数!$M$6:$M$85,0)),"")))</f>
        <v/>
      </c>
      <c r="R130" s="48" t="str">
        <f aca="false">IF($B130="","",SUMIFS(期初数据!$B$6:$B$35,期初数据!$A$6:$A$35,$F130)+SUMIFS($N$5:$N130,$F$5:$F130,$F130,$D$5:$D130,"收入")-SUMIFS($N$5:$N130,$F$5:$F130,$F130,$D$5:$D130,"支出")-SUMIFS($N$5:$N130,$F$5:$F130,$F130,$D$5:$D130,"转账")+SUMIFS($N$5:$N130,$G$5:$G130,$F130,$D$5:$D130,"转账"))</f>
        <v/>
      </c>
      <c r="S130" s="49" t="str">
        <f aca="false">IF($E130="","",IFERROR(INDEX(科目参数!$N$6:$N$85,MATCH($E130,科目参数!$M$6:$M$85,0)),""))</f>
        <v/>
      </c>
      <c r="T130" s="49" t="str">
        <f aca="false">IF($F130="","",IFERROR(INDEX(基础资料!$C$6:$C$35,MATCH($F130,基础资料!$A$6:$A$35,0)),""))</f>
        <v/>
      </c>
      <c r="U130" s="49" t="str">
        <f aca="false">IF($G130="","",IFERROR(INDEX(基础资料!$C$6:$C$35,MATCH($G130,基础资料!$A$6:$A$35,0)),""))</f>
        <v/>
      </c>
      <c r="V130" s="49" t="str">
        <f aca="false">IF(AND($G130=客户对账单!$B$3,$E130="客户回款",$B130&gt;=客户对账单!$E$3,$B130&lt;=客户对账单!$H$3),COUNTIFS($G$5:$G130,客户对账单!$B$3,$E$5:$E130,"客户回款",$B$5:$B130,"&gt;="&amp;客户对账单!$E$3,$B$5:$B130,"&lt;="&amp;客户对账单!$H$3),"")</f>
        <v/>
      </c>
      <c r="W130" s="49" t="str">
        <f aca="false">IF(AND($G130=供应商对账单!$B$3,$E130="供应商付款",$B130&gt;=供应商对账单!$E$3,$B130&lt;=供应商对账单!$H$3),COUNTIFS($G$5:$G130,供应商对账单!$B$3,$E$5:$E130,"供应商付款",$B$5:$B130,"&gt;="&amp;供应商对账单!$E$3,$B$5:$B130,"&lt;="&amp;供应商对账单!$H$3),"")</f>
        <v/>
      </c>
    </row>
    <row r="131" customFormat="false" ht="15.75" hidden="false" customHeight="true" outlineLevel="0" collapsed="false">
      <c r="A131" s="42" t="str">
        <f aca="false">IF($B131="","","ZJ"&amp;TEXT($B131,"yyyymm")&amp;"-"&amp;TEXT(ROW()-4,"000"))</f>
        <v/>
      </c>
      <c r="B131" s="41"/>
      <c r="C131" s="42" t="str">
        <f aca="false">IF($B131="","",TEXT($B131,"yyyy-mm"))</f>
        <v/>
      </c>
      <c r="D131" s="42" t="str">
        <f aca="false">IF($E131="","",IFERROR(INDEX(科目参数!$L$6:$L$85,MATCH($E131,科目参数!$M$6:$M$85,0)),"⚠"))</f>
        <v/>
      </c>
      <c r="E131" s="33"/>
      <c r="F131" s="33"/>
      <c r="G131" s="36"/>
      <c r="H131" s="33"/>
      <c r="I131" s="33"/>
      <c r="J131" s="36"/>
      <c r="K131" s="40"/>
      <c r="L131" s="40"/>
      <c r="M131" s="47" t="str">
        <f aca="false">IF($B131="","",IF(NOT(ISNUMBER($B131)),"日期不是日期格式",IF(YEAR($B131)&lt;&gt;首页!$B$3,"不在会计年度",IF($E131="","未选收支科目",IF($D131="⚠","收支科目不存在",IF($F131="","未选账户",IF($T131="","账户未设资金科目",IF(AND($D131="转账",$U131=""),"转入账户无效",IF(AND(N($K131)&gt;0,N($L131)&gt;0),"收支不能同时填",IF(AND($D131="收入",N($K131)&lt;=0),"收入金额须大于0",IF(AND($D131&lt;&gt;"收入",N($L131)&lt;=0),"支出金额须大于0",IF($O131="","借方科目缺失",IF($P131="","贷方科目缺失","√")))))))))))))</f>
        <v/>
      </c>
      <c r="N131" s="48" t="str">
        <f aca="false">IF($B131="","",IF($D131="收入",N($K131),N($L131)))</f>
        <v/>
      </c>
      <c r="O131" s="49" t="str">
        <f aca="false">IF($B131="","",IF($D131="收入",$T131,IF($D131="转账",$U131,$S131)))</f>
        <v/>
      </c>
      <c r="P131" s="49" t="str">
        <f aca="false">IF($B131="","",IF($D131="收入",$S131,$T131))</f>
        <v/>
      </c>
      <c r="Q131" s="50" t="str">
        <f aca="false">IF($E131="","",IF($D131="转账","—",IFERROR(INDEX(科目参数!$P$6:$P$85,MATCH($E131,科目参数!$M$6:$M$85,0)),"")))</f>
        <v/>
      </c>
      <c r="R131" s="48" t="str">
        <f aca="false">IF($B131="","",SUMIFS(期初数据!$B$6:$B$35,期初数据!$A$6:$A$35,$F131)+SUMIFS($N$5:$N131,$F$5:$F131,$F131,$D$5:$D131,"收入")-SUMIFS($N$5:$N131,$F$5:$F131,$F131,$D$5:$D131,"支出")-SUMIFS($N$5:$N131,$F$5:$F131,$F131,$D$5:$D131,"转账")+SUMIFS($N$5:$N131,$G$5:$G131,$F131,$D$5:$D131,"转账"))</f>
        <v/>
      </c>
      <c r="S131" s="49" t="str">
        <f aca="false">IF($E131="","",IFERROR(INDEX(科目参数!$N$6:$N$85,MATCH($E131,科目参数!$M$6:$M$85,0)),""))</f>
        <v/>
      </c>
      <c r="T131" s="49" t="str">
        <f aca="false">IF($F131="","",IFERROR(INDEX(基础资料!$C$6:$C$35,MATCH($F131,基础资料!$A$6:$A$35,0)),""))</f>
        <v/>
      </c>
      <c r="U131" s="49" t="str">
        <f aca="false">IF($G131="","",IFERROR(INDEX(基础资料!$C$6:$C$35,MATCH($G131,基础资料!$A$6:$A$35,0)),""))</f>
        <v/>
      </c>
      <c r="V131" s="49" t="str">
        <f aca="false">IF(AND($G131=客户对账单!$B$3,$E131="客户回款",$B131&gt;=客户对账单!$E$3,$B131&lt;=客户对账单!$H$3),COUNTIFS($G$5:$G131,客户对账单!$B$3,$E$5:$E131,"客户回款",$B$5:$B131,"&gt;="&amp;客户对账单!$E$3,$B$5:$B131,"&lt;="&amp;客户对账单!$H$3),"")</f>
        <v/>
      </c>
      <c r="W131" s="49" t="str">
        <f aca="false">IF(AND($G131=供应商对账单!$B$3,$E131="供应商付款",$B131&gt;=供应商对账单!$E$3,$B131&lt;=供应商对账单!$H$3),COUNTIFS($G$5:$G131,供应商对账单!$B$3,$E$5:$E131,"供应商付款",$B$5:$B131,"&gt;="&amp;供应商对账单!$E$3,$B$5:$B131,"&lt;="&amp;供应商对账单!$H$3),"")</f>
        <v/>
      </c>
    </row>
    <row r="132" customFormat="false" ht="15.75" hidden="false" customHeight="true" outlineLevel="0" collapsed="false">
      <c r="A132" s="42" t="str">
        <f aca="false">IF($B132="","","ZJ"&amp;TEXT($B132,"yyyymm")&amp;"-"&amp;TEXT(ROW()-4,"000"))</f>
        <v/>
      </c>
      <c r="B132" s="41"/>
      <c r="C132" s="42" t="str">
        <f aca="false">IF($B132="","",TEXT($B132,"yyyy-mm"))</f>
        <v/>
      </c>
      <c r="D132" s="42" t="str">
        <f aca="false">IF($E132="","",IFERROR(INDEX(科目参数!$L$6:$L$85,MATCH($E132,科目参数!$M$6:$M$85,0)),"⚠"))</f>
        <v/>
      </c>
      <c r="E132" s="33"/>
      <c r="F132" s="33"/>
      <c r="G132" s="36"/>
      <c r="H132" s="33"/>
      <c r="I132" s="33"/>
      <c r="J132" s="36"/>
      <c r="K132" s="40"/>
      <c r="L132" s="40"/>
      <c r="M132" s="47" t="str">
        <f aca="false">IF($B132="","",IF(NOT(ISNUMBER($B132)),"日期不是日期格式",IF(YEAR($B132)&lt;&gt;首页!$B$3,"不在会计年度",IF($E132="","未选收支科目",IF($D132="⚠","收支科目不存在",IF($F132="","未选账户",IF($T132="","账户未设资金科目",IF(AND($D132="转账",$U132=""),"转入账户无效",IF(AND(N($K132)&gt;0,N($L132)&gt;0),"收支不能同时填",IF(AND($D132="收入",N($K132)&lt;=0),"收入金额须大于0",IF(AND($D132&lt;&gt;"收入",N($L132)&lt;=0),"支出金额须大于0",IF($O132="","借方科目缺失",IF($P132="","贷方科目缺失","√")))))))))))))</f>
        <v/>
      </c>
      <c r="N132" s="48" t="str">
        <f aca="false">IF($B132="","",IF($D132="收入",N($K132),N($L132)))</f>
        <v/>
      </c>
      <c r="O132" s="49" t="str">
        <f aca="false">IF($B132="","",IF($D132="收入",$T132,IF($D132="转账",$U132,$S132)))</f>
        <v/>
      </c>
      <c r="P132" s="49" t="str">
        <f aca="false">IF($B132="","",IF($D132="收入",$S132,$T132))</f>
        <v/>
      </c>
      <c r="Q132" s="50" t="str">
        <f aca="false">IF($E132="","",IF($D132="转账","—",IFERROR(INDEX(科目参数!$P$6:$P$85,MATCH($E132,科目参数!$M$6:$M$85,0)),"")))</f>
        <v/>
      </c>
      <c r="R132" s="48" t="str">
        <f aca="false">IF($B132="","",SUMIFS(期初数据!$B$6:$B$35,期初数据!$A$6:$A$35,$F132)+SUMIFS($N$5:$N132,$F$5:$F132,$F132,$D$5:$D132,"收入")-SUMIFS($N$5:$N132,$F$5:$F132,$F132,$D$5:$D132,"支出")-SUMIFS($N$5:$N132,$F$5:$F132,$F132,$D$5:$D132,"转账")+SUMIFS($N$5:$N132,$G$5:$G132,$F132,$D$5:$D132,"转账"))</f>
        <v/>
      </c>
      <c r="S132" s="49" t="str">
        <f aca="false">IF($E132="","",IFERROR(INDEX(科目参数!$N$6:$N$85,MATCH($E132,科目参数!$M$6:$M$85,0)),""))</f>
        <v/>
      </c>
      <c r="T132" s="49" t="str">
        <f aca="false">IF($F132="","",IFERROR(INDEX(基础资料!$C$6:$C$35,MATCH($F132,基础资料!$A$6:$A$35,0)),""))</f>
        <v/>
      </c>
      <c r="U132" s="49" t="str">
        <f aca="false">IF($G132="","",IFERROR(INDEX(基础资料!$C$6:$C$35,MATCH($G132,基础资料!$A$6:$A$35,0)),""))</f>
        <v/>
      </c>
      <c r="V132" s="49" t="str">
        <f aca="false">IF(AND($G132=客户对账单!$B$3,$E132="客户回款",$B132&gt;=客户对账单!$E$3,$B132&lt;=客户对账单!$H$3),COUNTIFS($G$5:$G132,客户对账单!$B$3,$E$5:$E132,"客户回款",$B$5:$B132,"&gt;="&amp;客户对账单!$E$3,$B$5:$B132,"&lt;="&amp;客户对账单!$H$3),"")</f>
        <v/>
      </c>
      <c r="W132" s="49" t="str">
        <f aca="false">IF(AND($G132=供应商对账单!$B$3,$E132="供应商付款",$B132&gt;=供应商对账单!$E$3,$B132&lt;=供应商对账单!$H$3),COUNTIFS($G$5:$G132,供应商对账单!$B$3,$E$5:$E132,"供应商付款",$B$5:$B132,"&gt;="&amp;供应商对账单!$E$3,$B$5:$B132,"&lt;="&amp;供应商对账单!$H$3),"")</f>
        <v/>
      </c>
    </row>
    <row r="133" customFormat="false" ht="15.75" hidden="false" customHeight="true" outlineLevel="0" collapsed="false">
      <c r="A133" s="42" t="str">
        <f aca="false">IF($B133="","","ZJ"&amp;TEXT($B133,"yyyymm")&amp;"-"&amp;TEXT(ROW()-4,"000"))</f>
        <v/>
      </c>
      <c r="B133" s="41"/>
      <c r="C133" s="42" t="str">
        <f aca="false">IF($B133="","",TEXT($B133,"yyyy-mm"))</f>
        <v/>
      </c>
      <c r="D133" s="42" t="str">
        <f aca="false">IF($E133="","",IFERROR(INDEX(科目参数!$L$6:$L$85,MATCH($E133,科目参数!$M$6:$M$85,0)),"⚠"))</f>
        <v/>
      </c>
      <c r="E133" s="33"/>
      <c r="F133" s="33"/>
      <c r="G133" s="36"/>
      <c r="H133" s="33"/>
      <c r="I133" s="33"/>
      <c r="J133" s="36"/>
      <c r="K133" s="40"/>
      <c r="L133" s="40"/>
      <c r="M133" s="47" t="str">
        <f aca="false">IF($B133="","",IF(NOT(ISNUMBER($B133)),"日期不是日期格式",IF(YEAR($B133)&lt;&gt;首页!$B$3,"不在会计年度",IF($E133="","未选收支科目",IF($D133="⚠","收支科目不存在",IF($F133="","未选账户",IF($T133="","账户未设资金科目",IF(AND($D133="转账",$U133=""),"转入账户无效",IF(AND(N($K133)&gt;0,N($L133)&gt;0),"收支不能同时填",IF(AND($D133="收入",N($K133)&lt;=0),"收入金额须大于0",IF(AND($D133&lt;&gt;"收入",N($L133)&lt;=0),"支出金额须大于0",IF($O133="","借方科目缺失",IF($P133="","贷方科目缺失","√")))))))))))))</f>
        <v/>
      </c>
      <c r="N133" s="48" t="str">
        <f aca="false">IF($B133="","",IF($D133="收入",N($K133),N($L133)))</f>
        <v/>
      </c>
      <c r="O133" s="49" t="str">
        <f aca="false">IF($B133="","",IF($D133="收入",$T133,IF($D133="转账",$U133,$S133)))</f>
        <v/>
      </c>
      <c r="P133" s="49" t="str">
        <f aca="false">IF($B133="","",IF($D133="收入",$S133,$T133))</f>
        <v/>
      </c>
      <c r="Q133" s="50" t="str">
        <f aca="false">IF($E133="","",IF($D133="转账","—",IFERROR(INDEX(科目参数!$P$6:$P$85,MATCH($E133,科目参数!$M$6:$M$85,0)),"")))</f>
        <v/>
      </c>
      <c r="R133" s="48" t="str">
        <f aca="false">IF($B133="","",SUMIFS(期初数据!$B$6:$B$35,期初数据!$A$6:$A$35,$F133)+SUMIFS($N$5:$N133,$F$5:$F133,$F133,$D$5:$D133,"收入")-SUMIFS($N$5:$N133,$F$5:$F133,$F133,$D$5:$D133,"支出")-SUMIFS($N$5:$N133,$F$5:$F133,$F133,$D$5:$D133,"转账")+SUMIFS($N$5:$N133,$G$5:$G133,$F133,$D$5:$D133,"转账"))</f>
        <v/>
      </c>
      <c r="S133" s="49" t="str">
        <f aca="false">IF($E133="","",IFERROR(INDEX(科目参数!$N$6:$N$85,MATCH($E133,科目参数!$M$6:$M$85,0)),""))</f>
        <v/>
      </c>
      <c r="T133" s="49" t="str">
        <f aca="false">IF($F133="","",IFERROR(INDEX(基础资料!$C$6:$C$35,MATCH($F133,基础资料!$A$6:$A$35,0)),""))</f>
        <v/>
      </c>
      <c r="U133" s="49" t="str">
        <f aca="false">IF($G133="","",IFERROR(INDEX(基础资料!$C$6:$C$35,MATCH($G133,基础资料!$A$6:$A$35,0)),""))</f>
        <v/>
      </c>
      <c r="V133" s="49" t="str">
        <f aca="false">IF(AND($G133=客户对账单!$B$3,$E133="客户回款",$B133&gt;=客户对账单!$E$3,$B133&lt;=客户对账单!$H$3),COUNTIFS($G$5:$G133,客户对账单!$B$3,$E$5:$E133,"客户回款",$B$5:$B133,"&gt;="&amp;客户对账单!$E$3,$B$5:$B133,"&lt;="&amp;客户对账单!$H$3),"")</f>
        <v/>
      </c>
      <c r="W133" s="49" t="str">
        <f aca="false">IF(AND($G133=供应商对账单!$B$3,$E133="供应商付款",$B133&gt;=供应商对账单!$E$3,$B133&lt;=供应商对账单!$H$3),COUNTIFS($G$5:$G133,供应商对账单!$B$3,$E$5:$E133,"供应商付款",$B$5:$B133,"&gt;="&amp;供应商对账单!$E$3,$B$5:$B133,"&lt;="&amp;供应商对账单!$H$3),"")</f>
        <v/>
      </c>
    </row>
    <row r="134" customFormat="false" ht="15.75" hidden="false" customHeight="true" outlineLevel="0" collapsed="false">
      <c r="A134" s="42" t="str">
        <f aca="false">IF($B134="","","ZJ"&amp;TEXT($B134,"yyyymm")&amp;"-"&amp;TEXT(ROW()-4,"000"))</f>
        <v/>
      </c>
      <c r="B134" s="41"/>
      <c r="C134" s="42" t="str">
        <f aca="false">IF($B134="","",TEXT($B134,"yyyy-mm"))</f>
        <v/>
      </c>
      <c r="D134" s="42" t="str">
        <f aca="false">IF($E134="","",IFERROR(INDEX(科目参数!$L$6:$L$85,MATCH($E134,科目参数!$M$6:$M$85,0)),"⚠"))</f>
        <v/>
      </c>
      <c r="E134" s="33"/>
      <c r="F134" s="33"/>
      <c r="G134" s="36"/>
      <c r="H134" s="33"/>
      <c r="I134" s="33"/>
      <c r="J134" s="36"/>
      <c r="K134" s="40"/>
      <c r="L134" s="40"/>
      <c r="M134" s="47" t="str">
        <f aca="false">IF($B134="","",IF(NOT(ISNUMBER($B134)),"日期不是日期格式",IF(YEAR($B134)&lt;&gt;首页!$B$3,"不在会计年度",IF($E134="","未选收支科目",IF($D134="⚠","收支科目不存在",IF($F134="","未选账户",IF($T134="","账户未设资金科目",IF(AND($D134="转账",$U134=""),"转入账户无效",IF(AND(N($K134)&gt;0,N($L134)&gt;0),"收支不能同时填",IF(AND($D134="收入",N($K134)&lt;=0),"收入金额须大于0",IF(AND($D134&lt;&gt;"收入",N($L134)&lt;=0),"支出金额须大于0",IF($O134="","借方科目缺失",IF($P134="","贷方科目缺失","√")))))))))))))</f>
        <v/>
      </c>
      <c r="N134" s="48" t="str">
        <f aca="false">IF($B134="","",IF($D134="收入",N($K134),N($L134)))</f>
        <v/>
      </c>
      <c r="O134" s="49" t="str">
        <f aca="false">IF($B134="","",IF($D134="收入",$T134,IF($D134="转账",$U134,$S134)))</f>
        <v/>
      </c>
      <c r="P134" s="49" t="str">
        <f aca="false">IF($B134="","",IF($D134="收入",$S134,$T134))</f>
        <v/>
      </c>
      <c r="Q134" s="50" t="str">
        <f aca="false">IF($E134="","",IF($D134="转账","—",IFERROR(INDEX(科目参数!$P$6:$P$85,MATCH($E134,科目参数!$M$6:$M$85,0)),"")))</f>
        <v/>
      </c>
      <c r="R134" s="48" t="str">
        <f aca="false">IF($B134="","",SUMIFS(期初数据!$B$6:$B$35,期初数据!$A$6:$A$35,$F134)+SUMIFS($N$5:$N134,$F$5:$F134,$F134,$D$5:$D134,"收入")-SUMIFS($N$5:$N134,$F$5:$F134,$F134,$D$5:$D134,"支出")-SUMIFS($N$5:$N134,$F$5:$F134,$F134,$D$5:$D134,"转账")+SUMIFS($N$5:$N134,$G$5:$G134,$F134,$D$5:$D134,"转账"))</f>
        <v/>
      </c>
      <c r="S134" s="49" t="str">
        <f aca="false">IF($E134="","",IFERROR(INDEX(科目参数!$N$6:$N$85,MATCH($E134,科目参数!$M$6:$M$85,0)),""))</f>
        <v/>
      </c>
      <c r="T134" s="49" t="str">
        <f aca="false">IF($F134="","",IFERROR(INDEX(基础资料!$C$6:$C$35,MATCH($F134,基础资料!$A$6:$A$35,0)),""))</f>
        <v/>
      </c>
      <c r="U134" s="49" t="str">
        <f aca="false">IF($G134="","",IFERROR(INDEX(基础资料!$C$6:$C$35,MATCH($G134,基础资料!$A$6:$A$35,0)),""))</f>
        <v/>
      </c>
      <c r="V134" s="49" t="str">
        <f aca="false">IF(AND($G134=客户对账单!$B$3,$E134="客户回款",$B134&gt;=客户对账单!$E$3,$B134&lt;=客户对账单!$H$3),COUNTIFS($G$5:$G134,客户对账单!$B$3,$E$5:$E134,"客户回款",$B$5:$B134,"&gt;="&amp;客户对账单!$E$3,$B$5:$B134,"&lt;="&amp;客户对账单!$H$3),"")</f>
        <v/>
      </c>
      <c r="W134" s="49" t="str">
        <f aca="false">IF(AND($G134=供应商对账单!$B$3,$E134="供应商付款",$B134&gt;=供应商对账单!$E$3,$B134&lt;=供应商对账单!$H$3),COUNTIFS($G$5:$G134,供应商对账单!$B$3,$E$5:$E134,"供应商付款",$B$5:$B134,"&gt;="&amp;供应商对账单!$E$3,$B$5:$B134,"&lt;="&amp;供应商对账单!$H$3),"")</f>
        <v/>
      </c>
    </row>
    <row r="135" customFormat="false" ht="15.75" hidden="false" customHeight="true" outlineLevel="0" collapsed="false">
      <c r="A135" s="42" t="str">
        <f aca="false">IF($B135="","","ZJ"&amp;TEXT($B135,"yyyymm")&amp;"-"&amp;TEXT(ROW()-4,"000"))</f>
        <v/>
      </c>
      <c r="B135" s="41"/>
      <c r="C135" s="42" t="str">
        <f aca="false">IF($B135="","",TEXT($B135,"yyyy-mm"))</f>
        <v/>
      </c>
      <c r="D135" s="42" t="str">
        <f aca="false">IF($E135="","",IFERROR(INDEX(科目参数!$L$6:$L$85,MATCH($E135,科目参数!$M$6:$M$85,0)),"⚠"))</f>
        <v/>
      </c>
      <c r="E135" s="33"/>
      <c r="F135" s="33"/>
      <c r="G135" s="36"/>
      <c r="H135" s="33"/>
      <c r="I135" s="33"/>
      <c r="J135" s="36"/>
      <c r="K135" s="40"/>
      <c r="L135" s="40"/>
      <c r="M135" s="47" t="str">
        <f aca="false">IF($B135="","",IF(NOT(ISNUMBER($B135)),"日期不是日期格式",IF(YEAR($B135)&lt;&gt;首页!$B$3,"不在会计年度",IF($E135="","未选收支科目",IF($D135="⚠","收支科目不存在",IF($F135="","未选账户",IF($T135="","账户未设资金科目",IF(AND($D135="转账",$U135=""),"转入账户无效",IF(AND(N($K135)&gt;0,N($L135)&gt;0),"收支不能同时填",IF(AND($D135="收入",N($K135)&lt;=0),"收入金额须大于0",IF(AND($D135&lt;&gt;"收入",N($L135)&lt;=0),"支出金额须大于0",IF($O135="","借方科目缺失",IF($P135="","贷方科目缺失","√")))))))))))))</f>
        <v/>
      </c>
      <c r="N135" s="48" t="str">
        <f aca="false">IF($B135="","",IF($D135="收入",N($K135),N($L135)))</f>
        <v/>
      </c>
      <c r="O135" s="49" t="str">
        <f aca="false">IF($B135="","",IF($D135="收入",$T135,IF($D135="转账",$U135,$S135)))</f>
        <v/>
      </c>
      <c r="P135" s="49" t="str">
        <f aca="false">IF($B135="","",IF($D135="收入",$S135,$T135))</f>
        <v/>
      </c>
      <c r="Q135" s="50" t="str">
        <f aca="false">IF($E135="","",IF($D135="转账","—",IFERROR(INDEX(科目参数!$P$6:$P$85,MATCH($E135,科目参数!$M$6:$M$85,0)),"")))</f>
        <v/>
      </c>
      <c r="R135" s="48" t="str">
        <f aca="false">IF($B135="","",SUMIFS(期初数据!$B$6:$B$35,期初数据!$A$6:$A$35,$F135)+SUMIFS($N$5:$N135,$F$5:$F135,$F135,$D$5:$D135,"收入")-SUMIFS($N$5:$N135,$F$5:$F135,$F135,$D$5:$D135,"支出")-SUMIFS($N$5:$N135,$F$5:$F135,$F135,$D$5:$D135,"转账")+SUMIFS($N$5:$N135,$G$5:$G135,$F135,$D$5:$D135,"转账"))</f>
        <v/>
      </c>
      <c r="S135" s="49" t="str">
        <f aca="false">IF($E135="","",IFERROR(INDEX(科目参数!$N$6:$N$85,MATCH($E135,科目参数!$M$6:$M$85,0)),""))</f>
        <v/>
      </c>
      <c r="T135" s="49" t="str">
        <f aca="false">IF($F135="","",IFERROR(INDEX(基础资料!$C$6:$C$35,MATCH($F135,基础资料!$A$6:$A$35,0)),""))</f>
        <v/>
      </c>
      <c r="U135" s="49" t="str">
        <f aca="false">IF($G135="","",IFERROR(INDEX(基础资料!$C$6:$C$35,MATCH($G135,基础资料!$A$6:$A$35,0)),""))</f>
        <v/>
      </c>
      <c r="V135" s="49" t="str">
        <f aca="false">IF(AND($G135=客户对账单!$B$3,$E135="客户回款",$B135&gt;=客户对账单!$E$3,$B135&lt;=客户对账单!$H$3),COUNTIFS($G$5:$G135,客户对账单!$B$3,$E$5:$E135,"客户回款",$B$5:$B135,"&gt;="&amp;客户对账单!$E$3,$B$5:$B135,"&lt;="&amp;客户对账单!$H$3),"")</f>
        <v/>
      </c>
      <c r="W135" s="49" t="str">
        <f aca="false">IF(AND($G135=供应商对账单!$B$3,$E135="供应商付款",$B135&gt;=供应商对账单!$E$3,$B135&lt;=供应商对账单!$H$3),COUNTIFS($G$5:$G135,供应商对账单!$B$3,$E$5:$E135,"供应商付款",$B$5:$B135,"&gt;="&amp;供应商对账单!$E$3,$B$5:$B135,"&lt;="&amp;供应商对账单!$H$3),"")</f>
        <v/>
      </c>
    </row>
    <row r="136" customFormat="false" ht="15.75" hidden="false" customHeight="true" outlineLevel="0" collapsed="false">
      <c r="A136" s="42" t="str">
        <f aca="false">IF($B136="","","ZJ"&amp;TEXT($B136,"yyyymm")&amp;"-"&amp;TEXT(ROW()-4,"000"))</f>
        <v/>
      </c>
      <c r="B136" s="41"/>
      <c r="C136" s="42" t="str">
        <f aca="false">IF($B136="","",TEXT($B136,"yyyy-mm"))</f>
        <v/>
      </c>
      <c r="D136" s="42" t="str">
        <f aca="false">IF($E136="","",IFERROR(INDEX(科目参数!$L$6:$L$85,MATCH($E136,科目参数!$M$6:$M$85,0)),"⚠"))</f>
        <v/>
      </c>
      <c r="E136" s="33"/>
      <c r="F136" s="33"/>
      <c r="G136" s="36"/>
      <c r="H136" s="33"/>
      <c r="I136" s="33"/>
      <c r="J136" s="36"/>
      <c r="K136" s="40"/>
      <c r="L136" s="40"/>
      <c r="M136" s="47" t="str">
        <f aca="false">IF($B136="","",IF(NOT(ISNUMBER($B136)),"日期不是日期格式",IF(YEAR($B136)&lt;&gt;首页!$B$3,"不在会计年度",IF($E136="","未选收支科目",IF($D136="⚠","收支科目不存在",IF($F136="","未选账户",IF($T136="","账户未设资金科目",IF(AND($D136="转账",$U136=""),"转入账户无效",IF(AND(N($K136)&gt;0,N($L136)&gt;0),"收支不能同时填",IF(AND($D136="收入",N($K136)&lt;=0),"收入金额须大于0",IF(AND($D136&lt;&gt;"收入",N($L136)&lt;=0),"支出金额须大于0",IF($O136="","借方科目缺失",IF($P136="","贷方科目缺失","√")))))))))))))</f>
        <v/>
      </c>
      <c r="N136" s="48" t="str">
        <f aca="false">IF($B136="","",IF($D136="收入",N($K136),N($L136)))</f>
        <v/>
      </c>
      <c r="O136" s="49" t="str">
        <f aca="false">IF($B136="","",IF($D136="收入",$T136,IF($D136="转账",$U136,$S136)))</f>
        <v/>
      </c>
      <c r="P136" s="49" t="str">
        <f aca="false">IF($B136="","",IF($D136="收入",$S136,$T136))</f>
        <v/>
      </c>
      <c r="Q136" s="50" t="str">
        <f aca="false">IF($E136="","",IF($D136="转账","—",IFERROR(INDEX(科目参数!$P$6:$P$85,MATCH($E136,科目参数!$M$6:$M$85,0)),"")))</f>
        <v/>
      </c>
      <c r="R136" s="48" t="str">
        <f aca="false">IF($B136="","",SUMIFS(期初数据!$B$6:$B$35,期初数据!$A$6:$A$35,$F136)+SUMIFS($N$5:$N136,$F$5:$F136,$F136,$D$5:$D136,"收入")-SUMIFS($N$5:$N136,$F$5:$F136,$F136,$D$5:$D136,"支出")-SUMIFS($N$5:$N136,$F$5:$F136,$F136,$D$5:$D136,"转账")+SUMIFS($N$5:$N136,$G$5:$G136,$F136,$D$5:$D136,"转账"))</f>
        <v/>
      </c>
      <c r="S136" s="49" t="str">
        <f aca="false">IF($E136="","",IFERROR(INDEX(科目参数!$N$6:$N$85,MATCH($E136,科目参数!$M$6:$M$85,0)),""))</f>
        <v/>
      </c>
      <c r="T136" s="49" t="str">
        <f aca="false">IF($F136="","",IFERROR(INDEX(基础资料!$C$6:$C$35,MATCH($F136,基础资料!$A$6:$A$35,0)),""))</f>
        <v/>
      </c>
      <c r="U136" s="49" t="str">
        <f aca="false">IF($G136="","",IFERROR(INDEX(基础资料!$C$6:$C$35,MATCH($G136,基础资料!$A$6:$A$35,0)),""))</f>
        <v/>
      </c>
      <c r="V136" s="49" t="str">
        <f aca="false">IF(AND($G136=客户对账单!$B$3,$E136="客户回款",$B136&gt;=客户对账单!$E$3,$B136&lt;=客户对账单!$H$3),COUNTIFS($G$5:$G136,客户对账单!$B$3,$E$5:$E136,"客户回款",$B$5:$B136,"&gt;="&amp;客户对账单!$E$3,$B$5:$B136,"&lt;="&amp;客户对账单!$H$3),"")</f>
        <v/>
      </c>
      <c r="W136" s="49" t="str">
        <f aca="false">IF(AND($G136=供应商对账单!$B$3,$E136="供应商付款",$B136&gt;=供应商对账单!$E$3,$B136&lt;=供应商对账单!$H$3),COUNTIFS($G$5:$G136,供应商对账单!$B$3,$E$5:$E136,"供应商付款",$B$5:$B136,"&gt;="&amp;供应商对账单!$E$3,$B$5:$B136,"&lt;="&amp;供应商对账单!$H$3),"")</f>
        <v/>
      </c>
    </row>
    <row r="137" customFormat="false" ht="15.75" hidden="false" customHeight="true" outlineLevel="0" collapsed="false">
      <c r="A137" s="42" t="str">
        <f aca="false">IF($B137="","","ZJ"&amp;TEXT($B137,"yyyymm")&amp;"-"&amp;TEXT(ROW()-4,"000"))</f>
        <v/>
      </c>
      <c r="B137" s="41"/>
      <c r="C137" s="42" t="str">
        <f aca="false">IF($B137="","",TEXT($B137,"yyyy-mm"))</f>
        <v/>
      </c>
      <c r="D137" s="42" t="str">
        <f aca="false">IF($E137="","",IFERROR(INDEX(科目参数!$L$6:$L$85,MATCH($E137,科目参数!$M$6:$M$85,0)),"⚠"))</f>
        <v/>
      </c>
      <c r="E137" s="33"/>
      <c r="F137" s="33"/>
      <c r="G137" s="36"/>
      <c r="H137" s="33"/>
      <c r="I137" s="33"/>
      <c r="J137" s="36"/>
      <c r="K137" s="40"/>
      <c r="L137" s="40"/>
      <c r="M137" s="47" t="str">
        <f aca="false">IF($B137="","",IF(NOT(ISNUMBER($B137)),"日期不是日期格式",IF(YEAR($B137)&lt;&gt;首页!$B$3,"不在会计年度",IF($E137="","未选收支科目",IF($D137="⚠","收支科目不存在",IF($F137="","未选账户",IF($T137="","账户未设资金科目",IF(AND($D137="转账",$U137=""),"转入账户无效",IF(AND(N($K137)&gt;0,N($L137)&gt;0),"收支不能同时填",IF(AND($D137="收入",N($K137)&lt;=0),"收入金额须大于0",IF(AND($D137&lt;&gt;"收入",N($L137)&lt;=0),"支出金额须大于0",IF($O137="","借方科目缺失",IF($P137="","贷方科目缺失","√")))))))))))))</f>
        <v/>
      </c>
      <c r="N137" s="48" t="str">
        <f aca="false">IF($B137="","",IF($D137="收入",N($K137),N($L137)))</f>
        <v/>
      </c>
      <c r="O137" s="49" t="str">
        <f aca="false">IF($B137="","",IF($D137="收入",$T137,IF($D137="转账",$U137,$S137)))</f>
        <v/>
      </c>
      <c r="P137" s="49" t="str">
        <f aca="false">IF($B137="","",IF($D137="收入",$S137,$T137))</f>
        <v/>
      </c>
      <c r="Q137" s="50" t="str">
        <f aca="false">IF($E137="","",IF($D137="转账","—",IFERROR(INDEX(科目参数!$P$6:$P$85,MATCH($E137,科目参数!$M$6:$M$85,0)),"")))</f>
        <v/>
      </c>
      <c r="R137" s="48" t="str">
        <f aca="false">IF($B137="","",SUMIFS(期初数据!$B$6:$B$35,期初数据!$A$6:$A$35,$F137)+SUMIFS($N$5:$N137,$F$5:$F137,$F137,$D$5:$D137,"收入")-SUMIFS($N$5:$N137,$F$5:$F137,$F137,$D$5:$D137,"支出")-SUMIFS($N$5:$N137,$F$5:$F137,$F137,$D$5:$D137,"转账")+SUMIFS($N$5:$N137,$G$5:$G137,$F137,$D$5:$D137,"转账"))</f>
        <v/>
      </c>
      <c r="S137" s="49" t="str">
        <f aca="false">IF($E137="","",IFERROR(INDEX(科目参数!$N$6:$N$85,MATCH($E137,科目参数!$M$6:$M$85,0)),""))</f>
        <v/>
      </c>
      <c r="T137" s="49" t="str">
        <f aca="false">IF($F137="","",IFERROR(INDEX(基础资料!$C$6:$C$35,MATCH($F137,基础资料!$A$6:$A$35,0)),""))</f>
        <v/>
      </c>
      <c r="U137" s="49" t="str">
        <f aca="false">IF($G137="","",IFERROR(INDEX(基础资料!$C$6:$C$35,MATCH($G137,基础资料!$A$6:$A$35,0)),""))</f>
        <v/>
      </c>
      <c r="V137" s="49" t="str">
        <f aca="false">IF(AND($G137=客户对账单!$B$3,$E137="客户回款",$B137&gt;=客户对账单!$E$3,$B137&lt;=客户对账单!$H$3),COUNTIFS($G$5:$G137,客户对账单!$B$3,$E$5:$E137,"客户回款",$B$5:$B137,"&gt;="&amp;客户对账单!$E$3,$B$5:$B137,"&lt;="&amp;客户对账单!$H$3),"")</f>
        <v/>
      </c>
      <c r="W137" s="49" t="str">
        <f aca="false">IF(AND($G137=供应商对账单!$B$3,$E137="供应商付款",$B137&gt;=供应商对账单!$E$3,$B137&lt;=供应商对账单!$H$3),COUNTIFS($G$5:$G137,供应商对账单!$B$3,$E$5:$E137,"供应商付款",$B$5:$B137,"&gt;="&amp;供应商对账单!$E$3,$B$5:$B137,"&lt;="&amp;供应商对账单!$H$3),"")</f>
        <v/>
      </c>
    </row>
    <row r="138" customFormat="false" ht="15.75" hidden="false" customHeight="true" outlineLevel="0" collapsed="false">
      <c r="A138" s="42" t="str">
        <f aca="false">IF($B138="","","ZJ"&amp;TEXT($B138,"yyyymm")&amp;"-"&amp;TEXT(ROW()-4,"000"))</f>
        <v/>
      </c>
      <c r="B138" s="41"/>
      <c r="C138" s="42" t="str">
        <f aca="false">IF($B138="","",TEXT($B138,"yyyy-mm"))</f>
        <v/>
      </c>
      <c r="D138" s="42" t="str">
        <f aca="false">IF($E138="","",IFERROR(INDEX(科目参数!$L$6:$L$85,MATCH($E138,科目参数!$M$6:$M$85,0)),"⚠"))</f>
        <v/>
      </c>
      <c r="E138" s="33"/>
      <c r="F138" s="33"/>
      <c r="G138" s="36"/>
      <c r="H138" s="33"/>
      <c r="I138" s="33"/>
      <c r="J138" s="36"/>
      <c r="K138" s="40"/>
      <c r="L138" s="40"/>
      <c r="M138" s="47" t="str">
        <f aca="false">IF($B138="","",IF(NOT(ISNUMBER($B138)),"日期不是日期格式",IF(YEAR($B138)&lt;&gt;首页!$B$3,"不在会计年度",IF($E138="","未选收支科目",IF($D138="⚠","收支科目不存在",IF($F138="","未选账户",IF($T138="","账户未设资金科目",IF(AND($D138="转账",$U138=""),"转入账户无效",IF(AND(N($K138)&gt;0,N($L138)&gt;0),"收支不能同时填",IF(AND($D138="收入",N($K138)&lt;=0),"收入金额须大于0",IF(AND($D138&lt;&gt;"收入",N($L138)&lt;=0),"支出金额须大于0",IF($O138="","借方科目缺失",IF($P138="","贷方科目缺失","√")))))))))))))</f>
        <v/>
      </c>
      <c r="N138" s="48" t="str">
        <f aca="false">IF($B138="","",IF($D138="收入",N($K138),N($L138)))</f>
        <v/>
      </c>
      <c r="O138" s="49" t="str">
        <f aca="false">IF($B138="","",IF($D138="收入",$T138,IF($D138="转账",$U138,$S138)))</f>
        <v/>
      </c>
      <c r="P138" s="49" t="str">
        <f aca="false">IF($B138="","",IF($D138="收入",$S138,$T138))</f>
        <v/>
      </c>
      <c r="Q138" s="50" t="str">
        <f aca="false">IF($E138="","",IF($D138="转账","—",IFERROR(INDEX(科目参数!$P$6:$P$85,MATCH($E138,科目参数!$M$6:$M$85,0)),"")))</f>
        <v/>
      </c>
      <c r="R138" s="48" t="str">
        <f aca="false">IF($B138="","",SUMIFS(期初数据!$B$6:$B$35,期初数据!$A$6:$A$35,$F138)+SUMIFS($N$5:$N138,$F$5:$F138,$F138,$D$5:$D138,"收入")-SUMIFS($N$5:$N138,$F$5:$F138,$F138,$D$5:$D138,"支出")-SUMIFS($N$5:$N138,$F$5:$F138,$F138,$D$5:$D138,"转账")+SUMIFS($N$5:$N138,$G$5:$G138,$F138,$D$5:$D138,"转账"))</f>
        <v/>
      </c>
      <c r="S138" s="49" t="str">
        <f aca="false">IF($E138="","",IFERROR(INDEX(科目参数!$N$6:$N$85,MATCH($E138,科目参数!$M$6:$M$85,0)),""))</f>
        <v/>
      </c>
      <c r="T138" s="49" t="str">
        <f aca="false">IF($F138="","",IFERROR(INDEX(基础资料!$C$6:$C$35,MATCH($F138,基础资料!$A$6:$A$35,0)),""))</f>
        <v/>
      </c>
      <c r="U138" s="49" t="str">
        <f aca="false">IF($G138="","",IFERROR(INDEX(基础资料!$C$6:$C$35,MATCH($G138,基础资料!$A$6:$A$35,0)),""))</f>
        <v/>
      </c>
      <c r="V138" s="49" t="str">
        <f aca="false">IF(AND($G138=客户对账单!$B$3,$E138="客户回款",$B138&gt;=客户对账单!$E$3,$B138&lt;=客户对账单!$H$3),COUNTIFS($G$5:$G138,客户对账单!$B$3,$E$5:$E138,"客户回款",$B$5:$B138,"&gt;="&amp;客户对账单!$E$3,$B$5:$B138,"&lt;="&amp;客户对账单!$H$3),"")</f>
        <v/>
      </c>
      <c r="W138" s="49" t="str">
        <f aca="false">IF(AND($G138=供应商对账单!$B$3,$E138="供应商付款",$B138&gt;=供应商对账单!$E$3,$B138&lt;=供应商对账单!$H$3),COUNTIFS($G$5:$G138,供应商对账单!$B$3,$E$5:$E138,"供应商付款",$B$5:$B138,"&gt;="&amp;供应商对账单!$E$3,$B$5:$B138,"&lt;="&amp;供应商对账单!$H$3),"")</f>
        <v/>
      </c>
    </row>
    <row r="139" customFormat="false" ht="15.75" hidden="false" customHeight="true" outlineLevel="0" collapsed="false">
      <c r="A139" s="42" t="str">
        <f aca="false">IF($B139="","","ZJ"&amp;TEXT($B139,"yyyymm")&amp;"-"&amp;TEXT(ROW()-4,"000"))</f>
        <v/>
      </c>
      <c r="B139" s="41"/>
      <c r="C139" s="42" t="str">
        <f aca="false">IF($B139="","",TEXT($B139,"yyyy-mm"))</f>
        <v/>
      </c>
      <c r="D139" s="42" t="str">
        <f aca="false">IF($E139="","",IFERROR(INDEX(科目参数!$L$6:$L$85,MATCH($E139,科目参数!$M$6:$M$85,0)),"⚠"))</f>
        <v/>
      </c>
      <c r="E139" s="33"/>
      <c r="F139" s="33"/>
      <c r="G139" s="36"/>
      <c r="H139" s="33"/>
      <c r="I139" s="33"/>
      <c r="J139" s="36"/>
      <c r="K139" s="40"/>
      <c r="L139" s="40"/>
      <c r="M139" s="47" t="str">
        <f aca="false">IF($B139="","",IF(NOT(ISNUMBER($B139)),"日期不是日期格式",IF(YEAR($B139)&lt;&gt;首页!$B$3,"不在会计年度",IF($E139="","未选收支科目",IF($D139="⚠","收支科目不存在",IF($F139="","未选账户",IF($T139="","账户未设资金科目",IF(AND($D139="转账",$U139=""),"转入账户无效",IF(AND(N($K139)&gt;0,N($L139)&gt;0),"收支不能同时填",IF(AND($D139="收入",N($K139)&lt;=0),"收入金额须大于0",IF(AND($D139&lt;&gt;"收入",N($L139)&lt;=0),"支出金额须大于0",IF($O139="","借方科目缺失",IF($P139="","贷方科目缺失","√")))))))))))))</f>
        <v/>
      </c>
      <c r="N139" s="48" t="str">
        <f aca="false">IF($B139="","",IF($D139="收入",N($K139),N($L139)))</f>
        <v/>
      </c>
      <c r="O139" s="49" t="str">
        <f aca="false">IF($B139="","",IF($D139="收入",$T139,IF($D139="转账",$U139,$S139)))</f>
        <v/>
      </c>
      <c r="P139" s="49" t="str">
        <f aca="false">IF($B139="","",IF($D139="收入",$S139,$T139))</f>
        <v/>
      </c>
      <c r="Q139" s="50" t="str">
        <f aca="false">IF($E139="","",IF($D139="转账","—",IFERROR(INDEX(科目参数!$P$6:$P$85,MATCH($E139,科目参数!$M$6:$M$85,0)),"")))</f>
        <v/>
      </c>
      <c r="R139" s="48" t="str">
        <f aca="false">IF($B139="","",SUMIFS(期初数据!$B$6:$B$35,期初数据!$A$6:$A$35,$F139)+SUMIFS($N$5:$N139,$F$5:$F139,$F139,$D$5:$D139,"收入")-SUMIFS($N$5:$N139,$F$5:$F139,$F139,$D$5:$D139,"支出")-SUMIFS($N$5:$N139,$F$5:$F139,$F139,$D$5:$D139,"转账")+SUMIFS($N$5:$N139,$G$5:$G139,$F139,$D$5:$D139,"转账"))</f>
        <v/>
      </c>
      <c r="S139" s="49" t="str">
        <f aca="false">IF($E139="","",IFERROR(INDEX(科目参数!$N$6:$N$85,MATCH($E139,科目参数!$M$6:$M$85,0)),""))</f>
        <v/>
      </c>
      <c r="T139" s="49" t="str">
        <f aca="false">IF($F139="","",IFERROR(INDEX(基础资料!$C$6:$C$35,MATCH($F139,基础资料!$A$6:$A$35,0)),""))</f>
        <v/>
      </c>
      <c r="U139" s="49" t="str">
        <f aca="false">IF($G139="","",IFERROR(INDEX(基础资料!$C$6:$C$35,MATCH($G139,基础资料!$A$6:$A$35,0)),""))</f>
        <v/>
      </c>
      <c r="V139" s="49" t="str">
        <f aca="false">IF(AND($G139=客户对账单!$B$3,$E139="客户回款",$B139&gt;=客户对账单!$E$3,$B139&lt;=客户对账单!$H$3),COUNTIFS($G$5:$G139,客户对账单!$B$3,$E$5:$E139,"客户回款",$B$5:$B139,"&gt;="&amp;客户对账单!$E$3,$B$5:$B139,"&lt;="&amp;客户对账单!$H$3),"")</f>
        <v/>
      </c>
      <c r="W139" s="49" t="str">
        <f aca="false">IF(AND($G139=供应商对账单!$B$3,$E139="供应商付款",$B139&gt;=供应商对账单!$E$3,$B139&lt;=供应商对账单!$H$3),COUNTIFS($G$5:$G139,供应商对账单!$B$3,$E$5:$E139,"供应商付款",$B$5:$B139,"&gt;="&amp;供应商对账单!$E$3,$B$5:$B139,"&lt;="&amp;供应商对账单!$H$3),"")</f>
        <v/>
      </c>
    </row>
    <row r="140" customFormat="false" ht="15.75" hidden="false" customHeight="true" outlineLevel="0" collapsed="false">
      <c r="A140" s="42" t="str">
        <f aca="false">IF($B140="","","ZJ"&amp;TEXT($B140,"yyyymm")&amp;"-"&amp;TEXT(ROW()-4,"000"))</f>
        <v/>
      </c>
      <c r="B140" s="41"/>
      <c r="C140" s="42" t="str">
        <f aca="false">IF($B140="","",TEXT($B140,"yyyy-mm"))</f>
        <v/>
      </c>
      <c r="D140" s="42" t="str">
        <f aca="false">IF($E140="","",IFERROR(INDEX(科目参数!$L$6:$L$85,MATCH($E140,科目参数!$M$6:$M$85,0)),"⚠"))</f>
        <v/>
      </c>
      <c r="E140" s="33"/>
      <c r="F140" s="33"/>
      <c r="G140" s="36"/>
      <c r="H140" s="33"/>
      <c r="I140" s="33"/>
      <c r="J140" s="36"/>
      <c r="K140" s="40"/>
      <c r="L140" s="40"/>
      <c r="M140" s="47" t="str">
        <f aca="false">IF($B140="","",IF(NOT(ISNUMBER($B140)),"日期不是日期格式",IF(YEAR($B140)&lt;&gt;首页!$B$3,"不在会计年度",IF($E140="","未选收支科目",IF($D140="⚠","收支科目不存在",IF($F140="","未选账户",IF($T140="","账户未设资金科目",IF(AND($D140="转账",$U140=""),"转入账户无效",IF(AND(N($K140)&gt;0,N($L140)&gt;0),"收支不能同时填",IF(AND($D140="收入",N($K140)&lt;=0),"收入金额须大于0",IF(AND($D140&lt;&gt;"收入",N($L140)&lt;=0),"支出金额须大于0",IF($O140="","借方科目缺失",IF($P140="","贷方科目缺失","√")))))))))))))</f>
        <v/>
      </c>
      <c r="N140" s="48" t="str">
        <f aca="false">IF($B140="","",IF($D140="收入",N($K140),N($L140)))</f>
        <v/>
      </c>
      <c r="O140" s="49" t="str">
        <f aca="false">IF($B140="","",IF($D140="收入",$T140,IF($D140="转账",$U140,$S140)))</f>
        <v/>
      </c>
      <c r="P140" s="49" t="str">
        <f aca="false">IF($B140="","",IF($D140="收入",$S140,$T140))</f>
        <v/>
      </c>
      <c r="Q140" s="50" t="str">
        <f aca="false">IF($E140="","",IF($D140="转账","—",IFERROR(INDEX(科目参数!$P$6:$P$85,MATCH($E140,科目参数!$M$6:$M$85,0)),"")))</f>
        <v/>
      </c>
      <c r="R140" s="48" t="str">
        <f aca="false">IF($B140="","",SUMIFS(期初数据!$B$6:$B$35,期初数据!$A$6:$A$35,$F140)+SUMIFS($N$5:$N140,$F$5:$F140,$F140,$D$5:$D140,"收入")-SUMIFS($N$5:$N140,$F$5:$F140,$F140,$D$5:$D140,"支出")-SUMIFS($N$5:$N140,$F$5:$F140,$F140,$D$5:$D140,"转账")+SUMIFS($N$5:$N140,$G$5:$G140,$F140,$D$5:$D140,"转账"))</f>
        <v/>
      </c>
      <c r="S140" s="49" t="str">
        <f aca="false">IF($E140="","",IFERROR(INDEX(科目参数!$N$6:$N$85,MATCH($E140,科目参数!$M$6:$M$85,0)),""))</f>
        <v/>
      </c>
      <c r="T140" s="49" t="str">
        <f aca="false">IF($F140="","",IFERROR(INDEX(基础资料!$C$6:$C$35,MATCH($F140,基础资料!$A$6:$A$35,0)),""))</f>
        <v/>
      </c>
      <c r="U140" s="49" t="str">
        <f aca="false">IF($G140="","",IFERROR(INDEX(基础资料!$C$6:$C$35,MATCH($G140,基础资料!$A$6:$A$35,0)),""))</f>
        <v/>
      </c>
      <c r="V140" s="49" t="str">
        <f aca="false">IF(AND($G140=客户对账单!$B$3,$E140="客户回款",$B140&gt;=客户对账单!$E$3,$B140&lt;=客户对账单!$H$3),COUNTIFS($G$5:$G140,客户对账单!$B$3,$E$5:$E140,"客户回款",$B$5:$B140,"&gt;="&amp;客户对账单!$E$3,$B$5:$B140,"&lt;="&amp;客户对账单!$H$3),"")</f>
        <v/>
      </c>
      <c r="W140" s="49" t="str">
        <f aca="false">IF(AND($G140=供应商对账单!$B$3,$E140="供应商付款",$B140&gt;=供应商对账单!$E$3,$B140&lt;=供应商对账单!$H$3),COUNTIFS($G$5:$G140,供应商对账单!$B$3,$E$5:$E140,"供应商付款",$B$5:$B140,"&gt;="&amp;供应商对账单!$E$3,$B$5:$B140,"&lt;="&amp;供应商对账单!$H$3),"")</f>
        <v/>
      </c>
    </row>
    <row r="141" customFormat="false" ht="15.75" hidden="false" customHeight="true" outlineLevel="0" collapsed="false">
      <c r="A141" s="42" t="str">
        <f aca="false">IF($B141="","","ZJ"&amp;TEXT($B141,"yyyymm")&amp;"-"&amp;TEXT(ROW()-4,"000"))</f>
        <v/>
      </c>
      <c r="B141" s="41"/>
      <c r="C141" s="42" t="str">
        <f aca="false">IF($B141="","",TEXT($B141,"yyyy-mm"))</f>
        <v/>
      </c>
      <c r="D141" s="42" t="str">
        <f aca="false">IF($E141="","",IFERROR(INDEX(科目参数!$L$6:$L$85,MATCH($E141,科目参数!$M$6:$M$85,0)),"⚠"))</f>
        <v/>
      </c>
      <c r="E141" s="33"/>
      <c r="F141" s="33"/>
      <c r="G141" s="36"/>
      <c r="H141" s="33"/>
      <c r="I141" s="33"/>
      <c r="J141" s="36"/>
      <c r="K141" s="40"/>
      <c r="L141" s="40"/>
      <c r="M141" s="47" t="str">
        <f aca="false">IF($B141="","",IF(NOT(ISNUMBER($B141)),"日期不是日期格式",IF(YEAR($B141)&lt;&gt;首页!$B$3,"不在会计年度",IF($E141="","未选收支科目",IF($D141="⚠","收支科目不存在",IF($F141="","未选账户",IF($T141="","账户未设资金科目",IF(AND($D141="转账",$U141=""),"转入账户无效",IF(AND(N($K141)&gt;0,N($L141)&gt;0),"收支不能同时填",IF(AND($D141="收入",N($K141)&lt;=0),"收入金额须大于0",IF(AND($D141&lt;&gt;"收入",N($L141)&lt;=0),"支出金额须大于0",IF($O141="","借方科目缺失",IF($P141="","贷方科目缺失","√")))))))))))))</f>
        <v/>
      </c>
      <c r="N141" s="48" t="str">
        <f aca="false">IF($B141="","",IF($D141="收入",N($K141),N($L141)))</f>
        <v/>
      </c>
      <c r="O141" s="49" t="str">
        <f aca="false">IF($B141="","",IF($D141="收入",$T141,IF($D141="转账",$U141,$S141)))</f>
        <v/>
      </c>
      <c r="P141" s="49" t="str">
        <f aca="false">IF($B141="","",IF($D141="收入",$S141,$T141))</f>
        <v/>
      </c>
      <c r="Q141" s="50" t="str">
        <f aca="false">IF($E141="","",IF($D141="转账","—",IFERROR(INDEX(科目参数!$P$6:$P$85,MATCH($E141,科目参数!$M$6:$M$85,0)),"")))</f>
        <v/>
      </c>
      <c r="R141" s="48" t="str">
        <f aca="false">IF($B141="","",SUMIFS(期初数据!$B$6:$B$35,期初数据!$A$6:$A$35,$F141)+SUMIFS($N$5:$N141,$F$5:$F141,$F141,$D$5:$D141,"收入")-SUMIFS($N$5:$N141,$F$5:$F141,$F141,$D$5:$D141,"支出")-SUMIFS($N$5:$N141,$F$5:$F141,$F141,$D$5:$D141,"转账")+SUMIFS($N$5:$N141,$G$5:$G141,$F141,$D$5:$D141,"转账"))</f>
        <v/>
      </c>
      <c r="S141" s="49" t="str">
        <f aca="false">IF($E141="","",IFERROR(INDEX(科目参数!$N$6:$N$85,MATCH($E141,科目参数!$M$6:$M$85,0)),""))</f>
        <v/>
      </c>
      <c r="T141" s="49" t="str">
        <f aca="false">IF($F141="","",IFERROR(INDEX(基础资料!$C$6:$C$35,MATCH($F141,基础资料!$A$6:$A$35,0)),""))</f>
        <v/>
      </c>
      <c r="U141" s="49" t="str">
        <f aca="false">IF($G141="","",IFERROR(INDEX(基础资料!$C$6:$C$35,MATCH($G141,基础资料!$A$6:$A$35,0)),""))</f>
        <v/>
      </c>
      <c r="V141" s="49" t="str">
        <f aca="false">IF(AND($G141=客户对账单!$B$3,$E141="客户回款",$B141&gt;=客户对账单!$E$3,$B141&lt;=客户对账单!$H$3),COUNTIFS($G$5:$G141,客户对账单!$B$3,$E$5:$E141,"客户回款",$B$5:$B141,"&gt;="&amp;客户对账单!$E$3,$B$5:$B141,"&lt;="&amp;客户对账单!$H$3),"")</f>
        <v/>
      </c>
      <c r="W141" s="49" t="str">
        <f aca="false">IF(AND($G141=供应商对账单!$B$3,$E141="供应商付款",$B141&gt;=供应商对账单!$E$3,$B141&lt;=供应商对账单!$H$3),COUNTIFS($G$5:$G141,供应商对账单!$B$3,$E$5:$E141,"供应商付款",$B$5:$B141,"&gt;="&amp;供应商对账单!$E$3,$B$5:$B141,"&lt;="&amp;供应商对账单!$H$3),"")</f>
        <v/>
      </c>
    </row>
    <row r="142" customFormat="false" ht="15.75" hidden="false" customHeight="true" outlineLevel="0" collapsed="false">
      <c r="A142" s="42" t="str">
        <f aca="false">IF($B142="","","ZJ"&amp;TEXT($B142,"yyyymm")&amp;"-"&amp;TEXT(ROW()-4,"000"))</f>
        <v/>
      </c>
      <c r="B142" s="41"/>
      <c r="C142" s="42" t="str">
        <f aca="false">IF($B142="","",TEXT($B142,"yyyy-mm"))</f>
        <v/>
      </c>
      <c r="D142" s="42" t="str">
        <f aca="false">IF($E142="","",IFERROR(INDEX(科目参数!$L$6:$L$85,MATCH($E142,科目参数!$M$6:$M$85,0)),"⚠"))</f>
        <v/>
      </c>
      <c r="E142" s="33"/>
      <c r="F142" s="33"/>
      <c r="G142" s="36"/>
      <c r="H142" s="33"/>
      <c r="I142" s="33"/>
      <c r="J142" s="36"/>
      <c r="K142" s="40"/>
      <c r="L142" s="40"/>
      <c r="M142" s="47" t="str">
        <f aca="false">IF($B142="","",IF(NOT(ISNUMBER($B142)),"日期不是日期格式",IF(YEAR($B142)&lt;&gt;首页!$B$3,"不在会计年度",IF($E142="","未选收支科目",IF($D142="⚠","收支科目不存在",IF($F142="","未选账户",IF($T142="","账户未设资金科目",IF(AND($D142="转账",$U142=""),"转入账户无效",IF(AND(N($K142)&gt;0,N($L142)&gt;0),"收支不能同时填",IF(AND($D142="收入",N($K142)&lt;=0),"收入金额须大于0",IF(AND($D142&lt;&gt;"收入",N($L142)&lt;=0),"支出金额须大于0",IF($O142="","借方科目缺失",IF($P142="","贷方科目缺失","√")))))))))))))</f>
        <v/>
      </c>
      <c r="N142" s="48" t="str">
        <f aca="false">IF($B142="","",IF($D142="收入",N($K142),N($L142)))</f>
        <v/>
      </c>
      <c r="O142" s="49" t="str">
        <f aca="false">IF($B142="","",IF($D142="收入",$T142,IF($D142="转账",$U142,$S142)))</f>
        <v/>
      </c>
      <c r="P142" s="49" t="str">
        <f aca="false">IF($B142="","",IF($D142="收入",$S142,$T142))</f>
        <v/>
      </c>
      <c r="Q142" s="50" t="str">
        <f aca="false">IF($E142="","",IF($D142="转账","—",IFERROR(INDEX(科目参数!$P$6:$P$85,MATCH($E142,科目参数!$M$6:$M$85,0)),"")))</f>
        <v/>
      </c>
      <c r="R142" s="48" t="str">
        <f aca="false">IF($B142="","",SUMIFS(期初数据!$B$6:$B$35,期初数据!$A$6:$A$35,$F142)+SUMIFS($N$5:$N142,$F$5:$F142,$F142,$D$5:$D142,"收入")-SUMIFS($N$5:$N142,$F$5:$F142,$F142,$D$5:$D142,"支出")-SUMIFS($N$5:$N142,$F$5:$F142,$F142,$D$5:$D142,"转账")+SUMIFS($N$5:$N142,$G$5:$G142,$F142,$D$5:$D142,"转账"))</f>
        <v/>
      </c>
      <c r="S142" s="49" t="str">
        <f aca="false">IF($E142="","",IFERROR(INDEX(科目参数!$N$6:$N$85,MATCH($E142,科目参数!$M$6:$M$85,0)),""))</f>
        <v/>
      </c>
      <c r="T142" s="49" t="str">
        <f aca="false">IF($F142="","",IFERROR(INDEX(基础资料!$C$6:$C$35,MATCH($F142,基础资料!$A$6:$A$35,0)),""))</f>
        <v/>
      </c>
      <c r="U142" s="49" t="str">
        <f aca="false">IF($G142="","",IFERROR(INDEX(基础资料!$C$6:$C$35,MATCH($G142,基础资料!$A$6:$A$35,0)),""))</f>
        <v/>
      </c>
      <c r="V142" s="49" t="str">
        <f aca="false">IF(AND($G142=客户对账单!$B$3,$E142="客户回款",$B142&gt;=客户对账单!$E$3,$B142&lt;=客户对账单!$H$3),COUNTIFS($G$5:$G142,客户对账单!$B$3,$E$5:$E142,"客户回款",$B$5:$B142,"&gt;="&amp;客户对账单!$E$3,$B$5:$B142,"&lt;="&amp;客户对账单!$H$3),"")</f>
        <v/>
      </c>
      <c r="W142" s="49" t="str">
        <f aca="false">IF(AND($G142=供应商对账单!$B$3,$E142="供应商付款",$B142&gt;=供应商对账单!$E$3,$B142&lt;=供应商对账单!$H$3),COUNTIFS($G$5:$G142,供应商对账单!$B$3,$E$5:$E142,"供应商付款",$B$5:$B142,"&gt;="&amp;供应商对账单!$E$3,$B$5:$B142,"&lt;="&amp;供应商对账单!$H$3),"")</f>
        <v/>
      </c>
    </row>
    <row r="143" customFormat="false" ht="15.75" hidden="false" customHeight="true" outlineLevel="0" collapsed="false">
      <c r="A143" s="42" t="str">
        <f aca="false">IF($B143="","","ZJ"&amp;TEXT($B143,"yyyymm")&amp;"-"&amp;TEXT(ROW()-4,"000"))</f>
        <v/>
      </c>
      <c r="B143" s="41"/>
      <c r="C143" s="42" t="str">
        <f aca="false">IF($B143="","",TEXT($B143,"yyyy-mm"))</f>
        <v/>
      </c>
      <c r="D143" s="42" t="str">
        <f aca="false">IF($E143="","",IFERROR(INDEX(科目参数!$L$6:$L$85,MATCH($E143,科目参数!$M$6:$M$85,0)),"⚠"))</f>
        <v/>
      </c>
      <c r="E143" s="33"/>
      <c r="F143" s="33"/>
      <c r="G143" s="36"/>
      <c r="H143" s="33"/>
      <c r="I143" s="33"/>
      <c r="J143" s="36"/>
      <c r="K143" s="40"/>
      <c r="L143" s="40"/>
      <c r="M143" s="47" t="str">
        <f aca="false">IF($B143="","",IF(NOT(ISNUMBER($B143)),"日期不是日期格式",IF(YEAR($B143)&lt;&gt;首页!$B$3,"不在会计年度",IF($E143="","未选收支科目",IF($D143="⚠","收支科目不存在",IF($F143="","未选账户",IF($T143="","账户未设资金科目",IF(AND($D143="转账",$U143=""),"转入账户无效",IF(AND(N($K143)&gt;0,N($L143)&gt;0),"收支不能同时填",IF(AND($D143="收入",N($K143)&lt;=0),"收入金额须大于0",IF(AND($D143&lt;&gt;"收入",N($L143)&lt;=0),"支出金额须大于0",IF($O143="","借方科目缺失",IF($P143="","贷方科目缺失","√")))))))))))))</f>
        <v/>
      </c>
      <c r="N143" s="48" t="str">
        <f aca="false">IF($B143="","",IF($D143="收入",N($K143),N($L143)))</f>
        <v/>
      </c>
      <c r="O143" s="49" t="str">
        <f aca="false">IF($B143="","",IF($D143="收入",$T143,IF($D143="转账",$U143,$S143)))</f>
        <v/>
      </c>
      <c r="P143" s="49" t="str">
        <f aca="false">IF($B143="","",IF($D143="收入",$S143,$T143))</f>
        <v/>
      </c>
      <c r="Q143" s="50" t="str">
        <f aca="false">IF($E143="","",IF($D143="转账","—",IFERROR(INDEX(科目参数!$P$6:$P$85,MATCH($E143,科目参数!$M$6:$M$85,0)),"")))</f>
        <v/>
      </c>
      <c r="R143" s="48" t="str">
        <f aca="false">IF($B143="","",SUMIFS(期初数据!$B$6:$B$35,期初数据!$A$6:$A$35,$F143)+SUMIFS($N$5:$N143,$F$5:$F143,$F143,$D$5:$D143,"收入")-SUMIFS($N$5:$N143,$F$5:$F143,$F143,$D$5:$D143,"支出")-SUMIFS($N$5:$N143,$F$5:$F143,$F143,$D$5:$D143,"转账")+SUMIFS($N$5:$N143,$G$5:$G143,$F143,$D$5:$D143,"转账"))</f>
        <v/>
      </c>
      <c r="S143" s="49" t="str">
        <f aca="false">IF($E143="","",IFERROR(INDEX(科目参数!$N$6:$N$85,MATCH($E143,科目参数!$M$6:$M$85,0)),""))</f>
        <v/>
      </c>
      <c r="T143" s="49" t="str">
        <f aca="false">IF($F143="","",IFERROR(INDEX(基础资料!$C$6:$C$35,MATCH($F143,基础资料!$A$6:$A$35,0)),""))</f>
        <v/>
      </c>
      <c r="U143" s="49" t="str">
        <f aca="false">IF($G143="","",IFERROR(INDEX(基础资料!$C$6:$C$35,MATCH($G143,基础资料!$A$6:$A$35,0)),""))</f>
        <v/>
      </c>
      <c r="V143" s="49" t="str">
        <f aca="false">IF(AND($G143=客户对账单!$B$3,$E143="客户回款",$B143&gt;=客户对账单!$E$3,$B143&lt;=客户对账单!$H$3),COUNTIFS($G$5:$G143,客户对账单!$B$3,$E$5:$E143,"客户回款",$B$5:$B143,"&gt;="&amp;客户对账单!$E$3,$B$5:$B143,"&lt;="&amp;客户对账单!$H$3),"")</f>
        <v/>
      </c>
      <c r="W143" s="49" t="str">
        <f aca="false">IF(AND($G143=供应商对账单!$B$3,$E143="供应商付款",$B143&gt;=供应商对账单!$E$3,$B143&lt;=供应商对账单!$H$3),COUNTIFS($G$5:$G143,供应商对账单!$B$3,$E$5:$E143,"供应商付款",$B$5:$B143,"&gt;="&amp;供应商对账单!$E$3,$B$5:$B143,"&lt;="&amp;供应商对账单!$H$3),"")</f>
        <v/>
      </c>
    </row>
    <row r="144" customFormat="false" ht="15.75" hidden="false" customHeight="true" outlineLevel="0" collapsed="false">
      <c r="A144" s="42" t="str">
        <f aca="false">IF($B144="","","ZJ"&amp;TEXT($B144,"yyyymm")&amp;"-"&amp;TEXT(ROW()-4,"000"))</f>
        <v/>
      </c>
      <c r="B144" s="41"/>
      <c r="C144" s="42" t="str">
        <f aca="false">IF($B144="","",TEXT($B144,"yyyy-mm"))</f>
        <v/>
      </c>
      <c r="D144" s="42" t="str">
        <f aca="false">IF($E144="","",IFERROR(INDEX(科目参数!$L$6:$L$85,MATCH($E144,科目参数!$M$6:$M$85,0)),"⚠"))</f>
        <v/>
      </c>
      <c r="E144" s="33"/>
      <c r="F144" s="33"/>
      <c r="G144" s="36"/>
      <c r="H144" s="33"/>
      <c r="I144" s="33"/>
      <c r="J144" s="36"/>
      <c r="K144" s="40"/>
      <c r="L144" s="40"/>
      <c r="M144" s="47" t="str">
        <f aca="false">IF($B144="","",IF(NOT(ISNUMBER($B144)),"日期不是日期格式",IF(YEAR($B144)&lt;&gt;首页!$B$3,"不在会计年度",IF($E144="","未选收支科目",IF($D144="⚠","收支科目不存在",IF($F144="","未选账户",IF($T144="","账户未设资金科目",IF(AND($D144="转账",$U144=""),"转入账户无效",IF(AND(N($K144)&gt;0,N($L144)&gt;0),"收支不能同时填",IF(AND($D144="收入",N($K144)&lt;=0),"收入金额须大于0",IF(AND($D144&lt;&gt;"收入",N($L144)&lt;=0),"支出金额须大于0",IF($O144="","借方科目缺失",IF($P144="","贷方科目缺失","√")))))))))))))</f>
        <v/>
      </c>
      <c r="N144" s="48" t="str">
        <f aca="false">IF($B144="","",IF($D144="收入",N($K144),N($L144)))</f>
        <v/>
      </c>
      <c r="O144" s="49" t="str">
        <f aca="false">IF($B144="","",IF($D144="收入",$T144,IF($D144="转账",$U144,$S144)))</f>
        <v/>
      </c>
      <c r="P144" s="49" t="str">
        <f aca="false">IF($B144="","",IF($D144="收入",$S144,$T144))</f>
        <v/>
      </c>
      <c r="Q144" s="50" t="str">
        <f aca="false">IF($E144="","",IF($D144="转账","—",IFERROR(INDEX(科目参数!$P$6:$P$85,MATCH($E144,科目参数!$M$6:$M$85,0)),"")))</f>
        <v/>
      </c>
      <c r="R144" s="48" t="str">
        <f aca="false">IF($B144="","",SUMIFS(期初数据!$B$6:$B$35,期初数据!$A$6:$A$35,$F144)+SUMIFS($N$5:$N144,$F$5:$F144,$F144,$D$5:$D144,"收入")-SUMIFS($N$5:$N144,$F$5:$F144,$F144,$D$5:$D144,"支出")-SUMIFS($N$5:$N144,$F$5:$F144,$F144,$D$5:$D144,"转账")+SUMIFS($N$5:$N144,$G$5:$G144,$F144,$D$5:$D144,"转账"))</f>
        <v/>
      </c>
      <c r="S144" s="49" t="str">
        <f aca="false">IF($E144="","",IFERROR(INDEX(科目参数!$N$6:$N$85,MATCH($E144,科目参数!$M$6:$M$85,0)),""))</f>
        <v/>
      </c>
      <c r="T144" s="49" t="str">
        <f aca="false">IF($F144="","",IFERROR(INDEX(基础资料!$C$6:$C$35,MATCH($F144,基础资料!$A$6:$A$35,0)),""))</f>
        <v/>
      </c>
      <c r="U144" s="49" t="str">
        <f aca="false">IF($G144="","",IFERROR(INDEX(基础资料!$C$6:$C$35,MATCH($G144,基础资料!$A$6:$A$35,0)),""))</f>
        <v/>
      </c>
      <c r="V144" s="49" t="str">
        <f aca="false">IF(AND($G144=客户对账单!$B$3,$E144="客户回款",$B144&gt;=客户对账单!$E$3,$B144&lt;=客户对账单!$H$3),COUNTIFS($G$5:$G144,客户对账单!$B$3,$E$5:$E144,"客户回款",$B$5:$B144,"&gt;="&amp;客户对账单!$E$3,$B$5:$B144,"&lt;="&amp;客户对账单!$H$3),"")</f>
        <v/>
      </c>
      <c r="W144" s="49" t="str">
        <f aca="false">IF(AND($G144=供应商对账单!$B$3,$E144="供应商付款",$B144&gt;=供应商对账单!$E$3,$B144&lt;=供应商对账单!$H$3),COUNTIFS($G$5:$G144,供应商对账单!$B$3,$E$5:$E144,"供应商付款",$B$5:$B144,"&gt;="&amp;供应商对账单!$E$3,$B$5:$B144,"&lt;="&amp;供应商对账单!$H$3),"")</f>
        <v/>
      </c>
    </row>
    <row r="145" customFormat="false" ht="15.75" hidden="false" customHeight="true" outlineLevel="0" collapsed="false">
      <c r="A145" s="42" t="str">
        <f aca="false">IF($B145="","","ZJ"&amp;TEXT($B145,"yyyymm")&amp;"-"&amp;TEXT(ROW()-4,"000"))</f>
        <v/>
      </c>
      <c r="B145" s="41"/>
      <c r="C145" s="42" t="str">
        <f aca="false">IF($B145="","",TEXT($B145,"yyyy-mm"))</f>
        <v/>
      </c>
      <c r="D145" s="42" t="str">
        <f aca="false">IF($E145="","",IFERROR(INDEX(科目参数!$L$6:$L$85,MATCH($E145,科目参数!$M$6:$M$85,0)),"⚠"))</f>
        <v/>
      </c>
      <c r="E145" s="33"/>
      <c r="F145" s="33"/>
      <c r="G145" s="36"/>
      <c r="H145" s="33"/>
      <c r="I145" s="33"/>
      <c r="J145" s="36"/>
      <c r="K145" s="40"/>
      <c r="L145" s="40"/>
      <c r="M145" s="47" t="str">
        <f aca="false">IF($B145="","",IF(NOT(ISNUMBER($B145)),"日期不是日期格式",IF(YEAR($B145)&lt;&gt;首页!$B$3,"不在会计年度",IF($E145="","未选收支科目",IF($D145="⚠","收支科目不存在",IF($F145="","未选账户",IF($T145="","账户未设资金科目",IF(AND($D145="转账",$U145=""),"转入账户无效",IF(AND(N($K145)&gt;0,N($L145)&gt;0),"收支不能同时填",IF(AND($D145="收入",N($K145)&lt;=0),"收入金额须大于0",IF(AND($D145&lt;&gt;"收入",N($L145)&lt;=0),"支出金额须大于0",IF($O145="","借方科目缺失",IF($P145="","贷方科目缺失","√")))))))))))))</f>
        <v/>
      </c>
      <c r="N145" s="48" t="str">
        <f aca="false">IF($B145="","",IF($D145="收入",N($K145),N($L145)))</f>
        <v/>
      </c>
      <c r="O145" s="49" t="str">
        <f aca="false">IF($B145="","",IF($D145="收入",$T145,IF($D145="转账",$U145,$S145)))</f>
        <v/>
      </c>
      <c r="P145" s="49" t="str">
        <f aca="false">IF($B145="","",IF($D145="收入",$S145,$T145))</f>
        <v/>
      </c>
      <c r="Q145" s="50" t="str">
        <f aca="false">IF($E145="","",IF($D145="转账","—",IFERROR(INDEX(科目参数!$P$6:$P$85,MATCH($E145,科目参数!$M$6:$M$85,0)),"")))</f>
        <v/>
      </c>
      <c r="R145" s="48" t="str">
        <f aca="false">IF($B145="","",SUMIFS(期初数据!$B$6:$B$35,期初数据!$A$6:$A$35,$F145)+SUMIFS($N$5:$N145,$F$5:$F145,$F145,$D$5:$D145,"收入")-SUMIFS($N$5:$N145,$F$5:$F145,$F145,$D$5:$D145,"支出")-SUMIFS($N$5:$N145,$F$5:$F145,$F145,$D$5:$D145,"转账")+SUMIFS($N$5:$N145,$G$5:$G145,$F145,$D$5:$D145,"转账"))</f>
        <v/>
      </c>
      <c r="S145" s="49" t="str">
        <f aca="false">IF($E145="","",IFERROR(INDEX(科目参数!$N$6:$N$85,MATCH($E145,科目参数!$M$6:$M$85,0)),""))</f>
        <v/>
      </c>
      <c r="T145" s="49" t="str">
        <f aca="false">IF($F145="","",IFERROR(INDEX(基础资料!$C$6:$C$35,MATCH($F145,基础资料!$A$6:$A$35,0)),""))</f>
        <v/>
      </c>
      <c r="U145" s="49" t="str">
        <f aca="false">IF($G145="","",IFERROR(INDEX(基础资料!$C$6:$C$35,MATCH($G145,基础资料!$A$6:$A$35,0)),""))</f>
        <v/>
      </c>
      <c r="V145" s="49" t="str">
        <f aca="false">IF(AND($G145=客户对账单!$B$3,$E145="客户回款",$B145&gt;=客户对账单!$E$3,$B145&lt;=客户对账单!$H$3),COUNTIFS($G$5:$G145,客户对账单!$B$3,$E$5:$E145,"客户回款",$B$5:$B145,"&gt;="&amp;客户对账单!$E$3,$B$5:$B145,"&lt;="&amp;客户对账单!$H$3),"")</f>
        <v/>
      </c>
      <c r="W145" s="49" t="str">
        <f aca="false">IF(AND($G145=供应商对账单!$B$3,$E145="供应商付款",$B145&gt;=供应商对账单!$E$3,$B145&lt;=供应商对账单!$H$3),COUNTIFS($G$5:$G145,供应商对账单!$B$3,$E$5:$E145,"供应商付款",$B$5:$B145,"&gt;="&amp;供应商对账单!$E$3,$B$5:$B145,"&lt;="&amp;供应商对账单!$H$3),"")</f>
        <v/>
      </c>
    </row>
    <row r="146" customFormat="false" ht="15.75" hidden="false" customHeight="true" outlineLevel="0" collapsed="false">
      <c r="A146" s="42" t="str">
        <f aca="false">IF($B146="","","ZJ"&amp;TEXT($B146,"yyyymm")&amp;"-"&amp;TEXT(ROW()-4,"000"))</f>
        <v/>
      </c>
      <c r="B146" s="41"/>
      <c r="C146" s="42" t="str">
        <f aca="false">IF($B146="","",TEXT($B146,"yyyy-mm"))</f>
        <v/>
      </c>
      <c r="D146" s="42" t="str">
        <f aca="false">IF($E146="","",IFERROR(INDEX(科目参数!$L$6:$L$85,MATCH($E146,科目参数!$M$6:$M$85,0)),"⚠"))</f>
        <v/>
      </c>
      <c r="E146" s="33"/>
      <c r="F146" s="33"/>
      <c r="G146" s="36"/>
      <c r="H146" s="33"/>
      <c r="I146" s="33"/>
      <c r="J146" s="36"/>
      <c r="K146" s="40"/>
      <c r="L146" s="40"/>
      <c r="M146" s="47" t="str">
        <f aca="false">IF($B146="","",IF(NOT(ISNUMBER($B146)),"日期不是日期格式",IF(YEAR($B146)&lt;&gt;首页!$B$3,"不在会计年度",IF($E146="","未选收支科目",IF($D146="⚠","收支科目不存在",IF($F146="","未选账户",IF($T146="","账户未设资金科目",IF(AND($D146="转账",$U146=""),"转入账户无效",IF(AND(N($K146)&gt;0,N($L146)&gt;0),"收支不能同时填",IF(AND($D146="收入",N($K146)&lt;=0),"收入金额须大于0",IF(AND($D146&lt;&gt;"收入",N($L146)&lt;=0),"支出金额须大于0",IF($O146="","借方科目缺失",IF($P146="","贷方科目缺失","√")))))))))))))</f>
        <v/>
      </c>
      <c r="N146" s="48" t="str">
        <f aca="false">IF($B146="","",IF($D146="收入",N($K146),N($L146)))</f>
        <v/>
      </c>
      <c r="O146" s="49" t="str">
        <f aca="false">IF($B146="","",IF($D146="收入",$T146,IF($D146="转账",$U146,$S146)))</f>
        <v/>
      </c>
      <c r="P146" s="49" t="str">
        <f aca="false">IF($B146="","",IF($D146="收入",$S146,$T146))</f>
        <v/>
      </c>
      <c r="Q146" s="50" t="str">
        <f aca="false">IF($E146="","",IF($D146="转账","—",IFERROR(INDEX(科目参数!$P$6:$P$85,MATCH($E146,科目参数!$M$6:$M$85,0)),"")))</f>
        <v/>
      </c>
      <c r="R146" s="48" t="str">
        <f aca="false">IF($B146="","",SUMIFS(期初数据!$B$6:$B$35,期初数据!$A$6:$A$35,$F146)+SUMIFS($N$5:$N146,$F$5:$F146,$F146,$D$5:$D146,"收入")-SUMIFS($N$5:$N146,$F$5:$F146,$F146,$D$5:$D146,"支出")-SUMIFS($N$5:$N146,$F$5:$F146,$F146,$D$5:$D146,"转账")+SUMIFS($N$5:$N146,$G$5:$G146,$F146,$D$5:$D146,"转账"))</f>
        <v/>
      </c>
      <c r="S146" s="49" t="str">
        <f aca="false">IF($E146="","",IFERROR(INDEX(科目参数!$N$6:$N$85,MATCH($E146,科目参数!$M$6:$M$85,0)),""))</f>
        <v/>
      </c>
      <c r="T146" s="49" t="str">
        <f aca="false">IF($F146="","",IFERROR(INDEX(基础资料!$C$6:$C$35,MATCH($F146,基础资料!$A$6:$A$35,0)),""))</f>
        <v/>
      </c>
      <c r="U146" s="49" t="str">
        <f aca="false">IF($G146="","",IFERROR(INDEX(基础资料!$C$6:$C$35,MATCH($G146,基础资料!$A$6:$A$35,0)),""))</f>
        <v/>
      </c>
      <c r="V146" s="49" t="str">
        <f aca="false">IF(AND($G146=客户对账单!$B$3,$E146="客户回款",$B146&gt;=客户对账单!$E$3,$B146&lt;=客户对账单!$H$3),COUNTIFS($G$5:$G146,客户对账单!$B$3,$E$5:$E146,"客户回款",$B$5:$B146,"&gt;="&amp;客户对账单!$E$3,$B$5:$B146,"&lt;="&amp;客户对账单!$H$3),"")</f>
        <v/>
      </c>
      <c r="W146" s="49" t="str">
        <f aca="false">IF(AND($G146=供应商对账单!$B$3,$E146="供应商付款",$B146&gt;=供应商对账单!$E$3,$B146&lt;=供应商对账单!$H$3),COUNTIFS($G$5:$G146,供应商对账单!$B$3,$E$5:$E146,"供应商付款",$B$5:$B146,"&gt;="&amp;供应商对账单!$E$3,$B$5:$B146,"&lt;="&amp;供应商对账单!$H$3),"")</f>
        <v/>
      </c>
    </row>
    <row r="147" customFormat="false" ht="15.75" hidden="false" customHeight="true" outlineLevel="0" collapsed="false">
      <c r="A147" s="42" t="str">
        <f aca="false">IF($B147="","","ZJ"&amp;TEXT($B147,"yyyymm")&amp;"-"&amp;TEXT(ROW()-4,"000"))</f>
        <v/>
      </c>
      <c r="B147" s="41"/>
      <c r="C147" s="42" t="str">
        <f aca="false">IF($B147="","",TEXT($B147,"yyyy-mm"))</f>
        <v/>
      </c>
      <c r="D147" s="42" t="str">
        <f aca="false">IF($E147="","",IFERROR(INDEX(科目参数!$L$6:$L$85,MATCH($E147,科目参数!$M$6:$M$85,0)),"⚠"))</f>
        <v/>
      </c>
      <c r="E147" s="33"/>
      <c r="F147" s="33"/>
      <c r="G147" s="36"/>
      <c r="H147" s="33"/>
      <c r="I147" s="33"/>
      <c r="J147" s="36"/>
      <c r="K147" s="40"/>
      <c r="L147" s="40"/>
      <c r="M147" s="47" t="str">
        <f aca="false">IF($B147="","",IF(NOT(ISNUMBER($B147)),"日期不是日期格式",IF(YEAR($B147)&lt;&gt;首页!$B$3,"不在会计年度",IF($E147="","未选收支科目",IF($D147="⚠","收支科目不存在",IF($F147="","未选账户",IF($T147="","账户未设资金科目",IF(AND($D147="转账",$U147=""),"转入账户无效",IF(AND(N($K147)&gt;0,N($L147)&gt;0),"收支不能同时填",IF(AND($D147="收入",N($K147)&lt;=0),"收入金额须大于0",IF(AND($D147&lt;&gt;"收入",N($L147)&lt;=0),"支出金额须大于0",IF($O147="","借方科目缺失",IF($P147="","贷方科目缺失","√")))))))))))))</f>
        <v/>
      </c>
      <c r="N147" s="48" t="str">
        <f aca="false">IF($B147="","",IF($D147="收入",N($K147),N($L147)))</f>
        <v/>
      </c>
      <c r="O147" s="49" t="str">
        <f aca="false">IF($B147="","",IF($D147="收入",$T147,IF($D147="转账",$U147,$S147)))</f>
        <v/>
      </c>
      <c r="P147" s="49" t="str">
        <f aca="false">IF($B147="","",IF($D147="收入",$S147,$T147))</f>
        <v/>
      </c>
      <c r="Q147" s="50" t="str">
        <f aca="false">IF($E147="","",IF($D147="转账","—",IFERROR(INDEX(科目参数!$P$6:$P$85,MATCH($E147,科目参数!$M$6:$M$85,0)),"")))</f>
        <v/>
      </c>
      <c r="R147" s="48" t="str">
        <f aca="false">IF($B147="","",SUMIFS(期初数据!$B$6:$B$35,期初数据!$A$6:$A$35,$F147)+SUMIFS($N$5:$N147,$F$5:$F147,$F147,$D$5:$D147,"收入")-SUMIFS($N$5:$N147,$F$5:$F147,$F147,$D$5:$D147,"支出")-SUMIFS($N$5:$N147,$F$5:$F147,$F147,$D$5:$D147,"转账")+SUMIFS($N$5:$N147,$G$5:$G147,$F147,$D$5:$D147,"转账"))</f>
        <v/>
      </c>
      <c r="S147" s="49" t="str">
        <f aca="false">IF($E147="","",IFERROR(INDEX(科目参数!$N$6:$N$85,MATCH($E147,科目参数!$M$6:$M$85,0)),""))</f>
        <v/>
      </c>
      <c r="T147" s="49" t="str">
        <f aca="false">IF($F147="","",IFERROR(INDEX(基础资料!$C$6:$C$35,MATCH($F147,基础资料!$A$6:$A$35,0)),""))</f>
        <v/>
      </c>
      <c r="U147" s="49" t="str">
        <f aca="false">IF($G147="","",IFERROR(INDEX(基础资料!$C$6:$C$35,MATCH($G147,基础资料!$A$6:$A$35,0)),""))</f>
        <v/>
      </c>
      <c r="V147" s="49" t="str">
        <f aca="false">IF(AND($G147=客户对账单!$B$3,$E147="客户回款",$B147&gt;=客户对账单!$E$3,$B147&lt;=客户对账单!$H$3),COUNTIFS($G$5:$G147,客户对账单!$B$3,$E$5:$E147,"客户回款",$B$5:$B147,"&gt;="&amp;客户对账单!$E$3,$B$5:$B147,"&lt;="&amp;客户对账单!$H$3),"")</f>
        <v/>
      </c>
      <c r="W147" s="49" t="str">
        <f aca="false">IF(AND($G147=供应商对账单!$B$3,$E147="供应商付款",$B147&gt;=供应商对账单!$E$3,$B147&lt;=供应商对账单!$H$3),COUNTIFS($G$5:$G147,供应商对账单!$B$3,$E$5:$E147,"供应商付款",$B$5:$B147,"&gt;="&amp;供应商对账单!$E$3,$B$5:$B147,"&lt;="&amp;供应商对账单!$H$3),"")</f>
        <v/>
      </c>
    </row>
    <row r="148" customFormat="false" ht="15.75" hidden="false" customHeight="true" outlineLevel="0" collapsed="false">
      <c r="A148" s="42" t="str">
        <f aca="false">IF($B148="","","ZJ"&amp;TEXT($B148,"yyyymm")&amp;"-"&amp;TEXT(ROW()-4,"000"))</f>
        <v/>
      </c>
      <c r="B148" s="41"/>
      <c r="C148" s="42" t="str">
        <f aca="false">IF($B148="","",TEXT($B148,"yyyy-mm"))</f>
        <v/>
      </c>
      <c r="D148" s="42" t="str">
        <f aca="false">IF($E148="","",IFERROR(INDEX(科目参数!$L$6:$L$85,MATCH($E148,科目参数!$M$6:$M$85,0)),"⚠"))</f>
        <v/>
      </c>
      <c r="E148" s="33"/>
      <c r="F148" s="33"/>
      <c r="G148" s="36"/>
      <c r="H148" s="33"/>
      <c r="I148" s="33"/>
      <c r="J148" s="36"/>
      <c r="K148" s="40"/>
      <c r="L148" s="40"/>
      <c r="M148" s="47" t="str">
        <f aca="false">IF($B148="","",IF(NOT(ISNUMBER($B148)),"日期不是日期格式",IF(YEAR($B148)&lt;&gt;首页!$B$3,"不在会计年度",IF($E148="","未选收支科目",IF($D148="⚠","收支科目不存在",IF($F148="","未选账户",IF($T148="","账户未设资金科目",IF(AND($D148="转账",$U148=""),"转入账户无效",IF(AND(N($K148)&gt;0,N($L148)&gt;0),"收支不能同时填",IF(AND($D148="收入",N($K148)&lt;=0),"收入金额须大于0",IF(AND($D148&lt;&gt;"收入",N($L148)&lt;=0),"支出金额须大于0",IF($O148="","借方科目缺失",IF($P148="","贷方科目缺失","√")))))))))))))</f>
        <v/>
      </c>
      <c r="N148" s="48" t="str">
        <f aca="false">IF($B148="","",IF($D148="收入",N($K148),N($L148)))</f>
        <v/>
      </c>
      <c r="O148" s="49" t="str">
        <f aca="false">IF($B148="","",IF($D148="收入",$T148,IF($D148="转账",$U148,$S148)))</f>
        <v/>
      </c>
      <c r="P148" s="49" t="str">
        <f aca="false">IF($B148="","",IF($D148="收入",$S148,$T148))</f>
        <v/>
      </c>
      <c r="Q148" s="50" t="str">
        <f aca="false">IF($E148="","",IF($D148="转账","—",IFERROR(INDEX(科目参数!$P$6:$P$85,MATCH($E148,科目参数!$M$6:$M$85,0)),"")))</f>
        <v/>
      </c>
      <c r="R148" s="48" t="str">
        <f aca="false">IF($B148="","",SUMIFS(期初数据!$B$6:$B$35,期初数据!$A$6:$A$35,$F148)+SUMIFS($N$5:$N148,$F$5:$F148,$F148,$D$5:$D148,"收入")-SUMIFS($N$5:$N148,$F$5:$F148,$F148,$D$5:$D148,"支出")-SUMIFS($N$5:$N148,$F$5:$F148,$F148,$D$5:$D148,"转账")+SUMIFS($N$5:$N148,$G$5:$G148,$F148,$D$5:$D148,"转账"))</f>
        <v/>
      </c>
      <c r="S148" s="49" t="str">
        <f aca="false">IF($E148="","",IFERROR(INDEX(科目参数!$N$6:$N$85,MATCH($E148,科目参数!$M$6:$M$85,0)),""))</f>
        <v/>
      </c>
      <c r="T148" s="49" t="str">
        <f aca="false">IF($F148="","",IFERROR(INDEX(基础资料!$C$6:$C$35,MATCH($F148,基础资料!$A$6:$A$35,0)),""))</f>
        <v/>
      </c>
      <c r="U148" s="49" t="str">
        <f aca="false">IF($G148="","",IFERROR(INDEX(基础资料!$C$6:$C$35,MATCH($G148,基础资料!$A$6:$A$35,0)),""))</f>
        <v/>
      </c>
      <c r="V148" s="49" t="str">
        <f aca="false">IF(AND($G148=客户对账单!$B$3,$E148="客户回款",$B148&gt;=客户对账单!$E$3,$B148&lt;=客户对账单!$H$3),COUNTIFS($G$5:$G148,客户对账单!$B$3,$E$5:$E148,"客户回款",$B$5:$B148,"&gt;="&amp;客户对账单!$E$3,$B$5:$B148,"&lt;="&amp;客户对账单!$H$3),"")</f>
        <v/>
      </c>
      <c r="W148" s="49" t="str">
        <f aca="false">IF(AND($G148=供应商对账单!$B$3,$E148="供应商付款",$B148&gt;=供应商对账单!$E$3,$B148&lt;=供应商对账单!$H$3),COUNTIFS($G$5:$G148,供应商对账单!$B$3,$E$5:$E148,"供应商付款",$B$5:$B148,"&gt;="&amp;供应商对账单!$E$3,$B$5:$B148,"&lt;="&amp;供应商对账单!$H$3),"")</f>
        <v/>
      </c>
    </row>
    <row r="149" customFormat="false" ht="15.75" hidden="false" customHeight="true" outlineLevel="0" collapsed="false">
      <c r="A149" s="42" t="str">
        <f aca="false">IF($B149="","","ZJ"&amp;TEXT($B149,"yyyymm")&amp;"-"&amp;TEXT(ROW()-4,"000"))</f>
        <v/>
      </c>
      <c r="B149" s="41"/>
      <c r="C149" s="42" t="str">
        <f aca="false">IF($B149="","",TEXT($B149,"yyyy-mm"))</f>
        <v/>
      </c>
      <c r="D149" s="42" t="str">
        <f aca="false">IF($E149="","",IFERROR(INDEX(科目参数!$L$6:$L$85,MATCH($E149,科目参数!$M$6:$M$85,0)),"⚠"))</f>
        <v/>
      </c>
      <c r="E149" s="33"/>
      <c r="F149" s="33"/>
      <c r="G149" s="36"/>
      <c r="H149" s="33"/>
      <c r="I149" s="33"/>
      <c r="J149" s="36"/>
      <c r="K149" s="40"/>
      <c r="L149" s="40"/>
      <c r="M149" s="47" t="str">
        <f aca="false">IF($B149="","",IF(NOT(ISNUMBER($B149)),"日期不是日期格式",IF(YEAR($B149)&lt;&gt;首页!$B$3,"不在会计年度",IF($E149="","未选收支科目",IF($D149="⚠","收支科目不存在",IF($F149="","未选账户",IF($T149="","账户未设资金科目",IF(AND($D149="转账",$U149=""),"转入账户无效",IF(AND(N($K149)&gt;0,N($L149)&gt;0),"收支不能同时填",IF(AND($D149="收入",N($K149)&lt;=0),"收入金额须大于0",IF(AND($D149&lt;&gt;"收入",N($L149)&lt;=0),"支出金额须大于0",IF($O149="","借方科目缺失",IF($P149="","贷方科目缺失","√")))))))))))))</f>
        <v/>
      </c>
      <c r="N149" s="48" t="str">
        <f aca="false">IF($B149="","",IF($D149="收入",N($K149),N($L149)))</f>
        <v/>
      </c>
      <c r="O149" s="49" t="str">
        <f aca="false">IF($B149="","",IF($D149="收入",$T149,IF($D149="转账",$U149,$S149)))</f>
        <v/>
      </c>
      <c r="P149" s="49" t="str">
        <f aca="false">IF($B149="","",IF($D149="收入",$S149,$T149))</f>
        <v/>
      </c>
      <c r="Q149" s="50" t="str">
        <f aca="false">IF($E149="","",IF($D149="转账","—",IFERROR(INDEX(科目参数!$P$6:$P$85,MATCH($E149,科目参数!$M$6:$M$85,0)),"")))</f>
        <v/>
      </c>
      <c r="R149" s="48" t="str">
        <f aca="false">IF($B149="","",SUMIFS(期初数据!$B$6:$B$35,期初数据!$A$6:$A$35,$F149)+SUMIFS($N$5:$N149,$F$5:$F149,$F149,$D$5:$D149,"收入")-SUMIFS($N$5:$N149,$F$5:$F149,$F149,$D$5:$D149,"支出")-SUMIFS($N$5:$N149,$F$5:$F149,$F149,$D$5:$D149,"转账")+SUMIFS($N$5:$N149,$G$5:$G149,$F149,$D$5:$D149,"转账"))</f>
        <v/>
      </c>
      <c r="S149" s="49" t="str">
        <f aca="false">IF($E149="","",IFERROR(INDEX(科目参数!$N$6:$N$85,MATCH($E149,科目参数!$M$6:$M$85,0)),""))</f>
        <v/>
      </c>
      <c r="T149" s="49" t="str">
        <f aca="false">IF($F149="","",IFERROR(INDEX(基础资料!$C$6:$C$35,MATCH($F149,基础资料!$A$6:$A$35,0)),""))</f>
        <v/>
      </c>
      <c r="U149" s="49" t="str">
        <f aca="false">IF($G149="","",IFERROR(INDEX(基础资料!$C$6:$C$35,MATCH($G149,基础资料!$A$6:$A$35,0)),""))</f>
        <v/>
      </c>
      <c r="V149" s="49" t="str">
        <f aca="false">IF(AND($G149=客户对账单!$B$3,$E149="客户回款",$B149&gt;=客户对账单!$E$3,$B149&lt;=客户对账单!$H$3),COUNTIFS($G$5:$G149,客户对账单!$B$3,$E$5:$E149,"客户回款",$B$5:$B149,"&gt;="&amp;客户对账单!$E$3,$B$5:$B149,"&lt;="&amp;客户对账单!$H$3),"")</f>
        <v/>
      </c>
      <c r="W149" s="49" t="str">
        <f aca="false">IF(AND($G149=供应商对账单!$B$3,$E149="供应商付款",$B149&gt;=供应商对账单!$E$3,$B149&lt;=供应商对账单!$H$3),COUNTIFS($G$5:$G149,供应商对账单!$B$3,$E$5:$E149,"供应商付款",$B$5:$B149,"&gt;="&amp;供应商对账单!$E$3,$B$5:$B149,"&lt;="&amp;供应商对账单!$H$3),"")</f>
        <v/>
      </c>
    </row>
    <row r="150" customFormat="false" ht="15.75" hidden="false" customHeight="true" outlineLevel="0" collapsed="false">
      <c r="A150" s="42" t="str">
        <f aca="false">IF($B150="","","ZJ"&amp;TEXT($B150,"yyyymm")&amp;"-"&amp;TEXT(ROW()-4,"000"))</f>
        <v/>
      </c>
      <c r="B150" s="41"/>
      <c r="C150" s="42" t="str">
        <f aca="false">IF($B150="","",TEXT($B150,"yyyy-mm"))</f>
        <v/>
      </c>
      <c r="D150" s="42" t="str">
        <f aca="false">IF($E150="","",IFERROR(INDEX(科目参数!$L$6:$L$85,MATCH($E150,科目参数!$M$6:$M$85,0)),"⚠"))</f>
        <v/>
      </c>
      <c r="E150" s="33"/>
      <c r="F150" s="33"/>
      <c r="G150" s="36"/>
      <c r="H150" s="33"/>
      <c r="I150" s="33"/>
      <c r="J150" s="36"/>
      <c r="K150" s="40"/>
      <c r="L150" s="40"/>
      <c r="M150" s="47" t="str">
        <f aca="false">IF($B150="","",IF(NOT(ISNUMBER($B150)),"日期不是日期格式",IF(YEAR($B150)&lt;&gt;首页!$B$3,"不在会计年度",IF($E150="","未选收支科目",IF($D150="⚠","收支科目不存在",IF($F150="","未选账户",IF($T150="","账户未设资金科目",IF(AND($D150="转账",$U150=""),"转入账户无效",IF(AND(N($K150)&gt;0,N($L150)&gt;0),"收支不能同时填",IF(AND($D150="收入",N($K150)&lt;=0),"收入金额须大于0",IF(AND($D150&lt;&gt;"收入",N($L150)&lt;=0),"支出金额须大于0",IF($O150="","借方科目缺失",IF($P150="","贷方科目缺失","√")))))))))))))</f>
        <v/>
      </c>
      <c r="N150" s="48" t="str">
        <f aca="false">IF($B150="","",IF($D150="收入",N($K150),N($L150)))</f>
        <v/>
      </c>
      <c r="O150" s="49" t="str">
        <f aca="false">IF($B150="","",IF($D150="收入",$T150,IF($D150="转账",$U150,$S150)))</f>
        <v/>
      </c>
      <c r="P150" s="49" t="str">
        <f aca="false">IF($B150="","",IF($D150="收入",$S150,$T150))</f>
        <v/>
      </c>
      <c r="Q150" s="50" t="str">
        <f aca="false">IF($E150="","",IF($D150="转账","—",IFERROR(INDEX(科目参数!$P$6:$P$85,MATCH($E150,科目参数!$M$6:$M$85,0)),"")))</f>
        <v/>
      </c>
      <c r="R150" s="48" t="str">
        <f aca="false">IF($B150="","",SUMIFS(期初数据!$B$6:$B$35,期初数据!$A$6:$A$35,$F150)+SUMIFS($N$5:$N150,$F$5:$F150,$F150,$D$5:$D150,"收入")-SUMIFS($N$5:$N150,$F$5:$F150,$F150,$D$5:$D150,"支出")-SUMIFS($N$5:$N150,$F$5:$F150,$F150,$D$5:$D150,"转账")+SUMIFS($N$5:$N150,$G$5:$G150,$F150,$D$5:$D150,"转账"))</f>
        <v/>
      </c>
      <c r="S150" s="49" t="str">
        <f aca="false">IF($E150="","",IFERROR(INDEX(科目参数!$N$6:$N$85,MATCH($E150,科目参数!$M$6:$M$85,0)),""))</f>
        <v/>
      </c>
      <c r="T150" s="49" t="str">
        <f aca="false">IF($F150="","",IFERROR(INDEX(基础资料!$C$6:$C$35,MATCH($F150,基础资料!$A$6:$A$35,0)),""))</f>
        <v/>
      </c>
      <c r="U150" s="49" t="str">
        <f aca="false">IF($G150="","",IFERROR(INDEX(基础资料!$C$6:$C$35,MATCH($G150,基础资料!$A$6:$A$35,0)),""))</f>
        <v/>
      </c>
      <c r="V150" s="49" t="str">
        <f aca="false">IF(AND($G150=客户对账单!$B$3,$E150="客户回款",$B150&gt;=客户对账单!$E$3,$B150&lt;=客户对账单!$H$3),COUNTIFS($G$5:$G150,客户对账单!$B$3,$E$5:$E150,"客户回款",$B$5:$B150,"&gt;="&amp;客户对账单!$E$3,$B$5:$B150,"&lt;="&amp;客户对账单!$H$3),"")</f>
        <v/>
      </c>
      <c r="W150" s="49" t="str">
        <f aca="false">IF(AND($G150=供应商对账单!$B$3,$E150="供应商付款",$B150&gt;=供应商对账单!$E$3,$B150&lt;=供应商对账单!$H$3),COUNTIFS($G$5:$G150,供应商对账单!$B$3,$E$5:$E150,"供应商付款",$B$5:$B150,"&gt;="&amp;供应商对账单!$E$3,$B$5:$B150,"&lt;="&amp;供应商对账单!$H$3),"")</f>
        <v/>
      </c>
    </row>
    <row r="151" customFormat="false" ht="15.75" hidden="false" customHeight="true" outlineLevel="0" collapsed="false">
      <c r="A151" s="42" t="str">
        <f aca="false">IF($B151="","","ZJ"&amp;TEXT($B151,"yyyymm")&amp;"-"&amp;TEXT(ROW()-4,"000"))</f>
        <v/>
      </c>
      <c r="B151" s="41"/>
      <c r="C151" s="42" t="str">
        <f aca="false">IF($B151="","",TEXT($B151,"yyyy-mm"))</f>
        <v/>
      </c>
      <c r="D151" s="42" t="str">
        <f aca="false">IF($E151="","",IFERROR(INDEX(科目参数!$L$6:$L$85,MATCH($E151,科目参数!$M$6:$M$85,0)),"⚠"))</f>
        <v/>
      </c>
      <c r="E151" s="33"/>
      <c r="F151" s="33"/>
      <c r="G151" s="36"/>
      <c r="H151" s="33"/>
      <c r="I151" s="33"/>
      <c r="J151" s="36"/>
      <c r="K151" s="40"/>
      <c r="L151" s="40"/>
      <c r="M151" s="47" t="str">
        <f aca="false">IF($B151="","",IF(NOT(ISNUMBER($B151)),"日期不是日期格式",IF(YEAR($B151)&lt;&gt;首页!$B$3,"不在会计年度",IF($E151="","未选收支科目",IF($D151="⚠","收支科目不存在",IF($F151="","未选账户",IF($T151="","账户未设资金科目",IF(AND($D151="转账",$U151=""),"转入账户无效",IF(AND(N($K151)&gt;0,N($L151)&gt;0),"收支不能同时填",IF(AND($D151="收入",N($K151)&lt;=0),"收入金额须大于0",IF(AND($D151&lt;&gt;"收入",N($L151)&lt;=0),"支出金额须大于0",IF($O151="","借方科目缺失",IF($P151="","贷方科目缺失","√")))))))))))))</f>
        <v/>
      </c>
      <c r="N151" s="48" t="str">
        <f aca="false">IF($B151="","",IF($D151="收入",N($K151),N($L151)))</f>
        <v/>
      </c>
      <c r="O151" s="49" t="str">
        <f aca="false">IF($B151="","",IF($D151="收入",$T151,IF($D151="转账",$U151,$S151)))</f>
        <v/>
      </c>
      <c r="P151" s="49" t="str">
        <f aca="false">IF($B151="","",IF($D151="收入",$S151,$T151))</f>
        <v/>
      </c>
      <c r="Q151" s="50" t="str">
        <f aca="false">IF($E151="","",IF($D151="转账","—",IFERROR(INDEX(科目参数!$P$6:$P$85,MATCH($E151,科目参数!$M$6:$M$85,0)),"")))</f>
        <v/>
      </c>
      <c r="R151" s="48" t="str">
        <f aca="false">IF($B151="","",SUMIFS(期初数据!$B$6:$B$35,期初数据!$A$6:$A$35,$F151)+SUMIFS($N$5:$N151,$F$5:$F151,$F151,$D$5:$D151,"收入")-SUMIFS($N$5:$N151,$F$5:$F151,$F151,$D$5:$D151,"支出")-SUMIFS($N$5:$N151,$F$5:$F151,$F151,$D$5:$D151,"转账")+SUMIFS($N$5:$N151,$G$5:$G151,$F151,$D$5:$D151,"转账"))</f>
        <v/>
      </c>
      <c r="S151" s="49" t="str">
        <f aca="false">IF($E151="","",IFERROR(INDEX(科目参数!$N$6:$N$85,MATCH($E151,科目参数!$M$6:$M$85,0)),""))</f>
        <v/>
      </c>
      <c r="T151" s="49" t="str">
        <f aca="false">IF($F151="","",IFERROR(INDEX(基础资料!$C$6:$C$35,MATCH($F151,基础资料!$A$6:$A$35,0)),""))</f>
        <v/>
      </c>
      <c r="U151" s="49" t="str">
        <f aca="false">IF($G151="","",IFERROR(INDEX(基础资料!$C$6:$C$35,MATCH($G151,基础资料!$A$6:$A$35,0)),""))</f>
        <v/>
      </c>
      <c r="V151" s="49" t="str">
        <f aca="false">IF(AND($G151=客户对账单!$B$3,$E151="客户回款",$B151&gt;=客户对账单!$E$3,$B151&lt;=客户对账单!$H$3),COUNTIFS($G$5:$G151,客户对账单!$B$3,$E$5:$E151,"客户回款",$B$5:$B151,"&gt;="&amp;客户对账单!$E$3,$B$5:$B151,"&lt;="&amp;客户对账单!$H$3),"")</f>
        <v/>
      </c>
      <c r="W151" s="49" t="str">
        <f aca="false">IF(AND($G151=供应商对账单!$B$3,$E151="供应商付款",$B151&gt;=供应商对账单!$E$3,$B151&lt;=供应商对账单!$H$3),COUNTIFS($G$5:$G151,供应商对账单!$B$3,$E$5:$E151,"供应商付款",$B$5:$B151,"&gt;="&amp;供应商对账单!$E$3,$B$5:$B151,"&lt;="&amp;供应商对账单!$H$3),"")</f>
        <v/>
      </c>
    </row>
    <row r="152" customFormat="false" ht="15.75" hidden="false" customHeight="true" outlineLevel="0" collapsed="false">
      <c r="A152" s="42" t="str">
        <f aca="false">IF($B152="","","ZJ"&amp;TEXT($B152,"yyyymm")&amp;"-"&amp;TEXT(ROW()-4,"000"))</f>
        <v/>
      </c>
      <c r="B152" s="41"/>
      <c r="C152" s="42" t="str">
        <f aca="false">IF($B152="","",TEXT($B152,"yyyy-mm"))</f>
        <v/>
      </c>
      <c r="D152" s="42" t="str">
        <f aca="false">IF($E152="","",IFERROR(INDEX(科目参数!$L$6:$L$85,MATCH($E152,科目参数!$M$6:$M$85,0)),"⚠"))</f>
        <v/>
      </c>
      <c r="E152" s="33"/>
      <c r="F152" s="33"/>
      <c r="G152" s="36"/>
      <c r="H152" s="33"/>
      <c r="I152" s="33"/>
      <c r="J152" s="36"/>
      <c r="K152" s="40"/>
      <c r="L152" s="40"/>
      <c r="M152" s="47" t="str">
        <f aca="false">IF($B152="","",IF(NOT(ISNUMBER($B152)),"日期不是日期格式",IF(YEAR($B152)&lt;&gt;首页!$B$3,"不在会计年度",IF($E152="","未选收支科目",IF($D152="⚠","收支科目不存在",IF($F152="","未选账户",IF($T152="","账户未设资金科目",IF(AND($D152="转账",$U152=""),"转入账户无效",IF(AND(N($K152)&gt;0,N($L152)&gt;0),"收支不能同时填",IF(AND($D152="收入",N($K152)&lt;=0),"收入金额须大于0",IF(AND($D152&lt;&gt;"收入",N($L152)&lt;=0),"支出金额须大于0",IF($O152="","借方科目缺失",IF($P152="","贷方科目缺失","√")))))))))))))</f>
        <v/>
      </c>
      <c r="N152" s="48" t="str">
        <f aca="false">IF($B152="","",IF($D152="收入",N($K152),N($L152)))</f>
        <v/>
      </c>
      <c r="O152" s="49" t="str">
        <f aca="false">IF($B152="","",IF($D152="收入",$T152,IF($D152="转账",$U152,$S152)))</f>
        <v/>
      </c>
      <c r="P152" s="49" t="str">
        <f aca="false">IF($B152="","",IF($D152="收入",$S152,$T152))</f>
        <v/>
      </c>
      <c r="Q152" s="50" t="str">
        <f aca="false">IF($E152="","",IF($D152="转账","—",IFERROR(INDEX(科目参数!$P$6:$P$85,MATCH($E152,科目参数!$M$6:$M$85,0)),"")))</f>
        <v/>
      </c>
      <c r="R152" s="48" t="str">
        <f aca="false">IF($B152="","",SUMIFS(期初数据!$B$6:$B$35,期初数据!$A$6:$A$35,$F152)+SUMIFS($N$5:$N152,$F$5:$F152,$F152,$D$5:$D152,"收入")-SUMIFS($N$5:$N152,$F$5:$F152,$F152,$D$5:$D152,"支出")-SUMIFS($N$5:$N152,$F$5:$F152,$F152,$D$5:$D152,"转账")+SUMIFS($N$5:$N152,$G$5:$G152,$F152,$D$5:$D152,"转账"))</f>
        <v/>
      </c>
      <c r="S152" s="49" t="str">
        <f aca="false">IF($E152="","",IFERROR(INDEX(科目参数!$N$6:$N$85,MATCH($E152,科目参数!$M$6:$M$85,0)),""))</f>
        <v/>
      </c>
      <c r="T152" s="49" t="str">
        <f aca="false">IF($F152="","",IFERROR(INDEX(基础资料!$C$6:$C$35,MATCH($F152,基础资料!$A$6:$A$35,0)),""))</f>
        <v/>
      </c>
      <c r="U152" s="49" t="str">
        <f aca="false">IF($G152="","",IFERROR(INDEX(基础资料!$C$6:$C$35,MATCH($G152,基础资料!$A$6:$A$35,0)),""))</f>
        <v/>
      </c>
      <c r="V152" s="49" t="str">
        <f aca="false">IF(AND($G152=客户对账单!$B$3,$E152="客户回款",$B152&gt;=客户对账单!$E$3,$B152&lt;=客户对账单!$H$3),COUNTIFS($G$5:$G152,客户对账单!$B$3,$E$5:$E152,"客户回款",$B$5:$B152,"&gt;="&amp;客户对账单!$E$3,$B$5:$B152,"&lt;="&amp;客户对账单!$H$3),"")</f>
        <v/>
      </c>
      <c r="W152" s="49" t="str">
        <f aca="false">IF(AND($G152=供应商对账单!$B$3,$E152="供应商付款",$B152&gt;=供应商对账单!$E$3,$B152&lt;=供应商对账单!$H$3),COUNTIFS($G$5:$G152,供应商对账单!$B$3,$E$5:$E152,"供应商付款",$B$5:$B152,"&gt;="&amp;供应商对账单!$E$3,$B$5:$B152,"&lt;="&amp;供应商对账单!$H$3),"")</f>
        <v/>
      </c>
    </row>
    <row r="153" customFormat="false" ht="15.75" hidden="false" customHeight="true" outlineLevel="0" collapsed="false">
      <c r="A153" s="42" t="str">
        <f aca="false">IF($B153="","","ZJ"&amp;TEXT($B153,"yyyymm")&amp;"-"&amp;TEXT(ROW()-4,"000"))</f>
        <v/>
      </c>
      <c r="B153" s="41"/>
      <c r="C153" s="42" t="str">
        <f aca="false">IF($B153="","",TEXT($B153,"yyyy-mm"))</f>
        <v/>
      </c>
      <c r="D153" s="42" t="str">
        <f aca="false">IF($E153="","",IFERROR(INDEX(科目参数!$L$6:$L$85,MATCH($E153,科目参数!$M$6:$M$85,0)),"⚠"))</f>
        <v/>
      </c>
      <c r="E153" s="33"/>
      <c r="F153" s="33"/>
      <c r="G153" s="36"/>
      <c r="H153" s="33"/>
      <c r="I153" s="33"/>
      <c r="J153" s="36"/>
      <c r="K153" s="40"/>
      <c r="L153" s="40"/>
      <c r="M153" s="47" t="str">
        <f aca="false">IF($B153="","",IF(NOT(ISNUMBER($B153)),"日期不是日期格式",IF(YEAR($B153)&lt;&gt;首页!$B$3,"不在会计年度",IF($E153="","未选收支科目",IF($D153="⚠","收支科目不存在",IF($F153="","未选账户",IF($T153="","账户未设资金科目",IF(AND($D153="转账",$U153=""),"转入账户无效",IF(AND(N($K153)&gt;0,N($L153)&gt;0),"收支不能同时填",IF(AND($D153="收入",N($K153)&lt;=0),"收入金额须大于0",IF(AND($D153&lt;&gt;"收入",N($L153)&lt;=0),"支出金额须大于0",IF($O153="","借方科目缺失",IF($P153="","贷方科目缺失","√")))))))))))))</f>
        <v/>
      </c>
      <c r="N153" s="48" t="str">
        <f aca="false">IF($B153="","",IF($D153="收入",N($K153),N($L153)))</f>
        <v/>
      </c>
      <c r="O153" s="49" t="str">
        <f aca="false">IF($B153="","",IF($D153="收入",$T153,IF($D153="转账",$U153,$S153)))</f>
        <v/>
      </c>
      <c r="P153" s="49" t="str">
        <f aca="false">IF($B153="","",IF($D153="收入",$S153,$T153))</f>
        <v/>
      </c>
      <c r="Q153" s="50" t="str">
        <f aca="false">IF($E153="","",IF($D153="转账","—",IFERROR(INDEX(科目参数!$P$6:$P$85,MATCH($E153,科目参数!$M$6:$M$85,0)),"")))</f>
        <v/>
      </c>
      <c r="R153" s="48" t="str">
        <f aca="false">IF($B153="","",SUMIFS(期初数据!$B$6:$B$35,期初数据!$A$6:$A$35,$F153)+SUMIFS($N$5:$N153,$F$5:$F153,$F153,$D$5:$D153,"收入")-SUMIFS($N$5:$N153,$F$5:$F153,$F153,$D$5:$D153,"支出")-SUMIFS($N$5:$N153,$F$5:$F153,$F153,$D$5:$D153,"转账")+SUMIFS($N$5:$N153,$G$5:$G153,$F153,$D$5:$D153,"转账"))</f>
        <v/>
      </c>
      <c r="S153" s="49" t="str">
        <f aca="false">IF($E153="","",IFERROR(INDEX(科目参数!$N$6:$N$85,MATCH($E153,科目参数!$M$6:$M$85,0)),""))</f>
        <v/>
      </c>
      <c r="T153" s="49" t="str">
        <f aca="false">IF($F153="","",IFERROR(INDEX(基础资料!$C$6:$C$35,MATCH($F153,基础资料!$A$6:$A$35,0)),""))</f>
        <v/>
      </c>
      <c r="U153" s="49" t="str">
        <f aca="false">IF($G153="","",IFERROR(INDEX(基础资料!$C$6:$C$35,MATCH($G153,基础资料!$A$6:$A$35,0)),""))</f>
        <v/>
      </c>
      <c r="V153" s="49" t="str">
        <f aca="false">IF(AND($G153=客户对账单!$B$3,$E153="客户回款",$B153&gt;=客户对账单!$E$3,$B153&lt;=客户对账单!$H$3),COUNTIFS($G$5:$G153,客户对账单!$B$3,$E$5:$E153,"客户回款",$B$5:$B153,"&gt;="&amp;客户对账单!$E$3,$B$5:$B153,"&lt;="&amp;客户对账单!$H$3),"")</f>
        <v/>
      </c>
      <c r="W153" s="49" t="str">
        <f aca="false">IF(AND($G153=供应商对账单!$B$3,$E153="供应商付款",$B153&gt;=供应商对账单!$E$3,$B153&lt;=供应商对账单!$H$3),COUNTIFS($G$5:$G153,供应商对账单!$B$3,$E$5:$E153,"供应商付款",$B$5:$B153,"&gt;="&amp;供应商对账单!$E$3,$B$5:$B153,"&lt;="&amp;供应商对账单!$H$3),"")</f>
        <v/>
      </c>
    </row>
    <row r="154" customFormat="false" ht="15.75" hidden="false" customHeight="true" outlineLevel="0" collapsed="false">
      <c r="A154" s="42" t="str">
        <f aca="false">IF($B154="","","ZJ"&amp;TEXT($B154,"yyyymm")&amp;"-"&amp;TEXT(ROW()-4,"000"))</f>
        <v/>
      </c>
      <c r="B154" s="41"/>
      <c r="C154" s="42" t="str">
        <f aca="false">IF($B154="","",TEXT($B154,"yyyy-mm"))</f>
        <v/>
      </c>
      <c r="D154" s="42" t="str">
        <f aca="false">IF($E154="","",IFERROR(INDEX(科目参数!$L$6:$L$85,MATCH($E154,科目参数!$M$6:$M$85,0)),"⚠"))</f>
        <v/>
      </c>
      <c r="E154" s="33"/>
      <c r="F154" s="33"/>
      <c r="G154" s="36"/>
      <c r="H154" s="33"/>
      <c r="I154" s="33"/>
      <c r="J154" s="36"/>
      <c r="K154" s="40"/>
      <c r="L154" s="40"/>
      <c r="M154" s="47" t="str">
        <f aca="false">IF($B154="","",IF(NOT(ISNUMBER($B154)),"日期不是日期格式",IF(YEAR($B154)&lt;&gt;首页!$B$3,"不在会计年度",IF($E154="","未选收支科目",IF($D154="⚠","收支科目不存在",IF($F154="","未选账户",IF($T154="","账户未设资金科目",IF(AND($D154="转账",$U154=""),"转入账户无效",IF(AND(N($K154)&gt;0,N($L154)&gt;0),"收支不能同时填",IF(AND($D154="收入",N($K154)&lt;=0),"收入金额须大于0",IF(AND($D154&lt;&gt;"收入",N($L154)&lt;=0),"支出金额须大于0",IF($O154="","借方科目缺失",IF($P154="","贷方科目缺失","√")))))))))))))</f>
        <v/>
      </c>
      <c r="N154" s="48" t="str">
        <f aca="false">IF($B154="","",IF($D154="收入",N($K154),N($L154)))</f>
        <v/>
      </c>
      <c r="O154" s="49" t="str">
        <f aca="false">IF($B154="","",IF($D154="收入",$T154,IF($D154="转账",$U154,$S154)))</f>
        <v/>
      </c>
      <c r="P154" s="49" t="str">
        <f aca="false">IF($B154="","",IF($D154="收入",$S154,$T154))</f>
        <v/>
      </c>
      <c r="Q154" s="50" t="str">
        <f aca="false">IF($E154="","",IF($D154="转账","—",IFERROR(INDEX(科目参数!$P$6:$P$85,MATCH($E154,科目参数!$M$6:$M$85,0)),"")))</f>
        <v/>
      </c>
      <c r="R154" s="48" t="str">
        <f aca="false">IF($B154="","",SUMIFS(期初数据!$B$6:$B$35,期初数据!$A$6:$A$35,$F154)+SUMIFS($N$5:$N154,$F$5:$F154,$F154,$D$5:$D154,"收入")-SUMIFS($N$5:$N154,$F$5:$F154,$F154,$D$5:$D154,"支出")-SUMIFS($N$5:$N154,$F$5:$F154,$F154,$D$5:$D154,"转账")+SUMIFS($N$5:$N154,$G$5:$G154,$F154,$D$5:$D154,"转账"))</f>
        <v/>
      </c>
      <c r="S154" s="49" t="str">
        <f aca="false">IF($E154="","",IFERROR(INDEX(科目参数!$N$6:$N$85,MATCH($E154,科目参数!$M$6:$M$85,0)),""))</f>
        <v/>
      </c>
      <c r="T154" s="49" t="str">
        <f aca="false">IF($F154="","",IFERROR(INDEX(基础资料!$C$6:$C$35,MATCH($F154,基础资料!$A$6:$A$35,0)),""))</f>
        <v/>
      </c>
      <c r="U154" s="49" t="str">
        <f aca="false">IF($G154="","",IFERROR(INDEX(基础资料!$C$6:$C$35,MATCH($G154,基础资料!$A$6:$A$35,0)),""))</f>
        <v/>
      </c>
      <c r="V154" s="49" t="str">
        <f aca="false">IF(AND($G154=客户对账单!$B$3,$E154="客户回款",$B154&gt;=客户对账单!$E$3,$B154&lt;=客户对账单!$H$3),COUNTIFS($G$5:$G154,客户对账单!$B$3,$E$5:$E154,"客户回款",$B$5:$B154,"&gt;="&amp;客户对账单!$E$3,$B$5:$B154,"&lt;="&amp;客户对账单!$H$3),"")</f>
        <v/>
      </c>
      <c r="W154" s="49" t="str">
        <f aca="false">IF(AND($G154=供应商对账单!$B$3,$E154="供应商付款",$B154&gt;=供应商对账单!$E$3,$B154&lt;=供应商对账单!$H$3),COUNTIFS($G$5:$G154,供应商对账单!$B$3,$E$5:$E154,"供应商付款",$B$5:$B154,"&gt;="&amp;供应商对账单!$E$3,$B$5:$B154,"&lt;="&amp;供应商对账单!$H$3),"")</f>
        <v/>
      </c>
    </row>
    <row r="155" customFormat="false" ht="15.75" hidden="false" customHeight="true" outlineLevel="0" collapsed="false">
      <c r="A155" s="42" t="str">
        <f aca="false">IF($B155="","","ZJ"&amp;TEXT($B155,"yyyymm")&amp;"-"&amp;TEXT(ROW()-4,"000"))</f>
        <v/>
      </c>
      <c r="B155" s="41"/>
      <c r="C155" s="42" t="str">
        <f aca="false">IF($B155="","",TEXT($B155,"yyyy-mm"))</f>
        <v/>
      </c>
      <c r="D155" s="42" t="str">
        <f aca="false">IF($E155="","",IFERROR(INDEX(科目参数!$L$6:$L$85,MATCH($E155,科目参数!$M$6:$M$85,0)),"⚠"))</f>
        <v/>
      </c>
      <c r="E155" s="33"/>
      <c r="F155" s="33"/>
      <c r="G155" s="36"/>
      <c r="H155" s="33"/>
      <c r="I155" s="33"/>
      <c r="J155" s="36"/>
      <c r="K155" s="40"/>
      <c r="L155" s="40"/>
      <c r="M155" s="47" t="str">
        <f aca="false">IF($B155="","",IF(NOT(ISNUMBER($B155)),"日期不是日期格式",IF(YEAR($B155)&lt;&gt;首页!$B$3,"不在会计年度",IF($E155="","未选收支科目",IF($D155="⚠","收支科目不存在",IF($F155="","未选账户",IF($T155="","账户未设资金科目",IF(AND($D155="转账",$U155=""),"转入账户无效",IF(AND(N($K155)&gt;0,N($L155)&gt;0),"收支不能同时填",IF(AND($D155="收入",N($K155)&lt;=0),"收入金额须大于0",IF(AND($D155&lt;&gt;"收入",N($L155)&lt;=0),"支出金额须大于0",IF($O155="","借方科目缺失",IF($P155="","贷方科目缺失","√")))))))))))))</f>
        <v/>
      </c>
      <c r="N155" s="48" t="str">
        <f aca="false">IF($B155="","",IF($D155="收入",N($K155),N($L155)))</f>
        <v/>
      </c>
      <c r="O155" s="49" t="str">
        <f aca="false">IF($B155="","",IF($D155="收入",$T155,IF($D155="转账",$U155,$S155)))</f>
        <v/>
      </c>
      <c r="P155" s="49" t="str">
        <f aca="false">IF($B155="","",IF($D155="收入",$S155,$T155))</f>
        <v/>
      </c>
      <c r="Q155" s="50" t="str">
        <f aca="false">IF($E155="","",IF($D155="转账","—",IFERROR(INDEX(科目参数!$P$6:$P$85,MATCH($E155,科目参数!$M$6:$M$85,0)),"")))</f>
        <v/>
      </c>
      <c r="R155" s="48" t="str">
        <f aca="false">IF($B155="","",SUMIFS(期初数据!$B$6:$B$35,期初数据!$A$6:$A$35,$F155)+SUMIFS($N$5:$N155,$F$5:$F155,$F155,$D$5:$D155,"收入")-SUMIFS($N$5:$N155,$F$5:$F155,$F155,$D$5:$D155,"支出")-SUMIFS($N$5:$N155,$F$5:$F155,$F155,$D$5:$D155,"转账")+SUMIFS($N$5:$N155,$G$5:$G155,$F155,$D$5:$D155,"转账"))</f>
        <v/>
      </c>
      <c r="S155" s="49" t="str">
        <f aca="false">IF($E155="","",IFERROR(INDEX(科目参数!$N$6:$N$85,MATCH($E155,科目参数!$M$6:$M$85,0)),""))</f>
        <v/>
      </c>
      <c r="T155" s="49" t="str">
        <f aca="false">IF($F155="","",IFERROR(INDEX(基础资料!$C$6:$C$35,MATCH($F155,基础资料!$A$6:$A$35,0)),""))</f>
        <v/>
      </c>
      <c r="U155" s="49" t="str">
        <f aca="false">IF($G155="","",IFERROR(INDEX(基础资料!$C$6:$C$35,MATCH($G155,基础资料!$A$6:$A$35,0)),""))</f>
        <v/>
      </c>
      <c r="V155" s="49" t="str">
        <f aca="false">IF(AND($G155=客户对账单!$B$3,$E155="客户回款",$B155&gt;=客户对账单!$E$3,$B155&lt;=客户对账单!$H$3),COUNTIFS($G$5:$G155,客户对账单!$B$3,$E$5:$E155,"客户回款",$B$5:$B155,"&gt;="&amp;客户对账单!$E$3,$B$5:$B155,"&lt;="&amp;客户对账单!$H$3),"")</f>
        <v/>
      </c>
      <c r="W155" s="49" t="str">
        <f aca="false">IF(AND($G155=供应商对账单!$B$3,$E155="供应商付款",$B155&gt;=供应商对账单!$E$3,$B155&lt;=供应商对账单!$H$3),COUNTIFS($G$5:$G155,供应商对账单!$B$3,$E$5:$E155,"供应商付款",$B$5:$B155,"&gt;="&amp;供应商对账单!$E$3,$B$5:$B155,"&lt;="&amp;供应商对账单!$H$3),"")</f>
        <v/>
      </c>
    </row>
    <row r="156" customFormat="false" ht="15.75" hidden="false" customHeight="true" outlineLevel="0" collapsed="false">
      <c r="A156" s="42" t="str">
        <f aca="false">IF($B156="","","ZJ"&amp;TEXT($B156,"yyyymm")&amp;"-"&amp;TEXT(ROW()-4,"000"))</f>
        <v/>
      </c>
      <c r="B156" s="41"/>
      <c r="C156" s="42" t="str">
        <f aca="false">IF($B156="","",TEXT($B156,"yyyy-mm"))</f>
        <v/>
      </c>
      <c r="D156" s="42" t="str">
        <f aca="false">IF($E156="","",IFERROR(INDEX(科目参数!$L$6:$L$85,MATCH($E156,科目参数!$M$6:$M$85,0)),"⚠"))</f>
        <v/>
      </c>
      <c r="E156" s="33"/>
      <c r="F156" s="33"/>
      <c r="G156" s="36"/>
      <c r="H156" s="33"/>
      <c r="I156" s="33"/>
      <c r="J156" s="36"/>
      <c r="K156" s="40"/>
      <c r="L156" s="40"/>
      <c r="M156" s="47" t="str">
        <f aca="false">IF($B156="","",IF(NOT(ISNUMBER($B156)),"日期不是日期格式",IF(YEAR($B156)&lt;&gt;首页!$B$3,"不在会计年度",IF($E156="","未选收支科目",IF($D156="⚠","收支科目不存在",IF($F156="","未选账户",IF($T156="","账户未设资金科目",IF(AND($D156="转账",$U156=""),"转入账户无效",IF(AND(N($K156)&gt;0,N($L156)&gt;0),"收支不能同时填",IF(AND($D156="收入",N($K156)&lt;=0),"收入金额须大于0",IF(AND($D156&lt;&gt;"收入",N($L156)&lt;=0),"支出金额须大于0",IF($O156="","借方科目缺失",IF($P156="","贷方科目缺失","√")))))))))))))</f>
        <v/>
      </c>
      <c r="N156" s="48" t="str">
        <f aca="false">IF($B156="","",IF($D156="收入",N($K156),N($L156)))</f>
        <v/>
      </c>
      <c r="O156" s="49" t="str">
        <f aca="false">IF($B156="","",IF($D156="收入",$T156,IF($D156="转账",$U156,$S156)))</f>
        <v/>
      </c>
      <c r="P156" s="49" t="str">
        <f aca="false">IF($B156="","",IF($D156="收入",$S156,$T156))</f>
        <v/>
      </c>
      <c r="Q156" s="50" t="str">
        <f aca="false">IF($E156="","",IF($D156="转账","—",IFERROR(INDEX(科目参数!$P$6:$P$85,MATCH($E156,科目参数!$M$6:$M$85,0)),"")))</f>
        <v/>
      </c>
      <c r="R156" s="48" t="str">
        <f aca="false">IF($B156="","",SUMIFS(期初数据!$B$6:$B$35,期初数据!$A$6:$A$35,$F156)+SUMIFS($N$5:$N156,$F$5:$F156,$F156,$D$5:$D156,"收入")-SUMIFS($N$5:$N156,$F$5:$F156,$F156,$D$5:$D156,"支出")-SUMIFS($N$5:$N156,$F$5:$F156,$F156,$D$5:$D156,"转账")+SUMIFS($N$5:$N156,$G$5:$G156,$F156,$D$5:$D156,"转账"))</f>
        <v/>
      </c>
      <c r="S156" s="49" t="str">
        <f aca="false">IF($E156="","",IFERROR(INDEX(科目参数!$N$6:$N$85,MATCH($E156,科目参数!$M$6:$M$85,0)),""))</f>
        <v/>
      </c>
      <c r="T156" s="49" t="str">
        <f aca="false">IF($F156="","",IFERROR(INDEX(基础资料!$C$6:$C$35,MATCH($F156,基础资料!$A$6:$A$35,0)),""))</f>
        <v/>
      </c>
      <c r="U156" s="49" t="str">
        <f aca="false">IF($G156="","",IFERROR(INDEX(基础资料!$C$6:$C$35,MATCH($G156,基础资料!$A$6:$A$35,0)),""))</f>
        <v/>
      </c>
      <c r="V156" s="49" t="str">
        <f aca="false">IF(AND($G156=客户对账单!$B$3,$E156="客户回款",$B156&gt;=客户对账单!$E$3,$B156&lt;=客户对账单!$H$3),COUNTIFS($G$5:$G156,客户对账单!$B$3,$E$5:$E156,"客户回款",$B$5:$B156,"&gt;="&amp;客户对账单!$E$3,$B$5:$B156,"&lt;="&amp;客户对账单!$H$3),"")</f>
        <v/>
      </c>
      <c r="W156" s="49" t="str">
        <f aca="false">IF(AND($G156=供应商对账单!$B$3,$E156="供应商付款",$B156&gt;=供应商对账单!$E$3,$B156&lt;=供应商对账单!$H$3),COUNTIFS($G$5:$G156,供应商对账单!$B$3,$E$5:$E156,"供应商付款",$B$5:$B156,"&gt;="&amp;供应商对账单!$E$3,$B$5:$B156,"&lt;="&amp;供应商对账单!$H$3),"")</f>
        <v/>
      </c>
    </row>
    <row r="157" customFormat="false" ht="15.75" hidden="false" customHeight="true" outlineLevel="0" collapsed="false">
      <c r="A157" s="42" t="str">
        <f aca="false">IF($B157="","","ZJ"&amp;TEXT($B157,"yyyymm")&amp;"-"&amp;TEXT(ROW()-4,"000"))</f>
        <v/>
      </c>
      <c r="B157" s="41"/>
      <c r="C157" s="42" t="str">
        <f aca="false">IF($B157="","",TEXT($B157,"yyyy-mm"))</f>
        <v/>
      </c>
      <c r="D157" s="42" t="str">
        <f aca="false">IF($E157="","",IFERROR(INDEX(科目参数!$L$6:$L$85,MATCH($E157,科目参数!$M$6:$M$85,0)),"⚠"))</f>
        <v/>
      </c>
      <c r="E157" s="33"/>
      <c r="F157" s="33"/>
      <c r="G157" s="36"/>
      <c r="H157" s="33"/>
      <c r="I157" s="33"/>
      <c r="J157" s="36"/>
      <c r="K157" s="40"/>
      <c r="L157" s="40"/>
      <c r="M157" s="47" t="str">
        <f aca="false">IF($B157="","",IF(NOT(ISNUMBER($B157)),"日期不是日期格式",IF(YEAR($B157)&lt;&gt;首页!$B$3,"不在会计年度",IF($E157="","未选收支科目",IF($D157="⚠","收支科目不存在",IF($F157="","未选账户",IF($T157="","账户未设资金科目",IF(AND($D157="转账",$U157=""),"转入账户无效",IF(AND(N($K157)&gt;0,N($L157)&gt;0),"收支不能同时填",IF(AND($D157="收入",N($K157)&lt;=0),"收入金额须大于0",IF(AND($D157&lt;&gt;"收入",N($L157)&lt;=0),"支出金额须大于0",IF($O157="","借方科目缺失",IF($P157="","贷方科目缺失","√")))))))))))))</f>
        <v/>
      </c>
      <c r="N157" s="48" t="str">
        <f aca="false">IF($B157="","",IF($D157="收入",N($K157),N($L157)))</f>
        <v/>
      </c>
      <c r="O157" s="49" t="str">
        <f aca="false">IF($B157="","",IF($D157="收入",$T157,IF($D157="转账",$U157,$S157)))</f>
        <v/>
      </c>
      <c r="P157" s="49" t="str">
        <f aca="false">IF($B157="","",IF($D157="收入",$S157,$T157))</f>
        <v/>
      </c>
      <c r="Q157" s="50" t="str">
        <f aca="false">IF($E157="","",IF($D157="转账","—",IFERROR(INDEX(科目参数!$P$6:$P$85,MATCH($E157,科目参数!$M$6:$M$85,0)),"")))</f>
        <v/>
      </c>
      <c r="R157" s="48" t="str">
        <f aca="false">IF($B157="","",SUMIFS(期初数据!$B$6:$B$35,期初数据!$A$6:$A$35,$F157)+SUMIFS($N$5:$N157,$F$5:$F157,$F157,$D$5:$D157,"收入")-SUMIFS($N$5:$N157,$F$5:$F157,$F157,$D$5:$D157,"支出")-SUMIFS($N$5:$N157,$F$5:$F157,$F157,$D$5:$D157,"转账")+SUMIFS($N$5:$N157,$G$5:$G157,$F157,$D$5:$D157,"转账"))</f>
        <v/>
      </c>
      <c r="S157" s="49" t="str">
        <f aca="false">IF($E157="","",IFERROR(INDEX(科目参数!$N$6:$N$85,MATCH($E157,科目参数!$M$6:$M$85,0)),""))</f>
        <v/>
      </c>
      <c r="T157" s="49" t="str">
        <f aca="false">IF($F157="","",IFERROR(INDEX(基础资料!$C$6:$C$35,MATCH($F157,基础资料!$A$6:$A$35,0)),""))</f>
        <v/>
      </c>
      <c r="U157" s="49" t="str">
        <f aca="false">IF($G157="","",IFERROR(INDEX(基础资料!$C$6:$C$35,MATCH($G157,基础资料!$A$6:$A$35,0)),""))</f>
        <v/>
      </c>
      <c r="V157" s="49" t="str">
        <f aca="false">IF(AND($G157=客户对账单!$B$3,$E157="客户回款",$B157&gt;=客户对账单!$E$3,$B157&lt;=客户对账单!$H$3),COUNTIFS($G$5:$G157,客户对账单!$B$3,$E$5:$E157,"客户回款",$B$5:$B157,"&gt;="&amp;客户对账单!$E$3,$B$5:$B157,"&lt;="&amp;客户对账单!$H$3),"")</f>
        <v/>
      </c>
      <c r="W157" s="49" t="str">
        <f aca="false">IF(AND($G157=供应商对账单!$B$3,$E157="供应商付款",$B157&gt;=供应商对账单!$E$3,$B157&lt;=供应商对账单!$H$3),COUNTIFS($G$5:$G157,供应商对账单!$B$3,$E$5:$E157,"供应商付款",$B$5:$B157,"&gt;="&amp;供应商对账单!$E$3,$B$5:$B157,"&lt;="&amp;供应商对账单!$H$3),"")</f>
        <v/>
      </c>
    </row>
    <row r="158" customFormat="false" ht="15.75" hidden="false" customHeight="true" outlineLevel="0" collapsed="false">
      <c r="A158" s="42" t="str">
        <f aca="false">IF($B158="","","ZJ"&amp;TEXT($B158,"yyyymm")&amp;"-"&amp;TEXT(ROW()-4,"000"))</f>
        <v/>
      </c>
      <c r="B158" s="41"/>
      <c r="C158" s="42" t="str">
        <f aca="false">IF($B158="","",TEXT($B158,"yyyy-mm"))</f>
        <v/>
      </c>
      <c r="D158" s="42" t="str">
        <f aca="false">IF($E158="","",IFERROR(INDEX(科目参数!$L$6:$L$85,MATCH($E158,科目参数!$M$6:$M$85,0)),"⚠"))</f>
        <v/>
      </c>
      <c r="E158" s="33"/>
      <c r="F158" s="33"/>
      <c r="G158" s="36"/>
      <c r="H158" s="33"/>
      <c r="I158" s="33"/>
      <c r="J158" s="36"/>
      <c r="K158" s="40"/>
      <c r="L158" s="40"/>
      <c r="M158" s="47" t="str">
        <f aca="false">IF($B158="","",IF(NOT(ISNUMBER($B158)),"日期不是日期格式",IF(YEAR($B158)&lt;&gt;首页!$B$3,"不在会计年度",IF($E158="","未选收支科目",IF($D158="⚠","收支科目不存在",IF($F158="","未选账户",IF($T158="","账户未设资金科目",IF(AND($D158="转账",$U158=""),"转入账户无效",IF(AND(N($K158)&gt;0,N($L158)&gt;0),"收支不能同时填",IF(AND($D158="收入",N($K158)&lt;=0),"收入金额须大于0",IF(AND($D158&lt;&gt;"收入",N($L158)&lt;=0),"支出金额须大于0",IF($O158="","借方科目缺失",IF($P158="","贷方科目缺失","√")))))))))))))</f>
        <v/>
      </c>
      <c r="N158" s="48" t="str">
        <f aca="false">IF($B158="","",IF($D158="收入",N($K158),N($L158)))</f>
        <v/>
      </c>
      <c r="O158" s="49" t="str">
        <f aca="false">IF($B158="","",IF($D158="收入",$T158,IF($D158="转账",$U158,$S158)))</f>
        <v/>
      </c>
      <c r="P158" s="49" t="str">
        <f aca="false">IF($B158="","",IF($D158="收入",$S158,$T158))</f>
        <v/>
      </c>
      <c r="Q158" s="50" t="str">
        <f aca="false">IF($E158="","",IF($D158="转账","—",IFERROR(INDEX(科目参数!$P$6:$P$85,MATCH($E158,科目参数!$M$6:$M$85,0)),"")))</f>
        <v/>
      </c>
      <c r="R158" s="48" t="str">
        <f aca="false">IF($B158="","",SUMIFS(期初数据!$B$6:$B$35,期初数据!$A$6:$A$35,$F158)+SUMIFS($N$5:$N158,$F$5:$F158,$F158,$D$5:$D158,"收入")-SUMIFS($N$5:$N158,$F$5:$F158,$F158,$D$5:$D158,"支出")-SUMIFS($N$5:$N158,$F$5:$F158,$F158,$D$5:$D158,"转账")+SUMIFS($N$5:$N158,$G$5:$G158,$F158,$D$5:$D158,"转账"))</f>
        <v/>
      </c>
      <c r="S158" s="49" t="str">
        <f aca="false">IF($E158="","",IFERROR(INDEX(科目参数!$N$6:$N$85,MATCH($E158,科目参数!$M$6:$M$85,0)),""))</f>
        <v/>
      </c>
      <c r="T158" s="49" t="str">
        <f aca="false">IF($F158="","",IFERROR(INDEX(基础资料!$C$6:$C$35,MATCH($F158,基础资料!$A$6:$A$35,0)),""))</f>
        <v/>
      </c>
      <c r="U158" s="49" t="str">
        <f aca="false">IF($G158="","",IFERROR(INDEX(基础资料!$C$6:$C$35,MATCH($G158,基础资料!$A$6:$A$35,0)),""))</f>
        <v/>
      </c>
      <c r="V158" s="49" t="str">
        <f aca="false">IF(AND($G158=客户对账单!$B$3,$E158="客户回款",$B158&gt;=客户对账单!$E$3,$B158&lt;=客户对账单!$H$3),COUNTIFS($G$5:$G158,客户对账单!$B$3,$E$5:$E158,"客户回款",$B$5:$B158,"&gt;="&amp;客户对账单!$E$3,$B$5:$B158,"&lt;="&amp;客户对账单!$H$3),"")</f>
        <v/>
      </c>
      <c r="W158" s="49" t="str">
        <f aca="false">IF(AND($G158=供应商对账单!$B$3,$E158="供应商付款",$B158&gt;=供应商对账单!$E$3,$B158&lt;=供应商对账单!$H$3),COUNTIFS($G$5:$G158,供应商对账单!$B$3,$E$5:$E158,"供应商付款",$B$5:$B158,"&gt;="&amp;供应商对账单!$E$3,$B$5:$B158,"&lt;="&amp;供应商对账单!$H$3),"")</f>
        <v/>
      </c>
    </row>
    <row r="159" customFormat="false" ht="15.75" hidden="false" customHeight="true" outlineLevel="0" collapsed="false">
      <c r="A159" s="42" t="str">
        <f aca="false">IF($B159="","","ZJ"&amp;TEXT($B159,"yyyymm")&amp;"-"&amp;TEXT(ROW()-4,"000"))</f>
        <v/>
      </c>
      <c r="B159" s="41"/>
      <c r="C159" s="42" t="str">
        <f aca="false">IF($B159="","",TEXT($B159,"yyyy-mm"))</f>
        <v/>
      </c>
      <c r="D159" s="42" t="str">
        <f aca="false">IF($E159="","",IFERROR(INDEX(科目参数!$L$6:$L$85,MATCH($E159,科目参数!$M$6:$M$85,0)),"⚠"))</f>
        <v/>
      </c>
      <c r="E159" s="33"/>
      <c r="F159" s="33"/>
      <c r="G159" s="36"/>
      <c r="H159" s="33"/>
      <c r="I159" s="33"/>
      <c r="J159" s="36"/>
      <c r="K159" s="40"/>
      <c r="L159" s="40"/>
      <c r="M159" s="47" t="str">
        <f aca="false">IF($B159="","",IF(NOT(ISNUMBER($B159)),"日期不是日期格式",IF(YEAR($B159)&lt;&gt;首页!$B$3,"不在会计年度",IF($E159="","未选收支科目",IF($D159="⚠","收支科目不存在",IF($F159="","未选账户",IF($T159="","账户未设资金科目",IF(AND($D159="转账",$U159=""),"转入账户无效",IF(AND(N($K159)&gt;0,N($L159)&gt;0),"收支不能同时填",IF(AND($D159="收入",N($K159)&lt;=0),"收入金额须大于0",IF(AND($D159&lt;&gt;"收入",N($L159)&lt;=0),"支出金额须大于0",IF($O159="","借方科目缺失",IF($P159="","贷方科目缺失","√")))))))))))))</f>
        <v/>
      </c>
      <c r="N159" s="48" t="str">
        <f aca="false">IF($B159="","",IF($D159="收入",N($K159),N($L159)))</f>
        <v/>
      </c>
      <c r="O159" s="49" t="str">
        <f aca="false">IF($B159="","",IF($D159="收入",$T159,IF($D159="转账",$U159,$S159)))</f>
        <v/>
      </c>
      <c r="P159" s="49" t="str">
        <f aca="false">IF($B159="","",IF($D159="收入",$S159,$T159))</f>
        <v/>
      </c>
      <c r="Q159" s="50" t="str">
        <f aca="false">IF($E159="","",IF($D159="转账","—",IFERROR(INDEX(科目参数!$P$6:$P$85,MATCH($E159,科目参数!$M$6:$M$85,0)),"")))</f>
        <v/>
      </c>
      <c r="R159" s="48" t="str">
        <f aca="false">IF($B159="","",SUMIFS(期初数据!$B$6:$B$35,期初数据!$A$6:$A$35,$F159)+SUMIFS($N$5:$N159,$F$5:$F159,$F159,$D$5:$D159,"收入")-SUMIFS($N$5:$N159,$F$5:$F159,$F159,$D$5:$D159,"支出")-SUMIFS($N$5:$N159,$F$5:$F159,$F159,$D$5:$D159,"转账")+SUMIFS($N$5:$N159,$G$5:$G159,$F159,$D$5:$D159,"转账"))</f>
        <v/>
      </c>
      <c r="S159" s="49" t="str">
        <f aca="false">IF($E159="","",IFERROR(INDEX(科目参数!$N$6:$N$85,MATCH($E159,科目参数!$M$6:$M$85,0)),""))</f>
        <v/>
      </c>
      <c r="T159" s="49" t="str">
        <f aca="false">IF($F159="","",IFERROR(INDEX(基础资料!$C$6:$C$35,MATCH($F159,基础资料!$A$6:$A$35,0)),""))</f>
        <v/>
      </c>
      <c r="U159" s="49" t="str">
        <f aca="false">IF($G159="","",IFERROR(INDEX(基础资料!$C$6:$C$35,MATCH($G159,基础资料!$A$6:$A$35,0)),""))</f>
        <v/>
      </c>
      <c r="V159" s="49" t="str">
        <f aca="false">IF(AND($G159=客户对账单!$B$3,$E159="客户回款",$B159&gt;=客户对账单!$E$3,$B159&lt;=客户对账单!$H$3),COUNTIFS($G$5:$G159,客户对账单!$B$3,$E$5:$E159,"客户回款",$B$5:$B159,"&gt;="&amp;客户对账单!$E$3,$B$5:$B159,"&lt;="&amp;客户对账单!$H$3),"")</f>
        <v/>
      </c>
      <c r="W159" s="49" t="str">
        <f aca="false">IF(AND($G159=供应商对账单!$B$3,$E159="供应商付款",$B159&gt;=供应商对账单!$E$3,$B159&lt;=供应商对账单!$H$3),COUNTIFS($G$5:$G159,供应商对账单!$B$3,$E$5:$E159,"供应商付款",$B$5:$B159,"&gt;="&amp;供应商对账单!$E$3,$B$5:$B159,"&lt;="&amp;供应商对账单!$H$3),"")</f>
        <v/>
      </c>
    </row>
    <row r="160" customFormat="false" ht="15.75" hidden="false" customHeight="true" outlineLevel="0" collapsed="false">
      <c r="A160" s="42" t="str">
        <f aca="false">IF($B160="","","ZJ"&amp;TEXT($B160,"yyyymm")&amp;"-"&amp;TEXT(ROW()-4,"000"))</f>
        <v/>
      </c>
      <c r="B160" s="41"/>
      <c r="C160" s="42" t="str">
        <f aca="false">IF($B160="","",TEXT($B160,"yyyy-mm"))</f>
        <v/>
      </c>
      <c r="D160" s="42" t="str">
        <f aca="false">IF($E160="","",IFERROR(INDEX(科目参数!$L$6:$L$85,MATCH($E160,科目参数!$M$6:$M$85,0)),"⚠"))</f>
        <v/>
      </c>
      <c r="E160" s="33"/>
      <c r="F160" s="33"/>
      <c r="G160" s="36"/>
      <c r="H160" s="33"/>
      <c r="I160" s="33"/>
      <c r="J160" s="36"/>
      <c r="K160" s="40"/>
      <c r="L160" s="40"/>
      <c r="M160" s="47" t="str">
        <f aca="false">IF($B160="","",IF(NOT(ISNUMBER($B160)),"日期不是日期格式",IF(YEAR($B160)&lt;&gt;首页!$B$3,"不在会计年度",IF($E160="","未选收支科目",IF($D160="⚠","收支科目不存在",IF($F160="","未选账户",IF($T160="","账户未设资金科目",IF(AND($D160="转账",$U160=""),"转入账户无效",IF(AND(N($K160)&gt;0,N($L160)&gt;0),"收支不能同时填",IF(AND($D160="收入",N($K160)&lt;=0),"收入金额须大于0",IF(AND($D160&lt;&gt;"收入",N($L160)&lt;=0),"支出金额须大于0",IF($O160="","借方科目缺失",IF($P160="","贷方科目缺失","√")))))))))))))</f>
        <v/>
      </c>
      <c r="N160" s="48" t="str">
        <f aca="false">IF($B160="","",IF($D160="收入",N($K160),N($L160)))</f>
        <v/>
      </c>
      <c r="O160" s="49" t="str">
        <f aca="false">IF($B160="","",IF($D160="收入",$T160,IF($D160="转账",$U160,$S160)))</f>
        <v/>
      </c>
      <c r="P160" s="49" t="str">
        <f aca="false">IF($B160="","",IF($D160="收入",$S160,$T160))</f>
        <v/>
      </c>
      <c r="Q160" s="50" t="str">
        <f aca="false">IF($E160="","",IF($D160="转账","—",IFERROR(INDEX(科目参数!$P$6:$P$85,MATCH($E160,科目参数!$M$6:$M$85,0)),"")))</f>
        <v/>
      </c>
      <c r="R160" s="48" t="str">
        <f aca="false">IF($B160="","",SUMIFS(期初数据!$B$6:$B$35,期初数据!$A$6:$A$35,$F160)+SUMIFS($N$5:$N160,$F$5:$F160,$F160,$D$5:$D160,"收入")-SUMIFS($N$5:$N160,$F$5:$F160,$F160,$D$5:$D160,"支出")-SUMIFS($N$5:$N160,$F$5:$F160,$F160,$D$5:$D160,"转账")+SUMIFS($N$5:$N160,$G$5:$G160,$F160,$D$5:$D160,"转账"))</f>
        <v/>
      </c>
      <c r="S160" s="49" t="str">
        <f aca="false">IF($E160="","",IFERROR(INDEX(科目参数!$N$6:$N$85,MATCH($E160,科目参数!$M$6:$M$85,0)),""))</f>
        <v/>
      </c>
      <c r="T160" s="49" t="str">
        <f aca="false">IF($F160="","",IFERROR(INDEX(基础资料!$C$6:$C$35,MATCH($F160,基础资料!$A$6:$A$35,0)),""))</f>
        <v/>
      </c>
      <c r="U160" s="49" t="str">
        <f aca="false">IF($G160="","",IFERROR(INDEX(基础资料!$C$6:$C$35,MATCH($G160,基础资料!$A$6:$A$35,0)),""))</f>
        <v/>
      </c>
      <c r="V160" s="49" t="str">
        <f aca="false">IF(AND($G160=客户对账单!$B$3,$E160="客户回款",$B160&gt;=客户对账单!$E$3,$B160&lt;=客户对账单!$H$3),COUNTIFS($G$5:$G160,客户对账单!$B$3,$E$5:$E160,"客户回款",$B$5:$B160,"&gt;="&amp;客户对账单!$E$3,$B$5:$B160,"&lt;="&amp;客户对账单!$H$3),"")</f>
        <v/>
      </c>
      <c r="W160" s="49" t="str">
        <f aca="false">IF(AND($G160=供应商对账单!$B$3,$E160="供应商付款",$B160&gt;=供应商对账单!$E$3,$B160&lt;=供应商对账单!$H$3),COUNTIFS($G$5:$G160,供应商对账单!$B$3,$E$5:$E160,"供应商付款",$B$5:$B160,"&gt;="&amp;供应商对账单!$E$3,$B$5:$B160,"&lt;="&amp;供应商对账单!$H$3),"")</f>
        <v/>
      </c>
    </row>
    <row r="161" customFormat="false" ht="15.75" hidden="false" customHeight="true" outlineLevel="0" collapsed="false">
      <c r="A161" s="42" t="str">
        <f aca="false">IF($B161="","","ZJ"&amp;TEXT($B161,"yyyymm")&amp;"-"&amp;TEXT(ROW()-4,"000"))</f>
        <v/>
      </c>
      <c r="B161" s="41"/>
      <c r="C161" s="42" t="str">
        <f aca="false">IF($B161="","",TEXT($B161,"yyyy-mm"))</f>
        <v/>
      </c>
      <c r="D161" s="42" t="str">
        <f aca="false">IF($E161="","",IFERROR(INDEX(科目参数!$L$6:$L$85,MATCH($E161,科目参数!$M$6:$M$85,0)),"⚠"))</f>
        <v/>
      </c>
      <c r="E161" s="33"/>
      <c r="F161" s="33"/>
      <c r="G161" s="36"/>
      <c r="H161" s="33"/>
      <c r="I161" s="33"/>
      <c r="J161" s="36"/>
      <c r="K161" s="40"/>
      <c r="L161" s="40"/>
      <c r="M161" s="47" t="str">
        <f aca="false">IF($B161="","",IF(NOT(ISNUMBER($B161)),"日期不是日期格式",IF(YEAR($B161)&lt;&gt;首页!$B$3,"不在会计年度",IF($E161="","未选收支科目",IF($D161="⚠","收支科目不存在",IF($F161="","未选账户",IF($T161="","账户未设资金科目",IF(AND($D161="转账",$U161=""),"转入账户无效",IF(AND(N($K161)&gt;0,N($L161)&gt;0),"收支不能同时填",IF(AND($D161="收入",N($K161)&lt;=0),"收入金额须大于0",IF(AND($D161&lt;&gt;"收入",N($L161)&lt;=0),"支出金额须大于0",IF($O161="","借方科目缺失",IF($P161="","贷方科目缺失","√")))))))))))))</f>
        <v/>
      </c>
      <c r="N161" s="48" t="str">
        <f aca="false">IF($B161="","",IF($D161="收入",N($K161),N($L161)))</f>
        <v/>
      </c>
      <c r="O161" s="49" t="str">
        <f aca="false">IF($B161="","",IF($D161="收入",$T161,IF($D161="转账",$U161,$S161)))</f>
        <v/>
      </c>
      <c r="P161" s="49" t="str">
        <f aca="false">IF($B161="","",IF($D161="收入",$S161,$T161))</f>
        <v/>
      </c>
      <c r="Q161" s="50" t="str">
        <f aca="false">IF($E161="","",IF($D161="转账","—",IFERROR(INDEX(科目参数!$P$6:$P$85,MATCH($E161,科目参数!$M$6:$M$85,0)),"")))</f>
        <v/>
      </c>
      <c r="R161" s="48" t="str">
        <f aca="false">IF($B161="","",SUMIFS(期初数据!$B$6:$B$35,期初数据!$A$6:$A$35,$F161)+SUMIFS($N$5:$N161,$F$5:$F161,$F161,$D$5:$D161,"收入")-SUMIFS($N$5:$N161,$F$5:$F161,$F161,$D$5:$D161,"支出")-SUMIFS($N$5:$N161,$F$5:$F161,$F161,$D$5:$D161,"转账")+SUMIFS($N$5:$N161,$G$5:$G161,$F161,$D$5:$D161,"转账"))</f>
        <v/>
      </c>
      <c r="S161" s="49" t="str">
        <f aca="false">IF($E161="","",IFERROR(INDEX(科目参数!$N$6:$N$85,MATCH($E161,科目参数!$M$6:$M$85,0)),""))</f>
        <v/>
      </c>
      <c r="T161" s="49" t="str">
        <f aca="false">IF($F161="","",IFERROR(INDEX(基础资料!$C$6:$C$35,MATCH($F161,基础资料!$A$6:$A$35,0)),""))</f>
        <v/>
      </c>
      <c r="U161" s="49" t="str">
        <f aca="false">IF($G161="","",IFERROR(INDEX(基础资料!$C$6:$C$35,MATCH($G161,基础资料!$A$6:$A$35,0)),""))</f>
        <v/>
      </c>
      <c r="V161" s="49" t="str">
        <f aca="false">IF(AND($G161=客户对账单!$B$3,$E161="客户回款",$B161&gt;=客户对账单!$E$3,$B161&lt;=客户对账单!$H$3),COUNTIFS($G$5:$G161,客户对账单!$B$3,$E$5:$E161,"客户回款",$B$5:$B161,"&gt;="&amp;客户对账单!$E$3,$B$5:$B161,"&lt;="&amp;客户对账单!$H$3),"")</f>
        <v/>
      </c>
      <c r="W161" s="49" t="str">
        <f aca="false">IF(AND($G161=供应商对账单!$B$3,$E161="供应商付款",$B161&gt;=供应商对账单!$E$3,$B161&lt;=供应商对账单!$H$3),COUNTIFS($G$5:$G161,供应商对账单!$B$3,$E$5:$E161,"供应商付款",$B$5:$B161,"&gt;="&amp;供应商对账单!$E$3,$B$5:$B161,"&lt;="&amp;供应商对账单!$H$3),"")</f>
        <v/>
      </c>
    </row>
    <row r="162" customFormat="false" ht="15.75" hidden="false" customHeight="true" outlineLevel="0" collapsed="false">
      <c r="A162" s="42" t="str">
        <f aca="false">IF($B162="","","ZJ"&amp;TEXT($B162,"yyyymm")&amp;"-"&amp;TEXT(ROW()-4,"000"))</f>
        <v/>
      </c>
      <c r="B162" s="41"/>
      <c r="C162" s="42" t="str">
        <f aca="false">IF($B162="","",TEXT($B162,"yyyy-mm"))</f>
        <v/>
      </c>
      <c r="D162" s="42" t="str">
        <f aca="false">IF($E162="","",IFERROR(INDEX(科目参数!$L$6:$L$85,MATCH($E162,科目参数!$M$6:$M$85,0)),"⚠"))</f>
        <v/>
      </c>
      <c r="E162" s="33"/>
      <c r="F162" s="33"/>
      <c r="G162" s="36"/>
      <c r="H162" s="33"/>
      <c r="I162" s="33"/>
      <c r="J162" s="36"/>
      <c r="K162" s="40"/>
      <c r="L162" s="40"/>
      <c r="M162" s="47" t="str">
        <f aca="false">IF($B162="","",IF(NOT(ISNUMBER($B162)),"日期不是日期格式",IF(YEAR($B162)&lt;&gt;首页!$B$3,"不在会计年度",IF($E162="","未选收支科目",IF($D162="⚠","收支科目不存在",IF($F162="","未选账户",IF($T162="","账户未设资金科目",IF(AND($D162="转账",$U162=""),"转入账户无效",IF(AND(N($K162)&gt;0,N($L162)&gt;0),"收支不能同时填",IF(AND($D162="收入",N($K162)&lt;=0),"收入金额须大于0",IF(AND($D162&lt;&gt;"收入",N($L162)&lt;=0),"支出金额须大于0",IF($O162="","借方科目缺失",IF($P162="","贷方科目缺失","√")))))))))))))</f>
        <v/>
      </c>
      <c r="N162" s="48" t="str">
        <f aca="false">IF($B162="","",IF($D162="收入",N($K162),N($L162)))</f>
        <v/>
      </c>
      <c r="O162" s="49" t="str">
        <f aca="false">IF($B162="","",IF($D162="收入",$T162,IF($D162="转账",$U162,$S162)))</f>
        <v/>
      </c>
      <c r="P162" s="49" t="str">
        <f aca="false">IF($B162="","",IF($D162="收入",$S162,$T162))</f>
        <v/>
      </c>
      <c r="Q162" s="50" t="str">
        <f aca="false">IF($E162="","",IF($D162="转账","—",IFERROR(INDEX(科目参数!$P$6:$P$85,MATCH($E162,科目参数!$M$6:$M$85,0)),"")))</f>
        <v/>
      </c>
      <c r="R162" s="48" t="str">
        <f aca="false">IF($B162="","",SUMIFS(期初数据!$B$6:$B$35,期初数据!$A$6:$A$35,$F162)+SUMIFS($N$5:$N162,$F$5:$F162,$F162,$D$5:$D162,"收入")-SUMIFS($N$5:$N162,$F$5:$F162,$F162,$D$5:$D162,"支出")-SUMIFS($N$5:$N162,$F$5:$F162,$F162,$D$5:$D162,"转账")+SUMIFS($N$5:$N162,$G$5:$G162,$F162,$D$5:$D162,"转账"))</f>
        <v/>
      </c>
      <c r="S162" s="49" t="str">
        <f aca="false">IF($E162="","",IFERROR(INDEX(科目参数!$N$6:$N$85,MATCH($E162,科目参数!$M$6:$M$85,0)),""))</f>
        <v/>
      </c>
      <c r="T162" s="49" t="str">
        <f aca="false">IF($F162="","",IFERROR(INDEX(基础资料!$C$6:$C$35,MATCH($F162,基础资料!$A$6:$A$35,0)),""))</f>
        <v/>
      </c>
      <c r="U162" s="49" t="str">
        <f aca="false">IF($G162="","",IFERROR(INDEX(基础资料!$C$6:$C$35,MATCH($G162,基础资料!$A$6:$A$35,0)),""))</f>
        <v/>
      </c>
      <c r="V162" s="49" t="str">
        <f aca="false">IF(AND($G162=客户对账单!$B$3,$E162="客户回款",$B162&gt;=客户对账单!$E$3,$B162&lt;=客户对账单!$H$3),COUNTIFS($G$5:$G162,客户对账单!$B$3,$E$5:$E162,"客户回款",$B$5:$B162,"&gt;="&amp;客户对账单!$E$3,$B$5:$B162,"&lt;="&amp;客户对账单!$H$3),"")</f>
        <v/>
      </c>
      <c r="W162" s="49" t="str">
        <f aca="false">IF(AND($G162=供应商对账单!$B$3,$E162="供应商付款",$B162&gt;=供应商对账单!$E$3,$B162&lt;=供应商对账单!$H$3),COUNTIFS($G$5:$G162,供应商对账单!$B$3,$E$5:$E162,"供应商付款",$B$5:$B162,"&gt;="&amp;供应商对账单!$E$3,$B$5:$B162,"&lt;="&amp;供应商对账单!$H$3),"")</f>
        <v/>
      </c>
    </row>
    <row r="163" customFormat="false" ht="15.75" hidden="false" customHeight="true" outlineLevel="0" collapsed="false">
      <c r="A163" s="42" t="str">
        <f aca="false">IF($B163="","","ZJ"&amp;TEXT($B163,"yyyymm")&amp;"-"&amp;TEXT(ROW()-4,"000"))</f>
        <v/>
      </c>
      <c r="B163" s="41"/>
      <c r="C163" s="42" t="str">
        <f aca="false">IF($B163="","",TEXT($B163,"yyyy-mm"))</f>
        <v/>
      </c>
      <c r="D163" s="42" t="str">
        <f aca="false">IF($E163="","",IFERROR(INDEX(科目参数!$L$6:$L$85,MATCH($E163,科目参数!$M$6:$M$85,0)),"⚠"))</f>
        <v/>
      </c>
      <c r="E163" s="33"/>
      <c r="F163" s="33"/>
      <c r="G163" s="36"/>
      <c r="H163" s="33"/>
      <c r="I163" s="33"/>
      <c r="J163" s="36"/>
      <c r="K163" s="40"/>
      <c r="L163" s="40"/>
      <c r="M163" s="47" t="str">
        <f aca="false">IF($B163="","",IF(NOT(ISNUMBER($B163)),"日期不是日期格式",IF(YEAR($B163)&lt;&gt;首页!$B$3,"不在会计年度",IF($E163="","未选收支科目",IF($D163="⚠","收支科目不存在",IF($F163="","未选账户",IF($T163="","账户未设资金科目",IF(AND($D163="转账",$U163=""),"转入账户无效",IF(AND(N($K163)&gt;0,N($L163)&gt;0),"收支不能同时填",IF(AND($D163="收入",N($K163)&lt;=0),"收入金额须大于0",IF(AND($D163&lt;&gt;"收入",N($L163)&lt;=0),"支出金额须大于0",IF($O163="","借方科目缺失",IF($P163="","贷方科目缺失","√")))))))))))))</f>
        <v/>
      </c>
      <c r="N163" s="48" t="str">
        <f aca="false">IF($B163="","",IF($D163="收入",N($K163),N($L163)))</f>
        <v/>
      </c>
      <c r="O163" s="49" t="str">
        <f aca="false">IF($B163="","",IF($D163="收入",$T163,IF($D163="转账",$U163,$S163)))</f>
        <v/>
      </c>
      <c r="P163" s="49" t="str">
        <f aca="false">IF($B163="","",IF($D163="收入",$S163,$T163))</f>
        <v/>
      </c>
      <c r="Q163" s="50" t="str">
        <f aca="false">IF($E163="","",IF($D163="转账","—",IFERROR(INDEX(科目参数!$P$6:$P$85,MATCH($E163,科目参数!$M$6:$M$85,0)),"")))</f>
        <v/>
      </c>
      <c r="R163" s="48" t="str">
        <f aca="false">IF($B163="","",SUMIFS(期初数据!$B$6:$B$35,期初数据!$A$6:$A$35,$F163)+SUMIFS($N$5:$N163,$F$5:$F163,$F163,$D$5:$D163,"收入")-SUMIFS($N$5:$N163,$F$5:$F163,$F163,$D$5:$D163,"支出")-SUMIFS($N$5:$N163,$F$5:$F163,$F163,$D$5:$D163,"转账")+SUMIFS($N$5:$N163,$G$5:$G163,$F163,$D$5:$D163,"转账"))</f>
        <v/>
      </c>
      <c r="S163" s="49" t="str">
        <f aca="false">IF($E163="","",IFERROR(INDEX(科目参数!$N$6:$N$85,MATCH($E163,科目参数!$M$6:$M$85,0)),""))</f>
        <v/>
      </c>
      <c r="T163" s="49" t="str">
        <f aca="false">IF($F163="","",IFERROR(INDEX(基础资料!$C$6:$C$35,MATCH($F163,基础资料!$A$6:$A$35,0)),""))</f>
        <v/>
      </c>
      <c r="U163" s="49" t="str">
        <f aca="false">IF($G163="","",IFERROR(INDEX(基础资料!$C$6:$C$35,MATCH($G163,基础资料!$A$6:$A$35,0)),""))</f>
        <v/>
      </c>
      <c r="V163" s="49" t="str">
        <f aca="false">IF(AND($G163=客户对账单!$B$3,$E163="客户回款",$B163&gt;=客户对账单!$E$3,$B163&lt;=客户对账单!$H$3),COUNTIFS($G$5:$G163,客户对账单!$B$3,$E$5:$E163,"客户回款",$B$5:$B163,"&gt;="&amp;客户对账单!$E$3,$B$5:$B163,"&lt;="&amp;客户对账单!$H$3),"")</f>
        <v/>
      </c>
      <c r="W163" s="49" t="str">
        <f aca="false">IF(AND($G163=供应商对账单!$B$3,$E163="供应商付款",$B163&gt;=供应商对账单!$E$3,$B163&lt;=供应商对账单!$H$3),COUNTIFS($G$5:$G163,供应商对账单!$B$3,$E$5:$E163,"供应商付款",$B$5:$B163,"&gt;="&amp;供应商对账单!$E$3,$B$5:$B163,"&lt;="&amp;供应商对账单!$H$3),"")</f>
        <v/>
      </c>
    </row>
    <row r="164" customFormat="false" ht="15.75" hidden="false" customHeight="true" outlineLevel="0" collapsed="false">
      <c r="A164" s="42" t="str">
        <f aca="false">IF($B164="","","ZJ"&amp;TEXT($B164,"yyyymm")&amp;"-"&amp;TEXT(ROW()-4,"000"))</f>
        <v/>
      </c>
      <c r="B164" s="41"/>
      <c r="C164" s="42" t="str">
        <f aca="false">IF($B164="","",TEXT($B164,"yyyy-mm"))</f>
        <v/>
      </c>
      <c r="D164" s="42" t="str">
        <f aca="false">IF($E164="","",IFERROR(INDEX(科目参数!$L$6:$L$85,MATCH($E164,科目参数!$M$6:$M$85,0)),"⚠"))</f>
        <v/>
      </c>
      <c r="E164" s="33"/>
      <c r="F164" s="33"/>
      <c r="G164" s="36"/>
      <c r="H164" s="33"/>
      <c r="I164" s="33"/>
      <c r="J164" s="36"/>
      <c r="K164" s="40"/>
      <c r="L164" s="40"/>
      <c r="M164" s="47" t="str">
        <f aca="false">IF($B164="","",IF(NOT(ISNUMBER($B164)),"日期不是日期格式",IF(YEAR($B164)&lt;&gt;首页!$B$3,"不在会计年度",IF($E164="","未选收支科目",IF($D164="⚠","收支科目不存在",IF($F164="","未选账户",IF($T164="","账户未设资金科目",IF(AND($D164="转账",$U164=""),"转入账户无效",IF(AND(N($K164)&gt;0,N($L164)&gt;0),"收支不能同时填",IF(AND($D164="收入",N($K164)&lt;=0),"收入金额须大于0",IF(AND($D164&lt;&gt;"收入",N($L164)&lt;=0),"支出金额须大于0",IF($O164="","借方科目缺失",IF($P164="","贷方科目缺失","√")))))))))))))</f>
        <v/>
      </c>
      <c r="N164" s="48" t="str">
        <f aca="false">IF($B164="","",IF($D164="收入",N($K164),N($L164)))</f>
        <v/>
      </c>
      <c r="O164" s="49" t="str">
        <f aca="false">IF($B164="","",IF($D164="收入",$T164,IF($D164="转账",$U164,$S164)))</f>
        <v/>
      </c>
      <c r="P164" s="49" t="str">
        <f aca="false">IF($B164="","",IF($D164="收入",$S164,$T164))</f>
        <v/>
      </c>
      <c r="Q164" s="50" t="str">
        <f aca="false">IF($E164="","",IF($D164="转账","—",IFERROR(INDEX(科目参数!$P$6:$P$85,MATCH($E164,科目参数!$M$6:$M$85,0)),"")))</f>
        <v/>
      </c>
      <c r="R164" s="48" t="str">
        <f aca="false">IF($B164="","",SUMIFS(期初数据!$B$6:$B$35,期初数据!$A$6:$A$35,$F164)+SUMIFS($N$5:$N164,$F$5:$F164,$F164,$D$5:$D164,"收入")-SUMIFS($N$5:$N164,$F$5:$F164,$F164,$D$5:$D164,"支出")-SUMIFS($N$5:$N164,$F$5:$F164,$F164,$D$5:$D164,"转账")+SUMIFS($N$5:$N164,$G$5:$G164,$F164,$D$5:$D164,"转账"))</f>
        <v/>
      </c>
      <c r="S164" s="49" t="str">
        <f aca="false">IF($E164="","",IFERROR(INDEX(科目参数!$N$6:$N$85,MATCH($E164,科目参数!$M$6:$M$85,0)),""))</f>
        <v/>
      </c>
      <c r="T164" s="49" t="str">
        <f aca="false">IF($F164="","",IFERROR(INDEX(基础资料!$C$6:$C$35,MATCH($F164,基础资料!$A$6:$A$35,0)),""))</f>
        <v/>
      </c>
      <c r="U164" s="49" t="str">
        <f aca="false">IF($G164="","",IFERROR(INDEX(基础资料!$C$6:$C$35,MATCH($G164,基础资料!$A$6:$A$35,0)),""))</f>
        <v/>
      </c>
      <c r="V164" s="49" t="str">
        <f aca="false">IF(AND($G164=客户对账单!$B$3,$E164="客户回款",$B164&gt;=客户对账单!$E$3,$B164&lt;=客户对账单!$H$3),COUNTIFS($G$5:$G164,客户对账单!$B$3,$E$5:$E164,"客户回款",$B$5:$B164,"&gt;="&amp;客户对账单!$E$3,$B$5:$B164,"&lt;="&amp;客户对账单!$H$3),"")</f>
        <v/>
      </c>
      <c r="W164" s="49" t="str">
        <f aca="false">IF(AND($G164=供应商对账单!$B$3,$E164="供应商付款",$B164&gt;=供应商对账单!$E$3,$B164&lt;=供应商对账单!$H$3),COUNTIFS($G$5:$G164,供应商对账单!$B$3,$E$5:$E164,"供应商付款",$B$5:$B164,"&gt;="&amp;供应商对账单!$E$3,$B$5:$B164,"&lt;="&amp;供应商对账单!$H$3),"")</f>
        <v/>
      </c>
    </row>
    <row r="165" customFormat="false" ht="15.75" hidden="false" customHeight="true" outlineLevel="0" collapsed="false">
      <c r="A165" s="42" t="str">
        <f aca="false">IF($B165="","","ZJ"&amp;TEXT($B165,"yyyymm")&amp;"-"&amp;TEXT(ROW()-4,"000"))</f>
        <v/>
      </c>
      <c r="B165" s="41"/>
      <c r="C165" s="42" t="str">
        <f aca="false">IF($B165="","",TEXT($B165,"yyyy-mm"))</f>
        <v/>
      </c>
      <c r="D165" s="42" t="str">
        <f aca="false">IF($E165="","",IFERROR(INDEX(科目参数!$L$6:$L$85,MATCH($E165,科目参数!$M$6:$M$85,0)),"⚠"))</f>
        <v/>
      </c>
      <c r="E165" s="33"/>
      <c r="F165" s="33"/>
      <c r="G165" s="36"/>
      <c r="H165" s="33"/>
      <c r="I165" s="33"/>
      <c r="J165" s="36"/>
      <c r="K165" s="40"/>
      <c r="L165" s="40"/>
      <c r="M165" s="47" t="str">
        <f aca="false">IF($B165="","",IF(NOT(ISNUMBER($B165)),"日期不是日期格式",IF(YEAR($B165)&lt;&gt;首页!$B$3,"不在会计年度",IF($E165="","未选收支科目",IF($D165="⚠","收支科目不存在",IF($F165="","未选账户",IF($T165="","账户未设资金科目",IF(AND($D165="转账",$U165=""),"转入账户无效",IF(AND(N($K165)&gt;0,N($L165)&gt;0),"收支不能同时填",IF(AND($D165="收入",N($K165)&lt;=0),"收入金额须大于0",IF(AND($D165&lt;&gt;"收入",N($L165)&lt;=0),"支出金额须大于0",IF($O165="","借方科目缺失",IF($P165="","贷方科目缺失","√")))))))))))))</f>
        <v/>
      </c>
      <c r="N165" s="48" t="str">
        <f aca="false">IF($B165="","",IF($D165="收入",N($K165),N($L165)))</f>
        <v/>
      </c>
      <c r="O165" s="49" t="str">
        <f aca="false">IF($B165="","",IF($D165="收入",$T165,IF($D165="转账",$U165,$S165)))</f>
        <v/>
      </c>
      <c r="P165" s="49" t="str">
        <f aca="false">IF($B165="","",IF($D165="收入",$S165,$T165))</f>
        <v/>
      </c>
      <c r="Q165" s="50" t="str">
        <f aca="false">IF($E165="","",IF($D165="转账","—",IFERROR(INDEX(科目参数!$P$6:$P$85,MATCH($E165,科目参数!$M$6:$M$85,0)),"")))</f>
        <v/>
      </c>
      <c r="R165" s="48" t="str">
        <f aca="false">IF($B165="","",SUMIFS(期初数据!$B$6:$B$35,期初数据!$A$6:$A$35,$F165)+SUMIFS($N$5:$N165,$F$5:$F165,$F165,$D$5:$D165,"收入")-SUMIFS($N$5:$N165,$F$5:$F165,$F165,$D$5:$D165,"支出")-SUMIFS($N$5:$N165,$F$5:$F165,$F165,$D$5:$D165,"转账")+SUMIFS($N$5:$N165,$G$5:$G165,$F165,$D$5:$D165,"转账"))</f>
        <v/>
      </c>
      <c r="S165" s="49" t="str">
        <f aca="false">IF($E165="","",IFERROR(INDEX(科目参数!$N$6:$N$85,MATCH($E165,科目参数!$M$6:$M$85,0)),""))</f>
        <v/>
      </c>
      <c r="T165" s="49" t="str">
        <f aca="false">IF($F165="","",IFERROR(INDEX(基础资料!$C$6:$C$35,MATCH($F165,基础资料!$A$6:$A$35,0)),""))</f>
        <v/>
      </c>
      <c r="U165" s="49" t="str">
        <f aca="false">IF($G165="","",IFERROR(INDEX(基础资料!$C$6:$C$35,MATCH($G165,基础资料!$A$6:$A$35,0)),""))</f>
        <v/>
      </c>
      <c r="V165" s="49" t="str">
        <f aca="false">IF(AND($G165=客户对账单!$B$3,$E165="客户回款",$B165&gt;=客户对账单!$E$3,$B165&lt;=客户对账单!$H$3),COUNTIFS($G$5:$G165,客户对账单!$B$3,$E$5:$E165,"客户回款",$B$5:$B165,"&gt;="&amp;客户对账单!$E$3,$B$5:$B165,"&lt;="&amp;客户对账单!$H$3),"")</f>
        <v/>
      </c>
      <c r="W165" s="49" t="str">
        <f aca="false">IF(AND($G165=供应商对账单!$B$3,$E165="供应商付款",$B165&gt;=供应商对账单!$E$3,$B165&lt;=供应商对账单!$H$3),COUNTIFS($G$5:$G165,供应商对账单!$B$3,$E$5:$E165,"供应商付款",$B$5:$B165,"&gt;="&amp;供应商对账单!$E$3,$B$5:$B165,"&lt;="&amp;供应商对账单!$H$3),"")</f>
        <v/>
      </c>
    </row>
    <row r="166" customFormat="false" ht="15.75" hidden="false" customHeight="true" outlineLevel="0" collapsed="false">
      <c r="A166" s="42" t="str">
        <f aca="false">IF($B166="","","ZJ"&amp;TEXT($B166,"yyyymm")&amp;"-"&amp;TEXT(ROW()-4,"000"))</f>
        <v/>
      </c>
      <c r="B166" s="41"/>
      <c r="C166" s="42" t="str">
        <f aca="false">IF($B166="","",TEXT($B166,"yyyy-mm"))</f>
        <v/>
      </c>
      <c r="D166" s="42" t="str">
        <f aca="false">IF($E166="","",IFERROR(INDEX(科目参数!$L$6:$L$85,MATCH($E166,科目参数!$M$6:$M$85,0)),"⚠"))</f>
        <v/>
      </c>
      <c r="E166" s="33"/>
      <c r="F166" s="33"/>
      <c r="G166" s="36"/>
      <c r="H166" s="33"/>
      <c r="I166" s="33"/>
      <c r="J166" s="36"/>
      <c r="K166" s="40"/>
      <c r="L166" s="40"/>
      <c r="M166" s="47" t="str">
        <f aca="false">IF($B166="","",IF(NOT(ISNUMBER($B166)),"日期不是日期格式",IF(YEAR($B166)&lt;&gt;首页!$B$3,"不在会计年度",IF($E166="","未选收支科目",IF($D166="⚠","收支科目不存在",IF($F166="","未选账户",IF($T166="","账户未设资金科目",IF(AND($D166="转账",$U166=""),"转入账户无效",IF(AND(N($K166)&gt;0,N($L166)&gt;0),"收支不能同时填",IF(AND($D166="收入",N($K166)&lt;=0),"收入金额须大于0",IF(AND($D166&lt;&gt;"收入",N($L166)&lt;=0),"支出金额须大于0",IF($O166="","借方科目缺失",IF($P166="","贷方科目缺失","√")))))))))))))</f>
        <v/>
      </c>
      <c r="N166" s="48" t="str">
        <f aca="false">IF($B166="","",IF($D166="收入",N($K166),N($L166)))</f>
        <v/>
      </c>
      <c r="O166" s="49" t="str">
        <f aca="false">IF($B166="","",IF($D166="收入",$T166,IF($D166="转账",$U166,$S166)))</f>
        <v/>
      </c>
      <c r="P166" s="49" t="str">
        <f aca="false">IF($B166="","",IF($D166="收入",$S166,$T166))</f>
        <v/>
      </c>
      <c r="Q166" s="50" t="str">
        <f aca="false">IF($E166="","",IF($D166="转账","—",IFERROR(INDEX(科目参数!$P$6:$P$85,MATCH($E166,科目参数!$M$6:$M$85,0)),"")))</f>
        <v/>
      </c>
      <c r="R166" s="48" t="str">
        <f aca="false">IF($B166="","",SUMIFS(期初数据!$B$6:$B$35,期初数据!$A$6:$A$35,$F166)+SUMIFS($N$5:$N166,$F$5:$F166,$F166,$D$5:$D166,"收入")-SUMIFS($N$5:$N166,$F$5:$F166,$F166,$D$5:$D166,"支出")-SUMIFS($N$5:$N166,$F$5:$F166,$F166,$D$5:$D166,"转账")+SUMIFS($N$5:$N166,$G$5:$G166,$F166,$D$5:$D166,"转账"))</f>
        <v/>
      </c>
      <c r="S166" s="49" t="str">
        <f aca="false">IF($E166="","",IFERROR(INDEX(科目参数!$N$6:$N$85,MATCH($E166,科目参数!$M$6:$M$85,0)),""))</f>
        <v/>
      </c>
      <c r="T166" s="49" t="str">
        <f aca="false">IF($F166="","",IFERROR(INDEX(基础资料!$C$6:$C$35,MATCH($F166,基础资料!$A$6:$A$35,0)),""))</f>
        <v/>
      </c>
      <c r="U166" s="49" t="str">
        <f aca="false">IF($G166="","",IFERROR(INDEX(基础资料!$C$6:$C$35,MATCH($G166,基础资料!$A$6:$A$35,0)),""))</f>
        <v/>
      </c>
      <c r="V166" s="49" t="str">
        <f aca="false">IF(AND($G166=客户对账单!$B$3,$E166="客户回款",$B166&gt;=客户对账单!$E$3,$B166&lt;=客户对账单!$H$3),COUNTIFS($G$5:$G166,客户对账单!$B$3,$E$5:$E166,"客户回款",$B$5:$B166,"&gt;="&amp;客户对账单!$E$3,$B$5:$B166,"&lt;="&amp;客户对账单!$H$3),"")</f>
        <v/>
      </c>
      <c r="W166" s="49" t="str">
        <f aca="false">IF(AND($G166=供应商对账单!$B$3,$E166="供应商付款",$B166&gt;=供应商对账单!$E$3,$B166&lt;=供应商对账单!$H$3),COUNTIFS($G$5:$G166,供应商对账单!$B$3,$E$5:$E166,"供应商付款",$B$5:$B166,"&gt;="&amp;供应商对账单!$E$3,$B$5:$B166,"&lt;="&amp;供应商对账单!$H$3),"")</f>
        <v/>
      </c>
    </row>
    <row r="167" customFormat="false" ht="15.75" hidden="false" customHeight="true" outlineLevel="0" collapsed="false">
      <c r="A167" s="42" t="str">
        <f aca="false">IF($B167="","","ZJ"&amp;TEXT($B167,"yyyymm")&amp;"-"&amp;TEXT(ROW()-4,"000"))</f>
        <v/>
      </c>
      <c r="B167" s="41"/>
      <c r="C167" s="42" t="str">
        <f aca="false">IF($B167="","",TEXT($B167,"yyyy-mm"))</f>
        <v/>
      </c>
      <c r="D167" s="42" t="str">
        <f aca="false">IF($E167="","",IFERROR(INDEX(科目参数!$L$6:$L$85,MATCH($E167,科目参数!$M$6:$M$85,0)),"⚠"))</f>
        <v/>
      </c>
      <c r="E167" s="33"/>
      <c r="F167" s="33"/>
      <c r="G167" s="36"/>
      <c r="H167" s="33"/>
      <c r="I167" s="33"/>
      <c r="J167" s="36"/>
      <c r="K167" s="40"/>
      <c r="L167" s="40"/>
      <c r="M167" s="47" t="str">
        <f aca="false">IF($B167="","",IF(NOT(ISNUMBER($B167)),"日期不是日期格式",IF(YEAR($B167)&lt;&gt;首页!$B$3,"不在会计年度",IF($E167="","未选收支科目",IF($D167="⚠","收支科目不存在",IF($F167="","未选账户",IF($T167="","账户未设资金科目",IF(AND($D167="转账",$U167=""),"转入账户无效",IF(AND(N($K167)&gt;0,N($L167)&gt;0),"收支不能同时填",IF(AND($D167="收入",N($K167)&lt;=0),"收入金额须大于0",IF(AND($D167&lt;&gt;"收入",N($L167)&lt;=0),"支出金额须大于0",IF($O167="","借方科目缺失",IF($P167="","贷方科目缺失","√")))))))))))))</f>
        <v/>
      </c>
      <c r="N167" s="48" t="str">
        <f aca="false">IF($B167="","",IF($D167="收入",N($K167),N($L167)))</f>
        <v/>
      </c>
      <c r="O167" s="49" t="str">
        <f aca="false">IF($B167="","",IF($D167="收入",$T167,IF($D167="转账",$U167,$S167)))</f>
        <v/>
      </c>
      <c r="P167" s="49" t="str">
        <f aca="false">IF($B167="","",IF($D167="收入",$S167,$T167))</f>
        <v/>
      </c>
      <c r="Q167" s="50" t="str">
        <f aca="false">IF($E167="","",IF($D167="转账","—",IFERROR(INDEX(科目参数!$P$6:$P$85,MATCH($E167,科目参数!$M$6:$M$85,0)),"")))</f>
        <v/>
      </c>
      <c r="R167" s="48" t="str">
        <f aca="false">IF($B167="","",SUMIFS(期初数据!$B$6:$B$35,期初数据!$A$6:$A$35,$F167)+SUMIFS($N$5:$N167,$F$5:$F167,$F167,$D$5:$D167,"收入")-SUMIFS($N$5:$N167,$F$5:$F167,$F167,$D$5:$D167,"支出")-SUMIFS($N$5:$N167,$F$5:$F167,$F167,$D$5:$D167,"转账")+SUMIFS($N$5:$N167,$G$5:$G167,$F167,$D$5:$D167,"转账"))</f>
        <v/>
      </c>
      <c r="S167" s="49" t="str">
        <f aca="false">IF($E167="","",IFERROR(INDEX(科目参数!$N$6:$N$85,MATCH($E167,科目参数!$M$6:$M$85,0)),""))</f>
        <v/>
      </c>
      <c r="T167" s="49" t="str">
        <f aca="false">IF($F167="","",IFERROR(INDEX(基础资料!$C$6:$C$35,MATCH($F167,基础资料!$A$6:$A$35,0)),""))</f>
        <v/>
      </c>
      <c r="U167" s="49" t="str">
        <f aca="false">IF($G167="","",IFERROR(INDEX(基础资料!$C$6:$C$35,MATCH($G167,基础资料!$A$6:$A$35,0)),""))</f>
        <v/>
      </c>
      <c r="V167" s="49" t="str">
        <f aca="false">IF(AND($G167=客户对账单!$B$3,$E167="客户回款",$B167&gt;=客户对账单!$E$3,$B167&lt;=客户对账单!$H$3),COUNTIFS($G$5:$G167,客户对账单!$B$3,$E$5:$E167,"客户回款",$B$5:$B167,"&gt;="&amp;客户对账单!$E$3,$B$5:$B167,"&lt;="&amp;客户对账单!$H$3),"")</f>
        <v/>
      </c>
      <c r="W167" s="49" t="str">
        <f aca="false">IF(AND($G167=供应商对账单!$B$3,$E167="供应商付款",$B167&gt;=供应商对账单!$E$3,$B167&lt;=供应商对账单!$H$3),COUNTIFS($G$5:$G167,供应商对账单!$B$3,$E$5:$E167,"供应商付款",$B$5:$B167,"&gt;="&amp;供应商对账单!$E$3,$B$5:$B167,"&lt;="&amp;供应商对账单!$H$3),"")</f>
        <v/>
      </c>
    </row>
    <row r="168" customFormat="false" ht="15.75" hidden="false" customHeight="true" outlineLevel="0" collapsed="false">
      <c r="A168" s="42" t="str">
        <f aca="false">IF($B168="","","ZJ"&amp;TEXT($B168,"yyyymm")&amp;"-"&amp;TEXT(ROW()-4,"000"))</f>
        <v/>
      </c>
      <c r="B168" s="41"/>
      <c r="C168" s="42" t="str">
        <f aca="false">IF($B168="","",TEXT($B168,"yyyy-mm"))</f>
        <v/>
      </c>
      <c r="D168" s="42" t="str">
        <f aca="false">IF($E168="","",IFERROR(INDEX(科目参数!$L$6:$L$85,MATCH($E168,科目参数!$M$6:$M$85,0)),"⚠"))</f>
        <v/>
      </c>
      <c r="E168" s="33"/>
      <c r="F168" s="33"/>
      <c r="G168" s="36"/>
      <c r="H168" s="33"/>
      <c r="I168" s="33"/>
      <c r="J168" s="36"/>
      <c r="K168" s="40"/>
      <c r="L168" s="40"/>
      <c r="M168" s="47" t="str">
        <f aca="false">IF($B168="","",IF(NOT(ISNUMBER($B168)),"日期不是日期格式",IF(YEAR($B168)&lt;&gt;首页!$B$3,"不在会计年度",IF($E168="","未选收支科目",IF($D168="⚠","收支科目不存在",IF($F168="","未选账户",IF($T168="","账户未设资金科目",IF(AND($D168="转账",$U168=""),"转入账户无效",IF(AND(N($K168)&gt;0,N($L168)&gt;0),"收支不能同时填",IF(AND($D168="收入",N($K168)&lt;=0),"收入金额须大于0",IF(AND($D168&lt;&gt;"收入",N($L168)&lt;=0),"支出金额须大于0",IF($O168="","借方科目缺失",IF($P168="","贷方科目缺失","√")))))))))))))</f>
        <v/>
      </c>
      <c r="N168" s="48" t="str">
        <f aca="false">IF($B168="","",IF($D168="收入",N($K168),N($L168)))</f>
        <v/>
      </c>
      <c r="O168" s="49" t="str">
        <f aca="false">IF($B168="","",IF($D168="收入",$T168,IF($D168="转账",$U168,$S168)))</f>
        <v/>
      </c>
      <c r="P168" s="49" t="str">
        <f aca="false">IF($B168="","",IF($D168="收入",$S168,$T168))</f>
        <v/>
      </c>
      <c r="Q168" s="50" t="str">
        <f aca="false">IF($E168="","",IF($D168="转账","—",IFERROR(INDEX(科目参数!$P$6:$P$85,MATCH($E168,科目参数!$M$6:$M$85,0)),"")))</f>
        <v/>
      </c>
      <c r="R168" s="48" t="str">
        <f aca="false">IF($B168="","",SUMIFS(期初数据!$B$6:$B$35,期初数据!$A$6:$A$35,$F168)+SUMIFS($N$5:$N168,$F$5:$F168,$F168,$D$5:$D168,"收入")-SUMIFS($N$5:$N168,$F$5:$F168,$F168,$D$5:$D168,"支出")-SUMIFS($N$5:$N168,$F$5:$F168,$F168,$D$5:$D168,"转账")+SUMIFS($N$5:$N168,$G$5:$G168,$F168,$D$5:$D168,"转账"))</f>
        <v/>
      </c>
      <c r="S168" s="49" t="str">
        <f aca="false">IF($E168="","",IFERROR(INDEX(科目参数!$N$6:$N$85,MATCH($E168,科目参数!$M$6:$M$85,0)),""))</f>
        <v/>
      </c>
      <c r="T168" s="49" t="str">
        <f aca="false">IF($F168="","",IFERROR(INDEX(基础资料!$C$6:$C$35,MATCH($F168,基础资料!$A$6:$A$35,0)),""))</f>
        <v/>
      </c>
      <c r="U168" s="49" t="str">
        <f aca="false">IF($G168="","",IFERROR(INDEX(基础资料!$C$6:$C$35,MATCH($G168,基础资料!$A$6:$A$35,0)),""))</f>
        <v/>
      </c>
      <c r="V168" s="49" t="str">
        <f aca="false">IF(AND($G168=客户对账单!$B$3,$E168="客户回款",$B168&gt;=客户对账单!$E$3,$B168&lt;=客户对账单!$H$3),COUNTIFS($G$5:$G168,客户对账单!$B$3,$E$5:$E168,"客户回款",$B$5:$B168,"&gt;="&amp;客户对账单!$E$3,$B$5:$B168,"&lt;="&amp;客户对账单!$H$3),"")</f>
        <v/>
      </c>
      <c r="W168" s="49" t="str">
        <f aca="false">IF(AND($G168=供应商对账单!$B$3,$E168="供应商付款",$B168&gt;=供应商对账单!$E$3,$B168&lt;=供应商对账单!$H$3),COUNTIFS($G$5:$G168,供应商对账单!$B$3,$E$5:$E168,"供应商付款",$B$5:$B168,"&gt;="&amp;供应商对账单!$E$3,$B$5:$B168,"&lt;="&amp;供应商对账单!$H$3),"")</f>
        <v/>
      </c>
    </row>
    <row r="169" customFormat="false" ht="15.75" hidden="false" customHeight="true" outlineLevel="0" collapsed="false">
      <c r="A169" s="42" t="str">
        <f aca="false">IF($B169="","","ZJ"&amp;TEXT($B169,"yyyymm")&amp;"-"&amp;TEXT(ROW()-4,"000"))</f>
        <v/>
      </c>
      <c r="B169" s="41"/>
      <c r="C169" s="42" t="str">
        <f aca="false">IF($B169="","",TEXT($B169,"yyyy-mm"))</f>
        <v/>
      </c>
      <c r="D169" s="42" t="str">
        <f aca="false">IF($E169="","",IFERROR(INDEX(科目参数!$L$6:$L$85,MATCH($E169,科目参数!$M$6:$M$85,0)),"⚠"))</f>
        <v/>
      </c>
      <c r="E169" s="33"/>
      <c r="F169" s="33"/>
      <c r="G169" s="36"/>
      <c r="H169" s="33"/>
      <c r="I169" s="33"/>
      <c r="J169" s="36"/>
      <c r="K169" s="40"/>
      <c r="L169" s="40"/>
      <c r="M169" s="47" t="str">
        <f aca="false">IF($B169="","",IF(NOT(ISNUMBER($B169)),"日期不是日期格式",IF(YEAR($B169)&lt;&gt;首页!$B$3,"不在会计年度",IF($E169="","未选收支科目",IF($D169="⚠","收支科目不存在",IF($F169="","未选账户",IF($T169="","账户未设资金科目",IF(AND($D169="转账",$U169=""),"转入账户无效",IF(AND(N($K169)&gt;0,N($L169)&gt;0),"收支不能同时填",IF(AND($D169="收入",N($K169)&lt;=0),"收入金额须大于0",IF(AND($D169&lt;&gt;"收入",N($L169)&lt;=0),"支出金额须大于0",IF($O169="","借方科目缺失",IF($P169="","贷方科目缺失","√")))))))))))))</f>
        <v/>
      </c>
      <c r="N169" s="48" t="str">
        <f aca="false">IF($B169="","",IF($D169="收入",N($K169),N($L169)))</f>
        <v/>
      </c>
      <c r="O169" s="49" t="str">
        <f aca="false">IF($B169="","",IF($D169="收入",$T169,IF($D169="转账",$U169,$S169)))</f>
        <v/>
      </c>
      <c r="P169" s="49" t="str">
        <f aca="false">IF($B169="","",IF($D169="收入",$S169,$T169))</f>
        <v/>
      </c>
      <c r="Q169" s="50" t="str">
        <f aca="false">IF($E169="","",IF($D169="转账","—",IFERROR(INDEX(科目参数!$P$6:$P$85,MATCH($E169,科目参数!$M$6:$M$85,0)),"")))</f>
        <v/>
      </c>
      <c r="R169" s="48" t="str">
        <f aca="false">IF($B169="","",SUMIFS(期初数据!$B$6:$B$35,期初数据!$A$6:$A$35,$F169)+SUMIFS($N$5:$N169,$F$5:$F169,$F169,$D$5:$D169,"收入")-SUMIFS($N$5:$N169,$F$5:$F169,$F169,$D$5:$D169,"支出")-SUMIFS($N$5:$N169,$F$5:$F169,$F169,$D$5:$D169,"转账")+SUMIFS($N$5:$N169,$G$5:$G169,$F169,$D$5:$D169,"转账"))</f>
        <v/>
      </c>
      <c r="S169" s="49" t="str">
        <f aca="false">IF($E169="","",IFERROR(INDEX(科目参数!$N$6:$N$85,MATCH($E169,科目参数!$M$6:$M$85,0)),""))</f>
        <v/>
      </c>
      <c r="T169" s="49" t="str">
        <f aca="false">IF($F169="","",IFERROR(INDEX(基础资料!$C$6:$C$35,MATCH($F169,基础资料!$A$6:$A$35,0)),""))</f>
        <v/>
      </c>
      <c r="U169" s="49" t="str">
        <f aca="false">IF($G169="","",IFERROR(INDEX(基础资料!$C$6:$C$35,MATCH($G169,基础资料!$A$6:$A$35,0)),""))</f>
        <v/>
      </c>
      <c r="V169" s="49" t="str">
        <f aca="false">IF(AND($G169=客户对账单!$B$3,$E169="客户回款",$B169&gt;=客户对账单!$E$3,$B169&lt;=客户对账单!$H$3),COUNTIFS($G$5:$G169,客户对账单!$B$3,$E$5:$E169,"客户回款",$B$5:$B169,"&gt;="&amp;客户对账单!$E$3,$B$5:$B169,"&lt;="&amp;客户对账单!$H$3),"")</f>
        <v/>
      </c>
      <c r="W169" s="49" t="str">
        <f aca="false">IF(AND($G169=供应商对账单!$B$3,$E169="供应商付款",$B169&gt;=供应商对账单!$E$3,$B169&lt;=供应商对账单!$H$3),COUNTIFS($G$5:$G169,供应商对账单!$B$3,$E$5:$E169,"供应商付款",$B$5:$B169,"&gt;="&amp;供应商对账单!$E$3,$B$5:$B169,"&lt;="&amp;供应商对账单!$H$3),"")</f>
        <v/>
      </c>
    </row>
    <row r="170" customFormat="false" ht="15.75" hidden="false" customHeight="true" outlineLevel="0" collapsed="false">
      <c r="A170" s="42" t="str">
        <f aca="false">IF($B170="","","ZJ"&amp;TEXT($B170,"yyyymm")&amp;"-"&amp;TEXT(ROW()-4,"000"))</f>
        <v/>
      </c>
      <c r="B170" s="41"/>
      <c r="C170" s="42" t="str">
        <f aca="false">IF($B170="","",TEXT($B170,"yyyy-mm"))</f>
        <v/>
      </c>
      <c r="D170" s="42" t="str">
        <f aca="false">IF($E170="","",IFERROR(INDEX(科目参数!$L$6:$L$85,MATCH($E170,科目参数!$M$6:$M$85,0)),"⚠"))</f>
        <v/>
      </c>
      <c r="E170" s="33"/>
      <c r="F170" s="33"/>
      <c r="G170" s="36"/>
      <c r="H170" s="33"/>
      <c r="I170" s="33"/>
      <c r="J170" s="36"/>
      <c r="K170" s="40"/>
      <c r="L170" s="40"/>
      <c r="M170" s="47" t="str">
        <f aca="false">IF($B170="","",IF(NOT(ISNUMBER($B170)),"日期不是日期格式",IF(YEAR($B170)&lt;&gt;首页!$B$3,"不在会计年度",IF($E170="","未选收支科目",IF($D170="⚠","收支科目不存在",IF($F170="","未选账户",IF($T170="","账户未设资金科目",IF(AND($D170="转账",$U170=""),"转入账户无效",IF(AND(N($K170)&gt;0,N($L170)&gt;0),"收支不能同时填",IF(AND($D170="收入",N($K170)&lt;=0),"收入金额须大于0",IF(AND($D170&lt;&gt;"收入",N($L170)&lt;=0),"支出金额须大于0",IF($O170="","借方科目缺失",IF($P170="","贷方科目缺失","√")))))))))))))</f>
        <v/>
      </c>
      <c r="N170" s="48" t="str">
        <f aca="false">IF($B170="","",IF($D170="收入",N($K170),N($L170)))</f>
        <v/>
      </c>
      <c r="O170" s="49" t="str">
        <f aca="false">IF($B170="","",IF($D170="收入",$T170,IF($D170="转账",$U170,$S170)))</f>
        <v/>
      </c>
      <c r="P170" s="49" t="str">
        <f aca="false">IF($B170="","",IF($D170="收入",$S170,$T170))</f>
        <v/>
      </c>
      <c r="Q170" s="50" t="str">
        <f aca="false">IF($E170="","",IF($D170="转账","—",IFERROR(INDEX(科目参数!$P$6:$P$85,MATCH($E170,科目参数!$M$6:$M$85,0)),"")))</f>
        <v/>
      </c>
      <c r="R170" s="48" t="str">
        <f aca="false">IF($B170="","",SUMIFS(期初数据!$B$6:$B$35,期初数据!$A$6:$A$35,$F170)+SUMIFS($N$5:$N170,$F$5:$F170,$F170,$D$5:$D170,"收入")-SUMIFS($N$5:$N170,$F$5:$F170,$F170,$D$5:$D170,"支出")-SUMIFS($N$5:$N170,$F$5:$F170,$F170,$D$5:$D170,"转账")+SUMIFS($N$5:$N170,$G$5:$G170,$F170,$D$5:$D170,"转账"))</f>
        <v/>
      </c>
      <c r="S170" s="49" t="str">
        <f aca="false">IF($E170="","",IFERROR(INDEX(科目参数!$N$6:$N$85,MATCH($E170,科目参数!$M$6:$M$85,0)),""))</f>
        <v/>
      </c>
      <c r="T170" s="49" t="str">
        <f aca="false">IF($F170="","",IFERROR(INDEX(基础资料!$C$6:$C$35,MATCH($F170,基础资料!$A$6:$A$35,0)),""))</f>
        <v/>
      </c>
      <c r="U170" s="49" t="str">
        <f aca="false">IF($G170="","",IFERROR(INDEX(基础资料!$C$6:$C$35,MATCH($G170,基础资料!$A$6:$A$35,0)),""))</f>
        <v/>
      </c>
      <c r="V170" s="49" t="str">
        <f aca="false">IF(AND($G170=客户对账单!$B$3,$E170="客户回款",$B170&gt;=客户对账单!$E$3,$B170&lt;=客户对账单!$H$3),COUNTIFS($G$5:$G170,客户对账单!$B$3,$E$5:$E170,"客户回款",$B$5:$B170,"&gt;="&amp;客户对账单!$E$3,$B$5:$B170,"&lt;="&amp;客户对账单!$H$3),"")</f>
        <v/>
      </c>
      <c r="W170" s="49" t="str">
        <f aca="false">IF(AND($G170=供应商对账单!$B$3,$E170="供应商付款",$B170&gt;=供应商对账单!$E$3,$B170&lt;=供应商对账单!$H$3),COUNTIFS($G$5:$G170,供应商对账单!$B$3,$E$5:$E170,"供应商付款",$B$5:$B170,"&gt;="&amp;供应商对账单!$E$3,$B$5:$B170,"&lt;="&amp;供应商对账单!$H$3),"")</f>
        <v/>
      </c>
    </row>
    <row r="171" customFormat="false" ht="15.75" hidden="false" customHeight="true" outlineLevel="0" collapsed="false">
      <c r="A171" s="42" t="str">
        <f aca="false">IF($B171="","","ZJ"&amp;TEXT($B171,"yyyymm")&amp;"-"&amp;TEXT(ROW()-4,"000"))</f>
        <v/>
      </c>
      <c r="B171" s="41"/>
      <c r="C171" s="42" t="str">
        <f aca="false">IF($B171="","",TEXT($B171,"yyyy-mm"))</f>
        <v/>
      </c>
      <c r="D171" s="42" t="str">
        <f aca="false">IF($E171="","",IFERROR(INDEX(科目参数!$L$6:$L$85,MATCH($E171,科目参数!$M$6:$M$85,0)),"⚠"))</f>
        <v/>
      </c>
      <c r="E171" s="33"/>
      <c r="F171" s="33"/>
      <c r="G171" s="36"/>
      <c r="H171" s="33"/>
      <c r="I171" s="33"/>
      <c r="J171" s="36"/>
      <c r="K171" s="40"/>
      <c r="L171" s="40"/>
      <c r="M171" s="47" t="str">
        <f aca="false">IF($B171="","",IF(NOT(ISNUMBER($B171)),"日期不是日期格式",IF(YEAR($B171)&lt;&gt;首页!$B$3,"不在会计年度",IF($E171="","未选收支科目",IF($D171="⚠","收支科目不存在",IF($F171="","未选账户",IF($T171="","账户未设资金科目",IF(AND($D171="转账",$U171=""),"转入账户无效",IF(AND(N($K171)&gt;0,N($L171)&gt;0),"收支不能同时填",IF(AND($D171="收入",N($K171)&lt;=0),"收入金额须大于0",IF(AND($D171&lt;&gt;"收入",N($L171)&lt;=0),"支出金额须大于0",IF($O171="","借方科目缺失",IF($P171="","贷方科目缺失","√")))))))))))))</f>
        <v/>
      </c>
      <c r="N171" s="48" t="str">
        <f aca="false">IF($B171="","",IF($D171="收入",N($K171),N($L171)))</f>
        <v/>
      </c>
      <c r="O171" s="49" t="str">
        <f aca="false">IF($B171="","",IF($D171="收入",$T171,IF($D171="转账",$U171,$S171)))</f>
        <v/>
      </c>
      <c r="P171" s="49" t="str">
        <f aca="false">IF($B171="","",IF($D171="收入",$S171,$T171))</f>
        <v/>
      </c>
      <c r="Q171" s="50" t="str">
        <f aca="false">IF($E171="","",IF($D171="转账","—",IFERROR(INDEX(科目参数!$P$6:$P$85,MATCH($E171,科目参数!$M$6:$M$85,0)),"")))</f>
        <v/>
      </c>
      <c r="R171" s="48" t="str">
        <f aca="false">IF($B171="","",SUMIFS(期初数据!$B$6:$B$35,期初数据!$A$6:$A$35,$F171)+SUMIFS($N$5:$N171,$F$5:$F171,$F171,$D$5:$D171,"收入")-SUMIFS($N$5:$N171,$F$5:$F171,$F171,$D$5:$D171,"支出")-SUMIFS($N$5:$N171,$F$5:$F171,$F171,$D$5:$D171,"转账")+SUMIFS($N$5:$N171,$G$5:$G171,$F171,$D$5:$D171,"转账"))</f>
        <v/>
      </c>
      <c r="S171" s="49" t="str">
        <f aca="false">IF($E171="","",IFERROR(INDEX(科目参数!$N$6:$N$85,MATCH($E171,科目参数!$M$6:$M$85,0)),""))</f>
        <v/>
      </c>
      <c r="T171" s="49" t="str">
        <f aca="false">IF($F171="","",IFERROR(INDEX(基础资料!$C$6:$C$35,MATCH($F171,基础资料!$A$6:$A$35,0)),""))</f>
        <v/>
      </c>
      <c r="U171" s="49" t="str">
        <f aca="false">IF($G171="","",IFERROR(INDEX(基础资料!$C$6:$C$35,MATCH($G171,基础资料!$A$6:$A$35,0)),""))</f>
        <v/>
      </c>
      <c r="V171" s="49" t="str">
        <f aca="false">IF(AND($G171=客户对账单!$B$3,$E171="客户回款",$B171&gt;=客户对账单!$E$3,$B171&lt;=客户对账单!$H$3),COUNTIFS($G$5:$G171,客户对账单!$B$3,$E$5:$E171,"客户回款",$B$5:$B171,"&gt;="&amp;客户对账单!$E$3,$B$5:$B171,"&lt;="&amp;客户对账单!$H$3),"")</f>
        <v/>
      </c>
      <c r="W171" s="49" t="str">
        <f aca="false">IF(AND($G171=供应商对账单!$B$3,$E171="供应商付款",$B171&gt;=供应商对账单!$E$3,$B171&lt;=供应商对账单!$H$3),COUNTIFS($G$5:$G171,供应商对账单!$B$3,$E$5:$E171,"供应商付款",$B$5:$B171,"&gt;="&amp;供应商对账单!$E$3,$B$5:$B171,"&lt;="&amp;供应商对账单!$H$3),"")</f>
        <v/>
      </c>
    </row>
    <row r="172" customFormat="false" ht="15.75" hidden="false" customHeight="true" outlineLevel="0" collapsed="false">
      <c r="A172" s="42" t="str">
        <f aca="false">IF($B172="","","ZJ"&amp;TEXT($B172,"yyyymm")&amp;"-"&amp;TEXT(ROW()-4,"000"))</f>
        <v/>
      </c>
      <c r="B172" s="41"/>
      <c r="C172" s="42" t="str">
        <f aca="false">IF($B172="","",TEXT($B172,"yyyy-mm"))</f>
        <v/>
      </c>
      <c r="D172" s="42" t="str">
        <f aca="false">IF($E172="","",IFERROR(INDEX(科目参数!$L$6:$L$85,MATCH($E172,科目参数!$M$6:$M$85,0)),"⚠"))</f>
        <v/>
      </c>
      <c r="E172" s="33"/>
      <c r="F172" s="33"/>
      <c r="G172" s="36"/>
      <c r="H172" s="33"/>
      <c r="I172" s="33"/>
      <c r="J172" s="36"/>
      <c r="K172" s="40"/>
      <c r="L172" s="40"/>
      <c r="M172" s="47" t="str">
        <f aca="false">IF($B172="","",IF(NOT(ISNUMBER($B172)),"日期不是日期格式",IF(YEAR($B172)&lt;&gt;首页!$B$3,"不在会计年度",IF($E172="","未选收支科目",IF($D172="⚠","收支科目不存在",IF($F172="","未选账户",IF($T172="","账户未设资金科目",IF(AND($D172="转账",$U172=""),"转入账户无效",IF(AND(N($K172)&gt;0,N($L172)&gt;0),"收支不能同时填",IF(AND($D172="收入",N($K172)&lt;=0),"收入金额须大于0",IF(AND($D172&lt;&gt;"收入",N($L172)&lt;=0),"支出金额须大于0",IF($O172="","借方科目缺失",IF($P172="","贷方科目缺失","√")))))))))))))</f>
        <v/>
      </c>
      <c r="N172" s="48" t="str">
        <f aca="false">IF($B172="","",IF($D172="收入",N($K172),N($L172)))</f>
        <v/>
      </c>
      <c r="O172" s="49" t="str">
        <f aca="false">IF($B172="","",IF($D172="收入",$T172,IF($D172="转账",$U172,$S172)))</f>
        <v/>
      </c>
      <c r="P172" s="49" t="str">
        <f aca="false">IF($B172="","",IF($D172="收入",$S172,$T172))</f>
        <v/>
      </c>
      <c r="Q172" s="50" t="str">
        <f aca="false">IF($E172="","",IF($D172="转账","—",IFERROR(INDEX(科目参数!$P$6:$P$85,MATCH($E172,科目参数!$M$6:$M$85,0)),"")))</f>
        <v/>
      </c>
      <c r="R172" s="48" t="str">
        <f aca="false">IF($B172="","",SUMIFS(期初数据!$B$6:$B$35,期初数据!$A$6:$A$35,$F172)+SUMIFS($N$5:$N172,$F$5:$F172,$F172,$D$5:$D172,"收入")-SUMIFS($N$5:$N172,$F$5:$F172,$F172,$D$5:$D172,"支出")-SUMIFS($N$5:$N172,$F$5:$F172,$F172,$D$5:$D172,"转账")+SUMIFS($N$5:$N172,$G$5:$G172,$F172,$D$5:$D172,"转账"))</f>
        <v/>
      </c>
      <c r="S172" s="49" t="str">
        <f aca="false">IF($E172="","",IFERROR(INDEX(科目参数!$N$6:$N$85,MATCH($E172,科目参数!$M$6:$M$85,0)),""))</f>
        <v/>
      </c>
      <c r="T172" s="49" t="str">
        <f aca="false">IF($F172="","",IFERROR(INDEX(基础资料!$C$6:$C$35,MATCH($F172,基础资料!$A$6:$A$35,0)),""))</f>
        <v/>
      </c>
      <c r="U172" s="49" t="str">
        <f aca="false">IF($G172="","",IFERROR(INDEX(基础资料!$C$6:$C$35,MATCH($G172,基础资料!$A$6:$A$35,0)),""))</f>
        <v/>
      </c>
      <c r="V172" s="49" t="str">
        <f aca="false">IF(AND($G172=客户对账单!$B$3,$E172="客户回款",$B172&gt;=客户对账单!$E$3,$B172&lt;=客户对账单!$H$3),COUNTIFS($G$5:$G172,客户对账单!$B$3,$E$5:$E172,"客户回款",$B$5:$B172,"&gt;="&amp;客户对账单!$E$3,$B$5:$B172,"&lt;="&amp;客户对账单!$H$3),"")</f>
        <v/>
      </c>
      <c r="W172" s="49" t="str">
        <f aca="false">IF(AND($G172=供应商对账单!$B$3,$E172="供应商付款",$B172&gt;=供应商对账单!$E$3,$B172&lt;=供应商对账单!$H$3),COUNTIFS($G$5:$G172,供应商对账单!$B$3,$E$5:$E172,"供应商付款",$B$5:$B172,"&gt;="&amp;供应商对账单!$E$3,$B$5:$B172,"&lt;="&amp;供应商对账单!$H$3),"")</f>
        <v/>
      </c>
    </row>
    <row r="173" customFormat="false" ht="15.75" hidden="false" customHeight="true" outlineLevel="0" collapsed="false">
      <c r="A173" s="42" t="str">
        <f aca="false">IF($B173="","","ZJ"&amp;TEXT($B173,"yyyymm")&amp;"-"&amp;TEXT(ROW()-4,"000"))</f>
        <v/>
      </c>
      <c r="B173" s="41"/>
      <c r="C173" s="42" t="str">
        <f aca="false">IF($B173="","",TEXT($B173,"yyyy-mm"))</f>
        <v/>
      </c>
      <c r="D173" s="42" t="str">
        <f aca="false">IF($E173="","",IFERROR(INDEX(科目参数!$L$6:$L$85,MATCH($E173,科目参数!$M$6:$M$85,0)),"⚠"))</f>
        <v/>
      </c>
      <c r="E173" s="33"/>
      <c r="F173" s="33"/>
      <c r="G173" s="36"/>
      <c r="H173" s="33"/>
      <c r="I173" s="33"/>
      <c r="J173" s="36"/>
      <c r="K173" s="40"/>
      <c r="L173" s="40"/>
      <c r="M173" s="47" t="str">
        <f aca="false">IF($B173="","",IF(NOT(ISNUMBER($B173)),"日期不是日期格式",IF(YEAR($B173)&lt;&gt;首页!$B$3,"不在会计年度",IF($E173="","未选收支科目",IF($D173="⚠","收支科目不存在",IF($F173="","未选账户",IF($T173="","账户未设资金科目",IF(AND($D173="转账",$U173=""),"转入账户无效",IF(AND(N($K173)&gt;0,N($L173)&gt;0),"收支不能同时填",IF(AND($D173="收入",N($K173)&lt;=0),"收入金额须大于0",IF(AND($D173&lt;&gt;"收入",N($L173)&lt;=0),"支出金额须大于0",IF($O173="","借方科目缺失",IF($P173="","贷方科目缺失","√")))))))))))))</f>
        <v/>
      </c>
      <c r="N173" s="48" t="str">
        <f aca="false">IF($B173="","",IF($D173="收入",N($K173),N($L173)))</f>
        <v/>
      </c>
      <c r="O173" s="49" t="str">
        <f aca="false">IF($B173="","",IF($D173="收入",$T173,IF($D173="转账",$U173,$S173)))</f>
        <v/>
      </c>
      <c r="P173" s="49" t="str">
        <f aca="false">IF($B173="","",IF($D173="收入",$S173,$T173))</f>
        <v/>
      </c>
      <c r="Q173" s="50" t="str">
        <f aca="false">IF($E173="","",IF($D173="转账","—",IFERROR(INDEX(科目参数!$P$6:$P$85,MATCH($E173,科目参数!$M$6:$M$85,0)),"")))</f>
        <v/>
      </c>
      <c r="R173" s="48" t="str">
        <f aca="false">IF($B173="","",SUMIFS(期初数据!$B$6:$B$35,期初数据!$A$6:$A$35,$F173)+SUMIFS($N$5:$N173,$F$5:$F173,$F173,$D$5:$D173,"收入")-SUMIFS($N$5:$N173,$F$5:$F173,$F173,$D$5:$D173,"支出")-SUMIFS($N$5:$N173,$F$5:$F173,$F173,$D$5:$D173,"转账")+SUMIFS($N$5:$N173,$G$5:$G173,$F173,$D$5:$D173,"转账"))</f>
        <v/>
      </c>
      <c r="S173" s="49" t="str">
        <f aca="false">IF($E173="","",IFERROR(INDEX(科目参数!$N$6:$N$85,MATCH($E173,科目参数!$M$6:$M$85,0)),""))</f>
        <v/>
      </c>
      <c r="T173" s="49" t="str">
        <f aca="false">IF($F173="","",IFERROR(INDEX(基础资料!$C$6:$C$35,MATCH($F173,基础资料!$A$6:$A$35,0)),""))</f>
        <v/>
      </c>
      <c r="U173" s="49" t="str">
        <f aca="false">IF($G173="","",IFERROR(INDEX(基础资料!$C$6:$C$35,MATCH($G173,基础资料!$A$6:$A$35,0)),""))</f>
        <v/>
      </c>
      <c r="V173" s="49" t="str">
        <f aca="false">IF(AND($G173=客户对账单!$B$3,$E173="客户回款",$B173&gt;=客户对账单!$E$3,$B173&lt;=客户对账单!$H$3),COUNTIFS($G$5:$G173,客户对账单!$B$3,$E$5:$E173,"客户回款",$B$5:$B173,"&gt;="&amp;客户对账单!$E$3,$B$5:$B173,"&lt;="&amp;客户对账单!$H$3),"")</f>
        <v/>
      </c>
      <c r="W173" s="49" t="str">
        <f aca="false">IF(AND($G173=供应商对账单!$B$3,$E173="供应商付款",$B173&gt;=供应商对账单!$E$3,$B173&lt;=供应商对账单!$H$3),COUNTIFS($G$5:$G173,供应商对账单!$B$3,$E$5:$E173,"供应商付款",$B$5:$B173,"&gt;="&amp;供应商对账单!$E$3,$B$5:$B173,"&lt;="&amp;供应商对账单!$H$3),"")</f>
        <v/>
      </c>
    </row>
    <row r="174" customFormat="false" ht="15.75" hidden="false" customHeight="true" outlineLevel="0" collapsed="false">
      <c r="A174" s="42" t="str">
        <f aca="false">IF($B174="","","ZJ"&amp;TEXT($B174,"yyyymm")&amp;"-"&amp;TEXT(ROW()-4,"000"))</f>
        <v/>
      </c>
      <c r="B174" s="41"/>
      <c r="C174" s="42" t="str">
        <f aca="false">IF($B174="","",TEXT($B174,"yyyy-mm"))</f>
        <v/>
      </c>
      <c r="D174" s="42" t="str">
        <f aca="false">IF($E174="","",IFERROR(INDEX(科目参数!$L$6:$L$85,MATCH($E174,科目参数!$M$6:$M$85,0)),"⚠"))</f>
        <v/>
      </c>
      <c r="E174" s="33"/>
      <c r="F174" s="33"/>
      <c r="G174" s="36"/>
      <c r="H174" s="33"/>
      <c r="I174" s="33"/>
      <c r="J174" s="36"/>
      <c r="K174" s="40"/>
      <c r="L174" s="40"/>
      <c r="M174" s="47" t="str">
        <f aca="false">IF($B174="","",IF(NOT(ISNUMBER($B174)),"日期不是日期格式",IF(YEAR($B174)&lt;&gt;首页!$B$3,"不在会计年度",IF($E174="","未选收支科目",IF($D174="⚠","收支科目不存在",IF($F174="","未选账户",IF($T174="","账户未设资金科目",IF(AND($D174="转账",$U174=""),"转入账户无效",IF(AND(N($K174)&gt;0,N($L174)&gt;0),"收支不能同时填",IF(AND($D174="收入",N($K174)&lt;=0),"收入金额须大于0",IF(AND($D174&lt;&gt;"收入",N($L174)&lt;=0),"支出金额须大于0",IF($O174="","借方科目缺失",IF($P174="","贷方科目缺失","√")))))))))))))</f>
        <v/>
      </c>
      <c r="N174" s="48" t="str">
        <f aca="false">IF($B174="","",IF($D174="收入",N($K174),N($L174)))</f>
        <v/>
      </c>
      <c r="O174" s="49" t="str">
        <f aca="false">IF($B174="","",IF($D174="收入",$T174,IF($D174="转账",$U174,$S174)))</f>
        <v/>
      </c>
      <c r="P174" s="49" t="str">
        <f aca="false">IF($B174="","",IF($D174="收入",$S174,$T174))</f>
        <v/>
      </c>
      <c r="Q174" s="50" t="str">
        <f aca="false">IF($E174="","",IF($D174="转账","—",IFERROR(INDEX(科目参数!$P$6:$P$85,MATCH($E174,科目参数!$M$6:$M$85,0)),"")))</f>
        <v/>
      </c>
      <c r="R174" s="48" t="str">
        <f aca="false">IF($B174="","",SUMIFS(期初数据!$B$6:$B$35,期初数据!$A$6:$A$35,$F174)+SUMIFS($N$5:$N174,$F$5:$F174,$F174,$D$5:$D174,"收入")-SUMIFS($N$5:$N174,$F$5:$F174,$F174,$D$5:$D174,"支出")-SUMIFS($N$5:$N174,$F$5:$F174,$F174,$D$5:$D174,"转账")+SUMIFS($N$5:$N174,$G$5:$G174,$F174,$D$5:$D174,"转账"))</f>
        <v/>
      </c>
      <c r="S174" s="49" t="str">
        <f aca="false">IF($E174="","",IFERROR(INDEX(科目参数!$N$6:$N$85,MATCH($E174,科目参数!$M$6:$M$85,0)),""))</f>
        <v/>
      </c>
      <c r="T174" s="49" t="str">
        <f aca="false">IF($F174="","",IFERROR(INDEX(基础资料!$C$6:$C$35,MATCH($F174,基础资料!$A$6:$A$35,0)),""))</f>
        <v/>
      </c>
      <c r="U174" s="49" t="str">
        <f aca="false">IF($G174="","",IFERROR(INDEX(基础资料!$C$6:$C$35,MATCH($G174,基础资料!$A$6:$A$35,0)),""))</f>
        <v/>
      </c>
      <c r="V174" s="49" t="str">
        <f aca="false">IF(AND($G174=客户对账单!$B$3,$E174="客户回款",$B174&gt;=客户对账单!$E$3,$B174&lt;=客户对账单!$H$3),COUNTIFS($G$5:$G174,客户对账单!$B$3,$E$5:$E174,"客户回款",$B$5:$B174,"&gt;="&amp;客户对账单!$E$3,$B$5:$B174,"&lt;="&amp;客户对账单!$H$3),"")</f>
        <v/>
      </c>
      <c r="W174" s="49" t="str">
        <f aca="false">IF(AND($G174=供应商对账单!$B$3,$E174="供应商付款",$B174&gt;=供应商对账单!$E$3,$B174&lt;=供应商对账单!$H$3),COUNTIFS($G$5:$G174,供应商对账单!$B$3,$E$5:$E174,"供应商付款",$B$5:$B174,"&gt;="&amp;供应商对账单!$E$3,$B$5:$B174,"&lt;="&amp;供应商对账单!$H$3),"")</f>
        <v/>
      </c>
    </row>
    <row r="175" customFormat="false" ht="15.75" hidden="false" customHeight="true" outlineLevel="0" collapsed="false">
      <c r="A175" s="42" t="str">
        <f aca="false">IF($B175="","","ZJ"&amp;TEXT($B175,"yyyymm")&amp;"-"&amp;TEXT(ROW()-4,"000"))</f>
        <v/>
      </c>
      <c r="B175" s="41"/>
      <c r="C175" s="42" t="str">
        <f aca="false">IF($B175="","",TEXT($B175,"yyyy-mm"))</f>
        <v/>
      </c>
      <c r="D175" s="42" t="str">
        <f aca="false">IF($E175="","",IFERROR(INDEX(科目参数!$L$6:$L$85,MATCH($E175,科目参数!$M$6:$M$85,0)),"⚠"))</f>
        <v/>
      </c>
      <c r="E175" s="33"/>
      <c r="F175" s="33"/>
      <c r="G175" s="36"/>
      <c r="H175" s="33"/>
      <c r="I175" s="33"/>
      <c r="J175" s="36"/>
      <c r="K175" s="40"/>
      <c r="L175" s="40"/>
      <c r="M175" s="47" t="str">
        <f aca="false">IF($B175="","",IF(NOT(ISNUMBER($B175)),"日期不是日期格式",IF(YEAR($B175)&lt;&gt;首页!$B$3,"不在会计年度",IF($E175="","未选收支科目",IF($D175="⚠","收支科目不存在",IF($F175="","未选账户",IF($T175="","账户未设资金科目",IF(AND($D175="转账",$U175=""),"转入账户无效",IF(AND(N($K175)&gt;0,N($L175)&gt;0),"收支不能同时填",IF(AND($D175="收入",N($K175)&lt;=0),"收入金额须大于0",IF(AND($D175&lt;&gt;"收入",N($L175)&lt;=0),"支出金额须大于0",IF($O175="","借方科目缺失",IF($P175="","贷方科目缺失","√")))))))))))))</f>
        <v/>
      </c>
      <c r="N175" s="48" t="str">
        <f aca="false">IF($B175="","",IF($D175="收入",N($K175),N($L175)))</f>
        <v/>
      </c>
      <c r="O175" s="49" t="str">
        <f aca="false">IF($B175="","",IF($D175="收入",$T175,IF($D175="转账",$U175,$S175)))</f>
        <v/>
      </c>
      <c r="P175" s="49" t="str">
        <f aca="false">IF($B175="","",IF($D175="收入",$S175,$T175))</f>
        <v/>
      </c>
      <c r="Q175" s="50" t="str">
        <f aca="false">IF($E175="","",IF($D175="转账","—",IFERROR(INDEX(科目参数!$P$6:$P$85,MATCH($E175,科目参数!$M$6:$M$85,0)),"")))</f>
        <v/>
      </c>
      <c r="R175" s="48" t="str">
        <f aca="false">IF($B175="","",SUMIFS(期初数据!$B$6:$B$35,期初数据!$A$6:$A$35,$F175)+SUMIFS($N$5:$N175,$F$5:$F175,$F175,$D$5:$D175,"收入")-SUMIFS($N$5:$N175,$F$5:$F175,$F175,$D$5:$D175,"支出")-SUMIFS($N$5:$N175,$F$5:$F175,$F175,$D$5:$D175,"转账")+SUMIFS($N$5:$N175,$G$5:$G175,$F175,$D$5:$D175,"转账"))</f>
        <v/>
      </c>
      <c r="S175" s="49" t="str">
        <f aca="false">IF($E175="","",IFERROR(INDEX(科目参数!$N$6:$N$85,MATCH($E175,科目参数!$M$6:$M$85,0)),""))</f>
        <v/>
      </c>
      <c r="T175" s="49" t="str">
        <f aca="false">IF($F175="","",IFERROR(INDEX(基础资料!$C$6:$C$35,MATCH($F175,基础资料!$A$6:$A$35,0)),""))</f>
        <v/>
      </c>
      <c r="U175" s="49" t="str">
        <f aca="false">IF($G175="","",IFERROR(INDEX(基础资料!$C$6:$C$35,MATCH($G175,基础资料!$A$6:$A$35,0)),""))</f>
        <v/>
      </c>
      <c r="V175" s="49" t="str">
        <f aca="false">IF(AND($G175=客户对账单!$B$3,$E175="客户回款",$B175&gt;=客户对账单!$E$3,$B175&lt;=客户对账单!$H$3),COUNTIFS($G$5:$G175,客户对账单!$B$3,$E$5:$E175,"客户回款",$B$5:$B175,"&gt;="&amp;客户对账单!$E$3,$B$5:$B175,"&lt;="&amp;客户对账单!$H$3),"")</f>
        <v/>
      </c>
      <c r="W175" s="49" t="str">
        <f aca="false">IF(AND($G175=供应商对账单!$B$3,$E175="供应商付款",$B175&gt;=供应商对账单!$E$3,$B175&lt;=供应商对账单!$H$3),COUNTIFS($G$5:$G175,供应商对账单!$B$3,$E$5:$E175,"供应商付款",$B$5:$B175,"&gt;="&amp;供应商对账单!$E$3,$B$5:$B175,"&lt;="&amp;供应商对账单!$H$3),"")</f>
        <v/>
      </c>
    </row>
    <row r="176" customFormat="false" ht="15.75" hidden="false" customHeight="true" outlineLevel="0" collapsed="false">
      <c r="A176" s="42" t="str">
        <f aca="false">IF($B176="","","ZJ"&amp;TEXT($B176,"yyyymm")&amp;"-"&amp;TEXT(ROW()-4,"000"))</f>
        <v/>
      </c>
      <c r="B176" s="41"/>
      <c r="C176" s="42" t="str">
        <f aca="false">IF($B176="","",TEXT($B176,"yyyy-mm"))</f>
        <v/>
      </c>
      <c r="D176" s="42" t="str">
        <f aca="false">IF($E176="","",IFERROR(INDEX(科目参数!$L$6:$L$85,MATCH($E176,科目参数!$M$6:$M$85,0)),"⚠"))</f>
        <v/>
      </c>
      <c r="E176" s="33"/>
      <c r="F176" s="33"/>
      <c r="G176" s="36"/>
      <c r="H176" s="33"/>
      <c r="I176" s="33"/>
      <c r="J176" s="36"/>
      <c r="K176" s="40"/>
      <c r="L176" s="40"/>
      <c r="M176" s="47" t="str">
        <f aca="false">IF($B176="","",IF(NOT(ISNUMBER($B176)),"日期不是日期格式",IF(YEAR($B176)&lt;&gt;首页!$B$3,"不在会计年度",IF($E176="","未选收支科目",IF($D176="⚠","收支科目不存在",IF($F176="","未选账户",IF($T176="","账户未设资金科目",IF(AND($D176="转账",$U176=""),"转入账户无效",IF(AND(N($K176)&gt;0,N($L176)&gt;0),"收支不能同时填",IF(AND($D176="收入",N($K176)&lt;=0),"收入金额须大于0",IF(AND($D176&lt;&gt;"收入",N($L176)&lt;=0),"支出金额须大于0",IF($O176="","借方科目缺失",IF($P176="","贷方科目缺失","√")))))))))))))</f>
        <v/>
      </c>
      <c r="N176" s="48" t="str">
        <f aca="false">IF($B176="","",IF($D176="收入",N($K176),N($L176)))</f>
        <v/>
      </c>
      <c r="O176" s="49" t="str">
        <f aca="false">IF($B176="","",IF($D176="收入",$T176,IF($D176="转账",$U176,$S176)))</f>
        <v/>
      </c>
      <c r="P176" s="49" t="str">
        <f aca="false">IF($B176="","",IF($D176="收入",$S176,$T176))</f>
        <v/>
      </c>
      <c r="Q176" s="50" t="str">
        <f aca="false">IF($E176="","",IF($D176="转账","—",IFERROR(INDEX(科目参数!$P$6:$P$85,MATCH($E176,科目参数!$M$6:$M$85,0)),"")))</f>
        <v/>
      </c>
      <c r="R176" s="48" t="str">
        <f aca="false">IF($B176="","",SUMIFS(期初数据!$B$6:$B$35,期初数据!$A$6:$A$35,$F176)+SUMIFS($N$5:$N176,$F$5:$F176,$F176,$D$5:$D176,"收入")-SUMIFS($N$5:$N176,$F$5:$F176,$F176,$D$5:$D176,"支出")-SUMIFS($N$5:$N176,$F$5:$F176,$F176,$D$5:$D176,"转账")+SUMIFS($N$5:$N176,$G$5:$G176,$F176,$D$5:$D176,"转账"))</f>
        <v/>
      </c>
      <c r="S176" s="49" t="str">
        <f aca="false">IF($E176="","",IFERROR(INDEX(科目参数!$N$6:$N$85,MATCH($E176,科目参数!$M$6:$M$85,0)),""))</f>
        <v/>
      </c>
      <c r="T176" s="49" t="str">
        <f aca="false">IF($F176="","",IFERROR(INDEX(基础资料!$C$6:$C$35,MATCH($F176,基础资料!$A$6:$A$35,0)),""))</f>
        <v/>
      </c>
      <c r="U176" s="49" t="str">
        <f aca="false">IF($G176="","",IFERROR(INDEX(基础资料!$C$6:$C$35,MATCH($G176,基础资料!$A$6:$A$35,0)),""))</f>
        <v/>
      </c>
      <c r="V176" s="49" t="str">
        <f aca="false">IF(AND($G176=客户对账单!$B$3,$E176="客户回款",$B176&gt;=客户对账单!$E$3,$B176&lt;=客户对账单!$H$3),COUNTIFS($G$5:$G176,客户对账单!$B$3,$E$5:$E176,"客户回款",$B$5:$B176,"&gt;="&amp;客户对账单!$E$3,$B$5:$B176,"&lt;="&amp;客户对账单!$H$3),"")</f>
        <v/>
      </c>
      <c r="W176" s="49" t="str">
        <f aca="false">IF(AND($G176=供应商对账单!$B$3,$E176="供应商付款",$B176&gt;=供应商对账单!$E$3,$B176&lt;=供应商对账单!$H$3),COUNTIFS($G$5:$G176,供应商对账单!$B$3,$E$5:$E176,"供应商付款",$B$5:$B176,"&gt;="&amp;供应商对账单!$E$3,$B$5:$B176,"&lt;="&amp;供应商对账单!$H$3),"")</f>
        <v/>
      </c>
    </row>
    <row r="177" customFormat="false" ht="15.75" hidden="false" customHeight="true" outlineLevel="0" collapsed="false">
      <c r="A177" s="42" t="str">
        <f aca="false">IF($B177="","","ZJ"&amp;TEXT($B177,"yyyymm")&amp;"-"&amp;TEXT(ROW()-4,"000"))</f>
        <v/>
      </c>
      <c r="B177" s="41"/>
      <c r="C177" s="42" t="str">
        <f aca="false">IF($B177="","",TEXT($B177,"yyyy-mm"))</f>
        <v/>
      </c>
      <c r="D177" s="42" t="str">
        <f aca="false">IF($E177="","",IFERROR(INDEX(科目参数!$L$6:$L$85,MATCH($E177,科目参数!$M$6:$M$85,0)),"⚠"))</f>
        <v/>
      </c>
      <c r="E177" s="33"/>
      <c r="F177" s="33"/>
      <c r="G177" s="36"/>
      <c r="H177" s="33"/>
      <c r="I177" s="33"/>
      <c r="J177" s="36"/>
      <c r="K177" s="40"/>
      <c r="L177" s="40"/>
      <c r="M177" s="47" t="str">
        <f aca="false">IF($B177="","",IF(NOT(ISNUMBER($B177)),"日期不是日期格式",IF(YEAR($B177)&lt;&gt;首页!$B$3,"不在会计年度",IF($E177="","未选收支科目",IF($D177="⚠","收支科目不存在",IF($F177="","未选账户",IF($T177="","账户未设资金科目",IF(AND($D177="转账",$U177=""),"转入账户无效",IF(AND(N($K177)&gt;0,N($L177)&gt;0),"收支不能同时填",IF(AND($D177="收入",N($K177)&lt;=0),"收入金额须大于0",IF(AND($D177&lt;&gt;"收入",N($L177)&lt;=0),"支出金额须大于0",IF($O177="","借方科目缺失",IF($P177="","贷方科目缺失","√")))))))))))))</f>
        <v/>
      </c>
      <c r="N177" s="48" t="str">
        <f aca="false">IF($B177="","",IF($D177="收入",N($K177),N($L177)))</f>
        <v/>
      </c>
      <c r="O177" s="49" t="str">
        <f aca="false">IF($B177="","",IF($D177="收入",$T177,IF($D177="转账",$U177,$S177)))</f>
        <v/>
      </c>
      <c r="P177" s="49" t="str">
        <f aca="false">IF($B177="","",IF($D177="收入",$S177,$T177))</f>
        <v/>
      </c>
      <c r="Q177" s="50" t="str">
        <f aca="false">IF($E177="","",IF($D177="转账","—",IFERROR(INDEX(科目参数!$P$6:$P$85,MATCH($E177,科目参数!$M$6:$M$85,0)),"")))</f>
        <v/>
      </c>
      <c r="R177" s="48" t="str">
        <f aca="false">IF($B177="","",SUMIFS(期初数据!$B$6:$B$35,期初数据!$A$6:$A$35,$F177)+SUMIFS($N$5:$N177,$F$5:$F177,$F177,$D$5:$D177,"收入")-SUMIFS($N$5:$N177,$F$5:$F177,$F177,$D$5:$D177,"支出")-SUMIFS($N$5:$N177,$F$5:$F177,$F177,$D$5:$D177,"转账")+SUMIFS($N$5:$N177,$G$5:$G177,$F177,$D$5:$D177,"转账"))</f>
        <v/>
      </c>
      <c r="S177" s="49" t="str">
        <f aca="false">IF($E177="","",IFERROR(INDEX(科目参数!$N$6:$N$85,MATCH($E177,科目参数!$M$6:$M$85,0)),""))</f>
        <v/>
      </c>
      <c r="T177" s="49" t="str">
        <f aca="false">IF($F177="","",IFERROR(INDEX(基础资料!$C$6:$C$35,MATCH($F177,基础资料!$A$6:$A$35,0)),""))</f>
        <v/>
      </c>
      <c r="U177" s="49" t="str">
        <f aca="false">IF($G177="","",IFERROR(INDEX(基础资料!$C$6:$C$35,MATCH($G177,基础资料!$A$6:$A$35,0)),""))</f>
        <v/>
      </c>
      <c r="V177" s="49" t="str">
        <f aca="false">IF(AND($G177=客户对账单!$B$3,$E177="客户回款",$B177&gt;=客户对账单!$E$3,$B177&lt;=客户对账单!$H$3),COUNTIFS($G$5:$G177,客户对账单!$B$3,$E$5:$E177,"客户回款",$B$5:$B177,"&gt;="&amp;客户对账单!$E$3,$B$5:$B177,"&lt;="&amp;客户对账单!$H$3),"")</f>
        <v/>
      </c>
      <c r="W177" s="49" t="str">
        <f aca="false">IF(AND($G177=供应商对账单!$B$3,$E177="供应商付款",$B177&gt;=供应商对账单!$E$3,$B177&lt;=供应商对账单!$H$3),COUNTIFS($G$5:$G177,供应商对账单!$B$3,$E$5:$E177,"供应商付款",$B$5:$B177,"&gt;="&amp;供应商对账单!$E$3,$B$5:$B177,"&lt;="&amp;供应商对账单!$H$3),"")</f>
        <v/>
      </c>
    </row>
    <row r="178" customFormat="false" ht="15.75" hidden="false" customHeight="true" outlineLevel="0" collapsed="false">
      <c r="A178" s="42" t="str">
        <f aca="false">IF($B178="","","ZJ"&amp;TEXT($B178,"yyyymm")&amp;"-"&amp;TEXT(ROW()-4,"000"))</f>
        <v/>
      </c>
      <c r="B178" s="41"/>
      <c r="C178" s="42" t="str">
        <f aca="false">IF($B178="","",TEXT($B178,"yyyy-mm"))</f>
        <v/>
      </c>
      <c r="D178" s="42" t="str">
        <f aca="false">IF($E178="","",IFERROR(INDEX(科目参数!$L$6:$L$85,MATCH($E178,科目参数!$M$6:$M$85,0)),"⚠"))</f>
        <v/>
      </c>
      <c r="E178" s="33"/>
      <c r="F178" s="33"/>
      <c r="G178" s="36"/>
      <c r="H178" s="33"/>
      <c r="I178" s="33"/>
      <c r="J178" s="36"/>
      <c r="K178" s="40"/>
      <c r="L178" s="40"/>
      <c r="M178" s="47" t="str">
        <f aca="false">IF($B178="","",IF(NOT(ISNUMBER($B178)),"日期不是日期格式",IF(YEAR($B178)&lt;&gt;首页!$B$3,"不在会计年度",IF($E178="","未选收支科目",IF($D178="⚠","收支科目不存在",IF($F178="","未选账户",IF($T178="","账户未设资金科目",IF(AND($D178="转账",$U178=""),"转入账户无效",IF(AND(N($K178)&gt;0,N($L178)&gt;0),"收支不能同时填",IF(AND($D178="收入",N($K178)&lt;=0),"收入金额须大于0",IF(AND($D178&lt;&gt;"收入",N($L178)&lt;=0),"支出金额须大于0",IF($O178="","借方科目缺失",IF($P178="","贷方科目缺失","√")))))))))))))</f>
        <v/>
      </c>
      <c r="N178" s="48" t="str">
        <f aca="false">IF($B178="","",IF($D178="收入",N($K178),N($L178)))</f>
        <v/>
      </c>
      <c r="O178" s="49" t="str">
        <f aca="false">IF($B178="","",IF($D178="收入",$T178,IF($D178="转账",$U178,$S178)))</f>
        <v/>
      </c>
      <c r="P178" s="49" t="str">
        <f aca="false">IF($B178="","",IF($D178="收入",$S178,$T178))</f>
        <v/>
      </c>
      <c r="Q178" s="50" t="str">
        <f aca="false">IF($E178="","",IF($D178="转账","—",IFERROR(INDEX(科目参数!$P$6:$P$85,MATCH($E178,科目参数!$M$6:$M$85,0)),"")))</f>
        <v/>
      </c>
      <c r="R178" s="48" t="str">
        <f aca="false">IF($B178="","",SUMIFS(期初数据!$B$6:$B$35,期初数据!$A$6:$A$35,$F178)+SUMIFS($N$5:$N178,$F$5:$F178,$F178,$D$5:$D178,"收入")-SUMIFS($N$5:$N178,$F$5:$F178,$F178,$D$5:$D178,"支出")-SUMIFS($N$5:$N178,$F$5:$F178,$F178,$D$5:$D178,"转账")+SUMIFS($N$5:$N178,$G$5:$G178,$F178,$D$5:$D178,"转账"))</f>
        <v/>
      </c>
      <c r="S178" s="49" t="str">
        <f aca="false">IF($E178="","",IFERROR(INDEX(科目参数!$N$6:$N$85,MATCH($E178,科目参数!$M$6:$M$85,0)),""))</f>
        <v/>
      </c>
      <c r="T178" s="49" t="str">
        <f aca="false">IF($F178="","",IFERROR(INDEX(基础资料!$C$6:$C$35,MATCH($F178,基础资料!$A$6:$A$35,0)),""))</f>
        <v/>
      </c>
      <c r="U178" s="49" t="str">
        <f aca="false">IF($G178="","",IFERROR(INDEX(基础资料!$C$6:$C$35,MATCH($G178,基础资料!$A$6:$A$35,0)),""))</f>
        <v/>
      </c>
      <c r="V178" s="49" t="str">
        <f aca="false">IF(AND($G178=客户对账单!$B$3,$E178="客户回款",$B178&gt;=客户对账单!$E$3,$B178&lt;=客户对账单!$H$3),COUNTIFS($G$5:$G178,客户对账单!$B$3,$E$5:$E178,"客户回款",$B$5:$B178,"&gt;="&amp;客户对账单!$E$3,$B$5:$B178,"&lt;="&amp;客户对账单!$H$3),"")</f>
        <v/>
      </c>
      <c r="W178" s="49" t="str">
        <f aca="false">IF(AND($G178=供应商对账单!$B$3,$E178="供应商付款",$B178&gt;=供应商对账单!$E$3,$B178&lt;=供应商对账单!$H$3),COUNTIFS($G$5:$G178,供应商对账单!$B$3,$E$5:$E178,"供应商付款",$B$5:$B178,"&gt;="&amp;供应商对账单!$E$3,$B$5:$B178,"&lt;="&amp;供应商对账单!$H$3),"")</f>
        <v/>
      </c>
    </row>
    <row r="179" customFormat="false" ht="15.75" hidden="false" customHeight="true" outlineLevel="0" collapsed="false">
      <c r="A179" s="42" t="str">
        <f aca="false">IF($B179="","","ZJ"&amp;TEXT($B179,"yyyymm")&amp;"-"&amp;TEXT(ROW()-4,"000"))</f>
        <v/>
      </c>
      <c r="B179" s="41"/>
      <c r="C179" s="42" t="str">
        <f aca="false">IF($B179="","",TEXT($B179,"yyyy-mm"))</f>
        <v/>
      </c>
      <c r="D179" s="42" t="str">
        <f aca="false">IF($E179="","",IFERROR(INDEX(科目参数!$L$6:$L$85,MATCH($E179,科目参数!$M$6:$M$85,0)),"⚠"))</f>
        <v/>
      </c>
      <c r="E179" s="33"/>
      <c r="F179" s="33"/>
      <c r="G179" s="36"/>
      <c r="H179" s="33"/>
      <c r="I179" s="33"/>
      <c r="J179" s="36"/>
      <c r="K179" s="40"/>
      <c r="L179" s="40"/>
      <c r="M179" s="47" t="str">
        <f aca="false">IF($B179="","",IF(NOT(ISNUMBER($B179)),"日期不是日期格式",IF(YEAR($B179)&lt;&gt;首页!$B$3,"不在会计年度",IF($E179="","未选收支科目",IF($D179="⚠","收支科目不存在",IF($F179="","未选账户",IF($T179="","账户未设资金科目",IF(AND($D179="转账",$U179=""),"转入账户无效",IF(AND(N($K179)&gt;0,N($L179)&gt;0),"收支不能同时填",IF(AND($D179="收入",N($K179)&lt;=0),"收入金额须大于0",IF(AND($D179&lt;&gt;"收入",N($L179)&lt;=0),"支出金额须大于0",IF($O179="","借方科目缺失",IF($P179="","贷方科目缺失","√")))))))))))))</f>
        <v/>
      </c>
      <c r="N179" s="48" t="str">
        <f aca="false">IF($B179="","",IF($D179="收入",N($K179),N($L179)))</f>
        <v/>
      </c>
      <c r="O179" s="49" t="str">
        <f aca="false">IF($B179="","",IF($D179="收入",$T179,IF($D179="转账",$U179,$S179)))</f>
        <v/>
      </c>
      <c r="P179" s="49" t="str">
        <f aca="false">IF($B179="","",IF($D179="收入",$S179,$T179))</f>
        <v/>
      </c>
      <c r="Q179" s="50" t="str">
        <f aca="false">IF($E179="","",IF($D179="转账","—",IFERROR(INDEX(科目参数!$P$6:$P$85,MATCH($E179,科目参数!$M$6:$M$85,0)),"")))</f>
        <v/>
      </c>
      <c r="R179" s="48" t="str">
        <f aca="false">IF($B179="","",SUMIFS(期初数据!$B$6:$B$35,期初数据!$A$6:$A$35,$F179)+SUMIFS($N$5:$N179,$F$5:$F179,$F179,$D$5:$D179,"收入")-SUMIFS($N$5:$N179,$F$5:$F179,$F179,$D$5:$D179,"支出")-SUMIFS($N$5:$N179,$F$5:$F179,$F179,$D$5:$D179,"转账")+SUMIFS($N$5:$N179,$G$5:$G179,$F179,$D$5:$D179,"转账"))</f>
        <v/>
      </c>
      <c r="S179" s="49" t="str">
        <f aca="false">IF($E179="","",IFERROR(INDEX(科目参数!$N$6:$N$85,MATCH($E179,科目参数!$M$6:$M$85,0)),""))</f>
        <v/>
      </c>
      <c r="T179" s="49" t="str">
        <f aca="false">IF($F179="","",IFERROR(INDEX(基础资料!$C$6:$C$35,MATCH($F179,基础资料!$A$6:$A$35,0)),""))</f>
        <v/>
      </c>
      <c r="U179" s="49" t="str">
        <f aca="false">IF($G179="","",IFERROR(INDEX(基础资料!$C$6:$C$35,MATCH($G179,基础资料!$A$6:$A$35,0)),""))</f>
        <v/>
      </c>
      <c r="V179" s="49" t="str">
        <f aca="false">IF(AND($G179=客户对账单!$B$3,$E179="客户回款",$B179&gt;=客户对账单!$E$3,$B179&lt;=客户对账单!$H$3),COUNTIFS($G$5:$G179,客户对账单!$B$3,$E$5:$E179,"客户回款",$B$5:$B179,"&gt;="&amp;客户对账单!$E$3,$B$5:$B179,"&lt;="&amp;客户对账单!$H$3),"")</f>
        <v/>
      </c>
      <c r="W179" s="49" t="str">
        <f aca="false">IF(AND($G179=供应商对账单!$B$3,$E179="供应商付款",$B179&gt;=供应商对账单!$E$3,$B179&lt;=供应商对账单!$H$3),COUNTIFS($G$5:$G179,供应商对账单!$B$3,$E$5:$E179,"供应商付款",$B$5:$B179,"&gt;="&amp;供应商对账单!$E$3,$B$5:$B179,"&lt;="&amp;供应商对账单!$H$3),"")</f>
        <v/>
      </c>
    </row>
    <row r="180" customFormat="false" ht="15.75" hidden="false" customHeight="true" outlineLevel="0" collapsed="false">
      <c r="A180" s="42" t="str">
        <f aca="false">IF($B180="","","ZJ"&amp;TEXT($B180,"yyyymm")&amp;"-"&amp;TEXT(ROW()-4,"000"))</f>
        <v/>
      </c>
      <c r="B180" s="41"/>
      <c r="C180" s="42" t="str">
        <f aca="false">IF($B180="","",TEXT($B180,"yyyy-mm"))</f>
        <v/>
      </c>
      <c r="D180" s="42" t="str">
        <f aca="false">IF($E180="","",IFERROR(INDEX(科目参数!$L$6:$L$85,MATCH($E180,科目参数!$M$6:$M$85,0)),"⚠"))</f>
        <v/>
      </c>
      <c r="E180" s="33"/>
      <c r="F180" s="33"/>
      <c r="G180" s="36"/>
      <c r="H180" s="33"/>
      <c r="I180" s="33"/>
      <c r="J180" s="36"/>
      <c r="K180" s="40"/>
      <c r="L180" s="40"/>
      <c r="M180" s="47" t="str">
        <f aca="false">IF($B180="","",IF(NOT(ISNUMBER($B180)),"日期不是日期格式",IF(YEAR($B180)&lt;&gt;首页!$B$3,"不在会计年度",IF($E180="","未选收支科目",IF($D180="⚠","收支科目不存在",IF($F180="","未选账户",IF($T180="","账户未设资金科目",IF(AND($D180="转账",$U180=""),"转入账户无效",IF(AND(N($K180)&gt;0,N($L180)&gt;0),"收支不能同时填",IF(AND($D180="收入",N($K180)&lt;=0),"收入金额须大于0",IF(AND($D180&lt;&gt;"收入",N($L180)&lt;=0),"支出金额须大于0",IF($O180="","借方科目缺失",IF($P180="","贷方科目缺失","√")))))))))))))</f>
        <v/>
      </c>
      <c r="N180" s="48" t="str">
        <f aca="false">IF($B180="","",IF($D180="收入",N($K180),N($L180)))</f>
        <v/>
      </c>
      <c r="O180" s="49" t="str">
        <f aca="false">IF($B180="","",IF($D180="收入",$T180,IF($D180="转账",$U180,$S180)))</f>
        <v/>
      </c>
      <c r="P180" s="49" t="str">
        <f aca="false">IF($B180="","",IF($D180="收入",$S180,$T180))</f>
        <v/>
      </c>
      <c r="Q180" s="50" t="str">
        <f aca="false">IF($E180="","",IF($D180="转账","—",IFERROR(INDEX(科目参数!$P$6:$P$85,MATCH($E180,科目参数!$M$6:$M$85,0)),"")))</f>
        <v/>
      </c>
      <c r="R180" s="48" t="str">
        <f aca="false">IF($B180="","",SUMIFS(期初数据!$B$6:$B$35,期初数据!$A$6:$A$35,$F180)+SUMIFS($N$5:$N180,$F$5:$F180,$F180,$D$5:$D180,"收入")-SUMIFS($N$5:$N180,$F$5:$F180,$F180,$D$5:$D180,"支出")-SUMIFS($N$5:$N180,$F$5:$F180,$F180,$D$5:$D180,"转账")+SUMIFS($N$5:$N180,$G$5:$G180,$F180,$D$5:$D180,"转账"))</f>
        <v/>
      </c>
      <c r="S180" s="49" t="str">
        <f aca="false">IF($E180="","",IFERROR(INDEX(科目参数!$N$6:$N$85,MATCH($E180,科目参数!$M$6:$M$85,0)),""))</f>
        <v/>
      </c>
      <c r="T180" s="49" t="str">
        <f aca="false">IF($F180="","",IFERROR(INDEX(基础资料!$C$6:$C$35,MATCH($F180,基础资料!$A$6:$A$35,0)),""))</f>
        <v/>
      </c>
      <c r="U180" s="49" t="str">
        <f aca="false">IF($G180="","",IFERROR(INDEX(基础资料!$C$6:$C$35,MATCH($G180,基础资料!$A$6:$A$35,0)),""))</f>
        <v/>
      </c>
      <c r="V180" s="49" t="str">
        <f aca="false">IF(AND($G180=客户对账单!$B$3,$E180="客户回款",$B180&gt;=客户对账单!$E$3,$B180&lt;=客户对账单!$H$3),COUNTIFS($G$5:$G180,客户对账单!$B$3,$E$5:$E180,"客户回款",$B$5:$B180,"&gt;="&amp;客户对账单!$E$3,$B$5:$B180,"&lt;="&amp;客户对账单!$H$3),"")</f>
        <v/>
      </c>
      <c r="W180" s="49" t="str">
        <f aca="false">IF(AND($G180=供应商对账单!$B$3,$E180="供应商付款",$B180&gt;=供应商对账单!$E$3,$B180&lt;=供应商对账单!$H$3),COUNTIFS($G$5:$G180,供应商对账单!$B$3,$E$5:$E180,"供应商付款",$B$5:$B180,"&gt;="&amp;供应商对账单!$E$3,$B$5:$B180,"&lt;="&amp;供应商对账单!$H$3),"")</f>
        <v/>
      </c>
    </row>
    <row r="181" customFormat="false" ht="15.75" hidden="false" customHeight="true" outlineLevel="0" collapsed="false">
      <c r="A181" s="42" t="str">
        <f aca="false">IF($B181="","","ZJ"&amp;TEXT($B181,"yyyymm")&amp;"-"&amp;TEXT(ROW()-4,"000"))</f>
        <v/>
      </c>
      <c r="B181" s="41"/>
      <c r="C181" s="42" t="str">
        <f aca="false">IF($B181="","",TEXT($B181,"yyyy-mm"))</f>
        <v/>
      </c>
      <c r="D181" s="42" t="str">
        <f aca="false">IF($E181="","",IFERROR(INDEX(科目参数!$L$6:$L$85,MATCH($E181,科目参数!$M$6:$M$85,0)),"⚠"))</f>
        <v/>
      </c>
      <c r="E181" s="33"/>
      <c r="F181" s="33"/>
      <c r="G181" s="36"/>
      <c r="H181" s="33"/>
      <c r="I181" s="33"/>
      <c r="J181" s="36"/>
      <c r="K181" s="40"/>
      <c r="L181" s="40"/>
      <c r="M181" s="47" t="str">
        <f aca="false">IF($B181="","",IF(NOT(ISNUMBER($B181)),"日期不是日期格式",IF(YEAR($B181)&lt;&gt;首页!$B$3,"不在会计年度",IF($E181="","未选收支科目",IF($D181="⚠","收支科目不存在",IF($F181="","未选账户",IF($T181="","账户未设资金科目",IF(AND($D181="转账",$U181=""),"转入账户无效",IF(AND(N($K181)&gt;0,N($L181)&gt;0),"收支不能同时填",IF(AND($D181="收入",N($K181)&lt;=0),"收入金额须大于0",IF(AND($D181&lt;&gt;"收入",N($L181)&lt;=0),"支出金额须大于0",IF($O181="","借方科目缺失",IF($P181="","贷方科目缺失","√")))))))))))))</f>
        <v/>
      </c>
      <c r="N181" s="48" t="str">
        <f aca="false">IF($B181="","",IF($D181="收入",N($K181),N($L181)))</f>
        <v/>
      </c>
      <c r="O181" s="49" t="str">
        <f aca="false">IF($B181="","",IF($D181="收入",$T181,IF($D181="转账",$U181,$S181)))</f>
        <v/>
      </c>
      <c r="P181" s="49" t="str">
        <f aca="false">IF($B181="","",IF($D181="收入",$S181,$T181))</f>
        <v/>
      </c>
      <c r="Q181" s="50" t="str">
        <f aca="false">IF($E181="","",IF($D181="转账","—",IFERROR(INDEX(科目参数!$P$6:$P$85,MATCH($E181,科目参数!$M$6:$M$85,0)),"")))</f>
        <v/>
      </c>
      <c r="R181" s="48" t="str">
        <f aca="false">IF($B181="","",SUMIFS(期初数据!$B$6:$B$35,期初数据!$A$6:$A$35,$F181)+SUMIFS($N$5:$N181,$F$5:$F181,$F181,$D$5:$D181,"收入")-SUMIFS($N$5:$N181,$F$5:$F181,$F181,$D$5:$D181,"支出")-SUMIFS($N$5:$N181,$F$5:$F181,$F181,$D$5:$D181,"转账")+SUMIFS($N$5:$N181,$G$5:$G181,$F181,$D$5:$D181,"转账"))</f>
        <v/>
      </c>
      <c r="S181" s="49" t="str">
        <f aca="false">IF($E181="","",IFERROR(INDEX(科目参数!$N$6:$N$85,MATCH($E181,科目参数!$M$6:$M$85,0)),""))</f>
        <v/>
      </c>
      <c r="T181" s="49" t="str">
        <f aca="false">IF($F181="","",IFERROR(INDEX(基础资料!$C$6:$C$35,MATCH($F181,基础资料!$A$6:$A$35,0)),""))</f>
        <v/>
      </c>
      <c r="U181" s="49" t="str">
        <f aca="false">IF($G181="","",IFERROR(INDEX(基础资料!$C$6:$C$35,MATCH($G181,基础资料!$A$6:$A$35,0)),""))</f>
        <v/>
      </c>
      <c r="V181" s="49" t="str">
        <f aca="false">IF(AND($G181=客户对账单!$B$3,$E181="客户回款",$B181&gt;=客户对账单!$E$3,$B181&lt;=客户对账单!$H$3),COUNTIFS($G$5:$G181,客户对账单!$B$3,$E$5:$E181,"客户回款",$B$5:$B181,"&gt;="&amp;客户对账单!$E$3,$B$5:$B181,"&lt;="&amp;客户对账单!$H$3),"")</f>
        <v/>
      </c>
      <c r="W181" s="49" t="str">
        <f aca="false">IF(AND($G181=供应商对账单!$B$3,$E181="供应商付款",$B181&gt;=供应商对账单!$E$3,$B181&lt;=供应商对账单!$H$3),COUNTIFS($G$5:$G181,供应商对账单!$B$3,$E$5:$E181,"供应商付款",$B$5:$B181,"&gt;="&amp;供应商对账单!$E$3,$B$5:$B181,"&lt;="&amp;供应商对账单!$H$3),"")</f>
        <v/>
      </c>
    </row>
    <row r="182" customFormat="false" ht="15.75" hidden="false" customHeight="true" outlineLevel="0" collapsed="false">
      <c r="A182" s="42" t="str">
        <f aca="false">IF($B182="","","ZJ"&amp;TEXT($B182,"yyyymm")&amp;"-"&amp;TEXT(ROW()-4,"000"))</f>
        <v/>
      </c>
      <c r="B182" s="41"/>
      <c r="C182" s="42" t="str">
        <f aca="false">IF($B182="","",TEXT($B182,"yyyy-mm"))</f>
        <v/>
      </c>
      <c r="D182" s="42" t="str">
        <f aca="false">IF($E182="","",IFERROR(INDEX(科目参数!$L$6:$L$85,MATCH($E182,科目参数!$M$6:$M$85,0)),"⚠"))</f>
        <v/>
      </c>
      <c r="E182" s="33"/>
      <c r="F182" s="33"/>
      <c r="G182" s="36"/>
      <c r="H182" s="33"/>
      <c r="I182" s="33"/>
      <c r="J182" s="36"/>
      <c r="K182" s="40"/>
      <c r="L182" s="40"/>
      <c r="M182" s="47" t="str">
        <f aca="false">IF($B182="","",IF(NOT(ISNUMBER($B182)),"日期不是日期格式",IF(YEAR($B182)&lt;&gt;首页!$B$3,"不在会计年度",IF($E182="","未选收支科目",IF($D182="⚠","收支科目不存在",IF($F182="","未选账户",IF($T182="","账户未设资金科目",IF(AND($D182="转账",$U182=""),"转入账户无效",IF(AND(N($K182)&gt;0,N($L182)&gt;0),"收支不能同时填",IF(AND($D182="收入",N($K182)&lt;=0),"收入金额须大于0",IF(AND($D182&lt;&gt;"收入",N($L182)&lt;=0),"支出金额须大于0",IF($O182="","借方科目缺失",IF($P182="","贷方科目缺失","√")))))))))))))</f>
        <v/>
      </c>
      <c r="N182" s="48" t="str">
        <f aca="false">IF($B182="","",IF($D182="收入",N($K182),N($L182)))</f>
        <v/>
      </c>
      <c r="O182" s="49" t="str">
        <f aca="false">IF($B182="","",IF($D182="收入",$T182,IF($D182="转账",$U182,$S182)))</f>
        <v/>
      </c>
      <c r="P182" s="49" t="str">
        <f aca="false">IF($B182="","",IF($D182="收入",$S182,$T182))</f>
        <v/>
      </c>
      <c r="Q182" s="50" t="str">
        <f aca="false">IF($E182="","",IF($D182="转账","—",IFERROR(INDEX(科目参数!$P$6:$P$85,MATCH($E182,科目参数!$M$6:$M$85,0)),"")))</f>
        <v/>
      </c>
      <c r="R182" s="48" t="str">
        <f aca="false">IF($B182="","",SUMIFS(期初数据!$B$6:$B$35,期初数据!$A$6:$A$35,$F182)+SUMIFS($N$5:$N182,$F$5:$F182,$F182,$D$5:$D182,"收入")-SUMIFS($N$5:$N182,$F$5:$F182,$F182,$D$5:$D182,"支出")-SUMIFS($N$5:$N182,$F$5:$F182,$F182,$D$5:$D182,"转账")+SUMIFS($N$5:$N182,$G$5:$G182,$F182,$D$5:$D182,"转账"))</f>
        <v/>
      </c>
      <c r="S182" s="49" t="str">
        <f aca="false">IF($E182="","",IFERROR(INDEX(科目参数!$N$6:$N$85,MATCH($E182,科目参数!$M$6:$M$85,0)),""))</f>
        <v/>
      </c>
      <c r="T182" s="49" t="str">
        <f aca="false">IF($F182="","",IFERROR(INDEX(基础资料!$C$6:$C$35,MATCH($F182,基础资料!$A$6:$A$35,0)),""))</f>
        <v/>
      </c>
      <c r="U182" s="49" t="str">
        <f aca="false">IF($G182="","",IFERROR(INDEX(基础资料!$C$6:$C$35,MATCH($G182,基础资料!$A$6:$A$35,0)),""))</f>
        <v/>
      </c>
      <c r="V182" s="49" t="str">
        <f aca="false">IF(AND($G182=客户对账单!$B$3,$E182="客户回款",$B182&gt;=客户对账单!$E$3,$B182&lt;=客户对账单!$H$3),COUNTIFS($G$5:$G182,客户对账单!$B$3,$E$5:$E182,"客户回款",$B$5:$B182,"&gt;="&amp;客户对账单!$E$3,$B$5:$B182,"&lt;="&amp;客户对账单!$H$3),"")</f>
        <v/>
      </c>
      <c r="W182" s="49" t="str">
        <f aca="false">IF(AND($G182=供应商对账单!$B$3,$E182="供应商付款",$B182&gt;=供应商对账单!$E$3,$B182&lt;=供应商对账单!$H$3),COUNTIFS($G$5:$G182,供应商对账单!$B$3,$E$5:$E182,"供应商付款",$B$5:$B182,"&gt;="&amp;供应商对账单!$E$3,$B$5:$B182,"&lt;="&amp;供应商对账单!$H$3),"")</f>
        <v/>
      </c>
    </row>
    <row r="183" customFormat="false" ht="15.75" hidden="false" customHeight="true" outlineLevel="0" collapsed="false">
      <c r="A183" s="42" t="str">
        <f aca="false">IF($B183="","","ZJ"&amp;TEXT($B183,"yyyymm")&amp;"-"&amp;TEXT(ROW()-4,"000"))</f>
        <v/>
      </c>
      <c r="B183" s="41"/>
      <c r="C183" s="42" t="str">
        <f aca="false">IF($B183="","",TEXT($B183,"yyyy-mm"))</f>
        <v/>
      </c>
      <c r="D183" s="42" t="str">
        <f aca="false">IF($E183="","",IFERROR(INDEX(科目参数!$L$6:$L$85,MATCH($E183,科目参数!$M$6:$M$85,0)),"⚠"))</f>
        <v/>
      </c>
      <c r="E183" s="33"/>
      <c r="F183" s="33"/>
      <c r="G183" s="36"/>
      <c r="H183" s="33"/>
      <c r="I183" s="33"/>
      <c r="J183" s="36"/>
      <c r="K183" s="40"/>
      <c r="L183" s="40"/>
      <c r="M183" s="47" t="str">
        <f aca="false">IF($B183="","",IF(NOT(ISNUMBER($B183)),"日期不是日期格式",IF(YEAR($B183)&lt;&gt;首页!$B$3,"不在会计年度",IF($E183="","未选收支科目",IF($D183="⚠","收支科目不存在",IF($F183="","未选账户",IF($T183="","账户未设资金科目",IF(AND($D183="转账",$U183=""),"转入账户无效",IF(AND(N($K183)&gt;0,N($L183)&gt;0),"收支不能同时填",IF(AND($D183="收入",N($K183)&lt;=0),"收入金额须大于0",IF(AND($D183&lt;&gt;"收入",N($L183)&lt;=0),"支出金额须大于0",IF($O183="","借方科目缺失",IF($P183="","贷方科目缺失","√")))))))))))))</f>
        <v/>
      </c>
      <c r="N183" s="48" t="str">
        <f aca="false">IF($B183="","",IF($D183="收入",N($K183),N($L183)))</f>
        <v/>
      </c>
      <c r="O183" s="49" t="str">
        <f aca="false">IF($B183="","",IF($D183="收入",$T183,IF($D183="转账",$U183,$S183)))</f>
        <v/>
      </c>
      <c r="P183" s="49" t="str">
        <f aca="false">IF($B183="","",IF($D183="收入",$S183,$T183))</f>
        <v/>
      </c>
      <c r="Q183" s="50" t="str">
        <f aca="false">IF($E183="","",IF($D183="转账","—",IFERROR(INDEX(科目参数!$P$6:$P$85,MATCH($E183,科目参数!$M$6:$M$85,0)),"")))</f>
        <v/>
      </c>
      <c r="R183" s="48" t="str">
        <f aca="false">IF($B183="","",SUMIFS(期初数据!$B$6:$B$35,期初数据!$A$6:$A$35,$F183)+SUMIFS($N$5:$N183,$F$5:$F183,$F183,$D$5:$D183,"收入")-SUMIFS($N$5:$N183,$F$5:$F183,$F183,$D$5:$D183,"支出")-SUMIFS($N$5:$N183,$F$5:$F183,$F183,$D$5:$D183,"转账")+SUMIFS($N$5:$N183,$G$5:$G183,$F183,$D$5:$D183,"转账"))</f>
        <v/>
      </c>
      <c r="S183" s="49" t="str">
        <f aca="false">IF($E183="","",IFERROR(INDEX(科目参数!$N$6:$N$85,MATCH($E183,科目参数!$M$6:$M$85,0)),""))</f>
        <v/>
      </c>
      <c r="T183" s="49" t="str">
        <f aca="false">IF($F183="","",IFERROR(INDEX(基础资料!$C$6:$C$35,MATCH($F183,基础资料!$A$6:$A$35,0)),""))</f>
        <v/>
      </c>
      <c r="U183" s="49" t="str">
        <f aca="false">IF($G183="","",IFERROR(INDEX(基础资料!$C$6:$C$35,MATCH($G183,基础资料!$A$6:$A$35,0)),""))</f>
        <v/>
      </c>
      <c r="V183" s="49" t="str">
        <f aca="false">IF(AND($G183=客户对账单!$B$3,$E183="客户回款",$B183&gt;=客户对账单!$E$3,$B183&lt;=客户对账单!$H$3),COUNTIFS($G$5:$G183,客户对账单!$B$3,$E$5:$E183,"客户回款",$B$5:$B183,"&gt;="&amp;客户对账单!$E$3,$B$5:$B183,"&lt;="&amp;客户对账单!$H$3),"")</f>
        <v/>
      </c>
      <c r="W183" s="49" t="str">
        <f aca="false">IF(AND($G183=供应商对账单!$B$3,$E183="供应商付款",$B183&gt;=供应商对账单!$E$3,$B183&lt;=供应商对账单!$H$3),COUNTIFS($G$5:$G183,供应商对账单!$B$3,$E$5:$E183,"供应商付款",$B$5:$B183,"&gt;="&amp;供应商对账单!$E$3,$B$5:$B183,"&lt;="&amp;供应商对账单!$H$3),"")</f>
        <v/>
      </c>
    </row>
    <row r="184" customFormat="false" ht="15.75" hidden="false" customHeight="true" outlineLevel="0" collapsed="false">
      <c r="A184" s="42" t="str">
        <f aca="false">IF($B184="","","ZJ"&amp;TEXT($B184,"yyyymm")&amp;"-"&amp;TEXT(ROW()-4,"000"))</f>
        <v/>
      </c>
      <c r="B184" s="41"/>
      <c r="C184" s="42" t="str">
        <f aca="false">IF($B184="","",TEXT($B184,"yyyy-mm"))</f>
        <v/>
      </c>
      <c r="D184" s="42" t="str">
        <f aca="false">IF($E184="","",IFERROR(INDEX(科目参数!$L$6:$L$85,MATCH($E184,科目参数!$M$6:$M$85,0)),"⚠"))</f>
        <v/>
      </c>
      <c r="E184" s="33"/>
      <c r="F184" s="33"/>
      <c r="G184" s="36"/>
      <c r="H184" s="33"/>
      <c r="I184" s="33"/>
      <c r="J184" s="36"/>
      <c r="K184" s="40"/>
      <c r="L184" s="40"/>
      <c r="M184" s="47" t="str">
        <f aca="false">IF($B184="","",IF(NOT(ISNUMBER($B184)),"日期不是日期格式",IF(YEAR($B184)&lt;&gt;首页!$B$3,"不在会计年度",IF($E184="","未选收支科目",IF($D184="⚠","收支科目不存在",IF($F184="","未选账户",IF($T184="","账户未设资金科目",IF(AND($D184="转账",$U184=""),"转入账户无效",IF(AND(N($K184)&gt;0,N($L184)&gt;0),"收支不能同时填",IF(AND($D184="收入",N($K184)&lt;=0),"收入金额须大于0",IF(AND($D184&lt;&gt;"收入",N($L184)&lt;=0),"支出金额须大于0",IF($O184="","借方科目缺失",IF($P184="","贷方科目缺失","√")))))))))))))</f>
        <v/>
      </c>
      <c r="N184" s="48" t="str">
        <f aca="false">IF($B184="","",IF($D184="收入",N($K184),N($L184)))</f>
        <v/>
      </c>
      <c r="O184" s="49" t="str">
        <f aca="false">IF($B184="","",IF($D184="收入",$T184,IF($D184="转账",$U184,$S184)))</f>
        <v/>
      </c>
      <c r="P184" s="49" t="str">
        <f aca="false">IF($B184="","",IF($D184="收入",$S184,$T184))</f>
        <v/>
      </c>
      <c r="Q184" s="50" t="str">
        <f aca="false">IF($E184="","",IF($D184="转账","—",IFERROR(INDEX(科目参数!$P$6:$P$85,MATCH($E184,科目参数!$M$6:$M$85,0)),"")))</f>
        <v/>
      </c>
      <c r="R184" s="48" t="str">
        <f aca="false">IF($B184="","",SUMIFS(期初数据!$B$6:$B$35,期初数据!$A$6:$A$35,$F184)+SUMIFS($N$5:$N184,$F$5:$F184,$F184,$D$5:$D184,"收入")-SUMIFS($N$5:$N184,$F$5:$F184,$F184,$D$5:$D184,"支出")-SUMIFS($N$5:$N184,$F$5:$F184,$F184,$D$5:$D184,"转账")+SUMIFS($N$5:$N184,$G$5:$G184,$F184,$D$5:$D184,"转账"))</f>
        <v/>
      </c>
      <c r="S184" s="49" t="str">
        <f aca="false">IF($E184="","",IFERROR(INDEX(科目参数!$N$6:$N$85,MATCH($E184,科目参数!$M$6:$M$85,0)),""))</f>
        <v/>
      </c>
      <c r="T184" s="49" t="str">
        <f aca="false">IF($F184="","",IFERROR(INDEX(基础资料!$C$6:$C$35,MATCH($F184,基础资料!$A$6:$A$35,0)),""))</f>
        <v/>
      </c>
      <c r="U184" s="49" t="str">
        <f aca="false">IF($G184="","",IFERROR(INDEX(基础资料!$C$6:$C$35,MATCH($G184,基础资料!$A$6:$A$35,0)),""))</f>
        <v/>
      </c>
      <c r="V184" s="49" t="str">
        <f aca="false">IF(AND($G184=客户对账单!$B$3,$E184="客户回款",$B184&gt;=客户对账单!$E$3,$B184&lt;=客户对账单!$H$3),COUNTIFS($G$5:$G184,客户对账单!$B$3,$E$5:$E184,"客户回款",$B$5:$B184,"&gt;="&amp;客户对账单!$E$3,$B$5:$B184,"&lt;="&amp;客户对账单!$H$3),"")</f>
        <v/>
      </c>
      <c r="W184" s="49" t="str">
        <f aca="false">IF(AND($G184=供应商对账单!$B$3,$E184="供应商付款",$B184&gt;=供应商对账单!$E$3,$B184&lt;=供应商对账单!$H$3),COUNTIFS($G$5:$G184,供应商对账单!$B$3,$E$5:$E184,"供应商付款",$B$5:$B184,"&gt;="&amp;供应商对账单!$E$3,$B$5:$B184,"&lt;="&amp;供应商对账单!$H$3),"")</f>
        <v/>
      </c>
    </row>
    <row r="185" customFormat="false" ht="15.75" hidden="false" customHeight="true" outlineLevel="0" collapsed="false">
      <c r="A185" s="42" t="str">
        <f aca="false">IF($B185="","","ZJ"&amp;TEXT($B185,"yyyymm")&amp;"-"&amp;TEXT(ROW()-4,"000"))</f>
        <v/>
      </c>
      <c r="B185" s="41"/>
      <c r="C185" s="42" t="str">
        <f aca="false">IF($B185="","",TEXT($B185,"yyyy-mm"))</f>
        <v/>
      </c>
      <c r="D185" s="42" t="str">
        <f aca="false">IF($E185="","",IFERROR(INDEX(科目参数!$L$6:$L$85,MATCH($E185,科目参数!$M$6:$M$85,0)),"⚠"))</f>
        <v/>
      </c>
      <c r="E185" s="33"/>
      <c r="F185" s="33"/>
      <c r="G185" s="36"/>
      <c r="H185" s="33"/>
      <c r="I185" s="33"/>
      <c r="J185" s="36"/>
      <c r="K185" s="40"/>
      <c r="L185" s="40"/>
      <c r="M185" s="47" t="str">
        <f aca="false">IF($B185="","",IF(NOT(ISNUMBER($B185)),"日期不是日期格式",IF(YEAR($B185)&lt;&gt;首页!$B$3,"不在会计年度",IF($E185="","未选收支科目",IF($D185="⚠","收支科目不存在",IF($F185="","未选账户",IF($T185="","账户未设资金科目",IF(AND($D185="转账",$U185=""),"转入账户无效",IF(AND(N($K185)&gt;0,N($L185)&gt;0),"收支不能同时填",IF(AND($D185="收入",N($K185)&lt;=0),"收入金额须大于0",IF(AND($D185&lt;&gt;"收入",N($L185)&lt;=0),"支出金额须大于0",IF($O185="","借方科目缺失",IF($P185="","贷方科目缺失","√")))))))))))))</f>
        <v/>
      </c>
      <c r="N185" s="48" t="str">
        <f aca="false">IF($B185="","",IF($D185="收入",N($K185),N($L185)))</f>
        <v/>
      </c>
      <c r="O185" s="49" t="str">
        <f aca="false">IF($B185="","",IF($D185="收入",$T185,IF($D185="转账",$U185,$S185)))</f>
        <v/>
      </c>
      <c r="P185" s="49" t="str">
        <f aca="false">IF($B185="","",IF($D185="收入",$S185,$T185))</f>
        <v/>
      </c>
      <c r="Q185" s="50" t="str">
        <f aca="false">IF($E185="","",IF($D185="转账","—",IFERROR(INDEX(科目参数!$P$6:$P$85,MATCH($E185,科目参数!$M$6:$M$85,0)),"")))</f>
        <v/>
      </c>
      <c r="R185" s="48" t="str">
        <f aca="false">IF($B185="","",SUMIFS(期初数据!$B$6:$B$35,期初数据!$A$6:$A$35,$F185)+SUMIFS($N$5:$N185,$F$5:$F185,$F185,$D$5:$D185,"收入")-SUMIFS($N$5:$N185,$F$5:$F185,$F185,$D$5:$D185,"支出")-SUMIFS($N$5:$N185,$F$5:$F185,$F185,$D$5:$D185,"转账")+SUMIFS($N$5:$N185,$G$5:$G185,$F185,$D$5:$D185,"转账"))</f>
        <v/>
      </c>
      <c r="S185" s="49" t="str">
        <f aca="false">IF($E185="","",IFERROR(INDEX(科目参数!$N$6:$N$85,MATCH($E185,科目参数!$M$6:$M$85,0)),""))</f>
        <v/>
      </c>
      <c r="T185" s="49" t="str">
        <f aca="false">IF($F185="","",IFERROR(INDEX(基础资料!$C$6:$C$35,MATCH($F185,基础资料!$A$6:$A$35,0)),""))</f>
        <v/>
      </c>
      <c r="U185" s="49" t="str">
        <f aca="false">IF($G185="","",IFERROR(INDEX(基础资料!$C$6:$C$35,MATCH($G185,基础资料!$A$6:$A$35,0)),""))</f>
        <v/>
      </c>
      <c r="V185" s="49" t="str">
        <f aca="false">IF(AND($G185=客户对账单!$B$3,$E185="客户回款",$B185&gt;=客户对账单!$E$3,$B185&lt;=客户对账单!$H$3),COUNTIFS($G$5:$G185,客户对账单!$B$3,$E$5:$E185,"客户回款",$B$5:$B185,"&gt;="&amp;客户对账单!$E$3,$B$5:$B185,"&lt;="&amp;客户对账单!$H$3),"")</f>
        <v/>
      </c>
      <c r="W185" s="49" t="str">
        <f aca="false">IF(AND($G185=供应商对账单!$B$3,$E185="供应商付款",$B185&gt;=供应商对账单!$E$3,$B185&lt;=供应商对账单!$H$3),COUNTIFS($G$5:$G185,供应商对账单!$B$3,$E$5:$E185,"供应商付款",$B$5:$B185,"&gt;="&amp;供应商对账单!$E$3,$B$5:$B185,"&lt;="&amp;供应商对账单!$H$3),"")</f>
        <v/>
      </c>
    </row>
    <row r="186" customFormat="false" ht="15.75" hidden="false" customHeight="true" outlineLevel="0" collapsed="false">
      <c r="A186" s="42" t="str">
        <f aca="false">IF($B186="","","ZJ"&amp;TEXT($B186,"yyyymm")&amp;"-"&amp;TEXT(ROW()-4,"000"))</f>
        <v/>
      </c>
      <c r="B186" s="41"/>
      <c r="C186" s="42" t="str">
        <f aca="false">IF($B186="","",TEXT($B186,"yyyy-mm"))</f>
        <v/>
      </c>
      <c r="D186" s="42" t="str">
        <f aca="false">IF($E186="","",IFERROR(INDEX(科目参数!$L$6:$L$85,MATCH($E186,科目参数!$M$6:$M$85,0)),"⚠"))</f>
        <v/>
      </c>
      <c r="E186" s="33"/>
      <c r="F186" s="33"/>
      <c r="G186" s="36"/>
      <c r="H186" s="33"/>
      <c r="I186" s="33"/>
      <c r="J186" s="36"/>
      <c r="K186" s="40"/>
      <c r="L186" s="40"/>
      <c r="M186" s="47" t="str">
        <f aca="false">IF($B186="","",IF(NOT(ISNUMBER($B186)),"日期不是日期格式",IF(YEAR($B186)&lt;&gt;首页!$B$3,"不在会计年度",IF($E186="","未选收支科目",IF($D186="⚠","收支科目不存在",IF($F186="","未选账户",IF($T186="","账户未设资金科目",IF(AND($D186="转账",$U186=""),"转入账户无效",IF(AND(N($K186)&gt;0,N($L186)&gt;0),"收支不能同时填",IF(AND($D186="收入",N($K186)&lt;=0),"收入金额须大于0",IF(AND($D186&lt;&gt;"收入",N($L186)&lt;=0),"支出金额须大于0",IF($O186="","借方科目缺失",IF($P186="","贷方科目缺失","√")))))))))))))</f>
        <v/>
      </c>
      <c r="N186" s="48" t="str">
        <f aca="false">IF($B186="","",IF($D186="收入",N($K186),N($L186)))</f>
        <v/>
      </c>
      <c r="O186" s="49" t="str">
        <f aca="false">IF($B186="","",IF($D186="收入",$T186,IF($D186="转账",$U186,$S186)))</f>
        <v/>
      </c>
      <c r="P186" s="49" t="str">
        <f aca="false">IF($B186="","",IF($D186="收入",$S186,$T186))</f>
        <v/>
      </c>
      <c r="Q186" s="50" t="str">
        <f aca="false">IF($E186="","",IF($D186="转账","—",IFERROR(INDEX(科目参数!$P$6:$P$85,MATCH($E186,科目参数!$M$6:$M$85,0)),"")))</f>
        <v/>
      </c>
      <c r="R186" s="48" t="str">
        <f aca="false">IF($B186="","",SUMIFS(期初数据!$B$6:$B$35,期初数据!$A$6:$A$35,$F186)+SUMIFS($N$5:$N186,$F$5:$F186,$F186,$D$5:$D186,"收入")-SUMIFS($N$5:$N186,$F$5:$F186,$F186,$D$5:$D186,"支出")-SUMIFS($N$5:$N186,$F$5:$F186,$F186,$D$5:$D186,"转账")+SUMIFS($N$5:$N186,$G$5:$G186,$F186,$D$5:$D186,"转账"))</f>
        <v/>
      </c>
      <c r="S186" s="49" t="str">
        <f aca="false">IF($E186="","",IFERROR(INDEX(科目参数!$N$6:$N$85,MATCH($E186,科目参数!$M$6:$M$85,0)),""))</f>
        <v/>
      </c>
      <c r="T186" s="49" t="str">
        <f aca="false">IF($F186="","",IFERROR(INDEX(基础资料!$C$6:$C$35,MATCH($F186,基础资料!$A$6:$A$35,0)),""))</f>
        <v/>
      </c>
      <c r="U186" s="49" t="str">
        <f aca="false">IF($G186="","",IFERROR(INDEX(基础资料!$C$6:$C$35,MATCH($G186,基础资料!$A$6:$A$35,0)),""))</f>
        <v/>
      </c>
      <c r="V186" s="49" t="str">
        <f aca="false">IF(AND($G186=客户对账单!$B$3,$E186="客户回款",$B186&gt;=客户对账单!$E$3,$B186&lt;=客户对账单!$H$3),COUNTIFS($G$5:$G186,客户对账单!$B$3,$E$5:$E186,"客户回款",$B$5:$B186,"&gt;="&amp;客户对账单!$E$3,$B$5:$B186,"&lt;="&amp;客户对账单!$H$3),"")</f>
        <v/>
      </c>
      <c r="W186" s="49" t="str">
        <f aca="false">IF(AND($G186=供应商对账单!$B$3,$E186="供应商付款",$B186&gt;=供应商对账单!$E$3,$B186&lt;=供应商对账单!$H$3),COUNTIFS($G$5:$G186,供应商对账单!$B$3,$E$5:$E186,"供应商付款",$B$5:$B186,"&gt;="&amp;供应商对账单!$E$3,$B$5:$B186,"&lt;="&amp;供应商对账单!$H$3),"")</f>
        <v/>
      </c>
    </row>
    <row r="187" customFormat="false" ht="15.75" hidden="false" customHeight="true" outlineLevel="0" collapsed="false">
      <c r="A187" s="42" t="str">
        <f aca="false">IF($B187="","","ZJ"&amp;TEXT($B187,"yyyymm")&amp;"-"&amp;TEXT(ROW()-4,"000"))</f>
        <v/>
      </c>
      <c r="B187" s="41"/>
      <c r="C187" s="42" t="str">
        <f aca="false">IF($B187="","",TEXT($B187,"yyyy-mm"))</f>
        <v/>
      </c>
      <c r="D187" s="42" t="str">
        <f aca="false">IF($E187="","",IFERROR(INDEX(科目参数!$L$6:$L$85,MATCH($E187,科目参数!$M$6:$M$85,0)),"⚠"))</f>
        <v/>
      </c>
      <c r="E187" s="33"/>
      <c r="F187" s="33"/>
      <c r="G187" s="36"/>
      <c r="H187" s="33"/>
      <c r="I187" s="33"/>
      <c r="J187" s="36"/>
      <c r="K187" s="40"/>
      <c r="L187" s="40"/>
      <c r="M187" s="47" t="str">
        <f aca="false">IF($B187="","",IF(NOT(ISNUMBER($B187)),"日期不是日期格式",IF(YEAR($B187)&lt;&gt;首页!$B$3,"不在会计年度",IF($E187="","未选收支科目",IF($D187="⚠","收支科目不存在",IF($F187="","未选账户",IF($T187="","账户未设资金科目",IF(AND($D187="转账",$U187=""),"转入账户无效",IF(AND(N($K187)&gt;0,N($L187)&gt;0),"收支不能同时填",IF(AND($D187="收入",N($K187)&lt;=0),"收入金额须大于0",IF(AND($D187&lt;&gt;"收入",N($L187)&lt;=0),"支出金额须大于0",IF($O187="","借方科目缺失",IF($P187="","贷方科目缺失","√")))))))))))))</f>
        <v/>
      </c>
      <c r="N187" s="48" t="str">
        <f aca="false">IF($B187="","",IF($D187="收入",N($K187),N($L187)))</f>
        <v/>
      </c>
      <c r="O187" s="49" t="str">
        <f aca="false">IF($B187="","",IF($D187="收入",$T187,IF($D187="转账",$U187,$S187)))</f>
        <v/>
      </c>
      <c r="P187" s="49" t="str">
        <f aca="false">IF($B187="","",IF($D187="收入",$S187,$T187))</f>
        <v/>
      </c>
      <c r="Q187" s="50" t="str">
        <f aca="false">IF($E187="","",IF($D187="转账","—",IFERROR(INDEX(科目参数!$P$6:$P$85,MATCH($E187,科目参数!$M$6:$M$85,0)),"")))</f>
        <v/>
      </c>
      <c r="R187" s="48" t="str">
        <f aca="false">IF($B187="","",SUMIFS(期初数据!$B$6:$B$35,期初数据!$A$6:$A$35,$F187)+SUMIFS($N$5:$N187,$F$5:$F187,$F187,$D$5:$D187,"收入")-SUMIFS($N$5:$N187,$F$5:$F187,$F187,$D$5:$D187,"支出")-SUMIFS($N$5:$N187,$F$5:$F187,$F187,$D$5:$D187,"转账")+SUMIFS($N$5:$N187,$G$5:$G187,$F187,$D$5:$D187,"转账"))</f>
        <v/>
      </c>
      <c r="S187" s="49" t="str">
        <f aca="false">IF($E187="","",IFERROR(INDEX(科目参数!$N$6:$N$85,MATCH($E187,科目参数!$M$6:$M$85,0)),""))</f>
        <v/>
      </c>
      <c r="T187" s="49" t="str">
        <f aca="false">IF($F187="","",IFERROR(INDEX(基础资料!$C$6:$C$35,MATCH($F187,基础资料!$A$6:$A$35,0)),""))</f>
        <v/>
      </c>
      <c r="U187" s="49" t="str">
        <f aca="false">IF($G187="","",IFERROR(INDEX(基础资料!$C$6:$C$35,MATCH($G187,基础资料!$A$6:$A$35,0)),""))</f>
        <v/>
      </c>
      <c r="V187" s="49" t="str">
        <f aca="false">IF(AND($G187=客户对账单!$B$3,$E187="客户回款",$B187&gt;=客户对账单!$E$3,$B187&lt;=客户对账单!$H$3),COUNTIFS($G$5:$G187,客户对账单!$B$3,$E$5:$E187,"客户回款",$B$5:$B187,"&gt;="&amp;客户对账单!$E$3,$B$5:$B187,"&lt;="&amp;客户对账单!$H$3),"")</f>
        <v/>
      </c>
      <c r="W187" s="49" t="str">
        <f aca="false">IF(AND($G187=供应商对账单!$B$3,$E187="供应商付款",$B187&gt;=供应商对账单!$E$3,$B187&lt;=供应商对账单!$H$3),COUNTIFS($G$5:$G187,供应商对账单!$B$3,$E$5:$E187,"供应商付款",$B$5:$B187,"&gt;="&amp;供应商对账单!$E$3,$B$5:$B187,"&lt;="&amp;供应商对账单!$H$3),"")</f>
        <v/>
      </c>
    </row>
    <row r="188" customFormat="false" ht="15.75" hidden="false" customHeight="true" outlineLevel="0" collapsed="false">
      <c r="A188" s="42" t="str">
        <f aca="false">IF($B188="","","ZJ"&amp;TEXT($B188,"yyyymm")&amp;"-"&amp;TEXT(ROW()-4,"000"))</f>
        <v/>
      </c>
      <c r="B188" s="41"/>
      <c r="C188" s="42" t="str">
        <f aca="false">IF($B188="","",TEXT($B188,"yyyy-mm"))</f>
        <v/>
      </c>
      <c r="D188" s="42" t="str">
        <f aca="false">IF($E188="","",IFERROR(INDEX(科目参数!$L$6:$L$85,MATCH($E188,科目参数!$M$6:$M$85,0)),"⚠"))</f>
        <v/>
      </c>
      <c r="E188" s="33"/>
      <c r="F188" s="33"/>
      <c r="G188" s="36"/>
      <c r="H188" s="33"/>
      <c r="I188" s="33"/>
      <c r="J188" s="36"/>
      <c r="K188" s="40"/>
      <c r="L188" s="40"/>
      <c r="M188" s="47" t="str">
        <f aca="false">IF($B188="","",IF(NOT(ISNUMBER($B188)),"日期不是日期格式",IF(YEAR($B188)&lt;&gt;首页!$B$3,"不在会计年度",IF($E188="","未选收支科目",IF($D188="⚠","收支科目不存在",IF($F188="","未选账户",IF($T188="","账户未设资金科目",IF(AND($D188="转账",$U188=""),"转入账户无效",IF(AND(N($K188)&gt;0,N($L188)&gt;0),"收支不能同时填",IF(AND($D188="收入",N($K188)&lt;=0),"收入金额须大于0",IF(AND($D188&lt;&gt;"收入",N($L188)&lt;=0),"支出金额须大于0",IF($O188="","借方科目缺失",IF($P188="","贷方科目缺失","√")))))))))))))</f>
        <v/>
      </c>
      <c r="N188" s="48" t="str">
        <f aca="false">IF($B188="","",IF($D188="收入",N($K188),N($L188)))</f>
        <v/>
      </c>
      <c r="O188" s="49" t="str">
        <f aca="false">IF($B188="","",IF($D188="收入",$T188,IF($D188="转账",$U188,$S188)))</f>
        <v/>
      </c>
      <c r="P188" s="49" t="str">
        <f aca="false">IF($B188="","",IF($D188="收入",$S188,$T188))</f>
        <v/>
      </c>
      <c r="Q188" s="50" t="str">
        <f aca="false">IF($E188="","",IF($D188="转账","—",IFERROR(INDEX(科目参数!$P$6:$P$85,MATCH($E188,科目参数!$M$6:$M$85,0)),"")))</f>
        <v/>
      </c>
      <c r="R188" s="48" t="str">
        <f aca="false">IF($B188="","",SUMIFS(期初数据!$B$6:$B$35,期初数据!$A$6:$A$35,$F188)+SUMIFS($N$5:$N188,$F$5:$F188,$F188,$D$5:$D188,"收入")-SUMIFS($N$5:$N188,$F$5:$F188,$F188,$D$5:$D188,"支出")-SUMIFS($N$5:$N188,$F$5:$F188,$F188,$D$5:$D188,"转账")+SUMIFS($N$5:$N188,$G$5:$G188,$F188,$D$5:$D188,"转账"))</f>
        <v/>
      </c>
      <c r="S188" s="49" t="str">
        <f aca="false">IF($E188="","",IFERROR(INDEX(科目参数!$N$6:$N$85,MATCH($E188,科目参数!$M$6:$M$85,0)),""))</f>
        <v/>
      </c>
      <c r="T188" s="49" t="str">
        <f aca="false">IF($F188="","",IFERROR(INDEX(基础资料!$C$6:$C$35,MATCH($F188,基础资料!$A$6:$A$35,0)),""))</f>
        <v/>
      </c>
      <c r="U188" s="49" t="str">
        <f aca="false">IF($G188="","",IFERROR(INDEX(基础资料!$C$6:$C$35,MATCH($G188,基础资料!$A$6:$A$35,0)),""))</f>
        <v/>
      </c>
      <c r="V188" s="49" t="str">
        <f aca="false">IF(AND($G188=客户对账单!$B$3,$E188="客户回款",$B188&gt;=客户对账单!$E$3,$B188&lt;=客户对账单!$H$3),COUNTIFS($G$5:$G188,客户对账单!$B$3,$E$5:$E188,"客户回款",$B$5:$B188,"&gt;="&amp;客户对账单!$E$3,$B$5:$B188,"&lt;="&amp;客户对账单!$H$3),"")</f>
        <v/>
      </c>
      <c r="W188" s="49" t="str">
        <f aca="false">IF(AND($G188=供应商对账单!$B$3,$E188="供应商付款",$B188&gt;=供应商对账单!$E$3,$B188&lt;=供应商对账单!$H$3),COUNTIFS($G$5:$G188,供应商对账单!$B$3,$E$5:$E188,"供应商付款",$B$5:$B188,"&gt;="&amp;供应商对账单!$E$3,$B$5:$B188,"&lt;="&amp;供应商对账单!$H$3),"")</f>
        <v/>
      </c>
    </row>
    <row r="189" customFormat="false" ht="15.75" hidden="false" customHeight="true" outlineLevel="0" collapsed="false">
      <c r="A189" s="42" t="str">
        <f aca="false">IF($B189="","","ZJ"&amp;TEXT($B189,"yyyymm")&amp;"-"&amp;TEXT(ROW()-4,"000"))</f>
        <v/>
      </c>
      <c r="B189" s="41"/>
      <c r="C189" s="42" t="str">
        <f aca="false">IF($B189="","",TEXT($B189,"yyyy-mm"))</f>
        <v/>
      </c>
      <c r="D189" s="42" t="str">
        <f aca="false">IF($E189="","",IFERROR(INDEX(科目参数!$L$6:$L$85,MATCH($E189,科目参数!$M$6:$M$85,0)),"⚠"))</f>
        <v/>
      </c>
      <c r="E189" s="33"/>
      <c r="F189" s="33"/>
      <c r="G189" s="36"/>
      <c r="H189" s="33"/>
      <c r="I189" s="33"/>
      <c r="J189" s="36"/>
      <c r="K189" s="40"/>
      <c r="L189" s="40"/>
      <c r="M189" s="47" t="str">
        <f aca="false">IF($B189="","",IF(NOT(ISNUMBER($B189)),"日期不是日期格式",IF(YEAR($B189)&lt;&gt;首页!$B$3,"不在会计年度",IF($E189="","未选收支科目",IF($D189="⚠","收支科目不存在",IF($F189="","未选账户",IF($T189="","账户未设资金科目",IF(AND($D189="转账",$U189=""),"转入账户无效",IF(AND(N($K189)&gt;0,N($L189)&gt;0),"收支不能同时填",IF(AND($D189="收入",N($K189)&lt;=0),"收入金额须大于0",IF(AND($D189&lt;&gt;"收入",N($L189)&lt;=0),"支出金额须大于0",IF($O189="","借方科目缺失",IF($P189="","贷方科目缺失","√")))))))))))))</f>
        <v/>
      </c>
      <c r="N189" s="48" t="str">
        <f aca="false">IF($B189="","",IF($D189="收入",N($K189),N($L189)))</f>
        <v/>
      </c>
      <c r="O189" s="49" t="str">
        <f aca="false">IF($B189="","",IF($D189="收入",$T189,IF($D189="转账",$U189,$S189)))</f>
        <v/>
      </c>
      <c r="P189" s="49" t="str">
        <f aca="false">IF($B189="","",IF($D189="收入",$S189,$T189))</f>
        <v/>
      </c>
      <c r="Q189" s="50" t="str">
        <f aca="false">IF($E189="","",IF($D189="转账","—",IFERROR(INDEX(科目参数!$P$6:$P$85,MATCH($E189,科目参数!$M$6:$M$85,0)),"")))</f>
        <v/>
      </c>
      <c r="R189" s="48" t="str">
        <f aca="false">IF($B189="","",SUMIFS(期初数据!$B$6:$B$35,期初数据!$A$6:$A$35,$F189)+SUMIFS($N$5:$N189,$F$5:$F189,$F189,$D$5:$D189,"收入")-SUMIFS($N$5:$N189,$F$5:$F189,$F189,$D$5:$D189,"支出")-SUMIFS($N$5:$N189,$F$5:$F189,$F189,$D$5:$D189,"转账")+SUMIFS($N$5:$N189,$G$5:$G189,$F189,$D$5:$D189,"转账"))</f>
        <v/>
      </c>
      <c r="S189" s="49" t="str">
        <f aca="false">IF($E189="","",IFERROR(INDEX(科目参数!$N$6:$N$85,MATCH($E189,科目参数!$M$6:$M$85,0)),""))</f>
        <v/>
      </c>
      <c r="T189" s="49" t="str">
        <f aca="false">IF($F189="","",IFERROR(INDEX(基础资料!$C$6:$C$35,MATCH($F189,基础资料!$A$6:$A$35,0)),""))</f>
        <v/>
      </c>
      <c r="U189" s="49" t="str">
        <f aca="false">IF($G189="","",IFERROR(INDEX(基础资料!$C$6:$C$35,MATCH($G189,基础资料!$A$6:$A$35,0)),""))</f>
        <v/>
      </c>
      <c r="V189" s="49" t="str">
        <f aca="false">IF(AND($G189=客户对账单!$B$3,$E189="客户回款",$B189&gt;=客户对账单!$E$3,$B189&lt;=客户对账单!$H$3),COUNTIFS($G$5:$G189,客户对账单!$B$3,$E$5:$E189,"客户回款",$B$5:$B189,"&gt;="&amp;客户对账单!$E$3,$B$5:$B189,"&lt;="&amp;客户对账单!$H$3),"")</f>
        <v/>
      </c>
      <c r="W189" s="49" t="str">
        <f aca="false">IF(AND($G189=供应商对账单!$B$3,$E189="供应商付款",$B189&gt;=供应商对账单!$E$3,$B189&lt;=供应商对账单!$H$3),COUNTIFS($G$5:$G189,供应商对账单!$B$3,$E$5:$E189,"供应商付款",$B$5:$B189,"&gt;="&amp;供应商对账单!$E$3,$B$5:$B189,"&lt;="&amp;供应商对账单!$H$3),"")</f>
        <v/>
      </c>
    </row>
    <row r="190" customFormat="false" ht="15.75" hidden="false" customHeight="true" outlineLevel="0" collapsed="false">
      <c r="A190" s="42" t="str">
        <f aca="false">IF($B190="","","ZJ"&amp;TEXT($B190,"yyyymm")&amp;"-"&amp;TEXT(ROW()-4,"000"))</f>
        <v/>
      </c>
      <c r="B190" s="41"/>
      <c r="C190" s="42" t="str">
        <f aca="false">IF($B190="","",TEXT($B190,"yyyy-mm"))</f>
        <v/>
      </c>
      <c r="D190" s="42" t="str">
        <f aca="false">IF($E190="","",IFERROR(INDEX(科目参数!$L$6:$L$85,MATCH($E190,科目参数!$M$6:$M$85,0)),"⚠"))</f>
        <v/>
      </c>
      <c r="E190" s="33"/>
      <c r="F190" s="33"/>
      <c r="G190" s="36"/>
      <c r="H190" s="33"/>
      <c r="I190" s="33"/>
      <c r="J190" s="36"/>
      <c r="K190" s="40"/>
      <c r="L190" s="40"/>
      <c r="M190" s="47" t="str">
        <f aca="false">IF($B190="","",IF(NOT(ISNUMBER($B190)),"日期不是日期格式",IF(YEAR($B190)&lt;&gt;首页!$B$3,"不在会计年度",IF($E190="","未选收支科目",IF($D190="⚠","收支科目不存在",IF($F190="","未选账户",IF($T190="","账户未设资金科目",IF(AND($D190="转账",$U190=""),"转入账户无效",IF(AND(N($K190)&gt;0,N($L190)&gt;0),"收支不能同时填",IF(AND($D190="收入",N($K190)&lt;=0),"收入金额须大于0",IF(AND($D190&lt;&gt;"收入",N($L190)&lt;=0),"支出金额须大于0",IF($O190="","借方科目缺失",IF($P190="","贷方科目缺失","√")))))))))))))</f>
        <v/>
      </c>
      <c r="N190" s="48" t="str">
        <f aca="false">IF($B190="","",IF($D190="收入",N($K190),N($L190)))</f>
        <v/>
      </c>
      <c r="O190" s="49" t="str">
        <f aca="false">IF($B190="","",IF($D190="收入",$T190,IF($D190="转账",$U190,$S190)))</f>
        <v/>
      </c>
      <c r="P190" s="49" t="str">
        <f aca="false">IF($B190="","",IF($D190="收入",$S190,$T190))</f>
        <v/>
      </c>
      <c r="Q190" s="50" t="str">
        <f aca="false">IF($E190="","",IF($D190="转账","—",IFERROR(INDEX(科目参数!$P$6:$P$85,MATCH($E190,科目参数!$M$6:$M$85,0)),"")))</f>
        <v/>
      </c>
      <c r="R190" s="48" t="str">
        <f aca="false">IF($B190="","",SUMIFS(期初数据!$B$6:$B$35,期初数据!$A$6:$A$35,$F190)+SUMIFS($N$5:$N190,$F$5:$F190,$F190,$D$5:$D190,"收入")-SUMIFS($N$5:$N190,$F$5:$F190,$F190,$D$5:$D190,"支出")-SUMIFS($N$5:$N190,$F$5:$F190,$F190,$D$5:$D190,"转账")+SUMIFS($N$5:$N190,$G$5:$G190,$F190,$D$5:$D190,"转账"))</f>
        <v/>
      </c>
      <c r="S190" s="49" t="str">
        <f aca="false">IF($E190="","",IFERROR(INDEX(科目参数!$N$6:$N$85,MATCH($E190,科目参数!$M$6:$M$85,0)),""))</f>
        <v/>
      </c>
      <c r="T190" s="49" t="str">
        <f aca="false">IF($F190="","",IFERROR(INDEX(基础资料!$C$6:$C$35,MATCH($F190,基础资料!$A$6:$A$35,0)),""))</f>
        <v/>
      </c>
      <c r="U190" s="49" t="str">
        <f aca="false">IF($G190="","",IFERROR(INDEX(基础资料!$C$6:$C$35,MATCH($G190,基础资料!$A$6:$A$35,0)),""))</f>
        <v/>
      </c>
      <c r="V190" s="49" t="str">
        <f aca="false">IF(AND($G190=客户对账单!$B$3,$E190="客户回款",$B190&gt;=客户对账单!$E$3,$B190&lt;=客户对账单!$H$3),COUNTIFS($G$5:$G190,客户对账单!$B$3,$E$5:$E190,"客户回款",$B$5:$B190,"&gt;="&amp;客户对账单!$E$3,$B$5:$B190,"&lt;="&amp;客户对账单!$H$3),"")</f>
        <v/>
      </c>
      <c r="W190" s="49" t="str">
        <f aca="false">IF(AND($G190=供应商对账单!$B$3,$E190="供应商付款",$B190&gt;=供应商对账单!$E$3,$B190&lt;=供应商对账单!$H$3),COUNTIFS($G$5:$G190,供应商对账单!$B$3,$E$5:$E190,"供应商付款",$B$5:$B190,"&gt;="&amp;供应商对账单!$E$3,$B$5:$B190,"&lt;="&amp;供应商对账单!$H$3),"")</f>
        <v/>
      </c>
    </row>
    <row r="191" customFormat="false" ht="15.75" hidden="false" customHeight="true" outlineLevel="0" collapsed="false">
      <c r="A191" s="42" t="str">
        <f aca="false">IF($B191="","","ZJ"&amp;TEXT($B191,"yyyymm")&amp;"-"&amp;TEXT(ROW()-4,"000"))</f>
        <v/>
      </c>
      <c r="B191" s="41"/>
      <c r="C191" s="42" t="str">
        <f aca="false">IF($B191="","",TEXT($B191,"yyyy-mm"))</f>
        <v/>
      </c>
      <c r="D191" s="42" t="str">
        <f aca="false">IF($E191="","",IFERROR(INDEX(科目参数!$L$6:$L$85,MATCH($E191,科目参数!$M$6:$M$85,0)),"⚠"))</f>
        <v/>
      </c>
      <c r="E191" s="33"/>
      <c r="F191" s="33"/>
      <c r="G191" s="36"/>
      <c r="H191" s="33"/>
      <c r="I191" s="33"/>
      <c r="J191" s="36"/>
      <c r="K191" s="40"/>
      <c r="L191" s="40"/>
      <c r="M191" s="47" t="str">
        <f aca="false">IF($B191="","",IF(NOT(ISNUMBER($B191)),"日期不是日期格式",IF(YEAR($B191)&lt;&gt;首页!$B$3,"不在会计年度",IF($E191="","未选收支科目",IF($D191="⚠","收支科目不存在",IF($F191="","未选账户",IF($T191="","账户未设资金科目",IF(AND($D191="转账",$U191=""),"转入账户无效",IF(AND(N($K191)&gt;0,N($L191)&gt;0),"收支不能同时填",IF(AND($D191="收入",N($K191)&lt;=0),"收入金额须大于0",IF(AND($D191&lt;&gt;"收入",N($L191)&lt;=0),"支出金额须大于0",IF($O191="","借方科目缺失",IF($P191="","贷方科目缺失","√")))))))))))))</f>
        <v/>
      </c>
      <c r="N191" s="48" t="str">
        <f aca="false">IF($B191="","",IF($D191="收入",N($K191),N($L191)))</f>
        <v/>
      </c>
      <c r="O191" s="49" t="str">
        <f aca="false">IF($B191="","",IF($D191="收入",$T191,IF($D191="转账",$U191,$S191)))</f>
        <v/>
      </c>
      <c r="P191" s="49" t="str">
        <f aca="false">IF($B191="","",IF($D191="收入",$S191,$T191))</f>
        <v/>
      </c>
      <c r="Q191" s="50" t="str">
        <f aca="false">IF($E191="","",IF($D191="转账","—",IFERROR(INDEX(科目参数!$P$6:$P$85,MATCH($E191,科目参数!$M$6:$M$85,0)),"")))</f>
        <v/>
      </c>
      <c r="R191" s="48" t="str">
        <f aca="false">IF($B191="","",SUMIFS(期初数据!$B$6:$B$35,期初数据!$A$6:$A$35,$F191)+SUMIFS($N$5:$N191,$F$5:$F191,$F191,$D$5:$D191,"收入")-SUMIFS($N$5:$N191,$F$5:$F191,$F191,$D$5:$D191,"支出")-SUMIFS($N$5:$N191,$F$5:$F191,$F191,$D$5:$D191,"转账")+SUMIFS($N$5:$N191,$G$5:$G191,$F191,$D$5:$D191,"转账"))</f>
        <v/>
      </c>
      <c r="S191" s="49" t="str">
        <f aca="false">IF($E191="","",IFERROR(INDEX(科目参数!$N$6:$N$85,MATCH($E191,科目参数!$M$6:$M$85,0)),""))</f>
        <v/>
      </c>
      <c r="T191" s="49" t="str">
        <f aca="false">IF($F191="","",IFERROR(INDEX(基础资料!$C$6:$C$35,MATCH($F191,基础资料!$A$6:$A$35,0)),""))</f>
        <v/>
      </c>
      <c r="U191" s="49" t="str">
        <f aca="false">IF($G191="","",IFERROR(INDEX(基础资料!$C$6:$C$35,MATCH($G191,基础资料!$A$6:$A$35,0)),""))</f>
        <v/>
      </c>
      <c r="V191" s="49" t="str">
        <f aca="false">IF(AND($G191=客户对账单!$B$3,$E191="客户回款",$B191&gt;=客户对账单!$E$3,$B191&lt;=客户对账单!$H$3),COUNTIFS($G$5:$G191,客户对账单!$B$3,$E$5:$E191,"客户回款",$B$5:$B191,"&gt;="&amp;客户对账单!$E$3,$B$5:$B191,"&lt;="&amp;客户对账单!$H$3),"")</f>
        <v/>
      </c>
      <c r="W191" s="49" t="str">
        <f aca="false">IF(AND($G191=供应商对账单!$B$3,$E191="供应商付款",$B191&gt;=供应商对账单!$E$3,$B191&lt;=供应商对账单!$H$3),COUNTIFS($G$5:$G191,供应商对账单!$B$3,$E$5:$E191,"供应商付款",$B$5:$B191,"&gt;="&amp;供应商对账单!$E$3,$B$5:$B191,"&lt;="&amp;供应商对账单!$H$3),"")</f>
        <v/>
      </c>
    </row>
    <row r="192" customFormat="false" ht="15.75" hidden="false" customHeight="true" outlineLevel="0" collapsed="false">
      <c r="A192" s="42" t="str">
        <f aca="false">IF($B192="","","ZJ"&amp;TEXT($B192,"yyyymm")&amp;"-"&amp;TEXT(ROW()-4,"000"))</f>
        <v/>
      </c>
      <c r="B192" s="41"/>
      <c r="C192" s="42" t="str">
        <f aca="false">IF($B192="","",TEXT($B192,"yyyy-mm"))</f>
        <v/>
      </c>
      <c r="D192" s="42" t="str">
        <f aca="false">IF($E192="","",IFERROR(INDEX(科目参数!$L$6:$L$85,MATCH($E192,科目参数!$M$6:$M$85,0)),"⚠"))</f>
        <v/>
      </c>
      <c r="E192" s="33"/>
      <c r="F192" s="33"/>
      <c r="G192" s="36"/>
      <c r="H192" s="33"/>
      <c r="I192" s="33"/>
      <c r="J192" s="36"/>
      <c r="K192" s="40"/>
      <c r="L192" s="40"/>
      <c r="M192" s="47" t="str">
        <f aca="false">IF($B192="","",IF(NOT(ISNUMBER($B192)),"日期不是日期格式",IF(YEAR($B192)&lt;&gt;首页!$B$3,"不在会计年度",IF($E192="","未选收支科目",IF($D192="⚠","收支科目不存在",IF($F192="","未选账户",IF($T192="","账户未设资金科目",IF(AND($D192="转账",$U192=""),"转入账户无效",IF(AND(N($K192)&gt;0,N($L192)&gt;0),"收支不能同时填",IF(AND($D192="收入",N($K192)&lt;=0),"收入金额须大于0",IF(AND($D192&lt;&gt;"收入",N($L192)&lt;=0),"支出金额须大于0",IF($O192="","借方科目缺失",IF($P192="","贷方科目缺失","√")))))))))))))</f>
        <v/>
      </c>
      <c r="N192" s="48" t="str">
        <f aca="false">IF($B192="","",IF($D192="收入",N($K192),N($L192)))</f>
        <v/>
      </c>
      <c r="O192" s="49" t="str">
        <f aca="false">IF($B192="","",IF($D192="收入",$T192,IF($D192="转账",$U192,$S192)))</f>
        <v/>
      </c>
      <c r="P192" s="49" t="str">
        <f aca="false">IF($B192="","",IF($D192="收入",$S192,$T192))</f>
        <v/>
      </c>
      <c r="Q192" s="50" t="str">
        <f aca="false">IF($E192="","",IF($D192="转账","—",IFERROR(INDEX(科目参数!$P$6:$P$85,MATCH($E192,科目参数!$M$6:$M$85,0)),"")))</f>
        <v/>
      </c>
      <c r="R192" s="48" t="str">
        <f aca="false">IF($B192="","",SUMIFS(期初数据!$B$6:$B$35,期初数据!$A$6:$A$35,$F192)+SUMIFS($N$5:$N192,$F$5:$F192,$F192,$D$5:$D192,"收入")-SUMIFS($N$5:$N192,$F$5:$F192,$F192,$D$5:$D192,"支出")-SUMIFS($N$5:$N192,$F$5:$F192,$F192,$D$5:$D192,"转账")+SUMIFS($N$5:$N192,$G$5:$G192,$F192,$D$5:$D192,"转账"))</f>
        <v/>
      </c>
      <c r="S192" s="49" t="str">
        <f aca="false">IF($E192="","",IFERROR(INDEX(科目参数!$N$6:$N$85,MATCH($E192,科目参数!$M$6:$M$85,0)),""))</f>
        <v/>
      </c>
      <c r="T192" s="49" t="str">
        <f aca="false">IF($F192="","",IFERROR(INDEX(基础资料!$C$6:$C$35,MATCH($F192,基础资料!$A$6:$A$35,0)),""))</f>
        <v/>
      </c>
      <c r="U192" s="49" t="str">
        <f aca="false">IF($G192="","",IFERROR(INDEX(基础资料!$C$6:$C$35,MATCH($G192,基础资料!$A$6:$A$35,0)),""))</f>
        <v/>
      </c>
      <c r="V192" s="49" t="str">
        <f aca="false">IF(AND($G192=客户对账单!$B$3,$E192="客户回款",$B192&gt;=客户对账单!$E$3,$B192&lt;=客户对账单!$H$3),COUNTIFS($G$5:$G192,客户对账单!$B$3,$E$5:$E192,"客户回款",$B$5:$B192,"&gt;="&amp;客户对账单!$E$3,$B$5:$B192,"&lt;="&amp;客户对账单!$H$3),"")</f>
        <v/>
      </c>
      <c r="W192" s="49" t="str">
        <f aca="false">IF(AND($G192=供应商对账单!$B$3,$E192="供应商付款",$B192&gt;=供应商对账单!$E$3,$B192&lt;=供应商对账单!$H$3),COUNTIFS($G$5:$G192,供应商对账单!$B$3,$E$5:$E192,"供应商付款",$B$5:$B192,"&gt;="&amp;供应商对账单!$E$3,$B$5:$B192,"&lt;="&amp;供应商对账单!$H$3),"")</f>
        <v/>
      </c>
    </row>
    <row r="193" customFormat="false" ht="15.75" hidden="false" customHeight="true" outlineLevel="0" collapsed="false">
      <c r="A193" s="42" t="str">
        <f aca="false">IF($B193="","","ZJ"&amp;TEXT($B193,"yyyymm")&amp;"-"&amp;TEXT(ROW()-4,"000"))</f>
        <v/>
      </c>
      <c r="B193" s="41"/>
      <c r="C193" s="42" t="str">
        <f aca="false">IF($B193="","",TEXT($B193,"yyyy-mm"))</f>
        <v/>
      </c>
      <c r="D193" s="42" t="str">
        <f aca="false">IF($E193="","",IFERROR(INDEX(科目参数!$L$6:$L$85,MATCH($E193,科目参数!$M$6:$M$85,0)),"⚠"))</f>
        <v/>
      </c>
      <c r="E193" s="33"/>
      <c r="F193" s="33"/>
      <c r="G193" s="36"/>
      <c r="H193" s="33"/>
      <c r="I193" s="33"/>
      <c r="J193" s="36"/>
      <c r="K193" s="40"/>
      <c r="L193" s="40"/>
      <c r="M193" s="47" t="str">
        <f aca="false">IF($B193="","",IF(NOT(ISNUMBER($B193)),"日期不是日期格式",IF(YEAR($B193)&lt;&gt;首页!$B$3,"不在会计年度",IF($E193="","未选收支科目",IF($D193="⚠","收支科目不存在",IF($F193="","未选账户",IF($T193="","账户未设资金科目",IF(AND($D193="转账",$U193=""),"转入账户无效",IF(AND(N($K193)&gt;0,N($L193)&gt;0),"收支不能同时填",IF(AND($D193="收入",N($K193)&lt;=0),"收入金额须大于0",IF(AND($D193&lt;&gt;"收入",N($L193)&lt;=0),"支出金额须大于0",IF($O193="","借方科目缺失",IF($P193="","贷方科目缺失","√")))))))))))))</f>
        <v/>
      </c>
      <c r="N193" s="48" t="str">
        <f aca="false">IF($B193="","",IF($D193="收入",N($K193),N($L193)))</f>
        <v/>
      </c>
      <c r="O193" s="49" t="str">
        <f aca="false">IF($B193="","",IF($D193="收入",$T193,IF($D193="转账",$U193,$S193)))</f>
        <v/>
      </c>
      <c r="P193" s="49" t="str">
        <f aca="false">IF($B193="","",IF($D193="收入",$S193,$T193))</f>
        <v/>
      </c>
      <c r="Q193" s="50" t="str">
        <f aca="false">IF($E193="","",IF($D193="转账","—",IFERROR(INDEX(科目参数!$P$6:$P$85,MATCH($E193,科目参数!$M$6:$M$85,0)),"")))</f>
        <v/>
      </c>
      <c r="R193" s="48" t="str">
        <f aca="false">IF($B193="","",SUMIFS(期初数据!$B$6:$B$35,期初数据!$A$6:$A$35,$F193)+SUMIFS($N$5:$N193,$F$5:$F193,$F193,$D$5:$D193,"收入")-SUMIFS($N$5:$N193,$F$5:$F193,$F193,$D$5:$D193,"支出")-SUMIFS($N$5:$N193,$F$5:$F193,$F193,$D$5:$D193,"转账")+SUMIFS($N$5:$N193,$G$5:$G193,$F193,$D$5:$D193,"转账"))</f>
        <v/>
      </c>
      <c r="S193" s="49" t="str">
        <f aca="false">IF($E193="","",IFERROR(INDEX(科目参数!$N$6:$N$85,MATCH($E193,科目参数!$M$6:$M$85,0)),""))</f>
        <v/>
      </c>
      <c r="T193" s="49" t="str">
        <f aca="false">IF($F193="","",IFERROR(INDEX(基础资料!$C$6:$C$35,MATCH($F193,基础资料!$A$6:$A$35,0)),""))</f>
        <v/>
      </c>
      <c r="U193" s="49" t="str">
        <f aca="false">IF($G193="","",IFERROR(INDEX(基础资料!$C$6:$C$35,MATCH($G193,基础资料!$A$6:$A$35,0)),""))</f>
        <v/>
      </c>
      <c r="V193" s="49" t="str">
        <f aca="false">IF(AND($G193=客户对账单!$B$3,$E193="客户回款",$B193&gt;=客户对账单!$E$3,$B193&lt;=客户对账单!$H$3),COUNTIFS($G$5:$G193,客户对账单!$B$3,$E$5:$E193,"客户回款",$B$5:$B193,"&gt;="&amp;客户对账单!$E$3,$B$5:$B193,"&lt;="&amp;客户对账单!$H$3),"")</f>
        <v/>
      </c>
      <c r="W193" s="49" t="str">
        <f aca="false">IF(AND($G193=供应商对账单!$B$3,$E193="供应商付款",$B193&gt;=供应商对账单!$E$3,$B193&lt;=供应商对账单!$H$3),COUNTIFS($G$5:$G193,供应商对账单!$B$3,$E$5:$E193,"供应商付款",$B$5:$B193,"&gt;="&amp;供应商对账单!$E$3,$B$5:$B193,"&lt;="&amp;供应商对账单!$H$3),"")</f>
        <v/>
      </c>
    </row>
    <row r="194" customFormat="false" ht="15.75" hidden="false" customHeight="true" outlineLevel="0" collapsed="false">
      <c r="A194" s="42" t="str">
        <f aca="false">IF($B194="","","ZJ"&amp;TEXT($B194,"yyyymm")&amp;"-"&amp;TEXT(ROW()-4,"000"))</f>
        <v/>
      </c>
      <c r="B194" s="41"/>
      <c r="C194" s="42" t="str">
        <f aca="false">IF($B194="","",TEXT($B194,"yyyy-mm"))</f>
        <v/>
      </c>
      <c r="D194" s="42" t="str">
        <f aca="false">IF($E194="","",IFERROR(INDEX(科目参数!$L$6:$L$85,MATCH($E194,科目参数!$M$6:$M$85,0)),"⚠"))</f>
        <v/>
      </c>
      <c r="E194" s="33"/>
      <c r="F194" s="33"/>
      <c r="G194" s="36"/>
      <c r="H194" s="33"/>
      <c r="I194" s="33"/>
      <c r="J194" s="36"/>
      <c r="K194" s="40"/>
      <c r="L194" s="40"/>
      <c r="M194" s="47" t="str">
        <f aca="false">IF($B194="","",IF(NOT(ISNUMBER($B194)),"日期不是日期格式",IF(YEAR($B194)&lt;&gt;首页!$B$3,"不在会计年度",IF($E194="","未选收支科目",IF($D194="⚠","收支科目不存在",IF($F194="","未选账户",IF($T194="","账户未设资金科目",IF(AND($D194="转账",$U194=""),"转入账户无效",IF(AND(N($K194)&gt;0,N($L194)&gt;0),"收支不能同时填",IF(AND($D194="收入",N($K194)&lt;=0),"收入金额须大于0",IF(AND($D194&lt;&gt;"收入",N($L194)&lt;=0),"支出金额须大于0",IF($O194="","借方科目缺失",IF($P194="","贷方科目缺失","√")))))))))))))</f>
        <v/>
      </c>
      <c r="N194" s="48" t="str">
        <f aca="false">IF($B194="","",IF($D194="收入",N($K194),N($L194)))</f>
        <v/>
      </c>
      <c r="O194" s="49" t="str">
        <f aca="false">IF($B194="","",IF($D194="收入",$T194,IF($D194="转账",$U194,$S194)))</f>
        <v/>
      </c>
      <c r="P194" s="49" t="str">
        <f aca="false">IF($B194="","",IF($D194="收入",$S194,$T194))</f>
        <v/>
      </c>
      <c r="Q194" s="50" t="str">
        <f aca="false">IF($E194="","",IF($D194="转账","—",IFERROR(INDEX(科目参数!$P$6:$P$85,MATCH($E194,科目参数!$M$6:$M$85,0)),"")))</f>
        <v/>
      </c>
      <c r="R194" s="48" t="str">
        <f aca="false">IF($B194="","",SUMIFS(期初数据!$B$6:$B$35,期初数据!$A$6:$A$35,$F194)+SUMIFS($N$5:$N194,$F$5:$F194,$F194,$D$5:$D194,"收入")-SUMIFS($N$5:$N194,$F$5:$F194,$F194,$D$5:$D194,"支出")-SUMIFS($N$5:$N194,$F$5:$F194,$F194,$D$5:$D194,"转账")+SUMIFS($N$5:$N194,$G$5:$G194,$F194,$D$5:$D194,"转账"))</f>
        <v/>
      </c>
      <c r="S194" s="49" t="str">
        <f aca="false">IF($E194="","",IFERROR(INDEX(科目参数!$N$6:$N$85,MATCH($E194,科目参数!$M$6:$M$85,0)),""))</f>
        <v/>
      </c>
      <c r="T194" s="49" t="str">
        <f aca="false">IF($F194="","",IFERROR(INDEX(基础资料!$C$6:$C$35,MATCH($F194,基础资料!$A$6:$A$35,0)),""))</f>
        <v/>
      </c>
      <c r="U194" s="49" t="str">
        <f aca="false">IF($G194="","",IFERROR(INDEX(基础资料!$C$6:$C$35,MATCH($G194,基础资料!$A$6:$A$35,0)),""))</f>
        <v/>
      </c>
      <c r="V194" s="49" t="str">
        <f aca="false">IF(AND($G194=客户对账单!$B$3,$E194="客户回款",$B194&gt;=客户对账单!$E$3,$B194&lt;=客户对账单!$H$3),COUNTIFS($G$5:$G194,客户对账单!$B$3,$E$5:$E194,"客户回款",$B$5:$B194,"&gt;="&amp;客户对账单!$E$3,$B$5:$B194,"&lt;="&amp;客户对账单!$H$3),"")</f>
        <v/>
      </c>
      <c r="W194" s="49" t="str">
        <f aca="false">IF(AND($G194=供应商对账单!$B$3,$E194="供应商付款",$B194&gt;=供应商对账单!$E$3,$B194&lt;=供应商对账单!$H$3),COUNTIFS($G$5:$G194,供应商对账单!$B$3,$E$5:$E194,"供应商付款",$B$5:$B194,"&gt;="&amp;供应商对账单!$E$3,$B$5:$B194,"&lt;="&amp;供应商对账单!$H$3),"")</f>
        <v/>
      </c>
    </row>
    <row r="195" customFormat="false" ht="15.75" hidden="false" customHeight="true" outlineLevel="0" collapsed="false">
      <c r="A195" s="42" t="str">
        <f aca="false">IF($B195="","","ZJ"&amp;TEXT($B195,"yyyymm")&amp;"-"&amp;TEXT(ROW()-4,"000"))</f>
        <v/>
      </c>
      <c r="B195" s="41"/>
      <c r="C195" s="42" t="str">
        <f aca="false">IF($B195="","",TEXT($B195,"yyyy-mm"))</f>
        <v/>
      </c>
      <c r="D195" s="42" t="str">
        <f aca="false">IF($E195="","",IFERROR(INDEX(科目参数!$L$6:$L$85,MATCH($E195,科目参数!$M$6:$M$85,0)),"⚠"))</f>
        <v/>
      </c>
      <c r="E195" s="33"/>
      <c r="F195" s="33"/>
      <c r="G195" s="36"/>
      <c r="H195" s="33"/>
      <c r="I195" s="33"/>
      <c r="J195" s="36"/>
      <c r="K195" s="40"/>
      <c r="L195" s="40"/>
      <c r="M195" s="47" t="str">
        <f aca="false">IF($B195="","",IF(NOT(ISNUMBER($B195)),"日期不是日期格式",IF(YEAR($B195)&lt;&gt;首页!$B$3,"不在会计年度",IF($E195="","未选收支科目",IF($D195="⚠","收支科目不存在",IF($F195="","未选账户",IF($T195="","账户未设资金科目",IF(AND($D195="转账",$U195=""),"转入账户无效",IF(AND(N($K195)&gt;0,N($L195)&gt;0),"收支不能同时填",IF(AND($D195="收入",N($K195)&lt;=0),"收入金额须大于0",IF(AND($D195&lt;&gt;"收入",N($L195)&lt;=0),"支出金额须大于0",IF($O195="","借方科目缺失",IF($P195="","贷方科目缺失","√")))))))))))))</f>
        <v/>
      </c>
      <c r="N195" s="48" t="str">
        <f aca="false">IF($B195="","",IF($D195="收入",N($K195),N($L195)))</f>
        <v/>
      </c>
      <c r="O195" s="49" t="str">
        <f aca="false">IF($B195="","",IF($D195="收入",$T195,IF($D195="转账",$U195,$S195)))</f>
        <v/>
      </c>
      <c r="P195" s="49" t="str">
        <f aca="false">IF($B195="","",IF($D195="收入",$S195,$T195))</f>
        <v/>
      </c>
      <c r="Q195" s="50" t="str">
        <f aca="false">IF($E195="","",IF($D195="转账","—",IFERROR(INDEX(科目参数!$P$6:$P$85,MATCH($E195,科目参数!$M$6:$M$85,0)),"")))</f>
        <v/>
      </c>
      <c r="R195" s="48" t="str">
        <f aca="false">IF($B195="","",SUMIFS(期初数据!$B$6:$B$35,期初数据!$A$6:$A$35,$F195)+SUMIFS($N$5:$N195,$F$5:$F195,$F195,$D$5:$D195,"收入")-SUMIFS($N$5:$N195,$F$5:$F195,$F195,$D$5:$D195,"支出")-SUMIFS($N$5:$N195,$F$5:$F195,$F195,$D$5:$D195,"转账")+SUMIFS($N$5:$N195,$G$5:$G195,$F195,$D$5:$D195,"转账"))</f>
        <v/>
      </c>
      <c r="S195" s="49" t="str">
        <f aca="false">IF($E195="","",IFERROR(INDEX(科目参数!$N$6:$N$85,MATCH($E195,科目参数!$M$6:$M$85,0)),""))</f>
        <v/>
      </c>
      <c r="T195" s="49" t="str">
        <f aca="false">IF($F195="","",IFERROR(INDEX(基础资料!$C$6:$C$35,MATCH($F195,基础资料!$A$6:$A$35,0)),""))</f>
        <v/>
      </c>
      <c r="U195" s="49" t="str">
        <f aca="false">IF($G195="","",IFERROR(INDEX(基础资料!$C$6:$C$35,MATCH($G195,基础资料!$A$6:$A$35,0)),""))</f>
        <v/>
      </c>
      <c r="V195" s="49" t="str">
        <f aca="false">IF(AND($G195=客户对账单!$B$3,$E195="客户回款",$B195&gt;=客户对账单!$E$3,$B195&lt;=客户对账单!$H$3),COUNTIFS($G$5:$G195,客户对账单!$B$3,$E$5:$E195,"客户回款",$B$5:$B195,"&gt;="&amp;客户对账单!$E$3,$B$5:$B195,"&lt;="&amp;客户对账单!$H$3),"")</f>
        <v/>
      </c>
      <c r="W195" s="49" t="str">
        <f aca="false">IF(AND($G195=供应商对账单!$B$3,$E195="供应商付款",$B195&gt;=供应商对账单!$E$3,$B195&lt;=供应商对账单!$H$3),COUNTIFS($G$5:$G195,供应商对账单!$B$3,$E$5:$E195,"供应商付款",$B$5:$B195,"&gt;="&amp;供应商对账单!$E$3,$B$5:$B195,"&lt;="&amp;供应商对账单!$H$3),"")</f>
        <v/>
      </c>
    </row>
    <row r="196" customFormat="false" ht="15.75" hidden="false" customHeight="true" outlineLevel="0" collapsed="false">
      <c r="A196" s="42" t="str">
        <f aca="false">IF($B196="","","ZJ"&amp;TEXT($B196,"yyyymm")&amp;"-"&amp;TEXT(ROW()-4,"000"))</f>
        <v/>
      </c>
      <c r="B196" s="41"/>
      <c r="C196" s="42" t="str">
        <f aca="false">IF($B196="","",TEXT($B196,"yyyy-mm"))</f>
        <v/>
      </c>
      <c r="D196" s="42" t="str">
        <f aca="false">IF($E196="","",IFERROR(INDEX(科目参数!$L$6:$L$85,MATCH($E196,科目参数!$M$6:$M$85,0)),"⚠"))</f>
        <v/>
      </c>
      <c r="E196" s="33"/>
      <c r="F196" s="33"/>
      <c r="G196" s="36"/>
      <c r="H196" s="33"/>
      <c r="I196" s="33"/>
      <c r="J196" s="36"/>
      <c r="K196" s="40"/>
      <c r="L196" s="40"/>
      <c r="M196" s="47" t="str">
        <f aca="false">IF($B196="","",IF(NOT(ISNUMBER($B196)),"日期不是日期格式",IF(YEAR($B196)&lt;&gt;首页!$B$3,"不在会计年度",IF($E196="","未选收支科目",IF($D196="⚠","收支科目不存在",IF($F196="","未选账户",IF($T196="","账户未设资金科目",IF(AND($D196="转账",$U196=""),"转入账户无效",IF(AND(N($K196)&gt;0,N($L196)&gt;0),"收支不能同时填",IF(AND($D196="收入",N($K196)&lt;=0),"收入金额须大于0",IF(AND($D196&lt;&gt;"收入",N($L196)&lt;=0),"支出金额须大于0",IF($O196="","借方科目缺失",IF($P196="","贷方科目缺失","√")))))))))))))</f>
        <v/>
      </c>
      <c r="N196" s="48" t="str">
        <f aca="false">IF($B196="","",IF($D196="收入",N($K196),N($L196)))</f>
        <v/>
      </c>
      <c r="O196" s="49" t="str">
        <f aca="false">IF($B196="","",IF($D196="收入",$T196,IF($D196="转账",$U196,$S196)))</f>
        <v/>
      </c>
      <c r="P196" s="49" t="str">
        <f aca="false">IF($B196="","",IF($D196="收入",$S196,$T196))</f>
        <v/>
      </c>
      <c r="Q196" s="50" t="str">
        <f aca="false">IF($E196="","",IF($D196="转账","—",IFERROR(INDEX(科目参数!$P$6:$P$85,MATCH($E196,科目参数!$M$6:$M$85,0)),"")))</f>
        <v/>
      </c>
      <c r="R196" s="48" t="str">
        <f aca="false">IF($B196="","",SUMIFS(期初数据!$B$6:$B$35,期初数据!$A$6:$A$35,$F196)+SUMIFS($N$5:$N196,$F$5:$F196,$F196,$D$5:$D196,"收入")-SUMIFS($N$5:$N196,$F$5:$F196,$F196,$D$5:$D196,"支出")-SUMIFS($N$5:$N196,$F$5:$F196,$F196,$D$5:$D196,"转账")+SUMIFS($N$5:$N196,$G$5:$G196,$F196,$D$5:$D196,"转账"))</f>
        <v/>
      </c>
      <c r="S196" s="49" t="str">
        <f aca="false">IF($E196="","",IFERROR(INDEX(科目参数!$N$6:$N$85,MATCH($E196,科目参数!$M$6:$M$85,0)),""))</f>
        <v/>
      </c>
      <c r="T196" s="49" t="str">
        <f aca="false">IF($F196="","",IFERROR(INDEX(基础资料!$C$6:$C$35,MATCH($F196,基础资料!$A$6:$A$35,0)),""))</f>
        <v/>
      </c>
      <c r="U196" s="49" t="str">
        <f aca="false">IF($G196="","",IFERROR(INDEX(基础资料!$C$6:$C$35,MATCH($G196,基础资料!$A$6:$A$35,0)),""))</f>
        <v/>
      </c>
      <c r="V196" s="49" t="str">
        <f aca="false">IF(AND($G196=客户对账单!$B$3,$E196="客户回款",$B196&gt;=客户对账单!$E$3,$B196&lt;=客户对账单!$H$3),COUNTIFS($G$5:$G196,客户对账单!$B$3,$E$5:$E196,"客户回款",$B$5:$B196,"&gt;="&amp;客户对账单!$E$3,$B$5:$B196,"&lt;="&amp;客户对账单!$H$3),"")</f>
        <v/>
      </c>
      <c r="W196" s="49" t="str">
        <f aca="false">IF(AND($G196=供应商对账单!$B$3,$E196="供应商付款",$B196&gt;=供应商对账单!$E$3,$B196&lt;=供应商对账单!$H$3),COUNTIFS($G$5:$G196,供应商对账单!$B$3,$E$5:$E196,"供应商付款",$B$5:$B196,"&gt;="&amp;供应商对账单!$E$3,$B$5:$B196,"&lt;="&amp;供应商对账单!$H$3),"")</f>
        <v/>
      </c>
    </row>
    <row r="197" customFormat="false" ht="15.75" hidden="false" customHeight="true" outlineLevel="0" collapsed="false">
      <c r="A197" s="42" t="str">
        <f aca="false">IF($B197="","","ZJ"&amp;TEXT($B197,"yyyymm")&amp;"-"&amp;TEXT(ROW()-4,"000"))</f>
        <v/>
      </c>
      <c r="B197" s="41"/>
      <c r="C197" s="42" t="str">
        <f aca="false">IF($B197="","",TEXT($B197,"yyyy-mm"))</f>
        <v/>
      </c>
      <c r="D197" s="42" t="str">
        <f aca="false">IF($E197="","",IFERROR(INDEX(科目参数!$L$6:$L$85,MATCH($E197,科目参数!$M$6:$M$85,0)),"⚠"))</f>
        <v/>
      </c>
      <c r="E197" s="33"/>
      <c r="F197" s="33"/>
      <c r="G197" s="36"/>
      <c r="H197" s="33"/>
      <c r="I197" s="33"/>
      <c r="J197" s="36"/>
      <c r="K197" s="40"/>
      <c r="L197" s="40"/>
      <c r="M197" s="47" t="str">
        <f aca="false">IF($B197="","",IF(NOT(ISNUMBER($B197)),"日期不是日期格式",IF(YEAR($B197)&lt;&gt;首页!$B$3,"不在会计年度",IF($E197="","未选收支科目",IF($D197="⚠","收支科目不存在",IF($F197="","未选账户",IF($T197="","账户未设资金科目",IF(AND($D197="转账",$U197=""),"转入账户无效",IF(AND(N($K197)&gt;0,N($L197)&gt;0),"收支不能同时填",IF(AND($D197="收入",N($K197)&lt;=0),"收入金额须大于0",IF(AND($D197&lt;&gt;"收入",N($L197)&lt;=0),"支出金额须大于0",IF($O197="","借方科目缺失",IF($P197="","贷方科目缺失","√")))))))))))))</f>
        <v/>
      </c>
      <c r="N197" s="48" t="str">
        <f aca="false">IF($B197="","",IF($D197="收入",N($K197),N($L197)))</f>
        <v/>
      </c>
      <c r="O197" s="49" t="str">
        <f aca="false">IF($B197="","",IF($D197="收入",$T197,IF($D197="转账",$U197,$S197)))</f>
        <v/>
      </c>
      <c r="P197" s="49" t="str">
        <f aca="false">IF($B197="","",IF($D197="收入",$S197,$T197))</f>
        <v/>
      </c>
      <c r="Q197" s="50" t="str">
        <f aca="false">IF($E197="","",IF($D197="转账","—",IFERROR(INDEX(科目参数!$P$6:$P$85,MATCH($E197,科目参数!$M$6:$M$85,0)),"")))</f>
        <v/>
      </c>
      <c r="R197" s="48" t="str">
        <f aca="false">IF($B197="","",SUMIFS(期初数据!$B$6:$B$35,期初数据!$A$6:$A$35,$F197)+SUMIFS($N$5:$N197,$F$5:$F197,$F197,$D$5:$D197,"收入")-SUMIFS($N$5:$N197,$F$5:$F197,$F197,$D$5:$D197,"支出")-SUMIFS($N$5:$N197,$F$5:$F197,$F197,$D$5:$D197,"转账")+SUMIFS($N$5:$N197,$G$5:$G197,$F197,$D$5:$D197,"转账"))</f>
        <v/>
      </c>
      <c r="S197" s="49" t="str">
        <f aca="false">IF($E197="","",IFERROR(INDEX(科目参数!$N$6:$N$85,MATCH($E197,科目参数!$M$6:$M$85,0)),""))</f>
        <v/>
      </c>
      <c r="T197" s="49" t="str">
        <f aca="false">IF($F197="","",IFERROR(INDEX(基础资料!$C$6:$C$35,MATCH($F197,基础资料!$A$6:$A$35,0)),""))</f>
        <v/>
      </c>
      <c r="U197" s="49" t="str">
        <f aca="false">IF($G197="","",IFERROR(INDEX(基础资料!$C$6:$C$35,MATCH($G197,基础资料!$A$6:$A$35,0)),""))</f>
        <v/>
      </c>
      <c r="V197" s="49" t="str">
        <f aca="false">IF(AND($G197=客户对账单!$B$3,$E197="客户回款",$B197&gt;=客户对账单!$E$3,$B197&lt;=客户对账单!$H$3),COUNTIFS($G$5:$G197,客户对账单!$B$3,$E$5:$E197,"客户回款",$B$5:$B197,"&gt;="&amp;客户对账单!$E$3,$B$5:$B197,"&lt;="&amp;客户对账单!$H$3),"")</f>
        <v/>
      </c>
      <c r="W197" s="49" t="str">
        <f aca="false">IF(AND($G197=供应商对账单!$B$3,$E197="供应商付款",$B197&gt;=供应商对账单!$E$3,$B197&lt;=供应商对账单!$H$3),COUNTIFS($G$5:$G197,供应商对账单!$B$3,$E$5:$E197,"供应商付款",$B$5:$B197,"&gt;="&amp;供应商对账单!$E$3,$B$5:$B197,"&lt;="&amp;供应商对账单!$H$3),"")</f>
        <v/>
      </c>
    </row>
    <row r="198" customFormat="false" ht="15.75" hidden="false" customHeight="true" outlineLevel="0" collapsed="false">
      <c r="A198" s="42" t="str">
        <f aca="false">IF($B198="","","ZJ"&amp;TEXT($B198,"yyyymm")&amp;"-"&amp;TEXT(ROW()-4,"000"))</f>
        <v/>
      </c>
      <c r="B198" s="41"/>
      <c r="C198" s="42" t="str">
        <f aca="false">IF($B198="","",TEXT($B198,"yyyy-mm"))</f>
        <v/>
      </c>
      <c r="D198" s="42" t="str">
        <f aca="false">IF($E198="","",IFERROR(INDEX(科目参数!$L$6:$L$85,MATCH($E198,科目参数!$M$6:$M$85,0)),"⚠"))</f>
        <v/>
      </c>
      <c r="E198" s="33"/>
      <c r="F198" s="33"/>
      <c r="G198" s="36"/>
      <c r="H198" s="33"/>
      <c r="I198" s="33"/>
      <c r="J198" s="36"/>
      <c r="K198" s="40"/>
      <c r="L198" s="40"/>
      <c r="M198" s="47" t="str">
        <f aca="false">IF($B198="","",IF(NOT(ISNUMBER($B198)),"日期不是日期格式",IF(YEAR($B198)&lt;&gt;首页!$B$3,"不在会计年度",IF($E198="","未选收支科目",IF($D198="⚠","收支科目不存在",IF($F198="","未选账户",IF($T198="","账户未设资金科目",IF(AND($D198="转账",$U198=""),"转入账户无效",IF(AND(N($K198)&gt;0,N($L198)&gt;0),"收支不能同时填",IF(AND($D198="收入",N($K198)&lt;=0),"收入金额须大于0",IF(AND($D198&lt;&gt;"收入",N($L198)&lt;=0),"支出金额须大于0",IF($O198="","借方科目缺失",IF($P198="","贷方科目缺失","√")))))))))))))</f>
        <v/>
      </c>
      <c r="N198" s="48" t="str">
        <f aca="false">IF($B198="","",IF($D198="收入",N($K198),N($L198)))</f>
        <v/>
      </c>
      <c r="O198" s="49" t="str">
        <f aca="false">IF($B198="","",IF($D198="收入",$T198,IF($D198="转账",$U198,$S198)))</f>
        <v/>
      </c>
      <c r="P198" s="49" t="str">
        <f aca="false">IF($B198="","",IF($D198="收入",$S198,$T198))</f>
        <v/>
      </c>
      <c r="Q198" s="50" t="str">
        <f aca="false">IF($E198="","",IF($D198="转账","—",IFERROR(INDEX(科目参数!$P$6:$P$85,MATCH($E198,科目参数!$M$6:$M$85,0)),"")))</f>
        <v/>
      </c>
      <c r="R198" s="48" t="str">
        <f aca="false">IF($B198="","",SUMIFS(期初数据!$B$6:$B$35,期初数据!$A$6:$A$35,$F198)+SUMIFS($N$5:$N198,$F$5:$F198,$F198,$D$5:$D198,"收入")-SUMIFS($N$5:$N198,$F$5:$F198,$F198,$D$5:$D198,"支出")-SUMIFS($N$5:$N198,$F$5:$F198,$F198,$D$5:$D198,"转账")+SUMIFS($N$5:$N198,$G$5:$G198,$F198,$D$5:$D198,"转账"))</f>
        <v/>
      </c>
      <c r="S198" s="49" t="str">
        <f aca="false">IF($E198="","",IFERROR(INDEX(科目参数!$N$6:$N$85,MATCH($E198,科目参数!$M$6:$M$85,0)),""))</f>
        <v/>
      </c>
      <c r="T198" s="49" t="str">
        <f aca="false">IF($F198="","",IFERROR(INDEX(基础资料!$C$6:$C$35,MATCH($F198,基础资料!$A$6:$A$35,0)),""))</f>
        <v/>
      </c>
      <c r="U198" s="49" t="str">
        <f aca="false">IF($G198="","",IFERROR(INDEX(基础资料!$C$6:$C$35,MATCH($G198,基础资料!$A$6:$A$35,0)),""))</f>
        <v/>
      </c>
      <c r="V198" s="49" t="str">
        <f aca="false">IF(AND($G198=客户对账单!$B$3,$E198="客户回款",$B198&gt;=客户对账单!$E$3,$B198&lt;=客户对账单!$H$3),COUNTIFS($G$5:$G198,客户对账单!$B$3,$E$5:$E198,"客户回款",$B$5:$B198,"&gt;="&amp;客户对账单!$E$3,$B$5:$B198,"&lt;="&amp;客户对账单!$H$3),"")</f>
        <v/>
      </c>
      <c r="W198" s="49" t="str">
        <f aca="false">IF(AND($G198=供应商对账单!$B$3,$E198="供应商付款",$B198&gt;=供应商对账单!$E$3,$B198&lt;=供应商对账单!$H$3),COUNTIFS($G$5:$G198,供应商对账单!$B$3,$E$5:$E198,"供应商付款",$B$5:$B198,"&gt;="&amp;供应商对账单!$E$3,$B$5:$B198,"&lt;="&amp;供应商对账单!$H$3),"")</f>
        <v/>
      </c>
    </row>
    <row r="199" customFormat="false" ht="15.75" hidden="false" customHeight="true" outlineLevel="0" collapsed="false">
      <c r="A199" s="42" t="str">
        <f aca="false">IF($B199="","","ZJ"&amp;TEXT($B199,"yyyymm")&amp;"-"&amp;TEXT(ROW()-4,"000"))</f>
        <v/>
      </c>
      <c r="B199" s="41"/>
      <c r="C199" s="42" t="str">
        <f aca="false">IF($B199="","",TEXT($B199,"yyyy-mm"))</f>
        <v/>
      </c>
      <c r="D199" s="42" t="str">
        <f aca="false">IF($E199="","",IFERROR(INDEX(科目参数!$L$6:$L$85,MATCH($E199,科目参数!$M$6:$M$85,0)),"⚠"))</f>
        <v/>
      </c>
      <c r="E199" s="33"/>
      <c r="F199" s="33"/>
      <c r="G199" s="36"/>
      <c r="H199" s="33"/>
      <c r="I199" s="33"/>
      <c r="J199" s="36"/>
      <c r="K199" s="40"/>
      <c r="L199" s="40"/>
      <c r="M199" s="47" t="str">
        <f aca="false">IF($B199="","",IF(NOT(ISNUMBER($B199)),"日期不是日期格式",IF(YEAR($B199)&lt;&gt;首页!$B$3,"不在会计年度",IF($E199="","未选收支科目",IF($D199="⚠","收支科目不存在",IF($F199="","未选账户",IF($T199="","账户未设资金科目",IF(AND($D199="转账",$U199=""),"转入账户无效",IF(AND(N($K199)&gt;0,N($L199)&gt;0),"收支不能同时填",IF(AND($D199="收入",N($K199)&lt;=0),"收入金额须大于0",IF(AND($D199&lt;&gt;"收入",N($L199)&lt;=0),"支出金额须大于0",IF($O199="","借方科目缺失",IF($P199="","贷方科目缺失","√")))))))))))))</f>
        <v/>
      </c>
      <c r="N199" s="48" t="str">
        <f aca="false">IF($B199="","",IF($D199="收入",N($K199),N($L199)))</f>
        <v/>
      </c>
      <c r="O199" s="49" t="str">
        <f aca="false">IF($B199="","",IF($D199="收入",$T199,IF($D199="转账",$U199,$S199)))</f>
        <v/>
      </c>
      <c r="P199" s="49" t="str">
        <f aca="false">IF($B199="","",IF($D199="收入",$S199,$T199))</f>
        <v/>
      </c>
      <c r="Q199" s="50" t="str">
        <f aca="false">IF($E199="","",IF($D199="转账","—",IFERROR(INDEX(科目参数!$P$6:$P$85,MATCH($E199,科目参数!$M$6:$M$85,0)),"")))</f>
        <v/>
      </c>
      <c r="R199" s="48" t="str">
        <f aca="false">IF($B199="","",SUMIFS(期初数据!$B$6:$B$35,期初数据!$A$6:$A$35,$F199)+SUMIFS($N$5:$N199,$F$5:$F199,$F199,$D$5:$D199,"收入")-SUMIFS($N$5:$N199,$F$5:$F199,$F199,$D$5:$D199,"支出")-SUMIFS($N$5:$N199,$F$5:$F199,$F199,$D$5:$D199,"转账")+SUMIFS($N$5:$N199,$G$5:$G199,$F199,$D$5:$D199,"转账"))</f>
        <v/>
      </c>
      <c r="S199" s="49" t="str">
        <f aca="false">IF($E199="","",IFERROR(INDEX(科目参数!$N$6:$N$85,MATCH($E199,科目参数!$M$6:$M$85,0)),""))</f>
        <v/>
      </c>
      <c r="T199" s="49" t="str">
        <f aca="false">IF($F199="","",IFERROR(INDEX(基础资料!$C$6:$C$35,MATCH($F199,基础资料!$A$6:$A$35,0)),""))</f>
        <v/>
      </c>
      <c r="U199" s="49" t="str">
        <f aca="false">IF($G199="","",IFERROR(INDEX(基础资料!$C$6:$C$35,MATCH($G199,基础资料!$A$6:$A$35,0)),""))</f>
        <v/>
      </c>
      <c r="V199" s="49" t="str">
        <f aca="false">IF(AND($G199=客户对账单!$B$3,$E199="客户回款",$B199&gt;=客户对账单!$E$3,$B199&lt;=客户对账单!$H$3),COUNTIFS($G$5:$G199,客户对账单!$B$3,$E$5:$E199,"客户回款",$B$5:$B199,"&gt;="&amp;客户对账单!$E$3,$B$5:$B199,"&lt;="&amp;客户对账单!$H$3),"")</f>
        <v/>
      </c>
      <c r="W199" s="49" t="str">
        <f aca="false">IF(AND($G199=供应商对账单!$B$3,$E199="供应商付款",$B199&gt;=供应商对账单!$E$3,$B199&lt;=供应商对账单!$H$3),COUNTIFS($G$5:$G199,供应商对账单!$B$3,$E$5:$E199,"供应商付款",$B$5:$B199,"&gt;="&amp;供应商对账单!$E$3,$B$5:$B199,"&lt;="&amp;供应商对账单!$H$3),"")</f>
        <v/>
      </c>
    </row>
    <row r="200" customFormat="false" ht="15.75" hidden="false" customHeight="true" outlineLevel="0" collapsed="false">
      <c r="A200" s="42" t="str">
        <f aca="false">IF($B200="","","ZJ"&amp;TEXT($B200,"yyyymm")&amp;"-"&amp;TEXT(ROW()-4,"000"))</f>
        <v/>
      </c>
      <c r="B200" s="41"/>
      <c r="C200" s="42" t="str">
        <f aca="false">IF($B200="","",TEXT($B200,"yyyy-mm"))</f>
        <v/>
      </c>
      <c r="D200" s="42" t="str">
        <f aca="false">IF($E200="","",IFERROR(INDEX(科目参数!$L$6:$L$85,MATCH($E200,科目参数!$M$6:$M$85,0)),"⚠"))</f>
        <v/>
      </c>
      <c r="E200" s="33"/>
      <c r="F200" s="33"/>
      <c r="G200" s="36"/>
      <c r="H200" s="33"/>
      <c r="I200" s="33"/>
      <c r="J200" s="36"/>
      <c r="K200" s="40"/>
      <c r="L200" s="40"/>
      <c r="M200" s="47" t="str">
        <f aca="false">IF($B200="","",IF(NOT(ISNUMBER($B200)),"日期不是日期格式",IF(YEAR($B200)&lt;&gt;首页!$B$3,"不在会计年度",IF($E200="","未选收支科目",IF($D200="⚠","收支科目不存在",IF($F200="","未选账户",IF($T200="","账户未设资金科目",IF(AND($D200="转账",$U200=""),"转入账户无效",IF(AND(N($K200)&gt;0,N($L200)&gt;0),"收支不能同时填",IF(AND($D200="收入",N($K200)&lt;=0),"收入金额须大于0",IF(AND($D200&lt;&gt;"收入",N($L200)&lt;=0),"支出金额须大于0",IF($O200="","借方科目缺失",IF($P200="","贷方科目缺失","√")))))))))))))</f>
        <v/>
      </c>
      <c r="N200" s="48" t="str">
        <f aca="false">IF($B200="","",IF($D200="收入",N($K200),N($L200)))</f>
        <v/>
      </c>
      <c r="O200" s="49" t="str">
        <f aca="false">IF($B200="","",IF($D200="收入",$T200,IF($D200="转账",$U200,$S200)))</f>
        <v/>
      </c>
      <c r="P200" s="49" t="str">
        <f aca="false">IF($B200="","",IF($D200="收入",$S200,$T200))</f>
        <v/>
      </c>
      <c r="Q200" s="50" t="str">
        <f aca="false">IF($E200="","",IF($D200="转账","—",IFERROR(INDEX(科目参数!$P$6:$P$85,MATCH($E200,科目参数!$M$6:$M$85,0)),"")))</f>
        <v/>
      </c>
      <c r="R200" s="48" t="str">
        <f aca="false">IF($B200="","",SUMIFS(期初数据!$B$6:$B$35,期初数据!$A$6:$A$35,$F200)+SUMIFS($N$5:$N200,$F$5:$F200,$F200,$D$5:$D200,"收入")-SUMIFS($N$5:$N200,$F$5:$F200,$F200,$D$5:$D200,"支出")-SUMIFS($N$5:$N200,$F$5:$F200,$F200,$D$5:$D200,"转账")+SUMIFS($N$5:$N200,$G$5:$G200,$F200,$D$5:$D200,"转账"))</f>
        <v/>
      </c>
      <c r="S200" s="49" t="str">
        <f aca="false">IF($E200="","",IFERROR(INDEX(科目参数!$N$6:$N$85,MATCH($E200,科目参数!$M$6:$M$85,0)),""))</f>
        <v/>
      </c>
      <c r="T200" s="49" t="str">
        <f aca="false">IF($F200="","",IFERROR(INDEX(基础资料!$C$6:$C$35,MATCH($F200,基础资料!$A$6:$A$35,0)),""))</f>
        <v/>
      </c>
      <c r="U200" s="49" t="str">
        <f aca="false">IF($G200="","",IFERROR(INDEX(基础资料!$C$6:$C$35,MATCH($G200,基础资料!$A$6:$A$35,0)),""))</f>
        <v/>
      </c>
      <c r="V200" s="49" t="str">
        <f aca="false">IF(AND($G200=客户对账单!$B$3,$E200="客户回款",$B200&gt;=客户对账单!$E$3,$B200&lt;=客户对账单!$H$3),COUNTIFS($G$5:$G200,客户对账单!$B$3,$E$5:$E200,"客户回款",$B$5:$B200,"&gt;="&amp;客户对账单!$E$3,$B$5:$B200,"&lt;="&amp;客户对账单!$H$3),"")</f>
        <v/>
      </c>
      <c r="W200" s="49" t="str">
        <f aca="false">IF(AND($G200=供应商对账单!$B$3,$E200="供应商付款",$B200&gt;=供应商对账单!$E$3,$B200&lt;=供应商对账单!$H$3),COUNTIFS($G$5:$G200,供应商对账单!$B$3,$E$5:$E200,"供应商付款",$B$5:$B200,"&gt;="&amp;供应商对账单!$E$3,$B$5:$B200,"&lt;="&amp;供应商对账单!$H$3),"")</f>
        <v/>
      </c>
    </row>
    <row r="201" customFormat="false" ht="15.75" hidden="false" customHeight="true" outlineLevel="0" collapsed="false">
      <c r="A201" s="42" t="str">
        <f aca="false">IF($B201="","","ZJ"&amp;TEXT($B201,"yyyymm")&amp;"-"&amp;TEXT(ROW()-4,"000"))</f>
        <v/>
      </c>
      <c r="B201" s="41"/>
      <c r="C201" s="42" t="str">
        <f aca="false">IF($B201="","",TEXT($B201,"yyyy-mm"))</f>
        <v/>
      </c>
      <c r="D201" s="42" t="str">
        <f aca="false">IF($E201="","",IFERROR(INDEX(科目参数!$L$6:$L$85,MATCH($E201,科目参数!$M$6:$M$85,0)),"⚠"))</f>
        <v/>
      </c>
      <c r="E201" s="33"/>
      <c r="F201" s="33"/>
      <c r="G201" s="36"/>
      <c r="H201" s="33"/>
      <c r="I201" s="33"/>
      <c r="J201" s="36"/>
      <c r="K201" s="40"/>
      <c r="L201" s="40"/>
      <c r="M201" s="47" t="str">
        <f aca="false">IF($B201="","",IF(NOT(ISNUMBER($B201)),"日期不是日期格式",IF(YEAR($B201)&lt;&gt;首页!$B$3,"不在会计年度",IF($E201="","未选收支科目",IF($D201="⚠","收支科目不存在",IF($F201="","未选账户",IF($T201="","账户未设资金科目",IF(AND($D201="转账",$U201=""),"转入账户无效",IF(AND(N($K201)&gt;0,N($L201)&gt;0),"收支不能同时填",IF(AND($D201="收入",N($K201)&lt;=0),"收入金额须大于0",IF(AND($D201&lt;&gt;"收入",N($L201)&lt;=0),"支出金额须大于0",IF($O201="","借方科目缺失",IF($P201="","贷方科目缺失","√")))))))))))))</f>
        <v/>
      </c>
      <c r="N201" s="48" t="str">
        <f aca="false">IF($B201="","",IF($D201="收入",N($K201),N($L201)))</f>
        <v/>
      </c>
      <c r="O201" s="49" t="str">
        <f aca="false">IF($B201="","",IF($D201="收入",$T201,IF($D201="转账",$U201,$S201)))</f>
        <v/>
      </c>
      <c r="P201" s="49" t="str">
        <f aca="false">IF($B201="","",IF($D201="收入",$S201,$T201))</f>
        <v/>
      </c>
      <c r="Q201" s="50" t="str">
        <f aca="false">IF($E201="","",IF($D201="转账","—",IFERROR(INDEX(科目参数!$P$6:$P$85,MATCH($E201,科目参数!$M$6:$M$85,0)),"")))</f>
        <v/>
      </c>
      <c r="R201" s="48" t="str">
        <f aca="false">IF($B201="","",SUMIFS(期初数据!$B$6:$B$35,期初数据!$A$6:$A$35,$F201)+SUMIFS($N$5:$N201,$F$5:$F201,$F201,$D$5:$D201,"收入")-SUMIFS($N$5:$N201,$F$5:$F201,$F201,$D$5:$D201,"支出")-SUMIFS($N$5:$N201,$F$5:$F201,$F201,$D$5:$D201,"转账")+SUMIFS($N$5:$N201,$G$5:$G201,$F201,$D$5:$D201,"转账"))</f>
        <v/>
      </c>
      <c r="S201" s="49" t="str">
        <f aca="false">IF($E201="","",IFERROR(INDEX(科目参数!$N$6:$N$85,MATCH($E201,科目参数!$M$6:$M$85,0)),""))</f>
        <v/>
      </c>
      <c r="T201" s="49" t="str">
        <f aca="false">IF($F201="","",IFERROR(INDEX(基础资料!$C$6:$C$35,MATCH($F201,基础资料!$A$6:$A$35,0)),""))</f>
        <v/>
      </c>
      <c r="U201" s="49" t="str">
        <f aca="false">IF($G201="","",IFERROR(INDEX(基础资料!$C$6:$C$35,MATCH($G201,基础资料!$A$6:$A$35,0)),""))</f>
        <v/>
      </c>
      <c r="V201" s="49" t="str">
        <f aca="false">IF(AND($G201=客户对账单!$B$3,$E201="客户回款",$B201&gt;=客户对账单!$E$3,$B201&lt;=客户对账单!$H$3),COUNTIFS($G$5:$G201,客户对账单!$B$3,$E$5:$E201,"客户回款",$B$5:$B201,"&gt;="&amp;客户对账单!$E$3,$B$5:$B201,"&lt;="&amp;客户对账单!$H$3),"")</f>
        <v/>
      </c>
      <c r="W201" s="49" t="str">
        <f aca="false">IF(AND($G201=供应商对账单!$B$3,$E201="供应商付款",$B201&gt;=供应商对账单!$E$3,$B201&lt;=供应商对账单!$H$3),COUNTIFS($G$5:$G201,供应商对账单!$B$3,$E$5:$E201,"供应商付款",$B$5:$B201,"&gt;="&amp;供应商对账单!$E$3,$B$5:$B201,"&lt;="&amp;供应商对账单!$H$3),"")</f>
        <v/>
      </c>
    </row>
    <row r="202" customFormat="false" ht="15.75" hidden="false" customHeight="true" outlineLevel="0" collapsed="false">
      <c r="A202" s="42" t="str">
        <f aca="false">IF($B202="","","ZJ"&amp;TEXT($B202,"yyyymm")&amp;"-"&amp;TEXT(ROW()-4,"000"))</f>
        <v/>
      </c>
      <c r="B202" s="41"/>
      <c r="C202" s="42" t="str">
        <f aca="false">IF($B202="","",TEXT($B202,"yyyy-mm"))</f>
        <v/>
      </c>
      <c r="D202" s="42" t="str">
        <f aca="false">IF($E202="","",IFERROR(INDEX(科目参数!$L$6:$L$85,MATCH($E202,科目参数!$M$6:$M$85,0)),"⚠"))</f>
        <v/>
      </c>
      <c r="E202" s="33"/>
      <c r="F202" s="33"/>
      <c r="G202" s="36"/>
      <c r="H202" s="33"/>
      <c r="I202" s="33"/>
      <c r="J202" s="36"/>
      <c r="K202" s="40"/>
      <c r="L202" s="40"/>
      <c r="M202" s="47" t="str">
        <f aca="false">IF($B202="","",IF(NOT(ISNUMBER($B202)),"日期不是日期格式",IF(YEAR($B202)&lt;&gt;首页!$B$3,"不在会计年度",IF($E202="","未选收支科目",IF($D202="⚠","收支科目不存在",IF($F202="","未选账户",IF($T202="","账户未设资金科目",IF(AND($D202="转账",$U202=""),"转入账户无效",IF(AND(N($K202)&gt;0,N($L202)&gt;0),"收支不能同时填",IF(AND($D202="收入",N($K202)&lt;=0),"收入金额须大于0",IF(AND($D202&lt;&gt;"收入",N($L202)&lt;=0),"支出金额须大于0",IF($O202="","借方科目缺失",IF($P202="","贷方科目缺失","√")))))))))))))</f>
        <v/>
      </c>
      <c r="N202" s="48" t="str">
        <f aca="false">IF($B202="","",IF($D202="收入",N($K202),N($L202)))</f>
        <v/>
      </c>
      <c r="O202" s="49" t="str">
        <f aca="false">IF($B202="","",IF($D202="收入",$T202,IF($D202="转账",$U202,$S202)))</f>
        <v/>
      </c>
      <c r="P202" s="49" t="str">
        <f aca="false">IF($B202="","",IF($D202="收入",$S202,$T202))</f>
        <v/>
      </c>
      <c r="Q202" s="50" t="str">
        <f aca="false">IF($E202="","",IF($D202="转账","—",IFERROR(INDEX(科目参数!$P$6:$P$85,MATCH($E202,科目参数!$M$6:$M$85,0)),"")))</f>
        <v/>
      </c>
      <c r="R202" s="48" t="str">
        <f aca="false">IF($B202="","",SUMIFS(期初数据!$B$6:$B$35,期初数据!$A$6:$A$35,$F202)+SUMIFS($N$5:$N202,$F$5:$F202,$F202,$D$5:$D202,"收入")-SUMIFS($N$5:$N202,$F$5:$F202,$F202,$D$5:$D202,"支出")-SUMIFS($N$5:$N202,$F$5:$F202,$F202,$D$5:$D202,"转账")+SUMIFS($N$5:$N202,$G$5:$G202,$F202,$D$5:$D202,"转账"))</f>
        <v/>
      </c>
      <c r="S202" s="49" t="str">
        <f aca="false">IF($E202="","",IFERROR(INDEX(科目参数!$N$6:$N$85,MATCH($E202,科目参数!$M$6:$M$85,0)),""))</f>
        <v/>
      </c>
      <c r="T202" s="49" t="str">
        <f aca="false">IF($F202="","",IFERROR(INDEX(基础资料!$C$6:$C$35,MATCH($F202,基础资料!$A$6:$A$35,0)),""))</f>
        <v/>
      </c>
      <c r="U202" s="49" t="str">
        <f aca="false">IF($G202="","",IFERROR(INDEX(基础资料!$C$6:$C$35,MATCH($G202,基础资料!$A$6:$A$35,0)),""))</f>
        <v/>
      </c>
      <c r="V202" s="49" t="str">
        <f aca="false">IF(AND($G202=客户对账单!$B$3,$E202="客户回款",$B202&gt;=客户对账单!$E$3,$B202&lt;=客户对账单!$H$3),COUNTIFS($G$5:$G202,客户对账单!$B$3,$E$5:$E202,"客户回款",$B$5:$B202,"&gt;="&amp;客户对账单!$E$3,$B$5:$B202,"&lt;="&amp;客户对账单!$H$3),"")</f>
        <v/>
      </c>
      <c r="W202" s="49" t="str">
        <f aca="false">IF(AND($G202=供应商对账单!$B$3,$E202="供应商付款",$B202&gt;=供应商对账单!$E$3,$B202&lt;=供应商对账单!$H$3),COUNTIFS($G$5:$G202,供应商对账单!$B$3,$E$5:$E202,"供应商付款",$B$5:$B202,"&gt;="&amp;供应商对账单!$E$3,$B$5:$B202,"&lt;="&amp;供应商对账单!$H$3),"")</f>
        <v/>
      </c>
    </row>
    <row r="203" customFormat="false" ht="15.75" hidden="false" customHeight="true" outlineLevel="0" collapsed="false">
      <c r="A203" s="42" t="str">
        <f aca="false">IF($B203="","","ZJ"&amp;TEXT($B203,"yyyymm")&amp;"-"&amp;TEXT(ROW()-4,"000"))</f>
        <v/>
      </c>
      <c r="B203" s="41"/>
      <c r="C203" s="42" t="str">
        <f aca="false">IF($B203="","",TEXT($B203,"yyyy-mm"))</f>
        <v/>
      </c>
      <c r="D203" s="42" t="str">
        <f aca="false">IF($E203="","",IFERROR(INDEX(科目参数!$L$6:$L$85,MATCH($E203,科目参数!$M$6:$M$85,0)),"⚠"))</f>
        <v/>
      </c>
      <c r="E203" s="33"/>
      <c r="F203" s="33"/>
      <c r="G203" s="36"/>
      <c r="H203" s="33"/>
      <c r="I203" s="33"/>
      <c r="J203" s="36"/>
      <c r="K203" s="40"/>
      <c r="L203" s="40"/>
      <c r="M203" s="47" t="str">
        <f aca="false">IF($B203="","",IF(NOT(ISNUMBER($B203)),"日期不是日期格式",IF(YEAR($B203)&lt;&gt;首页!$B$3,"不在会计年度",IF($E203="","未选收支科目",IF($D203="⚠","收支科目不存在",IF($F203="","未选账户",IF($T203="","账户未设资金科目",IF(AND($D203="转账",$U203=""),"转入账户无效",IF(AND(N($K203)&gt;0,N($L203)&gt;0),"收支不能同时填",IF(AND($D203="收入",N($K203)&lt;=0),"收入金额须大于0",IF(AND($D203&lt;&gt;"收入",N($L203)&lt;=0),"支出金额须大于0",IF($O203="","借方科目缺失",IF($P203="","贷方科目缺失","√")))))))))))))</f>
        <v/>
      </c>
      <c r="N203" s="48" t="str">
        <f aca="false">IF($B203="","",IF($D203="收入",N($K203),N($L203)))</f>
        <v/>
      </c>
      <c r="O203" s="49" t="str">
        <f aca="false">IF($B203="","",IF($D203="收入",$T203,IF($D203="转账",$U203,$S203)))</f>
        <v/>
      </c>
      <c r="P203" s="49" t="str">
        <f aca="false">IF($B203="","",IF($D203="收入",$S203,$T203))</f>
        <v/>
      </c>
      <c r="Q203" s="50" t="str">
        <f aca="false">IF($E203="","",IF($D203="转账","—",IFERROR(INDEX(科目参数!$P$6:$P$85,MATCH($E203,科目参数!$M$6:$M$85,0)),"")))</f>
        <v/>
      </c>
      <c r="R203" s="48" t="str">
        <f aca="false">IF($B203="","",SUMIFS(期初数据!$B$6:$B$35,期初数据!$A$6:$A$35,$F203)+SUMIFS($N$5:$N203,$F$5:$F203,$F203,$D$5:$D203,"收入")-SUMIFS($N$5:$N203,$F$5:$F203,$F203,$D$5:$D203,"支出")-SUMIFS($N$5:$N203,$F$5:$F203,$F203,$D$5:$D203,"转账")+SUMIFS($N$5:$N203,$G$5:$G203,$F203,$D$5:$D203,"转账"))</f>
        <v/>
      </c>
      <c r="S203" s="49" t="str">
        <f aca="false">IF($E203="","",IFERROR(INDEX(科目参数!$N$6:$N$85,MATCH($E203,科目参数!$M$6:$M$85,0)),""))</f>
        <v/>
      </c>
      <c r="T203" s="49" t="str">
        <f aca="false">IF($F203="","",IFERROR(INDEX(基础资料!$C$6:$C$35,MATCH($F203,基础资料!$A$6:$A$35,0)),""))</f>
        <v/>
      </c>
      <c r="U203" s="49" t="str">
        <f aca="false">IF($G203="","",IFERROR(INDEX(基础资料!$C$6:$C$35,MATCH($G203,基础资料!$A$6:$A$35,0)),""))</f>
        <v/>
      </c>
      <c r="V203" s="49" t="str">
        <f aca="false">IF(AND($G203=客户对账单!$B$3,$E203="客户回款",$B203&gt;=客户对账单!$E$3,$B203&lt;=客户对账单!$H$3),COUNTIFS($G$5:$G203,客户对账单!$B$3,$E$5:$E203,"客户回款",$B$5:$B203,"&gt;="&amp;客户对账单!$E$3,$B$5:$B203,"&lt;="&amp;客户对账单!$H$3),"")</f>
        <v/>
      </c>
      <c r="W203" s="49" t="str">
        <f aca="false">IF(AND($G203=供应商对账单!$B$3,$E203="供应商付款",$B203&gt;=供应商对账单!$E$3,$B203&lt;=供应商对账单!$H$3),COUNTIFS($G$5:$G203,供应商对账单!$B$3,$E$5:$E203,"供应商付款",$B$5:$B203,"&gt;="&amp;供应商对账单!$E$3,$B$5:$B203,"&lt;="&amp;供应商对账单!$H$3),"")</f>
        <v/>
      </c>
    </row>
    <row r="204" customFormat="false" ht="15.75" hidden="false" customHeight="true" outlineLevel="0" collapsed="false">
      <c r="A204" s="42" t="str">
        <f aca="false">IF($B204="","","ZJ"&amp;TEXT($B204,"yyyymm")&amp;"-"&amp;TEXT(ROW()-4,"000"))</f>
        <v/>
      </c>
      <c r="B204" s="41"/>
      <c r="C204" s="42" t="str">
        <f aca="false">IF($B204="","",TEXT($B204,"yyyy-mm"))</f>
        <v/>
      </c>
      <c r="D204" s="42" t="str">
        <f aca="false">IF($E204="","",IFERROR(INDEX(科目参数!$L$6:$L$85,MATCH($E204,科目参数!$M$6:$M$85,0)),"⚠"))</f>
        <v/>
      </c>
      <c r="E204" s="33"/>
      <c r="F204" s="33"/>
      <c r="G204" s="36"/>
      <c r="H204" s="33"/>
      <c r="I204" s="33"/>
      <c r="J204" s="36"/>
      <c r="K204" s="40"/>
      <c r="L204" s="40"/>
      <c r="M204" s="47" t="str">
        <f aca="false">IF($B204="","",IF(NOT(ISNUMBER($B204)),"日期不是日期格式",IF(YEAR($B204)&lt;&gt;首页!$B$3,"不在会计年度",IF($E204="","未选收支科目",IF($D204="⚠","收支科目不存在",IF($F204="","未选账户",IF($T204="","账户未设资金科目",IF(AND($D204="转账",$U204=""),"转入账户无效",IF(AND(N($K204)&gt;0,N($L204)&gt;0),"收支不能同时填",IF(AND($D204="收入",N($K204)&lt;=0),"收入金额须大于0",IF(AND($D204&lt;&gt;"收入",N($L204)&lt;=0),"支出金额须大于0",IF($O204="","借方科目缺失",IF($P204="","贷方科目缺失","√")))))))))))))</f>
        <v/>
      </c>
      <c r="N204" s="48" t="str">
        <f aca="false">IF($B204="","",IF($D204="收入",N($K204),N($L204)))</f>
        <v/>
      </c>
      <c r="O204" s="49" t="str">
        <f aca="false">IF($B204="","",IF($D204="收入",$T204,IF($D204="转账",$U204,$S204)))</f>
        <v/>
      </c>
      <c r="P204" s="49" t="str">
        <f aca="false">IF($B204="","",IF($D204="收入",$S204,$T204))</f>
        <v/>
      </c>
      <c r="Q204" s="50" t="str">
        <f aca="false">IF($E204="","",IF($D204="转账","—",IFERROR(INDEX(科目参数!$P$6:$P$85,MATCH($E204,科目参数!$M$6:$M$85,0)),"")))</f>
        <v/>
      </c>
      <c r="R204" s="48" t="str">
        <f aca="false">IF($B204="","",SUMIFS(期初数据!$B$6:$B$35,期初数据!$A$6:$A$35,$F204)+SUMIFS($N$5:$N204,$F$5:$F204,$F204,$D$5:$D204,"收入")-SUMIFS($N$5:$N204,$F$5:$F204,$F204,$D$5:$D204,"支出")-SUMIFS($N$5:$N204,$F$5:$F204,$F204,$D$5:$D204,"转账")+SUMIFS($N$5:$N204,$G$5:$G204,$F204,$D$5:$D204,"转账"))</f>
        <v/>
      </c>
      <c r="S204" s="49" t="str">
        <f aca="false">IF($E204="","",IFERROR(INDEX(科目参数!$N$6:$N$85,MATCH($E204,科目参数!$M$6:$M$85,0)),""))</f>
        <v/>
      </c>
      <c r="T204" s="49" t="str">
        <f aca="false">IF($F204="","",IFERROR(INDEX(基础资料!$C$6:$C$35,MATCH($F204,基础资料!$A$6:$A$35,0)),""))</f>
        <v/>
      </c>
      <c r="U204" s="49" t="str">
        <f aca="false">IF($G204="","",IFERROR(INDEX(基础资料!$C$6:$C$35,MATCH($G204,基础资料!$A$6:$A$35,0)),""))</f>
        <v/>
      </c>
      <c r="V204" s="49" t="str">
        <f aca="false">IF(AND($G204=客户对账单!$B$3,$E204="客户回款",$B204&gt;=客户对账单!$E$3,$B204&lt;=客户对账单!$H$3),COUNTIFS($G$5:$G204,客户对账单!$B$3,$E$5:$E204,"客户回款",$B$5:$B204,"&gt;="&amp;客户对账单!$E$3,$B$5:$B204,"&lt;="&amp;客户对账单!$H$3),"")</f>
        <v/>
      </c>
      <c r="W204" s="49" t="str">
        <f aca="false">IF(AND($G204=供应商对账单!$B$3,$E204="供应商付款",$B204&gt;=供应商对账单!$E$3,$B204&lt;=供应商对账单!$H$3),COUNTIFS($G$5:$G204,供应商对账单!$B$3,$E$5:$E204,"供应商付款",$B$5:$B204,"&gt;="&amp;供应商对账单!$E$3,$B$5:$B204,"&lt;="&amp;供应商对账单!$H$3),"")</f>
        <v/>
      </c>
    </row>
    <row r="205" customFormat="false" ht="15.75" hidden="false" customHeight="true" outlineLevel="0" collapsed="false">
      <c r="A205" s="42" t="str">
        <f aca="false">IF($B205="","","ZJ"&amp;TEXT($B205,"yyyymm")&amp;"-"&amp;TEXT(ROW()-4,"000"))</f>
        <v/>
      </c>
      <c r="B205" s="41"/>
      <c r="C205" s="42" t="str">
        <f aca="false">IF($B205="","",TEXT($B205,"yyyy-mm"))</f>
        <v/>
      </c>
      <c r="D205" s="42" t="str">
        <f aca="false">IF($E205="","",IFERROR(INDEX(科目参数!$L$6:$L$85,MATCH($E205,科目参数!$M$6:$M$85,0)),"⚠"))</f>
        <v/>
      </c>
      <c r="E205" s="33"/>
      <c r="F205" s="33"/>
      <c r="G205" s="36"/>
      <c r="H205" s="33"/>
      <c r="I205" s="33"/>
      <c r="J205" s="36"/>
      <c r="K205" s="40"/>
      <c r="L205" s="40"/>
      <c r="M205" s="47" t="str">
        <f aca="false">IF($B205="","",IF(NOT(ISNUMBER($B205)),"日期不是日期格式",IF(YEAR($B205)&lt;&gt;首页!$B$3,"不在会计年度",IF($E205="","未选收支科目",IF($D205="⚠","收支科目不存在",IF($F205="","未选账户",IF($T205="","账户未设资金科目",IF(AND($D205="转账",$U205=""),"转入账户无效",IF(AND(N($K205)&gt;0,N($L205)&gt;0),"收支不能同时填",IF(AND($D205="收入",N($K205)&lt;=0),"收入金额须大于0",IF(AND($D205&lt;&gt;"收入",N($L205)&lt;=0),"支出金额须大于0",IF($O205="","借方科目缺失",IF($P205="","贷方科目缺失","√")))))))))))))</f>
        <v/>
      </c>
      <c r="N205" s="48" t="str">
        <f aca="false">IF($B205="","",IF($D205="收入",N($K205),N($L205)))</f>
        <v/>
      </c>
      <c r="O205" s="49" t="str">
        <f aca="false">IF($B205="","",IF($D205="收入",$T205,IF($D205="转账",$U205,$S205)))</f>
        <v/>
      </c>
      <c r="P205" s="49" t="str">
        <f aca="false">IF($B205="","",IF($D205="收入",$S205,$T205))</f>
        <v/>
      </c>
      <c r="Q205" s="50" t="str">
        <f aca="false">IF($E205="","",IF($D205="转账","—",IFERROR(INDEX(科目参数!$P$6:$P$85,MATCH($E205,科目参数!$M$6:$M$85,0)),"")))</f>
        <v/>
      </c>
      <c r="R205" s="48" t="str">
        <f aca="false">IF($B205="","",SUMIFS(期初数据!$B$6:$B$35,期初数据!$A$6:$A$35,$F205)+SUMIFS($N$5:$N205,$F$5:$F205,$F205,$D$5:$D205,"收入")-SUMIFS($N$5:$N205,$F$5:$F205,$F205,$D$5:$D205,"支出")-SUMIFS($N$5:$N205,$F$5:$F205,$F205,$D$5:$D205,"转账")+SUMIFS($N$5:$N205,$G$5:$G205,$F205,$D$5:$D205,"转账"))</f>
        <v/>
      </c>
      <c r="S205" s="49" t="str">
        <f aca="false">IF($E205="","",IFERROR(INDEX(科目参数!$N$6:$N$85,MATCH($E205,科目参数!$M$6:$M$85,0)),""))</f>
        <v/>
      </c>
      <c r="T205" s="49" t="str">
        <f aca="false">IF($F205="","",IFERROR(INDEX(基础资料!$C$6:$C$35,MATCH($F205,基础资料!$A$6:$A$35,0)),""))</f>
        <v/>
      </c>
      <c r="U205" s="49" t="str">
        <f aca="false">IF($G205="","",IFERROR(INDEX(基础资料!$C$6:$C$35,MATCH($G205,基础资料!$A$6:$A$35,0)),""))</f>
        <v/>
      </c>
      <c r="V205" s="49" t="str">
        <f aca="false">IF(AND($G205=客户对账单!$B$3,$E205="客户回款",$B205&gt;=客户对账单!$E$3,$B205&lt;=客户对账单!$H$3),COUNTIFS($G$5:$G205,客户对账单!$B$3,$E$5:$E205,"客户回款",$B$5:$B205,"&gt;="&amp;客户对账单!$E$3,$B$5:$B205,"&lt;="&amp;客户对账单!$H$3),"")</f>
        <v/>
      </c>
      <c r="W205" s="49" t="str">
        <f aca="false">IF(AND($G205=供应商对账单!$B$3,$E205="供应商付款",$B205&gt;=供应商对账单!$E$3,$B205&lt;=供应商对账单!$H$3),COUNTIFS($G$5:$G205,供应商对账单!$B$3,$E$5:$E205,"供应商付款",$B$5:$B205,"&gt;="&amp;供应商对账单!$E$3,$B$5:$B205,"&lt;="&amp;供应商对账单!$H$3),"")</f>
        <v/>
      </c>
    </row>
    <row r="206" customFormat="false" ht="15.75" hidden="false" customHeight="true" outlineLevel="0" collapsed="false">
      <c r="A206" s="42" t="str">
        <f aca="false">IF($B206="","","ZJ"&amp;TEXT($B206,"yyyymm")&amp;"-"&amp;TEXT(ROW()-4,"000"))</f>
        <v/>
      </c>
      <c r="B206" s="41"/>
      <c r="C206" s="42" t="str">
        <f aca="false">IF($B206="","",TEXT($B206,"yyyy-mm"))</f>
        <v/>
      </c>
      <c r="D206" s="42" t="str">
        <f aca="false">IF($E206="","",IFERROR(INDEX(科目参数!$L$6:$L$85,MATCH($E206,科目参数!$M$6:$M$85,0)),"⚠"))</f>
        <v/>
      </c>
      <c r="E206" s="33"/>
      <c r="F206" s="33"/>
      <c r="G206" s="36"/>
      <c r="H206" s="33"/>
      <c r="I206" s="33"/>
      <c r="J206" s="36"/>
      <c r="K206" s="40"/>
      <c r="L206" s="40"/>
      <c r="M206" s="47" t="str">
        <f aca="false">IF($B206="","",IF(NOT(ISNUMBER($B206)),"日期不是日期格式",IF(YEAR($B206)&lt;&gt;首页!$B$3,"不在会计年度",IF($E206="","未选收支科目",IF($D206="⚠","收支科目不存在",IF($F206="","未选账户",IF($T206="","账户未设资金科目",IF(AND($D206="转账",$U206=""),"转入账户无效",IF(AND(N($K206)&gt;0,N($L206)&gt;0),"收支不能同时填",IF(AND($D206="收入",N($K206)&lt;=0),"收入金额须大于0",IF(AND($D206&lt;&gt;"收入",N($L206)&lt;=0),"支出金额须大于0",IF($O206="","借方科目缺失",IF($P206="","贷方科目缺失","√")))))))))))))</f>
        <v/>
      </c>
      <c r="N206" s="48" t="str">
        <f aca="false">IF($B206="","",IF($D206="收入",N($K206),N($L206)))</f>
        <v/>
      </c>
      <c r="O206" s="49" t="str">
        <f aca="false">IF($B206="","",IF($D206="收入",$T206,IF($D206="转账",$U206,$S206)))</f>
        <v/>
      </c>
      <c r="P206" s="49" t="str">
        <f aca="false">IF($B206="","",IF($D206="收入",$S206,$T206))</f>
        <v/>
      </c>
      <c r="Q206" s="50" t="str">
        <f aca="false">IF($E206="","",IF($D206="转账","—",IFERROR(INDEX(科目参数!$P$6:$P$85,MATCH($E206,科目参数!$M$6:$M$85,0)),"")))</f>
        <v/>
      </c>
      <c r="R206" s="48" t="str">
        <f aca="false">IF($B206="","",SUMIFS(期初数据!$B$6:$B$35,期初数据!$A$6:$A$35,$F206)+SUMIFS($N$5:$N206,$F$5:$F206,$F206,$D$5:$D206,"收入")-SUMIFS($N$5:$N206,$F$5:$F206,$F206,$D$5:$D206,"支出")-SUMIFS($N$5:$N206,$F$5:$F206,$F206,$D$5:$D206,"转账")+SUMIFS($N$5:$N206,$G$5:$G206,$F206,$D$5:$D206,"转账"))</f>
        <v/>
      </c>
      <c r="S206" s="49" t="str">
        <f aca="false">IF($E206="","",IFERROR(INDEX(科目参数!$N$6:$N$85,MATCH($E206,科目参数!$M$6:$M$85,0)),""))</f>
        <v/>
      </c>
      <c r="T206" s="49" t="str">
        <f aca="false">IF($F206="","",IFERROR(INDEX(基础资料!$C$6:$C$35,MATCH($F206,基础资料!$A$6:$A$35,0)),""))</f>
        <v/>
      </c>
      <c r="U206" s="49" t="str">
        <f aca="false">IF($G206="","",IFERROR(INDEX(基础资料!$C$6:$C$35,MATCH($G206,基础资料!$A$6:$A$35,0)),""))</f>
        <v/>
      </c>
      <c r="V206" s="49" t="str">
        <f aca="false">IF(AND($G206=客户对账单!$B$3,$E206="客户回款",$B206&gt;=客户对账单!$E$3,$B206&lt;=客户对账单!$H$3),COUNTIFS($G$5:$G206,客户对账单!$B$3,$E$5:$E206,"客户回款",$B$5:$B206,"&gt;="&amp;客户对账单!$E$3,$B$5:$B206,"&lt;="&amp;客户对账单!$H$3),"")</f>
        <v/>
      </c>
      <c r="W206" s="49" t="str">
        <f aca="false">IF(AND($G206=供应商对账单!$B$3,$E206="供应商付款",$B206&gt;=供应商对账单!$E$3,$B206&lt;=供应商对账单!$H$3),COUNTIFS($G$5:$G206,供应商对账单!$B$3,$E$5:$E206,"供应商付款",$B$5:$B206,"&gt;="&amp;供应商对账单!$E$3,$B$5:$B206,"&lt;="&amp;供应商对账单!$H$3),"")</f>
        <v/>
      </c>
    </row>
    <row r="207" customFormat="false" ht="15.75" hidden="false" customHeight="true" outlineLevel="0" collapsed="false">
      <c r="A207" s="42" t="str">
        <f aca="false">IF($B207="","","ZJ"&amp;TEXT($B207,"yyyymm")&amp;"-"&amp;TEXT(ROW()-4,"000"))</f>
        <v/>
      </c>
      <c r="B207" s="41"/>
      <c r="C207" s="42" t="str">
        <f aca="false">IF($B207="","",TEXT($B207,"yyyy-mm"))</f>
        <v/>
      </c>
      <c r="D207" s="42" t="str">
        <f aca="false">IF($E207="","",IFERROR(INDEX(科目参数!$L$6:$L$85,MATCH($E207,科目参数!$M$6:$M$85,0)),"⚠"))</f>
        <v/>
      </c>
      <c r="E207" s="33"/>
      <c r="F207" s="33"/>
      <c r="G207" s="36"/>
      <c r="H207" s="33"/>
      <c r="I207" s="33"/>
      <c r="J207" s="36"/>
      <c r="K207" s="40"/>
      <c r="L207" s="40"/>
      <c r="M207" s="47" t="str">
        <f aca="false">IF($B207="","",IF(NOT(ISNUMBER($B207)),"日期不是日期格式",IF(YEAR($B207)&lt;&gt;首页!$B$3,"不在会计年度",IF($E207="","未选收支科目",IF($D207="⚠","收支科目不存在",IF($F207="","未选账户",IF($T207="","账户未设资金科目",IF(AND($D207="转账",$U207=""),"转入账户无效",IF(AND(N($K207)&gt;0,N($L207)&gt;0),"收支不能同时填",IF(AND($D207="收入",N($K207)&lt;=0),"收入金额须大于0",IF(AND($D207&lt;&gt;"收入",N($L207)&lt;=0),"支出金额须大于0",IF($O207="","借方科目缺失",IF($P207="","贷方科目缺失","√")))))))))))))</f>
        <v/>
      </c>
      <c r="N207" s="48" t="str">
        <f aca="false">IF($B207="","",IF($D207="收入",N($K207),N($L207)))</f>
        <v/>
      </c>
      <c r="O207" s="49" t="str">
        <f aca="false">IF($B207="","",IF($D207="收入",$T207,IF($D207="转账",$U207,$S207)))</f>
        <v/>
      </c>
      <c r="P207" s="49" t="str">
        <f aca="false">IF($B207="","",IF($D207="收入",$S207,$T207))</f>
        <v/>
      </c>
      <c r="Q207" s="50" t="str">
        <f aca="false">IF($E207="","",IF($D207="转账","—",IFERROR(INDEX(科目参数!$P$6:$P$85,MATCH($E207,科目参数!$M$6:$M$85,0)),"")))</f>
        <v/>
      </c>
      <c r="R207" s="48" t="str">
        <f aca="false">IF($B207="","",SUMIFS(期初数据!$B$6:$B$35,期初数据!$A$6:$A$35,$F207)+SUMIFS($N$5:$N207,$F$5:$F207,$F207,$D$5:$D207,"收入")-SUMIFS($N$5:$N207,$F$5:$F207,$F207,$D$5:$D207,"支出")-SUMIFS($N$5:$N207,$F$5:$F207,$F207,$D$5:$D207,"转账")+SUMIFS($N$5:$N207,$G$5:$G207,$F207,$D$5:$D207,"转账"))</f>
        <v/>
      </c>
      <c r="S207" s="49" t="str">
        <f aca="false">IF($E207="","",IFERROR(INDEX(科目参数!$N$6:$N$85,MATCH($E207,科目参数!$M$6:$M$85,0)),""))</f>
        <v/>
      </c>
      <c r="T207" s="49" t="str">
        <f aca="false">IF($F207="","",IFERROR(INDEX(基础资料!$C$6:$C$35,MATCH($F207,基础资料!$A$6:$A$35,0)),""))</f>
        <v/>
      </c>
      <c r="U207" s="49" t="str">
        <f aca="false">IF($G207="","",IFERROR(INDEX(基础资料!$C$6:$C$35,MATCH($G207,基础资料!$A$6:$A$35,0)),""))</f>
        <v/>
      </c>
      <c r="V207" s="49" t="str">
        <f aca="false">IF(AND($G207=客户对账单!$B$3,$E207="客户回款",$B207&gt;=客户对账单!$E$3,$B207&lt;=客户对账单!$H$3),COUNTIFS($G$5:$G207,客户对账单!$B$3,$E$5:$E207,"客户回款",$B$5:$B207,"&gt;="&amp;客户对账单!$E$3,$B$5:$B207,"&lt;="&amp;客户对账单!$H$3),"")</f>
        <v/>
      </c>
      <c r="W207" s="49" t="str">
        <f aca="false">IF(AND($G207=供应商对账单!$B$3,$E207="供应商付款",$B207&gt;=供应商对账单!$E$3,$B207&lt;=供应商对账单!$H$3),COUNTIFS($G$5:$G207,供应商对账单!$B$3,$E$5:$E207,"供应商付款",$B$5:$B207,"&gt;="&amp;供应商对账单!$E$3,$B$5:$B207,"&lt;="&amp;供应商对账单!$H$3),"")</f>
        <v/>
      </c>
    </row>
    <row r="208" customFormat="false" ht="15.75" hidden="false" customHeight="true" outlineLevel="0" collapsed="false">
      <c r="A208" s="42" t="str">
        <f aca="false">IF($B208="","","ZJ"&amp;TEXT($B208,"yyyymm")&amp;"-"&amp;TEXT(ROW()-4,"000"))</f>
        <v/>
      </c>
      <c r="B208" s="41"/>
      <c r="C208" s="42" t="str">
        <f aca="false">IF($B208="","",TEXT($B208,"yyyy-mm"))</f>
        <v/>
      </c>
      <c r="D208" s="42" t="str">
        <f aca="false">IF($E208="","",IFERROR(INDEX(科目参数!$L$6:$L$85,MATCH($E208,科目参数!$M$6:$M$85,0)),"⚠"))</f>
        <v/>
      </c>
      <c r="E208" s="33"/>
      <c r="F208" s="33"/>
      <c r="G208" s="36"/>
      <c r="H208" s="33"/>
      <c r="I208" s="33"/>
      <c r="J208" s="36"/>
      <c r="K208" s="40"/>
      <c r="L208" s="40"/>
      <c r="M208" s="47" t="str">
        <f aca="false">IF($B208="","",IF(NOT(ISNUMBER($B208)),"日期不是日期格式",IF(YEAR($B208)&lt;&gt;首页!$B$3,"不在会计年度",IF($E208="","未选收支科目",IF($D208="⚠","收支科目不存在",IF($F208="","未选账户",IF($T208="","账户未设资金科目",IF(AND($D208="转账",$U208=""),"转入账户无效",IF(AND(N($K208)&gt;0,N($L208)&gt;0),"收支不能同时填",IF(AND($D208="收入",N($K208)&lt;=0),"收入金额须大于0",IF(AND($D208&lt;&gt;"收入",N($L208)&lt;=0),"支出金额须大于0",IF($O208="","借方科目缺失",IF($P208="","贷方科目缺失","√")))))))))))))</f>
        <v/>
      </c>
      <c r="N208" s="48" t="str">
        <f aca="false">IF($B208="","",IF($D208="收入",N($K208),N($L208)))</f>
        <v/>
      </c>
      <c r="O208" s="49" t="str">
        <f aca="false">IF($B208="","",IF($D208="收入",$T208,IF($D208="转账",$U208,$S208)))</f>
        <v/>
      </c>
      <c r="P208" s="49" t="str">
        <f aca="false">IF($B208="","",IF($D208="收入",$S208,$T208))</f>
        <v/>
      </c>
      <c r="Q208" s="50" t="str">
        <f aca="false">IF($E208="","",IF($D208="转账","—",IFERROR(INDEX(科目参数!$P$6:$P$85,MATCH($E208,科目参数!$M$6:$M$85,0)),"")))</f>
        <v/>
      </c>
      <c r="R208" s="48" t="str">
        <f aca="false">IF($B208="","",SUMIFS(期初数据!$B$6:$B$35,期初数据!$A$6:$A$35,$F208)+SUMIFS($N$5:$N208,$F$5:$F208,$F208,$D$5:$D208,"收入")-SUMIFS($N$5:$N208,$F$5:$F208,$F208,$D$5:$D208,"支出")-SUMIFS($N$5:$N208,$F$5:$F208,$F208,$D$5:$D208,"转账")+SUMIFS($N$5:$N208,$G$5:$G208,$F208,$D$5:$D208,"转账"))</f>
        <v/>
      </c>
      <c r="S208" s="49" t="str">
        <f aca="false">IF($E208="","",IFERROR(INDEX(科目参数!$N$6:$N$85,MATCH($E208,科目参数!$M$6:$M$85,0)),""))</f>
        <v/>
      </c>
      <c r="T208" s="49" t="str">
        <f aca="false">IF($F208="","",IFERROR(INDEX(基础资料!$C$6:$C$35,MATCH($F208,基础资料!$A$6:$A$35,0)),""))</f>
        <v/>
      </c>
      <c r="U208" s="49" t="str">
        <f aca="false">IF($G208="","",IFERROR(INDEX(基础资料!$C$6:$C$35,MATCH($G208,基础资料!$A$6:$A$35,0)),""))</f>
        <v/>
      </c>
      <c r="V208" s="49" t="str">
        <f aca="false">IF(AND($G208=客户对账单!$B$3,$E208="客户回款",$B208&gt;=客户对账单!$E$3,$B208&lt;=客户对账单!$H$3),COUNTIFS($G$5:$G208,客户对账单!$B$3,$E$5:$E208,"客户回款",$B$5:$B208,"&gt;="&amp;客户对账单!$E$3,$B$5:$B208,"&lt;="&amp;客户对账单!$H$3),"")</f>
        <v/>
      </c>
      <c r="W208" s="49" t="str">
        <f aca="false">IF(AND($G208=供应商对账单!$B$3,$E208="供应商付款",$B208&gt;=供应商对账单!$E$3,$B208&lt;=供应商对账单!$H$3),COUNTIFS($G$5:$G208,供应商对账单!$B$3,$E$5:$E208,"供应商付款",$B$5:$B208,"&gt;="&amp;供应商对账单!$E$3,$B$5:$B208,"&lt;="&amp;供应商对账单!$H$3),"")</f>
        <v/>
      </c>
    </row>
    <row r="209" customFormat="false" ht="15.75" hidden="false" customHeight="true" outlineLevel="0" collapsed="false">
      <c r="A209" s="42" t="str">
        <f aca="false">IF($B209="","","ZJ"&amp;TEXT($B209,"yyyymm")&amp;"-"&amp;TEXT(ROW()-4,"000"))</f>
        <v/>
      </c>
      <c r="B209" s="41"/>
      <c r="C209" s="42" t="str">
        <f aca="false">IF($B209="","",TEXT($B209,"yyyy-mm"))</f>
        <v/>
      </c>
      <c r="D209" s="42" t="str">
        <f aca="false">IF($E209="","",IFERROR(INDEX(科目参数!$L$6:$L$85,MATCH($E209,科目参数!$M$6:$M$85,0)),"⚠"))</f>
        <v/>
      </c>
      <c r="E209" s="33"/>
      <c r="F209" s="33"/>
      <c r="G209" s="36"/>
      <c r="H209" s="33"/>
      <c r="I209" s="33"/>
      <c r="J209" s="36"/>
      <c r="K209" s="40"/>
      <c r="L209" s="40"/>
      <c r="M209" s="47" t="str">
        <f aca="false">IF($B209="","",IF(NOT(ISNUMBER($B209)),"日期不是日期格式",IF(YEAR($B209)&lt;&gt;首页!$B$3,"不在会计年度",IF($E209="","未选收支科目",IF($D209="⚠","收支科目不存在",IF($F209="","未选账户",IF($T209="","账户未设资金科目",IF(AND($D209="转账",$U209=""),"转入账户无效",IF(AND(N($K209)&gt;0,N($L209)&gt;0),"收支不能同时填",IF(AND($D209="收入",N($K209)&lt;=0),"收入金额须大于0",IF(AND($D209&lt;&gt;"收入",N($L209)&lt;=0),"支出金额须大于0",IF($O209="","借方科目缺失",IF($P209="","贷方科目缺失","√")))))))))))))</f>
        <v/>
      </c>
      <c r="N209" s="48" t="str">
        <f aca="false">IF($B209="","",IF($D209="收入",N($K209),N($L209)))</f>
        <v/>
      </c>
      <c r="O209" s="49" t="str">
        <f aca="false">IF($B209="","",IF($D209="收入",$T209,IF($D209="转账",$U209,$S209)))</f>
        <v/>
      </c>
      <c r="P209" s="49" t="str">
        <f aca="false">IF($B209="","",IF($D209="收入",$S209,$T209))</f>
        <v/>
      </c>
      <c r="Q209" s="50" t="str">
        <f aca="false">IF($E209="","",IF($D209="转账","—",IFERROR(INDEX(科目参数!$P$6:$P$85,MATCH($E209,科目参数!$M$6:$M$85,0)),"")))</f>
        <v/>
      </c>
      <c r="R209" s="48" t="str">
        <f aca="false">IF($B209="","",SUMIFS(期初数据!$B$6:$B$35,期初数据!$A$6:$A$35,$F209)+SUMIFS($N$5:$N209,$F$5:$F209,$F209,$D$5:$D209,"收入")-SUMIFS($N$5:$N209,$F$5:$F209,$F209,$D$5:$D209,"支出")-SUMIFS($N$5:$N209,$F$5:$F209,$F209,$D$5:$D209,"转账")+SUMIFS($N$5:$N209,$G$5:$G209,$F209,$D$5:$D209,"转账"))</f>
        <v/>
      </c>
      <c r="S209" s="49" t="str">
        <f aca="false">IF($E209="","",IFERROR(INDEX(科目参数!$N$6:$N$85,MATCH($E209,科目参数!$M$6:$M$85,0)),""))</f>
        <v/>
      </c>
      <c r="T209" s="49" t="str">
        <f aca="false">IF($F209="","",IFERROR(INDEX(基础资料!$C$6:$C$35,MATCH($F209,基础资料!$A$6:$A$35,0)),""))</f>
        <v/>
      </c>
      <c r="U209" s="49" t="str">
        <f aca="false">IF($G209="","",IFERROR(INDEX(基础资料!$C$6:$C$35,MATCH($G209,基础资料!$A$6:$A$35,0)),""))</f>
        <v/>
      </c>
      <c r="V209" s="49" t="str">
        <f aca="false">IF(AND($G209=客户对账单!$B$3,$E209="客户回款",$B209&gt;=客户对账单!$E$3,$B209&lt;=客户对账单!$H$3),COUNTIFS($G$5:$G209,客户对账单!$B$3,$E$5:$E209,"客户回款",$B$5:$B209,"&gt;="&amp;客户对账单!$E$3,$B$5:$B209,"&lt;="&amp;客户对账单!$H$3),"")</f>
        <v/>
      </c>
      <c r="W209" s="49" t="str">
        <f aca="false">IF(AND($G209=供应商对账单!$B$3,$E209="供应商付款",$B209&gt;=供应商对账单!$E$3,$B209&lt;=供应商对账单!$H$3),COUNTIFS($G$5:$G209,供应商对账单!$B$3,$E$5:$E209,"供应商付款",$B$5:$B209,"&gt;="&amp;供应商对账单!$E$3,$B$5:$B209,"&lt;="&amp;供应商对账单!$H$3),"")</f>
        <v/>
      </c>
    </row>
    <row r="210" customFormat="false" ht="15.75" hidden="false" customHeight="true" outlineLevel="0" collapsed="false">
      <c r="A210" s="42" t="str">
        <f aca="false">IF($B210="","","ZJ"&amp;TEXT($B210,"yyyymm")&amp;"-"&amp;TEXT(ROW()-4,"000"))</f>
        <v/>
      </c>
      <c r="B210" s="41"/>
      <c r="C210" s="42" t="str">
        <f aca="false">IF($B210="","",TEXT($B210,"yyyy-mm"))</f>
        <v/>
      </c>
      <c r="D210" s="42" t="str">
        <f aca="false">IF($E210="","",IFERROR(INDEX(科目参数!$L$6:$L$85,MATCH($E210,科目参数!$M$6:$M$85,0)),"⚠"))</f>
        <v/>
      </c>
      <c r="E210" s="33"/>
      <c r="F210" s="33"/>
      <c r="G210" s="36"/>
      <c r="H210" s="33"/>
      <c r="I210" s="33"/>
      <c r="J210" s="36"/>
      <c r="K210" s="40"/>
      <c r="L210" s="40"/>
      <c r="M210" s="47" t="str">
        <f aca="false">IF($B210="","",IF(NOT(ISNUMBER($B210)),"日期不是日期格式",IF(YEAR($B210)&lt;&gt;首页!$B$3,"不在会计年度",IF($E210="","未选收支科目",IF($D210="⚠","收支科目不存在",IF($F210="","未选账户",IF($T210="","账户未设资金科目",IF(AND($D210="转账",$U210=""),"转入账户无效",IF(AND(N($K210)&gt;0,N($L210)&gt;0),"收支不能同时填",IF(AND($D210="收入",N($K210)&lt;=0),"收入金额须大于0",IF(AND($D210&lt;&gt;"收入",N($L210)&lt;=0),"支出金额须大于0",IF($O210="","借方科目缺失",IF($P210="","贷方科目缺失","√")))))))))))))</f>
        <v/>
      </c>
      <c r="N210" s="48" t="str">
        <f aca="false">IF($B210="","",IF($D210="收入",N($K210),N($L210)))</f>
        <v/>
      </c>
      <c r="O210" s="49" t="str">
        <f aca="false">IF($B210="","",IF($D210="收入",$T210,IF($D210="转账",$U210,$S210)))</f>
        <v/>
      </c>
      <c r="P210" s="49" t="str">
        <f aca="false">IF($B210="","",IF($D210="收入",$S210,$T210))</f>
        <v/>
      </c>
      <c r="Q210" s="50" t="str">
        <f aca="false">IF($E210="","",IF($D210="转账","—",IFERROR(INDEX(科目参数!$P$6:$P$85,MATCH($E210,科目参数!$M$6:$M$85,0)),"")))</f>
        <v/>
      </c>
      <c r="R210" s="48" t="str">
        <f aca="false">IF($B210="","",SUMIFS(期初数据!$B$6:$B$35,期初数据!$A$6:$A$35,$F210)+SUMIFS($N$5:$N210,$F$5:$F210,$F210,$D$5:$D210,"收入")-SUMIFS($N$5:$N210,$F$5:$F210,$F210,$D$5:$D210,"支出")-SUMIFS($N$5:$N210,$F$5:$F210,$F210,$D$5:$D210,"转账")+SUMIFS($N$5:$N210,$G$5:$G210,$F210,$D$5:$D210,"转账"))</f>
        <v/>
      </c>
      <c r="S210" s="49" t="str">
        <f aca="false">IF($E210="","",IFERROR(INDEX(科目参数!$N$6:$N$85,MATCH($E210,科目参数!$M$6:$M$85,0)),""))</f>
        <v/>
      </c>
      <c r="T210" s="49" t="str">
        <f aca="false">IF($F210="","",IFERROR(INDEX(基础资料!$C$6:$C$35,MATCH($F210,基础资料!$A$6:$A$35,0)),""))</f>
        <v/>
      </c>
      <c r="U210" s="49" t="str">
        <f aca="false">IF($G210="","",IFERROR(INDEX(基础资料!$C$6:$C$35,MATCH($G210,基础资料!$A$6:$A$35,0)),""))</f>
        <v/>
      </c>
      <c r="V210" s="49" t="str">
        <f aca="false">IF(AND($G210=客户对账单!$B$3,$E210="客户回款",$B210&gt;=客户对账单!$E$3,$B210&lt;=客户对账单!$H$3),COUNTIFS($G$5:$G210,客户对账单!$B$3,$E$5:$E210,"客户回款",$B$5:$B210,"&gt;="&amp;客户对账单!$E$3,$B$5:$B210,"&lt;="&amp;客户对账单!$H$3),"")</f>
        <v/>
      </c>
      <c r="W210" s="49" t="str">
        <f aca="false">IF(AND($G210=供应商对账单!$B$3,$E210="供应商付款",$B210&gt;=供应商对账单!$E$3,$B210&lt;=供应商对账单!$H$3),COUNTIFS($G$5:$G210,供应商对账单!$B$3,$E$5:$E210,"供应商付款",$B$5:$B210,"&gt;="&amp;供应商对账单!$E$3,$B$5:$B210,"&lt;="&amp;供应商对账单!$H$3),"")</f>
        <v/>
      </c>
    </row>
    <row r="211" customFormat="false" ht="15.75" hidden="false" customHeight="true" outlineLevel="0" collapsed="false">
      <c r="A211" s="42" t="str">
        <f aca="false">IF($B211="","","ZJ"&amp;TEXT($B211,"yyyymm")&amp;"-"&amp;TEXT(ROW()-4,"000"))</f>
        <v/>
      </c>
      <c r="B211" s="41"/>
      <c r="C211" s="42" t="str">
        <f aca="false">IF($B211="","",TEXT($B211,"yyyy-mm"))</f>
        <v/>
      </c>
      <c r="D211" s="42" t="str">
        <f aca="false">IF($E211="","",IFERROR(INDEX(科目参数!$L$6:$L$85,MATCH($E211,科目参数!$M$6:$M$85,0)),"⚠"))</f>
        <v/>
      </c>
      <c r="E211" s="33"/>
      <c r="F211" s="33"/>
      <c r="G211" s="36"/>
      <c r="H211" s="33"/>
      <c r="I211" s="33"/>
      <c r="J211" s="36"/>
      <c r="K211" s="40"/>
      <c r="L211" s="40"/>
      <c r="M211" s="47" t="str">
        <f aca="false">IF($B211="","",IF(NOT(ISNUMBER($B211)),"日期不是日期格式",IF(YEAR($B211)&lt;&gt;首页!$B$3,"不在会计年度",IF($E211="","未选收支科目",IF($D211="⚠","收支科目不存在",IF($F211="","未选账户",IF($T211="","账户未设资金科目",IF(AND($D211="转账",$U211=""),"转入账户无效",IF(AND(N($K211)&gt;0,N($L211)&gt;0),"收支不能同时填",IF(AND($D211="收入",N($K211)&lt;=0),"收入金额须大于0",IF(AND($D211&lt;&gt;"收入",N($L211)&lt;=0),"支出金额须大于0",IF($O211="","借方科目缺失",IF($P211="","贷方科目缺失","√")))))))))))))</f>
        <v/>
      </c>
      <c r="N211" s="48" t="str">
        <f aca="false">IF($B211="","",IF($D211="收入",N($K211),N($L211)))</f>
        <v/>
      </c>
      <c r="O211" s="49" t="str">
        <f aca="false">IF($B211="","",IF($D211="收入",$T211,IF($D211="转账",$U211,$S211)))</f>
        <v/>
      </c>
      <c r="P211" s="49" t="str">
        <f aca="false">IF($B211="","",IF($D211="收入",$S211,$T211))</f>
        <v/>
      </c>
      <c r="Q211" s="50" t="str">
        <f aca="false">IF($E211="","",IF($D211="转账","—",IFERROR(INDEX(科目参数!$P$6:$P$85,MATCH($E211,科目参数!$M$6:$M$85,0)),"")))</f>
        <v/>
      </c>
      <c r="R211" s="48" t="str">
        <f aca="false">IF($B211="","",SUMIFS(期初数据!$B$6:$B$35,期初数据!$A$6:$A$35,$F211)+SUMIFS($N$5:$N211,$F$5:$F211,$F211,$D$5:$D211,"收入")-SUMIFS($N$5:$N211,$F$5:$F211,$F211,$D$5:$D211,"支出")-SUMIFS($N$5:$N211,$F$5:$F211,$F211,$D$5:$D211,"转账")+SUMIFS($N$5:$N211,$G$5:$G211,$F211,$D$5:$D211,"转账"))</f>
        <v/>
      </c>
      <c r="S211" s="49" t="str">
        <f aca="false">IF($E211="","",IFERROR(INDEX(科目参数!$N$6:$N$85,MATCH($E211,科目参数!$M$6:$M$85,0)),""))</f>
        <v/>
      </c>
      <c r="T211" s="49" t="str">
        <f aca="false">IF($F211="","",IFERROR(INDEX(基础资料!$C$6:$C$35,MATCH($F211,基础资料!$A$6:$A$35,0)),""))</f>
        <v/>
      </c>
      <c r="U211" s="49" t="str">
        <f aca="false">IF($G211="","",IFERROR(INDEX(基础资料!$C$6:$C$35,MATCH($G211,基础资料!$A$6:$A$35,0)),""))</f>
        <v/>
      </c>
      <c r="V211" s="49" t="str">
        <f aca="false">IF(AND($G211=客户对账单!$B$3,$E211="客户回款",$B211&gt;=客户对账单!$E$3,$B211&lt;=客户对账单!$H$3),COUNTIFS($G$5:$G211,客户对账单!$B$3,$E$5:$E211,"客户回款",$B$5:$B211,"&gt;="&amp;客户对账单!$E$3,$B$5:$B211,"&lt;="&amp;客户对账单!$H$3),"")</f>
        <v/>
      </c>
      <c r="W211" s="49" t="str">
        <f aca="false">IF(AND($G211=供应商对账单!$B$3,$E211="供应商付款",$B211&gt;=供应商对账单!$E$3,$B211&lt;=供应商对账单!$H$3),COUNTIFS($G$5:$G211,供应商对账单!$B$3,$E$5:$E211,"供应商付款",$B$5:$B211,"&gt;="&amp;供应商对账单!$E$3,$B$5:$B211,"&lt;="&amp;供应商对账单!$H$3),"")</f>
        <v/>
      </c>
    </row>
    <row r="212" customFormat="false" ht="15.75" hidden="false" customHeight="true" outlineLevel="0" collapsed="false">
      <c r="A212" s="42" t="str">
        <f aca="false">IF($B212="","","ZJ"&amp;TEXT($B212,"yyyymm")&amp;"-"&amp;TEXT(ROW()-4,"000"))</f>
        <v/>
      </c>
      <c r="B212" s="41"/>
      <c r="C212" s="42" t="str">
        <f aca="false">IF($B212="","",TEXT($B212,"yyyy-mm"))</f>
        <v/>
      </c>
      <c r="D212" s="42" t="str">
        <f aca="false">IF($E212="","",IFERROR(INDEX(科目参数!$L$6:$L$85,MATCH($E212,科目参数!$M$6:$M$85,0)),"⚠"))</f>
        <v/>
      </c>
      <c r="E212" s="33"/>
      <c r="F212" s="33"/>
      <c r="G212" s="36"/>
      <c r="H212" s="33"/>
      <c r="I212" s="33"/>
      <c r="J212" s="36"/>
      <c r="K212" s="40"/>
      <c r="L212" s="40"/>
      <c r="M212" s="47" t="str">
        <f aca="false">IF($B212="","",IF(NOT(ISNUMBER($B212)),"日期不是日期格式",IF(YEAR($B212)&lt;&gt;首页!$B$3,"不在会计年度",IF($E212="","未选收支科目",IF($D212="⚠","收支科目不存在",IF($F212="","未选账户",IF($T212="","账户未设资金科目",IF(AND($D212="转账",$U212=""),"转入账户无效",IF(AND(N($K212)&gt;0,N($L212)&gt;0),"收支不能同时填",IF(AND($D212="收入",N($K212)&lt;=0),"收入金额须大于0",IF(AND($D212&lt;&gt;"收入",N($L212)&lt;=0),"支出金额须大于0",IF($O212="","借方科目缺失",IF($P212="","贷方科目缺失","√")))))))))))))</f>
        <v/>
      </c>
      <c r="N212" s="48" t="str">
        <f aca="false">IF($B212="","",IF($D212="收入",N($K212),N($L212)))</f>
        <v/>
      </c>
      <c r="O212" s="49" t="str">
        <f aca="false">IF($B212="","",IF($D212="收入",$T212,IF($D212="转账",$U212,$S212)))</f>
        <v/>
      </c>
      <c r="P212" s="49" t="str">
        <f aca="false">IF($B212="","",IF($D212="收入",$S212,$T212))</f>
        <v/>
      </c>
      <c r="Q212" s="50" t="str">
        <f aca="false">IF($E212="","",IF($D212="转账","—",IFERROR(INDEX(科目参数!$P$6:$P$85,MATCH($E212,科目参数!$M$6:$M$85,0)),"")))</f>
        <v/>
      </c>
      <c r="R212" s="48" t="str">
        <f aca="false">IF($B212="","",SUMIFS(期初数据!$B$6:$B$35,期初数据!$A$6:$A$35,$F212)+SUMIFS($N$5:$N212,$F$5:$F212,$F212,$D$5:$D212,"收入")-SUMIFS($N$5:$N212,$F$5:$F212,$F212,$D$5:$D212,"支出")-SUMIFS($N$5:$N212,$F$5:$F212,$F212,$D$5:$D212,"转账")+SUMIFS($N$5:$N212,$G$5:$G212,$F212,$D$5:$D212,"转账"))</f>
        <v/>
      </c>
      <c r="S212" s="49" t="str">
        <f aca="false">IF($E212="","",IFERROR(INDEX(科目参数!$N$6:$N$85,MATCH($E212,科目参数!$M$6:$M$85,0)),""))</f>
        <v/>
      </c>
      <c r="T212" s="49" t="str">
        <f aca="false">IF($F212="","",IFERROR(INDEX(基础资料!$C$6:$C$35,MATCH($F212,基础资料!$A$6:$A$35,0)),""))</f>
        <v/>
      </c>
      <c r="U212" s="49" t="str">
        <f aca="false">IF($G212="","",IFERROR(INDEX(基础资料!$C$6:$C$35,MATCH($G212,基础资料!$A$6:$A$35,0)),""))</f>
        <v/>
      </c>
      <c r="V212" s="49" t="str">
        <f aca="false">IF(AND($G212=客户对账单!$B$3,$E212="客户回款",$B212&gt;=客户对账单!$E$3,$B212&lt;=客户对账单!$H$3),COUNTIFS($G$5:$G212,客户对账单!$B$3,$E$5:$E212,"客户回款",$B$5:$B212,"&gt;="&amp;客户对账单!$E$3,$B$5:$B212,"&lt;="&amp;客户对账单!$H$3),"")</f>
        <v/>
      </c>
      <c r="W212" s="49" t="str">
        <f aca="false">IF(AND($G212=供应商对账单!$B$3,$E212="供应商付款",$B212&gt;=供应商对账单!$E$3,$B212&lt;=供应商对账单!$H$3),COUNTIFS($G$5:$G212,供应商对账单!$B$3,$E$5:$E212,"供应商付款",$B$5:$B212,"&gt;="&amp;供应商对账单!$E$3,$B$5:$B212,"&lt;="&amp;供应商对账单!$H$3),"")</f>
        <v/>
      </c>
    </row>
    <row r="213" customFormat="false" ht="15.75" hidden="false" customHeight="true" outlineLevel="0" collapsed="false">
      <c r="A213" s="42" t="str">
        <f aca="false">IF($B213="","","ZJ"&amp;TEXT($B213,"yyyymm")&amp;"-"&amp;TEXT(ROW()-4,"000"))</f>
        <v/>
      </c>
      <c r="B213" s="41"/>
      <c r="C213" s="42" t="str">
        <f aca="false">IF($B213="","",TEXT($B213,"yyyy-mm"))</f>
        <v/>
      </c>
      <c r="D213" s="42" t="str">
        <f aca="false">IF($E213="","",IFERROR(INDEX(科目参数!$L$6:$L$85,MATCH($E213,科目参数!$M$6:$M$85,0)),"⚠"))</f>
        <v/>
      </c>
      <c r="E213" s="33"/>
      <c r="F213" s="33"/>
      <c r="G213" s="36"/>
      <c r="H213" s="33"/>
      <c r="I213" s="33"/>
      <c r="J213" s="36"/>
      <c r="K213" s="40"/>
      <c r="L213" s="40"/>
      <c r="M213" s="47" t="str">
        <f aca="false">IF($B213="","",IF(NOT(ISNUMBER($B213)),"日期不是日期格式",IF(YEAR($B213)&lt;&gt;首页!$B$3,"不在会计年度",IF($E213="","未选收支科目",IF($D213="⚠","收支科目不存在",IF($F213="","未选账户",IF($T213="","账户未设资金科目",IF(AND($D213="转账",$U213=""),"转入账户无效",IF(AND(N($K213)&gt;0,N($L213)&gt;0),"收支不能同时填",IF(AND($D213="收入",N($K213)&lt;=0),"收入金额须大于0",IF(AND($D213&lt;&gt;"收入",N($L213)&lt;=0),"支出金额须大于0",IF($O213="","借方科目缺失",IF($P213="","贷方科目缺失","√")))))))))))))</f>
        <v/>
      </c>
      <c r="N213" s="48" t="str">
        <f aca="false">IF($B213="","",IF($D213="收入",N($K213),N($L213)))</f>
        <v/>
      </c>
      <c r="O213" s="49" t="str">
        <f aca="false">IF($B213="","",IF($D213="收入",$T213,IF($D213="转账",$U213,$S213)))</f>
        <v/>
      </c>
      <c r="P213" s="49" t="str">
        <f aca="false">IF($B213="","",IF($D213="收入",$S213,$T213))</f>
        <v/>
      </c>
      <c r="Q213" s="50" t="str">
        <f aca="false">IF($E213="","",IF($D213="转账","—",IFERROR(INDEX(科目参数!$P$6:$P$85,MATCH($E213,科目参数!$M$6:$M$85,0)),"")))</f>
        <v/>
      </c>
      <c r="R213" s="48" t="str">
        <f aca="false">IF($B213="","",SUMIFS(期初数据!$B$6:$B$35,期初数据!$A$6:$A$35,$F213)+SUMIFS($N$5:$N213,$F$5:$F213,$F213,$D$5:$D213,"收入")-SUMIFS($N$5:$N213,$F$5:$F213,$F213,$D$5:$D213,"支出")-SUMIFS($N$5:$N213,$F$5:$F213,$F213,$D$5:$D213,"转账")+SUMIFS($N$5:$N213,$G$5:$G213,$F213,$D$5:$D213,"转账"))</f>
        <v/>
      </c>
      <c r="S213" s="49" t="str">
        <f aca="false">IF($E213="","",IFERROR(INDEX(科目参数!$N$6:$N$85,MATCH($E213,科目参数!$M$6:$M$85,0)),""))</f>
        <v/>
      </c>
      <c r="T213" s="49" t="str">
        <f aca="false">IF($F213="","",IFERROR(INDEX(基础资料!$C$6:$C$35,MATCH($F213,基础资料!$A$6:$A$35,0)),""))</f>
        <v/>
      </c>
      <c r="U213" s="49" t="str">
        <f aca="false">IF($G213="","",IFERROR(INDEX(基础资料!$C$6:$C$35,MATCH($G213,基础资料!$A$6:$A$35,0)),""))</f>
        <v/>
      </c>
      <c r="V213" s="49" t="str">
        <f aca="false">IF(AND($G213=客户对账单!$B$3,$E213="客户回款",$B213&gt;=客户对账单!$E$3,$B213&lt;=客户对账单!$H$3),COUNTIFS($G$5:$G213,客户对账单!$B$3,$E$5:$E213,"客户回款",$B$5:$B213,"&gt;="&amp;客户对账单!$E$3,$B$5:$B213,"&lt;="&amp;客户对账单!$H$3),"")</f>
        <v/>
      </c>
      <c r="W213" s="49" t="str">
        <f aca="false">IF(AND($G213=供应商对账单!$B$3,$E213="供应商付款",$B213&gt;=供应商对账单!$E$3,$B213&lt;=供应商对账单!$H$3),COUNTIFS($G$5:$G213,供应商对账单!$B$3,$E$5:$E213,"供应商付款",$B$5:$B213,"&gt;="&amp;供应商对账单!$E$3,$B$5:$B213,"&lt;="&amp;供应商对账单!$H$3),"")</f>
        <v/>
      </c>
    </row>
    <row r="214" customFormat="false" ht="15.75" hidden="false" customHeight="true" outlineLevel="0" collapsed="false">
      <c r="A214" s="42" t="str">
        <f aca="false">IF($B214="","","ZJ"&amp;TEXT($B214,"yyyymm")&amp;"-"&amp;TEXT(ROW()-4,"000"))</f>
        <v/>
      </c>
      <c r="B214" s="41"/>
      <c r="C214" s="42" t="str">
        <f aca="false">IF($B214="","",TEXT($B214,"yyyy-mm"))</f>
        <v/>
      </c>
      <c r="D214" s="42" t="str">
        <f aca="false">IF($E214="","",IFERROR(INDEX(科目参数!$L$6:$L$85,MATCH($E214,科目参数!$M$6:$M$85,0)),"⚠"))</f>
        <v/>
      </c>
      <c r="E214" s="33"/>
      <c r="F214" s="33"/>
      <c r="G214" s="36"/>
      <c r="H214" s="33"/>
      <c r="I214" s="33"/>
      <c r="J214" s="36"/>
      <c r="K214" s="40"/>
      <c r="L214" s="40"/>
      <c r="M214" s="47" t="str">
        <f aca="false">IF($B214="","",IF(NOT(ISNUMBER($B214)),"日期不是日期格式",IF(YEAR($B214)&lt;&gt;首页!$B$3,"不在会计年度",IF($E214="","未选收支科目",IF($D214="⚠","收支科目不存在",IF($F214="","未选账户",IF($T214="","账户未设资金科目",IF(AND($D214="转账",$U214=""),"转入账户无效",IF(AND(N($K214)&gt;0,N($L214)&gt;0),"收支不能同时填",IF(AND($D214="收入",N($K214)&lt;=0),"收入金额须大于0",IF(AND($D214&lt;&gt;"收入",N($L214)&lt;=0),"支出金额须大于0",IF($O214="","借方科目缺失",IF($P214="","贷方科目缺失","√")))))))))))))</f>
        <v/>
      </c>
      <c r="N214" s="48" t="str">
        <f aca="false">IF($B214="","",IF($D214="收入",N($K214),N($L214)))</f>
        <v/>
      </c>
      <c r="O214" s="49" t="str">
        <f aca="false">IF($B214="","",IF($D214="收入",$T214,IF($D214="转账",$U214,$S214)))</f>
        <v/>
      </c>
      <c r="P214" s="49" t="str">
        <f aca="false">IF($B214="","",IF($D214="收入",$S214,$T214))</f>
        <v/>
      </c>
      <c r="Q214" s="50" t="str">
        <f aca="false">IF($E214="","",IF($D214="转账","—",IFERROR(INDEX(科目参数!$P$6:$P$85,MATCH($E214,科目参数!$M$6:$M$85,0)),"")))</f>
        <v/>
      </c>
      <c r="R214" s="48" t="str">
        <f aca="false">IF($B214="","",SUMIFS(期初数据!$B$6:$B$35,期初数据!$A$6:$A$35,$F214)+SUMIFS($N$5:$N214,$F$5:$F214,$F214,$D$5:$D214,"收入")-SUMIFS($N$5:$N214,$F$5:$F214,$F214,$D$5:$D214,"支出")-SUMIFS($N$5:$N214,$F$5:$F214,$F214,$D$5:$D214,"转账")+SUMIFS($N$5:$N214,$G$5:$G214,$F214,$D$5:$D214,"转账"))</f>
        <v/>
      </c>
      <c r="S214" s="49" t="str">
        <f aca="false">IF($E214="","",IFERROR(INDEX(科目参数!$N$6:$N$85,MATCH($E214,科目参数!$M$6:$M$85,0)),""))</f>
        <v/>
      </c>
      <c r="T214" s="49" t="str">
        <f aca="false">IF($F214="","",IFERROR(INDEX(基础资料!$C$6:$C$35,MATCH($F214,基础资料!$A$6:$A$35,0)),""))</f>
        <v/>
      </c>
      <c r="U214" s="49" t="str">
        <f aca="false">IF($G214="","",IFERROR(INDEX(基础资料!$C$6:$C$35,MATCH($G214,基础资料!$A$6:$A$35,0)),""))</f>
        <v/>
      </c>
      <c r="V214" s="49" t="str">
        <f aca="false">IF(AND($G214=客户对账单!$B$3,$E214="客户回款",$B214&gt;=客户对账单!$E$3,$B214&lt;=客户对账单!$H$3),COUNTIFS($G$5:$G214,客户对账单!$B$3,$E$5:$E214,"客户回款",$B$5:$B214,"&gt;="&amp;客户对账单!$E$3,$B$5:$B214,"&lt;="&amp;客户对账单!$H$3),"")</f>
        <v/>
      </c>
      <c r="W214" s="49" t="str">
        <f aca="false">IF(AND($G214=供应商对账单!$B$3,$E214="供应商付款",$B214&gt;=供应商对账单!$E$3,$B214&lt;=供应商对账单!$H$3),COUNTIFS($G$5:$G214,供应商对账单!$B$3,$E$5:$E214,"供应商付款",$B$5:$B214,"&gt;="&amp;供应商对账单!$E$3,$B$5:$B214,"&lt;="&amp;供应商对账单!$H$3),"")</f>
        <v/>
      </c>
    </row>
    <row r="215" customFormat="false" ht="15.75" hidden="false" customHeight="true" outlineLevel="0" collapsed="false">
      <c r="A215" s="42" t="str">
        <f aca="false">IF($B215="","","ZJ"&amp;TEXT($B215,"yyyymm")&amp;"-"&amp;TEXT(ROW()-4,"000"))</f>
        <v/>
      </c>
      <c r="B215" s="41"/>
      <c r="C215" s="42" t="str">
        <f aca="false">IF($B215="","",TEXT($B215,"yyyy-mm"))</f>
        <v/>
      </c>
      <c r="D215" s="42" t="str">
        <f aca="false">IF($E215="","",IFERROR(INDEX(科目参数!$L$6:$L$85,MATCH($E215,科目参数!$M$6:$M$85,0)),"⚠"))</f>
        <v/>
      </c>
      <c r="E215" s="33"/>
      <c r="F215" s="33"/>
      <c r="G215" s="36"/>
      <c r="H215" s="33"/>
      <c r="I215" s="33"/>
      <c r="J215" s="36"/>
      <c r="K215" s="40"/>
      <c r="L215" s="40"/>
      <c r="M215" s="47" t="str">
        <f aca="false">IF($B215="","",IF(NOT(ISNUMBER($B215)),"日期不是日期格式",IF(YEAR($B215)&lt;&gt;首页!$B$3,"不在会计年度",IF($E215="","未选收支科目",IF($D215="⚠","收支科目不存在",IF($F215="","未选账户",IF($T215="","账户未设资金科目",IF(AND($D215="转账",$U215=""),"转入账户无效",IF(AND(N($K215)&gt;0,N($L215)&gt;0),"收支不能同时填",IF(AND($D215="收入",N($K215)&lt;=0),"收入金额须大于0",IF(AND($D215&lt;&gt;"收入",N($L215)&lt;=0),"支出金额须大于0",IF($O215="","借方科目缺失",IF($P215="","贷方科目缺失","√")))))))))))))</f>
        <v/>
      </c>
      <c r="N215" s="48" t="str">
        <f aca="false">IF($B215="","",IF($D215="收入",N($K215),N($L215)))</f>
        <v/>
      </c>
      <c r="O215" s="49" t="str">
        <f aca="false">IF($B215="","",IF($D215="收入",$T215,IF($D215="转账",$U215,$S215)))</f>
        <v/>
      </c>
      <c r="P215" s="49" t="str">
        <f aca="false">IF($B215="","",IF($D215="收入",$S215,$T215))</f>
        <v/>
      </c>
      <c r="Q215" s="50" t="str">
        <f aca="false">IF($E215="","",IF($D215="转账","—",IFERROR(INDEX(科目参数!$P$6:$P$85,MATCH($E215,科目参数!$M$6:$M$85,0)),"")))</f>
        <v/>
      </c>
      <c r="R215" s="48" t="str">
        <f aca="false">IF($B215="","",SUMIFS(期初数据!$B$6:$B$35,期初数据!$A$6:$A$35,$F215)+SUMIFS($N$5:$N215,$F$5:$F215,$F215,$D$5:$D215,"收入")-SUMIFS($N$5:$N215,$F$5:$F215,$F215,$D$5:$D215,"支出")-SUMIFS($N$5:$N215,$F$5:$F215,$F215,$D$5:$D215,"转账")+SUMIFS($N$5:$N215,$G$5:$G215,$F215,$D$5:$D215,"转账"))</f>
        <v/>
      </c>
      <c r="S215" s="49" t="str">
        <f aca="false">IF($E215="","",IFERROR(INDEX(科目参数!$N$6:$N$85,MATCH($E215,科目参数!$M$6:$M$85,0)),""))</f>
        <v/>
      </c>
      <c r="T215" s="49" t="str">
        <f aca="false">IF($F215="","",IFERROR(INDEX(基础资料!$C$6:$C$35,MATCH($F215,基础资料!$A$6:$A$35,0)),""))</f>
        <v/>
      </c>
      <c r="U215" s="49" t="str">
        <f aca="false">IF($G215="","",IFERROR(INDEX(基础资料!$C$6:$C$35,MATCH($G215,基础资料!$A$6:$A$35,0)),""))</f>
        <v/>
      </c>
      <c r="V215" s="49" t="str">
        <f aca="false">IF(AND($G215=客户对账单!$B$3,$E215="客户回款",$B215&gt;=客户对账单!$E$3,$B215&lt;=客户对账单!$H$3),COUNTIFS($G$5:$G215,客户对账单!$B$3,$E$5:$E215,"客户回款",$B$5:$B215,"&gt;="&amp;客户对账单!$E$3,$B$5:$B215,"&lt;="&amp;客户对账单!$H$3),"")</f>
        <v/>
      </c>
      <c r="W215" s="49" t="str">
        <f aca="false">IF(AND($G215=供应商对账单!$B$3,$E215="供应商付款",$B215&gt;=供应商对账单!$E$3,$B215&lt;=供应商对账单!$H$3),COUNTIFS($G$5:$G215,供应商对账单!$B$3,$E$5:$E215,"供应商付款",$B$5:$B215,"&gt;="&amp;供应商对账单!$E$3,$B$5:$B215,"&lt;="&amp;供应商对账单!$H$3),"")</f>
        <v/>
      </c>
    </row>
    <row r="216" customFormat="false" ht="15.75" hidden="false" customHeight="true" outlineLevel="0" collapsed="false">
      <c r="A216" s="42" t="str">
        <f aca="false">IF($B216="","","ZJ"&amp;TEXT($B216,"yyyymm")&amp;"-"&amp;TEXT(ROW()-4,"000"))</f>
        <v/>
      </c>
      <c r="B216" s="41"/>
      <c r="C216" s="42" t="str">
        <f aca="false">IF($B216="","",TEXT($B216,"yyyy-mm"))</f>
        <v/>
      </c>
      <c r="D216" s="42" t="str">
        <f aca="false">IF($E216="","",IFERROR(INDEX(科目参数!$L$6:$L$85,MATCH($E216,科目参数!$M$6:$M$85,0)),"⚠"))</f>
        <v/>
      </c>
      <c r="E216" s="33"/>
      <c r="F216" s="33"/>
      <c r="G216" s="36"/>
      <c r="H216" s="33"/>
      <c r="I216" s="33"/>
      <c r="J216" s="36"/>
      <c r="K216" s="40"/>
      <c r="L216" s="40"/>
      <c r="M216" s="47" t="str">
        <f aca="false">IF($B216="","",IF(NOT(ISNUMBER($B216)),"日期不是日期格式",IF(YEAR($B216)&lt;&gt;首页!$B$3,"不在会计年度",IF($E216="","未选收支科目",IF($D216="⚠","收支科目不存在",IF($F216="","未选账户",IF($T216="","账户未设资金科目",IF(AND($D216="转账",$U216=""),"转入账户无效",IF(AND(N($K216)&gt;0,N($L216)&gt;0),"收支不能同时填",IF(AND($D216="收入",N($K216)&lt;=0),"收入金额须大于0",IF(AND($D216&lt;&gt;"收入",N($L216)&lt;=0),"支出金额须大于0",IF($O216="","借方科目缺失",IF($P216="","贷方科目缺失","√")))))))))))))</f>
        <v/>
      </c>
      <c r="N216" s="48" t="str">
        <f aca="false">IF($B216="","",IF($D216="收入",N($K216),N($L216)))</f>
        <v/>
      </c>
      <c r="O216" s="49" t="str">
        <f aca="false">IF($B216="","",IF($D216="收入",$T216,IF($D216="转账",$U216,$S216)))</f>
        <v/>
      </c>
      <c r="P216" s="49" t="str">
        <f aca="false">IF($B216="","",IF($D216="收入",$S216,$T216))</f>
        <v/>
      </c>
      <c r="Q216" s="50" t="str">
        <f aca="false">IF($E216="","",IF($D216="转账","—",IFERROR(INDEX(科目参数!$P$6:$P$85,MATCH($E216,科目参数!$M$6:$M$85,0)),"")))</f>
        <v/>
      </c>
      <c r="R216" s="48" t="str">
        <f aca="false">IF($B216="","",SUMIFS(期初数据!$B$6:$B$35,期初数据!$A$6:$A$35,$F216)+SUMIFS($N$5:$N216,$F$5:$F216,$F216,$D$5:$D216,"收入")-SUMIFS($N$5:$N216,$F$5:$F216,$F216,$D$5:$D216,"支出")-SUMIFS($N$5:$N216,$F$5:$F216,$F216,$D$5:$D216,"转账")+SUMIFS($N$5:$N216,$G$5:$G216,$F216,$D$5:$D216,"转账"))</f>
        <v/>
      </c>
      <c r="S216" s="49" t="str">
        <f aca="false">IF($E216="","",IFERROR(INDEX(科目参数!$N$6:$N$85,MATCH($E216,科目参数!$M$6:$M$85,0)),""))</f>
        <v/>
      </c>
      <c r="T216" s="49" t="str">
        <f aca="false">IF($F216="","",IFERROR(INDEX(基础资料!$C$6:$C$35,MATCH($F216,基础资料!$A$6:$A$35,0)),""))</f>
        <v/>
      </c>
      <c r="U216" s="49" t="str">
        <f aca="false">IF($G216="","",IFERROR(INDEX(基础资料!$C$6:$C$35,MATCH($G216,基础资料!$A$6:$A$35,0)),""))</f>
        <v/>
      </c>
      <c r="V216" s="49" t="str">
        <f aca="false">IF(AND($G216=客户对账单!$B$3,$E216="客户回款",$B216&gt;=客户对账单!$E$3,$B216&lt;=客户对账单!$H$3),COUNTIFS($G$5:$G216,客户对账单!$B$3,$E$5:$E216,"客户回款",$B$5:$B216,"&gt;="&amp;客户对账单!$E$3,$B$5:$B216,"&lt;="&amp;客户对账单!$H$3),"")</f>
        <v/>
      </c>
      <c r="W216" s="49" t="str">
        <f aca="false">IF(AND($G216=供应商对账单!$B$3,$E216="供应商付款",$B216&gt;=供应商对账单!$E$3,$B216&lt;=供应商对账单!$H$3),COUNTIFS($G$5:$G216,供应商对账单!$B$3,$E$5:$E216,"供应商付款",$B$5:$B216,"&gt;="&amp;供应商对账单!$E$3,$B$5:$B216,"&lt;="&amp;供应商对账单!$H$3),"")</f>
        <v/>
      </c>
    </row>
    <row r="217" customFormat="false" ht="15.75" hidden="false" customHeight="true" outlineLevel="0" collapsed="false">
      <c r="A217" s="42" t="str">
        <f aca="false">IF($B217="","","ZJ"&amp;TEXT($B217,"yyyymm")&amp;"-"&amp;TEXT(ROW()-4,"000"))</f>
        <v/>
      </c>
      <c r="B217" s="41"/>
      <c r="C217" s="42" t="str">
        <f aca="false">IF($B217="","",TEXT($B217,"yyyy-mm"))</f>
        <v/>
      </c>
      <c r="D217" s="42" t="str">
        <f aca="false">IF($E217="","",IFERROR(INDEX(科目参数!$L$6:$L$85,MATCH($E217,科目参数!$M$6:$M$85,0)),"⚠"))</f>
        <v/>
      </c>
      <c r="E217" s="33"/>
      <c r="F217" s="33"/>
      <c r="G217" s="36"/>
      <c r="H217" s="33"/>
      <c r="I217" s="33"/>
      <c r="J217" s="36"/>
      <c r="K217" s="40"/>
      <c r="L217" s="40"/>
      <c r="M217" s="47" t="str">
        <f aca="false">IF($B217="","",IF(NOT(ISNUMBER($B217)),"日期不是日期格式",IF(YEAR($B217)&lt;&gt;首页!$B$3,"不在会计年度",IF($E217="","未选收支科目",IF($D217="⚠","收支科目不存在",IF($F217="","未选账户",IF($T217="","账户未设资金科目",IF(AND($D217="转账",$U217=""),"转入账户无效",IF(AND(N($K217)&gt;0,N($L217)&gt;0),"收支不能同时填",IF(AND($D217="收入",N($K217)&lt;=0),"收入金额须大于0",IF(AND($D217&lt;&gt;"收入",N($L217)&lt;=0),"支出金额须大于0",IF($O217="","借方科目缺失",IF($P217="","贷方科目缺失","√")))))))))))))</f>
        <v/>
      </c>
      <c r="N217" s="48" t="str">
        <f aca="false">IF($B217="","",IF($D217="收入",N($K217),N($L217)))</f>
        <v/>
      </c>
      <c r="O217" s="49" t="str">
        <f aca="false">IF($B217="","",IF($D217="收入",$T217,IF($D217="转账",$U217,$S217)))</f>
        <v/>
      </c>
      <c r="P217" s="49" t="str">
        <f aca="false">IF($B217="","",IF($D217="收入",$S217,$T217))</f>
        <v/>
      </c>
      <c r="Q217" s="50" t="str">
        <f aca="false">IF($E217="","",IF($D217="转账","—",IFERROR(INDEX(科目参数!$P$6:$P$85,MATCH($E217,科目参数!$M$6:$M$85,0)),"")))</f>
        <v/>
      </c>
      <c r="R217" s="48" t="str">
        <f aca="false">IF($B217="","",SUMIFS(期初数据!$B$6:$B$35,期初数据!$A$6:$A$35,$F217)+SUMIFS($N$5:$N217,$F$5:$F217,$F217,$D$5:$D217,"收入")-SUMIFS($N$5:$N217,$F$5:$F217,$F217,$D$5:$D217,"支出")-SUMIFS($N$5:$N217,$F$5:$F217,$F217,$D$5:$D217,"转账")+SUMIFS($N$5:$N217,$G$5:$G217,$F217,$D$5:$D217,"转账"))</f>
        <v/>
      </c>
      <c r="S217" s="49" t="str">
        <f aca="false">IF($E217="","",IFERROR(INDEX(科目参数!$N$6:$N$85,MATCH($E217,科目参数!$M$6:$M$85,0)),""))</f>
        <v/>
      </c>
      <c r="T217" s="49" t="str">
        <f aca="false">IF($F217="","",IFERROR(INDEX(基础资料!$C$6:$C$35,MATCH($F217,基础资料!$A$6:$A$35,0)),""))</f>
        <v/>
      </c>
      <c r="U217" s="49" t="str">
        <f aca="false">IF($G217="","",IFERROR(INDEX(基础资料!$C$6:$C$35,MATCH($G217,基础资料!$A$6:$A$35,0)),""))</f>
        <v/>
      </c>
      <c r="V217" s="49" t="str">
        <f aca="false">IF(AND($G217=客户对账单!$B$3,$E217="客户回款",$B217&gt;=客户对账单!$E$3,$B217&lt;=客户对账单!$H$3),COUNTIFS($G$5:$G217,客户对账单!$B$3,$E$5:$E217,"客户回款",$B$5:$B217,"&gt;="&amp;客户对账单!$E$3,$B$5:$B217,"&lt;="&amp;客户对账单!$H$3),"")</f>
        <v/>
      </c>
      <c r="W217" s="49" t="str">
        <f aca="false">IF(AND($G217=供应商对账单!$B$3,$E217="供应商付款",$B217&gt;=供应商对账单!$E$3,$B217&lt;=供应商对账单!$H$3),COUNTIFS($G$5:$G217,供应商对账单!$B$3,$E$5:$E217,"供应商付款",$B$5:$B217,"&gt;="&amp;供应商对账单!$E$3,$B$5:$B217,"&lt;="&amp;供应商对账单!$H$3),"")</f>
        <v/>
      </c>
    </row>
    <row r="218" customFormat="false" ht="15.75" hidden="false" customHeight="true" outlineLevel="0" collapsed="false">
      <c r="A218" s="42" t="str">
        <f aca="false">IF($B218="","","ZJ"&amp;TEXT($B218,"yyyymm")&amp;"-"&amp;TEXT(ROW()-4,"000"))</f>
        <v/>
      </c>
      <c r="B218" s="41"/>
      <c r="C218" s="42" t="str">
        <f aca="false">IF($B218="","",TEXT($B218,"yyyy-mm"))</f>
        <v/>
      </c>
      <c r="D218" s="42" t="str">
        <f aca="false">IF($E218="","",IFERROR(INDEX(科目参数!$L$6:$L$85,MATCH($E218,科目参数!$M$6:$M$85,0)),"⚠"))</f>
        <v/>
      </c>
      <c r="E218" s="33"/>
      <c r="F218" s="33"/>
      <c r="G218" s="36"/>
      <c r="H218" s="33"/>
      <c r="I218" s="33"/>
      <c r="J218" s="36"/>
      <c r="K218" s="40"/>
      <c r="L218" s="40"/>
      <c r="M218" s="47" t="str">
        <f aca="false">IF($B218="","",IF(NOT(ISNUMBER($B218)),"日期不是日期格式",IF(YEAR($B218)&lt;&gt;首页!$B$3,"不在会计年度",IF($E218="","未选收支科目",IF($D218="⚠","收支科目不存在",IF($F218="","未选账户",IF($T218="","账户未设资金科目",IF(AND($D218="转账",$U218=""),"转入账户无效",IF(AND(N($K218)&gt;0,N($L218)&gt;0),"收支不能同时填",IF(AND($D218="收入",N($K218)&lt;=0),"收入金额须大于0",IF(AND($D218&lt;&gt;"收入",N($L218)&lt;=0),"支出金额须大于0",IF($O218="","借方科目缺失",IF($P218="","贷方科目缺失","√")))))))))))))</f>
        <v/>
      </c>
      <c r="N218" s="48" t="str">
        <f aca="false">IF($B218="","",IF($D218="收入",N($K218),N($L218)))</f>
        <v/>
      </c>
      <c r="O218" s="49" t="str">
        <f aca="false">IF($B218="","",IF($D218="收入",$T218,IF($D218="转账",$U218,$S218)))</f>
        <v/>
      </c>
      <c r="P218" s="49" t="str">
        <f aca="false">IF($B218="","",IF($D218="收入",$S218,$T218))</f>
        <v/>
      </c>
      <c r="Q218" s="50" t="str">
        <f aca="false">IF($E218="","",IF($D218="转账","—",IFERROR(INDEX(科目参数!$P$6:$P$85,MATCH($E218,科目参数!$M$6:$M$85,0)),"")))</f>
        <v/>
      </c>
      <c r="R218" s="48" t="str">
        <f aca="false">IF($B218="","",SUMIFS(期初数据!$B$6:$B$35,期初数据!$A$6:$A$35,$F218)+SUMIFS($N$5:$N218,$F$5:$F218,$F218,$D$5:$D218,"收入")-SUMIFS($N$5:$N218,$F$5:$F218,$F218,$D$5:$D218,"支出")-SUMIFS($N$5:$N218,$F$5:$F218,$F218,$D$5:$D218,"转账")+SUMIFS($N$5:$N218,$G$5:$G218,$F218,$D$5:$D218,"转账"))</f>
        <v/>
      </c>
      <c r="S218" s="49" t="str">
        <f aca="false">IF($E218="","",IFERROR(INDEX(科目参数!$N$6:$N$85,MATCH($E218,科目参数!$M$6:$M$85,0)),""))</f>
        <v/>
      </c>
      <c r="T218" s="49" t="str">
        <f aca="false">IF($F218="","",IFERROR(INDEX(基础资料!$C$6:$C$35,MATCH($F218,基础资料!$A$6:$A$35,0)),""))</f>
        <v/>
      </c>
      <c r="U218" s="49" t="str">
        <f aca="false">IF($G218="","",IFERROR(INDEX(基础资料!$C$6:$C$35,MATCH($G218,基础资料!$A$6:$A$35,0)),""))</f>
        <v/>
      </c>
      <c r="V218" s="49" t="str">
        <f aca="false">IF(AND($G218=客户对账单!$B$3,$E218="客户回款",$B218&gt;=客户对账单!$E$3,$B218&lt;=客户对账单!$H$3),COUNTIFS($G$5:$G218,客户对账单!$B$3,$E$5:$E218,"客户回款",$B$5:$B218,"&gt;="&amp;客户对账单!$E$3,$B$5:$B218,"&lt;="&amp;客户对账单!$H$3),"")</f>
        <v/>
      </c>
      <c r="W218" s="49" t="str">
        <f aca="false">IF(AND($G218=供应商对账单!$B$3,$E218="供应商付款",$B218&gt;=供应商对账单!$E$3,$B218&lt;=供应商对账单!$H$3),COUNTIFS($G$5:$G218,供应商对账单!$B$3,$E$5:$E218,"供应商付款",$B$5:$B218,"&gt;="&amp;供应商对账单!$E$3,$B$5:$B218,"&lt;="&amp;供应商对账单!$H$3),"")</f>
        <v/>
      </c>
    </row>
    <row r="219" customFormat="false" ht="15.75" hidden="false" customHeight="true" outlineLevel="0" collapsed="false">
      <c r="A219" s="42" t="str">
        <f aca="false">IF($B219="","","ZJ"&amp;TEXT($B219,"yyyymm")&amp;"-"&amp;TEXT(ROW()-4,"000"))</f>
        <v/>
      </c>
      <c r="B219" s="41"/>
      <c r="C219" s="42" t="str">
        <f aca="false">IF($B219="","",TEXT($B219,"yyyy-mm"))</f>
        <v/>
      </c>
      <c r="D219" s="42" t="str">
        <f aca="false">IF($E219="","",IFERROR(INDEX(科目参数!$L$6:$L$85,MATCH($E219,科目参数!$M$6:$M$85,0)),"⚠"))</f>
        <v/>
      </c>
      <c r="E219" s="33"/>
      <c r="F219" s="33"/>
      <c r="G219" s="36"/>
      <c r="H219" s="33"/>
      <c r="I219" s="33"/>
      <c r="J219" s="36"/>
      <c r="K219" s="40"/>
      <c r="L219" s="40"/>
      <c r="M219" s="47" t="str">
        <f aca="false">IF($B219="","",IF(NOT(ISNUMBER($B219)),"日期不是日期格式",IF(YEAR($B219)&lt;&gt;首页!$B$3,"不在会计年度",IF($E219="","未选收支科目",IF($D219="⚠","收支科目不存在",IF($F219="","未选账户",IF($T219="","账户未设资金科目",IF(AND($D219="转账",$U219=""),"转入账户无效",IF(AND(N($K219)&gt;0,N($L219)&gt;0),"收支不能同时填",IF(AND($D219="收入",N($K219)&lt;=0),"收入金额须大于0",IF(AND($D219&lt;&gt;"收入",N($L219)&lt;=0),"支出金额须大于0",IF($O219="","借方科目缺失",IF($P219="","贷方科目缺失","√")))))))))))))</f>
        <v/>
      </c>
      <c r="N219" s="48" t="str">
        <f aca="false">IF($B219="","",IF($D219="收入",N($K219),N($L219)))</f>
        <v/>
      </c>
      <c r="O219" s="49" t="str">
        <f aca="false">IF($B219="","",IF($D219="收入",$T219,IF($D219="转账",$U219,$S219)))</f>
        <v/>
      </c>
      <c r="P219" s="49" t="str">
        <f aca="false">IF($B219="","",IF($D219="收入",$S219,$T219))</f>
        <v/>
      </c>
      <c r="Q219" s="50" t="str">
        <f aca="false">IF($E219="","",IF($D219="转账","—",IFERROR(INDEX(科目参数!$P$6:$P$85,MATCH($E219,科目参数!$M$6:$M$85,0)),"")))</f>
        <v/>
      </c>
      <c r="R219" s="48" t="str">
        <f aca="false">IF($B219="","",SUMIFS(期初数据!$B$6:$B$35,期初数据!$A$6:$A$35,$F219)+SUMIFS($N$5:$N219,$F$5:$F219,$F219,$D$5:$D219,"收入")-SUMIFS($N$5:$N219,$F$5:$F219,$F219,$D$5:$D219,"支出")-SUMIFS($N$5:$N219,$F$5:$F219,$F219,$D$5:$D219,"转账")+SUMIFS($N$5:$N219,$G$5:$G219,$F219,$D$5:$D219,"转账"))</f>
        <v/>
      </c>
      <c r="S219" s="49" t="str">
        <f aca="false">IF($E219="","",IFERROR(INDEX(科目参数!$N$6:$N$85,MATCH($E219,科目参数!$M$6:$M$85,0)),""))</f>
        <v/>
      </c>
      <c r="T219" s="49" t="str">
        <f aca="false">IF($F219="","",IFERROR(INDEX(基础资料!$C$6:$C$35,MATCH($F219,基础资料!$A$6:$A$35,0)),""))</f>
        <v/>
      </c>
      <c r="U219" s="49" t="str">
        <f aca="false">IF($G219="","",IFERROR(INDEX(基础资料!$C$6:$C$35,MATCH($G219,基础资料!$A$6:$A$35,0)),""))</f>
        <v/>
      </c>
      <c r="V219" s="49" t="str">
        <f aca="false">IF(AND($G219=客户对账单!$B$3,$E219="客户回款",$B219&gt;=客户对账单!$E$3,$B219&lt;=客户对账单!$H$3),COUNTIFS($G$5:$G219,客户对账单!$B$3,$E$5:$E219,"客户回款",$B$5:$B219,"&gt;="&amp;客户对账单!$E$3,$B$5:$B219,"&lt;="&amp;客户对账单!$H$3),"")</f>
        <v/>
      </c>
      <c r="W219" s="49" t="str">
        <f aca="false">IF(AND($G219=供应商对账单!$B$3,$E219="供应商付款",$B219&gt;=供应商对账单!$E$3,$B219&lt;=供应商对账单!$H$3),COUNTIFS($G$5:$G219,供应商对账单!$B$3,$E$5:$E219,"供应商付款",$B$5:$B219,"&gt;="&amp;供应商对账单!$E$3,$B$5:$B219,"&lt;="&amp;供应商对账单!$H$3),"")</f>
        <v/>
      </c>
    </row>
    <row r="220" customFormat="false" ht="15.75" hidden="false" customHeight="true" outlineLevel="0" collapsed="false">
      <c r="A220" s="42" t="str">
        <f aca="false">IF($B220="","","ZJ"&amp;TEXT($B220,"yyyymm")&amp;"-"&amp;TEXT(ROW()-4,"000"))</f>
        <v/>
      </c>
      <c r="B220" s="41"/>
      <c r="C220" s="42" t="str">
        <f aca="false">IF($B220="","",TEXT($B220,"yyyy-mm"))</f>
        <v/>
      </c>
      <c r="D220" s="42" t="str">
        <f aca="false">IF($E220="","",IFERROR(INDEX(科目参数!$L$6:$L$85,MATCH($E220,科目参数!$M$6:$M$85,0)),"⚠"))</f>
        <v/>
      </c>
      <c r="E220" s="33"/>
      <c r="F220" s="33"/>
      <c r="G220" s="36"/>
      <c r="H220" s="33"/>
      <c r="I220" s="33"/>
      <c r="J220" s="36"/>
      <c r="K220" s="40"/>
      <c r="L220" s="40"/>
      <c r="M220" s="47" t="str">
        <f aca="false">IF($B220="","",IF(NOT(ISNUMBER($B220)),"日期不是日期格式",IF(YEAR($B220)&lt;&gt;首页!$B$3,"不在会计年度",IF($E220="","未选收支科目",IF($D220="⚠","收支科目不存在",IF($F220="","未选账户",IF($T220="","账户未设资金科目",IF(AND($D220="转账",$U220=""),"转入账户无效",IF(AND(N($K220)&gt;0,N($L220)&gt;0),"收支不能同时填",IF(AND($D220="收入",N($K220)&lt;=0),"收入金额须大于0",IF(AND($D220&lt;&gt;"收入",N($L220)&lt;=0),"支出金额须大于0",IF($O220="","借方科目缺失",IF($P220="","贷方科目缺失","√")))))))))))))</f>
        <v/>
      </c>
      <c r="N220" s="48" t="str">
        <f aca="false">IF($B220="","",IF($D220="收入",N($K220),N($L220)))</f>
        <v/>
      </c>
      <c r="O220" s="49" t="str">
        <f aca="false">IF($B220="","",IF($D220="收入",$T220,IF($D220="转账",$U220,$S220)))</f>
        <v/>
      </c>
      <c r="P220" s="49" t="str">
        <f aca="false">IF($B220="","",IF($D220="收入",$S220,$T220))</f>
        <v/>
      </c>
      <c r="Q220" s="50" t="str">
        <f aca="false">IF($E220="","",IF($D220="转账","—",IFERROR(INDEX(科目参数!$P$6:$P$85,MATCH($E220,科目参数!$M$6:$M$85,0)),"")))</f>
        <v/>
      </c>
      <c r="R220" s="48" t="str">
        <f aca="false">IF($B220="","",SUMIFS(期初数据!$B$6:$B$35,期初数据!$A$6:$A$35,$F220)+SUMIFS($N$5:$N220,$F$5:$F220,$F220,$D$5:$D220,"收入")-SUMIFS($N$5:$N220,$F$5:$F220,$F220,$D$5:$D220,"支出")-SUMIFS($N$5:$N220,$F$5:$F220,$F220,$D$5:$D220,"转账")+SUMIFS($N$5:$N220,$G$5:$G220,$F220,$D$5:$D220,"转账"))</f>
        <v/>
      </c>
      <c r="S220" s="49" t="str">
        <f aca="false">IF($E220="","",IFERROR(INDEX(科目参数!$N$6:$N$85,MATCH($E220,科目参数!$M$6:$M$85,0)),""))</f>
        <v/>
      </c>
      <c r="T220" s="49" t="str">
        <f aca="false">IF($F220="","",IFERROR(INDEX(基础资料!$C$6:$C$35,MATCH($F220,基础资料!$A$6:$A$35,0)),""))</f>
        <v/>
      </c>
      <c r="U220" s="49" t="str">
        <f aca="false">IF($G220="","",IFERROR(INDEX(基础资料!$C$6:$C$35,MATCH($G220,基础资料!$A$6:$A$35,0)),""))</f>
        <v/>
      </c>
      <c r="V220" s="49" t="str">
        <f aca="false">IF(AND($G220=客户对账单!$B$3,$E220="客户回款",$B220&gt;=客户对账单!$E$3,$B220&lt;=客户对账单!$H$3),COUNTIFS($G$5:$G220,客户对账单!$B$3,$E$5:$E220,"客户回款",$B$5:$B220,"&gt;="&amp;客户对账单!$E$3,$B$5:$B220,"&lt;="&amp;客户对账单!$H$3),"")</f>
        <v/>
      </c>
      <c r="W220" s="49" t="str">
        <f aca="false">IF(AND($G220=供应商对账单!$B$3,$E220="供应商付款",$B220&gt;=供应商对账单!$E$3,$B220&lt;=供应商对账单!$H$3),COUNTIFS($G$5:$G220,供应商对账单!$B$3,$E$5:$E220,"供应商付款",$B$5:$B220,"&gt;="&amp;供应商对账单!$E$3,$B$5:$B220,"&lt;="&amp;供应商对账单!$H$3),"")</f>
        <v/>
      </c>
    </row>
    <row r="221" customFormat="false" ht="15.75" hidden="false" customHeight="true" outlineLevel="0" collapsed="false">
      <c r="A221" s="42" t="str">
        <f aca="false">IF($B221="","","ZJ"&amp;TEXT($B221,"yyyymm")&amp;"-"&amp;TEXT(ROW()-4,"000"))</f>
        <v/>
      </c>
      <c r="B221" s="41"/>
      <c r="C221" s="42" t="str">
        <f aca="false">IF($B221="","",TEXT($B221,"yyyy-mm"))</f>
        <v/>
      </c>
      <c r="D221" s="42" t="str">
        <f aca="false">IF($E221="","",IFERROR(INDEX(科目参数!$L$6:$L$85,MATCH($E221,科目参数!$M$6:$M$85,0)),"⚠"))</f>
        <v/>
      </c>
      <c r="E221" s="33"/>
      <c r="F221" s="33"/>
      <c r="G221" s="36"/>
      <c r="H221" s="33"/>
      <c r="I221" s="33"/>
      <c r="J221" s="36"/>
      <c r="K221" s="40"/>
      <c r="L221" s="40"/>
      <c r="M221" s="47" t="str">
        <f aca="false">IF($B221="","",IF(NOT(ISNUMBER($B221)),"日期不是日期格式",IF(YEAR($B221)&lt;&gt;首页!$B$3,"不在会计年度",IF($E221="","未选收支科目",IF($D221="⚠","收支科目不存在",IF($F221="","未选账户",IF($T221="","账户未设资金科目",IF(AND($D221="转账",$U221=""),"转入账户无效",IF(AND(N($K221)&gt;0,N($L221)&gt;0),"收支不能同时填",IF(AND($D221="收入",N($K221)&lt;=0),"收入金额须大于0",IF(AND($D221&lt;&gt;"收入",N($L221)&lt;=0),"支出金额须大于0",IF($O221="","借方科目缺失",IF($P221="","贷方科目缺失","√")))))))))))))</f>
        <v/>
      </c>
      <c r="N221" s="48" t="str">
        <f aca="false">IF($B221="","",IF($D221="收入",N($K221),N($L221)))</f>
        <v/>
      </c>
      <c r="O221" s="49" t="str">
        <f aca="false">IF($B221="","",IF($D221="收入",$T221,IF($D221="转账",$U221,$S221)))</f>
        <v/>
      </c>
      <c r="P221" s="49" t="str">
        <f aca="false">IF($B221="","",IF($D221="收入",$S221,$T221))</f>
        <v/>
      </c>
      <c r="Q221" s="50" t="str">
        <f aca="false">IF($E221="","",IF($D221="转账","—",IFERROR(INDEX(科目参数!$P$6:$P$85,MATCH($E221,科目参数!$M$6:$M$85,0)),"")))</f>
        <v/>
      </c>
      <c r="R221" s="48" t="str">
        <f aca="false">IF($B221="","",SUMIFS(期初数据!$B$6:$B$35,期初数据!$A$6:$A$35,$F221)+SUMIFS($N$5:$N221,$F$5:$F221,$F221,$D$5:$D221,"收入")-SUMIFS($N$5:$N221,$F$5:$F221,$F221,$D$5:$D221,"支出")-SUMIFS($N$5:$N221,$F$5:$F221,$F221,$D$5:$D221,"转账")+SUMIFS($N$5:$N221,$G$5:$G221,$F221,$D$5:$D221,"转账"))</f>
        <v/>
      </c>
      <c r="S221" s="49" t="str">
        <f aca="false">IF($E221="","",IFERROR(INDEX(科目参数!$N$6:$N$85,MATCH($E221,科目参数!$M$6:$M$85,0)),""))</f>
        <v/>
      </c>
      <c r="T221" s="49" t="str">
        <f aca="false">IF($F221="","",IFERROR(INDEX(基础资料!$C$6:$C$35,MATCH($F221,基础资料!$A$6:$A$35,0)),""))</f>
        <v/>
      </c>
      <c r="U221" s="49" t="str">
        <f aca="false">IF($G221="","",IFERROR(INDEX(基础资料!$C$6:$C$35,MATCH($G221,基础资料!$A$6:$A$35,0)),""))</f>
        <v/>
      </c>
      <c r="V221" s="49" t="str">
        <f aca="false">IF(AND($G221=客户对账单!$B$3,$E221="客户回款",$B221&gt;=客户对账单!$E$3,$B221&lt;=客户对账单!$H$3),COUNTIFS($G$5:$G221,客户对账单!$B$3,$E$5:$E221,"客户回款",$B$5:$B221,"&gt;="&amp;客户对账单!$E$3,$B$5:$B221,"&lt;="&amp;客户对账单!$H$3),"")</f>
        <v/>
      </c>
      <c r="W221" s="49" t="str">
        <f aca="false">IF(AND($G221=供应商对账单!$B$3,$E221="供应商付款",$B221&gt;=供应商对账单!$E$3,$B221&lt;=供应商对账单!$H$3),COUNTIFS($G$5:$G221,供应商对账单!$B$3,$E$5:$E221,"供应商付款",$B$5:$B221,"&gt;="&amp;供应商对账单!$E$3,$B$5:$B221,"&lt;="&amp;供应商对账单!$H$3),"")</f>
        <v/>
      </c>
    </row>
    <row r="222" customFormat="false" ht="15.75" hidden="false" customHeight="true" outlineLevel="0" collapsed="false">
      <c r="A222" s="42" t="str">
        <f aca="false">IF($B222="","","ZJ"&amp;TEXT($B222,"yyyymm")&amp;"-"&amp;TEXT(ROW()-4,"000"))</f>
        <v/>
      </c>
      <c r="B222" s="41"/>
      <c r="C222" s="42" t="str">
        <f aca="false">IF($B222="","",TEXT($B222,"yyyy-mm"))</f>
        <v/>
      </c>
      <c r="D222" s="42" t="str">
        <f aca="false">IF($E222="","",IFERROR(INDEX(科目参数!$L$6:$L$85,MATCH($E222,科目参数!$M$6:$M$85,0)),"⚠"))</f>
        <v/>
      </c>
      <c r="E222" s="33"/>
      <c r="F222" s="33"/>
      <c r="G222" s="36"/>
      <c r="H222" s="33"/>
      <c r="I222" s="33"/>
      <c r="J222" s="36"/>
      <c r="K222" s="40"/>
      <c r="L222" s="40"/>
      <c r="M222" s="47" t="str">
        <f aca="false">IF($B222="","",IF(NOT(ISNUMBER($B222)),"日期不是日期格式",IF(YEAR($B222)&lt;&gt;首页!$B$3,"不在会计年度",IF($E222="","未选收支科目",IF($D222="⚠","收支科目不存在",IF($F222="","未选账户",IF($T222="","账户未设资金科目",IF(AND($D222="转账",$U222=""),"转入账户无效",IF(AND(N($K222)&gt;0,N($L222)&gt;0),"收支不能同时填",IF(AND($D222="收入",N($K222)&lt;=0),"收入金额须大于0",IF(AND($D222&lt;&gt;"收入",N($L222)&lt;=0),"支出金额须大于0",IF($O222="","借方科目缺失",IF($P222="","贷方科目缺失","√")))))))))))))</f>
        <v/>
      </c>
      <c r="N222" s="48" t="str">
        <f aca="false">IF($B222="","",IF($D222="收入",N($K222),N($L222)))</f>
        <v/>
      </c>
      <c r="O222" s="49" t="str">
        <f aca="false">IF($B222="","",IF($D222="收入",$T222,IF($D222="转账",$U222,$S222)))</f>
        <v/>
      </c>
      <c r="P222" s="49" t="str">
        <f aca="false">IF($B222="","",IF($D222="收入",$S222,$T222))</f>
        <v/>
      </c>
      <c r="Q222" s="50" t="str">
        <f aca="false">IF($E222="","",IF($D222="转账","—",IFERROR(INDEX(科目参数!$P$6:$P$85,MATCH($E222,科目参数!$M$6:$M$85,0)),"")))</f>
        <v/>
      </c>
      <c r="R222" s="48" t="str">
        <f aca="false">IF($B222="","",SUMIFS(期初数据!$B$6:$B$35,期初数据!$A$6:$A$35,$F222)+SUMIFS($N$5:$N222,$F$5:$F222,$F222,$D$5:$D222,"收入")-SUMIFS($N$5:$N222,$F$5:$F222,$F222,$D$5:$D222,"支出")-SUMIFS($N$5:$N222,$F$5:$F222,$F222,$D$5:$D222,"转账")+SUMIFS($N$5:$N222,$G$5:$G222,$F222,$D$5:$D222,"转账"))</f>
        <v/>
      </c>
      <c r="S222" s="49" t="str">
        <f aca="false">IF($E222="","",IFERROR(INDEX(科目参数!$N$6:$N$85,MATCH($E222,科目参数!$M$6:$M$85,0)),""))</f>
        <v/>
      </c>
      <c r="T222" s="49" t="str">
        <f aca="false">IF($F222="","",IFERROR(INDEX(基础资料!$C$6:$C$35,MATCH($F222,基础资料!$A$6:$A$35,0)),""))</f>
        <v/>
      </c>
      <c r="U222" s="49" t="str">
        <f aca="false">IF($G222="","",IFERROR(INDEX(基础资料!$C$6:$C$35,MATCH($G222,基础资料!$A$6:$A$35,0)),""))</f>
        <v/>
      </c>
      <c r="V222" s="49" t="str">
        <f aca="false">IF(AND($G222=客户对账单!$B$3,$E222="客户回款",$B222&gt;=客户对账单!$E$3,$B222&lt;=客户对账单!$H$3),COUNTIFS($G$5:$G222,客户对账单!$B$3,$E$5:$E222,"客户回款",$B$5:$B222,"&gt;="&amp;客户对账单!$E$3,$B$5:$B222,"&lt;="&amp;客户对账单!$H$3),"")</f>
        <v/>
      </c>
      <c r="W222" s="49" t="str">
        <f aca="false">IF(AND($G222=供应商对账单!$B$3,$E222="供应商付款",$B222&gt;=供应商对账单!$E$3,$B222&lt;=供应商对账单!$H$3),COUNTIFS($G$5:$G222,供应商对账单!$B$3,$E$5:$E222,"供应商付款",$B$5:$B222,"&gt;="&amp;供应商对账单!$E$3,$B$5:$B222,"&lt;="&amp;供应商对账单!$H$3),"")</f>
        <v/>
      </c>
    </row>
    <row r="223" customFormat="false" ht="15.75" hidden="false" customHeight="true" outlineLevel="0" collapsed="false">
      <c r="A223" s="42" t="str">
        <f aca="false">IF($B223="","","ZJ"&amp;TEXT($B223,"yyyymm")&amp;"-"&amp;TEXT(ROW()-4,"000"))</f>
        <v/>
      </c>
      <c r="B223" s="41"/>
      <c r="C223" s="42" t="str">
        <f aca="false">IF($B223="","",TEXT($B223,"yyyy-mm"))</f>
        <v/>
      </c>
      <c r="D223" s="42" t="str">
        <f aca="false">IF($E223="","",IFERROR(INDEX(科目参数!$L$6:$L$85,MATCH($E223,科目参数!$M$6:$M$85,0)),"⚠"))</f>
        <v/>
      </c>
      <c r="E223" s="33"/>
      <c r="F223" s="33"/>
      <c r="G223" s="36"/>
      <c r="H223" s="33"/>
      <c r="I223" s="33"/>
      <c r="J223" s="36"/>
      <c r="K223" s="40"/>
      <c r="L223" s="40"/>
      <c r="M223" s="47" t="str">
        <f aca="false">IF($B223="","",IF(NOT(ISNUMBER($B223)),"日期不是日期格式",IF(YEAR($B223)&lt;&gt;首页!$B$3,"不在会计年度",IF($E223="","未选收支科目",IF($D223="⚠","收支科目不存在",IF($F223="","未选账户",IF($T223="","账户未设资金科目",IF(AND($D223="转账",$U223=""),"转入账户无效",IF(AND(N($K223)&gt;0,N($L223)&gt;0),"收支不能同时填",IF(AND($D223="收入",N($K223)&lt;=0),"收入金额须大于0",IF(AND($D223&lt;&gt;"收入",N($L223)&lt;=0),"支出金额须大于0",IF($O223="","借方科目缺失",IF($P223="","贷方科目缺失","√")))))))))))))</f>
        <v/>
      </c>
      <c r="N223" s="48" t="str">
        <f aca="false">IF($B223="","",IF($D223="收入",N($K223),N($L223)))</f>
        <v/>
      </c>
      <c r="O223" s="49" t="str">
        <f aca="false">IF($B223="","",IF($D223="收入",$T223,IF($D223="转账",$U223,$S223)))</f>
        <v/>
      </c>
      <c r="P223" s="49" t="str">
        <f aca="false">IF($B223="","",IF($D223="收入",$S223,$T223))</f>
        <v/>
      </c>
      <c r="Q223" s="50" t="str">
        <f aca="false">IF($E223="","",IF($D223="转账","—",IFERROR(INDEX(科目参数!$P$6:$P$85,MATCH($E223,科目参数!$M$6:$M$85,0)),"")))</f>
        <v/>
      </c>
      <c r="R223" s="48" t="str">
        <f aca="false">IF($B223="","",SUMIFS(期初数据!$B$6:$B$35,期初数据!$A$6:$A$35,$F223)+SUMIFS($N$5:$N223,$F$5:$F223,$F223,$D$5:$D223,"收入")-SUMIFS($N$5:$N223,$F$5:$F223,$F223,$D$5:$D223,"支出")-SUMIFS($N$5:$N223,$F$5:$F223,$F223,$D$5:$D223,"转账")+SUMIFS($N$5:$N223,$G$5:$G223,$F223,$D$5:$D223,"转账"))</f>
        <v/>
      </c>
      <c r="S223" s="49" t="str">
        <f aca="false">IF($E223="","",IFERROR(INDEX(科目参数!$N$6:$N$85,MATCH($E223,科目参数!$M$6:$M$85,0)),""))</f>
        <v/>
      </c>
      <c r="T223" s="49" t="str">
        <f aca="false">IF($F223="","",IFERROR(INDEX(基础资料!$C$6:$C$35,MATCH($F223,基础资料!$A$6:$A$35,0)),""))</f>
        <v/>
      </c>
      <c r="U223" s="49" t="str">
        <f aca="false">IF($G223="","",IFERROR(INDEX(基础资料!$C$6:$C$35,MATCH($G223,基础资料!$A$6:$A$35,0)),""))</f>
        <v/>
      </c>
      <c r="V223" s="49" t="str">
        <f aca="false">IF(AND($G223=客户对账单!$B$3,$E223="客户回款",$B223&gt;=客户对账单!$E$3,$B223&lt;=客户对账单!$H$3),COUNTIFS($G$5:$G223,客户对账单!$B$3,$E$5:$E223,"客户回款",$B$5:$B223,"&gt;="&amp;客户对账单!$E$3,$B$5:$B223,"&lt;="&amp;客户对账单!$H$3),"")</f>
        <v/>
      </c>
      <c r="W223" s="49" t="str">
        <f aca="false">IF(AND($G223=供应商对账单!$B$3,$E223="供应商付款",$B223&gt;=供应商对账单!$E$3,$B223&lt;=供应商对账单!$H$3),COUNTIFS($G$5:$G223,供应商对账单!$B$3,$E$5:$E223,"供应商付款",$B$5:$B223,"&gt;="&amp;供应商对账单!$E$3,$B$5:$B223,"&lt;="&amp;供应商对账单!$H$3),"")</f>
        <v/>
      </c>
    </row>
    <row r="224" customFormat="false" ht="15.75" hidden="false" customHeight="true" outlineLevel="0" collapsed="false">
      <c r="A224" s="42" t="str">
        <f aca="false">IF($B224="","","ZJ"&amp;TEXT($B224,"yyyymm")&amp;"-"&amp;TEXT(ROW()-4,"000"))</f>
        <v/>
      </c>
      <c r="B224" s="41"/>
      <c r="C224" s="42" t="str">
        <f aca="false">IF($B224="","",TEXT($B224,"yyyy-mm"))</f>
        <v/>
      </c>
      <c r="D224" s="42" t="str">
        <f aca="false">IF($E224="","",IFERROR(INDEX(科目参数!$L$6:$L$85,MATCH($E224,科目参数!$M$6:$M$85,0)),"⚠"))</f>
        <v/>
      </c>
      <c r="E224" s="33"/>
      <c r="F224" s="33"/>
      <c r="G224" s="36"/>
      <c r="H224" s="33"/>
      <c r="I224" s="33"/>
      <c r="J224" s="36"/>
      <c r="K224" s="40"/>
      <c r="L224" s="40"/>
      <c r="M224" s="47" t="str">
        <f aca="false">IF($B224="","",IF(NOT(ISNUMBER($B224)),"日期不是日期格式",IF(YEAR($B224)&lt;&gt;首页!$B$3,"不在会计年度",IF($E224="","未选收支科目",IF($D224="⚠","收支科目不存在",IF($F224="","未选账户",IF($T224="","账户未设资金科目",IF(AND($D224="转账",$U224=""),"转入账户无效",IF(AND(N($K224)&gt;0,N($L224)&gt;0),"收支不能同时填",IF(AND($D224="收入",N($K224)&lt;=0),"收入金额须大于0",IF(AND($D224&lt;&gt;"收入",N($L224)&lt;=0),"支出金额须大于0",IF($O224="","借方科目缺失",IF($P224="","贷方科目缺失","√")))))))))))))</f>
        <v/>
      </c>
      <c r="N224" s="48" t="str">
        <f aca="false">IF($B224="","",IF($D224="收入",N($K224),N($L224)))</f>
        <v/>
      </c>
      <c r="O224" s="49" t="str">
        <f aca="false">IF($B224="","",IF($D224="收入",$T224,IF($D224="转账",$U224,$S224)))</f>
        <v/>
      </c>
      <c r="P224" s="49" t="str">
        <f aca="false">IF($B224="","",IF($D224="收入",$S224,$T224))</f>
        <v/>
      </c>
      <c r="Q224" s="50" t="str">
        <f aca="false">IF($E224="","",IF($D224="转账","—",IFERROR(INDEX(科目参数!$P$6:$P$85,MATCH($E224,科目参数!$M$6:$M$85,0)),"")))</f>
        <v/>
      </c>
      <c r="R224" s="48" t="str">
        <f aca="false">IF($B224="","",SUMIFS(期初数据!$B$6:$B$35,期初数据!$A$6:$A$35,$F224)+SUMIFS($N$5:$N224,$F$5:$F224,$F224,$D$5:$D224,"收入")-SUMIFS($N$5:$N224,$F$5:$F224,$F224,$D$5:$D224,"支出")-SUMIFS($N$5:$N224,$F$5:$F224,$F224,$D$5:$D224,"转账")+SUMIFS($N$5:$N224,$G$5:$G224,$F224,$D$5:$D224,"转账"))</f>
        <v/>
      </c>
      <c r="S224" s="49" t="str">
        <f aca="false">IF($E224="","",IFERROR(INDEX(科目参数!$N$6:$N$85,MATCH($E224,科目参数!$M$6:$M$85,0)),""))</f>
        <v/>
      </c>
      <c r="T224" s="49" t="str">
        <f aca="false">IF($F224="","",IFERROR(INDEX(基础资料!$C$6:$C$35,MATCH($F224,基础资料!$A$6:$A$35,0)),""))</f>
        <v/>
      </c>
      <c r="U224" s="49" t="str">
        <f aca="false">IF($G224="","",IFERROR(INDEX(基础资料!$C$6:$C$35,MATCH($G224,基础资料!$A$6:$A$35,0)),""))</f>
        <v/>
      </c>
      <c r="V224" s="49" t="str">
        <f aca="false">IF(AND($G224=客户对账单!$B$3,$E224="客户回款",$B224&gt;=客户对账单!$E$3,$B224&lt;=客户对账单!$H$3),COUNTIFS($G$5:$G224,客户对账单!$B$3,$E$5:$E224,"客户回款",$B$5:$B224,"&gt;="&amp;客户对账单!$E$3,$B$5:$B224,"&lt;="&amp;客户对账单!$H$3),"")</f>
        <v/>
      </c>
      <c r="W224" s="49" t="str">
        <f aca="false">IF(AND($G224=供应商对账单!$B$3,$E224="供应商付款",$B224&gt;=供应商对账单!$E$3,$B224&lt;=供应商对账单!$H$3),COUNTIFS($G$5:$G224,供应商对账单!$B$3,$E$5:$E224,"供应商付款",$B$5:$B224,"&gt;="&amp;供应商对账单!$E$3,$B$5:$B224,"&lt;="&amp;供应商对账单!$H$3),"")</f>
        <v/>
      </c>
    </row>
    <row r="225" customFormat="false" ht="15.75" hidden="false" customHeight="true" outlineLevel="0" collapsed="false">
      <c r="A225" s="42" t="str">
        <f aca="false">IF($B225="","","ZJ"&amp;TEXT($B225,"yyyymm")&amp;"-"&amp;TEXT(ROW()-4,"000"))</f>
        <v/>
      </c>
      <c r="B225" s="41"/>
      <c r="C225" s="42" t="str">
        <f aca="false">IF($B225="","",TEXT($B225,"yyyy-mm"))</f>
        <v/>
      </c>
      <c r="D225" s="42" t="str">
        <f aca="false">IF($E225="","",IFERROR(INDEX(科目参数!$L$6:$L$85,MATCH($E225,科目参数!$M$6:$M$85,0)),"⚠"))</f>
        <v/>
      </c>
      <c r="E225" s="33"/>
      <c r="F225" s="33"/>
      <c r="G225" s="36"/>
      <c r="H225" s="33"/>
      <c r="I225" s="33"/>
      <c r="J225" s="36"/>
      <c r="K225" s="40"/>
      <c r="L225" s="40"/>
      <c r="M225" s="47" t="str">
        <f aca="false">IF($B225="","",IF(NOT(ISNUMBER($B225)),"日期不是日期格式",IF(YEAR($B225)&lt;&gt;首页!$B$3,"不在会计年度",IF($E225="","未选收支科目",IF($D225="⚠","收支科目不存在",IF($F225="","未选账户",IF($T225="","账户未设资金科目",IF(AND($D225="转账",$U225=""),"转入账户无效",IF(AND(N($K225)&gt;0,N($L225)&gt;0),"收支不能同时填",IF(AND($D225="收入",N($K225)&lt;=0),"收入金额须大于0",IF(AND($D225&lt;&gt;"收入",N($L225)&lt;=0),"支出金额须大于0",IF($O225="","借方科目缺失",IF($P225="","贷方科目缺失","√")))))))))))))</f>
        <v/>
      </c>
      <c r="N225" s="48" t="str">
        <f aca="false">IF($B225="","",IF($D225="收入",N($K225),N($L225)))</f>
        <v/>
      </c>
      <c r="O225" s="49" t="str">
        <f aca="false">IF($B225="","",IF($D225="收入",$T225,IF($D225="转账",$U225,$S225)))</f>
        <v/>
      </c>
      <c r="P225" s="49" t="str">
        <f aca="false">IF($B225="","",IF($D225="收入",$S225,$T225))</f>
        <v/>
      </c>
      <c r="Q225" s="50" t="str">
        <f aca="false">IF($E225="","",IF($D225="转账","—",IFERROR(INDEX(科目参数!$P$6:$P$85,MATCH($E225,科目参数!$M$6:$M$85,0)),"")))</f>
        <v/>
      </c>
      <c r="R225" s="48" t="str">
        <f aca="false">IF($B225="","",SUMIFS(期初数据!$B$6:$B$35,期初数据!$A$6:$A$35,$F225)+SUMIFS($N$5:$N225,$F$5:$F225,$F225,$D$5:$D225,"收入")-SUMIFS($N$5:$N225,$F$5:$F225,$F225,$D$5:$D225,"支出")-SUMIFS($N$5:$N225,$F$5:$F225,$F225,$D$5:$D225,"转账")+SUMIFS($N$5:$N225,$G$5:$G225,$F225,$D$5:$D225,"转账"))</f>
        <v/>
      </c>
      <c r="S225" s="49" t="str">
        <f aca="false">IF($E225="","",IFERROR(INDEX(科目参数!$N$6:$N$85,MATCH($E225,科目参数!$M$6:$M$85,0)),""))</f>
        <v/>
      </c>
      <c r="T225" s="49" t="str">
        <f aca="false">IF($F225="","",IFERROR(INDEX(基础资料!$C$6:$C$35,MATCH($F225,基础资料!$A$6:$A$35,0)),""))</f>
        <v/>
      </c>
      <c r="U225" s="49" t="str">
        <f aca="false">IF($G225="","",IFERROR(INDEX(基础资料!$C$6:$C$35,MATCH($G225,基础资料!$A$6:$A$35,0)),""))</f>
        <v/>
      </c>
      <c r="V225" s="49" t="str">
        <f aca="false">IF(AND($G225=客户对账单!$B$3,$E225="客户回款",$B225&gt;=客户对账单!$E$3,$B225&lt;=客户对账单!$H$3),COUNTIFS($G$5:$G225,客户对账单!$B$3,$E$5:$E225,"客户回款",$B$5:$B225,"&gt;="&amp;客户对账单!$E$3,$B$5:$B225,"&lt;="&amp;客户对账单!$H$3),"")</f>
        <v/>
      </c>
      <c r="W225" s="49" t="str">
        <f aca="false">IF(AND($G225=供应商对账单!$B$3,$E225="供应商付款",$B225&gt;=供应商对账单!$E$3,$B225&lt;=供应商对账单!$H$3),COUNTIFS($G$5:$G225,供应商对账单!$B$3,$E$5:$E225,"供应商付款",$B$5:$B225,"&gt;="&amp;供应商对账单!$E$3,$B$5:$B225,"&lt;="&amp;供应商对账单!$H$3),"")</f>
        <v/>
      </c>
    </row>
    <row r="226" customFormat="false" ht="15.75" hidden="false" customHeight="true" outlineLevel="0" collapsed="false">
      <c r="A226" s="42" t="str">
        <f aca="false">IF($B226="","","ZJ"&amp;TEXT($B226,"yyyymm")&amp;"-"&amp;TEXT(ROW()-4,"000"))</f>
        <v/>
      </c>
      <c r="B226" s="41"/>
      <c r="C226" s="42" t="str">
        <f aca="false">IF($B226="","",TEXT($B226,"yyyy-mm"))</f>
        <v/>
      </c>
      <c r="D226" s="42" t="str">
        <f aca="false">IF($E226="","",IFERROR(INDEX(科目参数!$L$6:$L$85,MATCH($E226,科目参数!$M$6:$M$85,0)),"⚠"))</f>
        <v/>
      </c>
      <c r="E226" s="33"/>
      <c r="F226" s="33"/>
      <c r="G226" s="36"/>
      <c r="H226" s="33"/>
      <c r="I226" s="33"/>
      <c r="J226" s="36"/>
      <c r="K226" s="40"/>
      <c r="L226" s="40"/>
      <c r="M226" s="47" t="str">
        <f aca="false">IF($B226="","",IF(NOT(ISNUMBER($B226)),"日期不是日期格式",IF(YEAR($B226)&lt;&gt;首页!$B$3,"不在会计年度",IF($E226="","未选收支科目",IF($D226="⚠","收支科目不存在",IF($F226="","未选账户",IF($T226="","账户未设资金科目",IF(AND($D226="转账",$U226=""),"转入账户无效",IF(AND(N($K226)&gt;0,N($L226)&gt;0),"收支不能同时填",IF(AND($D226="收入",N($K226)&lt;=0),"收入金额须大于0",IF(AND($D226&lt;&gt;"收入",N($L226)&lt;=0),"支出金额须大于0",IF($O226="","借方科目缺失",IF($P226="","贷方科目缺失","√")))))))))))))</f>
        <v/>
      </c>
      <c r="N226" s="48" t="str">
        <f aca="false">IF($B226="","",IF($D226="收入",N($K226),N($L226)))</f>
        <v/>
      </c>
      <c r="O226" s="49" t="str">
        <f aca="false">IF($B226="","",IF($D226="收入",$T226,IF($D226="转账",$U226,$S226)))</f>
        <v/>
      </c>
      <c r="P226" s="49" t="str">
        <f aca="false">IF($B226="","",IF($D226="收入",$S226,$T226))</f>
        <v/>
      </c>
      <c r="Q226" s="50" t="str">
        <f aca="false">IF($E226="","",IF($D226="转账","—",IFERROR(INDEX(科目参数!$P$6:$P$85,MATCH($E226,科目参数!$M$6:$M$85,0)),"")))</f>
        <v/>
      </c>
      <c r="R226" s="48" t="str">
        <f aca="false">IF($B226="","",SUMIFS(期初数据!$B$6:$B$35,期初数据!$A$6:$A$35,$F226)+SUMIFS($N$5:$N226,$F$5:$F226,$F226,$D$5:$D226,"收入")-SUMIFS($N$5:$N226,$F$5:$F226,$F226,$D$5:$D226,"支出")-SUMIFS($N$5:$N226,$F$5:$F226,$F226,$D$5:$D226,"转账")+SUMIFS($N$5:$N226,$G$5:$G226,$F226,$D$5:$D226,"转账"))</f>
        <v/>
      </c>
      <c r="S226" s="49" t="str">
        <f aca="false">IF($E226="","",IFERROR(INDEX(科目参数!$N$6:$N$85,MATCH($E226,科目参数!$M$6:$M$85,0)),""))</f>
        <v/>
      </c>
      <c r="T226" s="49" t="str">
        <f aca="false">IF($F226="","",IFERROR(INDEX(基础资料!$C$6:$C$35,MATCH($F226,基础资料!$A$6:$A$35,0)),""))</f>
        <v/>
      </c>
      <c r="U226" s="49" t="str">
        <f aca="false">IF($G226="","",IFERROR(INDEX(基础资料!$C$6:$C$35,MATCH($G226,基础资料!$A$6:$A$35,0)),""))</f>
        <v/>
      </c>
      <c r="V226" s="49" t="str">
        <f aca="false">IF(AND($G226=客户对账单!$B$3,$E226="客户回款",$B226&gt;=客户对账单!$E$3,$B226&lt;=客户对账单!$H$3),COUNTIFS($G$5:$G226,客户对账单!$B$3,$E$5:$E226,"客户回款",$B$5:$B226,"&gt;="&amp;客户对账单!$E$3,$B$5:$B226,"&lt;="&amp;客户对账单!$H$3),"")</f>
        <v/>
      </c>
      <c r="W226" s="49" t="str">
        <f aca="false">IF(AND($G226=供应商对账单!$B$3,$E226="供应商付款",$B226&gt;=供应商对账单!$E$3,$B226&lt;=供应商对账单!$H$3),COUNTIFS($G$5:$G226,供应商对账单!$B$3,$E$5:$E226,"供应商付款",$B$5:$B226,"&gt;="&amp;供应商对账单!$E$3,$B$5:$B226,"&lt;="&amp;供应商对账单!$H$3),"")</f>
        <v/>
      </c>
    </row>
    <row r="227" customFormat="false" ht="15.75" hidden="false" customHeight="true" outlineLevel="0" collapsed="false">
      <c r="A227" s="42" t="str">
        <f aca="false">IF($B227="","","ZJ"&amp;TEXT($B227,"yyyymm")&amp;"-"&amp;TEXT(ROW()-4,"000"))</f>
        <v/>
      </c>
      <c r="B227" s="41"/>
      <c r="C227" s="42" t="str">
        <f aca="false">IF($B227="","",TEXT($B227,"yyyy-mm"))</f>
        <v/>
      </c>
      <c r="D227" s="42" t="str">
        <f aca="false">IF($E227="","",IFERROR(INDEX(科目参数!$L$6:$L$85,MATCH($E227,科目参数!$M$6:$M$85,0)),"⚠"))</f>
        <v/>
      </c>
      <c r="E227" s="33"/>
      <c r="F227" s="33"/>
      <c r="G227" s="36"/>
      <c r="H227" s="33"/>
      <c r="I227" s="33"/>
      <c r="J227" s="36"/>
      <c r="K227" s="40"/>
      <c r="L227" s="40"/>
      <c r="M227" s="47" t="str">
        <f aca="false">IF($B227="","",IF(NOT(ISNUMBER($B227)),"日期不是日期格式",IF(YEAR($B227)&lt;&gt;首页!$B$3,"不在会计年度",IF($E227="","未选收支科目",IF($D227="⚠","收支科目不存在",IF($F227="","未选账户",IF($T227="","账户未设资金科目",IF(AND($D227="转账",$U227=""),"转入账户无效",IF(AND(N($K227)&gt;0,N($L227)&gt;0),"收支不能同时填",IF(AND($D227="收入",N($K227)&lt;=0),"收入金额须大于0",IF(AND($D227&lt;&gt;"收入",N($L227)&lt;=0),"支出金额须大于0",IF($O227="","借方科目缺失",IF($P227="","贷方科目缺失","√")))))))))))))</f>
        <v/>
      </c>
      <c r="N227" s="48" t="str">
        <f aca="false">IF($B227="","",IF($D227="收入",N($K227),N($L227)))</f>
        <v/>
      </c>
      <c r="O227" s="49" t="str">
        <f aca="false">IF($B227="","",IF($D227="收入",$T227,IF($D227="转账",$U227,$S227)))</f>
        <v/>
      </c>
      <c r="P227" s="49" t="str">
        <f aca="false">IF($B227="","",IF($D227="收入",$S227,$T227))</f>
        <v/>
      </c>
      <c r="Q227" s="50" t="str">
        <f aca="false">IF($E227="","",IF($D227="转账","—",IFERROR(INDEX(科目参数!$P$6:$P$85,MATCH($E227,科目参数!$M$6:$M$85,0)),"")))</f>
        <v/>
      </c>
      <c r="R227" s="48" t="str">
        <f aca="false">IF($B227="","",SUMIFS(期初数据!$B$6:$B$35,期初数据!$A$6:$A$35,$F227)+SUMIFS($N$5:$N227,$F$5:$F227,$F227,$D$5:$D227,"收入")-SUMIFS($N$5:$N227,$F$5:$F227,$F227,$D$5:$D227,"支出")-SUMIFS($N$5:$N227,$F$5:$F227,$F227,$D$5:$D227,"转账")+SUMIFS($N$5:$N227,$G$5:$G227,$F227,$D$5:$D227,"转账"))</f>
        <v/>
      </c>
      <c r="S227" s="49" t="str">
        <f aca="false">IF($E227="","",IFERROR(INDEX(科目参数!$N$6:$N$85,MATCH($E227,科目参数!$M$6:$M$85,0)),""))</f>
        <v/>
      </c>
      <c r="T227" s="49" t="str">
        <f aca="false">IF($F227="","",IFERROR(INDEX(基础资料!$C$6:$C$35,MATCH($F227,基础资料!$A$6:$A$35,0)),""))</f>
        <v/>
      </c>
      <c r="U227" s="49" t="str">
        <f aca="false">IF($G227="","",IFERROR(INDEX(基础资料!$C$6:$C$35,MATCH($G227,基础资料!$A$6:$A$35,0)),""))</f>
        <v/>
      </c>
      <c r="V227" s="49" t="str">
        <f aca="false">IF(AND($G227=客户对账单!$B$3,$E227="客户回款",$B227&gt;=客户对账单!$E$3,$B227&lt;=客户对账单!$H$3),COUNTIFS($G$5:$G227,客户对账单!$B$3,$E$5:$E227,"客户回款",$B$5:$B227,"&gt;="&amp;客户对账单!$E$3,$B$5:$B227,"&lt;="&amp;客户对账单!$H$3),"")</f>
        <v/>
      </c>
      <c r="W227" s="49" t="str">
        <f aca="false">IF(AND($G227=供应商对账单!$B$3,$E227="供应商付款",$B227&gt;=供应商对账单!$E$3,$B227&lt;=供应商对账单!$H$3),COUNTIFS($G$5:$G227,供应商对账单!$B$3,$E$5:$E227,"供应商付款",$B$5:$B227,"&gt;="&amp;供应商对账单!$E$3,$B$5:$B227,"&lt;="&amp;供应商对账单!$H$3),"")</f>
        <v/>
      </c>
    </row>
    <row r="228" customFormat="false" ht="15.75" hidden="false" customHeight="true" outlineLevel="0" collapsed="false">
      <c r="A228" s="42" t="str">
        <f aca="false">IF($B228="","","ZJ"&amp;TEXT($B228,"yyyymm")&amp;"-"&amp;TEXT(ROW()-4,"000"))</f>
        <v/>
      </c>
      <c r="B228" s="41"/>
      <c r="C228" s="42" t="str">
        <f aca="false">IF($B228="","",TEXT($B228,"yyyy-mm"))</f>
        <v/>
      </c>
      <c r="D228" s="42" t="str">
        <f aca="false">IF($E228="","",IFERROR(INDEX(科目参数!$L$6:$L$85,MATCH($E228,科目参数!$M$6:$M$85,0)),"⚠"))</f>
        <v/>
      </c>
      <c r="E228" s="33"/>
      <c r="F228" s="33"/>
      <c r="G228" s="36"/>
      <c r="H228" s="33"/>
      <c r="I228" s="33"/>
      <c r="J228" s="36"/>
      <c r="K228" s="40"/>
      <c r="L228" s="40"/>
      <c r="M228" s="47" t="str">
        <f aca="false">IF($B228="","",IF(NOT(ISNUMBER($B228)),"日期不是日期格式",IF(YEAR($B228)&lt;&gt;首页!$B$3,"不在会计年度",IF($E228="","未选收支科目",IF($D228="⚠","收支科目不存在",IF($F228="","未选账户",IF($T228="","账户未设资金科目",IF(AND($D228="转账",$U228=""),"转入账户无效",IF(AND(N($K228)&gt;0,N($L228)&gt;0),"收支不能同时填",IF(AND($D228="收入",N($K228)&lt;=0),"收入金额须大于0",IF(AND($D228&lt;&gt;"收入",N($L228)&lt;=0),"支出金额须大于0",IF($O228="","借方科目缺失",IF($P228="","贷方科目缺失","√")))))))))))))</f>
        <v/>
      </c>
      <c r="N228" s="48" t="str">
        <f aca="false">IF($B228="","",IF($D228="收入",N($K228),N($L228)))</f>
        <v/>
      </c>
      <c r="O228" s="49" t="str">
        <f aca="false">IF($B228="","",IF($D228="收入",$T228,IF($D228="转账",$U228,$S228)))</f>
        <v/>
      </c>
      <c r="P228" s="49" t="str">
        <f aca="false">IF($B228="","",IF($D228="收入",$S228,$T228))</f>
        <v/>
      </c>
      <c r="Q228" s="50" t="str">
        <f aca="false">IF($E228="","",IF($D228="转账","—",IFERROR(INDEX(科目参数!$P$6:$P$85,MATCH($E228,科目参数!$M$6:$M$85,0)),"")))</f>
        <v/>
      </c>
      <c r="R228" s="48" t="str">
        <f aca="false">IF($B228="","",SUMIFS(期初数据!$B$6:$B$35,期初数据!$A$6:$A$35,$F228)+SUMIFS($N$5:$N228,$F$5:$F228,$F228,$D$5:$D228,"收入")-SUMIFS($N$5:$N228,$F$5:$F228,$F228,$D$5:$D228,"支出")-SUMIFS($N$5:$N228,$F$5:$F228,$F228,$D$5:$D228,"转账")+SUMIFS($N$5:$N228,$G$5:$G228,$F228,$D$5:$D228,"转账"))</f>
        <v/>
      </c>
      <c r="S228" s="49" t="str">
        <f aca="false">IF($E228="","",IFERROR(INDEX(科目参数!$N$6:$N$85,MATCH($E228,科目参数!$M$6:$M$85,0)),""))</f>
        <v/>
      </c>
      <c r="T228" s="49" t="str">
        <f aca="false">IF($F228="","",IFERROR(INDEX(基础资料!$C$6:$C$35,MATCH($F228,基础资料!$A$6:$A$35,0)),""))</f>
        <v/>
      </c>
      <c r="U228" s="49" t="str">
        <f aca="false">IF($G228="","",IFERROR(INDEX(基础资料!$C$6:$C$35,MATCH($G228,基础资料!$A$6:$A$35,0)),""))</f>
        <v/>
      </c>
      <c r="V228" s="49" t="str">
        <f aca="false">IF(AND($G228=客户对账单!$B$3,$E228="客户回款",$B228&gt;=客户对账单!$E$3,$B228&lt;=客户对账单!$H$3),COUNTIFS($G$5:$G228,客户对账单!$B$3,$E$5:$E228,"客户回款",$B$5:$B228,"&gt;="&amp;客户对账单!$E$3,$B$5:$B228,"&lt;="&amp;客户对账单!$H$3),"")</f>
        <v/>
      </c>
      <c r="W228" s="49" t="str">
        <f aca="false">IF(AND($G228=供应商对账单!$B$3,$E228="供应商付款",$B228&gt;=供应商对账单!$E$3,$B228&lt;=供应商对账单!$H$3),COUNTIFS($G$5:$G228,供应商对账单!$B$3,$E$5:$E228,"供应商付款",$B$5:$B228,"&gt;="&amp;供应商对账单!$E$3,$B$5:$B228,"&lt;="&amp;供应商对账单!$H$3),"")</f>
        <v/>
      </c>
    </row>
    <row r="229" customFormat="false" ht="15.75" hidden="false" customHeight="true" outlineLevel="0" collapsed="false">
      <c r="A229" s="42" t="str">
        <f aca="false">IF($B229="","","ZJ"&amp;TEXT($B229,"yyyymm")&amp;"-"&amp;TEXT(ROW()-4,"000"))</f>
        <v/>
      </c>
      <c r="B229" s="41"/>
      <c r="C229" s="42" t="str">
        <f aca="false">IF($B229="","",TEXT($B229,"yyyy-mm"))</f>
        <v/>
      </c>
      <c r="D229" s="42" t="str">
        <f aca="false">IF($E229="","",IFERROR(INDEX(科目参数!$L$6:$L$85,MATCH($E229,科目参数!$M$6:$M$85,0)),"⚠"))</f>
        <v/>
      </c>
      <c r="E229" s="33"/>
      <c r="F229" s="33"/>
      <c r="G229" s="36"/>
      <c r="H229" s="33"/>
      <c r="I229" s="33"/>
      <c r="J229" s="36"/>
      <c r="K229" s="40"/>
      <c r="L229" s="40"/>
      <c r="M229" s="47" t="str">
        <f aca="false">IF($B229="","",IF(NOT(ISNUMBER($B229)),"日期不是日期格式",IF(YEAR($B229)&lt;&gt;首页!$B$3,"不在会计年度",IF($E229="","未选收支科目",IF($D229="⚠","收支科目不存在",IF($F229="","未选账户",IF($T229="","账户未设资金科目",IF(AND($D229="转账",$U229=""),"转入账户无效",IF(AND(N($K229)&gt;0,N($L229)&gt;0),"收支不能同时填",IF(AND($D229="收入",N($K229)&lt;=0),"收入金额须大于0",IF(AND($D229&lt;&gt;"收入",N($L229)&lt;=0),"支出金额须大于0",IF($O229="","借方科目缺失",IF($P229="","贷方科目缺失","√")))))))))))))</f>
        <v/>
      </c>
      <c r="N229" s="48" t="str">
        <f aca="false">IF($B229="","",IF($D229="收入",N($K229),N($L229)))</f>
        <v/>
      </c>
      <c r="O229" s="49" t="str">
        <f aca="false">IF($B229="","",IF($D229="收入",$T229,IF($D229="转账",$U229,$S229)))</f>
        <v/>
      </c>
      <c r="P229" s="49" t="str">
        <f aca="false">IF($B229="","",IF($D229="收入",$S229,$T229))</f>
        <v/>
      </c>
      <c r="Q229" s="50" t="str">
        <f aca="false">IF($E229="","",IF($D229="转账","—",IFERROR(INDEX(科目参数!$P$6:$P$85,MATCH($E229,科目参数!$M$6:$M$85,0)),"")))</f>
        <v/>
      </c>
      <c r="R229" s="48" t="str">
        <f aca="false">IF($B229="","",SUMIFS(期初数据!$B$6:$B$35,期初数据!$A$6:$A$35,$F229)+SUMIFS($N$5:$N229,$F$5:$F229,$F229,$D$5:$D229,"收入")-SUMIFS($N$5:$N229,$F$5:$F229,$F229,$D$5:$D229,"支出")-SUMIFS($N$5:$N229,$F$5:$F229,$F229,$D$5:$D229,"转账")+SUMIFS($N$5:$N229,$G$5:$G229,$F229,$D$5:$D229,"转账"))</f>
        <v/>
      </c>
      <c r="S229" s="49" t="str">
        <f aca="false">IF($E229="","",IFERROR(INDEX(科目参数!$N$6:$N$85,MATCH($E229,科目参数!$M$6:$M$85,0)),""))</f>
        <v/>
      </c>
      <c r="T229" s="49" t="str">
        <f aca="false">IF($F229="","",IFERROR(INDEX(基础资料!$C$6:$C$35,MATCH($F229,基础资料!$A$6:$A$35,0)),""))</f>
        <v/>
      </c>
      <c r="U229" s="49" t="str">
        <f aca="false">IF($G229="","",IFERROR(INDEX(基础资料!$C$6:$C$35,MATCH($G229,基础资料!$A$6:$A$35,0)),""))</f>
        <v/>
      </c>
      <c r="V229" s="49" t="str">
        <f aca="false">IF(AND($G229=客户对账单!$B$3,$E229="客户回款",$B229&gt;=客户对账单!$E$3,$B229&lt;=客户对账单!$H$3),COUNTIFS($G$5:$G229,客户对账单!$B$3,$E$5:$E229,"客户回款",$B$5:$B229,"&gt;="&amp;客户对账单!$E$3,$B$5:$B229,"&lt;="&amp;客户对账单!$H$3),"")</f>
        <v/>
      </c>
      <c r="W229" s="49" t="str">
        <f aca="false">IF(AND($G229=供应商对账单!$B$3,$E229="供应商付款",$B229&gt;=供应商对账单!$E$3,$B229&lt;=供应商对账单!$H$3),COUNTIFS($G$5:$G229,供应商对账单!$B$3,$E$5:$E229,"供应商付款",$B$5:$B229,"&gt;="&amp;供应商对账单!$E$3,$B$5:$B229,"&lt;="&amp;供应商对账单!$H$3),"")</f>
        <v/>
      </c>
    </row>
    <row r="230" customFormat="false" ht="15.75" hidden="false" customHeight="true" outlineLevel="0" collapsed="false">
      <c r="A230" s="42" t="str">
        <f aca="false">IF($B230="","","ZJ"&amp;TEXT($B230,"yyyymm")&amp;"-"&amp;TEXT(ROW()-4,"000"))</f>
        <v/>
      </c>
      <c r="B230" s="41"/>
      <c r="C230" s="42" t="str">
        <f aca="false">IF($B230="","",TEXT($B230,"yyyy-mm"))</f>
        <v/>
      </c>
      <c r="D230" s="42" t="str">
        <f aca="false">IF($E230="","",IFERROR(INDEX(科目参数!$L$6:$L$85,MATCH($E230,科目参数!$M$6:$M$85,0)),"⚠"))</f>
        <v/>
      </c>
      <c r="E230" s="33"/>
      <c r="F230" s="33"/>
      <c r="G230" s="36"/>
      <c r="H230" s="33"/>
      <c r="I230" s="33"/>
      <c r="J230" s="36"/>
      <c r="K230" s="40"/>
      <c r="L230" s="40"/>
      <c r="M230" s="47" t="str">
        <f aca="false">IF($B230="","",IF(NOT(ISNUMBER($B230)),"日期不是日期格式",IF(YEAR($B230)&lt;&gt;首页!$B$3,"不在会计年度",IF($E230="","未选收支科目",IF($D230="⚠","收支科目不存在",IF($F230="","未选账户",IF($T230="","账户未设资金科目",IF(AND($D230="转账",$U230=""),"转入账户无效",IF(AND(N($K230)&gt;0,N($L230)&gt;0),"收支不能同时填",IF(AND($D230="收入",N($K230)&lt;=0),"收入金额须大于0",IF(AND($D230&lt;&gt;"收入",N($L230)&lt;=0),"支出金额须大于0",IF($O230="","借方科目缺失",IF($P230="","贷方科目缺失","√")))))))))))))</f>
        <v/>
      </c>
      <c r="N230" s="48" t="str">
        <f aca="false">IF($B230="","",IF($D230="收入",N($K230),N($L230)))</f>
        <v/>
      </c>
      <c r="O230" s="49" t="str">
        <f aca="false">IF($B230="","",IF($D230="收入",$T230,IF($D230="转账",$U230,$S230)))</f>
        <v/>
      </c>
      <c r="P230" s="49" t="str">
        <f aca="false">IF($B230="","",IF($D230="收入",$S230,$T230))</f>
        <v/>
      </c>
      <c r="Q230" s="50" t="str">
        <f aca="false">IF($E230="","",IF($D230="转账","—",IFERROR(INDEX(科目参数!$P$6:$P$85,MATCH($E230,科目参数!$M$6:$M$85,0)),"")))</f>
        <v/>
      </c>
      <c r="R230" s="48" t="str">
        <f aca="false">IF($B230="","",SUMIFS(期初数据!$B$6:$B$35,期初数据!$A$6:$A$35,$F230)+SUMIFS($N$5:$N230,$F$5:$F230,$F230,$D$5:$D230,"收入")-SUMIFS($N$5:$N230,$F$5:$F230,$F230,$D$5:$D230,"支出")-SUMIFS($N$5:$N230,$F$5:$F230,$F230,$D$5:$D230,"转账")+SUMIFS($N$5:$N230,$G$5:$G230,$F230,$D$5:$D230,"转账"))</f>
        <v/>
      </c>
      <c r="S230" s="49" t="str">
        <f aca="false">IF($E230="","",IFERROR(INDEX(科目参数!$N$6:$N$85,MATCH($E230,科目参数!$M$6:$M$85,0)),""))</f>
        <v/>
      </c>
      <c r="T230" s="49" t="str">
        <f aca="false">IF($F230="","",IFERROR(INDEX(基础资料!$C$6:$C$35,MATCH($F230,基础资料!$A$6:$A$35,0)),""))</f>
        <v/>
      </c>
      <c r="U230" s="49" t="str">
        <f aca="false">IF($G230="","",IFERROR(INDEX(基础资料!$C$6:$C$35,MATCH($G230,基础资料!$A$6:$A$35,0)),""))</f>
        <v/>
      </c>
      <c r="V230" s="49" t="str">
        <f aca="false">IF(AND($G230=客户对账单!$B$3,$E230="客户回款",$B230&gt;=客户对账单!$E$3,$B230&lt;=客户对账单!$H$3),COUNTIFS($G$5:$G230,客户对账单!$B$3,$E$5:$E230,"客户回款",$B$5:$B230,"&gt;="&amp;客户对账单!$E$3,$B$5:$B230,"&lt;="&amp;客户对账单!$H$3),"")</f>
        <v/>
      </c>
      <c r="W230" s="49" t="str">
        <f aca="false">IF(AND($G230=供应商对账单!$B$3,$E230="供应商付款",$B230&gt;=供应商对账单!$E$3,$B230&lt;=供应商对账单!$H$3),COUNTIFS($G$5:$G230,供应商对账单!$B$3,$E$5:$E230,"供应商付款",$B$5:$B230,"&gt;="&amp;供应商对账单!$E$3,$B$5:$B230,"&lt;="&amp;供应商对账单!$H$3),"")</f>
        <v/>
      </c>
    </row>
    <row r="231" customFormat="false" ht="15.75" hidden="false" customHeight="true" outlineLevel="0" collapsed="false">
      <c r="A231" s="42" t="str">
        <f aca="false">IF($B231="","","ZJ"&amp;TEXT($B231,"yyyymm")&amp;"-"&amp;TEXT(ROW()-4,"000"))</f>
        <v/>
      </c>
      <c r="B231" s="41"/>
      <c r="C231" s="42" t="str">
        <f aca="false">IF($B231="","",TEXT($B231,"yyyy-mm"))</f>
        <v/>
      </c>
      <c r="D231" s="42" t="str">
        <f aca="false">IF($E231="","",IFERROR(INDEX(科目参数!$L$6:$L$85,MATCH($E231,科目参数!$M$6:$M$85,0)),"⚠"))</f>
        <v/>
      </c>
      <c r="E231" s="33"/>
      <c r="F231" s="33"/>
      <c r="G231" s="36"/>
      <c r="H231" s="33"/>
      <c r="I231" s="33"/>
      <c r="J231" s="36"/>
      <c r="K231" s="40"/>
      <c r="L231" s="40"/>
      <c r="M231" s="47" t="str">
        <f aca="false">IF($B231="","",IF(NOT(ISNUMBER($B231)),"日期不是日期格式",IF(YEAR($B231)&lt;&gt;首页!$B$3,"不在会计年度",IF($E231="","未选收支科目",IF($D231="⚠","收支科目不存在",IF($F231="","未选账户",IF($T231="","账户未设资金科目",IF(AND($D231="转账",$U231=""),"转入账户无效",IF(AND(N($K231)&gt;0,N($L231)&gt;0),"收支不能同时填",IF(AND($D231="收入",N($K231)&lt;=0),"收入金额须大于0",IF(AND($D231&lt;&gt;"收入",N($L231)&lt;=0),"支出金额须大于0",IF($O231="","借方科目缺失",IF($P231="","贷方科目缺失","√")))))))))))))</f>
        <v/>
      </c>
      <c r="N231" s="48" t="str">
        <f aca="false">IF($B231="","",IF($D231="收入",N($K231),N($L231)))</f>
        <v/>
      </c>
      <c r="O231" s="49" t="str">
        <f aca="false">IF($B231="","",IF($D231="收入",$T231,IF($D231="转账",$U231,$S231)))</f>
        <v/>
      </c>
      <c r="P231" s="49" t="str">
        <f aca="false">IF($B231="","",IF($D231="收入",$S231,$T231))</f>
        <v/>
      </c>
      <c r="Q231" s="50" t="str">
        <f aca="false">IF($E231="","",IF($D231="转账","—",IFERROR(INDEX(科目参数!$P$6:$P$85,MATCH($E231,科目参数!$M$6:$M$85,0)),"")))</f>
        <v/>
      </c>
      <c r="R231" s="48" t="str">
        <f aca="false">IF($B231="","",SUMIFS(期初数据!$B$6:$B$35,期初数据!$A$6:$A$35,$F231)+SUMIFS($N$5:$N231,$F$5:$F231,$F231,$D$5:$D231,"收入")-SUMIFS($N$5:$N231,$F$5:$F231,$F231,$D$5:$D231,"支出")-SUMIFS($N$5:$N231,$F$5:$F231,$F231,$D$5:$D231,"转账")+SUMIFS($N$5:$N231,$G$5:$G231,$F231,$D$5:$D231,"转账"))</f>
        <v/>
      </c>
      <c r="S231" s="49" t="str">
        <f aca="false">IF($E231="","",IFERROR(INDEX(科目参数!$N$6:$N$85,MATCH($E231,科目参数!$M$6:$M$85,0)),""))</f>
        <v/>
      </c>
      <c r="T231" s="49" t="str">
        <f aca="false">IF($F231="","",IFERROR(INDEX(基础资料!$C$6:$C$35,MATCH($F231,基础资料!$A$6:$A$35,0)),""))</f>
        <v/>
      </c>
      <c r="U231" s="49" t="str">
        <f aca="false">IF($G231="","",IFERROR(INDEX(基础资料!$C$6:$C$35,MATCH($G231,基础资料!$A$6:$A$35,0)),""))</f>
        <v/>
      </c>
      <c r="V231" s="49" t="str">
        <f aca="false">IF(AND($G231=客户对账单!$B$3,$E231="客户回款",$B231&gt;=客户对账单!$E$3,$B231&lt;=客户对账单!$H$3),COUNTIFS($G$5:$G231,客户对账单!$B$3,$E$5:$E231,"客户回款",$B$5:$B231,"&gt;="&amp;客户对账单!$E$3,$B$5:$B231,"&lt;="&amp;客户对账单!$H$3),"")</f>
        <v/>
      </c>
      <c r="W231" s="49" t="str">
        <f aca="false">IF(AND($G231=供应商对账单!$B$3,$E231="供应商付款",$B231&gt;=供应商对账单!$E$3,$B231&lt;=供应商对账单!$H$3),COUNTIFS($G$5:$G231,供应商对账单!$B$3,$E$5:$E231,"供应商付款",$B$5:$B231,"&gt;="&amp;供应商对账单!$E$3,$B$5:$B231,"&lt;="&amp;供应商对账单!$H$3),"")</f>
        <v/>
      </c>
    </row>
    <row r="232" customFormat="false" ht="15.75" hidden="false" customHeight="true" outlineLevel="0" collapsed="false">
      <c r="A232" s="42" t="str">
        <f aca="false">IF($B232="","","ZJ"&amp;TEXT($B232,"yyyymm")&amp;"-"&amp;TEXT(ROW()-4,"000"))</f>
        <v/>
      </c>
      <c r="B232" s="41"/>
      <c r="C232" s="42" t="str">
        <f aca="false">IF($B232="","",TEXT($B232,"yyyy-mm"))</f>
        <v/>
      </c>
      <c r="D232" s="42" t="str">
        <f aca="false">IF($E232="","",IFERROR(INDEX(科目参数!$L$6:$L$85,MATCH($E232,科目参数!$M$6:$M$85,0)),"⚠"))</f>
        <v/>
      </c>
      <c r="E232" s="33"/>
      <c r="F232" s="33"/>
      <c r="G232" s="36"/>
      <c r="H232" s="33"/>
      <c r="I232" s="33"/>
      <c r="J232" s="36"/>
      <c r="K232" s="40"/>
      <c r="L232" s="40"/>
      <c r="M232" s="47" t="str">
        <f aca="false">IF($B232="","",IF(NOT(ISNUMBER($B232)),"日期不是日期格式",IF(YEAR($B232)&lt;&gt;首页!$B$3,"不在会计年度",IF($E232="","未选收支科目",IF($D232="⚠","收支科目不存在",IF($F232="","未选账户",IF($T232="","账户未设资金科目",IF(AND($D232="转账",$U232=""),"转入账户无效",IF(AND(N($K232)&gt;0,N($L232)&gt;0),"收支不能同时填",IF(AND($D232="收入",N($K232)&lt;=0),"收入金额须大于0",IF(AND($D232&lt;&gt;"收入",N($L232)&lt;=0),"支出金额须大于0",IF($O232="","借方科目缺失",IF($P232="","贷方科目缺失","√")))))))))))))</f>
        <v/>
      </c>
      <c r="N232" s="48" t="str">
        <f aca="false">IF($B232="","",IF($D232="收入",N($K232),N($L232)))</f>
        <v/>
      </c>
      <c r="O232" s="49" t="str">
        <f aca="false">IF($B232="","",IF($D232="收入",$T232,IF($D232="转账",$U232,$S232)))</f>
        <v/>
      </c>
      <c r="P232" s="49" t="str">
        <f aca="false">IF($B232="","",IF($D232="收入",$S232,$T232))</f>
        <v/>
      </c>
      <c r="Q232" s="50" t="str">
        <f aca="false">IF($E232="","",IF($D232="转账","—",IFERROR(INDEX(科目参数!$P$6:$P$85,MATCH($E232,科目参数!$M$6:$M$85,0)),"")))</f>
        <v/>
      </c>
      <c r="R232" s="48" t="str">
        <f aca="false">IF($B232="","",SUMIFS(期初数据!$B$6:$B$35,期初数据!$A$6:$A$35,$F232)+SUMIFS($N$5:$N232,$F$5:$F232,$F232,$D$5:$D232,"收入")-SUMIFS($N$5:$N232,$F$5:$F232,$F232,$D$5:$D232,"支出")-SUMIFS($N$5:$N232,$F$5:$F232,$F232,$D$5:$D232,"转账")+SUMIFS($N$5:$N232,$G$5:$G232,$F232,$D$5:$D232,"转账"))</f>
        <v/>
      </c>
      <c r="S232" s="49" t="str">
        <f aca="false">IF($E232="","",IFERROR(INDEX(科目参数!$N$6:$N$85,MATCH($E232,科目参数!$M$6:$M$85,0)),""))</f>
        <v/>
      </c>
      <c r="T232" s="49" t="str">
        <f aca="false">IF($F232="","",IFERROR(INDEX(基础资料!$C$6:$C$35,MATCH($F232,基础资料!$A$6:$A$35,0)),""))</f>
        <v/>
      </c>
      <c r="U232" s="49" t="str">
        <f aca="false">IF($G232="","",IFERROR(INDEX(基础资料!$C$6:$C$35,MATCH($G232,基础资料!$A$6:$A$35,0)),""))</f>
        <v/>
      </c>
      <c r="V232" s="49" t="str">
        <f aca="false">IF(AND($G232=客户对账单!$B$3,$E232="客户回款",$B232&gt;=客户对账单!$E$3,$B232&lt;=客户对账单!$H$3),COUNTIFS($G$5:$G232,客户对账单!$B$3,$E$5:$E232,"客户回款",$B$5:$B232,"&gt;="&amp;客户对账单!$E$3,$B$5:$B232,"&lt;="&amp;客户对账单!$H$3),"")</f>
        <v/>
      </c>
      <c r="W232" s="49" t="str">
        <f aca="false">IF(AND($G232=供应商对账单!$B$3,$E232="供应商付款",$B232&gt;=供应商对账单!$E$3,$B232&lt;=供应商对账单!$H$3),COUNTIFS($G$5:$G232,供应商对账单!$B$3,$E$5:$E232,"供应商付款",$B$5:$B232,"&gt;="&amp;供应商对账单!$E$3,$B$5:$B232,"&lt;="&amp;供应商对账单!$H$3),"")</f>
        <v/>
      </c>
    </row>
    <row r="233" customFormat="false" ht="15.75" hidden="false" customHeight="true" outlineLevel="0" collapsed="false">
      <c r="A233" s="42" t="str">
        <f aca="false">IF($B233="","","ZJ"&amp;TEXT($B233,"yyyymm")&amp;"-"&amp;TEXT(ROW()-4,"000"))</f>
        <v/>
      </c>
      <c r="B233" s="41"/>
      <c r="C233" s="42" t="str">
        <f aca="false">IF($B233="","",TEXT($B233,"yyyy-mm"))</f>
        <v/>
      </c>
      <c r="D233" s="42" t="str">
        <f aca="false">IF($E233="","",IFERROR(INDEX(科目参数!$L$6:$L$85,MATCH($E233,科目参数!$M$6:$M$85,0)),"⚠"))</f>
        <v/>
      </c>
      <c r="E233" s="33"/>
      <c r="F233" s="33"/>
      <c r="G233" s="36"/>
      <c r="H233" s="33"/>
      <c r="I233" s="33"/>
      <c r="J233" s="36"/>
      <c r="K233" s="40"/>
      <c r="L233" s="40"/>
      <c r="M233" s="47" t="str">
        <f aca="false">IF($B233="","",IF(NOT(ISNUMBER($B233)),"日期不是日期格式",IF(YEAR($B233)&lt;&gt;首页!$B$3,"不在会计年度",IF($E233="","未选收支科目",IF($D233="⚠","收支科目不存在",IF($F233="","未选账户",IF($T233="","账户未设资金科目",IF(AND($D233="转账",$U233=""),"转入账户无效",IF(AND(N($K233)&gt;0,N($L233)&gt;0),"收支不能同时填",IF(AND($D233="收入",N($K233)&lt;=0),"收入金额须大于0",IF(AND($D233&lt;&gt;"收入",N($L233)&lt;=0),"支出金额须大于0",IF($O233="","借方科目缺失",IF($P233="","贷方科目缺失","√")))))))))))))</f>
        <v/>
      </c>
      <c r="N233" s="48" t="str">
        <f aca="false">IF($B233="","",IF($D233="收入",N($K233),N($L233)))</f>
        <v/>
      </c>
      <c r="O233" s="49" t="str">
        <f aca="false">IF($B233="","",IF($D233="收入",$T233,IF($D233="转账",$U233,$S233)))</f>
        <v/>
      </c>
      <c r="P233" s="49" t="str">
        <f aca="false">IF($B233="","",IF($D233="收入",$S233,$T233))</f>
        <v/>
      </c>
      <c r="Q233" s="50" t="str">
        <f aca="false">IF($E233="","",IF($D233="转账","—",IFERROR(INDEX(科目参数!$P$6:$P$85,MATCH($E233,科目参数!$M$6:$M$85,0)),"")))</f>
        <v/>
      </c>
      <c r="R233" s="48" t="str">
        <f aca="false">IF($B233="","",SUMIFS(期初数据!$B$6:$B$35,期初数据!$A$6:$A$35,$F233)+SUMIFS($N$5:$N233,$F$5:$F233,$F233,$D$5:$D233,"收入")-SUMIFS($N$5:$N233,$F$5:$F233,$F233,$D$5:$D233,"支出")-SUMIFS($N$5:$N233,$F$5:$F233,$F233,$D$5:$D233,"转账")+SUMIFS($N$5:$N233,$G$5:$G233,$F233,$D$5:$D233,"转账"))</f>
        <v/>
      </c>
      <c r="S233" s="49" t="str">
        <f aca="false">IF($E233="","",IFERROR(INDEX(科目参数!$N$6:$N$85,MATCH($E233,科目参数!$M$6:$M$85,0)),""))</f>
        <v/>
      </c>
      <c r="T233" s="49" t="str">
        <f aca="false">IF($F233="","",IFERROR(INDEX(基础资料!$C$6:$C$35,MATCH($F233,基础资料!$A$6:$A$35,0)),""))</f>
        <v/>
      </c>
      <c r="U233" s="49" t="str">
        <f aca="false">IF($G233="","",IFERROR(INDEX(基础资料!$C$6:$C$35,MATCH($G233,基础资料!$A$6:$A$35,0)),""))</f>
        <v/>
      </c>
      <c r="V233" s="49" t="str">
        <f aca="false">IF(AND($G233=客户对账单!$B$3,$E233="客户回款",$B233&gt;=客户对账单!$E$3,$B233&lt;=客户对账单!$H$3),COUNTIFS($G$5:$G233,客户对账单!$B$3,$E$5:$E233,"客户回款",$B$5:$B233,"&gt;="&amp;客户对账单!$E$3,$B$5:$B233,"&lt;="&amp;客户对账单!$H$3),"")</f>
        <v/>
      </c>
      <c r="W233" s="49" t="str">
        <f aca="false">IF(AND($G233=供应商对账单!$B$3,$E233="供应商付款",$B233&gt;=供应商对账单!$E$3,$B233&lt;=供应商对账单!$H$3),COUNTIFS($G$5:$G233,供应商对账单!$B$3,$E$5:$E233,"供应商付款",$B$5:$B233,"&gt;="&amp;供应商对账单!$E$3,$B$5:$B233,"&lt;="&amp;供应商对账单!$H$3),"")</f>
        <v/>
      </c>
    </row>
    <row r="234" customFormat="false" ht="15.75" hidden="false" customHeight="true" outlineLevel="0" collapsed="false">
      <c r="A234" s="42" t="str">
        <f aca="false">IF($B234="","","ZJ"&amp;TEXT($B234,"yyyymm")&amp;"-"&amp;TEXT(ROW()-4,"000"))</f>
        <v/>
      </c>
      <c r="B234" s="41"/>
      <c r="C234" s="42" t="str">
        <f aca="false">IF($B234="","",TEXT($B234,"yyyy-mm"))</f>
        <v/>
      </c>
      <c r="D234" s="42" t="str">
        <f aca="false">IF($E234="","",IFERROR(INDEX(科目参数!$L$6:$L$85,MATCH($E234,科目参数!$M$6:$M$85,0)),"⚠"))</f>
        <v/>
      </c>
      <c r="E234" s="33"/>
      <c r="F234" s="33"/>
      <c r="G234" s="36"/>
      <c r="H234" s="33"/>
      <c r="I234" s="33"/>
      <c r="J234" s="36"/>
      <c r="K234" s="40"/>
      <c r="L234" s="40"/>
      <c r="M234" s="47" t="str">
        <f aca="false">IF($B234="","",IF(NOT(ISNUMBER($B234)),"日期不是日期格式",IF(YEAR($B234)&lt;&gt;首页!$B$3,"不在会计年度",IF($E234="","未选收支科目",IF($D234="⚠","收支科目不存在",IF($F234="","未选账户",IF($T234="","账户未设资金科目",IF(AND($D234="转账",$U234=""),"转入账户无效",IF(AND(N($K234)&gt;0,N($L234)&gt;0),"收支不能同时填",IF(AND($D234="收入",N($K234)&lt;=0),"收入金额须大于0",IF(AND($D234&lt;&gt;"收入",N($L234)&lt;=0),"支出金额须大于0",IF($O234="","借方科目缺失",IF($P234="","贷方科目缺失","√")))))))))))))</f>
        <v/>
      </c>
      <c r="N234" s="48" t="str">
        <f aca="false">IF($B234="","",IF($D234="收入",N($K234),N($L234)))</f>
        <v/>
      </c>
      <c r="O234" s="49" t="str">
        <f aca="false">IF($B234="","",IF($D234="收入",$T234,IF($D234="转账",$U234,$S234)))</f>
        <v/>
      </c>
      <c r="P234" s="49" t="str">
        <f aca="false">IF($B234="","",IF($D234="收入",$S234,$T234))</f>
        <v/>
      </c>
      <c r="Q234" s="50" t="str">
        <f aca="false">IF($E234="","",IF($D234="转账","—",IFERROR(INDEX(科目参数!$P$6:$P$85,MATCH($E234,科目参数!$M$6:$M$85,0)),"")))</f>
        <v/>
      </c>
      <c r="R234" s="48" t="str">
        <f aca="false">IF($B234="","",SUMIFS(期初数据!$B$6:$B$35,期初数据!$A$6:$A$35,$F234)+SUMIFS($N$5:$N234,$F$5:$F234,$F234,$D$5:$D234,"收入")-SUMIFS($N$5:$N234,$F$5:$F234,$F234,$D$5:$D234,"支出")-SUMIFS($N$5:$N234,$F$5:$F234,$F234,$D$5:$D234,"转账")+SUMIFS($N$5:$N234,$G$5:$G234,$F234,$D$5:$D234,"转账"))</f>
        <v/>
      </c>
      <c r="S234" s="49" t="str">
        <f aca="false">IF($E234="","",IFERROR(INDEX(科目参数!$N$6:$N$85,MATCH($E234,科目参数!$M$6:$M$85,0)),""))</f>
        <v/>
      </c>
      <c r="T234" s="49" t="str">
        <f aca="false">IF($F234="","",IFERROR(INDEX(基础资料!$C$6:$C$35,MATCH($F234,基础资料!$A$6:$A$35,0)),""))</f>
        <v/>
      </c>
      <c r="U234" s="49" t="str">
        <f aca="false">IF($G234="","",IFERROR(INDEX(基础资料!$C$6:$C$35,MATCH($G234,基础资料!$A$6:$A$35,0)),""))</f>
        <v/>
      </c>
      <c r="V234" s="49" t="str">
        <f aca="false">IF(AND($G234=客户对账单!$B$3,$E234="客户回款",$B234&gt;=客户对账单!$E$3,$B234&lt;=客户对账单!$H$3),COUNTIFS($G$5:$G234,客户对账单!$B$3,$E$5:$E234,"客户回款",$B$5:$B234,"&gt;="&amp;客户对账单!$E$3,$B$5:$B234,"&lt;="&amp;客户对账单!$H$3),"")</f>
        <v/>
      </c>
      <c r="W234" s="49" t="str">
        <f aca="false">IF(AND($G234=供应商对账单!$B$3,$E234="供应商付款",$B234&gt;=供应商对账单!$E$3,$B234&lt;=供应商对账单!$H$3),COUNTIFS($G$5:$G234,供应商对账单!$B$3,$E$5:$E234,"供应商付款",$B$5:$B234,"&gt;="&amp;供应商对账单!$E$3,$B$5:$B234,"&lt;="&amp;供应商对账单!$H$3),"")</f>
        <v/>
      </c>
    </row>
    <row r="235" customFormat="false" ht="15.75" hidden="false" customHeight="true" outlineLevel="0" collapsed="false">
      <c r="A235" s="42" t="str">
        <f aca="false">IF($B235="","","ZJ"&amp;TEXT($B235,"yyyymm")&amp;"-"&amp;TEXT(ROW()-4,"000"))</f>
        <v/>
      </c>
      <c r="B235" s="41"/>
      <c r="C235" s="42" t="str">
        <f aca="false">IF($B235="","",TEXT($B235,"yyyy-mm"))</f>
        <v/>
      </c>
      <c r="D235" s="42" t="str">
        <f aca="false">IF($E235="","",IFERROR(INDEX(科目参数!$L$6:$L$85,MATCH($E235,科目参数!$M$6:$M$85,0)),"⚠"))</f>
        <v/>
      </c>
      <c r="E235" s="33"/>
      <c r="F235" s="33"/>
      <c r="G235" s="36"/>
      <c r="H235" s="33"/>
      <c r="I235" s="33"/>
      <c r="J235" s="36"/>
      <c r="K235" s="40"/>
      <c r="L235" s="40"/>
      <c r="M235" s="47" t="str">
        <f aca="false">IF($B235="","",IF(NOT(ISNUMBER($B235)),"日期不是日期格式",IF(YEAR($B235)&lt;&gt;首页!$B$3,"不在会计年度",IF($E235="","未选收支科目",IF($D235="⚠","收支科目不存在",IF($F235="","未选账户",IF($T235="","账户未设资金科目",IF(AND($D235="转账",$U235=""),"转入账户无效",IF(AND(N($K235)&gt;0,N($L235)&gt;0),"收支不能同时填",IF(AND($D235="收入",N($K235)&lt;=0),"收入金额须大于0",IF(AND($D235&lt;&gt;"收入",N($L235)&lt;=0),"支出金额须大于0",IF($O235="","借方科目缺失",IF($P235="","贷方科目缺失","√")))))))))))))</f>
        <v/>
      </c>
      <c r="N235" s="48" t="str">
        <f aca="false">IF($B235="","",IF($D235="收入",N($K235),N($L235)))</f>
        <v/>
      </c>
      <c r="O235" s="49" t="str">
        <f aca="false">IF($B235="","",IF($D235="收入",$T235,IF($D235="转账",$U235,$S235)))</f>
        <v/>
      </c>
      <c r="P235" s="49" t="str">
        <f aca="false">IF($B235="","",IF($D235="收入",$S235,$T235))</f>
        <v/>
      </c>
      <c r="Q235" s="50" t="str">
        <f aca="false">IF($E235="","",IF($D235="转账","—",IFERROR(INDEX(科目参数!$P$6:$P$85,MATCH($E235,科目参数!$M$6:$M$85,0)),"")))</f>
        <v/>
      </c>
      <c r="R235" s="48" t="str">
        <f aca="false">IF($B235="","",SUMIFS(期初数据!$B$6:$B$35,期初数据!$A$6:$A$35,$F235)+SUMIFS($N$5:$N235,$F$5:$F235,$F235,$D$5:$D235,"收入")-SUMIFS($N$5:$N235,$F$5:$F235,$F235,$D$5:$D235,"支出")-SUMIFS($N$5:$N235,$F$5:$F235,$F235,$D$5:$D235,"转账")+SUMIFS($N$5:$N235,$G$5:$G235,$F235,$D$5:$D235,"转账"))</f>
        <v/>
      </c>
      <c r="S235" s="49" t="str">
        <f aca="false">IF($E235="","",IFERROR(INDEX(科目参数!$N$6:$N$85,MATCH($E235,科目参数!$M$6:$M$85,0)),""))</f>
        <v/>
      </c>
      <c r="T235" s="49" t="str">
        <f aca="false">IF($F235="","",IFERROR(INDEX(基础资料!$C$6:$C$35,MATCH($F235,基础资料!$A$6:$A$35,0)),""))</f>
        <v/>
      </c>
      <c r="U235" s="49" t="str">
        <f aca="false">IF($G235="","",IFERROR(INDEX(基础资料!$C$6:$C$35,MATCH($G235,基础资料!$A$6:$A$35,0)),""))</f>
        <v/>
      </c>
      <c r="V235" s="49" t="str">
        <f aca="false">IF(AND($G235=客户对账单!$B$3,$E235="客户回款",$B235&gt;=客户对账单!$E$3,$B235&lt;=客户对账单!$H$3),COUNTIFS($G$5:$G235,客户对账单!$B$3,$E$5:$E235,"客户回款",$B$5:$B235,"&gt;="&amp;客户对账单!$E$3,$B$5:$B235,"&lt;="&amp;客户对账单!$H$3),"")</f>
        <v/>
      </c>
      <c r="W235" s="49" t="str">
        <f aca="false">IF(AND($G235=供应商对账单!$B$3,$E235="供应商付款",$B235&gt;=供应商对账单!$E$3,$B235&lt;=供应商对账单!$H$3),COUNTIFS($G$5:$G235,供应商对账单!$B$3,$E$5:$E235,"供应商付款",$B$5:$B235,"&gt;="&amp;供应商对账单!$E$3,$B$5:$B235,"&lt;="&amp;供应商对账单!$H$3),"")</f>
        <v/>
      </c>
    </row>
    <row r="236" customFormat="false" ht="15.75" hidden="false" customHeight="true" outlineLevel="0" collapsed="false">
      <c r="A236" s="42" t="str">
        <f aca="false">IF($B236="","","ZJ"&amp;TEXT($B236,"yyyymm")&amp;"-"&amp;TEXT(ROW()-4,"000"))</f>
        <v/>
      </c>
      <c r="B236" s="41"/>
      <c r="C236" s="42" t="str">
        <f aca="false">IF($B236="","",TEXT($B236,"yyyy-mm"))</f>
        <v/>
      </c>
      <c r="D236" s="42" t="str">
        <f aca="false">IF($E236="","",IFERROR(INDEX(科目参数!$L$6:$L$85,MATCH($E236,科目参数!$M$6:$M$85,0)),"⚠"))</f>
        <v/>
      </c>
      <c r="E236" s="33"/>
      <c r="F236" s="33"/>
      <c r="G236" s="36"/>
      <c r="H236" s="33"/>
      <c r="I236" s="33"/>
      <c r="J236" s="36"/>
      <c r="K236" s="40"/>
      <c r="L236" s="40"/>
      <c r="M236" s="47" t="str">
        <f aca="false">IF($B236="","",IF(NOT(ISNUMBER($B236)),"日期不是日期格式",IF(YEAR($B236)&lt;&gt;首页!$B$3,"不在会计年度",IF($E236="","未选收支科目",IF($D236="⚠","收支科目不存在",IF($F236="","未选账户",IF($T236="","账户未设资金科目",IF(AND($D236="转账",$U236=""),"转入账户无效",IF(AND(N($K236)&gt;0,N($L236)&gt;0),"收支不能同时填",IF(AND($D236="收入",N($K236)&lt;=0),"收入金额须大于0",IF(AND($D236&lt;&gt;"收入",N($L236)&lt;=0),"支出金额须大于0",IF($O236="","借方科目缺失",IF($P236="","贷方科目缺失","√")))))))))))))</f>
        <v/>
      </c>
      <c r="N236" s="48" t="str">
        <f aca="false">IF($B236="","",IF($D236="收入",N($K236),N($L236)))</f>
        <v/>
      </c>
      <c r="O236" s="49" t="str">
        <f aca="false">IF($B236="","",IF($D236="收入",$T236,IF($D236="转账",$U236,$S236)))</f>
        <v/>
      </c>
      <c r="P236" s="49" t="str">
        <f aca="false">IF($B236="","",IF($D236="收入",$S236,$T236))</f>
        <v/>
      </c>
      <c r="Q236" s="50" t="str">
        <f aca="false">IF($E236="","",IF($D236="转账","—",IFERROR(INDEX(科目参数!$P$6:$P$85,MATCH($E236,科目参数!$M$6:$M$85,0)),"")))</f>
        <v/>
      </c>
      <c r="R236" s="48" t="str">
        <f aca="false">IF($B236="","",SUMIFS(期初数据!$B$6:$B$35,期初数据!$A$6:$A$35,$F236)+SUMIFS($N$5:$N236,$F$5:$F236,$F236,$D$5:$D236,"收入")-SUMIFS($N$5:$N236,$F$5:$F236,$F236,$D$5:$D236,"支出")-SUMIFS($N$5:$N236,$F$5:$F236,$F236,$D$5:$D236,"转账")+SUMIFS($N$5:$N236,$G$5:$G236,$F236,$D$5:$D236,"转账"))</f>
        <v/>
      </c>
      <c r="S236" s="49" t="str">
        <f aca="false">IF($E236="","",IFERROR(INDEX(科目参数!$N$6:$N$85,MATCH($E236,科目参数!$M$6:$M$85,0)),""))</f>
        <v/>
      </c>
      <c r="T236" s="49" t="str">
        <f aca="false">IF($F236="","",IFERROR(INDEX(基础资料!$C$6:$C$35,MATCH($F236,基础资料!$A$6:$A$35,0)),""))</f>
        <v/>
      </c>
      <c r="U236" s="49" t="str">
        <f aca="false">IF($G236="","",IFERROR(INDEX(基础资料!$C$6:$C$35,MATCH($G236,基础资料!$A$6:$A$35,0)),""))</f>
        <v/>
      </c>
      <c r="V236" s="49" t="str">
        <f aca="false">IF(AND($G236=客户对账单!$B$3,$E236="客户回款",$B236&gt;=客户对账单!$E$3,$B236&lt;=客户对账单!$H$3),COUNTIFS($G$5:$G236,客户对账单!$B$3,$E$5:$E236,"客户回款",$B$5:$B236,"&gt;="&amp;客户对账单!$E$3,$B$5:$B236,"&lt;="&amp;客户对账单!$H$3),"")</f>
        <v/>
      </c>
      <c r="W236" s="49" t="str">
        <f aca="false">IF(AND($G236=供应商对账单!$B$3,$E236="供应商付款",$B236&gt;=供应商对账单!$E$3,$B236&lt;=供应商对账单!$H$3),COUNTIFS($G$5:$G236,供应商对账单!$B$3,$E$5:$E236,"供应商付款",$B$5:$B236,"&gt;="&amp;供应商对账单!$E$3,$B$5:$B236,"&lt;="&amp;供应商对账单!$H$3),"")</f>
        <v/>
      </c>
    </row>
    <row r="237" customFormat="false" ht="15.75" hidden="false" customHeight="true" outlineLevel="0" collapsed="false">
      <c r="A237" s="42" t="str">
        <f aca="false">IF($B237="","","ZJ"&amp;TEXT($B237,"yyyymm")&amp;"-"&amp;TEXT(ROW()-4,"000"))</f>
        <v/>
      </c>
      <c r="B237" s="41"/>
      <c r="C237" s="42" t="str">
        <f aca="false">IF($B237="","",TEXT($B237,"yyyy-mm"))</f>
        <v/>
      </c>
      <c r="D237" s="42" t="str">
        <f aca="false">IF($E237="","",IFERROR(INDEX(科目参数!$L$6:$L$85,MATCH($E237,科目参数!$M$6:$M$85,0)),"⚠"))</f>
        <v/>
      </c>
      <c r="E237" s="33"/>
      <c r="F237" s="33"/>
      <c r="G237" s="36"/>
      <c r="H237" s="33"/>
      <c r="I237" s="33"/>
      <c r="J237" s="36"/>
      <c r="K237" s="40"/>
      <c r="L237" s="40"/>
      <c r="M237" s="47" t="str">
        <f aca="false">IF($B237="","",IF(NOT(ISNUMBER($B237)),"日期不是日期格式",IF(YEAR($B237)&lt;&gt;首页!$B$3,"不在会计年度",IF($E237="","未选收支科目",IF($D237="⚠","收支科目不存在",IF($F237="","未选账户",IF($T237="","账户未设资金科目",IF(AND($D237="转账",$U237=""),"转入账户无效",IF(AND(N($K237)&gt;0,N($L237)&gt;0),"收支不能同时填",IF(AND($D237="收入",N($K237)&lt;=0),"收入金额须大于0",IF(AND($D237&lt;&gt;"收入",N($L237)&lt;=0),"支出金额须大于0",IF($O237="","借方科目缺失",IF($P237="","贷方科目缺失","√")))))))))))))</f>
        <v/>
      </c>
      <c r="N237" s="48" t="str">
        <f aca="false">IF($B237="","",IF($D237="收入",N($K237),N($L237)))</f>
        <v/>
      </c>
      <c r="O237" s="49" t="str">
        <f aca="false">IF($B237="","",IF($D237="收入",$T237,IF($D237="转账",$U237,$S237)))</f>
        <v/>
      </c>
      <c r="P237" s="49" t="str">
        <f aca="false">IF($B237="","",IF($D237="收入",$S237,$T237))</f>
        <v/>
      </c>
      <c r="Q237" s="50" t="str">
        <f aca="false">IF($E237="","",IF($D237="转账","—",IFERROR(INDEX(科目参数!$P$6:$P$85,MATCH($E237,科目参数!$M$6:$M$85,0)),"")))</f>
        <v/>
      </c>
      <c r="R237" s="48" t="str">
        <f aca="false">IF($B237="","",SUMIFS(期初数据!$B$6:$B$35,期初数据!$A$6:$A$35,$F237)+SUMIFS($N$5:$N237,$F$5:$F237,$F237,$D$5:$D237,"收入")-SUMIFS($N$5:$N237,$F$5:$F237,$F237,$D$5:$D237,"支出")-SUMIFS($N$5:$N237,$F$5:$F237,$F237,$D$5:$D237,"转账")+SUMIFS($N$5:$N237,$G$5:$G237,$F237,$D$5:$D237,"转账"))</f>
        <v/>
      </c>
      <c r="S237" s="49" t="str">
        <f aca="false">IF($E237="","",IFERROR(INDEX(科目参数!$N$6:$N$85,MATCH($E237,科目参数!$M$6:$M$85,0)),""))</f>
        <v/>
      </c>
      <c r="T237" s="49" t="str">
        <f aca="false">IF($F237="","",IFERROR(INDEX(基础资料!$C$6:$C$35,MATCH($F237,基础资料!$A$6:$A$35,0)),""))</f>
        <v/>
      </c>
      <c r="U237" s="49" t="str">
        <f aca="false">IF($G237="","",IFERROR(INDEX(基础资料!$C$6:$C$35,MATCH($G237,基础资料!$A$6:$A$35,0)),""))</f>
        <v/>
      </c>
      <c r="V237" s="49" t="str">
        <f aca="false">IF(AND($G237=客户对账单!$B$3,$E237="客户回款",$B237&gt;=客户对账单!$E$3,$B237&lt;=客户对账单!$H$3),COUNTIFS($G$5:$G237,客户对账单!$B$3,$E$5:$E237,"客户回款",$B$5:$B237,"&gt;="&amp;客户对账单!$E$3,$B$5:$B237,"&lt;="&amp;客户对账单!$H$3),"")</f>
        <v/>
      </c>
      <c r="W237" s="49" t="str">
        <f aca="false">IF(AND($G237=供应商对账单!$B$3,$E237="供应商付款",$B237&gt;=供应商对账单!$E$3,$B237&lt;=供应商对账单!$H$3),COUNTIFS($G$5:$G237,供应商对账单!$B$3,$E$5:$E237,"供应商付款",$B$5:$B237,"&gt;="&amp;供应商对账单!$E$3,$B$5:$B237,"&lt;="&amp;供应商对账单!$H$3),"")</f>
        <v/>
      </c>
    </row>
    <row r="238" customFormat="false" ht="15.75" hidden="false" customHeight="true" outlineLevel="0" collapsed="false">
      <c r="A238" s="42" t="str">
        <f aca="false">IF($B238="","","ZJ"&amp;TEXT($B238,"yyyymm")&amp;"-"&amp;TEXT(ROW()-4,"000"))</f>
        <v/>
      </c>
      <c r="B238" s="41"/>
      <c r="C238" s="42" t="str">
        <f aca="false">IF($B238="","",TEXT($B238,"yyyy-mm"))</f>
        <v/>
      </c>
      <c r="D238" s="42" t="str">
        <f aca="false">IF($E238="","",IFERROR(INDEX(科目参数!$L$6:$L$85,MATCH($E238,科目参数!$M$6:$M$85,0)),"⚠"))</f>
        <v/>
      </c>
      <c r="E238" s="33"/>
      <c r="F238" s="33"/>
      <c r="G238" s="36"/>
      <c r="H238" s="33"/>
      <c r="I238" s="33"/>
      <c r="J238" s="36"/>
      <c r="K238" s="40"/>
      <c r="L238" s="40"/>
      <c r="M238" s="47" t="str">
        <f aca="false">IF($B238="","",IF(NOT(ISNUMBER($B238)),"日期不是日期格式",IF(YEAR($B238)&lt;&gt;首页!$B$3,"不在会计年度",IF($E238="","未选收支科目",IF($D238="⚠","收支科目不存在",IF($F238="","未选账户",IF($T238="","账户未设资金科目",IF(AND($D238="转账",$U238=""),"转入账户无效",IF(AND(N($K238)&gt;0,N($L238)&gt;0),"收支不能同时填",IF(AND($D238="收入",N($K238)&lt;=0),"收入金额须大于0",IF(AND($D238&lt;&gt;"收入",N($L238)&lt;=0),"支出金额须大于0",IF($O238="","借方科目缺失",IF($P238="","贷方科目缺失","√")))))))))))))</f>
        <v/>
      </c>
      <c r="N238" s="48" t="str">
        <f aca="false">IF($B238="","",IF($D238="收入",N($K238),N($L238)))</f>
        <v/>
      </c>
      <c r="O238" s="49" t="str">
        <f aca="false">IF($B238="","",IF($D238="收入",$T238,IF($D238="转账",$U238,$S238)))</f>
        <v/>
      </c>
      <c r="P238" s="49" t="str">
        <f aca="false">IF($B238="","",IF($D238="收入",$S238,$T238))</f>
        <v/>
      </c>
      <c r="Q238" s="50" t="str">
        <f aca="false">IF($E238="","",IF($D238="转账","—",IFERROR(INDEX(科目参数!$P$6:$P$85,MATCH($E238,科目参数!$M$6:$M$85,0)),"")))</f>
        <v/>
      </c>
      <c r="R238" s="48" t="str">
        <f aca="false">IF($B238="","",SUMIFS(期初数据!$B$6:$B$35,期初数据!$A$6:$A$35,$F238)+SUMIFS($N$5:$N238,$F$5:$F238,$F238,$D$5:$D238,"收入")-SUMIFS($N$5:$N238,$F$5:$F238,$F238,$D$5:$D238,"支出")-SUMIFS($N$5:$N238,$F$5:$F238,$F238,$D$5:$D238,"转账")+SUMIFS($N$5:$N238,$G$5:$G238,$F238,$D$5:$D238,"转账"))</f>
        <v/>
      </c>
      <c r="S238" s="49" t="str">
        <f aca="false">IF($E238="","",IFERROR(INDEX(科目参数!$N$6:$N$85,MATCH($E238,科目参数!$M$6:$M$85,0)),""))</f>
        <v/>
      </c>
      <c r="T238" s="49" t="str">
        <f aca="false">IF($F238="","",IFERROR(INDEX(基础资料!$C$6:$C$35,MATCH($F238,基础资料!$A$6:$A$35,0)),""))</f>
        <v/>
      </c>
      <c r="U238" s="49" t="str">
        <f aca="false">IF($G238="","",IFERROR(INDEX(基础资料!$C$6:$C$35,MATCH($G238,基础资料!$A$6:$A$35,0)),""))</f>
        <v/>
      </c>
      <c r="V238" s="49" t="str">
        <f aca="false">IF(AND($G238=客户对账单!$B$3,$E238="客户回款",$B238&gt;=客户对账单!$E$3,$B238&lt;=客户对账单!$H$3),COUNTIFS($G$5:$G238,客户对账单!$B$3,$E$5:$E238,"客户回款",$B$5:$B238,"&gt;="&amp;客户对账单!$E$3,$B$5:$B238,"&lt;="&amp;客户对账单!$H$3),"")</f>
        <v/>
      </c>
      <c r="W238" s="49" t="str">
        <f aca="false">IF(AND($G238=供应商对账单!$B$3,$E238="供应商付款",$B238&gt;=供应商对账单!$E$3,$B238&lt;=供应商对账单!$H$3),COUNTIFS($G$5:$G238,供应商对账单!$B$3,$E$5:$E238,"供应商付款",$B$5:$B238,"&gt;="&amp;供应商对账单!$E$3,$B$5:$B238,"&lt;="&amp;供应商对账单!$H$3),"")</f>
        <v/>
      </c>
    </row>
    <row r="239" customFormat="false" ht="15.75" hidden="false" customHeight="true" outlineLevel="0" collapsed="false">
      <c r="A239" s="42" t="str">
        <f aca="false">IF($B239="","","ZJ"&amp;TEXT($B239,"yyyymm")&amp;"-"&amp;TEXT(ROW()-4,"000"))</f>
        <v/>
      </c>
      <c r="B239" s="41"/>
      <c r="C239" s="42" t="str">
        <f aca="false">IF($B239="","",TEXT($B239,"yyyy-mm"))</f>
        <v/>
      </c>
      <c r="D239" s="42" t="str">
        <f aca="false">IF($E239="","",IFERROR(INDEX(科目参数!$L$6:$L$85,MATCH($E239,科目参数!$M$6:$M$85,0)),"⚠"))</f>
        <v/>
      </c>
      <c r="E239" s="33"/>
      <c r="F239" s="33"/>
      <c r="G239" s="36"/>
      <c r="H239" s="33"/>
      <c r="I239" s="33"/>
      <c r="J239" s="36"/>
      <c r="K239" s="40"/>
      <c r="L239" s="40"/>
      <c r="M239" s="47" t="str">
        <f aca="false">IF($B239="","",IF(NOT(ISNUMBER($B239)),"日期不是日期格式",IF(YEAR($B239)&lt;&gt;首页!$B$3,"不在会计年度",IF($E239="","未选收支科目",IF($D239="⚠","收支科目不存在",IF($F239="","未选账户",IF($T239="","账户未设资金科目",IF(AND($D239="转账",$U239=""),"转入账户无效",IF(AND(N($K239)&gt;0,N($L239)&gt;0),"收支不能同时填",IF(AND($D239="收入",N($K239)&lt;=0),"收入金额须大于0",IF(AND($D239&lt;&gt;"收入",N($L239)&lt;=0),"支出金额须大于0",IF($O239="","借方科目缺失",IF($P239="","贷方科目缺失","√")))))))))))))</f>
        <v/>
      </c>
      <c r="N239" s="48" t="str">
        <f aca="false">IF($B239="","",IF($D239="收入",N($K239),N($L239)))</f>
        <v/>
      </c>
      <c r="O239" s="49" t="str">
        <f aca="false">IF($B239="","",IF($D239="收入",$T239,IF($D239="转账",$U239,$S239)))</f>
        <v/>
      </c>
      <c r="P239" s="49" t="str">
        <f aca="false">IF($B239="","",IF($D239="收入",$S239,$T239))</f>
        <v/>
      </c>
      <c r="Q239" s="50" t="str">
        <f aca="false">IF($E239="","",IF($D239="转账","—",IFERROR(INDEX(科目参数!$P$6:$P$85,MATCH($E239,科目参数!$M$6:$M$85,0)),"")))</f>
        <v/>
      </c>
      <c r="R239" s="48" t="str">
        <f aca="false">IF($B239="","",SUMIFS(期初数据!$B$6:$B$35,期初数据!$A$6:$A$35,$F239)+SUMIFS($N$5:$N239,$F$5:$F239,$F239,$D$5:$D239,"收入")-SUMIFS($N$5:$N239,$F$5:$F239,$F239,$D$5:$D239,"支出")-SUMIFS($N$5:$N239,$F$5:$F239,$F239,$D$5:$D239,"转账")+SUMIFS($N$5:$N239,$G$5:$G239,$F239,$D$5:$D239,"转账"))</f>
        <v/>
      </c>
      <c r="S239" s="49" t="str">
        <f aca="false">IF($E239="","",IFERROR(INDEX(科目参数!$N$6:$N$85,MATCH($E239,科目参数!$M$6:$M$85,0)),""))</f>
        <v/>
      </c>
      <c r="T239" s="49" t="str">
        <f aca="false">IF($F239="","",IFERROR(INDEX(基础资料!$C$6:$C$35,MATCH($F239,基础资料!$A$6:$A$35,0)),""))</f>
        <v/>
      </c>
      <c r="U239" s="49" t="str">
        <f aca="false">IF($G239="","",IFERROR(INDEX(基础资料!$C$6:$C$35,MATCH($G239,基础资料!$A$6:$A$35,0)),""))</f>
        <v/>
      </c>
      <c r="V239" s="49" t="str">
        <f aca="false">IF(AND($G239=客户对账单!$B$3,$E239="客户回款",$B239&gt;=客户对账单!$E$3,$B239&lt;=客户对账单!$H$3),COUNTIFS($G$5:$G239,客户对账单!$B$3,$E$5:$E239,"客户回款",$B$5:$B239,"&gt;="&amp;客户对账单!$E$3,$B$5:$B239,"&lt;="&amp;客户对账单!$H$3),"")</f>
        <v/>
      </c>
      <c r="W239" s="49" t="str">
        <f aca="false">IF(AND($G239=供应商对账单!$B$3,$E239="供应商付款",$B239&gt;=供应商对账单!$E$3,$B239&lt;=供应商对账单!$H$3),COUNTIFS($G$5:$G239,供应商对账单!$B$3,$E$5:$E239,"供应商付款",$B$5:$B239,"&gt;="&amp;供应商对账单!$E$3,$B$5:$B239,"&lt;="&amp;供应商对账单!$H$3),"")</f>
        <v/>
      </c>
    </row>
    <row r="240" customFormat="false" ht="15.75" hidden="false" customHeight="true" outlineLevel="0" collapsed="false">
      <c r="A240" s="42" t="str">
        <f aca="false">IF($B240="","","ZJ"&amp;TEXT($B240,"yyyymm")&amp;"-"&amp;TEXT(ROW()-4,"000"))</f>
        <v/>
      </c>
      <c r="B240" s="41"/>
      <c r="C240" s="42" t="str">
        <f aca="false">IF($B240="","",TEXT($B240,"yyyy-mm"))</f>
        <v/>
      </c>
      <c r="D240" s="42" t="str">
        <f aca="false">IF($E240="","",IFERROR(INDEX(科目参数!$L$6:$L$85,MATCH($E240,科目参数!$M$6:$M$85,0)),"⚠"))</f>
        <v/>
      </c>
      <c r="E240" s="33"/>
      <c r="F240" s="33"/>
      <c r="G240" s="36"/>
      <c r="H240" s="33"/>
      <c r="I240" s="33"/>
      <c r="J240" s="36"/>
      <c r="K240" s="40"/>
      <c r="L240" s="40"/>
      <c r="M240" s="47" t="str">
        <f aca="false">IF($B240="","",IF(NOT(ISNUMBER($B240)),"日期不是日期格式",IF(YEAR($B240)&lt;&gt;首页!$B$3,"不在会计年度",IF($E240="","未选收支科目",IF($D240="⚠","收支科目不存在",IF($F240="","未选账户",IF($T240="","账户未设资金科目",IF(AND($D240="转账",$U240=""),"转入账户无效",IF(AND(N($K240)&gt;0,N($L240)&gt;0),"收支不能同时填",IF(AND($D240="收入",N($K240)&lt;=0),"收入金额须大于0",IF(AND($D240&lt;&gt;"收入",N($L240)&lt;=0),"支出金额须大于0",IF($O240="","借方科目缺失",IF($P240="","贷方科目缺失","√")))))))))))))</f>
        <v/>
      </c>
      <c r="N240" s="48" t="str">
        <f aca="false">IF($B240="","",IF($D240="收入",N($K240),N($L240)))</f>
        <v/>
      </c>
      <c r="O240" s="49" t="str">
        <f aca="false">IF($B240="","",IF($D240="收入",$T240,IF($D240="转账",$U240,$S240)))</f>
        <v/>
      </c>
      <c r="P240" s="49" t="str">
        <f aca="false">IF($B240="","",IF($D240="收入",$S240,$T240))</f>
        <v/>
      </c>
      <c r="Q240" s="50" t="str">
        <f aca="false">IF($E240="","",IF($D240="转账","—",IFERROR(INDEX(科目参数!$P$6:$P$85,MATCH($E240,科目参数!$M$6:$M$85,0)),"")))</f>
        <v/>
      </c>
      <c r="R240" s="48" t="str">
        <f aca="false">IF($B240="","",SUMIFS(期初数据!$B$6:$B$35,期初数据!$A$6:$A$35,$F240)+SUMIFS($N$5:$N240,$F$5:$F240,$F240,$D$5:$D240,"收入")-SUMIFS($N$5:$N240,$F$5:$F240,$F240,$D$5:$D240,"支出")-SUMIFS($N$5:$N240,$F$5:$F240,$F240,$D$5:$D240,"转账")+SUMIFS($N$5:$N240,$G$5:$G240,$F240,$D$5:$D240,"转账"))</f>
        <v/>
      </c>
      <c r="S240" s="49" t="str">
        <f aca="false">IF($E240="","",IFERROR(INDEX(科目参数!$N$6:$N$85,MATCH($E240,科目参数!$M$6:$M$85,0)),""))</f>
        <v/>
      </c>
      <c r="T240" s="49" t="str">
        <f aca="false">IF($F240="","",IFERROR(INDEX(基础资料!$C$6:$C$35,MATCH($F240,基础资料!$A$6:$A$35,0)),""))</f>
        <v/>
      </c>
      <c r="U240" s="49" t="str">
        <f aca="false">IF($G240="","",IFERROR(INDEX(基础资料!$C$6:$C$35,MATCH($G240,基础资料!$A$6:$A$35,0)),""))</f>
        <v/>
      </c>
      <c r="V240" s="49" t="str">
        <f aca="false">IF(AND($G240=客户对账单!$B$3,$E240="客户回款",$B240&gt;=客户对账单!$E$3,$B240&lt;=客户对账单!$H$3),COUNTIFS($G$5:$G240,客户对账单!$B$3,$E$5:$E240,"客户回款",$B$5:$B240,"&gt;="&amp;客户对账单!$E$3,$B$5:$B240,"&lt;="&amp;客户对账单!$H$3),"")</f>
        <v/>
      </c>
      <c r="W240" s="49" t="str">
        <f aca="false">IF(AND($G240=供应商对账单!$B$3,$E240="供应商付款",$B240&gt;=供应商对账单!$E$3,$B240&lt;=供应商对账单!$H$3),COUNTIFS($G$5:$G240,供应商对账单!$B$3,$E$5:$E240,"供应商付款",$B$5:$B240,"&gt;="&amp;供应商对账单!$E$3,$B$5:$B240,"&lt;="&amp;供应商对账单!$H$3),"")</f>
        <v/>
      </c>
    </row>
    <row r="241" customFormat="false" ht="15.75" hidden="false" customHeight="true" outlineLevel="0" collapsed="false">
      <c r="A241" s="42" t="str">
        <f aca="false">IF($B241="","","ZJ"&amp;TEXT($B241,"yyyymm")&amp;"-"&amp;TEXT(ROW()-4,"000"))</f>
        <v/>
      </c>
      <c r="B241" s="41"/>
      <c r="C241" s="42" t="str">
        <f aca="false">IF($B241="","",TEXT($B241,"yyyy-mm"))</f>
        <v/>
      </c>
      <c r="D241" s="42" t="str">
        <f aca="false">IF($E241="","",IFERROR(INDEX(科目参数!$L$6:$L$85,MATCH($E241,科目参数!$M$6:$M$85,0)),"⚠"))</f>
        <v/>
      </c>
      <c r="E241" s="33"/>
      <c r="F241" s="33"/>
      <c r="G241" s="36"/>
      <c r="H241" s="33"/>
      <c r="I241" s="33"/>
      <c r="J241" s="36"/>
      <c r="K241" s="40"/>
      <c r="L241" s="40"/>
      <c r="M241" s="47" t="str">
        <f aca="false">IF($B241="","",IF(NOT(ISNUMBER($B241)),"日期不是日期格式",IF(YEAR($B241)&lt;&gt;首页!$B$3,"不在会计年度",IF($E241="","未选收支科目",IF($D241="⚠","收支科目不存在",IF($F241="","未选账户",IF($T241="","账户未设资金科目",IF(AND($D241="转账",$U241=""),"转入账户无效",IF(AND(N($K241)&gt;0,N($L241)&gt;0),"收支不能同时填",IF(AND($D241="收入",N($K241)&lt;=0),"收入金额须大于0",IF(AND($D241&lt;&gt;"收入",N($L241)&lt;=0),"支出金额须大于0",IF($O241="","借方科目缺失",IF($P241="","贷方科目缺失","√")))))))))))))</f>
        <v/>
      </c>
      <c r="N241" s="48" t="str">
        <f aca="false">IF($B241="","",IF($D241="收入",N($K241),N($L241)))</f>
        <v/>
      </c>
      <c r="O241" s="49" t="str">
        <f aca="false">IF($B241="","",IF($D241="收入",$T241,IF($D241="转账",$U241,$S241)))</f>
        <v/>
      </c>
      <c r="P241" s="49" t="str">
        <f aca="false">IF($B241="","",IF($D241="收入",$S241,$T241))</f>
        <v/>
      </c>
      <c r="Q241" s="50" t="str">
        <f aca="false">IF($E241="","",IF($D241="转账","—",IFERROR(INDEX(科目参数!$P$6:$P$85,MATCH($E241,科目参数!$M$6:$M$85,0)),"")))</f>
        <v/>
      </c>
      <c r="R241" s="48" t="str">
        <f aca="false">IF($B241="","",SUMIFS(期初数据!$B$6:$B$35,期初数据!$A$6:$A$35,$F241)+SUMIFS($N$5:$N241,$F$5:$F241,$F241,$D$5:$D241,"收入")-SUMIFS($N$5:$N241,$F$5:$F241,$F241,$D$5:$D241,"支出")-SUMIFS($N$5:$N241,$F$5:$F241,$F241,$D$5:$D241,"转账")+SUMIFS($N$5:$N241,$G$5:$G241,$F241,$D$5:$D241,"转账"))</f>
        <v/>
      </c>
      <c r="S241" s="49" t="str">
        <f aca="false">IF($E241="","",IFERROR(INDEX(科目参数!$N$6:$N$85,MATCH($E241,科目参数!$M$6:$M$85,0)),""))</f>
        <v/>
      </c>
      <c r="T241" s="49" t="str">
        <f aca="false">IF($F241="","",IFERROR(INDEX(基础资料!$C$6:$C$35,MATCH($F241,基础资料!$A$6:$A$35,0)),""))</f>
        <v/>
      </c>
      <c r="U241" s="49" t="str">
        <f aca="false">IF($G241="","",IFERROR(INDEX(基础资料!$C$6:$C$35,MATCH($G241,基础资料!$A$6:$A$35,0)),""))</f>
        <v/>
      </c>
      <c r="V241" s="49" t="str">
        <f aca="false">IF(AND($G241=客户对账单!$B$3,$E241="客户回款",$B241&gt;=客户对账单!$E$3,$B241&lt;=客户对账单!$H$3),COUNTIFS($G$5:$G241,客户对账单!$B$3,$E$5:$E241,"客户回款",$B$5:$B241,"&gt;="&amp;客户对账单!$E$3,$B$5:$B241,"&lt;="&amp;客户对账单!$H$3),"")</f>
        <v/>
      </c>
      <c r="W241" s="49" t="str">
        <f aca="false">IF(AND($G241=供应商对账单!$B$3,$E241="供应商付款",$B241&gt;=供应商对账单!$E$3,$B241&lt;=供应商对账单!$H$3),COUNTIFS($G$5:$G241,供应商对账单!$B$3,$E$5:$E241,"供应商付款",$B$5:$B241,"&gt;="&amp;供应商对账单!$E$3,$B$5:$B241,"&lt;="&amp;供应商对账单!$H$3),"")</f>
        <v/>
      </c>
    </row>
    <row r="242" customFormat="false" ht="15.75" hidden="false" customHeight="true" outlineLevel="0" collapsed="false">
      <c r="A242" s="42" t="str">
        <f aca="false">IF($B242="","","ZJ"&amp;TEXT($B242,"yyyymm")&amp;"-"&amp;TEXT(ROW()-4,"000"))</f>
        <v/>
      </c>
      <c r="B242" s="41"/>
      <c r="C242" s="42" t="str">
        <f aca="false">IF($B242="","",TEXT($B242,"yyyy-mm"))</f>
        <v/>
      </c>
      <c r="D242" s="42" t="str">
        <f aca="false">IF($E242="","",IFERROR(INDEX(科目参数!$L$6:$L$85,MATCH($E242,科目参数!$M$6:$M$85,0)),"⚠"))</f>
        <v/>
      </c>
      <c r="E242" s="33"/>
      <c r="F242" s="33"/>
      <c r="G242" s="36"/>
      <c r="H242" s="33"/>
      <c r="I242" s="33"/>
      <c r="J242" s="36"/>
      <c r="K242" s="40"/>
      <c r="L242" s="40"/>
      <c r="M242" s="47" t="str">
        <f aca="false">IF($B242="","",IF(NOT(ISNUMBER($B242)),"日期不是日期格式",IF(YEAR($B242)&lt;&gt;首页!$B$3,"不在会计年度",IF($E242="","未选收支科目",IF($D242="⚠","收支科目不存在",IF($F242="","未选账户",IF($T242="","账户未设资金科目",IF(AND($D242="转账",$U242=""),"转入账户无效",IF(AND(N($K242)&gt;0,N($L242)&gt;0),"收支不能同时填",IF(AND($D242="收入",N($K242)&lt;=0),"收入金额须大于0",IF(AND($D242&lt;&gt;"收入",N($L242)&lt;=0),"支出金额须大于0",IF($O242="","借方科目缺失",IF($P242="","贷方科目缺失","√")))))))))))))</f>
        <v/>
      </c>
      <c r="N242" s="48" t="str">
        <f aca="false">IF($B242="","",IF($D242="收入",N($K242),N($L242)))</f>
        <v/>
      </c>
      <c r="O242" s="49" t="str">
        <f aca="false">IF($B242="","",IF($D242="收入",$T242,IF($D242="转账",$U242,$S242)))</f>
        <v/>
      </c>
      <c r="P242" s="49" t="str">
        <f aca="false">IF($B242="","",IF($D242="收入",$S242,$T242))</f>
        <v/>
      </c>
      <c r="Q242" s="50" t="str">
        <f aca="false">IF($E242="","",IF($D242="转账","—",IFERROR(INDEX(科目参数!$P$6:$P$85,MATCH($E242,科目参数!$M$6:$M$85,0)),"")))</f>
        <v/>
      </c>
      <c r="R242" s="48" t="str">
        <f aca="false">IF($B242="","",SUMIFS(期初数据!$B$6:$B$35,期初数据!$A$6:$A$35,$F242)+SUMIFS($N$5:$N242,$F$5:$F242,$F242,$D$5:$D242,"收入")-SUMIFS($N$5:$N242,$F$5:$F242,$F242,$D$5:$D242,"支出")-SUMIFS($N$5:$N242,$F$5:$F242,$F242,$D$5:$D242,"转账")+SUMIFS($N$5:$N242,$G$5:$G242,$F242,$D$5:$D242,"转账"))</f>
        <v/>
      </c>
      <c r="S242" s="49" t="str">
        <f aca="false">IF($E242="","",IFERROR(INDEX(科目参数!$N$6:$N$85,MATCH($E242,科目参数!$M$6:$M$85,0)),""))</f>
        <v/>
      </c>
      <c r="T242" s="49" t="str">
        <f aca="false">IF($F242="","",IFERROR(INDEX(基础资料!$C$6:$C$35,MATCH($F242,基础资料!$A$6:$A$35,0)),""))</f>
        <v/>
      </c>
      <c r="U242" s="49" t="str">
        <f aca="false">IF($G242="","",IFERROR(INDEX(基础资料!$C$6:$C$35,MATCH($G242,基础资料!$A$6:$A$35,0)),""))</f>
        <v/>
      </c>
      <c r="V242" s="49" t="str">
        <f aca="false">IF(AND($G242=客户对账单!$B$3,$E242="客户回款",$B242&gt;=客户对账单!$E$3,$B242&lt;=客户对账单!$H$3),COUNTIFS($G$5:$G242,客户对账单!$B$3,$E$5:$E242,"客户回款",$B$5:$B242,"&gt;="&amp;客户对账单!$E$3,$B$5:$B242,"&lt;="&amp;客户对账单!$H$3),"")</f>
        <v/>
      </c>
      <c r="W242" s="49" t="str">
        <f aca="false">IF(AND($G242=供应商对账单!$B$3,$E242="供应商付款",$B242&gt;=供应商对账单!$E$3,$B242&lt;=供应商对账单!$H$3),COUNTIFS($G$5:$G242,供应商对账单!$B$3,$E$5:$E242,"供应商付款",$B$5:$B242,"&gt;="&amp;供应商对账单!$E$3,$B$5:$B242,"&lt;="&amp;供应商对账单!$H$3),"")</f>
        <v/>
      </c>
    </row>
    <row r="243" customFormat="false" ht="15.75" hidden="false" customHeight="true" outlineLevel="0" collapsed="false">
      <c r="A243" s="42" t="str">
        <f aca="false">IF($B243="","","ZJ"&amp;TEXT($B243,"yyyymm")&amp;"-"&amp;TEXT(ROW()-4,"000"))</f>
        <v/>
      </c>
      <c r="B243" s="41"/>
      <c r="C243" s="42" t="str">
        <f aca="false">IF($B243="","",TEXT($B243,"yyyy-mm"))</f>
        <v/>
      </c>
      <c r="D243" s="42" t="str">
        <f aca="false">IF($E243="","",IFERROR(INDEX(科目参数!$L$6:$L$85,MATCH($E243,科目参数!$M$6:$M$85,0)),"⚠"))</f>
        <v/>
      </c>
      <c r="E243" s="33"/>
      <c r="F243" s="33"/>
      <c r="G243" s="36"/>
      <c r="H243" s="33"/>
      <c r="I243" s="33"/>
      <c r="J243" s="36"/>
      <c r="K243" s="40"/>
      <c r="L243" s="40"/>
      <c r="M243" s="47" t="str">
        <f aca="false">IF($B243="","",IF(NOT(ISNUMBER($B243)),"日期不是日期格式",IF(YEAR($B243)&lt;&gt;首页!$B$3,"不在会计年度",IF($E243="","未选收支科目",IF($D243="⚠","收支科目不存在",IF($F243="","未选账户",IF($T243="","账户未设资金科目",IF(AND($D243="转账",$U243=""),"转入账户无效",IF(AND(N($K243)&gt;0,N($L243)&gt;0),"收支不能同时填",IF(AND($D243="收入",N($K243)&lt;=0),"收入金额须大于0",IF(AND($D243&lt;&gt;"收入",N($L243)&lt;=0),"支出金额须大于0",IF($O243="","借方科目缺失",IF($P243="","贷方科目缺失","√")))))))))))))</f>
        <v/>
      </c>
      <c r="N243" s="48" t="str">
        <f aca="false">IF($B243="","",IF($D243="收入",N($K243),N($L243)))</f>
        <v/>
      </c>
      <c r="O243" s="49" t="str">
        <f aca="false">IF($B243="","",IF($D243="收入",$T243,IF($D243="转账",$U243,$S243)))</f>
        <v/>
      </c>
      <c r="P243" s="49" t="str">
        <f aca="false">IF($B243="","",IF($D243="收入",$S243,$T243))</f>
        <v/>
      </c>
      <c r="Q243" s="50" t="str">
        <f aca="false">IF($E243="","",IF($D243="转账","—",IFERROR(INDEX(科目参数!$P$6:$P$85,MATCH($E243,科目参数!$M$6:$M$85,0)),"")))</f>
        <v/>
      </c>
      <c r="R243" s="48" t="str">
        <f aca="false">IF($B243="","",SUMIFS(期初数据!$B$6:$B$35,期初数据!$A$6:$A$35,$F243)+SUMIFS($N$5:$N243,$F$5:$F243,$F243,$D$5:$D243,"收入")-SUMIFS($N$5:$N243,$F$5:$F243,$F243,$D$5:$D243,"支出")-SUMIFS($N$5:$N243,$F$5:$F243,$F243,$D$5:$D243,"转账")+SUMIFS($N$5:$N243,$G$5:$G243,$F243,$D$5:$D243,"转账"))</f>
        <v/>
      </c>
      <c r="S243" s="49" t="str">
        <f aca="false">IF($E243="","",IFERROR(INDEX(科目参数!$N$6:$N$85,MATCH($E243,科目参数!$M$6:$M$85,0)),""))</f>
        <v/>
      </c>
      <c r="T243" s="49" t="str">
        <f aca="false">IF($F243="","",IFERROR(INDEX(基础资料!$C$6:$C$35,MATCH($F243,基础资料!$A$6:$A$35,0)),""))</f>
        <v/>
      </c>
      <c r="U243" s="49" t="str">
        <f aca="false">IF($G243="","",IFERROR(INDEX(基础资料!$C$6:$C$35,MATCH($G243,基础资料!$A$6:$A$35,0)),""))</f>
        <v/>
      </c>
      <c r="V243" s="49" t="str">
        <f aca="false">IF(AND($G243=客户对账单!$B$3,$E243="客户回款",$B243&gt;=客户对账单!$E$3,$B243&lt;=客户对账单!$H$3),COUNTIFS($G$5:$G243,客户对账单!$B$3,$E$5:$E243,"客户回款",$B$5:$B243,"&gt;="&amp;客户对账单!$E$3,$B$5:$B243,"&lt;="&amp;客户对账单!$H$3),"")</f>
        <v/>
      </c>
      <c r="W243" s="49" t="str">
        <f aca="false">IF(AND($G243=供应商对账单!$B$3,$E243="供应商付款",$B243&gt;=供应商对账单!$E$3,$B243&lt;=供应商对账单!$H$3),COUNTIFS($G$5:$G243,供应商对账单!$B$3,$E$5:$E243,"供应商付款",$B$5:$B243,"&gt;="&amp;供应商对账单!$E$3,$B$5:$B243,"&lt;="&amp;供应商对账单!$H$3),"")</f>
        <v/>
      </c>
    </row>
    <row r="244" customFormat="false" ht="15.75" hidden="false" customHeight="true" outlineLevel="0" collapsed="false">
      <c r="A244" s="42" t="str">
        <f aca="false">IF($B244="","","ZJ"&amp;TEXT($B244,"yyyymm")&amp;"-"&amp;TEXT(ROW()-4,"000"))</f>
        <v/>
      </c>
      <c r="B244" s="41"/>
      <c r="C244" s="42" t="str">
        <f aca="false">IF($B244="","",TEXT($B244,"yyyy-mm"))</f>
        <v/>
      </c>
      <c r="D244" s="42" t="str">
        <f aca="false">IF($E244="","",IFERROR(INDEX(科目参数!$L$6:$L$85,MATCH($E244,科目参数!$M$6:$M$85,0)),"⚠"))</f>
        <v/>
      </c>
      <c r="E244" s="33"/>
      <c r="F244" s="33"/>
      <c r="G244" s="36"/>
      <c r="H244" s="33"/>
      <c r="I244" s="33"/>
      <c r="J244" s="36"/>
      <c r="K244" s="40"/>
      <c r="L244" s="40"/>
      <c r="M244" s="47" t="str">
        <f aca="false">IF($B244="","",IF(NOT(ISNUMBER($B244)),"日期不是日期格式",IF(YEAR($B244)&lt;&gt;首页!$B$3,"不在会计年度",IF($E244="","未选收支科目",IF($D244="⚠","收支科目不存在",IF($F244="","未选账户",IF($T244="","账户未设资金科目",IF(AND($D244="转账",$U244=""),"转入账户无效",IF(AND(N($K244)&gt;0,N($L244)&gt;0),"收支不能同时填",IF(AND($D244="收入",N($K244)&lt;=0),"收入金额须大于0",IF(AND($D244&lt;&gt;"收入",N($L244)&lt;=0),"支出金额须大于0",IF($O244="","借方科目缺失",IF($P244="","贷方科目缺失","√")))))))))))))</f>
        <v/>
      </c>
      <c r="N244" s="48" t="str">
        <f aca="false">IF($B244="","",IF($D244="收入",N($K244),N($L244)))</f>
        <v/>
      </c>
      <c r="O244" s="49" t="str">
        <f aca="false">IF($B244="","",IF($D244="收入",$T244,IF($D244="转账",$U244,$S244)))</f>
        <v/>
      </c>
      <c r="P244" s="49" t="str">
        <f aca="false">IF($B244="","",IF($D244="收入",$S244,$T244))</f>
        <v/>
      </c>
      <c r="Q244" s="50" t="str">
        <f aca="false">IF($E244="","",IF($D244="转账","—",IFERROR(INDEX(科目参数!$P$6:$P$85,MATCH($E244,科目参数!$M$6:$M$85,0)),"")))</f>
        <v/>
      </c>
      <c r="R244" s="48" t="str">
        <f aca="false">IF($B244="","",SUMIFS(期初数据!$B$6:$B$35,期初数据!$A$6:$A$35,$F244)+SUMIFS($N$5:$N244,$F$5:$F244,$F244,$D$5:$D244,"收入")-SUMIFS($N$5:$N244,$F$5:$F244,$F244,$D$5:$D244,"支出")-SUMIFS($N$5:$N244,$F$5:$F244,$F244,$D$5:$D244,"转账")+SUMIFS($N$5:$N244,$G$5:$G244,$F244,$D$5:$D244,"转账"))</f>
        <v/>
      </c>
      <c r="S244" s="49" t="str">
        <f aca="false">IF($E244="","",IFERROR(INDEX(科目参数!$N$6:$N$85,MATCH($E244,科目参数!$M$6:$M$85,0)),""))</f>
        <v/>
      </c>
      <c r="T244" s="49" t="str">
        <f aca="false">IF($F244="","",IFERROR(INDEX(基础资料!$C$6:$C$35,MATCH($F244,基础资料!$A$6:$A$35,0)),""))</f>
        <v/>
      </c>
      <c r="U244" s="49" t="str">
        <f aca="false">IF($G244="","",IFERROR(INDEX(基础资料!$C$6:$C$35,MATCH($G244,基础资料!$A$6:$A$35,0)),""))</f>
        <v/>
      </c>
      <c r="V244" s="49" t="str">
        <f aca="false">IF(AND($G244=客户对账单!$B$3,$E244="客户回款",$B244&gt;=客户对账单!$E$3,$B244&lt;=客户对账单!$H$3),COUNTIFS($G$5:$G244,客户对账单!$B$3,$E$5:$E244,"客户回款",$B$5:$B244,"&gt;="&amp;客户对账单!$E$3,$B$5:$B244,"&lt;="&amp;客户对账单!$H$3),"")</f>
        <v/>
      </c>
      <c r="W244" s="49" t="str">
        <f aca="false">IF(AND($G244=供应商对账单!$B$3,$E244="供应商付款",$B244&gt;=供应商对账单!$E$3,$B244&lt;=供应商对账单!$H$3),COUNTIFS($G$5:$G244,供应商对账单!$B$3,$E$5:$E244,"供应商付款",$B$5:$B244,"&gt;="&amp;供应商对账单!$E$3,$B$5:$B244,"&lt;="&amp;供应商对账单!$H$3),"")</f>
        <v/>
      </c>
    </row>
    <row r="245" customFormat="false" ht="15.75" hidden="false" customHeight="true" outlineLevel="0" collapsed="false">
      <c r="A245" s="42" t="str">
        <f aca="false">IF($B245="","","ZJ"&amp;TEXT($B245,"yyyymm")&amp;"-"&amp;TEXT(ROW()-4,"000"))</f>
        <v/>
      </c>
      <c r="B245" s="41"/>
      <c r="C245" s="42" t="str">
        <f aca="false">IF($B245="","",TEXT($B245,"yyyy-mm"))</f>
        <v/>
      </c>
      <c r="D245" s="42" t="str">
        <f aca="false">IF($E245="","",IFERROR(INDEX(科目参数!$L$6:$L$85,MATCH($E245,科目参数!$M$6:$M$85,0)),"⚠"))</f>
        <v/>
      </c>
      <c r="E245" s="33"/>
      <c r="F245" s="33"/>
      <c r="G245" s="36"/>
      <c r="H245" s="33"/>
      <c r="I245" s="33"/>
      <c r="J245" s="36"/>
      <c r="K245" s="40"/>
      <c r="L245" s="40"/>
      <c r="M245" s="47" t="str">
        <f aca="false">IF($B245="","",IF(NOT(ISNUMBER($B245)),"日期不是日期格式",IF(YEAR($B245)&lt;&gt;首页!$B$3,"不在会计年度",IF($E245="","未选收支科目",IF($D245="⚠","收支科目不存在",IF($F245="","未选账户",IF($T245="","账户未设资金科目",IF(AND($D245="转账",$U245=""),"转入账户无效",IF(AND(N($K245)&gt;0,N($L245)&gt;0),"收支不能同时填",IF(AND($D245="收入",N($K245)&lt;=0),"收入金额须大于0",IF(AND($D245&lt;&gt;"收入",N($L245)&lt;=0),"支出金额须大于0",IF($O245="","借方科目缺失",IF($P245="","贷方科目缺失","√")))))))))))))</f>
        <v/>
      </c>
      <c r="N245" s="48" t="str">
        <f aca="false">IF($B245="","",IF($D245="收入",N($K245),N($L245)))</f>
        <v/>
      </c>
      <c r="O245" s="49" t="str">
        <f aca="false">IF($B245="","",IF($D245="收入",$T245,IF($D245="转账",$U245,$S245)))</f>
        <v/>
      </c>
      <c r="P245" s="49" t="str">
        <f aca="false">IF($B245="","",IF($D245="收入",$S245,$T245))</f>
        <v/>
      </c>
      <c r="Q245" s="50" t="str">
        <f aca="false">IF($E245="","",IF($D245="转账","—",IFERROR(INDEX(科目参数!$P$6:$P$85,MATCH($E245,科目参数!$M$6:$M$85,0)),"")))</f>
        <v/>
      </c>
      <c r="R245" s="48" t="str">
        <f aca="false">IF($B245="","",SUMIFS(期初数据!$B$6:$B$35,期初数据!$A$6:$A$35,$F245)+SUMIFS($N$5:$N245,$F$5:$F245,$F245,$D$5:$D245,"收入")-SUMIFS($N$5:$N245,$F$5:$F245,$F245,$D$5:$D245,"支出")-SUMIFS($N$5:$N245,$F$5:$F245,$F245,$D$5:$D245,"转账")+SUMIFS($N$5:$N245,$G$5:$G245,$F245,$D$5:$D245,"转账"))</f>
        <v/>
      </c>
      <c r="S245" s="49" t="str">
        <f aca="false">IF($E245="","",IFERROR(INDEX(科目参数!$N$6:$N$85,MATCH($E245,科目参数!$M$6:$M$85,0)),""))</f>
        <v/>
      </c>
      <c r="T245" s="49" t="str">
        <f aca="false">IF($F245="","",IFERROR(INDEX(基础资料!$C$6:$C$35,MATCH($F245,基础资料!$A$6:$A$35,0)),""))</f>
        <v/>
      </c>
      <c r="U245" s="49" t="str">
        <f aca="false">IF($G245="","",IFERROR(INDEX(基础资料!$C$6:$C$35,MATCH($G245,基础资料!$A$6:$A$35,0)),""))</f>
        <v/>
      </c>
      <c r="V245" s="49" t="str">
        <f aca="false">IF(AND($G245=客户对账单!$B$3,$E245="客户回款",$B245&gt;=客户对账单!$E$3,$B245&lt;=客户对账单!$H$3),COUNTIFS($G$5:$G245,客户对账单!$B$3,$E$5:$E245,"客户回款",$B$5:$B245,"&gt;="&amp;客户对账单!$E$3,$B$5:$B245,"&lt;="&amp;客户对账单!$H$3),"")</f>
        <v/>
      </c>
      <c r="W245" s="49" t="str">
        <f aca="false">IF(AND($G245=供应商对账单!$B$3,$E245="供应商付款",$B245&gt;=供应商对账单!$E$3,$B245&lt;=供应商对账单!$H$3),COUNTIFS($G$5:$G245,供应商对账单!$B$3,$E$5:$E245,"供应商付款",$B$5:$B245,"&gt;="&amp;供应商对账单!$E$3,$B$5:$B245,"&lt;="&amp;供应商对账单!$H$3),"")</f>
        <v/>
      </c>
    </row>
    <row r="246" customFormat="false" ht="15.75" hidden="false" customHeight="true" outlineLevel="0" collapsed="false">
      <c r="A246" s="42" t="str">
        <f aca="false">IF($B246="","","ZJ"&amp;TEXT($B246,"yyyymm")&amp;"-"&amp;TEXT(ROW()-4,"000"))</f>
        <v/>
      </c>
      <c r="B246" s="41"/>
      <c r="C246" s="42" t="str">
        <f aca="false">IF($B246="","",TEXT($B246,"yyyy-mm"))</f>
        <v/>
      </c>
      <c r="D246" s="42" t="str">
        <f aca="false">IF($E246="","",IFERROR(INDEX(科目参数!$L$6:$L$85,MATCH($E246,科目参数!$M$6:$M$85,0)),"⚠"))</f>
        <v/>
      </c>
      <c r="E246" s="33"/>
      <c r="F246" s="33"/>
      <c r="G246" s="36"/>
      <c r="H246" s="33"/>
      <c r="I246" s="33"/>
      <c r="J246" s="36"/>
      <c r="K246" s="40"/>
      <c r="L246" s="40"/>
      <c r="M246" s="47" t="str">
        <f aca="false">IF($B246="","",IF(NOT(ISNUMBER($B246)),"日期不是日期格式",IF(YEAR($B246)&lt;&gt;首页!$B$3,"不在会计年度",IF($E246="","未选收支科目",IF($D246="⚠","收支科目不存在",IF($F246="","未选账户",IF($T246="","账户未设资金科目",IF(AND($D246="转账",$U246=""),"转入账户无效",IF(AND(N($K246)&gt;0,N($L246)&gt;0),"收支不能同时填",IF(AND($D246="收入",N($K246)&lt;=0),"收入金额须大于0",IF(AND($D246&lt;&gt;"收入",N($L246)&lt;=0),"支出金额须大于0",IF($O246="","借方科目缺失",IF($P246="","贷方科目缺失","√")))))))))))))</f>
        <v/>
      </c>
      <c r="N246" s="48" t="str">
        <f aca="false">IF($B246="","",IF($D246="收入",N($K246),N($L246)))</f>
        <v/>
      </c>
      <c r="O246" s="49" t="str">
        <f aca="false">IF($B246="","",IF($D246="收入",$T246,IF($D246="转账",$U246,$S246)))</f>
        <v/>
      </c>
      <c r="P246" s="49" t="str">
        <f aca="false">IF($B246="","",IF($D246="收入",$S246,$T246))</f>
        <v/>
      </c>
      <c r="Q246" s="50" t="str">
        <f aca="false">IF($E246="","",IF($D246="转账","—",IFERROR(INDEX(科目参数!$P$6:$P$85,MATCH($E246,科目参数!$M$6:$M$85,0)),"")))</f>
        <v/>
      </c>
      <c r="R246" s="48" t="str">
        <f aca="false">IF($B246="","",SUMIFS(期初数据!$B$6:$B$35,期初数据!$A$6:$A$35,$F246)+SUMIFS($N$5:$N246,$F$5:$F246,$F246,$D$5:$D246,"收入")-SUMIFS($N$5:$N246,$F$5:$F246,$F246,$D$5:$D246,"支出")-SUMIFS($N$5:$N246,$F$5:$F246,$F246,$D$5:$D246,"转账")+SUMIFS($N$5:$N246,$G$5:$G246,$F246,$D$5:$D246,"转账"))</f>
        <v/>
      </c>
      <c r="S246" s="49" t="str">
        <f aca="false">IF($E246="","",IFERROR(INDEX(科目参数!$N$6:$N$85,MATCH($E246,科目参数!$M$6:$M$85,0)),""))</f>
        <v/>
      </c>
      <c r="T246" s="49" t="str">
        <f aca="false">IF($F246="","",IFERROR(INDEX(基础资料!$C$6:$C$35,MATCH($F246,基础资料!$A$6:$A$35,0)),""))</f>
        <v/>
      </c>
      <c r="U246" s="49" t="str">
        <f aca="false">IF($G246="","",IFERROR(INDEX(基础资料!$C$6:$C$35,MATCH($G246,基础资料!$A$6:$A$35,0)),""))</f>
        <v/>
      </c>
      <c r="V246" s="49" t="str">
        <f aca="false">IF(AND($G246=客户对账单!$B$3,$E246="客户回款",$B246&gt;=客户对账单!$E$3,$B246&lt;=客户对账单!$H$3),COUNTIFS($G$5:$G246,客户对账单!$B$3,$E$5:$E246,"客户回款",$B$5:$B246,"&gt;="&amp;客户对账单!$E$3,$B$5:$B246,"&lt;="&amp;客户对账单!$H$3),"")</f>
        <v/>
      </c>
      <c r="W246" s="49" t="str">
        <f aca="false">IF(AND($G246=供应商对账单!$B$3,$E246="供应商付款",$B246&gt;=供应商对账单!$E$3,$B246&lt;=供应商对账单!$H$3),COUNTIFS($G$5:$G246,供应商对账单!$B$3,$E$5:$E246,"供应商付款",$B$5:$B246,"&gt;="&amp;供应商对账单!$E$3,$B$5:$B246,"&lt;="&amp;供应商对账单!$H$3),"")</f>
        <v/>
      </c>
    </row>
    <row r="247" customFormat="false" ht="15.75" hidden="false" customHeight="true" outlineLevel="0" collapsed="false">
      <c r="A247" s="42" t="str">
        <f aca="false">IF($B247="","","ZJ"&amp;TEXT($B247,"yyyymm")&amp;"-"&amp;TEXT(ROW()-4,"000"))</f>
        <v/>
      </c>
      <c r="B247" s="41"/>
      <c r="C247" s="42" t="str">
        <f aca="false">IF($B247="","",TEXT($B247,"yyyy-mm"))</f>
        <v/>
      </c>
      <c r="D247" s="42" t="str">
        <f aca="false">IF($E247="","",IFERROR(INDEX(科目参数!$L$6:$L$85,MATCH($E247,科目参数!$M$6:$M$85,0)),"⚠"))</f>
        <v/>
      </c>
      <c r="E247" s="33"/>
      <c r="F247" s="33"/>
      <c r="G247" s="36"/>
      <c r="H247" s="33"/>
      <c r="I247" s="33"/>
      <c r="J247" s="36"/>
      <c r="K247" s="40"/>
      <c r="L247" s="40"/>
      <c r="M247" s="47" t="str">
        <f aca="false">IF($B247="","",IF(NOT(ISNUMBER($B247)),"日期不是日期格式",IF(YEAR($B247)&lt;&gt;首页!$B$3,"不在会计年度",IF($E247="","未选收支科目",IF($D247="⚠","收支科目不存在",IF($F247="","未选账户",IF($T247="","账户未设资金科目",IF(AND($D247="转账",$U247=""),"转入账户无效",IF(AND(N($K247)&gt;0,N($L247)&gt;0),"收支不能同时填",IF(AND($D247="收入",N($K247)&lt;=0),"收入金额须大于0",IF(AND($D247&lt;&gt;"收入",N($L247)&lt;=0),"支出金额须大于0",IF($O247="","借方科目缺失",IF($P247="","贷方科目缺失","√")))))))))))))</f>
        <v/>
      </c>
      <c r="N247" s="48" t="str">
        <f aca="false">IF($B247="","",IF($D247="收入",N($K247),N($L247)))</f>
        <v/>
      </c>
      <c r="O247" s="49" t="str">
        <f aca="false">IF($B247="","",IF($D247="收入",$T247,IF($D247="转账",$U247,$S247)))</f>
        <v/>
      </c>
      <c r="P247" s="49" t="str">
        <f aca="false">IF($B247="","",IF($D247="收入",$S247,$T247))</f>
        <v/>
      </c>
      <c r="Q247" s="50" t="str">
        <f aca="false">IF($E247="","",IF($D247="转账","—",IFERROR(INDEX(科目参数!$P$6:$P$85,MATCH($E247,科目参数!$M$6:$M$85,0)),"")))</f>
        <v/>
      </c>
      <c r="R247" s="48" t="str">
        <f aca="false">IF($B247="","",SUMIFS(期初数据!$B$6:$B$35,期初数据!$A$6:$A$35,$F247)+SUMIFS($N$5:$N247,$F$5:$F247,$F247,$D$5:$D247,"收入")-SUMIFS($N$5:$N247,$F$5:$F247,$F247,$D$5:$D247,"支出")-SUMIFS($N$5:$N247,$F$5:$F247,$F247,$D$5:$D247,"转账")+SUMIFS($N$5:$N247,$G$5:$G247,$F247,$D$5:$D247,"转账"))</f>
        <v/>
      </c>
      <c r="S247" s="49" t="str">
        <f aca="false">IF($E247="","",IFERROR(INDEX(科目参数!$N$6:$N$85,MATCH($E247,科目参数!$M$6:$M$85,0)),""))</f>
        <v/>
      </c>
      <c r="T247" s="49" t="str">
        <f aca="false">IF($F247="","",IFERROR(INDEX(基础资料!$C$6:$C$35,MATCH($F247,基础资料!$A$6:$A$35,0)),""))</f>
        <v/>
      </c>
      <c r="U247" s="49" t="str">
        <f aca="false">IF($G247="","",IFERROR(INDEX(基础资料!$C$6:$C$35,MATCH($G247,基础资料!$A$6:$A$35,0)),""))</f>
        <v/>
      </c>
      <c r="V247" s="49" t="str">
        <f aca="false">IF(AND($G247=客户对账单!$B$3,$E247="客户回款",$B247&gt;=客户对账单!$E$3,$B247&lt;=客户对账单!$H$3),COUNTIFS($G$5:$G247,客户对账单!$B$3,$E$5:$E247,"客户回款",$B$5:$B247,"&gt;="&amp;客户对账单!$E$3,$B$5:$B247,"&lt;="&amp;客户对账单!$H$3),"")</f>
        <v/>
      </c>
      <c r="W247" s="49" t="str">
        <f aca="false">IF(AND($G247=供应商对账单!$B$3,$E247="供应商付款",$B247&gt;=供应商对账单!$E$3,$B247&lt;=供应商对账单!$H$3),COUNTIFS($G$5:$G247,供应商对账单!$B$3,$E$5:$E247,"供应商付款",$B$5:$B247,"&gt;="&amp;供应商对账单!$E$3,$B$5:$B247,"&lt;="&amp;供应商对账单!$H$3),"")</f>
        <v/>
      </c>
    </row>
    <row r="248" customFormat="false" ht="15.75" hidden="false" customHeight="true" outlineLevel="0" collapsed="false">
      <c r="A248" s="42" t="str">
        <f aca="false">IF($B248="","","ZJ"&amp;TEXT($B248,"yyyymm")&amp;"-"&amp;TEXT(ROW()-4,"000"))</f>
        <v/>
      </c>
      <c r="B248" s="41"/>
      <c r="C248" s="42" t="str">
        <f aca="false">IF($B248="","",TEXT($B248,"yyyy-mm"))</f>
        <v/>
      </c>
      <c r="D248" s="42" t="str">
        <f aca="false">IF($E248="","",IFERROR(INDEX(科目参数!$L$6:$L$85,MATCH($E248,科目参数!$M$6:$M$85,0)),"⚠"))</f>
        <v/>
      </c>
      <c r="E248" s="33"/>
      <c r="F248" s="33"/>
      <c r="G248" s="36"/>
      <c r="H248" s="33"/>
      <c r="I248" s="33"/>
      <c r="J248" s="36"/>
      <c r="K248" s="40"/>
      <c r="L248" s="40"/>
      <c r="M248" s="47" t="str">
        <f aca="false">IF($B248="","",IF(NOT(ISNUMBER($B248)),"日期不是日期格式",IF(YEAR($B248)&lt;&gt;首页!$B$3,"不在会计年度",IF($E248="","未选收支科目",IF($D248="⚠","收支科目不存在",IF($F248="","未选账户",IF($T248="","账户未设资金科目",IF(AND($D248="转账",$U248=""),"转入账户无效",IF(AND(N($K248)&gt;0,N($L248)&gt;0),"收支不能同时填",IF(AND($D248="收入",N($K248)&lt;=0),"收入金额须大于0",IF(AND($D248&lt;&gt;"收入",N($L248)&lt;=0),"支出金额须大于0",IF($O248="","借方科目缺失",IF($P248="","贷方科目缺失","√")))))))))))))</f>
        <v/>
      </c>
      <c r="N248" s="48" t="str">
        <f aca="false">IF($B248="","",IF($D248="收入",N($K248),N($L248)))</f>
        <v/>
      </c>
      <c r="O248" s="49" t="str">
        <f aca="false">IF($B248="","",IF($D248="收入",$T248,IF($D248="转账",$U248,$S248)))</f>
        <v/>
      </c>
      <c r="P248" s="49" t="str">
        <f aca="false">IF($B248="","",IF($D248="收入",$S248,$T248))</f>
        <v/>
      </c>
      <c r="Q248" s="50" t="str">
        <f aca="false">IF($E248="","",IF($D248="转账","—",IFERROR(INDEX(科目参数!$P$6:$P$85,MATCH($E248,科目参数!$M$6:$M$85,0)),"")))</f>
        <v/>
      </c>
      <c r="R248" s="48" t="str">
        <f aca="false">IF($B248="","",SUMIFS(期初数据!$B$6:$B$35,期初数据!$A$6:$A$35,$F248)+SUMIFS($N$5:$N248,$F$5:$F248,$F248,$D$5:$D248,"收入")-SUMIFS($N$5:$N248,$F$5:$F248,$F248,$D$5:$D248,"支出")-SUMIFS($N$5:$N248,$F$5:$F248,$F248,$D$5:$D248,"转账")+SUMIFS($N$5:$N248,$G$5:$G248,$F248,$D$5:$D248,"转账"))</f>
        <v/>
      </c>
      <c r="S248" s="49" t="str">
        <f aca="false">IF($E248="","",IFERROR(INDEX(科目参数!$N$6:$N$85,MATCH($E248,科目参数!$M$6:$M$85,0)),""))</f>
        <v/>
      </c>
      <c r="T248" s="49" t="str">
        <f aca="false">IF($F248="","",IFERROR(INDEX(基础资料!$C$6:$C$35,MATCH($F248,基础资料!$A$6:$A$35,0)),""))</f>
        <v/>
      </c>
      <c r="U248" s="49" t="str">
        <f aca="false">IF($G248="","",IFERROR(INDEX(基础资料!$C$6:$C$35,MATCH($G248,基础资料!$A$6:$A$35,0)),""))</f>
        <v/>
      </c>
      <c r="V248" s="49" t="str">
        <f aca="false">IF(AND($G248=客户对账单!$B$3,$E248="客户回款",$B248&gt;=客户对账单!$E$3,$B248&lt;=客户对账单!$H$3),COUNTIFS($G$5:$G248,客户对账单!$B$3,$E$5:$E248,"客户回款",$B$5:$B248,"&gt;="&amp;客户对账单!$E$3,$B$5:$B248,"&lt;="&amp;客户对账单!$H$3),"")</f>
        <v/>
      </c>
      <c r="W248" s="49" t="str">
        <f aca="false">IF(AND($G248=供应商对账单!$B$3,$E248="供应商付款",$B248&gt;=供应商对账单!$E$3,$B248&lt;=供应商对账单!$H$3),COUNTIFS($G$5:$G248,供应商对账单!$B$3,$E$5:$E248,"供应商付款",$B$5:$B248,"&gt;="&amp;供应商对账单!$E$3,$B$5:$B248,"&lt;="&amp;供应商对账单!$H$3),"")</f>
        <v/>
      </c>
    </row>
    <row r="249" customFormat="false" ht="15.75" hidden="false" customHeight="true" outlineLevel="0" collapsed="false">
      <c r="A249" s="42" t="str">
        <f aca="false">IF($B249="","","ZJ"&amp;TEXT($B249,"yyyymm")&amp;"-"&amp;TEXT(ROW()-4,"000"))</f>
        <v/>
      </c>
      <c r="B249" s="41"/>
      <c r="C249" s="42" t="str">
        <f aca="false">IF($B249="","",TEXT($B249,"yyyy-mm"))</f>
        <v/>
      </c>
      <c r="D249" s="42" t="str">
        <f aca="false">IF($E249="","",IFERROR(INDEX(科目参数!$L$6:$L$85,MATCH($E249,科目参数!$M$6:$M$85,0)),"⚠"))</f>
        <v/>
      </c>
      <c r="E249" s="33"/>
      <c r="F249" s="33"/>
      <c r="G249" s="36"/>
      <c r="H249" s="33"/>
      <c r="I249" s="33"/>
      <c r="J249" s="36"/>
      <c r="K249" s="40"/>
      <c r="L249" s="40"/>
      <c r="M249" s="47" t="str">
        <f aca="false">IF($B249="","",IF(NOT(ISNUMBER($B249)),"日期不是日期格式",IF(YEAR($B249)&lt;&gt;首页!$B$3,"不在会计年度",IF($E249="","未选收支科目",IF($D249="⚠","收支科目不存在",IF($F249="","未选账户",IF($T249="","账户未设资金科目",IF(AND($D249="转账",$U249=""),"转入账户无效",IF(AND(N($K249)&gt;0,N($L249)&gt;0),"收支不能同时填",IF(AND($D249="收入",N($K249)&lt;=0),"收入金额须大于0",IF(AND($D249&lt;&gt;"收入",N($L249)&lt;=0),"支出金额须大于0",IF($O249="","借方科目缺失",IF($P249="","贷方科目缺失","√")))))))))))))</f>
        <v/>
      </c>
      <c r="N249" s="48" t="str">
        <f aca="false">IF($B249="","",IF($D249="收入",N($K249),N($L249)))</f>
        <v/>
      </c>
      <c r="O249" s="49" t="str">
        <f aca="false">IF($B249="","",IF($D249="收入",$T249,IF($D249="转账",$U249,$S249)))</f>
        <v/>
      </c>
      <c r="P249" s="49" t="str">
        <f aca="false">IF($B249="","",IF($D249="收入",$S249,$T249))</f>
        <v/>
      </c>
      <c r="Q249" s="50" t="str">
        <f aca="false">IF($E249="","",IF($D249="转账","—",IFERROR(INDEX(科目参数!$P$6:$P$85,MATCH($E249,科目参数!$M$6:$M$85,0)),"")))</f>
        <v/>
      </c>
      <c r="R249" s="48" t="str">
        <f aca="false">IF($B249="","",SUMIFS(期初数据!$B$6:$B$35,期初数据!$A$6:$A$35,$F249)+SUMIFS($N$5:$N249,$F$5:$F249,$F249,$D$5:$D249,"收入")-SUMIFS($N$5:$N249,$F$5:$F249,$F249,$D$5:$D249,"支出")-SUMIFS($N$5:$N249,$F$5:$F249,$F249,$D$5:$D249,"转账")+SUMIFS($N$5:$N249,$G$5:$G249,$F249,$D$5:$D249,"转账"))</f>
        <v/>
      </c>
      <c r="S249" s="49" t="str">
        <f aca="false">IF($E249="","",IFERROR(INDEX(科目参数!$N$6:$N$85,MATCH($E249,科目参数!$M$6:$M$85,0)),""))</f>
        <v/>
      </c>
      <c r="T249" s="49" t="str">
        <f aca="false">IF($F249="","",IFERROR(INDEX(基础资料!$C$6:$C$35,MATCH($F249,基础资料!$A$6:$A$35,0)),""))</f>
        <v/>
      </c>
      <c r="U249" s="49" t="str">
        <f aca="false">IF($G249="","",IFERROR(INDEX(基础资料!$C$6:$C$35,MATCH($G249,基础资料!$A$6:$A$35,0)),""))</f>
        <v/>
      </c>
      <c r="V249" s="49" t="str">
        <f aca="false">IF(AND($G249=客户对账单!$B$3,$E249="客户回款",$B249&gt;=客户对账单!$E$3,$B249&lt;=客户对账单!$H$3),COUNTIFS($G$5:$G249,客户对账单!$B$3,$E$5:$E249,"客户回款",$B$5:$B249,"&gt;="&amp;客户对账单!$E$3,$B$5:$B249,"&lt;="&amp;客户对账单!$H$3),"")</f>
        <v/>
      </c>
      <c r="W249" s="49" t="str">
        <f aca="false">IF(AND($G249=供应商对账单!$B$3,$E249="供应商付款",$B249&gt;=供应商对账单!$E$3,$B249&lt;=供应商对账单!$H$3),COUNTIFS($G$5:$G249,供应商对账单!$B$3,$E$5:$E249,"供应商付款",$B$5:$B249,"&gt;="&amp;供应商对账单!$E$3,$B$5:$B249,"&lt;="&amp;供应商对账单!$H$3),"")</f>
        <v/>
      </c>
    </row>
    <row r="250" customFormat="false" ht="15.75" hidden="false" customHeight="true" outlineLevel="0" collapsed="false">
      <c r="A250" s="42" t="str">
        <f aca="false">IF($B250="","","ZJ"&amp;TEXT($B250,"yyyymm")&amp;"-"&amp;TEXT(ROW()-4,"000"))</f>
        <v/>
      </c>
      <c r="B250" s="41"/>
      <c r="C250" s="42" t="str">
        <f aca="false">IF($B250="","",TEXT($B250,"yyyy-mm"))</f>
        <v/>
      </c>
      <c r="D250" s="42" t="str">
        <f aca="false">IF($E250="","",IFERROR(INDEX(科目参数!$L$6:$L$85,MATCH($E250,科目参数!$M$6:$M$85,0)),"⚠"))</f>
        <v/>
      </c>
      <c r="E250" s="33"/>
      <c r="F250" s="33"/>
      <c r="G250" s="36"/>
      <c r="H250" s="33"/>
      <c r="I250" s="33"/>
      <c r="J250" s="36"/>
      <c r="K250" s="40"/>
      <c r="L250" s="40"/>
      <c r="M250" s="47" t="str">
        <f aca="false">IF($B250="","",IF(NOT(ISNUMBER($B250)),"日期不是日期格式",IF(YEAR($B250)&lt;&gt;首页!$B$3,"不在会计年度",IF($E250="","未选收支科目",IF($D250="⚠","收支科目不存在",IF($F250="","未选账户",IF($T250="","账户未设资金科目",IF(AND($D250="转账",$U250=""),"转入账户无效",IF(AND(N($K250)&gt;0,N($L250)&gt;0),"收支不能同时填",IF(AND($D250="收入",N($K250)&lt;=0),"收入金额须大于0",IF(AND($D250&lt;&gt;"收入",N($L250)&lt;=0),"支出金额须大于0",IF($O250="","借方科目缺失",IF($P250="","贷方科目缺失","√")))))))))))))</f>
        <v/>
      </c>
      <c r="N250" s="48" t="str">
        <f aca="false">IF($B250="","",IF($D250="收入",N($K250),N($L250)))</f>
        <v/>
      </c>
      <c r="O250" s="49" t="str">
        <f aca="false">IF($B250="","",IF($D250="收入",$T250,IF($D250="转账",$U250,$S250)))</f>
        <v/>
      </c>
      <c r="P250" s="49" t="str">
        <f aca="false">IF($B250="","",IF($D250="收入",$S250,$T250))</f>
        <v/>
      </c>
      <c r="Q250" s="50" t="str">
        <f aca="false">IF($E250="","",IF($D250="转账","—",IFERROR(INDEX(科目参数!$P$6:$P$85,MATCH($E250,科目参数!$M$6:$M$85,0)),"")))</f>
        <v/>
      </c>
      <c r="R250" s="48" t="str">
        <f aca="false">IF($B250="","",SUMIFS(期初数据!$B$6:$B$35,期初数据!$A$6:$A$35,$F250)+SUMIFS($N$5:$N250,$F$5:$F250,$F250,$D$5:$D250,"收入")-SUMIFS($N$5:$N250,$F$5:$F250,$F250,$D$5:$D250,"支出")-SUMIFS($N$5:$N250,$F$5:$F250,$F250,$D$5:$D250,"转账")+SUMIFS($N$5:$N250,$G$5:$G250,$F250,$D$5:$D250,"转账"))</f>
        <v/>
      </c>
      <c r="S250" s="49" t="str">
        <f aca="false">IF($E250="","",IFERROR(INDEX(科目参数!$N$6:$N$85,MATCH($E250,科目参数!$M$6:$M$85,0)),""))</f>
        <v/>
      </c>
      <c r="T250" s="49" t="str">
        <f aca="false">IF($F250="","",IFERROR(INDEX(基础资料!$C$6:$C$35,MATCH($F250,基础资料!$A$6:$A$35,0)),""))</f>
        <v/>
      </c>
      <c r="U250" s="49" t="str">
        <f aca="false">IF($G250="","",IFERROR(INDEX(基础资料!$C$6:$C$35,MATCH($G250,基础资料!$A$6:$A$35,0)),""))</f>
        <v/>
      </c>
      <c r="V250" s="49" t="str">
        <f aca="false">IF(AND($G250=客户对账单!$B$3,$E250="客户回款",$B250&gt;=客户对账单!$E$3,$B250&lt;=客户对账单!$H$3),COUNTIFS($G$5:$G250,客户对账单!$B$3,$E$5:$E250,"客户回款",$B$5:$B250,"&gt;="&amp;客户对账单!$E$3,$B$5:$B250,"&lt;="&amp;客户对账单!$H$3),"")</f>
        <v/>
      </c>
      <c r="W250" s="49" t="str">
        <f aca="false">IF(AND($G250=供应商对账单!$B$3,$E250="供应商付款",$B250&gt;=供应商对账单!$E$3,$B250&lt;=供应商对账单!$H$3),COUNTIFS($G$5:$G250,供应商对账单!$B$3,$E$5:$E250,"供应商付款",$B$5:$B250,"&gt;="&amp;供应商对账单!$E$3,$B$5:$B250,"&lt;="&amp;供应商对账单!$H$3),"")</f>
        <v/>
      </c>
    </row>
    <row r="251" customFormat="false" ht="15.75" hidden="false" customHeight="true" outlineLevel="0" collapsed="false">
      <c r="A251" s="42" t="str">
        <f aca="false">IF($B251="","","ZJ"&amp;TEXT($B251,"yyyymm")&amp;"-"&amp;TEXT(ROW()-4,"000"))</f>
        <v/>
      </c>
      <c r="B251" s="41"/>
      <c r="C251" s="42" t="str">
        <f aca="false">IF($B251="","",TEXT($B251,"yyyy-mm"))</f>
        <v/>
      </c>
      <c r="D251" s="42" t="str">
        <f aca="false">IF($E251="","",IFERROR(INDEX(科目参数!$L$6:$L$85,MATCH($E251,科目参数!$M$6:$M$85,0)),"⚠"))</f>
        <v/>
      </c>
      <c r="E251" s="33"/>
      <c r="F251" s="33"/>
      <c r="G251" s="36"/>
      <c r="H251" s="33"/>
      <c r="I251" s="33"/>
      <c r="J251" s="36"/>
      <c r="K251" s="40"/>
      <c r="L251" s="40"/>
      <c r="M251" s="47" t="str">
        <f aca="false">IF($B251="","",IF(NOT(ISNUMBER($B251)),"日期不是日期格式",IF(YEAR($B251)&lt;&gt;首页!$B$3,"不在会计年度",IF($E251="","未选收支科目",IF($D251="⚠","收支科目不存在",IF($F251="","未选账户",IF($T251="","账户未设资金科目",IF(AND($D251="转账",$U251=""),"转入账户无效",IF(AND(N($K251)&gt;0,N($L251)&gt;0),"收支不能同时填",IF(AND($D251="收入",N($K251)&lt;=0),"收入金额须大于0",IF(AND($D251&lt;&gt;"收入",N($L251)&lt;=0),"支出金额须大于0",IF($O251="","借方科目缺失",IF($P251="","贷方科目缺失","√")))))))))))))</f>
        <v/>
      </c>
      <c r="N251" s="48" t="str">
        <f aca="false">IF($B251="","",IF($D251="收入",N($K251),N($L251)))</f>
        <v/>
      </c>
      <c r="O251" s="49" t="str">
        <f aca="false">IF($B251="","",IF($D251="收入",$T251,IF($D251="转账",$U251,$S251)))</f>
        <v/>
      </c>
      <c r="P251" s="49" t="str">
        <f aca="false">IF($B251="","",IF($D251="收入",$S251,$T251))</f>
        <v/>
      </c>
      <c r="Q251" s="50" t="str">
        <f aca="false">IF($E251="","",IF($D251="转账","—",IFERROR(INDEX(科目参数!$P$6:$P$85,MATCH($E251,科目参数!$M$6:$M$85,0)),"")))</f>
        <v/>
      </c>
      <c r="R251" s="48" t="str">
        <f aca="false">IF($B251="","",SUMIFS(期初数据!$B$6:$B$35,期初数据!$A$6:$A$35,$F251)+SUMIFS($N$5:$N251,$F$5:$F251,$F251,$D$5:$D251,"收入")-SUMIFS($N$5:$N251,$F$5:$F251,$F251,$D$5:$D251,"支出")-SUMIFS($N$5:$N251,$F$5:$F251,$F251,$D$5:$D251,"转账")+SUMIFS($N$5:$N251,$G$5:$G251,$F251,$D$5:$D251,"转账"))</f>
        <v/>
      </c>
      <c r="S251" s="49" t="str">
        <f aca="false">IF($E251="","",IFERROR(INDEX(科目参数!$N$6:$N$85,MATCH($E251,科目参数!$M$6:$M$85,0)),""))</f>
        <v/>
      </c>
      <c r="T251" s="49" t="str">
        <f aca="false">IF($F251="","",IFERROR(INDEX(基础资料!$C$6:$C$35,MATCH($F251,基础资料!$A$6:$A$35,0)),""))</f>
        <v/>
      </c>
      <c r="U251" s="49" t="str">
        <f aca="false">IF($G251="","",IFERROR(INDEX(基础资料!$C$6:$C$35,MATCH($G251,基础资料!$A$6:$A$35,0)),""))</f>
        <v/>
      </c>
      <c r="V251" s="49" t="str">
        <f aca="false">IF(AND($G251=客户对账单!$B$3,$E251="客户回款",$B251&gt;=客户对账单!$E$3,$B251&lt;=客户对账单!$H$3),COUNTIFS($G$5:$G251,客户对账单!$B$3,$E$5:$E251,"客户回款",$B$5:$B251,"&gt;="&amp;客户对账单!$E$3,$B$5:$B251,"&lt;="&amp;客户对账单!$H$3),"")</f>
        <v/>
      </c>
      <c r="W251" s="49" t="str">
        <f aca="false">IF(AND($G251=供应商对账单!$B$3,$E251="供应商付款",$B251&gt;=供应商对账单!$E$3,$B251&lt;=供应商对账单!$H$3),COUNTIFS($G$5:$G251,供应商对账单!$B$3,$E$5:$E251,"供应商付款",$B$5:$B251,"&gt;="&amp;供应商对账单!$E$3,$B$5:$B251,"&lt;="&amp;供应商对账单!$H$3),"")</f>
        <v/>
      </c>
    </row>
    <row r="252" customFormat="false" ht="15.75" hidden="false" customHeight="true" outlineLevel="0" collapsed="false">
      <c r="A252" s="42" t="str">
        <f aca="false">IF($B252="","","ZJ"&amp;TEXT($B252,"yyyymm")&amp;"-"&amp;TEXT(ROW()-4,"000"))</f>
        <v/>
      </c>
      <c r="B252" s="41"/>
      <c r="C252" s="42" t="str">
        <f aca="false">IF($B252="","",TEXT($B252,"yyyy-mm"))</f>
        <v/>
      </c>
      <c r="D252" s="42" t="str">
        <f aca="false">IF($E252="","",IFERROR(INDEX(科目参数!$L$6:$L$85,MATCH($E252,科目参数!$M$6:$M$85,0)),"⚠"))</f>
        <v/>
      </c>
      <c r="E252" s="33"/>
      <c r="F252" s="33"/>
      <c r="G252" s="36"/>
      <c r="H252" s="33"/>
      <c r="I252" s="33"/>
      <c r="J252" s="36"/>
      <c r="K252" s="40"/>
      <c r="L252" s="40"/>
      <c r="M252" s="47" t="str">
        <f aca="false">IF($B252="","",IF(NOT(ISNUMBER($B252)),"日期不是日期格式",IF(YEAR($B252)&lt;&gt;首页!$B$3,"不在会计年度",IF($E252="","未选收支科目",IF($D252="⚠","收支科目不存在",IF($F252="","未选账户",IF($T252="","账户未设资金科目",IF(AND($D252="转账",$U252=""),"转入账户无效",IF(AND(N($K252)&gt;0,N($L252)&gt;0),"收支不能同时填",IF(AND($D252="收入",N($K252)&lt;=0),"收入金额须大于0",IF(AND($D252&lt;&gt;"收入",N($L252)&lt;=0),"支出金额须大于0",IF($O252="","借方科目缺失",IF($P252="","贷方科目缺失","√")))))))))))))</f>
        <v/>
      </c>
      <c r="N252" s="48" t="str">
        <f aca="false">IF($B252="","",IF($D252="收入",N($K252),N($L252)))</f>
        <v/>
      </c>
      <c r="O252" s="49" t="str">
        <f aca="false">IF($B252="","",IF($D252="收入",$T252,IF($D252="转账",$U252,$S252)))</f>
        <v/>
      </c>
      <c r="P252" s="49" t="str">
        <f aca="false">IF($B252="","",IF($D252="收入",$S252,$T252))</f>
        <v/>
      </c>
      <c r="Q252" s="50" t="str">
        <f aca="false">IF($E252="","",IF($D252="转账","—",IFERROR(INDEX(科目参数!$P$6:$P$85,MATCH($E252,科目参数!$M$6:$M$85,0)),"")))</f>
        <v/>
      </c>
      <c r="R252" s="48" t="str">
        <f aca="false">IF($B252="","",SUMIFS(期初数据!$B$6:$B$35,期初数据!$A$6:$A$35,$F252)+SUMIFS($N$5:$N252,$F$5:$F252,$F252,$D$5:$D252,"收入")-SUMIFS($N$5:$N252,$F$5:$F252,$F252,$D$5:$D252,"支出")-SUMIFS($N$5:$N252,$F$5:$F252,$F252,$D$5:$D252,"转账")+SUMIFS($N$5:$N252,$G$5:$G252,$F252,$D$5:$D252,"转账"))</f>
        <v/>
      </c>
      <c r="S252" s="49" t="str">
        <f aca="false">IF($E252="","",IFERROR(INDEX(科目参数!$N$6:$N$85,MATCH($E252,科目参数!$M$6:$M$85,0)),""))</f>
        <v/>
      </c>
      <c r="T252" s="49" t="str">
        <f aca="false">IF($F252="","",IFERROR(INDEX(基础资料!$C$6:$C$35,MATCH($F252,基础资料!$A$6:$A$35,0)),""))</f>
        <v/>
      </c>
      <c r="U252" s="49" t="str">
        <f aca="false">IF($G252="","",IFERROR(INDEX(基础资料!$C$6:$C$35,MATCH($G252,基础资料!$A$6:$A$35,0)),""))</f>
        <v/>
      </c>
      <c r="V252" s="49" t="str">
        <f aca="false">IF(AND($G252=客户对账单!$B$3,$E252="客户回款",$B252&gt;=客户对账单!$E$3,$B252&lt;=客户对账单!$H$3),COUNTIFS($G$5:$G252,客户对账单!$B$3,$E$5:$E252,"客户回款",$B$5:$B252,"&gt;="&amp;客户对账单!$E$3,$B$5:$B252,"&lt;="&amp;客户对账单!$H$3),"")</f>
        <v/>
      </c>
      <c r="W252" s="49" t="str">
        <f aca="false">IF(AND($G252=供应商对账单!$B$3,$E252="供应商付款",$B252&gt;=供应商对账单!$E$3,$B252&lt;=供应商对账单!$H$3),COUNTIFS($G$5:$G252,供应商对账单!$B$3,$E$5:$E252,"供应商付款",$B$5:$B252,"&gt;="&amp;供应商对账单!$E$3,$B$5:$B252,"&lt;="&amp;供应商对账单!$H$3),"")</f>
        <v/>
      </c>
    </row>
    <row r="253" customFormat="false" ht="15.75" hidden="false" customHeight="true" outlineLevel="0" collapsed="false">
      <c r="A253" s="42" t="str">
        <f aca="false">IF($B253="","","ZJ"&amp;TEXT($B253,"yyyymm")&amp;"-"&amp;TEXT(ROW()-4,"000"))</f>
        <v/>
      </c>
      <c r="B253" s="41"/>
      <c r="C253" s="42" t="str">
        <f aca="false">IF($B253="","",TEXT($B253,"yyyy-mm"))</f>
        <v/>
      </c>
      <c r="D253" s="42" t="str">
        <f aca="false">IF($E253="","",IFERROR(INDEX(科目参数!$L$6:$L$85,MATCH($E253,科目参数!$M$6:$M$85,0)),"⚠"))</f>
        <v/>
      </c>
      <c r="E253" s="33"/>
      <c r="F253" s="33"/>
      <c r="G253" s="36"/>
      <c r="H253" s="33"/>
      <c r="I253" s="33"/>
      <c r="J253" s="36"/>
      <c r="K253" s="40"/>
      <c r="L253" s="40"/>
      <c r="M253" s="47" t="str">
        <f aca="false">IF($B253="","",IF(NOT(ISNUMBER($B253)),"日期不是日期格式",IF(YEAR($B253)&lt;&gt;首页!$B$3,"不在会计年度",IF($E253="","未选收支科目",IF($D253="⚠","收支科目不存在",IF($F253="","未选账户",IF($T253="","账户未设资金科目",IF(AND($D253="转账",$U253=""),"转入账户无效",IF(AND(N($K253)&gt;0,N($L253)&gt;0),"收支不能同时填",IF(AND($D253="收入",N($K253)&lt;=0),"收入金额须大于0",IF(AND($D253&lt;&gt;"收入",N($L253)&lt;=0),"支出金额须大于0",IF($O253="","借方科目缺失",IF($P253="","贷方科目缺失","√")))))))))))))</f>
        <v/>
      </c>
      <c r="N253" s="48" t="str">
        <f aca="false">IF($B253="","",IF($D253="收入",N($K253),N($L253)))</f>
        <v/>
      </c>
      <c r="O253" s="49" t="str">
        <f aca="false">IF($B253="","",IF($D253="收入",$T253,IF($D253="转账",$U253,$S253)))</f>
        <v/>
      </c>
      <c r="P253" s="49" t="str">
        <f aca="false">IF($B253="","",IF($D253="收入",$S253,$T253))</f>
        <v/>
      </c>
      <c r="Q253" s="50" t="str">
        <f aca="false">IF($E253="","",IF($D253="转账","—",IFERROR(INDEX(科目参数!$P$6:$P$85,MATCH($E253,科目参数!$M$6:$M$85,0)),"")))</f>
        <v/>
      </c>
      <c r="R253" s="48" t="str">
        <f aca="false">IF($B253="","",SUMIFS(期初数据!$B$6:$B$35,期初数据!$A$6:$A$35,$F253)+SUMIFS($N$5:$N253,$F$5:$F253,$F253,$D$5:$D253,"收入")-SUMIFS($N$5:$N253,$F$5:$F253,$F253,$D$5:$D253,"支出")-SUMIFS($N$5:$N253,$F$5:$F253,$F253,$D$5:$D253,"转账")+SUMIFS($N$5:$N253,$G$5:$G253,$F253,$D$5:$D253,"转账"))</f>
        <v/>
      </c>
      <c r="S253" s="49" t="str">
        <f aca="false">IF($E253="","",IFERROR(INDEX(科目参数!$N$6:$N$85,MATCH($E253,科目参数!$M$6:$M$85,0)),""))</f>
        <v/>
      </c>
      <c r="T253" s="49" t="str">
        <f aca="false">IF($F253="","",IFERROR(INDEX(基础资料!$C$6:$C$35,MATCH($F253,基础资料!$A$6:$A$35,0)),""))</f>
        <v/>
      </c>
      <c r="U253" s="49" t="str">
        <f aca="false">IF($G253="","",IFERROR(INDEX(基础资料!$C$6:$C$35,MATCH($G253,基础资料!$A$6:$A$35,0)),""))</f>
        <v/>
      </c>
      <c r="V253" s="49" t="str">
        <f aca="false">IF(AND($G253=客户对账单!$B$3,$E253="客户回款",$B253&gt;=客户对账单!$E$3,$B253&lt;=客户对账单!$H$3),COUNTIFS($G$5:$G253,客户对账单!$B$3,$E$5:$E253,"客户回款",$B$5:$B253,"&gt;="&amp;客户对账单!$E$3,$B$5:$B253,"&lt;="&amp;客户对账单!$H$3),"")</f>
        <v/>
      </c>
      <c r="W253" s="49" t="str">
        <f aca="false">IF(AND($G253=供应商对账单!$B$3,$E253="供应商付款",$B253&gt;=供应商对账单!$E$3,$B253&lt;=供应商对账单!$H$3),COUNTIFS($G$5:$G253,供应商对账单!$B$3,$E$5:$E253,"供应商付款",$B$5:$B253,"&gt;="&amp;供应商对账单!$E$3,$B$5:$B253,"&lt;="&amp;供应商对账单!$H$3),"")</f>
        <v/>
      </c>
    </row>
    <row r="254" customFormat="false" ht="15.75" hidden="false" customHeight="true" outlineLevel="0" collapsed="false">
      <c r="A254" s="42" t="str">
        <f aca="false">IF($B254="","","ZJ"&amp;TEXT($B254,"yyyymm")&amp;"-"&amp;TEXT(ROW()-4,"000"))</f>
        <v/>
      </c>
      <c r="B254" s="41"/>
      <c r="C254" s="42" t="str">
        <f aca="false">IF($B254="","",TEXT($B254,"yyyy-mm"))</f>
        <v/>
      </c>
      <c r="D254" s="42" t="str">
        <f aca="false">IF($E254="","",IFERROR(INDEX(科目参数!$L$6:$L$85,MATCH($E254,科目参数!$M$6:$M$85,0)),"⚠"))</f>
        <v/>
      </c>
      <c r="E254" s="33"/>
      <c r="F254" s="33"/>
      <c r="G254" s="36"/>
      <c r="H254" s="33"/>
      <c r="I254" s="33"/>
      <c r="J254" s="36"/>
      <c r="K254" s="40"/>
      <c r="L254" s="40"/>
      <c r="M254" s="47" t="str">
        <f aca="false">IF($B254="","",IF(NOT(ISNUMBER($B254)),"日期不是日期格式",IF(YEAR($B254)&lt;&gt;首页!$B$3,"不在会计年度",IF($E254="","未选收支科目",IF($D254="⚠","收支科目不存在",IF($F254="","未选账户",IF($T254="","账户未设资金科目",IF(AND($D254="转账",$U254=""),"转入账户无效",IF(AND(N($K254)&gt;0,N($L254)&gt;0),"收支不能同时填",IF(AND($D254="收入",N($K254)&lt;=0),"收入金额须大于0",IF(AND($D254&lt;&gt;"收入",N($L254)&lt;=0),"支出金额须大于0",IF($O254="","借方科目缺失",IF($P254="","贷方科目缺失","√")))))))))))))</f>
        <v/>
      </c>
      <c r="N254" s="48" t="str">
        <f aca="false">IF($B254="","",IF($D254="收入",N($K254),N($L254)))</f>
        <v/>
      </c>
      <c r="O254" s="49" t="str">
        <f aca="false">IF($B254="","",IF($D254="收入",$T254,IF($D254="转账",$U254,$S254)))</f>
        <v/>
      </c>
      <c r="P254" s="49" t="str">
        <f aca="false">IF($B254="","",IF($D254="收入",$S254,$T254))</f>
        <v/>
      </c>
      <c r="Q254" s="50" t="str">
        <f aca="false">IF($E254="","",IF($D254="转账","—",IFERROR(INDEX(科目参数!$P$6:$P$85,MATCH($E254,科目参数!$M$6:$M$85,0)),"")))</f>
        <v/>
      </c>
      <c r="R254" s="48" t="str">
        <f aca="false">IF($B254="","",SUMIFS(期初数据!$B$6:$B$35,期初数据!$A$6:$A$35,$F254)+SUMIFS($N$5:$N254,$F$5:$F254,$F254,$D$5:$D254,"收入")-SUMIFS($N$5:$N254,$F$5:$F254,$F254,$D$5:$D254,"支出")-SUMIFS($N$5:$N254,$F$5:$F254,$F254,$D$5:$D254,"转账")+SUMIFS($N$5:$N254,$G$5:$G254,$F254,$D$5:$D254,"转账"))</f>
        <v/>
      </c>
      <c r="S254" s="49" t="str">
        <f aca="false">IF($E254="","",IFERROR(INDEX(科目参数!$N$6:$N$85,MATCH($E254,科目参数!$M$6:$M$85,0)),""))</f>
        <v/>
      </c>
      <c r="T254" s="49" t="str">
        <f aca="false">IF($F254="","",IFERROR(INDEX(基础资料!$C$6:$C$35,MATCH($F254,基础资料!$A$6:$A$35,0)),""))</f>
        <v/>
      </c>
      <c r="U254" s="49" t="str">
        <f aca="false">IF($G254="","",IFERROR(INDEX(基础资料!$C$6:$C$35,MATCH($G254,基础资料!$A$6:$A$35,0)),""))</f>
        <v/>
      </c>
      <c r="V254" s="49" t="str">
        <f aca="false">IF(AND($G254=客户对账单!$B$3,$E254="客户回款",$B254&gt;=客户对账单!$E$3,$B254&lt;=客户对账单!$H$3),COUNTIFS($G$5:$G254,客户对账单!$B$3,$E$5:$E254,"客户回款",$B$5:$B254,"&gt;="&amp;客户对账单!$E$3,$B$5:$B254,"&lt;="&amp;客户对账单!$H$3),"")</f>
        <v/>
      </c>
      <c r="W254" s="49" t="str">
        <f aca="false">IF(AND($G254=供应商对账单!$B$3,$E254="供应商付款",$B254&gt;=供应商对账单!$E$3,$B254&lt;=供应商对账单!$H$3),COUNTIFS($G$5:$G254,供应商对账单!$B$3,$E$5:$E254,"供应商付款",$B$5:$B254,"&gt;="&amp;供应商对账单!$E$3,$B$5:$B254,"&lt;="&amp;供应商对账单!$H$3),"")</f>
        <v/>
      </c>
    </row>
    <row r="255" customFormat="false" ht="15.75" hidden="false" customHeight="true" outlineLevel="0" collapsed="false">
      <c r="A255" s="42" t="str">
        <f aca="false">IF($B255="","","ZJ"&amp;TEXT($B255,"yyyymm")&amp;"-"&amp;TEXT(ROW()-4,"000"))</f>
        <v/>
      </c>
      <c r="B255" s="41"/>
      <c r="C255" s="42" t="str">
        <f aca="false">IF($B255="","",TEXT($B255,"yyyy-mm"))</f>
        <v/>
      </c>
      <c r="D255" s="42" t="str">
        <f aca="false">IF($E255="","",IFERROR(INDEX(科目参数!$L$6:$L$85,MATCH($E255,科目参数!$M$6:$M$85,0)),"⚠"))</f>
        <v/>
      </c>
      <c r="E255" s="33"/>
      <c r="F255" s="33"/>
      <c r="G255" s="36"/>
      <c r="H255" s="33"/>
      <c r="I255" s="33"/>
      <c r="J255" s="36"/>
      <c r="K255" s="40"/>
      <c r="L255" s="40"/>
      <c r="M255" s="47" t="str">
        <f aca="false">IF($B255="","",IF(NOT(ISNUMBER($B255)),"日期不是日期格式",IF(YEAR($B255)&lt;&gt;首页!$B$3,"不在会计年度",IF($E255="","未选收支科目",IF($D255="⚠","收支科目不存在",IF($F255="","未选账户",IF($T255="","账户未设资金科目",IF(AND($D255="转账",$U255=""),"转入账户无效",IF(AND(N($K255)&gt;0,N($L255)&gt;0),"收支不能同时填",IF(AND($D255="收入",N($K255)&lt;=0),"收入金额须大于0",IF(AND($D255&lt;&gt;"收入",N($L255)&lt;=0),"支出金额须大于0",IF($O255="","借方科目缺失",IF($P255="","贷方科目缺失","√")))))))))))))</f>
        <v/>
      </c>
      <c r="N255" s="48" t="str">
        <f aca="false">IF($B255="","",IF($D255="收入",N($K255),N($L255)))</f>
        <v/>
      </c>
      <c r="O255" s="49" t="str">
        <f aca="false">IF($B255="","",IF($D255="收入",$T255,IF($D255="转账",$U255,$S255)))</f>
        <v/>
      </c>
      <c r="P255" s="49" t="str">
        <f aca="false">IF($B255="","",IF($D255="收入",$S255,$T255))</f>
        <v/>
      </c>
      <c r="Q255" s="50" t="str">
        <f aca="false">IF($E255="","",IF($D255="转账","—",IFERROR(INDEX(科目参数!$P$6:$P$85,MATCH($E255,科目参数!$M$6:$M$85,0)),"")))</f>
        <v/>
      </c>
      <c r="R255" s="48" t="str">
        <f aca="false">IF($B255="","",SUMIFS(期初数据!$B$6:$B$35,期初数据!$A$6:$A$35,$F255)+SUMIFS($N$5:$N255,$F$5:$F255,$F255,$D$5:$D255,"收入")-SUMIFS($N$5:$N255,$F$5:$F255,$F255,$D$5:$D255,"支出")-SUMIFS($N$5:$N255,$F$5:$F255,$F255,$D$5:$D255,"转账")+SUMIFS($N$5:$N255,$G$5:$G255,$F255,$D$5:$D255,"转账"))</f>
        <v/>
      </c>
      <c r="S255" s="49" t="str">
        <f aca="false">IF($E255="","",IFERROR(INDEX(科目参数!$N$6:$N$85,MATCH($E255,科目参数!$M$6:$M$85,0)),""))</f>
        <v/>
      </c>
      <c r="T255" s="49" t="str">
        <f aca="false">IF($F255="","",IFERROR(INDEX(基础资料!$C$6:$C$35,MATCH($F255,基础资料!$A$6:$A$35,0)),""))</f>
        <v/>
      </c>
      <c r="U255" s="49" t="str">
        <f aca="false">IF($G255="","",IFERROR(INDEX(基础资料!$C$6:$C$35,MATCH($G255,基础资料!$A$6:$A$35,0)),""))</f>
        <v/>
      </c>
      <c r="V255" s="49" t="str">
        <f aca="false">IF(AND($G255=客户对账单!$B$3,$E255="客户回款",$B255&gt;=客户对账单!$E$3,$B255&lt;=客户对账单!$H$3),COUNTIFS($G$5:$G255,客户对账单!$B$3,$E$5:$E255,"客户回款",$B$5:$B255,"&gt;="&amp;客户对账单!$E$3,$B$5:$B255,"&lt;="&amp;客户对账单!$H$3),"")</f>
        <v/>
      </c>
      <c r="W255" s="49" t="str">
        <f aca="false">IF(AND($G255=供应商对账单!$B$3,$E255="供应商付款",$B255&gt;=供应商对账单!$E$3,$B255&lt;=供应商对账单!$H$3),COUNTIFS($G$5:$G255,供应商对账单!$B$3,$E$5:$E255,"供应商付款",$B$5:$B255,"&gt;="&amp;供应商对账单!$E$3,$B$5:$B255,"&lt;="&amp;供应商对账单!$H$3),"")</f>
        <v/>
      </c>
    </row>
    <row r="256" customFormat="false" ht="15.75" hidden="false" customHeight="true" outlineLevel="0" collapsed="false">
      <c r="A256" s="42" t="str">
        <f aca="false">IF($B256="","","ZJ"&amp;TEXT($B256,"yyyymm")&amp;"-"&amp;TEXT(ROW()-4,"000"))</f>
        <v/>
      </c>
      <c r="B256" s="41"/>
      <c r="C256" s="42" t="str">
        <f aca="false">IF($B256="","",TEXT($B256,"yyyy-mm"))</f>
        <v/>
      </c>
      <c r="D256" s="42" t="str">
        <f aca="false">IF($E256="","",IFERROR(INDEX(科目参数!$L$6:$L$85,MATCH($E256,科目参数!$M$6:$M$85,0)),"⚠"))</f>
        <v/>
      </c>
      <c r="E256" s="33"/>
      <c r="F256" s="33"/>
      <c r="G256" s="36"/>
      <c r="H256" s="33"/>
      <c r="I256" s="33"/>
      <c r="J256" s="36"/>
      <c r="K256" s="40"/>
      <c r="L256" s="40"/>
      <c r="M256" s="47" t="str">
        <f aca="false">IF($B256="","",IF(NOT(ISNUMBER($B256)),"日期不是日期格式",IF(YEAR($B256)&lt;&gt;首页!$B$3,"不在会计年度",IF($E256="","未选收支科目",IF($D256="⚠","收支科目不存在",IF($F256="","未选账户",IF($T256="","账户未设资金科目",IF(AND($D256="转账",$U256=""),"转入账户无效",IF(AND(N($K256)&gt;0,N($L256)&gt;0),"收支不能同时填",IF(AND($D256="收入",N($K256)&lt;=0),"收入金额须大于0",IF(AND($D256&lt;&gt;"收入",N($L256)&lt;=0),"支出金额须大于0",IF($O256="","借方科目缺失",IF($P256="","贷方科目缺失","√")))))))))))))</f>
        <v/>
      </c>
      <c r="N256" s="48" t="str">
        <f aca="false">IF($B256="","",IF($D256="收入",N($K256),N($L256)))</f>
        <v/>
      </c>
      <c r="O256" s="49" t="str">
        <f aca="false">IF($B256="","",IF($D256="收入",$T256,IF($D256="转账",$U256,$S256)))</f>
        <v/>
      </c>
      <c r="P256" s="49" t="str">
        <f aca="false">IF($B256="","",IF($D256="收入",$S256,$T256))</f>
        <v/>
      </c>
      <c r="Q256" s="50" t="str">
        <f aca="false">IF($E256="","",IF($D256="转账","—",IFERROR(INDEX(科目参数!$P$6:$P$85,MATCH($E256,科目参数!$M$6:$M$85,0)),"")))</f>
        <v/>
      </c>
      <c r="R256" s="48" t="str">
        <f aca="false">IF($B256="","",SUMIFS(期初数据!$B$6:$B$35,期初数据!$A$6:$A$35,$F256)+SUMIFS($N$5:$N256,$F$5:$F256,$F256,$D$5:$D256,"收入")-SUMIFS($N$5:$N256,$F$5:$F256,$F256,$D$5:$D256,"支出")-SUMIFS($N$5:$N256,$F$5:$F256,$F256,$D$5:$D256,"转账")+SUMIFS($N$5:$N256,$G$5:$G256,$F256,$D$5:$D256,"转账"))</f>
        <v/>
      </c>
      <c r="S256" s="49" t="str">
        <f aca="false">IF($E256="","",IFERROR(INDEX(科目参数!$N$6:$N$85,MATCH($E256,科目参数!$M$6:$M$85,0)),""))</f>
        <v/>
      </c>
      <c r="T256" s="49" t="str">
        <f aca="false">IF($F256="","",IFERROR(INDEX(基础资料!$C$6:$C$35,MATCH($F256,基础资料!$A$6:$A$35,0)),""))</f>
        <v/>
      </c>
      <c r="U256" s="49" t="str">
        <f aca="false">IF($G256="","",IFERROR(INDEX(基础资料!$C$6:$C$35,MATCH($G256,基础资料!$A$6:$A$35,0)),""))</f>
        <v/>
      </c>
      <c r="V256" s="49" t="str">
        <f aca="false">IF(AND($G256=客户对账单!$B$3,$E256="客户回款",$B256&gt;=客户对账单!$E$3,$B256&lt;=客户对账单!$H$3),COUNTIFS($G$5:$G256,客户对账单!$B$3,$E$5:$E256,"客户回款",$B$5:$B256,"&gt;="&amp;客户对账单!$E$3,$B$5:$B256,"&lt;="&amp;客户对账单!$H$3),"")</f>
        <v/>
      </c>
      <c r="W256" s="49" t="str">
        <f aca="false">IF(AND($G256=供应商对账单!$B$3,$E256="供应商付款",$B256&gt;=供应商对账单!$E$3,$B256&lt;=供应商对账单!$H$3),COUNTIFS($G$5:$G256,供应商对账单!$B$3,$E$5:$E256,"供应商付款",$B$5:$B256,"&gt;="&amp;供应商对账单!$E$3,$B$5:$B256,"&lt;="&amp;供应商对账单!$H$3),"")</f>
        <v/>
      </c>
    </row>
    <row r="257" customFormat="false" ht="15.75" hidden="false" customHeight="true" outlineLevel="0" collapsed="false">
      <c r="A257" s="42" t="str">
        <f aca="false">IF($B257="","","ZJ"&amp;TEXT($B257,"yyyymm")&amp;"-"&amp;TEXT(ROW()-4,"000"))</f>
        <v/>
      </c>
      <c r="B257" s="41"/>
      <c r="C257" s="42" t="str">
        <f aca="false">IF($B257="","",TEXT($B257,"yyyy-mm"))</f>
        <v/>
      </c>
      <c r="D257" s="42" t="str">
        <f aca="false">IF($E257="","",IFERROR(INDEX(科目参数!$L$6:$L$85,MATCH($E257,科目参数!$M$6:$M$85,0)),"⚠"))</f>
        <v/>
      </c>
      <c r="E257" s="33"/>
      <c r="F257" s="33"/>
      <c r="G257" s="36"/>
      <c r="H257" s="33"/>
      <c r="I257" s="33"/>
      <c r="J257" s="36"/>
      <c r="K257" s="40"/>
      <c r="L257" s="40"/>
      <c r="M257" s="47" t="str">
        <f aca="false">IF($B257="","",IF(NOT(ISNUMBER($B257)),"日期不是日期格式",IF(YEAR($B257)&lt;&gt;首页!$B$3,"不在会计年度",IF($E257="","未选收支科目",IF($D257="⚠","收支科目不存在",IF($F257="","未选账户",IF($T257="","账户未设资金科目",IF(AND($D257="转账",$U257=""),"转入账户无效",IF(AND(N($K257)&gt;0,N($L257)&gt;0),"收支不能同时填",IF(AND($D257="收入",N($K257)&lt;=0),"收入金额须大于0",IF(AND($D257&lt;&gt;"收入",N($L257)&lt;=0),"支出金额须大于0",IF($O257="","借方科目缺失",IF($P257="","贷方科目缺失","√")))))))))))))</f>
        <v/>
      </c>
      <c r="N257" s="48" t="str">
        <f aca="false">IF($B257="","",IF($D257="收入",N($K257),N($L257)))</f>
        <v/>
      </c>
      <c r="O257" s="49" t="str">
        <f aca="false">IF($B257="","",IF($D257="收入",$T257,IF($D257="转账",$U257,$S257)))</f>
        <v/>
      </c>
      <c r="P257" s="49" t="str">
        <f aca="false">IF($B257="","",IF($D257="收入",$S257,$T257))</f>
        <v/>
      </c>
      <c r="Q257" s="50" t="str">
        <f aca="false">IF($E257="","",IF($D257="转账","—",IFERROR(INDEX(科目参数!$P$6:$P$85,MATCH($E257,科目参数!$M$6:$M$85,0)),"")))</f>
        <v/>
      </c>
      <c r="R257" s="48" t="str">
        <f aca="false">IF($B257="","",SUMIFS(期初数据!$B$6:$B$35,期初数据!$A$6:$A$35,$F257)+SUMIFS($N$5:$N257,$F$5:$F257,$F257,$D$5:$D257,"收入")-SUMIFS($N$5:$N257,$F$5:$F257,$F257,$D$5:$D257,"支出")-SUMIFS($N$5:$N257,$F$5:$F257,$F257,$D$5:$D257,"转账")+SUMIFS($N$5:$N257,$G$5:$G257,$F257,$D$5:$D257,"转账"))</f>
        <v/>
      </c>
      <c r="S257" s="49" t="str">
        <f aca="false">IF($E257="","",IFERROR(INDEX(科目参数!$N$6:$N$85,MATCH($E257,科目参数!$M$6:$M$85,0)),""))</f>
        <v/>
      </c>
      <c r="T257" s="49" t="str">
        <f aca="false">IF($F257="","",IFERROR(INDEX(基础资料!$C$6:$C$35,MATCH($F257,基础资料!$A$6:$A$35,0)),""))</f>
        <v/>
      </c>
      <c r="U257" s="49" t="str">
        <f aca="false">IF($G257="","",IFERROR(INDEX(基础资料!$C$6:$C$35,MATCH($G257,基础资料!$A$6:$A$35,0)),""))</f>
        <v/>
      </c>
      <c r="V257" s="49" t="str">
        <f aca="false">IF(AND($G257=客户对账单!$B$3,$E257="客户回款",$B257&gt;=客户对账单!$E$3,$B257&lt;=客户对账单!$H$3),COUNTIFS($G$5:$G257,客户对账单!$B$3,$E$5:$E257,"客户回款",$B$5:$B257,"&gt;="&amp;客户对账单!$E$3,$B$5:$B257,"&lt;="&amp;客户对账单!$H$3),"")</f>
        <v/>
      </c>
      <c r="W257" s="49" t="str">
        <f aca="false">IF(AND($G257=供应商对账单!$B$3,$E257="供应商付款",$B257&gt;=供应商对账单!$E$3,$B257&lt;=供应商对账单!$H$3),COUNTIFS($G$5:$G257,供应商对账单!$B$3,$E$5:$E257,"供应商付款",$B$5:$B257,"&gt;="&amp;供应商对账单!$E$3,$B$5:$B257,"&lt;="&amp;供应商对账单!$H$3),"")</f>
        <v/>
      </c>
    </row>
    <row r="258" customFormat="false" ht="15.75" hidden="false" customHeight="true" outlineLevel="0" collapsed="false">
      <c r="A258" s="42" t="str">
        <f aca="false">IF($B258="","","ZJ"&amp;TEXT($B258,"yyyymm")&amp;"-"&amp;TEXT(ROW()-4,"000"))</f>
        <v/>
      </c>
      <c r="B258" s="41"/>
      <c r="C258" s="42" t="str">
        <f aca="false">IF($B258="","",TEXT($B258,"yyyy-mm"))</f>
        <v/>
      </c>
      <c r="D258" s="42" t="str">
        <f aca="false">IF($E258="","",IFERROR(INDEX(科目参数!$L$6:$L$85,MATCH($E258,科目参数!$M$6:$M$85,0)),"⚠"))</f>
        <v/>
      </c>
      <c r="E258" s="33"/>
      <c r="F258" s="33"/>
      <c r="G258" s="36"/>
      <c r="H258" s="33"/>
      <c r="I258" s="33"/>
      <c r="J258" s="36"/>
      <c r="K258" s="40"/>
      <c r="L258" s="40"/>
      <c r="M258" s="47" t="str">
        <f aca="false">IF($B258="","",IF(NOT(ISNUMBER($B258)),"日期不是日期格式",IF(YEAR($B258)&lt;&gt;首页!$B$3,"不在会计年度",IF($E258="","未选收支科目",IF($D258="⚠","收支科目不存在",IF($F258="","未选账户",IF($T258="","账户未设资金科目",IF(AND($D258="转账",$U258=""),"转入账户无效",IF(AND(N($K258)&gt;0,N($L258)&gt;0),"收支不能同时填",IF(AND($D258="收入",N($K258)&lt;=0),"收入金额须大于0",IF(AND($D258&lt;&gt;"收入",N($L258)&lt;=0),"支出金额须大于0",IF($O258="","借方科目缺失",IF($P258="","贷方科目缺失","√")))))))))))))</f>
        <v/>
      </c>
      <c r="N258" s="48" t="str">
        <f aca="false">IF($B258="","",IF($D258="收入",N($K258),N($L258)))</f>
        <v/>
      </c>
      <c r="O258" s="49" t="str">
        <f aca="false">IF($B258="","",IF($D258="收入",$T258,IF($D258="转账",$U258,$S258)))</f>
        <v/>
      </c>
      <c r="P258" s="49" t="str">
        <f aca="false">IF($B258="","",IF($D258="收入",$S258,$T258))</f>
        <v/>
      </c>
      <c r="Q258" s="50" t="str">
        <f aca="false">IF($E258="","",IF($D258="转账","—",IFERROR(INDEX(科目参数!$P$6:$P$85,MATCH($E258,科目参数!$M$6:$M$85,0)),"")))</f>
        <v/>
      </c>
      <c r="R258" s="48" t="str">
        <f aca="false">IF($B258="","",SUMIFS(期初数据!$B$6:$B$35,期初数据!$A$6:$A$35,$F258)+SUMIFS($N$5:$N258,$F$5:$F258,$F258,$D$5:$D258,"收入")-SUMIFS($N$5:$N258,$F$5:$F258,$F258,$D$5:$D258,"支出")-SUMIFS($N$5:$N258,$F$5:$F258,$F258,$D$5:$D258,"转账")+SUMIFS($N$5:$N258,$G$5:$G258,$F258,$D$5:$D258,"转账"))</f>
        <v/>
      </c>
      <c r="S258" s="49" t="str">
        <f aca="false">IF($E258="","",IFERROR(INDEX(科目参数!$N$6:$N$85,MATCH($E258,科目参数!$M$6:$M$85,0)),""))</f>
        <v/>
      </c>
      <c r="T258" s="49" t="str">
        <f aca="false">IF($F258="","",IFERROR(INDEX(基础资料!$C$6:$C$35,MATCH($F258,基础资料!$A$6:$A$35,0)),""))</f>
        <v/>
      </c>
      <c r="U258" s="49" t="str">
        <f aca="false">IF($G258="","",IFERROR(INDEX(基础资料!$C$6:$C$35,MATCH($G258,基础资料!$A$6:$A$35,0)),""))</f>
        <v/>
      </c>
      <c r="V258" s="49" t="str">
        <f aca="false">IF(AND($G258=客户对账单!$B$3,$E258="客户回款",$B258&gt;=客户对账单!$E$3,$B258&lt;=客户对账单!$H$3),COUNTIFS($G$5:$G258,客户对账单!$B$3,$E$5:$E258,"客户回款",$B$5:$B258,"&gt;="&amp;客户对账单!$E$3,$B$5:$B258,"&lt;="&amp;客户对账单!$H$3),"")</f>
        <v/>
      </c>
      <c r="W258" s="49" t="str">
        <f aca="false">IF(AND($G258=供应商对账单!$B$3,$E258="供应商付款",$B258&gt;=供应商对账单!$E$3,$B258&lt;=供应商对账单!$H$3),COUNTIFS($G$5:$G258,供应商对账单!$B$3,$E$5:$E258,"供应商付款",$B$5:$B258,"&gt;="&amp;供应商对账单!$E$3,$B$5:$B258,"&lt;="&amp;供应商对账单!$H$3),"")</f>
        <v/>
      </c>
    </row>
    <row r="259" customFormat="false" ht="15.75" hidden="false" customHeight="true" outlineLevel="0" collapsed="false">
      <c r="A259" s="42" t="str">
        <f aca="false">IF($B259="","","ZJ"&amp;TEXT($B259,"yyyymm")&amp;"-"&amp;TEXT(ROW()-4,"000"))</f>
        <v/>
      </c>
      <c r="B259" s="41"/>
      <c r="C259" s="42" t="str">
        <f aca="false">IF($B259="","",TEXT($B259,"yyyy-mm"))</f>
        <v/>
      </c>
      <c r="D259" s="42" t="str">
        <f aca="false">IF($E259="","",IFERROR(INDEX(科目参数!$L$6:$L$85,MATCH($E259,科目参数!$M$6:$M$85,0)),"⚠"))</f>
        <v/>
      </c>
      <c r="E259" s="33"/>
      <c r="F259" s="33"/>
      <c r="G259" s="36"/>
      <c r="H259" s="33"/>
      <c r="I259" s="33"/>
      <c r="J259" s="36"/>
      <c r="K259" s="40"/>
      <c r="L259" s="40"/>
      <c r="M259" s="47" t="str">
        <f aca="false">IF($B259="","",IF(NOT(ISNUMBER($B259)),"日期不是日期格式",IF(YEAR($B259)&lt;&gt;首页!$B$3,"不在会计年度",IF($E259="","未选收支科目",IF($D259="⚠","收支科目不存在",IF($F259="","未选账户",IF($T259="","账户未设资金科目",IF(AND($D259="转账",$U259=""),"转入账户无效",IF(AND(N($K259)&gt;0,N($L259)&gt;0),"收支不能同时填",IF(AND($D259="收入",N($K259)&lt;=0),"收入金额须大于0",IF(AND($D259&lt;&gt;"收入",N($L259)&lt;=0),"支出金额须大于0",IF($O259="","借方科目缺失",IF($P259="","贷方科目缺失","√")))))))))))))</f>
        <v/>
      </c>
      <c r="N259" s="48" t="str">
        <f aca="false">IF($B259="","",IF($D259="收入",N($K259),N($L259)))</f>
        <v/>
      </c>
      <c r="O259" s="49" t="str">
        <f aca="false">IF($B259="","",IF($D259="收入",$T259,IF($D259="转账",$U259,$S259)))</f>
        <v/>
      </c>
      <c r="P259" s="49" t="str">
        <f aca="false">IF($B259="","",IF($D259="收入",$S259,$T259))</f>
        <v/>
      </c>
      <c r="Q259" s="50" t="str">
        <f aca="false">IF($E259="","",IF($D259="转账","—",IFERROR(INDEX(科目参数!$P$6:$P$85,MATCH($E259,科目参数!$M$6:$M$85,0)),"")))</f>
        <v/>
      </c>
      <c r="R259" s="48" t="str">
        <f aca="false">IF($B259="","",SUMIFS(期初数据!$B$6:$B$35,期初数据!$A$6:$A$35,$F259)+SUMIFS($N$5:$N259,$F$5:$F259,$F259,$D$5:$D259,"收入")-SUMIFS($N$5:$N259,$F$5:$F259,$F259,$D$5:$D259,"支出")-SUMIFS($N$5:$N259,$F$5:$F259,$F259,$D$5:$D259,"转账")+SUMIFS($N$5:$N259,$G$5:$G259,$F259,$D$5:$D259,"转账"))</f>
        <v/>
      </c>
      <c r="S259" s="49" t="str">
        <f aca="false">IF($E259="","",IFERROR(INDEX(科目参数!$N$6:$N$85,MATCH($E259,科目参数!$M$6:$M$85,0)),""))</f>
        <v/>
      </c>
      <c r="T259" s="49" t="str">
        <f aca="false">IF($F259="","",IFERROR(INDEX(基础资料!$C$6:$C$35,MATCH($F259,基础资料!$A$6:$A$35,0)),""))</f>
        <v/>
      </c>
      <c r="U259" s="49" t="str">
        <f aca="false">IF($G259="","",IFERROR(INDEX(基础资料!$C$6:$C$35,MATCH($G259,基础资料!$A$6:$A$35,0)),""))</f>
        <v/>
      </c>
      <c r="V259" s="49" t="str">
        <f aca="false">IF(AND($G259=客户对账单!$B$3,$E259="客户回款",$B259&gt;=客户对账单!$E$3,$B259&lt;=客户对账单!$H$3),COUNTIFS($G$5:$G259,客户对账单!$B$3,$E$5:$E259,"客户回款",$B$5:$B259,"&gt;="&amp;客户对账单!$E$3,$B$5:$B259,"&lt;="&amp;客户对账单!$H$3),"")</f>
        <v/>
      </c>
      <c r="W259" s="49" t="str">
        <f aca="false">IF(AND($G259=供应商对账单!$B$3,$E259="供应商付款",$B259&gt;=供应商对账单!$E$3,$B259&lt;=供应商对账单!$H$3),COUNTIFS($G$5:$G259,供应商对账单!$B$3,$E$5:$E259,"供应商付款",$B$5:$B259,"&gt;="&amp;供应商对账单!$E$3,$B$5:$B259,"&lt;="&amp;供应商对账单!$H$3),"")</f>
        <v/>
      </c>
    </row>
    <row r="260" customFormat="false" ht="15.75" hidden="false" customHeight="true" outlineLevel="0" collapsed="false">
      <c r="A260" s="42" t="str">
        <f aca="false">IF($B260="","","ZJ"&amp;TEXT($B260,"yyyymm")&amp;"-"&amp;TEXT(ROW()-4,"000"))</f>
        <v/>
      </c>
      <c r="B260" s="41"/>
      <c r="C260" s="42" t="str">
        <f aca="false">IF($B260="","",TEXT($B260,"yyyy-mm"))</f>
        <v/>
      </c>
      <c r="D260" s="42" t="str">
        <f aca="false">IF($E260="","",IFERROR(INDEX(科目参数!$L$6:$L$85,MATCH($E260,科目参数!$M$6:$M$85,0)),"⚠"))</f>
        <v/>
      </c>
      <c r="E260" s="33"/>
      <c r="F260" s="33"/>
      <c r="G260" s="36"/>
      <c r="H260" s="33"/>
      <c r="I260" s="33"/>
      <c r="J260" s="36"/>
      <c r="K260" s="40"/>
      <c r="L260" s="40"/>
      <c r="M260" s="47" t="str">
        <f aca="false">IF($B260="","",IF(NOT(ISNUMBER($B260)),"日期不是日期格式",IF(YEAR($B260)&lt;&gt;首页!$B$3,"不在会计年度",IF($E260="","未选收支科目",IF($D260="⚠","收支科目不存在",IF($F260="","未选账户",IF($T260="","账户未设资金科目",IF(AND($D260="转账",$U260=""),"转入账户无效",IF(AND(N($K260)&gt;0,N($L260)&gt;0),"收支不能同时填",IF(AND($D260="收入",N($K260)&lt;=0),"收入金额须大于0",IF(AND($D260&lt;&gt;"收入",N($L260)&lt;=0),"支出金额须大于0",IF($O260="","借方科目缺失",IF($P260="","贷方科目缺失","√")))))))))))))</f>
        <v/>
      </c>
      <c r="N260" s="48" t="str">
        <f aca="false">IF($B260="","",IF($D260="收入",N($K260),N($L260)))</f>
        <v/>
      </c>
      <c r="O260" s="49" t="str">
        <f aca="false">IF($B260="","",IF($D260="收入",$T260,IF($D260="转账",$U260,$S260)))</f>
        <v/>
      </c>
      <c r="P260" s="49" t="str">
        <f aca="false">IF($B260="","",IF($D260="收入",$S260,$T260))</f>
        <v/>
      </c>
      <c r="Q260" s="50" t="str">
        <f aca="false">IF($E260="","",IF($D260="转账","—",IFERROR(INDEX(科目参数!$P$6:$P$85,MATCH($E260,科目参数!$M$6:$M$85,0)),"")))</f>
        <v/>
      </c>
      <c r="R260" s="48" t="str">
        <f aca="false">IF($B260="","",SUMIFS(期初数据!$B$6:$B$35,期初数据!$A$6:$A$35,$F260)+SUMIFS($N$5:$N260,$F$5:$F260,$F260,$D$5:$D260,"收入")-SUMIFS($N$5:$N260,$F$5:$F260,$F260,$D$5:$D260,"支出")-SUMIFS($N$5:$N260,$F$5:$F260,$F260,$D$5:$D260,"转账")+SUMIFS($N$5:$N260,$G$5:$G260,$F260,$D$5:$D260,"转账"))</f>
        <v/>
      </c>
      <c r="S260" s="49" t="str">
        <f aca="false">IF($E260="","",IFERROR(INDEX(科目参数!$N$6:$N$85,MATCH($E260,科目参数!$M$6:$M$85,0)),""))</f>
        <v/>
      </c>
      <c r="T260" s="49" t="str">
        <f aca="false">IF($F260="","",IFERROR(INDEX(基础资料!$C$6:$C$35,MATCH($F260,基础资料!$A$6:$A$35,0)),""))</f>
        <v/>
      </c>
      <c r="U260" s="49" t="str">
        <f aca="false">IF($G260="","",IFERROR(INDEX(基础资料!$C$6:$C$35,MATCH($G260,基础资料!$A$6:$A$35,0)),""))</f>
        <v/>
      </c>
      <c r="V260" s="49" t="str">
        <f aca="false">IF(AND($G260=客户对账单!$B$3,$E260="客户回款",$B260&gt;=客户对账单!$E$3,$B260&lt;=客户对账单!$H$3),COUNTIFS($G$5:$G260,客户对账单!$B$3,$E$5:$E260,"客户回款",$B$5:$B260,"&gt;="&amp;客户对账单!$E$3,$B$5:$B260,"&lt;="&amp;客户对账单!$H$3),"")</f>
        <v/>
      </c>
      <c r="W260" s="49" t="str">
        <f aca="false">IF(AND($G260=供应商对账单!$B$3,$E260="供应商付款",$B260&gt;=供应商对账单!$E$3,$B260&lt;=供应商对账单!$H$3),COUNTIFS($G$5:$G260,供应商对账单!$B$3,$E$5:$E260,"供应商付款",$B$5:$B260,"&gt;="&amp;供应商对账单!$E$3,$B$5:$B260,"&lt;="&amp;供应商对账单!$H$3),"")</f>
        <v/>
      </c>
    </row>
    <row r="261" customFormat="false" ht="15.75" hidden="false" customHeight="true" outlineLevel="0" collapsed="false">
      <c r="A261" s="42" t="str">
        <f aca="false">IF($B261="","","ZJ"&amp;TEXT($B261,"yyyymm")&amp;"-"&amp;TEXT(ROW()-4,"000"))</f>
        <v/>
      </c>
      <c r="B261" s="41"/>
      <c r="C261" s="42" t="str">
        <f aca="false">IF($B261="","",TEXT($B261,"yyyy-mm"))</f>
        <v/>
      </c>
      <c r="D261" s="42" t="str">
        <f aca="false">IF($E261="","",IFERROR(INDEX(科目参数!$L$6:$L$85,MATCH($E261,科目参数!$M$6:$M$85,0)),"⚠"))</f>
        <v/>
      </c>
      <c r="E261" s="33"/>
      <c r="F261" s="33"/>
      <c r="G261" s="36"/>
      <c r="H261" s="33"/>
      <c r="I261" s="33"/>
      <c r="J261" s="36"/>
      <c r="K261" s="40"/>
      <c r="L261" s="40"/>
      <c r="M261" s="47" t="str">
        <f aca="false">IF($B261="","",IF(NOT(ISNUMBER($B261)),"日期不是日期格式",IF(YEAR($B261)&lt;&gt;首页!$B$3,"不在会计年度",IF($E261="","未选收支科目",IF($D261="⚠","收支科目不存在",IF($F261="","未选账户",IF($T261="","账户未设资金科目",IF(AND($D261="转账",$U261=""),"转入账户无效",IF(AND(N($K261)&gt;0,N($L261)&gt;0),"收支不能同时填",IF(AND($D261="收入",N($K261)&lt;=0),"收入金额须大于0",IF(AND($D261&lt;&gt;"收入",N($L261)&lt;=0),"支出金额须大于0",IF($O261="","借方科目缺失",IF($P261="","贷方科目缺失","√")))))))))))))</f>
        <v/>
      </c>
      <c r="N261" s="48" t="str">
        <f aca="false">IF($B261="","",IF($D261="收入",N($K261),N($L261)))</f>
        <v/>
      </c>
      <c r="O261" s="49" t="str">
        <f aca="false">IF($B261="","",IF($D261="收入",$T261,IF($D261="转账",$U261,$S261)))</f>
        <v/>
      </c>
      <c r="P261" s="49" t="str">
        <f aca="false">IF($B261="","",IF($D261="收入",$S261,$T261))</f>
        <v/>
      </c>
      <c r="Q261" s="50" t="str">
        <f aca="false">IF($E261="","",IF($D261="转账","—",IFERROR(INDEX(科目参数!$P$6:$P$85,MATCH($E261,科目参数!$M$6:$M$85,0)),"")))</f>
        <v/>
      </c>
      <c r="R261" s="48" t="str">
        <f aca="false">IF($B261="","",SUMIFS(期初数据!$B$6:$B$35,期初数据!$A$6:$A$35,$F261)+SUMIFS($N$5:$N261,$F$5:$F261,$F261,$D$5:$D261,"收入")-SUMIFS($N$5:$N261,$F$5:$F261,$F261,$D$5:$D261,"支出")-SUMIFS($N$5:$N261,$F$5:$F261,$F261,$D$5:$D261,"转账")+SUMIFS($N$5:$N261,$G$5:$G261,$F261,$D$5:$D261,"转账"))</f>
        <v/>
      </c>
      <c r="S261" s="49" t="str">
        <f aca="false">IF($E261="","",IFERROR(INDEX(科目参数!$N$6:$N$85,MATCH($E261,科目参数!$M$6:$M$85,0)),""))</f>
        <v/>
      </c>
      <c r="T261" s="49" t="str">
        <f aca="false">IF($F261="","",IFERROR(INDEX(基础资料!$C$6:$C$35,MATCH($F261,基础资料!$A$6:$A$35,0)),""))</f>
        <v/>
      </c>
      <c r="U261" s="49" t="str">
        <f aca="false">IF($G261="","",IFERROR(INDEX(基础资料!$C$6:$C$35,MATCH($G261,基础资料!$A$6:$A$35,0)),""))</f>
        <v/>
      </c>
      <c r="V261" s="49" t="str">
        <f aca="false">IF(AND($G261=客户对账单!$B$3,$E261="客户回款",$B261&gt;=客户对账单!$E$3,$B261&lt;=客户对账单!$H$3),COUNTIFS($G$5:$G261,客户对账单!$B$3,$E$5:$E261,"客户回款",$B$5:$B261,"&gt;="&amp;客户对账单!$E$3,$B$5:$B261,"&lt;="&amp;客户对账单!$H$3),"")</f>
        <v/>
      </c>
      <c r="W261" s="49" t="str">
        <f aca="false">IF(AND($G261=供应商对账单!$B$3,$E261="供应商付款",$B261&gt;=供应商对账单!$E$3,$B261&lt;=供应商对账单!$H$3),COUNTIFS($G$5:$G261,供应商对账单!$B$3,$E$5:$E261,"供应商付款",$B$5:$B261,"&gt;="&amp;供应商对账单!$E$3,$B$5:$B261,"&lt;="&amp;供应商对账单!$H$3),"")</f>
        <v/>
      </c>
    </row>
    <row r="262" customFormat="false" ht="15.75" hidden="false" customHeight="true" outlineLevel="0" collapsed="false">
      <c r="A262" s="42" t="str">
        <f aca="false">IF($B262="","","ZJ"&amp;TEXT($B262,"yyyymm")&amp;"-"&amp;TEXT(ROW()-4,"000"))</f>
        <v/>
      </c>
      <c r="B262" s="41"/>
      <c r="C262" s="42" t="str">
        <f aca="false">IF($B262="","",TEXT($B262,"yyyy-mm"))</f>
        <v/>
      </c>
      <c r="D262" s="42" t="str">
        <f aca="false">IF($E262="","",IFERROR(INDEX(科目参数!$L$6:$L$85,MATCH($E262,科目参数!$M$6:$M$85,0)),"⚠"))</f>
        <v/>
      </c>
      <c r="E262" s="33"/>
      <c r="F262" s="33"/>
      <c r="G262" s="36"/>
      <c r="H262" s="33"/>
      <c r="I262" s="33"/>
      <c r="J262" s="36"/>
      <c r="K262" s="40"/>
      <c r="L262" s="40"/>
      <c r="M262" s="47" t="str">
        <f aca="false">IF($B262="","",IF(NOT(ISNUMBER($B262)),"日期不是日期格式",IF(YEAR($B262)&lt;&gt;首页!$B$3,"不在会计年度",IF($E262="","未选收支科目",IF($D262="⚠","收支科目不存在",IF($F262="","未选账户",IF($T262="","账户未设资金科目",IF(AND($D262="转账",$U262=""),"转入账户无效",IF(AND(N($K262)&gt;0,N($L262)&gt;0),"收支不能同时填",IF(AND($D262="收入",N($K262)&lt;=0),"收入金额须大于0",IF(AND($D262&lt;&gt;"收入",N($L262)&lt;=0),"支出金额须大于0",IF($O262="","借方科目缺失",IF($P262="","贷方科目缺失","√")))))))))))))</f>
        <v/>
      </c>
      <c r="N262" s="48" t="str">
        <f aca="false">IF($B262="","",IF($D262="收入",N($K262),N($L262)))</f>
        <v/>
      </c>
      <c r="O262" s="49" t="str">
        <f aca="false">IF($B262="","",IF($D262="收入",$T262,IF($D262="转账",$U262,$S262)))</f>
        <v/>
      </c>
      <c r="P262" s="49" t="str">
        <f aca="false">IF($B262="","",IF($D262="收入",$S262,$T262))</f>
        <v/>
      </c>
      <c r="Q262" s="50" t="str">
        <f aca="false">IF($E262="","",IF($D262="转账","—",IFERROR(INDEX(科目参数!$P$6:$P$85,MATCH($E262,科目参数!$M$6:$M$85,0)),"")))</f>
        <v/>
      </c>
      <c r="R262" s="48" t="str">
        <f aca="false">IF($B262="","",SUMIFS(期初数据!$B$6:$B$35,期初数据!$A$6:$A$35,$F262)+SUMIFS($N$5:$N262,$F$5:$F262,$F262,$D$5:$D262,"收入")-SUMIFS($N$5:$N262,$F$5:$F262,$F262,$D$5:$D262,"支出")-SUMIFS($N$5:$N262,$F$5:$F262,$F262,$D$5:$D262,"转账")+SUMIFS($N$5:$N262,$G$5:$G262,$F262,$D$5:$D262,"转账"))</f>
        <v/>
      </c>
      <c r="S262" s="49" t="str">
        <f aca="false">IF($E262="","",IFERROR(INDEX(科目参数!$N$6:$N$85,MATCH($E262,科目参数!$M$6:$M$85,0)),""))</f>
        <v/>
      </c>
      <c r="T262" s="49" t="str">
        <f aca="false">IF($F262="","",IFERROR(INDEX(基础资料!$C$6:$C$35,MATCH($F262,基础资料!$A$6:$A$35,0)),""))</f>
        <v/>
      </c>
      <c r="U262" s="49" t="str">
        <f aca="false">IF($G262="","",IFERROR(INDEX(基础资料!$C$6:$C$35,MATCH($G262,基础资料!$A$6:$A$35,0)),""))</f>
        <v/>
      </c>
      <c r="V262" s="49" t="str">
        <f aca="false">IF(AND($G262=客户对账单!$B$3,$E262="客户回款",$B262&gt;=客户对账单!$E$3,$B262&lt;=客户对账单!$H$3),COUNTIFS($G$5:$G262,客户对账单!$B$3,$E$5:$E262,"客户回款",$B$5:$B262,"&gt;="&amp;客户对账单!$E$3,$B$5:$B262,"&lt;="&amp;客户对账单!$H$3),"")</f>
        <v/>
      </c>
      <c r="W262" s="49" t="str">
        <f aca="false">IF(AND($G262=供应商对账单!$B$3,$E262="供应商付款",$B262&gt;=供应商对账单!$E$3,$B262&lt;=供应商对账单!$H$3),COUNTIFS($G$5:$G262,供应商对账单!$B$3,$E$5:$E262,"供应商付款",$B$5:$B262,"&gt;="&amp;供应商对账单!$E$3,$B$5:$B262,"&lt;="&amp;供应商对账单!$H$3),"")</f>
        <v/>
      </c>
    </row>
    <row r="263" customFormat="false" ht="15.75" hidden="false" customHeight="true" outlineLevel="0" collapsed="false">
      <c r="A263" s="42" t="str">
        <f aca="false">IF($B263="","","ZJ"&amp;TEXT($B263,"yyyymm")&amp;"-"&amp;TEXT(ROW()-4,"000"))</f>
        <v/>
      </c>
      <c r="B263" s="41"/>
      <c r="C263" s="42" t="str">
        <f aca="false">IF($B263="","",TEXT($B263,"yyyy-mm"))</f>
        <v/>
      </c>
      <c r="D263" s="42" t="str">
        <f aca="false">IF($E263="","",IFERROR(INDEX(科目参数!$L$6:$L$85,MATCH($E263,科目参数!$M$6:$M$85,0)),"⚠"))</f>
        <v/>
      </c>
      <c r="E263" s="33"/>
      <c r="F263" s="33"/>
      <c r="G263" s="36"/>
      <c r="H263" s="33"/>
      <c r="I263" s="33"/>
      <c r="J263" s="36"/>
      <c r="K263" s="40"/>
      <c r="L263" s="40"/>
      <c r="M263" s="47" t="str">
        <f aca="false">IF($B263="","",IF(NOT(ISNUMBER($B263)),"日期不是日期格式",IF(YEAR($B263)&lt;&gt;首页!$B$3,"不在会计年度",IF($E263="","未选收支科目",IF($D263="⚠","收支科目不存在",IF($F263="","未选账户",IF($T263="","账户未设资金科目",IF(AND($D263="转账",$U263=""),"转入账户无效",IF(AND(N($K263)&gt;0,N($L263)&gt;0),"收支不能同时填",IF(AND($D263="收入",N($K263)&lt;=0),"收入金额须大于0",IF(AND($D263&lt;&gt;"收入",N($L263)&lt;=0),"支出金额须大于0",IF($O263="","借方科目缺失",IF($P263="","贷方科目缺失","√")))))))))))))</f>
        <v/>
      </c>
      <c r="N263" s="48" t="str">
        <f aca="false">IF($B263="","",IF($D263="收入",N($K263),N($L263)))</f>
        <v/>
      </c>
      <c r="O263" s="49" t="str">
        <f aca="false">IF($B263="","",IF($D263="收入",$T263,IF($D263="转账",$U263,$S263)))</f>
        <v/>
      </c>
      <c r="P263" s="49" t="str">
        <f aca="false">IF($B263="","",IF($D263="收入",$S263,$T263))</f>
        <v/>
      </c>
      <c r="Q263" s="50" t="str">
        <f aca="false">IF($E263="","",IF($D263="转账","—",IFERROR(INDEX(科目参数!$P$6:$P$85,MATCH($E263,科目参数!$M$6:$M$85,0)),"")))</f>
        <v/>
      </c>
      <c r="R263" s="48" t="str">
        <f aca="false">IF($B263="","",SUMIFS(期初数据!$B$6:$B$35,期初数据!$A$6:$A$35,$F263)+SUMIFS($N$5:$N263,$F$5:$F263,$F263,$D$5:$D263,"收入")-SUMIFS($N$5:$N263,$F$5:$F263,$F263,$D$5:$D263,"支出")-SUMIFS($N$5:$N263,$F$5:$F263,$F263,$D$5:$D263,"转账")+SUMIFS($N$5:$N263,$G$5:$G263,$F263,$D$5:$D263,"转账"))</f>
        <v/>
      </c>
      <c r="S263" s="49" t="str">
        <f aca="false">IF($E263="","",IFERROR(INDEX(科目参数!$N$6:$N$85,MATCH($E263,科目参数!$M$6:$M$85,0)),""))</f>
        <v/>
      </c>
      <c r="T263" s="49" t="str">
        <f aca="false">IF($F263="","",IFERROR(INDEX(基础资料!$C$6:$C$35,MATCH($F263,基础资料!$A$6:$A$35,0)),""))</f>
        <v/>
      </c>
      <c r="U263" s="49" t="str">
        <f aca="false">IF($G263="","",IFERROR(INDEX(基础资料!$C$6:$C$35,MATCH($G263,基础资料!$A$6:$A$35,0)),""))</f>
        <v/>
      </c>
      <c r="V263" s="49" t="str">
        <f aca="false">IF(AND($G263=客户对账单!$B$3,$E263="客户回款",$B263&gt;=客户对账单!$E$3,$B263&lt;=客户对账单!$H$3),COUNTIFS($G$5:$G263,客户对账单!$B$3,$E$5:$E263,"客户回款",$B$5:$B263,"&gt;="&amp;客户对账单!$E$3,$B$5:$B263,"&lt;="&amp;客户对账单!$H$3),"")</f>
        <v/>
      </c>
      <c r="W263" s="49" t="str">
        <f aca="false">IF(AND($G263=供应商对账单!$B$3,$E263="供应商付款",$B263&gt;=供应商对账单!$E$3,$B263&lt;=供应商对账单!$H$3),COUNTIFS($G$5:$G263,供应商对账单!$B$3,$E$5:$E263,"供应商付款",$B$5:$B263,"&gt;="&amp;供应商对账单!$E$3,$B$5:$B263,"&lt;="&amp;供应商对账单!$H$3),"")</f>
        <v/>
      </c>
    </row>
    <row r="264" customFormat="false" ht="15.75" hidden="false" customHeight="true" outlineLevel="0" collapsed="false">
      <c r="A264" s="42" t="str">
        <f aca="false">IF($B264="","","ZJ"&amp;TEXT($B264,"yyyymm")&amp;"-"&amp;TEXT(ROW()-4,"000"))</f>
        <v/>
      </c>
      <c r="B264" s="41"/>
      <c r="C264" s="42" t="str">
        <f aca="false">IF($B264="","",TEXT($B264,"yyyy-mm"))</f>
        <v/>
      </c>
      <c r="D264" s="42" t="str">
        <f aca="false">IF($E264="","",IFERROR(INDEX(科目参数!$L$6:$L$85,MATCH($E264,科目参数!$M$6:$M$85,0)),"⚠"))</f>
        <v/>
      </c>
      <c r="E264" s="33"/>
      <c r="F264" s="33"/>
      <c r="G264" s="36"/>
      <c r="H264" s="33"/>
      <c r="I264" s="33"/>
      <c r="J264" s="36"/>
      <c r="K264" s="40"/>
      <c r="L264" s="40"/>
      <c r="M264" s="47" t="str">
        <f aca="false">IF($B264="","",IF(NOT(ISNUMBER($B264)),"日期不是日期格式",IF(YEAR($B264)&lt;&gt;首页!$B$3,"不在会计年度",IF($E264="","未选收支科目",IF($D264="⚠","收支科目不存在",IF($F264="","未选账户",IF($T264="","账户未设资金科目",IF(AND($D264="转账",$U264=""),"转入账户无效",IF(AND(N($K264)&gt;0,N($L264)&gt;0),"收支不能同时填",IF(AND($D264="收入",N($K264)&lt;=0),"收入金额须大于0",IF(AND($D264&lt;&gt;"收入",N($L264)&lt;=0),"支出金额须大于0",IF($O264="","借方科目缺失",IF($P264="","贷方科目缺失","√")))))))))))))</f>
        <v/>
      </c>
      <c r="N264" s="48" t="str">
        <f aca="false">IF($B264="","",IF($D264="收入",N($K264),N($L264)))</f>
        <v/>
      </c>
      <c r="O264" s="49" t="str">
        <f aca="false">IF($B264="","",IF($D264="收入",$T264,IF($D264="转账",$U264,$S264)))</f>
        <v/>
      </c>
      <c r="P264" s="49" t="str">
        <f aca="false">IF($B264="","",IF($D264="收入",$S264,$T264))</f>
        <v/>
      </c>
      <c r="Q264" s="50" t="str">
        <f aca="false">IF($E264="","",IF($D264="转账","—",IFERROR(INDEX(科目参数!$P$6:$P$85,MATCH($E264,科目参数!$M$6:$M$85,0)),"")))</f>
        <v/>
      </c>
      <c r="R264" s="48" t="str">
        <f aca="false">IF($B264="","",SUMIFS(期初数据!$B$6:$B$35,期初数据!$A$6:$A$35,$F264)+SUMIFS($N$5:$N264,$F$5:$F264,$F264,$D$5:$D264,"收入")-SUMIFS($N$5:$N264,$F$5:$F264,$F264,$D$5:$D264,"支出")-SUMIFS($N$5:$N264,$F$5:$F264,$F264,$D$5:$D264,"转账")+SUMIFS($N$5:$N264,$G$5:$G264,$F264,$D$5:$D264,"转账"))</f>
        <v/>
      </c>
      <c r="S264" s="49" t="str">
        <f aca="false">IF($E264="","",IFERROR(INDEX(科目参数!$N$6:$N$85,MATCH($E264,科目参数!$M$6:$M$85,0)),""))</f>
        <v/>
      </c>
      <c r="T264" s="49" t="str">
        <f aca="false">IF($F264="","",IFERROR(INDEX(基础资料!$C$6:$C$35,MATCH($F264,基础资料!$A$6:$A$35,0)),""))</f>
        <v/>
      </c>
      <c r="U264" s="49" t="str">
        <f aca="false">IF($G264="","",IFERROR(INDEX(基础资料!$C$6:$C$35,MATCH($G264,基础资料!$A$6:$A$35,0)),""))</f>
        <v/>
      </c>
      <c r="V264" s="49" t="str">
        <f aca="false">IF(AND($G264=客户对账单!$B$3,$E264="客户回款",$B264&gt;=客户对账单!$E$3,$B264&lt;=客户对账单!$H$3),COUNTIFS($G$5:$G264,客户对账单!$B$3,$E$5:$E264,"客户回款",$B$5:$B264,"&gt;="&amp;客户对账单!$E$3,$B$5:$B264,"&lt;="&amp;客户对账单!$H$3),"")</f>
        <v/>
      </c>
      <c r="W264" s="49" t="str">
        <f aca="false">IF(AND($G264=供应商对账单!$B$3,$E264="供应商付款",$B264&gt;=供应商对账单!$E$3,$B264&lt;=供应商对账单!$H$3),COUNTIFS($G$5:$G264,供应商对账单!$B$3,$E$5:$E264,"供应商付款",$B$5:$B264,"&gt;="&amp;供应商对账单!$E$3,$B$5:$B264,"&lt;="&amp;供应商对账单!$H$3),"")</f>
        <v/>
      </c>
    </row>
    <row r="265" customFormat="false" ht="15.75" hidden="false" customHeight="true" outlineLevel="0" collapsed="false">
      <c r="A265" s="42" t="str">
        <f aca="false">IF($B265="","","ZJ"&amp;TEXT($B265,"yyyymm")&amp;"-"&amp;TEXT(ROW()-4,"000"))</f>
        <v/>
      </c>
      <c r="B265" s="41"/>
      <c r="C265" s="42" t="str">
        <f aca="false">IF($B265="","",TEXT($B265,"yyyy-mm"))</f>
        <v/>
      </c>
      <c r="D265" s="42" t="str">
        <f aca="false">IF($E265="","",IFERROR(INDEX(科目参数!$L$6:$L$85,MATCH($E265,科目参数!$M$6:$M$85,0)),"⚠"))</f>
        <v/>
      </c>
      <c r="E265" s="33"/>
      <c r="F265" s="33"/>
      <c r="G265" s="36"/>
      <c r="H265" s="33"/>
      <c r="I265" s="33"/>
      <c r="J265" s="36"/>
      <c r="K265" s="40"/>
      <c r="L265" s="40"/>
      <c r="M265" s="47" t="str">
        <f aca="false">IF($B265="","",IF(NOT(ISNUMBER($B265)),"日期不是日期格式",IF(YEAR($B265)&lt;&gt;首页!$B$3,"不在会计年度",IF($E265="","未选收支科目",IF($D265="⚠","收支科目不存在",IF($F265="","未选账户",IF($T265="","账户未设资金科目",IF(AND($D265="转账",$U265=""),"转入账户无效",IF(AND(N($K265)&gt;0,N($L265)&gt;0),"收支不能同时填",IF(AND($D265="收入",N($K265)&lt;=0),"收入金额须大于0",IF(AND($D265&lt;&gt;"收入",N($L265)&lt;=0),"支出金额须大于0",IF($O265="","借方科目缺失",IF($P265="","贷方科目缺失","√")))))))))))))</f>
        <v/>
      </c>
      <c r="N265" s="48" t="str">
        <f aca="false">IF($B265="","",IF($D265="收入",N($K265),N($L265)))</f>
        <v/>
      </c>
      <c r="O265" s="49" t="str">
        <f aca="false">IF($B265="","",IF($D265="收入",$T265,IF($D265="转账",$U265,$S265)))</f>
        <v/>
      </c>
      <c r="P265" s="49" t="str">
        <f aca="false">IF($B265="","",IF($D265="收入",$S265,$T265))</f>
        <v/>
      </c>
      <c r="Q265" s="50" t="str">
        <f aca="false">IF($E265="","",IF($D265="转账","—",IFERROR(INDEX(科目参数!$P$6:$P$85,MATCH($E265,科目参数!$M$6:$M$85,0)),"")))</f>
        <v/>
      </c>
      <c r="R265" s="48" t="str">
        <f aca="false">IF($B265="","",SUMIFS(期初数据!$B$6:$B$35,期初数据!$A$6:$A$35,$F265)+SUMIFS($N$5:$N265,$F$5:$F265,$F265,$D$5:$D265,"收入")-SUMIFS($N$5:$N265,$F$5:$F265,$F265,$D$5:$D265,"支出")-SUMIFS($N$5:$N265,$F$5:$F265,$F265,$D$5:$D265,"转账")+SUMIFS($N$5:$N265,$G$5:$G265,$F265,$D$5:$D265,"转账"))</f>
        <v/>
      </c>
      <c r="S265" s="49" t="str">
        <f aca="false">IF($E265="","",IFERROR(INDEX(科目参数!$N$6:$N$85,MATCH($E265,科目参数!$M$6:$M$85,0)),""))</f>
        <v/>
      </c>
      <c r="T265" s="49" t="str">
        <f aca="false">IF($F265="","",IFERROR(INDEX(基础资料!$C$6:$C$35,MATCH($F265,基础资料!$A$6:$A$35,0)),""))</f>
        <v/>
      </c>
      <c r="U265" s="49" t="str">
        <f aca="false">IF($G265="","",IFERROR(INDEX(基础资料!$C$6:$C$35,MATCH($G265,基础资料!$A$6:$A$35,0)),""))</f>
        <v/>
      </c>
      <c r="V265" s="49" t="str">
        <f aca="false">IF(AND($G265=客户对账单!$B$3,$E265="客户回款",$B265&gt;=客户对账单!$E$3,$B265&lt;=客户对账单!$H$3),COUNTIFS($G$5:$G265,客户对账单!$B$3,$E$5:$E265,"客户回款",$B$5:$B265,"&gt;="&amp;客户对账单!$E$3,$B$5:$B265,"&lt;="&amp;客户对账单!$H$3),"")</f>
        <v/>
      </c>
      <c r="W265" s="49" t="str">
        <f aca="false">IF(AND($G265=供应商对账单!$B$3,$E265="供应商付款",$B265&gt;=供应商对账单!$E$3,$B265&lt;=供应商对账单!$H$3),COUNTIFS($G$5:$G265,供应商对账单!$B$3,$E$5:$E265,"供应商付款",$B$5:$B265,"&gt;="&amp;供应商对账单!$E$3,$B$5:$B265,"&lt;="&amp;供应商对账单!$H$3),"")</f>
        <v/>
      </c>
    </row>
    <row r="266" customFormat="false" ht="15.75" hidden="false" customHeight="true" outlineLevel="0" collapsed="false">
      <c r="A266" s="42" t="str">
        <f aca="false">IF($B266="","","ZJ"&amp;TEXT($B266,"yyyymm")&amp;"-"&amp;TEXT(ROW()-4,"000"))</f>
        <v/>
      </c>
      <c r="B266" s="41"/>
      <c r="C266" s="42" t="str">
        <f aca="false">IF($B266="","",TEXT($B266,"yyyy-mm"))</f>
        <v/>
      </c>
      <c r="D266" s="42" t="str">
        <f aca="false">IF($E266="","",IFERROR(INDEX(科目参数!$L$6:$L$85,MATCH($E266,科目参数!$M$6:$M$85,0)),"⚠"))</f>
        <v/>
      </c>
      <c r="E266" s="33"/>
      <c r="F266" s="33"/>
      <c r="G266" s="36"/>
      <c r="H266" s="33"/>
      <c r="I266" s="33"/>
      <c r="J266" s="36"/>
      <c r="K266" s="40"/>
      <c r="L266" s="40"/>
      <c r="M266" s="47" t="str">
        <f aca="false">IF($B266="","",IF(NOT(ISNUMBER($B266)),"日期不是日期格式",IF(YEAR($B266)&lt;&gt;首页!$B$3,"不在会计年度",IF($E266="","未选收支科目",IF($D266="⚠","收支科目不存在",IF($F266="","未选账户",IF($T266="","账户未设资金科目",IF(AND($D266="转账",$U266=""),"转入账户无效",IF(AND(N($K266)&gt;0,N($L266)&gt;0),"收支不能同时填",IF(AND($D266="收入",N($K266)&lt;=0),"收入金额须大于0",IF(AND($D266&lt;&gt;"收入",N($L266)&lt;=0),"支出金额须大于0",IF($O266="","借方科目缺失",IF($P266="","贷方科目缺失","√")))))))))))))</f>
        <v/>
      </c>
      <c r="N266" s="48" t="str">
        <f aca="false">IF($B266="","",IF($D266="收入",N($K266),N($L266)))</f>
        <v/>
      </c>
      <c r="O266" s="49" t="str">
        <f aca="false">IF($B266="","",IF($D266="收入",$T266,IF($D266="转账",$U266,$S266)))</f>
        <v/>
      </c>
      <c r="P266" s="49" t="str">
        <f aca="false">IF($B266="","",IF($D266="收入",$S266,$T266))</f>
        <v/>
      </c>
      <c r="Q266" s="50" t="str">
        <f aca="false">IF($E266="","",IF($D266="转账","—",IFERROR(INDEX(科目参数!$P$6:$P$85,MATCH($E266,科目参数!$M$6:$M$85,0)),"")))</f>
        <v/>
      </c>
      <c r="R266" s="48" t="str">
        <f aca="false">IF($B266="","",SUMIFS(期初数据!$B$6:$B$35,期初数据!$A$6:$A$35,$F266)+SUMIFS($N$5:$N266,$F$5:$F266,$F266,$D$5:$D266,"收入")-SUMIFS($N$5:$N266,$F$5:$F266,$F266,$D$5:$D266,"支出")-SUMIFS($N$5:$N266,$F$5:$F266,$F266,$D$5:$D266,"转账")+SUMIFS($N$5:$N266,$G$5:$G266,$F266,$D$5:$D266,"转账"))</f>
        <v/>
      </c>
      <c r="S266" s="49" t="str">
        <f aca="false">IF($E266="","",IFERROR(INDEX(科目参数!$N$6:$N$85,MATCH($E266,科目参数!$M$6:$M$85,0)),""))</f>
        <v/>
      </c>
      <c r="T266" s="49" t="str">
        <f aca="false">IF($F266="","",IFERROR(INDEX(基础资料!$C$6:$C$35,MATCH($F266,基础资料!$A$6:$A$35,0)),""))</f>
        <v/>
      </c>
      <c r="U266" s="49" t="str">
        <f aca="false">IF($G266="","",IFERROR(INDEX(基础资料!$C$6:$C$35,MATCH($G266,基础资料!$A$6:$A$35,0)),""))</f>
        <v/>
      </c>
      <c r="V266" s="49" t="str">
        <f aca="false">IF(AND($G266=客户对账单!$B$3,$E266="客户回款",$B266&gt;=客户对账单!$E$3,$B266&lt;=客户对账单!$H$3),COUNTIFS($G$5:$G266,客户对账单!$B$3,$E$5:$E266,"客户回款",$B$5:$B266,"&gt;="&amp;客户对账单!$E$3,$B$5:$B266,"&lt;="&amp;客户对账单!$H$3),"")</f>
        <v/>
      </c>
      <c r="W266" s="49" t="str">
        <f aca="false">IF(AND($G266=供应商对账单!$B$3,$E266="供应商付款",$B266&gt;=供应商对账单!$E$3,$B266&lt;=供应商对账单!$H$3),COUNTIFS($G$5:$G266,供应商对账单!$B$3,$E$5:$E266,"供应商付款",$B$5:$B266,"&gt;="&amp;供应商对账单!$E$3,$B$5:$B266,"&lt;="&amp;供应商对账单!$H$3),"")</f>
        <v/>
      </c>
    </row>
    <row r="267" customFormat="false" ht="15.75" hidden="false" customHeight="true" outlineLevel="0" collapsed="false">
      <c r="A267" s="42" t="str">
        <f aca="false">IF($B267="","","ZJ"&amp;TEXT($B267,"yyyymm")&amp;"-"&amp;TEXT(ROW()-4,"000"))</f>
        <v/>
      </c>
      <c r="B267" s="41"/>
      <c r="C267" s="42" t="str">
        <f aca="false">IF($B267="","",TEXT($B267,"yyyy-mm"))</f>
        <v/>
      </c>
      <c r="D267" s="42" t="str">
        <f aca="false">IF($E267="","",IFERROR(INDEX(科目参数!$L$6:$L$85,MATCH($E267,科目参数!$M$6:$M$85,0)),"⚠"))</f>
        <v/>
      </c>
      <c r="E267" s="33"/>
      <c r="F267" s="33"/>
      <c r="G267" s="36"/>
      <c r="H267" s="33"/>
      <c r="I267" s="33"/>
      <c r="J267" s="36"/>
      <c r="K267" s="40"/>
      <c r="L267" s="40"/>
      <c r="M267" s="47" t="str">
        <f aca="false">IF($B267="","",IF(NOT(ISNUMBER($B267)),"日期不是日期格式",IF(YEAR($B267)&lt;&gt;首页!$B$3,"不在会计年度",IF($E267="","未选收支科目",IF($D267="⚠","收支科目不存在",IF($F267="","未选账户",IF($T267="","账户未设资金科目",IF(AND($D267="转账",$U267=""),"转入账户无效",IF(AND(N($K267)&gt;0,N($L267)&gt;0),"收支不能同时填",IF(AND($D267="收入",N($K267)&lt;=0),"收入金额须大于0",IF(AND($D267&lt;&gt;"收入",N($L267)&lt;=0),"支出金额须大于0",IF($O267="","借方科目缺失",IF($P267="","贷方科目缺失","√")))))))))))))</f>
        <v/>
      </c>
      <c r="N267" s="48" t="str">
        <f aca="false">IF($B267="","",IF($D267="收入",N($K267),N($L267)))</f>
        <v/>
      </c>
      <c r="O267" s="49" t="str">
        <f aca="false">IF($B267="","",IF($D267="收入",$T267,IF($D267="转账",$U267,$S267)))</f>
        <v/>
      </c>
      <c r="P267" s="49" t="str">
        <f aca="false">IF($B267="","",IF($D267="收入",$S267,$T267))</f>
        <v/>
      </c>
      <c r="Q267" s="50" t="str">
        <f aca="false">IF($E267="","",IF($D267="转账","—",IFERROR(INDEX(科目参数!$P$6:$P$85,MATCH($E267,科目参数!$M$6:$M$85,0)),"")))</f>
        <v/>
      </c>
      <c r="R267" s="48" t="str">
        <f aca="false">IF($B267="","",SUMIFS(期初数据!$B$6:$B$35,期初数据!$A$6:$A$35,$F267)+SUMIFS($N$5:$N267,$F$5:$F267,$F267,$D$5:$D267,"收入")-SUMIFS($N$5:$N267,$F$5:$F267,$F267,$D$5:$D267,"支出")-SUMIFS($N$5:$N267,$F$5:$F267,$F267,$D$5:$D267,"转账")+SUMIFS($N$5:$N267,$G$5:$G267,$F267,$D$5:$D267,"转账"))</f>
        <v/>
      </c>
      <c r="S267" s="49" t="str">
        <f aca="false">IF($E267="","",IFERROR(INDEX(科目参数!$N$6:$N$85,MATCH($E267,科目参数!$M$6:$M$85,0)),""))</f>
        <v/>
      </c>
      <c r="T267" s="49" t="str">
        <f aca="false">IF($F267="","",IFERROR(INDEX(基础资料!$C$6:$C$35,MATCH($F267,基础资料!$A$6:$A$35,0)),""))</f>
        <v/>
      </c>
      <c r="U267" s="49" t="str">
        <f aca="false">IF($G267="","",IFERROR(INDEX(基础资料!$C$6:$C$35,MATCH($G267,基础资料!$A$6:$A$35,0)),""))</f>
        <v/>
      </c>
      <c r="V267" s="49" t="str">
        <f aca="false">IF(AND($G267=客户对账单!$B$3,$E267="客户回款",$B267&gt;=客户对账单!$E$3,$B267&lt;=客户对账单!$H$3),COUNTIFS($G$5:$G267,客户对账单!$B$3,$E$5:$E267,"客户回款",$B$5:$B267,"&gt;="&amp;客户对账单!$E$3,$B$5:$B267,"&lt;="&amp;客户对账单!$H$3),"")</f>
        <v/>
      </c>
      <c r="W267" s="49" t="str">
        <f aca="false">IF(AND($G267=供应商对账单!$B$3,$E267="供应商付款",$B267&gt;=供应商对账单!$E$3,$B267&lt;=供应商对账单!$H$3),COUNTIFS($G$5:$G267,供应商对账单!$B$3,$E$5:$E267,"供应商付款",$B$5:$B267,"&gt;="&amp;供应商对账单!$E$3,$B$5:$B267,"&lt;="&amp;供应商对账单!$H$3),"")</f>
        <v/>
      </c>
    </row>
    <row r="268" customFormat="false" ht="15.75" hidden="false" customHeight="true" outlineLevel="0" collapsed="false">
      <c r="A268" s="42" t="str">
        <f aca="false">IF($B268="","","ZJ"&amp;TEXT($B268,"yyyymm")&amp;"-"&amp;TEXT(ROW()-4,"000"))</f>
        <v/>
      </c>
      <c r="B268" s="41"/>
      <c r="C268" s="42" t="str">
        <f aca="false">IF($B268="","",TEXT($B268,"yyyy-mm"))</f>
        <v/>
      </c>
      <c r="D268" s="42" t="str">
        <f aca="false">IF($E268="","",IFERROR(INDEX(科目参数!$L$6:$L$85,MATCH($E268,科目参数!$M$6:$M$85,0)),"⚠"))</f>
        <v/>
      </c>
      <c r="E268" s="33"/>
      <c r="F268" s="33"/>
      <c r="G268" s="36"/>
      <c r="H268" s="33"/>
      <c r="I268" s="33"/>
      <c r="J268" s="36"/>
      <c r="K268" s="40"/>
      <c r="L268" s="40"/>
      <c r="M268" s="47" t="str">
        <f aca="false">IF($B268="","",IF(NOT(ISNUMBER($B268)),"日期不是日期格式",IF(YEAR($B268)&lt;&gt;首页!$B$3,"不在会计年度",IF($E268="","未选收支科目",IF($D268="⚠","收支科目不存在",IF($F268="","未选账户",IF($T268="","账户未设资金科目",IF(AND($D268="转账",$U268=""),"转入账户无效",IF(AND(N($K268)&gt;0,N($L268)&gt;0),"收支不能同时填",IF(AND($D268="收入",N($K268)&lt;=0),"收入金额须大于0",IF(AND($D268&lt;&gt;"收入",N($L268)&lt;=0),"支出金额须大于0",IF($O268="","借方科目缺失",IF($P268="","贷方科目缺失","√")))))))))))))</f>
        <v/>
      </c>
      <c r="N268" s="48" t="str">
        <f aca="false">IF($B268="","",IF($D268="收入",N($K268),N($L268)))</f>
        <v/>
      </c>
      <c r="O268" s="49" t="str">
        <f aca="false">IF($B268="","",IF($D268="收入",$T268,IF($D268="转账",$U268,$S268)))</f>
        <v/>
      </c>
      <c r="P268" s="49" t="str">
        <f aca="false">IF($B268="","",IF($D268="收入",$S268,$T268))</f>
        <v/>
      </c>
      <c r="Q268" s="50" t="str">
        <f aca="false">IF($E268="","",IF($D268="转账","—",IFERROR(INDEX(科目参数!$P$6:$P$85,MATCH($E268,科目参数!$M$6:$M$85,0)),"")))</f>
        <v/>
      </c>
      <c r="R268" s="48" t="str">
        <f aca="false">IF($B268="","",SUMIFS(期初数据!$B$6:$B$35,期初数据!$A$6:$A$35,$F268)+SUMIFS($N$5:$N268,$F$5:$F268,$F268,$D$5:$D268,"收入")-SUMIFS($N$5:$N268,$F$5:$F268,$F268,$D$5:$D268,"支出")-SUMIFS($N$5:$N268,$F$5:$F268,$F268,$D$5:$D268,"转账")+SUMIFS($N$5:$N268,$G$5:$G268,$F268,$D$5:$D268,"转账"))</f>
        <v/>
      </c>
      <c r="S268" s="49" t="str">
        <f aca="false">IF($E268="","",IFERROR(INDEX(科目参数!$N$6:$N$85,MATCH($E268,科目参数!$M$6:$M$85,0)),""))</f>
        <v/>
      </c>
      <c r="T268" s="49" t="str">
        <f aca="false">IF($F268="","",IFERROR(INDEX(基础资料!$C$6:$C$35,MATCH($F268,基础资料!$A$6:$A$35,0)),""))</f>
        <v/>
      </c>
      <c r="U268" s="49" t="str">
        <f aca="false">IF($G268="","",IFERROR(INDEX(基础资料!$C$6:$C$35,MATCH($G268,基础资料!$A$6:$A$35,0)),""))</f>
        <v/>
      </c>
      <c r="V268" s="49" t="str">
        <f aca="false">IF(AND($G268=客户对账单!$B$3,$E268="客户回款",$B268&gt;=客户对账单!$E$3,$B268&lt;=客户对账单!$H$3),COUNTIFS($G$5:$G268,客户对账单!$B$3,$E$5:$E268,"客户回款",$B$5:$B268,"&gt;="&amp;客户对账单!$E$3,$B$5:$B268,"&lt;="&amp;客户对账单!$H$3),"")</f>
        <v/>
      </c>
      <c r="W268" s="49" t="str">
        <f aca="false">IF(AND($G268=供应商对账单!$B$3,$E268="供应商付款",$B268&gt;=供应商对账单!$E$3,$B268&lt;=供应商对账单!$H$3),COUNTIFS($G$5:$G268,供应商对账单!$B$3,$E$5:$E268,"供应商付款",$B$5:$B268,"&gt;="&amp;供应商对账单!$E$3,$B$5:$B268,"&lt;="&amp;供应商对账单!$H$3),"")</f>
        <v/>
      </c>
    </row>
    <row r="269" customFormat="false" ht="15.75" hidden="false" customHeight="true" outlineLevel="0" collapsed="false">
      <c r="A269" s="42" t="str">
        <f aca="false">IF($B269="","","ZJ"&amp;TEXT($B269,"yyyymm")&amp;"-"&amp;TEXT(ROW()-4,"000"))</f>
        <v/>
      </c>
      <c r="B269" s="41"/>
      <c r="C269" s="42" t="str">
        <f aca="false">IF($B269="","",TEXT($B269,"yyyy-mm"))</f>
        <v/>
      </c>
      <c r="D269" s="42" t="str">
        <f aca="false">IF($E269="","",IFERROR(INDEX(科目参数!$L$6:$L$85,MATCH($E269,科目参数!$M$6:$M$85,0)),"⚠"))</f>
        <v/>
      </c>
      <c r="E269" s="33"/>
      <c r="F269" s="33"/>
      <c r="G269" s="36"/>
      <c r="H269" s="33"/>
      <c r="I269" s="33"/>
      <c r="J269" s="36"/>
      <c r="K269" s="40"/>
      <c r="L269" s="40"/>
      <c r="M269" s="47" t="str">
        <f aca="false">IF($B269="","",IF(NOT(ISNUMBER($B269)),"日期不是日期格式",IF(YEAR($B269)&lt;&gt;首页!$B$3,"不在会计年度",IF($E269="","未选收支科目",IF($D269="⚠","收支科目不存在",IF($F269="","未选账户",IF($T269="","账户未设资金科目",IF(AND($D269="转账",$U269=""),"转入账户无效",IF(AND(N($K269)&gt;0,N($L269)&gt;0),"收支不能同时填",IF(AND($D269="收入",N($K269)&lt;=0),"收入金额须大于0",IF(AND($D269&lt;&gt;"收入",N($L269)&lt;=0),"支出金额须大于0",IF($O269="","借方科目缺失",IF($P269="","贷方科目缺失","√")))))))))))))</f>
        <v/>
      </c>
      <c r="N269" s="48" t="str">
        <f aca="false">IF($B269="","",IF($D269="收入",N($K269),N($L269)))</f>
        <v/>
      </c>
      <c r="O269" s="49" t="str">
        <f aca="false">IF($B269="","",IF($D269="收入",$T269,IF($D269="转账",$U269,$S269)))</f>
        <v/>
      </c>
      <c r="P269" s="49" t="str">
        <f aca="false">IF($B269="","",IF($D269="收入",$S269,$T269))</f>
        <v/>
      </c>
      <c r="Q269" s="50" t="str">
        <f aca="false">IF($E269="","",IF($D269="转账","—",IFERROR(INDEX(科目参数!$P$6:$P$85,MATCH($E269,科目参数!$M$6:$M$85,0)),"")))</f>
        <v/>
      </c>
      <c r="R269" s="48" t="str">
        <f aca="false">IF($B269="","",SUMIFS(期初数据!$B$6:$B$35,期初数据!$A$6:$A$35,$F269)+SUMIFS($N$5:$N269,$F$5:$F269,$F269,$D$5:$D269,"收入")-SUMIFS($N$5:$N269,$F$5:$F269,$F269,$D$5:$D269,"支出")-SUMIFS($N$5:$N269,$F$5:$F269,$F269,$D$5:$D269,"转账")+SUMIFS($N$5:$N269,$G$5:$G269,$F269,$D$5:$D269,"转账"))</f>
        <v/>
      </c>
      <c r="S269" s="49" t="str">
        <f aca="false">IF($E269="","",IFERROR(INDEX(科目参数!$N$6:$N$85,MATCH($E269,科目参数!$M$6:$M$85,0)),""))</f>
        <v/>
      </c>
      <c r="T269" s="49" t="str">
        <f aca="false">IF($F269="","",IFERROR(INDEX(基础资料!$C$6:$C$35,MATCH($F269,基础资料!$A$6:$A$35,0)),""))</f>
        <v/>
      </c>
      <c r="U269" s="49" t="str">
        <f aca="false">IF($G269="","",IFERROR(INDEX(基础资料!$C$6:$C$35,MATCH($G269,基础资料!$A$6:$A$35,0)),""))</f>
        <v/>
      </c>
      <c r="V269" s="49" t="str">
        <f aca="false">IF(AND($G269=客户对账单!$B$3,$E269="客户回款",$B269&gt;=客户对账单!$E$3,$B269&lt;=客户对账单!$H$3),COUNTIFS($G$5:$G269,客户对账单!$B$3,$E$5:$E269,"客户回款",$B$5:$B269,"&gt;="&amp;客户对账单!$E$3,$B$5:$B269,"&lt;="&amp;客户对账单!$H$3),"")</f>
        <v/>
      </c>
      <c r="W269" s="49" t="str">
        <f aca="false">IF(AND($G269=供应商对账单!$B$3,$E269="供应商付款",$B269&gt;=供应商对账单!$E$3,$B269&lt;=供应商对账单!$H$3),COUNTIFS($G$5:$G269,供应商对账单!$B$3,$E$5:$E269,"供应商付款",$B$5:$B269,"&gt;="&amp;供应商对账单!$E$3,$B$5:$B269,"&lt;="&amp;供应商对账单!$H$3),"")</f>
        <v/>
      </c>
    </row>
    <row r="270" customFormat="false" ht="15.75" hidden="false" customHeight="true" outlineLevel="0" collapsed="false">
      <c r="A270" s="42" t="str">
        <f aca="false">IF($B270="","","ZJ"&amp;TEXT($B270,"yyyymm")&amp;"-"&amp;TEXT(ROW()-4,"000"))</f>
        <v/>
      </c>
      <c r="B270" s="41"/>
      <c r="C270" s="42" t="str">
        <f aca="false">IF($B270="","",TEXT($B270,"yyyy-mm"))</f>
        <v/>
      </c>
      <c r="D270" s="42" t="str">
        <f aca="false">IF($E270="","",IFERROR(INDEX(科目参数!$L$6:$L$85,MATCH($E270,科目参数!$M$6:$M$85,0)),"⚠"))</f>
        <v/>
      </c>
      <c r="E270" s="33"/>
      <c r="F270" s="33"/>
      <c r="G270" s="36"/>
      <c r="H270" s="33"/>
      <c r="I270" s="33"/>
      <c r="J270" s="36"/>
      <c r="K270" s="40"/>
      <c r="L270" s="40"/>
      <c r="M270" s="47" t="str">
        <f aca="false">IF($B270="","",IF(NOT(ISNUMBER($B270)),"日期不是日期格式",IF(YEAR($B270)&lt;&gt;首页!$B$3,"不在会计年度",IF($E270="","未选收支科目",IF($D270="⚠","收支科目不存在",IF($F270="","未选账户",IF($T270="","账户未设资金科目",IF(AND($D270="转账",$U270=""),"转入账户无效",IF(AND(N($K270)&gt;0,N($L270)&gt;0),"收支不能同时填",IF(AND($D270="收入",N($K270)&lt;=0),"收入金额须大于0",IF(AND($D270&lt;&gt;"收入",N($L270)&lt;=0),"支出金额须大于0",IF($O270="","借方科目缺失",IF($P270="","贷方科目缺失","√")))))))))))))</f>
        <v/>
      </c>
      <c r="N270" s="48" t="str">
        <f aca="false">IF($B270="","",IF($D270="收入",N($K270),N($L270)))</f>
        <v/>
      </c>
      <c r="O270" s="49" t="str">
        <f aca="false">IF($B270="","",IF($D270="收入",$T270,IF($D270="转账",$U270,$S270)))</f>
        <v/>
      </c>
      <c r="P270" s="49" t="str">
        <f aca="false">IF($B270="","",IF($D270="收入",$S270,$T270))</f>
        <v/>
      </c>
      <c r="Q270" s="50" t="str">
        <f aca="false">IF($E270="","",IF($D270="转账","—",IFERROR(INDEX(科目参数!$P$6:$P$85,MATCH($E270,科目参数!$M$6:$M$85,0)),"")))</f>
        <v/>
      </c>
      <c r="R270" s="48" t="str">
        <f aca="false">IF($B270="","",SUMIFS(期初数据!$B$6:$B$35,期初数据!$A$6:$A$35,$F270)+SUMIFS($N$5:$N270,$F$5:$F270,$F270,$D$5:$D270,"收入")-SUMIFS($N$5:$N270,$F$5:$F270,$F270,$D$5:$D270,"支出")-SUMIFS($N$5:$N270,$F$5:$F270,$F270,$D$5:$D270,"转账")+SUMIFS($N$5:$N270,$G$5:$G270,$F270,$D$5:$D270,"转账"))</f>
        <v/>
      </c>
      <c r="S270" s="49" t="str">
        <f aca="false">IF($E270="","",IFERROR(INDEX(科目参数!$N$6:$N$85,MATCH($E270,科目参数!$M$6:$M$85,0)),""))</f>
        <v/>
      </c>
      <c r="T270" s="49" t="str">
        <f aca="false">IF($F270="","",IFERROR(INDEX(基础资料!$C$6:$C$35,MATCH($F270,基础资料!$A$6:$A$35,0)),""))</f>
        <v/>
      </c>
      <c r="U270" s="49" t="str">
        <f aca="false">IF($G270="","",IFERROR(INDEX(基础资料!$C$6:$C$35,MATCH($G270,基础资料!$A$6:$A$35,0)),""))</f>
        <v/>
      </c>
      <c r="V270" s="49" t="str">
        <f aca="false">IF(AND($G270=客户对账单!$B$3,$E270="客户回款",$B270&gt;=客户对账单!$E$3,$B270&lt;=客户对账单!$H$3),COUNTIFS($G$5:$G270,客户对账单!$B$3,$E$5:$E270,"客户回款",$B$5:$B270,"&gt;="&amp;客户对账单!$E$3,$B$5:$B270,"&lt;="&amp;客户对账单!$H$3),"")</f>
        <v/>
      </c>
      <c r="W270" s="49" t="str">
        <f aca="false">IF(AND($G270=供应商对账单!$B$3,$E270="供应商付款",$B270&gt;=供应商对账单!$E$3,$B270&lt;=供应商对账单!$H$3),COUNTIFS($G$5:$G270,供应商对账单!$B$3,$E$5:$E270,"供应商付款",$B$5:$B270,"&gt;="&amp;供应商对账单!$E$3,$B$5:$B270,"&lt;="&amp;供应商对账单!$H$3),"")</f>
        <v/>
      </c>
    </row>
    <row r="271" customFormat="false" ht="15.75" hidden="false" customHeight="true" outlineLevel="0" collapsed="false">
      <c r="A271" s="42" t="str">
        <f aca="false">IF($B271="","","ZJ"&amp;TEXT($B271,"yyyymm")&amp;"-"&amp;TEXT(ROW()-4,"000"))</f>
        <v/>
      </c>
      <c r="B271" s="41"/>
      <c r="C271" s="42" t="str">
        <f aca="false">IF($B271="","",TEXT($B271,"yyyy-mm"))</f>
        <v/>
      </c>
      <c r="D271" s="42" t="str">
        <f aca="false">IF($E271="","",IFERROR(INDEX(科目参数!$L$6:$L$85,MATCH($E271,科目参数!$M$6:$M$85,0)),"⚠"))</f>
        <v/>
      </c>
      <c r="E271" s="33"/>
      <c r="F271" s="33"/>
      <c r="G271" s="36"/>
      <c r="H271" s="33"/>
      <c r="I271" s="33"/>
      <c r="J271" s="36"/>
      <c r="K271" s="40"/>
      <c r="L271" s="40"/>
      <c r="M271" s="47" t="str">
        <f aca="false">IF($B271="","",IF(NOT(ISNUMBER($B271)),"日期不是日期格式",IF(YEAR($B271)&lt;&gt;首页!$B$3,"不在会计年度",IF($E271="","未选收支科目",IF($D271="⚠","收支科目不存在",IF($F271="","未选账户",IF($T271="","账户未设资金科目",IF(AND($D271="转账",$U271=""),"转入账户无效",IF(AND(N($K271)&gt;0,N($L271)&gt;0),"收支不能同时填",IF(AND($D271="收入",N($K271)&lt;=0),"收入金额须大于0",IF(AND($D271&lt;&gt;"收入",N($L271)&lt;=0),"支出金额须大于0",IF($O271="","借方科目缺失",IF($P271="","贷方科目缺失","√")))))))))))))</f>
        <v/>
      </c>
      <c r="N271" s="48" t="str">
        <f aca="false">IF($B271="","",IF($D271="收入",N($K271),N($L271)))</f>
        <v/>
      </c>
      <c r="O271" s="49" t="str">
        <f aca="false">IF($B271="","",IF($D271="收入",$T271,IF($D271="转账",$U271,$S271)))</f>
        <v/>
      </c>
      <c r="P271" s="49" t="str">
        <f aca="false">IF($B271="","",IF($D271="收入",$S271,$T271))</f>
        <v/>
      </c>
      <c r="Q271" s="50" t="str">
        <f aca="false">IF($E271="","",IF($D271="转账","—",IFERROR(INDEX(科目参数!$P$6:$P$85,MATCH($E271,科目参数!$M$6:$M$85,0)),"")))</f>
        <v/>
      </c>
      <c r="R271" s="48" t="str">
        <f aca="false">IF($B271="","",SUMIFS(期初数据!$B$6:$B$35,期初数据!$A$6:$A$35,$F271)+SUMIFS($N$5:$N271,$F$5:$F271,$F271,$D$5:$D271,"收入")-SUMIFS($N$5:$N271,$F$5:$F271,$F271,$D$5:$D271,"支出")-SUMIFS($N$5:$N271,$F$5:$F271,$F271,$D$5:$D271,"转账")+SUMIFS($N$5:$N271,$G$5:$G271,$F271,$D$5:$D271,"转账"))</f>
        <v/>
      </c>
      <c r="S271" s="49" t="str">
        <f aca="false">IF($E271="","",IFERROR(INDEX(科目参数!$N$6:$N$85,MATCH($E271,科目参数!$M$6:$M$85,0)),""))</f>
        <v/>
      </c>
      <c r="T271" s="49" t="str">
        <f aca="false">IF($F271="","",IFERROR(INDEX(基础资料!$C$6:$C$35,MATCH($F271,基础资料!$A$6:$A$35,0)),""))</f>
        <v/>
      </c>
      <c r="U271" s="49" t="str">
        <f aca="false">IF($G271="","",IFERROR(INDEX(基础资料!$C$6:$C$35,MATCH($G271,基础资料!$A$6:$A$35,0)),""))</f>
        <v/>
      </c>
      <c r="V271" s="49" t="str">
        <f aca="false">IF(AND($G271=客户对账单!$B$3,$E271="客户回款",$B271&gt;=客户对账单!$E$3,$B271&lt;=客户对账单!$H$3),COUNTIFS($G$5:$G271,客户对账单!$B$3,$E$5:$E271,"客户回款",$B$5:$B271,"&gt;="&amp;客户对账单!$E$3,$B$5:$B271,"&lt;="&amp;客户对账单!$H$3),"")</f>
        <v/>
      </c>
      <c r="W271" s="49" t="str">
        <f aca="false">IF(AND($G271=供应商对账单!$B$3,$E271="供应商付款",$B271&gt;=供应商对账单!$E$3,$B271&lt;=供应商对账单!$H$3),COUNTIFS($G$5:$G271,供应商对账单!$B$3,$E$5:$E271,"供应商付款",$B$5:$B271,"&gt;="&amp;供应商对账单!$E$3,$B$5:$B271,"&lt;="&amp;供应商对账单!$H$3),"")</f>
        <v/>
      </c>
    </row>
    <row r="272" customFormat="false" ht="15.75" hidden="false" customHeight="true" outlineLevel="0" collapsed="false">
      <c r="A272" s="42" t="str">
        <f aca="false">IF($B272="","","ZJ"&amp;TEXT($B272,"yyyymm")&amp;"-"&amp;TEXT(ROW()-4,"000"))</f>
        <v/>
      </c>
      <c r="B272" s="41"/>
      <c r="C272" s="42" t="str">
        <f aca="false">IF($B272="","",TEXT($B272,"yyyy-mm"))</f>
        <v/>
      </c>
      <c r="D272" s="42" t="str">
        <f aca="false">IF($E272="","",IFERROR(INDEX(科目参数!$L$6:$L$85,MATCH($E272,科目参数!$M$6:$M$85,0)),"⚠"))</f>
        <v/>
      </c>
      <c r="E272" s="33"/>
      <c r="F272" s="33"/>
      <c r="G272" s="36"/>
      <c r="H272" s="33"/>
      <c r="I272" s="33"/>
      <c r="J272" s="36"/>
      <c r="K272" s="40"/>
      <c r="L272" s="40"/>
      <c r="M272" s="47" t="str">
        <f aca="false">IF($B272="","",IF(NOT(ISNUMBER($B272)),"日期不是日期格式",IF(YEAR($B272)&lt;&gt;首页!$B$3,"不在会计年度",IF($E272="","未选收支科目",IF($D272="⚠","收支科目不存在",IF($F272="","未选账户",IF($T272="","账户未设资金科目",IF(AND($D272="转账",$U272=""),"转入账户无效",IF(AND(N($K272)&gt;0,N($L272)&gt;0),"收支不能同时填",IF(AND($D272="收入",N($K272)&lt;=0),"收入金额须大于0",IF(AND($D272&lt;&gt;"收入",N($L272)&lt;=0),"支出金额须大于0",IF($O272="","借方科目缺失",IF($P272="","贷方科目缺失","√")))))))))))))</f>
        <v/>
      </c>
      <c r="N272" s="48" t="str">
        <f aca="false">IF($B272="","",IF($D272="收入",N($K272),N($L272)))</f>
        <v/>
      </c>
      <c r="O272" s="49" t="str">
        <f aca="false">IF($B272="","",IF($D272="收入",$T272,IF($D272="转账",$U272,$S272)))</f>
        <v/>
      </c>
      <c r="P272" s="49" t="str">
        <f aca="false">IF($B272="","",IF($D272="收入",$S272,$T272))</f>
        <v/>
      </c>
      <c r="Q272" s="50" t="str">
        <f aca="false">IF($E272="","",IF($D272="转账","—",IFERROR(INDEX(科目参数!$P$6:$P$85,MATCH($E272,科目参数!$M$6:$M$85,0)),"")))</f>
        <v/>
      </c>
      <c r="R272" s="48" t="str">
        <f aca="false">IF($B272="","",SUMIFS(期初数据!$B$6:$B$35,期初数据!$A$6:$A$35,$F272)+SUMIFS($N$5:$N272,$F$5:$F272,$F272,$D$5:$D272,"收入")-SUMIFS($N$5:$N272,$F$5:$F272,$F272,$D$5:$D272,"支出")-SUMIFS($N$5:$N272,$F$5:$F272,$F272,$D$5:$D272,"转账")+SUMIFS($N$5:$N272,$G$5:$G272,$F272,$D$5:$D272,"转账"))</f>
        <v/>
      </c>
      <c r="S272" s="49" t="str">
        <f aca="false">IF($E272="","",IFERROR(INDEX(科目参数!$N$6:$N$85,MATCH($E272,科目参数!$M$6:$M$85,0)),""))</f>
        <v/>
      </c>
      <c r="T272" s="49" t="str">
        <f aca="false">IF($F272="","",IFERROR(INDEX(基础资料!$C$6:$C$35,MATCH($F272,基础资料!$A$6:$A$35,0)),""))</f>
        <v/>
      </c>
      <c r="U272" s="49" t="str">
        <f aca="false">IF($G272="","",IFERROR(INDEX(基础资料!$C$6:$C$35,MATCH($G272,基础资料!$A$6:$A$35,0)),""))</f>
        <v/>
      </c>
      <c r="V272" s="49" t="str">
        <f aca="false">IF(AND($G272=客户对账单!$B$3,$E272="客户回款",$B272&gt;=客户对账单!$E$3,$B272&lt;=客户对账单!$H$3),COUNTIFS($G$5:$G272,客户对账单!$B$3,$E$5:$E272,"客户回款",$B$5:$B272,"&gt;="&amp;客户对账单!$E$3,$B$5:$B272,"&lt;="&amp;客户对账单!$H$3),"")</f>
        <v/>
      </c>
      <c r="W272" s="49" t="str">
        <f aca="false">IF(AND($G272=供应商对账单!$B$3,$E272="供应商付款",$B272&gt;=供应商对账单!$E$3,$B272&lt;=供应商对账单!$H$3),COUNTIFS($G$5:$G272,供应商对账单!$B$3,$E$5:$E272,"供应商付款",$B$5:$B272,"&gt;="&amp;供应商对账单!$E$3,$B$5:$B272,"&lt;="&amp;供应商对账单!$H$3),"")</f>
        <v/>
      </c>
    </row>
    <row r="273" customFormat="false" ht="15.75" hidden="false" customHeight="true" outlineLevel="0" collapsed="false">
      <c r="A273" s="42" t="str">
        <f aca="false">IF($B273="","","ZJ"&amp;TEXT($B273,"yyyymm")&amp;"-"&amp;TEXT(ROW()-4,"000"))</f>
        <v/>
      </c>
      <c r="B273" s="41"/>
      <c r="C273" s="42" t="str">
        <f aca="false">IF($B273="","",TEXT($B273,"yyyy-mm"))</f>
        <v/>
      </c>
      <c r="D273" s="42" t="str">
        <f aca="false">IF($E273="","",IFERROR(INDEX(科目参数!$L$6:$L$85,MATCH($E273,科目参数!$M$6:$M$85,0)),"⚠"))</f>
        <v/>
      </c>
      <c r="E273" s="33"/>
      <c r="F273" s="33"/>
      <c r="G273" s="36"/>
      <c r="H273" s="33"/>
      <c r="I273" s="33"/>
      <c r="J273" s="36"/>
      <c r="K273" s="40"/>
      <c r="L273" s="40"/>
      <c r="M273" s="47" t="str">
        <f aca="false">IF($B273="","",IF(NOT(ISNUMBER($B273)),"日期不是日期格式",IF(YEAR($B273)&lt;&gt;首页!$B$3,"不在会计年度",IF($E273="","未选收支科目",IF($D273="⚠","收支科目不存在",IF($F273="","未选账户",IF($T273="","账户未设资金科目",IF(AND($D273="转账",$U273=""),"转入账户无效",IF(AND(N($K273)&gt;0,N($L273)&gt;0),"收支不能同时填",IF(AND($D273="收入",N($K273)&lt;=0),"收入金额须大于0",IF(AND($D273&lt;&gt;"收入",N($L273)&lt;=0),"支出金额须大于0",IF($O273="","借方科目缺失",IF($P273="","贷方科目缺失","√")))))))))))))</f>
        <v/>
      </c>
      <c r="N273" s="48" t="str">
        <f aca="false">IF($B273="","",IF($D273="收入",N($K273),N($L273)))</f>
        <v/>
      </c>
      <c r="O273" s="49" t="str">
        <f aca="false">IF($B273="","",IF($D273="收入",$T273,IF($D273="转账",$U273,$S273)))</f>
        <v/>
      </c>
      <c r="P273" s="49" t="str">
        <f aca="false">IF($B273="","",IF($D273="收入",$S273,$T273))</f>
        <v/>
      </c>
      <c r="Q273" s="50" t="str">
        <f aca="false">IF($E273="","",IF($D273="转账","—",IFERROR(INDEX(科目参数!$P$6:$P$85,MATCH($E273,科目参数!$M$6:$M$85,0)),"")))</f>
        <v/>
      </c>
      <c r="R273" s="48" t="str">
        <f aca="false">IF($B273="","",SUMIFS(期初数据!$B$6:$B$35,期初数据!$A$6:$A$35,$F273)+SUMIFS($N$5:$N273,$F$5:$F273,$F273,$D$5:$D273,"收入")-SUMIFS($N$5:$N273,$F$5:$F273,$F273,$D$5:$D273,"支出")-SUMIFS($N$5:$N273,$F$5:$F273,$F273,$D$5:$D273,"转账")+SUMIFS($N$5:$N273,$G$5:$G273,$F273,$D$5:$D273,"转账"))</f>
        <v/>
      </c>
      <c r="S273" s="49" t="str">
        <f aca="false">IF($E273="","",IFERROR(INDEX(科目参数!$N$6:$N$85,MATCH($E273,科目参数!$M$6:$M$85,0)),""))</f>
        <v/>
      </c>
      <c r="T273" s="49" t="str">
        <f aca="false">IF($F273="","",IFERROR(INDEX(基础资料!$C$6:$C$35,MATCH($F273,基础资料!$A$6:$A$35,0)),""))</f>
        <v/>
      </c>
      <c r="U273" s="49" t="str">
        <f aca="false">IF($G273="","",IFERROR(INDEX(基础资料!$C$6:$C$35,MATCH($G273,基础资料!$A$6:$A$35,0)),""))</f>
        <v/>
      </c>
      <c r="V273" s="49" t="str">
        <f aca="false">IF(AND($G273=客户对账单!$B$3,$E273="客户回款",$B273&gt;=客户对账单!$E$3,$B273&lt;=客户对账单!$H$3),COUNTIFS($G$5:$G273,客户对账单!$B$3,$E$5:$E273,"客户回款",$B$5:$B273,"&gt;="&amp;客户对账单!$E$3,$B$5:$B273,"&lt;="&amp;客户对账单!$H$3),"")</f>
        <v/>
      </c>
      <c r="W273" s="49" t="str">
        <f aca="false">IF(AND($G273=供应商对账单!$B$3,$E273="供应商付款",$B273&gt;=供应商对账单!$E$3,$B273&lt;=供应商对账单!$H$3),COUNTIFS($G$5:$G273,供应商对账单!$B$3,$E$5:$E273,"供应商付款",$B$5:$B273,"&gt;="&amp;供应商对账单!$E$3,$B$5:$B273,"&lt;="&amp;供应商对账单!$H$3),"")</f>
        <v/>
      </c>
    </row>
    <row r="274" customFormat="false" ht="15.75" hidden="false" customHeight="true" outlineLevel="0" collapsed="false">
      <c r="A274" s="42" t="str">
        <f aca="false">IF($B274="","","ZJ"&amp;TEXT($B274,"yyyymm")&amp;"-"&amp;TEXT(ROW()-4,"000"))</f>
        <v/>
      </c>
      <c r="B274" s="41"/>
      <c r="C274" s="42" t="str">
        <f aca="false">IF($B274="","",TEXT($B274,"yyyy-mm"))</f>
        <v/>
      </c>
      <c r="D274" s="42" t="str">
        <f aca="false">IF($E274="","",IFERROR(INDEX(科目参数!$L$6:$L$85,MATCH($E274,科目参数!$M$6:$M$85,0)),"⚠"))</f>
        <v/>
      </c>
      <c r="E274" s="33"/>
      <c r="F274" s="33"/>
      <c r="G274" s="36"/>
      <c r="H274" s="33"/>
      <c r="I274" s="33"/>
      <c r="J274" s="36"/>
      <c r="K274" s="40"/>
      <c r="L274" s="40"/>
      <c r="M274" s="47" t="str">
        <f aca="false">IF($B274="","",IF(NOT(ISNUMBER($B274)),"日期不是日期格式",IF(YEAR($B274)&lt;&gt;首页!$B$3,"不在会计年度",IF($E274="","未选收支科目",IF($D274="⚠","收支科目不存在",IF($F274="","未选账户",IF($T274="","账户未设资金科目",IF(AND($D274="转账",$U274=""),"转入账户无效",IF(AND(N($K274)&gt;0,N($L274)&gt;0),"收支不能同时填",IF(AND($D274="收入",N($K274)&lt;=0),"收入金额须大于0",IF(AND($D274&lt;&gt;"收入",N($L274)&lt;=0),"支出金额须大于0",IF($O274="","借方科目缺失",IF($P274="","贷方科目缺失","√")))))))))))))</f>
        <v/>
      </c>
      <c r="N274" s="48" t="str">
        <f aca="false">IF($B274="","",IF($D274="收入",N($K274),N($L274)))</f>
        <v/>
      </c>
      <c r="O274" s="49" t="str">
        <f aca="false">IF($B274="","",IF($D274="收入",$T274,IF($D274="转账",$U274,$S274)))</f>
        <v/>
      </c>
      <c r="P274" s="49" t="str">
        <f aca="false">IF($B274="","",IF($D274="收入",$S274,$T274))</f>
        <v/>
      </c>
      <c r="Q274" s="50" t="str">
        <f aca="false">IF($E274="","",IF($D274="转账","—",IFERROR(INDEX(科目参数!$P$6:$P$85,MATCH($E274,科目参数!$M$6:$M$85,0)),"")))</f>
        <v/>
      </c>
      <c r="R274" s="48" t="str">
        <f aca="false">IF($B274="","",SUMIFS(期初数据!$B$6:$B$35,期初数据!$A$6:$A$35,$F274)+SUMIFS($N$5:$N274,$F$5:$F274,$F274,$D$5:$D274,"收入")-SUMIFS($N$5:$N274,$F$5:$F274,$F274,$D$5:$D274,"支出")-SUMIFS($N$5:$N274,$F$5:$F274,$F274,$D$5:$D274,"转账")+SUMIFS($N$5:$N274,$G$5:$G274,$F274,$D$5:$D274,"转账"))</f>
        <v/>
      </c>
      <c r="S274" s="49" t="str">
        <f aca="false">IF($E274="","",IFERROR(INDEX(科目参数!$N$6:$N$85,MATCH($E274,科目参数!$M$6:$M$85,0)),""))</f>
        <v/>
      </c>
      <c r="T274" s="49" t="str">
        <f aca="false">IF($F274="","",IFERROR(INDEX(基础资料!$C$6:$C$35,MATCH($F274,基础资料!$A$6:$A$35,0)),""))</f>
        <v/>
      </c>
      <c r="U274" s="49" t="str">
        <f aca="false">IF($G274="","",IFERROR(INDEX(基础资料!$C$6:$C$35,MATCH($G274,基础资料!$A$6:$A$35,0)),""))</f>
        <v/>
      </c>
      <c r="V274" s="49" t="str">
        <f aca="false">IF(AND($G274=客户对账单!$B$3,$E274="客户回款",$B274&gt;=客户对账单!$E$3,$B274&lt;=客户对账单!$H$3),COUNTIFS($G$5:$G274,客户对账单!$B$3,$E$5:$E274,"客户回款",$B$5:$B274,"&gt;="&amp;客户对账单!$E$3,$B$5:$B274,"&lt;="&amp;客户对账单!$H$3),"")</f>
        <v/>
      </c>
      <c r="W274" s="49" t="str">
        <f aca="false">IF(AND($G274=供应商对账单!$B$3,$E274="供应商付款",$B274&gt;=供应商对账单!$E$3,$B274&lt;=供应商对账单!$H$3),COUNTIFS($G$5:$G274,供应商对账单!$B$3,$E$5:$E274,"供应商付款",$B$5:$B274,"&gt;="&amp;供应商对账单!$E$3,$B$5:$B274,"&lt;="&amp;供应商对账单!$H$3),"")</f>
        <v/>
      </c>
    </row>
    <row r="275" customFormat="false" ht="15.75" hidden="false" customHeight="true" outlineLevel="0" collapsed="false">
      <c r="A275" s="42" t="str">
        <f aca="false">IF($B275="","","ZJ"&amp;TEXT($B275,"yyyymm")&amp;"-"&amp;TEXT(ROW()-4,"000"))</f>
        <v/>
      </c>
      <c r="B275" s="41"/>
      <c r="C275" s="42" t="str">
        <f aca="false">IF($B275="","",TEXT($B275,"yyyy-mm"))</f>
        <v/>
      </c>
      <c r="D275" s="42" t="str">
        <f aca="false">IF($E275="","",IFERROR(INDEX(科目参数!$L$6:$L$85,MATCH($E275,科目参数!$M$6:$M$85,0)),"⚠"))</f>
        <v/>
      </c>
      <c r="E275" s="33"/>
      <c r="F275" s="33"/>
      <c r="G275" s="36"/>
      <c r="H275" s="33"/>
      <c r="I275" s="33"/>
      <c r="J275" s="36"/>
      <c r="K275" s="40"/>
      <c r="L275" s="40"/>
      <c r="M275" s="47" t="str">
        <f aca="false">IF($B275="","",IF(NOT(ISNUMBER($B275)),"日期不是日期格式",IF(YEAR($B275)&lt;&gt;首页!$B$3,"不在会计年度",IF($E275="","未选收支科目",IF($D275="⚠","收支科目不存在",IF($F275="","未选账户",IF($T275="","账户未设资金科目",IF(AND($D275="转账",$U275=""),"转入账户无效",IF(AND(N($K275)&gt;0,N($L275)&gt;0),"收支不能同时填",IF(AND($D275="收入",N($K275)&lt;=0),"收入金额须大于0",IF(AND($D275&lt;&gt;"收入",N($L275)&lt;=0),"支出金额须大于0",IF($O275="","借方科目缺失",IF($P275="","贷方科目缺失","√")))))))))))))</f>
        <v/>
      </c>
      <c r="N275" s="48" t="str">
        <f aca="false">IF($B275="","",IF($D275="收入",N($K275),N($L275)))</f>
        <v/>
      </c>
      <c r="O275" s="49" t="str">
        <f aca="false">IF($B275="","",IF($D275="收入",$T275,IF($D275="转账",$U275,$S275)))</f>
        <v/>
      </c>
      <c r="P275" s="49" t="str">
        <f aca="false">IF($B275="","",IF($D275="收入",$S275,$T275))</f>
        <v/>
      </c>
      <c r="Q275" s="50" t="str">
        <f aca="false">IF($E275="","",IF($D275="转账","—",IFERROR(INDEX(科目参数!$P$6:$P$85,MATCH($E275,科目参数!$M$6:$M$85,0)),"")))</f>
        <v/>
      </c>
      <c r="R275" s="48" t="str">
        <f aca="false">IF($B275="","",SUMIFS(期初数据!$B$6:$B$35,期初数据!$A$6:$A$35,$F275)+SUMIFS($N$5:$N275,$F$5:$F275,$F275,$D$5:$D275,"收入")-SUMIFS($N$5:$N275,$F$5:$F275,$F275,$D$5:$D275,"支出")-SUMIFS($N$5:$N275,$F$5:$F275,$F275,$D$5:$D275,"转账")+SUMIFS($N$5:$N275,$G$5:$G275,$F275,$D$5:$D275,"转账"))</f>
        <v/>
      </c>
      <c r="S275" s="49" t="str">
        <f aca="false">IF($E275="","",IFERROR(INDEX(科目参数!$N$6:$N$85,MATCH($E275,科目参数!$M$6:$M$85,0)),""))</f>
        <v/>
      </c>
      <c r="T275" s="49" t="str">
        <f aca="false">IF($F275="","",IFERROR(INDEX(基础资料!$C$6:$C$35,MATCH($F275,基础资料!$A$6:$A$35,0)),""))</f>
        <v/>
      </c>
      <c r="U275" s="49" t="str">
        <f aca="false">IF($G275="","",IFERROR(INDEX(基础资料!$C$6:$C$35,MATCH($G275,基础资料!$A$6:$A$35,0)),""))</f>
        <v/>
      </c>
      <c r="V275" s="49" t="str">
        <f aca="false">IF(AND($G275=客户对账单!$B$3,$E275="客户回款",$B275&gt;=客户对账单!$E$3,$B275&lt;=客户对账单!$H$3),COUNTIFS($G$5:$G275,客户对账单!$B$3,$E$5:$E275,"客户回款",$B$5:$B275,"&gt;="&amp;客户对账单!$E$3,$B$5:$B275,"&lt;="&amp;客户对账单!$H$3),"")</f>
        <v/>
      </c>
      <c r="W275" s="49" t="str">
        <f aca="false">IF(AND($G275=供应商对账单!$B$3,$E275="供应商付款",$B275&gt;=供应商对账单!$E$3,$B275&lt;=供应商对账单!$H$3),COUNTIFS($G$5:$G275,供应商对账单!$B$3,$E$5:$E275,"供应商付款",$B$5:$B275,"&gt;="&amp;供应商对账单!$E$3,$B$5:$B275,"&lt;="&amp;供应商对账单!$H$3),"")</f>
        <v/>
      </c>
    </row>
    <row r="276" customFormat="false" ht="15.75" hidden="false" customHeight="true" outlineLevel="0" collapsed="false">
      <c r="A276" s="42" t="str">
        <f aca="false">IF($B276="","","ZJ"&amp;TEXT($B276,"yyyymm")&amp;"-"&amp;TEXT(ROW()-4,"000"))</f>
        <v/>
      </c>
      <c r="B276" s="41"/>
      <c r="C276" s="42" t="str">
        <f aca="false">IF($B276="","",TEXT($B276,"yyyy-mm"))</f>
        <v/>
      </c>
      <c r="D276" s="42" t="str">
        <f aca="false">IF($E276="","",IFERROR(INDEX(科目参数!$L$6:$L$85,MATCH($E276,科目参数!$M$6:$M$85,0)),"⚠"))</f>
        <v/>
      </c>
      <c r="E276" s="33"/>
      <c r="F276" s="33"/>
      <c r="G276" s="36"/>
      <c r="H276" s="33"/>
      <c r="I276" s="33"/>
      <c r="J276" s="36"/>
      <c r="K276" s="40"/>
      <c r="L276" s="40"/>
      <c r="M276" s="47" t="str">
        <f aca="false">IF($B276="","",IF(NOT(ISNUMBER($B276)),"日期不是日期格式",IF(YEAR($B276)&lt;&gt;首页!$B$3,"不在会计年度",IF($E276="","未选收支科目",IF($D276="⚠","收支科目不存在",IF($F276="","未选账户",IF($T276="","账户未设资金科目",IF(AND($D276="转账",$U276=""),"转入账户无效",IF(AND(N($K276)&gt;0,N($L276)&gt;0),"收支不能同时填",IF(AND($D276="收入",N($K276)&lt;=0),"收入金额须大于0",IF(AND($D276&lt;&gt;"收入",N($L276)&lt;=0),"支出金额须大于0",IF($O276="","借方科目缺失",IF($P276="","贷方科目缺失","√")))))))))))))</f>
        <v/>
      </c>
      <c r="N276" s="48" t="str">
        <f aca="false">IF($B276="","",IF($D276="收入",N($K276),N($L276)))</f>
        <v/>
      </c>
      <c r="O276" s="49" t="str">
        <f aca="false">IF($B276="","",IF($D276="收入",$T276,IF($D276="转账",$U276,$S276)))</f>
        <v/>
      </c>
      <c r="P276" s="49" t="str">
        <f aca="false">IF($B276="","",IF($D276="收入",$S276,$T276))</f>
        <v/>
      </c>
      <c r="Q276" s="50" t="str">
        <f aca="false">IF($E276="","",IF($D276="转账","—",IFERROR(INDEX(科目参数!$P$6:$P$85,MATCH($E276,科目参数!$M$6:$M$85,0)),"")))</f>
        <v/>
      </c>
      <c r="R276" s="48" t="str">
        <f aca="false">IF($B276="","",SUMIFS(期初数据!$B$6:$B$35,期初数据!$A$6:$A$35,$F276)+SUMIFS($N$5:$N276,$F$5:$F276,$F276,$D$5:$D276,"收入")-SUMIFS($N$5:$N276,$F$5:$F276,$F276,$D$5:$D276,"支出")-SUMIFS($N$5:$N276,$F$5:$F276,$F276,$D$5:$D276,"转账")+SUMIFS($N$5:$N276,$G$5:$G276,$F276,$D$5:$D276,"转账"))</f>
        <v/>
      </c>
      <c r="S276" s="49" t="str">
        <f aca="false">IF($E276="","",IFERROR(INDEX(科目参数!$N$6:$N$85,MATCH($E276,科目参数!$M$6:$M$85,0)),""))</f>
        <v/>
      </c>
      <c r="T276" s="49" t="str">
        <f aca="false">IF($F276="","",IFERROR(INDEX(基础资料!$C$6:$C$35,MATCH($F276,基础资料!$A$6:$A$35,0)),""))</f>
        <v/>
      </c>
      <c r="U276" s="49" t="str">
        <f aca="false">IF($G276="","",IFERROR(INDEX(基础资料!$C$6:$C$35,MATCH($G276,基础资料!$A$6:$A$35,0)),""))</f>
        <v/>
      </c>
      <c r="V276" s="49" t="str">
        <f aca="false">IF(AND($G276=客户对账单!$B$3,$E276="客户回款",$B276&gt;=客户对账单!$E$3,$B276&lt;=客户对账单!$H$3),COUNTIFS($G$5:$G276,客户对账单!$B$3,$E$5:$E276,"客户回款",$B$5:$B276,"&gt;="&amp;客户对账单!$E$3,$B$5:$B276,"&lt;="&amp;客户对账单!$H$3),"")</f>
        <v/>
      </c>
      <c r="W276" s="49" t="str">
        <f aca="false">IF(AND($G276=供应商对账单!$B$3,$E276="供应商付款",$B276&gt;=供应商对账单!$E$3,$B276&lt;=供应商对账单!$H$3),COUNTIFS($G$5:$G276,供应商对账单!$B$3,$E$5:$E276,"供应商付款",$B$5:$B276,"&gt;="&amp;供应商对账单!$E$3,$B$5:$B276,"&lt;="&amp;供应商对账单!$H$3),"")</f>
        <v/>
      </c>
    </row>
    <row r="277" customFormat="false" ht="15.75" hidden="false" customHeight="true" outlineLevel="0" collapsed="false">
      <c r="A277" s="42" t="str">
        <f aca="false">IF($B277="","","ZJ"&amp;TEXT($B277,"yyyymm")&amp;"-"&amp;TEXT(ROW()-4,"000"))</f>
        <v/>
      </c>
      <c r="B277" s="41"/>
      <c r="C277" s="42" t="str">
        <f aca="false">IF($B277="","",TEXT($B277,"yyyy-mm"))</f>
        <v/>
      </c>
      <c r="D277" s="42" t="str">
        <f aca="false">IF($E277="","",IFERROR(INDEX(科目参数!$L$6:$L$85,MATCH($E277,科目参数!$M$6:$M$85,0)),"⚠"))</f>
        <v/>
      </c>
      <c r="E277" s="33"/>
      <c r="F277" s="33"/>
      <c r="G277" s="36"/>
      <c r="H277" s="33"/>
      <c r="I277" s="33"/>
      <c r="J277" s="36"/>
      <c r="K277" s="40"/>
      <c r="L277" s="40"/>
      <c r="M277" s="47" t="str">
        <f aca="false">IF($B277="","",IF(NOT(ISNUMBER($B277)),"日期不是日期格式",IF(YEAR($B277)&lt;&gt;首页!$B$3,"不在会计年度",IF($E277="","未选收支科目",IF($D277="⚠","收支科目不存在",IF($F277="","未选账户",IF($T277="","账户未设资金科目",IF(AND($D277="转账",$U277=""),"转入账户无效",IF(AND(N($K277)&gt;0,N($L277)&gt;0),"收支不能同时填",IF(AND($D277="收入",N($K277)&lt;=0),"收入金额须大于0",IF(AND($D277&lt;&gt;"收入",N($L277)&lt;=0),"支出金额须大于0",IF($O277="","借方科目缺失",IF($P277="","贷方科目缺失","√")))))))))))))</f>
        <v/>
      </c>
      <c r="N277" s="48" t="str">
        <f aca="false">IF($B277="","",IF($D277="收入",N($K277),N($L277)))</f>
        <v/>
      </c>
      <c r="O277" s="49" t="str">
        <f aca="false">IF($B277="","",IF($D277="收入",$T277,IF($D277="转账",$U277,$S277)))</f>
        <v/>
      </c>
      <c r="P277" s="49" t="str">
        <f aca="false">IF($B277="","",IF($D277="收入",$S277,$T277))</f>
        <v/>
      </c>
      <c r="Q277" s="50" t="str">
        <f aca="false">IF($E277="","",IF($D277="转账","—",IFERROR(INDEX(科目参数!$P$6:$P$85,MATCH($E277,科目参数!$M$6:$M$85,0)),"")))</f>
        <v/>
      </c>
      <c r="R277" s="48" t="str">
        <f aca="false">IF($B277="","",SUMIFS(期初数据!$B$6:$B$35,期初数据!$A$6:$A$35,$F277)+SUMIFS($N$5:$N277,$F$5:$F277,$F277,$D$5:$D277,"收入")-SUMIFS($N$5:$N277,$F$5:$F277,$F277,$D$5:$D277,"支出")-SUMIFS($N$5:$N277,$F$5:$F277,$F277,$D$5:$D277,"转账")+SUMIFS($N$5:$N277,$G$5:$G277,$F277,$D$5:$D277,"转账"))</f>
        <v/>
      </c>
      <c r="S277" s="49" t="str">
        <f aca="false">IF($E277="","",IFERROR(INDEX(科目参数!$N$6:$N$85,MATCH($E277,科目参数!$M$6:$M$85,0)),""))</f>
        <v/>
      </c>
      <c r="T277" s="49" t="str">
        <f aca="false">IF($F277="","",IFERROR(INDEX(基础资料!$C$6:$C$35,MATCH($F277,基础资料!$A$6:$A$35,0)),""))</f>
        <v/>
      </c>
      <c r="U277" s="49" t="str">
        <f aca="false">IF($G277="","",IFERROR(INDEX(基础资料!$C$6:$C$35,MATCH($G277,基础资料!$A$6:$A$35,0)),""))</f>
        <v/>
      </c>
      <c r="V277" s="49" t="str">
        <f aca="false">IF(AND($G277=客户对账单!$B$3,$E277="客户回款",$B277&gt;=客户对账单!$E$3,$B277&lt;=客户对账单!$H$3),COUNTIFS($G$5:$G277,客户对账单!$B$3,$E$5:$E277,"客户回款",$B$5:$B277,"&gt;="&amp;客户对账单!$E$3,$B$5:$B277,"&lt;="&amp;客户对账单!$H$3),"")</f>
        <v/>
      </c>
      <c r="W277" s="49" t="str">
        <f aca="false">IF(AND($G277=供应商对账单!$B$3,$E277="供应商付款",$B277&gt;=供应商对账单!$E$3,$B277&lt;=供应商对账单!$H$3),COUNTIFS($G$5:$G277,供应商对账单!$B$3,$E$5:$E277,"供应商付款",$B$5:$B277,"&gt;="&amp;供应商对账单!$E$3,$B$5:$B277,"&lt;="&amp;供应商对账单!$H$3),"")</f>
        <v/>
      </c>
    </row>
    <row r="278" customFormat="false" ht="15.75" hidden="false" customHeight="true" outlineLevel="0" collapsed="false">
      <c r="A278" s="42" t="str">
        <f aca="false">IF($B278="","","ZJ"&amp;TEXT($B278,"yyyymm")&amp;"-"&amp;TEXT(ROW()-4,"000"))</f>
        <v/>
      </c>
      <c r="B278" s="41"/>
      <c r="C278" s="42" t="str">
        <f aca="false">IF($B278="","",TEXT($B278,"yyyy-mm"))</f>
        <v/>
      </c>
      <c r="D278" s="42" t="str">
        <f aca="false">IF($E278="","",IFERROR(INDEX(科目参数!$L$6:$L$85,MATCH($E278,科目参数!$M$6:$M$85,0)),"⚠"))</f>
        <v/>
      </c>
      <c r="E278" s="33"/>
      <c r="F278" s="33"/>
      <c r="G278" s="36"/>
      <c r="H278" s="33"/>
      <c r="I278" s="33"/>
      <c r="J278" s="36"/>
      <c r="K278" s="40"/>
      <c r="L278" s="40"/>
      <c r="M278" s="47" t="str">
        <f aca="false">IF($B278="","",IF(NOT(ISNUMBER($B278)),"日期不是日期格式",IF(YEAR($B278)&lt;&gt;首页!$B$3,"不在会计年度",IF($E278="","未选收支科目",IF($D278="⚠","收支科目不存在",IF($F278="","未选账户",IF($T278="","账户未设资金科目",IF(AND($D278="转账",$U278=""),"转入账户无效",IF(AND(N($K278)&gt;0,N($L278)&gt;0),"收支不能同时填",IF(AND($D278="收入",N($K278)&lt;=0),"收入金额须大于0",IF(AND($D278&lt;&gt;"收入",N($L278)&lt;=0),"支出金额须大于0",IF($O278="","借方科目缺失",IF($P278="","贷方科目缺失","√")))))))))))))</f>
        <v/>
      </c>
      <c r="N278" s="48" t="str">
        <f aca="false">IF($B278="","",IF($D278="收入",N($K278),N($L278)))</f>
        <v/>
      </c>
      <c r="O278" s="49" t="str">
        <f aca="false">IF($B278="","",IF($D278="收入",$T278,IF($D278="转账",$U278,$S278)))</f>
        <v/>
      </c>
      <c r="P278" s="49" t="str">
        <f aca="false">IF($B278="","",IF($D278="收入",$S278,$T278))</f>
        <v/>
      </c>
      <c r="Q278" s="50" t="str">
        <f aca="false">IF($E278="","",IF($D278="转账","—",IFERROR(INDEX(科目参数!$P$6:$P$85,MATCH($E278,科目参数!$M$6:$M$85,0)),"")))</f>
        <v/>
      </c>
      <c r="R278" s="48" t="str">
        <f aca="false">IF($B278="","",SUMIFS(期初数据!$B$6:$B$35,期初数据!$A$6:$A$35,$F278)+SUMIFS($N$5:$N278,$F$5:$F278,$F278,$D$5:$D278,"收入")-SUMIFS($N$5:$N278,$F$5:$F278,$F278,$D$5:$D278,"支出")-SUMIFS($N$5:$N278,$F$5:$F278,$F278,$D$5:$D278,"转账")+SUMIFS($N$5:$N278,$G$5:$G278,$F278,$D$5:$D278,"转账"))</f>
        <v/>
      </c>
      <c r="S278" s="49" t="str">
        <f aca="false">IF($E278="","",IFERROR(INDEX(科目参数!$N$6:$N$85,MATCH($E278,科目参数!$M$6:$M$85,0)),""))</f>
        <v/>
      </c>
      <c r="T278" s="49" t="str">
        <f aca="false">IF($F278="","",IFERROR(INDEX(基础资料!$C$6:$C$35,MATCH($F278,基础资料!$A$6:$A$35,0)),""))</f>
        <v/>
      </c>
      <c r="U278" s="49" t="str">
        <f aca="false">IF($G278="","",IFERROR(INDEX(基础资料!$C$6:$C$35,MATCH($G278,基础资料!$A$6:$A$35,0)),""))</f>
        <v/>
      </c>
      <c r="V278" s="49" t="str">
        <f aca="false">IF(AND($G278=客户对账单!$B$3,$E278="客户回款",$B278&gt;=客户对账单!$E$3,$B278&lt;=客户对账单!$H$3),COUNTIFS($G$5:$G278,客户对账单!$B$3,$E$5:$E278,"客户回款",$B$5:$B278,"&gt;="&amp;客户对账单!$E$3,$B$5:$B278,"&lt;="&amp;客户对账单!$H$3),"")</f>
        <v/>
      </c>
      <c r="W278" s="49" t="str">
        <f aca="false">IF(AND($G278=供应商对账单!$B$3,$E278="供应商付款",$B278&gt;=供应商对账单!$E$3,$B278&lt;=供应商对账单!$H$3),COUNTIFS($G$5:$G278,供应商对账单!$B$3,$E$5:$E278,"供应商付款",$B$5:$B278,"&gt;="&amp;供应商对账单!$E$3,$B$5:$B278,"&lt;="&amp;供应商对账单!$H$3),"")</f>
        <v/>
      </c>
    </row>
    <row r="279" customFormat="false" ht="15.75" hidden="false" customHeight="true" outlineLevel="0" collapsed="false">
      <c r="A279" s="42" t="str">
        <f aca="false">IF($B279="","","ZJ"&amp;TEXT($B279,"yyyymm")&amp;"-"&amp;TEXT(ROW()-4,"000"))</f>
        <v/>
      </c>
      <c r="B279" s="41"/>
      <c r="C279" s="42" t="str">
        <f aca="false">IF($B279="","",TEXT($B279,"yyyy-mm"))</f>
        <v/>
      </c>
      <c r="D279" s="42" t="str">
        <f aca="false">IF($E279="","",IFERROR(INDEX(科目参数!$L$6:$L$85,MATCH($E279,科目参数!$M$6:$M$85,0)),"⚠"))</f>
        <v/>
      </c>
      <c r="E279" s="33"/>
      <c r="F279" s="33"/>
      <c r="G279" s="36"/>
      <c r="H279" s="33"/>
      <c r="I279" s="33"/>
      <c r="J279" s="36"/>
      <c r="K279" s="40"/>
      <c r="L279" s="40"/>
      <c r="M279" s="47" t="str">
        <f aca="false">IF($B279="","",IF(NOT(ISNUMBER($B279)),"日期不是日期格式",IF(YEAR($B279)&lt;&gt;首页!$B$3,"不在会计年度",IF($E279="","未选收支科目",IF($D279="⚠","收支科目不存在",IF($F279="","未选账户",IF($T279="","账户未设资金科目",IF(AND($D279="转账",$U279=""),"转入账户无效",IF(AND(N($K279)&gt;0,N($L279)&gt;0),"收支不能同时填",IF(AND($D279="收入",N($K279)&lt;=0),"收入金额须大于0",IF(AND($D279&lt;&gt;"收入",N($L279)&lt;=0),"支出金额须大于0",IF($O279="","借方科目缺失",IF($P279="","贷方科目缺失","√")))))))))))))</f>
        <v/>
      </c>
      <c r="N279" s="48" t="str">
        <f aca="false">IF($B279="","",IF($D279="收入",N($K279),N($L279)))</f>
        <v/>
      </c>
      <c r="O279" s="49" t="str">
        <f aca="false">IF($B279="","",IF($D279="收入",$T279,IF($D279="转账",$U279,$S279)))</f>
        <v/>
      </c>
      <c r="P279" s="49" t="str">
        <f aca="false">IF($B279="","",IF($D279="收入",$S279,$T279))</f>
        <v/>
      </c>
      <c r="Q279" s="50" t="str">
        <f aca="false">IF($E279="","",IF($D279="转账","—",IFERROR(INDEX(科目参数!$P$6:$P$85,MATCH($E279,科目参数!$M$6:$M$85,0)),"")))</f>
        <v/>
      </c>
      <c r="R279" s="48" t="str">
        <f aca="false">IF($B279="","",SUMIFS(期初数据!$B$6:$B$35,期初数据!$A$6:$A$35,$F279)+SUMIFS($N$5:$N279,$F$5:$F279,$F279,$D$5:$D279,"收入")-SUMIFS($N$5:$N279,$F$5:$F279,$F279,$D$5:$D279,"支出")-SUMIFS($N$5:$N279,$F$5:$F279,$F279,$D$5:$D279,"转账")+SUMIFS($N$5:$N279,$G$5:$G279,$F279,$D$5:$D279,"转账"))</f>
        <v/>
      </c>
      <c r="S279" s="49" t="str">
        <f aca="false">IF($E279="","",IFERROR(INDEX(科目参数!$N$6:$N$85,MATCH($E279,科目参数!$M$6:$M$85,0)),""))</f>
        <v/>
      </c>
      <c r="T279" s="49" t="str">
        <f aca="false">IF($F279="","",IFERROR(INDEX(基础资料!$C$6:$C$35,MATCH($F279,基础资料!$A$6:$A$35,0)),""))</f>
        <v/>
      </c>
      <c r="U279" s="49" t="str">
        <f aca="false">IF($G279="","",IFERROR(INDEX(基础资料!$C$6:$C$35,MATCH($G279,基础资料!$A$6:$A$35,0)),""))</f>
        <v/>
      </c>
      <c r="V279" s="49" t="str">
        <f aca="false">IF(AND($G279=客户对账单!$B$3,$E279="客户回款",$B279&gt;=客户对账单!$E$3,$B279&lt;=客户对账单!$H$3),COUNTIFS($G$5:$G279,客户对账单!$B$3,$E$5:$E279,"客户回款",$B$5:$B279,"&gt;="&amp;客户对账单!$E$3,$B$5:$B279,"&lt;="&amp;客户对账单!$H$3),"")</f>
        <v/>
      </c>
      <c r="W279" s="49" t="str">
        <f aca="false">IF(AND($G279=供应商对账单!$B$3,$E279="供应商付款",$B279&gt;=供应商对账单!$E$3,$B279&lt;=供应商对账单!$H$3),COUNTIFS($G$5:$G279,供应商对账单!$B$3,$E$5:$E279,"供应商付款",$B$5:$B279,"&gt;="&amp;供应商对账单!$E$3,$B$5:$B279,"&lt;="&amp;供应商对账单!$H$3),"")</f>
        <v/>
      </c>
    </row>
    <row r="280" customFormat="false" ht="15.75" hidden="false" customHeight="true" outlineLevel="0" collapsed="false">
      <c r="A280" s="42" t="str">
        <f aca="false">IF($B280="","","ZJ"&amp;TEXT($B280,"yyyymm")&amp;"-"&amp;TEXT(ROW()-4,"000"))</f>
        <v/>
      </c>
      <c r="B280" s="41"/>
      <c r="C280" s="42" t="str">
        <f aca="false">IF($B280="","",TEXT($B280,"yyyy-mm"))</f>
        <v/>
      </c>
      <c r="D280" s="42" t="str">
        <f aca="false">IF($E280="","",IFERROR(INDEX(科目参数!$L$6:$L$85,MATCH($E280,科目参数!$M$6:$M$85,0)),"⚠"))</f>
        <v/>
      </c>
      <c r="E280" s="33"/>
      <c r="F280" s="33"/>
      <c r="G280" s="36"/>
      <c r="H280" s="33"/>
      <c r="I280" s="33"/>
      <c r="J280" s="36"/>
      <c r="K280" s="40"/>
      <c r="L280" s="40"/>
      <c r="M280" s="47" t="str">
        <f aca="false">IF($B280="","",IF(NOT(ISNUMBER($B280)),"日期不是日期格式",IF(YEAR($B280)&lt;&gt;首页!$B$3,"不在会计年度",IF($E280="","未选收支科目",IF($D280="⚠","收支科目不存在",IF($F280="","未选账户",IF($T280="","账户未设资金科目",IF(AND($D280="转账",$U280=""),"转入账户无效",IF(AND(N($K280)&gt;0,N($L280)&gt;0),"收支不能同时填",IF(AND($D280="收入",N($K280)&lt;=0),"收入金额须大于0",IF(AND($D280&lt;&gt;"收入",N($L280)&lt;=0),"支出金额须大于0",IF($O280="","借方科目缺失",IF($P280="","贷方科目缺失","√")))))))))))))</f>
        <v/>
      </c>
      <c r="N280" s="48" t="str">
        <f aca="false">IF($B280="","",IF($D280="收入",N($K280),N($L280)))</f>
        <v/>
      </c>
      <c r="O280" s="49" t="str">
        <f aca="false">IF($B280="","",IF($D280="收入",$T280,IF($D280="转账",$U280,$S280)))</f>
        <v/>
      </c>
      <c r="P280" s="49" t="str">
        <f aca="false">IF($B280="","",IF($D280="收入",$S280,$T280))</f>
        <v/>
      </c>
      <c r="Q280" s="50" t="str">
        <f aca="false">IF($E280="","",IF($D280="转账","—",IFERROR(INDEX(科目参数!$P$6:$P$85,MATCH($E280,科目参数!$M$6:$M$85,0)),"")))</f>
        <v/>
      </c>
      <c r="R280" s="48" t="str">
        <f aca="false">IF($B280="","",SUMIFS(期初数据!$B$6:$B$35,期初数据!$A$6:$A$35,$F280)+SUMIFS($N$5:$N280,$F$5:$F280,$F280,$D$5:$D280,"收入")-SUMIFS($N$5:$N280,$F$5:$F280,$F280,$D$5:$D280,"支出")-SUMIFS($N$5:$N280,$F$5:$F280,$F280,$D$5:$D280,"转账")+SUMIFS($N$5:$N280,$G$5:$G280,$F280,$D$5:$D280,"转账"))</f>
        <v/>
      </c>
      <c r="S280" s="49" t="str">
        <f aca="false">IF($E280="","",IFERROR(INDEX(科目参数!$N$6:$N$85,MATCH($E280,科目参数!$M$6:$M$85,0)),""))</f>
        <v/>
      </c>
      <c r="T280" s="49" t="str">
        <f aca="false">IF($F280="","",IFERROR(INDEX(基础资料!$C$6:$C$35,MATCH($F280,基础资料!$A$6:$A$35,0)),""))</f>
        <v/>
      </c>
      <c r="U280" s="49" t="str">
        <f aca="false">IF($G280="","",IFERROR(INDEX(基础资料!$C$6:$C$35,MATCH($G280,基础资料!$A$6:$A$35,0)),""))</f>
        <v/>
      </c>
      <c r="V280" s="49" t="str">
        <f aca="false">IF(AND($G280=客户对账单!$B$3,$E280="客户回款",$B280&gt;=客户对账单!$E$3,$B280&lt;=客户对账单!$H$3),COUNTIFS($G$5:$G280,客户对账单!$B$3,$E$5:$E280,"客户回款",$B$5:$B280,"&gt;="&amp;客户对账单!$E$3,$B$5:$B280,"&lt;="&amp;客户对账单!$H$3),"")</f>
        <v/>
      </c>
      <c r="W280" s="49" t="str">
        <f aca="false">IF(AND($G280=供应商对账单!$B$3,$E280="供应商付款",$B280&gt;=供应商对账单!$E$3,$B280&lt;=供应商对账单!$H$3),COUNTIFS($G$5:$G280,供应商对账单!$B$3,$E$5:$E280,"供应商付款",$B$5:$B280,"&gt;="&amp;供应商对账单!$E$3,$B$5:$B280,"&lt;="&amp;供应商对账单!$H$3),"")</f>
        <v/>
      </c>
    </row>
    <row r="281" customFormat="false" ht="15.75" hidden="false" customHeight="true" outlineLevel="0" collapsed="false">
      <c r="A281" s="42" t="str">
        <f aca="false">IF($B281="","","ZJ"&amp;TEXT($B281,"yyyymm")&amp;"-"&amp;TEXT(ROW()-4,"000"))</f>
        <v/>
      </c>
      <c r="B281" s="41"/>
      <c r="C281" s="42" t="str">
        <f aca="false">IF($B281="","",TEXT($B281,"yyyy-mm"))</f>
        <v/>
      </c>
      <c r="D281" s="42" t="str">
        <f aca="false">IF($E281="","",IFERROR(INDEX(科目参数!$L$6:$L$85,MATCH($E281,科目参数!$M$6:$M$85,0)),"⚠"))</f>
        <v/>
      </c>
      <c r="E281" s="33"/>
      <c r="F281" s="33"/>
      <c r="G281" s="36"/>
      <c r="H281" s="33"/>
      <c r="I281" s="33"/>
      <c r="J281" s="36"/>
      <c r="K281" s="40"/>
      <c r="L281" s="40"/>
      <c r="M281" s="47" t="str">
        <f aca="false">IF($B281="","",IF(NOT(ISNUMBER($B281)),"日期不是日期格式",IF(YEAR($B281)&lt;&gt;首页!$B$3,"不在会计年度",IF($E281="","未选收支科目",IF($D281="⚠","收支科目不存在",IF($F281="","未选账户",IF($T281="","账户未设资金科目",IF(AND($D281="转账",$U281=""),"转入账户无效",IF(AND(N($K281)&gt;0,N($L281)&gt;0),"收支不能同时填",IF(AND($D281="收入",N($K281)&lt;=0),"收入金额须大于0",IF(AND($D281&lt;&gt;"收入",N($L281)&lt;=0),"支出金额须大于0",IF($O281="","借方科目缺失",IF($P281="","贷方科目缺失","√")))))))))))))</f>
        <v/>
      </c>
      <c r="N281" s="48" t="str">
        <f aca="false">IF($B281="","",IF($D281="收入",N($K281),N($L281)))</f>
        <v/>
      </c>
      <c r="O281" s="49" t="str">
        <f aca="false">IF($B281="","",IF($D281="收入",$T281,IF($D281="转账",$U281,$S281)))</f>
        <v/>
      </c>
      <c r="P281" s="49" t="str">
        <f aca="false">IF($B281="","",IF($D281="收入",$S281,$T281))</f>
        <v/>
      </c>
      <c r="Q281" s="50" t="str">
        <f aca="false">IF($E281="","",IF($D281="转账","—",IFERROR(INDEX(科目参数!$P$6:$P$85,MATCH($E281,科目参数!$M$6:$M$85,0)),"")))</f>
        <v/>
      </c>
      <c r="R281" s="48" t="str">
        <f aca="false">IF($B281="","",SUMIFS(期初数据!$B$6:$B$35,期初数据!$A$6:$A$35,$F281)+SUMIFS($N$5:$N281,$F$5:$F281,$F281,$D$5:$D281,"收入")-SUMIFS($N$5:$N281,$F$5:$F281,$F281,$D$5:$D281,"支出")-SUMIFS($N$5:$N281,$F$5:$F281,$F281,$D$5:$D281,"转账")+SUMIFS($N$5:$N281,$G$5:$G281,$F281,$D$5:$D281,"转账"))</f>
        <v/>
      </c>
      <c r="S281" s="49" t="str">
        <f aca="false">IF($E281="","",IFERROR(INDEX(科目参数!$N$6:$N$85,MATCH($E281,科目参数!$M$6:$M$85,0)),""))</f>
        <v/>
      </c>
      <c r="T281" s="49" t="str">
        <f aca="false">IF($F281="","",IFERROR(INDEX(基础资料!$C$6:$C$35,MATCH($F281,基础资料!$A$6:$A$35,0)),""))</f>
        <v/>
      </c>
      <c r="U281" s="49" t="str">
        <f aca="false">IF($G281="","",IFERROR(INDEX(基础资料!$C$6:$C$35,MATCH($G281,基础资料!$A$6:$A$35,0)),""))</f>
        <v/>
      </c>
      <c r="V281" s="49" t="str">
        <f aca="false">IF(AND($G281=客户对账单!$B$3,$E281="客户回款",$B281&gt;=客户对账单!$E$3,$B281&lt;=客户对账单!$H$3),COUNTIFS($G$5:$G281,客户对账单!$B$3,$E$5:$E281,"客户回款",$B$5:$B281,"&gt;="&amp;客户对账单!$E$3,$B$5:$B281,"&lt;="&amp;客户对账单!$H$3),"")</f>
        <v/>
      </c>
      <c r="W281" s="49" t="str">
        <f aca="false">IF(AND($G281=供应商对账单!$B$3,$E281="供应商付款",$B281&gt;=供应商对账单!$E$3,$B281&lt;=供应商对账单!$H$3),COUNTIFS($G$5:$G281,供应商对账单!$B$3,$E$5:$E281,"供应商付款",$B$5:$B281,"&gt;="&amp;供应商对账单!$E$3,$B$5:$B281,"&lt;="&amp;供应商对账单!$H$3),"")</f>
        <v/>
      </c>
    </row>
    <row r="282" customFormat="false" ht="15.75" hidden="false" customHeight="true" outlineLevel="0" collapsed="false">
      <c r="A282" s="42" t="str">
        <f aca="false">IF($B282="","","ZJ"&amp;TEXT($B282,"yyyymm")&amp;"-"&amp;TEXT(ROW()-4,"000"))</f>
        <v/>
      </c>
      <c r="B282" s="41"/>
      <c r="C282" s="42" t="str">
        <f aca="false">IF($B282="","",TEXT($B282,"yyyy-mm"))</f>
        <v/>
      </c>
      <c r="D282" s="42" t="str">
        <f aca="false">IF($E282="","",IFERROR(INDEX(科目参数!$L$6:$L$85,MATCH($E282,科目参数!$M$6:$M$85,0)),"⚠"))</f>
        <v/>
      </c>
      <c r="E282" s="33"/>
      <c r="F282" s="33"/>
      <c r="G282" s="36"/>
      <c r="H282" s="33"/>
      <c r="I282" s="33"/>
      <c r="J282" s="36"/>
      <c r="K282" s="40"/>
      <c r="L282" s="40"/>
      <c r="M282" s="47" t="str">
        <f aca="false">IF($B282="","",IF(NOT(ISNUMBER($B282)),"日期不是日期格式",IF(YEAR($B282)&lt;&gt;首页!$B$3,"不在会计年度",IF($E282="","未选收支科目",IF($D282="⚠","收支科目不存在",IF($F282="","未选账户",IF($T282="","账户未设资金科目",IF(AND($D282="转账",$U282=""),"转入账户无效",IF(AND(N($K282)&gt;0,N($L282)&gt;0),"收支不能同时填",IF(AND($D282="收入",N($K282)&lt;=0),"收入金额须大于0",IF(AND($D282&lt;&gt;"收入",N($L282)&lt;=0),"支出金额须大于0",IF($O282="","借方科目缺失",IF($P282="","贷方科目缺失","√")))))))))))))</f>
        <v/>
      </c>
      <c r="N282" s="48" t="str">
        <f aca="false">IF($B282="","",IF($D282="收入",N($K282),N($L282)))</f>
        <v/>
      </c>
      <c r="O282" s="49" t="str">
        <f aca="false">IF($B282="","",IF($D282="收入",$T282,IF($D282="转账",$U282,$S282)))</f>
        <v/>
      </c>
      <c r="P282" s="49" t="str">
        <f aca="false">IF($B282="","",IF($D282="收入",$S282,$T282))</f>
        <v/>
      </c>
      <c r="Q282" s="50" t="str">
        <f aca="false">IF($E282="","",IF($D282="转账","—",IFERROR(INDEX(科目参数!$P$6:$P$85,MATCH($E282,科目参数!$M$6:$M$85,0)),"")))</f>
        <v/>
      </c>
      <c r="R282" s="48" t="str">
        <f aca="false">IF($B282="","",SUMIFS(期初数据!$B$6:$B$35,期初数据!$A$6:$A$35,$F282)+SUMIFS($N$5:$N282,$F$5:$F282,$F282,$D$5:$D282,"收入")-SUMIFS($N$5:$N282,$F$5:$F282,$F282,$D$5:$D282,"支出")-SUMIFS($N$5:$N282,$F$5:$F282,$F282,$D$5:$D282,"转账")+SUMIFS($N$5:$N282,$G$5:$G282,$F282,$D$5:$D282,"转账"))</f>
        <v/>
      </c>
      <c r="S282" s="49" t="str">
        <f aca="false">IF($E282="","",IFERROR(INDEX(科目参数!$N$6:$N$85,MATCH($E282,科目参数!$M$6:$M$85,0)),""))</f>
        <v/>
      </c>
      <c r="T282" s="49" t="str">
        <f aca="false">IF($F282="","",IFERROR(INDEX(基础资料!$C$6:$C$35,MATCH($F282,基础资料!$A$6:$A$35,0)),""))</f>
        <v/>
      </c>
      <c r="U282" s="49" t="str">
        <f aca="false">IF($G282="","",IFERROR(INDEX(基础资料!$C$6:$C$35,MATCH($G282,基础资料!$A$6:$A$35,0)),""))</f>
        <v/>
      </c>
      <c r="V282" s="49" t="str">
        <f aca="false">IF(AND($G282=客户对账单!$B$3,$E282="客户回款",$B282&gt;=客户对账单!$E$3,$B282&lt;=客户对账单!$H$3),COUNTIFS($G$5:$G282,客户对账单!$B$3,$E$5:$E282,"客户回款",$B$5:$B282,"&gt;="&amp;客户对账单!$E$3,$B$5:$B282,"&lt;="&amp;客户对账单!$H$3),"")</f>
        <v/>
      </c>
      <c r="W282" s="49" t="str">
        <f aca="false">IF(AND($G282=供应商对账单!$B$3,$E282="供应商付款",$B282&gt;=供应商对账单!$E$3,$B282&lt;=供应商对账单!$H$3),COUNTIFS($G$5:$G282,供应商对账单!$B$3,$E$5:$E282,"供应商付款",$B$5:$B282,"&gt;="&amp;供应商对账单!$E$3,$B$5:$B282,"&lt;="&amp;供应商对账单!$H$3),"")</f>
        <v/>
      </c>
    </row>
    <row r="283" customFormat="false" ht="15.75" hidden="false" customHeight="true" outlineLevel="0" collapsed="false">
      <c r="A283" s="42" t="str">
        <f aca="false">IF($B283="","","ZJ"&amp;TEXT($B283,"yyyymm")&amp;"-"&amp;TEXT(ROW()-4,"000"))</f>
        <v/>
      </c>
      <c r="B283" s="41"/>
      <c r="C283" s="42" t="str">
        <f aca="false">IF($B283="","",TEXT($B283,"yyyy-mm"))</f>
        <v/>
      </c>
      <c r="D283" s="42" t="str">
        <f aca="false">IF($E283="","",IFERROR(INDEX(科目参数!$L$6:$L$85,MATCH($E283,科目参数!$M$6:$M$85,0)),"⚠"))</f>
        <v/>
      </c>
      <c r="E283" s="33"/>
      <c r="F283" s="33"/>
      <c r="G283" s="36"/>
      <c r="H283" s="33"/>
      <c r="I283" s="33"/>
      <c r="J283" s="36"/>
      <c r="K283" s="40"/>
      <c r="L283" s="40"/>
      <c r="M283" s="47" t="str">
        <f aca="false">IF($B283="","",IF(NOT(ISNUMBER($B283)),"日期不是日期格式",IF(YEAR($B283)&lt;&gt;首页!$B$3,"不在会计年度",IF($E283="","未选收支科目",IF($D283="⚠","收支科目不存在",IF($F283="","未选账户",IF($T283="","账户未设资金科目",IF(AND($D283="转账",$U283=""),"转入账户无效",IF(AND(N($K283)&gt;0,N($L283)&gt;0),"收支不能同时填",IF(AND($D283="收入",N($K283)&lt;=0),"收入金额须大于0",IF(AND($D283&lt;&gt;"收入",N($L283)&lt;=0),"支出金额须大于0",IF($O283="","借方科目缺失",IF($P283="","贷方科目缺失","√")))))))))))))</f>
        <v/>
      </c>
      <c r="N283" s="48" t="str">
        <f aca="false">IF($B283="","",IF($D283="收入",N($K283),N($L283)))</f>
        <v/>
      </c>
      <c r="O283" s="49" t="str">
        <f aca="false">IF($B283="","",IF($D283="收入",$T283,IF($D283="转账",$U283,$S283)))</f>
        <v/>
      </c>
      <c r="P283" s="49" t="str">
        <f aca="false">IF($B283="","",IF($D283="收入",$S283,$T283))</f>
        <v/>
      </c>
      <c r="Q283" s="50" t="str">
        <f aca="false">IF($E283="","",IF($D283="转账","—",IFERROR(INDEX(科目参数!$P$6:$P$85,MATCH($E283,科目参数!$M$6:$M$85,0)),"")))</f>
        <v/>
      </c>
      <c r="R283" s="48" t="str">
        <f aca="false">IF($B283="","",SUMIFS(期初数据!$B$6:$B$35,期初数据!$A$6:$A$35,$F283)+SUMIFS($N$5:$N283,$F$5:$F283,$F283,$D$5:$D283,"收入")-SUMIFS($N$5:$N283,$F$5:$F283,$F283,$D$5:$D283,"支出")-SUMIFS($N$5:$N283,$F$5:$F283,$F283,$D$5:$D283,"转账")+SUMIFS($N$5:$N283,$G$5:$G283,$F283,$D$5:$D283,"转账"))</f>
        <v/>
      </c>
      <c r="S283" s="49" t="str">
        <f aca="false">IF($E283="","",IFERROR(INDEX(科目参数!$N$6:$N$85,MATCH($E283,科目参数!$M$6:$M$85,0)),""))</f>
        <v/>
      </c>
      <c r="T283" s="49" t="str">
        <f aca="false">IF($F283="","",IFERROR(INDEX(基础资料!$C$6:$C$35,MATCH($F283,基础资料!$A$6:$A$35,0)),""))</f>
        <v/>
      </c>
      <c r="U283" s="49" t="str">
        <f aca="false">IF($G283="","",IFERROR(INDEX(基础资料!$C$6:$C$35,MATCH($G283,基础资料!$A$6:$A$35,0)),""))</f>
        <v/>
      </c>
      <c r="V283" s="49" t="str">
        <f aca="false">IF(AND($G283=客户对账单!$B$3,$E283="客户回款",$B283&gt;=客户对账单!$E$3,$B283&lt;=客户对账单!$H$3),COUNTIFS($G$5:$G283,客户对账单!$B$3,$E$5:$E283,"客户回款",$B$5:$B283,"&gt;="&amp;客户对账单!$E$3,$B$5:$B283,"&lt;="&amp;客户对账单!$H$3),"")</f>
        <v/>
      </c>
      <c r="W283" s="49" t="str">
        <f aca="false">IF(AND($G283=供应商对账单!$B$3,$E283="供应商付款",$B283&gt;=供应商对账单!$E$3,$B283&lt;=供应商对账单!$H$3),COUNTIFS($G$5:$G283,供应商对账单!$B$3,$E$5:$E283,"供应商付款",$B$5:$B283,"&gt;="&amp;供应商对账单!$E$3,$B$5:$B283,"&lt;="&amp;供应商对账单!$H$3),"")</f>
        <v/>
      </c>
    </row>
    <row r="284" customFormat="false" ht="15.75" hidden="false" customHeight="true" outlineLevel="0" collapsed="false">
      <c r="A284" s="42" t="str">
        <f aca="false">IF($B284="","","ZJ"&amp;TEXT($B284,"yyyymm")&amp;"-"&amp;TEXT(ROW()-4,"000"))</f>
        <v/>
      </c>
      <c r="B284" s="41"/>
      <c r="C284" s="42" t="str">
        <f aca="false">IF($B284="","",TEXT($B284,"yyyy-mm"))</f>
        <v/>
      </c>
      <c r="D284" s="42" t="str">
        <f aca="false">IF($E284="","",IFERROR(INDEX(科目参数!$L$6:$L$85,MATCH($E284,科目参数!$M$6:$M$85,0)),"⚠"))</f>
        <v/>
      </c>
      <c r="E284" s="33"/>
      <c r="F284" s="33"/>
      <c r="G284" s="36"/>
      <c r="H284" s="33"/>
      <c r="I284" s="33"/>
      <c r="J284" s="36"/>
      <c r="K284" s="40"/>
      <c r="L284" s="40"/>
      <c r="M284" s="47" t="str">
        <f aca="false">IF($B284="","",IF(NOT(ISNUMBER($B284)),"日期不是日期格式",IF(YEAR($B284)&lt;&gt;首页!$B$3,"不在会计年度",IF($E284="","未选收支科目",IF($D284="⚠","收支科目不存在",IF($F284="","未选账户",IF($T284="","账户未设资金科目",IF(AND($D284="转账",$U284=""),"转入账户无效",IF(AND(N($K284)&gt;0,N($L284)&gt;0),"收支不能同时填",IF(AND($D284="收入",N($K284)&lt;=0),"收入金额须大于0",IF(AND($D284&lt;&gt;"收入",N($L284)&lt;=0),"支出金额须大于0",IF($O284="","借方科目缺失",IF($P284="","贷方科目缺失","√")))))))))))))</f>
        <v/>
      </c>
      <c r="N284" s="48" t="str">
        <f aca="false">IF($B284="","",IF($D284="收入",N($K284),N($L284)))</f>
        <v/>
      </c>
      <c r="O284" s="49" t="str">
        <f aca="false">IF($B284="","",IF($D284="收入",$T284,IF($D284="转账",$U284,$S284)))</f>
        <v/>
      </c>
      <c r="P284" s="49" t="str">
        <f aca="false">IF($B284="","",IF($D284="收入",$S284,$T284))</f>
        <v/>
      </c>
      <c r="Q284" s="50" t="str">
        <f aca="false">IF($E284="","",IF($D284="转账","—",IFERROR(INDEX(科目参数!$P$6:$P$85,MATCH($E284,科目参数!$M$6:$M$85,0)),"")))</f>
        <v/>
      </c>
      <c r="R284" s="48" t="str">
        <f aca="false">IF($B284="","",SUMIFS(期初数据!$B$6:$B$35,期初数据!$A$6:$A$35,$F284)+SUMIFS($N$5:$N284,$F$5:$F284,$F284,$D$5:$D284,"收入")-SUMIFS($N$5:$N284,$F$5:$F284,$F284,$D$5:$D284,"支出")-SUMIFS($N$5:$N284,$F$5:$F284,$F284,$D$5:$D284,"转账")+SUMIFS($N$5:$N284,$G$5:$G284,$F284,$D$5:$D284,"转账"))</f>
        <v/>
      </c>
      <c r="S284" s="49" t="str">
        <f aca="false">IF($E284="","",IFERROR(INDEX(科目参数!$N$6:$N$85,MATCH($E284,科目参数!$M$6:$M$85,0)),""))</f>
        <v/>
      </c>
      <c r="T284" s="49" t="str">
        <f aca="false">IF($F284="","",IFERROR(INDEX(基础资料!$C$6:$C$35,MATCH($F284,基础资料!$A$6:$A$35,0)),""))</f>
        <v/>
      </c>
      <c r="U284" s="49" t="str">
        <f aca="false">IF($G284="","",IFERROR(INDEX(基础资料!$C$6:$C$35,MATCH($G284,基础资料!$A$6:$A$35,0)),""))</f>
        <v/>
      </c>
      <c r="V284" s="49" t="str">
        <f aca="false">IF(AND($G284=客户对账单!$B$3,$E284="客户回款",$B284&gt;=客户对账单!$E$3,$B284&lt;=客户对账单!$H$3),COUNTIFS($G$5:$G284,客户对账单!$B$3,$E$5:$E284,"客户回款",$B$5:$B284,"&gt;="&amp;客户对账单!$E$3,$B$5:$B284,"&lt;="&amp;客户对账单!$H$3),"")</f>
        <v/>
      </c>
      <c r="W284" s="49" t="str">
        <f aca="false">IF(AND($G284=供应商对账单!$B$3,$E284="供应商付款",$B284&gt;=供应商对账单!$E$3,$B284&lt;=供应商对账单!$H$3),COUNTIFS($G$5:$G284,供应商对账单!$B$3,$E$5:$E284,"供应商付款",$B$5:$B284,"&gt;="&amp;供应商对账单!$E$3,$B$5:$B284,"&lt;="&amp;供应商对账单!$H$3),"")</f>
        <v/>
      </c>
    </row>
    <row r="285" customFormat="false" ht="15.75" hidden="false" customHeight="true" outlineLevel="0" collapsed="false">
      <c r="A285" s="42" t="str">
        <f aca="false">IF($B285="","","ZJ"&amp;TEXT($B285,"yyyymm")&amp;"-"&amp;TEXT(ROW()-4,"000"))</f>
        <v/>
      </c>
      <c r="B285" s="41"/>
      <c r="C285" s="42" t="str">
        <f aca="false">IF($B285="","",TEXT($B285,"yyyy-mm"))</f>
        <v/>
      </c>
      <c r="D285" s="42" t="str">
        <f aca="false">IF($E285="","",IFERROR(INDEX(科目参数!$L$6:$L$85,MATCH($E285,科目参数!$M$6:$M$85,0)),"⚠"))</f>
        <v/>
      </c>
      <c r="E285" s="33"/>
      <c r="F285" s="33"/>
      <c r="G285" s="36"/>
      <c r="H285" s="33"/>
      <c r="I285" s="33"/>
      <c r="J285" s="36"/>
      <c r="K285" s="40"/>
      <c r="L285" s="40"/>
      <c r="M285" s="47" t="str">
        <f aca="false">IF($B285="","",IF(NOT(ISNUMBER($B285)),"日期不是日期格式",IF(YEAR($B285)&lt;&gt;首页!$B$3,"不在会计年度",IF($E285="","未选收支科目",IF($D285="⚠","收支科目不存在",IF($F285="","未选账户",IF($T285="","账户未设资金科目",IF(AND($D285="转账",$U285=""),"转入账户无效",IF(AND(N($K285)&gt;0,N($L285)&gt;0),"收支不能同时填",IF(AND($D285="收入",N($K285)&lt;=0),"收入金额须大于0",IF(AND($D285&lt;&gt;"收入",N($L285)&lt;=0),"支出金额须大于0",IF($O285="","借方科目缺失",IF($P285="","贷方科目缺失","√")))))))))))))</f>
        <v/>
      </c>
      <c r="N285" s="48" t="str">
        <f aca="false">IF($B285="","",IF($D285="收入",N($K285),N($L285)))</f>
        <v/>
      </c>
      <c r="O285" s="49" t="str">
        <f aca="false">IF($B285="","",IF($D285="收入",$T285,IF($D285="转账",$U285,$S285)))</f>
        <v/>
      </c>
      <c r="P285" s="49" t="str">
        <f aca="false">IF($B285="","",IF($D285="收入",$S285,$T285))</f>
        <v/>
      </c>
      <c r="Q285" s="50" t="str">
        <f aca="false">IF($E285="","",IF($D285="转账","—",IFERROR(INDEX(科目参数!$P$6:$P$85,MATCH($E285,科目参数!$M$6:$M$85,0)),"")))</f>
        <v/>
      </c>
      <c r="R285" s="48" t="str">
        <f aca="false">IF($B285="","",SUMIFS(期初数据!$B$6:$B$35,期初数据!$A$6:$A$35,$F285)+SUMIFS($N$5:$N285,$F$5:$F285,$F285,$D$5:$D285,"收入")-SUMIFS($N$5:$N285,$F$5:$F285,$F285,$D$5:$D285,"支出")-SUMIFS($N$5:$N285,$F$5:$F285,$F285,$D$5:$D285,"转账")+SUMIFS($N$5:$N285,$G$5:$G285,$F285,$D$5:$D285,"转账"))</f>
        <v/>
      </c>
      <c r="S285" s="49" t="str">
        <f aca="false">IF($E285="","",IFERROR(INDEX(科目参数!$N$6:$N$85,MATCH($E285,科目参数!$M$6:$M$85,0)),""))</f>
        <v/>
      </c>
      <c r="T285" s="49" t="str">
        <f aca="false">IF($F285="","",IFERROR(INDEX(基础资料!$C$6:$C$35,MATCH($F285,基础资料!$A$6:$A$35,0)),""))</f>
        <v/>
      </c>
      <c r="U285" s="49" t="str">
        <f aca="false">IF($G285="","",IFERROR(INDEX(基础资料!$C$6:$C$35,MATCH($G285,基础资料!$A$6:$A$35,0)),""))</f>
        <v/>
      </c>
      <c r="V285" s="49" t="str">
        <f aca="false">IF(AND($G285=客户对账单!$B$3,$E285="客户回款",$B285&gt;=客户对账单!$E$3,$B285&lt;=客户对账单!$H$3),COUNTIFS($G$5:$G285,客户对账单!$B$3,$E$5:$E285,"客户回款",$B$5:$B285,"&gt;="&amp;客户对账单!$E$3,$B$5:$B285,"&lt;="&amp;客户对账单!$H$3),"")</f>
        <v/>
      </c>
      <c r="W285" s="49" t="str">
        <f aca="false">IF(AND($G285=供应商对账单!$B$3,$E285="供应商付款",$B285&gt;=供应商对账单!$E$3,$B285&lt;=供应商对账单!$H$3),COUNTIFS($G$5:$G285,供应商对账单!$B$3,$E$5:$E285,"供应商付款",$B$5:$B285,"&gt;="&amp;供应商对账单!$E$3,$B$5:$B285,"&lt;="&amp;供应商对账单!$H$3),"")</f>
        <v/>
      </c>
    </row>
    <row r="286" customFormat="false" ht="15.75" hidden="false" customHeight="true" outlineLevel="0" collapsed="false">
      <c r="A286" s="42" t="str">
        <f aca="false">IF($B286="","","ZJ"&amp;TEXT($B286,"yyyymm")&amp;"-"&amp;TEXT(ROW()-4,"000"))</f>
        <v/>
      </c>
      <c r="B286" s="41"/>
      <c r="C286" s="42" t="str">
        <f aca="false">IF($B286="","",TEXT($B286,"yyyy-mm"))</f>
        <v/>
      </c>
      <c r="D286" s="42" t="str">
        <f aca="false">IF($E286="","",IFERROR(INDEX(科目参数!$L$6:$L$85,MATCH($E286,科目参数!$M$6:$M$85,0)),"⚠"))</f>
        <v/>
      </c>
      <c r="E286" s="33"/>
      <c r="F286" s="33"/>
      <c r="G286" s="36"/>
      <c r="H286" s="33"/>
      <c r="I286" s="33"/>
      <c r="J286" s="36"/>
      <c r="K286" s="40"/>
      <c r="L286" s="40"/>
      <c r="M286" s="47" t="str">
        <f aca="false">IF($B286="","",IF(NOT(ISNUMBER($B286)),"日期不是日期格式",IF(YEAR($B286)&lt;&gt;首页!$B$3,"不在会计年度",IF($E286="","未选收支科目",IF($D286="⚠","收支科目不存在",IF($F286="","未选账户",IF($T286="","账户未设资金科目",IF(AND($D286="转账",$U286=""),"转入账户无效",IF(AND(N($K286)&gt;0,N($L286)&gt;0),"收支不能同时填",IF(AND($D286="收入",N($K286)&lt;=0),"收入金额须大于0",IF(AND($D286&lt;&gt;"收入",N($L286)&lt;=0),"支出金额须大于0",IF($O286="","借方科目缺失",IF($P286="","贷方科目缺失","√")))))))))))))</f>
        <v/>
      </c>
      <c r="N286" s="48" t="str">
        <f aca="false">IF($B286="","",IF($D286="收入",N($K286),N($L286)))</f>
        <v/>
      </c>
      <c r="O286" s="49" t="str">
        <f aca="false">IF($B286="","",IF($D286="收入",$T286,IF($D286="转账",$U286,$S286)))</f>
        <v/>
      </c>
      <c r="P286" s="49" t="str">
        <f aca="false">IF($B286="","",IF($D286="收入",$S286,$T286))</f>
        <v/>
      </c>
      <c r="Q286" s="50" t="str">
        <f aca="false">IF($E286="","",IF($D286="转账","—",IFERROR(INDEX(科目参数!$P$6:$P$85,MATCH($E286,科目参数!$M$6:$M$85,0)),"")))</f>
        <v/>
      </c>
      <c r="R286" s="48" t="str">
        <f aca="false">IF($B286="","",SUMIFS(期初数据!$B$6:$B$35,期初数据!$A$6:$A$35,$F286)+SUMIFS($N$5:$N286,$F$5:$F286,$F286,$D$5:$D286,"收入")-SUMIFS($N$5:$N286,$F$5:$F286,$F286,$D$5:$D286,"支出")-SUMIFS($N$5:$N286,$F$5:$F286,$F286,$D$5:$D286,"转账")+SUMIFS($N$5:$N286,$G$5:$G286,$F286,$D$5:$D286,"转账"))</f>
        <v/>
      </c>
      <c r="S286" s="49" t="str">
        <f aca="false">IF($E286="","",IFERROR(INDEX(科目参数!$N$6:$N$85,MATCH($E286,科目参数!$M$6:$M$85,0)),""))</f>
        <v/>
      </c>
      <c r="T286" s="49" t="str">
        <f aca="false">IF($F286="","",IFERROR(INDEX(基础资料!$C$6:$C$35,MATCH($F286,基础资料!$A$6:$A$35,0)),""))</f>
        <v/>
      </c>
      <c r="U286" s="49" t="str">
        <f aca="false">IF($G286="","",IFERROR(INDEX(基础资料!$C$6:$C$35,MATCH($G286,基础资料!$A$6:$A$35,0)),""))</f>
        <v/>
      </c>
      <c r="V286" s="49" t="str">
        <f aca="false">IF(AND($G286=客户对账单!$B$3,$E286="客户回款",$B286&gt;=客户对账单!$E$3,$B286&lt;=客户对账单!$H$3),COUNTIFS($G$5:$G286,客户对账单!$B$3,$E$5:$E286,"客户回款",$B$5:$B286,"&gt;="&amp;客户对账单!$E$3,$B$5:$B286,"&lt;="&amp;客户对账单!$H$3),"")</f>
        <v/>
      </c>
      <c r="W286" s="49" t="str">
        <f aca="false">IF(AND($G286=供应商对账单!$B$3,$E286="供应商付款",$B286&gt;=供应商对账单!$E$3,$B286&lt;=供应商对账单!$H$3),COUNTIFS($G$5:$G286,供应商对账单!$B$3,$E$5:$E286,"供应商付款",$B$5:$B286,"&gt;="&amp;供应商对账单!$E$3,$B$5:$B286,"&lt;="&amp;供应商对账单!$H$3),"")</f>
        <v/>
      </c>
    </row>
    <row r="287" customFormat="false" ht="15.75" hidden="false" customHeight="true" outlineLevel="0" collapsed="false">
      <c r="A287" s="42" t="str">
        <f aca="false">IF($B287="","","ZJ"&amp;TEXT($B287,"yyyymm")&amp;"-"&amp;TEXT(ROW()-4,"000"))</f>
        <v/>
      </c>
      <c r="B287" s="41"/>
      <c r="C287" s="42" t="str">
        <f aca="false">IF($B287="","",TEXT($B287,"yyyy-mm"))</f>
        <v/>
      </c>
      <c r="D287" s="42" t="str">
        <f aca="false">IF($E287="","",IFERROR(INDEX(科目参数!$L$6:$L$85,MATCH($E287,科目参数!$M$6:$M$85,0)),"⚠"))</f>
        <v/>
      </c>
      <c r="E287" s="33"/>
      <c r="F287" s="33"/>
      <c r="G287" s="36"/>
      <c r="H287" s="33"/>
      <c r="I287" s="33"/>
      <c r="J287" s="36"/>
      <c r="K287" s="40"/>
      <c r="L287" s="40"/>
      <c r="M287" s="47" t="str">
        <f aca="false">IF($B287="","",IF(NOT(ISNUMBER($B287)),"日期不是日期格式",IF(YEAR($B287)&lt;&gt;首页!$B$3,"不在会计年度",IF($E287="","未选收支科目",IF($D287="⚠","收支科目不存在",IF($F287="","未选账户",IF($T287="","账户未设资金科目",IF(AND($D287="转账",$U287=""),"转入账户无效",IF(AND(N($K287)&gt;0,N($L287)&gt;0),"收支不能同时填",IF(AND($D287="收入",N($K287)&lt;=0),"收入金额须大于0",IF(AND($D287&lt;&gt;"收入",N($L287)&lt;=0),"支出金额须大于0",IF($O287="","借方科目缺失",IF($P287="","贷方科目缺失","√")))))))))))))</f>
        <v/>
      </c>
      <c r="N287" s="48" t="str">
        <f aca="false">IF($B287="","",IF($D287="收入",N($K287),N($L287)))</f>
        <v/>
      </c>
      <c r="O287" s="49" t="str">
        <f aca="false">IF($B287="","",IF($D287="收入",$T287,IF($D287="转账",$U287,$S287)))</f>
        <v/>
      </c>
      <c r="P287" s="49" t="str">
        <f aca="false">IF($B287="","",IF($D287="收入",$S287,$T287))</f>
        <v/>
      </c>
      <c r="Q287" s="50" t="str">
        <f aca="false">IF($E287="","",IF($D287="转账","—",IFERROR(INDEX(科目参数!$P$6:$P$85,MATCH($E287,科目参数!$M$6:$M$85,0)),"")))</f>
        <v/>
      </c>
      <c r="R287" s="48" t="str">
        <f aca="false">IF($B287="","",SUMIFS(期初数据!$B$6:$B$35,期初数据!$A$6:$A$35,$F287)+SUMIFS($N$5:$N287,$F$5:$F287,$F287,$D$5:$D287,"收入")-SUMIFS($N$5:$N287,$F$5:$F287,$F287,$D$5:$D287,"支出")-SUMIFS($N$5:$N287,$F$5:$F287,$F287,$D$5:$D287,"转账")+SUMIFS($N$5:$N287,$G$5:$G287,$F287,$D$5:$D287,"转账"))</f>
        <v/>
      </c>
      <c r="S287" s="49" t="str">
        <f aca="false">IF($E287="","",IFERROR(INDEX(科目参数!$N$6:$N$85,MATCH($E287,科目参数!$M$6:$M$85,0)),""))</f>
        <v/>
      </c>
      <c r="T287" s="49" t="str">
        <f aca="false">IF($F287="","",IFERROR(INDEX(基础资料!$C$6:$C$35,MATCH($F287,基础资料!$A$6:$A$35,0)),""))</f>
        <v/>
      </c>
      <c r="U287" s="49" t="str">
        <f aca="false">IF($G287="","",IFERROR(INDEX(基础资料!$C$6:$C$35,MATCH($G287,基础资料!$A$6:$A$35,0)),""))</f>
        <v/>
      </c>
      <c r="V287" s="49" t="str">
        <f aca="false">IF(AND($G287=客户对账单!$B$3,$E287="客户回款",$B287&gt;=客户对账单!$E$3,$B287&lt;=客户对账单!$H$3),COUNTIFS($G$5:$G287,客户对账单!$B$3,$E$5:$E287,"客户回款",$B$5:$B287,"&gt;="&amp;客户对账单!$E$3,$B$5:$B287,"&lt;="&amp;客户对账单!$H$3),"")</f>
        <v/>
      </c>
      <c r="W287" s="49" t="str">
        <f aca="false">IF(AND($G287=供应商对账单!$B$3,$E287="供应商付款",$B287&gt;=供应商对账单!$E$3,$B287&lt;=供应商对账单!$H$3),COUNTIFS($G$5:$G287,供应商对账单!$B$3,$E$5:$E287,"供应商付款",$B$5:$B287,"&gt;="&amp;供应商对账单!$E$3,$B$5:$B287,"&lt;="&amp;供应商对账单!$H$3),"")</f>
        <v/>
      </c>
    </row>
    <row r="288" customFormat="false" ht="15.75" hidden="false" customHeight="true" outlineLevel="0" collapsed="false">
      <c r="A288" s="42" t="str">
        <f aca="false">IF($B288="","","ZJ"&amp;TEXT($B288,"yyyymm")&amp;"-"&amp;TEXT(ROW()-4,"000"))</f>
        <v/>
      </c>
      <c r="B288" s="41"/>
      <c r="C288" s="42" t="str">
        <f aca="false">IF($B288="","",TEXT($B288,"yyyy-mm"))</f>
        <v/>
      </c>
      <c r="D288" s="42" t="str">
        <f aca="false">IF($E288="","",IFERROR(INDEX(科目参数!$L$6:$L$85,MATCH($E288,科目参数!$M$6:$M$85,0)),"⚠"))</f>
        <v/>
      </c>
      <c r="E288" s="33"/>
      <c r="F288" s="33"/>
      <c r="G288" s="36"/>
      <c r="H288" s="33"/>
      <c r="I288" s="33"/>
      <c r="J288" s="36"/>
      <c r="K288" s="40"/>
      <c r="L288" s="40"/>
      <c r="M288" s="47" t="str">
        <f aca="false">IF($B288="","",IF(NOT(ISNUMBER($B288)),"日期不是日期格式",IF(YEAR($B288)&lt;&gt;首页!$B$3,"不在会计年度",IF($E288="","未选收支科目",IF($D288="⚠","收支科目不存在",IF($F288="","未选账户",IF($T288="","账户未设资金科目",IF(AND($D288="转账",$U288=""),"转入账户无效",IF(AND(N($K288)&gt;0,N($L288)&gt;0),"收支不能同时填",IF(AND($D288="收入",N($K288)&lt;=0),"收入金额须大于0",IF(AND($D288&lt;&gt;"收入",N($L288)&lt;=0),"支出金额须大于0",IF($O288="","借方科目缺失",IF($P288="","贷方科目缺失","√")))))))))))))</f>
        <v/>
      </c>
      <c r="N288" s="48" t="str">
        <f aca="false">IF($B288="","",IF($D288="收入",N($K288),N($L288)))</f>
        <v/>
      </c>
      <c r="O288" s="49" t="str">
        <f aca="false">IF($B288="","",IF($D288="收入",$T288,IF($D288="转账",$U288,$S288)))</f>
        <v/>
      </c>
      <c r="P288" s="49" t="str">
        <f aca="false">IF($B288="","",IF($D288="收入",$S288,$T288))</f>
        <v/>
      </c>
      <c r="Q288" s="50" t="str">
        <f aca="false">IF($E288="","",IF($D288="转账","—",IFERROR(INDEX(科目参数!$P$6:$P$85,MATCH($E288,科目参数!$M$6:$M$85,0)),"")))</f>
        <v/>
      </c>
      <c r="R288" s="48" t="str">
        <f aca="false">IF($B288="","",SUMIFS(期初数据!$B$6:$B$35,期初数据!$A$6:$A$35,$F288)+SUMIFS($N$5:$N288,$F$5:$F288,$F288,$D$5:$D288,"收入")-SUMIFS($N$5:$N288,$F$5:$F288,$F288,$D$5:$D288,"支出")-SUMIFS($N$5:$N288,$F$5:$F288,$F288,$D$5:$D288,"转账")+SUMIFS($N$5:$N288,$G$5:$G288,$F288,$D$5:$D288,"转账"))</f>
        <v/>
      </c>
      <c r="S288" s="49" t="str">
        <f aca="false">IF($E288="","",IFERROR(INDEX(科目参数!$N$6:$N$85,MATCH($E288,科目参数!$M$6:$M$85,0)),""))</f>
        <v/>
      </c>
      <c r="T288" s="49" t="str">
        <f aca="false">IF($F288="","",IFERROR(INDEX(基础资料!$C$6:$C$35,MATCH($F288,基础资料!$A$6:$A$35,0)),""))</f>
        <v/>
      </c>
      <c r="U288" s="49" t="str">
        <f aca="false">IF($G288="","",IFERROR(INDEX(基础资料!$C$6:$C$35,MATCH($G288,基础资料!$A$6:$A$35,0)),""))</f>
        <v/>
      </c>
      <c r="V288" s="49" t="str">
        <f aca="false">IF(AND($G288=客户对账单!$B$3,$E288="客户回款",$B288&gt;=客户对账单!$E$3,$B288&lt;=客户对账单!$H$3),COUNTIFS($G$5:$G288,客户对账单!$B$3,$E$5:$E288,"客户回款",$B$5:$B288,"&gt;="&amp;客户对账单!$E$3,$B$5:$B288,"&lt;="&amp;客户对账单!$H$3),"")</f>
        <v/>
      </c>
      <c r="W288" s="49" t="str">
        <f aca="false">IF(AND($G288=供应商对账单!$B$3,$E288="供应商付款",$B288&gt;=供应商对账单!$E$3,$B288&lt;=供应商对账单!$H$3),COUNTIFS($G$5:$G288,供应商对账单!$B$3,$E$5:$E288,"供应商付款",$B$5:$B288,"&gt;="&amp;供应商对账单!$E$3,$B$5:$B288,"&lt;="&amp;供应商对账单!$H$3),"")</f>
        <v/>
      </c>
    </row>
    <row r="289" customFormat="false" ht="15.75" hidden="false" customHeight="true" outlineLevel="0" collapsed="false">
      <c r="A289" s="42" t="str">
        <f aca="false">IF($B289="","","ZJ"&amp;TEXT($B289,"yyyymm")&amp;"-"&amp;TEXT(ROW()-4,"000"))</f>
        <v/>
      </c>
      <c r="B289" s="41"/>
      <c r="C289" s="42" t="str">
        <f aca="false">IF($B289="","",TEXT($B289,"yyyy-mm"))</f>
        <v/>
      </c>
      <c r="D289" s="42" t="str">
        <f aca="false">IF($E289="","",IFERROR(INDEX(科目参数!$L$6:$L$85,MATCH($E289,科目参数!$M$6:$M$85,0)),"⚠"))</f>
        <v/>
      </c>
      <c r="E289" s="33"/>
      <c r="F289" s="33"/>
      <c r="G289" s="36"/>
      <c r="H289" s="33"/>
      <c r="I289" s="33"/>
      <c r="J289" s="36"/>
      <c r="K289" s="40"/>
      <c r="L289" s="40"/>
      <c r="M289" s="47" t="str">
        <f aca="false">IF($B289="","",IF(NOT(ISNUMBER($B289)),"日期不是日期格式",IF(YEAR($B289)&lt;&gt;首页!$B$3,"不在会计年度",IF($E289="","未选收支科目",IF($D289="⚠","收支科目不存在",IF($F289="","未选账户",IF($T289="","账户未设资金科目",IF(AND($D289="转账",$U289=""),"转入账户无效",IF(AND(N($K289)&gt;0,N($L289)&gt;0),"收支不能同时填",IF(AND($D289="收入",N($K289)&lt;=0),"收入金额须大于0",IF(AND($D289&lt;&gt;"收入",N($L289)&lt;=0),"支出金额须大于0",IF($O289="","借方科目缺失",IF($P289="","贷方科目缺失","√")))))))))))))</f>
        <v/>
      </c>
      <c r="N289" s="48" t="str">
        <f aca="false">IF($B289="","",IF($D289="收入",N($K289),N($L289)))</f>
        <v/>
      </c>
      <c r="O289" s="49" t="str">
        <f aca="false">IF($B289="","",IF($D289="收入",$T289,IF($D289="转账",$U289,$S289)))</f>
        <v/>
      </c>
      <c r="P289" s="49" t="str">
        <f aca="false">IF($B289="","",IF($D289="收入",$S289,$T289))</f>
        <v/>
      </c>
      <c r="Q289" s="50" t="str">
        <f aca="false">IF($E289="","",IF($D289="转账","—",IFERROR(INDEX(科目参数!$P$6:$P$85,MATCH($E289,科目参数!$M$6:$M$85,0)),"")))</f>
        <v/>
      </c>
      <c r="R289" s="48" t="str">
        <f aca="false">IF($B289="","",SUMIFS(期初数据!$B$6:$B$35,期初数据!$A$6:$A$35,$F289)+SUMIFS($N$5:$N289,$F$5:$F289,$F289,$D$5:$D289,"收入")-SUMIFS($N$5:$N289,$F$5:$F289,$F289,$D$5:$D289,"支出")-SUMIFS($N$5:$N289,$F$5:$F289,$F289,$D$5:$D289,"转账")+SUMIFS($N$5:$N289,$G$5:$G289,$F289,$D$5:$D289,"转账"))</f>
        <v/>
      </c>
      <c r="S289" s="49" t="str">
        <f aca="false">IF($E289="","",IFERROR(INDEX(科目参数!$N$6:$N$85,MATCH($E289,科目参数!$M$6:$M$85,0)),""))</f>
        <v/>
      </c>
      <c r="T289" s="49" t="str">
        <f aca="false">IF($F289="","",IFERROR(INDEX(基础资料!$C$6:$C$35,MATCH($F289,基础资料!$A$6:$A$35,0)),""))</f>
        <v/>
      </c>
      <c r="U289" s="49" t="str">
        <f aca="false">IF($G289="","",IFERROR(INDEX(基础资料!$C$6:$C$35,MATCH($G289,基础资料!$A$6:$A$35,0)),""))</f>
        <v/>
      </c>
      <c r="V289" s="49" t="str">
        <f aca="false">IF(AND($G289=客户对账单!$B$3,$E289="客户回款",$B289&gt;=客户对账单!$E$3,$B289&lt;=客户对账单!$H$3),COUNTIFS($G$5:$G289,客户对账单!$B$3,$E$5:$E289,"客户回款",$B$5:$B289,"&gt;="&amp;客户对账单!$E$3,$B$5:$B289,"&lt;="&amp;客户对账单!$H$3),"")</f>
        <v/>
      </c>
      <c r="W289" s="49" t="str">
        <f aca="false">IF(AND($G289=供应商对账单!$B$3,$E289="供应商付款",$B289&gt;=供应商对账单!$E$3,$B289&lt;=供应商对账单!$H$3),COUNTIFS($G$5:$G289,供应商对账单!$B$3,$E$5:$E289,"供应商付款",$B$5:$B289,"&gt;="&amp;供应商对账单!$E$3,$B$5:$B289,"&lt;="&amp;供应商对账单!$H$3),"")</f>
        <v/>
      </c>
    </row>
    <row r="290" customFormat="false" ht="15.75" hidden="false" customHeight="true" outlineLevel="0" collapsed="false">
      <c r="A290" s="42" t="str">
        <f aca="false">IF($B290="","","ZJ"&amp;TEXT($B290,"yyyymm")&amp;"-"&amp;TEXT(ROW()-4,"000"))</f>
        <v/>
      </c>
      <c r="B290" s="41"/>
      <c r="C290" s="42" t="str">
        <f aca="false">IF($B290="","",TEXT($B290,"yyyy-mm"))</f>
        <v/>
      </c>
      <c r="D290" s="42" t="str">
        <f aca="false">IF($E290="","",IFERROR(INDEX(科目参数!$L$6:$L$85,MATCH($E290,科目参数!$M$6:$M$85,0)),"⚠"))</f>
        <v/>
      </c>
      <c r="E290" s="33"/>
      <c r="F290" s="33"/>
      <c r="G290" s="36"/>
      <c r="H290" s="33"/>
      <c r="I290" s="33"/>
      <c r="J290" s="36"/>
      <c r="K290" s="40"/>
      <c r="L290" s="40"/>
      <c r="M290" s="47" t="str">
        <f aca="false">IF($B290="","",IF(NOT(ISNUMBER($B290)),"日期不是日期格式",IF(YEAR($B290)&lt;&gt;首页!$B$3,"不在会计年度",IF($E290="","未选收支科目",IF($D290="⚠","收支科目不存在",IF($F290="","未选账户",IF($T290="","账户未设资金科目",IF(AND($D290="转账",$U290=""),"转入账户无效",IF(AND(N($K290)&gt;0,N($L290)&gt;0),"收支不能同时填",IF(AND($D290="收入",N($K290)&lt;=0),"收入金额须大于0",IF(AND($D290&lt;&gt;"收入",N($L290)&lt;=0),"支出金额须大于0",IF($O290="","借方科目缺失",IF($P290="","贷方科目缺失","√")))))))))))))</f>
        <v/>
      </c>
      <c r="N290" s="48" t="str">
        <f aca="false">IF($B290="","",IF($D290="收入",N($K290),N($L290)))</f>
        <v/>
      </c>
      <c r="O290" s="49" t="str">
        <f aca="false">IF($B290="","",IF($D290="收入",$T290,IF($D290="转账",$U290,$S290)))</f>
        <v/>
      </c>
      <c r="P290" s="49" t="str">
        <f aca="false">IF($B290="","",IF($D290="收入",$S290,$T290))</f>
        <v/>
      </c>
      <c r="Q290" s="50" t="str">
        <f aca="false">IF($E290="","",IF($D290="转账","—",IFERROR(INDEX(科目参数!$P$6:$P$85,MATCH($E290,科目参数!$M$6:$M$85,0)),"")))</f>
        <v/>
      </c>
      <c r="R290" s="48" t="str">
        <f aca="false">IF($B290="","",SUMIFS(期初数据!$B$6:$B$35,期初数据!$A$6:$A$35,$F290)+SUMIFS($N$5:$N290,$F$5:$F290,$F290,$D$5:$D290,"收入")-SUMIFS($N$5:$N290,$F$5:$F290,$F290,$D$5:$D290,"支出")-SUMIFS($N$5:$N290,$F$5:$F290,$F290,$D$5:$D290,"转账")+SUMIFS($N$5:$N290,$G$5:$G290,$F290,$D$5:$D290,"转账"))</f>
        <v/>
      </c>
      <c r="S290" s="49" t="str">
        <f aca="false">IF($E290="","",IFERROR(INDEX(科目参数!$N$6:$N$85,MATCH($E290,科目参数!$M$6:$M$85,0)),""))</f>
        <v/>
      </c>
      <c r="T290" s="49" t="str">
        <f aca="false">IF($F290="","",IFERROR(INDEX(基础资料!$C$6:$C$35,MATCH($F290,基础资料!$A$6:$A$35,0)),""))</f>
        <v/>
      </c>
      <c r="U290" s="49" t="str">
        <f aca="false">IF($G290="","",IFERROR(INDEX(基础资料!$C$6:$C$35,MATCH($G290,基础资料!$A$6:$A$35,0)),""))</f>
        <v/>
      </c>
      <c r="V290" s="49" t="str">
        <f aca="false">IF(AND($G290=客户对账单!$B$3,$E290="客户回款",$B290&gt;=客户对账单!$E$3,$B290&lt;=客户对账单!$H$3),COUNTIFS($G$5:$G290,客户对账单!$B$3,$E$5:$E290,"客户回款",$B$5:$B290,"&gt;="&amp;客户对账单!$E$3,$B$5:$B290,"&lt;="&amp;客户对账单!$H$3),"")</f>
        <v/>
      </c>
      <c r="W290" s="49" t="str">
        <f aca="false">IF(AND($G290=供应商对账单!$B$3,$E290="供应商付款",$B290&gt;=供应商对账单!$E$3,$B290&lt;=供应商对账单!$H$3),COUNTIFS($G$5:$G290,供应商对账单!$B$3,$E$5:$E290,"供应商付款",$B$5:$B290,"&gt;="&amp;供应商对账单!$E$3,$B$5:$B290,"&lt;="&amp;供应商对账单!$H$3),"")</f>
        <v/>
      </c>
    </row>
    <row r="291" customFormat="false" ht="15.75" hidden="false" customHeight="true" outlineLevel="0" collapsed="false">
      <c r="A291" s="42" t="str">
        <f aca="false">IF($B291="","","ZJ"&amp;TEXT($B291,"yyyymm")&amp;"-"&amp;TEXT(ROW()-4,"000"))</f>
        <v/>
      </c>
      <c r="B291" s="41"/>
      <c r="C291" s="42" t="str">
        <f aca="false">IF($B291="","",TEXT($B291,"yyyy-mm"))</f>
        <v/>
      </c>
      <c r="D291" s="42" t="str">
        <f aca="false">IF($E291="","",IFERROR(INDEX(科目参数!$L$6:$L$85,MATCH($E291,科目参数!$M$6:$M$85,0)),"⚠"))</f>
        <v/>
      </c>
      <c r="E291" s="33"/>
      <c r="F291" s="33"/>
      <c r="G291" s="36"/>
      <c r="H291" s="33"/>
      <c r="I291" s="33"/>
      <c r="J291" s="36"/>
      <c r="K291" s="40"/>
      <c r="L291" s="40"/>
      <c r="M291" s="47" t="str">
        <f aca="false">IF($B291="","",IF(NOT(ISNUMBER($B291)),"日期不是日期格式",IF(YEAR($B291)&lt;&gt;首页!$B$3,"不在会计年度",IF($E291="","未选收支科目",IF($D291="⚠","收支科目不存在",IF($F291="","未选账户",IF($T291="","账户未设资金科目",IF(AND($D291="转账",$U291=""),"转入账户无效",IF(AND(N($K291)&gt;0,N($L291)&gt;0),"收支不能同时填",IF(AND($D291="收入",N($K291)&lt;=0),"收入金额须大于0",IF(AND($D291&lt;&gt;"收入",N($L291)&lt;=0),"支出金额须大于0",IF($O291="","借方科目缺失",IF($P291="","贷方科目缺失","√")))))))))))))</f>
        <v/>
      </c>
      <c r="N291" s="48" t="str">
        <f aca="false">IF($B291="","",IF($D291="收入",N($K291),N($L291)))</f>
        <v/>
      </c>
      <c r="O291" s="49" t="str">
        <f aca="false">IF($B291="","",IF($D291="收入",$T291,IF($D291="转账",$U291,$S291)))</f>
        <v/>
      </c>
      <c r="P291" s="49" t="str">
        <f aca="false">IF($B291="","",IF($D291="收入",$S291,$T291))</f>
        <v/>
      </c>
      <c r="Q291" s="50" t="str">
        <f aca="false">IF($E291="","",IF($D291="转账","—",IFERROR(INDEX(科目参数!$P$6:$P$85,MATCH($E291,科目参数!$M$6:$M$85,0)),"")))</f>
        <v/>
      </c>
      <c r="R291" s="48" t="str">
        <f aca="false">IF($B291="","",SUMIFS(期初数据!$B$6:$B$35,期初数据!$A$6:$A$35,$F291)+SUMIFS($N$5:$N291,$F$5:$F291,$F291,$D$5:$D291,"收入")-SUMIFS($N$5:$N291,$F$5:$F291,$F291,$D$5:$D291,"支出")-SUMIFS($N$5:$N291,$F$5:$F291,$F291,$D$5:$D291,"转账")+SUMIFS($N$5:$N291,$G$5:$G291,$F291,$D$5:$D291,"转账"))</f>
        <v/>
      </c>
      <c r="S291" s="49" t="str">
        <f aca="false">IF($E291="","",IFERROR(INDEX(科目参数!$N$6:$N$85,MATCH($E291,科目参数!$M$6:$M$85,0)),""))</f>
        <v/>
      </c>
      <c r="T291" s="49" t="str">
        <f aca="false">IF($F291="","",IFERROR(INDEX(基础资料!$C$6:$C$35,MATCH($F291,基础资料!$A$6:$A$35,0)),""))</f>
        <v/>
      </c>
      <c r="U291" s="49" t="str">
        <f aca="false">IF($G291="","",IFERROR(INDEX(基础资料!$C$6:$C$35,MATCH($G291,基础资料!$A$6:$A$35,0)),""))</f>
        <v/>
      </c>
      <c r="V291" s="49" t="str">
        <f aca="false">IF(AND($G291=客户对账单!$B$3,$E291="客户回款",$B291&gt;=客户对账单!$E$3,$B291&lt;=客户对账单!$H$3),COUNTIFS($G$5:$G291,客户对账单!$B$3,$E$5:$E291,"客户回款",$B$5:$B291,"&gt;="&amp;客户对账单!$E$3,$B$5:$B291,"&lt;="&amp;客户对账单!$H$3),"")</f>
        <v/>
      </c>
      <c r="W291" s="49" t="str">
        <f aca="false">IF(AND($G291=供应商对账单!$B$3,$E291="供应商付款",$B291&gt;=供应商对账单!$E$3,$B291&lt;=供应商对账单!$H$3),COUNTIFS($G$5:$G291,供应商对账单!$B$3,$E$5:$E291,"供应商付款",$B$5:$B291,"&gt;="&amp;供应商对账单!$E$3,$B$5:$B291,"&lt;="&amp;供应商对账单!$H$3),"")</f>
        <v/>
      </c>
    </row>
    <row r="292" customFormat="false" ht="15.75" hidden="false" customHeight="true" outlineLevel="0" collapsed="false">
      <c r="A292" s="42" t="str">
        <f aca="false">IF($B292="","","ZJ"&amp;TEXT($B292,"yyyymm")&amp;"-"&amp;TEXT(ROW()-4,"000"))</f>
        <v/>
      </c>
      <c r="B292" s="41"/>
      <c r="C292" s="42" t="str">
        <f aca="false">IF($B292="","",TEXT($B292,"yyyy-mm"))</f>
        <v/>
      </c>
      <c r="D292" s="42" t="str">
        <f aca="false">IF($E292="","",IFERROR(INDEX(科目参数!$L$6:$L$85,MATCH($E292,科目参数!$M$6:$M$85,0)),"⚠"))</f>
        <v/>
      </c>
      <c r="E292" s="33"/>
      <c r="F292" s="33"/>
      <c r="G292" s="36"/>
      <c r="H292" s="33"/>
      <c r="I292" s="33"/>
      <c r="J292" s="36"/>
      <c r="K292" s="40"/>
      <c r="L292" s="40"/>
      <c r="M292" s="47" t="str">
        <f aca="false">IF($B292="","",IF(NOT(ISNUMBER($B292)),"日期不是日期格式",IF(YEAR($B292)&lt;&gt;首页!$B$3,"不在会计年度",IF($E292="","未选收支科目",IF($D292="⚠","收支科目不存在",IF($F292="","未选账户",IF($T292="","账户未设资金科目",IF(AND($D292="转账",$U292=""),"转入账户无效",IF(AND(N($K292)&gt;0,N($L292)&gt;0),"收支不能同时填",IF(AND($D292="收入",N($K292)&lt;=0),"收入金额须大于0",IF(AND($D292&lt;&gt;"收入",N($L292)&lt;=0),"支出金额须大于0",IF($O292="","借方科目缺失",IF($P292="","贷方科目缺失","√")))))))))))))</f>
        <v/>
      </c>
      <c r="N292" s="48" t="str">
        <f aca="false">IF($B292="","",IF($D292="收入",N($K292),N($L292)))</f>
        <v/>
      </c>
      <c r="O292" s="49" t="str">
        <f aca="false">IF($B292="","",IF($D292="收入",$T292,IF($D292="转账",$U292,$S292)))</f>
        <v/>
      </c>
      <c r="P292" s="49" t="str">
        <f aca="false">IF($B292="","",IF($D292="收入",$S292,$T292))</f>
        <v/>
      </c>
      <c r="Q292" s="50" t="str">
        <f aca="false">IF($E292="","",IF($D292="转账","—",IFERROR(INDEX(科目参数!$P$6:$P$85,MATCH($E292,科目参数!$M$6:$M$85,0)),"")))</f>
        <v/>
      </c>
      <c r="R292" s="48" t="str">
        <f aca="false">IF($B292="","",SUMIFS(期初数据!$B$6:$B$35,期初数据!$A$6:$A$35,$F292)+SUMIFS($N$5:$N292,$F$5:$F292,$F292,$D$5:$D292,"收入")-SUMIFS($N$5:$N292,$F$5:$F292,$F292,$D$5:$D292,"支出")-SUMIFS($N$5:$N292,$F$5:$F292,$F292,$D$5:$D292,"转账")+SUMIFS($N$5:$N292,$G$5:$G292,$F292,$D$5:$D292,"转账"))</f>
        <v/>
      </c>
      <c r="S292" s="49" t="str">
        <f aca="false">IF($E292="","",IFERROR(INDEX(科目参数!$N$6:$N$85,MATCH($E292,科目参数!$M$6:$M$85,0)),""))</f>
        <v/>
      </c>
      <c r="T292" s="49" t="str">
        <f aca="false">IF($F292="","",IFERROR(INDEX(基础资料!$C$6:$C$35,MATCH($F292,基础资料!$A$6:$A$35,0)),""))</f>
        <v/>
      </c>
      <c r="U292" s="49" t="str">
        <f aca="false">IF($G292="","",IFERROR(INDEX(基础资料!$C$6:$C$35,MATCH($G292,基础资料!$A$6:$A$35,0)),""))</f>
        <v/>
      </c>
      <c r="V292" s="49" t="str">
        <f aca="false">IF(AND($G292=客户对账单!$B$3,$E292="客户回款",$B292&gt;=客户对账单!$E$3,$B292&lt;=客户对账单!$H$3),COUNTIFS($G$5:$G292,客户对账单!$B$3,$E$5:$E292,"客户回款",$B$5:$B292,"&gt;="&amp;客户对账单!$E$3,$B$5:$B292,"&lt;="&amp;客户对账单!$H$3),"")</f>
        <v/>
      </c>
      <c r="W292" s="49" t="str">
        <f aca="false">IF(AND($G292=供应商对账单!$B$3,$E292="供应商付款",$B292&gt;=供应商对账单!$E$3,$B292&lt;=供应商对账单!$H$3),COUNTIFS($G$5:$G292,供应商对账单!$B$3,$E$5:$E292,"供应商付款",$B$5:$B292,"&gt;="&amp;供应商对账单!$E$3,$B$5:$B292,"&lt;="&amp;供应商对账单!$H$3),"")</f>
        <v/>
      </c>
    </row>
    <row r="293" customFormat="false" ht="15.75" hidden="false" customHeight="true" outlineLevel="0" collapsed="false">
      <c r="A293" s="42" t="str">
        <f aca="false">IF($B293="","","ZJ"&amp;TEXT($B293,"yyyymm")&amp;"-"&amp;TEXT(ROW()-4,"000"))</f>
        <v/>
      </c>
      <c r="B293" s="41"/>
      <c r="C293" s="42" t="str">
        <f aca="false">IF($B293="","",TEXT($B293,"yyyy-mm"))</f>
        <v/>
      </c>
      <c r="D293" s="42" t="str">
        <f aca="false">IF($E293="","",IFERROR(INDEX(科目参数!$L$6:$L$85,MATCH($E293,科目参数!$M$6:$M$85,0)),"⚠"))</f>
        <v/>
      </c>
      <c r="E293" s="33"/>
      <c r="F293" s="33"/>
      <c r="G293" s="36"/>
      <c r="H293" s="33"/>
      <c r="I293" s="33"/>
      <c r="J293" s="36"/>
      <c r="K293" s="40"/>
      <c r="L293" s="40"/>
      <c r="M293" s="47" t="str">
        <f aca="false">IF($B293="","",IF(NOT(ISNUMBER($B293)),"日期不是日期格式",IF(YEAR($B293)&lt;&gt;首页!$B$3,"不在会计年度",IF($E293="","未选收支科目",IF($D293="⚠","收支科目不存在",IF($F293="","未选账户",IF($T293="","账户未设资金科目",IF(AND($D293="转账",$U293=""),"转入账户无效",IF(AND(N($K293)&gt;0,N($L293)&gt;0),"收支不能同时填",IF(AND($D293="收入",N($K293)&lt;=0),"收入金额须大于0",IF(AND($D293&lt;&gt;"收入",N($L293)&lt;=0),"支出金额须大于0",IF($O293="","借方科目缺失",IF($P293="","贷方科目缺失","√")))))))))))))</f>
        <v/>
      </c>
      <c r="N293" s="48" t="str">
        <f aca="false">IF($B293="","",IF($D293="收入",N($K293),N($L293)))</f>
        <v/>
      </c>
      <c r="O293" s="49" t="str">
        <f aca="false">IF($B293="","",IF($D293="收入",$T293,IF($D293="转账",$U293,$S293)))</f>
        <v/>
      </c>
      <c r="P293" s="49" t="str">
        <f aca="false">IF($B293="","",IF($D293="收入",$S293,$T293))</f>
        <v/>
      </c>
      <c r="Q293" s="50" t="str">
        <f aca="false">IF($E293="","",IF($D293="转账","—",IFERROR(INDEX(科目参数!$P$6:$P$85,MATCH($E293,科目参数!$M$6:$M$85,0)),"")))</f>
        <v/>
      </c>
      <c r="R293" s="48" t="str">
        <f aca="false">IF($B293="","",SUMIFS(期初数据!$B$6:$B$35,期初数据!$A$6:$A$35,$F293)+SUMIFS($N$5:$N293,$F$5:$F293,$F293,$D$5:$D293,"收入")-SUMIFS($N$5:$N293,$F$5:$F293,$F293,$D$5:$D293,"支出")-SUMIFS($N$5:$N293,$F$5:$F293,$F293,$D$5:$D293,"转账")+SUMIFS($N$5:$N293,$G$5:$G293,$F293,$D$5:$D293,"转账"))</f>
        <v/>
      </c>
      <c r="S293" s="49" t="str">
        <f aca="false">IF($E293="","",IFERROR(INDEX(科目参数!$N$6:$N$85,MATCH($E293,科目参数!$M$6:$M$85,0)),""))</f>
        <v/>
      </c>
      <c r="T293" s="49" t="str">
        <f aca="false">IF($F293="","",IFERROR(INDEX(基础资料!$C$6:$C$35,MATCH($F293,基础资料!$A$6:$A$35,0)),""))</f>
        <v/>
      </c>
      <c r="U293" s="49" t="str">
        <f aca="false">IF($G293="","",IFERROR(INDEX(基础资料!$C$6:$C$35,MATCH($G293,基础资料!$A$6:$A$35,0)),""))</f>
        <v/>
      </c>
      <c r="V293" s="49" t="str">
        <f aca="false">IF(AND($G293=客户对账单!$B$3,$E293="客户回款",$B293&gt;=客户对账单!$E$3,$B293&lt;=客户对账单!$H$3),COUNTIFS($G$5:$G293,客户对账单!$B$3,$E$5:$E293,"客户回款",$B$5:$B293,"&gt;="&amp;客户对账单!$E$3,$B$5:$B293,"&lt;="&amp;客户对账单!$H$3),"")</f>
        <v/>
      </c>
      <c r="W293" s="49" t="str">
        <f aca="false">IF(AND($G293=供应商对账单!$B$3,$E293="供应商付款",$B293&gt;=供应商对账单!$E$3,$B293&lt;=供应商对账单!$H$3),COUNTIFS($G$5:$G293,供应商对账单!$B$3,$E$5:$E293,"供应商付款",$B$5:$B293,"&gt;="&amp;供应商对账单!$E$3,$B$5:$B293,"&lt;="&amp;供应商对账单!$H$3),"")</f>
        <v/>
      </c>
    </row>
    <row r="294" customFormat="false" ht="15.75" hidden="false" customHeight="true" outlineLevel="0" collapsed="false">
      <c r="A294" s="42" t="str">
        <f aca="false">IF($B294="","","ZJ"&amp;TEXT($B294,"yyyymm")&amp;"-"&amp;TEXT(ROW()-4,"000"))</f>
        <v/>
      </c>
      <c r="B294" s="41"/>
      <c r="C294" s="42" t="str">
        <f aca="false">IF($B294="","",TEXT($B294,"yyyy-mm"))</f>
        <v/>
      </c>
      <c r="D294" s="42" t="str">
        <f aca="false">IF($E294="","",IFERROR(INDEX(科目参数!$L$6:$L$85,MATCH($E294,科目参数!$M$6:$M$85,0)),"⚠"))</f>
        <v/>
      </c>
      <c r="E294" s="33"/>
      <c r="F294" s="33"/>
      <c r="G294" s="36"/>
      <c r="H294" s="33"/>
      <c r="I294" s="33"/>
      <c r="J294" s="36"/>
      <c r="K294" s="40"/>
      <c r="L294" s="40"/>
      <c r="M294" s="47" t="str">
        <f aca="false">IF($B294="","",IF(NOT(ISNUMBER($B294)),"日期不是日期格式",IF(YEAR($B294)&lt;&gt;首页!$B$3,"不在会计年度",IF($E294="","未选收支科目",IF($D294="⚠","收支科目不存在",IF($F294="","未选账户",IF($T294="","账户未设资金科目",IF(AND($D294="转账",$U294=""),"转入账户无效",IF(AND(N($K294)&gt;0,N($L294)&gt;0),"收支不能同时填",IF(AND($D294="收入",N($K294)&lt;=0),"收入金额须大于0",IF(AND($D294&lt;&gt;"收入",N($L294)&lt;=0),"支出金额须大于0",IF($O294="","借方科目缺失",IF($P294="","贷方科目缺失","√")))))))))))))</f>
        <v/>
      </c>
      <c r="N294" s="48" t="str">
        <f aca="false">IF($B294="","",IF($D294="收入",N($K294),N($L294)))</f>
        <v/>
      </c>
      <c r="O294" s="49" t="str">
        <f aca="false">IF($B294="","",IF($D294="收入",$T294,IF($D294="转账",$U294,$S294)))</f>
        <v/>
      </c>
      <c r="P294" s="49" t="str">
        <f aca="false">IF($B294="","",IF($D294="收入",$S294,$T294))</f>
        <v/>
      </c>
      <c r="Q294" s="50" t="str">
        <f aca="false">IF($E294="","",IF($D294="转账","—",IFERROR(INDEX(科目参数!$P$6:$P$85,MATCH($E294,科目参数!$M$6:$M$85,0)),"")))</f>
        <v/>
      </c>
      <c r="R294" s="48" t="str">
        <f aca="false">IF($B294="","",SUMIFS(期初数据!$B$6:$B$35,期初数据!$A$6:$A$35,$F294)+SUMIFS($N$5:$N294,$F$5:$F294,$F294,$D$5:$D294,"收入")-SUMIFS($N$5:$N294,$F$5:$F294,$F294,$D$5:$D294,"支出")-SUMIFS($N$5:$N294,$F$5:$F294,$F294,$D$5:$D294,"转账")+SUMIFS($N$5:$N294,$G$5:$G294,$F294,$D$5:$D294,"转账"))</f>
        <v/>
      </c>
      <c r="S294" s="49" t="str">
        <f aca="false">IF($E294="","",IFERROR(INDEX(科目参数!$N$6:$N$85,MATCH($E294,科目参数!$M$6:$M$85,0)),""))</f>
        <v/>
      </c>
      <c r="T294" s="49" t="str">
        <f aca="false">IF($F294="","",IFERROR(INDEX(基础资料!$C$6:$C$35,MATCH($F294,基础资料!$A$6:$A$35,0)),""))</f>
        <v/>
      </c>
      <c r="U294" s="49" t="str">
        <f aca="false">IF($G294="","",IFERROR(INDEX(基础资料!$C$6:$C$35,MATCH($G294,基础资料!$A$6:$A$35,0)),""))</f>
        <v/>
      </c>
      <c r="V294" s="49" t="str">
        <f aca="false">IF(AND($G294=客户对账单!$B$3,$E294="客户回款",$B294&gt;=客户对账单!$E$3,$B294&lt;=客户对账单!$H$3),COUNTIFS($G$5:$G294,客户对账单!$B$3,$E$5:$E294,"客户回款",$B$5:$B294,"&gt;="&amp;客户对账单!$E$3,$B$5:$B294,"&lt;="&amp;客户对账单!$H$3),"")</f>
        <v/>
      </c>
      <c r="W294" s="49" t="str">
        <f aca="false">IF(AND($G294=供应商对账单!$B$3,$E294="供应商付款",$B294&gt;=供应商对账单!$E$3,$B294&lt;=供应商对账单!$H$3),COUNTIFS($G$5:$G294,供应商对账单!$B$3,$E$5:$E294,"供应商付款",$B$5:$B294,"&gt;="&amp;供应商对账单!$E$3,$B$5:$B294,"&lt;="&amp;供应商对账单!$H$3),"")</f>
        <v/>
      </c>
    </row>
    <row r="295" customFormat="false" ht="15.75" hidden="false" customHeight="true" outlineLevel="0" collapsed="false">
      <c r="A295" s="42" t="str">
        <f aca="false">IF($B295="","","ZJ"&amp;TEXT($B295,"yyyymm")&amp;"-"&amp;TEXT(ROW()-4,"000"))</f>
        <v/>
      </c>
      <c r="B295" s="41"/>
      <c r="C295" s="42" t="str">
        <f aca="false">IF($B295="","",TEXT($B295,"yyyy-mm"))</f>
        <v/>
      </c>
      <c r="D295" s="42" t="str">
        <f aca="false">IF($E295="","",IFERROR(INDEX(科目参数!$L$6:$L$85,MATCH($E295,科目参数!$M$6:$M$85,0)),"⚠"))</f>
        <v/>
      </c>
      <c r="E295" s="33"/>
      <c r="F295" s="33"/>
      <c r="G295" s="36"/>
      <c r="H295" s="33"/>
      <c r="I295" s="33"/>
      <c r="J295" s="36"/>
      <c r="K295" s="40"/>
      <c r="L295" s="40"/>
      <c r="M295" s="47" t="str">
        <f aca="false">IF($B295="","",IF(NOT(ISNUMBER($B295)),"日期不是日期格式",IF(YEAR($B295)&lt;&gt;首页!$B$3,"不在会计年度",IF($E295="","未选收支科目",IF($D295="⚠","收支科目不存在",IF($F295="","未选账户",IF($T295="","账户未设资金科目",IF(AND($D295="转账",$U295=""),"转入账户无效",IF(AND(N($K295)&gt;0,N($L295)&gt;0),"收支不能同时填",IF(AND($D295="收入",N($K295)&lt;=0),"收入金额须大于0",IF(AND($D295&lt;&gt;"收入",N($L295)&lt;=0),"支出金额须大于0",IF($O295="","借方科目缺失",IF($P295="","贷方科目缺失","√")))))))))))))</f>
        <v/>
      </c>
      <c r="N295" s="48" t="str">
        <f aca="false">IF($B295="","",IF($D295="收入",N($K295),N($L295)))</f>
        <v/>
      </c>
      <c r="O295" s="49" t="str">
        <f aca="false">IF($B295="","",IF($D295="收入",$T295,IF($D295="转账",$U295,$S295)))</f>
        <v/>
      </c>
      <c r="P295" s="49" t="str">
        <f aca="false">IF($B295="","",IF($D295="收入",$S295,$T295))</f>
        <v/>
      </c>
      <c r="Q295" s="50" t="str">
        <f aca="false">IF($E295="","",IF($D295="转账","—",IFERROR(INDEX(科目参数!$P$6:$P$85,MATCH($E295,科目参数!$M$6:$M$85,0)),"")))</f>
        <v/>
      </c>
      <c r="R295" s="48" t="str">
        <f aca="false">IF($B295="","",SUMIFS(期初数据!$B$6:$B$35,期初数据!$A$6:$A$35,$F295)+SUMIFS($N$5:$N295,$F$5:$F295,$F295,$D$5:$D295,"收入")-SUMIFS($N$5:$N295,$F$5:$F295,$F295,$D$5:$D295,"支出")-SUMIFS($N$5:$N295,$F$5:$F295,$F295,$D$5:$D295,"转账")+SUMIFS($N$5:$N295,$G$5:$G295,$F295,$D$5:$D295,"转账"))</f>
        <v/>
      </c>
      <c r="S295" s="49" t="str">
        <f aca="false">IF($E295="","",IFERROR(INDEX(科目参数!$N$6:$N$85,MATCH($E295,科目参数!$M$6:$M$85,0)),""))</f>
        <v/>
      </c>
      <c r="T295" s="49" t="str">
        <f aca="false">IF($F295="","",IFERROR(INDEX(基础资料!$C$6:$C$35,MATCH($F295,基础资料!$A$6:$A$35,0)),""))</f>
        <v/>
      </c>
      <c r="U295" s="49" t="str">
        <f aca="false">IF($G295="","",IFERROR(INDEX(基础资料!$C$6:$C$35,MATCH($G295,基础资料!$A$6:$A$35,0)),""))</f>
        <v/>
      </c>
      <c r="V295" s="49" t="str">
        <f aca="false">IF(AND($G295=客户对账单!$B$3,$E295="客户回款",$B295&gt;=客户对账单!$E$3,$B295&lt;=客户对账单!$H$3),COUNTIFS($G$5:$G295,客户对账单!$B$3,$E$5:$E295,"客户回款",$B$5:$B295,"&gt;="&amp;客户对账单!$E$3,$B$5:$B295,"&lt;="&amp;客户对账单!$H$3),"")</f>
        <v/>
      </c>
      <c r="W295" s="49" t="str">
        <f aca="false">IF(AND($G295=供应商对账单!$B$3,$E295="供应商付款",$B295&gt;=供应商对账单!$E$3,$B295&lt;=供应商对账单!$H$3),COUNTIFS($G$5:$G295,供应商对账单!$B$3,$E$5:$E295,"供应商付款",$B$5:$B295,"&gt;="&amp;供应商对账单!$E$3,$B$5:$B295,"&lt;="&amp;供应商对账单!$H$3),"")</f>
        <v/>
      </c>
    </row>
    <row r="296" customFormat="false" ht="15.75" hidden="false" customHeight="true" outlineLevel="0" collapsed="false">
      <c r="A296" s="42" t="str">
        <f aca="false">IF($B296="","","ZJ"&amp;TEXT($B296,"yyyymm")&amp;"-"&amp;TEXT(ROW()-4,"000"))</f>
        <v/>
      </c>
      <c r="B296" s="41"/>
      <c r="C296" s="42" t="str">
        <f aca="false">IF($B296="","",TEXT($B296,"yyyy-mm"))</f>
        <v/>
      </c>
      <c r="D296" s="42" t="str">
        <f aca="false">IF($E296="","",IFERROR(INDEX(科目参数!$L$6:$L$85,MATCH($E296,科目参数!$M$6:$M$85,0)),"⚠"))</f>
        <v/>
      </c>
      <c r="E296" s="33"/>
      <c r="F296" s="33"/>
      <c r="G296" s="36"/>
      <c r="H296" s="33"/>
      <c r="I296" s="33"/>
      <c r="J296" s="36"/>
      <c r="K296" s="40"/>
      <c r="L296" s="40"/>
      <c r="M296" s="47" t="str">
        <f aca="false">IF($B296="","",IF(NOT(ISNUMBER($B296)),"日期不是日期格式",IF(YEAR($B296)&lt;&gt;首页!$B$3,"不在会计年度",IF($E296="","未选收支科目",IF($D296="⚠","收支科目不存在",IF($F296="","未选账户",IF($T296="","账户未设资金科目",IF(AND($D296="转账",$U296=""),"转入账户无效",IF(AND(N($K296)&gt;0,N($L296)&gt;0),"收支不能同时填",IF(AND($D296="收入",N($K296)&lt;=0),"收入金额须大于0",IF(AND($D296&lt;&gt;"收入",N($L296)&lt;=0),"支出金额须大于0",IF($O296="","借方科目缺失",IF($P296="","贷方科目缺失","√")))))))))))))</f>
        <v/>
      </c>
      <c r="N296" s="48" t="str">
        <f aca="false">IF($B296="","",IF($D296="收入",N($K296),N($L296)))</f>
        <v/>
      </c>
      <c r="O296" s="49" t="str">
        <f aca="false">IF($B296="","",IF($D296="收入",$T296,IF($D296="转账",$U296,$S296)))</f>
        <v/>
      </c>
      <c r="P296" s="49" t="str">
        <f aca="false">IF($B296="","",IF($D296="收入",$S296,$T296))</f>
        <v/>
      </c>
      <c r="Q296" s="50" t="str">
        <f aca="false">IF($E296="","",IF($D296="转账","—",IFERROR(INDEX(科目参数!$P$6:$P$85,MATCH($E296,科目参数!$M$6:$M$85,0)),"")))</f>
        <v/>
      </c>
      <c r="R296" s="48" t="str">
        <f aca="false">IF($B296="","",SUMIFS(期初数据!$B$6:$B$35,期初数据!$A$6:$A$35,$F296)+SUMIFS($N$5:$N296,$F$5:$F296,$F296,$D$5:$D296,"收入")-SUMIFS($N$5:$N296,$F$5:$F296,$F296,$D$5:$D296,"支出")-SUMIFS($N$5:$N296,$F$5:$F296,$F296,$D$5:$D296,"转账")+SUMIFS($N$5:$N296,$G$5:$G296,$F296,$D$5:$D296,"转账"))</f>
        <v/>
      </c>
      <c r="S296" s="49" t="str">
        <f aca="false">IF($E296="","",IFERROR(INDEX(科目参数!$N$6:$N$85,MATCH($E296,科目参数!$M$6:$M$85,0)),""))</f>
        <v/>
      </c>
      <c r="T296" s="49" t="str">
        <f aca="false">IF($F296="","",IFERROR(INDEX(基础资料!$C$6:$C$35,MATCH($F296,基础资料!$A$6:$A$35,0)),""))</f>
        <v/>
      </c>
      <c r="U296" s="49" t="str">
        <f aca="false">IF($G296="","",IFERROR(INDEX(基础资料!$C$6:$C$35,MATCH($G296,基础资料!$A$6:$A$35,0)),""))</f>
        <v/>
      </c>
      <c r="V296" s="49" t="str">
        <f aca="false">IF(AND($G296=客户对账单!$B$3,$E296="客户回款",$B296&gt;=客户对账单!$E$3,$B296&lt;=客户对账单!$H$3),COUNTIFS($G$5:$G296,客户对账单!$B$3,$E$5:$E296,"客户回款",$B$5:$B296,"&gt;="&amp;客户对账单!$E$3,$B$5:$B296,"&lt;="&amp;客户对账单!$H$3),"")</f>
        <v/>
      </c>
      <c r="W296" s="49" t="str">
        <f aca="false">IF(AND($G296=供应商对账单!$B$3,$E296="供应商付款",$B296&gt;=供应商对账单!$E$3,$B296&lt;=供应商对账单!$H$3),COUNTIFS($G$5:$G296,供应商对账单!$B$3,$E$5:$E296,"供应商付款",$B$5:$B296,"&gt;="&amp;供应商对账单!$E$3,$B$5:$B296,"&lt;="&amp;供应商对账单!$H$3),"")</f>
        <v/>
      </c>
    </row>
    <row r="297" customFormat="false" ht="15.75" hidden="false" customHeight="true" outlineLevel="0" collapsed="false">
      <c r="A297" s="42" t="str">
        <f aca="false">IF($B297="","","ZJ"&amp;TEXT($B297,"yyyymm")&amp;"-"&amp;TEXT(ROW()-4,"000"))</f>
        <v/>
      </c>
      <c r="B297" s="41"/>
      <c r="C297" s="42" t="str">
        <f aca="false">IF($B297="","",TEXT($B297,"yyyy-mm"))</f>
        <v/>
      </c>
      <c r="D297" s="42" t="str">
        <f aca="false">IF($E297="","",IFERROR(INDEX(科目参数!$L$6:$L$85,MATCH($E297,科目参数!$M$6:$M$85,0)),"⚠"))</f>
        <v/>
      </c>
      <c r="E297" s="33"/>
      <c r="F297" s="33"/>
      <c r="G297" s="36"/>
      <c r="H297" s="33"/>
      <c r="I297" s="33"/>
      <c r="J297" s="36"/>
      <c r="K297" s="40"/>
      <c r="L297" s="40"/>
      <c r="M297" s="47" t="str">
        <f aca="false">IF($B297="","",IF(NOT(ISNUMBER($B297)),"日期不是日期格式",IF(YEAR($B297)&lt;&gt;首页!$B$3,"不在会计年度",IF($E297="","未选收支科目",IF($D297="⚠","收支科目不存在",IF($F297="","未选账户",IF($T297="","账户未设资金科目",IF(AND($D297="转账",$U297=""),"转入账户无效",IF(AND(N($K297)&gt;0,N($L297)&gt;0),"收支不能同时填",IF(AND($D297="收入",N($K297)&lt;=0),"收入金额须大于0",IF(AND($D297&lt;&gt;"收入",N($L297)&lt;=0),"支出金额须大于0",IF($O297="","借方科目缺失",IF($P297="","贷方科目缺失","√")))))))))))))</f>
        <v/>
      </c>
      <c r="N297" s="48" t="str">
        <f aca="false">IF($B297="","",IF($D297="收入",N($K297),N($L297)))</f>
        <v/>
      </c>
      <c r="O297" s="49" t="str">
        <f aca="false">IF($B297="","",IF($D297="收入",$T297,IF($D297="转账",$U297,$S297)))</f>
        <v/>
      </c>
      <c r="P297" s="49" t="str">
        <f aca="false">IF($B297="","",IF($D297="收入",$S297,$T297))</f>
        <v/>
      </c>
      <c r="Q297" s="50" t="str">
        <f aca="false">IF($E297="","",IF($D297="转账","—",IFERROR(INDEX(科目参数!$P$6:$P$85,MATCH($E297,科目参数!$M$6:$M$85,0)),"")))</f>
        <v/>
      </c>
      <c r="R297" s="48" t="str">
        <f aca="false">IF($B297="","",SUMIFS(期初数据!$B$6:$B$35,期初数据!$A$6:$A$35,$F297)+SUMIFS($N$5:$N297,$F$5:$F297,$F297,$D$5:$D297,"收入")-SUMIFS($N$5:$N297,$F$5:$F297,$F297,$D$5:$D297,"支出")-SUMIFS($N$5:$N297,$F$5:$F297,$F297,$D$5:$D297,"转账")+SUMIFS($N$5:$N297,$G$5:$G297,$F297,$D$5:$D297,"转账"))</f>
        <v/>
      </c>
      <c r="S297" s="49" t="str">
        <f aca="false">IF($E297="","",IFERROR(INDEX(科目参数!$N$6:$N$85,MATCH($E297,科目参数!$M$6:$M$85,0)),""))</f>
        <v/>
      </c>
      <c r="T297" s="49" t="str">
        <f aca="false">IF($F297="","",IFERROR(INDEX(基础资料!$C$6:$C$35,MATCH($F297,基础资料!$A$6:$A$35,0)),""))</f>
        <v/>
      </c>
      <c r="U297" s="49" t="str">
        <f aca="false">IF($G297="","",IFERROR(INDEX(基础资料!$C$6:$C$35,MATCH($G297,基础资料!$A$6:$A$35,0)),""))</f>
        <v/>
      </c>
      <c r="V297" s="49" t="str">
        <f aca="false">IF(AND($G297=客户对账单!$B$3,$E297="客户回款",$B297&gt;=客户对账单!$E$3,$B297&lt;=客户对账单!$H$3),COUNTIFS($G$5:$G297,客户对账单!$B$3,$E$5:$E297,"客户回款",$B$5:$B297,"&gt;="&amp;客户对账单!$E$3,$B$5:$B297,"&lt;="&amp;客户对账单!$H$3),"")</f>
        <v/>
      </c>
      <c r="W297" s="49" t="str">
        <f aca="false">IF(AND($G297=供应商对账单!$B$3,$E297="供应商付款",$B297&gt;=供应商对账单!$E$3,$B297&lt;=供应商对账单!$H$3),COUNTIFS($G$5:$G297,供应商对账单!$B$3,$E$5:$E297,"供应商付款",$B$5:$B297,"&gt;="&amp;供应商对账单!$E$3,$B$5:$B297,"&lt;="&amp;供应商对账单!$H$3),"")</f>
        <v/>
      </c>
    </row>
    <row r="298" customFormat="false" ht="15.75" hidden="false" customHeight="true" outlineLevel="0" collapsed="false">
      <c r="A298" s="42" t="str">
        <f aca="false">IF($B298="","","ZJ"&amp;TEXT($B298,"yyyymm")&amp;"-"&amp;TEXT(ROW()-4,"000"))</f>
        <v/>
      </c>
      <c r="B298" s="41"/>
      <c r="C298" s="42" t="str">
        <f aca="false">IF($B298="","",TEXT($B298,"yyyy-mm"))</f>
        <v/>
      </c>
      <c r="D298" s="42" t="str">
        <f aca="false">IF($E298="","",IFERROR(INDEX(科目参数!$L$6:$L$85,MATCH($E298,科目参数!$M$6:$M$85,0)),"⚠"))</f>
        <v/>
      </c>
      <c r="E298" s="33"/>
      <c r="F298" s="33"/>
      <c r="G298" s="36"/>
      <c r="H298" s="33"/>
      <c r="I298" s="33"/>
      <c r="J298" s="36"/>
      <c r="K298" s="40"/>
      <c r="L298" s="40"/>
      <c r="M298" s="47" t="str">
        <f aca="false">IF($B298="","",IF(NOT(ISNUMBER($B298)),"日期不是日期格式",IF(YEAR($B298)&lt;&gt;首页!$B$3,"不在会计年度",IF($E298="","未选收支科目",IF($D298="⚠","收支科目不存在",IF($F298="","未选账户",IF($T298="","账户未设资金科目",IF(AND($D298="转账",$U298=""),"转入账户无效",IF(AND(N($K298)&gt;0,N($L298)&gt;0),"收支不能同时填",IF(AND($D298="收入",N($K298)&lt;=0),"收入金额须大于0",IF(AND($D298&lt;&gt;"收入",N($L298)&lt;=0),"支出金额须大于0",IF($O298="","借方科目缺失",IF($P298="","贷方科目缺失","√")))))))))))))</f>
        <v/>
      </c>
      <c r="N298" s="48" t="str">
        <f aca="false">IF($B298="","",IF($D298="收入",N($K298),N($L298)))</f>
        <v/>
      </c>
      <c r="O298" s="49" t="str">
        <f aca="false">IF($B298="","",IF($D298="收入",$T298,IF($D298="转账",$U298,$S298)))</f>
        <v/>
      </c>
      <c r="P298" s="49" t="str">
        <f aca="false">IF($B298="","",IF($D298="收入",$S298,$T298))</f>
        <v/>
      </c>
      <c r="Q298" s="50" t="str">
        <f aca="false">IF($E298="","",IF($D298="转账","—",IFERROR(INDEX(科目参数!$P$6:$P$85,MATCH($E298,科目参数!$M$6:$M$85,0)),"")))</f>
        <v/>
      </c>
      <c r="R298" s="48" t="str">
        <f aca="false">IF($B298="","",SUMIFS(期初数据!$B$6:$B$35,期初数据!$A$6:$A$35,$F298)+SUMIFS($N$5:$N298,$F$5:$F298,$F298,$D$5:$D298,"收入")-SUMIFS($N$5:$N298,$F$5:$F298,$F298,$D$5:$D298,"支出")-SUMIFS($N$5:$N298,$F$5:$F298,$F298,$D$5:$D298,"转账")+SUMIFS($N$5:$N298,$G$5:$G298,$F298,$D$5:$D298,"转账"))</f>
        <v/>
      </c>
      <c r="S298" s="49" t="str">
        <f aca="false">IF($E298="","",IFERROR(INDEX(科目参数!$N$6:$N$85,MATCH($E298,科目参数!$M$6:$M$85,0)),""))</f>
        <v/>
      </c>
      <c r="T298" s="49" t="str">
        <f aca="false">IF($F298="","",IFERROR(INDEX(基础资料!$C$6:$C$35,MATCH($F298,基础资料!$A$6:$A$35,0)),""))</f>
        <v/>
      </c>
      <c r="U298" s="49" t="str">
        <f aca="false">IF($G298="","",IFERROR(INDEX(基础资料!$C$6:$C$35,MATCH($G298,基础资料!$A$6:$A$35,0)),""))</f>
        <v/>
      </c>
      <c r="V298" s="49" t="str">
        <f aca="false">IF(AND($G298=客户对账单!$B$3,$E298="客户回款",$B298&gt;=客户对账单!$E$3,$B298&lt;=客户对账单!$H$3),COUNTIFS($G$5:$G298,客户对账单!$B$3,$E$5:$E298,"客户回款",$B$5:$B298,"&gt;="&amp;客户对账单!$E$3,$B$5:$B298,"&lt;="&amp;客户对账单!$H$3),"")</f>
        <v/>
      </c>
      <c r="W298" s="49" t="str">
        <f aca="false">IF(AND($G298=供应商对账单!$B$3,$E298="供应商付款",$B298&gt;=供应商对账单!$E$3,$B298&lt;=供应商对账单!$H$3),COUNTIFS($G$5:$G298,供应商对账单!$B$3,$E$5:$E298,"供应商付款",$B$5:$B298,"&gt;="&amp;供应商对账单!$E$3,$B$5:$B298,"&lt;="&amp;供应商对账单!$H$3),"")</f>
        <v/>
      </c>
    </row>
    <row r="299" customFormat="false" ht="15.75" hidden="false" customHeight="true" outlineLevel="0" collapsed="false">
      <c r="A299" s="42" t="str">
        <f aca="false">IF($B299="","","ZJ"&amp;TEXT($B299,"yyyymm")&amp;"-"&amp;TEXT(ROW()-4,"000"))</f>
        <v/>
      </c>
      <c r="B299" s="41"/>
      <c r="C299" s="42" t="str">
        <f aca="false">IF($B299="","",TEXT($B299,"yyyy-mm"))</f>
        <v/>
      </c>
      <c r="D299" s="42" t="str">
        <f aca="false">IF($E299="","",IFERROR(INDEX(科目参数!$L$6:$L$85,MATCH($E299,科目参数!$M$6:$M$85,0)),"⚠"))</f>
        <v/>
      </c>
      <c r="E299" s="33"/>
      <c r="F299" s="33"/>
      <c r="G299" s="36"/>
      <c r="H299" s="33"/>
      <c r="I299" s="33"/>
      <c r="J299" s="36"/>
      <c r="K299" s="40"/>
      <c r="L299" s="40"/>
      <c r="M299" s="47" t="str">
        <f aca="false">IF($B299="","",IF(NOT(ISNUMBER($B299)),"日期不是日期格式",IF(YEAR($B299)&lt;&gt;首页!$B$3,"不在会计年度",IF($E299="","未选收支科目",IF($D299="⚠","收支科目不存在",IF($F299="","未选账户",IF($T299="","账户未设资金科目",IF(AND($D299="转账",$U299=""),"转入账户无效",IF(AND(N($K299)&gt;0,N($L299)&gt;0),"收支不能同时填",IF(AND($D299="收入",N($K299)&lt;=0),"收入金额须大于0",IF(AND($D299&lt;&gt;"收入",N($L299)&lt;=0),"支出金额须大于0",IF($O299="","借方科目缺失",IF($P299="","贷方科目缺失","√")))))))))))))</f>
        <v/>
      </c>
      <c r="N299" s="48" t="str">
        <f aca="false">IF($B299="","",IF($D299="收入",N($K299),N($L299)))</f>
        <v/>
      </c>
      <c r="O299" s="49" t="str">
        <f aca="false">IF($B299="","",IF($D299="收入",$T299,IF($D299="转账",$U299,$S299)))</f>
        <v/>
      </c>
      <c r="P299" s="49" t="str">
        <f aca="false">IF($B299="","",IF($D299="收入",$S299,$T299))</f>
        <v/>
      </c>
      <c r="Q299" s="50" t="str">
        <f aca="false">IF($E299="","",IF($D299="转账","—",IFERROR(INDEX(科目参数!$P$6:$P$85,MATCH($E299,科目参数!$M$6:$M$85,0)),"")))</f>
        <v/>
      </c>
      <c r="R299" s="48" t="str">
        <f aca="false">IF($B299="","",SUMIFS(期初数据!$B$6:$B$35,期初数据!$A$6:$A$35,$F299)+SUMIFS($N$5:$N299,$F$5:$F299,$F299,$D$5:$D299,"收入")-SUMIFS($N$5:$N299,$F$5:$F299,$F299,$D$5:$D299,"支出")-SUMIFS($N$5:$N299,$F$5:$F299,$F299,$D$5:$D299,"转账")+SUMIFS($N$5:$N299,$G$5:$G299,$F299,$D$5:$D299,"转账"))</f>
        <v/>
      </c>
      <c r="S299" s="49" t="str">
        <f aca="false">IF($E299="","",IFERROR(INDEX(科目参数!$N$6:$N$85,MATCH($E299,科目参数!$M$6:$M$85,0)),""))</f>
        <v/>
      </c>
      <c r="T299" s="49" t="str">
        <f aca="false">IF($F299="","",IFERROR(INDEX(基础资料!$C$6:$C$35,MATCH($F299,基础资料!$A$6:$A$35,0)),""))</f>
        <v/>
      </c>
      <c r="U299" s="49" t="str">
        <f aca="false">IF($G299="","",IFERROR(INDEX(基础资料!$C$6:$C$35,MATCH($G299,基础资料!$A$6:$A$35,0)),""))</f>
        <v/>
      </c>
      <c r="V299" s="49" t="str">
        <f aca="false">IF(AND($G299=客户对账单!$B$3,$E299="客户回款",$B299&gt;=客户对账单!$E$3,$B299&lt;=客户对账单!$H$3),COUNTIFS($G$5:$G299,客户对账单!$B$3,$E$5:$E299,"客户回款",$B$5:$B299,"&gt;="&amp;客户对账单!$E$3,$B$5:$B299,"&lt;="&amp;客户对账单!$H$3),"")</f>
        <v/>
      </c>
      <c r="W299" s="49" t="str">
        <f aca="false">IF(AND($G299=供应商对账单!$B$3,$E299="供应商付款",$B299&gt;=供应商对账单!$E$3,$B299&lt;=供应商对账单!$H$3),COUNTIFS($G$5:$G299,供应商对账单!$B$3,$E$5:$E299,"供应商付款",$B$5:$B299,"&gt;="&amp;供应商对账单!$E$3,$B$5:$B299,"&lt;="&amp;供应商对账单!$H$3),"")</f>
        <v/>
      </c>
    </row>
    <row r="300" customFormat="false" ht="15.75" hidden="false" customHeight="true" outlineLevel="0" collapsed="false">
      <c r="A300" s="42" t="str">
        <f aca="false">IF($B300="","","ZJ"&amp;TEXT($B300,"yyyymm")&amp;"-"&amp;TEXT(ROW()-4,"000"))</f>
        <v/>
      </c>
      <c r="B300" s="41"/>
      <c r="C300" s="42" t="str">
        <f aca="false">IF($B300="","",TEXT($B300,"yyyy-mm"))</f>
        <v/>
      </c>
      <c r="D300" s="42" t="str">
        <f aca="false">IF($E300="","",IFERROR(INDEX(科目参数!$L$6:$L$85,MATCH($E300,科目参数!$M$6:$M$85,0)),"⚠"))</f>
        <v/>
      </c>
      <c r="E300" s="33"/>
      <c r="F300" s="33"/>
      <c r="G300" s="36"/>
      <c r="H300" s="33"/>
      <c r="I300" s="33"/>
      <c r="J300" s="36"/>
      <c r="K300" s="40"/>
      <c r="L300" s="40"/>
      <c r="M300" s="47" t="str">
        <f aca="false">IF($B300="","",IF(NOT(ISNUMBER($B300)),"日期不是日期格式",IF(YEAR($B300)&lt;&gt;首页!$B$3,"不在会计年度",IF($E300="","未选收支科目",IF($D300="⚠","收支科目不存在",IF($F300="","未选账户",IF($T300="","账户未设资金科目",IF(AND($D300="转账",$U300=""),"转入账户无效",IF(AND(N($K300)&gt;0,N($L300)&gt;0),"收支不能同时填",IF(AND($D300="收入",N($K300)&lt;=0),"收入金额须大于0",IF(AND($D300&lt;&gt;"收入",N($L300)&lt;=0),"支出金额须大于0",IF($O300="","借方科目缺失",IF($P300="","贷方科目缺失","√")))))))))))))</f>
        <v/>
      </c>
      <c r="N300" s="48" t="str">
        <f aca="false">IF($B300="","",IF($D300="收入",N($K300),N($L300)))</f>
        <v/>
      </c>
      <c r="O300" s="49" t="str">
        <f aca="false">IF($B300="","",IF($D300="收入",$T300,IF($D300="转账",$U300,$S300)))</f>
        <v/>
      </c>
      <c r="P300" s="49" t="str">
        <f aca="false">IF($B300="","",IF($D300="收入",$S300,$T300))</f>
        <v/>
      </c>
      <c r="Q300" s="50" t="str">
        <f aca="false">IF($E300="","",IF($D300="转账","—",IFERROR(INDEX(科目参数!$P$6:$P$85,MATCH($E300,科目参数!$M$6:$M$85,0)),"")))</f>
        <v/>
      </c>
      <c r="R300" s="48" t="str">
        <f aca="false">IF($B300="","",SUMIFS(期初数据!$B$6:$B$35,期初数据!$A$6:$A$35,$F300)+SUMIFS($N$5:$N300,$F$5:$F300,$F300,$D$5:$D300,"收入")-SUMIFS($N$5:$N300,$F$5:$F300,$F300,$D$5:$D300,"支出")-SUMIFS($N$5:$N300,$F$5:$F300,$F300,$D$5:$D300,"转账")+SUMIFS($N$5:$N300,$G$5:$G300,$F300,$D$5:$D300,"转账"))</f>
        <v/>
      </c>
      <c r="S300" s="49" t="str">
        <f aca="false">IF($E300="","",IFERROR(INDEX(科目参数!$N$6:$N$85,MATCH($E300,科目参数!$M$6:$M$85,0)),""))</f>
        <v/>
      </c>
      <c r="T300" s="49" t="str">
        <f aca="false">IF($F300="","",IFERROR(INDEX(基础资料!$C$6:$C$35,MATCH($F300,基础资料!$A$6:$A$35,0)),""))</f>
        <v/>
      </c>
      <c r="U300" s="49" t="str">
        <f aca="false">IF($G300="","",IFERROR(INDEX(基础资料!$C$6:$C$35,MATCH($G300,基础资料!$A$6:$A$35,0)),""))</f>
        <v/>
      </c>
      <c r="V300" s="49" t="str">
        <f aca="false">IF(AND($G300=客户对账单!$B$3,$E300="客户回款",$B300&gt;=客户对账单!$E$3,$B300&lt;=客户对账单!$H$3),COUNTIFS($G$5:$G300,客户对账单!$B$3,$E$5:$E300,"客户回款",$B$5:$B300,"&gt;="&amp;客户对账单!$E$3,$B$5:$B300,"&lt;="&amp;客户对账单!$H$3),"")</f>
        <v/>
      </c>
      <c r="W300" s="49" t="str">
        <f aca="false">IF(AND($G300=供应商对账单!$B$3,$E300="供应商付款",$B300&gt;=供应商对账单!$E$3,$B300&lt;=供应商对账单!$H$3),COUNTIFS($G$5:$G300,供应商对账单!$B$3,$E$5:$E300,"供应商付款",$B$5:$B300,"&gt;="&amp;供应商对账单!$E$3,$B$5:$B300,"&lt;="&amp;供应商对账单!$H$3),"")</f>
        <v/>
      </c>
    </row>
    <row r="301" customFormat="false" ht="15.75" hidden="false" customHeight="true" outlineLevel="0" collapsed="false">
      <c r="A301" s="42" t="str">
        <f aca="false">IF($B301="","","ZJ"&amp;TEXT($B301,"yyyymm")&amp;"-"&amp;TEXT(ROW()-4,"000"))</f>
        <v/>
      </c>
      <c r="B301" s="41"/>
      <c r="C301" s="42" t="str">
        <f aca="false">IF($B301="","",TEXT($B301,"yyyy-mm"))</f>
        <v/>
      </c>
      <c r="D301" s="42" t="str">
        <f aca="false">IF($E301="","",IFERROR(INDEX(科目参数!$L$6:$L$85,MATCH($E301,科目参数!$M$6:$M$85,0)),"⚠"))</f>
        <v/>
      </c>
      <c r="E301" s="33"/>
      <c r="F301" s="33"/>
      <c r="G301" s="36"/>
      <c r="H301" s="33"/>
      <c r="I301" s="33"/>
      <c r="J301" s="36"/>
      <c r="K301" s="40"/>
      <c r="L301" s="40"/>
      <c r="M301" s="47" t="str">
        <f aca="false">IF($B301="","",IF(NOT(ISNUMBER($B301)),"日期不是日期格式",IF(YEAR($B301)&lt;&gt;首页!$B$3,"不在会计年度",IF($E301="","未选收支科目",IF($D301="⚠","收支科目不存在",IF($F301="","未选账户",IF($T301="","账户未设资金科目",IF(AND($D301="转账",$U301=""),"转入账户无效",IF(AND(N($K301)&gt;0,N($L301)&gt;0),"收支不能同时填",IF(AND($D301="收入",N($K301)&lt;=0),"收入金额须大于0",IF(AND($D301&lt;&gt;"收入",N($L301)&lt;=0),"支出金额须大于0",IF($O301="","借方科目缺失",IF($P301="","贷方科目缺失","√")))))))))))))</f>
        <v/>
      </c>
      <c r="N301" s="48" t="str">
        <f aca="false">IF($B301="","",IF($D301="收入",N($K301),N($L301)))</f>
        <v/>
      </c>
      <c r="O301" s="49" t="str">
        <f aca="false">IF($B301="","",IF($D301="收入",$T301,IF($D301="转账",$U301,$S301)))</f>
        <v/>
      </c>
      <c r="P301" s="49" t="str">
        <f aca="false">IF($B301="","",IF($D301="收入",$S301,$T301))</f>
        <v/>
      </c>
      <c r="Q301" s="50" t="str">
        <f aca="false">IF($E301="","",IF($D301="转账","—",IFERROR(INDEX(科目参数!$P$6:$P$85,MATCH($E301,科目参数!$M$6:$M$85,0)),"")))</f>
        <v/>
      </c>
      <c r="R301" s="48" t="str">
        <f aca="false">IF($B301="","",SUMIFS(期初数据!$B$6:$B$35,期初数据!$A$6:$A$35,$F301)+SUMIFS($N$5:$N301,$F$5:$F301,$F301,$D$5:$D301,"收入")-SUMIFS($N$5:$N301,$F$5:$F301,$F301,$D$5:$D301,"支出")-SUMIFS($N$5:$N301,$F$5:$F301,$F301,$D$5:$D301,"转账")+SUMIFS($N$5:$N301,$G$5:$G301,$F301,$D$5:$D301,"转账"))</f>
        <v/>
      </c>
      <c r="S301" s="49" t="str">
        <f aca="false">IF($E301="","",IFERROR(INDEX(科目参数!$N$6:$N$85,MATCH($E301,科目参数!$M$6:$M$85,0)),""))</f>
        <v/>
      </c>
      <c r="T301" s="49" t="str">
        <f aca="false">IF($F301="","",IFERROR(INDEX(基础资料!$C$6:$C$35,MATCH($F301,基础资料!$A$6:$A$35,0)),""))</f>
        <v/>
      </c>
      <c r="U301" s="49" t="str">
        <f aca="false">IF($G301="","",IFERROR(INDEX(基础资料!$C$6:$C$35,MATCH($G301,基础资料!$A$6:$A$35,0)),""))</f>
        <v/>
      </c>
      <c r="V301" s="49" t="str">
        <f aca="false">IF(AND($G301=客户对账单!$B$3,$E301="客户回款",$B301&gt;=客户对账单!$E$3,$B301&lt;=客户对账单!$H$3),COUNTIFS($G$5:$G301,客户对账单!$B$3,$E$5:$E301,"客户回款",$B$5:$B301,"&gt;="&amp;客户对账单!$E$3,$B$5:$B301,"&lt;="&amp;客户对账单!$H$3),"")</f>
        <v/>
      </c>
      <c r="W301" s="49" t="str">
        <f aca="false">IF(AND($G301=供应商对账单!$B$3,$E301="供应商付款",$B301&gt;=供应商对账单!$E$3,$B301&lt;=供应商对账单!$H$3),COUNTIFS($G$5:$G301,供应商对账单!$B$3,$E$5:$E301,"供应商付款",$B$5:$B301,"&gt;="&amp;供应商对账单!$E$3,$B$5:$B301,"&lt;="&amp;供应商对账单!$H$3),"")</f>
        <v/>
      </c>
    </row>
    <row r="302" customFormat="false" ht="15.75" hidden="false" customHeight="true" outlineLevel="0" collapsed="false">
      <c r="A302" s="42" t="str">
        <f aca="false">IF($B302="","","ZJ"&amp;TEXT($B302,"yyyymm")&amp;"-"&amp;TEXT(ROW()-4,"000"))</f>
        <v/>
      </c>
      <c r="B302" s="41"/>
      <c r="C302" s="42" t="str">
        <f aca="false">IF($B302="","",TEXT($B302,"yyyy-mm"))</f>
        <v/>
      </c>
      <c r="D302" s="42" t="str">
        <f aca="false">IF($E302="","",IFERROR(INDEX(科目参数!$L$6:$L$85,MATCH($E302,科目参数!$M$6:$M$85,0)),"⚠"))</f>
        <v/>
      </c>
      <c r="E302" s="33"/>
      <c r="F302" s="33"/>
      <c r="G302" s="36"/>
      <c r="H302" s="33"/>
      <c r="I302" s="33"/>
      <c r="J302" s="36"/>
      <c r="K302" s="40"/>
      <c r="L302" s="40"/>
      <c r="M302" s="47" t="str">
        <f aca="false">IF($B302="","",IF(NOT(ISNUMBER($B302)),"日期不是日期格式",IF(YEAR($B302)&lt;&gt;首页!$B$3,"不在会计年度",IF($E302="","未选收支科目",IF($D302="⚠","收支科目不存在",IF($F302="","未选账户",IF($T302="","账户未设资金科目",IF(AND($D302="转账",$U302=""),"转入账户无效",IF(AND(N($K302)&gt;0,N($L302)&gt;0),"收支不能同时填",IF(AND($D302="收入",N($K302)&lt;=0),"收入金额须大于0",IF(AND($D302&lt;&gt;"收入",N($L302)&lt;=0),"支出金额须大于0",IF($O302="","借方科目缺失",IF($P302="","贷方科目缺失","√")))))))))))))</f>
        <v/>
      </c>
      <c r="N302" s="48" t="str">
        <f aca="false">IF($B302="","",IF($D302="收入",N($K302),N($L302)))</f>
        <v/>
      </c>
      <c r="O302" s="49" t="str">
        <f aca="false">IF($B302="","",IF($D302="收入",$T302,IF($D302="转账",$U302,$S302)))</f>
        <v/>
      </c>
      <c r="P302" s="49" t="str">
        <f aca="false">IF($B302="","",IF($D302="收入",$S302,$T302))</f>
        <v/>
      </c>
      <c r="Q302" s="50" t="str">
        <f aca="false">IF($E302="","",IF($D302="转账","—",IFERROR(INDEX(科目参数!$P$6:$P$85,MATCH($E302,科目参数!$M$6:$M$85,0)),"")))</f>
        <v/>
      </c>
      <c r="R302" s="48" t="str">
        <f aca="false">IF($B302="","",SUMIFS(期初数据!$B$6:$B$35,期初数据!$A$6:$A$35,$F302)+SUMIFS($N$5:$N302,$F$5:$F302,$F302,$D$5:$D302,"收入")-SUMIFS($N$5:$N302,$F$5:$F302,$F302,$D$5:$D302,"支出")-SUMIFS($N$5:$N302,$F$5:$F302,$F302,$D$5:$D302,"转账")+SUMIFS($N$5:$N302,$G$5:$G302,$F302,$D$5:$D302,"转账"))</f>
        <v/>
      </c>
      <c r="S302" s="49" t="str">
        <f aca="false">IF($E302="","",IFERROR(INDEX(科目参数!$N$6:$N$85,MATCH($E302,科目参数!$M$6:$M$85,0)),""))</f>
        <v/>
      </c>
      <c r="T302" s="49" t="str">
        <f aca="false">IF($F302="","",IFERROR(INDEX(基础资料!$C$6:$C$35,MATCH($F302,基础资料!$A$6:$A$35,0)),""))</f>
        <v/>
      </c>
      <c r="U302" s="49" t="str">
        <f aca="false">IF($G302="","",IFERROR(INDEX(基础资料!$C$6:$C$35,MATCH($G302,基础资料!$A$6:$A$35,0)),""))</f>
        <v/>
      </c>
      <c r="V302" s="49" t="str">
        <f aca="false">IF(AND($G302=客户对账单!$B$3,$E302="客户回款",$B302&gt;=客户对账单!$E$3,$B302&lt;=客户对账单!$H$3),COUNTIFS($G$5:$G302,客户对账单!$B$3,$E$5:$E302,"客户回款",$B$5:$B302,"&gt;="&amp;客户对账单!$E$3,$B$5:$B302,"&lt;="&amp;客户对账单!$H$3),"")</f>
        <v/>
      </c>
      <c r="W302" s="49" t="str">
        <f aca="false">IF(AND($G302=供应商对账单!$B$3,$E302="供应商付款",$B302&gt;=供应商对账单!$E$3,$B302&lt;=供应商对账单!$H$3),COUNTIFS($G$5:$G302,供应商对账单!$B$3,$E$5:$E302,"供应商付款",$B$5:$B302,"&gt;="&amp;供应商对账单!$E$3,$B$5:$B302,"&lt;="&amp;供应商对账单!$H$3),"")</f>
        <v/>
      </c>
    </row>
    <row r="303" customFormat="false" ht="15.75" hidden="false" customHeight="true" outlineLevel="0" collapsed="false">
      <c r="A303" s="42" t="str">
        <f aca="false">IF($B303="","","ZJ"&amp;TEXT($B303,"yyyymm")&amp;"-"&amp;TEXT(ROW()-4,"000"))</f>
        <v/>
      </c>
      <c r="B303" s="41"/>
      <c r="C303" s="42" t="str">
        <f aca="false">IF($B303="","",TEXT($B303,"yyyy-mm"))</f>
        <v/>
      </c>
      <c r="D303" s="42" t="str">
        <f aca="false">IF($E303="","",IFERROR(INDEX(科目参数!$L$6:$L$85,MATCH($E303,科目参数!$M$6:$M$85,0)),"⚠"))</f>
        <v/>
      </c>
      <c r="E303" s="33"/>
      <c r="F303" s="33"/>
      <c r="G303" s="36"/>
      <c r="H303" s="33"/>
      <c r="I303" s="33"/>
      <c r="J303" s="36"/>
      <c r="K303" s="40"/>
      <c r="L303" s="40"/>
      <c r="M303" s="47" t="str">
        <f aca="false">IF($B303="","",IF(NOT(ISNUMBER($B303)),"日期不是日期格式",IF(YEAR($B303)&lt;&gt;首页!$B$3,"不在会计年度",IF($E303="","未选收支科目",IF($D303="⚠","收支科目不存在",IF($F303="","未选账户",IF($T303="","账户未设资金科目",IF(AND($D303="转账",$U303=""),"转入账户无效",IF(AND(N($K303)&gt;0,N($L303)&gt;0),"收支不能同时填",IF(AND($D303="收入",N($K303)&lt;=0),"收入金额须大于0",IF(AND($D303&lt;&gt;"收入",N($L303)&lt;=0),"支出金额须大于0",IF($O303="","借方科目缺失",IF($P303="","贷方科目缺失","√")))))))))))))</f>
        <v/>
      </c>
      <c r="N303" s="48" t="str">
        <f aca="false">IF($B303="","",IF($D303="收入",N($K303),N($L303)))</f>
        <v/>
      </c>
      <c r="O303" s="49" t="str">
        <f aca="false">IF($B303="","",IF($D303="收入",$T303,IF($D303="转账",$U303,$S303)))</f>
        <v/>
      </c>
      <c r="P303" s="49" t="str">
        <f aca="false">IF($B303="","",IF($D303="收入",$S303,$T303))</f>
        <v/>
      </c>
      <c r="Q303" s="50" t="str">
        <f aca="false">IF($E303="","",IF($D303="转账","—",IFERROR(INDEX(科目参数!$P$6:$P$85,MATCH($E303,科目参数!$M$6:$M$85,0)),"")))</f>
        <v/>
      </c>
      <c r="R303" s="48" t="str">
        <f aca="false">IF($B303="","",SUMIFS(期初数据!$B$6:$B$35,期初数据!$A$6:$A$35,$F303)+SUMIFS($N$5:$N303,$F$5:$F303,$F303,$D$5:$D303,"收入")-SUMIFS($N$5:$N303,$F$5:$F303,$F303,$D$5:$D303,"支出")-SUMIFS($N$5:$N303,$F$5:$F303,$F303,$D$5:$D303,"转账")+SUMIFS($N$5:$N303,$G$5:$G303,$F303,$D$5:$D303,"转账"))</f>
        <v/>
      </c>
      <c r="S303" s="49" t="str">
        <f aca="false">IF($E303="","",IFERROR(INDEX(科目参数!$N$6:$N$85,MATCH($E303,科目参数!$M$6:$M$85,0)),""))</f>
        <v/>
      </c>
      <c r="T303" s="49" t="str">
        <f aca="false">IF($F303="","",IFERROR(INDEX(基础资料!$C$6:$C$35,MATCH($F303,基础资料!$A$6:$A$35,0)),""))</f>
        <v/>
      </c>
      <c r="U303" s="49" t="str">
        <f aca="false">IF($G303="","",IFERROR(INDEX(基础资料!$C$6:$C$35,MATCH($G303,基础资料!$A$6:$A$35,0)),""))</f>
        <v/>
      </c>
      <c r="V303" s="49" t="str">
        <f aca="false">IF(AND($G303=客户对账单!$B$3,$E303="客户回款",$B303&gt;=客户对账单!$E$3,$B303&lt;=客户对账单!$H$3),COUNTIFS($G$5:$G303,客户对账单!$B$3,$E$5:$E303,"客户回款",$B$5:$B303,"&gt;="&amp;客户对账单!$E$3,$B$5:$B303,"&lt;="&amp;客户对账单!$H$3),"")</f>
        <v/>
      </c>
      <c r="W303" s="49" t="str">
        <f aca="false">IF(AND($G303=供应商对账单!$B$3,$E303="供应商付款",$B303&gt;=供应商对账单!$E$3,$B303&lt;=供应商对账单!$H$3),COUNTIFS($G$5:$G303,供应商对账单!$B$3,$E$5:$E303,"供应商付款",$B$5:$B303,"&gt;="&amp;供应商对账单!$E$3,$B$5:$B303,"&lt;="&amp;供应商对账单!$H$3),"")</f>
        <v/>
      </c>
    </row>
    <row r="304" customFormat="false" ht="15.75" hidden="false" customHeight="true" outlineLevel="0" collapsed="false">
      <c r="A304" s="42" t="str">
        <f aca="false">IF($B304="","","ZJ"&amp;TEXT($B304,"yyyymm")&amp;"-"&amp;TEXT(ROW()-4,"000"))</f>
        <v/>
      </c>
      <c r="B304" s="41"/>
      <c r="C304" s="42" t="str">
        <f aca="false">IF($B304="","",TEXT($B304,"yyyy-mm"))</f>
        <v/>
      </c>
      <c r="D304" s="42" t="str">
        <f aca="false">IF($E304="","",IFERROR(INDEX(科目参数!$L$6:$L$85,MATCH($E304,科目参数!$M$6:$M$85,0)),"⚠"))</f>
        <v/>
      </c>
      <c r="E304" s="33"/>
      <c r="F304" s="33"/>
      <c r="G304" s="36"/>
      <c r="H304" s="33"/>
      <c r="I304" s="33"/>
      <c r="J304" s="36"/>
      <c r="K304" s="40"/>
      <c r="L304" s="40"/>
      <c r="M304" s="47" t="str">
        <f aca="false">IF($B304="","",IF(NOT(ISNUMBER($B304)),"日期不是日期格式",IF(YEAR($B304)&lt;&gt;首页!$B$3,"不在会计年度",IF($E304="","未选收支科目",IF($D304="⚠","收支科目不存在",IF($F304="","未选账户",IF($T304="","账户未设资金科目",IF(AND($D304="转账",$U304=""),"转入账户无效",IF(AND(N($K304)&gt;0,N($L304)&gt;0),"收支不能同时填",IF(AND($D304="收入",N($K304)&lt;=0),"收入金额须大于0",IF(AND($D304&lt;&gt;"收入",N($L304)&lt;=0),"支出金额须大于0",IF($O304="","借方科目缺失",IF($P304="","贷方科目缺失","√")))))))))))))</f>
        <v/>
      </c>
      <c r="N304" s="48" t="str">
        <f aca="false">IF($B304="","",IF($D304="收入",N($K304),N($L304)))</f>
        <v/>
      </c>
      <c r="O304" s="49" t="str">
        <f aca="false">IF($B304="","",IF($D304="收入",$T304,IF($D304="转账",$U304,$S304)))</f>
        <v/>
      </c>
      <c r="P304" s="49" t="str">
        <f aca="false">IF($B304="","",IF($D304="收入",$S304,$T304))</f>
        <v/>
      </c>
      <c r="Q304" s="50" t="str">
        <f aca="false">IF($E304="","",IF($D304="转账","—",IFERROR(INDEX(科目参数!$P$6:$P$85,MATCH($E304,科目参数!$M$6:$M$85,0)),"")))</f>
        <v/>
      </c>
      <c r="R304" s="48" t="str">
        <f aca="false">IF($B304="","",SUMIFS(期初数据!$B$6:$B$35,期初数据!$A$6:$A$35,$F304)+SUMIFS($N$5:$N304,$F$5:$F304,$F304,$D$5:$D304,"收入")-SUMIFS($N$5:$N304,$F$5:$F304,$F304,$D$5:$D304,"支出")-SUMIFS($N$5:$N304,$F$5:$F304,$F304,$D$5:$D304,"转账")+SUMIFS($N$5:$N304,$G$5:$G304,$F304,$D$5:$D304,"转账"))</f>
        <v/>
      </c>
      <c r="S304" s="49" t="str">
        <f aca="false">IF($E304="","",IFERROR(INDEX(科目参数!$N$6:$N$85,MATCH($E304,科目参数!$M$6:$M$85,0)),""))</f>
        <v/>
      </c>
      <c r="T304" s="49" t="str">
        <f aca="false">IF($F304="","",IFERROR(INDEX(基础资料!$C$6:$C$35,MATCH($F304,基础资料!$A$6:$A$35,0)),""))</f>
        <v/>
      </c>
      <c r="U304" s="49" t="str">
        <f aca="false">IF($G304="","",IFERROR(INDEX(基础资料!$C$6:$C$35,MATCH($G304,基础资料!$A$6:$A$35,0)),""))</f>
        <v/>
      </c>
      <c r="V304" s="49" t="str">
        <f aca="false">IF(AND($G304=客户对账单!$B$3,$E304="客户回款",$B304&gt;=客户对账单!$E$3,$B304&lt;=客户对账单!$H$3),COUNTIFS($G$5:$G304,客户对账单!$B$3,$E$5:$E304,"客户回款",$B$5:$B304,"&gt;="&amp;客户对账单!$E$3,$B$5:$B304,"&lt;="&amp;客户对账单!$H$3),"")</f>
        <v/>
      </c>
      <c r="W304" s="49" t="str">
        <f aca="false">IF(AND($G304=供应商对账单!$B$3,$E304="供应商付款",$B304&gt;=供应商对账单!$E$3,$B304&lt;=供应商对账单!$H$3),COUNTIFS($G$5:$G304,供应商对账单!$B$3,$E$5:$E304,"供应商付款",$B$5:$B304,"&gt;="&amp;供应商对账单!$E$3,$B$5:$B304,"&lt;="&amp;供应商对账单!$H$3),"")</f>
        <v/>
      </c>
    </row>
    <row r="305" customFormat="false" ht="15.75" hidden="false" customHeight="true" outlineLevel="0" collapsed="false">
      <c r="A305" s="42" t="str">
        <f aca="false">IF($B305="","","ZJ"&amp;TEXT($B305,"yyyymm")&amp;"-"&amp;TEXT(ROW()-4,"000"))</f>
        <v/>
      </c>
      <c r="B305" s="41"/>
      <c r="C305" s="42" t="str">
        <f aca="false">IF($B305="","",TEXT($B305,"yyyy-mm"))</f>
        <v/>
      </c>
      <c r="D305" s="42" t="str">
        <f aca="false">IF($E305="","",IFERROR(INDEX(科目参数!$L$6:$L$85,MATCH($E305,科目参数!$M$6:$M$85,0)),"⚠"))</f>
        <v/>
      </c>
      <c r="E305" s="33"/>
      <c r="F305" s="33"/>
      <c r="G305" s="36"/>
      <c r="H305" s="33"/>
      <c r="I305" s="33"/>
      <c r="J305" s="36"/>
      <c r="K305" s="40"/>
      <c r="L305" s="40"/>
      <c r="M305" s="47" t="str">
        <f aca="false">IF($B305="","",IF(NOT(ISNUMBER($B305)),"日期不是日期格式",IF(YEAR($B305)&lt;&gt;首页!$B$3,"不在会计年度",IF($E305="","未选收支科目",IF($D305="⚠","收支科目不存在",IF($F305="","未选账户",IF($T305="","账户未设资金科目",IF(AND($D305="转账",$U305=""),"转入账户无效",IF(AND(N($K305)&gt;0,N($L305)&gt;0),"收支不能同时填",IF(AND($D305="收入",N($K305)&lt;=0),"收入金额须大于0",IF(AND($D305&lt;&gt;"收入",N($L305)&lt;=0),"支出金额须大于0",IF($O305="","借方科目缺失",IF($P305="","贷方科目缺失","√")))))))))))))</f>
        <v/>
      </c>
      <c r="N305" s="48" t="str">
        <f aca="false">IF($B305="","",IF($D305="收入",N($K305),N($L305)))</f>
        <v/>
      </c>
      <c r="O305" s="49" t="str">
        <f aca="false">IF($B305="","",IF($D305="收入",$T305,IF($D305="转账",$U305,$S305)))</f>
        <v/>
      </c>
      <c r="P305" s="49" t="str">
        <f aca="false">IF($B305="","",IF($D305="收入",$S305,$T305))</f>
        <v/>
      </c>
      <c r="Q305" s="50" t="str">
        <f aca="false">IF($E305="","",IF($D305="转账","—",IFERROR(INDEX(科目参数!$P$6:$P$85,MATCH($E305,科目参数!$M$6:$M$85,0)),"")))</f>
        <v/>
      </c>
      <c r="R305" s="48" t="str">
        <f aca="false">IF($B305="","",SUMIFS(期初数据!$B$6:$B$35,期初数据!$A$6:$A$35,$F305)+SUMIFS($N$5:$N305,$F$5:$F305,$F305,$D$5:$D305,"收入")-SUMIFS($N$5:$N305,$F$5:$F305,$F305,$D$5:$D305,"支出")-SUMIFS($N$5:$N305,$F$5:$F305,$F305,$D$5:$D305,"转账")+SUMIFS($N$5:$N305,$G$5:$G305,$F305,$D$5:$D305,"转账"))</f>
        <v/>
      </c>
      <c r="S305" s="49" t="str">
        <f aca="false">IF($E305="","",IFERROR(INDEX(科目参数!$N$6:$N$85,MATCH($E305,科目参数!$M$6:$M$85,0)),""))</f>
        <v/>
      </c>
      <c r="T305" s="49" t="str">
        <f aca="false">IF($F305="","",IFERROR(INDEX(基础资料!$C$6:$C$35,MATCH($F305,基础资料!$A$6:$A$35,0)),""))</f>
        <v/>
      </c>
      <c r="U305" s="49" t="str">
        <f aca="false">IF($G305="","",IFERROR(INDEX(基础资料!$C$6:$C$35,MATCH($G305,基础资料!$A$6:$A$35,0)),""))</f>
        <v/>
      </c>
      <c r="V305" s="49" t="str">
        <f aca="false">IF(AND($G305=客户对账单!$B$3,$E305="客户回款",$B305&gt;=客户对账单!$E$3,$B305&lt;=客户对账单!$H$3),COUNTIFS($G$5:$G305,客户对账单!$B$3,$E$5:$E305,"客户回款",$B$5:$B305,"&gt;="&amp;客户对账单!$E$3,$B$5:$B305,"&lt;="&amp;客户对账单!$H$3),"")</f>
        <v/>
      </c>
      <c r="W305" s="49" t="str">
        <f aca="false">IF(AND($G305=供应商对账单!$B$3,$E305="供应商付款",$B305&gt;=供应商对账单!$E$3,$B305&lt;=供应商对账单!$H$3),COUNTIFS($G$5:$G305,供应商对账单!$B$3,$E$5:$E305,"供应商付款",$B$5:$B305,"&gt;="&amp;供应商对账单!$E$3,$B$5:$B305,"&lt;="&amp;供应商对账单!$H$3),"")</f>
        <v/>
      </c>
    </row>
    <row r="306" customFormat="false" ht="15.75" hidden="false" customHeight="true" outlineLevel="0" collapsed="false">
      <c r="A306" s="42" t="str">
        <f aca="false">IF($B306="","","ZJ"&amp;TEXT($B306,"yyyymm")&amp;"-"&amp;TEXT(ROW()-4,"000"))</f>
        <v/>
      </c>
      <c r="B306" s="41"/>
      <c r="C306" s="42" t="str">
        <f aca="false">IF($B306="","",TEXT($B306,"yyyy-mm"))</f>
        <v/>
      </c>
      <c r="D306" s="42" t="str">
        <f aca="false">IF($E306="","",IFERROR(INDEX(科目参数!$L$6:$L$85,MATCH($E306,科目参数!$M$6:$M$85,0)),"⚠"))</f>
        <v/>
      </c>
      <c r="E306" s="33"/>
      <c r="F306" s="33"/>
      <c r="G306" s="36"/>
      <c r="H306" s="33"/>
      <c r="I306" s="33"/>
      <c r="J306" s="36"/>
      <c r="K306" s="40"/>
      <c r="L306" s="40"/>
      <c r="M306" s="47" t="str">
        <f aca="false">IF($B306="","",IF(NOT(ISNUMBER($B306)),"日期不是日期格式",IF(YEAR($B306)&lt;&gt;首页!$B$3,"不在会计年度",IF($E306="","未选收支科目",IF($D306="⚠","收支科目不存在",IF($F306="","未选账户",IF($T306="","账户未设资金科目",IF(AND($D306="转账",$U306=""),"转入账户无效",IF(AND(N($K306)&gt;0,N($L306)&gt;0),"收支不能同时填",IF(AND($D306="收入",N($K306)&lt;=0),"收入金额须大于0",IF(AND($D306&lt;&gt;"收入",N($L306)&lt;=0),"支出金额须大于0",IF($O306="","借方科目缺失",IF($P306="","贷方科目缺失","√")))))))))))))</f>
        <v/>
      </c>
      <c r="N306" s="48" t="str">
        <f aca="false">IF($B306="","",IF($D306="收入",N($K306),N($L306)))</f>
        <v/>
      </c>
      <c r="O306" s="49" t="str">
        <f aca="false">IF($B306="","",IF($D306="收入",$T306,IF($D306="转账",$U306,$S306)))</f>
        <v/>
      </c>
      <c r="P306" s="49" t="str">
        <f aca="false">IF($B306="","",IF($D306="收入",$S306,$T306))</f>
        <v/>
      </c>
      <c r="Q306" s="50" t="str">
        <f aca="false">IF($E306="","",IF($D306="转账","—",IFERROR(INDEX(科目参数!$P$6:$P$85,MATCH($E306,科目参数!$M$6:$M$85,0)),"")))</f>
        <v/>
      </c>
      <c r="R306" s="48" t="str">
        <f aca="false">IF($B306="","",SUMIFS(期初数据!$B$6:$B$35,期初数据!$A$6:$A$35,$F306)+SUMIFS($N$5:$N306,$F$5:$F306,$F306,$D$5:$D306,"收入")-SUMIFS($N$5:$N306,$F$5:$F306,$F306,$D$5:$D306,"支出")-SUMIFS($N$5:$N306,$F$5:$F306,$F306,$D$5:$D306,"转账")+SUMIFS($N$5:$N306,$G$5:$G306,$F306,$D$5:$D306,"转账"))</f>
        <v/>
      </c>
      <c r="S306" s="49" t="str">
        <f aca="false">IF($E306="","",IFERROR(INDEX(科目参数!$N$6:$N$85,MATCH($E306,科目参数!$M$6:$M$85,0)),""))</f>
        <v/>
      </c>
      <c r="T306" s="49" t="str">
        <f aca="false">IF($F306="","",IFERROR(INDEX(基础资料!$C$6:$C$35,MATCH($F306,基础资料!$A$6:$A$35,0)),""))</f>
        <v/>
      </c>
      <c r="U306" s="49" t="str">
        <f aca="false">IF($G306="","",IFERROR(INDEX(基础资料!$C$6:$C$35,MATCH($G306,基础资料!$A$6:$A$35,0)),""))</f>
        <v/>
      </c>
      <c r="V306" s="49" t="str">
        <f aca="false">IF(AND($G306=客户对账单!$B$3,$E306="客户回款",$B306&gt;=客户对账单!$E$3,$B306&lt;=客户对账单!$H$3),COUNTIFS($G$5:$G306,客户对账单!$B$3,$E$5:$E306,"客户回款",$B$5:$B306,"&gt;="&amp;客户对账单!$E$3,$B$5:$B306,"&lt;="&amp;客户对账单!$H$3),"")</f>
        <v/>
      </c>
      <c r="W306" s="49" t="str">
        <f aca="false">IF(AND($G306=供应商对账单!$B$3,$E306="供应商付款",$B306&gt;=供应商对账单!$E$3,$B306&lt;=供应商对账单!$H$3),COUNTIFS($G$5:$G306,供应商对账单!$B$3,$E$5:$E306,"供应商付款",$B$5:$B306,"&gt;="&amp;供应商对账单!$E$3,$B$5:$B306,"&lt;="&amp;供应商对账单!$H$3),"")</f>
        <v/>
      </c>
    </row>
    <row r="307" customFormat="false" ht="15.75" hidden="false" customHeight="true" outlineLevel="0" collapsed="false">
      <c r="A307" s="42" t="str">
        <f aca="false">IF($B307="","","ZJ"&amp;TEXT($B307,"yyyymm")&amp;"-"&amp;TEXT(ROW()-4,"000"))</f>
        <v/>
      </c>
      <c r="B307" s="41"/>
      <c r="C307" s="42" t="str">
        <f aca="false">IF($B307="","",TEXT($B307,"yyyy-mm"))</f>
        <v/>
      </c>
      <c r="D307" s="42" t="str">
        <f aca="false">IF($E307="","",IFERROR(INDEX(科目参数!$L$6:$L$85,MATCH($E307,科目参数!$M$6:$M$85,0)),"⚠"))</f>
        <v/>
      </c>
      <c r="E307" s="33"/>
      <c r="F307" s="33"/>
      <c r="G307" s="36"/>
      <c r="H307" s="33"/>
      <c r="I307" s="33"/>
      <c r="J307" s="36"/>
      <c r="K307" s="40"/>
      <c r="L307" s="40"/>
      <c r="M307" s="47" t="str">
        <f aca="false">IF($B307="","",IF(NOT(ISNUMBER($B307)),"日期不是日期格式",IF(YEAR($B307)&lt;&gt;首页!$B$3,"不在会计年度",IF($E307="","未选收支科目",IF($D307="⚠","收支科目不存在",IF($F307="","未选账户",IF($T307="","账户未设资金科目",IF(AND($D307="转账",$U307=""),"转入账户无效",IF(AND(N($K307)&gt;0,N($L307)&gt;0),"收支不能同时填",IF(AND($D307="收入",N($K307)&lt;=0),"收入金额须大于0",IF(AND($D307&lt;&gt;"收入",N($L307)&lt;=0),"支出金额须大于0",IF($O307="","借方科目缺失",IF($P307="","贷方科目缺失","√")))))))))))))</f>
        <v/>
      </c>
      <c r="N307" s="48" t="str">
        <f aca="false">IF($B307="","",IF($D307="收入",N($K307),N($L307)))</f>
        <v/>
      </c>
      <c r="O307" s="49" t="str">
        <f aca="false">IF($B307="","",IF($D307="收入",$T307,IF($D307="转账",$U307,$S307)))</f>
        <v/>
      </c>
      <c r="P307" s="49" t="str">
        <f aca="false">IF($B307="","",IF($D307="收入",$S307,$T307))</f>
        <v/>
      </c>
      <c r="Q307" s="50" t="str">
        <f aca="false">IF($E307="","",IF($D307="转账","—",IFERROR(INDEX(科目参数!$P$6:$P$85,MATCH($E307,科目参数!$M$6:$M$85,0)),"")))</f>
        <v/>
      </c>
      <c r="R307" s="48" t="str">
        <f aca="false">IF($B307="","",SUMIFS(期初数据!$B$6:$B$35,期初数据!$A$6:$A$35,$F307)+SUMIFS($N$5:$N307,$F$5:$F307,$F307,$D$5:$D307,"收入")-SUMIFS($N$5:$N307,$F$5:$F307,$F307,$D$5:$D307,"支出")-SUMIFS($N$5:$N307,$F$5:$F307,$F307,$D$5:$D307,"转账")+SUMIFS($N$5:$N307,$G$5:$G307,$F307,$D$5:$D307,"转账"))</f>
        <v/>
      </c>
      <c r="S307" s="49" t="str">
        <f aca="false">IF($E307="","",IFERROR(INDEX(科目参数!$N$6:$N$85,MATCH($E307,科目参数!$M$6:$M$85,0)),""))</f>
        <v/>
      </c>
      <c r="T307" s="49" t="str">
        <f aca="false">IF($F307="","",IFERROR(INDEX(基础资料!$C$6:$C$35,MATCH($F307,基础资料!$A$6:$A$35,0)),""))</f>
        <v/>
      </c>
      <c r="U307" s="49" t="str">
        <f aca="false">IF($G307="","",IFERROR(INDEX(基础资料!$C$6:$C$35,MATCH($G307,基础资料!$A$6:$A$35,0)),""))</f>
        <v/>
      </c>
      <c r="V307" s="49" t="str">
        <f aca="false">IF(AND($G307=客户对账单!$B$3,$E307="客户回款",$B307&gt;=客户对账单!$E$3,$B307&lt;=客户对账单!$H$3),COUNTIFS($G$5:$G307,客户对账单!$B$3,$E$5:$E307,"客户回款",$B$5:$B307,"&gt;="&amp;客户对账单!$E$3,$B$5:$B307,"&lt;="&amp;客户对账单!$H$3),"")</f>
        <v/>
      </c>
      <c r="W307" s="49" t="str">
        <f aca="false">IF(AND($G307=供应商对账单!$B$3,$E307="供应商付款",$B307&gt;=供应商对账单!$E$3,$B307&lt;=供应商对账单!$H$3),COUNTIFS($G$5:$G307,供应商对账单!$B$3,$E$5:$E307,"供应商付款",$B$5:$B307,"&gt;="&amp;供应商对账单!$E$3,$B$5:$B307,"&lt;="&amp;供应商对账单!$H$3),"")</f>
        <v/>
      </c>
    </row>
    <row r="308" customFormat="false" ht="15.75" hidden="false" customHeight="true" outlineLevel="0" collapsed="false">
      <c r="A308" s="42" t="str">
        <f aca="false">IF($B308="","","ZJ"&amp;TEXT($B308,"yyyymm")&amp;"-"&amp;TEXT(ROW()-4,"000"))</f>
        <v/>
      </c>
      <c r="B308" s="41"/>
      <c r="C308" s="42" t="str">
        <f aca="false">IF($B308="","",TEXT($B308,"yyyy-mm"))</f>
        <v/>
      </c>
      <c r="D308" s="42" t="str">
        <f aca="false">IF($E308="","",IFERROR(INDEX(科目参数!$L$6:$L$85,MATCH($E308,科目参数!$M$6:$M$85,0)),"⚠"))</f>
        <v/>
      </c>
      <c r="E308" s="33"/>
      <c r="F308" s="33"/>
      <c r="G308" s="36"/>
      <c r="H308" s="33"/>
      <c r="I308" s="33"/>
      <c r="J308" s="36"/>
      <c r="K308" s="40"/>
      <c r="L308" s="40"/>
      <c r="M308" s="47" t="str">
        <f aca="false">IF($B308="","",IF(NOT(ISNUMBER($B308)),"日期不是日期格式",IF(YEAR($B308)&lt;&gt;首页!$B$3,"不在会计年度",IF($E308="","未选收支科目",IF($D308="⚠","收支科目不存在",IF($F308="","未选账户",IF($T308="","账户未设资金科目",IF(AND($D308="转账",$U308=""),"转入账户无效",IF(AND(N($K308)&gt;0,N($L308)&gt;0),"收支不能同时填",IF(AND($D308="收入",N($K308)&lt;=0),"收入金额须大于0",IF(AND($D308&lt;&gt;"收入",N($L308)&lt;=0),"支出金额须大于0",IF($O308="","借方科目缺失",IF($P308="","贷方科目缺失","√")))))))))))))</f>
        <v/>
      </c>
      <c r="N308" s="48" t="str">
        <f aca="false">IF($B308="","",IF($D308="收入",N($K308),N($L308)))</f>
        <v/>
      </c>
      <c r="O308" s="49" t="str">
        <f aca="false">IF($B308="","",IF($D308="收入",$T308,IF($D308="转账",$U308,$S308)))</f>
        <v/>
      </c>
      <c r="P308" s="49" t="str">
        <f aca="false">IF($B308="","",IF($D308="收入",$S308,$T308))</f>
        <v/>
      </c>
      <c r="Q308" s="50" t="str">
        <f aca="false">IF($E308="","",IF($D308="转账","—",IFERROR(INDEX(科目参数!$P$6:$P$85,MATCH($E308,科目参数!$M$6:$M$85,0)),"")))</f>
        <v/>
      </c>
      <c r="R308" s="48" t="str">
        <f aca="false">IF($B308="","",SUMIFS(期初数据!$B$6:$B$35,期初数据!$A$6:$A$35,$F308)+SUMIFS($N$5:$N308,$F$5:$F308,$F308,$D$5:$D308,"收入")-SUMIFS($N$5:$N308,$F$5:$F308,$F308,$D$5:$D308,"支出")-SUMIFS($N$5:$N308,$F$5:$F308,$F308,$D$5:$D308,"转账")+SUMIFS($N$5:$N308,$G$5:$G308,$F308,$D$5:$D308,"转账"))</f>
        <v/>
      </c>
      <c r="S308" s="49" t="str">
        <f aca="false">IF($E308="","",IFERROR(INDEX(科目参数!$N$6:$N$85,MATCH($E308,科目参数!$M$6:$M$85,0)),""))</f>
        <v/>
      </c>
      <c r="T308" s="49" t="str">
        <f aca="false">IF($F308="","",IFERROR(INDEX(基础资料!$C$6:$C$35,MATCH($F308,基础资料!$A$6:$A$35,0)),""))</f>
        <v/>
      </c>
      <c r="U308" s="49" t="str">
        <f aca="false">IF($G308="","",IFERROR(INDEX(基础资料!$C$6:$C$35,MATCH($G308,基础资料!$A$6:$A$35,0)),""))</f>
        <v/>
      </c>
      <c r="V308" s="49" t="str">
        <f aca="false">IF(AND($G308=客户对账单!$B$3,$E308="客户回款",$B308&gt;=客户对账单!$E$3,$B308&lt;=客户对账单!$H$3),COUNTIFS($G$5:$G308,客户对账单!$B$3,$E$5:$E308,"客户回款",$B$5:$B308,"&gt;="&amp;客户对账单!$E$3,$B$5:$B308,"&lt;="&amp;客户对账单!$H$3),"")</f>
        <v/>
      </c>
      <c r="W308" s="49" t="str">
        <f aca="false">IF(AND($G308=供应商对账单!$B$3,$E308="供应商付款",$B308&gt;=供应商对账单!$E$3,$B308&lt;=供应商对账单!$H$3),COUNTIFS($G$5:$G308,供应商对账单!$B$3,$E$5:$E308,"供应商付款",$B$5:$B308,"&gt;="&amp;供应商对账单!$E$3,$B$5:$B308,"&lt;="&amp;供应商对账单!$H$3),"")</f>
        <v/>
      </c>
    </row>
    <row r="309" customFormat="false" ht="15.75" hidden="false" customHeight="true" outlineLevel="0" collapsed="false">
      <c r="A309" s="42" t="str">
        <f aca="false">IF($B309="","","ZJ"&amp;TEXT($B309,"yyyymm")&amp;"-"&amp;TEXT(ROW()-4,"000"))</f>
        <v/>
      </c>
      <c r="B309" s="41"/>
      <c r="C309" s="42" t="str">
        <f aca="false">IF($B309="","",TEXT($B309,"yyyy-mm"))</f>
        <v/>
      </c>
      <c r="D309" s="42" t="str">
        <f aca="false">IF($E309="","",IFERROR(INDEX(科目参数!$L$6:$L$85,MATCH($E309,科目参数!$M$6:$M$85,0)),"⚠"))</f>
        <v/>
      </c>
      <c r="E309" s="33"/>
      <c r="F309" s="33"/>
      <c r="G309" s="36"/>
      <c r="H309" s="33"/>
      <c r="I309" s="33"/>
      <c r="J309" s="36"/>
      <c r="K309" s="40"/>
      <c r="L309" s="40"/>
      <c r="M309" s="47" t="str">
        <f aca="false">IF($B309="","",IF(NOT(ISNUMBER($B309)),"日期不是日期格式",IF(YEAR($B309)&lt;&gt;首页!$B$3,"不在会计年度",IF($E309="","未选收支科目",IF($D309="⚠","收支科目不存在",IF($F309="","未选账户",IF($T309="","账户未设资金科目",IF(AND($D309="转账",$U309=""),"转入账户无效",IF(AND(N($K309)&gt;0,N($L309)&gt;0),"收支不能同时填",IF(AND($D309="收入",N($K309)&lt;=0),"收入金额须大于0",IF(AND($D309&lt;&gt;"收入",N($L309)&lt;=0),"支出金额须大于0",IF($O309="","借方科目缺失",IF($P309="","贷方科目缺失","√")))))))))))))</f>
        <v/>
      </c>
      <c r="N309" s="48" t="str">
        <f aca="false">IF($B309="","",IF($D309="收入",N($K309),N($L309)))</f>
        <v/>
      </c>
      <c r="O309" s="49" t="str">
        <f aca="false">IF($B309="","",IF($D309="收入",$T309,IF($D309="转账",$U309,$S309)))</f>
        <v/>
      </c>
      <c r="P309" s="49" t="str">
        <f aca="false">IF($B309="","",IF($D309="收入",$S309,$T309))</f>
        <v/>
      </c>
      <c r="Q309" s="50" t="str">
        <f aca="false">IF($E309="","",IF($D309="转账","—",IFERROR(INDEX(科目参数!$P$6:$P$85,MATCH($E309,科目参数!$M$6:$M$85,0)),"")))</f>
        <v/>
      </c>
      <c r="R309" s="48" t="str">
        <f aca="false">IF($B309="","",SUMIFS(期初数据!$B$6:$B$35,期初数据!$A$6:$A$35,$F309)+SUMIFS($N$5:$N309,$F$5:$F309,$F309,$D$5:$D309,"收入")-SUMIFS($N$5:$N309,$F$5:$F309,$F309,$D$5:$D309,"支出")-SUMIFS($N$5:$N309,$F$5:$F309,$F309,$D$5:$D309,"转账")+SUMIFS($N$5:$N309,$G$5:$G309,$F309,$D$5:$D309,"转账"))</f>
        <v/>
      </c>
      <c r="S309" s="49" t="str">
        <f aca="false">IF($E309="","",IFERROR(INDEX(科目参数!$N$6:$N$85,MATCH($E309,科目参数!$M$6:$M$85,0)),""))</f>
        <v/>
      </c>
      <c r="T309" s="49" t="str">
        <f aca="false">IF($F309="","",IFERROR(INDEX(基础资料!$C$6:$C$35,MATCH($F309,基础资料!$A$6:$A$35,0)),""))</f>
        <v/>
      </c>
      <c r="U309" s="49" t="str">
        <f aca="false">IF($G309="","",IFERROR(INDEX(基础资料!$C$6:$C$35,MATCH($G309,基础资料!$A$6:$A$35,0)),""))</f>
        <v/>
      </c>
      <c r="V309" s="49" t="str">
        <f aca="false">IF(AND($G309=客户对账单!$B$3,$E309="客户回款",$B309&gt;=客户对账单!$E$3,$B309&lt;=客户对账单!$H$3),COUNTIFS($G$5:$G309,客户对账单!$B$3,$E$5:$E309,"客户回款",$B$5:$B309,"&gt;="&amp;客户对账单!$E$3,$B$5:$B309,"&lt;="&amp;客户对账单!$H$3),"")</f>
        <v/>
      </c>
      <c r="W309" s="49" t="str">
        <f aca="false">IF(AND($G309=供应商对账单!$B$3,$E309="供应商付款",$B309&gt;=供应商对账单!$E$3,$B309&lt;=供应商对账单!$H$3),COUNTIFS($G$5:$G309,供应商对账单!$B$3,$E$5:$E309,"供应商付款",$B$5:$B309,"&gt;="&amp;供应商对账单!$E$3,$B$5:$B309,"&lt;="&amp;供应商对账单!$H$3),"")</f>
        <v/>
      </c>
    </row>
    <row r="310" customFormat="false" ht="15.75" hidden="false" customHeight="true" outlineLevel="0" collapsed="false">
      <c r="A310" s="42" t="str">
        <f aca="false">IF($B310="","","ZJ"&amp;TEXT($B310,"yyyymm")&amp;"-"&amp;TEXT(ROW()-4,"000"))</f>
        <v/>
      </c>
      <c r="B310" s="41"/>
      <c r="C310" s="42" t="str">
        <f aca="false">IF($B310="","",TEXT($B310,"yyyy-mm"))</f>
        <v/>
      </c>
      <c r="D310" s="42" t="str">
        <f aca="false">IF($E310="","",IFERROR(INDEX(科目参数!$L$6:$L$85,MATCH($E310,科目参数!$M$6:$M$85,0)),"⚠"))</f>
        <v/>
      </c>
      <c r="E310" s="33"/>
      <c r="F310" s="33"/>
      <c r="G310" s="36"/>
      <c r="H310" s="33"/>
      <c r="I310" s="33"/>
      <c r="J310" s="36"/>
      <c r="K310" s="40"/>
      <c r="L310" s="40"/>
      <c r="M310" s="47" t="str">
        <f aca="false">IF($B310="","",IF(NOT(ISNUMBER($B310)),"日期不是日期格式",IF(YEAR($B310)&lt;&gt;首页!$B$3,"不在会计年度",IF($E310="","未选收支科目",IF($D310="⚠","收支科目不存在",IF($F310="","未选账户",IF($T310="","账户未设资金科目",IF(AND($D310="转账",$U310=""),"转入账户无效",IF(AND(N($K310)&gt;0,N($L310)&gt;0),"收支不能同时填",IF(AND($D310="收入",N($K310)&lt;=0),"收入金额须大于0",IF(AND($D310&lt;&gt;"收入",N($L310)&lt;=0),"支出金额须大于0",IF($O310="","借方科目缺失",IF($P310="","贷方科目缺失","√")))))))))))))</f>
        <v/>
      </c>
      <c r="N310" s="48" t="str">
        <f aca="false">IF($B310="","",IF($D310="收入",N($K310),N($L310)))</f>
        <v/>
      </c>
      <c r="O310" s="49" t="str">
        <f aca="false">IF($B310="","",IF($D310="收入",$T310,IF($D310="转账",$U310,$S310)))</f>
        <v/>
      </c>
      <c r="P310" s="49" t="str">
        <f aca="false">IF($B310="","",IF($D310="收入",$S310,$T310))</f>
        <v/>
      </c>
      <c r="Q310" s="50" t="str">
        <f aca="false">IF($E310="","",IF($D310="转账","—",IFERROR(INDEX(科目参数!$P$6:$P$85,MATCH($E310,科目参数!$M$6:$M$85,0)),"")))</f>
        <v/>
      </c>
      <c r="R310" s="48" t="str">
        <f aca="false">IF($B310="","",SUMIFS(期初数据!$B$6:$B$35,期初数据!$A$6:$A$35,$F310)+SUMIFS($N$5:$N310,$F$5:$F310,$F310,$D$5:$D310,"收入")-SUMIFS($N$5:$N310,$F$5:$F310,$F310,$D$5:$D310,"支出")-SUMIFS($N$5:$N310,$F$5:$F310,$F310,$D$5:$D310,"转账")+SUMIFS($N$5:$N310,$G$5:$G310,$F310,$D$5:$D310,"转账"))</f>
        <v/>
      </c>
      <c r="S310" s="49" t="str">
        <f aca="false">IF($E310="","",IFERROR(INDEX(科目参数!$N$6:$N$85,MATCH($E310,科目参数!$M$6:$M$85,0)),""))</f>
        <v/>
      </c>
      <c r="T310" s="49" t="str">
        <f aca="false">IF($F310="","",IFERROR(INDEX(基础资料!$C$6:$C$35,MATCH($F310,基础资料!$A$6:$A$35,0)),""))</f>
        <v/>
      </c>
      <c r="U310" s="49" t="str">
        <f aca="false">IF($G310="","",IFERROR(INDEX(基础资料!$C$6:$C$35,MATCH($G310,基础资料!$A$6:$A$35,0)),""))</f>
        <v/>
      </c>
      <c r="V310" s="49" t="str">
        <f aca="false">IF(AND($G310=客户对账单!$B$3,$E310="客户回款",$B310&gt;=客户对账单!$E$3,$B310&lt;=客户对账单!$H$3),COUNTIFS($G$5:$G310,客户对账单!$B$3,$E$5:$E310,"客户回款",$B$5:$B310,"&gt;="&amp;客户对账单!$E$3,$B$5:$B310,"&lt;="&amp;客户对账单!$H$3),"")</f>
        <v/>
      </c>
      <c r="W310" s="49" t="str">
        <f aca="false">IF(AND($G310=供应商对账单!$B$3,$E310="供应商付款",$B310&gt;=供应商对账单!$E$3,$B310&lt;=供应商对账单!$H$3),COUNTIFS($G$5:$G310,供应商对账单!$B$3,$E$5:$E310,"供应商付款",$B$5:$B310,"&gt;="&amp;供应商对账单!$E$3,$B$5:$B310,"&lt;="&amp;供应商对账单!$H$3),"")</f>
        <v/>
      </c>
    </row>
    <row r="311" customFormat="false" ht="15.75" hidden="false" customHeight="true" outlineLevel="0" collapsed="false">
      <c r="A311" s="42" t="str">
        <f aca="false">IF($B311="","","ZJ"&amp;TEXT($B311,"yyyymm")&amp;"-"&amp;TEXT(ROW()-4,"000"))</f>
        <v/>
      </c>
      <c r="B311" s="41"/>
      <c r="C311" s="42" t="str">
        <f aca="false">IF($B311="","",TEXT($B311,"yyyy-mm"))</f>
        <v/>
      </c>
      <c r="D311" s="42" t="str">
        <f aca="false">IF($E311="","",IFERROR(INDEX(科目参数!$L$6:$L$85,MATCH($E311,科目参数!$M$6:$M$85,0)),"⚠"))</f>
        <v/>
      </c>
      <c r="E311" s="33"/>
      <c r="F311" s="33"/>
      <c r="G311" s="36"/>
      <c r="H311" s="33"/>
      <c r="I311" s="33"/>
      <c r="J311" s="36"/>
      <c r="K311" s="40"/>
      <c r="L311" s="40"/>
      <c r="M311" s="47" t="str">
        <f aca="false">IF($B311="","",IF(NOT(ISNUMBER($B311)),"日期不是日期格式",IF(YEAR($B311)&lt;&gt;首页!$B$3,"不在会计年度",IF($E311="","未选收支科目",IF($D311="⚠","收支科目不存在",IF($F311="","未选账户",IF($T311="","账户未设资金科目",IF(AND($D311="转账",$U311=""),"转入账户无效",IF(AND(N($K311)&gt;0,N($L311)&gt;0),"收支不能同时填",IF(AND($D311="收入",N($K311)&lt;=0),"收入金额须大于0",IF(AND($D311&lt;&gt;"收入",N($L311)&lt;=0),"支出金额须大于0",IF($O311="","借方科目缺失",IF($P311="","贷方科目缺失","√")))))))))))))</f>
        <v/>
      </c>
      <c r="N311" s="48" t="str">
        <f aca="false">IF($B311="","",IF($D311="收入",N($K311),N($L311)))</f>
        <v/>
      </c>
      <c r="O311" s="49" t="str">
        <f aca="false">IF($B311="","",IF($D311="收入",$T311,IF($D311="转账",$U311,$S311)))</f>
        <v/>
      </c>
      <c r="P311" s="49" t="str">
        <f aca="false">IF($B311="","",IF($D311="收入",$S311,$T311))</f>
        <v/>
      </c>
      <c r="Q311" s="50" t="str">
        <f aca="false">IF($E311="","",IF($D311="转账","—",IFERROR(INDEX(科目参数!$P$6:$P$85,MATCH($E311,科目参数!$M$6:$M$85,0)),"")))</f>
        <v/>
      </c>
      <c r="R311" s="48" t="str">
        <f aca="false">IF($B311="","",SUMIFS(期初数据!$B$6:$B$35,期初数据!$A$6:$A$35,$F311)+SUMIFS($N$5:$N311,$F$5:$F311,$F311,$D$5:$D311,"收入")-SUMIFS($N$5:$N311,$F$5:$F311,$F311,$D$5:$D311,"支出")-SUMIFS($N$5:$N311,$F$5:$F311,$F311,$D$5:$D311,"转账")+SUMIFS($N$5:$N311,$G$5:$G311,$F311,$D$5:$D311,"转账"))</f>
        <v/>
      </c>
      <c r="S311" s="49" t="str">
        <f aca="false">IF($E311="","",IFERROR(INDEX(科目参数!$N$6:$N$85,MATCH($E311,科目参数!$M$6:$M$85,0)),""))</f>
        <v/>
      </c>
      <c r="T311" s="49" t="str">
        <f aca="false">IF($F311="","",IFERROR(INDEX(基础资料!$C$6:$C$35,MATCH($F311,基础资料!$A$6:$A$35,0)),""))</f>
        <v/>
      </c>
      <c r="U311" s="49" t="str">
        <f aca="false">IF($G311="","",IFERROR(INDEX(基础资料!$C$6:$C$35,MATCH($G311,基础资料!$A$6:$A$35,0)),""))</f>
        <v/>
      </c>
      <c r="V311" s="49" t="str">
        <f aca="false">IF(AND($G311=客户对账单!$B$3,$E311="客户回款",$B311&gt;=客户对账单!$E$3,$B311&lt;=客户对账单!$H$3),COUNTIFS($G$5:$G311,客户对账单!$B$3,$E$5:$E311,"客户回款",$B$5:$B311,"&gt;="&amp;客户对账单!$E$3,$B$5:$B311,"&lt;="&amp;客户对账单!$H$3),"")</f>
        <v/>
      </c>
      <c r="W311" s="49" t="str">
        <f aca="false">IF(AND($G311=供应商对账单!$B$3,$E311="供应商付款",$B311&gt;=供应商对账单!$E$3,$B311&lt;=供应商对账单!$H$3),COUNTIFS($G$5:$G311,供应商对账单!$B$3,$E$5:$E311,"供应商付款",$B$5:$B311,"&gt;="&amp;供应商对账单!$E$3,$B$5:$B311,"&lt;="&amp;供应商对账单!$H$3),"")</f>
        <v/>
      </c>
    </row>
    <row r="312" customFormat="false" ht="15.75" hidden="false" customHeight="true" outlineLevel="0" collapsed="false">
      <c r="A312" s="42" t="str">
        <f aca="false">IF($B312="","","ZJ"&amp;TEXT($B312,"yyyymm")&amp;"-"&amp;TEXT(ROW()-4,"000"))</f>
        <v/>
      </c>
      <c r="B312" s="41"/>
      <c r="C312" s="42" t="str">
        <f aca="false">IF($B312="","",TEXT($B312,"yyyy-mm"))</f>
        <v/>
      </c>
      <c r="D312" s="42" t="str">
        <f aca="false">IF($E312="","",IFERROR(INDEX(科目参数!$L$6:$L$85,MATCH($E312,科目参数!$M$6:$M$85,0)),"⚠"))</f>
        <v/>
      </c>
      <c r="E312" s="33"/>
      <c r="F312" s="33"/>
      <c r="G312" s="36"/>
      <c r="H312" s="33"/>
      <c r="I312" s="33"/>
      <c r="J312" s="36"/>
      <c r="K312" s="40"/>
      <c r="L312" s="40"/>
      <c r="M312" s="47" t="str">
        <f aca="false">IF($B312="","",IF(NOT(ISNUMBER($B312)),"日期不是日期格式",IF(YEAR($B312)&lt;&gt;首页!$B$3,"不在会计年度",IF($E312="","未选收支科目",IF($D312="⚠","收支科目不存在",IF($F312="","未选账户",IF($T312="","账户未设资金科目",IF(AND($D312="转账",$U312=""),"转入账户无效",IF(AND(N($K312)&gt;0,N($L312)&gt;0),"收支不能同时填",IF(AND($D312="收入",N($K312)&lt;=0),"收入金额须大于0",IF(AND($D312&lt;&gt;"收入",N($L312)&lt;=0),"支出金额须大于0",IF($O312="","借方科目缺失",IF($P312="","贷方科目缺失","√")))))))))))))</f>
        <v/>
      </c>
      <c r="N312" s="48" t="str">
        <f aca="false">IF($B312="","",IF($D312="收入",N($K312),N($L312)))</f>
        <v/>
      </c>
      <c r="O312" s="49" t="str">
        <f aca="false">IF($B312="","",IF($D312="收入",$T312,IF($D312="转账",$U312,$S312)))</f>
        <v/>
      </c>
      <c r="P312" s="49" t="str">
        <f aca="false">IF($B312="","",IF($D312="收入",$S312,$T312))</f>
        <v/>
      </c>
      <c r="Q312" s="50" t="str">
        <f aca="false">IF($E312="","",IF($D312="转账","—",IFERROR(INDEX(科目参数!$P$6:$P$85,MATCH($E312,科目参数!$M$6:$M$85,0)),"")))</f>
        <v/>
      </c>
      <c r="R312" s="48" t="str">
        <f aca="false">IF($B312="","",SUMIFS(期初数据!$B$6:$B$35,期初数据!$A$6:$A$35,$F312)+SUMIFS($N$5:$N312,$F$5:$F312,$F312,$D$5:$D312,"收入")-SUMIFS($N$5:$N312,$F$5:$F312,$F312,$D$5:$D312,"支出")-SUMIFS($N$5:$N312,$F$5:$F312,$F312,$D$5:$D312,"转账")+SUMIFS($N$5:$N312,$G$5:$G312,$F312,$D$5:$D312,"转账"))</f>
        <v/>
      </c>
      <c r="S312" s="49" t="str">
        <f aca="false">IF($E312="","",IFERROR(INDEX(科目参数!$N$6:$N$85,MATCH($E312,科目参数!$M$6:$M$85,0)),""))</f>
        <v/>
      </c>
      <c r="T312" s="49" t="str">
        <f aca="false">IF($F312="","",IFERROR(INDEX(基础资料!$C$6:$C$35,MATCH($F312,基础资料!$A$6:$A$35,0)),""))</f>
        <v/>
      </c>
      <c r="U312" s="49" t="str">
        <f aca="false">IF($G312="","",IFERROR(INDEX(基础资料!$C$6:$C$35,MATCH($G312,基础资料!$A$6:$A$35,0)),""))</f>
        <v/>
      </c>
      <c r="V312" s="49" t="str">
        <f aca="false">IF(AND($G312=客户对账单!$B$3,$E312="客户回款",$B312&gt;=客户对账单!$E$3,$B312&lt;=客户对账单!$H$3),COUNTIFS($G$5:$G312,客户对账单!$B$3,$E$5:$E312,"客户回款",$B$5:$B312,"&gt;="&amp;客户对账单!$E$3,$B$5:$B312,"&lt;="&amp;客户对账单!$H$3),"")</f>
        <v/>
      </c>
      <c r="W312" s="49" t="str">
        <f aca="false">IF(AND($G312=供应商对账单!$B$3,$E312="供应商付款",$B312&gt;=供应商对账单!$E$3,$B312&lt;=供应商对账单!$H$3),COUNTIFS($G$5:$G312,供应商对账单!$B$3,$E$5:$E312,"供应商付款",$B$5:$B312,"&gt;="&amp;供应商对账单!$E$3,$B$5:$B312,"&lt;="&amp;供应商对账单!$H$3),"")</f>
        <v/>
      </c>
    </row>
    <row r="313" customFormat="false" ht="15.75" hidden="false" customHeight="true" outlineLevel="0" collapsed="false">
      <c r="A313" s="42" t="str">
        <f aca="false">IF($B313="","","ZJ"&amp;TEXT($B313,"yyyymm")&amp;"-"&amp;TEXT(ROW()-4,"000"))</f>
        <v/>
      </c>
      <c r="B313" s="41"/>
      <c r="C313" s="42" t="str">
        <f aca="false">IF($B313="","",TEXT($B313,"yyyy-mm"))</f>
        <v/>
      </c>
      <c r="D313" s="42" t="str">
        <f aca="false">IF($E313="","",IFERROR(INDEX(科目参数!$L$6:$L$85,MATCH($E313,科目参数!$M$6:$M$85,0)),"⚠"))</f>
        <v/>
      </c>
      <c r="E313" s="33"/>
      <c r="F313" s="33"/>
      <c r="G313" s="36"/>
      <c r="H313" s="33"/>
      <c r="I313" s="33"/>
      <c r="J313" s="36"/>
      <c r="K313" s="40"/>
      <c r="L313" s="40"/>
      <c r="M313" s="47" t="str">
        <f aca="false">IF($B313="","",IF(NOT(ISNUMBER($B313)),"日期不是日期格式",IF(YEAR($B313)&lt;&gt;首页!$B$3,"不在会计年度",IF($E313="","未选收支科目",IF($D313="⚠","收支科目不存在",IF($F313="","未选账户",IF($T313="","账户未设资金科目",IF(AND($D313="转账",$U313=""),"转入账户无效",IF(AND(N($K313)&gt;0,N($L313)&gt;0),"收支不能同时填",IF(AND($D313="收入",N($K313)&lt;=0),"收入金额须大于0",IF(AND($D313&lt;&gt;"收入",N($L313)&lt;=0),"支出金额须大于0",IF($O313="","借方科目缺失",IF($P313="","贷方科目缺失","√")))))))))))))</f>
        <v/>
      </c>
      <c r="N313" s="48" t="str">
        <f aca="false">IF($B313="","",IF($D313="收入",N($K313),N($L313)))</f>
        <v/>
      </c>
      <c r="O313" s="49" t="str">
        <f aca="false">IF($B313="","",IF($D313="收入",$T313,IF($D313="转账",$U313,$S313)))</f>
        <v/>
      </c>
      <c r="P313" s="49" t="str">
        <f aca="false">IF($B313="","",IF($D313="收入",$S313,$T313))</f>
        <v/>
      </c>
      <c r="Q313" s="50" t="str">
        <f aca="false">IF($E313="","",IF($D313="转账","—",IFERROR(INDEX(科目参数!$P$6:$P$85,MATCH($E313,科目参数!$M$6:$M$85,0)),"")))</f>
        <v/>
      </c>
      <c r="R313" s="48" t="str">
        <f aca="false">IF($B313="","",SUMIFS(期初数据!$B$6:$B$35,期初数据!$A$6:$A$35,$F313)+SUMIFS($N$5:$N313,$F$5:$F313,$F313,$D$5:$D313,"收入")-SUMIFS($N$5:$N313,$F$5:$F313,$F313,$D$5:$D313,"支出")-SUMIFS($N$5:$N313,$F$5:$F313,$F313,$D$5:$D313,"转账")+SUMIFS($N$5:$N313,$G$5:$G313,$F313,$D$5:$D313,"转账"))</f>
        <v/>
      </c>
      <c r="S313" s="49" t="str">
        <f aca="false">IF($E313="","",IFERROR(INDEX(科目参数!$N$6:$N$85,MATCH($E313,科目参数!$M$6:$M$85,0)),""))</f>
        <v/>
      </c>
      <c r="T313" s="49" t="str">
        <f aca="false">IF($F313="","",IFERROR(INDEX(基础资料!$C$6:$C$35,MATCH($F313,基础资料!$A$6:$A$35,0)),""))</f>
        <v/>
      </c>
      <c r="U313" s="49" t="str">
        <f aca="false">IF($G313="","",IFERROR(INDEX(基础资料!$C$6:$C$35,MATCH($G313,基础资料!$A$6:$A$35,0)),""))</f>
        <v/>
      </c>
      <c r="V313" s="49" t="str">
        <f aca="false">IF(AND($G313=客户对账单!$B$3,$E313="客户回款",$B313&gt;=客户对账单!$E$3,$B313&lt;=客户对账单!$H$3),COUNTIFS($G$5:$G313,客户对账单!$B$3,$E$5:$E313,"客户回款",$B$5:$B313,"&gt;="&amp;客户对账单!$E$3,$B$5:$B313,"&lt;="&amp;客户对账单!$H$3),"")</f>
        <v/>
      </c>
      <c r="W313" s="49" t="str">
        <f aca="false">IF(AND($G313=供应商对账单!$B$3,$E313="供应商付款",$B313&gt;=供应商对账单!$E$3,$B313&lt;=供应商对账单!$H$3),COUNTIFS($G$5:$G313,供应商对账单!$B$3,$E$5:$E313,"供应商付款",$B$5:$B313,"&gt;="&amp;供应商对账单!$E$3,$B$5:$B313,"&lt;="&amp;供应商对账单!$H$3),"")</f>
        <v/>
      </c>
    </row>
    <row r="314" customFormat="false" ht="15.75" hidden="false" customHeight="true" outlineLevel="0" collapsed="false">
      <c r="A314" s="42" t="str">
        <f aca="false">IF($B314="","","ZJ"&amp;TEXT($B314,"yyyymm")&amp;"-"&amp;TEXT(ROW()-4,"000"))</f>
        <v/>
      </c>
      <c r="B314" s="41"/>
      <c r="C314" s="42" t="str">
        <f aca="false">IF($B314="","",TEXT($B314,"yyyy-mm"))</f>
        <v/>
      </c>
      <c r="D314" s="42" t="str">
        <f aca="false">IF($E314="","",IFERROR(INDEX(科目参数!$L$6:$L$85,MATCH($E314,科目参数!$M$6:$M$85,0)),"⚠"))</f>
        <v/>
      </c>
      <c r="E314" s="33"/>
      <c r="F314" s="33"/>
      <c r="G314" s="36"/>
      <c r="H314" s="33"/>
      <c r="I314" s="33"/>
      <c r="J314" s="36"/>
      <c r="K314" s="40"/>
      <c r="L314" s="40"/>
      <c r="M314" s="47" t="str">
        <f aca="false">IF($B314="","",IF(NOT(ISNUMBER($B314)),"日期不是日期格式",IF(YEAR($B314)&lt;&gt;首页!$B$3,"不在会计年度",IF($E314="","未选收支科目",IF($D314="⚠","收支科目不存在",IF($F314="","未选账户",IF($T314="","账户未设资金科目",IF(AND($D314="转账",$U314=""),"转入账户无效",IF(AND(N($K314)&gt;0,N($L314)&gt;0),"收支不能同时填",IF(AND($D314="收入",N($K314)&lt;=0),"收入金额须大于0",IF(AND($D314&lt;&gt;"收入",N($L314)&lt;=0),"支出金额须大于0",IF($O314="","借方科目缺失",IF($P314="","贷方科目缺失","√")))))))))))))</f>
        <v/>
      </c>
      <c r="N314" s="48" t="str">
        <f aca="false">IF($B314="","",IF($D314="收入",N($K314),N($L314)))</f>
        <v/>
      </c>
      <c r="O314" s="49" t="str">
        <f aca="false">IF($B314="","",IF($D314="收入",$T314,IF($D314="转账",$U314,$S314)))</f>
        <v/>
      </c>
      <c r="P314" s="49" t="str">
        <f aca="false">IF($B314="","",IF($D314="收入",$S314,$T314))</f>
        <v/>
      </c>
      <c r="Q314" s="50" t="str">
        <f aca="false">IF($E314="","",IF($D314="转账","—",IFERROR(INDEX(科目参数!$P$6:$P$85,MATCH($E314,科目参数!$M$6:$M$85,0)),"")))</f>
        <v/>
      </c>
      <c r="R314" s="48" t="str">
        <f aca="false">IF($B314="","",SUMIFS(期初数据!$B$6:$B$35,期初数据!$A$6:$A$35,$F314)+SUMIFS($N$5:$N314,$F$5:$F314,$F314,$D$5:$D314,"收入")-SUMIFS($N$5:$N314,$F$5:$F314,$F314,$D$5:$D314,"支出")-SUMIFS($N$5:$N314,$F$5:$F314,$F314,$D$5:$D314,"转账")+SUMIFS($N$5:$N314,$G$5:$G314,$F314,$D$5:$D314,"转账"))</f>
        <v/>
      </c>
      <c r="S314" s="49" t="str">
        <f aca="false">IF($E314="","",IFERROR(INDEX(科目参数!$N$6:$N$85,MATCH($E314,科目参数!$M$6:$M$85,0)),""))</f>
        <v/>
      </c>
      <c r="T314" s="49" t="str">
        <f aca="false">IF($F314="","",IFERROR(INDEX(基础资料!$C$6:$C$35,MATCH($F314,基础资料!$A$6:$A$35,0)),""))</f>
        <v/>
      </c>
      <c r="U314" s="49" t="str">
        <f aca="false">IF($G314="","",IFERROR(INDEX(基础资料!$C$6:$C$35,MATCH($G314,基础资料!$A$6:$A$35,0)),""))</f>
        <v/>
      </c>
      <c r="V314" s="49" t="str">
        <f aca="false">IF(AND($G314=客户对账单!$B$3,$E314="客户回款",$B314&gt;=客户对账单!$E$3,$B314&lt;=客户对账单!$H$3),COUNTIFS($G$5:$G314,客户对账单!$B$3,$E$5:$E314,"客户回款",$B$5:$B314,"&gt;="&amp;客户对账单!$E$3,$B$5:$B314,"&lt;="&amp;客户对账单!$H$3),"")</f>
        <v/>
      </c>
      <c r="W314" s="49" t="str">
        <f aca="false">IF(AND($G314=供应商对账单!$B$3,$E314="供应商付款",$B314&gt;=供应商对账单!$E$3,$B314&lt;=供应商对账单!$H$3),COUNTIFS($G$5:$G314,供应商对账单!$B$3,$E$5:$E314,"供应商付款",$B$5:$B314,"&gt;="&amp;供应商对账单!$E$3,$B$5:$B314,"&lt;="&amp;供应商对账单!$H$3),"")</f>
        <v/>
      </c>
    </row>
    <row r="315" customFormat="false" ht="15.75" hidden="false" customHeight="true" outlineLevel="0" collapsed="false">
      <c r="A315" s="42" t="str">
        <f aca="false">IF($B315="","","ZJ"&amp;TEXT($B315,"yyyymm")&amp;"-"&amp;TEXT(ROW()-4,"000"))</f>
        <v/>
      </c>
      <c r="B315" s="41"/>
      <c r="C315" s="42" t="str">
        <f aca="false">IF($B315="","",TEXT($B315,"yyyy-mm"))</f>
        <v/>
      </c>
      <c r="D315" s="42" t="str">
        <f aca="false">IF($E315="","",IFERROR(INDEX(科目参数!$L$6:$L$85,MATCH($E315,科目参数!$M$6:$M$85,0)),"⚠"))</f>
        <v/>
      </c>
      <c r="E315" s="33"/>
      <c r="F315" s="33"/>
      <c r="G315" s="36"/>
      <c r="H315" s="33"/>
      <c r="I315" s="33"/>
      <c r="J315" s="36"/>
      <c r="K315" s="40"/>
      <c r="L315" s="40"/>
      <c r="M315" s="47" t="str">
        <f aca="false">IF($B315="","",IF(NOT(ISNUMBER($B315)),"日期不是日期格式",IF(YEAR($B315)&lt;&gt;首页!$B$3,"不在会计年度",IF($E315="","未选收支科目",IF($D315="⚠","收支科目不存在",IF($F315="","未选账户",IF($T315="","账户未设资金科目",IF(AND($D315="转账",$U315=""),"转入账户无效",IF(AND(N($K315)&gt;0,N($L315)&gt;0),"收支不能同时填",IF(AND($D315="收入",N($K315)&lt;=0),"收入金额须大于0",IF(AND($D315&lt;&gt;"收入",N($L315)&lt;=0),"支出金额须大于0",IF($O315="","借方科目缺失",IF($P315="","贷方科目缺失","√")))))))))))))</f>
        <v/>
      </c>
      <c r="N315" s="48" t="str">
        <f aca="false">IF($B315="","",IF($D315="收入",N($K315),N($L315)))</f>
        <v/>
      </c>
      <c r="O315" s="49" t="str">
        <f aca="false">IF($B315="","",IF($D315="收入",$T315,IF($D315="转账",$U315,$S315)))</f>
        <v/>
      </c>
      <c r="P315" s="49" t="str">
        <f aca="false">IF($B315="","",IF($D315="收入",$S315,$T315))</f>
        <v/>
      </c>
      <c r="Q315" s="50" t="str">
        <f aca="false">IF($E315="","",IF($D315="转账","—",IFERROR(INDEX(科目参数!$P$6:$P$85,MATCH($E315,科目参数!$M$6:$M$85,0)),"")))</f>
        <v/>
      </c>
      <c r="R315" s="48" t="str">
        <f aca="false">IF($B315="","",SUMIFS(期初数据!$B$6:$B$35,期初数据!$A$6:$A$35,$F315)+SUMIFS($N$5:$N315,$F$5:$F315,$F315,$D$5:$D315,"收入")-SUMIFS($N$5:$N315,$F$5:$F315,$F315,$D$5:$D315,"支出")-SUMIFS($N$5:$N315,$F$5:$F315,$F315,$D$5:$D315,"转账")+SUMIFS($N$5:$N315,$G$5:$G315,$F315,$D$5:$D315,"转账"))</f>
        <v/>
      </c>
      <c r="S315" s="49" t="str">
        <f aca="false">IF($E315="","",IFERROR(INDEX(科目参数!$N$6:$N$85,MATCH($E315,科目参数!$M$6:$M$85,0)),""))</f>
        <v/>
      </c>
      <c r="T315" s="49" t="str">
        <f aca="false">IF($F315="","",IFERROR(INDEX(基础资料!$C$6:$C$35,MATCH($F315,基础资料!$A$6:$A$35,0)),""))</f>
        <v/>
      </c>
      <c r="U315" s="49" t="str">
        <f aca="false">IF($G315="","",IFERROR(INDEX(基础资料!$C$6:$C$35,MATCH($G315,基础资料!$A$6:$A$35,0)),""))</f>
        <v/>
      </c>
      <c r="V315" s="49" t="str">
        <f aca="false">IF(AND($G315=客户对账单!$B$3,$E315="客户回款",$B315&gt;=客户对账单!$E$3,$B315&lt;=客户对账单!$H$3),COUNTIFS($G$5:$G315,客户对账单!$B$3,$E$5:$E315,"客户回款",$B$5:$B315,"&gt;="&amp;客户对账单!$E$3,$B$5:$B315,"&lt;="&amp;客户对账单!$H$3),"")</f>
        <v/>
      </c>
      <c r="W315" s="49" t="str">
        <f aca="false">IF(AND($G315=供应商对账单!$B$3,$E315="供应商付款",$B315&gt;=供应商对账单!$E$3,$B315&lt;=供应商对账单!$H$3),COUNTIFS($G$5:$G315,供应商对账单!$B$3,$E$5:$E315,"供应商付款",$B$5:$B315,"&gt;="&amp;供应商对账单!$E$3,$B$5:$B315,"&lt;="&amp;供应商对账单!$H$3),"")</f>
        <v/>
      </c>
    </row>
    <row r="316" customFormat="false" ht="15.75" hidden="false" customHeight="true" outlineLevel="0" collapsed="false">
      <c r="A316" s="42" t="str">
        <f aca="false">IF($B316="","","ZJ"&amp;TEXT($B316,"yyyymm")&amp;"-"&amp;TEXT(ROW()-4,"000"))</f>
        <v/>
      </c>
      <c r="B316" s="41"/>
      <c r="C316" s="42" t="str">
        <f aca="false">IF($B316="","",TEXT($B316,"yyyy-mm"))</f>
        <v/>
      </c>
      <c r="D316" s="42" t="str">
        <f aca="false">IF($E316="","",IFERROR(INDEX(科目参数!$L$6:$L$85,MATCH($E316,科目参数!$M$6:$M$85,0)),"⚠"))</f>
        <v/>
      </c>
      <c r="E316" s="33"/>
      <c r="F316" s="33"/>
      <c r="G316" s="36"/>
      <c r="H316" s="33"/>
      <c r="I316" s="33"/>
      <c r="J316" s="36"/>
      <c r="K316" s="40"/>
      <c r="L316" s="40"/>
      <c r="M316" s="47" t="str">
        <f aca="false">IF($B316="","",IF(NOT(ISNUMBER($B316)),"日期不是日期格式",IF(YEAR($B316)&lt;&gt;首页!$B$3,"不在会计年度",IF($E316="","未选收支科目",IF($D316="⚠","收支科目不存在",IF($F316="","未选账户",IF($T316="","账户未设资金科目",IF(AND($D316="转账",$U316=""),"转入账户无效",IF(AND(N($K316)&gt;0,N($L316)&gt;0),"收支不能同时填",IF(AND($D316="收入",N($K316)&lt;=0),"收入金额须大于0",IF(AND($D316&lt;&gt;"收入",N($L316)&lt;=0),"支出金额须大于0",IF($O316="","借方科目缺失",IF($P316="","贷方科目缺失","√")))))))))))))</f>
        <v/>
      </c>
      <c r="N316" s="48" t="str">
        <f aca="false">IF($B316="","",IF($D316="收入",N($K316),N($L316)))</f>
        <v/>
      </c>
      <c r="O316" s="49" t="str">
        <f aca="false">IF($B316="","",IF($D316="收入",$T316,IF($D316="转账",$U316,$S316)))</f>
        <v/>
      </c>
      <c r="P316" s="49" t="str">
        <f aca="false">IF($B316="","",IF($D316="收入",$S316,$T316))</f>
        <v/>
      </c>
      <c r="Q316" s="50" t="str">
        <f aca="false">IF($E316="","",IF($D316="转账","—",IFERROR(INDEX(科目参数!$P$6:$P$85,MATCH($E316,科目参数!$M$6:$M$85,0)),"")))</f>
        <v/>
      </c>
      <c r="R316" s="48" t="str">
        <f aca="false">IF($B316="","",SUMIFS(期初数据!$B$6:$B$35,期初数据!$A$6:$A$35,$F316)+SUMIFS($N$5:$N316,$F$5:$F316,$F316,$D$5:$D316,"收入")-SUMIFS($N$5:$N316,$F$5:$F316,$F316,$D$5:$D316,"支出")-SUMIFS($N$5:$N316,$F$5:$F316,$F316,$D$5:$D316,"转账")+SUMIFS($N$5:$N316,$G$5:$G316,$F316,$D$5:$D316,"转账"))</f>
        <v/>
      </c>
      <c r="S316" s="49" t="str">
        <f aca="false">IF($E316="","",IFERROR(INDEX(科目参数!$N$6:$N$85,MATCH($E316,科目参数!$M$6:$M$85,0)),""))</f>
        <v/>
      </c>
      <c r="T316" s="49" t="str">
        <f aca="false">IF($F316="","",IFERROR(INDEX(基础资料!$C$6:$C$35,MATCH($F316,基础资料!$A$6:$A$35,0)),""))</f>
        <v/>
      </c>
      <c r="U316" s="49" t="str">
        <f aca="false">IF($G316="","",IFERROR(INDEX(基础资料!$C$6:$C$35,MATCH($G316,基础资料!$A$6:$A$35,0)),""))</f>
        <v/>
      </c>
      <c r="V316" s="49" t="str">
        <f aca="false">IF(AND($G316=客户对账单!$B$3,$E316="客户回款",$B316&gt;=客户对账单!$E$3,$B316&lt;=客户对账单!$H$3),COUNTIFS($G$5:$G316,客户对账单!$B$3,$E$5:$E316,"客户回款",$B$5:$B316,"&gt;="&amp;客户对账单!$E$3,$B$5:$B316,"&lt;="&amp;客户对账单!$H$3),"")</f>
        <v/>
      </c>
      <c r="W316" s="49" t="str">
        <f aca="false">IF(AND($G316=供应商对账单!$B$3,$E316="供应商付款",$B316&gt;=供应商对账单!$E$3,$B316&lt;=供应商对账单!$H$3),COUNTIFS($G$5:$G316,供应商对账单!$B$3,$E$5:$E316,"供应商付款",$B$5:$B316,"&gt;="&amp;供应商对账单!$E$3,$B$5:$B316,"&lt;="&amp;供应商对账单!$H$3),"")</f>
        <v/>
      </c>
    </row>
    <row r="317" customFormat="false" ht="15.75" hidden="false" customHeight="true" outlineLevel="0" collapsed="false">
      <c r="A317" s="42" t="str">
        <f aca="false">IF($B317="","","ZJ"&amp;TEXT($B317,"yyyymm")&amp;"-"&amp;TEXT(ROW()-4,"000"))</f>
        <v/>
      </c>
      <c r="B317" s="41"/>
      <c r="C317" s="42" t="str">
        <f aca="false">IF($B317="","",TEXT($B317,"yyyy-mm"))</f>
        <v/>
      </c>
      <c r="D317" s="42" t="str">
        <f aca="false">IF($E317="","",IFERROR(INDEX(科目参数!$L$6:$L$85,MATCH($E317,科目参数!$M$6:$M$85,0)),"⚠"))</f>
        <v/>
      </c>
      <c r="E317" s="33"/>
      <c r="F317" s="33"/>
      <c r="G317" s="36"/>
      <c r="H317" s="33"/>
      <c r="I317" s="33"/>
      <c r="J317" s="36"/>
      <c r="K317" s="40"/>
      <c r="L317" s="40"/>
      <c r="M317" s="47" t="str">
        <f aca="false">IF($B317="","",IF(NOT(ISNUMBER($B317)),"日期不是日期格式",IF(YEAR($B317)&lt;&gt;首页!$B$3,"不在会计年度",IF($E317="","未选收支科目",IF($D317="⚠","收支科目不存在",IF($F317="","未选账户",IF($T317="","账户未设资金科目",IF(AND($D317="转账",$U317=""),"转入账户无效",IF(AND(N($K317)&gt;0,N($L317)&gt;0),"收支不能同时填",IF(AND($D317="收入",N($K317)&lt;=0),"收入金额须大于0",IF(AND($D317&lt;&gt;"收入",N($L317)&lt;=0),"支出金额须大于0",IF($O317="","借方科目缺失",IF($P317="","贷方科目缺失","√")))))))))))))</f>
        <v/>
      </c>
      <c r="N317" s="48" t="str">
        <f aca="false">IF($B317="","",IF($D317="收入",N($K317),N($L317)))</f>
        <v/>
      </c>
      <c r="O317" s="49" t="str">
        <f aca="false">IF($B317="","",IF($D317="收入",$T317,IF($D317="转账",$U317,$S317)))</f>
        <v/>
      </c>
      <c r="P317" s="49" t="str">
        <f aca="false">IF($B317="","",IF($D317="收入",$S317,$T317))</f>
        <v/>
      </c>
      <c r="Q317" s="50" t="str">
        <f aca="false">IF($E317="","",IF($D317="转账","—",IFERROR(INDEX(科目参数!$P$6:$P$85,MATCH($E317,科目参数!$M$6:$M$85,0)),"")))</f>
        <v/>
      </c>
      <c r="R317" s="48" t="str">
        <f aca="false">IF($B317="","",SUMIFS(期初数据!$B$6:$B$35,期初数据!$A$6:$A$35,$F317)+SUMIFS($N$5:$N317,$F$5:$F317,$F317,$D$5:$D317,"收入")-SUMIFS($N$5:$N317,$F$5:$F317,$F317,$D$5:$D317,"支出")-SUMIFS($N$5:$N317,$F$5:$F317,$F317,$D$5:$D317,"转账")+SUMIFS($N$5:$N317,$G$5:$G317,$F317,$D$5:$D317,"转账"))</f>
        <v/>
      </c>
      <c r="S317" s="49" t="str">
        <f aca="false">IF($E317="","",IFERROR(INDEX(科目参数!$N$6:$N$85,MATCH($E317,科目参数!$M$6:$M$85,0)),""))</f>
        <v/>
      </c>
      <c r="T317" s="49" t="str">
        <f aca="false">IF($F317="","",IFERROR(INDEX(基础资料!$C$6:$C$35,MATCH($F317,基础资料!$A$6:$A$35,0)),""))</f>
        <v/>
      </c>
      <c r="U317" s="49" t="str">
        <f aca="false">IF($G317="","",IFERROR(INDEX(基础资料!$C$6:$C$35,MATCH($G317,基础资料!$A$6:$A$35,0)),""))</f>
        <v/>
      </c>
      <c r="V317" s="49" t="str">
        <f aca="false">IF(AND($G317=客户对账单!$B$3,$E317="客户回款",$B317&gt;=客户对账单!$E$3,$B317&lt;=客户对账单!$H$3),COUNTIFS($G$5:$G317,客户对账单!$B$3,$E$5:$E317,"客户回款",$B$5:$B317,"&gt;="&amp;客户对账单!$E$3,$B$5:$B317,"&lt;="&amp;客户对账单!$H$3),"")</f>
        <v/>
      </c>
      <c r="W317" s="49" t="str">
        <f aca="false">IF(AND($G317=供应商对账单!$B$3,$E317="供应商付款",$B317&gt;=供应商对账单!$E$3,$B317&lt;=供应商对账单!$H$3),COUNTIFS($G$5:$G317,供应商对账单!$B$3,$E$5:$E317,"供应商付款",$B$5:$B317,"&gt;="&amp;供应商对账单!$E$3,$B$5:$B317,"&lt;="&amp;供应商对账单!$H$3),"")</f>
        <v/>
      </c>
    </row>
    <row r="318" customFormat="false" ht="15.75" hidden="false" customHeight="true" outlineLevel="0" collapsed="false">
      <c r="A318" s="42" t="str">
        <f aca="false">IF($B318="","","ZJ"&amp;TEXT($B318,"yyyymm")&amp;"-"&amp;TEXT(ROW()-4,"000"))</f>
        <v/>
      </c>
      <c r="B318" s="41"/>
      <c r="C318" s="42" t="str">
        <f aca="false">IF($B318="","",TEXT($B318,"yyyy-mm"))</f>
        <v/>
      </c>
      <c r="D318" s="42" t="str">
        <f aca="false">IF($E318="","",IFERROR(INDEX(科目参数!$L$6:$L$85,MATCH($E318,科目参数!$M$6:$M$85,0)),"⚠"))</f>
        <v/>
      </c>
      <c r="E318" s="33"/>
      <c r="F318" s="33"/>
      <c r="G318" s="36"/>
      <c r="H318" s="33"/>
      <c r="I318" s="33"/>
      <c r="J318" s="36"/>
      <c r="K318" s="40"/>
      <c r="L318" s="40"/>
      <c r="M318" s="47" t="str">
        <f aca="false">IF($B318="","",IF(NOT(ISNUMBER($B318)),"日期不是日期格式",IF(YEAR($B318)&lt;&gt;首页!$B$3,"不在会计年度",IF($E318="","未选收支科目",IF($D318="⚠","收支科目不存在",IF($F318="","未选账户",IF($T318="","账户未设资金科目",IF(AND($D318="转账",$U318=""),"转入账户无效",IF(AND(N($K318)&gt;0,N($L318)&gt;0),"收支不能同时填",IF(AND($D318="收入",N($K318)&lt;=0),"收入金额须大于0",IF(AND($D318&lt;&gt;"收入",N($L318)&lt;=0),"支出金额须大于0",IF($O318="","借方科目缺失",IF($P318="","贷方科目缺失","√")))))))))))))</f>
        <v/>
      </c>
      <c r="N318" s="48" t="str">
        <f aca="false">IF($B318="","",IF($D318="收入",N($K318),N($L318)))</f>
        <v/>
      </c>
      <c r="O318" s="49" t="str">
        <f aca="false">IF($B318="","",IF($D318="收入",$T318,IF($D318="转账",$U318,$S318)))</f>
        <v/>
      </c>
      <c r="P318" s="49" t="str">
        <f aca="false">IF($B318="","",IF($D318="收入",$S318,$T318))</f>
        <v/>
      </c>
      <c r="Q318" s="50" t="str">
        <f aca="false">IF($E318="","",IF($D318="转账","—",IFERROR(INDEX(科目参数!$P$6:$P$85,MATCH($E318,科目参数!$M$6:$M$85,0)),"")))</f>
        <v/>
      </c>
      <c r="R318" s="48" t="str">
        <f aca="false">IF($B318="","",SUMIFS(期初数据!$B$6:$B$35,期初数据!$A$6:$A$35,$F318)+SUMIFS($N$5:$N318,$F$5:$F318,$F318,$D$5:$D318,"收入")-SUMIFS($N$5:$N318,$F$5:$F318,$F318,$D$5:$D318,"支出")-SUMIFS($N$5:$N318,$F$5:$F318,$F318,$D$5:$D318,"转账")+SUMIFS($N$5:$N318,$G$5:$G318,$F318,$D$5:$D318,"转账"))</f>
        <v/>
      </c>
      <c r="S318" s="49" t="str">
        <f aca="false">IF($E318="","",IFERROR(INDEX(科目参数!$N$6:$N$85,MATCH($E318,科目参数!$M$6:$M$85,0)),""))</f>
        <v/>
      </c>
      <c r="T318" s="49" t="str">
        <f aca="false">IF($F318="","",IFERROR(INDEX(基础资料!$C$6:$C$35,MATCH($F318,基础资料!$A$6:$A$35,0)),""))</f>
        <v/>
      </c>
      <c r="U318" s="49" t="str">
        <f aca="false">IF($G318="","",IFERROR(INDEX(基础资料!$C$6:$C$35,MATCH($G318,基础资料!$A$6:$A$35,0)),""))</f>
        <v/>
      </c>
      <c r="V318" s="49" t="str">
        <f aca="false">IF(AND($G318=客户对账单!$B$3,$E318="客户回款",$B318&gt;=客户对账单!$E$3,$B318&lt;=客户对账单!$H$3),COUNTIFS($G$5:$G318,客户对账单!$B$3,$E$5:$E318,"客户回款",$B$5:$B318,"&gt;="&amp;客户对账单!$E$3,$B$5:$B318,"&lt;="&amp;客户对账单!$H$3),"")</f>
        <v/>
      </c>
      <c r="W318" s="49" t="str">
        <f aca="false">IF(AND($G318=供应商对账单!$B$3,$E318="供应商付款",$B318&gt;=供应商对账单!$E$3,$B318&lt;=供应商对账单!$H$3),COUNTIFS($G$5:$G318,供应商对账单!$B$3,$E$5:$E318,"供应商付款",$B$5:$B318,"&gt;="&amp;供应商对账单!$E$3,$B$5:$B318,"&lt;="&amp;供应商对账单!$H$3),"")</f>
        <v/>
      </c>
    </row>
    <row r="319" customFormat="false" ht="15.75" hidden="false" customHeight="true" outlineLevel="0" collapsed="false">
      <c r="A319" s="42" t="str">
        <f aca="false">IF($B319="","","ZJ"&amp;TEXT($B319,"yyyymm")&amp;"-"&amp;TEXT(ROW()-4,"000"))</f>
        <v/>
      </c>
      <c r="B319" s="41"/>
      <c r="C319" s="42" t="str">
        <f aca="false">IF($B319="","",TEXT($B319,"yyyy-mm"))</f>
        <v/>
      </c>
      <c r="D319" s="42" t="str">
        <f aca="false">IF($E319="","",IFERROR(INDEX(科目参数!$L$6:$L$85,MATCH($E319,科目参数!$M$6:$M$85,0)),"⚠"))</f>
        <v/>
      </c>
      <c r="E319" s="33"/>
      <c r="F319" s="33"/>
      <c r="G319" s="36"/>
      <c r="H319" s="33"/>
      <c r="I319" s="33"/>
      <c r="J319" s="36"/>
      <c r="K319" s="40"/>
      <c r="L319" s="40"/>
      <c r="M319" s="47" t="str">
        <f aca="false">IF($B319="","",IF(NOT(ISNUMBER($B319)),"日期不是日期格式",IF(YEAR($B319)&lt;&gt;首页!$B$3,"不在会计年度",IF($E319="","未选收支科目",IF($D319="⚠","收支科目不存在",IF($F319="","未选账户",IF($T319="","账户未设资金科目",IF(AND($D319="转账",$U319=""),"转入账户无效",IF(AND(N($K319)&gt;0,N($L319)&gt;0),"收支不能同时填",IF(AND($D319="收入",N($K319)&lt;=0),"收入金额须大于0",IF(AND($D319&lt;&gt;"收入",N($L319)&lt;=0),"支出金额须大于0",IF($O319="","借方科目缺失",IF($P319="","贷方科目缺失","√")))))))))))))</f>
        <v/>
      </c>
      <c r="N319" s="48" t="str">
        <f aca="false">IF($B319="","",IF($D319="收入",N($K319),N($L319)))</f>
        <v/>
      </c>
      <c r="O319" s="49" t="str">
        <f aca="false">IF($B319="","",IF($D319="收入",$T319,IF($D319="转账",$U319,$S319)))</f>
        <v/>
      </c>
      <c r="P319" s="49" t="str">
        <f aca="false">IF($B319="","",IF($D319="收入",$S319,$T319))</f>
        <v/>
      </c>
      <c r="Q319" s="50" t="str">
        <f aca="false">IF($E319="","",IF($D319="转账","—",IFERROR(INDEX(科目参数!$P$6:$P$85,MATCH($E319,科目参数!$M$6:$M$85,0)),"")))</f>
        <v/>
      </c>
      <c r="R319" s="48" t="str">
        <f aca="false">IF($B319="","",SUMIFS(期初数据!$B$6:$B$35,期初数据!$A$6:$A$35,$F319)+SUMIFS($N$5:$N319,$F$5:$F319,$F319,$D$5:$D319,"收入")-SUMIFS($N$5:$N319,$F$5:$F319,$F319,$D$5:$D319,"支出")-SUMIFS($N$5:$N319,$F$5:$F319,$F319,$D$5:$D319,"转账")+SUMIFS($N$5:$N319,$G$5:$G319,$F319,$D$5:$D319,"转账"))</f>
        <v/>
      </c>
      <c r="S319" s="49" t="str">
        <f aca="false">IF($E319="","",IFERROR(INDEX(科目参数!$N$6:$N$85,MATCH($E319,科目参数!$M$6:$M$85,0)),""))</f>
        <v/>
      </c>
      <c r="T319" s="49" t="str">
        <f aca="false">IF($F319="","",IFERROR(INDEX(基础资料!$C$6:$C$35,MATCH($F319,基础资料!$A$6:$A$35,0)),""))</f>
        <v/>
      </c>
      <c r="U319" s="49" t="str">
        <f aca="false">IF($G319="","",IFERROR(INDEX(基础资料!$C$6:$C$35,MATCH($G319,基础资料!$A$6:$A$35,0)),""))</f>
        <v/>
      </c>
      <c r="V319" s="49" t="str">
        <f aca="false">IF(AND($G319=客户对账单!$B$3,$E319="客户回款",$B319&gt;=客户对账单!$E$3,$B319&lt;=客户对账单!$H$3),COUNTIFS($G$5:$G319,客户对账单!$B$3,$E$5:$E319,"客户回款",$B$5:$B319,"&gt;="&amp;客户对账单!$E$3,$B$5:$B319,"&lt;="&amp;客户对账单!$H$3),"")</f>
        <v/>
      </c>
      <c r="W319" s="49" t="str">
        <f aca="false">IF(AND($G319=供应商对账单!$B$3,$E319="供应商付款",$B319&gt;=供应商对账单!$E$3,$B319&lt;=供应商对账单!$H$3),COUNTIFS($G$5:$G319,供应商对账单!$B$3,$E$5:$E319,"供应商付款",$B$5:$B319,"&gt;="&amp;供应商对账单!$E$3,$B$5:$B319,"&lt;="&amp;供应商对账单!$H$3),"")</f>
        <v/>
      </c>
    </row>
    <row r="320" customFormat="false" ht="15.75" hidden="false" customHeight="true" outlineLevel="0" collapsed="false">
      <c r="A320" s="42" t="str">
        <f aca="false">IF($B320="","","ZJ"&amp;TEXT($B320,"yyyymm")&amp;"-"&amp;TEXT(ROW()-4,"000"))</f>
        <v/>
      </c>
      <c r="B320" s="41"/>
      <c r="C320" s="42" t="str">
        <f aca="false">IF($B320="","",TEXT($B320,"yyyy-mm"))</f>
        <v/>
      </c>
      <c r="D320" s="42" t="str">
        <f aca="false">IF($E320="","",IFERROR(INDEX(科目参数!$L$6:$L$85,MATCH($E320,科目参数!$M$6:$M$85,0)),"⚠"))</f>
        <v/>
      </c>
      <c r="E320" s="33"/>
      <c r="F320" s="33"/>
      <c r="G320" s="36"/>
      <c r="H320" s="33"/>
      <c r="I320" s="33"/>
      <c r="J320" s="36"/>
      <c r="K320" s="40"/>
      <c r="L320" s="40"/>
      <c r="M320" s="47" t="str">
        <f aca="false">IF($B320="","",IF(NOT(ISNUMBER($B320)),"日期不是日期格式",IF(YEAR($B320)&lt;&gt;首页!$B$3,"不在会计年度",IF($E320="","未选收支科目",IF($D320="⚠","收支科目不存在",IF($F320="","未选账户",IF($T320="","账户未设资金科目",IF(AND($D320="转账",$U320=""),"转入账户无效",IF(AND(N($K320)&gt;0,N($L320)&gt;0),"收支不能同时填",IF(AND($D320="收入",N($K320)&lt;=0),"收入金额须大于0",IF(AND($D320&lt;&gt;"收入",N($L320)&lt;=0),"支出金额须大于0",IF($O320="","借方科目缺失",IF($P320="","贷方科目缺失","√")))))))))))))</f>
        <v/>
      </c>
      <c r="N320" s="48" t="str">
        <f aca="false">IF($B320="","",IF($D320="收入",N($K320),N($L320)))</f>
        <v/>
      </c>
      <c r="O320" s="49" t="str">
        <f aca="false">IF($B320="","",IF($D320="收入",$T320,IF($D320="转账",$U320,$S320)))</f>
        <v/>
      </c>
      <c r="P320" s="49" t="str">
        <f aca="false">IF($B320="","",IF($D320="收入",$S320,$T320))</f>
        <v/>
      </c>
      <c r="Q320" s="50" t="str">
        <f aca="false">IF($E320="","",IF($D320="转账","—",IFERROR(INDEX(科目参数!$P$6:$P$85,MATCH($E320,科目参数!$M$6:$M$85,0)),"")))</f>
        <v/>
      </c>
      <c r="R320" s="48" t="str">
        <f aca="false">IF($B320="","",SUMIFS(期初数据!$B$6:$B$35,期初数据!$A$6:$A$35,$F320)+SUMIFS($N$5:$N320,$F$5:$F320,$F320,$D$5:$D320,"收入")-SUMIFS($N$5:$N320,$F$5:$F320,$F320,$D$5:$D320,"支出")-SUMIFS($N$5:$N320,$F$5:$F320,$F320,$D$5:$D320,"转账")+SUMIFS($N$5:$N320,$G$5:$G320,$F320,$D$5:$D320,"转账"))</f>
        <v/>
      </c>
      <c r="S320" s="49" t="str">
        <f aca="false">IF($E320="","",IFERROR(INDEX(科目参数!$N$6:$N$85,MATCH($E320,科目参数!$M$6:$M$85,0)),""))</f>
        <v/>
      </c>
      <c r="T320" s="49" t="str">
        <f aca="false">IF($F320="","",IFERROR(INDEX(基础资料!$C$6:$C$35,MATCH($F320,基础资料!$A$6:$A$35,0)),""))</f>
        <v/>
      </c>
      <c r="U320" s="49" t="str">
        <f aca="false">IF($G320="","",IFERROR(INDEX(基础资料!$C$6:$C$35,MATCH($G320,基础资料!$A$6:$A$35,0)),""))</f>
        <v/>
      </c>
      <c r="V320" s="49" t="str">
        <f aca="false">IF(AND($G320=客户对账单!$B$3,$E320="客户回款",$B320&gt;=客户对账单!$E$3,$B320&lt;=客户对账单!$H$3),COUNTIFS($G$5:$G320,客户对账单!$B$3,$E$5:$E320,"客户回款",$B$5:$B320,"&gt;="&amp;客户对账单!$E$3,$B$5:$B320,"&lt;="&amp;客户对账单!$H$3),"")</f>
        <v/>
      </c>
      <c r="W320" s="49" t="str">
        <f aca="false">IF(AND($G320=供应商对账单!$B$3,$E320="供应商付款",$B320&gt;=供应商对账单!$E$3,$B320&lt;=供应商对账单!$H$3),COUNTIFS($G$5:$G320,供应商对账单!$B$3,$E$5:$E320,"供应商付款",$B$5:$B320,"&gt;="&amp;供应商对账单!$E$3,$B$5:$B320,"&lt;="&amp;供应商对账单!$H$3),"")</f>
        <v/>
      </c>
    </row>
    <row r="321" customFormat="false" ht="15.75" hidden="false" customHeight="true" outlineLevel="0" collapsed="false">
      <c r="A321" s="42" t="str">
        <f aca="false">IF($B321="","","ZJ"&amp;TEXT($B321,"yyyymm")&amp;"-"&amp;TEXT(ROW()-4,"000"))</f>
        <v/>
      </c>
      <c r="B321" s="41"/>
      <c r="C321" s="42" t="str">
        <f aca="false">IF($B321="","",TEXT($B321,"yyyy-mm"))</f>
        <v/>
      </c>
      <c r="D321" s="42" t="str">
        <f aca="false">IF($E321="","",IFERROR(INDEX(科目参数!$L$6:$L$85,MATCH($E321,科目参数!$M$6:$M$85,0)),"⚠"))</f>
        <v/>
      </c>
      <c r="E321" s="33"/>
      <c r="F321" s="33"/>
      <c r="G321" s="36"/>
      <c r="H321" s="33"/>
      <c r="I321" s="33"/>
      <c r="J321" s="36"/>
      <c r="K321" s="40"/>
      <c r="L321" s="40"/>
      <c r="M321" s="47" t="str">
        <f aca="false">IF($B321="","",IF(NOT(ISNUMBER($B321)),"日期不是日期格式",IF(YEAR($B321)&lt;&gt;首页!$B$3,"不在会计年度",IF($E321="","未选收支科目",IF($D321="⚠","收支科目不存在",IF($F321="","未选账户",IF($T321="","账户未设资金科目",IF(AND($D321="转账",$U321=""),"转入账户无效",IF(AND(N($K321)&gt;0,N($L321)&gt;0),"收支不能同时填",IF(AND($D321="收入",N($K321)&lt;=0),"收入金额须大于0",IF(AND($D321&lt;&gt;"收入",N($L321)&lt;=0),"支出金额须大于0",IF($O321="","借方科目缺失",IF($P321="","贷方科目缺失","√")))))))))))))</f>
        <v/>
      </c>
      <c r="N321" s="48" t="str">
        <f aca="false">IF($B321="","",IF($D321="收入",N($K321),N($L321)))</f>
        <v/>
      </c>
      <c r="O321" s="49" t="str">
        <f aca="false">IF($B321="","",IF($D321="收入",$T321,IF($D321="转账",$U321,$S321)))</f>
        <v/>
      </c>
      <c r="P321" s="49" t="str">
        <f aca="false">IF($B321="","",IF($D321="收入",$S321,$T321))</f>
        <v/>
      </c>
      <c r="Q321" s="50" t="str">
        <f aca="false">IF($E321="","",IF($D321="转账","—",IFERROR(INDEX(科目参数!$P$6:$P$85,MATCH($E321,科目参数!$M$6:$M$85,0)),"")))</f>
        <v/>
      </c>
      <c r="R321" s="48" t="str">
        <f aca="false">IF($B321="","",SUMIFS(期初数据!$B$6:$B$35,期初数据!$A$6:$A$35,$F321)+SUMIFS($N$5:$N321,$F$5:$F321,$F321,$D$5:$D321,"收入")-SUMIFS($N$5:$N321,$F$5:$F321,$F321,$D$5:$D321,"支出")-SUMIFS($N$5:$N321,$F$5:$F321,$F321,$D$5:$D321,"转账")+SUMIFS($N$5:$N321,$G$5:$G321,$F321,$D$5:$D321,"转账"))</f>
        <v/>
      </c>
      <c r="S321" s="49" t="str">
        <f aca="false">IF($E321="","",IFERROR(INDEX(科目参数!$N$6:$N$85,MATCH($E321,科目参数!$M$6:$M$85,0)),""))</f>
        <v/>
      </c>
      <c r="T321" s="49" t="str">
        <f aca="false">IF($F321="","",IFERROR(INDEX(基础资料!$C$6:$C$35,MATCH($F321,基础资料!$A$6:$A$35,0)),""))</f>
        <v/>
      </c>
      <c r="U321" s="49" t="str">
        <f aca="false">IF($G321="","",IFERROR(INDEX(基础资料!$C$6:$C$35,MATCH($G321,基础资料!$A$6:$A$35,0)),""))</f>
        <v/>
      </c>
      <c r="V321" s="49" t="str">
        <f aca="false">IF(AND($G321=客户对账单!$B$3,$E321="客户回款",$B321&gt;=客户对账单!$E$3,$B321&lt;=客户对账单!$H$3),COUNTIFS($G$5:$G321,客户对账单!$B$3,$E$5:$E321,"客户回款",$B$5:$B321,"&gt;="&amp;客户对账单!$E$3,$B$5:$B321,"&lt;="&amp;客户对账单!$H$3),"")</f>
        <v/>
      </c>
      <c r="W321" s="49" t="str">
        <f aca="false">IF(AND($G321=供应商对账单!$B$3,$E321="供应商付款",$B321&gt;=供应商对账单!$E$3,$B321&lt;=供应商对账单!$H$3),COUNTIFS($G$5:$G321,供应商对账单!$B$3,$E$5:$E321,"供应商付款",$B$5:$B321,"&gt;="&amp;供应商对账单!$E$3,$B$5:$B321,"&lt;="&amp;供应商对账单!$H$3),"")</f>
        <v/>
      </c>
    </row>
    <row r="322" customFormat="false" ht="15.75" hidden="false" customHeight="true" outlineLevel="0" collapsed="false">
      <c r="A322" s="42" t="str">
        <f aca="false">IF($B322="","","ZJ"&amp;TEXT($B322,"yyyymm")&amp;"-"&amp;TEXT(ROW()-4,"000"))</f>
        <v/>
      </c>
      <c r="B322" s="41"/>
      <c r="C322" s="42" t="str">
        <f aca="false">IF($B322="","",TEXT($B322,"yyyy-mm"))</f>
        <v/>
      </c>
      <c r="D322" s="42" t="str">
        <f aca="false">IF($E322="","",IFERROR(INDEX(科目参数!$L$6:$L$85,MATCH($E322,科目参数!$M$6:$M$85,0)),"⚠"))</f>
        <v/>
      </c>
      <c r="E322" s="33"/>
      <c r="F322" s="33"/>
      <c r="G322" s="36"/>
      <c r="H322" s="33"/>
      <c r="I322" s="33"/>
      <c r="J322" s="36"/>
      <c r="K322" s="40"/>
      <c r="L322" s="40"/>
      <c r="M322" s="47" t="str">
        <f aca="false">IF($B322="","",IF(NOT(ISNUMBER($B322)),"日期不是日期格式",IF(YEAR($B322)&lt;&gt;首页!$B$3,"不在会计年度",IF($E322="","未选收支科目",IF($D322="⚠","收支科目不存在",IF($F322="","未选账户",IF($T322="","账户未设资金科目",IF(AND($D322="转账",$U322=""),"转入账户无效",IF(AND(N($K322)&gt;0,N($L322)&gt;0),"收支不能同时填",IF(AND($D322="收入",N($K322)&lt;=0),"收入金额须大于0",IF(AND($D322&lt;&gt;"收入",N($L322)&lt;=0),"支出金额须大于0",IF($O322="","借方科目缺失",IF($P322="","贷方科目缺失","√")))))))))))))</f>
        <v/>
      </c>
      <c r="N322" s="48" t="str">
        <f aca="false">IF($B322="","",IF($D322="收入",N($K322),N($L322)))</f>
        <v/>
      </c>
      <c r="O322" s="49" t="str">
        <f aca="false">IF($B322="","",IF($D322="收入",$T322,IF($D322="转账",$U322,$S322)))</f>
        <v/>
      </c>
      <c r="P322" s="49" t="str">
        <f aca="false">IF($B322="","",IF($D322="收入",$S322,$T322))</f>
        <v/>
      </c>
      <c r="Q322" s="50" t="str">
        <f aca="false">IF($E322="","",IF($D322="转账","—",IFERROR(INDEX(科目参数!$P$6:$P$85,MATCH($E322,科目参数!$M$6:$M$85,0)),"")))</f>
        <v/>
      </c>
      <c r="R322" s="48" t="str">
        <f aca="false">IF($B322="","",SUMIFS(期初数据!$B$6:$B$35,期初数据!$A$6:$A$35,$F322)+SUMIFS($N$5:$N322,$F$5:$F322,$F322,$D$5:$D322,"收入")-SUMIFS($N$5:$N322,$F$5:$F322,$F322,$D$5:$D322,"支出")-SUMIFS($N$5:$N322,$F$5:$F322,$F322,$D$5:$D322,"转账")+SUMIFS($N$5:$N322,$G$5:$G322,$F322,$D$5:$D322,"转账"))</f>
        <v/>
      </c>
      <c r="S322" s="49" t="str">
        <f aca="false">IF($E322="","",IFERROR(INDEX(科目参数!$N$6:$N$85,MATCH($E322,科目参数!$M$6:$M$85,0)),""))</f>
        <v/>
      </c>
      <c r="T322" s="49" t="str">
        <f aca="false">IF($F322="","",IFERROR(INDEX(基础资料!$C$6:$C$35,MATCH($F322,基础资料!$A$6:$A$35,0)),""))</f>
        <v/>
      </c>
      <c r="U322" s="49" t="str">
        <f aca="false">IF($G322="","",IFERROR(INDEX(基础资料!$C$6:$C$35,MATCH($G322,基础资料!$A$6:$A$35,0)),""))</f>
        <v/>
      </c>
      <c r="V322" s="49" t="str">
        <f aca="false">IF(AND($G322=客户对账单!$B$3,$E322="客户回款",$B322&gt;=客户对账单!$E$3,$B322&lt;=客户对账单!$H$3),COUNTIFS($G$5:$G322,客户对账单!$B$3,$E$5:$E322,"客户回款",$B$5:$B322,"&gt;="&amp;客户对账单!$E$3,$B$5:$B322,"&lt;="&amp;客户对账单!$H$3),"")</f>
        <v/>
      </c>
      <c r="W322" s="49" t="str">
        <f aca="false">IF(AND($G322=供应商对账单!$B$3,$E322="供应商付款",$B322&gt;=供应商对账单!$E$3,$B322&lt;=供应商对账单!$H$3),COUNTIFS($G$5:$G322,供应商对账单!$B$3,$E$5:$E322,"供应商付款",$B$5:$B322,"&gt;="&amp;供应商对账单!$E$3,$B$5:$B322,"&lt;="&amp;供应商对账单!$H$3),"")</f>
        <v/>
      </c>
    </row>
    <row r="323" customFormat="false" ht="15.75" hidden="false" customHeight="true" outlineLevel="0" collapsed="false">
      <c r="A323" s="42" t="str">
        <f aca="false">IF($B323="","","ZJ"&amp;TEXT($B323,"yyyymm")&amp;"-"&amp;TEXT(ROW()-4,"000"))</f>
        <v/>
      </c>
      <c r="B323" s="41"/>
      <c r="C323" s="42" t="str">
        <f aca="false">IF($B323="","",TEXT($B323,"yyyy-mm"))</f>
        <v/>
      </c>
      <c r="D323" s="42" t="str">
        <f aca="false">IF($E323="","",IFERROR(INDEX(科目参数!$L$6:$L$85,MATCH($E323,科目参数!$M$6:$M$85,0)),"⚠"))</f>
        <v/>
      </c>
      <c r="E323" s="33"/>
      <c r="F323" s="33"/>
      <c r="G323" s="36"/>
      <c r="H323" s="33"/>
      <c r="I323" s="33"/>
      <c r="J323" s="36"/>
      <c r="K323" s="40"/>
      <c r="L323" s="40"/>
      <c r="M323" s="47" t="str">
        <f aca="false">IF($B323="","",IF(NOT(ISNUMBER($B323)),"日期不是日期格式",IF(YEAR($B323)&lt;&gt;首页!$B$3,"不在会计年度",IF($E323="","未选收支科目",IF($D323="⚠","收支科目不存在",IF($F323="","未选账户",IF($T323="","账户未设资金科目",IF(AND($D323="转账",$U323=""),"转入账户无效",IF(AND(N($K323)&gt;0,N($L323)&gt;0),"收支不能同时填",IF(AND($D323="收入",N($K323)&lt;=0),"收入金额须大于0",IF(AND($D323&lt;&gt;"收入",N($L323)&lt;=0),"支出金额须大于0",IF($O323="","借方科目缺失",IF($P323="","贷方科目缺失","√")))))))))))))</f>
        <v/>
      </c>
      <c r="N323" s="48" t="str">
        <f aca="false">IF($B323="","",IF($D323="收入",N($K323),N($L323)))</f>
        <v/>
      </c>
      <c r="O323" s="49" t="str">
        <f aca="false">IF($B323="","",IF($D323="收入",$T323,IF($D323="转账",$U323,$S323)))</f>
        <v/>
      </c>
      <c r="P323" s="49" t="str">
        <f aca="false">IF($B323="","",IF($D323="收入",$S323,$T323))</f>
        <v/>
      </c>
      <c r="Q323" s="50" t="str">
        <f aca="false">IF($E323="","",IF($D323="转账","—",IFERROR(INDEX(科目参数!$P$6:$P$85,MATCH($E323,科目参数!$M$6:$M$85,0)),"")))</f>
        <v/>
      </c>
      <c r="R323" s="48" t="str">
        <f aca="false">IF($B323="","",SUMIFS(期初数据!$B$6:$B$35,期初数据!$A$6:$A$35,$F323)+SUMIFS($N$5:$N323,$F$5:$F323,$F323,$D$5:$D323,"收入")-SUMIFS($N$5:$N323,$F$5:$F323,$F323,$D$5:$D323,"支出")-SUMIFS($N$5:$N323,$F$5:$F323,$F323,$D$5:$D323,"转账")+SUMIFS($N$5:$N323,$G$5:$G323,$F323,$D$5:$D323,"转账"))</f>
        <v/>
      </c>
      <c r="S323" s="49" t="str">
        <f aca="false">IF($E323="","",IFERROR(INDEX(科目参数!$N$6:$N$85,MATCH($E323,科目参数!$M$6:$M$85,0)),""))</f>
        <v/>
      </c>
      <c r="T323" s="49" t="str">
        <f aca="false">IF($F323="","",IFERROR(INDEX(基础资料!$C$6:$C$35,MATCH($F323,基础资料!$A$6:$A$35,0)),""))</f>
        <v/>
      </c>
      <c r="U323" s="49" t="str">
        <f aca="false">IF($G323="","",IFERROR(INDEX(基础资料!$C$6:$C$35,MATCH($G323,基础资料!$A$6:$A$35,0)),""))</f>
        <v/>
      </c>
      <c r="V323" s="49" t="str">
        <f aca="false">IF(AND($G323=客户对账单!$B$3,$E323="客户回款",$B323&gt;=客户对账单!$E$3,$B323&lt;=客户对账单!$H$3),COUNTIFS($G$5:$G323,客户对账单!$B$3,$E$5:$E323,"客户回款",$B$5:$B323,"&gt;="&amp;客户对账单!$E$3,$B$5:$B323,"&lt;="&amp;客户对账单!$H$3),"")</f>
        <v/>
      </c>
      <c r="W323" s="49" t="str">
        <f aca="false">IF(AND($G323=供应商对账单!$B$3,$E323="供应商付款",$B323&gt;=供应商对账单!$E$3,$B323&lt;=供应商对账单!$H$3),COUNTIFS($G$5:$G323,供应商对账单!$B$3,$E$5:$E323,"供应商付款",$B$5:$B323,"&gt;="&amp;供应商对账单!$E$3,$B$5:$B323,"&lt;="&amp;供应商对账单!$H$3),"")</f>
        <v/>
      </c>
    </row>
    <row r="324" customFormat="false" ht="15.75" hidden="false" customHeight="true" outlineLevel="0" collapsed="false">
      <c r="A324" s="42" t="str">
        <f aca="false">IF($B324="","","ZJ"&amp;TEXT($B324,"yyyymm")&amp;"-"&amp;TEXT(ROW()-4,"000"))</f>
        <v/>
      </c>
      <c r="B324" s="41"/>
      <c r="C324" s="42" t="str">
        <f aca="false">IF($B324="","",TEXT($B324,"yyyy-mm"))</f>
        <v/>
      </c>
      <c r="D324" s="42" t="str">
        <f aca="false">IF($E324="","",IFERROR(INDEX(科目参数!$L$6:$L$85,MATCH($E324,科目参数!$M$6:$M$85,0)),"⚠"))</f>
        <v/>
      </c>
      <c r="E324" s="33"/>
      <c r="F324" s="33"/>
      <c r="G324" s="36"/>
      <c r="H324" s="33"/>
      <c r="I324" s="33"/>
      <c r="J324" s="36"/>
      <c r="K324" s="40"/>
      <c r="L324" s="40"/>
      <c r="M324" s="47" t="str">
        <f aca="false">IF($B324="","",IF(NOT(ISNUMBER($B324)),"日期不是日期格式",IF(YEAR($B324)&lt;&gt;首页!$B$3,"不在会计年度",IF($E324="","未选收支科目",IF($D324="⚠","收支科目不存在",IF($F324="","未选账户",IF($T324="","账户未设资金科目",IF(AND($D324="转账",$U324=""),"转入账户无效",IF(AND(N($K324)&gt;0,N($L324)&gt;0),"收支不能同时填",IF(AND($D324="收入",N($K324)&lt;=0),"收入金额须大于0",IF(AND($D324&lt;&gt;"收入",N($L324)&lt;=0),"支出金额须大于0",IF($O324="","借方科目缺失",IF($P324="","贷方科目缺失","√")))))))))))))</f>
        <v/>
      </c>
      <c r="N324" s="48" t="str">
        <f aca="false">IF($B324="","",IF($D324="收入",N($K324),N($L324)))</f>
        <v/>
      </c>
      <c r="O324" s="49" t="str">
        <f aca="false">IF($B324="","",IF($D324="收入",$T324,IF($D324="转账",$U324,$S324)))</f>
        <v/>
      </c>
      <c r="P324" s="49" t="str">
        <f aca="false">IF($B324="","",IF($D324="收入",$S324,$T324))</f>
        <v/>
      </c>
      <c r="Q324" s="50" t="str">
        <f aca="false">IF($E324="","",IF($D324="转账","—",IFERROR(INDEX(科目参数!$P$6:$P$85,MATCH($E324,科目参数!$M$6:$M$85,0)),"")))</f>
        <v/>
      </c>
      <c r="R324" s="48" t="str">
        <f aca="false">IF($B324="","",SUMIFS(期初数据!$B$6:$B$35,期初数据!$A$6:$A$35,$F324)+SUMIFS($N$5:$N324,$F$5:$F324,$F324,$D$5:$D324,"收入")-SUMIFS($N$5:$N324,$F$5:$F324,$F324,$D$5:$D324,"支出")-SUMIFS($N$5:$N324,$F$5:$F324,$F324,$D$5:$D324,"转账")+SUMIFS($N$5:$N324,$G$5:$G324,$F324,$D$5:$D324,"转账"))</f>
        <v/>
      </c>
      <c r="S324" s="49" t="str">
        <f aca="false">IF($E324="","",IFERROR(INDEX(科目参数!$N$6:$N$85,MATCH($E324,科目参数!$M$6:$M$85,0)),""))</f>
        <v/>
      </c>
      <c r="T324" s="49" t="str">
        <f aca="false">IF($F324="","",IFERROR(INDEX(基础资料!$C$6:$C$35,MATCH($F324,基础资料!$A$6:$A$35,0)),""))</f>
        <v/>
      </c>
      <c r="U324" s="49" t="str">
        <f aca="false">IF($G324="","",IFERROR(INDEX(基础资料!$C$6:$C$35,MATCH($G324,基础资料!$A$6:$A$35,0)),""))</f>
        <v/>
      </c>
      <c r="V324" s="49" t="str">
        <f aca="false">IF(AND($G324=客户对账单!$B$3,$E324="客户回款",$B324&gt;=客户对账单!$E$3,$B324&lt;=客户对账单!$H$3),COUNTIFS($G$5:$G324,客户对账单!$B$3,$E$5:$E324,"客户回款",$B$5:$B324,"&gt;="&amp;客户对账单!$E$3,$B$5:$B324,"&lt;="&amp;客户对账单!$H$3),"")</f>
        <v/>
      </c>
      <c r="W324" s="49" t="str">
        <f aca="false">IF(AND($G324=供应商对账单!$B$3,$E324="供应商付款",$B324&gt;=供应商对账单!$E$3,$B324&lt;=供应商对账单!$H$3),COUNTIFS($G$5:$G324,供应商对账单!$B$3,$E$5:$E324,"供应商付款",$B$5:$B324,"&gt;="&amp;供应商对账单!$E$3,$B$5:$B324,"&lt;="&amp;供应商对账单!$H$3),"")</f>
        <v/>
      </c>
    </row>
    <row r="325" customFormat="false" ht="15.75" hidden="false" customHeight="true" outlineLevel="0" collapsed="false">
      <c r="A325" s="42" t="str">
        <f aca="false">IF($B325="","","ZJ"&amp;TEXT($B325,"yyyymm")&amp;"-"&amp;TEXT(ROW()-4,"000"))</f>
        <v/>
      </c>
      <c r="B325" s="41"/>
      <c r="C325" s="42" t="str">
        <f aca="false">IF($B325="","",TEXT($B325,"yyyy-mm"))</f>
        <v/>
      </c>
      <c r="D325" s="42" t="str">
        <f aca="false">IF($E325="","",IFERROR(INDEX(科目参数!$L$6:$L$85,MATCH($E325,科目参数!$M$6:$M$85,0)),"⚠"))</f>
        <v/>
      </c>
      <c r="E325" s="33"/>
      <c r="F325" s="33"/>
      <c r="G325" s="36"/>
      <c r="H325" s="33"/>
      <c r="I325" s="33"/>
      <c r="J325" s="36"/>
      <c r="K325" s="40"/>
      <c r="L325" s="40"/>
      <c r="M325" s="47" t="str">
        <f aca="false">IF($B325="","",IF(NOT(ISNUMBER($B325)),"日期不是日期格式",IF(YEAR($B325)&lt;&gt;首页!$B$3,"不在会计年度",IF($E325="","未选收支科目",IF($D325="⚠","收支科目不存在",IF($F325="","未选账户",IF($T325="","账户未设资金科目",IF(AND($D325="转账",$U325=""),"转入账户无效",IF(AND(N($K325)&gt;0,N($L325)&gt;0),"收支不能同时填",IF(AND($D325="收入",N($K325)&lt;=0),"收入金额须大于0",IF(AND($D325&lt;&gt;"收入",N($L325)&lt;=0),"支出金额须大于0",IF($O325="","借方科目缺失",IF($P325="","贷方科目缺失","√")))))))))))))</f>
        <v/>
      </c>
      <c r="N325" s="48" t="str">
        <f aca="false">IF($B325="","",IF($D325="收入",N($K325),N($L325)))</f>
        <v/>
      </c>
      <c r="O325" s="49" t="str">
        <f aca="false">IF($B325="","",IF($D325="收入",$T325,IF($D325="转账",$U325,$S325)))</f>
        <v/>
      </c>
      <c r="P325" s="49" t="str">
        <f aca="false">IF($B325="","",IF($D325="收入",$S325,$T325))</f>
        <v/>
      </c>
      <c r="Q325" s="50" t="str">
        <f aca="false">IF($E325="","",IF($D325="转账","—",IFERROR(INDEX(科目参数!$P$6:$P$85,MATCH($E325,科目参数!$M$6:$M$85,0)),"")))</f>
        <v/>
      </c>
      <c r="R325" s="48" t="str">
        <f aca="false">IF($B325="","",SUMIFS(期初数据!$B$6:$B$35,期初数据!$A$6:$A$35,$F325)+SUMIFS($N$5:$N325,$F$5:$F325,$F325,$D$5:$D325,"收入")-SUMIFS($N$5:$N325,$F$5:$F325,$F325,$D$5:$D325,"支出")-SUMIFS($N$5:$N325,$F$5:$F325,$F325,$D$5:$D325,"转账")+SUMIFS($N$5:$N325,$G$5:$G325,$F325,$D$5:$D325,"转账"))</f>
        <v/>
      </c>
      <c r="S325" s="49" t="str">
        <f aca="false">IF($E325="","",IFERROR(INDEX(科目参数!$N$6:$N$85,MATCH($E325,科目参数!$M$6:$M$85,0)),""))</f>
        <v/>
      </c>
      <c r="T325" s="49" t="str">
        <f aca="false">IF($F325="","",IFERROR(INDEX(基础资料!$C$6:$C$35,MATCH($F325,基础资料!$A$6:$A$35,0)),""))</f>
        <v/>
      </c>
      <c r="U325" s="49" t="str">
        <f aca="false">IF($G325="","",IFERROR(INDEX(基础资料!$C$6:$C$35,MATCH($G325,基础资料!$A$6:$A$35,0)),""))</f>
        <v/>
      </c>
      <c r="V325" s="49" t="str">
        <f aca="false">IF(AND($G325=客户对账单!$B$3,$E325="客户回款",$B325&gt;=客户对账单!$E$3,$B325&lt;=客户对账单!$H$3),COUNTIFS($G$5:$G325,客户对账单!$B$3,$E$5:$E325,"客户回款",$B$5:$B325,"&gt;="&amp;客户对账单!$E$3,$B$5:$B325,"&lt;="&amp;客户对账单!$H$3),"")</f>
        <v/>
      </c>
      <c r="W325" s="49" t="str">
        <f aca="false">IF(AND($G325=供应商对账单!$B$3,$E325="供应商付款",$B325&gt;=供应商对账单!$E$3,$B325&lt;=供应商对账单!$H$3),COUNTIFS($G$5:$G325,供应商对账单!$B$3,$E$5:$E325,"供应商付款",$B$5:$B325,"&gt;="&amp;供应商对账单!$E$3,$B$5:$B325,"&lt;="&amp;供应商对账单!$H$3),"")</f>
        <v/>
      </c>
    </row>
    <row r="326" customFormat="false" ht="15.75" hidden="false" customHeight="true" outlineLevel="0" collapsed="false">
      <c r="A326" s="42" t="str">
        <f aca="false">IF($B326="","","ZJ"&amp;TEXT($B326,"yyyymm")&amp;"-"&amp;TEXT(ROW()-4,"000"))</f>
        <v/>
      </c>
      <c r="B326" s="41"/>
      <c r="C326" s="42" t="str">
        <f aca="false">IF($B326="","",TEXT($B326,"yyyy-mm"))</f>
        <v/>
      </c>
      <c r="D326" s="42" t="str">
        <f aca="false">IF($E326="","",IFERROR(INDEX(科目参数!$L$6:$L$85,MATCH($E326,科目参数!$M$6:$M$85,0)),"⚠"))</f>
        <v/>
      </c>
      <c r="E326" s="33"/>
      <c r="F326" s="33"/>
      <c r="G326" s="36"/>
      <c r="H326" s="33"/>
      <c r="I326" s="33"/>
      <c r="J326" s="36"/>
      <c r="K326" s="40"/>
      <c r="L326" s="40"/>
      <c r="M326" s="47" t="str">
        <f aca="false">IF($B326="","",IF(NOT(ISNUMBER($B326)),"日期不是日期格式",IF(YEAR($B326)&lt;&gt;首页!$B$3,"不在会计年度",IF($E326="","未选收支科目",IF($D326="⚠","收支科目不存在",IF($F326="","未选账户",IF($T326="","账户未设资金科目",IF(AND($D326="转账",$U326=""),"转入账户无效",IF(AND(N($K326)&gt;0,N($L326)&gt;0),"收支不能同时填",IF(AND($D326="收入",N($K326)&lt;=0),"收入金额须大于0",IF(AND($D326&lt;&gt;"收入",N($L326)&lt;=0),"支出金额须大于0",IF($O326="","借方科目缺失",IF($P326="","贷方科目缺失","√")))))))))))))</f>
        <v/>
      </c>
      <c r="N326" s="48" t="str">
        <f aca="false">IF($B326="","",IF($D326="收入",N($K326),N($L326)))</f>
        <v/>
      </c>
      <c r="O326" s="49" t="str">
        <f aca="false">IF($B326="","",IF($D326="收入",$T326,IF($D326="转账",$U326,$S326)))</f>
        <v/>
      </c>
      <c r="P326" s="49" t="str">
        <f aca="false">IF($B326="","",IF($D326="收入",$S326,$T326))</f>
        <v/>
      </c>
      <c r="Q326" s="50" t="str">
        <f aca="false">IF($E326="","",IF($D326="转账","—",IFERROR(INDEX(科目参数!$P$6:$P$85,MATCH($E326,科目参数!$M$6:$M$85,0)),"")))</f>
        <v/>
      </c>
      <c r="R326" s="48" t="str">
        <f aca="false">IF($B326="","",SUMIFS(期初数据!$B$6:$B$35,期初数据!$A$6:$A$35,$F326)+SUMIFS($N$5:$N326,$F$5:$F326,$F326,$D$5:$D326,"收入")-SUMIFS($N$5:$N326,$F$5:$F326,$F326,$D$5:$D326,"支出")-SUMIFS($N$5:$N326,$F$5:$F326,$F326,$D$5:$D326,"转账")+SUMIFS($N$5:$N326,$G$5:$G326,$F326,$D$5:$D326,"转账"))</f>
        <v/>
      </c>
      <c r="S326" s="49" t="str">
        <f aca="false">IF($E326="","",IFERROR(INDEX(科目参数!$N$6:$N$85,MATCH($E326,科目参数!$M$6:$M$85,0)),""))</f>
        <v/>
      </c>
      <c r="T326" s="49" t="str">
        <f aca="false">IF($F326="","",IFERROR(INDEX(基础资料!$C$6:$C$35,MATCH($F326,基础资料!$A$6:$A$35,0)),""))</f>
        <v/>
      </c>
      <c r="U326" s="49" t="str">
        <f aca="false">IF($G326="","",IFERROR(INDEX(基础资料!$C$6:$C$35,MATCH($G326,基础资料!$A$6:$A$35,0)),""))</f>
        <v/>
      </c>
      <c r="V326" s="49" t="str">
        <f aca="false">IF(AND($G326=客户对账单!$B$3,$E326="客户回款",$B326&gt;=客户对账单!$E$3,$B326&lt;=客户对账单!$H$3),COUNTIFS($G$5:$G326,客户对账单!$B$3,$E$5:$E326,"客户回款",$B$5:$B326,"&gt;="&amp;客户对账单!$E$3,$B$5:$B326,"&lt;="&amp;客户对账单!$H$3),"")</f>
        <v/>
      </c>
      <c r="W326" s="49" t="str">
        <f aca="false">IF(AND($G326=供应商对账单!$B$3,$E326="供应商付款",$B326&gt;=供应商对账单!$E$3,$B326&lt;=供应商对账单!$H$3),COUNTIFS($G$5:$G326,供应商对账单!$B$3,$E$5:$E326,"供应商付款",$B$5:$B326,"&gt;="&amp;供应商对账单!$E$3,$B$5:$B326,"&lt;="&amp;供应商对账单!$H$3),"")</f>
        <v/>
      </c>
    </row>
    <row r="327" customFormat="false" ht="15.75" hidden="false" customHeight="true" outlineLevel="0" collapsed="false">
      <c r="A327" s="42" t="str">
        <f aca="false">IF($B327="","","ZJ"&amp;TEXT($B327,"yyyymm")&amp;"-"&amp;TEXT(ROW()-4,"000"))</f>
        <v/>
      </c>
      <c r="B327" s="41"/>
      <c r="C327" s="42" t="str">
        <f aca="false">IF($B327="","",TEXT($B327,"yyyy-mm"))</f>
        <v/>
      </c>
      <c r="D327" s="42" t="str">
        <f aca="false">IF($E327="","",IFERROR(INDEX(科目参数!$L$6:$L$85,MATCH($E327,科目参数!$M$6:$M$85,0)),"⚠"))</f>
        <v/>
      </c>
      <c r="E327" s="33"/>
      <c r="F327" s="33"/>
      <c r="G327" s="36"/>
      <c r="H327" s="33"/>
      <c r="I327" s="33"/>
      <c r="J327" s="36"/>
      <c r="K327" s="40"/>
      <c r="L327" s="40"/>
      <c r="M327" s="47" t="str">
        <f aca="false">IF($B327="","",IF(NOT(ISNUMBER($B327)),"日期不是日期格式",IF(YEAR($B327)&lt;&gt;首页!$B$3,"不在会计年度",IF($E327="","未选收支科目",IF($D327="⚠","收支科目不存在",IF($F327="","未选账户",IF($T327="","账户未设资金科目",IF(AND($D327="转账",$U327=""),"转入账户无效",IF(AND(N($K327)&gt;0,N($L327)&gt;0),"收支不能同时填",IF(AND($D327="收入",N($K327)&lt;=0),"收入金额须大于0",IF(AND($D327&lt;&gt;"收入",N($L327)&lt;=0),"支出金额须大于0",IF($O327="","借方科目缺失",IF($P327="","贷方科目缺失","√")))))))))))))</f>
        <v/>
      </c>
      <c r="N327" s="48" t="str">
        <f aca="false">IF($B327="","",IF($D327="收入",N($K327),N($L327)))</f>
        <v/>
      </c>
      <c r="O327" s="49" t="str">
        <f aca="false">IF($B327="","",IF($D327="收入",$T327,IF($D327="转账",$U327,$S327)))</f>
        <v/>
      </c>
      <c r="P327" s="49" t="str">
        <f aca="false">IF($B327="","",IF($D327="收入",$S327,$T327))</f>
        <v/>
      </c>
      <c r="Q327" s="50" t="str">
        <f aca="false">IF($E327="","",IF($D327="转账","—",IFERROR(INDEX(科目参数!$P$6:$P$85,MATCH($E327,科目参数!$M$6:$M$85,0)),"")))</f>
        <v/>
      </c>
      <c r="R327" s="48" t="str">
        <f aca="false">IF($B327="","",SUMIFS(期初数据!$B$6:$B$35,期初数据!$A$6:$A$35,$F327)+SUMIFS($N$5:$N327,$F$5:$F327,$F327,$D$5:$D327,"收入")-SUMIFS($N$5:$N327,$F$5:$F327,$F327,$D$5:$D327,"支出")-SUMIFS($N$5:$N327,$F$5:$F327,$F327,$D$5:$D327,"转账")+SUMIFS($N$5:$N327,$G$5:$G327,$F327,$D$5:$D327,"转账"))</f>
        <v/>
      </c>
      <c r="S327" s="49" t="str">
        <f aca="false">IF($E327="","",IFERROR(INDEX(科目参数!$N$6:$N$85,MATCH($E327,科目参数!$M$6:$M$85,0)),""))</f>
        <v/>
      </c>
      <c r="T327" s="49" t="str">
        <f aca="false">IF($F327="","",IFERROR(INDEX(基础资料!$C$6:$C$35,MATCH($F327,基础资料!$A$6:$A$35,0)),""))</f>
        <v/>
      </c>
      <c r="U327" s="49" t="str">
        <f aca="false">IF($G327="","",IFERROR(INDEX(基础资料!$C$6:$C$35,MATCH($G327,基础资料!$A$6:$A$35,0)),""))</f>
        <v/>
      </c>
      <c r="V327" s="49" t="str">
        <f aca="false">IF(AND($G327=客户对账单!$B$3,$E327="客户回款",$B327&gt;=客户对账单!$E$3,$B327&lt;=客户对账单!$H$3),COUNTIFS($G$5:$G327,客户对账单!$B$3,$E$5:$E327,"客户回款",$B$5:$B327,"&gt;="&amp;客户对账单!$E$3,$B$5:$B327,"&lt;="&amp;客户对账单!$H$3),"")</f>
        <v/>
      </c>
      <c r="W327" s="49" t="str">
        <f aca="false">IF(AND($G327=供应商对账单!$B$3,$E327="供应商付款",$B327&gt;=供应商对账单!$E$3,$B327&lt;=供应商对账单!$H$3),COUNTIFS($G$5:$G327,供应商对账单!$B$3,$E$5:$E327,"供应商付款",$B$5:$B327,"&gt;="&amp;供应商对账单!$E$3,$B$5:$B327,"&lt;="&amp;供应商对账单!$H$3),"")</f>
        <v/>
      </c>
    </row>
    <row r="328" customFormat="false" ht="15.75" hidden="false" customHeight="true" outlineLevel="0" collapsed="false">
      <c r="A328" s="42" t="str">
        <f aca="false">IF($B328="","","ZJ"&amp;TEXT($B328,"yyyymm")&amp;"-"&amp;TEXT(ROW()-4,"000"))</f>
        <v/>
      </c>
      <c r="B328" s="41"/>
      <c r="C328" s="42" t="str">
        <f aca="false">IF($B328="","",TEXT($B328,"yyyy-mm"))</f>
        <v/>
      </c>
      <c r="D328" s="42" t="str">
        <f aca="false">IF($E328="","",IFERROR(INDEX(科目参数!$L$6:$L$85,MATCH($E328,科目参数!$M$6:$M$85,0)),"⚠"))</f>
        <v/>
      </c>
      <c r="E328" s="33"/>
      <c r="F328" s="33"/>
      <c r="G328" s="36"/>
      <c r="H328" s="33"/>
      <c r="I328" s="33"/>
      <c r="J328" s="36"/>
      <c r="K328" s="40"/>
      <c r="L328" s="40"/>
      <c r="M328" s="47" t="str">
        <f aca="false">IF($B328="","",IF(NOT(ISNUMBER($B328)),"日期不是日期格式",IF(YEAR($B328)&lt;&gt;首页!$B$3,"不在会计年度",IF($E328="","未选收支科目",IF($D328="⚠","收支科目不存在",IF($F328="","未选账户",IF($T328="","账户未设资金科目",IF(AND($D328="转账",$U328=""),"转入账户无效",IF(AND(N($K328)&gt;0,N($L328)&gt;0),"收支不能同时填",IF(AND($D328="收入",N($K328)&lt;=0),"收入金额须大于0",IF(AND($D328&lt;&gt;"收入",N($L328)&lt;=0),"支出金额须大于0",IF($O328="","借方科目缺失",IF($P328="","贷方科目缺失","√")))))))))))))</f>
        <v/>
      </c>
      <c r="N328" s="48" t="str">
        <f aca="false">IF($B328="","",IF($D328="收入",N($K328),N($L328)))</f>
        <v/>
      </c>
      <c r="O328" s="49" t="str">
        <f aca="false">IF($B328="","",IF($D328="收入",$T328,IF($D328="转账",$U328,$S328)))</f>
        <v/>
      </c>
      <c r="P328" s="49" t="str">
        <f aca="false">IF($B328="","",IF($D328="收入",$S328,$T328))</f>
        <v/>
      </c>
      <c r="Q328" s="50" t="str">
        <f aca="false">IF($E328="","",IF($D328="转账","—",IFERROR(INDEX(科目参数!$P$6:$P$85,MATCH($E328,科目参数!$M$6:$M$85,0)),"")))</f>
        <v/>
      </c>
      <c r="R328" s="48" t="str">
        <f aca="false">IF($B328="","",SUMIFS(期初数据!$B$6:$B$35,期初数据!$A$6:$A$35,$F328)+SUMIFS($N$5:$N328,$F$5:$F328,$F328,$D$5:$D328,"收入")-SUMIFS($N$5:$N328,$F$5:$F328,$F328,$D$5:$D328,"支出")-SUMIFS($N$5:$N328,$F$5:$F328,$F328,$D$5:$D328,"转账")+SUMIFS($N$5:$N328,$G$5:$G328,$F328,$D$5:$D328,"转账"))</f>
        <v/>
      </c>
      <c r="S328" s="49" t="str">
        <f aca="false">IF($E328="","",IFERROR(INDEX(科目参数!$N$6:$N$85,MATCH($E328,科目参数!$M$6:$M$85,0)),""))</f>
        <v/>
      </c>
      <c r="T328" s="49" t="str">
        <f aca="false">IF($F328="","",IFERROR(INDEX(基础资料!$C$6:$C$35,MATCH($F328,基础资料!$A$6:$A$35,0)),""))</f>
        <v/>
      </c>
      <c r="U328" s="49" t="str">
        <f aca="false">IF($G328="","",IFERROR(INDEX(基础资料!$C$6:$C$35,MATCH($G328,基础资料!$A$6:$A$35,0)),""))</f>
        <v/>
      </c>
      <c r="V328" s="49" t="str">
        <f aca="false">IF(AND($G328=客户对账单!$B$3,$E328="客户回款",$B328&gt;=客户对账单!$E$3,$B328&lt;=客户对账单!$H$3),COUNTIFS($G$5:$G328,客户对账单!$B$3,$E$5:$E328,"客户回款",$B$5:$B328,"&gt;="&amp;客户对账单!$E$3,$B$5:$B328,"&lt;="&amp;客户对账单!$H$3),"")</f>
        <v/>
      </c>
      <c r="W328" s="49" t="str">
        <f aca="false">IF(AND($G328=供应商对账单!$B$3,$E328="供应商付款",$B328&gt;=供应商对账单!$E$3,$B328&lt;=供应商对账单!$H$3),COUNTIFS($G$5:$G328,供应商对账单!$B$3,$E$5:$E328,"供应商付款",$B$5:$B328,"&gt;="&amp;供应商对账单!$E$3,$B$5:$B328,"&lt;="&amp;供应商对账单!$H$3),"")</f>
        <v/>
      </c>
    </row>
    <row r="329" customFormat="false" ht="15.75" hidden="false" customHeight="true" outlineLevel="0" collapsed="false">
      <c r="A329" s="42" t="str">
        <f aca="false">IF($B329="","","ZJ"&amp;TEXT($B329,"yyyymm")&amp;"-"&amp;TEXT(ROW()-4,"000"))</f>
        <v/>
      </c>
      <c r="B329" s="41"/>
      <c r="C329" s="42" t="str">
        <f aca="false">IF($B329="","",TEXT($B329,"yyyy-mm"))</f>
        <v/>
      </c>
      <c r="D329" s="42" t="str">
        <f aca="false">IF($E329="","",IFERROR(INDEX(科目参数!$L$6:$L$85,MATCH($E329,科目参数!$M$6:$M$85,0)),"⚠"))</f>
        <v/>
      </c>
      <c r="E329" s="33"/>
      <c r="F329" s="33"/>
      <c r="G329" s="36"/>
      <c r="H329" s="33"/>
      <c r="I329" s="33"/>
      <c r="J329" s="36"/>
      <c r="K329" s="40"/>
      <c r="L329" s="40"/>
      <c r="M329" s="47" t="str">
        <f aca="false">IF($B329="","",IF(NOT(ISNUMBER($B329)),"日期不是日期格式",IF(YEAR($B329)&lt;&gt;首页!$B$3,"不在会计年度",IF($E329="","未选收支科目",IF($D329="⚠","收支科目不存在",IF($F329="","未选账户",IF($T329="","账户未设资金科目",IF(AND($D329="转账",$U329=""),"转入账户无效",IF(AND(N($K329)&gt;0,N($L329)&gt;0),"收支不能同时填",IF(AND($D329="收入",N($K329)&lt;=0),"收入金额须大于0",IF(AND($D329&lt;&gt;"收入",N($L329)&lt;=0),"支出金额须大于0",IF($O329="","借方科目缺失",IF($P329="","贷方科目缺失","√")))))))))))))</f>
        <v/>
      </c>
      <c r="N329" s="48" t="str">
        <f aca="false">IF($B329="","",IF($D329="收入",N($K329),N($L329)))</f>
        <v/>
      </c>
      <c r="O329" s="49" t="str">
        <f aca="false">IF($B329="","",IF($D329="收入",$T329,IF($D329="转账",$U329,$S329)))</f>
        <v/>
      </c>
      <c r="P329" s="49" t="str">
        <f aca="false">IF($B329="","",IF($D329="收入",$S329,$T329))</f>
        <v/>
      </c>
      <c r="Q329" s="50" t="str">
        <f aca="false">IF($E329="","",IF($D329="转账","—",IFERROR(INDEX(科目参数!$P$6:$P$85,MATCH($E329,科目参数!$M$6:$M$85,0)),"")))</f>
        <v/>
      </c>
      <c r="R329" s="48" t="str">
        <f aca="false">IF($B329="","",SUMIFS(期初数据!$B$6:$B$35,期初数据!$A$6:$A$35,$F329)+SUMIFS($N$5:$N329,$F$5:$F329,$F329,$D$5:$D329,"收入")-SUMIFS($N$5:$N329,$F$5:$F329,$F329,$D$5:$D329,"支出")-SUMIFS($N$5:$N329,$F$5:$F329,$F329,$D$5:$D329,"转账")+SUMIFS($N$5:$N329,$G$5:$G329,$F329,$D$5:$D329,"转账"))</f>
        <v/>
      </c>
      <c r="S329" s="49" t="str">
        <f aca="false">IF($E329="","",IFERROR(INDEX(科目参数!$N$6:$N$85,MATCH($E329,科目参数!$M$6:$M$85,0)),""))</f>
        <v/>
      </c>
      <c r="T329" s="49" t="str">
        <f aca="false">IF($F329="","",IFERROR(INDEX(基础资料!$C$6:$C$35,MATCH($F329,基础资料!$A$6:$A$35,0)),""))</f>
        <v/>
      </c>
      <c r="U329" s="49" t="str">
        <f aca="false">IF($G329="","",IFERROR(INDEX(基础资料!$C$6:$C$35,MATCH($G329,基础资料!$A$6:$A$35,0)),""))</f>
        <v/>
      </c>
      <c r="V329" s="49" t="str">
        <f aca="false">IF(AND($G329=客户对账单!$B$3,$E329="客户回款",$B329&gt;=客户对账单!$E$3,$B329&lt;=客户对账单!$H$3),COUNTIFS($G$5:$G329,客户对账单!$B$3,$E$5:$E329,"客户回款",$B$5:$B329,"&gt;="&amp;客户对账单!$E$3,$B$5:$B329,"&lt;="&amp;客户对账单!$H$3),"")</f>
        <v/>
      </c>
      <c r="W329" s="49" t="str">
        <f aca="false">IF(AND($G329=供应商对账单!$B$3,$E329="供应商付款",$B329&gt;=供应商对账单!$E$3,$B329&lt;=供应商对账单!$H$3),COUNTIFS($G$5:$G329,供应商对账单!$B$3,$E$5:$E329,"供应商付款",$B$5:$B329,"&gt;="&amp;供应商对账单!$E$3,$B$5:$B329,"&lt;="&amp;供应商对账单!$H$3),"")</f>
        <v/>
      </c>
    </row>
    <row r="330" customFormat="false" ht="15.75" hidden="false" customHeight="true" outlineLevel="0" collapsed="false">
      <c r="A330" s="42" t="str">
        <f aca="false">IF($B330="","","ZJ"&amp;TEXT($B330,"yyyymm")&amp;"-"&amp;TEXT(ROW()-4,"000"))</f>
        <v/>
      </c>
      <c r="B330" s="41"/>
      <c r="C330" s="42" t="str">
        <f aca="false">IF($B330="","",TEXT($B330,"yyyy-mm"))</f>
        <v/>
      </c>
      <c r="D330" s="42" t="str">
        <f aca="false">IF($E330="","",IFERROR(INDEX(科目参数!$L$6:$L$85,MATCH($E330,科目参数!$M$6:$M$85,0)),"⚠"))</f>
        <v/>
      </c>
      <c r="E330" s="33"/>
      <c r="F330" s="33"/>
      <c r="G330" s="36"/>
      <c r="H330" s="33"/>
      <c r="I330" s="33"/>
      <c r="J330" s="36"/>
      <c r="K330" s="40"/>
      <c r="L330" s="40"/>
      <c r="M330" s="47" t="str">
        <f aca="false">IF($B330="","",IF(NOT(ISNUMBER($B330)),"日期不是日期格式",IF(YEAR($B330)&lt;&gt;首页!$B$3,"不在会计年度",IF($E330="","未选收支科目",IF($D330="⚠","收支科目不存在",IF($F330="","未选账户",IF($T330="","账户未设资金科目",IF(AND($D330="转账",$U330=""),"转入账户无效",IF(AND(N($K330)&gt;0,N($L330)&gt;0),"收支不能同时填",IF(AND($D330="收入",N($K330)&lt;=0),"收入金额须大于0",IF(AND($D330&lt;&gt;"收入",N($L330)&lt;=0),"支出金额须大于0",IF($O330="","借方科目缺失",IF($P330="","贷方科目缺失","√")))))))))))))</f>
        <v/>
      </c>
      <c r="N330" s="48" t="str">
        <f aca="false">IF($B330="","",IF($D330="收入",N($K330),N($L330)))</f>
        <v/>
      </c>
      <c r="O330" s="49" t="str">
        <f aca="false">IF($B330="","",IF($D330="收入",$T330,IF($D330="转账",$U330,$S330)))</f>
        <v/>
      </c>
      <c r="P330" s="49" t="str">
        <f aca="false">IF($B330="","",IF($D330="收入",$S330,$T330))</f>
        <v/>
      </c>
      <c r="Q330" s="50" t="str">
        <f aca="false">IF($E330="","",IF($D330="转账","—",IFERROR(INDEX(科目参数!$P$6:$P$85,MATCH($E330,科目参数!$M$6:$M$85,0)),"")))</f>
        <v/>
      </c>
      <c r="R330" s="48" t="str">
        <f aca="false">IF($B330="","",SUMIFS(期初数据!$B$6:$B$35,期初数据!$A$6:$A$35,$F330)+SUMIFS($N$5:$N330,$F$5:$F330,$F330,$D$5:$D330,"收入")-SUMIFS($N$5:$N330,$F$5:$F330,$F330,$D$5:$D330,"支出")-SUMIFS($N$5:$N330,$F$5:$F330,$F330,$D$5:$D330,"转账")+SUMIFS($N$5:$N330,$G$5:$G330,$F330,$D$5:$D330,"转账"))</f>
        <v/>
      </c>
      <c r="S330" s="49" t="str">
        <f aca="false">IF($E330="","",IFERROR(INDEX(科目参数!$N$6:$N$85,MATCH($E330,科目参数!$M$6:$M$85,0)),""))</f>
        <v/>
      </c>
      <c r="T330" s="49" t="str">
        <f aca="false">IF($F330="","",IFERROR(INDEX(基础资料!$C$6:$C$35,MATCH($F330,基础资料!$A$6:$A$35,0)),""))</f>
        <v/>
      </c>
      <c r="U330" s="49" t="str">
        <f aca="false">IF($G330="","",IFERROR(INDEX(基础资料!$C$6:$C$35,MATCH($G330,基础资料!$A$6:$A$35,0)),""))</f>
        <v/>
      </c>
      <c r="V330" s="49" t="str">
        <f aca="false">IF(AND($G330=客户对账单!$B$3,$E330="客户回款",$B330&gt;=客户对账单!$E$3,$B330&lt;=客户对账单!$H$3),COUNTIFS($G$5:$G330,客户对账单!$B$3,$E$5:$E330,"客户回款",$B$5:$B330,"&gt;="&amp;客户对账单!$E$3,$B$5:$B330,"&lt;="&amp;客户对账单!$H$3),"")</f>
        <v/>
      </c>
      <c r="W330" s="49" t="str">
        <f aca="false">IF(AND($G330=供应商对账单!$B$3,$E330="供应商付款",$B330&gt;=供应商对账单!$E$3,$B330&lt;=供应商对账单!$H$3),COUNTIFS($G$5:$G330,供应商对账单!$B$3,$E$5:$E330,"供应商付款",$B$5:$B330,"&gt;="&amp;供应商对账单!$E$3,$B$5:$B330,"&lt;="&amp;供应商对账单!$H$3),"")</f>
        <v/>
      </c>
    </row>
    <row r="331" customFormat="false" ht="15.75" hidden="false" customHeight="true" outlineLevel="0" collapsed="false">
      <c r="A331" s="42" t="str">
        <f aca="false">IF($B331="","","ZJ"&amp;TEXT($B331,"yyyymm")&amp;"-"&amp;TEXT(ROW()-4,"000"))</f>
        <v/>
      </c>
      <c r="B331" s="41"/>
      <c r="C331" s="42" t="str">
        <f aca="false">IF($B331="","",TEXT($B331,"yyyy-mm"))</f>
        <v/>
      </c>
      <c r="D331" s="42" t="str">
        <f aca="false">IF($E331="","",IFERROR(INDEX(科目参数!$L$6:$L$85,MATCH($E331,科目参数!$M$6:$M$85,0)),"⚠"))</f>
        <v/>
      </c>
      <c r="E331" s="33"/>
      <c r="F331" s="33"/>
      <c r="G331" s="36"/>
      <c r="H331" s="33"/>
      <c r="I331" s="33"/>
      <c r="J331" s="36"/>
      <c r="K331" s="40"/>
      <c r="L331" s="40"/>
      <c r="M331" s="47" t="str">
        <f aca="false">IF($B331="","",IF(NOT(ISNUMBER($B331)),"日期不是日期格式",IF(YEAR($B331)&lt;&gt;首页!$B$3,"不在会计年度",IF($E331="","未选收支科目",IF($D331="⚠","收支科目不存在",IF($F331="","未选账户",IF($T331="","账户未设资金科目",IF(AND($D331="转账",$U331=""),"转入账户无效",IF(AND(N($K331)&gt;0,N($L331)&gt;0),"收支不能同时填",IF(AND($D331="收入",N($K331)&lt;=0),"收入金额须大于0",IF(AND($D331&lt;&gt;"收入",N($L331)&lt;=0),"支出金额须大于0",IF($O331="","借方科目缺失",IF($P331="","贷方科目缺失","√")))))))))))))</f>
        <v/>
      </c>
      <c r="N331" s="48" t="str">
        <f aca="false">IF($B331="","",IF($D331="收入",N($K331),N($L331)))</f>
        <v/>
      </c>
      <c r="O331" s="49" t="str">
        <f aca="false">IF($B331="","",IF($D331="收入",$T331,IF($D331="转账",$U331,$S331)))</f>
        <v/>
      </c>
      <c r="P331" s="49" t="str">
        <f aca="false">IF($B331="","",IF($D331="收入",$S331,$T331))</f>
        <v/>
      </c>
      <c r="Q331" s="50" t="str">
        <f aca="false">IF($E331="","",IF($D331="转账","—",IFERROR(INDEX(科目参数!$P$6:$P$85,MATCH($E331,科目参数!$M$6:$M$85,0)),"")))</f>
        <v/>
      </c>
      <c r="R331" s="48" t="str">
        <f aca="false">IF($B331="","",SUMIFS(期初数据!$B$6:$B$35,期初数据!$A$6:$A$35,$F331)+SUMIFS($N$5:$N331,$F$5:$F331,$F331,$D$5:$D331,"收入")-SUMIFS($N$5:$N331,$F$5:$F331,$F331,$D$5:$D331,"支出")-SUMIFS($N$5:$N331,$F$5:$F331,$F331,$D$5:$D331,"转账")+SUMIFS($N$5:$N331,$G$5:$G331,$F331,$D$5:$D331,"转账"))</f>
        <v/>
      </c>
      <c r="S331" s="49" t="str">
        <f aca="false">IF($E331="","",IFERROR(INDEX(科目参数!$N$6:$N$85,MATCH($E331,科目参数!$M$6:$M$85,0)),""))</f>
        <v/>
      </c>
      <c r="T331" s="49" t="str">
        <f aca="false">IF($F331="","",IFERROR(INDEX(基础资料!$C$6:$C$35,MATCH($F331,基础资料!$A$6:$A$35,0)),""))</f>
        <v/>
      </c>
      <c r="U331" s="49" t="str">
        <f aca="false">IF($G331="","",IFERROR(INDEX(基础资料!$C$6:$C$35,MATCH($G331,基础资料!$A$6:$A$35,0)),""))</f>
        <v/>
      </c>
      <c r="V331" s="49" t="str">
        <f aca="false">IF(AND($G331=客户对账单!$B$3,$E331="客户回款",$B331&gt;=客户对账单!$E$3,$B331&lt;=客户对账单!$H$3),COUNTIFS($G$5:$G331,客户对账单!$B$3,$E$5:$E331,"客户回款",$B$5:$B331,"&gt;="&amp;客户对账单!$E$3,$B$5:$B331,"&lt;="&amp;客户对账单!$H$3),"")</f>
        <v/>
      </c>
      <c r="W331" s="49" t="str">
        <f aca="false">IF(AND($G331=供应商对账单!$B$3,$E331="供应商付款",$B331&gt;=供应商对账单!$E$3,$B331&lt;=供应商对账单!$H$3),COUNTIFS($G$5:$G331,供应商对账单!$B$3,$E$5:$E331,"供应商付款",$B$5:$B331,"&gt;="&amp;供应商对账单!$E$3,$B$5:$B331,"&lt;="&amp;供应商对账单!$H$3),"")</f>
        <v/>
      </c>
    </row>
    <row r="332" customFormat="false" ht="15.75" hidden="false" customHeight="true" outlineLevel="0" collapsed="false">
      <c r="A332" s="42" t="str">
        <f aca="false">IF($B332="","","ZJ"&amp;TEXT($B332,"yyyymm")&amp;"-"&amp;TEXT(ROW()-4,"000"))</f>
        <v/>
      </c>
      <c r="B332" s="41"/>
      <c r="C332" s="42" t="str">
        <f aca="false">IF($B332="","",TEXT($B332,"yyyy-mm"))</f>
        <v/>
      </c>
      <c r="D332" s="42" t="str">
        <f aca="false">IF($E332="","",IFERROR(INDEX(科目参数!$L$6:$L$85,MATCH($E332,科目参数!$M$6:$M$85,0)),"⚠"))</f>
        <v/>
      </c>
      <c r="E332" s="33"/>
      <c r="F332" s="33"/>
      <c r="G332" s="36"/>
      <c r="H332" s="33"/>
      <c r="I332" s="33"/>
      <c r="J332" s="36"/>
      <c r="K332" s="40"/>
      <c r="L332" s="40"/>
      <c r="M332" s="47" t="str">
        <f aca="false">IF($B332="","",IF(NOT(ISNUMBER($B332)),"日期不是日期格式",IF(YEAR($B332)&lt;&gt;首页!$B$3,"不在会计年度",IF($E332="","未选收支科目",IF($D332="⚠","收支科目不存在",IF($F332="","未选账户",IF($T332="","账户未设资金科目",IF(AND($D332="转账",$U332=""),"转入账户无效",IF(AND(N($K332)&gt;0,N($L332)&gt;0),"收支不能同时填",IF(AND($D332="收入",N($K332)&lt;=0),"收入金额须大于0",IF(AND($D332&lt;&gt;"收入",N($L332)&lt;=0),"支出金额须大于0",IF($O332="","借方科目缺失",IF($P332="","贷方科目缺失","√")))))))))))))</f>
        <v/>
      </c>
      <c r="N332" s="48" t="str">
        <f aca="false">IF($B332="","",IF($D332="收入",N($K332),N($L332)))</f>
        <v/>
      </c>
      <c r="O332" s="49" t="str">
        <f aca="false">IF($B332="","",IF($D332="收入",$T332,IF($D332="转账",$U332,$S332)))</f>
        <v/>
      </c>
      <c r="P332" s="49" t="str">
        <f aca="false">IF($B332="","",IF($D332="收入",$S332,$T332))</f>
        <v/>
      </c>
      <c r="Q332" s="50" t="str">
        <f aca="false">IF($E332="","",IF($D332="转账","—",IFERROR(INDEX(科目参数!$P$6:$P$85,MATCH($E332,科目参数!$M$6:$M$85,0)),"")))</f>
        <v/>
      </c>
      <c r="R332" s="48" t="str">
        <f aca="false">IF($B332="","",SUMIFS(期初数据!$B$6:$B$35,期初数据!$A$6:$A$35,$F332)+SUMIFS($N$5:$N332,$F$5:$F332,$F332,$D$5:$D332,"收入")-SUMIFS($N$5:$N332,$F$5:$F332,$F332,$D$5:$D332,"支出")-SUMIFS($N$5:$N332,$F$5:$F332,$F332,$D$5:$D332,"转账")+SUMIFS($N$5:$N332,$G$5:$G332,$F332,$D$5:$D332,"转账"))</f>
        <v/>
      </c>
      <c r="S332" s="49" t="str">
        <f aca="false">IF($E332="","",IFERROR(INDEX(科目参数!$N$6:$N$85,MATCH($E332,科目参数!$M$6:$M$85,0)),""))</f>
        <v/>
      </c>
      <c r="T332" s="49" t="str">
        <f aca="false">IF($F332="","",IFERROR(INDEX(基础资料!$C$6:$C$35,MATCH($F332,基础资料!$A$6:$A$35,0)),""))</f>
        <v/>
      </c>
      <c r="U332" s="49" t="str">
        <f aca="false">IF($G332="","",IFERROR(INDEX(基础资料!$C$6:$C$35,MATCH($G332,基础资料!$A$6:$A$35,0)),""))</f>
        <v/>
      </c>
      <c r="V332" s="49" t="str">
        <f aca="false">IF(AND($G332=客户对账单!$B$3,$E332="客户回款",$B332&gt;=客户对账单!$E$3,$B332&lt;=客户对账单!$H$3),COUNTIFS($G$5:$G332,客户对账单!$B$3,$E$5:$E332,"客户回款",$B$5:$B332,"&gt;="&amp;客户对账单!$E$3,$B$5:$B332,"&lt;="&amp;客户对账单!$H$3),"")</f>
        <v/>
      </c>
      <c r="W332" s="49" t="str">
        <f aca="false">IF(AND($G332=供应商对账单!$B$3,$E332="供应商付款",$B332&gt;=供应商对账单!$E$3,$B332&lt;=供应商对账单!$H$3),COUNTIFS($G$5:$G332,供应商对账单!$B$3,$E$5:$E332,"供应商付款",$B$5:$B332,"&gt;="&amp;供应商对账单!$E$3,$B$5:$B332,"&lt;="&amp;供应商对账单!$H$3),"")</f>
        <v/>
      </c>
    </row>
    <row r="333" customFormat="false" ht="15.75" hidden="false" customHeight="true" outlineLevel="0" collapsed="false">
      <c r="A333" s="42" t="str">
        <f aca="false">IF($B333="","","ZJ"&amp;TEXT($B333,"yyyymm")&amp;"-"&amp;TEXT(ROW()-4,"000"))</f>
        <v/>
      </c>
      <c r="B333" s="41"/>
      <c r="C333" s="42" t="str">
        <f aca="false">IF($B333="","",TEXT($B333,"yyyy-mm"))</f>
        <v/>
      </c>
      <c r="D333" s="42" t="str">
        <f aca="false">IF($E333="","",IFERROR(INDEX(科目参数!$L$6:$L$85,MATCH($E333,科目参数!$M$6:$M$85,0)),"⚠"))</f>
        <v/>
      </c>
      <c r="E333" s="33"/>
      <c r="F333" s="33"/>
      <c r="G333" s="36"/>
      <c r="H333" s="33"/>
      <c r="I333" s="33"/>
      <c r="J333" s="36"/>
      <c r="K333" s="40"/>
      <c r="L333" s="40"/>
      <c r="M333" s="47" t="str">
        <f aca="false">IF($B333="","",IF(NOT(ISNUMBER($B333)),"日期不是日期格式",IF(YEAR($B333)&lt;&gt;首页!$B$3,"不在会计年度",IF($E333="","未选收支科目",IF($D333="⚠","收支科目不存在",IF($F333="","未选账户",IF($T333="","账户未设资金科目",IF(AND($D333="转账",$U333=""),"转入账户无效",IF(AND(N($K333)&gt;0,N($L333)&gt;0),"收支不能同时填",IF(AND($D333="收入",N($K333)&lt;=0),"收入金额须大于0",IF(AND($D333&lt;&gt;"收入",N($L333)&lt;=0),"支出金额须大于0",IF($O333="","借方科目缺失",IF($P333="","贷方科目缺失","√")))))))))))))</f>
        <v/>
      </c>
      <c r="N333" s="48" t="str">
        <f aca="false">IF($B333="","",IF($D333="收入",N($K333),N($L333)))</f>
        <v/>
      </c>
      <c r="O333" s="49" t="str">
        <f aca="false">IF($B333="","",IF($D333="收入",$T333,IF($D333="转账",$U333,$S333)))</f>
        <v/>
      </c>
      <c r="P333" s="49" t="str">
        <f aca="false">IF($B333="","",IF($D333="收入",$S333,$T333))</f>
        <v/>
      </c>
      <c r="Q333" s="50" t="str">
        <f aca="false">IF($E333="","",IF($D333="转账","—",IFERROR(INDEX(科目参数!$P$6:$P$85,MATCH($E333,科目参数!$M$6:$M$85,0)),"")))</f>
        <v/>
      </c>
      <c r="R333" s="48" t="str">
        <f aca="false">IF($B333="","",SUMIFS(期初数据!$B$6:$B$35,期初数据!$A$6:$A$35,$F333)+SUMIFS($N$5:$N333,$F$5:$F333,$F333,$D$5:$D333,"收入")-SUMIFS($N$5:$N333,$F$5:$F333,$F333,$D$5:$D333,"支出")-SUMIFS($N$5:$N333,$F$5:$F333,$F333,$D$5:$D333,"转账")+SUMIFS($N$5:$N333,$G$5:$G333,$F333,$D$5:$D333,"转账"))</f>
        <v/>
      </c>
      <c r="S333" s="49" t="str">
        <f aca="false">IF($E333="","",IFERROR(INDEX(科目参数!$N$6:$N$85,MATCH($E333,科目参数!$M$6:$M$85,0)),""))</f>
        <v/>
      </c>
      <c r="T333" s="49" t="str">
        <f aca="false">IF($F333="","",IFERROR(INDEX(基础资料!$C$6:$C$35,MATCH($F333,基础资料!$A$6:$A$35,0)),""))</f>
        <v/>
      </c>
      <c r="U333" s="49" t="str">
        <f aca="false">IF($G333="","",IFERROR(INDEX(基础资料!$C$6:$C$35,MATCH($G333,基础资料!$A$6:$A$35,0)),""))</f>
        <v/>
      </c>
      <c r="V333" s="49" t="str">
        <f aca="false">IF(AND($G333=客户对账单!$B$3,$E333="客户回款",$B333&gt;=客户对账单!$E$3,$B333&lt;=客户对账单!$H$3),COUNTIFS($G$5:$G333,客户对账单!$B$3,$E$5:$E333,"客户回款",$B$5:$B333,"&gt;="&amp;客户对账单!$E$3,$B$5:$B333,"&lt;="&amp;客户对账单!$H$3),"")</f>
        <v/>
      </c>
      <c r="W333" s="49" t="str">
        <f aca="false">IF(AND($G333=供应商对账单!$B$3,$E333="供应商付款",$B333&gt;=供应商对账单!$E$3,$B333&lt;=供应商对账单!$H$3),COUNTIFS($G$5:$G333,供应商对账单!$B$3,$E$5:$E333,"供应商付款",$B$5:$B333,"&gt;="&amp;供应商对账单!$E$3,$B$5:$B333,"&lt;="&amp;供应商对账单!$H$3),"")</f>
        <v/>
      </c>
    </row>
    <row r="334" customFormat="false" ht="15.75" hidden="false" customHeight="true" outlineLevel="0" collapsed="false">
      <c r="A334" s="42" t="str">
        <f aca="false">IF($B334="","","ZJ"&amp;TEXT($B334,"yyyymm")&amp;"-"&amp;TEXT(ROW()-4,"000"))</f>
        <v/>
      </c>
      <c r="B334" s="41"/>
      <c r="C334" s="42" t="str">
        <f aca="false">IF($B334="","",TEXT($B334,"yyyy-mm"))</f>
        <v/>
      </c>
      <c r="D334" s="42" t="str">
        <f aca="false">IF($E334="","",IFERROR(INDEX(科目参数!$L$6:$L$85,MATCH($E334,科目参数!$M$6:$M$85,0)),"⚠"))</f>
        <v/>
      </c>
      <c r="E334" s="33"/>
      <c r="F334" s="33"/>
      <c r="G334" s="36"/>
      <c r="H334" s="33"/>
      <c r="I334" s="33"/>
      <c r="J334" s="36"/>
      <c r="K334" s="40"/>
      <c r="L334" s="40"/>
      <c r="M334" s="47" t="str">
        <f aca="false">IF($B334="","",IF(NOT(ISNUMBER($B334)),"日期不是日期格式",IF(YEAR($B334)&lt;&gt;首页!$B$3,"不在会计年度",IF($E334="","未选收支科目",IF($D334="⚠","收支科目不存在",IF($F334="","未选账户",IF($T334="","账户未设资金科目",IF(AND($D334="转账",$U334=""),"转入账户无效",IF(AND(N($K334)&gt;0,N($L334)&gt;0),"收支不能同时填",IF(AND($D334="收入",N($K334)&lt;=0),"收入金额须大于0",IF(AND($D334&lt;&gt;"收入",N($L334)&lt;=0),"支出金额须大于0",IF($O334="","借方科目缺失",IF($P334="","贷方科目缺失","√")))))))))))))</f>
        <v/>
      </c>
      <c r="N334" s="48" t="str">
        <f aca="false">IF($B334="","",IF($D334="收入",N($K334),N($L334)))</f>
        <v/>
      </c>
      <c r="O334" s="49" t="str">
        <f aca="false">IF($B334="","",IF($D334="收入",$T334,IF($D334="转账",$U334,$S334)))</f>
        <v/>
      </c>
      <c r="P334" s="49" t="str">
        <f aca="false">IF($B334="","",IF($D334="收入",$S334,$T334))</f>
        <v/>
      </c>
      <c r="Q334" s="50" t="str">
        <f aca="false">IF($E334="","",IF($D334="转账","—",IFERROR(INDEX(科目参数!$P$6:$P$85,MATCH($E334,科目参数!$M$6:$M$85,0)),"")))</f>
        <v/>
      </c>
      <c r="R334" s="48" t="str">
        <f aca="false">IF($B334="","",SUMIFS(期初数据!$B$6:$B$35,期初数据!$A$6:$A$35,$F334)+SUMIFS($N$5:$N334,$F$5:$F334,$F334,$D$5:$D334,"收入")-SUMIFS($N$5:$N334,$F$5:$F334,$F334,$D$5:$D334,"支出")-SUMIFS($N$5:$N334,$F$5:$F334,$F334,$D$5:$D334,"转账")+SUMIFS($N$5:$N334,$G$5:$G334,$F334,$D$5:$D334,"转账"))</f>
        <v/>
      </c>
      <c r="S334" s="49" t="str">
        <f aca="false">IF($E334="","",IFERROR(INDEX(科目参数!$N$6:$N$85,MATCH($E334,科目参数!$M$6:$M$85,0)),""))</f>
        <v/>
      </c>
      <c r="T334" s="49" t="str">
        <f aca="false">IF($F334="","",IFERROR(INDEX(基础资料!$C$6:$C$35,MATCH($F334,基础资料!$A$6:$A$35,0)),""))</f>
        <v/>
      </c>
      <c r="U334" s="49" t="str">
        <f aca="false">IF($G334="","",IFERROR(INDEX(基础资料!$C$6:$C$35,MATCH($G334,基础资料!$A$6:$A$35,0)),""))</f>
        <v/>
      </c>
      <c r="V334" s="49" t="str">
        <f aca="false">IF(AND($G334=客户对账单!$B$3,$E334="客户回款",$B334&gt;=客户对账单!$E$3,$B334&lt;=客户对账单!$H$3),COUNTIFS($G$5:$G334,客户对账单!$B$3,$E$5:$E334,"客户回款",$B$5:$B334,"&gt;="&amp;客户对账单!$E$3,$B$5:$B334,"&lt;="&amp;客户对账单!$H$3),"")</f>
        <v/>
      </c>
      <c r="W334" s="49" t="str">
        <f aca="false">IF(AND($G334=供应商对账单!$B$3,$E334="供应商付款",$B334&gt;=供应商对账单!$E$3,$B334&lt;=供应商对账单!$H$3),COUNTIFS($G$5:$G334,供应商对账单!$B$3,$E$5:$E334,"供应商付款",$B$5:$B334,"&gt;="&amp;供应商对账单!$E$3,$B$5:$B334,"&lt;="&amp;供应商对账单!$H$3),"")</f>
        <v/>
      </c>
    </row>
    <row r="335" customFormat="false" ht="15.75" hidden="false" customHeight="true" outlineLevel="0" collapsed="false">
      <c r="A335" s="42" t="str">
        <f aca="false">IF($B335="","","ZJ"&amp;TEXT($B335,"yyyymm")&amp;"-"&amp;TEXT(ROW()-4,"000"))</f>
        <v/>
      </c>
      <c r="B335" s="41"/>
      <c r="C335" s="42" t="str">
        <f aca="false">IF($B335="","",TEXT($B335,"yyyy-mm"))</f>
        <v/>
      </c>
      <c r="D335" s="42" t="str">
        <f aca="false">IF($E335="","",IFERROR(INDEX(科目参数!$L$6:$L$85,MATCH($E335,科目参数!$M$6:$M$85,0)),"⚠"))</f>
        <v/>
      </c>
      <c r="E335" s="33"/>
      <c r="F335" s="33"/>
      <c r="G335" s="36"/>
      <c r="H335" s="33"/>
      <c r="I335" s="33"/>
      <c r="J335" s="36"/>
      <c r="K335" s="40"/>
      <c r="L335" s="40"/>
      <c r="M335" s="47" t="str">
        <f aca="false">IF($B335="","",IF(NOT(ISNUMBER($B335)),"日期不是日期格式",IF(YEAR($B335)&lt;&gt;首页!$B$3,"不在会计年度",IF($E335="","未选收支科目",IF($D335="⚠","收支科目不存在",IF($F335="","未选账户",IF($T335="","账户未设资金科目",IF(AND($D335="转账",$U335=""),"转入账户无效",IF(AND(N($K335)&gt;0,N($L335)&gt;0),"收支不能同时填",IF(AND($D335="收入",N($K335)&lt;=0),"收入金额须大于0",IF(AND($D335&lt;&gt;"收入",N($L335)&lt;=0),"支出金额须大于0",IF($O335="","借方科目缺失",IF($P335="","贷方科目缺失","√")))))))))))))</f>
        <v/>
      </c>
      <c r="N335" s="48" t="str">
        <f aca="false">IF($B335="","",IF($D335="收入",N($K335),N($L335)))</f>
        <v/>
      </c>
      <c r="O335" s="49" t="str">
        <f aca="false">IF($B335="","",IF($D335="收入",$T335,IF($D335="转账",$U335,$S335)))</f>
        <v/>
      </c>
      <c r="P335" s="49" t="str">
        <f aca="false">IF($B335="","",IF($D335="收入",$S335,$T335))</f>
        <v/>
      </c>
      <c r="Q335" s="50" t="str">
        <f aca="false">IF($E335="","",IF($D335="转账","—",IFERROR(INDEX(科目参数!$P$6:$P$85,MATCH($E335,科目参数!$M$6:$M$85,0)),"")))</f>
        <v/>
      </c>
      <c r="R335" s="48" t="str">
        <f aca="false">IF($B335="","",SUMIFS(期初数据!$B$6:$B$35,期初数据!$A$6:$A$35,$F335)+SUMIFS($N$5:$N335,$F$5:$F335,$F335,$D$5:$D335,"收入")-SUMIFS($N$5:$N335,$F$5:$F335,$F335,$D$5:$D335,"支出")-SUMIFS($N$5:$N335,$F$5:$F335,$F335,$D$5:$D335,"转账")+SUMIFS($N$5:$N335,$G$5:$G335,$F335,$D$5:$D335,"转账"))</f>
        <v/>
      </c>
      <c r="S335" s="49" t="str">
        <f aca="false">IF($E335="","",IFERROR(INDEX(科目参数!$N$6:$N$85,MATCH($E335,科目参数!$M$6:$M$85,0)),""))</f>
        <v/>
      </c>
      <c r="T335" s="49" t="str">
        <f aca="false">IF($F335="","",IFERROR(INDEX(基础资料!$C$6:$C$35,MATCH($F335,基础资料!$A$6:$A$35,0)),""))</f>
        <v/>
      </c>
      <c r="U335" s="49" t="str">
        <f aca="false">IF($G335="","",IFERROR(INDEX(基础资料!$C$6:$C$35,MATCH($G335,基础资料!$A$6:$A$35,0)),""))</f>
        <v/>
      </c>
      <c r="V335" s="49" t="str">
        <f aca="false">IF(AND($G335=客户对账单!$B$3,$E335="客户回款",$B335&gt;=客户对账单!$E$3,$B335&lt;=客户对账单!$H$3),COUNTIFS($G$5:$G335,客户对账单!$B$3,$E$5:$E335,"客户回款",$B$5:$B335,"&gt;="&amp;客户对账单!$E$3,$B$5:$B335,"&lt;="&amp;客户对账单!$H$3),"")</f>
        <v/>
      </c>
      <c r="W335" s="49" t="str">
        <f aca="false">IF(AND($G335=供应商对账单!$B$3,$E335="供应商付款",$B335&gt;=供应商对账单!$E$3,$B335&lt;=供应商对账单!$H$3),COUNTIFS($G$5:$G335,供应商对账单!$B$3,$E$5:$E335,"供应商付款",$B$5:$B335,"&gt;="&amp;供应商对账单!$E$3,$B$5:$B335,"&lt;="&amp;供应商对账单!$H$3),"")</f>
        <v/>
      </c>
    </row>
    <row r="336" customFormat="false" ht="15.75" hidden="false" customHeight="true" outlineLevel="0" collapsed="false">
      <c r="A336" s="42" t="str">
        <f aca="false">IF($B336="","","ZJ"&amp;TEXT($B336,"yyyymm")&amp;"-"&amp;TEXT(ROW()-4,"000"))</f>
        <v/>
      </c>
      <c r="B336" s="41"/>
      <c r="C336" s="42" t="str">
        <f aca="false">IF($B336="","",TEXT($B336,"yyyy-mm"))</f>
        <v/>
      </c>
      <c r="D336" s="42" t="str">
        <f aca="false">IF($E336="","",IFERROR(INDEX(科目参数!$L$6:$L$85,MATCH($E336,科目参数!$M$6:$M$85,0)),"⚠"))</f>
        <v/>
      </c>
      <c r="E336" s="33"/>
      <c r="F336" s="33"/>
      <c r="G336" s="36"/>
      <c r="H336" s="33"/>
      <c r="I336" s="33"/>
      <c r="J336" s="36"/>
      <c r="K336" s="40"/>
      <c r="L336" s="40"/>
      <c r="M336" s="47" t="str">
        <f aca="false">IF($B336="","",IF(NOT(ISNUMBER($B336)),"日期不是日期格式",IF(YEAR($B336)&lt;&gt;首页!$B$3,"不在会计年度",IF($E336="","未选收支科目",IF($D336="⚠","收支科目不存在",IF($F336="","未选账户",IF($T336="","账户未设资金科目",IF(AND($D336="转账",$U336=""),"转入账户无效",IF(AND(N($K336)&gt;0,N($L336)&gt;0),"收支不能同时填",IF(AND($D336="收入",N($K336)&lt;=0),"收入金额须大于0",IF(AND($D336&lt;&gt;"收入",N($L336)&lt;=0),"支出金额须大于0",IF($O336="","借方科目缺失",IF($P336="","贷方科目缺失","√")))))))))))))</f>
        <v/>
      </c>
      <c r="N336" s="48" t="str">
        <f aca="false">IF($B336="","",IF($D336="收入",N($K336),N($L336)))</f>
        <v/>
      </c>
      <c r="O336" s="49" t="str">
        <f aca="false">IF($B336="","",IF($D336="收入",$T336,IF($D336="转账",$U336,$S336)))</f>
        <v/>
      </c>
      <c r="P336" s="49" t="str">
        <f aca="false">IF($B336="","",IF($D336="收入",$S336,$T336))</f>
        <v/>
      </c>
      <c r="Q336" s="50" t="str">
        <f aca="false">IF($E336="","",IF($D336="转账","—",IFERROR(INDEX(科目参数!$P$6:$P$85,MATCH($E336,科目参数!$M$6:$M$85,0)),"")))</f>
        <v/>
      </c>
      <c r="R336" s="48" t="str">
        <f aca="false">IF($B336="","",SUMIFS(期初数据!$B$6:$B$35,期初数据!$A$6:$A$35,$F336)+SUMIFS($N$5:$N336,$F$5:$F336,$F336,$D$5:$D336,"收入")-SUMIFS($N$5:$N336,$F$5:$F336,$F336,$D$5:$D336,"支出")-SUMIFS($N$5:$N336,$F$5:$F336,$F336,$D$5:$D336,"转账")+SUMIFS($N$5:$N336,$G$5:$G336,$F336,$D$5:$D336,"转账"))</f>
        <v/>
      </c>
      <c r="S336" s="49" t="str">
        <f aca="false">IF($E336="","",IFERROR(INDEX(科目参数!$N$6:$N$85,MATCH($E336,科目参数!$M$6:$M$85,0)),""))</f>
        <v/>
      </c>
      <c r="T336" s="49" t="str">
        <f aca="false">IF($F336="","",IFERROR(INDEX(基础资料!$C$6:$C$35,MATCH($F336,基础资料!$A$6:$A$35,0)),""))</f>
        <v/>
      </c>
      <c r="U336" s="49" t="str">
        <f aca="false">IF($G336="","",IFERROR(INDEX(基础资料!$C$6:$C$35,MATCH($G336,基础资料!$A$6:$A$35,0)),""))</f>
        <v/>
      </c>
      <c r="V336" s="49" t="str">
        <f aca="false">IF(AND($G336=客户对账单!$B$3,$E336="客户回款",$B336&gt;=客户对账单!$E$3,$B336&lt;=客户对账单!$H$3),COUNTIFS($G$5:$G336,客户对账单!$B$3,$E$5:$E336,"客户回款",$B$5:$B336,"&gt;="&amp;客户对账单!$E$3,$B$5:$B336,"&lt;="&amp;客户对账单!$H$3),"")</f>
        <v/>
      </c>
      <c r="W336" s="49" t="str">
        <f aca="false">IF(AND($G336=供应商对账单!$B$3,$E336="供应商付款",$B336&gt;=供应商对账单!$E$3,$B336&lt;=供应商对账单!$H$3),COUNTIFS($G$5:$G336,供应商对账单!$B$3,$E$5:$E336,"供应商付款",$B$5:$B336,"&gt;="&amp;供应商对账单!$E$3,$B$5:$B336,"&lt;="&amp;供应商对账单!$H$3),"")</f>
        <v/>
      </c>
    </row>
    <row r="337" customFormat="false" ht="15.75" hidden="false" customHeight="true" outlineLevel="0" collapsed="false">
      <c r="A337" s="42" t="str">
        <f aca="false">IF($B337="","","ZJ"&amp;TEXT($B337,"yyyymm")&amp;"-"&amp;TEXT(ROW()-4,"000"))</f>
        <v/>
      </c>
      <c r="B337" s="41"/>
      <c r="C337" s="42" t="str">
        <f aca="false">IF($B337="","",TEXT($B337,"yyyy-mm"))</f>
        <v/>
      </c>
      <c r="D337" s="42" t="str">
        <f aca="false">IF($E337="","",IFERROR(INDEX(科目参数!$L$6:$L$85,MATCH($E337,科目参数!$M$6:$M$85,0)),"⚠"))</f>
        <v/>
      </c>
      <c r="E337" s="33"/>
      <c r="F337" s="33"/>
      <c r="G337" s="36"/>
      <c r="H337" s="33"/>
      <c r="I337" s="33"/>
      <c r="J337" s="36"/>
      <c r="K337" s="40"/>
      <c r="L337" s="40"/>
      <c r="M337" s="47" t="str">
        <f aca="false">IF($B337="","",IF(NOT(ISNUMBER($B337)),"日期不是日期格式",IF(YEAR($B337)&lt;&gt;首页!$B$3,"不在会计年度",IF($E337="","未选收支科目",IF($D337="⚠","收支科目不存在",IF($F337="","未选账户",IF($T337="","账户未设资金科目",IF(AND($D337="转账",$U337=""),"转入账户无效",IF(AND(N($K337)&gt;0,N($L337)&gt;0),"收支不能同时填",IF(AND($D337="收入",N($K337)&lt;=0),"收入金额须大于0",IF(AND($D337&lt;&gt;"收入",N($L337)&lt;=0),"支出金额须大于0",IF($O337="","借方科目缺失",IF($P337="","贷方科目缺失","√")))))))))))))</f>
        <v/>
      </c>
      <c r="N337" s="48" t="str">
        <f aca="false">IF($B337="","",IF($D337="收入",N($K337),N($L337)))</f>
        <v/>
      </c>
      <c r="O337" s="49" t="str">
        <f aca="false">IF($B337="","",IF($D337="收入",$T337,IF($D337="转账",$U337,$S337)))</f>
        <v/>
      </c>
      <c r="P337" s="49" t="str">
        <f aca="false">IF($B337="","",IF($D337="收入",$S337,$T337))</f>
        <v/>
      </c>
      <c r="Q337" s="50" t="str">
        <f aca="false">IF($E337="","",IF($D337="转账","—",IFERROR(INDEX(科目参数!$P$6:$P$85,MATCH($E337,科目参数!$M$6:$M$85,0)),"")))</f>
        <v/>
      </c>
      <c r="R337" s="48" t="str">
        <f aca="false">IF($B337="","",SUMIFS(期初数据!$B$6:$B$35,期初数据!$A$6:$A$35,$F337)+SUMIFS($N$5:$N337,$F$5:$F337,$F337,$D$5:$D337,"收入")-SUMIFS($N$5:$N337,$F$5:$F337,$F337,$D$5:$D337,"支出")-SUMIFS($N$5:$N337,$F$5:$F337,$F337,$D$5:$D337,"转账")+SUMIFS($N$5:$N337,$G$5:$G337,$F337,$D$5:$D337,"转账"))</f>
        <v/>
      </c>
      <c r="S337" s="49" t="str">
        <f aca="false">IF($E337="","",IFERROR(INDEX(科目参数!$N$6:$N$85,MATCH($E337,科目参数!$M$6:$M$85,0)),""))</f>
        <v/>
      </c>
      <c r="T337" s="49" t="str">
        <f aca="false">IF($F337="","",IFERROR(INDEX(基础资料!$C$6:$C$35,MATCH($F337,基础资料!$A$6:$A$35,0)),""))</f>
        <v/>
      </c>
      <c r="U337" s="49" t="str">
        <f aca="false">IF($G337="","",IFERROR(INDEX(基础资料!$C$6:$C$35,MATCH($G337,基础资料!$A$6:$A$35,0)),""))</f>
        <v/>
      </c>
      <c r="V337" s="49" t="str">
        <f aca="false">IF(AND($G337=客户对账单!$B$3,$E337="客户回款",$B337&gt;=客户对账单!$E$3,$B337&lt;=客户对账单!$H$3),COUNTIFS($G$5:$G337,客户对账单!$B$3,$E$5:$E337,"客户回款",$B$5:$B337,"&gt;="&amp;客户对账单!$E$3,$B$5:$B337,"&lt;="&amp;客户对账单!$H$3),"")</f>
        <v/>
      </c>
      <c r="W337" s="49" t="str">
        <f aca="false">IF(AND($G337=供应商对账单!$B$3,$E337="供应商付款",$B337&gt;=供应商对账单!$E$3,$B337&lt;=供应商对账单!$H$3),COUNTIFS($G$5:$G337,供应商对账单!$B$3,$E$5:$E337,"供应商付款",$B$5:$B337,"&gt;="&amp;供应商对账单!$E$3,$B$5:$B337,"&lt;="&amp;供应商对账单!$H$3),"")</f>
        <v/>
      </c>
    </row>
    <row r="338" customFormat="false" ht="15.75" hidden="false" customHeight="true" outlineLevel="0" collapsed="false">
      <c r="A338" s="42" t="str">
        <f aca="false">IF($B338="","","ZJ"&amp;TEXT($B338,"yyyymm")&amp;"-"&amp;TEXT(ROW()-4,"000"))</f>
        <v/>
      </c>
      <c r="B338" s="41"/>
      <c r="C338" s="42" t="str">
        <f aca="false">IF($B338="","",TEXT($B338,"yyyy-mm"))</f>
        <v/>
      </c>
      <c r="D338" s="42" t="str">
        <f aca="false">IF($E338="","",IFERROR(INDEX(科目参数!$L$6:$L$85,MATCH($E338,科目参数!$M$6:$M$85,0)),"⚠"))</f>
        <v/>
      </c>
      <c r="E338" s="33"/>
      <c r="F338" s="33"/>
      <c r="G338" s="36"/>
      <c r="H338" s="33"/>
      <c r="I338" s="33"/>
      <c r="J338" s="36"/>
      <c r="K338" s="40"/>
      <c r="L338" s="40"/>
      <c r="M338" s="47" t="str">
        <f aca="false">IF($B338="","",IF(NOT(ISNUMBER($B338)),"日期不是日期格式",IF(YEAR($B338)&lt;&gt;首页!$B$3,"不在会计年度",IF($E338="","未选收支科目",IF($D338="⚠","收支科目不存在",IF($F338="","未选账户",IF($T338="","账户未设资金科目",IF(AND($D338="转账",$U338=""),"转入账户无效",IF(AND(N($K338)&gt;0,N($L338)&gt;0),"收支不能同时填",IF(AND($D338="收入",N($K338)&lt;=0),"收入金额须大于0",IF(AND($D338&lt;&gt;"收入",N($L338)&lt;=0),"支出金额须大于0",IF($O338="","借方科目缺失",IF($P338="","贷方科目缺失","√")))))))))))))</f>
        <v/>
      </c>
      <c r="N338" s="48" t="str">
        <f aca="false">IF($B338="","",IF($D338="收入",N($K338),N($L338)))</f>
        <v/>
      </c>
      <c r="O338" s="49" t="str">
        <f aca="false">IF($B338="","",IF($D338="收入",$T338,IF($D338="转账",$U338,$S338)))</f>
        <v/>
      </c>
      <c r="P338" s="49" t="str">
        <f aca="false">IF($B338="","",IF($D338="收入",$S338,$T338))</f>
        <v/>
      </c>
      <c r="Q338" s="50" t="str">
        <f aca="false">IF($E338="","",IF($D338="转账","—",IFERROR(INDEX(科目参数!$P$6:$P$85,MATCH($E338,科目参数!$M$6:$M$85,0)),"")))</f>
        <v/>
      </c>
      <c r="R338" s="48" t="str">
        <f aca="false">IF($B338="","",SUMIFS(期初数据!$B$6:$B$35,期初数据!$A$6:$A$35,$F338)+SUMIFS($N$5:$N338,$F$5:$F338,$F338,$D$5:$D338,"收入")-SUMIFS($N$5:$N338,$F$5:$F338,$F338,$D$5:$D338,"支出")-SUMIFS($N$5:$N338,$F$5:$F338,$F338,$D$5:$D338,"转账")+SUMIFS($N$5:$N338,$G$5:$G338,$F338,$D$5:$D338,"转账"))</f>
        <v/>
      </c>
      <c r="S338" s="49" t="str">
        <f aca="false">IF($E338="","",IFERROR(INDEX(科目参数!$N$6:$N$85,MATCH($E338,科目参数!$M$6:$M$85,0)),""))</f>
        <v/>
      </c>
      <c r="T338" s="49" t="str">
        <f aca="false">IF($F338="","",IFERROR(INDEX(基础资料!$C$6:$C$35,MATCH($F338,基础资料!$A$6:$A$35,0)),""))</f>
        <v/>
      </c>
      <c r="U338" s="49" t="str">
        <f aca="false">IF($G338="","",IFERROR(INDEX(基础资料!$C$6:$C$35,MATCH($G338,基础资料!$A$6:$A$35,0)),""))</f>
        <v/>
      </c>
      <c r="V338" s="49" t="str">
        <f aca="false">IF(AND($G338=客户对账单!$B$3,$E338="客户回款",$B338&gt;=客户对账单!$E$3,$B338&lt;=客户对账单!$H$3),COUNTIFS($G$5:$G338,客户对账单!$B$3,$E$5:$E338,"客户回款",$B$5:$B338,"&gt;="&amp;客户对账单!$E$3,$B$5:$B338,"&lt;="&amp;客户对账单!$H$3),"")</f>
        <v/>
      </c>
      <c r="W338" s="49" t="str">
        <f aca="false">IF(AND($G338=供应商对账单!$B$3,$E338="供应商付款",$B338&gt;=供应商对账单!$E$3,$B338&lt;=供应商对账单!$H$3),COUNTIFS($G$5:$G338,供应商对账单!$B$3,$E$5:$E338,"供应商付款",$B$5:$B338,"&gt;="&amp;供应商对账单!$E$3,$B$5:$B338,"&lt;="&amp;供应商对账单!$H$3),"")</f>
        <v/>
      </c>
    </row>
    <row r="339" customFormat="false" ht="15.75" hidden="false" customHeight="true" outlineLevel="0" collapsed="false">
      <c r="A339" s="42" t="str">
        <f aca="false">IF($B339="","","ZJ"&amp;TEXT($B339,"yyyymm")&amp;"-"&amp;TEXT(ROW()-4,"000"))</f>
        <v/>
      </c>
      <c r="B339" s="41"/>
      <c r="C339" s="42" t="str">
        <f aca="false">IF($B339="","",TEXT($B339,"yyyy-mm"))</f>
        <v/>
      </c>
      <c r="D339" s="42" t="str">
        <f aca="false">IF($E339="","",IFERROR(INDEX(科目参数!$L$6:$L$85,MATCH($E339,科目参数!$M$6:$M$85,0)),"⚠"))</f>
        <v/>
      </c>
      <c r="E339" s="33"/>
      <c r="F339" s="33"/>
      <c r="G339" s="36"/>
      <c r="H339" s="33"/>
      <c r="I339" s="33"/>
      <c r="J339" s="36"/>
      <c r="K339" s="40"/>
      <c r="L339" s="40"/>
      <c r="M339" s="47" t="str">
        <f aca="false">IF($B339="","",IF(NOT(ISNUMBER($B339)),"日期不是日期格式",IF(YEAR($B339)&lt;&gt;首页!$B$3,"不在会计年度",IF($E339="","未选收支科目",IF($D339="⚠","收支科目不存在",IF($F339="","未选账户",IF($T339="","账户未设资金科目",IF(AND($D339="转账",$U339=""),"转入账户无效",IF(AND(N($K339)&gt;0,N($L339)&gt;0),"收支不能同时填",IF(AND($D339="收入",N($K339)&lt;=0),"收入金额须大于0",IF(AND($D339&lt;&gt;"收入",N($L339)&lt;=0),"支出金额须大于0",IF($O339="","借方科目缺失",IF($P339="","贷方科目缺失","√")))))))))))))</f>
        <v/>
      </c>
      <c r="N339" s="48" t="str">
        <f aca="false">IF($B339="","",IF($D339="收入",N($K339),N($L339)))</f>
        <v/>
      </c>
      <c r="O339" s="49" t="str">
        <f aca="false">IF($B339="","",IF($D339="收入",$T339,IF($D339="转账",$U339,$S339)))</f>
        <v/>
      </c>
      <c r="P339" s="49" t="str">
        <f aca="false">IF($B339="","",IF($D339="收入",$S339,$T339))</f>
        <v/>
      </c>
      <c r="Q339" s="50" t="str">
        <f aca="false">IF($E339="","",IF($D339="转账","—",IFERROR(INDEX(科目参数!$P$6:$P$85,MATCH($E339,科目参数!$M$6:$M$85,0)),"")))</f>
        <v/>
      </c>
      <c r="R339" s="48" t="str">
        <f aca="false">IF($B339="","",SUMIFS(期初数据!$B$6:$B$35,期初数据!$A$6:$A$35,$F339)+SUMIFS($N$5:$N339,$F$5:$F339,$F339,$D$5:$D339,"收入")-SUMIFS($N$5:$N339,$F$5:$F339,$F339,$D$5:$D339,"支出")-SUMIFS($N$5:$N339,$F$5:$F339,$F339,$D$5:$D339,"转账")+SUMIFS($N$5:$N339,$G$5:$G339,$F339,$D$5:$D339,"转账"))</f>
        <v/>
      </c>
      <c r="S339" s="49" t="str">
        <f aca="false">IF($E339="","",IFERROR(INDEX(科目参数!$N$6:$N$85,MATCH($E339,科目参数!$M$6:$M$85,0)),""))</f>
        <v/>
      </c>
      <c r="T339" s="49" t="str">
        <f aca="false">IF($F339="","",IFERROR(INDEX(基础资料!$C$6:$C$35,MATCH($F339,基础资料!$A$6:$A$35,0)),""))</f>
        <v/>
      </c>
      <c r="U339" s="49" t="str">
        <f aca="false">IF($G339="","",IFERROR(INDEX(基础资料!$C$6:$C$35,MATCH($G339,基础资料!$A$6:$A$35,0)),""))</f>
        <v/>
      </c>
      <c r="V339" s="49" t="str">
        <f aca="false">IF(AND($G339=客户对账单!$B$3,$E339="客户回款",$B339&gt;=客户对账单!$E$3,$B339&lt;=客户对账单!$H$3),COUNTIFS($G$5:$G339,客户对账单!$B$3,$E$5:$E339,"客户回款",$B$5:$B339,"&gt;="&amp;客户对账单!$E$3,$B$5:$B339,"&lt;="&amp;客户对账单!$H$3),"")</f>
        <v/>
      </c>
      <c r="W339" s="49" t="str">
        <f aca="false">IF(AND($G339=供应商对账单!$B$3,$E339="供应商付款",$B339&gt;=供应商对账单!$E$3,$B339&lt;=供应商对账单!$H$3),COUNTIFS($G$5:$G339,供应商对账单!$B$3,$E$5:$E339,"供应商付款",$B$5:$B339,"&gt;="&amp;供应商对账单!$E$3,$B$5:$B339,"&lt;="&amp;供应商对账单!$H$3),"")</f>
        <v/>
      </c>
    </row>
    <row r="340" customFormat="false" ht="15.75" hidden="false" customHeight="true" outlineLevel="0" collapsed="false">
      <c r="A340" s="42" t="str">
        <f aca="false">IF($B340="","","ZJ"&amp;TEXT($B340,"yyyymm")&amp;"-"&amp;TEXT(ROW()-4,"000"))</f>
        <v/>
      </c>
      <c r="B340" s="41"/>
      <c r="C340" s="42" t="str">
        <f aca="false">IF($B340="","",TEXT($B340,"yyyy-mm"))</f>
        <v/>
      </c>
      <c r="D340" s="42" t="str">
        <f aca="false">IF($E340="","",IFERROR(INDEX(科目参数!$L$6:$L$85,MATCH($E340,科目参数!$M$6:$M$85,0)),"⚠"))</f>
        <v/>
      </c>
      <c r="E340" s="33"/>
      <c r="F340" s="33"/>
      <c r="G340" s="36"/>
      <c r="H340" s="33"/>
      <c r="I340" s="33"/>
      <c r="J340" s="36"/>
      <c r="K340" s="40"/>
      <c r="L340" s="40"/>
      <c r="M340" s="47" t="str">
        <f aca="false">IF($B340="","",IF(NOT(ISNUMBER($B340)),"日期不是日期格式",IF(YEAR($B340)&lt;&gt;首页!$B$3,"不在会计年度",IF($E340="","未选收支科目",IF($D340="⚠","收支科目不存在",IF($F340="","未选账户",IF($T340="","账户未设资金科目",IF(AND($D340="转账",$U340=""),"转入账户无效",IF(AND(N($K340)&gt;0,N($L340)&gt;0),"收支不能同时填",IF(AND($D340="收入",N($K340)&lt;=0),"收入金额须大于0",IF(AND($D340&lt;&gt;"收入",N($L340)&lt;=0),"支出金额须大于0",IF($O340="","借方科目缺失",IF($P340="","贷方科目缺失","√")))))))))))))</f>
        <v/>
      </c>
      <c r="N340" s="48" t="str">
        <f aca="false">IF($B340="","",IF($D340="收入",N($K340),N($L340)))</f>
        <v/>
      </c>
      <c r="O340" s="49" t="str">
        <f aca="false">IF($B340="","",IF($D340="收入",$T340,IF($D340="转账",$U340,$S340)))</f>
        <v/>
      </c>
      <c r="P340" s="49" t="str">
        <f aca="false">IF($B340="","",IF($D340="收入",$S340,$T340))</f>
        <v/>
      </c>
      <c r="Q340" s="50" t="str">
        <f aca="false">IF($E340="","",IF($D340="转账","—",IFERROR(INDEX(科目参数!$P$6:$P$85,MATCH($E340,科目参数!$M$6:$M$85,0)),"")))</f>
        <v/>
      </c>
      <c r="R340" s="48" t="str">
        <f aca="false">IF($B340="","",SUMIFS(期初数据!$B$6:$B$35,期初数据!$A$6:$A$35,$F340)+SUMIFS($N$5:$N340,$F$5:$F340,$F340,$D$5:$D340,"收入")-SUMIFS($N$5:$N340,$F$5:$F340,$F340,$D$5:$D340,"支出")-SUMIFS($N$5:$N340,$F$5:$F340,$F340,$D$5:$D340,"转账")+SUMIFS($N$5:$N340,$G$5:$G340,$F340,$D$5:$D340,"转账"))</f>
        <v/>
      </c>
      <c r="S340" s="49" t="str">
        <f aca="false">IF($E340="","",IFERROR(INDEX(科目参数!$N$6:$N$85,MATCH($E340,科目参数!$M$6:$M$85,0)),""))</f>
        <v/>
      </c>
      <c r="T340" s="49" t="str">
        <f aca="false">IF($F340="","",IFERROR(INDEX(基础资料!$C$6:$C$35,MATCH($F340,基础资料!$A$6:$A$35,0)),""))</f>
        <v/>
      </c>
      <c r="U340" s="49" t="str">
        <f aca="false">IF($G340="","",IFERROR(INDEX(基础资料!$C$6:$C$35,MATCH($G340,基础资料!$A$6:$A$35,0)),""))</f>
        <v/>
      </c>
      <c r="V340" s="49" t="str">
        <f aca="false">IF(AND($G340=客户对账单!$B$3,$E340="客户回款",$B340&gt;=客户对账单!$E$3,$B340&lt;=客户对账单!$H$3),COUNTIFS($G$5:$G340,客户对账单!$B$3,$E$5:$E340,"客户回款",$B$5:$B340,"&gt;="&amp;客户对账单!$E$3,$B$5:$B340,"&lt;="&amp;客户对账单!$H$3),"")</f>
        <v/>
      </c>
      <c r="W340" s="49" t="str">
        <f aca="false">IF(AND($G340=供应商对账单!$B$3,$E340="供应商付款",$B340&gt;=供应商对账单!$E$3,$B340&lt;=供应商对账单!$H$3),COUNTIFS($G$5:$G340,供应商对账单!$B$3,$E$5:$E340,"供应商付款",$B$5:$B340,"&gt;="&amp;供应商对账单!$E$3,$B$5:$B340,"&lt;="&amp;供应商对账单!$H$3),"")</f>
        <v/>
      </c>
    </row>
    <row r="341" customFormat="false" ht="15.75" hidden="false" customHeight="true" outlineLevel="0" collapsed="false">
      <c r="A341" s="42" t="str">
        <f aca="false">IF($B341="","","ZJ"&amp;TEXT($B341,"yyyymm")&amp;"-"&amp;TEXT(ROW()-4,"000"))</f>
        <v/>
      </c>
      <c r="B341" s="41"/>
      <c r="C341" s="42" t="str">
        <f aca="false">IF($B341="","",TEXT($B341,"yyyy-mm"))</f>
        <v/>
      </c>
      <c r="D341" s="42" t="str">
        <f aca="false">IF($E341="","",IFERROR(INDEX(科目参数!$L$6:$L$85,MATCH($E341,科目参数!$M$6:$M$85,0)),"⚠"))</f>
        <v/>
      </c>
      <c r="E341" s="33"/>
      <c r="F341" s="33"/>
      <c r="G341" s="36"/>
      <c r="H341" s="33"/>
      <c r="I341" s="33"/>
      <c r="J341" s="36"/>
      <c r="K341" s="40"/>
      <c r="L341" s="40"/>
      <c r="M341" s="47" t="str">
        <f aca="false">IF($B341="","",IF(NOT(ISNUMBER($B341)),"日期不是日期格式",IF(YEAR($B341)&lt;&gt;首页!$B$3,"不在会计年度",IF($E341="","未选收支科目",IF($D341="⚠","收支科目不存在",IF($F341="","未选账户",IF($T341="","账户未设资金科目",IF(AND($D341="转账",$U341=""),"转入账户无效",IF(AND(N($K341)&gt;0,N($L341)&gt;0),"收支不能同时填",IF(AND($D341="收入",N($K341)&lt;=0),"收入金额须大于0",IF(AND($D341&lt;&gt;"收入",N($L341)&lt;=0),"支出金额须大于0",IF($O341="","借方科目缺失",IF($P341="","贷方科目缺失","√")))))))))))))</f>
        <v/>
      </c>
      <c r="N341" s="48" t="str">
        <f aca="false">IF($B341="","",IF($D341="收入",N($K341),N($L341)))</f>
        <v/>
      </c>
      <c r="O341" s="49" t="str">
        <f aca="false">IF($B341="","",IF($D341="收入",$T341,IF($D341="转账",$U341,$S341)))</f>
        <v/>
      </c>
      <c r="P341" s="49" t="str">
        <f aca="false">IF($B341="","",IF($D341="收入",$S341,$T341))</f>
        <v/>
      </c>
      <c r="Q341" s="50" t="str">
        <f aca="false">IF($E341="","",IF($D341="转账","—",IFERROR(INDEX(科目参数!$P$6:$P$85,MATCH($E341,科目参数!$M$6:$M$85,0)),"")))</f>
        <v/>
      </c>
      <c r="R341" s="48" t="str">
        <f aca="false">IF($B341="","",SUMIFS(期初数据!$B$6:$B$35,期初数据!$A$6:$A$35,$F341)+SUMIFS($N$5:$N341,$F$5:$F341,$F341,$D$5:$D341,"收入")-SUMIFS($N$5:$N341,$F$5:$F341,$F341,$D$5:$D341,"支出")-SUMIFS($N$5:$N341,$F$5:$F341,$F341,$D$5:$D341,"转账")+SUMIFS($N$5:$N341,$G$5:$G341,$F341,$D$5:$D341,"转账"))</f>
        <v/>
      </c>
      <c r="S341" s="49" t="str">
        <f aca="false">IF($E341="","",IFERROR(INDEX(科目参数!$N$6:$N$85,MATCH($E341,科目参数!$M$6:$M$85,0)),""))</f>
        <v/>
      </c>
      <c r="T341" s="49" t="str">
        <f aca="false">IF($F341="","",IFERROR(INDEX(基础资料!$C$6:$C$35,MATCH($F341,基础资料!$A$6:$A$35,0)),""))</f>
        <v/>
      </c>
      <c r="U341" s="49" t="str">
        <f aca="false">IF($G341="","",IFERROR(INDEX(基础资料!$C$6:$C$35,MATCH($G341,基础资料!$A$6:$A$35,0)),""))</f>
        <v/>
      </c>
      <c r="V341" s="49" t="str">
        <f aca="false">IF(AND($G341=客户对账单!$B$3,$E341="客户回款",$B341&gt;=客户对账单!$E$3,$B341&lt;=客户对账单!$H$3),COUNTIFS($G$5:$G341,客户对账单!$B$3,$E$5:$E341,"客户回款",$B$5:$B341,"&gt;="&amp;客户对账单!$E$3,$B$5:$B341,"&lt;="&amp;客户对账单!$H$3),"")</f>
        <v/>
      </c>
      <c r="W341" s="49" t="str">
        <f aca="false">IF(AND($G341=供应商对账单!$B$3,$E341="供应商付款",$B341&gt;=供应商对账单!$E$3,$B341&lt;=供应商对账单!$H$3),COUNTIFS($G$5:$G341,供应商对账单!$B$3,$E$5:$E341,"供应商付款",$B$5:$B341,"&gt;="&amp;供应商对账单!$E$3,$B$5:$B341,"&lt;="&amp;供应商对账单!$H$3),"")</f>
        <v/>
      </c>
    </row>
    <row r="342" customFormat="false" ht="15.75" hidden="false" customHeight="true" outlineLevel="0" collapsed="false">
      <c r="A342" s="42" t="str">
        <f aca="false">IF($B342="","","ZJ"&amp;TEXT($B342,"yyyymm")&amp;"-"&amp;TEXT(ROW()-4,"000"))</f>
        <v/>
      </c>
      <c r="B342" s="41"/>
      <c r="C342" s="42" t="str">
        <f aca="false">IF($B342="","",TEXT($B342,"yyyy-mm"))</f>
        <v/>
      </c>
      <c r="D342" s="42" t="str">
        <f aca="false">IF($E342="","",IFERROR(INDEX(科目参数!$L$6:$L$85,MATCH($E342,科目参数!$M$6:$M$85,0)),"⚠"))</f>
        <v/>
      </c>
      <c r="E342" s="33"/>
      <c r="F342" s="33"/>
      <c r="G342" s="36"/>
      <c r="H342" s="33"/>
      <c r="I342" s="33"/>
      <c r="J342" s="36"/>
      <c r="K342" s="40"/>
      <c r="L342" s="40"/>
      <c r="M342" s="47" t="str">
        <f aca="false">IF($B342="","",IF(NOT(ISNUMBER($B342)),"日期不是日期格式",IF(YEAR($B342)&lt;&gt;首页!$B$3,"不在会计年度",IF($E342="","未选收支科目",IF($D342="⚠","收支科目不存在",IF($F342="","未选账户",IF($T342="","账户未设资金科目",IF(AND($D342="转账",$U342=""),"转入账户无效",IF(AND(N($K342)&gt;0,N($L342)&gt;0),"收支不能同时填",IF(AND($D342="收入",N($K342)&lt;=0),"收入金额须大于0",IF(AND($D342&lt;&gt;"收入",N($L342)&lt;=0),"支出金额须大于0",IF($O342="","借方科目缺失",IF($P342="","贷方科目缺失","√")))))))))))))</f>
        <v/>
      </c>
      <c r="N342" s="48" t="str">
        <f aca="false">IF($B342="","",IF($D342="收入",N($K342),N($L342)))</f>
        <v/>
      </c>
      <c r="O342" s="49" t="str">
        <f aca="false">IF($B342="","",IF($D342="收入",$T342,IF($D342="转账",$U342,$S342)))</f>
        <v/>
      </c>
      <c r="P342" s="49" t="str">
        <f aca="false">IF($B342="","",IF($D342="收入",$S342,$T342))</f>
        <v/>
      </c>
      <c r="Q342" s="50" t="str">
        <f aca="false">IF($E342="","",IF($D342="转账","—",IFERROR(INDEX(科目参数!$P$6:$P$85,MATCH($E342,科目参数!$M$6:$M$85,0)),"")))</f>
        <v/>
      </c>
      <c r="R342" s="48" t="str">
        <f aca="false">IF($B342="","",SUMIFS(期初数据!$B$6:$B$35,期初数据!$A$6:$A$35,$F342)+SUMIFS($N$5:$N342,$F$5:$F342,$F342,$D$5:$D342,"收入")-SUMIFS($N$5:$N342,$F$5:$F342,$F342,$D$5:$D342,"支出")-SUMIFS($N$5:$N342,$F$5:$F342,$F342,$D$5:$D342,"转账")+SUMIFS($N$5:$N342,$G$5:$G342,$F342,$D$5:$D342,"转账"))</f>
        <v/>
      </c>
      <c r="S342" s="49" t="str">
        <f aca="false">IF($E342="","",IFERROR(INDEX(科目参数!$N$6:$N$85,MATCH($E342,科目参数!$M$6:$M$85,0)),""))</f>
        <v/>
      </c>
      <c r="T342" s="49" t="str">
        <f aca="false">IF($F342="","",IFERROR(INDEX(基础资料!$C$6:$C$35,MATCH($F342,基础资料!$A$6:$A$35,0)),""))</f>
        <v/>
      </c>
      <c r="U342" s="49" t="str">
        <f aca="false">IF($G342="","",IFERROR(INDEX(基础资料!$C$6:$C$35,MATCH($G342,基础资料!$A$6:$A$35,0)),""))</f>
        <v/>
      </c>
      <c r="V342" s="49" t="str">
        <f aca="false">IF(AND($G342=客户对账单!$B$3,$E342="客户回款",$B342&gt;=客户对账单!$E$3,$B342&lt;=客户对账单!$H$3),COUNTIFS($G$5:$G342,客户对账单!$B$3,$E$5:$E342,"客户回款",$B$5:$B342,"&gt;="&amp;客户对账单!$E$3,$B$5:$B342,"&lt;="&amp;客户对账单!$H$3),"")</f>
        <v/>
      </c>
      <c r="W342" s="49" t="str">
        <f aca="false">IF(AND($G342=供应商对账单!$B$3,$E342="供应商付款",$B342&gt;=供应商对账单!$E$3,$B342&lt;=供应商对账单!$H$3),COUNTIFS($G$5:$G342,供应商对账单!$B$3,$E$5:$E342,"供应商付款",$B$5:$B342,"&gt;="&amp;供应商对账单!$E$3,$B$5:$B342,"&lt;="&amp;供应商对账单!$H$3),"")</f>
        <v/>
      </c>
    </row>
    <row r="343" customFormat="false" ht="15.75" hidden="false" customHeight="true" outlineLevel="0" collapsed="false">
      <c r="A343" s="42" t="str">
        <f aca="false">IF($B343="","","ZJ"&amp;TEXT($B343,"yyyymm")&amp;"-"&amp;TEXT(ROW()-4,"000"))</f>
        <v/>
      </c>
      <c r="B343" s="41"/>
      <c r="C343" s="42" t="str">
        <f aca="false">IF($B343="","",TEXT($B343,"yyyy-mm"))</f>
        <v/>
      </c>
      <c r="D343" s="42" t="str">
        <f aca="false">IF($E343="","",IFERROR(INDEX(科目参数!$L$6:$L$85,MATCH($E343,科目参数!$M$6:$M$85,0)),"⚠"))</f>
        <v/>
      </c>
      <c r="E343" s="33"/>
      <c r="F343" s="33"/>
      <c r="G343" s="36"/>
      <c r="H343" s="33"/>
      <c r="I343" s="33"/>
      <c r="J343" s="36"/>
      <c r="K343" s="40"/>
      <c r="L343" s="40"/>
      <c r="M343" s="47" t="str">
        <f aca="false">IF($B343="","",IF(NOT(ISNUMBER($B343)),"日期不是日期格式",IF(YEAR($B343)&lt;&gt;首页!$B$3,"不在会计年度",IF($E343="","未选收支科目",IF($D343="⚠","收支科目不存在",IF($F343="","未选账户",IF($T343="","账户未设资金科目",IF(AND($D343="转账",$U343=""),"转入账户无效",IF(AND(N($K343)&gt;0,N($L343)&gt;0),"收支不能同时填",IF(AND($D343="收入",N($K343)&lt;=0),"收入金额须大于0",IF(AND($D343&lt;&gt;"收入",N($L343)&lt;=0),"支出金额须大于0",IF($O343="","借方科目缺失",IF($P343="","贷方科目缺失","√")))))))))))))</f>
        <v/>
      </c>
      <c r="N343" s="48" t="str">
        <f aca="false">IF($B343="","",IF($D343="收入",N($K343),N($L343)))</f>
        <v/>
      </c>
      <c r="O343" s="49" t="str">
        <f aca="false">IF($B343="","",IF($D343="收入",$T343,IF($D343="转账",$U343,$S343)))</f>
        <v/>
      </c>
      <c r="P343" s="49" t="str">
        <f aca="false">IF($B343="","",IF($D343="收入",$S343,$T343))</f>
        <v/>
      </c>
      <c r="Q343" s="50" t="str">
        <f aca="false">IF($E343="","",IF($D343="转账","—",IFERROR(INDEX(科目参数!$P$6:$P$85,MATCH($E343,科目参数!$M$6:$M$85,0)),"")))</f>
        <v/>
      </c>
      <c r="R343" s="48" t="str">
        <f aca="false">IF($B343="","",SUMIFS(期初数据!$B$6:$B$35,期初数据!$A$6:$A$35,$F343)+SUMIFS($N$5:$N343,$F$5:$F343,$F343,$D$5:$D343,"收入")-SUMIFS($N$5:$N343,$F$5:$F343,$F343,$D$5:$D343,"支出")-SUMIFS($N$5:$N343,$F$5:$F343,$F343,$D$5:$D343,"转账")+SUMIFS($N$5:$N343,$G$5:$G343,$F343,$D$5:$D343,"转账"))</f>
        <v/>
      </c>
      <c r="S343" s="49" t="str">
        <f aca="false">IF($E343="","",IFERROR(INDEX(科目参数!$N$6:$N$85,MATCH($E343,科目参数!$M$6:$M$85,0)),""))</f>
        <v/>
      </c>
      <c r="T343" s="49" t="str">
        <f aca="false">IF($F343="","",IFERROR(INDEX(基础资料!$C$6:$C$35,MATCH($F343,基础资料!$A$6:$A$35,0)),""))</f>
        <v/>
      </c>
      <c r="U343" s="49" t="str">
        <f aca="false">IF($G343="","",IFERROR(INDEX(基础资料!$C$6:$C$35,MATCH($G343,基础资料!$A$6:$A$35,0)),""))</f>
        <v/>
      </c>
      <c r="V343" s="49" t="str">
        <f aca="false">IF(AND($G343=客户对账单!$B$3,$E343="客户回款",$B343&gt;=客户对账单!$E$3,$B343&lt;=客户对账单!$H$3),COUNTIFS($G$5:$G343,客户对账单!$B$3,$E$5:$E343,"客户回款",$B$5:$B343,"&gt;="&amp;客户对账单!$E$3,$B$5:$B343,"&lt;="&amp;客户对账单!$H$3),"")</f>
        <v/>
      </c>
      <c r="W343" s="49" t="str">
        <f aca="false">IF(AND($G343=供应商对账单!$B$3,$E343="供应商付款",$B343&gt;=供应商对账单!$E$3,$B343&lt;=供应商对账单!$H$3),COUNTIFS($G$5:$G343,供应商对账单!$B$3,$E$5:$E343,"供应商付款",$B$5:$B343,"&gt;="&amp;供应商对账单!$E$3,$B$5:$B343,"&lt;="&amp;供应商对账单!$H$3),"")</f>
        <v/>
      </c>
    </row>
    <row r="344" customFormat="false" ht="15.75" hidden="false" customHeight="true" outlineLevel="0" collapsed="false">
      <c r="A344" s="42" t="str">
        <f aca="false">IF($B344="","","ZJ"&amp;TEXT($B344,"yyyymm")&amp;"-"&amp;TEXT(ROW()-4,"000"))</f>
        <v/>
      </c>
      <c r="B344" s="41"/>
      <c r="C344" s="42" t="str">
        <f aca="false">IF($B344="","",TEXT($B344,"yyyy-mm"))</f>
        <v/>
      </c>
      <c r="D344" s="42" t="str">
        <f aca="false">IF($E344="","",IFERROR(INDEX(科目参数!$L$6:$L$85,MATCH($E344,科目参数!$M$6:$M$85,0)),"⚠"))</f>
        <v/>
      </c>
      <c r="E344" s="33"/>
      <c r="F344" s="33"/>
      <c r="G344" s="36"/>
      <c r="H344" s="33"/>
      <c r="I344" s="33"/>
      <c r="J344" s="36"/>
      <c r="K344" s="40"/>
      <c r="L344" s="40"/>
      <c r="M344" s="47" t="str">
        <f aca="false">IF($B344="","",IF(NOT(ISNUMBER($B344)),"日期不是日期格式",IF(YEAR($B344)&lt;&gt;首页!$B$3,"不在会计年度",IF($E344="","未选收支科目",IF($D344="⚠","收支科目不存在",IF($F344="","未选账户",IF($T344="","账户未设资金科目",IF(AND($D344="转账",$U344=""),"转入账户无效",IF(AND(N($K344)&gt;0,N($L344)&gt;0),"收支不能同时填",IF(AND($D344="收入",N($K344)&lt;=0),"收入金额须大于0",IF(AND($D344&lt;&gt;"收入",N($L344)&lt;=0),"支出金额须大于0",IF($O344="","借方科目缺失",IF($P344="","贷方科目缺失","√")))))))))))))</f>
        <v/>
      </c>
      <c r="N344" s="48" t="str">
        <f aca="false">IF($B344="","",IF($D344="收入",N($K344),N($L344)))</f>
        <v/>
      </c>
      <c r="O344" s="49" t="str">
        <f aca="false">IF($B344="","",IF($D344="收入",$T344,IF($D344="转账",$U344,$S344)))</f>
        <v/>
      </c>
      <c r="P344" s="49" t="str">
        <f aca="false">IF($B344="","",IF($D344="收入",$S344,$T344))</f>
        <v/>
      </c>
      <c r="Q344" s="50" t="str">
        <f aca="false">IF($E344="","",IF($D344="转账","—",IFERROR(INDEX(科目参数!$P$6:$P$85,MATCH($E344,科目参数!$M$6:$M$85,0)),"")))</f>
        <v/>
      </c>
      <c r="R344" s="48" t="str">
        <f aca="false">IF($B344="","",SUMIFS(期初数据!$B$6:$B$35,期初数据!$A$6:$A$35,$F344)+SUMIFS($N$5:$N344,$F$5:$F344,$F344,$D$5:$D344,"收入")-SUMIFS($N$5:$N344,$F$5:$F344,$F344,$D$5:$D344,"支出")-SUMIFS($N$5:$N344,$F$5:$F344,$F344,$D$5:$D344,"转账")+SUMIFS($N$5:$N344,$G$5:$G344,$F344,$D$5:$D344,"转账"))</f>
        <v/>
      </c>
      <c r="S344" s="49" t="str">
        <f aca="false">IF($E344="","",IFERROR(INDEX(科目参数!$N$6:$N$85,MATCH($E344,科目参数!$M$6:$M$85,0)),""))</f>
        <v/>
      </c>
      <c r="T344" s="49" t="str">
        <f aca="false">IF($F344="","",IFERROR(INDEX(基础资料!$C$6:$C$35,MATCH($F344,基础资料!$A$6:$A$35,0)),""))</f>
        <v/>
      </c>
      <c r="U344" s="49" t="str">
        <f aca="false">IF($G344="","",IFERROR(INDEX(基础资料!$C$6:$C$35,MATCH($G344,基础资料!$A$6:$A$35,0)),""))</f>
        <v/>
      </c>
      <c r="V344" s="49" t="str">
        <f aca="false">IF(AND($G344=客户对账单!$B$3,$E344="客户回款",$B344&gt;=客户对账单!$E$3,$B344&lt;=客户对账单!$H$3),COUNTIFS($G$5:$G344,客户对账单!$B$3,$E$5:$E344,"客户回款",$B$5:$B344,"&gt;="&amp;客户对账单!$E$3,$B$5:$B344,"&lt;="&amp;客户对账单!$H$3),"")</f>
        <v/>
      </c>
      <c r="W344" s="49" t="str">
        <f aca="false">IF(AND($G344=供应商对账单!$B$3,$E344="供应商付款",$B344&gt;=供应商对账单!$E$3,$B344&lt;=供应商对账单!$H$3),COUNTIFS($G$5:$G344,供应商对账单!$B$3,$E$5:$E344,"供应商付款",$B$5:$B344,"&gt;="&amp;供应商对账单!$E$3,$B$5:$B344,"&lt;="&amp;供应商对账单!$H$3),"")</f>
        <v/>
      </c>
    </row>
    <row r="345" customFormat="false" ht="15.75" hidden="false" customHeight="true" outlineLevel="0" collapsed="false">
      <c r="A345" s="42" t="str">
        <f aca="false">IF($B345="","","ZJ"&amp;TEXT($B345,"yyyymm")&amp;"-"&amp;TEXT(ROW()-4,"000"))</f>
        <v/>
      </c>
      <c r="B345" s="41"/>
      <c r="C345" s="42" t="str">
        <f aca="false">IF($B345="","",TEXT($B345,"yyyy-mm"))</f>
        <v/>
      </c>
      <c r="D345" s="42" t="str">
        <f aca="false">IF($E345="","",IFERROR(INDEX(科目参数!$L$6:$L$85,MATCH($E345,科目参数!$M$6:$M$85,0)),"⚠"))</f>
        <v/>
      </c>
      <c r="E345" s="33"/>
      <c r="F345" s="33"/>
      <c r="G345" s="36"/>
      <c r="H345" s="33"/>
      <c r="I345" s="33"/>
      <c r="J345" s="36"/>
      <c r="K345" s="40"/>
      <c r="L345" s="40"/>
      <c r="M345" s="47" t="str">
        <f aca="false">IF($B345="","",IF(NOT(ISNUMBER($B345)),"日期不是日期格式",IF(YEAR($B345)&lt;&gt;首页!$B$3,"不在会计年度",IF($E345="","未选收支科目",IF($D345="⚠","收支科目不存在",IF($F345="","未选账户",IF($T345="","账户未设资金科目",IF(AND($D345="转账",$U345=""),"转入账户无效",IF(AND(N($K345)&gt;0,N($L345)&gt;0),"收支不能同时填",IF(AND($D345="收入",N($K345)&lt;=0),"收入金额须大于0",IF(AND($D345&lt;&gt;"收入",N($L345)&lt;=0),"支出金额须大于0",IF($O345="","借方科目缺失",IF($P345="","贷方科目缺失","√")))))))))))))</f>
        <v/>
      </c>
      <c r="N345" s="48" t="str">
        <f aca="false">IF($B345="","",IF($D345="收入",N($K345),N($L345)))</f>
        <v/>
      </c>
      <c r="O345" s="49" t="str">
        <f aca="false">IF($B345="","",IF($D345="收入",$T345,IF($D345="转账",$U345,$S345)))</f>
        <v/>
      </c>
      <c r="P345" s="49" t="str">
        <f aca="false">IF($B345="","",IF($D345="收入",$S345,$T345))</f>
        <v/>
      </c>
      <c r="Q345" s="50" t="str">
        <f aca="false">IF($E345="","",IF($D345="转账","—",IFERROR(INDEX(科目参数!$P$6:$P$85,MATCH($E345,科目参数!$M$6:$M$85,0)),"")))</f>
        <v/>
      </c>
      <c r="R345" s="48" t="str">
        <f aca="false">IF($B345="","",SUMIFS(期初数据!$B$6:$B$35,期初数据!$A$6:$A$35,$F345)+SUMIFS($N$5:$N345,$F$5:$F345,$F345,$D$5:$D345,"收入")-SUMIFS($N$5:$N345,$F$5:$F345,$F345,$D$5:$D345,"支出")-SUMIFS($N$5:$N345,$F$5:$F345,$F345,$D$5:$D345,"转账")+SUMIFS($N$5:$N345,$G$5:$G345,$F345,$D$5:$D345,"转账"))</f>
        <v/>
      </c>
      <c r="S345" s="49" t="str">
        <f aca="false">IF($E345="","",IFERROR(INDEX(科目参数!$N$6:$N$85,MATCH($E345,科目参数!$M$6:$M$85,0)),""))</f>
        <v/>
      </c>
      <c r="T345" s="49" t="str">
        <f aca="false">IF($F345="","",IFERROR(INDEX(基础资料!$C$6:$C$35,MATCH($F345,基础资料!$A$6:$A$35,0)),""))</f>
        <v/>
      </c>
      <c r="U345" s="49" t="str">
        <f aca="false">IF($G345="","",IFERROR(INDEX(基础资料!$C$6:$C$35,MATCH($G345,基础资料!$A$6:$A$35,0)),""))</f>
        <v/>
      </c>
      <c r="V345" s="49" t="str">
        <f aca="false">IF(AND($G345=客户对账单!$B$3,$E345="客户回款",$B345&gt;=客户对账单!$E$3,$B345&lt;=客户对账单!$H$3),COUNTIFS($G$5:$G345,客户对账单!$B$3,$E$5:$E345,"客户回款",$B$5:$B345,"&gt;="&amp;客户对账单!$E$3,$B$5:$B345,"&lt;="&amp;客户对账单!$H$3),"")</f>
        <v/>
      </c>
      <c r="W345" s="49" t="str">
        <f aca="false">IF(AND($G345=供应商对账单!$B$3,$E345="供应商付款",$B345&gt;=供应商对账单!$E$3,$B345&lt;=供应商对账单!$H$3),COUNTIFS($G$5:$G345,供应商对账单!$B$3,$E$5:$E345,"供应商付款",$B$5:$B345,"&gt;="&amp;供应商对账单!$E$3,$B$5:$B345,"&lt;="&amp;供应商对账单!$H$3),"")</f>
        <v/>
      </c>
    </row>
    <row r="346" customFormat="false" ht="15.75" hidden="false" customHeight="true" outlineLevel="0" collapsed="false">
      <c r="A346" s="42" t="str">
        <f aca="false">IF($B346="","","ZJ"&amp;TEXT($B346,"yyyymm")&amp;"-"&amp;TEXT(ROW()-4,"000"))</f>
        <v/>
      </c>
      <c r="B346" s="41"/>
      <c r="C346" s="42" t="str">
        <f aca="false">IF($B346="","",TEXT($B346,"yyyy-mm"))</f>
        <v/>
      </c>
      <c r="D346" s="42" t="str">
        <f aca="false">IF($E346="","",IFERROR(INDEX(科目参数!$L$6:$L$85,MATCH($E346,科目参数!$M$6:$M$85,0)),"⚠"))</f>
        <v/>
      </c>
      <c r="E346" s="33"/>
      <c r="F346" s="33"/>
      <c r="G346" s="36"/>
      <c r="H346" s="33"/>
      <c r="I346" s="33"/>
      <c r="J346" s="36"/>
      <c r="K346" s="40"/>
      <c r="L346" s="40"/>
      <c r="M346" s="47" t="str">
        <f aca="false">IF($B346="","",IF(NOT(ISNUMBER($B346)),"日期不是日期格式",IF(YEAR($B346)&lt;&gt;首页!$B$3,"不在会计年度",IF($E346="","未选收支科目",IF($D346="⚠","收支科目不存在",IF($F346="","未选账户",IF($T346="","账户未设资金科目",IF(AND($D346="转账",$U346=""),"转入账户无效",IF(AND(N($K346)&gt;0,N($L346)&gt;0),"收支不能同时填",IF(AND($D346="收入",N($K346)&lt;=0),"收入金额须大于0",IF(AND($D346&lt;&gt;"收入",N($L346)&lt;=0),"支出金额须大于0",IF($O346="","借方科目缺失",IF($P346="","贷方科目缺失","√")))))))))))))</f>
        <v/>
      </c>
      <c r="N346" s="48" t="str">
        <f aca="false">IF($B346="","",IF($D346="收入",N($K346),N($L346)))</f>
        <v/>
      </c>
      <c r="O346" s="49" t="str">
        <f aca="false">IF($B346="","",IF($D346="收入",$T346,IF($D346="转账",$U346,$S346)))</f>
        <v/>
      </c>
      <c r="P346" s="49" t="str">
        <f aca="false">IF($B346="","",IF($D346="收入",$S346,$T346))</f>
        <v/>
      </c>
      <c r="Q346" s="50" t="str">
        <f aca="false">IF($E346="","",IF($D346="转账","—",IFERROR(INDEX(科目参数!$P$6:$P$85,MATCH($E346,科目参数!$M$6:$M$85,0)),"")))</f>
        <v/>
      </c>
      <c r="R346" s="48" t="str">
        <f aca="false">IF($B346="","",SUMIFS(期初数据!$B$6:$B$35,期初数据!$A$6:$A$35,$F346)+SUMIFS($N$5:$N346,$F$5:$F346,$F346,$D$5:$D346,"收入")-SUMIFS($N$5:$N346,$F$5:$F346,$F346,$D$5:$D346,"支出")-SUMIFS($N$5:$N346,$F$5:$F346,$F346,$D$5:$D346,"转账")+SUMIFS($N$5:$N346,$G$5:$G346,$F346,$D$5:$D346,"转账"))</f>
        <v/>
      </c>
      <c r="S346" s="49" t="str">
        <f aca="false">IF($E346="","",IFERROR(INDEX(科目参数!$N$6:$N$85,MATCH($E346,科目参数!$M$6:$M$85,0)),""))</f>
        <v/>
      </c>
      <c r="T346" s="49" t="str">
        <f aca="false">IF($F346="","",IFERROR(INDEX(基础资料!$C$6:$C$35,MATCH($F346,基础资料!$A$6:$A$35,0)),""))</f>
        <v/>
      </c>
      <c r="U346" s="49" t="str">
        <f aca="false">IF($G346="","",IFERROR(INDEX(基础资料!$C$6:$C$35,MATCH($G346,基础资料!$A$6:$A$35,0)),""))</f>
        <v/>
      </c>
      <c r="V346" s="49" t="str">
        <f aca="false">IF(AND($G346=客户对账单!$B$3,$E346="客户回款",$B346&gt;=客户对账单!$E$3,$B346&lt;=客户对账单!$H$3),COUNTIFS($G$5:$G346,客户对账单!$B$3,$E$5:$E346,"客户回款",$B$5:$B346,"&gt;="&amp;客户对账单!$E$3,$B$5:$B346,"&lt;="&amp;客户对账单!$H$3),"")</f>
        <v/>
      </c>
      <c r="W346" s="49" t="str">
        <f aca="false">IF(AND($G346=供应商对账单!$B$3,$E346="供应商付款",$B346&gt;=供应商对账单!$E$3,$B346&lt;=供应商对账单!$H$3),COUNTIFS($G$5:$G346,供应商对账单!$B$3,$E$5:$E346,"供应商付款",$B$5:$B346,"&gt;="&amp;供应商对账单!$E$3,$B$5:$B346,"&lt;="&amp;供应商对账单!$H$3),"")</f>
        <v/>
      </c>
    </row>
    <row r="347" customFormat="false" ht="15.75" hidden="false" customHeight="true" outlineLevel="0" collapsed="false">
      <c r="A347" s="42" t="str">
        <f aca="false">IF($B347="","","ZJ"&amp;TEXT($B347,"yyyymm")&amp;"-"&amp;TEXT(ROW()-4,"000"))</f>
        <v/>
      </c>
      <c r="B347" s="41"/>
      <c r="C347" s="42" t="str">
        <f aca="false">IF($B347="","",TEXT($B347,"yyyy-mm"))</f>
        <v/>
      </c>
      <c r="D347" s="42" t="str">
        <f aca="false">IF($E347="","",IFERROR(INDEX(科目参数!$L$6:$L$85,MATCH($E347,科目参数!$M$6:$M$85,0)),"⚠"))</f>
        <v/>
      </c>
      <c r="E347" s="33"/>
      <c r="F347" s="33"/>
      <c r="G347" s="36"/>
      <c r="H347" s="33"/>
      <c r="I347" s="33"/>
      <c r="J347" s="36"/>
      <c r="K347" s="40"/>
      <c r="L347" s="40"/>
      <c r="M347" s="47" t="str">
        <f aca="false">IF($B347="","",IF(NOT(ISNUMBER($B347)),"日期不是日期格式",IF(YEAR($B347)&lt;&gt;首页!$B$3,"不在会计年度",IF($E347="","未选收支科目",IF($D347="⚠","收支科目不存在",IF($F347="","未选账户",IF($T347="","账户未设资金科目",IF(AND($D347="转账",$U347=""),"转入账户无效",IF(AND(N($K347)&gt;0,N($L347)&gt;0),"收支不能同时填",IF(AND($D347="收入",N($K347)&lt;=0),"收入金额须大于0",IF(AND($D347&lt;&gt;"收入",N($L347)&lt;=0),"支出金额须大于0",IF($O347="","借方科目缺失",IF($P347="","贷方科目缺失","√")))))))))))))</f>
        <v/>
      </c>
      <c r="N347" s="48" t="str">
        <f aca="false">IF($B347="","",IF($D347="收入",N($K347),N($L347)))</f>
        <v/>
      </c>
      <c r="O347" s="49" t="str">
        <f aca="false">IF($B347="","",IF($D347="收入",$T347,IF($D347="转账",$U347,$S347)))</f>
        <v/>
      </c>
      <c r="P347" s="49" t="str">
        <f aca="false">IF($B347="","",IF($D347="收入",$S347,$T347))</f>
        <v/>
      </c>
      <c r="Q347" s="50" t="str">
        <f aca="false">IF($E347="","",IF($D347="转账","—",IFERROR(INDEX(科目参数!$P$6:$P$85,MATCH($E347,科目参数!$M$6:$M$85,0)),"")))</f>
        <v/>
      </c>
      <c r="R347" s="48" t="str">
        <f aca="false">IF($B347="","",SUMIFS(期初数据!$B$6:$B$35,期初数据!$A$6:$A$35,$F347)+SUMIFS($N$5:$N347,$F$5:$F347,$F347,$D$5:$D347,"收入")-SUMIFS($N$5:$N347,$F$5:$F347,$F347,$D$5:$D347,"支出")-SUMIFS($N$5:$N347,$F$5:$F347,$F347,$D$5:$D347,"转账")+SUMIFS($N$5:$N347,$G$5:$G347,$F347,$D$5:$D347,"转账"))</f>
        <v/>
      </c>
      <c r="S347" s="49" t="str">
        <f aca="false">IF($E347="","",IFERROR(INDEX(科目参数!$N$6:$N$85,MATCH($E347,科目参数!$M$6:$M$85,0)),""))</f>
        <v/>
      </c>
      <c r="T347" s="49" t="str">
        <f aca="false">IF($F347="","",IFERROR(INDEX(基础资料!$C$6:$C$35,MATCH($F347,基础资料!$A$6:$A$35,0)),""))</f>
        <v/>
      </c>
      <c r="U347" s="49" t="str">
        <f aca="false">IF($G347="","",IFERROR(INDEX(基础资料!$C$6:$C$35,MATCH($G347,基础资料!$A$6:$A$35,0)),""))</f>
        <v/>
      </c>
      <c r="V347" s="49" t="str">
        <f aca="false">IF(AND($G347=客户对账单!$B$3,$E347="客户回款",$B347&gt;=客户对账单!$E$3,$B347&lt;=客户对账单!$H$3),COUNTIFS($G$5:$G347,客户对账单!$B$3,$E$5:$E347,"客户回款",$B$5:$B347,"&gt;="&amp;客户对账单!$E$3,$B$5:$B347,"&lt;="&amp;客户对账单!$H$3),"")</f>
        <v/>
      </c>
      <c r="W347" s="49" t="str">
        <f aca="false">IF(AND($G347=供应商对账单!$B$3,$E347="供应商付款",$B347&gt;=供应商对账单!$E$3,$B347&lt;=供应商对账单!$H$3),COUNTIFS($G$5:$G347,供应商对账单!$B$3,$E$5:$E347,"供应商付款",$B$5:$B347,"&gt;="&amp;供应商对账单!$E$3,$B$5:$B347,"&lt;="&amp;供应商对账单!$H$3),"")</f>
        <v/>
      </c>
    </row>
    <row r="348" customFormat="false" ht="15.75" hidden="false" customHeight="true" outlineLevel="0" collapsed="false">
      <c r="A348" s="42" t="str">
        <f aca="false">IF($B348="","","ZJ"&amp;TEXT($B348,"yyyymm")&amp;"-"&amp;TEXT(ROW()-4,"000"))</f>
        <v/>
      </c>
      <c r="B348" s="41"/>
      <c r="C348" s="42" t="str">
        <f aca="false">IF($B348="","",TEXT($B348,"yyyy-mm"))</f>
        <v/>
      </c>
      <c r="D348" s="42" t="str">
        <f aca="false">IF($E348="","",IFERROR(INDEX(科目参数!$L$6:$L$85,MATCH($E348,科目参数!$M$6:$M$85,0)),"⚠"))</f>
        <v/>
      </c>
      <c r="E348" s="33"/>
      <c r="F348" s="33"/>
      <c r="G348" s="36"/>
      <c r="H348" s="33"/>
      <c r="I348" s="33"/>
      <c r="J348" s="36"/>
      <c r="K348" s="40"/>
      <c r="L348" s="40"/>
      <c r="M348" s="47" t="str">
        <f aca="false">IF($B348="","",IF(NOT(ISNUMBER($B348)),"日期不是日期格式",IF(YEAR($B348)&lt;&gt;首页!$B$3,"不在会计年度",IF($E348="","未选收支科目",IF($D348="⚠","收支科目不存在",IF($F348="","未选账户",IF($T348="","账户未设资金科目",IF(AND($D348="转账",$U348=""),"转入账户无效",IF(AND(N($K348)&gt;0,N($L348)&gt;0),"收支不能同时填",IF(AND($D348="收入",N($K348)&lt;=0),"收入金额须大于0",IF(AND($D348&lt;&gt;"收入",N($L348)&lt;=0),"支出金额须大于0",IF($O348="","借方科目缺失",IF($P348="","贷方科目缺失","√")))))))))))))</f>
        <v/>
      </c>
      <c r="N348" s="48" t="str">
        <f aca="false">IF($B348="","",IF($D348="收入",N($K348),N($L348)))</f>
        <v/>
      </c>
      <c r="O348" s="49" t="str">
        <f aca="false">IF($B348="","",IF($D348="收入",$T348,IF($D348="转账",$U348,$S348)))</f>
        <v/>
      </c>
      <c r="P348" s="49" t="str">
        <f aca="false">IF($B348="","",IF($D348="收入",$S348,$T348))</f>
        <v/>
      </c>
      <c r="Q348" s="50" t="str">
        <f aca="false">IF($E348="","",IF($D348="转账","—",IFERROR(INDEX(科目参数!$P$6:$P$85,MATCH($E348,科目参数!$M$6:$M$85,0)),"")))</f>
        <v/>
      </c>
      <c r="R348" s="48" t="str">
        <f aca="false">IF($B348="","",SUMIFS(期初数据!$B$6:$B$35,期初数据!$A$6:$A$35,$F348)+SUMIFS($N$5:$N348,$F$5:$F348,$F348,$D$5:$D348,"收入")-SUMIFS($N$5:$N348,$F$5:$F348,$F348,$D$5:$D348,"支出")-SUMIFS($N$5:$N348,$F$5:$F348,$F348,$D$5:$D348,"转账")+SUMIFS($N$5:$N348,$G$5:$G348,$F348,$D$5:$D348,"转账"))</f>
        <v/>
      </c>
      <c r="S348" s="49" t="str">
        <f aca="false">IF($E348="","",IFERROR(INDEX(科目参数!$N$6:$N$85,MATCH($E348,科目参数!$M$6:$M$85,0)),""))</f>
        <v/>
      </c>
      <c r="T348" s="49" t="str">
        <f aca="false">IF($F348="","",IFERROR(INDEX(基础资料!$C$6:$C$35,MATCH($F348,基础资料!$A$6:$A$35,0)),""))</f>
        <v/>
      </c>
      <c r="U348" s="49" t="str">
        <f aca="false">IF($G348="","",IFERROR(INDEX(基础资料!$C$6:$C$35,MATCH($G348,基础资料!$A$6:$A$35,0)),""))</f>
        <v/>
      </c>
      <c r="V348" s="49" t="str">
        <f aca="false">IF(AND($G348=客户对账单!$B$3,$E348="客户回款",$B348&gt;=客户对账单!$E$3,$B348&lt;=客户对账单!$H$3),COUNTIFS($G$5:$G348,客户对账单!$B$3,$E$5:$E348,"客户回款",$B$5:$B348,"&gt;="&amp;客户对账单!$E$3,$B$5:$B348,"&lt;="&amp;客户对账单!$H$3),"")</f>
        <v/>
      </c>
      <c r="W348" s="49" t="str">
        <f aca="false">IF(AND($G348=供应商对账单!$B$3,$E348="供应商付款",$B348&gt;=供应商对账单!$E$3,$B348&lt;=供应商对账单!$H$3),COUNTIFS($G$5:$G348,供应商对账单!$B$3,$E$5:$E348,"供应商付款",$B$5:$B348,"&gt;="&amp;供应商对账单!$E$3,$B$5:$B348,"&lt;="&amp;供应商对账单!$H$3),"")</f>
        <v/>
      </c>
    </row>
    <row r="349" customFormat="false" ht="15.75" hidden="false" customHeight="true" outlineLevel="0" collapsed="false">
      <c r="A349" s="42" t="str">
        <f aca="false">IF($B349="","","ZJ"&amp;TEXT($B349,"yyyymm")&amp;"-"&amp;TEXT(ROW()-4,"000"))</f>
        <v/>
      </c>
      <c r="B349" s="41"/>
      <c r="C349" s="42" t="str">
        <f aca="false">IF($B349="","",TEXT($B349,"yyyy-mm"))</f>
        <v/>
      </c>
      <c r="D349" s="42" t="str">
        <f aca="false">IF($E349="","",IFERROR(INDEX(科目参数!$L$6:$L$85,MATCH($E349,科目参数!$M$6:$M$85,0)),"⚠"))</f>
        <v/>
      </c>
      <c r="E349" s="33"/>
      <c r="F349" s="33"/>
      <c r="G349" s="36"/>
      <c r="H349" s="33"/>
      <c r="I349" s="33"/>
      <c r="J349" s="36"/>
      <c r="K349" s="40"/>
      <c r="L349" s="40"/>
      <c r="M349" s="47" t="str">
        <f aca="false">IF($B349="","",IF(NOT(ISNUMBER($B349)),"日期不是日期格式",IF(YEAR($B349)&lt;&gt;首页!$B$3,"不在会计年度",IF($E349="","未选收支科目",IF($D349="⚠","收支科目不存在",IF($F349="","未选账户",IF($T349="","账户未设资金科目",IF(AND($D349="转账",$U349=""),"转入账户无效",IF(AND(N($K349)&gt;0,N($L349)&gt;0),"收支不能同时填",IF(AND($D349="收入",N($K349)&lt;=0),"收入金额须大于0",IF(AND($D349&lt;&gt;"收入",N($L349)&lt;=0),"支出金额须大于0",IF($O349="","借方科目缺失",IF($P349="","贷方科目缺失","√")))))))))))))</f>
        <v/>
      </c>
      <c r="N349" s="48" t="str">
        <f aca="false">IF($B349="","",IF($D349="收入",N($K349),N($L349)))</f>
        <v/>
      </c>
      <c r="O349" s="49" t="str">
        <f aca="false">IF($B349="","",IF($D349="收入",$T349,IF($D349="转账",$U349,$S349)))</f>
        <v/>
      </c>
      <c r="P349" s="49" t="str">
        <f aca="false">IF($B349="","",IF($D349="收入",$S349,$T349))</f>
        <v/>
      </c>
      <c r="Q349" s="50" t="str">
        <f aca="false">IF($E349="","",IF($D349="转账","—",IFERROR(INDEX(科目参数!$P$6:$P$85,MATCH($E349,科目参数!$M$6:$M$85,0)),"")))</f>
        <v/>
      </c>
      <c r="R349" s="48" t="str">
        <f aca="false">IF($B349="","",SUMIFS(期初数据!$B$6:$B$35,期初数据!$A$6:$A$35,$F349)+SUMIFS($N$5:$N349,$F$5:$F349,$F349,$D$5:$D349,"收入")-SUMIFS($N$5:$N349,$F$5:$F349,$F349,$D$5:$D349,"支出")-SUMIFS($N$5:$N349,$F$5:$F349,$F349,$D$5:$D349,"转账")+SUMIFS($N$5:$N349,$G$5:$G349,$F349,$D$5:$D349,"转账"))</f>
        <v/>
      </c>
      <c r="S349" s="49" t="str">
        <f aca="false">IF($E349="","",IFERROR(INDEX(科目参数!$N$6:$N$85,MATCH($E349,科目参数!$M$6:$M$85,0)),""))</f>
        <v/>
      </c>
      <c r="T349" s="49" t="str">
        <f aca="false">IF($F349="","",IFERROR(INDEX(基础资料!$C$6:$C$35,MATCH($F349,基础资料!$A$6:$A$35,0)),""))</f>
        <v/>
      </c>
      <c r="U349" s="49" t="str">
        <f aca="false">IF($G349="","",IFERROR(INDEX(基础资料!$C$6:$C$35,MATCH($G349,基础资料!$A$6:$A$35,0)),""))</f>
        <v/>
      </c>
      <c r="V349" s="49" t="str">
        <f aca="false">IF(AND($G349=客户对账单!$B$3,$E349="客户回款",$B349&gt;=客户对账单!$E$3,$B349&lt;=客户对账单!$H$3),COUNTIFS($G$5:$G349,客户对账单!$B$3,$E$5:$E349,"客户回款",$B$5:$B349,"&gt;="&amp;客户对账单!$E$3,$B$5:$B349,"&lt;="&amp;客户对账单!$H$3),"")</f>
        <v/>
      </c>
      <c r="W349" s="49" t="str">
        <f aca="false">IF(AND($G349=供应商对账单!$B$3,$E349="供应商付款",$B349&gt;=供应商对账单!$E$3,$B349&lt;=供应商对账单!$H$3),COUNTIFS($G$5:$G349,供应商对账单!$B$3,$E$5:$E349,"供应商付款",$B$5:$B349,"&gt;="&amp;供应商对账单!$E$3,$B$5:$B349,"&lt;="&amp;供应商对账单!$H$3),"")</f>
        <v/>
      </c>
    </row>
    <row r="350" customFormat="false" ht="15.75" hidden="false" customHeight="true" outlineLevel="0" collapsed="false">
      <c r="A350" s="42" t="str">
        <f aca="false">IF($B350="","","ZJ"&amp;TEXT($B350,"yyyymm")&amp;"-"&amp;TEXT(ROW()-4,"000"))</f>
        <v/>
      </c>
      <c r="B350" s="41"/>
      <c r="C350" s="42" t="str">
        <f aca="false">IF($B350="","",TEXT($B350,"yyyy-mm"))</f>
        <v/>
      </c>
      <c r="D350" s="42" t="str">
        <f aca="false">IF($E350="","",IFERROR(INDEX(科目参数!$L$6:$L$85,MATCH($E350,科目参数!$M$6:$M$85,0)),"⚠"))</f>
        <v/>
      </c>
      <c r="E350" s="33"/>
      <c r="F350" s="33"/>
      <c r="G350" s="36"/>
      <c r="H350" s="33"/>
      <c r="I350" s="33"/>
      <c r="J350" s="36"/>
      <c r="K350" s="40"/>
      <c r="L350" s="40"/>
      <c r="M350" s="47" t="str">
        <f aca="false">IF($B350="","",IF(NOT(ISNUMBER($B350)),"日期不是日期格式",IF(YEAR($B350)&lt;&gt;首页!$B$3,"不在会计年度",IF($E350="","未选收支科目",IF($D350="⚠","收支科目不存在",IF($F350="","未选账户",IF($T350="","账户未设资金科目",IF(AND($D350="转账",$U350=""),"转入账户无效",IF(AND(N($K350)&gt;0,N($L350)&gt;0),"收支不能同时填",IF(AND($D350="收入",N($K350)&lt;=0),"收入金额须大于0",IF(AND($D350&lt;&gt;"收入",N($L350)&lt;=0),"支出金额须大于0",IF($O350="","借方科目缺失",IF($P350="","贷方科目缺失","√")))))))))))))</f>
        <v/>
      </c>
      <c r="N350" s="48" t="str">
        <f aca="false">IF($B350="","",IF($D350="收入",N($K350),N($L350)))</f>
        <v/>
      </c>
      <c r="O350" s="49" t="str">
        <f aca="false">IF($B350="","",IF($D350="收入",$T350,IF($D350="转账",$U350,$S350)))</f>
        <v/>
      </c>
      <c r="P350" s="49" t="str">
        <f aca="false">IF($B350="","",IF($D350="收入",$S350,$T350))</f>
        <v/>
      </c>
      <c r="Q350" s="50" t="str">
        <f aca="false">IF($E350="","",IF($D350="转账","—",IFERROR(INDEX(科目参数!$P$6:$P$85,MATCH($E350,科目参数!$M$6:$M$85,0)),"")))</f>
        <v/>
      </c>
      <c r="R350" s="48" t="str">
        <f aca="false">IF($B350="","",SUMIFS(期初数据!$B$6:$B$35,期初数据!$A$6:$A$35,$F350)+SUMIFS($N$5:$N350,$F$5:$F350,$F350,$D$5:$D350,"收入")-SUMIFS($N$5:$N350,$F$5:$F350,$F350,$D$5:$D350,"支出")-SUMIFS($N$5:$N350,$F$5:$F350,$F350,$D$5:$D350,"转账")+SUMIFS($N$5:$N350,$G$5:$G350,$F350,$D$5:$D350,"转账"))</f>
        <v/>
      </c>
      <c r="S350" s="49" t="str">
        <f aca="false">IF($E350="","",IFERROR(INDEX(科目参数!$N$6:$N$85,MATCH($E350,科目参数!$M$6:$M$85,0)),""))</f>
        <v/>
      </c>
      <c r="T350" s="49" t="str">
        <f aca="false">IF($F350="","",IFERROR(INDEX(基础资料!$C$6:$C$35,MATCH($F350,基础资料!$A$6:$A$35,0)),""))</f>
        <v/>
      </c>
      <c r="U350" s="49" t="str">
        <f aca="false">IF($G350="","",IFERROR(INDEX(基础资料!$C$6:$C$35,MATCH($G350,基础资料!$A$6:$A$35,0)),""))</f>
        <v/>
      </c>
      <c r="V350" s="49" t="str">
        <f aca="false">IF(AND($G350=客户对账单!$B$3,$E350="客户回款",$B350&gt;=客户对账单!$E$3,$B350&lt;=客户对账单!$H$3),COUNTIFS($G$5:$G350,客户对账单!$B$3,$E$5:$E350,"客户回款",$B$5:$B350,"&gt;="&amp;客户对账单!$E$3,$B$5:$B350,"&lt;="&amp;客户对账单!$H$3),"")</f>
        <v/>
      </c>
      <c r="W350" s="49" t="str">
        <f aca="false">IF(AND($G350=供应商对账单!$B$3,$E350="供应商付款",$B350&gt;=供应商对账单!$E$3,$B350&lt;=供应商对账单!$H$3),COUNTIFS($G$5:$G350,供应商对账单!$B$3,$E$5:$E350,"供应商付款",$B$5:$B350,"&gt;="&amp;供应商对账单!$E$3,$B$5:$B350,"&lt;="&amp;供应商对账单!$H$3),"")</f>
        <v/>
      </c>
    </row>
    <row r="351" customFormat="false" ht="15.75" hidden="false" customHeight="true" outlineLevel="0" collapsed="false">
      <c r="A351" s="42" t="str">
        <f aca="false">IF($B351="","","ZJ"&amp;TEXT($B351,"yyyymm")&amp;"-"&amp;TEXT(ROW()-4,"000"))</f>
        <v/>
      </c>
      <c r="B351" s="41"/>
      <c r="C351" s="42" t="str">
        <f aca="false">IF($B351="","",TEXT($B351,"yyyy-mm"))</f>
        <v/>
      </c>
      <c r="D351" s="42" t="str">
        <f aca="false">IF($E351="","",IFERROR(INDEX(科目参数!$L$6:$L$85,MATCH($E351,科目参数!$M$6:$M$85,0)),"⚠"))</f>
        <v/>
      </c>
      <c r="E351" s="33"/>
      <c r="F351" s="33"/>
      <c r="G351" s="36"/>
      <c r="H351" s="33"/>
      <c r="I351" s="33"/>
      <c r="J351" s="36"/>
      <c r="K351" s="40"/>
      <c r="L351" s="40"/>
      <c r="M351" s="47" t="str">
        <f aca="false">IF($B351="","",IF(NOT(ISNUMBER($B351)),"日期不是日期格式",IF(YEAR($B351)&lt;&gt;首页!$B$3,"不在会计年度",IF($E351="","未选收支科目",IF($D351="⚠","收支科目不存在",IF($F351="","未选账户",IF($T351="","账户未设资金科目",IF(AND($D351="转账",$U351=""),"转入账户无效",IF(AND(N($K351)&gt;0,N($L351)&gt;0),"收支不能同时填",IF(AND($D351="收入",N($K351)&lt;=0),"收入金额须大于0",IF(AND($D351&lt;&gt;"收入",N($L351)&lt;=0),"支出金额须大于0",IF($O351="","借方科目缺失",IF($P351="","贷方科目缺失","√")))))))))))))</f>
        <v/>
      </c>
      <c r="N351" s="48" t="str">
        <f aca="false">IF($B351="","",IF($D351="收入",N($K351),N($L351)))</f>
        <v/>
      </c>
      <c r="O351" s="49" t="str">
        <f aca="false">IF($B351="","",IF($D351="收入",$T351,IF($D351="转账",$U351,$S351)))</f>
        <v/>
      </c>
      <c r="P351" s="49" t="str">
        <f aca="false">IF($B351="","",IF($D351="收入",$S351,$T351))</f>
        <v/>
      </c>
      <c r="Q351" s="50" t="str">
        <f aca="false">IF($E351="","",IF($D351="转账","—",IFERROR(INDEX(科目参数!$P$6:$P$85,MATCH($E351,科目参数!$M$6:$M$85,0)),"")))</f>
        <v/>
      </c>
      <c r="R351" s="48" t="str">
        <f aca="false">IF($B351="","",SUMIFS(期初数据!$B$6:$B$35,期初数据!$A$6:$A$35,$F351)+SUMIFS($N$5:$N351,$F$5:$F351,$F351,$D$5:$D351,"收入")-SUMIFS($N$5:$N351,$F$5:$F351,$F351,$D$5:$D351,"支出")-SUMIFS($N$5:$N351,$F$5:$F351,$F351,$D$5:$D351,"转账")+SUMIFS($N$5:$N351,$G$5:$G351,$F351,$D$5:$D351,"转账"))</f>
        <v/>
      </c>
      <c r="S351" s="49" t="str">
        <f aca="false">IF($E351="","",IFERROR(INDEX(科目参数!$N$6:$N$85,MATCH($E351,科目参数!$M$6:$M$85,0)),""))</f>
        <v/>
      </c>
      <c r="T351" s="49" t="str">
        <f aca="false">IF($F351="","",IFERROR(INDEX(基础资料!$C$6:$C$35,MATCH($F351,基础资料!$A$6:$A$35,0)),""))</f>
        <v/>
      </c>
      <c r="U351" s="49" t="str">
        <f aca="false">IF($G351="","",IFERROR(INDEX(基础资料!$C$6:$C$35,MATCH($G351,基础资料!$A$6:$A$35,0)),""))</f>
        <v/>
      </c>
      <c r="V351" s="49" t="str">
        <f aca="false">IF(AND($G351=客户对账单!$B$3,$E351="客户回款",$B351&gt;=客户对账单!$E$3,$B351&lt;=客户对账单!$H$3),COUNTIFS($G$5:$G351,客户对账单!$B$3,$E$5:$E351,"客户回款",$B$5:$B351,"&gt;="&amp;客户对账单!$E$3,$B$5:$B351,"&lt;="&amp;客户对账单!$H$3),"")</f>
        <v/>
      </c>
      <c r="W351" s="49" t="str">
        <f aca="false">IF(AND($G351=供应商对账单!$B$3,$E351="供应商付款",$B351&gt;=供应商对账单!$E$3,$B351&lt;=供应商对账单!$H$3),COUNTIFS($G$5:$G351,供应商对账单!$B$3,$E$5:$E351,"供应商付款",$B$5:$B351,"&gt;="&amp;供应商对账单!$E$3,$B$5:$B351,"&lt;="&amp;供应商对账单!$H$3),"")</f>
        <v/>
      </c>
    </row>
    <row r="352" customFormat="false" ht="15.75" hidden="false" customHeight="true" outlineLevel="0" collapsed="false">
      <c r="A352" s="42" t="str">
        <f aca="false">IF($B352="","","ZJ"&amp;TEXT($B352,"yyyymm")&amp;"-"&amp;TEXT(ROW()-4,"000"))</f>
        <v/>
      </c>
      <c r="B352" s="41"/>
      <c r="C352" s="42" t="str">
        <f aca="false">IF($B352="","",TEXT($B352,"yyyy-mm"))</f>
        <v/>
      </c>
      <c r="D352" s="42" t="str">
        <f aca="false">IF($E352="","",IFERROR(INDEX(科目参数!$L$6:$L$85,MATCH($E352,科目参数!$M$6:$M$85,0)),"⚠"))</f>
        <v/>
      </c>
      <c r="E352" s="33"/>
      <c r="F352" s="33"/>
      <c r="G352" s="36"/>
      <c r="H352" s="33"/>
      <c r="I352" s="33"/>
      <c r="J352" s="36"/>
      <c r="K352" s="40"/>
      <c r="L352" s="40"/>
      <c r="M352" s="47" t="str">
        <f aca="false">IF($B352="","",IF(NOT(ISNUMBER($B352)),"日期不是日期格式",IF(YEAR($B352)&lt;&gt;首页!$B$3,"不在会计年度",IF($E352="","未选收支科目",IF($D352="⚠","收支科目不存在",IF($F352="","未选账户",IF($T352="","账户未设资金科目",IF(AND($D352="转账",$U352=""),"转入账户无效",IF(AND(N($K352)&gt;0,N($L352)&gt;0),"收支不能同时填",IF(AND($D352="收入",N($K352)&lt;=0),"收入金额须大于0",IF(AND($D352&lt;&gt;"收入",N($L352)&lt;=0),"支出金额须大于0",IF($O352="","借方科目缺失",IF($P352="","贷方科目缺失","√")))))))))))))</f>
        <v/>
      </c>
      <c r="N352" s="48" t="str">
        <f aca="false">IF($B352="","",IF($D352="收入",N($K352),N($L352)))</f>
        <v/>
      </c>
      <c r="O352" s="49" t="str">
        <f aca="false">IF($B352="","",IF($D352="收入",$T352,IF($D352="转账",$U352,$S352)))</f>
        <v/>
      </c>
      <c r="P352" s="49" t="str">
        <f aca="false">IF($B352="","",IF($D352="收入",$S352,$T352))</f>
        <v/>
      </c>
      <c r="Q352" s="50" t="str">
        <f aca="false">IF($E352="","",IF($D352="转账","—",IFERROR(INDEX(科目参数!$P$6:$P$85,MATCH($E352,科目参数!$M$6:$M$85,0)),"")))</f>
        <v/>
      </c>
      <c r="R352" s="48" t="str">
        <f aca="false">IF($B352="","",SUMIFS(期初数据!$B$6:$B$35,期初数据!$A$6:$A$35,$F352)+SUMIFS($N$5:$N352,$F$5:$F352,$F352,$D$5:$D352,"收入")-SUMIFS($N$5:$N352,$F$5:$F352,$F352,$D$5:$D352,"支出")-SUMIFS($N$5:$N352,$F$5:$F352,$F352,$D$5:$D352,"转账")+SUMIFS($N$5:$N352,$G$5:$G352,$F352,$D$5:$D352,"转账"))</f>
        <v/>
      </c>
      <c r="S352" s="49" t="str">
        <f aca="false">IF($E352="","",IFERROR(INDEX(科目参数!$N$6:$N$85,MATCH($E352,科目参数!$M$6:$M$85,0)),""))</f>
        <v/>
      </c>
      <c r="T352" s="49" t="str">
        <f aca="false">IF($F352="","",IFERROR(INDEX(基础资料!$C$6:$C$35,MATCH($F352,基础资料!$A$6:$A$35,0)),""))</f>
        <v/>
      </c>
      <c r="U352" s="49" t="str">
        <f aca="false">IF($G352="","",IFERROR(INDEX(基础资料!$C$6:$C$35,MATCH($G352,基础资料!$A$6:$A$35,0)),""))</f>
        <v/>
      </c>
      <c r="V352" s="49" t="str">
        <f aca="false">IF(AND($G352=客户对账单!$B$3,$E352="客户回款",$B352&gt;=客户对账单!$E$3,$B352&lt;=客户对账单!$H$3),COUNTIFS($G$5:$G352,客户对账单!$B$3,$E$5:$E352,"客户回款",$B$5:$B352,"&gt;="&amp;客户对账单!$E$3,$B$5:$B352,"&lt;="&amp;客户对账单!$H$3),"")</f>
        <v/>
      </c>
      <c r="W352" s="49" t="str">
        <f aca="false">IF(AND($G352=供应商对账单!$B$3,$E352="供应商付款",$B352&gt;=供应商对账单!$E$3,$B352&lt;=供应商对账单!$H$3),COUNTIFS($G$5:$G352,供应商对账单!$B$3,$E$5:$E352,"供应商付款",$B$5:$B352,"&gt;="&amp;供应商对账单!$E$3,$B$5:$B352,"&lt;="&amp;供应商对账单!$H$3),"")</f>
        <v/>
      </c>
    </row>
    <row r="353" customFormat="false" ht="15.75" hidden="false" customHeight="true" outlineLevel="0" collapsed="false">
      <c r="A353" s="42" t="str">
        <f aca="false">IF($B353="","","ZJ"&amp;TEXT($B353,"yyyymm")&amp;"-"&amp;TEXT(ROW()-4,"000"))</f>
        <v/>
      </c>
      <c r="B353" s="41"/>
      <c r="C353" s="42" t="str">
        <f aca="false">IF($B353="","",TEXT($B353,"yyyy-mm"))</f>
        <v/>
      </c>
      <c r="D353" s="42" t="str">
        <f aca="false">IF($E353="","",IFERROR(INDEX(科目参数!$L$6:$L$85,MATCH($E353,科目参数!$M$6:$M$85,0)),"⚠"))</f>
        <v/>
      </c>
      <c r="E353" s="33"/>
      <c r="F353" s="33"/>
      <c r="G353" s="36"/>
      <c r="H353" s="33"/>
      <c r="I353" s="33"/>
      <c r="J353" s="36"/>
      <c r="K353" s="40"/>
      <c r="L353" s="40"/>
      <c r="M353" s="47" t="str">
        <f aca="false">IF($B353="","",IF(NOT(ISNUMBER($B353)),"日期不是日期格式",IF(YEAR($B353)&lt;&gt;首页!$B$3,"不在会计年度",IF($E353="","未选收支科目",IF($D353="⚠","收支科目不存在",IF($F353="","未选账户",IF($T353="","账户未设资金科目",IF(AND($D353="转账",$U353=""),"转入账户无效",IF(AND(N($K353)&gt;0,N($L353)&gt;0),"收支不能同时填",IF(AND($D353="收入",N($K353)&lt;=0),"收入金额须大于0",IF(AND($D353&lt;&gt;"收入",N($L353)&lt;=0),"支出金额须大于0",IF($O353="","借方科目缺失",IF($P353="","贷方科目缺失","√")))))))))))))</f>
        <v/>
      </c>
      <c r="N353" s="48" t="str">
        <f aca="false">IF($B353="","",IF($D353="收入",N($K353),N($L353)))</f>
        <v/>
      </c>
      <c r="O353" s="49" t="str">
        <f aca="false">IF($B353="","",IF($D353="收入",$T353,IF($D353="转账",$U353,$S353)))</f>
        <v/>
      </c>
      <c r="P353" s="49" t="str">
        <f aca="false">IF($B353="","",IF($D353="收入",$S353,$T353))</f>
        <v/>
      </c>
      <c r="Q353" s="50" t="str">
        <f aca="false">IF($E353="","",IF($D353="转账","—",IFERROR(INDEX(科目参数!$P$6:$P$85,MATCH($E353,科目参数!$M$6:$M$85,0)),"")))</f>
        <v/>
      </c>
      <c r="R353" s="48" t="str">
        <f aca="false">IF($B353="","",SUMIFS(期初数据!$B$6:$B$35,期初数据!$A$6:$A$35,$F353)+SUMIFS($N$5:$N353,$F$5:$F353,$F353,$D$5:$D353,"收入")-SUMIFS($N$5:$N353,$F$5:$F353,$F353,$D$5:$D353,"支出")-SUMIFS($N$5:$N353,$F$5:$F353,$F353,$D$5:$D353,"转账")+SUMIFS($N$5:$N353,$G$5:$G353,$F353,$D$5:$D353,"转账"))</f>
        <v/>
      </c>
      <c r="S353" s="49" t="str">
        <f aca="false">IF($E353="","",IFERROR(INDEX(科目参数!$N$6:$N$85,MATCH($E353,科目参数!$M$6:$M$85,0)),""))</f>
        <v/>
      </c>
      <c r="T353" s="49" t="str">
        <f aca="false">IF($F353="","",IFERROR(INDEX(基础资料!$C$6:$C$35,MATCH($F353,基础资料!$A$6:$A$35,0)),""))</f>
        <v/>
      </c>
      <c r="U353" s="49" t="str">
        <f aca="false">IF($G353="","",IFERROR(INDEX(基础资料!$C$6:$C$35,MATCH($G353,基础资料!$A$6:$A$35,0)),""))</f>
        <v/>
      </c>
      <c r="V353" s="49" t="str">
        <f aca="false">IF(AND($G353=客户对账单!$B$3,$E353="客户回款",$B353&gt;=客户对账单!$E$3,$B353&lt;=客户对账单!$H$3),COUNTIFS($G$5:$G353,客户对账单!$B$3,$E$5:$E353,"客户回款",$B$5:$B353,"&gt;="&amp;客户对账单!$E$3,$B$5:$B353,"&lt;="&amp;客户对账单!$H$3),"")</f>
        <v/>
      </c>
      <c r="W353" s="49" t="str">
        <f aca="false">IF(AND($G353=供应商对账单!$B$3,$E353="供应商付款",$B353&gt;=供应商对账单!$E$3,$B353&lt;=供应商对账单!$H$3),COUNTIFS($G$5:$G353,供应商对账单!$B$3,$E$5:$E353,"供应商付款",$B$5:$B353,"&gt;="&amp;供应商对账单!$E$3,$B$5:$B353,"&lt;="&amp;供应商对账单!$H$3),"")</f>
        <v/>
      </c>
    </row>
    <row r="354" customFormat="false" ht="15.75" hidden="false" customHeight="true" outlineLevel="0" collapsed="false">
      <c r="A354" s="42" t="str">
        <f aca="false">IF($B354="","","ZJ"&amp;TEXT($B354,"yyyymm")&amp;"-"&amp;TEXT(ROW()-4,"000"))</f>
        <v/>
      </c>
      <c r="B354" s="41"/>
      <c r="C354" s="42" t="str">
        <f aca="false">IF($B354="","",TEXT($B354,"yyyy-mm"))</f>
        <v/>
      </c>
      <c r="D354" s="42" t="str">
        <f aca="false">IF($E354="","",IFERROR(INDEX(科目参数!$L$6:$L$85,MATCH($E354,科目参数!$M$6:$M$85,0)),"⚠"))</f>
        <v/>
      </c>
      <c r="E354" s="33"/>
      <c r="F354" s="33"/>
      <c r="G354" s="36"/>
      <c r="H354" s="33"/>
      <c r="I354" s="33"/>
      <c r="J354" s="36"/>
      <c r="K354" s="40"/>
      <c r="L354" s="40"/>
      <c r="M354" s="47" t="str">
        <f aca="false">IF($B354="","",IF(NOT(ISNUMBER($B354)),"日期不是日期格式",IF(YEAR($B354)&lt;&gt;首页!$B$3,"不在会计年度",IF($E354="","未选收支科目",IF($D354="⚠","收支科目不存在",IF($F354="","未选账户",IF($T354="","账户未设资金科目",IF(AND($D354="转账",$U354=""),"转入账户无效",IF(AND(N($K354)&gt;0,N($L354)&gt;0),"收支不能同时填",IF(AND($D354="收入",N($K354)&lt;=0),"收入金额须大于0",IF(AND($D354&lt;&gt;"收入",N($L354)&lt;=0),"支出金额须大于0",IF($O354="","借方科目缺失",IF($P354="","贷方科目缺失","√")))))))))))))</f>
        <v/>
      </c>
      <c r="N354" s="48" t="str">
        <f aca="false">IF($B354="","",IF($D354="收入",N($K354),N($L354)))</f>
        <v/>
      </c>
      <c r="O354" s="49" t="str">
        <f aca="false">IF($B354="","",IF($D354="收入",$T354,IF($D354="转账",$U354,$S354)))</f>
        <v/>
      </c>
      <c r="P354" s="49" t="str">
        <f aca="false">IF($B354="","",IF($D354="收入",$S354,$T354))</f>
        <v/>
      </c>
      <c r="Q354" s="50" t="str">
        <f aca="false">IF($E354="","",IF($D354="转账","—",IFERROR(INDEX(科目参数!$P$6:$P$85,MATCH($E354,科目参数!$M$6:$M$85,0)),"")))</f>
        <v/>
      </c>
      <c r="R354" s="48" t="str">
        <f aca="false">IF($B354="","",SUMIFS(期初数据!$B$6:$B$35,期初数据!$A$6:$A$35,$F354)+SUMIFS($N$5:$N354,$F$5:$F354,$F354,$D$5:$D354,"收入")-SUMIFS($N$5:$N354,$F$5:$F354,$F354,$D$5:$D354,"支出")-SUMIFS($N$5:$N354,$F$5:$F354,$F354,$D$5:$D354,"转账")+SUMIFS($N$5:$N354,$G$5:$G354,$F354,$D$5:$D354,"转账"))</f>
        <v/>
      </c>
      <c r="S354" s="49" t="str">
        <f aca="false">IF($E354="","",IFERROR(INDEX(科目参数!$N$6:$N$85,MATCH($E354,科目参数!$M$6:$M$85,0)),""))</f>
        <v/>
      </c>
      <c r="T354" s="49" t="str">
        <f aca="false">IF($F354="","",IFERROR(INDEX(基础资料!$C$6:$C$35,MATCH($F354,基础资料!$A$6:$A$35,0)),""))</f>
        <v/>
      </c>
      <c r="U354" s="49" t="str">
        <f aca="false">IF($G354="","",IFERROR(INDEX(基础资料!$C$6:$C$35,MATCH($G354,基础资料!$A$6:$A$35,0)),""))</f>
        <v/>
      </c>
      <c r="V354" s="49" t="str">
        <f aca="false">IF(AND($G354=客户对账单!$B$3,$E354="客户回款",$B354&gt;=客户对账单!$E$3,$B354&lt;=客户对账单!$H$3),COUNTIFS($G$5:$G354,客户对账单!$B$3,$E$5:$E354,"客户回款",$B$5:$B354,"&gt;="&amp;客户对账单!$E$3,$B$5:$B354,"&lt;="&amp;客户对账单!$H$3),"")</f>
        <v/>
      </c>
      <c r="W354" s="49" t="str">
        <f aca="false">IF(AND($G354=供应商对账单!$B$3,$E354="供应商付款",$B354&gt;=供应商对账单!$E$3,$B354&lt;=供应商对账单!$H$3),COUNTIFS($G$5:$G354,供应商对账单!$B$3,$E$5:$E354,"供应商付款",$B$5:$B354,"&gt;="&amp;供应商对账单!$E$3,$B$5:$B354,"&lt;="&amp;供应商对账单!$H$3),"")</f>
        <v/>
      </c>
    </row>
    <row r="355" customFormat="false" ht="15.75" hidden="false" customHeight="true" outlineLevel="0" collapsed="false">
      <c r="A355" s="42" t="str">
        <f aca="false">IF($B355="","","ZJ"&amp;TEXT($B355,"yyyymm")&amp;"-"&amp;TEXT(ROW()-4,"000"))</f>
        <v/>
      </c>
      <c r="B355" s="41"/>
      <c r="C355" s="42" t="str">
        <f aca="false">IF($B355="","",TEXT($B355,"yyyy-mm"))</f>
        <v/>
      </c>
      <c r="D355" s="42" t="str">
        <f aca="false">IF($E355="","",IFERROR(INDEX(科目参数!$L$6:$L$85,MATCH($E355,科目参数!$M$6:$M$85,0)),"⚠"))</f>
        <v/>
      </c>
      <c r="E355" s="33"/>
      <c r="F355" s="33"/>
      <c r="G355" s="36"/>
      <c r="H355" s="33"/>
      <c r="I355" s="33"/>
      <c r="J355" s="36"/>
      <c r="K355" s="40"/>
      <c r="L355" s="40"/>
      <c r="M355" s="47" t="str">
        <f aca="false">IF($B355="","",IF(NOT(ISNUMBER($B355)),"日期不是日期格式",IF(YEAR($B355)&lt;&gt;首页!$B$3,"不在会计年度",IF($E355="","未选收支科目",IF($D355="⚠","收支科目不存在",IF($F355="","未选账户",IF($T355="","账户未设资金科目",IF(AND($D355="转账",$U355=""),"转入账户无效",IF(AND(N($K355)&gt;0,N($L355)&gt;0),"收支不能同时填",IF(AND($D355="收入",N($K355)&lt;=0),"收入金额须大于0",IF(AND($D355&lt;&gt;"收入",N($L355)&lt;=0),"支出金额须大于0",IF($O355="","借方科目缺失",IF($P355="","贷方科目缺失","√")))))))))))))</f>
        <v/>
      </c>
      <c r="N355" s="48" t="str">
        <f aca="false">IF($B355="","",IF($D355="收入",N($K355),N($L355)))</f>
        <v/>
      </c>
      <c r="O355" s="49" t="str">
        <f aca="false">IF($B355="","",IF($D355="收入",$T355,IF($D355="转账",$U355,$S355)))</f>
        <v/>
      </c>
      <c r="P355" s="49" t="str">
        <f aca="false">IF($B355="","",IF($D355="收入",$S355,$T355))</f>
        <v/>
      </c>
      <c r="Q355" s="50" t="str">
        <f aca="false">IF($E355="","",IF($D355="转账","—",IFERROR(INDEX(科目参数!$P$6:$P$85,MATCH($E355,科目参数!$M$6:$M$85,0)),"")))</f>
        <v/>
      </c>
      <c r="R355" s="48" t="str">
        <f aca="false">IF($B355="","",SUMIFS(期初数据!$B$6:$B$35,期初数据!$A$6:$A$35,$F355)+SUMIFS($N$5:$N355,$F$5:$F355,$F355,$D$5:$D355,"收入")-SUMIFS($N$5:$N355,$F$5:$F355,$F355,$D$5:$D355,"支出")-SUMIFS($N$5:$N355,$F$5:$F355,$F355,$D$5:$D355,"转账")+SUMIFS($N$5:$N355,$G$5:$G355,$F355,$D$5:$D355,"转账"))</f>
        <v/>
      </c>
      <c r="S355" s="49" t="str">
        <f aca="false">IF($E355="","",IFERROR(INDEX(科目参数!$N$6:$N$85,MATCH($E355,科目参数!$M$6:$M$85,0)),""))</f>
        <v/>
      </c>
      <c r="T355" s="49" t="str">
        <f aca="false">IF($F355="","",IFERROR(INDEX(基础资料!$C$6:$C$35,MATCH($F355,基础资料!$A$6:$A$35,0)),""))</f>
        <v/>
      </c>
      <c r="U355" s="49" t="str">
        <f aca="false">IF($G355="","",IFERROR(INDEX(基础资料!$C$6:$C$35,MATCH($G355,基础资料!$A$6:$A$35,0)),""))</f>
        <v/>
      </c>
      <c r="V355" s="49" t="str">
        <f aca="false">IF(AND($G355=客户对账单!$B$3,$E355="客户回款",$B355&gt;=客户对账单!$E$3,$B355&lt;=客户对账单!$H$3),COUNTIFS($G$5:$G355,客户对账单!$B$3,$E$5:$E355,"客户回款",$B$5:$B355,"&gt;="&amp;客户对账单!$E$3,$B$5:$B355,"&lt;="&amp;客户对账单!$H$3),"")</f>
        <v/>
      </c>
      <c r="W355" s="49" t="str">
        <f aca="false">IF(AND($G355=供应商对账单!$B$3,$E355="供应商付款",$B355&gt;=供应商对账单!$E$3,$B355&lt;=供应商对账单!$H$3),COUNTIFS($G$5:$G355,供应商对账单!$B$3,$E$5:$E355,"供应商付款",$B$5:$B355,"&gt;="&amp;供应商对账单!$E$3,$B$5:$B355,"&lt;="&amp;供应商对账单!$H$3),"")</f>
        <v/>
      </c>
    </row>
    <row r="356" customFormat="false" ht="15.75" hidden="false" customHeight="true" outlineLevel="0" collapsed="false">
      <c r="A356" s="42" t="str">
        <f aca="false">IF($B356="","","ZJ"&amp;TEXT($B356,"yyyymm")&amp;"-"&amp;TEXT(ROW()-4,"000"))</f>
        <v/>
      </c>
      <c r="B356" s="41"/>
      <c r="C356" s="42" t="str">
        <f aca="false">IF($B356="","",TEXT($B356,"yyyy-mm"))</f>
        <v/>
      </c>
      <c r="D356" s="42" t="str">
        <f aca="false">IF($E356="","",IFERROR(INDEX(科目参数!$L$6:$L$85,MATCH($E356,科目参数!$M$6:$M$85,0)),"⚠"))</f>
        <v/>
      </c>
      <c r="E356" s="33"/>
      <c r="F356" s="33"/>
      <c r="G356" s="36"/>
      <c r="H356" s="33"/>
      <c r="I356" s="33"/>
      <c r="J356" s="36"/>
      <c r="K356" s="40"/>
      <c r="L356" s="40"/>
      <c r="M356" s="47" t="str">
        <f aca="false">IF($B356="","",IF(NOT(ISNUMBER($B356)),"日期不是日期格式",IF(YEAR($B356)&lt;&gt;首页!$B$3,"不在会计年度",IF($E356="","未选收支科目",IF($D356="⚠","收支科目不存在",IF($F356="","未选账户",IF($T356="","账户未设资金科目",IF(AND($D356="转账",$U356=""),"转入账户无效",IF(AND(N($K356)&gt;0,N($L356)&gt;0),"收支不能同时填",IF(AND($D356="收入",N($K356)&lt;=0),"收入金额须大于0",IF(AND($D356&lt;&gt;"收入",N($L356)&lt;=0),"支出金额须大于0",IF($O356="","借方科目缺失",IF($P356="","贷方科目缺失","√")))))))))))))</f>
        <v/>
      </c>
      <c r="N356" s="48" t="str">
        <f aca="false">IF($B356="","",IF($D356="收入",N($K356),N($L356)))</f>
        <v/>
      </c>
      <c r="O356" s="49" t="str">
        <f aca="false">IF($B356="","",IF($D356="收入",$T356,IF($D356="转账",$U356,$S356)))</f>
        <v/>
      </c>
      <c r="P356" s="49" t="str">
        <f aca="false">IF($B356="","",IF($D356="收入",$S356,$T356))</f>
        <v/>
      </c>
      <c r="Q356" s="50" t="str">
        <f aca="false">IF($E356="","",IF($D356="转账","—",IFERROR(INDEX(科目参数!$P$6:$P$85,MATCH($E356,科目参数!$M$6:$M$85,0)),"")))</f>
        <v/>
      </c>
      <c r="R356" s="48" t="str">
        <f aca="false">IF($B356="","",SUMIFS(期初数据!$B$6:$B$35,期初数据!$A$6:$A$35,$F356)+SUMIFS($N$5:$N356,$F$5:$F356,$F356,$D$5:$D356,"收入")-SUMIFS($N$5:$N356,$F$5:$F356,$F356,$D$5:$D356,"支出")-SUMIFS($N$5:$N356,$F$5:$F356,$F356,$D$5:$D356,"转账")+SUMIFS($N$5:$N356,$G$5:$G356,$F356,$D$5:$D356,"转账"))</f>
        <v/>
      </c>
      <c r="S356" s="49" t="str">
        <f aca="false">IF($E356="","",IFERROR(INDEX(科目参数!$N$6:$N$85,MATCH($E356,科目参数!$M$6:$M$85,0)),""))</f>
        <v/>
      </c>
      <c r="T356" s="49" t="str">
        <f aca="false">IF($F356="","",IFERROR(INDEX(基础资料!$C$6:$C$35,MATCH($F356,基础资料!$A$6:$A$35,0)),""))</f>
        <v/>
      </c>
      <c r="U356" s="49" t="str">
        <f aca="false">IF($G356="","",IFERROR(INDEX(基础资料!$C$6:$C$35,MATCH($G356,基础资料!$A$6:$A$35,0)),""))</f>
        <v/>
      </c>
      <c r="V356" s="49" t="str">
        <f aca="false">IF(AND($G356=客户对账单!$B$3,$E356="客户回款",$B356&gt;=客户对账单!$E$3,$B356&lt;=客户对账单!$H$3),COUNTIFS($G$5:$G356,客户对账单!$B$3,$E$5:$E356,"客户回款",$B$5:$B356,"&gt;="&amp;客户对账单!$E$3,$B$5:$B356,"&lt;="&amp;客户对账单!$H$3),"")</f>
        <v/>
      </c>
      <c r="W356" s="49" t="str">
        <f aca="false">IF(AND($G356=供应商对账单!$B$3,$E356="供应商付款",$B356&gt;=供应商对账单!$E$3,$B356&lt;=供应商对账单!$H$3),COUNTIFS($G$5:$G356,供应商对账单!$B$3,$E$5:$E356,"供应商付款",$B$5:$B356,"&gt;="&amp;供应商对账单!$E$3,$B$5:$B356,"&lt;="&amp;供应商对账单!$H$3),"")</f>
        <v/>
      </c>
    </row>
    <row r="357" customFormat="false" ht="15.75" hidden="false" customHeight="true" outlineLevel="0" collapsed="false">
      <c r="A357" s="42" t="str">
        <f aca="false">IF($B357="","","ZJ"&amp;TEXT($B357,"yyyymm")&amp;"-"&amp;TEXT(ROW()-4,"000"))</f>
        <v/>
      </c>
      <c r="B357" s="41"/>
      <c r="C357" s="42" t="str">
        <f aca="false">IF($B357="","",TEXT($B357,"yyyy-mm"))</f>
        <v/>
      </c>
      <c r="D357" s="42" t="str">
        <f aca="false">IF($E357="","",IFERROR(INDEX(科目参数!$L$6:$L$85,MATCH($E357,科目参数!$M$6:$M$85,0)),"⚠"))</f>
        <v/>
      </c>
      <c r="E357" s="33"/>
      <c r="F357" s="33"/>
      <c r="G357" s="36"/>
      <c r="H357" s="33"/>
      <c r="I357" s="33"/>
      <c r="J357" s="36"/>
      <c r="K357" s="40"/>
      <c r="L357" s="40"/>
      <c r="M357" s="47" t="str">
        <f aca="false">IF($B357="","",IF(NOT(ISNUMBER($B357)),"日期不是日期格式",IF(YEAR($B357)&lt;&gt;首页!$B$3,"不在会计年度",IF($E357="","未选收支科目",IF($D357="⚠","收支科目不存在",IF($F357="","未选账户",IF($T357="","账户未设资金科目",IF(AND($D357="转账",$U357=""),"转入账户无效",IF(AND(N($K357)&gt;0,N($L357)&gt;0),"收支不能同时填",IF(AND($D357="收入",N($K357)&lt;=0),"收入金额须大于0",IF(AND($D357&lt;&gt;"收入",N($L357)&lt;=0),"支出金额须大于0",IF($O357="","借方科目缺失",IF($P357="","贷方科目缺失","√")))))))))))))</f>
        <v/>
      </c>
      <c r="N357" s="48" t="str">
        <f aca="false">IF($B357="","",IF($D357="收入",N($K357),N($L357)))</f>
        <v/>
      </c>
      <c r="O357" s="49" t="str">
        <f aca="false">IF($B357="","",IF($D357="收入",$T357,IF($D357="转账",$U357,$S357)))</f>
        <v/>
      </c>
      <c r="P357" s="49" t="str">
        <f aca="false">IF($B357="","",IF($D357="收入",$S357,$T357))</f>
        <v/>
      </c>
      <c r="Q357" s="50" t="str">
        <f aca="false">IF($E357="","",IF($D357="转账","—",IFERROR(INDEX(科目参数!$P$6:$P$85,MATCH($E357,科目参数!$M$6:$M$85,0)),"")))</f>
        <v/>
      </c>
      <c r="R357" s="48" t="str">
        <f aca="false">IF($B357="","",SUMIFS(期初数据!$B$6:$B$35,期初数据!$A$6:$A$35,$F357)+SUMIFS($N$5:$N357,$F$5:$F357,$F357,$D$5:$D357,"收入")-SUMIFS($N$5:$N357,$F$5:$F357,$F357,$D$5:$D357,"支出")-SUMIFS($N$5:$N357,$F$5:$F357,$F357,$D$5:$D357,"转账")+SUMIFS($N$5:$N357,$G$5:$G357,$F357,$D$5:$D357,"转账"))</f>
        <v/>
      </c>
      <c r="S357" s="49" t="str">
        <f aca="false">IF($E357="","",IFERROR(INDEX(科目参数!$N$6:$N$85,MATCH($E357,科目参数!$M$6:$M$85,0)),""))</f>
        <v/>
      </c>
      <c r="T357" s="49" t="str">
        <f aca="false">IF($F357="","",IFERROR(INDEX(基础资料!$C$6:$C$35,MATCH($F357,基础资料!$A$6:$A$35,0)),""))</f>
        <v/>
      </c>
      <c r="U357" s="49" t="str">
        <f aca="false">IF($G357="","",IFERROR(INDEX(基础资料!$C$6:$C$35,MATCH($G357,基础资料!$A$6:$A$35,0)),""))</f>
        <v/>
      </c>
      <c r="V357" s="49" t="str">
        <f aca="false">IF(AND($G357=客户对账单!$B$3,$E357="客户回款",$B357&gt;=客户对账单!$E$3,$B357&lt;=客户对账单!$H$3),COUNTIFS($G$5:$G357,客户对账单!$B$3,$E$5:$E357,"客户回款",$B$5:$B357,"&gt;="&amp;客户对账单!$E$3,$B$5:$B357,"&lt;="&amp;客户对账单!$H$3),"")</f>
        <v/>
      </c>
      <c r="W357" s="49" t="str">
        <f aca="false">IF(AND($G357=供应商对账单!$B$3,$E357="供应商付款",$B357&gt;=供应商对账单!$E$3,$B357&lt;=供应商对账单!$H$3),COUNTIFS($G$5:$G357,供应商对账单!$B$3,$E$5:$E357,"供应商付款",$B$5:$B357,"&gt;="&amp;供应商对账单!$E$3,$B$5:$B357,"&lt;="&amp;供应商对账单!$H$3),"")</f>
        <v/>
      </c>
    </row>
    <row r="358" customFormat="false" ht="15.75" hidden="false" customHeight="true" outlineLevel="0" collapsed="false">
      <c r="A358" s="42" t="str">
        <f aca="false">IF($B358="","","ZJ"&amp;TEXT($B358,"yyyymm")&amp;"-"&amp;TEXT(ROW()-4,"000"))</f>
        <v/>
      </c>
      <c r="B358" s="41"/>
      <c r="C358" s="42" t="str">
        <f aca="false">IF($B358="","",TEXT($B358,"yyyy-mm"))</f>
        <v/>
      </c>
      <c r="D358" s="42" t="str">
        <f aca="false">IF($E358="","",IFERROR(INDEX(科目参数!$L$6:$L$85,MATCH($E358,科目参数!$M$6:$M$85,0)),"⚠"))</f>
        <v/>
      </c>
      <c r="E358" s="33"/>
      <c r="F358" s="33"/>
      <c r="G358" s="36"/>
      <c r="H358" s="33"/>
      <c r="I358" s="33"/>
      <c r="J358" s="36"/>
      <c r="K358" s="40"/>
      <c r="L358" s="40"/>
      <c r="M358" s="47" t="str">
        <f aca="false">IF($B358="","",IF(NOT(ISNUMBER($B358)),"日期不是日期格式",IF(YEAR($B358)&lt;&gt;首页!$B$3,"不在会计年度",IF($E358="","未选收支科目",IF($D358="⚠","收支科目不存在",IF($F358="","未选账户",IF($T358="","账户未设资金科目",IF(AND($D358="转账",$U358=""),"转入账户无效",IF(AND(N($K358)&gt;0,N($L358)&gt;0),"收支不能同时填",IF(AND($D358="收入",N($K358)&lt;=0),"收入金额须大于0",IF(AND($D358&lt;&gt;"收入",N($L358)&lt;=0),"支出金额须大于0",IF($O358="","借方科目缺失",IF($P358="","贷方科目缺失","√")))))))))))))</f>
        <v/>
      </c>
      <c r="N358" s="48" t="str">
        <f aca="false">IF($B358="","",IF($D358="收入",N($K358),N($L358)))</f>
        <v/>
      </c>
      <c r="O358" s="49" t="str">
        <f aca="false">IF($B358="","",IF($D358="收入",$T358,IF($D358="转账",$U358,$S358)))</f>
        <v/>
      </c>
      <c r="P358" s="49" t="str">
        <f aca="false">IF($B358="","",IF($D358="收入",$S358,$T358))</f>
        <v/>
      </c>
      <c r="Q358" s="50" t="str">
        <f aca="false">IF($E358="","",IF($D358="转账","—",IFERROR(INDEX(科目参数!$P$6:$P$85,MATCH($E358,科目参数!$M$6:$M$85,0)),"")))</f>
        <v/>
      </c>
      <c r="R358" s="48" t="str">
        <f aca="false">IF($B358="","",SUMIFS(期初数据!$B$6:$B$35,期初数据!$A$6:$A$35,$F358)+SUMIFS($N$5:$N358,$F$5:$F358,$F358,$D$5:$D358,"收入")-SUMIFS($N$5:$N358,$F$5:$F358,$F358,$D$5:$D358,"支出")-SUMIFS($N$5:$N358,$F$5:$F358,$F358,$D$5:$D358,"转账")+SUMIFS($N$5:$N358,$G$5:$G358,$F358,$D$5:$D358,"转账"))</f>
        <v/>
      </c>
      <c r="S358" s="49" t="str">
        <f aca="false">IF($E358="","",IFERROR(INDEX(科目参数!$N$6:$N$85,MATCH($E358,科目参数!$M$6:$M$85,0)),""))</f>
        <v/>
      </c>
      <c r="T358" s="49" t="str">
        <f aca="false">IF($F358="","",IFERROR(INDEX(基础资料!$C$6:$C$35,MATCH($F358,基础资料!$A$6:$A$35,0)),""))</f>
        <v/>
      </c>
      <c r="U358" s="49" t="str">
        <f aca="false">IF($G358="","",IFERROR(INDEX(基础资料!$C$6:$C$35,MATCH($G358,基础资料!$A$6:$A$35,0)),""))</f>
        <v/>
      </c>
      <c r="V358" s="49" t="str">
        <f aca="false">IF(AND($G358=客户对账单!$B$3,$E358="客户回款",$B358&gt;=客户对账单!$E$3,$B358&lt;=客户对账单!$H$3),COUNTIFS($G$5:$G358,客户对账单!$B$3,$E$5:$E358,"客户回款",$B$5:$B358,"&gt;="&amp;客户对账单!$E$3,$B$5:$B358,"&lt;="&amp;客户对账单!$H$3),"")</f>
        <v/>
      </c>
      <c r="W358" s="49" t="str">
        <f aca="false">IF(AND($G358=供应商对账单!$B$3,$E358="供应商付款",$B358&gt;=供应商对账单!$E$3,$B358&lt;=供应商对账单!$H$3),COUNTIFS($G$5:$G358,供应商对账单!$B$3,$E$5:$E358,"供应商付款",$B$5:$B358,"&gt;="&amp;供应商对账单!$E$3,$B$5:$B358,"&lt;="&amp;供应商对账单!$H$3),"")</f>
        <v/>
      </c>
    </row>
    <row r="359" customFormat="false" ht="15.75" hidden="false" customHeight="true" outlineLevel="0" collapsed="false">
      <c r="A359" s="42" t="str">
        <f aca="false">IF($B359="","","ZJ"&amp;TEXT($B359,"yyyymm")&amp;"-"&amp;TEXT(ROW()-4,"000"))</f>
        <v/>
      </c>
      <c r="B359" s="41"/>
      <c r="C359" s="42" t="str">
        <f aca="false">IF($B359="","",TEXT($B359,"yyyy-mm"))</f>
        <v/>
      </c>
      <c r="D359" s="42" t="str">
        <f aca="false">IF($E359="","",IFERROR(INDEX(科目参数!$L$6:$L$85,MATCH($E359,科目参数!$M$6:$M$85,0)),"⚠"))</f>
        <v/>
      </c>
      <c r="E359" s="33"/>
      <c r="F359" s="33"/>
      <c r="G359" s="36"/>
      <c r="H359" s="33"/>
      <c r="I359" s="33"/>
      <c r="J359" s="36"/>
      <c r="K359" s="40"/>
      <c r="L359" s="40"/>
      <c r="M359" s="47" t="str">
        <f aca="false">IF($B359="","",IF(NOT(ISNUMBER($B359)),"日期不是日期格式",IF(YEAR($B359)&lt;&gt;首页!$B$3,"不在会计年度",IF($E359="","未选收支科目",IF($D359="⚠","收支科目不存在",IF($F359="","未选账户",IF($T359="","账户未设资金科目",IF(AND($D359="转账",$U359=""),"转入账户无效",IF(AND(N($K359)&gt;0,N($L359)&gt;0),"收支不能同时填",IF(AND($D359="收入",N($K359)&lt;=0),"收入金额须大于0",IF(AND($D359&lt;&gt;"收入",N($L359)&lt;=0),"支出金额须大于0",IF($O359="","借方科目缺失",IF($P359="","贷方科目缺失","√")))))))))))))</f>
        <v/>
      </c>
      <c r="N359" s="48" t="str">
        <f aca="false">IF($B359="","",IF($D359="收入",N($K359),N($L359)))</f>
        <v/>
      </c>
      <c r="O359" s="49" t="str">
        <f aca="false">IF($B359="","",IF($D359="收入",$T359,IF($D359="转账",$U359,$S359)))</f>
        <v/>
      </c>
      <c r="P359" s="49" t="str">
        <f aca="false">IF($B359="","",IF($D359="收入",$S359,$T359))</f>
        <v/>
      </c>
      <c r="Q359" s="50" t="str">
        <f aca="false">IF($E359="","",IF($D359="转账","—",IFERROR(INDEX(科目参数!$P$6:$P$85,MATCH($E359,科目参数!$M$6:$M$85,0)),"")))</f>
        <v/>
      </c>
      <c r="R359" s="48" t="str">
        <f aca="false">IF($B359="","",SUMIFS(期初数据!$B$6:$B$35,期初数据!$A$6:$A$35,$F359)+SUMIFS($N$5:$N359,$F$5:$F359,$F359,$D$5:$D359,"收入")-SUMIFS($N$5:$N359,$F$5:$F359,$F359,$D$5:$D359,"支出")-SUMIFS($N$5:$N359,$F$5:$F359,$F359,$D$5:$D359,"转账")+SUMIFS($N$5:$N359,$G$5:$G359,$F359,$D$5:$D359,"转账"))</f>
        <v/>
      </c>
      <c r="S359" s="49" t="str">
        <f aca="false">IF($E359="","",IFERROR(INDEX(科目参数!$N$6:$N$85,MATCH($E359,科目参数!$M$6:$M$85,0)),""))</f>
        <v/>
      </c>
      <c r="T359" s="49" t="str">
        <f aca="false">IF($F359="","",IFERROR(INDEX(基础资料!$C$6:$C$35,MATCH($F359,基础资料!$A$6:$A$35,0)),""))</f>
        <v/>
      </c>
      <c r="U359" s="49" t="str">
        <f aca="false">IF($G359="","",IFERROR(INDEX(基础资料!$C$6:$C$35,MATCH($G359,基础资料!$A$6:$A$35,0)),""))</f>
        <v/>
      </c>
      <c r="V359" s="49" t="str">
        <f aca="false">IF(AND($G359=客户对账单!$B$3,$E359="客户回款",$B359&gt;=客户对账单!$E$3,$B359&lt;=客户对账单!$H$3),COUNTIFS($G$5:$G359,客户对账单!$B$3,$E$5:$E359,"客户回款",$B$5:$B359,"&gt;="&amp;客户对账单!$E$3,$B$5:$B359,"&lt;="&amp;客户对账单!$H$3),"")</f>
        <v/>
      </c>
      <c r="W359" s="49" t="str">
        <f aca="false">IF(AND($G359=供应商对账单!$B$3,$E359="供应商付款",$B359&gt;=供应商对账单!$E$3,$B359&lt;=供应商对账单!$H$3),COUNTIFS($G$5:$G359,供应商对账单!$B$3,$E$5:$E359,"供应商付款",$B$5:$B359,"&gt;="&amp;供应商对账单!$E$3,$B$5:$B359,"&lt;="&amp;供应商对账单!$H$3),"")</f>
        <v/>
      </c>
    </row>
    <row r="360" customFormat="false" ht="15.75" hidden="false" customHeight="true" outlineLevel="0" collapsed="false">
      <c r="A360" s="42" t="str">
        <f aca="false">IF($B360="","","ZJ"&amp;TEXT($B360,"yyyymm")&amp;"-"&amp;TEXT(ROW()-4,"000"))</f>
        <v/>
      </c>
      <c r="B360" s="41"/>
      <c r="C360" s="42" t="str">
        <f aca="false">IF($B360="","",TEXT($B360,"yyyy-mm"))</f>
        <v/>
      </c>
      <c r="D360" s="42" t="str">
        <f aca="false">IF($E360="","",IFERROR(INDEX(科目参数!$L$6:$L$85,MATCH($E360,科目参数!$M$6:$M$85,0)),"⚠"))</f>
        <v/>
      </c>
      <c r="E360" s="33"/>
      <c r="F360" s="33"/>
      <c r="G360" s="36"/>
      <c r="H360" s="33"/>
      <c r="I360" s="33"/>
      <c r="J360" s="36"/>
      <c r="K360" s="40"/>
      <c r="L360" s="40"/>
      <c r="M360" s="47" t="str">
        <f aca="false">IF($B360="","",IF(NOT(ISNUMBER($B360)),"日期不是日期格式",IF(YEAR($B360)&lt;&gt;首页!$B$3,"不在会计年度",IF($E360="","未选收支科目",IF($D360="⚠","收支科目不存在",IF($F360="","未选账户",IF($T360="","账户未设资金科目",IF(AND($D360="转账",$U360=""),"转入账户无效",IF(AND(N($K360)&gt;0,N($L360)&gt;0),"收支不能同时填",IF(AND($D360="收入",N($K360)&lt;=0),"收入金额须大于0",IF(AND($D360&lt;&gt;"收入",N($L360)&lt;=0),"支出金额须大于0",IF($O360="","借方科目缺失",IF($P360="","贷方科目缺失","√")))))))))))))</f>
        <v/>
      </c>
      <c r="N360" s="48" t="str">
        <f aca="false">IF($B360="","",IF($D360="收入",N($K360),N($L360)))</f>
        <v/>
      </c>
      <c r="O360" s="49" t="str">
        <f aca="false">IF($B360="","",IF($D360="收入",$T360,IF($D360="转账",$U360,$S360)))</f>
        <v/>
      </c>
      <c r="P360" s="49" t="str">
        <f aca="false">IF($B360="","",IF($D360="收入",$S360,$T360))</f>
        <v/>
      </c>
      <c r="Q360" s="50" t="str">
        <f aca="false">IF($E360="","",IF($D360="转账","—",IFERROR(INDEX(科目参数!$P$6:$P$85,MATCH($E360,科目参数!$M$6:$M$85,0)),"")))</f>
        <v/>
      </c>
      <c r="R360" s="48" t="str">
        <f aca="false">IF($B360="","",SUMIFS(期初数据!$B$6:$B$35,期初数据!$A$6:$A$35,$F360)+SUMIFS($N$5:$N360,$F$5:$F360,$F360,$D$5:$D360,"收入")-SUMIFS($N$5:$N360,$F$5:$F360,$F360,$D$5:$D360,"支出")-SUMIFS($N$5:$N360,$F$5:$F360,$F360,$D$5:$D360,"转账")+SUMIFS($N$5:$N360,$G$5:$G360,$F360,$D$5:$D360,"转账"))</f>
        <v/>
      </c>
      <c r="S360" s="49" t="str">
        <f aca="false">IF($E360="","",IFERROR(INDEX(科目参数!$N$6:$N$85,MATCH($E360,科目参数!$M$6:$M$85,0)),""))</f>
        <v/>
      </c>
      <c r="T360" s="49" t="str">
        <f aca="false">IF($F360="","",IFERROR(INDEX(基础资料!$C$6:$C$35,MATCH($F360,基础资料!$A$6:$A$35,0)),""))</f>
        <v/>
      </c>
      <c r="U360" s="49" t="str">
        <f aca="false">IF($G360="","",IFERROR(INDEX(基础资料!$C$6:$C$35,MATCH($G360,基础资料!$A$6:$A$35,0)),""))</f>
        <v/>
      </c>
      <c r="V360" s="49" t="str">
        <f aca="false">IF(AND($G360=客户对账单!$B$3,$E360="客户回款",$B360&gt;=客户对账单!$E$3,$B360&lt;=客户对账单!$H$3),COUNTIFS($G$5:$G360,客户对账单!$B$3,$E$5:$E360,"客户回款",$B$5:$B360,"&gt;="&amp;客户对账单!$E$3,$B$5:$B360,"&lt;="&amp;客户对账单!$H$3),"")</f>
        <v/>
      </c>
      <c r="W360" s="49" t="str">
        <f aca="false">IF(AND($G360=供应商对账单!$B$3,$E360="供应商付款",$B360&gt;=供应商对账单!$E$3,$B360&lt;=供应商对账单!$H$3),COUNTIFS($G$5:$G360,供应商对账单!$B$3,$E$5:$E360,"供应商付款",$B$5:$B360,"&gt;="&amp;供应商对账单!$E$3,$B$5:$B360,"&lt;="&amp;供应商对账单!$H$3),"")</f>
        <v/>
      </c>
    </row>
    <row r="361" customFormat="false" ht="15.75" hidden="false" customHeight="true" outlineLevel="0" collapsed="false">
      <c r="A361" s="42" t="str">
        <f aca="false">IF($B361="","","ZJ"&amp;TEXT($B361,"yyyymm")&amp;"-"&amp;TEXT(ROW()-4,"000"))</f>
        <v/>
      </c>
      <c r="B361" s="41"/>
      <c r="C361" s="42" t="str">
        <f aca="false">IF($B361="","",TEXT($B361,"yyyy-mm"))</f>
        <v/>
      </c>
      <c r="D361" s="42" t="str">
        <f aca="false">IF($E361="","",IFERROR(INDEX(科目参数!$L$6:$L$85,MATCH($E361,科目参数!$M$6:$M$85,0)),"⚠"))</f>
        <v/>
      </c>
      <c r="E361" s="33"/>
      <c r="F361" s="33"/>
      <c r="G361" s="36"/>
      <c r="H361" s="33"/>
      <c r="I361" s="33"/>
      <c r="J361" s="36"/>
      <c r="K361" s="40"/>
      <c r="L361" s="40"/>
      <c r="M361" s="47" t="str">
        <f aca="false">IF($B361="","",IF(NOT(ISNUMBER($B361)),"日期不是日期格式",IF(YEAR($B361)&lt;&gt;首页!$B$3,"不在会计年度",IF($E361="","未选收支科目",IF($D361="⚠","收支科目不存在",IF($F361="","未选账户",IF($T361="","账户未设资金科目",IF(AND($D361="转账",$U361=""),"转入账户无效",IF(AND(N($K361)&gt;0,N($L361)&gt;0),"收支不能同时填",IF(AND($D361="收入",N($K361)&lt;=0),"收入金额须大于0",IF(AND($D361&lt;&gt;"收入",N($L361)&lt;=0),"支出金额须大于0",IF($O361="","借方科目缺失",IF($P361="","贷方科目缺失","√")))))))))))))</f>
        <v/>
      </c>
      <c r="N361" s="48" t="str">
        <f aca="false">IF($B361="","",IF($D361="收入",N($K361),N($L361)))</f>
        <v/>
      </c>
      <c r="O361" s="49" t="str">
        <f aca="false">IF($B361="","",IF($D361="收入",$T361,IF($D361="转账",$U361,$S361)))</f>
        <v/>
      </c>
      <c r="P361" s="49" t="str">
        <f aca="false">IF($B361="","",IF($D361="收入",$S361,$T361))</f>
        <v/>
      </c>
      <c r="Q361" s="50" t="str">
        <f aca="false">IF($E361="","",IF($D361="转账","—",IFERROR(INDEX(科目参数!$P$6:$P$85,MATCH($E361,科目参数!$M$6:$M$85,0)),"")))</f>
        <v/>
      </c>
      <c r="R361" s="48" t="str">
        <f aca="false">IF($B361="","",SUMIFS(期初数据!$B$6:$B$35,期初数据!$A$6:$A$35,$F361)+SUMIFS($N$5:$N361,$F$5:$F361,$F361,$D$5:$D361,"收入")-SUMIFS($N$5:$N361,$F$5:$F361,$F361,$D$5:$D361,"支出")-SUMIFS($N$5:$N361,$F$5:$F361,$F361,$D$5:$D361,"转账")+SUMIFS($N$5:$N361,$G$5:$G361,$F361,$D$5:$D361,"转账"))</f>
        <v/>
      </c>
      <c r="S361" s="49" t="str">
        <f aca="false">IF($E361="","",IFERROR(INDEX(科目参数!$N$6:$N$85,MATCH($E361,科目参数!$M$6:$M$85,0)),""))</f>
        <v/>
      </c>
      <c r="T361" s="49" t="str">
        <f aca="false">IF($F361="","",IFERROR(INDEX(基础资料!$C$6:$C$35,MATCH($F361,基础资料!$A$6:$A$35,0)),""))</f>
        <v/>
      </c>
      <c r="U361" s="49" t="str">
        <f aca="false">IF($G361="","",IFERROR(INDEX(基础资料!$C$6:$C$35,MATCH($G361,基础资料!$A$6:$A$35,0)),""))</f>
        <v/>
      </c>
      <c r="V361" s="49" t="str">
        <f aca="false">IF(AND($G361=客户对账单!$B$3,$E361="客户回款",$B361&gt;=客户对账单!$E$3,$B361&lt;=客户对账单!$H$3),COUNTIFS($G$5:$G361,客户对账单!$B$3,$E$5:$E361,"客户回款",$B$5:$B361,"&gt;="&amp;客户对账单!$E$3,$B$5:$B361,"&lt;="&amp;客户对账单!$H$3),"")</f>
        <v/>
      </c>
      <c r="W361" s="49" t="str">
        <f aca="false">IF(AND($G361=供应商对账单!$B$3,$E361="供应商付款",$B361&gt;=供应商对账单!$E$3,$B361&lt;=供应商对账单!$H$3),COUNTIFS($G$5:$G361,供应商对账单!$B$3,$E$5:$E361,"供应商付款",$B$5:$B361,"&gt;="&amp;供应商对账单!$E$3,$B$5:$B361,"&lt;="&amp;供应商对账单!$H$3),"")</f>
        <v/>
      </c>
    </row>
    <row r="362" customFormat="false" ht="15.75" hidden="false" customHeight="true" outlineLevel="0" collapsed="false">
      <c r="A362" s="42" t="str">
        <f aca="false">IF($B362="","","ZJ"&amp;TEXT($B362,"yyyymm")&amp;"-"&amp;TEXT(ROW()-4,"000"))</f>
        <v/>
      </c>
      <c r="B362" s="41"/>
      <c r="C362" s="42" t="str">
        <f aca="false">IF($B362="","",TEXT($B362,"yyyy-mm"))</f>
        <v/>
      </c>
      <c r="D362" s="42" t="str">
        <f aca="false">IF($E362="","",IFERROR(INDEX(科目参数!$L$6:$L$85,MATCH($E362,科目参数!$M$6:$M$85,0)),"⚠"))</f>
        <v/>
      </c>
      <c r="E362" s="33"/>
      <c r="F362" s="33"/>
      <c r="G362" s="36"/>
      <c r="H362" s="33"/>
      <c r="I362" s="33"/>
      <c r="J362" s="36"/>
      <c r="K362" s="40"/>
      <c r="L362" s="40"/>
      <c r="M362" s="47" t="str">
        <f aca="false">IF($B362="","",IF(NOT(ISNUMBER($B362)),"日期不是日期格式",IF(YEAR($B362)&lt;&gt;首页!$B$3,"不在会计年度",IF($E362="","未选收支科目",IF($D362="⚠","收支科目不存在",IF($F362="","未选账户",IF($T362="","账户未设资金科目",IF(AND($D362="转账",$U362=""),"转入账户无效",IF(AND(N($K362)&gt;0,N($L362)&gt;0),"收支不能同时填",IF(AND($D362="收入",N($K362)&lt;=0),"收入金额须大于0",IF(AND($D362&lt;&gt;"收入",N($L362)&lt;=0),"支出金额须大于0",IF($O362="","借方科目缺失",IF($P362="","贷方科目缺失","√")))))))))))))</f>
        <v/>
      </c>
      <c r="N362" s="48" t="str">
        <f aca="false">IF($B362="","",IF($D362="收入",N($K362),N($L362)))</f>
        <v/>
      </c>
      <c r="O362" s="49" t="str">
        <f aca="false">IF($B362="","",IF($D362="收入",$T362,IF($D362="转账",$U362,$S362)))</f>
        <v/>
      </c>
      <c r="P362" s="49" t="str">
        <f aca="false">IF($B362="","",IF($D362="收入",$S362,$T362))</f>
        <v/>
      </c>
      <c r="Q362" s="50" t="str">
        <f aca="false">IF($E362="","",IF($D362="转账","—",IFERROR(INDEX(科目参数!$P$6:$P$85,MATCH($E362,科目参数!$M$6:$M$85,0)),"")))</f>
        <v/>
      </c>
      <c r="R362" s="48" t="str">
        <f aca="false">IF($B362="","",SUMIFS(期初数据!$B$6:$B$35,期初数据!$A$6:$A$35,$F362)+SUMIFS($N$5:$N362,$F$5:$F362,$F362,$D$5:$D362,"收入")-SUMIFS($N$5:$N362,$F$5:$F362,$F362,$D$5:$D362,"支出")-SUMIFS($N$5:$N362,$F$5:$F362,$F362,$D$5:$D362,"转账")+SUMIFS($N$5:$N362,$G$5:$G362,$F362,$D$5:$D362,"转账"))</f>
        <v/>
      </c>
      <c r="S362" s="49" t="str">
        <f aca="false">IF($E362="","",IFERROR(INDEX(科目参数!$N$6:$N$85,MATCH($E362,科目参数!$M$6:$M$85,0)),""))</f>
        <v/>
      </c>
      <c r="T362" s="49" t="str">
        <f aca="false">IF($F362="","",IFERROR(INDEX(基础资料!$C$6:$C$35,MATCH($F362,基础资料!$A$6:$A$35,0)),""))</f>
        <v/>
      </c>
      <c r="U362" s="49" t="str">
        <f aca="false">IF($G362="","",IFERROR(INDEX(基础资料!$C$6:$C$35,MATCH($G362,基础资料!$A$6:$A$35,0)),""))</f>
        <v/>
      </c>
      <c r="V362" s="49" t="str">
        <f aca="false">IF(AND($G362=客户对账单!$B$3,$E362="客户回款",$B362&gt;=客户对账单!$E$3,$B362&lt;=客户对账单!$H$3),COUNTIFS($G$5:$G362,客户对账单!$B$3,$E$5:$E362,"客户回款",$B$5:$B362,"&gt;="&amp;客户对账单!$E$3,$B$5:$B362,"&lt;="&amp;客户对账单!$H$3),"")</f>
        <v/>
      </c>
      <c r="W362" s="49" t="str">
        <f aca="false">IF(AND($G362=供应商对账单!$B$3,$E362="供应商付款",$B362&gt;=供应商对账单!$E$3,$B362&lt;=供应商对账单!$H$3),COUNTIFS($G$5:$G362,供应商对账单!$B$3,$E$5:$E362,"供应商付款",$B$5:$B362,"&gt;="&amp;供应商对账单!$E$3,$B$5:$B362,"&lt;="&amp;供应商对账单!$H$3),"")</f>
        <v/>
      </c>
    </row>
    <row r="363" customFormat="false" ht="15.75" hidden="false" customHeight="true" outlineLevel="0" collapsed="false">
      <c r="A363" s="42" t="str">
        <f aca="false">IF($B363="","","ZJ"&amp;TEXT($B363,"yyyymm")&amp;"-"&amp;TEXT(ROW()-4,"000"))</f>
        <v/>
      </c>
      <c r="B363" s="41"/>
      <c r="C363" s="42" t="str">
        <f aca="false">IF($B363="","",TEXT($B363,"yyyy-mm"))</f>
        <v/>
      </c>
      <c r="D363" s="42" t="str">
        <f aca="false">IF($E363="","",IFERROR(INDEX(科目参数!$L$6:$L$85,MATCH($E363,科目参数!$M$6:$M$85,0)),"⚠"))</f>
        <v/>
      </c>
      <c r="E363" s="33"/>
      <c r="F363" s="33"/>
      <c r="G363" s="36"/>
      <c r="H363" s="33"/>
      <c r="I363" s="33"/>
      <c r="J363" s="36"/>
      <c r="K363" s="40"/>
      <c r="L363" s="40"/>
      <c r="M363" s="47" t="str">
        <f aca="false">IF($B363="","",IF(NOT(ISNUMBER($B363)),"日期不是日期格式",IF(YEAR($B363)&lt;&gt;首页!$B$3,"不在会计年度",IF($E363="","未选收支科目",IF($D363="⚠","收支科目不存在",IF($F363="","未选账户",IF($T363="","账户未设资金科目",IF(AND($D363="转账",$U363=""),"转入账户无效",IF(AND(N($K363)&gt;0,N($L363)&gt;0),"收支不能同时填",IF(AND($D363="收入",N($K363)&lt;=0),"收入金额须大于0",IF(AND($D363&lt;&gt;"收入",N($L363)&lt;=0),"支出金额须大于0",IF($O363="","借方科目缺失",IF($P363="","贷方科目缺失","√")))))))))))))</f>
        <v/>
      </c>
      <c r="N363" s="48" t="str">
        <f aca="false">IF($B363="","",IF($D363="收入",N($K363),N($L363)))</f>
        <v/>
      </c>
      <c r="O363" s="49" t="str">
        <f aca="false">IF($B363="","",IF($D363="收入",$T363,IF($D363="转账",$U363,$S363)))</f>
        <v/>
      </c>
      <c r="P363" s="49" t="str">
        <f aca="false">IF($B363="","",IF($D363="收入",$S363,$T363))</f>
        <v/>
      </c>
      <c r="Q363" s="50" t="str">
        <f aca="false">IF($E363="","",IF($D363="转账","—",IFERROR(INDEX(科目参数!$P$6:$P$85,MATCH($E363,科目参数!$M$6:$M$85,0)),"")))</f>
        <v/>
      </c>
      <c r="R363" s="48" t="str">
        <f aca="false">IF($B363="","",SUMIFS(期初数据!$B$6:$B$35,期初数据!$A$6:$A$35,$F363)+SUMIFS($N$5:$N363,$F$5:$F363,$F363,$D$5:$D363,"收入")-SUMIFS($N$5:$N363,$F$5:$F363,$F363,$D$5:$D363,"支出")-SUMIFS($N$5:$N363,$F$5:$F363,$F363,$D$5:$D363,"转账")+SUMIFS($N$5:$N363,$G$5:$G363,$F363,$D$5:$D363,"转账"))</f>
        <v/>
      </c>
      <c r="S363" s="49" t="str">
        <f aca="false">IF($E363="","",IFERROR(INDEX(科目参数!$N$6:$N$85,MATCH($E363,科目参数!$M$6:$M$85,0)),""))</f>
        <v/>
      </c>
      <c r="T363" s="49" t="str">
        <f aca="false">IF($F363="","",IFERROR(INDEX(基础资料!$C$6:$C$35,MATCH($F363,基础资料!$A$6:$A$35,0)),""))</f>
        <v/>
      </c>
      <c r="U363" s="49" t="str">
        <f aca="false">IF($G363="","",IFERROR(INDEX(基础资料!$C$6:$C$35,MATCH($G363,基础资料!$A$6:$A$35,0)),""))</f>
        <v/>
      </c>
      <c r="V363" s="49" t="str">
        <f aca="false">IF(AND($G363=客户对账单!$B$3,$E363="客户回款",$B363&gt;=客户对账单!$E$3,$B363&lt;=客户对账单!$H$3),COUNTIFS($G$5:$G363,客户对账单!$B$3,$E$5:$E363,"客户回款",$B$5:$B363,"&gt;="&amp;客户对账单!$E$3,$B$5:$B363,"&lt;="&amp;客户对账单!$H$3),"")</f>
        <v/>
      </c>
      <c r="W363" s="49" t="str">
        <f aca="false">IF(AND($G363=供应商对账单!$B$3,$E363="供应商付款",$B363&gt;=供应商对账单!$E$3,$B363&lt;=供应商对账单!$H$3),COUNTIFS($G$5:$G363,供应商对账单!$B$3,$E$5:$E363,"供应商付款",$B$5:$B363,"&gt;="&amp;供应商对账单!$E$3,$B$5:$B363,"&lt;="&amp;供应商对账单!$H$3),"")</f>
        <v/>
      </c>
    </row>
    <row r="364" customFormat="false" ht="15.75" hidden="false" customHeight="true" outlineLevel="0" collapsed="false">
      <c r="A364" s="42" t="str">
        <f aca="false">IF($B364="","","ZJ"&amp;TEXT($B364,"yyyymm")&amp;"-"&amp;TEXT(ROW()-4,"000"))</f>
        <v/>
      </c>
      <c r="B364" s="41"/>
      <c r="C364" s="42" t="str">
        <f aca="false">IF($B364="","",TEXT($B364,"yyyy-mm"))</f>
        <v/>
      </c>
      <c r="D364" s="42" t="str">
        <f aca="false">IF($E364="","",IFERROR(INDEX(科目参数!$L$6:$L$85,MATCH($E364,科目参数!$M$6:$M$85,0)),"⚠"))</f>
        <v/>
      </c>
      <c r="E364" s="33"/>
      <c r="F364" s="33"/>
      <c r="G364" s="36"/>
      <c r="H364" s="33"/>
      <c r="I364" s="33"/>
      <c r="J364" s="36"/>
      <c r="K364" s="40"/>
      <c r="L364" s="40"/>
      <c r="M364" s="47" t="str">
        <f aca="false">IF($B364="","",IF(NOT(ISNUMBER($B364)),"日期不是日期格式",IF(YEAR($B364)&lt;&gt;首页!$B$3,"不在会计年度",IF($E364="","未选收支科目",IF($D364="⚠","收支科目不存在",IF($F364="","未选账户",IF($T364="","账户未设资金科目",IF(AND($D364="转账",$U364=""),"转入账户无效",IF(AND(N($K364)&gt;0,N($L364)&gt;0),"收支不能同时填",IF(AND($D364="收入",N($K364)&lt;=0),"收入金额须大于0",IF(AND($D364&lt;&gt;"收入",N($L364)&lt;=0),"支出金额须大于0",IF($O364="","借方科目缺失",IF($P364="","贷方科目缺失","√")))))))))))))</f>
        <v/>
      </c>
      <c r="N364" s="48" t="str">
        <f aca="false">IF($B364="","",IF($D364="收入",N($K364),N($L364)))</f>
        <v/>
      </c>
      <c r="O364" s="49" t="str">
        <f aca="false">IF($B364="","",IF($D364="收入",$T364,IF($D364="转账",$U364,$S364)))</f>
        <v/>
      </c>
      <c r="P364" s="49" t="str">
        <f aca="false">IF($B364="","",IF($D364="收入",$S364,$T364))</f>
        <v/>
      </c>
      <c r="Q364" s="50" t="str">
        <f aca="false">IF($E364="","",IF($D364="转账","—",IFERROR(INDEX(科目参数!$P$6:$P$85,MATCH($E364,科目参数!$M$6:$M$85,0)),"")))</f>
        <v/>
      </c>
      <c r="R364" s="48" t="str">
        <f aca="false">IF($B364="","",SUMIFS(期初数据!$B$6:$B$35,期初数据!$A$6:$A$35,$F364)+SUMIFS($N$5:$N364,$F$5:$F364,$F364,$D$5:$D364,"收入")-SUMIFS($N$5:$N364,$F$5:$F364,$F364,$D$5:$D364,"支出")-SUMIFS($N$5:$N364,$F$5:$F364,$F364,$D$5:$D364,"转账")+SUMIFS($N$5:$N364,$G$5:$G364,$F364,$D$5:$D364,"转账"))</f>
        <v/>
      </c>
      <c r="S364" s="49" t="str">
        <f aca="false">IF($E364="","",IFERROR(INDEX(科目参数!$N$6:$N$85,MATCH($E364,科目参数!$M$6:$M$85,0)),""))</f>
        <v/>
      </c>
      <c r="T364" s="49" t="str">
        <f aca="false">IF($F364="","",IFERROR(INDEX(基础资料!$C$6:$C$35,MATCH($F364,基础资料!$A$6:$A$35,0)),""))</f>
        <v/>
      </c>
      <c r="U364" s="49" t="str">
        <f aca="false">IF($G364="","",IFERROR(INDEX(基础资料!$C$6:$C$35,MATCH($G364,基础资料!$A$6:$A$35,0)),""))</f>
        <v/>
      </c>
      <c r="V364" s="49" t="str">
        <f aca="false">IF(AND($G364=客户对账单!$B$3,$E364="客户回款",$B364&gt;=客户对账单!$E$3,$B364&lt;=客户对账单!$H$3),COUNTIFS($G$5:$G364,客户对账单!$B$3,$E$5:$E364,"客户回款",$B$5:$B364,"&gt;="&amp;客户对账单!$E$3,$B$5:$B364,"&lt;="&amp;客户对账单!$H$3),"")</f>
        <v/>
      </c>
      <c r="W364" s="49" t="str">
        <f aca="false">IF(AND($G364=供应商对账单!$B$3,$E364="供应商付款",$B364&gt;=供应商对账单!$E$3,$B364&lt;=供应商对账单!$H$3),COUNTIFS($G$5:$G364,供应商对账单!$B$3,$E$5:$E364,"供应商付款",$B$5:$B364,"&gt;="&amp;供应商对账单!$E$3,$B$5:$B364,"&lt;="&amp;供应商对账单!$H$3),"")</f>
        <v/>
      </c>
    </row>
    <row r="365" customFormat="false" ht="15.75" hidden="false" customHeight="true" outlineLevel="0" collapsed="false">
      <c r="A365" s="42" t="str">
        <f aca="false">IF($B365="","","ZJ"&amp;TEXT($B365,"yyyymm")&amp;"-"&amp;TEXT(ROW()-4,"000"))</f>
        <v/>
      </c>
      <c r="B365" s="41"/>
      <c r="C365" s="42" t="str">
        <f aca="false">IF($B365="","",TEXT($B365,"yyyy-mm"))</f>
        <v/>
      </c>
      <c r="D365" s="42" t="str">
        <f aca="false">IF($E365="","",IFERROR(INDEX(科目参数!$L$6:$L$85,MATCH($E365,科目参数!$M$6:$M$85,0)),"⚠"))</f>
        <v/>
      </c>
      <c r="E365" s="33"/>
      <c r="F365" s="33"/>
      <c r="G365" s="36"/>
      <c r="H365" s="33"/>
      <c r="I365" s="33"/>
      <c r="J365" s="36"/>
      <c r="K365" s="40"/>
      <c r="L365" s="40"/>
      <c r="M365" s="47" t="str">
        <f aca="false">IF($B365="","",IF(NOT(ISNUMBER($B365)),"日期不是日期格式",IF(YEAR($B365)&lt;&gt;首页!$B$3,"不在会计年度",IF($E365="","未选收支科目",IF($D365="⚠","收支科目不存在",IF($F365="","未选账户",IF($T365="","账户未设资金科目",IF(AND($D365="转账",$U365=""),"转入账户无效",IF(AND(N($K365)&gt;0,N($L365)&gt;0),"收支不能同时填",IF(AND($D365="收入",N($K365)&lt;=0),"收入金额须大于0",IF(AND($D365&lt;&gt;"收入",N($L365)&lt;=0),"支出金额须大于0",IF($O365="","借方科目缺失",IF($P365="","贷方科目缺失","√")))))))))))))</f>
        <v/>
      </c>
      <c r="N365" s="48" t="str">
        <f aca="false">IF($B365="","",IF($D365="收入",N($K365),N($L365)))</f>
        <v/>
      </c>
      <c r="O365" s="49" t="str">
        <f aca="false">IF($B365="","",IF($D365="收入",$T365,IF($D365="转账",$U365,$S365)))</f>
        <v/>
      </c>
      <c r="P365" s="49" t="str">
        <f aca="false">IF($B365="","",IF($D365="收入",$S365,$T365))</f>
        <v/>
      </c>
      <c r="Q365" s="50" t="str">
        <f aca="false">IF($E365="","",IF($D365="转账","—",IFERROR(INDEX(科目参数!$P$6:$P$85,MATCH($E365,科目参数!$M$6:$M$85,0)),"")))</f>
        <v/>
      </c>
      <c r="R365" s="48" t="str">
        <f aca="false">IF($B365="","",SUMIFS(期初数据!$B$6:$B$35,期初数据!$A$6:$A$35,$F365)+SUMIFS($N$5:$N365,$F$5:$F365,$F365,$D$5:$D365,"收入")-SUMIFS($N$5:$N365,$F$5:$F365,$F365,$D$5:$D365,"支出")-SUMIFS($N$5:$N365,$F$5:$F365,$F365,$D$5:$D365,"转账")+SUMIFS($N$5:$N365,$G$5:$G365,$F365,$D$5:$D365,"转账"))</f>
        <v/>
      </c>
      <c r="S365" s="49" t="str">
        <f aca="false">IF($E365="","",IFERROR(INDEX(科目参数!$N$6:$N$85,MATCH($E365,科目参数!$M$6:$M$85,0)),""))</f>
        <v/>
      </c>
      <c r="T365" s="49" t="str">
        <f aca="false">IF($F365="","",IFERROR(INDEX(基础资料!$C$6:$C$35,MATCH($F365,基础资料!$A$6:$A$35,0)),""))</f>
        <v/>
      </c>
      <c r="U365" s="49" t="str">
        <f aca="false">IF($G365="","",IFERROR(INDEX(基础资料!$C$6:$C$35,MATCH($G365,基础资料!$A$6:$A$35,0)),""))</f>
        <v/>
      </c>
      <c r="V365" s="49" t="str">
        <f aca="false">IF(AND($G365=客户对账单!$B$3,$E365="客户回款",$B365&gt;=客户对账单!$E$3,$B365&lt;=客户对账单!$H$3),COUNTIFS($G$5:$G365,客户对账单!$B$3,$E$5:$E365,"客户回款",$B$5:$B365,"&gt;="&amp;客户对账单!$E$3,$B$5:$B365,"&lt;="&amp;客户对账单!$H$3),"")</f>
        <v/>
      </c>
      <c r="W365" s="49" t="str">
        <f aca="false">IF(AND($G365=供应商对账单!$B$3,$E365="供应商付款",$B365&gt;=供应商对账单!$E$3,$B365&lt;=供应商对账单!$H$3),COUNTIFS($G$5:$G365,供应商对账单!$B$3,$E$5:$E365,"供应商付款",$B$5:$B365,"&gt;="&amp;供应商对账单!$E$3,$B$5:$B365,"&lt;="&amp;供应商对账单!$H$3),"")</f>
        <v/>
      </c>
    </row>
    <row r="366" customFormat="false" ht="15.75" hidden="false" customHeight="true" outlineLevel="0" collapsed="false">
      <c r="A366" s="42" t="str">
        <f aca="false">IF($B366="","","ZJ"&amp;TEXT($B366,"yyyymm")&amp;"-"&amp;TEXT(ROW()-4,"000"))</f>
        <v/>
      </c>
      <c r="B366" s="41"/>
      <c r="C366" s="42" t="str">
        <f aca="false">IF($B366="","",TEXT($B366,"yyyy-mm"))</f>
        <v/>
      </c>
      <c r="D366" s="42" t="str">
        <f aca="false">IF($E366="","",IFERROR(INDEX(科目参数!$L$6:$L$85,MATCH($E366,科目参数!$M$6:$M$85,0)),"⚠"))</f>
        <v/>
      </c>
      <c r="E366" s="33"/>
      <c r="F366" s="33"/>
      <c r="G366" s="36"/>
      <c r="H366" s="33"/>
      <c r="I366" s="33"/>
      <c r="J366" s="36"/>
      <c r="K366" s="40"/>
      <c r="L366" s="40"/>
      <c r="M366" s="47" t="str">
        <f aca="false">IF($B366="","",IF(NOT(ISNUMBER($B366)),"日期不是日期格式",IF(YEAR($B366)&lt;&gt;首页!$B$3,"不在会计年度",IF($E366="","未选收支科目",IF($D366="⚠","收支科目不存在",IF($F366="","未选账户",IF($T366="","账户未设资金科目",IF(AND($D366="转账",$U366=""),"转入账户无效",IF(AND(N($K366)&gt;0,N($L366)&gt;0),"收支不能同时填",IF(AND($D366="收入",N($K366)&lt;=0),"收入金额须大于0",IF(AND($D366&lt;&gt;"收入",N($L366)&lt;=0),"支出金额须大于0",IF($O366="","借方科目缺失",IF($P366="","贷方科目缺失","√")))))))))))))</f>
        <v/>
      </c>
      <c r="N366" s="48" t="str">
        <f aca="false">IF($B366="","",IF($D366="收入",N($K366),N($L366)))</f>
        <v/>
      </c>
      <c r="O366" s="49" t="str">
        <f aca="false">IF($B366="","",IF($D366="收入",$T366,IF($D366="转账",$U366,$S366)))</f>
        <v/>
      </c>
      <c r="P366" s="49" t="str">
        <f aca="false">IF($B366="","",IF($D366="收入",$S366,$T366))</f>
        <v/>
      </c>
      <c r="Q366" s="50" t="str">
        <f aca="false">IF($E366="","",IF($D366="转账","—",IFERROR(INDEX(科目参数!$P$6:$P$85,MATCH($E366,科目参数!$M$6:$M$85,0)),"")))</f>
        <v/>
      </c>
      <c r="R366" s="48" t="str">
        <f aca="false">IF($B366="","",SUMIFS(期初数据!$B$6:$B$35,期初数据!$A$6:$A$35,$F366)+SUMIFS($N$5:$N366,$F$5:$F366,$F366,$D$5:$D366,"收入")-SUMIFS($N$5:$N366,$F$5:$F366,$F366,$D$5:$D366,"支出")-SUMIFS($N$5:$N366,$F$5:$F366,$F366,$D$5:$D366,"转账")+SUMIFS($N$5:$N366,$G$5:$G366,$F366,$D$5:$D366,"转账"))</f>
        <v/>
      </c>
      <c r="S366" s="49" t="str">
        <f aca="false">IF($E366="","",IFERROR(INDEX(科目参数!$N$6:$N$85,MATCH($E366,科目参数!$M$6:$M$85,0)),""))</f>
        <v/>
      </c>
      <c r="T366" s="49" t="str">
        <f aca="false">IF($F366="","",IFERROR(INDEX(基础资料!$C$6:$C$35,MATCH($F366,基础资料!$A$6:$A$35,0)),""))</f>
        <v/>
      </c>
      <c r="U366" s="49" t="str">
        <f aca="false">IF($G366="","",IFERROR(INDEX(基础资料!$C$6:$C$35,MATCH($G366,基础资料!$A$6:$A$35,0)),""))</f>
        <v/>
      </c>
      <c r="V366" s="49" t="str">
        <f aca="false">IF(AND($G366=客户对账单!$B$3,$E366="客户回款",$B366&gt;=客户对账单!$E$3,$B366&lt;=客户对账单!$H$3),COUNTIFS($G$5:$G366,客户对账单!$B$3,$E$5:$E366,"客户回款",$B$5:$B366,"&gt;="&amp;客户对账单!$E$3,$B$5:$B366,"&lt;="&amp;客户对账单!$H$3),"")</f>
        <v/>
      </c>
      <c r="W366" s="49" t="str">
        <f aca="false">IF(AND($G366=供应商对账单!$B$3,$E366="供应商付款",$B366&gt;=供应商对账单!$E$3,$B366&lt;=供应商对账单!$H$3),COUNTIFS($G$5:$G366,供应商对账单!$B$3,$E$5:$E366,"供应商付款",$B$5:$B366,"&gt;="&amp;供应商对账单!$E$3,$B$5:$B366,"&lt;="&amp;供应商对账单!$H$3),"")</f>
        <v/>
      </c>
    </row>
    <row r="367" customFormat="false" ht="15.75" hidden="false" customHeight="true" outlineLevel="0" collapsed="false">
      <c r="A367" s="42" t="str">
        <f aca="false">IF($B367="","","ZJ"&amp;TEXT($B367,"yyyymm")&amp;"-"&amp;TEXT(ROW()-4,"000"))</f>
        <v/>
      </c>
      <c r="B367" s="41"/>
      <c r="C367" s="42" t="str">
        <f aca="false">IF($B367="","",TEXT($B367,"yyyy-mm"))</f>
        <v/>
      </c>
      <c r="D367" s="42" t="str">
        <f aca="false">IF($E367="","",IFERROR(INDEX(科目参数!$L$6:$L$85,MATCH($E367,科目参数!$M$6:$M$85,0)),"⚠"))</f>
        <v/>
      </c>
      <c r="E367" s="33"/>
      <c r="F367" s="33"/>
      <c r="G367" s="36"/>
      <c r="H367" s="33"/>
      <c r="I367" s="33"/>
      <c r="J367" s="36"/>
      <c r="K367" s="40"/>
      <c r="L367" s="40"/>
      <c r="M367" s="47" t="str">
        <f aca="false">IF($B367="","",IF(NOT(ISNUMBER($B367)),"日期不是日期格式",IF(YEAR($B367)&lt;&gt;首页!$B$3,"不在会计年度",IF($E367="","未选收支科目",IF($D367="⚠","收支科目不存在",IF($F367="","未选账户",IF($T367="","账户未设资金科目",IF(AND($D367="转账",$U367=""),"转入账户无效",IF(AND(N($K367)&gt;0,N($L367)&gt;0),"收支不能同时填",IF(AND($D367="收入",N($K367)&lt;=0),"收入金额须大于0",IF(AND($D367&lt;&gt;"收入",N($L367)&lt;=0),"支出金额须大于0",IF($O367="","借方科目缺失",IF($P367="","贷方科目缺失","√")))))))))))))</f>
        <v/>
      </c>
      <c r="N367" s="48" t="str">
        <f aca="false">IF($B367="","",IF($D367="收入",N($K367),N($L367)))</f>
        <v/>
      </c>
      <c r="O367" s="49" t="str">
        <f aca="false">IF($B367="","",IF($D367="收入",$T367,IF($D367="转账",$U367,$S367)))</f>
        <v/>
      </c>
      <c r="P367" s="49" t="str">
        <f aca="false">IF($B367="","",IF($D367="收入",$S367,$T367))</f>
        <v/>
      </c>
      <c r="Q367" s="50" t="str">
        <f aca="false">IF($E367="","",IF($D367="转账","—",IFERROR(INDEX(科目参数!$P$6:$P$85,MATCH($E367,科目参数!$M$6:$M$85,0)),"")))</f>
        <v/>
      </c>
      <c r="R367" s="48" t="str">
        <f aca="false">IF($B367="","",SUMIFS(期初数据!$B$6:$B$35,期初数据!$A$6:$A$35,$F367)+SUMIFS($N$5:$N367,$F$5:$F367,$F367,$D$5:$D367,"收入")-SUMIFS($N$5:$N367,$F$5:$F367,$F367,$D$5:$D367,"支出")-SUMIFS($N$5:$N367,$F$5:$F367,$F367,$D$5:$D367,"转账")+SUMIFS($N$5:$N367,$G$5:$G367,$F367,$D$5:$D367,"转账"))</f>
        <v/>
      </c>
      <c r="S367" s="49" t="str">
        <f aca="false">IF($E367="","",IFERROR(INDEX(科目参数!$N$6:$N$85,MATCH($E367,科目参数!$M$6:$M$85,0)),""))</f>
        <v/>
      </c>
      <c r="T367" s="49" t="str">
        <f aca="false">IF($F367="","",IFERROR(INDEX(基础资料!$C$6:$C$35,MATCH($F367,基础资料!$A$6:$A$35,0)),""))</f>
        <v/>
      </c>
      <c r="U367" s="49" t="str">
        <f aca="false">IF($G367="","",IFERROR(INDEX(基础资料!$C$6:$C$35,MATCH($G367,基础资料!$A$6:$A$35,0)),""))</f>
        <v/>
      </c>
      <c r="V367" s="49" t="str">
        <f aca="false">IF(AND($G367=客户对账单!$B$3,$E367="客户回款",$B367&gt;=客户对账单!$E$3,$B367&lt;=客户对账单!$H$3),COUNTIFS($G$5:$G367,客户对账单!$B$3,$E$5:$E367,"客户回款",$B$5:$B367,"&gt;="&amp;客户对账单!$E$3,$B$5:$B367,"&lt;="&amp;客户对账单!$H$3),"")</f>
        <v/>
      </c>
      <c r="W367" s="49" t="str">
        <f aca="false">IF(AND($G367=供应商对账单!$B$3,$E367="供应商付款",$B367&gt;=供应商对账单!$E$3,$B367&lt;=供应商对账单!$H$3),COUNTIFS($G$5:$G367,供应商对账单!$B$3,$E$5:$E367,"供应商付款",$B$5:$B367,"&gt;="&amp;供应商对账单!$E$3,$B$5:$B367,"&lt;="&amp;供应商对账单!$H$3),"")</f>
        <v/>
      </c>
    </row>
    <row r="368" customFormat="false" ht="15.75" hidden="false" customHeight="true" outlineLevel="0" collapsed="false">
      <c r="A368" s="42" t="str">
        <f aca="false">IF($B368="","","ZJ"&amp;TEXT($B368,"yyyymm")&amp;"-"&amp;TEXT(ROW()-4,"000"))</f>
        <v/>
      </c>
      <c r="B368" s="41"/>
      <c r="C368" s="42" t="str">
        <f aca="false">IF($B368="","",TEXT($B368,"yyyy-mm"))</f>
        <v/>
      </c>
      <c r="D368" s="42" t="str">
        <f aca="false">IF($E368="","",IFERROR(INDEX(科目参数!$L$6:$L$85,MATCH($E368,科目参数!$M$6:$M$85,0)),"⚠"))</f>
        <v/>
      </c>
      <c r="E368" s="33"/>
      <c r="F368" s="33"/>
      <c r="G368" s="36"/>
      <c r="H368" s="33"/>
      <c r="I368" s="33"/>
      <c r="J368" s="36"/>
      <c r="K368" s="40"/>
      <c r="L368" s="40"/>
      <c r="M368" s="47" t="str">
        <f aca="false">IF($B368="","",IF(NOT(ISNUMBER($B368)),"日期不是日期格式",IF(YEAR($B368)&lt;&gt;首页!$B$3,"不在会计年度",IF($E368="","未选收支科目",IF($D368="⚠","收支科目不存在",IF($F368="","未选账户",IF($T368="","账户未设资金科目",IF(AND($D368="转账",$U368=""),"转入账户无效",IF(AND(N($K368)&gt;0,N($L368)&gt;0),"收支不能同时填",IF(AND($D368="收入",N($K368)&lt;=0),"收入金额须大于0",IF(AND($D368&lt;&gt;"收入",N($L368)&lt;=0),"支出金额须大于0",IF($O368="","借方科目缺失",IF($P368="","贷方科目缺失","√")))))))))))))</f>
        <v/>
      </c>
      <c r="N368" s="48" t="str">
        <f aca="false">IF($B368="","",IF($D368="收入",N($K368),N($L368)))</f>
        <v/>
      </c>
      <c r="O368" s="49" t="str">
        <f aca="false">IF($B368="","",IF($D368="收入",$T368,IF($D368="转账",$U368,$S368)))</f>
        <v/>
      </c>
      <c r="P368" s="49" t="str">
        <f aca="false">IF($B368="","",IF($D368="收入",$S368,$T368))</f>
        <v/>
      </c>
      <c r="Q368" s="50" t="str">
        <f aca="false">IF($E368="","",IF($D368="转账","—",IFERROR(INDEX(科目参数!$P$6:$P$85,MATCH($E368,科目参数!$M$6:$M$85,0)),"")))</f>
        <v/>
      </c>
      <c r="R368" s="48" t="str">
        <f aca="false">IF($B368="","",SUMIFS(期初数据!$B$6:$B$35,期初数据!$A$6:$A$35,$F368)+SUMIFS($N$5:$N368,$F$5:$F368,$F368,$D$5:$D368,"收入")-SUMIFS($N$5:$N368,$F$5:$F368,$F368,$D$5:$D368,"支出")-SUMIFS($N$5:$N368,$F$5:$F368,$F368,$D$5:$D368,"转账")+SUMIFS($N$5:$N368,$G$5:$G368,$F368,$D$5:$D368,"转账"))</f>
        <v/>
      </c>
      <c r="S368" s="49" t="str">
        <f aca="false">IF($E368="","",IFERROR(INDEX(科目参数!$N$6:$N$85,MATCH($E368,科目参数!$M$6:$M$85,0)),""))</f>
        <v/>
      </c>
      <c r="T368" s="49" t="str">
        <f aca="false">IF($F368="","",IFERROR(INDEX(基础资料!$C$6:$C$35,MATCH($F368,基础资料!$A$6:$A$35,0)),""))</f>
        <v/>
      </c>
      <c r="U368" s="49" t="str">
        <f aca="false">IF($G368="","",IFERROR(INDEX(基础资料!$C$6:$C$35,MATCH($G368,基础资料!$A$6:$A$35,0)),""))</f>
        <v/>
      </c>
      <c r="V368" s="49" t="str">
        <f aca="false">IF(AND($G368=客户对账单!$B$3,$E368="客户回款",$B368&gt;=客户对账单!$E$3,$B368&lt;=客户对账单!$H$3),COUNTIFS($G$5:$G368,客户对账单!$B$3,$E$5:$E368,"客户回款",$B$5:$B368,"&gt;="&amp;客户对账单!$E$3,$B$5:$B368,"&lt;="&amp;客户对账单!$H$3),"")</f>
        <v/>
      </c>
      <c r="W368" s="49" t="str">
        <f aca="false">IF(AND($G368=供应商对账单!$B$3,$E368="供应商付款",$B368&gt;=供应商对账单!$E$3,$B368&lt;=供应商对账单!$H$3),COUNTIFS($G$5:$G368,供应商对账单!$B$3,$E$5:$E368,"供应商付款",$B$5:$B368,"&gt;="&amp;供应商对账单!$E$3,$B$5:$B368,"&lt;="&amp;供应商对账单!$H$3),"")</f>
        <v/>
      </c>
    </row>
    <row r="369" customFormat="false" ht="15.75" hidden="false" customHeight="true" outlineLevel="0" collapsed="false">
      <c r="A369" s="42" t="str">
        <f aca="false">IF($B369="","","ZJ"&amp;TEXT($B369,"yyyymm")&amp;"-"&amp;TEXT(ROW()-4,"000"))</f>
        <v/>
      </c>
      <c r="B369" s="41"/>
      <c r="C369" s="42" t="str">
        <f aca="false">IF($B369="","",TEXT($B369,"yyyy-mm"))</f>
        <v/>
      </c>
      <c r="D369" s="42" t="str">
        <f aca="false">IF($E369="","",IFERROR(INDEX(科目参数!$L$6:$L$85,MATCH($E369,科目参数!$M$6:$M$85,0)),"⚠"))</f>
        <v/>
      </c>
      <c r="E369" s="33"/>
      <c r="F369" s="33"/>
      <c r="G369" s="36"/>
      <c r="H369" s="33"/>
      <c r="I369" s="33"/>
      <c r="J369" s="36"/>
      <c r="K369" s="40"/>
      <c r="L369" s="40"/>
      <c r="M369" s="47" t="str">
        <f aca="false">IF($B369="","",IF(NOT(ISNUMBER($B369)),"日期不是日期格式",IF(YEAR($B369)&lt;&gt;首页!$B$3,"不在会计年度",IF($E369="","未选收支科目",IF($D369="⚠","收支科目不存在",IF($F369="","未选账户",IF($T369="","账户未设资金科目",IF(AND($D369="转账",$U369=""),"转入账户无效",IF(AND(N($K369)&gt;0,N($L369)&gt;0),"收支不能同时填",IF(AND($D369="收入",N($K369)&lt;=0),"收入金额须大于0",IF(AND($D369&lt;&gt;"收入",N($L369)&lt;=0),"支出金额须大于0",IF($O369="","借方科目缺失",IF($P369="","贷方科目缺失","√")))))))))))))</f>
        <v/>
      </c>
      <c r="N369" s="48" t="str">
        <f aca="false">IF($B369="","",IF($D369="收入",N($K369),N($L369)))</f>
        <v/>
      </c>
      <c r="O369" s="49" t="str">
        <f aca="false">IF($B369="","",IF($D369="收入",$T369,IF($D369="转账",$U369,$S369)))</f>
        <v/>
      </c>
      <c r="P369" s="49" t="str">
        <f aca="false">IF($B369="","",IF($D369="收入",$S369,$T369))</f>
        <v/>
      </c>
      <c r="Q369" s="50" t="str">
        <f aca="false">IF($E369="","",IF($D369="转账","—",IFERROR(INDEX(科目参数!$P$6:$P$85,MATCH($E369,科目参数!$M$6:$M$85,0)),"")))</f>
        <v/>
      </c>
      <c r="R369" s="48" t="str">
        <f aca="false">IF($B369="","",SUMIFS(期初数据!$B$6:$B$35,期初数据!$A$6:$A$35,$F369)+SUMIFS($N$5:$N369,$F$5:$F369,$F369,$D$5:$D369,"收入")-SUMIFS($N$5:$N369,$F$5:$F369,$F369,$D$5:$D369,"支出")-SUMIFS($N$5:$N369,$F$5:$F369,$F369,$D$5:$D369,"转账")+SUMIFS($N$5:$N369,$G$5:$G369,$F369,$D$5:$D369,"转账"))</f>
        <v/>
      </c>
      <c r="S369" s="49" t="str">
        <f aca="false">IF($E369="","",IFERROR(INDEX(科目参数!$N$6:$N$85,MATCH($E369,科目参数!$M$6:$M$85,0)),""))</f>
        <v/>
      </c>
      <c r="T369" s="49" t="str">
        <f aca="false">IF($F369="","",IFERROR(INDEX(基础资料!$C$6:$C$35,MATCH($F369,基础资料!$A$6:$A$35,0)),""))</f>
        <v/>
      </c>
      <c r="U369" s="49" t="str">
        <f aca="false">IF($G369="","",IFERROR(INDEX(基础资料!$C$6:$C$35,MATCH($G369,基础资料!$A$6:$A$35,0)),""))</f>
        <v/>
      </c>
      <c r="V369" s="49" t="str">
        <f aca="false">IF(AND($G369=客户对账单!$B$3,$E369="客户回款",$B369&gt;=客户对账单!$E$3,$B369&lt;=客户对账单!$H$3),COUNTIFS($G$5:$G369,客户对账单!$B$3,$E$5:$E369,"客户回款",$B$5:$B369,"&gt;="&amp;客户对账单!$E$3,$B$5:$B369,"&lt;="&amp;客户对账单!$H$3),"")</f>
        <v/>
      </c>
      <c r="W369" s="49" t="str">
        <f aca="false">IF(AND($G369=供应商对账单!$B$3,$E369="供应商付款",$B369&gt;=供应商对账单!$E$3,$B369&lt;=供应商对账单!$H$3),COUNTIFS($G$5:$G369,供应商对账单!$B$3,$E$5:$E369,"供应商付款",$B$5:$B369,"&gt;="&amp;供应商对账单!$E$3,$B$5:$B369,"&lt;="&amp;供应商对账单!$H$3),"")</f>
        <v/>
      </c>
    </row>
    <row r="370" customFormat="false" ht="15.75" hidden="false" customHeight="true" outlineLevel="0" collapsed="false">
      <c r="A370" s="42" t="str">
        <f aca="false">IF($B370="","","ZJ"&amp;TEXT($B370,"yyyymm")&amp;"-"&amp;TEXT(ROW()-4,"000"))</f>
        <v/>
      </c>
      <c r="B370" s="41"/>
      <c r="C370" s="42" t="str">
        <f aca="false">IF($B370="","",TEXT($B370,"yyyy-mm"))</f>
        <v/>
      </c>
      <c r="D370" s="42" t="str">
        <f aca="false">IF($E370="","",IFERROR(INDEX(科目参数!$L$6:$L$85,MATCH($E370,科目参数!$M$6:$M$85,0)),"⚠"))</f>
        <v/>
      </c>
      <c r="E370" s="33"/>
      <c r="F370" s="33"/>
      <c r="G370" s="36"/>
      <c r="H370" s="33"/>
      <c r="I370" s="33"/>
      <c r="J370" s="36"/>
      <c r="K370" s="40"/>
      <c r="L370" s="40"/>
      <c r="M370" s="47" t="str">
        <f aca="false">IF($B370="","",IF(NOT(ISNUMBER($B370)),"日期不是日期格式",IF(YEAR($B370)&lt;&gt;首页!$B$3,"不在会计年度",IF($E370="","未选收支科目",IF($D370="⚠","收支科目不存在",IF($F370="","未选账户",IF($T370="","账户未设资金科目",IF(AND($D370="转账",$U370=""),"转入账户无效",IF(AND(N($K370)&gt;0,N($L370)&gt;0),"收支不能同时填",IF(AND($D370="收入",N($K370)&lt;=0),"收入金额须大于0",IF(AND($D370&lt;&gt;"收入",N($L370)&lt;=0),"支出金额须大于0",IF($O370="","借方科目缺失",IF($P370="","贷方科目缺失","√")))))))))))))</f>
        <v/>
      </c>
      <c r="N370" s="48" t="str">
        <f aca="false">IF($B370="","",IF($D370="收入",N($K370),N($L370)))</f>
        <v/>
      </c>
      <c r="O370" s="49" t="str">
        <f aca="false">IF($B370="","",IF($D370="收入",$T370,IF($D370="转账",$U370,$S370)))</f>
        <v/>
      </c>
      <c r="P370" s="49" t="str">
        <f aca="false">IF($B370="","",IF($D370="收入",$S370,$T370))</f>
        <v/>
      </c>
      <c r="Q370" s="50" t="str">
        <f aca="false">IF($E370="","",IF($D370="转账","—",IFERROR(INDEX(科目参数!$P$6:$P$85,MATCH($E370,科目参数!$M$6:$M$85,0)),"")))</f>
        <v/>
      </c>
      <c r="R370" s="48" t="str">
        <f aca="false">IF($B370="","",SUMIFS(期初数据!$B$6:$B$35,期初数据!$A$6:$A$35,$F370)+SUMIFS($N$5:$N370,$F$5:$F370,$F370,$D$5:$D370,"收入")-SUMIFS($N$5:$N370,$F$5:$F370,$F370,$D$5:$D370,"支出")-SUMIFS($N$5:$N370,$F$5:$F370,$F370,$D$5:$D370,"转账")+SUMIFS($N$5:$N370,$G$5:$G370,$F370,$D$5:$D370,"转账"))</f>
        <v/>
      </c>
      <c r="S370" s="49" t="str">
        <f aca="false">IF($E370="","",IFERROR(INDEX(科目参数!$N$6:$N$85,MATCH($E370,科目参数!$M$6:$M$85,0)),""))</f>
        <v/>
      </c>
      <c r="T370" s="49" t="str">
        <f aca="false">IF($F370="","",IFERROR(INDEX(基础资料!$C$6:$C$35,MATCH($F370,基础资料!$A$6:$A$35,0)),""))</f>
        <v/>
      </c>
      <c r="U370" s="49" t="str">
        <f aca="false">IF($G370="","",IFERROR(INDEX(基础资料!$C$6:$C$35,MATCH($G370,基础资料!$A$6:$A$35,0)),""))</f>
        <v/>
      </c>
      <c r="V370" s="49" t="str">
        <f aca="false">IF(AND($G370=客户对账单!$B$3,$E370="客户回款",$B370&gt;=客户对账单!$E$3,$B370&lt;=客户对账单!$H$3),COUNTIFS($G$5:$G370,客户对账单!$B$3,$E$5:$E370,"客户回款",$B$5:$B370,"&gt;="&amp;客户对账单!$E$3,$B$5:$B370,"&lt;="&amp;客户对账单!$H$3),"")</f>
        <v/>
      </c>
      <c r="W370" s="49" t="str">
        <f aca="false">IF(AND($G370=供应商对账单!$B$3,$E370="供应商付款",$B370&gt;=供应商对账单!$E$3,$B370&lt;=供应商对账单!$H$3),COUNTIFS($G$5:$G370,供应商对账单!$B$3,$E$5:$E370,"供应商付款",$B$5:$B370,"&gt;="&amp;供应商对账单!$E$3,$B$5:$B370,"&lt;="&amp;供应商对账单!$H$3),"")</f>
        <v/>
      </c>
    </row>
    <row r="371" customFormat="false" ht="15.75" hidden="false" customHeight="true" outlineLevel="0" collapsed="false">
      <c r="A371" s="42" t="str">
        <f aca="false">IF($B371="","","ZJ"&amp;TEXT($B371,"yyyymm")&amp;"-"&amp;TEXT(ROW()-4,"000"))</f>
        <v/>
      </c>
      <c r="B371" s="41"/>
      <c r="C371" s="42" t="str">
        <f aca="false">IF($B371="","",TEXT($B371,"yyyy-mm"))</f>
        <v/>
      </c>
      <c r="D371" s="42" t="str">
        <f aca="false">IF($E371="","",IFERROR(INDEX(科目参数!$L$6:$L$85,MATCH($E371,科目参数!$M$6:$M$85,0)),"⚠"))</f>
        <v/>
      </c>
      <c r="E371" s="33"/>
      <c r="F371" s="33"/>
      <c r="G371" s="36"/>
      <c r="H371" s="33"/>
      <c r="I371" s="33"/>
      <c r="J371" s="36"/>
      <c r="K371" s="40"/>
      <c r="L371" s="40"/>
      <c r="M371" s="47" t="str">
        <f aca="false">IF($B371="","",IF(NOT(ISNUMBER($B371)),"日期不是日期格式",IF(YEAR($B371)&lt;&gt;首页!$B$3,"不在会计年度",IF($E371="","未选收支科目",IF($D371="⚠","收支科目不存在",IF($F371="","未选账户",IF($T371="","账户未设资金科目",IF(AND($D371="转账",$U371=""),"转入账户无效",IF(AND(N($K371)&gt;0,N($L371)&gt;0),"收支不能同时填",IF(AND($D371="收入",N($K371)&lt;=0),"收入金额须大于0",IF(AND($D371&lt;&gt;"收入",N($L371)&lt;=0),"支出金额须大于0",IF($O371="","借方科目缺失",IF($P371="","贷方科目缺失","√")))))))))))))</f>
        <v/>
      </c>
      <c r="N371" s="48" t="str">
        <f aca="false">IF($B371="","",IF($D371="收入",N($K371),N($L371)))</f>
        <v/>
      </c>
      <c r="O371" s="49" t="str">
        <f aca="false">IF($B371="","",IF($D371="收入",$T371,IF($D371="转账",$U371,$S371)))</f>
        <v/>
      </c>
      <c r="P371" s="49" t="str">
        <f aca="false">IF($B371="","",IF($D371="收入",$S371,$T371))</f>
        <v/>
      </c>
      <c r="Q371" s="50" t="str">
        <f aca="false">IF($E371="","",IF($D371="转账","—",IFERROR(INDEX(科目参数!$P$6:$P$85,MATCH($E371,科目参数!$M$6:$M$85,0)),"")))</f>
        <v/>
      </c>
      <c r="R371" s="48" t="str">
        <f aca="false">IF($B371="","",SUMIFS(期初数据!$B$6:$B$35,期初数据!$A$6:$A$35,$F371)+SUMIFS($N$5:$N371,$F$5:$F371,$F371,$D$5:$D371,"收入")-SUMIFS($N$5:$N371,$F$5:$F371,$F371,$D$5:$D371,"支出")-SUMIFS($N$5:$N371,$F$5:$F371,$F371,$D$5:$D371,"转账")+SUMIFS($N$5:$N371,$G$5:$G371,$F371,$D$5:$D371,"转账"))</f>
        <v/>
      </c>
      <c r="S371" s="49" t="str">
        <f aca="false">IF($E371="","",IFERROR(INDEX(科目参数!$N$6:$N$85,MATCH($E371,科目参数!$M$6:$M$85,0)),""))</f>
        <v/>
      </c>
      <c r="T371" s="49" t="str">
        <f aca="false">IF($F371="","",IFERROR(INDEX(基础资料!$C$6:$C$35,MATCH($F371,基础资料!$A$6:$A$35,0)),""))</f>
        <v/>
      </c>
      <c r="U371" s="49" t="str">
        <f aca="false">IF($G371="","",IFERROR(INDEX(基础资料!$C$6:$C$35,MATCH($G371,基础资料!$A$6:$A$35,0)),""))</f>
        <v/>
      </c>
      <c r="V371" s="49" t="str">
        <f aca="false">IF(AND($G371=客户对账单!$B$3,$E371="客户回款",$B371&gt;=客户对账单!$E$3,$B371&lt;=客户对账单!$H$3),COUNTIFS($G$5:$G371,客户对账单!$B$3,$E$5:$E371,"客户回款",$B$5:$B371,"&gt;="&amp;客户对账单!$E$3,$B$5:$B371,"&lt;="&amp;客户对账单!$H$3),"")</f>
        <v/>
      </c>
      <c r="W371" s="49" t="str">
        <f aca="false">IF(AND($G371=供应商对账单!$B$3,$E371="供应商付款",$B371&gt;=供应商对账单!$E$3,$B371&lt;=供应商对账单!$H$3),COUNTIFS($G$5:$G371,供应商对账单!$B$3,$E$5:$E371,"供应商付款",$B$5:$B371,"&gt;="&amp;供应商对账单!$E$3,$B$5:$B371,"&lt;="&amp;供应商对账单!$H$3),"")</f>
        <v/>
      </c>
    </row>
    <row r="372" customFormat="false" ht="15.75" hidden="false" customHeight="true" outlineLevel="0" collapsed="false">
      <c r="A372" s="42" t="str">
        <f aca="false">IF($B372="","","ZJ"&amp;TEXT($B372,"yyyymm")&amp;"-"&amp;TEXT(ROW()-4,"000"))</f>
        <v/>
      </c>
      <c r="B372" s="41"/>
      <c r="C372" s="42" t="str">
        <f aca="false">IF($B372="","",TEXT($B372,"yyyy-mm"))</f>
        <v/>
      </c>
      <c r="D372" s="42" t="str">
        <f aca="false">IF($E372="","",IFERROR(INDEX(科目参数!$L$6:$L$85,MATCH($E372,科目参数!$M$6:$M$85,0)),"⚠"))</f>
        <v/>
      </c>
      <c r="E372" s="33"/>
      <c r="F372" s="33"/>
      <c r="G372" s="36"/>
      <c r="H372" s="33"/>
      <c r="I372" s="33"/>
      <c r="J372" s="36"/>
      <c r="K372" s="40"/>
      <c r="L372" s="40"/>
      <c r="M372" s="47" t="str">
        <f aca="false">IF($B372="","",IF(NOT(ISNUMBER($B372)),"日期不是日期格式",IF(YEAR($B372)&lt;&gt;首页!$B$3,"不在会计年度",IF($E372="","未选收支科目",IF($D372="⚠","收支科目不存在",IF($F372="","未选账户",IF($T372="","账户未设资金科目",IF(AND($D372="转账",$U372=""),"转入账户无效",IF(AND(N($K372)&gt;0,N($L372)&gt;0),"收支不能同时填",IF(AND($D372="收入",N($K372)&lt;=0),"收入金额须大于0",IF(AND($D372&lt;&gt;"收入",N($L372)&lt;=0),"支出金额须大于0",IF($O372="","借方科目缺失",IF($P372="","贷方科目缺失","√")))))))))))))</f>
        <v/>
      </c>
      <c r="N372" s="48" t="str">
        <f aca="false">IF($B372="","",IF($D372="收入",N($K372),N($L372)))</f>
        <v/>
      </c>
      <c r="O372" s="49" t="str">
        <f aca="false">IF($B372="","",IF($D372="收入",$T372,IF($D372="转账",$U372,$S372)))</f>
        <v/>
      </c>
      <c r="P372" s="49" t="str">
        <f aca="false">IF($B372="","",IF($D372="收入",$S372,$T372))</f>
        <v/>
      </c>
      <c r="Q372" s="50" t="str">
        <f aca="false">IF($E372="","",IF($D372="转账","—",IFERROR(INDEX(科目参数!$P$6:$P$85,MATCH($E372,科目参数!$M$6:$M$85,0)),"")))</f>
        <v/>
      </c>
      <c r="R372" s="48" t="str">
        <f aca="false">IF($B372="","",SUMIFS(期初数据!$B$6:$B$35,期初数据!$A$6:$A$35,$F372)+SUMIFS($N$5:$N372,$F$5:$F372,$F372,$D$5:$D372,"收入")-SUMIFS($N$5:$N372,$F$5:$F372,$F372,$D$5:$D372,"支出")-SUMIFS($N$5:$N372,$F$5:$F372,$F372,$D$5:$D372,"转账")+SUMIFS($N$5:$N372,$G$5:$G372,$F372,$D$5:$D372,"转账"))</f>
        <v/>
      </c>
      <c r="S372" s="49" t="str">
        <f aca="false">IF($E372="","",IFERROR(INDEX(科目参数!$N$6:$N$85,MATCH($E372,科目参数!$M$6:$M$85,0)),""))</f>
        <v/>
      </c>
      <c r="T372" s="49" t="str">
        <f aca="false">IF($F372="","",IFERROR(INDEX(基础资料!$C$6:$C$35,MATCH($F372,基础资料!$A$6:$A$35,0)),""))</f>
        <v/>
      </c>
      <c r="U372" s="49" t="str">
        <f aca="false">IF($G372="","",IFERROR(INDEX(基础资料!$C$6:$C$35,MATCH($G372,基础资料!$A$6:$A$35,0)),""))</f>
        <v/>
      </c>
      <c r="V372" s="49" t="str">
        <f aca="false">IF(AND($G372=客户对账单!$B$3,$E372="客户回款",$B372&gt;=客户对账单!$E$3,$B372&lt;=客户对账单!$H$3),COUNTIFS($G$5:$G372,客户对账单!$B$3,$E$5:$E372,"客户回款",$B$5:$B372,"&gt;="&amp;客户对账单!$E$3,$B$5:$B372,"&lt;="&amp;客户对账单!$H$3),"")</f>
        <v/>
      </c>
      <c r="W372" s="49" t="str">
        <f aca="false">IF(AND($G372=供应商对账单!$B$3,$E372="供应商付款",$B372&gt;=供应商对账单!$E$3,$B372&lt;=供应商对账单!$H$3),COUNTIFS($G$5:$G372,供应商对账单!$B$3,$E$5:$E372,"供应商付款",$B$5:$B372,"&gt;="&amp;供应商对账单!$E$3,$B$5:$B372,"&lt;="&amp;供应商对账单!$H$3),"")</f>
        <v/>
      </c>
    </row>
    <row r="373" customFormat="false" ht="15.75" hidden="false" customHeight="true" outlineLevel="0" collapsed="false">
      <c r="A373" s="42" t="str">
        <f aca="false">IF($B373="","","ZJ"&amp;TEXT($B373,"yyyymm")&amp;"-"&amp;TEXT(ROW()-4,"000"))</f>
        <v/>
      </c>
      <c r="B373" s="41"/>
      <c r="C373" s="42" t="str">
        <f aca="false">IF($B373="","",TEXT($B373,"yyyy-mm"))</f>
        <v/>
      </c>
      <c r="D373" s="42" t="str">
        <f aca="false">IF($E373="","",IFERROR(INDEX(科目参数!$L$6:$L$85,MATCH($E373,科目参数!$M$6:$M$85,0)),"⚠"))</f>
        <v/>
      </c>
      <c r="E373" s="33"/>
      <c r="F373" s="33"/>
      <c r="G373" s="36"/>
      <c r="H373" s="33"/>
      <c r="I373" s="33"/>
      <c r="J373" s="36"/>
      <c r="K373" s="40"/>
      <c r="L373" s="40"/>
      <c r="M373" s="47" t="str">
        <f aca="false">IF($B373="","",IF(NOT(ISNUMBER($B373)),"日期不是日期格式",IF(YEAR($B373)&lt;&gt;首页!$B$3,"不在会计年度",IF($E373="","未选收支科目",IF($D373="⚠","收支科目不存在",IF($F373="","未选账户",IF($T373="","账户未设资金科目",IF(AND($D373="转账",$U373=""),"转入账户无效",IF(AND(N($K373)&gt;0,N($L373)&gt;0),"收支不能同时填",IF(AND($D373="收入",N($K373)&lt;=0),"收入金额须大于0",IF(AND($D373&lt;&gt;"收入",N($L373)&lt;=0),"支出金额须大于0",IF($O373="","借方科目缺失",IF($P373="","贷方科目缺失","√")))))))))))))</f>
        <v/>
      </c>
      <c r="N373" s="48" t="str">
        <f aca="false">IF($B373="","",IF($D373="收入",N($K373),N($L373)))</f>
        <v/>
      </c>
      <c r="O373" s="49" t="str">
        <f aca="false">IF($B373="","",IF($D373="收入",$T373,IF($D373="转账",$U373,$S373)))</f>
        <v/>
      </c>
      <c r="P373" s="49" t="str">
        <f aca="false">IF($B373="","",IF($D373="收入",$S373,$T373))</f>
        <v/>
      </c>
      <c r="Q373" s="50" t="str">
        <f aca="false">IF($E373="","",IF($D373="转账","—",IFERROR(INDEX(科目参数!$P$6:$P$85,MATCH($E373,科目参数!$M$6:$M$85,0)),"")))</f>
        <v/>
      </c>
      <c r="R373" s="48" t="str">
        <f aca="false">IF($B373="","",SUMIFS(期初数据!$B$6:$B$35,期初数据!$A$6:$A$35,$F373)+SUMIFS($N$5:$N373,$F$5:$F373,$F373,$D$5:$D373,"收入")-SUMIFS($N$5:$N373,$F$5:$F373,$F373,$D$5:$D373,"支出")-SUMIFS($N$5:$N373,$F$5:$F373,$F373,$D$5:$D373,"转账")+SUMIFS($N$5:$N373,$G$5:$G373,$F373,$D$5:$D373,"转账"))</f>
        <v/>
      </c>
      <c r="S373" s="49" t="str">
        <f aca="false">IF($E373="","",IFERROR(INDEX(科目参数!$N$6:$N$85,MATCH($E373,科目参数!$M$6:$M$85,0)),""))</f>
        <v/>
      </c>
      <c r="T373" s="49" t="str">
        <f aca="false">IF($F373="","",IFERROR(INDEX(基础资料!$C$6:$C$35,MATCH($F373,基础资料!$A$6:$A$35,0)),""))</f>
        <v/>
      </c>
      <c r="U373" s="49" t="str">
        <f aca="false">IF($G373="","",IFERROR(INDEX(基础资料!$C$6:$C$35,MATCH($G373,基础资料!$A$6:$A$35,0)),""))</f>
        <v/>
      </c>
      <c r="V373" s="49" t="str">
        <f aca="false">IF(AND($G373=客户对账单!$B$3,$E373="客户回款",$B373&gt;=客户对账单!$E$3,$B373&lt;=客户对账单!$H$3),COUNTIFS($G$5:$G373,客户对账单!$B$3,$E$5:$E373,"客户回款",$B$5:$B373,"&gt;="&amp;客户对账单!$E$3,$B$5:$B373,"&lt;="&amp;客户对账单!$H$3),"")</f>
        <v/>
      </c>
      <c r="W373" s="49" t="str">
        <f aca="false">IF(AND($G373=供应商对账单!$B$3,$E373="供应商付款",$B373&gt;=供应商对账单!$E$3,$B373&lt;=供应商对账单!$H$3),COUNTIFS($G$5:$G373,供应商对账单!$B$3,$E$5:$E373,"供应商付款",$B$5:$B373,"&gt;="&amp;供应商对账单!$E$3,$B$5:$B373,"&lt;="&amp;供应商对账单!$H$3),"")</f>
        <v/>
      </c>
    </row>
    <row r="374" customFormat="false" ht="15.75" hidden="false" customHeight="true" outlineLevel="0" collapsed="false">
      <c r="A374" s="42" t="str">
        <f aca="false">IF($B374="","","ZJ"&amp;TEXT($B374,"yyyymm")&amp;"-"&amp;TEXT(ROW()-4,"000"))</f>
        <v/>
      </c>
      <c r="B374" s="41"/>
      <c r="C374" s="42" t="str">
        <f aca="false">IF($B374="","",TEXT($B374,"yyyy-mm"))</f>
        <v/>
      </c>
      <c r="D374" s="42" t="str">
        <f aca="false">IF($E374="","",IFERROR(INDEX(科目参数!$L$6:$L$85,MATCH($E374,科目参数!$M$6:$M$85,0)),"⚠"))</f>
        <v/>
      </c>
      <c r="E374" s="33"/>
      <c r="F374" s="33"/>
      <c r="G374" s="36"/>
      <c r="H374" s="33"/>
      <c r="I374" s="33"/>
      <c r="J374" s="36"/>
      <c r="K374" s="40"/>
      <c r="L374" s="40"/>
      <c r="M374" s="47" t="str">
        <f aca="false">IF($B374="","",IF(NOT(ISNUMBER($B374)),"日期不是日期格式",IF(YEAR($B374)&lt;&gt;首页!$B$3,"不在会计年度",IF($E374="","未选收支科目",IF($D374="⚠","收支科目不存在",IF($F374="","未选账户",IF($T374="","账户未设资金科目",IF(AND($D374="转账",$U374=""),"转入账户无效",IF(AND(N($K374)&gt;0,N($L374)&gt;0),"收支不能同时填",IF(AND($D374="收入",N($K374)&lt;=0),"收入金额须大于0",IF(AND($D374&lt;&gt;"收入",N($L374)&lt;=0),"支出金额须大于0",IF($O374="","借方科目缺失",IF($P374="","贷方科目缺失","√")))))))))))))</f>
        <v/>
      </c>
      <c r="N374" s="48" t="str">
        <f aca="false">IF($B374="","",IF($D374="收入",N($K374),N($L374)))</f>
        <v/>
      </c>
      <c r="O374" s="49" t="str">
        <f aca="false">IF($B374="","",IF($D374="收入",$T374,IF($D374="转账",$U374,$S374)))</f>
        <v/>
      </c>
      <c r="P374" s="49" t="str">
        <f aca="false">IF($B374="","",IF($D374="收入",$S374,$T374))</f>
        <v/>
      </c>
      <c r="Q374" s="50" t="str">
        <f aca="false">IF($E374="","",IF($D374="转账","—",IFERROR(INDEX(科目参数!$P$6:$P$85,MATCH($E374,科目参数!$M$6:$M$85,0)),"")))</f>
        <v/>
      </c>
      <c r="R374" s="48" t="str">
        <f aca="false">IF($B374="","",SUMIFS(期初数据!$B$6:$B$35,期初数据!$A$6:$A$35,$F374)+SUMIFS($N$5:$N374,$F$5:$F374,$F374,$D$5:$D374,"收入")-SUMIFS($N$5:$N374,$F$5:$F374,$F374,$D$5:$D374,"支出")-SUMIFS($N$5:$N374,$F$5:$F374,$F374,$D$5:$D374,"转账")+SUMIFS($N$5:$N374,$G$5:$G374,$F374,$D$5:$D374,"转账"))</f>
        <v/>
      </c>
      <c r="S374" s="49" t="str">
        <f aca="false">IF($E374="","",IFERROR(INDEX(科目参数!$N$6:$N$85,MATCH($E374,科目参数!$M$6:$M$85,0)),""))</f>
        <v/>
      </c>
      <c r="T374" s="49" t="str">
        <f aca="false">IF($F374="","",IFERROR(INDEX(基础资料!$C$6:$C$35,MATCH($F374,基础资料!$A$6:$A$35,0)),""))</f>
        <v/>
      </c>
      <c r="U374" s="49" t="str">
        <f aca="false">IF($G374="","",IFERROR(INDEX(基础资料!$C$6:$C$35,MATCH($G374,基础资料!$A$6:$A$35,0)),""))</f>
        <v/>
      </c>
      <c r="V374" s="49" t="str">
        <f aca="false">IF(AND($G374=客户对账单!$B$3,$E374="客户回款",$B374&gt;=客户对账单!$E$3,$B374&lt;=客户对账单!$H$3),COUNTIFS($G$5:$G374,客户对账单!$B$3,$E$5:$E374,"客户回款",$B$5:$B374,"&gt;="&amp;客户对账单!$E$3,$B$5:$B374,"&lt;="&amp;客户对账单!$H$3),"")</f>
        <v/>
      </c>
      <c r="W374" s="49" t="str">
        <f aca="false">IF(AND($G374=供应商对账单!$B$3,$E374="供应商付款",$B374&gt;=供应商对账单!$E$3,$B374&lt;=供应商对账单!$H$3),COUNTIFS($G$5:$G374,供应商对账单!$B$3,$E$5:$E374,"供应商付款",$B$5:$B374,"&gt;="&amp;供应商对账单!$E$3,$B$5:$B374,"&lt;="&amp;供应商对账单!$H$3),"")</f>
        <v/>
      </c>
    </row>
    <row r="375" customFormat="false" ht="15.75" hidden="false" customHeight="true" outlineLevel="0" collapsed="false">
      <c r="A375" s="42" t="str">
        <f aca="false">IF($B375="","","ZJ"&amp;TEXT($B375,"yyyymm")&amp;"-"&amp;TEXT(ROW()-4,"000"))</f>
        <v/>
      </c>
      <c r="B375" s="41"/>
      <c r="C375" s="42" t="str">
        <f aca="false">IF($B375="","",TEXT($B375,"yyyy-mm"))</f>
        <v/>
      </c>
      <c r="D375" s="42" t="str">
        <f aca="false">IF($E375="","",IFERROR(INDEX(科目参数!$L$6:$L$85,MATCH($E375,科目参数!$M$6:$M$85,0)),"⚠"))</f>
        <v/>
      </c>
      <c r="E375" s="33"/>
      <c r="F375" s="33"/>
      <c r="G375" s="36"/>
      <c r="H375" s="33"/>
      <c r="I375" s="33"/>
      <c r="J375" s="36"/>
      <c r="K375" s="40"/>
      <c r="L375" s="40"/>
      <c r="M375" s="47" t="str">
        <f aca="false">IF($B375="","",IF(NOT(ISNUMBER($B375)),"日期不是日期格式",IF(YEAR($B375)&lt;&gt;首页!$B$3,"不在会计年度",IF($E375="","未选收支科目",IF($D375="⚠","收支科目不存在",IF($F375="","未选账户",IF($T375="","账户未设资金科目",IF(AND($D375="转账",$U375=""),"转入账户无效",IF(AND(N($K375)&gt;0,N($L375)&gt;0),"收支不能同时填",IF(AND($D375="收入",N($K375)&lt;=0),"收入金额须大于0",IF(AND($D375&lt;&gt;"收入",N($L375)&lt;=0),"支出金额须大于0",IF($O375="","借方科目缺失",IF($P375="","贷方科目缺失","√")))))))))))))</f>
        <v/>
      </c>
      <c r="N375" s="48" t="str">
        <f aca="false">IF($B375="","",IF($D375="收入",N($K375),N($L375)))</f>
        <v/>
      </c>
      <c r="O375" s="49" t="str">
        <f aca="false">IF($B375="","",IF($D375="收入",$T375,IF($D375="转账",$U375,$S375)))</f>
        <v/>
      </c>
      <c r="P375" s="49" t="str">
        <f aca="false">IF($B375="","",IF($D375="收入",$S375,$T375))</f>
        <v/>
      </c>
      <c r="Q375" s="50" t="str">
        <f aca="false">IF($E375="","",IF($D375="转账","—",IFERROR(INDEX(科目参数!$P$6:$P$85,MATCH($E375,科目参数!$M$6:$M$85,0)),"")))</f>
        <v/>
      </c>
      <c r="R375" s="48" t="str">
        <f aca="false">IF($B375="","",SUMIFS(期初数据!$B$6:$B$35,期初数据!$A$6:$A$35,$F375)+SUMIFS($N$5:$N375,$F$5:$F375,$F375,$D$5:$D375,"收入")-SUMIFS($N$5:$N375,$F$5:$F375,$F375,$D$5:$D375,"支出")-SUMIFS($N$5:$N375,$F$5:$F375,$F375,$D$5:$D375,"转账")+SUMIFS($N$5:$N375,$G$5:$G375,$F375,$D$5:$D375,"转账"))</f>
        <v/>
      </c>
      <c r="S375" s="49" t="str">
        <f aca="false">IF($E375="","",IFERROR(INDEX(科目参数!$N$6:$N$85,MATCH($E375,科目参数!$M$6:$M$85,0)),""))</f>
        <v/>
      </c>
      <c r="T375" s="49" t="str">
        <f aca="false">IF($F375="","",IFERROR(INDEX(基础资料!$C$6:$C$35,MATCH($F375,基础资料!$A$6:$A$35,0)),""))</f>
        <v/>
      </c>
      <c r="U375" s="49" t="str">
        <f aca="false">IF($G375="","",IFERROR(INDEX(基础资料!$C$6:$C$35,MATCH($G375,基础资料!$A$6:$A$35,0)),""))</f>
        <v/>
      </c>
      <c r="V375" s="49" t="str">
        <f aca="false">IF(AND($G375=客户对账单!$B$3,$E375="客户回款",$B375&gt;=客户对账单!$E$3,$B375&lt;=客户对账单!$H$3),COUNTIFS($G$5:$G375,客户对账单!$B$3,$E$5:$E375,"客户回款",$B$5:$B375,"&gt;="&amp;客户对账单!$E$3,$B$5:$B375,"&lt;="&amp;客户对账单!$H$3),"")</f>
        <v/>
      </c>
      <c r="W375" s="49" t="str">
        <f aca="false">IF(AND($G375=供应商对账单!$B$3,$E375="供应商付款",$B375&gt;=供应商对账单!$E$3,$B375&lt;=供应商对账单!$H$3),COUNTIFS($G$5:$G375,供应商对账单!$B$3,$E$5:$E375,"供应商付款",$B$5:$B375,"&gt;="&amp;供应商对账单!$E$3,$B$5:$B375,"&lt;="&amp;供应商对账单!$H$3),"")</f>
        <v/>
      </c>
    </row>
    <row r="376" customFormat="false" ht="15.75" hidden="false" customHeight="true" outlineLevel="0" collapsed="false">
      <c r="A376" s="42" t="str">
        <f aca="false">IF($B376="","","ZJ"&amp;TEXT($B376,"yyyymm")&amp;"-"&amp;TEXT(ROW()-4,"000"))</f>
        <v/>
      </c>
      <c r="B376" s="41"/>
      <c r="C376" s="42" t="str">
        <f aca="false">IF($B376="","",TEXT($B376,"yyyy-mm"))</f>
        <v/>
      </c>
      <c r="D376" s="42" t="str">
        <f aca="false">IF($E376="","",IFERROR(INDEX(科目参数!$L$6:$L$85,MATCH($E376,科目参数!$M$6:$M$85,0)),"⚠"))</f>
        <v/>
      </c>
      <c r="E376" s="33"/>
      <c r="F376" s="33"/>
      <c r="G376" s="36"/>
      <c r="H376" s="33"/>
      <c r="I376" s="33"/>
      <c r="J376" s="36"/>
      <c r="K376" s="40"/>
      <c r="L376" s="40"/>
      <c r="M376" s="47" t="str">
        <f aca="false">IF($B376="","",IF(NOT(ISNUMBER($B376)),"日期不是日期格式",IF(YEAR($B376)&lt;&gt;首页!$B$3,"不在会计年度",IF($E376="","未选收支科目",IF($D376="⚠","收支科目不存在",IF($F376="","未选账户",IF($T376="","账户未设资金科目",IF(AND($D376="转账",$U376=""),"转入账户无效",IF(AND(N($K376)&gt;0,N($L376)&gt;0),"收支不能同时填",IF(AND($D376="收入",N($K376)&lt;=0),"收入金额须大于0",IF(AND($D376&lt;&gt;"收入",N($L376)&lt;=0),"支出金额须大于0",IF($O376="","借方科目缺失",IF($P376="","贷方科目缺失","√")))))))))))))</f>
        <v/>
      </c>
      <c r="N376" s="48" t="str">
        <f aca="false">IF($B376="","",IF($D376="收入",N($K376),N($L376)))</f>
        <v/>
      </c>
      <c r="O376" s="49" t="str">
        <f aca="false">IF($B376="","",IF($D376="收入",$T376,IF($D376="转账",$U376,$S376)))</f>
        <v/>
      </c>
      <c r="P376" s="49" t="str">
        <f aca="false">IF($B376="","",IF($D376="收入",$S376,$T376))</f>
        <v/>
      </c>
      <c r="Q376" s="50" t="str">
        <f aca="false">IF($E376="","",IF($D376="转账","—",IFERROR(INDEX(科目参数!$P$6:$P$85,MATCH($E376,科目参数!$M$6:$M$85,0)),"")))</f>
        <v/>
      </c>
      <c r="R376" s="48" t="str">
        <f aca="false">IF($B376="","",SUMIFS(期初数据!$B$6:$B$35,期初数据!$A$6:$A$35,$F376)+SUMIFS($N$5:$N376,$F$5:$F376,$F376,$D$5:$D376,"收入")-SUMIFS($N$5:$N376,$F$5:$F376,$F376,$D$5:$D376,"支出")-SUMIFS($N$5:$N376,$F$5:$F376,$F376,$D$5:$D376,"转账")+SUMIFS($N$5:$N376,$G$5:$G376,$F376,$D$5:$D376,"转账"))</f>
        <v/>
      </c>
      <c r="S376" s="49" t="str">
        <f aca="false">IF($E376="","",IFERROR(INDEX(科目参数!$N$6:$N$85,MATCH($E376,科目参数!$M$6:$M$85,0)),""))</f>
        <v/>
      </c>
      <c r="T376" s="49" t="str">
        <f aca="false">IF($F376="","",IFERROR(INDEX(基础资料!$C$6:$C$35,MATCH($F376,基础资料!$A$6:$A$35,0)),""))</f>
        <v/>
      </c>
      <c r="U376" s="49" t="str">
        <f aca="false">IF($G376="","",IFERROR(INDEX(基础资料!$C$6:$C$35,MATCH($G376,基础资料!$A$6:$A$35,0)),""))</f>
        <v/>
      </c>
      <c r="V376" s="49" t="str">
        <f aca="false">IF(AND($G376=客户对账单!$B$3,$E376="客户回款",$B376&gt;=客户对账单!$E$3,$B376&lt;=客户对账单!$H$3),COUNTIFS($G$5:$G376,客户对账单!$B$3,$E$5:$E376,"客户回款",$B$5:$B376,"&gt;="&amp;客户对账单!$E$3,$B$5:$B376,"&lt;="&amp;客户对账单!$H$3),"")</f>
        <v/>
      </c>
      <c r="W376" s="49" t="str">
        <f aca="false">IF(AND($G376=供应商对账单!$B$3,$E376="供应商付款",$B376&gt;=供应商对账单!$E$3,$B376&lt;=供应商对账单!$H$3),COUNTIFS($G$5:$G376,供应商对账单!$B$3,$E$5:$E376,"供应商付款",$B$5:$B376,"&gt;="&amp;供应商对账单!$E$3,$B$5:$B376,"&lt;="&amp;供应商对账单!$H$3),"")</f>
        <v/>
      </c>
    </row>
    <row r="377" customFormat="false" ht="15.75" hidden="false" customHeight="true" outlineLevel="0" collapsed="false">
      <c r="A377" s="42" t="str">
        <f aca="false">IF($B377="","","ZJ"&amp;TEXT($B377,"yyyymm")&amp;"-"&amp;TEXT(ROW()-4,"000"))</f>
        <v/>
      </c>
      <c r="B377" s="41"/>
      <c r="C377" s="42" t="str">
        <f aca="false">IF($B377="","",TEXT($B377,"yyyy-mm"))</f>
        <v/>
      </c>
      <c r="D377" s="42" t="str">
        <f aca="false">IF($E377="","",IFERROR(INDEX(科目参数!$L$6:$L$85,MATCH($E377,科目参数!$M$6:$M$85,0)),"⚠"))</f>
        <v/>
      </c>
      <c r="E377" s="33"/>
      <c r="F377" s="33"/>
      <c r="G377" s="36"/>
      <c r="H377" s="33"/>
      <c r="I377" s="33"/>
      <c r="J377" s="36"/>
      <c r="K377" s="40"/>
      <c r="L377" s="40"/>
      <c r="M377" s="47" t="str">
        <f aca="false">IF($B377="","",IF(NOT(ISNUMBER($B377)),"日期不是日期格式",IF(YEAR($B377)&lt;&gt;首页!$B$3,"不在会计年度",IF($E377="","未选收支科目",IF($D377="⚠","收支科目不存在",IF($F377="","未选账户",IF($T377="","账户未设资金科目",IF(AND($D377="转账",$U377=""),"转入账户无效",IF(AND(N($K377)&gt;0,N($L377)&gt;0),"收支不能同时填",IF(AND($D377="收入",N($K377)&lt;=0),"收入金额须大于0",IF(AND($D377&lt;&gt;"收入",N($L377)&lt;=0),"支出金额须大于0",IF($O377="","借方科目缺失",IF($P377="","贷方科目缺失","√")))))))))))))</f>
        <v/>
      </c>
      <c r="N377" s="48" t="str">
        <f aca="false">IF($B377="","",IF($D377="收入",N($K377),N($L377)))</f>
        <v/>
      </c>
      <c r="O377" s="49" t="str">
        <f aca="false">IF($B377="","",IF($D377="收入",$T377,IF($D377="转账",$U377,$S377)))</f>
        <v/>
      </c>
      <c r="P377" s="49" t="str">
        <f aca="false">IF($B377="","",IF($D377="收入",$S377,$T377))</f>
        <v/>
      </c>
      <c r="Q377" s="50" t="str">
        <f aca="false">IF($E377="","",IF($D377="转账","—",IFERROR(INDEX(科目参数!$P$6:$P$85,MATCH($E377,科目参数!$M$6:$M$85,0)),"")))</f>
        <v/>
      </c>
      <c r="R377" s="48" t="str">
        <f aca="false">IF($B377="","",SUMIFS(期初数据!$B$6:$B$35,期初数据!$A$6:$A$35,$F377)+SUMIFS($N$5:$N377,$F$5:$F377,$F377,$D$5:$D377,"收入")-SUMIFS($N$5:$N377,$F$5:$F377,$F377,$D$5:$D377,"支出")-SUMIFS($N$5:$N377,$F$5:$F377,$F377,$D$5:$D377,"转账")+SUMIFS($N$5:$N377,$G$5:$G377,$F377,$D$5:$D377,"转账"))</f>
        <v/>
      </c>
      <c r="S377" s="49" t="str">
        <f aca="false">IF($E377="","",IFERROR(INDEX(科目参数!$N$6:$N$85,MATCH($E377,科目参数!$M$6:$M$85,0)),""))</f>
        <v/>
      </c>
      <c r="T377" s="49" t="str">
        <f aca="false">IF($F377="","",IFERROR(INDEX(基础资料!$C$6:$C$35,MATCH($F377,基础资料!$A$6:$A$35,0)),""))</f>
        <v/>
      </c>
      <c r="U377" s="49" t="str">
        <f aca="false">IF($G377="","",IFERROR(INDEX(基础资料!$C$6:$C$35,MATCH($G377,基础资料!$A$6:$A$35,0)),""))</f>
        <v/>
      </c>
      <c r="V377" s="49" t="str">
        <f aca="false">IF(AND($G377=客户对账单!$B$3,$E377="客户回款",$B377&gt;=客户对账单!$E$3,$B377&lt;=客户对账单!$H$3),COUNTIFS($G$5:$G377,客户对账单!$B$3,$E$5:$E377,"客户回款",$B$5:$B377,"&gt;="&amp;客户对账单!$E$3,$B$5:$B377,"&lt;="&amp;客户对账单!$H$3),"")</f>
        <v/>
      </c>
      <c r="W377" s="49" t="str">
        <f aca="false">IF(AND($G377=供应商对账单!$B$3,$E377="供应商付款",$B377&gt;=供应商对账单!$E$3,$B377&lt;=供应商对账单!$H$3),COUNTIFS($G$5:$G377,供应商对账单!$B$3,$E$5:$E377,"供应商付款",$B$5:$B377,"&gt;="&amp;供应商对账单!$E$3,$B$5:$B377,"&lt;="&amp;供应商对账单!$H$3),"")</f>
        <v/>
      </c>
    </row>
    <row r="378" customFormat="false" ht="15.75" hidden="false" customHeight="true" outlineLevel="0" collapsed="false">
      <c r="A378" s="42" t="str">
        <f aca="false">IF($B378="","","ZJ"&amp;TEXT($B378,"yyyymm")&amp;"-"&amp;TEXT(ROW()-4,"000"))</f>
        <v/>
      </c>
      <c r="B378" s="41"/>
      <c r="C378" s="42" t="str">
        <f aca="false">IF($B378="","",TEXT($B378,"yyyy-mm"))</f>
        <v/>
      </c>
      <c r="D378" s="42" t="str">
        <f aca="false">IF($E378="","",IFERROR(INDEX(科目参数!$L$6:$L$85,MATCH($E378,科目参数!$M$6:$M$85,0)),"⚠"))</f>
        <v/>
      </c>
      <c r="E378" s="33"/>
      <c r="F378" s="33"/>
      <c r="G378" s="36"/>
      <c r="H378" s="33"/>
      <c r="I378" s="33"/>
      <c r="J378" s="36"/>
      <c r="K378" s="40"/>
      <c r="L378" s="40"/>
      <c r="M378" s="47" t="str">
        <f aca="false">IF($B378="","",IF(NOT(ISNUMBER($B378)),"日期不是日期格式",IF(YEAR($B378)&lt;&gt;首页!$B$3,"不在会计年度",IF($E378="","未选收支科目",IF($D378="⚠","收支科目不存在",IF($F378="","未选账户",IF($T378="","账户未设资金科目",IF(AND($D378="转账",$U378=""),"转入账户无效",IF(AND(N($K378)&gt;0,N($L378)&gt;0),"收支不能同时填",IF(AND($D378="收入",N($K378)&lt;=0),"收入金额须大于0",IF(AND($D378&lt;&gt;"收入",N($L378)&lt;=0),"支出金额须大于0",IF($O378="","借方科目缺失",IF($P378="","贷方科目缺失","√")))))))))))))</f>
        <v/>
      </c>
      <c r="N378" s="48" t="str">
        <f aca="false">IF($B378="","",IF($D378="收入",N($K378),N($L378)))</f>
        <v/>
      </c>
      <c r="O378" s="49" t="str">
        <f aca="false">IF($B378="","",IF($D378="收入",$T378,IF($D378="转账",$U378,$S378)))</f>
        <v/>
      </c>
      <c r="P378" s="49" t="str">
        <f aca="false">IF($B378="","",IF($D378="收入",$S378,$T378))</f>
        <v/>
      </c>
      <c r="Q378" s="50" t="str">
        <f aca="false">IF($E378="","",IF($D378="转账","—",IFERROR(INDEX(科目参数!$P$6:$P$85,MATCH($E378,科目参数!$M$6:$M$85,0)),"")))</f>
        <v/>
      </c>
      <c r="R378" s="48" t="str">
        <f aca="false">IF($B378="","",SUMIFS(期初数据!$B$6:$B$35,期初数据!$A$6:$A$35,$F378)+SUMIFS($N$5:$N378,$F$5:$F378,$F378,$D$5:$D378,"收入")-SUMIFS($N$5:$N378,$F$5:$F378,$F378,$D$5:$D378,"支出")-SUMIFS($N$5:$N378,$F$5:$F378,$F378,$D$5:$D378,"转账")+SUMIFS($N$5:$N378,$G$5:$G378,$F378,$D$5:$D378,"转账"))</f>
        <v/>
      </c>
      <c r="S378" s="49" t="str">
        <f aca="false">IF($E378="","",IFERROR(INDEX(科目参数!$N$6:$N$85,MATCH($E378,科目参数!$M$6:$M$85,0)),""))</f>
        <v/>
      </c>
      <c r="T378" s="49" t="str">
        <f aca="false">IF($F378="","",IFERROR(INDEX(基础资料!$C$6:$C$35,MATCH($F378,基础资料!$A$6:$A$35,0)),""))</f>
        <v/>
      </c>
      <c r="U378" s="49" t="str">
        <f aca="false">IF($G378="","",IFERROR(INDEX(基础资料!$C$6:$C$35,MATCH($G378,基础资料!$A$6:$A$35,0)),""))</f>
        <v/>
      </c>
      <c r="V378" s="49" t="str">
        <f aca="false">IF(AND($G378=客户对账单!$B$3,$E378="客户回款",$B378&gt;=客户对账单!$E$3,$B378&lt;=客户对账单!$H$3),COUNTIFS($G$5:$G378,客户对账单!$B$3,$E$5:$E378,"客户回款",$B$5:$B378,"&gt;="&amp;客户对账单!$E$3,$B$5:$B378,"&lt;="&amp;客户对账单!$H$3),"")</f>
        <v/>
      </c>
      <c r="W378" s="49" t="str">
        <f aca="false">IF(AND($G378=供应商对账单!$B$3,$E378="供应商付款",$B378&gt;=供应商对账单!$E$3,$B378&lt;=供应商对账单!$H$3),COUNTIFS($G$5:$G378,供应商对账单!$B$3,$E$5:$E378,"供应商付款",$B$5:$B378,"&gt;="&amp;供应商对账单!$E$3,$B$5:$B378,"&lt;="&amp;供应商对账单!$H$3),"")</f>
        <v/>
      </c>
    </row>
    <row r="379" customFormat="false" ht="15.75" hidden="false" customHeight="true" outlineLevel="0" collapsed="false">
      <c r="A379" s="42" t="str">
        <f aca="false">IF($B379="","","ZJ"&amp;TEXT($B379,"yyyymm")&amp;"-"&amp;TEXT(ROW()-4,"000"))</f>
        <v/>
      </c>
      <c r="B379" s="41"/>
      <c r="C379" s="42" t="str">
        <f aca="false">IF($B379="","",TEXT($B379,"yyyy-mm"))</f>
        <v/>
      </c>
      <c r="D379" s="42" t="str">
        <f aca="false">IF($E379="","",IFERROR(INDEX(科目参数!$L$6:$L$85,MATCH($E379,科目参数!$M$6:$M$85,0)),"⚠"))</f>
        <v/>
      </c>
      <c r="E379" s="33"/>
      <c r="F379" s="33"/>
      <c r="G379" s="36"/>
      <c r="H379" s="33"/>
      <c r="I379" s="33"/>
      <c r="J379" s="36"/>
      <c r="K379" s="40"/>
      <c r="L379" s="40"/>
      <c r="M379" s="47" t="str">
        <f aca="false">IF($B379="","",IF(NOT(ISNUMBER($B379)),"日期不是日期格式",IF(YEAR($B379)&lt;&gt;首页!$B$3,"不在会计年度",IF($E379="","未选收支科目",IF($D379="⚠","收支科目不存在",IF($F379="","未选账户",IF($T379="","账户未设资金科目",IF(AND($D379="转账",$U379=""),"转入账户无效",IF(AND(N($K379)&gt;0,N($L379)&gt;0),"收支不能同时填",IF(AND($D379="收入",N($K379)&lt;=0),"收入金额须大于0",IF(AND($D379&lt;&gt;"收入",N($L379)&lt;=0),"支出金额须大于0",IF($O379="","借方科目缺失",IF($P379="","贷方科目缺失","√")))))))))))))</f>
        <v/>
      </c>
      <c r="N379" s="48" t="str">
        <f aca="false">IF($B379="","",IF($D379="收入",N($K379),N($L379)))</f>
        <v/>
      </c>
      <c r="O379" s="49" t="str">
        <f aca="false">IF($B379="","",IF($D379="收入",$T379,IF($D379="转账",$U379,$S379)))</f>
        <v/>
      </c>
      <c r="P379" s="49" t="str">
        <f aca="false">IF($B379="","",IF($D379="收入",$S379,$T379))</f>
        <v/>
      </c>
      <c r="Q379" s="50" t="str">
        <f aca="false">IF($E379="","",IF($D379="转账","—",IFERROR(INDEX(科目参数!$P$6:$P$85,MATCH($E379,科目参数!$M$6:$M$85,0)),"")))</f>
        <v/>
      </c>
      <c r="R379" s="48" t="str">
        <f aca="false">IF($B379="","",SUMIFS(期初数据!$B$6:$B$35,期初数据!$A$6:$A$35,$F379)+SUMIFS($N$5:$N379,$F$5:$F379,$F379,$D$5:$D379,"收入")-SUMIFS($N$5:$N379,$F$5:$F379,$F379,$D$5:$D379,"支出")-SUMIFS($N$5:$N379,$F$5:$F379,$F379,$D$5:$D379,"转账")+SUMIFS($N$5:$N379,$G$5:$G379,$F379,$D$5:$D379,"转账"))</f>
        <v/>
      </c>
      <c r="S379" s="49" t="str">
        <f aca="false">IF($E379="","",IFERROR(INDEX(科目参数!$N$6:$N$85,MATCH($E379,科目参数!$M$6:$M$85,0)),""))</f>
        <v/>
      </c>
      <c r="T379" s="49" t="str">
        <f aca="false">IF($F379="","",IFERROR(INDEX(基础资料!$C$6:$C$35,MATCH($F379,基础资料!$A$6:$A$35,0)),""))</f>
        <v/>
      </c>
      <c r="U379" s="49" t="str">
        <f aca="false">IF($G379="","",IFERROR(INDEX(基础资料!$C$6:$C$35,MATCH($G379,基础资料!$A$6:$A$35,0)),""))</f>
        <v/>
      </c>
      <c r="V379" s="49" t="str">
        <f aca="false">IF(AND($G379=客户对账单!$B$3,$E379="客户回款",$B379&gt;=客户对账单!$E$3,$B379&lt;=客户对账单!$H$3),COUNTIFS($G$5:$G379,客户对账单!$B$3,$E$5:$E379,"客户回款",$B$5:$B379,"&gt;="&amp;客户对账单!$E$3,$B$5:$B379,"&lt;="&amp;客户对账单!$H$3),"")</f>
        <v/>
      </c>
      <c r="W379" s="49" t="str">
        <f aca="false">IF(AND($G379=供应商对账单!$B$3,$E379="供应商付款",$B379&gt;=供应商对账单!$E$3,$B379&lt;=供应商对账单!$H$3),COUNTIFS($G$5:$G379,供应商对账单!$B$3,$E$5:$E379,"供应商付款",$B$5:$B379,"&gt;="&amp;供应商对账单!$E$3,$B$5:$B379,"&lt;="&amp;供应商对账单!$H$3),"")</f>
        <v/>
      </c>
    </row>
    <row r="380" customFormat="false" ht="15.75" hidden="false" customHeight="true" outlineLevel="0" collapsed="false">
      <c r="A380" s="42" t="str">
        <f aca="false">IF($B380="","","ZJ"&amp;TEXT($B380,"yyyymm")&amp;"-"&amp;TEXT(ROW()-4,"000"))</f>
        <v/>
      </c>
      <c r="B380" s="41"/>
      <c r="C380" s="42" t="str">
        <f aca="false">IF($B380="","",TEXT($B380,"yyyy-mm"))</f>
        <v/>
      </c>
      <c r="D380" s="42" t="str">
        <f aca="false">IF($E380="","",IFERROR(INDEX(科目参数!$L$6:$L$85,MATCH($E380,科目参数!$M$6:$M$85,0)),"⚠"))</f>
        <v/>
      </c>
      <c r="E380" s="33"/>
      <c r="F380" s="33"/>
      <c r="G380" s="36"/>
      <c r="H380" s="33"/>
      <c r="I380" s="33"/>
      <c r="J380" s="36"/>
      <c r="K380" s="40"/>
      <c r="L380" s="40"/>
      <c r="M380" s="47" t="str">
        <f aca="false">IF($B380="","",IF(NOT(ISNUMBER($B380)),"日期不是日期格式",IF(YEAR($B380)&lt;&gt;首页!$B$3,"不在会计年度",IF($E380="","未选收支科目",IF($D380="⚠","收支科目不存在",IF($F380="","未选账户",IF($T380="","账户未设资金科目",IF(AND($D380="转账",$U380=""),"转入账户无效",IF(AND(N($K380)&gt;0,N($L380)&gt;0),"收支不能同时填",IF(AND($D380="收入",N($K380)&lt;=0),"收入金额须大于0",IF(AND($D380&lt;&gt;"收入",N($L380)&lt;=0),"支出金额须大于0",IF($O380="","借方科目缺失",IF($P380="","贷方科目缺失","√")))))))))))))</f>
        <v/>
      </c>
      <c r="N380" s="48" t="str">
        <f aca="false">IF($B380="","",IF($D380="收入",N($K380),N($L380)))</f>
        <v/>
      </c>
      <c r="O380" s="49" t="str">
        <f aca="false">IF($B380="","",IF($D380="收入",$T380,IF($D380="转账",$U380,$S380)))</f>
        <v/>
      </c>
      <c r="P380" s="49" t="str">
        <f aca="false">IF($B380="","",IF($D380="收入",$S380,$T380))</f>
        <v/>
      </c>
      <c r="Q380" s="50" t="str">
        <f aca="false">IF($E380="","",IF($D380="转账","—",IFERROR(INDEX(科目参数!$P$6:$P$85,MATCH($E380,科目参数!$M$6:$M$85,0)),"")))</f>
        <v/>
      </c>
      <c r="R380" s="48" t="str">
        <f aca="false">IF($B380="","",SUMIFS(期初数据!$B$6:$B$35,期初数据!$A$6:$A$35,$F380)+SUMIFS($N$5:$N380,$F$5:$F380,$F380,$D$5:$D380,"收入")-SUMIFS($N$5:$N380,$F$5:$F380,$F380,$D$5:$D380,"支出")-SUMIFS($N$5:$N380,$F$5:$F380,$F380,$D$5:$D380,"转账")+SUMIFS($N$5:$N380,$G$5:$G380,$F380,$D$5:$D380,"转账"))</f>
        <v/>
      </c>
      <c r="S380" s="49" t="str">
        <f aca="false">IF($E380="","",IFERROR(INDEX(科目参数!$N$6:$N$85,MATCH($E380,科目参数!$M$6:$M$85,0)),""))</f>
        <v/>
      </c>
      <c r="T380" s="49" t="str">
        <f aca="false">IF($F380="","",IFERROR(INDEX(基础资料!$C$6:$C$35,MATCH($F380,基础资料!$A$6:$A$35,0)),""))</f>
        <v/>
      </c>
      <c r="U380" s="49" t="str">
        <f aca="false">IF($G380="","",IFERROR(INDEX(基础资料!$C$6:$C$35,MATCH($G380,基础资料!$A$6:$A$35,0)),""))</f>
        <v/>
      </c>
      <c r="V380" s="49" t="str">
        <f aca="false">IF(AND($G380=客户对账单!$B$3,$E380="客户回款",$B380&gt;=客户对账单!$E$3,$B380&lt;=客户对账单!$H$3),COUNTIFS($G$5:$G380,客户对账单!$B$3,$E$5:$E380,"客户回款",$B$5:$B380,"&gt;="&amp;客户对账单!$E$3,$B$5:$B380,"&lt;="&amp;客户对账单!$H$3),"")</f>
        <v/>
      </c>
      <c r="W380" s="49" t="str">
        <f aca="false">IF(AND($G380=供应商对账单!$B$3,$E380="供应商付款",$B380&gt;=供应商对账单!$E$3,$B380&lt;=供应商对账单!$H$3),COUNTIFS($G$5:$G380,供应商对账单!$B$3,$E$5:$E380,"供应商付款",$B$5:$B380,"&gt;="&amp;供应商对账单!$E$3,$B$5:$B380,"&lt;="&amp;供应商对账单!$H$3),"")</f>
        <v/>
      </c>
    </row>
    <row r="381" customFormat="false" ht="15.75" hidden="false" customHeight="true" outlineLevel="0" collapsed="false">
      <c r="A381" s="42" t="str">
        <f aca="false">IF($B381="","","ZJ"&amp;TEXT($B381,"yyyymm")&amp;"-"&amp;TEXT(ROW()-4,"000"))</f>
        <v/>
      </c>
      <c r="B381" s="41"/>
      <c r="C381" s="42" t="str">
        <f aca="false">IF($B381="","",TEXT($B381,"yyyy-mm"))</f>
        <v/>
      </c>
      <c r="D381" s="42" t="str">
        <f aca="false">IF($E381="","",IFERROR(INDEX(科目参数!$L$6:$L$85,MATCH($E381,科目参数!$M$6:$M$85,0)),"⚠"))</f>
        <v/>
      </c>
      <c r="E381" s="33"/>
      <c r="F381" s="33"/>
      <c r="G381" s="36"/>
      <c r="H381" s="33"/>
      <c r="I381" s="33"/>
      <c r="J381" s="36"/>
      <c r="K381" s="40"/>
      <c r="L381" s="40"/>
      <c r="M381" s="47" t="str">
        <f aca="false">IF($B381="","",IF(NOT(ISNUMBER($B381)),"日期不是日期格式",IF(YEAR($B381)&lt;&gt;首页!$B$3,"不在会计年度",IF($E381="","未选收支科目",IF($D381="⚠","收支科目不存在",IF($F381="","未选账户",IF($T381="","账户未设资金科目",IF(AND($D381="转账",$U381=""),"转入账户无效",IF(AND(N($K381)&gt;0,N($L381)&gt;0),"收支不能同时填",IF(AND($D381="收入",N($K381)&lt;=0),"收入金额须大于0",IF(AND($D381&lt;&gt;"收入",N($L381)&lt;=0),"支出金额须大于0",IF($O381="","借方科目缺失",IF($P381="","贷方科目缺失","√")))))))))))))</f>
        <v/>
      </c>
      <c r="N381" s="48" t="str">
        <f aca="false">IF($B381="","",IF($D381="收入",N($K381),N($L381)))</f>
        <v/>
      </c>
      <c r="O381" s="49" t="str">
        <f aca="false">IF($B381="","",IF($D381="收入",$T381,IF($D381="转账",$U381,$S381)))</f>
        <v/>
      </c>
      <c r="P381" s="49" t="str">
        <f aca="false">IF($B381="","",IF($D381="收入",$S381,$T381))</f>
        <v/>
      </c>
      <c r="Q381" s="50" t="str">
        <f aca="false">IF($E381="","",IF($D381="转账","—",IFERROR(INDEX(科目参数!$P$6:$P$85,MATCH($E381,科目参数!$M$6:$M$85,0)),"")))</f>
        <v/>
      </c>
      <c r="R381" s="48" t="str">
        <f aca="false">IF($B381="","",SUMIFS(期初数据!$B$6:$B$35,期初数据!$A$6:$A$35,$F381)+SUMIFS($N$5:$N381,$F$5:$F381,$F381,$D$5:$D381,"收入")-SUMIFS($N$5:$N381,$F$5:$F381,$F381,$D$5:$D381,"支出")-SUMIFS($N$5:$N381,$F$5:$F381,$F381,$D$5:$D381,"转账")+SUMIFS($N$5:$N381,$G$5:$G381,$F381,$D$5:$D381,"转账"))</f>
        <v/>
      </c>
      <c r="S381" s="49" t="str">
        <f aca="false">IF($E381="","",IFERROR(INDEX(科目参数!$N$6:$N$85,MATCH($E381,科目参数!$M$6:$M$85,0)),""))</f>
        <v/>
      </c>
      <c r="T381" s="49" t="str">
        <f aca="false">IF($F381="","",IFERROR(INDEX(基础资料!$C$6:$C$35,MATCH($F381,基础资料!$A$6:$A$35,0)),""))</f>
        <v/>
      </c>
      <c r="U381" s="49" t="str">
        <f aca="false">IF($G381="","",IFERROR(INDEX(基础资料!$C$6:$C$35,MATCH($G381,基础资料!$A$6:$A$35,0)),""))</f>
        <v/>
      </c>
      <c r="V381" s="49" t="str">
        <f aca="false">IF(AND($G381=客户对账单!$B$3,$E381="客户回款",$B381&gt;=客户对账单!$E$3,$B381&lt;=客户对账单!$H$3),COUNTIFS($G$5:$G381,客户对账单!$B$3,$E$5:$E381,"客户回款",$B$5:$B381,"&gt;="&amp;客户对账单!$E$3,$B$5:$B381,"&lt;="&amp;客户对账单!$H$3),"")</f>
        <v/>
      </c>
      <c r="W381" s="49" t="str">
        <f aca="false">IF(AND($G381=供应商对账单!$B$3,$E381="供应商付款",$B381&gt;=供应商对账单!$E$3,$B381&lt;=供应商对账单!$H$3),COUNTIFS($G$5:$G381,供应商对账单!$B$3,$E$5:$E381,"供应商付款",$B$5:$B381,"&gt;="&amp;供应商对账单!$E$3,$B$5:$B381,"&lt;="&amp;供应商对账单!$H$3),"")</f>
        <v/>
      </c>
    </row>
    <row r="382" customFormat="false" ht="15.75" hidden="false" customHeight="true" outlineLevel="0" collapsed="false">
      <c r="A382" s="42" t="str">
        <f aca="false">IF($B382="","","ZJ"&amp;TEXT($B382,"yyyymm")&amp;"-"&amp;TEXT(ROW()-4,"000"))</f>
        <v/>
      </c>
      <c r="B382" s="41"/>
      <c r="C382" s="42" t="str">
        <f aca="false">IF($B382="","",TEXT($B382,"yyyy-mm"))</f>
        <v/>
      </c>
      <c r="D382" s="42" t="str">
        <f aca="false">IF($E382="","",IFERROR(INDEX(科目参数!$L$6:$L$85,MATCH($E382,科目参数!$M$6:$M$85,0)),"⚠"))</f>
        <v/>
      </c>
      <c r="E382" s="33"/>
      <c r="F382" s="33"/>
      <c r="G382" s="36"/>
      <c r="H382" s="33"/>
      <c r="I382" s="33"/>
      <c r="J382" s="36"/>
      <c r="K382" s="40"/>
      <c r="L382" s="40"/>
      <c r="M382" s="47" t="str">
        <f aca="false">IF($B382="","",IF(NOT(ISNUMBER($B382)),"日期不是日期格式",IF(YEAR($B382)&lt;&gt;首页!$B$3,"不在会计年度",IF($E382="","未选收支科目",IF($D382="⚠","收支科目不存在",IF($F382="","未选账户",IF($T382="","账户未设资金科目",IF(AND($D382="转账",$U382=""),"转入账户无效",IF(AND(N($K382)&gt;0,N($L382)&gt;0),"收支不能同时填",IF(AND($D382="收入",N($K382)&lt;=0),"收入金额须大于0",IF(AND($D382&lt;&gt;"收入",N($L382)&lt;=0),"支出金额须大于0",IF($O382="","借方科目缺失",IF($P382="","贷方科目缺失","√")))))))))))))</f>
        <v/>
      </c>
      <c r="N382" s="48" t="str">
        <f aca="false">IF($B382="","",IF($D382="收入",N($K382),N($L382)))</f>
        <v/>
      </c>
      <c r="O382" s="49" t="str">
        <f aca="false">IF($B382="","",IF($D382="收入",$T382,IF($D382="转账",$U382,$S382)))</f>
        <v/>
      </c>
      <c r="P382" s="49" t="str">
        <f aca="false">IF($B382="","",IF($D382="收入",$S382,$T382))</f>
        <v/>
      </c>
      <c r="Q382" s="50" t="str">
        <f aca="false">IF($E382="","",IF($D382="转账","—",IFERROR(INDEX(科目参数!$P$6:$P$85,MATCH($E382,科目参数!$M$6:$M$85,0)),"")))</f>
        <v/>
      </c>
      <c r="R382" s="48" t="str">
        <f aca="false">IF($B382="","",SUMIFS(期初数据!$B$6:$B$35,期初数据!$A$6:$A$35,$F382)+SUMIFS($N$5:$N382,$F$5:$F382,$F382,$D$5:$D382,"收入")-SUMIFS($N$5:$N382,$F$5:$F382,$F382,$D$5:$D382,"支出")-SUMIFS($N$5:$N382,$F$5:$F382,$F382,$D$5:$D382,"转账")+SUMIFS($N$5:$N382,$G$5:$G382,$F382,$D$5:$D382,"转账"))</f>
        <v/>
      </c>
      <c r="S382" s="49" t="str">
        <f aca="false">IF($E382="","",IFERROR(INDEX(科目参数!$N$6:$N$85,MATCH($E382,科目参数!$M$6:$M$85,0)),""))</f>
        <v/>
      </c>
      <c r="T382" s="49" t="str">
        <f aca="false">IF($F382="","",IFERROR(INDEX(基础资料!$C$6:$C$35,MATCH($F382,基础资料!$A$6:$A$35,0)),""))</f>
        <v/>
      </c>
      <c r="U382" s="49" t="str">
        <f aca="false">IF($G382="","",IFERROR(INDEX(基础资料!$C$6:$C$35,MATCH($G382,基础资料!$A$6:$A$35,0)),""))</f>
        <v/>
      </c>
      <c r="V382" s="49" t="str">
        <f aca="false">IF(AND($G382=客户对账单!$B$3,$E382="客户回款",$B382&gt;=客户对账单!$E$3,$B382&lt;=客户对账单!$H$3),COUNTIFS($G$5:$G382,客户对账单!$B$3,$E$5:$E382,"客户回款",$B$5:$B382,"&gt;="&amp;客户对账单!$E$3,$B$5:$B382,"&lt;="&amp;客户对账单!$H$3),"")</f>
        <v/>
      </c>
      <c r="W382" s="49" t="str">
        <f aca="false">IF(AND($G382=供应商对账单!$B$3,$E382="供应商付款",$B382&gt;=供应商对账单!$E$3,$B382&lt;=供应商对账单!$H$3),COUNTIFS($G$5:$G382,供应商对账单!$B$3,$E$5:$E382,"供应商付款",$B$5:$B382,"&gt;="&amp;供应商对账单!$E$3,$B$5:$B382,"&lt;="&amp;供应商对账单!$H$3),"")</f>
        <v/>
      </c>
    </row>
    <row r="383" customFormat="false" ht="15.75" hidden="false" customHeight="true" outlineLevel="0" collapsed="false">
      <c r="A383" s="42" t="str">
        <f aca="false">IF($B383="","","ZJ"&amp;TEXT($B383,"yyyymm")&amp;"-"&amp;TEXT(ROW()-4,"000"))</f>
        <v/>
      </c>
      <c r="B383" s="41"/>
      <c r="C383" s="42" t="str">
        <f aca="false">IF($B383="","",TEXT($B383,"yyyy-mm"))</f>
        <v/>
      </c>
      <c r="D383" s="42" t="str">
        <f aca="false">IF($E383="","",IFERROR(INDEX(科目参数!$L$6:$L$85,MATCH($E383,科目参数!$M$6:$M$85,0)),"⚠"))</f>
        <v/>
      </c>
      <c r="E383" s="33"/>
      <c r="F383" s="33"/>
      <c r="G383" s="36"/>
      <c r="H383" s="33"/>
      <c r="I383" s="33"/>
      <c r="J383" s="36"/>
      <c r="K383" s="40"/>
      <c r="L383" s="40"/>
      <c r="M383" s="47" t="str">
        <f aca="false">IF($B383="","",IF(NOT(ISNUMBER($B383)),"日期不是日期格式",IF(YEAR($B383)&lt;&gt;首页!$B$3,"不在会计年度",IF($E383="","未选收支科目",IF($D383="⚠","收支科目不存在",IF($F383="","未选账户",IF($T383="","账户未设资金科目",IF(AND($D383="转账",$U383=""),"转入账户无效",IF(AND(N($K383)&gt;0,N($L383)&gt;0),"收支不能同时填",IF(AND($D383="收入",N($K383)&lt;=0),"收入金额须大于0",IF(AND($D383&lt;&gt;"收入",N($L383)&lt;=0),"支出金额须大于0",IF($O383="","借方科目缺失",IF($P383="","贷方科目缺失","√")))))))))))))</f>
        <v/>
      </c>
      <c r="N383" s="48" t="str">
        <f aca="false">IF($B383="","",IF($D383="收入",N($K383),N($L383)))</f>
        <v/>
      </c>
      <c r="O383" s="49" t="str">
        <f aca="false">IF($B383="","",IF($D383="收入",$T383,IF($D383="转账",$U383,$S383)))</f>
        <v/>
      </c>
      <c r="P383" s="49" t="str">
        <f aca="false">IF($B383="","",IF($D383="收入",$S383,$T383))</f>
        <v/>
      </c>
      <c r="Q383" s="50" t="str">
        <f aca="false">IF($E383="","",IF($D383="转账","—",IFERROR(INDEX(科目参数!$P$6:$P$85,MATCH($E383,科目参数!$M$6:$M$85,0)),"")))</f>
        <v/>
      </c>
      <c r="R383" s="48" t="str">
        <f aca="false">IF($B383="","",SUMIFS(期初数据!$B$6:$B$35,期初数据!$A$6:$A$35,$F383)+SUMIFS($N$5:$N383,$F$5:$F383,$F383,$D$5:$D383,"收入")-SUMIFS($N$5:$N383,$F$5:$F383,$F383,$D$5:$D383,"支出")-SUMIFS($N$5:$N383,$F$5:$F383,$F383,$D$5:$D383,"转账")+SUMIFS($N$5:$N383,$G$5:$G383,$F383,$D$5:$D383,"转账"))</f>
        <v/>
      </c>
      <c r="S383" s="49" t="str">
        <f aca="false">IF($E383="","",IFERROR(INDEX(科目参数!$N$6:$N$85,MATCH($E383,科目参数!$M$6:$M$85,0)),""))</f>
        <v/>
      </c>
      <c r="T383" s="49" t="str">
        <f aca="false">IF($F383="","",IFERROR(INDEX(基础资料!$C$6:$C$35,MATCH($F383,基础资料!$A$6:$A$35,0)),""))</f>
        <v/>
      </c>
      <c r="U383" s="49" t="str">
        <f aca="false">IF($G383="","",IFERROR(INDEX(基础资料!$C$6:$C$35,MATCH($G383,基础资料!$A$6:$A$35,0)),""))</f>
        <v/>
      </c>
      <c r="V383" s="49" t="str">
        <f aca="false">IF(AND($G383=客户对账单!$B$3,$E383="客户回款",$B383&gt;=客户对账单!$E$3,$B383&lt;=客户对账单!$H$3),COUNTIFS($G$5:$G383,客户对账单!$B$3,$E$5:$E383,"客户回款",$B$5:$B383,"&gt;="&amp;客户对账单!$E$3,$B$5:$B383,"&lt;="&amp;客户对账单!$H$3),"")</f>
        <v/>
      </c>
      <c r="W383" s="49" t="str">
        <f aca="false">IF(AND($G383=供应商对账单!$B$3,$E383="供应商付款",$B383&gt;=供应商对账单!$E$3,$B383&lt;=供应商对账单!$H$3),COUNTIFS($G$5:$G383,供应商对账单!$B$3,$E$5:$E383,"供应商付款",$B$5:$B383,"&gt;="&amp;供应商对账单!$E$3,$B$5:$B383,"&lt;="&amp;供应商对账单!$H$3),"")</f>
        <v/>
      </c>
    </row>
    <row r="384" customFormat="false" ht="15.75" hidden="false" customHeight="true" outlineLevel="0" collapsed="false">
      <c r="A384" s="42" t="str">
        <f aca="false">IF($B384="","","ZJ"&amp;TEXT($B384,"yyyymm")&amp;"-"&amp;TEXT(ROW()-4,"000"))</f>
        <v/>
      </c>
      <c r="B384" s="41"/>
      <c r="C384" s="42" t="str">
        <f aca="false">IF($B384="","",TEXT($B384,"yyyy-mm"))</f>
        <v/>
      </c>
      <c r="D384" s="42" t="str">
        <f aca="false">IF($E384="","",IFERROR(INDEX(科目参数!$L$6:$L$85,MATCH($E384,科目参数!$M$6:$M$85,0)),"⚠"))</f>
        <v/>
      </c>
      <c r="E384" s="33"/>
      <c r="F384" s="33"/>
      <c r="G384" s="36"/>
      <c r="H384" s="33"/>
      <c r="I384" s="33"/>
      <c r="J384" s="36"/>
      <c r="K384" s="40"/>
      <c r="L384" s="40"/>
      <c r="M384" s="47" t="str">
        <f aca="false">IF($B384="","",IF(NOT(ISNUMBER($B384)),"日期不是日期格式",IF(YEAR($B384)&lt;&gt;首页!$B$3,"不在会计年度",IF($E384="","未选收支科目",IF($D384="⚠","收支科目不存在",IF($F384="","未选账户",IF($T384="","账户未设资金科目",IF(AND($D384="转账",$U384=""),"转入账户无效",IF(AND(N($K384)&gt;0,N($L384)&gt;0),"收支不能同时填",IF(AND($D384="收入",N($K384)&lt;=0),"收入金额须大于0",IF(AND($D384&lt;&gt;"收入",N($L384)&lt;=0),"支出金额须大于0",IF($O384="","借方科目缺失",IF($P384="","贷方科目缺失","√")))))))))))))</f>
        <v/>
      </c>
      <c r="N384" s="48" t="str">
        <f aca="false">IF($B384="","",IF($D384="收入",N($K384),N($L384)))</f>
        <v/>
      </c>
      <c r="O384" s="49" t="str">
        <f aca="false">IF($B384="","",IF($D384="收入",$T384,IF($D384="转账",$U384,$S384)))</f>
        <v/>
      </c>
      <c r="P384" s="49" t="str">
        <f aca="false">IF($B384="","",IF($D384="收入",$S384,$T384))</f>
        <v/>
      </c>
      <c r="Q384" s="50" t="str">
        <f aca="false">IF($E384="","",IF($D384="转账","—",IFERROR(INDEX(科目参数!$P$6:$P$85,MATCH($E384,科目参数!$M$6:$M$85,0)),"")))</f>
        <v/>
      </c>
      <c r="R384" s="48" t="str">
        <f aca="false">IF($B384="","",SUMIFS(期初数据!$B$6:$B$35,期初数据!$A$6:$A$35,$F384)+SUMIFS($N$5:$N384,$F$5:$F384,$F384,$D$5:$D384,"收入")-SUMIFS($N$5:$N384,$F$5:$F384,$F384,$D$5:$D384,"支出")-SUMIFS($N$5:$N384,$F$5:$F384,$F384,$D$5:$D384,"转账")+SUMIFS($N$5:$N384,$G$5:$G384,$F384,$D$5:$D384,"转账"))</f>
        <v/>
      </c>
      <c r="S384" s="49" t="str">
        <f aca="false">IF($E384="","",IFERROR(INDEX(科目参数!$N$6:$N$85,MATCH($E384,科目参数!$M$6:$M$85,0)),""))</f>
        <v/>
      </c>
      <c r="T384" s="49" t="str">
        <f aca="false">IF($F384="","",IFERROR(INDEX(基础资料!$C$6:$C$35,MATCH($F384,基础资料!$A$6:$A$35,0)),""))</f>
        <v/>
      </c>
      <c r="U384" s="49" t="str">
        <f aca="false">IF($G384="","",IFERROR(INDEX(基础资料!$C$6:$C$35,MATCH($G384,基础资料!$A$6:$A$35,0)),""))</f>
        <v/>
      </c>
      <c r="V384" s="49" t="str">
        <f aca="false">IF(AND($G384=客户对账单!$B$3,$E384="客户回款",$B384&gt;=客户对账单!$E$3,$B384&lt;=客户对账单!$H$3),COUNTIFS($G$5:$G384,客户对账单!$B$3,$E$5:$E384,"客户回款",$B$5:$B384,"&gt;="&amp;客户对账单!$E$3,$B$5:$B384,"&lt;="&amp;客户对账单!$H$3),"")</f>
        <v/>
      </c>
      <c r="W384" s="49" t="str">
        <f aca="false">IF(AND($G384=供应商对账单!$B$3,$E384="供应商付款",$B384&gt;=供应商对账单!$E$3,$B384&lt;=供应商对账单!$H$3),COUNTIFS($G$5:$G384,供应商对账单!$B$3,$E$5:$E384,"供应商付款",$B$5:$B384,"&gt;="&amp;供应商对账单!$E$3,$B$5:$B384,"&lt;="&amp;供应商对账单!$H$3),"")</f>
        <v/>
      </c>
    </row>
    <row r="385" customFormat="false" ht="15.75" hidden="false" customHeight="true" outlineLevel="0" collapsed="false">
      <c r="A385" s="42" t="str">
        <f aca="false">IF($B385="","","ZJ"&amp;TEXT($B385,"yyyymm")&amp;"-"&amp;TEXT(ROW()-4,"000"))</f>
        <v/>
      </c>
      <c r="B385" s="41"/>
      <c r="C385" s="42" t="str">
        <f aca="false">IF($B385="","",TEXT($B385,"yyyy-mm"))</f>
        <v/>
      </c>
      <c r="D385" s="42" t="str">
        <f aca="false">IF($E385="","",IFERROR(INDEX(科目参数!$L$6:$L$85,MATCH($E385,科目参数!$M$6:$M$85,0)),"⚠"))</f>
        <v/>
      </c>
      <c r="E385" s="33"/>
      <c r="F385" s="33"/>
      <c r="G385" s="36"/>
      <c r="H385" s="33"/>
      <c r="I385" s="33"/>
      <c r="J385" s="36"/>
      <c r="K385" s="40"/>
      <c r="L385" s="40"/>
      <c r="M385" s="47" t="str">
        <f aca="false">IF($B385="","",IF(NOT(ISNUMBER($B385)),"日期不是日期格式",IF(YEAR($B385)&lt;&gt;首页!$B$3,"不在会计年度",IF($E385="","未选收支科目",IF($D385="⚠","收支科目不存在",IF($F385="","未选账户",IF($T385="","账户未设资金科目",IF(AND($D385="转账",$U385=""),"转入账户无效",IF(AND(N($K385)&gt;0,N($L385)&gt;0),"收支不能同时填",IF(AND($D385="收入",N($K385)&lt;=0),"收入金额须大于0",IF(AND($D385&lt;&gt;"收入",N($L385)&lt;=0),"支出金额须大于0",IF($O385="","借方科目缺失",IF($P385="","贷方科目缺失","√")))))))))))))</f>
        <v/>
      </c>
      <c r="N385" s="48" t="str">
        <f aca="false">IF($B385="","",IF($D385="收入",N($K385),N($L385)))</f>
        <v/>
      </c>
      <c r="O385" s="49" t="str">
        <f aca="false">IF($B385="","",IF($D385="收入",$T385,IF($D385="转账",$U385,$S385)))</f>
        <v/>
      </c>
      <c r="P385" s="49" t="str">
        <f aca="false">IF($B385="","",IF($D385="收入",$S385,$T385))</f>
        <v/>
      </c>
      <c r="Q385" s="50" t="str">
        <f aca="false">IF($E385="","",IF($D385="转账","—",IFERROR(INDEX(科目参数!$P$6:$P$85,MATCH($E385,科目参数!$M$6:$M$85,0)),"")))</f>
        <v/>
      </c>
      <c r="R385" s="48" t="str">
        <f aca="false">IF($B385="","",SUMIFS(期初数据!$B$6:$B$35,期初数据!$A$6:$A$35,$F385)+SUMIFS($N$5:$N385,$F$5:$F385,$F385,$D$5:$D385,"收入")-SUMIFS($N$5:$N385,$F$5:$F385,$F385,$D$5:$D385,"支出")-SUMIFS($N$5:$N385,$F$5:$F385,$F385,$D$5:$D385,"转账")+SUMIFS($N$5:$N385,$G$5:$G385,$F385,$D$5:$D385,"转账"))</f>
        <v/>
      </c>
      <c r="S385" s="49" t="str">
        <f aca="false">IF($E385="","",IFERROR(INDEX(科目参数!$N$6:$N$85,MATCH($E385,科目参数!$M$6:$M$85,0)),""))</f>
        <v/>
      </c>
      <c r="T385" s="49" t="str">
        <f aca="false">IF($F385="","",IFERROR(INDEX(基础资料!$C$6:$C$35,MATCH($F385,基础资料!$A$6:$A$35,0)),""))</f>
        <v/>
      </c>
      <c r="U385" s="49" t="str">
        <f aca="false">IF($G385="","",IFERROR(INDEX(基础资料!$C$6:$C$35,MATCH($G385,基础资料!$A$6:$A$35,0)),""))</f>
        <v/>
      </c>
      <c r="V385" s="49" t="str">
        <f aca="false">IF(AND($G385=客户对账单!$B$3,$E385="客户回款",$B385&gt;=客户对账单!$E$3,$B385&lt;=客户对账单!$H$3),COUNTIFS($G$5:$G385,客户对账单!$B$3,$E$5:$E385,"客户回款",$B$5:$B385,"&gt;="&amp;客户对账单!$E$3,$B$5:$B385,"&lt;="&amp;客户对账单!$H$3),"")</f>
        <v/>
      </c>
      <c r="W385" s="49" t="str">
        <f aca="false">IF(AND($G385=供应商对账单!$B$3,$E385="供应商付款",$B385&gt;=供应商对账单!$E$3,$B385&lt;=供应商对账单!$H$3),COUNTIFS($G$5:$G385,供应商对账单!$B$3,$E$5:$E385,"供应商付款",$B$5:$B385,"&gt;="&amp;供应商对账单!$E$3,$B$5:$B385,"&lt;="&amp;供应商对账单!$H$3),"")</f>
        <v/>
      </c>
    </row>
    <row r="386" customFormat="false" ht="15.75" hidden="false" customHeight="true" outlineLevel="0" collapsed="false">
      <c r="A386" s="42" t="str">
        <f aca="false">IF($B386="","","ZJ"&amp;TEXT($B386,"yyyymm")&amp;"-"&amp;TEXT(ROW()-4,"000"))</f>
        <v/>
      </c>
      <c r="B386" s="41"/>
      <c r="C386" s="42" t="str">
        <f aca="false">IF($B386="","",TEXT($B386,"yyyy-mm"))</f>
        <v/>
      </c>
      <c r="D386" s="42" t="str">
        <f aca="false">IF($E386="","",IFERROR(INDEX(科目参数!$L$6:$L$85,MATCH($E386,科目参数!$M$6:$M$85,0)),"⚠"))</f>
        <v/>
      </c>
      <c r="E386" s="33"/>
      <c r="F386" s="33"/>
      <c r="G386" s="36"/>
      <c r="H386" s="33"/>
      <c r="I386" s="33"/>
      <c r="J386" s="36"/>
      <c r="K386" s="40"/>
      <c r="L386" s="40"/>
      <c r="M386" s="47" t="str">
        <f aca="false">IF($B386="","",IF(NOT(ISNUMBER($B386)),"日期不是日期格式",IF(YEAR($B386)&lt;&gt;首页!$B$3,"不在会计年度",IF($E386="","未选收支科目",IF($D386="⚠","收支科目不存在",IF($F386="","未选账户",IF($T386="","账户未设资金科目",IF(AND($D386="转账",$U386=""),"转入账户无效",IF(AND(N($K386)&gt;0,N($L386)&gt;0),"收支不能同时填",IF(AND($D386="收入",N($K386)&lt;=0),"收入金额须大于0",IF(AND($D386&lt;&gt;"收入",N($L386)&lt;=0),"支出金额须大于0",IF($O386="","借方科目缺失",IF($P386="","贷方科目缺失","√")))))))))))))</f>
        <v/>
      </c>
      <c r="N386" s="48" t="str">
        <f aca="false">IF($B386="","",IF($D386="收入",N($K386),N($L386)))</f>
        <v/>
      </c>
      <c r="O386" s="49" t="str">
        <f aca="false">IF($B386="","",IF($D386="收入",$T386,IF($D386="转账",$U386,$S386)))</f>
        <v/>
      </c>
      <c r="P386" s="49" t="str">
        <f aca="false">IF($B386="","",IF($D386="收入",$S386,$T386))</f>
        <v/>
      </c>
      <c r="Q386" s="50" t="str">
        <f aca="false">IF($E386="","",IF($D386="转账","—",IFERROR(INDEX(科目参数!$P$6:$P$85,MATCH($E386,科目参数!$M$6:$M$85,0)),"")))</f>
        <v/>
      </c>
      <c r="R386" s="48" t="str">
        <f aca="false">IF($B386="","",SUMIFS(期初数据!$B$6:$B$35,期初数据!$A$6:$A$35,$F386)+SUMIFS($N$5:$N386,$F$5:$F386,$F386,$D$5:$D386,"收入")-SUMIFS($N$5:$N386,$F$5:$F386,$F386,$D$5:$D386,"支出")-SUMIFS($N$5:$N386,$F$5:$F386,$F386,$D$5:$D386,"转账")+SUMIFS($N$5:$N386,$G$5:$G386,$F386,$D$5:$D386,"转账"))</f>
        <v/>
      </c>
      <c r="S386" s="49" t="str">
        <f aca="false">IF($E386="","",IFERROR(INDEX(科目参数!$N$6:$N$85,MATCH($E386,科目参数!$M$6:$M$85,0)),""))</f>
        <v/>
      </c>
      <c r="T386" s="49" t="str">
        <f aca="false">IF($F386="","",IFERROR(INDEX(基础资料!$C$6:$C$35,MATCH($F386,基础资料!$A$6:$A$35,0)),""))</f>
        <v/>
      </c>
      <c r="U386" s="49" t="str">
        <f aca="false">IF($G386="","",IFERROR(INDEX(基础资料!$C$6:$C$35,MATCH($G386,基础资料!$A$6:$A$35,0)),""))</f>
        <v/>
      </c>
      <c r="V386" s="49" t="str">
        <f aca="false">IF(AND($G386=客户对账单!$B$3,$E386="客户回款",$B386&gt;=客户对账单!$E$3,$B386&lt;=客户对账单!$H$3),COUNTIFS($G$5:$G386,客户对账单!$B$3,$E$5:$E386,"客户回款",$B$5:$B386,"&gt;="&amp;客户对账单!$E$3,$B$5:$B386,"&lt;="&amp;客户对账单!$H$3),"")</f>
        <v/>
      </c>
      <c r="W386" s="49" t="str">
        <f aca="false">IF(AND($G386=供应商对账单!$B$3,$E386="供应商付款",$B386&gt;=供应商对账单!$E$3,$B386&lt;=供应商对账单!$H$3),COUNTIFS($G$5:$G386,供应商对账单!$B$3,$E$5:$E386,"供应商付款",$B$5:$B386,"&gt;="&amp;供应商对账单!$E$3,$B$5:$B386,"&lt;="&amp;供应商对账单!$H$3),"")</f>
        <v/>
      </c>
    </row>
    <row r="387" customFormat="false" ht="15.75" hidden="false" customHeight="true" outlineLevel="0" collapsed="false">
      <c r="A387" s="42" t="str">
        <f aca="false">IF($B387="","","ZJ"&amp;TEXT($B387,"yyyymm")&amp;"-"&amp;TEXT(ROW()-4,"000"))</f>
        <v/>
      </c>
      <c r="B387" s="41"/>
      <c r="C387" s="42" t="str">
        <f aca="false">IF($B387="","",TEXT($B387,"yyyy-mm"))</f>
        <v/>
      </c>
      <c r="D387" s="42" t="str">
        <f aca="false">IF($E387="","",IFERROR(INDEX(科目参数!$L$6:$L$85,MATCH($E387,科目参数!$M$6:$M$85,0)),"⚠"))</f>
        <v/>
      </c>
      <c r="E387" s="33"/>
      <c r="F387" s="33"/>
      <c r="G387" s="36"/>
      <c r="H387" s="33"/>
      <c r="I387" s="33"/>
      <c r="J387" s="36"/>
      <c r="K387" s="40"/>
      <c r="L387" s="40"/>
      <c r="M387" s="47" t="str">
        <f aca="false">IF($B387="","",IF(NOT(ISNUMBER($B387)),"日期不是日期格式",IF(YEAR($B387)&lt;&gt;首页!$B$3,"不在会计年度",IF($E387="","未选收支科目",IF($D387="⚠","收支科目不存在",IF($F387="","未选账户",IF($T387="","账户未设资金科目",IF(AND($D387="转账",$U387=""),"转入账户无效",IF(AND(N($K387)&gt;0,N($L387)&gt;0),"收支不能同时填",IF(AND($D387="收入",N($K387)&lt;=0),"收入金额须大于0",IF(AND($D387&lt;&gt;"收入",N($L387)&lt;=0),"支出金额须大于0",IF($O387="","借方科目缺失",IF($P387="","贷方科目缺失","√")))))))))))))</f>
        <v/>
      </c>
      <c r="N387" s="48" t="str">
        <f aca="false">IF($B387="","",IF($D387="收入",N($K387),N($L387)))</f>
        <v/>
      </c>
      <c r="O387" s="49" t="str">
        <f aca="false">IF($B387="","",IF($D387="收入",$T387,IF($D387="转账",$U387,$S387)))</f>
        <v/>
      </c>
      <c r="P387" s="49" t="str">
        <f aca="false">IF($B387="","",IF($D387="收入",$S387,$T387))</f>
        <v/>
      </c>
      <c r="Q387" s="50" t="str">
        <f aca="false">IF($E387="","",IF($D387="转账","—",IFERROR(INDEX(科目参数!$P$6:$P$85,MATCH($E387,科目参数!$M$6:$M$85,0)),"")))</f>
        <v/>
      </c>
      <c r="R387" s="48" t="str">
        <f aca="false">IF($B387="","",SUMIFS(期初数据!$B$6:$B$35,期初数据!$A$6:$A$35,$F387)+SUMIFS($N$5:$N387,$F$5:$F387,$F387,$D$5:$D387,"收入")-SUMIFS($N$5:$N387,$F$5:$F387,$F387,$D$5:$D387,"支出")-SUMIFS($N$5:$N387,$F$5:$F387,$F387,$D$5:$D387,"转账")+SUMIFS($N$5:$N387,$G$5:$G387,$F387,$D$5:$D387,"转账"))</f>
        <v/>
      </c>
      <c r="S387" s="49" t="str">
        <f aca="false">IF($E387="","",IFERROR(INDEX(科目参数!$N$6:$N$85,MATCH($E387,科目参数!$M$6:$M$85,0)),""))</f>
        <v/>
      </c>
      <c r="T387" s="49" t="str">
        <f aca="false">IF($F387="","",IFERROR(INDEX(基础资料!$C$6:$C$35,MATCH($F387,基础资料!$A$6:$A$35,0)),""))</f>
        <v/>
      </c>
      <c r="U387" s="49" t="str">
        <f aca="false">IF($G387="","",IFERROR(INDEX(基础资料!$C$6:$C$35,MATCH($G387,基础资料!$A$6:$A$35,0)),""))</f>
        <v/>
      </c>
      <c r="V387" s="49" t="str">
        <f aca="false">IF(AND($G387=客户对账单!$B$3,$E387="客户回款",$B387&gt;=客户对账单!$E$3,$B387&lt;=客户对账单!$H$3),COUNTIFS($G$5:$G387,客户对账单!$B$3,$E$5:$E387,"客户回款",$B$5:$B387,"&gt;="&amp;客户对账单!$E$3,$B$5:$B387,"&lt;="&amp;客户对账单!$H$3),"")</f>
        <v/>
      </c>
      <c r="W387" s="49" t="str">
        <f aca="false">IF(AND($G387=供应商对账单!$B$3,$E387="供应商付款",$B387&gt;=供应商对账单!$E$3,$B387&lt;=供应商对账单!$H$3),COUNTIFS($G$5:$G387,供应商对账单!$B$3,$E$5:$E387,"供应商付款",$B$5:$B387,"&gt;="&amp;供应商对账单!$E$3,$B$5:$B387,"&lt;="&amp;供应商对账单!$H$3),"")</f>
        <v/>
      </c>
    </row>
    <row r="388" customFormat="false" ht="15.75" hidden="false" customHeight="true" outlineLevel="0" collapsed="false">
      <c r="A388" s="42" t="str">
        <f aca="false">IF($B388="","","ZJ"&amp;TEXT($B388,"yyyymm")&amp;"-"&amp;TEXT(ROW()-4,"000"))</f>
        <v/>
      </c>
      <c r="B388" s="41"/>
      <c r="C388" s="42" t="str">
        <f aca="false">IF($B388="","",TEXT($B388,"yyyy-mm"))</f>
        <v/>
      </c>
      <c r="D388" s="42" t="str">
        <f aca="false">IF($E388="","",IFERROR(INDEX(科目参数!$L$6:$L$85,MATCH($E388,科目参数!$M$6:$M$85,0)),"⚠"))</f>
        <v/>
      </c>
      <c r="E388" s="33"/>
      <c r="F388" s="33"/>
      <c r="G388" s="36"/>
      <c r="H388" s="33"/>
      <c r="I388" s="33"/>
      <c r="J388" s="36"/>
      <c r="K388" s="40"/>
      <c r="L388" s="40"/>
      <c r="M388" s="47" t="str">
        <f aca="false">IF($B388="","",IF(NOT(ISNUMBER($B388)),"日期不是日期格式",IF(YEAR($B388)&lt;&gt;首页!$B$3,"不在会计年度",IF($E388="","未选收支科目",IF($D388="⚠","收支科目不存在",IF($F388="","未选账户",IF($T388="","账户未设资金科目",IF(AND($D388="转账",$U388=""),"转入账户无效",IF(AND(N($K388)&gt;0,N($L388)&gt;0),"收支不能同时填",IF(AND($D388="收入",N($K388)&lt;=0),"收入金额须大于0",IF(AND($D388&lt;&gt;"收入",N($L388)&lt;=0),"支出金额须大于0",IF($O388="","借方科目缺失",IF($P388="","贷方科目缺失","√")))))))))))))</f>
        <v/>
      </c>
      <c r="N388" s="48" t="str">
        <f aca="false">IF($B388="","",IF($D388="收入",N($K388),N($L388)))</f>
        <v/>
      </c>
      <c r="O388" s="49" t="str">
        <f aca="false">IF($B388="","",IF($D388="收入",$T388,IF($D388="转账",$U388,$S388)))</f>
        <v/>
      </c>
      <c r="P388" s="49" t="str">
        <f aca="false">IF($B388="","",IF($D388="收入",$S388,$T388))</f>
        <v/>
      </c>
      <c r="Q388" s="50" t="str">
        <f aca="false">IF($E388="","",IF($D388="转账","—",IFERROR(INDEX(科目参数!$P$6:$P$85,MATCH($E388,科目参数!$M$6:$M$85,0)),"")))</f>
        <v/>
      </c>
      <c r="R388" s="48" t="str">
        <f aca="false">IF($B388="","",SUMIFS(期初数据!$B$6:$B$35,期初数据!$A$6:$A$35,$F388)+SUMIFS($N$5:$N388,$F$5:$F388,$F388,$D$5:$D388,"收入")-SUMIFS($N$5:$N388,$F$5:$F388,$F388,$D$5:$D388,"支出")-SUMIFS($N$5:$N388,$F$5:$F388,$F388,$D$5:$D388,"转账")+SUMIFS($N$5:$N388,$G$5:$G388,$F388,$D$5:$D388,"转账"))</f>
        <v/>
      </c>
      <c r="S388" s="49" t="str">
        <f aca="false">IF($E388="","",IFERROR(INDEX(科目参数!$N$6:$N$85,MATCH($E388,科目参数!$M$6:$M$85,0)),""))</f>
        <v/>
      </c>
      <c r="T388" s="49" t="str">
        <f aca="false">IF($F388="","",IFERROR(INDEX(基础资料!$C$6:$C$35,MATCH($F388,基础资料!$A$6:$A$35,0)),""))</f>
        <v/>
      </c>
      <c r="U388" s="49" t="str">
        <f aca="false">IF($G388="","",IFERROR(INDEX(基础资料!$C$6:$C$35,MATCH($G388,基础资料!$A$6:$A$35,0)),""))</f>
        <v/>
      </c>
      <c r="V388" s="49" t="str">
        <f aca="false">IF(AND($G388=客户对账单!$B$3,$E388="客户回款",$B388&gt;=客户对账单!$E$3,$B388&lt;=客户对账单!$H$3),COUNTIFS($G$5:$G388,客户对账单!$B$3,$E$5:$E388,"客户回款",$B$5:$B388,"&gt;="&amp;客户对账单!$E$3,$B$5:$B388,"&lt;="&amp;客户对账单!$H$3),"")</f>
        <v/>
      </c>
      <c r="W388" s="49" t="str">
        <f aca="false">IF(AND($G388=供应商对账单!$B$3,$E388="供应商付款",$B388&gt;=供应商对账单!$E$3,$B388&lt;=供应商对账单!$H$3),COUNTIFS($G$5:$G388,供应商对账单!$B$3,$E$5:$E388,"供应商付款",$B$5:$B388,"&gt;="&amp;供应商对账单!$E$3,$B$5:$B388,"&lt;="&amp;供应商对账单!$H$3),"")</f>
        <v/>
      </c>
    </row>
    <row r="389" customFormat="false" ht="15.75" hidden="false" customHeight="true" outlineLevel="0" collapsed="false">
      <c r="A389" s="42" t="str">
        <f aca="false">IF($B389="","","ZJ"&amp;TEXT($B389,"yyyymm")&amp;"-"&amp;TEXT(ROW()-4,"000"))</f>
        <v/>
      </c>
      <c r="B389" s="41"/>
      <c r="C389" s="42" t="str">
        <f aca="false">IF($B389="","",TEXT($B389,"yyyy-mm"))</f>
        <v/>
      </c>
      <c r="D389" s="42" t="str">
        <f aca="false">IF($E389="","",IFERROR(INDEX(科目参数!$L$6:$L$85,MATCH($E389,科目参数!$M$6:$M$85,0)),"⚠"))</f>
        <v/>
      </c>
      <c r="E389" s="33"/>
      <c r="F389" s="33"/>
      <c r="G389" s="36"/>
      <c r="H389" s="33"/>
      <c r="I389" s="33"/>
      <c r="J389" s="36"/>
      <c r="K389" s="40"/>
      <c r="L389" s="40"/>
      <c r="M389" s="47" t="str">
        <f aca="false">IF($B389="","",IF(NOT(ISNUMBER($B389)),"日期不是日期格式",IF(YEAR($B389)&lt;&gt;首页!$B$3,"不在会计年度",IF($E389="","未选收支科目",IF($D389="⚠","收支科目不存在",IF($F389="","未选账户",IF($T389="","账户未设资金科目",IF(AND($D389="转账",$U389=""),"转入账户无效",IF(AND(N($K389)&gt;0,N($L389)&gt;0),"收支不能同时填",IF(AND($D389="收入",N($K389)&lt;=0),"收入金额须大于0",IF(AND($D389&lt;&gt;"收入",N($L389)&lt;=0),"支出金额须大于0",IF($O389="","借方科目缺失",IF($P389="","贷方科目缺失","√")))))))))))))</f>
        <v/>
      </c>
      <c r="N389" s="48" t="str">
        <f aca="false">IF($B389="","",IF($D389="收入",N($K389),N($L389)))</f>
        <v/>
      </c>
      <c r="O389" s="49" t="str">
        <f aca="false">IF($B389="","",IF($D389="收入",$T389,IF($D389="转账",$U389,$S389)))</f>
        <v/>
      </c>
      <c r="P389" s="49" t="str">
        <f aca="false">IF($B389="","",IF($D389="收入",$S389,$T389))</f>
        <v/>
      </c>
      <c r="Q389" s="50" t="str">
        <f aca="false">IF($E389="","",IF($D389="转账","—",IFERROR(INDEX(科目参数!$P$6:$P$85,MATCH($E389,科目参数!$M$6:$M$85,0)),"")))</f>
        <v/>
      </c>
      <c r="R389" s="48" t="str">
        <f aca="false">IF($B389="","",SUMIFS(期初数据!$B$6:$B$35,期初数据!$A$6:$A$35,$F389)+SUMIFS($N$5:$N389,$F$5:$F389,$F389,$D$5:$D389,"收入")-SUMIFS($N$5:$N389,$F$5:$F389,$F389,$D$5:$D389,"支出")-SUMIFS($N$5:$N389,$F$5:$F389,$F389,$D$5:$D389,"转账")+SUMIFS($N$5:$N389,$G$5:$G389,$F389,$D$5:$D389,"转账"))</f>
        <v/>
      </c>
      <c r="S389" s="49" t="str">
        <f aca="false">IF($E389="","",IFERROR(INDEX(科目参数!$N$6:$N$85,MATCH($E389,科目参数!$M$6:$M$85,0)),""))</f>
        <v/>
      </c>
      <c r="T389" s="49" t="str">
        <f aca="false">IF($F389="","",IFERROR(INDEX(基础资料!$C$6:$C$35,MATCH($F389,基础资料!$A$6:$A$35,0)),""))</f>
        <v/>
      </c>
      <c r="U389" s="49" t="str">
        <f aca="false">IF($G389="","",IFERROR(INDEX(基础资料!$C$6:$C$35,MATCH($G389,基础资料!$A$6:$A$35,0)),""))</f>
        <v/>
      </c>
      <c r="V389" s="49" t="str">
        <f aca="false">IF(AND($G389=客户对账单!$B$3,$E389="客户回款",$B389&gt;=客户对账单!$E$3,$B389&lt;=客户对账单!$H$3),COUNTIFS($G$5:$G389,客户对账单!$B$3,$E$5:$E389,"客户回款",$B$5:$B389,"&gt;="&amp;客户对账单!$E$3,$B$5:$B389,"&lt;="&amp;客户对账单!$H$3),"")</f>
        <v/>
      </c>
      <c r="W389" s="49" t="str">
        <f aca="false">IF(AND($G389=供应商对账单!$B$3,$E389="供应商付款",$B389&gt;=供应商对账单!$E$3,$B389&lt;=供应商对账单!$H$3),COUNTIFS($G$5:$G389,供应商对账单!$B$3,$E$5:$E389,"供应商付款",$B$5:$B389,"&gt;="&amp;供应商对账单!$E$3,$B$5:$B389,"&lt;="&amp;供应商对账单!$H$3),"")</f>
        <v/>
      </c>
    </row>
    <row r="390" customFormat="false" ht="15.75" hidden="false" customHeight="true" outlineLevel="0" collapsed="false">
      <c r="A390" s="42" t="str">
        <f aca="false">IF($B390="","","ZJ"&amp;TEXT($B390,"yyyymm")&amp;"-"&amp;TEXT(ROW()-4,"000"))</f>
        <v/>
      </c>
      <c r="B390" s="41"/>
      <c r="C390" s="42" t="str">
        <f aca="false">IF($B390="","",TEXT($B390,"yyyy-mm"))</f>
        <v/>
      </c>
      <c r="D390" s="42" t="str">
        <f aca="false">IF($E390="","",IFERROR(INDEX(科目参数!$L$6:$L$85,MATCH($E390,科目参数!$M$6:$M$85,0)),"⚠"))</f>
        <v/>
      </c>
      <c r="E390" s="33"/>
      <c r="F390" s="33"/>
      <c r="G390" s="36"/>
      <c r="H390" s="33"/>
      <c r="I390" s="33"/>
      <c r="J390" s="36"/>
      <c r="K390" s="40"/>
      <c r="L390" s="40"/>
      <c r="M390" s="47" t="str">
        <f aca="false">IF($B390="","",IF(NOT(ISNUMBER($B390)),"日期不是日期格式",IF(YEAR($B390)&lt;&gt;首页!$B$3,"不在会计年度",IF($E390="","未选收支科目",IF($D390="⚠","收支科目不存在",IF($F390="","未选账户",IF($T390="","账户未设资金科目",IF(AND($D390="转账",$U390=""),"转入账户无效",IF(AND(N($K390)&gt;0,N($L390)&gt;0),"收支不能同时填",IF(AND($D390="收入",N($K390)&lt;=0),"收入金额须大于0",IF(AND($D390&lt;&gt;"收入",N($L390)&lt;=0),"支出金额须大于0",IF($O390="","借方科目缺失",IF($P390="","贷方科目缺失","√")))))))))))))</f>
        <v/>
      </c>
      <c r="N390" s="48" t="str">
        <f aca="false">IF($B390="","",IF($D390="收入",N($K390),N($L390)))</f>
        <v/>
      </c>
      <c r="O390" s="49" t="str">
        <f aca="false">IF($B390="","",IF($D390="收入",$T390,IF($D390="转账",$U390,$S390)))</f>
        <v/>
      </c>
      <c r="P390" s="49" t="str">
        <f aca="false">IF($B390="","",IF($D390="收入",$S390,$T390))</f>
        <v/>
      </c>
      <c r="Q390" s="50" t="str">
        <f aca="false">IF($E390="","",IF($D390="转账","—",IFERROR(INDEX(科目参数!$P$6:$P$85,MATCH($E390,科目参数!$M$6:$M$85,0)),"")))</f>
        <v/>
      </c>
      <c r="R390" s="48" t="str">
        <f aca="false">IF($B390="","",SUMIFS(期初数据!$B$6:$B$35,期初数据!$A$6:$A$35,$F390)+SUMIFS($N$5:$N390,$F$5:$F390,$F390,$D$5:$D390,"收入")-SUMIFS($N$5:$N390,$F$5:$F390,$F390,$D$5:$D390,"支出")-SUMIFS($N$5:$N390,$F$5:$F390,$F390,$D$5:$D390,"转账")+SUMIFS($N$5:$N390,$G$5:$G390,$F390,$D$5:$D390,"转账"))</f>
        <v/>
      </c>
      <c r="S390" s="49" t="str">
        <f aca="false">IF($E390="","",IFERROR(INDEX(科目参数!$N$6:$N$85,MATCH($E390,科目参数!$M$6:$M$85,0)),""))</f>
        <v/>
      </c>
      <c r="T390" s="49" t="str">
        <f aca="false">IF($F390="","",IFERROR(INDEX(基础资料!$C$6:$C$35,MATCH($F390,基础资料!$A$6:$A$35,0)),""))</f>
        <v/>
      </c>
      <c r="U390" s="49" t="str">
        <f aca="false">IF($G390="","",IFERROR(INDEX(基础资料!$C$6:$C$35,MATCH($G390,基础资料!$A$6:$A$35,0)),""))</f>
        <v/>
      </c>
      <c r="V390" s="49" t="str">
        <f aca="false">IF(AND($G390=客户对账单!$B$3,$E390="客户回款",$B390&gt;=客户对账单!$E$3,$B390&lt;=客户对账单!$H$3),COUNTIFS($G$5:$G390,客户对账单!$B$3,$E$5:$E390,"客户回款",$B$5:$B390,"&gt;="&amp;客户对账单!$E$3,$B$5:$B390,"&lt;="&amp;客户对账单!$H$3),"")</f>
        <v/>
      </c>
      <c r="W390" s="49" t="str">
        <f aca="false">IF(AND($G390=供应商对账单!$B$3,$E390="供应商付款",$B390&gt;=供应商对账单!$E$3,$B390&lt;=供应商对账单!$H$3),COUNTIFS($G$5:$G390,供应商对账单!$B$3,$E$5:$E390,"供应商付款",$B$5:$B390,"&gt;="&amp;供应商对账单!$E$3,$B$5:$B390,"&lt;="&amp;供应商对账单!$H$3),"")</f>
        <v/>
      </c>
    </row>
    <row r="391" customFormat="false" ht="15.75" hidden="false" customHeight="true" outlineLevel="0" collapsed="false">
      <c r="A391" s="42" t="str">
        <f aca="false">IF($B391="","","ZJ"&amp;TEXT($B391,"yyyymm")&amp;"-"&amp;TEXT(ROW()-4,"000"))</f>
        <v/>
      </c>
      <c r="B391" s="41"/>
      <c r="C391" s="42" t="str">
        <f aca="false">IF($B391="","",TEXT($B391,"yyyy-mm"))</f>
        <v/>
      </c>
      <c r="D391" s="42" t="str">
        <f aca="false">IF($E391="","",IFERROR(INDEX(科目参数!$L$6:$L$85,MATCH($E391,科目参数!$M$6:$M$85,0)),"⚠"))</f>
        <v/>
      </c>
      <c r="E391" s="33"/>
      <c r="F391" s="33"/>
      <c r="G391" s="36"/>
      <c r="H391" s="33"/>
      <c r="I391" s="33"/>
      <c r="J391" s="36"/>
      <c r="K391" s="40"/>
      <c r="L391" s="40"/>
      <c r="M391" s="47" t="str">
        <f aca="false">IF($B391="","",IF(NOT(ISNUMBER($B391)),"日期不是日期格式",IF(YEAR($B391)&lt;&gt;首页!$B$3,"不在会计年度",IF($E391="","未选收支科目",IF($D391="⚠","收支科目不存在",IF($F391="","未选账户",IF($T391="","账户未设资金科目",IF(AND($D391="转账",$U391=""),"转入账户无效",IF(AND(N($K391)&gt;0,N($L391)&gt;0),"收支不能同时填",IF(AND($D391="收入",N($K391)&lt;=0),"收入金额须大于0",IF(AND($D391&lt;&gt;"收入",N($L391)&lt;=0),"支出金额须大于0",IF($O391="","借方科目缺失",IF($P391="","贷方科目缺失","√")))))))))))))</f>
        <v/>
      </c>
      <c r="N391" s="48" t="str">
        <f aca="false">IF($B391="","",IF($D391="收入",N($K391),N($L391)))</f>
        <v/>
      </c>
      <c r="O391" s="49" t="str">
        <f aca="false">IF($B391="","",IF($D391="收入",$T391,IF($D391="转账",$U391,$S391)))</f>
        <v/>
      </c>
      <c r="P391" s="49" t="str">
        <f aca="false">IF($B391="","",IF($D391="收入",$S391,$T391))</f>
        <v/>
      </c>
      <c r="Q391" s="50" t="str">
        <f aca="false">IF($E391="","",IF($D391="转账","—",IFERROR(INDEX(科目参数!$P$6:$P$85,MATCH($E391,科目参数!$M$6:$M$85,0)),"")))</f>
        <v/>
      </c>
      <c r="R391" s="48" t="str">
        <f aca="false">IF($B391="","",SUMIFS(期初数据!$B$6:$B$35,期初数据!$A$6:$A$35,$F391)+SUMIFS($N$5:$N391,$F$5:$F391,$F391,$D$5:$D391,"收入")-SUMIFS($N$5:$N391,$F$5:$F391,$F391,$D$5:$D391,"支出")-SUMIFS($N$5:$N391,$F$5:$F391,$F391,$D$5:$D391,"转账")+SUMIFS($N$5:$N391,$G$5:$G391,$F391,$D$5:$D391,"转账"))</f>
        <v/>
      </c>
      <c r="S391" s="49" t="str">
        <f aca="false">IF($E391="","",IFERROR(INDEX(科目参数!$N$6:$N$85,MATCH($E391,科目参数!$M$6:$M$85,0)),""))</f>
        <v/>
      </c>
      <c r="T391" s="49" t="str">
        <f aca="false">IF($F391="","",IFERROR(INDEX(基础资料!$C$6:$C$35,MATCH($F391,基础资料!$A$6:$A$35,0)),""))</f>
        <v/>
      </c>
      <c r="U391" s="49" t="str">
        <f aca="false">IF($G391="","",IFERROR(INDEX(基础资料!$C$6:$C$35,MATCH($G391,基础资料!$A$6:$A$35,0)),""))</f>
        <v/>
      </c>
      <c r="V391" s="49" t="str">
        <f aca="false">IF(AND($G391=客户对账单!$B$3,$E391="客户回款",$B391&gt;=客户对账单!$E$3,$B391&lt;=客户对账单!$H$3),COUNTIFS($G$5:$G391,客户对账单!$B$3,$E$5:$E391,"客户回款",$B$5:$B391,"&gt;="&amp;客户对账单!$E$3,$B$5:$B391,"&lt;="&amp;客户对账单!$H$3),"")</f>
        <v/>
      </c>
      <c r="W391" s="49" t="str">
        <f aca="false">IF(AND($G391=供应商对账单!$B$3,$E391="供应商付款",$B391&gt;=供应商对账单!$E$3,$B391&lt;=供应商对账单!$H$3),COUNTIFS($G$5:$G391,供应商对账单!$B$3,$E$5:$E391,"供应商付款",$B$5:$B391,"&gt;="&amp;供应商对账单!$E$3,$B$5:$B391,"&lt;="&amp;供应商对账单!$H$3),"")</f>
        <v/>
      </c>
    </row>
    <row r="392" customFormat="false" ht="15.75" hidden="false" customHeight="true" outlineLevel="0" collapsed="false">
      <c r="A392" s="42" t="str">
        <f aca="false">IF($B392="","","ZJ"&amp;TEXT($B392,"yyyymm")&amp;"-"&amp;TEXT(ROW()-4,"000"))</f>
        <v/>
      </c>
      <c r="B392" s="41"/>
      <c r="C392" s="42" t="str">
        <f aca="false">IF($B392="","",TEXT($B392,"yyyy-mm"))</f>
        <v/>
      </c>
      <c r="D392" s="42" t="str">
        <f aca="false">IF($E392="","",IFERROR(INDEX(科目参数!$L$6:$L$85,MATCH($E392,科目参数!$M$6:$M$85,0)),"⚠"))</f>
        <v/>
      </c>
      <c r="E392" s="33"/>
      <c r="F392" s="33"/>
      <c r="G392" s="36"/>
      <c r="H392" s="33"/>
      <c r="I392" s="33"/>
      <c r="J392" s="36"/>
      <c r="K392" s="40"/>
      <c r="L392" s="40"/>
      <c r="M392" s="47" t="str">
        <f aca="false">IF($B392="","",IF(NOT(ISNUMBER($B392)),"日期不是日期格式",IF(YEAR($B392)&lt;&gt;首页!$B$3,"不在会计年度",IF($E392="","未选收支科目",IF($D392="⚠","收支科目不存在",IF($F392="","未选账户",IF($T392="","账户未设资金科目",IF(AND($D392="转账",$U392=""),"转入账户无效",IF(AND(N($K392)&gt;0,N($L392)&gt;0),"收支不能同时填",IF(AND($D392="收入",N($K392)&lt;=0),"收入金额须大于0",IF(AND($D392&lt;&gt;"收入",N($L392)&lt;=0),"支出金额须大于0",IF($O392="","借方科目缺失",IF($P392="","贷方科目缺失","√")))))))))))))</f>
        <v/>
      </c>
      <c r="N392" s="48" t="str">
        <f aca="false">IF($B392="","",IF($D392="收入",N($K392),N($L392)))</f>
        <v/>
      </c>
      <c r="O392" s="49" t="str">
        <f aca="false">IF($B392="","",IF($D392="收入",$T392,IF($D392="转账",$U392,$S392)))</f>
        <v/>
      </c>
      <c r="P392" s="49" t="str">
        <f aca="false">IF($B392="","",IF($D392="收入",$S392,$T392))</f>
        <v/>
      </c>
      <c r="Q392" s="50" t="str">
        <f aca="false">IF($E392="","",IF($D392="转账","—",IFERROR(INDEX(科目参数!$P$6:$P$85,MATCH($E392,科目参数!$M$6:$M$85,0)),"")))</f>
        <v/>
      </c>
      <c r="R392" s="48" t="str">
        <f aca="false">IF($B392="","",SUMIFS(期初数据!$B$6:$B$35,期初数据!$A$6:$A$35,$F392)+SUMIFS($N$5:$N392,$F$5:$F392,$F392,$D$5:$D392,"收入")-SUMIFS($N$5:$N392,$F$5:$F392,$F392,$D$5:$D392,"支出")-SUMIFS($N$5:$N392,$F$5:$F392,$F392,$D$5:$D392,"转账")+SUMIFS($N$5:$N392,$G$5:$G392,$F392,$D$5:$D392,"转账"))</f>
        <v/>
      </c>
      <c r="S392" s="49" t="str">
        <f aca="false">IF($E392="","",IFERROR(INDEX(科目参数!$N$6:$N$85,MATCH($E392,科目参数!$M$6:$M$85,0)),""))</f>
        <v/>
      </c>
      <c r="T392" s="49" t="str">
        <f aca="false">IF($F392="","",IFERROR(INDEX(基础资料!$C$6:$C$35,MATCH($F392,基础资料!$A$6:$A$35,0)),""))</f>
        <v/>
      </c>
      <c r="U392" s="49" t="str">
        <f aca="false">IF($G392="","",IFERROR(INDEX(基础资料!$C$6:$C$35,MATCH($G392,基础资料!$A$6:$A$35,0)),""))</f>
        <v/>
      </c>
      <c r="V392" s="49" t="str">
        <f aca="false">IF(AND($G392=客户对账单!$B$3,$E392="客户回款",$B392&gt;=客户对账单!$E$3,$B392&lt;=客户对账单!$H$3),COUNTIFS($G$5:$G392,客户对账单!$B$3,$E$5:$E392,"客户回款",$B$5:$B392,"&gt;="&amp;客户对账单!$E$3,$B$5:$B392,"&lt;="&amp;客户对账单!$H$3),"")</f>
        <v/>
      </c>
      <c r="W392" s="49" t="str">
        <f aca="false">IF(AND($G392=供应商对账单!$B$3,$E392="供应商付款",$B392&gt;=供应商对账单!$E$3,$B392&lt;=供应商对账单!$H$3),COUNTIFS($G$5:$G392,供应商对账单!$B$3,$E$5:$E392,"供应商付款",$B$5:$B392,"&gt;="&amp;供应商对账单!$E$3,$B$5:$B392,"&lt;="&amp;供应商对账单!$H$3),"")</f>
        <v/>
      </c>
    </row>
    <row r="393" customFormat="false" ht="15.75" hidden="false" customHeight="true" outlineLevel="0" collapsed="false">
      <c r="A393" s="42" t="str">
        <f aca="false">IF($B393="","","ZJ"&amp;TEXT($B393,"yyyymm")&amp;"-"&amp;TEXT(ROW()-4,"000"))</f>
        <v/>
      </c>
      <c r="B393" s="41"/>
      <c r="C393" s="42" t="str">
        <f aca="false">IF($B393="","",TEXT($B393,"yyyy-mm"))</f>
        <v/>
      </c>
      <c r="D393" s="42" t="str">
        <f aca="false">IF($E393="","",IFERROR(INDEX(科目参数!$L$6:$L$85,MATCH($E393,科目参数!$M$6:$M$85,0)),"⚠"))</f>
        <v/>
      </c>
      <c r="E393" s="33"/>
      <c r="F393" s="33"/>
      <c r="G393" s="36"/>
      <c r="H393" s="33"/>
      <c r="I393" s="33"/>
      <c r="J393" s="36"/>
      <c r="K393" s="40"/>
      <c r="L393" s="40"/>
      <c r="M393" s="47" t="str">
        <f aca="false">IF($B393="","",IF(NOT(ISNUMBER($B393)),"日期不是日期格式",IF(YEAR($B393)&lt;&gt;首页!$B$3,"不在会计年度",IF($E393="","未选收支科目",IF($D393="⚠","收支科目不存在",IF($F393="","未选账户",IF($T393="","账户未设资金科目",IF(AND($D393="转账",$U393=""),"转入账户无效",IF(AND(N($K393)&gt;0,N($L393)&gt;0),"收支不能同时填",IF(AND($D393="收入",N($K393)&lt;=0),"收入金额须大于0",IF(AND($D393&lt;&gt;"收入",N($L393)&lt;=0),"支出金额须大于0",IF($O393="","借方科目缺失",IF($P393="","贷方科目缺失","√")))))))))))))</f>
        <v/>
      </c>
      <c r="N393" s="48" t="str">
        <f aca="false">IF($B393="","",IF($D393="收入",N($K393),N($L393)))</f>
        <v/>
      </c>
      <c r="O393" s="49" t="str">
        <f aca="false">IF($B393="","",IF($D393="收入",$T393,IF($D393="转账",$U393,$S393)))</f>
        <v/>
      </c>
      <c r="P393" s="49" t="str">
        <f aca="false">IF($B393="","",IF($D393="收入",$S393,$T393))</f>
        <v/>
      </c>
      <c r="Q393" s="50" t="str">
        <f aca="false">IF($E393="","",IF($D393="转账","—",IFERROR(INDEX(科目参数!$P$6:$P$85,MATCH($E393,科目参数!$M$6:$M$85,0)),"")))</f>
        <v/>
      </c>
      <c r="R393" s="48" t="str">
        <f aca="false">IF($B393="","",SUMIFS(期初数据!$B$6:$B$35,期初数据!$A$6:$A$35,$F393)+SUMIFS($N$5:$N393,$F$5:$F393,$F393,$D$5:$D393,"收入")-SUMIFS($N$5:$N393,$F$5:$F393,$F393,$D$5:$D393,"支出")-SUMIFS($N$5:$N393,$F$5:$F393,$F393,$D$5:$D393,"转账")+SUMIFS($N$5:$N393,$G$5:$G393,$F393,$D$5:$D393,"转账"))</f>
        <v/>
      </c>
      <c r="S393" s="49" t="str">
        <f aca="false">IF($E393="","",IFERROR(INDEX(科目参数!$N$6:$N$85,MATCH($E393,科目参数!$M$6:$M$85,0)),""))</f>
        <v/>
      </c>
      <c r="T393" s="49" t="str">
        <f aca="false">IF($F393="","",IFERROR(INDEX(基础资料!$C$6:$C$35,MATCH($F393,基础资料!$A$6:$A$35,0)),""))</f>
        <v/>
      </c>
      <c r="U393" s="49" t="str">
        <f aca="false">IF($G393="","",IFERROR(INDEX(基础资料!$C$6:$C$35,MATCH($G393,基础资料!$A$6:$A$35,0)),""))</f>
        <v/>
      </c>
      <c r="V393" s="49" t="str">
        <f aca="false">IF(AND($G393=客户对账单!$B$3,$E393="客户回款",$B393&gt;=客户对账单!$E$3,$B393&lt;=客户对账单!$H$3),COUNTIFS($G$5:$G393,客户对账单!$B$3,$E$5:$E393,"客户回款",$B$5:$B393,"&gt;="&amp;客户对账单!$E$3,$B$5:$B393,"&lt;="&amp;客户对账单!$H$3),"")</f>
        <v/>
      </c>
      <c r="W393" s="49" t="str">
        <f aca="false">IF(AND($G393=供应商对账单!$B$3,$E393="供应商付款",$B393&gt;=供应商对账单!$E$3,$B393&lt;=供应商对账单!$H$3),COUNTIFS($G$5:$G393,供应商对账单!$B$3,$E$5:$E393,"供应商付款",$B$5:$B393,"&gt;="&amp;供应商对账单!$E$3,$B$5:$B393,"&lt;="&amp;供应商对账单!$H$3),"")</f>
        <v/>
      </c>
    </row>
    <row r="394" customFormat="false" ht="15.75" hidden="false" customHeight="true" outlineLevel="0" collapsed="false">
      <c r="A394" s="42" t="str">
        <f aca="false">IF($B394="","","ZJ"&amp;TEXT($B394,"yyyymm")&amp;"-"&amp;TEXT(ROW()-4,"000"))</f>
        <v/>
      </c>
      <c r="B394" s="41"/>
      <c r="C394" s="42" t="str">
        <f aca="false">IF($B394="","",TEXT($B394,"yyyy-mm"))</f>
        <v/>
      </c>
      <c r="D394" s="42" t="str">
        <f aca="false">IF($E394="","",IFERROR(INDEX(科目参数!$L$6:$L$85,MATCH($E394,科目参数!$M$6:$M$85,0)),"⚠"))</f>
        <v/>
      </c>
      <c r="E394" s="33"/>
      <c r="F394" s="33"/>
      <c r="G394" s="36"/>
      <c r="H394" s="33"/>
      <c r="I394" s="33"/>
      <c r="J394" s="36"/>
      <c r="K394" s="40"/>
      <c r="L394" s="40"/>
      <c r="M394" s="47" t="str">
        <f aca="false">IF($B394="","",IF(NOT(ISNUMBER($B394)),"日期不是日期格式",IF(YEAR($B394)&lt;&gt;首页!$B$3,"不在会计年度",IF($E394="","未选收支科目",IF($D394="⚠","收支科目不存在",IF($F394="","未选账户",IF($T394="","账户未设资金科目",IF(AND($D394="转账",$U394=""),"转入账户无效",IF(AND(N($K394)&gt;0,N($L394)&gt;0),"收支不能同时填",IF(AND($D394="收入",N($K394)&lt;=0),"收入金额须大于0",IF(AND($D394&lt;&gt;"收入",N($L394)&lt;=0),"支出金额须大于0",IF($O394="","借方科目缺失",IF($P394="","贷方科目缺失","√")))))))))))))</f>
        <v/>
      </c>
      <c r="N394" s="48" t="str">
        <f aca="false">IF($B394="","",IF($D394="收入",N($K394),N($L394)))</f>
        <v/>
      </c>
      <c r="O394" s="49" t="str">
        <f aca="false">IF($B394="","",IF($D394="收入",$T394,IF($D394="转账",$U394,$S394)))</f>
        <v/>
      </c>
      <c r="P394" s="49" t="str">
        <f aca="false">IF($B394="","",IF($D394="收入",$S394,$T394))</f>
        <v/>
      </c>
      <c r="Q394" s="50" t="str">
        <f aca="false">IF($E394="","",IF($D394="转账","—",IFERROR(INDEX(科目参数!$P$6:$P$85,MATCH($E394,科目参数!$M$6:$M$85,0)),"")))</f>
        <v/>
      </c>
      <c r="R394" s="48" t="str">
        <f aca="false">IF($B394="","",SUMIFS(期初数据!$B$6:$B$35,期初数据!$A$6:$A$35,$F394)+SUMIFS($N$5:$N394,$F$5:$F394,$F394,$D$5:$D394,"收入")-SUMIFS($N$5:$N394,$F$5:$F394,$F394,$D$5:$D394,"支出")-SUMIFS($N$5:$N394,$F$5:$F394,$F394,$D$5:$D394,"转账")+SUMIFS($N$5:$N394,$G$5:$G394,$F394,$D$5:$D394,"转账"))</f>
        <v/>
      </c>
      <c r="S394" s="49" t="str">
        <f aca="false">IF($E394="","",IFERROR(INDEX(科目参数!$N$6:$N$85,MATCH($E394,科目参数!$M$6:$M$85,0)),""))</f>
        <v/>
      </c>
      <c r="T394" s="49" t="str">
        <f aca="false">IF($F394="","",IFERROR(INDEX(基础资料!$C$6:$C$35,MATCH($F394,基础资料!$A$6:$A$35,0)),""))</f>
        <v/>
      </c>
      <c r="U394" s="49" t="str">
        <f aca="false">IF($G394="","",IFERROR(INDEX(基础资料!$C$6:$C$35,MATCH($G394,基础资料!$A$6:$A$35,0)),""))</f>
        <v/>
      </c>
      <c r="V394" s="49" t="str">
        <f aca="false">IF(AND($G394=客户对账单!$B$3,$E394="客户回款",$B394&gt;=客户对账单!$E$3,$B394&lt;=客户对账单!$H$3),COUNTIFS($G$5:$G394,客户对账单!$B$3,$E$5:$E394,"客户回款",$B$5:$B394,"&gt;="&amp;客户对账单!$E$3,$B$5:$B394,"&lt;="&amp;客户对账单!$H$3),"")</f>
        <v/>
      </c>
      <c r="W394" s="49" t="str">
        <f aca="false">IF(AND($G394=供应商对账单!$B$3,$E394="供应商付款",$B394&gt;=供应商对账单!$E$3,$B394&lt;=供应商对账单!$H$3),COUNTIFS($G$5:$G394,供应商对账单!$B$3,$E$5:$E394,"供应商付款",$B$5:$B394,"&gt;="&amp;供应商对账单!$E$3,$B$5:$B394,"&lt;="&amp;供应商对账单!$H$3),"")</f>
        <v/>
      </c>
    </row>
    <row r="395" customFormat="false" ht="15.75" hidden="false" customHeight="true" outlineLevel="0" collapsed="false">
      <c r="A395" s="42" t="str">
        <f aca="false">IF($B395="","","ZJ"&amp;TEXT($B395,"yyyymm")&amp;"-"&amp;TEXT(ROW()-4,"000"))</f>
        <v/>
      </c>
      <c r="B395" s="41"/>
      <c r="C395" s="42" t="str">
        <f aca="false">IF($B395="","",TEXT($B395,"yyyy-mm"))</f>
        <v/>
      </c>
      <c r="D395" s="42" t="str">
        <f aca="false">IF($E395="","",IFERROR(INDEX(科目参数!$L$6:$L$85,MATCH($E395,科目参数!$M$6:$M$85,0)),"⚠"))</f>
        <v/>
      </c>
      <c r="E395" s="33"/>
      <c r="F395" s="33"/>
      <c r="G395" s="36"/>
      <c r="H395" s="33"/>
      <c r="I395" s="33"/>
      <c r="J395" s="36"/>
      <c r="K395" s="40"/>
      <c r="L395" s="40"/>
      <c r="M395" s="47" t="str">
        <f aca="false">IF($B395="","",IF(NOT(ISNUMBER($B395)),"日期不是日期格式",IF(YEAR($B395)&lt;&gt;首页!$B$3,"不在会计年度",IF($E395="","未选收支科目",IF($D395="⚠","收支科目不存在",IF($F395="","未选账户",IF($T395="","账户未设资金科目",IF(AND($D395="转账",$U395=""),"转入账户无效",IF(AND(N($K395)&gt;0,N($L395)&gt;0),"收支不能同时填",IF(AND($D395="收入",N($K395)&lt;=0),"收入金额须大于0",IF(AND($D395&lt;&gt;"收入",N($L395)&lt;=0),"支出金额须大于0",IF($O395="","借方科目缺失",IF($P395="","贷方科目缺失","√")))))))))))))</f>
        <v/>
      </c>
      <c r="N395" s="48" t="str">
        <f aca="false">IF($B395="","",IF($D395="收入",N($K395),N($L395)))</f>
        <v/>
      </c>
      <c r="O395" s="49" t="str">
        <f aca="false">IF($B395="","",IF($D395="收入",$T395,IF($D395="转账",$U395,$S395)))</f>
        <v/>
      </c>
      <c r="P395" s="49" t="str">
        <f aca="false">IF($B395="","",IF($D395="收入",$S395,$T395))</f>
        <v/>
      </c>
      <c r="Q395" s="50" t="str">
        <f aca="false">IF($E395="","",IF($D395="转账","—",IFERROR(INDEX(科目参数!$P$6:$P$85,MATCH($E395,科目参数!$M$6:$M$85,0)),"")))</f>
        <v/>
      </c>
      <c r="R395" s="48" t="str">
        <f aca="false">IF($B395="","",SUMIFS(期初数据!$B$6:$B$35,期初数据!$A$6:$A$35,$F395)+SUMIFS($N$5:$N395,$F$5:$F395,$F395,$D$5:$D395,"收入")-SUMIFS($N$5:$N395,$F$5:$F395,$F395,$D$5:$D395,"支出")-SUMIFS($N$5:$N395,$F$5:$F395,$F395,$D$5:$D395,"转账")+SUMIFS($N$5:$N395,$G$5:$G395,$F395,$D$5:$D395,"转账"))</f>
        <v/>
      </c>
      <c r="S395" s="49" t="str">
        <f aca="false">IF($E395="","",IFERROR(INDEX(科目参数!$N$6:$N$85,MATCH($E395,科目参数!$M$6:$M$85,0)),""))</f>
        <v/>
      </c>
      <c r="T395" s="49" t="str">
        <f aca="false">IF($F395="","",IFERROR(INDEX(基础资料!$C$6:$C$35,MATCH($F395,基础资料!$A$6:$A$35,0)),""))</f>
        <v/>
      </c>
      <c r="U395" s="49" t="str">
        <f aca="false">IF($G395="","",IFERROR(INDEX(基础资料!$C$6:$C$35,MATCH($G395,基础资料!$A$6:$A$35,0)),""))</f>
        <v/>
      </c>
      <c r="V395" s="49" t="str">
        <f aca="false">IF(AND($G395=客户对账单!$B$3,$E395="客户回款",$B395&gt;=客户对账单!$E$3,$B395&lt;=客户对账单!$H$3),COUNTIFS($G$5:$G395,客户对账单!$B$3,$E$5:$E395,"客户回款",$B$5:$B395,"&gt;="&amp;客户对账单!$E$3,$B$5:$B395,"&lt;="&amp;客户对账单!$H$3),"")</f>
        <v/>
      </c>
      <c r="W395" s="49" t="str">
        <f aca="false">IF(AND($G395=供应商对账单!$B$3,$E395="供应商付款",$B395&gt;=供应商对账单!$E$3,$B395&lt;=供应商对账单!$H$3),COUNTIFS($G$5:$G395,供应商对账单!$B$3,$E$5:$E395,"供应商付款",$B$5:$B395,"&gt;="&amp;供应商对账单!$E$3,$B$5:$B395,"&lt;="&amp;供应商对账单!$H$3),"")</f>
        <v/>
      </c>
    </row>
    <row r="396" customFormat="false" ht="15.75" hidden="false" customHeight="true" outlineLevel="0" collapsed="false">
      <c r="A396" s="42" t="str">
        <f aca="false">IF($B396="","","ZJ"&amp;TEXT($B396,"yyyymm")&amp;"-"&amp;TEXT(ROW()-4,"000"))</f>
        <v/>
      </c>
      <c r="B396" s="41"/>
      <c r="C396" s="42" t="str">
        <f aca="false">IF($B396="","",TEXT($B396,"yyyy-mm"))</f>
        <v/>
      </c>
      <c r="D396" s="42" t="str">
        <f aca="false">IF($E396="","",IFERROR(INDEX(科目参数!$L$6:$L$85,MATCH($E396,科目参数!$M$6:$M$85,0)),"⚠"))</f>
        <v/>
      </c>
      <c r="E396" s="33"/>
      <c r="F396" s="33"/>
      <c r="G396" s="36"/>
      <c r="H396" s="33"/>
      <c r="I396" s="33"/>
      <c r="J396" s="36"/>
      <c r="K396" s="40"/>
      <c r="L396" s="40"/>
      <c r="M396" s="47" t="str">
        <f aca="false">IF($B396="","",IF(NOT(ISNUMBER($B396)),"日期不是日期格式",IF(YEAR($B396)&lt;&gt;首页!$B$3,"不在会计年度",IF($E396="","未选收支科目",IF($D396="⚠","收支科目不存在",IF($F396="","未选账户",IF($T396="","账户未设资金科目",IF(AND($D396="转账",$U396=""),"转入账户无效",IF(AND(N($K396)&gt;0,N($L396)&gt;0),"收支不能同时填",IF(AND($D396="收入",N($K396)&lt;=0),"收入金额须大于0",IF(AND($D396&lt;&gt;"收入",N($L396)&lt;=0),"支出金额须大于0",IF($O396="","借方科目缺失",IF($P396="","贷方科目缺失","√")))))))))))))</f>
        <v/>
      </c>
      <c r="N396" s="48" t="str">
        <f aca="false">IF($B396="","",IF($D396="收入",N($K396),N($L396)))</f>
        <v/>
      </c>
      <c r="O396" s="49" t="str">
        <f aca="false">IF($B396="","",IF($D396="收入",$T396,IF($D396="转账",$U396,$S396)))</f>
        <v/>
      </c>
      <c r="P396" s="49" t="str">
        <f aca="false">IF($B396="","",IF($D396="收入",$S396,$T396))</f>
        <v/>
      </c>
      <c r="Q396" s="50" t="str">
        <f aca="false">IF($E396="","",IF($D396="转账","—",IFERROR(INDEX(科目参数!$P$6:$P$85,MATCH($E396,科目参数!$M$6:$M$85,0)),"")))</f>
        <v/>
      </c>
      <c r="R396" s="48" t="str">
        <f aca="false">IF($B396="","",SUMIFS(期初数据!$B$6:$B$35,期初数据!$A$6:$A$35,$F396)+SUMIFS($N$5:$N396,$F$5:$F396,$F396,$D$5:$D396,"收入")-SUMIFS($N$5:$N396,$F$5:$F396,$F396,$D$5:$D396,"支出")-SUMIFS($N$5:$N396,$F$5:$F396,$F396,$D$5:$D396,"转账")+SUMIFS($N$5:$N396,$G$5:$G396,$F396,$D$5:$D396,"转账"))</f>
        <v/>
      </c>
      <c r="S396" s="49" t="str">
        <f aca="false">IF($E396="","",IFERROR(INDEX(科目参数!$N$6:$N$85,MATCH($E396,科目参数!$M$6:$M$85,0)),""))</f>
        <v/>
      </c>
      <c r="T396" s="49" t="str">
        <f aca="false">IF($F396="","",IFERROR(INDEX(基础资料!$C$6:$C$35,MATCH($F396,基础资料!$A$6:$A$35,0)),""))</f>
        <v/>
      </c>
      <c r="U396" s="49" t="str">
        <f aca="false">IF($G396="","",IFERROR(INDEX(基础资料!$C$6:$C$35,MATCH($G396,基础资料!$A$6:$A$35,0)),""))</f>
        <v/>
      </c>
      <c r="V396" s="49" t="str">
        <f aca="false">IF(AND($G396=客户对账单!$B$3,$E396="客户回款",$B396&gt;=客户对账单!$E$3,$B396&lt;=客户对账单!$H$3),COUNTIFS($G$5:$G396,客户对账单!$B$3,$E$5:$E396,"客户回款",$B$5:$B396,"&gt;="&amp;客户对账单!$E$3,$B$5:$B396,"&lt;="&amp;客户对账单!$H$3),"")</f>
        <v/>
      </c>
      <c r="W396" s="49" t="str">
        <f aca="false">IF(AND($G396=供应商对账单!$B$3,$E396="供应商付款",$B396&gt;=供应商对账单!$E$3,$B396&lt;=供应商对账单!$H$3),COUNTIFS($G$5:$G396,供应商对账单!$B$3,$E$5:$E396,"供应商付款",$B$5:$B396,"&gt;="&amp;供应商对账单!$E$3,$B$5:$B396,"&lt;="&amp;供应商对账单!$H$3),"")</f>
        <v/>
      </c>
    </row>
    <row r="397" customFormat="false" ht="15.75" hidden="false" customHeight="true" outlineLevel="0" collapsed="false">
      <c r="A397" s="42" t="str">
        <f aca="false">IF($B397="","","ZJ"&amp;TEXT($B397,"yyyymm")&amp;"-"&amp;TEXT(ROW()-4,"000"))</f>
        <v/>
      </c>
      <c r="B397" s="41"/>
      <c r="C397" s="42" t="str">
        <f aca="false">IF($B397="","",TEXT($B397,"yyyy-mm"))</f>
        <v/>
      </c>
      <c r="D397" s="42" t="str">
        <f aca="false">IF($E397="","",IFERROR(INDEX(科目参数!$L$6:$L$85,MATCH($E397,科目参数!$M$6:$M$85,0)),"⚠"))</f>
        <v/>
      </c>
      <c r="E397" s="33"/>
      <c r="F397" s="33"/>
      <c r="G397" s="36"/>
      <c r="H397" s="33"/>
      <c r="I397" s="33"/>
      <c r="J397" s="36"/>
      <c r="K397" s="40"/>
      <c r="L397" s="40"/>
      <c r="M397" s="47" t="str">
        <f aca="false">IF($B397="","",IF(NOT(ISNUMBER($B397)),"日期不是日期格式",IF(YEAR($B397)&lt;&gt;首页!$B$3,"不在会计年度",IF($E397="","未选收支科目",IF($D397="⚠","收支科目不存在",IF($F397="","未选账户",IF($T397="","账户未设资金科目",IF(AND($D397="转账",$U397=""),"转入账户无效",IF(AND(N($K397)&gt;0,N($L397)&gt;0),"收支不能同时填",IF(AND($D397="收入",N($K397)&lt;=0),"收入金额须大于0",IF(AND($D397&lt;&gt;"收入",N($L397)&lt;=0),"支出金额须大于0",IF($O397="","借方科目缺失",IF($P397="","贷方科目缺失","√")))))))))))))</f>
        <v/>
      </c>
      <c r="N397" s="48" t="str">
        <f aca="false">IF($B397="","",IF($D397="收入",N($K397),N($L397)))</f>
        <v/>
      </c>
      <c r="O397" s="49" t="str">
        <f aca="false">IF($B397="","",IF($D397="收入",$T397,IF($D397="转账",$U397,$S397)))</f>
        <v/>
      </c>
      <c r="P397" s="49" t="str">
        <f aca="false">IF($B397="","",IF($D397="收入",$S397,$T397))</f>
        <v/>
      </c>
      <c r="Q397" s="50" t="str">
        <f aca="false">IF($E397="","",IF($D397="转账","—",IFERROR(INDEX(科目参数!$P$6:$P$85,MATCH($E397,科目参数!$M$6:$M$85,0)),"")))</f>
        <v/>
      </c>
      <c r="R397" s="48" t="str">
        <f aca="false">IF($B397="","",SUMIFS(期初数据!$B$6:$B$35,期初数据!$A$6:$A$35,$F397)+SUMIFS($N$5:$N397,$F$5:$F397,$F397,$D$5:$D397,"收入")-SUMIFS($N$5:$N397,$F$5:$F397,$F397,$D$5:$D397,"支出")-SUMIFS($N$5:$N397,$F$5:$F397,$F397,$D$5:$D397,"转账")+SUMIFS($N$5:$N397,$G$5:$G397,$F397,$D$5:$D397,"转账"))</f>
        <v/>
      </c>
      <c r="S397" s="49" t="str">
        <f aca="false">IF($E397="","",IFERROR(INDEX(科目参数!$N$6:$N$85,MATCH($E397,科目参数!$M$6:$M$85,0)),""))</f>
        <v/>
      </c>
      <c r="T397" s="49" t="str">
        <f aca="false">IF($F397="","",IFERROR(INDEX(基础资料!$C$6:$C$35,MATCH($F397,基础资料!$A$6:$A$35,0)),""))</f>
        <v/>
      </c>
      <c r="U397" s="49" t="str">
        <f aca="false">IF($G397="","",IFERROR(INDEX(基础资料!$C$6:$C$35,MATCH($G397,基础资料!$A$6:$A$35,0)),""))</f>
        <v/>
      </c>
      <c r="V397" s="49" t="str">
        <f aca="false">IF(AND($G397=客户对账单!$B$3,$E397="客户回款",$B397&gt;=客户对账单!$E$3,$B397&lt;=客户对账单!$H$3),COUNTIFS($G$5:$G397,客户对账单!$B$3,$E$5:$E397,"客户回款",$B$5:$B397,"&gt;="&amp;客户对账单!$E$3,$B$5:$B397,"&lt;="&amp;客户对账单!$H$3),"")</f>
        <v/>
      </c>
      <c r="W397" s="49" t="str">
        <f aca="false">IF(AND($G397=供应商对账单!$B$3,$E397="供应商付款",$B397&gt;=供应商对账单!$E$3,$B397&lt;=供应商对账单!$H$3),COUNTIFS($G$5:$G397,供应商对账单!$B$3,$E$5:$E397,"供应商付款",$B$5:$B397,"&gt;="&amp;供应商对账单!$E$3,$B$5:$B397,"&lt;="&amp;供应商对账单!$H$3),"")</f>
        <v/>
      </c>
    </row>
    <row r="398" customFormat="false" ht="15.75" hidden="false" customHeight="true" outlineLevel="0" collapsed="false">
      <c r="A398" s="42" t="str">
        <f aca="false">IF($B398="","","ZJ"&amp;TEXT($B398,"yyyymm")&amp;"-"&amp;TEXT(ROW()-4,"000"))</f>
        <v/>
      </c>
      <c r="B398" s="41"/>
      <c r="C398" s="42" t="str">
        <f aca="false">IF($B398="","",TEXT($B398,"yyyy-mm"))</f>
        <v/>
      </c>
      <c r="D398" s="42" t="str">
        <f aca="false">IF($E398="","",IFERROR(INDEX(科目参数!$L$6:$L$85,MATCH($E398,科目参数!$M$6:$M$85,0)),"⚠"))</f>
        <v/>
      </c>
      <c r="E398" s="33"/>
      <c r="F398" s="33"/>
      <c r="G398" s="36"/>
      <c r="H398" s="33"/>
      <c r="I398" s="33"/>
      <c r="J398" s="36"/>
      <c r="K398" s="40"/>
      <c r="L398" s="40"/>
      <c r="M398" s="47" t="str">
        <f aca="false">IF($B398="","",IF(NOT(ISNUMBER($B398)),"日期不是日期格式",IF(YEAR($B398)&lt;&gt;首页!$B$3,"不在会计年度",IF($E398="","未选收支科目",IF($D398="⚠","收支科目不存在",IF($F398="","未选账户",IF($T398="","账户未设资金科目",IF(AND($D398="转账",$U398=""),"转入账户无效",IF(AND(N($K398)&gt;0,N($L398)&gt;0),"收支不能同时填",IF(AND($D398="收入",N($K398)&lt;=0),"收入金额须大于0",IF(AND($D398&lt;&gt;"收入",N($L398)&lt;=0),"支出金额须大于0",IF($O398="","借方科目缺失",IF($P398="","贷方科目缺失","√")))))))))))))</f>
        <v/>
      </c>
      <c r="N398" s="48" t="str">
        <f aca="false">IF($B398="","",IF($D398="收入",N($K398),N($L398)))</f>
        <v/>
      </c>
      <c r="O398" s="49" t="str">
        <f aca="false">IF($B398="","",IF($D398="收入",$T398,IF($D398="转账",$U398,$S398)))</f>
        <v/>
      </c>
      <c r="P398" s="49" t="str">
        <f aca="false">IF($B398="","",IF($D398="收入",$S398,$T398))</f>
        <v/>
      </c>
      <c r="Q398" s="50" t="str">
        <f aca="false">IF($E398="","",IF($D398="转账","—",IFERROR(INDEX(科目参数!$P$6:$P$85,MATCH($E398,科目参数!$M$6:$M$85,0)),"")))</f>
        <v/>
      </c>
      <c r="R398" s="48" t="str">
        <f aca="false">IF($B398="","",SUMIFS(期初数据!$B$6:$B$35,期初数据!$A$6:$A$35,$F398)+SUMIFS($N$5:$N398,$F$5:$F398,$F398,$D$5:$D398,"收入")-SUMIFS($N$5:$N398,$F$5:$F398,$F398,$D$5:$D398,"支出")-SUMIFS($N$5:$N398,$F$5:$F398,$F398,$D$5:$D398,"转账")+SUMIFS($N$5:$N398,$G$5:$G398,$F398,$D$5:$D398,"转账"))</f>
        <v/>
      </c>
      <c r="S398" s="49" t="str">
        <f aca="false">IF($E398="","",IFERROR(INDEX(科目参数!$N$6:$N$85,MATCH($E398,科目参数!$M$6:$M$85,0)),""))</f>
        <v/>
      </c>
      <c r="T398" s="49" t="str">
        <f aca="false">IF($F398="","",IFERROR(INDEX(基础资料!$C$6:$C$35,MATCH($F398,基础资料!$A$6:$A$35,0)),""))</f>
        <v/>
      </c>
      <c r="U398" s="49" t="str">
        <f aca="false">IF($G398="","",IFERROR(INDEX(基础资料!$C$6:$C$35,MATCH($G398,基础资料!$A$6:$A$35,0)),""))</f>
        <v/>
      </c>
      <c r="V398" s="49" t="str">
        <f aca="false">IF(AND($G398=客户对账单!$B$3,$E398="客户回款",$B398&gt;=客户对账单!$E$3,$B398&lt;=客户对账单!$H$3),COUNTIFS($G$5:$G398,客户对账单!$B$3,$E$5:$E398,"客户回款",$B$5:$B398,"&gt;="&amp;客户对账单!$E$3,$B$5:$B398,"&lt;="&amp;客户对账单!$H$3),"")</f>
        <v/>
      </c>
      <c r="W398" s="49" t="str">
        <f aca="false">IF(AND($G398=供应商对账单!$B$3,$E398="供应商付款",$B398&gt;=供应商对账单!$E$3,$B398&lt;=供应商对账单!$H$3),COUNTIFS($G$5:$G398,供应商对账单!$B$3,$E$5:$E398,"供应商付款",$B$5:$B398,"&gt;="&amp;供应商对账单!$E$3,$B$5:$B398,"&lt;="&amp;供应商对账单!$H$3),"")</f>
        <v/>
      </c>
    </row>
    <row r="399" customFormat="false" ht="15.75" hidden="false" customHeight="true" outlineLevel="0" collapsed="false">
      <c r="A399" s="42" t="str">
        <f aca="false">IF($B399="","","ZJ"&amp;TEXT($B399,"yyyymm")&amp;"-"&amp;TEXT(ROW()-4,"000"))</f>
        <v/>
      </c>
      <c r="B399" s="41"/>
      <c r="C399" s="42" t="str">
        <f aca="false">IF($B399="","",TEXT($B399,"yyyy-mm"))</f>
        <v/>
      </c>
      <c r="D399" s="42" t="str">
        <f aca="false">IF($E399="","",IFERROR(INDEX(科目参数!$L$6:$L$85,MATCH($E399,科目参数!$M$6:$M$85,0)),"⚠"))</f>
        <v/>
      </c>
      <c r="E399" s="33"/>
      <c r="F399" s="33"/>
      <c r="G399" s="36"/>
      <c r="H399" s="33"/>
      <c r="I399" s="33"/>
      <c r="J399" s="36"/>
      <c r="K399" s="40"/>
      <c r="L399" s="40"/>
      <c r="M399" s="47" t="str">
        <f aca="false">IF($B399="","",IF(NOT(ISNUMBER($B399)),"日期不是日期格式",IF(YEAR($B399)&lt;&gt;首页!$B$3,"不在会计年度",IF($E399="","未选收支科目",IF($D399="⚠","收支科目不存在",IF($F399="","未选账户",IF($T399="","账户未设资金科目",IF(AND($D399="转账",$U399=""),"转入账户无效",IF(AND(N($K399)&gt;0,N($L399)&gt;0),"收支不能同时填",IF(AND($D399="收入",N($K399)&lt;=0),"收入金额须大于0",IF(AND($D399&lt;&gt;"收入",N($L399)&lt;=0),"支出金额须大于0",IF($O399="","借方科目缺失",IF($P399="","贷方科目缺失","√")))))))))))))</f>
        <v/>
      </c>
      <c r="N399" s="48" t="str">
        <f aca="false">IF($B399="","",IF($D399="收入",N($K399),N($L399)))</f>
        <v/>
      </c>
      <c r="O399" s="49" t="str">
        <f aca="false">IF($B399="","",IF($D399="收入",$T399,IF($D399="转账",$U399,$S399)))</f>
        <v/>
      </c>
      <c r="P399" s="49" t="str">
        <f aca="false">IF($B399="","",IF($D399="收入",$S399,$T399))</f>
        <v/>
      </c>
      <c r="Q399" s="50" t="str">
        <f aca="false">IF($E399="","",IF($D399="转账","—",IFERROR(INDEX(科目参数!$P$6:$P$85,MATCH($E399,科目参数!$M$6:$M$85,0)),"")))</f>
        <v/>
      </c>
      <c r="R399" s="48" t="str">
        <f aca="false">IF($B399="","",SUMIFS(期初数据!$B$6:$B$35,期初数据!$A$6:$A$35,$F399)+SUMIFS($N$5:$N399,$F$5:$F399,$F399,$D$5:$D399,"收入")-SUMIFS($N$5:$N399,$F$5:$F399,$F399,$D$5:$D399,"支出")-SUMIFS($N$5:$N399,$F$5:$F399,$F399,$D$5:$D399,"转账")+SUMIFS($N$5:$N399,$G$5:$G399,$F399,$D$5:$D399,"转账"))</f>
        <v/>
      </c>
      <c r="S399" s="49" t="str">
        <f aca="false">IF($E399="","",IFERROR(INDEX(科目参数!$N$6:$N$85,MATCH($E399,科目参数!$M$6:$M$85,0)),""))</f>
        <v/>
      </c>
      <c r="T399" s="49" t="str">
        <f aca="false">IF($F399="","",IFERROR(INDEX(基础资料!$C$6:$C$35,MATCH($F399,基础资料!$A$6:$A$35,0)),""))</f>
        <v/>
      </c>
      <c r="U399" s="49" t="str">
        <f aca="false">IF($G399="","",IFERROR(INDEX(基础资料!$C$6:$C$35,MATCH($G399,基础资料!$A$6:$A$35,0)),""))</f>
        <v/>
      </c>
      <c r="V399" s="49" t="str">
        <f aca="false">IF(AND($G399=客户对账单!$B$3,$E399="客户回款",$B399&gt;=客户对账单!$E$3,$B399&lt;=客户对账单!$H$3),COUNTIFS($G$5:$G399,客户对账单!$B$3,$E$5:$E399,"客户回款",$B$5:$B399,"&gt;="&amp;客户对账单!$E$3,$B$5:$B399,"&lt;="&amp;客户对账单!$H$3),"")</f>
        <v/>
      </c>
      <c r="W399" s="49" t="str">
        <f aca="false">IF(AND($G399=供应商对账单!$B$3,$E399="供应商付款",$B399&gt;=供应商对账单!$E$3,$B399&lt;=供应商对账单!$H$3),COUNTIFS($G$5:$G399,供应商对账单!$B$3,$E$5:$E399,"供应商付款",$B$5:$B399,"&gt;="&amp;供应商对账单!$E$3,$B$5:$B399,"&lt;="&amp;供应商对账单!$H$3),"")</f>
        <v/>
      </c>
    </row>
    <row r="400" customFormat="false" ht="15.75" hidden="false" customHeight="true" outlineLevel="0" collapsed="false">
      <c r="A400" s="42" t="str">
        <f aca="false">IF($B400="","","ZJ"&amp;TEXT($B400,"yyyymm")&amp;"-"&amp;TEXT(ROW()-4,"000"))</f>
        <v/>
      </c>
      <c r="B400" s="41"/>
      <c r="C400" s="42" t="str">
        <f aca="false">IF($B400="","",TEXT($B400,"yyyy-mm"))</f>
        <v/>
      </c>
      <c r="D400" s="42" t="str">
        <f aca="false">IF($E400="","",IFERROR(INDEX(科目参数!$L$6:$L$85,MATCH($E400,科目参数!$M$6:$M$85,0)),"⚠"))</f>
        <v/>
      </c>
      <c r="E400" s="33"/>
      <c r="F400" s="33"/>
      <c r="G400" s="36"/>
      <c r="H400" s="33"/>
      <c r="I400" s="33"/>
      <c r="J400" s="36"/>
      <c r="K400" s="40"/>
      <c r="L400" s="40"/>
      <c r="M400" s="47" t="str">
        <f aca="false">IF($B400="","",IF(NOT(ISNUMBER($B400)),"日期不是日期格式",IF(YEAR($B400)&lt;&gt;首页!$B$3,"不在会计年度",IF($E400="","未选收支科目",IF($D400="⚠","收支科目不存在",IF($F400="","未选账户",IF($T400="","账户未设资金科目",IF(AND($D400="转账",$U400=""),"转入账户无效",IF(AND(N($K400)&gt;0,N($L400)&gt;0),"收支不能同时填",IF(AND($D400="收入",N($K400)&lt;=0),"收入金额须大于0",IF(AND($D400&lt;&gt;"收入",N($L400)&lt;=0),"支出金额须大于0",IF($O400="","借方科目缺失",IF($P400="","贷方科目缺失","√")))))))))))))</f>
        <v/>
      </c>
      <c r="N400" s="48" t="str">
        <f aca="false">IF($B400="","",IF($D400="收入",N($K400),N($L400)))</f>
        <v/>
      </c>
      <c r="O400" s="49" t="str">
        <f aca="false">IF($B400="","",IF($D400="收入",$T400,IF($D400="转账",$U400,$S400)))</f>
        <v/>
      </c>
      <c r="P400" s="49" t="str">
        <f aca="false">IF($B400="","",IF($D400="收入",$S400,$T400))</f>
        <v/>
      </c>
      <c r="Q400" s="50" t="str">
        <f aca="false">IF($E400="","",IF($D400="转账","—",IFERROR(INDEX(科目参数!$P$6:$P$85,MATCH($E400,科目参数!$M$6:$M$85,0)),"")))</f>
        <v/>
      </c>
      <c r="R400" s="48" t="str">
        <f aca="false">IF($B400="","",SUMIFS(期初数据!$B$6:$B$35,期初数据!$A$6:$A$35,$F400)+SUMIFS($N$5:$N400,$F$5:$F400,$F400,$D$5:$D400,"收入")-SUMIFS($N$5:$N400,$F$5:$F400,$F400,$D$5:$D400,"支出")-SUMIFS($N$5:$N400,$F$5:$F400,$F400,$D$5:$D400,"转账")+SUMIFS($N$5:$N400,$G$5:$G400,$F400,$D$5:$D400,"转账"))</f>
        <v/>
      </c>
      <c r="S400" s="49" t="str">
        <f aca="false">IF($E400="","",IFERROR(INDEX(科目参数!$N$6:$N$85,MATCH($E400,科目参数!$M$6:$M$85,0)),""))</f>
        <v/>
      </c>
      <c r="T400" s="49" t="str">
        <f aca="false">IF($F400="","",IFERROR(INDEX(基础资料!$C$6:$C$35,MATCH($F400,基础资料!$A$6:$A$35,0)),""))</f>
        <v/>
      </c>
      <c r="U400" s="49" t="str">
        <f aca="false">IF($G400="","",IFERROR(INDEX(基础资料!$C$6:$C$35,MATCH($G400,基础资料!$A$6:$A$35,0)),""))</f>
        <v/>
      </c>
      <c r="V400" s="49" t="str">
        <f aca="false">IF(AND($G400=客户对账单!$B$3,$E400="客户回款",$B400&gt;=客户对账单!$E$3,$B400&lt;=客户对账单!$H$3),COUNTIFS($G$5:$G400,客户对账单!$B$3,$E$5:$E400,"客户回款",$B$5:$B400,"&gt;="&amp;客户对账单!$E$3,$B$5:$B400,"&lt;="&amp;客户对账单!$H$3),"")</f>
        <v/>
      </c>
      <c r="W400" s="49" t="str">
        <f aca="false">IF(AND($G400=供应商对账单!$B$3,$E400="供应商付款",$B400&gt;=供应商对账单!$E$3,$B400&lt;=供应商对账单!$H$3),COUNTIFS($G$5:$G400,供应商对账单!$B$3,$E$5:$E400,"供应商付款",$B$5:$B400,"&gt;="&amp;供应商对账单!$E$3,$B$5:$B400,"&lt;="&amp;供应商对账单!$H$3),"")</f>
        <v/>
      </c>
    </row>
    <row r="401" customFormat="false" ht="15.75" hidden="false" customHeight="true" outlineLevel="0" collapsed="false">
      <c r="A401" s="42" t="str">
        <f aca="false">IF($B401="","","ZJ"&amp;TEXT($B401,"yyyymm")&amp;"-"&amp;TEXT(ROW()-4,"000"))</f>
        <v/>
      </c>
      <c r="B401" s="41"/>
      <c r="C401" s="42" t="str">
        <f aca="false">IF($B401="","",TEXT($B401,"yyyy-mm"))</f>
        <v/>
      </c>
      <c r="D401" s="42" t="str">
        <f aca="false">IF($E401="","",IFERROR(INDEX(科目参数!$L$6:$L$85,MATCH($E401,科目参数!$M$6:$M$85,0)),"⚠"))</f>
        <v/>
      </c>
      <c r="E401" s="33"/>
      <c r="F401" s="33"/>
      <c r="G401" s="36"/>
      <c r="H401" s="33"/>
      <c r="I401" s="33"/>
      <c r="J401" s="36"/>
      <c r="K401" s="40"/>
      <c r="L401" s="40"/>
      <c r="M401" s="47" t="str">
        <f aca="false">IF($B401="","",IF(NOT(ISNUMBER($B401)),"日期不是日期格式",IF(YEAR($B401)&lt;&gt;首页!$B$3,"不在会计年度",IF($E401="","未选收支科目",IF($D401="⚠","收支科目不存在",IF($F401="","未选账户",IF($T401="","账户未设资金科目",IF(AND($D401="转账",$U401=""),"转入账户无效",IF(AND(N($K401)&gt;0,N($L401)&gt;0),"收支不能同时填",IF(AND($D401="收入",N($K401)&lt;=0),"收入金额须大于0",IF(AND($D401&lt;&gt;"收入",N($L401)&lt;=0),"支出金额须大于0",IF($O401="","借方科目缺失",IF($P401="","贷方科目缺失","√")))))))))))))</f>
        <v/>
      </c>
      <c r="N401" s="48" t="str">
        <f aca="false">IF($B401="","",IF($D401="收入",N($K401),N($L401)))</f>
        <v/>
      </c>
      <c r="O401" s="49" t="str">
        <f aca="false">IF($B401="","",IF($D401="收入",$T401,IF($D401="转账",$U401,$S401)))</f>
        <v/>
      </c>
      <c r="P401" s="49" t="str">
        <f aca="false">IF($B401="","",IF($D401="收入",$S401,$T401))</f>
        <v/>
      </c>
      <c r="Q401" s="50" t="str">
        <f aca="false">IF($E401="","",IF($D401="转账","—",IFERROR(INDEX(科目参数!$P$6:$P$85,MATCH($E401,科目参数!$M$6:$M$85,0)),"")))</f>
        <v/>
      </c>
      <c r="R401" s="48" t="str">
        <f aca="false">IF($B401="","",SUMIFS(期初数据!$B$6:$B$35,期初数据!$A$6:$A$35,$F401)+SUMIFS($N$5:$N401,$F$5:$F401,$F401,$D$5:$D401,"收入")-SUMIFS($N$5:$N401,$F$5:$F401,$F401,$D$5:$D401,"支出")-SUMIFS($N$5:$N401,$F$5:$F401,$F401,$D$5:$D401,"转账")+SUMIFS($N$5:$N401,$G$5:$G401,$F401,$D$5:$D401,"转账"))</f>
        <v/>
      </c>
      <c r="S401" s="49" t="str">
        <f aca="false">IF($E401="","",IFERROR(INDEX(科目参数!$N$6:$N$85,MATCH($E401,科目参数!$M$6:$M$85,0)),""))</f>
        <v/>
      </c>
      <c r="T401" s="49" t="str">
        <f aca="false">IF($F401="","",IFERROR(INDEX(基础资料!$C$6:$C$35,MATCH($F401,基础资料!$A$6:$A$35,0)),""))</f>
        <v/>
      </c>
      <c r="U401" s="49" t="str">
        <f aca="false">IF($G401="","",IFERROR(INDEX(基础资料!$C$6:$C$35,MATCH($G401,基础资料!$A$6:$A$35,0)),""))</f>
        <v/>
      </c>
      <c r="V401" s="49" t="str">
        <f aca="false">IF(AND($G401=客户对账单!$B$3,$E401="客户回款",$B401&gt;=客户对账单!$E$3,$B401&lt;=客户对账单!$H$3),COUNTIFS($G$5:$G401,客户对账单!$B$3,$E$5:$E401,"客户回款",$B$5:$B401,"&gt;="&amp;客户对账单!$E$3,$B$5:$B401,"&lt;="&amp;客户对账单!$H$3),"")</f>
        <v/>
      </c>
      <c r="W401" s="49" t="str">
        <f aca="false">IF(AND($G401=供应商对账单!$B$3,$E401="供应商付款",$B401&gt;=供应商对账单!$E$3,$B401&lt;=供应商对账单!$H$3),COUNTIFS($G$5:$G401,供应商对账单!$B$3,$E$5:$E401,"供应商付款",$B$5:$B401,"&gt;="&amp;供应商对账单!$E$3,$B$5:$B401,"&lt;="&amp;供应商对账单!$H$3),"")</f>
        <v/>
      </c>
    </row>
    <row r="402" customFormat="false" ht="15.75" hidden="false" customHeight="true" outlineLevel="0" collapsed="false">
      <c r="A402" s="42" t="str">
        <f aca="false">IF($B402="","","ZJ"&amp;TEXT($B402,"yyyymm")&amp;"-"&amp;TEXT(ROW()-4,"000"))</f>
        <v/>
      </c>
      <c r="B402" s="41"/>
      <c r="C402" s="42" t="str">
        <f aca="false">IF($B402="","",TEXT($B402,"yyyy-mm"))</f>
        <v/>
      </c>
      <c r="D402" s="42" t="str">
        <f aca="false">IF($E402="","",IFERROR(INDEX(科目参数!$L$6:$L$85,MATCH($E402,科目参数!$M$6:$M$85,0)),"⚠"))</f>
        <v/>
      </c>
      <c r="E402" s="33"/>
      <c r="F402" s="33"/>
      <c r="G402" s="36"/>
      <c r="H402" s="33"/>
      <c r="I402" s="33"/>
      <c r="J402" s="36"/>
      <c r="K402" s="40"/>
      <c r="L402" s="40"/>
      <c r="M402" s="47" t="str">
        <f aca="false">IF($B402="","",IF(NOT(ISNUMBER($B402)),"日期不是日期格式",IF(YEAR($B402)&lt;&gt;首页!$B$3,"不在会计年度",IF($E402="","未选收支科目",IF($D402="⚠","收支科目不存在",IF($F402="","未选账户",IF($T402="","账户未设资金科目",IF(AND($D402="转账",$U402=""),"转入账户无效",IF(AND(N($K402)&gt;0,N($L402)&gt;0),"收支不能同时填",IF(AND($D402="收入",N($K402)&lt;=0),"收入金额须大于0",IF(AND($D402&lt;&gt;"收入",N($L402)&lt;=0),"支出金额须大于0",IF($O402="","借方科目缺失",IF($P402="","贷方科目缺失","√")))))))))))))</f>
        <v/>
      </c>
      <c r="N402" s="48" t="str">
        <f aca="false">IF($B402="","",IF($D402="收入",N($K402),N($L402)))</f>
        <v/>
      </c>
      <c r="O402" s="49" t="str">
        <f aca="false">IF($B402="","",IF($D402="收入",$T402,IF($D402="转账",$U402,$S402)))</f>
        <v/>
      </c>
      <c r="P402" s="49" t="str">
        <f aca="false">IF($B402="","",IF($D402="收入",$S402,$T402))</f>
        <v/>
      </c>
      <c r="Q402" s="50" t="str">
        <f aca="false">IF($E402="","",IF($D402="转账","—",IFERROR(INDEX(科目参数!$P$6:$P$85,MATCH($E402,科目参数!$M$6:$M$85,0)),"")))</f>
        <v/>
      </c>
      <c r="R402" s="48" t="str">
        <f aca="false">IF($B402="","",SUMIFS(期初数据!$B$6:$B$35,期初数据!$A$6:$A$35,$F402)+SUMIFS($N$5:$N402,$F$5:$F402,$F402,$D$5:$D402,"收入")-SUMIFS($N$5:$N402,$F$5:$F402,$F402,$D$5:$D402,"支出")-SUMIFS($N$5:$N402,$F$5:$F402,$F402,$D$5:$D402,"转账")+SUMIFS($N$5:$N402,$G$5:$G402,$F402,$D$5:$D402,"转账"))</f>
        <v/>
      </c>
      <c r="S402" s="49" t="str">
        <f aca="false">IF($E402="","",IFERROR(INDEX(科目参数!$N$6:$N$85,MATCH($E402,科目参数!$M$6:$M$85,0)),""))</f>
        <v/>
      </c>
      <c r="T402" s="49" t="str">
        <f aca="false">IF($F402="","",IFERROR(INDEX(基础资料!$C$6:$C$35,MATCH($F402,基础资料!$A$6:$A$35,0)),""))</f>
        <v/>
      </c>
      <c r="U402" s="49" t="str">
        <f aca="false">IF($G402="","",IFERROR(INDEX(基础资料!$C$6:$C$35,MATCH($G402,基础资料!$A$6:$A$35,0)),""))</f>
        <v/>
      </c>
      <c r="V402" s="49" t="str">
        <f aca="false">IF(AND($G402=客户对账单!$B$3,$E402="客户回款",$B402&gt;=客户对账单!$E$3,$B402&lt;=客户对账单!$H$3),COUNTIFS($G$5:$G402,客户对账单!$B$3,$E$5:$E402,"客户回款",$B$5:$B402,"&gt;="&amp;客户对账单!$E$3,$B$5:$B402,"&lt;="&amp;客户对账单!$H$3),"")</f>
        <v/>
      </c>
      <c r="W402" s="49" t="str">
        <f aca="false">IF(AND($G402=供应商对账单!$B$3,$E402="供应商付款",$B402&gt;=供应商对账单!$E$3,$B402&lt;=供应商对账单!$H$3),COUNTIFS($G$5:$G402,供应商对账单!$B$3,$E$5:$E402,"供应商付款",$B$5:$B402,"&gt;="&amp;供应商对账单!$E$3,$B$5:$B402,"&lt;="&amp;供应商对账单!$H$3),"")</f>
        <v/>
      </c>
    </row>
    <row r="403" customFormat="false" ht="15.75" hidden="false" customHeight="true" outlineLevel="0" collapsed="false">
      <c r="A403" s="42" t="str">
        <f aca="false">IF($B403="","","ZJ"&amp;TEXT($B403,"yyyymm")&amp;"-"&amp;TEXT(ROW()-4,"000"))</f>
        <v/>
      </c>
      <c r="B403" s="41"/>
      <c r="C403" s="42" t="str">
        <f aca="false">IF($B403="","",TEXT($B403,"yyyy-mm"))</f>
        <v/>
      </c>
      <c r="D403" s="42" t="str">
        <f aca="false">IF($E403="","",IFERROR(INDEX(科目参数!$L$6:$L$85,MATCH($E403,科目参数!$M$6:$M$85,0)),"⚠"))</f>
        <v/>
      </c>
      <c r="E403" s="33"/>
      <c r="F403" s="33"/>
      <c r="G403" s="36"/>
      <c r="H403" s="33"/>
      <c r="I403" s="33"/>
      <c r="J403" s="36"/>
      <c r="K403" s="40"/>
      <c r="L403" s="40"/>
      <c r="M403" s="47" t="str">
        <f aca="false">IF($B403="","",IF(NOT(ISNUMBER($B403)),"日期不是日期格式",IF(YEAR($B403)&lt;&gt;首页!$B$3,"不在会计年度",IF($E403="","未选收支科目",IF($D403="⚠","收支科目不存在",IF($F403="","未选账户",IF($T403="","账户未设资金科目",IF(AND($D403="转账",$U403=""),"转入账户无效",IF(AND(N($K403)&gt;0,N($L403)&gt;0),"收支不能同时填",IF(AND($D403="收入",N($K403)&lt;=0),"收入金额须大于0",IF(AND($D403&lt;&gt;"收入",N($L403)&lt;=0),"支出金额须大于0",IF($O403="","借方科目缺失",IF($P403="","贷方科目缺失","√")))))))))))))</f>
        <v/>
      </c>
      <c r="N403" s="48" t="str">
        <f aca="false">IF($B403="","",IF($D403="收入",N($K403),N($L403)))</f>
        <v/>
      </c>
      <c r="O403" s="49" t="str">
        <f aca="false">IF($B403="","",IF($D403="收入",$T403,IF($D403="转账",$U403,$S403)))</f>
        <v/>
      </c>
      <c r="P403" s="49" t="str">
        <f aca="false">IF($B403="","",IF($D403="收入",$S403,$T403))</f>
        <v/>
      </c>
      <c r="Q403" s="50" t="str">
        <f aca="false">IF($E403="","",IF($D403="转账","—",IFERROR(INDEX(科目参数!$P$6:$P$85,MATCH($E403,科目参数!$M$6:$M$85,0)),"")))</f>
        <v/>
      </c>
      <c r="R403" s="48" t="str">
        <f aca="false">IF($B403="","",SUMIFS(期初数据!$B$6:$B$35,期初数据!$A$6:$A$35,$F403)+SUMIFS($N$5:$N403,$F$5:$F403,$F403,$D$5:$D403,"收入")-SUMIFS($N$5:$N403,$F$5:$F403,$F403,$D$5:$D403,"支出")-SUMIFS($N$5:$N403,$F$5:$F403,$F403,$D$5:$D403,"转账")+SUMIFS($N$5:$N403,$G$5:$G403,$F403,$D$5:$D403,"转账"))</f>
        <v/>
      </c>
      <c r="S403" s="49" t="str">
        <f aca="false">IF($E403="","",IFERROR(INDEX(科目参数!$N$6:$N$85,MATCH($E403,科目参数!$M$6:$M$85,0)),""))</f>
        <v/>
      </c>
      <c r="T403" s="49" t="str">
        <f aca="false">IF($F403="","",IFERROR(INDEX(基础资料!$C$6:$C$35,MATCH($F403,基础资料!$A$6:$A$35,0)),""))</f>
        <v/>
      </c>
      <c r="U403" s="49" t="str">
        <f aca="false">IF($G403="","",IFERROR(INDEX(基础资料!$C$6:$C$35,MATCH($G403,基础资料!$A$6:$A$35,0)),""))</f>
        <v/>
      </c>
      <c r="V403" s="49" t="str">
        <f aca="false">IF(AND($G403=客户对账单!$B$3,$E403="客户回款",$B403&gt;=客户对账单!$E$3,$B403&lt;=客户对账单!$H$3),COUNTIFS($G$5:$G403,客户对账单!$B$3,$E$5:$E403,"客户回款",$B$5:$B403,"&gt;="&amp;客户对账单!$E$3,$B$5:$B403,"&lt;="&amp;客户对账单!$H$3),"")</f>
        <v/>
      </c>
      <c r="W403" s="49" t="str">
        <f aca="false">IF(AND($G403=供应商对账单!$B$3,$E403="供应商付款",$B403&gt;=供应商对账单!$E$3,$B403&lt;=供应商对账单!$H$3),COUNTIFS($G$5:$G403,供应商对账单!$B$3,$E$5:$E403,"供应商付款",$B$5:$B403,"&gt;="&amp;供应商对账单!$E$3,$B$5:$B403,"&lt;="&amp;供应商对账单!$H$3),"")</f>
        <v/>
      </c>
    </row>
    <row r="404" customFormat="false" ht="15.75" hidden="false" customHeight="true" outlineLevel="0" collapsed="false">
      <c r="A404" s="42" t="str">
        <f aca="false">IF($B404="","","ZJ"&amp;TEXT($B404,"yyyymm")&amp;"-"&amp;TEXT(ROW()-4,"000"))</f>
        <v/>
      </c>
      <c r="B404" s="41"/>
      <c r="C404" s="42" t="str">
        <f aca="false">IF($B404="","",TEXT($B404,"yyyy-mm"))</f>
        <v/>
      </c>
      <c r="D404" s="42" t="str">
        <f aca="false">IF($E404="","",IFERROR(INDEX(科目参数!$L$6:$L$85,MATCH($E404,科目参数!$M$6:$M$85,0)),"⚠"))</f>
        <v/>
      </c>
      <c r="E404" s="33"/>
      <c r="F404" s="33"/>
      <c r="G404" s="36"/>
      <c r="H404" s="33"/>
      <c r="I404" s="33"/>
      <c r="J404" s="36"/>
      <c r="K404" s="40"/>
      <c r="L404" s="40"/>
      <c r="M404" s="47" t="str">
        <f aca="false">IF($B404="","",IF(NOT(ISNUMBER($B404)),"日期不是日期格式",IF(YEAR($B404)&lt;&gt;首页!$B$3,"不在会计年度",IF($E404="","未选收支科目",IF($D404="⚠","收支科目不存在",IF($F404="","未选账户",IF($T404="","账户未设资金科目",IF(AND($D404="转账",$U404=""),"转入账户无效",IF(AND(N($K404)&gt;0,N($L404)&gt;0),"收支不能同时填",IF(AND($D404="收入",N($K404)&lt;=0),"收入金额须大于0",IF(AND($D404&lt;&gt;"收入",N($L404)&lt;=0),"支出金额须大于0",IF($O404="","借方科目缺失",IF($P404="","贷方科目缺失","√")))))))))))))</f>
        <v/>
      </c>
      <c r="N404" s="48" t="str">
        <f aca="false">IF($B404="","",IF($D404="收入",N($K404),N($L404)))</f>
        <v/>
      </c>
      <c r="O404" s="49" t="str">
        <f aca="false">IF($B404="","",IF($D404="收入",$T404,IF($D404="转账",$U404,$S404)))</f>
        <v/>
      </c>
      <c r="P404" s="49" t="str">
        <f aca="false">IF($B404="","",IF($D404="收入",$S404,$T404))</f>
        <v/>
      </c>
      <c r="Q404" s="50" t="str">
        <f aca="false">IF($E404="","",IF($D404="转账","—",IFERROR(INDEX(科目参数!$P$6:$P$85,MATCH($E404,科目参数!$M$6:$M$85,0)),"")))</f>
        <v/>
      </c>
      <c r="R404" s="48" t="str">
        <f aca="false">IF($B404="","",SUMIFS(期初数据!$B$6:$B$35,期初数据!$A$6:$A$35,$F404)+SUMIFS($N$5:$N404,$F$5:$F404,$F404,$D$5:$D404,"收入")-SUMIFS($N$5:$N404,$F$5:$F404,$F404,$D$5:$D404,"支出")-SUMIFS($N$5:$N404,$F$5:$F404,$F404,$D$5:$D404,"转账")+SUMIFS($N$5:$N404,$G$5:$G404,$F404,$D$5:$D404,"转账"))</f>
        <v/>
      </c>
      <c r="S404" s="49" t="str">
        <f aca="false">IF($E404="","",IFERROR(INDEX(科目参数!$N$6:$N$85,MATCH($E404,科目参数!$M$6:$M$85,0)),""))</f>
        <v/>
      </c>
      <c r="T404" s="49" t="str">
        <f aca="false">IF($F404="","",IFERROR(INDEX(基础资料!$C$6:$C$35,MATCH($F404,基础资料!$A$6:$A$35,0)),""))</f>
        <v/>
      </c>
      <c r="U404" s="49" t="str">
        <f aca="false">IF($G404="","",IFERROR(INDEX(基础资料!$C$6:$C$35,MATCH($G404,基础资料!$A$6:$A$35,0)),""))</f>
        <v/>
      </c>
      <c r="V404" s="49" t="str">
        <f aca="false">IF(AND($G404=客户对账单!$B$3,$E404="客户回款",$B404&gt;=客户对账单!$E$3,$B404&lt;=客户对账单!$H$3),COUNTIFS($G$5:$G404,客户对账单!$B$3,$E$5:$E404,"客户回款",$B$5:$B404,"&gt;="&amp;客户对账单!$E$3,$B$5:$B404,"&lt;="&amp;客户对账单!$H$3),"")</f>
        <v/>
      </c>
      <c r="W404" s="49" t="str">
        <f aca="false">IF(AND($G404=供应商对账单!$B$3,$E404="供应商付款",$B404&gt;=供应商对账单!$E$3,$B404&lt;=供应商对账单!$H$3),COUNTIFS($G$5:$G404,供应商对账单!$B$3,$E$5:$E404,"供应商付款",$B$5:$B404,"&gt;="&amp;供应商对账单!$E$3,$B$5:$B404,"&lt;="&amp;供应商对账单!$H$3),"")</f>
        <v/>
      </c>
    </row>
    <row r="405" customFormat="false" ht="15.75" hidden="false" customHeight="true" outlineLevel="0" collapsed="false">
      <c r="A405" s="42" t="str">
        <f aca="false">IF($B405="","","ZJ"&amp;TEXT($B405,"yyyymm")&amp;"-"&amp;TEXT(ROW()-4,"000"))</f>
        <v/>
      </c>
      <c r="B405" s="41"/>
      <c r="C405" s="42" t="str">
        <f aca="false">IF($B405="","",TEXT($B405,"yyyy-mm"))</f>
        <v/>
      </c>
      <c r="D405" s="42" t="str">
        <f aca="false">IF($E405="","",IFERROR(INDEX(科目参数!$L$6:$L$85,MATCH($E405,科目参数!$M$6:$M$85,0)),"⚠"))</f>
        <v/>
      </c>
      <c r="E405" s="33"/>
      <c r="F405" s="33"/>
      <c r="G405" s="36"/>
      <c r="H405" s="33"/>
      <c r="I405" s="33"/>
      <c r="J405" s="36"/>
      <c r="K405" s="40"/>
      <c r="L405" s="40"/>
      <c r="M405" s="47" t="str">
        <f aca="false">IF($B405="","",IF(NOT(ISNUMBER($B405)),"日期不是日期格式",IF(YEAR($B405)&lt;&gt;首页!$B$3,"不在会计年度",IF($E405="","未选收支科目",IF($D405="⚠","收支科目不存在",IF($F405="","未选账户",IF($T405="","账户未设资金科目",IF(AND($D405="转账",$U405=""),"转入账户无效",IF(AND(N($K405)&gt;0,N($L405)&gt;0),"收支不能同时填",IF(AND($D405="收入",N($K405)&lt;=0),"收入金额须大于0",IF(AND($D405&lt;&gt;"收入",N($L405)&lt;=0),"支出金额须大于0",IF($O405="","借方科目缺失",IF($P405="","贷方科目缺失","√")))))))))))))</f>
        <v/>
      </c>
      <c r="N405" s="48" t="str">
        <f aca="false">IF($B405="","",IF($D405="收入",N($K405),N($L405)))</f>
        <v/>
      </c>
      <c r="O405" s="49" t="str">
        <f aca="false">IF($B405="","",IF($D405="收入",$T405,IF($D405="转账",$U405,$S405)))</f>
        <v/>
      </c>
      <c r="P405" s="49" t="str">
        <f aca="false">IF($B405="","",IF($D405="收入",$S405,$T405))</f>
        <v/>
      </c>
      <c r="Q405" s="50" t="str">
        <f aca="false">IF($E405="","",IF($D405="转账","—",IFERROR(INDEX(科目参数!$P$6:$P$85,MATCH($E405,科目参数!$M$6:$M$85,0)),"")))</f>
        <v/>
      </c>
      <c r="R405" s="48" t="str">
        <f aca="false">IF($B405="","",SUMIFS(期初数据!$B$6:$B$35,期初数据!$A$6:$A$35,$F405)+SUMIFS($N$5:$N405,$F$5:$F405,$F405,$D$5:$D405,"收入")-SUMIFS($N$5:$N405,$F$5:$F405,$F405,$D$5:$D405,"支出")-SUMIFS($N$5:$N405,$F$5:$F405,$F405,$D$5:$D405,"转账")+SUMIFS($N$5:$N405,$G$5:$G405,$F405,$D$5:$D405,"转账"))</f>
        <v/>
      </c>
      <c r="S405" s="49" t="str">
        <f aca="false">IF($E405="","",IFERROR(INDEX(科目参数!$N$6:$N$85,MATCH($E405,科目参数!$M$6:$M$85,0)),""))</f>
        <v/>
      </c>
      <c r="T405" s="49" t="str">
        <f aca="false">IF($F405="","",IFERROR(INDEX(基础资料!$C$6:$C$35,MATCH($F405,基础资料!$A$6:$A$35,0)),""))</f>
        <v/>
      </c>
      <c r="U405" s="49" t="str">
        <f aca="false">IF($G405="","",IFERROR(INDEX(基础资料!$C$6:$C$35,MATCH($G405,基础资料!$A$6:$A$35,0)),""))</f>
        <v/>
      </c>
      <c r="V405" s="49" t="str">
        <f aca="false">IF(AND($G405=客户对账单!$B$3,$E405="客户回款",$B405&gt;=客户对账单!$E$3,$B405&lt;=客户对账单!$H$3),COUNTIFS($G$5:$G405,客户对账单!$B$3,$E$5:$E405,"客户回款",$B$5:$B405,"&gt;="&amp;客户对账单!$E$3,$B$5:$B405,"&lt;="&amp;客户对账单!$H$3),"")</f>
        <v/>
      </c>
      <c r="W405" s="49" t="str">
        <f aca="false">IF(AND($G405=供应商对账单!$B$3,$E405="供应商付款",$B405&gt;=供应商对账单!$E$3,$B405&lt;=供应商对账单!$H$3),COUNTIFS($G$5:$G405,供应商对账单!$B$3,$E$5:$E405,"供应商付款",$B$5:$B405,"&gt;="&amp;供应商对账单!$E$3,$B$5:$B405,"&lt;="&amp;供应商对账单!$H$3),"")</f>
        <v/>
      </c>
    </row>
    <row r="406" customFormat="false" ht="15.75" hidden="false" customHeight="true" outlineLevel="0" collapsed="false">
      <c r="A406" s="42" t="str">
        <f aca="false">IF($B406="","","ZJ"&amp;TEXT($B406,"yyyymm")&amp;"-"&amp;TEXT(ROW()-4,"000"))</f>
        <v/>
      </c>
      <c r="B406" s="41"/>
      <c r="C406" s="42" t="str">
        <f aca="false">IF($B406="","",TEXT($B406,"yyyy-mm"))</f>
        <v/>
      </c>
      <c r="D406" s="42" t="str">
        <f aca="false">IF($E406="","",IFERROR(INDEX(科目参数!$L$6:$L$85,MATCH($E406,科目参数!$M$6:$M$85,0)),"⚠"))</f>
        <v/>
      </c>
      <c r="E406" s="33"/>
      <c r="F406" s="33"/>
      <c r="G406" s="36"/>
      <c r="H406" s="33"/>
      <c r="I406" s="33"/>
      <c r="J406" s="36"/>
      <c r="K406" s="40"/>
      <c r="L406" s="40"/>
      <c r="M406" s="47" t="str">
        <f aca="false">IF($B406="","",IF(NOT(ISNUMBER($B406)),"日期不是日期格式",IF(YEAR($B406)&lt;&gt;首页!$B$3,"不在会计年度",IF($E406="","未选收支科目",IF($D406="⚠","收支科目不存在",IF($F406="","未选账户",IF($T406="","账户未设资金科目",IF(AND($D406="转账",$U406=""),"转入账户无效",IF(AND(N($K406)&gt;0,N($L406)&gt;0),"收支不能同时填",IF(AND($D406="收入",N($K406)&lt;=0),"收入金额须大于0",IF(AND($D406&lt;&gt;"收入",N($L406)&lt;=0),"支出金额须大于0",IF($O406="","借方科目缺失",IF($P406="","贷方科目缺失","√")))))))))))))</f>
        <v/>
      </c>
      <c r="N406" s="48" t="str">
        <f aca="false">IF($B406="","",IF($D406="收入",N($K406),N($L406)))</f>
        <v/>
      </c>
      <c r="O406" s="49" t="str">
        <f aca="false">IF($B406="","",IF($D406="收入",$T406,IF($D406="转账",$U406,$S406)))</f>
        <v/>
      </c>
      <c r="P406" s="49" t="str">
        <f aca="false">IF($B406="","",IF($D406="收入",$S406,$T406))</f>
        <v/>
      </c>
      <c r="Q406" s="50" t="str">
        <f aca="false">IF($E406="","",IF($D406="转账","—",IFERROR(INDEX(科目参数!$P$6:$P$85,MATCH($E406,科目参数!$M$6:$M$85,0)),"")))</f>
        <v/>
      </c>
      <c r="R406" s="48" t="str">
        <f aca="false">IF($B406="","",SUMIFS(期初数据!$B$6:$B$35,期初数据!$A$6:$A$35,$F406)+SUMIFS($N$5:$N406,$F$5:$F406,$F406,$D$5:$D406,"收入")-SUMIFS($N$5:$N406,$F$5:$F406,$F406,$D$5:$D406,"支出")-SUMIFS($N$5:$N406,$F$5:$F406,$F406,$D$5:$D406,"转账")+SUMIFS($N$5:$N406,$G$5:$G406,$F406,$D$5:$D406,"转账"))</f>
        <v/>
      </c>
      <c r="S406" s="49" t="str">
        <f aca="false">IF($E406="","",IFERROR(INDEX(科目参数!$N$6:$N$85,MATCH($E406,科目参数!$M$6:$M$85,0)),""))</f>
        <v/>
      </c>
      <c r="T406" s="49" t="str">
        <f aca="false">IF($F406="","",IFERROR(INDEX(基础资料!$C$6:$C$35,MATCH($F406,基础资料!$A$6:$A$35,0)),""))</f>
        <v/>
      </c>
      <c r="U406" s="49" t="str">
        <f aca="false">IF($G406="","",IFERROR(INDEX(基础资料!$C$6:$C$35,MATCH($G406,基础资料!$A$6:$A$35,0)),""))</f>
        <v/>
      </c>
      <c r="V406" s="49" t="str">
        <f aca="false">IF(AND($G406=客户对账单!$B$3,$E406="客户回款",$B406&gt;=客户对账单!$E$3,$B406&lt;=客户对账单!$H$3),COUNTIFS($G$5:$G406,客户对账单!$B$3,$E$5:$E406,"客户回款",$B$5:$B406,"&gt;="&amp;客户对账单!$E$3,$B$5:$B406,"&lt;="&amp;客户对账单!$H$3),"")</f>
        <v/>
      </c>
      <c r="W406" s="49" t="str">
        <f aca="false">IF(AND($G406=供应商对账单!$B$3,$E406="供应商付款",$B406&gt;=供应商对账单!$E$3,$B406&lt;=供应商对账单!$H$3),COUNTIFS($G$5:$G406,供应商对账单!$B$3,$E$5:$E406,"供应商付款",$B$5:$B406,"&gt;="&amp;供应商对账单!$E$3,$B$5:$B406,"&lt;="&amp;供应商对账单!$H$3),"")</f>
        <v/>
      </c>
    </row>
    <row r="407" customFormat="false" ht="15.75" hidden="false" customHeight="true" outlineLevel="0" collapsed="false">
      <c r="A407" s="42" t="str">
        <f aca="false">IF($B407="","","ZJ"&amp;TEXT($B407,"yyyymm")&amp;"-"&amp;TEXT(ROW()-4,"000"))</f>
        <v/>
      </c>
      <c r="B407" s="41"/>
      <c r="C407" s="42" t="str">
        <f aca="false">IF($B407="","",TEXT($B407,"yyyy-mm"))</f>
        <v/>
      </c>
      <c r="D407" s="42" t="str">
        <f aca="false">IF($E407="","",IFERROR(INDEX(科目参数!$L$6:$L$85,MATCH($E407,科目参数!$M$6:$M$85,0)),"⚠"))</f>
        <v/>
      </c>
      <c r="E407" s="33"/>
      <c r="F407" s="33"/>
      <c r="G407" s="36"/>
      <c r="H407" s="33"/>
      <c r="I407" s="33"/>
      <c r="J407" s="36"/>
      <c r="K407" s="40"/>
      <c r="L407" s="40"/>
      <c r="M407" s="47" t="str">
        <f aca="false">IF($B407="","",IF(NOT(ISNUMBER($B407)),"日期不是日期格式",IF(YEAR($B407)&lt;&gt;首页!$B$3,"不在会计年度",IF($E407="","未选收支科目",IF($D407="⚠","收支科目不存在",IF($F407="","未选账户",IF($T407="","账户未设资金科目",IF(AND($D407="转账",$U407=""),"转入账户无效",IF(AND(N($K407)&gt;0,N($L407)&gt;0),"收支不能同时填",IF(AND($D407="收入",N($K407)&lt;=0),"收入金额须大于0",IF(AND($D407&lt;&gt;"收入",N($L407)&lt;=0),"支出金额须大于0",IF($O407="","借方科目缺失",IF($P407="","贷方科目缺失","√")))))))))))))</f>
        <v/>
      </c>
      <c r="N407" s="48" t="str">
        <f aca="false">IF($B407="","",IF($D407="收入",N($K407),N($L407)))</f>
        <v/>
      </c>
      <c r="O407" s="49" t="str">
        <f aca="false">IF($B407="","",IF($D407="收入",$T407,IF($D407="转账",$U407,$S407)))</f>
        <v/>
      </c>
      <c r="P407" s="49" t="str">
        <f aca="false">IF($B407="","",IF($D407="收入",$S407,$T407))</f>
        <v/>
      </c>
      <c r="Q407" s="50" t="str">
        <f aca="false">IF($E407="","",IF($D407="转账","—",IFERROR(INDEX(科目参数!$P$6:$P$85,MATCH($E407,科目参数!$M$6:$M$85,0)),"")))</f>
        <v/>
      </c>
      <c r="R407" s="48" t="str">
        <f aca="false">IF($B407="","",SUMIFS(期初数据!$B$6:$B$35,期初数据!$A$6:$A$35,$F407)+SUMIFS($N$5:$N407,$F$5:$F407,$F407,$D$5:$D407,"收入")-SUMIFS($N$5:$N407,$F$5:$F407,$F407,$D$5:$D407,"支出")-SUMIFS($N$5:$N407,$F$5:$F407,$F407,$D$5:$D407,"转账")+SUMIFS($N$5:$N407,$G$5:$G407,$F407,$D$5:$D407,"转账"))</f>
        <v/>
      </c>
      <c r="S407" s="49" t="str">
        <f aca="false">IF($E407="","",IFERROR(INDEX(科目参数!$N$6:$N$85,MATCH($E407,科目参数!$M$6:$M$85,0)),""))</f>
        <v/>
      </c>
      <c r="T407" s="49" t="str">
        <f aca="false">IF($F407="","",IFERROR(INDEX(基础资料!$C$6:$C$35,MATCH($F407,基础资料!$A$6:$A$35,0)),""))</f>
        <v/>
      </c>
      <c r="U407" s="49" t="str">
        <f aca="false">IF($G407="","",IFERROR(INDEX(基础资料!$C$6:$C$35,MATCH($G407,基础资料!$A$6:$A$35,0)),""))</f>
        <v/>
      </c>
      <c r="V407" s="49" t="str">
        <f aca="false">IF(AND($G407=客户对账单!$B$3,$E407="客户回款",$B407&gt;=客户对账单!$E$3,$B407&lt;=客户对账单!$H$3),COUNTIFS($G$5:$G407,客户对账单!$B$3,$E$5:$E407,"客户回款",$B$5:$B407,"&gt;="&amp;客户对账单!$E$3,$B$5:$B407,"&lt;="&amp;客户对账单!$H$3),"")</f>
        <v/>
      </c>
      <c r="W407" s="49" t="str">
        <f aca="false">IF(AND($G407=供应商对账单!$B$3,$E407="供应商付款",$B407&gt;=供应商对账单!$E$3,$B407&lt;=供应商对账单!$H$3),COUNTIFS($G$5:$G407,供应商对账单!$B$3,$E$5:$E407,"供应商付款",$B$5:$B407,"&gt;="&amp;供应商对账单!$E$3,$B$5:$B407,"&lt;="&amp;供应商对账单!$H$3),"")</f>
        <v/>
      </c>
    </row>
    <row r="408" customFormat="false" ht="15.75" hidden="false" customHeight="true" outlineLevel="0" collapsed="false">
      <c r="A408" s="42" t="str">
        <f aca="false">IF($B408="","","ZJ"&amp;TEXT($B408,"yyyymm")&amp;"-"&amp;TEXT(ROW()-4,"000"))</f>
        <v/>
      </c>
      <c r="B408" s="41"/>
      <c r="C408" s="42" t="str">
        <f aca="false">IF($B408="","",TEXT($B408,"yyyy-mm"))</f>
        <v/>
      </c>
      <c r="D408" s="42" t="str">
        <f aca="false">IF($E408="","",IFERROR(INDEX(科目参数!$L$6:$L$85,MATCH($E408,科目参数!$M$6:$M$85,0)),"⚠"))</f>
        <v/>
      </c>
      <c r="E408" s="33"/>
      <c r="F408" s="33"/>
      <c r="G408" s="36"/>
      <c r="H408" s="33"/>
      <c r="I408" s="33"/>
      <c r="J408" s="36"/>
      <c r="K408" s="40"/>
      <c r="L408" s="40"/>
      <c r="M408" s="47" t="str">
        <f aca="false">IF($B408="","",IF(NOT(ISNUMBER($B408)),"日期不是日期格式",IF(YEAR($B408)&lt;&gt;首页!$B$3,"不在会计年度",IF($E408="","未选收支科目",IF($D408="⚠","收支科目不存在",IF($F408="","未选账户",IF($T408="","账户未设资金科目",IF(AND($D408="转账",$U408=""),"转入账户无效",IF(AND(N($K408)&gt;0,N($L408)&gt;0),"收支不能同时填",IF(AND($D408="收入",N($K408)&lt;=0),"收入金额须大于0",IF(AND($D408&lt;&gt;"收入",N($L408)&lt;=0),"支出金额须大于0",IF($O408="","借方科目缺失",IF($P408="","贷方科目缺失","√")))))))))))))</f>
        <v/>
      </c>
      <c r="N408" s="48" t="str">
        <f aca="false">IF($B408="","",IF($D408="收入",N($K408),N($L408)))</f>
        <v/>
      </c>
      <c r="O408" s="49" t="str">
        <f aca="false">IF($B408="","",IF($D408="收入",$T408,IF($D408="转账",$U408,$S408)))</f>
        <v/>
      </c>
      <c r="P408" s="49" t="str">
        <f aca="false">IF($B408="","",IF($D408="收入",$S408,$T408))</f>
        <v/>
      </c>
      <c r="Q408" s="50" t="str">
        <f aca="false">IF($E408="","",IF($D408="转账","—",IFERROR(INDEX(科目参数!$P$6:$P$85,MATCH($E408,科目参数!$M$6:$M$85,0)),"")))</f>
        <v/>
      </c>
      <c r="R408" s="48" t="str">
        <f aca="false">IF($B408="","",SUMIFS(期初数据!$B$6:$B$35,期初数据!$A$6:$A$35,$F408)+SUMIFS($N$5:$N408,$F$5:$F408,$F408,$D$5:$D408,"收入")-SUMIFS($N$5:$N408,$F$5:$F408,$F408,$D$5:$D408,"支出")-SUMIFS($N$5:$N408,$F$5:$F408,$F408,$D$5:$D408,"转账")+SUMIFS($N$5:$N408,$G$5:$G408,$F408,$D$5:$D408,"转账"))</f>
        <v/>
      </c>
      <c r="S408" s="49" t="str">
        <f aca="false">IF($E408="","",IFERROR(INDEX(科目参数!$N$6:$N$85,MATCH($E408,科目参数!$M$6:$M$85,0)),""))</f>
        <v/>
      </c>
      <c r="T408" s="49" t="str">
        <f aca="false">IF($F408="","",IFERROR(INDEX(基础资料!$C$6:$C$35,MATCH($F408,基础资料!$A$6:$A$35,0)),""))</f>
        <v/>
      </c>
      <c r="U408" s="49" t="str">
        <f aca="false">IF($G408="","",IFERROR(INDEX(基础资料!$C$6:$C$35,MATCH($G408,基础资料!$A$6:$A$35,0)),""))</f>
        <v/>
      </c>
      <c r="V408" s="49" t="str">
        <f aca="false">IF(AND($G408=客户对账单!$B$3,$E408="客户回款",$B408&gt;=客户对账单!$E$3,$B408&lt;=客户对账单!$H$3),COUNTIFS($G$5:$G408,客户对账单!$B$3,$E$5:$E408,"客户回款",$B$5:$B408,"&gt;="&amp;客户对账单!$E$3,$B$5:$B408,"&lt;="&amp;客户对账单!$H$3),"")</f>
        <v/>
      </c>
      <c r="W408" s="49" t="str">
        <f aca="false">IF(AND($G408=供应商对账单!$B$3,$E408="供应商付款",$B408&gt;=供应商对账单!$E$3,$B408&lt;=供应商对账单!$H$3),COUNTIFS($G$5:$G408,供应商对账单!$B$3,$E$5:$E408,"供应商付款",$B$5:$B408,"&gt;="&amp;供应商对账单!$E$3,$B$5:$B408,"&lt;="&amp;供应商对账单!$H$3),"")</f>
        <v/>
      </c>
    </row>
    <row r="409" customFormat="false" ht="15.75" hidden="false" customHeight="true" outlineLevel="0" collapsed="false">
      <c r="A409" s="42" t="str">
        <f aca="false">IF($B409="","","ZJ"&amp;TEXT($B409,"yyyymm")&amp;"-"&amp;TEXT(ROW()-4,"000"))</f>
        <v/>
      </c>
      <c r="B409" s="41"/>
      <c r="C409" s="42" t="str">
        <f aca="false">IF($B409="","",TEXT($B409,"yyyy-mm"))</f>
        <v/>
      </c>
      <c r="D409" s="42" t="str">
        <f aca="false">IF($E409="","",IFERROR(INDEX(科目参数!$L$6:$L$85,MATCH($E409,科目参数!$M$6:$M$85,0)),"⚠"))</f>
        <v/>
      </c>
      <c r="E409" s="33"/>
      <c r="F409" s="33"/>
      <c r="G409" s="36"/>
      <c r="H409" s="33"/>
      <c r="I409" s="33"/>
      <c r="J409" s="36"/>
      <c r="K409" s="40"/>
      <c r="L409" s="40"/>
      <c r="M409" s="47" t="str">
        <f aca="false">IF($B409="","",IF(NOT(ISNUMBER($B409)),"日期不是日期格式",IF(YEAR($B409)&lt;&gt;首页!$B$3,"不在会计年度",IF($E409="","未选收支科目",IF($D409="⚠","收支科目不存在",IF($F409="","未选账户",IF($T409="","账户未设资金科目",IF(AND($D409="转账",$U409=""),"转入账户无效",IF(AND(N($K409)&gt;0,N($L409)&gt;0),"收支不能同时填",IF(AND($D409="收入",N($K409)&lt;=0),"收入金额须大于0",IF(AND($D409&lt;&gt;"收入",N($L409)&lt;=0),"支出金额须大于0",IF($O409="","借方科目缺失",IF($P409="","贷方科目缺失","√")))))))))))))</f>
        <v/>
      </c>
      <c r="N409" s="48" t="str">
        <f aca="false">IF($B409="","",IF($D409="收入",N($K409),N($L409)))</f>
        <v/>
      </c>
      <c r="O409" s="49" t="str">
        <f aca="false">IF($B409="","",IF($D409="收入",$T409,IF($D409="转账",$U409,$S409)))</f>
        <v/>
      </c>
      <c r="P409" s="49" t="str">
        <f aca="false">IF($B409="","",IF($D409="收入",$S409,$T409))</f>
        <v/>
      </c>
      <c r="Q409" s="50" t="str">
        <f aca="false">IF($E409="","",IF($D409="转账","—",IFERROR(INDEX(科目参数!$P$6:$P$85,MATCH($E409,科目参数!$M$6:$M$85,0)),"")))</f>
        <v/>
      </c>
      <c r="R409" s="48" t="str">
        <f aca="false">IF($B409="","",SUMIFS(期初数据!$B$6:$B$35,期初数据!$A$6:$A$35,$F409)+SUMIFS($N$5:$N409,$F$5:$F409,$F409,$D$5:$D409,"收入")-SUMIFS($N$5:$N409,$F$5:$F409,$F409,$D$5:$D409,"支出")-SUMIFS($N$5:$N409,$F$5:$F409,$F409,$D$5:$D409,"转账")+SUMIFS($N$5:$N409,$G$5:$G409,$F409,$D$5:$D409,"转账"))</f>
        <v/>
      </c>
      <c r="S409" s="49" t="str">
        <f aca="false">IF($E409="","",IFERROR(INDEX(科目参数!$N$6:$N$85,MATCH($E409,科目参数!$M$6:$M$85,0)),""))</f>
        <v/>
      </c>
      <c r="T409" s="49" t="str">
        <f aca="false">IF($F409="","",IFERROR(INDEX(基础资料!$C$6:$C$35,MATCH($F409,基础资料!$A$6:$A$35,0)),""))</f>
        <v/>
      </c>
      <c r="U409" s="49" t="str">
        <f aca="false">IF($G409="","",IFERROR(INDEX(基础资料!$C$6:$C$35,MATCH($G409,基础资料!$A$6:$A$35,0)),""))</f>
        <v/>
      </c>
      <c r="V409" s="49" t="str">
        <f aca="false">IF(AND($G409=客户对账单!$B$3,$E409="客户回款",$B409&gt;=客户对账单!$E$3,$B409&lt;=客户对账单!$H$3),COUNTIFS($G$5:$G409,客户对账单!$B$3,$E$5:$E409,"客户回款",$B$5:$B409,"&gt;="&amp;客户对账单!$E$3,$B$5:$B409,"&lt;="&amp;客户对账单!$H$3),"")</f>
        <v/>
      </c>
      <c r="W409" s="49" t="str">
        <f aca="false">IF(AND($G409=供应商对账单!$B$3,$E409="供应商付款",$B409&gt;=供应商对账单!$E$3,$B409&lt;=供应商对账单!$H$3),COUNTIFS($G$5:$G409,供应商对账单!$B$3,$E$5:$E409,"供应商付款",$B$5:$B409,"&gt;="&amp;供应商对账单!$E$3,$B$5:$B409,"&lt;="&amp;供应商对账单!$H$3),"")</f>
        <v/>
      </c>
    </row>
    <row r="410" customFormat="false" ht="15.75" hidden="false" customHeight="true" outlineLevel="0" collapsed="false">
      <c r="A410" s="42" t="str">
        <f aca="false">IF($B410="","","ZJ"&amp;TEXT($B410,"yyyymm")&amp;"-"&amp;TEXT(ROW()-4,"000"))</f>
        <v/>
      </c>
      <c r="B410" s="41"/>
      <c r="C410" s="42" t="str">
        <f aca="false">IF($B410="","",TEXT($B410,"yyyy-mm"))</f>
        <v/>
      </c>
      <c r="D410" s="42" t="str">
        <f aca="false">IF($E410="","",IFERROR(INDEX(科目参数!$L$6:$L$85,MATCH($E410,科目参数!$M$6:$M$85,0)),"⚠"))</f>
        <v/>
      </c>
      <c r="E410" s="33"/>
      <c r="F410" s="33"/>
      <c r="G410" s="36"/>
      <c r="H410" s="33"/>
      <c r="I410" s="33"/>
      <c r="J410" s="36"/>
      <c r="K410" s="40"/>
      <c r="L410" s="40"/>
      <c r="M410" s="47" t="str">
        <f aca="false">IF($B410="","",IF(NOT(ISNUMBER($B410)),"日期不是日期格式",IF(YEAR($B410)&lt;&gt;首页!$B$3,"不在会计年度",IF($E410="","未选收支科目",IF($D410="⚠","收支科目不存在",IF($F410="","未选账户",IF($T410="","账户未设资金科目",IF(AND($D410="转账",$U410=""),"转入账户无效",IF(AND(N($K410)&gt;0,N($L410)&gt;0),"收支不能同时填",IF(AND($D410="收入",N($K410)&lt;=0),"收入金额须大于0",IF(AND($D410&lt;&gt;"收入",N($L410)&lt;=0),"支出金额须大于0",IF($O410="","借方科目缺失",IF($P410="","贷方科目缺失","√")))))))))))))</f>
        <v/>
      </c>
      <c r="N410" s="48" t="str">
        <f aca="false">IF($B410="","",IF($D410="收入",N($K410),N($L410)))</f>
        <v/>
      </c>
      <c r="O410" s="49" t="str">
        <f aca="false">IF($B410="","",IF($D410="收入",$T410,IF($D410="转账",$U410,$S410)))</f>
        <v/>
      </c>
      <c r="P410" s="49" t="str">
        <f aca="false">IF($B410="","",IF($D410="收入",$S410,$T410))</f>
        <v/>
      </c>
      <c r="Q410" s="50" t="str">
        <f aca="false">IF($E410="","",IF($D410="转账","—",IFERROR(INDEX(科目参数!$P$6:$P$85,MATCH($E410,科目参数!$M$6:$M$85,0)),"")))</f>
        <v/>
      </c>
      <c r="R410" s="48" t="str">
        <f aca="false">IF($B410="","",SUMIFS(期初数据!$B$6:$B$35,期初数据!$A$6:$A$35,$F410)+SUMIFS($N$5:$N410,$F$5:$F410,$F410,$D$5:$D410,"收入")-SUMIFS($N$5:$N410,$F$5:$F410,$F410,$D$5:$D410,"支出")-SUMIFS($N$5:$N410,$F$5:$F410,$F410,$D$5:$D410,"转账")+SUMIFS($N$5:$N410,$G$5:$G410,$F410,$D$5:$D410,"转账"))</f>
        <v/>
      </c>
      <c r="S410" s="49" t="str">
        <f aca="false">IF($E410="","",IFERROR(INDEX(科目参数!$N$6:$N$85,MATCH($E410,科目参数!$M$6:$M$85,0)),""))</f>
        <v/>
      </c>
      <c r="T410" s="49" t="str">
        <f aca="false">IF($F410="","",IFERROR(INDEX(基础资料!$C$6:$C$35,MATCH($F410,基础资料!$A$6:$A$35,0)),""))</f>
        <v/>
      </c>
      <c r="U410" s="49" t="str">
        <f aca="false">IF($G410="","",IFERROR(INDEX(基础资料!$C$6:$C$35,MATCH($G410,基础资料!$A$6:$A$35,0)),""))</f>
        <v/>
      </c>
      <c r="V410" s="49" t="str">
        <f aca="false">IF(AND($G410=客户对账单!$B$3,$E410="客户回款",$B410&gt;=客户对账单!$E$3,$B410&lt;=客户对账单!$H$3),COUNTIFS($G$5:$G410,客户对账单!$B$3,$E$5:$E410,"客户回款",$B$5:$B410,"&gt;="&amp;客户对账单!$E$3,$B$5:$B410,"&lt;="&amp;客户对账单!$H$3),"")</f>
        <v/>
      </c>
      <c r="W410" s="49" t="str">
        <f aca="false">IF(AND($G410=供应商对账单!$B$3,$E410="供应商付款",$B410&gt;=供应商对账单!$E$3,$B410&lt;=供应商对账单!$H$3),COUNTIFS($G$5:$G410,供应商对账单!$B$3,$E$5:$E410,"供应商付款",$B$5:$B410,"&gt;="&amp;供应商对账单!$E$3,$B$5:$B410,"&lt;="&amp;供应商对账单!$H$3),"")</f>
        <v/>
      </c>
    </row>
    <row r="411" customFormat="false" ht="15.75" hidden="false" customHeight="true" outlineLevel="0" collapsed="false">
      <c r="A411" s="42" t="str">
        <f aca="false">IF($B411="","","ZJ"&amp;TEXT($B411,"yyyymm")&amp;"-"&amp;TEXT(ROW()-4,"000"))</f>
        <v/>
      </c>
      <c r="B411" s="41"/>
      <c r="C411" s="42" t="str">
        <f aca="false">IF($B411="","",TEXT($B411,"yyyy-mm"))</f>
        <v/>
      </c>
      <c r="D411" s="42" t="str">
        <f aca="false">IF($E411="","",IFERROR(INDEX(科目参数!$L$6:$L$85,MATCH($E411,科目参数!$M$6:$M$85,0)),"⚠"))</f>
        <v/>
      </c>
      <c r="E411" s="33"/>
      <c r="F411" s="33"/>
      <c r="G411" s="36"/>
      <c r="H411" s="33"/>
      <c r="I411" s="33"/>
      <c r="J411" s="36"/>
      <c r="K411" s="40"/>
      <c r="L411" s="40"/>
      <c r="M411" s="47" t="str">
        <f aca="false">IF($B411="","",IF(NOT(ISNUMBER($B411)),"日期不是日期格式",IF(YEAR($B411)&lt;&gt;首页!$B$3,"不在会计年度",IF($E411="","未选收支科目",IF($D411="⚠","收支科目不存在",IF($F411="","未选账户",IF($T411="","账户未设资金科目",IF(AND($D411="转账",$U411=""),"转入账户无效",IF(AND(N($K411)&gt;0,N($L411)&gt;0),"收支不能同时填",IF(AND($D411="收入",N($K411)&lt;=0),"收入金额须大于0",IF(AND($D411&lt;&gt;"收入",N($L411)&lt;=0),"支出金额须大于0",IF($O411="","借方科目缺失",IF($P411="","贷方科目缺失","√")))))))))))))</f>
        <v/>
      </c>
      <c r="N411" s="48" t="str">
        <f aca="false">IF($B411="","",IF($D411="收入",N($K411),N($L411)))</f>
        <v/>
      </c>
      <c r="O411" s="49" t="str">
        <f aca="false">IF($B411="","",IF($D411="收入",$T411,IF($D411="转账",$U411,$S411)))</f>
        <v/>
      </c>
      <c r="P411" s="49" t="str">
        <f aca="false">IF($B411="","",IF($D411="收入",$S411,$T411))</f>
        <v/>
      </c>
      <c r="Q411" s="50" t="str">
        <f aca="false">IF($E411="","",IF($D411="转账","—",IFERROR(INDEX(科目参数!$P$6:$P$85,MATCH($E411,科目参数!$M$6:$M$85,0)),"")))</f>
        <v/>
      </c>
      <c r="R411" s="48" t="str">
        <f aca="false">IF($B411="","",SUMIFS(期初数据!$B$6:$B$35,期初数据!$A$6:$A$35,$F411)+SUMIFS($N$5:$N411,$F$5:$F411,$F411,$D$5:$D411,"收入")-SUMIFS($N$5:$N411,$F$5:$F411,$F411,$D$5:$D411,"支出")-SUMIFS($N$5:$N411,$F$5:$F411,$F411,$D$5:$D411,"转账")+SUMIFS($N$5:$N411,$G$5:$G411,$F411,$D$5:$D411,"转账"))</f>
        <v/>
      </c>
      <c r="S411" s="49" t="str">
        <f aca="false">IF($E411="","",IFERROR(INDEX(科目参数!$N$6:$N$85,MATCH($E411,科目参数!$M$6:$M$85,0)),""))</f>
        <v/>
      </c>
      <c r="T411" s="49" t="str">
        <f aca="false">IF($F411="","",IFERROR(INDEX(基础资料!$C$6:$C$35,MATCH($F411,基础资料!$A$6:$A$35,0)),""))</f>
        <v/>
      </c>
      <c r="U411" s="49" t="str">
        <f aca="false">IF($G411="","",IFERROR(INDEX(基础资料!$C$6:$C$35,MATCH($G411,基础资料!$A$6:$A$35,0)),""))</f>
        <v/>
      </c>
      <c r="V411" s="49" t="str">
        <f aca="false">IF(AND($G411=客户对账单!$B$3,$E411="客户回款",$B411&gt;=客户对账单!$E$3,$B411&lt;=客户对账单!$H$3),COUNTIFS($G$5:$G411,客户对账单!$B$3,$E$5:$E411,"客户回款",$B$5:$B411,"&gt;="&amp;客户对账单!$E$3,$B$5:$B411,"&lt;="&amp;客户对账单!$H$3),"")</f>
        <v/>
      </c>
      <c r="W411" s="49" t="str">
        <f aca="false">IF(AND($G411=供应商对账单!$B$3,$E411="供应商付款",$B411&gt;=供应商对账单!$E$3,$B411&lt;=供应商对账单!$H$3),COUNTIFS($G$5:$G411,供应商对账单!$B$3,$E$5:$E411,"供应商付款",$B$5:$B411,"&gt;="&amp;供应商对账单!$E$3,$B$5:$B411,"&lt;="&amp;供应商对账单!$H$3),"")</f>
        <v/>
      </c>
    </row>
    <row r="412" customFormat="false" ht="15.75" hidden="false" customHeight="true" outlineLevel="0" collapsed="false">
      <c r="A412" s="42" t="str">
        <f aca="false">IF($B412="","","ZJ"&amp;TEXT($B412,"yyyymm")&amp;"-"&amp;TEXT(ROW()-4,"000"))</f>
        <v/>
      </c>
      <c r="B412" s="41"/>
      <c r="C412" s="42" t="str">
        <f aca="false">IF($B412="","",TEXT($B412,"yyyy-mm"))</f>
        <v/>
      </c>
      <c r="D412" s="42" t="str">
        <f aca="false">IF($E412="","",IFERROR(INDEX(科目参数!$L$6:$L$85,MATCH($E412,科目参数!$M$6:$M$85,0)),"⚠"))</f>
        <v/>
      </c>
      <c r="E412" s="33"/>
      <c r="F412" s="33"/>
      <c r="G412" s="36"/>
      <c r="H412" s="33"/>
      <c r="I412" s="33"/>
      <c r="J412" s="36"/>
      <c r="K412" s="40"/>
      <c r="L412" s="40"/>
      <c r="M412" s="47" t="str">
        <f aca="false">IF($B412="","",IF(NOT(ISNUMBER($B412)),"日期不是日期格式",IF(YEAR($B412)&lt;&gt;首页!$B$3,"不在会计年度",IF($E412="","未选收支科目",IF($D412="⚠","收支科目不存在",IF($F412="","未选账户",IF($T412="","账户未设资金科目",IF(AND($D412="转账",$U412=""),"转入账户无效",IF(AND(N($K412)&gt;0,N($L412)&gt;0),"收支不能同时填",IF(AND($D412="收入",N($K412)&lt;=0),"收入金额须大于0",IF(AND($D412&lt;&gt;"收入",N($L412)&lt;=0),"支出金额须大于0",IF($O412="","借方科目缺失",IF($P412="","贷方科目缺失","√")))))))))))))</f>
        <v/>
      </c>
      <c r="N412" s="48" t="str">
        <f aca="false">IF($B412="","",IF($D412="收入",N($K412),N($L412)))</f>
        <v/>
      </c>
      <c r="O412" s="49" t="str">
        <f aca="false">IF($B412="","",IF($D412="收入",$T412,IF($D412="转账",$U412,$S412)))</f>
        <v/>
      </c>
      <c r="P412" s="49" t="str">
        <f aca="false">IF($B412="","",IF($D412="收入",$S412,$T412))</f>
        <v/>
      </c>
      <c r="Q412" s="50" t="str">
        <f aca="false">IF($E412="","",IF($D412="转账","—",IFERROR(INDEX(科目参数!$P$6:$P$85,MATCH($E412,科目参数!$M$6:$M$85,0)),"")))</f>
        <v/>
      </c>
      <c r="R412" s="48" t="str">
        <f aca="false">IF($B412="","",SUMIFS(期初数据!$B$6:$B$35,期初数据!$A$6:$A$35,$F412)+SUMIFS($N$5:$N412,$F$5:$F412,$F412,$D$5:$D412,"收入")-SUMIFS($N$5:$N412,$F$5:$F412,$F412,$D$5:$D412,"支出")-SUMIFS($N$5:$N412,$F$5:$F412,$F412,$D$5:$D412,"转账")+SUMIFS($N$5:$N412,$G$5:$G412,$F412,$D$5:$D412,"转账"))</f>
        <v/>
      </c>
      <c r="S412" s="49" t="str">
        <f aca="false">IF($E412="","",IFERROR(INDEX(科目参数!$N$6:$N$85,MATCH($E412,科目参数!$M$6:$M$85,0)),""))</f>
        <v/>
      </c>
      <c r="T412" s="49" t="str">
        <f aca="false">IF($F412="","",IFERROR(INDEX(基础资料!$C$6:$C$35,MATCH($F412,基础资料!$A$6:$A$35,0)),""))</f>
        <v/>
      </c>
      <c r="U412" s="49" t="str">
        <f aca="false">IF($G412="","",IFERROR(INDEX(基础资料!$C$6:$C$35,MATCH($G412,基础资料!$A$6:$A$35,0)),""))</f>
        <v/>
      </c>
      <c r="V412" s="49" t="str">
        <f aca="false">IF(AND($G412=客户对账单!$B$3,$E412="客户回款",$B412&gt;=客户对账单!$E$3,$B412&lt;=客户对账单!$H$3),COUNTIFS($G$5:$G412,客户对账单!$B$3,$E$5:$E412,"客户回款",$B$5:$B412,"&gt;="&amp;客户对账单!$E$3,$B$5:$B412,"&lt;="&amp;客户对账单!$H$3),"")</f>
        <v/>
      </c>
      <c r="W412" s="49" t="str">
        <f aca="false">IF(AND($G412=供应商对账单!$B$3,$E412="供应商付款",$B412&gt;=供应商对账单!$E$3,$B412&lt;=供应商对账单!$H$3),COUNTIFS($G$5:$G412,供应商对账单!$B$3,$E$5:$E412,"供应商付款",$B$5:$B412,"&gt;="&amp;供应商对账单!$E$3,$B$5:$B412,"&lt;="&amp;供应商对账单!$H$3),"")</f>
        <v/>
      </c>
    </row>
    <row r="413" customFormat="false" ht="15.75" hidden="false" customHeight="true" outlineLevel="0" collapsed="false">
      <c r="A413" s="42" t="str">
        <f aca="false">IF($B413="","","ZJ"&amp;TEXT($B413,"yyyymm")&amp;"-"&amp;TEXT(ROW()-4,"000"))</f>
        <v/>
      </c>
      <c r="B413" s="41"/>
      <c r="C413" s="42" t="str">
        <f aca="false">IF($B413="","",TEXT($B413,"yyyy-mm"))</f>
        <v/>
      </c>
      <c r="D413" s="42" t="str">
        <f aca="false">IF($E413="","",IFERROR(INDEX(科目参数!$L$6:$L$85,MATCH($E413,科目参数!$M$6:$M$85,0)),"⚠"))</f>
        <v/>
      </c>
      <c r="E413" s="33"/>
      <c r="F413" s="33"/>
      <c r="G413" s="36"/>
      <c r="H413" s="33"/>
      <c r="I413" s="33"/>
      <c r="J413" s="36"/>
      <c r="K413" s="40"/>
      <c r="L413" s="40"/>
      <c r="M413" s="47" t="str">
        <f aca="false">IF($B413="","",IF(NOT(ISNUMBER($B413)),"日期不是日期格式",IF(YEAR($B413)&lt;&gt;首页!$B$3,"不在会计年度",IF($E413="","未选收支科目",IF($D413="⚠","收支科目不存在",IF($F413="","未选账户",IF($T413="","账户未设资金科目",IF(AND($D413="转账",$U413=""),"转入账户无效",IF(AND(N($K413)&gt;0,N($L413)&gt;0),"收支不能同时填",IF(AND($D413="收入",N($K413)&lt;=0),"收入金额须大于0",IF(AND($D413&lt;&gt;"收入",N($L413)&lt;=0),"支出金额须大于0",IF($O413="","借方科目缺失",IF($P413="","贷方科目缺失","√")))))))))))))</f>
        <v/>
      </c>
      <c r="N413" s="48" t="str">
        <f aca="false">IF($B413="","",IF($D413="收入",N($K413),N($L413)))</f>
        <v/>
      </c>
      <c r="O413" s="49" t="str">
        <f aca="false">IF($B413="","",IF($D413="收入",$T413,IF($D413="转账",$U413,$S413)))</f>
        <v/>
      </c>
      <c r="P413" s="49" t="str">
        <f aca="false">IF($B413="","",IF($D413="收入",$S413,$T413))</f>
        <v/>
      </c>
      <c r="Q413" s="50" t="str">
        <f aca="false">IF($E413="","",IF($D413="转账","—",IFERROR(INDEX(科目参数!$P$6:$P$85,MATCH($E413,科目参数!$M$6:$M$85,0)),"")))</f>
        <v/>
      </c>
      <c r="R413" s="48" t="str">
        <f aca="false">IF($B413="","",SUMIFS(期初数据!$B$6:$B$35,期初数据!$A$6:$A$35,$F413)+SUMIFS($N$5:$N413,$F$5:$F413,$F413,$D$5:$D413,"收入")-SUMIFS($N$5:$N413,$F$5:$F413,$F413,$D$5:$D413,"支出")-SUMIFS($N$5:$N413,$F$5:$F413,$F413,$D$5:$D413,"转账")+SUMIFS($N$5:$N413,$G$5:$G413,$F413,$D$5:$D413,"转账"))</f>
        <v/>
      </c>
      <c r="S413" s="49" t="str">
        <f aca="false">IF($E413="","",IFERROR(INDEX(科目参数!$N$6:$N$85,MATCH($E413,科目参数!$M$6:$M$85,0)),""))</f>
        <v/>
      </c>
      <c r="T413" s="49" t="str">
        <f aca="false">IF($F413="","",IFERROR(INDEX(基础资料!$C$6:$C$35,MATCH($F413,基础资料!$A$6:$A$35,0)),""))</f>
        <v/>
      </c>
      <c r="U413" s="49" t="str">
        <f aca="false">IF($G413="","",IFERROR(INDEX(基础资料!$C$6:$C$35,MATCH($G413,基础资料!$A$6:$A$35,0)),""))</f>
        <v/>
      </c>
      <c r="V413" s="49" t="str">
        <f aca="false">IF(AND($G413=客户对账单!$B$3,$E413="客户回款",$B413&gt;=客户对账单!$E$3,$B413&lt;=客户对账单!$H$3),COUNTIFS($G$5:$G413,客户对账单!$B$3,$E$5:$E413,"客户回款",$B$5:$B413,"&gt;="&amp;客户对账单!$E$3,$B$5:$B413,"&lt;="&amp;客户对账单!$H$3),"")</f>
        <v/>
      </c>
      <c r="W413" s="49" t="str">
        <f aca="false">IF(AND($G413=供应商对账单!$B$3,$E413="供应商付款",$B413&gt;=供应商对账单!$E$3,$B413&lt;=供应商对账单!$H$3),COUNTIFS($G$5:$G413,供应商对账单!$B$3,$E$5:$E413,"供应商付款",$B$5:$B413,"&gt;="&amp;供应商对账单!$E$3,$B$5:$B413,"&lt;="&amp;供应商对账单!$H$3),"")</f>
        <v/>
      </c>
    </row>
    <row r="414" customFormat="false" ht="15.75" hidden="false" customHeight="true" outlineLevel="0" collapsed="false">
      <c r="A414" s="42" t="str">
        <f aca="false">IF($B414="","","ZJ"&amp;TEXT($B414,"yyyymm")&amp;"-"&amp;TEXT(ROW()-4,"000"))</f>
        <v/>
      </c>
      <c r="B414" s="41"/>
      <c r="C414" s="42" t="str">
        <f aca="false">IF($B414="","",TEXT($B414,"yyyy-mm"))</f>
        <v/>
      </c>
      <c r="D414" s="42" t="str">
        <f aca="false">IF($E414="","",IFERROR(INDEX(科目参数!$L$6:$L$85,MATCH($E414,科目参数!$M$6:$M$85,0)),"⚠"))</f>
        <v/>
      </c>
      <c r="E414" s="33"/>
      <c r="F414" s="33"/>
      <c r="G414" s="36"/>
      <c r="H414" s="33"/>
      <c r="I414" s="33"/>
      <c r="J414" s="36"/>
      <c r="K414" s="40"/>
      <c r="L414" s="40"/>
      <c r="M414" s="47" t="str">
        <f aca="false">IF($B414="","",IF(NOT(ISNUMBER($B414)),"日期不是日期格式",IF(YEAR($B414)&lt;&gt;首页!$B$3,"不在会计年度",IF($E414="","未选收支科目",IF($D414="⚠","收支科目不存在",IF($F414="","未选账户",IF($T414="","账户未设资金科目",IF(AND($D414="转账",$U414=""),"转入账户无效",IF(AND(N($K414)&gt;0,N($L414)&gt;0),"收支不能同时填",IF(AND($D414="收入",N($K414)&lt;=0),"收入金额须大于0",IF(AND($D414&lt;&gt;"收入",N($L414)&lt;=0),"支出金额须大于0",IF($O414="","借方科目缺失",IF($P414="","贷方科目缺失","√")))))))))))))</f>
        <v/>
      </c>
      <c r="N414" s="48" t="str">
        <f aca="false">IF($B414="","",IF($D414="收入",N($K414),N($L414)))</f>
        <v/>
      </c>
      <c r="O414" s="49" t="str">
        <f aca="false">IF($B414="","",IF($D414="收入",$T414,IF($D414="转账",$U414,$S414)))</f>
        <v/>
      </c>
      <c r="P414" s="49" t="str">
        <f aca="false">IF($B414="","",IF($D414="收入",$S414,$T414))</f>
        <v/>
      </c>
      <c r="Q414" s="50" t="str">
        <f aca="false">IF($E414="","",IF($D414="转账","—",IFERROR(INDEX(科目参数!$P$6:$P$85,MATCH($E414,科目参数!$M$6:$M$85,0)),"")))</f>
        <v/>
      </c>
      <c r="R414" s="48" t="str">
        <f aca="false">IF($B414="","",SUMIFS(期初数据!$B$6:$B$35,期初数据!$A$6:$A$35,$F414)+SUMIFS($N$5:$N414,$F$5:$F414,$F414,$D$5:$D414,"收入")-SUMIFS($N$5:$N414,$F$5:$F414,$F414,$D$5:$D414,"支出")-SUMIFS($N$5:$N414,$F$5:$F414,$F414,$D$5:$D414,"转账")+SUMIFS($N$5:$N414,$G$5:$G414,$F414,$D$5:$D414,"转账"))</f>
        <v/>
      </c>
      <c r="S414" s="49" t="str">
        <f aca="false">IF($E414="","",IFERROR(INDEX(科目参数!$N$6:$N$85,MATCH($E414,科目参数!$M$6:$M$85,0)),""))</f>
        <v/>
      </c>
      <c r="T414" s="49" t="str">
        <f aca="false">IF($F414="","",IFERROR(INDEX(基础资料!$C$6:$C$35,MATCH($F414,基础资料!$A$6:$A$35,0)),""))</f>
        <v/>
      </c>
      <c r="U414" s="49" t="str">
        <f aca="false">IF($G414="","",IFERROR(INDEX(基础资料!$C$6:$C$35,MATCH($G414,基础资料!$A$6:$A$35,0)),""))</f>
        <v/>
      </c>
      <c r="V414" s="49" t="str">
        <f aca="false">IF(AND($G414=客户对账单!$B$3,$E414="客户回款",$B414&gt;=客户对账单!$E$3,$B414&lt;=客户对账单!$H$3),COUNTIFS($G$5:$G414,客户对账单!$B$3,$E$5:$E414,"客户回款",$B$5:$B414,"&gt;="&amp;客户对账单!$E$3,$B$5:$B414,"&lt;="&amp;客户对账单!$H$3),"")</f>
        <v/>
      </c>
      <c r="W414" s="49" t="str">
        <f aca="false">IF(AND($G414=供应商对账单!$B$3,$E414="供应商付款",$B414&gt;=供应商对账单!$E$3,$B414&lt;=供应商对账单!$H$3),COUNTIFS($G$5:$G414,供应商对账单!$B$3,$E$5:$E414,"供应商付款",$B$5:$B414,"&gt;="&amp;供应商对账单!$E$3,$B$5:$B414,"&lt;="&amp;供应商对账单!$H$3),"")</f>
        <v/>
      </c>
    </row>
    <row r="415" customFormat="false" ht="15.75" hidden="false" customHeight="true" outlineLevel="0" collapsed="false">
      <c r="A415" s="42" t="str">
        <f aca="false">IF($B415="","","ZJ"&amp;TEXT($B415,"yyyymm")&amp;"-"&amp;TEXT(ROW()-4,"000"))</f>
        <v/>
      </c>
      <c r="B415" s="41"/>
      <c r="C415" s="42" t="str">
        <f aca="false">IF($B415="","",TEXT($B415,"yyyy-mm"))</f>
        <v/>
      </c>
      <c r="D415" s="42" t="str">
        <f aca="false">IF($E415="","",IFERROR(INDEX(科目参数!$L$6:$L$85,MATCH($E415,科目参数!$M$6:$M$85,0)),"⚠"))</f>
        <v/>
      </c>
      <c r="E415" s="33"/>
      <c r="F415" s="33"/>
      <c r="G415" s="36"/>
      <c r="H415" s="33"/>
      <c r="I415" s="33"/>
      <c r="J415" s="36"/>
      <c r="K415" s="40"/>
      <c r="L415" s="40"/>
      <c r="M415" s="47" t="str">
        <f aca="false">IF($B415="","",IF(NOT(ISNUMBER($B415)),"日期不是日期格式",IF(YEAR($B415)&lt;&gt;首页!$B$3,"不在会计年度",IF($E415="","未选收支科目",IF($D415="⚠","收支科目不存在",IF($F415="","未选账户",IF($T415="","账户未设资金科目",IF(AND($D415="转账",$U415=""),"转入账户无效",IF(AND(N($K415)&gt;0,N($L415)&gt;0),"收支不能同时填",IF(AND($D415="收入",N($K415)&lt;=0),"收入金额须大于0",IF(AND($D415&lt;&gt;"收入",N($L415)&lt;=0),"支出金额须大于0",IF($O415="","借方科目缺失",IF($P415="","贷方科目缺失","√")))))))))))))</f>
        <v/>
      </c>
      <c r="N415" s="48" t="str">
        <f aca="false">IF($B415="","",IF($D415="收入",N($K415),N($L415)))</f>
        <v/>
      </c>
      <c r="O415" s="49" t="str">
        <f aca="false">IF($B415="","",IF($D415="收入",$T415,IF($D415="转账",$U415,$S415)))</f>
        <v/>
      </c>
      <c r="P415" s="49" t="str">
        <f aca="false">IF($B415="","",IF($D415="收入",$S415,$T415))</f>
        <v/>
      </c>
      <c r="Q415" s="50" t="str">
        <f aca="false">IF($E415="","",IF($D415="转账","—",IFERROR(INDEX(科目参数!$P$6:$P$85,MATCH($E415,科目参数!$M$6:$M$85,0)),"")))</f>
        <v/>
      </c>
      <c r="R415" s="48" t="str">
        <f aca="false">IF($B415="","",SUMIFS(期初数据!$B$6:$B$35,期初数据!$A$6:$A$35,$F415)+SUMIFS($N$5:$N415,$F$5:$F415,$F415,$D$5:$D415,"收入")-SUMIFS($N$5:$N415,$F$5:$F415,$F415,$D$5:$D415,"支出")-SUMIFS($N$5:$N415,$F$5:$F415,$F415,$D$5:$D415,"转账")+SUMIFS($N$5:$N415,$G$5:$G415,$F415,$D$5:$D415,"转账"))</f>
        <v/>
      </c>
      <c r="S415" s="49" t="str">
        <f aca="false">IF($E415="","",IFERROR(INDEX(科目参数!$N$6:$N$85,MATCH($E415,科目参数!$M$6:$M$85,0)),""))</f>
        <v/>
      </c>
      <c r="T415" s="49" t="str">
        <f aca="false">IF($F415="","",IFERROR(INDEX(基础资料!$C$6:$C$35,MATCH($F415,基础资料!$A$6:$A$35,0)),""))</f>
        <v/>
      </c>
      <c r="U415" s="49" t="str">
        <f aca="false">IF($G415="","",IFERROR(INDEX(基础资料!$C$6:$C$35,MATCH($G415,基础资料!$A$6:$A$35,0)),""))</f>
        <v/>
      </c>
      <c r="V415" s="49" t="str">
        <f aca="false">IF(AND($G415=客户对账单!$B$3,$E415="客户回款",$B415&gt;=客户对账单!$E$3,$B415&lt;=客户对账单!$H$3),COUNTIFS($G$5:$G415,客户对账单!$B$3,$E$5:$E415,"客户回款",$B$5:$B415,"&gt;="&amp;客户对账单!$E$3,$B$5:$B415,"&lt;="&amp;客户对账单!$H$3),"")</f>
        <v/>
      </c>
      <c r="W415" s="49" t="str">
        <f aca="false">IF(AND($G415=供应商对账单!$B$3,$E415="供应商付款",$B415&gt;=供应商对账单!$E$3,$B415&lt;=供应商对账单!$H$3),COUNTIFS($G$5:$G415,供应商对账单!$B$3,$E$5:$E415,"供应商付款",$B$5:$B415,"&gt;="&amp;供应商对账单!$E$3,$B$5:$B415,"&lt;="&amp;供应商对账单!$H$3),"")</f>
        <v/>
      </c>
    </row>
    <row r="416" customFormat="false" ht="15.75" hidden="false" customHeight="true" outlineLevel="0" collapsed="false">
      <c r="A416" s="42" t="str">
        <f aca="false">IF($B416="","","ZJ"&amp;TEXT($B416,"yyyymm")&amp;"-"&amp;TEXT(ROW()-4,"000"))</f>
        <v/>
      </c>
      <c r="B416" s="41"/>
      <c r="C416" s="42" t="str">
        <f aca="false">IF($B416="","",TEXT($B416,"yyyy-mm"))</f>
        <v/>
      </c>
      <c r="D416" s="42" t="str">
        <f aca="false">IF($E416="","",IFERROR(INDEX(科目参数!$L$6:$L$85,MATCH($E416,科目参数!$M$6:$M$85,0)),"⚠"))</f>
        <v/>
      </c>
      <c r="E416" s="33"/>
      <c r="F416" s="33"/>
      <c r="G416" s="36"/>
      <c r="H416" s="33"/>
      <c r="I416" s="33"/>
      <c r="J416" s="36"/>
      <c r="K416" s="40"/>
      <c r="L416" s="40"/>
      <c r="M416" s="47" t="str">
        <f aca="false">IF($B416="","",IF(NOT(ISNUMBER($B416)),"日期不是日期格式",IF(YEAR($B416)&lt;&gt;首页!$B$3,"不在会计年度",IF($E416="","未选收支科目",IF($D416="⚠","收支科目不存在",IF($F416="","未选账户",IF($T416="","账户未设资金科目",IF(AND($D416="转账",$U416=""),"转入账户无效",IF(AND(N($K416)&gt;0,N($L416)&gt;0),"收支不能同时填",IF(AND($D416="收入",N($K416)&lt;=0),"收入金额须大于0",IF(AND($D416&lt;&gt;"收入",N($L416)&lt;=0),"支出金额须大于0",IF($O416="","借方科目缺失",IF($P416="","贷方科目缺失","√")))))))))))))</f>
        <v/>
      </c>
      <c r="N416" s="48" t="str">
        <f aca="false">IF($B416="","",IF($D416="收入",N($K416),N($L416)))</f>
        <v/>
      </c>
      <c r="O416" s="49" t="str">
        <f aca="false">IF($B416="","",IF($D416="收入",$T416,IF($D416="转账",$U416,$S416)))</f>
        <v/>
      </c>
      <c r="P416" s="49" t="str">
        <f aca="false">IF($B416="","",IF($D416="收入",$S416,$T416))</f>
        <v/>
      </c>
      <c r="Q416" s="50" t="str">
        <f aca="false">IF($E416="","",IF($D416="转账","—",IFERROR(INDEX(科目参数!$P$6:$P$85,MATCH($E416,科目参数!$M$6:$M$85,0)),"")))</f>
        <v/>
      </c>
      <c r="R416" s="48" t="str">
        <f aca="false">IF($B416="","",SUMIFS(期初数据!$B$6:$B$35,期初数据!$A$6:$A$35,$F416)+SUMIFS($N$5:$N416,$F$5:$F416,$F416,$D$5:$D416,"收入")-SUMIFS($N$5:$N416,$F$5:$F416,$F416,$D$5:$D416,"支出")-SUMIFS($N$5:$N416,$F$5:$F416,$F416,$D$5:$D416,"转账")+SUMIFS($N$5:$N416,$G$5:$G416,$F416,$D$5:$D416,"转账"))</f>
        <v/>
      </c>
      <c r="S416" s="49" t="str">
        <f aca="false">IF($E416="","",IFERROR(INDEX(科目参数!$N$6:$N$85,MATCH($E416,科目参数!$M$6:$M$85,0)),""))</f>
        <v/>
      </c>
      <c r="T416" s="49" t="str">
        <f aca="false">IF($F416="","",IFERROR(INDEX(基础资料!$C$6:$C$35,MATCH($F416,基础资料!$A$6:$A$35,0)),""))</f>
        <v/>
      </c>
      <c r="U416" s="49" t="str">
        <f aca="false">IF($G416="","",IFERROR(INDEX(基础资料!$C$6:$C$35,MATCH($G416,基础资料!$A$6:$A$35,0)),""))</f>
        <v/>
      </c>
      <c r="V416" s="49" t="str">
        <f aca="false">IF(AND($G416=客户对账单!$B$3,$E416="客户回款",$B416&gt;=客户对账单!$E$3,$B416&lt;=客户对账单!$H$3),COUNTIFS($G$5:$G416,客户对账单!$B$3,$E$5:$E416,"客户回款",$B$5:$B416,"&gt;="&amp;客户对账单!$E$3,$B$5:$B416,"&lt;="&amp;客户对账单!$H$3),"")</f>
        <v/>
      </c>
      <c r="W416" s="49" t="str">
        <f aca="false">IF(AND($G416=供应商对账单!$B$3,$E416="供应商付款",$B416&gt;=供应商对账单!$E$3,$B416&lt;=供应商对账单!$H$3),COUNTIFS($G$5:$G416,供应商对账单!$B$3,$E$5:$E416,"供应商付款",$B$5:$B416,"&gt;="&amp;供应商对账单!$E$3,$B$5:$B416,"&lt;="&amp;供应商对账单!$H$3),"")</f>
        <v/>
      </c>
    </row>
    <row r="417" customFormat="false" ht="15.75" hidden="false" customHeight="true" outlineLevel="0" collapsed="false">
      <c r="A417" s="42" t="str">
        <f aca="false">IF($B417="","","ZJ"&amp;TEXT($B417,"yyyymm")&amp;"-"&amp;TEXT(ROW()-4,"000"))</f>
        <v/>
      </c>
      <c r="B417" s="41"/>
      <c r="C417" s="42" t="str">
        <f aca="false">IF($B417="","",TEXT($B417,"yyyy-mm"))</f>
        <v/>
      </c>
      <c r="D417" s="42" t="str">
        <f aca="false">IF($E417="","",IFERROR(INDEX(科目参数!$L$6:$L$85,MATCH($E417,科目参数!$M$6:$M$85,0)),"⚠"))</f>
        <v/>
      </c>
      <c r="E417" s="33"/>
      <c r="F417" s="33"/>
      <c r="G417" s="36"/>
      <c r="H417" s="33"/>
      <c r="I417" s="33"/>
      <c r="J417" s="36"/>
      <c r="K417" s="40"/>
      <c r="L417" s="40"/>
      <c r="M417" s="47" t="str">
        <f aca="false">IF($B417="","",IF(NOT(ISNUMBER($B417)),"日期不是日期格式",IF(YEAR($B417)&lt;&gt;首页!$B$3,"不在会计年度",IF($E417="","未选收支科目",IF($D417="⚠","收支科目不存在",IF($F417="","未选账户",IF($T417="","账户未设资金科目",IF(AND($D417="转账",$U417=""),"转入账户无效",IF(AND(N($K417)&gt;0,N($L417)&gt;0),"收支不能同时填",IF(AND($D417="收入",N($K417)&lt;=0),"收入金额须大于0",IF(AND($D417&lt;&gt;"收入",N($L417)&lt;=0),"支出金额须大于0",IF($O417="","借方科目缺失",IF($P417="","贷方科目缺失","√")))))))))))))</f>
        <v/>
      </c>
      <c r="N417" s="48" t="str">
        <f aca="false">IF($B417="","",IF($D417="收入",N($K417),N($L417)))</f>
        <v/>
      </c>
      <c r="O417" s="49" t="str">
        <f aca="false">IF($B417="","",IF($D417="收入",$T417,IF($D417="转账",$U417,$S417)))</f>
        <v/>
      </c>
      <c r="P417" s="49" t="str">
        <f aca="false">IF($B417="","",IF($D417="收入",$S417,$T417))</f>
        <v/>
      </c>
      <c r="Q417" s="50" t="str">
        <f aca="false">IF($E417="","",IF($D417="转账","—",IFERROR(INDEX(科目参数!$P$6:$P$85,MATCH($E417,科目参数!$M$6:$M$85,0)),"")))</f>
        <v/>
      </c>
      <c r="R417" s="48" t="str">
        <f aca="false">IF($B417="","",SUMIFS(期初数据!$B$6:$B$35,期初数据!$A$6:$A$35,$F417)+SUMIFS($N$5:$N417,$F$5:$F417,$F417,$D$5:$D417,"收入")-SUMIFS($N$5:$N417,$F$5:$F417,$F417,$D$5:$D417,"支出")-SUMIFS($N$5:$N417,$F$5:$F417,$F417,$D$5:$D417,"转账")+SUMIFS($N$5:$N417,$G$5:$G417,$F417,$D$5:$D417,"转账"))</f>
        <v/>
      </c>
      <c r="S417" s="49" t="str">
        <f aca="false">IF($E417="","",IFERROR(INDEX(科目参数!$N$6:$N$85,MATCH($E417,科目参数!$M$6:$M$85,0)),""))</f>
        <v/>
      </c>
      <c r="T417" s="49" t="str">
        <f aca="false">IF($F417="","",IFERROR(INDEX(基础资料!$C$6:$C$35,MATCH($F417,基础资料!$A$6:$A$35,0)),""))</f>
        <v/>
      </c>
      <c r="U417" s="49" t="str">
        <f aca="false">IF($G417="","",IFERROR(INDEX(基础资料!$C$6:$C$35,MATCH($G417,基础资料!$A$6:$A$35,0)),""))</f>
        <v/>
      </c>
      <c r="V417" s="49" t="str">
        <f aca="false">IF(AND($G417=客户对账单!$B$3,$E417="客户回款",$B417&gt;=客户对账单!$E$3,$B417&lt;=客户对账单!$H$3),COUNTIFS($G$5:$G417,客户对账单!$B$3,$E$5:$E417,"客户回款",$B$5:$B417,"&gt;="&amp;客户对账单!$E$3,$B$5:$B417,"&lt;="&amp;客户对账单!$H$3),"")</f>
        <v/>
      </c>
      <c r="W417" s="49" t="str">
        <f aca="false">IF(AND($G417=供应商对账单!$B$3,$E417="供应商付款",$B417&gt;=供应商对账单!$E$3,$B417&lt;=供应商对账单!$H$3),COUNTIFS($G$5:$G417,供应商对账单!$B$3,$E$5:$E417,"供应商付款",$B$5:$B417,"&gt;="&amp;供应商对账单!$E$3,$B$5:$B417,"&lt;="&amp;供应商对账单!$H$3),"")</f>
        <v/>
      </c>
    </row>
    <row r="418" customFormat="false" ht="15.75" hidden="false" customHeight="true" outlineLevel="0" collapsed="false">
      <c r="A418" s="42" t="str">
        <f aca="false">IF($B418="","","ZJ"&amp;TEXT($B418,"yyyymm")&amp;"-"&amp;TEXT(ROW()-4,"000"))</f>
        <v/>
      </c>
      <c r="B418" s="41"/>
      <c r="C418" s="42" t="str">
        <f aca="false">IF($B418="","",TEXT($B418,"yyyy-mm"))</f>
        <v/>
      </c>
      <c r="D418" s="42" t="str">
        <f aca="false">IF($E418="","",IFERROR(INDEX(科目参数!$L$6:$L$85,MATCH($E418,科目参数!$M$6:$M$85,0)),"⚠"))</f>
        <v/>
      </c>
      <c r="E418" s="33"/>
      <c r="F418" s="33"/>
      <c r="G418" s="36"/>
      <c r="H418" s="33"/>
      <c r="I418" s="33"/>
      <c r="J418" s="36"/>
      <c r="K418" s="40"/>
      <c r="L418" s="40"/>
      <c r="M418" s="47" t="str">
        <f aca="false">IF($B418="","",IF(NOT(ISNUMBER($B418)),"日期不是日期格式",IF(YEAR($B418)&lt;&gt;首页!$B$3,"不在会计年度",IF($E418="","未选收支科目",IF($D418="⚠","收支科目不存在",IF($F418="","未选账户",IF($T418="","账户未设资金科目",IF(AND($D418="转账",$U418=""),"转入账户无效",IF(AND(N($K418)&gt;0,N($L418)&gt;0),"收支不能同时填",IF(AND($D418="收入",N($K418)&lt;=0),"收入金额须大于0",IF(AND($D418&lt;&gt;"收入",N($L418)&lt;=0),"支出金额须大于0",IF($O418="","借方科目缺失",IF($P418="","贷方科目缺失","√")))))))))))))</f>
        <v/>
      </c>
      <c r="N418" s="48" t="str">
        <f aca="false">IF($B418="","",IF($D418="收入",N($K418),N($L418)))</f>
        <v/>
      </c>
      <c r="O418" s="49" t="str">
        <f aca="false">IF($B418="","",IF($D418="收入",$T418,IF($D418="转账",$U418,$S418)))</f>
        <v/>
      </c>
      <c r="P418" s="49" t="str">
        <f aca="false">IF($B418="","",IF($D418="收入",$S418,$T418))</f>
        <v/>
      </c>
      <c r="Q418" s="50" t="str">
        <f aca="false">IF($E418="","",IF($D418="转账","—",IFERROR(INDEX(科目参数!$P$6:$P$85,MATCH($E418,科目参数!$M$6:$M$85,0)),"")))</f>
        <v/>
      </c>
      <c r="R418" s="48" t="str">
        <f aca="false">IF($B418="","",SUMIFS(期初数据!$B$6:$B$35,期初数据!$A$6:$A$35,$F418)+SUMIFS($N$5:$N418,$F$5:$F418,$F418,$D$5:$D418,"收入")-SUMIFS($N$5:$N418,$F$5:$F418,$F418,$D$5:$D418,"支出")-SUMIFS($N$5:$N418,$F$5:$F418,$F418,$D$5:$D418,"转账")+SUMIFS($N$5:$N418,$G$5:$G418,$F418,$D$5:$D418,"转账"))</f>
        <v/>
      </c>
      <c r="S418" s="49" t="str">
        <f aca="false">IF($E418="","",IFERROR(INDEX(科目参数!$N$6:$N$85,MATCH($E418,科目参数!$M$6:$M$85,0)),""))</f>
        <v/>
      </c>
      <c r="T418" s="49" t="str">
        <f aca="false">IF($F418="","",IFERROR(INDEX(基础资料!$C$6:$C$35,MATCH($F418,基础资料!$A$6:$A$35,0)),""))</f>
        <v/>
      </c>
      <c r="U418" s="49" t="str">
        <f aca="false">IF($G418="","",IFERROR(INDEX(基础资料!$C$6:$C$35,MATCH($G418,基础资料!$A$6:$A$35,0)),""))</f>
        <v/>
      </c>
      <c r="V418" s="49" t="str">
        <f aca="false">IF(AND($G418=客户对账单!$B$3,$E418="客户回款",$B418&gt;=客户对账单!$E$3,$B418&lt;=客户对账单!$H$3),COUNTIFS($G$5:$G418,客户对账单!$B$3,$E$5:$E418,"客户回款",$B$5:$B418,"&gt;="&amp;客户对账单!$E$3,$B$5:$B418,"&lt;="&amp;客户对账单!$H$3),"")</f>
        <v/>
      </c>
      <c r="W418" s="49" t="str">
        <f aca="false">IF(AND($G418=供应商对账单!$B$3,$E418="供应商付款",$B418&gt;=供应商对账单!$E$3,$B418&lt;=供应商对账单!$H$3),COUNTIFS($G$5:$G418,供应商对账单!$B$3,$E$5:$E418,"供应商付款",$B$5:$B418,"&gt;="&amp;供应商对账单!$E$3,$B$5:$B418,"&lt;="&amp;供应商对账单!$H$3),"")</f>
        <v/>
      </c>
    </row>
    <row r="419" customFormat="false" ht="15.75" hidden="false" customHeight="true" outlineLevel="0" collapsed="false">
      <c r="A419" s="42" t="str">
        <f aca="false">IF($B419="","","ZJ"&amp;TEXT($B419,"yyyymm")&amp;"-"&amp;TEXT(ROW()-4,"000"))</f>
        <v/>
      </c>
      <c r="B419" s="41"/>
      <c r="C419" s="42" t="str">
        <f aca="false">IF($B419="","",TEXT($B419,"yyyy-mm"))</f>
        <v/>
      </c>
      <c r="D419" s="42" t="str">
        <f aca="false">IF($E419="","",IFERROR(INDEX(科目参数!$L$6:$L$85,MATCH($E419,科目参数!$M$6:$M$85,0)),"⚠"))</f>
        <v/>
      </c>
      <c r="E419" s="33"/>
      <c r="F419" s="33"/>
      <c r="G419" s="36"/>
      <c r="H419" s="33"/>
      <c r="I419" s="33"/>
      <c r="J419" s="36"/>
      <c r="K419" s="40"/>
      <c r="L419" s="40"/>
      <c r="M419" s="47" t="str">
        <f aca="false">IF($B419="","",IF(NOT(ISNUMBER($B419)),"日期不是日期格式",IF(YEAR($B419)&lt;&gt;首页!$B$3,"不在会计年度",IF($E419="","未选收支科目",IF($D419="⚠","收支科目不存在",IF($F419="","未选账户",IF($T419="","账户未设资金科目",IF(AND($D419="转账",$U419=""),"转入账户无效",IF(AND(N($K419)&gt;0,N($L419)&gt;0),"收支不能同时填",IF(AND($D419="收入",N($K419)&lt;=0),"收入金额须大于0",IF(AND($D419&lt;&gt;"收入",N($L419)&lt;=0),"支出金额须大于0",IF($O419="","借方科目缺失",IF($P419="","贷方科目缺失","√")))))))))))))</f>
        <v/>
      </c>
      <c r="N419" s="48" t="str">
        <f aca="false">IF($B419="","",IF($D419="收入",N($K419),N($L419)))</f>
        <v/>
      </c>
      <c r="O419" s="49" t="str">
        <f aca="false">IF($B419="","",IF($D419="收入",$T419,IF($D419="转账",$U419,$S419)))</f>
        <v/>
      </c>
      <c r="P419" s="49" t="str">
        <f aca="false">IF($B419="","",IF($D419="收入",$S419,$T419))</f>
        <v/>
      </c>
      <c r="Q419" s="50" t="str">
        <f aca="false">IF($E419="","",IF($D419="转账","—",IFERROR(INDEX(科目参数!$P$6:$P$85,MATCH($E419,科目参数!$M$6:$M$85,0)),"")))</f>
        <v/>
      </c>
      <c r="R419" s="48" t="str">
        <f aca="false">IF($B419="","",SUMIFS(期初数据!$B$6:$B$35,期初数据!$A$6:$A$35,$F419)+SUMIFS($N$5:$N419,$F$5:$F419,$F419,$D$5:$D419,"收入")-SUMIFS($N$5:$N419,$F$5:$F419,$F419,$D$5:$D419,"支出")-SUMIFS($N$5:$N419,$F$5:$F419,$F419,$D$5:$D419,"转账")+SUMIFS($N$5:$N419,$G$5:$G419,$F419,$D$5:$D419,"转账"))</f>
        <v/>
      </c>
      <c r="S419" s="49" t="str">
        <f aca="false">IF($E419="","",IFERROR(INDEX(科目参数!$N$6:$N$85,MATCH($E419,科目参数!$M$6:$M$85,0)),""))</f>
        <v/>
      </c>
      <c r="T419" s="49" t="str">
        <f aca="false">IF($F419="","",IFERROR(INDEX(基础资料!$C$6:$C$35,MATCH($F419,基础资料!$A$6:$A$35,0)),""))</f>
        <v/>
      </c>
      <c r="U419" s="49" t="str">
        <f aca="false">IF($G419="","",IFERROR(INDEX(基础资料!$C$6:$C$35,MATCH($G419,基础资料!$A$6:$A$35,0)),""))</f>
        <v/>
      </c>
      <c r="V419" s="49" t="str">
        <f aca="false">IF(AND($G419=客户对账单!$B$3,$E419="客户回款",$B419&gt;=客户对账单!$E$3,$B419&lt;=客户对账单!$H$3),COUNTIFS($G$5:$G419,客户对账单!$B$3,$E$5:$E419,"客户回款",$B$5:$B419,"&gt;="&amp;客户对账单!$E$3,$B$5:$B419,"&lt;="&amp;客户对账单!$H$3),"")</f>
        <v/>
      </c>
      <c r="W419" s="49" t="str">
        <f aca="false">IF(AND($G419=供应商对账单!$B$3,$E419="供应商付款",$B419&gt;=供应商对账单!$E$3,$B419&lt;=供应商对账单!$H$3),COUNTIFS($G$5:$G419,供应商对账单!$B$3,$E$5:$E419,"供应商付款",$B$5:$B419,"&gt;="&amp;供应商对账单!$E$3,$B$5:$B419,"&lt;="&amp;供应商对账单!$H$3),"")</f>
        <v/>
      </c>
    </row>
    <row r="420" customFormat="false" ht="15.75" hidden="false" customHeight="true" outlineLevel="0" collapsed="false">
      <c r="A420" s="42" t="str">
        <f aca="false">IF($B420="","","ZJ"&amp;TEXT($B420,"yyyymm")&amp;"-"&amp;TEXT(ROW()-4,"000"))</f>
        <v/>
      </c>
      <c r="B420" s="41"/>
      <c r="C420" s="42" t="str">
        <f aca="false">IF($B420="","",TEXT($B420,"yyyy-mm"))</f>
        <v/>
      </c>
      <c r="D420" s="42" t="str">
        <f aca="false">IF($E420="","",IFERROR(INDEX(科目参数!$L$6:$L$85,MATCH($E420,科目参数!$M$6:$M$85,0)),"⚠"))</f>
        <v/>
      </c>
      <c r="E420" s="33"/>
      <c r="F420" s="33"/>
      <c r="G420" s="36"/>
      <c r="H420" s="33"/>
      <c r="I420" s="33"/>
      <c r="J420" s="36"/>
      <c r="K420" s="40"/>
      <c r="L420" s="40"/>
      <c r="M420" s="47" t="str">
        <f aca="false">IF($B420="","",IF(NOT(ISNUMBER($B420)),"日期不是日期格式",IF(YEAR($B420)&lt;&gt;首页!$B$3,"不在会计年度",IF($E420="","未选收支科目",IF($D420="⚠","收支科目不存在",IF($F420="","未选账户",IF($T420="","账户未设资金科目",IF(AND($D420="转账",$U420=""),"转入账户无效",IF(AND(N($K420)&gt;0,N($L420)&gt;0),"收支不能同时填",IF(AND($D420="收入",N($K420)&lt;=0),"收入金额须大于0",IF(AND($D420&lt;&gt;"收入",N($L420)&lt;=0),"支出金额须大于0",IF($O420="","借方科目缺失",IF($P420="","贷方科目缺失","√")))))))))))))</f>
        <v/>
      </c>
      <c r="N420" s="48" t="str">
        <f aca="false">IF($B420="","",IF($D420="收入",N($K420),N($L420)))</f>
        <v/>
      </c>
      <c r="O420" s="49" t="str">
        <f aca="false">IF($B420="","",IF($D420="收入",$T420,IF($D420="转账",$U420,$S420)))</f>
        <v/>
      </c>
      <c r="P420" s="49" t="str">
        <f aca="false">IF($B420="","",IF($D420="收入",$S420,$T420))</f>
        <v/>
      </c>
      <c r="Q420" s="50" t="str">
        <f aca="false">IF($E420="","",IF($D420="转账","—",IFERROR(INDEX(科目参数!$P$6:$P$85,MATCH($E420,科目参数!$M$6:$M$85,0)),"")))</f>
        <v/>
      </c>
      <c r="R420" s="48" t="str">
        <f aca="false">IF($B420="","",SUMIFS(期初数据!$B$6:$B$35,期初数据!$A$6:$A$35,$F420)+SUMIFS($N$5:$N420,$F$5:$F420,$F420,$D$5:$D420,"收入")-SUMIFS($N$5:$N420,$F$5:$F420,$F420,$D$5:$D420,"支出")-SUMIFS($N$5:$N420,$F$5:$F420,$F420,$D$5:$D420,"转账")+SUMIFS($N$5:$N420,$G$5:$G420,$F420,$D$5:$D420,"转账"))</f>
        <v/>
      </c>
      <c r="S420" s="49" t="str">
        <f aca="false">IF($E420="","",IFERROR(INDEX(科目参数!$N$6:$N$85,MATCH($E420,科目参数!$M$6:$M$85,0)),""))</f>
        <v/>
      </c>
      <c r="T420" s="49" t="str">
        <f aca="false">IF($F420="","",IFERROR(INDEX(基础资料!$C$6:$C$35,MATCH($F420,基础资料!$A$6:$A$35,0)),""))</f>
        <v/>
      </c>
      <c r="U420" s="49" t="str">
        <f aca="false">IF($G420="","",IFERROR(INDEX(基础资料!$C$6:$C$35,MATCH($G420,基础资料!$A$6:$A$35,0)),""))</f>
        <v/>
      </c>
      <c r="V420" s="49" t="str">
        <f aca="false">IF(AND($G420=客户对账单!$B$3,$E420="客户回款",$B420&gt;=客户对账单!$E$3,$B420&lt;=客户对账单!$H$3),COUNTIFS($G$5:$G420,客户对账单!$B$3,$E$5:$E420,"客户回款",$B$5:$B420,"&gt;="&amp;客户对账单!$E$3,$B$5:$B420,"&lt;="&amp;客户对账单!$H$3),"")</f>
        <v/>
      </c>
      <c r="W420" s="49" t="str">
        <f aca="false">IF(AND($G420=供应商对账单!$B$3,$E420="供应商付款",$B420&gt;=供应商对账单!$E$3,$B420&lt;=供应商对账单!$H$3),COUNTIFS($G$5:$G420,供应商对账单!$B$3,$E$5:$E420,"供应商付款",$B$5:$B420,"&gt;="&amp;供应商对账单!$E$3,$B$5:$B420,"&lt;="&amp;供应商对账单!$H$3),"")</f>
        <v/>
      </c>
    </row>
    <row r="421" customFormat="false" ht="15.75" hidden="false" customHeight="true" outlineLevel="0" collapsed="false">
      <c r="A421" s="42" t="str">
        <f aca="false">IF($B421="","","ZJ"&amp;TEXT($B421,"yyyymm")&amp;"-"&amp;TEXT(ROW()-4,"000"))</f>
        <v/>
      </c>
      <c r="B421" s="41"/>
      <c r="C421" s="42" t="str">
        <f aca="false">IF($B421="","",TEXT($B421,"yyyy-mm"))</f>
        <v/>
      </c>
      <c r="D421" s="42" t="str">
        <f aca="false">IF($E421="","",IFERROR(INDEX(科目参数!$L$6:$L$85,MATCH($E421,科目参数!$M$6:$M$85,0)),"⚠"))</f>
        <v/>
      </c>
      <c r="E421" s="33"/>
      <c r="F421" s="33"/>
      <c r="G421" s="36"/>
      <c r="H421" s="33"/>
      <c r="I421" s="33"/>
      <c r="J421" s="36"/>
      <c r="K421" s="40"/>
      <c r="L421" s="40"/>
      <c r="M421" s="47" t="str">
        <f aca="false">IF($B421="","",IF(NOT(ISNUMBER($B421)),"日期不是日期格式",IF(YEAR($B421)&lt;&gt;首页!$B$3,"不在会计年度",IF($E421="","未选收支科目",IF($D421="⚠","收支科目不存在",IF($F421="","未选账户",IF($T421="","账户未设资金科目",IF(AND($D421="转账",$U421=""),"转入账户无效",IF(AND(N($K421)&gt;0,N($L421)&gt;0),"收支不能同时填",IF(AND($D421="收入",N($K421)&lt;=0),"收入金额须大于0",IF(AND($D421&lt;&gt;"收入",N($L421)&lt;=0),"支出金额须大于0",IF($O421="","借方科目缺失",IF($P421="","贷方科目缺失","√")))))))))))))</f>
        <v/>
      </c>
      <c r="N421" s="48" t="str">
        <f aca="false">IF($B421="","",IF($D421="收入",N($K421),N($L421)))</f>
        <v/>
      </c>
      <c r="O421" s="49" t="str">
        <f aca="false">IF($B421="","",IF($D421="收入",$T421,IF($D421="转账",$U421,$S421)))</f>
        <v/>
      </c>
      <c r="P421" s="49" t="str">
        <f aca="false">IF($B421="","",IF($D421="收入",$S421,$T421))</f>
        <v/>
      </c>
      <c r="Q421" s="50" t="str">
        <f aca="false">IF($E421="","",IF($D421="转账","—",IFERROR(INDEX(科目参数!$P$6:$P$85,MATCH($E421,科目参数!$M$6:$M$85,0)),"")))</f>
        <v/>
      </c>
      <c r="R421" s="48" t="str">
        <f aca="false">IF($B421="","",SUMIFS(期初数据!$B$6:$B$35,期初数据!$A$6:$A$35,$F421)+SUMIFS($N$5:$N421,$F$5:$F421,$F421,$D$5:$D421,"收入")-SUMIFS($N$5:$N421,$F$5:$F421,$F421,$D$5:$D421,"支出")-SUMIFS($N$5:$N421,$F$5:$F421,$F421,$D$5:$D421,"转账")+SUMIFS($N$5:$N421,$G$5:$G421,$F421,$D$5:$D421,"转账"))</f>
        <v/>
      </c>
      <c r="S421" s="49" t="str">
        <f aca="false">IF($E421="","",IFERROR(INDEX(科目参数!$N$6:$N$85,MATCH($E421,科目参数!$M$6:$M$85,0)),""))</f>
        <v/>
      </c>
      <c r="T421" s="49" t="str">
        <f aca="false">IF($F421="","",IFERROR(INDEX(基础资料!$C$6:$C$35,MATCH($F421,基础资料!$A$6:$A$35,0)),""))</f>
        <v/>
      </c>
      <c r="U421" s="49" t="str">
        <f aca="false">IF($G421="","",IFERROR(INDEX(基础资料!$C$6:$C$35,MATCH($G421,基础资料!$A$6:$A$35,0)),""))</f>
        <v/>
      </c>
      <c r="V421" s="49" t="str">
        <f aca="false">IF(AND($G421=客户对账单!$B$3,$E421="客户回款",$B421&gt;=客户对账单!$E$3,$B421&lt;=客户对账单!$H$3),COUNTIFS($G$5:$G421,客户对账单!$B$3,$E$5:$E421,"客户回款",$B$5:$B421,"&gt;="&amp;客户对账单!$E$3,$B$5:$B421,"&lt;="&amp;客户对账单!$H$3),"")</f>
        <v/>
      </c>
      <c r="W421" s="49" t="str">
        <f aca="false">IF(AND($G421=供应商对账单!$B$3,$E421="供应商付款",$B421&gt;=供应商对账单!$E$3,$B421&lt;=供应商对账单!$H$3),COUNTIFS($G$5:$G421,供应商对账单!$B$3,$E$5:$E421,"供应商付款",$B$5:$B421,"&gt;="&amp;供应商对账单!$E$3,$B$5:$B421,"&lt;="&amp;供应商对账单!$H$3),"")</f>
        <v/>
      </c>
    </row>
    <row r="422" customFormat="false" ht="15.75" hidden="false" customHeight="true" outlineLevel="0" collapsed="false">
      <c r="A422" s="42" t="str">
        <f aca="false">IF($B422="","","ZJ"&amp;TEXT($B422,"yyyymm")&amp;"-"&amp;TEXT(ROW()-4,"000"))</f>
        <v/>
      </c>
      <c r="B422" s="41"/>
      <c r="C422" s="42" t="str">
        <f aca="false">IF($B422="","",TEXT($B422,"yyyy-mm"))</f>
        <v/>
      </c>
      <c r="D422" s="42" t="str">
        <f aca="false">IF($E422="","",IFERROR(INDEX(科目参数!$L$6:$L$85,MATCH($E422,科目参数!$M$6:$M$85,0)),"⚠"))</f>
        <v/>
      </c>
      <c r="E422" s="33"/>
      <c r="F422" s="33"/>
      <c r="G422" s="36"/>
      <c r="H422" s="33"/>
      <c r="I422" s="33"/>
      <c r="J422" s="36"/>
      <c r="K422" s="40"/>
      <c r="L422" s="40"/>
      <c r="M422" s="47" t="str">
        <f aca="false">IF($B422="","",IF(NOT(ISNUMBER($B422)),"日期不是日期格式",IF(YEAR($B422)&lt;&gt;首页!$B$3,"不在会计年度",IF($E422="","未选收支科目",IF($D422="⚠","收支科目不存在",IF($F422="","未选账户",IF($T422="","账户未设资金科目",IF(AND($D422="转账",$U422=""),"转入账户无效",IF(AND(N($K422)&gt;0,N($L422)&gt;0),"收支不能同时填",IF(AND($D422="收入",N($K422)&lt;=0),"收入金额须大于0",IF(AND($D422&lt;&gt;"收入",N($L422)&lt;=0),"支出金额须大于0",IF($O422="","借方科目缺失",IF($P422="","贷方科目缺失","√")))))))))))))</f>
        <v/>
      </c>
      <c r="N422" s="48" t="str">
        <f aca="false">IF($B422="","",IF($D422="收入",N($K422),N($L422)))</f>
        <v/>
      </c>
      <c r="O422" s="49" t="str">
        <f aca="false">IF($B422="","",IF($D422="收入",$T422,IF($D422="转账",$U422,$S422)))</f>
        <v/>
      </c>
      <c r="P422" s="49" t="str">
        <f aca="false">IF($B422="","",IF($D422="收入",$S422,$T422))</f>
        <v/>
      </c>
      <c r="Q422" s="50" t="str">
        <f aca="false">IF($E422="","",IF($D422="转账","—",IFERROR(INDEX(科目参数!$P$6:$P$85,MATCH($E422,科目参数!$M$6:$M$85,0)),"")))</f>
        <v/>
      </c>
      <c r="R422" s="48" t="str">
        <f aca="false">IF($B422="","",SUMIFS(期初数据!$B$6:$B$35,期初数据!$A$6:$A$35,$F422)+SUMIFS($N$5:$N422,$F$5:$F422,$F422,$D$5:$D422,"收入")-SUMIFS($N$5:$N422,$F$5:$F422,$F422,$D$5:$D422,"支出")-SUMIFS($N$5:$N422,$F$5:$F422,$F422,$D$5:$D422,"转账")+SUMIFS($N$5:$N422,$G$5:$G422,$F422,$D$5:$D422,"转账"))</f>
        <v/>
      </c>
      <c r="S422" s="49" t="str">
        <f aca="false">IF($E422="","",IFERROR(INDEX(科目参数!$N$6:$N$85,MATCH($E422,科目参数!$M$6:$M$85,0)),""))</f>
        <v/>
      </c>
      <c r="T422" s="49" t="str">
        <f aca="false">IF($F422="","",IFERROR(INDEX(基础资料!$C$6:$C$35,MATCH($F422,基础资料!$A$6:$A$35,0)),""))</f>
        <v/>
      </c>
      <c r="U422" s="49" t="str">
        <f aca="false">IF($G422="","",IFERROR(INDEX(基础资料!$C$6:$C$35,MATCH($G422,基础资料!$A$6:$A$35,0)),""))</f>
        <v/>
      </c>
      <c r="V422" s="49" t="str">
        <f aca="false">IF(AND($G422=客户对账单!$B$3,$E422="客户回款",$B422&gt;=客户对账单!$E$3,$B422&lt;=客户对账单!$H$3),COUNTIFS($G$5:$G422,客户对账单!$B$3,$E$5:$E422,"客户回款",$B$5:$B422,"&gt;="&amp;客户对账单!$E$3,$B$5:$B422,"&lt;="&amp;客户对账单!$H$3),"")</f>
        <v/>
      </c>
      <c r="W422" s="49" t="str">
        <f aca="false">IF(AND($G422=供应商对账单!$B$3,$E422="供应商付款",$B422&gt;=供应商对账单!$E$3,$B422&lt;=供应商对账单!$H$3),COUNTIFS($G$5:$G422,供应商对账单!$B$3,$E$5:$E422,"供应商付款",$B$5:$B422,"&gt;="&amp;供应商对账单!$E$3,$B$5:$B422,"&lt;="&amp;供应商对账单!$H$3),"")</f>
        <v/>
      </c>
    </row>
    <row r="423" customFormat="false" ht="15.75" hidden="false" customHeight="true" outlineLevel="0" collapsed="false">
      <c r="A423" s="42" t="str">
        <f aca="false">IF($B423="","","ZJ"&amp;TEXT($B423,"yyyymm")&amp;"-"&amp;TEXT(ROW()-4,"000"))</f>
        <v/>
      </c>
      <c r="B423" s="41"/>
      <c r="C423" s="42" t="str">
        <f aca="false">IF($B423="","",TEXT($B423,"yyyy-mm"))</f>
        <v/>
      </c>
      <c r="D423" s="42" t="str">
        <f aca="false">IF($E423="","",IFERROR(INDEX(科目参数!$L$6:$L$85,MATCH($E423,科目参数!$M$6:$M$85,0)),"⚠"))</f>
        <v/>
      </c>
      <c r="E423" s="33"/>
      <c r="F423" s="33"/>
      <c r="G423" s="36"/>
      <c r="H423" s="33"/>
      <c r="I423" s="33"/>
      <c r="J423" s="36"/>
      <c r="K423" s="40"/>
      <c r="L423" s="40"/>
      <c r="M423" s="47" t="str">
        <f aca="false">IF($B423="","",IF(NOT(ISNUMBER($B423)),"日期不是日期格式",IF(YEAR($B423)&lt;&gt;首页!$B$3,"不在会计年度",IF($E423="","未选收支科目",IF($D423="⚠","收支科目不存在",IF($F423="","未选账户",IF($T423="","账户未设资金科目",IF(AND($D423="转账",$U423=""),"转入账户无效",IF(AND(N($K423)&gt;0,N($L423)&gt;0),"收支不能同时填",IF(AND($D423="收入",N($K423)&lt;=0),"收入金额须大于0",IF(AND($D423&lt;&gt;"收入",N($L423)&lt;=0),"支出金额须大于0",IF($O423="","借方科目缺失",IF($P423="","贷方科目缺失","√")))))))))))))</f>
        <v/>
      </c>
      <c r="N423" s="48" t="str">
        <f aca="false">IF($B423="","",IF($D423="收入",N($K423),N($L423)))</f>
        <v/>
      </c>
      <c r="O423" s="49" t="str">
        <f aca="false">IF($B423="","",IF($D423="收入",$T423,IF($D423="转账",$U423,$S423)))</f>
        <v/>
      </c>
      <c r="P423" s="49" t="str">
        <f aca="false">IF($B423="","",IF($D423="收入",$S423,$T423))</f>
        <v/>
      </c>
      <c r="Q423" s="50" t="str">
        <f aca="false">IF($E423="","",IF($D423="转账","—",IFERROR(INDEX(科目参数!$P$6:$P$85,MATCH($E423,科目参数!$M$6:$M$85,0)),"")))</f>
        <v/>
      </c>
      <c r="R423" s="48" t="str">
        <f aca="false">IF($B423="","",SUMIFS(期初数据!$B$6:$B$35,期初数据!$A$6:$A$35,$F423)+SUMIFS($N$5:$N423,$F$5:$F423,$F423,$D$5:$D423,"收入")-SUMIFS($N$5:$N423,$F$5:$F423,$F423,$D$5:$D423,"支出")-SUMIFS($N$5:$N423,$F$5:$F423,$F423,$D$5:$D423,"转账")+SUMIFS($N$5:$N423,$G$5:$G423,$F423,$D$5:$D423,"转账"))</f>
        <v/>
      </c>
      <c r="S423" s="49" t="str">
        <f aca="false">IF($E423="","",IFERROR(INDEX(科目参数!$N$6:$N$85,MATCH($E423,科目参数!$M$6:$M$85,0)),""))</f>
        <v/>
      </c>
      <c r="T423" s="49" t="str">
        <f aca="false">IF($F423="","",IFERROR(INDEX(基础资料!$C$6:$C$35,MATCH($F423,基础资料!$A$6:$A$35,0)),""))</f>
        <v/>
      </c>
      <c r="U423" s="49" t="str">
        <f aca="false">IF($G423="","",IFERROR(INDEX(基础资料!$C$6:$C$35,MATCH($G423,基础资料!$A$6:$A$35,0)),""))</f>
        <v/>
      </c>
      <c r="V423" s="49" t="str">
        <f aca="false">IF(AND($G423=客户对账单!$B$3,$E423="客户回款",$B423&gt;=客户对账单!$E$3,$B423&lt;=客户对账单!$H$3),COUNTIFS($G$5:$G423,客户对账单!$B$3,$E$5:$E423,"客户回款",$B$5:$B423,"&gt;="&amp;客户对账单!$E$3,$B$5:$B423,"&lt;="&amp;客户对账单!$H$3),"")</f>
        <v/>
      </c>
      <c r="W423" s="49" t="str">
        <f aca="false">IF(AND($G423=供应商对账单!$B$3,$E423="供应商付款",$B423&gt;=供应商对账单!$E$3,$B423&lt;=供应商对账单!$H$3),COUNTIFS($G$5:$G423,供应商对账单!$B$3,$E$5:$E423,"供应商付款",$B$5:$B423,"&gt;="&amp;供应商对账单!$E$3,$B$5:$B423,"&lt;="&amp;供应商对账单!$H$3),"")</f>
        <v/>
      </c>
    </row>
    <row r="424" customFormat="false" ht="15.75" hidden="false" customHeight="true" outlineLevel="0" collapsed="false">
      <c r="A424" s="42" t="str">
        <f aca="false">IF($B424="","","ZJ"&amp;TEXT($B424,"yyyymm")&amp;"-"&amp;TEXT(ROW()-4,"000"))</f>
        <v/>
      </c>
      <c r="B424" s="41"/>
      <c r="C424" s="42" t="str">
        <f aca="false">IF($B424="","",TEXT($B424,"yyyy-mm"))</f>
        <v/>
      </c>
      <c r="D424" s="42" t="str">
        <f aca="false">IF($E424="","",IFERROR(INDEX(科目参数!$L$6:$L$85,MATCH($E424,科目参数!$M$6:$M$85,0)),"⚠"))</f>
        <v/>
      </c>
      <c r="E424" s="33"/>
      <c r="F424" s="33"/>
      <c r="G424" s="36"/>
      <c r="H424" s="33"/>
      <c r="I424" s="33"/>
      <c r="J424" s="36"/>
      <c r="K424" s="40"/>
      <c r="L424" s="40"/>
      <c r="M424" s="47" t="str">
        <f aca="false">IF($B424="","",IF(NOT(ISNUMBER($B424)),"日期不是日期格式",IF(YEAR($B424)&lt;&gt;首页!$B$3,"不在会计年度",IF($E424="","未选收支科目",IF($D424="⚠","收支科目不存在",IF($F424="","未选账户",IF($T424="","账户未设资金科目",IF(AND($D424="转账",$U424=""),"转入账户无效",IF(AND(N($K424)&gt;0,N($L424)&gt;0),"收支不能同时填",IF(AND($D424="收入",N($K424)&lt;=0),"收入金额须大于0",IF(AND($D424&lt;&gt;"收入",N($L424)&lt;=0),"支出金额须大于0",IF($O424="","借方科目缺失",IF($P424="","贷方科目缺失","√")))))))))))))</f>
        <v/>
      </c>
      <c r="N424" s="48" t="str">
        <f aca="false">IF($B424="","",IF($D424="收入",N($K424),N($L424)))</f>
        <v/>
      </c>
      <c r="O424" s="49" t="str">
        <f aca="false">IF($B424="","",IF($D424="收入",$T424,IF($D424="转账",$U424,$S424)))</f>
        <v/>
      </c>
      <c r="P424" s="49" t="str">
        <f aca="false">IF($B424="","",IF($D424="收入",$S424,$T424))</f>
        <v/>
      </c>
      <c r="Q424" s="50" t="str">
        <f aca="false">IF($E424="","",IF($D424="转账","—",IFERROR(INDEX(科目参数!$P$6:$P$85,MATCH($E424,科目参数!$M$6:$M$85,0)),"")))</f>
        <v/>
      </c>
      <c r="R424" s="48" t="str">
        <f aca="false">IF($B424="","",SUMIFS(期初数据!$B$6:$B$35,期初数据!$A$6:$A$35,$F424)+SUMIFS($N$5:$N424,$F$5:$F424,$F424,$D$5:$D424,"收入")-SUMIFS($N$5:$N424,$F$5:$F424,$F424,$D$5:$D424,"支出")-SUMIFS($N$5:$N424,$F$5:$F424,$F424,$D$5:$D424,"转账")+SUMIFS($N$5:$N424,$G$5:$G424,$F424,$D$5:$D424,"转账"))</f>
        <v/>
      </c>
      <c r="S424" s="49" t="str">
        <f aca="false">IF($E424="","",IFERROR(INDEX(科目参数!$N$6:$N$85,MATCH($E424,科目参数!$M$6:$M$85,0)),""))</f>
        <v/>
      </c>
      <c r="T424" s="49" t="str">
        <f aca="false">IF($F424="","",IFERROR(INDEX(基础资料!$C$6:$C$35,MATCH($F424,基础资料!$A$6:$A$35,0)),""))</f>
        <v/>
      </c>
      <c r="U424" s="49" t="str">
        <f aca="false">IF($G424="","",IFERROR(INDEX(基础资料!$C$6:$C$35,MATCH($G424,基础资料!$A$6:$A$35,0)),""))</f>
        <v/>
      </c>
      <c r="V424" s="49" t="str">
        <f aca="false">IF(AND($G424=客户对账单!$B$3,$E424="客户回款",$B424&gt;=客户对账单!$E$3,$B424&lt;=客户对账单!$H$3),COUNTIFS($G$5:$G424,客户对账单!$B$3,$E$5:$E424,"客户回款",$B$5:$B424,"&gt;="&amp;客户对账单!$E$3,$B$5:$B424,"&lt;="&amp;客户对账单!$H$3),"")</f>
        <v/>
      </c>
      <c r="W424" s="49" t="str">
        <f aca="false">IF(AND($G424=供应商对账单!$B$3,$E424="供应商付款",$B424&gt;=供应商对账单!$E$3,$B424&lt;=供应商对账单!$H$3),COUNTIFS($G$5:$G424,供应商对账单!$B$3,$E$5:$E424,"供应商付款",$B$5:$B424,"&gt;="&amp;供应商对账单!$E$3,$B$5:$B424,"&lt;="&amp;供应商对账单!$H$3),"")</f>
        <v/>
      </c>
    </row>
    <row r="425" customFormat="false" ht="15.75" hidden="false" customHeight="true" outlineLevel="0" collapsed="false">
      <c r="A425" s="42" t="str">
        <f aca="false">IF($B425="","","ZJ"&amp;TEXT($B425,"yyyymm")&amp;"-"&amp;TEXT(ROW()-4,"000"))</f>
        <v/>
      </c>
      <c r="B425" s="41"/>
      <c r="C425" s="42" t="str">
        <f aca="false">IF($B425="","",TEXT($B425,"yyyy-mm"))</f>
        <v/>
      </c>
      <c r="D425" s="42" t="str">
        <f aca="false">IF($E425="","",IFERROR(INDEX(科目参数!$L$6:$L$85,MATCH($E425,科目参数!$M$6:$M$85,0)),"⚠"))</f>
        <v/>
      </c>
      <c r="E425" s="33"/>
      <c r="F425" s="33"/>
      <c r="G425" s="36"/>
      <c r="H425" s="33"/>
      <c r="I425" s="33"/>
      <c r="J425" s="36"/>
      <c r="K425" s="40"/>
      <c r="L425" s="40"/>
      <c r="M425" s="47" t="str">
        <f aca="false">IF($B425="","",IF(NOT(ISNUMBER($B425)),"日期不是日期格式",IF(YEAR($B425)&lt;&gt;首页!$B$3,"不在会计年度",IF($E425="","未选收支科目",IF($D425="⚠","收支科目不存在",IF($F425="","未选账户",IF($T425="","账户未设资金科目",IF(AND($D425="转账",$U425=""),"转入账户无效",IF(AND(N($K425)&gt;0,N($L425)&gt;0),"收支不能同时填",IF(AND($D425="收入",N($K425)&lt;=0),"收入金额须大于0",IF(AND($D425&lt;&gt;"收入",N($L425)&lt;=0),"支出金额须大于0",IF($O425="","借方科目缺失",IF($P425="","贷方科目缺失","√")))))))))))))</f>
        <v/>
      </c>
      <c r="N425" s="48" t="str">
        <f aca="false">IF($B425="","",IF($D425="收入",N($K425),N($L425)))</f>
        <v/>
      </c>
      <c r="O425" s="49" t="str">
        <f aca="false">IF($B425="","",IF($D425="收入",$T425,IF($D425="转账",$U425,$S425)))</f>
        <v/>
      </c>
      <c r="P425" s="49" t="str">
        <f aca="false">IF($B425="","",IF($D425="收入",$S425,$T425))</f>
        <v/>
      </c>
      <c r="Q425" s="50" t="str">
        <f aca="false">IF($E425="","",IF($D425="转账","—",IFERROR(INDEX(科目参数!$P$6:$P$85,MATCH($E425,科目参数!$M$6:$M$85,0)),"")))</f>
        <v/>
      </c>
      <c r="R425" s="48" t="str">
        <f aca="false">IF($B425="","",SUMIFS(期初数据!$B$6:$B$35,期初数据!$A$6:$A$35,$F425)+SUMIFS($N$5:$N425,$F$5:$F425,$F425,$D$5:$D425,"收入")-SUMIFS($N$5:$N425,$F$5:$F425,$F425,$D$5:$D425,"支出")-SUMIFS($N$5:$N425,$F$5:$F425,$F425,$D$5:$D425,"转账")+SUMIFS($N$5:$N425,$G$5:$G425,$F425,$D$5:$D425,"转账"))</f>
        <v/>
      </c>
      <c r="S425" s="49" t="str">
        <f aca="false">IF($E425="","",IFERROR(INDEX(科目参数!$N$6:$N$85,MATCH($E425,科目参数!$M$6:$M$85,0)),""))</f>
        <v/>
      </c>
      <c r="T425" s="49" t="str">
        <f aca="false">IF($F425="","",IFERROR(INDEX(基础资料!$C$6:$C$35,MATCH($F425,基础资料!$A$6:$A$35,0)),""))</f>
        <v/>
      </c>
      <c r="U425" s="49" t="str">
        <f aca="false">IF($G425="","",IFERROR(INDEX(基础资料!$C$6:$C$35,MATCH($G425,基础资料!$A$6:$A$35,0)),""))</f>
        <v/>
      </c>
      <c r="V425" s="49" t="str">
        <f aca="false">IF(AND($G425=客户对账单!$B$3,$E425="客户回款",$B425&gt;=客户对账单!$E$3,$B425&lt;=客户对账单!$H$3),COUNTIFS($G$5:$G425,客户对账单!$B$3,$E$5:$E425,"客户回款",$B$5:$B425,"&gt;="&amp;客户对账单!$E$3,$B$5:$B425,"&lt;="&amp;客户对账单!$H$3),"")</f>
        <v/>
      </c>
      <c r="W425" s="49" t="str">
        <f aca="false">IF(AND($G425=供应商对账单!$B$3,$E425="供应商付款",$B425&gt;=供应商对账单!$E$3,$B425&lt;=供应商对账单!$H$3),COUNTIFS($G$5:$G425,供应商对账单!$B$3,$E$5:$E425,"供应商付款",$B$5:$B425,"&gt;="&amp;供应商对账单!$E$3,$B$5:$B425,"&lt;="&amp;供应商对账单!$H$3),"")</f>
        <v/>
      </c>
    </row>
    <row r="426" customFormat="false" ht="15.75" hidden="false" customHeight="true" outlineLevel="0" collapsed="false">
      <c r="A426" s="42" t="str">
        <f aca="false">IF($B426="","","ZJ"&amp;TEXT($B426,"yyyymm")&amp;"-"&amp;TEXT(ROW()-4,"000"))</f>
        <v/>
      </c>
      <c r="B426" s="41"/>
      <c r="C426" s="42" t="str">
        <f aca="false">IF($B426="","",TEXT($B426,"yyyy-mm"))</f>
        <v/>
      </c>
      <c r="D426" s="42" t="str">
        <f aca="false">IF($E426="","",IFERROR(INDEX(科目参数!$L$6:$L$85,MATCH($E426,科目参数!$M$6:$M$85,0)),"⚠"))</f>
        <v/>
      </c>
      <c r="E426" s="33"/>
      <c r="F426" s="33"/>
      <c r="G426" s="36"/>
      <c r="H426" s="33"/>
      <c r="I426" s="33"/>
      <c r="J426" s="36"/>
      <c r="K426" s="40"/>
      <c r="L426" s="40"/>
      <c r="M426" s="47" t="str">
        <f aca="false">IF($B426="","",IF(NOT(ISNUMBER($B426)),"日期不是日期格式",IF(YEAR($B426)&lt;&gt;首页!$B$3,"不在会计年度",IF($E426="","未选收支科目",IF($D426="⚠","收支科目不存在",IF($F426="","未选账户",IF($T426="","账户未设资金科目",IF(AND($D426="转账",$U426=""),"转入账户无效",IF(AND(N($K426)&gt;0,N($L426)&gt;0),"收支不能同时填",IF(AND($D426="收入",N($K426)&lt;=0),"收入金额须大于0",IF(AND($D426&lt;&gt;"收入",N($L426)&lt;=0),"支出金额须大于0",IF($O426="","借方科目缺失",IF($P426="","贷方科目缺失","√")))))))))))))</f>
        <v/>
      </c>
      <c r="N426" s="48" t="str">
        <f aca="false">IF($B426="","",IF($D426="收入",N($K426),N($L426)))</f>
        <v/>
      </c>
      <c r="O426" s="49" t="str">
        <f aca="false">IF($B426="","",IF($D426="收入",$T426,IF($D426="转账",$U426,$S426)))</f>
        <v/>
      </c>
      <c r="P426" s="49" t="str">
        <f aca="false">IF($B426="","",IF($D426="收入",$S426,$T426))</f>
        <v/>
      </c>
      <c r="Q426" s="50" t="str">
        <f aca="false">IF($E426="","",IF($D426="转账","—",IFERROR(INDEX(科目参数!$P$6:$P$85,MATCH($E426,科目参数!$M$6:$M$85,0)),"")))</f>
        <v/>
      </c>
      <c r="R426" s="48" t="str">
        <f aca="false">IF($B426="","",SUMIFS(期初数据!$B$6:$B$35,期初数据!$A$6:$A$35,$F426)+SUMIFS($N$5:$N426,$F$5:$F426,$F426,$D$5:$D426,"收入")-SUMIFS($N$5:$N426,$F$5:$F426,$F426,$D$5:$D426,"支出")-SUMIFS($N$5:$N426,$F$5:$F426,$F426,$D$5:$D426,"转账")+SUMIFS($N$5:$N426,$G$5:$G426,$F426,$D$5:$D426,"转账"))</f>
        <v/>
      </c>
      <c r="S426" s="49" t="str">
        <f aca="false">IF($E426="","",IFERROR(INDEX(科目参数!$N$6:$N$85,MATCH($E426,科目参数!$M$6:$M$85,0)),""))</f>
        <v/>
      </c>
      <c r="T426" s="49" t="str">
        <f aca="false">IF($F426="","",IFERROR(INDEX(基础资料!$C$6:$C$35,MATCH($F426,基础资料!$A$6:$A$35,0)),""))</f>
        <v/>
      </c>
      <c r="U426" s="49" t="str">
        <f aca="false">IF($G426="","",IFERROR(INDEX(基础资料!$C$6:$C$35,MATCH($G426,基础资料!$A$6:$A$35,0)),""))</f>
        <v/>
      </c>
      <c r="V426" s="49" t="str">
        <f aca="false">IF(AND($G426=客户对账单!$B$3,$E426="客户回款",$B426&gt;=客户对账单!$E$3,$B426&lt;=客户对账单!$H$3),COUNTIFS($G$5:$G426,客户对账单!$B$3,$E$5:$E426,"客户回款",$B$5:$B426,"&gt;="&amp;客户对账单!$E$3,$B$5:$B426,"&lt;="&amp;客户对账单!$H$3),"")</f>
        <v/>
      </c>
      <c r="W426" s="49" t="str">
        <f aca="false">IF(AND($G426=供应商对账单!$B$3,$E426="供应商付款",$B426&gt;=供应商对账单!$E$3,$B426&lt;=供应商对账单!$H$3),COUNTIFS($G$5:$G426,供应商对账单!$B$3,$E$5:$E426,"供应商付款",$B$5:$B426,"&gt;="&amp;供应商对账单!$E$3,$B$5:$B426,"&lt;="&amp;供应商对账单!$H$3),"")</f>
        <v/>
      </c>
    </row>
    <row r="427" customFormat="false" ht="15.75" hidden="false" customHeight="true" outlineLevel="0" collapsed="false">
      <c r="A427" s="42" t="str">
        <f aca="false">IF($B427="","","ZJ"&amp;TEXT($B427,"yyyymm")&amp;"-"&amp;TEXT(ROW()-4,"000"))</f>
        <v/>
      </c>
      <c r="B427" s="41"/>
      <c r="C427" s="42" t="str">
        <f aca="false">IF($B427="","",TEXT($B427,"yyyy-mm"))</f>
        <v/>
      </c>
      <c r="D427" s="42" t="str">
        <f aca="false">IF($E427="","",IFERROR(INDEX(科目参数!$L$6:$L$85,MATCH($E427,科目参数!$M$6:$M$85,0)),"⚠"))</f>
        <v/>
      </c>
      <c r="E427" s="33"/>
      <c r="F427" s="33"/>
      <c r="G427" s="36"/>
      <c r="H427" s="33"/>
      <c r="I427" s="33"/>
      <c r="J427" s="36"/>
      <c r="K427" s="40"/>
      <c r="L427" s="40"/>
      <c r="M427" s="47" t="str">
        <f aca="false">IF($B427="","",IF(NOT(ISNUMBER($B427)),"日期不是日期格式",IF(YEAR($B427)&lt;&gt;首页!$B$3,"不在会计年度",IF($E427="","未选收支科目",IF($D427="⚠","收支科目不存在",IF($F427="","未选账户",IF($T427="","账户未设资金科目",IF(AND($D427="转账",$U427=""),"转入账户无效",IF(AND(N($K427)&gt;0,N($L427)&gt;0),"收支不能同时填",IF(AND($D427="收入",N($K427)&lt;=0),"收入金额须大于0",IF(AND($D427&lt;&gt;"收入",N($L427)&lt;=0),"支出金额须大于0",IF($O427="","借方科目缺失",IF($P427="","贷方科目缺失","√")))))))))))))</f>
        <v/>
      </c>
      <c r="N427" s="48" t="str">
        <f aca="false">IF($B427="","",IF($D427="收入",N($K427),N($L427)))</f>
        <v/>
      </c>
      <c r="O427" s="49" t="str">
        <f aca="false">IF($B427="","",IF($D427="收入",$T427,IF($D427="转账",$U427,$S427)))</f>
        <v/>
      </c>
      <c r="P427" s="49" t="str">
        <f aca="false">IF($B427="","",IF($D427="收入",$S427,$T427))</f>
        <v/>
      </c>
      <c r="Q427" s="50" t="str">
        <f aca="false">IF($E427="","",IF($D427="转账","—",IFERROR(INDEX(科目参数!$P$6:$P$85,MATCH($E427,科目参数!$M$6:$M$85,0)),"")))</f>
        <v/>
      </c>
      <c r="R427" s="48" t="str">
        <f aca="false">IF($B427="","",SUMIFS(期初数据!$B$6:$B$35,期初数据!$A$6:$A$35,$F427)+SUMIFS($N$5:$N427,$F$5:$F427,$F427,$D$5:$D427,"收入")-SUMIFS($N$5:$N427,$F$5:$F427,$F427,$D$5:$D427,"支出")-SUMIFS($N$5:$N427,$F$5:$F427,$F427,$D$5:$D427,"转账")+SUMIFS($N$5:$N427,$G$5:$G427,$F427,$D$5:$D427,"转账"))</f>
        <v/>
      </c>
      <c r="S427" s="49" t="str">
        <f aca="false">IF($E427="","",IFERROR(INDEX(科目参数!$N$6:$N$85,MATCH($E427,科目参数!$M$6:$M$85,0)),""))</f>
        <v/>
      </c>
      <c r="T427" s="49" t="str">
        <f aca="false">IF($F427="","",IFERROR(INDEX(基础资料!$C$6:$C$35,MATCH($F427,基础资料!$A$6:$A$35,0)),""))</f>
        <v/>
      </c>
      <c r="U427" s="49" t="str">
        <f aca="false">IF($G427="","",IFERROR(INDEX(基础资料!$C$6:$C$35,MATCH($G427,基础资料!$A$6:$A$35,0)),""))</f>
        <v/>
      </c>
      <c r="V427" s="49" t="str">
        <f aca="false">IF(AND($G427=客户对账单!$B$3,$E427="客户回款",$B427&gt;=客户对账单!$E$3,$B427&lt;=客户对账单!$H$3),COUNTIFS($G$5:$G427,客户对账单!$B$3,$E$5:$E427,"客户回款",$B$5:$B427,"&gt;="&amp;客户对账单!$E$3,$B$5:$B427,"&lt;="&amp;客户对账单!$H$3),"")</f>
        <v/>
      </c>
      <c r="W427" s="49" t="str">
        <f aca="false">IF(AND($G427=供应商对账单!$B$3,$E427="供应商付款",$B427&gt;=供应商对账单!$E$3,$B427&lt;=供应商对账单!$H$3),COUNTIFS($G$5:$G427,供应商对账单!$B$3,$E$5:$E427,"供应商付款",$B$5:$B427,"&gt;="&amp;供应商对账单!$E$3,$B$5:$B427,"&lt;="&amp;供应商对账单!$H$3),"")</f>
        <v/>
      </c>
    </row>
    <row r="428" customFormat="false" ht="15.75" hidden="false" customHeight="true" outlineLevel="0" collapsed="false">
      <c r="A428" s="42" t="str">
        <f aca="false">IF($B428="","","ZJ"&amp;TEXT($B428,"yyyymm")&amp;"-"&amp;TEXT(ROW()-4,"000"))</f>
        <v/>
      </c>
      <c r="B428" s="41"/>
      <c r="C428" s="42" t="str">
        <f aca="false">IF($B428="","",TEXT($B428,"yyyy-mm"))</f>
        <v/>
      </c>
      <c r="D428" s="42" t="str">
        <f aca="false">IF($E428="","",IFERROR(INDEX(科目参数!$L$6:$L$85,MATCH($E428,科目参数!$M$6:$M$85,0)),"⚠"))</f>
        <v/>
      </c>
      <c r="E428" s="33"/>
      <c r="F428" s="33"/>
      <c r="G428" s="36"/>
      <c r="H428" s="33"/>
      <c r="I428" s="33"/>
      <c r="J428" s="36"/>
      <c r="K428" s="40"/>
      <c r="L428" s="40"/>
      <c r="M428" s="47" t="str">
        <f aca="false">IF($B428="","",IF(NOT(ISNUMBER($B428)),"日期不是日期格式",IF(YEAR($B428)&lt;&gt;首页!$B$3,"不在会计年度",IF($E428="","未选收支科目",IF($D428="⚠","收支科目不存在",IF($F428="","未选账户",IF($T428="","账户未设资金科目",IF(AND($D428="转账",$U428=""),"转入账户无效",IF(AND(N($K428)&gt;0,N($L428)&gt;0),"收支不能同时填",IF(AND($D428="收入",N($K428)&lt;=0),"收入金额须大于0",IF(AND($D428&lt;&gt;"收入",N($L428)&lt;=0),"支出金额须大于0",IF($O428="","借方科目缺失",IF($P428="","贷方科目缺失","√")))))))))))))</f>
        <v/>
      </c>
      <c r="N428" s="48" t="str">
        <f aca="false">IF($B428="","",IF($D428="收入",N($K428),N($L428)))</f>
        <v/>
      </c>
      <c r="O428" s="49" t="str">
        <f aca="false">IF($B428="","",IF($D428="收入",$T428,IF($D428="转账",$U428,$S428)))</f>
        <v/>
      </c>
      <c r="P428" s="49" t="str">
        <f aca="false">IF($B428="","",IF($D428="收入",$S428,$T428))</f>
        <v/>
      </c>
      <c r="Q428" s="50" t="str">
        <f aca="false">IF($E428="","",IF($D428="转账","—",IFERROR(INDEX(科目参数!$P$6:$P$85,MATCH($E428,科目参数!$M$6:$M$85,0)),"")))</f>
        <v/>
      </c>
      <c r="R428" s="48" t="str">
        <f aca="false">IF($B428="","",SUMIFS(期初数据!$B$6:$B$35,期初数据!$A$6:$A$35,$F428)+SUMIFS($N$5:$N428,$F$5:$F428,$F428,$D$5:$D428,"收入")-SUMIFS($N$5:$N428,$F$5:$F428,$F428,$D$5:$D428,"支出")-SUMIFS($N$5:$N428,$F$5:$F428,$F428,$D$5:$D428,"转账")+SUMIFS($N$5:$N428,$G$5:$G428,$F428,$D$5:$D428,"转账"))</f>
        <v/>
      </c>
      <c r="S428" s="49" t="str">
        <f aca="false">IF($E428="","",IFERROR(INDEX(科目参数!$N$6:$N$85,MATCH($E428,科目参数!$M$6:$M$85,0)),""))</f>
        <v/>
      </c>
      <c r="T428" s="49" t="str">
        <f aca="false">IF($F428="","",IFERROR(INDEX(基础资料!$C$6:$C$35,MATCH($F428,基础资料!$A$6:$A$35,0)),""))</f>
        <v/>
      </c>
      <c r="U428" s="49" t="str">
        <f aca="false">IF($G428="","",IFERROR(INDEX(基础资料!$C$6:$C$35,MATCH($G428,基础资料!$A$6:$A$35,0)),""))</f>
        <v/>
      </c>
      <c r="V428" s="49" t="str">
        <f aca="false">IF(AND($G428=客户对账单!$B$3,$E428="客户回款",$B428&gt;=客户对账单!$E$3,$B428&lt;=客户对账单!$H$3),COUNTIFS($G$5:$G428,客户对账单!$B$3,$E$5:$E428,"客户回款",$B$5:$B428,"&gt;="&amp;客户对账单!$E$3,$B$5:$B428,"&lt;="&amp;客户对账单!$H$3),"")</f>
        <v/>
      </c>
      <c r="W428" s="49" t="str">
        <f aca="false">IF(AND($G428=供应商对账单!$B$3,$E428="供应商付款",$B428&gt;=供应商对账单!$E$3,$B428&lt;=供应商对账单!$H$3),COUNTIFS($G$5:$G428,供应商对账单!$B$3,$E$5:$E428,"供应商付款",$B$5:$B428,"&gt;="&amp;供应商对账单!$E$3,$B$5:$B428,"&lt;="&amp;供应商对账单!$H$3),"")</f>
        <v/>
      </c>
    </row>
    <row r="429" customFormat="false" ht="15.75" hidden="false" customHeight="true" outlineLevel="0" collapsed="false">
      <c r="A429" s="42" t="str">
        <f aca="false">IF($B429="","","ZJ"&amp;TEXT($B429,"yyyymm")&amp;"-"&amp;TEXT(ROW()-4,"000"))</f>
        <v/>
      </c>
      <c r="B429" s="41"/>
      <c r="C429" s="42" t="str">
        <f aca="false">IF($B429="","",TEXT($B429,"yyyy-mm"))</f>
        <v/>
      </c>
      <c r="D429" s="42" t="str">
        <f aca="false">IF($E429="","",IFERROR(INDEX(科目参数!$L$6:$L$85,MATCH($E429,科目参数!$M$6:$M$85,0)),"⚠"))</f>
        <v/>
      </c>
      <c r="E429" s="33"/>
      <c r="F429" s="33"/>
      <c r="G429" s="36"/>
      <c r="H429" s="33"/>
      <c r="I429" s="33"/>
      <c r="J429" s="36"/>
      <c r="K429" s="40"/>
      <c r="L429" s="40"/>
      <c r="M429" s="47" t="str">
        <f aca="false">IF($B429="","",IF(NOT(ISNUMBER($B429)),"日期不是日期格式",IF(YEAR($B429)&lt;&gt;首页!$B$3,"不在会计年度",IF($E429="","未选收支科目",IF($D429="⚠","收支科目不存在",IF($F429="","未选账户",IF($T429="","账户未设资金科目",IF(AND($D429="转账",$U429=""),"转入账户无效",IF(AND(N($K429)&gt;0,N($L429)&gt;0),"收支不能同时填",IF(AND($D429="收入",N($K429)&lt;=0),"收入金额须大于0",IF(AND($D429&lt;&gt;"收入",N($L429)&lt;=0),"支出金额须大于0",IF($O429="","借方科目缺失",IF($P429="","贷方科目缺失","√")))))))))))))</f>
        <v/>
      </c>
      <c r="N429" s="48" t="str">
        <f aca="false">IF($B429="","",IF($D429="收入",N($K429),N($L429)))</f>
        <v/>
      </c>
      <c r="O429" s="49" t="str">
        <f aca="false">IF($B429="","",IF($D429="收入",$T429,IF($D429="转账",$U429,$S429)))</f>
        <v/>
      </c>
      <c r="P429" s="49" t="str">
        <f aca="false">IF($B429="","",IF($D429="收入",$S429,$T429))</f>
        <v/>
      </c>
      <c r="Q429" s="50" t="str">
        <f aca="false">IF($E429="","",IF($D429="转账","—",IFERROR(INDEX(科目参数!$P$6:$P$85,MATCH($E429,科目参数!$M$6:$M$85,0)),"")))</f>
        <v/>
      </c>
      <c r="R429" s="48" t="str">
        <f aca="false">IF($B429="","",SUMIFS(期初数据!$B$6:$B$35,期初数据!$A$6:$A$35,$F429)+SUMIFS($N$5:$N429,$F$5:$F429,$F429,$D$5:$D429,"收入")-SUMIFS($N$5:$N429,$F$5:$F429,$F429,$D$5:$D429,"支出")-SUMIFS($N$5:$N429,$F$5:$F429,$F429,$D$5:$D429,"转账")+SUMIFS($N$5:$N429,$G$5:$G429,$F429,$D$5:$D429,"转账"))</f>
        <v/>
      </c>
      <c r="S429" s="49" t="str">
        <f aca="false">IF($E429="","",IFERROR(INDEX(科目参数!$N$6:$N$85,MATCH($E429,科目参数!$M$6:$M$85,0)),""))</f>
        <v/>
      </c>
      <c r="T429" s="49" t="str">
        <f aca="false">IF($F429="","",IFERROR(INDEX(基础资料!$C$6:$C$35,MATCH($F429,基础资料!$A$6:$A$35,0)),""))</f>
        <v/>
      </c>
      <c r="U429" s="49" t="str">
        <f aca="false">IF($G429="","",IFERROR(INDEX(基础资料!$C$6:$C$35,MATCH($G429,基础资料!$A$6:$A$35,0)),""))</f>
        <v/>
      </c>
      <c r="V429" s="49" t="str">
        <f aca="false">IF(AND($G429=客户对账单!$B$3,$E429="客户回款",$B429&gt;=客户对账单!$E$3,$B429&lt;=客户对账单!$H$3),COUNTIFS($G$5:$G429,客户对账单!$B$3,$E$5:$E429,"客户回款",$B$5:$B429,"&gt;="&amp;客户对账单!$E$3,$B$5:$B429,"&lt;="&amp;客户对账单!$H$3),"")</f>
        <v/>
      </c>
      <c r="W429" s="49" t="str">
        <f aca="false">IF(AND($G429=供应商对账单!$B$3,$E429="供应商付款",$B429&gt;=供应商对账单!$E$3,$B429&lt;=供应商对账单!$H$3),COUNTIFS($G$5:$G429,供应商对账单!$B$3,$E$5:$E429,"供应商付款",$B$5:$B429,"&gt;="&amp;供应商对账单!$E$3,$B$5:$B429,"&lt;="&amp;供应商对账单!$H$3),"")</f>
        <v/>
      </c>
    </row>
    <row r="430" customFormat="false" ht="15.75" hidden="false" customHeight="true" outlineLevel="0" collapsed="false">
      <c r="A430" s="42" t="str">
        <f aca="false">IF($B430="","","ZJ"&amp;TEXT($B430,"yyyymm")&amp;"-"&amp;TEXT(ROW()-4,"000"))</f>
        <v/>
      </c>
      <c r="B430" s="41"/>
      <c r="C430" s="42" t="str">
        <f aca="false">IF($B430="","",TEXT($B430,"yyyy-mm"))</f>
        <v/>
      </c>
      <c r="D430" s="42" t="str">
        <f aca="false">IF($E430="","",IFERROR(INDEX(科目参数!$L$6:$L$85,MATCH($E430,科目参数!$M$6:$M$85,0)),"⚠"))</f>
        <v/>
      </c>
      <c r="E430" s="33"/>
      <c r="F430" s="33"/>
      <c r="G430" s="36"/>
      <c r="H430" s="33"/>
      <c r="I430" s="33"/>
      <c r="J430" s="36"/>
      <c r="K430" s="40"/>
      <c r="L430" s="40"/>
      <c r="M430" s="47" t="str">
        <f aca="false">IF($B430="","",IF(NOT(ISNUMBER($B430)),"日期不是日期格式",IF(YEAR($B430)&lt;&gt;首页!$B$3,"不在会计年度",IF($E430="","未选收支科目",IF($D430="⚠","收支科目不存在",IF($F430="","未选账户",IF($T430="","账户未设资金科目",IF(AND($D430="转账",$U430=""),"转入账户无效",IF(AND(N($K430)&gt;0,N($L430)&gt;0),"收支不能同时填",IF(AND($D430="收入",N($K430)&lt;=0),"收入金额须大于0",IF(AND($D430&lt;&gt;"收入",N($L430)&lt;=0),"支出金额须大于0",IF($O430="","借方科目缺失",IF($P430="","贷方科目缺失","√")))))))))))))</f>
        <v/>
      </c>
      <c r="N430" s="48" t="str">
        <f aca="false">IF($B430="","",IF($D430="收入",N($K430),N($L430)))</f>
        <v/>
      </c>
      <c r="O430" s="49" t="str">
        <f aca="false">IF($B430="","",IF($D430="收入",$T430,IF($D430="转账",$U430,$S430)))</f>
        <v/>
      </c>
      <c r="P430" s="49" t="str">
        <f aca="false">IF($B430="","",IF($D430="收入",$S430,$T430))</f>
        <v/>
      </c>
      <c r="Q430" s="50" t="str">
        <f aca="false">IF($E430="","",IF($D430="转账","—",IFERROR(INDEX(科目参数!$P$6:$P$85,MATCH($E430,科目参数!$M$6:$M$85,0)),"")))</f>
        <v/>
      </c>
      <c r="R430" s="48" t="str">
        <f aca="false">IF($B430="","",SUMIFS(期初数据!$B$6:$B$35,期初数据!$A$6:$A$35,$F430)+SUMIFS($N$5:$N430,$F$5:$F430,$F430,$D$5:$D430,"收入")-SUMIFS($N$5:$N430,$F$5:$F430,$F430,$D$5:$D430,"支出")-SUMIFS($N$5:$N430,$F$5:$F430,$F430,$D$5:$D430,"转账")+SUMIFS($N$5:$N430,$G$5:$G430,$F430,$D$5:$D430,"转账"))</f>
        <v/>
      </c>
      <c r="S430" s="49" t="str">
        <f aca="false">IF($E430="","",IFERROR(INDEX(科目参数!$N$6:$N$85,MATCH($E430,科目参数!$M$6:$M$85,0)),""))</f>
        <v/>
      </c>
      <c r="T430" s="49" t="str">
        <f aca="false">IF($F430="","",IFERROR(INDEX(基础资料!$C$6:$C$35,MATCH($F430,基础资料!$A$6:$A$35,0)),""))</f>
        <v/>
      </c>
      <c r="U430" s="49" t="str">
        <f aca="false">IF($G430="","",IFERROR(INDEX(基础资料!$C$6:$C$35,MATCH($G430,基础资料!$A$6:$A$35,0)),""))</f>
        <v/>
      </c>
      <c r="V430" s="49" t="str">
        <f aca="false">IF(AND($G430=客户对账单!$B$3,$E430="客户回款",$B430&gt;=客户对账单!$E$3,$B430&lt;=客户对账单!$H$3),COUNTIFS($G$5:$G430,客户对账单!$B$3,$E$5:$E430,"客户回款",$B$5:$B430,"&gt;="&amp;客户对账单!$E$3,$B$5:$B430,"&lt;="&amp;客户对账单!$H$3),"")</f>
        <v/>
      </c>
      <c r="W430" s="49" t="str">
        <f aca="false">IF(AND($G430=供应商对账单!$B$3,$E430="供应商付款",$B430&gt;=供应商对账单!$E$3,$B430&lt;=供应商对账单!$H$3),COUNTIFS($G$5:$G430,供应商对账单!$B$3,$E$5:$E430,"供应商付款",$B$5:$B430,"&gt;="&amp;供应商对账单!$E$3,$B$5:$B430,"&lt;="&amp;供应商对账单!$H$3),"")</f>
        <v/>
      </c>
    </row>
    <row r="431" customFormat="false" ht="15.75" hidden="false" customHeight="true" outlineLevel="0" collapsed="false">
      <c r="A431" s="42" t="str">
        <f aca="false">IF($B431="","","ZJ"&amp;TEXT($B431,"yyyymm")&amp;"-"&amp;TEXT(ROW()-4,"000"))</f>
        <v/>
      </c>
      <c r="B431" s="41"/>
      <c r="C431" s="42" t="str">
        <f aca="false">IF($B431="","",TEXT($B431,"yyyy-mm"))</f>
        <v/>
      </c>
      <c r="D431" s="42" t="str">
        <f aca="false">IF($E431="","",IFERROR(INDEX(科目参数!$L$6:$L$85,MATCH($E431,科目参数!$M$6:$M$85,0)),"⚠"))</f>
        <v/>
      </c>
      <c r="E431" s="33"/>
      <c r="F431" s="33"/>
      <c r="G431" s="36"/>
      <c r="H431" s="33"/>
      <c r="I431" s="33"/>
      <c r="J431" s="36"/>
      <c r="K431" s="40"/>
      <c r="L431" s="40"/>
      <c r="M431" s="47" t="str">
        <f aca="false">IF($B431="","",IF(NOT(ISNUMBER($B431)),"日期不是日期格式",IF(YEAR($B431)&lt;&gt;首页!$B$3,"不在会计年度",IF($E431="","未选收支科目",IF($D431="⚠","收支科目不存在",IF($F431="","未选账户",IF($T431="","账户未设资金科目",IF(AND($D431="转账",$U431=""),"转入账户无效",IF(AND(N($K431)&gt;0,N($L431)&gt;0),"收支不能同时填",IF(AND($D431="收入",N($K431)&lt;=0),"收入金额须大于0",IF(AND($D431&lt;&gt;"收入",N($L431)&lt;=0),"支出金额须大于0",IF($O431="","借方科目缺失",IF($P431="","贷方科目缺失","√")))))))))))))</f>
        <v/>
      </c>
      <c r="N431" s="48" t="str">
        <f aca="false">IF($B431="","",IF($D431="收入",N($K431),N($L431)))</f>
        <v/>
      </c>
      <c r="O431" s="49" t="str">
        <f aca="false">IF($B431="","",IF($D431="收入",$T431,IF($D431="转账",$U431,$S431)))</f>
        <v/>
      </c>
      <c r="P431" s="49" t="str">
        <f aca="false">IF($B431="","",IF($D431="收入",$S431,$T431))</f>
        <v/>
      </c>
      <c r="Q431" s="50" t="str">
        <f aca="false">IF($E431="","",IF($D431="转账","—",IFERROR(INDEX(科目参数!$P$6:$P$85,MATCH($E431,科目参数!$M$6:$M$85,0)),"")))</f>
        <v/>
      </c>
      <c r="R431" s="48" t="str">
        <f aca="false">IF($B431="","",SUMIFS(期初数据!$B$6:$B$35,期初数据!$A$6:$A$35,$F431)+SUMIFS($N$5:$N431,$F$5:$F431,$F431,$D$5:$D431,"收入")-SUMIFS($N$5:$N431,$F$5:$F431,$F431,$D$5:$D431,"支出")-SUMIFS($N$5:$N431,$F$5:$F431,$F431,$D$5:$D431,"转账")+SUMIFS($N$5:$N431,$G$5:$G431,$F431,$D$5:$D431,"转账"))</f>
        <v/>
      </c>
      <c r="S431" s="49" t="str">
        <f aca="false">IF($E431="","",IFERROR(INDEX(科目参数!$N$6:$N$85,MATCH($E431,科目参数!$M$6:$M$85,0)),""))</f>
        <v/>
      </c>
      <c r="T431" s="49" t="str">
        <f aca="false">IF($F431="","",IFERROR(INDEX(基础资料!$C$6:$C$35,MATCH($F431,基础资料!$A$6:$A$35,0)),""))</f>
        <v/>
      </c>
      <c r="U431" s="49" t="str">
        <f aca="false">IF($G431="","",IFERROR(INDEX(基础资料!$C$6:$C$35,MATCH($G431,基础资料!$A$6:$A$35,0)),""))</f>
        <v/>
      </c>
      <c r="V431" s="49" t="str">
        <f aca="false">IF(AND($G431=客户对账单!$B$3,$E431="客户回款",$B431&gt;=客户对账单!$E$3,$B431&lt;=客户对账单!$H$3),COUNTIFS($G$5:$G431,客户对账单!$B$3,$E$5:$E431,"客户回款",$B$5:$B431,"&gt;="&amp;客户对账单!$E$3,$B$5:$B431,"&lt;="&amp;客户对账单!$H$3),"")</f>
        <v/>
      </c>
      <c r="W431" s="49" t="str">
        <f aca="false">IF(AND($G431=供应商对账单!$B$3,$E431="供应商付款",$B431&gt;=供应商对账单!$E$3,$B431&lt;=供应商对账单!$H$3),COUNTIFS($G$5:$G431,供应商对账单!$B$3,$E$5:$E431,"供应商付款",$B$5:$B431,"&gt;="&amp;供应商对账单!$E$3,$B$5:$B431,"&lt;="&amp;供应商对账单!$H$3),"")</f>
        <v/>
      </c>
    </row>
    <row r="432" customFormat="false" ht="15.75" hidden="false" customHeight="true" outlineLevel="0" collapsed="false">
      <c r="A432" s="42" t="str">
        <f aca="false">IF($B432="","","ZJ"&amp;TEXT($B432,"yyyymm")&amp;"-"&amp;TEXT(ROW()-4,"000"))</f>
        <v/>
      </c>
      <c r="B432" s="41"/>
      <c r="C432" s="42" t="str">
        <f aca="false">IF($B432="","",TEXT($B432,"yyyy-mm"))</f>
        <v/>
      </c>
      <c r="D432" s="42" t="str">
        <f aca="false">IF($E432="","",IFERROR(INDEX(科目参数!$L$6:$L$85,MATCH($E432,科目参数!$M$6:$M$85,0)),"⚠"))</f>
        <v/>
      </c>
      <c r="E432" s="33"/>
      <c r="F432" s="33"/>
      <c r="G432" s="36"/>
      <c r="H432" s="33"/>
      <c r="I432" s="33"/>
      <c r="J432" s="36"/>
      <c r="K432" s="40"/>
      <c r="L432" s="40"/>
      <c r="M432" s="47" t="str">
        <f aca="false">IF($B432="","",IF(NOT(ISNUMBER($B432)),"日期不是日期格式",IF(YEAR($B432)&lt;&gt;首页!$B$3,"不在会计年度",IF($E432="","未选收支科目",IF($D432="⚠","收支科目不存在",IF($F432="","未选账户",IF($T432="","账户未设资金科目",IF(AND($D432="转账",$U432=""),"转入账户无效",IF(AND(N($K432)&gt;0,N($L432)&gt;0),"收支不能同时填",IF(AND($D432="收入",N($K432)&lt;=0),"收入金额须大于0",IF(AND($D432&lt;&gt;"收入",N($L432)&lt;=0),"支出金额须大于0",IF($O432="","借方科目缺失",IF($P432="","贷方科目缺失","√")))))))))))))</f>
        <v/>
      </c>
      <c r="N432" s="48" t="str">
        <f aca="false">IF($B432="","",IF($D432="收入",N($K432),N($L432)))</f>
        <v/>
      </c>
      <c r="O432" s="49" t="str">
        <f aca="false">IF($B432="","",IF($D432="收入",$T432,IF($D432="转账",$U432,$S432)))</f>
        <v/>
      </c>
      <c r="P432" s="49" t="str">
        <f aca="false">IF($B432="","",IF($D432="收入",$S432,$T432))</f>
        <v/>
      </c>
      <c r="Q432" s="50" t="str">
        <f aca="false">IF($E432="","",IF($D432="转账","—",IFERROR(INDEX(科目参数!$P$6:$P$85,MATCH($E432,科目参数!$M$6:$M$85,0)),"")))</f>
        <v/>
      </c>
      <c r="R432" s="48" t="str">
        <f aca="false">IF($B432="","",SUMIFS(期初数据!$B$6:$B$35,期初数据!$A$6:$A$35,$F432)+SUMIFS($N$5:$N432,$F$5:$F432,$F432,$D$5:$D432,"收入")-SUMIFS($N$5:$N432,$F$5:$F432,$F432,$D$5:$D432,"支出")-SUMIFS($N$5:$N432,$F$5:$F432,$F432,$D$5:$D432,"转账")+SUMIFS($N$5:$N432,$G$5:$G432,$F432,$D$5:$D432,"转账"))</f>
        <v/>
      </c>
      <c r="S432" s="49" t="str">
        <f aca="false">IF($E432="","",IFERROR(INDEX(科目参数!$N$6:$N$85,MATCH($E432,科目参数!$M$6:$M$85,0)),""))</f>
        <v/>
      </c>
      <c r="T432" s="49" t="str">
        <f aca="false">IF($F432="","",IFERROR(INDEX(基础资料!$C$6:$C$35,MATCH($F432,基础资料!$A$6:$A$35,0)),""))</f>
        <v/>
      </c>
      <c r="U432" s="49" t="str">
        <f aca="false">IF($G432="","",IFERROR(INDEX(基础资料!$C$6:$C$35,MATCH($G432,基础资料!$A$6:$A$35,0)),""))</f>
        <v/>
      </c>
      <c r="V432" s="49" t="str">
        <f aca="false">IF(AND($G432=客户对账单!$B$3,$E432="客户回款",$B432&gt;=客户对账单!$E$3,$B432&lt;=客户对账单!$H$3),COUNTIFS($G$5:$G432,客户对账单!$B$3,$E$5:$E432,"客户回款",$B$5:$B432,"&gt;="&amp;客户对账单!$E$3,$B$5:$B432,"&lt;="&amp;客户对账单!$H$3),"")</f>
        <v/>
      </c>
      <c r="W432" s="49" t="str">
        <f aca="false">IF(AND($G432=供应商对账单!$B$3,$E432="供应商付款",$B432&gt;=供应商对账单!$E$3,$B432&lt;=供应商对账单!$H$3),COUNTIFS($G$5:$G432,供应商对账单!$B$3,$E$5:$E432,"供应商付款",$B$5:$B432,"&gt;="&amp;供应商对账单!$E$3,$B$5:$B432,"&lt;="&amp;供应商对账单!$H$3),"")</f>
        <v/>
      </c>
    </row>
    <row r="433" customFormat="false" ht="15.75" hidden="false" customHeight="true" outlineLevel="0" collapsed="false">
      <c r="A433" s="42" t="str">
        <f aca="false">IF($B433="","","ZJ"&amp;TEXT($B433,"yyyymm")&amp;"-"&amp;TEXT(ROW()-4,"000"))</f>
        <v/>
      </c>
      <c r="B433" s="41"/>
      <c r="C433" s="42" t="str">
        <f aca="false">IF($B433="","",TEXT($B433,"yyyy-mm"))</f>
        <v/>
      </c>
      <c r="D433" s="42" t="str">
        <f aca="false">IF($E433="","",IFERROR(INDEX(科目参数!$L$6:$L$85,MATCH($E433,科目参数!$M$6:$M$85,0)),"⚠"))</f>
        <v/>
      </c>
      <c r="E433" s="33"/>
      <c r="F433" s="33"/>
      <c r="G433" s="36"/>
      <c r="H433" s="33"/>
      <c r="I433" s="33"/>
      <c r="J433" s="36"/>
      <c r="K433" s="40"/>
      <c r="L433" s="40"/>
      <c r="M433" s="47" t="str">
        <f aca="false">IF($B433="","",IF(NOT(ISNUMBER($B433)),"日期不是日期格式",IF(YEAR($B433)&lt;&gt;首页!$B$3,"不在会计年度",IF($E433="","未选收支科目",IF($D433="⚠","收支科目不存在",IF($F433="","未选账户",IF($T433="","账户未设资金科目",IF(AND($D433="转账",$U433=""),"转入账户无效",IF(AND(N($K433)&gt;0,N($L433)&gt;0),"收支不能同时填",IF(AND($D433="收入",N($K433)&lt;=0),"收入金额须大于0",IF(AND($D433&lt;&gt;"收入",N($L433)&lt;=0),"支出金额须大于0",IF($O433="","借方科目缺失",IF($P433="","贷方科目缺失","√")))))))))))))</f>
        <v/>
      </c>
      <c r="N433" s="48" t="str">
        <f aca="false">IF($B433="","",IF($D433="收入",N($K433),N($L433)))</f>
        <v/>
      </c>
      <c r="O433" s="49" t="str">
        <f aca="false">IF($B433="","",IF($D433="收入",$T433,IF($D433="转账",$U433,$S433)))</f>
        <v/>
      </c>
      <c r="P433" s="49" t="str">
        <f aca="false">IF($B433="","",IF($D433="收入",$S433,$T433))</f>
        <v/>
      </c>
      <c r="Q433" s="50" t="str">
        <f aca="false">IF($E433="","",IF($D433="转账","—",IFERROR(INDEX(科目参数!$P$6:$P$85,MATCH($E433,科目参数!$M$6:$M$85,0)),"")))</f>
        <v/>
      </c>
      <c r="R433" s="48" t="str">
        <f aca="false">IF($B433="","",SUMIFS(期初数据!$B$6:$B$35,期初数据!$A$6:$A$35,$F433)+SUMIFS($N$5:$N433,$F$5:$F433,$F433,$D$5:$D433,"收入")-SUMIFS($N$5:$N433,$F$5:$F433,$F433,$D$5:$D433,"支出")-SUMIFS($N$5:$N433,$F$5:$F433,$F433,$D$5:$D433,"转账")+SUMIFS($N$5:$N433,$G$5:$G433,$F433,$D$5:$D433,"转账"))</f>
        <v/>
      </c>
      <c r="S433" s="49" t="str">
        <f aca="false">IF($E433="","",IFERROR(INDEX(科目参数!$N$6:$N$85,MATCH($E433,科目参数!$M$6:$M$85,0)),""))</f>
        <v/>
      </c>
      <c r="T433" s="49" t="str">
        <f aca="false">IF($F433="","",IFERROR(INDEX(基础资料!$C$6:$C$35,MATCH($F433,基础资料!$A$6:$A$35,0)),""))</f>
        <v/>
      </c>
      <c r="U433" s="49" t="str">
        <f aca="false">IF($G433="","",IFERROR(INDEX(基础资料!$C$6:$C$35,MATCH($G433,基础资料!$A$6:$A$35,0)),""))</f>
        <v/>
      </c>
      <c r="V433" s="49" t="str">
        <f aca="false">IF(AND($G433=客户对账单!$B$3,$E433="客户回款",$B433&gt;=客户对账单!$E$3,$B433&lt;=客户对账单!$H$3),COUNTIFS($G$5:$G433,客户对账单!$B$3,$E$5:$E433,"客户回款",$B$5:$B433,"&gt;="&amp;客户对账单!$E$3,$B$5:$B433,"&lt;="&amp;客户对账单!$H$3),"")</f>
        <v/>
      </c>
      <c r="W433" s="49" t="str">
        <f aca="false">IF(AND($G433=供应商对账单!$B$3,$E433="供应商付款",$B433&gt;=供应商对账单!$E$3,$B433&lt;=供应商对账单!$H$3),COUNTIFS($G$5:$G433,供应商对账单!$B$3,$E$5:$E433,"供应商付款",$B$5:$B433,"&gt;="&amp;供应商对账单!$E$3,$B$5:$B433,"&lt;="&amp;供应商对账单!$H$3),"")</f>
        <v/>
      </c>
    </row>
    <row r="434" customFormat="false" ht="15.75" hidden="false" customHeight="true" outlineLevel="0" collapsed="false">
      <c r="A434" s="42" t="str">
        <f aca="false">IF($B434="","","ZJ"&amp;TEXT($B434,"yyyymm")&amp;"-"&amp;TEXT(ROW()-4,"000"))</f>
        <v/>
      </c>
      <c r="B434" s="41"/>
      <c r="C434" s="42" t="str">
        <f aca="false">IF($B434="","",TEXT($B434,"yyyy-mm"))</f>
        <v/>
      </c>
      <c r="D434" s="42" t="str">
        <f aca="false">IF($E434="","",IFERROR(INDEX(科目参数!$L$6:$L$85,MATCH($E434,科目参数!$M$6:$M$85,0)),"⚠"))</f>
        <v/>
      </c>
      <c r="E434" s="33"/>
      <c r="F434" s="33"/>
      <c r="G434" s="36"/>
      <c r="H434" s="33"/>
      <c r="I434" s="33"/>
      <c r="J434" s="36"/>
      <c r="K434" s="40"/>
      <c r="L434" s="40"/>
      <c r="M434" s="47" t="str">
        <f aca="false">IF($B434="","",IF(NOT(ISNUMBER($B434)),"日期不是日期格式",IF(YEAR($B434)&lt;&gt;首页!$B$3,"不在会计年度",IF($E434="","未选收支科目",IF($D434="⚠","收支科目不存在",IF($F434="","未选账户",IF($T434="","账户未设资金科目",IF(AND($D434="转账",$U434=""),"转入账户无效",IF(AND(N($K434)&gt;0,N($L434)&gt;0),"收支不能同时填",IF(AND($D434="收入",N($K434)&lt;=0),"收入金额须大于0",IF(AND($D434&lt;&gt;"收入",N($L434)&lt;=0),"支出金额须大于0",IF($O434="","借方科目缺失",IF($P434="","贷方科目缺失","√")))))))))))))</f>
        <v/>
      </c>
      <c r="N434" s="48" t="str">
        <f aca="false">IF($B434="","",IF($D434="收入",N($K434),N($L434)))</f>
        <v/>
      </c>
      <c r="O434" s="49" t="str">
        <f aca="false">IF($B434="","",IF($D434="收入",$T434,IF($D434="转账",$U434,$S434)))</f>
        <v/>
      </c>
      <c r="P434" s="49" t="str">
        <f aca="false">IF($B434="","",IF($D434="收入",$S434,$T434))</f>
        <v/>
      </c>
      <c r="Q434" s="50" t="str">
        <f aca="false">IF($E434="","",IF($D434="转账","—",IFERROR(INDEX(科目参数!$P$6:$P$85,MATCH($E434,科目参数!$M$6:$M$85,0)),"")))</f>
        <v/>
      </c>
      <c r="R434" s="48" t="str">
        <f aca="false">IF($B434="","",SUMIFS(期初数据!$B$6:$B$35,期初数据!$A$6:$A$35,$F434)+SUMIFS($N$5:$N434,$F$5:$F434,$F434,$D$5:$D434,"收入")-SUMIFS($N$5:$N434,$F$5:$F434,$F434,$D$5:$D434,"支出")-SUMIFS($N$5:$N434,$F$5:$F434,$F434,$D$5:$D434,"转账")+SUMIFS($N$5:$N434,$G$5:$G434,$F434,$D$5:$D434,"转账"))</f>
        <v/>
      </c>
      <c r="S434" s="49" t="str">
        <f aca="false">IF($E434="","",IFERROR(INDEX(科目参数!$N$6:$N$85,MATCH($E434,科目参数!$M$6:$M$85,0)),""))</f>
        <v/>
      </c>
      <c r="T434" s="49" t="str">
        <f aca="false">IF($F434="","",IFERROR(INDEX(基础资料!$C$6:$C$35,MATCH($F434,基础资料!$A$6:$A$35,0)),""))</f>
        <v/>
      </c>
      <c r="U434" s="49" t="str">
        <f aca="false">IF($G434="","",IFERROR(INDEX(基础资料!$C$6:$C$35,MATCH($G434,基础资料!$A$6:$A$35,0)),""))</f>
        <v/>
      </c>
      <c r="V434" s="49" t="str">
        <f aca="false">IF(AND($G434=客户对账单!$B$3,$E434="客户回款",$B434&gt;=客户对账单!$E$3,$B434&lt;=客户对账单!$H$3),COUNTIFS($G$5:$G434,客户对账单!$B$3,$E$5:$E434,"客户回款",$B$5:$B434,"&gt;="&amp;客户对账单!$E$3,$B$5:$B434,"&lt;="&amp;客户对账单!$H$3),"")</f>
        <v/>
      </c>
      <c r="W434" s="49" t="str">
        <f aca="false">IF(AND($G434=供应商对账单!$B$3,$E434="供应商付款",$B434&gt;=供应商对账单!$E$3,$B434&lt;=供应商对账单!$H$3),COUNTIFS($G$5:$G434,供应商对账单!$B$3,$E$5:$E434,"供应商付款",$B$5:$B434,"&gt;="&amp;供应商对账单!$E$3,$B$5:$B434,"&lt;="&amp;供应商对账单!$H$3),"")</f>
        <v/>
      </c>
    </row>
    <row r="435" customFormat="false" ht="15.75" hidden="false" customHeight="true" outlineLevel="0" collapsed="false">
      <c r="A435" s="42" t="str">
        <f aca="false">IF($B435="","","ZJ"&amp;TEXT($B435,"yyyymm")&amp;"-"&amp;TEXT(ROW()-4,"000"))</f>
        <v/>
      </c>
      <c r="B435" s="41"/>
      <c r="C435" s="42" t="str">
        <f aca="false">IF($B435="","",TEXT($B435,"yyyy-mm"))</f>
        <v/>
      </c>
      <c r="D435" s="42" t="str">
        <f aca="false">IF($E435="","",IFERROR(INDEX(科目参数!$L$6:$L$85,MATCH($E435,科目参数!$M$6:$M$85,0)),"⚠"))</f>
        <v/>
      </c>
      <c r="E435" s="33"/>
      <c r="F435" s="33"/>
      <c r="G435" s="36"/>
      <c r="H435" s="33"/>
      <c r="I435" s="33"/>
      <c r="J435" s="36"/>
      <c r="K435" s="40"/>
      <c r="L435" s="40"/>
      <c r="M435" s="47" t="str">
        <f aca="false">IF($B435="","",IF(NOT(ISNUMBER($B435)),"日期不是日期格式",IF(YEAR($B435)&lt;&gt;首页!$B$3,"不在会计年度",IF($E435="","未选收支科目",IF($D435="⚠","收支科目不存在",IF($F435="","未选账户",IF($T435="","账户未设资金科目",IF(AND($D435="转账",$U435=""),"转入账户无效",IF(AND(N($K435)&gt;0,N($L435)&gt;0),"收支不能同时填",IF(AND($D435="收入",N($K435)&lt;=0),"收入金额须大于0",IF(AND($D435&lt;&gt;"收入",N($L435)&lt;=0),"支出金额须大于0",IF($O435="","借方科目缺失",IF($P435="","贷方科目缺失","√")))))))))))))</f>
        <v/>
      </c>
      <c r="N435" s="48" t="str">
        <f aca="false">IF($B435="","",IF($D435="收入",N($K435),N($L435)))</f>
        <v/>
      </c>
      <c r="O435" s="49" t="str">
        <f aca="false">IF($B435="","",IF($D435="收入",$T435,IF($D435="转账",$U435,$S435)))</f>
        <v/>
      </c>
      <c r="P435" s="49" t="str">
        <f aca="false">IF($B435="","",IF($D435="收入",$S435,$T435))</f>
        <v/>
      </c>
      <c r="Q435" s="50" t="str">
        <f aca="false">IF($E435="","",IF($D435="转账","—",IFERROR(INDEX(科目参数!$P$6:$P$85,MATCH($E435,科目参数!$M$6:$M$85,0)),"")))</f>
        <v/>
      </c>
      <c r="R435" s="48" t="str">
        <f aca="false">IF($B435="","",SUMIFS(期初数据!$B$6:$B$35,期初数据!$A$6:$A$35,$F435)+SUMIFS($N$5:$N435,$F$5:$F435,$F435,$D$5:$D435,"收入")-SUMIFS($N$5:$N435,$F$5:$F435,$F435,$D$5:$D435,"支出")-SUMIFS($N$5:$N435,$F$5:$F435,$F435,$D$5:$D435,"转账")+SUMIFS($N$5:$N435,$G$5:$G435,$F435,$D$5:$D435,"转账"))</f>
        <v/>
      </c>
      <c r="S435" s="49" t="str">
        <f aca="false">IF($E435="","",IFERROR(INDEX(科目参数!$N$6:$N$85,MATCH($E435,科目参数!$M$6:$M$85,0)),""))</f>
        <v/>
      </c>
      <c r="T435" s="49" t="str">
        <f aca="false">IF($F435="","",IFERROR(INDEX(基础资料!$C$6:$C$35,MATCH($F435,基础资料!$A$6:$A$35,0)),""))</f>
        <v/>
      </c>
      <c r="U435" s="49" t="str">
        <f aca="false">IF($G435="","",IFERROR(INDEX(基础资料!$C$6:$C$35,MATCH($G435,基础资料!$A$6:$A$35,0)),""))</f>
        <v/>
      </c>
      <c r="V435" s="49" t="str">
        <f aca="false">IF(AND($G435=客户对账单!$B$3,$E435="客户回款",$B435&gt;=客户对账单!$E$3,$B435&lt;=客户对账单!$H$3),COUNTIFS($G$5:$G435,客户对账单!$B$3,$E$5:$E435,"客户回款",$B$5:$B435,"&gt;="&amp;客户对账单!$E$3,$B$5:$B435,"&lt;="&amp;客户对账单!$H$3),"")</f>
        <v/>
      </c>
      <c r="W435" s="49" t="str">
        <f aca="false">IF(AND($G435=供应商对账单!$B$3,$E435="供应商付款",$B435&gt;=供应商对账单!$E$3,$B435&lt;=供应商对账单!$H$3),COUNTIFS($G$5:$G435,供应商对账单!$B$3,$E$5:$E435,"供应商付款",$B$5:$B435,"&gt;="&amp;供应商对账单!$E$3,$B$5:$B435,"&lt;="&amp;供应商对账单!$H$3),"")</f>
        <v/>
      </c>
    </row>
    <row r="436" customFormat="false" ht="15.75" hidden="false" customHeight="true" outlineLevel="0" collapsed="false">
      <c r="A436" s="42" t="str">
        <f aca="false">IF($B436="","","ZJ"&amp;TEXT($B436,"yyyymm")&amp;"-"&amp;TEXT(ROW()-4,"000"))</f>
        <v/>
      </c>
      <c r="B436" s="41"/>
      <c r="C436" s="42" t="str">
        <f aca="false">IF($B436="","",TEXT($B436,"yyyy-mm"))</f>
        <v/>
      </c>
      <c r="D436" s="42" t="str">
        <f aca="false">IF($E436="","",IFERROR(INDEX(科目参数!$L$6:$L$85,MATCH($E436,科目参数!$M$6:$M$85,0)),"⚠"))</f>
        <v/>
      </c>
      <c r="E436" s="33"/>
      <c r="F436" s="33"/>
      <c r="G436" s="36"/>
      <c r="H436" s="33"/>
      <c r="I436" s="33"/>
      <c r="J436" s="36"/>
      <c r="K436" s="40"/>
      <c r="L436" s="40"/>
      <c r="M436" s="47" t="str">
        <f aca="false">IF($B436="","",IF(NOT(ISNUMBER($B436)),"日期不是日期格式",IF(YEAR($B436)&lt;&gt;首页!$B$3,"不在会计年度",IF($E436="","未选收支科目",IF($D436="⚠","收支科目不存在",IF($F436="","未选账户",IF($T436="","账户未设资金科目",IF(AND($D436="转账",$U436=""),"转入账户无效",IF(AND(N($K436)&gt;0,N($L436)&gt;0),"收支不能同时填",IF(AND($D436="收入",N($K436)&lt;=0),"收入金额须大于0",IF(AND($D436&lt;&gt;"收入",N($L436)&lt;=0),"支出金额须大于0",IF($O436="","借方科目缺失",IF($P436="","贷方科目缺失","√")))))))))))))</f>
        <v/>
      </c>
      <c r="N436" s="48" t="str">
        <f aca="false">IF($B436="","",IF($D436="收入",N($K436),N($L436)))</f>
        <v/>
      </c>
      <c r="O436" s="49" t="str">
        <f aca="false">IF($B436="","",IF($D436="收入",$T436,IF($D436="转账",$U436,$S436)))</f>
        <v/>
      </c>
      <c r="P436" s="49" t="str">
        <f aca="false">IF($B436="","",IF($D436="收入",$S436,$T436))</f>
        <v/>
      </c>
      <c r="Q436" s="50" t="str">
        <f aca="false">IF($E436="","",IF($D436="转账","—",IFERROR(INDEX(科目参数!$P$6:$P$85,MATCH($E436,科目参数!$M$6:$M$85,0)),"")))</f>
        <v/>
      </c>
      <c r="R436" s="48" t="str">
        <f aca="false">IF($B436="","",SUMIFS(期初数据!$B$6:$B$35,期初数据!$A$6:$A$35,$F436)+SUMIFS($N$5:$N436,$F$5:$F436,$F436,$D$5:$D436,"收入")-SUMIFS($N$5:$N436,$F$5:$F436,$F436,$D$5:$D436,"支出")-SUMIFS($N$5:$N436,$F$5:$F436,$F436,$D$5:$D436,"转账")+SUMIFS($N$5:$N436,$G$5:$G436,$F436,$D$5:$D436,"转账"))</f>
        <v/>
      </c>
      <c r="S436" s="49" t="str">
        <f aca="false">IF($E436="","",IFERROR(INDEX(科目参数!$N$6:$N$85,MATCH($E436,科目参数!$M$6:$M$85,0)),""))</f>
        <v/>
      </c>
      <c r="T436" s="49" t="str">
        <f aca="false">IF($F436="","",IFERROR(INDEX(基础资料!$C$6:$C$35,MATCH($F436,基础资料!$A$6:$A$35,0)),""))</f>
        <v/>
      </c>
      <c r="U436" s="49" t="str">
        <f aca="false">IF($G436="","",IFERROR(INDEX(基础资料!$C$6:$C$35,MATCH($G436,基础资料!$A$6:$A$35,0)),""))</f>
        <v/>
      </c>
      <c r="V436" s="49" t="str">
        <f aca="false">IF(AND($G436=客户对账单!$B$3,$E436="客户回款",$B436&gt;=客户对账单!$E$3,$B436&lt;=客户对账单!$H$3),COUNTIFS($G$5:$G436,客户对账单!$B$3,$E$5:$E436,"客户回款",$B$5:$B436,"&gt;="&amp;客户对账单!$E$3,$B$5:$B436,"&lt;="&amp;客户对账单!$H$3),"")</f>
        <v/>
      </c>
      <c r="W436" s="49" t="str">
        <f aca="false">IF(AND($G436=供应商对账单!$B$3,$E436="供应商付款",$B436&gt;=供应商对账单!$E$3,$B436&lt;=供应商对账单!$H$3),COUNTIFS($G$5:$G436,供应商对账单!$B$3,$E$5:$E436,"供应商付款",$B$5:$B436,"&gt;="&amp;供应商对账单!$E$3,$B$5:$B436,"&lt;="&amp;供应商对账单!$H$3),"")</f>
        <v/>
      </c>
    </row>
    <row r="437" customFormat="false" ht="15.75" hidden="false" customHeight="true" outlineLevel="0" collapsed="false">
      <c r="A437" s="42" t="str">
        <f aca="false">IF($B437="","","ZJ"&amp;TEXT($B437,"yyyymm")&amp;"-"&amp;TEXT(ROW()-4,"000"))</f>
        <v/>
      </c>
      <c r="B437" s="41"/>
      <c r="C437" s="42" t="str">
        <f aca="false">IF($B437="","",TEXT($B437,"yyyy-mm"))</f>
        <v/>
      </c>
      <c r="D437" s="42" t="str">
        <f aca="false">IF($E437="","",IFERROR(INDEX(科目参数!$L$6:$L$85,MATCH($E437,科目参数!$M$6:$M$85,0)),"⚠"))</f>
        <v/>
      </c>
      <c r="E437" s="33"/>
      <c r="F437" s="33"/>
      <c r="G437" s="36"/>
      <c r="H437" s="33"/>
      <c r="I437" s="33"/>
      <c r="J437" s="36"/>
      <c r="K437" s="40"/>
      <c r="L437" s="40"/>
      <c r="M437" s="47" t="str">
        <f aca="false">IF($B437="","",IF(NOT(ISNUMBER($B437)),"日期不是日期格式",IF(YEAR($B437)&lt;&gt;首页!$B$3,"不在会计年度",IF($E437="","未选收支科目",IF($D437="⚠","收支科目不存在",IF($F437="","未选账户",IF($T437="","账户未设资金科目",IF(AND($D437="转账",$U437=""),"转入账户无效",IF(AND(N($K437)&gt;0,N($L437)&gt;0),"收支不能同时填",IF(AND($D437="收入",N($K437)&lt;=0),"收入金额须大于0",IF(AND($D437&lt;&gt;"收入",N($L437)&lt;=0),"支出金额须大于0",IF($O437="","借方科目缺失",IF($P437="","贷方科目缺失","√")))))))))))))</f>
        <v/>
      </c>
      <c r="N437" s="48" t="str">
        <f aca="false">IF($B437="","",IF($D437="收入",N($K437),N($L437)))</f>
        <v/>
      </c>
      <c r="O437" s="49" t="str">
        <f aca="false">IF($B437="","",IF($D437="收入",$T437,IF($D437="转账",$U437,$S437)))</f>
        <v/>
      </c>
      <c r="P437" s="49" t="str">
        <f aca="false">IF($B437="","",IF($D437="收入",$S437,$T437))</f>
        <v/>
      </c>
      <c r="Q437" s="50" t="str">
        <f aca="false">IF($E437="","",IF($D437="转账","—",IFERROR(INDEX(科目参数!$P$6:$P$85,MATCH($E437,科目参数!$M$6:$M$85,0)),"")))</f>
        <v/>
      </c>
      <c r="R437" s="48" t="str">
        <f aca="false">IF($B437="","",SUMIFS(期初数据!$B$6:$B$35,期初数据!$A$6:$A$35,$F437)+SUMIFS($N$5:$N437,$F$5:$F437,$F437,$D$5:$D437,"收入")-SUMIFS($N$5:$N437,$F$5:$F437,$F437,$D$5:$D437,"支出")-SUMIFS($N$5:$N437,$F$5:$F437,$F437,$D$5:$D437,"转账")+SUMIFS($N$5:$N437,$G$5:$G437,$F437,$D$5:$D437,"转账"))</f>
        <v/>
      </c>
      <c r="S437" s="49" t="str">
        <f aca="false">IF($E437="","",IFERROR(INDEX(科目参数!$N$6:$N$85,MATCH($E437,科目参数!$M$6:$M$85,0)),""))</f>
        <v/>
      </c>
      <c r="T437" s="49" t="str">
        <f aca="false">IF($F437="","",IFERROR(INDEX(基础资料!$C$6:$C$35,MATCH($F437,基础资料!$A$6:$A$35,0)),""))</f>
        <v/>
      </c>
      <c r="U437" s="49" t="str">
        <f aca="false">IF($G437="","",IFERROR(INDEX(基础资料!$C$6:$C$35,MATCH($G437,基础资料!$A$6:$A$35,0)),""))</f>
        <v/>
      </c>
      <c r="V437" s="49" t="str">
        <f aca="false">IF(AND($G437=客户对账单!$B$3,$E437="客户回款",$B437&gt;=客户对账单!$E$3,$B437&lt;=客户对账单!$H$3),COUNTIFS($G$5:$G437,客户对账单!$B$3,$E$5:$E437,"客户回款",$B$5:$B437,"&gt;="&amp;客户对账单!$E$3,$B$5:$B437,"&lt;="&amp;客户对账单!$H$3),"")</f>
        <v/>
      </c>
      <c r="W437" s="49" t="str">
        <f aca="false">IF(AND($G437=供应商对账单!$B$3,$E437="供应商付款",$B437&gt;=供应商对账单!$E$3,$B437&lt;=供应商对账单!$H$3),COUNTIFS($G$5:$G437,供应商对账单!$B$3,$E$5:$E437,"供应商付款",$B$5:$B437,"&gt;="&amp;供应商对账单!$E$3,$B$5:$B437,"&lt;="&amp;供应商对账单!$H$3),"")</f>
        <v/>
      </c>
    </row>
    <row r="438" customFormat="false" ht="15.75" hidden="false" customHeight="true" outlineLevel="0" collapsed="false">
      <c r="A438" s="42" t="str">
        <f aca="false">IF($B438="","","ZJ"&amp;TEXT($B438,"yyyymm")&amp;"-"&amp;TEXT(ROW()-4,"000"))</f>
        <v/>
      </c>
      <c r="B438" s="41"/>
      <c r="C438" s="42" t="str">
        <f aca="false">IF($B438="","",TEXT($B438,"yyyy-mm"))</f>
        <v/>
      </c>
      <c r="D438" s="42" t="str">
        <f aca="false">IF($E438="","",IFERROR(INDEX(科目参数!$L$6:$L$85,MATCH($E438,科目参数!$M$6:$M$85,0)),"⚠"))</f>
        <v/>
      </c>
      <c r="E438" s="33"/>
      <c r="F438" s="33"/>
      <c r="G438" s="36"/>
      <c r="H438" s="33"/>
      <c r="I438" s="33"/>
      <c r="J438" s="36"/>
      <c r="K438" s="40"/>
      <c r="L438" s="40"/>
      <c r="M438" s="47" t="str">
        <f aca="false">IF($B438="","",IF(NOT(ISNUMBER($B438)),"日期不是日期格式",IF(YEAR($B438)&lt;&gt;首页!$B$3,"不在会计年度",IF($E438="","未选收支科目",IF($D438="⚠","收支科目不存在",IF($F438="","未选账户",IF($T438="","账户未设资金科目",IF(AND($D438="转账",$U438=""),"转入账户无效",IF(AND(N($K438)&gt;0,N($L438)&gt;0),"收支不能同时填",IF(AND($D438="收入",N($K438)&lt;=0),"收入金额须大于0",IF(AND($D438&lt;&gt;"收入",N($L438)&lt;=0),"支出金额须大于0",IF($O438="","借方科目缺失",IF($P438="","贷方科目缺失","√")))))))))))))</f>
        <v/>
      </c>
      <c r="N438" s="48" t="str">
        <f aca="false">IF($B438="","",IF($D438="收入",N($K438),N($L438)))</f>
        <v/>
      </c>
      <c r="O438" s="49" t="str">
        <f aca="false">IF($B438="","",IF($D438="收入",$T438,IF($D438="转账",$U438,$S438)))</f>
        <v/>
      </c>
      <c r="P438" s="49" t="str">
        <f aca="false">IF($B438="","",IF($D438="收入",$S438,$T438))</f>
        <v/>
      </c>
      <c r="Q438" s="50" t="str">
        <f aca="false">IF($E438="","",IF($D438="转账","—",IFERROR(INDEX(科目参数!$P$6:$P$85,MATCH($E438,科目参数!$M$6:$M$85,0)),"")))</f>
        <v/>
      </c>
      <c r="R438" s="48" t="str">
        <f aca="false">IF($B438="","",SUMIFS(期初数据!$B$6:$B$35,期初数据!$A$6:$A$35,$F438)+SUMIFS($N$5:$N438,$F$5:$F438,$F438,$D$5:$D438,"收入")-SUMIFS($N$5:$N438,$F$5:$F438,$F438,$D$5:$D438,"支出")-SUMIFS($N$5:$N438,$F$5:$F438,$F438,$D$5:$D438,"转账")+SUMIFS($N$5:$N438,$G$5:$G438,$F438,$D$5:$D438,"转账"))</f>
        <v/>
      </c>
      <c r="S438" s="49" t="str">
        <f aca="false">IF($E438="","",IFERROR(INDEX(科目参数!$N$6:$N$85,MATCH($E438,科目参数!$M$6:$M$85,0)),""))</f>
        <v/>
      </c>
      <c r="T438" s="49" t="str">
        <f aca="false">IF($F438="","",IFERROR(INDEX(基础资料!$C$6:$C$35,MATCH($F438,基础资料!$A$6:$A$35,0)),""))</f>
        <v/>
      </c>
      <c r="U438" s="49" t="str">
        <f aca="false">IF($G438="","",IFERROR(INDEX(基础资料!$C$6:$C$35,MATCH($G438,基础资料!$A$6:$A$35,0)),""))</f>
        <v/>
      </c>
      <c r="V438" s="49" t="str">
        <f aca="false">IF(AND($G438=客户对账单!$B$3,$E438="客户回款",$B438&gt;=客户对账单!$E$3,$B438&lt;=客户对账单!$H$3),COUNTIFS($G$5:$G438,客户对账单!$B$3,$E$5:$E438,"客户回款",$B$5:$B438,"&gt;="&amp;客户对账单!$E$3,$B$5:$B438,"&lt;="&amp;客户对账单!$H$3),"")</f>
        <v/>
      </c>
      <c r="W438" s="49" t="str">
        <f aca="false">IF(AND($G438=供应商对账单!$B$3,$E438="供应商付款",$B438&gt;=供应商对账单!$E$3,$B438&lt;=供应商对账单!$H$3),COUNTIFS($G$5:$G438,供应商对账单!$B$3,$E$5:$E438,"供应商付款",$B$5:$B438,"&gt;="&amp;供应商对账单!$E$3,$B$5:$B438,"&lt;="&amp;供应商对账单!$H$3),"")</f>
        <v/>
      </c>
    </row>
    <row r="439" customFormat="false" ht="15.75" hidden="false" customHeight="true" outlineLevel="0" collapsed="false">
      <c r="A439" s="42" t="str">
        <f aca="false">IF($B439="","","ZJ"&amp;TEXT($B439,"yyyymm")&amp;"-"&amp;TEXT(ROW()-4,"000"))</f>
        <v/>
      </c>
      <c r="B439" s="41"/>
      <c r="C439" s="42" t="str">
        <f aca="false">IF($B439="","",TEXT($B439,"yyyy-mm"))</f>
        <v/>
      </c>
      <c r="D439" s="42" t="str">
        <f aca="false">IF($E439="","",IFERROR(INDEX(科目参数!$L$6:$L$85,MATCH($E439,科目参数!$M$6:$M$85,0)),"⚠"))</f>
        <v/>
      </c>
      <c r="E439" s="33"/>
      <c r="F439" s="33"/>
      <c r="G439" s="36"/>
      <c r="H439" s="33"/>
      <c r="I439" s="33"/>
      <c r="J439" s="36"/>
      <c r="K439" s="40"/>
      <c r="L439" s="40"/>
      <c r="M439" s="47" t="str">
        <f aca="false">IF($B439="","",IF(NOT(ISNUMBER($B439)),"日期不是日期格式",IF(YEAR($B439)&lt;&gt;首页!$B$3,"不在会计年度",IF($E439="","未选收支科目",IF($D439="⚠","收支科目不存在",IF($F439="","未选账户",IF($T439="","账户未设资金科目",IF(AND($D439="转账",$U439=""),"转入账户无效",IF(AND(N($K439)&gt;0,N($L439)&gt;0),"收支不能同时填",IF(AND($D439="收入",N($K439)&lt;=0),"收入金额须大于0",IF(AND($D439&lt;&gt;"收入",N($L439)&lt;=0),"支出金额须大于0",IF($O439="","借方科目缺失",IF($P439="","贷方科目缺失","√")))))))))))))</f>
        <v/>
      </c>
      <c r="N439" s="48" t="str">
        <f aca="false">IF($B439="","",IF($D439="收入",N($K439),N($L439)))</f>
        <v/>
      </c>
      <c r="O439" s="49" t="str">
        <f aca="false">IF($B439="","",IF($D439="收入",$T439,IF($D439="转账",$U439,$S439)))</f>
        <v/>
      </c>
      <c r="P439" s="49" t="str">
        <f aca="false">IF($B439="","",IF($D439="收入",$S439,$T439))</f>
        <v/>
      </c>
      <c r="Q439" s="50" t="str">
        <f aca="false">IF($E439="","",IF($D439="转账","—",IFERROR(INDEX(科目参数!$P$6:$P$85,MATCH($E439,科目参数!$M$6:$M$85,0)),"")))</f>
        <v/>
      </c>
      <c r="R439" s="48" t="str">
        <f aca="false">IF($B439="","",SUMIFS(期初数据!$B$6:$B$35,期初数据!$A$6:$A$35,$F439)+SUMIFS($N$5:$N439,$F$5:$F439,$F439,$D$5:$D439,"收入")-SUMIFS($N$5:$N439,$F$5:$F439,$F439,$D$5:$D439,"支出")-SUMIFS($N$5:$N439,$F$5:$F439,$F439,$D$5:$D439,"转账")+SUMIFS($N$5:$N439,$G$5:$G439,$F439,$D$5:$D439,"转账"))</f>
        <v/>
      </c>
      <c r="S439" s="49" t="str">
        <f aca="false">IF($E439="","",IFERROR(INDEX(科目参数!$N$6:$N$85,MATCH($E439,科目参数!$M$6:$M$85,0)),""))</f>
        <v/>
      </c>
      <c r="T439" s="49" t="str">
        <f aca="false">IF($F439="","",IFERROR(INDEX(基础资料!$C$6:$C$35,MATCH($F439,基础资料!$A$6:$A$35,0)),""))</f>
        <v/>
      </c>
      <c r="U439" s="49" t="str">
        <f aca="false">IF($G439="","",IFERROR(INDEX(基础资料!$C$6:$C$35,MATCH($G439,基础资料!$A$6:$A$35,0)),""))</f>
        <v/>
      </c>
      <c r="V439" s="49" t="str">
        <f aca="false">IF(AND($G439=客户对账单!$B$3,$E439="客户回款",$B439&gt;=客户对账单!$E$3,$B439&lt;=客户对账单!$H$3),COUNTIFS($G$5:$G439,客户对账单!$B$3,$E$5:$E439,"客户回款",$B$5:$B439,"&gt;="&amp;客户对账单!$E$3,$B$5:$B439,"&lt;="&amp;客户对账单!$H$3),"")</f>
        <v/>
      </c>
      <c r="W439" s="49" t="str">
        <f aca="false">IF(AND($G439=供应商对账单!$B$3,$E439="供应商付款",$B439&gt;=供应商对账单!$E$3,$B439&lt;=供应商对账单!$H$3),COUNTIFS($G$5:$G439,供应商对账单!$B$3,$E$5:$E439,"供应商付款",$B$5:$B439,"&gt;="&amp;供应商对账单!$E$3,$B$5:$B439,"&lt;="&amp;供应商对账单!$H$3),"")</f>
        <v/>
      </c>
    </row>
    <row r="440" customFormat="false" ht="15.75" hidden="false" customHeight="true" outlineLevel="0" collapsed="false">
      <c r="A440" s="42" t="str">
        <f aca="false">IF($B440="","","ZJ"&amp;TEXT($B440,"yyyymm")&amp;"-"&amp;TEXT(ROW()-4,"000"))</f>
        <v/>
      </c>
      <c r="B440" s="41"/>
      <c r="C440" s="42" t="str">
        <f aca="false">IF($B440="","",TEXT($B440,"yyyy-mm"))</f>
        <v/>
      </c>
      <c r="D440" s="42" t="str">
        <f aca="false">IF($E440="","",IFERROR(INDEX(科目参数!$L$6:$L$85,MATCH($E440,科目参数!$M$6:$M$85,0)),"⚠"))</f>
        <v/>
      </c>
      <c r="E440" s="33"/>
      <c r="F440" s="33"/>
      <c r="G440" s="36"/>
      <c r="H440" s="33"/>
      <c r="I440" s="33"/>
      <c r="J440" s="36"/>
      <c r="K440" s="40"/>
      <c r="L440" s="40"/>
      <c r="M440" s="47" t="str">
        <f aca="false">IF($B440="","",IF(NOT(ISNUMBER($B440)),"日期不是日期格式",IF(YEAR($B440)&lt;&gt;首页!$B$3,"不在会计年度",IF($E440="","未选收支科目",IF($D440="⚠","收支科目不存在",IF($F440="","未选账户",IF($T440="","账户未设资金科目",IF(AND($D440="转账",$U440=""),"转入账户无效",IF(AND(N($K440)&gt;0,N($L440)&gt;0),"收支不能同时填",IF(AND($D440="收入",N($K440)&lt;=0),"收入金额须大于0",IF(AND($D440&lt;&gt;"收入",N($L440)&lt;=0),"支出金额须大于0",IF($O440="","借方科目缺失",IF($P440="","贷方科目缺失","√")))))))))))))</f>
        <v/>
      </c>
      <c r="N440" s="48" t="str">
        <f aca="false">IF($B440="","",IF($D440="收入",N($K440),N($L440)))</f>
        <v/>
      </c>
      <c r="O440" s="49" t="str">
        <f aca="false">IF($B440="","",IF($D440="收入",$T440,IF($D440="转账",$U440,$S440)))</f>
        <v/>
      </c>
      <c r="P440" s="49" t="str">
        <f aca="false">IF($B440="","",IF($D440="收入",$S440,$T440))</f>
        <v/>
      </c>
      <c r="Q440" s="50" t="str">
        <f aca="false">IF($E440="","",IF($D440="转账","—",IFERROR(INDEX(科目参数!$P$6:$P$85,MATCH($E440,科目参数!$M$6:$M$85,0)),"")))</f>
        <v/>
      </c>
      <c r="R440" s="48" t="str">
        <f aca="false">IF($B440="","",SUMIFS(期初数据!$B$6:$B$35,期初数据!$A$6:$A$35,$F440)+SUMIFS($N$5:$N440,$F$5:$F440,$F440,$D$5:$D440,"收入")-SUMIFS($N$5:$N440,$F$5:$F440,$F440,$D$5:$D440,"支出")-SUMIFS($N$5:$N440,$F$5:$F440,$F440,$D$5:$D440,"转账")+SUMIFS($N$5:$N440,$G$5:$G440,$F440,$D$5:$D440,"转账"))</f>
        <v/>
      </c>
      <c r="S440" s="49" t="str">
        <f aca="false">IF($E440="","",IFERROR(INDEX(科目参数!$N$6:$N$85,MATCH($E440,科目参数!$M$6:$M$85,0)),""))</f>
        <v/>
      </c>
      <c r="T440" s="49" t="str">
        <f aca="false">IF($F440="","",IFERROR(INDEX(基础资料!$C$6:$C$35,MATCH($F440,基础资料!$A$6:$A$35,0)),""))</f>
        <v/>
      </c>
      <c r="U440" s="49" t="str">
        <f aca="false">IF($G440="","",IFERROR(INDEX(基础资料!$C$6:$C$35,MATCH($G440,基础资料!$A$6:$A$35,0)),""))</f>
        <v/>
      </c>
      <c r="V440" s="49" t="str">
        <f aca="false">IF(AND($G440=客户对账单!$B$3,$E440="客户回款",$B440&gt;=客户对账单!$E$3,$B440&lt;=客户对账单!$H$3),COUNTIFS($G$5:$G440,客户对账单!$B$3,$E$5:$E440,"客户回款",$B$5:$B440,"&gt;="&amp;客户对账单!$E$3,$B$5:$B440,"&lt;="&amp;客户对账单!$H$3),"")</f>
        <v/>
      </c>
      <c r="W440" s="49" t="str">
        <f aca="false">IF(AND($G440=供应商对账单!$B$3,$E440="供应商付款",$B440&gt;=供应商对账单!$E$3,$B440&lt;=供应商对账单!$H$3),COUNTIFS($G$5:$G440,供应商对账单!$B$3,$E$5:$E440,"供应商付款",$B$5:$B440,"&gt;="&amp;供应商对账单!$E$3,$B$5:$B440,"&lt;="&amp;供应商对账单!$H$3),"")</f>
        <v/>
      </c>
    </row>
    <row r="441" customFormat="false" ht="15.75" hidden="false" customHeight="true" outlineLevel="0" collapsed="false">
      <c r="A441" s="42" t="str">
        <f aca="false">IF($B441="","","ZJ"&amp;TEXT($B441,"yyyymm")&amp;"-"&amp;TEXT(ROW()-4,"000"))</f>
        <v/>
      </c>
      <c r="B441" s="41"/>
      <c r="C441" s="42" t="str">
        <f aca="false">IF($B441="","",TEXT($B441,"yyyy-mm"))</f>
        <v/>
      </c>
      <c r="D441" s="42" t="str">
        <f aca="false">IF($E441="","",IFERROR(INDEX(科目参数!$L$6:$L$85,MATCH($E441,科目参数!$M$6:$M$85,0)),"⚠"))</f>
        <v/>
      </c>
      <c r="E441" s="33"/>
      <c r="F441" s="33"/>
      <c r="G441" s="36"/>
      <c r="H441" s="33"/>
      <c r="I441" s="33"/>
      <c r="J441" s="36"/>
      <c r="K441" s="40"/>
      <c r="L441" s="40"/>
      <c r="M441" s="47" t="str">
        <f aca="false">IF($B441="","",IF(NOT(ISNUMBER($B441)),"日期不是日期格式",IF(YEAR($B441)&lt;&gt;首页!$B$3,"不在会计年度",IF($E441="","未选收支科目",IF($D441="⚠","收支科目不存在",IF($F441="","未选账户",IF($T441="","账户未设资金科目",IF(AND($D441="转账",$U441=""),"转入账户无效",IF(AND(N($K441)&gt;0,N($L441)&gt;0),"收支不能同时填",IF(AND($D441="收入",N($K441)&lt;=0),"收入金额须大于0",IF(AND($D441&lt;&gt;"收入",N($L441)&lt;=0),"支出金额须大于0",IF($O441="","借方科目缺失",IF($P441="","贷方科目缺失","√")))))))))))))</f>
        <v/>
      </c>
      <c r="N441" s="48" t="str">
        <f aca="false">IF($B441="","",IF($D441="收入",N($K441),N($L441)))</f>
        <v/>
      </c>
      <c r="O441" s="49" t="str">
        <f aca="false">IF($B441="","",IF($D441="收入",$T441,IF($D441="转账",$U441,$S441)))</f>
        <v/>
      </c>
      <c r="P441" s="49" t="str">
        <f aca="false">IF($B441="","",IF($D441="收入",$S441,$T441))</f>
        <v/>
      </c>
      <c r="Q441" s="50" t="str">
        <f aca="false">IF($E441="","",IF($D441="转账","—",IFERROR(INDEX(科目参数!$P$6:$P$85,MATCH($E441,科目参数!$M$6:$M$85,0)),"")))</f>
        <v/>
      </c>
      <c r="R441" s="48" t="str">
        <f aca="false">IF($B441="","",SUMIFS(期初数据!$B$6:$B$35,期初数据!$A$6:$A$35,$F441)+SUMIFS($N$5:$N441,$F$5:$F441,$F441,$D$5:$D441,"收入")-SUMIFS($N$5:$N441,$F$5:$F441,$F441,$D$5:$D441,"支出")-SUMIFS($N$5:$N441,$F$5:$F441,$F441,$D$5:$D441,"转账")+SUMIFS($N$5:$N441,$G$5:$G441,$F441,$D$5:$D441,"转账"))</f>
        <v/>
      </c>
      <c r="S441" s="49" t="str">
        <f aca="false">IF($E441="","",IFERROR(INDEX(科目参数!$N$6:$N$85,MATCH($E441,科目参数!$M$6:$M$85,0)),""))</f>
        <v/>
      </c>
      <c r="T441" s="49" t="str">
        <f aca="false">IF($F441="","",IFERROR(INDEX(基础资料!$C$6:$C$35,MATCH($F441,基础资料!$A$6:$A$35,0)),""))</f>
        <v/>
      </c>
      <c r="U441" s="49" t="str">
        <f aca="false">IF($G441="","",IFERROR(INDEX(基础资料!$C$6:$C$35,MATCH($G441,基础资料!$A$6:$A$35,0)),""))</f>
        <v/>
      </c>
      <c r="V441" s="49" t="str">
        <f aca="false">IF(AND($G441=客户对账单!$B$3,$E441="客户回款",$B441&gt;=客户对账单!$E$3,$B441&lt;=客户对账单!$H$3),COUNTIFS($G$5:$G441,客户对账单!$B$3,$E$5:$E441,"客户回款",$B$5:$B441,"&gt;="&amp;客户对账单!$E$3,$B$5:$B441,"&lt;="&amp;客户对账单!$H$3),"")</f>
        <v/>
      </c>
      <c r="W441" s="49" t="str">
        <f aca="false">IF(AND($G441=供应商对账单!$B$3,$E441="供应商付款",$B441&gt;=供应商对账单!$E$3,$B441&lt;=供应商对账单!$H$3),COUNTIFS($G$5:$G441,供应商对账单!$B$3,$E$5:$E441,"供应商付款",$B$5:$B441,"&gt;="&amp;供应商对账单!$E$3,$B$5:$B441,"&lt;="&amp;供应商对账单!$H$3),"")</f>
        <v/>
      </c>
    </row>
    <row r="442" customFormat="false" ht="15.75" hidden="false" customHeight="true" outlineLevel="0" collapsed="false">
      <c r="A442" s="42" t="str">
        <f aca="false">IF($B442="","","ZJ"&amp;TEXT($B442,"yyyymm")&amp;"-"&amp;TEXT(ROW()-4,"000"))</f>
        <v/>
      </c>
      <c r="B442" s="41"/>
      <c r="C442" s="42" t="str">
        <f aca="false">IF($B442="","",TEXT($B442,"yyyy-mm"))</f>
        <v/>
      </c>
      <c r="D442" s="42" t="str">
        <f aca="false">IF($E442="","",IFERROR(INDEX(科目参数!$L$6:$L$85,MATCH($E442,科目参数!$M$6:$M$85,0)),"⚠"))</f>
        <v/>
      </c>
      <c r="E442" s="33"/>
      <c r="F442" s="33"/>
      <c r="G442" s="36"/>
      <c r="H442" s="33"/>
      <c r="I442" s="33"/>
      <c r="J442" s="36"/>
      <c r="K442" s="40"/>
      <c r="L442" s="40"/>
      <c r="M442" s="47" t="str">
        <f aca="false">IF($B442="","",IF(NOT(ISNUMBER($B442)),"日期不是日期格式",IF(YEAR($B442)&lt;&gt;首页!$B$3,"不在会计年度",IF($E442="","未选收支科目",IF($D442="⚠","收支科目不存在",IF($F442="","未选账户",IF($T442="","账户未设资金科目",IF(AND($D442="转账",$U442=""),"转入账户无效",IF(AND(N($K442)&gt;0,N($L442)&gt;0),"收支不能同时填",IF(AND($D442="收入",N($K442)&lt;=0),"收入金额须大于0",IF(AND($D442&lt;&gt;"收入",N($L442)&lt;=0),"支出金额须大于0",IF($O442="","借方科目缺失",IF($P442="","贷方科目缺失","√")))))))))))))</f>
        <v/>
      </c>
      <c r="N442" s="48" t="str">
        <f aca="false">IF($B442="","",IF($D442="收入",N($K442),N($L442)))</f>
        <v/>
      </c>
      <c r="O442" s="49" t="str">
        <f aca="false">IF($B442="","",IF($D442="收入",$T442,IF($D442="转账",$U442,$S442)))</f>
        <v/>
      </c>
      <c r="P442" s="49" t="str">
        <f aca="false">IF($B442="","",IF($D442="收入",$S442,$T442))</f>
        <v/>
      </c>
      <c r="Q442" s="50" t="str">
        <f aca="false">IF($E442="","",IF($D442="转账","—",IFERROR(INDEX(科目参数!$P$6:$P$85,MATCH($E442,科目参数!$M$6:$M$85,0)),"")))</f>
        <v/>
      </c>
      <c r="R442" s="48" t="str">
        <f aca="false">IF($B442="","",SUMIFS(期初数据!$B$6:$B$35,期初数据!$A$6:$A$35,$F442)+SUMIFS($N$5:$N442,$F$5:$F442,$F442,$D$5:$D442,"收入")-SUMIFS($N$5:$N442,$F$5:$F442,$F442,$D$5:$D442,"支出")-SUMIFS($N$5:$N442,$F$5:$F442,$F442,$D$5:$D442,"转账")+SUMIFS($N$5:$N442,$G$5:$G442,$F442,$D$5:$D442,"转账"))</f>
        <v/>
      </c>
      <c r="S442" s="49" t="str">
        <f aca="false">IF($E442="","",IFERROR(INDEX(科目参数!$N$6:$N$85,MATCH($E442,科目参数!$M$6:$M$85,0)),""))</f>
        <v/>
      </c>
      <c r="T442" s="49" t="str">
        <f aca="false">IF($F442="","",IFERROR(INDEX(基础资料!$C$6:$C$35,MATCH($F442,基础资料!$A$6:$A$35,0)),""))</f>
        <v/>
      </c>
      <c r="U442" s="49" t="str">
        <f aca="false">IF($G442="","",IFERROR(INDEX(基础资料!$C$6:$C$35,MATCH($G442,基础资料!$A$6:$A$35,0)),""))</f>
        <v/>
      </c>
      <c r="V442" s="49" t="str">
        <f aca="false">IF(AND($G442=客户对账单!$B$3,$E442="客户回款",$B442&gt;=客户对账单!$E$3,$B442&lt;=客户对账单!$H$3),COUNTIFS($G$5:$G442,客户对账单!$B$3,$E$5:$E442,"客户回款",$B$5:$B442,"&gt;="&amp;客户对账单!$E$3,$B$5:$B442,"&lt;="&amp;客户对账单!$H$3),"")</f>
        <v/>
      </c>
      <c r="W442" s="49" t="str">
        <f aca="false">IF(AND($G442=供应商对账单!$B$3,$E442="供应商付款",$B442&gt;=供应商对账单!$E$3,$B442&lt;=供应商对账单!$H$3),COUNTIFS($G$5:$G442,供应商对账单!$B$3,$E$5:$E442,"供应商付款",$B$5:$B442,"&gt;="&amp;供应商对账单!$E$3,$B$5:$B442,"&lt;="&amp;供应商对账单!$H$3),"")</f>
        <v/>
      </c>
    </row>
    <row r="443" customFormat="false" ht="15.75" hidden="false" customHeight="true" outlineLevel="0" collapsed="false">
      <c r="A443" s="42" t="str">
        <f aca="false">IF($B443="","","ZJ"&amp;TEXT($B443,"yyyymm")&amp;"-"&amp;TEXT(ROW()-4,"000"))</f>
        <v/>
      </c>
      <c r="B443" s="41"/>
      <c r="C443" s="42" t="str">
        <f aca="false">IF($B443="","",TEXT($B443,"yyyy-mm"))</f>
        <v/>
      </c>
      <c r="D443" s="42" t="str">
        <f aca="false">IF($E443="","",IFERROR(INDEX(科目参数!$L$6:$L$85,MATCH($E443,科目参数!$M$6:$M$85,0)),"⚠"))</f>
        <v/>
      </c>
      <c r="E443" s="33"/>
      <c r="F443" s="33"/>
      <c r="G443" s="36"/>
      <c r="H443" s="33"/>
      <c r="I443" s="33"/>
      <c r="J443" s="36"/>
      <c r="K443" s="40"/>
      <c r="L443" s="40"/>
      <c r="M443" s="47" t="str">
        <f aca="false">IF($B443="","",IF(NOT(ISNUMBER($B443)),"日期不是日期格式",IF(YEAR($B443)&lt;&gt;首页!$B$3,"不在会计年度",IF($E443="","未选收支科目",IF($D443="⚠","收支科目不存在",IF($F443="","未选账户",IF($T443="","账户未设资金科目",IF(AND($D443="转账",$U443=""),"转入账户无效",IF(AND(N($K443)&gt;0,N($L443)&gt;0),"收支不能同时填",IF(AND($D443="收入",N($K443)&lt;=0),"收入金额须大于0",IF(AND($D443&lt;&gt;"收入",N($L443)&lt;=0),"支出金额须大于0",IF($O443="","借方科目缺失",IF($P443="","贷方科目缺失","√")))))))))))))</f>
        <v/>
      </c>
      <c r="N443" s="48" t="str">
        <f aca="false">IF($B443="","",IF($D443="收入",N($K443),N($L443)))</f>
        <v/>
      </c>
      <c r="O443" s="49" t="str">
        <f aca="false">IF($B443="","",IF($D443="收入",$T443,IF($D443="转账",$U443,$S443)))</f>
        <v/>
      </c>
      <c r="P443" s="49" t="str">
        <f aca="false">IF($B443="","",IF($D443="收入",$S443,$T443))</f>
        <v/>
      </c>
      <c r="Q443" s="50" t="str">
        <f aca="false">IF($E443="","",IF($D443="转账","—",IFERROR(INDEX(科目参数!$P$6:$P$85,MATCH($E443,科目参数!$M$6:$M$85,0)),"")))</f>
        <v/>
      </c>
      <c r="R443" s="48" t="str">
        <f aca="false">IF($B443="","",SUMIFS(期初数据!$B$6:$B$35,期初数据!$A$6:$A$35,$F443)+SUMIFS($N$5:$N443,$F$5:$F443,$F443,$D$5:$D443,"收入")-SUMIFS($N$5:$N443,$F$5:$F443,$F443,$D$5:$D443,"支出")-SUMIFS($N$5:$N443,$F$5:$F443,$F443,$D$5:$D443,"转账")+SUMIFS($N$5:$N443,$G$5:$G443,$F443,$D$5:$D443,"转账"))</f>
        <v/>
      </c>
      <c r="S443" s="49" t="str">
        <f aca="false">IF($E443="","",IFERROR(INDEX(科目参数!$N$6:$N$85,MATCH($E443,科目参数!$M$6:$M$85,0)),""))</f>
        <v/>
      </c>
      <c r="T443" s="49" t="str">
        <f aca="false">IF($F443="","",IFERROR(INDEX(基础资料!$C$6:$C$35,MATCH($F443,基础资料!$A$6:$A$35,0)),""))</f>
        <v/>
      </c>
      <c r="U443" s="49" t="str">
        <f aca="false">IF($G443="","",IFERROR(INDEX(基础资料!$C$6:$C$35,MATCH($G443,基础资料!$A$6:$A$35,0)),""))</f>
        <v/>
      </c>
      <c r="V443" s="49" t="str">
        <f aca="false">IF(AND($G443=客户对账单!$B$3,$E443="客户回款",$B443&gt;=客户对账单!$E$3,$B443&lt;=客户对账单!$H$3),COUNTIFS($G$5:$G443,客户对账单!$B$3,$E$5:$E443,"客户回款",$B$5:$B443,"&gt;="&amp;客户对账单!$E$3,$B$5:$B443,"&lt;="&amp;客户对账单!$H$3),"")</f>
        <v/>
      </c>
      <c r="W443" s="49" t="str">
        <f aca="false">IF(AND($G443=供应商对账单!$B$3,$E443="供应商付款",$B443&gt;=供应商对账单!$E$3,$B443&lt;=供应商对账单!$H$3),COUNTIFS($G$5:$G443,供应商对账单!$B$3,$E$5:$E443,"供应商付款",$B$5:$B443,"&gt;="&amp;供应商对账单!$E$3,$B$5:$B443,"&lt;="&amp;供应商对账单!$H$3),"")</f>
        <v/>
      </c>
    </row>
    <row r="444" customFormat="false" ht="15.75" hidden="false" customHeight="true" outlineLevel="0" collapsed="false">
      <c r="A444" s="42" t="str">
        <f aca="false">IF($B444="","","ZJ"&amp;TEXT($B444,"yyyymm")&amp;"-"&amp;TEXT(ROW()-4,"000"))</f>
        <v/>
      </c>
      <c r="B444" s="41"/>
      <c r="C444" s="42" t="str">
        <f aca="false">IF($B444="","",TEXT($B444,"yyyy-mm"))</f>
        <v/>
      </c>
      <c r="D444" s="42" t="str">
        <f aca="false">IF($E444="","",IFERROR(INDEX(科目参数!$L$6:$L$85,MATCH($E444,科目参数!$M$6:$M$85,0)),"⚠"))</f>
        <v/>
      </c>
      <c r="E444" s="33"/>
      <c r="F444" s="33"/>
      <c r="G444" s="36"/>
      <c r="H444" s="33"/>
      <c r="I444" s="33"/>
      <c r="J444" s="36"/>
      <c r="K444" s="40"/>
      <c r="L444" s="40"/>
      <c r="M444" s="47" t="str">
        <f aca="false">IF($B444="","",IF(NOT(ISNUMBER($B444)),"日期不是日期格式",IF(YEAR($B444)&lt;&gt;首页!$B$3,"不在会计年度",IF($E444="","未选收支科目",IF($D444="⚠","收支科目不存在",IF($F444="","未选账户",IF($T444="","账户未设资金科目",IF(AND($D444="转账",$U444=""),"转入账户无效",IF(AND(N($K444)&gt;0,N($L444)&gt;0),"收支不能同时填",IF(AND($D444="收入",N($K444)&lt;=0),"收入金额须大于0",IF(AND($D444&lt;&gt;"收入",N($L444)&lt;=0),"支出金额须大于0",IF($O444="","借方科目缺失",IF($P444="","贷方科目缺失","√")))))))))))))</f>
        <v/>
      </c>
      <c r="N444" s="48" t="str">
        <f aca="false">IF($B444="","",IF($D444="收入",N($K444),N($L444)))</f>
        <v/>
      </c>
      <c r="O444" s="49" t="str">
        <f aca="false">IF($B444="","",IF($D444="收入",$T444,IF($D444="转账",$U444,$S444)))</f>
        <v/>
      </c>
      <c r="P444" s="49" t="str">
        <f aca="false">IF($B444="","",IF($D444="收入",$S444,$T444))</f>
        <v/>
      </c>
      <c r="Q444" s="50" t="str">
        <f aca="false">IF($E444="","",IF($D444="转账","—",IFERROR(INDEX(科目参数!$P$6:$P$85,MATCH($E444,科目参数!$M$6:$M$85,0)),"")))</f>
        <v/>
      </c>
      <c r="R444" s="48" t="str">
        <f aca="false">IF($B444="","",SUMIFS(期初数据!$B$6:$B$35,期初数据!$A$6:$A$35,$F444)+SUMIFS($N$5:$N444,$F$5:$F444,$F444,$D$5:$D444,"收入")-SUMIFS($N$5:$N444,$F$5:$F444,$F444,$D$5:$D444,"支出")-SUMIFS($N$5:$N444,$F$5:$F444,$F444,$D$5:$D444,"转账")+SUMIFS($N$5:$N444,$G$5:$G444,$F444,$D$5:$D444,"转账"))</f>
        <v/>
      </c>
      <c r="S444" s="49" t="str">
        <f aca="false">IF($E444="","",IFERROR(INDEX(科目参数!$N$6:$N$85,MATCH($E444,科目参数!$M$6:$M$85,0)),""))</f>
        <v/>
      </c>
      <c r="T444" s="49" t="str">
        <f aca="false">IF($F444="","",IFERROR(INDEX(基础资料!$C$6:$C$35,MATCH($F444,基础资料!$A$6:$A$35,0)),""))</f>
        <v/>
      </c>
      <c r="U444" s="49" t="str">
        <f aca="false">IF($G444="","",IFERROR(INDEX(基础资料!$C$6:$C$35,MATCH($G444,基础资料!$A$6:$A$35,0)),""))</f>
        <v/>
      </c>
      <c r="V444" s="49" t="str">
        <f aca="false">IF(AND($G444=客户对账单!$B$3,$E444="客户回款",$B444&gt;=客户对账单!$E$3,$B444&lt;=客户对账单!$H$3),COUNTIFS($G$5:$G444,客户对账单!$B$3,$E$5:$E444,"客户回款",$B$5:$B444,"&gt;="&amp;客户对账单!$E$3,$B$5:$B444,"&lt;="&amp;客户对账单!$H$3),"")</f>
        <v/>
      </c>
      <c r="W444" s="49" t="str">
        <f aca="false">IF(AND($G444=供应商对账单!$B$3,$E444="供应商付款",$B444&gt;=供应商对账单!$E$3,$B444&lt;=供应商对账单!$H$3),COUNTIFS($G$5:$G444,供应商对账单!$B$3,$E$5:$E444,"供应商付款",$B$5:$B444,"&gt;="&amp;供应商对账单!$E$3,$B$5:$B444,"&lt;="&amp;供应商对账单!$H$3),"")</f>
        <v/>
      </c>
    </row>
    <row r="445" customFormat="false" ht="15.75" hidden="false" customHeight="true" outlineLevel="0" collapsed="false">
      <c r="A445" s="42" t="str">
        <f aca="false">IF($B445="","","ZJ"&amp;TEXT($B445,"yyyymm")&amp;"-"&amp;TEXT(ROW()-4,"000"))</f>
        <v/>
      </c>
      <c r="B445" s="41"/>
      <c r="C445" s="42" t="str">
        <f aca="false">IF($B445="","",TEXT($B445,"yyyy-mm"))</f>
        <v/>
      </c>
      <c r="D445" s="42" t="str">
        <f aca="false">IF($E445="","",IFERROR(INDEX(科目参数!$L$6:$L$85,MATCH($E445,科目参数!$M$6:$M$85,0)),"⚠"))</f>
        <v/>
      </c>
      <c r="E445" s="33"/>
      <c r="F445" s="33"/>
      <c r="G445" s="36"/>
      <c r="H445" s="33"/>
      <c r="I445" s="33"/>
      <c r="J445" s="36"/>
      <c r="K445" s="40"/>
      <c r="L445" s="40"/>
      <c r="M445" s="47" t="str">
        <f aca="false">IF($B445="","",IF(NOT(ISNUMBER($B445)),"日期不是日期格式",IF(YEAR($B445)&lt;&gt;首页!$B$3,"不在会计年度",IF($E445="","未选收支科目",IF($D445="⚠","收支科目不存在",IF($F445="","未选账户",IF($T445="","账户未设资金科目",IF(AND($D445="转账",$U445=""),"转入账户无效",IF(AND(N($K445)&gt;0,N($L445)&gt;0),"收支不能同时填",IF(AND($D445="收入",N($K445)&lt;=0),"收入金额须大于0",IF(AND($D445&lt;&gt;"收入",N($L445)&lt;=0),"支出金额须大于0",IF($O445="","借方科目缺失",IF($P445="","贷方科目缺失","√")))))))))))))</f>
        <v/>
      </c>
      <c r="N445" s="48" t="str">
        <f aca="false">IF($B445="","",IF($D445="收入",N($K445),N($L445)))</f>
        <v/>
      </c>
      <c r="O445" s="49" t="str">
        <f aca="false">IF($B445="","",IF($D445="收入",$T445,IF($D445="转账",$U445,$S445)))</f>
        <v/>
      </c>
      <c r="P445" s="49" t="str">
        <f aca="false">IF($B445="","",IF($D445="收入",$S445,$T445))</f>
        <v/>
      </c>
      <c r="Q445" s="50" t="str">
        <f aca="false">IF($E445="","",IF($D445="转账","—",IFERROR(INDEX(科目参数!$P$6:$P$85,MATCH($E445,科目参数!$M$6:$M$85,0)),"")))</f>
        <v/>
      </c>
      <c r="R445" s="48" t="str">
        <f aca="false">IF($B445="","",SUMIFS(期初数据!$B$6:$B$35,期初数据!$A$6:$A$35,$F445)+SUMIFS($N$5:$N445,$F$5:$F445,$F445,$D$5:$D445,"收入")-SUMIFS($N$5:$N445,$F$5:$F445,$F445,$D$5:$D445,"支出")-SUMIFS($N$5:$N445,$F$5:$F445,$F445,$D$5:$D445,"转账")+SUMIFS($N$5:$N445,$G$5:$G445,$F445,$D$5:$D445,"转账"))</f>
        <v/>
      </c>
      <c r="S445" s="49" t="str">
        <f aca="false">IF($E445="","",IFERROR(INDEX(科目参数!$N$6:$N$85,MATCH($E445,科目参数!$M$6:$M$85,0)),""))</f>
        <v/>
      </c>
      <c r="T445" s="49" t="str">
        <f aca="false">IF($F445="","",IFERROR(INDEX(基础资料!$C$6:$C$35,MATCH($F445,基础资料!$A$6:$A$35,0)),""))</f>
        <v/>
      </c>
      <c r="U445" s="49" t="str">
        <f aca="false">IF($G445="","",IFERROR(INDEX(基础资料!$C$6:$C$35,MATCH($G445,基础资料!$A$6:$A$35,0)),""))</f>
        <v/>
      </c>
      <c r="V445" s="49" t="str">
        <f aca="false">IF(AND($G445=客户对账单!$B$3,$E445="客户回款",$B445&gt;=客户对账单!$E$3,$B445&lt;=客户对账单!$H$3),COUNTIFS($G$5:$G445,客户对账单!$B$3,$E$5:$E445,"客户回款",$B$5:$B445,"&gt;="&amp;客户对账单!$E$3,$B$5:$B445,"&lt;="&amp;客户对账单!$H$3),"")</f>
        <v/>
      </c>
      <c r="W445" s="49" t="str">
        <f aca="false">IF(AND($G445=供应商对账单!$B$3,$E445="供应商付款",$B445&gt;=供应商对账单!$E$3,$B445&lt;=供应商对账单!$H$3),COUNTIFS($G$5:$G445,供应商对账单!$B$3,$E$5:$E445,"供应商付款",$B$5:$B445,"&gt;="&amp;供应商对账单!$E$3,$B$5:$B445,"&lt;="&amp;供应商对账单!$H$3),"")</f>
        <v/>
      </c>
    </row>
    <row r="446" customFormat="false" ht="15.75" hidden="false" customHeight="true" outlineLevel="0" collapsed="false">
      <c r="A446" s="42" t="str">
        <f aca="false">IF($B446="","","ZJ"&amp;TEXT($B446,"yyyymm")&amp;"-"&amp;TEXT(ROW()-4,"000"))</f>
        <v/>
      </c>
      <c r="B446" s="41"/>
      <c r="C446" s="42" t="str">
        <f aca="false">IF($B446="","",TEXT($B446,"yyyy-mm"))</f>
        <v/>
      </c>
      <c r="D446" s="42" t="str">
        <f aca="false">IF($E446="","",IFERROR(INDEX(科目参数!$L$6:$L$85,MATCH($E446,科目参数!$M$6:$M$85,0)),"⚠"))</f>
        <v/>
      </c>
      <c r="E446" s="33"/>
      <c r="F446" s="33"/>
      <c r="G446" s="36"/>
      <c r="H446" s="33"/>
      <c r="I446" s="33"/>
      <c r="J446" s="36"/>
      <c r="K446" s="40"/>
      <c r="L446" s="40"/>
      <c r="M446" s="47" t="str">
        <f aca="false">IF($B446="","",IF(NOT(ISNUMBER($B446)),"日期不是日期格式",IF(YEAR($B446)&lt;&gt;首页!$B$3,"不在会计年度",IF($E446="","未选收支科目",IF($D446="⚠","收支科目不存在",IF($F446="","未选账户",IF($T446="","账户未设资金科目",IF(AND($D446="转账",$U446=""),"转入账户无效",IF(AND(N($K446)&gt;0,N($L446)&gt;0),"收支不能同时填",IF(AND($D446="收入",N($K446)&lt;=0),"收入金额须大于0",IF(AND($D446&lt;&gt;"收入",N($L446)&lt;=0),"支出金额须大于0",IF($O446="","借方科目缺失",IF($P446="","贷方科目缺失","√")))))))))))))</f>
        <v/>
      </c>
      <c r="N446" s="48" t="str">
        <f aca="false">IF($B446="","",IF($D446="收入",N($K446),N($L446)))</f>
        <v/>
      </c>
      <c r="O446" s="49" t="str">
        <f aca="false">IF($B446="","",IF($D446="收入",$T446,IF($D446="转账",$U446,$S446)))</f>
        <v/>
      </c>
      <c r="P446" s="49" t="str">
        <f aca="false">IF($B446="","",IF($D446="收入",$S446,$T446))</f>
        <v/>
      </c>
      <c r="Q446" s="50" t="str">
        <f aca="false">IF($E446="","",IF($D446="转账","—",IFERROR(INDEX(科目参数!$P$6:$P$85,MATCH($E446,科目参数!$M$6:$M$85,0)),"")))</f>
        <v/>
      </c>
      <c r="R446" s="48" t="str">
        <f aca="false">IF($B446="","",SUMIFS(期初数据!$B$6:$B$35,期初数据!$A$6:$A$35,$F446)+SUMIFS($N$5:$N446,$F$5:$F446,$F446,$D$5:$D446,"收入")-SUMIFS($N$5:$N446,$F$5:$F446,$F446,$D$5:$D446,"支出")-SUMIFS($N$5:$N446,$F$5:$F446,$F446,$D$5:$D446,"转账")+SUMIFS($N$5:$N446,$G$5:$G446,$F446,$D$5:$D446,"转账"))</f>
        <v/>
      </c>
      <c r="S446" s="49" t="str">
        <f aca="false">IF($E446="","",IFERROR(INDEX(科目参数!$N$6:$N$85,MATCH($E446,科目参数!$M$6:$M$85,0)),""))</f>
        <v/>
      </c>
      <c r="T446" s="49" t="str">
        <f aca="false">IF($F446="","",IFERROR(INDEX(基础资料!$C$6:$C$35,MATCH($F446,基础资料!$A$6:$A$35,0)),""))</f>
        <v/>
      </c>
      <c r="U446" s="49" t="str">
        <f aca="false">IF($G446="","",IFERROR(INDEX(基础资料!$C$6:$C$35,MATCH($G446,基础资料!$A$6:$A$35,0)),""))</f>
        <v/>
      </c>
      <c r="V446" s="49" t="str">
        <f aca="false">IF(AND($G446=客户对账单!$B$3,$E446="客户回款",$B446&gt;=客户对账单!$E$3,$B446&lt;=客户对账单!$H$3),COUNTIFS($G$5:$G446,客户对账单!$B$3,$E$5:$E446,"客户回款",$B$5:$B446,"&gt;="&amp;客户对账单!$E$3,$B$5:$B446,"&lt;="&amp;客户对账单!$H$3),"")</f>
        <v/>
      </c>
      <c r="W446" s="49" t="str">
        <f aca="false">IF(AND($G446=供应商对账单!$B$3,$E446="供应商付款",$B446&gt;=供应商对账单!$E$3,$B446&lt;=供应商对账单!$H$3),COUNTIFS($G$5:$G446,供应商对账单!$B$3,$E$5:$E446,"供应商付款",$B$5:$B446,"&gt;="&amp;供应商对账单!$E$3,$B$5:$B446,"&lt;="&amp;供应商对账单!$H$3),"")</f>
        <v/>
      </c>
    </row>
    <row r="447" customFormat="false" ht="15.75" hidden="false" customHeight="true" outlineLevel="0" collapsed="false">
      <c r="A447" s="42" t="str">
        <f aca="false">IF($B447="","","ZJ"&amp;TEXT($B447,"yyyymm")&amp;"-"&amp;TEXT(ROW()-4,"000"))</f>
        <v/>
      </c>
      <c r="B447" s="41"/>
      <c r="C447" s="42" t="str">
        <f aca="false">IF($B447="","",TEXT($B447,"yyyy-mm"))</f>
        <v/>
      </c>
      <c r="D447" s="42" t="str">
        <f aca="false">IF($E447="","",IFERROR(INDEX(科目参数!$L$6:$L$85,MATCH($E447,科目参数!$M$6:$M$85,0)),"⚠"))</f>
        <v/>
      </c>
      <c r="E447" s="33"/>
      <c r="F447" s="33"/>
      <c r="G447" s="36"/>
      <c r="H447" s="33"/>
      <c r="I447" s="33"/>
      <c r="J447" s="36"/>
      <c r="K447" s="40"/>
      <c r="L447" s="40"/>
      <c r="M447" s="47" t="str">
        <f aca="false">IF($B447="","",IF(NOT(ISNUMBER($B447)),"日期不是日期格式",IF(YEAR($B447)&lt;&gt;首页!$B$3,"不在会计年度",IF($E447="","未选收支科目",IF($D447="⚠","收支科目不存在",IF($F447="","未选账户",IF($T447="","账户未设资金科目",IF(AND($D447="转账",$U447=""),"转入账户无效",IF(AND(N($K447)&gt;0,N($L447)&gt;0),"收支不能同时填",IF(AND($D447="收入",N($K447)&lt;=0),"收入金额须大于0",IF(AND($D447&lt;&gt;"收入",N($L447)&lt;=0),"支出金额须大于0",IF($O447="","借方科目缺失",IF($P447="","贷方科目缺失","√")))))))))))))</f>
        <v/>
      </c>
      <c r="N447" s="48" t="str">
        <f aca="false">IF($B447="","",IF($D447="收入",N($K447),N($L447)))</f>
        <v/>
      </c>
      <c r="O447" s="49" t="str">
        <f aca="false">IF($B447="","",IF($D447="收入",$T447,IF($D447="转账",$U447,$S447)))</f>
        <v/>
      </c>
      <c r="P447" s="49" t="str">
        <f aca="false">IF($B447="","",IF($D447="收入",$S447,$T447))</f>
        <v/>
      </c>
      <c r="Q447" s="50" t="str">
        <f aca="false">IF($E447="","",IF($D447="转账","—",IFERROR(INDEX(科目参数!$P$6:$P$85,MATCH($E447,科目参数!$M$6:$M$85,0)),"")))</f>
        <v/>
      </c>
      <c r="R447" s="48" t="str">
        <f aca="false">IF($B447="","",SUMIFS(期初数据!$B$6:$B$35,期初数据!$A$6:$A$35,$F447)+SUMIFS($N$5:$N447,$F$5:$F447,$F447,$D$5:$D447,"收入")-SUMIFS($N$5:$N447,$F$5:$F447,$F447,$D$5:$D447,"支出")-SUMIFS($N$5:$N447,$F$5:$F447,$F447,$D$5:$D447,"转账")+SUMIFS($N$5:$N447,$G$5:$G447,$F447,$D$5:$D447,"转账"))</f>
        <v/>
      </c>
      <c r="S447" s="49" t="str">
        <f aca="false">IF($E447="","",IFERROR(INDEX(科目参数!$N$6:$N$85,MATCH($E447,科目参数!$M$6:$M$85,0)),""))</f>
        <v/>
      </c>
      <c r="T447" s="49" t="str">
        <f aca="false">IF($F447="","",IFERROR(INDEX(基础资料!$C$6:$C$35,MATCH($F447,基础资料!$A$6:$A$35,0)),""))</f>
        <v/>
      </c>
      <c r="U447" s="49" t="str">
        <f aca="false">IF($G447="","",IFERROR(INDEX(基础资料!$C$6:$C$35,MATCH($G447,基础资料!$A$6:$A$35,0)),""))</f>
        <v/>
      </c>
      <c r="V447" s="49" t="str">
        <f aca="false">IF(AND($G447=客户对账单!$B$3,$E447="客户回款",$B447&gt;=客户对账单!$E$3,$B447&lt;=客户对账单!$H$3),COUNTIFS($G$5:$G447,客户对账单!$B$3,$E$5:$E447,"客户回款",$B$5:$B447,"&gt;="&amp;客户对账单!$E$3,$B$5:$B447,"&lt;="&amp;客户对账单!$H$3),"")</f>
        <v/>
      </c>
      <c r="W447" s="49" t="str">
        <f aca="false">IF(AND($G447=供应商对账单!$B$3,$E447="供应商付款",$B447&gt;=供应商对账单!$E$3,$B447&lt;=供应商对账单!$H$3),COUNTIFS($G$5:$G447,供应商对账单!$B$3,$E$5:$E447,"供应商付款",$B$5:$B447,"&gt;="&amp;供应商对账单!$E$3,$B$5:$B447,"&lt;="&amp;供应商对账单!$H$3),"")</f>
        <v/>
      </c>
    </row>
    <row r="448" customFormat="false" ht="15.75" hidden="false" customHeight="true" outlineLevel="0" collapsed="false">
      <c r="A448" s="42" t="str">
        <f aca="false">IF($B448="","","ZJ"&amp;TEXT($B448,"yyyymm")&amp;"-"&amp;TEXT(ROW()-4,"000"))</f>
        <v/>
      </c>
      <c r="B448" s="41"/>
      <c r="C448" s="42" t="str">
        <f aca="false">IF($B448="","",TEXT($B448,"yyyy-mm"))</f>
        <v/>
      </c>
      <c r="D448" s="42" t="str">
        <f aca="false">IF($E448="","",IFERROR(INDEX(科目参数!$L$6:$L$85,MATCH($E448,科目参数!$M$6:$M$85,0)),"⚠"))</f>
        <v/>
      </c>
      <c r="E448" s="33"/>
      <c r="F448" s="33"/>
      <c r="G448" s="36"/>
      <c r="H448" s="33"/>
      <c r="I448" s="33"/>
      <c r="J448" s="36"/>
      <c r="K448" s="40"/>
      <c r="L448" s="40"/>
      <c r="M448" s="47" t="str">
        <f aca="false">IF($B448="","",IF(NOT(ISNUMBER($B448)),"日期不是日期格式",IF(YEAR($B448)&lt;&gt;首页!$B$3,"不在会计年度",IF($E448="","未选收支科目",IF($D448="⚠","收支科目不存在",IF($F448="","未选账户",IF($T448="","账户未设资金科目",IF(AND($D448="转账",$U448=""),"转入账户无效",IF(AND(N($K448)&gt;0,N($L448)&gt;0),"收支不能同时填",IF(AND($D448="收入",N($K448)&lt;=0),"收入金额须大于0",IF(AND($D448&lt;&gt;"收入",N($L448)&lt;=0),"支出金额须大于0",IF($O448="","借方科目缺失",IF($P448="","贷方科目缺失","√")))))))))))))</f>
        <v/>
      </c>
      <c r="N448" s="48" t="str">
        <f aca="false">IF($B448="","",IF($D448="收入",N($K448),N($L448)))</f>
        <v/>
      </c>
      <c r="O448" s="49" t="str">
        <f aca="false">IF($B448="","",IF($D448="收入",$T448,IF($D448="转账",$U448,$S448)))</f>
        <v/>
      </c>
      <c r="P448" s="49" t="str">
        <f aca="false">IF($B448="","",IF($D448="收入",$S448,$T448))</f>
        <v/>
      </c>
      <c r="Q448" s="50" t="str">
        <f aca="false">IF($E448="","",IF($D448="转账","—",IFERROR(INDEX(科目参数!$P$6:$P$85,MATCH($E448,科目参数!$M$6:$M$85,0)),"")))</f>
        <v/>
      </c>
      <c r="R448" s="48" t="str">
        <f aca="false">IF($B448="","",SUMIFS(期初数据!$B$6:$B$35,期初数据!$A$6:$A$35,$F448)+SUMIFS($N$5:$N448,$F$5:$F448,$F448,$D$5:$D448,"收入")-SUMIFS($N$5:$N448,$F$5:$F448,$F448,$D$5:$D448,"支出")-SUMIFS($N$5:$N448,$F$5:$F448,$F448,$D$5:$D448,"转账")+SUMIFS($N$5:$N448,$G$5:$G448,$F448,$D$5:$D448,"转账"))</f>
        <v/>
      </c>
      <c r="S448" s="49" t="str">
        <f aca="false">IF($E448="","",IFERROR(INDEX(科目参数!$N$6:$N$85,MATCH($E448,科目参数!$M$6:$M$85,0)),""))</f>
        <v/>
      </c>
      <c r="T448" s="49" t="str">
        <f aca="false">IF($F448="","",IFERROR(INDEX(基础资料!$C$6:$C$35,MATCH($F448,基础资料!$A$6:$A$35,0)),""))</f>
        <v/>
      </c>
      <c r="U448" s="49" t="str">
        <f aca="false">IF($G448="","",IFERROR(INDEX(基础资料!$C$6:$C$35,MATCH($G448,基础资料!$A$6:$A$35,0)),""))</f>
        <v/>
      </c>
      <c r="V448" s="49" t="str">
        <f aca="false">IF(AND($G448=客户对账单!$B$3,$E448="客户回款",$B448&gt;=客户对账单!$E$3,$B448&lt;=客户对账单!$H$3),COUNTIFS($G$5:$G448,客户对账单!$B$3,$E$5:$E448,"客户回款",$B$5:$B448,"&gt;="&amp;客户对账单!$E$3,$B$5:$B448,"&lt;="&amp;客户对账单!$H$3),"")</f>
        <v/>
      </c>
      <c r="W448" s="49" t="str">
        <f aca="false">IF(AND($G448=供应商对账单!$B$3,$E448="供应商付款",$B448&gt;=供应商对账单!$E$3,$B448&lt;=供应商对账单!$H$3),COUNTIFS($G$5:$G448,供应商对账单!$B$3,$E$5:$E448,"供应商付款",$B$5:$B448,"&gt;="&amp;供应商对账单!$E$3,$B$5:$B448,"&lt;="&amp;供应商对账单!$H$3),"")</f>
        <v/>
      </c>
    </row>
    <row r="449" customFormat="false" ht="15.75" hidden="false" customHeight="true" outlineLevel="0" collapsed="false">
      <c r="A449" s="42" t="str">
        <f aca="false">IF($B449="","","ZJ"&amp;TEXT($B449,"yyyymm")&amp;"-"&amp;TEXT(ROW()-4,"000"))</f>
        <v/>
      </c>
      <c r="B449" s="41"/>
      <c r="C449" s="42" t="str">
        <f aca="false">IF($B449="","",TEXT($B449,"yyyy-mm"))</f>
        <v/>
      </c>
      <c r="D449" s="42" t="str">
        <f aca="false">IF($E449="","",IFERROR(INDEX(科目参数!$L$6:$L$85,MATCH($E449,科目参数!$M$6:$M$85,0)),"⚠"))</f>
        <v/>
      </c>
      <c r="E449" s="33"/>
      <c r="F449" s="33"/>
      <c r="G449" s="36"/>
      <c r="H449" s="33"/>
      <c r="I449" s="33"/>
      <c r="J449" s="36"/>
      <c r="K449" s="40"/>
      <c r="L449" s="40"/>
      <c r="M449" s="47" t="str">
        <f aca="false">IF($B449="","",IF(NOT(ISNUMBER($B449)),"日期不是日期格式",IF(YEAR($B449)&lt;&gt;首页!$B$3,"不在会计年度",IF($E449="","未选收支科目",IF($D449="⚠","收支科目不存在",IF($F449="","未选账户",IF($T449="","账户未设资金科目",IF(AND($D449="转账",$U449=""),"转入账户无效",IF(AND(N($K449)&gt;0,N($L449)&gt;0),"收支不能同时填",IF(AND($D449="收入",N($K449)&lt;=0),"收入金额须大于0",IF(AND($D449&lt;&gt;"收入",N($L449)&lt;=0),"支出金额须大于0",IF($O449="","借方科目缺失",IF($P449="","贷方科目缺失","√")))))))))))))</f>
        <v/>
      </c>
      <c r="N449" s="48" t="str">
        <f aca="false">IF($B449="","",IF($D449="收入",N($K449),N($L449)))</f>
        <v/>
      </c>
      <c r="O449" s="49" t="str">
        <f aca="false">IF($B449="","",IF($D449="收入",$T449,IF($D449="转账",$U449,$S449)))</f>
        <v/>
      </c>
      <c r="P449" s="49" t="str">
        <f aca="false">IF($B449="","",IF($D449="收入",$S449,$T449))</f>
        <v/>
      </c>
      <c r="Q449" s="50" t="str">
        <f aca="false">IF($E449="","",IF($D449="转账","—",IFERROR(INDEX(科目参数!$P$6:$P$85,MATCH($E449,科目参数!$M$6:$M$85,0)),"")))</f>
        <v/>
      </c>
      <c r="R449" s="48" t="str">
        <f aca="false">IF($B449="","",SUMIFS(期初数据!$B$6:$B$35,期初数据!$A$6:$A$35,$F449)+SUMIFS($N$5:$N449,$F$5:$F449,$F449,$D$5:$D449,"收入")-SUMIFS($N$5:$N449,$F$5:$F449,$F449,$D$5:$D449,"支出")-SUMIFS($N$5:$N449,$F$5:$F449,$F449,$D$5:$D449,"转账")+SUMIFS($N$5:$N449,$G$5:$G449,$F449,$D$5:$D449,"转账"))</f>
        <v/>
      </c>
      <c r="S449" s="49" t="str">
        <f aca="false">IF($E449="","",IFERROR(INDEX(科目参数!$N$6:$N$85,MATCH($E449,科目参数!$M$6:$M$85,0)),""))</f>
        <v/>
      </c>
      <c r="T449" s="49" t="str">
        <f aca="false">IF($F449="","",IFERROR(INDEX(基础资料!$C$6:$C$35,MATCH($F449,基础资料!$A$6:$A$35,0)),""))</f>
        <v/>
      </c>
      <c r="U449" s="49" t="str">
        <f aca="false">IF($G449="","",IFERROR(INDEX(基础资料!$C$6:$C$35,MATCH($G449,基础资料!$A$6:$A$35,0)),""))</f>
        <v/>
      </c>
      <c r="V449" s="49" t="str">
        <f aca="false">IF(AND($G449=客户对账单!$B$3,$E449="客户回款",$B449&gt;=客户对账单!$E$3,$B449&lt;=客户对账单!$H$3),COUNTIFS($G$5:$G449,客户对账单!$B$3,$E$5:$E449,"客户回款",$B$5:$B449,"&gt;="&amp;客户对账单!$E$3,$B$5:$B449,"&lt;="&amp;客户对账单!$H$3),"")</f>
        <v/>
      </c>
      <c r="W449" s="49" t="str">
        <f aca="false">IF(AND($G449=供应商对账单!$B$3,$E449="供应商付款",$B449&gt;=供应商对账单!$E$3,$B449&lt;=供应商对账单!$H$3),COUNTIFS($G$5:$G449,供应商对账单!$B$3,$E$5:$E449,"供应商付款",$B$5:$B449,"&gt;="&amp;供应商对账单!$E$3,$B$5:$B449,"&lt;="&amp;供应商对账单!$H$3),"")</f>
        <v/>
      </c>
    </row>
    <row r="450" customFormat="false" ht="15.75" hidden="false" customHeight="true" outlineLevel="0" collapsed="false">
      <c r="A450" s="42" t="str">
        <f aca="false">IF($B450="","","ZJ"&amp;TEXT($B450,"yyyymm")&amp;"-"&amp;TEXT(ROW()-4,"000"))</f>
        <v/>
      </c>
      <c r="B450" s="41"/>
      <c r="C450" s="42" t="str">
        <f aca="false">IF($B450="","",TEXT($B450,"yyyy-mm"))</f>
        <v/>
      </c>
      <c r="D450" s="42" t="str">
        <f aca="false">IF($E450="","",IFERROR(INDEX(科目参数!$L$6:$L$85,MATCH($E450,科目参数!$M$6:$M$85,0)),"⚠"))</f>
        <v/>
      </c>
      <c r="E450" s="33"/>
      <c r="F450" s="33"/>
      <c r="G450" s="36"/>
      <c r="H450" s="33"/>
      <c r="I450" s="33"/>
      <c r="J450" s="36"/>
      <c r="K450" s="40"/>
      <c r="L450" s="40"/>
      <c r="M450" s="47" t="str">
        <f aca="false">IF($B450="","",IF(NOT(ISNUMBER($B450)),"日期不是日期格式",IF(YEAR($B450)&lt;&gt;首页!$B$3,"不在会计年度",IF($E450="","未选收支科目",IF($D450="⚠","收支科目不存在",IF($F450="","未选账户",IF($T450="","账户未设资金科目",IF(AND($D450="转账",$U450=""),"转入账户无效",IF(AND(N($K450)&gt;0,N($L450)&gt;0),"收支不能同时填",IF(AND($D450="收入",N($K450)&lt;=0),"收入金额须大于0",IF(AND($D450&lt;&gt;"收入",N($L450)&lt;=0),"支出金额须大于0",IF($O450="","借方科目缺失",IF($P450="","贷方科目缺失","√")))))))))))))</f>
        <v/>
      </c>
      <c r="N450" s="48" t="str">
        <f aca="false">IF($B450="","",IF($D450="收入",N($K450),N($L450)))</f>
        <v/>
      </c>
      <c r="O450" s="49" t="str">
        <f aca="false">IF($B450="","",IF($D450="收入",$T450,IF($D450="转账",$U450,$S450)))</f>
        <v/>
      </c>
      <c r="P450" s="49" t="str">
        <f aca="false">IF($B450="","",IF($D450="收入",$S450,$T450))</f>
        <v/>
      </c>
      <c r="Q450" s="50" t="str">
        <f aca="false">IF($E450="","",IF($D450="转账","—",IFERROR(INDEX(科目参数!$P$6:$P$85,MATCH($E450,科目参数!$M$6:$M$85,0)),"")))</f>
        <v/>
      </c>
      <c r="R450" s="48" t="str">
        <f aca="false">IF($B450="","",SUMIFS(期初数据!$B$6:$B$35,期初数据!$A$6:$A$35,$F450)+SUMIFS($N$5:$N450,$F$5:$F450,$F450,$D$5:$D450,"收入")-SUMIFS($N$5:$N450,$F$5:$F450,$F450,$D$5:$D450,"支出")-SUMIFS($N$5:$N450,$F$5:$F450,$F450,$D$5:$D450,"转账")+SUMIFS($N$5:$N450,$G$5:$G450,$F450,$D$5:$D450,"转账"))</f>
        <v/>
      </c>
      <c r="S450" s="49" t="str">
        <f aca="false">IF($E450="","",IFERROR(INDEX(科目参数!$N$6:$N$85,MATCH($E450,科目参数!$M$6:$M$85,0)),""))</f>
        <v/>
      </c>
      <c r="T450" s="49" t="str">
        <f aca="false">IF($F450="","",IFERROR(INDEX(基础资料!$C$6:$C$35,MATCH($F450,基础资料!$A$6:$A$35,0)),""))</f>
        <v/>
      </c>
      <c r="U450" s="49" t="str">
        <f aca="false">IF($G450="","",IFERROR(INDEX(基础资料!$C$6:$C$35,MATCH($G450,基础资料!$A$6:$A$35,0)),""))</f>
        <v/>
      </c>
      <c r="V450" s="49" t="str">
        <f aca="false">IF(AND($G450=客户对账单!$B$3,$E450="客户回款",$B450&gt;=客户对账单!$E$3,$B450&lt;=客户对账单!$H$3),COUNTIFS($G$5:$G450,客户对账单!$B$3,$E$5:$E450,"客户回款",$B$5:$B450,"&gt;="&amp;客户对账单!$E$3,$B$5:$B450,"&lt;="&amp;客户对账单!$H$3),"")</f>
        <v/>
      </c>
      <c r="W450" s="49" t="str">
        <f aca="false">IF(AND($G450=供应商对账单!$B$3,$E450="供应商付款",$B450&gt;=供应商对账单!$E$3,$B450&lt;=供应商对账单!$H$3),COUNTIFS($G$5:$G450,供应商对账单!$B$3,$E$5:$E450,"供应商付款",$B$5:$B450,"&gt;="&amp;供应商对账单!$E$3,$B$5:$B450,"&lt;="&amp;供应商对账单!$H$3),"")</f>
        <v/>
      </c>
    </row>
    <row r="451" customFormat="false" ht="15.75" hidden="false" customHeight="true" outlineLevel="0" collapsed="false">
      <c r="A451" s="42" t="str">
        <f aca="false">IF($B451="","","ZJ"&amp;TEXT($B451,"yyyymm")&amp;"-"&amp;TEXT(ROW()-4,"000"))</f>
        <v/>
      </c>
      <c r="B451" s="41"/>
      <c r="C451" s="42" t="str">
        <f aca="false">IF($B451="","",TEXT($B451,"yyyy-mm"))</f>
        <v/>
      </c>
      <c r="D451" s="42" t="str">
        <f aca="false">IF($E451="","",IFERROR(INDEX(科目参数!$L$6:$L$85,MATCH($E451,科目参数!$M$6:$M$85,0)),"⚠"))</f>
        <v/>
      </c>
      <c r="E451" s="33"/>
      <c r="F451" s="33"/>
      <c r="G451" s="36"/>
      <c r="H451" s="33"/>
      <c r="I451" s="33"/>
      <c r="J451" s="36"/>
      <c r="K451" s="40"/>
      <c r="L451" s="40"/>
      <c r="M451" s="47" t="str">
        <f aca="false">IF($B451="","",IF(NOT(ISNUMBER($B451)),"日期不是日期格式",IF(YEAR($B451)&lt;&gt;首页!$B$3,"不在会计年度",IF($E451="","未选收支科目",IF($D451="⚠","收支科目不存在",IF($F451="","未选账户",IF($T451="","账户未设资金科目",IF(AND($D451="转账",$U451=""),"转入账户无效",IF(AND(N($K451)&gt;0,N($L451)&gt;0),"收支不能同时填",IF(AND($D451="收入",N($K451)&lt;=0),"收入金额须大于0",IF(AND($D451&lt;&gt;"收入",N($L451)&lt;=0),"支出金额须大于0",IF($O451="","借方科目缺失",IF($P451="","贷方科目缺失","√")))))))))))))</f>
        <v/>
      </c>
      <c r="N451" s="48" t="str">
        <f aca="false">IF($B451="","",IF($D451="收入",N($K451),N($L451)))</f>
        <v/>
      </c>
      <c r="O451" s="49" t="str">
        <f aca="false">IF($B451="","",IF($D451="收入",$T451,IF($D451="转账",$U451,$S451)))</f>
        <v/>
      </c>
      <c r="P451" s="49" t="str">
        <f aca="false">IF($B451="","",IF($D451="收入",$S451,$T451))</f>
        <v/>
      </c>
      <c r="Q451" s="50" t="str">
        <f aca="false">IF($E451="","",IF($D451="转账","—",IFERROR(INDEX(科目参数!$P$6:$P$85,MATCH($E451,科目参数!$M$6:$M$85,0)),"")))</f>
        <v/>
      </c>
      <c r="R451" s="48" t="str">
        <f aca="false">IF($B451="","",SUMIFS(期初数据!$B$6:$B$35,期初数据!$A$6:$A$35,$F451)+SUMIFS($N$5:$N451,$F$5:$F451,$F451,$D$5:$D451,"收入")-SUMIFS($N$5:$N451,$F$5:$F451,$F451,$D$5:$D451,"支出")-SUMIFS($N$5:$N451,$F$5:$F451,$F451,$D$5:$D451,"转账")+SUMIFS($N$5:$N451,$G$5:$G451,$F451,$D$5:$D451,"转账"))</f>
        <v/>
      </c>
      <c r="S451" s="49" t="str">
        <f aca="false">IF($E451="","",IFERROR(INDEX(科目参数!$N$6:$N$85,MATCH($E451,科目参数!$M$6:$M$85,0)),""))</f>
        <v/>
      </c>
      <c r="T451" s="49" t="str">
        <f aca="false">IF($F451="","",IFERROR(INDEX(基础资料!$C$6:$C$35,MATCH($F451,基础资料!$A$6:$A$35,0)),""))</f>
        <v/>
      </c>
      <c r="U451" s="49" t="str">
        <f aca="false">IF($G451="","",IFERROR(INDEX(基础资料!$C$6:$C$35,MATCH($G451,基础资料!$A$6:$A$35,0)),""))</f>
        <v/>
      </c>
      <c r="V451" s="49" t="str">
        <f aca="false">IF(AND($G451=客户对账单!$B$3,$E451="客户回款",$B451&gt;=客户对账单!$E$3,$B451&lt;=客户对账单!$H$3),COUNTIFS($G$5:$G451,客户对账单!$B$3,$E$5:$E451,"客户回款",$B$5:$B451,"&gt;="&amp;客户对账单!$E$3,$B$5:$B451,"&lt;="&amp;客户对账单!$H$3),"")</f>
        <v/>
      </c>
      <c r="W451" s="49" t="str">
        <f aca="false">IF(AND($G451=供应商对账单!$B$3,$E451="供应商付款",$B451&gt;=供应商对账单!$E$3,$B451&lt;=供应商对账单!$H$3),COUNTIFS($G$5:$G451,供应商对账单!$B$3,$E$5:$E451,"供应商付款",$B$5:$B451,"&gt;="&amp;供应商对账单!$E$3,$B$5:$B451,"&lt;="&amp;供应商对账单!$H$3),"")</f>
        <v/>
      </c>
    </row>
    <row r="452" customFormat="false" ht="15.75" hidden="false" customHeight="true" outlineLevel="0" collapsed="false">
      <c r="A452" s="42" t="str">
        <f aca="false">IF($B452="","","ZJ"&amp;TEXT($B452,"yyyymm")&amp;"-"&amp;TEXT(ROW()-4,"000"))</f>
        <v/>
      </c>
      <c r="B452" s="41"/>
      <c r="C452" s="42" t="str">
        <f aca="false">IF($B452="","",TEXT($B452,"yyyy-mm"))</f>
        <v/>
      </c>
      <c r="D452" s="42" t="str">
        <f aca="false">IF($E452="","",IFERROR(INDEX(科目参数!$L$6:$L$85,MATCH($E452,科目参数!$M$6:$M$85,0)),"⚠"))</f>
        <v/>
      </c>
      <c r="E452" s="33"/>
      <c r="F452" s="33"/>
      <c r="G452" s="36"/>
      <c r="H452" s="33"/>
      <c r="I452" s="33"/>
      <c r="J452" s="36"/>
      <c r="K452" s="40"/>
      <c r="L452" s="40"/>
      <c r="M452" s="47" t="str">
        <f aca="false">IF($B452="","",IF(NOT(ISNUMBER($B452)),"日期不是日期格式",IF(YEAR($B452)&lt;&gt;首页!$B$3,"不在会计年度",IF($E452="","未选收支科目",IF($D452="⚠","收支科目不存在",IF($F452="","未选账户",IF($T452="","账户未设资金科目",IF(AND($D452="转账",$U452=""),"转入账户无效",IF(AND(N($K452)&gt;0,N($L452)&gt;0),"收支不能同时填",IF(AND($D452="收入",N($K452)&lt;=0),"收入金额须大于0",IF(AND($D452&lt;&gt;"收入",N($L452)&lt;=0),"支出金额须大于0",IF($O452="","借方科目缺失",IF($P452="","贷方科目缺失","√")))))))))))))</f>
        <v/>
      </c>
      <c r="N452" s="48" t="str">
        <f aca="false">IF($B452="","",IF($D452="收入",N($K452),N($L452)))</f>
        <v/>
      </c>
      <c r="O452" s="49" t="str">
        <f aca="false">IF($B452="","",IF($D452="收入",$T452,IF($D452="转账",$U452,$S452)))</f>
        <v/>
      </c>
      <c r="P452" s="49" t="str">
        <f aca="false">IF($B452="","",IF($D452="收入",$S452,$T452))</f>
        <v/>
      </c>
      <c r="Q452" s="50" t="str">
        <f aca="false">IF($E452="","",IF($D452="转账","—",IFERROR(INDEX(科目参数!$P$6:$P$85,MATCH($E452,科目参数!$M$6:$M$85,0)),"")))</f>
        <v/>
      </c>
      <c r="R452" s="48" t="str">
        <f aca="false">IF($B452="","",SUMIFS(期初数据!$B$6:$B$35,期初数据!$A$6:$A$35,$F452)+SUMIFS($N$5:$N452,$F$5:$F452,$F452,$D$5:$D452,"收入")-SUMIFS($N$5:$N452,$F$5:$F452,$F452,$D$5:$D452,"支出")-SUMIFS($N$5:$N452,$F$5:$F452,$F452,$D$5:$D452,"转账")+SUMIFS($N$5:$N452,$G$5:$G452,$F452,$D$5:$D452,"转账"))</f>
        <v/>
      </c>
      <c r="S452" s="49" t="str">
        <f aca="false">IF($E452="","",IFERROR(INDEX(科目参数!$N$6:$N$85,MATCH($E452,科目参数!$M$6:$M$85,0)),""))</f>
        <v/>
      </c>
      <c r="T452" s="49" t="str">
        <f aca="false">IF($F452="","",IFERROR(INDEX(基础资料!$C$6:$C$35,MATCH($F452,基础资料!$A$6:$A$35,0)),""))</f>
        <v/>
      </c>
      <c r="U452" s="49" t="str">
        <f aca="false">IF($G452="","",IFERROR(INDEX(基础资料!$C$6:$C$35,MATCH($G452,基础资料!$A$6:$A$35,0)),""))</f>
        <v/>
      </c>
      <c r="V452" s="49" t="str">
        <f aca="false">IF(AND($G452=客户对账单!$B$3,$E452="客户回款",$B452&gt;=客户对账单!$E$3,$B452&lt;=客户对账单!$H$3),COUNTIFS($G$5:$G452,客户对账单!$B$3,$E$5:$E452,"客户回款",$B$5:$B452,"&gt;="&amp;客户对账单!$E$3,$B$5:$B452,"&lt;="&amp;客户对账单!$H$3),"")</f>
        <v/>
      </c>
      <c r="W452" s="49" t="str">
        <f aca="false">IF(AND($G452=供应商对账单!$B$3,$E452="供应商付款",$B452&gt;=供应商对账单!$E$3,$B452&lt;=供应商对账单!$H$3),COUNTIFS($G$5:$G452,供应商对账单!$B$3,$E$5:$E452,"供应商付款",$B$5:$B452,"&gt;="&amp;供应商对账单!$E$3,$B$5:$B452,"&lt;="&amp;供应商对账单!$H$3),"")</f>
        <v/>
      </c>
    </row>
    <row r="453" customFormat="false" ht="15.75" hidden="false" customHeight="true" outlineLevel="0" collapsed="false">
      <c r="A453" s="42" t="str">
        <f aca="false">IF($B453="","","ZJ"&amp;TEXT($B453,"yyyymm")&amp;"-"&amp;TEXT(ROW()-4,"000"))</f>
        <v/>
      </c>
      <c r="B453" s="41"/>
      <c r="C453" s="42" t="str">
        <f aca="false">IF($B453="","",TEXT($B453,"yyyy-mm"))</f>
        <v/>
      </c>
      <c r="D453" s="42" t="str">
        <f aca="false">IF($E453="","",IFERROR(INDEX(科目参数!$L$6:$L$85,MATCH($E453,科目参数!$M$6:$M$85,0)),"⚠"))</f>
        <v/>
      </c>
      <c r="E453" s="33"/>
      <c r="F453" s="33"/>
      <c r="G453" s="36"/>
      <c r="H453" s="33"/>
      <c r="I453" s="33"/>
      <c r="J453" s="36"/>
      <c r="K453" s="40"/>
      <c r="L453" s="40"/>
      <c r="M453" s="47" t="str">
        <f aca="false">IF($B453="","",IF(NOT(ISNUMBER($B453)),"日期不是日期格式",IF(YEAR($B453)&lt;&gt;首页!$B$3,"不在会计年度",IF($E453="","未选收支科目",IF($D453="⚠","收支科目不存在",IF($F453="","未选账户",IF($T453="","账户未设资金科目",IF(AND($D453="转账",$U453=""),"转入账户无效",IF(AND(N($K453)&gt;0,N($L453)&gt;0),"收支不能同时填",IF(AND($D453="收入",N($K453)&lt;=0),"收入金额须大于0",IF(AND($D453&lt;&gt;"收入",N($L453)&lt;=0),"支出金额须大于0",IF($O453="","借方科目缺失",IF($P453="","贷方科目缺失","√")))))))))))))</f>
        <v/>
      </c>
      <c r="N453" s="48" t="str">
        <f aca="false">IF($B453="","",IF($D453="收入",N($K453),N($L453)))</f>
        <v/>
      </c>
      <c r="O453" s="49" t="str">
        <f aca="false">IF($B453="","",IF($D453="收入",$T453,IF($D453="转账",$U453,$S453)))</f>
        <v/>
      </c>
      <c r="P453" s="49" t="str">
        <f aca="false">IF($B453="","",IF($D453="收入",$S453,$T453))</f>
        <v/>
      </c>
      <c r="Q453" s="50" t="str">
        <f aca="false">IF($E453="","",IF($D453="转账","—",IFERROR(INDEX(科目参数!$P$6:$P$85,MATCH($E453,科目参数!$M$6:$M$85,0)),"")))</f>
        <v/>
      </c>
      <c r="R453" s="48" t="str">
        <f aca="false">IF($B453="","",SUMIFS(期初数据!$B$6:$B$35,期初数据!$A$6:$A$35,$F453)+SUMIFS($N$5:$N453,$F$5:$F453,$F453,$D$5:$D453,"收入")-SUMIFS($N$5:$N453,$F$5:$F453,$F453,$D$5:$D453,"支出")-SUMIFS($N$5:$N453,$F$5:$F453,$F453,$D$5:$D453,"转账")+SUMIFS($N$5:$N453,$G$5:$G453,$F453,$D$5:$D453,"转账"))</f>
        <v/>
      </c>
      <c r="S453" s="49" t="str">
        <f aca="false">IF($E453="","",IFERROR(INDEX(科目参数!$N$6:$N$85,MATCH($E453,科目参数!$M$6:$M$85,0)),""))</f>
        <v/>
      </c>
      <c r="T453" s="49" t="str">
        <f aca="false">IF($F453="","",IFERROR(INDEX(基础资料!$C$6:$C$35,MATCH($F453,基础资料!$A$6:$A$35,0)),""))</f>
        <v/>
      </c>
      <c r="U453" s="49" t="str">
        <f aca="false">IF($G453="","",IFERROR(INDEX(基础资料!$C$6:$C$35,MATCH($G453,基础资料!$A$6:$A$35,0)),""))</f>
        <v/>
      </c>
      <c r="V453" s="49" t="str">
        <f aca="false">IF(AND($G453=客户对账单!$B$3,$E453="客户回款",$B453&gt;=客户对账单!$E$3,$B453&lt;=客户对账单!$H$3),COUNTIFS($G$5:$G453,客户对账单!$B$3,$E$5:$E453,"客户回款",$B$5:$B453,"&gt;="&amp;客户对账单!$E$3,$B$5:$B453,"&lt;="&amp;客户对账单!$H$3),"")</f>
        <v/>
      </c>
      <c r="W453" s="49" t="str">
        <f aca="false">IF(AND($G453=供应商对账单!$B$3,$E453="供应商付款",$B453&gt;=供应商对账单!$E$3,$B453&lt;=供应商对账单!$H$3),COUNTIFS($G$5:$G453,供应商对账单!$B$3,$E$5:$E453,"供应商付款",$B$5:$B453,"&gt;="&amp;供应商对账单!$E$3,$B$5:$B453,"&lt;="&amp;供应商对账单!$H$3),"")</f>
        <v/>
      </c>
    </row>
    <row r="454" customFormat="false" ht="15.75" hidden="false" customHeight="true" outlineLevel="0" collapsed="false">
      <c r="A454" s="42" t="str">
        <f aca="false">IF($B454="","","ZJ"&amp;TEXT($B454,"yyyymm")&amp;"-"&amp;TEXT(ROW()-4,"000"))</f>
        <v/>
      </c>
      <c r="B454" s="41"/>
      <c r="C454" s="42" t="str">
        <f aca="false">IF($B454="","",TEXT($B454,"yyyy-mm"))</f>
        <v/>
      </c>
      <c r="D454" s="42" t="str">
        <f aca="false">IF($E454="","",IFERROR(INDEX(科目参数!$L$6:$L$85,MATCH($E454,科目参数!$M$6:$M$85,0)),"⚠"))</f>
        <v/>
      </c>
      <c r="E454" s="33"/>
      <c r="F454" s="33"/>
      <c r="G454" s="36"/>
      <c r="H454" s="33"/>
      <c r="I454" s="33"/>
      <c r="J454" s="36"/>
      <c r="K454" s="40"/>
      <c r="L454" s="40"/>
      <c r="M454" s="47" t="str">
        <f aca="false">IF($B454="","",IF(NOT(ISNUMBER($B454)),"日期不是日期格式",IF(YEAR($B454)&lt;&gt;首页!$B$3,"不在会计年度",IF($E454="","未选收支科目",IF($D454="⚠","收支科目不存在",IF($F454="","未选账户",IF($T454="","账户未设资金科目",IF(AND($D454="转账",$U454=""),"转入账户无效",IF(AND(N($K454)&gt;0,N($L454)&gt;0),"收支不能同时填",IF(AND($D454="收入",N($K454)&lt;=0),"收入金额须大于0",IF(AND($D454&lt;&gt;"收入",N($L454)&lt;=0),"支出金额须大于0",IF($O454="","借方科目缺失",IF($P454="","贷方科目缺失","√")))))))))))))</f>
        <v/>
      </c>
      <c r="N454" s="48" t="str">
        <f aca="false">IF($B454="","",IF($D454="收入",N($K454),N($L454)))</f>
        <v/>
      </c>
      <c r="O454" s="49" t="str">
        <f aca="false">IF($B454="","",IF($D454="收入",$T454,IF($D454="转账",$U454,$S454)))</f>
        <v/>
      </c>
      <c r="P454" s="49" t="str">
        <f aca="false">IF($B454="","",IF($D454="收入",$S454,$T454))</f>
        <v/>
      </c>
      <c r="Q454" s="50" t="str">
        <f aca="false">IF($E454="","",IF($D454="转账","—",IFERROR(INDEX(科目参数!$P$6:$P$85,MATCH($E454,科目参数!$M$6:$M$85,0)),"")))</f>
        <v/>
      </c>
      <c r="R454" s="48" t="str">
        <f aca="false">IF($B454="","",SUMIFS(期初数据!$B$6:$B$35,期初数据!$A$6:$A$35,$F454)+SUMIFS($N$5:$N454,$F$5:$F454,$F454,$D$5:$D454,"收入")-SUMIFS($N$5:$N454,$F$5:$F454,$F454,$D$5:$D454,"支出")-SUMIFS($N$5:$N454,$F$5:$F454,$F454,$D$5:$D454,"转账")+SUMIFS($N$5:$N454,$G$5:$G454,$F454,$D$5:$D454,"转账"))</f>
        <v/>
      </c>
      <c r="S454" s="49" t="str">
        <f aca="false">IF($E454="","",IFERROR(INDEX(科目参数!$N$6:$N$85,MATCH($E454,科目参数!$M$6:$M$85,0)),""))</f>
        <v/>
      </c>
      <c r="T454" s="49" t="str">
        <f aca="false">IF($F454="","",IFERROR(INDEX(基础资料!$C$6:$C$35,MATCH($F454,基础资料!$A$6:$A$35,0)),""))</f>
        <v/>
      </c>
      <c r="U454" s="49" t="str">
        <f aca="false">IF($G454="","",IFERROR(INDEX(基础资料!$C$6:$C$35,MATCH($G454,基础资料!$A$6:$A$35,0)),""))</f>
        <v/>
      </c>
      <c r="V454" s="49" t="str">
        <f aca="false">IF(AND($G454=客户对账单!$B$3,$E454="客户回款",$B454&gt;=客户对账单!$E$3,$B454&lt;=客户对账单!$H$3),COUNTIFS($G$5:$G454,客户对账单!$B$3,$E$5:$E454,"客户回款",$B$5:$B454,"&gt;="&amp;客户对账单!$E$3,$B$5:$B454,"&lt;="&amp;客户对账单!$H$3),"")</f>
        <v/>
      </c>
      <c r="W454" s="49" t="str">
        <f aca="false">IF(AND($G454=供应商对账单!$B$3,$E454="供应商付款",$B454&gt;=供应商对账单!$E$3,$B454&lt;=供应商对账单!$H$3),COUNTIFS($G$5:$G454,供应商对账单!$B$3,$E$5:$E454,"供应商付款",$B$5:$B454,"&gt;="&amp;供应商对账单!$E$3,$B$5:$B454,"&lt;="&amp;供应商对账单!$H$3),"")</f>
        <v/>
      </c>
    </row>
    <row r="455" customFormat="false" ht="15.75" hidden="false" customHeight="true" outlineLevel="0" collapsed="false">
      <c r="A455" s="42" t="str">
        <f aca="false">IF($B455="","","ZJ"&amp;TEXT($B455,"yyyymm")&amp;"-"&amp;TEXT(ROW()-4,"000"))</f>
        <v/>
      </c>
      <c r="B455" s="41"/>
      <c r="C455" s="42" t="str">
        <f aca="false">IF($B455="","",TEXT($B455,"yyyy-mm"))</f>
        <v/>
      </c>
      <c r="D455" s="42" t="str">
        <f aca="false">IF($E455="","",IFERROR(INDEX(科目参数!$L$6:$L$85,MATCH($E455,科目参数!$M$6:$M$85,0)),"⚠"))</f>
        <v/>
      </c>
      <c r="E455" s="33"/>
      <c r="F455" s="33"/>
      <c r="G455" s="36"/>
      <c r="H455" s="33"/>
      <c r="I455" s="33"/>
      <c r="J455" s="36"/>
      <c r="K455" s="40"/>
      <c r="L455" s="40"/>
      <c r="M455" s="47" t="str">
        <f aca="false">IF($B455="","",IF(NOT(ISNUMBER($B455)),"日期不是日期格式",IF(YEAR($B455)&lt;&gt;首页!$B$3,"不在会计年度",IF($E455="","未选收支科目",IF($D455="⚠","收支科目不存在",IF($F455="","未选账户",IF($T455="","账户未设资金科目",IF(AND($D455="转账",$U455=""),"转入账户无效",IF(AND(N($K455)&gt;0,N($L455)&gt;0),"收支不能同时填",IF(AND($D455="收入",N($K455)&lt;=0),"收入金额须大于0",IF(AND($D455&lt;&gt;"收入",N($L455)&lt;=0),"支出金额须大于0",IF($O455="","借方科目缺失",IF($P455="","贷方科目缺失","√")))))))))))))</f>
        <v/>
      </c>
      <c r="N455" s="48" t="str">
        <f aca="false">IF($B455="","",IF($D455="收入",N($K455),N($L455)))</f>
        <v/>
      </c>
      <c r="O455" s="49" t="str">
        <f aca="false">IF($B455="","",IF($D455="收入",$T455,IF($D455="转账",$U455,$S455)))</f>
        <v/>
      </c>
      <c r="P455" s="49" t="str">
        <f aca="false">IF($B455="","",IF($D455="收入",$S455,$T455))</f>
        <v/>
      </c>
      <c r="Q455" s="50" t="str">
        <f aca="false">IF($E455="","",IF($D455="转账","—",IFERROR(INDEX(科目参数!$P$6:$P$85,MATCH($E455,科目参数!$M$6:$M$85,0)),"")))</f>
        <v/>
      </c>
      <c r="R455" s="48" t="str">
        <f aca="false">IF($B455="","",SUMIFS(期初数据!$B$6:$B$35,期初数据!$A$6:$A$35,$F455)+SUMIFS($N$5:$N455,$F$5:$F455,$F455,$D$5:$D455,"收入")-SUMIFS($N$5:$N455,$F$5:$F455,$F455,$D$5:$D455,"支出")-SUMIFS($N$5:$N455,$F$5:$F455,$F455,$D$5:$D455,"转账")+SUMIFS($N$5:$N455,$G$5:$G455,$F455,$D$5:$D455,"转账"))</f>
        <v/>
      </c>
      <c r="S455" s="49" t="str">
        <f aca="false">IF($E455="","",IFERROR(INDEX(科目参数!$N$6:$N$85,MATCH($E455,科目参数!$M$6:$M$85,0)),""))</f>
        <v/>
      </c>
      <c r="T455" s="49" t="str">
        <f aca="false">IF($F455="","",IFERROR(INDEX(基础资料!$C$6:$C$35,MATCH($F455,基础资料!$A$6:$A$35,0)),""))</f>
        <v/>
      </c>
      <c r="U455" s="49" t="str">
        <f aca="false">IF($G455="","",IFERROR(INDEX(基础资料!$C$6:$C$35,MATCH($G455,基础资料!$A$6:$A$35,0)),""))</f>
        <v/>
      </c>
      <c r="V455" s="49" t="str">
        <f aca="false">IF(AND($G455=客户对账单!$B$3,$E455="客户回款",$B455&gt;=客户对账单!$E$3,$B455&lt;=客户对账单!$H$3),COUNTIFS($G$5:$G455,客户对账单!$B$3,$E$5:$E455,"客户回款",$B$5:$B455,"&gt;="&amp;客户对账单!$E$3,$B$5:$B455,"&lt;="&amp;客户对账单!$H$3),"")</f>
        <v/>
      </c>
      <c r="W455" s="49" t="str">
        <f aca="false">IF(AND($G455=供应商对账单!$B$3,$E455="供应商付款",$B455&gt;=供应商对账单!$E$3,$B455&lt;=供应商对账单!$H$3),COUNTIFS($G$5:$G455,供应商对账单!$B$3,$E$5:$E455,"供应商付款",$B$5:$B455,"&gt;="&amp;供应商对账单!$E$3,$B$5:$B455,"&lt;="&amp;供应商对账单!$H$3),"")</f>
        <v/>
      </c>
    </row>
    <row r="456" customFormat="false" ht="15.75" hidden="false" customHeight="true" outlineLevel="0" collapsed="false">
      <c r="A456" s="42" t="str">
        <f aca="false">IF($B456="","","ZJ"&amp;TEXT($B456,"yyyymm")&amp;"-"&amp;TEXT(ROW()-4,"000"))</f>
        <v/>
      </c>
      <c r="B456" s="41"/>
      <c r="C456" s="42" t="str">
        <f aca="false">IF($B456="","",TEXT($B456,"yyyy-mm"))</f>
        <v/>
      </c>
      <c r="D456" s="42" t="str">
        <f aca="false">IF($E456="","",IFERROR(INDEX(科目参数!$L$6:$L$85,MATCH($E456,科目参数!$M$6:$M$85,0)),"⚠"))</f>
        <v/>
      </c>
      <c r="E456" s="33"/>
      <c r="F456" s="33"/>
      <c r="G456" s="36"/>
      <c r="H456" s="33"/>
      <c r="I456" s="33"/>
      <c r="J456" s="36"/>
      <c r="K456" s="40"/>
      <c r="L456" s="40"/>
      <c r="M456" s="47" t="str">
        <f aca="false">IF($B456="","",IF(NOT(ISNUMBER($B456)),"日期不是日期格式",IF(YEAR($B456)&lt;&gt;首页!$B$3,"不在会计年度",IF($E456="","未选收支科目",IF($D456="⚠","收支科目不存在",IF($F456="","未选账户",IF($T456="","账户未设资金科目",IF(AND($D456="转账",$U456=""),"转入账户无效",IF(AND(N($K456)&gt;0,N($L456)&gt;0),"收支不能同时填",IF(AND($D456="收入",N($K456)&lt;=0),"收入金额须大于0",IF(AND($D456&lt;&gt;"收入",N($L456)&lt;=0),"支出金额须大于0",IF($O456="","借方科目缺失",IF($P456="","贷方科目缺失","√")))))))))))))</f>
        <v/>
      </c>
      <c r="N456" s="48" t="str">
        <f aca="false">IF($B456="","",IF($D456="收入",N($K456),N($L456)))</f>
        <v/>
      </c>
      <c r="O456" s="49" t="str">
        <f aca="false">IF($B456="","",IF($D456="收入",$T456,IF($D456="转账",$U456,$S456)))</f>
        <v/>
      </c>
      <c r="P456" s="49" t="str">
        <f aca="false">IF($B456="","",IF($D456="收入",$S456,$T456))</f>
        <v/>
      </c>
      <c r="Q456" s="50" t="str">
        <f aca="false">IF($E456="","",IF($D456="转账","—",IFERROR(INDEX(科目参数!$P$6:$P$85,MATCH($E456,科目参数!$M$6:$M$85,0)),"")))</f>
        <v/>
      </c>
      <c r="R456" s="48" t="str">
        <f aca="false">IF($B456="","",SUMIFS(期初数据!$B$6:$B$35,期初数据!$A$6:$A$35,$F456)+SUMIFS($N$5:$N456,$F$5:$F456,$F456,$D$5:$D456,"收入")-SUMIFS($N$5:$N456,$F$5:$F456,$F456,$D$5:$D456,"支出")-SUMIFS($N$5:$N456,$F$5:$F456,$F456,$D$5:$D456,"转账")+SUMIFS($N$5:$N456,$G$5:$G456,$F456,$D$5:$D456,"转账"))</f>
        <v/>
      </c>
      <c r="S456" s="49" t="str">
        <f aca="false">IF($E456="","",IFERROR(INDEX(科目参数!$N$6:$N$85,MATCH($E456,科目参数!$M$6:$M$85,0)),""))</f>
        <v/>
      </c>
      <c r="T456" s="49" t="str">
        <f aca="false">IF($F456="","",IFERROR(INDEX(基础资料!$C$6:$C$35,MATCH($F456,基础资料!$A$6:$A$35,0)),""))</f>
        <v/>
      </c>
      <c r="U456" s="49" t="str">
        <f aca="false">IF($G456="","",IFERROR(INDEX(基础资料!$C$6:$C$35,MATCH($G456,基础资料!$A$6:$A$35,0)),""))</f>
        <v/>
      </c>
      <c r="V456" s="49" t="str">
        <f aca="false">IF(AND($G456=客户对账单!$B$3,$E456="客户回款",$B456&gt;=客户对账单!$E$3,$B456&lt;=客户对账单!$H$3),COUNTIFS($G$5:$G456,客户对账单!$B$3,$E$5:$E456,"客户回款",$B$5:$B456,"&gt;="&amp;客户对账单!$E$3,$B$5:$B456,"&lt;="&amp;客户对账单!$H$3),"")</f>
        <v/>
      </c>
      <c r="W456" s="49" t="str">
        <f aca="false">IF(AND($G456=供应商对账单!$B$3,$E456="供应商付款",$B456&gt;=供应商对账单!$E$3,$B456&lt;=供应商对账单!$H$3),COUNTIFS($G$5:$G456,供应商对账单!$B$3,$E$5:$E456,"供应商付款",$B$5:$B456,"&gt;="&amp;供应商对账单!$E$3,$B$5:$B456,"&lt;="&amp;供应商对账单!$H$3),"")</f>
        <v/>
      </c>
    </row>
    <row r="457" customFormat="false" ht="15.75" hidden="false" customHeight="true" outlineLevel="0" collapsed="false">
      <c r="A457" s="42" t="str">
        <f aca="false">IF($B457="","","ZJ"&amp;TEXT($B457,"yyyymm")&amp;"-"&amp;TEXT(ROW()-4,"000"))</f>
        <v/>
      </c>
      <c r="B457" s="41"/>
      <c r="C457" s="42" t="str">
        <f aca="false">IF($B457="","",TEXT($B457,"yyyy-mm"))</f>
        <v/>
      </c>
      <c r="D457" s="42" t="str">
        <f aca="false">IF($E457="","",IFERROR(INDEX(科目参数!$L$6:$L$85,MATCH($E457,科目参数!$M$6:$M$85,0)),"⚠"))</f>
        <v/>
      </c>
      <c r="E457" s="33"/>
      <c r="F457" s="33"/>
      <c r="G457" s="36"/>
      <c r="H457" s="33"/>
      <c r="I457" s="33"/>
      <c r="J457" s="36"/>
      <c r="K457" s="40"/>
      <c r="L457" s="40"/>
      <c r="M457" s="47" t="str">
        <f aca="false">IF($B457="","",IF(NOT(ISNUMBER($B457)),"日期不是日期格式",IF(YEAR($B457)&lt;&gt;首页!$B$3,"不在会计年度",IF($E457="","未选收支科目",IF($D457="⚠","收支科目不存在",IF($F457="","未选账户",IF($T457="","账户未设资金科目",IF(AND($D457="转账",$U457=""),"转入账户无效",IF(AND(N($K457)&gt;0,N($L457)&gt;0),"收支不能同时填",IF(AND($D457="收入",N($K457)&lt;=0),"收入金额须大于0",IF(AND($D457&lt;&gt;"收入",N($L457)&lt;=0),"支出金额须大于0",IF($O457="","借方科目缺失",IF($P457="","贷方科目缺失","√")))))))))))))</f>
        <v/>
      </c>
      <c r="N457" s="48" t="str">
        <f aca="false">IF($B457="","",IF($D457="收入",N($K457),N($L457)))</f>
        <v/>
      </c>
      <c r="O457" s="49" t="str">
        <f aca="false">IF($B457="","",IF($D457="收入",$T457,IF($D457="转账",$U457,$S457)))</f>
        <v/>
      </c>
      <c r="P457" s="49" t="str">
        <f aca="false">IF($B457="","",IF($D457="收入",$S457,$T457))</f>
        <v/>
      </c>
      <c r="Q457" s="50" t="str">
        <f aca="false">IF($E457="","",IF($D457="转账","—",IFERROR(INDEX(科目参数!$P$6:$P$85,MATCH($E457,科目参数!$M$6:$M$85,0)),"")))</f>
        <v/>
      </c>
      <c r="R457" s="48" t="str">
        <f aca="false">IF($B457="","",SUMIFS(期初数据!$B$6:$B$35,期初数据!$A$6:$A$35,$F457)+SUMIFS($N$5:$N457,$F$5:$F457,$F457,$D$5:$D457,"收入")-SUMIFS($N$5:$N457,$F$5:$F457,$F457,$D$5:$D457,"支出")-SUMIFS($N$5:$N457,$F$5:$F457,$F457,$D$5:$D457,"转账")+SUMIFS($N$5:$N457,$G$5:$G457,$F457,$D$5:$D457,"转账"))</f>
        <v/>
      </c>
      <c r="S457" s="49" t="str">
        <f aca="false">IF($E457="","",IFERROR(INDEX(科目参数!$N$6:$N$85,MATCH($E457,科目参数!$M$6:$M$85,0)),""))</f>
        <v/>
      </c>
      <c r="T457" s="49" t="str">
        <f aca="false">IF($F457="","",IFERROR(INDEX(基础资料!$C$6:$C$35,MATCH($F457,基础资料!$A$6:$A$35,0)),""))</f>
        <v/>
      </c>
      <c r="U457" s="49" t="str">
        <f aca="false">IF($G457="","",IFERROR(INDEX(基础资料!$C$6:$C$35,MATCH($G457,基础资料!$A$6:$A$35,0)),""))</f>
        <v/>
      </c>
      <c r="V457" s="49" t="str">
        <f aca="false">IF(AND($G457=客户对账单!$B$3,$E457="客户回款",$B457&gt;=客户对账单!$E$3,$B457&lt;=客户对账单!$H$3),COUNTIFS($G$5:$G457,客户对账单!$B$3,$E$5:$E457,"客户回款",$B$5:$B457,"&gt;="&amp;客户对账单!$E$3,$B$5:$B457,"&lt;="&amp;客户对账单!$H$3),"")</f>
        <v/>
      </c>
      <c r="W457" s="49" t="str">
        <f aca="false">IF(AND($G457=供应商对账单!$B$3,$E457="供应商付款",$B457&gt;=供应商对账单!$E$3,$B457&lt;=供应商对账单!$H$3),COUNTIFS($G$5:$G457,供应商对账单!$B$3,$E$5:$E457,"供应商付款",$B$5:$B457,"&gt;="&amp;供应商对账单!$E$3,$B$5:$B457,"&lt;="&amp;供应商对账单!$H$3),"")</f>
        <v/>
      </c>
    </row>
    <row r="458" customFormat="false" ht="15.75" hidden="false" customHeight="true" outlineLevel="0" collapsed="false">
      <c r="A458" s="42" t="str">
        <f aca="false">IF($B458="","","ZJ"&amp;TEXT($B458,"yyyymm")&amp;"-"&amp;TEXT(ROW()-4,"000"))</f>
        <v/>
      </c>
      <c r="B458" s="41"/>
      <c r="C458" s="42" t="str">
        <f aca="false">IF($B458="","",TEXT($B458,"yyyy-mm"))</f>
        <v/>
      </c>
      <c r="D458" s="42" t="str">
        <f aca="false">IF($E458="","",IFERROR(INDEX(科目参数!$L$6:$L$85,MATCH($E458,科目参数!$M$6:$M$85,0)),"⚠"))</f>
        <v/>
      </c>
      <c r="E458" s="33"/>
      <c r="F458" s="33"/>
      <c r="G458" s="36"/>
      <c r="H458" s="33"/>
      <c r="I458" s="33"/>
      <c r="J458" s="36"/>
      <c r="K458" s="40"/>
      <c r="L458" s="40"/>
      <c r="M458" s="47" t="str">
        <f aca="false">IF($B458="","",IF(NOT(ISNUMBER($B458)),"日期不是日期格式",IF(YEAR($B458)&lt;&gt;首页!$B$3,"不在会计年度",IF($E458="","未选收支科目",IF($D458="⚠","收支科目不存在",IF($F458="","未选账户",IF($T458="","账户未设资金科目",IF(AND($D458="转账",$U458=""),"转入账户无效",IF(AND(N($K458)&gt;0,N($L458)&gt;0),"收支不能同时填",IF(AND($D458="收入",N($K458)&lt;=0),"收入金额须大于0",IF(AND($D458&lt;&gt;"收入",N($L458)&lt;=0),"支出金额须大于0",IF($O458="","借方科目缺失",IF($P458="","贷方科目缺失","√")))))))))))))</f>
        <v/>
      </c>
      <c r="N458" s="48" t="str">
        <f aca="false">IF($B458="","",IF($D458="收入",N($K458),N($L458)))</f>
        <v/>
      </c>
      <c r="O458" s="49" t="str">
        <f aca="false">IF($B458="","",IF($D458="收入",$T458,IF($D458="转账",$U458,$S458)))</f>
        <v/>
      </c>
      <c r="P458" s="49" t="str">
        <f aca="false">IF($B458="","",IF($D458="收入",$S458,$T458))</f>
        <v/>
      </c>
      <c r="Q458" s="50" t="str">
        <f aca="false">IF($E458="","",IF($D458="转账","—",IFERROR(INDEX(科目参数!$P$6:$P$85,MATCH($E458,科目参数!$M$6:$M$85,0)),"")))</f>
        <v/>
      </c>
      <c r="R458" s="48" t="str">
        <f aca="false">IF($B458="","",SUMIFS(期初数据!$B$6:$B$35,期初数据!$A$6:$A$35,$F458)+SUMIFS($N$5:$N458,$F$5:$F458,$F458,$D$5:$D458,"收入")-SUMIFS($N$5:$N458,$F$5:$F458,$F458,$D$5:$D458,"支出")-SUMIFS($N$5:$N458,$F$5:$F458,$F458,$D$5:$D458,"转账")+SUMIFS($N$5:$N458,$G$5:$G458,$F458,$D$5:$D458,"转账"))</f>
        <v/>
      </c>
      <c r="S458" s="49" t="str">
        <f aca="false">IF($E458="","",IFERROR(INDEX(科目参数!$N$6:$N$85,MATCH($E458,科目参数!$M$6:$M$85,0)),""))</f>
        <v/>
      </c>
      <c r="T458" s="49" t="str">
        <f aca="false">IF($F458="","",IFERROR(INDEX(基础资料!$C$6:$C$35,MATCH($F458,基础资料!$A$6:$A$35,0)),""))</f>
        <v/>
      </c>
      <c r="U458" s="49" t="str">
        <f aca="false">IF($G458="","",IFERROR(INDEX(基础资料!$C$6:$C$35,MATCH($G458,基础资料!$A$6:$A$35,0)),""))</f>
        <v/>
      </c>
      <c r="V458" s="49" t="str">
        <f aca="false">IF(AND($G458=客户对账单!$B$3,$E458="客户回款",$B458&gt;=客户对账单!$E$3,$B458&lt;=客户对账单!$H$3),COUNTIFS($G$5:$G458,客户对账单!$B$3,$E$5:$E458,"客户回款",$B$5:$B458,"&gt;="&amp;客户对账单!$E$3,$B$5:$B458,"&lt;="&amp;客户对账单!$H$3),"")</f>
        <v/>
      </c>
      <c r="W458" s="49" t="str">
        <f aca="false">IF(AND($G458=供应商对账单!$B$3,$E458="供应商付款",$B458&gt;=供应商对账单!$E$3,$B458&lt;=供应商对账单!$H$3),COUNTIFS($G$5:$G458,供应商对账单!$B$3,$E$5:$E458,"供应商付款",$B$5:$B458,"&gt;="&amp;供应商对账单!$E$3,$B$5:$B458,"&lt;="&amp;供应商对账单!$H$3),"")</f>
        <v/>
      </c>
    </row>
    <row r="459" customFormat="false" ht="15.75" hidden="false" customHeight="true" outlineLevel="0" collapsed="false">
      <c r="A459" s="42" t="str">
        <f aca="false">IF($B459="","","ZJ"&amp;TEXT($B459,"yyyymm")&amp;"-"&amp;TEXT(ROW()-4,"000"))</f>
        <v/>
      </c>
      <c r="B459" s="41"/>
      <c r="C459" s="42" t="str">
        <f aca="false">IF($B459="","",TEXT($B459,"yyyy-mm"))</f>
        <v/>
      </c>
      <c r="D459" s="42" t="str">
        <f aca="false">IF($E459="","",IFERROR(INDEX(科目参数!$L$6:$L$85,MATCH($E459,科目参数!$M$6:$M$85,0)),"⚠"))</f>
        <v/>
      </c>
      <c r="E459" s="33"/>
      <c r="F459" s="33"/>
      <c r="G459" s="36"/>
      <c r="H459" s="33"/>
      <c r="I459" s="33"/>
      <c r="J459" s="36"/>
      <c r="K459" s="40"/>
      <c r="L459" s="40"/>
      <c r="M459" s="47" t="str">
        <f aca="false">IF($B459="","",IF(NOT(ISNUMBER($B459)),"日期不是日期格式",IF(YEAR($B459)&lt;&gt;首页!$B$3,"不在会计年度",IF($E459="","未选收支科目",IF($D459="⚠","收支科目不存在",IF($F459="","未选账户",IF($T459="","账户未设资金科目",IF(AND($D459="转账",$U459=""),"转入账户无效",IF(AND(N($K459)&gt;0,N($L459)&gt;0),"收支不能同时填",IF(AND($D459="收入",N($K459)&lt;=0),"收入金额须大于0",IF(AND($D459&lt;&gt;"收入",N($L459)&lt;=0),"支出金额须大于0",IF($O459="","借方科目缺失",IF($P459="","贷方科目缺失","√")))))))))))))</f>
        <v/>
      </c>
      <c r="N459" s="48" t="str">
        <f aca="false">IF($B459="","",IF($D459="收入",N($K459),N($L459)))</f>
        <v/>
      </c>
      <c r="O459" s="49" t="str">
        <f aca="false">IF($B459="","",IF($D459="收入",$T459,IF($D459="转账",$U459,$S459)))</f>
        <v/>
      </c>
      <c r="P459" s="49" t="str">
        <f aca="false">IF($B459="","",IF($D459="收入",$S459,$T459))</f>
        <v/>
      </c>
      <c r="Q459" s="50" t="str">
        <f aca="false">IF($E459="","",IF($D459="转账","—",IFERROR(INDEX(科目参数!$P$6:$P$85,MATCH($E459,科目参数!$M$6:$M$85,0)),"")))</f>
        <v/>
      </c>
      <c r="R459" s="48" t="str">
        <f aca="false">IF($B459="","",SUMIFS(期初数据!$B$6:$B$35,期初数据!$A$6:$A$35,$F459)+SUMIFS($N$5:$N459,$F$5:$F459,$F459,$D$5:$D459,"收入")-SUMIFS($N$5:$N459,$F$5:$F459,$F459,$D$5:$D459,"支出")-SUMIFS($N$5:$N459,$F$5:$F459,$F459,$D$5:$D459,"转账")+SUMIFS($N$5:$N459,$G$5:$G459,$F459,$D$5:$D459,"转账"))</f>
        <v/>
      </c>
      <c r="S459" s="49" t="str">
        <f aca="false">IF($E459="","",IFERROR(INDEX(科目参数!$N$6:$N$85,MATCH($E459,科目参数!$M$6:$M$85,0)),""))</f>
        <v/>
      </c>
      <c r="T459" s="49" t="str">
        <f aca="false">IF($F459="","",IFERROR(INDEX(基础资料!$C$6:$C$35,MATCH($F459,基础资料!$A$6:$A$35,0)),""))</f>
        <v/>
      </c>
      <c r="U459" s="49" t="str">
        <f aca="false">IF($G459="","",IFERROR(INDEX(基础资料!$C$6:$C$35,MATCH($G459,基础资料!$A$6:$A$35,0)),""))</f>
        <v/>
      </c>
      <c r="V459" s="49" t="str">
        <f aca="false">IF(AND($G459=客户对账单!$B$3,$E459="客户回款",$B459&gt;=客户对账单!$E$3,$B459&lt;=客户对账单!$H$3),COUNTIFS($G$5:$G459,客户对账单!$B$3,$E$5:$E459,"客户回款",$B$5:$B459,"&gt;="&amp;客户对账单!$E$3,$B$5:$B459,"&lt;="&amp;客户对账单!$H$3),"")</f>
        <v/>
      </c>
      <c r="W459" s="49" t="str">
        <f aca="false">IF(AND($G459=供应商对账单!$B$3,$E459="供应商付款",$B459&gt;=供应商对账单!$E$3,$B459&lt;=供应商对账单!$H$3),COUNTIFS($G$5:$G459,供应商对账单!$B$3,$E$5:$E459,"供应商付款",$B$5:$B459,"&gt;="&amp;供应商对账单!$E$3,$B$5:$B459,"&lt;="&amp;供应商对账单!$H$3),"")</f>
        <v/>
      </c>
    </row>
    <row r="460" customFormat="false" ht="15.75" hidden="false" customHeight="true" outlineLevel="0" collapsed="false">
      <c r="A460" s="42" t="str">
        <f aca="false">IF($B460="","","ZJ"&amp;TEXT($B460,"yyyymm")&amp;"-"&amp;TEXT(ROW()-4,"000"))</f>
        <v/>
      </c>
      <c r="B460" s="41"/>
      <c r="C460" s="42" t="str">
        <f aca="false">IF($B460="","",TEXT($B460,"yyyy-mm"))</f>
        <v/>
      </c>
      <c r="D460" s="42" t="str">
        <f aca="false">IF($E460="","",IFERROR(INDEX(科目参数!$L$6:$L$85,MATCH($E460,科目参数!$M$6:$M$85,0)),"⚠"))</f>
        <v/>
      </c>
      <c r="E460" s="33"/>
      <c r="F460" s="33"/>
      <c r="G460" s="36"/>
      <c r="H460" s="33"/>
      <c r="I460" s="33"/>
      <c r="J460" s="36"/>
      <c r="K460" s="40"/>
      <c r="L460" s="40"/>
      <c r="M460" s="47" t="str">
        <f aca="false">IF($B460="","",IF(NOT(ISNUMBER($B460)),"日期不是日期格式",IF(YEAR($B460)&lt;&gt;首页!$B$3,"不在会计年度",IF($E460="","未选收支科目",IF($D460="⚠","收支科目不存在",IF($F460="","未选账户",IF($T460="","账户未设资金科目",IF(AND($D460="转账",$U460=""),"转入账户无效",IF(AND(N($K460)&gt;0,N($L460)&gt;0),"收支不能同时填",IF(AND($D460="收入",N($K460)&lt;=0),"收入金额须大于0",IF(AND($D460&lt;&gt;"收入",N($L460)&lt;=0),"支出金额须大于0",IF($O460="","借方科目缺失",IF($P460="","贷方科目缺失","√")))))))))))))</f>
        <v/>
      </c>
      <c r="N460" s="48" t="str">
        <f aca="false">IF($B460="","",IF($D460="收入",N($K460),N($L460)))</f>
        <v/>
      </c>
      <c r="O460" s="49" t="str">
        <f aca="false">IF($B460="","",IF($D460="收入",$T460,IF($D460="转账",$U460,$S460)))</f>
        <v/>
      </c>
      <c r="P460" s="49" t="str">
        <f aca="false">IF($B460="","",IF($D460="收入",$S460,$T460))</f>
        <v/>
      </c>
      <c r="Q460" s="50" t="str">
        <f aca="false">IF($E460="","",IF($D460="转账","—",IFERROR(INDEX(科目参数!$P$6:$P$85,MATCH($E460,科目参数!$M$6:$M$85,0)),"")))</f>
        <v/>
      </c>
      <c r="R460" s="48" t="str">
        <f aca="false">IF($B460="","",SUMIFS(期初数据!$B$6:$B$35,期初数据!$A$6:$A$35,$F460)+SUMIFS($N$5:$N460,$F$5:$F460,$F460,$D$5:$D460,"收入")-SUMIFS($N$5:$N460,$F$5:$F460,$F460,$D$5:$D460,"支出")-SUMIFS($N$5:$N460,$F$5:$F460,$F460,$D$5:$D460,"转账")+SUMIFS($N$5:$N460,$G$5:$G460,$F460,$D$5:$D460,"转账"))</f>
        <v/>
      </c>
      <c r="S460" s="49" t="str">
        <f aca="false">IF($E460="","",IFERROR(INDEX(科目参数!$N$6:$N$85,MATCH($E460,科目参数!$M$6:$M$85,0)),""))</f>
        <v/>
      </c>
      <c r="T460" s="49" t="str">
        <f aca="false">IF($F460="","",IFERROR(INDEX(基础资料!$C$6:$C$35,MATCH($F460,基础资料!$A$6:$A$35,0)),""))</f>
        <v/>
      </c>
      <c r="U460" s="49" t="str">
        <f aca="false">IF($G460="","",IFERROR(INDEX(基础资料!$C$6:$C$35,MATCH($G460,基础资料!$A$6:$A$35,0)),""))</f>
        <v/>
      </c>
      <c r="V460" s="49" t="str">
        <f aca="false">IF(AND($G460=客户对账单!$B$3,$E460="客户回款",$B460&gt;=客户对账单!$E$3,$B460&lt;=客户对账单!$H$3),COUNTIFS($G$5:$G460,客户对账单!$B$3,$E$5:$E460,"客户回款",$B$5:$B460,"&gt;="&amp;客户对账单!$E$3,$B$5:$B460,"&lt;="&amp;客户对账单!$H$3),"")</f>
        <v/>
      </c>
      <c r="W460" s="49" t="str">
        <f aca="false">IF(AND($G460=供应商对账单!$B$3,$E460="供应商付款",$B460&gt;=供应商对账单!$E$3,$B460&lt;=供应商对账单!$H$3),COUNTIFS($G$5:$G460,供应商对账单!$B$3,$E$5:$E460,"供应商付款",$B$5:$B460,"&gt;="&amp;供应商对账单!$E$3,$B$5:$B460,"&lt;="&amp;供应商对账单!$H$3),"")</f>
        <v/>
      </c>
    </row>
    <row r="461" customFormat="false" ht="15.75" hidden="false" customHeight="true" outlineLevel="0" collapsed="false">
      <c r="A461" s="42" t="str">
        <f aca="false">IF($B461="","","ZJ"&amp;TEXT($B461,"yyyymm")&amp;"-"&amp;TEXT(ROW()-4,"000"))</f>
        <v/>
      </c>
      <c r="B461" s="41"/>
      <c r="C461" s="42" t="str">
        <f aca="false">IF($B461="","",TEXT($B461,"yyyy-mm"))</f>
        <v/>
      </c>
      <c r="D461" s="42" t="str">
        <f aca="false">IF($E461="","",IFERROR(INDEX(科目参数!$L$6:$L$85,MATCH($E461,科目参数!$M$6:$M$85,0)),"⚠"))</f>
        <v/>
      </c>
      <c r="E461" s="33"/>
      <c r="F461" s="33"/>
      <c r="G461" s="36"/>
      <c r="H461" s="33"/>
      <c r="I461" s="33"/>
      <c r="J461" s="36"/>
      <c r="K461" s="40"/>
      <c r="L461" s="40"/>
      <c r="M461" s="47" t="str">
        <f aca="false">IF($B461="","",IF(NOT(ISNUMBER($B461)),"日期不是日期格式",IF(YEAR($B461)&lt;&gt;首页!$B$3,"不在会计年度",IF($E461="","未选收支科目",IF($D461="⚠","收支科目不存在",IF($F461="","未选账户",IF($T461="","账户未设资金科目",IF(AND($D461="转账",$U461=""),"转入账户无效",IF(AND(N($K461)&gt;0,N($L461)&gt;0),"收支不能同时填",IF(AND($D461="收入",N($K461)&lt;=0),"收入金额须大于0",IF(AND($D461&lt;&gt;"收入",N($L461)&lt;=0),"支出金额须大于0",IF($O461="","借方科目缺失",IF($P461="","贷方科目缺失","√")))))))))))))</f>
        <v/>
      </c>
      <c r="N461" s="48" t="str">
        <f aca="false">IF($B461="","",IF($D461="收入",N($K461),N($L461)))</f>
        <v/>
      </c>
      <c r="O461" s="49" t="str">
        <f aca="false">IF($B461="","",IF($D461="收入",$T461,IF($D461="转账",$U461,$S461)))</f>
        <v/>
      </c>
      <c r="P461" s="49" t="str">
        <f aca="false">IF($B461="","",IF($D461="收入",$S461,$T461))</f>
        <v/>
      </c>
      <c r="Q461" s="50" t="str">
        <f aca="false">IF($E461="","",IF($D461="转账","—",IFERROR(INDEX(科目参数!$P$6:$P$85,MATCH($E461,科目参数!$M$6:$M$85,0)),"")))</f>
        <v/>
      </c>
      <c r="R461" s="48" t="str">
        <f aca="false">IF($B461="","",SUMIFS(期初数据!$B$6:$B$35,期初数据!$A$6:$A$35,$F461)+SUMIFS($N$5:$N461,$F$5:$F461,$F461,$D$5:$D461,"收入")-SUMIFS($N$5:$N461,$F$5:$F461,$F461,$D$5:$D461,"支出")-SUMIFS($N$5:$N461,$F$5:$F461,$F461,$D$5:$D461,"转账")+SUMIFS($N$5:$N461,$G$5:$G461,$F461,$D$5:$D461,"转账"))</f>
        <v/>
      </c>
      <c r="S461" s="49" t="str">
        <f aca="false">IF($E461="","",IFERROR(INDEX(科目参数!$N$6:$N$85,MATCH($E461,科目参数!$M$6:$M$85,0)),""))</f>
        <v/>
      </c>
      <c r="T461" s="49" t="str">
        <f aca="false">IF($F461="","",IFERROR(INDEX(基础资料!$C$6:$C$35,MATCH($F461,基础资料!$A$6:$A$35,0)),""))</f>
        <v/>
      </c>
      <c r="U461" s="49" t="str">
        <f aca="false">IF($G461="","",IFERROR(INDEX(基础资料!$C$6:$C$35,MATCH($G461,基础资料!$A$6:$A$35,0)),""))</f>
        <v/>
      </c>
      <c r="V461" s="49" t="str">
        <f aca="false">IF(AND($G461=客户对账单!$B$3,$E461="客户回款",$B461&gt;=客户对账单!$E$3,$B461&lt;=客户对账单!$H$3),COUNTIFS($G$5:$G461,客户对账单!$B$3,$E$5:$E461,"客户回款",$B$5:$B461,"&gt;="&amp;客户对账单!$E$3,$B$5:$B461,"&lt;="&amp;客户对账单!$H$3),"")</f>
        <v/>
      </c>
      <c r="W461" s="49" t="str">
        <f aca="false">IF(AND($G461=供应商对账单!$B$3,$E461="供应商付款",$B461&gt;=供应商对账单!$E$3,$B461&lt;=供应商对账单!$H$3),COUNTIFS($G$5:$G461,供应商对账单!$B$3,$E$5:$E461,"供应商付款",$B$5:$B461,"&gt;="&amp;供应商对账单!$E$3,$B$5:$B461,"&lt;="&amp;供应商对账单!$H$3),"")</f>
        <v/>
      </c>
    </row>
    <row r="462" customFormat="false" ht="15.75" hidden="false" customHeight="true" outlineLevel="0" collapsed="false">
      <c r="A462" s="42" t="str">
        <f aca="false">IF($B462="","","ZJ"&amp;TEXT($B462,"yyyymm")&amp;"-"&amp;TEXT(ROW()-4,"000"))</f>
        <v/>
      </c>
      <c r="B462" s="41"/>
      <c r="C462" s="42" t="str">
        <f aca="false">IF($B462="","",TEXT($B462,"yyyy-mm"))</f>
        <v/>
      </c>
      <c r="D462" s="42" t="str">
        <f aca="false">IF($E462="","",IFERROR(INDEX(科目参数!$L$6:$L$85,MATCH($E462,科目参数!$M$6:$M$85,0)),"⚠"))</f>
        <v/>
      </c>
      <c r="E462" s="33"/>
      <c r="F462" s="33"/>
      <c r="G462" s="36"/>
      <c r="H462" s="33"/>
      <c r="I462" s="33"/>
      <c r="J462" s="36"/>
      <c r="K462" s="40"/>
      <c r="L462" s="40"/>
      <c r="M462" s="47" t="str">
        <f aca="false">IF($B462="","",IF(NOT(ISNUMBER($B462)),"日期不是日期格式",IF(YEAR($B462)&lt;&gt;首页!$B$3,"不在会计年度",IF($E462="","未选收支科目",IF($D462="⚠","收支科目不存在",IF($F462="","未选账户",IF($T462="","账户未设资金科目",IF(AND($D462="转账",$U462=""),"转入账户无效",IF(AND(N($K462)&gt;0,N($L462)&gt;0),"收支不能同时填",IF(AND($D462="收入",N($K462)&lt;=0),"收入金额须大于0",IF(AND($D462&lt;&gt;"收入",N($L462)&lt;=0),"支出金额须大于0",IF($O462="","借方科目缺失",IF($P462="","贷方科目缺失","√")))))))))))))</f>
        <v/>
      </c>
      <c r="N462" s="48" t="str">
        <f aca="false">IF($B462="","",IF($D462="收入",N($K462),N($L462)))</f>
        <v/>
      </c>
      <c r="O462" s="49" t="str">
        <f aca="false">IF($B462="","",IF($D462="收入",$T462,IF($D462="转账",$U462,$S462)))</f>
        <v/>
      </c>
      <c r="P462" s="49" t="str">
        <f aca="false">IF($B462="","",IF($D462="收入",$S462,$T462))</f>
        <v/>
      </c>
      <c r="Q462" s="50" t="str">
        <f aca="false">IF($E462="","",IF($D462="转账","—",IFERROR(INDEX(科目参数!$P$6:$P$85,MATCH($E462,科目参数!$M$6:$M$85,0)),"")))</f>
        <v/>
      </c>
      <c r="R462" s="48" t="str">
        <f aca="false">IF($B462="","",SUMIFS(期初数据!$B$6:$B$35,期初数据!$A$6:$A$35,$F462)+SUMIFS($N$5:$N462,$F$5:$F462,$F462,$D$5:$D462,"收入")-SUMIFS($N$5:$N462,$F$5:$F462,$F462,$D$5:$D462,"支出")-SUMIFS($N$5:$N462,$F$5:$F462,$F462,$D$5:$D462,"转账")+SUMIFS($N$5:$N462,$G$5:$G462,$F462,$D$5:$D462,"转账"))</f>
        <v/>
      </c>
      <c r="S462" s="49" t="str">
        <f aca="false">IF($E462="","",IFERROR(INDEX(科目参数!$N$6:$N$85,MATCH($E462,科目参数!$M$6:$M$85,0)),""))</f>
        <v/>
      </c>
      <c r="T462" s="49" t="str">
        <f aca="false">IF($F462="","",IFERROR(INDEX(基础资料!$C$6:$C$35,MATCH($F462,基础资料!$A$6:$A$35,0)),""))</f>
        <v/>
      </c>
      <c r="U462" s="49" t="str">
        <f aca="false">IF($G462="","",IFERROR(INDEX(基础资料!$C$6:$C$35,MATCH($G462,基础资料!$A$6:$A$35,0)),""))</f>
        <v/>
      </c>
      <c r="V462" s="49" t="str">
        <f aca="false">IF(AND($G462=客户对账单!$B$3,$E462="客户回款",$B462&gt;=客户对账单!$E$3,$B462&lt;=客户对账单!$H$3),COUNTIFS($G$5:$G462,客户对账单!$B$3,$E$5:$E462,"客户回款",$B$5:$B462,"&gt;="&amp;客户对账单!$E$3,$B$5:$B462,"&lt;="&amp;客户对账单!$H$3),"")</f>
        <v/>
      </c>
      <c r="W462" s="49" t="str">
        <f aca="false">IF(AND($G462=供应商对账单!$B$3,$E462="供应商付款",$B462&gt;=供应商对账单!$E$3,$B462&lt;=供应商对账单!$H$3),COUNTIFS($G$5:$G462,供应商对账单!$B$3,$E$5:$E462,"供应商付款",$B$5:$B462,"&gt;="&amp;供应商对账单!$E$3,$B$5:$B462,"&lt;="&amp;供应商对账单!$H$3),"")</f>
        <v/>
      </c>
    </row>
    <row r="463" customFormat="false" ht="15.75" hidden="false" customHeight="true" outlineLevel="0" collapsed="false">
      <c r="A463" s="42" t="str">
        <f aca="false">IF($B463="","","ZJ"&amp;TEXT($B463,"yyyymm")&amp;"-"&amp;TEXT(ROW()-4,"000"))</f>
        <v/>
      </c>
      <c r="B463" s="41"/>
      <c r="C463" s="42" t="str">
        <f aca="false">IF($B463="","",TEXT($B463,"yyyy-mm"))</f>
        <v/>
      </c>
      <c r="D463" s="42" t="str">
        <f aca="false">IF($E463="","",IFERROR(INDEX(科目参数!$L$6:$L$85,MATCH($E463,科目参数!$M$6:$M$85,0)),"⚠"))</f>
        <v/>
      </c>
      <c r="E463" s="33"/>
      <c r="F463" s="33"/>
      <c r="G463" s="36"/>
      <c r="H463" s="33"/>
      <c r="I463" s="33"/>
      <c r="J463" s="36"/>
      <c r="K463" s="40"/>
      <c r="L463" s="40"/>
      <c r="M463" s="47" t="str">
        <f aca="false">IF($B463="","",IF(NOT(ISNUMBER($B463)),"日期不是日期格式",IF(YEAR($B463)&lt;&gt;首页!$B$3,"不在会计年度",IF($E463="","未选收支科目",IF($D463="⚠","收支科目不存在",IF($F463="","未选账户",IF($T463="","账户未设资金科目",IF(AND($D463="转账",$U463=""),"转入账户无效",IF(AND(N($K463)&gt;0,N($L463)&gt;0),"收支不能同时填",IF(AND($D463="收入",N($K463)&lt;=0),"收入金额须大于0",IF(AND($D463&lt;&gt;"收入",N($L463)&lt;=0),"支出金额须大于0",IF($O463="","借方科目缺失",IF($P463="","贷方科目缺失","√")))))))))))))</f>
        <v/>
      </c>
      <c r="N463" s="48" t="str">
        <f aca="false">IF($B463="","",IF($D463="收入",N($K463),N($L463)))</f>
        <v/>
      </c>
      <c r="O463" s="49" t="str">
        <f aca="false">IF($B463="","",IF($D463="收入",$T463,IF($D463="转账",$U463,$S463)))</f>
        <v/>
      </c>
      <c r="P463" s="49" t="str">
        <f aca="false">IF($B463="","",IF($D463="收入",$S463,$T463))</f>
        <v/>
      </c>
      <c r="Q463" s="50" t="str">
        <f aca="false">IF($E463="","",IF($D463="转账","—",IFERROR(INDEX(科目参数!$P$6:$P$85,MATCH($E463,科目参数!$M$6:$M$85,0)),"")))</f>
        <v/>
      </c>
      <c r="R463" s="48" t="str">
        <f aca="false">IF($B463="","",SUMIFS(期初数据!$B$6:$B$35,期初数据!$A$6:$A$35,$F463)+SUMIFS($N$5:$N463,$F$5:$F463,$F463,$D$5:$D463,"收入")-SUMIFS($N$5:$N463,$F$5:$F463,$F463,$D$5:$D463,"支出")-SUMIFS($N$5:$N463,$F$5:$F463,$F463,$D$5:$D463,"转账")+SUMIFS($N$5:$N463,$G$5:$G463,$F463,$D$5:$D463,"转账"))</f>
        <v/>
      </c>
      <c r="S463" s="49" t="str">
        <f aca="false">IF($E463="","",IFERROR(INDEX(科目参数!$N$6:$N$85,MATCH($E463,科目参数!$M$6:$M$85,0)),""))</f>
        <v/>
      </c>
      <c r="T463" s="49" t="str">
        <f aca="false">IF($F463="","",IFERROR(INDEX(基础资料!$C$6:$C$35,MATCH($F463,基础资料!$A$6:$A$35,0)),""))</f>
        <v/>
      </c>
      <c r="U463" s="49" t="str">
        <f aca="false">IF($G463="","",IFERROR(INDEX(基础资料!$C$6:$C$35,MATCH($G463,基础资料!$A$6:$A$35,0)),""))</f>
        <v/>
      </c>
      <c r="V463" s="49" t="str">
        <f aca="false">IF(AND($G463=客户对账单!$B$3,$E463="客户回款",$B463&gt;=客户对账单!$E$3,$B463&lt;=客户对账单!$H$3),COUNTIFS($G$5:$G463,客户对账单!$B$3,$E$5:$E463,"客户回款",$B$5:$B463,"&gt;="&amp;客户对账单!$E$3,$B$5:$B463,"&lt;="&amp;客户对账单!$H$3),"")</f>
        <v/>
      </c>
      <c r="W463" s="49" t="str">
        <f aca="false">IF(AND($G463=供应商对账单!$B$3,$E463="供应商付款",$B463&gt;=供应商对账单!$E$3,$B463&lt;=供应商对账单!$H$3),COUNTIFS($G$5:$G463,供应商对账单!$B$3,$E$5:$E463,"供应商付款",$B$5:$B463,"&gt;="&amp;供应商对账单!$E$3,$B$5:$B463,"&lt;="&amp;供应商对账单!$H$3),"")</f>
        <v/>
      </c>
    </row>
    <row r="464" customFormat="false" ht="15.75" hidden="false" customHeight="true" outlineLevel="0" collapsed="false">
      <c r="A464" s="42" t="str">
        <f aca="false">IF($B464="","","ZJ"&amp;TEXT($B464,"yyyymm")&amp;"-"&amp;TEXT(ROW()-4,"000"))</f>
        <v/>
      </c>
      <c r="B464" s="41"/>
      <c r="C464" s="42" t="str">
        <f aca="false">IF($B464="","",TEXT($B464,"yyyy-mm"))</f>
        <v/>
      </c>
      <c r="D464" s="42" t="str">
        <f aca="false">IF($E464="","",IFERROR(INDEX(科目参数!$L$6:$L$85,MATCH($E464,科目参数!$M$6:$M$85,0)),"⚠"))</f>
        <v/>
      </c>
      <c r="E464" s="33"/>
      <c r="F464" s="33"/>
      <c r="G464" s="36"/>
      <c r="H464" s="33"/>
      <c r="I464" s="33"/>
      <c r="J464" s="36"/>
      <c r="K464" s="40"/>
      <c r="L464" s="40"/>
      <c r="M464" s="47" t="str">
        <f aca="false">IF($B464="","",IF(NOT(ISNUMBER($B464)),"日期不是日期格式",IF(YEAR($B464)&lt;&gt;首页!$B$3,"不在会计年度",IF($E464="","未选收支科目",IF($D464="⚠","收支科目不存在",IF($F464="","未选账户",IF($T464="","账户未设资金科目",IF(AND($D464="转账",$U464=""),"转入账户无效",IF(AND(N($K464)&gt;0,N($L464)&gt;0),"收支不能同时填",IF(AND($D464="收入",N($K464)&lt;=0),"收入金额须大于0",IF(AND($D464&lt;&gt;"收入",N($L464)&lt;=0),"支出金额须大于0",IF($O464="","借方科目缺失",IF($P464="","贷方科目缺失","√")))))))))))))</f>
        <v/>
      </c>
      <c r="N464" s="48" t="str">
        <f aca="false">IF($B464="","",IF($D464="收入",N($K464),N($L464)))</f>
        <v/>
      </c>
      <c r="O464" s="49" t="str">
        <f aca="false">IF($B464="","",IF($D464="收入",$T464,IF($D464="转账",$U464,$S464)))</f>
        <v/>
      </c>
      <c r="P464" s="49" t="str">
        <f aca="false">IF($B464="","",IF($D464="收入",$S464,$T464))</f>
        <v/>
      </c>
      <c r="Q464" s="50" t="str">
        <f aca="false">IF($E464="","",IF($D464="转账","—",IFERROR(INDEX(科目参数!$P$6:$P$85,MATCH($E464,科目参数!$M$6:$M$85,0)),"")))</f>
        <v/>
      </c>
      <c r="R464" s="48" t="str">
        <f aca="false">IF($B464="","",SUMIFS(期初数据!$B$6:$B$35,期初数据!$A$6:$A$35,$F464)+SUMIFS($N$5:$N464,$F$5:$F464,$F464,$D$5:$D464,"收入")-SUMIFS($N$5:$N464,$F$5:$F464,$F464,$D$5:$D464,"支出")-SUMIFS($N$5:$N464,$F$5:$F464,$F464,$D$5:$D464,"转账")+SUMIFS($N$5:$N464,$G$5:$G464,$F464,$D$5:$D464,"转账"))</f>
        <v/>
      </c>
      <c r="S464" s="49" t="str">
        <f aca="false">IF($E464="","",IFERROR(INDEX(科目参数!$N$6:$N$85,MATCH($E464,科目参数!$M$6:$M$85,0)),""))</f>
        <v/>
      </c>
      <c r="T464" s="49" t="str">
        <f aca="false">IF($F464="","",IFERROR(INDEX(基础资料!$C$6:$C$35,MATCH($F464,基础资料!$A$6:$A$35,0)),""))</f>
        <v/>
      </c>
      <c r="U464" s="49" t="str">
        <f aca="false">IF($G464="","",IFERROR(INDEX(基础资料!$C$6:$C$35,MATCH($G464,基础资料!$A$6:$A$35,0)),""))</f>
        <v/>
      </c>
      <c r="V464" s="49" t="str">
        <f aca="false">IF(AND($G464=客户对账单!$B$3,$E464="客户回款",$B464&gt;=客户对账单!$E$3,$B464&lt;=客户对账单!$H$3),COUNTIFS($G$5:$G464,客户对账单!$B$3,$E$5:$E464,"客户回款",$B$5:$B464,"&gt;="&amp;客户对账单!$E$3,$B$5:$B464,"&lt;="&amp;客户对账单!$H$3),"")</f>
        <v/>
      </c>
      <c r="W464" s="49" t="str">
        <f aca="false">IF(AND($G464=供应商对账单!$B$3,$E464="供应商付款",$B464&gt;=供应商对账单!$E$3,$B464&lt;=供应商对账单!$H$3),COUNTIFS($G$5:$G464,供应商对账单!$B$3,$E$5:$E464,"供应商付款",$B$5:$B464,"&gt;="&amp;供应商对账单!$E$3,$B$5:$B464,"&lt;="&amp;供应商对账单!$H$3),"")</f>
        <v/>
      </c>
    </row>
    <row r="465" customFormat="false" ht="15.75" hidden="false" customHeight="true" outlineLevel="0" collapsed="false">
      <c r="A465" s="42" t="str">
        <f aca="false">IF($B465="","","ZJ"&amp;TEXT($B465,"yyyymm")&amp;"-"&amp;TEXT(ROW()-4,"000"))</f>
        <v/>
      </c>
      <c r="B465" s="41"/>
      <c r="C465" s="42" t="str">
        <f aca="false">IF($B465="","",TEXT($B465,"yyyy-mm"))</f>
        <v/>
      </c>
      <c r="D465" s="42" t="str">
        <f aca="false">IF($E465="","",IFERROR(INDEX(科目参数!$L$6:$L$85,MATCH($E465,科目参数!$M$6:$M$85,0)),"⚠"))</f>
        <v/>
      </c>
      <c r="E465" s="33"/>
      <c r="F465" s="33"/>
      <c r="G465" s="36"/>
      <c r="H465" s="33"/>
      <c r="I465" s="33"/>
      <c r="J465" s="36"/>
      <c r="K465" s="40"/>
      <c r="L465" s="40"/>
      <c r="M465" s="47" t="str">
        <f aca="false">IF($B465="","",IF(NOT(ISNUMBER($B465)),"日期不是日期格式",IF(YEAR($B465)&lt;&gt;首页!$B$3,"不在会计年度",IF($E465="","未选收支科目",IF($D465="⚠","收支科目不存在",IF($F465="","未选账户",IF($T465="","账户未设资金科目",IF(AND($D465="转账",$U465=""),"转入账户无效",IF(AND(N($K465)&gt;0,N($L465)&gt;0),"收支不能同时填",IF(AND($D465="收入",N($K465)&lt;=0),"收入金额须大于0",IF(AND($D465&lt;&gt;"收入",N($L465)&lt;=0),"支出金额须大于0",IF($O465="","借方科目缺失",IF($P465="","贷方科目缺失","√")))))))))))))</f>
        <v/>
      </c>
      <c r="N465" s="48" t="str">
        <f aca="false">IF($B465="","",IF($D465="收入",N($K465),N($L465)))</f>
        <v/>
      </c>
      <c r="O465" s="49" t="str">
        <f aca="false">IF($B465="","",IF($D465="收入",$T465,IF($D465="转账",$U465,$S465)))</f>
        <v/>
      </c>
      <c r="P465" s="49" t="str">
        <f aca="false">IF($B465="","",IF($D465="收入",$S465,$T465))</f>
        <v/>
      </c>
      <c r="Q465" s="50" t="str">
        <f aca="false">IF($E465="","",IF($D465="转账","—",IFERROR(INDEX(科目参数!$P$6:$P$85,MATCH($E465,科目参数!$M$6:$M$85,0)),"")))</f>
        <v/>
      </c>
      <c r="R465" s="48" t="str">
        <f aca="false">IF($B465="","",SUMIFS(期初数据!$B$6:$B$35,期初数据!$A$6:$A$35,$F465)+SUMIFS($N$5:$N465,$F$5:$F465,$F465,$D$5:$D465,"收入")-SUMIFS($N$5:$N465,$F$5:$F465,$F465,$D$5:$D465,"支出")-SUMIFS($N$5:$N465,$F$5:$F465,$F465,$D$5:$D465,"转账")+SUMIFS($N$5:$N465,$G$5:$G465,$F465,$D$5:$D465,"转账"))</f>
        <v/>
      </c>
      <c r="S465" s="49" t="str">
        <f aca="false">IF($E465="","",IFERROR(INDEX(科目参数!$N$6:$N$85,MATCH($E465,科目参数!$M$6:$M$85,0)),""))</f>
        <v/>
      </c>
      <c r="T465" s="49" t="str">
        <f aca="false">IF($F465="","",IFERROR(INDEX(基础资料!$C$6:$C$35,MATCH($F465,基础资料!$A$6:$A$35,0)),""))</f>
        <v/>
      </c>
      <c r="U465" s="49" t="str">
        <f aca="false">IF($G465="","",IFERROR(INDEX(基础资料!$C$6:$C$35,MATCH($G465,基础资料!$A$6:$A$35,0)),""))</f>
        <v/>
      </c>
      <c r="V465" s="49" t="str">
        <f aca="false">IF(AND($G465=客户对账单!$B$3,$E465="客户回款",$B465&gt;=客户对账单!$E$3,$B465&lt;=客户对账单!$H$3),COUNTIFS($G$5:$G465,客户对账单!$B$3,$E$5:$E465,"客户回款",$B$5:$B465,"&gt;="&amp;客户对账单!$E$3,$B$5:$B465,"&lt;="&amp;客户对账单!$H$3),"")</f>
        <v/>
      </c>
      <c r="W465" s="49" t="str">
        <f aca="false">IF(AND($G465=供应商对账单!$B$3,$E465="供应商付款",$B465&gt;=供应商对账单!$E$3,$B465&lt;=供应商对账单!$H$3),COUNTIFS($G$5:$G465,供应商对账单!$B$3,$E$5:$E465,"供应商付款",$B$5:$B465,"&gt;="&amp;供应商对账单!$E$3,$B$5:$B465,"&lt;="&amp;供应商对账单!$H$3),"")</f>
        <v/>
      </c>
    </row>
    <row r="466" customFormat="false" ht="15.75" hidden="false" customHeight="true" outlineLevel="0" collapsed="false">
      <c r="A466" s="42" t="str">
        <f aca="false">IF($B466="","","ZJ"&amp;TEXT($B466,"yyyymm")&amp;"-"&amp;TEXT(ROW()-4,"000"))</f>
        <v/>
      </c>
      <c r="B466" s="41"/>
      <c r="C466" s="42" t="str">
        <f aca="false">IF($B466="","",TEXT($B466,"yyyy-mm"))</f>
        <v/>
      </c>
      <c r="D466" s="42" t="str">
        <f aca="false">IF($E466="","",IFERROR(INDEX(科目参数!$L$6:$L$85,MATCH($E466,科目参数!$M$6:$M$85,0)),"⚠"))</f>
        <v/>
      </c>
      <c r="E466" s="33"/>
      <c r="F466" s="33"/>
      <c r="G466" s="36"/>
      <c r="H466" s="33"/>
      <c r="I466" s="33"/>
      <c r="J466" s="36"/>
      <c r="K466" s="40"/>
      <c r="L466" s="40"/>
      <c r="M466" s="47" t="str">
        <f aca="false">IF($B466="","",IF(NOT(ISNUMBER($B466)),"日期不是日期格式",IF(YEAR($B466)&lt;&gt;首页!$B$3,"不在会计年度",IF($E466="","未选收支科目",IF($D466="⚠","收支科目不存在",IF($F466="","未选账户",IF($T466="","账户未设资金科目",IF(AND($D466="转账",$U466=""),"转入账户无效",IF(AND(N($K466)&gt;0,N($L466)&gt;0),"收支不能同时填",IF(AND($D466="收入",N($K466)&lt;=0),"收入金额须大于0",IF(AND($D466&lt;&gt;"收入",N($L466)&lt;=0),"支出金额须大于0",IF($O466="","借方科目缺失",IF($P466="","贷方科目缺失","√")))))))))))))</f>
        <v/>
      </c>
      <c r="N466" s="48" t="str">
        <f aca="false">IF($B466="","",IF($D466="收入",N($K466),N($L466)))</f>
        <v/>
      </c>
      <c r="O466" s="49" t="str">
        <f aca="false">IF($B466="","",IF($D466="收入",$T466,IF($D466="转账",$U466,$S466)))</f>
        <v/>
      </c>
      <c r="P466" s="49" t="str">
        <f aca="false">IF($B466="","",IF($D466="收入",$S466,$T466))</f>
        <v/>
      </c>
      <c r="Q466" s="50" t="str">
        <f aca="false">IF($E466="","",IF($D466="转账","—",IFERROR(INDEX(科目参数!$P$6:$P$85,MATCH($E466,科目参数!$M$6:$M$85,0)),"")))</f>
        <v/>
      </c>
      <c r="R466" s="48" t="str">
        <f aca="false">IF($B466="","",SUMIFS(期初数据!$B$6:$B$35,期初数据!$A$6:$A$35,$F466)+SUMIFS($N$5:$N466,$F$5:$F466,$F466,$D$5:$D466,"收入")-SUMIFS($N$5:$N466,$F$5:$F466,$F466,$D$5:$D466,"支出")-SUMIFS($N$5:$N466,$F$5:$F466,$F466,$D$5:$D466,"转账")+SUMIFS($N$5:$N466,$G$5:$G466,$F466,$D$5:$D466,"转账"))</f>
        <v/>
      </c>
      <c r="S466" s="49" t="str">
        <f aca="false">IF($E466="","",IFERROR(INDEX(科目参数!$N$6:$N$85,MATCH($E466,科目参数!$M$6:$M$85,0)),""))</f>
        <v/>
      </c>
      <c r="T466" s="49" t="str">
        <f aca="false">IF($F466="","",IFERROR(INDEX(基础资料!$C$6:$C$35,MATCH($F466,基础资料!$A$6:$A$35,0)),""))</f>
        <v/>
      </c>
      <c r="U466" s="49" t="str">
        <f aca="false">IF($G466="","",IFERROR(INDEX(基础资料!$C$6:$C$35,MATCH($G466,基础资料!$A$6:$A$35,0)),""))</f>
        <v/>
      </c>
      <c r="V466" s="49" t="str">
        <f aca="false">IF(AND($G466=客户对账单!$B$3,$E466="客户回款",$B466&gt;=客户对账单!$E$3,$B466&lt;=客户对账单!$H$3),COUNTIFS($G$5:$G466,客户对账单!$B$3,$E$5:$E466,"客户回款",$B$5:$B466,"&gt;="&amp;客户对账单!$E$3,$B$5:$B466,"&lt;="&amp;客户对账单!$H$3),"")</f>
        <v/>
      </c>
      <c r="W466" s="49" t="str">
        <f aca="false">IF(AND($G466=供应商对账单!$B$3,$E466="供应商付款",$B466&gt;=供应商对账单!$E$3,$B466&lt;=供应商对账单!$H$3),COUNTIFS($G$5:$G466,供应商对账单!$B$3,$E$5:$E466,"供应商付款",$B$5:$B466,"&gt;="&amp;供应商对账单!$E$3,$B$5:$B466,"&lt;="&amp;供应商对账单!$H$3),"")</f>
        <v/>
      </c>
    </row>
    <row r="467" customFormat="false" ht="15.75" hidden="false" customHeight="true" outlineLevel="0" collapsed="false">
      <c r="A467" s="42" t="str">
        <f aca="false">IF($B467="","","ZJ"&amp;TEXT($B467,"yyyymm")&amp;"-"&amp;TEXT(ROW()-4,"000"))</f>
        <v/>
      </c>
      <c r="B467" s="41"/>
      <c r="C467" s="42" t="str">
        <f aca="false">IF($B467="","",TEXT($B467,"yyyy-mm"))</f>
        <v/>
      </c>
      <c r="D467" s="42" t="str">
        <f aca="false">IF($E467="","",IFERROR(INDEX(科目参数!$L$6:$L$85,MATCH($E467,科目参数!$M$6:$M$85,0)),"⚠"))</f>
        <v/>
      </c>
      <c r="E467" s="33"/>
      <c r="F467" s="33"/>
      <c r="G467" s="36"/>
      <c r="H467" s="33"/>
      <c r="I467" s="33"/>
      <c r="J467" s="36"/>
      <c r="K467" s="40"/>
      <c r="L467" s="40"/>
      <c r="M467" s="47" t="str">
        <f aca="false">IF($B467="","",IF(NOT(ISNUMBER($B467)),"日期不是日期格式",IF(YEAR($B467)&lt;&gt;首页!$B$3,"不在会计年度",IF($E467="","未选收支科目",IF($D467="⚠","收支科目不存在",IF($F467="","未选账户",IF($T467="","账户未设资金科目",IF(AND($D467="转账",$U467=""),"转入账户无效",IF(AND(N($K467)&gt;0,N($L467)&gt;0),"收支不能同时填",IF(AND($D467="收入",N($K467)&lt;=0),"收入金额须大于0",IF(AND($D467&lt;&gt;"收入",N($L467)&lt;=0),"支出金额须大于0",IF($O467="","借方科目缺失",IF($P467="","贷方科目缺失","√")))))))))))))</f>
        <v/>
      </c>
      <c r="N467" s="48" t="str">
        <f aca="false">IF($B467="","",IF($D467="收入",N($K467),N($L467)))</f>
        <v/>
      </c>
      <c r="O467" s="49" t="str">
        <f aca="false">IF($B467="","",IF($D467="收入",$T467,IF($D467="转账",$U467,$S467)))</f>
        <v/>
      </c>
      <c r="P467" s="49" t="str">
        <f aca="false">IF($B467="","",IF($D467="收入",$S467,$T467))</f>
        <v/>
      </c>
      <c r="Q467" s="50" t="str">
        <f aca="false">IF($E467="","",IF($D467="转账","—",IFERROR(INDEX(科目参数!$P$6:$P$85,MATCH($E467,科目参数!$M$6:$M$85,0)),"")))</f>
        <v/>
      </c>
      <c r="R467" s="48" t="str">
        <f aca="false">IF($B467="","",SUMIFS(期初数据!$B$6:$B$35,期初数据!$A$6:$A$35,$F467)+SUMIFS($N$5:$N467,$F$5:$F467,$F467,$D$5:$D467,"收入")-SUMIFS($N$5:$N467,$F$5:$F467,$F467,$D$5:$D467,"支出")-SUMIFS($N$5:$N467,$F$5:$F467,$F467,$D$5:$D467,"转账")+SUMIFS($N$5:$N467,$G$5:$G467,$F467,$D$5:$D467,"转账"))</f>
        <v/>
      </c>
      <c r="S467" s="49" t="str">
        <f aca="false">IF($E467="","",IFERROR(INDEX(科目参数!$N$6:$N$85,MATCH($E467,科目参数!$M$6:$M$85,0)),""))</f>
        <v/>
      </c>
      <c r="T467" s="49" t="str">
        <f aca="false">IF($F467="","",IFERROR(INDEX(基础资料!$C$6:$C$35,MATCH($F467,基础资料!$A$6:$A$35,0)),""))</f>
        <v/>
      </c>
      <c r="U467" s="49" t="str">
        <f aca="false">IF($G467="","",IFERROR(INDEX(基础资料!$C$6:$C$35,MATCH($G467,基础资料!$A$6:$A$35,0)),""))</f>
        <v/>
      </c>
      <c r="V467" s="49" t="str">
        <f aca="false">IF(AND($G467=客户对账单!$B$3,$E467="客户回款",$B467&gt;=客户对账单!$E$3,$B467&lt;=客户对账单!$H$3),COUNTIFS($G$5:$G467,客户对账单!$B$3,$E$5:$E467,"客户回款",$B$5:$B467,"&gt;="&amp;客户对账单!$E$3,$B$5:$B467,"&lt;="&amp;客户对账单!$H$3),"")</f>
        <v/>
      </c>
      <c r="W467" s="49" t="str">
        <f aca="false">IF(AND($G467=供应商对账单!$B$3,$E467="供应商付款",$B467&gt;=供应商对账单!$E$3,$B467&lt;=供应商对账单!$H$3),COUNTIFS($G$5:$G467,供应商对账单!$B$3,$E$5:$E467,"供应商付款",$B$5:$B467,"&gt;="&amp;供应商对账单!$E$3,$B$5:$B467,"&lt;="&amp;供应商对账单!$H$3),"")</f>
        <v/>
      </c>
    </row>
    <row r="468" customFormat="false" ht="15.75" hidden="false" customHeight="true" outlineLevel="0" collapsed="false">
      <c r="A468" s="42" t="str">
        <f aca="false">IF($B468="","","ZJ"&amp;TEXT($B468,"yyyymm")&amp;"-"&amp;TEXT(ROW()-4,"000"))</f>
        <v/>
      </c>
      <c r="B468" s="41"/>
      <c r="C468" s="42" t="str">
        <f aca="false">IF($B468="","",TEXT($B468,"yyyy-mm"))</f>
        <v/>
      </c>
      <c r="D468" s="42" t="str">
        <f aca="false">IF($E468="","",IFERROR(INDEX(科目参数!$L$6:$L$85,MATCH($E468,科目参数!$M$6:$M$85,0)),"⚠"))</f>
        <v/>
      </c>
      <c r="E468" s="33"/>
      <c r="F468" s="33"/>
      <c r="G468" s="36"/>
      <c r="H468" s="33"/>
      <c r="I468" s="33"/>
      <c r="J468" s="36"/>
      <c r="K468" s="40"/>
      <c r="L468" s="40"/>
      <c r="M468" s="47" t="str">
        <f aca="false">IF($B468="","",IF(NOT(ISNUMBER($B468)),"日期不是日期格式",IF(YEAR($B468)&lt;&gt;首页!$B$3,"不在会计年度",IF($E468="","未选收支科目",IF($D468="⚠","收支科目不存在",IF($F468="","未选账户",IF($T468="","账户未设资金科目",IF(AND($D468="转账",$U468=""),"转入账户无效",IF(AND(N($K468)&gt;0,N($L468)&gt;0),"收支不能同时填",IF(AND($D468="收入",N($K468)&lt;=0),"收入金额须大于0",IF(AND($D468&lt;&gt;"收入",N($L468)&lt;=0),"支出金额须大于0",IF($O468="","借方科目缺失",IF($P468="","贷方科目缺失","√")))))))))))))</f>
        <v/>
      </c>
      <c r="N468" s="48" t="str">
        <f aca="false">IF($B468="","",IF($D468="收入",N($K468),N($L468)))</f>
        <v/>
      </c>
      <c r="O468" s="49" t="str">
        <f aca="false">IF($B468="","",IF($D468="收入",$T468,IF($D468="转账",$U468,$S468)))</f>
        <v/>
      </c>
      <c r="P468" s="49" t="str">
        <f aca="false">IF($B468="","",IF($D468="收入",$S468,$T468))</f>
        <v/>
      </c>
      <c r="Q468" s="50" t="str">
        <f aca="false">IF($E468="","",IF($D468="转账","—",IFERROR(INDEX(科目参数!$P$6:$P$85,MATCH($E468,科目参数!$M$6:$M$85,0)),"")))</f>
        <v/>
      </c>
      <c r="R468" s="48" t="str">
        <f aca="false">IF($B468="","",SUMIFS(期初数据!$B$6:$B$35,期初数据!$A$6:$A$35,$F468)+SUMIFS($N$5:$N468,$F$5:$F468,$F468,$D$5:$D468,"收入")-SUMIFS($N$5:$N468,$F$5:$F468,$F468,$D$5:$D468,"支出")-SUMIFS($N$5:$N468,$F$5:$F468,$F468,$D$5:$D468,"转账")+SUMIFS($N$5:$N468,$G$5:$G468,$F468,$D$5:$D468,"转账"))</f>
        <v/>
      </c>
      <c r="S468" s="49" t="str">
        <f aca="false">IF($E468="","",IFERROR(INDEX(科目参数!$N$6:$N$85,MATCH($E468,科目参数!$M$6:$M$85,0)),""))</f>
        <v/>
      </c>
      <c r="T468" s="49" t="str">
        <f aca="false">IF($F468="","",IFERROR(INDEX(基础资料!$C$6:$C$35,MATCH($F468,基础资料!$A$6:$A$35,0)),""))</f>
        <v/>
      </c>
      <c r="U468" s="49" t="str">
        <f aca="false">IF($G468="","",IFERROR(INDEX(基础资料!$C$6:$C$35,MATCH($G468,基础资料!$A$6:$A$35,0)),""))</f>
        <v/>
      </c>
      <c r="V468" s="49" t="str">
        <f aca="false">IF(AND($G468=客户对账单!$B$3,$E468="客户回款",$B468&gt;=客户对账单!$E$3,$B468&lt;=客户对账单!$H$3),COUNTIFS($G$5:$G468,客户对账单!$B$3,$E$5:$E468,"客户回款",$B$5:$B468,"&gt;="&amp;客户对账单!$E$3,$B$5:$B468,"&lt;="&amp;客户对账单!$H$3),"")</f>
        <v/>
      </c>
      <c r="W468" s="49" t="str">
        <f aca="false">IF(AND($G468=供应商对账单!$B$3,$E468="供应商付款",$B468&gt;=供应商对账单!$E$3,$B468&lt;=供应商对账单!$H$3),COUNTIFS($G$5:$G468,供应商对账单!$B$3,$E$5:$E468,"供应商付款",$B$5:$B468,"&gt;="&amp;供应商对账单!$E$3,$B$5:$B468,"&lt;="&amp;供应商对账单!$H$3),"")</f>
        <v/>
      </c>
    </row>
    <row r="469" customFormat="false" ht="15.75" hidden="false" customHeight="true" outlineLevel="0" collapsed="false">
      <c r="A469" s="42" t="str">
        <f aca="false">IF($B469="","","ZJ"&amp;TEXT($B469,"yyyymm")&amp;"-"&amp;TEXT(ROW()-4,"000"))</f>
        <v/>
      </c>
      <c r="B469" s="41"/>
      <c r="C469" s="42" t="str">
        <f aca="false">IF($B469="","",TEXT($B469,"yyyy-mm"))</f>
        <v/>
      </c>
      <c r="D469" s="42" t="str">
        <f aca="false">IF($E469="","",IFERROR(INDEX(科目参数!$L$6:$L$85,MATCH($E469,科目参数!$M$6:$M$85,0)),"⚠"))</f>
        <v/>
      </c>
      <c r="E469" s="33"/>
      <c r="F469" s="33"/>
      <c r="G469" s="36"/>
      <c r="H469" s="33"/>
      <c r="I469" s="33"/>
      <c r="J469" s="36"/>
      <c r="K469" s="40"/>
      <c r="L469" s="40"/>
      <c r="M469" s="47" t="str">
        <f aca="false">IF($B469="","",IF(NOT(ISNUMBER($B469)),"日期不是日期格式",IF(YEAR($B469)&lt;&gt;首页!$B$3,"不在会计年度",IF($E469="","未选收支科目",IF($D469="⚠","收支科目不存在",IF($F469="","未选账户",IF($T469="","账户未设资金科目",IF(AND($D469="转账",$U469=""),"转入账户无效",IF(AND(N($K469)&gt;0,N($L469)&gt;0),"收支不能同时填",IF(AND($D469="收入",N($K469)&lt;=0),"收入金额须大于0",IF(AND($D469&lt;&gt;"收入",N($L469)&lt;=0),"支出金额须大于0",IF($O469="","借方科目缺失",IF($P469="","贷方科目缺失","√")))))))))))))</f>
        <v/>
      </c>
      <c r="N469" s="48" t="str">
        <f aca="false">IF($B469="","",IF($D469="收入",N($K469),N($L469)))</f>
        <v/>
      </c>
      <c r="O469" s="49" t="str">
        <f aca="false">IF($B469="","",IF($D469="收入",$T469,IF($D469="转账",$U469,$S469)))</f>
        <v/>
      </c>
      <c r="P469" s="49" t="str">
        <f aca="false">IF($B469="","",IF($D469="收入",$S469,$T469))</f>
        <v/>
      </c>
      <c r="Q469" s="50" t="str">
        <f aca="false">IF($E469="","",IF($D469="转账","—",IFERROR(INDEX(科目参数!$P$6:$P$85,MATCH($E469,科目参数!$M$6:$M$85,0)),"")))</f>
        <v/>
      </c>
      <c r="R469" s="48" t="str">
        <f aca="false">IF($B469="","",SUMIFS(期初数据!$B$6:$B$35,期初数据!$A$6:$A$35,$F469)+SUMIFS($N$5:$N469,$F$5:$F469,$F469,$D$5:$D469,"收入")-SUMIFS($N$5:$N469,$F$5:$F469,$F469,$D$5:$D469,"支出")-SUMIFS($N$5:$N469,$F$5:$F469,$F469,$D$5:$D469,"转账")+SUMIFS($N$5:$N469,$G$5:$G469,$F469,$D$5:$D469,"转账"))</f>
        <v/>
      </c>
      <c r="S469" s="49" t="str">
        <f aca="false">IF($E469="","",IFERROR(INDEX(科目参数!$N$6:$N$85,MATCH($E469,科目参数!$M$6:$M$85,0)),""))</f>
        <v/>
      </c>
      <c r="T469" s="49" t="str">
        <f aca="false">IF($F469="","",IFERROR(INDEX(基础资料!$C$6:$C$35,MATCH($F469,基础资料!$A$6:$A$35,0)),""))</f>
        <v/>
      </c>
      <c r="U469" s="49" t="str">
        <f aca="false">IF($G469="","",IFERROR(INDEX(基础资料!$C$6:$C$35,MATCH($G469,基础资料!$A$6:$A$35,0)),""))</f>
        <v/>
      </c>
      <c r="V469" s="49" t="str">
        <f aca="false">IF(AND($G469=客户对账单!$B$3,$E469="客户回款",$B469&gt;=客户对账单!$E$3,$B469&lt;=客户对账单!$H$3),COUNTIFS($G$5:$G469,客户对账单!$B$3,$E$5:$E469,"客户回款",$B$5:$B469,"&gt;="&amp;客户对账单!$E$3,$B$5:$B469,"&lt;="&amp;客户对账单!$H$3),"")</f>
        <v/>
      </c>
      <c r="W469" s="49" t="str">
        <f aca="false">IF(AND($G469=供应商对账单!$B$3,$E469="供应商付款",$B469&gt;=供应商对账单!$E$3,$B469&lt;=供应商对账单!$H$3),COUNTIFS($G$5:$G469,供应商对账单!$B$3,$E$5:$E469,"供应商付款",$B$5:$B469,"&gt;="&amp;供应商对账单!$E$3,$B$5:$B469,"&lt;="&amp;供应商对账单!$H$3),"")</f>
        <v/>
      </c>
    </row>
    <row r="470" customFormat="false" ht="15.75" hidden="false" customHeight="true" outlineLevel="0" collapsed="false">
      <c r="A470" s="42" t="str">
        <f aca="false">IF($B470="","","ZJ"&amp;TEXT($B470,"yyyymm")&amp;"-"&amp;TEXT(ROW()-4,"000"))</f>
        <v/>
      </c>
      <c r="B470" s="41"/>
      <c r="C470" s="42" t="str">
        <f aca="false">IF($B470="","",TEXT($B470,"yyyy-mm"))</f>
        <v/>
      </c>
      <c r="D470" s="42" t="str">
        <f aca="false">IF($E470="","",IFERROR(INDEX(科目参数!$L$6:$L$85,MATCH($E470,科目参数!$M$6:$M$85,0)),"⚠"))</f>
        <v/>
      </c>
      <c r="E470" s="33"/>
      <c r="F470" s="33"/>
      <c r="G470" s="36"/>
      <c r="H470" s="33"/>
      <c r="I470" s="33"/>
      <c r="J470" s="36"/>
      <c r="K470" s="40"/>
      <c r="L470" s="40"/>
      <c r="M470" s="47" t="str">
        <f aca="false">IF($B470="","",IF(NOT(ISNUMBER($B470)),"日期不是日期格式",IF(YEAR($B470)&lt;&gt;首页!$B$3,"不在会计年度",IF($E470="","未选收支科目",IF($D470="⚠","收支科目不存在",IF($F470="","未选账户",IF($T470="","账户未设资金科目",IF(AND($D470="转账",$U470=""),"转入账户无效",IF(AND(N($K470)&gt;0,N($L470)&gt;0),"收支不能同时填",IF(AND($D470="收入",N($K470)&lt;=0),"收入金额须大于0",IF(AND($D470&lt;&gt;"收入",N($L470)&lt;=0),"支出金额须大于0",IF($O470="","借方科目缺失",IF($P470="","贷方科目缺失","√")))))))))))))</f>
        <v/>
      </c>
      <c r="N470" s="48" t="str">
        <f aca="false">IF($B470="","",IF($D470="收入",N($K470),N($L470)))</f>
        <v/>
      </c>
      <c r="O470" s="49" t="str">
        <f aca="false">IF($B470="","",IF($D470="收入",$T470,IF($D470="转账",$U470,$S470)))</f>
        <v/>
      </c>
      <c r="P470" s="49" t="str">
        <f aca="false">IF($B470="","",IF($D470="收入",$S470,$T470))</f>
        <v/>
      </c>
      <c r="Q470" s="50" t="str">
        <f aca="false">IF($E470="","",IF($D470="转账","—",IFERROR(INDEX(科目参数!$P$6:$P$85,MATCH($E470,科目参数!$M$6:$M$85,0)),"")))</f>
        <v/>
      </c>
      <c r="R470" s="48" t="str">
        <f aca="false">IF($B470="","",SUMIFS(期初数据!$B$6:$B$35,期初数据!$A$6:$A$35,$F470)+SUMIFS($N$5:$N470,$F$5:$F470,$F470,$D$5:$D470,"收入")-SUMIFS($N$5:$N470,$F$5:$F470,$F470,$D$5:$D470,"支出")-SUMIFS($N$5:$N470,$F$5:$F470,$F470,$D$5:$D470,"转账")+SUMIFS($N$5:$N470,$G$5:$G470,$F470,$D$5:$D470,"转账"))</f>
        <v/>
      </c>
      <c r="S470" s="49" t="str">
        <f aca="false">IF($E470="","",IFERROR(INDEX(科目参数!$N$6:$N$85,MATCH($E470,科目参数!$M$6:$M$85,0)),""))</f>
        <v/>
      </c>
      <c r="T470" s="49" t="str">
        <f aca="false">IF($F470="","",IFERROR(INDEX(基础资料!$C$6:$C$35,MATCH($F470,基础资料!$A$6:$A$35,0)),""))</f>
        <v/>
      </c>
      <c r="U470" s="49" t="str">
        <f aca="false">IF($G470="","",IFERROR(INDEX(基础资料!$C$6:$C$35,MATCH($G470,基础资料!$A$6:$A$35,0)),""))</f>
        <v/>
      </c>
      <c r="V470" s="49" t="str">
        <f aca="false">IF(AND($G470=客户对账单!$B$3,$E470="客户回款",$B470&gt;=客户对账单!$E$3,$B470&lt;=客户对账单!$H$3),COUNTIFS($G$5:$G470,客户对账单!$B$3,$E$5:$E470,"客户回款",$B$5:$B470,"&gt;="&amp;客户对账单!$E$3,$B$5:$B470,"&lt;="&amp;客户对账单!$H$3),"")</f>
        <v/>
      </c>
      <c r="W470" s="49" t="str">
        <f aca="false">IF(AND($G470=供应商对账单!$B$3,$E470="供应商付款",$B470&gt;=供应商对账单!$E$3,$B470&lt;=供应商对账单!$H$3),COUNTIFS($G$5:$G470,供应商对账单!$B$3,$E$5:$E470,"供应商付款",$B$5:$B470,"&gt;="&amp;供应商对账单!$E$3,$B$5:$B470,"&lt;="&amp;供应商对账单!$H$3),"")</f>
        <v/>
      </c>
    </row>
    <row r="471" customFormat="false" ht="15.75" hidden="false" customHeight="true" outlineLevel="0" collapsed="false">
      <c r="A471" s="42" t="str">
        <f aca="false">IF($B471="","","ZJ"&amp;TEXT($B471,"yyyymm")&amp;"-"&amp;TEXT(ROW()-4,"000"))</f>
        <v/>
      </c>
      <c r="B471" s="41"/>
      <c r="C471" s="42" t="str">
        <f aca="false">IF($B471="","",TEXT($B471,"yyyy-mm"))</f>
        <v/>
      </c>
      <c r="D471" s="42" t="str">
        <f aca="false">IF($E471="","",IFERROR(INDEX(科目参数!$L$6:$L$85,MATCH($E471,科目参数!$M$6:$M$85,0)),"⚠"))</f>
        <v/>
      </c>
      <c r="E471" s="33"/>
      <c r="F471" s="33"/>
      <c r="G471" s="36"/>
      <c r="H471" s="33"/>
      <c r="I471" s="33"/>
      <c r="J471" s="36"/>
      <c r="K471" s="40"/>
      <c r="L471" s="40"/>
      <c r="M471" s="47" t="str">
        <f aca="false">IF($B471="","",IF(NOT(ISNUMBER($B471)),"日期不是日期格式",IF(YEAR($B471)&lt;&gt;首页!$B$3,"不在会计年度",IF($E471="","未选收支科目",IF($D471="⚠","收支科目不存在",IF($F471="","未选账户",IF($T471="","账户未设资金科目",IF(AND($D471="转账",$U471=""),"转入账户无效",IF(AND(N($K471)&gt;0,N($L471)&gt;0),"收支不能同时填",IF(AND($D471="收入",N($K471)&lt;=0),"收入金额须大于0",IF(AND($D471&lt;&gt;"收入",N($L471)&lt;=0),"支出金额须大于0",IF($O471="","借方科目缺失",IF($P471="","贷方科目缺失","√")))))))))))))</f>
        <v/>
      </c>
      <c r="N471" s="48" t="str">
        <f aca="false">IF($B471="","",IF($D471="收入",N($K471),N($L471)))</f>
        <v/>
      </c>
      <c r="O471" s="49" t="str">
        <f aca="false">IF($B471="","",IF($D471="收入",$T471,IF($D471="转账",$U471,$S471)))</f>
        <v/>
      </c>
      <c r="P471" s="49" t="str">
        <f aca="false">IF($B471="","",IF($D471="收入",$S471,$T471))</f>
        <v/>
      </c>
      <c r="Q471" s="50" t="str">
        <f aca="false">IF($E471="","",IF($D471="转账","—",IFERROR(INDEX(科目参数!$P$6:$P$85,MATCH($E471,科目参数!$M$6:$M$85,0)),"")))</f>
        <v/>
      </c>
      <c r="R471" s="48" t="str">
        <f aca="false">IF($B471="","",SUMIFS(期初数据!$B$6:$B$35,期初数据!$A$6:$A$35,$F471)+SUMIFS($N$5:$N471,$F$5:$F471,$F471,$D$5:$D471,"收入")-SUMIFS($N$5:$N471,$F$5:$F471,$F471,$D$5:$D471,"支出")-SUMIFS($N$5:$N471,$F$5:$F471,$F471,$D$5:$D471,"转账")+SUMIFS($N$5:$N471,$G$5:$G471,$F471,$D$5:$D471,"转账"))</f>
        <v/>
      </c>
      <c r="S471" s="49" t="str">
        <f aca="false">IF($E471="","",IFERROR(INDEX(科目参数!$N$6:$N$85,MATCH($E471,科目参数!$M$6:$M$85,0)),""))</f>
        <v/>
      </c>
      <c r="T471" s="49" t="str">
        <f aca="false">IF($F471="","",IFERROR(INDEX(基础资料!$C$6:$C$35,MATCH($F471,基础资料!$A$6:$A$35,0)),""))</f>
        <v/>
      </c>
      <c r="U471" s="49" t="str">
        <f aca="false">IF($G471="","",IFERROR(INDEX(基础资料!$C$6:$C$35,MATCH($G471,基础资料!$A$6:$A$35,0)),""))</f>
        <v/>
      </c>
      <c r="V471" s="49" t="str">
        <f aca="false">IF(AND($G471=客户对账单!$B$3,$E471="客户回款",$B471&gt;=客户对账单!$E$3,$B471&lt;=客户对账单!$H$3),COUNTIFS($G$5:$G471,客户对账单!$B$3,$E$5:$E471,"客户回款",$B$5:$B471,"&gt;="&amp;客户对账单!$E$3,$B$5:$B471,"&lt;="&amp;客户对账单!$H$3),"")</f>
        <v/>
      </c>
      <c r="W471" s="49" t="str">
        <f aca="false">IF(AND($G471=供应商对账单!$B$3,$E471="供应商付款",$B471&gt;=供应商对账单!$E$3,$B471&lt;=供应商对账单!$H$3),COUNTIFS($G$5:$G471,供应商对账单!$B$3,$E$5:$E471,"供应商付款",$B$5:$B471,"&gt;="&amp;供应商对账单!$E$3,$B$5:$B471,"&lt;="&amp;供应商对账单!$H$3),"")</f>
        <v/>
      </c>
    </row>
    <row r="472" customFormat="false" ht="15.75" hidden="false" customHeight="true" outlineLevel="0" collapsed="false">
      <c r="A472" s="42" t="str">
        <f aca="false">IF($B472="","","ZJ"&amp;TEXT($B472,"yyyymm")&amp;"-"&amp;TEXT(ROW()-4,"000"))</f>
        <v/>
      </c>
      <c r="B472" s="41"/>
      <c r="C472" s="42" t="str">
        <f aca="false">IF($B472="","",TEXT($B472,"yyyy-mm"))</f>
        <v/>
      </c>
      <c r="D472" s="42" t="str">
        <f aca="false">IF($E472="","",IFERROR(INDEX(科目参数!$L$6:$L$85,MATCH($E472,科目参数!$M$6:$M$85,0)),"⚠"))</f>
        <v/>
      </c>
      <c r="E472" s="33"/>
      <c r="F472" s="33"/>
      <c r="G472" s="36"/>
      <c r="H472" s="33"/>
      <c r="I472" s="33"/>
      <c r="J472" s="36"/>
      <c r="K472" s="40"/>
      <c r="L472" s="40"/>
      <c r="M472" s="47" t="str">
        <f aca="false">IF($B472="","",IF(NOT(ISNUMBER($B472)),"日期不是日期格式",IF(YEAR($B472)&lt;&gt;首页!$B$3,"不在会计年度",IF($E472="","未选收支科目",IF($D472="⚠","收支科目不存在",IF($F472="","未选账户",IF($T472="","账户未设资金科目",IF(AND($D472="转账",$U472=""),"转入账户无效",IF(AND(N($K472)&gt;0,N($L472)&gt;0),"收支不能同时填",IF(AND($D472="收入",N($K472)&lt;=0),"收入金额须大于0",IF(AND($D472&lt;&gt;"收入",N($L472)&lt;=0),"支出金额须大于0",IF($O472="","借方科目缺失",IF($P472="","贷方科目缺失","√")))))))))))))</f>
        <v/>
      </c>
      <c r="N472" s="48" t="str">
        <f aca="false">IF($B472="","",IF($D472="收入",N($K472),N($L472)))</f>
        <v/>
      </c>
      <c r="O472" s="49" t="str">
        <f aca="false">IF($B472="","",IF($D472="收入",$T472,IF($D472="转账",$U472,$S472)))</f>
        <v/>
      </c>
      <c r="P472" s="49" t="str">
        <f aca="false">IF($B472="","",IF($D472="收入",$S472,$T472))</f>
        <v/>
      </c>
      <c r="Q472" s="50" t="str">
        <f aca="false">IF($E472="","",IF($D472="转账","—",IFERROR(INDEX(科目参数!$P$6:$P$85,MATCH($E472,科目参数!$M$6:$M$85,0)),"")))</f>
        <v/>
      </c>
      <c r="R472" s="48" t="str">
        <f aca="false">IF($B472="","",SUMIFS(期初数据!$B$6:$B$35,期初数据!$A$6:$A$35,$F472)+SUMIFS($N$5:$N472,$F$5:$F472,$F472,$D$5:$D472,"收入")-SUMIFS($N$5:$N472,$F$5:$F472,$F472,$D$5:$D472,"支出")-SUMIFS($N$5:$N472,$F$5:$F472,$F472,$D$5:$D472,"转账")+SUMIFS($N$5:$N472,$G$5:$G472,$F472,$D$5:$D472,"转账"))</f>
        <v/>
      </c>
      <c r="S472" s="49" t="str">
        <f aca="false">IF($E472="","",IFERROR(INDEX(科目参数!$N$6:$N$85,MATCH($E472,科目参数!$M$6:$M$85,0)),""))</f>
        <v/>
      </c>
      <c r="T472" s="49" t="str">
        <f aca="false">IF($F472="","",IFERROR(INDEX(基础资料!$C$6:$C$35,MATCH($F472,基础资料!$A$6:$A$35,0)),""))</f>
        <v/>
      </c>
      <c r="U472" s="49" t="str">
        <f aca="false">IF($G472="","",IFERROR(INDEX(基础资料!$C$6:$C$35,MATCH($G472,基础资料!$A$6:$A$35,0)),""))</f>
        <v/>
      </c>
      <c r="V472" s="49" t="str">
        <f aca="false">IF(AND($G472=客户对账单!$B$3,$E472="客户回款",$B472&gt;=客户对账单!$E$3,$B472&lt;=客户对账单!$H$3),COUNTIFS($G$5:$G472,客户对账单!$B$3,$E$5:$E472,"客户回款",$B$5:$B472,"&gt;="&amp;客户对账单!$E$3,$B$5:$B472,"&lt;="&amp;客户对账单!$H$3),"")</f>
        <v/>
      </c>
      <c r="W472" s="49" t="str">
        <f aca="false">IF(AND($G472=供应商对账单!$B$3,$E472="供应商付款",$B472&gt;=供应商对账单!$E$3,$B472&lt;=供应商对账单!$H$3),COUNTIFS($G$5:$G472,供应商对账单!$B$3,$E$5:$E472,"供应商付款",$B$5:$B472,"&gt;="&amp;供应商对账单!$E$3,$B$5:$B472,"&lt;="&amp;供应商对账单!$H$3),"")</f>
        <v/>
      </c>
    </row>
    <row r="473" customFormat="false" ht="15.75" hidden="false" customHeight="true" outlineLevel="0" collapsed="false">
      <c r="A473" s="42" t="str">
        <f aca="false">IF($B473="","","ZJ"&amp;TEXT($B473,"yyyymm")&amp;"-"&amp;TEXT(ROW()-4,"000"))</f>
        <v/>
      </c>
      <c r="B473" s="41"/>
      <c r="C473" s="42" t="str">
        <f aca="false">IF($B473="","",TEXT($B473,"yyyy-mm"))</f>
        <v/>
      </c>
      <c r="D473" s="42" t="str">
        <f aca="false">IF($E473="","",IFERROR(INDEX(科目参数!$L$6:$L$85,MATCH($E473,科目参数!$M$6:$M$85,0)),"⚠"))</f>
        <v/>
      </c>
      <c r="E473" s="33"/>
      <c r="F473" s="33"/>
      <c r="G473" s="36"/>
      <c r="H473" s="33"/>
      <c r="I473" s="33"/>
      <c r="J473" s="36"/>
      <c r="K473" s="40"/>
      <c r="L473" s="40"/>
      <c r="M473" s="47" t="str">
        <f aca="false">IF($B473="","",IF(NOT(ISNUMBER($B473)),"日期不是日期格式",IF(YEAR($B473)&lt;&gt;首页!$B$3,"不在会计年度",IF($E473="","未选收支科目",IF($D473="⚠","收支科目不存在",IF($F473="","未选账户",IF($T473="","账户未设资金科目",IF(AND($D473="转账",$U473=""),"转入账户无效",IF(AND(N($K473)&gt;0,N($L473)&gt;0),"收支不能同时填",IF(AND($D473="收入",N($K473)&lt;=0),"收入金额须大于0",IF(AND($D473&lt;&gt;"收入",N($L473)&lt;=0),"支出金额须大于0",IF($O473="","借方科目缺失",IF($P473="","贷方科目缺失","√")))))))))))))</f>
        <v/>
      </c>
      <c r="N473" s="48" t="str">
        <f aca="false">IF($B473="","",IF($D473="收入",N($K473),N($L473)))</f>
        <v/>
      </c>
      <c r="O473" s="49" t="str">
        <f aca="false">IF($B473="","",IF($D473="收入",$T473,IF($D473="转账",$U473,$S473)))</f>
        <v/>
      </c>
      <c r="P473" s="49" t="str">
        <f aca="false">IF($B473="","",IF($D473="收入",$S473,$T473))</f>
        <v/>
      </c>
      <c r="Q473" s="50" t="str">
        <f aca="false">IF($E473="","",IF($D473="转账","—",IFERROR(INDEX(科目参数!$P$6:$P$85,MATCH($E473,科目参数!$M$6:$M$85,0)),"")))</f>
        <v/>
      </c>
      <c r="R473" s="48" t="str">
        <f aca="false">IF($B473="","",SUMIFS(期初数据!$B$6:$B$35,期初数据!$A$6:$A$35,$F473)+SUMIFS($N$5:$N473,$F$5:$F473,$F473,$D$5:$D473,"收入")-SUMIFS($N$5:$N473,$F$5:$F473,$F473,$D$5:$D473,"支出")-SUMIFS($N$5:$N473,$F$5:$F473,$F473,$D$5:$D473,"转账")+SUMIFS($N$5:$N473,$G$5:$G473,$F473,$D$5:$D473,"转账"))</f>
        <v/>
      </c>
      <c r="S473" s="49" t="str">
        <f aca="false">IF($E473="","",IFERROR(INDEX(科目参数!$N$6:$N$85,MATCH($E473,科目参数!$M$6:$M$85,0)),""))</f>
        <v/>
      </c>
      <c r="T473" s="49" t="str">
        <f aca="false">IF($F473="","",IFERROR(INDEX(基础资料!$C$6:$C$35,MATCH($F473,基础资料!$A$6:$A$35,0)),""))</f>
        <v/>
      </c>
      <c r="U473" s="49" t="str">
        <f aca="false">IF($G473="","",IFERROR(INDEX(基础资料!$C$6:$C$35,MATCH($G473,基础资料!$A$6:$A$35,0)),""))</f>
        <v/>
      </c>
      <c r="V473" s="49" t="str">
        <f aca="false">IF(AND($G473=客户对账单!$B$3,$E473="客户回款",$B473&gt;=客户对账单!$E$3,$B473&lt;=客户对账单!$H$3),COUNTIFS($G$5:$G473,客户对账单!$B$3,$E$5:$E473,"客户回款",$B$5:$B473,"&gt;="&amp;客户对账单!$E$3,$B$5:$B473,"&lt;="&amp;客户对账单!$H$3),"")</f>
        <v/>
      </c>
      <c r="W473" s="49" t="str">
        <f aca="false">IF(AND($G473=供应商对账单!$B$3,$E473="供应商付款",$B473&gt;=供应商对账单!$E$3,$B473&lt;=供应商对账单!$H$3),COUNTIFS($G$5:$G473,供应商对账单!$B$3,$E$5:$E473,"供应商付款",$B$5:$B473,"&gt;="&amp;供应商对账单!$E$3,$B$5:$B473,"&lt;="&amp;供应商对账单!$H$3),"")</f>
        <v/>
      </c>
    </row>
    <row r="474" customFormat="false" ht="15.75" hidden="false" customHeight="true" outlineLevel="0" collapsed="false">
      <c r="A474" s="42" t="str">
        <f aca="false">IF($B474="","","ZJ"&amp;TEXT($B474,"yyyymm")&amp;"-"&amp;TEXT(ROW()-4,"000"))</f>
        <v/>
      </c>
      <c r="B474" s="41"/>
      <c r="C474" s="42" t="str">
        <f aca="false">IF($B474="","",TEXT($B474,"yyyy-mm"))</f>
        <v/>
      </c>
      <c r="D474" s="42" t="str">
        <f aca="false">IF($E474="","",IFERROR(INDEX(科目参数!$L$6:$L$85,MATCH($E474,科目参数!$M$6:$M$85,0)),"⚠"))</f>
        <v/>
      </c>
      <c r="E474" s="33"/>
      <c r="F474" s="33"/>
      <c r="G474" s="36"/>
      <c r="H474" s="33"/>
      <c r="I474" s="33"/>
      <c r="J474" s="36"/>
      <c r="K474" s="40"/>
      <c r="L474" s="40"/>
      <c r="M474" s="47" t="str">
        <f aca="false">IF($B474="","",IF(NOT(ISNUMBER($B474)),"日期不是日期格式",IF(YEAR($B474)&lt;&gt;首页!$B$3,"不在会计年度",IF($E474="","未选收支科目",IF($D474="⚠","收支科目不存在",IF($F474="","未选账户",IF($T474="","账户未设资金科目",IF(AND($D474="转账",$U474=""),"转入账户无效",IF(AND(N($K474)&gt;0,N($L474)&gt;0),"收支不能同时填",IF(AND($D474="收入",N($K474)&lt;=0),"收入金额须大于0",IF(AND($D474&lt;&gt;"收入",N($L474)&lt;=0),"支出金额须大于0",IF($O474="","借方科目缺失",IF($P474="","贷方科目缺失","√")))))))))))))</f>
        <v/>
      </c>
      <c r="N474" s="48" t="str">
        <f aca="false">IF($B474="","",IF($D474="收入",N($K474),N($L474)))</f>
        <v/>
      </c>
      <c r="O474" s="49" t="str">
        <f aca="false">IF($B474="","",IF($D474="收入",$T474,IF($D474="转账",$U474,$S474)))</f>
        <v/>
      </c>
      <c r="P474" s="49" t="str">
        <f aca="false">IF($B474="","",IF($D474="收入",$S474,$T474))</f>
        <v/>
      </c>
      <c r="Q474" s="50" t="str">
        <f aca="false">IF($E474="","",IF($D474="转账","—",IFERROR(INDEX(科目参数!$P$6:$P$85,MATCH($E474,科目参数!$M$6:$M$85,0)),"")))</f>
        <v/>
      </c>
      <c r="R474" s="48" t="str">
        <f aca="false">IF($B474="","",SUMIFS(期初数据!$B$6:$B$35,期初数据!$A$6:$A$35,$F474)+SUMIFS($N$5:$N474,$F$5:$F474,$F474,$D$5:$D474,"收入")-SUMIFS($N$5:$N474,$F$5:$F474,$F474,$D$5:$D474,"支出")-SUMIFS($N$5:$N474,$F$5:$F474,$F474,$D$5:$D474,"转账")+SUMIFS($N$5:$N474,$G$5:$G474,$F474,$D$5:$D474,"转账"))</f>
        <v/>
      </c>
      <c r="S474" s="49" t="str">
        <f aca="false">IF($E474="","",IFERROR(INDEX(科目参数!$N$6:$N$85,MATCH($E474,科目参数!$M$6:$M$85,0)),""))</f>
        <v/>
      </c>
      <c r="T474" s="49" t="str">
        <f aca="false">IF($F474="","",IFERROR(INDEX(基础资料!$C$6:$C$35,MATCH($F474,基础资料!$A$6:$A$35,0)),""))</f>
        <v/>
      </c>
      <c r="U474" s="49" t="str">
        <f aca="false">IF($G474="","",IFERROR(INDEX(基础资料!$C$6:$C$35,MATCH($G474,基础资料!$A$6:$A$35,0)),""))</f>
        <v/>
      </c>
      <c r="V474" s="49" t="str">
        <f aca="false">IF(AND($G474=客户对账单!$B$3,$E474="客户回款",$B474&gt;=客户对账单!$E$3,$B474&lt;=客户对账单!$H$3),COUNTIFS($G$5:$G474,客户对账单!$B$3,$E$5:$E474,"客户回款",$B$5:$B474,"&gt;="&amp;客户对账单!$E$3,$B$5:$B474,"&lt;="&amp;客户对账单!$H$3),"")</f>
        <v/>
      </c>
      <c r="W474" s="49" t="str">
        <f aca="false">IF(AND($G474=供应商对账单!$B$3,$E474="供应商付款",$B474&gt;=供应商对账单!$E$3,$B474&lt;=供应商对账单!$H$3),COUNTIFS($G$5:$G474,供应商对账单!$B$3,$E$5:$E474,"供应商付款",$B$5:$B474,"&gt;="&amp;供应商对账单!$E$3,$B$5:$B474,"&lt;="&amp;供应商对账单!$H$3),"")</f>
        <v/>
      </c>
    </row>
    <row r="475" customFormat="false" ht="15.75" hidden="false" customHeight="true" outlineLevel="0" collapsed="false">
      <c r="A475" s="42" t="str">
        <f aca="false">IF($B475="","","ZJ"&amp;TEXT($B475,"yyyymm")&amp;"-"&amp;TEXT(ROW()-4,"000"))</f>
        <v/>
      </c>
      <c r="B475" s="41"/>
      <c r="C475" s="42" t="str">
        <f aca="false">IF($B475="","",TEXT($B475,"yyyy-mm"))</f>
        <v/>
      </c>
      <c r="D475" s="42" t="str">
        <f aca="false">IF($E475="","",IFERROR(INDEX(科目参数!$L$6:$L$85,MATCH($E475,科目参数!$M$6:$M$85,0)),"⚠"))</f>
        <v/>
      </c>
      <c r="E475" s="33"/>
      <c r="F475" s="33"/>
      <c r="G475" s="36"/>
      <c r="H475" s="33"/>
      <c r="I475" s="33"/>
      <c r="J475" s="36"/>
      <c r="K475" s="40"/>
      <c r="L475" s="40"/>
      <c r="M475" s="47" t="str">
        <f aca="false">IF($B475="","",IF(NOT(ISNUMBER($B475)),"日期不是日期格式",IF(YEAR($B475)&lt;&gt;首页!$B$3,"不在会计年度",IF($E475="","未选收支科目",IF($D475="⚠","收支科目不存在",IF($F475="","未选账户",IF($T475="","账户未设资金科目",IF(AND($D475="转账",$U475=""),"转入账户无效",IF(AND(N($K475)&gt;0,N($L475)&gt;0),"收支不能同时填",IF(AND($D475="收入",N($K475)&lt;=0),"收入金额须大于0",IF(AND($D475&lt;&gt;"收入",N($L475)&lt;=0),"支出金额须大于0",IF($O475="","借方科目缺失",IF($P475="","贷方科目缺失","√")))))))))))))</f>
        <v/>
      </c>
      <c r="N475" s="48" t="str">
        <f aca="false">IF($B475="","",IF($D475="收入",N($K475),N($L475)))</f>
        <v/>
      </c>
      <c r="O475" s="49" t="str">
        <f aca="false">IF($B475="","",IF($D475="收入",$T475,IF($D475="转账",$U475,$S475)))</f>
        <v/>
      </c>
      <c r="P475" s="49" t="str">
        <f aca="false">IF($B475="","",IF($D475="收入",$S475,$T475))</f>
        <v/>
      </c>
      <c r="Q475" s="50" t="str">
        <f aca="false">IF($E475="","",IF($D475="转账","—",IFERROR(INDEX(科目参数!$P$6:$P$85,MATCH($E475,科目参数!$M$6:$M$85,0)),"")))</f>
        <v/>
      </c>
      <c r="R475" s="48" t="str">
        <f aca="false">IF($B475="","",SUMIFS(期初数据!$B$6:$B$35,期初数据!$A$6:$A$35,$F475)+SUMIFS($N$5:$N475,$F$5:$F475,$F475,$D$5:$D475,"收入")-SUMIFS($N$5:$N475,$F$5:$F475,$F475,$D$5:$D475,"支出")-SUMIFS($N$5:$N475,$F$5:$F475,$F475,$D$5:$D475,"转账")+SUMIFS($N$5:$N475,$G$5:$G475,$F475,$D$5:$D475,"转账"))</f>
        <v/>
      </c>
      <c r="S475" s="49" t="str">
        <f aca="false">IF($E475="","",IFERROR(INDEX(科目参数!$N$6:$N$85,MATCH($E475,科目参数!$M$6:$M$85,0)),""))</f>
        <v/>
      </c>
      <c r="T475" s="49" t="str">
        <f aca="false">IF($F475="","",IFERROR(INDEX(基础资料!$C$6:$C$35,MATCH($F475,基础资料!$A$6:$A$35,0)),""))</f>
        <v/>
      </c>
      <c r="U475" s="49" t="str">
        <f aca="false">IF($G475="","",IFERROR(INDEX(基础资料!$C$6:$C$35,MATCH($G475,基础资料!$A$6:$A$35,0)),""))</f>
        <v/>
      </c>
      <c r="V475" s="49" t="str">
        <f aca="false">IF(AND($G475=客户对账单!$B$3,$E475="客户回款",$B475&gt;=客户对账单!$E$3,$B475&lt;=客户对账单!$H$3),COUNTIFS($G$5:$G475,客户对账单!$B$3,$E$5:$E475,"客户回款",$B$5:$B475,"&gt;="&amp;客户对账单!$E$3,$B$5:$B475,"&lt;="&amp;客户对账单!$H$3),"")</f>
        <v/>
      </c>
      <c r="W475" s="49" t="str">
        <f aca="false">IF(AND($G475=供应商对账单!$B$3,$E475="供应商付款",$B475&gt;=供应商对账单!$E$3,$B475&lt;=供应商对账单!$H$3),COUNTIFS($G$5:$G475,供应商对账单!$B$3,$E$5:$E475,"供应商付款",$B$5:$B475,"&gt;="&amp;供应商对账单!$E$3,$B$5:$B475,"&lt;="&amp;供应商对账单!$H$3),"")</f>
        <v/>
      </c>
    </row>
    <row r="476" customFormat="false" ht="15.75" hidden="false" customHeight="true" outlineLevel="0" collapsed="false">
      <c r="A476" s="42" t="str">
        <f aca="false">IF($B476="","","ZJ"&amp;TEXT($B476,"yyyymm")&amp;"-"&amp;TEXT(ROW()-4,"000"))</f>
        <v/>
      </c>
      <c r="B476" s="41"/>
      <c r="C476" s="42" t="str">
        <f aca="false">IF($B476="","",TEXT($B476,"yyyy-mm"))</f>
        <v/>
      </c>
      <c r="D476" s="42" t="str">
        <f aca="false">IF($E476="","",IFERROR(INDEX(科目参数!$L$6:$L$85,MATCH($E476,科目参数!$M$6:$M$85,0)),"⚠"))</f>
        <v/>
      </c>
      <c r="E476" s="33"/>
      <c r="F476" s="33"/>
      <c r="G476" s="36"/>
      <c r="H476" s="33"/>
      <c r="I476" s="33"/>
      <c r="J476" s="36"/>
      <c r="K476" s="40"/>
      <c r="L476" s="40"/>
      <c r="M476" s="47" t="str">
        <f aca="false">IF($B476="","",IF(NOT(ISNUMBER($B476)),"日期不是日期格式",IF(YEAR($B476)&lt;&gt;首页!$B$3,"不在会计年度",IF($E476="","未选收支科目",IF($D476="⚠","收支科目不存在",IF($F476="","未选账户",IF($T476="","账户未设资金科目",IF(AND($D476="转账",$U476=""),"转入账户无效",IF(AND(N($K476)&gt;0,N($L476)&gt;0),"收支不能同时填",IF(AND($D476="收入",N($K476)&lt;=0),"收入金额须大于0",IF(AND($D476&lt;&gt;"收入",N($L476)&lt;=0),"支出金额须大于0",IF($O476="","借方科目缺失",IF($P476="","贷方科目缺失","√")))))))))))))</f>
        <v/>
      </c>
      <c r="N476" s="48" t="str">
        <f aca="false">IF($B476="","",IF($D476="收入",N($K476),N($L476)))</f>
        <v/>
      </c>
      <c r="O476" s="49" t="str">
        <f aca="false">IF($B476="","",IF($D476="收入",$T476,IF($D476="转账",$U476,$S476)))</f>
        <v/>
      </c>
      <c r="P476" s="49" t="str">
        <f aca="false">IF($B476="","",IF($D476="收入",$S476,$T476))</f>
        <v/>
      </c>
      <c r="Q476" s="50" t="str">
        <f aca="false">IF($E476="","",IF($D476="转账","—",IFERROR(INDEX(科目参数!$P$6:$P$85,MATCH($E476,科目参数!$M$6:$M$85,0)),"")))</f>
        <v/>
      </c>
      <c r="R476" s="48" t="str">
        <f aca="false">IF($B476="","",SUMIFS(期初数据!$B$6:$B$35,期初数据!$A$6:$A$35,$F476)+SUMIFS($N$5:$N476,$F$5:$F476,$F476,$D$5:$D476,"收入")-SUMIFS($N$5:$N476,$F$5:$F476,$F476,$D$5:$D476,"支出")-SUMIFS($N$5:$N476,$F$5:$F476,$F476,$D$5:$D476,"转账")+SUMIFS($N$5:$N476,$G$5:$G476,$F476,$D$5:$D476,"转账"))</f>
        <v/>
      </c>
      <c r="S476" s="49" t="str">
        <f aca="false">IF($E476="","",IFERROR(INDEX(科目参数!$N$6:$N$85,MATCH($E476,科目参数!$M$6:$M$85,0)),""))</f>
        <v/>
      </c>
      <c r="T476" s="49" t="str">
        <f aca="false">IF($F476="","",IFERROR(INDEX(基础资料!$C$6:$C$35,MATCH($F476,基础资料!$A$6:$A$35,0)),""))</f>
        <v/>
      </c>
      <c r="U476" s="49" t="str">
        <f aca="false">IF($G476="","",IFERROR(INDEX(基础资料!$C$6:$C$35,MATCH($G476,基础资料!$A$6:$A$35,0)),""))</f>
        <v/>
      </c>
      <c r="V476" s="49" t="str">
        <f aca="false">IF(AND($G476=客户对账单!$B$3,$E476="客户回款",$B476&gt;=客户对账单!$E$3,$B476&lt;=客户对账单!$H$3),COUNTIFS($G$5:$G476,客户对账单!$B$3,$E$5:$E476,"客户回款",$B$5:$B476,"&gt;="&amp;客户对账单!$E$3,$B$5:$B476,"&lt;="&amp;客户对账单!$H$3),"")</f>
        <v/>
      </c>
      <c r="W476" s="49" t="str">
        <f aca="false">IF(AND($G476=供应商对账单!$B$3,$E476="供应商付款",$B476&gt;=供应商对账单!$E$3,$B476&lt;=供应商对账单!$H$3),COUNTIFS($G$5:$G476,供应商对账单!$B$3,$E$5:$E476,"供应商付款",$B$5:$B476,"&gt;="&amp;供应商对账单!$E$3,$B$5:$B476,"&lt;="&amp;供应商对账单!$H$3),"")</f>
        <v/>
      </c>
    </row>
    <row r="477" customFormat="false" ht="15.75" hidden="false" customHeight="true" outlineLevel="0" collapsed="false">
      <c r="A477" s="42" t="str">
        <f aca="false">IF($B477="","","ZJ"&amp;TEXT($B477,"yyyymm")&amp;"-"&amp;TEXT(ROW()-4,"000"))</f>
        <v/>
      </c>
      <c r="B477" s="41"/>
      <c r="C477" s="42" t="str">
        <f aca="false">IF($B477="","",TEXT($B477,"yyyy-mm"))</f>
        <v/>
      </c>
      <c r="D477" s="42" t="str">
        <f aca="false">IF($E477="","",IFERROR(INDEX(科目参数!$L$6:$L$85,MATCH($E477,科目参数!$M$6:$M$85,0)),"⚠"))</f>
        <v/>
      </c>
      <c r="E477" s="33"/>
      <c r="F477" s="33"/>
      <c r="G477" s="36"/>
      <c r="H477" s="33"/>
      <c r="I477" s="33"/>
      <c r="J477" s="36"/>
      <c r="K477" s="40"/>
      <c r="L477" s="40"/>
      <c r="M477" s="47" t="str">
        <f aca="false">IF($B477="","",IF(NOT(ISNUMBER($B477)),"日期不是日期格式",IF(YEAR($B477)&lt;&gt;首页!$B$3,"不在会计年度",IF($E477="","未选收支科目",IF($D477="⚠","收支科目不存在",IF($F477="","未选账户",IF($T477="","账户未设资金科目",IF(AND($D477="转账",$U477=""),"转入账户无效",IF(AND(N($K477)&gt;0,N($L477)&gt;0),"收支不能同时填",IF(AND($D477="收入",N($K477)&lt;=0),"收入金额须大于0",IF(AND($D477&lt;&gt;"收入",N($L477)&lt;=0),"支出金额须大于0",IF($O477="","借方科目缺失",IF($P477="","贷方科目缺失","√")))))))))))))</f>
        <v/>
      </c>
      <c r="N477" s="48" t="str">
        <f aca="false">IF($B477="","",IF($D477="收入",N($K477),N($L477)))</f>
        <v/>
      </c>
      <c r="O477" s="49" t="str">
        <f aca="false">IF($B477="","",IF($D477="收入",$T477,IF($D477="转账",$U477,$S477)))</f>
        <v/>
      </c>
      <c r="P477" s="49" t="str">
        <f aca="false">IF($B477="","",IF($D477="收入",$S477,$T477))</f>
        <v/>
      </c>
      <c r="Q477" s="50" t="str">
        <f aca="false">IF($E477="","",IF($D477="转账","—",IFERROR(INDEX(科目参数!$P$6:$P$85,MATCH($E477,科目参数!$M$6:$M$85,0)),"")))</f>
        <v/>
      </c>
      <c r="R477" s="48" t="str">
        <f aca="false">IF($B477="","",SUMIFS(期初数据!$B$6:$B$35,期初数据!$A$6:$A$35,$F477)+SUMIFS($N$5:$N477,$F$5:$F477,$F477,$D$5:$D477,"收入")-SUMIFS($N$5:$N477,$F$5:$F477,$F477,$D$5:$D477,"支出")-SUMIFS($N$5:$N477,$F$5:$F477,$F477,$D$5:$D477,"转账")+SUMIFS($N$5:$N477,$G$5:$G477,$F477,$D$5:$D477,"转账"))</f>
        <v/>
      </c>
      <c r="S477" s="49" t="str">
        <f aca="false">IF($E477="","",IFERROR(INDEX(科目参数!$N$6:$N$85,MATCH($E477,科目参数!$M$6:$M$85,0)),""))</f>
        <v/>
      </c>
      <c r="T477" s="49" t="str">
        <f aca="false">IF($F477="","",IFERROR(INDEX(基础资料!$C$6:$C$35,MATCH($F477,基础资料!$A$6:$A$35,0)),""))</f>
        <v/>
      </c>
      <c r="U477" s="49" t="str">
        <f aca="false">IF($G477="","",IFERROR(INDEX(基础资料!$C$6:$C$35,MATCH($G477,基础资料!$A$6:$A$35,0)),""))</f>
        <v/>
      </c>
      <c r="V477" s="49" t="str">
        <f aca="false">IF(AND($G477=客户对账单!$B$3,$E477="客户回款",$B477&gt;=客户对账单!$E$3,$B477&lt;=客户对账单!$H$3),COUNTIFS($G$5:$G477,客户对账单!$B$3,$E$5:$E477,"客户回款",$B$5:$B477,"&gt;="&amp;客户对账单!$E$3,$B$5:$B477,"&lt;="&amp;客户对账单!$H$3),"")</f>
        <v/>
      </c>
      <c r="W477" s="49" t="str">
        <f aca="false">IF(AND($G477=供应商对账单!$B$3,$E477="供应商付款",$B477&gt;=供应商对账单!$E$3,$B477&lt;=供应商对账单!$H$3),COUNTIFS($G$5:$G477,供应商对账单!$B$3,$E$5:$E477,"供应商付款",$B$5:$B477,"&gt;="&amp;供应商对账单!$E$3,$B$5:$B477,"&lt;="&amp;供应商对账单!$H$3),"")</f>
        <v/>
      </c>
    </row>
    <row r="478" customFormat="false" ht="15.75" hidden="false" customHeight="true" outlineLevel="0" collapsed="false">
      <c r="A478" s="42" t="str">
        <f aca="false">IF($B478="","","ZJ"&amp;TEXT($B478,"yyyymm")&amp;"-"&amp;TEXT(ROW()-4,"000"))</f>
        <v/>
      </c>
      <c r="B478" s="41"/>
      <c r="C478" s="42" t="str">
        <f aca="false">IF($B478="","",TEXT($B478,"yyyy-mm"))</f>
        <v/>
      </c>
      <c r="D478" s="42" t="str">
        <f aca="false">IF($E478="","",IFERROR(INDEX(科目参数!$L$6:$L$85,MATCH($E478,科目参数!$M$6:$M$85,0)),"⚠"))</f>
        <v/>
      </c>
      <c r="E478" s="33"/>
      <c r="F478" s="33"/>
      <c r="G478" s="36"/>
      <c r="H478" s="33"/>
      <c r="I478" s="33"/>
      <c r="J478" s="36"/>
      <c r="K478" s="40"/>
      <c r="L478" s="40"/>
      <c r="M478" s="47" t="str">
        <f aca="false">IF($B478="","",IF(NOT(ISNUMBER($B478)),"日期不是日期格式",IF(YEAR($B478)&lt;&gt;首页!$B$3,"不在会计年度",IF($E478="","未选收支科目",IF($D478="⚠","收支科目不存在",IF($F478="","未选账户",IF($T478="","账户未设资金科目",IF(AND($D478="转账",$U478=""),"转入账户无效",IF(AND(N($K478)&gt;0,N($L478)&gt;0),"收支不能同时填",IF(AND($D478="收入",N($K478)&lt;=0),"收入金额须大于0",IF(AND($D478&lt;&gt;"收入",N($L478)&lt;=0),"支出金额须大于0",IF($O478="","借方科目缺失",IF($P478="","贷方科目缺失","√")))))))))))))</f>
        <v/>
      </c>
      <c r="N478" s="48" t="str">
        <f aca="false">IF($B478="","",IF($D478="收入",N($K478),N($L478)))</f>
        <v/>
      </c>
      <c r="O478" s="49" t="str">
        <f aca="false">IF($B478="","",IF($D478="收入",$T478,IF($D478="转账",$U478,$S478)))</f>
        <v/>
      </c>
      <c r="P478" s="49" t="str">
        <f aca="false">IF($B478="","",IF($D478="收入",$S478,$T478))</f>
        <v/>
      </c>
      <c r="Q478" s="50" t="str">
        <f aca="false">IF($E478="","",IF($D478="转账","—",IFERROR(INDEX(科目参数!$P$6:$P$85,MATCH($E478,科目参数!$M$6:$M$85,0)),"")))</f>
        <v/>
      </c>
      <c r="R478" s="48" t="str">
        <f aca="false">IF($B478="","",SUMIFS(期初数据!$B$6:$B$35,期初数据!$A$6:$A$35,$F478)+SUMIFS($N$5:$N478,$F$5:$F478,$F478,$D$5:$D478,"收入")-SUMIFS($N$5:$N478,$F$5:$F478,$F478,$D$5:$D478,"支出")-SUMIFS($N$5:$N478,$F$5:$F478,$F478,$D$5:$D478,"转账")+SUMIFS($N$5:$N478,$G$5:$G478,$F478,$D$5:$D478,"转账"))</f>
        <v/>
      </c>
      <c r="S478" s="49" t="str">
        <f aca="false">IF($E478="","",IFERROR(INDEX(科目参数!$N$6:$N$85,MATCH($E478,科目参数!$M$6:$M$85,0)),""))</f>
        <v/>
      </c>
      <c r="T478" s="49" t="str">
        <f aca="false">IF($F478="","",IFERROR(INDEX(基础资料!$C$6:$C$35,MATCH($F478,基础资料!$A$6:$A$35,0)),""))</f>
        <v/>
      </c>
      <c r="U478" s="49" t="str">
        <f aca="false">IF($G478="","",IFERROR(INDEX(基础资料!$C$6:$C$35,MATCH($G478,基础资料!$A$6:$A$35,0)),""))</f>
        <v/>
      </c>
      <c r="V478" s="49" t="str">
        <f aca="false">IF(AND($G478=客户对账单!$B$3,$E478="客户回款",$B478&gt;=客户对账单!$E$3,$B478&lt;=客户对账单!$H$3),COUNTIFS($G$5:$G478,客户对账单!$B$3,$E$5:$E478,"客户回款",$B$5:$B478,"&gt;="&amp;客户对账单!$E$3,$B$5:$B478,"&lt;="&amp;客户对账单!$H$3),"")</f>
        <v/>
      </c>
      <c r="W478" s="49" t="str">
        <f aca="false">IF(AND($G478=供应商对账单!$B$3,$E478="供应商付款",$B478&gt;=供应商对账单!$E$3,$B478&lt;=供应商对账单!$H$3),COUNTIFS($G$5:$G478,供应商对账单!$B$3,$E$5:$E478,"供应商付款",$B$5:$B478,"&gt;="&amp;供应商对账单!$E$3,$B$5:$B478,"&lt;="&amp;供应商对账单!$H$3),"")</f>
        <v/>
      </c>
    </row>
    <row r="479" customFormat="false" ht="15.75" hidden="false" customHeight="true" outlineLevel="0" collapsed="false">
      <c r="A479" s="42" t="str">
        <f aca="false">IF($B479="","","ZJ"&amp;TEXT($B479,"yyyymm")&amp;"-"&amp;TEXT(ROW()-4,"000"))</f>
        <v/>
      </c>
      <c r="B479" s="41"/>
      <c r="C479" s="42" t="str">
        <f aca="false">IF($B479="","",TEXT($B479,"yyyy-mm"))</f>
        <v/>
      </c>
      <c r="D479" s="42" t="str">
        <f aca="false">IF($E479="","",IFERROR(INDEX(科目参数!$L$6:$L$85,MATCH($E479,科目参数!$M$6:$M$85,0)),"⚠"))</f>
        <v/>
      </c>
      <c r="E479" s="33"/>
      <c r="F479" s="33"/>
      <c r="G479" s="36"/>
      <c r="H479" s="33"/>
      <c r="I479" s="33"/>
      <c r="J479" s="36"/>
      <c r="K479" s="40"/>
      <c r="L479" s="40"/>
      <c r="M479" s="47" t="str">
        <f aca="false">IF($B479="","",IF(NOT(ISNUMBER($B479)),"日期不是日期格式",IF(YEAR($B479)&lt;&gt;首页!$B$3,"不在会计年度",IF($E479="","未选收支科目",IF($D479="⚠","收支科目不存在",IF($F479="","未选账户",IF($T479="","账户未设资金科目",IF(AND($D479="转账",$U479=""),"转入账户无效",IF(AND(N($K479)&gt;0,N($L479)&gt;0),"收支不能同时填",IF(AND($D479="收入",N($K479)&lt;=0),"收入金额须大于0",IF(AND($D479&lt;&gt;"收入",N($L479)&lt;=0),"支出金额须大于0",IF($O479="","借方科目缺失",IF($P479="","贷方科目缺失","√")))))))))))))</f>
        <v/>
      </c>
      <c r="N479" s="48" t="str">
        <f aca="false">IF($B479="","",IF($D479="收入",N($K479),N($L479)))</f>
        <v/>
      </c>
      <c r="O479" s="49" t="str">
        <f aca="false">IF($B479="","",IF($D479="收入",$T479,IF($D479="转账",$U479,$S479)))</f>
        <v/>
      </c>
      <c r="P479" s="49" t="str">
        <f aca="false">IF($B479="","",IF($D479="收入",$S479,$T479))</f>
        <v/>
      </c>
      <c r="Q479" s="50" t="str">
        <f aca="false">IF($E479="","",IF($D479="转账","—",IFERROR(INDEX(科目参数!$P$6:$P$85,MATCH($E479,科目参数!$M$6:$M$85,0)),"")))</f>
        <v/>
      </c>
      <c r="R479" s="48" t="str">
        <f aca="false">IF($B479="","",SUMIFS(期初数据!$B$6:$B$35,期初数据!$A$6:$A$35,$F479)+SUMIFS($N$5:$N479,$F$5:$F479,$F479,$D$5:$D479,"收入")-SUMIFS($N$5:$N479,$F$5:$F479,$F479,$D$5:$D479,"支出")-SUMIFS($N$5:$N479,$F$5:$F479,$F479,$D$5:$D479,"转账")+SUMIFS($N$5:$N479,$G$5:$G479,$F479,$D$5:$D479,"转账"))</f>
        <v/>
      </c>
      <c r="S479" s="49" t="str">
        <f aca="false">IF($E479="","",IFERROR(INDEX(科目参数!$N$6:$N$85,MATCH($E479,科目参数!$M$6:$M$85,0)),""))</f>
        <v/>
      </c>
      <c r="T479" s="49" t="str">
        <f aca="false">IF($F479="","",IFERROR(INDEX(基础资料!$C$6:$C$35,MATCH($F479,基础资料!$A$6:$A$35,0)),""))</f>
        <v/>
      </c>
      <c r="U479" s="49" t="str">
        <f aca="false">IF($G479="","",IFERROR(INDEX(基础资料!$C$6:$C$35,MATCH($G479,基础资料!$A$6:$A$35,0)),""))</f>
        <v/>
      </c>
      <c r="V479" s="49" t="str">
        <f aca="false">IF(AND($G479=客户对账单!$B$3,$E479="客户回款",$B479&gt;=客户对账单!$E$3,$B479&lt;=客户对账单!$H$3),COUNTIFS($G$5:$G479,客户对账单!$B$3,$E$5:$E479,"客户回款",$B$5:$B479,"&gt;="&amp;客户对账单!$E$3,$B$5:$B479,"&lt;="&amp;客户对账单!$H$3),"")</f>
        <v/>
      </c>
      <c r="W479" s="49" t="str">
        <f aca="false">IF(AND($G479=供应商对账单!$B$3,$E479="供应商付款",$B479&gt;=供应商对账单!$E$3,$B479&lt;=供应商对账单!$H$3),COUNTIFS($G$5:$G479,供应商对账单!$B$3,$E$5:$E479,"供应商付款",$B$5:$B479,"&gt;="&amp;供应商对账单!$E$3,$B$5:$B479,"&lt;="&amp;供应商对账单!$H$3),"")</f>
        <v/>
      </c>
    </row>
    <row r="480" customFormat="false" ht="15.75" hidden="false" customHeight="true" outlineLevel="0" collapsed="false">
      <c r="A480" s="42" t="str">
        <f aca="false">IF($B480="","","ZJ"&amp;TEXT($B480,"yyyymm")&amp;"-"&amp;TEXT(ROW()-4,"000"))</f>
        <v/>
      </c>
      <c r="B480" s="41"/>
      <c r="C480" s="42" t="str">
        <f aca="false">IF($B480="","",TEXT($B480,"yyyy-mm"))</f>
        <v/>
      </c>
      <c r="D480" s="42" t="str">
        <f aca="false">IF($E480="","",IFERROR(INDEX(科目参数!$L$6:$L$85,MATCH($E480,科目参数!$M$6:$M$85,0)),"⚠"))</f>
        <v/>
      </c>
      <c r="E480" s="33"/>
      <c r="F480" s="33"/>
      <c r="G480" s="36"/>
      <c r="H480" s="33"/>
      <c r="I480" s="33"/>
      <c r="J480" s="36"/>
      <c r="K480" s="40"/>
      <c r="L480" s="40"/>
      <c r="M480" s="47" t="str">
        <f aca="false">IF($B480="","",IF(NOT(ISNUMBER($B480)),"日期不是日期格式",IF(YEAR($B480)&lt;&gt;首页!$B$3,"不在会计年度",IF($E480="","未选收支科目",IF($D480="⚠","收支科目不存在",IF($F480="","未选账户",IF($T480="","账户未设资金科目",IF(AND($D480="转账",$U480=""),"转入账户无效",IF(AND(N($K480)&gt;0,N($L480)&gt;0),"收支不能同时填",IF(AND($D480="收入",N($K480)&lt;=0),"收入金额须大于0",IF(AND($D480&lt;&gt;"收入",N($L480)&lt;=0),"支出金额须大于0",IF($O480="","借方科目缺失",IF($P480="","贷方科目缺失","√")))))))))))))</f>
        <v/>
      </c>
      <c r="N480" s="48" t="str">
        <f aca="false">IF($B480="","",IF($D480="收入",N($K480),N($L480)))</f>
        <v/>
      </c>
      <c r="O480" s="49" t="str">
        <f aca="false">IF($B480="","",IF($D480="收入",$T480,IF($D480="转账",$U480,$S480)))</f>
        <v/>
      </c>
      <c r="P480" s="49" t="str">
        <f aca="false">IF($B480="","",IF($D480="收入",$S480,$T480))</f>
        <v/>
      </c>
      <c r="Q480" s="50" t="str">
        <f aca="false">IF($E480="","",IF($D480="转账","—",IFERROR(INDEX(科目参数!$P$6:$P$85,MATCH($E480,科目参数!$M$6:$M$85,0)),"")))</f>
        <v/>
      </c>
      <c r="R480" s="48" t="str">
        <f aca="false">IF($B480="","",SUMIFS(期初数据!$B$6:$B$35,期初数据!$A$6:$A$35,$F480)+SUMIFS($N$5:$N480,$F$5:$F480,$F480,$D$5:$D480,"收入")-SUMIFS($N$5:$N480,$F$5:$F480,$F480,$D$5:$D480,"支出")-SUMIFS($N$5:$N480,$F$5:$F480,$F480,$D$5:$D480,"转账")+SUMIFS($N$5:$N480,$G$5:$G480,$F480,$D$5:$D480,"转账"))</f>
        <v/>
      </c>
      <c r="S480" s="49" t="str">
        <f aca="false">IF($E480="","",IFERROR(INDEX(科目参数!$N$6:$N$85,MATCH($E480,科目参数!$M$6:$M$85,0)),""))</f>
        <v/>
      </c>
      <c r="T480" s="49" t="str">
        <f aca="false">IF($F480="","",IFERROR(INDEX(基础资料!$C$6:$C$35,MATCH($F480,基础资料!$A$6:$A$35,0)),""))</f>
        <v/>
      </c>
      <c r="U480" s="49" t="str">
        <f aca="false">IF($G480="","",IFERROR(INDEX(基础资料!$C$6:$C$35,MATCH($G480,基础资料!$A$6:$A$35,0)),""))</f>
        <v/>
      </c>
      <c r="V480" s="49" t="str">
        <f aca="false">IF(AND($G480=客户对账单!$B$3,$E480="客户回款",$B480&gt;=客户对账单!$E$3,$B480&lt;=客户对账单!$H$3),COUNTIFS($G$5:$G480,客户对账单!$B$3,$E$5:$E480,"客户回款",$B$5:$B480,"&gt;="&amp;客户对账单!$E$3,$B$5:$B480,"&lt;="&amp;客户对账单!$H$3),"")</f>
        <v/>
      </c>
      <c r="W480" s="49" t="str">
        <f aca="false">IF(AND($G480=供应商对账单!$B$3,$E480="供应商付款",$B480&gt;=供应商对账单!$E$3,$B480&lt;=供应商对账单!$H$3),COUNTIFS($G$5:$G480,供应商对账单!$B$3,$E$5:$E480,"供应商付款",$B$5:$B480,"&gt;="&amp;供应商对账单!$E$3,$B$5:$B480,"&lt;="&amp;供应商对账单!$H$3),"")</f>
        <v/>
      </c>
    </row>
    <row r="481" customFormat="false" ht="15.75" hidden="false" customHeight="true" outlineLevel="0" collapsed="false">
      <c r="A481" s="42" t="str">
        <f aca="false">IF($B481="","","ZJ"&amp;TEXT($B481,"yyyymm")&amp;"-"&amp;TEXT(ROW()-4,"000"))</f>
        <v/>
      </c>
      <c r="B481" s="41"/>
      <c r="C481" s="42" t="str">
        <f aca="false">IF($B481="","",TEXT($B481,"yyyy-mm"))</f>
        <v/>
      </c>
      <c r="D481" s="42" t="str">
        <f aca="false">IF($E481="","",IFERROR(INDEX(科目参数!$L$6:$L$85,MATCH($E481,科目参数!$M$6:$M$85,0)),"⚠"))</f>
        <v/>
      </c>
      <c r="E481" s="33"/>
      <c r="F481" s="33"/>
      <c r="G481" s="36"/>
      <c r="H481" s="33"/>
      <c r="I481" s="33"/>
      <c r="J481" s="36"/>
      <c r="K481" s="40"/>
      <c r="L481" s="40"/>
      <c r="M481" s="47" t="str">
        <f aca="false">IF($B481="","",IF(NOT(ISNUMBER($B481)),"日期不是日期格式",IF(YEAR($B481)&lt;&gt;首页!$B$3,"不在会计年度",IF($E481="","未选收支科目",IF($D481="⚠","收支科目不存在",IF($F481="","未选账户",IF($T481="","账户未设资金科目",IF(AND($D481="转账",$U481=""),"转入账户无效",IF(AND(N($K481)&gt;0,N($L481)&gt;0),"收支不能同时填",IF(AND($D481="收入",N($K481)&lt;=0),"收入金额须大于0",IF(AND($D481&lt;&gt;"收入",N($L481)&lt;=0),"支出金额须大于0",IF($O481="","借方科目缺失",IF($P481="","贷方科目缺失","√")))))))))))))</f>
        <v/>
      </c>
      <c r="N481" s="48" t="str">
        <f aca="false">IF($B481="","",IF($D481="收入",N($K481),N($L481)))</f>
        <v/>
      </c>
      <c r="O481" s="49" t="str">
        <f aca="false">IF($B481="","",IF($D481="收入",$T481,IF($D481="转账",$U481,$S481)))</f>
        <v/>
      </c>
      <c r="P481" s="49" t="str">
        <f aca="false">IF($B481="","",IF($D481="收入",$S481,$T481))</f>
        <v/>
      </c>
      <c r="Q481" s="50" t="str">
        <f aca="false">IF($E481="","",IF($D481="转账","—",IFERROR(INDEX(科目参数!$P$6:$P$85,MATCH($E481,科目参数!$M$6:$M$85,0)),"")))</f>
        <v/>
      </c>
      <c r="R481" s="48" t="str">
        <f aca="false">IF($B481="","",SUMIFS(期初数据!$B$6:$B$35,期初数据!$A$6:$A$35,$F481)+SUMIFS($N$5:$N481,$F$5:$F481,$F481,$D$5:$D481,"收入")-SUMIFS($N$5:$N481,$F$5:$F481,$F481,$D$5:$D481,"支出")-SUMIFS($N$5:$N481,$F$5:$F481,$F481,$D$5:$D481,"转账")+SUMIFS($N$5:$N481,$G$5:$G481,$F481,$D$5:$D481,"转账"))</f>
        <v/>
      </c>
      <c r="S481" s="49" t="str">
        <f aca="false">IF($E481="","",IFERROR(INDEX(科目参数!$N$6:$N$85,MATCH($E481,科目参数!$M$6:$M$85,0)),""))</f>
        <v/>
      </c>
      <c r="T481" s="49" t="str">
        <f aca="false">IF($F481="","",IFERROR(INDEX(基础资料!$C$6:$C$35,MATCH($F481,基础资料!$A$6:$A$35,0)),""))</f>
        <v/>
      </c>
      <c r="U481" s="49" t="str">
        <f aca="false">IF($G481="","",IFERROR(INDEX(基础资料!$C$6:$C$35,MATCH($G481,基础资料!$A$6:$A$35,0)),""))</f>
        <v/>
      </c>
      <c r="V481" s="49" t="str">
        <f aca="false">IF(AND($G481=客户对账单!$B$3,$E481="客户回款",$B481&gt;=客户对账单!$E$3,$B481&lt;=客户对账单!$H$3),COUNTIFS($G$5:$G481,客户对账单!$B$3,$E$5:$E481,"客户回款",$B$5:$B481,"&gt;="&amp;客户对账单!$E$3,$B$5:$B481,"&lt;="&amp;客户对账单!$H$3),"")</f>
        <v/>
      </c>
      <c r="W481" s="49" t="str">
        <f aca="false">IF(AND($G481=供应商对账单!$B$3,$E481="供应商付款",$B481&gt;=供应商对账单!$E$3,$B481&lt;=供应商对账单!$H$3),COUNTIFS($G$5:$G481,供应商对账单!$B$3,$E$5:$E481,"供应商付款",$B$5:$B481,"&gt;="&amp;供应商对账单!$E$3,$B$5:$B481,"&lt;="&amp;供应商对账单!$H$3),"")</f>
        <v/>
      </c>
    </row>
    <row r="482" customFormat="false" ht="15.75" hidden="false" customHeight="true" outlineLevel="0" collapsed="false">
      <c r="A482" s="42" t="str">
        <f aca="false">IF($B482="","","ZJ"&amp;TEXT($B482,"yyyymm")&amp;"-"&amp;TEXT(ROW()-4,"000"))</f>
        <v/>
      </c>
      <c r="B482" s="41"/>
      <c r="C482" s="42" t="str">
        <f aca="false">IF($B482="","",TEXT($B482,"yyyy-mm"))</f>
        <v/>
      </c>
      <c r="D482" s="42" t="str">
        <f aca="false">IF($E482="","",IFERROR(INDEX(科目参数!$L$6:$L$85,MATCH($E482,科目参数!$M$6:$M$85,0)),"⚠"))</f>
        <v/>
      </c>
      <c r="E482" s="33"/>
      <c r="F482" s="33"/>
      <c r="G482" s="36"/>
      <c r="H482" s="33"/>
      <c r="I482" s="33"/>
      <c r="J482" s="36"/>
      <c r="K482" s="40"/>
      <c r="L482" s="40"/>
      <c r="M482" s="47" t="str">
        <f aca="false">IF($B482="","",IF(NOT(ISNUMBER($B482)),"日期不是日期格式",IF(YEAR($B482)&lt;&gt;首页!$B$3,"不在会计年度",IF($E482="","未选收支科目",IF($D482="⚠","收支科目不存在",IF($F482="","未选账户",IF($T482="","账户未设资金科目",IF(AND($D482="转账",$U482=""),"转入账户无效",IF(AND(N($K482)&gt;0,N($L482)&gt;0),"收支不能同时填",IF(AND($D482="收入",N($K482)&lt;=0),"收入金额须大于0",IF(AND($D482&lt;&gt;"收入",N($L482)&lt;=0),"支出金额须大于0",IF($O482="","借方科目缺失",IF($P482="","贷方科目缺失","√")))))))))))))</f>
        <v/>
      </c>
      <c r="N482" s="48" t="str">
        <f aca="false">IF($B482="","",IF($D482="收入",N($K482),N($L482)))</f>
        <v/>
      </c>
      <c r="O482" s="49" t="str">
        <f aca="false">IF($B482="","",IF($D482="收入",$T482,IF($D482="转账",$U482,$S482)))</f>
        <v/>
      </c>
      <c r="P482" s="49" t="str">
        <f aca="false">IF($B482="","",IF($D482="收入",$S482,$T482))</f>
        <v/>
      </c>
      <c r="Q482" s="50" t="str">
        <f aca="false">IF($E482="","",IF($D482="转账","—",IFERROR(INDEX(科目参数!$P$6:$P$85,MATCH($E482,科目参数!$M$6:$M$85,0)),"")))</f>
        <v/>
      </c>
      <c r="R482" s="48" t="str">
        <f aca="false">IF($B482="","",SUMIFS(期初数据!$B$6:$B$35,期初数据!$A$6:$A$35,$F482)+SUMIFS($N$5:$N482,$F$5:$F482,$F482,$D$5:$D482,"收入")-SUMIFS($N$5:$N482,$F$5:$F482,$F482,$D$5:$D482,"支出")-SUMIFS($N$5:$N482,$F$5:$F482,$F482,$D$5:$D482,"转账")+SUMIFS($N$5:$N482,$G$5:$G482,$F482,$D$5:$D482,"转账"))</f>
        <v/>
      </c>
      <c r="S482" s="49" t="str">
        <f aca="false">IF($E482="","",IFERROR(INDEX(科目参数!$N$6:$N$85,MATCH($E482,科目参数!$M$6:$M$85,0)),""))</f>
        <v/>
      </c>
      <c r="T482" s="49" t="str">
        <f aca="false">IF($F482="","",IFERROR(INDEX(基础资料!$C$6:$C$35,MATCH($F482,基础资料!$A$6:$A$35,0)),""))</f>
        <v/>
      </c>
      <c r="U482" s="49" t="str">
        <f aca="false">IF($G482="","",IFERROR(INDEX(基础资料!$C$6:$C$35,MATCH($G482,基础资料!$A$6:$A$35,0)),""))</f>
        <v/>
      </c>
      <c r="V482" s="49" t="str">
        <f aca="false">IF(AND($G482=客户对账单!$B$3,$E482="客户回款",$B482&gt;=客户对账单!$E$3,$B482&lt;=客户对账单!$H$3),COUNTIFS($G$5:$G482,客户对账单!$B$3,$E$5:$E482,"客户回款",$B$5:$B482,"&gt;="&amp;客户对账单!$E$3,$B$5:$B482,"&lt;="&amp;客户对账单!$H$3),"")</f>
        <v/>
      </c>
      <c r="W482" s="49" t="str">
        <f aca="false">IF(AND($G482=供应商对账单!$B$3,$E482="供应商付款",$B482&gt;=供应商对账单!$E$3,$B482&lt;=供应商对账单!$H$3),COUNTIFS($G$5:$G482,供应商对账单!$B$3,$E$5:$E482,"供应商付款",$B$5:$B482,"&gt;="&amp;供应商对账单!$E$3,$B$5:$B482,"&lt;="&amp;供应商对账单!$H$3),"")</f>
        <v/>
      </c>
    </row>
    <row r="483" customFormat="false" ht="15.75" hidden="false" customHeight="true" outlineLevel="0" collapsed="false">
      <c r="A483" s="42" t="str">
        <f aca="false">IF($B483="","","ZJ"&amp;TEXT($B483,"yyyymm")&amp;"-"&amp;TEXT(ROW()-4,"000"))</f>
        <v/>
      </c>
      <c r="B483" s="41"/>
      <c r="C483" s="42" t="str">
        <f aca="false">IF($B483="","",TEXT($B483,"yyyy-mm"))</f>
        <v/>
      </c>
      <c r="D483" s="42" t="str">
        <f aca="false">IF($E483="","",IFERROR(INDEX(科目参数!$L$6:$L$85,MATCH($E483,科目参数!$M$6:$M$85,0)),"⚠"))</f>
        <v/>
      </c>
      <c r="E483" s="33"/>
      <c r="F483" s="33"/>
      <c r="G483" s="36"/>
      <c r="H483" s="33"/>
      <c r="I483" s="33"/>
      <c r="J483" s="36"/>
      <c r="K483" s="40"/>
      <c r="L483" s="40"/>
      <c r="M483" s="47" t="str">
        <f aca="false">IF($B483="","",IF(NOT(ISNUMBER($B483)),"日期不是日期格式",IF(YEAR($B483)&lt;&gt;首页!$B$3,"不在会计年度",IF($E483="","未选收支科目",IF($D483="⚠","收支科目不存在",IF($F483="","未选账户",IF($T483="","账户未设资金科目",IF(AND($D483="转账",$U483=""),"转入账户无效",IF(AND(N($K483)&gt;0,N($L483)&gt;0),"收支不能同时填",IF(AND($D483="收入",N($K483)&lt;=0),"收入金额须大于0",IF(AND($D483&lt;&gt;"收入",N($L483)&lt;=0),"支出金额须大于0",IF($O483="","借方科目缺失",IF($P483="","贷方科目缺失","√")))))))))))))</f>
        <v/>
      </c>
      <c r="N483" s="48" t="str">
        <f aca="false">IF($B483="","",IF($D483="收入",N($K483),N($L483)))</f>
        <v/>
      </c>
      <c r="O483" s="49" t="str">
        <f aca="false">IF($B483="","",IF($D483="收入",$T483,IF($D483="转账",$U483,$S483)))</f>
        <v/>
      </c>
      <c r="P483" s="49" t="str">
        <f aca="false">IF($B483="","",IF($D483="收入",$S483,$T483))</f>
        <v/>
      </c>
      <c r="Q483" s="50" t="str">
        <f aca="false">IF($E483="","",IF($D483="转账","—",IFERROR(INDEX(科目参数!$P$6:$P$85,MATCH($E483,科目参数!$M$6:$M$85,0)),"")))</f>
        <v/>
      </c>
      <c r="R483" s="48" t="str">
        <f aca="false">IF($B483="","",SUMIFS(期初数据!$B$6:$B$35,期初数据!$A$6:$A$35,$F483)+SUMIFS($N$5:$N483,$F$5:$F483,$F483,$D$5:$D483,"收入")-SUMIFS($N$5:$N483,$F$5:$F483,$F483,$D$5:$D483,"支出")-SUMIFS($N$5:$N483,$F$5:$F483,$F483,$D$5:$D483,"转账")+SUMIFS($N$5:$N483,$G$5:$G483,$F483,$D$5:$D483,"转账"))</f>
        <v/>
      </c>
      <c r="S483" s="49" t="str">
        <f aca="false">IF($E483="","",IFERROR(INDEX(科目参数!$N$6:$N$85,MATCH($E483,科目参数!$M$6:$M$85,0)),""))</f>
        <v/>
      </c>
      <c r="T483" s="49" t="str">
        <f aca="false">IF($F483="","",IFERROR(INDEX(基础资料!$C$6:$C$35,MATCH($F483,基础资料!$A$6:$A$35,0)),""))</f>
        <v/>
      </c>
      <c r="U483" s="49" t="str">
        <f aca="false">IF($G483="","",IFERROR(INDEX(基础资料!$C$6:$C$35,MATCH($G483,基础资料!$A$6:$A$35,0)),""))</f>
        <v/>
      </c>
      <c r="V483" s="49" t="str">
        <f aca="false">IF(AND($G483=客户对账单!$B$3,$E483="客户回款",$B483&gt;=客户对账单!$E$3,$B483&lt;=客户对账单!$H$3),COUNTIFS($G$5:$G483,客户对账单!$B$3,$E$5:$E483,"客户回款",$B$5:$B483,"&gt;="&amp;客户对账单!$E$3,$B$5:$B483,"&lt;="&amp;客户对账单!$H$3),"")</f>
        <v/>
      </c>
      <c r="W483" s="49" t="str">
        <f aca="false">IF(AND($G483=供应商对账单!$B$3,$E483="供应商付款",$B483&gt;=供应商对账单!$E$3,$B483&lt;=供应商对账单!$H$3),COUNTIFS($G$5:$G483,供应商对账单!$B$3,$E$5:$E483,"供应商付款",$B$5:$B483,"&gt;="&amp;供应商对账单!$E$3,$B$5:$B483,"&lt;="&amp;供应商对账单!$H$3),"")</f>
        <v/>
      </c>
    </row>
    <row r="484" customFormat="false" ht="15.75" hidden="false" customHeight="true" outlineLevel="0" collapsed="false">
      <c r="A484" s="42" t="str">
        <f aca="false">IF($B484="","","ZJ"&amp;TEXT($B484,"yyyymm")&amp;"-"&amp;TEXT(ROW()-4,"000"))</f>
        <v/>
      </c>
      <c r="B484" s="41"/>
      <c r="C484" s="42" t="str">
        <f aca="false">IF($B484="","",TEXT($B484,"yyyy-mm"))</f>
        <v/>
      </c>
      <c r="D484" s="42" t="str">
        <f aca="false">IF($E484="","",IFERROR(INDEX(科目参数!$L$6:$L$85,MATCH($E484,科目参数!$M$6:$M$85,0)),"⚠"))</f>
        <v/>
      </c>
      <c r="E484" s="33"/>
      <c r="F484" s="33"/>
      <c r="G484" s="36"/>
      <c r="H484" s="33"/>
      <c r="I484" s="33"/>
      <c r="J484" s="36"/>
      <c r="K484" s="40"/>
      <c r="L484" s="40"/>
      <c r="M484" s="47" t="str">
        <f aca="false">IF($B484="","",IF(NOT(ISNUMBER($B484)),"日期不是日期格式",IF(YEAR($B484)&lt;&gt;首页!$B$3,"不在会计年度",IF($E484="","未选收支科目",IF($D484="⚠","收支科目不存在",IF($F484="","未选账户",IF($T484="","账户未设资金科目",IF(AND($D484="转账",$U484=""),"转入账户无效",IF(AND(N($K484)&gt;0,N($L484)&gt;0),"收支不能同时填",IF(AND($D484="收入",N($K484)&lt;=0),"收入金额须大于0",IF(AND($D484&lt;&gt;"收入",N($L484)&lt;=0),"支出金额须大于0",IF($O484="","借方科目缺失",IF($P484="","贷方科目缺失","√")))))))))))))</f>
        <v/>
      </c>
      <c r="N484" s="48" t="str">
        <f aca="false">IF($B484="","",IF($D484="收入",N($K484),N($L484)))</f>
        <v/>
      </c>
      <c r="O484" s="49" t="str">
        <f aca="false">IF($B484="","",IF($D484="收入",$T484,IF($D484="转账",$U484,$S484)))</f>
        <v/>
      </c>
      <c r="P484" s="49" t="str">
        <f aca="false">IF($B484="","",IF($D484="收入",$S484,$T484))</f>
        <v/>
      </c>
      <c r="Q484" s="50" t="str">
        <f aca="false">IF($E484="","",IF($D484="转账","—",IFERROR(INDEX(科目参数!$P$6:$P$85,MATCH($E484,科目参数!$M$6:$M$85,0)),"")))</f>
        <v/>
      </c>
      <c r="R484" s="48" t="str">
        <f aca="false">IF($B484="","",SUMIFS(期初数据!$B$6:$B$35,期初数据!$A$6:$A$35,$F484)+SUMIFS($N$5:$N484,$F$5:$F484,$F484,$D$5:$D484,"收入")-SUMIFS($N$5:$N484,$F$5:$F484,$F484,$D$5:$D484,"支出")-SUMIFS($N$5:$N484,$F$5:$F484,$F484,$D$5:$D484,"转账")+SUMIFS($N$5:$N484,$G$5:$G484,$F484,$D$5:$D484,"转账"))</f>
        <v/>
      </c>
      <c r="S484" s="49" t="str">
        <f aca="false">IF($E484="","",IFERROR(INDEX(科目参数!$N$6:$N$85,MATCH($E484,科目参数!$M$6:$M$85,0)),""))</f>
        <v/>
      </c>
      <c r="T484" s="49" t="str">
        <f aca="false">IF($F484="","",IFERROR(INDEX(基础资料!$C$6:$C$35,MATCH($F484,基础资料!$A$6:$A$35,0)),""))</f>
        <v/>
      </c>
      <c r="U484" s="49" t="str">
        <f aca="false">IF($G484="","",IFERROR(INDEX(基础资料!$C$6:$C$35,MATCH($G484,基础资料!$A$6:$A$35,0)),""))</f>
        <v/>
      </c>
      <c r="V484" s="49" t="str">
        <f aca="false">IF(AND($G484=客户对账单!$B$3,$E484="客户回款",$B484&gt;=客户对账单!$E$3,$B484&lt;=客户对账单!$H$3),COUNTIFS($G$5:$G484,客户对账单!$B$3,$E$5:$E484,"客户回款",$B$5:$B484,"&gt;="&amp;客户对账单!$E$3,$B$5:$B484,"&lt;="&amp;客户对账单!$H$3),"")</f>
        <v/>
      </c>
      <c r="W484" s="49" t="str">
        <f aca="false">IF(AND($G484=供应商对账单!$B$3,$E484="供应商付款",$B484&gt;=供应商对账单!$E$3,$B484&lt;=供应商对账单!$H$3),COUNTIFS($G$5:$G484,供应商对账单!$B$3,$E$5:$E484,"供应商付款",$B$5:$B484,"&gt;="&amp;供应商对账单!$E$3,$B$5:$B484,"&lt;="&amp;供应商对账单!$H$3),"")</f>
        <v/>
      </c>
    </row>
    <row r="485" customFormat="false" ht="15.75" hidden="false" customHeight="true" outlineLevel="0" collapsed="false">
      <c r="A485" s="42" t="str">
        <f aca="false">IF($B485="","","ZJ"&amp;TEXT($B485,"yyyymm")&amp;"-"&amp;TEXT(ROW()-4,"000"))</f>
        <v/>
      </c>
      <c r="B485" s="41"/>
      <c r="C485" s="42" t="str">
        <f aca="false">IF($B485="","",TEXT($B485,"yyyy-mm"))</f>
        <v/>
      </c>
      <c r="D485" s="42" t="str">
        <f aca="false">IF($E485="","",IFERROR(INDEX(科目参数!$L$6:$L$85,MATCH($E485,科目参数!$M$6:$M$85,0)),"⚠"))</f>
        <v/>
      </c>
      <c r="E485" s="33"/>
      <c r="F485" s="33"/>
      <c r="G485" s="36"/>
      <c r="H485" s="33"/>
      <c r="I485" s="33"/>
      <c r="J485" s="36"/>
      <c r="K485" s="40"/>
      <c r="L485" s="40"/>
      <c r="M485" s="47" t="str">
        <f aca="false">IF($B485="","",IF(NOT(ISNUMBER($B485)),"日期不是日期格式",IF(YEAR($B485)&lt;&gt;首页!$B$3,"不在会计年度",IF($E485="","未选收支科目",IF($D485="⚠","收支科目不存在",IF($F485="","未选账户",IF($T485="","账户未设资金科目",IF(AND($D485="转账",$U485=""),"转入账户无效",IF(AND(N($K485)&gt;0,N($L485)&gt;0),"收支不能同时填",IF(AND($D485="收入",N($K485)&lt;=0),"收入金额须大于0",IF(AND($D485&lt;&gt;"收入",N($L485)&lt;=0),"支出金额须大于0",IF($O485="","借方科目缺失",IF($P485="","贷方科目缺失","√")))))))))))))</f>
        <v/>
      </c>
      <c r="N485" s="48" t="str">
        <f aca="false">IF($B485="","",IF($D485="收入",N($K485),N($L485)))</f>
        <v/>
      </c>
      <c r="O485" s="49" t="str">
        <f aca="false">IF($B485="","",IF($D485="收入",$T485,IF($D485="转账",$U485,$S485)))</f>
        <v/>
      </c>
      <c r="P485" s="49" t="str">
        <f aca="false">IF($B485="","",IF($D485="收入",$S485,$T485))</f>
        <v/>
      </c>
      <c r="Q485" s="50" t="str">
        <f aca="false">IF($E485="","",IF($D485="转账","—",IFERROR(INDEX(科目参数!$P$6:$P$85,MATCH($E485,科目参数!$M$6:$M$85,0)),"")))</f>
        <v/>
      </c>
      <c r="R485" s="48" t="str">
        <f aca="false">IF($B485="","",SUMIFS(期初数据!$B$6:$B$35,期初数据!$A$6:$A$35,$F485)+SUMIFS($N$5:$N485,$F$5:$F485,$F485,$D$5:$D485,"收入")-SUMIFS($N$5:$N485,$F$5:$F485,$F485,$D$5:$D485,"支出")-SUMIFS($N$5:$N485,$F$5:$F485,$F485,$D$5:$D485,"转账")+SUMIFS($N$5:$N485,$G$5:$G485,$F485,$D$5:$D485,"转账"))</f>
        <v/>
      </c>
      <c r="S485" s="49" t="str">
        <f aca="false">IF($E485="","",IFERROR(INDEX(科目参数!$N$6:$N$85,MATCH($E485,科目参数!$M$6:$M$85,0)),""))</f>
        <v/>
      </c>
      <c r="T485" s="49" t="str">
        <f aca="false">IF($F485="","",IFERROR(INDEX(基础资料!$C$6:$C$35,MATCH($F485,基础资料!$A$6:$A$35,0)),""))</f>
        <v/>
      </c>
      <c r="U485" s="49" t="str">
        <f aca="false">IF($G485="","",IFERROR(INDEX(基础资料!$C$6:$C$35,MATCH($G485,基础资料!$A$6:$A$35,0)),""))</f>
        <v/>
      </c>
      <c r="V485" s="49" t="str">
        <f aca="false">IF(AND($G485=客户对账单!$B$3,$E485="客户回款",$B485&gt;=客户对账单!$E$3,$B485&lt;=客户对账单!$H$3),COUNTIFS($G$5:$G485,客户对账单!$B$3,$E$5:$E485,"客户回款",$B$5:$B485,"&gt;="&amp;客户对账单!$E$3,$B$5:$B485,"&lt;="&amp;客户对账单!$H$3),"")</f>
        <v/>
      </c>
      <c r="W485" s="49" t="str">
        <f aca="false">IF(AND($G485=供应商对账单!$B$3,$E485="供应商付款",$B485&gt;=供应商对账单!$E$3,$B485&lt;=供应商对账单!$H$3),COUNTIFS($G$5:$G485,供应商对账单!$B$3,$E$5:$E485,"供应商付款",$B$5:$B485,"&gt;="&amp;供应商对账单!$E$3,$B$5:$B485,"&lt;="&amp;供应商对账单!$H$3),"")</f>
        <v/>
      </c>
    </row>
    <row r="486" customFormat="false" ht="15.75" hidden="false" customHeight="true" outlineLevel="0" collapsed="false">
      <c r="A486" s="42" t="str">
        <f aca="false">IF($B486="","","ZJ"&amp;TEXT($B486,"yyyymm")&amp;"-"&amp;TEXT(ROW()-4,"000"))</f>
        <v/>
      </c>
      <c r="B486" s="41"/>
      <c r="C486" s="42" t="str">
        <f aca="false">IF($B486="","",TEXT($B486,"yyyy-mm"))</f>
        <v/>
      </c>
      <c r="D486" s="42" t="str">
        <f aca="false">IF($E486="","",IFERROR(INDEX(科目参数!$L$6:$L$85,MATCH($E486,科目参数!$M$6:$M$85,0)),"⚠"))</f>
        <v/>
      </c>
      <c r="E486" s="33"/>
      <c r="F486" s="33"/>
      <c r="G486" s="36"/>
      <c r="H486" s="33"/>
      <c r="I486" s="33"/>
      <c r="J486" s="36"/>
      <c r="K486" s="40"/>
      <c r="L486" s="40"/>
      <c r="M486" s="47" t="str">
        <f aca="false">IF($B486="","",IF(NOT(ISNUMBER($B486)),"日期不是日期格式",IF(YEAR($B486)&lt;&gt;首页!$B$3,"不在会计年度",IF($E486="","未选收支科目",IF($D486="⚠","收支科目不存在",IF($F486="","未选账户",IF($T486="","账户未设资金科目",IF(AND($D486="转账",$U486=""),"转入账户无效",IF(AND(N($K486)&gt;0,N($L486)&gt;0),"收支不能同时填",IF(AND($D486="收入",N($K486)&lt;=0),"收入金额须大于0",IF(AND($D486&lt;&gt;"收入",N($L486)&lt;=0),"支出金额须大于0",IF($O486="","借方科目缺失",IF($P486="","贷方科目缺失","√")))))))))))))</f>
        <v/>
      </c>
      <c r="N486" s="48" t="str">
        <f aca="false">IF($B486="","",IF($D486="收入",N($K486),N($L486)))</f>
        <v/>
      </c>
      <c r="O486" s="49" t="str">
        <f aca="false">IF($B486="","",IF($D486="收入",$T486,IF($D486="转账",$U486,$S486)))</f>
        <v/>
      </c>
      <c r="P486" s="49" t="str">
        <f aca="false">IF($B486="","",IF($D486="收入",$S486,$T486))</f>
        <v/>
      </c>
      <c r="Q486" s="50" t="str">
        <f aca="false">IF($E486="","",IF($D486="转账","—",IFERROR(INDEX(科目参数!$P$6:$P$85,MATCH($E486,科目参数!$M$6:$M$85,0)),"")))</f>
        <v/>
      </c>
      <c r="R486" s="48" t="str">
        <f aca="false">IF($B486="","",SUMIFS(期初数据!$B$6:$B$35,期初数据!$A$6:$A$35,$F486)+SUMIFS($N$5:$N486,$F$5:$F486,$F486,$D$5:$D486,"收入")-SUMIFS($N$5:$N486,$F$5:$F486,$F486,$D$5:$D486,"支出")-SUMIFS($N$5:$N486,$F$5:$F486,$F486,$D$5:$D486,"转账")+SUMIFS($N$5:$N486,$G$5:$G486,$F486,$D$5:$D486,"转账"))</f>
        <v/>
      </c>
      <c r="S486" s="49" t="str">
        <f aca="false">IF($E486="","",IFERROR(INDEX(科目参数!$N$6:$N$85,MATCH($E486,科目参数!$M$6:$M$85,0)),""))</f>
        <v/>
      </c>
      <c r="T486" s="49" t="str">
        <f aca="false">IF($F486="","",IFERROR(INDEX(基础资料!$C$6:$C$35,MATCH($F486,基础资料!$A$6:$A$35,0)),""))</f>
        <v/>
      </c>
      <c r="U486" s="49" t="str">
        <f aca="false">IF($G486="","",IFERROR(INDEX(基础资料!$C$6:$C$35,MATCH($G486,基础资料!$A$6:$A$35,0)),""))</f>
        <v/>
      </c>
      <c r="V486" s="49" t="str">
        <f aca="false">IF(AND($G486=客户对账单!$B$3,$E486="客户回款",$B486&gt;=客户对账单!$E$3,$B486&lt;=客户对账单!$H$3),COUNTIFS($G$5:$G486,客户对账单!$B$3,$E$5:$E486,"客户回款",$B$5:$B486,"&gt;="&amp;客户对账单!$E$3,$B$5:$B486,"&lt;="&amp;客户对账单!$H$3),"")</f>
        <v/>
      </c>
      <c r="W486" s="49" t="str">
        <f aca="false">IF(AND($G486=供应商对账单!$B$3,$E486="供应商付款",$B486&gt;=供应商对账单!$E$3,$B486&lt;=供应商对账单!$H$3),COUNTIFS($G$5:$G486,供应商对账单!$B$3,$E$5:$E486,"供应商付款",$B$5:$B486,"&gt;="&amp;供应商对账单!$E$3,$B$5:$B486,"&lt;="&amp;供应商对账单!$H$3),"")</f>
        <v/>
      </c>
    </row>
    <row r="487" customFormat="false" ht="15.75" hidden="false" customHeight="true" outlineLevel="0" collapsed="false">
      <c r="A487" s="42" t="str">
        <f aca="false">IF($B487="","","ZJ"&amp;TEXT($B487,"yyyymm")&amp;"-"&amp;TEXT(ROW()-4,"000"))</f>
        <v/>
      </c>
      <c r="B487" s="41"/>
      <c r="C487" s="42" t="str">
        <f aca="false">IF($B487="","",TEXT($B487,"yyyy-mm"))</f>
        <v/>
      </c>
      <c r="D487" s="42" t="str">
        <f aca="false">IF($E487="","",IFERROR(INDEX(科目参数!$L$6:$L$85,MATCH($E487,科目参数!$M$6:$M$85,0)),"⚠"))</f>
        <v/>
      </c>
      <c r="E487" s="33"/>
      <c r="F487" s="33"/>
      <c r="G487" s="36"/>
      <c r="H487" s="33"/>
      <c r="I487" s="33"/>
      <c r="J487" s="36"/>
      <c r="K487" s="40"/>
      <c r="L487" s="40"/>
      <c r="M487" s="47" t="str">
        <f aca="false">IF($B487="","",IF(NOT(ISNUMBER($B487)),"日期不是日期格式",IF(YEAR($B487)&lt;&gt;首页!$B$3,"不在会计年度",IF($E487="","未选收支科目",IF($D487="⚠","收支科目不存在",IF($F487="","未选账户",IF($T487="","账户未设资金科目",IF(AND($D487="转账",$U487=""),"转入账户无效",IF(AND(N($K487)&gt;0,N($L487)&gt;0),"收支不能同时填",IF(AND($D487="收入",N($K487)&lt;=0),"收入金额须大于0",IF(AND($D487&lt;&gt;"收入",N($L487)&lt;=0),"支出金额须大于0",IF($O487="","借方科目缺失",IF($P487="","贷方科目缺失","√")))))))))))))</f>
        <v/>
      </c>
      <c r="N487" s="48" t="str">
        <f aca="false">IF($B487="","",IF($D487="收入",N($K487),N($L487)))</f>
        <v/>
      </c>
      <c r="O487" s="49" t="str">
        <f aca="false">IF($B487="","",IF($D487="收入",$T487,IF($D487="转账",$U487,$S487)))</f>
        <v/>
      </c>
      <c r="P487" s="49" t="str">
        <f aca="false">IF($B487="","",IF($D487="收入",$S487,$T487))</f>
        <v/>
      </c>
      <c r="Q487" s="50" t="str">
        <f aca="false">IF($E487="","",IF($D487="转账","—",IFERROR(INDEX(科目参数!$P$6:$P$85,MATCH($E487,科目参数!$M$6:$M$85,0)),"")))</f>
        <v/>
      </c>
      <c r="R487" s="48" t="str">
        <f aca="false">IF($B487="","",SUMIFS(期初数据!$B$6:$B$35,期初数据!$A$6:$A$35,$F487)+SUMIFS($N$5:$N487,$F$5:$F487,$F487,$D$5:$D487,"收入")-SUMIFS($N$5:$N487,$F$5:$F487,$F487,$D$5:$D487,"支出")-SUMIFS($N$5:$N487,$F$5:$F487,$F487,$D$5:$D487,"转账")+SUMIFS($N$5:$N487,$G$5:$G487,$F487,$D$5:$D487,"转账"))</f>
        <v/>
      </c>
      <c r="S487" s="49" t="str">
        <f aca="false">IF($E487="","",IFERROR(INDEX(科目参数!$N$6:$N$85,MATCH($E487,科目参数!$M$6:$M$85,0)),""))</f>
        <v/>
      </c>
      <c r="T487" s="49" t="str">
        <f aca="false">IF($F487="","",IFERROR(INDEX(基础资料!$C$6:$C$35,MATCH($F487,基础资料!$A$6:$A$35,0)),""))</f>
        <v/>
      </c>
      <c r="U487" s="49" t="str">
        <f aca="false">IF($G487="","",IFERROR(INDEX(基础资料!$C$6:$C$35,MATCH($G487,基础资料!$A$6:$A$35,0)),""))</f>
        <v/>
      </c>
      <c r="V487" s="49" t="str">
        <f aca="false">IF(AND($G487=客户对账单!$B$3,$E487="客户回款",$B487&gt;=客户对账单!$E$3,$B487&lt;=客户对账单!$H$3),COUNTIFS($G$5:$G487,客户对账单!$B$3,$E$5:$E487,"客户回款",$B$5:$B487,"&gt;="&amp;客户对账单!$E$3,$B$5:$B487,"&lt;="&amp;客户对账单!$H$3),"")</f>
        <v/>
      </c>
      <c r="W487" s="49" t="str">
        <f aca="false">IF(AND($G487=供应商对账单!$B$3,$E487="供应商付款",$B487&gt;=供应商对账单!$E$3,$B487&lt;=供应商对账单!$H$3),COUNTIFS($G$5:$G487,供应商对账单!$B$3,$E$5:$E487,"供应商付款",$B$5:$B487,"&gt;="&amp;供应商对账单!$E$3,$B$5:$B487,"&lt;="&amp;供应商对账单!$H$3),"")</f>
        <v/>
      </c>
    </row>
    <row r="488" customFormat="false" ht="15.75" hidden="false" customHeight="true" outlineLevel="0" collapsed="false">
      <c r="A488" s="42" t="str">
        <f aca="false">IF($B488="","","ZJ"&amp;TEXT($B488,"yyyymm")&amp;"-"&amp;TEXT(ROW()-4,"000"))</f>
        <v/>
      </c>
      <c r="B488" s="41"/>
      <c r="C488" s="42" t="str">
        <f aca="false">IF($B488="","",TEXT($B488,"yyyy-mm"))</f>
        <v/>
      </c>
      <c r="D488" s="42" t="str">
        <f aca="false">IF($E488="","",IFERROR(INDEX(科目参数!$L$6:$L$85,MATCH($E488,科目参数!$M$6:$M$85,0)),"⚠"))</f>
        <v/>
      </c>
      <c r="E488" s="33"/>
      <c r="F488" s="33"/>
      <c r="G488" s="36"/>
      <c r="H488" s="33"/>
      <c r="I488" s="33"/>
      <c r="J488" s="36"/>
      <c r="K488" s="40"/>
      <c r="L488" s="40"/>
      <c r="M488" s="47" t="str">
        <f aca="false">IF($B488="","",IF(NOT(ISNUMBER($B488)),"日期不是日期格式",IF(YEAR($B488)&lt;&gt;首页!$B$3,"不在会计年度",IF($E488="","未选收支科目",IF($D488="⚠","收支科目不存在",IF($F488="","未选账户",IF($T488="","账户未设资金科目",IF(AND($D488="转账",$U488=""),"转入账户无效",IF(AND(N($K488)&gt;0,N($L488)&gt;0),"收支不能同时填",IF(AND($D488="收入",N($K488)&lt;=0),"收入金额须大于0",IF(AND($D488&lt;&gt;"收入",N($L488)&lt;=0),"支出金额须大于0",IF($O488="","借方科目缺失",IF($P488="","贷方科目缺失","√")))))))))))))</f>
        <v/>
      </c>
      <c r="N488" s="48" t="str">
        <f aca="false">IF($B488="","",IF($D488="收入",N($K488),N($L488)))</f>
        <v/>
      </c>
      <c r="O488" s="49" t="str">
        <f aca="false">IF($B488="","",IF($D488="收入",$T488,IF($D488="转账",$U488,$S488)))</f>
        <v/>
      </c>
      <c r="P488" s="49" t="str">
        <f aca="false">IF($B488="","",IF($D488="收入",$S488,$T488))</f>
        <v/>
      </c>
      <c r="Q488" s="50" t="str">
        <f aca="false">IF($E488="","",IF($D488="转账","—",IFERROR(INDEX(科目参数!$P$6:$P$85,MATCH($E488,科目参数!$M$6:$M$85,0)),"")))</f>
        <v/>
      </c>
      <c r="R488" s="48" t="str">
        <f aca="false">IF($B488="","",SUMIFS(期初数据!$B$6:$B$35,期初数据!$A$6:$A$35,$F488)+SUMIFS($N$5:$N488,$F$5:$F488,$F488,$D$5:$D488,"收入")-SUMIFS($N$5:$N488,$F$5:$F488,$F488,$D$5:$D488,"支出")-SUMIFS($N$5:$N488,$F$5:$F488,$F488,$D$5:$D488,"转账")+SUMIFS($N$5:$N488,$G$5:$G488,$F488,$D$5:$D488,"转账"))</f>
        <v/>
      </c>
      <c r="S488" s="49" t="str">
        <f aca="false">IF($E488="","",IFERROR(INDEX(科目参数!$N$6:$N$85,MATCH($E488,科目参数!$M$6:$M$85,0)),""))</f>
        <v/>
      </c>
      <c r="T488" s="49" t="str">
        <f aca="false">IF($F488="","",IFERROR(INDEX(基础资料!$C$6:$C$35,MATCH($F488,基础资料!$A$6:$A$35,0)),""))</f>
        <v/>
      </c>
      <c r="U488" s="49" t="str">
        <f aca="false">IF($G488="","",IFERROR(INDEX(基础资料!$C$6:$C$35,MATCH($G488,基础资料!$A$6:$A$35,0)),""))</f>
        <v/>
      </c>
      <c r="V488" s="49" t="str">
        <f aca="false">IF(AND($G488=客户对账单!$B$3,$E488="客户回款",$B488&gt;=客户对账单!$E$3,$B488&lt;=客户对账单!$H$3),COUNTIFS($G$5:$G488,客户对账单!$B$3,$E$5:$E488,"客户回款",$B$5:$B488,"&gt;="&amp;客户对账单!$E$3,$B$5:$B488,"&lt;="&amp;客户对账单!$H$3),"")</f>
        <v/>
      </c>
      <c r="W488" s="49" t="str">
        <f aca="false">IF(AND($G488=供应商对账单!$B$3,$E488="供应商付款",$B488&gt;=供应商对账单!$E$3,$B488&lt;=供应商对账单!$H$3),COUNTIFS($G$5:$G488,供应商对账单!$B$3,$E$5:$E488,"供应商付款",$B$5:$B488,"&gt;="&amp;供应商对账单!$E$3,$B$5:$B488,"&lt;="&amp;供应商对账单!$H$3),"")</f>
        <v/>
      </c>
    </row>
    <row r="489" customFormat="false" ht="15.75" hidden="false" customHeight="true" outlineLevel="0" collapsed="false">
      <c r="A489" s="42" t="str">
        <f aca="false">IF($B489="","","ZJ"&amp;TEXT($B489,"yyyymm")&amp;"-"&amp;TEXT(ROW()-4,"000"))</f>
        <v/>
      </c>
      <c r="B489" s="41"/>
      <c r="C489" s="42" t="str">
        <f aca="false">IF($B489="","",TEXT($B489,"yyyy-mm"))</f>
        <v/>
      </c>
      <c r="D489" s="42" t="str">
        <f aca="false">IF($E489="","",IFERROR(INDEX(科目参数!$L$6:$L$85,MATCH($E489,科目参数!$M$6:$M$85,0)),"⚠"))</f>
        <v/>
      </c>
      <c r="E489" s="33"/>
      <c r="F489" s="33"/>
      <c r="G489" s="36"/>
      <c r="H489" s="33"/>
      <c r="I489" s="33"/>
      <c r="J489" s="36"/>
      <c r="K489" s="40"/>
      <c r="L489" s="40"/>
      <c r="M489" s="47" t="str">
        <f aca="false">IF($B489="","",IF(NOT(ISNUMBER($B489)),"日期不是日期格式",IF(YEAR($B489)&lt;&gt;首页!$B$3,"不在会计年度",IF($E489="","未选收支科目",IF($D489="⚠","收支科目不存在",IF($F489="","未选账户",IF($T489="","账户未设资金科目",IF(AND($D489="转账",$U489=""),"转入账户无效",IF(AND(N($K489)&gt;0,N($L489)&gt;0),"收支不能同时填",IF(AND($D489="收入",N($K489)&lt;=0),"收入金额须大于0",IF(AND($D489&lt;&gt;"收入",N($L489)&lt;=0),"支出金额须大于0",IF($O489="","借方科目缺失",IF($P489="","贷方科目缺失","√")))))))))))))</f>
        <v/>
      </c>
      <c r="N489" s="48" t="str">
        <f aca="false">IF($B489="","",IF($D489="收入",N($K489),N($L489)))</f>
        <v/>
      </c>
      <c r="O489" s="49" t="str">
        <f aca="false">IF($B489="","",IF($D489="收入",$T489,IF($D489="转账",$U489,$S489)))</f>
        <v/>
      </c>
      <c r="P489" s="49" t="str">
        <f aca="false">IF($B489="","",IF($D489="收入",$S489,$T489))</f>
        <v/>
      </c>
      <c r="Q489" s="50" t="str">
        <f aca="false">IF($E489="","",IF($D489="转账","—",IFERROR(INDEX(科目参数!$P$6:$P$85,MATCH($E489,科目参数!$M$6:$M$85,0)),"")))</f>
        <v/>
      </c>
      <c r="R489" s="48" t="str">
        <f aca="false">IF($B489="","",SUMIFS(期初数据!$B$6:$B$35,期初数据!$A$6:$A$35,$F489)+SUMIFS($N$5:$N489,$F$5:$F489,$F489,$D$5:$D489,"收入")-SUMIFS($N$5:$N489,$F$5:$F489,$F489,$D$5:$D489,"支出")-SUMIFS($N$5:$N489,$F$5:$F489,$F489,$D$5:$D489,"转账")+SUMIFS($N$5:$N489,$G$5:$G489,$F489,$D$5:$D489,"转账"))</f>
        <v/>
      </c>
      <c r="S489" s="49" t="str">
        <f aca="false">IF($E489="","",IFERROR(INDEX(科目参数!$N$6:$N$85,MATCH($E489,科目参数!$M$6:$M$85,0)),""))</f>
        <v/>
      </c>
      <c r="T489" s="49" t="str">
        <f aca="false">IF($F489="","",IFERROR(INDEX(基础资料!$C$6:$C$35,MATCH($F489,基础资料!$A$6:$A$35,0)),""))</f>
        <v/>
      </c>
      <c r="U489" s="49" t="str">
        <f aca="false">IF($G489="","",IFERROR(INDEX(基础资料!$C$6:$C$35,MATCH($G489,基础资料!$A$6:$A$35,0)),""))</f>
        <v/>
      </c>
      <c r="V489" s="49" t="str">
        <f aca="false">IF(AND($G489=客户对账单!$B$3,$E489="客户回款",$B489&gt;=客户对账单!$E$3,$B489&lt;=客户对账单!$H$3),COUNTIFS($G$5:$G489,客户对账单!$B$3,$E$5:$E489,"客户回款",$B$5:$B489,"&gt;="&amp;客户对账单!$E$3,$B$5:$B489,"&lt;="&amp;客户对账单!$H$3),"")</f>
        <v/>
      </c>
      <c r="W489" s="49" t="str">
        <f aca="false">IF(AND($G489=供应商对账单!$B$3,$E489="供应商付款",$B489&gt;=供应商对账单!$E$3,$B489&lt;=供应商对账单!$H$3),COUNTIFS($G$5:$G489,供应商对账单!$B$3,$E$5:$E489,"供应商付款",$B$5:$B489,"&gt;="&amp;供应商对账单!$E$3,$B$5:$B489,"&lt;="&amp;供应商对账单!$H$3),"")</f>
        <v/>
      </c>
    </row>
    <row r="490" customFormat="false" ht="15.75" hidden="false" customHeight="true" outlineLevel="0" collapsed="false">
      <c r="A490" s="42" t="str">
        <f aca="false">IF($B490="","","ZJ"&amp;TEXT($B490,"yyyymm")&amp;"-"&amp;TEXT(ROW()-4,"000"))</f>
        <v/>
      </c>
      <c r="B490" s="41"/>
      <c r="C490" s="42" t="str">
        <f aca="false">IF($B490="","",TEXT($B490,"yyyy-mm"))</f>
        <v/>
      </c>
      <c r="D490" s="42" t="str">
        <f aca="false">IF($E490="","",IFERROR(INDEX(科目参数!$L$6:$L$85,MATCH($E490,科目参数!$M$6:$M$85,0)),"⚠"))</f>
        <v/>
      </c>
      <c r="E490" s="33"/>
      <c r="F490" s="33"/>
      <c r="G490" s="36"/>
      <c r="H490" s="33"/>
      <c r="I490" s="33"/>
      <c r="J490" s="36"/>
      <c r="K490" s="40"/>
      <c r="L490" s="40"/>
      <c r="M490" s="47" t="str">
        <f aca="false">IF($B490="","",IF(NOT(ISNUMBER($B490)),"日期不是日期格式",IF(YEAR($B490)&lt;&gt;首页!$B$3,"不在会计年度",IF($E490="","未选收支科目",IF($D490="⚠","收支科目不存在",IF($F490="","未选账户",IF($T490="","账户未设资金科目",IF(AND($D490="转账",$U490=""),"转入账户无效",IF(AND(N($K490)&gt;0,N($L490)&gt;0),"收支不能同时填",IF(AND($D490="收入",N($K490)&lt;=0),"收入金额须大于0",IF(AND($D490&lt;&gt;"收入",N($L490)&lt;=0),"支出金额须大于0",IF($O490="","借方科目缺失",IF($P490="","贷方科目缺失","√")))))))))))))</f>
        <v/>
      </c>
      <c r="N490" s="48" t="str">
        <f aca="false">IF($B490="","",IF($D490="收入",N($K490),N($L490)))</f>
        <v/>
      </c>
      <c r="O490" s="49" t="str">
        <f aca="false">IF($B490="","",IF($D490="收入",$T490,IF($D490="转账",$U490,$S490)))</f>
        <v/>
      </c>
      <c r="P490" s="49" t="str">
        <f aca="false">IF($B490="","",IF($D490="收入",$S490,$T490))</f>
        <v/>
      </c>
      <c r="Q490" s="50" t="str">
        <f aca="false">IF($E490="","",IF($D490="转账","—",IFERROR(INDEX(科目参数!$P$6:$P$85,MATCH($E490,科目参数!$M$6:$M$85,0)),"")))</f>
        <v/>
      </c>
      <c r="R490" s="48" t="str">
        <f aca="false">IF($B490="","",SUMIFS(期初数据!$B$6:$B$35,期初数据!$A$6:$A$35,$F490)+SUMIFS($N$5:$N490,$F$5:$F490,$F490,$D$5:$D490,"收入")-SUMIFS($N$5:$N490,$F$5:$F490,$F490,$D$5:$D490,"支出")-SUMIFS($N$5:$N490,$F$5:$F490,$F490,$D$5:$D490,"转账")+SUMIFS($N$5:$N490,$G$5:$G490,$F490,$D$5:$D490,"转账"))</f>
        <v/>
      </c>
      <c r="S490" s="49" t="str">
        <f aca="false">IF($E490="","",IFERROR(INDEX(科目参数!$N$6:$N$85,MATCH($E490,科目参数!$M$6:$M$85,0)),""))</f>
        <v/>
      </c>
      <c r="T490" s="49" t="str">
        <f aca="false">IF($F490="","",IFERROR(INDEX(基础资料!$C$6:$C$35,MATCH($F490,基础资料!$A$6:$A$35,0)),""))</f>
        <v/>
      </c>
      <c r="U490" s="49" t="str">
        <f aca="false">IF($G490="","",IFERROR(INDEX(基础资料!$C$6:$C$35,MATCH($G490,基础资料!$A$6:$A$35,0)),""))</f>
        <v/>
      </c>
      <c r="V490" s="49" t="str">
        <f aca="false">IF(AND($G490=客户对账单!$B$3,$E490="客户回款",$B490&gt;=客户对账单!$E$3,$B490&lt;=客户对账单!$H$3),COUNTIFS($G$5:$G490,客户对账单!$B$3,$E$5:$E490,"客户回款",$B$5:$B490,"&gt;="&amp;客户对账单!$E$3,$B$5:$B490,"&lt;="&amp;客户对账单!$H$3),"")</f>
        <v/>
      </c>
      <c r="W490" s="49" t="str">
        <f aca="false">IF(AND($G490=供应商对账单!$B$3,$E490="供应商付款",$B490&gt;=供应商对账单!$E$3,$B490&lt;=供应商对账单!$H$3),COUNTIFS($G$5:$G490,供应商对账单!$B$3,$E$5:$E490,"供应商付款",$B$5:$B490,"&gt;="&amp;供应商对账单!$E$3,$B$5:$B490,"&lt;="&amp;供应商对账单!$H$3),"")</f>
        <v/>
      </c>
    </row>
    <row r="491" customFormat="false" ht="15.75" hidden="false" customHeight="true" outlineLevel="0" collapsed="false">
      <c r="A491" s="42" t="str">
        <f aca="false">IF($B491="","","ZJ"&amp;TEXT($B491,"yyyymm")&amp;"-"&amp;TEXT(ROW()-4,"000"))</f>
        <v/>
      </c>
      <c r="B491" s="41"/>
      <c r="C491" s="42" t="str">
        <f aca="false">IF($B491="","",TEXT($B491,"yyyy-mm"))</f>
        <v/>
      </c>
      <c r="D491" s="42" t="str">
        <f aca="false">IF($E491="","",IFERROR(INDEX(科目参数!$L$6:$L$85,MATCH($E491,科目参数!$M$6:$M$85,0)),"⚠"))</f>
        <v/>
      </c>
      <c r="E491" s="33"/>
      <c r="F491" s="33"/>
      <c r="G491" s="36"/>
      <c r="H491" s="33"/>
      <c r="I491" s="33"/>
      <c r="J491" s="36"/>
      <c r="K491" s="40"/>
      <c r="L491" s="40"/>
      <c r="M491" s="47" t="str">
        <f aca="false">IF($B491="","",IF(NOT(ISNUMBER($B491)),"日期不是日期格式",IF(YEAR($B491)&lt;&gt;首页!$B$3,"不在会计年度",IF($E491="","未选收支科目",IF($D491="⚠","收支科目不存在",IF($F491="","未选账户",IF($T491="","账户未设资金科目",IF(AND($D491="转账",$U491=""),"转入账户无效",IF(AND(N($K491)&gt;0,N($L491)&gt;0),"收支不能同时填",IF(AND($D491="收入",N($K491)&lt;=0),"收入金额须大于0",IF(AND($D491&lt;&gt;"收入",N($L491)&lt;=0),"支出金额须大于0",IF($O491="","借方科目缺失",IF($P491="","贷方科目缺失","√")))))))))))))</f>
        <v/>
      </c>
      <c r="N491" s="48" t="str">
        <f aca="false">IF($B491="","",IF($D491="收入",N($K491),N($L491)))</f>
        <v/>
      </c>
      <c r="O491" s="49" t="str">
        <f aca="false">IF($B491="","",IF($D491="收入",$T491,IF($D491="转账",$U491,$S491)))</f>
        <v/>
      </c>
      <c r="P491" s="49" t="str">
        <f aca="false">IF($B491="","",IF($D491="收入",$S491,$T491))</f>
        <v/>
      </c>
      <c r="Q491" s="50" t="str">
        <f aca="false">IF($E491="","",IF($D491="转账","—",IFERROR(INDEX(科目参数!$P$6:$P$85,MATCH($E491,科目参数!$M$6:$M$85,0)),"")))</f>
        <v/>
      </c>
      <c r="R491" s="48" t="str">
        <f aca="false">IF($B491="","",SUMIFS(期初数据!$B$6:$B$35,期初数据!$A$6:$A$35,$F491)+SUMIFS($N$5:$N491,$F$5:$F491,$F491,$D$5:$D491,"收入")-SUMIFS($N$5:$N491,$F$5:$F491,$F491,$D$5:$D491,"支出")-SUMIFS($N$5:$N491,$F$5:$F491,$F491,$D$5:$D491,"转账")+SUMIFS($N$5:$N491,$G$5:$G491,$F491,$D$5:$D491,"转账"))</f>
        <v/>
      </c>
      <c r="S491" s="49" t="str">
        <f aca="false">IF($E491="","",IFERROR(INDEX(科目参数!$N$6:$N$85,MATCH($E491,科目参数!$M$6:$M$85,0)),""))</f>
        <v/>
      </c>
      <c r="T491" s="49" t="str">
        <f aca="false">IF($F491="","",IFERROR(INDEX(基础资料!$C$6:$C$35,MATCH($F491,基础资料!$A$6:$A$35,0)),""))</f>
        <v/>
      </c>
      <c r="U491" s="49" t="str">
        <f aca="false">IF($G491="","",IFERROR(INDEX(基础资料!$C$6:$C$35,MATCH($G491,基础资料!$A$6:$A$35,0)),""))</f>
        <v/>
      </c>
      <c r="V491" s="49" t="str">
        <f aca="false">IF(AND($G491=客户对账单!$B$3,$E491="客户回款",$B491&gt;=客户对账单!$E$3,$B491&lt;=客户对账单!$H$3),COUNTIFS($G$5:$G491,客户对账单!$B$3,$E$5:$E491,"客户回款",$B$5:$B491,"&gt;="&amp;客户对账单!$E$3,$B$5:$B491,"&lt;="&amp;客户对账单!$H$3),"")</f>
        <v/>
      </c>
      <c r="W491" s="49" t="str">
        <f aca="false">IF(AND($G491=供应商对账单!$B$3,$E491="供应商付款",$B491&gt;=供应商对账单!$E$3,$B491&lt;=供应商对账单!$H$3),COUNTIFS($G$5:$G491,供应商对账单!$B$3,$E$5:$E491,"供应商付款",$B$5:$B491,"&gt;="&amp;供应商对账单!$E$3,$B$5:$B491,"&lt;="&amp;供应商对账单!$H$3),"")</f>
        <v/>
      </c>
    </row>
    <row r="492" customFormat="false" ht="15.75" hidden="false" customHeight="true" outlineLevel="0" collapsed="false">
      <c r="A492" s="42" t="str">
        <f aca="false">IF($B492="","","ZJ"&amp;TEXT($B492,"yyyymm")&amp;"-"&amp;TEXT(ROW()-4,"000"))</f>
        <v/>
      </c>
      <c r="B492" s="41"/>
      <c r="C492" s="42" t="str">
        <f aca="false">IF($B492="","",TEXT($B492,"yyyy-mm"))</f>
        <v/>
      </c>
      <c r="D492" s="42" t="str">
        <f aca="false">IF($E492="","",IFERROR(INDEX(科目参数!$L$6:$L$85,MATCH($E492,科目参数!$M$6:$M$85,0)),"⚠"))</f>
        <v/>
      </c>
      <c r="E492" s="33"/>
      <c r="F492" s="33"/>
      <c r="G492" s="36"/>
      <c r="H492" s="33"/>
      <c r="I492" s="33"/>
      <c r="J492" s="36"/>
      <c r="K492" s="40"/>
      <c r="L492" s="40"/>
      <c r="M492" s="47" t="str">
        <f aca="false">IF($B492="","",IF(NOT(ISNUMBER($B492)),"日期不是日期格式",IF(YEAR($B492)&lt;&gt;首页!$B$3,"不在会计年度",IF($E492="","未选收支科目",IF($D492="⚠","收支科目不存在",IF($F492="","未选账户",IF($T492="","账户未设资金科目",IF(AND($D492="转账",$U492=""),"转入账户无效",IF(AND(N($K492)&gt;0,N($L492)&gt;0),"收支不能同时填",IF(AND($D492="收入",N($K492)&lt;=0),"收入金额须大于0",IF(AND($D492&lt;&gt;"收入",N($L492)&lt;=0),"支出金额须大于0",IF($O492="","借方科目缺失",IF($P492="","贷方科目缺失","√")))))))))))))</f>
        <v/>
      </c>
      <c r="N492" s="48" t="str">
        <f aca="false">IF($B492="","",IF($D492="收入",N($K492),N($L492)))</f>
        <v/>
      </c>
      <c r="O492" s="49" t="str">
        <f aca="false">IF($B492="","",IF($D492="收入",$T492,IF($D492="转账",$U492,$S492)))</f>
        <v/>
      </c>
      <c r="P492" s="49" t="str">
        <f aca="false">IF($B492="","",IF($D492="收入",$S492,$T492))</f>
        <v/>
      </c>
      <c r="Q492" s="50" t="str">
        <f aca="false">IF($E492="","",IF($D492="转账","—",IFERROR(INDEX(科目参数!$P$6:$P$85,MATCH($E492,科目参数!$M$6:$M$85,0)),"")))</f>
        <v/>
      </c>
      <c r="R492" s="48" t="str">
        <f aca="false">IF($B492="","",SUMIFS(期初数据!$B$6:$B$35,期初数据!$A$6:$A$35,$F492)+SUMIFS($N$5:$N492,$F$5:$F492,$F492,$D$5:$D492,"收入")-SUMIFS($N$5:$N492,$F$5:$F492,$F492,$D$5:$D492,"支出")-SUMIFS($N$5:$N492,$F$5:$F492,$F492,$D$5:$D492,"转账")+SUMIFS($N$5:$N492,$G$5:$G492,$F492,$D$5:$D492,"转账"))</f>
        <v/>
      </c>
      <c r="S492" s="49" t="str">
        <f aca="false">IF($E492="","",IFERROR(INDEX(科目参数!$N$6:$N$85,MATCH($E492,科目参数!$M$6:$M$85,0)),""))</f>
        <v/>
      </c>
      <c r="T492" s="49" t="str">
        <f aca="false">IF($F492="","",IFERROR(INDEX(基础资料!$C$6:$C$35,MATCH($F492,基础资料!$A$6:$A$35,0)),""))</f>
        <v/>
      </c>
      <c r="U492" s="49" t="str">
        <f aca="false">IF($G492="","",IFERROR(INDEX(基础资料!$C$6:$C$35,MATCH($G492,基础资料!$A$6:$A$35,0)),""))</f>
        <v/>
      </c>
      <c r="V492" s="49" t="str">
        <f aca="false">IF(AND($G492=客户对账单!$B$3,$E492="客户回款",$B492&gt;=客户对账单!$E$3,$B492&lt;=客户对账单!$H$3),COUNTIFS($G$5:$G492,客户对账单!$B$3,$E$5:$E492,"客户回款",$B$5:$B492,"&gt;="&amp;客户对账单!$E$3,$B$5:$B492,"&lt;="&amp;客户对账单!$H$3),"")</f>
        <v/>
      </c>
      <c r="W492" s="49" t="str">
        <f aca="false">IF(AND($G492=供应商对账单!$B$3,$E492="供应商付款",$B492&gt;=供应商对账单!$E$3,$B492&lt;=供应商对账单!$H$3),COUNTIFS($G$5:$G492,供应商对账单!$B$3,$E$5:$E492,"供应商付款",$B$5:$B492,"&gt;="&amp;供应商对账单!$E$3,$B$5:$B492,"&lt;="&amp;供应商对账单!$H$3),"")</f>
        <v/>
      </c>
    </row>
    <row r="493" customFormat="false" ht="15.75" hidden="false" customHeight="true" outlineLevel="0" collapsed="false">
      <c r="A493" s="42" t="str">
        <f aca="false">IF($B493="","","ZJ"&amp;TEXT($B493,"yyyymm")&amp;"-"&amp;TEXT(ROW()-4,"000"))</f>
        <v/>
      </c>
      <c r="B493" s="41"/>
      <c r="C493" s="42" t="str">
        <f aca="false">IF($B493="","",TEXT($B493,"yyyy-mm"))</f>
        <v/>
      </c>
      <c r="D493" s="42" t="str">
        <f aca="false">IF($E493="","",IFERROR(INDEX(科目参数!$L$6:$L$85,MATCH($E493,科目参数!$M$6:$M$85,0)),"⚠"))</f>
        <v/>
      </c>
      <c r="E493" s="33"/>
      <c r="F493" s="33"/>
      <c r="G493" s="36"/>
      <c r="H493" s="33"/>
      <c r="I493" s="33"/>
      <c r="J493" s="36"/>
      <c r="K493" s="40"/>
      <c r="L493" s="40"/>
      <c r="M493" s="47" t="str">
        <f aca="false">IF($B493="","",IF(NOT(ISNUMBER($B493)),"日期不是日期格式",IF(YEAR($B493)&lt;&gt;首页!$B$3,"不在会计年度",IF($E493="","未选收支科目",IF($D493="⚠","收支科目不存在",IF($F493="","未选账户",IF($T493="","账户未设资金科目",IF(AND($D493="转账",$U493=""),"转入账户无效",IF(AND(N($K493)&gt;0,N($L493)&gt;0),"收支不能同时填",IF(AND($D493="收入",N($K493)&lt;=0),"收入金额须大于0",IF(AND($D493&lt;&gt;"收入",N($L493)&lt;=0),"支出金额须大于0",IF($O493="","借方科目缺失",IF($P493="","贷方科目缺失","√")))))))))))))</f>
        <v/>
      </c>
      <c r="N493" s="48" t="str">
        <f aca="false">IF($B493="","",IF($D493="收入",N($K493),N($L493)))</f>
        <v/>
      </c>
      <c r="O493" s="49" t="str">
        <f aca="false">IF($B493="","",IF($D493="收入",$T493,IF($D493="转账",$U493,$S493)))</f>
        <v/>
      </c>
      <c r="P493" s="49" t="str">
        <f aca="false">IF($B493="","",IF($D493="收入",$S493,$T493))</f>
        <v/>
      </c>
      <c r="Q493" s="50" t="str">
        <f aca="false">IF($E493="","",IF($D493="转账","—",IFERROR(INDEX(科目参数!$P$6:$P$85,MATCH($E493,科目参数!$M$6:$M$85,0)),"")))</f>
        <v/>
      </c>
      <c r="R493" s="48" t="str">
        <f aca="false">IF($B493="","",SUMIFS(期初数据!$B$6:$B$35,期初数据!$A$6:$A$35,$F493)+SUMIFS($N$5:$N493,$F$5:$F493,$F493,$D$5:$D493,"收入")-SUMIFS($N$5:$N493,$F$5:$F493,$F493,$D$5:$D493,"支出")-SUMIFS($N$5:$N493,$F$5:$F493,$F493,$D$5:$D493,"转账")+SUMIFS($N$5:$N493,$G$5:$G493,$F493,$D$5:$D493,"转账"))</f>
        <v/>
      </c>
      <c r="S493" s="49" t="str">
        <f aca="false">IF($E493="","",IFERROR(INDEX(科目参数!$N$6:$N$85,MATCH($E493,科目参数!$M$6:$M$85,0)),""))</f>
        <v/>
      </c>
      <c r="T493" s="49" t="str">
        <f aca="false">IF($F493="","",IFERROR(INDEX(基础资料!$C$6:$C$35,MATCH($F493,基础资料!$A$6:$A$35,0)),""))</f>
        <v/>
      </c>
      <c r="U493" s="49" t="str">
        <f aca="false">IF($G493="","",IFERROR(INDEX(基础资料!$C$6:$C$35,MATCH($G493,基础资料!$A$6:$A$35,0)),""))</f>
        <v/>
      </c>
      <c r="V493" s="49" t="str">
        <f aca="false">IF(AND($G493=客户对账单!$B$3,$E493="客户回款",$B493&gt;=客户对账单!$E$3,$B493&lt;=客户对账单!$H$3),COUNTIFS($G$5:$G493,客户对账单!$B$3,$E$5:$E493,"客户回款",$B$5:$B493,"&gt;="&amp;客户对账单!$E$3,$B$5:$B493,"&lt;="&amp;客户对账单!$H$3),"")</f>
        <v/>
      </c>
      <c r="W493" s="49" t="str">
        <f aca="false">IF(AND($G493=供应商对账单!$B$3,$E493="供应商付款",$B493&gt;=供应商对账单!$E$3,$B493&lt;=供应商对账单!$H$3),COUNTIFS($G$5:$G493,供应商对账单!$B$3,$E$5:$E493,"供应商付款",$B$5:$B493,"&gt;="&amp;供应商对账单!$E$3,$B$5:$B493,"&lt;="&amp;供应商对账单!$H$3),"")</f>
        <v/>
      </c>
    </row>
    <row r="494" customFormat="false" ht="15.75" hidden="false" customHeight="true" outlineLevel="0" collapsed="false">
      <c r="A494" s="42" t="str">
        <f aca="false">IF($B494="","","ZJ"&amp;TEXT($B494,"yyyymm")&amp;"-"&amp;TEXT(ROW()-4,"000"))</f>
        <v/>
      </c>
      <c r="B494" s="41"/>
      <c r="C494" s="42" t="str">
        <f aca="false">IF($B494="","",TEXT($B494,"yyyy-mm"))</f>
        <v/>
      </c>
      <c r="D494" s="42" t="str">
        <f aca="false">IF($E494="","",IFERROR(INDEX(科目参数!$L$6:$L$85,MATCH($E494,科目参数!$M$6:$M$85,0)),"⚠"))</f>
        <v/>
      </c>
      <c r="E494" s="33"/>
      <c r="F494" s="33"/>
      <c r="G494" s="36"/>
      <c r="H494" s="33"/>
      <c r="I494" s="33"/>
      <c r="J494" s="36"/>
      <c r="K494" s="40"/>
      <c r="L494" s="40"/>
      <c r="M494" s="47" t="str">
        <f aca="false">IF($B494="","",IF(NOT(ISNUMBER($B494)),"日期不是日期格式",IF(YEAR($B494)&lt;&gt;首页!$B$3,"不在会计年度",IF($E494="","未选收支科目",IF($D494="⚠","收支科目不存在",IF($F494="","未选账户",IF($T494="","账户未设资金科目",IF(AND($D494="转账",$U494=""),"转入账户无效",IF(AND(N($K494)&gt;0,N($L494)&gt;0),"收支不能同时填",IF(AND($D494="收入",N($K494)&lt;=0),"收入金额须大于0",IF(AND($D494&lt;&gt;"收入",N($L494)&lt;=0),"支出金额须大于0",IF($O494="","借方科目缺失",IF($P494="","贷方科目缺失","√")))))))))))))</f>
        <v/>
      </c>
      <c r="N494" s="48" t="str">
        <f aca="false">IF($B494="","",IF($D494="收入",N($K494),N($L494)))</f>
        <v/>
      </c>
      <c r="O494" s="49" t="str">
        <f aca="false">IF($B494="","",IF($D494="收入",$T494,IF($D494="转账",$U494,$S494)))</f>
        <v/>
      </c>
      <c r="P494" s="49" t="str">
        <f aca="false">IF($B494="","",IF($D494="收入",$S494,$T494))</f>
        <v/>
      </c>
      <c r="Q494" s="50" t="str">
        <f aca="false">IF($E494="","",IF($D494="转账","—",IFERROR(INDEX(科目参数!$P$6:$P$85,MATCH($E494,科目参数!$M$6:$M$85,0)),"")))</f>
        <v/>
      </c>
      <c r="R494" s="48" t="str">
        <f aca="false">IF($B494="","",SUMIFS(期初数据!$B$6:$B$35,期初数据!$A$6:$A$35,$F494)+SUMIFS($N$5:$N494,$F$5:$F494,$F494,$D$5:$D494,"收入")-SUMIFS($N$5:$N494,$F$5:$F494,$F494,$D$5:$D494,"支出")-SUMIFS($N$5:$N494,$F$5:$F494,$F494,$D$5:$D494,"转账")+SUMIFS($N$5:$N494,$G$5:$G494,$F494,$D$5:$D494,"转账"))</f>
        <v/>
      </c>
      <c r="S494" s="49" t="str">
        <f aca="false">IF($E494="","",IFERROR(INDEX(科目参数!$N$6:$N$85,MATCH($E494,科目参数!$M$6:$M$85,0)),""))</f>
        <v/>
      </c>
      <c r="T494" s="49" t="str">
        <f aca="false">IF($F494="","",IFERROR(INDEX(基础资料!$C$6:$C$35,MATCH($F494,基础资料!$A$6:$A$35,0)),""))</f>
        <v/>
      </c>
      <c r="U494" s="49" t="str">
        <f aca="false">IF($G494="","",IFERROR(INDEX(基础资料!$C$6:$C$35,MATCH($G494,基础资料!$A$6:$A$35,0)),""))</f>
        <v/>
      </c>
      <c r="V494" s="49" t="str">
        <f aca="false">IF(AND($G494=客户对账单!$B$3,$E494="客户回款",$B494&gt;=客户对账单!$E$3,$B494&lt;=客户对账单!$H$3),COUNTIFS($G$5:$G494,客户对账单!$B$3,$E$5:$E494,"客户回款",$B$5:$B494,"&gt;="&amp;客户对账单!$E$3,$B$5:$B494,"&lt;="&amp;客户对账单!$H$3),"")</f>
        <v/>
      </c>
      <c r="W494" s="49" t="str">
        <f aca="false">IF(AND($G494=供应商对账单!$B$3,$E494="供应商付款",$B494&gt;=供应商对账单!$E$3,$B494&lt;=供应商对账单!$H$3),COUNTIFS($G$5:$G494,供应商对账单!$B$3,$E$5:$E494,"供应商付款",$B$5:$B494,"&gt;="&amp;供应商对账单!$E$3,$B$5:$B494,"&lt;="&amp;供应商对账单!$H$3),"")</f>
        <v/>
      </c>
    </row>
    <row r="495" customFormat="false" ht="15.75" hidden="false" customHeight="true" outlineLevel="0" collapsed="false">
      <c r="A495" s="42" t="str">
        <f aca="false">IF($B495="","","ZJ"&amp;TEXT($B495,"yyyymm")&amp;"-"&amp;TEXT(ROW()-4,"000"))</f>
        <v/>
      </c>
      <c r="B495" s="41"/>
      <c r="C495" s="42" t="str">
        <f aca="false">IF($B495="","",TEXT($B495,"yyyy-mm"))</f>
        <v/>
      </c>
      <c r="D495" s="42" t="str">
        <f aca="false">IF($E495="","",IFERROR(INDEX(科目参数!$L$6:$L$85,MATCH($E495,科目参数!$M$6:$M$85,0)),"⚠"))</f>
        <v/>
      </c>
      <c r="E495" s="33"/>
      <c r="F495" s="33"/>
      <c r="G495" s="36"/>
      <c r="H495" s="33"/>
      <c r="I495" s="33"/>
      <c r="J495" s="36"/>
      <c r="K495" s="40"/>
      <c r="L495" s="40"/>
      <c r="M495" s="47" t="str">
        <f aca="false">IF($B495="","",IF(NOT(ISNUMBER($B495)),"日期不是日期格式",IF(YEAR($B495)&lt;&gt;首页!$B$3,"不在会计年度",IF($E495="","未选收支科目",IF($D495="⚠","收支科目不存在",IF($F495="","未选账户",IF($T495="","账户未设资金科目",IF(AND($D495="转账",$U495=""),"转入账户无效",IF(AND(N($K495)&gt;0,N($L495)&gt;0),"收支不能同时填",IF(AND($D495="收入",N($K495)&lt;=0),"收入金额须大于0",IF(AND($D495&lt;&gt;"收入",N($L495)&lt;=0),"支出金额须大于0",IF($O495="","借方科目缺失",IF($P495="","贷方科目缺失","√")))))))))))))</f>
        <v/>
      </c>
      <c r="N495" s="48" t="str">
        <f aca="false">IF($B495="","",IF($D495="收入",N($K495),N($L495)))</f>
        <v/>
      </c>
      <c r="O495" s="49" t="str">
        <f aca="false">IF($B495="","",IF($D495="收入",$T495,IF($D495="转账",$U495,$S495)))</f>
        <v/>
      </c>
      <c r="P495" s="49" t="str">
        <f aca="false">IF($B495="","",IF($D495="收入",$S495,$T495))</f>
        <v/>
      </c>
      <c r="Q495" s="50" t="str">
        <f aca="false">IF($E495="","",IF($D495="转账","—",IFERROR(INDEX(科目参数!$P$6:$P$85,MATCH($E495,科目参数!$M$6:$M$85,0)),"")))</f>
        <v/>
      </c>
      <c r="R495" s="48" t="str">
        <f aca="false">IF($B495="","",SUMIFS(期初数据!$B$6:$B$35,期初数据!$A$6:$A$35,$F495)+SUMIFS($N$5:$N495,$F$5:$F495,$F495,$D$5:$D495,"收入")-SUMIFS($N$5:$N495,$F$5:$F495,$F495,$D$5:$D495,"支出")-SUMIFS($N$5:$N495,$F$5:$F495,$F495,$D$5:$D495,"转账")+SUMIFS($N$5:$N495,$G$5:$G495,$F495,$D$5:$D495,"转账"))</f>
        <v/>
      </c>
      <c r="S495" s="49" t="str">
        <f aca="false">IF($E495="","",IFERROR(INDEX(科目参数!$N$6:$N$85,MATCH($E495,科目参数!$M$6:$M$85,0)),""))</f>
        <v/>
      </c>
      <c r="T495" s="49" t="str">
        <f aca="false">IF($F495="","",IFERROR(INDEX(基础资料!$C$6:$C$35,MATCH($F495,基础资料!$A$6:$A$35,0)),""))</f>
        <v/>
      </c>
      <c r="U495" s="49" t="str">
        <f aca="false">IF($G495="","",IFERROR(INDEX(基础资料!$C$6:$C$35,MATCH($G495,基础资料!$A$6:$A$35,0)),""))</f>
        <v/>
      </c>
      <c r="V495" s="49" t="str">
        <f aca="false">IF(AND($G495=客户对账单!$B$3,$E495="客户回款",$B495&gt;=客户对账单!$E$3,$B495&lt;=客户对账单!$H$3),COUNTIFS($G$5:$G495,客户对账单!$B$3,$E$5:$E495,"客户回款",$B$5:$B495,"&gt;="&amp;客户对账单!$E$3,$B$5:$B495,"&lt;="&amp;客户对账单!$H$3),"")</f>
        <v/>
      </c>
      <c r="W495" s="49" t="str">
        <f aca="false">IF(AND($G495=供应商对账单!$B$3,$E495="供应商付款",$B495&gt;=供应商对账单!$E$3,$B495&lt;=供应商对账单!$H$3),COUNTIFS($G$5:$G495,供应商对账单!$B$3,$E$5:$E495,"供应商付款",$B$5:$B495,"&gt;="&amp;供应商对账单!$E$3,$B$5:$B495,"&lt;="&amp;供应商对账单!$H$3),"")</f>
        <v/>
      </c>
    </row>
    <row r="496" customFormat="false" ht="15.75" hidden="false" customHeight="true" outlineLevel="0" collapsed="false">
      <c r="A496" s="42" t="str">
        <f aca="false">IF($B496="","","ZJ"&amp;TEXT($B496,"yyyymm")&amp;"-"&amp;TEXT(ROW()-4,"000"))</f>
        <v/>
      </c>
      <c r="B496" s="41"/>
      <c r="C496" s="42" t="str">
        <f aca="false">IF($B496="","",TEXT($B496,"yyyy-mm"))</f>
        <v/>
      </c>
      <c r="D496" s="42" t="str">
        <f aca="false">IF($E496="","",IFERROR(INDEX(科目参数!$L$6:$L$85,MATCH($E496,科目参数!$M$6:$M$85,0)),"⚠"))</f>
        <v/>
      </c>
      <c r="E496" s="33"/>
      <c r="F496" s="33"/>
      <c r="G496" s="36"/>
      <c r="H496" s="33"/>
      <c r="I496" s="33"/>
      <c r="J496" s="36"/>
      <c r="K496" s="40"/>
      <c r="L496" s="40"/>
      <c r="M496" s="47" t="str">
        <f aca="false">IF($B496="","",IF(NOT(ISNUMBER($B496)),"日期不是日期格式",IF(YEAR($B496)&lt;&gt;首页!$B$3,"不在会计年度",IF($E496="","未选收支科目",IF($D496="⚠","收支科目不存在",IF($F496="","未选账户",IF($T496="","账户未设资金科目",IF(AND($D496="转账",$U496=""),"转入账户无效",IF(AND(N($K496)&gt;0,N($L496)&gt;0),"收支不能同时填",IF(AND($D496="收入",N($K496)&lt;=0),"收入金额须大于0",IF(AND($D496&lt;&gt;"收入",N($L496)&lt;=0),"支出金额须大于0",IF($O496="","借方科目缺失",IF($P496="","贷方科目缺失","√")))))))))))))</f>
        <v/>
      </c>
      <c r="N496" s="48" t="str">
        <f aca="false">IF($B496="","",IF($D496="收入",N($K496),N($L496)))</f>
        <v/>
      </c>
      <c r="O496" s="49" t="str">
        <f aca="false">IF($B496="","",IF($D496="收入",$T496,IF($D496="转账",$U496,$S496)))</f>
        <v/>
      </c>
      <c r="P496" s="49" t="str">
        <f aca="false">IF($B496="","",IF($D496="收入",$S496,$T496))</f>
        <v/>
      </c>
      <c r="Q496" s="50" t="str">
        <f aca="false">IF($E496="","",IF($D496="转账","—",IFERROR(INDEX(科目参数!$P$6:$P$85,MATCH($E496,科目参数!$M$6:$M$85,0)),"")))</f>
        <v/>
      </c>
      <c r="R496" s="48" t="str">
        <f aca="false">IF($B496="","",SUMIFS(期初数据!$B$6:$B$35,期初数据!$A$6:$A$35,$F496)+SUMIFS($N$5:$N496,$F$5:$F496,$F496,$D$5:$D496,"收入")-SUMIFS($N$5:$N496,$F$5:$F496,$F496,$D$5:$D496,"支出")-SUMIFS($N$5:$N496,$F$5:$F496,$F496,$D$5:$D496,"转账")+SUMIFS($N$5:$N496,$G$5:$G496,$F496,$D$5:$D496,"转账"))</f>
        <v/>
      </c>
      <c r="S496" s="49" t="str">
        <f aca="false">IF($E496="","",IFERROR(INDEX(科目参数!$N$6:$N$85,MATCH($E496,科目参数!$M$6:$M$85,0)),""))</f>
        <v/>
      </c>
      <c r="T496" s="49" t="str">
        <f aca="false">IF($F496="","",IFERROR(INDEX(基础资料!$C$6:$C$35,MATCH($F496,基础资料!$A$6:$A$35,0)),""))</f>
        <v/>
      </c>
      <c r="U496" s="49" t="str">
        <f aca="false">IF($G496="","",IFERROR(INDEX(基础资料!$C$6:$C$35,MATCH($G496,基础资料!$A$6:$A$35,0)),""))</f>
        <v/>
      </c>
      <c r="V496" s="49" t="str">
        <f aca="false">IF(AND($G496=客户对账单!$B$3,$E496="客户回款",$B496&gt;=客户对账单!$E$3,$B496&lt;=客户对账单!$H$3),COUNTIFS($G$5:$G496,客户对账单!$B$3,$E$5:$E496,"客户回款",$B$5:$B496,"&gt;="&amp;客户对账单!$E$3,$B$5:$B496,"&lt;="&amp;客户对账单!$H$3),"")</f>
        <v/>
      </c>
      <c r="W496" s="49" t="str">
        <f aca="false">IF(AND($G496=供应商对账单!$B$3,$E496="供应商付款",$B496&gt;=供应商对账单!$E$3,$B496&lt;=供应商对账单!$H$3),COUNTIFS($G$5:$G496,供应商对账单!$B$3,$E$5:$E496,"供应商付款",$B$5:$B496,"&gt;="&amp;供应商对账单!$E$3,$B$5:$B496,"&lt;="&amp;供应商对账单!$H$3),"")</f>
        <v/>
      </c>
    </row>
    <row r="497" customFormat="false" ht="15.75" hidden="false" customHeight="true" outlineLevel="0" collapsed="false">
      <c r="A497" s="42" t="str">
        <f aca="false">IF($B497="","","ZJ"&amp;TEXT($B497,"yyyymm")&amp;"-"&amp;TEXT(ROW()-4,"000"))</f>
        <v/>
      </c>
      <c r="B497" s="41"/>
      <c r="C497" s="42" t="str">
        <f aca="false">IF($B497="","",TEXT($B497,"yyyy-mm"))</f>
        <v/>
      </c>
      <c r="D497" s="42" t="str">
        <f aca="false">IF($E497="","",IFERROR(INDEX(科目参数!$L$6:$L$85,MATCH($E497,科目参数!$M$6:$M$85,0)),"⚠"))</f>
        <v/>
      </c>
      <c r="E497" s="33"/>
      <c r="F497" s="33"/>
      <c r="G497" s="36"/>
      <c r="H497" s="33"/>
      <c r="I497" s="33"/>
      <c r="J497" s="36"/>
      <c r="K497" s="40"/>
      <c r="L497" s="40"/>
      <c r="M497" s="47" t="str">
        <f aca="false">IF($B497="","",IF(NOT(ISNUMBER($B497)),"日期不是日期格式",IF(YEAR($B497)&lt;&gt;首页!$B$3,"不在会计年度",IF($E497="","未选收支科目",IF($D497="⚠","收支科目不存在",IF($F497="","未选账户",IF($T497="","账户未设资金科目",IF(AND($D497="转账",$U497=""),"转入账户无效",IF(AND(N($K497)&gt;0,N($L497)&gt;0),"收支不能同时填",IF(AND($D497="收入",N($K497)&lt;=0),"收入金额须大于0",IF(AND($D497&lt;&gt;"收入",N($L497)&lt;=0),"支出金额须大于0",IF($O497="","借方科目缺失",IF($P497="","贷方科目缺失","√")))))))))))))</f>
        <v/>
      </c>
      <c r="N497" s="48" t="str">
        <f aca="false">IF($B497="","",IF($D497="收入",N($K497),N($L497)))</f>
        <v/>
      </c>
      <c r="O497" s="49" t="str">
        <f aca="false">IF($B497="","",IF($D497="收入",$T497,IF($D497="转账",$U497,$S497)))</f>
        <v/>
      </c>
      <c r="P497" s="49" t="str">
        <f aca="false">IF($B497="","",IF($D497="收入",$S497,$T497))</f>
        <v/>
      </c>
      <c r="Q497" s="50" t="str">
        <f aca="false">IF($E497="","",IF($D497="转账","—",IFERROR(INDEX(科目参数!$P$6:$P$85,MATCH($E497,科目参数!$M$6:$M$85,0)),"")))</f>
        <v/>
      </c>
      <c r="R497" s="48" t="str">
        <f aca="false">IF($B497="","",SUMIFS(期初数据!$B$6:$B$35,期初数据!$A$6:$A$35,$F497)+SUMIFS($N$5:$N497,$F$5:$F497,$F497,$D$5:$D497,"收入")-SUMIFS($N$5:$N497,$F$5:$F497,$F497,$D$5:$D497,"支出")-SUMIFS($N$5:$N497,$F$5:$F497,$F497,$D$5:$D497,"转账")+SUMIFS($N$5:$N497,$G$5:$G497,$F497,$D$5:$D497,"转账"))</f>
        <v/>
      </c>
      <c r="S497" s="49" t="str">
        <f aca="false">IF($E497="","",IFERROR(INDEX(科目参数!$N$6:$N$85,MATCH($E497,科目参数!$M$6:$M$85,0)),""))</f>
        <v/>
      </c>
      <c r="T497" s="49" t="str">
        <f aca="false">IF($F497="","",IFERROR(INDEX(基础资料!$C$6:$C$35,MATCH($F497,基础资料!$A$6:$A$35,0)),""))</f>
        <v/>
      </c>
      <c r="U497" s="49" t="str">
        <f aca="false">IF($G497="","",IFERROR(INDEX(基础资料!$C$6:$C$35,MATCH($G497,基础资料!$A$6:$A$35,0)),""))</f>
        <v/>
      </c>
      <c r="V497" s="49" t="str">
        <f aca="false">IF(AND($G497=客户对账单!$B$3,$E497="客户回款",$B497&gt;=客户对账单!$E$3,$B497&lt;=客户对账单!$H$3),COUNTIFS($G$5:$G497,客户对账单!$B$3,$E$5:$E497,"客户回款",$B$5:$B497,"&gt;="&amp;客户对账单!$E$3,$B$5:$B497,"&lt;="&amp;客户对账单!$H$3),"")</f>
        <v/>
      </c>
      <c r="W497" s="49" t="str">
        <f aca="false">IF(AND($G497=供应商对账单!$B$3,$E497="供应商付款",$B497&gt;=供应商对账单!$E$3,$B497&lt;=供应商对账单!$H$3),COUNTIFS($G$5:$G497,供应商对账单!$B$3,$E$5:$E497,"供应商付款",$B$5:$B497,"&gt;="&amp;供应商对账单!$E$3,$B$5:$B497,"&lt;="&amp;供应商对账单!$H$3),"")</f>
        <v/>
      </c>
    </row>
    <row r="498" customFormat="false" ht="15.75" hidden="false" customHeight="true" outlineLevel="0" collapsed="false">
      <c r="A498" s="42" t="str">
        <f aca="false">IF($B498="","","ZJ"&amp;TEXT($B498,"yyyymm")&amp;"-"&amp;TEXT(ROW()-4,"000"))</f>
        <v/>
      </c>
      <c r="B498" s="41"/>
      <c r="C498" s="42" t="str">
        <f aca="false">IF($B498="","",TEXT($B498,"yyyy-mm"))</f>
        <v/>
      </c>
      <c r="D498" s="42" t="str">
        <f aca="false">IF($E498="","",IFERROR(INDEX(科目参数!$L$6:$L$85,MATCH($E498,科目参数!$M$6:$M$85,0)),"⚠"))</f>
        <v/>
      </c>
      <c r="E498" s="33"/>
      <c r="F498" s="33"/>
      <c r="G498" s="36"/>
      <c r="H498" s="33"/>
      <c r="I498" s="33"/>
      <c r="J498" s="36"/>
      <c r="K498" s="40"/>
      <c r="L498" s="40"/>
      <c r="M498" s="47" t="str">
        <f aca="false">IF($B498="","",IF(NOT(ISNUMBER($B498)),"日期不是日期格式",IF(YEAR($B498)&lt;&gt;首页!$B$3,"不在会计年度",IF($E498="","未选收支科目",IF($D498="⚠","收支科目不存在",IF($F498="","未选账户",IF($T498="","账户未设资金科目",IF(AND($D498="转账",$U498=""),"转入账户无效",IF(AND(N($K498)&gt;0,N($L498)&gt;0),"收支不能同时填",IF(AND($D498="收入",N($K498)&lt;=0),"收入金额须大于0",IF(AND($D498&lt;&gt;"收入",N($L498)&lt;=0),"支出金额须大于0",IF($O498="","借方科目缺失",IF($P498="","贷方科目缺失","√")))))))))))))</f>
        <v/>
      </c>
      <c r="N498" s="48" t="str">
        <f aca="false">IF($B498="","",IF($D498="收入",N($K498),N($L498)))</f>
        <v/>
      </c>
      <c r="O498" s="49" t="str">
        <f aca="false">IF($B498="","",IF($D498="收入",$T498,IF($D498="转账",$U498,$S498)))</f>
        <v/>
      </c>
      <c r="P498" s="49" t="str">
        <f aca="false">IF($B498="","",IF($D498="收入",$S498,$T498))</f>
        <v/>
      </c>
      <c r="Q498" s="50" t="str">
        <f aca="false">IF($E498="","",IF($D498="转账","—",IFERROR(INDEX(科目参数!$P$6:$P$85,MATCH($E498,科目参数!$M$6:$M$85,0)),"")))</f>
        <v/>
      </c>
      <c r="R498" s="48" t="str">
        <f aca="false">IF($B498="","",SUMIFS(期初数据!$B$6:$B$35,期初数据!$A$6:$A$35,$F498)+SUMIFS($N$5:$N498,$F$5:$F498,$F498,$D$5:$D498,"收入")-SUMIFS($N$5:$N498,$F$5:$F498,$F498,$D$5:$D498,"支出")-SUMIFS($N$5:$N498,$F$5:$F498,$F498,$D$5:$D498,"转账")+SUMIFS($N$5:$N498,$G$5:$G498,$F498,$D$5:$D498,"转账"))</f>
        <v/>
      </c>
      <c r="S498" s="49" t="str">
        <f aca="false">IF($E498="","",IFERROR(INDEX(科目参数!$N$6:$N$85,MATCH($E498,科目参数!$M$6:$M$85,0)),""))</f>
        <v/>
      </c>
      <c r="T498" s="49" t="str">
        <f aca="false">IF($F498="","",IFERROR(INDEX(基础资料!$C$6:$C$35,MATCH($F498,基础资料!$A$6:$A$35,0)),""))</f>
        <v/>
      </c>
      <c r="U498" s="49" t="str">
        <f aca="false">IF($G498="","",IFERROR(INDEX(基础资料!$C$6:$C$35,MATCH($G498,基础资料!$A$6:$A$35,0)),""))</f>
        <v/>
      </c>
      <c r="V498" s="49" t="str">
        <f aca="false">IF(AND($G498=客户对账单!$B$3,$E498="客户回款",$B498&gt;=客户对账单!$E$3,$B498&lt;=客户对账单!$H$3),COUNTIFS($G$5:$G498,客户对账单!$B$3,$E$5:$E498,"客户回款",$B$5:$B498,"&gt;="&amp;客户对账单!$E$3,$B$5:$B498,"&lt;="&amp;客户对账单!$H$3),"")</f>
        <v/>
      </c>
      <c r="W498" s="49" t="str">
        <f aca="false">IF(AND($G498=供应商对账单!$B$3,$E498="供应商付款",$B498&gt;=供应商对账单!$E$3,$B498&lt;=供应商对账单!$H$3),COUNTIFS($G$5:$G498,供应商对账单!$B$3,$E$5:$E498,"供应商付款",$B$5:$B498,"&gt;="&amp;供应商对账单!$E$3,$B$5:$B498,"&lt;="&amp;供应商对账单!$H$3),"")</f>
        <v/>
      </c>
    </row>
    <row r="499" customFormat="false" ht="15.75" hidden="false" customHeight="true" outlineLevel="0" collapsed="false">
      <c r="A499" s="42" t="str">
        <f aca="false">IF($B499="","","ZJ"&amp;TEXT($B499,"yyyymm")&amp;"-"&amp;TEXT(ROW()-4,"000"))</f>
        <v/>
      </c>
      <c r="B499" s="41"/>
      <c r="C499" s="42" t="str">
        <f aca="false">IF($B499="","",TEXT($B499,"yyyy-mm"))</f>
        <v/>
      </c>
      <c r="D499" s="42" t="str">
        <f aca="false">IF($E499="","",IFERROR(INDEX(科目参数!$L$6:$L$85,MATCH($E499,科目参数!$M$6:$M$85,0)),"⚠"))</f>
        <v/>
      </c>
      <c r="E499" s="33"/>
      <c r="F499" s="33"/>
      <c r="G499" s="36"/>
      <c r="H499" s="33"/>
      <c r="I499" s="33"/>
      <c r="J499" s="36"/>
      <c r="K499" s="40"/>
      <c r="L499" s="40"/>
      <c r="M499" s="47" t="str">
        <f aca="false">IF($B499="","",IF(NOT(ISNUMBER($B499)),"日期不是日期格式",IF(YEAR($B499)&lt;&gt;首页!$B$3,"不在会计年度",IF($E499="","未选收支科目",IF($D499="⚠","收支科目不存在",IF($F499="","未选账户",IF($T499="","账户未设资金科目",IF(AND($D499="转账",$U499=""),"转入账户无效",IF(AND(N($K499)&gt;0,N($L499)&gt;0),"收支不能同时填",IF(AND($D499="收入",N($K499)&lt;=0),"收入金额须大于0",IF(AND($D499&lt;&gt;"收入",N($L499)&lt;=0),"支出金额须大于0",IF($O499="","借方科目缺失",IF($P499="","贷方科目缺失","√")))))))))))))</f>
        <v/>
      </c>
      <c r="N499" s="48" t="str">
        <f aca="false">IF($B499="","",IF($D499="收入",N($K499),N($L499)))</f>
        <v/>
      </c>
      <c r="O499" s="49" t="str">
        <f aca="false">IF($B499="","",IF($D499="收入",$T499,IF($D499="转账",$U499,$S499)))</f>
        <v/>
      </c>
      <c r="P499" s="49" t="str">
        <f aca="false">IF($B499="","",IF($D499="收入",$S499,$T499))</f>
        <v/>
      </c>
      <c r="Q499" s="50" t="str">
        <f aca="false">IF($E499="","",IF($D499="转账","—",IFERROR(INDEX(科目参数!$P$6:$P$85,MATCH($E499,科目参数!$M$6:$M$85,0)),"")))</f>
        <v/>
      </c>
      <c r="R499" s="48" t="str">
        <f aca="false">IF($B499="","",SUMIFS(期初数据!$B$6:$B$35,期初数据!$A$6:$A$35,$F499)+SUMIFS($N$5:$N499,$F$5:$F499,$F499,$D$5:$D499,"收入")-SUMIFS($N$5:$N499,$F$5:$F499,$F499,$D$5:$D499,"支出")-SUMIFS($N$5:$N499,$F$5:$F499,$F499,$D$5:$D499,"转账")+SUMIFS($N$5:$N499,$G$5:$G499,$F499,$D$5:$D499,"转账"))</f>
        <v/>
      </c>
      <c r="S499" s="49" t="str">
        <f aca="false">IF($E499="","",IFERROR(INDEX(科目参数!$N$6:$N$85,MATCH($E499,科目参数!$M$6:$M$85,0)),""))</f>
        <v/>
      </c>
      <c r="T499" s="49" t="str">
        <f aca="false">IF($F499="","",IFERROR(INDEX(基础资料!$C$6:$C$35,MATCH($F499,基础资料!$A$6:$A$35,0)),""))</f>
        <v/>
      </c>
      <c r="U499" s="49" t="str">
        <f aca="false">IF($G499="","",IFERROR(INDEX(基础资料!$C$6:$C$35,MATCH($G499,基础资料!$A$6:$A$35,0)),""))</f>
        <v/>
      </c>
      <c r="V499" s="49" t="str">
        <f aca="false">IF(AND($G499=客户对账单!$B$3,$E499="客户回款",$B499&gt;=客户对账单!$E$3,$B499&lt;=客户对账单!$H$3),COUNTIFS($G$5:$G499,客户对账单!$B$3,$E$5:$E499,"客户回款",$B$5:$B499,"&gt;="&amp;客户对账单!$E$3,$B$5:$B499,"&lt;="&amp;客户对账单!$H$3),"")</f>
        <v/>
      </c>
      <c r="W499" s="49" t="str">
        <f aca="false">IF(AND($G499=供应商对账单!$B$3,$E499="供应商付款",$B499&gt;=供应商对账单!$E$3,$B499&lt;=供应商对账单!$H$3),COUNTIFS($G$5:$G499,供应商对账单!$B$3,$E$5:$E499,"供应商付款",$B$5:$B499,"&gt;="&amp;供应商对账单!$E$3,$B$5:$B499,"&lt;="&amp;供应商对账单!$H$3),"")</f>
        <v/>
      </c>
    </row>
    <row r="500" customFormat="false" ht="15.75" hidden="false" customHeight="true" outlineLevel="0" collapsed="false">
      <c r="A500" s="42" t="str">
        <f aca="false">IF($B500="","","ZJ"&amp;TEXT($B500,"yyyymm")&amp;"-"&amp;TEXT(ROW()-4,"000"))</f>
        <v/>
      </c>
      <c r="B500" s="41"/>
      <c r="C500" s="42" t="str">
        <f aca="false">IF($B500="","",TEXT($B500,"yyyy-mm"))</f>
        <v/>
      </c>
      <c r="D500" s="42" t="str">
        <f aca="false">IF($E500="","",IFERROR(INDEX(科目参数!$L$6:$L$85,MATCH($E500,科目参数!$M$6:$M$85,0)),"⚠"))</f>
        <v/>
      </c>
      <c r="E500" s="33"/>
      <c r="F500" s="33"/>
      <c r="G500" s="36"/>
      <c r="H500" s="33"/>
      <c r="I500" s="33"/>
      <c r="J500" s="36"/>
      <c r="K500" s="40"/>
      <c r="L500" s="40"/>
      <c r="M500" s="47" t="str">
        <f aca="false">IF($B500="","",IF(NOT(ISNUMBER($B500)),"日期不是日期格式",IF(YEAR($B500)&lt;&gt;首页!$B$3,"不在会计年度",IF($E500="","未选收支科目",IF($D500="⚠","收支科目不存在",IF($F500="","未选账户",IF($T500="","账户未设资金科目",IF(AND($D500="转账",$U500=""),"转入账户无效",IF(AND(N($K500)&gt;0,N($L500)&gt;0),"收支不能同时填",IF(AND($D500="收入",N($K500)&lt;=0),"收入金额须大于0",IF(AND($D500&lt;&gt;"收入",N($L500)&lt;=0),"支出金额须大于0",IF($O500="","借方科目缺失",IF($P500="","贷方科目缺失","√")))))))))))))</f>
        <v/>
      </c>
      <c r="N500" s="48" t="str">
        <f aca="false">IF($B500="","",IF($D500="收入",N($K500),N($L500)))</f>
        <v/>
      </c>
      <c r="O500" s="49" t="str">
        <f aca="false">IF($B500="","",IF($D500="收入",$T500,IF($D500="转账",$U500,$S500)))</f>
        <v/>
      </c>
      <c r="P500" s="49" t="str">
        <f aca="false">IF($B500="","",IF($D500="收入",$S500,$T500))</f>
        <v/>
      </c>
      <c r="Q500" s="50" t="str">
        <f aca="false">IF($E500="","",IF($D500="转账","—",IFERROR(INDEX(科目参数!$P$6:$P$85,MATCH($E500,科目参数!$M$6:$M$85,0)),"")))</f>
        <v/>
      </c>
      <c r="R500" s="48" t="str">
        <f aca="false">IF($B500="","",SUMIFS(期初数据!$B$6:$B$35,期初数据!$A$6:$A$35,$F500)+SUMIFS($N$5:$N500,$F$5:$F500,$F500,$D$5:$D500,"收入")-SUMIFS($N$5:$N500,$F$5:$F500,$F500,$D$5:$D500,"支出")-SUMIFS($N$5:$N500,$F$5:$F500,$F500,$D$5:$D500,"转账")+SUMIFS($N$5:$N500,$G$5:$G500,$F500,$D$5:$D500,"转账"))</f>
        <v/>
      </c>
      <c r="S500" s="49" t="str">
        <f aca="false">IF($E500="","",IFERROR(INDEX(科目参数!$N$6:$N$85,MATCH($E500,科目参数!$M$6:$M$85,0)),""))</f>
        <v/>
      </c>
      <c r="T500" s="49" t="str">
        <f aca="false">IF($F500="","",IFERROR(INDEX(基础资料!$C$6:$C$35,MATCH($F500,基础资料!$A$6:$A$35,0)),""))</f>
        <v/>
      </c>
      <c r="U500" s="49" t="str">
        <f aca="false">IF($G500="","",IFERROR(INDEX(基础资料!$C$6:$C$35,MATCH($G500,基础资料!$A$6:$A$35,0)),""))</f>
        <v/>
      </c>
      <c r="V500" s="49" t="str">
        <f aca="false">IF(AND($G500=客户对账单!$B$3,$E500="客户回款",$B500&gt;=客户对账单!$E$3,$B500&lt;=客户对账单!$H$3),COUNTIFS($G$5:$G500,客户对账单!$B$3,$E$5:$E500,"客户回款",$B$5:$B500,"&gt;="&amp;客户对账单!$E$3,$B$5:$B500,"&lt;="&amp;客户对账单!$H$3),"")</f>
        <v/>
      </c>
      <c r="W500" s="49" t="str">
        <f aca="false">IF(AND($G500=供应商对账单!$B$3,$E500="供应商付款",$B500&gt;=供应商对账单!$E$3,$B500&lt;=供应商对账单!$H$3),COUNTIFS($G$5:$G500,供应商对账单!$B$3,$E$5:$E500,"供应商付款",$B$5:$B500,"&gt;="&amp;供应商对账单!$E$3,$B$5:$B500,"&lt;="&amp;供应商对账单!$H$3),"")</f>
        <v/>
      </c>
    </row>
    <row r="501" customFormat="false" ht="15.75" hidden="false" customHeight="true" outlineLevel="0" collapsed="false">
      <c r="A501" s="42" t="str">
        <f aca="false">IF($B501="","","ZJ"&amp;TEXT($B501,"yyyymm")&amp;"-"&amp;TEXT(ROW()-4,"000"))</f>
        <v/>
      </c>
      <c r="B501" s="41"/>
      <c r="C501" s="42" t="str">
        <f aca="false">IF($B501="","",TEXT($B501,"yyyy-mm"))</f>
        <v/>
      </c>
      <c r="D501" s="42" t="str">
        <f aca="false">IF($E501="","",IFERROR(INDEX(科目参数!$L$6:$L$85,MATCH($E501,科目参数!$M$6:$M$85,0)),"⚠"))</f>
        <v/>
      </c>
      <c r="E501" s="33"/>
      <c r="F501" s="33"/>
      <c r="G501" s="36"/>
      <c r="H501" s="33"/>
      <c r="I501" s="33"/>
      <c r="J501" s="36"/>
      <c r="K501" s="40"/>
      <c r="L501" s="40"/>
      <c r="M501" s="47" t="str">
        <f aca="false">IF($B501="","",IF(NOT(ISNUMBER($B501)),"日期不是日期格式",IF(YEAR($B501)&lt;&gt;首页!$B$3,"不在会计年度",IF($E501="","未选收支科目",IF($D501="⚠","收支科目不存在",IF($F501="","未选账户",IF($T501="","账户未设资金科目",IF(AND($D501="转账",$U501=""),"转入账户无效",IF(AND(N($K501)&gt;0,N($L501)&gt;0),"收支不能同时填",IF(AND($D501="收入",N($K501)&lt;=0),"收入金额须大于0",IF(AND($D501&lt;&gt;"收入",N($L501)&lt;=0),"支出金额须大于0",IF($O501="","借方科目缺失",IF($P501="","贷方科目缺失","√")))))))))))))</f>
        <v/>
      </c>
      <c r="N501" s="48" t="str">
        <f aca="false">IF($B501="","",IF($D501="收入",N($K501),N($L501)))</f>
        <v/>
      </c>
      <c r="O501" s="49" t="str">
        <f aca="false">IF($B501="","",IF($D501="收入",$T501,IF($D501="转账",$U501,$S501)))</f>
        <v/>
      </c>
      <c r="P501" s="49" t="str">
        <f aca="false">IF($B501="","",IF($D501="收入",$S501,$T501))</f>
        <v/>
      </c>
      <c r="Q501" s="50" t="str">
        <f aca="false">IF($E501="","",IF($D501="转账","—",IFERROR(INDEX(科目参数!$P$6:$P$85,MATCH($E501,科目参数!$M$6:$M$85,0)),"")))</f>
        <v/>
      </c>
      <c r="R501" s="48" t="str">
        <f aca="false">IF($B501="","",SUMIFS(期初数据!$B$6:$B$35,期初数据!$A$6:$A$35,$F501)+SUMIFS($N$5:$N501,$F$5:$F501,$F501,$D$5:$D501,"收入")-SUMIFS($N$5:$N501,$F$5:$F501,$F501,$D$5:$D501,"支出")-SUMIFS($N$5:$N501,$F$5:$F501,$F501,$D$5:$D501,"转账")+SUMIFS($N$5:$N501,$G$5:$G501,$F501,$D$5:$D501,"转账"))</f>
        <v/>
      </c>
      <c r="S501" s="49" t="str">
        <f aca="false">IF($E501="","",IFERROR(INDEX(科目参数!$N$6:$N$85,MATCH($E501,科目参数!$M$6:$M$85,0)),""))</f>
        <v/>
      </c>
      <c r="T501" s="49" t="str">
        <f aca="false">IF($F501="","",IFERROR(INDEX(基础资料!$C$6:$C$35,MATCH($F501,基础资料!$A$6:$A$35,0)),""))</f>
        <v/>
      </c>
      <c r="U501" s="49" t="str">
        <f aca="false">IF($G501="","",IFERROR(INDEX(基础资料!$C$6:$C$35,MATCH($G501,基础资料!$A$6:$A$35,0)),""))</f>
        <v/>
      </c>
      <c r="V501" s="49" t="str">
        <f aca="false">IF(AND($G501=客户对账单!$B$3,$E501="客户回款",$B501&gt;=客户对账单!$E$3,$B501&lt;=客户对账单!$H$3),COUNTIFS($G$5:$G501,客户对账单!$B$3,$E$5:$E501,"客户回款",$B$5:$B501,"&gt;="&amp;客户对账单!$E$3,$B$5:$B501,"&lt;="&amp;客户对账单!$H$3),"")</f>
        <v/>
      </c>
      <c r="W501" s="49" t="str">
        <f aca="false">IF(AND($G501=供应商对账单!$B$3,$E501="供应商付款",$B501&gt;=供应商对账单!$E$3,$B501&lt;=供应商对账单!$H$3),COUNTIFS($G$5:$G501,供应商对账单!$B$3,$E$5:$E501,"供应商付款",$B$5:$B501,"&gt;="&amp;供应商对账单!$E$3,$B$5:$B501,"&lt;="&amp;供应商对账单!$H$3),"")</f>
        <v/>
      </c>
    </row>
    <row r="502" customFormat="false" ht="15.75" hidden="false" customHeight="true" outlineLevel="0" collapsed="false">
      <c r="A502" s="42" t="str">
        <f aca="false">IF($B502="","","ZJ"&amp;TEXT($B502,"yyyymm")&amp;"-"&amp;TEXT(ROW()-4,"000"))</f>
        <v/>
      </c>
      <c r="B502" s="41"/>
      <c r="C502" s="42" t="str">
        <f aca="false">IF($B502="","",TEXT($B502,"yyyy-mm"))</f>
        <v/>
      </c>
      <c r="D502" s="42" t="str">
        <f aca="false">IF($E502="","",IFERROR(INDEX(科目参数!$L$6:$L$85,MATCH($E502,科目参数!$M$6:$M$85,0)),"⚠"))</f>
        <v/>
      </c>
      <c r="E502" s="33"/>
      <c r="F502" s="33"/>
      <c r="G502" s="36"/>
      <c r="H502" s="33"/>
      <c r="I502" s="33"/>
      <c r="J502" s="36"/>
      <c r="K502" s="40"/>
      <c r="L502" s="40"/>
      <c r="M502" s="47" t="str">
        <f aca="false">IF($B502="","",IF(NOT(ISNUMBER($B502)),"日期不是日期格式",IF(YEAR($B502)&lt;&gt;首页!$B$3,"不在会计年度",IF($E502="","未选收支科目",IF($D502="⚠","收支科目不存在",IF($F502="","未选账户",IF($T502="","账户未设资金科目",IF(AND($D502="转账",$U502=""),"转入账户无效",IF(AND(N($K502)&gt;0,N($L502)&gt;0),"收支不能同时填",IF(AND($D502="收入",N($K502)&lt;=0),"收入金额须大于0",IF(AND($D502&lt;&gt;"收入",N($L502)&lt;=0),"支出金额须大于0",IF($O502="","借方科目缺失",IF($P502="","贷方科目缺失","√")))))))))))))</f>
        <v/>
      </c>
      <c r="N502" s="48" t="str">
        <f aca="false">IF($B502="","",IF($D502="收入",N($K502),N($L502)))</f>
        <v/>
      </c>
      <c r="O502" s="49" t="str">
        <f aca="false">IF($B502="","",IF($D502="收入",$T502,IF($D502="转账",$U502,$S502)))</f>
        <v/>
      </c>
      <c r="P502" s="49" t="str">
        <f aca="false">IF($B502="","",IF($D502="收入",$S502,$T502))</f>
        <v/>
      </c>
      <c r="Q502" s="50" t="str">
        <f aca="false">IF($E502="","",IF($D502="转账","—",IFERROR(INDEX(科目参数!$P$6:$P$85,MATCH($E502,科目参数!$M$6:$M$85,0)),"")))</f>
        <v/>
      </c>
      <c r="R502" s="48" t="str">
        <f aca="false">IF($B502="","",SUMIFS(期初数据!$B$6:$B$35,期初数据!$A$6:$A$35,$F502)+SUMIFS($N$5:$N502,$F$5:$F502,$F502,$D$5:$D502,"收入")-SUMIFS($N$5:$N502,$F$5:$F502,$F502,$D$5:$D502,"支出")-SUMIFS($N$5:$N502,$F$5:$F502,$F502,$D$5:$D502,"转账")+SUMIFS($N$5:$N502,$G$5:$G502,$F502,$D$5:$D502,"转账"))</f>
        <v/>
      </c>
      <c r="S502" s="49" t="str">
        <f aca="false">IF($E502="","",IFERROR(INDEX(科目参数!$N$6:$N$85,MATCH($E502,科目参数!$M$6:$M$85,0)),""))</f>
        <v/>
      </c>
      <c r="T502" s="49" t="str">
        <f aca="false">IF($F502="","",IFERROR(INDEX(基础资料!$C$6:$C$35,MATCH($F502,基础资料!$A$6:$A$35,0)),""))</f>
        <v/>
      </c>
      <c r="U502" s="49" t="str">
        <f aca="false">IF($G502="","",IFERROR(INDEX(基础资料!$C$6:$C$35,MATCH($G502,基础资料!$A$6:$A$35,0)),""))</f>
        <v/>
      </c>
      <c r="V502" s="49" t="str">
        <f aca="false">IF(AND($G502=客户对账单!$B$3,$E502="客户回款",$B502&gt;=客户对账单!$E$3,$B502&lt;=客户对账单!$H$3),COUNTIFS($G$5:$G502,客户对账单!$B$3,$E$5:$E502,"客户回款",$B$5:$B502,"&gt;="&amp;客户对账单!$E$3,$B$5:$B502,"&lt;="&amp;客户对账单!$H$3),"")</f>
        <v/>
      </c>
      <c r="W502" s="49" t="str">
        <f aca="false">IF(AND($G502=供应商对账单!$B$3,$E502="供应商付款",$B502&gt;=供应商对账单!$E$3,$B502&lt;=供应商对账单!$H$3),COUNTIFS($G$5:$G502,供应商对账单!$B$3,$E$5:$E502,"供应商付款",$B$5:$B502,"&gt;="&amp;供应商对账单!$E$3,$B$5:$B502,"&lt;="&amp;供应商对账单!$H$3),"")</f>
        <v/>
      </c>
    </row>
    <row r="503" customFormat="false" ht="15.75" hidden="false" customHeight="true" outlineLevel="0" collapsed="false">
      <c r="A503" s="42" t="str">
        <f aca="false">IF($B503="","","ZJ"&amp;TEXT($B503,"yyyymm")&amp;"-"&amp;TEXT(ROW()-4,"000"))</f>
        <v/>
      </c>
      <c r="B503" s="41"/>
      <c r="C503" s="42" t="str">
        <f aca="false">IF($B503="","",TEXT($B503,"yyyy-mm"))</f>
        <v/>
      </c>
      <c r="D503" s="42" t="str">
        <f aca="false">IF($E503="","",IFERROR(INDEX(科目参数!$L$6:$L$85,MATCH($E503,科目参数!$M$6:$M$85,0)),"⚠"))</f>
        <v/>
      </c>
      <c r="E503" s="33"/>
      <c r="F503" s="33"/>
      <c r="G503" s="36"/>
      <c r="H503" s="33"/>
      <c r="I503" s="33"/>
      <c r="J503" s="36"/>
      <c r="K503" s="40"/>
      <c r="L503" s="40"/>
      <c r="M503" s="47" t="str">
        <f aca="false">IF($B503="","",IF(NOT(ISNUMBER($B503)),"日期不是日期格式",IF(YEAR($B503)&lt;&gt;首页!$B$3,"不在会计年度",IF($E503="","未选收支科目",IF($D503="⚠","收支科目不存在",IF($F503="","未选账户",IF($T503="","账户未设资金科目",IF(AND($D503="转账",$U503=""),"转入账户无效",IF(AND(N($K503)&gt;0,N($L503)&gt;0),"收支不能同时填",IF(AND($D503="收入",N($K503)&lt;=0),"收入金额须大于0",IF(AND($D503&lt;&gt;"收入",N($L503)&lt;=0),"支出金额须大于0",IF($O503="","借方科目缺失",IF($P503="","贷方科目缺失","√")))))))))))))</f>
        <v/>
      </c>
      <c r="N503" s="48" t="str">
        <f aca="false">IF($B503="","",IF($D503="收入",N($K503),N($L503)))</f>
        <v/>
      </c>
      <c r="O503" s="49" t="str">
        <f aca="false">IF($B503="","",IF($D503="收入",$T503,IF($D503="转账",$U503,$S503)))</f>
        <v/>
      </c>
      <c r="P503" s="49" t="str">
        <f aca="false">IF($B503="","",IF($D503="收入",$S503,$T503))</f>
        <v/>
      </c>
      <c r="Q503" s="50" t="str">
        <f aca="false">IF($E503="","",IF($D503="转账","—",IFERROR(INDEX(科目参数!$P$6:$P$85,MATCH($E503,科目参数!$M$6:$M$85,0)),"")))</f>
        <v/>
      </c>
      <c r="R503" s="48" t="str">
        <f aca="false">IF($B503="","",SUMIFS(期初数据!$B$6:$B$35,期初数据!$A$6:$A$35,$F503)+SUMIFS($N$5:$N503,$F$5:$F503,$F503,$D$5:$D503,"收入")-SUMIFS($N$5:$N503,$F$5:$F503,$F503,$D$5:$D503,"支出")-SUMIFS($N$5:$N503,$F$5:$F503,$F503,$D$5:$D503,"转账")+SUMIFS($N$5:$N503,$G$5:$G503,$F503,$D$5:$D503,"转账"))</f>
        <v/>
      </c>
      <c r="S503" s="49" t="str">
        <f aca="false">IF($E503="","",IFERROR(INDEX(科目参数!$N$6:$N$85,MATCH($E503,科目参数!$M$6:$M$85,0)),""))</f>
        <v/>
      </c>
      <c r="T503" s="49" t="str">
        <f aca="false">IF($F503="","",IFERROR(INDEX(基础资料!$C$6:$C$35,MATCH($F503,基础资料!$A$6:$A$35,0)),""))</f>
        <v/>
      </c>
      <c r="U503" s="49" t="str">
        <f aca="false">IF($G503="","",IFERROR(INDEX(基础资料!$C$6:$C$35,MATCH($G503,基础资料!$A$6:$A$35,0)),""))</f>
        <v/>
      </c>
      <c r="V503" s="49" t="str">
        <f aca="false">IF(AND($G503=客户对账单!$B$3,$E503="客户回款",$B503&gt;=客户对账单!$E$3,$B503&lt;=客户对账单!$H$3),COUNTIFS($G$5:$G503,客户对账单!$B$3,$E$5:$E503,"客户回款",$B$5:$B503,"&gt;="&amp;客户对账单!$E$3,$B$5:$B503,"&lt;="&amp;客户对账单!$H$3),"")</f>
        <v/>
      </c>
      <c r="W503" s="49" t="str">
        <f aca="false">IF(AND($G503=供应商对账单!$B$3,$E503="供应商付款",$B503&gt;=供应商对账单!$E$3,$B503&lt;=供应商对账单!$H$3),COUNTIFS($G$5:$G503,供应商对账单!$B$3,$E$5:$E503,"供应商付款",$B$5:$B503,"&gt;="&amp;供应商对账单!$E$3,$B$5:$B503,"&lt;="&amp;供应商对账单!$H$3),"")</f>
        <v/>
      </c>
    </row>
    <row r="504" customFormat="false" ht="15.75" hidden="false" customHeight="true" outlineLevel="0" collapsed="false">
      <c r="A504" s="42" t="str">
        <f aca="false">IF($B504="","","ZJ"&amp;TEXT($B504,"yyyymm")&amp;"-"&amp;TEXT(ROW()-4,"000"))</f>
        <v/>
      </c>
      <c r="B504" s="41"/>
      <c r="C504" s="42" t="str">
        <f aca="false">IF($B504="","",TEXT($B504,"yyyy-mm"))</f>
        <v/>
      </c>
      <c r="D504" s="42" t="str">
        <f aca="false">IF($E504="","",IFERROR(INDEX(科目参数!$L$6:$L$85,MATCH($E504,科目参数!$M$6:$M$85,0)),"⚠"))</f>
        <v/>
      </c>
      <c r="E504" s="33"/>
      <c r="F504" s="33"/>
      <c r="G504" s="36"/>
      <c r="H504" s="33"/>
      <c r="I504" s="33"/>
      <c r="J504" s="36"/>
      <c r="K504" s="40"/>
      <c r="L504" s="40"/>
      <c r="M504" s="47" t="str">
        <f aca="false">IF($B504="","",IF(NOT(ISNUMBER($B504)),"日期不是日期格式",IF(YEAR($B504)&lt;&gt;首页!$B$3,"不在会计年度",IF($E504="","未选收支科目",IF($D504="⚠","收支科目不存在",IF($F504="","未选账户",IF($T504="","账户未设资金科目",IF(AND($D504="转账",$U504=""),"转入账户无效",IF(AND(N($K504)&gt;0,N($L504)&gt;0),"收支不能同时填",IF(AND($D504="收入",N($K504)&lt;=0),"收入金额须大于0",IF(AND($D504&lt;&gt;"收入",N($L504)&lt;=0),"支出金额须大于0",IF($O504="","借方科目缺失",IF($P504="","贷方科目缺失","√")))))))))))))</f>
        <v/>
      </c>
      <c r="N504" s="48" t="str">
        <f aca="false">IF($B504="","",IF($D504="收入",N($K504),N($L504)))</f>
        <v/>
      </c>
      <c r="O504" s="49" t="str">
        <f aca="false">IF($B504="","",IF($D504="收入",$T504,IF($D504="转账",$U504,$S504)))</f>
        <v/>
      </c>
      <c r="P504" s="49" t="str">
        <f aca="false">IF($B504="","",IF($D504="收入",$S504,$T504))</f>
        <v/>
      </c>
      <c r="Q504" s="50" t="str">
        <f aca="false">IF($E504="","",IF($D504="转账","—",IFERROR(INDEX(科目参数!$P$6:$P$85,MATCH($E504,科目参数!$M$6:$M$85,0)),"")))</f>
        <v/>
      </c>
      <c r="R504" s="48" t="str">
        <f aca="false">IF($B504="","",SUMIFS(期初数据!$B$6:$B$35,期初数据!$A$6:$A$35,$F504)+SUMIFS($N$5:$N504,$F$5:$F504,$F504,$D$5:$D504,"收入")-SUMIFS($N$5:$N504,$F$5:$F504,$F504,$D$5:$D504,"支出")-SUMIFS($N$5:$N504,$F$5:$F504,$F504,$D$5:$D504,"转账")+SUMIFS($N$5:$N504,$G$5:$G504,$F504,$D$5:$D504,"转账"))</f>
        <v/>
      </c>
      <c r="S504" s="49" t="str">
        <f aca="false">IF($E504="","",IFERROR(INDEX(科目参数!$N$6:$N$85,MATCH($E504,科目参数!$M$6:$M$85,0)),""))</f>
        <v/>
      </c>
      <c r="T504" s="49" t="str">
        <f aca="false">IF($F504="","",IFERROR(INDEX(基础资料!$C$6:$C$35,MATCH($F504,基础资料!$A$6:$A$35,0)),""))</f>
        <v/>
      </c>
      <c r="U504" s="49" t="str">
        <f aca="false">IF($G504="","",IFERROR(INDEX(基础资料!$C$6:$C$35,MATCH($G504,基础资料!$A$6:$A$35,0)),""))</f>
        <v/>
      </c>
      <c r="V504" s="49" t="str">
        <f aca="false">IF(AND($G504=客户对账单!$B$3,$E504="客户回款",$B504&gt;=客户对账单!$E$3,$B504&lt;=客户对账单!$H$3),COUNTIFS($G$5:$G504,客户对账单!$B$3,$E$5:$E504,"客户回款",$B$5:$B504,"&gt;="&amp;客户对账单!$E$3,$B$5:$B504,"&lt;="&amp;客户对账单!$H$3),"")</f>
        <v/>
      </c>
      <c r="W504" s="49" t="str">
        <f aca="false">IF(AND($G504=供应商对账单!$B$3,$E504="供应商付款",$B504&gt;=供应商对账单!$E$3,$B504&lt;=供应商对账单!$H$3),COUNTIFS($G$5:$G504,供应商对账单!$B$3,$E$5:$E504,"供应商付款",$B$5:$B504,"&gt;="&amp;供应商对账单!$E$3,$B$5:$B504,"&lt;="&amp;供应商对账单!$H$3),"")</f>
        <v/>
      </c>
    </row>
    <row r="506" customFormat="false" ht="74.6" hidden="false" customHeight="false" outlineLevel="0" collapsed="false">
      <c r="A506" s="37" t="s">
        <v>403</v>
      </c>
    </row>
  </sheetData>
  <autoFilter ref="A4:W504"/>
  <mergeCells count="4">
    <mergeCell ref="A1:U1"/>
    <mergeCell ref="A2:U2"/>
    <mergeCell ref="A3:M3"/>
    <mergeCell ref="N3:U3"/>
  </mergeCells>
  <conditionalFormatting sqref="M5:M504">
    <cfRule type="expression" priority="2" aboveAverage="0" equalAverage="0" bottom="0" percent="0" rank="0" text="" dxfId="9">
      <formula>AND($M5&lt;&gt;"",$M5&lt;&gt;"√")</formula>
    </cfRule>
  </conditionalFormatting>
  <dataValidations count="6">
    <dataValidation allowBlank="true" error="本列必须是数字，填成文本会让整笔业务被静默丢弃" errorStyle="stop" errorTitle="只能填数字" operator="greaterThanOrEqual" showDropDown="false" showErrorMessage="true" showInputMessage="false" sqref="K5:L504" type="decimal">
      <formula1>0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5:E504" type="list">
      <formula1>科目参数!$M$6:$M$85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5:F504" type="list">
      <formula1>基础资料!$A$6:$A$35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5:H504" type="list">
      <formula1>基础资料!$G$6:$G$25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I5:I504" type="list">
      <formula1>基础资料!$K$6:$K$65</formula1>
      <formula2>0</formula2>
    </dataValidation>
    <dataValidation allowBlank="true" error="日期必须落在首页设定的会计年度内，否则该笔业务不会进入任何报表" errorStyle="stop" errorTitle="日期超出会计年度" operator="between" showDropDown="false" showErrorMessage="true" showInputMessage="false" sqref="B5:B504" type="date">
      <formula1>DATE(首页!$B$3,1,1)</formula1>
      <formula2>DATE(首页!$B$3,12,31)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AE40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3" min="22" style="0" width="8"/>
    <col collapsed="false" customWidth="true" hidden="false" outlineLevel="0" max="24" min="24" style="0" width="12"/>
    <col collapsed="false" customWidth="true" hidden="false" outlineLevel="0" max="26" min="25" style="0" width="8"/>
    <col collapsed="false" customWidth="true" hidden="false" outlineLevel="0" max="27" min="27" style="0" width="12"/>
    <col collapsed="false" customWidth="true" hidden="false" outlineLevel="0" max="29" min="28" style="0" width="8"/>
    <col collapsed="false" customWidth="true" hidden="false" outlineLevel="0" max="30" min="30" style="0" width="12"/>
    <col collapsed="false" customWidth="true" hidden="false" outlineLevel="0" max="31" min="31" style="0" width="8"/>
  </cols>
  <sheetData>
    <row r="1" customFormat="false" ht="25.5" hidden="false" customHeight="true" outlineLevel="0" collapsed="false">
      <c r="A1" s="23" t="s">
        <v>534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customFormat="false" ht="15" hidden="false" customHeight="true" outlineLevel="0" collapsed="false">
      <c r="A2" s="6" t="s">
        <v>535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customFormat="false" ht="15" hidden="false" customHeight="true" outlineLevel="0" collapsed="false">
      <c r="A3" s="45" t="s">
        <v>509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 t="s">
        <v>510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 customFormat="false" ht="30" hidden="false" customHeight="true" outlineLevel="0" collapsed="false">
      <c r="A4" s="30" t="s">
        <v>511</v>
      </c>
      <c r="B4" s="30" t="s">
        <v>512</v>
      </c>
      <c r="C4" s="30" t="s">
        <v>513</v>
      </c>
      <c r="D4" s="30" t="s">
        <v>197</v>
      </c>
      <c r="E4" s="30" t="s">
        <v>536</v>
      </c>
      <c r="F4" s="30" t="s">
        <v>537</v>
      </c>
      <c r="G4" s="30" t="s">
        <v>538</v>
      </c>
      <c r="H4" s="30" t="s">
        <v>539</v>
      </c>
      <c r="I4" s="30" t="s">
        <v>374</v>
      </c>
      <c r="J4" s="30" t="s">
        <v>430</v>
      </c>
      <c r="K4" s="30" t="s">
        <v>515</v>
      </c>
      <c r="L4" s="30" t="s">
        <v>518</v>
      </c>
      <c r="M4" s="46" t="s">
        <v>499</v>
      </c>
      <c r="N4" s="46" t="s">
        <v>424</v>
      </c>
      <c r="O4" s="46" t="s">
        <v>540</v>
      </c>
      <c r="P4" s="46" t="s">
        <v>541</v>
      </c>
      <c r="Q4" s="46" t="s">
        <v>542</v>
      </c>
      <c r="R4" s="46" t="s">
        <v>543</v>
      </c>
      <c r="S4" s="46" t="s">
        <v>125</v>
      </c>
      <c r="T4" s="46" t="s">
        <v>544</v>
      </c>
      <c r="U4" s="46" t="s">
        <v>545</v>
      </c>
      <c r="V4" s="46" t="s">
        <v>546</v>
      </c>
      <c r="W4" s="46" t="s">
        <v>547</v>
      </c>
      <c r="X4" s="46" t="s">
        <v>548</v>
      </c>
      <c r="Y4" s="46" t="s">
        <v>549</v>
      </c>
      <c r="Z4" s="46" t="s">
        <v>550</v>
      </c>
      <c r="AA4" s="46" t="s">
        <v>551</v>
      </c>
      <c r="AB4" s="46" t="s">
        <v>552</v>
      </c>
      <c r="AC4" s="46" t="s">
        <v>553</v>
      </c>
      <c r="AD4" s="46" t="s">
        <v>554</v>
      </c>
      <c r="AE4" s="46" t="s">
        <v>526</v>
      </c>
    </row>
    <row r="5" customFormat="false" ht="15.75" hidden="false" customHeight="true" outlineLevel="0" collapsed="false">
      <c r="A5" s="42" t="str">
        <f aca="false">IF($B5="","","XS"&amp;TEXT($B5,"yyyymm")&amp;"-"&amp;TEXT(ROW()-4,"000"))</f>
        <v>XS202601-001</v>
      </c>
      <c r="B5" s="41" t="n">
        <v>46027</v>
      </c>
      <c r="C5" s="42" t="str">
        <f aca="false">IF($B5="","",TEXT($B5,"yyyy-mm"))</f>
        <v>2026-01</v>
      </c>
      <c r="D5" s="32" t="s">
        <v>446</v>
      </c>
      <c r="E5" s="36" t="s">
        <v>441</v>
      </c>
      <c r="F5" s="43" t="n">
        <v>50</v>
      </c>
      <c r="G5" s="40" t="n">
        <v>200</v>
      </c>
      <c r="H5" s="51" t="n">
        <v>0.13</v>
      </c>
      <c r="I5" s="33" t="s">
        <v>437</v>
      </c>
      <c r="J5" s="33" t="s">
        <v>438</v>
      </c>
      <c r="K5" s="36" t="s">
        <v>555</v>
      </c>
      <c r="L5" s="47" t="str">
        <f aca="false">IF($B5="","",IF(NOT(ISNUMBER($B5)),"日期不是日期格式",IF(YEAR($B5)&lt;&gt;首页!$B$3,"不在会计年度",IF($D5="","未选客户",IF(ISNA(MATCH($D5,基础资料!$Z$6:$Z$155,0)),"客户不在档案",IF($E5="","未选商品",IF(ISNA(MATCH($E5,基础资料!$Q$6:$Q$205,0)),"商品不在档案",IF(NOT(ISNUMBER($F5)),"数量须为数字",IF(NOT(ISNUMBER($G5)),"单价须为数字",IF(N($F5)&lt;=0,"数量须大于0",IF(AND(IFERROR(INDEX(基础资料!$V$6:$V$205,MATCH($E5,基础资料!$Q$6:$Q$205,0)),"")="是",N($R5)=0),"无成本价·请先录采购或填参考成本",IF(N($T5)&lt;0,"毛利为负·请核对","√"))))))))))))</f>
        <v>√</v>
      </c>
      <c r="M5" s="49" t="str">
        <f aca="false">IF($E5="","",IFERROR(INDEX(基础资料!$R$6:$R$205,MATCH($E5,基础资料!$Q$6:$Q$205,0)),""))</f>
        <v>A-01</v>
      </c>
      <c r="N5" s="49" t="str">
        <f aca="false">IF($E5="","",IFERROR(INDEX(基础资料!$S$6:$S$205,MATCH($E5,基础资料!$Q$6:$Q$205,0)),""))</f>
        <v>个</v>
      </c>
      <c r="O5" s="48" t="n">
        <f aca="false">IF(OR($F5="",$G5=""),"",ROUND(N($F5)*N($G5),2))</f>
        <v>10000</v>
      </c>
      <c r="P5" s="48" t="n">
        <f aca="false">IF($O5="","",ROUND(N($O5)*N($H5),2))</f>
        <v>1300</v>
      </c>
      <c r="Q5" s="48" t="n">
        <f aca="false">IF($O5="","",N($O5)+N($P5))</f>
        <v>11300</v>
      </c>
      <c r="R5" s="48" t="n">
        <f aca="false">IF(OR($E5="",$B5=""),"",IF(IFERROR(INDEX(基础资料!$V$6:$V$205,MATCH($E5,基础资料!$Q$6:$Q$205,0)),"")&lt;&gt;"是",0,IFERROR((SUMIFS(期初数据!$T$6:$T$205,期初数据!$O$6:$O$205,$E5)+SUMIFS(采购录入!$Q$5:$Q$404,采购录入!$E$5:$E$404,$E5,采购录入!$I$5:$I$404,"是",采购录入!$B$5:$B$404,"&lt;="&amp;$B5))/(SUMIFS(期初数据!$R$6:$R$205,期初数据!$O$6:$O$205,$E5)+SUMIFS(采购录入!$F$5:$F$404,采购录入!$E$5:$E$404,$E5,采购录入!$I$5:$I$404,"是",采购录入!$B$5:$B$404,"&lt;="&amp;$B5)),IFERROR(INDEX(基础资料!$U$6:$U$205,MATCH($E5,基础资料!$Q$6:$Q$205,0)),0))))</f>
        <v>102.5</v>
      </c>
      <c r="S5" s="48" t="n">
        <f aca="false">IF($O5="","",ROUND(N($F5)*N($R5),2))</f>
        <v>5125</v>
      </c>
      <c r="T5" s="48" t="n">
        <f aca="false">IF($O5="","",N($O5)-N($S5))</f>
        <v>4875</v>
      </c>
      <c r="U5" s="52" t="n">
        <f aca="false">IF(OR($B5="",$D5=""),"",$B5+N(IFERROR(INDEX(基础资料!$AB$6:$AB$155,MATCH($D5,基础资料!$Z$6:$Z$155,0)),0)))</f>
        <v>46057</v>
      </c>
      <c r="V5" s="49" t="str">
        <f aca="false">IF($O5="","","1122")</f>
        <v>1122</v>
      </c>
      <c r="W5" s="49" t="str">
        <f aca="false">IF($O5="","","6001")</f>
        <v>6001</v>
      </c>
      <c r="X5" s="48" t="n">
        <f aca="false">IF($O5="","",$O5)</f>
        <v>10000</v>
      </c>
      <c r="Y5" s="49" t="str">
        <f aca="false">IF(N($P5)=0,"","1122")</f>
        <v>1122</v>
      </c>
      <c r="Z5" s="49" t="str">
        <f aca="false">IF(N($P5)=0,"","2221")</f>
        <v>2221</v>
      </c>
      <c r="AA5" s="48" t="n">
        <f aca="false">IF(N($P5)=0,"",$P5)</f>
        <v>1300</v>
      </c>
      <c r="AB5" s="49" t="str">
        <f aca="false">IF(N($S5)=0,"","6401")</f>
        <v>6401</v>
      </c>
      <c r="AC5" s="49" t="str">
        <f aca="false">IF(N($S5)=0,"","1405")</f>
        <v>1405</v>
      </c>
      <c r="AD5" s="48" t="n">
        <f aca="false">IF(N($S5)=0,"",$S5)</f>
        <v>5125</v>
      </c>
      <c r="AE5" s="49" t="n">
        <f aca="false">IF(AND($D5=客户对账单!$B$3,$B5&gt;=客户对账单!$E$3,$B5&lt;=客户对账单!$H$3),COUNTIFS($D$5:$D5,客户对账单!$B$3,$B$5:$B5,"&gt;="&amp;客户对账单!$E$3,$B$5:$B5,"&lt;="&amp;客户对账单!$H$3),"")</f>
        <v>1</v>
      </c>
    </row>
    <row r="6" customFormat="false" ht="15.75" hidden="false" customHeight="true" outlineLevel="0" collapsed="false">
      <c r="A6" s="42" t="str">
        <f aca="false">IF($B6="","","XS"&amp;TEXT($B6,"yyyymm")&amp;"-"&amp;TEXT(ROW()-4,"000"))</f>
        <v>XS202601-002</v>
      </c>
      <c r="B6" s="41" t="n">
        <v>46034</v>
      </c>
      <c r="C6" s="42" t="str">
        <f aca="false">IF($B6="","",TEXT($B6,"yyyy-mm"))</f>
        <v>2026-01</v>
      </c>
      <c r="D6" s="32" t="s">
        <v>458</v>
      </c>
      <c r="E6" s="36" t="s">
        <v>455</v>
      </c>
      <c r="F6" s="43" t="n">
        <v>20</v>
      </c>
      <c r="G6" s="40" t="n">
        <v>350</v>
      </c>
      <c r="H6" s="51" t="n">
        <v>0.13</v>
      </c>
      <c r="I6" s="33" t="s">
        <v>437</v>
      </c>
      <c r="J6" s="33" t="s">
        <v>438</v>
      </c>
      <c r="K6" s="36"/>
      <c r="L6" s="47" t="str">
        <f aca="false">IF($B6="","",IF(NOT(ISNUMBER($B6)),"日期不是日期格式",IF(YEAR($B6)&lt;&gt;首页!$B$3,"不在会计年度",IF($D6="","未选客户",IF(ISNA(MATCH($D6,基础资料!$Z$6:$Z$155,0)),"客户不在档案",IF($E6="","未选商品",IF(ISNA(MATCH($E6,基础资料!$Q$6:$Q$205,0)),"商品不在档案",IF(NOT(ISNUMBER($F6)),"数量须为数字",IF(NOT(ISNUMBER($G6)),"单价须为数字",IF(N($F6)&lt;=0,"数量须大于0",IF(AND(IFERROR(INDEX(基础资料!$V$6:$V$205,MATCH($E6,基础资料!$Q$6:$Q$205,0)),"")="是",N($R6)=0),"无成本价·请先录采购或填参考成本",IF(N($T6)&lt;0,"毛利为负·请核对","√"))))))))))))</f>
        <v>√</v>
      </c>
      <c r="M6" s="49" t="str">
        <f aca="false">IF($E6="","",IFERROR(INDEX(基础资料!$R$6:$R$205,MATCH($E6,基础资料!$Q$6:$Q$205,0)),""))</f>
        <v>B-02</v>
      </c>
      <c r="N6" s="49" t="str">
        <f aca="false">IF($E6="","",IFERROR(INDEX(基础资料!$S$6:$S$205,MATCH($E6,基础资料!$Q$6:$Q$205,0)),""))</f>
        <v>个</v>
      </c>
      <c r="O6" s="48" t="n">
        <f aca="false">IF(OR($F6="",$G6=""),"",ROUND(N($F6)*N($G6),2))</f>
        <v>7000</v>
      </c>
      <c r="P6" s="48" t="n">
        <f aca="false">IF($O6="","",ROUND(N($O6)*N($H6),2))</f>
        <v>910</v>
      </c>
      <c r="Q6" s="48" t="n">
        <f aca="false">IF($O6="","",N($O6)+N($P6))</f>
        <v>7910</v>
      </c>
      <c r="R6" s="48" t="n">
        <f aca="false">IF(OR($E6="",$B6=""),"",IF(IFERROR(INDEX(基础资料!$V$6:$V$205,MATCH($E6,基础资料!$Q$6:$Q$205,0)),"")&lt;&gt;"是",0,IFERROR((SUMIFS(期初数据!$T$6:$T$205,期初数据!$O$6:$O$205,$E6)+SUMIFS(采购录入!$Q$5:$Q$404,采购录入!$E$5:$E$404,$E6,采购录入!$I$5:$I$404,"是",采购录入!$B$5:$B$404,"&lt;="&amp;$B6))/(SUMIFS(期初数据!$R$6:$R$205,期初数据!$O$6:$O$205,$E6)+SUMIFS(采购录入!$F$5:$F$404,采购录入!$E$5:$E$404,$E6,采购录入!$I$5:$I$404,"是",采购录入!$B$5:$B$404,"&lt;="&amp;$B6)),IFERROR(INDEX(基础资料!$U$6:$U$205,MATCH($E6,基础资料!$Q$6:$Q$205,0)),0))))</f>
        <v>221.875</v>
      </c>
      <c r="S6" s="48" t="n">
        <f aca="false">IF($O6="","",ROUND(N($F6)*N($R6),2))</f>
        <v>4437.5</v>
      </c>
      <c r="T6" s="48" t="n">
        <f aca="false">IF($O6="","",N($O6)-N($S6))</f>
        <v>2562.5</v>
      </c>
      <c r="U6" s="52" t="n">
        <f aca="false">IF(OR($B6="",$D6=""),"",$B6+N(IFERROR(INDEX(基础资料!$AB$6:$AB$155,MATCH($D6,基础资料!$Z$6:$Z$155,0)),0)))</f>
        <v>46094</v>
      </c>
      <c r="V6" s="49" t="str">
        <f aca="false">IF($O6="","","1122")</f>
        <v>1122</v>
      </c>
      <c r="W6" s="49" t="str">
        <f aca="false">IF($O6="","","6001")</f>
        <v>6001</v>
      </c>
      <c r="X6" s="48" t="n">
        <f aca="false">IF($O6="","",$O6)</f>
        <v>7000</v>
      </c>
      <c r="Y6" s="49" t="str">
        <f aca="false">IF(N($P6)=0,"","1122")</f>
        <v>1122</v>
      </c>
      <c r="Z6" s="49" t="str">
        <f aca="false">IF(N($P6)=0,"","2221")</f>
        <v>2221</v>
      </c>
      <c r="AA6" s="48" t="n">
        <f aca="false">IF(N($P6)=0,"",$P6)</f>
        <v>910</v>
      </c>
      <c r="AB6" s="49" t="str">
        <f aca="false">IF(N($S6)=0,"","6401")</f>
        <v>6401</v>
      </c>
      <c r="AC6" s="49" t="str">
        <f aca="false">IF(N($S6)=0,"","1405")</f>
        <v>1405</v>
      </c>
      <c r="AD6" s="48" t="n">
        <f aca="false">IF(N($S6)=0,"",$S6)</f>
        <v>4437.5</v>
      </c>
      <c r="AE6" s="49" t="str">
        <f aca="false">IF(AND($D6=客户对账单!$B$3,$B6&gt;=客户对账单!$E$3,$B6&lt;=客户对账单!$H$3),COUNTIFS($D$5:$D6,客户对账单!$B$3,$B$5:$B6,"&gt;="&amp;客户对账单!$E$3,$B$5:$B6,"&lt;="&amp;客户对账单!$H$3),"")</f>
        <v/>
      </c>
    </row>
    <row r="7" customFormat="false" ht="15.75" hidden="false" customHeight="true" outlineLevel="0" collapsed="false">
      <c r="A7" s="42" t="str">
        <f aca="false">IF($B7="","","XS"&amp;TEXT($B7,"yyyymm")&amp;"-"&amp;TEXT(ROW()-4,"000"))</f>
        <v>XS202601-003</v>
      </c>
      <c r="B7" s="41" t="n">
        <v>46042</v>
      </c>
      <c r="C7" s="42" t="str">
        <f aca="false">IF($B7="","",TEXT($B7,"yyyy-mm"))</f>
        <v>2026-01</v>
      </c>
      <c r="D7" s="32" t="s">
        <v>446</v>
      </c>
      <c r="E7" s="36" t="s">
        <v>467</v>
      </c>
      <c r="F7" s="43" t="n">
        <v>5</v>
      </c>
      <c r="G7" s="40" t="n">
        <v>1200</v>
      </c>
      <c r="H7" s="51" t="n">
        <v>0.13</v>
      </c>
      <c r="I7" s="33" t="s">
        <v>437</v>
      </c>
      <c r="J7" s="33" t="s">
        <v>438</v>
      </c>
      <c r="K7" s="36"/>
      <c r="L7" s="47" t="str">
        <f aca="false">IF($B7="","",IF(NOT(ISNUMBER($B7)),"日期不是日期格式",IF(YEAR($B7)&lt;&gt;首页!$B$3,"不在会计年度",IF($D7="","未选客户",IF(ISNA(MATCH($D7,基础资料!$Z$6:$Z$155,0)),"客户不在档案",IF($E7="","未选商品",IF(ISNA(MATCH($E7,基础资料!$Q$6:$Q$205,0)),"商品不在档案",IF(NOT(ISNUMBER($F7)),"数量须为数字",IF(NOT(ISNUMBER($G7)),"单价须为数字",IF(N($F7)&lt;=0,"数量须大于0",IF(AND(IFERROR(INDEX(基础资料!$V$6:$V$205,MATCH($E7,基础资料!$Q$6:$Q$205,0)),"")="是",N($R7)=0),"无成本价·请先录采购或填参考成本",IF(N($T7)&lt;0,"毛利为负·请核对","√"))))))))))))</f>
        <v>√</v>
      </c>
      <c r="M7" s="49" t="str">
        <f aca="false">IF($E7="","",IFERROR(INDEX(基础资料!$R$6:$R$205,MATCH($E7,基础资料!$Q$6:$Q$205,0)),""))</f>
        <v>C-10</v>
      </c>
      <c r="N7" s="49" t="str">
        <f aca="false">IF($E7="","",IFERROR(INDEX(基础资料!$S$6:$S$205,MATCH($E7,基础资料!$Q$6:$Q$205,0)),""))</f>
        <v>套</v>
      </c>
      <c r="O7" s="48" t="n">
        <f aca="false">IF(OR($F7="",$G7=""),"",ROUND(N($F7)*N($G7),2))</f>
        <v>6000</v>
      </c>
      <c r="P7" s="48" t="n">
        <f aca="false">IF($O7="","",ROUND(N($O7)*N($H7),2))</f>
        <v>780</v>
      </c>
      <c r="Q7" s="48" t="n">
        <f aca="false">IF($O7="","",N($O7)+N($P7))</f>
        <v>6780</v>
      </c>
      <c r="R7" s="48" t="n">
        <f aca="false">IF(OR($E7="",$B7=""),"",IF(IFERROR(INDEX(基础资料!$V$6:$V$205,MATCH($E7,基础资料!$Q$6:$Q$205,0)),"")&lt;&gt;"是",0,IFERROR((SUMIFS(期初数据!$T$6:$T$205,期初数据!$O$6:$O$205,$E7)+SUMIFS(采购录入!$Q$5:$Q$404,采购录入!$E$5:$E$404,$E7,采购录入!$I$5:$I$404,"是",采购录入!$B$5:$B$404,"&lt;="&amp;$B7))/(SUMIFS(期初数据!$R$6:$R$205,期初数据!$O$6:$O$205,$E7)+SUMIFS(采购录入!$F$5:$F$404,采购录入!$E$5:$E$404,$E7,采购录入!$I$5:$I$404,"是",采购录入!$B$5:$B$404,"&lt;="&amp;$B7)),IFERROR(INDEX(基础资料!$U$6:$U$205,MATCH($E7,基础资料!$Q$6:$Q$205,0)),0))))</f>
        <v>780</v>
      </c>
      <c r="S7" s="48" t="n">
        <f aca="false">IF($O7="","",ROUND(N($F7)*N($R7),2))</f>
        <v>3900</v>
      </c>
      <c r="T7" s="48" t="n">
        <f aca="false">IF($O7="","",N($O7)-N($S7))</f>
        <v>2100</v>
      </c>
      <c r="U7" s="52" t="n">
        <f aca="false">IF(OR($B7="",$D7=""),"",$B7+N(IFERROR(INDEX(基础资料!$AB$6:$AB$155,MATCH($D7,基础资料!$Z$6:$Z$155,0)),0)))</f>
        <v>46072</v>
      </c>
      <c r="V7" s="49" t="str">
        <f aca="false">IF($O7="","","1122")</f>
        <v>1122</v>
      </c>
      <c r="W7" s="49" t="str">
        <f aca="false">IF($O7="","","6001")</f>
        <v>6001</v>
      </c>
      <c r="X7" s="48" t="n">
        <f aca="false">IF($O7="","",$O7)</f>
        <v>6000</v>
      </c>
      <c r="Y7" s="49" t="str">
        <f aca="false">IF(N($P7)=0,"","1122")</f>
        <v>1122</v>
      </c>
      <c r="Z7" s="49" t="str">
        <f aca="false">IF(N($P7)=0,"","2221")</f>
        <v>2221</v>
      </c>
      <c r="AA7" s="48" t="n">
        <f aca="false">IF(N($P7)=0,"",$P7)</f>
        <v>780</v>
      </c>
      <c r="AB7" s="49" t="str">
        <f aca="false">IF(N($S7)=0,"","6401")</f>
        <v>6401</v>
      </c>
      <c r="AC7" s="49" t="str">
        <f aca="false">IF(N($S7)=0,"","1405")</f>
        <v>1405</v>
      </c>
      <c r="AD7" s="48" t="n">
        <f aca="false">IF(N($S7)=0,"",$S7)</f>
        <v>3900</v>
      </c>
      <c r="AE7" s="49" t="n">
        <f aca="false">IF(AND($D7=客户对账单!$B$3,$B7&gt;=客户对账单!$E$3,$B7&lt;=客户对账单!$H$3),COUNTIFS($D$5:$D7,客户对账单!$B$3,$B$5:$B7,"&gt;="&amp;客户对账单!$E$3,$B$5:$B7,"&lt;="&amp;客户对账单!$H$3),"")</f>
        <v>2</v>
      </c>
    </row>
    <row r="8" customFormat="false" ht="15.75" hidden="false" customHeight="true" outlineLevel="0" collapsed="false">
      <c r="A8" s="42" t="str">
        <f aca="false">IF($B8="","","XS"&amp;TEXT($B8,"yyyymm")&amp;"-"&amp;TEXT(ROW()-4,"000"))</f>
        <v>XS202601-004</v>
      </c>
      <c r="B8" s="41" t="n">
        <v>46047</v>
      </c>
      <c r="C8" s="42" t="str">
        <f aca="false">IF($B8="","",TEXT($B8,"yyyy-mm"))</f>
        <v>2026-01</v>
      </c>
      <c r="D8" s="32" t="s">
        <v>471</v>
      </c>
      <c r="E8" s="32" t="s">
        <v>477</v>
      </c>
      <c r="F8" s="43" t="n">
        <v>2</v>
      </c>
      <c r="G8" s="40" t="n">
        <v>800</v>
      </c>
      <c r="H8" s="51" t="n">
        <v>0.06</v>
      </c>
      <c r="I8" s="33" t="s">
        <v>437</v>
      </c>
      <c r="J8" s="33" t="s">
        <v>438</v>
      </c>
      <c r="K8" s="32" t="s">
        <v>556</v>
      </c>
      <c r="L8" s="47" t="str">
        <f aca="false">IF($B8="","",IF(NOT(ISNUMBER($B8)),"日期不是日期格式",IF(YEAR($B8)&lt;&gt;首页!$B$3,"不在会计年度",IF($D8="","未选客户",IF(ISNA(MATCH($D8,基础资料!$Z$6:$Z$155,0)),"客户不在档案",IF($E8="","未选商品",IF(ISNA(MATCH($E8,基础资料!$Q$6:$Q$205,0)),"商品不在档案",IF(NOT(ISNUMBER($F8)),"数量须为数字",IF(NOT(ISNUMBER($G8)),"单价须为数字",IF(N($F8)&lt;=0,"数量须大于0",IF(AND(IFERROR(INDEX(基础资料!$V$6:$V$205,MATCH($E8,基础资料!$Q$6:$Q$205,0)),"")="是",N($R8)=0),"无成本价·请先录采购或填参考成本",IF(N($T8)&lt;0,"毛利为负·请核对","√"))))))))))))</f>
        <v>√</v>
      </c>
      <c r="M8" s="49" t="str">
        <f aca="false">IF($E8="","",IFERROR(INDEX(基础资料!$R$6:$R$205,MATCH($E8,基础资料!$Q$6:$Q$205,0)),""))</f>
        <v>—</v>
      </c>
      <c r="N8" s="49" t="str">
        <f aca="false">IF($E8="","",IFERROR(INDEX(基础资料!$S$6:$S$205,MATCH($E8,基础资料!$Q$6:$Q$205,0)),""))</f>
        <v>次</v>
      </c>
      <c r="O8" s="48" t="n">
        <f aca="false">IF(OR($F8="",$G8=""),"",ROUND(N($F8)*N($G8),2))</f>
        <v>1600</v>
      </c>
      <c r="P8" s="48" t="n">
        <f aca="false">IF($O8="","",ROUND(N($O8)*N($H8),2))</f>
        <v>96</v>
      </c>
      <c r="Q8" s="48" t="n">
        <f aca="false">IF($O8="","",N($O8)+N($P8))</f>
        <v>1696</v>
      </c>
      <c r="R8" s="48" t="n">
        <f aca="false">IF(OR($E8="",$B8=""),"",IF(IFERROR(INDEX(基础资料!$V$6:$V$205,MATCH($E8,基础资料!$Q$6:$Q$205,0)),"")&lt;&gt;"是",0,IFERROR((SUMIFS(期初数据!$T$6:$T$205,期初数据!$O$6:$O$205,$E8)+SUMIFS(采购录入!$Q$5:$Q$404,采购录入!$E$5:$E$404,$E8,采购录入!$I$5:$I$404,"是",采购录入!$B$5:$B$404,"&lt;="&amp;$B8))/(SUMIFS(期初数据!$R$6:$R$205,期初数据!$O$6:$O$205,$E8)+SUMIFS(采购录入!$F$5:$F$404,采购录入!$E$5:$E$404,$E8,采购录入!$I$5:$I$404,"是",采购录入!$B$5:$B$404,"&lt;="&amp;$B8)),IFERROR(INDEX(基础资料!$U$6:$U$205,MATCH($E8,基础资料!$Q$6:$Q$205,0)),0))))</f>
        <v>0</v>
      </c>
      <c r="S8" s="48" t="n">
        <f aca="false">IF($O8="","",ROUND(N($F8)*N($R8),2))</f>
        <v>0</v>
      </c>
      <c r="T8" s="48" t="n">
        <f aca="false">IF($O8="","",N($O8)-N($S8))</f>
        <v>1600</v>
      </c>
      <c r="U8" s="52" t="n">
        <f aca="false">IF(OR($B8="",$D8=""),"",$B8+N(IFERROR(INDEX(基础资料!$AB$6:$AB$155,MATCH($D8,基础资料!$Z$6:$Z$155,0)),0)))</f>
        <v>46047</v>
      </c>
      <c r="V8" s="49" t="str">
        <f aca="false">IF($O8="","","1122")</f>
        <v>1122</v>
      </c>
      <c r="W8" s="49" t="str">
        <f aca="false">IF($O8="","","6001")</f>
        <v>6001</v>
      </c>
      <c r="X8" s="48" t="n">
        <f aca="false">IF($O8="","",$O8)</f>
        <v>1600</v>
      </c>
      <c r="Y8" s="49" t="str">
        <f aca="false">IF(N($P8)=0,"","1122")</f>
        <v>1122</v>
      </c>
      <c r="Z8" s="49" t="str">
        <f aca="false">IF(N($P8)=0,"","2221")</f>
        <v>2221</v>
      </c>
      <c r="AA8" s="48" t="n">
        <f aca="false">IF(N($P8)=0,"",$P8)</f>
        <v>96</v>
      </c>
      <c r="AB8" s="49" t="str">
        <f aca="false">IF(N($S8)=0,"","6401")</f>
        <v/>
      </c>
      <c r="AC8" s="49" t="str">
        <f aca="false">IF(N($S8)=0,"","1405")</f>
        <v/>
      </c>
      <c r="AD8" s="48" t="str">
        <f aca="false">IF(N($S8)=0,"",$S8)</f>
        <v/>
      </c>
      <c r="AE8" s="49" t="str">
        <f aca="false">IF(AND($D8=客户对账单!$B$3,$B8&gt;=客户对账单!$E$3,$B8&lt;=客户对账单!$H$3),COUNTIFS($D$5:$D8,客户对账单!$B$3,$B$5:$B8,"&gt;="&amp;客户对账单!$E$3,$B$5:$B8,"&lt;="&amp;客户对账单!$H$3),"")</f>
        <v/>
      </c>
    </row>
    <row r="9" customFormat="false" ht="15.75" hidden="false" customHeight="true" outlineLevel="0" collapsed="false">
      <c r="A9" s="42" t="str">
        <f aca="false">IF($B9="","","XS"&amp;TEXT($B9,"yyyymm")&amp;"-"&amp;TEXT(ROW()-4,"000"))</f>
        <v/>
      </c>
      <c r="B9" s="41"/>
      <c r="C9" s="42" t="str">
        <f aca="false">IF($B9="","",TEXT($B9,"yyyy-mm"))</f>
        <v/>
      </c>
      <c r="D9" s="32"/>
      <c r="E9" s="36"/>
      <c r="F9" s="43"/>
      <c r="G9" s="40"/>
      <c r="H9" s="51"/>
      <c r="I9" s="33"/>
      <c r="J9" s="33"/>
      <c r="K9" s="36"/>
      <c r="L9" s="47" t="str">
        <f aca="false">IF($B9="","",IF(NOT(ISNUMBER($B9)),"日期不是日期格式",IF(YEAR($B9)&lt;&gt;首页!$B$3,"不在会计年度",IF($D9="","未选客户",IF(ISNA(MATCH($D9,基础资料!$Z$6:$Z$155,0)),"客户不在档案",IF($E9="","未选商品",IF(ISNA(MATCH($E9,基础资料!$Q$6:$Q$205,0)),"商品不在档案",IF(NOT(ISNUMBER($F9)),"数量须为数字",IF(NOT(ISNUMBER($G9)),"单价须为数字",IF(N($F9)&lt;=0,"数量须大于0",IF(AND(IFERROR(INDEX(基础资料!$V$6:$V$205,MATCH($E9,基础资料!$Q$6:$Q$205,0)),"")="是",N($R9)=0),"无成本价·请先录采购或填参考成本",IF(N($T9)&lt;0,"毛利为负·请核对","√"))))))))))))</f>
        <v/>
      </c>
      <c r="M9" s="49" t="str">
        <f aca="false">IF($E9="","",IFERROR(INDEX(基础资料!$R$6:$R$205,MATCH($E9,基础资料!$Q$6:$Q$205,0)),""))</f>
        <v/>
      </c>
      <c r="N9" s="49" t="str">
        <f aca="false">IF($E9="","",IFERROR(INDEX(基础资料!$S$6:$S$205,MATCH($E9,基础资料!$Q$6:$Q$205,0)),""))</f>
        <v/>
      </c>
      <c r="O9" s="48" t="str">
        <f aca="false">IF(OR($F9="",$G9=""),"",ROUND(N($F9)*N($G9),2))</f>
        <v/>
      </c>
      <c r="P9" s="48" t="str">
        <f aca="false">IF($O9="","",ROUND(N($O9)*N($H9),2))</f>
        <v/>
      </c>
      <c r="Q9" s="48" t="str">
        <f aca="false">IF($O9="","",N($O9)+N($P9))</f>
        <v/>
      </c>
      <c r="R9" s="48" t="str">
        <f aca="false">IF(OR($E9="",$B9=""),"",IF(IFERROR(INDEX(基础资料!$V$6:$V$205,MATCH($E9,基础资料!$Q$6:$Q$205,0)),"")&lt;&gt;"是",0,IFERROR((SUMIFS(期初数据!$T$6:$T$205,期初数据!$O$6:$O$205,$E9)+SUMIFS(采购录入!$Q$5:$Q$404,采购录入!$E$5:$E$404,$E9,采购录入!$I$5:$I$404,"是",采购录入!$B$5:$B$404,"&lt;="&amp;$B9))/(SUMIFS(期初数据!$R$6:$R$205,期初数据!$O$6:$O$205,$E9)+SUMIFS(采购录入!$F$5:$F$404,采购录入!$E$5:$E$404,$E9,采购录入!$I$5:$I$404,"是",采购录入!$B$5:$B$404,"&lt;="&amp;$B9)),IFERROR(INDEX(基础资料!$U$6:$U$205,MATCH($E9,基础资料!$Q$6:$Q$205,0)),0))))</f>
        <v/>
      </c>
      <c r="S9" s="48" t="str">
        <f aca="false">IF($O9="","",ROUND(N($F9)*N($R9),2))</f>
        <v/>
      </c>
      <c r="T9" s="48" t="str">
        <f aca="false">IF($O9="","",N($O9)-N($S9))</f>
        <v/>
      </c>
      <c r="U9" s="52" t="str">
        <f aca="false">IF(OR($B9="",$D9=""),"",$B9+N(IFERROR(INDEX(基础资料!$AB$6:$AB$155,MATCH($D9,基础资料!$Z$6:$Z$155,0)),0)))</f>
        <v/>
      </c>
      <c r="V9" s="49" t="str">
        <f aca="false">IF($O9="","","1122")</f>
        <v/>
      </c>
      <c r="W9" s="49" t="str">
        <f aca="false">IF($O9="","","6001")</f>
        <v/>
      </c>
      <c r="X9" s="48" t="str">
        <f aca="false">IF($O9="","",$O9)</f>
        <v/>
      </c>
      <c r="Y9" s="49" t="str">
        <f aca="false">IF(N($P9)=0,"","1122")</f>
        <v/>
      </c>
      <c r="Z9" s="49" t="str">
        <f aca="false">IF(N($P9)=0,"","2221")</f>
        <v/>
      </c>
      <c r="AA9" s="48" t="str">
        <f aca="false">IF(N($P9)=0,"",$P9)</f>
        <v/>
      </c>
      <c r="AB9" s="49" t="str">
        <f aca="false">IF(N($S9)=0,"","6401")</f>
        <v/>
      </c>
      <c r="AC9" s="49" t="str">
        <f aca="false">IF(N($S9)=0,"","1405")</f>
        <v/>
      </c>
      <c r="AD9" s="48" t="str">
        <f aca="false">IF(N($S9)=0,"",$S9)</f>
        <v/>
      </c>
      <c r="AE9" s="49" t="str">
        <f aca="false">IF(AND($D9=客户对账单!$B$3,$B9&gt;=客户对账单!$E$3,$B9&lt;=客户对账单!$H$3),COUNTIFS($D$5:$D9,客户对账单!$B$3,$B$5:$B9,"&gt;="&amp;客户对账单!$E$3,$B$5:$B9,"&lt;="&amp;客户对账单!$H$3),"")</f>
        <v/>
      </c>
    </row>
    <row r="10" customFormat="false" ht="15.75" hidden="false" customHeight="true" outlineLevel="0" collapsed="false">
      <c r="A10" s="42" t="str">
        <f aca="false">IF($B10="","","XS"&amp;TEXT($B10,"yyyymm")&amp;"-"&amp;TEXT(ROW()-4,"000"))</f>
        <v/>
      </c>
      <c r="B10" s="41"/>
      <c r="C10" s="42" t="str">
        <f aca="false">IF($B10="","",TEXT($B10,"yyyy-mm"))</f>
        <v/>
      </c>
      <c r="D10" s="32"/>
      <c r="E10" s="36"/>
      <c r="F10" s="43"/>
      <c r="G10" s="40"/>
      <c r="H10" s="51"/>
      <c r="I10" s="33"/>
      <c r="J10" s="33"/>
      <c r="K10" s="36"/>
      <c r="L10" s="47" t="str">
        <f aca="false">IF($B10="","",IF(NOT(ISNUMBER($B10)),"日期不是日期格式",IF(YEAR($B10)&lt;&gt;首页!$B$3,"不在会计年度",IF($D10="","未选客户",IF(ISNA(MATCH($D10,基础资料!$Z$6:$Z$155,0)),"客户不在档案",IF($E10="","未选商品",IF(ISNA(MATCH($E10,基础资料!$Q$6:$Q$205,0)),"商品不在档案",IF(NOT(ISNUMBER($F10)),"数量须为数字",IF(NOT(ISNUMBER($G10)),"单价须为数字",IF(N($F10)&lt;=0,"数量须大于0",IF(AND(IFERROR(INDEX(基础资料!$V$6:$V$205,MATCH($E10,基础资料!$Q$6:$Q$205,0)),"")="是",N($R10)=0),"无成本价·请先录采购或填参考成本",IF(N($T10)&lt;0,"毛利为负·请核对","√"))))))))))))</f>
        <v/>
      </c>
      <c r="M10" s="49" t="str">
        <f aca="false">IF($E10="","",IFERROR(INDEX(基础资料!$R$6:$R$205,MATCH($E10,基础资料!$Q$6:$Q$205,0)),""))</f>
        <v/>
      </c>
      <c r="N10" s="49" t="str">
        <f aca="false">IF($E10="","",IFERROR(INDEX(基础资料!$S$6:$S$205,MATCH($E10,基础资料!$Q$6:$Q$205,0)),""))</f>
        <v/>
      </c>
      <c r="O10" s="48" t="str">
        <f aca="false">IF(OR($F10="",$G10=""),"",ROUND(N($F10)*N($G10),2))</f>
        <v/>
      </c>
      <c r="P10" s="48" t="str">
        <f aca="false">IF($O10="","",ROUND(N($O10)*N($H10),2))</f>
        <v/>
      </c>
      <c r="Q10" s="48" t="str">
        <f aca="false">IF($O10="","",N($O10)+N($P10))</f>
        <v/>
      </c>
      <c r="R10" s="48" t="str">
        <f aca="false">IF(OR($E10="",$B10=""),"",IF(IFERROR(INDEX(基础资料!$V$6:$V$205,MATCH($E10,基础资料!$Q$6:$Q$205,0)),"")&lt;&gt;"是",0,IFERROR((SUMIFS(期初数据!$T$6:$T$205,期初数据!$O$6:$O$205,$E10)+SUMIFS(采购录入!$Q$5:$Q$404,采购录入!$E$5:$E$404,$E10,采购录入!$I$5:$I$404,"是",采购录入!$B$5:$B$404,"&lt;="&amp;$B10))/(SUMIFS(期初数据!$R$6:$R$205,期初数据!$O$6:$O$205,$E10)+SUMIFS(采购录入!$F$5:$F$404,采购录入!$E$5:$E$404,$E10,采购录入!$I$5:$I$404,"是",采购录入!$B$5:$B$404,"&lt;="&amp;$B10)),IFERROR(INDEX(基础资料!$U$6:$U$205,MATCH($E10,基础资料!$Q$6:$Q$205,0)),0))))</f>
        <v/>
      </c>
      <c r="S10" s="48" t="str">
        <f aca="false">IF($O10="","",ROUND(N($F10)*N($R10),2))</f>
        <v/>
      </c>
      <c r="T10" s="48" t="str">
        <f aca="false">IF($O10="","",N($O10)-N($S10))</f>
        <v/>
      </c>
      <c r="U10" s="52" t="str">
        <f aca="false">IF(OR($B10="",$D10=""),"",$B10+N(IFERROR(INDEX(基础资料!$AB$6:$AB$155,MATCH($D10,基础资料!$Z$6:$Z$155,0)),0)))</f>
        <v/>
      </c>
      <c r="V10" s="49" t="str">
        <f aca="false">IF($O10="","","1122")</f>
        <v/>
      </c>
      <c r="W10" s="49" t="str">
        <f aca="false">IF($O10="","","6001")</f>
        <v/>
      </c>
      <c r="X10" s="48" t="str">
        <f aca="false">IF($O10="","",$O10)</f>
        <v/>
      </c>
      <c r="Y10" s="49" t="str">
        <f aca="false">IF(N($P10)=0,"","1122")</f>
        <v/>
      </c>
      <c r="Z10" s="49" t="str">
        <f aca="false">IF(N($P10)=0,"","2221")</f>
        <v/>
      </c>
      <c r="AA10" s="48" t="str">
        <f aca="false">IF(N($P10)=0,"",$P10)</f>
        <v/>
      </c>
      <c r="AB10" s="49" t="str">
        <f aca="false">IF(N($S10)=0,"","6401")</f>
        <v/>
      </c>
      <c r="AC10" s="49" t="str">
        <f aca="false">IF(N($S10)=0,"","1405")</f>
        <v/>
      </c>
      <c r="AD10" s="48" t="str">
        <f aca="false">IF(N($S10)=0,"",$S10)</f>
        <v/>
      </c>
      <c r="AE10" s="49" t="str">
        <f aca="false">IF(AND($D10=客户对账单!$B$3,$B10&gt;=客户对账单!$E$3,$B10&lt;=客户对账单!$H$3),COUNTIFS($D$5:$D10,客户对账单!$B$3,$B$5:$B10,"&gt;="&amp;客户对账单!$E$3,$B$5:$B10,"&lt;="&amp;客户对账单!$H$3),"")</f>
        <v/>
      </c>
    </row>
    <row r="11" customFormat="false" ht="15.75" hidden="false" customHeight="true" outlineLevel="0" collapsed="false">
      <c r="A11" s="42" t="str">
        <f aca="false">IF($B11="","","XS"&amp;TEXT($B11,"yyyymm")&amp;"-"&amp;TEXT(ROW()-4,"000"))</f>
        <v/>
      </c>
      <c r="B11" s="41"/>
      <c r="C11" s="42" t="str">
        <f aca="false">IF($B11="","",TEXT($B11,"yyyy-mm"))</f>
        <v/>
      </c>
      <c r="D11" s="32"/>
      <c r="E11" s="36"/>
      <c r="F11" s="43"/>
      <c r="G11" s="40"/>
      <c r="H11" s="51"/>
      <c r="I11" s="33"/>
      <c r="J11" s="33"/>
      <c r="K11" s="36"/>
      <c r="L11" s="47" t="str">
        <f aca="false">IF($B11="","",IF(NOT(ISNUMBER($B11)),"日期不是日期格式",IF(YEAR($B11)&lt;&gt;首页!$B$3,"不在会计年度",IF($D11="","未选客户",IF(ISNA(MATCH($D11,基础资料!$Z$6:$Z$155,0)),"客户不在档案",IF($E11="","未选商品",IF(ISNA(MATCH($E11,基础资料!$Q$6:$Q$205,0)),"商品不在档案",IF(NOT(ISNUMBER($F11)),"数量须为数字",IF(NOT(ISNUMBER($G11)),"单价须为数字",IF(N($F11)&lt;=0,"数量须大于0",IF(AND(IFERROR(INDEX(基础资料!$V$6:$V$205,MATCH($E11,基础资料!$Q$6:$Q$205,0)),"")="是",N($R11)=0),"无成本价·请先录采购或填参考成本",IF(N($T11)&lt;0,"毛利为负·请核对","√"))))))))))))</f>
        <v/>
      </c>
      <c r="M11" s="49" t="str">
        <f aca="false">IF($E11="","",IFERROR(INDEX(基础资料!$R$6:$R$205,MATCH($E11,基础资料!$Q$6:$Q$205,0)),""))</f>
        <v/>
      </c>
      <c r="N11" s="49" t="str">
        <f aca="false">IF($E11="","",IFERROR(INDEX(基础资料!$S$6:$S$205,MATCH($E11,基础资料!$Q$6:$Q$205,0)),""))</f>
        <v/>
      </c>
      <c r="O11" s="48" t="str">
        <f aca="false">IF(OR($F11="",$G11=""),"",ROUND(N($F11)*N($G11),2))</f>
        <v/>
      </c>
      <c r="P11" s="48" t="str">
        <f aca="false">IF($O11="","",ROUND(N($O11)*N($H11),2))</f>
        <v/>
      </c>
      <c r="Q11" s="48" t="str">
        <f aca="false">IF($O11="","",N($O11)+N($P11))</f>
        <v/>
      </c>
      <c r="R11" s="48" t="str">
        <f aca="false">IF(OR($E11="",$B11=""),"",IF(IFERROR(INDEX(基础资料!$V$6:$V$205,MATCH($E11,基础资料!$Q$6:$Q$205,0)),"")&lt;&gt;"是",0,IFERROR((SUMIFS(期初数据!$T$6:$T$205,期初数据!$O$6:$O$205,$E11)+SUMIFS(采购录入!$Q$5:$Q$404,采购录入!$E$5:$E$404,$E11,采购录入!$I$5:$I$404,"是",采购录入!$B$5:$B$404,"&lt;="&amp;$B11))/(SUMIFS(期初数据!$R$6:$R$205,期初数据!$O$6:$O$205,$E11)+SUMIFS(采购录入!$F$5:$F$404,采购录入!$E$5:$E$404,$E11,采购录入!$I$5:$I$404,"是",采购录入!$B$5:$B$404,"&lt;="&amp;$B11)),IFERROR(INDEX(基础资料!$U$6:$U$205,MATCH($E11,基础资料!$Q$6:$Q$205,0)),0))))</f>
        <v/>
      </c>
      <c r="S11" s="48" t="str">
        <f aca="false">IF($O11="","",ROUND(N($F11)*N($R11),2))</f>
        <v/>
      </c>
      <c r="T11" s="48" t="str">
        <f aca="false">IF($O11="","",N($O11)-N($S11))</f>
        <v/>
      </c>
      <c r="U11" s="52" t="str">
        <f aca="false">IF(OR($B11="",$D11=""),"",$B11+N(IFERROR(INDEX(基础资料!$AB$6:$AB$155,MATCH($D11,基础资料!$Z$6:$Z$155,0)),0)))</f>
        <v/>
      </c>
      <c r="V11" s="49" t="str">
        <f aca="false">IF($O11="","","1122")</f>
        <v/>
      </c>
      <c r="W11" s="49" t="str">
        <f aca="false">IF($O11="","","6001")</f>
        <v/>
      </c>
      <c r="X11" s="48" t="str">
        <f aca="false">IF($O11="","",$O11)</f>
        <v/>
      </c>
      <c r="Y11" s="49" t="str">
        <f aca="false">IF(N($P11)=0,"","1122")</f>
        <v/>
      </c>
      <c r="Z11" s="49" t="str">
        <f aca="false">IF(N($P11)=0,"","2221")</f>
        <v/>
      </c>
      <c r="AA11" s="48" t="str">
        <f aca="false">IF(N($P11)=0,"",$P11)</f>
        <v/>
      </c>
      <c r="AB11" s="49" t="str">
        <f aca="false">IF(N($S11)=0,"","6401")</f>
        <v/>
      </c>
      <c r="AC11" s="49" t="str">
        <f aca="false">IF(N($S11)=0,"","1405")</f>
        <v/>
      </c>
      <c r="AD11" s="48" t="str">
        <f aca="false">IF(N($S11)=0,"",$S11)</f>
        <v/>
      </c>
      <c r="AE11" s="49" t="str">
        <f aca="false">IF(AND($D11=客户对账单!$B$3,$B11&gt;=客户对账单!$E$3,$B11&lt;=客户对账单!$H$3),COUNTIFS($D$5:$D11,客户对账单!$B$3,$B$5:$B11,"&gt;="&amp;客户对账单!$E$3,$B$5:$B11,"&lt;="&amp;客户对账单!$H$3),"")</f>
        <v/>
      </c>
    </row>
    <row r="12" customFormat="false" ht="15.75" hidden="false" customHeight="true" outlineLevel="0" collapsed="false">
      <c r="A12" s="42" t="str">
        <f aca="false">IF($B12="","","XS"&amp;TEXT($B12,"yyyymm")&amp;"-"&amp;TEXT(ROW()-4,"000"))</f>
        <v/>
      </c>
      <c r="B12" s="41"/>
      <c r="C12" s="42" t="str">
        <f aca="false">IF($B12="","",TEXT($B12,"yyyy-mm"))</f>
        <v/>
      </c>
      <c r="D12" s="32"/>
      <c r="E12" s="36"/>
      <c r="F12" s="43"/>
      <c r="G12" s="40"/>
      <c r="H12" s="51"/>
      <c r="I12" s="33"/>
      <c r="J12" s="33"/>
      <c r="K12" s="36"/>
      <c r="L12" s="47" t="str">
        <f aca="false">IF($B12="","",IF(NOT(ISNUMBER($B12)),"日期不是日期格式",IF(YEAR($B12)&lt;&gt;首页!$B$3,"不在会计年度",IF($D12="","未选客户",IF(ISNA(MATCH($D12,基础资料!$Z$6:$Z$155,0)),"客户不在档案",IF($E12="","未选商品",IF(ISNA(MATCH($E12,基础资料!$Q$6:$Q$205,0)),"商品不在档案",IF(NOT(ISNUMBER($F12)),"数量须为数字",IF(NOT(ISNUMBER($G12)),"单价须为数字",IF(N($F12)&lt;=0,"数量须大于0",IF(AND(IFERROR(INDEX(基础资料!$V$6:$V$205,MATCH($E12,基础资料!$Q$6:$Q$205,0)),"")="是",N($R12)=0),"无成本价·请先录采购或填参考成本",IF(N($T12)&lt;0,"毛利为负·请核对","√"))))))))))))</f>
        <v/>
      </c>
      <c r="M12" s="49" t="str">
        <f aca="false">IF($E12="","",IFERROR(INDEX(基础资料!$R$6:$R$205,MATCH($E12,基础资料!$Q$6:$Q$205,0)),""))</f>
        <v/>
      </c>
      <c r="N12" s="49" t="str">
        <f aca="false">IF($E12="","",IFERROR(INDEX(基础资料!$S$6:$S$205,MATCH($E12,基础资料!$Q$6:$Q$205,0)),""))</f>
        <v/>
      </c>
      <c r="O12" s="48" t="str">
        <f aca="false">IF(OR($F12="",$G12=""),"",ROUND(N($F12)*N($G12),2))</f>
        <v/>
      </c>
      <c r="P12" s="48" t="str">
        <f aca="false">IF($O12="","",ROUND(N($O12)*N($H12),2))</f>
        <v/>
      </c>
      <c r="Q12" s="48" t="str">
        <f aca="false">IF($O12="","",N($O12)+N($P12))</f>
        <v/>
      </c>
      <c r="R12" s="48" t="str">
        <f aca="false">IF(OR($E12="",$B12=""),"",IF(IFERROR(INDEX(基础资料!$V$6:$V$205,MATCH($E12,基础资料!$Q$6:$Q$205,0)),"")&lt;&gt;"是",0,IFERROR((SUMIFS(期初数据!$T$6:$T$205,期初数据!$O$6:$O$205,$E12)+SUMIFS(采购录入!$Q$5:$Q$404,采购录入!$E$5:$E$404,$E12,采购录入!$I$5:$I$404,"是",采购录入!$B$5:$B$404,"&lt;="&amp;$B12))/(SUMIFS(期初数据!$R$6:$R$205,期初数据!$O$6:$O$205,$E12)+SUMIFS(采购录入!$F$5:$F$404,采购录入!$E$5:$E$404,$E12,采购录入!$I$5:$I$404,"是",采购录入!$B$5:$B$404,"&lt;="&amp;$B12)),IFERROR(INDEX(基础资料!$U$6:$U$205,MATCH($E12,基础资料!$Q$6:$Q$205,0)),0))))</f>
        <v/>
      </c>
      <c r="S12" s="48" t="str">
        <f aca="false">IF($O12="","",ROUND(N($F12)*N($R12),2))</f>
        <v/>
      </c>
      <c r="T12" s="48" t="str">
        <f aca="false">IF($O12="","",N($O12)-N($S12))</f>
        <v/>
      </c>
      <c r="U12" s="52" t="str">
        <f aca="false">IF(OR($B12="",$D12=""),"",$B12+N(IFERROR(INDEX(基础资料!$AB$6:$AB$155,MATCH($D12,基础资料!$Z$6:$Z$155,0)),0)))</f>
        <v/>
      </c>
      <c r="V12" s="49" t="str">
        <f aca="false">IF($O12="","","1122")</f>
        <v/>
      </c>
      <c r="W12" s="49" t="str">
        <f aca="false">IF($O12="","","6001")</f>
        <v/>
      </c>
      <c r="X12" s="48" t="str">
        <f aca="false">IF($O12="","",$O12)</f>
        <v/>
      </c>
      <c r="Y12" s="49" t="str">
        <f aca="false">IF(N($P12)=0,"","1122")</f>
        <v/>
      </c>
      <c r="Z12" s="49" t="str">
        <f aca="false">IF(N($P12)=0,"","2221")</f>
        <v/>
      </c>
      <c r="AA12" s="48" t="str">
        <f aca="false">IF(N($P12)=0,"",$P12)</f>
        <v/>
      </c>
      <c r="AB12" s="49" t="str">
        <f aca="false">IF(N($S12)=0,"","6401")</f>
        <v/>
      </c>
      <c r="AC12" s="49" t="str">
        <f aca="false">IF(N($S12)=0,"","1405")</f>
        <v/>
      </c>
      <c r="AD12" s="48" t="str">
        <f aca="false">IF(N($S12)=0,"",$S12)</f>
        <v/>
      </c>
      <c r="AE12" s="49" t="str">
        <f aca="false">IF(AND($D12=客户对账单!$B$3,$B12&gt;=客户对账单!$E$3,$B12&lt;=客户对账单!$H$3),COUNTIFS($D$5:$D12,客户对账单!$B$3,$B$5:$B12,"&gt;="&amp;客户对账单!$E$3,$B$5:$B12,"&lt;="&amp;客户对账单!$H$3),"")</f>
        <v/>
      </c>
    </row>
    <row r="13" customFormat="false" ht="15.75" hidden="false" customHeight="true" outlineLevel="0" collapsed="false">
      <c r="A13" s="42" t="str">
        <f aca="false">IF($B13="","","XS"&amp;TEXT($B13,"yyyymm")&amp;"-"&amp;TEXT(ROW()-4,"000"))</f>
        <v/>
      </c>
      <c r="B13" s="41"/>
      <c r="C13" s="42" t="str">
        <f aca="false">IF($B13="","",TEXT($B13,"yyyy-mm"))</f>
        <v/>
      </c>
      <c r="D13" s="32"/>
      <c r="E13" s="36"/>
      <c r="F13" s="43"/>
      <c r="G13" s="40"/>
      <c r="H13" s="51"/>
      <c r="I13" s="33"/>
      <c r="J13" s="33"/>
      <c r="K13" s="36"/>
      <c r="L13" s="47" t="str">
        <f aca="false">IF($B13="","",IF(NOT(ISNUMBER($B13)),"日期不是日期格式",IF(YEAR($B13)&lt;&gt;首页!$B$3,"不在会计年度",IF($D13="","未选客户",IF(ISNA(MATCH($D13,基础资料!$Z$6:$Z$155,0)),"客户不在档案",IF($E13="","未选商品",IF(ISNA(MATCH($E13,基础资料!$Q$6:$Q$205,0)),"商品不在档案",IF(NOT(ISNUMBER($F13)),"数量须为数字",IF(NOT(ISNUMBER($G13)),"单价须为数字",IF(N($F13)&lt;=0,"数量须大于0",IF(AND(IFERROR(INDEX(基础资料!$V$6:$V$205,MATCH($E13,基础资料!$Q$6:$Q$205,0)),"")="是",N($R13)=0),"无成本价·请先录采购或填参考成本",IF(N($T13)&lt;0,"毛利为负·请核对","√"))))))))))))</f>
        <v/>
      </c>
      <c r="M13" s="49" t="str">
        <f aca="false">IF($E13="","",IFERROR(INDEX(基础资料!$R$6:$R$205,MATCH($E13,基础资料!$Q$6:$Q$205,0)),""))</f>
        <v/>
      </c>
      <c r="N13" s="49" t="str">
        <f aca="false">IF($E13="","",IFERROR(INDEX(基础资料!$S$6:$S$205,MATCH($E13,基础资料!$Q$6:$Q$205,0)),""))</f>
        <v/>
      </c>
      <c r="O13" s="48" t="str">
        <f aca="false">IF(OR($F13="",$G13=""),"",ROUND(N($F13)*N($G13),2))</f>
        <v/>
      </c>
      <c r="P13" s="48" t="str">
        <f aca="false">IF($O13="","",ROUND(N($O13)*N($H13),2))</f>
        <v/>
      </c>
      <c r="Q13" s="48" t="str">
        <f aca="false">IF($O13="","",N($O13)+N($P13))</f>
        <v/>
      </c>
      <c r="R13" s="48" t="str">
        <f aca="false">IF(OR($E13="",$B13=""),"",IF(IFERROR(INDEX(基础资料!$V$6:$V$205,MATCH($E13,基础资料!$Q$6:$Q$205,0)),"")&lt;&gt;"是",0,IFERROR((SUMIFS(期初数据!$T$6:$T$205,期初数据!$O$6:$O$205,$E13)+SUMIFS(采购录入!$Q$5:$Q$404,采购录入!$E$5:$E$404,$E13,采购录入!$I$5:$I$404,"是",采购录入!$B$5:$B$404,"&lt;="&amp;$B13))/(SUMIFS(期初数据!$R$6:$R$205,期初数据!$O$6:$O$205,$E13)+SUMIFS(采购录入!$F$5:$F$404,采购录入!$E$5:$E$404,$E13,采购录入!$I$5:$I$404,"是",采购录入!$B$5:$B$404,"&lt;="&amp;$B13)),IFERROR(INDEX(基础资料!$U$6:$U$205,MATCH($E13,基础资料!$Q$6:$Q$205,0)),0))))</f>
        <v/>
      </c>
      <c r="S13" s="48" t="str">
        <f aca="false">IF($O13="","",ROUND(N($F13)*N($R13),2))</f>
        <v/>
      </c>
      <c r="T13" s="48" t="str">
        <f aca="false">IF($O13="","",N($O13)-N($S13))</f>
        <v/>
      </c>
      <c r="U13" s="52" t="str">
        <f aca="false">IF(OR($B13="",$D13=""),"",$B13+N(IFERROR(INDEX(基础资料!$AB$6:$AB$155,MATCH($D13,基础资料!$Z$6:$Z$155,0)),0)))</f>
        <v/>
      </c>
      <c r="V13" s="49" t="str">
        <f aca="false">IF($O13="","","1122")</f>
        <v/>
      </c>
      <c r="W13" s="49" t="str">
        <f aca="false">IF($O13="","","6001")</f>
        <v/>
      </c>
      <c r="X13" s="48" t="str">
        <f aca="false">IF($O13="","",$O13)</f>
        <v/>
      </c>
      <c r="Y13" s="49" t="str">
        <f aca="false">IF(N($P13)=0,"","1122")</f>
        <v/>
      </c>
      <c r="Z13" s="49" t="str">
        <f aca="false">IF(N($P13)=0,"","2221")</f>
        <v/>
      </c>
      <c r="AA13" s="48" t="str">
        <f aca="false">IF(N($P13)=0,"",$P13)</f>
        <v/>
      </c>
      <c r="AB13" s="49" t="str">
        <f aca="false">IF(N($S13)=0,"","6401")</f>
        <v/>
      </c>
      <c r="AC13" s="49" t="str">
        <f aca="false">IF(N($S13)=0,"","1405")</f>
        <v/>
      </c>
      <c r="AD13" s="48" t="str">
        <f aca="false">IF(N($S13)=0,"",$S13)</f>
        <v/>
      </c>
      <c r="AE13" s="49" t="str">
        <f aca="false">IF(AND($D13=客户对账单!$B$3,$B13&gt;=客户对账单!$E$3,$B13&lt;=客户对账单!$H$3),COUNTIFS($D$5:$D13,客户对账单!$B$3,$B$5:$B13,"&gt;="&amp;客户对账单!$E$3,$B$5:$B13,"&lt;="&amp;客户对账单!$H$3),"")</f>
        <v/>
      </c>
    </row>
    <row r="14" customFormat="false" ht="15.75" hidden="false" customHeight="true" outlineLevel="0" collapsed="false">
      <c r="A14" s="42" t="str">
        <f aca="false">IF($B14="","","XS"&amp;TEXT($B14,"yyyymm")&amp;"-"&amp;TEXT(ROW()-4,"000"))</f>
        <v/>
      </c>
      <c r="B14" s="41"/>
      <c r="C14" s="42" t="str">
        <f aca="false">IF($B14="","",TEXT($B14,"yyyy-mm"))</f>
        <v/>
      </c>
      <c r="D14" s="32"/>
      <c r="E14" s="36"/>
      <c r="F14" s="43"/>
      <c r="G14" s="40"/>
      <c r="H14" s="51"/>
      <c r="I14" s="33"/>
      <c r="J14" s="33"/>
      <c r="K14" s="36"/>
      <c r="L14" s="47" t="str">
        <f aca="false">IF($B14="","",IF(NOT(ISNUMBER($B14)),"日期不是日期格式",IF(YEAR($B14)&lt;&gt;首页!$B$3,"不在会计年度",IF($D14="","未选客户",IF(ISNA(MATCH($D14,基础资料!$Z$6:$Z$155,0)),"客户不在档案",IF($E14="","未选商品",IF(ISNA(MATCH($E14,基础资料!$Q$6:$Q$205,0)),"商品不在档案",IF(NOT(ISNUMBER($F14)),"数量须为数字",IF(NOT(ISNUMBER($G14)),"单价须为数字",IF(N($F14)&lt;=0,"数量须大于0",IF(AND(IFERROR(INDEX(基础资料!$V$6:$V$205,MATCH($E14,基础资料!$Q$6:$Q$205,0)),"")="是",N($R14)=0),"无成本价·请先录采购或填参考成本",IF(N($T14)&lt;0,"毛利为负·请核对","√"))))))))))))</f>
        <v/>
      </c>
      <c r="M14" s="49" t="str">
        <f aca="false">IF($E14="","",IFERROR(INDEX(基础资料!$R$6:$R$205,MATCH($E14,基础资料!$Q$6:$Q$205,0)),""))</f>
        <v/>
      </c>
      <c r="N14" s="49" t="str">
        <f aca="false">IF($E14="","",IFERROR(INDEX(基础资料!$S$6:$S$205,MATCH($E14,基础资料!$Q$6:$Q$205,0)),""))</f>
        <v/>
      </c>
      <c r="O14" s="48" t="str">
        <f aca="false">IF(OR($F14="",$G14=""),"",ROUND(N($F14)*N($G14),2))</f>
        <v/>
      </c>
      <c r="P14" s="48" t="str">
        <f aca="false">IF($O14="","",ROUND(N($O14)*N($H14),2))</f>
        <v/>
      </c>
      <c r="Q14" s="48" t="str">
        <f aca="false">IF($O14="","",N($O14)+N($P14))</f>
        <v/>
      </c>
      <c r="R14" s="48" t="str">
        <f aca="false">IF(OR($E14="",$B14=""),"",IF(IFERROR(INDEX(基础资料!$V$6:$V$205,MATCH($E14,基础资料!$Q$6:$Q$205,0)),"")&lt;&gt;"是",0,IFERROR((SUMIFS(期初数据!$T$6:$T$205,期初数据!$O$6:$O$205,$E14)+SUMIFS(采购录入!$Q$5:$Q$404,采购录入!$E$5:$E$404,$E14,采购录入!$I$5:$I$404,"是",采购录入!$B$5:$B$404,"&lt;="&amp;$B14))/(SUMIFS(期初数据!$R$6:$R$205,期初数据!$O$6:$O$205,$E14)+SUMIFS(采购录入!$F$5:$F$404,采购录入!$E$5:$E$404,$E14,采购录入!$I$5:$I$404,"是",采购录入!$B$5:$B$404,"&lt;="&amp;$B14)),IFERROR(INDEX(基础资料!$U$6:$U$205,MATCH($E14,基础资料!$Q$6:$Q$205,0)),0))))</f>
        <v/>
      </c>
      <c r="S14" s="48" t="str">
        <f aca="false">IF($O14="","",ROUND(N($F14)*N($R14),2))</f>
        <v/>
      </c>
      <c r="T14" s="48" t="str">
        <f aca="false">IF($O14="","",N($O14)-N($S14))</f>
        <v/>
      </c>
      <c r="U14" s="52" t="str">
        <f aca="false">IF(OR($B14="",$D14=""),"",$B14+N(IFERROR(INDEX(基础资料!$AB$6:$AB$155,MATCH($D14,基础资料!$Z$6:$Z$155,0)),0)))</f>
        <v/>
      </c>
      <c r="V14" s="49" t="str">
        <f aca="false">IF($O14="","","1122")</f>
        <v/>
      </c>
      <c r="W14" s="49" t="str">
        <f aca="false">IF($O14="","","6001")</f>
        <v/>
      </c>
      <c r="X14" s="48" t="str">
        <f aca="false">IF($O14="","",$O14)</f>
        <v/>
      </c>
      <c r="Y14" s="49" t="str">
        <f aca="false">IF(N($P14)=0,"","1122")</f>
        <v/>
      </c>
      <c r="Z14" s="49" t="str">
        <f aca="false">IF(N($P14)=0,"","2221")</f>
        <v/>
      </c>
      <c r="AA14" s="48" t="str">
        <f aca="false">IF(N($P14)=0,"",$P14)</f>
        <v/>
      </c>
      <c r="AB14" s="49" t="str">
        <f aca="false">IF(N($S14)=0,"","6401")</f>
        <v/>
      </c>
      <c r="AC14" s="49" t="str">
        <f aca="false">IF(N($S14)=0,"","1405")</f>
        <v/>
      </c>
      <c r="AD14" s="48" t="str">
        <f aca="false">IF(N($S14)=0,"",$S14)</f>
        <v/>
      </c>
      <c r="AE14" s="49" t="str">
        <f aca="false">IF(AND($D14=客户对账单!$B$3,$B14&gt;=客户对账单!$E$3,$B14&lt;=客户对账单!$H$3),COUNTIFS($D$5:$D14,客户对账单!$B$3,$B$5:$B14,"&gt;="&amp;客户对账单!$E$3,$B$5:$B14,"&lt;="&amp;客户对账单!$H$3),"")</f>
        <v/>
      </c>
    </row>
    <row r="15" customFormat="false" ht="15.75" hidden="false" customHeight="true" outlineLevel="0" collapsed="false">
      <c r="A15" s="42" t="str">
        <f aca="false">IF($B15="","","XS"&amp;TEXT($B15,"yyyymm")&amp;"-"&amp;TEXT(ROW()-4,"000"))</f>
        <v/>
      </c>
      <c r="B15" s="41"/>
      <c r="C15" s="42" t="str">
        <f aca="false">IF($B15="","",TEXT($B15,"yyyy-mm"))</f>
        <v/>
      </c>
      <c r="D15" s="32"/>
      <c r="E15" s="36"/>
      <c r="F15" s="43"/>
      <c r="G15" s="40"/>
      <c r="H15" s="51"/>
      <c r="I15" s="33"/>
      <c r="J15" s="33"/>
      <c r="K15" s="36"/>
      <c r="L15" s="47" t="str">
        <f aca="false">IF($B15="","",IF(NOT(ISNUMBER($B15)),"日期不是日期格式",IF(YEAR($B15)&lt;&gt;首页!$B$3,"不在会计年度",IF($D15="","未选客户",IF(ISNA(MATCH($D15,基础资料!$Z$6:$Z$155,0)),"客户不在档案",IF($E15="","未选商品",IF(ISNA(MATCH($E15,基础资料!$Q$6:$Q$205,0)),"商品不在档案",IF(NOT(ISNUMBER($F15)),"数量须为数字",IF(NOT(ISNUMBER($G15)),"单价须为数字",IF(N($F15)&lt;=0,"数量须大于0",IF(AND(IFERROR(INDEX(基础资料!$V$6:$V$205,MATCH($E15,基础资料!$Q$6:$Q$205,0)),"")="是",N($R15)=0),"无成本价·请先录采购或填参考成本",IF(N($T15)&lt;0,"毛利为负·请核对","√"))))))))))))</f>
        <v/>
      </c>
      <c r="M15" s="49" t="str">
        <f aca="false">IF($E15="","",IFERROR(INDEX(基础资料!$R$6:$R$205,MATCH($E15,基础资料!$Q$6:$Q$205,0)),""))</f>
        <v/>
      </c>
      <c r="N15" s="49" t="str">
        <f aca="false">IF($E15="","",IFERROR(INDEX(基础资料!$S$6:$S$205,MATCH($E15,基础资料!$Q$6:$Q$205,0)),""))</f>
        <v/>
      </c>
      <c r="O15" s="48" t="str">
        <f aca="false">IF(OR($F15="",$G15=""),"",ROUND(N($F15)*N($G15),2))</f>
        <v/>
      </c>
      <c r="P15" s="48" t="str">
        <f aca="false">IF($O15="","",ROUND(N($O15)*N($H15),2))</f>
        <v/>
      </c>
      <c r="Q15" s="48" t="str">
        <f aca="false">IF($O15="","",N($O15)+N($P15))</f>
        <v/>
      </c>
      <c r="R15" s="48" t="str">
        <f aca="false">IF(OR($E15="",$B15=""),"",IF(IFERROR(INDEX(基础资料!$V$6:$V$205,MATCH($E15,基础资料!$Q$6:$Q$205,0)),"")&lt;&gt;"是",0,IFERROR((SUMIFS(期初数据!$T$6:$T$205,期初数据!$O$6:$O$205,$E15)+SUMIFS(采购录入!$Q$5:$Q$404,采购录入!$E$5:$E$404,$E15,采购录入!$I$5:$I$404,"是",采购录入!$B$5:$B$404,"&lt;="&amp;$B15))/(SUMIFS(期初数据!$R$6:$R$205,期初数据!$O$6:$O$205,$E15)+SUMIFS(采购录入!$F$5:$F$404,采购录入!$E$5:$E$404,$E15,采购录入!$I$5:$I$404,"是",采购录入!$B$5:$B$404,"&lt;="&amp;$B15)),IFERROR(INDEX(基础资料!$U$6:$U$205,MATCH($E15,基础资料!$Q$6:$Q$205,0)),0))))</f>
        <v/>
      </c>
      <c r="S15" s="48" t="str">
        <f aca="false">IF($O15="","",ROUND(N($F15)*N($R15),2))</f>
        <v/>
      </c>
      <c r="T15" s="48" t="str">
        <f aca="false">IF($O15="","",N($O15)-N($S15))</f>
        <v/>
      </c>
      <c r="U15" s="52" t="str">
        <f aca="false">IF(OR($B15="",$D15=""),"",$B15+N(IFERROR(INDEX(基础资料!$AB$6:$AB$155,MATCH($D15,基础资料!$Z$6:$Z$155,0)),0)))</f>
        <v/>
      </c>
      <c r="V15" s="49" t="str">
        <f aca="false">IF($O15="","","1122")</f>
        <v/>
      </c>
      <c r="W15" s="49" t="str">
        <f aca="false">IF($O15="","","6001")</f>
        <v/>
      </c>
      <c r="X15" s="48" t="str">
        <f aca="false">IF($O15="","",$O15)</f>
        <v/>
      </c>
      <c r="Y15" s="49" t="str">
        <f aca="false">IF(N($P15)=0,"","1122")</f>
        <v/>
      </c>
      <c r="Z15" s="49" t="str">
        <f aca="false">IF(N($P15)=0,"","2221")</f>
        <v/>
      </c>
      <c r="AA15" s="48" t="str">
        <f aca="false">IF(N($P15)=0,"",$P15)</f>
        <v/>
      </c>
      <c r="AB15" s="49" t="str">
        <f aca="false">IF(N($S15)=0,"","6401")</f>
        <v/>
      </c>
      <c r="AC15" s="49" t="str">
        <f aca="false">IF(N($S15)=0,"","1405")</f>
        <v/>
      </c>
      <c r="AD15" s="48" t="str">
        <f aca="false">IF(N($S15)=0,"",$S15)</f>
        <v/>
      </c>
      <c r="AE15" s="49" t="str">
        <f aca="false">IF(AND($D15=客户对账单!$B$3,$B15&gt;=客户对账单!$E$3,$B15&lt;=客户对账单!$H$3),COUNTIFS($D$5:$D15,客户对账单!$B$3,$B$5:$B15,"&gt;="&amp;客户对账单!$E$3,$B$5:$B15,"&lt;="&amp;客户对账单!$H$3),"")</f>
        <v/>
      </c>
    </row>
    <row r="16" customFormat="false" ht="15.75" hidden="false" customHeight="true" outlineLevel="0" collapsed="false">
      <c r="A16" s="42" t="str">
        <f aca="false">IF($B16="","","XS"&amp;TEXT($B16,"yyyymm")&amp;"-"&amp;TEXT(ROW()-4,"000"))</f>
        <v/>
      </c>
      <c r="B16" s="41"/>
      <c r="C16" s="42" t="str">
        <f aca="false">IF($B16="","",TEXT($B16,"yyyy-mm"))</f>
        <v/>
      </c>
      <c r="D16" s="32"/>
      <c r="E16" s="36"/>
      <c r="F16" s="43"/>
      <c r="G16" s="40"/>
      <c r="H16" s="51"/>
      <c r="I16" s="33"/>
      <c r="J16" s="33"/>
      <c r="K16" s="36"/>
      <c r="L16" s="47" t="str">
        <f aca="false">IF($B16="","",IF(NOT(ISNUMBER($B16)),"日期不是日期格式",IF(YEAR($B16)&lt;&gt;首页!$B$3,"不在会计年度",IF($D16="","未选客户",IF(ISNA(MATCH($D16,基础资料!$Z$6:$Z$155,0)),"客户不在档案",IF($E16="","未选商品",IF(ISNA(MATCH($E16,基础资料!$Q$6:$Q$205,0)),"商品不在档案",IF(NOT(ISNUMBER($F16)),"数量须为数字",IF(NOT(ISNUMBER($G16)),"单价须为数字",IF(N($F16)&lt;=0,"数量须大于0",IF(AND(IFERROR(INDEX(基础资料!$V$6:$V$205,MATCH($E16,基础资料!$Q$6:$Q$205,0)),"")="是",N($R16)=0),"无成本价·请先录采购或填参考成本",IF(N($T16)&lt;0,"毛利为负·请核对","√"))))))))))))</f>
        <v/>
      </c>
      <c r="M16" s="49" t="str">
        <f aca="false">IF($E16="","",IFERROR(INDEX(基础资料!$R$6:$R$205,MATCH($E16,基础资料!$Q$6:$Q$205,0)),""))</f>
        <v/>
      </c>
      <c r="N16" s="49" t="str">
        <f aca="false">IF($E16="","",IFERROR(INDEX(基础资料!$S$6:$S$205,MATCH($E16,基础资料!$Q$6:$Q$205,0)),""))</f>
        <v/>
      </c>
      <c r="O16" s="48" t="str">
        <f aca="false">IF(OR($F16="",$G16=""),"",ROUND(N($F16)*N($G16),2))</f>
        <v/>
      </c>
      <c r="P16" s="48" t="str">
        <f aca="false">IF($O16="","",ROUND(N($O16)*N($H16),2))</f>
        <v/>
      </c>
      <c r="Q16" s="48" t="str">
        <f aca="false">IF($O16="","",N($O16)+N($P16))</f>
        <v/>
      </c>
      <c r="R16" s="48" t="str">
        <f aca="false">IF(OR($E16="",$B16=""),"",IF(IFERROR(INDEX(基础资料!$V$6:$V$205,MATCH($E16,基础资料!$Q$6:$Q$205,0)),"")&lt;&gt;"是",0,IFERROR((SUMIFS(期初数据!$T$6:$T$205,期初数据!$O$6:$O$205,$E16)+SUMIFS(采购录入!$Q$5:$Q$404,采购录入!$E$5:$E$404,$E16,采购录入!$I$5:$I$404,"是",采购录入!$B$5:$B$404,"&lt;="&amp;$B16))/(SUMIFS(期初数据!$R$6:$R$205,期初数据!$O$6:$O$205,$E16)+SUMIFS(采购录入!$F$5:$F$404,采购录入!$E$5:$E$404,$E16,采购录入!$I$5:$I$404,"是",采购录入!$B$5:$B$404,"&lt;="&amp;$B16)),IFERROR(INDEX(基础资料!$U$6:$U$205,MATCH($E16,基础资料!$Q$6:$Q$205,0)),0))))</f>
        <v/>
      </c>
      <c r="S16" s="48" t="str">
        <f aca="false">IF($O16="","",ROUND(N($F16)*N($R16),2))</f>
        <v/>
      </c>
      <c r="T16" s="48" t="str">
        <f aca="false">IF($O16="","",N($O16)-N($S16))</f>
        <v/>
      </c>
      <c r="U16" s="52" t="str">
        <f aca="false">IF(OR($B16="",$D16=""),"",$B16+N(IFERROR(INDEX(基础资料!$AB$6:$AB$155,MATCH($D16,基础资料!$Z$6:$Z$155,0)),0)))</f>
        <v/>
      </c>
      <c r="V16" s="49" t="str">
        <f aca="false">IF($O16="","","1122")</f>
        <v/>
      </c>
      <c r="W16" s="49" t="str">
        <f aca="false">IF($O16="","","6001")</f>
        <v/>
      </c>
      <c r="X16" s="48" t="str">
        <f aca="false">IF($O16="","",$O16)</f>
        <v/>
      </c>
      <c r="Y16" s="49" t="str">
        <f aca="false">IF(N($P16)=0,"","1122")</f>
        <v/>
      </c>
      <c r="Z16" s="49" t="str">
        <f aca="false">IF(N($P16)=0,"","2221")</f>
        <v/>
      </c>
      <c r="AA16" s="48" t="str">
        <f aca="false">IF(N($P16)=0,"",$P16)</f>
        <v/>
      </c>
      <c r="AB16" s="49" t="str">
        <f aca="false">IF(N($S16)=0,"","6401")</f>
        <v/>
      </c>
      <c r="AC16" s="49" t="str">
        <f aca="false">IF(N($S16)=0,"","1405")</f>
        <v/>
      </c>
      <c r="AD16" s="48" t="str">
        <f aca="false">IF(N($S16)=0,"",$S16)</f>
        <v/>
      </c>
      <c r="AE16" s="49" t="str">
        <f aca="false">IF(AND($D16=客户对账单!$B$3,$B16&gt;=客户对账单!$E$3,$B16&lt;=客户对账单!$H$3),COUNTIFS($D$5:$D16,客户对账单!$B$3,$B$5:$B16,"&gt;="&amp;客户对账单!$E$3,$B$5:$B16,"&lt;="&amp;客户对账单!$H$3),"")</f>
        <v/>
      </c>
    </row>
    <row r="17" customFormat="false" ht="15.75" hidden="false" customHeight="true" outlineLevel="0" collapsed="false">
      <c r="A17" s="42" t="str">
        <f aca="false">IF($B17="","","XS"&amp;TEXT($B17,"yyyymm")&amp;"-"&amp;TEXT(ROW()-4,"000"))</f>
        <v/>
      </c>
      <c r="B17" s="41"/>
      <c r="C17" s="42" t="str">
        <f aca="false">IF($B17="","",TEXT($B17,"yyyy-mm"))</f>
        <v/>
      </c>
      <c r="D17" s="32"/>
      <c r="E17" s="36"/>
      <c r="F17" s="43"/>
      <c r="G17" s="40"/>
      <c r="H17" s="51"/>
      <c r="I17" s="33"/>
      <c r="J17" s="33"/>
      <c r="K17" s="36"/>
      <c r="L17" s="47" t="str">
        <f aca="false">IF($B17="","",IF(NOT(ISNUMBER($B17)),"日期不是日期格式",IF(YEAR($B17)&lt;&gt;首页!$B$3,"不在会计年度",IF($D17="","未选客户",IF(ISNA(MATCH($D17,基础资料!$Z$6:$Z$155,0)),"客户不在档案",IF($E17="","未选商品",IF(ISNA(MATCH($E17,基础资料!$Q$6:$Q$205,0)),"商品不在档案",IF(NOT(ISNUMBER($F17)),"数量须为数字",IF(NOT(ISNUMBER($G17)),"单价须为数字",IF(N($F17)&lt;=0,"数量须大于0",IF(AND(IFERROR(INDEX(基础资料!$V$6:$V$205,MATCH($E17,基础资料!$Q$6:$Q$205,0)),"")="是",N($R17)=0),"无成本价·请先录采购或填参考成本",IF(N($T17)&lt;0,"毛利为负·请核对","√"))))))))))))</f>
        <v/>
      </c>
      <c r="M17" s="49" t="str">
        <f aca="false">IF($E17="","",IFERROR(INDEX(基础资料!$R$6:$R$205,MATCH($E17,基础资料!$Q$6:$Q$205,0)),""))</f>
        <v/>
      </c>
      <c r="N17" s="49" t="str">
        <f aca="false">IF($E17="","",IFERROR(INDEX(基础资料!$S$6:$S$205,MATCH($E17,基础资料!$Q$6:$Q$205,0)),""))</f>
        <v/>
      </c>
      <c r="O17" s="48" t="str">
        <f aca="false">IF(OR($F17="",$G17=""),"",ROUND(N($F17)*N($G17),2))</f>
        <v/>
      </c>
      <c r="P17" s="48" t="str">
        <f aca="false">IF($O17="","",ROUND(N($O17)*N($H17),2))</f>
        <v/>
      </c>
      <c r="Q17" s="48" t="str">
        <f aca="false">IF($O17="","",N($O17)+N($P17))</f>
        <v/>
      </c>
      <c r="R17" s="48" t="str">
        <f aca="false">IF(OR($E17="",$B17=""),"",IF(IFERROR(INDEX(基础资料!$V$6:$V$205,MATCH($E17,基础资料!$Q$6:$Q$205,0)),"")&lt;&gt;"是",0,IFERROR((SUMIFS(期初数据!$T$6:$T$205,期初数据!$O$6:$O$205,$E17)+SUMIFS(采购录入!$Q$5:$Q$404,采购录入!$E$5:$E$404,$E17,采购录入!$I$5:$I$404,"是",采购录入!$B$5:$B$404,"&lt;="&amp;$B17))/(SUMIFS(期初数据!$R$6:$R$205,期初数据!$O$6:$O$205,$E17)+SUMIFS(采购录入!$F$5:$F$404,采购录入!$E$5:$E$404,$E17,采购录入!$I$5:$I$404,"是",采购录入!$B$5:$B$404,"&lt;="&amp;$B17)),IFERROR(INDEX(基础资料!$U$6:$U$205,MATCH($E17,基础资料!$Q$6:$Q$205,0)),0))))</f>
        <v/>
      </c>
      <c r="S17" s="48" t="str">
        <f aca="false">IF($O17="","",ROUND(N($F17)*N($R17),2))</f>
        <v/>
      </c>
      <c r="T17" s="48" t="str">
        <f aca="false">IF($O17="","",N($O17)-N($S17))</f>
        <v/>
      </c>
      <c r="U17" s="52" t="str">
        <f aca="false">IF(OR($B17="",$D17=""),"",$B17+N(IFERROR(INDEX(基础资料!$AB$6:$AB$155,MATCH($D17,基础资料!$Z$6:$Z$155,0)),0)))</f>
        <v/>
      </c>
      <c r="V17" s="49" t="str">
        <f aca="false">IF($O17="","","1122")</f>
        <v/>
      </c>
      <c r="W17" s="49" t="str">
        <f aca="false">IF($O17="","","6001")</f>
        <v/>
      </c>
      <c r="X17" s="48" t="str">
        <f aca="false">IF($O17="","",$O17)</f>
        <v/>
      </c>
      <c r="Y17" s="49" t="str">
        <f aca="false">IF(N($P17)=0,"","1122")</f>
        <v/>
      </c>
      <c r="Z17" s="49" t="str">
        <f aca="false">IF(N($P17)=0,"","2221")</f>
        <v/>
      </c>
      <c r="AA17" s="48" t="str">
        <f aca="false">IF(N($P17)=0,"",$P17)</f>
        <v/>
      </c>
      <c r="AB17" s="49" t="str">
        <f aca="false">IF(N($S17)=0,"","6401")</f>
        <v/>
      </c>
      <c r="AC17" s="49" t="str">
        <f aca="false">IF(N($S17)=0,"","1405")</f>
        <v/>
      </c>
      <c r="AD17" s="48" t="str">
        <f aca="false">IF(N($S17)=0,"",$S17)</f>
        <v/>
      </c>
      <c r="AE17" s="49" t="str">
        <f aca="false">IF(AND($D17=客户对账单!$B$3,$B17&gt;=客户对账单!$E$3,$B17&lt;=客户对账单!$H$3),COUNTIFS($D$5:$D17,客户对账单!$B$3,$B$5:$B17,"&gt;="&amp;客户对账单!$E$3,$B$5:$B17,"&lt;="&amp;客户对账单!$H$3),"")</f>
        <v/>
      </c>
    </row>
    <row r="18" customFormat="false" ht="15.75" hidden="false" customHeight="true" outlineLevel="0" collapsed="false">
      <c r="A18" s="42" t="str">
        <f aca="false">IF($B18="","","XS"&amp;TEXT($B18,"yyyymm")&amp;"-"&amp;TEXT(ROW()-4,"000"))</f>
        <v/>
      </c>
      <c r="B18" s="41"/>
      <c r="C18" s="42" t="str">
        <f aca="false">IF($B18="","",TEXT($B18,"yyyy-mm"))</f>
        <v/>
      </c>
      <c r="D18" s="32"/>
      <c r="E18" s="36"/>
      <c r="F18" s="43"/>
      <c r="G18" s="40"/>
      <c r="H18" s="51"/>
      <c r="I18" s="33"/>
      <c r="J18" s="33"/>
      <c r="K18" s="36"/>
      <c r="L18" s="47" t="str">
        <f aca="false">IF($B18="","",IF(NOT(ISNUMBER($B18)),"日期不是日期格式",IF(YEAR($B18)&lt;&gt;首页!$B$3,"不在会计年度",IF($D18="","未选客户",IF(ISNA(MATCH($D18,基础资料!$Z$6:$Z$155,0)),"客户不在档案",IF($E18="","未选商品",IF(ISNA(MATCH($E18,基础资料!$Q$6:$Q$205,0)),"商品不在档案",IF(NOT(ISNUMBER($F18)),"数量须为数字",IF(NOT(ISNUMBER($G18)),"单价须为数字",IF(N($F18)&lt;=0,"数量须大于0",IF(AND(IFERROR(INDEX(基础资料!$V$6:$V$205,MATCH($E18,基础资料!$Q$6:$Q$205,0)),"")="是",N($R18)=0),"无成本价·请先录采购或填参考成本",IF(N($T18)&lt;0,"毛利为负·请核对","√"))))))))))))</f>
        <v/>
      </c>
      <c r="M18" s="49" t="str">
        <f aca="false">IF($E18="","",IFERROR(INDEX(基础资料!$R$6:$R$205,MATCH($E18,基础资料!$Q$6:$Q$205,0)),""))</f>
        <v/>
      </c>
      <c r="N18" s="49" t="str">
        <f aca="false">IF($E18="","",IFERROR(INDEX(基础资料!$S$6:$S$205,MATCH($E18,基础资料!$Q$6:$Q$205,0)),""))</f>
        <v/>
      </c>
      <c r="O18" s="48" t="str">
        <f aca="false">IF(OR($F18="",$G18=""),"",ROUND(N($F18)*N($G18),2))</f>
        <v/>
      </c>
      <c r="P18" s="48" t="str">
        <f aca="false">IF($O18="","",ROUND(N($O18)*N($H18),2))</f>
        <v/>
      </c>
      <c r="Q18" s="48" t="str">
        <f aca="false">IF($O18="","",N($O18)+N($P18))</f>
        <v/>
      </c>
      <c r="R18" s="48" t="str">
        <f aca="false">IF(OR($E18="",$B18=""),"",IF(IFERROR(INDEX(基础资料!$V$6:$V$205,MATCH($E18,基础资料!$Q$6:$Q$205,0)),"")&lt;&gt;"是",0,IFERROR((SUMIFS(期初数据!$T$6:$T$205,期初数据!$O$6:$O$205,$E18)+SUMIFS(采购录入!$Q$5:$Q$404,采购录入!$E$5:$E$404,$E18,采购录入!$I$5:$I$404,"是",采购录入!$B$5:$B$404,"&lt;="&amp;$B18))/(SUMIFS(期初数据!$R$6:$R$205,期初数据!$O$6:$O$205,$E18)+SUMIFS(采购录入!$F$5:$F$404,采购录入!$E$5:$E$404,$E18,采购录入!$I$5:$I$404,"是",采购录入!$B$5:$B$404,"&lt;="&amp;$B18)),IFERROR(INDEX(基础资料!$U$6:$U$205,MATCH($E18,基础资料!$Q$6:$Q$205,0)),0))))</f>
        <v/>
      </c>
      <c r="S18" s="48" t="str">
        <f aca="false">IF($O18="","",ROUND(N($F18)*N($R18),2))</f>
        <v/>
      </c>
      <c r="T18" s="48" t="str">
        <f aca="false">IF($O18="","",N($O18)-N($S18))</f>
        <v/>
      </c>
      <c r="U18" s="52" t="str">
        <f aca="false">IF(OR($B18="",$D18=""),"",$B18+N(IFERROR(INDEX(基础资料!$AB$6:$AB$155,MATCH($D18,基础资料!$Z$6:$Z$155,0)),0)))</f>
        <v/>
      </c>
      <c r="V18" s="49" t="str">
        <f aca="false">IF($O18="","","1122")</f>
        <v/>
      </c>
      <c r="W18" s="49" t="str">
        <f aca="false">IF($O18="","","6001")</f>
        <v/>
      </c>
      <c r="X18" s="48" t="str">
        <f aca="false">IF($O18="","",$O18)</f>
        <v/>
      </c>
      <c r="Y18" s="49" t="str">
        <f aca="false">IF(N($P18)=0,"","1122")</f>
        <v/>
      </c>
      <c r="Z18" s="49" t="str">
        <f aca="false">IF(N($P18)=0,"","2221")</f>
        <v/>
      </c>
      <c r="AA18" s="48" t="str">
        <f aca="false">IF(N($P18)=0,"",$P18)</f>
        <v/>
      </c>
      <c r="AB18" s="49" t="str">
        <f aca="false">IF(N($S18)=0,"","6401")</f>
        <v/>
      </c>
      <c r="AC18" s="49" t="str">
        <f aca="false">IF(N($S18)=0,"","1405")</f>
        <v/>
      </c>
      <c r="AD18" s="48" t="str">
        <f aca="false">IF(N($S18)=0,"",$S18)</f>
        <v/>
      </c>
      <c r="AE18" s="49" t="str">
        <f aca="false">IF(AND($D18=客户对账单!$B$3,$B18&gt;=客户对账单!$E$3,$B18&lt;=客户对账单!$H$3),COUNTIFS($D$5:$D18,客户对账单!$B$3,$B$5:$B18,"&gt;="&amp;客户对账单!$E$3,$B$5:$B18,"&lt;="&amp;客户对账单!$H$3),"")</f>
        <v/>
      </c>
    </row>
    <row r="19" customFormat="false" ht="15.75" hidden="false" customHeight="true" outlineLevel="0" collapsed="false">
      <c r="A19" s="42" t="str">
        <f aca="false">IF($B19="","","XS"&amp;TEXT($B19,"yyyymm")&amp;"-"&amp;TEXT(ROW()-4,"000"))</f>
        <v/>
      </c>
      <c r="B19" s="41"/>
      <c r="C19" s="42" t="str">
        <f aca="false">IF($B19="","",TEXT($B19,"yyyy-mm"))</f>
        <v/>
      </c>
      <c r="D19" s="32"/>
      <c r="E19" s="36"/>
      <c r="F19" s="43"/>
      <c r="G19" s="40"/>
      <c r="H19" s="51"/>
      <c r="I19" s="33"/>
      <c r="J19" s="33"/>
      <c r="K19" s="36"/>
      <c r="L19" s="47" t="str">
        <f aca="false">IF($B19="","",IF(NOT(ISNUMBER($B19)),"日期不是日期格式",IF(YEAR($B19)&lt;&gt;首页!$B$3,"不在会计年度",IF($D19="","未选客户",IF(ISNA(MATCH($D19,基础资料!$Z$6:$Z$155,0)),"客户不在档案",IF($E19="","未选商品",IF(ISNA(MATCH($E19,基础资料!$Q$6:$Q$205,0)),"商品不在档案",IF(NOT(ISNUMBER($F19)),"数量须为数字",IF(NOT(ISNUMBER($G19)),"单价须为数字",IF(N($F19)&lt;=0,"数量须大于0",IF(AND(IFERROR(INDEX(基础资料!$V$6:$V$205,MATCH($E19,基础资料!$Q$6:$Q$205,0)),"")="是",N($R19)=0),"无成本价·请先录采购或填参考成本",IF(N($T19)&lt;0,"毛利为负·请核对","√"))))))))))))</f>
        <v/>
      </c>
      <c r="M19" s="49" t="str">
        <f aca="false">IF($E19="","",IFERROR(INDEX(基础资料!$R$6:$R$205,MATCH($E19,基础资料!$Q$6:$Q$205,0)),""))</f>
        <v/>
      </c>
      <c r="N19" s="49" t="str">
        <f aca="false">IF($E19="","",IFERROR(INDEX(基础资料!$S$6:$S$205,MATCH($E19,基础资料!$Q$6:$Q$205,0)),""))</f>
        <v/>
      </c>
      <c r="O19" s="48" t="str">
        <f aca="false">IF(OR($F19="",$G19=""),"",ROUND(N($F19)*N($G19),2))</f>
        <v/>
      </c>
      <c r="P19" s="48" t="str">
        <f aca="false">IF($O19="","",ROUND(N($O19)*N($H19),2))</f>
        <v/>
      </c>
      <c r="Q19" s="48" t="str">
        <f aca="false">IF($O19="","",N($O19)+N($P19))</f>
        <v/>
      </c>
      <c r="R19" s="48" t="str">
        <f aca="false">IF(OR($E19="",$B19=""),"",IF(IFERROR(INDEX(基础资料!$V$6:$V$205,MATCH($E19,基础资料!$Q$6:$Q$205,0)),"")&lt;&gt;"是",0,IFERROR((SUMIFS(期初数据!$T$6:$T$205,期初数据!$O$6:$O$205,$E19)+SUMIFS(采购录入!$Q$5:$Q$404,采购录入!$E$5:$E$404,$E19,采购录入!$I$5:$I$404,"是",采购录入!$B$5:$B$404,"&lt;="&amp;$B19))/(SUMIFS(期初数据!$R$6:$R$205,期初数据!$O$6:$O$205,$E19)+SUMIFS(采购录入!$F$5:$F$404,采购录入!$E$5:$E$404,$E19,采购录入!$I$5:$I$404,"是",采购录入!$B$5:$B$404,"&lt;="&amp;$B19)),IFERROR(INDEX(基础资料!$U$6:$U$205,MATCH($E19,基础资料!$Q$6:$Q$205,0)),0))))</f>
        <v/>
      </c>
      <c r="S19" s="48" t="str">
        <f aca="false">IF($O19="","",ROUND(N($F19)*N($R19),2))</f>
        <v/>
      </c>
      <c r="T19" s="48" t="str">
        <f aca="false">IF($O19="","",N($O19)-N($S19))</f>
        <v/>
      </c>
      <c r="U19" s="52" t="str">
        <f aca="false">IF(OR($B19="",$D19=""),"",$B19+N(IFERROR(INDEX(基础资料!$AB$6:$AB$155,MATCH($D19,基础资料!$Z$6:$Z$155,0)),0)))</f>
        <v/>
      </c>
      <c r="V19" s="49" t="str">
        <f aca="false">IF($O19="","","1122")</f>
        <v/>
      </c>
      <c r="W19" s="49" t="str">
        <f aca="false">IF($O19="","","6001")</f>
        <v/>
      </c>
      <c r="X19" s="48" t="str">
        <f aca="false">IF($O19="","",$O19)</f>
        <v/>
      </c>
      <c r="Y19" s="49" t="str">
        <f aca="false">IF(N($P19)=0,"","1122")</f>
        <v/>
      </c>
      <c r="Z19" s="49" t="str">
        <f aca="false">IF(N($P19)=0,"","2221")</f>
        <v/>
      </c>
      <c r="AA19" s="48" t="str">
        <f aca="false">IF(N($P19)=0,"",$P19)</f>
        <v/>
      </c>
      <c r="AB19" s="49" t="str">
        <f aca="false">IF(N($S19)=0,"","6401")</f>
        <v/>
      </c>
      <c r="AC19" s="49" t="str">
        <f aca="false">IF(N($S19)=0,"","1405")</f>
        <v/>
      </c>
      <c r="AD19" s="48" t="str">
        <f aca="false">IF(N($S19)=0,"",$S19)</f>
        <v/>
      </c>
      <c r="AE19" s="49" t="str">
        <f aca="false">IF(AND($D19=客户对账单!$B$3,$B19&gt;=客户对账单!$E$3,$B19&lt;=客户对账单!$H$3),COUNTIFS($D$5:$D19,客户对账单!$B$3,$B$5:$B19,"&gt;="&amp;客户对账单!$E$3,$B$5:$B19,"&lt;="&amp;客户对账单!$H$3),"")</f>
        <v/>
      </c>
    </row>
    <row r="20" customFormat="false" ht="15.75" hidden="false" customHeight="true" outlineLevel="0" collapsed="false">
      <c r="A20" s="42" t="str">
        <f aca="false">IF($B20="","","XS"&amp;TEXT($B20,"yyyymm")&amp;"-"&amp;TEXT(ROW()-4,"000"))</f>
        <v/>
      </c>
      <c r="B20" s="41"/>
      <c r="C20" s="42" t="str">
        <f aca="false">IF($B20="","",TEXT($B20,"yyyy-mm"))</f>
        <v/>
      </c>
      <c r="D20" s="32"/>
      <c r="E20" s="36"/>
      <c r="F20" s="43"/>
      <c r="G20" s="40"/>
      <c r="H20" s="51"/>
      <c r="I20" s="33"/>
      <c r="J20" s="33"/>
      <c r="K20" s="36"/>
      <c r="L20" s="47" t="str">
        <f aca="false">IF($B20="","",IF(NOT(ISNUMBER($B20)),"日期不是日期格式",IF(YEAR($B20)&lt;&gt;首页!$B$3,"不在会计年度",IF($D20="","未选客户",IF(ISNA(MATCH($D20,基础资料!$Z$6:$Z$155,0)),"客户不在档案",IF($E20="","未选商品",IF(ISNA(MATCH($E20,基础资料!$Q$6:$Q$205,0)),"商品不在档案",IF(NOT(ISNUMBER($F20)),"数量须为数字",IF(NOT(ISNUMBER($G20)),"单价须为数字",IF(N($F20)&lt;=0,"数量须大于0",IF(AND(IFERROR(INDEX(基础资料!$V$6:$V$205,MATCH($E20,基础资料!$Q$6:$Q$205,0)),"")="是",N($R20)=0),"无成本价·请先录采购或填参考成本",IF(N($T20)&lt;0,"毛利为负·请核对","√"))))))))))))</f>
        <v/>
      </c>
      <c r="M20" s="49" t="str">
        <f aca="false">IF($E20="","",IFERROR(INDEX(基础资料!$R$6:$R$205,MATCH($E20,基础资料!$Q$6:$Q$205,0)),""))</f>
        <v/>
      </c>
      <c r="N20" s="49" t="str">
        <f aca="false">IF($E20="","",IFERROR(INDEX(基础资料!$S$6:$S$205,MATCH($E20,基础资料!$Q$6:$Q$205,0)),""))</f>
        <v/>
      </c>
      <c r="O20" s="48" t="str">
        <f aca="false">IF(OR($F20="",$G20=""),"",ROUND(N($F20)*N($G20),2))</f>
        <v/>
      </c>
      <c r="P20" s="48" t="str">
        <f aca="false">IF($O20="","",ROUND(N($O20)*N($H20),2))</f>
        <v/>
      </c>
      <c r="Q20" s="48" t="str">
        <f aca="false">IF($O20="","",N($O20)+N($P20))</f>
        <v/>
      </c>
      <c r="R20" s="48" t="str">
        <f aca="false">IF(OR($E20="",$B20=""),"",IF(IFERROR(INDEX(基础资料!$V$6:$V$205,MATCH($E20,基础资料!$Q$6:$Q$205,0)),"")&lt;&gt;"是",0,IFERROR((SUMIFS(期初数据!$T$6:$T$205,期初数据!$O$6:$O$205,$E20)+SUMIFS(采购录入!$Q$5:$Q$404,采购录入!$E$5:$E$404,$E20,采购录入!$I$5:$I$404,"是",采购录入!$B$5:$B$404,"&lt;="&amp;$B20))/(SUMIFS(期初数据!$R$6:$R$205,期初数据!$O$6:$O$205,$E20)+SUMIFS(采购录入!$F$5:$F$404,采购录入!$E$5:$E$404,$E20,采购录入!$I$5:$I$404,"是",采购录入!$B$5:$B$404,"&lt;="&amp;$B20)),IFERROR(INDEX(基础资料!$U$6:$U$205,MATCH($E20,基础资料!$Q$6:$Q$205,0)),0))))</f>
        <v/>
      </c>
      <c r="S20" s="48" t="str">
        <f aca="false">IF($O20="","",ROUND(N($F20)*N($R20),2))</f>
        <v/>
      </c>
      <c r="T20" s="48" t="str">
        <f aca="false">IF($O20="","",N($O20)-N($S20))</f>
        <v/>
      </c>
      <c r="U20" s="52" t="str">
        <f aca="false">IF(OR($B20="",$D20=""),"",$B20+N(IFERROR(INDEX(基础资料!$AB$6:$AB$155,MATCH($D20,基础资料!$Z$6:$Z$155,0)),0)))</f>
        <v/>
      </c>
      <c r="V20" s="49" t="str">
        <f aca="false">IF($O20="","","1122")</f>
        <v/>
      </c>
      <c r="W20" s="49" t="str">
        <f aca="false">IF($O20="","","6001")</f>
        <v/>
      </c>
      <c r="X20" s="48" t="str">
        <f aca="false">IF($O20="","",$O20)</f>
        <v/>
      </c>
      <c r="Y20" s="49" t="str">
        <f aca="false">IF(N($P20)=0,"","1122")</f>
        <v/>
      </c>
      <c r="Z20" s="49" t="str">
        <f aca="false">IF(N($P20)=0,"","2221")</f>
        <v/>
      </c>
      <c r="AA20" s="48" t="str">
        <f aca="false">IF(N($P20)=0,"",$P20)</f>
        <v/>
      </c>
      <c r="AB20" s="49" t="str">
        <f aca="false">IF(N($S20)=0,"","6401")</f>
        <v/>
      </c>
      <c r="AC20" s="49" t="str">
        <f aca="false">IF(N($S20)=0,"","1405")</f>
        <v/>
      </c>
      <c r="AD20" s="48" t="str">
        <f aca="false">IF(N($S20)=0,"",$S20)</f>
        <v/>
      </c>
      <c r="AE20" s="49" t="str">
        <f aca="false">IF(AND($D20=客户对账单!$B$3,$B20&gt;=客户对账单!$E$3,$B20&lt;=客户对账单!$H$3),COUNTIFS($D$5:$D20,客户对账单!$B$3,$B$5:$B20,"&gt;="&amp;客户对账单!$E$3,$B$5:$B20,"&lt;="&amp;客户对账单!$H$3),"")</f>
        <v/>
      </c>
    </row>
    <row r="21" customFormat="false" ht="15.75" hidden="false" customHeight="true" outlineLevel="0" collapsed="false">
      <c r="A21" s="42" t="str">
        <f aca="false">IF($B21="","","XS"&amp;TEXT($B21,"yyyymm")&amp;"-"&amp;TEXT(ROW()-4,"000"))</f>
        <v/>
      </c>
      <c r="B21" s="41"/>
      <c r="C21" s="42" t="str">
        <f aca="false">IF($B21="","",TEXT($B21,"yyyy-mm"))</f>
        <v/>
      </c>
      <c r="D21" s="32"/>
      <c r="E21" s="36"/>
      <c r="F21" s="43"/>
      <c r="G21" s="40"/>
      <c r="H21" s="51"/>
      <c r="I21" s="33"/>
      <c r="J21" s="33"/>
      <c r="K21" s="36"/>
      <c r="L21" s="47" t="str">
        <f aca="false">IF($B21="","",IF(NOT(ISNUMBER($B21)),"日期不是日期格式",IF(YEAR($B21)&lt;&gt;首页!$B$3,"不在会计年度",IF($D21="","未选客户",IF(ISNA(MATCH($D21,基础资料!$Z$6:$Z$155,0)),"客户不在档案",IF($E21="","未选商品",IF(ISNA(MATCH($E21,基础资料!$Q$6:$Q$205,0)),"商品不在档案",IF(NOT(ISNUMBER($F21)),"数量须为数字",IF(NOT(ISNUMBER($G21)),"单价须为数字",IF(N($F21)&lt;=0,"数量须大于0",IF(AND(IFERROR(INDEX(基础资料!$V$6:$V$205,MATCH($E21,基础资料!$Q$6:$Q$205,0)),"")="是",N($R21)=0),"无成本价·请先录采购或填参考成本",IF(N($T21)&lt;0,"毛利为负·请核对","√"))))))))))))</f>
        <v/>
      </c>
      <c r="M21" s="49" t="str">
        <f aca="false">IF($E21="","",IFERROR(INDEX(基础资料!$R$6:$R$205,MATCH($E21,基础资料!$Q$6:$Q$205,0)),""))</f>
        <v/>
      </c>
      <c r="N21" s="49" t="str">
        <f aca="false">IF($E21="","",IFERROR(INDEX(基础资料!$S$6:$S$205,MATCH($E21,基础资料!$Q$6:$Q$205,0)),""))</f>
        <v/>
      </c>
      <c r="O21" s="48" t="str">
        <f aca="false">IF(OR($F21="",$G21=""),"",ROUND(N($F21)*N($G21),2))</f>
        <v/>
      </c>
      <c r="P21" s="48" t="str">
        <f aca="false">IF($O21="","",ROUND(N($O21)*N($H21),2))</f>
        <v/>
      </c>
      <c r="Q21" s="48" t="str">
        <f aca="false">IF($O21="","",N($O21)+N($P21))</f>
        <v/>
      </c>
      <c r="R21" s="48" t="str">
        <f aca="false">IF(OR($E21="",$B21=""),"",IF(IFERROR(INDEX(基础资料!$V$6:$V$205,MATCH($E21,基础资料!$Q$6:$Q$205,0)),"")&lt;&gt;"是",0,IFERROR((SUMIFS(期初数据!$T$6:$T$205,期初数据!$O$6:$O$205,$E21)+SUMIFS(采购录入!$Q$5:$Q$404,采购录入!$E$5:$E$404,$E21,采购录入!$I$5:$I$404,"是",采购录入!$B$5:$B$404,"&lt;="&amp;$B21))/(SUMIFS(期初数据!$R$6:$R$205,期初数据!$O$6:$O$205,$E21)+SUMIFS(采购录入!$F$5:$F$404,采购录入!$E$5:$E$404,$E21,采购录入!$I$5:$I$404,"是",采购录入!$B$5:$B$404,"&lt;="&amp;$B21)),IFERROR(INDEX(基础资料!$U$6:$U$205,MATCH($E21,基础资料!$Q$6:$Q$205,0)),0))))</f>
        <v/>
      </c>
      <c r="S21" s="48" t="str">
        <f aca="false">IF($O21="","",ROUND(N($F21)*N($R21),2))</f>
        <v/>
      </c>
      <c r="T21" s="48" t="str">
        <f aca="false">IF($O21="","",N($O21)-N($S21))</f>
        <v/>
      </c>
      <c r="U21" s="52" t="str">
        <f aca="false">IF(OR($B21="",$D21=""),"",$B21+N(IFERROR(INDEX(基础资料!$AB$6:$AB$155,MATCH($D21,基础资料!$Z$6:$Z$155,0)),0)))</f>
        <v/>
      </c>
      <c r="V21" s="49" t="str">
        <f aca="false">IF($O21="","","1122")</f>
        <v/>
      </c>
      <c r="W21" s="49" t="str">
        <f aca="false">IF($O21="","","6001")</f>
        <v/>
      </c>
      <c r="X21" s="48" t="str">
        <f aca="false">IF($O21="","",$O21)</f>
        <v/>
      </c>
      <c r="Y21" s="49" t="str">
        <f aca="false">IF(N($P21)=0,"","1122")</f>
        <v/>
      </c>
      <c r="Z21" s="49" t="str">
        <f aca="false">IF(N($P21)=0,"","2221")</f>
        <v/>
      </c>
      <c r="AA21" s="48" t="str">
        <f aca="false">IF(N($P21)=0,"",$P21)</f>
        <v/>
      </c>
      <c r="AB21" s="49" t="str">
        <f aca="false">IF(N($S21)=0,"","6401")</f>
        <v/>
      </c>
      <c r="AC21" s="49" t="str">
        <f aca="false">IF(N($S21)=0,"","1405")</f>
        <v/>
      </c>
      <c r="AD21" s="48" t="str">
        <f aca="false">IF(N($S21)=0,"",$S21)</f>
        <v/>
      </c>
      <c r="AE21" s="49" t="str">
        <f aca="false">IF(AND($D21=客户对账单!$B$3,$B21&gt;=客户对账单!$E$3,$B21&lt;=客户对账单!$H$3),COUNTIFS($D$5:$D21,客户对账单!$B$3,$B$5:$B21,"&gt;="&amp;客户对账单!$E$3,$B$5:$B21,"&lt;="&amp;客户对账单!$H$3),"")</f>
        <v/>
      </c>
    </row>
    <row r="22" customFormat="false" ht="15.75" hidden="false" customHeight="true" outlineLevel="0" collapsed="false">
      <c r="A22" s="42" t="str">
        <f aca="false">IF($B22="","","XS"&amp;TEXT($B22,"yyyymm")&amp;"-"&amp;TEXT(ROW()-4,"000"))</f>
        <v/>
      </c>
      <c r="B22" s="41"/>
      <c r="C22" s="42" t="str">
        <f aca="false">IF($B22="","",TEXT($B22,"yyyy-mm"))</f>
        <v/>
      </c>
      <c r="D22" s="32"/>
      <c r="E22" s="36"/>
      <c r="F22" s="43"/>
      <c r="G22" s="40"/>
      <c r="H22" s="51"/>
      <c r="I22" s="33"/>
      <c r="J22" s="33"/>
      <c r="K22" s="36"/>
      <c r="L22" s="47" t="str">
        <f aca="false">IF($B22="","",IF(NOT(ISNUMBER($B22)),"日期不是日期格式",IF(YEAR($B22)&lt;&gt;首页!$B$3,"不在会计年度",IF($D22="","未选客户",IF(ISNA(MATCH($D22,基础资料!$Z$6:$Z$155,0)),"客户不在档案",IF($E22="","未选商品",IF(ISNA(MATCH($E22,基础资料!$Q$6:$Q$205,0)),"商品不在档案",IF(NOT(ISNUMBER($F22)),"数量须为数字",IF(NOT(ISNUMBER($G22)),"单价须为数字",IF(N($F22)&lt;=0,"数量须大于0",IF(AND(IFERROR(INDEX(基础资料!$V$6:$V$205,MATCH($E22,基础资料!$Q$6:$Q$205,0)),"")="是",N($R22)=0),"无成本价·请先录采购或填参考成本",IF(N($T22)&lt;0,"毛利为负·请核对","√"))))))))))))</f>
        <v/>
      </c>
      <c r="M22" s="49" t="str">
        <f aca="false">IF($E22="","",IFERROR(INDEX(基础资料!$R$6:$R$205,MATCH($E22,基础资料!$Q$6:$Q$205,0)),""))</f>
        <v/>
      </c>
      <c r="N22" s="49" t="str">
        <f aca="false">IF($E22="","",IFERROR(INDEX(基础资料!$S$6:$S$205,MATCH($E22,基础资料!$Q$6:$Q$205,0)),""))</f>
        <v/>
      </c>
      <c r="O22" s="48" t="str">
        <f aca="false">IF(OR($F22="",$G22=""),"",ROUND(N($F22)*N($G22),2))</f>
        <v/>
      </c>
      <c r="P22" s="48" t="str">
        <f aca="false">IF($O22="","",ROUND(N($O22)*N($H22),2))</f>
        <v/>
      </c>
      <c r="Q22" s="48" t="str">
        <f aca="false">IF($O22="","",N($O22)+N($P22))</f>
        <v/>
      </c>
      <c r="R22" s="48" t="str">
        <f aca="false">IF(OR($E22="",$B22=""),"",IF(IFERROR(INDEX(基础资料!$V$6:$V$205,MATCH($E22,基础资料!$Q$6:$Q$205,0)),"")&lt;&gt;"是",0,IFERROR((SUMIFS(期初数据!$T$6:$T$205,期初数据!$O$6:$O$205,$E22)+SUMIFS(采购录入!$Q$5:$Q$404,采购录入!$E$5:$E$404,$E22,采购录入!$I$5:$I$404,"是",采购录入!$B$5:$B$404,"&lt;="&amp;$B22))/(SUMIFS(期初数据!$R$6:$R$205,期初数据!$O$6:$O$205,$E22)+SUMIFS(采购录入!$F$5:$F$404,采购录入!$E$5:$E$404,$E22,采购录入!$I$5:$I$404,"是",采购录入!$B$5:$B$404,"&lt;="&amp;$B22)),IFERROR(INDEX(基础资料!$U$6:$U$205,MATCH($E22,基础资料!$Q$6:$Q$205,0)),0))))</f>
        <v/>
      </c>
      <c r="S22" s="48" t="str">
        <f aca="false">IF($O22="","",ROUND(N($F22)*N($R22),2))</f>
        <v/>
      </c>
      <c r="T22" s="48" t="str">
        <f aca="false">IF($O22="","",N($O22)-N($S22))</f>
        <v/>
      </c>
      <c r="U22" s="52" t="str">
        <f aca="false">IF(OR($B22="",$D22=""),"",$B22+N(IFERROR(INDEX(基础资料!$AB$6:$AB$155,MATCH($D22,基础资料!$Z$6:$Z$155,0)),0)))</f>
        <v/>
      </c>
      <c r="V22" s="49" t="str">
        <f aca="false">IF($O22="","","1122")</f>
        <v/>
      </c>
      <c r="W22" s="49" t="str">
        <f aca="false">IF($O22="","","6001")</f>
        <v/>
      </c>
      <c r="X22" s="48" t="str">
        <f aca="false">IF($O22="","",$O22)</f>
        <v/>
      </c>
      <c r="Y22" s="49" t="str">
        <f aca="false">IF(N($P22)=0,"","1122")</f>
        <v/>
      </c>
      <c r="Z22" s="49" t="str">
        <f aca="false">IF(N($P22)=0,"","2221")</f>
        <v/>
      </c>
      <c r="AA22" s="48" t="str">
        <f aca="false">IF(N($P22)=0,"",$P22)</f>
        <v/>
      </c>
      <c r="AB22" s="49" t="str">
        <f aca="false">IF(N($S22)=0,"","6401")</f>
        <v/>
      </c>
      <c r="AC22" s="49" t="str">
        <f aca="false">IF(N($S22)=0,"","1405")</f>
        <v/>
      </c>
      <c r="AD22" s="48" t="str">
        <f aca="false">IF(N($S22)=0,"",$S22)</f>
        <v/>
      </c>
      <c r="AE22" s="49" t="str">
        <f aca="false">IF(AND($D22=客户对账单!$B$3,$B22&gt;=客户对账单!$E$3,$B22&lt;=客户对账单!$H$3),COUNTIFS($D$5:$D22,客户对账单!$B$3,$B$5:$B22,"&gt;="&amp;客户对账单!$E$3,$B$5:$B22,"&lt;="&amp;客户对账单!$H$3),"")</f>
        <v/>
      </c>
    </row>
    <row r="23" customFormat="false" ht="15.75" hidden="false" customHeight="true" outlineLevel="0" collapsed="false">
      <c r="A23" s="42" t="str">
        <f aca="false">IF($B23="","","XS"&amp;TEXT($B23,"yyyymm")&amp;"-"&amp;TEXT(ROW()-4,"000"))</f>
        <v/>
      </c>
      <c r="B23" s="41"/>
      <c r="C23" s="42" t="str">
        <f aca="false">IF($B23="","",TEXT($B23,"yyyy-mm"))</f>
        <v/>
      </c>
      <c r="D23" s="32"/>
      <c r="E23" s="36"/>
      <c r="F23" s="43"/>
      <c r="G23" s="40"/>
      <c r="H23" s="51"/>
      <c r="I23" s="33"/>
      <c r="J23" s="33"/>
      <c r="K23" s="36"/>
      <c r="L23" s="47" t="str">
        <f aca="false">IF($B23="","",IF(NOT(ISNUMBER($B23)),"日期不是日期格式",IF(YEAR($B23)&lt;&gt;首页!$B$3,"不在会计年度",IF($D23="","未选客户",IF(ISNA(MATCH($D23,基础资料!$Z$6:$Z$155,0)),"客户不在档案",IF($E23="","未选商品",IF(ISNA(MATCH($E23,基础资料!$Q$6:$Q$205,0)),"商品不在档案",IF(NOT(ISNUMBER($F23)),"数量须为数字",IF(NOT(ISNUMBER($G23)),"单价须为数字",IF(N($F23)&lt;=0,"数量须大于0",IF(AND(IFERROR(INDEX(基础资料!$V$6:$V$205,MATCH($E23,基础资料!$Q$6:$Q$205,0)),"")="是",N($R23)=0),"无成本价·请先录采购或填参考成本",IF(N($T23)&lt;0,"毛利为负·请核对","√"))))))))))))</f>
        <v/>
      </c>
      <c r="M23" s="49" t="str">
        <f aca="false">IF($E23="","",IFERROR(INDEX(基础资料!$R$6:$R$205,MATCH($E23,基础资料!$Q$6:$Q$205,0)),""))</f>
        <v/>
      </c>
      <c r="N23" s="49" t="str">
        <f aca="false">IF($E23="","",IFERROR(INDEX(基础资料!$S$6:$S$205,MATCH($E23,基础资料!$Q$6:$Q$205,0)),""))</f>
        <v/>
      </c>
      <c r="O23" s="48" t="str">
        <f aca="false">IF(OR($F23="",$G23=""),"",ROUND(N($F23)*N($G23),2))</f>
        <v/>
      </c>
      <c r="P23" s="48" t="str">
        <f aca="false">IF($O23="","",ROUND(N($O23)*N($H23),2))</f>
        <v/>
      </c>
      <c r="Q23" s="48" t="str">
        <f aca="false">IF($O23="","",N($O23)+N($P23))</f>
        <v/>
      </c>
      <c r="R23" s="48" t="str">
        <f aca="false">IF(OR($E23="",$B23=""),"",IF(IFERROR(INDEX(基础资料!$V$6:$V$205,MATCH($E23,基础资料!$Q$6:$Q$205,0)),"")&lt;&gt;"是",0,IFERROR((SUMIFS(期初数据!$T$6:$T$205,期初数据!$O$6:$O$205,$E23)+SUMIFS(采购录入!$Q$5:$Q$404,采购录入!$E$5:$E$404,$E23,采购录入!$I$5:$I$404,"是",采购录入!$B$5:$B$404,"&lt;="&amp;$B23))/(SUMIFS(期初数据!$R$6:$R$205,期初数据!$O$6:$O$205,$E23)+SUMIFS(采购录入!$F$5:$F$404,采购录入!$E$5:$E$404,$E23,采购录入!$I$5:$I$404,"是",采购录入!$B$5:$B$404,"&lt;="&amp;$B23)),IFERROR(INDEX(基础资料!$U$6:$U$205,MATCH($E23,基础资料!$Q$6:$Q$205,0)),0))))</f>
        <v/>
      </c>
      <c r="S23" s="48" t="str">
        <f aca="false">IF($O23="","",ROUND(N($F23)*N($R23),2))</f>
        <v/>
      </c>
      <c r="T23" s="48" t="str">
        <f aca="false">IF($O23="","",N($O23)-N($S23))</f>
        <v/>
      </c>
      <c r="U23" s="52" t="str">
        <f aca="false">IF(OR($B23="",$D23=""),"",$B23+N(IFERROR(INDEX(基础资料!$AB$6:$AB$155,MATCH($D23,基础资料!$Z$6:$Z$155,0)),0)))</f>
        <v/>
      </c>
      <c r="V23" s="49" t="str">
        <f aca="false">IF($O23="","","1122")</f>
        <v/>
      </c>
      <c r="W23" s="49" t="str">
        <f aca="false">IF($O23="","","6001")</f>
        <v/>
      </c>
      <c r="X23" s="48" t="str">
        <f aca="false">IF($O23="","",$O23)</f>
        <v/>
      </c>
      <c r="Y23" s="49" t="str">
        <f aca="false">IF(N($P23)=0,"","1122")</f>
        <v/>
      </c>
      <c r="Z23" s="49" t="str">
        <f aca="false">IF(N($P23)=0,"","2221")</f>
        <v/>
      </c>
      <c r="AA23" s="48" t="str">
        <f aca="false">IF(N($P23)=0,"",$P23)</f>
        <v/>
      </c>
      <c r="AB23" s="49" t="str">
        <f aca="false">IF(N($S23)=0,"","6401")</f>
        <v/>
      </c>
      <c r="AC23" s="49" t="str">
        <f aca="false">IF(N($S23)=0,"","1405")</f>
        <v/>
      </c>
      <c r="AD23" s="48" t="str">
        <f aca="false">IF(N($S23)=0,"",$S23)</f>
        <v/>
      </c>
      <c r="AE23" s="49" t="str">
        <f aca="false">IF(AND($D23=客户对账单!$B$3,$B23&gt;=客户对账单!$E$3,$B23&lt;=客户对账单!$H$3),COUNTIFS($D$5:$D23,客户对账单!$B$3,$B$5:$B23,"&gt;="&amp;客户对账单!$E$3,$B$5:$B23,"&lt;="&amp;客户对账单!$H$3),"")</f>
        <v/>
      </c>
    </row>
    <row r="24" customFormat="false" ht="15.75" hidden="false" customHeight="true" outlineLevel="0" collapsed="false">
      <c r="A24" s="42" t="str">
        <f aca="false">IF($B24="","","XS"&amp;TEXT($B24,"yyyymm")&amp;"-"&amp;TEXT(ROW()-4,"000"))</f>
        <v/>
      </c>
      <c r="B24" s="41"/>
      <c r="C24" s="42" t="str">
        <f aca="false">IF($B24="","",TEXT($B24,"yyyy-mm"))</f>
        <v/>
      </c>
      <c r="D24" s="32"/>
      <c r="E24" s="36"/>
      <c r="F24" s="43"/>
      <c r="G24" s="40"/>
      <c r="H24" s="51"/>
      <c r="I24" s="33"/>
      <c r="J24" s="33"/>
      <c r="K24" s="36"/>
      <c r="L24" s="47" t="str">
        <f aca="false">IF($B24="","",IF(NOT(ISNUMBER($B24)),"日期不是日期格式",IF(YEAR($B24)&lt;&gt;首页!$B$3,"不在会计年度",IF($D24="","未选客户",IF(ISNA(MATCH($D24,基础资料!$Z$6:$Z$155,0)),"客户不在档案",IF($E24="","未选商品",IF(ISNA(MATCH($E24,基础资料!$Q$6:$Q$205,0)),"商品不在档案",IF(NOT(ISNUMBER($F24)),"数量须为数字",IF(NOT(ISNUMBER($G24)),"单价须为数字",IF(N($F24)&lt;=0,"数量须大于0",IF(AND(IFERROR(INDEX(基础资料!$V$6:$V$205,MATCH($E24,基础资料!$Q$6:$Q$205,0)),"")="是",N($R24)=0),"无成本价·请先录采购或填参考成本",IF(N($T24)&lt;0,"毛利为负·请核对","√"))))))))))))</f>
        <v/>
      </c>
      <c r="M24" s="49" t="str">
        <f aca="false">IF($E24="","",IFERROR(INDEX(基础资料!$R$6:$R$205,MATCH($E24,基础资料!$Q$6:$Q$205,0)),""))</f>
        <v/>
      </c>
      <c r="N24" s="49" t="str">
        <f aca="false">IF($E24="","",IFERROR(INDEX(基础资料!$S$6:$S$205,MATCH($E24,基础资料!$Q$6:$Q$205,0)),""))</f>
        <v/>
      </c>
      <c r="O24" s="48" t="str">
        <f aca="false">IF(OR($F24="",$G24=""),"",ROUND(N($F24)*N($G24),2))</f>
        <v/>
      </c>
      <c r="P24" s="48" t="str">
        <f aca="false">IF($O24="","",ROUND(N($O24)*N($H24),2))</f>
        <v/>
      </c>
      <c r="Q24" s="48" t="str">
        <f aca="false">IF($O24="","",N($O24)+N($P24))</f>
        <v/>
      </c>
      <c r="R24" s="48" t="str">
        <f aca="false">IF(OR($E24="",$B24=""),"",IF(IFERROR(INDEX(基础资料!$V$6:$V$205,MATCH($E24,基础资料!$Q$6:$Q$205,0)),"")&lt;&gt;"是",0,IFERROR((SUMIFS(期初数据!$T$6:$T$205,期初数据!$O$6:$O$205,$E24)+SUMIFS(采购录入!$Q$5:$Q$404,采购录入!$E$5:$E$404,$E24,采购录入!$I$5:$I$404,"是",采购录入!$B$5:$B$404,"&lt;="&amp;$B24))/(SUMIFS(期初数据!$R$6:$R$205,期初数据!$O$6:$O$205,$E24)+SUMIFS(采购录入!$F$5:$F$404,采购录入!$E$5:$E$404,$E24,采购录入!$I$5:$I$404,"是",采购录入!$B$5:$B$404,"&lt;="&amp;$B24)),IFERROR(INDEX(基础资料!$U$6:$U$205,MATCH($E24,基础资料!$Q$6:$Q$205,0)),0))))</f>
        <v/>
      </c>
      <c r="S24" s="48" t="str">
        <f aca="false">IF($O24="","",ROUND(N($F24)*N($R24),2))</f>
        <v/>
      </c>
      <c r="T24" s="48" t="str">
        <f aca="false">IF($O24="","",N($O24)-N($S24))</f>
        <v/>
      </c>
      <c r="U24" s="52" t="str">
        <f aca="false">IF(OR($B24="",$D24=""),"",$B24+N(IFERROR(INDEX(基础资料!$AB$6:$AB$155,MATCH($D24,基础资料!$Z$6:$Z$155,0)),0)))</f>
        <v/>
      </c>
      <c r="V24" s="49" t="str">
        <f aca="false">IF($O24="","","1122")</f>
        <v/>
      </c>
      <c r="W24" s="49" t="str">
        <f aca="false">IF($O24="","","6001")</f>
        <v/>
      </c>
      <c r="X24" s="48" t="str">
        <f aca="false">IF($O24="","",$O24)</f>
        <v/>
      </c>
      <c r="Y24" s="49" t="str">
        <f aca="false">IF(N($P24)=0,"","1122")</f>
        <v/>
      </c>
      <c r="Z24" s="49" t="str">
        <f aca="false">IF(N($P24)=0,"","2221")</f>
        <v/>
      </c>
      <c r="AA24" s="48" t="str">
        <f aca="false">IF(N($P24)=0,"",$P24)</f>
        <v/>
      </c>
      <c r="AB24" s="49" t="str">
        <f aca="false">IF(N($S24)=0,"","6401")</f>
        <v/>
      </c>
      <c r="AC24" s="49" t="str">
        <f aca="false">IF(N($S24)=0,"","1405")</f>
        <v/>
      </c>
      <c r="AD24" s="48" t="str">
        <f aca="false">IF(N($S24)=0,"",$S24)</f>
        <v/>
      </c>
      <c r="AE24" s="49" t="str">
        <f aca="false">IF(AND($D24=客户对账单!$B$3,$B24&gt;=客户对账单!$E$3,$B24&lt;=客户对账单!$H$3),COUNTIFS($D$5:$D24,客户对账单!$B$3,$B$5:$B24,"&gt;="&amp;客户对账单!$E$3,$B$5:$B24,"&lt;="&amp;客户对账单!$H$3),"")</f>
        <v/>
      </c>
    </row>
    <row r="25" customFormat="false" ht="15.75" hidden="false" customHeight="true" outlineLevel="0" collapsed="false">
      <c r="A25" s="42" t="str">
        <f aca="false">IF($B25="","","XS"&amp;TEXT($B25,"yyyymm")&amp;"-"&amp;TEXT(ROW()-4,"000"))</f>
        <v/>
      </c>
      <c r="B25" s="41"/>
      <c r="C25" s="42" t="str">
        <f aca="false">IF($B25="","",TEXT($B25,"yyyy-mm"))</f>
        <v/>
      </c>
      <c r="D25" s="32"/>
      <c r="E25" s="36"/>
      <c r="F25" s="43"/>
      <c r="G25" s="40"/>
      <c r="H25" s="51"/>
      <c r="I25" s="33"/>
      <c r="J25" s="33"/>
      <c r="K25" s="36"/>
      <c r="L25" s="47" t="str">
        <f aca="false">IF($B25="","",IF(NOT(ISNUMBER($B25)),"日期不是日期格式",IF(YEAR($B25)&lt;&gt;首页!$B$3,"不在会计年度",IF($D25="","未选客户",IF(ISNA(MATCH($D25,基础资料!$Z$6:$Z$155,0)),"客户不在档案",IF($E25="","未选商品",IF(ISNA(MATCH($E25,基础资料!$Q$6:$Q$205,0)),"商品不在档案",IF(NOT(ISNUMBER($F25)),"数量须为数字",IF(NOT(ISNUMBER($G25)),"单价须为数字",IF(N($F25)&lt;=0,"数量须大于0",IF(AND(IFERROR(INDEX(基础资料!$V$6:$V$205,MATCH($E25,基础资料!$Q$6:$Q$205,0)),"")="是",N($R25)=0),"无成本价·请先录采购或填参考成本",IF(N($T25)&lt;0,"毛利为负·请核对","√"))))))))))))</f>
        <v/>
      </c>
      <c r="M25" s="49" t="str">
        <f aca="false">IF($E25="","",IFERROR(INDEX(基础资料!$R$6:$R$205,MATCH($E25,基础资料!$Q$6:$Q$205,0)),""))</f>
        <v/>
      </c>
      <c r="N25" s="49" t="str">
        <f aca="false">IF($E25="","",IFERROR(INDEX(基础资料!$S$6:$S$205,MATCH($E25,基础资料!$Q$6:$Q$205,0)),""))</f>
        <v/>
      </c>
      <c r="O25" s="48" t="str">
        <f aca="false">IF(OR($F25="",$G25=""),"",ROUND(N($F25)*N($G25),2))</f>
        <v/>
      </c>
      <c r="P25" s="48" t="str">
        <f aca="false">IF($O25="","",ROUND(N($O25)*N($H25),2))</f>
        <v/>
      </c>
      <c r="Q25" s="48" t="str">
        <f aca="false">IF($O25="","",N($O25)+N($P25))</f>
        <v/>
      </c>
      <c r="R25" s="48" t="str">
        <f aca="false">IF(OR($E25="",$B25=""),"",IF(IFERROR(INDEX(基础资料!$V$6:$V$205,MATCH($E25,基础资料!$Q$6:$Q$205,0)),"")&lt;&gt;"是",0,IFERROR((SUMIFS(期初数据!$T$6:$T$205,期初数据!$O$6:$O$205,$E25)+SUMIFS(采购录入!$Q$5:$Q$404,采购录入!$E$5:$E$404,$E25,采购录入!$I$5:$I$404,"是",采购录入!$B$5:$B$404,"&lt;="&amp;$B25))/(SUMIFS(期初数据!$R$6:$R$205,期初数据!$O$6:$O$205,$E25)+SUMIFS(采购录入!$F$5:$F$404,采购录入!$E$5:$E$404,$E25,采购录入!$I$5:$I$404,"是",采购录入!$B$5:$B$404,"&lt;="&amp;$B25)),IFERROR(INDEX(基础资料!$U$6:$U$205,MATCH($E25,基础资料!$Q$6:$Q$205,0)),0))))</f>
        <v/>
      </c>
      <c r="S25" s="48" t="str">
        <f aca="false">IF($O25="","",ROUND(N($F25)*N($R25),2))</f>
        <v/>
      </c>
      <c r="T25" s="48" t="str">
        <f aca="false">IF($O25="","",N($O25)-N($S25))</f>
        <v/>
      </c>
      <c r="U25" s="52" t="str">
        <f aca="false">IF(OR($B25="",$D25=""),"",$B25+N(IFERROR(INDEX(基础资料!$AB$6:$AB$155,MATCH($D25,基础资料!$Z$6:$Z$155,0)),0)))</f>
        <v/>
      </c>
      <c r="V25" s="49" t="str">
        <f aca="false">IF($O25="","","1122")</f>
        <v/>
      </c>
      <c r="W25" s="49" t="str">
        <f aca="false">IF($O25="","","6001")</f>
        <v/>
      </c>
      <c r="X25" s="48" t="str">
        <f aca="false">IF($O25="","",$O25)</f>
        <v/>
      </c>
      <c r="Y25" s="49" t="str">
        <f aca="false">IF(N($P25)=0,"","1122")</f>
        <v/>
      </c>
      <c r="Z25" s="49" t="str">
        <f aca="false">IF(N($P25)=0,"","2221")</f>
        <v/>
      </c>
      <c r="AA25" s="48" t="str">
        <f aca="false">IF(N($P25)=0,"",$P25)</f>
        <v/>
      </c>
      <c r="AB25" s="49" t="str">
        <f aca="false">IF(N($S25)=0,"","6401")</f>
        <v/>
      </c>
      <c r="AC25" s="49" t="str">
        <f aca="false">IF(N($S25)=0,"","1405")</f>
        <v/>
      </c>
      <c r="AD25" s="48" t="str">
        <f aca="false">IF(N($S25)=0,"",$S25)</f>
        <v/>
      </c>
      <c r="AE25" s="49" t="str">
        <f aca="false">IF(AND($D25=客户对账单!$B$3,$B25&gt;=客户对账单!$E$3,$B25&lt;=客户对账单!$H$3),COUNTIFS($D$5:$D25,客户对账单!$B$3,$B$5:$B25,"&gt;="&amp;客户对账单!$E$3,$B$5:$B25,"&lt;="&amp;客户对账单!$H$3),"")</f>
        <v/>
      </c>
    </row>
    <row r="26" customFormat="false" ht="15.75" hidden="false" customHeight="true" outlineLevel="0" collapsed="false">
      <c r="A26" s="42" t="str">
        <f aca="false">IF($B26="","","XS"&amp;TEXT($B26,"yyyymm")&amp;"-"&amp;TEXT(ROW()-4,"000"))</f>
        <v/>
      </c>
      <c r="B26" s="41"/>
      <c r="C26" s="42" t="str">
        <f aca="false">IF($B26="","",TEXT($B26,"yyyy-mm"))</f>
        <v/>
      </c>
      <c r="D26" s="32"/>
      <c r="E26" s="36"/>
      <c r="F26" s="43"/>
      <c r="G26" s="40"/>
      <c r="H26" s="51"/>
      <c r="I26" s="33"/>
      <c r="J26" s="33"/>
      <c r="K26" s="36"/>
      <c r="L26" s="47" t="str">
        <f aca="false">IF($B26="","",IF(NOT(ISNUMBER($B26)),"日期不是日期格式",IF(YEAR($B26)&lt;&gt;首页!$B$3,"不在会计年度",IF($D26="","未选客户",IF(ISNA(MATCH($D26,基础资料!$Z$6:$Z$155,0)),"客户不在档案",IF($E26="","未选商品",IF(ISNA(MATCH($E26,基础资料!$Q$6:$Q$205,0)),"商品不在档案",IF(NOT(ISNUMBER($F26)),"数量须为数字",IF(NOT(ISNUMBER($G26)),"单价须为数字",IF(N($F26)&lt;=0,"数量须大于0",IF(AND(IFERROR(INDEX(基础资料!$V$6:$V$205,MATCH($E26,基础资料!$Q$6:$Q$205,0)),"")="是",N($R26)=0),"无成本价·请先录采购或填参考成本",IF(N($T26)&lt;0,"毛利为负·请核对","√"))))))))))))</f>
        <v/>
      </c>
      <c r="M26" s="49" t="str">
        <f aca="false">IF($E26="","",IFERROR(INDEX(基础资料!$R$6:$R$205,MATCH($E26,基础资料!$Q$6:$Q$205,0)),""))</f>
        <v/>
      </c>
      <c r="N26" s="49" t="str">
        <f aca="false">IF($E26="","",IFERROR(INDEX(基础资料!$S$6:$S$205,MATCH($E26,基础资料!$Q$6:$Q$205,0)),""))</f>
        <v/>
      </c>
      <c r="O26" s="48" t="str">
        <f aca="false">IF(OR($F26="",$G26=""),"",ROUND(N($F26)*N($G26),2))</f>
        <v/>
      </c>
      <c r="P26" s="48" t="str">
        <f aca="false">IF($O26="","",ROUND(N($O26)*N($H26),2))</f>
        <v/>
      </c>
      <c r="Q26" s="48" t="str">
        <f aca="false">IF($O26="","",N($O26)+N($P26))</f>
        <v/>
      </c>
      <c r="R26" s="48" t="str">
        <f aca="false">IF(OR($E26="",$B26=""),"",IF(IFERROR(INDEX(基础资料!$V$6:$V$205,MATCH($E26,基础资料!$Q$6:$Q$205,0)),"")&lt;&gt;"是",0,IFERROR((SUMIFS(期初数据!$T$6:$T$205,期初数据!$O$6:$O$205,$E26)+SUMIFS(采购录入!$Q$5:$Q$404,采购录入!$E$5:$E$404,$E26,采购录入!$I$5:$I$404,"是",采购录入!$B$5:$B$404,"&lt;="&amp;$B26))/(SUMIFS(期初数据!$R$6:$R$205,期初数据!$O$6:$O$205,$E26)+SUMIFS(采购录入!$F$5:$F$404,采购录入!$E$5:$E$404,$E26,采购录入!$I$5:$I$404,"是",采购录入!$B$5:$B$404,"&lt;="&amp;$B26)),IFERROR(INDEX(基础资料!$U$6:$U$205,MATCH($E26,基础资料!$Q$6:$Q$205,0)),0))))</f>
        <v/>
      </c>
      <c r="S26" s="48" t="str">
        <f aca="false">IF($O26="","",ROUND(N($F26)*N($R26),2))</f>
        <v/>
      </c>
      <c r="T26" s="48" t="str">
        <f aca="false">IF($O26="","",N($O26)-N($S26))</f>
        <v/>
      </c>
      <c r="U26" s="52" t="str">
        <f aca="false">IF(OR($B26="",$D26=""),"",$B26+N(IFERROR(INDEX(基础资料!$AB$6:$AB$155,MATCH($D26,基础资料!$Z$6:$Z$155,0)),0)))</f>
        <v/>
      </c>
      <c r="V26" s="49" t="str">
        <f aca="false">IF($O26="","","1122")</f>
        <v/>
      </c>
      <c r="W26" s="49" t="str">
        <f aca="false">IF($O26="","","6001")</f>
        <v/>
      </c>
      <c r="X26" s="48" t="str">
        <f aca="false">IF($O26="","",$O26)</f>
        <v/>
      </c>
      <c r="Y26" s="49" t="str">
        <f aca="false">IF(N($P26)=0,"","1122")</f>
        <v/>
      </c>
      <c r="Z26" s="49" t="str">
        <f aca="false">IF(N($P26)=0,"","2221")</f>
        <v/>
      </c>
      <c r="AA26" s="48" t="str">
        <f aca="false">IF(N($P26)=0,"",$P26)</f>
        <v/>
      </c>
      <c r="AB26" s="49" t="str">
        <f aca="false">IF(N($S26)=0,"","6401")</f>
        <v/>
      </c>
      <c r="AC26" s="49" t="str">
        <f aca="false">IF(N($S26)=0,"","1405")</f>
        <v/>
      </c>
      <c r="AD26" s="48" t="str">
        <f aca="false">IF(N($S26)=0,"",$S26)</f>
        <v/>
      </c>
      <c r="AE26" s="49" t="str">
        <f aca="false">IF(AND($D26=客户对账单!$B$3,$B26&gt;=客户对账单!$E$3,$B26&lt;=客户对账单!$H$3),COUNTIFS($D$5:$D26,客户对账单!$B$3,$B$5:$B26,"&gt;="&amp;客户对账单!$E$3,$B$5:$B26,"&lt;="&amp;客户对账单!$H$3),"")</f>
        <v/>
      </c>
    </row>
    <row r="27" customFormat="false" ht="15.75" hidden="false" customHeight="true" outlineLevel="0" collapsed="false">
      <c r="A27" s="42" t="str">
        <f aca="false">IF($B27="","","XS"&amp;TEXT($B27,"yyyymm")&amp;"-"&amp;TEXT(ROW()-4,"000"))</f>
        <v/>
      </c>
      <c r="B27" s="41"/>
      <c r="C27" s="42" t="str">
        <f aca="false">IF($B27="","",TEXT($B27,"yyyy-mm"))</f>
        <v/>
      </c>
      <c r="D27" s="32"/>
      <c r="E27" s="36"/>
      <c r="F27" s="43"/>
      <c r="G27" s="40"/>
      <c r="H27" s="51"/>
      <c r="I27" s="33"/>
      <c r="J27" s="33"/>
      <c r="K27" s="36"/>
      <c r="L27" s="47" t="str">
        <f aca="false">IF($B27="","",IF(NOT(ISNUMBER($B27)),"日期不是日期格式",IF(YEAR($B27)&lt;&gt;首页!$B$3,"不在会计年度",IF($D27="","未选客户",IF(ISNA(MATCH($D27,基础资料!$Z$6:$Z$155,0)),"客户不在档案",IF($E27="","未选商品",IF(ISNA(MATCH($E27,基础资料!$Q$6:$Q$205,0)),"商品不在档案",IF(NOT(ISNUMBER($F27)),"数量须为数字",IF(NOT(ISNUMBER($G27)),"单价须为数字",IF(N($F27)&lt;=0,"数量须大于0",IF(AND(IFERROR(INDEX(基础资料!$V$6:$V$205,MATCH($E27,基础资料!$Q$6:$Q$205,0)),"")="是",N($R27)=0),"无成本价·请先录采购或填参考成本",IF(N($T27)&lt;0,"毛利为负·请核对","√"))))))))))))</f>
        <v/>
      </c>
      <c r="M27" s="49" t="str">
        <f aca="false">IF($E27="","",IFERROR(INDEX(基础资料!$R$6:$R$205,MATCH($E27,基础资料!$Q$6:$Q$205,0)),""))</f>
        <v/>
      </c>
      <c r="N27" s="49" t="str">
        <f aca="false">IF($E27="","",IFERROR(INDEX(基础资料!$S$6:$S$205,MATCH($E27,基础资料!$Q$6:$Q$205,0)),""))</f>
        <v/>
      </c>
      <c r="O27" s="48" t="str">
        <f aca="false">IF(OR($F27="",$G27=""),"",ROUND(N($F27)*N($G27),2))</f>
        <v/>
      </c>
      <c r="P27" s="48" t="str">
        <f aca="false">IF($O27="","",ROUND(N($O27)*N($H27),2))</f>
        <v/>
      </c>
      <c r="Q27" s="48" t="str">
        <f aca="false">IF($O27="","",N($O27)+N($P27))</f>
        <v/>
      </c>
      <c r="R27" s="48" t="str">
        <f aca="false">IF(OR($E27="",$B27=""),"",IF(IFERROR(INDEX(基础资料!$V$6:$V$205,MATCH($E27,基础资料!$Q$6:$Q$205,0)),"")&lt;&gt;"是",0,IFERROR((SUMIFS(期初数据!$T$6:$T$205,期初数据!$O$6:$O$205,$E27)+SUMIFS(采购录入!$Q$5:$Q$404,采购录入!$E$5:$E$404,$E27,采购录入!$I$5:$I$404,"是",采购录入!$B$5:$B$404,"&lt;="&amp;$B27))/(SUMIFS(期初数据!$R$6:$R$205,期初数据!$O$6:$O$205,$E27)+SUMIFS(采购录入!$F$5:$F$404,采购录入!$E$5:$E$404,$E27,采购录入!$I$5:$I$404,"是",采购录入!$B$5:$B$404,"&lt;="&amp;$B27)),IFERROR(INDEX(基础资料!$U$6:$U$205,MATCH($E27,基础资料!$Q$6:$Q$205,0)),0))))</f>
        <v/>
      </c>
      <c r="S27" s="48" t="str">
        <f aca="false">IF($O27="","",ROUND(N($F27)*N($R27),2))</f>
        <v/>
      </c>
      <c r="T27" s="48" t="str">
        <f aca="false">IF($O27="","",N($O27)-N($S27))</f>
        <v/>
      </c>
      <c r="U27" s="52" t="str">
        <f aca="false">IF(OR($B27="",$D27=""),"",$B27+N(IFERROR(INDEX(基础资料!$AB$6:$AB$155,MATCH($D27,基础资料!$Z$6:$Z$155,0)),0)))</f>
        <v/>
      </c>
      <c r="V27" s="49" t="str">
        <f aca="false">IF($O27="","","1122")</f>
        <v/>
      </c>
      <c r="W27" s="49" t="str">
        <f aca="false">IF($O27="","","6001")</f>
        <v/>
      </c>
      <c r="X27" s="48" t="str">
        <f aca="false">IF($O27="","",$O27)</f>
        <v/>
      </c>
      <c r="Y27" s="49" t="str">
        <f aca="false">IF(N($P27)=0,"","1122")</f>
        <v/>
      </c>
      <c r="Z27" s="49" t="str">
        <f aca="false">IF(N($P27)=0,"","2221")</f>
        <v/>
      </c>
      <c r="AA27" s="48" t="str">
        <f aca="false">IF(N($P27)=0,"",$P27)</f>
        <v/>
      </c>
      <c r="AB27" s="49" t="str">
        <f aca="false">IF(N($S27)=0,"","6401")</f>
        <v/>
      </c>
      <c r="AC27" s="49" t="str">
        <f aca="false">IF(N($S27)=0,"","1405")</f>
        <v/>
      </c>
      <c r="AD27" s="48" t="str">
        <f aca="false">IF(N($S27)=0,"",$S27)</f>
        <v/>
      </c>
      <c r="AE27" s="49" t="str">
        <f aca="false">IF(AND($D27=客户对账单!$B$3,$B27&gt;=客户对账单!$E$3,$B27&lt;=客户对账单!$H$3),COUNTIFS($D$5:$D27,客户对账单!$B$3,$B$5:$B27,"&gt;="&amp;客户对账单!$E$3,$B$5:$B27,"&lt;="&amp;客户对账单!$H$3),"")</f>
        <v/>
      </c>
    </row>
    <row r="28" customFormat="false" ht="15.75" hidden="false" customHeight="true" outlineLevel="0" collapsed="false">
      <c r="A28" s="42" t="str">
        <f aca="false">IF($B28="","","XS"&amp;TEXT($B28,"yyyymm")&amp;"-"&amp;TEXT(ROW()-4,"000"))</f>
        <v/>
      </c>
      <c r="B28" s="41"/>
      <c r="C28" s="42" t="str">
        <f aca="false">IF($B28="","",TEXT($B28,"yyyy-mm"))</f>
        <v/>
      </c>
      <c r="D28" s="32"/>
      <c r="E28" s="36"/>
      <c r="F28" s="43"/>
      <c r="G28" s="40"/>
      <c r="H28" s="51"/>
      <c r="I28" s="33"/>
      <c r="J28" s="33"/>
      <c r="K28" s="36"/>
      <c r="L28" s="47" t="str">
        <f aca="false">IF($B28="","",IF(NOT(ISNUMBER($B28)),"日期不是日期格式",IF(YEAR($B28)&lt;&gt;首页!$B$3,"不在会计年度",IF($D28="","未选客户",IF(ISNA(MATCH($D28,基础资料!$Z$6:$Z$155,0)),"客户不在档案",IF($E28="","未选商品",IF(ISNA(MATCH($E28,基础资料!$Q$6:$Q$205,0)),"商品不在档案",IF(NOT(ISNUMBER($F28)),"数量须为数字",IF(NOT(ISNUMBER($G28)),"单价须为数字",IF(N($F28)&lt;=0,"数量须大于0",IF(AND(IFERROR(INDEX(基础资料!$V$6:$V$205,MATCH($E28,基础资料!$Q$6:$Q$205,0)),"")="是",N($R28)=0),"无成本价·请先录采购或填参考成本",IF(N($T28)&lt;0,"毛利为负·请核对","√"))))))))))))</f>
        <v/>
      </c>
      <c r="M28" s="49" t="str">
        <f aca="false">IF($E28="","",IFERROR(INDEX(基础资料!$R$6:$R$205,MATCH($E28,基础资料!$Q$6:$Q$205,0)),""))</f>
        <v/>
      </c>
      <c r="N28" s="49" t="str">
        <f aca="false">IF($E28="","",IFERROR(INDEX(基础资料!$S$6:$S$205,MATCH($E28,基础资料!$Q$6:$Q$205,0)),""))</f>
        <v/>
      </c>
      <c r="O28" s="48" t="str">
        <f aca="false">IF(OR($F28="",$G28=""),"",ROUND(N($F28)*N($G28),2))</f>
        <v/>
      </c>
      <c r="P28" s="48" t="str">
        <f aca="false">IF($O28="","",ROUND(N($O28)*N($H28),2))</f>
        <v/>
      </c>
      <c r="Q28" s="48" t="str">
        <f aca="false">IF($O28="","",N($O28)+N($P28))</f>
        <v/>
      </c>
      <c r="R28" s="48" t="str">
        <f aca="false">IF(OR($E28="",$B28=""),"",IF(IFERROR(INDEX(基础资料!$V$6:$V$205,MATCH($E28,基础资料!$Q$6:$Q$205,0)),"")&lt;&gt;"是",0,IFERROR((SUMIFS(期初数据!$T$6:$T$205,期初数据!$O$6:$O$205,$E28)+SUMIFS(采购录入!$Q$5:$Q$404,采购录入!$E$5:$E$404,$E28,采购录入!$I$5:$I$404,"是",采购录入!$B$5:$B$404,"&lt;="&amp;$B28))/(SUMIFS(期初数据!$R$6:$R$205,期初数据!$O$6:$O$205,$E28)+SUMIFS(采购录入!$F$5:$F$404,采购录入!$E$5:$E$404,$E28,采购录入!$I$5:$I$404,"是",采购录入!$B$5:$B$404,"&lt;="&amp;$B28)),IFERROR(INDEX(基础资料!$U$6:$U$205,MATCH($E28,基础资料!$Q$6:$Q$205,0)),0))))</f>
        <v/>
      </c>
      <c r="S28" s="48" t="str">
        <f aca="false">IF($O28="","",ROUND(N($F28)*N($R28),2))</f>
        <v/>
      </c>
      <c r="T28" s="48" t="str">
        <f aca="false">IF($O28="","",N($O28)-N($S28))</f>
        <v/>
      </c>
      <c r="U28" s="52" t="str">
        <f aca="false">IF(OR($B28="",$D28=""),"",$B28+N(IFERROR(INDEX(基础资料!$AB$6:$AB$155,MATCH($D28,基础资料!$Z$6:$Z$155,0)),0)))</f>
        <v/>
      </c>
      <c r="V28" s="49" t="str">
        <f aca="false">IF($O28="","","1122")</f>
        <v/>
      </c>
      <c r="W28" s="49" t="str">
        <f aca="false">IF($O28="","","6001")</f>
        <v/>
      </c>
      <c r="X28" s="48" t="str">
        <f aca="false">IF($O28="","",$O28)</f>
        <v/>
      </c>
      <c r="Y28" s="49" t="str">
        <f aca="false">IF(N($P28)=0,"","1122")</f>
        <v/>
      </c>
      <c r="Z28" s="49" t="str">
        <f aca="false">IF(N($P28)=0,"","2221")</f>
        <v/>
      </c>
      <c r="AA28" s="48" t="str">
        <f aca="false">IF(N($P28)=0,"",$P28)</f>
        <v/>
      </c>
      <c r="AB28" s="49" t="str">
        <f aca="false">IF(N($S28)=0,"","6401")</f>
        <v/>
      </c>
      <c r="AC28" s="49" t="str">
        <f aca="false">IF(N($S28)=0,"","1405")</f>
        <v/>
      </c>
      <c r="AD28" s="48" t="str">
        <f aca="false">IF(N($S28)=0,"",$S28)</f>
        <v/>
      </c>
      <c r="AE28" s="49" t="str">
        <f aca="false">IF(AND($D28=客户对账单!$B$3,$B28&gt;=客户对账单!$E$3,$B28&lt;=客户对账单!$H$3),COUNTIFS($D$5:$D28,客户对账单!$B$3,$B$5:$B28,"&gt;="&amp;客户对账单!$E$3,$B$5:$B28,"&lt;="&amp;客户对账单!$H$3),"")</f>
        <v/>
      </c>
    </row>
    <row r="29" customFormat="false" ht="15.75" hidden="false" customHeight="true" outlineLevel="0" collapsed="false">
      <c r="A29" s="42" t="str">
        <f aca="false">IF($B29="","","XS"&amp;TEXT($B29,"yyyymm")&amp;"-"&amp;TEXT(ROW()-4,"000"))</f>
        <v/>
      </c>
      <c r="B29" s="41"/>
      <c r="C29" s="42" t="str">
        <f aca="false">IF($B29="","",TEXT($B29,"yyyy-mm"))</f>
        <v/>
      </c>
      <c r="D29" s="32"/>
      <c r="E29" s="36"/>
      <c r="F29" s="43"/>
      <c r="G29" s="40"/>
      <c r="H29" s="51"/>
      <c r="I29" s="33"/>
      <c r="J29" s="33"/>
      <c r="K29" s="36"/>
      <c r="L29" s="47" t="str">
        <f aca="false">IF($B29="","",IF(NOT(ISNUMBER($B29)),"日期不是日期格式",IF(YEAR($B29)&lt;&gt;首页!$B$3,"不在会计年度",IF($D29="","未选客户",IF(ISNA(MATCH($D29,基础资料!$Z$6:$Z$155,0)),"客户不在档案",IF($E29="","未选商品",IF(ISNA(MATCH($E29,基础资料!$Q$6:$Q$205,0)),"商品不在档案",IF(NOT(ISNUMBER($F29)),"数量须为数字",IF(NOT(ISNUMBER($G29)),"单价须为数字",IF(N($F29)&lt;=0,"数量须大于0",IF(AND(IFERROR(INDEX(基础资料!$V$6:$V$205,MATCH($E29,基础资料!$Q$6:$Q$205,0)),"")="是",N($R29)=0),"无成本价·请先录采购或填参考成本",IF(N($T29)&lt;0,"毛利为负·请核对","√"))))))))))))</f>
        <v/>
      </c>
      <c r="M29" s="49" t="str">
        <f aca="false">IF($E29="","",IFERROR(INDEX(基础资料!$R$6:$R$205,MATCH($E29,基础资料!$Q$6:$Q$205,0)),""))</f>
        <v/>
      </c>
      <c r="N29" s="49" t="str">
        <f aca="false">IF($E29="","",IFERROR(INDEX(基础资料!$S$6:$S$205,MATCH($E29,基础资料!$Q$6:$Q$205,0)),""))</f>
        <v/>
      </c>
      <c r="O29" s="48" t="str">
        <f aca="false">IF(OR($F29="",$G29=""),"",ROUND(N($F29)*N($G29),2))</f>
        <v/>
      </c>
      <c r="P29" s="48" t="str">
        <f aca="false">IF($O29="","",ROUND(N($O29)*N($H29),2))</f>
        <v/>
      </c>
      <c r="Q29" s="48" t="str">
        <f aca="false">IF($O29="","",N($O29)+N($P29))</f>
        <v/>
      </c>
      <c r="R29" s="48" t="str">
        <f aca="false">IF(OR($E29="",$B29=""),"",IF(IFERROR(INDEX(基础资料!$V$6:$V$205,MATCH($E29,基础资料!$Q$6:$Q$205,0)),"")&lt;&gt;"是",0,IFERROR((SUMIFS(期初数据!$T$6:$T$205,期初数据!$O$6:$O$205,$E29)+SUMIFS(采购录入!$Q$5:$Q$404,采购录入!$E$5:$E$404,$E29,采购录入!$I$5:$I$404,"是",采购录入!$B$5:$B$404,"&lt;="&amp;$B29))/(SUMIFS(期初数据!$R$6:$R$205,期初数据!$O$6:$O$205,$E29)+SUMIFS(采购录入!$F$5:$F$404,采购录入!$E$5:$E$404,$E29,采购录入!$I$5:$I$404,"是",采购录入!$B$5:$B$404,"&lt;="&amp;$B29)),IFERROR(INDEX(基础资料!$U$6:$U$205,MATCH($E29,基础资料!$Q$6:$Q$205,0)),0))))</f>
        <v/>
      </c>
      <c r="S29" s="48" t="str">
        <f aca="false">IF($O29="","",ROUND(N($F29)*N($R29),2))</f>
        <v/>
      </c>
      <c r="T29" s="48" t="str">
        <f aca="false">IF($O29="","",N($O29)-N($S29))</f>
        <v/>
      </c>
      <c r="U29" s="52" t="str">
        <f aca="false">IF(OR($B29="",$D29=""),"",$B29+N(IFERROR(INDEX(基础资料!$AB$6:$AB$155,MATCH($D29,基础资料!$Z$6:$Z$155,0)),0)))</f>
        <v/>
      </c>
      <c r="V29" s="49" t="str">
        <f aca="false">IF($O29="","","1122")</f>
        <v/>
      </c>
      <c r="W29" s="49" t="str">
        <f aca="false">IF($O29="","","6001")</f>
        <v/>
      </c>
      <c r="X29" s="48" t="str">
        <f aca="false">IF($O29="","",$O29)</f>
        <v/>
      </c>
      <c r="Y29" s="49" t="str">
        <f aca="false">IF(N($P29)=0,"","1122")</f>
        <v/>
      </c>
      <c r="Z29" s="49" t="str">
        <f aca="false">IF(N($P29)=0,"","2221")</f>
        <v/>
      </c>
      <c r="AA29" s="48" t="str">
        <f aca="false">IF(N($P29)=0,"",$P29)</f>
        <v/>
      </c>
      <c r="AB29" s="49" t="str">
        <f aca="false">IF(N($S29)=0,"","6401")</f>
        <v/>
      </c>
      <c r="AC29" s="49" t="str">
        <f aca="false">IF(N($S29)=0,"","1405")</f>
        <v/>
      </c>
      <c r="AD29" s="48" t="str">
        <f aca="false">IF(N($S29)=0,"",$S29)</f>
        <v/>
      </c>
      <c r="AE29" s="49" t="str">
        <f aca="false">IF(AND($D29=客户对账单!$B$3,$B29&gt;=客户对账单!$E$3,$B29&lt;=客户对账单!$H$3),COUNTIFS($D$5:$D29,客户对账单!$B$3,$B$5:$B29,"&gt;="&amp;客户对账单!$E$3,$B$5:$B29,"&lt;="&amp;客户对账单!$H$3),"")</f>
        <v/>
      </c>
    </row>
    <row r="30" customFormat="false" ht="15.75" hidden="false" customHeight="true" outlineLevel="0" collapsed="false">
      <c r="A30" s="42" t="str">
        <f aca="false">IF($B30="","","XS"&amp;TEXT($B30,"yyyymm")&amp;"-"&amp;TEXT(ROW()-4,"000"))</f>
        <v/>
      </c>
      <c r="B30" s="41"/>
      <c r="C30" s="42" t="str">
        <f aca="false">IF($B30="","",TEXT($B30,"yyyy-mm"))</f>
        <v/>
      </c>
      <c r="D30" s="32"/>
      <c r="E30" s="36"/>
      <c r="F30" s="43"/>
      <c r="G30" s="40"/>
      <c r="H30" s="51"/>
      <c r="I30" s="33"/>
      <c r="J30" s="33"/>
      <c r="K30" s="36"/>
      <c r="L30" s="47" t="str">
        <f aca="false">IF($B30="","",IF(NOT(ISNUMBER($B30)),"日期不是日期格式",IF(YEAR($B30)&lt;&gt;首页!$B$3,"不在会计年度",IF($D30="","未选客户",IF(ISNA(MATCH($D30,基础资料!$Z$6:$Z$155,0)),"客户不在档案",IF($E30="","未选商品",IF(ISNA(MATCH($E30,基础资料!$Q$6:$Q$205,0)),"商品不在档案",IF(NOT(ISNUMBER($F30)),"数量须为数字",IF(NOT(ISNUMBER($G30)),"单价须为数字",IF(N($F30)&lt;=0,"数量须大于0",IF(AND(IFERROR(INDEX(基础资料!$V$6:$V$205,MATCH($E30,基础资料!$Q$6:$Q$205,0)),"")="是",N($R30)=0),"无成本价·请先录采购或填参考成本",IF(N($T30)&lt;0,"毛利为负·请核对","√"))))))))))))</f>
        <v/>
      </c>
      <c r="M30" s="49" t="str">
        <f aca="false">IF($E30="","",IFERROR(INDEX(基础资料!$R$6:$R$205,MATCH($E30,基础资料!$Q$6:$Q$205,0)),""))</f>
        <v/>
      </c>
      <c r="N30" s="49" t="str">
        <f aca="false">IF($E30="","",IFERROR(INDEX(基础资料!$S$6:$S$205,MATCH($E30,基础资料!$Q$6:$Q$205,0)),""))</f>
        <v/>
      </c>
      <c r="O30" s="48" t="str">
        <f aca="false">IF(OR($F30="",$G30=""),"",ROUND(N($F30)*N($G30),2))</f>
        <v/>
      </c>
      <c r="P30" s="48" t="str">
        <f aca="false">IF($O30="","",ROUND(N($O30)*N($H30),2))</f>
        <v/>
      </c>
      <c r="Q30" s="48" t="str">
        <f aca="false">IF($O30="","",N($O30)+N($P30))</f>
        <v/>
      </c>
      <c r="R30" s="48" t="str">
        <f aca="false">IF(OR($E30="",$B30=""),"",IF(IFERROR(INDEX(基础资料!$V$6:$V$205,MATCH($E30,基础资料!$Q$6:$Q$205,0)),"")&lt;&gt;"是",0,IFERROR((SUMIFS(期初数据!$T$6:$T$205,期初数据!$O$6:$O$205,$E30)+SUMIFS(采购录入!$Q$5:$Q$404,采购录入!$E$5:$E$404,$E30,采购录入!$I$5:$I$404,"是",采购录入!$B$5:$B$404,"&lt;="&amp;$B30))/(SUMIFS(期初数据!$R$6:$R$205,期初数据!$O$6:$O$205,$E30)+SUMIFS(采购录入!$F$5:$F$404,采购录入!$E$5:$E$404,$E30,采购录入!$I$5:$I$404,"是",采购录入!$B$5:$B$404,"&lt;="&amp;$B30)),IFERROR(INDEX(基础资料!$U$6:$U$205,MATCH($E30,基础资料!$Q$6:$Q$205,0)),0))))</f>
        <v/>
      </c>
      <c r="S30" s="48" t="str">
        <f aca="false">IF($O30="","",ROUND(N($F30)*N($R30),2))</f>
        <v/>
      </c>
      <c r="T30" s="48" t="str">
        <f aca="false">IF($O30="","",N($O30)-N($S30))</f>
        <v/>
      </c>
      <c r="U30" s="52" t="str">
        <f aca="false">IF(OR($B30="",$D30=""),"",$B30+N(IFERROR(INDEX(基础资料!$AB$6:$AB$155,MATCH($D30,基础资料!$Z$6:$Z$155,0)),0)))</f>
        <v/>
      </c>
      <c r="V30" s="49" t="str">
        <f aca="false">IF($O30="","","1122")</f>
        <v/>
      </c>
      <c r="W30" s="49" t="str">
        <f aca="false">IF($O30="","","6001")</f>
        <v/>
      </c>
      <c r="X30" s="48" t="str">
        <f aca="false">IF($O30="","",$O30)</f>
        <v/>
      </c>
      <c r="Y30" s="49" t="str">
        <f aca="false">IF(N($P30)=0,"","1122")</f>
        <v/>
      </c>
      <c r="Z30" s="49" t="str">
        <f aca="false">IF(N($P30)=0,"","2221")</f>
        <v/>
      </c>
      <c r="AA30" s="48" t="str">
        <f aca="false">IF(N($P30)=0,"",$P30)</f>
        <v/>
      </c>
      <c r="AB30" s="49" t="str">
        <f aca="false">IF(N($S30)=0,"","6401")</f>
        <v/>
      </c>
      <c r="AC30" s="49" t="str">
        <f aca="false">IF(N($S30)=0,"","1405")</f>
        <v/>
      </c>
      <c r="AD30" s="48" t="str">
        <f aca="false">IF(N($S30)=0,"",$S30)</f>
        <v/>
      </c>
      <c r="AE30" s="49" t="str">
        <f aca="false">IF(AND($D30=客户对账单!$B$3,$B30&gt;=客户对账单!$E$3,$B30&lt;=客户对账单!$H$3),COUNTIFS($D$5:$D30,客户对账单!$B$3,$B$5:$B30,"&gt;="&amp;客户对账单!$E$3,$B$5:$B30,"&lt;="&amp;客户对账单!$H$3),"")</f>
        <v/>
      </c>
    </row>
    <row r="31" customFormat="false" ht="15.75" hidden="false" customHeight="true" outlineLevel="0" collapsed="false">
      <c r="A31" s="42" t="str">
        <f aca="false">IF($B31="","","XS"&amp;TEXT($B31,"yyyymm")&amp;"-"&amp;TEXT(ROW()-4,"000"))</f>
        <v/>
      </c>
      <c r="B31" s="41"/>
      <c r="C31" s="42" t="str">
        <f aca="false">IF($B31="","",TEXT($B31,"yyyy-mm"))</f>
        <v/>
      </c>
      <c r="D31" s="32"/>
      <c r="E31" s="36"/>
      <c r="F31" s="43"/>
      <c r="G31" s="40"/>
      <c r="H31" s="51"/>
      <c r="I31" s="33"/>
      <c r="J31" s="33"/>
      <c r="K31" s="36"/>
      <c r="L31" s="47" t="str">
        <f aca="false">IF($B31="","",IF(NOT(ISNUMBER($B31)),"日期不是日期格式",IF(YEAR($B31)&lt;&gt;首页!$B$3,"不在会计年度",IF($D31="","未选客户",IF(ISNA(MATCH($D31,基础资料!$Z$6:$Z$155,0)),"客户不在档案",IF($E31="","未选商品",IF(ISNA(MATCH($E31,基础资料!$Q$6:$Q$205,0)),"商品不在档案",IF(NOT(ISNUMBER($F31)),"数量须为数字",IF(NOT(ISNUMBER($G31)),"单价须为数字",IF(N($F31)&lt;=0,"数量须大于0",IF(AND(IFERROR(INDEX(基础资料!$V$6:$V$205,MATCH($E31,基础资料!$Q$6:$Q$205,0)),"")="是",N($R31)=0),"无成本价·请先录采购或填参考成本",IF(N($T31)&lt;0,"毛利为负·请核对","√"))))))))))))</f>
        <v/>
      </c>
      <c r="M31" s="49" t="str">
        <f aca="false">IF($E31="","",IFERROR(INDEX(基础资料!$R$6:$R$205,MATCH($E31,基础资料!$Q$6:$Q$205,0)),""))</f>
        <v/>
      </c>
      <c r="N31" s="49" t="str">
        <f aca="false">IF($E31="","",IFERROR(INDEX(基础资料!$S$6:$S$205,MATCH($E31,基础资料!$Q$6:$Q$205,0)),""))</f>
        <v/>
      </c>
      <c r="O31" s="48" t="str">
        <f aca="false">IF(OR($F31="",$G31=""),"",ROUND(N($F31)*N($G31),2))</f>
        <v/>
      </c>
      <c r="P31" s="48" t="str">
        <f aca="false">IF($O31="","",ROUND(N($O31)*N($H31),2))</f>
        <v/>
      </c>
      <c r="Q31" s="48" t="str">
        <f aca="false">IF($O31="","",N($O31)+N($P31))</f>
        <v/>
      </c>
      <c r="R31" s="48" t="str">
        <f aca="false">IF(OR($E31="",$B31=""),"",IF(IFERROR(INDEX(基础资料!$V$6:$V$205,MATCH($E31,基础资料!$Q$6:$Q$205,0)),"")&lt;&gt;"是",0,IFERROR((SUMIFS(期初数据!$T$6:$T$205,期初数据!$O$6:$O$205,$E31)+SUMIFS(采购录入!$Q$5:$Q$404,采购录入!$E$5:$E$404,$E31,采购录入!$I$5:$I$404,"是",采购录入!$B$5:$B$404,"&lt;="&amp;$B31))/(SUMIFS(期初数据!$R$6:$R$205,期初数据!$O$6:$O$205,$E31)+SUMIFS(采购录入!$F$5:$F$404,采购录入!$E$5:$E$404,$E31,采购录入!$I$5:$I$404,"是",采购录入!$B$5:$B$404,"&lt;="&amp;$B31)),IFERROR(INDEX(基础资料!$U$6:$U$205,MATCH($E31,基础资料!$Q$6:$Q$205,0)),0))))</f>
        <v/>
      </c>
      <c r="S31" s="48" t="str">
        <f aca="false">IF($O31="","",ROUND(N($F31)*N($R31),2))</f>
        <v/>
      </c>
      <c r="T31" s="48" t="str">
        <f aca="false">IF($O31="","",N($O31)-N($S31))</f>
        <v/>
      </c>
      <c r="U31" s="52" t="str">
        <f aca="false">IF(OR($B31="",$D31=""),"",$B31+N(IFERROR(INDEX(基础资料!$AB$6:$AB$155,MATCH($D31,基础资料!$Z$6:$Z$155,0)),0)))</f>
        <v/>
      </c>
      <c r="V31" s="49" t="str">
        <f aca="false">IF($O31="","","1122")</f>
        <v/>
      </c>
      <c r="W31" s="49" t="str">
        <f aca="false">IF($O31="","","6001")</f>
        <v/>
      </c>
      <c r="X31" s="48" t="str">
        <f aca="false">IF($O31="","",$O31)</f>
        <v/>
      </c>
      <c r="Y31" s="49" t="str">
        <f aca="false">IF(N($P31)=0,"","1122")</f>
        <v/>
      </c>
      <c r="Z31" s="49" t="str">
        <f aca="false">IF(N($P31)=0,"","2221")</f>
        <v/>
      </c>
      <c r="AA31" s="48" t="str">
        <f aca="false">IF(N($P31)=0,"",$P31)</f>
        <v/>
      </c>
      <c r="AB31" s="49" t="str">
        <f aca="false">IF(N($S31)=0,"","6401")</f>
        <v/>
      </c>
      <c r="AC31" s="49" t="str">
        <f aca="false">IF(N($S31)=0,"","1405")</f>
        <v/>
      </c>
      <c r="AD31" s="48" t="str">
        <f aca="false">IF(N($S31)=0,"",$S31)</f>
        <v/>
      </c>
      <c r="AE31" s="49" t="str">
        <f aca="false">IF(AND($D31=客户对账单!$B$3,$B31&gt;=客户对账单!$E$3,$B31&lt;=客户对账单!$H$3),COUNTIFS($D$5:$D31,客户对账单!$B$3,$B$5:$B31,"&gt;="&amp;客户对账单!$E$3,$B$5:$B31,"&lt;="&amp;客户对账单!$H$3),"")</f>
        <v/>
      </c>
    </row>
    <row r="32" customFormat="false" ht="15.75" hidden="false" customHeight="true" outlineLevel="0" collapsed="false">
      <c r="A32" s="42" t="str">
        <f aca="false">IF($B32="","","XS"&amp;TEXT($B32,"yyyymm")&amp;"-"&amp;TEXT(ROW()-4,"000"))</f>
        <v/>
      </c>
      <c r="B32" s="41"/>
      <c r="C32" s="42" t="str">
        <f aca="false">IF($B32="","",TEXT($B32,"yyyy-mm"))</f>
        <v/>
      </c>
      <c r="D32" s="32"/>
      <c r="E32" s="36"/>
      <c r="F32" s="43"/>
      <c r="G32" s="40"/>
      <c r="H32" s="51"/>
      <c r="I32" s="33"/>
      <c r="J32" s="33"/>
      <c r="K32" s="36"/>
      <c r="L32" s="47" t="str">
        <f aca="false">IF($B32="","",IF(NOT(ISNUMBER($B32)),"日期不是日期格式",IF(YEAR($B32)&lt;&gt;首页!$B$3,"不在会计年度",IF($D32="","未选客户",IF(ISNA(MATCH($D32,基础资料!$Z$6:$Z$155,0)),"客户不在档案",IF($E32="","未选商品",IF(ISNA(MATCH($E32,基础资料!$Q$6:$Q$205,0)),"商品不在档案",IF(NOT(ISNUMBER($F32)),"数量须为数字",IF(NOT(ISNUMBER($G32)),"单价须为数字",IF(N($F32)&lt;=0,"数量须大于0",IF(AND(IFERROR(INDEX(基础资料!$V$6:$V$205,MATCH($E32,基础资料!$Q$6:$Q$205,0)),"")="是",N($R32)=0),"无成本价·请先录采购或填参考成本",IF(N($T32)&lt;0,"毛利为负·请核对","√"))))))))))))</f>
        <v/>
      </c>
      <c r="M32" s="49" t="str">
        <f aca="false">IF($E32="","",IFERROR(INDEX(基础资料!$R$6:$R$205,MATCH($E32,基础资料!$Q$6:$Q$205,0)),""))</f>
        <v/>
      </c>
      <c r="N32" s="49" t="str">
        <f aca="false">IF($E32="","",IFERROR(INDEX(基础资料!$S$6:$S$205,MATCH($E32,基础资料!$Q$6:$Q$205,0)),""))</f>
        <v/>
      </c>
      <c r="O32" s="48" t="str">
        <f aca="false">IF(OR($F32="",$G32=""),"",ROUND(N($F32)*N($G32),2))</f>
        <v/>
      </c>
      <c r="P32" s="48" t="str">
        <f aca="false">IF($O32="","",ROUND(N($O32)*N($H32),2))</f>
        <v/>
      </c>
      <c r="Q32" s="48" t="str">
        <f aca="false">IF($O32="","",N($O32)+N($P32))</f>
        <v/>
      </c>
      <c r="R32" s="48" t="str">
        <f aca="false">IF(OR($E32="",$B32=""),"",IF(IFERROR(INDEX(基础资料!$V$6:$V$205,MATCH($E32,基础资料!$Q$6:$Q$205,0)),"")&lt;&gt;"是",0,IFERROR((SUMIFS(期初数据!$T$6:$T$205,期初数据!$O$6:$O$205,$E32)+SUMIFS(采购录入!$Q$5:$Q$404,采购录入!$E$5:$E$404,$E32,采购录入!$I$5:$I$404,"是",采购录入!$B$5:$B$404,"&lt;="&amp;$B32))/(SUMIFS(期初数据!$R$6:$R$205,期初数据!$O$6:$O$205,$E32)+SUMIFS(采购录入!$F$5:$F$404,采购录入!$E$5:$E$404,$E32,采购录入!$I$5:$I$404,"是",采购录入!$B$5:$B$404,"&lt;="&amp;$B32)),IFERROR(INDEX(基础资料!$U$6:$U$205,MATCH($E32,基础资料!$Q$6:$Q$205,0)),0))))</f>
        <v/>
      </c>
      <c r="S32" s="48" t="str">
        <f aca="false">IF($O32="","",ROUND(N($F32)*N($R32),2))</f>
        <v/>
      </c>
      <c r="T32" s="48" t="str">
        <f aca="false">IF($O32="","",N($O32)-N($S32))</f>
        <v/>
      </c>
      <c r="U32" s="52" t="str">
        <f aca="false">IF(OR($B32="",$D32=""),"",$B32+N(IFERROR(INDEX(基础资料!$AB$6:$AB$155,MATCH($D32,基础资料!$Z$6:$Z$155,0)),0)))</f>
        <v/>
      </c>
      <c r="V32" s="49" t="str">
        <f aca="false">IF($O32="","","1122")</f>
        <v/>
      </c>
      <c r="W32" s="49" t="str">
        <f aca="false">IF($O32="","","6001")</f>
        <v/>
      </c>
      <c r="X32" s="48" t="str">
        <f aca="false">IF($O32="","",$O32)</f>
        <v/>
      </c>
      <c r="Y32" s="49" t="str">
        <f aca="false">IF(N($P32)=0,"","1122")</f>
        <v/>
      </c>
      <c r="Z32" s="49" t="str">
        <f aca="false">IF(N($P32)=0,"","2221")</f>
        <v/>
      </c>
      <c r="AA32" s="48" t="str">
        <f aca="false">IF(N($P32)=0,"",$P32)</f>
        <v/>
      </c>
      <c r="AB32" s="49" t="str">
        <f aca="false">IF(N($S32)=0,"","6401")</f>
        <v/>
      </c>
      <c r="AC32" s="49" t="str">
        <f aca="false">IF(N($S32)=0,"","1405")</f>
        <v/>
      </c>
      <c r="AD32" s="48" t="str">
        <f aca="false">IF(N($S32)=0,"",$S32)</f>
        <v/>
      </c>
      <c r="AE32" s="49" t="str">
        <f aca="false">IF(AND($D32=客户对账单!$B$3,$B32&gt;=客户对账单!$E$3,$B32&lt;=客户对账单!$H$3),COUNTIFS($D$5:$D32,客户对账单!$B$3,$B$5:$B32,"&gt;="&amp;客户对账单!$E$3,$B$5:$B32,"&lt;="&amp;客户对账单!$H$3),"")</f>
        <v/>
      </c>
    </row>
    <row r="33" customFormat="false" ht="15.75" hidden="false" customHeight="true" outlineLevel="0" collapsed="false">
      <c r="A33" s="42" t="str">
        <f aca="false">IF($B33="","","XS"&amp;TEXT($B33,"yyyymm")&amp;"-"&amp;TEXT(ROW()-4,"000"))</f>
        <v/>
      </c>
      <c r="B33" s="41"/>
      <c r="C33" s="42" t="str">
        <f aca="false">IF($B33="","",TEXT($B33,"yyyy-mm"))</f>
        <v/>
      </c>
      <c r="D33" s="32"/>
      <c r="E33" s="36"/>
      <c r="F33" s="43"/>
      <c r="G33" s="40"/>
      <c r="H33" s="51"/>
      <c r="I33" s="33"/>
      <c r="J33" s="33"/>
      <c r="K33" s="36"/>
      <c r="L33" s="47" t="str">
        <f aca="false">IF($B33="","",IF(NOT(ISNUMBER($B33)),"日期不是日期格式",IF(YEAR($B33)&lt;&gt;首页!$B$3,"不在会计年度",IF($D33="","未选客户",IF(ISNA(MATCH($D33,基础资料!$Z$6:$Z$155,0)),"客户不在档案",IF($E33="","未选商品",IF(ISNA(MATCH($E33,基础资料!$Q$6:$Q$205,0)),"商品不在档案",IF(NOT(ISNUMBER($F33)),"数量须为数字",IF(NOT(ISNUMBER($G33)),"单价须为数字",IF(N($F33)&lt;=0,"数量须大于0",IF(AND(IFERROR(INDEX(基础资料!$V$6:$V$205,MATCH($E33,基础资料!$Q$6:$Q$205,0)),"")="是",N($R33)=0),"无成本价·请先录采购或填参考成本",IF(N($T33)&lt;0,"毛利为负·请核对","√"))))))))))))</f>
        <v/>
      </c>
      <c r="M33" s="49" t="str">
        <f aca="false">IF($E33="","",IFERROR(INDEX(基础资料!$R$6:$R$205,MATCH($E33,基础资料!$Q$6:$Q$205,0)),""))</f>
        <v/>
      </c>
      <c r="N33" s="49" t="str">
        <f aca="false">IF($E33="","",IFERROR(INDEX(基础资料!$S$6:$S$205,MATCH($E33,基础资料!$Q$6:$Q$205,0)),""))</f>
        <v/>
      </c>
      <c r="O33" s="48" t="str">
        <f aca="false">IF(OR($F33="",$G33=""),"",ROUND(N($F33)*N($G33),2))</f>
        <v/>
      </c>
      <c r="P33" s="48" t="str">
        <f aca="false">IF($O33="","",ROUND(N($O33)*N($H33),2))</f>
        <v/>
      </c>
      <c r="Q33" s="48" t="str">
        <f aca="false">IF($O33="","",N($O33)+N($P33))</f>
        <v/>
      </c>
      <c r="R33" s="48" t="str">
        <f aca="false">IF(OR($E33="",$B33=""),"",IF(IFERROR(INDEX(基础资料!$V$6:$V$205,MATCH($E33,基础资料!$Q$6:$Q$205,0)),"")&lt;&gt;"是",0,IFERROR((SUMIFS(期初数据!$T$6:$T$205,期初数据!$O$6:$O$205,$E33)+SUMIFS(采购录入!$Q$5:$Q$404,采购录入!$E$5:$E$404,$E33,采购录入!$I$5:$I$404,"是",采购录入!$B$5:$B$404,"&lt;="&amp;$B33))/(SUMIFS(期初数据!$R$6:$R$205,期初数据!$O$6:$O$205,$E33)+SUMIFS(采购录入!$F$5:$F$404,采购录入!$E$5:$E$404,$E33,采购录入!$I$5:$I$404,"是",采购录入!$B$5:$B$404,"&lt;="&amp;$B33)),IFERROR(INDEX(基础资料!$U$6:$U$205,MATCH($E33,基础资料!$Q$6:$Q$205,0)),0))))</f>
        <v/>
      </c>
      <c r="S33" s="48" t="str">
        <f aca="false">IF($O33="","",ROUND(N($F33)*N($R33),2))</f>
        <v/>
      </c>
      <c r="T33" s="48" t="str">
        <f aca="false">IF($O33="","",N($O33)-N($S33))</f>
        <v/>
      </c>
      <c r="U33" s="52" t="str">
        <f aca="false">IF(OR($B33="",$D33=""),"",$B33+N(IFERROR(INDEX(基础资料!$AB$6:$AB$155,MATCH($D33,基础资料!$Z$6:$Z$155,0)),0)))</f>
        <v/>
      </c>
      <c r="V33" s="49" t="str">
        <f aca="false">IF($O33="","","1122")</f>
        <v/>
      </c>
      <c r="W33" s="49" t="str">
        <f aca="false">IF($O33="","","6001")</f>
        <v/>
      </c>
      <c r="X33" s="48" t="str">
        <f aca="false">IF($O33="","",$O33)</f>
        <v/>
      </c>
      <c r="Y33" s="49" t="str">
        <f aca="false">IF(N($P33)=0,"","1122")</f>
        <v/>
      </c>
      <c r="Z33" s="49" t="str">
        <f aca="false">IF(N($P33)=0,"","2221")</f>
        <v/>
      </c>
      <c r="AA33" s="48" t="str">
        <f aca="false">IF(N($P33)=0,"",$P33)</f>
        <v/>
      </c>
      <c r="AB33" s="49" t="str">
        <f aca="false">IF(N($S33)=0,"","6401")</f>
        <v/>
      </c>
      <c r="AC33" s="49" t="str">
        <f aca="false">IF(N($S33)=0,"","1405")</f>
        <v/>
      </c>
      <c r="AD33" s="48" t="str">
        <f aca="false">IF(N($S33)=0,"",$S33)</f>
        <v/>
      </c>
      <c r="AE33" s="49" t="str">
        <f aca="false">IF(AND($D33=客户对账单!$B$3,$B33&gt;=客户对账单!$E$3,$B33&lt;=客户对账单!$H$3),COUNTIFS($D$5:$D33,客户对账单!$B$3,$B$5:$B33,"&gt;="&amp;客户对账单!$E$3,$B$5:$B33,"&lt;="&amp;客户对账单!$H$3),"")</f>
        <v/>
      </c>
    </row>
    <row r="34" customFormat="false" ht="15.75" hidden="false" customHeight="true" outlineLevel="0" collapsed="false">
      <c r="A34" s="42" t="str">
        <f aca="false">IF($B34="","","XS"&amp;TEXT($B34,"yyyymm")&amp;"-"&amp;TEXT(ROW()-4,"000"))</f>
        <v/>
      </c>
      <c r="B34" s="41"/>
      <c r="C34" s="42" t="str">
        <f aca="false">IF($B34="","",TEXT($B34,"yyyy-mm"))</f>
        <v/>
      </c>
      <c r="D34" s="32"/>
      <c r="E34" s="36"/>
      <c r="F34" s="43"/>
      <c r="G34" s="40"/>
      <c r="H34" s="51"/>
      <c r="I34" s="33"/>
      <c r="J34" s="33"/>
      <c r="K34" s="36"/>
      <c r="L34" s="47" t="str">
        <f aca="false">IF($B34="","",IF(NOT(ISNUMBER($B34)),"日期不是日期格式",IF(YEAR($B34)&lt;&gt;首页!$B$3,"不在会计年度",IF($D34="","未选客户",IF(ISNA(MATCH($D34,基础资料!$Z$6:$Z$155,0)),"客户不在档案",IF($E34="","未选商品",IF(ISNA(MATCH($E34,基础资料!$Q$6:$Q$205,0)),"商品不在档案",IF(NOT(ISNUMBER($F34)),"数量须为数字",IF(NOT(ISNUMBER($G34)),"单价须为数字",IF(N($F34)&lt;=0,"数量须大于0",IF(AND(IFERROR(INDEX(基础资料!$V$6:$V$205,MATCH($E34,基础资料!$Q$6:$Q$205,0)),"")="是",N($R34)=0),"无成本价·请先录采购或填参考成本",IF(N($T34)&lt;0,"毛利为负·请核对","√"))))))))))))</f>
        <v/>
      </c>
      <c r="M34" s="49" t="str">
        <f aca="false">IF($E34="","",IFERROR(INDEX(基础资料!$R$6:$R$205,MATCH($E34,基础资料!$Q$6:$Q$205,0)),""))</f>
        <v/>
      </c>
      <c r="N34" s="49" t="str">
        <f aca="false">IF($E34="","",IFERROR(INDEX(基础资料!$S$6:$S$205,MATCH($E34,基础资料!$Q$6:$Q$205,0)),""))</f>
        <v/>
      </c>
      <c r="O34" s="48" t="str">
        <f aca="false">IF(OR($F34="",$G34=""),"",ROUND(N($F34)*N($G34),2))</f>
        <v/>
      </c>
      <c r="P34" s="48" t="str">
        <f aca="false">IF($O34="","",ROUND(N($O34)*N($H34),2))</f>
        <v/>
      </c>
      <c r="Q34" s="48" t="str">
        <f aca="false">IF($O34="","",N($O34)+N($P34))</f>
        <v/>
      </c>
      <c r="R34" s="48" t="str">
        <f aca="false">IF(OR($E34="",$B34=""),"",IF(IFERROR(INDEX(基础资料!$V$6:$V$205,MATCH($E34,基础资料!$Q$6:$Q$205,0)),"")&lt;&gt;"是",0,IFERROR((SUMIFS(期初数据!$T$6:$T$205,期初数据!$O$6:$O$205,$E34)+SUMIFS(采购录入!$Q$5:$Q$404,采购录入!$E$5:$E$404,$E34,采购录入!$I$5:$I$404,"是",采购录入!$B$5:$B$404,"&lt;="&amp;$B34))/(SUMIFS(期初数据!$R$6:$R$205,期初数据!$O$6:$O$205,$E34)+SUMIFS(采购录入!$F$5:$F$404,采购录入!$E$5:$E$404,$E34,采购录入!$I$5:$I$404,"是",采购录入!$B$5:$B$404,"&lt;="&amp;$B34)),IFERROR(INDEX(基础资料!$U$6:$U$205,MATCH($E34,基础资料!$Q$6:$Q$205,0)),0))))</f>
        <v/>
      </c>
      <c r="S34" s="48" t="str">
        <f aca="false">IF($O34="","",ROUND(N($F34)*N($R34),2))</f>
        <v/>
      </c>
      <c r="T34" s="48" t="str">
        <f aca="false">IF($O34="","",N($O34)-N($S34))</f>
        <v/>
      </c>
      <c r="U34" s="52" t="str">
        <f aca="false">IF(OR($B34="",$D34=""),"",$B34+N(IFERROR(INDEX(基础资料!$AB$6:$AB$155,MATCH($D34,基础资料!$Z$6:$Z$155,0)),0)))</f>
        <v/>
      </c>
      <c r="V34" s="49" t="str">
        <f aca="false">IF($O34="","","1122")</f>
        <v/>
      </c>
      <c r="W34" s="49" t="str">
        <f aca="false">IF($O34="","","6001")</f>
        <v/>
      </c>
      <c r="X34" s="48" t="str">
        <f aca="false">IF($O34="","",$O34)</f>
        <v/>
      </c>
      <c r="Y34" s="49" t="str">
        <f aca="false">IF(N($P34)=0,"","1122")</f>
        <v/>
      </c>
      <c r="Z34" s="49" t="str">
        <f aca="false">IF(N($P34)=0,"","2221")</f>
        <v/>
      </c>
      <c r="AA34" s="48" t="str">
        <f aca="false">IF(N($P34)=0,"",$P34)</f>
        <v/>
      </c>
      <c r="AB34" s="49" t="str">
        <f aca="false">IF(N($S34)=0,"","6401")</f>
        <v/>
      </c>
      <c r="AC34" s="49" t="str">
        <f aca="false">IF(N($S34)=0,"","1405")</f>
        <v/>
      </c>
      <c r="AD34" s="48" t="str">
        <f aca="false">IF(N($S34)=0,"",$S34)</f>
        <v/>
      </c>
      <c r="AE34" s="49" t="str">
        <f aca="false">IF(AND($D34=客户对账单!$B$3,$B34&gt;=客户对账单!$E$3,$B34&lt;=客户对账单!$H$3),COUNTIFS($D$5:$D34,客户对账单!$B$3,$B$5:$B34,"&gt;="&amp;客户对账单!$E$3,$B$5:$B34,"&lt;="&amp;客户对账单!$H$3),"")</f>
        <v/>
      </c>
    </row>
    <row r="35" customFormat="false" ht="15.75" hidden="false" customHeight="true" outlineLevel="0" collapsed="false">
      <c r="A35" s="42" t="str">
        <f aca="false">IF($B35="","","XS"&amp;TEXT($B35,"yyyymm")&amp;"-"&amp;TEXT(ROW()-4,"000"))</f>
        <v/>
      </c>
      <c r="B35" s="41"/>
      <c r="C35" s="42" t="str">
        <f aca="false">IF($B35="","",TEXT($B35,"yyyy-mm"))</f>
        <v/>
      </c>
      <c r="D35" s="32"/>
      <c r="E35" s="36"/>
      <c r="F35" s="43"/>
      <c r="G35" s="40"/>
      <c r="H35" s="51"/>
      <c r="I35" s="33"/>
      <c r="J35" s="33"/>
      <c r="K35" s="36"/>
      <c r="L35" s="47" t="str">
        <f aca="false">IF($B35="","",IF(NOT(ISNUMBER($B35)),"日期不是日期格式",IF(YEAR($B35)&lt;&gt;首页!$B$3,"不在会计年度",IF($D35="","未选客户",IF(ISNA(MATCH($D35,基础资料!$Z$6:$Z$155,0)),"客户不在档案",IF($E35="","未选商品",IF(ISNA(MATCH($E35,基础资料!$Q$6:$Q$205,0)),"商品不在档案",IF(NOT(ISNUMBER($F35)),"数量须为数字",IF(NOT(ISNUMBER($G35)),"单价须为数字",IF(N($F35)&lt;=0,"数量须大于0",IF(AND(IFERROR(INDEX(基础资料!$V$6:$V$205,MATCH($E35,基础资料!$Q$6:$Q$205,0)),"")="是",N($R35)=0),"无成本价·请先录采购或填参考成本",IF(N($T35)&lt;0,"毛利为负·请核对","√"))))))))))))</f>
        <v/>
      </c>
      <c r="M35" s="49" t="str">
        <f aca="false">IF($E35="","",IFERROR(INDEX(基础资料!$R$6:$R$205,MATCH($E35,基础资料!$Q$6:$Q$205,0)),""))</f>
        <v/>
      </c>
      <c r="N35" s="49" t="str">
        <f aca="false">IF($E35="","",IFERROR(INDEX(基础资料!$S$6:$S$205,MATCH($E35,基础资料!$Q$6:$Q$205,0)),""))</f>
        <v/>
      </c>
      <c r="O35" s="48" t="str">
        <f aca="false">IF(OR($F35="",$G35=""),"",ROUND(N($F35)*N($G35),2))</f>
        <v/>
      </c>
      <c r="P35" s="48" t="str">
        <f aca="false">IF($O35="","",ROUND(N($O35)*N($H35),2))</f>
        <v/>
      </c>
      <c r="Q35" s="48" t="str">
        <f aca="false">IF($O35="","",N($O35)+N($P35))</f>
        <v/>
      </c>
      <c r="R35" s="48" t="str">
        <f aca="false">IF(OR($E35="",$B35=""),"",IF(IFERROR(INDEX(基础资料!$V$6:$V$205,MATCH($E35,基础资料!$Q$6:$Q$205,0)),"")&lt;&gt;"是",0,IFERROR((SUMIFS(期初数据!$T$6:$T$205,期初数据!$O$6:$O$205,$E35)+SUMIFS(采购录入!$Q$5:$Q$404,采购录入!$E$5:$E$404,$E35,采购录入!$I$5:$I$404,"是",采购录入!$B$5:$B$404,"&lt;="&amp;$B35))/(SUMIFS(期初数据!$R$6:$R$205,期初数据!$O$6:$O$205,$E35)+SUMIFS(采购录入!$F$5:$F$404,采购录入!$E$5:$E$404,$E35,采购录入!$I$5:$I$404,"是",采购录入!$B$5:$B$404,"&lt;="&amp;$B35)),IFERROR(INDEX(基础资料!$U$6:$U$205,MATCH($E35,基础资料!$Q$6:$Q$205,0)),0))))</f>
        <v/>
      </c>
      <c r="S35" s="48" t="str">
        <f aca="false">IF($O35="","",ROUND(N($F35)*N($R35),2))</f>
        <v/>
      </c>
      <c r="T35" s="48" t="str">
        <f aca="false">IF($O35="","",N($O35)-N($S35))</f>
        <v/>
      </c>
      <c r="U35" s="52" t="str">
        <f aca="false">IF(OR($B35="",$D35=""),"",$B35+N(IFERROR(INDEX(基础资料!$AB$6:$AB$155,MATCH($D35,基础资料!$Z$6:$Z$155,0)),0)))</f>
        <v/>
      </c>
      <c r="V35" s="49" t="str">
        <f aca="false">IF($O35="","","1122")</f>
        <v/>
      </c>
      <c r="W35" s="49" t="str">
        <f aca="false">IF($O35="","","6001")</f>
        <v/>
      </c>
      <c r="X35" s="48" t="str">
        <f aca="false">IF($O35="","",$O35)</f>
        <v/>
      </c>
      <c r="Y35" s="49" t="str">
        <f aca="false">IF(N($P35)=0,"","1122")</f>
        <v/>
      </c>
      <c r="Z35" s="49" t="str">
        <f aca="false">IF(N($P35)=0,"","2221")</f>
        <v/>
      </c>
      <c r="AA35" s="48" t="str">
        <f aca="false">IF(N($P35)=0,"",$P35)</f>
        <v/>
      </c>
      <c r="AB35" s="49" t="str">
        <f aca="false">IF(N($S35)=0,"","6401")</f>
        <v/>
      </c>
      <c r="AC35" s="49" t="str">
        <f aca="false">IF(N($S35)=0,"","1405")</f>
        <v/>
      </c>
      <c r="AD35" s="48" t="str">
        <f aca="false">IF(N($S35)=0,"",$S35)</f>
        <v/>
      </c>
      <c r="AE35" s="49" t="str">
        <f aca="false">IF(AND($D35=客户对账单!$B$3,$B35&gt;=客户对账单!$E$3,$B35&lt;=客户对账单!$H$3),COUNTIFS($D$5:$D35,客户对账单!$B$3,$B$5:$B35,"&gt;="&amp;客户对账单!$E$3,$B$5:$B35,"&lt;="&amp;客户对账单!$H$3),"")</f>
        <v/>
      </c>
    </row>
    <row r="36" customFormat="false" ht="15.75" hidden="false" customHeight="true" outlineLevel="0" collapsed="false">
      <c r="A36" s="42" t="str">
        <f aca="false">IF($B36="","","XS"&amp;TEXT($B36,"yyyymm")&amp;"-"&amp;TEXT(ROW()-4,"000"))</f>
        <v/>
      </c>
      <c r="B36" s="41"/>
      <c r="C36" s="42" t="str">
        <f aca="false">IF($B36="","",TEXT($B36,"yyyy-mm"))</f>
        <v/>
      </c>
      <c r="D36" s="32"/>
      <c r="E36" s="36"/>
      <c r="F36" s="43"/>
      <c r="G36" s="40"/>
      <c r="H36" s="51"/>
      <c r="I36" s="33"/>
      <c r="J36" s="33"/>
      <c r="K36" s="36"/>
      <c r="L36" s="47" t="str">
        <f aca="false">IF($B36="","",IF(NOT(ISNUMBER($B36)),"日期不是日期格式",IF(YEAR($B36)&lt;&gt;首页!$B$3,"不在会计年度",IF($D36="","未选客户",IF(ISNA(MATCH($D36,基础资料!$Z$6:$Z$155,0)),"客户不在档案",IF($E36="","未选商品",IF(ISNA(MATCH($E36,基础资料!$Q$6:$Q$205,0)),"商品不在档案",IF(NOT(ISNUMBER($F36)),"数量须为数字",IF(NOT(ISNUMBER($G36)),"单价须为数字",IF(N($F36)&lt;=0,"数量须大于0",IF(AND(IFERROR(INDEX(基础资料!$V$6:$V$205,MATCH($E36,基础资料!$Q$6:$Q$205,0)),"")="是",N($R36)=0),"无成本价·请先录采购或填参考成本",IF(N($T36)&lt;0,"毛利为负·请核对","√"))))))))))))</f>
        <v/>
      </c>
      <c r="M36" s="49" t="str">
        <f aca="false">IF($E36="","",IFERROR(INDEX(基础资料!$R$6:$R$205,MATCH($E36,基础资料!$Q$6:$Q$205,0)),""))</f>
        <v/>
      </c>
      <c r="N36" s="49" t="str">
        <f aca="false">IF($E36="","",IFERROR(INDEX(基础资料!$S$6:$S$205,MATCH($E36,基础资料!$Q$6:$Q$205,0)),""))</f>
        <v/>
      </c>
      <c r="O36" s="48" t="str">
        <f aca="false">IF(OR($F36="",$G36=""),"",ROUND(N($F36)*N($G36),2))</f>
        <v/>
      </c>
      <c r="P36" s="48" t="str">
        <f aca="false">IF($O36="","",ROUND(N($O36)*N($H36),2))</f>
        <v/>
      </c>
      <c r="Q36" s="48" t="str">
        <f aca="false">IF($O36="","",N($O36)+N($P36))</f>
        <v/>
      </c>
      <c r="R36" s="48" t="str">
        <f aca="false">IF(OR($E36="",$B36=""),"",IF(IFERROR(INDEX(基础资料!$V$6:$V$205,MATCH($E36,基础资料!$Q$6:$Q$205,0)),"")&lt;&gt;"是",0,IFERROR((SUMIFS(期初数据!$T$6:$T$205,期初数据!$O$6:$O$205,$E36)+SUMIFS(采购录入!$Q$5:$Q$404,采购录入!$E$5:$E$404,$E36,采购录入!$I$5:$I$404,"是",采购录入!$B$5:$B$404,"&lt;="&amp;$B36))/(SUMIFS(期初数据!$R$6:$R$205,期初数据!$O$6:$O$205,$E36)+SUMIFS(采购录入!$F$5:$F$404,采购录入!$E$5:$E$404,$E36,采购录入!$I$5:$I$404,"是",采购录入!$B$5:$B$404,"&lt;="&amp;$B36)),IFERROR(INDEX(基础资料!$U$6:$U$205,MATCH($E36,基础资料!$Q$6:$Q$205,0)),0))))</f>
        <v/>
      </c>
      <c r="S36" s="48" t="str">
        <f aca="false">IF($O36="","",ROUND(N($F36)*N($R36),2))</f>
        <v/>
      </c>
      <c r="T36" s="48" t="str">
        <f aca="false">IF($O36="","",N($O36)-N($S36))</f>
        <v/>
      </c>
      <c r="U36" s="52" t="str">
        <f aca="false">IF(OR($B36="",$D36=""),"",$B36+N(IFERROR(INDEX(基础资料!$AB$6:$AB$155,MATCH($D36,基础资料!$Z$6:$Z$155,0)),0)))</f>
        <v/>
      </c>
      <c r="V36" s="49" t="str">
        <f aca="false">IF($O36="","","1122")</f>
        <v/>
      </c>
      <c r="W36" s="49" t="str">
        <f aca="false">IF($O36="","","6001")</f>
        <v/>
      </c>
      <c r="X36" s="48" t="str">
        <f aca="false">IF($O36="","",$O36)</f>
        <v/>
      </c>
      <c r="Y36" s="49" t="str">
        <f aca="false">IF(N($P36)=0,"","1122")</f>
        <v/>
      </c>
      <c r="Z36" s="49" t="str">
        <f aca="false">IF(N($P36)=0,"","2221")</f>
        <v/>
      </c>
      <c r="AA36" s="48" t="str">
        <f aca="false">IF(N($P36)=0,"",$P36)</f>
        <v/>
      </c>
      <c r="AB36" s="49" t="str">
        <f aca="false">IF(N($S36)=0,"","6401")</f>
        <v/>
      </c>
      <c r="AC36" s="49" t="str">
        <f aca="false">IF(N($S36)=0,"","1405")</f>
        <v/>
      </c>
      <c r="AD36" s="48" t="str">
        <f aca="false">IF(N($S36)=0,"",$S36)</f>
        <v/>
      </c>
      <c r="AE36" s="49" t="str">
        <f aca="false">IF(AND($D36=客户对账单!$B$3,$B36&gt;=客户对账单!$E$3,$B36&lt;=客户对账单!$H$3),COUNTIFS($D$5:$D36,客户对账单!$B$3,$B$5:$B36,"&gt;="&amp;客户对账单!$E$3,$B$5:$B36,"&lt;="&amp;客户对账单!$H$3),"")</f>
        <v/>
      </c>
    </row>
    <row r="37" customFormat="false" ht="15.75" hidden="false" customHeight="true" outlineLevel="0" collapsed="false">
      <c r="A37" s="42" t="str">
        <f aca="false">IF($B37="","","XS"&amp;TEXT($B37,"yyyymm")&amp;"-"&amp;TEXT(ROW()-4,"000"))</f>
        <v/>
      </c>
      <c r="B37" s="41"/>
      <c r="C37" s="42" t="str">
        <f aca="false">IF($B37="","",TEXT($B37,"yyyy-mm"))</f>
        <v/>
      </c>
      <c r="D37" s="32"/>
      <c r="E37" s="36"/>
      <c r="F37" s="43"/>
      <c r="G37" s="40"/>
      <c r="H37" s="51"/>
      <c r="I37" s="33"/>
      <c r="J37" s="33"/>
      <c r="K37" s="36"/>
      <c r="L37" s="47" t="str">
        <f aca="false">IF($B37="","",IF(NOT(ISNUMBER($B37)),"日期不是日期格式",IF(YEAR($B37)&lt;&gt;首页!$B$3,"不在会计年度",IF($D37="","未选客户",IF(ISNA(MATCH($D37,基础资料!$Z$6:$Z$155,0)),"客户不在档案",IF($E37="","未选商品",IF(ISNA(MATCH($E37,基础资料!$Q$6:$Q$205,0)),"商品不在档案",IF(NOT(ISNUMBER($F37)),"数量须为数字",IF(NOT(ISNUMBER($G37)),"单价须为数字",IF(N($F37)&lt;=0,"数量须大于0",IF(AND(IFERROR(INDEX(基础资料!$V$6:$V$205,MATCH($E37,基础资料!$Q$6:$Q$205,0)),"")="是",N($R37)=0),"无成本价·请先录采购或填参考成本",IF(N($T37)&lt;0,"毛利为负·请核对","√"))))))))))))</f>
        <v/>
      </c>
      <c r="M37" s="49" t="str">
        <f aca="false">IF($E37="","",IFERROR(INDEX(基础资料!$R$6:$R$205,MATCH($E37,基础资料!$Q$6:$Q$205,0)),""))</f>
        <v/>
      </c>
      <c r="N37" s="49" t="str">
        <f aca="false">IF($E37="","",IFERROR(INDEX(基础资料!$S$6:$S$205,MATCH($E37,基础资料!$Q$6:$Q$205,0)),""))</f>
        <v/>
      </c>
      <c r="O37" s="48" t="str">
        <f aca="false">IF(OR($F37="",$G37=""),"",ROUND(N($F37)*N($G37),2))</f>
        <v/>
      </c>
      <c r="P37" s="48" t="str">
        <f aca="false">IF($O37="","",ROUND(N($O37)*N($H37),2))</f>
        <v/>
      </c>
      <c r="Q37" s="48" t="str">
        <f aca="false">IF($O37="","",N($O37)+N($P37))</f>
        <v/>
      </c>
      <c r="R37" s="48" t="str">
        <f aca="false">IF(OR($E37="",$B37=""),"",IF(IFERROR(INDEX(基础资料!$V$6:$V$205,MATCH($E37,基础资料!$Q$6:$Q$205,0)),"")&lt;&gt;"是",0,IFERROR((SUMIFS(期初数据!$T$6:$T$205,期初数据!$O$6:$O$205,$E37)+SUMIFS(采购录入!$Q$5:$Q$404,采购录入!$E$5:$E$404,$E37,采购录入!$I$5:$I$404,"是",采购录入!$B$5:$B$404,"&lt;="&amp;$B37))/(SUMIFS(期初数据!$R$6:$R$205,期初数据!$O$6:$O$205,$E37)+SUMIFS(采购录入!$F$5:$F$404,采购录入!$E$5:$E$404,$E37,采购录入!$I$5:$I$404,"是",采购录入!$B$5:$B$404,"&lt;="&amp;$B37)),IFERROR(INDEX(基础资料!$U$6:$U$205,MATCH($E37,基础资料!$Q$6:$Q$205,0)),0))))</f>
        <v/>
      </c>
      <c r="S37" s="48" t="str">
        <f aca="false">IF($O37="","",ROUND(N($F37)*N($R37),2))</f>
        <v/>
      </c>
      <c r="T37" s="48" t="str">
        <f aca="false">IF($O37="","",N($O37)-N($S37))</f>
        <v/>
      </c>
      <c r="U37" s="52" t="str">
        <f aca="false">IF(OR($B37="",$D37=""),"",$B37+N(IFERROR(INDEX(基础资料!$AB$6:$AB$155,MATCH($D37,基础资料!$Z$6:$Z$155,0)),0)))</f>
        <v/>
      </c>
      <c r="V37" s="49" t="str">
        <f aca="false">IF($O37="","","1122")</f>
        <v/>
      </c>
      <c r="W37" s="49" t="str">
        <f aca="false">IF($O37="","","6001")</f>
        <v/>
      </c>
      <c r="X37" s="48" t="str">
        <f aca="false">IF($O37="","",$O37)</f>
        <v/>
      </c>
      <c r="Y37" s="49" t="str">
        <f aca="false">IF(N($P37)=0,"","1122")</f>
        <v/>
      </c>
      <c r="Z37" s="49" t="str">
        <f aca="false">IF(N($P37)=0,"","2221")</f>
        <v/>
      </c>
      <c r="AA37" s="48" t="str">
        <f aca="false">IF(N($P37)=0,"",$P37)</f>
        <v/>
      </c>
      <c r="AB37" s="49" t="str">
        <f aca="false">IF(N($S37)=0,"","6401")</f>
        <v/>
      </c>
      <c r="AC37" s="49" t="str">
        <f aca="false">IF(N($S37)=0,"","1405")</f>
        <v/>
      </c>
      <c r="AD37" s="48" t="str">
        <f aca="false">IF(N($S37)=0,"",$S37)</f>
        <v/>
      </c>
      <c r="AE37" s="49" t="str">
        <f aca="false">IF(AND($D37=客户对账单!$B$3,$B37&gt;=客户对账单!$E$3,$B37&lt;=客户对账单!$H$3),COUNTIFS($D$5:$D37,客户对账单!$B$3,$B$5:$B37,"&gt;="&amp;客户对账单!$E$3,$B$5:$B37,"&lt;="&amp;客户对账单!$H$3),"")</f>
        <v/>
      </c>
    </row>
    <row r="38" customFormat="false" ht="15.75" hidden="false" customHeight="true" outlineLevel="0" collapsed="false">
      <c r="A38" s="42" t="str">
        <f aca="false">IF($B38="","","XS"&amp;TEXT($B38,"yyyymm")&amp;"-"&amp;TEXT(ROW()-4,"000"))</f>
        <v/>
      </c>
      <c r="B38" s="41"/>
      <c r="C38" s="42" t="str">
        <f aca="false">IF($B38="","",TEXT($B38,"yyyy-mm"))</f>
        <v/>
      </c>
      <c r="D38" s="32"/>
      <c r="E38" s="36"/>
      <c r="F38" s="43"/>
      <c r="G38" s="40"/>
      <c r="H38" s="51"/>
      <c r="I38" s="33"/>
      <c r="J38" s="33"/>
      <c r="K38" s="36"/>
      <c r="L38" s="47" t="str">
        <f aca="false">IF($B38="","",IF(NOT(ISNUMBER($B38)),"日期不是日期格式",IF(YEAR($B38)&lt;&gt;首页!$B$3,"不在会计年度",IF($D38="","未选客户",IF(ISNA(MATCH($D38,基础资料!$Z$6:$Z$155,0)),"客户不在档案",IF($E38="","未选商品",IF(ISNA(MATCH($E38,基础资料!$Q$6:$Q$205,0)),"商品不在档案",IF(NOT(ISNUMBER($F38)),"数量须为数字",IF(NOT(ISNUMBER($G38)),"单价须为数字",IF(N($F38)&lt;=0,"数量须大于0",IF(AND(IFERROR(INDEX(基础资料!$V$6:$V$205,MATCH($E38,基础资料!$Q$6:$Q$205,0)),"")="是",N($R38)=0),"无成本价·请先录采购或填参考成本",IF(N($T38)&lt;0,"毛利为负·请核对","√"))))))))))))</f>
        <v/>
      </c>
      <c r="M38" s="49" t="str">
        <f aca="false">IF($E38="","",IFERROR(INDEX(基础资料!$R$6:$R$205,MATCH($E38,基础资料!$Q$6:$Q$205,0)),""))</f>
        <v/>
      </c>
      <c r="N38" s="49" t="str">
        <f aca="false">IF($E38="","",IFERROR(INDEX(基础资料!$S$6:$S$205,MATCH($E38,基础资料!$Q$6:$Q$205,0)),""))</f>
        <v/>
      </c>
      <c r="O38" s="48" t="str">
        <f aca="false">IF(OR($F38="",$G38=""),"",ROUND(N($F38)*N($G38),2))</f>
        <v/>
      </c>
      <c r="P38" s="48" t="str">
        <f aca="false">IF($O38="","",ROUND(N($O38)*N($H38),2))</f>
        <v/>
      </c>
      <c r="Q38" s="48" t="str">
        <f aca="false">IF($O38="","",N($O38)+N($P38))</f>
        <v/>
      </c>
      <c r="R38" s="48" t="str">
        <f aca="false">IF(OR($E38="",$B38=""),"",IF(IFERROR(INDEX(基础资料!$V$6:$V$205,MATCH($E38,基础资料!$Q$6:$Q$205,0)),"")&lt;&gt;"是",0,IFERROR((SUMIFS(期初数据!$T$6:$T$205,期初数据!$O$6:$O$205,$E38)+SUMIFS(采购录入!$Q$5:$Q$404,采购录入!$E$5:$E$404,$E38,采购录入!$I$5:$I$404,"是",采购录入!$B$5:$B$404,"&lt;="&amp;$B38))/(SUMIFS(期初数据!$R$6:$R$205,期初数据!$O$6:$O$205,$E38)+SUMIFS(采购录入!$F$5:$F$404,采购录入!$E$5:$E$404,$E38,采购录入!$I$5:$I$404,"是",采购录入!$B$5:$B$404,"&lt;="&amp;$B38)),IFERROR(INDEX(基础资料!$U$6:$U$205,MATCH($E38,基础资料!$Q$6:$Q$205,0)),0))))</f>
        <v/>
      </c>
      <c r="S38" s="48" t="str">
        <f aca="false">IF($O38="","",ROUND(N($F38)*N($R38),2))</f>
        <v/>
      </c>
      <c r="T38" s="48" t="str">
        <f aca="false">IF($O38="","",N($O38)-N($S38))</f>
        <v/>
      </c>
      <c r="U38" s="52" t="str">
        <f aca="false">IF(OR($B38="",$D38=""),"",$B38+N(IFERROR(INDEX(基础资料!$AB$6:$AB$155,MATCH($D38,基础资料!$Z$6:$Z$155,0)),0)))</f>
        <v/>
      </c>
      <c r="V38" s="49" t="str">
        <f aca="false">IF($O38="","","1122")</f>
        <v/>
      </c>
      <c r="W38" s="49" t="str">
        <f aca="false">IF($O38="","","6001")</f>
        <v/>
      </c>
      <c r="X38" s="48" t="str">
        <f aca="false">IF($O38="","",$O38)</f>
        <v/>
      </c>
      <c r="Y38" s="49" t="str">
        <f aca="false">IF(N($P38)=0,"","1122")</f>
        <v/>
      </c>
      <c r="Z38" s="49" t="str">
        <f aca="false">IF(N($P38)=0,"","2221")</f>
        <v/>
      </c>
      <c r="AA38" s="48" t="str">
        <f aca="false">IF(N($P38)=0,"",$P38)</f>
        <v/>
      </c>
      <c r="AB38" s="49" t="str">
        <f aca="false">IF(N($S38)=0,"","6401")</f>
        <v/>
      </c>
      <c r="AC38" s="49" t="str">
        <f aca="false">IF(N($S38)=0,"","1405")</f>
        <v/>
      </c>
      <c r="AD38" s="48" t="str">
        <f aca="false">IF(N($S38)=0,"",$S38)</f>
        <v/>
      </c>
      <c r="AE38" s="49" t="str">
        <f aca="false">IF(AND($D38=客户对账单!$B$3,$B38&gt;=客户对账单!$E$3,$B38&lt;=客户对账单!$H$3),COUNTIFS($D$5:$D38,客户对账单!$B$3,$B$5:$B38,"&gt;="&amp;客户对账单!$E$3,$B$5:$B38,"&lt;="&amp;客户对账单!$H$3),"")</f>
        <v/>
      </c>
    </row>
    <row r="39" customFormat="false" ht="15.75" hidden="false" customHeight="true" outlineLevel="0" collapsed="false">
      <c r="A39" s="42" t="str">
        <f aca="false">IF($B39="","","XS"&amp;TEXT($B39,"yyyymm")&amp;"-"&amp;TEXT(ROW()-4,"000"))</f>
        <v/>
      </c>
      <c r="B39" s="41"/>
      <c r="C39" s="42" t="str">
        <f aca="false">IF($B39="","",TEXT($B39,"yyyy-mm"))</f>
        <v/>
      </c>
      <c r="D39" s="32"/>
      <c r="E39" s="36"/>
      <c r="F39" s="43"/>
      <c r="G39" s="40"/>
      <c r="H39" s="51"/>
      <c r="I39" s="33"/>
      <c r="J39" s="33"/>
      <c r="K39" s="36"/>
      <c r="L39" s="47" t="str">
        <f aca="false">IF($B39="","",IF(NOT(ISNUMBER($B39)),"日期不是日期格式",IF(YEAR($B39)&lt;&gt;首页!$B$3,"不在会计年度",IF($D39="","未选客户",IF(ISNA(MATCH($D39,基础资料!$Z$6:$Z$155,0)),"客户不在档案",IF($E39="","未选商品",IF(ISNA(MATCH($E39,基础资料!$Q$6:$Q$205,0)),"商品不在档案",IF(NOT(ISNUMBER($F39)),"数量须为数字",IF(NOT(ISNUMBER($G39)),"单价须为数字",IF(N($F39)&lt;=0,"数量须大于0",IF(AND(IFERROR(INDEX(基础资料!$V$6:$V$205,MATCH($E39,基础资料!$Q$6:$Q$205,0)),"")="是",N($R39)=0),"无成本价·请先录采购或填参考成本",IF(N($T39)&lt;0,"毛利为负·请核对","√"))))))))))))</f>
        <v/>
      </c>
      <c r="M39" s="49" t="str">
        <f aca="false">IF($E39="","",IFERROR(INDEX(基础资料!$R$6:$R$205,MATCH($E39,基础资料!$Q$6:$Q$205,0)),""))</f>
        <v/>
      </c>
      <c r="N39" s="49" t="str">
        <f aca="false">IF($E39="","",IFERROR(INDEX(基础资料!$S$6:$S$205,MATCH($E39,基础资料!$Q$6:$Q$205,0)),""))</f>
        <v/>
      </c>
      <c r="O39" s="48" t="str">
        <f aca="false">IF(OR($F39="",$G39=""),"",ROUND(N($F39)*N($G39),2))</f>
        <v/>
      </c>
      <c r="P39" s="48" t="str">
        <f aca="false">IF($O39="","",ROUND(N($O39)*N($H39),2))</f>
        <v/>
      </c>
      <c r="Q39" s="48" t="str">
        <f aca="false">IF($O39="","",N($O39)+N($P39))</f>
        <v/>
      </c>
      <c r="R39" s="48" t="str">
        <f aca="false">IF(OR($E39="",$B39=""),"",IF(IFERROR(INDEX(基础资料!$V$6:$V$205,MATCH($E39,基础资料!$Q$6:$Q$205,0)),"")&lt;&gt;"是",0,IFERROR((SUMIFS(期初数据!$T$6:$T$205,期初数据!$O$6:$O$205,$E39)+SUMIFS(采购录入!$Q$5:$Q$404,采购录入!$E$5:$E$404,$E39,采购录入!$I$5:$I$404,"是",采购录入!$B$5:$B$404,"&lt;="&amp;$B39))/(SUMIFS(期初数据!$R$6:$R$205,期初数据!$O$6:$O$205,$E39)+SUMIFS(采购录入!$F$5:$F$404,采购录入!$E$5:$E$404,$E39,采购录入!$I$5:$I$404,"是",采购录入!$B$5:$B$404,"&lt;="&amp;$B39)),IFERROR(INDEX(基础资料!$U$6:$U$205,MATCH($E39,基础资料!$Q$6:$Q$205,0)),0))))</f>
        <v/>
      </c>
      <c r="S39" s="48" t="str">
        <f aca="false">IF($O39="","",ROUND(N($F39)*N($R39),2))</f>
        <v/>
      </c>
      <c r="T39" s="48" t="str">
        <f aca="false">IF($O39="","",N($O39)-N($S39))</f>
        <v/>
      </c>
      <c r="U39" s="52" t="str">
        <f aca="false">IF(OR($B39="",$D39=""),"",$B39+N(IFERROR(INDEX(基础资料!$AB$6:$AB$155,MATCH($D39,基础资料!$Z$6:$Z$155,0)),0)))</f>
        <v/>
      </c>
      <c r="V39" s="49" t="str">
        <f aca="false">IF($O39="","","1122")</f>
        <v/>
      </c>
      <c r="W39" s="49" t="str">
        <f aca="false">IF($O39="","","6001")</f>
        <v/>
      </c>
      <c r="X39" s="48" t="str">
        <f aca="false">IF($O39="","",$O39)</f>
        <v/>
      </c>
      <c r="Y39" s="49" t="str">
        <f aca="false">IF(N($P39)=0,"","1122")</f>
        <v/>
      </c>
      <c r="Z39" s="49" t="str">
        <f aca="false">IF(N($P39)=0,"","2221")</f>
        <v/>
      </c>
      <c r="AA39" s="48" t="str">
        <f aca="false">IF(N($P39)=0,"",$P39)</f>
        <v/>
      </c>
      <c r="AB39" s="49" t="str">
        <f aca="false">IF(N($S39)=0,"","6401")</f>
        <v/>
      </c>
      <c r="AC39" s="49" t="str">
        <f aca="false">IF(N($S39)=0,"","1405")</f>
        <v/>
      </c>
      <c r="AD39" s="48" t="str">
        <f aca="false">IF(N($S39)=0,"",$S39)</f>
        <v/>
      </c>
      <c r="AE39" s="49" t="str">
        <f aca="false">IF(AND($D39=客户对账单!$B$3,$B39&gt;=客户对账单!$E$3,$B39&lt;=客户对账单!$H$3),COUNTIFS($D$5:$D39,客户对账单!$B$3,$B$5:$B39,"&gt;="&amp;客户对账单!$E$3,$B$5:$B39,"&lt;="&amp;客户对账单!$H$3),"")</f>
        <v/>
      </c>
    </row>
    <row r="40" customFormat="false" ht="15.75" hidden="false" customHeight="true" outlineLevel="0" collapsed="false">
      <c r="A40" s="42" t="str">
        <f aca="false">IF($B40="","","XS"&amp;TEXT($B40,"yyyymm")&amp;"-"&amp;TEXT(ROW()-4,"000"))</f>
        <v/>
      </c>
      <c r="B40" s="41"/>
      <c r="C40" s="42" t="str">
        <f aca="false">IF($B40="","",TEXT($B40,"yyyy-mm"))</f>
        <v/>
      </c>
      <c r="D40" s="32"/>
      <c r="E40" s="36"/>
      <c r="F40" s="43"/>
      <c r="G40" s="40"/>
      <c r="H40" s="51"/>
      <c r="I40" s="33"/>
      <c r="J40" s="33"/>
      <c r="K40" s="36"/>
      <c r="L40" s="47" t="str">
        <f aca="false">IF($B40="","",IF(NOT(ISNUMBER($B40)),"日期不是日期格式",IF(YEAR($B40)&lt;&gt;首页!$B$3,"不在会计年度",IF($D40="","未选客户",IF(ISNA(MATCH($D40,基础资料!$Z$6:$Z$155,0)),"客户不在档案",IF($E40="","未选商品",IF(ISNA(MATCH($E40,基础资料!$Q$6:$Q$205,0)),"商品不在档案",IF(NOT(ISNUMBER($F40)),"数量须为数字",IF(NOT(ISNUMBER($G40)),"单价须为数字",IF(N($F40)&lt;=0,"数量须大于0",IF(AND(IFERROR(INDEX(基础资料!$V$6:$V$205,MATCH($E40,基础资料!$Q$6:$Q$205,0)),"")="是",N($R40)=0),"无成本价·请先录采购或填参考成本",IF(N($T40)&lt;0,"毛利为负·请核对","√"))))))))))))</f>
        <v/>
      </c>
      <c r="M40" s="49" t="str">
        <f aca="false">IF($E40="","",IFERROR(INDEX(基础资料!$R$6:$R$205,MATCH($E40,基础资料!$Q$6:$Q$205,0)),""))</f>
        <v/>
      </c>
      <c r="N40" s="49" t="str">
        <f aca="false">IF($E40="","",IFERROR(INDEX(基础资料!$S$6:$S$205,MATCH($E40,基础资料!$Q$6:$Q$205,0)),""))</f>
        <v/>
      </c>
      <c r="O40" s="48" t="str">
        <f aca="false">IF(OR($F40="",$G40=""),"",ROUND(N($F40)*N($G40),2))</f>
        <v/>
      </c>
      <c r="P40" s="48" t="str">
        <f aca="false">IF($O40="","",ROUND(N($O40)*N($H40),2))</f>
        <v/>
      </c>
      <c r="Q40" s="48" t="str">
        <f aca="false">IF($O40="","",N($O40)+N($P40))</f>
        <v/>
      </c>
      <c r="R40" s="48" t="str">
        <f aca="false">IF(OR($E40="",$B40=""),"",IF(IFERROR(INDEX(基础资料!$V$6:$V$205,MATCH($E40,基础资料!$Q$6:$Q$205,0)),"")&lt;&gt;"是",0,IFERROR((SUMIFS(期初数据!$T$6:$T$205,期初数据!$O$6:$O$205,$E40)+SUMIFS(采购录入!$Q$5:$Q$404,采购录入!$E$5:$E$404,$E40,采购录入!$I$5:$I$404,"是",采购录入!$B$5:$B$404,"&lt;="&amp;$B40))/(SUMIFS(期初数据!$R$6:$R$205,期初数据!$O$6:$O$205,$E40)+SUMIFS(采购录入!$F$5:$F$404,采购录入!$E$5:$E$404,$E40,采购录入!$I$5:$I$404,"是",采购录入!$B$5:$B$404,"&lt;="&amp;$B40)),IFERROR(INDEX(基础资料!$U$6:$U$205,MATCH($E40,基础资料!$Q$6:$Q$205,0)),0))))</f>
        <v/>
      </c>
      <c r="S40" s="48" t="str">
        <f aca="false">IF($O40="","",ROUND(N($F40)*N($R40),2))</f>
        <v/>
      </c>
      <c r="T40" s="48" t="str">
        <f aca="false">IF($O40="","",N($O40)-N($S40))</f>
        <v/>
      </c>
      <c r="U40" s="52" t="str">
        <f aca="false">IF(OR($B40="",$D40=""),"",$B40+N(IFERROR(INDEX(基础资料!$AB$6:$AB$155,MATCH($D40,基础资料!$Z$6:$Z$155,0)),0)))</f>
        <v/>
      </c>
      <c r="V40" s="49" t="str">
        <f aca="false">IF($O40="","","1122")</f>
        <v/>
      </c>
      <c r="W40" s="49" t="str">
        <f aca="false">IF($O40="","","6001")</f>
        <v/>
      </c>
      <c r="X40" s="48" t="str">
        <f aca="false">IF($O40="","",$O40)</f>
        <v/>
      </c>
      <c r="Y40" s="49" t="str">
        <f aca="false">IF(N($P40)=0,"","1122")</f>
        <v/>
      </c>
      <c r="Z40" s="49" t="str">
        <f aca="false">IF(N($P40)=0,"","2221")</f>
        <v/>
      </c>
      <c r="AA40" s="48" t="str">
        <f aca="false">IF(N($P40)=0,"",$P40)</f>
        <v/>
      </c>
      <c r="AB40" s="49" t="str">
        <f aca="false">IF(N($S40)=0,"","6401")</f>
        <v/>
      </c>
      <c r="AC40" s="49" t="str">
        <f aca="false">IF(N($S40)=0,"","1405")</f>
        <v/>
      </c>
      <c r="AD40" s="48" t="str">
        <f aca="false">IF(N($S40)=0,"",$S40)</f>
        <v/>
      </c>
      <c r="AE40" s="49" t="str">
        <f aca="false">IF(AND($D40=客户对账单!$B$3,$B40&gt;=客户对账单!$E$3,$B40&lt;=客户对账单!$H$3),COUNTIFS($D$5:$D40,客户对账单!$B$3,$B$5:$B40,"&gt;="&amp;客户对账单!$E$3,$B$5:$B40,"&lt;="&amp;客户对账单!$H$3),"")</f>
        <v/>
      </c>
    </row>
    <row r="41" customFormat="false" ht="15.75" hidden="false" customHeight="true" outlineLevel="0" collapsed="false">
      <c r="A41" s="42" t="str">
        <f aca="false">IF($B41="","","XS"&amp;TEXT($B41,"yyyymm")&amp;"-"&amp;TEXT(ROW()-4,"000"))</f>
        <v/>
      </c>
      <c r="B41" s="41"/>
      <c r="C41" s="42" t="str">
        <f aca="false">IF($B41="","",TEXT($B41,"yyyy-mm"))</f>
        <v/>
      </c>
      <c r="D41" s="32"/>
      <c r="E41" s="36"/>
      <c r="F41" s="43"/>
      <c r="G41" s="40"/>
      <c r="H41" s="51"/>
      <c r="I41" s="33"/>
      <c r="J41" s="33"/>
      <c r="K41" s="36"/>
      <c r="L41" s="47" t="str">
        <f aca="false">IF($B41="","",IF(NOT(ISNUMBER($B41)),"日期不是日期格式",IF(YEAR($B41)&lt;&gt;首页!$B$3,"不在会计年度",IF($D41="","未选客户",IF(ISNA(MATCH($D41,基础资料!$Z$6:$Z$155,0)),"客户不在档案",IF($E41="","未选商品",IF(ISNA(MATCH($E41,基础资料!$Q$6:$Q$205,0)),"商品不在档案",IF(NOT(ISNUMBER($F41)),"数量须为数字",IF(NOT(ISNUMBER($G41)),"单价须为数字",IF(N($F41)&lt;=0,"数量须大于0",IF(AND(IFERROR(INDEX(基础资料!$V$6:$V$205,MATCH($E41,基础资料!$Q$6:$Q$205,0)),"")="是",N($R41)=0),"无成本价·请先录采购或填参考成本",IF(N($T41)&lt;0,"毛利为负·请核对","√"))))))))))))</f>
        <v/>
      </c>
      <c r="M41" s="49" t="str">
        <f aca="false">IF($E41="","",IFERROR(INDEX(基础资料!$R$6:$R$205,MATCH($E41,基础资料!$Q$6:$Q$205,0)),""))</f>
        <v/>
      </c>
      <c r="N41" s="49" t="str">
        <f aca="false">IF($E41="","",IFERROR(INDEX(基础资料!$S$6:$S$205,MATCH($E41,基础资料!$Q$6:$Q$205,0)),""))</f>
        <v/>
      </c>
      <c r="O41" s="48" t="str">
        <f aca="false">IF(OR($F41="",$G41=""),"",ROUND(N($F41)*N($G41),2))</f>
        <v/>
      </c>
      <c r="P41" s="48" t="str">
        <f aca="false">IF($O41="","",ROUND(N($O41)*N($H41),2))</f>
        <v/>
      </c>
      <c r="Q41" s="48" t="str">
        <f aca="false">IF($O41="","",N($O41)+N($P41))</f>
        <v/>
      </c>
      <c r="R41" s="48" t="str">
        <f aca="false">IF(OR($E41="",$B41=""),"",IF(IFERROR(INDEX(基础资料!$V$6:$V$205,MATCH($E41,基础资料!$Q$6:$Q$205,0)),"")&lt;&gt;"是",0,IFERROR((SUMIFS(期初数据!$T$6:$T$205,期初数据!$O$6:$O$205,$E41)+SUMIFS(采购录入!$Q$5:$Q$404,采购录入!$E$5:$E$404,$E41,采购录入!$I$5:$I$404,"是",采购录入!$B$5:$B$404,"&lt;="&amp;$B41))/(SUMIFS(期初数据!$R$6:$R$205,期初数据!$O$6:$O$205,$E41)+SUMIFS(采购录入!$F$5:$F$404,采购录入!$E$5:$E$404,$E41,采购录入!$I$5:$I$404,"是",采购录入!$B$5:$B$404,"&lt;="&amp;$B41)),IFERROR(INDEX(基础资料!$U$6:$U$205,MATCH($E41,基础资料!$Q$6:$Q$205,0)),0))))</f>
        <v/>
      </c>
      <c r="S41" s="48" t="str">
        <f aca="false">IF($O41="","",ROUND(N($F41)*N($R41),2))</f>
        <v/>
      </c>
      <c r="T41" s="48" t="str">
        <f aca="false">IF($O41="","",N($O41)-N($S41))</f>
        <v/>
      </c>
      <c r="U41" s="52" t="str">
        <f aca="false">IF(OR($B41="",$D41=""),"",$B41+N(IFERROR(INDEX(基础资料!$AB$6:$AB$155,MATCH($D41,基础资料!$Z$6:$Z$155,0)),0)))</f>
        <v/>
      </c>
      <c r="V41" s="49" t="str">
        <f aca="false">IF($O41="","","1122")</f>
        <v/>
      </c>
      <c r="W41" s="49" t="str">
        <f aca="false">IF($O41="","","6001")</f>
        <v/>
      </c>
      <c r="X41" s="48" t="str">
        <f aca="false">IF($O41="","",$O41)</f>
        <v/>
      </c>
      <c r="Y41" s="49" t="str">
        <f aca="false">IF(N($P41)=0,"","1122")</f>
        <v/>
      </c>
      <c r="Z41" s="49" t="str">
        <f aca="false">IF(N($P41)=0,"","2221")</f>
        <v/>
      </c>
      <c r="AA41" s="48" t="str">
        <f aca="false">IF(N($P41)=0,"",$P41)</f>
        <v/>
      </c>
      <c r="AB41" s="49" t="str">
        <f aca="false">IF(N($S41)=0,"","6401")</f>
        <v/>
      </c>
      <c r="AC41" s="49" t="str">
        <f aca="false">IF(N($S41)=0,"","1405")</f>
        <v/>
      </c>
      <c r="AD41" s="48" t="str">
        <f aca="false">IF(N($S41)=0,"",$S41)</f>
        <v/>
      </c>
      <c r="AE41" s="49" t="str">
        <f aca="false">IF(AND($D41=客户对账单!$B$3,$B41&gt;=客户对账单!$E$3,$B41&lt;=客户对账单!$H$3),COUNTIFS($D$5:$D41,客户对账单!$B$3,$B$5:$B41,"&gt;="&amp;客户对账单!$E$3,$B$5:$B41,"&lt;="&amp;客户对账单!$H$3),"")</f>
        <v/>
      </c>
    </row>
    <row r="42" customFormat="false" ht="15.75" hidden="false" customHeight="true" outlineLevel="0" collapsed="false">
      <c r="A42" s="42" t="str">
        <f aca="false">IF($B42="","","XS"&amp;TEXT($B42,"yyyymm")&amp;"-"&amp;TEXT(ROW()-4,"000"))</f>
        <v/>
      </c>
      <c r="B42" s="41"/>
      <c r="C42" s="42" t="str">
        <f aca="false">IF($B42="","",TEXT($B42,"yyyy-mm"))</f>
        <v/>
      </c>
      <c r="D42" s="32"/>
      <c r="E42" s="36"/>
      <c r="F42" s="43"/>
      <c r="G42" s="40"/>
      <c r="H42" s="51"/>
      <c r="I42" s="33"/>
      <c r="J42" s="33"/>
      <c r="K42" s="36"/>
      <c r="L42" s="47" t="str">
        <f aca="false">IF($B42="","",IF(NOT(ISNUMBER($B42)),"日期不是日期格式",IF(YEAR($B42)&lt;&gt;首页!$B$3,"不在会计年度",IF($D42="","未选客户",IF(ISNA(MATCH($D42,基础资料!$Z$6:$Z$155,0)),"客户不在档案",IF($E42="","未选商品",IF(ISNA(MATCH($E42,基础资料!$Q$6:$Q$205,0)),"商品不在档案",IF(NOT(ISNUMBER($F42)),"数量须为数字",IF(NOT(ISNUMBER($G42)),"单价须为数字",IF(N($F42)&lt;=0,"数量须大于0",IF(AND(IFERROR(INDEX(基础资料!$V$6:$V$205,MATCH($E42,基础资料!$Q$6:$Q$205,0)),"")="是",N($R42)=0),"无成本价·请先录采购或填参考成本",IF(N($T42)&lt;0,"毛利为负·请核对","√"))))))))))))</f>
        <v/>
      </c>
      <c r="M42" s="49" t="str">
        <f aca="false">IF($E42="","",IFERROR(INDEX(基础资料!$R$6:$R$205,MATCH($E42,基础资料!$Q$6:$Q$205,0)),""))</f>
        <v/>
      </c>
      <c r="N42" s="49" t="str">
        <f aca="false">IF($E42="","",IFERROR(INDEX(基础资料!$S$6:$S$205,MATCH($E42,基础资料!$Q$6:$Q$205,0)),""))</f>
        <v/>
      </c>
      <c r="O42" s="48" t="str">
        <f aca="false">IF(OR($F42="",$G42=""),"",ROUND(N($F42)*N($G42),2))</f>
        <v/>
      </c>
      <c r="P42" s="48" t="str">
        <f aca="false">IF($O42="","",ROUND(N($O42)*N($H42),2))</f>
        <v/>
      </c>
      <c r="Q42" s="48" t="str">
        <f aca="false">IF($O42="","",N($O42)+N($P42))</f>
        <v/>
      </c>
      <c r="R42" s="48" t="str">
        <f aca="false">IF(OR($E42="",$B42=""),"",IF(IFERROR(INDEX(基础资料!$V$6:$V$205,MATCH($E42,基础资料!$Q$6:$Q$205,0)),"")&lt;&gt;"是",0,IFERROR((SUMIFS(期初数据!$T$6:$T$205,期初数据!$O$6:$O$205,$E42)+SUMIFS(采购录入!$Q$5:$Q$404,采购录入!$E$5:$E$404,$E42,采购录入!$I$5:$I$404,"是",采购录入!$B$5:$B$404,"&lt;="&amp;$B42))/(SUMIFS(期初数据!$R$6:$R$205,期初数据!$O$6:$O$205,$E42)+SUMIFS(采购录入!$F$5:$F$404,采购录入!$E$5:$E$404,$E42,采购录入!$I$5:$I$404,"是",采购录入!$B$5:$B$404,"&lt;="&amp;$B42)),IFERROR(INDEX(基础资料!$U$6:$U$205,MATCH($E42,基础资料!$Q$6:$Q$205,0)),0))))</f>
        <v/>
      </c>
      <c r="S42" s="48" t="str">
        <f aca="false">IF($O42="","",ROUND(N($F42)*N($R42),2))</f>
        <v/>
      </c>
      <c r="T42" s="48" t="str">
        <f aca="false">IF($O42="","",N($O42)-N($S42))</f>
        <v/>
      </c>
      <c r="U42" s="52" t="str">
        <f aca="false">IF(OR($B42="",$D42=""),"",$B42+N(IFERROR(INDEX(基础资料!$AB$6:$AB$155,MATCH($D42,基础资料!$Z$6:$Z$155,0)),0)))</f>
        <v/>
      </c>
      <c r="V42" s="49" t="str">
        <f aca="false">IF($O42="","","1122")</f>
        <v/>
      </c>
      <c r="W42" s="49" t="str">
        <f aca="false">IF($O42="","","6001")</f>
        <v/>
      </c>
      <c r="X42" s="48" t="str">
        <f aca="false">IF($O42="","",$O42)</f>
        <v/>
      </c>
      <c r="Y42" s="49" t="str">
        <f aca="false">IF(N($P42)=0,"","1122")</f>
        <v/>
      </c>
      <c r="Z42" s="49" t="str">
        <f aca="false">IF(N($P42)=0,"","2221")</f>
        <v/>
      </c>
      <c r="AA42" s="48" t="str">
        <f aca="false">IF(N($P42)=0,"",$P42)</f>
        <v/>
      </c>
      <c r="AB42" s="49" t="str">
        <f aca="false">IF(N($S42)=0,"","6401")</f>
        <v/>
      </c>
      <c r="AC42" s="49" t="str">
        <f aca="false">IF(N($S42)=0,"","1405")</f>
        <v/>
      </c>
      <c r="AD42" s="48" t="str">
        <f aca="false">IF(N($S42)=0,"",$S42)</f>
        <v/>
      </c>
      <c r="AE42" s="49" t="str">
        <f aca="false">IF(AND($D42=客户对账单!$B$3,$B42&gt;=客户对账单!$E$3,$B42&lt;=客户对账单!$H$3),COUNTIFS($D$5:$D42,客户对账单!$B$3,$B$5:$B42,"&gt;="&amp;客户对账单!$E$3,$B$5:$B42,"&lt;="&amp;客户对账单!$H$3),"")</f>
        <v/>
      </c>
    </row>
    <row r="43" customFormat="false" ht="15.75" hidden="false" customHeight="true" outlineLevel="0" collapsed="false">
      <c r="A43" s="42" t="str">
        <f aca="false">IF($B43="","","XS"&amp;TEXT($B43,"yyyymm")&amp;"-"&amp;TEXT(ROW()-4,"000"))</f>
        <v/>
      </c>
      <c r="B43" s="41"/>
      <c r="C43" s="42" t="str">
        <f aca="false">IF($B43="","",TEXT($B43,"yyyy-mm"))</f>
        <v/>
      </c>
      <c r="D43" s="32"/>
      <c r="E43" s="36"/>
      <c r="F43" s="43"/>
      <c r="G43" s="40"/>
      <c r="H43" s="51"/>
      <c r="I43" s="33"/>
      <c r="J43" s="33"/>
      <c r="K43" s="36"/>
      <c r="L43" s="47" t="str">
        <f aca="false">IF($B43="","",IF(NOT(ISNUMBER($B43)),"日期不是日期格式",IF(YEAR($B43)&lt;&gt;首页!$B$3,"不在会计年度",IF($D43="","未选客户",IF(ISNA(MATCH($D43,基础资料!$Z$6:$Z$155,0)),"客户不在档案",IF($E43="","未选商品",IF(ISNA(MATCH($E43,基础资料!$Q$6:$Q$205,0)),"商品不在档案",IF(NOT(ISNUMBER($F43)),"数量须为数字",IF(NOT(ISNUMBER($G43)),"单价须为数字",IF(N($F43)&lt;=0,"数量须大于0",IF(AND(IFERROR(INDEX(基础资料!$V$6:$V$205,MATCH($E43,基础资料!$Q$6:$Q$205,0)),"")="是",N($R43)=0),"无成本价·请先录采购或填参考成本",IF(N($T43)&lt;0,"毛利为负·请核对","√"))))))))))))</f>
        <v/>
      </c>
      <c r="M43" s="49" t="str">
        <f aca="false">IF($E43="","",IFERROR(INDEX(基础资料!$R$6:$R$205,MATCH($E43,基础资料!$Q$6:$Q$205,0)),""))</f>
        <v/>
      </c>
      <c r="N43" s="49" t="str">
        <f aca="false">IF($E43="","",IFERROR(INDEX(基础资料!$S$6:$S$205,MATCH($E43,基础资料!$Q$6:$Q$205,0)),""))</f>
        <v/>
      </c>
      <c r="O43" s="48" t="str">
        <f aca="false">IF(OR($F43="",$G43=""),"",ROUND(N($F43)*N($G43),2))</f>
        <v/>
      </c>
      <c r="P43" s="48" t="str">
        <f aca="false">IF($O43="","",ROUND(N($O43)*N($H43),2))</f>
        <v/>
      </c>
      <c r="Q43" s="48" t="str">
        <f aca="false">IF($O43="","",N($O43)+N($P43))</f>
        <v/>
      </c>
      <c r="R43" s="48" t="str">
        <f aca="false">IF(OR($E43="",$B43=""),"",IF(IFERROR(INDEX(基础资料!$V$6:$V$205,MATCH($E43,基础资料!$Q$6:$Q$205,0)),"")&lt;&gt;"是",0,IFERROR((SUMIFS(期初数据!$T$6:$T$205,期初数据!$O$6:$O$205,$E43)+SUMIFS(采购录入!$Q$5:$Q$404,采购录入!$E$5:$E$404,$E43,采购录入!$I$5:$I$404,"是",采购录入!$B$5:$B$404,"&lt;="&amp;$B43))/(SUMIFS(期初数据!$R$6:$R$205,期初数据!$O$6:$O$205,$E43)+SUMIFS(采购录入!$F$5:$F$404,采购录入!$E$5:$E$404,$E43,采购录入!$I$5:$I$404,"是",采购录入!$B$5:$B$404,"&lt;="&amp;$B43)),IFERROR(INDEX(基础资料!$U$6:$U$205,MATCH($E43,基础资料!$Q$6:$Q$205,0)),0))))</f>
        <v/>
      </c>
      <c r="S43" s="48" t="str">
        <f aca="false">IF($O43="","",ROUND(N($F43)*N($R43),2))</f>
        <v/>
      </c>
      <c r="T43" s="48" t="str">
        <f aca="false">IF($O43="","",N($O43)-N($S43))</f>
        <v/>
      </c>
      <c r="U43" s="52" t="str">
        <f aca="false">IF(OR($B43="",$D43=""),"",$B43+N(IFERROR(INDEX(基础资料!$AB$6:$AB$155,MATCH($D43,基础资料!$Z$6:$Z$155,0)),0)))</f>
        <v/>
      </c>
      <c r="V43" s="49" t="str">
        <f aca="false">IF($O43="","","1122")</f>
        <v/>
      </c>
      <c r="W43" s="49" t="str">
        <f aca="false">IF($O43="","","6001")</f>
        <v/>
      </c>
      <c r="X43" s="48" t="str">
        <f aca="false">IF($O43="","",$O43)</f>
        <v/>
      </c>
      <c r="Y43" s="49" t="str">
        <f aca="false">IF(N($P43)=0,"","1122")</f>
        <v/>
      </c>
      <c r="Z43" s="49" t="str">
        <f aca="false">IF(N($P43)=0,"","2221")</f>
        <v/>
      </c>
      <c r="AA43" s="48" t="str">
        <f aca="false">IF(N($P43)=0,"",$P43)</f>
        <v/>
      </c>
      <c r="AB43" s="49" t="str">
        <f aca="false">IF(N($S43)=0,"","6401")</f>
        <v/>
      </c>
      <c r="AC43" s="49" t="str">
        <f aca="false">IF(N($S43)=0,"","1405")</f>
        <v/>
      </c>
      <c r="AD43" s="48" t="str">
        <f aca="false">IF(N($S43)=0,"",$S43)</f>
        <v/>
      </c>
      <c r="AE43" s="49" t="str">
        <f aca="false">IF(AND($D43=客户对账单!$B$3,$B43&gt;=客户对账单!$E$3,$B43&lt;=客户对账单!$H$3),COUNTIFS($D$5:$D43,客户对账单!$B$3,$B$5:$B43,"&gt;="&amp;客户对账单!$E$3,$B$5:$B43,"&lt;="&amp;客户对账单!$H$3),"")</f>
        <v/>
      </c>
    </row>
    <row r="44" customFormat="false" ht="15.75" hidden="false" customHeight="true" outlineLevel="0" collapsed="false">
      <c r="A44" s="42" t="str">
        <f aca="false">IF($B44="","","XS"&amp;TEXT($B44,"yyyymm")&amp;"-"&amp;TEXT(ROW()-4,"000"))</f>
        <v/>
      </c>
      <c r="B44" s="41"/>
      <c r="C44" s="42" t="str">
        <f aca="false">IF($B44="","",TEXT($B44,"yyyy-mm"))</f>
        <v/>
      </c>
      <c r="D44" s="32"/>
      <c r="E44" s="36"/>
      <c r="F44" s="43"/>
      <c r="G44" s="40"/>
      <c r="H44" s="51"/>
      <c r="I44" s="33"/>
      <c r="J44" s="33"/>
      <c r="K44" s="36"/>
      <c r="L44" s="47" t="str">
        <f aca="false">IF($B44="","",IF(NOT(ISNUMBER($B44)),"日期不是日期格式",IF(YEAR($B44)&lt;&gt;首页!$B$3,"不在会计年度",IF($D44="","未选客户",IF(ISNA(MATCH($D44,基础资料!$Z$6:$Z$155,0)),"客户不在档案",IF($E44="","未选商品",IF(ISNA(MATCH($E44,基础资料!$Q$6:$Q$205,0)),"商品不在档案",IF(NOT(ISNUMBER($F44)),"数量须为数字",IF(NOT(ISNUMBER($G44)),"单价须为数字",IF(N($F44)&lt;=0,"数量须大于0",IF(AND(IFERROR(INDEX(基础资料!$V$6:$V$205,MATCH($E44,基础资料!$Q$6:$Q$205,0)),"")="是",N($R44)=0),"无成本价·请先录采购或填参考成本",IF(N($T44)&lt;0,"毛利为负·请核对","√"))))))))))))</f>
        <v/>
      </c>
      <c r="M44" s="49" t="str">
        <f aca="false">IF($E44="","",IFERROR(INDEX(基础资料!$R$6:$R$205,MATCH($E44,基础资料!$Q$6:$Q$205,0)),""))</f>
        <v/>
      </c>
      <c r="N44" s="49" t="str">
        <f aca="false">IF($E44="","",IFERROR(INDEX(基础资料!$S$6:$S$205,MATCH($E44,基础资料!$Q$6:$Q$205,0)),""))</f>
        <v/>
      </c>
      <c r="O44" s="48" t="str">
        <f aca="false">IF(OR($F44="",$G44=""),"",ROUND(N($F44)*N($G44),2))</f>
        <v/>
      </c>
      <c r="P44" s="48" t="str">
        <f aca="false">IF($O44="","",ROUND(N($O44)*N($H44),2))</f>
        <v/>
      </c>
      <c r="Q44" s="48" t="str">
        <f aca="false">IF($O44="","",N($O44)+N($P44))</f>
        <v/>
      </c>
      <c r="R44" s="48" t="str">
        <f aca="false">IF(OR($E44="",$B44=""),"",IF(IFERROR(INDEX(基础资料!$V$6:$V$205,MATCH($E44,基础资料!$Q$6:$Q$205,0)),"")&lt;&gt;"是",0,IFERROR((SUMIFS(期初数据!$T$6:$T$205,期初数据!$O$6:$O$205,$E44)+SUMIFS(采购录入!$Q$5:$Q$404,采购录入!$E$5:$E$404,$E44,采购录入!$I$5:$I$404,"是",采购录入!$B$5:$B$404,"&lt;="&amp;$B44))/(SUMIFS(期初数据!$R$6:$R$205,期初数据!$O$6:$O$205,$E44)+SUMIFS(采购录入!$F$5:$F$404,采购录入!$E$5:$E$404,$E44,采购录入!$I$5:$I$404,"是",采购录入!$B$5:$B$404,"&lt;="&amp;$B44)),IFERROR(INDEX(基础资料!$U$6:$U$205,MATCH($E44,基础资料!$Q$6:$Q$205,0)),0))))</f>
        <v/>
      </c>
      <c r="S44" s="48" t="str">
        <f aca="false">IF($O44="","",ROUND(N($F44)*N($R44),2))</f>
        <v/>
      </c>
      <c r="T44" s="48" t="str">
        <f aca="false">IF($O44="","",N($O44)-N($S44))</f>
        <v/>
      </c>
      <c r="U44" s="52" t="str">
        <f aca="false">IF(OR($B44="",$D44=""),"",$B44+N(IFERROR(INDEX(基础资料!$AB$6:$AB$155,MATCH($D44,基础资料!$Z$6:$Z$155,0)),0)))</f>
        <v/>
      </c>
      <c r="V44" s="49" t="str">
        <f aca="false">IF($O44="","","1122")</f>
        <v/>
      </c>
      <c r="W44" s="49" t="str">
        <f aca="false">IF($O44="","","6001")</f>
        <v/>
      </c>
      <c r="X44" s="48" t="str">
        <f aca="false">IF($O44="","",$O44)</f>
        <v/>
      </c>
      <c r="Y44" s="49" t="str">
        <f aca="false">IF(N($P44)=0,"","1122")</f>
        <v/>
      </c>
      <c r="Z44" s="49" t="str">
        <f aca="false">IF(N($P44)=0,"","2221")</f>
        <v/>
      </c>
      <c r="AA44" s="48" t="str">
        <f aca="false">IF(N($P44)=0,"",$P44)</f>
        <v/>
      </c>
      <c r="AB44" s="49" t="str">
        <f aca="false">IF(N($S44)=0,"","6401")</f>
        <v/>
      </c>
      <c r="AC44" s="49" t="str">
        <f aca="false">IF(N($S44)=0,"","1405")</f>
        <v/>
      </c>
      <c r="AD44" s="48" t="str">
        <f aca="false">IF(N($S44)=0,"",$S44)</f>
        <v/>
      </c>
      <c r="AE44" s="49" t="str">
        <f aca="false">IF(AND($D44=客户对账单!$B$3,$B44&gt;=客户对账单!$E$3,$B44&lt;=客户对账单!$H$3),COUNTIFS($D$5:$D44,客户对账单!$B$3,$B$5:$B44,"&gt;="&amp;客户对账单!$E$3,$B$5:$B44,"&lt;="&amp;客户对账单!$H$3),"")</f>
        <v/>
      </c>
    </row>
    <row r="45" customFormat="false" ht="15.75" hidden="false" customHeight="true" outlineLevel="0" collapsed="false">
      <c r="A45" s="42" t="str">
        <f aca="false">IF($B45="","","XS"&amp;TEXT($B45,"yyyymm")&amp;"-"&amp;TEXT(ROW()-4,"000"))</f>
        <v/>
      </c>
      <c r="B45" s="41"/>
      <c r="C45" s="42" t="str">
        <f aca="false">IF($B45="","",TEXT($B45,"yyyy-mm"))</f>
        <v/>
      </c>
      <c r="D45" s="32"/>
      <c r="E45" s="36"/>
      <c r="F45" s="43"/>
      <c r="G45" s="40"/>
      <c r="H45" s="51"/>
      <c r="I45" s="33"/>
      <c r="J45" s="33"/>
      <c r="K45" s="36"/>
      <c r="L45" s="47" t="str">
        <f aca="false">IF($B45="","",IF(NOT(ISNUMBER($B45)),"日期不是日期格式",IF(YEAR($B45)&lt;&gt;首页!$B$3,"不在会计年度",IF($D45="","未选客户",IF(ISNA(MATCH($D45,基础资料!$Z$6:$Z$155,0)),"客户不在档案",IF($E45="","未选商品",IF(ISNA(MATCH($E45,基础资料!$Q$6:$Q$205,0)),"商品不在档案",IF(NOT(ISNUMBER($F45)),"数量须为数字",IF(NOT(ISNUMBER($G45)),"单价须为数字",IF(N($F45)&lt;=0,"数量须大于0",IF(AND(IFERROR(INDEX(基础资料!$V$6:$V$205,MATCH($E45,基础资料!$Q$6:$Q$205,0)),"")="是",N($R45)=0),"无成本价·请先录采购或填参考成本",IF(N($T45)&lt;0,"毛利为负·请核对","√"))))))))))))</f>
        <v/>
      </c>
      <c r="M45" s="49" t="str">
        <f aca="false">IF($E45="","",IFERROR(INDEX(基础资料!$R$6:$R$205,MATCH($E45,基础资料!$Q$6:$Q$205,0)),""))</f>
        <v/>
      </c>
      <c r="N45" s="49" t="str">
        <f aca="false">IF($E45="","",IFERROR(INDEX(基础资料!$S$6:$S$205,MATCH($E45,基础资料!$Q$6:$Q$205,0)),""))</f>
        <v/>
      </c>
      <c r="O45" s="48" t="str">
        <f aca="false">IF(OR($F45="",$G45=""),"",ROUND(N($F45)*N($G45),2))</f>
        <v/>
      </c>
      <c r="P45" s="48" t="str">
        <f aca="false">IF($O45="","",ROUND(N($O45)*N($H45),2))</f>
        <v/>
      </c>
      <c r="Q45" s="48" t="str">
        <f aca="false">IF($O45="","",N($O45)+N($P45))</f>
        <v/>
      </c>
      <c r="R45" s="48" t="str">
        <f aca="false">IF(OR($E45="",$B45=""),"",IF(IFERROR(INDEX(基础资料!$V$6:$V$205,MATCH($E45,基础资料!$Q$6:$Q$205,0)),"")&lt;&gt;"是",0,IFERROR((SUMIFS(期初数据!$T$6:$T$205,期初数据!$O$6:$O$205,$E45)+SUMIFS(采购录入!$Q$5:$Q$404,采购录入!$E$5:$E$404,$E45,采购录入!$I$5:$I$404,"是",采购录入!$B$5:$B$404,"&lt;="&amp;$B45))/(SUMIFS(期初数据!$R$6:$R$205,期初数据!$O$6:$O$205,$E45)+SUMIFS(采购录入!$F$5:$F$404,采购录入!$E$5:$E$404,$E45,采购录入!$I$5:$I$404,"是",采购录入!$B$5:$B$404,"&lt;="&amp;$B45)),IFERROR(INDEX(基础资料!$U$6:$U$205,MATCH($E45,基础资料!$Q$6:$Q$205,0)),0))))</f>
        <v/>
      </c>
      <c r="S45" s="48" t="str">
        <f aca="false">IF($O45="","",ROUND(N($F45)*N($R45),2))</f>
        <v/>
      </c>
      <c r="T45" s="48" t="str">
        <f aca="false">IF($O45="","",N($O45)-N($S45))</f>
        <v/>
      </c>
      <c r="U45" s="52" t="str">
        <f aca="false">IF(OR($B45="",$D45=""),"",$B45+N(IFERROR(INDEX(基础资料!$AB$6:$AB$155,MATCH($D45,基础资料!$Z$6:$Z$155,0)),0)))</f>
        <v/>
      </c>
      <c r="V45" s="49" t="str">
        <f aca="false">IF($O45="","","1122")</f>
        <v/>
      </c>
      <c r="W45" s="49" t="str">
        <f aca="false">IF($O45="","","6001")</f>
        <v/>
      </c>
      <c r="X45" s="48" t="str">
        <f aca="false">IF($O45="","",$O45)</f>
        <v/>
      </c>
      <c r="Y45" s="49" t="str">
        <f aca="false">IF(N($P45)=0,"","1122")</f>
        <v/>
      </c>
      <c r="Z45" s="49" t="str">
        <f aca="false">IF(N($P45)=0,"","2221")</f>
        <v/>
      </c>
      <c r="AA45" s="48" t="str">
        <f aca="false">IF(N($P45)=0,"",$P45)</f>
        <v/>
      </c>
      <c r="AB45" s="49" t="str">
        <f aca="false">IF(N($S45)=0,"","6401")</f>
        <v/>
      </c>
      <c r="AC45" s="49" t="str">
        <f aca="false">IF(N($S45)=0,"","1405")</f>
        <v/>
      </c>
      <c r="AD45" s="48" t="str">
        <f aca="false">IF(N($S45)=0,"",$S45)</f>
        <v/>
      </c>
      <c r="AE45" s="49" t="str">
        <f aca="false">IF(AND($D45=客户对账单!$B$3,$B45&gt;=客户对账单!$E$3,$B45&lt;=客户对账单!$H$3),COUNTIFS($D$5:$D45,客户对账单!$B$3,$B$5:$B45,"&gt;="&amp;客户对账单!$E$3,$B$5:$B45,"&lt;="&amp;客户对账单!$H$3),"")</f>
        <v/>
      </c>
    </row>
    <row r="46" customFormat="false" ht="15.75" hidden="false" customHeight="true" outlineLevel="0" collapsed="false">
      <c r="A46" s="42" t="str">
        <f aca="false">IF($B46="","","XS"&amp;TEXT($B46,"yyyymm")&amp;"-"&amp;TEXT(ROW()-4,"000"))</f>
        <v/>
      </c>
      <c r="B46" s="41"/>
      <c r="C46" s="42" t="str">
        <f aca="false">IF($B46="","",TEXT($B46,"yyyy-mm"))</f>
        <v/>
      </c>
      <c r="D46" s="32"/>
      <c r="E46" s="36"/>
      <c r="F46" s="43"/>
      <c r="G46" s="40"/>
      <c r="H46" s="51"/>
      <c r="I46" s="33"/>
      <c r="J46" s="33"/>
      <c r="K46" s="36"/>
      <c r="L46" s="47" t="str">
        <f aca="false">IF($B46="","",IF(NOT(ISNUMBER($B46)),"日期不是日期格式",IF(YEAR($B46)&lt;&gt;首页!$B$3,"不在会计年度",IF($D46="","未选客户",IF(ISNA(MATCH($D46,基础资料!$Z$6:$Z$155,0)),"客户不在档案",IF($E46="","未选商品",IF(ISNA(MATCH($E46,基础资料!$Q$6:$Q$205,0)),"商品不在档案",IF(NOT(ISNUMBER($F46)),"数量须为数字",IF(NOT(ISNUMBER($G46)),"单价须为数字",IF(N($F46)&lt;=0,"数量须大于0",IF(AND(IFERROR(INDEX(基础资料!$V$6:$V$205,MATCH($E46,基础资料!$Q$6:$Q$205,0)),"")="是",N($R46)=0),"无成本价·请先录采购或填参考成本",IF(N($T46)&lt;0,"毛利为负·请核对","√"))))))))))))</f>
        <v/>
      </c>
      <c r="M46" s="49" t="str">
        <f aca="false">IF($E46="","",IFERROR(INDEX(基础资料!$R$6:$R$205,MATCH($E46,基础资料!$Q$6:$Q$205,0)),""))</f>
        <v/>
      </c>
      <c r="N46" s="49" t="str">
        <f aca="false">IF($E46="","",IFERROR(INDEX(基础资料!$S$6:$S$205,MATCH($E46,基础资料!$Q$6:$Q$205,0)),""))</f>
        <v/>
      </c>
      <c r="O46" s="48" t="str">
        <f aca="false">IF(OR($F46="",$G46=""),"",ROUND(N($F46)*N($G46),2))</f>
        <v/>
      </c>
      <c r="P46" s="48" t="str">
        <f aca="false">IF($O46="","",ROUND(N($O46)*N($H46),2))</f>
        <v/>
      </c>
      <c r="Q46" s="48" t="str">
        <f aca="false">IF($O46="","",N($O46)+N($P46))</f>
        <v/>
      </c>
      <c r="R46" s="48" t="str">
        <f aca="false">IF(OR($E46="",$B46=""),"",IF(IFERROR(INDEX(基础资料!$V$6:$V$205,MATCH($E46,基础资料!$Q$6:$Q$205,0)),"")&lt;&gt;"是",0,IFERROR((SUMIFS(期初数据!$T$6:$T$205,期初数据!$O$6:$O$205,$E46)+SUMIFS(采购录入!$Q$5:$Q$404,采购录入!$E$5:$E$404,$E46,采购录入!$I$5:$I$404,"是",采购录入!$B$5:$B$404,"&lt;="&amp;$B46))/(SUMIFS(期初数据!$R$6:$R$205,期初数据!$O$6:$O$205,$E46)+SUMIFS(采购录入!$F$5:$F$404,采购录入!$E$5:$E$404,$E46,采购录入!$I$5:$I$404,"是",采购录入!$B$5:$B$404,"&lt;="&amp;$B46)),IFERROR(INDEX(基础资料!$U$6:$U$205,MATCH($E46,基础资料!$Q$6:$Q$205,0)),0))))</f>
        <v/>
      </c>
      <c r="S46" s="48" t="str">
        <f aca="false">IF($O46="","",ROUND(N($F46)*N($R46),2))</f>
        <v/>
      </c>
      <c r="T46" s="48" t="str">
        <f aca="false">IF($O46="","",N($O46)-N($S46))</f>
        <v/>
      </c>
      <c r="U46" s="52" t="str">
        <f aca="false">IF(OR($B46="",$D46=""),"",$B46+N(IFERROR(INDEX(基础资料!$AB$6:$AB$155,MATCH($D46,基础资料!$Z$6:$Z$155,0)),0)))</f>
        <v/>
      </c>
      <c r="V46" s="49" t="str">
        <f aca="false">IF($O46="","","1122")</f>
        <v/>
      </c>
      <c r="W46" s="49" t="str">
        <f aca="false">IF($O46="","","6001")</f>
        <v/>
      </c>
      <c r="X46" s="48" t="str">
        <f aca="false">IF($O46="","",$O46)</f>
        <v/>
      </c>
      <c r="Y46" s="49" t="str">
        <f aca="false">IF(N($P46)=0,"","1122")</f>
        <v/>
      </c>
      <c r="Z46" s="49" t="str">
        <f aca="false">IF(N($P46)=0,"","2221")</f>
        <v/>
      </c>
      <c r="AA46" s="48" t="str">
        <f aca="false">IF(N($P46)=0,"",$P46)</f>
        <v/>
      </c>
      <c r="AB46" s="49" t="str">
        <f aca="false">IF(N($S46)=0,"","6401")</f>
        <v/>
      </c>
      <c r="AC46" s="49" t="str">
        <f aca="false">IF(N($S46)=0,"","1405")</f>
        <v/>
      </c>
      <c r="AD46" s="48" t="str">
        <f aca="false">IF(N($S46)=0,"",$S46)</f>
        <v/>
      </c>
      <c r="AE46" s="49" t="str">
        <f aca="false">IF(AND($D46=客户对账单!$B$3,$B46&gt;=客户对账单!$E$3,$B46&lt;=客户对账单!$H$3),COUNTIFS($D$5:$D46,客户对账单!$B$3,$B$5:$B46,"&gt;="&amp;客户对账单!$E$3,$B$5:$B46,"&lt;="&amp;客户对账单!$H$3),"")</f>
        <v/>
      </c>
    </row>
    <row r="47" customFormat="false" ht="15.75" hidden="false" customHeight="true" outlineLevel="0" collapsed="false">
      <c r="A47" s="42" t="str">
        <f aca="false">IF($B47="","","XS"&amp;TEXT($B47,"yyyymm")&amp;"-"&amp;TEXT(ROW()-4,"000"))</f>
        <v/>
      </c>
      <c r="B47" s="41"/>
      <c r="C47" s="42" t="str">
        <f aca="false">IF($B47="","",TEXT($B47,"yyyy-mm"))</f>
        <v/>
      </c>
      <c r="D47" s="32"/>
      <c r="E47" s="36"/>
      <c r="F47" s="43"/>
      <c r="G47" s="40"/>
      <c r="H47" s="51"/>
      <c r="I47" s="33"/>
      <c r="J47" s="33"/>
      <c r="K47" s="36"/>
      <c r="L47" s="47" t="str">
        <f aca="false">IF($B47="","",IF(NOT(ISNUMBER($B47)),"日期不是日期格式",IF(YEAR($B47)&lt;&gt;首页!$B$3,"不在会计年度",IF($D47="","未选客户",IF(ISNA(MATCH($D47,基础资料!$Z$6:$Z$155,0)),"客户不在档案",IF($E47="","未选商品",IF(ISNA(MATCH($E47,基础资料!$Q$6:$Q$205,0)),"商品不在档案",IF(NOT(ISNUMBER($F47)),"数量须为数字",IF(NOT(ISNUMBER($G47)),"单价须为数字",IF(N($F47)&lt;=0,"数量须大于0",IF(AND(IFERROR(INDEX(基础资料!$V$6:$V$205,MATCH($E47,基础资料!$Q$6:$Q$205,0)),"")="是",N($R47)=0),"无成本价·请先录采购或填参考成本",IF(N($T47)&lt;0,"毛利为负·请核对","√"))))))))))))</f>
        <v/>
      </c>
      <c r="M47" s="49" t="str">
        <f aca="false">IF($E47="","",IFERROR(INDEX(基础资料!$R$6:$R$205,MATCH($E47,基础资料!$Q$6:$Q$205,0)),""))</f>
        <v/>
      </c>
      <c r="N47" s="49" t="str">
        <f aca="false">IF($E47="","",IFERROR(INDEX(基础资料!$S$6:$S$205,MATCH($E47,基础资料!$Q$6:$Q$205,0)),""))</f>
        <v/>
      </c>
      <c r="O47" s="48" t="str">
        <f aca="false">IF(OR($F47="",$G47=""),"",ROUND(N($F47)*N($G47),2))</f>
        <v/>
      </c>
      <c r="P47" s="48" t="str">
        <f aca="false">IF($O47="","",ROUND(N($O47)*N($H47),2))</f>
        <v/>
      </c>
      <c r="Q47" s="48" t="str">
        <f aca="false">IF($O47="","",N($O47)+N($P47))</f>
        <v/>
      </c>
      <c r="R47" s="48" t="str">
        <f aca="false">IF(OR($E47="",$B47=""),"",IF(IFERROR(INDEX(基础资料!$V$6:$V$205,MATCH($E47,基础资料!$Q$6:$Q$205,0)),"")&lt;&gt;"是",0,IFERROR((SUMIFS(期初数据!$T$6:$T$205,期初数据!$O$6:$O$205,$E47)+SUMIFS(采购录入!$Q$5:$Q$404,采购录入!$E$5:$E$404,$E47,采购录入!$I$5:$I$404,"是",采购录入!$B$5:$B$404,"&lt;="&amp;$B47))/(SUMIFS(期初数据!$R$6:$R$205,期初数据!$O$6:$O$205,$E47)+SUMIFS(采购录入!$F$5:$F$404,采购录入!$E$5:$E$404,$E47,采购录入!$I$5:$I$404,"是",采购录入!$B$5:$B$404,"&lt;="&amp;$B47)),IFERROR(INDEX(基础资料!$U$6:$U$205,MATCH($E47,基础资料!$Q$6:$Q$205,0)),0))))</f>
        <v/>
      </c>
      <c r="S47" s="48" t="str">
        <f aca="false">IF($O47="","",ROUND(N($F47)*N($R47),2))</f>
        <v/>
      </c>
      <c r="T47" s="48" t="str">
        <f aca="false">IF($O47="","",N($O47)-N($S47))</f>
        <v/>
      </c>
      <c r="U47" s="52" t="str">
        <f aca="false">IF(OR($B47="",$D47=""),"",$B47+N(IFERROR(INDEX(基础资料!$AB$6:$AB$155,MATCH($D47,基础资料!$Z$6:$Z$155,0)),0)))</f>
        <v/>
      </c>
      <c r="V47" s="49" t="str">
        <f aca="false">IF($O47="","","1122")</f>
        <v/>
      </c>
      <c r="W47" s="49" t="str">
        <f aca="false">IF($O47="","","6001")</f>
        <v/>
      </c>
      <c r="X47" s="48" t="str">
        <f aca="false">IF($O47="","",$O47)</f>
        <v/>
      </c>
      <c r="Y47" s="49" t="str">
        <f aca="false">IF(N($P47)=0,"","1122")</f>
        <v/>
      </c>
      <c r="Z47" s="49" t="str">
        <f aca="false">IF(N($P47)=0,"","2221")</f>
        <v/>
      </c>
      <c r="AA47" s="48" t="str">
        <f aca="false">IF(N($P47)=0,"",$P47)</f>
        <v/>
      </c>
      <c r="AB47" s="49" t="str">
        <f aca="false">IF(N($S47)=0,"","6401")</f>
        <v/>
      </c>
      <c r="AC47" s="49" t="str">
        <f aca="false">IF(N($S47)=0,"","1405")</f>
        <v/>
      </c>
      <c r="AD47" s="48" t="str">
        <f aca="false">IF(N($S47)=0,"",$S47)</f>
        <v/>
      </c>
      <c r="AE47" s="49" t="str">
        <f aca="false">IF(AND($D47=客户对账单!$B$3,$B47&gt;=客户对账单!$E$3,$B47&lt;=客户对账单!$H$3),COUNTIFS($D$5:$D47,客户对账单!$B$3,$B$5:$B47,"&gt;="&amp;客户对账单!$E$3,$B$5:$B47,"&lt;="&amp;客户对账单!$H$3),"")</f>
        <v/>
      </c>
    </row>
    <row r="48" customFormat="false" ht="15.75" hidden="false" customHeight="true" outlineLevel="0" collapsed="false">
      <c r="A48" s="42" t="str">
        <f aca="false">IF($B48="","","XS"&amp;TEXT($B48,"yyyymm")&amp;"-"&amp;TEXT(ROW()-4,"000"))</f>
        <v/>
      </c>
      <c r="B48" s="41"/>
      <c r="C48" s="42" t="str">
        <f aca="false">IF($B48="","",TEXT($B48,"yyyy-mm"))</f>
        <v/>
      </c>
      <c r="D48" s="32"/>
      <c r="E48" s="36"/>
      <c r="F48" s="43"/>
      <c r="G48" s="40"/>
      <c r="H48" s="51"/>
      <c r="I48" s="33"/>
      <c r="J48" s="33"/>
      <c r="K48" s="36"/>
      <c r="L48" s="47" t="str">
        <f aca="false">IF($B48="","",IF(NOT(ISNUMBER($B48)),"日期不是日期格式",IF(YEAR($B48)&lt;&gt;首页!$B$3,"不在会计年度",IF($D48="","未选客户",IF(ISNA(MATCH($D48,基础资料!$Z$6:$Z$155,0)),"客户不在档案",IF($E48="","未选商品",IF(ISNA(MATCH($E48,基础资料!$Q$6:$Q$205,0)),"商品不在档案",IF(NOT(ISNUMBER($F48)),"数量须为数字",IF(NOT(ISNUMBER($G48)),"单价须为数字",IF(N($F48)&lt;=0,"数量须大于0",IF(AND(IFERROR(INDEX(基础资料!$V$6:$V$205,MATCH($E48,基础资料!$Q$6:$Q$205,0)),"")="是",N($R48)=0),"无成本价·请先录采购或填参考成本",IF(N($T48)&lt;0,"毛利为负·请核对","√"))))))))))))</f>
        <v/>
      </c>
      <c r="M48" s="49" t="str">
        <f aca="false">IF($E48="","",IFERROR(INDEX(基础资料!$R$6:$R$205,MATCH($E48,基础资料!$Q$6:$Q$205,0)),""))</f>
        <v/>
      </c>
      <c r="N48" s="49" t="str">
        <f aca="false">IF($E48="","",IFERROR(INDEX(基础资料!$S$6:$S$205,MATCH($E48,基础资料!$Q$6:$Q$205,0)),""))</f>
        <v/>
      </c>
      <c r="O48" s="48" t="str">
        <f aca="false">IF(OR($F48="",$G48=""),"",ROUND(N($F48)*N($G48),2))</f>
        <v/>
      </c>
      <c r="P48" s="48" t="str">
        <f aca="false">IF($O48="","",ROUND(N($O48)*N($H48),2))</f>
        <v/>
      </c>
      <c r="Q48" s="48" t="str">
        <f aca="false">IF($O48="","",N($O48)+N($P48))</f>
        <v/>
      </c>
      <c r="R48" s="48" t="str">
        <f aca="false">IF(OR($E48="",$B48=""),"",IF(IFERROR(INDEX(基础资料!$V$6:$V$205,MATCH($E48,基础资料!$Q$6:$Q$205,0)),"")&lt;&gt;"是",0,IFERROR((SUMIFS(期初数据!$T$6:$T$205,期初数据!$O$6:$O$205,$E48)+SUMIFS(采购录入!$Q$5:$Q$404,采购录入!$E$5:$E$404,$E48,采购录入!$I$5:$I$404,"是",采购录入!$B$5:$B$404,"&lt;="&amp;$B48))/(SUMIFS(期初数据!$R$6:$R$205,期初数据!$O$6:$O$205,$E48)+SUMIFS(采购录入!$F$5:$F$404,采购录入!$E$5:$E$404,$E48,采购录入!$I$5:$I$404,"是",采购录入!$B$5:$B$404,"&lt;="&amp;$B48)),IFERROR(INDEX(基础资料!$U$6:$U$205,MATCH($E48,基础资料!$Q$6:$Q$205,0)),0))))</f>
        <v/>
      </c>
      <c r="S48" s="48" t="str">
        <f aca="false">IF($O48="","",ROUND(N($F48)*N($R48),2))</f>
        <v/>
      </c>
      <c r="T48" s="48" t="str">
        <f aca="false">IF($O48="","",N($O48)-N($S48))</f>
        <v/>
      </c>
      <c r="U48" s="52" t="str">
        <f aca="false">IF(OR($B48="",$D48=""),"",$B48+N(IFERROR(INDEX(基础资料!$AB$6:$AB$155,MATCH($D48,基础资料!$Z$6:$Z$155,0)),0)))</f>
        <v/>
      </c>
      <c r="V48" s="49" t="str">
        <f aca="false">IF($O48="","","1122")</f>
        <v/>
      </c>
      <c r="W48" s="49" t="str">
        <f aca="false">IF($O48="","","6001")</f>
        <v/>
      </c>
      <c r="X48" s="48" t="str">
        <f aca="false">IF($O48="","",$O48)</f>
        <v/>
      </c>
      <c r="Y48" s="49" t="str">
        <f aca="false">IF(N($P48)=0,"","1122")</f>
        <v/>
      </c>
      <c r="Z48" s="49" t="str">
        <f aca="false">IF(N($P48)=0,"","2221")</f>
        <v/>
      </c>
      <c r="AA48" s="48" t="str">
        <f aca="false">IF(N($P48)=0,"",$P48)</f>
        <v/>
      </c>
      <c r="AB48" s="49" t="str">
        <f aca="false">IF(N($S48)=0,"","6401")</f>
        <v/>
      </c>
      <c r="AC48" s="49" t="str">
        <f aca="false">IF(N($S48)=0,"","1405")</f>
        <v/>
      </c>
      <c r="AD48" s="48" t="str">
        <f aca="false">IF(N($S48)=0,"",$S48)</f>
        <v/>
      </c>
      <c r="AE48" s="49" t="str">
        <f aca="false">IF(AND($D48=客户对账单!$B$3,$B48&gt;=客户对账单!$E$3,$B48&lt;=客户对账单!$H$3),COUNTIFS($D$5:$D48,客户对账单!$B$3,$B$5:$B48,"&gt;="&amp;客户对账单!$E$3,$B$5:$B48,"&lt;="&amp;客户对账单!$H$3),"")</f>
        <v/>
      </c>
    </row>
    <row r="49" customFormat="false" ht="15.75" hidden="false" customHeight="true" outlineLevel="0" collapsed="false">
      <c r="A49" s="42" t="str">
        <f aca="false">IF($B49="","","XS"&amp;TEXT($B49,"yyyymm")&amp;"-"&amp;TEXT(ROW()-4,"000"))</f>
        <v/>
      </c>
      <c r="B49" s="41"/>
      <c r="C49" s="42" t="str">
        <f aca="false">IF($B49="","",TEXT($B49,"yyyy-mm"))</f>
        <v/>
      </c>
      <c r="D49" s="32"/>
      <c r="E49" s="36"/>
      <c r="F49" s="43"/>
      <c r="G49" s="40"/>
      <c r="H49" s="51"/>
      <c r="I49" s="33"/>
      <c r="J49" s="33"/>
      <c r="K49" s="36"/>
      <c r="L49" s="47" t="str">
        <f aca="false">IF($B49="","",IF(NOT(ISNUMBER($B49)),"日期不是日期格式",IF(YEAR($B49)&lt;&gt;首页!$B$3,"不在会计年度",IF($D49="","未选客户",IF(ISNA(MATCH($D49,基础资料!$Z$6:$Z$155,0)),"客户不在档案",IF($E49="","未选商品",IF(ISNA(MATCH($E49,基础资料!$Q$6:$Q$205,0)),"商品不在档案",IF(NOT(ISNUMBER($F49)),"数量须为数字",IF(NOT(ISNUMBER($G49)),"单价须为数字",IF(N($F49)&lt;=0,"数量须大于0",IF(AND(IFERROR(INDEX(基础资料!$V$6:$V$205,MATCH($E49,基础资料!$Q$6:$Q$205,0)),"")="是",N($R49)=0),"无成本价·请先录采购或填参考成本",IF(N($T49)&lt;0,"毛利为负·请核对","√"))))))))))))</f>
        <v/>
      </c>
      <c r="M49" s="49" t="str">
        <f aca="false">IF($E49="","",IFERROR(INDEX(基础资料!$R$6:$R$205,MATCH($E49,基础资料!$Q$6:$Q$205,0)),""))</f>
        <v/>
      </c>
      <c r="N49" s="49" t="str">
        <f aca="false">IF($E49="","",IFERROR(INDEX(基础资料!$S$6:$S$205,MATCH($E49,基础资料!$Q$6:$Q$205,0)),""))</f>
        <v/>
      </c>
      <c r="O49" s="48" t="str">
        <f aca="false">IF(OR($F49="",$G49=""),"",ROUND(N($F49)*N($G49),2))</f>
        <v/>
      </c>
      <c r="P49" s="48" t="str">
        <f aca="false">IF($O49="","",ROUND(N($O49)*N($H49),2))</f>
        <v/>
      </c>
      <c r="Q49" s="48" t="str">
        <f aca="false">IF($O49="","",N($O49)+N($P49))</f>
        <v/>
      </c>
      <c r="R49" s="48" t="str">
        <f aca="false">IF(OR($E49="",$B49=""),"",IF(IFERROR(INDEX(基础资料!$V$6:$V$205,MATCH($E49,基础资料!$Q$6:$Q$205,0)),"")&lt;&gt;"是",0,IFERROR((SUMIFS(期初数据!$T$6:$T$205,期初数据!$O$6:$O$205,$E49)+SUMIFS(采购录入!$Q$5:$Q$404,采购录入!$E$5:$E$404,$E49,采购录入!$I$5:$I$404,"是",采购录入!$B$5:$B$404,"&lt;="&amp;$B49))/(SUMIFS(期初数据!$R$6:$R$205,期初数据!$O$6:$O$205,$E49)+SUMIFS(采购录入!$F$5:$F$404,采购录入!$E$5:$E$404,$E49,采购录入!$I$5:$I$404,"是",采购录入!$B$5:$B$404,"&lt;="&amp;$B49)),IFERROR(INDEX(基础资料!$U$6:$U$205,MATCH($E49,基础资料!$Q$6:$Q$205,0)),0))))</f>
        <v/>
      </c>
      <c r="S49" s="48" t="str">
        <f aca="false">IF($O49="","",ROUND(N($F49)*N($R49),2))</f>
        <v/>
      </c>
      <c r="T49" s="48" t="str">
        <f aca="false">IF($O49="","",N($O49)-N($S49))</f>
        <v/>
      </c>
      <c r="U49" s="52" t="str">
        <f aca="false">IF(OR($B49="",$D49=""),"",$B49+N(IFERROR(INDEX(基础资料!$AB$6:$AB$155,MATCH($D49,基础资料!$Z$6:$Z$155,0)),0)))</f>
        <v/>
      </c>
      <c r="V49" s="49" t="str">
        <f aca="false">IF($O49="","","1122")</f>
        <v/>
      </c>
      <c r="W49" s="49" t="str">
        <f aca="false">IF($O49="","","6001")</f>
        <v/>
      </c>
      <c r="X49" s="48" t="str">
        <f aca="false">IF($O49="","",$O49)</f>
        <v/>
      </c>
      <c r="Y49" s="49" t="str">
        <f aca="false">IF(N($P49)=0,"","1122")</f>
        <v/>
      </c>
      <c r="Z49" s="49" t="str">
        <f aca="false">IF(N($P49)=0,"","2221")</f>
        <v/>
      </c>
      <c r="AA49" s="48" t="str">
        <f aca="false">IF(N($P49)=0,"",$P49)</f>
        <v/>
      </c>
      <c r="AB49" s="49" t="str">
        <f aca="false">IF(N($S49)=0,"","6401")</f>
        <v/>
      </c>
      <c r="AC49" s="49" t="str">
        <f aca="false">IF(N($S49)=0,"","1405")</f>
        <v/>
      </c>
      <c r="AD49" s="48" t="str">
        <f aca="false">IF(N($S49)=0,"",$S49)</f>
        <v/>
      </c>
      <c r="AE49" s="49" t="str">
        <f aca="false">IF(AND($D49=客户对账单!$B$3,$B49&gt;=客户对账单!$E$3,$B49&lt;=客户对账单!$H$3),COUNTIFS($D$5:$D49,客户对账单!$B$3,$B$5:$B49,"&gt;="&amp;客户对账单!$E$3,$B$5:$B49,"&lt;="&amp;客户对账单!$H$3),"")</f>
        <v/>
      </c>
    </row>
    <row r="50" customFormat="false" ht="15.75" hidden="false" customHeight="true" outlineLevel="0" collapsed="false">
      <c r="A50" s="42" t="str">
        <f aca="false">IF($B50="","","XS"&amp;TEXT($B50,"yyyymm")&amp;"-"&amp;TEXT(ROW()-4,"000"))</f>
        <v/>
      </c>
      <c r="B50" s="41"/>
      <c r="C50" s="42" t="str">
        <f aca="false">IF($B50="","",TEXT($B50,"yyyy-mm"))</f>
        <v/>
      </c>
      <c r="D50" s="32"/>
      <c r="E50" s="36"/>
      <c r="F50" s="43"/>
      <c r="G50" s="40"/>
      <c r="H50" s="51"/>
      <c r="I50" s="33"/>
      <c r="J50" s="33"/>
      <c r="K50" s="36"/>
      <c r="L50" s="47" t="str">
        <f aca="false">IF($B50="","",IF(NOT(ISNUMBER($B50)),"日期不是日期格式",IF(YEAR($B50)&lt;&gt;首页!$B$3,"不在会计年度",IF($D50="","未选客户",IF(ISNA(MATCH($D50,基础资料!$Z$6:$Z$155,0)),"客户不在档案",IF($E50="","未选商品",IF(ISNA(MATCH($E50,基础资料!$Q$6:$Q$205,0)),"商品不在档案",IF(NOT(ISNUMBER($F50)),"数量须为数字",IF(NOT(ISNUMBER($G50)),"单价须为数字",IF(N($F50)&lt;=0,"数量须大于0",IF(AND(IFERROR(INDEX(基础资料!$V$6:$V$205,MATCH($E50,基础资料!$Q$6:$Q$205,0)),"")="是",N($R50)=0),"无成本价·请先录采购或填参考成本",IF(N($T50)&lt;0,"毛利为负·请核对","√"))))))))))))</f>
        <v/>
      </c>
      <c r="M50" s="49" t="str">
        <f aca="false">IF($E50="","",IFERROR(INDEX(基础资料!$R$6:$R$205,MATCH($E50,基础资料!$Q$6:$Q$205,0)),""))</f>
        <v/>
      </c>
      <c r="N50" s="49" t="str">
        <f aca="false">IF($E50="","",IFERROR(INDEX(基础资料!$S$6:$S$205,MATCH($E50,基础资料!$Q$6:$Q$205,0)),""))</f>
        <v/>
      </c>
      <c r="O50" s="48" t="str">
        <f aca="false">IF(OR($F50="",$G50=""),"",ROUND(N($F50)*N($G50),2))</f>
        <v/>
      </c>
      <c r="P50" s="48" t="str">
        <f aca="false">IF($O50="","",ROUND(N($O50)*N($H50),2))</f>
        <v/>
      </c>
      <c r="Q50" s="48" t="str">
        <f aca="false">IF($O50="","",N($O50)+N($P50))</f>
        <v/>
      </c>
      <c r="R50" s="48" t="str">
        <f aca="false">IF(OR($E50="",$B50=""),"",IF(IFERROR(INDEX(基础资料!$V$6:$V$205,MATCH($E50,基础资料!$Q$6:$Q$205,0)),"")&lt;&gt;"是",0,IFERROR((SUMIFS(期初数据!$T$6:$T$205,期初数据!$O$6:$O$205,$E50)+SUMIFS(采购录入!$Q$5:$Q$404,采购录入!$E$5:$E$404,$E50,采购录入!$I$5:$I$404,"是",采购录入!$B$5:$B$404,"&lt;="&amp;$B50))/(SUMIFS(期初数据!$R$6:$R$205,期初数据!$O$6:$O$205,$E50)+SUMIFS(采购录入!$F$5:$F$404,采购录入!$E$5:$E$404,$E50,采购录入!$I$5:$I$404,"是",采购录入!$B$5:$B$404,"&lt;="&amp;$B50)),IFERROR(INDEX(基础资料!$U$6:$U$205,MATCH($E50,基础资料!$Q$6:$Q$205,0)),0))))</f>
        <v/>
      </c>
      <c r="S50" s="48" t="str">
        <f aca="false">IF($O50="","",ROUND(N($F50)*N($R50),2))</f>
        <v/>
      </c>
      <c r="T50" s="48" t="str">
        <f aca="false">IF($O50="","",N($O50)-N($S50))</f>
        <v/>
      </c>
      <c r="U50" s="52" t="str">
        <f aca="false">IF(OR($B50="",$D50=""),"",$B50+N(IFERROR(INDEX(基础资料!$AB$6:$AB$155,MATCH($D50,基础资料!$Z$6:$Z$155,0)),0)))</f>
        <v/>
      </c>
      <c r="V50" s="49" t="str">
        <f aca="false">IF($O50="","","1122")</f>
        <v/>
      </c>
      <c r="W50" s="49" t="str">
        <f aca="false">IF($O50="","","6001")</f>
        <v/>
      </c>
      <c r="X50" s="48" t="str">
        <f aca="false">IF($O50="","",$O50)</f>
        <v/>
      </c>
      <c r="Y50" s="49" t="str">
        <f aca="false">IF(N($P50)=0,"","1122")</f>
        <v/>
      </c>
      <c r="Z50" s="49" t="str">
        <f aca="false">IF(N($P50)=0,"","2221")</f>
        <v/>
      </c>
      <c r="AA50" s="48" t="str">
        <f aca="false">IF(N($P50)=0,"",$P50)</f>
        <v/>
      </c>
      <c r="AB50" s="49" t="str">
        <f aca="false">IF(N($S50)=0,"","6401")</f>
        <v/>
      </c>
      <c r="AC50" s="49" t="str">
        <f aca="false">IF(N($S50)=0,"","1405")</f>
        <v/>
      </c>
      <c r="AD50" s="48" t="str">
        <f aca="false">IF(N($S50)=0,"",$S50)</f>
        <v/>
      </c>
      <c r="AE50" s="49" t="str">
        <f aca="false">IF(AND($D50=客户对账单!$B$3,$B50&gt;=客户对账单!$E$3,$B50&lt;=客户对账单!$H$3),COUNTIFS($D$5:$D50,客户对账单!$B$3,$B$5:$B50,"&gt;="&amp;客户对账单!$E$3,$B$5:$B50,"&lt;="&amp;客户对账单!$H$3),"")</f>
        <v/>
      </c>
    </row>
    <row r="51" customFormat="false" ht="15.75" hidden="false" customHeight="true" outlineLevel="0" collapsed="false">
      <c r="A51" s="42" t="str">
        <f aca="false">IF($B51="","","XS"&amp;TEXT($B51,"yyyymm")&amp;"-"&amp;TEXT(ROW()-4,"000"))</f>
        <v/>
      </c>
      <c r="B51" s="41"/>
      <c r="C51" s="42" t="str">
        <f aca="false">IF($B51="","",TEXT($B51,"yyyy-mm"))</f>
        <v/>
      </c>
      <c r="D51" s="32"/>
      <c r="E51" s="36"/>
      <c r="F51" s="43"/>
      <c r="G51" s="40"/>
      <c r="H51" s="51"/>
      <c r="I51" s="33"/>
      <c r="J51" s="33"/>
      <c r="K51" s="36"/>
      <c r="L51" s="47" t="str">
        <f aca="false">IF($B51="","",IF(NOT(ISNUMBER($B51)),"日期不是日期格式",IF(YEAR($B51)&lt;&gt;首页!$B$3,"不在会计年度",IF($D51="","未选客户",IF(ISNA(MATCH($D51,基础资料!$Z$6:$Z$155,0)),"客户不在档案",IF($E51="","未选商品",IF(ISNA(MATCH($E51,基础资料!$Q$6:$Q$205,0)),"商品不在档案",IF(NOT(ISNUMBER($F51)),"数量须为数字",IF(NOT(ISNUMBER($G51)),"单价须为数字",IF(N($F51)&lt;=0,"数量须大于0",IF(AND(IFERROR(INDEX(基础资料!$V$6:$V$205,MATCH($E51,基础资料!$Q$6:$Q$205,0)),"")="是",N($R51)=0),"无成本价·请先录采购或填参考成本",IF(N($T51)&lt;0,"毛利为负·请核对","√"))))))))))))</f>
        <v/>
      </c>
      <c r="M51" s="49" t="str">
        <f aca="false">IF($E51="","",IFERROR(INDEX(基础资料!$R$6:$R$205,MATCH($E51,基础资料!$Q$6:$Q$205,0)),""))</f>
        <v/>
      </c>
      <c r="N51" s="49" t="str">
        <f aca="false">IF($E51="","",IFERROR(INDEX(基础资料!$S$6:$S$205,MATCH($E51,基础资料!$Q$6:$Q$205,0)),""))</f>
        <v/>
      </c>
      <c r="O51" s="48" t="str">
        <f aca="false">IF(OR($F51="",$G51=""),"",ROUND(N($F51)*N($G51),2))</f>
        <v/>
      </c>
      <c r="P51" s="48" t="str">
        <f aca="false">IF($O51="","",ROUND(N($O51)*N($H51),2))</f>
        <v/>
      </c>
      <c r="Q51" s="48" t="str">
        <f aca="false">IF($O51="","",N($O51)+N($P51))</f>
        <v/>
      </c>
      <c r="R51" s="48" t="str">
        <f aca="false">IF(OR($E51="",$B51=""),"",IF(IFERROR(INDEX(基础资料!$V$6:$V$205,MATCH($E51,基础资料!$Q$6:$Q$205,0)),"")&lt;&gt;"是",0,IFERROR((SUMIFS(期初数据!$T$6:$T$205,期初数据!$O$6:$O$205,$E51)+SUMIFS(采购录入!$Q$5:$Q$404,采购录入!$E$5:$E$404,$E51,采购录入!$I$5:$I$404,"是",采购录入!$B$5:$B$404,"&lt;="&amp;$B51))/(SUMIFS(期初数据!$R$6:$R$205,期初数据!$O$6:$O$205,$E51)+SUMIFS(采购录入!$F$5:$F$404,采购录入!$E$5:$E$404,$E51,采购录入!$I$5:$I$404,"是",采购录入!$B$5:$B$404,"&lt;="&amp;$B51)),IFERROR(INDEX(基础资料!$U$6:$U$205,MATCH($E51,基础资料!$Q$6:$Q$205,0)),0))))</f>
        <v/>
      </c>
      <c r="S51" s="48" t="str">
        <f aca="false">IF($O51="","",ROUND(N($F51)*N($R51),2))</f>
        <v/>
      </c>
      <c r="T51" s="48" t="str">
        <f aca="false">IF($O51="","",N($O51)-N($S51))</f>
        <v/>
      </c>
      <c r="U51" s="52" t="str">
        <f aca="false">IF(OR($B51="",$D51=""),"",$B51+N(IFERROR(INDEX(基础资料!$AB$6:$AB$155,MATCH($D51,基础资料!$Z$6:$Z$155,0)),0)))</f>
        <v/>
      </c>
      <c r="V51" s="49" t="str">
        <f aca="false">IF($O51="","","1122")</f>
        <v/>
      </c>
      <c r="W51" s="49" t="str">
        <f aca="false">IF($O51="","","6001")</f>
        <v/>
      </c>
      <c r="X51" s="48" t="str">
        <f aca="false">IF($O51="","",$O51)</f>
        <v/>
      </c>
      <c r="Y51" s="49" t="str">
        <f aca="false">IF(N($P51)=0,"","1122")</f>
        <v/>
      </c>
      <c r="Z51" s="49" t="str">
        <f aca="false">IF(N($P51)=0,"","2221")</f>
        <v/>
      </c>
      <c r="AA51" s="48" t="str">
        <f aca="false">IF(N($P51)=0,"",$P51)</f>
        <v/>
      </c>
      <c r="AB51" s="49" t="str">
        <f aca="false">IF(N($S51)=0,"","6401")</f>
        <v/>
      </c>
      <c r="AC51" s="49" t="str">
        <f aca="false">IF(N($S51)=0,"","1405")</f>
        <v/>
      </c>
      <c r="AD51" s="48" t="str">
        <f aca="false">IF(N($S51)=0,"",$S51)</f>
        <v/>
      </c>
      <c r="AE51" s="49" t="str">
        <f aca="false">IF(AND($D51=客户对账单!$B$3,$B51&gt;=客户对账单!$E$3,$B51&lt;=客户对账单!$H$3),COUNTIFS($D$5:$D51,客户对账单!$B$3,$B$5:$B51,"&gt;="&amp;客户对账单!$E$3,$B$5:$B51,"&lt;="&amp;客户对账单!$H$3),"")</f>
        <v/>
      </c>
    </row>
    <row r="52" customFormat="false" ht="15.75" hidden="false" customHeight="true" outlineLevel="0" collapsed="false">
      <c r="A52" s="42" t="str">
        <f aca="false">IF($B52="","","XS"&amp;TEXT($B52,"yyyymm")&amp;"-"&amp;TEXT(ROW()-4,"000"))</f>
        <v/>
      </c>
      <c r="B52" s="41"/>
      <c r="C52" s="42" t="str">
        <f aca="false">IF($B52="","",TEXT($B52,"yyyy-mm"))</f>
        <v/>
      </c>
      <c r="D52" s="32"/>
      <c r="E52" s="36"/>
      <c r="F52" s="43"/>
      <c r="G52" s="40"/>
      <c r="H52" s="51"/>
      <c r="I52" s="33"/>
      <c r="J52" s="33"/>
      <c r="K52" s="36"/>
      <c r="L52" s="47" t="str">
        <f aca="false">IF($B52="","",IF(NOT(ISNUMBER($B52)),"日期不是日期格式",IF(YEAR($B52)&lt;&gt;首页!$B$3,"不在会计年度",IF($D52="","未选客户",IF(ISNA(MATCH($D52,基础资料!$Z$6:$Z$155,0)),"客户不在档案",IF($E52="","未选商品",IF(ISNA(MATCH($E52,基础资料!$Q$6:$Q$205,0)),"商品不在档案",IF(NOT(ISNUMBER($F52)),"数量须为数字",IF(NOT(ISNUMBER($G52)),"单价须为数字",IF(N($F52)&lt;=0,"数量须大于0",IF(AND(IFERROR(INDEX(基础资料!$V$6:$V$205,MATCH($E52,基础资料!$Q$6:$Q$205,0)),"")="是",N($R52)=0),"无成本价·请先录采购或填参考成本",IF(N($T52)&lt;0,"毛利为负·请核对","√"))))))))))))</f>
        <v/>
      </c>
      <c r="M52" s="49" t="str">
        <f aca="false">IF($E52="","",IFERROR(INDEX(基础资料!$R$6:$R$205,MATCH($E52,基础资料!$Q$6:$Q$205,0)),""))</f>
        <v/>
      </c>
      <c r="N52" s="49" t="str">
        <f aca="false">IF($E52="","",IFERROR(INDEX(基础资料!$S$6:$S$205,MATCH($E52,基础资料!$Q$6:$Q$205,0)),""))</f>
        <v/>
      </c>
      <c r="O52" s="48" t="str">
        <f aca="false">IF(OR($F52="",$G52=""),"",ROUND(N($F52)*N($G52),2))</f>
        <v/>
      </c>
      <c r="P52" s="48" t="str">
        <f aca="false">IF($O52="","",ROUND(N($O52)*N($H52),2))</f>
        <v/>
      </c>
      <c r="Q52" s="48" t="str">
        <f aca="false">IF($O52="","",N($O52)+N($P52))</f>
        <v/>
      </c>
      <c r="R52" s="48" t="str">
        <f aca="false">IF(OR($E52="",$B52=""),"",IF(IFERROR(INDEX(基础资料!$V$6:$V$205,MATCH($E52,基础资料!$Q$6:$Q$205,0)),"")&lt;&gt;"是",0,IFERROR((SUMIFS(期初数据!$T$6:$T$205,期初数据!$O$6:$O$205,$E52)+SUMIFS(采购录入!$Q$5:$Q$404,采购录入!$E$5:$E$404,$E52,采购录入!$I$5:$I$404,"是",采购录入!$B$5:$B$404,"&lt;="&amp;$B52))/(SUMIFS(期初数据!$R$6:$R$205,期初数据!$O$6:$O$205,$E52)+SUMIFS(采购录入!$F$5:$F$404,采购录入!$E$5:$E$404,$E52,采购录入!$I$5:$I$404,"是",采购录入!$B$5:$B$404,"&lt;="&amp;$B52)),IFERROR(INDEX(基础资料!$U$6:$U$205,MATCH($E52,基础资料!$Q$6:$Q$205,0)),0))))</f>
        <v/>
      </c>
      <c r="S52" s="48" t="str">
        <f aca="false">IF($O52="","",ROUND(N($F52)*N($R52),2))</f>
        <v/>
      </c>
      <c r="T52" s="48" t="str">
        <f aca="false">IF($O52="","",N($O52)-N($S52))</f>
        <v/>
      </c>
      <c r="U52" s="52" t="str">
        <f aca="false">IF(OR($B52="",$D52=""),"",$B52+N(IFERROR(INDEX(基础资料!$AB$6:$AB$155,MATCH($D52,基础资料!$Z$6:$Z$155,0)),0)))</f>
        <v/>
      </c>
      <c r="V52" s="49" t="str">
        <f aca="false">IF($O52="","","1122")</f>
        <v/>
      </c>
      <c r="W52" s="49" t="str">
        <f aca="false">IF($O52="","","6001")</f>
        <v/>
      </c>
      <c r="X52" s="48" t="str">
        <f aca="false">IF($O52="","",$O52)</f>
        <v/>
      </c>
      <c r="Y52" s="49" t="str">
        <f aca="false">IF(N($P52)=0,"","1122")</f>
        <v/>
      </c>
      <c r="Z52" s="49" t="str">
        <f aca="false">IF(N($P52)=0,"","2221")</f>
        <v/>
      </c>
      <c r="AA52" s="48" t="str">
        <f aca="false">IF(N($P52)=0,"",$P52)</f>
        <v/>
      </c>
      <c r="AB52" s="49" t="str">
        <f aca="false">IF(N($S52)=0,"","6401")</f>
        <v/>
      </c>
      <c r="AC52" s="49" t="str">
        <f aca="false">IF(N($S52)=0,"","1405")</f>
        <v/>
      </c>
      <c r="AD52" s="48" t="str">
        <f aca="false">IF(N($S52)=0,"",$S52)</f>
        <v/>
      </c>
      <c r="AE52" s="49" t="str">
        <f aca="false">IF(AND($D52=客户对账单!$B$3,$B52&gt;=客户对账单!$E$3,$B52&lt;=客户对账单!$H$3),COUNTIFS($D$5:$D52,客户对账单!$B$3,$B$5:$B52,"&gt;="&amp;客户对账单!$E$3,$B$5:$B52,"&lt;="&amp;客户对账单!$H$3),"")</f>
        <v/>
      </c>
    </row>
    <row r="53" customFormat="false" ht="15.75" hidden="false" customHeight="true" outlineLevel="0" collapsed="false">
      <c r="A53" s="42" t="str">
        <f aca="false">IF($B53="","","XS"&amp;TEXT($B53,"yyyymm")&amp;"-"&amp;TEXT(ROW()-4,"000"))</f>
        <v/>
      </c>
      <c r="B53" s="41"/>
      <c r="C53" s="42" t="str">
        <f aca="false">IF($B53="","",TEXT($B53,"yyyy-mm"))</f>
        <v/>
      </c>
      <c r="D53" s="32"/>
      <c r="E53" s="36"/>
      <c r="F53" s="43"/>
      <c r="G53" s="40"/>
      <c r="H53" s="51"/>
      <c r="I53" s="33"/>
      <c r="J53" s="33"/>
      <c r="K53" s="36"/>
      <c r="L53" s="47" t="str">
        <f aca="false">IF($B53="","",IF(NOT(ISNUMBER($B53)),"日期不是日期格式",IF(YEAR($B53)&lt;&gt;首页!$B$3,"不在会计年度",IF($D53="","未选客户",IF(ISNA(MATCH($D53,基础资料!$Z$6:$Z$155,0)),"客户不在档案",IF($E53="","未选商品",IF(ISNA(MATCH($E53,基础资料!$Q$6:$Q$205,0)),"商品不在档案",IF(NOT(ISNUMBER($F53)),"数量须为数字",IF(NOT(ISNUMBER($G53)),"单价须为数字",IF(N($F53)&lt;=0,"数量须大于0",IF(AND(IFERROR(INDEX(基础资料!$V$6:$V$205,MATCH($E53,基础资料!$Q$6:$Q$205,0)),"")="是",N($R53)=0),"无成本价·请先录采购或填参考成本",IF(N($T53)&lt;0,"毛利为负·请核对","√"))))))))))))</f>
        <v/>
      </c>
      <c r="M53" s="49" t="str">
        <f aca="false">IF($E53="","",IFERROR(INDEX(基础资料!$R$6:$R$205,MATCH($E53,基础资料!$Q$6:$Q$205,0)),""))</f>
        <v/>
      </c>
      <c r="N53" s="49" t="str">
        <f aca="false">IF($E53="","",IFERROR(INDEX(基础资料!$S$6:$S$205,MATCH($E53,基础资料!$Q$6:$Q$205,0)),""))</f>
        <v/>
      </c>
      <c r="O53" s="48" t="str">
        <f aca="false">IF(OR($F53="",$G53=""),"",ROUND(N($F53)*N($G53),2))</f>
        <v/>
      </c>
      <c r="P53" s="48" t="str">
        <f aca="false">IF($O53="","",ROUND(N($O53)*N($H53),2))</f>
        <v/>
      </c>
      <c r="Q53" s="48" t="str">
        <f aca="false">IF($O53="","",N($O53)+N($P53))</f>
        <v/>
      </c>
      <c r="R53" s="48" t="str">
        <f aca="false">IF(OR($E53="",$B53=""),"",IF(IFERROR(INDEX(基础资料!$V$6:$V$205,MATCH($E53,基础资料!$Q$6:$Q$205,0)),"")&lt;&gt;"是",0,IFERROR((SUMIFS(期初数据!$T$6:$T$205,期初数据!$O$6:$O$205,$E53)+SUMIFS(采购录入!$Q$5:$Q$404,采购录入!$E$5:$E$404,$E53,采购录入!$I$5:$I$404,"是",采购录入!$B$5:$B$404,"&lt;="&amp;$B53))/(SUMIFS(期初数据!$R$6:$R$205,期初数据!$O$6:$O$205,$E53)+SUMIFS(采购录入!$F$5:$F$404,采购录入!$E$5:$E$404,$E53,采购录入!$I$5:$I$404,"是",采购录入!$B$5:$B$404,"&lt;="&amp;$B53)),IFERROR(INDEX(基础资料!$U$6:$U$205,MATCH($E53,基础资料!$Q$6:$Q$205,0)),0))))</f>
        <v/>
      </c>
      <c r="S53" s="48" t="str">
        <f aca="false">IF($O53="","",ROUND(N($F53)*N($R53),2))</f>
        <v/>
      </c>
      <c r="T53" s="48" t="str">
        <f aca="false">IF($O53="","",N($O53)-N($S53))</f>
        <v/>
      </c>
      <c r="U53" s="52" t="str">
        <f aca="false">IF(OR($B53="",$D53=""),"",$B53+N(IFERROR(INDEX(基础资料!$AB$6:$AB$155,MATCH($D53,基础资料!$Z$6:$Z$155,0)),0)))</f>
        <v/>
      </c>
      <c r="V53" s="49" t="str">
        <f aca="false">IF($O53="","","1122")</f>
        <v/>
      </c>
      <c r="W53" s="49" t="str">
        <f aca="false">IF($O53="","","6001")</f>
        <v/>
      </c>
      <c r="X53" s="48" t="str">
        <f aca="false">IF($O53="","",$O53)</f>
        <v/>
      </c>
      <c r="Y53" s="49" t="str">
        <f aca="false">IF(N($P53)=0,"","1122")</f>
        <v/>
      </c>
      <c r="Z53" s="49" t="str">
        <f aca="false">IF(N($P53)=0,"","2221")</f>
        <v/>
      </c>
      <c r="AA53" s="48" t="str">
        <f aca="false">IF(N($P53)=0,"",$P53)</f>
        <v/>
      </c>
      <c r="AB53" s="49" t="str">
        <f aca="false">IF(N($S53)=0,"","6401")</f>
        <v/>
      </c>
      <c r="AC53" s="49" t="str">
        <f aca="false">IF(N($S53)=0,"","1405")</f>
        <v/>
      </c>
      <c r="AD53" s="48" t="str">
        <f aca="false">IF(N($S53)=0,"",$S53)</f>
        <v/>
      </c>
      <c r="AE53" s="49" t="str">
        <f aca="false">IF(AND($D53=客户对账单!$B$3,$B53&gt;=客户对账单!$E$3,$B53&lt;=客户对账单!$H$3),COUNTIFS($D$5:$D53,客户对账单!$B$3,$B$5:$B53,"&gt;="&amp;客户对账单!$E$3,$B$5:$B53,"&lt;="&amp;客户对账单!$H$3),"")</f>
        <v/>
      </c>
    </row>
    <row r="54" customFormat="false" ht="15.75" hidden="false" customHeight="true" outlineLevel="0" collapsed="false">
      <c r="A54" s="42" t="str">
        <f aca="false">IF($B54="","","XS"&amp;TEXT($B54,"yyyymm")&amp;"-"&amp;TEXT(ROW()-4,"000"))</f>
        <v/>
      </c>
      <c r="B54" s="41"/>
      <c r="C54" s="42" t="str">
        <f aca="false">IF($B54="","",TEXT($B54,"yyyy-mm"))</f>
        <v/>
      </c>
      <c r="D54" s="32"/>
      <c r="E54" s="36"/>
      <c r="F54" s="43"/>
      <c r="G54" s="40"/>
      <c r="H54" s="51"/>
      <c r="I54" s="33"/>
      <c r="J54" s="33"/>
      <c r="K54" s="36"/>
      <c r="L54" s="47" t="str">
        <f aca="false">IF($B54="","",IF(NOT(ISNUMBER($B54)),"日期不是日期格式",IF(YEAR($B54)&lt;&gt;首页!$B$3,"不在会计年度",IF($D54="","未选客户",IF(ISNA(MATCH($D54,基础资料!$Z$6:$Z$155,0)),"客户不在档案",IF($E54="","未选商品",IF(ISNA(MATCH($E54,基础资料!$Q$6:$Q$205,0)),"商品不在档案",IF(NOT(ISNUMBER($F54)),"数量须为数字",IF(NOT(ISNUMBER($G54)),"单价须为数字",IF(N($F54)&lt;=0,"数量须大于0",IF(AND(IFERROR(INDEX(基础资料!$V$6:$V$205,MATCH($E54,基础资料!$Q$6:$Q$205,0)),"")="是",N($R54)=0),"无成本价·请先录采购或填参考成本",IF(N($T54)&lt;0,"毛利为负·请核对","√"))))))))))))</f>
        <v/>
      </c>
      <c r="M54" s="49" t="str">
        <f aca="false">IF($E54="","",IFERROR(INDEX(基础资料!$R$6:$R$205,MATCH($E54,基础资料!$Q$6:$Q$205,0)),""))</f>
        <v/>
      </c>
      <c r="N54" s="49" t="str">
        <f aca="false">IF($E54="","",IFERROR(INDEX(基础资料!$S$6:$S$205,MATCH($E54,基础资料!$Q$6:$Q$205,0)),""))</f>
        <v/>
      </c>
      <c r="O54" s="48" t="str">
        <f aca="false">IF(OR($F54="",$G54=""),"",ROUND(N($F54)*N($G54),2))</f>
        <v/>
      </c>
      <c r="P54" s="48" t="str">
        <f aca="false">IF($O54="","",ROUND(N($O54)*N($H54),2))</f>
        <v/>
      </c>
      <c r="Q54" s="48" t="str">
        <f aca="false">IF($O54="","",N($O54)+N($P54))</f>
        <v/>
      </c>
      <c r="R54" s="48" t="str">
        <f aca="false">IF(OR($E54="",$B54=""),"",IF(IFERROR(INDEX(基础资料!$V$6:$V$205,MATCH($E54,基础资料!$Q$6:$Q$205,0)),"")&lt;&gt;"是",0,IFERROR((SUMIFS(期初数据!$T$6:$T$205,期初数据!$O$6:$O$205,$E54)+SUMIFS(采购录入!$Q$5:$Q$404,采购录入!$E$5:$E$404,$E54,采购录入!$I$5:$I$404,"是",采购录入!$B$5:$B$404,"&lt;="&amp;$B54))/(SUMIFS(期初数据!$R$6:$R$205,期初数据!$O$6:$O$205,$E54)+SUMIFS(采购录入!$F$5:$F$404,采购录入!$E$5:$E$404,$E54,采购录入!$I$5:$I$404,"是",采购录入!$B$5:$B$404,"&lt;="&amp;$B54)),IFERROR(INDEX(基础资料!$U$6:$U$205,MATCH($E54,基础资料!$Q$6:$Q$205,0)),0))))</f>
        <v/>
      </c>
      <c r="S54" s="48" t="str">
        <f aca="false">IF($O54="","",ROUND(N($F54)*N($R54),2))</f>
        <v/>
      </c>
      <c r="T54" s="48" t="str">
        <f aca="false">IF($O54="","",N($O54)-N($S54))</f>
        <v/>
      </c>
      <c r="U54" s="52" t="str">
        <f aca="false">IF(OR($B54="",$D54=""),"",$B54+N(IFERROR(INDEX(基础资料!$AB$6:$AB$155,MATCH($D54,基础资料!$Z$6:$Z$155,0)),0)))</f>
        <v/>
      </c>
      <c r="V54" s="49" t="str">
        <f aca="false">IF($O54="","","1122")</f>
        <v/>
      </c>
      <c r="W54" s="49" t="str">
        <f aca="false">IF($O54="","","6001")</f>
        <v/>
      </c>
      <c r="X54" s="48" t="str">
        <f aca="false">IF($O54="","",$O54)</f>
        <v/>
      </c>
      <c r="Y54" s="49" t="str">
        <f aca="false">IF(N($P54)=0,"","1122")</f>
        <v/>
      </c>
      <c r="Z54" s="49" t="str">
        <f aca="false">IF(N($P54)=0,"","2221")</f>
        <v/>
      </c>
      <c r="AA54" s="48" t="str">
        <f aca="false">IF(N($P54)=0,"",$P54)</f>
        <v/>
      </c>
      <c r="AB54" s="49" t="str">
        <f aca="false">IF(N($S54)=0,"","6401")</f>
        <v/>
      </c>
      <c r="AC54" s="49" t="str">
        <f aca="false">IF(N($S54)=0,"","1405")</f>
        <v/>
      </c>
      <c r="AD54" s="48" t="str">
        <f aca="false">IF(N($S54)=0,"",$S54)</f>
        <v/>
      </c>
      <c r="AE54" s="49" t="str">
        <f aca="false">IF(AND($D54=客户对账单!$B$3,$B54&gt;=客户对账单!$E$3,$B54&lt;=客户对账单!$H$3),COUNTIFS($D$5:$D54,客户对账单!$B$3,$B$5:$B54,"&gt;="&amp;客户对账单!$E$3,$B$5:$B54,"&lt;="&amp;客户对账单!$H$3),"")</f>
        <v/>
      </c>
    </row>
    <row r="55" customFormat="false" ht="15.75" hidden="false" customHeight="true" outlineLevel="0" collapsed="false">
      <c r="A55" s="42" t="str">
        <f aca="false">IF($B55="","","XS"&amp;TEXT($B55,"yyyymm")&amp;"-"&amp;TEXT(ROW()-4,"000"))</f>
        <v/>
      </c>
      <c r="B55" s="41"/>
      <c r="C55" s="42" t="str">
        <f aca="false">IF($B55="","",TEXT($B55,"yyyy-mm"))</f>
        <v/>
      </c>
      <c r="D55" s="32"/>
      <c r="E55" s="36"/>
      <c r="F55" s="43"/>
      <c r="G55" s="40"/>
      <c r="H55" s="51"/>
      <c r="I55" s="33"/>
      <c r="J55" s="33"/>
      <c r="K55" s="36"/>
      <c r="L55" s="47" t="str">
        <f aca="false">IF($B55="","",IF(NOT(ISNUMBER($B55)),"日期不是日期格式",IF(YEAR($B55)&lt;&gt;首页!$B$3,"不在会计年度",IF($D55="","未选客户",IF(ISNA(MATCH($D55,基础资料!$Z$6:$Z$155,0)),"客户不在档案",IF($E55="","未选商品",IF(ISNA(MATCH($E55,基础资料!$Q$6:$Q$205,0)),"商品不在档案",IF(NOT(ISNUMBER($F55)),"数量须为数字",IF(NOT(ISNUMBER($G55)),"单价须为数字",IF(N($F55)&lt;=0,"数量须大于0",IF(AND(IFERROR(INDEX(基础资料!$V$6:$V$205,MATCH($E55,基础资料!$Q$6:$Q$205,0)),"")="是",N($R55)=0),"无成本价·请先录采购或填参考成本",IF(N($T55)&lt;0,"毛利为负·请核对","√"))))))))))))</f>
        <v/>
      </c>
      <c r="M55" s="49" t="str">
        <f aca="false">IF($E55="","",IFERROR(INDEX(基础资料!$R$6:$R$205,MATCH($E55,基础资料!$Q$6:$Q$205,0)),""))</f>
        <v/>
      </c>
      <c r="N55" s="49" t="str">
        <f aca="false">IF($E55="","",IFERROR(INDEX(基础资料!$S$6:$S$205,MATCH($E55,基础资料!$Q$6:$Q$205,0)),""))</f>
        <v/>
      </c>
      <c r="O55" s="48" t="str">
        <f aca="false">IF(OR($F55="",$G55=""),"",ROUND(N($F55)*N($G55),2))</f>
        <v/>
      </c>
      <c r="P55" s="48" t="str">
        <f aca="false">IF($O55="","",ROUND(N($O55)*N($H55),2))</f>
        <v/>
      </c>
      <c r="Q55" s="48" t="str">
        <f aca="false">IF($O55="","",N($O55)+N($P55))</f>
        <v/>
      </c>
      <c r="R55" s="48" t="str">
        <f aca="false">IF(OR($E55="",$B55=""),"",IF(IFERROR(INDEX(基础资料!$V$6:$V$205,MATCH($E55,基础资料!$Q$6:$Q$205,0)),"")&lt;&gt;"是",0,IFERROR((SUMIFS(期初数据!$T$6:$T$205,期初数据!$O$6:$O$205,$E55)+SUMIFS(采购录入!$Q$5:$Q$404,采购录入!$E$5:$E$404,$E55,采购录入!$I$5:$I$404,"是",采购录入!$B$5:$B$404,"&lt;="&amp;$B55))/(SUMIFS(期初数据!$R$6:$R$205,期初数据!$O$6:$O$205,$E55)+SUMIFS(采购录入!$F$5:$F$404,采购录入!$E$5:$E$404,$E55,采购录入!$I$5:$I$404,"是",采购录入!$B$5:$B$404,"&lt;="&amp;$B55)),IFERROR(INDEX(基础资料!$U$6:$U$205,MATCH($E55,基础资料!$Q$6:$Q$205,0)),0))))</f>
        <v/>
      </c>
      <c r="S55" s="48" t="str">
        <f aca="false">IF($O55="","",ROUND(N($F55)*N($R55),2))</f>
        <v/>
      </c>
      <c r="T55" s="48" t="str">
        <f aca="false">IF($O55="","",N($O55)-N($S55))</f>
        <v/>
      </c>
      <c r="U55" s="52" t="str">
        <f aca="false">IF(OR($B55="",$D55=""),"",$B55+N(IFERROR(INDEX(基础资料!$AB$6:$AB$155,MATCH($D55,基础资料!$Z$6:$Z$155,0)),0)))</f>
        <v/>
      </c>
      <c r="V55" s="49" t="str">
        <f aca="false">IF($O55="","","1122")</f>
        <v/>
      </c>
      <c r="W55" s="49" t="str">
        <f aca="false">IF($O55="","","6001")</f>
        <v/>
      </c>
      <c r="X55" s="48" t="str">
        <f aca="false">IF($O55="","",$O55)</f>
        <v/>
      </c>
      <c r="Y55" s="49" t="str">
        <f aca="false">IF(N($P55)=0,"","1122")</f>
        <v/>
      </c>
      <c r="Z55" s="49" t="str">
        <f aca="false">IF(N($P55)=0,"","2221")</f>
        <v/>
      </c>
      <c r="AA55" s="48" t="str">
        <f aca="false">IF(N($P55)=0,"",$P55)</f>
        <v/>
      </c>
      <c r="AB55" s="49" t="str">
        <f aca="false">IF(N($S55)=0,"","6401")</f>
        <v/>
      </c>
      <c r="AC55" s="49" t="str">
        <f aca="false">IF(N($S55)=0,"","1405")</f>
        <v/>
      </c>
      <c r="AD55" s="48" t="str">
        <f aca="false">IF(N($S55)=0,"",$S55)</f>
        <v/>
      </c>
      <c r="AE55" s="49" t="str">
        <f aca="false">IF(AND($D55=客户对账单!$B$3,$B55&gt;=客户对账单!$E$3,$B55&lt;=客户对账单!$H$3),COUNTIFS($D$5:$D55,客户对账单!$B$3,$B$5:$B55,"&gt;="&amp;客户对账单!$E$3,$B$5:$B55,"&lt;="&amp;客户对账单!$H$3),"")</f>
        <v/>
      </c>
    </row>
    <row r="56" customFormat="false" ht="15.75" hidden="false" customHeight="true" outlineLevel="0" collapsed="false">
      <c r="A56" s="42" t="str">
        <f aca="false">IF($B56="","","XS"&amp;TEXT($B56,"yyyymm")&amp;"-"&amp;TEXT(ROW()-4,"000"))</f>
        <v/>
      </c>
      <c r="B56" s="41"/>
      <c r="C56" s="42" t="str">
        <f aca="false">IF($B56="","",TEXT($B56,"yyyy-mm"))</f>
        <v/>
      </c>
      <c r="D56" s="32"/>
      <c r="E56" s="36"/>
      <c r="F56" s="43"/>
      <c r="G56" s="40"/>
      <c r="H56" s="51"/>
      <c r="I56" s="33"/>
      <c r="J56" s="33"/>
      <c r="K56" s="36"/>
      <c r="L56" s="47" t="str">
        <f aca="false">IF($B56="","",IF(NOT(ISNUMBER($B56)),"日期不是日期格式",IF(YEAR($B56)&lt;&gt;首页!$B$3,"不在会计年度",IF($D56="","未选客户",IF(ISNA(MATCH($D56,基础资料!$Z$6:$Z$155,0)),"客户不在档案",IF($E56="","未选商品",IF(ISNA(MATCH($E56,基础资料!$Q$6:$Q$205,0)),"商品不在档案",IF(NOT(ISNUMBER($F56)),"数量须为数字",IF(NOT(ISNUMBER($G56)),"单价须为数字",IF(N($F56)&lt;=0,"数量须大于0",IF(AND(IFERROR(INDEX(基础资料!$V$6:$V$205,MATCH($E56,基础资料!$Q$6:$Q$205,0)),"")="是",N($R56)=0),"无成本价·请先录采购或填参考成本",IF(N($T56)&lt;0,"毛利为负·请核对","√"))))))))))))</f>
        <v/>
      </c>
      <c r="M56" s="49" t="str">
        <f aca="false">IF($E56="","",IFERROR(INDEX(基础资料!$R$6:$R$205,MATCH($E56,基础资料!$Q$6:$Q$205,0)),""))</f>
        <v/>
      </c>
      <c r="N56" s="49" t="str">
        <f aca="false">IF($E56="","",IFERROR(INDEX(基础资料!$S$6:$S$205,MATCH($E56,基础资料!$Q$6:$Q$205,0)),""))</f>
        <v/>
      </c>
      <c r="O56" s="48" t="str">
        <f aca="false">IF(OR($F56="",$G56=""),"",ROUND(N($F56)*N($G56),2))</f>
        <v/>
      </c>
      <c r="P56" s="48" t="str">
        <f aca="false">IF($O56="","",ROUND(N($O56)*N($H56),2))</f>
        <v/>
      </c>
      <c r="Q56" s="48" t="str">
        <f aca="false">IF($O56="","",N($O56)+N($P56))</f>
        <v/>
      </c>
      <c r="R56" s="48" t="str">
        <f aca="false">IF(OR($E56="",$B56=""),"",IF(IFERROR(INDEX(基础资料!$V$6:$V$205,MATCH($E56,基础资料!$Q$6:$Q$205,0)),"")&lt;&gt;"是",0,IFERROR((SUMIFS(期初数据!$T$6:$T$205,期初数据!$O$6:$O$205,$E56)+SUMIFS(采购录入!$Q$5:$Q$404,采购录入!$E$5:$E$404,$E56,采购录入!$I$5:$I$404,"是",采购录入!$B$5:$B$404,"&lt;="&amp;$B56))/(SUMIFS(期初数据!$R$6:$R$205,期初数据!$O$6:$O$205,$E56)+SUMIFS(采购录入!$F$5:$F$404,采购录入!$E$5:$E$404,$E56,采购录入!$I$5:$I$404,"是",采购录入!$B$5:$B$404,"&lt;="&amp;$B56)),IFERROR(INDEX(基础资料!$U$6:$U$205,MATCH($E56,基础资料!$Q$6:$Q$205,0)),0))))</f>
        <v/>
      </c>
      <c r="S56" s="48" t="str">
        <f aca="false">IF($O56="","",ROUND(N($F56)*N($R56),2))</f>
        <v/>
      </c>
      <c r="T56" s="48" t="str">
        <f aca="false">IF($O56="","",N($O56)-N($S56))</f>
        <v/>
      </c>
      <c r="U56" s="52" t="str">
        <f aca="false">IF(OR($B56="",$D56=""),"",$B56+N(IFERROR(INDEX(基础资料!$AB$6:$AB$155,MATCH($D56,基础资料!$Z$6:$Z$155,0)),0)))</f>
        <v/>
      </c>
      <c r="V56" s="49" t="str">
        <f aca="false">IF($O56="","","1122")</f>
        <v/>
      </c>
      <c r="W56" s="49" t="str">
        <f aca="false">IF($O56="","","6001")</f>
        <v/>
      </c>
      <c r="X56" s="48" t="str">
        <f aca="false">IF($O56="","",$O56)</f>
        <v/>
      </c>
      <c r="Y56" s="49" t="str">
        <f aca="false">IF(N($P56)=0,"","1122")</f>
        <v/>
      </c>
      <c r="Z56" s="49" t="str">
        <f aca="false">IF(N($P56)=0,"","2221")</f>
        <v/>
      </c>
      <c r="AA56" s="48" t="str">
        <f aca="false">IF(N($P56)=0,"",$P56)</f>
        <v/>
      </c>
      <c r="AB56" s="49" t="str">
        <f aca="false">IF(N($S56)=0,"","6401")</f>
        <v/>
      </c>
      <c r="AC56" s="49" t="str">
        <f aca="false">IF(N($S56)=0,"","1405")</f>
        <v/>
      </c>
      <c r="AD56" s="48" t="str">
        <f aca="false">IF(N($S56)=0,"",$S56)</f>
        <v/>
      </c>
      <c r="AE56" s="49" t="str">
        <f aca="false">IF(AND($D56=客户对账单!$B$3,$B56&gt;=客户对账单!$E$3,$B56&lt;=客户对账单!$H$3),COUNTIFS($D$5:$D56,客户对账单!$B$3,$B$5:$B56,"&gt;="&amp;客户对账单!$E$3,$B$5:$B56,"&lt;="&amp;客户对账单!$H$3),"")</f>
        <v/>
      </c>
    </row>
    <row r="57" customFormat="false" ht="15.75" hidden="false" customHeight="true" outlineLevel="0" collapsed="false">
      <c r="A57" s="42" t="str">
        <f aca="false">IF($B57="","","XS"&amp;TEXT($B57,"yyyymm")&amp;"-"&amp;TEXT(ROW()-4,"000"))</f>
        <v/>
      </c>
      <c r="B57" s="41"/>
      <c r="C57" s="42" t="str">
        <f aca="false">IF($B57="","",TEXT($B57,"yyyy-mm"))</f>
        <v/>
      </c>
      <c r="D57" s="32"/>
      <c r="E57" s="36"/>
      <c r="F57" s="43"/>
      <c r="G57" s="40"/>
      <c r="H57" s="51"/>
      <c r="I57" s="33"/>
      <c r="J57" s="33"/>
      <c r="K57" s="36"/>
      <c r="L57" s="47" t="str">
        <f aca="false">IF($B57="","",IF(NOT(ISNUMBER($B57)),"日期不是日期格式",IF(YEAR($B57)&lt;&gt;首页!$B$3,"不在会计年度",IF($D57="","未选客户",IF(ISNA(MATCH($D57,基础资料!$Z$6:$Z$155,0)),"客户不在档案",IF($E57="","未选商品",IF(ISNA(MATCH($E57,基础资料!$Q$6:$Q$205,0)),"商品不在档案",IF(NOT(ISNUMBER($F57)),"数量须为数字",IF(NOT(ISNUMBER($G57)),"单价须为数字",IF(N($F57)&lt;=0,"数量须大于0",IF(AND(IFERROR(INDEX(基础资料!$V$6:$V$205,MATCH($E57,基础资料!$Q$6:$Q$205,0)),"")="是",N($R57)=0),"无成本价·请先录采购或填参考成本",IF(N($T57)&lt;0,"毛利为负·请核对","√"))))))))))))</f>
        <v/>
      </c>
      <c r="M57" s="49" t="str">
        <f aca="false">IF($E57="","",IFERROR(INDEX(基础资料!$R$6:$R$205,MATCH($E57,基础资料!$Q$6:$Q$205,0)),""))</f>
        <v/>
      </c>
      <c r="N57" s="49" t="str">
        <f aca="false">IF($E57="","",IFERROR(INDEX(基础资料!$S$6:$S$205,MATCH($E57,基础资料!$Q$6:$Q$205,0)),""))</f>
        <v/>
      </c>
      <c r="O57" s="48" t="str">
        <f aca="false">IF(OR($F57="",$G57=""),"",ROUND(N($F57)*N($G57),2))</f>
        <v/>
      </c>
      <c r="P57" s="48" t="str">
        <f aca="false">IF($O57="","",ROUND(N($O57)*N($H57),2))</f>
        <v/>
      </c>
      <c r="Q57" s="48" t="str">
        <f aca="false">IF($O57="","",N($O57)+N($P57))</f>
        <v/>
      </c>
      <c r="R57" s="48" t="str">
        <f aca="false">IF(OR($E57="",$B57=""),"",IF(IFERROR(INDEX(基础资料!$V$6:$V$205,MATCH($E57,基础资料!$Q$6:$Q$205,0)),"")&lt;&gt;"是",0,IFERROR((SUMIFS(期初数据!$T$6:$T$205,期初数据!$O$6:$O$205,$E57)+SUMIFS(采购录入!$Q$5:$Q$404,采购录入!$E$5:$E$404,$E57,采购录入!$I$5:$I$404,"是",采购录入!$B$5:$B$404,"&lt;="&amp;$B57))/(SUMIFS(期初数据!$R$6:$R$205,期初数据!$O$6:$O$205,$E57)+SUMIFS(采购录入!$F$5:$F$404,采购录入!$E$5:$E$404,$E57,采购录入!$I$5:$I$404,"是",采购录入!$B$5:$B$404,"&lt;="&amp;$B57)),IFERROR(INDEX(基础资料!$U$6:$U$205,MATCH($E57,基础资料!$Q$6:$Q$205,0)),0))))</f>
        <v/>
      </c>
      <c r="S57" s="48" t="str">
        <f aca="false">IF($O57="","",ROUND(N($F57)*N($R57),2))</f>
        <v/>
      </c>
      <c r="T57" s="48" t="str">
        <f aca="false">IF($O57="","",N($O57)-N($S57))</f>
        <v/>
      </c>
      <c r="U57" s="52" t="str">
        <f aca="false">IF(OR($B57="",$D57=""),"",$B57+N(IFERROR(INDEX(基础资料!$AB$6:$AB$155,MATCH($D57,基础资料!$Z$6:$Z$155,0)),0)))</f>
        <v/>
      </c>
      <c r="V57" s="49" t="str">
        <f aca="false">IF($O57="","","1122")</f>
        <v/>
      </c>
      <c r="W57" s="49" t="str">
        <f aca="false">IF($O57="","","6001")</f>
        <v/>
      </c>
      <c r="X57" s="48" t="str">
        <f aca="false">IF($O57="","",$O57)</f>
        <v/>
      </c>
      <c r="Y57" s="49" t="str">
        <f aca="false">IF(N($P57)=0,"","1122")</f>
        <v/>
      </c>
      <c r="Z57" s="49" t="str">
        <f aca="false">IF(N($P57)=0,"","2221")</f>
        <v/>
      </c>
      <c r="AA57" s="48" t="str">
        <f aca="false">IF(N($P57)=0,"",$P57)</f>
        <v/>
      </c>
      <c r="AB57" s="49" t="str">
        <f aca="false">IF(N($S57)=0,"","6401")</f>
        <v/>
      </c>
      <c r="AC57" s="49" t="str">
        <f aca="false">IF(N($S57)=0,"","1405")</f>
        <v/>
      </c>
      <c r="AD57" s="48" t="str">
        <f aca="false">IF(N($S57)=0,"",$S57)</f>
        <v/>
      </c>
      <c r="AE57" s="49" t="str">
        <f aca="false">IF(AND($D57=客户对账单!$B$3,$B57&gt;=客户对账单!$E$3,$B57&lt;=客户对账单!$H$3),COUNTIFS($D$5:$D57,客户对账单!$B$3,$B$5:$B57,"&gt;="&amp;客户对账单!$E$3,$B$5:$B57,"&lt;="&amp;客户对账单!$H$3),"")</f>
        <v/>
      </c>
    </row>
    <row r="58" customFormat="false" ht="15.75" hidden="false" customHeight="true" outlineLevel="0" collapsed="false">
      <c r="A58" s="42" t="str">
        <f aca="false">IF($B58="","","XS"&amp;TEXT($B58,"yyyymm")&amp;"-"&amp;TEXT(ROW()-4,"000"))</f>
        <v/>
      </c>
      <c r="B58" s="41"/>
      <c r="C58" s="42" t="str">
        <f aca="false">IF($B58="","",TEXT($B58,"yyyy-mm"))</f>
        <v/>
      </c>
      <c r="D58" s="32"/>
      <c r="E58" s="36"/>
      <c r="F58" s="43"/>
      <c r="G58" s="40"/>
      <c r="H58" s="51"/>
      <c r="I58" s="33"/>
      <c r="J58" s="33"/>
      <c r="K58" s="36"/>
      <c r="L58" s="47" t="str">
        <f aca="false">IF($B58="","",IF(NOT(ISNUMBER($B58)),"日期不是日期格式",IF(YEAR($B58)&lt;&gt;首页!$B$3,"不在会计年度",IF($D58="","未选客户",IF(ISNA(MATCH($D58,基础资料!$Z$6:$Z$155,0)),"客户不在档案",IF($E58="","未选商品",IF(ISNA(MATCH($E58,基础资料!$Q$6:$Q$205,0)),"商品不在档案",IF(NOT(ISNUMBER($F58)),"数量须为数字",IF(NOT(ISNUMBER($G58)),"单价须为数字",IF(N($F58)&lt;=0,"数量须大于0",IF(AND(IFERROR(INDEX(基础资料!$V$6:$V$205,MATCH($E58,基础资料!$Q$6:$Q$205,0)),"")="是",N($R58)=0),"无成本价·请先录采购或填参考成本",IF(N($T58)&lt;0,"毛利为负·请核对","√"))))))))))))</f>
        <v/>
      </c>
      <c r="M58" s="49" t="str">
        <f aca="false">IF($E58="","",IFERROR(INDEX(基础资料!$R$6:$R$205,MATCH($E58,基础资料!$Q$6:$Q$205,0)),""))</f>
        <v/>
      </c>
      <c r="N58" s="49" t="str">
        <f aca="false">IF($E58="","",IFERROR(INDEX(基础资料!$S$6:$S$205,MATCH($E58,基础资料!$Q$6:$Q$205,0)),""))</f>
        <v/>
      </c>
      <c r="O58" s="48" t="str">
        <f aca="false">IF(OR($F58="",$G58=""),"",ROUND(N($F58)*N($G58),2))</f>
        <v/>
      </c>
      <c r="P58" s="48" t="str">
        <f aca="false">IF($O58="","",ROUND(N($O58)*N($H58),2))</f>
        <v/>
      </c>
      <c r="Q58" s="48" t="str">
        <f aca="false">IF($O58="","",N($O58)+N($P58))</f>
        <v/>
      </c>
      <c r="R58" s="48" t="str">
        <f aca="false">IF(OR($E58="",$B58=""),"",IF(IFERROR(INDEX(基础资料!$V$6:$V$205,MATCH($E58,基础资料!$Q$6:$Q$205,0)),"")&lt;&gt;"是",0,IFERROR((SUMIFS(期初数据!$T$6:$T$205,期初数据!$O$6:$O$205,$E58)+SUMIFS(采购录入!$Q$5:$Q$404,采购录入!$E$5:$E$404,$E58,采购录入!$I$5:$I$404,"是",采购录入!$B$5:$B$404,"&lt;="&amp;$B58))/(SUMIFS(期初数据!$R$6:$R$205,期初数据!$O$6:$O$205,$E58)+SUMIFS(采购录入!$F$5:$F$404,采购录入!$E$5:$E$404,$E58,采购录入!$I$5:$I$404,"是",采购录入!$B$5:$B$404,"&lt;="&amp;$B58)),IFERROR(INDEX(基础资料!$U$6:$U$205,MATCH($E58,基础资料!$Q$6:$Q$205,0)),0))))</f>
        <v/>
      </c>
      <c r="S58" s="48" t="str">
        <f aca="false">IF($O58="","",ROUND(N($F58)*N($R58),2))</f>
        <v/>
      </c>
      <c r="T58" s="48" t="str">
        <f aca="false">IF($O58="","",N($O58)-N($S58))</f>
        <v/>
      </c>
      <c r="U58" s="52" t="str">
        <f aca="false">IF(OR($B58="",$D58=""),"",$B58+N(IFERROR(INDEX(基础资料!$AB$6:$AB$155,MATCH($D58,基础资料!$Z$6:$Z$155,0)),0)))</f>
        <v/>
      </c>
      <c r="V58" s="49" t="str">
        <f aca="false">IF($O58="","","1122")</f>
        <v/>
      </c>
      <c r="W58" s="49" t="str">
        <f aca="false">IF($O58="","","6001")</f>
        <v/>
      </c>
      <c r="X58" s="48" t="str">
        <f aca="false">IF($O58="","",$O58)</f>
        <v/>
      </c>
      <c r="Y58" s="49" t="str">
        <f aca="false">IF(N($P58)=0,"","1122")</f>
        <v/>
      </c>
      <c r="Z58" s="49" t="str">
        <f aca="false">IF(N($P58)=0,"","2221")</f>
        <v/>
      </c>
      <c r="AA58" s="48" t="str">
        <f aca="false">IF(N($P58)=0,"",$P58)</f>
        <v/>
      </c>
      <c r="AB58" s="49" t="str">
        <f aca="false">IF(N($S58)=0,"","6401")</f>
        <v/>
      </c>
      <c r="AC58" s="49" t="str">
        <f aca="false">IF(N($S58)=0,"","1405")</f>
        <v/>
      </c>
      <c r="AD58" s="48" t="str">
        <f aca="false">IF(N($S58)=0,"",$S58)</f>
        <v/>
      </c>
      <c r="AE58" s="49" t="str">
        <f aca="false">IF(AND($D58=客户对账单!$B$3,$B58&gt;=客户对账单!$E$3,$B58&lt;=客户对账单!$H$3),COUNTIFS($D$5:$D58,客户对账单!$B$3,$B$5:$B58,"&gt;="&amp;客户对账单!$E$3,$B$5:$B58,"&lt;="&amp;客户对账单!$H$3),"")</f>
        <v/>
      </c>
    </row>
    <row r="59" customFormat="false" ht="15.75" hidden="false" customHeight="true" outlineLevel="0" collapsed="false">
      <c r="A59" s="42" t="str">
        <f aca="false">IF($B59="","","XS"&amp;TEXT($B59,"yyyymm")&amp;"-"&amp;TEXT(ROW()-4,"000"))</f>
        <v/>
      </c>
      <c r="B59" s="41"/>
      <c r="C59" s="42" t="str">
        <f aca="false">IF($B59="","",TEXT($B59,"yyyy-mm"))</f>
        <v/>
      </c>
      <c r="D59" s="32"/>
      <c r="E59" s="36"/>
      <c r="F59" s="43"/>
      <c r="G59" s="40"/>
      <c r="H59" s="51"/>
      <c r="I59" s="33"/>
      <c r="J59" s="33"/>
      <c r="K59" s="36"/>
      <c r="L59" s="47" t="str">
        <f aca="false">IF($B59="","",IF(NOT(ISNUMBER($B59)),"日期不是日期格式",IF(YEAR($B59)&lt;&gt;首页!$B$3,"不在会计年度",IF($D59="","未选客户",IF(ISNA(MATCH($D59,基础资料!$Z$6:$Z$155,0)),"客户不在档案",IF($E59="","未选商品",IF(ISNA(MATCH($E59,基础资料!$Q$6:$Q$205,0)),"商品不在档案",IF(NOT(ISNUMBER($F59)),"数量须为数字",IF(NOT(ISNUMBER($G59)),"单价须为数字",IF(N($F59)&lt;=0,"数量须大于0",IF(AND(IFERROR(INDEX(基础资料!$V$6:$V$205,MATCH($E59,基础资料!$Q$6:$Q$205,0)),"")="是",N($R59)=0),"无成本价·请先录采购或填参考成本",IF(N($T59)&lt;0,"毛利为负·请核对","√"))))))))))))</f>
        <v/>
      </c>
      <c r="M59" s="49" t="str">
        <f aca="false">IF($E59="","",IFERROR(INDEX(基础资料!$R$6:$R$205,MATCH($E59,基础资料!$Q$6:$Q$205,0)),""))</f>
        <v/>
      </c>
      <c r="N59" s="49" t="str">
        <f aca="false">IF($E59="","",IFERROR(INDEX(基础资料!$S$6:$S$205,MATCH($E59,基础资料!$Q$6:$Q$205,0)),""))</f>
        <v/>
      </c>
      <c r="O59" s="48" t="str">
        <f aca="false">IF(OR($F59="",$G59=""),"",ROUND(N($F59)*N($G59),2))</f>
        <v/>
      </c>
      <c r="P59" s="48" t="str">
        <f aca="false">IF($O59="","",ROUND(N($O59)*N($H59),2))</f>
        <v/>
      </c>
      <c r="Q59" s="48" t="str">
        <f aca="false">IF($O59="","",N($O59)+N($P59))</f>
        <v/>
      </c>
      <c r="R59" s="48" t="str">
        <f aca="false">IF(OR($E59="",$B59=""),"",IF(IFERROR(INDEX(基础资料!$V$6:$V$205,MATCH($E59,基础资料!$Q$6:$Q$205,0)),"")&lt;&gt;"是",0,IFERROR((SUMIFS(期初数据!$T$6:$T$205,期初数据!$O$6:$O$205,$E59)+SUMIFS(采购录入!$Q$5:$Q$404,采购录入!$E$5:$E$404,$E59,采购录入!$I$5:$I$404,"是",采购录入!$B$5:$B$404,"&lt;="&amp;$B59))/(SUMIFS(期初数据!$R$6:$R$205,期初数据!$O$6:$O$205,$E59)+SUMIFS(采购录入!$F$5:$F$404,采购录入!$E$5:$E$404,$E59,采购录入!$I$5:$I$404,"是",采购录入!$B$5:$B$404,"&lt;="&amp;$B59)),IFERROR(INDEX(基础资料!$U$6:$U$205,MATCH($E59,基础资料!$Q$6:$Q$205,0)),0))))</f>
        <v/>
      </c>
      <c r="S59" s="48" t="str">
        <f aca="false">IF($O59="","",ROUND(N($F59)*N($R59),2))</f>
        <v/>
      </c>
      <c r="T59" s="48" t="str">
        <f aca="false">IF($O59="","",N($O59)-N($S59))</f>
        <v/>
      </c>
      <c r="U59" s="52" t="str">
        <f aca="false">IF(OR($B59="",$D59=""),"",$B59+N(IFERROR(INDEX(基础资料!$AB$6:$AB$155,MATCH($D59,基础资料!$Z$6:$Z$155,0)),0)))</f>
        <v/>
      </c>
      <c r="V59" s="49" t="str">
        <f aca="false">IF($O59="","","1122")</f>
        <v/>
      </c>
      <c r="W59" s="49" t="str">
        <f aca="false">IF($O59="","","6001")</f>
        <v/>
      </c>
      <c r="X59" s="48" t="str">
        <f aca="false">IF($O59="","",$O59)</f>
        <v/>
      </c>
      <c r="Y59" s="49" t="str">
        <f aca="false">IF(N($P59)=0,"","1122")</f>
        <v/>
      </c>
      <c r="Z59" s="49" t="str">
        <f aca="false">IF(N($P59)=0,"","2221")</f>
        <v/>
      </c>
      <c r="AA59" s="48" t="str">
        <f aca="false">IF(N($P59)=0,"",$P59)</f>
        <v/>
      </c>
      <c r="AB59" s="49" t="str">
        <f aca="false">IF(N($S59)=0,"","6401")</f>
        <v/>
      </c>
      <c r="AC59" s="49" t="str">
        <f aca="false">IF(N($S59)=0,"","1405")</f>
        <v/>
      </c>
      <c r="AD59" s="48" t="str">
        <f aca="false">IF(N($S59)=0,"",$S59)</f>
        <v/>
      </c>
      <c r="AE59" s="49" t="str">
        <f aca="false">IF(AND($D59=客户对账单!$B$3,$B59&gt;=客户对账单!$E$3,$B59&lt;=客户对账单!$H$3),COUNTIFS($D$5:$D59,客户对账单!$B$3,$B$5:$B59,"&gt;="&amp;客户对账单!$E$3,$B$5:$B59,"&lt;="&amp;客户对账单!$H$3),"")</f>
        <v/>
      </c>
    </row>
    <row r="60" customFormat="false" ht="15.75" hidden="false" customHeight="true" outlineLevel="0" collapsed="false">
      <c r="A60" s="42" t="str">
        <f aca="false">IF($B60="","","XS"&amp;TEXT($B60,"yyyymm")&amp;"-"&amp;TEXT(ROW()-4,"000"))</f>
        <v/>
      </c>
      <c r="B60" s="41"/>
      <c r="C60" s="42" t="str">
        <f aca="false">IF($B60="","",TEXT($B60,"yyyy-mm"))</f>
        <v/>
      </c>
      <c r="D60" s="32"/>
      <c r="E60" s="36"/>
      <c r="F60" s="43"/>
      <c r="G60" s="40"/>
      <c r="H60" s="51"/>
      <c r="I60" s="33"/>
      <c r="J60" s="33"/>
      <c r="K60" s="36"/>
      <c r="L60" s="47" t="str">
        <f aca="false">IF($B60="","",IF(NOT(ISNUMBER($B60)),"日期不是日期格式",IF(YEAR($B60)&lt;&gt;首页!$B$3,"不在会计年度",IF($D60="","未选客户",IF(ISNA(MATCH($D60,基础资料!$Z$6:$Z$155,0)),"客户不在档案",IF($E60="","未选商品",IF(ISNA(MATCH($E60,基础资料!$Q$6:$Q$205,0)),"商品不在档案",IF(NOT(ISNUMBER($F60)),"数量须为数字",IF(NOT(ISNUMBER($G60)),"单价须为数字",IF(N($F60)&lt;=0,"数量须大于0",IF(AND(IFERROR(INDEX(基础资料!$V$6:$V$205,MATCH($E60,基础资料!$Q$6:$Q$205,0)),"")="是",N($R60)=0),"无成本价·请先录采购或填参考成本",IF(N($T60)&lt;0,"毛利为负·请核对","√"))))))))))))</f>
        <v/>
      </c>
      <c r="M60" s="49" t="str">
        <f aca="false">IF($E60="","",IFERROR(INDEX(基础资料!$R$6:$R$205,MATCH($E60,基础资料!$Q$6:$Q$205,0)),""))</f>
        <v/>
      </c>
      <c r="N60" s="49" t="str">
        <f aca="false">IF($E60="","",IFERROR(INDEX(基础资料!$S$6:$S$205,MATCH($E60,基础资料!$Q$6:$Q$205,0)),""))</f>
        <v/>
      </c>
      <c r="O60" s="48" t="str">
        <f aca="false">IF(OR($F60="",$G60=""),"",ROUND(N($F60)*N($G60),2))</f>
        <v/>
      </c>
      <c r="P60" s="48" t="str">
        <f aca="false">IF($O60="","",ROUND(N($O60)*N($H60),2))</f>
        <v/>
      </c>
      <c r="Q60" s="48" t="str">
        <f aca="false">IF($O60="","",N($O60)+N($P60))</f>
        <v/>
      </c>
      <c r="R60" s="48" t="str">
        <f aca="false">IF(OR($E60="",$B60=""),"",IF(IFERROR(INDEX(基础资料!$V$6:$V$205,MATCH($E60,基础资料!$Q$6:$Q$205,0)),"")&lt;&gt;"是",0,IFERROR((SUMIFS(期初数据!$T$6:$T$205,期初数据!$O$6:$O$205,$E60)+SUMIFS(采购录入!$Q$5:$Q$404,采购录入!$E$5:$E$404,$E60,采购录入!$I$5:$I$404,"是",采购录入!$B$5:$B$404,"&lt;="&amp;$B60))/(SUMIFS(期初数据!$R$6:$R$205,期初数据!$O$6:$O$205,$E60)+SUMIFS(采购录入!$F$5:$F$404,采购录入!$E$5:$E$404,$E60,采购录入!$I$5:$I$404,"是",采购录入!$B$5:$B$404,"&lt;="&amp;$B60)),IFERROR(INDEX(基础资料!$U$6:$U$205,MATCH($E60,基础资料!$Q$6:$Q$205,0)),0))))</f>
        <v/>
      </c>
      <c r="S60" s="48" t="str">
        <f aca="false">IF($O60="","",ROUND(N($F60)*N($R60),2))</f>
        <v/>
      </c>
      <c r="T60" s="48" t="str">
        <f aca="false">IF($O60="","",N($O60)-N($S60))</f>
        <v/>
      </c>
      <c r="U60" s="52" t="str">
        <f aca="false">IF(OR($B60="",$D60=""),"",$B60+N(IFERROR(INDEX(基础资料!$AB$6:$AB$155,MATCH($D60,基础资料!$Z$6:$Z$155,0)),0)))</f>
        <v/>
      </c>
      <c r="V60" s="49" t="str">
        <f aca="false">IF($O60="","","1122")</f>
        <v/>
      </c>
      <c r="W60" s="49" t="str">
        <f aca="false">IF($O60="","","6001")</f>
        <v/>
      </c>
      <c r="X60" s="48" t="str">
        <f aca="false">IF($O60="","",$O60)</f>
        <v/>
      </c>
      <c r="Y60" s="49" t="str">
        <f aca="false">IF(N($P60)=0,"","1122")</f>
        <v/>
      </c>
      <c r="Z60" s="49" t="str">
        <f aca="false">IF(N($P60)=0,"","2221")</f>
        <v/>
      </c>
      <c r="AA60" s="48" t="str">
        <f aca="false">IF(N($P60)=0,"",$P60)</f>
        <v/>
      </c>
      <c r="AB60" s="49" t="str">
        <f aca="false">IF(N($S60)=0,"","6401")</f>
        <v/>
      </c>
      <c r="AC60" s="49" t="str">
        <f aca="false">IF(N($S60)=0,"","1405")</f>
        <v/>
      </c>
      <c r="AD60" s="48" t="str">
        <f aca="false">IF(N($S60)=0,"",$S60)</f>
        <v/>
      </c>
      <c r="AE60" s="49" t="str">
        <f aca="false">IF(AND($D60=客户对账单!$B$3,$B60&gt;=客户对账单!$E$3,$B60&lt;=客户对账单!$H$3),COUNTIFS($D$5:$D60,客户对账单!$B$3,$B$5:$B60,"&gt;="&amp;客户对账单!$E$3,$B$5:$B60,"&lt;="&amp;客户对账单!$H$3),"")</f>
        <v/>
      </c>
    </row>
    <row r="61" customFormat="false" ht="15.75" hidden="false" customHeight="true" outlineLevel="0" collapsed="false">
      <c r="A61" s="42" t="str">
        <f aca="false">IF($B61="","","XS"&amp;TEXT($B61,"yyyymm")&amp;"-"&amp;TEXT(ROW()-4,"000"))</f>
        <v/>
      </c>
      <c r="B61" s="41"/>
      <c r="C61" s="42" t="str">
        <f aca="false">IF($B61="","",TEXT($B61,"yyyy-mm"))</f>
        <v/>
      </c>
      <c r="D61" s="32"/>
      <c r="E61" s="36"/>
      <c r="F61" s="43"/>
      <c r="G61" s="40"/>
      <c r="H61" s="51"/>
      <c r="I61" s="33"/>
      <c r="J61" s="33"/>
      <c r="K61" s="36"/>
      <c r="L61" s="47" t="str">
        <f aca="false">IF($B61="","",IF(NOT(ISNUMBER($B61)),"日期不是日期格式",IF(YEAR($B61)&lt;&gt;首页!$B$3,"不在会计年度",IF($D61="","未选客户",IF(ISNA(MATCH($D61,基础资料!$Z$6:$Z$155,0)),"客户不在档案",IF($E61="","未选商品",IF(ISNA(MATCH($E61,基础资料!$Q$6:$Q$205,0)),"商品不在档案",IF(NOT(ISNUMBER($F61)),"数量须为数字",IF(NOT(ISNUMBER($G61)),"单价须为数字",IF(N($F61)&lt;=0,"数量须大于0",IF(AND(IFERROR(INDEX(基础资料!$V$6:$V$205,MATCH($E61,基础资料!$Q$6:$Q$205,0)),"")="是",N($R61)=0),"无成本价·请先录采购或填参考成本",IF(N($T61)&lt;0,"毛利为负·请核对","√"))))))))))))</f>
        <v/>
      </c>
      <c r="M61" s="49" t="str">
        <f aca="false">IF($E61="","",IFERROR(INDEX(基础资料!$R$6:$R$205,MATCH($E61,基础资料!$Q$6:$Q$205,0)),""))</f>
        <v/>
      </c>
      <c r="N61" s="49" t="str">
        <f aca="false">IF($E61="","",IFERROR(INDEX(基础资料!$S$6:$S$205,MATCH($E61,基础资料!$Q$6:$Q$205,0)),""))</f>
        <v/>
      </c>
      <c r="O61" s="48" t="str">
        <f aca="false">IF(OR($F61="",$G61=""),"",ROUND(N($F61)*N($G61),2))</f>
        <v/>
      </c>
      <c r="P61" s="48" t="str">
        <f aca="false">IF($O61="","",ROUND(N($O61)*N($H61),2))</f>
        <v/>
      </c>
      <c r="Q61" s="48" t="str">
        <f aca="false">IF($O61="","",N($O61)+N($P61))</f>
        <v/>
      </c>
      <c r="R61" s="48" t="str">
        <f aca="false">IF(OR($E61="",$B61=""),"",IF(IFERROR(INDEX(基础资料!$V$6:$V$205,MATCH($E61,基础资料!$Q$6:$Q$205,0)),"")&lt;&gt;"是",0,IFERROR((SUMIFS(期初数据!$T$6:$T$205,期初数据!$O$6:$O$205,$E61)+SUMIFS(采购录入!$Q$5:$Q$404,采购录入!$E$5:$E$404,$E61,采购录入!$I$5:$I$404,"是",采购录入!$B$5:$B$404,"&lt;="&amp;$B61))/(SUMIFS(期初数据!$R$6:$R$205,期初数据!$O$6:$O$205,$E61)+SUMIFS(采购录入!$F$5:$F$404,采购录入!$E$5:$E$404,$E61,采购录入!$I$5:$I$404,"是",采购录入!$B$5:$B$404,"&lt;="&amp;$B61)),IFERROR(INDEX(基础资料!$U$6:$U$205,MATCH($E61,基础资料!$Q$6:$Q$205,0)),0))))</f>
        <v/>
      </c>
      <c r="S61" s="48" t="str">
        <f aca="false">IF($O61="","",ROUND(N($F61)*N($R61),2))</f>
        <v/>
      </c>
      <c r="T61" s="48" t="str">
        <f aca="false">IF($O61="","",N($O61)-N($S61))</f>
        <v/>
      </c>
      <c r="U61" s="52" t="str">
        <f aca="false">IF(OR($B61="",$D61=""),"",$B61+N(IFERROR(INDEX(基础资料!$AB$6:$AB$155,MATCH($D61,基础资料!$Z$6:$Z$155,0)),0)))</f>
        <v/>
      </c>
      <c r="V61" s="49" t="str">
        <f aca="false">IF($O61="","","1122")</f>
        <v/>
      </c>
      <c r="W61" s="49" t="str">
        <f aca="false">IF($O61="","","6001")</f>
        <v/>
      </c>
      <c r="X61" s="48" t="str">
        <f aca="false">IF($O61="","",$O61)</f>
        <v/>
      </c>
      <c r="Y61" s="49" t="str">
        <f aca="false">IF(N($P61)=0,"","1122")</f>
        <v/>
      </c>
      <c r="Z61" s="49" t="str">
        <f aca="false">IF(N($P61)=0,"","2221")</f>
        <v/>
      </c>
      <c r="AA61" s="48" t="str">
        <f aca="false">IF(N($P61)=0,"",$P61)</f>
        <v/>
      </c>
      <c r="AB61" s="49" t="str">
        <f aca="false">IF(N($S61)=0,"","6401")</f>
        <v/>
      </c>
      <c r="AC61" s="49" t="str">
        <f aca="false">IF(N($S61)=0,"","1405")</f>
        <v/>
      </c>
      <c r="AD61" s="48" t="str">
        <f aca="false">IF(N($S61)=0,"",$S61)</f>
        <v/>
      </c>
      <c r="AE61" s="49" t="str">
        <f aca="false">IF(AND($D61=客户对账单!$B$3,$B61&gt;=客户对账单!$E$3,$B61&lt;=客户对账单!$H$3),COUNTIFS($D$5:$D61,客户对账单!$B$3,$B$5:$B61,"&gt;="&amp;客户对账单!$E$3,$B$5:$B61,"&lt;="&amp;客户对账单!$H$3),"")</f>
        <v/>
      </c>
    </row>
    <row r="62" customFormat="false" ht="15.75" hidden="false" customHeight="true" outlineLevel="0" collapsed="false">
      <c r="A62" s="42" t="str">
        <f aca="false">IF($B62="","","XS"&amp;TEXT($B62,"yyyymm")&amp;"-"&amp;TEXT(ROW()-4,"000"))</f>
        <v/>
      </c>
      <c r="B62" s="41"/>
      <c r="C62" s="42" t="str">
        <f aca="false">IF($B62="","",TEXT($B62,"yyyy-mm"))</f>
        <v/>
      </c>
      <c r="D62" s="32"/>
      <c r="E62" s="36"/>
      <c r="F62" s="43"/>
      <c r="G62" s="40"/>
      <c r="H62" s="51"/>
      <c r="I62" s="33"/>
      <c r="J62" s="33"/>
      <c r="K62" s="36"/>
      <c r="L62" s="47" t="str">
        <f aca="false">IF($B62="","",IF(NOT(ISNUMBER($B62)),"日期不是日期格式",IF(YEAR($B62)&lt;&gt;首页!$B$3,"不在会计年度",IF($D62="","未选客户",IF(ISNA(MATCH($D62,基础资料!$Z$6:$Z$155,0)),"客户不在档案",IF($E62="","未选商品",IF(ISNA(MATCH($E62,基础资料!$Q$6:$Q$205,0)),"商品不在档案",IF(NOT(ISNUMBER($F62)),"数量须为数字",IF(NOT(ISNUMBER($G62)),"单价须为数字",IF(N($F62)&lt;=0,"数量须大于0",IF(AND(IFERROR(INDEX(基础资料!$V$6:$V$205,MATCH($E62,基础资料!$Q$6:$Q$205,0)),"")="是",N($R62)=0),"无成本价·请先录采购或填参考成本",IF(N($T62)&lt;0,"毛利为负·请核对","√"))))))))))))</f>
        <v/>
      </c>
      <c r="M62" s="49" t="str">
        <f aca="false">IF($E62="","",IFERROR(INDEX(基础资料!$R$6:$R$205,MATCH($E62,基础资料!$Q$6:$Q$205,0)),""))</f>
        <v/>
      </c>
      <c r="N62" s="49" t="str">
        <f aca="false">IF($E62="","",IFERROR(INDEX(基础资料!$S$6:$S$205,MATCH($E62,基础资料!$Q$6:$Q$205,0)),""))</f>
        <v/>
      </c>
      <c r="O62" s="48" t="str">
        <f aca="false">IF(OR($F62="",$G62=""),"",ROUND(N($F62)*N($G62),2))</f>
        <v/>
      </c>
      <c r="P62" s="48" t="str">
        <f aca="false">IF($O62="","",ROUND(N($O62)*N($H62),2))</f>
        <v/>
      </c>
      <c r="Q62" s="48" t="str">
        <f aca="false">IF($O62="","",N($O62)+N($P62))</f>
        <v/>
      </c>
      <c r="R62" s="48" t="str">
        <f aca="false">IF(OR($E62="",$B62=""),"",IF(IFERROR(INDEX(基础资料!$V$6:$V$205,MATCH($E62,基础资料!$Q$6:$Q$205,0)),"")&lt;&gt;"是",0,IFERROR((SUMIFS(期初数据!$T$6:$T$205,期初数据!$O$6:$O$205,$E62)+SUMIFS(采购录入!$Q$5:$Q$404,采购录入!$E$5:$E$404,$E62,采购录入!$I$5:$I$404,"是",采购录入!$B$5:$B$404,"&lt;="&amp;$B62))/(SUMIFS(期初数据!$R$6:$R$205,期初数据!$O$6:$O$205,$E62)+SUMIFS(采购录入!$F$5:$F$404,采购录入!$E$5:$E$404,$E62,采购录入!$I$5:$I$404,"是",采购录入!$B$5:$B$404,"&lt;="&amp;$B62)),IFERROR(INDEX(基础资料!$U$6:$U$205,MATCH($E62,基础资料!$Q$6:$Q$205,0)),0))))</f>
        <v/>
      </c>
      <c r="S62" s="48" t="str">
        <f aca="false">IF($O62="","",ROUND(N($F62)*N($R62),2))</f>
        <v/>
      </c>
      <c r="T62" s="48" t="str">
        <f aca="false">IF($O62="","",N($O62)-N($S62))</f>
        <v/>
      </c>
      <c r="U62" s="52" t="str">
        <f aca="false">IF(OR($B62="",$D62=""),"",$B62+N(IFERROR(INDEX(基础资料!$AB$6:$AB$155,MATCH($D62,基础资料!$Z$6:$Z$155,0)),0)))</f>
        <v/>
      </c>
      <c r="V62" s="49" t="str">
        <f aca="false">IF($O62="","","1122")</f>
        <v/>
      </c>
      <c r="W62" s="49" t="str">
        <f aca="false">IF($O62="","","6001")</f>
        <v/>
      </c>
      <c r="X62" s="48" t="str">
        <f aca="false">IF($O62="","",$O62)</f>
        <v/>
      </c>
      <c r="Y62" s="49" t="str">
        <f aca="false">IF(N($P62)=0,"","1122")</f>
        <v/>
      </c>
      <c r="Z62" s="49" t="str">
        <f aca="false">IF(N($P62)=0,"","2221")</f>
        <v/>
      </c>
      <c r="AA62" s="48" t="str">
        <f aca="false">IF(N($P62)=0,"",$P62)</f>
        <v/>
      </c>
      <c r="AB62" s="49" t="str">
        <f aca="false">IF(N($S62)=0,"","6401")</f>
        <v/>
      </c>
      <c r="AC62" s="49" t="str">
        <f aca="false">IF(N($S62)=0,"","1405")</f>
        <v/>
      </c>
      <c r="AD62" s="48" t="str">
        <f aca="false">IF(N($S62)=0,"",$S62)</f>
        <v/>
      </c>
      <c r="AE62" s="49" t="str">
        <f aca="false">IF(AND($D62=客户对账单!$B$3,$B62&gt;=客户对账单!$E$3,$B62&lt;=客户对账单!$H$3),COUNTIFS($D$5:$D62,客户对账单!$B$3,$B$5:$B62,"&gt;="&amp;客户对账单!$E$3,$B$5:$B62,"&lt;="&amp;客户对账单!$H$3),"")</f>
        <v/>
      </c>
    </row>
    <row r="63" customFormat="false" ht="15.75" hidden="false" customHeight="true" outlineLevel="0" collapsed="false">
      <c r="A63" s="42" t="str">
        <f aca="false">IF($B63="","","XS"&amp;TEXT($B63,"yyyymm")&amp;"-"&amp;TEXT(ROW()-4,"000"))</f>
        <v/>
      </c>
      <c r="B63" s="41"/>
      <c r="C63" s="42" t="str">
        <f aca="false">IF($B63="","",TEXT($B63,"yyyy-mm"))</f>
        <v/>
      </c>
      <c r="D63" s="32"/>
      <c r="E63" s="36"/>
      <c r="F63" s="43"/>
      <c r="G63" s="40"/>
      <c r="H63" s="51"/>
      <c r="I63" s="33"/>
      <c r="J63" s="33"/>
      <c r="K63" s="36"/>
      <c r="L63" s="47" t="str">
        <f aca="false">IF($B63="","",IF(NOT(ISNUMBER($B63)),"日期不是日期格式",IF(YEAR($B63)&lt;&gt;首页!$B$3,"不在会计年度",IF($D63="","未选客户",IF(ISNA(MATCH($D63,基础资料!$Z$6:$Z$155,0)),"客户不在档案",IF($E63="","未选商品",IF(ISNA(MATCH($E63,基础资料!$Q$6:$Q$205,0)),"商品不在档案",IF(NOT(ISNUMBER($F63)),"数量须为数字",IF(NOT(ISNUMBER($G63)),"单价须为数字",IF(N($F63)&lt;=0,"数量须大于0",IF(AND(IFERROR(INDEX(基础资料!$V$6:$V$205,MATCH($E63,基础资料!$Q$6:$Q$205,0)),"")="是",N($R63)=0),"无成本价·请先录采购或填参考成本",IF(N($T63)&lt;0,"毛利为负·请核对","√"))))))))))))</f>
        <v/>
      </c>
      <c r="M63" s="49" t="str">
        <f aca="false">IF($E63="","",IFERROR(INDEX(基础资料!$R$6:$R$205,MATCH($E63,基础资料!$Q$6:$Q$205,0)),""))</f>
        <v/>
      </c>
      <c r="N63" s="49" t="str">
        <f aca="false">IF($E63="","",IFERROR(INDEX(基础资料!$S$6:$S$205,MATCH($E63,基础资料!$Q$6:$Q$205,0)),""))</f>
        <v/>
      </c>
      <c r="O63" s="48" t="str">
        <f aca="false">IF(OR($F63="",$G63=""),"",ROUND(N($F63)*N($G63),2))</f>
        <v/>
      </c>
      <c r="P63" s="48" t="str">
        <f aca="false">IF($O63="","",ROUND(N($O63)*N($H63),2))</f>
        <v/>
      </c>
      <c r="Q63" s="48" t="str">
        <f aca="false">IF($O63="","",N($O63)+N($P63))</f>
        <v/>
      </c>
      <c r="R63" s="48" t="str">
        <f aca="false">IF(OR($E63="",$B63=""),"",IF(IFERROR(INDEX(基础资料!$V$6:$V$205,MATCH($E63,基础资料!$Q$6:$Q$205,0)),"")&lt;&gt;"是",0,IFERROR((SUMIFS(期初数据!$T$6:$T$205,期初数据!$O$6:$O$205,$E63)+SUMIFS(采购录入!$Q$5:$Q$404,采购录入!$E$5:$E$404,$E63,采购录入!$I$5:$I$404,"是",采购录入!$B$5:$B$404,"&lt;="&amp;$B63))/(SUMIFS(期初数据!$R$6:$R$205,期初数据!$O$6:$O$205,$E63)+SUMIFS(采购录入!$F$5:$F$404,采购录入!$E$5:$E$404,$E63,采购录入!$I$5:$I$404,"是",采购录入!$B$5:$B$404,"&lt;="&amp;$B63)),IFERROR(INDEX(基础资料!$U$6:$U$205,MATCH($E63,基础资料!$Q$6:$Q$205,0)),0))))</f>
        <v/>
      </c>
      <c r="S63" s="48" t="str">
        <f aca="false">IF($O63="","",ROUND(N($F63)*N($R63),2))</f>
        <v/>
      </c>
      <c r="T63" s="48" t="str">
        <f aca="false">IF($O63="","",N($O63)-N($S63))</f>
        <v/>
      </c>
      <c r="U63" s="52" t="str">
        <f aca="false">IF(OR($B63="",$D63=""),"",$B63+N(IFERROR(INDEX(基础资料!$AB$6:$AB$155,MATCH($D63,基础资料!$Z$6:$Z$155,0)),0)))</f>
        <v/>
      </c>
      <c r="V63" s="49" t="str">
        <f aca="false">IF($O63="","","1122")</f>
        <v/>
      </c>
      <c r="W63" s="49" t="str">
        <f aca="false">IF($O63="","","6001")</f>
        <v/>
      </c>
      <c r="X63" s="48" t="str">
        <f aca="false">IF($O63="","",$O63)</f>
        <v/>
      </c>
      <c r="Y63" s="49" t="str">
        <f aca="false">IF(N($P63)=0,"","1122")</f>
        <v/>
      </c>
      <c r="Z63" s="49" t="str">
        <f aca="false">IF(N($P63)=0,"","2221")</f>
        <v/>
      </c>
      <c r="AA63" s="48" t="str">
        <f aca="false">IF(N($P63)=0,"",$P63)</f>
        <v/>
      </c>
      <c r="AB63" s="49" t="str">
        <f aca="false">IF(N($S63)=0,"","6401")</f>
        <v/>
      </c>
      <c r="AC63" s="49" t="str">
        <f aca="false">IF(N($S63)=0,"","1405")</f>
        <v/>
      </c>
      <c r="AD63" s="48" t="str">
        <f aca="false">IF(N($S63)=0,"",$S63)</f>
        <v/>
      </c>
      <c r="AE63" s="49" t="str">
        <f aca="false">IF(AND($D63=客户对账单!$B$3,$B63&gt;=客户对账单!$E$3,$B63&lt;=客户对账单!$H$3),COUNTIFS($D$5:$D63,客户对账单!$B$3,$B$5:$B63,"&gt;="&amp;客户对账单!$E$3,$B$5:$B63,"&lt;="&amp;客户对账单!$H$3),"")</f>
        <v/>
      </c>
    </row>
    <row r="64" customFormat="false" ht="15.75" hidden="false" customHeight="true" outlineLevel="0" collapsed="false">
      <c r="A64" s="42" t="str">
        <f aca="false">IF($B64="","","XS"&amp;TEXT($B64,"yyyymm")&amp;"-"&amp;TEXT(ROW()-4,"000"))</f>
        <v/>
      </c>
      <c r="B64" s="41"/>
      <c r="C64" s="42" t="str">
        <f aca="false">IF($B64="","",TEXT($B64,"yyyy-mm"))</f>
        <v/>
      </c>
      <c r="D64" s="32"/>
      <c r="E64" s="36"/>
      <c r="F64" s="43"/>
      <c r="G64" s="40"/>
      <c r="H64" s="51"/>
      <c r="I64" s="33"/>
      <c r="J64" s="33"/>
      <c r="K64" s="36"/>
      <c r="L64" s="47" t="str">
        <f aca="false">IF($B64="","",IF(NOT(ISNUMBER($B64)),"日期不是日期格式",IF(YEAR($B64)&lt;&gt;首页!$B$3,"不在会计年度",IF($D64="","未选客户",IF(ISNA(MATCH($D64,基础资料!$Z$6:$Z$155,0)),"客户不在档案",IF($E64="","未选商品",IF(ISNA(MATCH($E64,基础资料!$Q$6:$Q$205,0)),"商品不在档案",IF(NOT(ISNUMBER($F64)),"数量须为数字",IF(NOT(ISNUMBER($G64)),"单价须为数字",IF(N($F64)&lt;=0,"数量须大于0",IF(AND(IFERROR(INDEX(基础资料!$V$6:$V$205,MATCH($E64,基础资料!$Q$6:$Q$205,0)),"")="是",N($R64)=0),"无成本价·请先录采购或填参考成本",IF(N($T64)&lt;0,"毛利为负·请核对","√"))))))))))))</f>
        <v/>
      </c>
      <c r="M64" s="49" t="str">
        <f aca="false">IF($E64="","",IFERROR(INDEX(基础资料!$R$6:$R$205,MATCH($E64,基础资料!$Q$6:$Q$205,0)),""))</f>
        <v/>
      </c>
      <c r="N64" s="49" t="str">
        <f aca="false">IF($E64="","",IFERROR(INDEX(基础资料!$S$6:$S$205,MATCH($E64,基础资料!$Q$6:$Q$205,0)),""))</f>
        <v/>
      </c>
      <c r="O64" s="48" t="str">
        <f aca="false">IF(OR($F64="",$G64=""),"",ROUND(N($F64)*N($G64),2))</f>
        <v/>
      </c>
      <c r="P64" s="48" t="str">
        <f aca="false">IF($O64="","",ROUND(N($O64)*N($H64),2))</f>
        <v/>
      </c>
      <c r="Q64" s="48" t="str">
        <f aca="false">IF($O64="","",N($O64)+N($P64))</f>
        <v/>
      </c>
      <c r="R64" s="48" t="str">
        <f aca="false">IF(OR($E64="",$B64=""),"",IF(IFERROR(INDEX(基础资料!$V$6:$V$205,MATCH($E64,基础资料!$Q$6:$Q$205,0)),"")&lt;&gt;"是",0,IFERROR((SUMIFS(期初数据!$T$6:$T$205,期初数据!$O$6:$O$205,$E64)+SUMIFS(采购录入!$Q$5:$Q$404,采购录入!$E$5:$E$404,$E64,采购录入!$I$5:$I$404,"是",采购录入!$B$5:$B$404,"&lt;="&amp;$B64))/(SUMIFS(期初数据!$R$6:$R$205,期初数据!$O$6:$O$205,$E64)+SUMIFS(采购录入!$F$5:$F$404,采购录入!$E$5:$E$404,$E64,采购录入!$I$5:$I$404,"是",采购录入!$B$5:$B$404,"&lt;="&amp;$B64)),IFERROR(INDEX(基础资料!$U$6:$U$205,MATCH($E64,基础资料!$Q$6:$Q$205,0)),0))))</f>
        <v/>
      </c>
      <c r="S64" s="48" t="str">
        <f aca="false">IF($O64="","",ROUND(N($F64)*N($R64),2))</f>
        <v/>
      </c>
      <c r="T64" s="48" t="str">
        <f aca="false">IF($O64="","",N($O64)-N($S64))</f>
        <v/>
      </c>
      <c r="U64" s="52" t="str">
        <f aca="false">IF(OR($B64="",$D64=""),"",$B64+N(IFERROR(INDEX(基础资料!$AB$6:$AB$155,MATCH($D64,基础资料!$Z$6:$Z$155,0)),0)))</f>
        <v/>
      </c>
      <c r="V64" s="49" t="str">
        <f aca="false">IF($O64="","","1122")</f>
        <v/>
      </c>
      <c r="W64" s="49" t="str">
        <f aca="false">IF($O64="","","6001")</f>
        <v/>
      </c>
      <c r="X64" s="48" t="str">
        <f aca="false">IF($O64="","",$O64)</f>
        <v/>
      </c>
      <c r="Y64" s="49" t="str">
        <f aca="false">IF(N($P64)=0,"","1122")</f>
        <v/>
      </c>
      <c r="Z64" s="49" t="str">
        <f aca="false">IF(N($P64)=0,"","2221")</f>
        <v/>
      </c>
      <c r="AA64" s="48" t="str">
        <f aca="false">IF(N($P64)=0,"",$P64)</f>
        <v/>
      </c>
      <c r="AB64" s="49" t="str">
        <f aca="false">IF(N($S64)=0,"","6401")</f>
        <v/>
      </c>
      <c r="AC64" s="49" t="str">
        <f aca="false">IF(N($S64)=0,"","1405")</f>
        <v/>
      </c>
      <c r="AD64" s="48" t="str">
        <f aca="false">IF(N($S64)=0,"",$S64)</f>
        <v/>
      </c>
      <c r="AE64" s="49" t="str">
        <f aca="false">IF(AND($D64=客户对账单!$B$3,$B64&gt;=客户对账单!$E$3,$B64&lt;=客户对账单!$H$3),COUNTIFS($D$5:$D64,客户对账单!$B$3,$B$5:$B64,"&gt;="&amp;客户对账单!$E$3,$B$5:$B64,"&lt;="&amp;客户对账单!$H$3),"")</f>
        <v/>
      </c>
    </row>
    <row r="65" customFormat="false" ht="15.75" hidden="false" customHeight="true" outlineLevel="0" collapsed="false">
      <c r="A65" s="42" t="str">
        <f aca="false">IF($B65="","","XS"&amp;TEXT($B65,"yyyymm")&amp;"-"&amp;TEXT(ROW()-4,"000"))</f>
        <v/>
      </c>
      <c r="B65" s="41"/>
      <c r="C65" s="42" t="str">
        <f aca="false">IF($B65="","",TEXT($B65,"yyyy-mm"))</f>
        <v/>
      </c>
      <c r="D65" s="32"/>
      <c r="E65" s="36"/>
      <c r="F65" s="43"/>
      <c r="G65" s="40"/>
      <c r="H65" s="51"/>
      <c r="I65" s="33"/>
      <c r="J65" s="33"/>
      <c r="K65" s="36"/>
      <c r="L65" s="47" t="str">
        <f aca="false">IF($B65="","",IF(NOT(ISNUMBER($B65)),"日期不是日期格式",IF(YEAR($B65)&lt;&gt;首页!$B$3,"不在会计年度",IF($D65="","未选客户",IF(ISNA(MATCH($D65,基础资料!$Z$6:$Z$155,0)),"客户不在档案",IF($E65="","未选商品",IF(ISNA(MATCH($E65,基础资料!$Q$6:$Q$205,0)),"商品不在档案",IF(NOT(ISNUMBER($F65)),"数量须为数字",IF(NOT(ISNUMBER($G65)),"单价须为数字",IF(N($F65)&lt;=0,"数量须大于0",IF(AND(IFERROR(INDEX(基础资料!$V$6:$V$205,MATCH($E65,基础资料!$Q$6:$Q$205,0)),"")="是",N($R65)=0),"无成本价·请先录采购或填参考成本",IF(N($T65)&lt;0,"毛利为负·请核对","√"))))))))))))</f>
        <v/>
      </c>
      <c r="M65" s="49" t="str">
        <f aca="false">IF($E65="","",IFERROR(INDEX(基础资料!$R$6:$R$205,MATCH($E65,基础资料!$Q$6:$Q$205,0)),""))</f>
        <v/>
      </c>
      <c r="N65" s="49" t="str">
        <f aca="false">IF($E65="","",IFERROR(INDEX(基础资料!$S$6:$S$205,MATCH($E65,基础资料!$Q$6:$Q$205,0)),""))</f>
        <v/>
      </c>
      <c r="O65" s="48" t="str">
        <f aca="false">IF(OR($F65="",$G65=""),"",ROUND(N($F65)*N($G65),2))</f>
        <v/>
      </c>
      <c r="P65" s="48" t="str">
        <f aca="false">IF($O65="","",ROUND(N($O65)*N($H65),2))</f>
        <v/>
      </c>
      <c r="Q65" s="48" t="str">
        <f aca="false">IF($O65="","",N($O65)+N($P65))</f>
        <v/>
      </c>
      <c r="R65" s="48" t="str">
        <f aca="false">IF(OR($E65="",$B65=""),"",IF(IFERROR(INDEX(基础资料!$V$6:$V$205,MATCH($E65,基础资料!$Q$6:$Q$205,0)),"")&lt;&gt;"是",0,IFERROR((SUMIFS(期初数据!$T$6:$T$205,期初数据!$O$6:$O$205,$E65)+SUMIFS(采购录入!$Q$5:$Q$404,采购录入!$E$5:$E$404,$E65,采购录入!$I$5:$I$404,"是",采购录入!$B$5:$B$404,"&lt;="&amp;$B65))/(SUMIFS(期初数据!$R$6:$R$205,期初数据!$O$6:$O$205,$E65)+SUMIFS(采购录入!$F$5:$F$404,采购录入!$E$5:$E$404,$E65,采购录入!$I$5:$I$404,"是",采购录入!$B$5:$B$404,"&lt;="&amp;$B65)),IFERROR(INDEX(基础资料!$U$6:$U$205,MATCH($E65,基础资料!$Q$6:$Q$205,0)),0))))</f>
        <v/>
      </c>
      <c r="S65" s="48" t="str">
        <f aca="false">IF($O65="","",ROUND(N($F65)*N($R65),2))</f>
        <v/>
      </c>
      <c r="T65" s="48" t="str">
        <f aca="false">IF($O65="","",N($O65)-N($S65))</f>
        <v/>
      </c>
      <c r="U65" s="52" t="str">
        <f aca="false">IF(OR($B65="",$D65=""),"",$B65+N(IFERROR(INDEX(基础资料!$AB$6:$AB$155,MATCH($D65,基础资料!$Z$6:$Z$155,0)),0)))</f>
        <v/>
      </c>
      <c r="V65" s="49" t="str">
        <f aca="false">IF($O65="","","1122")</f>
        <v/>
      </c>
      <c r="W65" s="49" t="str">
        <f aca="false">IF($O65="","","6001")</f>
        <v/>
      </c>
      <c r="X65" s="48" t="str">
        <f aca="false">IF($O65="","",$O65)</f>
        <v/>
      </c>
      <c r="Y65" s="49" t="str">
        <f aca="false">IF(N($P65)=0,"","1122")</f>
        <v/>
      </c>
      <c r="Z65" s="49" t="str">
        <f aca="false">IF(N($P65)=0,"","2221")</f>
        <v/>
      </c>
      <c r="AA65" s="48" t="str">
        <f aca="false">IF(N($P65)=0,"",$P65)</f>
        <v/>
      </c>
      <c r="AB65" s="49" t="str">
        <f aca="false">IF(N($S65)=0,"","6401")</f>
        <v/>
      </c>
      <c r="AC65" s="49" t="str">
        <f aca="false">IF(N($S65)=0,"","1405")</f>
        <v/>
      </c>
      <c r="AD65" s="48" t="str">
        <f aca="false">IF(N($S65)=0,"",$S65)</f>
        <v/>
      </c>
      <c r="AE65" s="49" t="str">
        <f aca="false">IF(AND($D65=客户对账单!$B$3,$B65&gt;=客户对账单!$E$3,$B65&lt;=客户对账单!$H$3),COUNTIFS($D$5:$D65,客户对账单!$B$3,$B$5:$B65,"&gt;="&amp;客户对账单!$E$3,$B$5:$B65,"&lt;="&amp;客户对账单!$H$3),"")</f>
        <v/>
      </c>
    </row>
    <row r="66" customFormat="false" ht="15.75" hidden="false" customHeight="true" outlineLevel="0" collapsed="false">
      <c r="A66" s="42" t="str">
        <f aca="false">IF($B66="","","XS"&amp;TEXT($B66,"yyyymm")&amp;"-"&amp;TEXT(ROW()-4,"000"))</f>
        <v/>
      </c>
      <c r="B66" s="41"/>
      <c r="C66" s="42" t="str">
        <f aca="false">IF($B66="","",TEXT($B66,"yyyy-mm"))</f>
        <v/>
      </c>
      <c r="D66" s="32"/>
      <c r="E66" s="36"/>
      <c r="F66" s="43"/>
      <c r="G66" s="40"/>
      <c r="H66" s="51"/>
      <c r="I66" s="33"/>
      <c r="J66" s="33"/>
      <c r="K66" s="36"/>
      <c r="L66" s="47" t="str">
        <f aca="false">IF($B66="","",IF(NOT(ISNUMBER($B66)),"日期不是日期格式",IF(YEAR($B66)&lt;&gt;首页!$B$3,"不在会计年度",IF($D66="","未选客户",IF(ISNA(MATCH($D66,基础资料!$Z$6:$Z$155,0)),"客户不在档案",IF($E66="","未选商品",IF(ISNA(MATCH($E66,基础资料!$Q$6:$Q$205,0)),"商品不在档案",IF(NOT(ISNUMBER($F66)),"数量须为数字",IF(NOT(ISNUMBER($G66)),"单价须为数字",IF(N($F66)&lt;=0,"数量须大于0",IF(AND(IFERROR(INDEX(基础资料!$V$6:$V$205,MATCH($E66,基础资料!$Q$6:$Q$205,0)),"")="是",N($R66)=0),"无成本价·请先录采购或填参考成本",IF(N($T66)&lt;0,"毛利为负·请核对","√"))))))))))))</f>
        <v/>
      </c>
      <c r="M66" s="49" t="str">
        <f aca="false">IF($E66="","",IFERROR(INDEX(基础资料!$R$6:$R$205,MATCH($E66,基础资料!$Q$6:$Q$205,0)),""))</f>
        <v/>
      </c>
      <c r="N66" s="49" t="str">
        <f aca="false">IF($E66="","",IFERROR(INDEX(基础资料!$S$6:$S$205,MATCH($E66,基础资料!$Q$6:$Q$205,0)),""))</f>
        <v/>
      </c>
      <c r="O66" s="48" t="str">
        <f aca="false">IF(OR($F66="",$G66=""),"",ROUND(N($F66)*N($G66),2))</f>
        <v/>
      </c>
      <c r="P66" s="48" t="str">
        <f aca="false">IF($O66="","",ROUND(N($O66)*N($H66),2))</f>
        <v/>
      </c>
      <c r="Q66" s="48" t="str">
        <f aca="false">IF($O66="","",N($O66)+N($P66))</f>
        <v/>
      </c>
      <c r="R66" s="48" t="str">
        <f aca="false">IF(OR($E66="",$B66=""),"",IF(IFERROR(INDEX(基础资料!$V$6:$V$205,MATCH($E66,基础资料!$Q$6:$Q$205,0)),"")&lt;&gt;"是",0,IFERROR((SUMIFS(期初数据!$T$6:$T$205,期初数据!$O$6:$O$205,$E66)+SUMIFS(采购录入!$Q$5:$Q$404,采购录入!$E$5:$E$404,$E66,采购录入!$I$5:$I$404,"是",采购录入!$B$5:$B$404,"&lt;="&amp;$B66))/(SUMIFS(期初数据!$R$6:$R$205,期初数据!$O$6:$O$205,$E66)+SUMIFS(采购录入!$F$5:$F$404,采购录入!$E$5:$E$404,$E66,采购录入!$I$5:$I$404,"是",采购录入!$B$5:$B$404,"&lt;="&amp;$B66)),IFERROR(INDEX(基础资料!$U$6:$U$205,MATCH($E66,基础资料!$Q$6:$Q$205,0)),0))))</f>
        <v/>
      </c>
      <c r="S66" s="48" t="str">
        <f aca="false">IF($O66="","",ROUND(N($F66)*N($R66),2))</f>
        <v/>
      </c>
      <c r="T66" s="48" t="str">
        <f aca="false">IF($O66="","",N($O66)-N($S66))</f>
        <v/>
      </c>
      <c r="U66" s="52" t="str">
        <f aca="false">IF(OR($B66="",$D66=""),"",$B66+N(IFERROR(INDEX(基础资料!$AB$6:$AB$155,MATCH($D66,基础资料!$Z$6:$Z$155,0)),0)))</f>
        <v/>
      </c>
      <c r="V66" s="49" t="str">
        <f aca="false">IF($O66="","","1122")</f>
        <v/>
      </c>
      <c r="W66" s="49" t="str">
        <f aca="false">IF($O66="","","6001")</f>
        <v/>
      </c>
      <c r="X66" s="48" t="str">
        <f aca="false">IF($O66="","",$O66)</f>
        <v/>
      </c>
      <c r="Y66" s="49" t="str">
        <f aca="false">IF(N($P66)=0,"","1122")</f>
        <v/>
      </c>
      <c r="Z66" s="49" t="str">
        <f aca="false">IF(N($P66)=0,"","2221")</f>
        <v/>
      </c>
      <c r="AA66" s="48" t="str">
        <f aca="false">IF(N($P66)=0,"",$P66)</f>
        <v/>
      </c>
      <c r="AB66" s="49" t="str">
        <f aca="false">IF(N($S66)=0,"","6401")</f>
        <v/>
      </c>
      <c r="AC66" s="49" t="str">
        <f aca="false">IF(N($S66)=0,"","1405")</f>
        <v/>
      </c>
      <c r="AD66" s="48" t="str">
        <f aca="false">IF(N($S66)=0,"",$S66)</f>
        <v/>
      </c>
      <c r="AE66" s="49" t="str">
        <f aca="false">IF(AND($D66=客户对账单!$B$3,$B66&gt;=客户对账单!$E$3,$B66&lt;=客户对账单!$H$3),COUNTIFS($D$5:$D66,客户对账单!$B$3,$B$5:$B66,"&gt;="&amp;客户对账单!$E$3,$B$5:$B66,"&lt;="&amp;客户对账单!$H$3),"")</f>
        <v/>
      </c>
    </row>
    <row r="67" customFormat="false" ht="15.75" hidden="false" customHeight="true" outlineLevel="0" collapsed="false">
      <c r="A67" s="42" t="str">
        <f aca="false">IF($B67="","","XS"&amp;TEXT($B67,"yyyymm")&amp;"-"&amp;TEXT(ROW()-4,"000"))</f>
        <v/>
      </c>
      <c r="B67" s="41"/>
      <c r="C67" s="42" t="str">
        <f aca="false">IF($B67="","",TEXT($B67,"yyyy-mm"))</f>
        <v/>
      </c>
      <c r="D67" s="32"/>
      <c r="E67" s="36"/>
      <c r="F67" s="43"/>
      <c r="G67" s="40"/>
      <c r="H67" s="51"/>
      <c r="I67" s="33"/>
      <c r="J67" s="33"/>
      <c r="K67" s="36"/>
      <c r="L67" s="47" t="str">
        <f aca="false">IF($B67="","",IF(NOT(ISNUMBER($B67)),"日期不是日期格式",IF(YEAR($B67)&lt;&gt;首页!$B$3,"不在会计年度",IF($D67="","未选客户",IF(ISNA(MATCH($D67,基础资料!$Z$6:$Z$155,0)),"客户不在档案",IF($E67="","未选商品",IF(ISNA(MATCH($E67,基础资料!$Q$6:$Q$205,0)),"商品不在档案",IF(NOT(ISNUMBER($F67)),"数量须为数字",IF(NOT(ISNUMBER($G67)),"单价须为数字",IF(N($F67)&lt;=0,"数量须大于0",IF(AND(IFERROR(INDEX(基础资料!$V$6:$V$205,MATCH($E67,基础资料!$Q$6:$Q$205,0)),"")="是",N($R67)=0),"无成本价·请先录采购或填参考成本",IF(N($T67)&lt;0,"毛利为负·请核对","√"))))))))))))</f>
        <v/>
      </c>
      <c r="M67" s="49" t="str">
        <f aca="false">IF($E67="","",IFERROR(INDEX(基础资料!$R$6:$R$205,MATCH($E67,基础资料!$Q$6:$Q$205,0)),""))</f>
        <v/>
      </c>
      <c r="N67" s="49" t="str">
        <f aca="false">IF($E67="","",IFERROR(INDEX(基础资料!$S$6:$S$205,MATCH($E67,基础资料!$Q$6:$Q$205,0)),""))</f>
        <v/>
      </c>
      <c r="O67" s="48" t="str">
        <f aca="false">IF(OR($F67="",$G67=""),"",ROUND(N($F67)*N($G67),2))</f>
        <v/>
      </c>
      <c r="P67" s="48" t="str">
        <f aca="false">IF($O67="","",ROUND(N($O67)*N($H67),2))</f>
        <v/>
      </c>
      <c r="Q67" s="48" t="str">
        <f aca="false">IF($O67="","",N($O67)+N($P67))</f>
        <v/>
      </c>
      <c r="R67" s="48" t="str">
        <f aca="false">IF(OR($E67="",$B67=""),"",IF(IFERROR(INDEX(基础资料!$V$6:$V$205,MATCH($E67,基础资料!$Q$6:$Q$205,0)),"")&lt;&gt;"是",0,IFERROR((SUMIFS(期初数据!$T$6:$T$205,期初数据!$O$6:$O$205,$E67)+SUMIFS(采购录入!$Q$5:$Q$404,采购录入!$E$5:$E$404,$E67,采购录入!$I$5:$I$404,"是",采购录入!$B$5:$B$404,"&lt;="&amp;$B67))/(SUMIFS(期初数据!$R$6:$R$205,期初数据!$O$6:$O$205,$E67)+SUMIFS(采购录入!$F$5:$F$404,采购录入!$E$5:$E$404,$E67,采购录入!$I$5:$I$404,"是",采购录入!$B$5:$B$404,"&lt;="&amp;$B67)),IFERROR(INDEX(基础资料!$U$6:$U$205,MATCH($E67,基础资料!$Q$6:$Q$205,0)),0))))</f>
        <v/>
      </c>
      <c r="S67" s="48" t="str">
        <f aca="false">IF($O67="","",ROUND(N($F67)*N($R67),2))</f>
        <v/>
      </c>
      <c r="T67" s="48" t="str">
        <f aca="false">IF($O67="","",N($O67)-N($S67))</f>
        <v/>
      </c>
      <c r="U67" s="52" t="str">
        <f aca="false">IF(OR($B67="",$D67=""),"",$B67+N(IFERROR(INDEX(基础资料!$AB$6:$AB$155,MATCH($D67,基础资料!$Z$6:$Z$155,0)),0)))</f>
        <v/>
      </c>
      <c r="V67" s="49" t="str">
        <f aca="false">IF($O67="","","1122")</f>
        <v/>
      </c>
      <c r="W67" s="49" t="str">
        <f aca="false">IF($O67="","","6001")</f>
        <v/>
      </c>
      <c r="X67" s="48" t="str">
        <f aca="false">IF($O67="","",$O67)</f>
        <v/>
      </c>
      <c r="Y67" s="49" t="str">
        <f aca="false">IF(N($P67)=0,"","1122")</f>
        <v/>
      </c>
      <c r="Z67" s="49" t="str">
        <f aca="false">IF(N($P67)=0,"","2221")</f>
        <v/>
      </c>
      <c r="AA67" s="48" t="str">
        <f aca="false">IF(N($P67)=0,"",$P67)</f>
        <v/>
      </c>
      <c r="AB67" s="49" t="str">
        <f aca="false">IF(N($S67)=0,"","6401")</f>
        <v/>
      </c>
      <c r="AC67" s="49" t="str">
        <f aca="false">IF(N($S67)=0,"","1405")</f>
        <v/>
      </c>
      <c r="AD67" s="48" t="str">
        <f aca="false">IF(N($S67)=0,"",$S67)</f>
        <v/>
      </c>
      <c r="AE67" s="49" t="str">
        <f aca="false">IF(AND($D67=客户对账单!$B$3,$B67&gt;=客户对账单!$E$3,$B67&lt;=客户对账单!$H$3),COUNTIFS($D$5:$D67,客户对账单!$B$3,$B$5:$B67,"&gt;="&amp;客户对账单!$E$3,$B$5:$B67,"&lt;="&amp;客户对账单!$H$3),"")</f>
        <v/>
      </c>
    </row>
    <row r="68" customFormat="false" ht="15.75" hidden="false" customHeight="true" outlineLevel="0" collapsed="false">
      <c r="A68" s="42" t="str">
        <f aca="false">IF($B68="","","XS"&amp;TEXT($B68,"yyyymm")&amp;"-"&amp;TEXT(ROW()-4,"000"))</f>
        <v/>
      </c>
      <c r="B68" s="41"/>
      <c r="C68" s="42" t="str">
        <f aca="false">IF($B68="","",TEXT($B68,"yyyy-mm"))</f>
        <v/>
      </c>
      <c r="D68" s="32"/>
      <c r="E68" s="36"/>
      <c r="F68" s="43"/>
      <c r="G68" s="40"/>
      <c r="H68" s="51"/>
      <c r="I68" s="33"/>
      <c r="J68" s="33"/>
      <c r="K68" s="36"/>
      <c r="L68" s="47" t="str">
        <f aca="false">IF($B68="","",IF(NOT(ISNUMBER($B68)),"日期不是日期格式",IF(YEAR($B68)&lt;&gt;首页!$B$3,"不在会计年度",IF($D68="","未选客户",IF(ISNA(MATCH($D68,基础资料!$Z$6:$Z$155,0)),"客户不在档案",IF($E68="","未选商品",IF(ISNA(MATCH($E68,基础资料!$Q$6:$Q$205,0)),"商品不在档案",IF(NOT(ISNUMBER($F68)),"数量须为数字",IF(NOT(ISNUMBER($G68)),"单价须为数字",IF(N($F68)&lt;=0,"数量须大于0",IF(AND(IFERROR(INDEX(基础资料!$V$6:$V$205,MATCH($E68,基础资料!$Q$6:$Q$205,0)),"")="是",N($R68)=0),"无成本价·请先录采购或填参考成本",IF(N($T68)&lt;0,"毛利为负·请核对","√"))))))))))))</f>
        <v/>
      </c>
      <c r="M68" s="49" t="str">
        <f aca="false">IF($E68="","",IFERROR(INDEX(基础资料!$R$6:$R$205,MATCH($E68,基础资料!$Q$6:$Q$205,0)),""))</f>
        <v/>
      </c>
      <c r="N68" s="49" t="str">
        <f aca="false">IF($E68="","",IFERROR(INDEX(基础资料!$S$6:$S$205,MATCH($E68,基础资料!$Q$6:$Q$205,0)),""))</f>
        <v/>
      </c>
      <c r="O68" s="48" t="str">
        <f aca="false">IF(OR($F68="",$G68=""),"",ROUND(N($F68)*N($G68),2))</f>
        <v/>
      </c>
      <c r="P68" s="48" t="str">
        <f aca="false">IF($O68="","",ROUND(N($O68)*N($H68),2))</f>
        <v/>
      </c>
      <c r="Q68" s="48" t="str">
        <f aca="false">IF($O68="","",N($O68)+N($P68))</f>
        <v/>
      </c>
      <c r="R68" s="48" t="str">
        <f aca="false">IF(OR($E68="",$B68=""),"",IF(IFERROR(INDEX(基础资料!$V$6:$V$205,MATCH($E68,基础资料!$Q$6:$Q$205,0)),"")&lt;&gt;"是",0,IFERROR((SUMIFS(期初数据!$T$6:$T$205,期初数据!$O$6:$O$205,$E68)+SUMIFS(采购录入!$Q$5:$Q$404,采购录入!$E$5:$E$404,$E68,采购录入!$I$5:$I$404,"是",采购录入!$B$5:$B$404,"&lt;="&amp;$B68))/(SUMIFS(期初数据!$R$6:$R$205,期初数据!$O$6:$O$205,$E68)+SUMIFS(采购录入!$F$5:$F$404,采购录入!$E$5:$E$404,$E68,采购录入!$I$5:$I$404,"是",采购录入!$B$5:$B$404,"&lt;="&amp;$B68)),IFERROR(INDEX(基础资料!$U$6:$U$205,MATCH($E68,基础资料!$Q$6:$Q$205,0)),0))))</f>
        <v/>
      </c>
      <c r="S68" s="48" t="str">
        <f aca="false">IF($O68="","",ROUND(N($F68)*N($R68),2))</f>
        <v/>
      </c>
      <c r="T68" s="48" t="str">
        <f aca="false">IF($O68="","",N($O68)-N($S68))</f>
        <v/>
      </c>
      <c r="U68" s="52" t="str">
        <f aca="false">IF(OR($B68="",$D68=""),"",$B68+N(IFERROR(INDEX(基础资料!$AB$6:$AB$155,MATCH($D68,基础资料!$Z$6:$Z$155,0)),0)))</f>
        <v/>
      </c>
      <c r="V68" s="49" t="str">
        <f aca="false">IF($O68="","","1122")</f>
        <v/>
      </c>
      <c r="W68" s="49" t="str">
        <f aca="false">IF($O68="","","6001")</f>
        <v/>
      </c>
      <c r="X68" s="48" t="str">
        <f aca="false">IF($O68="","",$O68)</f>
        <v/>
      </c>
      <c r="Y68" s="49" t="str">
        <f aca="false">IF(N($P68)=0,"","1122")</f>
        <v/>
      </c>
      <c r="Z68" s="49" t="str">
        <f aca="false">IF(N($P68)=0,"","2221")</f>
        <v/>
      </c>
      <c r="AA68" s="48" t="str">
        <f aca="false">IF(N($P68)=0,"",$P68)</f>
        <v/>
      </c>
      <c r="AB68" s="49" t="str">
        <f aca="false">IF(N($S68)=0,"","6401")</f>
        <v/>
      </c>
      <c r="AC68" s="49" t="str">
        <f aca="false">IF(N($S68)=0,"","1405")</f>
        <v/>
      </c>
      <c r="AD68" s="48" t="str">
        <f aca="false">IF(N($S68)=0,"",$S68)</f>
        <v/>
      </c>
      <c r="AE68" s="49" t="str">
        <f aca="false">IF(AND($D68=客户对账单!$B$3,$B68&gt;=客户对账单!$E$3,$B68&lt;=客户对账单!$H$3),COUNTIFS($D$5:$D68,客户对账单!$B$3,$B$5:$B68,"&gt;="&amp;客户对账单!$E$3,$B$5:$B68,"&lt;="&amp;客户对账单!$H$3),"")</f>
        <v/>
      </c>
    </row>
    <row r="69" customFormat="false" ht="15.75" hidden="false" customHeight="true" outlineLevel="0" collapsed="false">
      <c r="A69" s="42" t="str">
        <f aca="false">IF($B69="","","XS"&amp;TEXT($B69,"yyyymm")&amp;"-"&amp;TEXT(ROW()-4,"000"))</f>
        <v/>
      </c>
      <c r="B69" s="41"/>
      <c r="C69" s="42" t="str">
        <f aca="false">IF($B69="","",TEXT($B69,"yyyy-mm"))</f>
        <v/>
      </c>
      <c r="D69" s="32"/>
      <c r="E69" s="36"/>
      <c r="F69" s="43"/>
      <c r="G69" s="40"/>
      <c r="H69" s="51"/>
      <c r="I69" s="33"/>
      <c r="J69" s="33"/>
      <c r="K69" s="36"/>
      <c r="L69" s="47" t="str">
        <f aca="false">IF($B69="","",IF(NOT(ISNUMBER($B69)),"日期不是日期格式",IF(YEAR($B69)&lt;&gt;首页!$B$3,"不在会计年度",IF($D69="","未选客户",IF(ISNA(MATCH($D69,基础资料!$Z$6:$Z$155,0)),"客户不在档案",IF($E69="","未选商品",IF(ISNA(MATCH($E69,基础资料!$Q$6:$Q$205,0)),"商品不在档案",IF(NOT(ISNUMBER($F69)),"数量须为数字",IF(NOT(ISNUMBER($G69)),"单价须为数字",IF(N($F69)&lt;=0,"数量须大于0",IF(AND(IFERROR(INDEX(基础资料!$V$6:$V$205,MATCH($E69,基础资料!$Q$6:$Q$205,0)),"")="是",N($R69)=0),"无成本价·请先录采购或填参考成本",IF(N($T69)&lt;0,"毛利为负·请核对","√"))))))))))))</f>
        <v/>
      </c>
      <c r="M69" s="49" t="str">
        <f aca="false">IF($E69="","",IFERROR(INDEX(基础资料!$R$6:$R$205,MATCH($E69,基础资料!$Q$6:$Q$205,0)),""))</f>
        <v/>
      </c>
      <c r="N69" s="49" t="str">
        <f aca="false">IF($E69="","",IFERROR(INDEX(基础资料!$S$6:$S$205,MATCH($E69,基础资料!$Q$6:$Q$205,0)),""))</f>
        <v/>
      </c>
      <c r="O69" s="48" t="str">
        <f aca="false">IF(OR($F69="",$G69=""),"",ROUND(N($F69)*N($G69),2))</f>
        <v/>
      </c>
      <c r="P69" s="48" t="str">
        <f aca="false">IF($O69="","",ROUND(N($O69)*N($H69),2))</f>
        <v/>
      </c>
      <c r="Q69" s="48" t="str">
        <f aca="false">IF($O69="","",N($O69)+N($P69))</f>
        <v/>
      </c>
      <c r="R69" s="48" t="str">
        <f aca="false">IF(OR($E69="",$B69=""),"",IF(IFERROR(INDEX(基础资料!$V$6:$V$205,MATCH($E69,基础资料!$Q$6:$Q$205,0)),"")&lt;&gt;"是",0,IFERROR((SUMIFS(期初数据!$T$6:$T$205,期初数据!$O$6:$O$205,$E69)+SUMIFS(采购录入!$Q$5:$Q$404,采购录入!$E$5:$E$404,$E69,采购录入!$I$5:$I$404,"是",采购录入!$B$5:$B$404,"&lt;="&amp;$B69))/(SUMIFS(期初数据!$R$6:$R$205,期初数据!$O$6:$O$205,$E69)+SUMIFS(采购录入!$F$5:$F$404,采购录入!$E$5:$E$404,$E69,采购录入!$I$5:$I$404,"是",采购录入!$B$5:$B$404,"&lt;="&amp;$B69)),IFERROR(INDEX(基础资料!$U$6:$U$205,MATCH($E69,基础资料!$Q$6:$Q$205,0)),0))))</f>
        <v/>
      </c>
      <c r="S69" s="48" t="str">
        <f aca="false">IF($O69="","",ROUND(N($F69)*N($R69),2))</f>
        <v/>
      </c>
      <c r="T69" s="48" t="str">
        <f aca="false">IF($O69="","",N($O69)-N($S69))</f>
        <v/>
      </c>
      <c r="U69" s="52" t="str">
        <f aca="false">IF(OR($B69="",$D69=""),"",$B69+N(IFERROR(INDEX(基础资料!$AB$6:$AB$155,MATCH($D69,基础资料!$Z$6:$Z$155,0)),0)))</f>
        <v/>
      </c>
      <c r="V69" s="49" t="str">
        <f aca="false">IF($O69="","","1122")</f>
        <v/>
      </c>
      <c r="W69" s="49" t="str">
        <f aca="false">IF($O69="","","6001")</f>
        <v/>
      </c>
      <c r="X69" s="48" t="str">
        <f aca="false">IF($O69="","",$O69)</f>
        <v/>
      </c>
      <c r="Y69" s="49" t="str">
        <f aca="false">IF(N($P69)=0,"","1122")</f>
        <v/>
      </c>
      <c r="Z69" s="49" t="str">
        <f aca="false">IF(N($P69)=0,"","2221")</f>
        <v/>
      </c>
      <c r="AA69" s="48" t="str">
        <f aca="false">IF(N($P69)=0,"",$P69)</f>
        <v/>
      </c>
      <c r="AB69" s="49" t="str">
        <f aca="false">IF(N($S69)=0,"","6401")</f>
        <v/>
      </c>
      <c r="AC69" s="49" t="str">
        <f aca="false">IF(N($S69)=0,"","1405")</f>
        <v/>
      </c>
      <c r="AD69" s="48" t="str">
        <f aca="false">IF(N($S69)=0,"",$S69)</f>
        <v/>
      </c>
      <c r="AE69" s="49" t="str">
        <f aca="false">IF(AND($D69=客户对账单!$B$3,$B69&gt;=客户对账单!$E$3,$B69&lt;=客户对账单!$H$3),COUNTIFS($D$5:$D69,客户对账单!$B$3,$B$5:$B69,"&gt;="&amp;客户对账单!$E$3,$B$5:$B69,"&lt;="&amp;客户对账单!$H$3),"")</f>
        <v/>
      </c>
    </row>
    <row r="70" customFormat="false" ht="15.75" hidden="false" customHeight="true" outlineLevel="0" collapsed="false">
      <c r="A70" s="42" t="str">
        <f aca="false">IF($B70="","","XS"&amp;TEXT($B70,"yyyymm")&amp;"-"&amp;TEXT(ROW()-4,"000"))</f>
        <v/>
      </c>
      <c r="B70" s="41"/>
      <c r="C70" s="42" t="str">
        <f aca="false">IF($B70="","",TEXT($B70,"yyyy-mm"))</f>
        <v/>
      </c>
      <c r="D70" s="32"/>
      <c r="E70" s="36"/>
      <c r="F70" s="43"/>
      <c r="G70" s="40"/>
      <c r="H70" s="51"/>
      <c r="I70" s="33"/>
      <c r="J70" s="33"/>
      <c r="K70" s="36"/>
      <c r="L70" s="47" t="str">
        <f aca="false">IF($B70="","",IF(NOT(ISNUMBER($B70)),"日期不是日期格式",IF(YEAR($B70)&lt;&gt;首页!$B$3,"不在会计年度",IF($D70="","未选客户",IF(ISNA(MATCH($D70,基础资料!$Z$6:$Z$155,0)),"客户不在档案",IF($E70="","未选商品",IF(ISNA(MATCH($E70,基础资料!$Q$6:$Q$205,0)),"商品不在档案",IF(NOT(ISNUMBER($F70)),"数量须为数字",IF(NOT(ISNUMBER($G70)),"单价须为数字",IF(N($F70)&lt;=0,"数量须大于0",IF(AND(IFERROR(INDEX(基础资料!$V$6:$V$205,MATCH($E70,基础资料!$Q$6:$Q$205,0)),"")="是",N($R70)=0),"无成本价·请先录采购或填参考成本",IF(N($T70)&lt;0,"毛利为负·请核对","√"))))))))))))</f>
        <v/>
      </c>
      <c r="M70" s="49" t="str">
        <f aca="false">IF($E70="","",IFERROR(INDEX(基础资料!$R$6:$R$205,MATCH($E70,基础资料!$Q$6:$Q$205,0)),""))</f>
        <v/>
      </c>
      <c r="N70" s="49" t="str">
        <f aca="false">IF($E70="","",IFERROR(INDEX(基础资料!$S$6:$S$205,MATCH($E70,基础资料!$Q$6:$Q$205,0)),""))</f>
        <v/>
      </c>
      <c r="O70" s="48" t="str">
        <f aca="false">IF(OR($F70="",$G70=""),"",ROUND(N($F70)*N($G70),2))</f>
        <v/>
      </c>
      <c r="P70" s="48" t="str">
        <f aca="false">IF($O70="","",ROUND(N($O70)*N($H70),2))</f>
        <v/>
      </c>
      <c r="Q70" s="48" t="str">
        <f aca="false">IF($O70="","",N($O70)+N($P70))</f>
        <v/>
      </c>
      <c r="R70" s="48" t="str">
        <f aca="false">IF(OR($E70="",$B70=""),"",IF(IFERROR(INDEX(基础资料!$V$6:$V$205,MATCH($E70,基础资料!$Q$6:$Q$205,0)),"")&lt;&gt;"是",0,IFERROR((SUMIFS(期初数据!$T$6:$T$205,期初数据!$O$6:$O$205,$E70)+SUMIFS(采购录入!$Q$5:$Q$404,采购录入!$E$5:$E$404,$E70,采购录入!$I$5:$I$404,"是",采购录入!$B$5:$B$404,"&lt;="&amp;$B70))/(SUMIFS(期初数据!$R$6:$R$205,期初数据!$O$6:$O$205,$E70)+SUMIFS(采购录入!$F$5:$F$404,采购录入!$E$5:$E$404,$E70,采购录入!$I$5:$I$404,"是",采购录入!$B$5:$B$404,"&lt;="&amp;$B70)),IFERROR(INDEX(基础资料!$U$6:$U$205,MATCH($E70,基础资料!$Q$6:$Q$205,0)),0))))</f>
        <v/>
      </c>
      <c r="S70" s="48" t="str">
        <f aca="false">IF($O70="","",ROUND(N($F70)*N($R70),2))</f>
        <v/>
      </c>
      <c r="T70" s="48" t="str">
        <f aca="false">IF($O70="","",N($O70)-N($S70))</f>
        <v/>
      </c>
      <c r="U70" s="52" t="str">
        <f aca="false">IF(OR($B70="",$D70=""),"",$B70+N(IFERROR(INDEX(基础资料!$AB$6:$AB$155,MATCH($D70,基础资料!$Z$6:$Z$155,0)),0)))</f>
        <v/>
      </c>
      <c r="V70" s="49" t="str">
        <f aca="false">IF($O70="","","1122")</f>
        <v/>
      </c>
      <c r="W70" s="49" t="str">
        <f aca="false">IF($O70="","","6001")</f>
        <v/>
      </c>
      <c r="X70" s="48" t="str">
        <f aca="false">IF($O70="","",$O70)</f>
        <v/>
      </c>
      <c r="Y70" s="49" t="str">
        <f aca="false">IF(N($P70)=0,"","1122")</f>
        <v/>
      </c>
      <c r="Z70" s="49" t="str">
        <f aca="false">IF(N($P70)=0,"","2221")</f>
        <v/>
      </c>
      <c r="AA70" s="48" t="str">
        <f aca="false">IF(N($P70)=0,"",$P70)</f>
        <v/>
      </c>
      <c r="AB70" s="49" t="str">
        <f aca="false">IF(N($S70)=0,"","6401")</f>
        <v/>
      </c>
      <c r="AC70" s="49" t="str">
        <f aca="false">IF(N($S70)=0,"","1405")</f>
        <v/>
      </c>
      <c r="AD70" s="48" t="str">
        <f aca="false">IF(N($S70)=0,"",$S70)</f>
        <v/>
      </c>
      <c r="AE70" s="49" t="str">
        <f aca="false">IF(AND($D70=客户对账单!$B$3,$B70&gt;=客户对账单!$E$3,$B70&lt;=客户对账单!$H$3),COUNTIFS($D$5:$D70,客户对账单!$B$3,$B$5:$B70,"&gt;="&amp;客户对账单!$E$3,$B$5:$B70,"&lt;="&amp;客户对账单!$H$3),"")</f>
        <v/>
      </c>
    </row>
    <row r="71" customFormat="false" ht="15.75" hidden="false" customHeight="true" outlineLevel="0" collapsed="false">
      <c r="A71" s="42" t="str">
        <f aca="false">IF($B71="","","XS"&amp;TEXT($B71,"yyyymm")&amp;"-"&amp;TEXT(ROW()-4,"000"))</f>
        <v/>
      </c>
      <c r="B71" s="41"/>
      <c r="C71" s="42" t="str">
        <f aca="false">IF($B71="","",TEXT($B71,"yyyy-mm"))</f>
        <v/>
      </c>
      <c r="D71" s="32"/>
      <c r="E71" s="36"/>
      <c r="F71" s="43"/>
      <c r="G71" s="40"/>
      <c r="H71" s="51"/>
      <c r="I71" s="33"/>
      <c r="J71" s="33"/>
      <c r="K71" s="36"/>
      <c r="L71" s="47" t="str">
        <f aca="false">IF($B71="","",IF(NOT(ISNUMBER($B71)),"日期不是日期格式",IF(YEAR($B71)&lt;&gt;首页!$B$3,"不在会计年度",IF($D71="","未选客户",IF(ISNA(MATCH($D71,基础资料!$Z$6:$Z$155,0)),"客户不在档案",IF($E71="","未选商品",IF(ISNA(MATCH($E71,基础资料!$Q$6:$Q$205,0)),"商品不在档案",IF(NOT(ISNUMBER($F71)),"数量须为数字",IF(NOT(ISNUMBER($G71)),"单价须为数字",IF(N($F71)&lt;=0,"数量须大于0",IF(AND(IFERROR(INDEX(基础资料!$V$6:$V$205,MATCH($E71,基础资料!$Q$6:$Q$205,0)),"")="是",N($R71)=0),"无成本价·请先录采购或填参考成本",IF(N($T71)&lt;0,"毛利为负·请核对","√"))))))))))))</f>
        <v/>
      </c>
      <c r="M71" s="49" t="str">
        <f aca="false">IF($E71="","",IFERROR(INDEX(基础资料!$R$6:$R$205,MATCH($E71,基础资料!$Q$6:$Q$205,0)),""))</f>
        <v/>
      </c>
      <c r="N71" s="49" t="str">
        <f aca="false">IF($E71="","",IFERROR(INDEX(基础资料!$S$6:$S$205,MATCH($E71,基础资料!$Q$6:$Q$205,0)),""))</f>
        <v/>
      </c>
      <c r="O71" s="48" t="str">
        <f aca="false">IF(OR($F71="",$G71=""),"",ROUND(N($F71)*N($G71),2))</f>
        <v/>
      </c>
      <c r="P71" s="48" t="str">
        <f aca="false">IF($O71="","",ROUND(N($O71)*N($H71),2))</f>
        <v/>
      </c>
      <c r="Q71" s="48" t="str">
        <f aca="false">IF($O71="","",N($O71)+N($P71))</f>
        <v/>
      </c>
      <c r="R71" s="48" t="str">
        <f aca="false">IF(OR($E71="",$B71=""),"",IF(IFERROR(INDEX(基础资料!$V$6:$V$205,MATCH($E71,基础资料!$Q$6:$Q$205,0)),"")&lt;&gt;"是",0,IFERROR((SUMIFS(期初数据!$T$6:$T$205,期初数据!$O$6:$O$205,$E71)+SUMIFS(采购录入!$Q$5:$Q$404,采购录入!$E$5:$E$404,$E71,采购录入!$I$5:$I$404,"是",采购录入!$B$5:$B$404,"&lt;="&amp;$B71))/(SUMIFS(期初数据!$R$6:$R$205,期初数据!$O$6:$O$205,$E71)+SUMIFS(采购录入!$F$5:$F$404,采购录入!$E$5:$E$404,$E71,采购录入!$I$5:$I$404,"是",采购录入!$B$5:$B$404,"&lt;="&amp;$B71)),IFERROR(INDEX(基础资料!$U$6:$U$205,MATCH($E71,基础资料!$Q$6:$Q$205,0)),0))))</f>
        <v/>
      </c>
      <c r="S71" s="48" t="str">
        <f aca="false">IF($O71="","",ROUND(N($F71)*N($R71),2))</f>
        <v/>
      </c>
      <c r="T71" s="48" t="str">
        <f aca="false">IF($O71="","",N($O71)-N($S71))</f>
        <v/>
      </c>
      <c r="U71" s="52" t="str">
        <f aca="false">IF(OR($B71="",$D71=""),"",$B71+N(IFERROR(INDEX(基础资料!$AB$6:$AB$155,MATCH($D71,基础资料!$Z$6:$Z$155,0)),0)))</f>
        <v/>
      </c>
      <c r="V71" s="49" t="str">
        <f aca="false">IF($O71="","","1122")</f>
        <v/>
      </c>
      <c r="W71" s="49" t="str">
        <f aca="false">IF($O71="","","6001")</f>
        <v/>
      </c>
      <c r="X71" s="48" t="str">
        <f aca="false">IF($O71="","",$O71)</f>
        <v/>
      </c>
      <c r="Y71" s="49" t="str">
        <f aca="false">IF(N($P71)=0,"","1122")</f>
        <v/>
      </c>
      <c r="Z71" s="49" t="str">
        <f aca="false">IF(N($P71)=0,"","2221")</f>
        <v/>
      </c>
      <c r="AA71" s="48" t="str">
        <f aca="false">IF(N($P71)=0,"",$P71)</f>
        <v/>
      </c>
      <c r="AB71" s="49" t="str">
        <f aca="false">IF(N($S71)=0,"","6401")</f>
        <v/>
      </c>
      <c r="AC71" s="49" t="str">
        <f aca="false">IF(N($S71)=0,"","1405")</f>
        <v/>
      </c>
      <c r="AD71" s="48" t="str">
        <f aca="false">IF(N($S71)=0,"",$S71)</f>
        <v/>
      </c>
      <c r="AE71" s="49" t="str">
        <f aca="false">IF(AND($D71=客户对账单!$B$3,$B71&gt;=客户对账单!$E$3,$B71&lt;=客户对账单!$H$3),COUNTIFS($D$5:$D71,客户对账单!$B$3,$B$5:$B71,"&gt;="&amp;客户对账单!$E$3,$B$5:$B71,"&lt;="&amp;客户对账单!$H$3),"")</f>
        <v/>
      </c>
    </row>
    <row r="72" customFormat="false" ht="15.75" hidden="false" customHeight="true" outlineLevel="0" collapsed="false">
      <c r="A72" s="42" t="str">
        <f aca="false">IF($B72="","","XS"&amp;TEXT($B72,"yyyymm")&amp;"-"&amp;TEXT(ROW()-4,"000"))</f>
        <v/>
      </c>
      <c r="B72" s="41"/>
      <c r="C72" s="42" t="str">
        <f aca="false">IF($B72="","",TEXT($B72,"yyyy-mm"))</f>
        <v/>
      </c>
      <c r="D72" s="32"/>
      <c r="E72" s="36"/>
      <c r="F72" s="43"/>
      <c r="G72" s="40"/>
      <c r="H72" s="51"/>
      <c r="I72" s="33"/>
      <c r="J72" s="33"/>
      <c r="K72" s="36"/>
      <c r="L72" s="47" t="str">
        <f aca="false">IF($B72="","",IF(NOT(ISNUMBER($B72)),"日期不是日期格式",IF(YEAR($B72)&lt;&gt;首页!$B$3,"不在会计年度",IF($D72="","未选客户",IF(ISNA(MATCH($D72,基础资料!$Z$6:$Z$155,0)),"客户不在档案",IF($E72="","未选商品",IF(ISNA(MATCH($E72,基础资料!$Q$6:$Q$205,0)),"商品不在档案",IF(NOT(ISNUMBER($F72)),"数量须为数字",IF(NOT(ISNUMBER($G72)),"单价须为数字",IF(N($F72)&lt;=0,"数量须大于0",IF(AND(IFERROR(INDEX(基础资料!$V$6:$V$205,MATCH($E72,基础资料!$Q$6:$Q$205,0)),"")="是",N($R72)=0),"无成本价·请先录采购或填参考成本",IF(N($T72)&lt;0,"毛利为负·请核对","√"))))))))))))</f>
        <v/>
      </c>
      <c r="M72" s="49" t="str">
        <f aca="false">IF($E72="","",IFERROR(INDEX(基础资料!$R$6:$R$205,MATCH($E72,基础资料!$Q$6:$Q$205,0)),""))</f>
        <v/>
      </c>
      <c r="N72" s="49" t="str">
        <f aca="false">IF($E72="","",IFERROR(INDEX(基础资料!$S$6:$S$205,MATCH($E72,基础资料!$Q$6:$Q$205,0)),""))</f>
        <v/>
      </c>
      <c r="O72" s="48" t="str">
        <f aca="false">IF(OR($F72="",$G72=""),"",ROUND(N($F72)*N($G72),2))</f>
        <v/>
      </c>
      <c r="P72" s="48" t="str">
        <f aca="false">IF($O72="","",ROUND(N($O72)*N($H72),2))</f>
        <v/>
      </c>
      <c r="Q72" s="48" t="str">
        <f aca="false">IF($O72="","",N($O72)+N($P72))</f>
        <v/>
      </c>
      <c r="R72" s="48" t="str">
        <f aca="false">IF(OR($E72="",$B72=""),"",IF(IFERROR(INDEX(基础资料!$V$6:$V$205,MATCH($E72,基础资料!$Q$6:$Q$205,0)),"")&lt;&gt;"是",0,IFERROR((SUMIFS(期初数据!$T$6:$T$205,期初数据!$O$6:$O$205,$E72)+SUMIFS(采购录入!$Q$5:$Q$404,采购录入!$E$5:$E$404,$E72,采购录入!$I$5:$I$404,"是",采购录入!$B$5:$B$404,"&lt;="&amp;$B72))/(SUMIFS(期初数据!$R$6:$R$205,期初数据!$O$6:$O$205,$E72)+SUMIFS(采购录入!$F$5:$F$404,采购录入!$E$5:$E$404,$E72,采购录入!$I$5:$I$404,"是",采购录入!$B$5:$B$404,"&lt;="&amp;$B72)),IFERROR(INDEX(基础资料!$U$6:$U$205,MATCH($E72,基础资料!$Q$6:$Q$205,0)),0))))</f>
        <v/>
      </c>
      <c r="S72" s="48" t="str">
        <f aca="false">IF($O72="","",ROUND(N($F72)*N($R72),2))</f>
        <v/>
      </c>
      <c r="T72" s="48" t="str">
        <f aca="false">IF($O72="","",N($O72)-N($S72))</f>
        <v/>
      </c>
      <c r="U72" s="52" t="str">
        <f aca="false">IF(OR($B72="",$D72=""),"",$B72+N(IFERROR(INDEX(基础资料!$AB$6:$AB$155,MATCH($D72,基础资料!$Z$6:$Z$155,0)),0)))</f>
        <v/>
      </c>
      <c r="V72" s="49" t="str">
        <f aca="false">IF($O72="","","1122")</f>
        <v/>
      </c>
      <c r="W72" s="49" t="str">
        <f aca="false">IF($O72="","","6001")</f>
        <v/>
      </c>
      <c r="X72" s="48" t="str">
        <f aca="false">IF($O72="","",$O72)</f>
        <v/>
      </c>
      <c r="Y72" s="49" t="str">
        <f aca="false">IF(N($P72)=0,"","1122")</f>
        <v/>
      </c>
      <c r="Z72" s="49" t="str">
        <f aca="false">IF(N($P72)=0,"","2221")</f>
        <v/>
      </c>
      <c r="AA72" s="48" t="str">
        <f aca="false">IF(N($P72)=0,"",$P72)</f>
        <v/>
      </c>
      <c r="AB72" s="49" t="str">
        <f aca="false">IF(N($S72)=0,"","6401")</f>
        <v/>
      </c>
      <c r="AC72" s="49" t="str">
        <f aca="false">IF(N($S72)=0,"","1405")</f>
        <v/>
      </c>
      <c r="AD72" s="48" t="str">
        <f aca="false">IF(N($S72)=0,"",$S72)</f>
        <v/>
      </c>
      <c r="AE72" s="49" t="str">
        <f aca="false">IF(AND($D72=客户对账单!$B$3,$B72&gt;=客户对账单!$E$3,$B72&lt;=客户对账单!$H$3),COUNTIFS($D$5:$D72,客户对账单!$B$3,$B$5:$B72,"&gt;="&amp;客户对账单!$E$3,$B$5:$B72,"&lt;="&amp;客户对账单!$H$3),"")</f>
        <v/>
      </c>
    </row>
    <row r="73" customFormat="false" ht="15.75" hidden="false" customHeight="true" outlineLevel="0" collapsed="false">
      <c r="A73" s="42" t="str">
        <f aca="false">IF($B73="","","XS"&amp;TEXT($B73,"yyyymm")&amp;"-"&amp;TEXT(ROW()-4,"000"))</f>
        <v/>
      </c>
      <c r="B73" s="41"/>
      <c r="C73" s="42" t="str">
        <f aca="false">IF($B73="","",TEXT($B73,"yyyy-mm"))</f>
        <v/>
      </c>
      <c r="D73" s="32"/>
      <c r="E73" s="36"/>
      <c r="F73" s="43"/>
      <c r="G73" s="40"/>
      <c r="H73" s="51"/>
      <c r="I73" s="33"/>
      <c r="J73" s="33"/>
      <c r="K73" s="36"/>
      <c r="L73" s="47" t="str">
        <f aca="false">IF($B73="","",IF(NOT(ISNUMBER($B73)),"日期不是日期格式",IF(YEAR($B73)&lt;&gt;首页!$B$3,"不在会计年度",IF($D73="","未选客户",IF(ISNA(MATCH($D73,基础资料!$Z$6:$Z$155,0)),"客户不在档案",IF($E73="","未选商品",IF(ISNA(MATCH($E73,基础资料!$Q$6:$Q$205,0)),"商品不在档案",IF(NOT(ISNUMBER($F73)),"数量须为数字",IF(NOT(ISNUMBER($G73)),"单价须为数字",IF(N($F73)&lt;=0,"数量须大于0",IF(AND(IFERROR(INDEX(基础资料!$V$6:$V$205,MATCH($E73,基础资料!$Q$6:$Q$205,0)),"")="是",N($R73)=0),"无成本价·请先录采购或填参考成本",IF(N($T73)&lt;0,"毛利为负·请核对","√"))))))))))))</f>
        <v/>
      </c>
      <c r="M73" s="49" t="str">
        <f aca="false">IF($E73="","",IFERROR(INDEX(基础资料!$R$6:$R$205,MATCH($E73,基础资料!$Q$6:$Q$205,0)),""))</f>
        <v/>
      </c>
      <c r="N73" s="49" t="str">
        <f aca="false">IF($E73="","",IFERROR(INDEX(基础资料!$S$6:$S$205,MATCH($E73,基础资料!$Q$6:$Q$205,0)),""))</f>
        <v/>
      </c>
      <c r="O73" s="48" t="str">
        <f aca="false">IF(OR($F73="",$G73=""),"",ROUND(N($F73)*N($G73),2))</f>
        <v/>
      </c>
      <c r="P73" s="48" t="str">
        <f aca="false">IF($O73="","",ROUND(N($O73)*N($H73),2))</f>
        <v/>
      </c>
      <c r="Q73" s="48" t="str">
        <f aca="false">IF($O73="","",N($O73)+N($P73))</f>
        <v/>
      </c>
      <c r="R73" s="48" t="str">
        <f aca="false">IF(OR($E73="",$B73=""),"",IF(IFERROR(INDEX(基础资料!$V$6:$V$205,MATCH($E73,基础资料!$Q$6:$Q$205,0)),"")&lt;&gt;"是",0,IFERROR((SUMIFS(期初数据!$T$6:$T$205,期初数据!$O$6:$O$205,$E73)+SUMIFS(采购录入!$Q$5:$Q$404,采购录入!$E$5:$E$404,$E73,采购录入!$I$5:$I$404,"是",采购录入!$B$5:$B$404,"&lt;="&amp;$B73))/(SUMIFS(期初数据!$R$6:$R$205,期初数据!$O$6:$O$205,$E73)+SUMIFS(采购录入!$F$5:$F$404,采购录入!$E$5:$E$404,$E73,采购录入!$I$5:$I$404,"是",采购录入!$B$5:$B$404,"&lt;="&amp;$B73)),IFERROR(INDEX(基础资料!$U$6:$U$205,MATCH($E73,基础资料!$Q$6:$Q$205,0)),0))))</f>
        <v/>
      </c>
      <c r="S73" s="48" t="str">
        <f aca="false">IF($O73="","",ROUND(N($F73)*N($R73),2))</f>
        <v/>
      </c>
      <c r="T73" s="48" t="str">
        <f aca="false">IF($O73="","",N($O73)-N($S73))</f>
        <v/>
      </c>
      <c r="U73" s="52" t="str">
        <f aca="false">IF(OR($B73="",$D73=""),"",$B73+N(IFERROR(INDEX(基础资料!$AB$6:$AB$155,MATCH($D73,基础资料!$Z$6:$Z$155,0)),0)))</f>
        <v/>
      </c>
      <c r="V73" s="49" t="str">
        <f aca="false">IF($O73="","","1122")</f>
        <v/>
      </c>
      <c r="W73" s="49" t="str">
        <f aca="false">IF($O73="","","6001")</f>
        <v/>
      </c>
      <c r="X73" s="48" t="str">
        <f aca="false">IF($O73="","",$O73)</f>
        <v/>
      </c>
      <c r="Y73" s="49" t="str">
        <f aca="false">IF(N($P73)=0,"","1122")</f>
        <v/>
      </c>
      <c r="Z73" s="49" t="str">
        <f aca="false">IF(N($P73)=0,"","2221")</f>
        <v/>
      </c>
      <c r="AA73" s="48" t="str">
        <f aca="false">IF(N($P73)=0,"",$P73)</f>
        <v/>
      </c>
      <c r="AB73" s="49" t="str">
        <f aca="false">IF(N($S73)=0,"","6401")</f>
        <v/>
      </c>
      <c r="AC73" s="49" t="str">
        <f aca="false">IF(N($S73)=0,"","1405")</f>
        <v/>
      </c>
      <c r="AD73" s="48" t="str">
        <f aca="false">IF(N($S73)=0,"",$S73)</f>
        <v/>
      </c>
      <c r="AE73" s="49" t="str">
        <f aca="false">IF(AND($D73=客户对账单!$B$3,$B73&gt;=客户对账单!$E$3,$B73&lt;=客户对账单!$H$3),COUNTIFS($D$5:$D73,客户对账单!$B$3,$B$5:$B73,"&gt;="&amp;客户对账单!$E$3,$B$5:$B73,"&lt;="&amp;客户对账单!$H$3),"")</f>
        <v/>
      </c>
    </row>
    <row r="74" customFormat="false" ht="15.75" hidden="false" customHeight="true" outlineLevel="0" collapsed="false">
      <c r="A74" s="42" t="str">
        <f aca="false">IF($B74="","","XS"&amp;TEXT($B74,"yyyymm")&amp;"-"&amp;TEXT(ROW()-4,"000"))</f>
        <v/>
      </c>
      <c r="B74" s="41"/>
      <c r="C74" s="42" t="str">
        <f aca="false">IF($B74="","",TEXT($B74,"yyyy-mm"))</f>
        <v/>
      </c>
      <c r="D74" s="32"/>
      <c r="E74" s="36"/>
      <c r="F74" s="43"/>
      <c r="G74" s="40"/>
      <c r="H74" s="51"/>
      <c r="I74" s="33"/>
      <c r="J74" s="33"/>
      <c r="K74" s="36"/>
      <c r="L74" s="47" t="str">
        <f aca="false">IF($B74="","",IF(NOT(ISNUMBER($B74)),"日期不是日期格式",IF(YEAR($B74)&lt;&gt;首页!$B$3,"不在会计年度",IF($D74="","未选客户",IF(ISNA(MATCH($D74,基础资料!$Z$6:$Z$155,0)),"客户不在档案",IF($E74="","未选商品",IF(ISNA(MATCH($E74,基础资料!$Q$6:$Q$205,0)),"商品不在档案",IF(NOT(ISNUMBER($F74)),"数量须为数字",IF(NOT(ISNUMBER($G74)),"单价须为数字",IF(N($F74)&lt;=0,"数量须大于0",IF(AND(IFERROR(INDEX(基础资料!$V$6:$V$205,MATCH($E74,基础资料!$Q$6:$Q$205,0)),"")="是",N($R74)=0),"无成本价·请先录采购或填参考成本",IF(N($T74)&lt;0,"毛利为负·请核对","√"))))))))))))</f>
        <v/>
      </c>
      <c r="M74" s="49" t="str">
        <f aca="false">IF($E74="","",IFERROR(INDEX(基础资料!$R$6:$R$205,MATCH($E74,基础资料!$Q$6:$Q$205,0)),""))</f>
        <v/>
      </c>
      <c r="N74" s="49" t="str">
        <f aca="false">IF($E74="","",IFERROR(INDEX(基础资料!$S$6:$S$205,MATCH($E74,基础资料!$Q$6:$Q$205,0)),""))</f>
        <v/>
      </c>
      <c r="O74" s="48" t="str">
        <f aca="false">IF(OR($F74="",$G74=""),"",ROUND(N($F74)*N($G74),2))</f>
        <v/>
      </c>
      <c r="P74" s="48" t="str">
        <f aca="false">IF($O74="","",ROUND(N($O74)*N($H74),2))</f>
        <v/>
      </c>
      <c r="Q74" s="48" t="str">
        <f aca="false">IF($O74="","",N($O74)+N($P74))</f>
        <v/>
      </c>
      <c r="R74" s="48" t="str">
        <f aca="false">IF(OR($E74="",$B74=""),"",IF(IFERROR(INDEX(基础资料!$V$6:$V$205,MATCH($E74,基础资料!$Q$6:$Q$205,0)),"")&lt;&gt;"是",0,IFERROR((SUMIFS(期初数据!$T$6:$T$205,期初数据!$O$6:$O$205,$E74)+SUMIFS(采购录入!$Q$5:$Q$404,采购录入!$E$5:$E$404,$E74,采购录入!$I$5:$I$404,"是",采购录入!$B$5:$B$404,"&lt;="&amp;$B74))/(SUMIFS(期初数据!$R$6:$R$205,期初数据!$O$6:$O$205,$E74)+SUMIFS(采购录入!$F$5:$F$404,采购录入!$E$5:$E$404,$E74,采购录入!$I$5:$I$404,"是",采购录入!$B$5:$B$404,"&lt;="&amp;$B74)),IFERROR(INDEX(基础资料!$U$6:$U$205,MATCH($E74,基础资料!$Q$6:$Q$205,0)),0))))</f>
        <v/>
      </c>
      <c r="S74" s="48" t="str">
        <f aca="false">IF($O74="","",ROUND(N($F74)*N($R74),2))</f>
        <v/>
      </c>
      <c r="T74" s="48" t="str">
        <f aca="false">IF($O74="","",N($O74)-N($S74))</f>
        <v/>
      </c>
      <c r="U74" s="52" t="str">
        <f aca="false">IF(OR($B74="",$D74=""),"",$B74+N(IFERROR(INDEX(基础资料!$AB$6:$AB$155,MATCH($D74,基础资料!$Z$6:$Z$155,0)),0)))</f>
        <v/>
      </c>
      <c r="V74" s="49" t="str">
        <f aca="false">IF($O74="","","1122")</f>
        <v/>
      </c>
      <c r="W74" s="49" t="str">
        <f aca="false">IF($O74="","","6001")</f>
        <v/>
      </c>
      <c r="X74" s="48" t="str">
        <f aca="false">IF($O74="","",$O74)</f>
        <v/>
      </c>
      <c r="Y74" s="49" t="str">
        <f aca="false">IF(N($P74)=0,"","1122")</f>
        <v/>
      </c>
      <c r="Z74" s="49" t="str">
        <f aca="false">IF(N($P74)=0,"","2221")</f>
        <v/>
      </c>
      <c r="AA74" s="48" t="str">
        <f aca="false">IF(N($P74)=0,"",$P74)</f>
        <v/>
      </c>
      <c r="AB74" s="49" t="str">
        <f aca="false">IF(N($S74)=0,"","6401")</f>
        <v/>
      </c>
      <c r="AC74" s="49" t="str">
        <f aca="false">IF(N($S74)=0,"","1405")</f>
        <v/>
      </c>
      <c r="AD74" s="48" t="str">
        <f aca="false">IF(N($S74)=0,"",$S74)</f>
        <v/>
      </c>
      <c r="AE74" s="49" t="str">
        <f aca="false">IF(AND($D74=客户对账单!$B$3,$B74&gt;=客户对账单!$E$3,$B74&lt;=客户对账单!$H$3),COUNTIFS($D$5:$D74,客户对账单!$B$3,$B$5:$B74,"&gt;="&amp;客户对账单!$E$3,$B$5:$B74,"&lt;="&amp;客户对账单!$H$3),"")</f>
        <v/>
      </c>
    </row>
    <row r="75" customFormat="false" ht="15.75" hidden="false" customHeight="true" outlineLevel="0" collapsed="false">
      <c r="A75" s="42" t="str">
        <f aca="false">IF($B75="","","XS"&amp;TEXT($B75,"yyyymm")&amp;"-"&amp;TEXT(ROW()-4,"000"))</f>
        <v/>
      </c>
      <c r="B75" s="41"/>
      <c r="C75" s="42" t="str">
        <f aca="false">IF($B75="","",TEXT($B75,"yyyy-mm"))</f>
        <v/>
      </c>
      <c r="D75" s="32"/>
      <c r="E75" s="36"/>
      <c r="F75" s="43"/>
      <c r="G75" s="40"/>
      <c r="H75" s="51"/>
      <c r="I75" s="33"/>
      <c r="J75" s="33"/>
      <c r="K75" s="36"/>
      <c r="L75" s="47" t="str">
        <f aca="false">IF($B75="","",IF(NOT(ISNUMBER($B75)),"日期不是日期格式",IF(YEAR($B75)&lt;&gt;首页!$B$3,"不在会计年度",IF($D75="","未选客户",IF(ISNA(MATCH($D75,基础资料!$Z$6:$Z$155,0)),"客户不在档案",IF($E75="","未选商品",IF(ISNA(MATCH($E75,基础资料!$Q$6:$Q$205,0)),"商品不在档案",IF(NOT(ISNUMBER($F75)),"数量须为数字",IF(NOT(ISNUMBER($G75)),"单价须为数字",IF(N($F75)&lt;=0,"数量须大于0",IF(AND(IFERROR(INDEX(基础资料!$V$6:$V$205,MATCH($E75,基础资料!$Q$6:$Q$205,0)),"")="是",N($R75)=0),"无成本价·请先录采购或填参考成本",IF(N($T75)&lt;0,"毛利为负·请核对","√"))))))))))))</f>
        <v/>
      </c>
      <c r="M75" s="49" t="str">
        <f aca="false">IF($E75="","",IFERROR(INDEX(基础资料!$R$6:$R$205,MATCH($E75,基础资料!$Q$6:$Q$205,0)),""))</f>
        <v/>
      </c>
      <c r="N75" s="49" t="str">
        <f aca="false">IF($E75="","",IFERROR(INDEX(基础资料!$S$6:$S$205,MATCH($E75,基础资料!$Q$6:$Q$205,0)),""))</f>
        <v/>
      </c>
      <c r="O75" s="48" t="str">
        <f aca="false">IF(OR($F75="",$G75=""),"",ROUND(N($F75)*N($G75),2))</f>
        <v/>
      </c>
      <c r="P75" s="48" t="str">
        <f aca="false">IF($O75="","",ROUND(N($O75)*N($H75),2))</f>
        <v/>
      </c>
      <c r="Q75" s="48" t="str">
        <f aca="false">IF($O75="","",N($O75)+N($P75))</f>
        <v/>
      </c>
      <c r="R75" s="48" t="str">
        <f aca="false">IF(OR($E75="",$B75=""),"",IF(IFERROR(INDEX(基础资料!$V$6:$V$205,MATCH($E75,基础资料!$Q$6:$Q$205,0)),"")&lt;&gt;"是",0,IFERROR((SUMIFS(期初数据!$T$6:$T$205,期初数据!$O$6:$O$205,$E75)+SUMIFS(采购录入!$Q$5:$Q$404,采购录入!$E$5:$E$404,$E75,采购录入!$I$5:$I$404,"是",采购录入!$B$5:$B$404,"&lt;="&amp;$B75))/(SUMIFS(期初数据!$R$6:$R$205,期初数据!$O$6:$O$205,$E75)+SUMIFS(采购录入!$F$5:$F$404,采购录入!$E$5:$E$404,$E75,采购录入!$I$5:$I$404,"是",采购录入!$B$5:$B$404,"&lt;="&amp;$B75)),IFERROR(INDEX(基础资料!$U$6:$U$205,MATCH($E75,基础资料!$Q$6:$Q$205,0)),0))))</f>
        <v/>
      </c>
      <c r="S75" s="48" t="str">
        <f aca="false">IF($O75="","",ROUND(N($F75)*N($R75),2))</f>
        <v/>
      </c>
      <c r="T75" s="48" t="str">
        <f aca="false">IF($O75="","",N($O75)-N($S75))</f>
        <v/>
      </c>
      <c r="U75" s="52" t="str">
        <f aca="false">IF(OR($B75="",$D75=""),"",$B75+N(IFERROR(INDEX(基础资料!$AB$6:$AB$155,MATCH($D75,基础资料!$Z$6:$Z$155,0)),0)))</f>
        <v/>
      </c>
      <c r="V75" s="49" t="str">
        <f aca="false">IF($O75="","","1122")</f>
        <v/>
      </c>
      <c r="W75" s="49" t="str">
        <f aca="false">IF($O75="","","6001")</f>
        <v/>
      </c>
      <c r="X75" s="48" t="str">
        <f aca="false">IF($O75="","",$O75)</f>
        <v/>
      </c>
      <c r="Y75" s="49" t="str">
        <f aca="false">IF(N($P75)=0,"","1122")</f>
        <v/>
      </c>
      <c r="Z75" s="49" t="str">
        <f aca="false">IF(N($P75)=0,"","2221")</f>
        <v/>
      </c>
      <c r="AA75" s="48" t="str">
        <f aca="false">IF(N($P75)=0,"",$P75)</f>
        <v/>
      </c>
      <c r="AB75" s="49" t="str">
        <f aca="false">IF(N($S75)=0,"","6401")</f>
        <v/>
      </c>
      <c r="AC75" s="49" t="str">
        <f aca="false">IF(N($S75)=0,"","1405")</f>
        <v/>
      </c>
      <c r="AD75" s="48" t="str">
        <f aca="false">IF(N($S75)=0,"",$S75)</f>
        <v/>
      </c>
      <c r="AE75" s="49" t="str">
        <f aca="false">IF(AND($D75=客户对账单!$B$3,$B75&gt;=客户对账单!$E$3,$B75&lt;=客户对账单!$H$3),COUNTIFS($D$5:$D75,客户对账单!$B$3,$B$5:$B75,"&gt;="&amp;客户对账单!$E$3,$B$5:$B75,"&lt;="&amp;客户对账单!$H$3),"")</f>
        <v/>
      </c>
    </row>
    <row r="76" customFormat="false" ht="15.75" hidden="false" customHeight="true" outlineLevel="0" collapsed="false">
      <c r="A76" s="42" t="str">
        <f aca="false">IF($B76="","","XS"&amp;TEXT($B76,"yyyymm")&amp;"-"&amp;TEXT(ROW()-4,"000"))</f>
        <v/>
      </c>
      <c r="B76" s="41"/>
      <c r="C76" s="42" t="str">
        <f aca="false">IF($B76="","",TEXT($B76,"yyyy-mm"))</f>
        <v/>
      </c>
      <c r="D76" s="32"/>
      <c r="E76" s="36"/>
      <c r="F76" s="43"/>
      <c r="G76" s="40"/>
      <c r="H76" s="51"/>
      <c r="I76" s="33"/>
      <c r="J76" s="33"/>
      <c r="K76" s="36"/>
      <c r="L76" s="47" t="str">
        <f aca="false">IF($B76="","",IF(NOT(ISNUMBER($B76)),"日期不是日期格式",IF(YEAR($B76)&lt;&gt;首页!$B$3,"不在会计年度",IF($D76="","未选客户",IF(ISNA(MATCH($D76,基础资料!$Z$6:$Z$155,0)),"客户不在档案",IF($E76="","未选商品",IF(ISNA(MATCH($E76,基础资料!$Q$6:$Q$205,0)),"商品不在档案",IF(NOT(ISNUMBER($F76)),"数量须为数字",IF(NOT(ISNUMBER($G76)),"单价须为数字",IF(N($F76)&lt;=0,"数量须大于0",IF(AND(IFERROR(INDEX(基础资料!$V$6:$V$205,MATCH($E76,基础资料!$Q$6:$Q$205,0)),"")="是",N($R76)=0),"无成本价·请先录采购或填参考成本",IF(N($T76)&lt;0,"毛利为负·请核对","√"))))))))))))</f>
        <v/>
      </c>
      <c r="M76" s="49" t="str">
        <f aca="false">IF($E76="","",IFERROR(INDEX(基础资料!$R$6:$R$205,MATCH($E76,基础资料!$Q$6:$Q$205,0)),""))</f>
        <v/>
      </c>
      <c r="N76" s="49" t="str">
        <f aca="false">IF($E76="","",IFERROR(INDEX(基础资料!$S$6:$S$205,MATCH($E76,基础资料!$Q$6:$Q$205,0)),""))</f>
        <v/>
      </c>
      <c r="O76" s="48" t="str">
        <f aca="false">IF(OR($F76="",$G76=""),"",ROUND(N($F76)*N($G76),2))</f>
        <v/>
      </c>
      <c r="P76" s="48" t="str">
        <f aca="false">IF($O76="","",ROUND(N($O76)*N($H76),2))</f>
        <v/>
      </c>
      <c r="Q76" s="48" t="str">
        <f aca="false">IF($O76="","",N($O76)+N($P76))</f>
        <v/>
      </c>
      <c r="R76" s="48" t="str">
        <f aca="false">IF(OR($E76="",$B76=""),"",IF(IFERROR(INDEX(基础资料!$V$6:$V$205,MATCH($E76,基础资料!$Q$6:$Q$205,0)),"")&lt;&gt;"是",0,IFERROR((SUMIFS(期初数据!$T$6:$T$205,期初数据!$O$6:$O$205,$E76)+SUMIFS(采购录入!$Q$5:$Q$404,采购录入!$E$5:$E$404,$E76,采购录入!$I$5:$I$404,"是",采购录入!$B$5:$B$404,"&lt;="&amp;$B76))/(SUMIFS(期初数据!$R$6:$R$205,期初数据!$O$6:$O$205,$E76)+SUMIFS(采购录入!$F$5:$F$404,采购录入!$E$5:$E$404,$E76,采购录入!$I$5:$I$404,"是",采购录入!$B$5:$B$404,"&lt;="&amp;$B76)),IFERROR(INDEX(基础资料!$U$6:$U$205,MATCH($E76,基础资料!$Q$6:$Q$205,0)),0))))</f>
        <v/>
      </c>
      <c r="S76" s="48" t="str">
        <f aca="false">IF($O76="","",ROUND(N($F76)*N($R76),2))</f>
        <v/>
      </c>
      <c r="T76" s="48" t="str">
        <f aca="false">IF($O76="","",N($O76)-N($S76))</f>
        <v/>
      </c>
      <c r="U76" s="52" t="str">
        <f aca="false">IF(OR($B76="",$D76=""),"",$B76+N(IFERROR(INDEX(基础资料!$AB$6:$AB$155,MATCH($D76,基础资料!$Z$6:$Z$155,0)),0)))</f>
        <v/>
      </c>
      <c r="V76" s="49" t="str">
        <f aca="false">IF($O76="","","1122")</f>
        <v/>
      </c>
      <c r="W76" s="49" t="str">
        <f aca="false">IF($O76="","","6001")</f>
        <v/>
      </c>
      <c r="X76" s="48" t="str">
        <f aca="false">IF($O76="","",$O76)</f>
        <v/>
      </c>
      <c r="Y76" s="49" t="str">
        <f aca="false">IF(N($P76)=0,"","1122")</f>
        <v/>
      </c>
      <c r="Z76" s="49" t="str">
        <f aca="false">IF(N($P76)=0,"","2221")</f>
        <v/>
      </c>
      <c r="AA76" s="48" t="str">
        <f aca="false">IF(N($P76)=0,"",$P76)</f>
        <v/>
      </c>
      <c r="AB76" s="49" t="str">
        <f aca="false">IF(N($S76)=0,"","6401")</f>
        <v/>
      </c>
      <c r="AC76" s="49" t="str">
        <f aca="false">IF(N($S76)=0,"","1405")</f>
        <v/>
      </c>
      <c r="AD76" s="48" t="str">
        <f aca="false">IF(N($S76)=0,"",$S76)</f>
        <v/>
      </c>
      <c r="AE76" s="49" t="str">
        <f aca="false">IF(AND($D76=客户对账单!$B$3,$B76&gt;=客户对账单!$E$3,$B76&lt;=客户对账单!$H$3),COUNTIFS($D$5:$D76,客户对账单!$B$3,$B$5:$B76,"&gt;="&amp;客户对账单!$E$3,$B$5:$B76,"&lt;="&amp;客户对账单!$H$3),"")</f>
        <v/>
      </c>
    </row>
    <row r="77" customFormat="false" ht="15.75" hidden="false" customHeight="true" outlineLevel="0" collapsed="false">
      <c r="A77" s="42" t="str">
        <f aca="false">IF($B77="","","XS"&amp;TEXT($B77,"yyyymm")&amp;"-"&amp;TEXT(ROW()-4,"000"))</f>
        <v/>
      </c>
      <c r="B77" s="41"/>
      <c r="C77" s="42" t="str">
        <f aca="false">IF($B77="","",TEXT($B77,"yyyy-mm"))</f>
        <v/>
      </c>
      <c r="D77" s="32"/>
      <c r="E77" s="36"/>
      <c r="F77" s="43"/>
      <c r="G77" s="40"/>
      <c r="H77" s="51"/>
      <c r="I77" s="33"/>
      <c r="J77" s="33"/>
      <c r="K77" s="36"/>
      <c r="L77" s="47" t="str">
        <f aca="false">IF($B77="","",IF(NOT(ISNUMBER($B77)),"日期不是日期格式",IF(YEAR($B77)&lt;&gt;首页!$B$3,"不在会计年度",IF($D77="","未选客户",IF(ISNA(MATCH($D77,基础资料!$Z$6:$Z$155,0)),"客户不在档案",IF($E77="","未选商品",IF(ISNA(MATCH($E77,基础资料!$Q$6:$Q$205,0)),"商品不在档案",IF(NOT(ISNUMBER($F77)),"数量须为数字",IF(NOT(ISNUMBER($G77)),"单价须为数字",IF(N($F77)&lt;=0,"数量须大于0",IF(AND(IFERROR(INDEX(基础资料!$V$6:$V$205,MATCH($E77,基础资料!$Q$6:$Q$205,0)),"")="是",N($R77)=0),"无成本价·请先录采购或填参考成本",IF(N($T77)&lt;0,"毛利为负·请核对","√"))))))))))))</f>
        <v/>
      </c>
      <c r="M77" s="49" t="str">
        <f aca="false">IF($E77="","",IFERROR(INDEX(基础资料!$R$6:$R$205,MATCH($E77,基础资料!$Q$6:$Q$205,0)),""))</f>
        <v/>
      </c>
      <c r="N77" s="49" t="str">
        <f aca="false">IF($E77="","",IFERROR(INDEX(基础资料!$S$6:$S$205,MATCH($E77,基础资料!$Q$6:$Q$205,0)),""))</f>
        <v/>
      </c>
      <c r="O77" s="48" t="str">
        <f aca="false">IF(OR($F77="",$G77=""),"",ROUND(N($F77)*N($G77),2))</f>
        <v/>
      </c>
      <c r="P77" s="48" t="str">
        <f aca="false">IF($O77="","",ROUND(N($O77)*N($H77),2))</f>
        <v/>
      </c>
      <c r="Q77" s="48" t="str">
        <f aca="false">IF($O77="","",N($O77)+N($P77))</f>
        <v/>
      </c>
      <c r="R77" s="48" t="str">
        <f aca="false">IF(OR($E77="",$B77=""),"",IF(IFERROR(INDEX(基础资料!$V$6:$V$205,MATCH($E77,基础资料!$Q$6:$Q$205,0)),"")&lt;&gt;"是",0,IFERROR((SUMIFS(期初数据!$T$6:$T$205,期初数据!$O$6:$O$205,$E77)+SUMIFS(采购录入!$Q$5:$Q$404,采购录入!$E$5:$E$404,$E77,采购录入!$I$5:$I$404,"是",采购录入!$B$5:$B$404,"&lt;="&amp;$B77))/(SUMIFS(期初数据!$R$6:$R$205,期初数据!$O$6:$O$205,$E77)+SUMIFS(采购录入!$F$5:$F$404,采购录入!$E$5:$E$404,$E77,采购录入!$I$5:$I$404,"是",采购录入!$B$5:$B$404,"&lt;="&amp;$B77)),IFERROR(INDEX(基础资料!$U$6:$U$205,MATCH($E77,基础资料!$Q$6:$Q$205,0)),0))))</f>
        <v/>
      </c>
      <c r="S77" s="48" t="str">
        <f aca="false">IF($O77="","",ROUND(N($F77)*N($R77),2))</f>
        <v/>
      </c>
      <c r="T77" s="48" t="str">
        <f aca="false">IF($O77="","",N($O77)-N($S77))</f>
        <v/>
      </c>
      <c r="U77" s="52" t="str">
        <f aca="false">IF(OR($B77="",$D77=""),"",$B77+N(IFERROR(INDEX(基础资料!$AB$6:$AB$155,MATCH($D77,基础资料!$Z$6:$Z$155,0)),0)))</f>
        <v/>
      </c>
      <c r="V77" s="49" t="str">
        <f aca="false">IF($O77="","","1122")</f>
        <v/>
      </c>
      <c r="W77" s="49" t="str">
        <f aca="false">IF($O77="","","6001")</f>
        <v/>
      </c>
      <c r="X77" s="48" t="str">
        <f aca="false">IF($O77="","",$O77)</f>
        <v/>
      </c>
      <c r="Y77" s="49" t="str">
        <f aca="false">IF(N($P77)=0,"","1122")</f>
        <v/>
      </c>
      <c r="Z77" s="49" t="str">
        <f aca="false">IF(N($P77)=0,"","2221")</f>
        <v/>
      </c>
      <c r="AA77" s="48" t="str">
        <f aca="false">IF(N($P77)=0,"",$P77)</f>
        <v/>
      </c>
      <c r="AB77" s="49" t="str">
        <f aca="false">IF(N($S77)=0,"","6401")</f>
        <v/>
      </c>
      <c r="AC77" s="49" t="str">
        <f aca="false">IF(N($S77)=0,"","1405")</f>
        <v/>
      </c>
      <c r="AD77" s="48" t="str">
        <f aca="false">IF(N($S77)=0,"",$S77)</f>
        <v/>
      </c>
      <c r="AE77" s="49" t="str">
        <f aca="false">IF(AND($D77=客户对账单!$B$3,$B77&gt;=客户对账单!$E$3,$B77&lt;=客户对账单!$H$3),COUNTIFS($D$5:$D77,客户对账单!$B$3,$B$5:$B77,"&gt;="&amp;客户对账单!$E$3,$B$5:$B77,"&lt;="&amp;客户对账单!$H$3),"")</f>
        <v/>
      </c>
    </row>
    <row r="78" customFormat="false" ht="15.75" hidden="false" customHeight="true" outlineLevel="0" collapsed="false">
      <c r="A78" s="42" t="str">
        <f aca="false">IF($B78="","","XS"&amp;TEXT($B78,"yyyymm")&amp;"-"&amp;TEXT(ROW()-4,"000"))</f>
        <v/>
      </c>
      <c r="B78" s="41"/>
      <c r="C78" s="42" t="str">
        <f aca="false">IF($B78="","",TEXT($B78,"yyyy-mm"))</f>
        <v/>
      </c>
      <c r="D78" s="32"/>
      <c r="E78" s="36"/>
      <c r="F78" s="43"/>
      <c r="G78" s="40"/>
      <c r="H78" s="51"/>
      <c r="I78" s="33"/>
      <c r="J78" s="33"/>
      <c r="K78" s="36"/>
      <c r="L78" s="47" t="str">
        <f aca="false">IF($B78="","",IF(NOT(ISNUMBER($B78)),"日期不是日期格式",IF(YEAR($B78)&lt;&gt;首页!$B$3,"不在会计年度",IF($D78="","未选客户",IF(ISNA(MATCH($D78,基础资料!$Z$6:$Z$155,0)),"客户不在档案",IF($E78="","未选商品",IF(ISNA(MATCH($E78,基础资料!$Q$6:$Q$205,0)),"商品不在档案",IF(NOT(ISNUMBER($F78)),"数量须为数字",IF(NOT(ISNUMBER($G78)),"单价须为数字",IF(N($F78)&lt;=0,"数量须大于0",IF(AND(IFERROR(INDEX(基础资料!$V$6:$V$205,MATCH($E78,基础资料!$Q$6:$Q$205,0)),"")="是",N($R78)=0),"无成本价·请先录采购或填参考成本",IF(N($T78)&lt;0,"毛利为负·请核对","√"))))))))))))</f>
        <v/>
      </c>
      <c r="M78" s="49" t="str">
        <f aca="false">IF($E78="","",IFERROR(INDEX(基础资料!$R$6:$R$205,MATCH($E78,基础资料!$Q$6:$Q$205,0)),""))</f>
        <v/>
      </c>
      <c r="N78" s="49" t="str">
        <f aca="false">IF($E78="","",IFERROR(INDEX(基础资料!$S$6:$S$205,MATCH($E78,基础资料!$Q$6:$Q$205,0)),""))</f>
        <v/>
      </c>
      <c r="O78" s="48" t="str">
        <f aca="false">IF(OR($F78="",$G78=""),"",ROUND(N($F78)*N($G78),2))</f>
        <v/>
      </c>
      <c r="P78" s="48" t="str">
        <f aca="false">IF($O78="","",ROUND(N($O78)*N($H78),2))</f>
        <v/>
      </c>
      <c r="Q78" s="48" t="str">
        <f aca="false">IF($O78="","",N($O78)+N($P78))</f>
        <v/>
      </c>
      <c r="R78" s="48" t="str">
        <f aca="false">IF(OR($E78="",$B78=""),"",IF(IFERROR(INDEX(基础资料!$V$6:$V$205,MATCH($E78,基础资料!$Q$6:$Q$205,0)),"")&lt;&gt;"是",0,IFERROR((SUMIFS(期初数据!$T$6:$T$205,期初数据!$O$6:$O$205,$E78)+SUMIFS(采购录入!$Q$5:$Q$404,采购录入!$E$5:$E$404,$E78,采购录入!$I$5:$I$404,"是",采购录入!$B$5:$B$404,"&lt;="&amp;$B78))/(SUMIFS(期初数据!$R$6:$R$205,期初数据!$O$6:$O$205,$E78)+SUMIFS(采购录入!$F$5:$F$404,采购录入!$E$5:$E$404,$E78,采购录入!$I$5:$I$404,"是",采购录入!$B$5:$B$404,"&lt;="&amp;$B78)),IFERROR(INDEX(基础资料!$U$6:$U$205,MATCH($E78,基础资料!$Q$6:$Q$205,0)),0))))</f>
        <v/>
      </c>
      <c r="S78" s="48" t="str">
        <f aca="false">IF($O78="","",ROUND(N($F78)*N($R78),2))</f>
        <v/>
      </c>
      <c r="T78" s="48" t="str">
        <f aca="false">IF($O78="","",N($O78)-N($S78))</f>
        <v/>
      </c>
      <c r="U78" s="52" t="str">
        <f aca="false">IF(OR($B78="",$D78=""),"",$B78+N(IFERROR(INDEX(基础资料!$AB$6:$AB$155,MATCH($D78,基础资料!$Z$6:$Z$155,0)),0)))</f>
        <v/>
      </c>
      <c r="V78" s="49" t="str">
        <f aca="false">IF($O78="","","1122")</f>
        <v/>
      </c>
      <c r="W78" s="49" t="str">
        <f aca="false">IF($O78="","","6001")</f>
        <v/>
      </c>
      <c r="X78" s="48" t="str">
        <f aca="false">IF($O78="","",$O78)</f>
        <v/>
      </c>
      <c r="Y78" s="49" t="str">
        <f aca="false">IF(N($P78)=0,"","1122")</f>
        <v/>
      </c>
      <c r="Z78" s="49" t="str">
        <f aca="false">IF(N($P78)=0,"","2221")</f>
        <v/>
      </c>
      <c r="AA78" s="48" t="str">
        <f aca="false">IF(N($P78)=0,"",$P78)</f>
        <v/>
      </c>
      <c r="AB78" s="49" t="str">
        <f aca="false">IF(N($S78)=0,"","6401")</f>
        <v/>
      </c>
      <c r="AC78" s="49" t="str">
        <f aca="false">IF(N($S78)=0,"","1405")</f>
        <v/>
      </c>
      <c r="AD78" s="48" t="str">
        <f aca="false">IF(N($S78)=0,"",$S78)</f>
        <v/>
      </c>
      <c r="AE78" s="49" t="str">
        <f aca="false">IF(AND($D78=客户对账单!$B$3,$B78&gt;=客户对账单!$E$3,$B78&lt;=客户对账单!$H$3),COUNTIFS($D$5:$D78,客户对账单!$B$3,$B$5:$B78,"&gt;="&amp;客户对账单!$E$3,$B$5:$B78,"&lt;="&amp;客户对账单!$H$3),"")</f>
        <v/>
      </c>
    </row>
    <row r="79" customFormat="false" ht="15.75" hidden="false" customHeight="true" outlineLevel="0" collapsed="false">
      <c r="A79" s="42" t="str">
        <f aca="false">IF($B79="","","XS"&amp;TEXT($B79,"yyyymm")&amp;"-"&amp;TEXT(ROW()-4,"000"))</f>
        <v/>
      </c>
      <c r="B79" s="41"/>
      <c r="C79" s="42" t="str">
        <f aca="false">IF($B79="","",TEXT($B79,"yyyy-mm"))</f>
        <v/>
      </c>
      <c r="D79" s="32"/>
      <c r="E79" s="36"/>
      <c r="F79" s="43"/>
      <c r="G79" s="40"/>
      <c r="H79" s="51"/>
      <c r="I79" s="33"/>
      <c r="J79" s="33"/>
      <c r="K79" s="36"/>
      <c r="L79" s="47" t="str">
        <f aca="false">IF($B79="","",IF(NOT(ISNUMBER($B79)),"日期不是日期格式",IF(YEAR($B79)&lt;&gt;首页!$B$3,"不在会计年度",IF($D79="","未选客户",IF(ISNA(MATCH($D79,基础资料!$Z$6:$Z$155,0)),"客户不在档案",IF($E79="","未选商品",IF(ISNA(MATCH($E79,基础资料!$Q$6:$Q$205,0)),"商品不在档案",IF(NOT(ISNUMBER($F79)),"数量须为数字",IF(NOT(ISNUMBER($G79)),"单价须为数字",IF(N($F79)&lt;=0,"数量须大于0",IF(AND(IFERROR(INDEX(基础资料!$V$6:$V$205,MATCH($E79,基础资料!$Q$6:$Q$205,0)),"")="是",N($R79)=0),"无成本价·请先录采购或填参考成本",IF(N($T79)&lt;0,"毛利为负·请核对","√"))))))))))))</f>
        <v/>
      </c>
      <c r="M79" s="49" t="str">
        <f aca="false">IF($E79="","",IFERROR(INDEX(基础资料!$R$6:$R$205,MATCH($E79,基础资料!$Q$6:$Q$205,0)),""))</f>
        <v/>
      </c>
      <c r="N79" s="49" t="str">
        <f aca="false">IF($E79="","",IFERROR(INDEX(基础资料!$S$6:$S$205,MATCH($E79,基础资料!$Q$6:$Q$205,0)),""))</f>
        <v/>
      </c>
      <c r="O79" s="48" t="str">
        <f aca="false">IF(OR($F79="",$G79=""),"",ROUND(N($F79)*N($G79),2))</f>
        <v/>
      </c>
      <c r="P79" s="48" t="str">
        <f aca="false">IF($O79="","",ROUND(N($O79)*N($H79),2))</f>
        <v/>
      </c>
      <c r="Q79" s="48" t="str">
        <f aca="false">IF($O79="","",N($O79)+N($P79))</f>
        <v/>
      </c>
      <c r="R79" s="48" t="str">
        <f aca="false">IF(OR($E79="",$B79=""),"",IF(IFERROR(INDEX(基础资料!$V$6:$V$205,MATCH($E79,基础资料!$Q$6:$Q$205,0)),"")&lt;&gt;"是",0,IFERROR((SUMIFS(期初数据!$T$6:$T$205,期初数据!$O$6:$O$205,$E79)+SUMIFS(采购录入!$Q$5:$Q$404,采购录入!$E$5:$E$404,$E79,采购录入!$I$5:$I$404,"是",采购录入!$B$5:$B$404,"&lt;="&amp;$B79))/(SUMIFS(期初数据!$R$6:$R$205,期初数据!$O$6:$O$205,$E79)+SUMIFS(采购录入!$F$5:$F$404,采购录入!$E$5:$E$404,$E79,采购录入!$I$5:$I$404,"是",采购录入!$B$5:$B$404,"&lt;="&amp;$B79)),IFERROR(INDEX(基础资料!$U$6:$U$205,MATCH($E79,基础资料!$Q$6:$Q$205,0)),0))))</f>
        <v/>
      </c>
      <c r="S79" s="48" t="str">
        <f aca="false">IF($O79="","",ROUND(N($F79)*N($R79),2))</f>
        <v/>
      </c>
      <c r="T79" s="48" t="str">
        <f aca="false">IF($O79="","",N($O79)-N($S79))</f>
        <v/>
      </c>
      <c r="U79" s="52" t="str">
        <f aca="false">IF(OR($B79="",$D79=""),"",$B79+N(IFERROR(INDEX(基础资料!$AB$6:$AB$155,MATCH($D79,基础资料!$Z$6:$Z$155,0)),0)))</f>
        <v/>
      </c>
      <c r="V79" s="49" t="str">
        <f aca="false">IF($O79="","","1122")</f>
        <v/>
      </c>
      <c r="W79" s="49" t="str">
        <f aca="false">IF($O79="","","6001")</f>
        <v/>
      </c>
      <c r="X79" s="48" t="str">
        <f aca="false">IF($O79="","",$O79)</f>
        <v/>
      </c>
      <c r="Y79" s="49" t="str">
        <f aca="false">IF(N($P79)=0,"","1122")</f>
        <v/>
      </c>
      <c r="Z79" s="49" t="str">
        <f aca="false">IF(N($P79)=0,"","2221")</f>
        <v/>
      </c>
      <c r="AA79" s="48" t="str">
        <f aca="false">IF(N($P79)=0,"",$P79)</f>
        <v/>
      </c>
      <c r="AB79" s="49" t="str">
        <f aca="false">IF(N($S79)=0,"","6401")</f>
        <v/>
      </c>
      <c r="AC79" s="49" t="str">
        <f aca="false">IF(N($S79)=0,"","1405")</f>
        <v/>
      </c>
      <c r="AD79" s="48" t="str">
        <f aca="false">IF(N($S79)=0,"",$S79)</f>
        <v/>
      </c>
      <c r="AE79" s="49" t="str">
        <f aca="false">IF(AND($D79=客户对账单!$B$3,$B79&gt;=客户对账单!$E$3,$B79&lt;=客户对账单!$H$3),COUNTIFS($D$5:$D79,客户对账单!$B$3,$B$5:$B79,"&gt;="&amp;客户对账单!$E$3,$B$5:$B79,"&lt;="&amp;客户对账单!$H$3),"")</f>
        <v/>
      </c>
    </row>
    <row r="80" customFormat="false" ht="15.75" hidden="false" customHeight="true" outlineLevel="0" collapsed="false">
      <c r="A80" s="42" t="str">
        <f aca="false">IF($B80="","","XS"&amp;TEXT($B80,"yyyymm")&amp;"-"&amp;TEXT(ROW()-4,"000"))</f>
        <v/>
      </c>
      <c r="B80" s="41"/>
      <c r="C80" s="42" t="str">
        <f aca="false">IF($B80="","",TEXT($B80,"yyyy-mm"))</f>
        <v/>
      </c>
      <c r="D80" s="32"/>
      <c r="E80" s="36"/>
      <c r="F80" s="43"/>
      <c r="G80" s="40"/>
      <c r="H80" s="51"/>
      <c r="I80" s="33"/>
      <c r="J80" s="33"/>
      <c r="K80" s="36"/>
      <c r="L80" s="47" t="str">
        <f aca="false">IF($B80="","",IF(NOT(ISNUMBER($B80)),"日期不是日期格式",IF(YEAR($B80)&lt;&gt;首页!$B$3,"不在会计年度",IF($D80="","未选客户",IF(ISNA(MATCH($D80,基础资料!$Z$6:$Z$155,0)),"客户不在档案",IF($E80="","未选商品",IF(ISNA(MATCH($E80,基础资料!$Q$6:$Q$205,0)),"商品不在档案",IF(NOT(ISNUMBER($F80)),"数量须为数字",IF(NOT(ISNUMBER($G80)),"单价须为数字",IF(N($F80)&lt;=0,"数量须大于0",IF(AND(IFERROR(INDEX(基础资料!$V$6:$V$205,MATCH($E80,基础资料!$Q$6:$Q$205,0)),"")="是",N($R80)=0),"无成本价·请先录采购或填参考成本",IF(N($T80)&lt;0,"毛利为负·请核对","√"))))))))))))</f>
        <v/>
      </c>
      <c r="M80" s="49" t="str">
        <f aca="false">IF($E80="","",IFERROR(INDEX(基础资料!$R$6:$R$205,MATCH($E80,基础资料!$Q$6:$Q$205,0)),""))</f>
        <v/>
      </c>
      <c r="N80" s="49" t="str">
        <f aca="false">IF($E80="","",IFERROR(INDEX(基础资料!$S$6:$S$205,MATCH($E80,基础资料!$Q$6:$Q$205,0)),""))</f>
        <v/>
      </c>
      <c r="O80" s="48" t="str">
        <f aca="false">IF(OR($F80="",$G80=""),"",ROUND(N($F80)*N($G80),2))</f>
        <v/>
      </c>
      <c r="P80" s="48" t="str">
        <f aca="false">IF($O80="","",ROUND(N($O80)*N($H80),2))</f>
        <v/>
      </c>
      <c r="Q80" s="48" t="str">
        <f aca="false">IF($O80="","",N($O80)+N($P80))</f>
        <v/>
      </c>
      <c r="R80" s="48" t="str">
        <f aca="false">IF(OR($E80="",$B80=""),"",IF(IFERROR(INDEX(基础资料!$V$6:$V$205,MATCH($E80,基础资料!$Q$6:$Q$205,0)),"")&lt;&gt;"是",0,IFERROR((SUMIFS(期初数据!$T$6:$T$205,期初数据!$O$6:$O$205,$E80)+SUMIFS(采购录入!$Q$5:$Q$404,采购录入!$E$5:$E$404,$E80,采购录入!$I$5:$I$404,"是",采购录入!$B$5:$B$404,"&lt;="&amp;$B80))/(SUMIFS(期初数据!$R$6:$R$205,期初数据!$O$6:$O$205,$E80)+SUMIFS(采购录入!$F$5:$F$404,采购录入!$E$5:$E$404,$E80,采购录入!$I$5:$I$404,"是",采购录入!$B$5:$B$404,"&lt;="&amp;$B80)),IFERROR(INDEX(基础资料!$U$6:$U$205,MATCH($E80,基础资料!$Q$6:$Q$205,0)),0))))</f>
        <v/>
      </c>
      <c r="S80" s="48" t="str">
        <f aca="false">IF($O80="","",ROUND(N($F80)*N($R80),2))</f>
        <v/>
      </c>
      <c r="T80" s="48" t="str">
        <f aca="false">IF($O80="","",N($O80)-N($S80))</f>
        <v/>
      </c>
      <c r="U80" s="52" t="str">
        <f aca="false">IF(OR($B80="",$D80=""),"",$B80+N(IFERROR(INDEX(基础资料!$AB$6:$AB$155,MATCH($D80,基础资料!$Z$6:$Z$155,0)),0)))</f>
        <v/>
      </c>
      <c r="V80" s="49" t="str">
        <f aca="false">IF($O80="","","1122")</f>
        <v/>
      </c>
      <c r="W80" s="49" t="str">
        <f aca="false">IF($O80="","","6001")</f>
        <v/>
      </c>
      <c r="X80" s="48" t="str">
        <f aca="false">IF($O80="","",$O80)</f>
        <v/>
      </c>
      <c r="Y80" s="49" t="str">
        <f aca="false">IF(N($P80)=0,"","1122")</f>
        <v/>
      </c>
      <c r="Z80" s="49" t="str">
        <f aca="false">IF(N($P80)=0,"","2221")</f>
        <v/>
      </c>
      <c r="AA80" s="48" t="str">
        <f aca="false">IF(N($P80)=0,"",$P80)</f>
        <v/>
      </c>
      <c r="AB80" s="49" t="str">
        <f aca="false">IF(N($S80)=0,"","6401")</f>
        <v/>
      </c>
      <c r="AC80" s="49" t="str">
        <f aca="false">IF(N($S80)=0,"","1405")</f>
        <v/>
      </c>
      <c r="AD80" s="48" t="str">
        <f aca="false">IF(N($S80)=0,"",$S80)</f>
        <v/>
      </c>
      <c r="AE80" s="49" t="str">
        <f aca="false">IF(AND($D80=客户对账单!$B$3,$B80&gt;=客户对账单!$E$3,$B80&lt;=客户对账单!$H$3),COUNTIFS($D$5:$D80,客户对账单!$B$3,$B$5:$B80,"&gt;="&amp;客户对账单!$E$3,$B$5:$B80,"&lt;="&amp;客户对账单!$H$3),"")</f>
        <v/>
      </c>
    </row>
    <row r="81" customFormat="false" ht="15.75" hidden="false" customHeight="true" outlineLevel="0" collapsed="false">
      <c r="A81" s="42" t="str">
        <f aca="false">IF($B81="","","XS"&amp;TEXT($B81,"yyyymm")&amp;"-"&amp;TEXT(ROW()-4,"000"))</f>
        <v/>
      </c>
      <c r="B81" s="41"/>
      <c r="C81" s="42" t="str">
        <f aca="false">IF($B81="","",TEXT($B81,"yyyy-mm"))</f>
        <v/>
      </c>
      <c r="D81" s="32"/>
      <c r="E81" s="36"/>
      <c r="F81" s="43"/>
      <c r="G81" s="40"/>
      <c r="H81" s="51"/>
      <c r="I81" s="33"/>
      <c r="J81" s="33"/>
      <c r="K81" s="36"/>
      <c r="L81" s="47" t="str">
        <f aca="false">IF($B81="","",IF(NOT(ISNUMBER($B81)),"日期不是日期格式",IF(YEAR($B81)&lt;&gt;首页!$B$3,"不在会计年度",IF($D81="","未选客户",IF(ISNA(MATCH($D81,基础资料!$Z$6:$Z$155,0)),"客户不在档案",IF($E81="","未选商品",IF(ISNA(MATCH($E81,基础资料!$Q$6:$Q$205,0)),"商品不在档案",IF(NOT(ISNUMBER($F81)),"数量须为数字",IF(NOT(ISNUMBER($G81)),"单价须为数字",IF(N($F81)&lt;=0,"数量须大于0",IF(AND(IFERROR(INDEX(基础资料!$V$6:$V$205,MATCH($E81,基础资料!$Q$6:$Q$205,0)),"")="是",N($R81)=0),"无成本价·请先录采购或填参考成本",IF(N($T81)&lt;0,"毛利为负·请核对","√"))))))))))))</f>
        <v/>
      </c>
      <c r="M81" s="49" t="str">
        <f aca="false">IF($E81="","",IFERROR(INDEX(基础资料!$R$6:$R$205,MATCH($E81,基础资料!$Q$6:$Q$205,0)),""))</f>
        <v/>
      </c>
      <c r="N81" s="49" t="str">
        <f aca="false">IF($E81="","",IFERROR(INDEX(基础资料!$S$6:$S$205,MATCH($E81,基础资料!$Q$6:$Q$205,0)),""))</f>
        <v/>
      </c>
      <c r="O81" s="48" t="str">
        <f aca="false">IF(OR($F81="",$G81=""),"",ROUND(N($F81)*N($G81),2))</f>
        <v/>
      </c>
      <c r="P81" s="48" t="str">
        <f aca="false">IF($O81="","",ROUND(N($O81)*N($H81),2))</f>
        <v/>
      </c>
      <c r="Q81" s="48" t="str">
        <f aca="false">IF($O81="","",N($O81)+N($P81))</f>
        <v/>
      </c>
      <c r="R81" s="48" t="str">
        <f aca="false">IF(OR($E81="",$B81=""),"",IF(IFERROR(INDEX(基础资料!$V$6:$V$205,MATCH($E81,基础资料!$Q$6:$Q$205,0)),"")&lt;&gt;"是",0,IFERROR((SUMIFS(期初数据!$T$6:$T$205,期初数据!$O$6:$O$205,$E81)+SUMIFS(采购录入!$Q$5:$Q$404,采购录入!$E$5:$E$404,$E81,采购录入!$I$5:$I$404,"是",采购录入!$B$5:$B$404,"&lt;="&amp;$B81))/(SUMIFS(期初数据!$R$6:$R$205,期初数据!$O$6:$O$205,$E81)+SUMIFS(采购录入!$F$5:$F$404,采购录入!$E$5:$E$404,$E81,采购录入!$I$5:$I$404,"是",采购录入!$B$5:$B$404,"&lt;="&amp;$B81)),IFERROR(INDEX(基础资料!$U$6:$U$205,MATCH($E81,基础资料!$Q$6:$Q$205,0)),0))))</f>
        <v/>
      </c>
      <c r="S81" s="48" t="str">
        <f aca="false">IF($O81="","",ROUND(N($F81)*N($R81),2))</f>
        <v/>
      </c>
      <c r="T81" s="48" t="str">
        <f aca="false">IF($O81="","",N($O81)-N($S81))</f>
        <v/>
      </c>
      <c r="U81" s="52" t="str">
        <f aca="false">IF(OR($B81="",$D81=""),"",$B81+N(IFERROR(INDEX(基础资料!$AB$6:$AB$155,MATCH($D81,基础资料!$Z$6:$Z$155,0)),0)))</f>
        <v/>
      </c>
      <c r="V81" s="49" t="str">
        <f aca="false">IF($O81="","","1122")</f>
        <v/>
      </c>
      <c r="W81" s="49" t="str">
        <f aca="false">IF($O81="","","6001")</f>
        <v/>
      </c>
      <c r="X81" s="48" t="str">
        <f aca="false">IF($O81="","",$O81)</f>
        <v/>
      </c>
      <c r="Y81" s="49" t="str">
        <f aca="false">IF(N($P81)=0,"","1122")</f>
        <v/>
      </c>
      <c r="Z81" s="49" t="str">
        <f aca="false">IF(N($P81)=0,"","2221")</f>
        <v/>
      </c>
      <c r="AA81" s="48" t="str">
        <f aca="false">IF(N($P81)=0,"",$P81)</f>
        <v/>
      </c>
      <c r="AB81" s="49" t="str">
        <f aca="false">IF(N($S81)=0,"","6401")</f>
        <v/>
      </c>
      <c r="AC81" s="49" t="str">
        <f aca="false">IF(N($S81)=0,"","1405")</f>
        <v/>
      </c>
      <c r="AD81" s="48" t="str">
        <f aca="false">IF(N($S81)=0,"",$S81)</f>
        <v/>
      </c>
      <c r="AE81" s="49" t="str">
        <f aca="false">IF(AND($D81=客户对账单!$B$3,$B81&gt;=客户对账单!$E$3,$B81&lt;=客户对账单!$H$3),COUNTIFS($D$5:$D81,客户对账单!$B$3,$B$5:$B81,"&gt;="&amp;客户对账单!$E$3,$B$5:$B81,"&lt;="&amp;客户对账单!$H$3),"")</f>
        <v/>
      </c>
    </row>
    <row r="82" customFormat="false" ht="15.75" hidden="false" customHeight="true" outlineLevel="0" collapsed="false">
      <c r="A82" s="42" t="str">
        <f aca="false">IF($B82="","","XS"&amp;TEXT($B82,"yyyymm")&amp;"-"&amp;TEXT(ROW()-4,"000"))</f>
        <v/>
      </c>
      <c r="B82" s="41"/>
      <c r="C82" s="42" t="str">
        <f aca="false">IF($B82="","",TEXT($B82,"yyyy-mm"))</f>
        <v/>
      </c>
      <c r="D82" s="32"/>
      <c r="E82" s="36"/>
      <c r="F82" s="43"/>
      <c r="G82" s="40"/>
      <c r="H82" s="51"/>
      <c r="I82" s="33"/>
      <c r="J82" s="33"/>
      <c r="K82" s="36"/>
      <c r="L82" s="47" t="str">
        <f aca="false">IF($B82="","",IF(NOT(ISNUMBER($B82)),"日期不是日期格式",IF(YEAR($B82)&lt;&gt;首页!$B$3,"不在会计年度",IF($D82="","未选客户",IF(ISNA(MATCH($D82,基础资料!$Z$6:$Z$155,0)),"客户不在档案",IF($E82="","未选商品",IF(ISNA(MATCH($E82,基础资料!$Q$6:$Q$205,0)),"商品不在档案",IF(NOT(ISNUMBER($F82)),"数量须为数字",IF(NOT(ISNUMBER($G82)),"单价须为数字",IF(N($F82)&lt;=0,"数量须大于0",IF(AND(IFERROR(INDEX(基础资料!$V$6:$V$205,MATCH($E82,基础资料!$Q$6:$Q$205,0)),"")="是",N($R82)=0),"无成本价·请先录采购或填参考成本",IF(N($T82)&lt;0,"毛利为负·请核对","√"))))))))))))</f>
        <v/>
      </c>
      <c r="M82" s="49" t="str">
        <f aca="false">IF($E82="","",IFERROR(INDEX(基础资料!$R$6:$R$205,MATCH($E82,基础资料!$Q$6:$Q$205,0)),""))</f>
        <v/>
      </c>
      <c r="N82" s="49" t="str">
        <f aca="false">IF($E82="","",IFERROR(INDEX(基础资料!$S$6:$S$205,MATCH($E82,基础资料!$Q$6:$Q$205,0)),""))</f>
        <v/>
      </c>
      <c r="O82" s="48" t="str">
        <f aca="false">IF(OR($F82="",$G82=""),"",ROUND(N($F82)*N($G82),2))</f>
        <v/>
      </c>
      <c r="P82" s="48" t="str">
        <f aca="false">IF($O82="","",ROUND(N($O82)*N($H82),2))</f>
        <v/>
      </c>
      <c r="Q82" s="48" t="str">
        <f aca="false">IF($O82="","",N($O82)+N($P82))</f>
        <v/>
      </c>
      <c r="R82" s="48" t="str">
        <f aca="false">IF(OR($E82="",$B82=""),"",IF(IFERROR(INDEX(基础资料!$V$6:$V$205,MATCH($E82,基础资料!$Q$6:$Q$205,0)),"")&lt;&gt;"是",0,IFERROR((SUMIFS(期初数据!$T$6:$T$205,期初数据!$O$6:$O$205,$E82)+SUMIFS(采购录入!$Q$5:$Q$404,采购录入!$E$5:$E$404,$E82,采购录入!$I$5:$I$404,"是",采购录入!$B$5:$B$404,"&lt;="&amp;$B82))/(SUMIFS(期初数据!$R$6:$R$205,期初数据!$O$6:$O$205,$E82)+SUMIFS(采购录入!$F$5:$F$404,采购录入!$E$5:$E$404,$E82,采购录入!$I$5:$I$404,"是",采购录入!$B$5:$B$404,"&lt;="&amp;$B82)),IFERROR(INDEX(基础资料!$U$6:$U$205,MATCH($E82,基础资料!$Q$6:$Q$205,0)),0))))</f>
        <v/>
      </c>
      <c r="S82" s="48" t="str">
        <f aca="false">IF($O82="","",ROUND(N($F82)*N($R82),2))</f>
        <v/>
      </c>
      <c r="T82" s="48" t="str">
        <f aca="false">IF($O82="","",N($O82)-N($S82))</f>
        <v/>
      </c>
      <c r="U82" s="52" t="str">
        <f aca="false">IF(OR($B82="",$D82=""),"",$B82+N(IFERROR(INDEX(基础资料!$AB$6:$AB$155,MATCH($D82,基础资料!$Z$6:$Z$155,0)),0)))</f>
        <v/>
      </c>
      <c r="V82" s="49" t="str">
        <f aca="false">IF($O82="","","1122")</f>
        <v/>
      </c>
      <c r="W82" s="49" t="str">
        <f aca="false">IF($O82="","","6001")</f>
        <v/>
      </c>
      <c r="X82" s="48" t="str">
        <f aca="false">IF($O82="","",$O82)</f>
        <v/>
      </c>
      <c r="Y82" s="49" t="str">
        <f aca="false">IF(N($P82)=0,"","1122")</f>
        <v/>
      </c>
      <c r="Z82" s="49" t="str">
        <f aca="false">IF(N($P82)=0,"","2221")</f>
        <v/>
      </c>
      <c r="AA82" s="48" t="str">
        <f aca="false">IF(N($P82)=0,"",$P82)</f>
        <v/>
      </c>
      <c r="AB82" s="49" t="str">
        <f aca="false">IF(N($S82)=0,"","6401")</f>
        <v/>
      </c>
      <c r="AC82" s="49" t="str">
        <f aca="false">IF(N($S82)=0,"","1405")</f>
        <v/>
      </c>
      <c r="AD82" s="48" t="str">
        <f aca="false">IF(N($S82)=0,"",$S82)</f>
        <v/>
      </c>
      <c r="AE82" s="49" t="str">
        <f aca="false">IF(AND($D82=客户对账单!$B$3,$B82&gt;=客户对账单!$E$3,$B82&lt;=客户对账单!$H$3),COUNTIFS($D$5:$D82,客户对账单!$B$3,$B$5:$B82,"&gt;="&amp;客户对账单!$E$3,$B$5:$B82,"&lt;="&amp;客户对账单!$H$3),"")</f>
        <v/>
      </c>
    </row>
    <row r="83" customFormat="false" ht="15.75" hidden="false" customHeight="true" outlineLevel="0" collapsed="false">
      <c r="A83" s="42" t="str">
        <f aca="false">IF($B83="","","XS"&amp;TEXT($B83,"yyyymm")&amp;"-"&amp;TEXT(ROW()-4,"000"))</f>
        <v/>
      </c>
      <c r="B83" s="41"/>
      <c r="C83" s="42" t="str">
        <f aca="false">IF($B83="","",TEXT($B83,"yyyy-mm"))</f>
        <v/>
      </c>
      <c r="D83" s="32"/>
      <c r="E83" s="36"/>
      <c r="F83" s="43"/>
      <c r="G83" s="40"/>
      <c r="H83" s="51"/>
      <c r="I83" s="33"/>
      <c r="J83" s="33"/>
      <c r="K83" s="36"/>
      <c r="L83" s="47" t="str">
        <f aca="false">IF($B83="","",IF(NOT(ISNUMBER($B83)),"日期不是日期格式",IF(YEAR($B83)&lt;&gt;首页!$B$3,"不在会计年度",IF($D83="","未选客户",IF(ISNA(MATCH($D83,基础资料!$Z$6:$Z$155,0)),"客户不在档案",IF($E83="","未选商品",IF(ISNA(MATCH($E83,基础资料!$Q$6:$Q$205,0)),"商品不在档案",IF(NOT(ISNUMBER($F83)),"数量须为数字",IF(NOT(ISNUMBER($G83)),"单价须为数字",IF(N($F83)&lt;=0,"数量须大于0",IF(AND(IFERROR(INDEX(基础资料!$V$6:$V$205,MATCH($E83,基础资料!$Q$6:$Q$205,0)),"")="是",N($R83)=0),"无成本价·请先录采购或填参考成本",IF(N($T83)&lt;0,"毛利为负·请核对","√"))))))))))))</f>
        <v/>
      </c>
      <c r="M83" s="49" t="str">
        <f aca="false">IF($E83="","",IFERROR(INDEX(基础资料!$R$6:$R$205,MATCH($E83,基础资料!$Q$6:$Q$205,0)),""))</f>
        <v/>
      </c>
      <c r="N83" s="49" t="str">
        <f aca="false">IF($E83="","",IFERROR(INDEX(基础资料!$S$6:$S$205,MATCH($E83,基础资料!$Q$6:$Q$205,0)),""))</f>
        <v/>
      </c>
      <c r="O83" s="48" t="str">
        <f aca="false">IF(OR($F83="",$G83=""),"",ROUND(N($F83)*N($G83),2))</f>
        <v/>
      </c>
      <c r="P83" s="48" t="str">
        <f aca="false">IF($O83="","",ROUND(N($O83)*N($H83),2))</f>
        <v/>
      </c>
      <c r="Q83" s="48" t="str">
        <f aca="false">IF($O83="","",N($O83)+N($P83))</f>
        <v/>
      </c>
      <c r="R83" s="48" t="str">
        <f aca="false">IF(OR($E83="",$B83=""),"",IF(IFERROR(INDEX(基础资料!$V$6:$V$205,MATCH($E83,基础资料!$Q$6:$Q$205,0)),"")&lt;&gt;"是",0,IFERROR((SUMIFS(期初数据!$T$6:$T$205,期初数据!$O$6:$O$205,$E83)+SUMIFS(采购录入!$Q$5:$Q$404,采购录入!$E$5:$E$404,$E83,采购录入!$I$5:$I$404,"是",采购录入!$B$5:$B$404,"&lt;="&amp;$B83))/(SUMIFS(期初数据!$R$6:$R$205,期初数据!$O$6:$O$205,$E83)+SUMIFS(采购录入!$F$5:$F$404,采购录入!$E$5:$E$404,$E83,采购录入!$I$5:$I$404,"是",采购录入!$B$5:$B$404,"&lt;="&amp;$B83)),IFERROR(INDEX(基础资料!$U$6:$U$205,MATCH($E83,基础资料!$Q$6:$Q$205,0)),0))))</f>
        <v/>
      </c>
      <c r="S83" s="48" t="str">
        <f aca="false">IF($O83="","",ROUND(N($F83)*N($R83),2))</f>
        <v/>
      </c>
      <c r="T83" s="48" t="str">
        <f aca="false">IF($O83="","",N($O83)-N($S83))</f>
        <v/>
      </c>
      <c r="U83" s="52" t="str">
        <f aca="false">IF(OR($B83="",$D83=""),"",$B83+N(IFERROR(INDEX(基础资料!$AB$6:$AB$155,MATCH($D83,基础资料!$Z$6:$Z$155,0)),0)))</f>
        <v/>
      </c>
      <c r="V83" s="49" t="str">
        <f aca="false">IF($O83="","","1122")</f>
        <v/>
      </c>
      <c r="W83" s="49" t="str">
        <f aca="false">IF($O83="","","6001")</f>
        <v/>
      </c>
      <c r="X83" s="48" t="str">
        <f aca="false">IF($O83="","",$O83)</f>
        <v/>
      </c>
      <c r="Y83" s="49" t="str">
        <f aca="false">IF(N($P83)=0,"","1122")</f>
        <v/>
      </c>
      <c r="Z83" s="49" t="str">
        <f aca="false">IF(N($P83)=0,"","2221")</f>
        <v/>
      </c>
      <c r="AA83" s="48" t="str">
        <f aca="false">IF(N($P83)=0,"",$P83)</f>
        <v/>
      </c>
      <c r="AB83" s="49" t="str">
        <f aca="false">IF(N($S83)=0,"","6401")</f>
        <v/>
      </c>
      <c r="AC83" s="49" t="str">
        <f aca="false">IF(N($S83)=0,"","1405")</f>
        <v/>
      </c>
      <c r="AD83" s="48" t="str">
        <f aca="false">IF(N($S83)=0,"",$S83)</f>
        <v/>
      </c>
      <c r="AE83" s="49" t="str">
        <f aca="false">IF(AND($D83=客户对账单!$B$3,$B83&gt;=客户对账单!$E$3,$B83&lt;=客户对账单!$H$3),COUNTIFS($D$5:$D83,客户对账单!$B$3,$B$5:$B83,"&gt;="&amp;客户对账单!$E$3,$B$5:$B83,"&lt;="&amp;客户对账单!$H$3),"")</f>
        <v/>
      </c>
    </row>
    <row r="84" customFormat="false" ht="15.75" hidden="false" customHeight="true" outlineLevel="0" collapsed="false">
      <c r="A84" s="42" t="str">
        <f aca="false">IF($B84="","","XS"&amp;TEXT($B84,"yyyymm")&amp;"-"&amp;TEXT(ROW()-4,"000"))</f>
        <v/>
      </c>
      <c r="B84" s="41"/>
      <c r="C84" s="42" t="str">
        <f aca="false">IF($B84="","",TEXT($B84,"yyyy-mm"))</f>
        <v/>
      </c>
      <c r="D84" s="32"/>
      <c r="E84" s="36"/>
      <c r="F84" s="43"/>
      <c r="G84" s="40"/>
      <c r="H84" s="51"/>
      <c r="I84" s="33"/>
      <c r="J84" s="33"/>
      <c r="K84" s="36"/>
      <c r="L84" s="47" t="str">
        <f aca="false">IF($B84="","",IF(NOT(ISNUMBER($B84)),"日期不是日期格式",IF(YEAR($B84)&lt;&gt;首页!$B$3,"不在会计年度",IF($D84="","未选客户",IF(ISNA(MATCH($D84,基础资料!$Z$6:$Z$155,0)),"客户不在档案",IF($E84="","未选商品",IF(ISNA(MATCH($E84,基础资料!$Q$6:$Q$205,0)),"商品不在档案",IF(NOT(ISNUMBER($F84)),"数量须为数字",IF(NOT(ISNUMBER($G84)),"单价须为数字",IF(N($F84)&lt;=0,"数量须大于0",IF(AND(IFERROR(INDEX(基础资料!$V$6:$V$205,MATCH($E84,基础资料!$Q$6:$Q$205,0)),"")="是",N($R84)=0),"无成本价·请先录采购或填参考成本",IF(N($T84)&lt;0,"毛利为负·请核对","√"))))))))))))</f>
        <v/>
      </c>
      <c r="M84" s="49" t="str">
        <f aca="false">IF($E84="","",IFERROR(INDEX(基础资料!$R$6:$R$205,MATCH($E84,基础资料!$Q$6:$Q$205,0)),""))</f>
        <v/>
      </c>
      <c r="N84" s="49" t="str">
        <f aca="false">IF($E84="","",IFERROR(INDEX(基础资料!$S$6:$S$205,MATCH($E84,基础资料!$Q$6:$Q$205,0)),""))</f>
        <v/>
      </c>
      <c r="O84" s="48" t="str">
        <f aca="false">IF(OR($F84="",$G84=""),"",ROUND(N($F84)*N($G84),2))</f>
        <v/>
      </c>
      <c r="P84" s="48" t="str">
        <f aca="false">IF($O84="","",ROUND(N($O84)*N($H84),2))</f>
        <v/>
      </c>
      <c r="Q84" s="48" t="str">
        <f aca="false">IF($O84="","",N($O84)+N($P84))</f>
        <v/>
      </c>
      <c r="R84" s="48" t="str">
        <f aca="false">IF(OR($E84="",$B84=""),"",IF(IFERROR(INDEX(基础资料!$V$6:$V$205,MATCH($E84,基础资料!$Q$6:$Q$205,0)),"")&lt;&gt;"是",0,IFERROR((SUMIFS(期初数据!$T$6:$T$205,期初数据!$O$6:$O$205,$E84)+SUMIFS(采购录入!$Q$5:$Q$404,采购录入!$E$5:$E$404,$E84,采购录入!$I$5:$I$404,"是",采购录入!$B$5:$B$404,"&lt;="&amp;$B84))/(SUMIFS(期初数据!$R$6:$R$205,期初数据!$O$6:$O$205,$E84)+SUMIFS(采购录入!$F$5:$F$404,采购录入!$E$5:$E$404,$E84,采购录入!$I$5:$I$404,"是",采购录入!$B$5:$B$404,"&lt;="&amp;$B84)),IFERROR(INDEX(基础资料!$U$6:$U$205,MATCH($E84,基础资料!$Q$6:$Q$205,0)),0))))</f>
        <v/>
      </c>
      <c r="S84" s="48" t="str">
        <f aca="false">IF($O84="","",ROUND(N($F84)*N($R84),2))</f>
        <v/>
      </c>
      <c r="T84" s="48" t="str">
        <f aca="false">IF($O84="","",N($O84)-N($S84))</f>
        <v/>
      </c>
      <c r="U84" s="52" t="str">
        <f aca="false">IF(OR($B84="",$D84=""),"",$B84+N(IFERROR(INDEX(基础资料!$AB$6:$AB$155,MATCH($D84,基础资料!$Z$6:$Z$155,0)),0)))</f>
        <v/>
      </c>
      <c r="V84" s="49" t="str">
        <f aca="false">IF($O84="","","1122")</f>
        <v/>
      </c>
      <c r="W84" s="49" t="str">
        <f aca="false">IF($O84="","","6001")</f>
        <v/>
      </c>
      <c r="X84" s="48" t="str">
        <f aca="false">IF($O84="","",$O84)</f>
        <v/>
      </c>
      <c r="Y84" s="49" t="str">
        <f aca="false">IF(N($P84)=0,"","1122")</f>
        <v/>
      </c>
      <c r="Z84" s="49" t="str">
        <f aca="false">IF(N($P84)=0,"","2221")</f>
        <v/>
      </c>
      <c r="AA84" s="48" t="str">
        <f aca="false">IF(N($P84)=0,"",$P84)</f>
        <v/>
      </c>
      <c r="AB84" s="49" t="str">
        <f aca="false">IF(N($S84)=0,"","6401")</f>
        <v/>
      </c>
      <c r="AC84" s="49" t="str">
        <f aca="false">IF(N($S84)=0,"","1405")</f>
        <v/>
      </c>
      <c r="AD84" s="48" t="str">
        <f aca="false">IF(N($S84)=0,"",$S84)</f>
        <v/>
      </c>
      <c r="AE84" s="49" t="str">
        <f aca="false">IF(AND($D84=客户对账单!$B$3,$B84&gt;=客户对账单!$E$3,$B84&lt;=客户对账单!$H$3),COUNTIFS($D$5:$D84,客户对账单!$B$3,$B$5:$B84,"&gt;="&amp;客户对账单!$E$3,$B$5:$B84,"&lt;="&amp;客户对账单!$H$3),"")</f>
        <v/>
      </c>
    </row>
    <row r="85" customFormat="false" ht="15.75" hidden="false" customHeight="true" outlineLevel="0" collapsed="false">
      <c r="A85" s="42" t="str">
        <f aca="false">IF($B85="","","XS"&amp;TEXT($B85,"yyyymm")&amp;"-"&amp;TEXT(ROW()-4,"000"))</f>
        <v/>
      </c>
      <c r="B85" s="41"/>
      <c r="C85" s="42" t="str">
        <f aca="false">IF($B85="","",TEXT($B85,"yyyy-mm"))</f>
        <v/>
      </c>
      <c r="D85" s="32"/>
      <c r="E85" s="36"/>
      <c r="F85" s="43"/>
      <c r="G85" s="40"/>
      <c r="H85" s="51"/>
      <c r="I85" s="33"/>
      <c r="J85" s="33"/>
      <c r="K85" s="36"/>
      <c r="L85" s="47" t="str">
        <f aca="false">IF($B85="","",IF(NOT(ISNUMBER($B85)),"日期不是日期格式",IF(YEAR($B85)&lt;&gt;首页!$B$3,"不在会计年度",IF($D85="","未选客户",IF(ISNA(MATCH($D85,基础资料!$Z$6:$Z$155,0)),"客户不在档案",IF($E85="","未选商品",IF(ISNA(MATCH($E85,基础资料!$Q$6:$Q$205,0)),"商品不在档案",IF(NOT(ISNUMBER($F85)),"数量须为数字",IF(NOT(ISNUMBER($G85)),"单价须为数字",IF(N($F85)&lt;=0,"数量须大于0",IF(AND(IFERROR(INDEX(基础资料!$V$6:$V$205,MATCH($E85,基础资料!$Q$6:$Q$205,0)),"")="是",N($R85)=0),"无成本价·请先录采购或填参考成本",IF(N($T85)&lt;0,"毛利为负·请核对","√"))))))))))))</f>
        <v/>
      </c>
      <c r="M85" s="49" t="str">
        <f aca="false">IF($E85="","",IFERROR(INDEX(基础资料!$R$6:$R$205,MATCH($E85,基础资料!$Q$6:$Q$205,0)),""))</f>
        <v/>
      </c>
      <c r="N85" s="49" t="str">
        <f aca="false">IF($E85="","",IFERROR(INDEX(基础资料!$S$6:$S$205,MATCH($E85,基础资料!$Q$6:$Q$205,0)),""))</f>
        <v/>
      </c>
      <c r="O85" s="48" t="str">
        <f aca="false">IF(OR($F85="",$G85=""),"",ROUND(N($F85)*N($G85),2))</f>
        <v/>
      </c>
      <c r="P85" s="48" t="str">
        <f aca="false">IF($O85="","",ROUND(N($O85)*N($H85),2))</f>
        <v/>
      </c>
      <c r="Q85" s="48" t="str">
        <f aca="false">IF($O85="","",N($O85)+N($P85))</f>
        <v/>
      </c>
      <c r="R85" s="48" t="str">
        <f aca="false">IF(OR($E85="",$B85=""),"",IF(IFERROR(INDEX(基础资料!$V$6:$V$205,MATCH($E85,基础资料!$Q$6:$Q$205,0)),"")&lt;&gt;"是",0,IFERROR((SUMIFS(期初数据!$T$6:$T$205,期初数据!$O$6:$O$205,$E85)+SUMIFS(采购录入!$Q$5:$Q$404,采购录入!$E$5:$E$404,$E85,采购录入!$I$5:$I$404,"是",采购录入!$B$5:$B$404,"&lt;="&amp;$B85))/(SUMIFS(期初数据!$R$6:$R$205,期初数据!$O$6:$O$205,$E85)+SUMIFS(采购录入!$F$5:$F$404,采购录入!$E$5:$E$404,$E85,采购录入!$I$5:$I$404,"是",采购录入!$B$5:$B$404,"&lt;="&amp;$B85)),IFERROR(INDEX(基础资料!$U$6:$U$205,MATCH($E85,基础资料!$Q$6:$Q$205,0)),0))))</f>
        <v/>
      </c>
      <c r="S85" s="48" t="str">
        <f aca="false">IF($O85="","",ROUND(N($F85)*N($R85),2))</f>
        <v/>
      </c>
      <c r="T85" s="48" t="str">
        <f aca="false">IF($O85="","",N($O85)-N($S85))</f>
        <v/>
      </c>
      <c r="U85" s="52" t="str">
        <f aca="false">IF(OR($B85="",$D85=""),"",$B85+N(IFERROR(INDEX(基础资料!$AB$6:$AB$155,MATCH($D85,基础资料!$Z$6:$Z$155,0)),0)))</f>
        <v/>
      </c>
      <c r="V85" s="49" t="str">
        <f aca="false">IF($O85="","","1122")</f>
        <v/>
      </c>
      <c r="W85" s="49" t="str">
        <f aca="false">IF($O85="","","6001")</f>
        <v/>
      </c>
      <c r="X85" s="48" t="str">
        <f aca="false">IF($O85="","",$O85)</f>
        <v/>
      </c>
      <c r="Y85" s="49" t="str">
        <f aca="false">IF(N($P85)=0,"","1122")</f>
        <v/>
      </c>
      <c r="Z85" s="49" t="str">
        <f aca="false">IF(N($P85)=0,"","2221")</f>
        <v/>
      </c>
      <c r="AA85" s="48" t="str">
        <f aca="false">IF(N($P85)=0,"",$P85)</f>
        <v/>
      </c>
      <c r="AB85" s="49" t="str">
        <f aca="false">IF(N($S85)=0,"","6401")</f>
        <v/>
      </c>
      <c r="AC85" s="49" t="str">
        <f aca="false">IF(N($S85)=0,"","1405")</f>
        <v/>
      </c>
      <c r="AD85" s="48" t="str">
        <f aca="false">IF(N($S85)=0,"",$S85)</f>
        <v/>
      </c>
      <c r="AE85" s="49" t="str">
        <f aca="false">IF(AND($D85=客户对账单!$B$3,$B85&gt;=客户对账单!$E$3,$B85&lt;=客户对账单!$H$3),COUNTIFS($D$5:$D85,客户对账单!$B$3,$B$5:$B85,"&gt;="&amp;客户对账单!$E$3,$B$5:$B85,"&lt;="&amp;客户对账单!$H$3),"")</f>
        <v/>
      </c>
    </row>
    <row r="86" customFormat="false" ht="15.75" hidden="false" customHeight="true" outlineLevel="0" collapsed="false">
      <c r="A86" s="42" t="str">
        <f aca="false">IF($B86="","","XS"&amp;TEXT($B86,"yyyymm")&amp;"-"&amp;TEXT(ROW()-4,"000"))</f>
        <v/>
      </c>
      <c r="B86" s="41"/>
      <c r="C86" s="42" t="str">
        <f aca="false">IF($B86="","",TEXT($B86,"yyyy-mm"))</f>
        <v/>
      </c>
      <c r="D86" s="32"/>
      <c r="E86" s="36"/>
      <c r="F86" s="43"/>
      <c r="G86" s="40"/>
      <c r="H86" s="51"/>
      <c r="I86" s="33"/>
      <c r="J86" s="33"/>
      <c r="K86" s="36"/>
      <c r="L86" s="47" t="str">
        <f aca="false">IF($B86="","",IF(NOT(ISNUMBER($B86)),"日期不是日期格式",IF(YEAR($B86)&lt;&gt;首页!$B$3,"不在会计年度",IF($D86="","未选客户",IF(ISNA(MATCH($D86,基础资料!$Z$6:$Z$155,0)),"客户不在档案",IF($E86="","未选商品",IF(ISNA(MATCH($E86,基础资料!$Q$6:$Q$205,0)),"商品不在档案",IF(NOT(ISNUMBER($F86)),"数量须为数字",IF(NOT(ISNUMBER($G86)),"单价须为数字",IF(N($F86)&lt;=0,"数量须大于0",IF(AND(IFERROR(INDEX(基础资料!$V$6:$V$205,MATCH($E86,基础资料!$Q$6:$Q$205,0)),"")="是",N($R86)=0),"无成本价·请先录采购或填参考成本",IF(N($T86)&lt;0,"毛利为负·请核对","√"))))))))))))</f>
        <v/>
      </c>
      <c r="M86" s="49" t="str">
        <f aca="false">IF($E86="","",IFERROR(INDEX(基础资料!$R$6:$R$205,MATCH($E86,基础资料!$Q$6:$Q$205,0)),""))</f>
        <v/>
      </c>
      <c r="N86" s="49" t="str">
        <f aca="false">IF($E86="","",IFERROR(INDEX(基础资料!$S$6:$S$205,MATCH($E86,基础资料!$Q$6:$Q$205,0)),""))</f>
        <v/>
      </c>
      <c r="O86" s="48" t="str">
        <f aca="false">IF(OR($F86="",$G86=""),"",ROUND(N($F86)*N($G86),2))</f>
        <v/>
      </c>
      <c r="P86" s="48" t="str">
        <f aca="false">IF($O86="","",ROUND(N($O86)*N($H86),2))</f>
        <v/>
      </c>
      <c r="Q86" s="48" t="str">
        <f aca="false">IF($O86="","",N($O86)+N($P86))</f>
        <v/>
      </c>
      <c r="R86" s="48" t="str">
        <f aca="false">IF(OR($E86="",$B86=""),"",IF(IFERROR(INDEX(基础资料!$V$6:$V$205,MATCH($E86,基础资料!$Q$6:$Q$205,0)),"")&lt;&gt;"是",0,IFERROR((SUMIFS(期初数据!$T$6:$T$205,期初数据!$O$6:$O$205,$E86)+SUMIFS(采购录入!$Q$5:$Q$404,采购录入!$E$5:$E$404,$E86,采购录入!$I$5:$I$404,"是",采购录入!$B$5:$B$404,"&lt;="&amp;$B86))/(SUMIFS(期初数据!$R$6:$R$205,期初数据!$O$6:$O$205,$E86)+SUMIFS(采购录入!$F$5:$F$404,采购录入!$E$5:$E$404,$E86,采购录入!$I$5:$I$404,"是",采购录入!$B$5:$B$404,"&lt;="&amp;$B86)),IFERROR(INDEX(基础资料!$U$6:$U$205,MATCH($E86,基础资料!$Q$6:$Q$205,0)),0))))</f>
        <v/>
      </c>
      <c r="S86" s="48" t="str">
        <f aca="false">IF($O86="","",ROUND(N($F86)*N($R86),2))</f>
        <v/>
      </c>
      <c r="T86" s="48" t="str">
        <f aca="false">IF($O86="","",N($O86)-N($S86))</f>
        <v/>
      </c>
      <c r="U86" s="52" t="str">
        <f aca="false">IF(OR($B86="",$D86=""),"",$B86+N(IFERROR(INDEX(基础资料!$AB$6:$AB$155,MATCH($D86,基础资料!$Z$6:$Z$155,0)),0)))</f>
        <v/>
      </c>
      <c r="V86" s="49" t="str">
        <f aca="false">IF($O86="","","1122")</f>
        <v/>
      </c>
      <c r="W86" s="49" t="str">
        <f aca="false">IF($O86="","","6001")</f>
        <v/>
      </c>
      <c r="X86" s="48" t="str">
        <f aca="false">IF($O86="","",$O86)</f>
        <v/>
      </c>
      <c r="Y86" s="49" t="str">
        <f aca="false">IF(N($P86)=0,"","1122")</f>
        <v/>
      </c>
      <c r="Z86" s="49" t="str">
        <f aca="false">IF(N($P86)=0,"","2221")</f>
        <v/>
      </c>
      <c r="AA86" s="48" t="str">
        <f aca="false">IF(N($P86)=0,"",$P86)</f>
        <v/>
      </c>
      <c r="AB86" s="49" t="str">
        <f aca="false">IF(N($S86)=0,"","6401")</f>
        <v/>
      </c>
      <c r="AC86" s="49" t="str">
        <f aca="false">IF(N($S86)=0,"","1405")</f>
        <v/>
      </c>
      <c r="AD86" s="48" t="str">
        <f aca="false">IF(N($S86)=0,"",$S86)</f>
        <v/>
      </c>
      <c r="AE86" s="49" t="str">
        <f aca="false">IF(AND($D86=客户对账单!$B$3,$B86&gt;=客户对账单!$E$3,$B86&lt;=客户对账单!$H$3),COUNTIFS($D$5:$D86,客户对账单!$B$3,$B$5:$B86,"&gt;="&amp;客户对账单!$E$3,$B$5:$B86,"&lt;="&amp;客户对账单!$H$3),"")</f>
        <v/>
      </c>
    </row>
    <row r="87" customFormat="false" ht="15.75" hidden="false" customHeight="true" outlineLevel="0" collapsed="false">
      <c r="A87" s="42" t="str">
        <f aca="false">IF($B87="","","XS"&amp;TEXT($B87,"yyyymm")&amp;"-"&amp;TEXT(ROW()-4,"000"))</f>
        <v/>
      </c>
      <c r="B87" s="41"/>
      <c r="C87" s="42" t="str">
        <f aca="false">IF($B87="","",TEXT($B87,"yyyy-mm"))</f>
        <v/>
      </c>
      <c r="D87" s="32"/>
      <c r="E87" s="36"/>
      <c r="F87" s="43"/>
      <c r="G87" s="40"/>
      <c r="H87" s="51"/>
      <c r="I87" s="33"/>
      <c r="J87" s="33"/>
      <c r="K87" s="36"/>
      <c r="L87" s="47" t="str">
        <f aca="false">IF($B87="","",IF(NOT(ISNUMBER($B87)),"日期不是日期格式",IF(YEAR($B87)&lt;&gt;首页!$B$3,"不在会计年度",IF($D87="","未选客户",IF(ISNA(MATCH($D87,基础资料!$Z$6:$Z$155,0)),"客户不在档案",IF($E87="","未选商品",IF(ISNA(MATCH($E87,基础资料!$Q$6:$Q$205,0)),"商品不在档案",IF(NOT(ISNUMBER($F87)),"数量须为数字",IF(NOT(ISNUMBER($G87)),"单价须为数字",IF(N($F87)&lt;=0,"数量须大于0",IF(AND(IFERROR(INDEX(基础资料!$V$6:$V$205,MATCH($E87,基础资料!$Q$6:$Q$205,0)),"")="是",N($R87)=0),"无成本价·请先录采购或填参考成本",IF(N($T87)&lt;0,"毛利为负·请核对","√"))))))))))))</f>
        <v/>
      </c>
      <c r="M87" s="49" t="str">
        <f aca="false">IF($E87="","",IFERROR(INDEX(基础资料!$R$6:$R$205,MATCH($E87,基础资料!$Q$6:$Q$205,0)),""))</f>
        <v/>
      </c>
      <c r="N87" s="49" t="str">
        <f aca="false">IF($E87="","",IFERROR(INDEX(基础资料!$S$6:$S$205,MATCH($E87,基础资料!$Q$6:$Q$205,0)),""))</f>
        <v/>
      </c>
      <c r="O87" s="48" t="str">
        <f aca="false">IF(OR($F87="",$G87=""),"",ROUND(N($F87)*N($G87),2))</f>
        <v/>
      </c>
      <c r="P87" s="48" t="str">
        <f aca="false">IF($O87="","",ROUND(N($O87)*N($H87),2))</f>
        <v/>
      </c>
      <c r="Q87" s="48" t="str">
        <f aca="false">IF($O87="","",N($O87)+N($P87))</f>
        <v/>
      </c>
      <c r="R87" s="48" t="str">
        <f aca="false">IF(OR($E87="",$B87=""),"",IF(IFERROR(INDEX(基础资料!$V$6:$V$205,MATCH($E87,基础资料!$Q$6:$Q$205,0)),"")&lt;&gt;"是",0,IFERROR((SUMIFS(期初数据!$T$6:$T$205,期初数据!$O$6:$O$205,$E87)+SUMIFS(采购录入!$Q$5:$Q$404,采购录入!$E$5:$E$404,$E87,采购录入!$I$5:$I$404,"是",采购录入!$B$5:$B$404,"&lt;="&amp;$B87))/(SUMIFS(期初数据!$R$6:$R$205,期初数据!$O$6:$O$205,$E87)+SUMIFS(采购录入!$F$5:$F$404,采购录入!$E$5:$E$404,$E87,采购录入!$I$5:$I$404,"是",采购录入!$B$5:$B$404,"&lt;="&amp;$B87)),IFERROR(INDEX(基础资料!$U$6:$U$205,MATCH($E87,基础资料!$Q$6:$Q$205,0)),0))))</f>
        <v/>
      </c>
      <c r="S87" s="48" t="str">
        <f aca="false">IF($O87="","",ROUND(N($F87)*N($R87),2))</f>
        <v/>
      </c>
      <c r="T87" s="48" t="str">
        <f aca="false">IF($O87="","",N($O87)-N($S87))</f>
        <v/>
      </c>
      <c r="U87" s="52" t="str">
        <f aca="false">IF(OR($B87="",$D87=""),"",$B87+N(IFERROR(INDEX(基础资料!$AB$6:$AB$155,MATCH($D87,基础资料!$Z$6:$Z$155,0)),0)))</f>
        <v/>
      </c>
      <c r="V87" s="49" t="str">
        <f aca="false">IF($O87="","","1122")</f>
        <v/>
      </c>
      <c r="W87" s="49" t="str">
        <f aca="false">IF($O87="","","6001")</f>
        <v/>
      </c>
      <c r="X87" s="48" t="str">
        <f aca="false">IF($O87="","",$O87)</f>
        <v/>
      </c>
      <c r="Y87" s="49" t="str">
        <f aca="false">IF(N($P87)=0,"","1122")</f>
        <v/>
      </c>
      <c r="Z87" s="49" t="str">
        <f aca="false">IF(N($P87)=0,"","2221")</f>
        <v/>
      </c>
      <c r="AA87" s="48" t="str">
        <f aca="false">IF(N($P87)=0,"",$P87)</f>
        <v/>
      </c>
      <c r="AB87" s="49" t="str">
        <f aca="false">IF(N($S87)=0,"","6401")</f>
        <v/>
      </c>
      <c r="AC87" s="49" t="str">
        <f aca="false">IF(N($S87)=0,"","1405")</f>
        <v/>
      </c>
      <c r="AD87" s="48" t="str">
        <f aca="false">IF(N($S87)=0,"",$S87)</f>
        <v/>
      </c>
      <c r="AE87" s="49" t="str">
        <f aca="false">IF(AND($D87=客户对账单!$B$3,$B87&gt;=客户对账单!$E$3,$B87&lt;=客户对账单!$H$3),COUNTIFS($D$5:$D87,客户对账单!$B$3,$B$5:$B87,"&gt;="&amp;客户对账单!$E$3,$B$5:$B87,"&lt;="&amp;客户对账单!$H$3),"")</f>
        <v/>
      </c>
    </row>
    <row r="88" customFormat="false" ht="15.75" hidden="false" customHeight="true" outlineLevel="0" collapsed="false">
      <c r="A88" s="42" t="str">
        <f aca="false">IF($B88="","","XS"&amp;TEXT($B88,"yyyymm")&amp;"-"&amp;TEXT(ROW()-4,"000"))</f>
        <v/>
      </c>
      <c r="B88" s="41"/>
      <c r="C88" s="42" t="str">
        <f aca="false">IF($B88="","",TEXT($B88,"yyyy-mm"))</f>
        <v/>
      </c>
      <c r="D88" s="32"/>
      <c r="E88" s="36"/>
      <c r="F88" s="43"/>
      <c r="G88" s="40"/>
      <c r="H88" s="51"/>
      <c r="I88" s="33"/>
      <c r="J88" s="33"/>
      <c r="K88" s="36"/>
      <c r="L88" s="47" t="str">
        <f aca="false">IF($B88="","",IF(NOT(ISNUMBER($B88)),"日期不是日期格式",IF(YEAR($B88)&lt;&gt;首页!$B$3,"不在会计年度",IF($D88="","未选客户",IF(ISNA(MATCH($D88,基础资料!$Z$6:$Z$155,0)),"客户不在档案",IF($E88="","未选商品",IF(ISNA(MATCH($E88,基础资料!$Q$6:$Q$205,0)),"商品不在档案",IF(NOT(ISNUMBER($F88)),"数量须为数字",IF(NOT(ISNUMBER($G88)),"单价须为数字",IF(N($F88)&lt;=0,"数量须大于0",IF(AND(IFERROR(INDEX(基础资料!$V$6:$V$205,MATCH($E88,基础资料!$Q$6:$Q$205,0)),"")="是",N($R88)=0),"无成本价·请先录采购或填参考成本",IF(N($T88)&lt;0,"毛利为负·请核对","√"))))))))))))</f>
        <v/>
      </c>
      <c r="M88" s="49" t="str">
        <f aca="false">IF($E88="","",IFERROR(INDEX(基础资料!$R$6:$R$205,MATCH($E88,基础资料!$Q$6:$Q$205,0)),""))</f>
        <v/>
      </c>
      <c r="N88" s="49" t="str">
        <f aca="false">IF($E88="","",IFERROR(INDEX(基础资料!$S$6:$S$205,MATCH($E88,基础资料!$Q$6:$Q$205,0)),""))</f>
        <v/>
      </c>
      <c r="O88" s="48" t="str">
        <f aca="false">IF(OR($F88="",$G88=""),"",ROUND(N($F88)*N($G88),2))</f>
        <v/>
      </c>
      <c r="P88" s="48" t="str">
        <f aca="false">IF($O88="","",ROUND(N($O88)*N($H88),2))</f>
        <v/>
      </c>
      <c r="Q88" s="48" t="str">
        <f aca="false">IF($O88="","",N($O88)+N($P88))</f>
        <v/>
      </c>
      <c r="R88" s="48" t="str">
        <f aca="false">IF(OR($E88="",$B88=""),"",IF(IFERROR(INDEX(基础资料!$V$6:$V$205,MATCH($E88,基础资料!$Q$6:$Q$205,0)),"")&lt;&gt;"是",0,IFERROR((SUMIFS(期初数据!$T$6:$T$205,期初数据!$O$6:$O$205,$E88)+SUMIFS(采购录入!$Q$5:$Q$404,采购录入!$E$5:$E$404,$E88,采购录入!$I$5:$I$404,"是",采购录入!$B$5:$B$404,"&lt;="&amp;$B88))/(SUMIFS(期初数据!$R$6:$R$205,期初数据!$O$6:$O$205,$E88)+SUMIFS(采购录入!$F$5:$F$404,采购录入!$E$5:$E$404,$E88,采购录入!$I$5:$I$404,"是",采购录入!$B$5:$B$404,"&lt;="&amp;$B88)),IFERROR(INDEX(基础资料!$U$6:$U$205,MATCH($E88,基础资料!$Q$6:$Q$205,0)),0))))</f>
        <v/>
      </c>
      <c r="S88" s="48" t="str">
        <f aca="false">IF($O88="","",ROUND(N($F88)*N($R88),2))</f>
        <v/>
      </c>
      <c r="T88" s="48" t="str">
        <f aca="false">IF($O88="","",N($O88)-N($S88))</f>
        <v/>
      </c>
      <c r="U88" s="52" t="str">
        <f aca="false">IF(OR($B88="",$D88=""),"",$B88+N(IFERROR(INDEX(基础资料!$AB$6:$AB$155,MATCH($D88,基础资料!$Z$6:$Z$155,0)),0)))</f>
        <v/>
      </c>
      <c r="V88" s="49" t="str">
        <f aca="false">IF($O88="","","1122")</f>
        <v/>
      </c>
      <c r="W88" s="49" t="str">
        <f aca="false">IF($O88="","","6001")</f>
        <v/>
      </c>
      <c r="X88" s="48" t="str">
        <f aca="false">IF($O88="","",$O88)</f>
        <v/>
      </c>
      <c r="Y88" s="49" t="str">
        <f aca="false">IF(N($P88)=0,"","1122")</f>
        <v/>
      </c>
      <c r="Z88" s="49" t="str">
        <f aca="false">IF(N($P88)=0,"","2221")</f>
        <v/>
      </c>
      <c r="AA88" s="48" t="str">
        <f aca="false">IF(N($P88)=0,"",$P88)</f>
        <v/>
      </c>
      <c r="AB88" s="49" t="str">
        <f aca="false">IF(N($S88)=0,"","6401")</f>
        <v/>
      </c>
      <c r="AC88" s="49" t="str">
        <f aca="false">IF(N($S88)=0,"","1405")</f>
        <v/>
      </c>
      <c r="AD88" s="48" t="str">
        <f aca="false">IF(N($S88)=0,"",$S88)</f>
        <v/>
      </c>
      <c r="AE88" s="49" t="str">
        <f aca="false">IF(AND($D88=客户对账单!$B$3,$B88&gt;=客户对账单!$E$3,$B88&lt;=客户对账单!$H$3),COUNTIFS($D$5:$D88,客户对账单!$B$3,$B$5:$B88,"&gt;="&amp;客户对账单!$E$3,$B$5:$B88,"&lt;="&amp;客户对账单!$H$3),"")</f>
        <v/>
      </c>
    </row>
    <row r="89" customFormat="false" ht="15.75" hidden="false" customHeight="true" outlineLevel="0" collapsed="false">
      <c r="A89" s="42" t="str">
        <f aca="false">IF($B89="","","XS"&amp;TEXT($B89,"yyyymm")&amp;"-"&amp;TEXT(ROW()-4,"000"))</f>
        <v/>
      </c>
      <c r="B89" s="41"/>
      <c r="C89" s="42" t="str">
        <f aca="false">IF($B89="","",TEXT($B89,"yyyy-mm"))</f>
        <v/>
      </c>
      <c r="D89" s="32"/>
      <c r="E89" s="36"/>
      <c r="F89" s="43"/>
      <c r="G89" s="40"/>
      <c r="H89" s="51"/>
      <c r="I89" s="33"/>
      <c r="J89" s="33"/>
      <c r="K89" s="36"/>
      <c r="L89" s="47" t="str">
        <f aca="false">IF($B89="","",IF(NOT(ISNUMBER($B89)),"日期不是日期格式",IF(YEAR($B89)&lt;&gt;首页!$B$3,"不在会计年度",IF($D89="","未选客户",IF(ISNA(MATCH($D89,基础资料!$Z$6:$Z$155,0)),"客户不在档案",IF($E89="","未选商品",IF(ISNA(MATCH($E89,基础资料!$Q$6:$Q$205,0)),"商品不在档案",IF(NOT(ISNUMBER($F89)),"数量须为数字",IF(NOT(ISNUMBER($G89)),"单价须为数字",IF(N($F89)&lt;=0,"数量须大于0",IF(AND(IFERROR(INDEX(基础资料!$V$6:$V$205,MATCH($E89,基础资料!$Q$6:$Q$205,0)),"")="是",N($R89)=0),"无成本价·请先录采购或填参考成本",IF(N($T89)&lt;0,"毛利为负·请核对","√"))))))))))))</f>
        <v/>
      </c>
      <c r="M89" s="49" t="str">
        <f aca="false">IF($E89="","",IFERROR(INDEX(基础资料!$R$6:$R$205,MATCH($E89,基础资料!$Q$6:$Q$205,0)),""))</f>
        <v/>
      </c>
      <c r="N89" s="49" t="str">
        <f aca="false">IF($E89="","",IFERROR(INDEX(基础资料!$S$6:$S$205,MATCH($E89,基础资料!$Q$6:$Q$205,0)),""))</f>
        <v/>
      </c>
      <c r="O89" s="48" t="str">
        <f aca="false">IF(OR($F89="",$G89=""),"",ROUND(N($F89)*N($G89),2))</f>
        <v/>
      </c>
      <c r="P89" s="48" t="str">
        <f aca="false">IF($O89="","",ROUND(N($O89)*N($H89),2))</f>
        <v/>
      </c>
      <c r="Q89" s="48" t="str">
        <f aca="false">IF($O89="","",N($O89)+N($P89))</f>
        <v/>
      </c>
      <c r="R89" s="48" t="str">
        <f aca="false">IF(OR($E89="",$B89=""),"",IF(IFERROR(INDEX(基础资料!$V$6:$V$205,MATCH($E89,基础资料!$Q$6:$Q$205,0)),"")&lt;&gt;"是",0,IFERROR((SUMIFS(期初数据!$T$6:$T$205,期初数据!$O$6:$O$205,$E89)+SUMIFS(采购录入!$Q$5:$Q$404,采购录入!$E$5:$E$404,$E89,采购录入!$I$5:$I$404,"是",采购录入!$B$5:$B$404,"&lt;="&amp;$B89))/(SUMIFS(期初数据!$R$6:$R$205,期初数据!$O$6:$O$205,$E89)+SUMIFS(采购录入!$F$5:$F$404,采购录入!$E$5:$E$404,$E89,采购录入!$I$5:$I$404,"是",采购录入!$B$5:$B$404,"&lt;="&amp;$B89)),IFERROR(INDEX(基础资料!$U$6:$U$205,MATCH($E89,基础资料!$Q$6:$Q$205,0)),0))))</f>
        <v/>
      </c>
      <c r="S89" s="48" t="str">
        <f aca="false">IF($O89="","",ROUND(N($F89)*N($R89),2))</f>
        <v/>
      </c>
      <c r="T89" s="48" t="str">
        <f aca="false">IF($O89="","",N($O89)-N($S89))</f>
        <v/>
      </c>
      <c r="U89" s="52" t="str">
        <f aca="false">IF(OR($B89="",$D89=""),"",$B89+N(IFERROR(INDEX(基础资料!$AB$6:$AB$155,MATCH($D89,基础资料!$Z$6:$Z$155,0)),0)))</f>
        <v/>
      </c>
      <c r="V89" s="49" t="str">
        <f aca="false">IF($O89="","","1122")</f>
        <v/>
      </c>
      <c r="W89" s="49" t="str">
        <f aca="false">IF($O89="","","6001")</f>
        <v/>
      </c>
      <c r="X89" s="48" t="str">
        <f aca="false">IF($O89="","",$O89)</f>
        <v/>
      </c>
      <c r="Y89" s="49" t="str">
        <f aca="false">IF(N($P89)=0,"","1122")</f>
        <v/>
      </c>
      <c r="Z89" s="49" t="str">
        <f aca="false">IF(N($P89)=0,"","2221")</f>
        <v/>
      </c>
      <c r="AA89" s="48" t="str">
        <f aca="false">IF(N($P89)=0,"",$P89)</f>
        <v/>
      </c>
      <c r="AB89" s="49" t="str">
        <f aca="false">IF(N($S89)=0,"","6401")</f>
        <v/>
      </c>
      <c r="AC89" s="49" t="str">
        <f aca="false">IF(N($S89)=0,"","1405")</f>
        <v/>
      </c>
      <c r="AD89" s="48" t="str">
        <f aca="false">IF(N($S89)=0,"",$S89)</f>
        <v/>
      </c>
      <c r="AE89" s="49" t="str">
        <f aca="false">IF(AND($D89=客户对账单!$B$3,$B89&gt;=客户对账单!$E$3,$B89&lt;=客户对账单!$H$3),COUNTIFS($D$5:$D89,客户对账单!$B$3,$B$5:$B89,"&gt;="&amp;客户对账单!$E$3,$B$5:$B89,"&lt;="&amp;客户对账单!$H$3),"")</f>
        <v/>
      </c>
    </row>
    <row r="90" customFormat="false" ht="15.75" hidden="false" customHeight="true" outlineLevel="0" collapsed="false">
      <c r="A90" s="42" t="str">
        <f aca="false">IF($B90="","","XS"&amp;TEXT($B90,"yyyymm")&amp;"-"&amp;TEXT(ROW()-4,"000"))</f>
        <v/>
      </c>
      <c r="B90" s="41"/>
      <c r="C90" s="42" t="str">
        <f aca="false">IF($B90="","",TEXT($B90,"yyyy-mm"))</f>
        <v/>
      </c>
      <c r="D90" s="32"/>
      <c r="E90" s="36"/>
      <c r="F90" s="43"/>
      <c r="G90" s="40"/>
      <c r="H90" s="51"/>
      <c r="I90" s="33"/>
      <c r="J90" s="33"/>
      <c r="K90" s="36"/>
      <c r="L90" s="47" t="str">
        <f aca="false">IF($B90="","",IF(NOT(ISNUMBER($B90)),"日期不是日期格式",IF(YEAR($B90)&lt;&gt;首页!$B$3,"不在会计年度",IF($D90="","未选客户",IF(ISNA(MATCH($D90,基础资料!$Z$6:$Z$155,0)),"客户不在档案",IF($E90="","未选商品",IF(ISNA(MATCH($E90,基础资料!$Q$6:$Q$205,0)),"商品不在档案",IF(NOT(ISNUMBER($F90)),"数量须为数字",IF(NOT(ISNUMBER($G90)),"单价须为数字",IF(N($F90)&lt;=0,"数量须大于0",IF(AND(IFERROR(INDEX(基础资料!$V$6:$V$205,MATCH($E90,基础资料!$Q$6:$Q$205,0)),"")="是",N($R90)=0),"无成本价·请先录采购或填参考成本",IF(N($T90)&lt;0,"毛利为负·请核对","√"))))))))))))</f>
        <v/>
      </c>
      <c r="M90" s="49" t="str">
        <f aca="false">IF($E90="","",IFERROR(INDEX(基础资料!$R$6:$R$205,MATCH($E90,基础资料!$Q$6:$Q$205,0)),""))</f>
        <v/>
      </c>
      <c r="N90" s="49" t="str">
        <f aca="false">IF($E90="","",IFERROR(INDEX(基础资料!$S$6:$S$205,MATCH($E90,基础资料!$Q$6:$Q$205,0)),""))</f>
        <v/>
      </c>
      <c r="O90" s="48" t="str">
        <f aca="false">IF(OR($F90="",$G90=""),"",ROUND(N($F90)*N($G90),2))</f>
        <v/>
      </c>
      <c r="P90" s="48" t="str">
        <f aca="false">IF($O90="","",ROUND(N($O90)*N($H90),2))</f>
        <v/>
      </c>
      <c r="Q90" s="48" t="str">
        <f aca="false">IF($O90="","",N($O90)+N($P90))</f>
        <v/>
      </c>
      <c r="R90" s="48" t="str">
        <f aca="false">IF(OR($E90="",$B90=""),"",IF(IFERROR(INDEX(基础资料!$V$6:$V$205,MATCH($E90,基础资料!$Q$6:$Q$205,0)),"")&lt;&gt;"是",0,IFERROR((SUMIFS(期初数据!$T$6:$T$205,期初数据!$O$6:$O$205,$E90)+SUMIFS(采购录入!$Q$5:$Q$404,采购录入!$E$5:$E$404,$E90,采购录入!$I$5:$I$404,"是",采购录入!$B$5:$B$404,"&lt;="&amp;$B90))/(SUMIFS(期初数据!$R$6:$R$205,期初数据!$O$6:$O$205,$E90)+SUMIFS(采购录入!$F$5:$F$404,采购录入!$E$5:$E$404,$E90,采购录入!$I$5:$I$404,"是",采购录入!$B$5:$B$404,"&lt;="&amp;$B90)),IFERROR(INDEX(基础资料!$U$6:$U$205,MATCH($E90,基础资料!$Q$6:$Q$205,0)),0))))</f>
        <v/>
      </c>
      <c r="S90" s="48" t="str">
        <f aca="false">IF($O90="","",ROUND(N($F90)*N($R90),2))</f>
        <v/>
      </c>
      <c r="T90" s="48" t="str">
        <f aca="false">IF($O90="","",N($O90)-N($S90))</f>
        <v/>
      </c>
      <c r="U90" s="52" t="str">
        <f aca="false">IF(OR($B90="",$D90=""),"",$B90+N(IFERROR(INDEX(基础资料!$AB$6:$AB$155,MATCH($D90,基础资料!$Z$6:$Z$155,0)),0)))</f>
        <v/>
      </c>
      <c r="V90" s="49" t="str">
        <f aca="false">IF($O90="","","1122")</f>
        <v/>
      </c>
      <c r="W90" s="49" t="str">
        <f aca="false">IF($O90="","","6001")</f>
        <v/>
      </c>
      <c r="X90" s="48" t="str">
        <f aca="false">IF($O90="","",$O90)</f>
        <v/>
      </c>
      <c r="Y90" s="49" t="str">
        <f aca="false">IF(N($P90)=0,"","1122")</f>
        <v/>
      </c>
      <c r="Z90" s="49" t="str">
        <f aca="false">IF(N($P90)=0,"","2221")</f>
        <v/>
      </c>
      <c r="AA90" s="48" t="str">
        <f aca="false">IF(N($P90)=0,"",$P90)</f>
        <v/>
      </c>
      <c r="AB90" s="49" t="str">
        <f aca="false">IF(N($S90)=0,"","6401")</f>
        <v/>
      </c>
      <c r="AC90" s="49" t="str">
        <f aca="false">IF(N($S90)=0,"","1405")</f>
        <v/>
      </c>
      <c r="AD90" s="48" t="str">
        <f aca="false">IF(N($S90)=0,"",$S90)</f>
        <v/>
      </c>
      <c r="AE90" s="49" t="str">
        <f aca="false">IF(AND($D90=客户对账单!$B$3,$B90&gt;=客户对账单!$E$3,$B90&lt;=客户对账单!$H$3),COUNTIFS($D$5:$D90,客户对账单!$B$3,$B$5:$B90,"&gt;="&amp;客户对账单!$E$3,$B$5:$B90,"&lt;="&amp;客户对账单!$H$3),"")</f>
        <v/>
      </c>
    </row>
    <row r="91" customFormat="false" ht="15.75" hidden="false" customHeight="true" outlineLevel="0" collapsed="false">
      <c r="A91" s="42" t="str">
        <f aca="false">IF($B91="","","XS"&amp;TEXT($B91,"yyyymm")&amp;"-"&amp;TEXT(ROW()-4,"000"))</f>
        <v/>
      </c>
      <c r="B91" s="41"/>
      <c r="C91" s="42" t="str">
        <f aca="false">IF($B91="","",TEXT($B91,"yyyy-mm"))</f>
        <v/>
      </c>
      <c r="D91" s="32"/>
      <c r="E91" s="36"/>
      <c r="F91" s="43"/>
      <c r="G91" s="40"/>
      <c r="H91" s="51"/>
      <c r="I91" s="33"/>
      <c r="J91" s="33"/>
      <c r="K91" s="36"/>
      <c r="L91" s="47" t="str">
        <f aca="false">IF($B91="","",IF(NOT(ISNUMBER($B91)),"日期不是日期格式",IF(YEAR($B91)&lt;&gt;首页!$B$3,"不在会计年度",IF($D91="","未选客户",IF(ISNA(MATCH($D91,基础资料!$Z$6:$Z$155,0)),"客户不在档案",IF($E91="","未选商品",IF(ISNA(MATCH($E91,基础资料!$Q$6:$Q$205,0)),"商品不在档案",IF(NOT(ISNUMBER($F91)),"数量须为数字",IF(NOT(ISNUMBER($G91)),"单价须为数字",IF(N($F91)&lt;=0,"数量须大于0",IF(AND(IFERROR(INDEX(基础资料!$V$6:$V$205,MATCH($E91,基础资料!$Q$6:$Q$205,0)),"")="是",N($R91)=0),"无成本价·请先录采购或填参考成本",IF(N($T91)&lt;0,"毛利为负·请核对","√"))))))))))))</f>
        <v/>
      </c>
      <c r="M91" s="49" t="str">
        <f aca="false">IF($E91="","",IFERROR(INDEX(基础资料!$R$6:$R$205,MATCH($E91,基础资料!$Q$6:$Q$205,0)),""))</f>
        <v/>
      </c>
      <c r="N91" s="49" t="str">
        <f aca="false">IF($E91="","",IFERROR(INDEX(基础资料!$S$6:$S$205,MATCH($E91,基础资料!$Q$6:$Q$205,0)),""))</f>
        <v/>
      </c>
      <c r="O91" s="48" t="str">
        <f aca="false">IF(OR($F91="",$G91=""),"",ROUND(N($F91)*N($G91),2))</f>
        <v/>
      </c>
      <c r="P91" s="48" t="str">
        <f aca="false">IF($O91="","",ROUND(N($O91)*N($H91),2))</f>
        <v/>
      </c>
      <c r="Q91" s="48" t="str">
        <f aca="false">IF($O91="","",N($O91)+N($P91))</f>
        <v/>
      </c>
      <c r="R91" s="48" t="str">
        <f aca="false">IF(OR($E91="",$B91=""),"",IF(IFERROR(INDEX(基础资料!$V$6:$V$205,MATCH($E91,基础资料!$Q$6:$Q$205,0)),"")&lt;&gt;"是",0,IFERROR((SUMIFS(期初数据!$T$6:$T$205,期初数据!$O$6:$O$205,$E91)+SUMIFS(采购录入!$Q$5:$Q$404,采购录入!$E$5:$E$404,$E91,采购录入!$I$5:$I$404,"是",采购录入!$B$5:$B$404,"&lt;="&amp;$B91))/(SUMIFS(期初数据!$R$6:$R$205,期初数据!$O$6:$O$205,$E91)+SUMIFS(采购录入!$F$5:$F$404,采购录入!$E$5:$E$404,$E91,采购录入!$I$5:$I$404,"是",采购录入!$B$5:$B$404,"&lt;="&amp;$B91)),IFERROR(INDEX(基础资料!$U$6:$U$205,MATCH($E91,基础资料!$Q$6:$Q$205,0)),0))))</f>
        <v/>
      </c>
      <c r="S91" s="48" t="str">
        <f aca="false">IF($O91="","",ROUND(N($F91)*N($R91),2))</f>
        <v/>
      </c>
      <c r="T91" s="48" t="str">
        <f aca="false">IF($O91="","",N($O91)-N($S91))</f>
        <v/>
      </c>
      <c r="U91" s="52" t="str">
        <f aca="false">IF(OR($B91="",$D91=""),"",$B91+N(IFERROR(INDEX(基础资料!$AB$6:$AB$155,MATCH($D91,基础资料!$Z$6:$Z$155,0)),0)))</f>
        <v/>
      </c>
      <c r="V91" s="49" t="str">
        <f aca="false">IF($O91="","","1122")</f>
        <v/>
      </c>
      <c r="W91" s="49" t="str">
        <f aca="false">IF($O91="","","6001")</f>
        <v/>
      </c>
      <c r="X91" s="48" t="str">
        <f aca="false">IF($O91="","",$O91)</f>
        <v/>
      </c>
      <c r="Y91" s="49" t="str">
        <f aca="false">IF(N($P91)=0,"","1122")</f>
        <v/>
      </c>
      <c r="Z91" s="49" t="str">
        <f aca="false">IF(N($P91)=0,"","2221")</f>
        <v/>
      </c>
      <c r="AA91" s="48" t="str">
        <f aca="false">IF(N($P91)=0,"",$P91)</f>
        <v/>
      </c>
      <c r="AB91" s="49" t="str">
        <f aca="false">IF(N($S91)=0,"","6401")</f>
        <v/>
      </c>
      <c r="AC91" s="49" t="str">
        <f aca="false">IF(N($S91)=0,"","1405")</f>
        <v/>
      </c>
      <c r="AD91" s="48" t="str">
        <f aca="false">IF(N($S91)=0,"",$S91)</f>
        <v/>
      </c>
      <c r="AE91" s="49" t="str">
        <f aca="false">IF(AND($D91=客户对账单!$B$3,$B91&gt;=客户对账单!$E$3,$B91&lt;=客户对账单!$H$3),COUNTIFS($D$5:$D91,客户对账单!$B$3,$B$5:$B91,"&gt;="&amp;客户对账单!$E$3,$B$5:$B91,"&lt;="&amp;客户对账单!$H$3),"")</f>
        <v/>
      </c>
    </row>
    <row r="92" customFormat="false" ht="15.75" hidden="false" customHeight="true" outlineLevel="0" collapsed="false">
      <c r="A92" s="42" t="str">
        <f aca="false">IF($B92="","","XS"&amp;TEXT($B92,"yyyymm")&amp;"-"&amp;TEXT(ROW()-4,"000"))</f>
        <v/>
      </c>
      <c r="B92" s="41"/>
      <c r="C92" s="42" t="str">
        <f aca="false">IF($B92="","",TEXT($B92,"yyyy-mm"))</f>
        <v/>
      </c>
      <c r="D92" s="32"/>
      <c r="E92" s="36"/>
      <c r="F92" s="43"/>
      <c r="G92" s="40"/>
      <c r="H92" s="51"/>
      <c r="I92" s="33"/>
      <c r="J92" s="33"/>
      <c r="K92" s="36"/>
      <c r="L92" s="47" t="str">
        <f aca="false">IF($B92="","",IF(NOT(ISNUMBER($B92)),"日期不是日期格式",IF(YEAR($B92)&lt;&gt;首页!$B$3,"不在会计年度",IF($D92="","未选客户",IF(ISNA(MATCH($D92,基础资料!$Z$6:$Z$155,0)),"客户不在档案",IF($E92="","未选商品",IF(ISNA(MATCH($E92,基础资料!$Q$6:$Q$205,0)),"商品不在档案",IF(NOT(ISNUMBER($F92)),"数量须为数字",IF(NOT(ISNUMBER($G92)),"单价须为数字",IF(N($F92)&lt;=0,"数量须大于0",IF(AND(IFERROR(INDEX(基础资料!$V$6:$V$205,MATCH($E92,基础资料!$Q$6:$Q$205,0)),"")="是",N($R92)=0),"无成本价·请先录采购或填参考成本",IF(N($T92)&lt;0,"毛利为负·请核对","√"))))))))))))</f>
        <v/>
      </c>
      <c r="M92" s="49" t="str">
        <f aca="false">IF($E92="","",IFERROR(INDEX(基础资料!$R$6:$R$205,MATCH($E92,基础资料!$Q$6:$Q$205,0)),""))</f>
        <v/>
      </c>
      <c r="N92" s="49" t="str">
        <f aca="false">IF($E92="","",IFERROR(INDEX(基础资料!$S$6:$S$205,MATCH($E92,基础资料!$Q$6:$Q$205,0)),""))</f>
        <v/>
      </c>
      <c r="O92" s="48" t="str">
        <f aca="false">IF(OR($F92="",$G92=""),"",ROUND(N($F92)*N($G92),2))</f>
        <v/>
      </c>
      <c r="P92" s="48" t="str">
        <f aca="false">IF($O92="","",ROUND(N($O92)*N($H92),2))</f>
        <v/>
      </c>
      <c r="Q92" s="48" t="str">
        <f aca="false">IF($O92="","",N($O92)+N($P92))</f>
        <v/>
      </c>
      <c r="R92" s="48" t="str">
        <f aca="false">IF(OR($E92="",$B92=""),"",IF(IFERROR(INDEX(基础资料!$V$6:$V$205,MATCH($E92,基础资料!$Q$6:$Q$205,0)),"")&lt;&gt;"是",0,IFERROR((SUMIFS(期初数据!$T$6:$T$205,期初数据!$O$6:$O$205,$E92)+SUMIFS(采购录入!$Q$5:$Q$404,采购录入!$E$5:$E$404,$E92,采购录入!$I$5:$I$404,"是",采购录入!$B$5:$B$404,"&lt;="&amp;$B92))/(SUMIFS(期初数据!$R$6:$R$205,期初数据!$O$6:$O$205,$E92)+SUMIFS(采购录入!$F$5:$F$404,采购录入!$E$5:$E$404,$E92,采购录入!$I$5:$I$404,"是",采购录入!$B$5:$B$404,"&lt;="&amp;$B92)),IFERROR(INDEX(基础资料!$U$6:$U$205,MATCH($E92,基础资料!$Q$6:$Q$205,0)),0))))</f>
        <v/>
      </c>
      <c r="S92" s="48" t="str">
        <f aca="false">IF($O92="","",ROUND(N($F92)*N($R92),2))</f>
        <v/>
      </c>
      <c r="T92" s="48" t="str">
        <f aca="false">IF($O92="","",N($O92)-N($S92))</f>
        <v/>
      </c>
      <c r="U92" s="52" t="str">
        <f aca="false">IF(OR($B92="",$D92=""),"",$B92+N(IFERROR(INDEX(基础资料!$AB$6:$AB$155,MATCH($D92,基础资料!$Z$6:$Z$155,0)),0)))</f>
        <v/>
      </c>
      <c r="V92" s="49" t="str">
        <f aca="false">IF($O92="","","1122")</f>
        <v/>
      </c>
      <c r="W92" s="49" t="str">
        <f aca="false">IF($O92="","","6001")</f>
        <v/>
      </c>
      <c r="X92" s="48" t="str">
        <f aca="false">IF($O92="","",$O92)</f>
        <v/>
      </c>
      <c r="Y92" s="49" t="str">
        <f aca="false">IF(N($P92)=0,"","1122")</f>
        <v/>
      </c>
      <c r="Z92" s="49" t="str">
        <f aca="false">IF(N($P92)=0,"","2221")</f>
        <v/>
      </c>
      <c r="AA92" s="48" t="str">
        <f aca="false">IF(N($P92)=0,"",$P92)</f>
        <v/>
      </c>
      <c r="AB92" s="49" t="str">
        <f aca="false">IF(N($S92)=0,"","6401")</f>
        <v/>
      </c>
      <c r="AC92" s="49" t="str">
        <f aca="false">IF(N($S92)=0,"","1405")</f>
        <v/>
      </c>
      <c r="AD92" s="48" t="str">
        <f aca="false">IF(N($S92)=0,"",$S92)</f>
        <v/>
      </c>
      <c r="AE92" s="49" t="str">
        <f aca="false">IF(AND($D92=客户对账单!$B$3,$B92&gt;=客户对账单!$E$3,$B92&lt;=客户对账单!$H$3),COUNTIFS($D$5:$D92,客户对账单!$B$3,$B$5:$B92,"&gt;="&amp;客户对账单!$E$3,$B$5:$B92,"&lt;="&amp;客户对账单!$H$3),"")</f>
        <v/>
      </c>
    </row>
    <row r="93" customFormat="false" ht="15.75" hidden="false" customHeight="true" outlineLevel="0" collapsed="false">
      <c r="A93" s="42" t="str">
        <f aca="false">IF($B93="","","XS"&amp;TEXT($B93,"yyyymm")&amp;"-"&amp;TEXT(ROW()-4,"000"))</f>
        <v/>
      </c>
      <c r="B93" s="41"/>
      <c r="C93" s="42" t="str">
        <f aca="false">IF($B93="","",TEXT($B93,"yyyy-mm"))</f>
        <v/>
      </c>
      <c r="D93" s="32"/>
      <c r="E93" s="36"/>
      <c r="F93" s="43"/>
      <c r="G93" s="40"/>
      <c r="H93" s="51"/>
      <c r="I93" s="33"/>
      <c r="J93" s="33"/>
      <c r="K93" s="36"/>
      <c r="L93" s="47" t="str">
        <f aca="false">IF($B93="","",IF(NOT(ISNUMBER($B93)),"日期不是日期格式",IF(YEAR($B93)&lt;&gt;首页!$B$3,"不在会计年度",IF($D93="","未选客户",IF(ISNA(MATCH($D93,基础资料!$Z$6:$Z$155,0)),"客户不在档案",IF($E93="","未选商品",IF(ISNA(MATCH($E93,基础资料!$Q$6:$Q$205,0)),"商品不在档案",IF(NOT(ISNUMBER($F93)),"数量须为数字",IF(NOT(ISNUMBER($G93)),"单价须为数字",IF(N($F93)&lt;=0,"数量须大于0",IF(AND(IFERROR(INDEX(基础资料!$V$6:$V$205,MATCH($E93,基础资料!$Q$6:$Q$205,0)),"")="是",N($R93)=0),"无成本价·请先录采购或填参考成本",IF(N($T93)&lt;0,"毛利为负·请核对","√"))))))))))))</f>
        <v/>
      </c>
      <c r="M93" s="49" t="str">
        <f aca="false">IF($E93="","",IFERROR(INDEX(基础资料!$R$6:$R$205,MATCH($E93,基础资料!$Q$6:$Q$205,0)),""))</f>
        <v/>
      </c>
      <c r="N93" s="49" t="str">
        <f aca="false">IF($E93="","",IFERROR(INDEX(基础资料!$S$6:$S$205,MATCH($E93,基础资料!$Q$6:$Q$205,0)),""))</f>
        <v/>
      </c>
      <c r="O93" s="48" t="str">
        <f aca="false">IF(OR($F93="",$G93=""),"",ROUND(N($F93)*N($G93),2))</f>
        <v/>
      </c>
      <c r="P93" s="48" t="str">
        <f aca="false">IF($O93="","",ROUND(N($O93)*N($H93),2))</f>
        <v/>
      </c>
      <c r="Q93" s="48" t="str">
        <f aca="false">IF($O93="","",N($O93)+N($P93))</f>
        <v/>
      </c>
      <c r="R93" s="48" t="str">
        <f aca="false">IF(OR($E93="",$B93=""),"",IF(IFERROR(INDEX(基础资料!$V$6:$V$205,MATCH($E93,基础资料!$Q$6:$Q$205,0)),"")&lt;&gt;"是",0,IFERROR((SUMIFS(期初数据!$T$6:$T$205,期初数据!$O$6:$O$205,$E93)+SUMIFS(采购录入!$Q$5:$Q$404,采购录入!$E$5:$E$404,$E93,采购录入!$I$5:$I$404,"是",采购录入!$B$5:$B$404,"&lt;="&amp;$B93))/(SUMIFS(期初数据!$R$6:$R$205,期初数据!$O$6:$O$205,$E93)+SUMIFS(采购录入!$F$5:$F$404,采购录入!$E$5:$E$404,$E93,采购录入!$I$5:$I$404,"是",采购录入!$B$5:$B$404,"&lt;="&amp;$B93)),IFERROR(INDEX(基础资料!$U$6:$U$205,MATCH($E93,基础资料!$Q$6:$Q$205,0)),0))))</f>
        <v/>
      </c>
      <c r="S93" s="48" t="str">
        <f aca="false">IF($O93="","",ROUND(N($F93)*N($R93),2))</f>
        <v/>
      </c>
      <c r="T93" s="48" t="str">
        <f aca="false">IF($O93="","",N($O93)-N($S93))</f>
        <v/>
      </c>
      <c r="U93" s="52" t="str">
        <f aca="false">IF(OR($B93="",$D93=""),"",$B93+N(IFERROR(INDEX(基础资料!$AB$6:$AB$155,MATCH($D93,基础资料!$Z$6:$Z$155,0)),0)))</f>
        <v/>
      </c>
      <c r="V93" s="49" t="str">
        <f aca="false">IF($O93="","","1122")</f>
        <v/>
      </c>
      <c r="W93" s="49" t="str">
        <f aca="false">IF($O93="","","6001")</f>
        <v/>
      </c>
      <c r="X93" s="48" t="str">
        <f aca="false">IF($O93="","",$O93)</f>
        <v/>
      </c>
      <c r="Y93" s="49" t="str">
        <f aca="false">IF(N($P93)=0,"","1122")</f>
        <v/>
      </c>
      <c r="Z93" s="49" t="str">
        <f aca="false">IF(N($P93)=0,"","2221")</f>
        <v/>
      </c>
      <c r="AA93" s="48" t="str">
        <f aca="false">IF(N($P93)=0,"",$P93)</f>
        <v/>
      </c>
      <c r="AB93" s="49" t="str">
        <f aca="false">IF(N($S93)=0,"","6401")</f>
        <v/>
      </c>
      <c r="AC93" s="49" t="str">
        <f aca="false">IF(N($S93)=0,"","1405")</f>
        <v/>
      </c>
      <c r="AD93" s="48" t="str">
        <f aca="false">IF(N($S93)=0,"",$S93)</f>
        <v/>
      </c>
      <c r="AE93" s="49" t="str">
        <f aca="false">IF(AND($D93=客户对账单!$B$3,$B93&gt;=客户对账单!$E$3,$B93&lt;=客户对账单!$H$3),COUNTIFS($D$5:$D93,客户对账单!$B$3,$B$5:$B93,"&gt;="&amp;客户对账单!$E$3,$B$5:$B93,"&lt;="&amp;客户对账单!$H$3),"")</f>
        <v/>
      </c>
    </row>
    <row r="94" customFormat="false" ht="15.75" hidden="false" customHeight="true" outlineLevel="0" collapsed="false">
      <c r="A94" s="42" t="str">
        <f aca="false">IF($B94="","","XS"&amp;TEXT($B94,"yyyymm")&amp;"-"&amp;TEXT(ROW()-4,"000"))</f>
        <v/>
      </c>
      <c r="B94" s="41"/>
      <c r="C94" s="42" t="str">
        <f aca="false">IF($B94="","",TEXT($B94,"yyyy-mm"))</f>
        <v/>
      </c>
      <c r="D94" s="32"/>
      <c r="E94" s="36"/>
      <c r="F94" s="43"/>
      <c r="G94" s="40"/>
      <c r="H94" s="51"/>
      <c r="I94" s="33"/>
      <c r="J94" s="33"/>
      <c r="K94" s="36"/>
      <c r="L94" s="47" t="str">
        <f aca="false">IF($B94="","",IF(NOT(ISNUMBER($B94)),"日期不是日期格式",IF(YEAR($B94)&lt;&gt;首页!$B$3,"不在会计年度",IF($D94="","未选客户",IF(ISNA(MATCH($D94,基础资料!$Z$6:$Z$155,0)),"客户不在档案",IF($E94="","未选商品",IF(ISNA(MATCH($E94,基础资料!$Q$6:$Q$205,0)),"商品不在档案",IF(NOT(ISNUMBER($F94)),"数量须为数字",IF(NOT(ISNUMBER($G94)),"单价须为数字",IF(N($F94)&lt;=0,"数量须大于0",IF(AND(IFERROR(INDEX(基础资料!$V$6:$V$205,MATCH($E94,基础资料!$Q$6:$Q$205,0)),"")="是",N($R94)=0),"无成本价·请先录采购或填参考成本",IF(N($T94)&lt;0,"毛利为负·请核对","√"))))))))))))</f>
        <v/>
      </c>
      <c r="M94" s="49" t="str">
        <f aca="false">IF($E94="","",IFERROR(INDEX(基础资料!$R$6:$R$205,MATCH($E94,基础资料!$Q$6:$Q$205,0)),""))</f>
        <v/>
      </c>
      <c r="N94" s="49" t="str">
        <f aca="false">IF($E94="","",IFERROR(INDEX(基础资料!$S$6:$S$205,MATCH($E94,基础资料!$Q$6:$Q$205,0)),""))</f>
        <v/>
      </c>
      <c r="O94" s="48" t="str">
        <f aca="false">IF(OR($F94="",$G94=""),"",ROUND(N($F94)*N($G94),2))</f>
        <v/>
      </c>
      <c r="P94" s="48" t="str">
        <f aca="false">IF($O94="","",ROUND(N($O94)*N($H94),2))</f>
        <v/>
      </c>
      <c r="Q94" s="48" t="str">
        <f aca="false">IF($O94="","",N($O94)+N($P94))</f>
        <v/>
      </c>
      <c r="R94" s="48" t="str">
        <f aca="false">IF(OR($E94="",$B94=""),"",IF(IFERROR(INDEX(基础资料!$V$6:$V$205,MATCH($E94,基础资料!$Q$6:$Q$205,0)),"")&lt;&gt;"是",0,IFERROR((SUMIFS(期初数据!$T$6:$T$205,期初数据!$O$6:$O$205,$E94)+SUMIFS(采购录入!$Q$5:$Q$404,采购录入!$E$5:$E$404,$E94,采购录入!$I$5:$I$404,"是",采购录入!$B$5:$B$404,"&lt;="&amp;$B94))/(SUMIFS(期初数据!$R$6:$R$205,期初数据!$O$6:$O$205,$E94)+SUMIFS(采购录入!$F$5:$F$404,采购录入!$E$5:$E$404,$E94,采购录入!$I$5:$I$404,"是",采购录入!$B$5:$B$404,"&lt;="&amp;$B94)),IFERROR(INDEX(基础资料!$U$6:$U$205,MATCH($E94,基础资料!$Q$6:$Q$205,0)),0))))</f>
        <v/>
      </c>
      <c r="S94" s="48" t="str">
        <f aca="false">IF($O94="","",ROUND(N($F94)*N($R94),2))</f>
        <v/>
      </c>
      <c r="T94" s="48" t="str">
        <f aca="false">IF($O94="","",N($O94)-N($S94))</f>
        <v/>
      </c>
      <c r="U94" s="52" t="str">
        <f aca="false">IF(OR($B94="",$D94=""),"",$B94+N(IFERROR(INDEX(基础资料!$AB$6:$AB$155,MATCH($D94,基础资料!$Z$6:$Z$155,0)),0)))</f>
        <v/>
      </c>
      <c r="V94" s="49" t="str">
        <f aca="false">IF($O94="","","1122")</f>
        <v/>
      </c>
      <c r="W94" s="49" t="str">
        <f aca="false">IF($O94="","","6001")</f>
        <v/>
      </c>
      <c r="X94" s="48" t="str">
        <f aca="false">IF($O94="","",$O94)</f>
        <v/>
      </c>
      <c r="Y94" s="49" t="str">
        <f aca="false">IF(N($P94)=0,"","1122")</f>
        <v/>
      </c>
      <c r="Z94" s="49" t="str">
        <f aca="false">IF(N($P94)=0,"","2221")</f>
        <v/>
      </c>
      <c r="AA94" s="48" t="str">
        <f aca="false">IF(N($P94)=0,"",$P94)</f>
        <v/>
      </c>
      <c r="AB94" s="49" t="str">
        <f aca="false">IF(N($S94)=0,"","6401")</f>
        <v/>
      </c>
      <c r="AC94" s="49" t="str">
        <f aca="false">IF(N($S94)=0,"","1405")</f>
        <v/>
      </c>
      <c r="AD94" s="48" t="str">
        <f aca="false">IF(N($S94)=0,"",$S94)</f>
        <v/>
      </c>
      <c r="AE94" s="49" t="str">
        <f aca="false">IF(AND($D94=客户对账单!$B$3,$B94&gt;=客户对账单!$E$3,$B94&lt;=客户对账单!$H$3),COUNTIFS($D$5:$D94,客户对账单!$B$3,$B$5:$B94,"&gt;="&amp;客户对账单!$E$3,$B$5:$B94,"&lt;="&amp;客户对账单!$H$3),"")</f>
        <v/>
      </c>
    </row>
    <row r="95" customFormat="false" ht="15.75" hidden="false" customHeight="true" outlineLevel="0" collapsed="false">
      <c r="A95" s="42" t="str">
        <f aca="false">IF($B95="","","XS"&amp;TEXT($B95,"yyyymm")&amp;"-"&amp;TEXT(ROW()-4,"000"))</f>
        <v/>
      </c>
      <c r="B95" s="41"/>
      <c r="C95" s="42" t="str">
        <f aca="false">IF($B95="","",TEXT($B95,"yyyy-mm"))</f>
        <v/>
      </c>
      <c r="D95" s="32"/>
      <c r="E95" s="36"/>
      <c r="F95" s="43"/>
      <c r="G95" s="40"/>
      <c r="H95" s="51"/>
      <c r="I95" s="33"/>
      <c r="J95" s="33"/>
      <c r="K95" s="36"/>
      <c r="L95" s="47" t="str">
        <f aca="false">IF($B95="","",IF(NOT(ISNUMBER($B95)),"日期不是日期格式",IF(YEAR($B95)&lt;&gt;首页!$B$3,"不在会计年度",IF($D95="","未选客户",IF(ISNA(MATCH($D95,基础资料!$Z$6:$Z$155,0)),"客户不在档案",IF($E95="","未选商品",IF(ISNA(MATCH($E95,基础资料!$Q$6:$Q$205,0)),"商品不在档案",IF(NOT(ISNUMBER($F95)),"数量须为数字",IF(NOT(ISNUMBER($G95)),"单价须为数字",IF(N($F95)&lt;=0,"数量须大于0",IF(AND(IFERROR(INDEX(基础资料!$V$6:$V$205,MATCH($E95,基础资料!$Q$6:$Q$205,0)),"")="是",N($R95)=0),"无成本价·请先录采购或填参考成本",IF(N($T95)&lt;0,"毛利为负·请核对","√"))))))))))))</f>
        <v/>
      </c>
      <c r="M95" s="49" t="str">
        <f aca="false">IF($E95="","",IFERROR(INDEX(基础资料!$R$6:$R$205,MATCH($E95,基础资料!$Q$6:$Q$205,0)),""))</f>
        <v/>
      </c>
      <c r="N95" s="49" t="str">
        <f aca="false">IF($E95="","",IFERROR(INDEX(基础资料!$S$6:$S$205,MATCH($E95,基础资料!$Q$6:$Q$205,0)),""))</f>
        <v/>
      </c>
      <c r="O95" s="48" t="str">
        <f aca="false">IF(OR($F95="",$G95=""),"",ROUND(N($F95)*N($G95),2))</f>
        <v/>
      </c>
      <c r="P95" s="48" t="str">
        <f aca="false">IF($O95="","",ROUND(N($O95)*N($H95),2))</f>
        <v/>
      </c>
      <c r="Q95" s="48" t="str">
        <f aca="false">IF($O95="","",N($O95)+N($P95))</f>
        <v/>
      </c>
      <c r="R95" s="48" t="str">
        <f aca="false">IF(OR($E95="",$B95=""),"",IF(IFERROR(INDEX(基础资料!$V$6:$V$205,MATCH($E95,基础资料!$Q$6:$Q$205,0)),"")&lt;&gt;"是",0,IFERROR((SUMIFS(期初数据!$T$6:$T$205,期初数据!$O$6:$O$205,$E95)+SUMIFS(采购录入!$Q$5:$Q$404,采购录入!$E$5:$E$404,$E95,采购录入!$I$5:$I$404,"是",采购录入!$B$5:$B$404,"&lt;="&amp;$B95))/(SUMIFS(期初数据!$R$6:$R$205,期初数据!$O$6:$O$205,$E95)+SUMIFS(采购录入!$F$5:$F$404,采购录入!$E$5:$E$404,$E95,采购录入!$I$5:$I$404,"是",采购录入!$B$5:$B$404,"&lt;="&amp;$B95)),IFERROR(INDEX(基础资料!$U$6:$U$205,MATCH($E95,基础资料!$Q$6:$Q$205,0)),0))))</f>
        <v/>
      </c>
      <c r="S95" s="48" t="str">
        <f aca="false">IF($O95="","",ROUND(N($F95)*N($R95),2))</f>
        <v/>
      </c>
      <c r="T95" s="48" t="str">
        <f aca="false">IF($O95="","",N($O95)-N($S95))</f>
        <v/>
      </c>
      <c r="U95" s="52" t="str">
        <f aca="false">IF(OR($B95="",$D95=""),"",$B95+N(IFERROR(INDEX(基础资料!$AB$6:$AB$155,MATCH($D95,基础资料!$Z$6:$Z$155,0)),0)))</f>
        <v/>
      </c>
      <c r="V95" s="49" t="str">
        <f aca="false">IF($O95="","","1122")</f>
        <v/>
      </c>
      <c r="W95" s="49" t="str">
        <f aca="false">IF($O95="","","6001")</f>
        <v/>
      </c>
      <c r="X95" s="48" t="str">
        <f aca="false">IF($O95="","",$O95)</f>
        <v/>
      </c>
      <c r="Y95" s="49" t="str">
        <f aca="false">IF(N($P95)=0,"","1122")</f>
        <v/>
      </c>
      <c r="Z95" s="49" t="str">
        <f aca="false">IF(N($P95)=0,"","2221")</f>
        <v/>
      </c>
      <c r="AA95" s="48" t="str">
        <f aca="false">IF(N($P95)=0,"",$P95)</f>
        <v/>
      </c>
      <c r="AB95" s="49" t="str">
        <f aca="false">IF(N($S95)=0,"","6401")</f>
        <v/>
      </c>
      <c r="AC95" s="49" t="str">
        <f aca="false">IF(N($S95)=0,"","1405")</f>
        <v/>
      </c>
      <c r="AD95" s="48" t="str">
        <f aca="false">IF(N($S95)=0,"",$S95)</f>
        <v/>
      </c>
      <c r="AE95" s="49" t="str">
        <f aca="false">IF(AND($D95=客户对账单!$B$3,$B95&gt;=客户对账单!$E$3,$B95&lt;=客户对账单!$H$3),COUNTIFS($D$5:$D95,客户对账单!$B$3,$B$5:$B95,"&gt;="&amp;客户对账单!$E$3,$B$5:$B95,"&lt;="&amp;客户对账单!$H$3),"")</f>
        <v/>
      </c>
    </row>
    <row r="96" customFormat="false" ht="15.75" hidden="false" customHeight="true" outlineLevel="0" collapsed="false">
      <c r="A96" s="42" t="str">
        <f aca="false">IF($B96="","","XS"&amp;TEXT($B96,"yyyymm")&amp;"-"&amp;TEXT(ROW()-4,"000"))</f>
        <v/>
      </c>
      <c r="B96" s="41"/>
      <c r="C96" s="42" t="str">
        <f aca="false">IF($B96="","",TEXT($B96,"yyyy-mm"))</f>
        <v/>
      </c>
      <c r="D96" s="32"/>
      <c r="E96" s="36"/>
      <c r="F96" s="43"/>
      <c r="G96" s="40"/>
      <c r="H96" s="51"/>
      <c r="I96" s="33"/>
      <c r="J96" s="33"/>
      <c r="K96" s="36"/>
      <c r="L96" s="47" t="str">
        <f aca="false">IF($B96="","",IF(NOT(ISNUMBER($B96)),"日期不是日期格式",IF(YEAR($B96)&lt;&gt;首页!$B$3,"不在会计年度",IF($D96="","未选客户",IF(ISNA(MATCH($D96,基础资料!$Z$6:$Z$155,0)),"客户不在档案",IF($E96="","未选商品",IF(ISNA(MATCH($E96,基础资料!$Q$6:$Q$205,0)),"商品不在档案",IF(NOT(ISNUMBER($F96)),"数量须为数字",IF(NOT(ISNUMBER($G96)),"单价须为数字",IF(N($F96)&lt;=0,"数量须大于0",IF(AND(IFERROR(INDEX(基础资料!$V$6:$V$205,MATCH($E96,基础资料!$Q$6:$Q$205,0)),"")="是",N($R96)=0),"无成本价·请先录采购或填参考成本",IF(N($T96)&lt;0,"毛利为负·请核对","√"))))))))))))</f>
        <v/>
      </c>
      <c r="M96" s="49" t="str">
        <f aca="false">IF($E96="","",IFERROR(INDEX(基础资料!$R$6:$R$205,MATCH($E96,基础资料!$Q$6:$Q$205,0)),""))</f>
        <v/>
      </c>
      <c r="N96" s="49" t="str">
        <f aca="false">IF($E96="","",IFERROR(INDEX(基础资料!$S$6:$S$205,MATCH($E96,基础资料!$Q$6:$Q$205,0)),""))</f>
        <v/>
      </c>
      <c r="O96" s="48" t="str">
        <f aca="false">IF(OR($F96="",$G96=""),"",ROUND(N($F96)*N($G96),2))</f>
        <v/>
      </c>
      <c r="P96" s="48" t="str">
        <f aca="false">IF($O96="","",ROUND(N($O96)*N($H96),2))</f>
        <v/>
      </c>
      <c r="Q96" s="48" t="str">
        <f aca="false">IF($O96="","",N($O96)+N($P96))</f>
        <v/>
      </c>
      <c r="R96" s="48" t="str">
        <f aca="false">IF(OR($E96="",$B96=""),"",IF(IFERROR(INDEX(基础资料!$V$6:$V$205,MATCH($E96,基础资料!$Q$6:$Q$205,0)),"")&lt;&gt;"是",0,IFERROR((SUMIFS(期初数据!$T$6:$T$205,期初数据!$O$6:$O$205,$E96)+SUMIFS(采购录入!$Q$5:$Q$404,采购录入!$E$5:$E$404,$E96,采购录入!$I$5:$I$404,"是",采购录入!$B$5:$B$404,"&lt;="&amp;$B96))/(SUMIFS(期初数据!$R$6:$R$205,期初数据!$O$6:$O$205,$E96)+SUMIFS(采购录入!$F$5:$F$404,采购录入!$E$5:$E$404,$E96,采购录入!$I$5:$I$404,"是",采购录入!$B$5:$B$404,"&lt;="&amp;$B96)),IFERROR(INDEX(基础资料!$U$6:$U$205,MATCH($E96,基础资料!$Q$6:$Q$205,0)),0))))</f>
        <v/>
      </c>
      <c r="S96" s="48" t="str">
        <f aca="false">IF($O96="","",ROUND(N($F96)*N($R96),2))</f>
        <v/>
      </c>
      <c r="T96" s="48" t="str">
        <f aca="false">IF($O96="","",N($O96)-N($S96))</f>
        <v/>
      </c>
      <c r="U96" s="52" t="str">
        <f aca="false">IF(OR($B96="",$D96=""),"",$B96+N(IFERROR(INDEX(基础资料!$AB$6:$AB$155,MATCH($D96,基础资料!$Z$6:$Z$155,0)),0)))</f>
        <v/>
      </c>
      <c r="V96" s="49" t="str">
        <f aca="false">IF($O96="","","1122")</f>
        <v/>
      </c>
      <c r="W96" s="49" t="str">
        <f aca="false">IF($O96="","","6001")</f>
        <v/>
      </c>
      <c r="X96" s="48" t="str">
        <f aca="false">IF($O96="","",$O96)</f>
        <v/>
      </c>
      <c r="Y96" s="49" t="str">
        <f aca="false">IF(N($P96)=0,"","1122")</f>
        <v/>
      </c>
      <c r="Z96" s="49" t="str">
        <f aca="false">IF(N($P96)=0,"","2221")</f>
        <v/>
      </c>
      <c r="AA96" s="48" t="str">
        <f aca="false">IF(N($P96)=0,"",$P96)</f>
        <v/>
      </c>
      <c r="AB96" s="49" t="str">
        <f aca="false">IF(N($S96)=0,"","6401")</f>
        <v/>
      </c>
      <c r="AC96" s="49" t="str">
        <f aca="false">IF(N($S96)=0,"","1405")</f>
        <v/>
      </c>
      <c r="AD96" s="48" t="str">
        <f aca="false">IF(N($S96)=0,"",$S96)</f>
        <v/>
      </c>
      <c r="AE96" s="49" t="str">
        <f aca="false">IF(AND($D96=客户对账单!$B$3,$B96&gt;=客户对账单!$E$3,$B96&lt;=客户对账单!$H$3),COUNTIFS($D$5:$D96,客户对账单!$B$3,$B$5:$B96,"&gt;="&amp;客户对账单!$E$3,$B$5:$B96,"&lt;="&amp;客户对账单!$H$3),"")</f>
        <v/>
      </c>
    </row>
    <row r="97" customFormat="false" ht="15.75" hidden="false" customHeight="true" outlineLevel="0" collapsed="false">
      <c r="A97" s="42" t="str">
        <f aca="false">IF($B97="","","XS"&amp;TEXT($B97,"yyyymm")&amp;"-"&amp;TEXT(ROW()-4,"000"))</f>
        <v/>
      </c>
      <c r="B97" s="41"/>
      <c r="C97" s="42" t="str">
        <f aca="false">IF($B97="","",TEXT($B97,"yyyy-mm"))</f>
        <v/>
      </c>
      <c r="D97" s="32"/>
      <c r="E97" s="36"/>
      <c r="F97" s="43"/>
      <c r="G97" s="40"/>
      <c r="H97" s="51"/>
      <c r="I97" s="33"/>
      <c r="J97" s="33"/>
      <c r="K97" s="36"/>
      <c r="L97" s="47" t="str">
        <f aca="false">IF($B97="","",IF(NOT(ISNUMBER($B97)),"日期不是日期格式",IF(YEAR($B97)&lt;&gt;首页!$B$3,"不在会计年度",IF($D97="","未选客户",IF(ISNA(MATCH($D97,基础资料!$Z$6:$Z$155,0)),"客户不在档案",IF($E97="","未选商品",IF(ISNA(MATCH($E97,基础资料!$Q$6:$Q$205,0)),"商品不在档案",IF(NOT(ISNUMBER($F97)),"数量须为数字",IF(NOT(ISNUMBER($G97)),"单价须为数字",IF(N($F97)&lt;=0,"数量须大于0",IF(AND(IFERROR(INDEX(基础资料!$V$6:$V$205,MATCH($E97,基础资料!$Q$6:$Q$205,0)),"")="是",N($R97)=0),"无成本价·请先录采购或填参考成本",IF(N($T97)&lt;0,"毛利为负·请核对","√"))))))))))))</f>
        <v/>
      </c>
      <c r="M97" s="49" t="str">
        <f aca="false">IF($E97="","",IFERROR(INDEX(基础资料!$R$6:$R$205,MATCH($E97,基础资料!$Q$6:$Q$205,0)),""))</f>
        <v/>
      </c>
      <c r="N97" s="49" t="str">
        <f aca="false">IF($E97="","",IFERROR(INDEX(基础资料!$S$6:$S$205,MATCH($E97,基础资料!$Q$6:$Q$205,0)),""))</f>
        <v/>
      </c>
      <c r="O97" s="48" t="str">
        <f aca="false">IF(OR($F97="",$G97=""),"",ROUND(N($F97)*N($G97),2))</f>
        <v/>
      </c>
      <c r="P97" s="48" t="str">
        <f aca="false">IF($O97="","",ROUND(N($O97)*N($H97),2))</f>
        <v/>
      </c>
      <c r="Q97" s="48" t="str">
        <f aca="false">IF($O97="","",N($O97)+N($P97))</f>
        <v/>
      </c>
      <c r="R97" s="48" t="str">
        <f aca="false">IF(OR($E97="",$B97=""),"",IF(IFERROR(INDEX(基础资料!$V$6:$V$205,MATCH($E97,基础资料!$Q$6:$Q$205,0)),"")&lt;&gt;"是",0,IFERROR((SUMIFS(期初数据!$T$6:$T$205,期初数据!$O$6:$O$205,$E97)+SUMIFS(采购录入!$Q$5:$Q$404,采购录入!$E$5:$E$404,$E97,采购录入!$I$5:$I$404,"是",采购录入!$B$5:$B$404,"&lt;="&amp;$B97))/(SUMIFS(期初数据!$R$6:$R$205,期初数据!$O$6:$O$205,$E97)+SUMIFS(采购录入!$F$5:$F$404,采购录入!$E$5:$E$404,$E97,采购录入!$I$5:$I$404,"是",采购录入!$B$5:$B$404,"&lt;="&amp;$B97)),IFERROR(INDEX(基础资料!$U$6:$U$205,MATCH($E97,基础资料!$Q$6:$Q$205,0)),0))))</f>
        <v/>
      </c>
      <c r="S97" s="48" t="str">
        <f aca="false">IF($O97="","",ROUND(N($F97)*N($R97),2))</f>
        <v/>
      </c>
      <c r="T97" s="48" t="str">
        <f aca="false">IF($O97="","",N($O97)-N($S97))</f>
        <v/>
      </c>
      <c r="U97" s="52" t="str">
        <f aca="false">IF(OR($B97="",$D97=""),"",$B97+N(IFERROR(INDEX(基础资料!$AB$6:$AB$155,MATCH($D97,基础资料!$Z$6:$Z$155,0)),0)))</f>
        <v/>
      </c>
      <c r="V97" s="49" t="str">
        <f aca="false">IF($O97="","","1122")</f>
        <v/>
      </c>
      <c r="W97" s="49" t="str">
        <f aca="false">IF($O97="","","6001")</f>
        <v/>
      </c>
      <c r="X97" s="48" t="str">
        <f aca="false">IF($O97="","",$O97)</f>
        <v/>
      </c>
      <c r="Y97" s="49" t="str">
        <f aca="false">IF(N($P97)=0,"","1122")</f>
        <v/>
      </c>
      <c r="Z97" s="49" t="str">
        <f aca="false">IF(N($P97)=0,"","2221")</f>
        <v/>
      </c>
      <c r="AA97" s="48" t="str">
        <f aca="false">IF(N($P97)=0,"",$P97)</f>
        <v/>
      </c>
      <c r="AB97" s="49" t="str">
        <f aca="false">IF(N($S97)=0,"","6401")</f>
        <v/>
      </c>
      <c r="AC97" s="49" t="str">
        <f aca="false">IF(N($S97)=0,"","1405")</f>
        <v/>
      </c>
      <c r="AD97" s="48" t="str">
        <f aca="false">IF(N($S97)=0,"",$S97)</f>
        <v/>
      </c>
      <c r="AE97" s="49" t="str">
        <f aca="false">IF(AND($D97=客户对账单!$B$3,$B97&gt;=客户对账单!$E$3,$B97&lt;=客户对账单!$H$3),COUNTIFS($D$5:$D97,客户对账单!$B$3,$B$5:$B97,"&gt;="&amp;客户对账单!$E$3,$B$5:$B97,"&lt;="&amp;客户对账单!$H$3),"")</f>
        <v/>
      </c>
    </row>
    <row r="98" customFormat="false" ht="15.75" hidden="false" customHeight="true" outlineLevel="0" collapsed="false">
      <c r="A98" s="42" t="str">
        <f aca="false">IF($B98="","","XS"&amp;TEXT($B98,"yyyymm")&amp;"-"&amp;TEXT(ROW()-4,"000"))</f>
        <v/>
      </c>
      <c r="B98" s="41"/>
      <c r="C98" s="42" t="str">
        <f aca="false">IF($B98="","",TEXT($B98,"yyyy-mm"))</f>
        <v/>
      </c>
      <c r="D98" s="32"/>
      <c r="E98" s="36"/>
      <c r="F98" s="43"/>
      <c r="G98" s="40"/>
      <c r="H98" s="51"/>
      <c r="I98" s="33"/>
      <c r="J98" s="33"/>
      <c r="K98" s="36"/>
      <c r="L98" s="47" t="str">
        <f aca="false">IF($B98="","",IF(NOT(ISNUMBER($B98)),"日期不是日期格式",IF(YEAR($B98)&lt;&gt;首页!$B$3,"不在会计年度",IF($D98="","未选客户",IF(ISNA(MATCH($D98,基础资料!$Z$6:$Z$155,0)),"客户不在档案",IF($E98="","未选商品",IF(ISNA(MATCH($E98,基础资料!$Q$6:$Q$205,0)),"商品不在档案",IF(NOT(ISNUMBER($F98)),"数量须为数字",IF(NOT(ISNUMBER($G98)),"单价须为数字",IF(N($F98)&lt;=0,"数量须大于0",IF(AND(IFERROR(INDEX(基础资料!$V$6:$V$205,MATCH($E98,基础资料!$Q$6:$Q$205,0)),"")="是",N($R98)=0),"无成本价·请先录采购或填参考成本",IF(N($T98)&lt;0,"毛利为负·请核对","√"))))))))))))</f>
        <v/>
      </c>
      <c r="M98" s="49" t="str">
        <f aca="false">IF($E98="","",IFERROR(INDEX(基础资料!$R$6:$R$205,MATCH($E98,基础资料!$Q$6:$Q$205,0)),""))</f>
        <v/>
      </c>
      <c r="N98" s="49" t="str">
        <f aca="false">IF($E98="","",IFERROR(INDEX(基础资料!$S$6:$S$205,MATCH($E98,基础资料!$Q$6:$Q$205,0)),""))</f>
        <v/>
      </c>
      <c r="O98" s="48" t="str">
        <f aca="false">IF(OR($F98="",$G98=""),"",ROUND(N($F98)*N($G98),2))</f>
        <v/>
      </c>
      <c r="P98" s="48" t="str">
        <f aca="false">IF($O98="","",ROUND(N($O98)*N($H98),2))</f>
        <v/>
      </c>
      <c r="Q98" s="48" t="str">
        <f aca="false">IF($O98="","",N($O98)+N($P98))</f>
        <v/>
      </c>
      <c r="R98" s="48" t="str">
        <f aca="false">IF(OR($E98="",$B98=""),"",IF(IFERROR(INDEX(基础资料!$V$6:$V$205,MATCH($E98,基础资料!$Q$6:$Q$205,0)),"")&lt;&gt;"是",0,IFERROR((SUMIFS(期初数据!$T$6:$T$205,期初数据!$O$6:$O$205,$E98)+SUMIFS(采购录入!$Q$5:$Q$404,采购录入!$E$5:$E$404,$E98,采购录入!$I$5:$I$404,"是",采购录入!$B$5:$B$404,"&lt;="&amp;$B98))/(SUMIFS(期初数据!$R$6:$R$205,期初数据!$O$6:$O$205,$E98)+SUMIFS(采购录入!$F$5:$F$404,采购录入!$E$5:$E$404,$E98,采购录入!$I$5:$I$404,"是",采购录入!$B$5:$B$404,"&lt;="&amp;$B98)),IFERROR(INDEX(基础资料!$U$6:$U$205,MATCH($E98,基础资料!$Q$6:$Q$205,0)),0))))</f>
        <v/>
      </c>
      <c r="S98" s="48" t="str">
        <f aca="false">IF($O98="","",ROUND(N($F98)*N($R98),2))</f>
        <v/>
      </c>
      <c r="T98" s="48" t="str">
        <f aca="false">IF($O98="","",N($O98)-N($S98))</f>
        <v/>
      </c>
      <c r="U98" s="52" t="str">
        <f aca="false">IF(OR($B98="",$D98=""),"",$B98+N(IFERROR(INDEX(基础资料!$AB$6:$AB$155,MATCH($D98,基础资料!$Z$6:$Z$155,0)),0)))</f>
        <v/>
      </c>
      <c r="V98" s="49" t="str">
        <f aca="false">IF($O98="","","1122")</f>
        <v/>
      </c>
      <c r="W98" s="49" t="str">
        <f aca="false">IF($O98="","","6001")</f>
        <v/>
      </c>
      <c r="X98" s="48" t="str">
        <f aca="false">IF($O98="","",$O98)</f>
        <v/>
      </c>
      <c r="Y98" s="49" t="str">
        <f aca="false">IF(N($P98)=0,"","1122")</f>
        <v/>
      </c>
      <c r="Z98" s="49" t="str">
        <f aca="false">IF(N($P98)=0,"","2221")</f>
        <v/>
      </c>
      <c r="AA98" s="48" t="str">
        <f aca="false">IF(N($P98)=0,"",$P98)</f>
        <v/>
      </c>
      <c r="AB98" s="49" t="str">
        <f aca="false">IF(N($S98)=0,"","6401")</f>
        <v/>
      </c>
      <c r="AC98" s="49" t="str">
        <f aca="false">IF(N($S98)=0,"","1405")</f>
        <v/>
      </c>
      <c r="AD98" s="48" t="str">
        <f aca="false">IF(N($S98)=0,"",$S98)</f>
        <v/>
      </c>
      <c r="AE98" s="49" t="str">
        <f aca="false">IF(AND($D98=客户对账单!$B$3,$B98&gt;=客户对账单!$E$3,$B98&lt;=客户对账单!$H$3),COUNTIFS($D$5:$D98,客户对账单!$B$3,$B$5:$B98,"&gt;="&amp;客户对账单!$E$3,$B$5:$B98,"&lt;="&amp;客户对账单!$H$3),"")</f>
        <v/>
      </c>
    </row>
    <row r="99" customFormat="false" ht="15.75" hidden="false" customHeight="true" outlineLevel="0" collapsed="false">
      <c r="A99" s="42" t="str">
        <f aca="false">IF($B99="","","XS"&amp;TEXT($B99,"yyyymm")&amp;"-"&amp;TEXT(ROW()-4,"000"))</f>
        <v/>
      </c>
      <c r="B99" s="41"/>
      <c r="C99" s="42" t="str">
        <f aca="false">IF($B99="","",TEXT($B99,"yyyy-mm"))</f>
        <v/>
      </c>
      <c r="D99" s="32"/>
      <c r="E99" s="36"/>
      <c r="F99" s="43"/>
      <c r="G99" s="40"/>
      <c r="H99" s="51"/>
      <c r="I99" s="33"/>
      <c r="J99" s="33"/>
      <c r="K99" s="36"/>
      <c r="L99" s="47" t="str">
        <f aca="false">IF($B99="","",IF(NOT(ISNUMBER($B99)),"日期不是日期格式",IF(YEAR($B99)&lt;&gt;首页!$B$3,"不在会计年度",IF($D99="","未选客户",IF(ISNA(MATCH($D99,基础资料!$Z$6:$Z$155,0)),"客户不在档案",IF($E99="","未选商品",IF(ISNA(MATCH($E99,基础资料!$Q$6:$Q$205,0)),"商品不在档案",IF(NOT(ISNUMBER($F99)),"数量须为数字",IF(NOT(ISNUMBER($G99)),"单价须为数字",IF(N($F99)&lt;=0,"数量须大于0",IF(AND(IFERROR(INDEX(基础资料!$V$6:$V$205,MATCH($E99,基础资料!$Q$6:$Q$205,0)),"")="是",N($R99)=0),"无成本价·请先录采购或填参考成本",IF(N($T99)&lt;0,"毛利为负·请核对","√"))))))))))))</f>
        <v/>
      </c>
      <c r="M99" s="49" t="str">
        <f aca="false">IF($E99="","",IFERROR(INDEX(基础资料!$R$6:$R$205,MATCH($E99,基础资料!$Q$6:$Q$205,0)),""))</f>
        <v/>
      </c>
      <c r="N99" s="49" t="str">
        <f aca="false">IF($E99="","",IFERROR(INDEX(基础资料!$S$6:$S$205,MATCH($E99,基础资料!$Q$6:$Q$205,0)),""))</f>
        <v/>
      </c>
      <c r="O99" s="48" t="str">
        <f aca="false">IF(OR($F99="",$G99=""),"",ROUND(N($F99)*N($G99),2))</f>
        <v/>
      </c>
      <c r="P99" s="48" t="str">
        <f aca="false">IF($O99="","",ROUND(N($O99)*N($H99),2))</f>
        <v/>
      </c>
      <c r="Q99" s="48" t="str">
        <f aca="false">IF($O99="","",N($O99)+N($P99))</f>
        <v/>
      </c>
      <c r="R99" s="48" t="str">
        <f aca="false">IF(OR($E99="",$B99=""),"",IF(IFERROR(INDEX(基础资料!$V$6:$V$205,MATCH($E99,基础资料!$Q$6:$Q$205,0)),"")&lt;&gt;"是",0,IFERROR((SUMIFS(期初数据!$T$6:$T$205,期初数据!$O$6:$O$205,$E99)+SUMIFS(采购录入!$Q$5:$Q$404,采购录入!$E$5:$E$404,$E99,采购录入!$I$5:$I$404,"是",采购录入!$B$5:$B$404,"&lt;="&amp;$B99))/(SUMIFS(期初数据!$R$6:$R$205,期初数据!$O$6:$O$205,$E99)+SUMIFS(采购录入!$F$5:$F$404,采购录入!$E$5:$E$404,$E99,采购录入!$I$5:$I$404,"是",采购录入!$B$5:$B$404,"&lt;="&amp;$B99)),IFERROR(INDEX(基础资料!$U$6:$U$205,MATCH($E99,基础资料!$Q$6:$Q$205,0)),0))))</f>
        <v/>
      </c>
      <c r="S99" s="48" t="str">
        <f aca="false">IF($O99="","",ROUND(N($F99)*N($R99),2))</f>
        <v/>
      </c>
      <c r="T99" s="48" t="str">
        <f aca="false">IF($O99="","",N($O99)-N($S99))</f>
        <v/>
      </c>
      <c r="U99" s="52" t="str">
        <f aca="false">IF(OR($B99="",$D99=""),"",$B99+N(IFERROR(INDEX(基础资料!$AB$6:$AB$155,MATCH($D99,基础资料!$Z$6:$Z$155,0)),0)))</f>
        <v/>
      </c>
      <c r="V99" s="49" t="str">
        <f aca="false">IF($O99="","","1122")</f>
        <v/>
      </c>
      <c r="W99" s="49" t="str">
        <f aca="false">IF($O99="","","6001")</f>
        <v/>
      </c>
      <c r="X99" s="48" t="str">
        <f aca="false">IF($O99="","",$O99)</f>
        <v/>
      </c>
      <c r="Y99" s="49" t="str">
        <f aca="false">IF(N($P99)=0,"","1122")</f>
        <v/>
      </c>
      <c r="Z99" s="49" t="str">
        <f aca="false">IF(N($P99)=0,"","2221")</f>
        <v/>
      </c>
      <c r="AA99" s="48" t="str">
        <f aca="false">IF(N($P99)=0,"",$P99)</f>
        <v/>
      </c>
      <c r="AB99" s="49" t="str">
        <f aca="false">IF(N($S99)=0,"","6401")</f>
        <v/>
      </c>
      <c r="AC99" s="49" t="str">
        <f aca="false">IF(N($S99)=0,"","1405")</f>
        <v/>
      </c>
      <c r="AD99" s="48" t="str">
        <f aca="false">IF(N($S99)=0,"",$S99)</f>
        <v/>
      </c>
      <c r="AE99" s="49" t="str">
        <f aca="false">IF(AND($D99=客户对账单!$B$3,$B99&gt;=客户对账单!$E$3,$B99&lt;=客户对账单!$H$3),COUNTIFS($D$5:$D99,客户对账单!$B$3,$B$5:$B99,"&gt;="&amp;客户对账单!$E$3,$B$5:$B99,"&lt;="&amp;客户对账单!$H$3),"")</f>
        <v/>
      </c>
    </row>
    <row r="100" customFormat="false" ht="15.75" hidden="false" customHeight="true" outlineLevel="0" collapsed="false">
      <c r="A100" s="42" t="str">
        <f aca="false">IF($B100="","","XS"&amp;TEXT($B100,"yyyymm")&amp;"-"&amp;TEXT(ROW()-4,"000"))</f>
        <v/>
      </c>
      <c r="B100" s="41"/>
      <c r="C100" s="42" t="str">
        <f aca="false">IF($B100="","",TEXT($B100,"yyyy-mm"))</f>
        <v/>
      </c>
      <c r="D100" s="32"/>
      <c r="E100" s="36"/>
      <c r="F100" s="43"/>
      <c r="G100" s="40"/>
      <c r="H100" s="51"/>
      <c r="I100" s="33"/>
      <c r="J100" s="33"/>
      <c r="K100" s="36"/>
      <c r="L100" s="47" t="str">
        <f aca="false">IF($B100="","",IF(NOT(ISNUMBER($B100)),"日期不是日期格式",IF(YEAR($B100)&lt;&gt;首页!$B$3,"不在会计年度",IF($D100="","未选客户",IF(ISNA(MATCH($D100,基础资料!$Z$6:$Z$155,0)),"客户不在档案",IF($E100="","未选商品",IF(ISNA(MATCH($E100,基础资料!$Q$6:$Q$205,0)),"商品不在档案",IF(NOT(ISNUMBER($F100)),"数量须为数字",IF(NOT(ISNUMBER($G100)),"单价须为数字",IF(N($F100)&lt;=0,"数量须大于0",IF(AND(IFERROR(INDEX(基础资料!$V$6:$V$205,MATCH($E100,基础资料!$Q$6:$Q$205,0)),"")="是",N($R100)=0),"无成本价·请先录采购或填参考成本",IF(N($T100)&lt;0,"毛利为负·请核对","√"))))))))))))</f>
        <v/>
      </c>
      <c r="M100" s="49" t="str">
        <f aca="false">IF($E100="","",IFERROR(INDEX(基础资料!$R$6:$R$205,MATCH($E100,基础资料!$Q$6:$Q$205,0)),""))</f>
        <v/>
      </c>
      <c r="N100" s="49" t="str">
        <f aca="false">IF($E100="","",IFERROR(INDEX(基础资料!$S$6:$S$205,MATCH($E100,基础资料!$Q$6:$Q$205,0)),""))</f>
        <v/>
      </c>
      <c r="O100" s="48" t="str">
        <f aca="false">IF(OR($F100="",$G100=""),"",ROUND(N($F100)*N($G100),2))</f>
        <v/>
      </c>
      <c r="P100" s="48" t="str">
        <f aca="false">IF($O100="","",ROUND(N($O100)*N($H100),2))</f>
        <v/>
      </c>
      <c r="Q100" s="48" t="str">
        <f aca="false">IF($O100="","",N($O100)+N($P100))</f>
        <v/>
      </c>
      <c r="R100" s="48" t="str">
        <f aca="false">IF(OR($E100="",$B100=""),"",IF(IFERROR(INDEX(基础资料!$V$6:$V$205,MATCH($E100,基础资料!$Q$6:$Q$205,0)),"")&lt;&gt;"是",0,IFERROR((SUMIFS(期初数据!$T$6:$T$205,期初数据!$O$6:$O$205,$E100)+SUMIFS(采购录入!$Q$5:$Q$404,采购录入!$E$5:$E$404,$E100,采购录入!$I$5:$I$404,"是",采购录入!$B$5:$B$404,"&lt;="&amp;$B100))/(SUMIFS(期初数据!$R$6:$R$205,期初数据!$O$6:$O$205,$E100)+SUMIFS(采购录入!$F$5:$F$404,采购录入!$E$5:$E$404,$E100,采购录入!$I$5:$I$404,"是",采购录入!$B$5:$B$404,"&lt;="&amp;$B100)),IFERROR(INDEX(基础资料!$U$6:$U$205,MATCH($E100,基础资料!$Q$6:$Q$205,0)),0))))</f>
        <v/>
      </c>
      <c r="S100" s="48" t="str">
        <f aca="false">IF($O100="","",ROUND(N($F100)*N($R100),2))</f>
        <v/>
      </c>
      <c r="T100" s="48" t="str">
        <f aca="false">IF($O100="","",N($O100)-N($S100))</f>
        <v/>
      </c>
      <c r="U100" s="52" t="str">
        <f aca="false">IF(OR($B100="",$D100=""),"",$B100+N(IFERROR(INDEX(基础资料!$AB$6:$AB$155,MATCH($D100,基础资料!$Z$6:$Z$155,0)),0)))</f>
        <v/>
      </c>
      <c r="V100" s="49" t="str">
        <f aca="false">IF($O100="","","1122")</f>
        <v/>
      </c>
      <c r="W100" s="49" t="str">
        <f aca="false">IF($O100="","","6001")</f>
        <v/>
      </c>
      <c r="X100" s="48" t="str">
        <f aca="false">IF($O100="","",$O100)</f>
        <v/>
      </c>
      <c r="Y100" s="49" t="str">
        <f aca="false">IF(N($P100)=0,"","1122")</f>
        <v/>
      </c>
      <c r="Z100" s="49" t="str">
        <f aca="false">IF(N($P100)=0,"","2221")</f>
        <v/>
      </c>
      <c r="AA100" s="48" t="str">
        <f aca="false">IF(N($P100)=0,"",$P100)</f>
        <v/>
      </c>
      <c r="AB100" s="49" t="str">
        <f aca="false">IF(N($S100)=0,"","6401")</f>
        <v/>
      </c>
      <c r="AC100" s="49" t="str">
        <f aca="false">IF(N($S100)=0,"","1405")</f>
        <v/>
      </c>
      <c r="AD100" s="48" t="str">
        <f aca="false">IF(N($S100)=0,"",$S100)</f>
        <v/>
      </c>
      <c r="AE100" s="49" t="str">
        <f aca="false">IF(AND($D100=客户对账单!$B$3,$B100&gt;=客户对账单!$E$3,$B100&lt;=客户对账单!$H$3),COUNTIFS($D$5:$D100,客户对账单!$B$3,$B$5:$B100,"&gt;="&amp;客户对账单!$E$3,$B$5:$B100,"&lt;="&amp;客户对账单!$H$3),"")</f>
        <v/>
      </c>
    </row>
    <row r="101" customFormat="false" ht="15.75" hidden="false" customHeight="true" outlineLevel="0" collapsed="false">
      <c r="A101" s="42" t="str">
        <f aca="false">IF($B101="","","XS"&amp;TEXT($B101,"yyyymm")&amp;"-"&amp;TEXT(ROW()-4,"000"))</f>
        <v/>
      </c>
      <c r="B101" s="41"/>
      <c r="C101" s="42" t="str">
        <f aca="false">IF($B101="","",TEXT($B101,"yyyy-mm"))</f>
        <v/>
      </c>
      <c r="D101" s="32"/>
      <c r="E101" s="36"/>
      <c r="F101" s="43"/>
      <c r="G101" s="40"/>
      <c r="H101" s="51"/>
      <c r="I101" s="33"/>
      <c r="J101" s="33"/>
      <c r="K101" s="36"/>
      <c r="L101" s="47" t="str">
        <f aca="false">IF($B101="","",IF(NOT(ISNUMBER($B101)),"日期不是日期格式",IF(YEAR($B101)&lt;&gt;首页!$B$3,"不在会计年度",IF($D101="","未选客户",IF(ISNA(MATCH($D101,基础资料!$Z$6:$Z$155,0)),"客户不在档案",IF($E101="","未选商品",IF(ISNA(MATCH($E101,基础资料!$Q$6:$Q$205,0)),"商品不在档案",IF(NOT(ISNUMBER($F101)),"数量须为数字",IF(NOT(ISNUMBER($G101)),"单价须为数字",IF(N($F101)&lt;=0,"数量须大于0",IF(AND(IFERROR(INDEX(基础资料!$V$6:$V$205,MATCH($E101,基础资料!$Q$6:$Q$205,0)),"")="是",N($R101)=0),"无成本价·请先录采购或填参考成本",IF(N($T101)&lt;0,"毛利为负·请核对","√"))))))))))))</f>
        <v/>
      </c>
      <c r="M101" s="49" t="str">
        <f aca="false">IF($E101="","",IFERROR(INDEX(基础资料!$R$6:$R$205,MATCH($E101,基础资料!$Q$6:$Q$205,0)),""))</f>
        <v/>
      </c>
      <c r="N101" s="49" t="str">
        <f aca="false">IF($E101="","",IFERROR(INDEX(基础资料!$S$6:$S$205,MATCH($E101,基础资料!$Q$6:$Q$205,0)),""))</f>
        <v/>
      </c>
      <c r="O101" s="48" t="str">
        <f aca="false">IF(OR($F101="",$G101=""),"",ROUND(N($F101)*N($G101),2))</f>
        <v/>
      </c>
      <c r="P101" s="48" t="str">
        <f aca="false">IF($O101="","",ROUND(N($O101)*N($H101),2))</f>
        <v/>
      </c>
      <c r="Q101" s="48" t="str">
        <f aca="false">IF($O101="","",N($O101)+N($P101))</f>
        <v/>
      </c>
      <c r="R101" s="48" t="str">
        <f aca="false">IF(OR($E101="",$B101=""),"",IF(IFERROR(INDEX(基础资料!$V$6:$V$205,MATCH($E101,基础资料!$Q$6:$Q$205,0)),"")&lt;&gt;"是",0,IFERROR((SUMIFS(期初数据!$T$6:$T$205,期初数据!$O$6:$O$205,$E101)+SUMIFS(采购录入!$Q$5:$Q$404,采购录入!$E$5:$E$404,$E101,采购录入!$I$5:$I$404,"是",采购录入!$B$5:$B$404,"&lt;="&amp;$B101))/(SUMIFS(期初数据!$R$6:$R$205,期初数据!$O$6:$O$205,$E101)+SUMIFS(采购录入!$F$5:$F$404,采购录入!$E$5:$E$404,$E101,采购录入!$I$5:$I$404,"是",采购录入!$B$5:$B$404,"&lt;="&amp;$B101)),IFERROR(INDEX(基础资料!$U$6:$U$205,MATCH($E101,基础资料!$Q$6:$Q$205,0)),0))))</f>
        <v/>
      </c>
      <c r="S101" s="48" t="str">
        <f aca="false">IF($O101="","",ROUND(N($F101)*N($R101),2))</f>
        <v/>
      </c>
      <c r="T101" s="48" t="str">
        <f aca="false">IF($O101="","",N($O101)-N($S101))</f>
        <v/>
      </c>
      <c r="U101" s="52" t="str">
        <f aca="false">IF(OR($B101="",$D101=""),"",$B101+N(IFERROR(INDEX(基础资料!$AB$6:$AB$155,MATCH($D101,基础资料!$Z$6:$Z$155,0)),0)))</f>
        <v/>
      </c>
      <c r="V101" s="49" t="str">
        <f aca="false">IF($O101="","","1122")</f>
        <v/>
      </c>
      <c r="W101" s="49" t="str">
        <f aca="false">IF($O101="","","6001")</f>
        <v/>
      </c>
      <c r="X101" s="48" t="str">
        <f aca="false">IF($O101="","",$O101)</f>
        <v/>
      </c>
      <c r="Y101" s="49" t="str">
        <f aca="false">IF(N($P101)=0,"","1122")</f>
        <v/>
      </c>
      <c r="Z101" s="49" t="str">
        <f aca="false">IF(N($P101)=0,"","2221")</f>
        <v/>
      </c>
      <c r="AA101" s="48" t="str">
        <f aca="false">IF(N($P101)=0,"",$P101)</f>
        <v/>
      </c>
      <c r="AB101" s="49" t="str">
        <f aca="false">IF(N($S101)=0,"","6401")</f>
        <v/>
      </c>
      <c r="AC101" s="49" t="str">
        <f aca="false">IF(N($S101)=0,"","1405")</f>
        <v/>
      </c>
      <c r="AD101" s="48" t="str">
        <f aca="false">IF(N($S101)=0,"",$S101)</f>
        <v/>
      </c>
      <c r="AE101" s="49" t="str">
        <f aca="false">IF(AND($D101=客户对账单!$B$3,$B101&gt;=客户对账单!$E$3,$B101&lt;=客户对账单!$H$3),COUNTIFS($D$5:$D101,客户对账单!$B$3,$B$5:$B101,"&gt;="&amp;客户对账单!$E$3,$B$5:$B101,"&lt;="&amp;客户对账单!$H$3),"")</f>
        <v/>
      </c>
    </row>
    <row r="102" customFormat="false" ht="15.75" hidden="false" customHeight="true" outlineLevel="0" collapsed="false">
      <c r="A102" s="42" t="str">
        <f aca="false">IF($B102="","","XS"&amp;TEXT($B102,"yyyymm")&amp;"-"&amp;TEXT(ROW()-4,"000"))</f>
        <v/>
      </c>
      <c r="B102" s="41"/>
      <c r="C102" s="42" t="str">
        <f aca="false">IF($B102="","",TEXT($B102,"yyyy-mm"))</f>
        <v/>
      </c>
      <c r="D102" s="32"/>
      <c r="E102" s="36"/>
      <c r="F102" s="43"/>
      <c r="G102" s="40"/>
      <c r="H102" s="51"/>
      <c r="I102" s="33"/>
      <c r="J102" s="33"/>
      <c r="K102" s="36"/>
      <c r="L102" s="47" t="str">
        <f aca="false">IF($B102="","",IF(NOT(ISNUMBER($B102)),"日期不是日期格式",IF(YEAR($B102)&lt;&gt;首页!$B$3,"不在会计年度",IF($D102="","未选客户",IF(ISNA(MATCH($D102,基础资料!$Z$6:$Z$155,0)),"客户不在档案",IF($E102="","未选商品",IF(ISNA(MATCH($E102,基础资料!$Q$6:$Q$205,0)),"商品不在档案",IF(NOT(ISNUMBER($F102)),"数量须为数字",IF(NOT(ISNUMBER($G102)),"单价须为数字",IF(N($F102)&lt;=0,"数量须大于0",IF(AND(IFERROR(INDEX(基础资料!$V$6:$V$205,MATCH($E102,基础资料!$Q$6:$Q$205,0)),"")="是",N($R102)=0),"无成本价·请先录采购或填参考成本",IF(N($T102)&lt;0,"毛利为负·请核对","√"))))))))))))</f>
        <v/>
      </c>
      <c r="M102" s="49" t="str">
        <f aca="false">IF($E102="","",IFERROR(INDEX(基础资料!$R$6:$R$205,MATCH($E102,基础资料!$Q$6:$Q$205,0)),""))</f>
        <v/>
      </c>
      <c r="N102" s="49" t="str">
        <f aca="false">IF($E102="","",IFERROR(INDEX(基础资料!$S$6:$S$205,MATCH($E102,基础资料!$Q$6:$Q$205,0)),""))</f>
        <v/>
      </c>
      <c r="O102" s="48" t="str">
        <f aca="false">IF(OR($F102="",$G102=""),"",ROUND(N($F102)*N($G102),2))</f>
        <v/>
      </c>
      <c r="P102" s="48" t="str">
        <f aca="false">IF($O102="","",ROUND(N($O102)*N($H102),2))</f>
        <v/>
      </c>
      <c r="Q102" s="48" t="str">
        <f aca="false">IF($O102="","",N($O102)+N($P102))</f>
        <v/>
      </c>
      <c r="R102" s="48" t="str">
        <f aca="false">IF(OR($E102="",$B102=""),"",IF(IFERROR(INDEX(基础资料!$V$6:$V$205,MATCH($E102,基础资料!$Q$6:$Q$205,0)),"")&lt;&gt;"是",0,IFERROR((SUMIFS(期初数据!$T$6:$T$205,期初数据!$O$6:$O$205,$E102)+SUMIFS(采购录入!$Q$5:$Q$404,采购录入!$E$5:$E$404,$E102,采购录入!$I$5:$I$404,"是",采购录入!$B$5:$B$404,"&lt;="&amp;$B102))/(SUMIFS(期初数据!$R$6:$R$205,期初数据!$O$6:$O$205,$E102)+SUMIFS(采购录入!$F$5:$F$404,采购录入!$E$5:$E$404,$E102,采购录入!$I$5:$I$404,"是",采购录入!$B$5:$B$404,"&lt;="&amp;$B102)),IFERROR(INDEX(基础资料!$U$6:$U$205,MATCH($E102,基础资料!$Q$6:$Q$205,0)),0))))</f>
        <v/>
      </c>
      <c r="S102" s="48" t="str">
        <f aca="false">IF($O102="","",ROUND(N($F102)*N($R102),2))</f>
        <v/>
      </c>
      <c r="T102" s="48" t="str">
        <f aca="false">IF($O102="","",N($O102)-N($S102))</f>
        <v/>
      </c>
      <c r="U102" s="52" t="str">
        <f aca="false">IF(OR($B102="",$D102=""),"",$B102+N(IFERROR(INDEX(基础资料!$AB$6:$AB$155,MATCH($D102,基础资料!$Z$6:$Z$155,0)),0)))</f>
        <v/>
      </c>
      <c r="V102" s="49" t="str">
        <f aca="false">IF($O102="","","1122")</f>
        <v/>
      </c>
      <c r="W102" s="49" t="str">
        <f aca="false">IF($O102="","","6001")</f>
        <v/>
      </c>
      <c r="X102" s="48" t="str">
        <f aca="false">IF($O102="","",$O102)</f>
        <v/>
      </c>
      <c r="Y102" s="49" t="str">
        <f aca="false">IF(N($P102)=0,"","1122")</f>
        <v/>
      </c>
      <c r="Z102" s="49" t="str">
        <f aca="false">IF(N($P102)=0,"","2221")</f>
        <v/>
      </c>
      <c r="AA102" s="48" t="str">
        <f aca="false">IF(N($P102)=0,"",$P102)</f>
        <v/>
      </c>
      <c r="AB102" s="49" t="str">
        <f aca="false">IF(N($S102)=0,"","6401")</f>
        <v/>
      </c>
      <c r="AC102" s="49" t="str">
        <f aca="false">IF(N($S102)=0,"","1405")</f>
        <v/>
      </c>
      <c r="AD102" s="48" t="str">
        <f aca="false">IF(N($S102)=0,"",$S102)</f>
        <v/>
      </c>
      <c r="AE102" s="49" t="str">
        <f aca="false">IF(AND($D102=客户对账单!$B$3,$B102&gt;=客户对账单!$E$3,$B102&lt;=客户对账单!$H$3),COUNTIFS($D$5:$D102,客户对账单!$B$3,$B$5:$B102,"&gt;="&amp;客户对账单!$E$3,$B$5:$B102,"&lt;="&amp;客户对账单!$H$3),"")</f>
        <v/>
      </c>
    </row>
    <row r="103" customFormat="false" ht="15.75" hidden="false" customHeight="true" outlineLevel="0" collapsed="false">
      <c r="A103" s="42" t="str">
        <f aca="false">IF($B103="","","XS"&amp;TEXT($B103,"yyyymm")&amp;"-"&amp;TEXT(ROW()-4,"000"))</f>
        <v/>
      </c>
      <c r="B103" s="41"/>
      <c r="C103" s="42" t="str">
        <f aca="false">IF($B103="","",TEXT($B103,"yyyy-mm"))</f>
        <v/>
      </c>
      <c r="D103" s="32"/>
      <c r="E103" s="36"/>
      <c r="F103" s="43"/>
      <c r="G103" s="40"/>
      <c r="H103" s="51"/>
      <c r="I103" s="33"/>
      <c r="J103" s="33"/>
      <c r="K103" s="36"/>
      <c r="L103" s="47" t="str">
        <f aca="false">IF($B103="","",IF(NOT(ISNUMBER($B103)),"日期不是日期格式",IF(YEAR($B103)&lt;&gt;首页!$B$3,"不在会计年度",IF($D103="","未选客户",IF(ISNA(MATCH($D103,基础资料!$Z$6:$Z$155,0)),"客户不在档案",IF($E103="","未选商品",IF(ISNA(MATCH($E103,基础资料!$Q$6:$Q$205,0)),"商品不在档案",IF(NOT(ISNUMBER($F103)),"数量须为数字",IF(NOT(ISNUMBER($G103)),"单价须为数字",IF(N($F103)&lt;=0,"数量须大于0",IF(AND(IFERROR(INDEX(基础资料!$V$6:$V$205,MATCH($E103,基础资料!$Q$6:$Q$205,0)),"")="是",N($R103)=0),"无成本价·请先录采购或填参考成本",IF(N($T103)&lt;0,"毛利为负·请核对","√"))))))))))))</f>
        <v/>
      </c>
      <c r="M103" s="49" t="str">
        <f aca="false">IF($E103="","",IFERROR(INDEX(基础资料!$R$6:$R$205,MATCH($E103,基础资料!$Q$6:$Q$205,0)),""))</f>
        <v/>
      </c>
      <c r="N103" s="49" t="str">
        <f aca="false">IF($E103="","",IFERROR(INDEX(基础资料!$S$6:$S$205,MATCH($E103,基础资料!$Q$6:$Q$205,0)),""))</f>
        <v/>
      </c>
      <c r="O103" s="48" t="str">
        <f aca="false">IF(OR($F103="",$G103=""),"",ROUND(N($F103)*N($G103),2))</f>
        <v/>
      </c>
      <c r="P103" s="48" t="str">
        <f aca="false">IF($O103="","",ROUND(N($O103)*N($H103),2))</f>
        <v/>
      </c>
      <c r="Q103" s="48" t="str">
        <f aca="false">IF($O103="","",N($O103)+N($P103))</f>
        <v/>
      </c>
      <c r="R103" s="48" t="str">
        <f aca="false">IF(OR($E103="",$B103=""),"",IF(IFERROR(INDEX(基础资料!$V$6:$V$205,MATCH($E103,基础资料!$Q$6:$Q$205,0)),"")&lt;&gt;"是",0,IFERROR((SUMIFS(期初数据!$T$6:$T$205,期初数据!$O$6:$O$205,$E103)+SUMIFS(采购录入!$Q$5:$Q$404,采购录入!$E$5:$E$404,$E103,采购录入!$I$5:$I$404,"是",采购录入!$B$5:$B$404,"&lt;="&amp;$B103))/(SUMIFS(期初数据!$R$6:$R$205,期初数据!$O$6:$O$205,$E103)+SUMIFS(采购录入!$F$5:$F$404,采购录入!$E$5:$E$404,$E103,采购录入!$I$5:$I$404,"是",采购录入!$B$5:$B$404,"&lt;="&amp;$B103)),IFERROR(INDEX(基础资料!$U$6:$U$205,MATCH($E103,基础资料!$Q$6:$Q$205,0)),0))))</f>
        <v/>
      </c>
      <c r="S103" s="48" t="str">
        <f aca="false">IF($O103="","",ROUND(N($F103)*N($R103),2))</f>
        <v/>
      </c>
      <c r="T103" s="48" t="str">
        <f aca="false">IF($O103="","",N($O103)-N($S103))</f>
        <v/>
      </c>
      <c r="U103" s="52" t="str">
        <f aca="false">IF(OR($B103="",$D103=""),"",$B103+N(IFERROR(INDEX(基础资料!$AB$6:$AB$155,MATCH($D103,基础资料!$Z$6:$Z$155,0)),0)))</f>
        <v/>
      </c>
      <c r="V103" s="49" t="str">
        <f aca="false">IF($O103="","","1122")</f>
        <v/>
      </c>
      <c r="W103" s="49" t="str">
        <f aca="false">IF($O103="","","6001")</f>
        <v/>
      </c>
      <c r="X103" s="48" t="str">
        <f aca="false">IF($O103="","",$O103)</f>
        <v/>
      </c>
      <c r="Y103" s="49" t="str">
        <f aca="false">IF(N($P103)=0,"","1122")</f>
        <v/>
      </c>
      <c r="Z103" s="49" t="str">
        <f aca="false">IF(N($P103)=0,"","2221")</f>
        <v/>
      </c>
      <c r="AA103" s="48" t="str">
        <f aca="false">IF(N($P103)=0,"",$P103)</f>
        <v/>
      </c>
      <c r="AB103" s="49" t="str">
        <f aca="false">IF(N($S103)=0,"","6401")</f>
        <v/>
      </c>
      <c r="AC103" s="49" t="str">
        <f aca="false">IF(N($S103)=0,"","1405")</f>
        <v/>
      </c>
      <c r="AD103" s="48" t="str">
        <f aca="false">IF(N($S103)=0,"",$S103)</f>
        <v/>
      </c>
      <c r="AE103" s="49" t="str">
        <f aca="false">IF(AND($D103=客户对账单!$B$3,$B103&gt;=客户对账单!$E$3,$B103&lt;=客户对账单!$H$3),COUNTIFS($D$5:$D103,客户对账单!$B$3,$B$5:$B103,"&gt;="&amp;客户对账单!$E$3,$B$5:$B103,"&lt;="&amp;客户对账单!$H$3),"")</f>
        <v/>
      </c>
    </row>
    <row r="104" customFormat="false" ht="15.75" hidden="false" customHeight="true" outlineLevel="0" collapsed="false">
      <c r="A104" s="42" t="str">
        <f aca="false">IF($B104="","","XS"&amp;TEXT($B104,"yyyymm")&amp;"-"&amp;TEXT(ROW()-4,"000"))</f>
        <v/>
      </c>
      <c r="B104" s="41"/>
      <c r="C104" s="42" t="str">
        <f aca="false">IF($B104="","",TEXT($B104,"yyyy-mm"))</f>
        <v/>
      </c>
      <c r="D104" s="32"/>
      <c r="E104" s="36"/>
      <c r="F104" s="43"/>
      <c r="G104" s="40"/>
      <c r="H104" s="51"/>
      <c r="I104" s="33"/>
      <c r="J104" s="33"/>
      <c r="K104" s="36"/>
      <c r="L104" s="47" t="str">
        <f aca="false">IF($B104="","",IF(NOT(ISNUMBER($B104)),"日期不是日期格式",IF(YEAR($B104)&lt;&gt;首页!$B$3,"不在会计年度",IF($D104="","未选客户",IF(ISNA(MATCH($D104,基础资料!$Z$6:$Z$155,0)),"客户不在档案",IF($E104="","未选商品",IF(ISNA(MATCH($E104,基础资料!$Q$6:$Q$205,0)),"商品不在档案",IF(NOT(ISNUMBER($F104)),"数量须为数字",IF(NOT(ISNUMBER($G104)),"单价须为数字",IF(N($F104)&lt;=0,"数量须大于0",IF(AND(IFERROR(INDEX(基础资料!$V$6:$V$205,MATCH($E104,基础资料!$Q$6:$Q$205,0)),"")="是",N($R104)=0),"无成本价·请先录采购或填参考成本",IF(N($T104)&lt;0,"毛利为负·请核对","√"))))))))))))</f>
        <v/>
      </c>
      <c r="M104" s="49" t="str">
        <f aca="false">IF($E104="","",IFERROR(INDEX(基础资料!$R$6:$R$205,MATCH($E104,基础资料!$Q$6:$Q$205,0)),""))</f>
        <v/>
      </c>
      <c r="N104" s="49" t="str">
        <f aca="false">IF($E104="","",IFERROR(INDEX(基础资料!$S$6:$S$205,MATCH($E104,基础资料!$Q$6:$Q$205,0)),""))</f>
        <v/>
      </c>
      <c r="O104" s="48" t="str">
        <f aca="false">IF(OR($F104="",$G104=""),"",ROUND(N($F104)*N($G104),2))</f>
        <v/>
      </c>
      <c r="P104" s="48" t="str">
        <f aca="false">IF($O104="","",ROUND(N($O104)*N($H104),2))</f>
        <v/>
      </c>
      <c r="Q104" s="48" t="str">
        <f aca="false">IF($O104="","",N($O104)+N($P104))</f>
        <v/>
      </c>
      <c r="R104" s="48" t="str">
        <f aca="false">IF(OR($E104="",$B104=""),"",IF(IFERROR(INDEX(基础资料!$V$6:$V$205,MATCH($E104,基础资料!$Q$6:$Q$205,0)),"")&lt;&gt;"是",0,IFERROR((SUMIFS(期初数据!$T$6:$T$205,期初数据!$O$6:$O$205,$E104)+SUMIFS(采购录入!$Q$5:$Q$404,采购录入!$E$5:$E$404,$E104,采购录入!$I$5:$I$404,"是",采购录入!$B$5:$B$404,"&lt;="&amp;$B104))/(SUMIFS(期初数据!$R$6:$R$205,期初数据!$O$6:$O$205,$E104)+SUMIFS(采购录入!$F$5:$F$404,采购录入!$E$5:$E$404,$E104,采购录入!$I$5:$I$404,"是",采购录入!$B$5:$B$404,"&lt;="&amp;$B104)),IFERROR(INDEX(基础资料!$U$6:$U$205,MATCH($E104,基础资料!$Q$6:$Q$205,0)),0))))</f>
        <v/>
      </c>
      <c r="S104" s="48" t="str">
        <f aca="false">IF($O104="","",ROUND(N($F104)*N($R104),2))</f>
        <v/>
      </c>
      <c r="T104" s="48" t="str">
        <f aca="false">IF($O104="","",N($O104)-N($S104))</f>
        <v/>
      </c>
      <c r="U104" s="52" t="str">
        <f aca="false">IF(OR($B104="",$D104=""),"",$B104+N(IFERROR(INDEX(基础资料!$AB$6:$AB$155,MATCH($D104,基础资料!$Z$6:$Z$155,0)),0)))</f>
        <v/>
      </c>
      <c r="V104" s="49" t="str">
        <f aca="false">IF($O104="","","1122")</f>
        <v/>
      </c>
      <c r="W104" s="49" t="str">
        <f aca="false">IF($O104="","","6001")</f>
        <v/>
      </c>
      <c r="X104" s="48" t="str">
        <f aca="false">IF($O104="","",$O104)</f>
        <v/>
      </c>
      <c r="Y104" s="49" t="str">
        <f aca="false">IF(N($P104)=0,"","1122")</f>
        <v/>
      </c>
      <c r="Z104" s="49" t="str">
        <f aca="false">IF(N($P104)=0,"","2221")</f>
        <v/>
      </c>
      <c r="AA104" s="48" t="str">
        <f aca="false">IF(N($P104)=0,"",$P104)</f>
        <v/>
      </c>
      <c r="AB104" s="49" t="str">
        <f aca="false">IF(N($S104)=0,"","6401")</f>
        <v/>
      </c>
      <c r="AC104" s="49" t="str">
        <f aca="false">IF(N($S104)=0,"","1405")</f>
        <v/>
      </c>
      <c r="AD104" s="48" t="str">
        <f aca="false">IF(N($S104)=0,"",$S104)</f>
        <v/>
      </c>
      <c r="AE104" s="49" t="str">
        <f aca="false">IF(AND($D104=客户对账单!$B$3,$B104&gt;=客户对账单!$E$3,$B104&lt;=客户对账单!$H$3),COUNTIFS($D$5:$D104,客户对账单!$B$3,$B$5:$B104,"&gt;="&amp;客户对账单!$E$3,$B$5:$B104,"&lt;="&amp;客户对账单!$H$3),"")</f>
        <v/>
      </c>
    </row>
    <row r="105" customFormat="false" ht="15.75" hidden="false" customHeight="true" outlineLevel="0" collapsed="false">
      <c r="A105" s="42" t="str">
        <f aca="false">IF($B105="","","XS"&amp;TEXT($B105,"yyyymm")&amp;"-"&amp;TEXT(ROW()-4,"000"))</f>
        <v/>
      </c>
      <c r="B105" s="41"/>
      <c r="C105" s="42" t="str">
        <f aca="false">IF($B105="","",TEXT($B105,"yyyy-mm"))</f>
        <v/>
      </c>
      <c r="D105" s="32"/>
      <c r="E105" s="36"/>
      <c r="F105" s="43"/>
      <c r="G105" s="40"/>
      <c r="H105" s="51"/>
      <c r="I105" s="33"/>
      <c r="J105" s="33"/>
      <c r="K105" s="36"/>
      <c r="L105" s="47" t="str">
        <f aca="false">IF($B105="","",IF(NOT(ISNUMBER($B105)),"日期不是日期格式",IF(YEAR($B105)&lt;&gt;首页!$B$3,"不在会计年度",IF($D105="","未选客户",IF(ISNA(MATCH($D105,基础资料!$Z$6:$Z$155,0)),"客户不在档案",IF($E105="","未选商品",IF(ISNA(MATCH($E105,基础资料!$Q$6:$Q$205,0)),"商品不在档案",IF(NOT(ISNUMBER($F105)),"数量须为数字",IF(NOT(ISNUMBER($G105)),"单价须为数字",IF(N($F105)&lt;=0,"数量须大于0",IF(AND(IFERROR(INDEX(基础资料!$V$6:$V$205,MATCH($E105,基础资料!$Q$6:$Q$205,0)),"")="是",N($R105)=0),"无成本价·请先录采购或填参考成本",IF(N($T105)&lt;0,"毛利为负·请核对","√"))))))))))))</f>
        <v/>
      </c>
      <c r="M105" s="49" t="str">
        <f aca="false">IF($E105="","",IFERROR(INDEX(基础资料!$R$6:$R$205,MATCH($E105,基础资料!$Q$6:$Q$205,0)),""))</f>
        <v/>
      </c>
      <c r="N105" s="49" t="str">
        <f aca="false">IF($E105="","",IFERROR(INDEX(基础资料!$S$6:$S$205,MATCH($E105,基础资料!$Q$6:$Q$205,0)),""))</f>
        <v/>
      </c>
      <c r="O105" s="48" t="str">
        <f aca="false">IF(OR($F105="",$G105=""),"",ROUND(N($F105)*N($G105),2))</f>
        <v/>
      </c>
      <c r="P105" s="48" t="str">
        <f aca="false">IF($O105="","",ROUND(N($O105)*N($H105),2))</f>
        <v/>
      </c>
      <c r="Q105" s="48" t="str">
        <f aca="false">IF($O105="","",N($O105)+N($P105))</f>
        <v/>
      </c>
      <c r="R105" s="48" t="str">
        <f aca="false">IF(OR($E105="",$B105=""),"",IF(IFERROR(INDEX(基础资料!$V$6:$V$205,MATCH($E105,基础资料!$Q$6:$Q$205,0)),"")&lt;&gt;"是",0,IFERROR((SUMIFS(期初数据!$T$6:$T$205,期初数据!$O$6:$O$205,$E105)+SUMIFS(采购录入!$Q$5:$Q$404,采购录入!$E$5:$E$404,$E105,采购录入!$I$5:$I$404,"是",采购录入!$B$5:$B$404,"&lt;="&amp;$B105))/(SUMIFS(期初数据!$R$6:$R$205,期初数据!$O$6:$O$205,$E105)+SUMIFS(采购录入!$F$5:$F$404,采购录入!$E$5:$E$404,$E105,采购录入!$I$5:$I$404,"是",采购录入!$B$5:$B$404,"&lt;="&amp;$B105)),IFERROR(INDEX(基础资料!$U$6:$U$205,MATCH($E105,基础资料!$Q$6:$Q$205,0)),0))))</f>
        <v/>
      </c>
      <c r="S105" s="48" t="str">
        <f aca="false">IF($O105="","",ROUND(N($F105)*N($R105),2))</f>
        <v/>
      </c>
      <c r="T105" s="48" t="str">
        <f aca="false">IF($O105="","",N($O105)-N($S105))</f>
        <v/>
      </c>
      <c r="U105" s="52" t="str">
        <f aca="false">IF(OR($B105="",$D105=""),"",$B105+N(IFERROR(INDEX(基础资料!$AB$6:$AB$155,MATCH($D105,基础资料!$Z$6:$Z$155,0)),0)))</f>
        <v/>
      </c>
      <c r="V105" s="49" t="str">
        <f aca="false">IF($O105="","","1122")</f>
        <v/>
      </c>
      <c r="W105" s="49" t="str">
        <f aca="false">IF($O105="","","6001")</f>
        <v/>
      </c>
      <c r="X105" s="48" t="str">
        <f aca="false">IF($O105="","",$O105)</f>
        <v/>
      </c>
      <c r="Y105" s="49" t="str">
        <f aca="false">IF(N($P105)=0,"","1122")</f>
        <v/>
      </c>
      <c r="Z105" s="49" t="str">
        <f aca="false">IF(N($P105)=0,"","2221")</f>
        <v/>
      </c>
      <c r="AA105" s="48" t="str">
        <f aca="false">IF(N($P105)=0,"",$P105)</f>
        <v/>
      </c>
      <c r="AB105" s="49" t="str">
        <f aca="false">IF(N($S105)=0,"","6401")</f>
        <v/>
      </c>
      <c r="AC105" s="49" t="str">
        <f aca="false">IF(N($S105)=0,"","1405")</f>
        <v/>
      </c>
      <c r="AD105" s="48" t="str">
        <f aca="false">IF(N($S105)=0,"",$S105)</f>
        <v/>
      </c>
      <c r="AE105" s="49" t="str">
        <f aca="false">IF(AND($D105=客户对账单!$B$3,$B105&gt;=客户对账单!$E$3,$B105&lt;=客户对账单!$H$3),COUNTIFS($D$5:$D105,客户对账单!$B$3,$B$5:$B105,"&gt;="&amp;客户对账单!$E$3,$B$5:$B105,"&lt;="&amp;客户对账单!$H$3),"")</f>
        <v/>
      </c>
    </row>
    <row r="106" customFormat="false" ht="15.75" hidden="false" customHeight="true" outlineLevel="0" collapsed="false">
      <c r="A106" s="42" t="str">
        <f aca="false">IF($B106="","","XS"&amp;TEXT($B106,"yyyymm")&amp;"-"&amp;TEXT(ROW()-4,"000"))</f>
        <v/>
      </c>
      <c r="B106" s="41"/>
      <c r="C106" s="42" t="str">
        <f aca="false">IF($B106="","",TEXT($B106,"yyyy-mm"))</f>
        <v/>
      </c>
      <c r="D106" s="32"/>
      <c r="E106" s="36"/>
      <c r="F106" s="43"/>
      <c r="G106" s="40"/>
      <c r="H106" s="51"/>
      <c r="I106" s="33"/>
      <c r="J106" s="33"/>
      <c r="K106" s="36"/>
      <c r="L106" s="47" t="str">
        <f aca="false">IF($B106="","",IF(NOT(ISNUMBER($B106)),"日期不是日期格式",IF(YEAR($B106)&lt;&gt;首页!$B$3,"不在会计年度",IF($D106="","未选客户",IF(ISNA(MATCH($D106,基础资料!$Z$6:$Z$155,0)),"客户不在档案",IF($E106="","未选商品",IF(ISNA(MATCH($E106,基础资料!$Q$6:$Q$205,0)),"商品不在档案",IF(NOT(ISNUMBER($F106)),"数量须为数字",IF(NOT(ISNUMBER($G106)),"单价须为数字",IF(N($F106)&lt;=0,"数量须大于0",IF(AND(IFERROR(INDEX(基础资料!$V$6:$V$205,MATCH($E106,基础资料!$Q$6:$Q$205,0)),"")="是",N($R106)=0),"无成本价·请先录采购或填参考成本",IF(N($T106)&lt;0,"毛利为负·请核对","√"))))))))))))</f>
        <v/>
      </c>
      <c r="M106" s="49" t="str">
        <f aca="false">IF($E106="","",IFERROR(INDEX(基础资料!$R$6:$R$205,MATCH($E106,基础资料!$Q$6:$Q$205,0)),""))</f>
        <v/>
      </c>
      <c r="N106" s="49" t="str">
        <f aca="false">IF($E106="","",IFERROR(INDEX(基础资料!$S$6:$S$205,MATCH($E106,基础资料!$Q$6:$Q$205,0)),""))</f>
        <v/>
      </c>
      <c r="O106" s="48" t="str">
        <f aca="false">IF(OR($F106="",$G106=""),"",ROUND(N($F106)*N($G106),2))</f>
        <v/>
      </c>
      <c r="P106" s="48" t="str">
        <f aca="false">IF($O106="","",ROUND(N($O106)*N($H106),2))</f>
        <v/>
      </c>
      <c r="Q106" s="48" t="str">
        <f aca="false">IF($O106="","",N($O106)+N($P106))</f>
        <v/>
      </c>
      <c r="R106" s="48" t="str">
        <f aca="false">IF(OR($E106="",$B106=""),"",IF(IFERROR(INDEX(基础资料!$V$6:$V$205,MATCH($E106,基础资料!$Q$6:$Q$205,0)),"")&lt;&gt;"是",0,IFERROR((SUMIFS(期初数据!$T$6:$T$205,期初数据!$O$6:$O$205,$E106)+SUMIFS(采购录入!$Q$5:$Q$404,采购录入!$E$5:$E$404,$E106,采购录入!$I$5:$I$404,"是",采购录入!$B$5:$B$404,"&lt;="&amp;$B106))/(SUMIFS(期初数据!$R$6:$R$205,期初数据!$O$6:$O$205,$E106)+SUMIFS(采购录入!$F$5:$F$404,采购录入!$E$5:$E$404,$E106,采购录入!$I$5:$I$404,"是",采购录入!$B$5:$B$404,"&lt;="&amp;$B106)),IFERROR(INDEX(基础资料!$U$6:$U$205,MATCH($E106,基础资料!$Q$6:$Q$205,0)),0))))</f>
        <v/>
      </c>
      <c r="S106" s="48" t="str">
        <f aca="false">IF($O106="","",ROUND(N($F106)*N($R106),2))</f>
        <v/>
      </c>
      <c r="T106" s="48" t="str">
        <f aca="false">IF($O106="","",N($O106)-N($S106))</f>
        <v/>
      </c>
      <c r="U106" s="52" t="str">
        <f aca="false">IF(OR($B106="",$D106=""),"",$B106+N(IFERROR(INDEX(基础资料!$AB$6:$AB$155,MATCH($D106,基础资料!$Z$6:$Z$155,0)),0)))</f>
        <v/>
      </c>
      <c r="V106" s="49" t="str">
        <f aca="false">IF($O106="","","1122")</f>
        <v/>
      </c>
      <c r="W106" s="49" t="str">
        <f aca="false">IF($O106="","","6001")</f>
        <v/>
      </c>
      <c r="X106" s="48" t="str">
        <f aca="false">IF($O106="","",$O106)</f>
        <v/>
      </c>
      <c r="Y106" s="49" t="str">
        <f aca="false">IF(N($P106)=0,"","1122")</f>
        <v/>
      </c>
      <c r="Z106" s="49" t="str">
        <f aca="false">IF(N($P106)=0,"","2221")</f>
        <v/>
      </c>
      <c r="AA106" s="48" t="str">
        <f aca="false">IF(N($P106)=0,"",$P106)</f>
        <v/>
      </c>
      <c r="AB106" s="49" t="str">
        <f aca="false">IF(N($S106)=0,"","6401")</f>
        <v/>
      </c>
      <c r="AC106" s="49" t="str">
        <f aca="false">IF(N($S106)=0,"","1405")</f>
        <v/>
      </c>
      <c r="AD106" s="48" t="str">
        <f aca="false">IF(N($S106)=0,"",$S106)</f>
        <v/>
      </c>
      <c r="AE106" s="49" t="str">
        <f aca="false">IF(AND($D106=客户对账单!$B$3,$B106&gt;=客户对账单!$E$3,$B106&lt;=客户对账单!$H$3),COUNTIFS($D$5:$D106,客户对账单!$B$3,$B$5:$B106,"&gt;="&amp;客户对账单!$E$3,$B$5:$B106,"&lt;="&amp;客户对账单!$H$3),"")</f>
        <v/>
      </c>
    </row>
    <row r="107" customFormat="false" ht="15.75" hidden="false" customHeight="true" outlineLevel="0" collapsed="false">
      <c r="A107" s="42" t="str">
        <f aca="false">IF($B107="","","XS"&amp;TEXT($B107,"yyyymm")&amp;"-"&amp;TEXT(ROW()-4,"000"))</f>
        <v/>
      </c>
      <c r="B107" s="41"/>
      <c r="C107" s="42" t="str">
        <f aca="false">IF($B107="","",TEXT($B107,"yyyy-mm"))</f>
        <v/>
      </c>
      <c r="D107" s="32"/>
      <c r="E107" s="36"/>
      <c r="F107" s="43"/>
      <c r="G107" s="40"/>
      <c r="H107" s="51"/>
      <c r="I107" s="33"/>
      <c r="J107" s="33"/>
      <c r="K107" s="36"/>
      <c r="L107" s="47" t="str">
        <f aca="false">IF($B107="","",IF(NOT(ISNUMBER($B107)),"日期不是日期格式",IF(YEAR($B107)&lt;&gt;首页!$B$3,"不在会计年度",IF($D107="","未选客户",IF(ISNA(MATCH($D107,基础资料!$Z$6:$Z$155,0)),"客户不在档案",IF($E107="","未选商品",IF(ISNA(MATCH($E107,基础资料!$Q$6:$Q$205,0)),"商品不在档案",IF(NOT(ISNUMBER($F107)),"数量须为数字",IF(NOT(ISNUMBER($G107)),"单价须为数字",IF(N($F107)&lt;=0,"数量须大于0",IF(AND(IFERROR(INDEX(基础资料!$V$6:$V$205,MATCH($E107,基础资料!$Q$6:$Q$205,0)),"")="是",N($R107)=0),"无成本价·请先录采购或填参考成本",IF(N($T107)&lt;0,"毛利为负·请核对","√"))))))))))))</f>
        <v/>
      </c>
      <c r="M107" s="49" t="str">
        <f aca="false">IF($E107="","",IFERROR(INDEX(基础资料!$R$6:$R$205,MATCH($E107,基础资料!$Q$6:$Q$205,0)),""))</f>
        <v/>
      </c>
      <c r="N107" s="49" t="str">
        <f aca="false">IF($E107="","",IFERROR(INDEX(基础资料!$S$6:$S$205,MATCH($E107,基础资料!$Q$6:$Q$205,0)),""))</f>
        <v/>
      </c>
      <c r="O107" s="48" t="str">
        <f aca="false">IF(OR($F107="",$G107=""),"",ROUND(N($F107)*N($G107),2))</f>
        <v/>
      </c>
      <c r="P107" s="48" t="str">
        <f aca="false">IF($O107="","",ROUND(N($O107)*N($H107),2))</f>
        <v/>
      </c>
      <c r="Q107" s="48" t="str">
        <f aca="false">IF($O107="","",N($O107)+N($P107))</f>
        <v/>
      </c>
      <c r="R107" s="48" t="str">
        <f aca="false">IF(OR($E107="",$B107=""),"",IF(IFERROR(INDEX(基础资料!$V$6:$V$205,MATCH($E107,基础资料!$Q$6:$Q$205,0)),"")&lt;&gt;"是",0,IFERROR((SUMIFS(期初数据!$T$6:$T$205,期初数据!$O$6:$O$205,$E107)+SUMIFS(采购录入!$Q$5:$Q$404,采购录入!$E$5:$E$404,$E107,采购录入!$I$5:$I$404,"是",采购录入!$B$5:$B$404,"&lt;="&amp;$B107))/(SUMIFS(期初数据!$R$6:$R$205,期初数据!$O$6:$O$205,$E107)+SUMIFS(采购录入!$F$5:$F$404,采购录入!$E$5:$E$404,$E107,采购录入!$I$5:$I$404,"是",采购录入!$B$5:$B$404,"&lt;="&amp;$B107)),IFERROR(INDEX(基础资料!$U$6:$U$205,MATCH($E107,基础资料!$Q$6:$Q$205,0)),0))))</f>
        <v/>
      </c>
      <c r="S107" s="48" t="str">
        <f aca="false">IF($O107="","",ROUND(N($F107)*N($R107),2))</f>
        <v/>
      </c>
      <c r="T107" s="48" t="str">
        <f aca="false">IF($O107="","",N($O107)-N($S107))</f>
        <v/>
      </c>
      <c r="U107" s="52" t="str">
        <f aca="false">IF(OR($B107="",$D107=""),"",$B107+N(IFERROR(INDEX(基础资料!$AB$6:$AB$155,MATCH($D107,基础资料!$Z$6:$Z$155,0)),0)))</f>
        <v/>
      </c>
      <c r="V107" s="49" t="str">
        <f aca="false">IF($O107="","","1122")</f>
        <v/>
      </c>
      <c r="W107" s="49" t="str">
        <f aca="false">IF($O107="","","6001")</f>
        <v/>
      </c>
      <c r="X107" s="48" t="str">
        <f aca="false">IF($O107="","",$O107)</f>
        <v/>
      </c>
      <c r="Y107" s="49" t="str">
        <f aca="false">IF(N($P107)=0,"","1122")</f>
        <v/>
      </c>
      <c r="Z107" s="49" t="str">
        <f aca="false">IF(N($P107)=0,"","2221")</f>
        <v/>
      </c>
      <c r="AA107" s="48" t="str">
        <f aca="false">IF(N($P107)=0,"",$P107)</f>
        <v/>
      </c>
      <c r="AB107" s="49" t="str">
        <f aca="false">IF(N($S107)=0,"","6401")</f>
        <v/>
      </c>
      <c r="AC107" s="49" t="str">
        <f aca="false">IF(N($S107)=0,"","1405")</f>
        <v/>
      </c>
      <c r="AD107" s="48" t="str">
        <f aca="false">IF(N($S107)=0,"",$S107)</f>
        <v/>
      </c>
      <c r="AE107" s="49" t="str">
        <f aca="false">IF(AND($D107=客户对账单!$B$3,$B107&gt;=客户对账单!$E$3,$B107&lt;=客户对账单!$H$3),COUNTIFS($D$5:$D107,客户对账单!$B$3,$B$5:$B107,"&gt;="&amp;客户对账单!$E$3,$B$5:$B107,"&lt;="&amp;客户对账单!$H$3),"")</f>
        <v/>
      </c>
    </row>
    <row r="108" customFormat="false" ht="15.75" hidden="false" customHeight="true" outlineLevel="0" collapsed="false">
      <c r="A108" s="42" t="str">
        <f aca="false">IF($B108="","","XS"&amp;TEXT($B108,"yyyymm")&amp;"-"&amp;TEXT(ROW()-4,"000"))</f>
        <v/>
      </c>
      <c r="B108" s="41"/>
      <c r="C108" s="42" t="str">
        <f aca="false">IF($B108="","",TEXT($B108,"yyyy-mm"))</f>
        <v/>
      </c>
      <c r="D108" s="32"/>
      <c r="E108" s="36"/>
      <c r="F108" s="43"/>
      <c r="G108" s="40"/>
      <c r="H108" s="51"/>
      <c r="I108" s="33"/>
      <c r="J108" s="33"/>
      <c r="K108" s="36"/>
      <c r="L108" s="47" t="str">
        <f aca="false">IF($B108="","",IF(NOT(ISNUMBER($B108)),"日期不是日期格式",IF(YEAR($B108)&lt;&gt;首页!$B$3,"不在会计年度",IF($D108="","未选客户",IF(ISNA(MATCH($D108,基础资料!$Z$6:$Z$155,0)),"客户不在档案",IF($E108="","未选商品",IF(ISNA(MATCH($E108,基础资料!$Q$6:$Q$205,0)),"商品不在档案",IF(NOT(ISNUMBER($F108)),"数量须为数字",IF(NOT(ISNUMBER($G108)),"单价须为数字",IF(N($F108)&lt;=0,"数量须大于0",IF(AND(IFERROR(INDEX(基础资料!$V$6:$V$205,MATCH($E108,基础资料!$Q$6:$Q$205,0)),"")="是",N($R108)=0),"无成本价·请先录采购或填参考成本",IF(N($T108)&lt;0,"毛利为负·请核对","√"))))))))))))</f>
        <v/>
      </c>
      <c r="M108" s="49" t="str">
        <f aca="false">IF($E108="","",IFERROR(INDEX(基础资料!$R$6:$R$205,MATCH($E108,基础资料!$Q$6:$Q$205,0)),""))</f>
        <v/>
      </c>
      <c r="N108" s="49" t="str">
        <f aca="false">IF($E108="","",IFERROR(INDEX(基础资料!$S$6:$S$205,MATCH($E108,基础资料!$Q$6:$Q$205,0)),""))</f>
        <v/>
      </c>
      <c r="O108" s="48" t="str">
        <f aca="false">IF(OR($F108="",$G108=""),"",ROUND(N($F108)*N($G108),2))</f>
        <v/>
      </c>
      <c r="P108" s="48" t="str">
        <f aca="false">IF($O108="","",ROUND(N($O108)*N($H108),2))</f>
        <v/>
      </c>
      <c r="Q108" s="48" t="str">
        <f aca="false">IF($O108="","",N($O108)+N($P108))</f>
        <v/>
      </c>
      <c r="R108" s="48" t="str">
        <f aca="false">IF(OR($E108="",$B108=""),"",IF(IFERROR(INDEX(基础资料!$V$6:$V$205,MATCH($E108,基础资料!$Q$6:$Q$205,0)),"")&lt;&gt;"是",0,IFERROR((SUMIFS(期初数据!$T$6:$T$205,期初数据!$O$6:$O$205,$E108)+SUMIFS(采购录入!$Q$5:$Q$404,采购录入!$E$5:$E$404,$E108,采购录入!$I$5:$I$404,"是",采购录入!$B$5:$B$404,"&lt;="&amp;$B108))/(SUMIFS(期初数据!$R$6:$R$205,期初数据!$O$6:$O$205,$E108)+SUMIFS(采购录入!$F$5:$F$404,采购录入!$E$5:$E$404,$E108,采购录入!$I$5:$I$404,"是",采购录入!$B$5:$B$404,"&lt;="&amp;$B108)),IFERROR(INDEX(基础资料!$U$6:$U$205,MATCH($E108,基础资料!$Q$6:$Q$205,0)),0))))</f>
        <v/>
      </c>
      <c r="S108" s="48" t="str">
        <f aca="false">IF($O108="","",ROUND(N($F108)*N($R108),2))</f>
        <v/>
      </c>
      <c r="T108" s="48" t="str">
        <f aca="false">IF($O108="","",N($O108)-N($S108))</f>
        <v/>
      </c>
      <c r="U108" s="52" t="str">
        <f aca="false">IF(OR($B108="",$D108=""),"",$B108+N(IFERROR(INDEX(基础资料!$AB$6:$AB$155,MATCH($D108,基础资料!$Z$6:$Z$155,0)),0)))</f>
        <v/>
      </c>
      <c r="V108" s="49" t="str">
        <f aca="false">IF($O108="","","1122")</f>
        <v/>
      </c>
      <c r="W108" s="49" t="str">
        <f aca="false">IF($O108="","","6001")</f>
        <v/>
      </c>
      <c r="X108" s="48" t="str">
        <f aca="false">IF($O108="","",$O108)</f>
        <v/>
      </c>
      <c r="Y108" s="49" t="str">
        <f aca="false">IF(N($P108)=0,"","1122")</f>
        <v/>
      </c>
      <c r="Z108" s="49" t="str">
        <f aca="false">IF(N($P108)=0,"","2221")</f>
        <v/>
      </c>
      <c r="AA108" s="48" t="str">
        <f aca="false">IF(N($P108)=0,"",$P108)</f>
        <v/>
      </c>
      <c r="AB108" s="49" t="str">
        <f aca="false">IF(N($S108)=0,"","6401")</f>
        <v/>
      </c>
      <c r="AC108" s="49" t="str">
        <f aca="false">IF(N($S108)=0,"","1405")</f>
        <v/>
      </c>
      <c r="AD108" s="48" t="str">
        <f aca="false">IF(N($S108)=0,"",$S108)</f>
        <v/>
      </c>
      <c r="AE108" s="49" t="str">
        <f aca="false">IF(AND($D108=客户对账单!$B$3,$B108&gt;=客户对账单!$E$3,$B108&lt;=客户对账单!$H$3),COUNTIFS($D$5:$D108,客户对账单!$B$3,$B$5:$B108,"&gt;="&amp;客户对账单!$E$3,$B$5:$B108,"&lt;="&amp;客户对账单!$H$3),"")</f>
        <v/>
      </c>
    </row>
    <row r="109" customFormat="false" ht="15.75" hidden="false" customHeight="true" outlineLevel="0" collapsed="false">
      <c r="A109" s="42" t="str">
        <f aca="false">IF($B109="","","XS"&amp;TEXT($B109,"yyyymm")&amp;"-"&amp;TEXT(ROW()-4,"000"))</f>
        <v/>
      </c>
      <c r="B109" s="41"/>
      <c r="C109" s="42" t="str">
        <f aca="false">IF($B109="","",TEXT($B109,"yyyy-mm"))</f>
        <v/>
      </c>
      <c r="D109" s="32"/>
      <c r="E109" s="36"/>
      <c r="F109" s="43"/>
      <c r="G109" s="40"/>
      <c r="H109" s="51"/>
      <c r="I109" s="33"/>
      <c r="J109" s="33"/>
      <c r="K109" s="36"/>
      <c r="L109" s="47" t="str">
        <f aca="false">IF($B109="","",IF(NOT(ISNUMBER($B109)),"日期不是日期格式",IF(YEAR($B109)&lt;&gt;首页!$B$3,"不在会计年度",IF($D109="","未选客户",IF(ISNA(MATCH($D109,基础资料!$Z$6:$Z$155,0)),"客户不在档案",IF($E109="","未选商品",IF(ISNA(MATCH($E109,基础资料!$Q$6:$Q$205,0)),"商品不在档案",IF(NOT(ISNUMBER($F109)),"数量须为数字",IF(NOT(ISNUMBER($G109)),"单价须为数字",IF(N($F109)&lt;=0,"数量须大于0",IF(AND(IFERROR(INDEX(基础资料!$V$6:$V$205,MATCH($E109,基础资料!$Q$6:$Q$205,0)),"")="是",N($R109)=0),"无成本价·请先录采购或填参考成本",IF(N($T109)&lt;0,"毛利为负·请核对","√"))))))))))))</f>
        <v/>
      </c>
      <c r="M109" s="49" t="str">
        <f aca="false">IF($E109="","",IFERROR(INDEX(基础资料!$R$6:$R$205,MATCH($E109,基础资料!$Q$6:$Q$205,0)),""))</f>
        <v/>
      </c>
      <c r="N109" s="49" t="str">
        <f aca="false">IF($E109="","",IFERROR(INDEX(基础资料!$S$6:$S$205,MATCH($E109,基础资料!$Q$6:$Q$205,0)),""))</f>
        <v/>
      </c>
      <c r="O109" s="48" t="str">
        <f aca="false">IF(OR($F109="",$G109=""),"",ROUND(N($F109)*N($G109),2))</f>
        <v/>
      </c>
      <c r="P109" s="48" t="str">
        <f aca="false">IF($O109="","",ROUND(N($O109)*N($H109),2))</f>
        <v/>
      </c>
      <c r="Q109" s="48" t="str">
        <f aca="false">IF($O109="","",N($O109)+N($P109))</f>
        <v/>
      </c>
      <c r="R109" s="48" t="str">
        <f aca="false">IF(OR($E109="",$B109=""),"",IF(IFERROR(INDEX(基础资料!$V$6:$V$205,MATCH($E109,基础资料!$Q$6:$Q$205,0)),"")&lt;&gt;"是",0,IFERROR((SUMIFS(期初数据!$T$6:$T$205,期初数据!$O$6:$O$205,$E109)+SUMIFS(采购录入!$Q$5:$Q$404,采购录入!$E$5:$E$404,$E109,采购录入!$I$5:$I$404,"是",采购录入!$B$5:$B$404,"&lt;="&amp;$B109))/(SUMIFS(期初数据!$R$6:$R$205,期初数据!$O$6:$O$205,$E109)+SUMIFS(采购录入!$F$5:$F$404,采购录入!$E$5:$E$404,$E109,采购录入!$I$5:$I$404,"是",采购录入!$B$5:$B$404,"&lt;="&amp;$B109)),IFERROR(INDEX(基础资料!$U$6:$U$205,MATCH($E109,基础资料!$Q$6:$Q$205,0)),0))))</f>
        <v/>
      </c>
      <c r="S109" s="48" t="str">
        <f aca="false">IF($O109="","",ROUND(N($F109)*N($R109),2))</f>
        <v/>
      </c>
      <c r="T109" s="48" t="str">
        <f aca="false">IF($O109="","",N($O109)-N($S109))</f>
        <v/>
      </c>
      <c r="U109" s="52" t="str">
        <f aca="false">IF(OR($B109="",$D109=""),"",$B109+N(IFERROR(INDEX(基础资料!$AB$6:$AB$155,MATCH($D109,基础资料!$Z$6:$Z$155,0)),0)))</f>
        <v/>
      </c>
      <c r="V109" s="49" t="str">
        <f aca="false">IF($O109="","","1122")</f>
        <v/>
      </c>
      <c r="W109" s="49" t="str">
        <f aca="false">IF($O109="","","6001")</f>
        <v/>
      </c>
      <c r="X109" s="48" t="str">
        <f aca="false">IF($O109="","",$O109)</f>
        <v/>
      </c>
      <c r="Y109" s="49" t="str">
        <f aca="false">IF(N($P109)=0,"","1122")</f>
        <v/>
      </c>
      <c r="Z109" s="49" t="str">
        <f aca="false">IF(N($P109)=0,"","2221")</f>
        <v/>
      </c>
      <c r="AA109" s="48" t="str">
        <f aca="false">IF(N($P109)=0,"",$P109)</f>
        <v/>
      </c>
      <c r="AB109" s="49" t="str">
        <f aca="false">IF(N($S109)=0,"","6401")</f>
        <v/>
      </c>
      <c r="AC109" s="49" t="str">
        <f aca="false">IF(N($S109)=0,"","1405")</f>
        <v/>
      </c>
      <c r="AD109" s="48" t="str">
        <f aca="false">IF(N($S109)=0,"",$S109)</f>
        <v/>
      </c>
      <c r="AE109" s="49" t="str">
        <f aca="false">IF(AND($D109=客户对账单!$B$3,$B109&gt;=客户对账单!$E$3,$B109&lt;=客户对账单!$H$3),COUNTIFS($D$5:$D109,客户对账单!$B$3,$B$5:$B109,"&gt;="&amp;客户对账单!$E$3,$B$5:$B109,"&lt;="&amp;客户对账单!$H$3),"")</f>
        <v/>
      </c>
    </row>
    <row r="110" customFormat="false" ht="15.75" hidden="false" customHeight="true" outlineLevel="0" collapsed="false">
      <c r="A110" s="42" t="str">
        <f aca="false">IF($B110="","","XS"&amp;TEXT($B110,"yyyymm")&amp;"-"&amp;TEXT(ROW()-4,"000"))</f>
        <v/>
      </c>
      <c r="B110" s="41"/>
      <c r="C110" s="42" t="str">
        <f aca="false">IF($B110="","",TEXT($B110,"yyyy-mm"))</f>
        <v/>
      </c>
      <c r="D110" s="32"/>
      <c r="E110" s="36"/>
      <c r="F110" s="43"/>
      <c r="G110" s="40"/>
      <c r="H110" s="51"/>
      <c r="I110" s="33"/>
      <c r="J110" s="33"/>
      <c r="K110" s="36"/>
      <c r="L110" s="47" t="str">
        <f aca="false">IF($B110="","",IF(NOT(ISNUMBER($B110)),"日期不是日期格式",IF(YEAR($B110)&lt;&gt;首页!$B$3,"不在会计年度",IF($D110="","未选客户",IF(ISNA(MATCH($D110,基础资料!$Z$6:$Z$155,0)),"客户不在档案",IF($E110="","未选商品",IF(ISNA(MATCH($E110,基础资料!$Q$6:$Q$205,0)),"商品不在档案",IF(NOT(ISNUMBER($F110)),"数量须为数字",IF(NOT(ISNUMBER($G110)),"单价须为数字",IF(N($F110)&lt;=0,"数量须大于0",IF(AND(IFERROR(INDEX(基础资料!$V$6:$V$205,MATCH($E110,基础资料!$Q$6:$Q$205,0)),"")="是",N($R110)=0),"无成本价·请先录采购或填参考成本",IF(N($T110)&lt;0,"毛利为负·请核对","√"))))))))))))</f>
        <v/>
      </c>
      <c r="M110" s="49" t="str">
        <f aca="false">IF($E110="","",IFERROR(INDEX(基础资料!$R$6:$R$205,MATCH($E110,基础资料!$Q$6:$Q$205,0)),""))</f>
        <v/>
      </c>
      <c r="N110" s="49" t="str">
        <f aca="false">IF($E110="","",IFERROR(INDEX(基础资料!$S$6:$S$205,MATCH($E110,基础资料!$Q$6:$Q$205,0)),""))</f>
        <v/>
      </c>
      <c r="O110" s="48" t="str">
        <f aca="false">IF(OR($F110="",$G110=""),"",ROUND(N($F110)*N($G110),2))</f>
        <v/>
      </c>
      <c r="P110" s="48" t="str">
        <f aca="false">IF($O110="","",ROUND(N($O110)*N($H110),2))</f>
        <v/>
      </c>
      <c r="Q110" s="48" t="str">
        <f aca="false">IF($O110="","",N($O110)+N($P110))</f>
        <v/>
      </c>
      <c r="R110" s="48" t="str">
        <f aca="false">IF(OR($E110="",$B110=""),"",IF(IFERROR(INDEX(基础资料!$V$6:$V$205,MATCH($E110,基础资料!$Q$6:$Q$205,0)),"")&lt;&gt;"是",0,IFERROR((SUMIFS(期初数据!$T$6:$T$205,期初数据!$O$6:$O$205,$E110)+SUMIFS(采购录入!$Q$5:$Q$404,采购录入!$E$5:$E$404,$E110,采购录入!$I$5:$I$404,"是",采购录入!$B$5:$B$404,"&lt;="&amp;$B110))/(SUMIFS(期初数据!$R$6:$R$205,期初数据!$O$6:$O$205,$E110)+SUMIFS(采购录入!$F$5:$F$404,采购录入!$E$5:$E$404,$E110,采购录入!$I$5:$I$404,"是",采购录入!$B$5:$B$404,"&lt;="&amp;$B110)),IFERROR(INDEX(基础资料!$U$6:$U$205,MATCH($E110,基础资料!$Q$6:$Q$205,0)),0))))</f>
        <v/>
      </c>
      <c r="S110" s="48" t="str">
        <f aca="false">IF($O110="","",ROUND(N($F110)*N($R110),2))</f>
        <v/>
      </c>
      <c r="T110" s="48" t="str">
        <f aca="false">IF($O110="","",N($O110)-N($S110))</f>
        <v/>
      </c>
      <c r="U110" s="52" t="str">
        <f aca="false">IF(OR($B110="",$D110=""),"",$B110+N(IFERROR(INDEX(基础资料!$AB$6:$AB$155,MATCH($D110,基础资料!$Z$6:$Z$155,0)),0)))</f>
        <v/>
      </c>
      <c r="V110" s="49" t="str">
        <f aca="false">IF($O110="","","1122")</f>
        <v/>
      </c>
      <c r="W110" s="49" t="str">
        <f aca="false">IF($O110="","","6001")</f>
        <v/>
      </c>
      <c r="X110" s="48" t="str">
        <f aca="false">IF($O110="","",$O110)</f>
        <v/>
      </c>
      <c r="Y110" s="49" t="str">
        <f aca="false">IF(N($P110)=0,"","1122")</f>
        <v/>
      </c>
      <c r="Z110" s="49" t="str">
        <f aca="false">IF(N($P110)=0,"","2221")</f>
        <v/>
      </c>
      <c r="AA110" s="48" t="str">
        <f aca="false">IF(N($P110)=0,"",$P110)</f>
        <v/>
      </c>
      <c r="AB110" s="49" t="str">
        <f aca="false">IF(N($S110)=0,"","6401")</f>
        <v/>
      </c>
      <c r="AC110" s="49" t="str">
        <f aca="false">IF(N($S110)=0,"","1405")</f>
        <v/>
      </c>
      <c r="AD110" s="48" t="str">
        <f aca="false">IF(N($S110)=0,"",$S110)</f>
        <v/>
      </c>
      <c r="AE110" s="49" t="str">
        <f aca="false">IF(AND($D110=客户对账单!$B$3,$B110&gt;=客户对账单!$E$3,$B110&lt;=客户对账单!$H$3),COUNTIFS($D$5:$D110,客户对账单!$B$3,$B$5:$B110,"&gt;="&amp;客户对账单!$E$3,$B$5:$B110,"&lt;="&amp;客户对账单!$H$3),"")</f>
        <v/>
      </c>
    </row>
    <row r="111" customFormat="false" ht="15.75" hidden="false" customHeight="true" outlineLevel="0" collapsed="false">
      <c r="A111" s="42" t="str">
        <f aca="false">IF($B111="","","XS"&amp;TEXT($B111,"yyyymm")&amp;"-"&amp;TEXT(ROW()-4,"000"))</f>
        <v/>
      </c>
      <c r="B111" s="41"/>
      <c r="C111" s="42" t="str">
        <f aca="false">IF($B111="","",TEXT($B111,"yyyy-mm"))</f>
        <v/>
      </c>
      <c r="D111" s="32"/>
      <c r="E111" s="36"/>
      <c r="F111" s="43"/>
      <c r="G111" s="40"/>
      <c r="H111" s="51"/>
      <c r="I111" s="33"/>
      <c r="J111" s="33"/>
      <c r="K111" s="36"/>
      <c r="L111" s="47" t="str">
        <f aca="false">IF($B111="","",IF(NOT(ISNUMBER($B111)),"日期不是日期格式",IF(YEAR($B111)&lt;&gt;首页!$B$3,"不在会计年度",IF($D111="","未选客户",IF(ISNA(MATCH($D111,基础资料!$Z$6:$Z$155,0)),"客户不在档案",IF($E111="","未选商品",IF(ISNA(MATCH($E111,基础资料!$Q$6:$Q$205,0)),"商品不在档案",IF(NOT(ISNUMBER($F111)),"数量须为数字",IF(NOT(ISNUMBER($G111)),"单价须为数字",IF(N($F111)&lt;=0,"数量须大于0",IF(AND(IFERROR(INDEX(基础资料!$V$6:$V$205,MATCH($E111,基础资料!$Q$6:$Q$205,0)),"")="是",N($R111)=0),"无成本价·请先录采购或填参考成本",IF(N($T111)&lt;0,"毛利为负·请核对","√"))))))))))))</f>
        <v/>
      </c>
      <c r="M111" s="49" t="str">
        <f aca="false">IF($E111="","",IFERROR(INDEX(基础资料!$R$6:$R$205,MATCH($E111,基础资料!$Q$6:$Q$205,0)),""))</f>
        <v/>
      </c>
      <c r="N111" s="49" t="str">
        <f aca="false">IF($E111="","",IFERROR(INDEX(基础资料!$S$6:$S$205,MATCH($E111,基础资料!$Q$6:$Q$205,0)),""))</f>
        <v/>
      </c>
      <c r="O111" s="48" t="str">
        <f aca="false">IF(OR($F111="",$G111=""),"",ROUND(N($F111)*N($G111),2))</f>
        <v/>
      </c>
      <c r="P111" s="48" t="str">
        <f aca="false">IF($O111="","",ROUND(N($O111)*N($H111),2))</f>
        <v/>
      </c>
      <c r="Q111" s="48" t="str">
        <f aca="false">IF($O111="","",N($O111)+N($P111))</f>
        <v/>
      </c>
      <c r="R111" s="48" t="str">
        <f aca="false">IF(OR($E111="",$B111=""),"",IF(IFERROR(INDEX(基础资料!$V$6:$V$205,MATCH($E111,基础资料!$Q$6:$Q$205,0)),"")&lt;&gt;"是",0,IFERROR((SUMIFS(期初数据!$T$6:$T$205,期初数据!$O$6:$O$205,$E111)+SUMIFS(采购录入!$Q$5:$Q$404,采购录入!$E$5:$E$404,$E111,采购录入!$I$5:$I$404,"是",采购录入!$B$5:$B$404,"&lt;="&amp;$B111))/(SUMIFS(期初数据!$R$6:$R$205,期初数据!$O$6:$O$205,$E111)+SUMIFS(采购录入!$F$5:$F$404,采购录入!$E$5:$E$404,$E111,采购录入!$I$5:$I$404,"是",采购录入!$B$5:$B$404,"&lt;="&amp;$B111)),IFERROR(INDEX(基础资料!$U$6:$U$205,MATCH($E111,基础资料!$Q$6:$Q$205,0)),0))))</f>
        <v/>
      </c>
      <c r="S111" s="48" t="str">
        <f aca="false">IF($O111="","",ROUND(N($F111)*N($R111),2))</f>
        <v/>
      </c>
      <c r="T111" s="48" t="str">
        <f aca="false">IF($O111="","",N($O111)-N($S111))</f>
        <v/>
      </c>
      <c r="U111" s="52" t="str">
        <f aca="false">IF(OR($B111="",$D111=""),"",$B111+N(IFERROR(INDEX(基础资料!$AB$6:$AB$155,MATCH($D111,基础资料!$Z$6:$Z$155,0)),0)))</f>
        <v/>
      </c>
      <c r="V111" s="49" t="str">
        <f aca="false">IF($O111="","","1122")</f>
        <v/>
      </c>
      <c r="W111" s="49" t="str">
        <f aca="false">IF($O111="","","6001")</f>
        <v/>
      </c>
      <c r="X111" s="48" t="str">
        <f aca="false">IF($O111="","",$O111)</f>
        <v/>
      </c>
      <c r="Y111" s="49" t="str">
        <f aca="false">IF(N($P111)=0,"","1122")</f>
        <v/>
      </c>
      <c r="Z111" s="49" t="str">
        <f aca="false">IF(N($P111)=0,"","2221")</f>
        <v/>
      </c>
      <c r="AA111" s="48" t="str">
        <f aca="false">IF(N($P111)=0,"",$P111)</f>
        <v/>
      </c>
      <c r="AB111" s="49" t="str">
        <f aca="false">IF(N($S111)=0,"","6401")</f>
        <v/>
      </c>
      <c r="AC111" s="49" t="str">
        <f aca="false">IF(N($S111)=0,"","1405")</f>
        <v/>
      </c>
      <c r="AD111" s="48" t="str">
        <f aca="false">IF(N($S111)=0,"",$S111)</f>
        <v/>
      </c>
      <c r="AE111" s="49" t="str">
        <f aca="false">IF(AND($D111=客户对账单!$B$3,$B111&gt;=客户对账单!$E$3,$B111&lt;=客户对账单!$H$3),COUNTIFS($D$5:$D111,客户对账单!$B$3,$B$5:$B111,"&gt;="&amp;客户对账单!$E$3,$B$5:$B111,"&lt;="&amp;客户对账单!$H$3),"")</f>
        <v/>
      </c>
    </row>
    <row r="112" customFormat="false" ht="15.75" hidden="false" customHeight="true" outlineLevel="0" collapsed="false">
      <c r="A112" s="42" t="str">
        <f aca="false">IF($B112="","","XS"&amp;TEXT($B112,"yyyymm")&amp;"-"&amp;TEXT(ROW()-4,"000"))</f>
        <v/>
      </c>
      <c r="B112" s="41"/>
      <c r="C112" s="42" t="str">
        <f aca="false">IF($B112="","",TEXT($B112,"yyyy-mm"))</f>
        <v/>
      </c>
      <c r="D112" s="32"/>
      <c r="E112" s="36"/>
      <c r="F112" s="43"/>
      <c r="G112" s="40"/>
      <c r="H112" s="51"/>
      <c r="I112" s="33"/>
      <c r="J112" s="33"/>
      <c r="K112" s="36"/>
      <c r="L112" s="47" t="str">
        <f aca="false">IF($B112="","",IF(NOT(ISNUMBER($B112)),"日期不是日期格式",IF(YEAR($B112)&lt;&gt;首页!$B$3,"不在会计年度",IF($D112="","未选客户",IF(ISNA(MATCH($D112,基础资料!$Z$6:$Z$155,0)),"客户不在档案",IF($E112="","未选商品",IF(ISNA(MATCH($E112,基础资料!$Q$6:$Q$205,0)),"商品不在档案",IF(NOT(ISNUMBER($F112)),"数量须为数字",IF(NOT(ISNUMBER($G112)),"单价须为数字",IF(N($F112)&lt;=0,"数量须大于0",IF(AND(IFERROR(INDEX(基础资料!$V$6:$V$205,MATCH($E112,基础资料!$Q$6:$Q$205,0)),"")="是",N($R112)=0),"无成本价·请先录采购或填参考成本",IF(N($T112)&lt;0,"毛利为负·请核对","√"))))))))))))</f>
        <v/>
      </c>
      <c r="M112" s="49" t="str">
        <f aca="false">IF($E112="","",IFERROR(INDEX(基础资料!$R$6:$R$205,MATCH($E112,基础资料!$Q$6:$Q$205,0)),""))</f>
        <v/>
      </c>
      <c r="N112" s="49" t="str">
        <f aca="false">IF($E112="","",IFERROR(INDEX(基础资料!$S$6:$S$205,MATCH($E112,基础资料!$Q$6:$Q$205,0)),""))</f>
        <v/>
      </c>
      <c r="O112" s="48" t="str">
        <f aca="false">IF(OR($F112="",$G112=""),"",ROUND(N($F112)*N($G112),2))</f>
        <v/>
      </c>
      <c r="P112" s="48" t="str">
        <f aca="false">IF($O112="","",ROUND(N($O112)*N($H112),2))</f>
        <v/>
      </c>
      <c r="Q112" s="48" t="str">
        <f aca="false">IF($O112="","",N($O112)+N($P112))</f>
        <v/>
      </c>
      <c r="R112" s="48" t="str">
        <f aca="false">IF(OR($E112="",$B112=""),"",IF(IFERROR(INDEX(基础资料!$V$6:$V$205,MATCH($E112,基础资料!$Q$6:$Q$205,0)),"")&lt;&gt;"是",0,IFERROR((SUMIFS(期初数据!$T$6:$T$205,期初数据!$O$6:$O$205,$E112)+SUMIFS(采购录入!$Q$5:$Q$404,采购录入!$E$5:$E$404,$E112,采购录入!$I$5:$I$404,"是",采购录入!$B$5:$B$404,"&lt;="&amp;$B112))/(SUMIFS(期初数据!$R$6:$R$205,期初数据!$O$6:$O$205,$E112)+SUMIFS(采购录入!$F$5:$F$404,采购录入!$E$5:$E$404,$E112,采购录入!$I$5:$I$404,"是",采购录入!$B$5:$B$404,"&lt;="&amp;$B112)),IFERROR(INDEX(基础资料!$U$6:$U$205,MATCH($E112,基础资料!$Q$6:$Q$205,0)),0))))</f>
        <v/>
      </c>
      <c r="S112" s="48" t="str">
        <f aca="false">IF($O112="","",ROUND(N($F112)*N($R112),2))</f>
        <v/>
      </c>
      <c r="T112" s="48" t="str">
        <f aca="false">IF($O112="","",N($O112)-N($S112))</f>
        <v/>
      </c>
      <c r="U112" s="52" t="str">
        <f aca="false">IF(OR($B112="",$D112=""),"",$B112+N(IFERROR(INDEX(基础资料!$AB$6:$AB$155,MATCH($D112,基础资料!$Z$6:$Z$155,0)),0)))</f>
        <v/>
      </c>
      <c r="V112" s="49" t="str">
        <f aca="false">IF($O112="","","1122")</f>
        <v/>
      </c>
      <c r="W112" s="49" t="str">
        <f aca="false">IF($O112="","","6001")</f>
        <v/>
      </c>
      <c r="X112" s="48" t="str">
        <f aca="false">IF($O112="","",$O112)</f>
        <v/>
      </c>
      <c r="Y112" s="49" t="str">
        <f aca="false">IF(N($P112)=0,"","1122")</f>
        <v/>
      </c>
      <c r="Z112" s="49" t="str">
        <f aca="false">IF(N($P112)=0,"","2221")</f>
        <v/>
      </c>
      <c r="AA112" s="48" t="str">
        <f aca="false">IF(N($P112)=0,"",$P112)</f>
        <v/>
      </c>
      <c r="AB112" s="49" t="str">
        <f aca="false">IF(N($S112)=0,"","6401")</f>
        <v/>
      </c>
      <c r="AC112" s="49" t="str">
        <f aca="false">IF(N($S112)=0,"","1405")</f>
        <v/>
      </c>
      <c r="AD112" s="48" t="str">
        <f aca="false">IF(N($S112)=0,"",$S112)</f>
        <v/>
      </c>
      <c r="AE112" s="49" t="str">
        <f aca="false">IF(AND($D112=客户对账单!$B$3,$B112&gt;=客户对账单!$E$3,$B112&lt;=客户对账单!$H$3),COUNTIFS($D$5:$D112,客户对账单!$B$3,$B$5:$B112,"&gt;="&amp;客户对账单!$E$3,$B$5:$B112,"&lt;="&amp;客户对账单!$H$3),"")</f>
        <v/>
      </c>
    </row>
    <row r="113" customFormat="false" ht="15.75" hidden="false" customHeight="true" outlineLevel="0" collapsed="false">
      <c r="A113" s="42" t="str">
        <f aca="false">IF($B113="","","XS"&amp;TEXT($B113,"yyyymm")&amp;"-"&amp;TEXT(ROW()-4,"000"))</f>
        <v/>
      </c>
      <c r="B113" s="41"/>
      <c r="C113" s="42" t="str">
        <f aca="false">IF($B113="","",TEXT($B113,"yyyy-mm"))</f>
        <v/>
      </c>
      <c r="D113" s="32"/>
      <c r="E113" s="36"/>
      <c r="F113" s="43"/>
      <c r="G113" s="40"/>
      <c r="H113" s="51"/>
      <c r="I113" s="33"/>
      <c r="J113" s="33"/>
      <c r="K113" s="36"/>
      <c r="L113" s="47" t="str">
        <f aca="false">IF($B113="","",IF(NOT(ISNUMBER($B113)),"日期不是日期格式",IF(YEAR($B113)&lt;&gt;首页!$B$3,"不在会计年度",IF($D113="","未选客户",IF(ISNA(MATCH($D113,基础资料!$Z$6:$Z$155,0)),"客户不在档案",IF($E113="","未选商品",IF(ISNA(MATCH($E113,基础资料!$Q$6:$Q$205,0)),"商品不在档案",IF(NOT(ISNUMBER($F113)),"数量须为数字",IF(NOT(ISNUMBER($G113)),"单价须为数字",IF(N($F113)&lt;=0,"数量须大于0",IF(AND(IFERROR(INDEX(基础资料!$V$6:$V$205,MATCH($E113,基础资料!$Q$6:$Q$205,0)),"")="是",N($R113)=0),"无成本价·请先录采购或填参考成本",IF(N($T113)&lt;0,"毛利为负·请核对","√"))))))))))))</f>
        <v/>
      </c>
      <c r="M113" s="49" t="str">
        <f aca="false">IF($E113="","",IFERROR(INDEX(基础资料!$R$6:$R$205,MATCH($E113,基础资料!$Q$6:$Q$205,0)),""))</f>
        <v/>
      </c>
      <c r="N113" s="49" t="str">
        <f aca="false">IF($E113="","",IFERROR(INDEX(基础资料!$S$6:$S$205,MATCH($E113,基础资料!$Q$6:$Q$205,0)),""))</f>
        <v/>
      </c>
      <c r="O113" s="48" t="str">
        <f aca="false">IF(OR($F113="",$G113=""),"",ROUND(N($F113)*N($G113),2))</f>
        <v/>
      </c>
      <c r="P113" s="48" t="str">
        <f aca="false">IF($O113="","",ROUND(N($O113)*N($H113),2))</f>
        <v/>
      </c>
      <c r="Q113" s="48" t="str">
        <f aca="false">IF($O113="","",N($O113)+N($P113))</f>
        <v/>
      </c>
      <c r="R113" s="48" t="str">
        <f aca="false">IF(OR($E113="",$B113=""),"",IF(IFERROR(INDEX(基础资料!$V$6:$V$205,MATCH($E113,基础资料!$Q$6:$Q$205,0)),"")&lt;&gt;"是",0,IFERROR((SUMIFS(期初数据!$T$6:$T$205,期初数据!$O$6:$O$205,$E113)+SUMIFS(采购录入!$Q$5:$Q$404,采购录入!$E$5:$E$404,$E113,采购录入!$I$5:$I$404,"是",采购录入!$B$5:$B$404,"&lt;="&amp;$B113))/(SUMIFS(期初数据!$R$6:$R$205,期初数据!$O$6:$O$205,$E113)+SUMIFS(采购录入!$F$5:$F$404,采购录入!$E$5:$E$404,$E113,采购录入!$I$5:$I$404,"是",采购录入!$B$5:$B$404,"&lt;="&amp;$B113)),IFERROR(INDEX(基础资料!$U$6:$U$205,MATCH($E113,基础资料!$Q$6:$Q$205,0)),0))))</f>
        <v/>
      </c>
      <c r="S113" s="48" t="str">
        <f aca="false">IF($O113="","",ROUND(N($F113)*N($R113),2))</f>
        <v/>
      </c>
      <c r="T113" s="48" t="str">
        <f aca="false">IF($O113="","",N($O113)-N($S113))</f>
        <v/>
      </c>
      <c r="U113" s="52" t="str">
        <f aca="false">IF(OR($B113="",$D113=""),"",$B113+N(IFERROR(INDEX(基础资料!$AB$6:$AB$155,MATCH($D113,基础资料!$Z$6:$Z$155,0)),0)))</f>
        <v/>
      </c>
      <c r="V113" s="49" t="str">
        <f aca="false">IF($O113="","","1122")</f>
        <v/>
      </c>
      <c r="W113" s="49" t="str">
        <f aca="false">IF($O113="","","6001")</f>
        <v/>
      </c>
      <c r="X113" s="48" t="str">
        <f aca="false">IF($O113="","",$O113)</f>
        <v/>
      </c>
      <c r="Y113" s="49" t="str">
        <f aca="false">IF(N($P113)=0,"","1122")</f>
        <v/>
      </c>
      <c r="Z113" s="49" t="str">
        <f aca="false">IF(N($P113)=0,"","2221")</f>
        <v/>
      </c>
      <c r="AA113" s="48" t="str">
        <f aca="false">IF(N($P113)=0,"",$P113)</f>
        <v/>
      </c>
      <c r="AB113" s="49" t="str">
        <f aca="false">IF(N($S113)=0,"","6401")</f>
        <v/>
      </c>
      <c r="AC113" s="49" t="str">
        <f aca="false">IF(N($S113)=0,"","1405")</f>
        <v/>
      </c>
      <c r="AD113" s="48" t="str">
        <f aca="false">IF(N($S113)=0,"",$S113)</f>
        <v/>
      </c>
      <c r="AE113" s="49" t="str">
        <f aca="false">IF(AND($D113=客户对账单!$B$3,$B113&gt;=客户对账单!$E$3,$B113&lt;=客户对账单!$H$3),COUNTIFS($D$5:$D113,客户对账单!$B$3,$B$5:$B113,"&gt;="&amp;客户对账单!$E$3,$B$5:$B113,"&lt;="&amp;客户对账单!$H$3),"")</f>
        <v/>
      </c>
    </row>
    <row r="114" customFormat="false" ht="15.75" hidden="false" customHeight="true" outlineLevel="0" collapsed="false">
      <c r="A114" s="42" t="str">
        <f aca="false">IF($B114="","","XS"&amp;TEXT($B114,"yyyymm")&amp;"-"&amp;TEXT(ROW()-4,"000"))</f>
        <v/>
      </c>
      <c r="B114" s="41"/>
      <c r="C114" s="42" t="str">
        <f aca="false">IF($B114="","",TEXT($B114,"yyyy-mm"))</f>
        <v/>
      </c>
      <c r="D114" s="32"/>
      <c r="E114" s="36"/>
      <c r="F114" s="43"/>
      <c r="G114" s="40"/>
      <c r="H114" s="51"/>
      <c r="I114" s="33"/>
      <c r="J114" s="33"/>
      <c r="K114" s="36"/>
      <c r="L114" s="47" t="str">
        <f aca="false">IF($B114="","",IF(NOT(ISNUMBER($B114)),"日期不是日期格式",IF(YEAR($B114)&lt;&gt;首页!$B$3,"不在会计年度",IF($D114="","未选客户",IF(ISNA(MATCH($D114,基础资料!$Z$6:$Z$155,0)),"客户不在档案",IF($E114="","未选商品",IF(ISNA(MATCH($E114,基础资料!$Q$6:$Q$205,0)),"商品不在档案",IF(NOT(ISNUMBER($F114)),"数量须为数字",IF(NOT(ISNUMBER($G114)),"单价须为数字",IF(N($F114)&lt;=0,"数量须大于0",IF(AND(IFERROR(INDEX(基础资料!$V$6:$V$205,MATCH($E114,基础资料!$Q$6:$Q$205,0)),"")="是",N($R114)=0),"无成本价·请先录采购或填参考成本",IF(N($T114)&lt;0,"毛利为负·请核对","√"))))))))))))</f>
        <v/>
      </c>
      <c r="M114" s="49" t="str">
        <f aca="false">IF($E114="","",IFERROR(INDEX(基础资料!$R$6:$R$205,MATCH($E114,基础资料!$Q$6:$Q$205,0)),""))</f>
        <v/>
      </c>
      <c r="N114" s="49" t="str">
        <f aca="false">IF($E114="","",IFERROR(INDEX(基础资料!$S$6:$S$205,MATCH($E114,基础资料!$Q$6:$Q$205,0)),""))</f>
        <v/>
      </c>
      <c r="O114" s="48" t="str">
        <f aca="false">IF(OR($F114="",$G114=""),"",ROUND(N($F114)*N($G114),2))</f>
        <v/>
      </c>
      <c r="P114" s="48" t="str">
        <f aca="false">IF($O114="","",ROUND(N($O114)*N($H114),2))</f>
        <v/>
      </c>
      <c r="Q114" s="48" t="str">
        <f aca="false">IF($O114="","",N($O114)+N($P114))</f>
        <v/>
      </c>
      <c r="R114" s="48" t="str">
        <f aca="false">IF(OR($E114="",$B114=""),"",IF(IFERROR(INDEX(基础资料!$V$6:$V$205,MATCH($E114,基础资料!$Q$6:$Q$205,0)),"")&lt;&gt;"是",0,IFERROR((SUMIFS(期初数据!$T$6:$T$205,期初数据!$O$6:$O$205,$E114)+SUMIFS(采购录入!$Q$5:$Q$404,采购录入!$E$5:$E$404,$E114,采购录入!$I$5:$I$404,"是",采购录入!$B$5:$B$404,"&lt;="&amp;$B114))/(SUMIFS(期初数据!$R$6:$R$205,期初数据!$O$6:$O$205,$E114)+SUMIFS(采购录入!$F$5:$F$404,采购录入!$E$5:$E$404,$E114,采购录入!$I$5:$I$404,"是",采购录入!$B$5:$B$404,"&lt;="&amp;$B114)),IFERROR(INDEX(基础资料!$U$6:$U$205,MATCH($E114,基础资料!$Q$6:$Q$205,0)),0))))</f>
        <v/>
      </c>
      <c r="S114" s="48" t="str">
        <f aca="false">IF($O114="","",ROUND(N($F114)*N($R114),2))</f>
        <v/>
      </c>
      <c r="T114" s="48" t="str">
        <f aca="false">IF($O114="","",N($O114)-N($S114))</f>
        <v/>
      </c>
      <c r="U114" s="52" t="str">
        <f aca="false">IF(OR($B114="",$D114=""),"",$B114+N(IFERROR(INDEX(基础资料!$AB$6:$AB$155,MATCH($D114,基础资料!$Z$6:$Z$155,0)),0)))</f>
        <v/>
      </c>
      <c r="V114" s="49" t="str">
        <f aca="false">IF($O114="","","1122")</f>
        <v/>
      </c>
      <c r="W114" s="49" t="str">
        <f aca="false">IF($O114="","","6001")</f>
        <v/>
      </c>
      <c r="X114" s="48" t="str">
        <f aca="false">IF($O114="","",$O114)</f>
        <v/>
      </c>
      <c r="Y114" s="49" t="str">
        <f aca="false">IF(N($P114)=0,"","1122")</f>
        <v/>
      </c>
      <c r="Z114" s="49" t="str">
        <f aca="false">IF(N($P114)=0,"","2221")</f>
        <v/>
      </c>
      <c r="AA114" s="48" t="str">
        <f aca="false">IF(N($P114)=0,"",$P114)</f>
        <v/>
      </c>
      <c r="AB114" s="49" t="str">
        <f aca="false">IF(N($S114)=0,"","6401")</f>
        <v/>
      </c>
      <c r="AC114" s="49" t="str">
        <f aca="false">IF(N($S114)=0,"","1405")</f>
        <v/>
      </c>
      <c r="AD114" s="48" t="str">
        <f aca="false">IF(N($S114)=0,"",$S114)</f>
        <v/>
      </c>
      <c r="AE114" s="49" t="str">
        <f aca="false">IF(AND($D114=客户对账单!$B$3,$B114&gt;=客户对账单!$E$3,$B114&lt;=客户对账单!$H$3),COUNTIFS($D$5:$D114,客户对账单!$B$3,$B$5:$B114,"&gt;="&amp;客户对账单!$E$3,$B$5:$B114,"&lt;="&amp;客户对账单!$H$3),"")</f>
        <v/>
      </c>
    </row>
    <row r="115" customFormat="false" ht="15.75" hidden="false" customHeight="true" outlineLevel="0" collapsed="false">
      <c r="A115" s="42" t="str">
        <f aca="false">IF($B115="","","XS"&amp;TEXT($B115,"yyyymm")&amp;"-"&amp;TEXT(ROW()-4,"000"))</f>
        <v/>
      </c>
      <c r="B115" s="41"/>
      <c r="C115" s="42" t="str">
        <f aca="false">IF($B115="","",TEXT($B115,"yyyy-mm"))</f>
        <v/>
      </c>
      <c r="D115" s="32"/>
      <c r="E115" s="36"/>
      <c r="F115" s="43"/>
      <c r="G115" s="40"/>
      <c r="H115" s="51"/>
      <c r="I115" s="33"/>
      <c r="J115" s="33"/>
      <c r="K115" s="36"/>
      <c r="L115" s="47" t="str">
        <f aca="false">IF($B115="","",IF(NOT(ISNUMBER($B115)),"日期不是日期格式",IF(YEAR($B115)&lt;&gt;首页!$B$3,"不在会计年度",IF($D115="","未选客户",IF(ISNA(MATCH($D115,基础资料!$Z$6:$Z$155,0)),"客户不在档案",IF($E115="","未选商品",IF(ISNA(MATCH($E115,基础资料!$Q$6:$Q$205,0)),"商品不在档案",IF(NOT(ISNUMBER($F115)),"数量须为数字",IF(NOT(ISNUMBER($G115)),"单价须为数字",IF(N($F115)&lt;=0,"数量须大于0",IF(AND(IFERROR(INDEX(基础资料!$V$6:$V$205,MATCH($E115,基础资料!$Q$6:$Q$205,0)),"")="是",N($R115)=0),"无成本价·请先录采购或填参考成本",IF(N($T115)&lt;0,"毛利为负·请核对","√"))))))))))))</f>
        <v/>
      </c>
      <c r="M115" s="49" t="str">
        <f aca="false">IF($E115="","",IFERROR(INDEX(基础资料!$R$6:$R$205,MATCH($E115,基础资料!$Q$6:$Q$205,0)),""))</f>
        <v/>
      </c>
      <c r="N115" s="49" t="str">
        <f aca="false">IF($E115="","",IFERROR(INDEX(基础资料!$S$6:$S$205,MATCH($E115,基础资料!$Q$6:$Q$205,0)),""))</f>
        <v/>
      </c>
      <c r="O115" s="48" t="str">
        <f aca="false">IF(OR($F115="",$G115=""),"",ROUND(N($F115)*N($G115),2))</f>
        <v/>
      </c>
      <c r="P115" s="48" t="str">
        <f aca="false">IF($O115="","",ROUND(N($O115)*N($H115),2))</f>
        <v/>
      </c>
      <c r="Q115" s="48" t="str">
        <f aca="false">IF($O115="","",N($O115)+N($P115))</f>
        <v/>
      </c>
      <c r="R115" s="48" t="str">
        <f aca="false">IF(OR($E115="",$B115=""),"",IF(IFERROR(INDEX(基础资料!$V$6:$V$205,MATCH($E115,基础资料!$Q$6:$Q$205,0)),"")&lt;&gt;"是",0,IFERROR((SUMIFS(期初数据!$T$6:$T$205,期初数据!$O$6:$O$205,$E115)+SUMIFS(采购录入!$Q$5:$Q$404,采购录入!$E$5:$E$404,$E115,采购录入!$I$5:$I$404,"是",采购录入!$B$5:$B$404,"&lt;="&amp;$B115))/(SUMIFS(期初数据!$R$6:$R$205,期初数据!$O$6:$O$205,$E115)+SUMIFS(采购录入!$F$5:$F$404,采购录入!$E$5:$E$404,$E115,采购录入!$I$5:$I$404,"是",采购录入!$B$5:$B$404,"&lt;="&amp;$B115)),IFERROR(INDEX(基础资料!$U$6:$U$205,MATCH($E115,基础资料!$Q$6:$Q$205,0)),0))))</f>
        <v/>
      </c>
      <c r="S115" s="48" t="str">
        <f aca="false">IF($O115="","",ROUND(N($F115)*N($R115),2))</f>
        <v/>
      </c>
      <c r="T115" s="48" t="str">
        <f aca="false">IF($O115="","",N($O115)-N($S115))</f>
        <v/>
      </c>
      <c r="U115" s="52" t="str">
        <f aca="false">IF(OR($B115="",$D115=""),"",$B115+N(IFERROR(INDEX(基础资料!$AB$6:$AB$155,MATCH($D115,基础资料!$Z$6:$Z$155,0)),0)))</f>
        <v/>
      </c>
      <c r="V115" s="49" t="str">
        <f aca="false">IF($O115="","","1122")</f>
        <v/>
      </c>
      <c r="W115" s="49" t="str">
        <f aca="false">IF($O115="","","6001")</f>
        <v/>
      </c>
      <c r="X115" s="48" t="str">
        <f aca="false">IF($O115="","",$O115)</f>
        <v/>
      </c>
      <c r="Y115" s="49" t="str">
        <f aca="false">IF(N($P115)=0,"","1122")</f>
        <v/>
      </c>
      <c r="Z115" s="49" t="str">
        <f aca="false">IF(N($P115)=0,"","2221")</f>
        <v/>
      </c>
      <c r="AA115" s="48" t="str">
        <f aca="false">IF(N($P115)=0,"",$P115)</f>
        <v/>
      </c>
      <c r="AB115" s="49" t="str">
        <f aca="false">IF(N($S115)=0,"","6401")</f>
        <v/>
      </c>
      <c r="AC115" s="49" t="str">
        <f aca="false">IF(N($S115)=0,"","1405")</f>
        <v/>
      </c>
      <c r="AD115" s="48" t="str">
        <f aca="false">IF(N($S115)=0,"",$S115)</f>
        <v/>
      </c>
      <c r="AE115" s="49" t="str">
        <f aca="false">IF(AND($D115=客户对账单!$B$3,$B115&gt;=客户对账单!$E$3,$B115&lt;=客户对账单!$H$3),COUNTIFS($D$5:$D115,客户对账单!$B$3,$B$5:$B115,"&gt;="&amp;客户对账单!$E$3,$B$5:$B115,"&lt;="&amp;客户对账单!$H$3),"")</f>
        <v/>
      </c>
    </row>
    <row r="116" customFormat="false" ht="15.75" hidden="false" customHeight="true" outlineLevel="0" collapsed="false">
      <c r="A116" s="42" t="str">
        <f aca="false">IF($B116="","","XS"&amp;TEXT($B116,"yyyymm")&amp;"-"&amp;TEXT(ROW()-4,"000"))</f>
        <v/>
      </c>
      <c r="B116" s="41"/>
      <c r="C116" s="42" t="str">
        <f aca="false">IF($B116="","",TEXT($B116,"yyyy-mm"))</f>
        <v/>
      </c>
      <c r="D116" s="32"/>
      <c r="E116" s="36"/>
      <c r="F116" s="43"/>
      <c r="G116" s="40"/>
      <c r="H116" s="51"/>
      <c r="I116" s="33"/>
      <c r="J116" s="33"/>
      <c r="K116" s="36"/>
      <c r="L116" s="47" t="str">
        <f aca="false">IF($B116="","",IF(NOT(ISNUMBER($B116)),"日期不是日期格式",IF(YEAR($B116)&lt;&gt;首页!$B$3,"不在会计年度",IF($D116="","未选客户",IF(ISNA(MATCH($D116,基础资料!$Z$6:$Z$155,0)),"客户不在档案",IF($E116="","未选商品",IF(ISNA(MATCH($E116,基础资料!$Q$6:$Q$205,0)),"商品不在档案",IF(NOT(ISNUMBER($F116)),"数量须为数字",IF(NOT(ISNUMBER($G116)),"单价须为数字",IF(N($F116)&lt;=0,"数量须大于0",IF(AND(IFERROR(INDEX(基础资料!$V$6:$V$205,MATCH($E116,基础资料!$Q$6:$Q$205,0)),"")="是",N($R116)=0),"无成本价·请先录采购或填参考成本",IF(N($T116)&lt;0,"毛利为负·请核对","√"))))))))))))</f>
        <v/>
      </c>
      <c r="M116" s="49" t="str">
        <f aca="false">IF($E116="","",IFERROR(INDEX(基础资料!$R$6:$R$205,MATCH($E116,基础资料!$Q$6:$Q$205,0)),""))</f>
        <v/>
      </c>
      <c r="N116" s="49" t="str">
        <f aca="false">IF($E116="","",IFERROR(INDEX(基础资料!$S$6:$S$205,MATCH($E116,基础资料!$Q$6:$Q$205,0)),""))</f>
        <v/>
      </c>
      <c r="O116" s="48" t="str">
        <f aca="false">IF(OR($F116="",$G116=""),"",ROUND(N($F116)*N($G116),2))</f>
        <v/>
      </c>
      <c r="P116" s="48" t="str">
        <f aca="false">IF($O116="","",ROUND(N($O116)*N($H116),2))</f>
        <v/>
      </c>
      <c r="Q116" s="48" t="str">
        <f aca="false">IF($O116="","",N($O116)+N($P116))</f>
        <v/>
      </c>
      <c r="R116" s="48" t="str">
        <f aca="false">IF(OR($E116="",$B116=""),"",IF(IFERROR(INDEX(基础资料!$V$6:$V$205,MATCH($E116,基础资料!$Q$6:$Q$205,0)),"")&lt;&gt;"是",0,IFERROR((SUMIFS(期初数据!$T$6:$T$205,期初数据!$O$6:$O$205,$E116)+SUMIFS(采购录入!$Q$5:$Q$404,采购录入!$E$5:$E$404,$E116,采购录入!$I$5:$I$404,"是",采购录入!$B$5:$B$404,"&lt;="&amp;$B116))/(SUMIFS(期初数据!$R$6:$R$205,期初数据!$O$6:$O$205,$E116)+SUMIFS(采购录入!$F$5:$F$404,采购录入!$E$5:$E$404,$E116,采购录入!$I$5:$I$404,"是",采购录入!$B$5:$B$404,"&lt;="&amp;$B116)),IFERROR(INDEX(基础资料!$U$6:$U$205,MATCH($E116,基础资料!$Q$6:$Q$205,0)),0))))</f>
        <v/>
      </c>
      <c r="S116" s="48" t="str">
        <f aca="false">IF($O116="","",ROUND(N($F116)*N($R116),2))</f>
        <v/>
      </c>
      <c r="T116" s="48" t="str">
        <f aca="false">IF($O116="","",N($O116)-N($S116))</f>
        <v/>
      </c>
      <c r="U116" s="52" t="str">
        <f aca="false">IF(OR($B116="",$D116=""),"",$B116+N(IFERROR(INDEX(基础资料!$AB$6:$AB$155,MATCH($D116,基础资料!$Z$6:$Z$155,0)),0)))</f>
        <v/>
      </c>
      <c r="V116" s="49" t="str">
        <f aca="false">IF($O116="","","1122")</f>
        <v/>
      </c>
      <c r="W116" s="49" t="str">
        <f aca="false">IF($O116="","","6001")</f>
        <v/>
      </c>
      <c r="X116" s="48" t="str">
        <f aca="false">IF($O116="","",$O116)</f>
        <v/>
      </c>
      <c r="Y116" s="49" t="str">
        <f aca="false">IF(N($P116)=0,"","1122")</f>
        <v/>
      </c>
      <c r="Z116" s="49" t="str">
        <f aca="false">IF(N($P116)=0,"","2221")</f>
        <v/>
      </c>
      <c r="AA116" s="48" t="str">
        <f aca="false">IF(N($P116)=0,"",$P116)</f>
        <v/>
      </c>
      <c r="AB116" s="49" t="str">
        <f aca="false">IF(N($S116)=0,"","6401")</f>
        <v/>
      </c>
      <c r="AC116" s="49" t="str">
        <f aca="false">IF(N($S116)=0,"","1405")</f>
        <v/>
      </c>
      <c r="AD116" s="48" t="str">
        <f aca="false">IF(N($S116)=0,"",$S116)</f>
        <v/>
      </c>
      <c r="AE116" s="49" t="str">
        <f aca="false">IF(AND($D116=客户对账单!$B$3,$B116&gt;=客户对账单!$E$3,$B116&lt;=客户对账单!$H$3),COUNTIFS($D$5:$D116,客户对账单!$B$3,$B$5:$B116,"&gt;="&amp;客户对账单!$E$3,$B$5:$B116,"&lt;="&amp;客户对账单!$H$3),"")</f>
        <v/>
      </c>
    </row>
    <row r="117" customFormat="false" ht="15.75" hidden="false" customHeight="true" outlineLevel="0" collapsed="false">
      <c r="A117" s="42" t="str">
        <f aca="false">IF($B117="","","XS"&amp;TEXT($B117,"yyyymm")&amp;"-"&amp;TEXT(ROW()-4,"000"))</f>
        <v/>
      </c>
      <c r="B117" s="41"/>
      <c r="C117" s="42" t="str">
        <f aca="false">IF($B117="","",TEXT($B117,"yyyy-mm"))</f>
        <v/>
      </c>
      <c r="D117" s="32"/>
      <c r="E117" s="36"/>
      <c r="F117" s="43"/>
      <c r="G117" s="40"/>
      <c r="H117" s="51"/>
      <c r="I117" s="33"/>
      <c r="J117" s="33"/>
      <c r="K117" s="36"/>
      <c r="L117" s="47" t="str">
        <f aca="false">IF($B117="","",IF(NOT(ISNUMBER($B117)),"日期不是日期格式",IF(YEAR($B117)&lt;&gt;首页!$B$3,"不在会计年度",IF($D117="","未选客户",IF(ISNA(MATCH($D117,基础资料!$Z$6:$Z$155,0)),"客户不在档案",IF($E117="","未选商品",IF(ISNA(MATCH($E117,基础资料!$Q$6:$Q$205,0)),"商品不在档案",IF(NOT(ISNUMBER($F117)),"数量须为数字",IF(NOT(ISNUMBER($G117)),"单价须为数字",IF(N($F117)&lt;=0,"数量须大于0",IF(AND(IFERROR(INDEX(基础资料!$V$6:$V$205,MATCH($E117,基础资料!$Q$6:$Q$205,0)),"")="是",N($R117)=0),"无成本价·请先录采购或填参考成本",IF(N($T117)&lt;0,"毛利为负·请核对","√"))))))))))))</f>
        <v/>
      </c>
      <c r="M117" s="49" t="str">
        <f aca="false">IF($E117="","",IFERROR(INDEX(基础资料!$R$6:$R$205,MATCH($E117,基础资料!$Q$6:$Q$205,0)),""))</f>
        <v/>
      </c>
      <c r="N117" s="49" t="str">
        <f aca="false">IF($E117="","",IFERROR(INDEX(基础资料!$S$6:$S$205,MATCH($E117,基础资料!$Q$6:$Q$205,0)),""))</f>
        <v/>
      </c>
      <c r="O117" s="48" t="str">
        <f aca="false">IF(OR($F117="",$G117=""),"",ROUND(N($F117)*N($G117),2))</f>
        <v/>
      </c>
      <c r="P117" s="48" t="str">
        <f aca="false">IF($O117="","",ROUND(N($O117)*N($H117),2))</f>
        <v/>
      </c>
      <c r="Q117" s="48" t="str">
        <f aca="false">IF($O117="","",N($O117)+N($P117))</f>
        <v/>
      </c>
      <c r="R117" s="48" t="str">
        <f aca="false">IF(OR($E117="",$B117=""),"",IF(IFERROR(INDEX(基础资料!$V$6:$V$205,MATCH($E117,基础资料!$Q$6:$Q$205,0)),"")&lt;&gt;"是",0,IFERROR((SUMIFS(期初数据!$T$6:$T$205,期初数据!$O$6:$O$205,$E117)+SUMIFS(采购录入!$Q$5:$Q$404,采购录入!$E$5:$E$404,$E117,采购录入!$I$5:$I$404,"是",采购录入!$B$5:$B$404,"&lt;="&amp;$B117))/(SUMIFS(期初数据!$R$6:$R$205,期初数据!$O$6:$O$205,$E117)+SUMIFS(采购录入!$F$5:$F$404,采购录入!$E$5:$E$404,$E117,采购录入!$I$5:$I$404,"是",采购录入!$B$5:$B$404,"&lt;="&amp;$B117)),IFERROR(INDEX(基础资料!$U$6:$U$205,MATCH($E117,基础资料!$Q$6:$Q$205,0)),0))))</f>
        <v/>
      </c>
      <c r="S117" s="48" t="str">
        <f aca="false">IF($O117="","",ROUND(N($F117)*N($R117),2))</f>
        <v/>
      </c>
      <c r="T117" s="48" t="str">
        <f aca="false">IF($O117="","",N($O117)-N($S117))</f>
        <v/>
      </c>
      <c r="U117" s="52" t="str">
        <f aca="false">IF(OR($B117="",$D117=""),"",$B117+N(IFERROR(INDEX(基础资料!$AB$6:$AB$155,MATCH($D117,基础资料!$Z$6:$Z$155,0)),0)))</f>
        <v/>
      </c>
      <c r="V117" s="49" t="str">
        <f aca="false">IF($O117="","","1122")</f>
        <v/>
      </c>
      <c r="W117" s="49" t="str">
        <f aca="false">IF($O117="","","6001")</f>
        <v/>
      </c>
      <c r="X117" s="48" t="str">
        <f aca="false">IF($O117="","",$O117)</f>
        <v/>
      </c>
      <c r="Y117" s="49" t="str">
        <f aca="false">IF(N($P117)=0,"","1122")</f>
        <v/>
      </c>
      <c r="Z117" s="49" t="str">
        <f aca="false">IF(N($P117)=0,"","2221")</f>
        <v/>
      </c>
      <c r="AA117" s="48" t="str">
        <f aca="false">IF(N($P117)=0,"",$P117)</f>
        <v/>
      </c>
      <c r="AB117" s="49" t="str">
        <f aca="false">IF(N($S117)=0,"","6401")</f>
        <v/>
      </c>
      <c r="AC117" s="49" t="str">
        <f aca="false">IF(N($S117)=0,"","1405")</f>
        <v/>
      </c>
      <c r="AD117" s="48" t="str">
        <f aca="false">IF(N($S117)=0,"",$S117)</f>
        <v/>
      </c>
      <c r="AE117" s="49" t="str">
        <f aca="false">IF(AND($D117=客户对账单!$B$3,$B117&gt;=客户对账单!$E$3,$B117&lt;=客户对账单!$H$3),COUNTIFS($D$5:$D117,客户对账单!$B$3,$B$5:$B117,"&gt;="&amp;客户对账单!$E$3,$B$5:$B117,"&lt;="&amp;客户对账单!$H$3),"")</f>
        <v/>
      </c>
    </row>
    <row r="118" customFormat="false" ht="15.75" hidden="false" customHeight="true" outlineLevel="0" collapsed="false">
      <c r="A118" s="42" t="str">
        <f aca="false">IF($B118="","","XS"&amp;TEXT($B118,"yyyymm")&amp;"-"&amp;TEXT(ROW()-4,"000"))</f>
        <v/>
      </c>
      <c r="B118" s="41"/>
      <c r="C118" s="42" t="str">
        <f aca="false">IF($B118="","",TEXT($B118,"yyyy-mm"))</f>
        <v/>
      </c>
      <c r="D118" s="32"/>
      <c r="E118" s="36"/>
      <c r="F118" s="43"/>
      <c r="G118" s="40"/>
      <c r="H118" s="51"/>
      <c r="I118" s="33"/>
      <c r="J118" s="33"/>
      <c r="K118" s="36"/>
      <c r="L118" s="47" t="str">
        <f aca="false">IF($B118="","",IF(NOT(ISNUMBER($B118)),"日期不是日期格式",IF(YEAR($B118)&lt;&gt;首页!$B$3,"不在会计年度",IF($D118="","未选客户",IF(ISNA(MATCH($D118,基础资料!$Z$6:$Z$155,0)),"客户不在档案",IF($E118="","未选商品",IF(ISNA(MATCH($E118,基础资料!$Q$6:$Q$205,0)),"商品不在档案",IF(NOT(ISNUMBER($F118)),"数量须为数字",IF(NOT(ISNUMBER($G118)),"单价须为数字",IF(N($F118)&lt;=0,"数量须大于0",IF(AND(IFERROR(INDEX(基础资料!$V$6:$V$205,MATCH($E118,基础资料!$Q$6:$Q$205,0)),"")="是",N($R118)=0),"无成本价·请先录采购或填参考成本",IF(N($T118)&lt;0,"毛利为负·请核对","√"))))))))))))</f>
        <v/>
      </c>
      <c r="M118" s="49" t="str">
        <f aca="false">IF($E118="","",IFERROR(INDEX(基础资料!$R$6:$R$205,MATCH($E118,基础资料!$Q$6:$Q$205,0)),""))</f>
        <v/>
      </c>
      <c r="N118" s="49" t="str">
        <f aca="false">IF($E118="","",IFERROR(INDEX(基础资料!$S$6:$S$205,MATCH($E118,基础资料!$Q$6:$Q$205,0)),""))</f>
        <v/>
      </c>
      <c r="O118" s="48" t="str">
        <f aca="false">IF(OR($F118="",$G118=""),"",ROUND(N($F118)*N($G118),2))</f>
        <v/>
      </c>
      <c r="P118" s="48" t="str">
        <f aca="false">IF($O118="","",ROUND(N($O118)*N($H118),2))</f>
        <v/>
      </c>
      <c r="Q118" s="48" t="str">
        <f aca="false">IF($O118="","",N($O118)+N($P118))</f>
        <v/>
      </c>
      <c r="R118" s="48" t="str">
        <f aca="false">IF(OR($E118="",$B118=""),"",IF(IFERROR(INDEX(基础资料!$V$6:$V$205,MATCH($E118,基础资料!$Q$6:$Q$205,0)),"")&lt;&gt;"是",0,IFERROR((SUMIFS(期初数据!$T$6:$T$205,期初数据!$O$6:$O$205,$E118)+SUMIFS(采购录入!$Q$5:$Q$404,采购录入!$E$5:$E$404,$E118,采购录入!$I$5:$I$404,"是",采购录入!$B$5:$B$404,"&lt;="&amp;$B118))/(SUMIFS(期初数据!$R$6:$R$205,期初数据!$O$6:$O$205,$E118)+SUMIFS(采购录入!$F$5:$F$404,采购录入!$E$5:$E$404,$E118,采购录入!$I$5:$I$404,"是",采购录入!$B$5:$B$404,"&lt;="&amp;$B118)),IFERROR(INDEX(基础资料!$U$6:$U$205,MATCH($E118,基础资料!$Q$6:$Q$205,0)),0))))</f>
        <v/>
      </c>
      <c r="S118" s="48" t="str">
        <f aca="false">IF($O118="","",ROUND(N($F118)*N($R118),2))</f>
        <v/>
      </c>
      <c r="T118" s="48" t="str">
        <f aca="false">IF($O118="","",N($O118)-N($S118))</f>
        <v/>
      </c>
      <c r="U118" s="52" t="str">
        <f aca="false">IF(OR($B118="",$D118=""),"",$B118+N(IFERROR(INDEX(基础资料!$AB$6:$AB$155,MATCH($D118,基础资料!$Z$6:$Z$155,0)),0)))</f>
        <v/>
      </c>
      <c r="V118" s="49" t="str">
        <f aca="false">IF($O118="","","1122")</f>
        <v/>
      </c>
      <c r="W118" s="49" t="str">
        <f aca="false">IF($O118="","","6001")</f>
        <v/>
      </c>
      <c r="X118" s="48" t="str">
        <f aca="false">IF($O118="","",$O118)</f>
        <v/>
      </c>
      <c r="Y118" s="49" t="str">
        <f aca="false">IF(N($P118)=0,"","1122")</f>
        <v/>
      </c>
      <c r="Z118" s="49" t="str">
        <f aca="false">IF(N($P118)=0,"","2221")</f>
        <v/>
      </c>
      <c r="AA118" s="48" t="str">
        <f aca="false">IF(N($P118)=0,"",$P118)</f>
        <v/>
      </c>
      <c r="AB118" s="49" t="str">
        <f aca="false">IF(N($S118)=0,"","6401")</f>
        <v/>
      </c>
      <c r="AC118" s="49" t="str">
        <f aca="false">IF(N($S118)=0,"","1405")</f>
        <v/>
      </c>
      <c r="AD118" s="48" t="str">
        <f aca="false">IF(N($S118)=0,"",$S118)</f>
        <v/>
      </c>
      <c r="AE118" s="49" t="str">
        <f aca="false">IF(AND($D118=客户对账单!$B$3,$B118&gt;=客户对账单!$E$3,$B118&lt;=客户对账单!$H$3),COUNTIFS($D$5:$D118,客户对账单!$B$3,$B$5:$B118,"&gt;="&amp;客户对账单!$E$3,$B$5:$B118,"&lt;="&amp;客户对账单!$H$3),"")</f>
        <v/>
      </c>
    </row>
    <row r="119" customFormat="false" ht="15.75" hidden="false" customHeight="true" outlineLevel="0" collapsed="false">
      <c r="A119" s="42" t="str">
        <f aca="false">IF($B119="","","XS"&amp;TEXT($B119,"yyyymm")&amp;"-"&amp;TEXT(ROW()-4,"000"))</f>
        <v/>
      </c>
      <c r="B119" s="41"/>
      <c r="C119" s="42" t="str">
        <f aca="false">IF($B119="","",TEXT($B119,"yyyy-mm"))</f>
        <v/>
      </c>
      <c r="D119" s="32"/>
      <c r="E119" s="36"/>
      <c r="F119" s="43"/>
      <c r="G119" s="40"/>
      <c r="H119" s="51"/>
      <c r="I119" s="33"/>
      <c r="J119" s="33"/>
      <c r="K119" s="36"/>
      <c r="L119" s="47" t="str">
        <f aca="false">IF($B119="","",IF(NOT(ISNUMBER($B119)),"日期不是日期格式",IF(YEAR($B119)&lt;&gt;首页!$B$3,"不在会计年度",IF($D119="","未选客户",IF(ISNA(MATCH($D119,基础资料!$Z$6:$Z$155,0)),"客户不在档案",IF($E119="","未选商品",IF(ISNA(MATCH($E119,基础资料!$Q$6:$Q$205,0)),"商品不在档案",IF(NOT(ISNUMBER($F119)),"数量须为数字",IF(NOT(ISNUMBER($G119)),"单价须为数字",IF(N($F119)&lt;=0,"数量须大于0",IF(AND(IFERROR(INDEX(基础资料!$V$6:$V$205,MATCH($E119,基础资料!$Q$6:$Q$205,0)),"")="是",N($R119)=0),"无成本价·请先录采购或填参考成本",IF(N($T119)&lt;0,"毛利为负·请核对","√"))))))))))))</f>
        <v/>
      </c>
      <c r="M119" s="49" t="str">
        <f aca="false">IF($E119="","",IFERROR(INDEX(基础资料!$R$6:$R$205,MATCH($E119,基础资料!$Q$6:$Q$205,0)),""))</f>
        <v/>
      </c>
      <c r="N119" s="49" t="str">
        <f aca="false">IF($E119="","",IFERROR(INDEX(基础资料!$S$6:$S$205,MATCH($E119,基础资料!$Q$6:$Q$205,0)),""))</f>
        <v/>
      </c>
      <c r="O119" s="48" t="str">
        <f aca="false">IF(OR($F119="",$G119=""),"",ROUND(N($F119)*N($G119),2))</f>
        <v/>
      </c>
      <c r="P119" s="48" t="str">
        <f aca="false">IF($O119="","",ROUND(N($O119)*N($H119),2))</f>
        <v/>
      </c>
      <c r="Q119" s="48" t="str">
        <f aca="false">IF($O119="","",N($O119)+N($P119))</f>
        <v/>
      </c>
      <c r="R119" s="48" t="str">
        <f aca="false">IF(OR($E119="",$B119=""),"",IF(IFERROR(INDEX(基础资料!$V$6:$V$205,MATCH($E119,基础资料!$Q$6:$Q$205,0)),"")&lt;&gt;"是",0,IFERROR((SUMIFS(期初数据!$T$6:$T$205,期初数据!$O$6:$O$205,$E119)+SUMIFS(采购录入!$Q$5:$Q$404,采购录入!$E$5:$E$404,$E119,采购录入!$I$5:$I$404,"是",采购录入!$B$5:$B$404,"&lt;="&amp;$B119))/(SUMIFS(期初数据!$R$6:$R$205,期初数据!$O$6:$O$205,$E119)+SUMIFS(采购录入!$F$5:$F$404,采购录入!$E$5:$E$404,$E119,采购录入!$I$5:$I$404,"是",采购录入!$B$5:$B$404,"&lt;="&amp;$B119)),IFERROR(INDEX(基础资料!$U$6:$U$205,MATCH($E119,基础资料!$Q$6:$Q$205,0)),0))))</f>
        <v/>
      </c>
      <c r="S119" s="48" t="str">
        <f aca="false">IF($O119="","",ROUND(N($F119)*N($R119),2))</f>
        <v/>
      </c>
      <c r="T119" s="48" t="str">
        <f aca="false">IF($O119="","",N($O119)-N($S119))</f>
        <v/>
      </c>
      <c r="U119" s="52" t="str">
        <f aca="false">IF(OR($B119="",$D119=""),"",$B119+N(IFERROR(INDEX(基础资料!$AB$6:$AB$155,MATCH($D119,基础资料!$Z$6:$Z$155,0)),0)))</f>
        <v/>
      </c>
      <c r="V119" s="49" t="str">
        <f aca="false">IF($O119="","","1122")</f>
        <v/>
      </c>
      <c r="W119" s="49" t="str">
        <f aca="false">IF($O119="","","6001")</f>
        <v/>
      </c>
      <c r="X119" s="48" t="str">
        <f aca="false">IF($O119="","",$O119)</f>
        <v/>
      </c>
      <c r="Y119" s="49" t="str">
        <f aca="false">IF(N($P119)=0,"","1122")</f>
        <v/>
      </c>
      <c r="Z119" s="49" t="str">
        <f aca="false">IF(N($P119)=0,"","2221")</f>
        <v/>
      </c>
      <c r="AA119" s="48" t="str">
        <f aca="false">IF(N($P119)=0,"",$P119)</f>
        <v/>
      </c>
      <c r="AB119" s="49" t="str">
        <f aca="false">IF(N($S119)=0,"","6401")</f>
        <v/>
      </c>
      <c r="AC119" s="49" t="str">
        <f aca="false">IF(N($S119)=0,"","1405")</f>
        <v/>
      </c>
      <c r="AD119" s="48" t="str">
        <f aca="false">IF(N($S119)=0,"",$S119)</f>
        <v/>
      </c>
      <c r="AE119" s="49" t="str">
        <f aca="false">IF(AND($D119=客户对账单!$B$3,$B119&gt;=客户对账单!$E$3,$B119&lt;=客户对账单!$H$3),COUNTIFS($D$5:$D119,客户对账单!$B$3,$B$5:$B119,"&gt;="&amp;客户对账单!$E$3,$B$5:$B119,"&lt;="&amp;客户对账单!$H$3),"")</f>
        <v/>
      </c>
    </row>
    <row r="120" customFormat="false" ht="15.75" hidden="false" customHeight="true" outlineLevel="0" collapsed="false">
      <c r="A120" s="42" t="str">
        <f aca="false">IF($B120="","","XS"&amp;TEXT($B120,"yyyymm")&amp;"-"&amp;TEXT(ROW()-4,"000"))</f>
        <v/>
      </c>
      <c r="B120" s="41"/>
      <c r="C120" s="42" t="str">
        <f aca="false">IF($B120="","",TEXT($B120,"yyyy-mm"))</f>
        <v/>
      </c>
      <c r="D120" s="32"/>
      <c r="E120" s="36"/>
      <c r="F120" s="43"/>
      <c r="G120" s="40"/>
      <c r="H120" s="51"/>
      <c r="I120" s="33"/>
      <c r="J120" s="33"/>
      <c r="K120" s="36"/>
      <c r="L120" s="47" t="str">
        <f aca="false">IF($B120="","",IF(NOT(ISNUMBER($B120)),"日期不是日期格式",IF(YEAR($B120)&lt;&gt;首页!$B$3,"不在会计年度",IF($D120="","未选客户",IF(ISNA(MATCH($D120,基础资料!$Z$6:$Z$155,0)),"客户不在档案",IF($E120="","未选商品",IF(ISNA(MATCH($E120,基础资料!$Q$6:$Q$205,0)),"商品不在档案",IF(NOT(ISNUMBER($F120)),"数量须为数字",IF(NOT(ISNUMBER($G120)),"单价须为数字",IF(N($F120)&lt;=0,"数量须大于0",IF(AND(IFERROR(INDEX(基础资料!$V$6:$V$205,MATCH($E120,基础资料!$Q$6:$Q$205,0)),"")="是",N($R120)=0),"无成本价·请先录采购或填参考成本",IF(N($T120)&lt;0,"毛利为负·请核对","√"))))))))))))</f>
        <v/>
      </c>
      <c r="M120" s="49" t="str">
        <f aca="false">IF($E120="","",IFERROR(INDEX(基础资料!$R$6:$R$205,MATCH($E120,基础资料!$Q$6:$Q$205,0)),""))</f>
        <v/>
      </c>
      <c r="N120" s="49" t="str">
        <f aca="false">IF($E120="","",IFERROR(INDEX(基础资料!$S$6:$S$205,MATCH($E120,基础资料!$Q$6:$Q$205,0)),""))</f>
        <v/>
      </c>
      <c r="O120" s="48" t="str">
        <f aca="false">IF(OR($F120="",$G120=""),"",ROUND(N($F120)*N($G120),2))</f>
        <v/>
      </c>
      <c r="P120" s="48" t="str">
        <f aca="false">IF($O120="","",ROUND(N($O120)*N($H120),2))</f>
        <v/>
      </c>
      <c r="Q120" s="48" t="str">
        <f aca="false">IF($O120="","",N($O120)+N($P120))</f>
        <v/>
      </c>
      <c r="R120" s="48" t="str">
        <f aca="false">IF(OR($E120="",$B120=""),"",IF(IFERROR(INDEX(基础资料!$V$6:$V$205,MATCH($E120,基础资料!$Q$6:$Q$205,0)),"")&lt;&gt;"是",0,IFERROR((SUMIFS(期初数据!$T$6:$T$205,期初数据!$O$6:$O$205,$E120)+SUMIFS(采购录入!$Q$5:$Q$404,采购录入!$E$5:$E$404,$E120,采购录入!$I$5:$I$404,"是",采购录入!$B$5:$B$404,"&lt;="&amp;$B120))/(SUMIFS(期初数据!$R$6:$R$205,期初数据!$O$6:$O$205,$E120)+SUMIFS(采购录入!$F$5:$F$404,采购录入!$E$5:$E$404,$E120,采购录入!$I$5:$I$404,"是",采购录入!$B$5:$B$404,"&lt;="&amp;$B120)),IFERROR(INDEX(基础资料!$U$6:$U$205,MATCH($E120,基础资料!$Q$6:$Q$205,0)),0))))</f>
        <v/>
      </c>
      <c r="S120" s="48" t="str">
        <f aca="false">IF($O120="","",ROUND(N($F120)*N($R120),2))</f>
        <v/>
      </c>
      <c r="T120" s="48" t="str">
        <f aca="false">IF($O120="","",N($O120)-N($S120))</f>
        <v/>
      </c>
      <c r="U120" s="52" t="str">
        <f aca="false">IF(OR($B120="",$D120=""),"",$B120+N(IFERROR(INDEX(基础资料!$AB$6:$AB$155,MATCH($D120,基础资料!$Z$6:$Z$155,0)),0)))</f>
        <v/>
      </c>
      <c r="V120" s="49" t="str">
        <f aca="false">IF($O120="","","1122")</f>
        <v/>
      </c>
      <c r="W120" s="49" t="str">
        <f aca="false">IF($O120="","","6001")</f>
        <v/>
      </c>
      <c r="X120" s="48" t="str">
        <f aca="false">IF($O120="","",$O120)</f>
        <v/>
      </c>
      <c r="Y120" s="49" t="str">
        <f aca="false">IF(N($P120)=0,"","1122")</f>
        <v/>
      </c>
      <c r="Z120" s="49" t="str">
        <f aca="false">IF(N($P120)=0,"","2221")</f>
        <v/>
      </c>
      <c r="AA120" s="48" t="str">
        <f aca="false">IF(N($P120)=0,"",$P120)</f>
        <v/>
      </c>
      <c r="AB120" s="49" t="str">
        <f aca="false">IF(N($S120)=0,"","6401")</f>
        <v/>
      </c>
      <c r="AC120" s="49" t="str">
        <f aca="false">IF(N($S120)=0,"","1405")</f>
        <v/>
      </c>
      <c r="AD120" s="48" t="str">
        <f aca="false">IF(N($S120)=0,"",$S120)</f>
        <v/>
      </c>
      <c r="AE120" s="49" t="str">
        <f aca="false">IF(AND($D120=客户对账单!$B$3,$B120&gt;=客户对账单!$E$3,$B120&lt;=客户对账单!$H$3),COUNTIFS($D$5:$D120,客户对账单!$B$3,$B$5:$B120,"&gt;="&amp;客户对账单!$E$3,$B$5:$B120,"&lt;="&amp;客户对账单!$H$3),"")</f>
        <v/>
      </c>
    </row>
    <row r="121" customFormat="false" ht="15.75" hidden="false" customHeight="true" outlineLevel="0" collapsed="false">
      <c r="A121" s="42" t="str">
        <f aca="false">IF($B121="","","XS"&amp;TEXT($B121,"yyyymm")&amp;"-"&amp;TEXT(ROW()-4,"000"))</f>
        <v/>
      </c>
      <c r="B121" s="41"/>
      <c r="C121" s="42" t="str">
        <f aca="false">IF($B121="","",TEXT($B121,"yyyy-mm"))</f>
        <v/>
      </c>
      <c r="D121" s="32"/>
      <c r="E121" s="36"/>
      <c r="F121" s="43"/>
      <c r="G121" s="40"/>
      <c r="H121" s="51"/>
      <c r="I121" s="33"/>
      <c r="J121" s="33"/>
      <c r="K121" s="36"/>
      <c r="L121" s="47" t="str">
        <f aca="false">IF($B121="","",IF(NOT(ISNUMBER($B121)),"日期不是日期格式",IF(YEAR($B121)&lt;&gt;首页!$B$3,"不在会计年度",IF($D121="","未选客户",IF(ISNA(MATCH($D121,基础资料!$Z$6:$Z$155,0)),"客户不在档案",IF($E121="","未选商品",IF(ISNA(MATCH($E121,基础资料!$Q$6:$Q$205,0)),"商品不在档案",IF(NOT(ISNUMBER($F121)),"数量须为数字",IF(NOT(ISNUMBER($G121)),"单价须为数字",IF(N($F121)&lt;=0,"数量须大于0",IF(AND(IFERROR(INDEX(基础资料!$V$6:$V$205,MATCH($E121,基础资料!$Q$6:$Q$205,0)),"")="是",N($R121)=0),"无成本价·请先录采购或填参考成本",IF(N($T121)&lt;0,"毛利为负·请核对","√"))))))))))))</f>
        <v/>
      </c>
      <c r="M121" s="49" t="str">
        <f aca="false">IF($E121="","",IFERROR(INDEX(基础资料!$R$6:$R$205,MATCH($E121,基础资料!$Q$6:$Q$205,0)),""))</f>
        <v/>
      </c>
      <c r="N121" s="49" t="str">
        <f aca="false">IF($E121="","",IFERROR(INDEX(基础资料!$S$6:$S$205,MATCH($E121,基础资料!$Q$6:$Q$205,0)),""))</f>
        <v/>
      </c>
      <c r="O121" s="48" t="str">
        <f aca="false">IF(OR($F121="",$G121=""),"",ROUND(N($F121)*N($G121),2))</f>
        <v/>
      </c>
      <c r="P121" s="48" t="str">
        <f aca="false">IF($O121="","",ROUND(N($O121)*N($H121),2))</f>
        <v/>
      </c>
      <c r="Q121" s="48" t="str">
        <f aca="false">IF($O121="","",N($O121)+N($P121))</f>
        <v/>
      </c>
      <c r="R121" s="48" t="str">
        <f aca="false">IF(OR($E121="",$B121=""),"",IF(IFERROR(INDEX(基础资料!$V$6:$V$205,MATCH($E121,基础资料!$Q$6:$Q$205,0)),"")&lt;&gt;"是",0,IFERROR((SUMIFS(期初数据!$T$6:$T$205,期初数据!$O$6:$O$205,$E121)+SUMIFS(采购录入!$Q$5:$Q$404,采购录入!$E$5:$E$404,$E121,采购录入!$I$5:$I$404,"是",采购录入!$B$5:$B$404,"&lt;="&amp;$B121))/(SUMIFS(期初数据!$R$6:$R$205,期初数据!$O$6:$O$205,$E121)+SUMIFS(采购录入!$F$5:$F$404,采购录入!$E$5:$E$404,$E121,采购录入!$I$5:$I$404,"是",采购录入!$B$5:$B$404,"&lt;="&amp;$B121)),IFERROR(INDEX(基础资料!$U$6:$U$205,MATCH($E121,基础资料!$Q$6:$Q$205,0)),0))))</f>
        <v/>
      </c>
      <c r="S121" s="48" t="str">
        <f aca="false">IF($O121="","",ROUND(N($F121)*N($R121),2))</f>
        <v/>
      </c>
      <c r="T121" s="48" t="str">
        <f aca="false">IF($O121="","",N($O121)-N($S121))</f>
        <v/>
      </c>
      <c r="U121" s="52" t="str">
        <f aca="false">IF(OR($B121="",$D121=""),"",$B121+N(IFERROR(INDEX(基础资料!$AB$6:$AB$155,MATCH($D121,基础资料!$Z$6:$Z$155,0)),0)))</f>
        <v/>
      </c>
      <c r="V121" s="49" t="str">
        <f aca="false">IF($O121="","","1122")</f>
        <v/>
      </c>
      <c r="W121" s="49" t="str">
        <f aca="false">IF($O121="","","6001")</f>
        <v/>
      </c>
      <c r="X121" s="48" t="str">
        <f aca="false">IF($O121="","",$O121)</f>
        <v/>
      </c>
      <c r="Y121" s="49" t="str">
        <f aca="false">IF(N($P121)=0,"","1122")</f>
        <v/>
      </c>
      <c r="Z121" s="49" t="str">
        <f aca="false">IF(N($P121)=0,"","2221")</f>
        <v/>
      </c>
      <c r="AA121" s="48" t="str">
        <f aca="false">IF(N($P121)=0,"",$P121)</f>
        <v/>
      </c>
      <c r="AB121" s="49" t="str">
        <f aca="false">IF(N($S121)=0,"","6401")</f>
        <v/>
      </c>
      <c r="AC121" s="49" t="str">
        <f aca="false">IF(N($S121)=0,"","1405")</f>
        <v/>
      </c>
      <c r="AD121" s="48" t="str">
        <f aca="false">IF(N($S121)=0,"",$S121)</f>
        <v/>
      </c>
      <c r="AE121" s="49" t="str">
        <f aca="false">IF(AND($D121=客户对账单!$B$3,$B121&gt;=客户对账单!$E$3,$B121&lt;=客户对账单!$H$3),COUNTIFS($D$5:$D121,客户对账单!$B$3,$B$5:$B121,"&gt;="&amp;客户对账单!$E$3,$B$5:$B121,"&lt;="&amp;客户对账单!$H$3),"")</f>
        <v/>
      </c>
    </row>
    <row r="122" customFormat="false" ht="15.75" hidden="false" customHeight="true" outlineLevel="0" collapsed="false">
      <c r="A122" s="42" t="str">
        <f aca="false">IF($B122="","","XS"&amp;TEXT($B122,"yyyymm")&amp;"-"&amp;TEXT(ROW()-4,"000"))</f>
        <v/>
      </c>
      <c r="B122" s="41"/>
      <c r="C122" s="42" t="str">
        <f aca="false">IF($B122="","",TEXT($B122,"yyyy-mm"))</f>
        <v/>
      </c>
      <c r="D122" s="32"/>
      <c r="E122" s="36"/>
      <c r="F122" s="43"/>
      <c r="G122" s="40"/>
      <c r="H122" s="51"/>
      <c r="I122" s="33"/>
      <c r="J122" s="33"/>
      <c r="K122" s="36"/>
      <c r="L122" s="47" t="str">
        <f aca="false">IF($B122="","",IF(NOT(ISNUMBER($B122)),"日期不是日期格式",IF(YEAR($B122)&lt;&gt;首页!$B$3,"不在会计年度",IF($D122="","未选客户",IF(ISNA(MATCH($D122,基础资料!$Z$6:$Z$155,0)),"客户不在档案",IF($E122="","未选商品",IF(ISNA(MATCH($E122,基础资料!$Q$6:$Q$205,0)),"商品不在档案",IF(NOT(ISNUMBER($F122)),"数量须为数字",IF(NOT(ISNUMBER($G122)),"单价须为数字",IF(N($F122)&lt;=0,"数量须大于0",IF(AND(IFERROR(INDEX(基础资料!$V$6:$V$205,MATCH($E122,基础资料!$Q$6:$Q$205,0)),"")="是",N($R122)=0),"无成本价·请先录采购或填参考成本",IF(N($T122)&lt;0,"毛利为负·请核对","√"))))))))))))</f>
        <v/>
      </c>
      <c r="M122" s="49" t="str">
        <f aca="false">IF($E122="","",IFERROR(INDEX(基础资料!$R$6:$R$205,MATCH($E122,基础资料!$Q$6:$Q$205,0)),""))</f>
        <v/>
      </c>
      <c r="N122" s="49" t="str">
        <f aca="false">IF($E122="","",IFERROR(INDEX(基础资料!$S$6:$S$205,MATCH($E122,基础资料!$Q$6:$Q$205,0)),""))</f>
        <v/>
      </c>
      <c r="O122" s="48" t="str">
        <f aca="false">IF(OR($F122="",$G122=""),"",ROUND(N($F122)*N($G122),2))</f>
        <v/>
      </c>
      <c r="P122" s="48" t="str">
        <f aca="false">IF($O122="","",ROUND(N($O122)*N($H122),2))</f>
        <v/>
      </c>
      <c r="Q122" s="48" t="str">
        <f aca="false">IF($O122="","",N($O122)+N($P122))</f>
        <v/>
      </c>
      <c r="R122" s="48" t="str">
        <f aca="false">IF(OR($E122="",$B122=""),"",IF(IFERROR(INDEX(基础资料!$V$6:$V$205,MATCH($E122,基础资料!$Q$6:$Q$205,0)),"")&lt;&gt;"是",0,IFERROR((SUMIFS(期初数据!$T$6:$T$205,期初数据!$O$6:$O$205,$E122)+SUMIFS(采购录入!$Q$5:$Q$404,采购录入!$E$5:$E$404,$E122,采购录入!$I$5:$I$404,"是",采购录入!$B$5:$B$404,"&lt;="&amp;$B122))/(SUMIFS(期初数据!$R$6:$R$205,期初数据!$O$6:$O$205,$E122)+SUMIFS(采购录入!$F$5:$F$404,采购录入!$E$5:$E$404,$E122,采购录入!$I$5:$I$404,"是",采购录入!$B$5:$B$404,"&lt;="&amp;$B122)),IFERROR(INDEX(基础资料!$U$6:$U$205,MATCH($E122,基础资料!$Q$6:$Q$205,0)),0))))</f>
        <v/>
      </c>
      <c r="S122" s="48" t="str">
        <f aca="false">IF($O122="","",ROUND(N($F122)*N($R122),2))</f>
        <v/>
      </c>
      <c r="T122" s="48" t="str">
        <f aca="false">IF($O122="","",N($O122)-N($S122))</f>
        <v/>
      </c>
      <c r="U122" s="52" t="str">
        <f aca="false">IF(OR($B122="",$D122=""),"",$B122+N(IFERROR(INDEX(基础资料!$AB$6:$AB$155,MATCH($D122,基础资料!$Z$6:$Z$155,0)),0)))</f>
        <v/>
      </c>
      <c r="V122" s="49" t="str">
        <f aca="false">IF($O122="","","1122")</f>
        <v/>
      </c>
      <c r="W122" s="49" t="str">
        <f aca="false">IF($O122="","","6001")</f>
        <v/>
      </c>
      <c r="X122" s="48" t="str">
        <f aca="false">IF($O122="","",$O122)</f>
        <v/>
      </c>
      <c r="Y122" s="49" t="str">
        <f aca="false">IF(N($P122)=0,"","1122")</f>
        <v/>
      </c>
      <c r="Z122" s="49" t="str">
        <f aca="false">IF(N($P122)=0,"","2221")</f>
        <v/>
      </c>
      <c r="AA122" s="48" t="str">
        <f aca="false">IF(N($P122)=0,"",$P122)</f>
        <v/>
      </c>
      <c r="AB122" s="49" t="str">
        <f aca="false">IF(N($S122)=0,"","6401")</f>
        <v/>
      </c>
      <c r="AC122" s="49" t="str">
        <f aca="false">IF(N($S122)=0,"","1405")</f>
        <v/>
      </c>
      <c r="AD122" s="48" t="str">
        <f aca="false">IF(N($S122)=0,"",$S122)</f>
        <v/>
      </c>
      <c r="AE122" s="49" t="str">
        <f aca="false">IF(AND($D122=客户对账单!$B$3,$B122&gt;=客户对账单!$E$3,$B122&lt;=客户对账单!$H$3),COUNTIFS($D$5:$D122,客户对账单!$B$3,$B$5:$B122,"&gt;="&amp;客户对账单!$E$3,$B$5:$B122,"&lt;="&amp;客户对账单!$H$3),"")</f>
        <v/>
      </c>
    </row>
    <row r="123" customFormat="false" ht="15.75" hidden="false" customHeight="true" outlineLevel="0" collapsed="false">
      <c r="A123" s="42" t="str">
        <f aca="false">IF($B123="","","XS"&amp;TEXT($B123,"yyyymm")&amp;"-"&amp;TEXT(ROW()-4,"000"))</f>
        <v/>
      </c>
      <c r="B123" s="41"/>
      <c r="C123" s="42" t="str">
        <f aca="false">IF($B123="","",TEXT($B123,"yyyy-mm"))</f>
        <v/>
      </c>
      <c r="D123" s="32"/>
      <c r="E123" s="36"/>
      <c r="F123" s="43"/>
      <c r="G123" s="40"/>
      <c r="H123" s="51"/>
      <c r="I123" s="33"/>
      <c r="J123" s="33"/>
      <c r="K123" s="36"/>
      <c r="L123" s="47" t="str">
        <f aca="false">IF($B123="","",IF(NOT(ISNUMBER($B123)),"日期不是日期格式",IF(YEAR($B123)&lt;&gt;首页!$B$3,"不在会计年度",IF($D123="","未选客户",IF(ISNA(MATCH($D123,基础资料!$Z$6:$Z$155,0)),"客户不在档案",IF($E123="","未选商品",IF(ISNA(MATCH($E123,基础资料!$Q$6:$Q$205,0)),"商品不在档案",IF(NOT(ISNUMBER($F123)),"数量须为数字",IF(NOT(ISNUMBER($G123)),"单价须为数字",IF(N($F123)&lt;=0,"数量须大于0",IF(AND(IFERROR(INDEX(基础资料!$V$6:$V$205,MATCH($E123,基础资料!$Q$6:$Q$205,0)),"")="是",N($R123)=0),"无成本价·请先录采购或填参考成本",IF(N($T123)&lt;0,"毛利为负·请核对","√"))))))))))))</f>
        <v/>
      </c>
      <c r="M123" s="49" t="str">
        <f aca="false">IF($E123="","",IFERROR(INDEX(基础资料!$R$6:$R$205,MATCH($E123,基础资料!$Q$6:$Q$205,0)),""))</f>
        <v/>
      </c>
      <c r="N123" s="49" t="str">
        <f aca="false">IF($E123="","",IFERROR(INDEX(基础资料!$S$6:$S$205,MATCH($E123,基础资料!$Q$6:$Q$205,0)),""))</f>
        <v/>
      </c>
      <c r="O123" s="48" t="str">
        <f aca="false">IF(OR($F123="",$G123=""),"",ROUND(N($F123)*N($G123),2))</f>
        <v/>
      </c>
      <c r="P123" s="48" t="str">
        <f aca="false">IF($O123="","",ROUND(N($O123)*N($H123),2))</f>
        <v/>
      </c>
      <c r="Q123" s="48" t="str">
        <f aca="false">IF($O123="","",N($O123)+N($P123))</f>
        <v/>
      </c>
      <c r="R123" s="48" t="str">
        <f aca="false">IF(OR($E123="",$B123=""),"",IF(IFERROR(INDEX(基础资料!$V$6:$V$205,MATCH($E123,基础资料!$Q$6:$Q$205,0)),"")&lt;&gt;"是",0,IFERROR((SUMIFS(期初数据!$T$6:$T$205,期初数据!$O$6:$O$205,$E123)+SUMIFS(采购录入!$Q$5:$Q$404,采购录入!$E$5:$E$404,$E123,采购录入!$I$5:$I$404,"是",采购录入!$B$5:$B$404,"&lt;="&amp;$B123))/(SUMIFS(期初数据!$R$6:$R$205,期初数据!$O$6:$O$205,$E123)+SUMIFS(采购录入!$F$5:$F$404,采购录入!$E$5:$E$404,$E123,采购录入!$I$5:$I$404,"是",采购录入!$B$5:$B$404,"&lt;="&amp;$B123)),IFERROR(INDEX(基础资料!$U$6:$U$205,MATCH($E123,基础资料!$Q$6:$Q$205,0)),0))))</f>
        <v/>
      </c>
      <c r="S123" s="48" t="str">
        <f aca="false">IF($O123="","",ROUND(N($F123)*N($R123),2))</f>
        <v/>
      </c>
      <c r="T123" s="48" t="str">
        <f aca="false">IF($O123="","",N($O123)-N($S123))</f>
        <v/>
      </c>
      <c r="U123" s="52" t="str">
        <f aca="false">IF(OR($B123="",$D123=""),"",$B123+N(IFERROR(INDEX(基础资料!$AB$6:$AB$155,MATCH($D123,基础资料!$Z$6:$Z$155,0)),0)))</f>
        <v/>
      </c>
      <c r="V123" s="49" t="str">
        <f aca="false">IF($O123="","","1122")</f>
        <v/>
      </c>
      <c r="W123" s="49" t="str">
        <f aca="false">IF($O123="","","6001")</f>
        <v/>
      </c>
      <c r="X123" s="48" t="str">
        <f aca="false">IF($O123="","",$O123)</f>
        <v/>
      </c>
      <c r="Y123" s="49" t="str">
        <f aca="false">IF(N($P123)=0,"","1122")</f>
        <v/>
      </c>
      <c r="Z123" s="49" t="str">
        <f aca="false">IF(N($P123)=0,"","2221")</f>
        <v/>
      </c>
      <c r="AA123" s="48" t="str">
        <f aca="false">IF(N($P123)=0,"",$P123)</f>
        <v/>
      </c>
      <c r="AB123" s="49" t="str">
        <f aca="false">IF(N($S123)=0,"","6401")</f>
        <v/>
      </c>
      <c r="AC123" s="49" t="str">
        <f aca="false">IF(N($S123)=0,"","1405")</f>
        <v/>
      </c>
      <c r="AD123" s="48" t="str">
        <f aca="false">IF(N($S123)=0,"",$S123)</f>
        <v/>
      </c>
      <c r="AE123" s="49" t="str">
        <f aca="false">IF(AND($D123=客户对账单!$B$3,$B123&gt;=客户对账单!$E$3,$B123&lt;=客户对账单!$H$3),COUNTIFS($D$5:$D123,客户对账单!$B$3,$B$5:$B123,"&gt;="&amp;客户对账单!$E$3,$B$5:$B123,"&lt;="&amp;客户对账单!$H$3),"")</f>
        <v/>
      </c>
    </row>
    <row r="124" customFormat="false" ht="15.75" hidden="false" customHeight="true" outlineLevel="0" collapsed="false">
      <c r="A124" s="42" t="str">
        <f aca="false">IF($B124="","","XS"&amp;TEXT($B124,"yyyymm")&amp;"-"&amp;TEXT(ROW()-4,"000"))</f>
        <v/>
      </c>
      <c r="B124" s="41"/>
      <c r="C124" s="42" t="str">
        <f aca="false">IF($B124="","",TEXT($B124,"yyyy-mm"))</f>
        <v/>
      </c>
      <c r="D124" s="32"/>
      <c r="E124" s="36"/>
      <c r="F124" s="43"/>
      <c r="G124" s="40"/>
      <c r="H124" s="51"/>
      <c r="I124" s="33"/>
      <c r="J124" s="33"/>
      <c r="K124" s="36"/>
      <c r="L124" s="47" t="str">
        <f aca="false">IF($B124="","",IF(NOT(ISNUMBER($B124)),"日期不是日期格式",IF(YEAR($B124)&lt;&gt;首页!$B$3,"不在会计年度",IF($D124="","未选客户",IF(ISNA(MATCH($D124,基础资料!$Z$6:$Z$155,0)),"客户不在档案",IF($E124="","未选商品",IF(ISNA(MATCH($E124,基础资料!$Q$6:$Q$205,0)),"商品不在档案",IF(NOT(ISNUMBER($F124)),"数量须为数字",IF(NOT(ISNUMBER($G124)),"单价须为数字",IF(N($F124)&lt;=0,"数量须大于0",IF(AND(IFERROR(INDEX(基础资料!$V$6:$V$205,MATCH($E124,基础资料!$Q$6:$Q$205,0)),"")="是",N($R124)=0),"无成本价·请先录采购或填参考成本",IF(N($T124)&lt;0,"毛利为负·请核对","√"))))))))))))</f>
        <v/>
      </c>
      <c r="M124" s="49" t="str">
        <f aca="false">IF($E124="","",IFERROR(INDEX(基础资料!$R$6:$R$205,MATCH($E124,基础资料!$Q$6:$Q$205,0)),""))</f>
        <v/>
      </c>
      <c r="N124" s="49" t="str">
        <f aca="false">IF($E124="","",IFERROR(INDEX(基础资料!$S$6:$S$205,MATCH($E124,基础资料!$Q$6:$Q$205,0)),""))</f>
        <v/>
      </c>
      <c r="O124" s="48" t="str">
        <f aca="false">IF(OR($F124="",$G124=""),"",ROUND(N($F124)*N($G124),2))</f>
        <v/>
      </c>
      <c r="P124" s="48" t="str">
        <f aca="false">IF($O124="","",ROUND(N($O124)*N($H124),2))</f>
        <v/>
      </c>
      <c r="Q124" s="48" t="str">
        <f aca="false">IF($O124="","",N($O124)+N($P124))</f>
        <v/>
      </c>
      <c r="R124" s="48" t="str">
        <f aca="false">IF(OR($E124="",$B124=""),"",IF(IFERROR(INDEX(基础资料!$V$6:$V$205,MATCH($E124,基础资料!$Q$6:$Q$205,0)),"")&lt;&gt;"是",0,IFERROR((SUMIFS(期初数据!$T$6:$T$205,期初数据!$O$6:$O$205,$E124)+SUMIFS(采购录入!$Q$5:$Q$404,采购录入!$E$5:$E$404,$E124,采购录入!$I$5:$I$404,"是",采购录入!$B$5:$B$404,"&lt;="&amp;$B124))/(SUMIFS(期初数据!$R$6:$R$205,期初数据!$O$6:$O$205,$E124)+SUMIFS(采购录入!$F$5:$F$404,采购录入!$E$5:$E$404,$E124,采购录入!$I$5:$I$404,"是",采购录入!$B$5:$B$404,"&lt;="&amp;$B124)),IFERROR(INDEX(基础资料!$U$6:$U$205,MATCH($E124,基础资料!$Q$6:$Q$205,0)),0))))</f>
        <v/>
      </c>
      <c r="S124" s="48" t="str">
        <f aca="false">IF($O124="","",ROUND(N($F124)*N($R124),2))</f>
        <v/>
      </c>
      <c r="T124" s="48" t="str">
        <f aca="false">IF($O124="","",N($O124)-N($S124))</f>
        <v/>
      </c>
      <c r="U124" s="52" t="str">
        <f aca="false">IF(OR($B124="",$D124=""),"",$B124+N(IFERROR(INDEX(基础资料!$AB$6:$AB$155,MATCH($D124,基础资料!$Z$6:$Z$155,0)),0)))</f>
        <v/>
      </c>
      <c r="V124" s="49" t="str">
        <f aca="false">IF($O124="","","1122")</f>
        <v/>
      </c>
      <c r="W124" s="49" t="str">
        <f aca="false">IF($O124="","","6001")</f>
        <v/>
      </c>
      <c r="X124" s="48" t="str">
        <f aca="false">IF($O124="","",$O124)</f>
        <v/>
      </c>
      <c r="Y124" s="49" t="str">
        <f aca="false">IF(N($P124)=0,"","1122")</f>
        <v/>
      </c>
      <c r="Z124" s="49" t="str">
        <f aca="false">IF(N($P124)=0,"","2221")</f>
        <v/>
      </c>
      <c r="AA124" s="48" t="str">
        <f aca="false">IF(N($P124)=0,"",$P124)</f>
        <v/>
      </c>
      <c r="AB124" s="49" t="str">
        <f aca="false">IF(N($S124)=0,"","6401")</f>
        <v/>
      </c>
      <c r="AC124" s="49" t="str">
        <f aca="false">IF(N($S124)=0,"","1405")</f>
        <v/>
      </c>
      <c r="AD124" s="48" t="str">
        <f aca="false">IF(N($S124)=0,"",$S124)</f>
        <v/>
      </c>
      <c r="AE124" s="49" t="str">
        <f aca="false">IF(AND($D124=客户对账单!$B$3,$B124&gt;=客户对账单!$E$3,$B124&lt;=客户对账单!$H$3),COUNTIFS($D$5:$D124,客户对账单!$B$3,$B$5:$B124,"&gt;="&amp;客户对账单!$E$3,$B$5:$B124,"&lt;="&amp;客户对账单!$H$3),"")</f>
        <v/>
      </c>
    </row>
    <row r="125" customFormat="false" ht="15.75" hidden="false" customHeight="true" outlineLevel="0" collapsed="false">
      <c r="A125" s="42" t="str">
        <f aca="false">IF($B125="","","XS"&amp;TEXT($B125,"yyyymm")&amp;"-"&amp;TEXT(ROW()-4,"000"))</f>
        <v/>
      </c>
      <c r="B125" s="41"/>
      <c r="C125" s="42" t="str">
        <f aca="false">IF($B125="","",TEXT($B125,"yyyy-mm"))</f>
        <v/>
      </c>
      <c r="D125" s="32"/>
      <c r="E125" s="36"/>
      <c r="F125" s="43"/>
      <c r="G125" s="40"/>
      <c r="H125" s="51"/>
      <c r="I125" s="33"/>
      <c r="J125" s="33"/>
      <c r="K125" s="36"/>
      <c r="L125" s="47" t="str">
        <f aca="false">IF($B125="","",IF(NOT(ISNUMBER($B125)),"日期不是日期格式",IF(YEAR($B125)&lt;&gt;首页!$B$3,"不在会计年度",IF($D125="","未选客户",IF(ISNA(MATCH($D125,基础资料!$Z$6:$Z$155,0)),"客户不在档案",IF($E125="","未选商品",IF(ISNA(MATCH($E125,基础资料!$Q$6:$Q$205,0)),"商品不在档案",IF(NOT(ISNUMBER($F125)),"数量须为数字",IF(NOT(ISNUMBER($G125)),"单价须为数字",IF(N($F125)&lt;=0,"数量须大于0",IF(AND(IFERROR(INDEX(基础资料!$V$6:$V$205,MATCH($E125,基础资料!$Q$6:$Q$205,0)),"")="是",N($R125)=0),"无成本价·请先录采购或填参考成本",IF(N($T125)&lt;0,"毛利为负·请核对","√"))))))))))))</f>
        <v/>
      </c>
      <c r="M125" s="49" t="str">
        <f aca="false">IF($E125="","",IFERROR(INDEX(基础资料!$R$6:$R$205,MATCH($E125,基础资料!$Q$6:$Q$205,0)),""))</f>
        <v/>
      </c>
      <c r="N125" s="49" t="str">
        <f aca="false">IF($E125="","",IFERROR(INDEX(基础资料!$S$6:$S$205,MATCH($E125,基础资料!$Q$6:$Q$205,0)),""))</f>
        <v/>
      </c>
      <c r="O125" s="48" t="str">
        <f aca="false">IF(OR($F125="",$G125=""),"",ROUND(N($F125)*N($G125),2))</f>
        <v/>
      </c>
      <c r="P125" s="48" t="str">
        <f aca="false">IF($O125="","",ROUND(N($O125)*N($H125),2))</f>
        <v/>
      </c>
      <c r="Q125" s="48" t="str">
        <f aca="false">IF($O125="","",N($O125)+N($P125))</f>
        <v/>
      </c>
      <c r="R125" s="48" t="str">
        <f aca="false">IF(OR($E125="",$B125=""),"",IF(IFERROR(INDEX(基础资料!$V$6:$V$205,MATCH($E125,基础资料!$Q$6:$Q$205,0)),"")&lt;&gt;"是",0,IFERROR((SUMIFS(期初数据!$T$6:$T$205,期初数据!$O$6:$O$205,$E125)+SUMIFS(采购录入!$Q$5:$Q$404,采购录入!$E$5:$E$404,$E125,采购录入!$I$5:$I$404,"是",采购录入!$B$5:$B$404,"&lt;="&amp;$B125))/(SUMIFS(期初数据!$R$6:$R$205,期初数据!$O$6:$O$205,$E125)+SUMIFS(采购录入!$F$5:$F$404,采购录入!$E$5:$E$404,$E125,采购录入!$I$5:$I$404,"是",采购录入!$B$5:$B$404,"&lt;="&amp;$B125)),IFERROR(INDEX(基础资料!$U$6:$U$205,MATCH($E125,基础资料!$Q$6:$Q$205,0)),0))))</f>
        <v/>
      </c>
      <c r="S125" s="48" t="str">
        <f aca="false">IF($O125="","",ROUND(N($F125)*N($R125),2))</f>
        <v/>
      </c>
      <c r="T125" s="48" t="str">
        <f aca="false">IF($O125="","",N($O125)-N($S125))</f>
        <v/>
      </c>
      <c r="U125" s="52" t="str">
        <f aca="false">IF(OR($B125="",$D125=""),"",$B125+N(IFERROR(INDEX(基础资料!$AB$6:$AB$155,MATCH($D125,基础资料!$Z$6:$Z$155,0)),0)))</f>
        <v/>
      </c>
      <c r="V125" s="49" t="str">
        <f aca="false">IF($O125="","","1122")</f>
        <v/>
      </c>
      <c r="W125" s="49" t="str">
        <f aca="false">IF($O125="","","6001")</f>
        <v/>
      </c>
      <c r="X125" s="48" t="str">
        <f aca="false">IF($O125="","",$O125)</f>
        <v/>
      </c>
      <c r="Y125" s="49" t="str">
        <f aca="false">IF(N($P125)=0,"","1122")</f>
        <v/>
      </c>
      <c r="Z125" s="49" t="str">
        <f aca="false">IF(N($P125)=0,"","2221")</f>
        <v/>
      </c>
      <c r="AA125" s="48" t="str">
        <f aca="false">IF(N($P125)=0,"",$P125)</f>
        <v/>
      </c>
      <c r="AB125" s="49" t="str">
        <f aca="false">IF(N($S125)=0,"","6401")</f>
        <v/>
      </c>
      <c r="AC125" s="49" t="str">
        <f aca="false">IF(N($S125)=0,"","1405")</f>
        <v/>
      </c>
      <c r="AD125" s="48" t="str">
        <f aca="false">IF(N($S125)=0,"",$S125)</f>
        <v/>
      </c>
      <c r="AE125" s="49" t="str">
        <f aca="false">IF(AND($D125=客户对账单!$B$3,$B125&gt;=客户对账单!$E$3,$B125&lt;=客户对账单!$H$3),COUNTIFS($D$5:$D125,客户对账单!$B$3,$B$5:$B125,"&gt;="&amp;客户对账单!$E$3,$B$5:$B125,"&lt;="&amp;客户对账单!$H$3),"")</f>
        <v/>
      </c>
    </row>
    <row r="126" customFormat="false" ht="15.75" hidden="false" customHeight="true" outlineLevel="0" collapsed="false">
      <c r="A126" s="42" t="str">
        <f aca="false">IF($B126="","","XS"&amp;TEXT($B126,"yyyymm")&amp;"-"&amp;TEXT(ROW()-4,"000"))</f>
        <v/>
      </c>
      <c r="B126" s="41"/>
      <c r="C126" s="42" t="str">
        <f aca="false">IF($B126="","",TEXT($B126,"yyyy-mm"))</f>
        <v/>
      </c>
      <c r="D126" s="32"/>
      <c r="E126" s="36"/>
      <c r="F126" s="43"/>
      <c r="G126" s="40"/>
      <c r="H126" s="51"/>
      <c r="I126" s="33"/>
      <c r="J126" s="33"/>
      <c r="K126" s="36"/>
      <c r="L126" s="47" t="str">
        <f aca="false">IF($B126="","",IF(NOT(ISNUMBER($B126)),"日期不是日期格式",IF(YEAR($B126)&lt;&gt;首页!$B$3,"不在会计年度",IF($D126="","未选客户",IF(ISNA(MATCH($D126,基础资料!$Z$6:$Z$155,0)),"客户不在档案",IF($E126="","未选商品",IF(ISNA(MATCH($E126,基础资料!$Q$6:$Q$205,0)),"商品不在档案",IF(NOT(ISNUMBER($F126)),"数量须为数字",IF(NOT(ISNUMBER($G126)),"单价须为数字",IF(N($F126)&lt;=0,"数量须大于0",IF(AND(IFERROR(INDEX(基础资料!$V$6:$V$205,MATCH($E126,基础资料!$Q$6:$Q$205,0)),"")="是",N($R126)=0),"无成本价·请先录采购或填参考成本",IF(N($T126)&lt;0,"毛利为负·请核对","√"))))))))))))</f>
        <v/>
      </c>
      <c r="M126" s="49" t="str">
        <f aca="false">IF($E126="","",IFERROR(INDEX(基础资料!$R$6:$R$205,MATCH($E126,基础资料!$Q$6:$Q$205,0)),""))</f>
        <v/>
      </c>
      <c r="N126" s="49" t="str">
        <f aca="false">IF($E126="","",IFERROR(INDEX(基础资料!$S$6:$S$205,MATCH($E126,基础资料!$Q$6:$Q$205,0)),""))</f>
        <v/>
      </c>
      <c r="O126" s="48" t="str">
        <f aca="false">IF(OR($F126="",$G126=""),"",ROUND(N($F126)*N($G126),2))</f>
        <v/>
      </c>
      <c r="P126" s="48" t="str">
        <f aca="false">IF($O126="","",ROUND(N($O126)*N($H126),2))</f>
        <v/>
      </c>
      <c r="Q126" s="48" t="str">
        <f aca="false">IF($O126="","",N($O126)+N($P126))</f>
        <v/>
      </c>
      <c r="R126" s="48" t="str">
        <f aca="false">IF(OR($E126="",$B126=""),"",IF(IFERROR(INDEX(基础资料!$V$6:$V$205,MATCH($E126,基础资料!$Q$6:$Q$205,0)),"")&lt;&gt;"是",0,IFERROR((SUMIFS(期初数据!$T$6:$T$205,期初数据!$O$6:$O$205,$E126)+SUMIFS(采购录入!$Q$5:$Q$404,采购录入!$E$5:$E$404,$E126,采购录入!$I$5:$I$404,"是",采购录入!$B$5:$B$404,"&lt;="&amp;$B126))/(SUMIFS(期初数据!$R$6:$R$205,期初数据!$O$6:$O$205,$E126)+SUMIFS(采购录入!$F$5:$F$404,采购录入!$E$5:$E$404,$E126,采购录入!$I$5:$I$404,"是",采购录入!$B$5:$B$404,"&lt;="&amp;$B126)),IFERROR(INDEX(基础资料!$U$6:$U$205,MATCH($E126,基础资料!$Q$6:$Q$205,0)),0))))</f>
        <v/>
      </c>
      <c r="S126" s="48" t="str">
        <f aca="false">IF($O126="","",ROUND(N($F126)*N($R126),2))</f>
        <v/>
      </c>
      <c r="T126" s="48" t="str">
        <f aca="false">IF($O126="","",N($O126)-N($S126))</f>
        <v/>
      </c>
      <c r="U126" s="52" t="str">
        <f aca="false">IF(OR($B126="",$D126=""),"",$B126+N(IFERROR(INDEX(基础资料!$AB$6:$AB$155,MATCH($D126,基础资料!$Z$6:$Z$155,0)),0)))</f>
        <v/>
      </c>
      <c r="V126" s="49" t="str">
        <f aca="false">IF($O126="","","1122")</f>
        <v/>
      </c>
      <c r="W126" s="49" t="str">
        <f aca="false">IF($O126="","","6001")</f>
        <v/>
      </c>
      <c r="X126" s="48" t="str">
        <f aca="false">IF($O126="","",$O126)</f>
        <v/>
      </c>
      <c r="Y126" s="49" t="str">
        <f aca="false">IF(N($P126)=0,"","1122")</f>
        <v/>
      </c>
      <c r="Z126" s="49" t="str">
        <f aca="false">IF(N($P126)=0,"","2221")</f>
        <v/>
      </c>
      <c r="AA126" s="48" t="str">
        <f aca="false">IF(N($P126)=0,"",$P126)</f>
        <v/>
      </c>
      <c r="AB126" s="49" t="str">
        <f aca="false">IF(N($S126)=0,"","6401")</f>
        <v/>
      </c>
      <c r="AC126" s="49" t="str">
        <f aca="false">IF(N($S126)=0,"","1405")</f>
        <v/>
      </c>
      <c r="AD126" s="48" t="str">
        <f aca="false">IF(N($S126)=0,"",$S126)</f>
        <v/>
      </c>
      <c r="AE126" s="49" t="str">
        <f aca="false">IF(AND($D126=客户对账单!$B$3,$B126&gt;=客户对账单!$E$3,$B126&lt;=客户对账单!$H$3),COUNTIFS($D$5:$D126,客户对账单!$B$3,$B$5:$B126,"&gt;="&amp;客户对账单!$E$3,$B$5:$B126,"&lt;="&amp;客户对账单!$H$3),"")</f>
        <v/>
      </c>
    </row>
    <row r="127" customFormat="false" ht="15.75" hidden="false" customHeight="true" outlineLevel="0" collapsed="false">
      <c r="A127" s="42" t="str">
        <f aca="false">IF($B127="","","XS"&amp;TEXT($B127,"yyyymm")&amp;"-"&amp;TEXT(ROW()-4,"000"))</f>
        <v/>
      </c>
      <c r="B127" s="41"/>
      <c r="C127" s="42" t="str">
        <f aca="false">IF($B127="","",TEXT($B127,"yyyy-mm"))</f>
        <v/>
      </c>
      <c r="D127" s="32"/>
      <c r="E127" s="36"/>
      <c r="F127" s="43"/>
      <c r="G127" s="40"/>
      <c r="H127" s="51"/>
      <c r="I127" s="33"/>
      <c r="J127" s="33"/>
      <c r="K127" s="36"/>
      <c r="L127" s="47" t="str">
        <f aca="false">IF($B127="","",IF(NOT(ISNUMBER($B127)),"日期不是日期格式",IF(YEAR($B127)&lt;&gt;首页!$B$3,"不在会计年度",IF($D127="","未选客户",IF(ISNA(MATCH($D127,基础资料!$Z$6:$Z$155,0)),"客户不在档案",IF($E127="","未选商品",IF(ISNA(MATCH($E127,基础资料!$Q$6:$Q$205,0)),"商品不在档案",IF(NOT(ISNUMBER($F127)),"数量须为数字",IF(NOT(ISNUMBER($G127)),"单价须为数字",IF(N($F127)&lt;=0,"数量须大于0",IF(AND(IFERROR(INDEX(基础资料!$V$6:$V$205,MATCH($E127,基础资料!$Q$6:$Q$205,0)),"")="是",N($R127)=0),"无成本价·请先录采购或填参考成本",IF(N($T127)&lt;0,"毛利为负·请核对","√"))))))))))))</f>
        <v/>
      </c>
      <c r="M127" s="49" t="str">
        <f aca="false">IF($E127="","",IFERROR(INDEX(基础资料!$R$6:$R$205,MATCH($E127,基础资料!$Q$6:$Q$205,0)),""))</f>
        <v/>
      </c>
      <c r="N127" s="49" t="str">
        <f aca="false">IF($E127="","",IFERROR(INDEX(基础资料!$S$6:$S$205,MATCH($E127,基础资料!$Q$6:$Q$205,0)),""))</f>
        <v/>
      </c>
      <c r="O127" s="48" t="str">
        <f aca="false">IF(OR($F127="",$G127=""),"",ROUND(N($F127)*N($G127),2))</f>
        <v/>
      </c>
      <c r="P127" s="48" t="str">
        <f aca="false">IF($O127="","",ROUND(N($O127)*N($H127),2))</f>
        <v/>
      </c>
      <c r="Q127" s="48" t="str">
        <f aca="false">IF($O127="","",N($O127)+N($P127))</f>
        <v/>
      </c>
      <c r="R127" s="48" t="str">
        <f aca="false">IF(OR($E127="",$B127=""),"",IF(IFERROR(INDEX(基础资料!$V$6:$V$205,MATCH($E127,基础资料!$Q$6:$Q$205,0)),"")&lt;&gt;"是",0,IFERROR((SUMIFS(期初数据!$T$6:$T$205,期初数据!$O$6:$O$205,$E127)+SUMIFS(采购录入!$Q$5:$Q$404,采购录入!$E$5:$E$404,$E127,采购录入!$I$5:$I$404,"是",采购录入!$B$5:$B$404,"&lt;="&amp;$B127))/(SUMIFS(期初数据!$R$6:$R$205,期初数据!$O$6:$O$205,$E127)+SUMIFS(采购录入!$F$5:$F$404,采购录入!$E$5:$E$404,$E127,采购录入!$I$5:$I$404,"是",采购录入!$B$5:$B$404,"&lt;="&amp;$B127)),IFERROR(INDEX(基础资料!$U$6:$U$205,MATCH($E127,基础资料!$Q$6:$Q$205,0)),0))))</f>
        <v/>
      </c>
      <c r="S127" s="48" t="str">
        <f aca="false">IF($O127="","",ROUND(N($F127)*N($R127),2))</f>
        <v/>
      </c>
      <c r="T127" s="48" t="str">
        <f aca="false">IF($O127="","",N($O127)-N($S127))</f>
        <v/>
      </c>
      <c r="U127" s="52" t="str">
        <f aca="false">IF(OR($B127="",$D127=""),"",$B127+N(IFERROR(INDEX(基础资料!$AB$6:$AB$155,MATCH($D127,基础资料!$Z$6:$Z$155,0)),0)))</f>
        <v/>
      </c>
      <c r="V127" s="49" t="str">
        <f aca="false">IF($O127="","","1122")</f>
        <v/>
      </c>
      <c r="W127" s="49" t="str">
        <f aca="false">IF($O127="","","6001")</f>
        <v/>
      </c>
      <c r="X127" s="48" t="str">
        <f aca="false">IF($O127="","",$O127)</f>
        <v/>
      </c>
      <c r="Y127" s="49" t="str">
        <f aca="false">IF(N($P127)=0,"","1122")</f>
        <v/>
      </c>
      <c r="Z127" s="49" t="str">
        <f aca="false">IF(N($P127)=0,"","2221")</f>
        <v/>
      </c>
      <c r="AA127" s="48" t="str">
        <f aca="false">IF(N($P127)=0,"",$P127)</f>
        <v/>
      </c>
      <c r="AB127" s="49" t="str">
        <f aca="false">IF(N($S127)=0,"","6401")</f>
        <v/>
      </c>
      <c r="AC127" s="49" t="str">
        <f aca="false">IF(N($S127)=0,"","1405")</f>
        <v/>
      </c>
      <c r="AD127" s="48" t="str">
        <f aca="false">IF(N($S127)=0,"",$S127)</f>
        <v/>
      </c>
      <c r="AE127" s="49" t="str">
        <f aca="false">IF(AND($D127=客户对账单!$B$3,$B127&gt;=客户对账单!$E$3,$B127&lt;=客户对账单!$H$3),COUNTIFS($D$5:$D127,客户对账单!$B$3,$B$5:$B127,"&gt;="&amp;客户对账单!$E$3,$B$5:$B127,"&lt;="&amp;客户对账单!$H$3),"")</f>
        <v/>
      </c>
    </row>
    <row r="128" customFormat="false" ht="15.75" hidden="false" customHeight="true" outlineLevel="0" collapsed="false">
      <c r="A128" s="42" t="str">
        <f aca="false">IF($B128="","","XS"&amp;TEXT($B128,"yyyymm")&amp;"-"&amp;TEXT(ROW()-4,"000"))</f>
        <v/>
      </c>
      <c r="B128" s="41"/>
      <c r="C128" s="42" t="str">
        <f aca="false">IF($B128="","",TEXT($B128,"yyyy-mm"))</f>
        <v/>
      </c>
      <c r="D128" s="32"/>
      <c r="E128" s="36"/>
      <c r="F128" s="43"/>
      <c r="G128" s="40"/>
      <c r="H128" s="51"/>
      <c r="I128" s="33"/>
      <c r="J128" s="33"/>
      <c r="K128" s="36"/>
      <c r="L128" s="47" t="str">
        <f aca="false">IF($B128="","",IF(NOT(ISNUMBER($B128)),"日期不是日期格式",IF(YEAR($B128)&lt;&gt;首页!$B$3,"不在会计年度",IF($D128="","未选客户",IF(ISNA(MATCH($D128,基础资料!$Z$6:$Z$155,0)),"客户不在档案",IF($E128="","未选商品",IF(ISNA(MATCH($E128,基础资料!$Q$6:$Q$205,0)),"商品不在档案",IF(NOT(ISNUMBER($F128)),"数量须为数字",IF(NOT(ISNUMBER($G128)),"单价须为数字",IF(N($F128)&lt;=0,"数量须大于0",IF(AND(IFERROR(INDEX(基础资料!$V$6:$V$205,MATCH($E128,基础资料!$Q$6:$Q$205,0)),"")="是",N($R128)=0),"无成本价·请先录采购或填参考成本",IF(N($T128)&lt;0,"毛利为负·请核对","√"))))))))))))</f>
        <v/>
      </c>
      <c r="M128" s="49" t="str">
        <f aca="false">IF($E128="","",IFERROR(INDEX(基础资料!$R$6:$R$205,MATCH($E128,基础资料!$Q$6:$Q$205,0)),""))</f>
        <v/>
      </c>
      <c r="N128" s="49" t="str">
        <f aca="false">IF($E128="","",IFERROR(INDEX(基础资料!$S$6:$S$205,MATCH($E128,基础资料!$Q$6:$Q$205,0)),""))</f>
        <v/>
      </c>
      <c r="O128" s="48" t="str">
        <f aca="false">IF(OR($F128="",$G128=""),"",ROUND(N($F128)*N($G128),2))</f>
        <v/>
      </c>
      <c r="P128" s="48" t="str">
        <f aca="false">IF($O128="","",ROUND(N($O128)*N($H128),2))</f>
        <v/>
      </c>
      <c r="Q128" s="48" t="str">
        <f aca="false">IF($O128="","",N($O128)+N($P128))</f>
        <v/>
      </c>
      <c r="R128" s="48" t="str">
        <f aca="false">IF(OR($E128="",$B128=""),"",IF(IFERROR(INDEX(基础资料!$V$6:$V$205,MATCH($E128,基础资料!$Q$6:$Q$205,0)),"")&lt;&gt;"是",0,IFERROR((SUMIFS(期初数据!$T$6:$T$205,期初数据!$O$6:$O$205,$E128)+SUMIFS(采购录入!$Q$5:$Q$404,采购录入!$E$5:$E$404,$E128,采购录入!$I$5:$I$404,"是",采购录入!$B$5:$B$404,"&lt;="&amp;$B128))/(SUMIFS(期初数据!$R$6:$R$205,期初数据!$O$6:$O$205,$E128)+SUMIFS(采购录入!$F$5:$F$404,采购录入!$E$5:$E$404,$E128,采购录入!$I$5:$I$404,"是",采购录入!$B$5:$B$404,"&lt;="&amp;$B128)),IFERROR(INDEX(基础资料!$U$6:$U$205,MATCH($E128,基础资料!$Q$6:$Q$205,0)),0))))</f>
        <v/>
      </c>
      <c r="S128" s="48" t="str">
        <f aca="false">IF($O128="","",ROUND(N($F128)*N($R128),2))</f>
        <v/>
      </c>
      <c r="T128" s="48" t="str">
        <f aca="false">IF($O128="","",N($O128)-N($S128))</f>
        <v/>
      </c>
      <c r="U128" s="52" t="str">
        <f aca="false">IF(OR($B128="",$D128=""),"",$B128+N(IFERROR(INDEX(基础资料!$AB$6:$AB$155,MATCH($D128,基础资料!$Z$6:$Z$155,0)),0)))</f>
        <v/>
      </c>
      <c r="V128" s="49" t="str">
        <f aca="false">IF($O128="","","1122")</f>
        <v/>
      </c>
      <c r="W128" s="49" t="str">
        <f aca="false">IF($O128="","","6001")</f>
        <v/>
      </c>
      <c r="X128" s="48" t="str">
        <f aca="false">IF($O128="","",$O128)</f>
        <v/>
      </c>
      <c r="Y128" s="49" t="str">
        <f aca="false">IF(N($P128)=0,"","1122")</f>
        <v/>
      </c>
      <c r="Z128" s="49" t="str">
        <f aca="false">IF(N($P128)=0,"","2221")</f>
        <v/>
      </c>
      <c r="AA128" s="48" t="str">
        <f aca="false">IF(N($P128)=0,"",$P128)</f>
        <v/>
      </c>
      <c r="AB128" s="49" t="str">
        <f aca="false">IF(N($S128)=0,"","6401")</f>
        <v/>
      </c>
      <c r="AC128" s="49" t="str">
        <f aca="false">IF(N($S128)=0,"","1405")</f>
        <v/>
      </c>
      <c r="AD128" s="48" t="str">
        <f aca="false">IF(N($S128)=0,"",$S128)</f>
        <v/>
      </c>
      <c r="AE128" s="49" t="str">
        <f aca="false">IF(AND($D128=客户对账单!$B$3,$B128&gt;=客户对账单!$E$3,$B128&lt;=客户对账单!$H$3),COUNTIFS($D$5:$D128,客户对账单!$B$3,$B$5:$B128,"&gt;="&amp;客户对账单!$E$3,$B$5:$B128,"&lt;="&amp;客户对账单!$H$3),"")</f>
        <v/>
      </c>
    </row>
    <row r="129" customFormat="false" ht="15.75" hidden="false" customHeight="true" outlineLevel="0" collapsed="false">
      <c r="A129" s="42" t="str">
        <f aca="false">IF($B129="","","XS"&amp;TEXT($B129,"yyyymm")&amp;"-"&amp;TEXT(ROW()-4,"000"))</f>
        <v/>
      </c>
      <c r="B129" s="41"/>
      <c r="C129" s="42" t="str">
        <f aca="false">IF($B129="","",TEXT($B129,"yyyy-mm"))</f>
        <v/>
      </c>
      <c r="D129" s="32"/>
      <c r="E129" s="36"/>
      <c r="F129" s="43"/>
      <c r="G129" s="40"/>
      <c r="H129" s="51"/>
      <c r="I129" s="33"/>
      <c r="J129" s="33"/>
      <c r="K129" s="36"/>
      <c r="L129" s="47" t="str">
        <f aca="false">IF($B129="","",IF(NOT(ISNUMBER($B129)),"日期不是日期格式",IF(YEAR($B129)&lt;&gt;首页!$B$3,"不在会计年度",IF($D129="","未选客户",IF(ISNA(MATCH($D129,基础资料!$Z$6:$Z$155,0)),"客户不在档案",IF($E129="","未选商品",IF(ISNA(MATCH($E129,基础资料!$Q$6:$Q$205,0)),"商品不在档案",IF(NOT(ISNUMBER($F129)),"数量须为数字",IF(NOT(ISNUMBER($G129)),"单价须为数字",IF(N($F129)&lt;=0,"数量须大于0",IF(AND(IFERROR(INDEX(基础资料!$V$6:$V$205,MATCH($E129,基础资料!$Q$6:$Q$205,0)),"")="是",N($R129)=0),"无成本价·请先录采购或填参考成本",IF(N($T129)&lt;0,"毛利为负·请核对","√"))))))))))))</f>
        <v/>
      </c>
      <c r="M129" s="49" t="str">
        <f aca="false">IF($E129="","",IFERROR(INDEX(基础资料!$R$6:$R$205,MATCH($E129,基础资料!$Q$6:$Q$205,0)),""))</f>
        <v/>
      </c>
      <c r="N129" s="49" t="str">
        <f aca="false">IF($E129="","",IFERROR(INDEX(基础资料!$S$6:$S$205,MATCH($E129,基础资料!$Q$6:$Q$205,0)),""))</f>
        <v/>
      </c>
      <c r="O129" s="48" t="str">
        <f aca="false">IF(OR($F129="",$G129=""),"",ROUND(N($F129)*N($G129),2))</f>
        <v/>
      </c>
      <c r="P129" s="48" t="str">
        <f aca="false">IF($O129="","",ROUND(N($O129)*N($H129),2))</f>
        <v/>
      </c>
      <c r="Q129" s="48" t="str">
        <f aca="false">IF($O129="","",N($O129)+N($P129))</f>
        <v/>
      </c>
      <c r="R129" s="48" t="str">
        <f aca="false">IF(OR($E129="",$B129=""),"",IF(IFERROR(INDEX(基础资料!$V$6:$V$205,MATCH($E129,基础资料!$Q$6:$Q$205,0)),"")&lt;&gt;"是",0,IFERROR((SUMIFS(期初数据!$T$6:$T$205,期初数据!$O$6:$O$205,$E129)+SUMIFS(采购录入!$Q$5:$Q$404,采购录入!$E$5:$E$404,$E129,采购录入!$I$5:$I$404,"是",采购录入!$B$5:$B$404,"&lt;="&amp;$B129))/(SUMIFS(期初数据!$R$6:$R$205,期初数据!$O$6:$O$205,$E129)+SUMIFS(采购录入!$F$5:$F$404,采购录入!$E$5:$E$404,$E129,采购录入!$I$5:$I$404,"是",采购录入!$B$5:$B$404,"&lt;="&amp;$B129)),IFERROR(INDEX(基础资料!$U$6:$U$205,MATCH($E129,基础资料!$Q$6:$Q$205,0)),0))))</f>
        <v/>
      </c>
      <c r="S129" s="48" t="str">
        <f aca="false">IF($O129="","",ROUND(N($F129)*N($R129),2))</f>
        <v/>
      </c>
      <c r="T129" s="48" t="str">
        <f aca="false">IF($O129="","",N($O129)-N($S129))</f>
        <v/>
      </c>
      <c r="U129" s="52" t="str">
        <f aca="false">IF(OR($B129="",$D129=""),"",$B129+N(IFERROR(INDEX(基础资料!$AB$6:$AB$155,MATCH($D129,基础资料!$Z$6:$Z$155,0)),0)))</f>
        <v/>
      </c>
      <c r="V129" s="49" t="str">
        <f aca="false">IF($O129="","","1122")</f>
        <v/>
      </c>
      <c r="W129" s="49" t="str">
        <f aca="false">IF($O129="","","6001")</f>
        <v/>
      </c>
      <c r="X129" s="48" t="str">
        <f aca="false">IF($O129="","",$O129)</f>
        <v/>
      </c>
      <c r="Y129" s="49" t="str">
        <f aca="false">IF(N($P129)=0,"","1122")</f>
        <v/>
      </c>
      <c r="Z129" s="49" t="str">
        <f aca="false">IF(N($P129)=0,"","2221")</f>
        <v/>
      </c>
      <c r="AA129" s="48" t="str">
        <f aca="false">IF(N($P129)=0,"",$P129)</f>
        <v/>
      </c>
      <c r="AB129" s="49" t="str">
        <f aca="false">IF(N($S129)=0,"","6401")</f>
        <v/>
      </c>
      <c r="AC129" s="49" t="str">
        <f aca="false">IF(N($S129)=0,"","1405")</f>
        <v/>
      </c>
      <c r="AD129" s="48" t="str">
        <f aca="false">IF(N($S129)=0,"",$S129)</f>
        <v/>
      </c>
      <c r="AE129" s="49" t="str">
        <f aca="false">IF(AND($D129=客户对账单!$B$3,$B129&gt;=客户对账单!$E$3,$B129&lt;=客户对账单!$H$3),COUNTIFS($D$5:$D129,客户对账单!$B$3,$B$5:$B129,"&gt;="&amp;客户对账单!$E$3,$B$5:$B129,"&lt;="&amp;客户对账单!$H$3),"")</f>
        <v/>
      </c>
    </row>
    <row r="130" customFormat="false" ht="15.75" hidden="false" customHeight="true" outlineLevel="0" collapsed="false">
      <c r="A130" s="42" t="str">
        <f aca="false">IF($B130="","","XS"&amp;TEXT($B130,"yyyymm")&amp;"-"&amp;TEXT(ROW()-4,"000"))</f>
        <v/>
      </c>
      <c r="B130" s="41"/>
      <c r="C130" s="42" t="str">
        <f aca="false">IF($B130="","",TEXT($B130,"yyyy-mm"))</f>
        <v/>
      </c>
      <c r="D130" s="32"/>
      <c r="E130" s="36"/>
      <c r="F130" s="43"/>
      <c r="G130" s="40"/>
      <c r="H130" s="51"/>
      <c r="I130" s="33"/>
      <c r="J130" s="33"/>
      <c r="K130" s="36"/>
      <c r="L130" s="47" t="str">
        <f aca="false">IF($B130="","",IF(NOT(ISNUMBER($B130)),"日期不是日期格式",IF(YEAR($B130)&lt;&gt;首页!$B$3,"不在会计年度",IF($D130="","未选客户",IF(ISNA(MATCH($D130,基础资料!$Z$6:$Z$155,0)),"客户不在档案",IF($E130="","未选商品",IF(ISNA(MATCH($E130,基础资料!$Q$6:$Q$205,0)),"商品不在档案",IF(NOT(ISNUMBER($F130)),"数量须为数字",IF(NOT(ISNUMBER($G130)),"单价须为数字",IF(N($F130)&lt;=0,"数量须大于0",IF(AND(IFERROR(INDEX(基础资料!$V$6:$V$205,MATCH($E130,基础资料!$Q$6:$Q$205,0)),"")="是",N($R130)=0),"无成本价·请先录采购或填参考成本",IF(N($T130)&lt;0,"毛利为负·请核对","√"))))))))))))</f>
        <v/>
      </c>
      <c r="M130" s="49" t="str">
        <f aca="false">IF($E130="","",IFERROR(INDEX(基础资料!$R$6:$R$205,MATCH($E130,基础资料!$Q$6:$Q$205,0)),""))</f>
        <v/>
      </c>
      <c r="N130" s="49" t="str">
        <f aca="false">IF($E130="","",IFERROR(INDEX(基础资料!$S$6:$S$205,MATCH($E130,基础资料!$Q$6:$Q$205,0)),""))</f>
        <v/>
      </c>
      <c r="O130" s="48" t="str">
        <f aca="false">IF(OR($F130="",$G130=""),"",ROUND(N($F130)*N($G130),2))</f>
        <v/>
      </c>
      <c r="P130" s="48" t="str">
        <f aca="false">IF($O130="","",ROUND(N($O130)*N($H130),2))</f>
        <v/>
      </c>
      <c r="Q130" s="48" t="str">
        <f aca="false">IF($O130="","",N($O130)+N($P130))</f>
        <v/>
      </c>
      <c r="R130" s="48" t="str">
        <f aca="false">IF(OR($E130="",$B130=""),"",IF(IFERROR(INDEX(基础资料!$V$6:$V$205,MATCH($E130,基础资料!$Q$6:$Q$205,0)),"")&lt;&gt;"是",0,IFERROR((SUMIFS(期初数据!$T$6:$T$205,期初数据!$O$6:$O$205,$E130)+SUMIFS(采购录入!$Q$5:$Q$404,采购录入!$E$5:$E$404,$E130,采购录入!$I$5:$I$404,"是",采购录入!$B$5:$B$404,"&lt;="&amp;$B130))/(SUMIFS(期初数据!$R$6:$R$205,期初数据!$O$6:$O$205,$E130)+SUMIFS(采购录入!$F$5:$F$404,采购录入!$E$5:$E$404,$E130,采购录入!$I$5:$I$404,"是",采购录入!$B$5:$B$404,"&lt;="&amp;$B130)),IFERROR(INDEX(基础资料!$U$6:$U$205,MATCH($E130,基础资料!$Q$6:$Q$205,0)),0))))</f>
        <v/>
      </c>
      <c r="S130" s="48" t="str">
        <f aca="false">IF($O130="","",ROUND(N($F130)*N($R130),2))</f>
        <v/>
      </c>
      <c r="T130" s="48" t="str">
        <f aca="false">IF($O130="","",N($O130)-N($S130))</f>
        <v/>
      </c>
      <c r="U130" s="52" t="str">
        <f aca="false">IF(OR($B130="",$D130=""),"",$B130+N(IFERROR(INDEX(基础资料!$AB$6:$AB$155,MATCH($D130,基础资料!$Z$6:$Z$155,0)),0)))</f>
        <v/>
      </c>
      <c r="V130" s="49" t="str">
        <f aca="false">IF($O130="","","1122")</f>
        <v/>
      </c>
      <c r="W130" s="49" t="str">
        <f aca="false">IF($O130="","","6001")</f>
        <v/>
      </c>
      <c r="X130" s="48" t="str">
        <f aca="false">IF($O130="","",$O130)</f>
        <v/>
      </c>
      <c r="Y130" s="49" t="str">
        <f aca="false">IF(N($P130)=0,"","1122")</f>
        <v/>
      </c>
      <c r="Z130" s="49" t="str">
        <f aca="false">IF(N($P130)=0,"","2221")</f>
        <v/>
      </c>
      <c r="AA130" s="48" t="str">
        <f aca="false">IF(N($P130)=0,"",$P130)</f>
        <v/>
      </c>
      <c r="AB130" s="49" t="str">
        <f aca="false">IF(N($S130)=0,"","6401")</f>
        <v/>
      </c>
      <c r="AC130" s="49" t="str">
        <f aca="false">IF(N($S130)=0,"","1405")</f>
        <v/>
      </c>
      <c r="AD130" s="48" t="str">
        <f aca="false">IF(N($S130)=0,"",$S130)</f>
        <v/>
      </c>
      <c r="AE130" s="49" t="str">
        <f aca="false">IF(AND($D130=客户对账单!$B$3,$B130&gt;=客户对账单!$E$3,$B130&lt;=客户对账单!$H$3),COUNTIFS($D$5:$D130,客户对账单!$B$3,$B$5:$B130,"&gt;="&amp;客户对账单!$E$3,$B$5:$B130,"&lt;="&amp;客户对账单!$H$3),"")</f>
        <v/>
      </c>
    </row>
    <row r="131" customFormat="false" ht="15.75" hidden="false" customHeight="true" outlineLevel="0" collapsed="false">
      <c r="A131" s="42" t="str">
        <f aca="false">IF($B131="","","XS"&amp;TEXT($B131,"yyyymm")&amp;"-"&amp;TEXT(ROW()-4,"000"))</f>
        <v/>
      </c>
      <c r="B131" s="41"/>
      <c r="C131" s="42" t="str">
        <f aca="false">IF($B131="","",TEXT($B131,"yyyy-mm"))</f>
        <v/>
      </c>
      <c r="D131" s="32"/>
      <c r="E131" s="36"/>
      <c r="F131" s="43"/>
      <c r="G131" s="40"/>
      <c r="H131" s="51"/>
      <c r="I131" s="33"/>
      <c r="J131" s="33"/>
      <c r="K131" s="36"/>
      <c r="L131" s="47" t="str">
        <f aca="false">IF($B131="","",IF(NOT(ISNUMBER($B131)),"日期不是日期格式",IF(YEAR($B131)&lt;&gt;首页!$B$3,"不在会计年度",IF($D131="","未选客户",IF(ISNA(MATCH($D131,基础资料!$Z$6:$Z$155,0)),"客户不在档案",IF($E131="","未选商品",IF(ISNA(MATCH($E131,基础资料!$Q$6:$Q$205,0)),"商品不在档案",IF(NOT(ISNUMBER($F131)),"数量须为数字",IF(NOT(ISNUMBER($G131)),"单价须为数字",IF(N($F131)&lt;=0,"数量须大于0",IF(AND(IFERROR(INDEX(基础资料!$V$6:$V$205,MATCH($E131,基础资料!$Q$6:$Q$205,0)),"")="是",N($R131)=0),"无成本价·请先录采购或填参考成本",IF(N($T131)&lt;0,"毛利为负·请核对","√"))))))))))))</f>
        <v/>
      </c>
      <c r="M131" s="49" t="str">
        <f aca="false">IF($E131="","",IFERROR(INDEX(基础资料!$R$6:$R$205,MATCH($E131,基础资料!$Q$6:$Q$205,0)),""))</f>
        <v/>
      </c>
      <c r="N131" s="49" t="str">
        <f aca="false">IF($E131="","",IFERROR(INDEX(基础资料!$S$6:$S$205,MATCH($E131,基础资料!$Q$6:$Q$205,0)),""))</f>
        <v/>
      </c>
      <c r="O131" s="48" t="str">
        <f aca="false">IF(OR($F131="",$G131=""),"",ROUND(N($F131)*N($G131),2))</f>
        <v/>
      </c>
      <c r="P131" s="48" t="str">
        <f aca="false">IF($O131="","",ROUND(N($O131)*N($H131),2))</f>
        <v/>
      </c>
      <c r="Q131" s="48" t="str">
        <f aca="false">IF($O131="","",N($O131)+N($P131))</f>
        <v/>
      </c>
      <c r="R131" s="48" t="str">
        <f aca="false">IF(OR($E131="",$B131=""),"",IF(IFERROR(INDEX(基础资料!$V$6:$V$205,MATCH($E131,基础资料!$Q$6:$Q$205,0)),"")&lt;&gt;"是",0,IFERROR((SUMIFS(期初数据!$T$6:$T$205,期初数据!$O$6:$O$205,$E131)+SUMIFS(采购录入!$Q$5:$Q$404,采购录入!$E$5:$E$404,$E131,采购录入!$I$5:$I$404,"是",采购录入!$B$5:$B$404,"&lt;="&amp;$B131))/(SUMIFS(期初数据!$R$6:$R$205,期初数据!$O$6:$O$205,$E131)+SUMIFS(采购录入!$F$5:$F$404,采购录入!$E$5:$E$404,$E131,采购录入!$I$5:$I$404,"是",采购录入!$B$5:$B$404,"&lt;="&amp;$B131)),IFERROR(INDEX(基础资料!$U$6:$U$205,MATCH($E131,基础资料!$Q$6:$Q$205,0)),0))))</f>
        <v/>
      </c>
      <c r="S131" s="48" t="str">
        <f aca="false">IF($O131="","",ROUND(N($F131)*N($R131),2))</f>
        <v/>
      </c>
      <c r="T131" s="48" t="str">
        <f aca="false">IF($O131="","",N($O131)-N($S131))</f>
        <v/>
      </c>
      <c r="U131" s="52" t="str">
        <f aca="false">IF(OR($B131="",$D131=""),"",$B131+N(IFERROR(INDEX(基础资料!$AB$6:$AB$155,MATCH($D131,基础资料!$Z$6:$Z$155,0)),0)))</f>
        <v/>
      </c>
      <c r="V131" s="49" t="str">
        <f aca="false">IF($O131="","","1122")</f>
        <v/>
      </c>
      <c r="W131" s="49" t="str">
        <f aca="false">IF($O131="","","6001")</f>
        <v/>
      </c>
      <c r="X131" s="48" t="str">
        <f aca="false">IF($O131="","",$O131)</f>
        <v/>
      </c>
      <c r="Y131" s="49" t="str">
        <f aca="false">IF(N($P131)=0,"","1122")</f>
        <v/>
      </c>
      <c r="Z131" s="49" t="str">
        <f aca="false">IF(N($P131)=0,"","2221")</f>
        <v/>
      </c>
      <c r="AA131" s="48" t="str">
        <f aca="false">IF(N($P131)=0,"",$P131)</f>
        <v/>
      </c>
      <c r="AB131" s="49" t="str">
        <f aca="false">IF(N($S131)=0,"","6401")</f>
        <v/>
      </c>
      <c r="AC131" s="49" t="str">
        <f aca="false">IF(N($S131)=0,"","1405")</f>
        <v/>
      </c>
      <c r="AD131" s="48" t="str">
        <f aca="false">IF(N($S131)=0,"",$S131)</f>
        <v/>
      </c>
      <c r="AE131" s="49" t="str">
        <f aca="false">IF(AND($D131=客户对账单!$B$3,$B131&gt;=客户对账单!$E$3,$B131&lt;=客户对账单!$H$3),COUNTIFS($D$5:$D131,客户对账单!$B$3,$B$5:$B131,"&gt;="&amp;客户对账单!$E$3,$B$5:$B131,"&lt;="&amp;客户对账单!$H$3),"")</f>
        <v/>
      </c>
    </row>
    <row r="132" customFormat="false" ht="15.75" hidden="false" customHeight="true" outlineLevel="0" collapsed="false">
      <c r="A132" s="42" t="str">
        <f aca="false">IF($B132="","","XS"&amp;TEXT($B132,"yyyymm")&amp;"-"&amp;TEXT(ROW()-4,"000"))</f>
        <v/>
      </c>
      <c r="B132" s="41"/>
      <c r="C132" s="42" t="str">
        <f aca="false">IF($B132="","",TEXT($B132,"yyyy-mm"))</f>
        <v/>
      </c>
      <c r="D132" s="32"/>
      <c r="E132" s="36"/>
      <c r="F132" s="43"/>
      <c r="G132" s="40"/>
      <c r="H132" s="51"/>
      <c r="I132" s="33"/>
      <c r="J132" s="33"/>
      <c r="K132" s="36"/>
      <c r="L132" s="47" t="str">
        <f aca="false">IF($B132="","",IF(NOT(ISNUMBER($B132)),"日期不是日期格式",IF(YEAR($B132)&lt;&gt;首页!$B$3,"不在会计年度",IF($D132="","未选客户",IF(ISNA(MATCH($D132,基础资料!$Z$6:$Z$155,0)),"客户不在档案",IF($E132="","未选商品",IF(ISNA(MATCH($E132,基础资料!$Q$6:$Q$205,0)),"商品不在档案",IF(NOT(ISNUMBER($F132)),"数量须为数字",IF(NOT(ISNUMBER($G132)),"单价须为数字",IF(N($F132)&lt;=0,"数量须大于0",IF(AND(IFERROR(INDEX(基础资料!$V$6:$V$205,MATCH($E132,基础资料!$Q$6:$Q$205,0)),"")="是",N($R132)=0),"无成本价·请先录采购或填参考成本",IF(N($T132)&lt;0,"毛利为负·请核对","√"))))))))))))</f>
        <v/>
      </c>
      <c r="M132" s="49" t="str">
        <f aca="false">IF($E132="","",IFERROR(INDEX(基础资料!$R$6:$R$205,MATCH($E132,基础资料!$Q$6:$Q$205,0)),""))</f>
        <v/>
      </c>
      <c r="N132" s="49" t="str">
        <f aca="false">IF($E132="","",IFERROR(INDEX(基础资料!$S$6:$S$205,MATCH($E132,基础资料!$Q$6:$Q$205,0)),""))</f>
        <v/>
      </c>
      <c r="O132" s="48" t="str">
        <f aca="false">IF(OR($F132="",$G132=""),"",ROUND(N($F132)*N($G132),2))</f>
        <v/>
      </c>
      <c r="P132" s="48" t="str">
        <f aca="false">IF($O132="","",ROUND(N($O132)*N($H132),2))</f>
        <v/>
      </c>
      <c r="Q132" s="48" t="str">
        <f aca="false">IF($O132="","",N($O132)+N($P132))</f>
        <v/>
      </c>
      <c r="R132" s="48" t="str">
        <f aca="false">IF(OR($E132="",$B132=""),"",IF(IFERROR(INDEX(基础资料!$V$6:$V$205,MATCH($E132,基础资料!$Q$6:$Q$205,0)),"")&lt;&gt;"是",0,IFERROR((SUMIFS(期初数据!$T$6:$T$205,期初数据!$O$6:$O$205,$E132)+SUMIFS(采购录入!$Q$5:$Q$404,采购录入!$E$5:$E$404,$E132,采购录入!$I$5:$I$404,"是",采购录入!$B$5:$B$404,"&lt;="&amp;$B132))/(SUMIFS(期初数据!$R$6:$R$205,期初数据!$O$6:$O$205,$E132)+SUMIFS(采购录入!$F$5:$F$404,采购录入!$E$5:$E$404,$E132,采购录入!$I$5:$I$404,"是",采购录入!$B$5:$B$404,"&lt;="&amp;$B132)),IFERROR(INDEX(基础资料!$U$6:$U$205,MATCH($E132,基础资料!$Q$6:$Q$205,0)),0))))</f>
        <v/>
      </c>
      <c r="S132" s="48" t="str">
        <f aca="false">IF($O132="","",ROUND(N($F132)*N($R132),2))</f>
        <v/>
      </c>
      <c r="T132" s="48" t="str">
        <f aca="false">IF($O132="","",N($O132)-N($S132))</f>
        <v/>
      </c>
      <c r="U132" s="52" t="str">
        <f aca="false">IF(OR($B132="",$D132=""),"",$B132+N(IFERROR(INDEX(基础资料!$AB$6:$AB$155,MATCH($D132,基础资料!$Z$6:$Z$155,0)),0)))</f>
        <v/>
      </c>
      <c r="V132" s="49" t="str">
        <f aca="false">IF($O132="","","1122")</f>
        <v/>
      </c>
      <c r="W132" s="49" t="str">
        <f aca="false">IF($O132="","","6001")</f>
        <v/>
      </c>
      <c r="X132" s="48" t="str">
        <f aca="false">IF($O132="","",$O132)</f>
        <v/>
      </c>
      <c r="Y132" s="49" t="str">
        <f aca="false">IF(N($P132)=0,"","1122")</f>
        <v/>
      </c>
      <c r="Z132" s="49" t="str">
        <f aca="false">IF(N($P132)=0,"","2221")</f>
        <v/>
      </c>
      <c r="AA132" s="48" t="str">
        <f aca="false">IF(N($P132)=0,"",$P132)</f>
        <v/>
      </c>
      <c r="AB132" s="49" t="str">
        <f aca="false">IF(N($S132)=0,"","6401")</f>
        <v/>
      </c>
      <c r="AC132" s="49" t="str">
        <f aca="false">IF(N($S132)=0,"","1405")</f>
        <v/>
      </c>
      <c r="AD132" s="48" t="str">
        <f aca="false">IF(N($S132)=0,"",$S132)</f>
        <v/>
      </c>
      <c r="AE132" s="49" t="str">
        <f aca="false">IF(AND($D132=客户对账单!$B$3,$B132&gt;=客户对账单!$E$3,$B132&lt;=客户对账单!$H$3),COUNTIFS($D$5:$D132,客户对账单!$B$3,$B$5:$B132,"&gt;="&amp;客户对账单!$E$3,$B$5:$B132,"&lt;="&amp;客户对账单!$H$3),"")</f>
        <v/>
      </c>
    </row>
    <row r="133" customFormat="false" ht="15.75" hidden="false" customHeight="true" outlineLevel="0" collapsed="false">
      <c r="A133" s="42" t="str">
        <f aca="false">IF($B133="","","XS"&amp;TEXT($B133,"yyyymm")&amp;"-"&amp;TEXT(ROW()-4,"000"))</f>
        <v/>
      </c>
      <c r="B133" s="41"/>
      <c r="C133" s="42" t="str">
        <f aca="false">IF($B133="","",TEXT($B133,"yyyy-mm"))</f>
        <v/>
      </c>
      <c r="D133" s="32"/>
      <c r="E133" s="36"/>
      <c r="F133" s="43"/>
      <c r="G133" s="40"/>
      <c r="H133" s="51"/>
      <c r="I133" s="33"/>
      <c r="J133" s="33"/>
      <c r="K133" s="36"/>
      <c r="L133" s="47" t="str">
        <f aca="false">IF($B133="","",IF(NOT(ISNUMBER($B133)),"日期不是日期格式",IF(YEAR($B133)&lt;&gt;首页!$B$3,"不在会计年度",IF($D133="","未选客户",IF(ISNA(MATCH($D133,基础资料!$Z$6:$Z$155,0)),"客户不在档案",IF($E133="","未选商品",IF(ISNA(MATCH($E133,基础资料!$Q$6:$Q$205,0)),"商品不在档案",IF(NOT(ISNUMBER($F133)),"数量须为数字",IF(NOT(ISNUMBER($G133)),"单价须为数字",IF(N($F133)&lt;=0,"数量须大于0",IF(AND(IFERROR(INDEX(基础资料!$V$6:$V$205,MATCH($E133,基础资料!$Q$6:$Q$205,0)),"")="是",N($R133)=0),"无成本价·请先录采购或填参考成本",IF(N($T133)&lt;0,"毛利为负·请核对","√"))))))))))))</f>
        <v/>
      </c>
      <c r="M133" s="49" t="str">
        <f aca="false">IF($E133="","",IFERROR(INDEX(基础资料!$R$6:$R$205,MATCH($E133,基础资料!$Q$6:$Q$205,0)),""))</f>
        <v/>
      </c>
      <c r="N133" s="49" t="str">
        <f aca="false">IF($E133="","",IFERROR(INDEX(基础资料!$S$6:$S$205,MATCH($E133,基础资料!$Q$6:$Q$205,0)),""))</f>
        <v/>
      </c>
      <c r="O133" s="48" t="str">
        <f aca="false">IF(OR($F133="",$G133=""),"",ROUND(N($F133)*N($G133),2))</f>
        <v/>
      </c>
      <c r="P133" s="48" t="str">
        <f aca="false">IF($O133="","",ROUND(N($O133)*N($H133),2))</f>
        <v/>
      </c>
      <c r="Q133" s="48" t="str">
        <f aca="false">IF($O133="","",N($O133)+N($P133))</f>
        <v/>
      </c>
      <c r="R133" s="48" t="str">
        <f aca="false">IF(OR($E133="",$B133=""),"",IF(IFERROR(INDEX(基础资料!$V$6:$V$205,MATCH($E133,基础资料!$Q$6:$Q$205,0)),"")&lt;&gt;"是",0,IFERROR((SUMIFS(期初数据!$T$6:$T$205,期初数据!$O$6:$O$205,$E133)+SUMIFS(采购录入!$Q$5:$Q$404,采购录入!$E$5:$E$404,$E133,采购录入!$I$5:$I$404,"是",采购录入!$B$5:$B$404,"&lt;="&amp;$B133))/(SUMIFS(期初数据!$R$6:$R$205,期初数据!$O$6:$O$205,$E133)+SUMIFS(采购录入!$F$5:$F$404,采购录入!$E$5:$E$404,$E133,采购录入!$I$5:$I$404,"是",采购录入!$B$5:$B$404,"&lt;="&amp;$B133)),IFERROR(INDEX(基础资料!$U$6:$U$205,MATCH($E133,基础资料!$Q$6:$Q$205,0)),0))))</f>
        <v/>
      </c>
      <c r="S133" s="48" t="str">
        <f aca="false">IF($O133="","",ROUND(N($F133)*N($R133),2))</f>
        <v/>
      </c>
      <c r="T133" s="48" t="str">
        <f aca="false">IF($O133="","",N($O133)-N($S133))</f>
        <v/>
      </c>
      <c r="U133" s="52" t="str">
        <f aca="false">IF(OR($B133="",$D133=""),"",$B133+N(IFERROR(INDEX(基础资料!$AB$6:$AB$155,MATCH($D133,基础资料!$Z$6:$Z$155,0)),0)))</f>
        <v/>
      </c>
      <c r="V133" s="49" t="str">
        <f aca="false">IF($O133="","","1122")</f>
        <v/>
      </c>
      <c r="W133" s="49" t="str">
        <f aca="false">IF($O133="","","6001")</f>
        <v/>
      </c>
      <c r="X133" s="48" t="str">
        <f aca="false">IF($O133="","",$O133)</f>
        <v/>
      </c>
      <c r="Y133" s="49" t="str">
        <f aca="false">IF(N($P133)=0,"","1122")</f>
        <v/>
      </c>
      <c r="Z133" s="49" t="str">
        <f aca="false">IF(N($P133)=0,"","2221")</f>
        <v/>
      </c>
      <c r="AA133" s="48" t="str">
        <f aca="false">IF(N($P133)=0,"",$P133)</f>
        <v/>
      </c>
      <c r="AB133" s="49" t="str">
        <f aca="false">IF(N($S133)=0,"","6401")</f>
        <v/>
      </c>
      <c r="AC133" s="49" t="str">
        <f aca="false">IF(N($S133)=0,"","1405")</f>
        <v/>
      </c>
      <c r="AD133" s="48" t="str">
        <f aca="false">IF(N($S133)=0,"",$S133)</f>
        <v/>
      </c>
      <c r="AE133" s="49" t="str">
        <f aca="false">IF(AND($D133=客户对账单!$B$3,$B133&gt;=客户对账单!$E$3,$B133&lt;=客户对账单!$H$3),COUNTIFS($D$5:$D133,客户对账单!$B$3,$B$5:$B133,"&gt;="&amp;客户对账单!$E$3,$B$5:$B133,"&lt;="&amp;客户对账单!$H$3),"")</f>
        <v/>
      </c>
    </row>
    <row r="134" customFormat="false" ht="15.75" hidden="false" customHeight="true" outlineLevel="0" collapsed="false">
      <c r="A134" s="42" t="str">
        <f aca="false">IF($B134="","","XS"&amp;TEXT($B134,"yyyymm")&amp;"-"&amp;TEXT(ROW()-4,"000"))</f>
        <v/>
      </c>
      <c r="B134" s="41"/>
      <c r="C134" s="42" t="str">
        <f aca="false">IF($B134="","",TEXT($B134,"yyyy-mm"))</f>
        <v/>
      </c>
      <c r="D134" s="32"/>
      <c r="E134" s="36"/>
      <c r="F134" s="43"/>
      <c r="G134" s="40"/>
      <c r="H134" s="51"/>
      <c r="I134" s="33"/>
      <c r="J134" s="33"/>
      <c r="K134" s="36"/>
      <c r="L134" s="47" t="str">
        <f aca="false">IF($B134="","",IF(NOT(ISNUMBER($B134)),"日期不是日期格式",IF(YEAR($B134)&lt;&gt;首页!$B$3,"不在会计年度",IF($D134="","未选客户",IF(ISNA(MATCH($D134,基础资料!$Z$6:$Z$155,0)),"客户不在档案",IF($E134="","未选商品",IF(ISNA(MATCH($E134,基础资料!$Q$6:$Q$205,0)),"商品不在档案",IF(NOT(ISNUMBER($F134)),"数量须为数字",IF(NOT(ISNUMBER($G134)),"单价须为数字",IF(N($F134)&lt;=0,"数量须大于0",IF(AND(IFERROR(INDEX(基础资料!$V$6:$V$205,MATCH($E134,基础资料!$Q$6:$Q$205,0)),"")="是",N($R134)=0),"无成本价·请先录采购或填参考成本",IF(N($T134)&lt;0,"毛利为负·请核对","√"))))))))))))</f>
        <v/>
      </c>
      <c r="M134" s="49" t="str">
        <f aca="false">IF($E134="","",IFERROR(INDEX(基础资料!$R$6:$R$205,MATCH($E134,基础资料!$Q$6:$Q$205,0)),""))</f>
        <v/>
      </c>
      <c r="N134" s="49" t="str">
        <f aca="false">IF($E134="","",IFERROR(INDEX(基础资料!$S$6:$S$205,MATCH($E134,基础资料!$Q$6:$Q$205,0)),""))</f>
        <v/>
      </c>
      <c r="O134" s="48" t="str">
        <f aca="false">IF(OR($F134="",$G134=""),"",ROUND(N($F134)*N($G134),2))</f>
        <v/>
      </c>
      <c r="P134" s="48" t="str">
        <f aca="false">IF($O134="","",ROUND(N($O134)*N($H134),2))</f>
        <v/>
      </c>
      <c r="Q134" s="48" t="str">
        <f aca="false">IF($O134="","",N($O134)+N($P134))</f>
        <v/>
      </c>
      <c r="R134" s="48" t="str">
        <f aca="false">IF(OR($E134="",$B134=""),"",IF(IFERROR(INDEX(基础资料!$V$6:$V$205,MATCH($E134,基础资料!$Q$6:$Q$205,0)),"")&lt;&gt;"是",0,IFERROR((SUMIFS(期初数据!$T$6:$T$205,期初数据!$O$6:$O$205,$E134)+SUMIFS(采购录入!$Q$5:$Q$404,采购录入!$E$5:$E$404,$E134,采购录入!$I$5:$I$404,"是",采购录入!$B$5:$B$404,"&lt;="&amp;$B134))/(SUMIFS(期初数据!$R$6:$R$205,期初数据!$O$6:$O$205,$E134)+SUMIFS(采购录入!$F$5:$F$404,采购录入!$E$5:$E$404,$E134,采购录入!$I$5:$I$404,"是",采购录入!$B$5:$B$404,"&lt;="&amp;$B134)),IFERROR(INDEX(基础资料!$U$6:$U$205,MATCH($E134,基础资料!$Q$6:$Q$205,0)),0))))</f>
        <v/>
      </c>
      <c r="S134" s="48" t="str">
        <f aca="false">IF($O134="","",ROUND(N($F134)*N($R134),2))</f>
        <v/>
      </c>
      <c r="T134" s="48" t="str">
        <f aca="false">IF($O134="","",N($O134)-N($S134))</f>
        <v/>
      </c>
      <c r="U134" s="52" t="str">
        <f aca="false">IF(OR($B134="",$D134=""),"",$B134+N(IFERROR(INDEX(基础资料!$AB$6:$AB$155,MATCH($D134,基础资料!$Z$6:$Z$155,0)),0)))</f>
        <v/>
      </c>
      <c r="V134" s="49" t="str">
        <f aca="false">IF($O134="","","1122")</f>
        <v/>
      </c>
      <c r="W134" s="49" t="str">
        <f aca="false">IF($O134="","","6001")</f>
        <v/>
      </c>
      <c r="X134" s="48" t="str">
        <f aca="false">IF($O134="","",$O134)</f>
        <v/>
      </c>
      <c r="Y134" s="49" t="str">
        <f aca="false">IF(N($P134)=0,"","1122")</f>
        <v/>
      </c>
      <c r="Z134" s="49" t="str">
        <f aca="false">IF(N($P134)=0,"","2221")</f>
        <v/>
      </c>
      <c r="AA134" s="48" t="str">
        <f aca="false">IF(N($P134)=0,"",$P134)</f>
        <v/>
      </c>
      <c r="AB134" s="49" t="str">
        <f aca="false">IF(N($S134)=0,"","6401")</f>
        <v/>
      </c>
      <c r="AC134" s="49" t="str">
        <f aca="false">IF(N($S134)=0,"","1405")</f>
        <v/>
      </c>
      <c r="AD134" s="48" t="str">
        <f aca="false">IF(N($S134)=0,"",$S134)</f>
        <v/>
      </c>
      <c r="AE134" s="49" t="str">
        <f aca="false">IF(AND($D134=客户对账单!$B$3,$B134&gt;=客户对账单!$E$3,$B134&lt;=客户对账单!$H$3),COUNTIFS($D$5:$D134,客户对账单!$B$3,$B$5:$B134,"&gt;="&amp;客户对账单!$E$3,$B$5:$B134,"&lt;="&amp;客户对账单!$H$3),"")</f>
        <v/>
      </c>
    </row>
    <row r="135" customFormat="false" ht="15.75" hidden="false" customHeight="true" outlineLevel="0" collapsed="false">
      <c r="A135" s="42" t="str">
        <f aca="false">IF($B135="","","XS"&amp;TEXT($B135,"yyyymm")&amp;"-"&amp;TEXT(ROW()-4,"000"))</f>
        <v/>
      </c>
      <c r="B135" s="41"/>
      <c r="C135" s="42" t="str">
        <f aca="false">IF($B135="","",TEXT($B135,"yyyy-mm"))</f>
        <v/>
      </c>
      <c r="D135" s="32"/>
      <c r="E135" s="36"/>
      <c r="F135" s="43"/>
      <c r="G135" s="40"/>
      <c r="H135" s="51"/>
      <c r="I135" s="33"/>
      <c r="J135" s="33"/>
      <c r="K135" s="36"/>
      <c r="L135" s="47" t="str">
        <f aca="false">IF($B135="","",IF(NOT(ISNUMBER($B135)),"日期不是日期格式",IF(YEAR($B135)&lt;&gt;首页!$B$3,"不在会计年度",IF($D135="","未选客户",IF(ISNA(MATCH($D135,基础资料!$Z$6:$Z$155,0)),"客户不在档案",IF($E135="","未选商品",IF(ISNA(MATCH($E135,基础资料!$Q$6:$Q$205,0)),"商品不在档案",IF(NOT(ISNUMBER($F135)),"数量须为数字",IF(NOT(ISNUMBER($G135)),"单价须为数字",IF(N($F135)&lt;=0,"数量须大于0",IF(AND(IFERROR(INDEX(基础资料!$V$6:$V$205,MATCH($E135,基础资料!$Q$6:$Q$205,0)),"")="是",N($R135)=0),"无成本价·请先录采购或填参考成本",IF(N($T135)&lt;0,"毛利为负·请核对","√"))))))))))))</f>
        <v/>
      </c>
      <c r="M135" s="49" t="str">
        <f aca="false">IF($E135="","",IFERROR(INDEX(基础资料!$R$6:$R$205,MATCH($E135,基础资料!$Q$6:$Q$205,0)),""))</f>
        <v/>
      </c>
      <c r="N135" s="49" t="str">
        <f aca="false">IF($E135="","",IFERROR(INDEX(基础资料!$S$6:$S$205,MATCH($E135,基础资料!$Q$6:$Q$205,0)),""))</f>
        <v/>
      </c>
      <c r="O135" s="48" t="str">
        <f aca="false">IF(OR($F135="",$G135=""),"",ROUND(N($F135)*N($G135),2))</f>
        <v/>
      </c>
      <c r="P135" s="48" t="str">
        <f aca="false">IF($O135="","",ROUND(N($O135)*N($H135),2))</f>
        <v/>
      </c>
      <c r="Q135" s="48" t="str">
        <f aca="false">IF($O135="","",N($O135)+N($P135))</f>
        <v/>
      </c>
      <c r="R135" s="48" t="str">
        <f aca="false">IF(OR($E135="",$B135=""),"",IF(IFERROR(INDEX(基础资料!$V$6:$V$205,MATCH($E135,基础资料!$Q$6:$Q$205,0)),"")&lt;&gt;"是",0,IFERROR((SUMIFS(期初数据!$T$6:$T$205,期初数据!$O$6:$O$205,$E135)+SUMIFS(采购录入!$Q$5:$Q$404,采购录入!$E$5:$E$404,$E135,采购录入!$I$5:$I$404,"是",采购录入!$B$5:$B$404,"&lt;="&amp;$B135))/(SUMIFS(期初数据!$R$6:$R$205,期初数据!$O$6:$O$205,$E135)+SUMIFS(采购录入!$F$5:$F$404,采购录入!$E$5:$E$404,$E135,采购录入!$I$5:$I$404,"是",采购录入!$B$5:$B$404,"&lt;="&amp;$B135)),IFERROR(INDEX(基础资料!$U$6:$U$205,MATCH($E135,基础资料!$Q$6:$Q$205,0)),0))))</f>
        <v/>
      </c>
      <c r="S135" s="48" t="str">
        <f aca="false">IF($O135="","",ROUND(N($F135)*N($R135),2))</f>
        <v/>
      </c>
      <c r="T135" s="48" t="str">
        <f aca="false">IF($O135="","",N($O135)-N($S135))</f>
        <v/>
      </c>
      <c r="U135" s="52" t="str">
        <f aca="false">IF(OR($B135="",$D135=""),"",$B135+N(IFERROR(INDEX(基础资料!$AB$6:$AB$155,MATCH($D135,基础资料!$Z$6:$Z$155,0)),0)))</f>
        <v/>
      </c>
      <c r="V135" s="49" t="str">
        <f aca="false">IF($O135="","","1122")</f>
        <v/>
      </c>
      <c r="W135" s="49" t="str">
        <f aca="false">IF($O135="","","6001")</f>
        <v/>
      </c>
      <c r="X135" s="48" t="str">
        <f aca="false">IF($O135="","",$O135)</f>
        <v/>
      </c>
      <c r="Y135" s="49" t="str">
        <f aca="false">IF(N($P135)=0,"","1122")</f>
        <v/>
      </c>
      <c r="Z135" s="49" t="str">
        <f aca="false">IF(N($P135)=0,"","2221")</f>
        <v/>
      </c>
      <c r="AA135" s="48" t="str">
        <f aca="false">IF(N($P135)=0,"",$P135)</f>
        <v/>
      </c>
      <c r="AB135" s="49" t="str">
        <f aca="false">IF(N($S135)=0,"","6401")</f>
        <v/>
      </c>
      <c r="AC135" s="49" t="str">
        <f aca="false">IF(N($S135)=0,"","1405")</f>
        <v/>
      </c>
      <c r="AD135" s="48" t="str">
        <f aca="false">IF(N($S135)=0,"",$S135)</f>
        <v/>
      </c>
      <c r="AE135" s="49" t="str">
        <f aca="false">IF(AND($D135=客户对账单!$B$3,$B135&gt;=客户对账单!$E$3,$B135&lt;=客户对账单!$H$3),COUNTIFS($D$5:$D135,客户对账单!$B$3,$B$5:$B135,"&gt;="&amp;客户对账单!$E$3,$B$5:$B135,"&lt;="&amp;客户对账单!$H$3),"")</f>
        <v/>
      </c>
    </row>
    <row r="136" customFormat="false" ht="15.75" hidden="false" customHeight="true" outlineLevel="0" collapsed="false">
      <c r="A136" s="42" t="str">
        <f aca="false">IF($B136="","","XS"&amp;TEXT($B136,"yyyymm")&amp;"-"&amp;TEXT(ROW()-4,"000"))</f>
        <v/>
      </c>
      <c r="B136" s="41"/>
      <c r="C136" s="42" t="str">
        <f aca="false">IF($B136="","",TEXT($B136,"yyyy-mm"))</f>
        <v/>
      </c>
      <c r="D136" s="32"/>
      <c r="E136" s="36"/>
      <c r="F136" s="43"/>
      <c r="G136" s="40"/>
      <c r="H136" s="51"/>
      <c r="I136" s="33"/>
      <c r="J136" s="33"/>
      <c r="K136" s="36"/>
      <c r="L136" s="47" t="str">
        <f aca="false">IF($B136="","",IF(NOT(ISNUMBER($B136)),"日期不是日期格式",IF(YEAR($B136)&lt;&gt;首页!$B$3,"不在会计年度",IF($D136="","未选客户",IF(ISNA(MATCH($D136,基础资料!$Z$6:$Z$155,0)),"客户不在档案",IF($E136="","未选商品",IF(ISNA(MATCH($E136,基础资料!$Q$6:$Q$205,0)),"商品不在档案",IF(NOT(ISNUMBER($F136)),"数量须为数字",IF(NOT(ISNUMBER($G136)),"单价须为数字",IF(N($F136)&lt;=0,"数量须大于0",IF(AND(IFERROR(INDEX(基础资料!$V$6:$V$205,MATCH($E136,基础资料!$Q$6:$Q$205,0)),"")="是",N($R136)=0),"无成本价·请先录采购或填参考成本",IF(N($T136)&lt;0,"毛利为负·请核对","√"))))))))))))</f>
        <v/>
      </c>
      <c r="M136" s="49" t="str">
        <f aca="false">IF($E136="","",IFERROR(INDEX(基础资料!$R$6:$R$205,MATCH($E136,基础资料!$Q$6:$Q$205,0)),""))</f>
        <v/>
      </c>
      <c r="N136" s="49" t="str">
        <f aca="false">IF($E136="","",IFERROR(INDEX(基础资料!$S$6:$S$205,MATCH($E136,基础资料!$Q$6:$Q$205,0)),""))</f>
        <v/>
      </c>
      <c r="O136" s="48" t="str">
        <f aca="false">IF(OR($F136="",$G136=""),"",ROUND(N($F136)*N($G136),2))</f>
        <v/>
      </c>
      <c r="P136" s="48" t="str">
        <f aca="false">IF($O136="","",ROUND(N($O136)*N($H136),2))</f>
        <v/>
      </c>
      <c r="Q136" s="48" t="str">
        <f aca="false">IF($O136="","",N($O136)+N($P136))</f>
        <v/>
      </c>
      <c r="R136" s="48" t="str">
        <f aca="false">IF(OR($E136="",$B136=""),"",IF(IFERROR(INDEX(基础资料!$V$6:$V$205,MATCH($E136,基础资料!$Q$6:$Q$205,0)),"")&lt;&gt;"是",0,IFERROR((SUMIFS(期初数据!$T$6:$T$205,期初数据!$O$6:$O$205,$E136)+SUMIFS(采购录入!$Q$5:$Q$404,采购录入!$E$5:$E$404,$E136,采购录入!$I$5:$I$404,"是",采购录入!$B$5:$B$404,"&lt;="&amp;$B136))/(SUMIFS(期初数据!$R$6:$R$205,期初数据!$O$6:$O$205,$E136)+SUMIFS(采购录入!$F$5:$F$404,采购录入!$E$5:$E$404,$E136,采购录入!$I$5:$I$404,"是",采购录入!$B$5:$B$404,"&lt;="&amp;$B136)),IFERROR(INDEX(基础资料!$U$6:$U$205,MATCH($E136,基础资料!$Q$6:$Q$205,0)),0))))</f>
        <v/>
      </c>
      <c r="S136" s="48" t="str">
        <f aca="false">IF($O136="","",ROUND(N($F136)*N($R136),2))</f>
        <v/>
      </c>
      <c r="T136" s="48" t="str">
        <f aca="false">IF($O136="","",N($O136)-N($S136))</f>
        <v/>
      </c>
      <c r="U136" s="52" t="str">
        <f aca="false">IF(OR($B136="",$D136=""),"",$B136+N(IFERROR(INDEX(基础资料!$AB$6:$AB$155,MATCH($D136,基础资料!$Z$6:$Z$155,0)),0)))</f>
        <v/>
      </c>
      <c r="V136" s="49" t="str">
        <f aca="false">IF($O136="","","1122")</f>
        <v/>
      </c>
      <c r="W136" s="49" t="str">
        <f aca="false">IF($O136="","","6001")</f>
        <v/>
      </c>
      <c r="X136" s="48" t="str">
        <f aca="false">IF($O136="","",$O136)</f>
        <v/>
      </c>
      <c r="Y136" s="49" t="str">
        <f aca="false">IF(N($P136)=0,"","1122")</f>
        <v/>
      </c>
      <c r="Z136" s="49" t="str">
        <f aca="false">IF(N($P136)=0,"","2221")</f>
        <v/>
      </c>
      <c r="AA136" s="48" t="str">
        <f aca="false">IF(N($P136)=0,"",$P136)</f>
        <v/>
      </c>
      <c r="AB136" s="49" t="str">
        <f aca="false">IF(N($S136)=0,"","6401")</f>
        <v/>
      </c>
      <c r="AC136" s="49" t="str">
        <f aca="false">IF(N($S136)=0,"","1405")</f>
        <v/>
      </c>
      <c r="AD136" s="48" t="str">
        <f aca="false">IF(N($S136)=0,"",$S136)</f>
        <v/>
      </c>
      <c r="AE136" s="49" t="str">
        <f aca="false">IF(AND($D136=客户对账单!$B$3,$B136&gt;=客户对账单!$E$3,$B136&lt;=客户对账单!$H$3),COUNTIFS($D$5:$D136,客户对账单!$B$3,$B$5:$B136,"&gt;="&amp;客户对账单!$E$3,$B$5:$B136,"&lt;="&amp;客户对账单!$H$3),"")</f>
        <v/>
      </c>
    </row>
    <row r="137" customFormat="false" ht="15.75" hidden="false" customHeight="true" outlineLevel="0" collapsed="false">
      <c r="A137" s="42" t="str">
        <f aca="false">IF($B137="","","XS"&amp;TEXT($B137,"yyyymm")&amp;"-"&amp;TEXT(ROW()-4,"000"))</f>
        <v/>
      </c>
      <c r="B137" s="41"/>
      <c r="C137" s="42" t="str">
        <f aca="false">IF($B137="","",TEXT($B137,"yyyy-mm"))</f>
        <v/>
      </c>
      <c r="D137" s="32"/>
      <c r="E137" s="36"/>
      <c r="F137" s="43"/>
      <c r="G137" s="40"/>
      <c r="H137" s="51"/>
      <c r="I137" s="33"/>
      <c r="J137" s="33"/>
      <c r="K137" s="36"/>
      <c r="L137" s="47" t="str">
        <f aca="false">IF($B137="","",IF(NOT(ISNUMBER($B137)),"日期不是日期格式",IF(YEAR($B137)&lt;&gt;首页!$B$3,"不在会计年度",IF($D137="","未选客户",IF(ISNA(MATCH($D137,基础资料!$Z$6:$Z$155,0)),"客户不在档案",IF($E137="","未选商品",IF(ISNA(MATCH($E137,基础资料!$Q$6:$Q$205,0)),"商品不在档案",IF(NOT(ISNUMBER($F137)),"数量须为数字",IF(NOT(ISNUMBER($G137)),"单价须为数字",IF(N($F137)&lt;=0,"数量须大于0",IF(AND(IFERROR(INDEX(基础资料!$V$6:$V$205,MATCH($E137,基础资料!$Q$6:$Q$205,0)),"")="是",N($R137)=0),"无成本价·请先录采购或填参考成本",IF(N($T137)&lt;0,"毛利为负·请核对","√"))))))))))))</f>
        <v/>
      </c>
      <c r="M137" s="49" t="str">
        <f aca="false">IF($E137="","",IFERROR(INDEX(基础资料!$R$6:$R$205,MATCH($E137,基础资料!$Q$6:$Q$205,0)),""))</f>
        <v/>
      </c>
      <c r="N137" s="49" t="str">
        <f aca="false">IF($E137="","",IFERROR(INDEX(基础资料!$S$6:$S$205,MATCH($E137,基础资料!$Q$6:$Q$205,0)),""))</f>
        <v/>
      </c>
      <c r="O137" s="48" t="str">
        <f aca="false">IF(OR($F137="",$G137=""),"",ROUND(N($F137)*N($G137),2))</f>
        <v/>
      </c>
      <c r="P137" s="48" t="str">
        <f aca="false">IF($O137="","",ROUND(N($O137)*N($H137),2))</f>
        <v/>
      </c>
      <c r="Q137" s="48" t="str">
        <f aca="false">IF($O137="","",N($O137)+N($P137))</f>
        <v/>
      </c>
      <c r="R137" s="48" t="str">
        <f aca="false">IF(OR($E137="",$B137=""),"",IF(IFERROR(INDEX(基础资料!$V$6:$V$205,MATCH($E137,基础资料!$Q$6:$Q$205,0)),"")&lt;&gt;"是",0,IFERROR((SUMIFS(期初数据!$T$6:$T$205,期初数据!$O$6:$O$205,$E137)+SUMIFS(采购录入!$Q$5:$Q$404,采购录入!$E$5:$E$404,$E137,采购录入!$I$5:$I$404,"是",采购录入!$B$5:$B$404,"&lt;="&amp;$B137))/(SUMIFS(期初数据!$R$6:$R$205,期初数据!$O$6:$O$205,$E137)+SUMIFS(采购录入!$F$5:$F$404,采购录入!$E$5:$E$404,$E137,采购录入!$I$5:$I$404,"是",采购录入!$B$5:$B$404,"&lt;="&amp;$B137)),IFERROR(INDEX(基础资料!$U$6:$U$205,MATCH($E137,基础资料!$Q$6:$Q$205,0)),0))))</f>
        <v/>
      </c>
      <c r="S137" s="48" t="str">
        <f aca="false">IF($O137="","",ROUND(N($F137)*N($R137),2))</f>
        <v/>
      </c>
      <c r="T137" s="48" t="str">
        <f aca="false">IF($O137="","",N($O137)-N($S137))</f>
        <v/>
      </c>
      <c r="U137" s="52" t="str">
        <f aca="false">IF(OR($B137="",$D137=""),"",$B137+N(IFERROR(INDEX(基础资料!$AB$6:$AB$155,MATCH($D137,基础资料!$Z$6:$Z$155,0)),0)))</f>
        <v/>
      </c>
      <c r="V137" s="49" t="str">
        <f aca="false">IF($O137="","","1122")</f>
        <v/>
      </c>
      <c r="W137" s="49" t="str">
        <f aca="false">IF($O137="","","6001")</f>
        <v/>
      </c>
      <c r="X137" s="48" t="str">
        <f aca="false">IF($O137="","",$O137)</f>
        <v/>
      </c>
      <c r="Y137" s="49" t="str">
        <f aca="false">IF(N($P137)=0,"","1122")</f>
        <v/>
      </c>
      <c r="Z137" s="49" t="str">
        <f aca="false">IF(N($P137)=0,"","2221")</f>
        <v/>
      </c>
      <c r="AA137" s="48" t="str">
        <f aca="false">IF(N($P137)=0,"",$P137)</f>
        <v/>
      </c>
      <c r="AB137" s="49" t="str">
        <f aca="false">IF(N($S137)=0,"","6401")</f>
        <v/>
      </c>
      <c r="AC137" s="49" t="str">
        <f aca="false">IF(N($S137)=0,"","1405")</f>
        <v/>
      </c>
      <c r="AD137" s="48" t="str">
        <f aca="false">IF(N($S137)=0,"",$S137)</f>
        <v/>
      </c>
      <c r="AE137" s="49" t="str">
        <f aca="false">IF(AND($D137=客户对账单!$B$3,$B137&gt;=客户对账单!$E$3,$B137&lt;=客户对账单!$H$3),COUNTIFS($D$5:$D137,客户对账单!$B$3,$B$5:$B137,"&gt;="&amp;客户对账单!$E$3,$B$5:$B137,"&lt;="&amp;客户对账单!$H$3),"")</f>
        <v/>
      </c>
    </row>
    <row r="138" customFormat="false" ht="15.75" hidden="false" customHeight="true" outlineLevel="0" collapsed="false">
      <c r="A138" s="42" t="str">
        <f aca="false">IF($B138="","","XS"&amp;TEXT($B138,"yyyymm")&amp;"-"&amp;TEXT(ROW()-4,"000"))</f>
        <v/>
      </c>
      <c r="B138" s="41"/>
      <c r="C138" s="42" t="str">
        <f aca="false">IF($B138="","",TEXT($B138,"yyyy-mm"))</f>
        <v/>
      </c>
      <c r="D138" s="32"/>
      <c r="E138" s="36"/>
      <c r="F138" s="43"/>
      <c r="G138" s="40"/>
      <c r="H138" s="51"/>
      <c r="I138" s="33"/>
      <c r="J138" s="33"/>
      <c r="K138" s="36"/>
      <c r="L138" s="47" t="str">
        <f aca="false">IF($B138="","",IF(NOT(ISNUMBER($B138)),"日期不是日期格式",IF(YEAR($B138)&lt;&gt;首页!$B$3,"不在会计年度",IF($D138="","未选客户",IF(ISNA(MATCH($D138,基础资料!$Z$6:$Z$155,0)),"客户不在档案",IF($E138="","未选商品",IF(ISNA(MATCH($E138,基础资料!$Q$6:$Q$205,0)),"商品不在档案",IF(NOT(ISNUMBER($F138)),"数量须为数字",IF(NOT(ISNUMBER($G138)),"单价须为数字",IF(N($F138)&lt;=0,"数量须大于0",IF(AND(IFERROR(INDEX(基础资料!$V$6:$V$205,MATCH($E138,基础资料!$Q$6:$Q$205,0)),"")="是",N($R138)=0),"无成本价·请先录采购或填参考成本",IF(N($T138)&lt;0,"毛利为负·请核对","√"))))))))))))</f>
        <v/>
      </c>
      <c r="M138" s="49" t="str">
        <f aca="false">IF($E138="","",IFERROR(INDEX(基础资料!$R$6:$R$205,MATCH($E138,基础资料!$Q$6:$Q$205,0)),""))</f>
        <v/>
      </c>
      <c r="N138" s="49" t="str">
        <f aca="false">IF($E138="","",IFERROR(INDEX(基础资料!$S$6:$S$205,MATCH($E138,基础资料!$Q$6:$Q$205,0)),""))</f>
        <v/>
      </c>
      <c r="O138" s="48" t="str">
        <f aca="false">IF(OR($F138="",$G138=""),"",ROUND(N($F138)*N($G138),2))</f>
        <v/>
      </c>
      <c r="P138" s="48" t="str">
        <f aca="false">IF($O138="","",ROUND(N($O138)*N($H138),2))</f>
        <v/>
      </c>
      <c r="Q138" s="48" t="str">
        <f aca="false">IF($O138="","",N($O138)+N($P138))</f>
        <v/>
      </c>
      <c r="R138" s="48" t="str">
        <f aca="false">IF(OR($E138="",$B138=""),"",IF(IFERROR(INDEX(基础资料!$V$6:$V$205,MATCH($E138,基础资料!$Q$6:$Q$205,0)),"")&lt;&gt;"是",0,IFERROR((SUMIFS(期初数据!$T$6:$T$205,期初数据!$O$6:$O$205,$E138)+SUMIFS(采购录入!$Q$5:$Q$404,采购录入!$E$5:$E$404,$E138,采购录入!$I$5:$I$404,"是",采购录入!$B$5:$B$404,"&lt;="&amp;$B138))/(SUMIFS(期初数据!$R$6:$R$205,期初数据!$O$6:$O$205,$E138)+SUMIFS(采购录入!$F$5:$F$404,采购录入!$E$5:$E$404,$E138,采购录入!$I$5:$I$404,"是",采购录入!$B$5:$B$404,"&lt;="&amp;$B138)),IFERROR(INDEX(基础资料!$U$6:$U$205,MATCH($E138,基础资料!$Q$6:$Q$205,0)),0))))</f>
        <v/>
      </c>
      <c r="S138" s="48" t="str">
        <f aca="false">IF($O138="","",ROUND(N($F138)*N($R138),2))</f>
        <v/>
      </c>
      <c r="T138" s="48" t="str">
        <f aca="false">IF($O138="","",N($O138)-N($S138))</f>
        <v/>
      </c>
      <c r="U138" s="52" t="str">
        <f aca="false">IF(OR($B138="",$D138=""),"",$B138+N(IFERROR(INDEX(基础资料!$AB$6:$AB$155,MATCH($D138,基础资料!$Z$6:$Z$155,0)),0)))</f>
        <v/>
      </c>
      <c r="V138" s="49" t="str">
        <f aca="false">IF($O138="","","1122")</f>
        <v/>
      </c>
      <c r="W138" s="49" t="str">
        <f aca="false">IF($O138="","","6001")</f>
        <v/>
      </c>
      <c r="X138" s="48" t="str">
        <f aca="false">IF($O138="","",$O138)</f>
        <v/>
      </c>
      <c r="Y138" s="49" t="str">
        <f aca="false">IF(N($P138)=0,"","1122")</f>
        <v/>
      </c>
      <c r="Z138" s="49" t="str">
        <f aca="false">IF(N($P138)=0,"","2221")</f>
        <v/>
      </c>
      <c r="AA138" s="48" t="str">
        <f aca="false">IF(N($P138)=0,"",$P138)</f>
        <v/>
      </c>
      <c r="AB138" s="49" t="str">
        <f aca="false">IF(N($S138)=0,"","6401")</f>
        <v/>
      </c>
      <c r="AC138" s="49" t="str">
        <f aca="false">IF(N($S138)=0,"","1405")</f>
        <v/>
      </c>
      <c r="AD138" s="48" t="str">
        <f aca="false">IF(N($S138)=0,"",$S138)</f>
        <v/>
      </c>
      <c r="AE138" s="49" t="str">
        <f aca="false">IF(AND($D138=客户对账单!$B$3,$B138&gt;=客户对账单!$E$3,$B138&lt;=客户对账单!$H$3),COUNTIFS($D$5:$D138,客户对账单!$B$3,$B$5:$B138,"&gt;="&amp;客户对账单!$E$3,$B$5:$B138,"&lt;="&amp;客户对账单!$H$3),"")</f>
        <v/>
      </c>
    </row>
    <row r="139" customFormat="false" ht="15.75" hidden="false" customHeight="true" outlineLevel="0" collapsed="false">
      <c r="A139" s="42" t="str">
        <f aca="false">IF($B139="","","XS"&amp;TEXT($B139,"yyyymm")&amp;"-"&amp;TEXT(ROW()-4,"000"))</f>
        <v/>
      </c>
      <c r="B139" s="41"/>
      <c r="C139" s="42" t="str">
        <f aca="false">IF($B139="","",TEXT($B139,"yyyy-mm"))</f>
        <v/>
      </c>
      <c r="D139" s="32"/>
      <c r="E139" s="36"/>
      <c r="F139" s="43"/>
      <c r="G139" s="40"/>
      <c r="H139" s="51"/>
      <c r="I139" s="33"/>
      <c r="J139" s="33"/>
      <c r="K139" s="36"/>
      <c r="L139" s="47" t="str">
        <f aca="false">IF($B139="","",IF(NOT(ISNUMBER($B139)),"日期不是日期格式",IF(YEAR($B139)&lt;&gt;首页!$B$3,"不在会计年度",IF($D139="","未选客户",IF(ISNA(MATCH($D139,基础资料!$Z$6:$Z$155,0)),"客户不在档案",IF($E139="","未选商品",IF(ISNA(MATCH($E139,基础资料!$Q$6:$Q$205,0)),"商品不在档案",IF(NOT(ISNUMBER($F139)),"数量须为数字",IF(NOT(ISNUMBER($G139)),"单价须为数字",IF(N($F139)&lt;=0,"数量须大于0",IF(AND(IFERROR(INDEX(基础资料!$V$6:$V$205,MATCH($E139,基础资料!$Q$6:$Q$205,0)),"")="是",N($R139)=0),"无成本价·请先录采购或填参考成本",IF(N($T139)&lt;0,"毛利为负·请核对","√"))))))))))))</f>
        <v/>
      </c>
      <c r="M139" s="49" t="str">
        <f aca="false">IF($E139="","",IFERROR(INDEX(基础资料!$R$6:$R$205,MATCH($E139,基础资料!$Q$6:$Q$205,0)),""))</f>
        <v/>
      </c>
      <c r="N139" s="49" t="str">
        <f aca="false">IF($E139="","",IFERROR(INDEX(基础资料!$S$6:$S$205,MATCH($E139,基础资料!$Q$6:$Q$205,0)),""))</f>
        <v/>
      </c>
      <c r="O139" s="48" t="str">
        <f aca="false">IF(OR($F139="",$G139=""),"",ROUND(N($F139)*N($G139),2))</f>
        <v/>
      </c>
      <c r="P139" s="48" t="str">
        <f aca="false">IF($O139="","",ROUND(N($O139)*N($H139),2))</f>
        <v/>
      </c>
      <c r="Q139" s="48" t="str">
        <f aca="false">IF($O139="","",N($O139)+N($P139))</f>
        <v/>
      </c>
      <c r="R139" s="48" t="str">
        <f aca="false">IF(OR($E139="",$B139=""),"",IF(IFERROR(INDEX(基础资料!$V$6:$V$205,MATCH($E139,基础资料!$Q$6:$Q$205,0)),"")&lt;&gt;"是",0,IFERROR((SUMIFS(期初数据!$T$6:$T$205,期初数据!$O$6:$O$205,$E139)+SUMIFS(采购录入!$Q$5:$Q$404,采购录入!$E$5:$E$404,$E139,采购录入!$I$5:$I$404,"是",采购录入!$B$5:$B$404,"&lt;="&amp;$B139))/(SUMIFS(期初数据!$R$6:$R$205,期初数据!$O$6:$O$205,$E139)+SUMIFS(采购录入!$F$5:$F$404,采购录入!$E$5:$E$404,$E139,采购录入!$I$5:$I$404,"是",采购录入!$B$5:$B$404,"&lt;="&amp;$B139)),IFERROR(INDEX(基础资料!$U$6:$U$205,MATCH($E139,基础资料!$Q$6:$Q$205,0)),0))))</f>
        <v/>
      </c>
      <c r="S139" s="48" t="str">
        <f aca="false">IF($O139="","",ROUND(N($F139)*N($R139),2))</f>
        <v/>
      </c>
      <c r="T139" s="48" t="str">
        <f aca="false">IF($O139="","",N($O139)-N($S139))</f>
        <v/>
      </c>
      <c r="U139" s="52" t="str">
        <f aca="false">IF(OR($B139="",$D139=""),"",$B139+N(IFERROR(INDEX(基础资料!$AB$6:$AB$155,MATCH($D139,基础资料!$Z$6:$Z$155,0)),0)))</f>
        <v/>
      </c>
      <c r="V139" s="49" t="str">
        <f aca="false">IF($O139="","","1122")</f>
        <v/>
      </c>
      <c r="W139" s="49" t="str">
        <f aca="false">IF($O139="","","6001")</f>
        <v/>
      </c>
      <c r="X139" s="48" t="str">
        <f aca="false">IF($O139="","",$O139)</f>
        <v/>
      </c>
      <c r="Y139" s="49" t="str">
        <f aca="false">IF(N($P139)=0,"","1122")</f>
        <v/>
      </c>
      <c r="Z139" s="49" t="str">
        <f aca="false">IF(N($P139)=0,"","2221")</f>
        <v/>
      </c>
      <c r="AA139" s="48" t="str">
        <f aca="false">IF(N($P139)=0,"",$P139)</f>
        <v/>
      </c>
      <c r="AB139" s="49" t="str">
        <f aca="false">IF(N($S139)=0,"","6401")</f>
        <v/>
      </c>
      <c r="AC139" s="49" t="str">
        <f aca="false">IF(N($S139)=0,"","1405")</f>
        <v/>
      </c>
      <c r="AD139" s="48" t="str">
        <f aca="false">IF(N($S139)=0,"",$S139)</f>
        <v/>
      </c>
      <c r="AE139" s="49" t="str">
        <f aca="false">IF(AND($D139=客户对账单!$B$3,$B139&gt;=客户对账单!$E$3,$B139&lt;=客户对账单!$H$3),COUNTIFS($D$5:$D139,客户对账单!$B$3,$B$5:$B139,"&gt;="&amp;客户对账单!$E$3,$B$5:$B139,"&lt;="&amp;客户对账单!$H$3),"")</f>
        <v/>
      </c>
    </row>
    <row r="140" customFormat="false" ht="15.75" hidden="false" customHeight="true" outlineLevel="0" collapsed="false">
      <c r="A140" s="42" t="str">
        <f aca="false">IF($B140="","","XS"&amp;TEXT($B140,"yyyymm")&amp;"-"&amp;TEXT(ROW()-4,"000"))</f>
        <v/>
      </c>
      <c r="B140" s="41"/>
      <c r="C140" s="42" t="str">
        <f aca="false">IF($B140="","",TEXT($B140,"yyyy-mm"))</f>
        <v/>
      </c>
      <c r="D140" s="32"/>
      <c r="E140" s="36"/>
      <c r="F140" s="43"/>
      <c r="G140" s="40"/>
      <c r="H140" s="51"/>
      <c r="I140" s="33"/>
      <c r="J140" s="33"/>
      <c r="K140" s="36"/>
      <c r="L140" s="47" t="str">
        <f aca="false">IF($B140="","",IF(NOT(ISNUMBER($B140)),"日期不是日期格式",IF(YEAR($B140)&lt;&gt;首页!$B$3,"不在会计年度",IF($D140="","未选客户",IF(ISNA(MATCH($D140,基础资料!$Z$6:$Z$155,0)),"客户不在档案",IF($E140="","未选商品",IF(ISNA(MATCH($E140,基础资料!$Q$6:$Q$205,0)),"商品不在档案",IF(NOT(ISNUMBER($F140)),"数量须为数字",IF(NOT(ISNUMBER($G140)),"单价须为数字",IF(N($F140)&lt;=0,"数量须大于0",IF(AND(IFERROR(INDEX(基础资料!$V$6:$V$205,MATCH($E140,基础资料!$Q$6:$Q$205,0)),"")="是",N($R140)=0),"无成本价·请先录采购或填参考成本",IF(N($T140)&lt;0,"毛利为负·请核对","√"))))))))))))</f>
        <v/>
      </c>
      <c r="M140" s="49" t="str">
        <f aca="false">IF($E140="","",IFERROR(INDEX(基础资料!$R$6:$R$205,MATCH($E140,基础资料!$Q$6:$Q$205,0)),""))</f>
        <v/>
      </c>
      <c r="N140" s="49" t="str">
        <f aca="false">IF($E140="","",IFERROR(INDEX(基础资料!$S$6:$S$205,MATCH($E140,基础资料!$Q$6:$Q$205,0)),""))</f>
        <v/>
      </c>
      <c r="O140" s="48" t="str">
        <f aca="false">IF(OR($F140="",$G140=""),"",ROUND(N($F140)*N($G140),2))</f>
        <v/>
      </c>
      <c r="P140" s="48" t="str">
        <f aca="false">IF($O140="","",ROUND(N($O140)*N($H140),2))</f>
        <v/>
      </c>
      <c r="Q140" s="48" t="str">
        <f aca="false">IF($O140="","",N($O140)+N($P140))</f>
        <v/>
      </c>
      <c r="R140" s="48" t="str">
        <f aca="false">IF(OR($E140="",$B140=""),"",IF(IFERROR(INDEX(基础资料!$V$6:$V$205,MATCH($E140,基础资料!$Q$6:$Q$205,0)),"")&lt;&gt;"是",0,IFERROR((SUMIFS(期初数据!$T$6:$T$205,期初数据!$O$6:$O$205,$E140)+SUMIFS(采购录入!$Q$5:$Q$404,采购录入!$E$5:$E$404,$E140,采购录入!$I$5:$I$404,"是",采购录入!$B$5:$B$404,"&lt;="&amp;$B140))/(SUMIFS(期初数据!$R$6:$R$205,期初数据!$O$6:$O$205,$E140)+SUMIFS(采购录入!$F$5:$F$404,采购录入!$E$5:$E$404,$E140,采购录入!$I$5:$I$404,"是",采购录入!$B$5:$B$404,"&lt;="&amp;$B140)),IFERROR(INDEX(基础资料!$U$6:$U$205,MATCH($E140,基础资料!$Q$6:$Q$205,0)),0))))</f>
        <v/>
      </c>
      <c r="S140" s="48" t="str">
        <f aca="false">IF($O140="","",ROUND(N($F140)*N($R140),2))</f>
        <v/>
      </c>
      <c r="T140" s="48" t="str">
        <f aca="false">IF($O140="","",N($O140)-N($S140))</f>
        <v/>
      </c>
      <c r="U140" s="52" t="str">
        <f aca="false">IF(OR($B140="",$D140=""),"",$B140+N(IFERROR(INDEX(基础资料!$AB$6:$AB$155,MATCH($D140,基础资料!$Z$6:$Z$155,0)),0)))</f>
        <v/>
      </c>
      <c r="V140" s="49" t="str">
        <f aca="false">IF($O140="","","1122")</f>
        <v/>
      </c>
      <c r="W140" s="49" t="str">
        <f aca="false">IF($O140="","","6001")</f>
        <v/>
      </c>
      <c r="X140" s="48" t="str">
        <f aca="false">IF($O140="","",$O140)</f>
        <v/>
      </c>
      <c r="Y140" s="49" t="str">
        <f aca="false">IF(N($P140)=0,"","1122")</f>
        <v/>
      </c>
      <c r="Z140" s="49" t="str">
        <f aca="false">IF(N($P140)=0,"","2221")</f>
        <v/>
      </c>
      <c r="AA140" s="48" t="str">
        <f aca="false">IF(N($P140)=0,"",$P140)</f>
        <v/>
      </c>
      <c r="AB140" s="49" t="str">
        <f aca="false">IF(N($S140)=0,"","6401")</f>
        <v/>
      </c>
      <c r="AC140" s="49" t="str">
        <f aca="false">IF(N($S140)=0,"","1405")</f>
        <v/>
      </c>
      <c r="AD140" s="48" t="str">
        <f aca="false">IF(N($S140)=0,"",$S140)</f>
        <v/>
      </c>
      <c r="AE140" s="49" t="str">
        <f aca="false">IF(AND($D140=客户对账单!$B$3,$B140&gt;=客户对账单!$E$3,$B140&lt;=客户对账单!$H$3),COUNTIFS($D$5:$D140,客户对账单!$B$3,$B$5:$B140,"&gt;="&amp;客户对账单!$E$3,$B$5:$B140,"&lt;="&amp;客户对账单!$H$3),"")</f>
        <v/>
      </c>
    </row>
    <row r="141" customFormat="false" ht="15.75" hidden="false" customHeight="true" outlineLevel="0" collapsed="false">
      <c r="A141" s="42" t="str">
        <f aca="false">IF($B141="","","XS"&amp;TEXT($B141,"yyyymm")&amp;"-"&amp;TEXT(ROW()-4,"000"))</f>
        <v/>
      </c>
      <c r="B141" s="41"/>
      <c r="C141" s="42" t="str">
        <f aca="false">IF($B141="","",TEXT($B141,"yyyy-mm"))</f>
        <v/>
      </c>
      <c r="D141" s="32"/>
      <c r="E141" s="36"/>
      <c r="F141" s="43"/>
      <c r="G141" s="40"/>
      <c r="H141" s="51"/>
      <c r="I141" s="33"/>
      <c r="J141" s="33"/>
      <c r="K141" s="36"/>
      <c r="L141" s="47" t="str">
        <f aca="false">IF($B141="","",IF(NOT(ISNUMBER($B141)),"日期不是日期格式",IF(YEAR($B141)&lt;&gt;首页!$B$3,"不在会计年度",IF($D141="","未选客户",IF(ISNA(MATCH($D141,基础资料!$Z$6:$Z$155,0)),"客户不在档案",IF($E141="","未选商品",IF(ISNA(MATCH($E141,基础资料!$Q$6:$Q$205,0)),"商品不在档案",IF(NOT(ISNUMBER($F141)),"数量须为数字",IF(NOT(ISNUMBER($G141)),"单价须为数字",IF(N($F141)&lt;=0,"数量须大于0",IF(AND(IFERROR(INDEX(基础资料!$V$6:$V$205,MATCH($E141,基础资料!$Q$6:$Q$205,0)),"")="是",N($R141)=0),"无成本价·请先录采购或填参考成本",IF(N($T141)&lt;0,"毛利为负·请核对","√"))))))))))))</f>
        <v/>
      </c>
      <c r="M141" s="49" t="str">
        <f aca="false">IF($E141="","",IFERROR(INDEX(基础资料!$R$6:$R$205,MATCH($E141,基础资料!$Q$6:$Q$205,0)),""))</f>
        <v/>
      </c>
      <c r="N141" s="49" t="str">
        <f aca="false">IF($E141="","",IFERROR(INDEX(基础资料!$S$6:$S$205,MATCH($E141,基础资料!$Q$6:$Q$205,0)),""))</f>
        <v/>
      </c>
      <c r="O141" s="48" t="str">
        <f aca="false">IF(OR($F141="",$G141=""),"",ROUND(N($F141)*N($G141),2))</f>
        <v/>
      </c>
      <c r="P141" s="48" t="str">
        <f aca="false">IF($O141="","",ROUND(N($O141)*N($H141),2))</f>
        <v/>
      </c>
      <c r="Q141" s="48" t="str">
        <f aca="false">IF($O141="","",N($O141)+N($P141))</f>
        <v/>
      </c>
      <c r="R141" s="48" t="str">
        <f aca="false">IF(OR($E141="",$B141=""),"",IF(IFERROR(INDEX(基础资料!$V$6:$V$205,MATCH($E141,基础资料!$Q$6:$Q$205,0)),"")&lt;&gt;"是",0,IFERROR((SUMIFS(期初数据!$T$6:$T$205,期初数据!$O$6:$O$205,$E141)+SUMIFS(采购录入!$Q$5:$Q$404,采购录入!$E$5:$E$404,$E141,采购录入!$I$5:$I$404,"是",采购录入!$B$5:$B$404,"&lt;="&amp;$B141))/(SUMIFS(期初数据!$R$6:$R$205,期初数据!$O$6:$O$205,$E141)+SUMIFS(采购录入!$F$5:$F$404,采购录入!$E$5:$E$404,$E141,采购录入!$I$5:$I$404,"是",采购录入!$B$5:$B$404,"&lt;="&amp;$B141)),IFERROR(INDEX(基础资料!$U$6:$U$205,MATCH($E141,基础资料!$Q$6:$Q$205,0)),0))))</f>
        <v/>
      </c>
      <c r="S141" s="48" t="str">
        <f aca="false">IF($O141="","",ROUND(N($F141)*N($R141),2))</f>
        <v/>
      </c>
      <c r="T141" s="48" t="str">
        <f aca="false">IF($O141="","",N($O141)-N($S141))</f>
        <v/>
      </c>
      <c r="U141" s="52" t="str">
        <f aca="false">IF(OR($B141="",$D141=""),"",$B141+N(IFERROR(INDEX(基础资料!$AB$6:$AB$155,MATCH($D141,基础资料!$Z$6:$Z$155,0)),0)))</f>
        <v/>
      </c>
      <c r="V141" s="49" t="str">
        <f aca="false">IF($O141="","","1122")</f>
        <v/>
      </c>
      <c r="W141" s="49" t="str">
        <f aca="false">IF($O141="","","6001")</f>
        <v/>
      </c>
      <c r="X141" s="48" t="str">
        <f aca="false">IF($O141="","",$O141)</f>
        <v/>
      </c>
      <c r="Y141" s="49" t="str">
        <f aca="false">IF(N($P141)=0,"","1122")</f>
        <v/>
      </c>
      <c r="Z141" s="49" t="str">
        <f aca="false">IF(N($P141)=0,"","2221")</f>
        <v/>
      </c>
      <c r="AA141" s="48" t="str">
        <f aca="false">IF(N($P141)=0,"",$P141)</f>
        <v/>
      </c>
      <c r="AB141" s="49" t="str">
        <f aca="false">IF(N($S141)=0,"","6401")</f>
        <v/>
      </c>
      <c r="AC141" s="49" t="str">
        <f aca="false">IF(N($S141)=0,"","1405")</f>
        <v/>
      </c>
      <c r="AD141" s="48" t="str">
        <f aca="false">IF(N($S141)=0,"",$S141)</f>
        <v/>
      </c>
      <c r="AE141" s="49" t="str">
        <f aca="false">IF(AND($D141=客户对账单!$B$3,$B141&gt;=客户对账单!$E$3,$B141&lt;=客户对账单!$H$3),COUNTIFS($D$5:$D141,客户对账单!$B$3,$B$5:$B141,"&gt;="&amp;客户对账单!$E$3,$B$5:$B141,"&lt;="&amp;客户对账单!$H$3),"")</f>
        <v/>
      </c>
    </row>
    <row r="142" customFormat="false" ht="15.75" hidden="false" customHeight="true" outlineLevel="0" collapsed="false">
      <c r="A142" s="42" t="str">
        <f aca="false">IF($B142="","","XS"&amp;TEXT($B142,"yyyymm")&amp;"-"&amp;TEXT(ROW()-4,"000"))</f>
        <v/>
      </c>
      <c r="B142" s="41"/>
      <c r="C142" s="42" t="str">
        <f aca="false">IF($B142="","",TEXT($B142,"yyyy-mm"))</f>
        <v/>
      </c>
      <c r="D142" s="32"/>
      <c r="E142" s="36"/>
      <c r="F142" s="43"/>
      <c r="G142" s="40"/>
      <c r="H142" s="51"/>
      <c r="I142" s="33"/>
      <c r="J142" s="33"/>
      <c r="K142" s="36"/>
      <c r="L142" s="47" t="str">
        <f aca="false">IF($B142="","",IF(NOT(ISNUMBER($B142)),"日期不是日期格式",IF(YEAR($B142)&lt;&gt;首页!$B$3,"不在会计年度",IF($D142="","未选客户",IF(ISNA(MATCH($D142,基础资料!$Z$6:$Z$155,0)),"客户不在档案",IF($E142="","未选商品",IF(ISNA(MATCH($E142,基础资料!$Q$6:$Q$205,0)),"商品不在档案",IF(NOT(ISNUMBER($F142)),"数量须为数字",IF(NOT(ISNUMBER($G142)),"单价须为数字",IF(N($F142)&lt;=0,"数量须大于0",IF(AND(IFERROR(INDEX(基础资料!$V$6:$V$205,MATCH($E142,基础资料!$Q$6:$Q$205,0)),"")="是",N($R142)=0),"无成本价·请先录采购或填参考成本",IF(N($T142)&lt;0,"毛利为负·请核对","√"))))))))))))</f>
        <v/>
      </c>
      <c r="M142" s="49" t="str">
        <f aca="false">IF($E142="","",IFERROR(INDEX(基础资料!$R$6:$R$205,MATCH($E142,基础资料!$Q$6:$Q$205,0)),""))</f>
        <v/>
      </c>
      <c r="N142" s="49" t="str">
        <f aca="false">IF($E142="","",IFERROR(INDEX(基础资料!$S$6:$S$205,MATCH($E142,基础资料!$Q$6:$Q$205,0)),""))</f>
        <v/>
      </c>
      <c r="O142" s="48" t="str">
        <f aca="false">IF(OR($F142="",$G142=""),"",ROUND(N($F142)*N($G142),2))</f>
        <v/>
      </c>
      <c r="P142" s="48" t="str">
        <f aca="false">IF($O142="","",ROUND(N($O142)*N($H142),2))</f>
        <v/>
      </c>
      <c r="Q142" s="48" t="str">
        <f aca="false">IF($O142="","",N($O142)+N($P142))</f>
        <v/>
      </c>
      <c r="R142" s="48" t="str">
        <f aca="false">IF(OR($E142="",$B142=""),"",IF(IFERROR(INDEX(基础资料!$V$6:$V$205,MATCH($E142,基础资料!$Q$6:$Q$205,0)),"")&lt;&gt;"是",0,IFERROR((SUMIFS(期初数据!$T$6:$T$205,期初数据!$O$6:$O$205,$E142)+SUMIFS(采购录入!$Q$5:$Q$404,采购录入!$E$5:$E$404,$E142,采购录入!$I$5:$I$404,"是",采购录入!$B$5:$B$404,"&lt;="&amp;$B142))/(SUMIFS(期初数据!$R$6:$R$205,期初数据!$O$6:$O$205,$E142)+SUMIFS(采购录入!$F$5:$F$404,采购录入!$E$5:$E$404,$E142,采购录入!$I$5:$I$404,"是",采购录入!$B$5:$B$404,"&lt;="&amp;$B142)),IFERROR(INDEX(基础资料!$U$6:$U$205,MATCH($E142,基础资料!$Q$6:$Q$205,0)),0))))</f>
        <v/>
      </c>
      <c r="S142" s="48" t="str">
        <f aca="false">IF($O142="","",ROUND(N($F142)*N($R142),2))</f>
        <v/>
      </c>
      <c r="T142" s="48" t="str">
        <f aca="false">IF($O142="","",N($O142)-N($S142))</f>
        <v/>
      </c>
      <c r="U142" s="52" t="str">
        <f aca="false">IF(OR($B142="",$D142=""),"",$B142+N(IFERROR(INDEX(基础资料!$AB$6:$AB$155,MATCH($D142,基础资料!$Z$6:$Z$155,0)),0)))</f>
        <v/>
      </c>
      <c r="V142" s="49" t="str">
        <f aca="false">IF($O142="","","1122")</f>
        <v/>
      </c>
      <c r="W142" s="49" t="str">
        <f aca="false">IF($O142="","","6001")</f>
        <v/>
      </c>
      <c r="X142" s="48" t="str">
        <f aca="false">IF($O142="","",$O142)</f>
        <v/>
      </c>
      <c r="Y142" s="49" t="str">
        <f aca="false">IF(N($P142)=0,"","1122")</f>
        <v/>
      </c>
      <c r="Z142" s="49" t="str">
        <f aca="false">IF(N($P142)=0,"","2221")</f>
        <v/>
      </c>
      <c r="AA142" s="48" t="str">
        <f aca="false">IF(N($P142)=0,"",$P142)</f>
        <v/>
      </c>
      <c r="AB142" s="49" t="str">
        <f aca="false">IF(N($S142)=0,"","6401")</f>
        <v/>
      </c>
      <c r="AC142" s="49" t="str">
        <f aca="false">IF(N($S142)=0,"","1405")</f>
        <v/>
      </c>
      <c r="AD142" s="48" t="str">
        <f aca="false">IF(N($S142)=0,"",$S142)</f>
        <v/>
      </c>
      <c r="AE142" s="49" t="str">
        <f aca="false">IF(AND($D142=客户对账单!$B$3,$B142&gt;=客户对账单!$E$3,$B142&lt;=客户对账单!$H$3),COUNTIFS($D$5:$D142,客户对账单!$B$3,$B$5:$B142,"&gt;="&amp;客户对账单!$E$3,$B$5:$B142,"&lt;="&amp;客户对账单!$H$3),"")</f>
        <v/>
      </c>
    </row>
    <row r="143" customFormat="false" ht="15.75" hidden="false" customHeight="true" outlineLevel="0" collapsed="false">
      <c r="A143" s="42" t="str">
        <f aca="false">IF($B143="","","XS"&amp;TEXT($B143,"yyyymm")&amp;"-"&amp;TEXT(ROW()-4,"000"))</f>
        <v/>
      </c>
      <c r="B143" s="41"/>
      <c r="C143" s="42" t="str">
        <f aca="false">IF($B143="","",TEXT($B143,"yyyy-mm"))</f>
        <v/>
      </c>
      <c r="D143" s="32"/>
      <c r="E143" s="36"/>
      <c r="F143" s="43"/>
      <c r="G143" s="40"/>
      <c r="H143" s="51"/>
      <c r="I143" s="33"/>
      <c r="J143" s="33"/>
      <c r="K143" s="36"/>
      <c r="L143" s="47" t="str">
        <f aca="false">IF($B143="","",IF(NOT(ISNUMBER($B143)),"日期不是日期格式",IF(YEAR($B143)&lt;&gt;首页!$B$3,"不在会计年度",IF($D143="","未选客户",IF(ISNA(MATCH($D143,基础资料!$Z$6:$Z$155,0)),"客户不在档案",IF($E143="","未选商品",IF(ISNA(MATCH($E143,基础资料!$Q$6:$Q$205,0)),"商品不在档案",IF(NOT(ISNUMBER($F143)),"数量须为数字",IF(NOT(ISNUMBER($G143)),"单价须为数字",IF(N($F143)&lt;=0,"数量须大于0",IF(AND(IFERROR(INDEX(基础资料!$V$6:$V$205,MATCH($E143,基础资料!$Q$6:$Q$205,0)),"")="是",N($R143)=0),"无成本价·请先录采购或填参考成本",IF(N($T143)&lt;0,"毛利为负·请核对","√"))))))))))))</f>
        <v/>
      </c>
      <c r="M143" s="49" t="str">
        <f aca="false">IF($E143="","",IFERROR(INDEX(基础资料!$R$6:$R$205,MATCH($E143,基础资料!$Q$6:$Q$205,0)),""))</f>
        <v/>
      </c>
      <c r="N143" s="49" t="str">
        <f aca="false">IF($E143="","",IFERROR(INDEX(基础资料!$S$6:$S$205,MATCH($E143,基础资料!$Q$6:$Q$205,0)),""))</f>
        <v/>
      </c>
      <c r="O143" s="48" t="str">
        <f aca="false">IF(OR($F143="",$G143=""),"",ROUND(N($F143)*N($G143),2))</f>
        <v/>
      </c>
      <c r="P143" s="48" t="str">
        <f aca="false">IF($O143="","",ROUND(N($O143)*N($H143),2))</f>
        <v/>
      </c>
      <c r="Q143" s="48" t="str">
        <f aca="false">IF($O143="","",N($O143)+N($P143))</f>
        <v/>
      </c>
      <c r="R143" s="48" t="str">
        <f aca="false">IF(OR($E143="",$B143=""),"",IF(IFERROR(INDEX(基础资料!$V$6:$V$205,MATCH($E143,基础资料!$Q$6:$Q$205,0)),"")&lt;&gt;"是",0,IFERROR((SUMIFS(期初数据!$T$6:$T$205,期初数据!$O$6:$O$205,$E143)+SUMIFS(采购录入!$Q$5:$Q$404,采购录入!$E$5:$E$404,$E143,采购录入!$I$5:$I$404,"是",采购录入!$B$5:$B$404,"&lt;="&amp;$B143))/(SUMIFS(期初数据!$R$6:$R$205,期初数据!$O$6:$O$205,$E143)+SUMIFS(采购录入!$F$5:$F$404,采购录入!$E$5:$E$404,$E143,采购录入!$I$5:$I$404,"是",采购录入!$B$5:$B$404,"&lt;="&amp;$B143)),IFERROR(INDEX(基础资料!$U$6:$U$205,MATCH($E143,基础资料!$Q$6:$Q$205,0)),0))))</f>
        <v/>
      </c>
      <c r="S143" s="48" t="str">
        <f aca="false">IF($O143="","",ROUND(N($F143)*N($R143),2))</f>
        <v/>
      </c>
      <c r="T143" s="48" t="str">
        <f aca="false">IF($O143="","",N($O143)-N($S143))</f>
        <v/>
      </c>
      <c r="U143" s="52" t="str">
        <f aca="false">IF(OR($B143="",$D143=""),"",$B143+N(IFERROR(INDEX(基础资料!$AB$6:$AB$155,MATCH($D143,基础资料!$Z$6:$Z$155,0)),0)))</f>
        <v/>
      </c>
      <c r="V143" s="49" t="str">
        <f aca="false">IF($O143="","","1122")</f>
        <v/>
      </c>
      <c r="W143" s="49" t="str">
        <f aca="false">IF($O143="","","6001")</f>
        <v/>
      </c>
      <c r="X143" s="48" t="str">
        <f aca="false">IF($O143="","",$O143)</f>
        <v/>
      </c>
      <c r="Y143" s="49" t="str">
        <f aca="false">IF(N($P143)=0,"","1122")</f>
        <v/>
      </c>
      <c r="Z143" s="49" t="str">
        <f aca="false">IF(N($P143)=0,"","2221")</f>
        <v/>
      </c>
      <c r="AA143" s="48" t="str">
        <f aca="false">IF(N($P143)=0,"",$P143)</f>
        <v/>
      </c>
      <c r="AB143" s="49" t="str">
        <f aca="false">IF(N($S143)=0,"","6401")</f>
        <v/>
      </c>
      <c r="AC143" s="49" t="str">
        <f aca="false">IF(N($S143)=0,"","1405")</f>
        <v/>
      </c>
      <c r="AD143" s="48" t="str">
        <f aca="false">IF(N($S143)=0,"",$S143)</f>
        <v/>
      </c>
      <c r="AE143" s="49" t="str">
        <f aca="false">IF(AND($D143=客户对账单!$B$3,$B143&gt;=客户对账单!$E$3,$B143&lt;=客户对账单!$H$3),COUNTIFS($D$5:$D143,客户对账单!$B$3,$B$5:$B143,"&gt;="&amp;客户对账单!$E$3,$B$5:$B143,"&lt;="&amp;客户对账单!$H$3),"")</f>
        <v/>
      </c>
    </row>
    <row r="144" customFormat="false" ht="15.75" hidden="false" customHeight="true" outlineLevel="0" collapsed="false">
      <c r="A144" s="42" t="str">
        <f aca="false">IF($B144="","","XS"&amp;TEXT($B144,"yyyymm")&amp;"-"&amp;TEXT(ROW()-4,"000"))</f>
        <v/>
      </c>
      <c r="B144" s="41"/>
      <c r="C144" s="42" t="str">
        <f aca="false">IF($B144="","",TEXT($B144,"yyyy-mm"))</f>
        <v/>
      </c>
      <c r="D144" s="32"/>
      <c r="E144" s="36"/>
      <c r="F144" s="43"/>
      <c r="G144" s="40"/>
      <c r="H144" s="51"/>
      <c r="I144" s="33"/>
      <c r="J144" s="33"/>
      <c r="K144" s="36"/>
      <c r="L144" s="47" t="str">
        <f aca="false">IF($B144="","",IF(NOT(ISNUMBER($B144)),"日期不是日期格式",IF(YEAR($B144)&lt;&gt;首页!$B$3,"不在会计年度",IF($D144="","未选客户",IF(ISNA(MATCH($D144,基础资料!$Z$6:$Z$155,0)),"客户不在档案",IF($E144="","未选商品",IF(ISNA(MATCH($E144,基础资料!$Q$6:$Q$205,0)),"商品不在档案",IF(NOT(ISNUMBER($F144)),"数量须为数字",IF(NOT(ISNUMBER($G144)),"单价须为数字",IF(N($F144)&lt;=0,"数量须大于0",IF(AND(IFERROR(INDEX(基础资料!$V$6:$V$205,MATCH($E144,基础资料!$Q$6:$Q$205,0)),"")="是",N($R144)=0),"无成本价·请先录采购或填参考成本",IF(N($T144)&lt;0,"毛利为负·请核对","√"))))))))))))</f>
        <v/>
      </c>
      <c r="M144" s="49" t="str">
        <f aca="false">IF($E144="","",IFERROR(INDEX(基础资料!$R$6:$R$205,MATCH($E144,基础资料!$Q$6:$Q$205,0)),""))</f>
        <v/>
      </c>
      <c r="N144" s="49" t="str">
        <f aca="false">IF($E144="","",IFERROR(INDEX(基础资料!$S$6:$S$205,MATCH($E144,基础资料!$Q$6:$Q$205,0)),""))</f>
        <v/>
      </c>
      <c r="O144" s="48" t="str">
        <f aca="false">IF(OR($F144="",$G144=""),"",ROUND(N($F144)*N($G144),2))</f>
        <v/>
      </c>
      <c r="P144" s="48" t="str">
        <f aca="false">IF($O144="","",ROUND(N($O144)*N($H144),2))</f>
        <v/>
      </c>
      <c r="Q144" s="48" t="str">
        <f aca="false">IF($O144="","",N($O144)+N($P144))</f>
        <v/>
      </c>
      <c r="R144" s="48" t="str">
        <f aca="false">IF(OR($E144="",$B144=""),"",IF(IFERROR(INDEX(基础资料!$V$6:$V$205,MATCH($E144,基础资料!$Q$6:$Q$205,0)),"")&lt;&gt;"是",0,IFERROR((SUMIFS(期初数据!$T$6:$T$205,期初数据!$O$6:$O$205,$E144)+SUMIFS(采购录入!$Q$5:$Q$404,采购录入!$E$5:$E$404,$E144,采购录入!$I$5:$I$404,"是",采购录入!$B$5:$B$404,"&lt;="&amp;$B144))/(SUMIFS(期初数据!$R$6:$R$205,期初数据!$O$6:$O$205,$E144)+SUMIFS(采购录入!$F$5:$F$404,采购录入!$E$5:$E$404,$E144,采购录入!$I$5:$I$404,"是",采购录入!$B$5:$B$404,"&lt;="&amp;$B144)),IFERROR(INDEX(基础资料!$U$6:$U$205,MATCH($E144,基础资料!$Q$6:$Q$205,0)),0))))</f>
        <v/>
      </c>
      <c r="S144" s="48" t="str">
        <f aca="false">IF($O144="","",ROUND(N($F144)*N($R144),2))</f>
        <v/>
      </c>
      <c r="T144" s="48" t="str">
        <f aca="false">IF($O144="","",N($O144)-N($S144))</f>
        <v/>
      </c>
      <c r="U144" s="52" t="str">
        <f aca="false">IF(OR($B144="",$D144=""),"",$B144+N(IFERROR(INDEX(基础资料!$AB$6:$AB$155,MATCH($D144,基础资料!$Z$6:$Z$155,0)),0)))</f>
        <v/>
      </c>
      <c r="V144" s="49" t="str">
        <f aca="false">IF($O144="","","1122")</f>
        <v/>
      </c>
      <c r="W144" s="49" t="str">
        <f aca="false">IF($O144="","","6001")</f>
        <v/>
      </c>
      <c r="X144" s="48" t="str">
        <f aca="false">IF($O144="","",$O144)</f>
        <v/>
      </c>
      <c r="Y144" s="49" t="str">
        <f aca="false">IF(N($P144)=0,"","1122")</f>
        <v/>
      </c>
      <c r="Z144" s="49" t="str">
        <f aca="false">IF(N($P144)=0,"","2221")</f>
        <v/>
      </c>
      <c r="AA144" s="48" t="str">
        <f aca="false">IF(N($P144)=0,"",$P144)</f>
        <v/>
      </c>
      <c r="AB144" s="49" t="str">
        <f aca="false">IF(N($S144)=0,"","6401")</f>
        <v/>
      </c>
      <c r="AC144" s="49" t="str">
        <f aca="false">IF(N($S144)=0,"","1405")</f>
        <v/>
      </c>
      <c r="AD144" s="48" t="str">
        <f aca="false">IF(N($S144)=0,"",$S144)</f>
        <v/>
      </c>
      <c r="AE144" s="49" t="str">
        <f aca="false">IF(AND($D144=客户对账单!$B$3,$B144&gt;=客户对账单!$E$3,$B144&lt;=客户对账单!$H$3),COUNTIFS($D$5:$D144,客户对账单!$B$3,$B$5:$B144,"&gt;="&amp;客户对账单!$E$3,$B$5:$B144,"&lt;="&amp;客户对账单!$H$3),"")</f>
        <v/>
      </c>
    </row>
    <row r="145" customFormat="false" ht="15.75" hidden="false" customHeight="true" outlineLevel="0" collapsed="false">
      <c r="A145" s="42" t="str">
        <f aca="false">IF($B145="","","XS"&amp;TEXT($B145,"yyyymm")&amp;"-"&amp;TEXT(ROW()-4,"000"))</f>
        <v/>
      </c>
      <c r="B145" s="41"/>
      <c r="C145" s="42" t="str">
        <f aca="false">IF($B145="","",TEXT($B145,"yyyy-mm"))</f>
        <v/>
      </c>
      <c r="D145" s="32"/>
      <c r="E145" s="36"/>
      <c r="F145" s="43"/>
      <c r="G145" s="40"/>
      <c r="H145" s="51"/>
      <c r="I145" s="33"/>
      <c r="J145" s="33"/>
      <c r="K145" s="36"/>
      <c r="L145" s="47" t="str">
        <f aca="false">IF($B145="","",IF(NOT(ISNUMBER($B145)),"日期不是日期格式",IF(YEAR($B145)&lt;&gt;首页!$B$3,"不在会计年度",IF($D145="","未选客户",IF(ISNA(MATCH($D145,基础资料!$Z$6:$Z$155,0)),"客户不在档案",IF($E145="","未选商品",IF(ISNA(MATCH($E145,基础资料!$Q$6:$Q$205,0)),"商品不在档案",IF(NOT(ISNUMBER($F145)),"数量须为数字",IF(NOT(ISNUMBER($G145)),"单价须为数字",IF(N($F145)&lt;=0,"数量须大于0",IF(AND(IFERROR(INDEX(基础资料!$V$6:$V$205,MATCH($E145,基础资料!$Q$6:$Q$205,0)),"")="是",N($R145)=0),"无成本价·请先录采购或填参考成本",IF(N($T145)&lt;0,"毛利为负·请核对","√"))))))))))))</f>
        <v/>
      </c>
      <c r="M145" s="49" t="str">
        <f aca="false">IF($E145="","",IFERROR(INDEX(基础资料!$R$6:$R$205,MATCH($E145,基础资料!$Q$6:$Q$205,0)),""))</f>
        <v/>
      </c>
      <c r="N145" s="49" t="str">
        <f aca="false">IF($E145="","",IFERROR(INDEX(基础资料!$S$6:$S$205,MATCH($E145,基础资料!$Q$6:$Q$205,0)),""))</f>
        <v/>
      </c>
      <c r="O145" s="48" t="str">
        <f aca="false">IF(OR($F145="",$G145=""),"",ROUND(N($F145)*N($G145),2))</f>
        <v/>
      </c>
      <c r="P145" s="48" t="str">
        <f aca="false">IF($O145="","",ROUND(N($O145)*N($H145),2))</f>
        <v/>
      </c>
      <c r="Q145" s="48" t="str">
        <f aca="false">IF($O145="","",N($O145)+N($P145))</f>
        <v/>
      </c>
      <c r="R145" s="48" t="str">
        <f aca="false">IF(OR($E145="",$B145=""),"",IF(IFERROR(INDEX(基础资料!$V$6:$V$205,MATCH($E145,基础资料!$Q$6:$Q$205,0)),"")&lt;&gt;"是",0,IFERROR((SUMIFS(期初数据!$T$6:$T$205,期初数据!$O$6:$O$205,$E145)+SUMIFS(采购录入!$Q$5:$Q$404,采购录入!$E$5:$E$404,$E145,采购录入!$I$5:$I$404,"是",采购录入!$B$5:$B$404,"&lt;="&amp;$B145))/(SUMIFS(期初数据!$R$6:$R$205,期初数据!$O$6:$O$205,$E145)+SUMIFS(采购录入!$F$5:$F$404,采购录入!$E$5:$E$404,$E145,采购录入!$I$5:$I$404,"是",采购录入!$B$5:$B$404,"&lt;="&amp;$B145)),IFERROR(INDEX(基础资料!$U$6:$U$205,MATCH($E145,基础资料!$Q$6:$Q$205,0)),0))))</f>
        <v/>
      </c>
      <c r="S145" s="48" t="str">
        <f aca="false">IF($O145="","",ROUND(N($F145)*N($R145),2))</f>
        <v/>
      </c>
      <c r="T145" s="48" t="str">
        <f aca="false">IF($O145="","",N($O145)-N($S145))</f>
        <v/>
      </c>
      <c r="U145" s="52" t="str">
        <f aca="false">IF(OR($B145="",$D145=""),"",$B145+N(IFERROR(INDEX(基础资料!$AB$6:$AB$155,MATCH($D145,基础资料!$Z$6:$Z$155,0)),0)))</f>
        <v/>
      </c>
      <c r="V145" s="49" t="str">
        <f aca="false">IF($O145="","","1122")</f>
        <v/>
      </c>
      <c r="W145" s="49" t="str">
        <f aca="false">IF($O145="","","6001")</f>
        <v/>
      </c>
      <c r="X145" s="48" t="str">
        <f aca="false">IF($O145="","",$O145)</f>
        <v/>
      </c>
      <c r="Y145" s="49" t="str">
        <f aca="false">IF(N($P145)=0,"","1122")</f>
        <v/>
      </c>
      <c r="Z145" s="49" t="str">
        <f aca="false">IF(N($P145)=0,"","2221")</f>
        <v/>
      </c>
      <c r="AA145" s="48" t="str">
        <f aca="false">IF(N($P145)=0,"",$P145)</f>
        <v/>
      </c>
      <c r="AB145" s="49" t="str">
        <f aca="false">IF(N($S145)=0,"","6401")</f>
        <v/>
      </c>
      <c r="AC145" s="49" t="str">
        <f aca="false">IF(N($S145)=0,"","1405")</f>
        <v/>
      </c>
      <c r="AD145" s="48" t="str">
        <f aca="false">IF(N($S145)=0,"",$S145)</f>
        <v/>
      </c>
      <c r="AE145" s="49" t="str">
        <f aca="false">IF(AND($D145=客户对账单!$B$3,$B145&gt;=客户对账单!$E$3,$B145&lt;=客户对账单!$H$3),COUNTIFS($D$5:$D145,客户对账单!$B$3,$B$5:$B145,"&gt;="&amp;客户对账单!$E$3,$B$5:$B145,"&lt;="&amp;客户对账单!$H$3),"")</f>
        <v/>
      </c>
    </row>
    <row r="146" customFormat="false" ht="15.75" hidden="false" customHeight="true" outlineLevel="0" collapsed="false">
      <c r="A146" s="42" t="str">
        <f aca="false">IF($B146="","","XS"&amp;TEXT($B146,"yyyymm")&amp;"-"&amp;TEXT(ROW()-4,"000"))</f>
        <v/>
      </c>
      <c r="B146" s="41"/>
      <c r="C146" s="42" t="str">
        <f aca="false">IF($B146="","",TEXT($B146,"yyyy-mm"))</f>
        <v/>
      </c>
      <c r="D146" s="32"/>
      <c r="E146" s="36"/>
      <c r="F146" s="43"/>
      <c r="G146" s="40"/>
      <c r="H146" s="51"/>
      <c r="I146" s="33"/>
      <c r="J146" s="33"/>
      <c r="K146" s="36"/>
      <c r="L146" s="47" t="str">
        <f aca="false">IF($B146="","",IF(NOT(ISNUMBER($B146)),"日期不是日期格式",IF(YEAR($B146)&lt;&gt;首页!$B$3,"不在会计年度",IF($D146="","未选客户",IF(ISNA(MATCH($D146,基础资料!$Z$6:$Z$155,0)),"客户不在档案",IF($E146="","未选商品",IF(ISNA(MATCH($E146,基础资料!$Q$6:$Q$205,0)),"商品不在档案",IF(NOT(ISNUMBER($F146)),"数量须为数字",IF(NOT(ISNUMBER($G146)),"单价须为数字",IF(N($F146)&lt;=0,"数量须大于0",IF(AND(IFERROR(INDEX(基础资料!$V$6:$V$205,MATCH($E146,基础资料!$Q$6:$Q$205,0)),"")="是",N($R146)=0),"无成本价·请先录采购或填参考成本",IF(N($T146)&lt;0,"毛利为负·请核对","√"))))))))))))</f>
        <v/>
      </c>
      <c r="M146" s="49" t="str">
        <f aca="false">IF($E146="","",IFERROR(INDEX(基础资料!$R$6:$R$205,MATCH($E146,基础资料!$Q$6:$Q$205,0)),""))</f>
        <v/>
      </c>
      <c r="N146" s="49" t="str">
        <f aca="false">IF($E146="","",IFERROR(INDEX(基础资料!$S$6:$S$205,MATCH($E146,基础资料!$Q$6:$Q$205,0)),""))</f>
        <v/>
      </c>
      <c r="O146" s="48" t="str">
        <f aca="false">IF(OR($F146="",$G146=""),"",ROUND(N($F146)*N($G146),2))</f>
        <v/>
      </c>
      <c r="P146" s="48" t="str">
        <f aca="false">IF($O146="","",ROUND(N($O146)*N($H146),2))</f>
        <v/>
      </c>
      <c r="Q146" s="48" t="str">
        <f aca="false">IF($O146="","",N($O146)+N($P146))</f>
        <v/>
      </c>
      <c r="R146" s="48" t="str">
        <f aca="false">IF(OR($E146="",$B146=""),"",IF(IFERROR(INDEX(基础资料!$V$6:$V$205,MATCH($E146,基础资料!$Q$6:$Q$205,0)),"")&lt;&gt;"是",0,IFERROR((SUMIFS(期初数据!$T$6:$T$205,期初数据!$O$6:$O$205,$E146)+SUMIFS(采购录入!$Q$5:$Q$404,采购录入!$E$5:$E$404,$E146,采购录入!$I$5:$I$404,"是",采购录入!$B$5:$B$404,"&lt;="&amp;$B146))/(SUMIFS(期初数据!$R$6:$R$205,期初数据!$O$6:$O$205,$E146)+SUMIFS(采购录入!$F$5:$F$404,采购录入!$E$5:$E$404,$E146,采购录入!$I$5:$I$404,"是",采购录入!$B$5:$B$404,"&lt;="&amp;$B146)),IFERROR(INDEX(基础资料!$U$6:$U$205,MATCH($E146,基础资料!$Q$6:$Q$205,0)),0))))</f>
        <v/>
      </c>
      <c r="S146" s="48" t="str">
        <f aca="false">IF($O146="","",ROUND(N($F146)*N($R146),2))</f>
        <v/>
      </c>
      <c r="T146" s="48" t="str">
        <f aca="false">IF($O146="","",N($O146)-N($S146))</f>
        <v/>
      </c>
      <c r="U146" s="52" t="str">
        <f aca="false">IF(OR($B146="",$D146=""),"",$B146+N(IFERROR(INDEX(基础资料!$AB$6:$AB$155,MATCH($D146,基础资料!$Z$6:$Z$155,0)),0)))</f>
        <v/>
      </c>
      <c r="V146" s="49" t="str">
        <f aca="false">IF($O146="","","1122")</f>
        <v/>
      </c>
      <c r="W146" s="49" t="str">
        <f aca="false">IF($O146="","","6001")</f>
        <v/>
      </c>
      <c r="X146" s="48" t="str">
        <f aca="false">IF($O146="","",$O146)</f>
        <v/>
      </c>
      <c r="Y146" s="49" t="str">
        <f aca="false">IF(N($P146)=0,"","1122")</f>
        <v/>
      </c>
      <c r="Z146" s="49" t="str">
        <f aca="false">IF(N($P146)=0,"","2221")</f>
        <v/>
      </c>
      <c r="AA146" s="48" t="str">
        <f aca="false">IF(N($P146)=0,"",$P146)</f>
        <v/>
      </c>
      <c r="AB146" s="49" t="str">
        <f aca="false">IF(N($S146)=0,"","6401")</f>
        <v/>
      </c>
      <c r="AC146" s="49" t="str">
        <f aca="false">IF(N($S146)=0,"","1405")</f>
        <v/>
      </c>
      <c r="AD146" s="48" t="str">
        <f aca="false">IF(N($S146)=0,"",$S146)</f>
        <v/>
      </c>
      <c r="AE146" s="49" t="str">
        <f aca="false">IF(AND($D146=客户对账单!$B$3,$B146&gt;=客户对账单!$E$3,$B146&lt;=客户对账单!$H$3),COUNTIFS($D$5:$D146,客户对账单!$B$3,$B$5:$B146,"&gt;="&amp;客户对账单!$E$3,$B$5:$B146,"&lt;="&amp;客户对账单!$H$3),"")</f>
        <v/>
      </c>
    </row>
    <row r="147" customFormat="false" ht="15.75" hidden="false" customHeight="true" outlineLevel="0" collapsed="false">
      <c r="A147" s="42" t="str">
        <f aca="false">IF($B147="","","XS"&amp;TEXT($B147,"yyyymm")&amp;"-"&amp;TEXT(ROW()-4,"000"))</f>
        <v/>
      </c>
      <c r="B147" s="41"/>
      <c r="C147" s="42" t="str">
        <f aca="false">IF($B147="","",TEXT($B147,"yyyy-mm"))</f>
        <v/>
      </c>
      <c r="D147" s="32"/>
      <c r="E147" s="36"/>
      <c r="F147" s="43"/>
      <c r="G147" s="40"/>
      <c r="H147" s="51"/>
      <c r="I147" s="33"/>
      <c r="J147" s="33"/>
      <c r="K147" s="36"/>
      <c r="L147" s="47" t="str">
        <f aca="false">IF($B147="","",IF(NOT(ISNUMBER($B147)),"日期不是日期格式",IF(YEAR($B147)&lt;&gt;首页!$B$3,"不在会计年度",IF($D147="","未选客户",IF(ISNA(MATCH($D147,基础资料!$Z$6:$Z$155,0)),"客户不在档案",IF($E147="","未选商品",IF(ISNA(MATCH($E147,基础资料!$Q$6:$Q$205,0)),"商品不在档案",IF(NOT(ISNUMBER($F147)),"数量须为数字",IF(NOT(ISNUMBER($G147)),"单价须为数字",IF(N($F147)&lt;=0,"数量须大于0",IF(AND(IFERROR(INDEX(基础资料!$V$6:$V$205,MATCH($E147,基础资料!$Q$6:$Q$205,0)),"")="是",N($R147)=0),"无成本价·请先录采购或填参考成本",IF(N($T147)&lt;0,"毛利为负·请核对","√"))))))))))))</f>
        <v/>
      </c>
      <c r="M147" s="49" t="str">
        <f aca="false">IF($E147="","",IFERROR(INDEX(基础资料!$R$6:$R$205,MATCH($E147,基础资料!$Q$6:$Q$205,0)),""))</f>
        <v/>
      </c>
      <c r="N147" s="49" t="str">
        <f aca="false">IF($E147="","",IFERROR(INDEX(基础资料!$S$6:$S$205,MATCH($E147,基础资料!$Q$6:$Q$205,0)),""))</f>
        <v/>
      </c>
      <c r="O147" s="48" t="str">
        <f aca="false">IF(OR($F147="",$G147=""),"",ROUND(N($F147)*N($G147),2))</f>
        <v/>
      </c>
      <c r="P147" s="48" t="str">
        <f aca="false">IF($O147="","",ROUND(N($O147)*N($H147),2))</f>
        <v/>
      </c>
      <c r="Q147" s="48" t="str">
        <f aca="false">IF($O147="","",N($O147)+N($P147))</f>
        <v/>
      </c>
      <c r="R147" s="48" t="str">
        <f aca="false">IF(OR($E147="",$B147=""),"",IF(IFERROR(INDEX(基础资料!$V$6:$V$205,MATCH($E147,基础资料!$Q$6:$Q$205,0)),"")&lt;&gt;"是",0,IFERROR((SUMIFS(期初数据!$T$6:$T$205,期初数据!$O$6:$O$205,$E147)+SUMIFS(采购录入!$Q$5:$Q$404,采购录入!$E$5:$E$404,$E147,采购录入!$I$5:$I$404,"是",采购录入!$B$5:$B$404,"&lt;="&amp;$B147))/(SUMIFS(期初数据!$R$6:$R$205,期初数据!$O$6:$O$205,$E147)+SUMIFS(采购录入!$F$5:$F$404,采购录入!$E$5:$E$404,$E147,采购录入!$I$5:$I$404,"是",采购录入!$B$5:$B$404,"&lt;="&amp;$B147)),IFERROR(INDEX(基础资料!$U$6:$U$205,MATCH($E147,基础资料!$Q$6:$Q$205,0)),0))))</f>
        <v/>
      </c>
      <c r="S147" s="48" t="str">
        <f aca="false">IF($O147="","",ROUND(N($F147)*N($R147),2))</f>
        <v/>
      </c>
      <c r="T147" s="48" t="str">
        <f aca="false">IF($O147="","",N($O147)-N($S147))</f>
        <v/>
      </c>
      <c r="U147" s="52" t="str">
        <f aca="false">IF(OR($B147="",$D147=""),"",$B147+N(IFERROR(INDEX(基础资料!$AB$6:$AB$155,MATCH($D147,基础资料!$Z$6:$Z$155,0)),0)))</f>
        <v/>
      </c>
      <c r="V147" s="49" t="str">
        <f aca="false">IF($O147="","","1122")</f>
        <v/>
      </c>
      <c r="W147" s="49" t="str">
        <f aca="false">IF($O147="","","6001")</f>
        <v/>
      </c>
      <c r="X147" s="48" t="str">
        <f aca="false">IF($O147="","",$O147)</f>
        <v/>
      </c>
      <c r="Y147" s="49" t="str">
        <f aca="false">IF(N($P147)=0,"","1122")</f>
        <v/>
      </c>
      <c r="Z147" s="49" t="str">
        <f aca="false">IF(N($P147)=0,"","2221")</f>
        <v/>
      </c>
      <c r="AA147" s="48" t="str">
        <f aca="false">IF(N($P147)=0,"",$P147)</f>
        <v/>
      </c>
      <c r="AB147" s="49" t="str">
        <f aca="false">IF(N($S147)=0,"","6401")</f>
        <v/>
      </c>
      <c r="AC147" s="49" t="str">
        <f aca="false">IF(N($S147)=0,"","1405")</f>
        <v/>
      </c>
      <c r="AD147" s="48" t="str">
        <f aca="false">IF(N($S147)=0,"",$S147)</f>
        <v/>
      </c>
      <c r="AE147" s="49" t="str">
        <f aca="false">IF(AND($D147=客户对账单!$B$3,$B147&gt;=客户对账单!$E$3,$B147&lt;=客户对账单!$H$3),COUNTIFS($D$5:$D147,客户对账单!$B$3,$B$5:$B147,"&gt;="&amp;客户对账单!$E$3,$B$5:$B147,"&lt;="&amp;客户对账单!$H$3),"")</f>
        <v/>
      </c>
    </row>
    <row r="148" customFormat="false" ht="15.75" hidden="false" customHeight="true" outlineLevel="0" collapsed="false">
      <c r="A148" s="42" t="str">
        <f aca="false">IF($B148="","","XS"&amp;TEXT($B148,"yyyymm")&amp;"-"&amp;TEXT(ROW()-4,"000"))</f>
        <v/>
      </c>
      <c r="B148" s="41"/>
      <c r="C148" s="42" t="str">
        <f aca="false">IF($B148="","",TEXT($B148,"yyyy-mm"))</f>
        <v/>
      </c>
      <c r="D148" s="32"/>
      <c r="E148" s="36"/>
      <c r="F148" s="43"/>
      <c r="G148" s="40"/>
      <c r="H148" s="51"/>
      <c r="I148" s="33"/>
      <c r="J148" s="33"/>
      <c r="K148" s="36"/>
      <c r="L148" s="47" t="str">
        <f aca="false">IF($B148="","",IF(NOT(ISNUMBER($B148)),"日期不是日期格式",IF(YEAR($B148)&lt;&gt;首页!$B$3,"不在会计年度",IF($D148="","未选客户",IF(ISNA(MATCH($D148,基础资料!$Z$6:$Z$155,0)),"客户不在档案",IF($E148="","未选商品",IF(ISNA(MATCH($E148,基础资料!$Q$6:$Q$205,0)),"商品不在档案",IF(NOT(ISNUMBER($F148)),"数量须为数字",IF(NOT(ISNUMBER($G148)),"单价须为数字",IF(N($F148)&lt;=0,"数量须大于0",IF(AND(IFERROR(INDEX(基础资料!$V$6:$V$205,MATCH($E148,基础资料!$Q$6:$Q$205,0)),"")="是",N($R148)=0),"无成本价·请先录采购或填参考成本",IF(N($T148)&lt;0,"毛利为负·请核对","√"))))))))))))</f>
        <v/>
      </c>
      <c r="M148" s="49" t="str">
        <f aca="false">IF($E148="","",IFERROR(INDEX(基础资料!$R$6:$R$205,MATCH($E148,基础资料!$Q$6:$Q$205,0)),""))</f>
        <v/>
      </c>
      <c r="N148" s="49" t="str">
        <f aca="false">IF($E148="","",IFERROR(INDEX(基础资料!$S$6:$S$205,MATCH($E148,基础资料!$Q$6:$Q$205,0)),""))</f>
        <v/>
      </c>
      <c r="O148" s="48" t="str">
        <f aca="false">IF(OR($F148="",$G148=""),"",ROUND(N($F148)*N($G148),2))</f>
        <v/>
      </c>
      <c r="P148" s="48" t="str">
        <f aca="false">IF($O148="","",ROUND(N($O148)*N($H148),2))</f>
        <v/>
      </c>
      <c r="Q148" s="48" t="str">
        <f aca="false">IF($O148="","",N($O148)+N($P148))</f>
        <v/>
      </c>
      <c r="R148" s="48" t="str">
        <f aca="false">IF(OR($E148="",$B148=""),"",IF(IFERROR(INDEX(基础资料!$V$6:$V$205,MATCH($E148,基础资料!$Q$6:$Q$205,0)),"")&lt;&gt;"是",0,IFERROR((SUMIFS(期初数据!$T$6:$T$205,期初数据!$O$6:$O$205,$E148)+SUMIFS(采购录入!$Q$5:$Q$404,采购录入!$E$5:$E$404,$E148,采购录入!$I$5:$I$404,"是",采购录入!$B$5:$B$404,"&lt;="&amp;$B148))/(SUMIFS(期初数据!$R$6:$R$205,期初数据!$O$6:$O$205,$E148)+SUMIFS(采购录入!$F$5:$F$404,采购录入!$E$5:$E$404,$E148,采购录入!$I$5:$I$404,"是",采购录入!$B$5:$B$404,"&lt;="&amp;$B148)),IFERROR(INDEX(基础资料!$U$6:$U$205,MATCH($E148,基础资料!$Q$6:$Q$205,0)),0))))</f>
        <v/>
      </c>
      <c r="S148" s="48" t="str">
        <f aca="false">IF($O148="","",ROUND(N($F148)*N($R148),2))</f>
        <v/>
      </c>
      <c r="T148" s="48" t="str">
        <f aca="false">IF($O148="","",N($O148)-N($S148))</f>
        <v/>
      </c>
      <c r="U148" s="52" t="str">
        <f aca="false">IF(OR($B148="",$D148=""),"",$B148+N(IFERROR(INDEX(基础资料!$AB$6:$AB$155,MATCH($D148,基础资料!$Z$6:$Z$155,0)),0)))</f>
        <v/>
      </c>
      <c r="V148" s="49" t="str">
        <f aca="false">IF($O148="","","1122")</f>
        <v/>
      </c>
      <c r="W148" s="49" t="str">
        <f aca="false">IF($O148="","","6001")</f>
        <v/>
      </c>
      <c r="X148" s="48" t="str">
        <f aca="false">IF($O148="","",$O148)</f>
        <v/>
      </c>
      <c r="Y148" s="49" t="str">
        <f aca="false">IF(N($P148)=0,"","1122")</f>
        <v/>
      </c>
      <c r="Z148" s="49" t="str">
        <f aca="false">IF(N($P148)=0,"","2221")</f>
        <v/>
      </c>
      <c r="AA148" s="48" t="str">
        <f aca="false">IF(N($P148)=0,"",$P148)</f>
        <v/>
      </c>
      <c r="AB148" s="49" t="str">
        <f aca="false">IF(N($S148)=0,"","6401")</f>
        <v/>
      </c>
      <c r="AC148" s="49" t="str">
        <f aca="false">IF(N($S148)=0,"","1405")</f>
        <v/>
      </c>
      <c r="AD148" s="48" t="str">
        <f aca="false">IF(N($S148)=0,"",$S148)</f>
        <v/>
      </c>
      <c r="AE148" s="49" t="str">
        <f aca="false">IF(AND($D148=客户对账单!$B$3,$B148&gt;=客户对账单!$E$3,$B148&lt;=客户对账单!$H$3),COUNTIFS($D$5:$D148,客户对账单!$B$3,$B$5:$B148,"&gt;="&amp;客户对账单!$E$3,$B$5:$B148,"&lt;="&amp;客户对账单!$H$3),"")</f>
        <v/>
      </c>
    </row>
    <row r="149" customFormat="false" ht="15.75" hidden="false" customHeight="true" outlineLevel="0" collapsed="false">
      <c r="A149" s="42" t="str">
        <f aca="false">IF($B149="","","XS"&amp;TEXT($B149,"yyyymm")&amp;"-"&amp;TEXT(ROW()-4,"000"))</f>
        <v/>
      </c>
      <c r="B149" s="41"/>
      <c r="C149" s="42" t="str">
        <f aca="false">IF($B149="","",TEXT($B149,"yyyy-mm"))</f>
        <v/>
      </c>
      <c r="D149" s="32"/>
      <c r="E149" s="36"/>
      <c r="F149" s="43"/>
      <c r="G149" s="40"/>
      <c r="H149" s="51"/>
      <c r="I149" s="33"/>
      <c r="J149" s="33"/>
      <c r="K149" s="36"/>
      <c r="L149" s="47" t="str">
        <f aca="false">IF($B149="","",IF(NOT(ISNUMBER($B149)),"日期不是日期格式",IF(YEAR($B149)&lt;&gt;首页!$B$3,"不在会计年度",IF($D149="","未选客户",IF(ISNA(MATCH($D149,基础资料!$Z$6:$Z$155,0)),"客户不在档案",IF($E149="","未选商品",IF(ISNA(MATCH($E149,基础资料!$Q$6:$Q$205,0)),"商品不在档案",IF(NOT(ISNUMBER($F149)),"数量须为数字",IF(NOT(ISNUMBER($G149)),"单价须为数字",IF(N($F149)&lt;=0,"数量须大于0",IF(AND(IFERROR(INDEX(基础资料!$V$6:$V$205,MATCH($E149,基础资料!$Q$6:$Q$205,0)),"")="是",N($R149)=0),"无成本价·请先录采购或填参考成本",IF(N($T149)&lt;0,"毛利为负·请核对","√"))))))))))))</f>
        <v/>
      </c>
      <c r="M149" s="49" t="str">
        <f aca="false">IF($E149="","",IFERROR(INDEX(基础资料!$R$6:$R$205,MATCH($E149,基础资料!$Q$6:$Q$205,0)),""))</f>
        <v/>
      </c>
      <c r="N149" s="49" t="str">
        <f aca="false">IF($E149="","",IFERROR(INDEX(基础资料!$S$6:$S$205,MATCH($E149,基础资料!$Q$6:$Q$205,0)),""))</f>
        <v/>
      </c>
      <c r="O149" s="48" t="str">
        <f aca="false">IF(OR($F149="",$G149=""),"",ROUND(N($F149)*N($G149),2))</f>
        <v/>
      </c>
      <c r="P149" s="48" t="str">
        <f aca="false">IF($O149="","",ROUND(N($O149)*N($H149),2))</f>
        <v/>
      </c>
      <c r="Q149" s="48" t="str">
        <f aca="false">IF($O149="","",N($O149)+N($P149))</f>
        <v/>
      </c>
      <c r="R149" s="48" t="str">
        <f aca="false">IF(OR($E149="",$B149=""),"",IF(IFERROR(INDEX(基础资料!$V$6:$V$205,MATCH($E149,基础资料!$Q$6:$Q$205,0)),"")&lt;&gt;"是",0,IFERROR((SUMIFS(期初数据!$T$6:$T$205,期初数据!$O$6:$O$205,$E149)+SUMIFS(采购录入!$Q$5:$Q$404,采购录入!$E$5:$E$404,$E149,采购录入!$I$5:$I$404,"是",采购录入!$B$5:$B$404,"&lt;="&amp;$B149))/(SUMIFS(期初数据!$R$6:$R$205,期初数据!$O$6:$O$205,$E149)+SUMIFS(采购录入!$F$5:$F$404,采购录入!$E$5:$E$404,$E149,采购录入!$I$5:$I$404,"是",采购录入!$B$5:$B$404,"&lt;="&amp;$B149)),IFERROR(INDEX(基础资料!$U$6:$U$205,MATCH($E149,基础资料!$Q$6:$Q$205,0)),0))))</f>
        <v/>
      </c>
      <c r="S149" s="48" t="str">
        <f aca="false">IF($O149="","",ROUND(N($F149)*N($R149),2))</f>
        <v/>
      </c>
      <c r="T149" s="48" t="str">
        <f aca="false">IF($O149="","",N($O149)-N($S149))</f>
        <v/>
      </c>
      <c r="U149" s="52" t="str">
        <f aca="false">IF(OR($B149="",$D149=""),"",$B149+N(IFERROR(INDEX(基础资料!$AB$6:$AB$155,MATCH($D149,基础资料!$Z$6:$Z$155,0)),0)))</f>
        <v/>
      </c>
      <c r="V149" s="49" t="str">
        <f aca="false">IF($O149="","","1122")</f>
        <v/>
      </c>
      <c r="W149" s="49" t="str">
        <f aca="false">IF($O149="","","6001")</f>
        <v/>
      </c>
      <c r="X149" s="48" t="str">
        <f aca="false">IF($O149="","",$O149)</f>
        <v/>
      </c>
      <c r="Y149" s="49" t="str">
        <f aca="false">IF(N($P149)=0,"","1122")</f>
        <v/>
      </c>
      <c r="Z149" s="49" t="str">
        <f aca="false">IF(N($P149)=0,"","2221")</f>
        <v/>
      </c>
      <c r="AA149" s="48" t="str">
        <f aca="false">IF(N($P149)=0,"",$P149)</f>
        <v/>
      </c>
      <c r="AB149" s="49" t="str">
        <f aca="false">IF(N($S149)=0,"","6401")</f>
        <v/>
      </c>
      <c r="AC149" s="49" t="str">
        <f aca="false">IF(N($S149)=0,"","1405")</f>
        <v/>
      </c>
      <c r="AD149" s="48" t="str">
        <f aca="false">IF(N($S149)=0,"",$S149)</f>
        <v/>
      </c>
      <c r="AE149" s="49" t="str">
        <f aca="false">IF(AND($D149=客户对账单!$B$3,$B149&gt;=客户对账单!$E$3,$B149&lt;=客户对账单!$H$3),COUNTIFS($D$5:$D149,客户对账单!$B$3,$B$5:$B149,"&gt;="&amp;客户对账单!$E$3,$B$5:$B149,"&lt;="&amp;客户对账单!$H$3),"")</f>
        <v/>
      </c>
    </row>
    <row r="150" customFormat="false" ht="15.75" hidden="false" customHeight="true" outlineLevel="0" collapsed="false">
      <c r="A150" s="42" t="str">
        <f aca="false">IF($B150="","","XS"&amp;TEXT($B150,"yyyymm")&amp;"-"&amp;TEXT(ROW()-4,"000"))</f>
        <v/>
      </c>
      <c r="B150" s="41"/>
      <c r="C150" s="42" t="str">
        <f aca="false">IF($B150="","",TEXT($B150,"yyyy-mm"))</f>
        <v/>
      </c>
      <c r="D150" s="32"/>
      <c r="E150" s="36"/>
      <c r="F150" s="43"/>
      <c r="G150" s="40"/>
      <c r="H150" s="51"/>
      <c r="I150" s="33"/>
      <c r="J150" s="33"/>
      <c r="K150" s="36"/>
      <c r="L150" s="47" t="str">
        <f aca="false">IF($B150="","",IF(NOT(ISNUMBER($B150)),"日期不是日期格式",IF(YEAR($B150)&lt;&gt;首页!$B$3,"不在会计年度",IF($D150="","未选客户",IF(ISNA(MATCH($D150,基础资料!$Z$6:$Z$155,0)),"客户不在档案",IF($E150="","未选商品",IF(ISNA(MATCH($E150,基础资料!$Q$6:$Q$205,0)),"商品不在档案",IF(NOT(ISNUMBER($F150)),"数量须为数字",IF(NOT(ISNUMBER($G150)),"单价须为数字",IF(N($F150)&lt;=0,"数量须大于0",IF(AND(IFERROR(INDEX(基础资料!$V$6:$V$205,MATCH($E150,基础资料!$Q$6:$Q$205,0)),"")="是",N($R150)=0),"无成本价·请先录采购或填参考成本",IF(N($T150)&lt;0,"毛利为负·请核对","√"))))))))))))</f>
        <v/>
      </c>
      <c r="M150" s="49" t="str">
        <f aca="false">IF($E150="","",IFERROR(INDEX(基础资料!$R$6:$R$205,MATCH($E150,基础资料!$Q$6:$Q$205,0)),""))</f>
        <v/>
      </c>
      <c r="N150" s="49" t="str">
        <f aca="false">IF($E150="","",IFERROR(INDEX(基础资料!$S$6:$S$205,MATCH($E150,基础资料!$Q$6:$Q$205,0)),""))</f>
        <v/>
      </c>
      <c r="O150" s="48" t="str">
        <f aca="false">IF(OR($F150="",$G150=""),"",ROUND(N($F150)*N($G150),2))</f>
        <v/>
      </c>
      <c r="P150" s="48" t="str">
        <f aca="false">IF($O150="","",ROUND(N($O150)*N($H150),2))</f>
        <v/>
      </c>
      <c r="Q150" s="48" t="str">
        <f aca="false">IF($O150="","",N($O150)+N($P150))</f>
        <v/>
      </c>
      <c r="R150" s="48" t="str">
        <f aca="false">IF(OR($E150="",$B150=""),"",IF(IFERROR(INDEX(基础资料!$V$6:$V$205,MATCH($E150,基础资料!$Q$6:$Q$205,0)),"")&lt;&gt;"是",0,IFERROR((SUMIFS(期初数据!$T$6:$T$205,期初数据!$O$6:$O$205,$E150)+SUMIFS(采购录入!$Q$5:$Q$404,采购录入!$E$5:$E$404,$E150,采购录入!$I$5:$I$404,"是",采购录入!$B$5:$B$404,"&lt;="&amp;$B150))/(SUMIFS(期初数据!$R$6:$R$205,期初数据!$O$6:$O$205,$E150)+SUMIFS(采购录入!$F$5:$F$404,采购录入!$E$5:$E$404,$E150,采购录入!$I$5:$I$404,"是",采购录入!$B$5:$B$404,"&lt;="&amp;$B150)),IFERROR(INDEX(基础资料!$U$6:$U$205,MATCH($E150,基础资料!$Q$6:$Q$205,0)),0))))</f>
        <v/>
      </c>
      <c r="S150" s="48" t="str">
        <f aca="false">IF($O150="","",ROUND(N($F150)*N($R150),2))</f>
        <v/>
      </c>
      <c r="T150" s="48" t="str">
        <f aca="false">IF($O150="","",N($O150)-N($S150))</f>
        <v/>
      </c>
      <c r="U150" s="52" t="str">
        <f aca="false">IF(OR($B150="",$D150=""),"",$B150+N(IFERROR(INDEX(基础资料!$AB$6:$AB$155,MATCH($D150,基础资料!$Z$6:$Z$155,0)),0)))</f>
        <v/>
      </c>
      <c r="V150" s="49" t="str">
        <f aca="false">IF($O150="","","1122")</f>
        <v/>
      </c>
      <c r="W150" s="49" t="str">
        <f aca="false">IF($O150="","","6001")</f>
        <v/>
      </c>
      <c r="X150" s="48" t="str">
        <f aca="false">IF($O150="","",$O150)</f>
        <v/>
      </c>
      <c r="Y150" s="49" t="str">
        <f aca="false">IF(N($P150)=0,"","1122")</f>
        <v/>
      </c>
      <c r="Z150" s="49" t="str">
        <f aca="false">IF(N($P150)=0,"","2221")</f>
        <v/>
      </c>
      <c r="AA150" s="48" t="str">
        <f aca="false">IF(N($P150)=0,"",$P150)</f>
        <v/>
      </c>
      <c r="AB150" s="49" t="str">
        <f aca="false">IF(N($S150)=0,"","6401")</f>
        <v/>
      </c>
      <c r="AC150" s="49" t="str">
        <f aca="false">IF(N($S150)=0,"","1405")</f>
        <v/>
      </c>
      <c r="AD150" s="48" t="str">
        <f aca="false">IF(N($S150)=0,"",$S150)</f>
        <v/>
      </c>
      <c r="AE150" s="49" t="str">
        <f aca="false">IF(AND($D150=客户对账单!$B$3,$B150&gt;=客户对账单!$E$3,$B150&lt;=客户对账单!$H$3),COUNTIFS($D$5:$D150,客户对账单!$B$3,$B$5:$B150,"&gt;="&amp;客户对账单!$E$3,$B$5:$B150,"&lt;="&amp;客户对账单!$H$3),"")</f>
        <v/>
      </c>
    </row>
    <row r="151" customFormat="false" ht="15.75" hidden="false" customHeight="true" outlineLevel="0" collapsed="false">
      <c r="A151" s="42" t="str">
        <f aca="false">IF($B151="","","XS"&amp;TEXT($B151,"yyyymm")&amp;"-"&amp;TEXT(ROW()-4,"000"))</f>
        <v/>
      </c>
      <c r="B151" s="41"/>
      <c r="C151" s="42" t="str">
        <f aca="false">IF($B151="","",TEXT($B151,"yyyy-mm"))</f>
        <v/>
      </c>
      <c r="D151" s="32"/>
      <c r="E151" s="36"/>
      <c r="F151" s="43"/>
      <c r="G151" s="40"/>
      <c r="H151" s="51"/>
      <c r="I151" s="33"/>
      <c r="J151" s="33"/>
      <c r="K151" s="36"/>
      <c r="L151" s="47" t="str">
        <f aca="false">IF($B151="","",IF(NOT(ISNUMBER($B151)),"日期不是日期格式",IF(YEAR($B151)&lt;&gt;首页!$B$3,"不在会计年度",IF($D151="","未选客户",IF(ISNA(MATCH($D151,基础资料!$Z$6:$Z$155,0)),"客户不在档案",IF($E151="","未选商品",IF(ISNA(MATCH($E151,基础资料!$Q$6:$Q$205,0)),"商品不在档案",IF(NOT(ISNUMBER($F151)),"数量须为数字",IF(NOT(ISNUMBER($G151)),"单价须为数字",IF(N($F151)&lt;=0,"数量须大于0",IF(AND(IFERROR(INDEX(基础资料!$V$6:$V$205,MATCH($E151,基础资料!$Q$6:$Q$205,0)),"")="是",N($R151)=0),"无成本价·请先录采购或填参考成本",IF(N($T151)&lt;0,"毛利为负·请核对","√"))))))))))))</f>
        <v/>
      </c>
      <c r="M151" s="49" t="str">
        <f aca="false">IF($E151="","",IFERROR(INDEX(基础资料!$R$6:$R$205,MATCH($E151,基础资料!$Q$6:$Q$205,0)),""))</f>
        <v/>
      </c>
      <c r="N151" s="49" t="str">
        <f aca="false">IF($E151="","",IFERROR(INDEX(基础资料!$S$6:$S$205,MATCH($E151,基础资料!$Q$6:$Q$205,0)),""))</f>
        <v/>
      </c>
      <c r="O151" s="48" t="str">
        <f aca="false">IF(OR($F151="",$G151=""),"",ROUND(N($F151)*N($G151),2))</f>
        <v/>
      </c>
      <c r="P151" s="48" t="str">
        <f aca="false">IF($O151="","",ROUND(N($O151)*N($H151),2))</f>
        <v/>
      </c>
      <c r="Q151" s="48" t="str">
        <f aca="false">IF($O151="","",N($O151)+N($P151))</f>
        <v/>
      </c>
      <c r="R151" s="48" t="str">
        <f aca="false">IF(OR($E151="",$B151=""),"",IF(IFERROR(INDEX(基础资料!$V$6:$V$205,MATCH($E151,基础资料!$Q$6:$Q$205,0)),"")&lt;&gt;"是",0,IFERROR((SUMIFS(期初数据!$T$6:$T$205,期初数据!$O$6:$O$205,$E151)+SUMIFS(采购录入!$Q$5:$Q$404,采购录入!$E$5:$E$404,$E151,采购录入!$I$5:$I$404,"是",采购录入!$B$5:$B$404,"&lt;="&amp;$B151))/(SUMIFS(期初数据!$R$6:$R$205,期初数据!$O$6:$O$205,$E151)+SUMIFS(采购录入!$F$5:$F$404,采购录入!$E$5:$E$404,$E151,采购录入!$I$5:$I$404,"是",采购录入!$B$5:$B$404,"&lt;="&amp;$B151)),IFERROR(INDEX(基础资料!$U$6:$U$205,MATCH($E151,基础资料!$Q$6:$Q$205,0)),0))))</f>
        <v/>
      </c>
      <c r="S151" s="48" t="str">
        <f aca="false">IF($O151="","",ROUND(N($F151)*N($R151),2))</f>
        <v/>
      </c>
      <c r="T151" s="48" t="str">
        <f aca="false">IF($O151="","",N($O151)-N($S151))</f>
        <v/>
      </c>
      <c r="U151" s="52" t="str">
        <f aca="false">IF(OR($B151="",$D151=""),"",$B151+N(IFERROR(INDEX(基础资料!$AB$6:$AB$155,MATCH($D151,基础资料!$Z$6:$Z$155,0)),0)))</f>
        <v/>
      </c>
      <c r="V151" s="49" t="str">
        <f aca="false">IF($O151="","","1122")</f>
        <v/>
      </c>
      <c r="W151" s="49" t="str">
        <f aca="false">IF($O151="","","6001")</f>
        <v/>
      </c>
      <c r="X151" s="48" t="str">
        <f aca="false">IF($O151="","",$O151)</f>
        <v/>
      </c>
      <c r="Y151" s="49" t="str">
        <f aca="false">IF(N($P151)=0,"","1122")</f>
        <v/>
      </c>
      <c r="Z151" s="49" t="str">
        <f aca="false">IF(N($P151)=0,"","2221")</f>
        <v/>
      </c>
      <c r="AA151" s="48" t="str">
        <f aca="false">IF(N($P151)=0,"",$P151)</f>
        <v/>
      </c>
      <c r="AB151" s="49" t="str">
        <f aca="false">IF(N($S151)=0,"","6401")</f>
        <v/>
      </c>
      <c r="AC151" s="49" t="str">
        <f aca="false">IF(N($S151)=0,"","1405")</f>
        <v/>
      </c>
      <c r="AD151" s="48" t="str">
        <f aca="false">IF(N($S151)=0,"",$S151)</f>
        <v/>
      </c>
      <c r="AE151" s="49" t="str">
        <f aca="false">IF(AND($D151=客户对账单!$B$3,$B151&gt;=客户对账单!$E$3,$B151&lt;=客户对账单!$H$3),COUNTIFS($D$5:$D151,客户对账单!$B$3,$B$5:$B151,"&gt;="&amp;客户对账单!$E$3,$B$5:$B151,"&lt;="&amp;客户对账单!$H$3),"")</f>
        <v/>
      </c>
    </row>
    <row r="152" customFormat="false" ht="15.75" hidden="false" customHeight="true" outlineLevel="0" collapsed="false">
      <c r="A152" s="42" t="str">
        <f aca="false">IF($B152="","","XS"&amp;TEXT($B152,"yyyymm")&amp;"-"&amp;TEXT(ROW()-4,"000"))</f>
        <v/>
      </c>
      <c r="B152" s="41"/>
      <c r="C152" s="42" t="str">
        <f aca="false">IF($B152="","",TEXT($B152,"yyyy-mm"))</f>
        <v/>
      </c>
      <c r="D152" s="32"/>
      <c r="E152" s="36"/>
      <c r="F152" s="43"/>
      <c r="G152" s="40"/>
      <c r="H152" s="51"/>
      <c r="I152" s="33"/>
      <c r="J152" s="33"/>
      <c r="K152" s="36"/>
      <c r="L152" s="47" t="str">
        <f aca="false">IF($B152="","",IF(NOT(ISNUMBER($B152)),"日期不是日期格式",IF(YEAR($B152)&lt;&gt;首页!$B$3,"不在会计年度",IF($D152="","未选客户",IF(ISNA(MATCH($D152,基础资料!$Z$6:$Z$155,0)),"客户不在档案",IF($E152="","未选商品",IF(ISNA(MATCH($E152,基础资料!$Q$6:$Q$205,0)),"商品不在档案",IF(NOT(ISNUMBER($F152)),"数量须为数字",IF(NOT(ISNUMBER($G152)),"单价须为数字",IF(N($F152)&lt;=0,"数量须大于0",IF(AND(IFERROR(INDEX(基础资料!$V$6:$V$205,MATCH($E152,基础资料!$Q$6:$Q$205,0)),"")="是",N($R152)=0),"无成本价·请先录采购或填参考成本",IF(N($T152)&lt;0,"毛利为负·请核对","√"))))))))))))</f>
        <v/>
      </c>
      <c r="M152" s="49" t="str">
        <f aca="false">IF($E152="","",IFERROR(INDEX(基础资料!$R$6:$R$205,MATCH($E152,基础资料!$Q$6:$Q$205,0)),""))</f>
        <v/>
      </c>
      <c r="N152" s="49" t="str">
        <f aca="false">IF($E152="","",IFERROR(INDEX(基础资料!$S$6:$S$205,MATCH($E152,基础资料!$Q$6:$Q$205,0)),""))</f>
        <v/>
      </c>
      <c r="O152" s="48" t="str">
        <f aca="false">IF(OR($F152="",$G152=""),"",ROUND(N($F152)*N($G152),2))</f>
        <v/>
      </c>
      <c r="P152" s="48" t="str">
        <f aca="false">IF($O152="","",ROUND(N($O152)*N($H152),2))</f>
        <v/>
      </c>
      <c r="Q152" s="48" t="str">
        <f aca="false">IF($O152="","",N($O152)+N($P152))</f>
        <v/>
      </c>
      <c r="R152" s="48" t="str">
        <f aca="false">IF(OR($E152="",$B152=""),"",IF(IFERROR(INDEX(基础资料!$V$6:$V$205,MATCH($E152,基础资料!$Q$6:$Q$205,0)),"")&lt;&gt;"是",0,IFERROR((SUMIFS(期初数据!$T$6:$T$205,期初数据!$O$6:$O$205,$E152)+SUMIFS(采购录入!$Q$5:$Q$404,采购录入!$E$5:$E$404,$E152,采购录入!$I$5:$I$404,"是",采购录入!$B$5:$B$404,"&lt;="&amp;$B152))/(SUMIFS(期初数据!$R$6:$R$205,期初数据!$O$6:$O$205,$E152)+SUMIFS(采购录入!$F$5:$F$404,采购录入!$E$5:$E$404,$E152,采购录入!$I$5:$I$404,"是",采购录入!$B$5:$B$404,"&lt;="&amp;$B152)),IFERROR(INDEX(基础资料!$U$6:$U$205,MATCH($E152,基础资料!$Q$6:$Q$205,0)),0))))</f>
        <v/>
      </c>
      <c r="S152" s="48" t="str">
        <f aca="false">IF($O152="","",ROUND(N($F152)*N($R152),2))</f>
        <v/>
      </c>
      <c r="T152" s="48" t="str">
        <f aca="false">IF($O152="","",N($O152)-N($S152))</f>
        <v/>
      </c>
      <c r="U152" s="52" t="str">
        <f aca="false">IF(OR($B152="",$D152=""),"",$B152+N(IFERROR(INDEX(基础资料!$AB$6:$AB$155,MATCH($D152,基础资料!$Z$6:$Z$155,0)),0)))</f>
        <v/>
      </c>
      <c r="V152" s="49" t="str">
        <f aca="false">IF($O152="","","1122")</f>
        <v/>
      </c>
      <c r="W152" s="49" t="str">
        <f aca="false">IF($O152="","","6001")</f>
        <v/>
      </c>
      <c r="X152" s="48" t="str">
        <f aca="false">IF($O152="","",$O152)</f>
        <v/>
      </c>
      <c r="Y152" s="49" t="str">
        <f aca="false">IF(N($P152)=0,"","1122")</f>
        <v/>
      </c>
      <c r="Z152" s="49" t="str">
        <f aca="false">IF(N($P152)=0,"","2221")</f>
        <v/>
      </c>
      <c r="AA152" s="48" t="str">
        <f aca="false">IF(N($P152)=0,"",$P152)</f>
        <v/>
      </c>
      <c r="AB152" s="49" t="str">
        <f aca="false">IF(N($S152)=0,"","6401")</f>
        <v/>
      </c>
      <c r="AC152" s="49" t="str">
        <f aca="false">IF(N($S152)=0,"","1405")</f>
        <v/>
      </c>
      <c r="AD152" s="48" t="str">
        <f aca="false">IF(N($S152)=0,"",$S152)</f>
        <v/>
      </c>
      <c r="AE152" s="49" t="str">
        <f aca="false">IF(AND($D152=客户对账单!$B$3,$B152&gt;=客户对账单!$E$3,$B152&lt;=客户对账单!$H$3),COUNTIFS($D$5:$D152,客户对账单!$B$3,$B$5:$B152,"&gt;="&amp;客户对账单!$E$3,$B$5:$B152,"&lt;="&amp;客户对账单!$H$3),"")</f>
        <v/>
      </c>
    </row>
    <row r="153" customFormat="false" ht="15.75" hidden="false" customHeight="true" outlineLevel="0" collapsed="false">
      <c r="A153" s="42" t="str">
        <f aca="false">IF($B153="","","XS"&amp;TEXT($B153,"yyyymm")&amp;"-"&amp;TEXT(ROW()-4,"000"))</f>
        <v/>
      </c>
      <c r="B153" s="41"/>
      <c r="C153" s="42" t="str">
        <f aca="false">IF($B153="","",TEXT($B153,"yyyy-mm"))</f>
        <v/>
      </c>
      <c r="D153" s="32"/>
      <c r="E153" s="36"/>
      <c r="F153" s="43"/>
      <c r="G153" s="40"/>
      <c r="H153" s="51"/>
      <c r="I153" s="33"/>
      <c r="J153" s="33"/>
      <c r="K153" s="36"/>
      <c r="L153" s="47" t="str">
        <f aca="false">IF($B153="","",IF(NOT(ISNUMBER($B153)),"日期不是日期格式",IF(YEAR($B153)&lt;&gt;首页!$B$3,"不在会计年度",IF($D153="","未选客户",IF(ISNA(MATCH($D153,基础资料!$Z$6:$Z$155,0)),"客户不在档案",IF($E153="","未选商品",IF(ISNA(MATCH($E153,基础资料!$Q$6:$Q$205,0)),"商品不在档案",IF(NOT(ISNUMBER($F153)),"数量须为数字",IF(NOT(ISNUMBER($G153)),"单价须为数字",IF(N($F153)&lt;=0,"数量须大于0",IF(AND(IFERROR(INDEX(基础资料!$V$6:$V$205,MATCH($E153,基础资料!$Q$6:$Q$205,0)),"")="是",N($R153)=0),"无成本价·请先录采购或填参考成本",IF(N($T153)&lt;0,"毛利为负·请核对","√"))))))))))))</f>
        <v/>
      </c>
      <c r="M153" s="49" t="str">
        <f aca="false">IF($E153="","",IFERROR(INDEX(基础资料!$R$6:$R$205,MATCH($E153,基础资料!$Q$6:$Q$205,0)),""))</f>
        <v/>
      </c>
      <c r="N153" s="49" t="str">
        <f aca="false">IF($E153="","",IFERROR(INDEX(基础资料!$S$6:$S$205,MATCH($E153,基础资料!$Q$6:$Q$205,0)),""))</f>
        <v/>
      </c>
      <c r="O153" s="48" t="str">
        <f aca="false">IF(OR($F153="",$G153=""),"",ROUND(N($F153)*N($G153),2))</f>
        <v/>
      </c>
      <c r="P153" s="48" t="str">
        <f aca="false">IF($O153="","",ROUND(N($O153)*N($H153),2))</f>
        <v/>
      </c>
      <c r="Q153" s="48" t="str">
        <f aca="false">IF($O153="","",N($O153)+N($P153))</f>
        <v/>
      </c>
      <c r="R153" s="48" t="str">
        <f aca="false">IF(OR($E153="",$B153=""),"",IF(IFERROR(INDEX(基础资料!$V$6:$V$205,MATCH($E153,基础资料!$Q$6:$Q$205,0)),"")&lt;&gt;"是",0,IFERROR((SUMIFS(期初数据!$T$6:$T$205,期初数据!$O$6:$O$205,$E153)+SUMIFS(采购录入!$Q$5:$Q$404,采购录入!$E$5:$E$404,$E153,采购录入!$I$5:$I$404,"是",采购录入!$B$5:$B$404,"&lt;="&amp;$B153))/(SUMIFS(期初数据!$R$6:$R$205,期初数据!$O$6:$O$205,$E153)+SUMIFS(采购录入!$F$5:$F$404,采购录入!$E$5:$E$404,$E153,采购录入!$I$5:$I$404,"是",采购录入!$B$5:$B$404,"&lt;="&amp;$B153)),IFERROR(INDEX(基础资料!$U$6:$U$205,MATCH($E153,基础资料!$Q$6:$Q$205,0)),0))))</f>
        <v/>
      </c>
      <c r="S153" s="48" t="str">
        <f aca="false">IF($O153="","",ROUND(N($F153)*N($R153),2))</f>
        <v/>
      </c>
      <c r="T153" s="48" t="str">
        <f aca="false">IF($O153="","",N($O153)-N($S153))</f>
        <v/>
      </c>
      <c r="U153" s="52" t="str">
        <f aca="false">IF(OR($B153="",$D153=""),"",$B153+N(IFERROR(INDEX(基础资料!$AB$6:$AB$155,MATCH($D153,基础资料!$Z$6:$Z$155,0)),0)))</f>
        <v/>
      </c>
      <c r="V153" s="49" t="str">
        <f aca="false">IF($O153="","","1122")</f>
        <v/>
      </c>
      <c r="W153" s="49" t="str">
        <f aca="false">IF($O153="","","6001")</f>
        <v/>
      </c>
      <c r="X153" s="48" t="str">
        <f aca="false">IF($O153="","",$O153)</f>
        <v/>
      </c>
      <c r="Y153" s="49" t="str">
        <f aca="false">IF(N($P153)=0,"","1122")</f>
        <v/>
      </c>
      <c r="Z153" s="49" t="str">
        <f aca="false">IF(N($P153)=0,"","2221")</f>
        <v/>
      </c>
      <c r="AA153" s="48" t="str">
        <f aca="false">IF(N($P153)=0,"",$P153)</f>
        <v/>
      </c>
      <c r="AB153" s="49" t="str">
        <f aca="false">IF(N($S153)=0,"","6401")</f>
        <v/>
      </c>
      <c r="AC153" s="49" t="str">
        <f aca="false">IF(N($S153)=0,"","1405")</f>
        <v/>
      </c>
      <c r="AD153" s="48" t="str">
        <f aca="false">IF(N($S153)=0,"",$S153)</f>
        <v/>
      </c>
      <c r="AE153" s="49" t="str">
        <f aca="false">IF(AND($D153=客户对账单!$B$3,$B153&gt;=客户对账单!$E$3,$B153&lt;=客户对账单!$H$3),COUNTIFS($D$5:$D153,客户对账单!$B$3,$B$5:$B153,"&gt;="&amp;客户对账单!$E$3,$B$5:$B153,"&lt;="&amp;客户对账单!$H$3),"")</f>
        <v/>
      </c>
    </row>
    <row r="154" customFormat="false" ht="15.75" hidden="false" customHeight="true" outlineLevel="0" collapsed="false">
      <c r="A154" s="42" t="str">
        <f aca="false">IF($B154="","","XS"&amp;TEXT($B154,"yyyymm")&amp;"-"&amp;TEXT(ROW()-4,"000"))</f>
        <v/>
      </c>
      <c r="B154" s="41"/>
      <c r="C154" s="42" t="str">
        <f aca="false">IF($B154="","",TEXT($B154,"yyyy-mm"))</f>
        <v/>
      </c>
      <c r="D154" s="32"/>
      <c r="E154" s="36"/>
      <c r="F154" s="43"/>
      <c r="G154" s="40"/>
      <c r="H154" s="51"/>
      <c r="I154" s="33"/>
      <c r="J154" s="33"/>
      <c r="K154" s="36"/>
      <c r="L154" s="47" t="str">
        <f aca="false">IF($B154="","",IF(NOT(ISNUMBER($B154)),"日期不是日期格式",IF(YEAR($B154)&lt;&gt;首页!$B$3,"不在会计年度",IF($D154="","未选客户",IF(ISNA(MATCH($D154,基础资料!$Z$6:$Z$155,0)),"客户不在档案",IF($E154="","未选商品",IF(ISNA(MATCH($E154,基础资料!$Q$6:$Q$205,0)),"商品不在档案",IF(NOT(ISNUMBER($F154)),"数量须为数字",IF(NOT(ISNUMBER($G154)),"单价须为数字",IF(N($F154)&lt;=0,"数量须大于0",IF(AND(IFERROR(INDEX(基础资料!$V$6:$V$205,MATCH($E154,基础资料!$Q$6:$Q$205,0)),"")="是",N($R154)=0),"无成本价·请先录采购或填参考成本",IF(N($T154)&lt;0,"毛利为负·请核对","√"))))))))))))</f>
        <v/>
      </c>
      <c r="M154" s="49" t="str">
        <f aca="false">IF($E154="","",IFERROR(INDEX(基础资料!$R$6:$R$205,MATCH($E154,基础资料!$Q$6:$Q$205,0)),""))</f>
        <v/>
      </c>
      <c r="N154" s="49" t="str">
        <f aca="false">IF($E154="","",IFERROR(INDEX(基础资料!$S$6:$S$205,MATCH($E154,基础资料!$Q$6:$Q$205,0)),""))</f>
        <v/>
      </c>
      <c r="O154" s="48" t="str">
        <f aca="false">IF(OR($F154="",$G154=""),"",ROUND(N($F154)*N($G154),2))</f>
        <v/>
      </c>
      <c r="P154" s="48" t="str">
        <f aca="false">IF($O154="","",ROUND(N($O154)*N($H154),2))</f>
        <v/>
      </c>
      <c r="Q154" s="48" t="str">
        <f aca="false">IF($O154="","",N($O154)+N($P154))</f>
        <v/>
      </c>
      <c r="R154" s="48" t="str">
        <f aca="false">IF(OR($E154="",$B154=""),"",IF(IFERROR(INDEX(基础资料!$V$6:$V$205,MATCH($E154,基础资料!$Q$6:$Q$205,0)),"")&lt;&gt;"是",0,IFERROR((SUMIFS(期初数据!$T$6:$T$205,期初数据!$O$6:$O$205,$E154)+SUMIFS(采购录入!$Q$5:$Q$404,采购录入!$E$5:$E$404,$E154,采购录入!$I$5:$I$404,"是",采购录入!$B$5:$B$404,"&lt;="&amp;$B154))/(SUMIFS(期初数据!$R$6:$R$205,期初数据!$O$6:$O$205,$E154)+SUMIFS(采购录入!$F$5:$F$404,采购录入!$E$5:$E$404,$E154,采购录入!$I$5:$I$404,"是",采购录入!$B$5:$B$404,"&lt;="&amp;$B154)),IFERROR(INDEX(基础资料!$U$6:$U$205,MATCH($E154,基础资料!$Q$6:$Q$205,0)),0))))</f>
        <v/>
      </c>
      <c r="S154" s="48" t="str">
        <f aca="false">IF($O154="","",ROUND(N($F154)*N($R154),2))</f>
        <v/>
      </c>
      <c r="T154" s="48" t="str">
        <f aca="false">IF($O154="","",N($O154)-N($S154))</f>
        <v/>
      </c>
      <c r="U154" s="52" t="str">
        <f aca="false">IF(OR($B154="",$D154=""),"",$B154+N(IFERROR(INDEX(基础资料!$AB$6:$AB$155,MATCH($D154,基础资料!$Z$6:$Z$155,0)),0)))</f>
        <v/>
      </c>
      <c r="V154" s="49" t="str">
        <f aca="false">IF($O154="","","1122")</f>
        <v/>
      </c>
      <c r="W154" s="49" t="str">
        <f aca="false">IF($O154="","","6001")</f>
        <v/>
      </c>
      <c r="X154" s="48" t="str">
        <f aca="false">IF($O154="","",$O154)</f>
        <v/>
      </c>
      <c r="Y154" s="49" t="str">
        <f aca="false">IF(N($P154)=0,"","1122")</f>
        <v/>
      </c>
      <c r="Z154" s="49" t="str">
        <f aca="false">IF(N($P154)=0,"","2221")</f>
        <v/>
      </c>
      <c r="AA154" s="48" t="str">
        <f aca="false">IF(N($P154)=0,"",$P154)</f>
        <v/>
      </c>
      <c r="AB154" s="49" t="str">
        <f aca="false">IF(N($S154)=0,"","6401")</f>
        <v/>
      </c>
      <c r="AC154" s="49" t="str">
        <f aca="false">IF(N($S154)=0,"","1405")</f>
        <v/>
      </c>
      <c r="AD154" s="48" t="str">
        <f aca="false">IF(N($S154)=0,"",$S154)</f>
        <v/>
      </c>
      <c r="AE154" s="49" t="str">
        <f aca="false">IF(AND($D154=客户对账单!$B$3,$B154&gt;=客户对账单!$E$3,$B154&lt;=客户对账单!$H$3),COUNTIFS($D$5:$D154,客户对账单!$B$3,$B$5:$B154,"&gt;="&amp;客户对账单!$E$3,$B$5:$B154,"&lt;="&amp;客户对账单!$H$3),"")</f>
        <v/>
      </c>
    </row>
    <row r="155" customFormat="false" ht="15.75" hidden="false" customHeight="true" outlineLevel="0" collapsed="false">
      <c r="A155" s="42" t="str">
        <f aca="false">IF($B155="","","XS"&amp;TEXT($B155,"yyyymm")&amp;"-"&amp;TEXT(ROW()-4,"000"))</f>
        <v/>
      </c>
      <c r="B155" s="41"/>
      <c r="C155" s="42" t="str">
        <f aca="false">IF($B155="","",TEXT($B155,"yyyy-mm"))</f>
        <v/>
      </c>
      <c r="D155" s="32"/>
      <c r="E155" s="36"/>
      <c r="F155" s="43"/>
      <c r="G155" s="40"/>
      <c r="H155" s="51"/>
      <c r="I155" s="33"/>
      <c r="J155" s="33"/>
      <c r="K155" s="36"/>
      <c r="L155" s="47" t="str">
        <f aca="false">IF($B155="","",IF(NOT(ISNUMBER($B155)),"日期不是日期格式",IF(YEAR($B155)&lt;&gt;首页!$B$3,"不在会计年度",IF($D155="","未选客户",IF(ISNA(MATCH($D155,基础资料!$Z$6:$Z$155,0)),"客户不在档案",IF($E155="","未选商品",IF(ISNA(MATCH($E155,基础资料!$Q$6:$Q$205,0)),"商品不在档案",IF(NOT(ISNUMBER($F155)),"数量须为数字",IF(NOT(ISNUMBER($G155)),"单价须为数字",IF(N($F155)&lt;=0,"数量须大于0",IF(AND(IFERROR(INDEX(基础资料!$V$6:$V$205,MATCH($E155,基础资料!$Q$6:$Q$205,0)),"")="是",N($R155)=0),"无成本价·请先录采购或填参考成本",IF(N($T155)&lt;0,"毛利为负·请核对","√"))))))))))))</f>
        <v/>
      </c>
      <c r="M155" s="49" t="str">
        <f aca="false">IF($E155="","",IFERROR(INDEX(基础资料!$R$6:$R$205,MATCH($E155,基础资料!$Q$6:$Q$205,0)),""))</f>
        <v/>
      </c>
      <c r="N155" s="49" t="str">
        <f aca="false">IF($E155="","",IFERROR(INDEX(基础资料!$S$6:$S$205,MATCH($E155,基础资料!$Q$6:$Q$205,0)),""))</f>
        <v/>
      </c>
      <c r="O155" s="48" t="str">
        <f aca="false">IF(OR($F155="",$G155=""),"",ROUND(N($F155)*N($G155),2))</f>
        <v/>
      </c>
      <c r="P155" s="48" t="str">
        <f aca="false">IF($O155="","",ROUND(N($O155)*N($H155),2))</f>
        <v/>
      </c>
      <c r="Q155" s="48" t="str">
        <f aca="false">IF($O155="","",N($O155)+N($P155))</f>
        <v/>
      </c>
      <c r="R155" s="48" t="str">
        <f aca="false">IF(OR($E155="",$B155=""),"",IF(IFERROR(INDEX(基础资料!$V$6:$V$205,MATCH($E155,基础资料!$Q$6:$Q$205,0)),"")&lt;&gt;"是",0,IFERROR((SUMIFS(期初数据!$T$6:$T$205,期初数据!$O$6:$O$205,$E155)+SUMIFS(采购录入!$Q$5:$Q$404,采购录入!$E$5:$E$404,$E155,采购录入!$I$5:$I$404,"是",采购录入!$B$5:$B$404,"&lt;="&amp;$B155))/(SUMIFS(期初数据!$R$6:$R$205,期初数据!$O$6:$O$205,$E155)+SUMIFS(采购录入!$F$5:$F$404,采购录入!$E$5:$E$404,$E155,采购录入!$I$5:$I$404,"是",采购录入!$B$5:$B$404,"&lt;="&amp;$B155)),IFERROR(INDEX(基础资料!$U$6:$U$205,MATCH($E155,基础资料!$Q$6:$Q$205,0)),0))))</f>
        <v/>
      </c>
      <c r="S155" s="48" t="str">
        <f aca="false">IF($O155="","",ROUND(N($F155)*N($R155),2))</f>
        <v/>
      </c>
      <c r="T155" s="48" t="str">
        <f aca="false">IF($O155="","",N($O155)-N($S155))</f>
        <v/>
      </c>
      <c r="U155" s="52" t="str">
        <f aca="false">IF(OR($B155="",$D155=""),"",$B155+N(IFERROR(INDEX(基础资料!$AB$6:$AB$155,MATCH($D155,基础资料!$Z$6:$Z$155,0)),0)))</f>
        <v/>
      </c>
      <c r="V155" s="49" t="str">
        <f aca="false">IF($O155="","","1122")</f>
        <v/>
      </c>
      <c r="W155" s="49" t="str">
        <f aca="false">IF($O155="","","6001")</f>
        <v/>
      </c>
      <c r="X155" s="48" t="str">
        <f aca="false">IF($O155="","",$O155)</f>
        <v/>
      </c>
      <c r="Y155" s="49" t="str">
        <f aca="false">IF(N($P155)=0,"","1122")</f>
        <v/>
      </c>
      <c r="Z155" s="49" t="str">
        <f aca="false">IF(N($P155)=0,"","2221")</f>
        <v/>
      </c>
      <c r="AA155" s="48" t="str">
        <f aca="false">IF(N($P155)=0,"",$P155)</f>
        <v/>
      </c>
      <c r="AB155" s="49" t="str">
        <f aca="false">IF(N($S155)=0,"","6401")</f>
        <v/>
      </c>
      <c r="AC155" s="49" t="str">
        <f aca="false">IF(N($S155)=0,"","1405")</f>
        <v/>
      </c>
      <c r="AD155" s="48" t="str">
        <f aca="false">IF(N($S155)=0,"",$S155)</f>
        <v/>
      </c>
      <c r="AE155" s="49" t="str">
        <f aca="false">IF(AND($D155=客户对账单!$B$3,$B155&gt;=客户对账单!$E$3,$B155&lt;=客户对账单!$H$3),COUNTIFS($D$5:$D155,客户对账单!$B$3,$B$5:$B155,"&gt;="&amp;客户对账单!$E$3,$B$5:$B155,"&lt;="&amp;客户对账单!$H$3),"")</f>
        <v/>
      </c>
    </row>
    <row r="156" customFormat="false" ht="15.75" hidden="false" customHeight="true" outlineLevel="0" collapsed="false">
      <c r="A156" s="42" t="str">
        <f aca="false">IF($B156="","","XS"&amp;TEXT($B156,"yyyymm")&amp;"-"&amp;TEXT(ROW()-4,"000"))</f>
        <v/>
      </c>
      <c r="B156" s="41"/>
      <c r="C156" s="42" t="str">
        <f aca="false">IF($B156="","",TEXT($B156,"yyyy-mm"))</f>
        <v/>
      </c>
      <c r="D156" s="32"/>
      <c r="E156" s="36"/>
      <c r="F156" s="43"/>
      <c r="G156" s="40"/>
      <c r="H156" s="51"/>
      <c r="I156" s="33"/>
      <c r="J156" s="33"/>
      <c r="K156" s="36"/>
      <c r="L156" s="47" t="str">
        <f aca="false">IF($B156="","",IF(NOT(ISNUMBER($B156)),"日期不是日期格式",IF(YEAR($B156)&lt;&gt;首页!$B$3,"不在会计年度",IF($D156="","未选客户",IF(ISNA(MATCH($D156,基础资料!$Z$6:$Z$155,0)),"客户不在档案",IF($E156="","未选商品",IF(ISNA(MATCH($E156,基础资料!$Q$6:$Q$205,0)),"商品不在档案",IF(NOT(ISNUMBER($F156)),"数量须为数字",IF(NOT(ISNUMBER($G156)),"单价须为数字",IF(N($F156)&lt;=0,"数量须大于0",IF(AND(IFERROR(INDEX(基础资料!$V$6:$V$205,MATCH($E156,基础资料!$Q$6:$Q$205,0)),"")="是",N($R156)=0),"无成本价·请先录采购或填参考成本",IF(N($T156)&lt;0,"毛利为负·请核对","√"))))))))))))</f>
        <v/>
      </c>
      <c r="M156" s="49" t="str">
        <f aca="false">IF($E156="","",IFERROR(INDEX(基础资料!$R$6:$R$205,MATCH($E156,基础资料!$Q$6:$Q$205,0)),""))</f>
        <v/>
      </c>
      <c r="N156" s="49" t="str">
        <f aca="false">IF($E156="","",IFERROR(INDEX(基础资料!$S$6:$S$205,MATCH($E156,基础资料!$Q$6:$Q$205,0)),""))</f>
        <v/>
      </c>
      <c r="O156" s="48" t="str">
        <f aca="false">IF(OR($F156="",$G156=""),"",ROUND(N($F156)*N($G156),2))</f>
        <v/>
      </c>
      <c r="P156" s="48" t="str">
        <f aca="false">IF($O156="","",ROUND(N($O156)*N($H156),2))</f>
        <v/>
      </c>
      <c r="Q156" s="48" t="str">
        <f aca="false">IF($O156="","",N($O156)+N($P156))</f>
        <v/>
      </c>
      <c r="R156" s="48" t="str">
        <f aca="false">IF(OR($E156="",$B156=""),"",IF(IFERROR(INDEX(基础资料!$V$6:$V$205,MATCH($E156,基础资料!$Q$6:$Q$205,0)),"")&lt;&gt;"是",0,IFERROR((SUMIFS(期初数据!$T$6:$T$205,期初数据!$O$6:$O$205,$E156)+SUMIFS(采购录入!$Q$5:$Q$404,采购录入!$E$5:$E$404,$E156,采购录入!$I$5:$I$404,"是",采购录入!$B$5:$B$404,"&lt;="&amp;$B156))/(SUMIFS(期初数据!$R$6:$R$205,期初数据!$O$6:$O$205,$E156)+SUMIFS(采购录入!$F$5:$F$404,采购录入!$E$5:$E$404,$E156,采购录入!$I$5:$I$404,"是",采购录入!$B$5:$B$404,"&lt;="&amp;$B156)),IFERROR(INDEX(基础资料!$U$6:$U$205,MATCH($E156,基础资料!$Q$6:$Q$205,0)),0))))</f>
        <v/>
      </c>
      <c r="S156" s="48" t="str">
        <f aca="false">IF($O156="","",ROUND(N($F156)*N($R156),2))</f>
        <v/>
      </c>
      <c r="T156" s="48" t="str">
        <f aca="false">IF($O156="","",N($O156)-N($S156))</f>
        <v/>
      </c>
      <c r="U156" s="52" t="str">
        <f aca="false">IF(OR($B156="",$D156=""),"",$B156+N(IFERROR(INDEX(基础资料!$AB$6:$AB$155,MATCH($D156,基础资料!$Z$6:$Z$155,0)),0)))</f>
        <v/>
      </c>
      <c r="V156" s="49" t="str">
        <f aca="false">IF($O156="","","1122")</f>
        <v/>
      </c>
      <c r="W156" s="49" t="str">
        <f aca="false">IF($O156="","","6001")</f>
        <v/>
      </c>
      <c r="X156" s="48" t="str">
        <f aca="false">IF($O156="","",$O156)</f>
        <v/>
      </c>
      <c r="Y156" s="49" t="str">
        <f aca="false">IF(N($P156)=0,"","1122")</f>
        <v/>
      </c>
      <c r="Z156" s="49" t="str">
        <f aca="false">IF(N($P156)=0,"","2221")</f>
        <v/>
      </c>
      <c r="AA156" s="48" t="str">
        <f aca="false">IF(N($P156)=0,"",$P156)</f>
        <v/>
      </c>
      <c r="AB156" s="49" t="str">
        <f aca="false">IF(N($S156)=0,"","6401")</f>
        <v/>
      </c>
      <c r="AC156" s="49" t="str">
        <f aca="false">IF(N($S156)=0,"","1405")</f>
        <v/>
      </c>
      <c r="AD156" s="48" t="str">
        <f aca="false">IF(N($S156)=0,"",$S156)</f>
        <v/>
      </c>
      <c r="AE156" s="49" t="str">
        <f aca="false">IF(AND($D156=客户对账单!$B$3,$B156&gt;=客户对账单!$E$3,$B156&lt;=客户对账单!$H$3),COUNTIFS($D$5:$D156,客户对账单!$B$3,$B$5:$B156,"&gt;="&amp;客户对账单!$E$3,$B$5:$B156,"&lt;="&amp;客户对账单!$H$3),"")</f>
        <v/>
      </c>
    </row>
    <row r="157" customFormat="false" ht="15.75" hidden="false" customHeight="true" outlineLevel="0" collapsed="false">
      <c r="A157" s="42" t="str">
        <f aca="false">IF($B157="","","XS"&amp;TEXT($B157,"yyyymm")&amp;"-"&amp;TEXT(ROW()-4,"000"))</f>
        <v/>
      </c>
      <c r="B157" s="41"/>
      <c r="C157" s="42" t="str">
        <f aca="false">IF($B157="","",TEXT($B157,"yyyy-mm"))</f>
        <v/>
      </c>
      <c r="D157" s="32"/>
      <c r="E157" s="36"/>
      <c r="F157" s="43"/>
      <c r="G157" s="40"/>
      <c r="H157" s="51"/>
      <c r="I157" s="33"/>
      <c r="J157" s="33"/>
      <c r="K157" s="36"/>
      <c r="L157" s="47" t="str">
        <f aca="false">IF($B157="","",IF(NOT(ISNUMBER($B157)),"日期不是日期格式",IF(YEAR($B157)&lt;&gt;首页!$B$3,"不在会计年度",IF($D157="","未选客户",IF(ISNA(MATCH($D157,基础资料!$Z$6:$Z$155,0)),"客户不在档案",IF($E157="","未选商品",IF(ISNA(MATCH($E157,基础资料!$Q$6:$Q$205,0)),"商品不在档案",IF(NOT(ISNUMBER($F157)),"数量须为数字",IF(NOT(ISNUMBER($G157)),"单价须为数字",IF(N($F157)&lt;=0,"数量须大于0",IF(AND(IFERROR(INDEX(基础资料!$V$6:$V$205,MATCH($E157,基础资料!$Q$6:$Q$205,0)),"")="是",N($R157)=0),"无成本价·请先录采购或填参考成本",IF(N($T157)&lt;0,"毛利为负·请核对","√"))))))))))))</f>
        <v/>
      </c>
      <c r="M157" s="49" t="str">
        <f aca="false">IF($E157="","",IFERROR(INDEX(基础资料!$R$6:$R$205,MATCH($E157,基础资料!$Q$6:$Q$205,0)),""))</f>
        <v/>
      </c>
      <c r="N157" s="49" t="str">
        <f aca="false">IF($E157="","",IFERROR(INDEX(基础资料!$S$6:$S$205,MATCH($E157,基础资料!$Q$6:$Q$205,0)),""))</f>
        <v/>
      </c>
      <c r="O157" s="48" t="str">
        <f aca="false">IF(OR($F157="",$G157=""),"",ROUND(N($F157)*N($G157),2))</f>
        <v/>
      </c>
      <c r="P157" s="48" t="str">
        <f aca="false">IF($O157="","",ROUND(N($O157)*N($H157),2))</f>
        <v/>
      </c>
      <c r="Q157" s="48" t="str">
        <f aca="false">IF($O157="","",N($O157)+N($P157))</f>
        <v/>
      </c>
      <c r="R157" s="48" t="str">
        <f aca="false">IF(OR($E157="",$B157=""),"",IF(IFERROR(INDEX(基础资料!$V$6:$V$205,MATCH($E157,基础资料!$Q$6:$Q$205,0)),"")&lt;&gt;"是",0,IFERROR((SUMIFS(期初数据!$T$6:$T$205,期初数据!$O$6:$O$205,$E157)+SUMIFS(采购录入!$Q$5:$Q$404,采购录入!$E$5:$E$404,$E157,采购录入!$I$5:$I$404,"是",采购录入!$B$5:$B$404,"&lt;="&amp;$B157))/(SUMIFS(期初数据!$R$6:$R$205,期初数据!$O$6:$O$205,$E157)+SUMIFS(采购录入!$F$5:$F$404,采购录入!$E$5:$E$404,$E157,采购录入!$I$5:$I$404,"是",采购录入!$B$5:$B$404,"&lt;="&amp;$B157)),IFERROR(INDEX(基础资料!$U$6:$U$205,MATCH($E157,基础资料!$Q$6:$Q$205,0)),0))))</f>
        <v/>
      </c>
      <c r="S157" s="48" t="str">
        <f aca="false">IF($O157="","",ROUND(N($F157)*N($R157),2))</f>
        <v/>
      </c>
      <c r="T157" s="48" t="str">
        <f aca="false">IF($O157="","",N($O157)-N($S157))</f>
        <v/>
      </c>
      <c r="U157" s="52" t="str">
        <f aca="false">IF(OR($B157="",$D157=""),"",$B157+N(IFERROR(INDEX(基础资料!$AB$6:$AB$155,MATCH($D157,基础资料!$Z$6:$Z$155,0)),0)))</f>
        <v/>
      </c>
      <c r="V157" s="49" t="str">
        <f aca="false">IF($O157="","","1122")</f>
        <v/>
      </c>
      <c r="W157" s="49" t="str">
        <f aca="false">IF($O157="","","6001")</f>
        <v/>
      </c>
      <c r="X157" s="48" t="str">
        <f aca="false">IF($O157="","",$O157)</f>
        <v/>
      </c>
      <c r="Y157" s="49" t="str">
        <f aca="false">IF(N($P157)=0,"","1122")</f>
        <v/>
      </c>
      <c r="Z157" s="49" t="str">
        <f aca="false">IF(N($P157)=0,"","2221")</f>
        <v/>
      </c>
      <c r="AA157" s="48" t="str">
        <f aca="false">IF(N($P157)=0,"",$P157)</f>
        <v/>
      </c>
      <c r="AB157" s="49" t="str">
        <f aca="false">IF(N($S157)=0,"","6401")</f>
        <v/>
      </c>
      <c r="AC157" s="49" t="str">
        <f aca="false">IF(N($S157)=0,"","1405")</f>
        <v/>
      </c>
      <c r="AD157" s="48" t="str">
        <f aca="false">IF(N($S157)=0,"",$S157)</f>
        <v/>
      </c>
      <c r="AE157" s="49" t="str">
        <f aca="false">IF(AND($D157=客户对账单!$B$3,$B157&gt;=客户对账单!$E$3,$B157&lt;=客户对账单!$H$3),COUNTIFS($D$5:$D157,客户对账单!$B$3,$B$5:$B157,"&gt;="&amp;客户对账单!$E$3,$B$5:$B157,"&lt;="&amp;客户对账单!$H$3),"")</f>
        <v/>
      </c>
    </row>
    <row r="158" customFormat="false" ht="15.75" hidden="false" customHeight="true" outlineLevel="0" collapsed="false">
      <c r="A158" s="42" t="str">
        <f aca="false">IF($B158="","","XS"&amp;TEXT($B158,"yyyymm")&amp;"-"&amp;TEXT(ROW()-4,"000"))</f>
        <v/>
      </c>
      <c r="B158" s="41"/>
      <c r="C158" s="42" t="str">
        <f aca="false">IF($B158="","",TEXT($B158,"yyyy-mm"))</f>
        <v/>
      </c>
      <c r="D158" s="32"/>
      <c r="E158" s="36"/>
      <c r="F158" s="43"/>
      <c r="G158" s="40"/>
      <c r="H158" s="51"/>
      <c r="I158" s="33"/>
      <c r="J158" s="33"/>
      <c r="K158" s="36"/>
      <c r="L158" s="47" t="str">
        <f aca="false">IF($B158="","",IF(NOT(ISNUMBER($B158)),"日期不是日期格式",IF(YEAR($B158)&lt;&gt;首页!$B$3,"不在会计年度",IF($D158="","未选客户",IF(ISNA(MATCH($D158,基础资料!$Z$6:$Z$155,0)),"客户不在档案",IF($E158="","未选商品",IF(ISNA(MATCH($E158,基础资料!$Q$6:$Q$205,0)),"商品不在档案",IF(NOT(ISNUMBER($F158)),"数量须为数字",IF(NOT(ISNUMBER($G158)),"单价须为数字",IF(N($F158)&lt;=0,"数量须大于0",IF(AND(IFERROR(INDEX(基础资料!$V$6:$V$205,MATCH($E158,基础资料!$Q$6:$Q$205,0)),"")="是",N($R158)=0),"无成本价·请先录采购或填参考成本",IF(N($T158)&lt;0,"毛利为负·请核对","√"))))))))))))</f>
        <v/>
      </c>
      <c r="M158" s="49" t="str">
        <f aca="false">IF($E158="","",IFERROR(INDEX(基础资料!$R$6:$R$205,MATCH($E158,基础资料!$Q$6:$Q$205,0)),""))</f>
        <v/>
      </c>
      <c r="N158" s="49" t="str">
        <f aca="false">IF($E158="","",IFERROR(INDEX(基础资料!$S$6:$S$205,MATCH($E158,基础资料!$Q$6:$Q$205,0)),""))</f>
        <v/>
      </c>
      <c r="O158" s="48" t="str">
        <f aca="false">IF(OR($F158="",$G158=""),"",ROUND(N($F158)*N($G158),2))</f>
        <v/>
      </c>
      <c r="P158" s="48" t="str">
        <f aca="false">IF($O158="","",ROUND(N($O158)*N($H158),2))</f>
        <v/>
      </c>
      <c r="Q158" s="48" t="str">
        <f aca="false">IF($O158="","",N($O158)+N($P158))</f>
        <v/>
      </c>
      <c r="R158" s="48" t="str">
        <f aca="false">IF(OR($E158="",$B158=""),"",IF(IFERROR(INDEX(基础资料!$V$6:$V$205,MATCH($E158,基础资料!$Q$6:$Q$205,0)),"")&lt;&gt;"是",0,IFERROR((SUMIFS(期初数据!$T$6:$T$205,期初数据!$O$6:$O$205,$E158)+SUMIFS(采购录入!$Q$5:$Q$404,采购录入!$E$5:$E$404,$E158,采购录入!$I$5:$I$404,"是",采购录入!$B$5:$B$404,"&lt;="&amp;$B158))/(SUMIFS(期初数据!$R$6:$R$205,期初数据!$O$6:$O$205,$E158)+SUMIFS(采购录入!$F$5:$F$404,采购录入!$E$5:$E$404,$E158,采购录入!$I$5:$I$404,"是",采购录入!$B$5:$B$404,"&lt;="&amp;$B158)),IFERROR(INDEX(基础资料!$U$6:$U$205,MATCH($E158,基础资料!$Q$6:$Q$205,0)),0))))</f>
        <v/>
      </c>
      <c r="S158" s="48" t="str">
        <f aca="false">IF($O158="","",ROUND(N($F158)*N($R158),2))</f>
        <v/>
      </c>
      <c r="T158" s="48" t="str">
        <f aca="false">IF($O158="","",N($O158)-N($S158))</f>
        <v/>
      </c>
      <c r="U158" s="52" t="str">
        <f aca="false">IF(OR($B158="",$D158=""),"",$B158+N(IFERROR(INDEX(基础资料!$AB$6:$AB$155,MATCH($D158,基础资料!$Z$6:$Z$155,0)),0)))</f>
        <v/>
      </c>
      <c r="V158" s="49" t="str">
        <f aca="false">IF($O158="","","1122")</f>
        <v/>
      </c>
      <c r="W158" s="49" t="str">
        <f aca="false">IF($O158="","","6001")</f>
        <v/>
      </c>
      <c r="X158" s="48" t="str">
        <f aca="false">IF($O158="","",$O158)</f>
        <v/>
      </c>
      <c r="Y158" s="49" t="str">
        <f aca="false">IF(N($P158)=0,"","1122")</f>
        <v/>
      </c>
      <c r="Z158" s="49" t="str">
        <f aca="false">IF(N($P158)=0,"","2221")</f>
        <v/>
      </c>
      <c r="AA158" s="48" t="str">
        <f aca="false">IF(N($P158)=0,"",$P158)</f>
        <v/>
      </c>
      <c r="AB158" s="49" t="str">
        <f aca="false">IF(N($S158)=0,"","6401")</f>
        <v/>
      </c>
      <c r="AC158" s="49" t="str">
        <f aca="false">IF(N($S158)=0,"","1405")</f>
        <v/>
      </c>
      <c r="AD158" s="48" t="str">
        <f aca="false">IF(N($S158)=0,"",$S158)</f>
        <v/>
      </c>
      <c r="AE158" s="49" t="str">
        <f aca="false">IF(AND($D158=客户对账单!$B$3,$B158&gt;=客户对账单!$E$3,$B158&lt;=客户对账单!$H$3),COUNTIFS($D$5:$D158,客户对账单!$B$3,$B$5:$B158,"&gt;="&amp;客户对账单!$E$3,$B$5:$B158,"&lt;="&amp;客户对账单!$H$3),"")</f>
        <v/>
      </c>
    </row>
    <row r="159" customFormat="false" ht="15.75" hidden="false" customHeight="true" outlineLevel="0" collapsed="false">
      <c r="A159" s="42" t="str">
        <f aca="false">IF($B159="","","XS"&amp;TEXT($B159,"yyyymm")&amp;"-"&amp;TEXT(ROW()-4,"000"))</f>
        <v/>
      </c>
      <c r="B159" s="41"/>
      <c r="C159" s="42" t="str">
        <f aca="false">IF($B159="","",TEXT($B159,"yyyy-mm"))</f>
        <v/>
      </c>
      <c r="D159" s="32"/>
      <c r="E159" s="36"/>
      <c r="F159" s="43"/>
      <c r="G159" s="40"/>
      <c r="H159" s="51"/>
      <c r="I159" s="33"/>
      <c r="J159" s="33"/>
      <c r="K159" s="36"/>
      <c r="L159" s="47" t="str">
        <f aca="false">IF($B159="","",IF(NOT(ISNUMBER($B159)),"日期不是日期格式",IF(YEAR($B159)&lt;&gt;首页!$B$3,"不在会计年度",IF($D159="","未选客户",IF(ISNA(MATCH($D159,基础资料!$Z$6:$Z$155,0)),"客户不在档案",IF($E159="","未选商品",IF(ISNA(MATCH($E159,基础资料!$Q$6:$Q$205,0)),"商品不在档案",IF(NOT(ISNUMBER($F159)),"数量须为数字",IF(NOT(ISNUMBER($G159)),"单价须为数字",IF(N($F159)&lt;=0,"数量须大于0",IF(AND(IFERROR(INDEX(基础资料!$V$6:$V$205,MATCH($E159,基础资料!$Q$6:$Q$205,0)),"")="是",N($R159)=0),"无成本价·请先录采购或填参考成本",IF(N($T159)&lt;0,"毛利为负·请核对","√"))))))))))))</f>
        <v/>
      </c>
      <c r="M159" s="49" t="str">
        <f aca="false">IF($E159="","",IFERROR(INDEX(基础资料!$R$6:$R$205,MATCH($E159,基础资料!$Q$6:$Q$205,0)),""))</f>
        <v/>
      </c>
      <c r="N159" s="49" t="str">
        <f aca="false">IF($E159="","",IFERROR(INDEX(基础资料!$S$6:$S$205,MATCH($E159,基础资料!$Q$6:$Q$205,0)),""))</f>
        <v/>
      </c>
      <c r="O159" s="48" t="str">
        <f aca="false">IF(OR($F159="",$G159=""),"",ROUND(N($F159)*N($G159),2))</f>
        <v/>
      </c>
      <c r="P159" s="48" t="str">
        <f aca="false">IF($O159="","",ROUND(N($O159)*N($H159),2))</f>
        <v/>
      </c>
      <c r="Q159" s="48" t="str">
        <f aca="false">IF($O159="","",N($O159)+N($P159))</f>
        <v/>
      </c>
      <c r="R159" s="48" t="str">
        <f aca="false">IF(OR($E159="",$B159=""),"",IF(IFERROR(INDEX(基础资料!$V$6:$V$205,MATCH($E159,基础资料!$Q$6:$Q$205,0)),"")&lt;&gt;"是",0,IFERROR((SUMIFS(期初数据!$T$6:$T$205,期初数据!$O$6:$O$205,$E159)+SUMIFS(采购录入!$Q$5:$Q$404,采购录入!$E$5:$E$404,$E159,采购录入!$I$5:$I$404,"是",采购录入!$B$5:$B$404,"&lt;="&amp;$B159))/(SUMIFS(期初数据!$R$6:$R$205,期初数据!$O$6:$O$205,$E159)+SUMIFS(采购录入!$F$5:$F$404,采购录入!$E$5:$E$404,$E159,采购录入!$I$5:$I$404,"是",采购录入!$B$5:$B$404,"&lt;="&amp;$B159)),IFERROR(INDEX(基础资料!$U$6:$U$205,MATCH($E159,基础资料!$Q$6:$Q$205,0)),0))))</f>
        <v/>
      </c>
      <c r="S159" s="48" t="str">
        <f aca="false">IF($O159="","",ROUND(N($F159)*N($R159),2))</f>
        <v/>
      </c>
      <c r="T159" s="48" t="str">
        <f aca="false">IF($O159="","",N($O159)-N($S159))</f>
        <v/>
      </c>
      <c r="U159" s="52" t="str">
        <f aca="false">IF(OR($B159="",$D159=""),"",$B159+N(IFERROR(INDEX(基础资料!$AB$6:$AB$155,MATCH($D159,基础资料!$Z$6:$Z$155,0)),0)))</f>
        <v/>
      </c>
      <c r="V159" s="49" t="str">
        <f aca="false">IF($O159="","","1122")</f>
        <v/>
      </c>
      <c r="W159" s="49" t="str">
        <f aca="false">IF($O159="","","6001")</f>
        <v/>
      </c>
      <c r="X159" s="48" t="str">
        <f aca="false">IF($O159="","",$O159)</f>
        <v/>
      </c>
      <c r="Y159" s="49" t="str">
        <f aca="false">IF(N($P159)=0,"","1122")</f>
        <v/>
      </c>
      <c r="Z159" s="49" t="str">
        <f aca="false">IF(N($P159)=0,"","2221")</f>
        <v/>
      </c>
      <c r="AA159" s="48" t="str">
        <f aca="false">IF(N($P159)=0,"",$P159)</f>
        <v/>
      </c>
      <c r="AB159" s="49" t="str">
        <f aca="false">IF(N($S159)=0,"","6401")</f>
        <v/>
      </c>
      <c r="AC159" s="49" t="str">
        <f aca="false">IF(N($S159)=0,"","1405")</f>
        <v/>
      </c>
      <c r="AD159" s="48" t="str">
        <f aca="false">IF(N($S159)=0,"",$S159)</f>
        <v/>
      </c>
      <c r="AE159" s="49" t="str">
        <f aca="false">IF(AND($D159=客户对账单!$B$3,$B159&gt;=客户对账单!$E$3,$B159&lt;=客户对账单!$H$3),COUNTIFS($D$5:$D159,客户对账单!$B$3,$B$5:$B159,"&gt;="&amp;客户对账单!$E$3,$B$5:$B159,"&lt;="&amp;客户对账单!$H$3),"")</f>
        <v/>
      </c>
    </row>
    <row r="160" customFormat="false" ht="15.75" hidden="false" customHeight="true" outlineLevel="0" collapsed="false">
      <c r="A160" s="42" t="str">
        <f aca="false">IF($B160="","","XS"&amp;TEXT($B160,"yyyymm")&amp;"-"&amp;TEXT(ROW()-4,"000"))</f>
        <v/>
      </c>
      <c r="B160" s="41"/>
      <c r="C160" s="42" t="str">
        <f aca="false">IF($B160="","",TEXT($B160,"yyyy-mm"))</f>
        <v/>
      </c>
      <c r="D160" s="32"/>
      <c r="E160" s="36"/>
      <c r="F160" s="43"/>
      <c r="G160" s="40"/>
      <c r="H160" s="51"/>
      <c r="I160" s="33"/>
      <c r="J160" s="33"/>
      <c r="K160" s="36"/>
      <c r="L160" s="47" t="str">
        <f aca="false">IF($B160="","",IF(NOT(ISNUMBER($B160)),"日期不是日期格式",IF(YEAR($B160)&lt;&gt;首页!$B$3,"不在会计年度",IF($D160="","未选客户",IF(ISNA(MATCH($D160,基础资料!$Z$6:$Z$155,0)),"客户不在档案",IF($E160="","未选商品",IF(ISNA(MATCH($E160,基础资料!$Q$6:$Q$205,0)),"商品不在档案",IF(NOT(ISNUMBER($F160)),"数量须为数字",IF(NOT(ISNUMBER($G160)),"单价须为数字",IF(N($F160)&lt;=0,"数量须大于0",IF(AND(IFERROR(INDEX(基础资料!$V$6:$V$205,MATCH($E160,基础资料!$Q$6:$Q$205,0)),"")="是",N($R160)=0),"无成本价·请先录采购或填参考成本",IF(N($T160)&lt;0,"毛利为负·请核对","√"))))))))))))</f>
        <v/>
      </c>
      <c r="M160" s="49" t="str">
        <f aca="false">IF($E160="","",IFERROR(INDEX(基础资料!$R$6:$R$205,MATCH($E160,基础资料!$Q$6:$Q$205,0)),""))</f>
        <v/>
      </c>
      <c r="N160" s="49" t="str">
        <f aca="false">IF($E160="","",IFERROR(INDEX(基础资料!$S$6:$S$205,MATCH($E160,基础资料!$Q$6:$Q$205,0)),""))</f>
        <v/>
      </c>
      <c r="O160" s="48" t="str">
        <f aca="false">IF(OR($F160="",$G160=""),"",ROUND(N($F160)*N($G160),2))</f>
        <v/>
      </c>
      <c r="P160" s="48" t="str">
        <f aca="false">IF($O160="","",ROUND(N($O160)*N($H160),2))</f>
        <v/>
      </c>
      <c r="Q160" s="48" t="str">
        <f aca="false">IF($O160="","",N($O160)+N($P160))</f>
        <v/>
      </c>
      <c r="R160" s="48" t="str">
        <f aca="false">IF(OR($E160="",$B160=""),"",IF(IFERROR(INDEX(基础资料!$V$6:$V$205,MATCH($E160,基础资料!$Q$6:$Q$205,0)),"")&lt;&gt;"是",0,IFERROR((SUMIFS(期初数据!$T$6:$T$205,期初数据!$O$6:$O$205,$E160)+SUMIFS(采购录入!$Q$5:$Q$404,采购录入!$E$5:$E$404,$E160,采购录入!$I$5:$I$404,"是",采购录入!$B$5:$B$404,"&lt;="&amp;$B160))/(SUMIFS(期初数据!$R$6:$R$205,期初数据!$O$6:$O$205,$E160)+SUMIFS(采购录入!$F$5:$F$404,采购录入!$E$5:$E$404,$E160,采购录入!$I$5:$I$404,"是",采购录入!$B$5:$B$404,"&lt;="&amp;$B160)),IFERROR(INDEX(基础资料!$U$6:$U$205,MATCH($E160,基础资料!$Q$6:$Q$205,0)),0))))</f>
        <v/>
      </c>
      <c r="S160" s="48" t="str">
        <f aca="false">IF($O160="","",ROUND(N($F160)*N($R160),2))</f>
        <v/>
      </c>
      <c r="T160" s="48" t="str">
        <f aca="false">IF($O160="","",N($O160)-N($S160))</f>
        <v/>
      </c>
      <c r="U160" s="52" t="str">
        <f aca="false">IF(OR($B160="",$D160=""),"",$B160+N(IFERROR(INDEX(基础资料!$AB$6:$AB$155,MATCH($D160,基础资料!$Z$6:$Z$155,0)),0)))</f>
        <v/>
      </c>
      <c r="V160" s="49" t="str">
        <f aca="false">IF($O160="","","1122")</f>
        <v/>
      </c>
      <c r="W160" s="49" t="str">
        <f aca="false">IF($O160="","","6001")</f>
        <v/>
      </c>
      <c r="X160" s="48" t="str">
        <f aca="false">IF($O160="","",$O160)</f>
        <v/>
      </c>
      <c r="Y160" s="49" t="str">
        <f aca="false">IF(N($P160)=0,"","1122")</f>
        <v/>
      </c>
      <c r="Z160" s="49" t="str">
        <f aca="false">IF(N($P160)=0,"","2221")</f>
        <v/>
      </c>
      <c r="AA160" s="48" t="str">
        <f aca="false">IF(N($P160)=0,"",$P160)</f>
        <v/>
      </c>
      <c r="AB160" s="49" t="str">
        <f aca="false">IF(N($S160)=0,"","6401")</f>
        <v/>
      </c>
      <c r="AC160" s="49" t="str">
        <f aca="false">IF(N($S160)=0,"","1405")</f>
        <v/>
      </c>
      <c r="AD160" s="48" t="str">
        <f aca="false">IF(N($S160)=0,"",$S160)</f>
        <v/>
      </c>
      <c r="AE160" s="49" t="str">
        <f aca="false">IF(AND($D160=客户对账单!$B$3,$B160&gt;=客户对账单!$E$3,$B160&lt;=客户对账单!$H$3),COUNTIFS($D$5:$D160,客户对账单!$B$3,$B$5:$B160,"&gt;="&amp;客户对账单!$E$3,$B$5:$B160,"&lt;="&amp;客户对账单!$H$3),"")</f>
        <v/>
      </c>
    </row>
    <row r="161" customFormat="false" ht="15.75" hidden="false" customHeight="true" outlineLevel="0" collapsed="false">
      <c r="A161" s="42" t="str">
        <f aca="false">IF($B161="","","XS"&amp;TEXT($B161,"yyyymm")&amp;"-"&amp;TEXT(ROW()-4,"000"))</f>
        <v/>
      </c>
      <c r="B161" s="41"/>
      <c r="C161" s="42" t="str">
        <f aca="false">IF($B161="","",TEXT($B161,"yyyy-mm"))</f>
        <v/>
      </c>
      <c r="D161" s="32"/>
      <c r="E161" s="36"/>
      <c r="F161" s="43"/>
      <c r="G161" s="40"/>
      <c r="H161" s="51"/>
      <c r="I161" s="33"/>
      <c r="J161" s="33"/>
      <c r="K161" s="36"/>
      <c r="L161" s="47" t="str">
        <f aca="false">IF($B161="","",IF(NOT(ISNUMBER($B161)),"日期不是日期格式",IF(YEAR($B161)&lt;&gt;首页!$B$3,"不在会计年度",IF($D161="","未选客户",IF(ISNA(MATCH($D161,基础资料!$Z$6:$Z$155,0)),"客户不在档案",IF($E161="","未选商品",IF(ISNA(MATCH($E161,基础资料!$Q$6:$Q$205,0)),"商品不在档案",IF(NOT(ISNUMBER($F161)),"数量须为数字",IF(NOT(ISNUMBER($G161)),"单价须为数字",IF(N($F161)&lt;=0,"数量须大于0",IF(AND(IFERROR(INDEX(基础资料!$V$6:$V$205,MATCH($E161,基础资料!$Q$6:$Q$205,0)),"")="是",N($R161)=0),"无成本价·请先录采购或填参考成本",IF(N($T161)&lt;0,"毛利为负·请核对","√"))))))))))))</f>
        <v/>
      </c>
      <c r="M161" s="49" t="str">
        <f aca="false">IF($E161="","",IFERROR(INDEX(基础资料!$R$6:$R$205,MATCH($E161,基础资料!$Q$6:$Q$205,0)),""))</f>
        <v/>
      </c>
      <c r="N161" s="49" t="str">
        <f aca="false">IF($E161="","",IFERROR(INDEX(基础资料!$S$6:$S$205,MATCH($E161,基础资料!$Q$6:$Q$205,0)),""))</f>
        <v/>
      </c>
      <c r="O161" s="48" t="str">
        <f aca="false">IF(OR($F161="",$G161=""),"",ROUND(N($F161)*N($G161),2))</f>
        <v/>
      </c>
      <c r="P161" s="48" t="str">
        <f aca="false">IF($O161="","",ROUND(N($O161)*N($H161),2))</f>
        <v/>
      </c>
      <c r="Q161" s="48" t="str">
        <f aca="false">IF($O161="","",N($O161)+N($P161))</f>
        <v/>
      </c>
      <c r="R161" s="48" t="str">
        <f aca="false">IF(OR($E161="",$B161=""),"",IF(IFERROR(INDEX(基础资料!$V$6:$V$205,MATCH($E161,基础资料!$Q$6:$Q$205,0)),"")&lt;&gt;"是",0,IFERROR((SUMIFS(期初数据!$T$6:$T$205,期初数据!$O$6:$O$205,$E161)+SUMIFS(采购录入!$Q$5:$Q$404,采购录入!$E$5:$E$404,$E161,采购录入!$I$5:$I$404,"是",采购录入!$B$5:$B$404,"&lt;="&amp;$B161))/(SUMIFS(期初数据!$R$6:$R$205,期初数据!$O$6:$O$205,$E161)+SUMIFS(采购录入!$F$5:$F$404,采购录入!$E$5:$E$404,$E161,采购录入!$I$5:$I$404,"是",采购录入!$B$5:$B$404,"&lt;="&amp;$B161)),IFERROR(INDEX(基础资料!$U$6:$U$205,MATCH($E161,基础资料!$Q$6:$Q$205,0)),0))))</f>
        <v/>
      </c>
      <c r="S161" s="48" t="str">
        <f aca="false">IF($O161="","",ROUND(N($F161)*N($R161),2))</f>
        <v/>
      </c>
      <c r="T161" s="48" t="str">
        <f aca="false">IF($O161="","",N($O161)-N($S161))</f>
        <v/>
      </c>
      <c r="U161" s="52" t="str">
        <f aca="false">IF(OR($B161="",$D161=""),"",$B161+N(IFERROR(INDEX(基础资料!$AB$6:$AB$155,MATCH($D161,基础资料!$Z$6:$Z$155,0)),0)))</f>
        <v/>
      </c>
      <c r="V161" s="49" t="str">
        <f aca="false">IF($O161="","","1122")</f>
        <v/>
      </c>
      <c r="W161" s="49" t="str">
        <f aca="false">IF($O161="","","6001")</f>
        <v/>
      </c>
      <c r="X161" s="48" t="str">
        <f aca="false">IF($O161="","",$O161)</f>
        <v/>
      </c>
      <c r="Y161" s="49" t="str">
        <f aca="false">IF(N($P161)=0,"","1122")</f>
        <v/>
      </c>
      <c r="Z161" s="49" t="str">
        <f aca="false">IF(N($P161)=0,"","2221")</f>
        <v/>
      </c>
      <c r="AA161" s="48" t="str">
        <f aca="false">IF(N($P161)=0,"",$P161)</f>
        <v/>
      </c>
      <c r="AB161" s="49" t="str">
        <f aca="false">IF(N($S161)=0,"","6401")</f>
        <v/>
      </c>
      <c r="AC161" s="49" t="str">
        <f aca="false">IF(N($S161)=0,"","1405")</f>
        <v/>
      </c>
      <c r="AD161" s="48" t="str">
        <f aca="false">IF(N($S161)=0,"",$S161)</f>
        <v/>
      </c>
      <c r="AE161" s="49" t="str">
        <f aca="false">IF(AND($D161=客户对账单!$B$3,$B161&gt;=客户对账单!$E$3,$B161&lt;=客户对账单!$H$3),COUNTIFS($D$5:$D161,客户对账单!$B$3,$B$5:$B161,"&gt;="&amp;客户对账单!$E$3,$B$5:$B161,"&lt;="&amp;客户对账单!$H$3),"")</f>
        <v/>
      </c>
    </row>
    <row r="162" customFormat="false" ht="15.75" hidden="false" customHeight="true" outlineLevel="0" collapsed="false">
      <c r="A162" s="42" t="str">
        <f aca="false">IF($B162="","","XS"&amp;TEXT($B162,"yyyymm")&amp;"-"&amp;TEXT(ROW()-4,"000"))</f>
        <v/>
      </c>
      <c r="B162" s="41"/>
      <c r="C162" s="42" t="str">
        <f aca="false">IF($B162="","",TEXT($B162,"yyyy-mm"))</f>
        <v/>
      </c>
      <c r="D162" s="32"/>
      <c r="E162" s="36"/>
      <c r="F162" s="43"/>
      <c r="G162" s="40"/>
      <c r="H162" s="51"/>
      <c r="I162" s="33"/>
      <c r="J162" s="33"/>
      <c r="K162" s="36"/>
      <c r="L162" s="47" t="str">
        <f aca="false">IF($B162="","",IF(NOT(ISNUMBER($B162)),"日期不是日期格式",IF(YEAR($B162)&lt;&gt;首页!$B$3,"不在会计年度",IF($D162="","未选客户",IF(ISNA(MATCH($D162,基础资料!$Z$6:$Z$155,0)),"客户不在档案",IF($E162="","未选商品",IF(ISNA(MATCH($E162,基础资料!$Q$6:$Q$205,0)),"商品不在档案",IF(NOT(ISNUMBER($F162)),"数量须为数字",IF(NOT(ISNUMBER($G162)),"单价须为数字",IF(N($F162)&lt;=0,"数量须大于0",IF(AND(IFERROR(INDEX(基础资料!$V$6:$V$205,MATCH($E162,基础资料!$Q$6:$Q$205,0)),"")="是",N($R162)=0),"无成本价·请先录采购或填参考成本",IF(N($T162)&lt;0,"毛利为负·请核对","√"))))))))))))</f>
        <v/>
      </c>
      <c r="M162" s="49" t="str">
        <f aca="false">IF($E162="","",IFERROR(INDEX(基础资料!$R$6:$R$205,MATCH($E162,基础资料!$Q$6:$Q$205,0)),""))</f>
        <v/>
      </c>
      <c r="N162" s="49" t="str">
        <f aca="false">IF($E162="","",IFERROR(INDEX(基础资料!$S$6:$S$205,MATCH($E162,基础资料!$Q$6:$Q$205,0)),""))</f>
        <v/>
      </c>
      <c r="O162" s="48" t="str">
        <f aca="false">IF(OR($F162="",$G162=""),"",ROUND(N($F162)*N($G162),2))</f>
        <v/>
      </c>
      <c r="P162" s="48" t="str">
        <f aca="false">IF($O162="","",ROUND(N($O162)*N($H162),2))</f>
        <v/>
      </c>
      <c r="Q162" s="48" t="str">
        <f aca="false">IF($O162="","",N($O162)+N($P162))</f>
        <v/>
      </c>
      <c r="R162" s="48" t="str">
        <f aca="false">IF(OR($E162="",$B162=""),"",IF(IFERROR(INDEX(基础资料!$V$6:$V$205,MATCH($E162,基础资料!$Q$6:$Q$205,0)),"")&lt;&gt;"是",0,IFERROR((SUMIFS(期初数据!$T$6:$T$205,期初数据!$O$6:$O$205,$E162)+SUMIFS(采购录入!$Q$5:$Q$404,采购录入!$E$5:$E$404,$E162,采购录入!$I$5:$I$404,"是",采购录入!$B$5:$B$404,"&lt;="&amp;$B162))/(SUMIFS(期初数据!$R$6:$R$205,期初数据!$O$6:$O$205,$E162)+SUMIFS(采购录入!$F$5:$F$404,采购录入!$E$5:$E$404,$E162,采购录入!$I$5:$I$404,"是",采购录入!$B$5:$B$404,"&lt;="&amp;$B162)),IFERROR(INDEX(基础资料!$U$6:$U$205,MATCH($E162,基础资料!$Q$6:$Q$205,0)),0))))</f>
        <v/>
      </c>
      <c r="S162" s="48" t="str">
        <f aca="false">IF($O162="","",ROUND(N($F162)*N($R162),2))</f>
        <v/>
      </c>
      <c r="T162" s="48" t="str">
        <f aca="false">IF($O162="","",N($O162)-N($S162))</f>
        <v/>
      </c>
      <c r="U162" s="52" t="str">
        <f aca="false">IF(OR($B162="",$D162=""),"",$B162+N(IFERROR(INDEX(基础资料!$AB$6:$AB$155,MATCH($D162,基础资料!$Z$6:$Z$155,0)),0)))</f>
        <v/>
      </c>
      <c r="V162" s="49" t="str">
        <f aca="false">IF($O162="","","1122")</f>
        <v/>
      </c>
      <c r="W162" s="49" t="str">
        <f aca="false">IF($O162="","","6001")</f>
        <v/>
      </c>
      <c r="X162" s="48" t="str">
        <f aca="false">IF($O162="","",$O162)</f>
        <v/>
      </c>
      <c r="Y162" s="49" t="str">
        <f aca="false">IF(N($P162)=0,"","1122")</f>
        <v/>
      </c>
      <c r="Z162" s="49" t="str">
        <f aca="false">IF(N($P162)=0,"","2221")</f>
        <v/>
      </c>
      <c r="AA162" s="48" t="str">
        <f aca="false">IF(N($P162)=0,"",$P162)</f>
        <v/>
      </c>
      <c r="AB162" s="49" t="str">
        <f aca="false">IF(N($S162)=0,"","6401")</f>
        <v/>
      </c>
      <c r="AC162" s="49" t="str">
        <f aca="false">IF(N($S162)=0,"","1405")</f>
        <v/>
      </c>
      <c r="AD162" s="48" t="str">
        <f aca="false">IF(N($S162)=0,"",$S162)</f>
        <v/>
      </c>
      <c r="AE162" s="49" t="str">
        <f aca="false">IF(AND($D162=客户对账单!$B$3,$B162&gt;=客户对账单!$E$3,$B162&lt;=客户对账单!$H$3),COUNTIFS($D$5:$D162,客户对账单!$B$3,$B$5:$B162,"&gt;="&amp;客户对账单!$E$3,$B$5:$B162,"&lt;="&amp;客户对账单!$H$3),"")</f>
        <v/>
      </c>
    </row>
    <row r="163" customFormat="false" ht="15.75" hidden="false" customHeight="true" outlineLevel="0" collapsed="false">
      <c r="A163" s="42" t="str">
        <f aca="false">IF($B163="","","XS"&amp;TEXT($B163,"yyyymm")&amp;"-"&amp;TEXT(ROW()-4,"000"))</f>
        <v/>
      </c>
      <c r="B163" s="41"/>
      <c r="C163" s="42" t="str">
        <f aca="false">IF($B163="","",TEXT($B163,"yyyy-mm"))</f>
        <v/>
      </c>
      <c r="D163" s="32"/>
      <c r="E163" s="36"/>
      <c r="F163" s="43"/>
      <c r="G163" s="40"/>
      <c r="H163" s="51"/>
      <c r="I163" s="33"/>
      <c r="J163" s="33"/>
      <c r="K163" s="36"/>
      <c r="L163" s="47" t="str">
        <f aca="false">IF($B163="","",IF(NOT(ISNUMBER($B163)),"日期不是日期格式",IF(YEAR($B163)&lt;&gt;首页!$B$3,"不在会计年度",IF($D163="","未选客户",IF(ISNA(MATCH($D163,基础资料!$Z$6:$Z$155,0)),"客户不在档案",IF($E163="","未选商品",IF(ISNA(MATCH($E163,基础资料!$Q$6:$Q$205,0)),"商品不在档案",IF(NOT(ISNUMBER($F163)),"数量须为数字",IF(NOT(ISNUMBER($G163)),"单价须为数字",IF(N($F163)&lt;=0,"数量须大于0",IF(AND(IFERROR(INDEX(基础资料!$V$6:$V$205,MATCH($E163,基础资料!$Q$6:$Q$205,0)),"")="是",N($R163)=0),"无成本价·请先录采购或填参考成本",IF(N($T163)&lt;0,"毛利为负·请核对","√"))))))))))))</f>
        <v/>
      </c>
      <c r="M163" s="49" t="str">
        <f aca="false">IF($E163="","",IFERROR(INDEX(基础资料!$R$6:$R$205,MATCH($E163,基础资料!$Q$6:$Q$205,0)),""))</f>
        <v/>
      </c>
      <c r="N163" s="49" t="str">
        <f aca="false">IF($E163="","",IFERROR(INDEX(基础资料!$S$6:$S$205,MATCH($E163,基础资料!$Q$6:$Q$205,0)),""))</f>
        <v/>
      </c>
      <c r="O163" s="48" t="str">
        <f aca="false">IF(OR($F163="",$G163=""),"",ROUND(N($F163)*N($G163),2))</f>
        <v/>
      </c>
      <c r="P163" s="48" t="str">
        <f aca="false">IF($O163="","",ROUND(N($O163)*N($H163),2))</f>
        <v/>
      </c>
      <c r="Q163" s="48" t="str">
        <f aca="false">IF($O163="","",N($O163)+N($P163))</f>
        <v/>
      </c>
      <c r="R163" s="48" t="str">
        <f aca="false">IF(OR($E163="",$B163=""),"",IF(IFERROR(INDEX(基础资料!$V$6:$V$205,MATCH($E163,基础资料!$Q$6:$Q$205,0)),"")&lt;&gt;"是",0,IFERROR((SUMIFS(期初数据!$T$6:$T$205,期初数据!$O$6:$O$205,$E163)+SUMIFS(采购录入!$Q$5:$Q$404,采购录入!$E$5:$E$404,$E163,采购录入!$I$5:$I$404,"是",采购录入!$B$5:$B$404,"&lt;="&amp;$B163))/(SUMIFS(期初数据!$R$6:$R$205,期初数据!$O$6:$O$205,$E163)+SUMIFS(采购录入!$F$5:$F$404,采购录入!$E$5:$E$404,$E163,采购录入!$I$5:$I$404,"是",采购录入!$B$5:$B$404,"&lt;="&amp;$B163)),IFERROR(INDEX(基础资料!$U$6:$U$205,MATCH($E163,基础资料!$Q$6:$Q$205,0)),0))))</f>
        <v/>
      </c>
      <c r="S163" s="48" t="str">
        <f aca="false">IF($O163="","",ROUND(N($F163)*N($R163),2))</f>
        <v/>
      </c>
      <c r="T163" s="48" t="str">
        <f aca="false">IF($O163="","",N($O163)-N($S163))</f>
        <v/>
      </c>
      <c r="U163" s="52" t="str">
        <f aca="false">IF(OR($B163="",$D163=""),"",$B163+N(IFERROR(INDEX(基础资料!$AB$6:$AB$155,MATCH($D163,基础资料!$Z$6:$Z$155,0)),0)))</f>
        <v/>
      </c>
      <c r="V163" s="49" t="str">
        <f aca="false">IF($O163="","","1122")</f>
        <v/>
      </c>
      <c r="W163" s="49" t="str">
        <f aca="false">IF($O163="","","6001")</f>
        <v/>
      </c>
      <c r="X163" s="48" t="str">
        <f aca="false">IF($O163="","",$O163)</f>
        <v/>
      </c>
      <c r="Y163" s="49" t="str">
        <f aca="false">IF(N($P163)=0,"","1122")</f>
        <v/>
      </c>
      <c r="Z163" s="49" t="str">
        <f aca="false">IF(N($P163)=0,"","2221")</f>
        <v/>
      </c>
      <c r="AA163" s="48" t="str">
        <f aca="false">IF(N($P163)=0,"",$P163)</f>
        <v/>
      </c>
      <c r="AB163" s="49" t="str">
        <f aca="false">IF(N($S163)=0,"","6401")</f>
        <v/>
      </c>
      <c r="AC163" s="49" t="str">
        <f aca="false">IF(N($S163)=0,"","1405")</f>
        <v/>
      </c>
      <c r="AD163" s="48" t="str">
        <f aca="false">IF(N($S163)=0,"",$S163)</f>
        <v/>
      </c>
      <c r="AE163" s="49" t="str">
        <f aca="false">IF(AND($D163=客户对账单!$B$3,$B163&gt;=客户对账单!$E$3,$B163&lt;=客户对账单!$H$3),COUNTIFS($D$5:$D163,客户对账单!$B$3,$B$5:$B163,"&gt;="&amp;客户对账单!$E$3,$B$5:$B163,"&lt;="&amp;客户对账单!$H$3),"")</f>
        <v/>
      </c>
    </row>
    <row r="164" customFormat="false" ht="15.75" hidden="false" customHeight="true" outlineLevel="0" collapsed="false">
      <c r="A164" s="42" t="str">
        <f aca="false">IF($B164="","","XS"&amp;TEXT($B164,"yyyymm")&amp;"-"&amp;TEXT(ROW()-4,"000"))</f>
        <v/>
      </c>
      <c r="B164" s="41"/>
      <c r="C164" s="42" t="str">
        <f aca="false">IF($B164="","",TEXT($B164,"yyyy-mm"))</f>
        <v/>
      </c>
      <c r="D164" s="32"/>
      <c r="E164" s="36"/>
      <c r="F164" s="43"/>
      <c r="G164" s="40"/>
      <c r="H164" s="51"/>
      <c r="I164" s="33"/>
      <c r="J164" s="33"/>
      <c r="K164" s="36"/>
      <c r="L164" s="47" t="str">
        <f aca="false">IF($B164="","",IF(NOT(ISNUMBER($B164)),"日期不是日期格式",IF(YEAR($B164)&lt;&gt;首页!$B$3,"不在会计年度",IF($D164="","未选客户",IF(ISNA(MATCH($D164,基础资料!$Z$6:$Z$155,0)),"客户不在档案",IF($E164="","未选商品",IF(ISNA(MATCH($E164,基础资料!$Q$6:$Q$205,0)),"商品不在档案",IF(NOT(ISNUMBER($F164)),"数量须为数字",IF(NOT(ISNUMBER($G164)),"单价须为数字",IF(N($F164)&lt;=0,"数量须大于0",IF(AND(IFERROR(INDEX(基础资料!$V$6:$V$205,MATCH($E164,基础资料!$Q$6:$Q$205,0)),"")="是",N($R164)=0),"无成本价·请先录采购或填参考成本",IF(N($T164)&lt;0,"毛利为负·请核对","√"))))))))))))</f>
        <v/>
      </c>
      <c r="M164" s="49" t="str">
        <f aca="false">IF($E164="","",IFERROR(INDEX(基础资料!$R$6:$R$205,MATCH($E164,基础资料!$Q$6:$Q$205,0)),""))</f>
        <v/>
      </c>
      <c r="N164" s="49" t="str">
        <f aca="false">IF($E164="","",IFERROR(INDEX(基础资料!$S$6:$S$205,MATCH($E164,基础资料!$Q$6:$Q$205,0)),""))</f>
        <v/>
      </c>
      <c r="O164" s="48" t="str">
        <f aca="false">IF(OR($F164="",$G164=""),"",ROUND(N($F164)*N($G164),2))</f>
        <v/>
      </c>
      <c r="P164" s="48" t="str">
        <f aca="false">IF($O164="","",ROUND(N($O164)*N($H164),2))</f>
        <v/>
      </c>
      <c r="Q164" s="48" t="str">
        <f aca="false">IF($O164="","",N($O164)+N($P164))</f>
        <v/>
      </c>
      <c r="R164" s="48" t="str">
        <f aca="false">IF(OR($E164="",$B164=""),"",IF(IFERROR(INDEX(基础资料!$V$6:$V$205,MATCH($E164,基础资料!$Q$6:$Q$205,0)),"")&lt;&gt;"是",0,IFERROR((SUMIFS(期初数据!$T$6:$T$205,期初数据!$O$6:$O$205,$E164)+SUMIFS(采购录入!$Q$5:$Q$404,采购录入!$E$5:$E$404,$E164,采购录入!$I$5:$I$404,"是",采购录入!$B$5:$B$404,"&lt;="&amp;$B164))/(SUMIFS(期初数据!$R$6:$R$205,期初数据!$O$6:$O$205,$E164)+SUMIFS(采购录入!$F$5:$F$404,采购录入!$E$5:$E$404,$E164,采购录入!$I$5:$I$404,"是",采购录入!$B$5:$B$404,"&lt;="&amp;$B164)),IFERROR(INDEX(基础资料!$U$6:$U$205,MATCH($E164,基础资料!$Q$6:$Q$205,0)),0))))</f>
        <v/>
      </c>
      <c r="S164" s="48" t="str">
        <f aca="false">IF($O164="","",ROUND(N($F164)*N($R164),2))</f>
        <v/>
      </c>
      <c r="T164" s="48" t="str">
        <f aca="false">IF($O164="","",N($O164)-N($S164))</f>
        <v/>
      </c>
      <c r="U164" s="52" t="str">
        <f aca="false">IF(OR($B164="",$D164=""),"",$B164+N(IFERROR(INDEX(基础资料!$AB$6:$AB$155,MATCH($D164,基础资料!$Z$6:$Z$155,0)),0)))</f>
        <v/>
      </c>
      <c r="V164" s="49" t="str">
        <f aca="false">IF($O164="","","1122")</f>
        <v/>
      </c>
      <c r="W164" s="49" t="str">
        <f aca="false">IF($O164="","","6001")</f>
        <v/>
      </c>
      <c r="X164" s="48" t="str">
        <f aca="false">IF($O164="","",$O164)</f>
        <v/>
      </c>
      <c r="Y164" s="49" t="str">
        <f aca="false">IF(N($P164)=0,"","1122")</f>
        <v/>
      </c>
      <c r="Z164" s="49" t="str">
        <f aca="false">IF(N($P164)=0,"","2221")</f>
        <v/>
      </c>
      <c r="AA164" s="48" t="str">
        <f aca="false">IF(N($P164)=0,"",$P164)</f>
        <v/>
      </c>
      <c r="AB164" s="49" t="str">
        <f aca="false">IF(N($S164)=0,"","6401")</f>
        <v/>
      </c>
      <c r="AC164" s="49" t="str">
        <f aca="false">IF(N($S164)=0,"","1405")</f>
        <v/>
      </c>
      <c r="AD164" s="48" t="str">
        <f aca="false">IF(N($S164)=0,"",$S164)</f>
        <v/>
      </c>
      <c r="AE164" s="49" t="str">
        <f aca="false">IF(AND($D164=客户对账单!$B$3,$B164&gt;=客户对账单!$E$3,$B164&lt;=客户对账单!$H$3),COUNTIFS($D$5:$D164,客户对账单!$B$3,$B$5:$B164,"&gt;="&amp;客户对账单!$E$3,$B$5:$B164,"&lt;="&amp;客户对账单!$H$3),"")</f>
        <v/>
      </c>
    </row>
    <row r="165" customFormat="false" ht="15.75" hidden="false" customHeight="true" outlineLevel="0" collapsed="false">
      <c r="A165" s="42" t="str">
        <f aca="false">IF($B165="","","XS"&amp;TEXT($B165,"yyyymm")&amp;"-"&amp;TEXT(ROW()-4,"000"))</f>
        <v/>
      </c>
      <c r="B165" s="41"/>
      <c r="C165" s="42" t="str">
        <f aca="false">IF($B165="","",TEXT($B165,"yyyy-mm"))</f>
        <v/>
      </c>
      <c r="D165" s="32"/>
      <c r="E165" s="36"/>
      <c r="F165" s="43"/>
      <c r="G165" s="40"/>
      <c r="H165" s="51"/>
      <c r="I165" s="33"/>
      <c r="J165" s="33"/>
      <c r="K165" s="36"/>
      <c r="L165" s="47" t="str">
        <f aca="false">IF($B165="","",IF(NOT(ISNUMBER($B165)),"日期不是日期格式",IF(YEAR($B165)&lt;&gt;首页!$B$3,"不在会计年度",IF($D165="","未选客户",IF(ISNA(MATCH($D165,基础资料!$Z$6:$Z$155,0)),"客户不在档案",IF($E165="","未选商品",IF(ISNA(MATCH($E165,基础资料!$Q$6:$Q$205,0)),"商品不在档案",IF(NOT(ISNUMBER($F165)),"数量须为数字",IF(NOT(ISNUMBER($G165)),"单价须为数字",IF(N($F165)&lt;=0,"数量须大于0",IF(AND(IFERROR(INDEX(基础资料!$V$6:$V$205,MATCH($E165,基础资料!$Q$6:$Q$205,0)),"")="是",N($R165)=0),"无成本价·请先录采购或填参考成本",IF(N($T165)&lt;0,"毛利为负·请核对","√"))))))))))))</f>
        <v/>
      </c>
      <c r="M165" s="49" t="str">
        <f aca="false">IF($E165="","",IFERROR(INDEX(基础资料!$R$6:$R$205,MATCH($E165,基础资料!$Q$6:$Q$205,0)),""))</f>
        <v/>
      </c>
      <c r="N165" s="49" t="str">
        <f aca="false">IF($E165="","",IFERROR(INDEX(基础资料!$S$6:$S$205,MATCH($E165,基础资料!$Q$6:$Q$205,0)),""))</f>
        <v/>
      </c>
      <c r="O165" s="48" t="str">
        <f aca="false">IF(OR($F165="",$G165=""),"",ROUND(N($F165)*N($G165),2))</f>
        <v/>
      </c>
      <c r="P165" s="48" t="str">
        <f aca="false">IF($O165="","",ROUND(N($O165)*N($H165),2))</f>
        <v/>
      </c>
      <c r="Q165" s="48" t="str">
        <f aca="false">IF($O165="","",N($O165)+N($P165))</f>
        <v/>
      </c>
      <c r="R165" s="48" t="str">
        <f aca="false">IF(OR($E165="",$B165=""),"",IF(IFERROR(INDEX(基础资料!$V$6:$V$205,MATCH($E165,基础资料!$Q$6:$Q$205,0)),"")&lt;&gt;"是",0,IFERROR((SUMIFS(期初数据!$T$6:$T$205,期初数据!$O$6:$O$205,$E165)+SUMIFS(采购录入!$Q$5:$Q$404,采购录入!$E$5:$E$404,$E165,采购录入!$I$5:$I$404,"是",采购录入!$B$5:$B$404,"&lt;="&amp;$B165))/(SUMIFS(期初数据!$R$6:$R$205,期初数据!$O$6:$O$205,$E165)+SUMIFS(采购录入!$F$5:$F$404,采购录入!$E$5:$E$404,$E165,采购录入!$I$5:$I$404,"是",采购录入!$B$5:$B$404,"&lt;="&amp;$B165)),IFERROR(INDEX(基础资料!$U$6:$U$205,MATCH($E165,基础资料!$Q$6:$Q$205,0)),0))))</f>
        <v/>
      </c>
      <c r="S165" s="48" t="str">
        <f aca="false">IF($O165="","",ROUND(N($F165)*N($R165),2))</f>
        <v/>
      </c>
      <c r="T165" s="48" t="str">
        <f aca="false">IF($O165="","",N($O165)-N($S165))</f>
        <v/>
      </c>
      <c r="U165" s="52" t="str">
        <f aca="false">IF(OR($B165="",$D165=""),"",$B165+N(IFERROR(INDEX(基础资料!$AB$6:$AB$155,MATCH($D165,基础资料!$Z$6:$Z$155,0)),0)))</f>
        <v/>
      </c>
      <c r="V165" s="49" t="str">
        <f aca="false">IF($O165="","","1122")</f>
        <v/>
      </c>
      <c r="W165" s="49" t="str">
        <f aca="false">IF($O165="","","6001")</f>
        <v/>
      </c>
      <c r="X165" s="48" t="str">
        <f aca="false">IF($O165="","",$O165)</f>
        <v/>
      </c>
      <c r="Y165" s="49" t="str">
        <f aca="false">IF(N($P165)=0,"","1122")</f>
        <v/>
      </c>
      <c r="Z165" s="49" t="str">
        <f aca="false">IF(N($P165)=0,"","2221")</f>
        <v/>
      </c>
      <c r="AA165" s="48" t="str">
        <f aca="false">IF(N($P165)=0,"",$P165)</f>
        <v/>
      </c>
      <c r="AB165" s="49" t="str">
        <f aca="false">IF(N($S165)=0,"","6401")</f>
        <v/>
      </c>
      <c r="AC165" s="49" t="str">
        <f aca="false">IF(N($S165)=0,"","1405")</f>
        <v/>
      </c>
      <c r="AD165" s="48" t="str">
        <f aca="false">IF(N($S165)=0,"",$S165)</f>
        <v/>
      </c>
      <c r="AE165" s="49" t="str">
        <f aca="false">IF(AND($D165=客户对账单!$B$3,$B165&gt;=客户对账单!$E$3,$B165&lt;=客户对账单!$H$3),COUNTIFS($D$5:$D165,客户对账单!$B$3,$B$5:$B165,"&gt;="&amp;客户对账单!$E$3,$B$5:$B165,"&lt;="&amp;客户对账单!$H$3),"")</f>
        <v/>
      </c>
    </row>
    <row r="166" customFormat="false" ht="15.75" hidden="false" customHeight="true" outlineLevel="0" collapsed="false">
      <c r="A166" s="42" t="str">
        <f aca="false">IF($B166="","","XS"&amp;TEXT($B166,"yyyymm")&amp;"-"&amp;TEXT(ROW()-4,"000"))</f>
        <v/>
      </c>
      <c r="B166" s="41"/>
      <c r="C166" s="42" t="str">
        <f aca="false">IF($B166="","",TEXT($B166,"yyyy-mm"))</f>
        <v/>
      </c>
      <c r="D166" s="32"/>
      <c r="E166" s="36"/>
      <c r="F166" s="43"/>
      <c r="G166" s="40"/>
      <c r="H166" s="51"/>
      <c r="I166" s="33"/>
      <c r="J166" s="33"/>
      <c r="K166" s="36"/>
      <c r="L166" s="47" t="str">
        <f aca="false">IF($B166="","",IF(NOT(ISNUMBER($B166)),"日期不是日期格式",IF(YEAR($B166)&lt;&gt;首页!$B$3,"不在会计年度",IF($D166="","未选客户",IF(ISNA(MATCH($D166,基础资料!$Z$6:$Z$155,0)),"客户不在档案",IF($E166="","未选商品",IF(ISNA(MATCH($E166,基础资料!$Q$6:$Q$205,0)),"商品不在档案",IF(NOT(ISNUMBER($F166)),"数量须为数字",IF(NOT(ISNUMBER($G166)),"单价须为数字",IF(N($F166)&lt;=0,"数量须大于0",IF(AND(IFERROR(INDEX(基础资料!$V$6:$V$205,MATCH($E166,基础资料!$Q$6:$Q$205,0)),"")="是",N($R166)=0),"无成本价·请先录采购或填参考成本",IF(N($T166)&lt;0,"毛利为负·请核对","√"))))))))))))</f>
        <v/>
      </c>
      <c r="M166" s="49" t="str">
        <f aca="false">IF($E166="","",IFERROR(INDEX(基础资料!$R$6:$R$205,MATCH($E166,基础资料!$Q$6:$Q$205,0)),""))</f>
        <v/>
      </c>
      <c r="N166" s="49" t="str">
        <f aca="false">IF($E166="","",IFERROR(INDEX(基础资料!$S$6:$S$205,MATCH($E166,基础资料!$Q$6:$Q$205,0)),""))</f>
        <v/>
      </c>
      <c r="O166" s="48" t="str">
        <f aca="false">IF(OR($F166="",$G166=""),"",ROUND(N($F166)*N($G166),2))</f>
        <v/>
      </c>
      <c r="P166" s="48" t="str">
        <f aca="false">IF($O166="","",ROUND(N($O166)*N($H166),2))</f>
        <v/>
      </c>
      <c r="Q166" s="48" t="str">
        <f aca="false">IF($O166="","",N($O166)+N($P166))</f>
        <v/>
      </c>
      <c r="R166" s="48" t="str">
        <f aca="false">IF(OR($E166="",$B166=""),"",IF(IFERROR(INDEX(基础资料!$V$6:$V$205,MATCH($E166,基础资料!$Q$6:$Q$205,0)),"")&lt;&gt;"是",0,IFERROR((SUMIFS(期初数据!$T$6:$T$205,期初数据!$O$6:$O$205,$E166)+SUMIFS(采购录入!$Q$5:$Q$404,采购录入!$E$5:$E$404,$E166,采购录入!$I$5:$I$404,"是",采购录入!$B$5:$B$404,"&lt;="&amp;$B166))/(SUMIFS(期初数据!$R$6:$R$205,期初数据!$O$6:$O$205,$E166)+SUMIFS(采购录入!$F$5:$F$404,采购录入!$E$5:$E$404,$E166,采购录入!$I$5:$I$404,"是",采购录入!$B$5:$B$404,"&lt;="&amp;$B166)),IFERROR(INDEX(基础资料!$U$6:$U$205,MATCH($E166,基础资料!$Q$6:$Q$205,0)),0))))</f>
        <v/>
      </c>
      <c r="S166" s="48" t="str">
        <f aca="false">IF($O166="","",ROUND(N($F166)*N($R166),2))</f>
        <v/>
      </c>
      <c r="T166" s="48" t="str">
        <f aca="false">IF($O166="","",N($O166)-N($S166))</f>
        <v/>
      </c>
      <c r="U166" s="52" t="str">
        <f aca="false">IF(OR($B166="",$D166=""),"",$B166+N(IFERROR(INDEX(基础资料!$AB$6:$AB$155,MATCH($D166,基础资料!$Z$6:$Z$155,0)),0)))</f>
        <v/>
      </c>
      <c r="V166" s="49" t="str">
        <f aca="false">IF($O166="","","1122")</f>
        <v/>
      </c>
      <c r="W166" s="49" t="str">
        <f aca="false">IF($O166="","","6001")</f>
        <v/>
      </c>
      <c r="X166" s="48" t="str">
        <f aca="false">IF($O166="","",$O166)</f>
        <v/>
      </c>
      <c r="Y166" s="49" t="str">
        <f aca="false">IF(N($P166)=0,"","1122")</f>
        <v/>
      </c>
      <c r="Z166" s="49" t="str">
        <f aca="false">IF(N($P166)=0,"","2221")</f>
        <v/>
      </c>
      <c r="AA166" s="48" t="str">
        <f aca="false">IF(N($P166)=0,"",$P166)</f>
        <v/>
      </c>
      <c r="AB166" s="49" t="str">
        <f aca="false">IF(N($S166)=0,"","6401")</f>
        <v/>
      </c>
      <c r="AC166" s="49" t="str">
        <f aca="false">IF(N($S166)=0,"","1405")</f>
        <v/>
      </c>
      <c r="AD166" s="48" t="str">
        <f aca="false">IF(N($S166)=0,"",$S166)</f>
        <v/>
      </c>
      <c r="AE166" s="49" t="str">
        <f aca="false">IF(AND($D166=客户对账单!$B$3,$B166&gt;=客户对账单!$E$3,$B166&lt;=客户对账单!$H$3),COUNTIFS($D$5:$D166,客户对账单!$B$3,$B$5:$B166,"&gt;="&amp;客户对账单!$E$3,$B$5:$B166,"&lt;="&amp;客户对账单!$H$3),"")</f>
        <v/>
      </c>
    </row>
    <row r="167" customFormat="false" ht="15.75" hidden="false" customHeight="true" outlineLevel="0" collapsed="false">
      <c r="A167" s="42" t="str">
        <f aca="false">IF($B167="","","XS"&amp;TEXT($B167,"yyyymm")&amp;"-"&amp;TEXT(ROW()-4,"000"))</f>
        <v/>
      </c>
      <c r="B167" s="41"/>
      <c r="C167" s="42" t="str">
        <f aca="false">IF($B167="","",TEXT($B167,"yyyy-mm"))</f>
        <v/>
      </c>
      <c r="D167" s="32"/>
      <c r="E167" s="36"/>
      <c r="F167" s="43"/>
      <c r="G167" s="40"/>
      <c r="H167" s="51"/>
      <c r="I167" s="33"/>
      <c r="J167" s="33"/>
      <c r="K167" s="36"/>
      <c r="L167" s="47" t="str">
        <f aca="false">IF($B167="","",IF(NOT(ISNUMBER($B167)),"日期不是日期格式",IF(YEAR($B167)&lt;&gt;首页!$B$3,"不在会计年度",IF($D167="","未选客户",IF(ISNA(MATCH($D167,基础资料!$Z$6:$Z$155,0)),"客户不在档案",IF($E167="","未选商品",IF(ISNA(MATCH($E167,基础资料!$Q$6:$Q$205,0)),"商品不在档案",IF(NOT(ISNUMBER($F167)),"数量须为数字",IF(NOT(ISNUMBER($G167)),"单价须为数字",IF(N($F167)&lt;=0,"数量须大于0",IF(AND(IFERROR(INDEX(基础资料!$V$6:$V$205,MATCH($E167,基础资料!$Q$6:$Q$205,0)),"")="是",N($R167)=0),"无成本价·请先录采购或填参考成本",IF(N($T167)&lt;0,"毛利为负·请核对","√"))))))))))))</f>
        <v/>
      </c>
      <c r="M167" s="49" t="str">
        <f aca="false">IF($E167="","",IFERROR(INDEX(基础资料!$R$6:$R$205,MATCH($E167,基础资料!$Q$6:$Q$205,0)),""))</f>
        <v/>
      </c>
      <c r="N167" s="49" t="str">
        <f aca="false">IF($E167="","",IFERROR(INDEX(基础资料!$S$6:$S$205,MATCH($E167,基础资料!$Q$6:$Q$205,0)),""))</f>
        <v/>
      </c>
      <c r="O167" s="48" t="str">
        <f aca="false">IF(OR($F167="",$G167=""),"",ROUND(N($F167)*N($G167),2))</f>
        <v/>
      </c>
      <c r="P167" s="48" t="str">
        <f aca="false">IF($O167="","",ROUND(N($O167)*N($H167),2))</f>
        <v/>
      </c>
      <c r="Q167" s="48" t="str">
        <f aca="false">IF($O167="","",N($O167)+N($P167))</f>
        <v/>
      </c>
      <c r="R167" s="48" t="str">
        <f aca="false">IF(OR($E167="",$B167=""),"",IF(IFERROR(INDEX(基础资料!$V$6:$V$205,MATCH($E167,基础资料!$Q$6:$Q$205,0)),"")&lt;&gt;"是",0,IFERROR((SUMIFS(期初数据!$T$6:$T$205,期初数据!$O$6:$O$205,$E167)+SUMIFS(采购录入!$Q$5:$Q$404,采购录入!$E$5:$E$404,$E167,采购录入!$I$5:$I$404,"是",采购录入!$B$5:$B$404,"&lt;="&amp;$B167))/(SUMIFS(期初数据!$R$6:$R$205,期初数据!$O$6:$O$205,$E167)+SUMIFS(采购录入!$F$5:$F$404,采购录入!$E$5:$E$404,$E167,采购录入!$I$5:$I$404,"是",采购录入!$B$5:$B$404,"&lt;="&amp;$B167)),IFERROR(INDEX(基础资料!$U$6:$U$205,MATCH($E167,基础资料!$Q$6:$Q$205,0)),0))))</f>
        <v/>
      </c>
      <c r="S167" s="48" t="str">
        <f aca="false">IF($O167="","",ROUND(N($F167)*N($R167),2))</f>
        <v/>
      </c>
      <c r="T167" s="48" t="str">
        <f aca="false">IF($O167="","",N($O167)-N($S167))</f>
        <v/>
      </c>
      <c r="U167" s="52" t="str">
        <f aca="false">IF(OR($B167="",$D167=""),"",$B167+N(IFERROR(INDEX(基础资料!$AB$6:$AB$155,MATCH($D167,基础资料!$Z$6:$Z$155,0)),0)))</f>
        <v/>
      </c>
      <c r="V167" s="49" t="str">
        <f aca="false">IF($O167="","","1122")</f>
        <v/>
      </c>
      <c r="W167" s="49" t="str">
        <f aca="false">IF($O167="","","6001")</f>
        <v/>
      </c>
      <c r="X167" s="48" t="str">
        <f aca="false">IF($O167="","",$O167)</f>
        <v/>
      </c>
      <c r="Y167" s="49" t="str">
        <f aca="false">IF(N($P167)=0,"","1122")</f>
        <v/>
      </c>
      <c r="Z167" s="49" t="str">
        <f aca="false">IF(N($P167)=0,"","2221")</f>
        <v/>
      </c>
      <c r="AA167" s="48" t="str">
        <f aca="false">IF(N($P167)=0,"",$P167)</f>
        <v/>
      </c>
      <c r="AB167" s="49" t="str">
        <f aca="false">IF(N($S167)=0,"","6401")</f>
        <v/>
      </c>
      <c r="AC167" s="49" t="str">
        <f aca="false">IF(N($S167)=0,"","1405")</f>
        <v/>
      </c>
      <c r="AD167" s="48" t="str">
        <f aca="false">IF(N($S167)=0,"",$S167)</f>
        <v/>
      </c>
      <c r="AE167" s="49" t="str">
        <f aca="false">IF(AND($D167=客户对账单!$B$3,$B167&gt;=客户对账单!$E$3,$B167&lt;=客户对账单!$H$3),COUNTIFS($D$5:$D167,客户对账单!$B$3,$B$5:$B167,"&gt;="&amp;客户对账单!$E$3,$B$5:$B167,"&lt;="&amp;客户对账单!$H$3),"")</f>
        <v/>
      </c>
    </row>
    <row r="168" customFormat="false" ht="15.75" hidden="false" customHeight="true" outlineLevel="0" collapsed="false">
      <c r="A168" s="42" t="str">
        <f aca="false">IF($B168="","","XS"&amp;TEXT($B168,"yyyymm")&amp;"-"&amp;TEXT(ROW()-4,"000"))</f>
        <v/>
      </c>
      <c r="B168" s="41"/>
      <c r="C168" s="42" t="str">
        <f aca="false">IF($B168="","",TEXT($B168,"yyyy-mm"))</f>
        <v/>
      </c>
      <c r="D168" s="32"/>
      <c r="E168" s="36"/>
      <c r="F168" s="43"/>
      <c r="G168" s="40"/>
      <c r="H168" s="51"/>
      <c r="I168" s="33"/>
      <c r="J168" s="33"/>
      <c r="K168" s="36"/>
      <c r="L168" s="47" t="str">
        <f aca="false">IF($B168="","",IF(NOT(ISNUMBER($B168)),"日期不是日期格式",IF(YEAR($B168)&lt;&gt;首页!$B$3,"不在会计年度",IF($D168="","未选客户",IF(ISNA(MATCH($D168,基础资料!$Z$6:$Z$155,0)),"客户不在档案",IF($E168="","未选商品",IF(ISNA(MATCH($E168,基础资料!$Q$6:$Q$205,0)),"商品不在档案",IF(NOT(ISNUMBER($F168)),"数量须为数字",IF(NOT(ISNUMBER($G168)),"单价须为数字",IF(N($F168)&lt;=0,"数量须大于0",IF(AND(IFERROR(INDEX(基础资料!$V$6:$V$205,MATCH($E168,基础资料!$Q$6:$Q$205,0)),"")="是",N($R168)=0),"无成本价·请先录采购或填参考成本",IF(N($T168)&lt;0,"毛利为负·请核对","√"))))))))))))</f>
        <v/>
      </c>
      <c r="M168" s="49" t="str">
        <f aca="false">IF($E168="","",IFERROR(INDEX(基础资料!$R$6:$R$205,MATCH($E168,基础资料!$Q$6:$Q$205,0)),""))</f>
        <v/>
      </c>
      <c r="N168" s="49" t="str">
        <f aca="false">IF($E168="","",IFERROR(INDEX(基础资料!$S$6:$S$205,MATCH($E168,基础资料!$Q$6:$Q$205,0)),""))</f>
        <v/>
      </c>
      <c r="O168" s="48" t="str">
        <f aca="false">IF(OR($F168="",$G168=""),"",ROUND(N($F168)*N($G168),2))</f>
        <v/>
      </c>
      <c r="P168" s="48" t="str">
        <f aca="false">IF($O168="","",ROUND(N($O168)*N($H168),2))</f>
        <v/>
      </c>
      <c r="Q168" s="48" t="str">
        <f aca="false">IF($O168="","",N($O168)+N($P168))</f>
        <v/>
      </c>
      <c r="R168" s="48" t="str">
        <f aca="false">IF(OR($E168="",$B168=""),"",IF(IFERROR(INDEX(基础资料!$V$6:$V$205,MATCH($E168,基础资料!$Q$6:$Q$205,0)),"")&lt;&gt;"是",0,IFERROR((SUMIFS(期初数据!$T$6:$T$205,期初数据!$O$6:$O$205,$E168)+SUMIFS(采购录入!$Q$5:$Q$404,采购录入!$E$5:$E$404,$E168,采购录入!$I$5:$I$404,"是",采购录入!$B$5:$B$404,"&lt;="&amp;$B168))/(SUMIFS(期初数据!$R$6:$R$205,期初数据!$O$6:$O$205,$E168)+SUMIFS(采购录入!$F$5:$F$404,采购录入!$E$5:$E$404,$E168,采购录入!$I$5:$I$404,"是",采购录入!$B$5:$B$404,"&lt;="&amp;$B168)),IFERROR(INDEX(基础资料!$U$6:$U$205,MATCH($E168,基础资料!$Q$6:$Q$205,0)),0))))</f>
        <v/>
      </c>
      <c r="S168" s="48" t="str">
        <f aca="false">IF($O168="","",ROUND(N($F168)*N($R168),2))</f>
        <v/>
      </c>
      <c r="T168" s="48" t="str">
        <f aca="false">IF($O168="","",N($O168)-N($S168))</f>
        <v/>
      </c>
      <c r="U168" s="52" t="str">
        <f aca="false">IF(OR($B168="",$D168=""),"",$B168+N(IFERROR(INDEX(基础资料!$AB$6:$AB$155,MATCH($D168,基础资料!$Z$6:$Z$155,0)),0)))</f>
        <v/>
      </c>
      <c r="V168" s="49" t="str">
        <f aca="false">IF($O168="","","1122")</f>
        <v/>
      </c>
      <c r="W168" s="49" t="str">
        <f aca="false">IF($O168="","","6001")</f>
        <v/>
      </c>
      <c r="X168" s="48" t="str">
        <f aca="false">IF($O168="","",$O168)</f>
        <v/>
      </c>
      <c r="Y168" s="49" t="str">
        <f aca="false">IF(N($P168)=0,"","1122")</f>
        <v/>
      </c>
      <c r="Z168" s="49" t="str">
        <f aca="false">IF(N($P168)=0,"","2221")</f>
        <v/>
      </c>
      <c r="AA168" s="48" t="str">
        <f aca="false">IF(N($P168)=0,"",$P168)</f>
        <v/>
      </c>
      <c r="AB168" s="49" t="str">
        <f aca="false">IF(N($S168)=0,"","6401")</f>
        <v/>
      </c>
      <c r="AC168" s="49" t="str">
        <f aca="false">IF(N($S168)=0,"","1405")</f>
        <v/>
      </c>
      <c r="AD168" s="48" t="str">
        <f aca="false">IF(N($S168)=0,"",$S168)</f>
        <v/>
      </c>
      <c r="AE168" s="49" t="str">
        <f aca="false">IF(AND($D168=客户对账单!$B$3,$B168&gt;=客户对账单!$E$3,$B168&lt;=客户对账单!$H$3),COUNTIFS($D$5:$D168,客户对账单!$B$3,$B$5:$B168,"&gt;="&amp;客户对账单!$E$3,$B$5:$B168,"&lt;="&amp;客户对账单!$H$3),"")</f>
        <v/>
      </c>
    </row>
    <row r="169" customFormat="false" ht="15.75" hidden="false" customHeight="true" outlineLevel="0" collapsed="false">
      <c r="A169" s="42" t="str">
        <f aca="false">IF($B169="","","XS"&amp;TEXT($B169,"yyyymm")&amp;"-"&amp;TEXT(ROW()-4,"000"))</f>
        <v/>
      </c>
      <c r="B169" s="41"/>
      <c r="C169" s="42" t="str">
        <f aca="false">IF($B169="","",TEXT($B169,"yyyy-mm"))</f>
        <v/>
      </c>
      <c r="D169" s="32"/>
      <c r="E169" s="36"/>
      <c r="F169" s="43"/>
      <c r="G169" s="40"/>
      <c r="H169" s="51"/>
      <c r="I169" s="33"/>
      <c r="J169" s="33"/>
      <c r="K169" s="36"/>
      <c r="L169" s="47" t="str">
        <f aca="false">IF($B169="","",IF(NOT(ISNUMBER($B169)),"日期不是日期格式",IF(YEAR($B169)&lt;&gt;首页!$B$3,"不在会计年度",IF($D169="","未选客户",IF(ISNA(MATCH($D169,基础资料!$Z$6:$Z$155,0)),"客户不在档案",IF($E169="","未选商品",IF(ISNA(MATCH($E169,基础资料!$Q$6:$Q$205,0)),"商品不在档案",IF(NOT(ISNUMBER($F169)),"数量须为数字",IF(NOT(ISNUMBER($G169)),"单价须为数字",IF(N($F169)&lt;=0,"数量须大于0",IF(AND(IFERROR(INDEX(基础资料!$V$6:$V$205,MATCH($E169,基础资料!$Q$6:$Q$205,0)),"")="是",N($R169)=0),"无成本价·请先录采购或填参考成本",IF(N($T169)&lt;0,"毛利为负·请核对","√"))))))))))))</f>
        <v/>
      </c>
      <c r="M169" s="49" t="str">
        <f aca="false">IF($E169="","",IFERROR(INDEX(基础资料!$R$6:$R$205,MATCH($E169,基础资料!$Q$6:$Q$205,0)),""))</f>
        <v/>
      </c>
      <c r="N169" s="49" t="str">
        <f aca="false">IF($E169="","",IFERROR(INDEX(基础资料!$S$6:$S$205,MATCH($E169,基础资料!$Q$6:$Q$205,0)),""))</f>
        <v/>
      </c>
      <c r="O169" s="48" t="str">
        <f aca="false">IF(OR($F169="",$G169=""),"",ROUND(N($F169)*N($G169),2))</f>
        <v/>
      </c>
      <c r="P169" s="48" t="str">
        <f aca="false">IF($O169="","",ROUND(N($O169)*N($H169),2))</f>
        <v/>
      </c>
      <c r="Q169" s="48" t="str">
        <f aca="false">IF($O169="","",N($O169)+N($P169))</f>
        <v/>
      </c>
      <c r="R169" s="48" t="str">
        <f aca="false">IF(OR($E169="",$B169=""),"",IF(IFERROR(INDEX(基础资料!$V$6:$V$205,MATCH($E169,基础资料!$Q$6:$Q$205,0)),"")&lt;&gt;"是",0,IFERROR((SUMIFS(期初数据!$T$6:$T$205,期初数据!$O$6:$O$205,$E169)+SUMIFS(采购录入!$Q$5:$Q$404,采购录入!$E$5:$E$404,$E169,采购录入!$I$5:$I$404,"是",采购录入!$B$5:$B$404,"&lt;="&amp;$B169))/(SUMIFS(期初数据!$R$6:$R$205,期初数据!$O$6:$O$205,$E169)+SUMIFS(采购录入!$F$5:$F$404,采购录入!$E$5:$E$404,$E169,采购录入!$I$5:$I$404,"是",采购录入!$B$5:$B$404,"&lt;="&amp;$B169)),IFERROR(INDEX(基础资料!$U$6:$U$205,MATCH($E169,基础资料!$Q$6:$Q$205,0)),0))))</f>
        <v/>
      </c>
      <c r="S169" s="48" t="str">
        <f aca="false">IF($O169="","",ROUND(N($F169)*N($R169),2))</f>
        <v/>
      </c>
      <c r="T169" s="48" t="str">
        <f aca="false">IF($O169="","",N($O169)-N($S169))</f>
        <v/>
      </c>
      <c r="U169" s="52" t="str">
        <f aca="false">IF(OR($B169="",$D169=""),"",$B169+N(IFERROR(INDEX(基础资料!$AB$6:$AB$155,MATCH($D169,基础资料!$Z$6:$Z$155,0)),0)))</f>
        <v/>
      </c>
      <c r="V169" s="49" t="str">
        <f aca="false">IF($O169="","","1122")</f>
        <v/>
      </c>
      <c r="W169" s="49" t="str">
        <f aca="false">IF($O169="","","6001")</f>
        <v/>
      </c>
      <c r="X169" s="48" t="str">
        <f aca="false">IF($O169="","",$O169)</f>
        <v/>
      </c>
      <c r="Y169" s="49" t="str">
        <f aca="false">IF(N($P169)=0,"","1122")</f>
        <v/>
      </c>
      <c r="Z169" s="49" t="str">
        <f aca="false">IF(N($P169)=0,"","2221")</f>
        <v/>
      </c>
      <c r="AA169" s="48" t="str">
        <f aca="false">IF(N($P169)=0,"",$P169)</f>
        <v/>
      </c>
      <c r="AB169" s="49" t="str">
        <f aca="false">IF(N($S169)=0,"","6401")</f>
        <v/>
      </c>
      <c r="AC169" s="49" t="str">
        <f aca="false">IF(N($S169)=0,"","1405")</f>
        <v/>
      </c>
      <c r="AD169" s="48" t="str">
        <f aca="false">IF(N($S169)=0,"",$S169)</f>
        <v/>
      </c>
      <c r="AE169" s="49" t="str">
        <f aca="false">IF(AND($D169=客户对账单!$B$3,$B169&gt;=客户对账单!$E$3,$B169&lt;=客户对账单!$H$3),COUNTIFS($D$5:$D169,客户对账单!$B$3,$B$5:$B169,"&gt;="&amp;客户对账单!$E$3,$B$5:$B169,"&lt;="&amp;客户对账单!$H$3),"")</f>
        <v/>
      </c>
    </row>
    <row r="170" customFormat="false" ht="15.75" hidden="false" customHeight="true" outlineLevel="0" collapsed="false">
      <c r="A170" s="42" t="str">
        <f aca="false">IF($B170="","","XS"&amp;TEXT($B170,"yyyymm")&amp;"-"&amp;TEXT(ROW()-4,"000"))</f>
        <v/>
      </c>
      <c r="B170" s="41"/>
      <c r="C170" s="42" t="str">
        <f aca="false">IF($B170="","",TEXT($B170,"yyyy-mm"))</f>
        <v/>
      </c>
      <c r="D170" s="32"/>
      <c r="E170" s="36"/>
      <c r="F170" s="43"/>
      <c r="G170" s="40"/>
      <c r="H170" s="51"/>
      <c r="I170" s="33"/>
      <c r="J170" s="33"/>
      <c r="K170" s="36"/>
      <c r="L170" s="47" t="str">
        <f aca="false">IF($B170="","",IF(NOT(ISNUMBER($B170)),"日期不是日期格式",IF(YEAR($B170)&lt;&gt;首页!$B$3,"不在会计年度",IF($D170="","未选客户",IF(ISNA(MATCH($D170,基础资料!$Z$6:$Z$155,0)),"客户不在档案",IF($E170="","未选商品",IF(ISNA(MATCH($E170,基础资料!$Q$6:$Q$205,0)),"商品不在档案",IF(NOT(ISNUMBER($F170)),"数量须为数字",IF(NOT(ISNUMBER($G170)),"单价须为数字",IF(N($F170)&lt;=0,"数量须大于0",IF(AND(IFERROR(INDEX(基础资料!$V$6:$V$205,MATCH($E170,基础资料!$Q$6:$Q$205,0)),"")="是",N($R170)=0),"无成本价·请先录采购或填参考成本",IF(N($T170)&lt;0,"毛利为负·请核对","√"))))))))))))</f>
        <v/>
      </c>
      <c r="M170" s="49" t="str">
        <f aca="false">IF($E170="","",IFERROR(INDEX(基础资料!$R$6:$R$205,MATCH($E170,基础资料!$Q$6:$Q$205,0)),""))</f>
        <v/>
      </c>
      <c r="N170" s="49" t="str">
        <f aca="false">IF($E170="","",IFERROR(INDEX(基础资料!$S$6:$S$205,MATCH($E170,基础资料!$Q$6:$Q$205,0)),""))</f>
        <v/>
      </c>
      <c r="O170" s="48" t="str">
        <f aca="false">IF(OR($F170="",$G170=""),"",ROUND(N($F170)*N($G170),2))</f>
        <v/>
      </c>
      <c r="P170" s="48" t="str">
        <f aca="false">IF($O170="","",ROUND(N($O170)*N($H170),2))</f>
        <v/>
      </c>
      <c r="Q170" s="48" t="str">
        <f aca="false">IF($O170="","",N($O170)+N($P170))</f>
        <v/>
      </c>
      <c r="R170" s="48" t="str">
        <f aca="false">IF(OR($E170="",$B170=""),"",IF(IFERROR(INDEX(基础资料!$V$6:$V$205,MATCH($E170,基础资料!$Q$6:$Q$205,0)),"")&lt;&gt;"是",0,IFERROR((SUMIFS(期初数据!$T$6:$T$205,期初数据!$O$6:$O$205,$E170)+SUMIFS(采购录入!$Q$5:$Q$404,采购录入!$E$5:$E$404,$E170,采购录入!$I$5:$I$404,"是",采购录入!$B$5:$B$404,"&lt;="&amp;$B170))/(SUMIFS(期初数据!$R$6:$R$205,期初数据!$O$6:$O$205,$E170)+SUMIFS(采购录入!$F$5:$F$404,采购录入!$E$5:$E$404,$E170,采购录入!$I$5:$I$404,"是",采购录入!$B$5:$B$404,"&lt;="&amp;$B170)),IFERROR(INDEX(基础资料!$U$6:$U$205,MATCH($E170,基础资料!$Q$6:$Q$205,0)),0))))</f>
        <v/>
      </c>
      <c r="S170" s="48" t="str">
        <f aca="false">IF($O170="","",ROUND(N($F170)*N($R170),2))</f>
        <v/>
      </c>
      <c r="T170" s="48" t="str">
        <f aca="false">IF($O170="","",N($O170)-N($S170))</f>
        <v/>
      </c>
      <c r="U170" s="52" t="str">
        <f aca="false">IF(OR($B170="",$D170=""),"",$B170+N(IFERROR(INDEX(基础资料!$AB$6:$AB$155,MATCH($D170,基础资料!$Z$6:$Z$155,0)),0)))</f>
        <v/>
      </c>
      <c r="V170" s="49" t="str">
        <f aca="false">IF($O170="","","1122")</f>
        <v/>
      </c>
      <c r="W170" s="49" t="str">
        <f aca="false">IF($O170="","","6001")</f>
        <v/>
      </c>
      <c r="X170" s="48" t="str">
        <f aca="false">IF($O170="","",$O170)</f>
        <v/>
      </c>
      <c r="Y170" s="49" t="str">
        <f aca="false">IF(N($P170)=0,"","1122")</f>
        <v/>
      </c>
      <c r="Z170" s="49" t="str">
        <f aca="false">IF(N($P170)=0,"","2221")</f>
        <v/>
      </c>
      <c r="AA170" s="48" t="str">
        <f aca="false">IF(N($P170)=0,"",$P170)</f>
        <v/>
      </c>
      <c r="AB170" s="49" t="str">
        <f aca="false">IF(N($S170)=0,"","6401")</f>
        <v/>
      </c>
      <c r="AC170" s="49" t="str">
        <f aca="false">IF(N($S170)=0,"","1405")</f>
        <v/>
      </c>
      <c r="AD170" s="48" t="str">
        <f aca="false">IF(N($S170)=0,"",$S170)</f>
        <v/>
      </c>
      <c r="AE170" s="49" t="str">
        <f aca="false">IF(AND($D170=客户对账单!$B$3,$B170&gt;=客户对账单!$E$3,$B170&lt;=客户对账单!$H$3),COUNTIFS($D$5:$D170,客户对账单!$B$3,$B$5:$B170,"&gt;="&amp;客户对账单!$E$3,$B$5:$B170,"&lt;="&amp;客户对账单!$H$3),"")</f>
        <v/>
      </c>
    </row>
    <row r="171" customFormat="false" ht="15.75" hidden="false" customHeight="true" outlineLevel="0" collapsed="false">
      <c r="A171" s="42" t="str">
        <f aca="false">IF($B171="","","XS"&amp;TEXT($B171,"yyyymm")&amp;"-"&amp;TEXT(ROW()-4,"000"))</f>
        <v/>
      </c>
      <c r="B171" s="41"/>
      <c r="C171" s="42" t="str">
        <f aca="false">IF($B171="","",TEXT($B171,"yyyy-mm"))</f>
        <v/>
      </c>
      <c r="D171" s="32"/>
      <c r="E171" s="36"/>
      <c r="F171" s="43"/>
      <c r="G171" s="40"/>
      <c r="H171" s="51"/>
      <c r="I171" s="33"/>
      <c r="J171" s="33"/>
      <c r="K171" s="36"/>
      <c r="L171" s="47" t="str">
        <f aca="false">IF($B171="","",IF(NOT(ISNUMBER($B171)),"日期不是日期格式",IF(YEAR($B171)&lt;&gt;首页!$B$3,"不在会计年度",IF($D171="","未选客户",IF(ISNA(MATCH($D171,基础资料!$Z$6:$Z$155,0)),"客户不在档案",IF($E171="","未选商品",IF(ISNA(MATCH($E171,基础资料!$Q$6:$Q$205,0)),"商品不在档案",IF(NOT(ISNUMBER($F171)),"数量须为数字",IF(NOT(ISNUMBER($G171)),"单价须为数字",IF(N($F171)&lt;=0,"数量须大于0",IF(AND(IFERROR(INDEX(基础资料!$V$6:$V$205,MATCH($E171,基础资料!$Q$6:$Q$205,0)),"")="是",N($R171)=0),"无成本价·请先录采购或填参考成本",IF(N($T171)&lt;0,"毛利为负·请核对","√"))))))))))))</f>
        <v/>
      </c>
      <c r="M171" s="49" t="str">
        <f aca="false">IF($E171="","",IFERROR(INDEX(基础资料!$R$6:$R$205,MATCH($E171,基础资料!$Q$6:$Q$205,0)),""))</f>
        <v/>
      </c>
      <c r="N171" s="49" t="str">
        <f aca="false">IF($E171="","",IFERROR(INDEX(基础资料!$S$6:$S$205,MATCH($E171,基础资料!$Q$6:$Q$205,0)),""))</f>
        <v/>
      </c>
      <c r="O171" s="48" t="str">
        <f aca="false">IF(OR($F171="",$G171=""),"",ROUND(N($F171)*N($G171),2))</f>
        <v/>
      </c>
      <c r="P171" s="48" t="str">
        <f aca="false">IF($O171="","",ROUND(N($O171)*N($H171),2))</f>
        <v/>
      </c>
      <c r="Q171" s="48" t="str">
        <f aca="false">IF($O171="","",N($O171)+N($P171))</f>
        <v/>
      </c>
      <c r="R171" s="48" t="str">
        <f aca="false">IF(OR($E171="",$B171=""),"",IF(IFERROR(INDEX(基础资料!$V$6:$V$205,MATCH($E171,基础资料!$Q$6:$Q$205,0)),"")&lt;&gt;"是",0,IFERROR((SUMIFS(期初数据!$T$6:$T$205,期初数据!$O$6:$O$205,$E171)+SUMIFS(采购录入!$Q$5:$Q$404,采购录入!$E$5:$E$404,$E171,采购录入!$I$5:$I$404,"是",采购录入!$B$5:$B$404,"&lt;="&amp;$B171))/(SUMIFS(期初数据!$R$6:$R$205,期初数据!$O$6:$O$205,$E171)+SUMIFS(采购录入!$F$5:$F$404,采购录入!$E$5:$E$404,$E171,采购录入!$I$5:$I$404,"是",采购录入!$B$5:$B$404,"&lt;="&amp;$B171)),IFERROR(INDEX(基础资料!$U$6:$U$205,MATCH($E171,基础资料!$Q$6:$Q$205,0)),0))))</f>
        <v/>
      </c>
      <c r="S171" s="48" t="str">
        <f aca="false">IF($O171="","",ROUND(N($F171)*N($R171),2))</f>
        <v/>
      </c>
      <c r="T171" s="48" t="str">
        <f aca="false">IF($O171="","",N($O171)-N($S171))</f>
        <v/>
      </c>
      <c r="U171" s="52" t="str">
        <f aca="false">IF(OR($B171="",$D171=""),"",$B171+N(IFERROR(INDEX(基础资料!$AB$6:$AB$155,MATCH($D171,基础资料!$Z$6:$Z$155,0)),0)))</f>
        <v/>
      </c>
      <c r="V171" s="49" t="str">
        <f aca="false">IF($O171="","","1122")</f>
        <v/>
      </c>
      <c r="W171" s="49" t="str">
        <f aca="false">IF($O171="","","6001")</f>
        <v/>
      </c>
      <c r="X171" s="48" t="str">
        <f aca="false">IF($O171="","",$O171)</f>
        <v/>
      </c>
      <c r="Y171" s="49" t="str">
        <f aca="false">IF(N($P171)=0,"","1122")</f>
        <v/>
      </c>
      <c r="Z171" s="49" t="str">
        <f aca="false">IF(N($P171)=0,"","2221")</f>
        <v/>
      </c>
      <c r="AA171" s="48" t="str">
        <f aca="false">IF(N($P171)=0,"",$P171)</f>
        <v/>
      </c>
      <c r="AB171" s="49" t="str">
        <f aca="false">IF(N($S171)=0,"","6401")</f>
        <v/>
      </c>
      <c r="AC171" s="49" t="str">
        <f aca="false">IF(N($S171)=0,"","1405")</f>
        <v/>
      </c>
      <c r="AD171" s="48" t="str">
        <f aca="false">IF(N($S171)=0,"",$S171)</f>
        <v/>
      </c>
      <c r="AE171" s="49" t="str">
        <f aca="false">IF(AND($D171=客户对账单!$B$3,$B171&gt;=客户对账单!$E$3,$B171&lt;=客户对账单!$H$3),COUNTIFS($D$5:$D171,客户对账单!$B$3,$B$5:$B171,"&gt;="&amp;客户对账单!$E$3,$B$5:$B171,"&lt;="&amp;客户对账单!$H$3),"")</f>
        <v/>
      </c>
    </row>
    <row r="172" customFormat="false" ht="15.75" hidden="false" customHeight="true" outlineLevel="0" collapsed="false">
      <c r="A172" s="42" t="str">
        <f aca="false">IF($B172="","","XS"&amp;TEXT($B172,"yyyymm")&amp;"-"&amp;TEXT(ROW()-4,"000"))</f>
        <v/>
      </c>
      <c r="B172" s="41"/>
      <c r="C172" s="42" t="str">
        <f aca="false">IF($B172="","",TEXT($B172,"yyyy-mm"))</f>
        <v/>
      </c>
      <c r="D172" s="32"/>
      <c r="E172" s="36"/>
      <c r="F172" s="43"/>
      <c r="G172" s="40"/>
      <c r="H172" s="51"/>
      <c r="I172" s="33"/>
      <c r="J172" s="33"/>
      <c r="K172" s="36"/>
      <c r="L172" s="47" t="str">
        <f aca="false">IF($B172="","",IF(NOT(ISNUMBER($B172)),"日期不是日期格式",IF(YEAR($B172)&lt;&gt;首页!$B$3,"不在会计年度",IF($D172="","未选客户",IF(ISNA(MATCH($D172,基础资料!$Z$6:$Z$155,0)),"客户不在档案",IF($E172="","未选商品",IF(ISNA(MATCH($E172,基础资料!$Q$6:$Q$205,0)),"商品不在档案",IF(NOT(ISNUMBER($F172)),"数量须为数字",IF(NOT(ISNUMBER($G172)),"单价须为数字",IF(N($F172)&lt;=0,"数量须大于0",IF(AND(IFERROR(INDEX(基础资料!$V$6:$V$205,MATCH($E172,基础资料!$Q$6:$Q$205,0)),"")="是",N($R172)=0),"无成本价·请先录采购或填参考成本",IF(N($T172)&lt;0,"毛利为负·请核对","√"))))))))))))</f>
        <v/>
      </c>
      <c r="M172" s="49" t="str">
        <f aca="false">IF($E172="","",IFERROR(INDEX(基础资料!$R$6:$R$205,MATCH($E172,基础资料!$Q$6:$Q$205,0)),""))</f>
        <v/>
      </c>
      <c r="N172" s="49" t="str">
        <f aca="false">IF($E172="","",IFERROR(INDEX(基础资料!$S$6:$S$205,MATCH($E172,基础资料!$Q$6:$Q$205,0)),""))</f>
        <v/>
      </c>
      <c r="O172" s="48" t="str">
        <f aca="false">IF(OR($F172="",$G172=""),"",ROUND(N($F172)*N($G172),2))</f>
        <v/>
      </c>
      <c r="P172" s="48" t="str">
        <f aca="false">IF($O172="","",ROUND(N($O172)*N($H172),2))</f>
        <v/>
      </c>
      <c r="Q172" s="48" t="str">
        <f aca="false">IF($O172="","",N($O172)+N($P172))</f>
        <v/>
      </c>
      <c r="R172" s="48" t="str">
        <f aca="false">IF(OR($E172="",$B172=""),"",IF(IFERROR(INDEX(基础资料!$V$6:$V$205,MATCH($E172,基础资料!$Q$6:$Q$205,0)),"")&lt;&gt;"是",0,IFERROR((SUMIFS(期初数据!$T$6:$T$205,期初数据!$O$6:$O$205,$E172)+SUMIFS(采购录入!$Q$5:$Q$404,采购录入!$E$5:$E$404,$E172,采购录入!$I$5:$I$404,"是",采购录入!$B$5:$B$404,"&lt;="&amp;$B172))/(SUMIFS(期初数据!$R$6:$R$205,期初数据!$O$6:$O$205,$E172)+SUMIFS(采购录入!$F$5:$F$404,采购录入!$E$5:$E$404,$E172,采购录入!$I$5:$I$404,"是",采购录入!$B$5:$B$404,"&lt;="&amp;$B172)),IFERROR(INDEX(基础资料!$U$6:$U$205,MATCH($E172,基础资料!$Q$6:$Q$205,0)),0))))</f>
        <v/>
      </c>
      <c r="S172" s="48" t="str">
        <f aca="false">IF($O172="","",ROUND(N($F172)*N($R172),2))</f>
        <v/>
      </c>
      <c r="T172" s="48" t="str">
        <f aca="false">IF($O172="","",N($O172)-N($S172))</f>
        <v/>
      </c>
      <c r="U172" s="52" t="str">
        <f aca="false">IF(OR($B172="",$D172=""),"",$B172+N(IFERROR(INDEX(基础资料!$AB$6:$AB$155,MATCH($D172,基础资料!$Z$6:$Z$155,0)),0)))</f>
        <v/>
      </c>
      <c r="V172" s="49" t="str">
        <f aca="false">IF($O172="","","1122")</f>
        <v/>
      </c>
      <c r="W172" s="49" t="str">
        <f aca="false">IF($O172="","","6001")</f>
        <v/>
      </c>
      <c r="X172" s="48" t="str">
        <f aca="false">IF($O172="","",$O172)</f>
        <v/>
      </c>
      <c r="Y172" s="49" t="str">
        <f aca="false">IF(N($P172)=0,"","1122")</f>
        <v/>
      </c>
      <c r="Z172" s="49" t="str">
        <f aca="false">IF(N($P172)=0,"","2221")</f>
        <v/>
      </c>
      <c r="AA172" s="48" t="str">
        <f aca="false">IF(N($P172)=0,"",$P172)</f>
        <v/>
      </c>
      <c r="AB172" s="49" t="str">
        <f aca="false">IF(N($S172)=0,"","6401")</f>
        <v/>
      </c>
      <c r="AC172" s="49" t="str">
        <f aca="false">IF(N($S172)=0,"","1405")</f>
        <v/>
      </c>
      <c r="AD172" s="48" t="str">
        <f aca="false">IF(N($S172)=0,"",$S172)</f>
        <v/>
      </c>
      <c r="AE172" s="49" t="str">
        <f aca="false">IF(AND($D172=客户对账单!$B$3,$B172&gt;=客户对账单!$E$3,$B172&lt;=客户对账单!$H$3),COUNTIFS($D$5:$D172,客户对账单!$B$3,$B$5:$B172,"&gt;="&amp;客户对账单!$E$3,$B$5:$B172,"&lt;="&amp;客户对账单!$H$3),"")</f>
        <v/>
      </c>
    </row>
    <row r="173" customFormat="false" ht="15.75" hidden="false" customHeight="true" outlineLevel="0" collapsed="false">
      <c r="A173" s="42" t="str">
        <f aca="false">IF($B173="","","XS"&amp;TEXT($B173,"yyyymm")&amp;"-"&amp;TEXT(ROW()-4,"000"))</f>
        <v/>
      </c>
      <c r="B173" s="41"/>
      <c r="C173" s="42" t="str">
        <f aca="false">IF($B173="","",TEXT($B173,"yyyy-mm"))</f>
        <v/>
      </c>
      <c r="D173" s="32"/>
      <c r="E173" s="36"/>
      <c r="F173" s="43"/>
      <c r="G173" s="40"/>
      <c r="H173" s="51"/>
      <c r="I173" s="33"/>
      <c r="J173" s="33"/>
      <c r="K173" s="36"/>
      <c r="L173" s="47" t="str">
        <f aca="false">IF($B173="","",IF(NOT(ISNUMBER($B173)),"日期不是日期格式",IF(YEAR($B173)&lt;&gt;首页!$B$3,"不在会计年度",IF($D173="","未选客户",IF(ISNA(MATCH($D173,基础资料!$Z$6:$Z$155,0)),"客户不在档案",IF($E173="","未选商品",IF(ISNA(MATCH($E173,基础资料!$Q$6:$Q$205,0)),"商品不在档案",IF(NOT(ISNUMBER($F173)),"数量须为数字",IF(NOT(ISNUMBER($G173)),"单价须为数字",IF(N($F173)&lt;=0,"数量须大于0",IF(AND(IFERROR(INDEX(基础资料!$V$6:$V$205,MATCH($E173,基础资料!$Q$6:$Q$205,0)),"")="是",N($R173)=0),"无成本价·请先录采购或填参考成本",IF(N($T173)&lt;0,"毛利为负·请核对","√"))))))))))))</f>
        <v/>
      </c>
      <c r="M173" s="49" t="str">
        <f aca="false">IF($E173="","",IFERROR(INDEX(基础资料!$R$6:$R$205,MATCH($E173,基础资料!$Q$6:$Q$205,0)),""))</f>
        <v/>
      </c>
      <c r="N173" s="49" t="str">
        <f aca="false">IF($E173="","",IFERROR(INDEX(基础资料!$S$6:$S$205,MATCH($E173,基础资料!$Q$6:$Q$205,0)),""))</f>
        <v/>
      </c>
      <c r="O173" s="48" t="str">
        <f aca="false">IF(OR($F173="",$G173=""),"",ROUND(N($F173)*N($G173),2))</f>
        <v/>
      </c>
      <c r="P173" s="48" t="str">
        <f aca="false">IF($O173="","",ROUND(N($O173)*N($H173),2))</f>
        <v/>
      </c>
      <c r="Q173" s="48" t="str">
        <f aca="false">IF($O173="","",N($O173)+N($P173))</f>
        <v/>
      </c>
      <c r="R173" s="48" t="str">
        <f aca="false">IF(OR($E173="",$B173=""),"",IF(IFERROR(INDEX(基础资料!$V$6:$V$205,MATCH($E173,基础资料!$Q$6:$Q$205,0)),"")&lt;&gt;"是",0,IFERROR((SUMIFS(期初数据!$T$6:$T$205,期初数据!$O$6:$O$205,$E173)+SUMIFS(采购录入!$Q$5:$Q$404,采购录入!$E$5:$E$404,$E173,采购录入!$I$5:$I$404,"是",采购录入!$B$5:$B$404,"&lt;="&amp;$B173))/(SUMIFS(期初数据!$R$6:$R$205,期初数据!$O$6:$O$205,$E173)+SUMIFS(采购录入!$F$5:$F$404,采购录入!$E$5:$E$404,$E173,采购录入!$I$5:$I$404,"是",采购录入!$B$5:$B$404,"&lt;="&amp;$B173)),IFERROR(INDEX(基础资料!$U$6:$U$205,MATCH($E173,基础资料!$Q$6:$Q$205,0)),0))))</f>
        <v/>
      </c>
      <c r="S173" s="48" t="str">
        <f aca="false">IF($O173="","",ROUND(N($F173)*N($R173),2))</f>
        <v/>
      </c>
      <c r="T173" s="48" t="str">
        <f aca="false">IF($O173="","",N($O173)-N($S173))</f>
        <v/>
      </c>
      <c r="U173" s="52" t="str">
        <f aca="false">IF(OR($B173="",$D173=""),"",$B173+N(IFERROR(INDEX(基础资料!$AB$6:$AB$155,MATCH($D173,基础资料!$Z$6:$Z$155,0)),0)))</f>
        <v/>
      </c>
      <c r="V173" s="49" t="str">
        <f aca="false">IF($O173="","","1122")</f>
        <v/>
      </c>
      <c r="W173" s="49" t="str">
        <f aca="false">IF($O173="","","6001")</f>
        <v/>
      </c>
      <c r="X173" s="48" t="str">
        <f aca="false">IF($O173="","",$O173)</f>
        <v/>
      </c>
      <c r="Y173" s="49" t="str">
        <f aca="false">IF(N($P173)=0,"","1122")</f>
        <v/>
      </c>
      <c r="Z173" s="49" t="str">
        <f aca="false">IF(N($P173)=0,"","2221")</f>
        <v/>
      </c>
      <c r="AA173" s="48" t="str">
        <f aca="false">IF(N($P173)=0,"",$P173)</f>
        <v/>
      </c>
      <c r="AB173" s="49" t="str">
        <f aca="false">IF(N($S173)=0,"","6401")</f>
        <v/>
      </c>
      <c r="AC173" s="49" t="str">
        <f aca="false">IF(N($S173)=0,"","1405")</f>
        <v/>
      </c>
      <c r="AD173" s="48" t="str">
        <f aca="false">IF(N($S173)=0,"",$S173)</f>
        <v/>
      </c>
      <c r="AE173" s="49" t="str">
        <f aca="false">IF(AND($D173=客户对账单!$B$3,$B173&gt;=客户对账单!$E$3,$B173&lt;=客户对账单!$H$3),COUNTIFS($D$5:$D173,客户对账单!$B$3,$B$5:$B173,"&gt;="&amp;客户对账单!$E$3,$B$5:$B173,"&lt;="&amp;客户对账单!$H$3),"")</f>
        <v/>
      </c>
    </row>
    <row r="174" customFormat="false" ht="15.75" hidden="false" customHeight="true" outlineLevel="0" collapsed="false">
      <c r="A174" s="42" t="str">
        <f aca="false">IF($B174="","","XS"&amp;TEXT($B174,"yyyymm")&amp;"-"&amp;TEXT(ROW()-4,"000"))</f>
        <v/>
      </c>
      <c r="B174" s="41"/>
      <c r="C174" s="42" t="str">
        <f aca="false">IF($B174="","",TEXT($B174,"yyyy-mm"))</f>
        <v/>
      </c>
      <c r="D174" s="32"/>
      <c r="E174" s="36"/>
      <c r="F174" s="43"/>
      <c r="G174" s="40"/>
      <c r="H174" s="51"/>
      <c r="I174" s="33"/>
      <c r="J174" s="33"/>
      <c r="K174" s="36"/>
      <c r="L174" s="47" t="str">
        <f aca="false">IF($B174="","",IF(NOT(ISNUMBER($B174)),"日期不是日期格式",IF(YEAR($B174)&lt;&gt;首页!$B$3,"不在会计年度",IF($D174="","未选客户",IF(ISNA(MATCH($D174,基础资料!$Z$6:$Z$155,0)),"客户不在档案",IF($E174="","未选商品",IF(ISNA(MATCH($E174,基础资料!$Q$6:$Q$205,0)),"商品不在档案",IF(NOT(ISNUMBER($F174)),"数量须为数字",IF(NOT(ISNUMBER($G174)),"单价须为数字",IF(N($F174)&lt;=0,"数量须大于0",IF(AND(IFERROR(INDEX(基础资料!$V$6:$V$205,MATCH($E174,基础资料!$Q$6:$Q$205,0)),"")="是",N($R174)=0),"无成本价·请先录采购或填参考成本",IF(N($T174)&lt;0,"毛利为负·请核对","√"))))))))))))</f>
        <v/>
      </c>
      <c r="M174" s="49" t="str">
        <f aca="false">IF($E174="","",IFERROR(INDEX(基础资料!$R$6:$R$205,MATCH($E174,基础资料!$Q$6:$Q$205,0)),""))</f>
        <v/>
      </c>
      <c r="N174" s="49" t="str">
        <f aca="false">IF($E174="","",IFERROR(INDEX(基础资料!$S$6:$S$205,MATCH($E174,基础资料!$Q$6:$Q$205,0)),""))</f>
        <v/>
      </c>
      <c r="O174" s="48" t="str">
        <f aca="false">IF(OR($F174="",$G174=""),"",ROUND(N($F174)*N($G174),2))</f>
        <v/>
      </c>
      <c r="P174" s="48" t="str">
        <f aca="false">IF($O174="","",ROUND(N($O174)*N($H174),2))</f>
        <v/>
      </c>
      <c r="Q174" s="48" t="str">
        <f aca="false">IF($O174="","",N($O174)+N($P174))</f>
        <v/>
      </c>
      <c r="R174" s="48" t="str">
        <f aca="false">IF(OR($E174="",$B174=""),"",IF(IFERROR(INDEX(基础资料!$V$6:$V$205,MATCH($E174,基础资料!$Q$6:$Q$205,0)),"")&lt;&gt;"是",0,IFERROR((SUMIFS(期初数据!$T$6:$T$205,期初数据!$O$6:$O$205,$E174)+SUMIFS(采购录入!$Q$5:$Q$404,采购录入!$E$5:$E$404,$E174,采购录入!$I$5:$I$404,"是",采购录入!$B$5:$B$404,"&lt;="&amp;$B174))/(SUMIFS(期初数据!$R$6:$R$205,期初数据!$O$6:$O$205,$E174)+SUMIFS(采购录入!$F$5:$F$404,采购录入!$E$5:$E$404,$E174,采购录入!$I$5:$I$404,"是",采购录入!$B$5:$B$404,"&lt;="&amp;$B174)),IFERROR(INDEX(基础资料!$U$6:$U$205,MATCH($E174,基础资料!$Q$6:$Q$205,0)),0))))</f>
        <v/>
      </c>
      <c r="S174" s="48" t="str">
        <f aca="false">IF($O174="","",ROUND(N($F174)*N($R174),2))</f>
        <v/>
      </c>
      <c r="T174" s="48" t="str">
        <f aca="false">IF($O174="","",N($O174)-N($S174))</f>
        <v/>
      </c>
      <c r="U174" s="52" t="str">
        <f aca="false">IF(OR($B174="",$D174=""),"",$B174+N(IFERROR(INDEX(基础资料!$AB$6:$AB$155,MATCH($D174,基础资料!$Z$6:$Z$155,0)),0)))</f>
        <v/>
      </c>
      <c r="V174" s="49" t="str">
        <f aca="false">IF($O174="","","1122")</f>
        <v/>
      </c>
      <c r="W174" s="49" t="str">
        <f aca="false">IF($O174="","","6001")</f>
        <v/>
      </c>
      <c r="X174" s="48" t="str">
        <f aca="false">IF($O174="","",$O174)</f>
        <v/>
      </c>
      <c r="Y174" s="49" t="str">
        <f aca="false">IF(N($P174)=0,"","1122")</f>
        <v/>
      </c>
      <c r="Z174" s="49" t="str">
        <f aca="false">IF(N($P174)=0,"","2221")</f>
        <v/>
      </c>
      <c r="AA174" s="48" t="str">
        <f aca="false">IF(N($P174)=0,"",$P174)</f>
        <v/>
      </c>
      <c r="AB174" s="49" t="str">
        <f aca="false">IF(N($S174)=0,"","6401")</f>
        <v/>
      </c>
      <c r="AC174" s="49" t="str">
        <f aca="false">IF(N($S174)=0,"","1405")</f>
        <v/>
      </c>
      <c r="AD174" s="48" t="str">
        <f aca="false">IF(N($S174)=0,"",$S174)</f>
        <v/>
      </c>
      <c r="AE174" s="49" t="str">
        <f aca="false">IF(AND($D174=客户对账单!$B$3,$B174&gt;=客户对账单!$E$3,$B174&lt;=客户对账单!$H$3),COUNTIFS($D$5:$D174,客户对账单!$B$3,$B$5:$B174,"&gt;="&amp;客户对账单!$E$3,$B$5:$B174,"&lt;="&amp;客户对账单!$H$3),"")</f>
        <v/>
      </c>
    </row>
    <row r="175" customFormat="false" ht="15.75" hidden="false" customHeight="true" outlineLevel="0" collapsed="false">
      <c r="A175" s="42" t="str">
        <f aca="false">IF($B175="","","XS"&amp;TEXT($B175,"yyyymm")&amp;"-"&amp;TEXT(ROW()-4,"000"))</f>
        <v/>
      </c>
      <c r="B175" s="41"/>
      <c r="C175" s="42" t="str">
        <f aca="false">IF($B175="","",TEXT($B175,"yyyy-mm"))</f>
        <v/>
      </c>
      <c r="D175" s="32"/>
      <c r="E175" s="36"/>
      <c r="F175" s="43"/>
      <c r="G175" s="40"/>
      <c r="H175" s="51"/>
      <c r="I175" s="33"/>
      <c r="J175" s="33"/>
      <c r="K175" s="36"/>
      <c r="L175" s="47" t="str">
        <f aca="false">IF($B175="","",IF(NOT(ISNUMBER($B175)),"日期不是日期格式",IF(YEAR($B175)&lt;&gt;首页!$B$3,"不在会计年度",IF($D175="","未选客户",IF(ISNA(MATCH($D175,基础资料!$Z$6:$Z$155,0)),"客户不在档案",IF($E175="","未选商品",IF(ISNA(MATCH($E175,基础资料!$Q$6:$Q$205,0)),"商品不在档案",IF(NOT(ISNUMBER($F175)),"数量须为数字",IF(NOT(ISNUMBER($G175)),"单价须为数字",IF(N($F175)&lt;=0,"数量须大于0",IF(AND(IFERROR(INDEX(基础资料!$V$6:$V$205,MATCH($E175,基础资料!$Q$6:$Q$205,0)),"")="是",N($R175)=0),"无成本价·请先录采购或填参考成本",IF(N($T175)&lt;0,"毛利为负·请核对","√"))))))))))))</f>
        <v/>
      </c>
      <c r="M175" s="49" t="str">
        <f aca="false">IF($E175="","",IFERROR(INDEX(基础资料!$R$6:$R$205,MATCH($E175,基础资料!$Q$6:$Q$205,0)),""))</f>
        <v/>
      </c>
      <c r="N175" s="49" t="str">
        <f aca="false">IF($E175="","",IFERROR(INDEX(基础资料!$S$6:$S$205,MATCH($E175,基础资料!$Q$6:$Q$205,0)),""))</f>
        <v/>
      </c>
      <c r="O175" s="48" t="str">
        <f aca="false">IF(OR($F175="",$G175=""),"",ROUND(N($F175)*N($G175),2))</f>
        <v/>
      </c>
      <c r="P175" s="48" t="str">
        <f aca="false">IF($O175="","",ROUND(N($O175)*N($H175),2))</f>
        <v/>
      </c>
      <c r="Q175" s="48" t="str">
        <f aca="false">IF($O175="","",N($O175)+N($P175))</f>
        <v/>
      </c>
      <c r="R175" s="48" t="str">
        <f aca="false">IF(OR($E175="",$B175=""),"",IF(IFERROR(INDEX(基础资料!$V$6:$V$205,MATCH($E175,基础资料!$Q$6:$Q$205,0)),"")&lt;&gt;"是",0,IFERROR((SUMIFS(期初数据!$T$6:$T$205,期初数据!$O$6:$O$205,$E175)+SUMIFS(采购录入!$Q$5:$Q$404,采购录入!$E$5:$E$404,$E175,采购录入!$I$5:$I$404,"是",采购录入!$B$5:$B$404,"&lt;="&amp;$B175))/(SUMIFS(期初数据!$R$6:$R$205,期初数据!$O$6:$O$205,$E175)+SUMIFS(采购录入!$F$5:$F$404,采购录入!$E$5:$E$404,$E175,采购录入!$I$5:$I$404,"是",采购录入!$B$5:$B$404,"&lt;="&amp;$B175)),IFERROR(INDEX(基础资料!$U$6:$U$205,MATCH($E175,基础资料!$Q$6:$Q$205,0)),0))))</f>
        <v/>
      </c>
      <c r="S175" s="48" t="str">
        <f aca="false">IF($O175="","",ROUND(N($F175)*N($R175),2))</f>
        <v/>
      </c>
      <c r="T175" s="48" t="str">
        <f aca="false">IF($O175="","",N($O175)-N($S175))</f>
        <v/>
      </c>
      <c r="U175" s="52" t="str">
        <f aca="false">IF(OR($B175="",$D175=""),"",$B175+N(IFERROR(INDEX(基础资料!$AB$6:$AB$155,MATCH($D175,基础资料!$Z$6:$Z$155,0)),0)))</f>
        <v/>
      </c>
      <c r="V175" s="49" t="str">
        <f aca="false">IF($O175="","","1122")</f>
        <v/>
      </c>
      <c r="W175" s="49" t="str">
        <f aca="false">IF($O175="","","6001")</f>
        <v/>
      </c>
      <c r="X175" s="48" t="str">
        <f aca="false">IF($O175="","",$O175)</f>
        <v/>
      </c>
      <c r="Y175" s="49" t="str">
        <f aca="false">IF(N($P175)=0,"","1122")</f>
        <v/>
      </c>
      <c r="Z175" s="49" t="str">
        <f aca="false">IF(N($P175)=0,"","2221")</f>
        <v/>
      </c>
      <c r="AA175" s="48" t="str">
        <f aca="false">IF(N($P175)=0,"",$P175)</f>
        <v/>
      </c>
      <c r="AB175" s="49" t="str">
        <f aca="false">IF(N($S175)=0,"","6401")</f>
        <v/>
      </c>
      <c r="AC175" s="49" t="str">
        <f aca="false">IF(N($S175)=0,"","1405")</f>
        <v/>
      </c>
      <c r="AD175" s="48" t="str">
        <f aca="false">IF(N($S175)=0,"",$S175)</f>
        <v/>
      </c>
      <c r="AE175" s="49" t="str">
        <f aca="false">IF(AND($D175=客户对账单!$B$3,$B175&gt;=客户对账单!$E$3,$B175&lt;=客户对账单!$H$3),COUNTIFS($D$5:$D175,客户对账单!$B$3,$B$5:$B175,"&gt;="&amp;客户对账单!$E$3,$B$5:$B175,"&lt;="&amp;客户对账单!$H$3),"")</f>
        <v/>
      </c>
    </row>
    <row r="176" customFormat="false" ht="15.75" hidden="false" customHeight="true" outlineLevel="0" collapsed="false">
      <c r="A176" s="42" t="str">
        <f aca="false">IF($B176="","","XS"&amp;TEXT($B176,"yyyymm")&amp;"-"&amp;TEXT(ROW()-4,"000"))</f>
        <v/>
      </c>
      <c r="B176" s="41"/>
      <c r="C176" s="42" t="str">
        <f aca="false">IF($B176="","",TEXT($B176,"yyyy-mm"))</f>
        <v/>
      </c>
      <c r="D176" s="32"/>
      <c r="E176" s="36"/>
      <c r="F176" s="43"/>
      <c r="G176" s="40"/>
      <c r="H176" s="51"/>
      <c r="I176" s="33"/>
      <c r="J176" s="33"/>
      <c r="K176" s="36"/>
      <c r="L176" s="47" t="str">
        <f aca="false">IF($B176="","",IF(NOT(ISNUMBER($B176)),"日期不是日期格式",IF(YEAR($B176)&lt;&gt;首页!$B$3,"不在会计年度",IF($D176="","未选客户",IF(ISNA(MATCH($D176,基础资料!$Z$6:$Z$155,0)),"客户不在档案",IF($E176="","未选商品",IF(ISNA(MATCH($E176,基础资料!$Q$6:$Q$205,0)),"商品不在档案",IF(NOT(ISNUMBER($F176)),"数量须为数字",IF(NOT(ISNUMBER($G176)),"单价须为数字",IF(N($F176)&lt;=0,"数量须大于0",IF(AND(IFERROR(INDEX(基础资料!$V$6:$V$205,MATCH($E176,基础资料!$Q$6:$Q$205,0)),"")="是",N($R176)=0),"无成本价·请先录采购或填参考成本",IF(N($T176)&lt;0,"毛利为负·请核对","√"))))))))))))</f>
        <v/>
      </c>
      <c r="M176" s="49" t="str">
        <f aca="false">IF($E176="","",IFERROR(INDEX(基础资料!$R$6:$R$205,MATCH($E176,基础资料!$Q$6:$Q$205,0)),""))</f>
        <v/>
      </c>
      <c r="N176" s="49" t="str">
        <f aca="false">IF($E176="","",IFERROR(INDEX(基础资料!$S$6:$S$205,MATCH($E176,基础资料!$Q$6:$Q$205,0)),""))</f>
        <v/>
      </c>
      <c r="O176" s="48" t="str">
        <f aca="false">IF(OR($F176="",$G176=""),"",ROUND(N($F176)*N($G176),2))</f>
        <v/>
      </c>
      <c r="P176" s="48" t="str">
        <f aca="false">IF($O176="","",ROUND(N($O176)*N($H176),2))</f>
        <v/>
      </c>
      <c r="Q176" s="48" t="str">
        <f aca="false">IF($O176="","",N($O176)+N($P176))</f>
        <v/>
      </c>
      <c r="R176" s="48" t="str">
        <f aca="false">IF(OR($E176="",$B176=""),"",IF(IFERROR(INDEX(基础资料!$V$6:$V$205,MATCH($E176,基础资料!$Q$6:$Q$205,0)),"")&lt;&gt;"是",0,IFERROR((SUMIFS(期初数据!$T$6:$T$205,期初数据!$O$6:$O$205,$E176)+SUMIFS(采购录入!$Q$5:$Q$404,采购录入!$E$5:$E$404,$E176,采购录入!$I$5:$I$404,"是",采购录入!$B$5:$B$404,"&lt;="&amp;$B176))/(SUMIFS(期初数据!$R$6:$R$205,期初数据!$O$6:$O$205,$E176)+SUMIFS(采购录入!$F$5:$F$404,采购录入!$E$5:$E$404,$E176,采购录入!$I$5:$I$404,"是",采购录入!$B$5:$B$404,"&lt;="&amp;$B176)),IFERROR(INDEX(基础资料!$U$6:$U$205,MATCH($E176,基础资料!$Q$6:$Q$205,0)),0))))</f>
        <v/>
      </c>
      <c r="S176" s="48" t="str">
        <f aca="false">IF($O176="","",ROUND(N($F176)*N($R176),2))</f>
        <v/>
      </c>
      <c r="T176" s="48" t="str">
        <f aca="false">IF($O176="","",N($O176)-N($S176))</f>
        <v/>
      </c>
      <c r="U176" s="52" t="str">
        <f aca="false">IF(OR($B176="",$D176=""),"",$B176+N(IFERROR(INDEX(基础资料!$AB$6:$AB$155,MATCH($D176,基础资料!$Z$6:$Z$155,0)),0)))</f>
        <v/>
      </c>
      <c r="V176" s="49" t="str">
        <f aca="false">IF($O176="","","1122")</f>
        <v/>
      </c>
      <c r="W176" s="49" t="str">
        <f aca="false">IF($O176="","","6001")</f>
        <v/>
      </c>
      <c r="X176" s="48" t="str">
        <f aca="false">IF($O176="","",$O176)</f>
        <v/>
      </c>
      <c r="Y176" s="49" t="str">
        <f aca="false">IF(N($P176)=0,"","1122")</f>
        <v/>
      </c>
      <c r="Z176" s="49" t="str">
        <f aca="false">IF(N($P176)=0,"","2221")</f>
        <v/>
      </c>
      <c r="AA176" s="48" t="str">
        <f aca="false">IF(N($P176)=0,"",$P176)</f>
        <v/>
      </c>
      <c r="AB176" s="49" t="str">
        <f aca="false">IF(N($S176)=0,"","6401")</f>
        <v/>
      </c>
      <c r="AC176" s="49" t="str">
        <f aca="false">IF(N($S176)=0,"","1405")</f>
        <v/>
      </c>
      <c r="AD176" s="48" t="str">
        <f aca="false">IF(N($S176)=0,"",$S176)</f>
        <v/>
      </c>
      <c r="AE176" s="49" t="str">
        <f aca="false">IF(AND($D176=客户对账单!$B$3,$B176&gt;=客户对账单!$E$3,$B176&lt;=客户对账单!$H$3),COUNTIFS($D$5:$D176,客户对账单!$B$3,$B$5:$B176,"&gt;="&amp;客户对账单!$E$3,$B$5:$B176,"&lt;="&amp;客户对账单!$H$3),"")</f>
        <v/>
      </c>
    </row>
    <row r="177" customFormat="false" ht="15.75" hidden="false" customHeight="true" outlineLevel="0" collapsed="false">
      <c r="A177" s="42" t="str">
        <f aca="false">IF($B177="","","XS"&amp;TEXT($B177,"yyyymm")&amp;"-"&amp;TEXT(ROW()-4,"000"))</f>
        <v/>
      </c>
      <c r="B177" s="41"/>
      <c r="C177" s="42" t="str">
        <f aca="false">IF($B177="","",TEXT($B177,"yyyy-mm"))</f>
        <v/>
      </c>
      <c r="D177" s="32"/>
      <c r="E177" s="36"/>
      <c r="F177" s="43"/>
      <c r="G177" s="40"/>
      <c r="H177" s="51"/>
      <c r="I177" s="33"/>
      <c r="J177" s="33"/>
      <c r="K177" s="36"/>
      <c r="L177" s="47" t="str">
        <f aca="false">IF($B177="","",IF(NOT(ISNUMBER($B177)),"日期不是日期格式",IF(YEAR($B177)&lt;&gt;首页!$B$3,"不在会计年度",IF($D177="","未选客户",IF(ISNA(MATCH($D177,基础资料!$Z$6:$Z$155,0)),"客户不在档案",IF($E177="","未选商品",IF(ISNA(MATCH($E177,基础资料!$Q$6:$Q$205,0)),"商品不在档案",IF(NOT(ISNUMBER($F177)),"数量须为数字",IF(NOT(ISNUMBER($G177)),"单价须为数字",IF(N($F177)&lt;=0,"数量须大于0",IF(AND(IFERROR(INDEX(基础资料!$V$6:$V$205,MATCH($E177,基础资料!$Q$6:$Q$205,0)),"")="是",N($R177)=0),"无成本价·请先录采购或填参考成本",IF(N($T177)&lt;0,"毛利为负·请核对","√"))))))))))))</f>
        <v/>
      </c>
      <c r="M177" s="49" t="str">
        <f aca="false">IF($E177="","",IFERROR(INDEX(基础资料!$R$6:$R$205,MATCH($E177,基础资料!$Q$6:$Q$205,0)),""))</f>
        <v/>
      </c>
      <c r="N177" s="49" t="str">
        <f aca="false">IF($E177="","",IFERROR(INDEX(基础资料!$S$6:$S$205,MATCH($E177,基础资料!$Q$6:$Q$205,0)),""))</f>
        <v/>
      </c>
      <c r="O177" s="48" t="str">
        <f aca="false">IF(OR($F177="",$G177=""),"",ROUND(N($F177)*N($G177),2))</f>
        <v/>
      </c>
      <c r="P177" s="48" t="str">
        <f aca="false">IF($O177="","",ROUND(N($O177)*N($H177),2))</f>
        <v/>
      </c>
      <c r="Q177" s="48" t="str">
        <f aca="false">IF($O177="","",N($O177)+N($P177))</f>
        <v/>
      </c>
      <c r="R177" s="48" t="str">
        <f aca="false">IF(OR($E177="",$B177=""),"",IF(IFERROR(INDEX(基础资料!$V$6:$V$205,MATCH($E177,基础资料!$Q$6:$Q$205,0)),"")&lt;&gt;"是",0,IFERROR((SUMIFS(期初数据!$T$6:$T$205,期初数据!$O$6:$O$205,$E177)+SUMIFS(采购录入!$Q$5:$Q$404,采购录入!$E$5:$E$404,$E177,采购录入!$I$5:$I$404,"是",采购录入!$B$5:$B$404,"&lt;="&amp;$B177))/(SUMIFS(期初数据!$R$6:$R$205,期初数据!$O$6:$O$205,$E177)+SUMIFS(采购录入!$F$5:$F$404,采购录入!$E$5:$E$404,$E177,采购录入!$I$5:$I$404,"是",采购录入!$B$5:$B$404,"&lt;="&amp;$B177)),IFERROR(INDEX(基础资料!$U$6:$U$205,MATCH($E177,基础资料!$Q$6:$Q$205,0)),0))))</f>
        <v/>
      </c>
      <c r="S177" s="48" t="str">
        <f aca="false">IF($O177="","",ROUND(N($F177)*N($R177),2))</f>
        <v/>
      </c>
      <c r="T177" s="48" t="str">
        <f aca="false">IF($O177="","",N($O177)-N($S177))</f>
        <v/>
      </c>
      <c r="U177" s="52" t="str">
        <f aca="false">IF(OR($B177="",$D177=""),"",$B177+N(IFERROR(INDEX(基础资料!$AB$6:$AB$155,MATCH($D177,基础资料!$Z$6:$Z$155,0)),0)))</f>
        <v/>
      </c>
      <c r="V177" s="49" t="str">
        <f aca="false">IF($O177="","","1122")</f>
        <v/>
      </c>
      <c r="W177" s="49" t="str">
        <f aca="false">IF($O177="","","6001")</f>
        <v/>
      </c>
      <c r="X177" s="48" t="str">
        <f aca="false">IF($O177="","",$O177)</f>
        <v/>
      </c>
      <c r="Y177" s="49" t="str">
        <f aca="false">IF(N($P177)=0,"","1122")</f>
        <v/>
      </c>
      <c r="Z177" s="49" t="str">
        <f aca="false">IF(N($P177)=0,"","2221")</f>
        <v/>
      </c>
      <c r="AA177" s="48" t="str">
        <f aca="false">IF(N($P177)=0,"",$P177)</f>
        <v/>
      </c>
      <c r="AB177" s="49" t="str">
        <f aca="false">IF(N($S177)=0,"","6401")</f>
        <v/>
      </c>
      <c r="AC177" s="49" t="str">
        <f aca="false">IF(N($S177)=0,"","1405")</f>
        <v/>
      </c>
      <c r="AD177" s="48" t="str">
        <f aca="false">IF(N($S177)=0,"",$S177)</f>
        <v/>
      </c>
      <c r="AE177" s="49" t="str">
        <f aca="false">IF(AND($D177=客户对账单!$B$3,$B177&gt;=客户对账单!$E$3,$B177&lt;=客户对账单!$H$3),COUNTIFS($D$5:$D177,客户对账单!$B$3,$B$5:$B177,"&gt;="&amp;客户对账单!$E$3,$B$5:$B177,"&lt;="&amp;客户对账单!$H$3),"")</f>
        <v/>
      </c>
    </row>
    <row r="178" customFormat="false" ht="15.75" hidden="false" customHeight="true" outlineLevel="0" collapsed="false">
      <c r="A178" s="42" t="str">
        <f aca="false">IF($B178="","","XS"&amp;TEXT($B178,"yyyymm")&amp;"-"&amp;TEXT(ROW()-4,"000"))</f>
        <v/>
      </c>
      <c r="B178" s="41"/>
      <c r="C178" s="42" t="str">
        <f aca="false">IF($B178="","",TEXT($B178,"yyyy-mm"))</f>
        <v/>
      </c>
      <c r="D178" s="32"/>
      <c r="E178" s="36"/>
      <c r="F178" s="43"/>
      <c r="G178" s="40"/>
      <c r="H178" s="51"/>
      <c r="I178" s="33"/>
      <c r="J178" s="33"/>
      <c r="K178" s="36"/>
      <c r="L178" s="47" t="str">
        <f aca="false">IF($B178="","",IF(NOT(ISNUMBER($B178)),"日期不是日期格式",IF(YEAR($B178)&lt;&gt;首页!$B$3,"不在会计年度",IF($D178="","未选客户",IF(ISNA(MATCH($D178,基础资料!$Z$6:$Z$155,0)),"客户不在档案",IF($E178="","未选商品",IF(ISNA(MATCH($E178,基础资料!$Q$6:$Q$205,0)),"商品不在档案",IF(NOT(ISNUMBER($F178)),"数量须为数字",IF(NOT(ISNUMBER($G178)),"单价须为数字",IF(N($F178)&lt;=0,"数量须大于0",IF(AND(IFERROR(INDEX(基础资料!$V$6:$V$205,MATCH($E178,基础资料!$Q$6:$Q$205,0)),"")="是",N($R178)=0),"无成本价·请先录采购或填参考成本",IF(N($T178)&lt;0,"毛利为负·请核对","√"))))))))))))</f>
        <v/>
      </c>
      <c r="M178" s="49" t="str">
        <f aca="false">IF($E178="","",IFERROR(INDEX(基础资料!$R$6:$R$205,MATCH($E178,基础资料!$Q$6:$Q$205,0)),""))</f>
        <v/>
      </c>
      <c r="N178" s="49" t="str">
        <f aca="false">IF($E178="","",IFERROR(INDEX(基础资料!$S$6:$S$205,MATCH($E178,基础资料!$Q$6:$Q$205,0)),""))</f>
        <v/>
      </c>
      <c r="O178" s="48" t="str">
        <f aca="false">IF(OR($F178="",$G178=""),"",ROUND(N($F178)*N($G178),2))</f>
        <v/>
      </c>
      <c r="P178" s="48" t="str">
        <f aca="false">IF($O178="","",ROUND(N($O178)*N($H178),2))</f>
        <v/>
      </c>
      <c r="Q178" s="48" t="str">
        <f aca="false">IF($O178="","",N($O178)+N($P178))</f>
        <v/>
      </c>
      <c r="R178" s="48" t="str">
        <f aca="false">IF(OR($E178="",$B178=""),"",IF(IFERROR(INDEX(基础资料!$V$6:$V$205,MATCH($E178,基础资料!$Q$6:$Q$205,0)),"")&lt;&gt;"是",0,IFERROR((SUMIFS(期初数据!$T$6:$T$205,期初数据!$O$6:$O$205,$E178)+SUMIFS(采购录入!$Q$5:$Q$404,采购录入!$E$5:$E$404,$E178,采购录入!$I$5:$I$404,"是",采购录入!$B$5:$B$404,"&lt;="&amp;$B178))/(SUMIFS(期初数据!$R$6:$R$205,期初数据!$O$6:$O$205,$E178)+SUMIFS(采购录入!$F$5:$F$404,采购录入!$E$5:$E$404,$E178,采购录入!$I$5:$I$404,"是",采购录入!$B$5:$B$404,"&lt;="&amp;$B178)),IFERROR(INDEX(基础资料!$U$6:$U$205,MATCH($E178,基础资料!$Q$6:$Q$205,0)),0))))</f>
        <v/>
      </c>
      <c r="S178" s="48" t="str">
        <f aca="false">IF($O178="","",ROUND(N($F178)*N($R178),2))</f>
        <v/>
      </c>
      <c r="T178" s="48" t="str">
        <f aca="false">IF($O178="","",N($O178)-N($S178))</f>
        <v/>
      </c>
      <c r="U178" s="52" t="str">
        <f aca="false">IF(OR($B178="",$D178=""),"",$B178+N(IFERROR(INDEX(基础资料!$AB$6:$AB$155,MATCH($D178,基础资料!$Z$6:$Z$155,0)),0)))</f>
        <v/>
      </c>
      <c r="V178" s="49" t="str">
        <f aca="false">IF($O178="","","1122")</f>
        <v/>
      </c>
      <c r="W178" s="49" t="str">
        <f aca="false">IF($O178="","","6001")</f>
        <v/>
      </c>
      <c r="X178" s="48" t="str">
        <f aca="false">IF($O178="","",$O178)</f>
        <v/>
      </c>
      <c r="Y178" s="49" t="str">
        <f aca="false">IF(N($P178)=0,"","1122")</f>
        <v/>
      </c>
      <c r="Z178" s="49" t="str">
        <f aca="false">IF(N($P178)=0,"","2221")</f>
        <v/>
      </c>
      <c r="AA178" s="48" t="str">
        <f aca="false">IF(N($P178)=0,"",$P178)</f>
        <v/>
      </c>
      <c r="AB178" s="49" t="str">
        <f aca="false">IF(N($S178)=0,"","6401")</f>
        <v/>
      </c>
      <c r="AC178" s="49" t="str">
        <f aca="false">IF(N($S178)=0,"","1405")</f>
        <v/>
      </c>
      <c r="AD178" s="48" t="str">
        <f aca="false">IF(N($S178)=0,"",$S178)</f>
        <v/>
      </c>
      <c r="AE178" s="49" t="str">
        <f aca="false">IF(AND($D178=客户对账单!$B$3,$B178&gt;=客户对账单!$E$3,$B178&lt;=客户对账单!$H$3),COUNTIFS($D$5:$D178,客户对账单!$B$3,$B$5:$B178,"&gt;="&amp;客户对账单!$E$3,$B$5:$B178,"&lt;="&amp;客户对账单!$H$3),"")</f>
        <v/>
      </c>
    </row>
    <row r="179" customFormat="false" ht="15.75" hidden="false" customHeight="true" outlineLevel="0" collapsed="false">
      <c r="A179" s="42" t="str">
        <f aca="false">IF($B179="","","XS"&amp;TEXT($B179,"yyyymm")&amp;"-"&amp;TEXT(ROW()-4,"000"))</f>
        <v/>
      </c>
      <c r="B179" s="41"/>
      <c r="C179" s="42" t="str">
        <f aca="false">IF($B179="","",TEXT($B179,"yyyy-mm"))</f>
        <v/>
      </c>
      <c r="D179" s="32"/>
      <c r="E179" s="36"/>
      <c r="F179" s="43"/>
      <c r="G179" s="40"/>
      <c r="H179" s="51"/>
      <c r="I179" s="33"/>
      <c r="J179" s="33"/>
      <c r="K179" s="36"/>
      <c r="L179" s="47" t="str">
        <f aca="false">IF($B179="","",IF(NOT(ISNUMBER($B179)),"日期不是日期格式",IF(YEAR($B179)&lt;&gt;首页!$B$3,"不在会计年度",IF($D179="","未选客户",IF(ISNA(MATCH($D179,基础资料!$Z$6:$Z$155,0)),"客户不在档案",IF($E179="","未选商品",IF(ISNA(MATCH($E179,基础资料!$Q$6:$Q$205,0)),"商品不在档案",IF(NOT(ISNUMBER($F179)),"数量须为数字",IF(NOT(ISNUMBER($G179)),"单价须为数字",IF(N($F179)&lt;=0,"数量须大于0",IF(AND(IFERROR(INDEX(基础资料!$V$6:$V$205,MATCH($E179,基础资料!$Q$6:$Q$205,0)),"")="是",N($R179)=0),"无成本价·请先录采购或填参考成本",IF(N($T179)&lt;0,"毛利为负·请核对","√"))))))))))))</f>
        <v/>
      </c>
      <c r="M179" s="49" t="str">
        <f aca="false">IF($E179="","",IFERROR(INDEX(基础资料!$R$6:$R$205,MATCH($E179,基础资料!$Q$6:$Q$205,0)),""))</f>
        <v/>
      </c>
      <c r="N179" s="49" t="str">
        <f aca="false">IF($E179="","",IFERROR(INDEX(基础资料!$S$6:$S$205,MATCH($E179,基础资料!$Q$6:$Q$205,0)),""))</f>
        <v/>
      </c>
      <c r="O179" s="48" t="str">
        <f aca="false">IF(OR($F179="",$G179=""),"",ROUND(N($F179)*N($G179),2))</f>
        <v/>
      </c>
      <c r="P179" s="48" t="str">
        <f aca="false">IF($O179="","",ROUND(N($O179)*N($H179),2))</f>
        <v/>
      </c>
      <c r="Q179" s="48" t="str">
        <f aca="false">IF($O179="","",N($O179)+N($P179))</f>
        <v/>
      </c>
      <c r="R179" s="48" t="str">
        <f aca="false">IF(OR($E179="",$B179=""),"",IF(IFERROR(INDEX(基础资料!$V$6:$V$205,MATCH($E179,基础资料!$Q$6:$Q$205,0)),"")&lt;&gt;"是",0,IFERROR((SUMIFS(期初数据!$T$6:$T$205,期初数据!$O$6:$O$205,$E179)+SUMIFS(采购录入!$Q$5:$Q$404,采购录入!$E$5:$E$404,$E179,采购录入!$I$5:$I$404,"是",采购录入!$B$5:$B$404,"&lt;="&amp;$B179))/(SUMIFS(期初数据!$R$6:$R$205,期初数据!$O$6:$O$205,$E179)+SUMIFS(采购录入!$F$5:$F$404,采购录入!$E$5:$E$404,$E179,采购录入!$I$5:$I$404,"是",采购录入!$B$5:$B$404,"&lt;="&amp;$B179)),IFERROR(INDEX(基础资料!$U$6:$U$205,MATCH($E179,基础资料!$Q$6:$Q$205,0)),0))))</f>
        <v/>
      </c>
      <c r="S179" s="48" t="str">
        <f aca="false">IF($O179="","",ROUND(N($F179)*N($R179),2))</f>
        <v/>
      </c>
      <c r="T179" s="48" t="str">
        <f aca="false">IF($O179="","",N($O179)-N($S179))</f>
        <v/>
      </c>
      <c r="U179" s="52" t="str">
        <f aca="false">IF(OR($B179="",$D179=""),"",$B179+N(IFERROR(INDEX(基础资料!$AB$6:$AB$155,MATCH($D179,基础资料!$Z$6:$Z$155,0)),0)))</f>
        <v/>
      </c>
      <c r="V179" s="49" t="str">
        <f aca="false">IF($O179="","","1122")</f>
        <v/>
      </c>
      <c r="W179" s="49" t="str">
        <f aca="false">IF($O179="","","6001")</f>
        <v/>
      </c>
      <c r="X179" s="48" t="str">
        <f aca="false">IF($O179="","",$O179)</f>
        <v/>
      </c>
      <c r="Y179" s="49" t="str">
        <f aca="false">IF(N($P179)=0,"","1122")</f>
        <v/>
      </c>
      <c r="Z179" s="49" t="str">
        <f aca="false">IF(N($P179)=0,"","2221")</f>
        <v/>
      </c>
      <c r="AA179" s="48" t="str">
        <f aca="false">IF(N($P179)=0,"",$P179)</f>
        <v/>
      </c>
      <c r="AB179" s="49" t="str">
        <f aca="false">IF(N($S179)=0,"","6401")</f>
        <v/>
      </c>
      <c r="AC179" s="49" t="str">
        <f aca="false">IF(N($S179)=0,"","1405")</f>
        <v/>
      </c>
      <c r="AD179" s="48" t="str">
        <f aca="false">IF(N($S179)=0,"",$S179)</f>
        <v/>
      </c>
      <c r="AE179" s="49" t="str">
        <f aca="false">IF(AND($D179=客户对账单!$B$3,$B179&gt;=客户对账单!$E$3,$B179&lt;=客户对账单!$H$3),COUNTIFS($D$5:$D179,客户对账单!$B$3,$B$5:$B179,"&gt;="&amp;客户对账单!$E$3,$B$5:$B179,"&lt;="&amp;客户对账单!$H$3),"")</f>
        <v/>
      </c>
    </row>
    <row r="180" customFormat="false" ht="15.75" hidden="false" customHeight="true" outlineLevel="0" collapsed="false">
      <c r="A180" s="42" t="str">
        <f aca="false">IF($B180="","","XS"&amp;TEXT($B180,"yyyymm")&amp;"-"&amp;TEXT(ROW()-4,"000"))</f>
        <v/>
      </c>
      <c r="B180" s="41"/>
      <c r="C180" s="42" t="str">
        <f aca="false">IF($B180="","",TEXT($B180,"yyyy-mm"))</f>
        <v/>
      </c>
      <c r="D180" s="32"/>
      <c r="E180" s="36"/>
      <c r="F180" s="43"/>
      <c r="G180" s="40"/>
      <c r="H180" s="51"/>
      <c r="I180" s="33"/>
      <c r="J180" s="33"/>
      <c r="K180" s="36"/>
      <c r="L180" s="47" t="str">
        <f aca="false">IF($B180="","",IF(NOT(ISNUMBER($B180)),"日期不是日期格式",IF(YEAR($B180)&lt;&gt;首页!$B$3,"不在会计年度",IF($D180="","未选客户",IF(ISNA(MATCH($D180,基础资料!$Z$6:$Z$155,0)),"客户不在档案",IF($E180="","未选商品",IF(ISNA(MATCH($E180,基础资料!$Q$6:$Q$205,0)),"商品不在档案",IF(NOT(ISNUMBER($F180)),"数量须为数字",IF(NOT(ISNUMBER($G180)),"单价须为数字",IF(N($F180)&lt;=0,"数量须大于0",IF(AND(IFERROR(INDEX(基础资料!$V$6:$V$205,MATCH($E180,基础资料!$Q$6:$Q$205,0)),"")="是",N($R180)=0),"无成本价·请先录采购或填参考成本",IF(N($T180)&lt;0,"毛利为负·请核对","√"))))))))))))</f>
        <v/>
      </c>
      <c r="M180" s="49" t="str">
        <f aca="false">IF($E180="","",IFERROR(INDEX(基础资料!$R$6:$R$205,MATCH($E180,基础资料!$Q$6:$Q$205,0)),""))</f>
        <v/>
      </c>
      <c r="N180" s="49" t="str">
        <f aca="false">IF($E180="","",IFERROR(INDEX(基础资料!$S$6:$S$205,MATCH($E180,基础资料!$Q$6:$Q$205,0)),""))</f>
        <v/>
      </c>
      <c r="O180" s="48" t="str">
        <f aca="false">IF(OR($F180="",$G180=""),"",ROUND(N($F180)*N($G180),2))</f>
        <v/>
      </c>
      <c r="P180" s="48" t="str">
        <f aca="false">IF($O180="","",ROUND(N($O180)*N($H180),2))</f>
        <v/>
      </c>
      <c r="Q180" s="48" t="str">
        <f aca="false">IF($O180="","",N($O180)+N($P180))</f>
        <v/>
      </c>
      <c r="R180" s="48" t="str">
        <f aca="false">IF(OR($E180="",$B180=""),"",IF(IFERROR(INDEX(基础资料!$V$6:$V$205,MATCH($E180,基础资料!$Q$6:$Q$205,0)),"")&lt;&gt;"是",0,IFERROR((SUMIFS(期初数据!$T$6:$T$205,期初数据!$O$6:$O$205,$E180)+SUMIFS(采购录入!$Q$5:$Q$404,采购录入!$E$5:$E$404,$E180,采购录入!$I$5:$I$404,"是",采购录入!$B$5:$B$404,"&lt;="&amp;$B180))/(SUMIFS(期初数据!$R$6:$R$205,期初数据!$O$6:$O$205,$E180)+SUMIFS(采购录入!$F$5:$F$404,采购录入!$E$5:$E$404,$E180,采购录入!$I$5:$I$404,"是",采购录入!$B$5:$B$404,"&lt;="&amp;$B180)),IFERROR(INDEX(基础资料!$U$6:$U$205,MATCH($E180,基础资料!$Q$6:$Q$205,0)),0))))</f>
        <v/>
      </c>
      <c r="S180" s="48" t="str">
        <f aca="false">IF($O180="","",ROUND(N($F180)*N($R180),2))</f>
        <v/>
      </c>
      <c r="T180" s="48" t="str">
        <f aca="false">IF($O180="","",N($O180)-N($S180))</f>
        <v/>
      </c>
      <c r="U180" s="52" t="str">
        <f aca="false">IF(OR($B180="",$D180=""),"",$B180+N(IFERROR(INDEX(基础资料!$AB$6:$AB$155,MATCH($D180,基础资料!$Z$6:$Z$155,0)),0)))</f>
        <v/>
      </c>
      <c r="V180" s="49" t="str">
        <f aca="false">IF($O180="","","1122")</f>
        <v/>
      </c>
      <c r="W180" s="49" t="str">
        <f aca="false">IF($O180="","","6001")</f>
        <v/>
      </c>
      <c r="X180" s="48" t="str">
        <f aca="false">IF($O180="","",$O180)</f>
        <v/>
      </c>
      <c r="Y180" s="49" t="str">
        <f aca="false">IF(N($P180)=0,"","1122")</f>
        <v/>
      </c>
      <c r="Z180" s="49" t="str">
        <f aca="false">IF(N($P180)=0,"","2221")</f>
        <v/>
      </c>
      <c r="AA180" s="48" t="str">
        <f aca="false">IF(N($P180)=0,"",$P180)</f>
        <v/>
      </c>
      <c r="AB180" s="49" t="str">
        <f aca="false">IF(N($S180)=0,"","6401")</f>
        <v/>
      </c>
      <c r="AC180" s="49" t="str">
        <f aca="false">IF(N($S180)=0,"","1405")</f>
        <v/>
      </c>
      <c r="AD180" s="48" t="str">
        <f aca="false">IF(N($S180)=0,"",$S180)</f>
        <v/>
      </c>
      <c r="AE180" s="49" t="str">
        <f aca="false">IF(AND($D180=客户对账单!$B$3,$B180&gt;=客户对账单!$E$3,$B180&lt;=客户对账单!$H$3),COUNTIFS($D$5:$D180,客户对账单!$B$3,$B$5:$B180,"&gt;="&amp;客户对账单!$E$3,$B$5:$B180,"&lt;="&amp;客户对账单!$H$3),"")</f>
        <v/>
      </c>
    </row>
    <row r="181" customFormat="false" ht="15.75" hidden="false" customHeight="true" outlineLevel="0" collapsed="false">
      <c r="A181" s="42" t="str">
        <f aca="false">IF($B181="","","XS"&amp;TEXT($B181,"yyyymm")&amp;"-"&amp;TEXT(ROW()-4,"000"))</f>
        <v/>
      </c>
      <c r="B181" s="41"/>
      <c r="C181" s="42" t="str">
        <f aca="false">IF($B181="","",TEXT($B181,"yyyy-mm"))</f>
        <v/>
      </c>
      <c r="D181" s="32"/>
      <c r="E181" s="36"/>
      <c r="F181" s="43"/>
      <c r="G181" s="40"/>
      <c r="H181" s="51"/>
      <c r="I181" s="33"/>
      <c r="J181" s="33"/>
      <c r="K181" s="36"/>
      <c r="L181" s="47" t="str">
        <f aca="false">IF($B181="","",IF(NOT(ISNUMBER($B181)),"日期不是日期格式",IF(YEAR($B181)&lt;&gt;首页!$B$3,"不在会计年度",IF($D181="","未选客户",IF(ISNA(MATCH($D181,基础资料!$Z$6:$Z$155,0)),"客户不在档案",IF($E181="","未选商品",IF(ISNA(MATCH($E181,基础资料!$Q$6:$Q$205,0)),"商品不在档案",IF(NOT(ISNUMBER($F181)),"数量须为数字",IF(NOT(ISNUMBER($G181)),"单价须为数字",IF(N($F181)&lt;=0,"数量须大于0",IF(AND(IFERROR(INDEX(基础资料!$V$6:$V$205,MATCH($E181,基础资料!$Q$6:$Q$205,0)),"")="是",N($R181)=0),"无成本价·请先录采购或填参考成本",IF(N($T181)&lt;0,"毛利为负·请核对","√"))))))))))))</f>
        <v/>
      </c>
      <c r="M181" s="49" t="str">
        <f aca="false">IF($E181="","",IFERROR(INDEX(基础资料!$R$6:$R$205,MATCH($E181,基础资料!$Q$6:$Q$205,0)),""))</f>
        <v/>
      </c>
      <c r="N181" s="49" t="str">
        <f aca="false">IF($E181="","",IFERROR(INDEX(基础资料!$S$6:$S$205,MATCH($E181,基础资料!$Q$6:$Q$205,0)),""))</f>
        <v/>
      </c>
      <c r="O181" s="48" t="str">
        <f aca="false">IF(OR($F181="",$G181=""),"",ROUND(N($F181)*N($G181),2))</f>
        <v/>
      </c>
      <c r="P181" s="48" t="str">
        <f aca="false">IF($O181="","",ROUND(N($O181)*N($H181),2))</f>
        <v/>
      </c>
      <c r="Q181" s="48" t="str">
        <f aca="false">IF($O181="","",N($O181)+N($P181))</f>
        <v/>
      </c>
      <c r="R181" s="48" t="str">
        <f aca="false">IF(OR($E181="",$B181=""),"",IF(IFERROR(INDEX(基础资料!$V$6:$V$205,MATCH($E181,基础资料!$Q$6:$Q$205,0)),"")&lt;&gt;"是",0,IFERROR((SUMIFS(期初数据!$T$6:$T$205,期初数据!$O$6:$O$205,$E181)+SUMIFS(采购录入!$Q$5:$Q$404,采购录入!$E$5:$E$404,$E181,采购录入!$I$5:$I$404,"是",采购录入!$B$5:$B$404,"&lt;="&amp;$B181))/(SUMIFS(期初数据!$R$6:$R$205,期初数据!$O$6:$O$205,$E181)+SUMIFS(采购录入!$F$5:$F$404,采购录入!$E$5:$E$404,$E181,采购录入!$I$5:$I$404,"是",采购录入!$B$5:$B$404,"&lt;="&amp;$B181)),IFERROR(INDEX(基础资料!$U$6:$U$205,MATCH($E181,基础资料!$Q$6:$Q$205,0)),0))))</f>
        <v/>
      </c>
      <c r="S181" s="48" t="str">
        <f aca="false">IF($O181="","",ROUND(N($F181)*N($R181),2))</f>
        <v/>
      </c>
      <c r="T181" s="48" t="str">
        <f aca="false">IF($O181="","",N($O181)-N($S181))</f>
        <v/>
      </c>
      <c r="U181" s="52" t="str">
        <f aca="false">IF(OR($B181="",$D181=""),"",$B181+N(IFERROR(INDEX(基础资料!$AB$6:$AB$155,MATCH($D181,基础资料!$Z$6:$Z$155,0)),0)))</f>
        <v/>
      </c>
      <c r="V181" s="49" t="str">
        <f aca="false">IF($O181="","","1122")</f>
        <v/>
      </c>
      <c r="W181" s="49" t="str">
        <f aca="false">IF($O181="","","6001")</f>
        <v/>
      </c>
      <c r="X181" s="48" t="str">
        <f aca="false">IF($O181="","",$O181)</f>
        <v/>
      </c>
      <c r="Y181" s="49" t="str">
        <f aca="false">IF(N($P181)=0,"","1122")</f>
        <v/>
      </c>
      <c r="Z181" s="49" t="str">
        <f aca="false">IF(N($P181)=0,"","2221")</f>
        <v/>
      </c>
      <c r="AA181" s="48" t="str">
        <f aca="false">IF(N($P181)=0,"",$P181)</f>
        <v/>
      </c>
      <c r="AB181" s="49" t="str">
        <f aca="false">IF(N($S181)=0,"","6401")</f>
        <v/>
      </c>
      <c r="AC181" s="49" t="str">
        <f aca="false">IF(N($S181)=0,"","1405")</f>
        <v/>
      </c>
      <c r="AD181" s="48" t="str">
        <f aca="false">IF(N($S181)=0,"",$S181)</f>
        <v/>
      </c>
      <c r="AE181" s="49" t="str">
        <f aca="false">IF(AND($D181=客户对账单!$B$3,$B181&gt;=客户对账单!$E$3,$B181&lt;=客户对账单!$H$3),COUNTIFS($D$5:$D181,客户对账单!$B$3,$B$5:$B181,"&gt;="&amp;客户对账单!$E$3,$B$5:$B181,"&lt;="&amp;客户对账单!$H$3),"")</f>
        <v/>
      </c>
    </row>
    <row r="182" customFormat="false" ht="15.75" hidden="false" customHeight="true" outlineLevel="0" collapsed="false">
      <c r="A182" s="42" t="str">
        <f aca="false">IF($B182="","","XS"&amp;TEXT($B182,"yyyymm")&amp;"-"&amp;TEXT(ROW()-4,"000"))</f>
        <v/>
      </c>
      <c r="B182" s="41"/>
      <c r="C182" s="42" t="str">
        <f aca="false">IF($B182="","",TEXT($B182,"yyyy-mm"))</f>
        <v/>
      </c>
      <c r="D182" s="32"/>
      <c r="E182" s="36"/>
      <c r="F182" s="43"/>
      <c r="G182" s="40"/>
      <c r="H182" s="51"/>
      <c r="I182" s="33"/>
      <c r="J182" s="33"/>
      <c r="K182" s="36"/>
      <c r="L182" s="47" t="str">
        <f aca="false">IF($B182="","",IF(NOT(ISNUMBER($B182)),"日期不是日期格式",IF(YEAR($B182)&lt;&gt;首页!$B$3,"不在会计年度",IF($D182="","未选客户",IF(ISNA(MATCH($D182,基础资料!$Z$6:$Z$155,0)),"客户不在档案",IF($E182="","未选商品",IF(ISNA(MATCH($E182,基础资料!$Q$6:$Q$205,0)),"商品不在档案",IF(NOT(ISNUMBER($F182)),"数量须为数字",IF(NOT(ISNUMBER($G182)),"单价须为数字",IF(N($F182)&lt;=0,"数量须大于0",IF(AND(IFERROR(INDEX(基础资料!$V$6:$V$205,MATCH($E182,基础资料!$Q$6:$Q$205,0)),"")="是",N($R182)=0),"无成本价·请先录采购或填参考成本",IF(N($T182)&lt;0,"毛利为负·请核对","√"))))))))))))</f>
        <v/>
      </c>
      <c r="M182" s="49" t="str">
        <f aca="false">IF($E182="","",IFERROR(INDEX(基础资料!$R$6:$R$205,MATCH($E182,基础资料!$Q$6:$Q$205,0)),""))</f>
        <v/>
      </c>
      <c r="N182" s="49" t="str">
        <f aca="false">IF($E182="","",IFERROR(INDEX(基础资料!$S$6:$S$205,MATCH($E182,基础资料!$Q$6:$Q$205,0)),""))</f>
        <v/>
      </c>
      <c r="O182" s="48" t="str">
        <f aca="false">IF(OR($F182="",$G182=""),"",ROUND(N($F182)*N($G182),2))</f>
        <v/>
      </c>
      <c r="P182" s="48" t="str">
        <f aca="false">IF($O182="","",ROUND(N($O182)*N($H182),2))</f>
        <v/>
      </c>
      <c r="Q182" s="48" t="str">
        <f aca="false">IF($O182="","",N($O182)+N($P182))</f>
        <v/>
      </c>
      <c r="R182" s="48" t="str">
        <f aca="false">IF(OR($E182="",$B182=""),"",IF(IFERROR(INDEX(基础资料!$V$6:$V$205,MATCH($E182,基础资料!$Q$6:$Q$205,0)),"")&lt;&gt;"是",0,IFERROR((SUMIFS(期初数据!$T$6:$T$205,期初数据!$O$6:$O$205,$E182)+SUMIFS(采购录入!$Q$5:$Q$404,采购录入!$E$5:$E$404,$E182,采购录入!$I$5:$I$404,"是",采购录入!$B$5:$B$404,"&lt;="&amp;$B182))/(SUMIFS(期初数据!$R$6:$R$205,期初数据!$O$6:$O$205,$E182)+SUMIFS(采购录入!$F$5:$F$404,采购录入!$E$5:$E$404,$E182,采购录入!$I$5:$I$404,"是",采购录入!$B$5:$B$404,"&lt;="&amp;$B182)),IFERROR(INDEX(基础资料!$U$6:$U$205,MATCH($E182,基础资料!$Q$6:$Q$205,0)),0))))</f>
        <v/>
      </c>
      <c r="S182" s="48" t="str">
        <f aca="false">IF($O182="","",ROUND(N($F182)*N($R182),2))</f>
        <v/>
      </c>
      <c r="T182" s="48" t="str">
        <f aca="false">IF($O182="","",N($O182)-N($S182))</f>
        <v/>
      </c>
      <c r="U182" s="52" t="str">
        <f aca="false">IF(OR($B182="",$D182=""),"",$B182+N(IFERROR(INDEX(基础资料!$AB$6:$AB$155,MATCH($D182,基础资料!$Z$6:$Z$155,0)),0)))</f>
        <v/>
      </c>
      <c r="V182" s="49" t="str">
        <f aca="false">IF($O182="","","1122")</f>
        <v/>
      </c>
      <c r="W182" s="49" t="str">
        <f aca="false">IF($O182="","","6001")</f>
        <v/>
      </c>
      <c r="X182" s="48" t="str">
        <f aca="false">IF($O182="","",$O182)</f>
        <v/>
      </c>
      <c r="Y182" s="49" t="str">
        <f aca="false">IF(N($P182)=0,"","1122")</f>
        <v/>
      </c>
      <c r="Z182" s="49" t="str">
        <f aca="false">IF(N($P182)=0,"","2221")</f>
        <v/>
      </c>
      <c r="AA182" s="48" t="str">
        <f aca="false">IF(N($P182)=0,"",$P182)</f>
        <v/>
      </c>
      <c r="AB182" s="49" t="str">
        <f aca="false">IF(N($S182)=0,"","6401")</f>
        <v/>
      </c>
      <c r="AC182" s="49" t="str">
        <f aca="false">IF(N($S182)=0,"","1405")</f>
        <v/>
      </c>
      <c r="AD182" s="48" t="str">
        <f aca="false">IF(N($S182)=0,"",$S182)</f>
        <v/>
      </c>
      <c r="AE182" s="49" t="str">
        <f aca="false">IF(AND($D182=客户对账单!$B$3,$B182&gt;=客户对账单!$E$3,$B182&lt;=客户对账单!$H$3),COUNTIFS($D$5:$D182,客户对账单!$B$3,$B$5:$B182,"&gt;="&amp;客户对账单!$E$3,$B$5:$B182,"&lt;="&amp;客户对账单!$H$3),"")</f>
        <v/>
      </c>
    </row>
    <row r="183" customFormat="false" ht="15.75" hidden="false" customHeight="true" outlineLevel="0" collapsed="false">
      <c r="A183" s="42" t="str">
        <f aca="false">IF($B183="","","XS"&amp;TEXT($B183,"yyyymm")&amp;"-"&amp;TEXT(ROW()-4,"000"))</f>
        <v/>
      </c>
      <c r="B183" s="41"/>
      <c r="C183" s="42" t="str">
        <f aca="false">IF($B183="","",TEXT($B183,"yyyy-mm"))</f>
        <v/>
      </c>
      <c r="D183" s="32"/>
      <c r="E183" s="36"/>
      <c r="F183" s="43"/>
      <c r="G183" s="40"/>
      <c r="H183" s="51"/>
      <c r="I183" s="33"/>
      <c r="J183" s="33"/>
      <c r="K183" s="36"/>
      <c r="L183" s="47" t="str">
        <f aca="false">IF($B183="","",IF(NOT(ISNUMBER($B183)),"日期不是日期格式",IF(YEAR($B183)&lt;&gt;首页!$B$3,"不在会计年度",IF($D183="","未选客户",IF(ISNA(MATCH($D183,基础资料!$Z$6:$Z$155,0)),"客户不在档案",IF($E183="","未选商品",IF(ISNA(MATCH($E183,基础资料!$Q$6:$Q$205,0)),"商品不在档案",IF(NOT(ISNUMBER($F183)),"数量须为数字",IF(NOT(ISNUMBER($G183)),"单价须为数字",IF(N($F183)&lt;=0,"数量须大于0",IF(AND(IFERROR(INDEX(基础资料!$V$6:$V$205,MATCH($E183,基础资料!$Q$6:$Q$205,0)),"")="是",N($R183)=0),"无成本价·请先录采购或填参考成本",IF(N($T183)&lt;0,"毛利为负·请核对","√"))))))))))))</f>
        <v/>
      </c>
      <c r="M183" s="49" t="str">
        <f aca="false">IF($E183="","",IFERROR(INDEX(基础资料!$R$6:$R$205,MATCH($E183,基础资料!$Q$6:$Q$205,0)),""))</f>
        <v/>
      </c>
      <c r="N183" s="49" t="str">
        <f aca="false">IF($E183="","",IFERROR(INDEX(基础资料!$S$6:$S$205,MATCH($E183,基础资料!$Q$6:$Q$205,0)),""))</f>
        <v/>
      </c>
      <c r="O183" s="48" t="str">
        <f aca="false">IF(OR($F183="",$G183=""),"",ROUND(N($F183)*N($G183),2))</f>
        <v/>
      </c>
      <c r="P183" s="48" t="str">
        <f aca="false">IF($O183="","",ROUND(N($O183)*N($H183),2))</f>
        <v/>
      </c>
      <c r="Q183" s="48" t="str">
        <f aca="false">IF($O183="","",N($O183)+N($P183))</f>
        <v/>
      </c>
      <c r="R183" s="48" t="str">
        <f aca="false">IF(OR($E183="",$B183=""),"",IF(IFERROR(INDEX(基础资料!$V$6:$V$205,MATCH($E183,基础资料!$Q$6:$Q$205,0)),"")&lt;&gt;"是",0,IFERROR((SUMIFS(期初数据!$T$6:$T$205,期初数据!$O$6:$O$205,$E183)+SUMIFS(采购录入!$Q$5:$Q$404,采购录入!$E$5:$E$404,$E183,采购录入!$I$5:$I$404,"是",采购录入!$B$5:$B$404,"&lt;="&amp;$B183))/(SUMIFS(期初数据!$R$6:$R$205,期初数据!$O$6:$O$205,$E183)+SUMIFS(采购录入!$F$5:$F$404,采购录入!$E$5:$E$404,$E183,采购录入!$I$5:$I$404,"是",采购录入!$B$5:$B$404,"&lt;="&amp;$B183)),IFERROR(INDEX(基础资料!$U$6:$U$205,MATCH($E183,基础资料!$Q$6:$Q$205,0)),0))))</f>
        <v/>
      </c>
      <c r="S183" s="48" t="str">
        <f aca="false">IF($O183="","",ROUND(N($F183)*N($R183),2))</f>
        <v/>
      </c>
      <c r="T183" s="48" t="str">
        <f aca="false">IF($O183="","",N($O183)-N($S183))</f>
        <v/>
      </c>
      <c r="U183" s="52" t="str">
        <f aca="false">IF(OR($B183="",$D183=""),"",$B183+N(IFERROR(INDEX(基础资料!$AB$6:$AB$155,MATCH($D183,基础资料!$Z$6:$Z$155,0)),0)))</f>
        <v/>
      </c>
      <c r="V183" s="49" t="str">
        <f aca="false">IF($O183="","","1122")</f>
        <v/>
      </c>
      <c r="W183" s="49" t="str">
        <f aca="false">IF($O183="","","6001")</f>
        <v/>
      </c>
      <c r="X183" s="48" t="str">
        <f aca="false">IF($O183="","",$O183)</f>
        <v/>
      </c>
      <c r="Y183" s="49" t="str">
        <f aca="false">IF(N($P183)=0,"","1122")</f>
        <v/>
      </c>
      <c r="Z183" s="49" t="str">
        <f aca="false">IF(N($P183)=0,"","2221")</f>
        <v/>
      </c>
      <c r="AA183" s="48" t="str">
        <f aca="false">IF(N($P183)=0,"",$P183)</f>
        <v/>
      </c>
      <c r="AB183" s="49" t="str">
        <f aca="false">IF(N($S183)=0,"","6401")</f>
        <v/>
      </c>
      <c r="AC183" s="49" t="str">
        <f aca="false">IF(N($S183)=0,"","1405")</f>
        <v/>
      </c>
      <c r="AD183" s="48" t="str">
        <f aca="false">IF(N($S183)=0,"",$S183)</f>
        <v/>
      </c>
      <c r="AE183" s="49" t="str">
        <f aca="false">IF(AND($D183=客户对账单!$B$3,$B183&gt;=客户对账单!$E$3,$B183&lt;=客户对账单!$H$3),COUNTIFS($D$5:$D183,客户对账单!$B$3,$B$5:$B183,"&gt;="&amp;客户对账单!$E$3,$B$5:$B183,"&lt;="&amp;客户对账单!$H$3),"")</f>
        <v/>
      </c>
    </row>
    <row r="184" customFormat="false" ht="15.75" hidden="false" customHeight="true" outlineLevel="0" collapsed="false">
      <c r="A184" s="42" t="str">
        <f aca="false">IF($B184="","","XS"&amp;TEXT($B184,"yyyymm")&amp;"-"&amp;TEXT(ROW()-4,"000"))</f>
        <v/>
      </c>
      <c r="B184" s="41"/>
      <c r="C184" s="42" t="str">
        <f aca="false">IF($B184="","",TEXT($B184,"yyyy-mm"))</f>
        <v/>
      </c>
      <c r="D184" s="32"/>
      <c r="E184" s="36"/>
      <c r="F184" s="43"/>
      <c r="G184" s="40"/>
      <c r="H184" s="51"/>
      <c r="I184" s="33"/>
      <c r="J184" s="33"/>
      <c r="K184" s="36"/>
      <c r="L184" s="47" t="str">
        <f aca="false">IF($B184="","",IF(NOT(ISNUMBER($B184)),"日期不是日期格式",IF(YEAR($B184)&lt;&gt;首页!$B$3,"不在会计年度",IF($D184="","未选客户",IF(ISNA(MATCH($D184,基础资料!$Z$6:$Z$155,0)),"客户不在档案",IF($E184="","未选商品",IF(ISNA(MATCH($E184,基础资料!$Q$6:$Q$205,0)),"商品不在档案",IF(NOT(ISNUMBER($F184)),"数量须为数字",IF(NOT(ISNUMBER($G184)),"单价须为数字",IF(N($F184)&lt;=0,"数量须大于0",IF(AND(IFERROR(INDEX(基础资料!$V$6:$V$205,MATCH($E184,基础资料!$Q$6:$Q$205,0)),"")="是",N($R184)=0),"无成本价·请先录采购或填参考成本",IF(N($T184)&lt;0,"毛利为负·请核对","√"))))))))))))</f>
        <v/>
      </c>
      <c r="M184" s="49" t="str">
        <f aca="false">IF($E184="","",IFERROR(INDEX(基础资料!$R$6:$R$205,MATCH($E184,基础资料!$Q$6:$Q$205,0)),""))</f>
        <v/>
      </c>
      <c r="N184" s="49" t="str">
        <f aca="false">IF($E184="","",IFERROR(INDEX(基础资料!$S$6:$S$205,MATCH($E184,基础资料!$Q$6:$Q$205,0)),""))</f>
        <v/>
      </c>
      <c r="O184" s="48" t="str">
        <f aca="false">IF(OR($F184="",$G184=""),"",ROUND(N($F184)*N($G184),2))</f>
        <v/>
      </c>
      <c r="P184" s="48" t="str">
        <f aca="false">IF($O184="","",ROUND(N($O184)*N($H184),2))</f>
        <v/>
      </c>
      <c r="Q184" s="48" t="str">
        <f aca="false">IF($O184="","",N($O184)+N($P184))</f>
        <v/>
      </c>
      <c r="R184" s="48" t="str">
        <f aca="false">IF(OR($E184="",$B184=""),"",IF(IFERROR(INDEX(基础资料!$V$6:$V$205,MATCH($E184,基础资料!$Q$6:$Q$205,0)),"")&lt;&gt;"是",0,IFERROR((SUMIFS(期初数据!$T$6:$T$205,期初数据!$O$6:$O$205,$E184)+SUMIFS(采购录入!$Q$5:$Q$404,采购录入!$E$5:$E$404,$E184,采购录入!$I$5:$I$404,"是",采购录入!$B$5:$B$404,"&lt;="&amp;$B184))/(SUMIFS(期初数据!$R$6:$R$205,期初数据!$O$6:$O$205,$E184)+SUMIFS(采购录入!$F$5:$F$404,采购录入!$E$5:$E$404,$E184,采购录入!$I$5:$I$404,"是",采购录入!$B$5:$B$404,"&lt;="&amp;$B184)),IFERROR(INDEX(基础资料!$U$6:$U$205,MATCH($E184,基础资料!$Q$6:$Q$205,0)),0))))</f>
        <v/>
      </c>
      <c r="S184" s="48" t="str">
        <f aca="false">IF($O184="","",ROUND(N($F184)*N($R184),2))</f>
        <v/>
      </c>
      <c r="T184" s="48" t="str">
        <f aca="false">IF($O184="","",N($O184)-N($S184))</f>
        <v/>
      </c>
      <c r="U184" s="52" t="str">
        <f aca="false">IF(OR($B184="",$D184=""),"",$B184+N(IFERROR(INDEX(基础资料!$AB$6:$AB$155,MATCH($D184,基础资料!$Z$6:$Z$155,0)),0)))</f>
        <v/>
      </c>
      <c r="V184" s="49" t="str">
        <f aca="false">IF($O184="","","1122")</f>
        <v/>
      </c>
      <c r="W184" s="49" t="str">
        <f aca="false">IF($O184="","","6001")</f>
        <v/>
      </c>
      <c r="X184" s="48" t="str">
        <f aca="false">IF($O184="","",$O184)</f>
        <v/>
      </c>
      <c r="Y184" s="49" t="str">
        <f aca="false">IF(N($P184)=0,"","1122")</f>
        <v/>
      </c>
      <c r="Z184" s="49" t="str">
        <f aca="false">IF(N($P184)=0,"","2221")</f>
        <v/>
      </c>
      <c r="AA184" s="48" t="str">
        <f aca="false">IF(N($P184)=0,"",$P184)</f>
        <v/>
      </c>
      <c r="AB184" s="49" t="str">
        <f aca="false">IF(N($S184)=0,"","6401")</f>
        <v/>
      </c>
      <c r="AC184" s="49" t="str">
        <f aca="false">IF(N($S184)=0,"","1405")</f>
        <v/>
      </c>
      <c r="AD184" s="48" t="str">
        <f aca="false">IF(N($S184)=0,"",$S184)</f>
        <v/>
      </c>
      <c r="AE184" s="49" t="str">
        <f aca="false">IF(AND($D184=客户对账单!$B$3,$B184&gt;=客户对账单!$E$3,$B184&lt;=客户对账单!$H$3),COUNTIFS($D$5:$D184,客户对账单!$B$3,$B$5:$B184,"&gt;="&amp;客户对账单!$E$3,$B$5:$B184,"&lt;="&amp;客户对账单!$H$3),"")</f>
        <v/>
      </c>
    </row>
    <row r="185" customFormat="false" ht="15.75" hidden="false" customHeight="true" outlineLevel="0" collapsed="false">
      <c r="A185" s="42" t="str">
        <f aca="false">IF($B185="","","XS"&amp;TEXT($B185,"yyyymm")&amp;"-"&amp;TEXT(ROW()-4,"000"))</f>
        <v/>
      </c>
      <c r="B185" s="41"/>
      <c r="C185" s="42" t="str">
        <f aca="false">IF($B185="","",TEXT($B185,"yyyy-mm"))</f>
        <v/>
      </c>
      <c r="D185" s="32"/>
      <c r="E185" s="36"/>
      <c r="F185" s="43"/>
      <c r="G185" s="40"/>
      <c r="H185" s="51"/>
      <c r="I185" s="33"/>
      <c r="J185" s="33"/>
      <c r="K185" s="36"/>
      <c r="L185" s="47" t="str">
        <f aca="false">IF($B185="","",IF(NOT(ISNUMBER($B185)),"日期不是日期格式",IF(YEAR($B185)&lt;&gt;首页!$B$3,"不在会计年度",IF($D185="","未选客户",IF(ISNA(MATCH($D185,基础资料!$Z$6:$Z$155,0)),"客户不在档案",IF($E185="","未选商品",IF(ISNA(MATCH($E185,基础资料!$Q$6:$Q$205,0)),"商品不在档案",IF(NOT(ISNUMBER($F185)),"数量须为数字",IF(NOT(ISNUMBER($G185)),"单价须为数字",IF(N($F185)&lt;=0,"数量须大于0",IF(AND(IFERROR(INDEX(基础资料!$V$6:$V$205,MATCH($E185,基础资料!$Q$6:$Q$205,0)),"")="是",N($R185)=0),"无成本价·请先录采购或填参考成本",IF(N($T185)&lt;0,"毛利为负·请核对","√"))))))))))))</f>
        <v/>
      </c>
      <c r="M185" s="49" t="str">
        <f aca="false">IF($E185="","",IFERROR(INDEX(基础资料!$R$6:$R$205,MATCH($E185,基础资料!$Q$6:$Q$205,0)),""))</f>
        <v/>
      </c>
      <c r="N185" s="49" t="str">
        <f aca="false">IF($E185="","",IFERROR(INDEX(基础资料!$S$6:$S$205,MATCH($E185,基础资料!$Q$6:$Q$205,0)),""))</f>
        <v/>
      </c>
      <c r="O185" s="48" t="str">
        <f aca="false">IF(OR($F185="",$G185=""),"",ROUND(N($F185)*N($G185),2))</f>
        <v/>
      </c>
      <c r="P185" s="48" t="str">
        <f aca="false">IF($O185="","",ROUND(N($O185)*N($H185),2))</f>
        <v/>
      </c>
      <c r="Q185" s="48" t="str">
        <f aca="false">IF($O185="","",N($O185)+N($P185))</f>
        <v/>
      </c>
      <c r="R185" s="48" t="str">
        <f aca="false">IF(OR($E185="",$B185=""),"",IF(IFERROR(INDEX(基础资料!$V$6:$V$205,MATCH($E185,基础资料!$Q$6:$Q$205,0)),"")&lt;&gt;"是",0,IFERROR((SUMIFS(期初数据!$T$6:$T$205,期初数据!$O$6:$O$205,$E185)+SUMIFS(采购录入!$Q$5:$Q$404,采购录入!$E$5:$E$404,$E185,采购录入!$I$5:$I$404,"是",采购录入!$B$5:$B$404,"&lt;="&amp;$B185))/(SUMIFS(期初数据!$R$6:$R$205,期初数据!$O$6:$O$205,$E185)+SUMIFS(采购录入!$F$5:$F$404,采购录入!$E$5:$E$404,$E185,采购录入!$I$5:$I$404,"是",采购录入!$B$5:$B$404,"&lt;="&amp;$B185)),IFERROR(INDEX(基础资料!$U$6:$U$205,MATCH($E185,基础资料!$Q$6:$Q$205,0)),0))))</f>
        <v/>
      </c>
      <c r="S185" s="48" t="str">
        <f aca="false">IF($O185="","",ROUND(N($F185)*N($R185),2))</f>
        <v/>
      </c>
      <c r="T185" s="48" t="str">
        <f aca="false">IF($O185="","",N($O185)-N($S185))</f>
        <v/>
      </c>
      <c r="U185" s="52" t="str">
        <f aca="false">IF(OR($B185="",$D185=""),"",$B185+N(IFERROR(INDEX(基础资料!$AB$6:$AB$155,MATCH($D185,基础资料!$Z$6:$Z$155,0)),0)))</f>
        <v/>
      </c>
      <c r="V185" s="49" t="str">
        <f aca="false">IF($O185="","","1122")</f>
        <v/>
      </c>
      <c r="W185" s="49" t="str">
        <f aca="false">IF($O185="","","6001")</f>
        <v/>
      </c>
      <c r="X185" s="48" t="str">
        <f aca="false">IF($O185="","",$O185)</f>
        <v/>
      </c>
      <c r="Y185" s="49" t="str">
        <f aca="false">IF(N($P185)=0,"","1122")</f>
        <v/>
      </c>
      <c r="Z185" s="49" t="str">
        <f aca="false">IF(N($P185)=0,"","2221")</f>
        <v/>
      </c>
      <c r="AA185" s="48" t="str">
        <f aca="false">IF(N($P185)=0,"",$P185)</f>
        <v/>
      </c>
      <c r="AB185" s="49" t="str">
        <f aca="false">IF(N($S185)=0,"","6401")</f>
        <v/>
      </c>
      <c r="AC185" s="49" t="str">
        <f aca="false">IF(N($S185)=0,"","1405")</f>
        <v/>
      </c>
      <c r="AD185" s="48" t="str">
        <f aca="false">IF(N($S185)=0,"",$S185)</f>
        <v/>
      </c>
      <c r="AE185" s="49" t="str">
        <f aca="false">IF(AND($D185=客户对账单!$B$3,$B185&gt;=客户对账单!$E$3,$B185&lt;=客户对账单!$H$3),COUNTIFS($D$5:$D185,客户对账单!$B$3,$B$5:$B185,"&gt;="&amp;客户对账单!$E$3,$B$5:$B185,"&lt;="&amp;客户对账单!$H$3),"")</f>
        <v/>
      </c>
    </row>
    <row r="186" customFormat="false" ht="15.75" hidden="false" customHeight="true" outlineLevel="0" collapsed="false">
      <c r="A186" s="42" t="str">
        <f aca="false">IF($B186="","","XS"&amp;TEXT($B186,"yyyymm")&amp;"-"&amp;TEXT(ROW()-4,"000"))</f>
        <v/>
      </c>
      <c r="B186" s="41"/>
      <c r="C186" s="42" t="str">
        <f aca="false">IF($B186="","",TEXT($B186,"yyyy-mm"))</f>
        <v/>
      </c>
      <c r="D186" s="32"/>
      <c r="E186" s="36"/>
      <c r="F186" s="43"/>
      <c r="G186" s="40"/>
      <c r="H186" s="51"/>
      <c r="I186" s="33"/>
      <c r="J186" s="33"/>
      <c r="K186" s="36"/>
      <c r="L186" s="47" t="str">
        <f aca="false">IF($B186="","",IF(NOT(ISNUMBER($B186)),"日期不是日期格式",IF(YEAR($B186)&lt;&gt;首页!$B$3,"不在会计年度",IF($D186="","未选客户",IF(ISNA(MATCH($D186,基础资料!$Z$6:$Z$155,0)),"客户不在档案",IF($E186="","未选商品",IF(ISNA(MATCH($E186,基础资料!$Q$6:$Q$205,0)),"商品不在档案",IF(NOT(ISNUMBER($F186)),"数量须为数字",IF(NOT(ISNUMBER($G186)),"单价须为数字",IF(N($F186)&lt;=0,"数量须大于0",IF(AND(IFERROR(INDEX(基础资料!$V$6:$V$205,MATCH($E186,基础资料!$Q$6:$Q$205,0)),"")="是",N($R186)=0),"无成本价·请先录采购或填参考成本",IF(N($T186)&lt;0,"毛利为负·请核对","√"))))))))))))</f>
        <v/>
      </c>
      <c r="M186" s="49" t="str">
        <f aca="false">IF($E186="","",IFERROR(INDEX(基础资料!$R$6:$R$205,MATCH($E186,基础资料!$Q$6:$Q$205,0)),""))</f>
        <v/>
      </c>
      <c r="N186" s="49" t="str">
        <f aca="false">IF($E186="","",IFERROR(INDEX(基础资料!$S$6:$S$205,MATCH($E186,基础资料!$Q$6:$Q$205,0)),""))</f>
        <v/>
      </c>
      <c r="O186" s="48" t="str">
        <f aca="false">IF(OR($F186="",$G186=""),"",ROUND(N($F186)*N($G186),2))</f>
        <v/>
      </c>
      <c r="P186" s="48" t="str">
        <f aca="false">IF($O186="","",ROUND(N($O186)*N($H186),2))</f>
        <v/>
      </c>
      <c r="Q186" s="48" t="str">
        <f aca="false">IF($O186="","",N($O186)+N($P186))</f>
        <v/>
      </c>
      <c r="R186" s="48" t="str">
        <f aca="false">IF(OR($E186="",$B186=""),"",IF(IFERROR(INDEX(基础资料!$V$6:$V$205,MATCH($E186,基础资料!$Q$6:$Q$205,0)),"")&lt;&gt;"是",0,IFERROR((SUMIFS(期初数据!$T$6:$T$205,期初数据!$O$6:$O$205,$E186)+SUMIFS(采购录入!$Q$5:$Q$404,采购录入!$E$5:$E$404,$E186,采购录入!$I$5:$I$404,"是",采购录入!$B$5:$B$404,"&lt;="&amp;$B186))/(SUMIFS(期初数据!$R$6:$R$205,期初数据!$O$6:$O$205,$E186)+SUMIFS(采购录入!$F$5:$F$404,采购录入!$E$5:$E$404,$E186,采购录入!$I$5:$I$404,"是",采购录入!$B$5:$B$404,"&lt;="&amp;$B186)),IFERROR(INDEX(基础资料!$U$6:$U$205,MATCH($E186,基础资料!$Q$6:$Q$205,0)),0))))</f>
        <v/>
      </c>
      <c r="S186" s="48" t="str">
        <f aca="false">IF($O186="","",ROUND(N($F186)*N($R186),2))</f>
        <v/>
      </c>
      <c r="T186" s="48" t="str">
        <f aca="false">IF($O186="","",N($O186)-N($S186))</f>
        <v/>
      </c>
      <c r="U186" s="52" t="str">
        <f aca="false">IF(OR($B186="",$D186=""),"",$B186+N(IFERROR(INDEX(基础资料!$AB$6:$AB$155,MATCH($D186,基础资料!$Z$6:$Z$155,0)),0)))</f>
        <v/>
      </c>
      <c r="V186" s="49" t="str">
        <f aca="false">IF($O186="","","1122")</f>
        <v/>
      </c>
      <c r="W186" s="49" t="str">
        <f aca="false">IF($O186="","","6001")</f>
        <v/>
      </c>
      <c r="X186" s="48" t="str">
        <f aca="false">IF($O186="","",$O186)</f>
        <v/>
      </c>
      <c r="Y186" s="49" t="str">
        <f aca="false">IF(N($P186)=0,"","1122")</f>
        <v/>
      </c>
      <c r="Z186" s="49" t="str">
        <f aca="false">IF(N($P186)=0,"","2221")</f>
        <v/>
      </c>
      <c r="AA186" s="48" t="str">
        <f aca="false">IF(N($P186)=0,"",$P186)</f>
        <v/>
      </c>
      <c r="AB186" s="49" t="str">
        <f aca="false">IF(N($S186)=0,"","6401")</f>
        <v/>
      </c>
      <c r="AC186" s="49" t="str">
        <f aca="false">IF(N($S186)=0,"","1405")</f>
        <v/>
      </c>
      <c r="AD186" s="48" t="str">
        <f aca="false">IF(N($S186)=0,"",$S186)</f>
        <v/>
      </c>
      <c r="AE186" s="49" t="str">
        <f aca="false">IF(AND($D186=客户对账单!$B$3,$B186&gt;=客户对账单!$E$3,$B186&lt;=客户对账单!$H$3),COUNTIFS($D$5:$D186,客户对账单!$B$3,$B$5:$B186,"&gt;="&amp;客户对账单!$E$3,$B$5:$B186,"&lt;="&amp;客户对账单!$H$3),"")</f>
        <v/>
      </c>
    </row>
    <row r="187" customFormat="false" ht="15.75" hidden="false" customHeight="true" outlineLevel="0" collapsed="false">
      <c r="A187" s="42" t="str">
        <f aca="false">IF($B187="","","XS"&amp;TEXT($B187,"yyyymm")&amp;"-"&amp;TEXT(ROW()-4,"000"))</f>
        <v/>
      </c>
      <c r="B187" s="41"/>
      <c r="C187" s="42" t="str">
        <f aca="false">IF($B187="","",TEXT($B187,"yyyy-mm"))</f>
        <v/>
      </c>
      <c r="D187" s="32"/>
      <c r="E187" s="36"/>
      <c r="F187" s="43"/>
      <c r="G187" s="40"/>
      <c r="H187" s="51"/>
      <c r="I187" s="33"/>
      <c r="J187" s="33"/>
      <c r="K187" s="36"/>
      <c r="L187" s="47" t="str">
        <f aca="false">IF($B187="","",IF(NOT(ISNUMBER($B187)),"日期不是日期格式",IF(YEAR($B187)&lt;&gt;首页!$B$3,"不在会计年度",IF($D187="","未选客户",IF(ISNA(MATCH($D187,基础资料!$Z$6:$Z$155,0)),"客户不在档案",IF($E187="","未选商品",IF(ISNA(MATCH($E187,基础资料!$Q$6:$Q$205,0)),"商品不在档案",IF(NOT(ISNUMBER($F187)),"数量须为数字",IF(NOT(ISNUMBER($G187)),"单价须为数字",IF(N($F187)&lt;=0,"数量须大于0",IF(AND(IFERROR(INDEX(基础资料!$V$6:$V$205,MATCH($E187,基础资料!$Q$6:$Q$205,0)),"")="是",N($R187)=0),"无成本价·请先录采购或填参考成本",IF(N($T187)&lt;0,"毛利为负·请核对","√"))))))))))))</f>
        <v/>
      </c>
      <c r="M187" s="49" t="str">
        <f aca="false">IF($E187="","",IFERROR(INDEX(基础资料!$R$6:$R$205,MATCH($E187,基础资料!$Q$6:$Q$205,0)),""))</f>
        <v/>
      </c>
      <c r="N187" s="49" t="str">
        <f aca="false">IF($E187="","",IFERROR(INDEX(基础资料!$S$6:$S$205,MATCH($E187,基础资料!$Q$6:$Q$205,0)),""))</f>
        <v/>
      </c>
      <c r="O187" s="48" t="str">
        <f aca="false">IF(OR($F187="",$G187=""),"",ROUND(N($F187)*N($G187),2))</f>
        <v/>
      </c>
      <c r="P187" s="48" t="str">
        <f aca="false">IF($O187="","",ROUND(N($O187)*N($H187),2))</f>
        <v/>
      </c>
      <c r="Q187" s="48" t="str">
        <f aca="false">IF($O187="","",N($O187)+N($P187))</f>
        <v/>
      </c>
      <c r="R187" s="48" t="str">
        <f aca="false">IF(OR($E187="",$B187=""),"",IF(IFERROR(INDEX(基础资料!$V$6:$V$205,MATCH($E187,基础资料!$Q$6:$Q$205,0)),"")&lt;&gt;"是",0,IFERROR((SUMIFS(期初数据!$T$6:$T$205,期初数据!$O$6:$O$205,$E187)+SUMIFS(采购录入!$Q$5:$Q$404,采购录入!$E$5:$E$404,$E187,采购录入!$I$5:$I$404,"是",采购录入!$B$5:$B$404,"&lt;="&amp;$B187))/(SUMIFS(期初数据!$R$6:$R$205,期初数据!$O$6:$O$205,$E187)+SUMIFS(采购录入!$F$5:$F$404,采购录入!$E$5:$E$404,$E187,采购录入!$I$5:$I$404,"是",采购录入!$B$5:$B$404,"&lt;="&amp;$B187)),IFERROR(INDEX(基础资料!$U$6:$U$205,MATCH($E187,基础资料!$Q$6:$Q$205,0)),0))))</f>
        <v/>
      </c>
      <c r="S187" s="48" t="str">
        <f aca="false">IF($O187="","",ROUND(N($F187)*N($R187),2))</f>
        <v/>
      </c>
      <c r="T187" s="48" t="str">
        <f aca="false">IF($O187="","",N($O187)-N($S187))</f>
        <v/>
      </c>
      <c r="U187" s="52" t="str">
        <f aca="false">IF(OR($B187="",$D187=""),"",$B187+N(IFERROR(INDEX(基础资料!$AB$6:$AB$155,MATCH($D187,基础资料!$Z$6:$Z$155,0)),0)))</f>
        <v/>
      </c>
      <c r="V187" s="49" t="str">
        <f aca="false">IF($O187="","","1122")</f>
        <v/>
      </c>
      <c r="W187" s="49" t="str">
        <f aca="false">IF($O187="","","6001")</f>
        <v/>
      </c>
      <c r="X187" s="48" t="str">
        <f aca="false">IF($O187="","",$O187)</f>
        <v/>
      </c>
      <c r="Y187" s="49" t="str">
        <f aca="false">IF(N($P187)=0,"","1122")</f>
        <v/>
      </c>
      <c r="Z187" s="49" t="str">
        <f aca="false">IF(N($P187)=0,"","2221")</f>
        <v/>
      </c>
      <c r="AA187" s="48" t="str">
        <f aca="false">IF(N($P187)=0,"",$P187)</f>
        <v/>
      </c>
      <c r="AB187" s="49" t="str">
        <f aca="false">IF(N($S187)=0,"","6401")</f>
        <v/>
      </c>
      <c r="AC187" s="49" t="str">
        <f aca="false">IF(N($S187)=0,"","1405")</f>
        <v/>
      </c>
      <c r="AD187" s="48" t="str">
        <f aca="false">IF(N($S187)=0,"",$S187)</f>
        <v/>
      </c>
      <c r="AE187" s="49" t="str">
        <f aca="false">IF(AND($D187=客户对账单!$B$3,$B187&gt;=客户对账单!$E$3,$B187&lt;=客户对账单!$H$3),COUNTIFS($D$5:$D187,客户对账单!$B$3,$B$5:$B187,"&gt;="&amp;客户对账单!$E$3,$B$5:$B187,"&lt;="&amp;客户对账单!$H$3),"")</f>
        <v/>
      </c>
    </row>
    <row r="188" customFormat="false" ht="15.75" hidden="false" customHeight="true" outlineLevel="0" collapsed="false">
      <c r="A188" s="42" t="str">
        <f aca="false">IF($B188="","","XS"&amp;TEXT($B188,"yyyymm")&amp;"-"&amp;TEXT(ROW()-4,"000"))</f>
        <v/>
      </c>
      <c r="B188" s="41"/>
      <c r="C188" s="42" t="str">
        <f aca="false">IF($B188="","",TEXT($B188,"yyyy-mm"))</f>
        <v/>
      </c>
      <c r="D188" s="32"/>
      <c r="E188" s="36"/>
      <c r="F188" s="43"/>
      <c r="G188" s="40"/>
      <c r="H188" s="51"/>
      <c r="I188" s="33"/>
      <c r="J188" s="33"/>
      <c r="K188" s="36"/>
      <c r="L188" s="47" t="str">
        <f aca="false">IF($B188="","",IF(NOT(ISNUMBER($B188)),"日期不是日期格式",IF(YEAR($B188)&lt;&gt;首页!$B$3,"不在会计年度",IF($D188="","未选客户",IF(ISNA(MATCH($D188,基础资料!$Z$6:$Z$155,0)),"客户不在档案",IF($E188="","未选商品",IF(ISNA(MATCH($E188,基础资料!$Q$6:$Q$205,0)),"商品不在档案",IF(NOT(ISNUMBER($F188)),"数量须为数字",IF(NOT(ISNUMBER($G188)),"单价须为数字",IF(N($F188)&lt;=0,"数量须大于0",IF(AND(IFERROR(INDEX(基础资料!$V$6:$V$205,MATCH($E188,基础资料!$Q$6:$Q$205,0)),"")="是",N($R188)=0),"无成本价·请先录采购或填参考成本",IF(N($T188)&lt;0,"毛利为负·请核对","√"))))))))))))</f>
        <v/>
      </c>
      <c r="M188" s="49" t="str">
        <f aca="false">IF($E188="","",IFERROR(INDEX(基础资料!$R$6:$R$205,MATCH($E188,基础资料!$Q$6:$Q$205,0)),""))</f>
        <v/>
      </c>
      <c r="N188" s="49" t="str">
        <f aca="false">IF($E188="","",IFERROR(INDEX(基础资料!$S$6:$S$205,MATCH($E188,基础资料!$Q$6:$Q$205,0)),""))</f>
        <v/>
      </c>
      <c r="O188" s="48" t="str">
        <f aca="false">IF(OR($F188="",$G188=""),"",ROUND(N($F188)*N($G188),2))</f>
        <v/>
      </c>
      <c r="P188" s="48" t="str">
        <f aca="false">IF($O188="","",ROUND(N($O188)*N($H188),2))</f>
        <v/>
      </c>
      <c r="Q188" s="48" t="str">
        <f aca="false">IF($O188="","",N($O188)+N($P188))</f>
        <v/>
      </c>
      <c r="R188" s="48" t="str">
        <f aca="false">IF(OR($E188="",$B188=""),"",IF(IFERROR(INDEX(基础资料!$V$6:$V$205,MATCH($E188,基础资料!$Q$6:$Q$205,0)),"")&lt;&gt;"是",0,IFERROR((SUMIFS(期初数据!$T$6:$T$205,期初数据!$O$6:$O$205,$E188)+SUMIFS(采购录入!$Q$5:$Q$404,采购录入!$E$5:$E$404,$E188,采购录入!$I$5:$I$404,"是",采购录入!$B$5:$B$404,"&lt;="&amp;$B188))/(SUMIFS(期初数据!$R$6:$R$205,期初数据!$O$6:$O$205,$E188)+SUMIFS(采购录入!$F$5:$F$404,采购录入!$E$5:$E$404,$E188,采购录入!$I$5:$I$404,"是",采购录入!$B$5:$B$404,"&lt;="&amp;$B188)),IFERROR(INDEX(基础资料!$U$6:$U$205,MATCH($E188,基础资料!$Q$6:$Q$205,0)),0))))</f>
        <v/>
      </c>
      <c r="S188" s="48" t="str">
        <f aca="false">IF($O188="","",ROUND(N($F188)*N($R188),2))</f>
        <v/>
      </c>
      <c r="T188" s="48" t="str">
        <f aca="false">IF($O188="","",N($O188)-N($S188))</f>
        <v/>
      </c>
      <c r="U188" s="52" t="str">
        <f aca="false">IF(OR($B188="",$D188=""),"",$B188+N(IFERROR(INDEX(基础资料!$AB$6:$AB$155,MATCH($D188,基础资料!$Z$6:$Z$155,0)),0)))</f>
        <v/>
      </c>
      <c r="V188" s="49" t="str">
        <f aca="false">IF($O188="","","1122")</f>
        <v/>
      </c>
      <c r="W188" s="49" t="str">
        <f aca="false">IF($O188="","","6001")</f>
        <v/>
      </c>
      <c r="X188" s="48" t="str">
        <f aca="false">IF($O188="","",$O188)</f>
        <v/>
      </c>
      <c r="Y188" s="49" t="str">
        <f aca="false">IF(N($P188)=0,"","1122")</f>
        <v/>
      </c>
      <c r="Z188" s="49" t="str">
        <f aca="false">IF(N($P188)=0,"","2221")</f>
        <v/>
      </c>
      <c r="AA188" s="48" t="str">
        <f aca="false">IF(N($P188)=0,"",$P188)</f>
        <v/>
      </c>
      <c r="AB188" s="49" t="str">
        <f aca="false">IF(N($S188)=0,"","6401")</f>
        <v/>
      </c>
      <c r="AC188" s="49" t="str">
        <f aca="false">IF(N($S188)=0,"","1405")</f>
        <v/>
      </c>
      <c r="AD188" s="48" t="str">
        <f aca="false">IF(N($S188)=0,"",$S188)</f>
        <v/>
      </c>
      <c r="AE188" s="49" t="str">
        <f aca="false">IF(AND($D188=客户对账单!$B$3,$B188&gt;=客户对账单!$E$3,$B188&lt;=客户对账单!$H$3),COUNTIFS($D$5:$D188,客户对账单!$B$3,$B$5:$B188,"&gt;="&amp;客户对账单!$E$3,$B$5:$B188,"&lt;="&amp;客户对账单!$H$3),"")</f>
        <v/>
      </c>
    </row>
    <row r="189" customFormat="false" ht="15.75" hidden="false" customHeight="true" outlineLevel="0" collapsed="false">
      <c r="A189" s="42" t="str">
        <f aca="false">IF($B189="","","XS"&amp;TEXT($B189,"yyyymm")&amp;"-"&amp;TEXT(ROW()-4,"000"))</f>
        <v/>
      </c>
      <c r="B189" s="41"/>
      <c r="C189" s="42" t="str">
        <f aca="false">IF($B189="","",TEXT($B189,"yyyy-mm"))</f>
        <v/>
      </c>
      <c r="D189" s="32"/>
      <c r="E189" s="36"/>
      <c r="F189" s="43"/>
      <c r="G189" s="40"/>
      <c r="H189" s="51"/>
      <c r="I189" s="33"/>
      <c r="J189" s="33"/>
      <c r="K189" s="36"/>
      <c r="L189" s="47" t="str">
        <f aca="false">IF($B189="","",IF(NOT(ISNUMBER($B189)),"日期不是日期格式",IF(YEAR($B189)&lt;&gt;首页!$B$3,"不在会计年度",IF($D189="","未选客户",IF(ISNA(MATCH($D189,基础资料!$Z$6:$Z$155,0)),"客户不在档案",IF($E189="","未选商品",IF(ISNA(MATCH($E189,基础资料!$Q$6:$Q$205,0)),"商品不在档案",IF(NOT(ISNUMBER($F189)),"数量须为数字",IF(NOT(ISNUMBER($G189)),"单价须为数字",IF(N($F189)&lt;=0,"数量须大于0",IF(AND(IFERROR(INDEX(基础资料!$V$6:$V$205,MATCH($E189,基础资料!$Q$6:$Q$205,0)),"")="是",N($R189)=0),"无成本价·请先录采购或填参考成本",IF(N($T189)&lt;0,"毛利为负·请核对","√"))))))))))))</f>
        <v/>
      </c>
      <c r="M189" s="49" t="str">
        <f aca="false">IF($E189="","",IFERROR(INDEX(基础资料!$R$6:$R$205,MATCH($E189,基础资料!$Q$6:$Q$205,0)),""))</f>
        <v/>
      </c>
      <c r="N189" s="49" t="str">
        <f aca="false">IF($E189="","",IFERROR(INDEX(基础资料!$S$6:$S$205,MATCH($E189,基础资料!$Q$6:$Q$205,0)),""))</f>
        <v/>
      </c>
      <c r="O189" s="48" t="str">
        <f aca="false">IF(OR($F189="",$G189=""),"",ROUND(N($F189)*N($G189),2))</f>
        <v/>
      </c>
      <c r="P189" s="48" t="str">
        <f aca="false">IF($O189="","",ROUND(N($O189)*N($H189),2))</f>
        <v/>
      </c>
      <c r="Q189" s="48" t="str">
        <f aca="false">IF($O189="","",N($O189)+N($P189))</f>
        <v/>
      </c>
      <c r="R189" s="48" t="str">
        <f aca="false">IF(OR($E189="",$B189=""),"",IF(IFERROR(INDEX(基础资料!$V$6:$V$205,MATCH($E189,基础资料!$Q$6:$Q$205,0)),"")&lt;&gt;"是",0,IFERROR((SUMIFS(期初数据!$T$6:$T$205,期初数据!$O$6:$O$205,$E189)+SUMIFS(采购录入!$Q$5:$Q$404,采购录入!$E$5:$E$404,$E189,采购录入!$I$5:$I$404,"是",采购录入!$B$5:$B$404,"&lt;="&amp;$B189))/(SUMIFS(期初数据!$R$6:$R$205,期初数据!$O$6:$O$205,$E189)+SUMIFS(采购录入!$F$5:$F$404,采购录入!$E$5:$E$404,$E189,采购录入!$I$5:$I$404,"是",采购录入!$B$5:$B$404,"&lt;="&amp;$B189)),IFERROR(INDEX(基础资料!$U$6:$U$205,MATCH($E189,基础资料!$Q$6:$Q$205,0)),0))))</f>
        <v/>
      </c>
      <c r="S189" s="48" t="str">
        <f aca="false">IF($O189="","",ROUND(N($F189)*N($R189),2))</f>
        <v/>
      </c>
      <c r="T189" s="48" t="str">
        <f aca="false">IF($O189="","",N($O189)-N($S189))</f>
        <v/>
      </c>
      <c r="U189" s="52" t="str">
        <f aca="false">IF(OR($B189="",$D189=""),"",$B189+N(IFERROR(INDEX(基础资料!$AB$6:$AB$155,MATCH($D189,基础资料!$Z$6:$Z$155,0)),0)))</f>
        <v/>
      </c>
      <c r="V189" s="49" t="str">
        <f aca="false">IF($O189="","","1122")</f>
        <v/>
      </c>
      <c r="W189" s="49" t="str">
        <f aca="false">IF($O189="","","6001")</f>
        <v/>
      </c>
      <c r="X189" s="48" t="str">
        <f aca="false">IF($O189="","",$O189)</f>
        <v/>
      </c>
      <c r="Y189" s="49" t="str">
        <f aca="false">IF(N($P189)=0,"","1122")</f>
        <v/>
      </c>
      <c r="Z189" s="49" t="str">
        <f aca="false">IF(N($P189)=0,"","2221")</f>
        <v/>
      </c>
      <c r="AA189" s="48" t="str">
        <f aca="false">IF(N($P189)=0,"",$P189)</f>
        <v/>
      </c>
      <c r="AB189" s="49" t="str">
        <f aca="false">IF(N($S189)=0,"","6401")</f>
        <v/>
      </c>
      <c r="AC189" s="49" t="str">
        <f aca="false">IF(N($S189)=0,"","1405")</f>
        <v/>
      </c>
      <c r="AD189" s="48" t="str">
        <f aca="false">IF(N($S189)=0,"",$S189)</f>
        <v/>
      </c>
      <c r="AE189" s="49" t="str">
        <f aca="false">IF(AND($D189=客户对账单!$B$3,$B189&gt;=客户对账单!$E$3,$B189&lt;=客户对账单!$H$3),COUNTIFS($D$5:$D189,客户对账单!$B$3,$B$5:$B189,"&gt;="&amp;客户对账单!$E$3,$B$5:$B189,"&lt;="&amp;客户对账单!$H$3),"")</f>
        <v/>
      </c>
    </row>
    <row r="190" customFormat="false" ht="15.75" hidden="false" customHeight="true" outlineLevel="0" collapsed="false">
      <c r="A190" s="42" t="str">
        <f aca="false">IF($B190="","","XS"&amp;TEXT($B190,"yyyymm")&amp;"-"&amp;TEXT(ROW()-4,"000"))</f>
        <v/>
      </c>
      <c r="B190" s="41"/>
      <c r="C190" s="42" t="str">
        <f aca="false">IF($B190="","",TEXT($B190,"yyyy-mm"))</f>
        <v/>
      </c>
      <c r="D190" s="32"/>
      <c r="E190" s="36"/>
      <c r="F190" s="43"/>
      <c r="G190" s="40"/>
      <c r="H190" s="51"/>
      <c r="I190" s="33"/>
      <c r="J190" s="33"/>
      <c r="K190" s="36"/>
      <c r="L190" s="47" t="str">
        <f aca="false">IF($B190="","",IF(NOT(ISNUMBER($B190)),"日期不是日期格式",IF(YEAR($B190)&lt;&gt;首页!$B$3,"不在会计年度",IF($D190="","未选客户",IF(ISNA(MATCH($D190,基础资料!$Z$6:$Z$155,0)),"客户不在档案",IF($E190="","未选商品",IF(ISNA(MATCH($E190,基础资料!$Q$6:$Q$205,0)),"商品不在档案",IF(NOT(ISNUMBER($F190)),"数量须为数字",IF(NOT(ISNUMBER($G190)),"单价须为数字",IF(N($F190)&lt;=0,"数量须大于0",IF(AND(IFERROR(INDEX(基础资料!$V$6:$V$205,MATCH($E190,基础资料!$Q$6:$Q$205,0)),"")="是",N($R190)=0),"无成本价·请先录采购或填参考成本",IF(N($T190)&lt;0,"毛利为负·请核对","√"))))))))))))</f>
        <v/>
      </c>
      <c r="M190" s="49" t="str">
        <f aca="false">IF($E190="","",IFERROR(INDEX(基础资料!$R$6:$R$205,MATCH($E190,基础资料!$Q$6:$Q$205,0)),""))</f>
        <v/>
      </c>
      <c r="N190" s="49" t="str">
        <f aca="false">IF($E190="","",IFERROR(INDEX(基础资料!$S$6:$S$205,MATCH($E190,基础资料!$Q$6:$Q$205,0)),""))</f>
        <v/>
      </c>
      <c r="O190" s="48" t="str">
        <f aca="false">IF(OR($F190="",$G190=""),"",ROUND(N($F190)*N($G190),2))</f>
        <v/>
      </c>
      <c r="P190" s="48" t="str">
        <f aca="false">IF($O190="","",ROUND(N($O190)*N($H190),2))</f>
        <v/>
      </c>
      <c r="Q190" s="48" t="str">
        <f aca="false">IF($O190="","",N($O190)+N($P190))</f>
        <v/>
      </c>
      <c r="R190" s="48" t="str">
        <f aca="false">IF(OR($E190="",$B190=""),"",IF(IFERROR(INDEX(基础资料!$V$6:$V$205,MATCH($E190,基础资料!$Q$6:$Q$205,0)),"")&lt;&gt;"是",0,IFERROR((SUMIFS(期初数据!$T$6:$T$205,期初数据!$O$6:$O$205,$E190)+SUMIFS(采购录入!$Q$5:$Q$404,采购录入!$E$5:$E$404,$E190,采购录入!$I$5:$I$404,"是",采购录入!$B$5:$B$404,"&lt;="&amp;$B190))/(SUMIFS(期初数据!$R$6:$R$205,期初数据!$O$6:$O$205,$E190)+SUMIFS(采购录入!$F$5:$F$404,采购录入!$E$5:$E$404,$E190,采购录入!$I$5:$I$404,"是",采购录入!$B$5:$B$404,"&lt;="&amp;$B190)),IFERROR(INDEX(基础资料!$U$6:$U$205,MATCH($E190,基础资料!$Q$6:$Q$205,0)),0))))</f>
        <v/>
      </c>
      <c r="S190" s="48" t="str">
        <f aca="false">IF($O190="","",ROUND(N($F190)*N($R190),2))</f>
        <v/>
      </c>
      <c r="T190" s="48" t="str">
        <f aca="false">IF($O190="","",N($O190)-N($S190))</f>
        <v/>
      </c>
      <c r="U190" s="52" t="str">
        <f aca="false">IF(OR($B190="",$D190=""),"",$B190+N(IFERROR(INDEX(基础资料!$AB$6:$AB$155,MATCH($D190,基础资料!$Z$6:$Z$155,0)),0)))</f>
        <v/>
      </c>
      <c r="V190" s="49" t="str">
        <f aca="false">IF($O190="","","1122")</f>
        <v/>
      </c>
      <c r="W190" s="49" t="str">
        <f aca="false">IF($O190="","","6001")</f>
        <v/>
      </c>
      <c r="X190" s="48" t="str">
        <f aca="false">IF($O190="","",$O190)</f>
        <v/>
      </c>
      <c r="Y190" s="49" t="str">
        <f aca="false">IF(N($P190)=0,"","1122")</f>
        <v/>
      </c>
      <c r="Z190" s="49" t="str">
        <f aca="false">IF(N($P190)=0,"","2221")</f>
        <v/>
      </c>
      <c r="AA190" s="48" t="str">
        <f aca="false">IF(N($P190)=0,"",$P190)</f>
        <v/>
      </c>
      <c r="AB190" s="49" t="str">
        <f aca="false">IF(N($S190)=0,"","6401")</f>
        <v/>
      </c>
      <c r="AC190" s="49" t="str">
        <f aca="false">IF(N($S190)=0,"","1405")</f>
        <v/>
      </c>
      <c r="AD190" s="48" t="str">
        <f aca="false">IF(N($S190)=0,"",$S190)</f>
        <v/>
      </c>
      <c r="AE190" s="49" t="str">
        <f aca="false">IF(AND($D190=客户对账单!$B$3,$B190&gt;=客户对账单!$E$3,$B190&lt;=客户对账单!$H$3),COUNTIFS($D$5:$D190,客户对账单!$B$3,$B$5:$B190,"&gt;="&amp;客户对账单!$E$3,$B$5:$B190,"&lt;="&amp;客户对账单!$H$3),"")</f>
        <v/>
      </c>
    </row>
    <row r="191" customFormat="false" ht="15.75" hidden="false" customHeight="true" outlineLevel="0" collapsed="false">
      <c r="A191" s="42" t="str">
        <f aca="false">IF($B191="","","XS"&amp;TEXT($B191,"yyyymm")&amp;"-"&amp;TEXT(ROW()-4,"000"))</f>
        <v/>
      </c>
      <c r="B191" s="41"/>
      <c r="C191" s="42" t="str">
        <f aca="false">IF($B191="","",TEXT($B191,"yyyy-mm"))</f>
        <v/>
      </c>
      <c r="D191" s="32"/>
      <c r="E191" s="36"/>
      <c r="F191" s="43"/>
      <c r="G191" s="40"/>
      <c r="H191" s="51"/>
      <c r="I191" s="33"/>
      <c r="J191" s="33"/>
      <c r="K191" s="36"/>
      <c r="L191" s="47" t="str">
        <f aca="false">IF($B191="","",IF(NOT(ISNUMBER($B191)),"日期不是日期格式",IF(YEAR($B191)&lt;&gt;首页!$B$3,"不在会计年度",IF($D191="","未选客户",IF(ISNA(MATCH($D191,基础资料!$Z$6:$Z$155,0)),"客户不在档案",IF($E191="","未选商品",IF(ISNA(MATCH($E191,基础资料!$Q$6:$Q$205,0)),"商品不在档案",IF(NOT(ISNUMBER($F191)),"数量须为数字",IF(NOT(ISNUMBER($G191)),"单价须为数字",IF(N($F191)&lt;=0,"数量须大于0",IF(AND(IFERROR(INDEX(基础资料!$V$6:$V$205,MATCH($E191,基础资料!$Q$6:$Q$205,0)),"")="是",N($R191)=0),"无成本价·请先录采购或填参考成本",IF(N($T191)&lt;0,"毛利为负·请核对","√"))))))))))))</f>
        <v/>
      </c>
      <c r="M191" s="49" t="str">
        <f aca="false">IF($E191="","",IFERROR(INDEX(基础资料!$R$6:$R$205,MATCH($E191,基础资料!$Q$6:$Q$205,0)),""))</f>
        <v/>
      </c>
      <c r="N191" s="49" t="str">
        <f aca="false">IF($E191="","",IFERROR(INDEX(基础资料!$S$6:$S$205,MATCH($E191,基础资料!$Q$6:$Q$205,0)),""))</f>
        <v/>
      </c>
      <c r="O191" s="48" t="str">
        <f aca="false">IF(OR($F191="",$G191=""),"",ROUND(N($F191)*N($G191),2))</f>
        <v/>
      </c>
      <c r="P191" s="48" t="str">
        <f aca="false">IF($O191="","",ROUND(N($O191)*N($H191),2))</f>
        <v/>
      </c>
      <c r="Q191" s="48" t="str">
        <f aca="false">IF($O191="","",N($O191)+N($P191))</f>
        <v/>
      </c>
      <c r="R191" s="48" t="str">
        <f aca="false">IF(OR($E191="",$B191=""),"",IF(IFERROR(INDEX(基础资料!$V$6:$V$205,MATCH($E191,基础资料!$Q$6:$Q$205,0)),"")&lt;&gt;"是",0,IFERROR((SUMIFS(期初数据!$T$6:$T$205,期初数据!$O$6:$O$205,$E191)+SUMIFS(采购录入!$Q$5:$Q$404,采购录入!$E$5:$E$404,$E191,采购录入!$I$5:$I$404,"是",采购录入!$B$5:$B$404,"&lt;="&amp;$B191))/(SUMIFS(期初数据!$R$6:$R$205,期初数据!$O$6:$O$205,$E191)+SUMIFS(采购录入!$F$5:$F$404,采购录入!$E$5:$E$404,$E191,采购录入!$I$5:$I$404,"是",采购录入!$B$5:$B$404,"&lt;="&amp;$B191)),IFERROR(INDEX(基础资料!$U$6:$U$205,MATCH($E191,基础资料!$Q$6:$Q$205,0)),0))))</f>
        <v/>
      </c>
      <c r="S191" s="48" t="str">
        <f aca="false">IF($O191="","",ROUND(N($F191)*N($R191),2))</f>
        <v/>
      </c>
      <c r="T191" s="48" t="str">
        <f aca="false">IF($O191="","",N($O191)-N($S191))</f>
        <v/>
      </c>
      <c r="U191" s="52" t="str">
        <f aca="false">IF(OR($B191="",$D191=""),"",$B191+N(IFERROR(INDEX(基础资料!$AB$6:$AB$155,MATCH($D191,基础资料!$Z$6:$Z$155,0)),0)))</f>
        <v/>
      </c>
      <c r="V191" s="49" t="str">
        <f aca="false">IF($O191="","","1122")</f>
        <v/>
      </c>
      <c r="W191" s="49" t="str">
        <f aca="false">IF($O191="","","6001")</f>
        <v/>
      </c>
      <c r="X191" s="48" t="str">
        <f aca="false">IF($O191="","",$O191)</f>
        <v/>
      </c>
      <c r="Y191" s="49" t="str">
        <f aca="false">IF(N($P191)=0,"","1122")</f>
        <v/>
      </c>
      <c r="Z191" s="49" t="str">
        <f aca="false">IF(N($P191)=0,"","2221")</f>
        <v/>
      </c>
      <c r="AA191" s="48" t="str">
        <f aca="false">IF(N($P191)=0,"",$P191)</f>
        <v/>
      </c>
      <c r="AB191" s="49" t="str">
        <f aca="false">IF(N($S191)=0,"","6401")</f>
        <v/>
      </c>
      <c r="AC191" s="49" t="str">
        <f aca="false">IF(N($S191)=0,"","1405")</f>
        <v/>
      </c>
      <c r="AD191" s="48" t="str">
        <f aca="false">IF(N($S191)=0,"",$S191)</f>
        <v/>
      </c>
      <c r="AE191" s="49" t="str">
        <f aca="false">IF(AND($D191=客户对账单!$B$3,$B191&gt;=客户对账单!$E$3,$B191&lt;=客户对账单!$H$3),COUNTIFS($D$5:$D191,客户对账单!$B$3,$B$5:$B191,"&gt;="&amp;客户对账单!$E$3,$B$5:$B191,"&lt;="&amp;客户对账单!$H$3),"")</f>
        <v/>
      </c>
    </row>
    <row r="192" customFormat="false" ht="15.75" hidden="false" customHeight="true" outlineLevel="0" collapsed="false">
      <c r="A192" s="42" t="str">
        <f aca="false">IF($B192="","","XS"&amp;TEXT($B192,"yyyymm")&amp;"-"&amp;TEXT(ROW()-4,"000"))</f>
        <v/>
      </c>
      <c r="B192" s="41"/>
      <c r="C192" s="42" t="str">
        <f aca="false">IF($B192="","",TEXT($B192,"yyyy-mm"))</f>
        <v/>
      </c>
      <c r="D192" s="32"/>
      <c r="E192" s="36"/>
      <c r="F192" s="43"/>
      <c r="G192" s="40"/>
      <c r="H192" s="51"/>
      <c r="I192" s="33"/>
      <c r="J192" s="33"/>
      <c r="K192" s="36"/>
      <c r="L192" s="47" t="str">
        <f aca="false">IF($B192="","",IF(NOT(ISNUMBER($B192)),"日期不是日期格式",IF(YEAR($B192)&lt;&gt;首页!$B$3,"不在会计年度",IF($D192="","未选客户",IF(ISNA(MATCH($D192,基础资料!$Z$6:$Z$155,0)),"客户不在档案",IF($E192="","未选商品",IF(ISNA(MATCH($E192,基础资料!$Q$6:$Q$205,0)),"商品不在档案",IF(NOT(ISNUMBER($F192)),"数量须为数字",IF(NOT(ISNUMBER($G192)),"单价须为数字",IF(N($F192)&lt;=0,"数量须大于0",IF(AND(IFERROR(INDEX(基础资料!$V$6:$V$205,MATCH($E192,基础资料!$Q$6:$Q$205,0)),"")="是",N($R192)=0),"无成本价·请先录采购或填参考成本",IF(N($T192)&lt;0,"毛利为负·请核对","√"))))))))))))</f>
        <v/>
      </c>
      <c r="M192" s="49" t="str">
        <f aca="false">IF($E192="","",IFERROR(INDEX(基础资料!$R$6:$R$205,MATCH($E192,基础资料!$Q$6:$Q$205,0)),""))</f>
        <v/>
      </c>
      <c r="N192" s="49" t="str">
        <f aca="false">IF($E192="","",IFERROR(INDEX(基础资料!$S$6:$S$205,MATCH($E192,基础资料!$Q$6:$Q$205,0)),""))</f>
        <v/>
      </c>
      <c r="O192" s="48" t="str">
        <f aca="false">IF(OR($F192="",$G192=""),"",ROUND(N($F192)*N($G192),2))</f>
        <v/>
      </c>
      <c r="P192" s="48" t="str">
        <f aca="false">IF($O192="","",ROUND(N($O192)*N($H192),2))</f>
        <v/>
      </c>
      <c r="Q192" s="48" t="str">
        <f aca="false">IF($O192="","",N($O192)+N($P192))</f>
        <v/>
      </c>
      <c r="R192" s="48" t="str">
        <f aca="false">IF(OR($E192="",$B192=""),"",IF(IFERROR(INDEX(基础资料!$V$6:$V$205,MATCH($E192,基础资料!$Q$6:$Q$205,0)),"")&lt;&gt;"是",0,IFERROR((SUMIFS(期初数据!$T$6:$T$205,期初数据!$O$6:$O$205,$E192)+SUMIFS(采购录入!$Q$5:$Q$404,采购录入!$E$5:$E$404,$E192,采购录入!$I$5:$I$404,"是",采购录入!$B$5:$B$404,"&lt;="&amp;$B192))/(SUMIFS(期初数据!$R$6:$R$205,期初数据!$O$6:$O$205,$E192)+SUMIFS(采购录入!$F$5:$F$404,采购录入!$E$5:$E$404,$E192,采购录入!$I$5:$I$404,"是",采购录入!$B$5:$B$404,"&lt;="&amp;$B192)),IFERROR(INDEX(基础资料!$U$6:$U$205,MATCH($E192,基础资料!$Q$6:$Q$205,0)),0))))</f>
        <v/>
      </c>
      <c r="S192" s="48" t="str">
        <f aca="false">IF($O192="","",ROUND(N($F192)*N($R192),2))</f>
        <v/>
      </c>
      <c r="T192" s="48" t="str">
        <f aca="false">IF($O192="","",N($O192)-N($S192))</f>
        <v/>
      </c>
      <c r="U192" s="52" t="str">
        <f aca="false">IF(OR($B192="",$D192=""),"",$B192+N(IFERROR(INDEX(基础资料!$AB$6:$AB$155,MATCH($D192,基础资料!$Z$6:$Z$155,0)),0)))</f>
        <v/>
      </c>
      <c r="V192" s="49" t="str">
        <f aca="false">IF($O192="","","1122")</f>
        <v/>
      </c>
      <c r="W192" s="49" t="str">
        <f aca="false">IF($O192="","","6001")</f>
        <v/>
      </c>
      <c r="X192" s="48" t="str">
        <f aca="false">IF($O192="","",$O192)</f>
        <v/>
      </c>
      <c r="Y192" s="49" t="str">
        <f aca="false">IF(N($P192)=0,"","1122")</f>
        <v/>
      </c>
      <c r="Z192" s="49" t="str">
        <f aca="false">IF(N($P192)=0,"","2221")</f>
        <v/>
      </c>
      <c r="AA192" s="48" t="str">
        <f aca="false">IF(N($P192)=0,"",$P192)</f>
        <v/>
      </c>
      <c r="AB192" s="49" t="str">
        <f aca="false">IF(N($S192)=0,"","6401")</f>
        <v/>
      </c>
      <c r="AC192" s="49" t="str">
        <f aca="false">IF(N($S192)=0,"","1405")</f>
        <v/>
      </c>
      <c r="AD192" s="48" t="str">
        <f aca="false">IF(N($S192)=0,"",$S192)</f>
        <v/>
      </c>
      <c r="AE192" s="49" t="str">
        <f aca="false">IF(AND($D192=客户对账单!$B$3,$B192&gt;=客户对账单!$E$3,$B192&lt;=客户对账单!$H$3),COUNTIFS($D$5:$D192,客户对账单!$B$3,$B$5:$B192,"&gt;="&amp;客户对账单!$E$3,$B$5:$B192,"&lt;="&amp;客户对账单!$H$3),"")</f>
        <v/>
      </c>
    </row>
    <row r="193" customFormat="false" ht="15.75" hidden="false" customHeight="true" outlineLevel="0" collapsed="false">
      <c r="A193" s="42" t="str">
        <f aca="false">IF($B193="","","XS"&amp;TEXT($B193,"yyyymm")&amp;"-"&amp;TEXT(ROW()-4,"000"))</f>
        <v/>
      </c>
      <c r="B193" s="41"/>
      <c r="C193" s="42" t="str">
        <f aca="false">IF($B193="","",TEXT($B193,"yyyy-mm"))</f>
        <v/>
      </c>
      <c r="D193" s="32"/>
      <c r="E193" s="36"/>
      <c r="F193" s="43"/>
      <c r="G193" s="40"/>
      <c r="H193" s="51"/>
      <c r="I193" s="33"/>
      <c r="J193" s="33"/>
      <c r="K193" s="36"/>
      <c r="L193" s="47" t="str">
        <f aca="false">IF($B193="","",IF(NOT(ISNUMBER($B193)),"日期不是日期格式",IF(YEAR($B193)&lt;&gt;首页!$B$3,"不在会计年度",IF($D193="","未选客户",IF(ISNA(MATCH($D193,基础资料!$Z$6:$Z$155,0)),"客户不在档案",IF($E193="","未选商品",IF(ISNA(MATCH($E193,基础资料!$Q$6:$Q$205,0)),"商品不在档案",IF(NOT(ISNUMBER($F193)),"数量须为数字",IF(NOT(ISNUMBER($G193)),"单价须为数字",IF(N($F193)&lt;=0,"数量须大于0",IF(AND(IFERROR(INDEX(基础资料!$V$6:$V$205,MATCH($E193,基础资料!$Q$6:$Q$205,0)),"")="是",N($R193)=0),"无成本价·请先录采购或填参考成本",IF(N($T193)&lt;0,"毛利为负·请核对","√"))))))))))))</f>
        <v/>
      </c>
      <c r="M193" s="49" t="str">
        <f aca="false">IF($E193="","",IFERROR(INDEX(基础资料!$R$6:$R$205,MATCH($E193,基础资料!$Q$6:$Q$205,0)),""))</f>
        <v/>
      </c>
      <c r="N193" s="49" t="str">
        <f aca="false">IF($E193="","",IFERROR(INDEX(基础资料!$S$6:$S$205,MATCH($E193,基础资料!$Q$6:$Q$205,0)),""))</f>
        <v/>
      </c>
      <c r="O193" s="48" t="str">
        <f aca="false">IF(OR($F193="",$G193=""),"",ROUND(N($F193)*N($G193),2))</f>
        <v/>
      </c>
      <c r="P193" s="48" t="str">
        <f aca="false">IF($O193="","",ROUND(N($O193)*N($H193),2))</f>
        <v/>
      </c>
      <c r="Q193" s="48" t="str">
        <f aca="false">IF($O193="","",N($O193)+N($P193))</f>
        <v/>
      </c>
      <c r="R193" s="48" t="str">
        <f aca="false">IF(OR($E193="",$B193=""),"",IF(IFERROR(INDEX(基础资料!$V$6:$V$205,MATCH($E193,基础资料!$Q$6:$Q$205,0)),"")&lt;&gt;"是",0,IFERROR((SUMIFS(期初数据!$T$6:$T$205,期初数据!$O$6:$O$205,$E193)+SUMIFS(采购录入!$Q$5:$Q$404,采购录入!$E$5:$E$404,$E193,采购录入!$I$5:$I$404,"是",采购录入!$B$5:$B$404,"&lt;="&amp;$B193))/(SUMIFS(期初数据!$R$6:$R$205,期初数据!$O$6:$O$205,$E193)+SUMIFS(采购录入!$F$5:$F$404,采购录入!$E$5:$E$404,$E193,采购录入!$I$5:$I$404,"是",采购录入!$B$5:$B$404,"&lt;="&amp;$B193)),IFERROR(INDEX(基础资料!$U$6:$U$205,MATCH($E193,基础资料!$Q$6:$Q$205,0)),0))))</f>
        <v/>
      </c>
      <c r="S193" s="48" t="str">
        <f aca="false">IF($O193="","",ROUND(N($F193)*N($R193),2))</f>
        <v/>
      </c>
      <c r="T193" s="48" t="str">
        <f aca="false">IF($O193="","",N($O193)-N($S193))</f>
        <v/>
      </c>
      <c r="U193" s="52" t="str">
        <f aca="false">IF(OR($B193="",$D193=""),"",$B193+N(IFERROR(INDEX(基础资料!$AB$6:$AB$155,MATCH($D193,基础资料!$Z$6:$Z$155,0)),0)))</f>
        <v/>
      </c>
      <c r="V193" s="49" t="str">
        <f aca="false">IF($O193="","","1122")</f>
        <v/>
      </c>
      <c r="W193" s="49" t="str">
        <f aca="false">IF($O193="","","6001")</f>
        <v/>
      </c>
      <c r="X193" s="48" t="str">
        <f aca="false">IF($O193="","",$O193)</f>
        <v/>
      </c>
      <c r="Y193" s="49" t="str">
        <f aca="false">IF(N($P193)=0,"","1122")</f>
        <v/>
      </c>
      <c r="Z193" s="49" t="str">
        <f aca="false">IF(N($P193)=0,"","2221")</f>
        <v/>
      </c>
      <c r="AA193" s="48" t="str">
        <f aca="false">IF(N($P193)=0,"",$P193)</f>
        <v/>
      </c>
      <c r="AB193" s="49" t="str">
        <f aca="false">IF(N($S193)=0,"","6401")</f>
        <v/>
      </c>
      <c r="AC193" s="49" t="str">
        <f aca="false">IF(N($S193)=0,"","1405")</f>
        <v/>
      </c>
      <c r="AD193" s="48" t="str">
        <f aca="false">IF(N($S193)=0,"",$S193)</f>
        <v/>
      </c>
      <c r="AE193" s="49" t="str">
        <f aca="false">IF(AND($D193=客户对账单!$B$3,$B193&gt;=客户对账单!$E$3,$B193&lt;=客户对账单!$H$3),COUNTIFS($D$5:$D193,客户对账单!$B$3,$B$5:$B193,"&gt;="&amp;客户对账单!$E$3,$B$5:$B193,"&lt;="&amp;客户对账单!$H$3),"")</f>
        <v/>
      </c>
    </row>
    <row r="194" customFormat="false" ht="15.75" hidden="false" customHeight="true" outlineLevel="0" collapsed="false">
      <c r="A194" s="42" t="str">
        <f aca="false">IF($B194="","","XS"&amp;TEXT($B194,"yyyymm")&amp;"-"&amp;TEXT(ROW()-4,"000"))</f>
        <v/>
      </c>
      <c r="B194" s="41"/>
      <c r="C194" s="42" t="str">
        <f aca="false">IF($B194="","",TEXT($B194,"yyyy-mm"))</f>
        <v/>
      </c>
      <c r="D194" s="32"/>
      <c r="E194" s="36"/>
      <c r="F194" s="43"/>
      <c r="G194" s="40"/>
      <c r="H194" s="51"/>
      <c r="I194" s="33"/>
      <c r="J194" s="33"/>
      <c r="K194" s="36"/>
      <c r="L194" s="47" t="str">
        <f aca="false">IF($B194="","",IF(NOT(ISNUMBER($B194)),"日期不是日期格式",IF(YEAR($B194)&lt;&gt;首页!$B$3,"不在会计年度",IF($D194="","未选客户",IF(ISNA(MATCH($D194,基础资料!$Z$6:$Z$155,0)),"客户不在档案",IF($E194="","未选商品",IF(ISNA(MATCH($E194,基础资料!$Q$6:$Q$205,0)),"商品不在档案",IF(NOT(ISNUMBER($F194)),"数量须为数字",IF(NOT(ISNUMBER($G194)),"单价须为数字",IF(N($F194)&lt;=0,"数量须大于0",IF(AND(IFERROR(INDEX(基础资料!$V$6:$V$205,MATCH($E194,基础资料!$Q$6:$Q$205,0)),"")="是",N($R194)=0),"无成本价·请先录采购或填参考成本",IF(N($T194)&lt;0,"毛利为负·请核对","√"))))))))))))</f>
        <v/>
      </c>
      <c r="M194" s="49" t="str">
        <f aca="false">IF($E194="","",IFERROR(INDEX(基础资料!$R$6:$R$205,MATCH($E194,基础资料!$Q$6:$Q$205,0)),""))</f>
        <v/>
      </c>
      <c r="N194" s="49" t="str">
        <f aca="false">IF($E194="","",IFERROR(INDEX(基础资料!$S$6:$S$205,MATCH($E194,基础资料!$Q$6:$Q$205,0)),""))</f>
        <v/>
      </c>
      <c r="O194" s="48" t="str">
        <f aca="false">IF(OR($F194="",$G194=""),"",ROUND(N($F194)*N($G194),2))</f>
        <v/>
      </c>
      <c r="P194" s="48" t="str">
        <f aca="false">IF($O194="","",ROUND(N($O194)*N($H194),2))</f>
        <v/>
      </c>
      <c r="Q194" s="48" t="str">
        <f aca="false">IF($O194="","",N($O194)+N($P194))</f>
        <v/>
      </c>
      <c r="R194" s="48" t="str">
        <f aca="false">IF(OR($E194="",$B194=""),"",IF(IFERROR(INDEX(基础资料!$V$6:$V$205,MATCH($E194,基础资料!$Q$6:$Q$205,0)),"")&lt;&gt;"是",0,IFERROR((SUMIFS(期初数据!$T$6:$T$205,期初数据!$O$6:$O$205,$E194)+SUMIFS(采购录入!$Q$5:$Q$404,采购录入!$E$5:$E$404,$E194,采购录入!$I$5:$I$404,"是",采购录入!$B$5:$B$404,"&lt;="&amp;$B194))/(SUMIFS(期初数据!$R$6:$R$205,期初数据!$O$6:$O$205,$E194)+SUMIFS(采购录入!$F$5:$F$404,采购录入!$E$5:$E$404,$E194,采购录入!$I$5:$I$404,"是",采购录入!$B$5:$B$404,"&lt;="&amp;$B194)),IFERROR(INDEX(基础资料!$U$6:$U$205,MATCH($E194,基础资料!$Q$6:$Q$205,0)),0))))</f>
        <v/>
      </c>
      <c r="S194" s="48" t="str">
        <f aca="false">IF($O194="","",ROUND(N($F194)*N($R194),2))</f>
        <v/>
      </c>
      <c r="T194" s="48" t="str">
        <f aca="false">IF($O194="","",N($O194)-N($S194))</f>
        <v/>
      </c>
      <c r="U194" s="52" t="str">
        <f aca="false">IF(OR($B194="",$D194=""),"",$B194+N(IFERROR(INDEX(基础资料!$AB$6:$AB$155,MATCH($D194,基础资料!$Z$6:$Z$155,0)),0)))</f>
        <v/>
      </c>
      <c r="V194" s="49" t="str">
        <f aca="false">IF($O194="","","1122")</f>
        <v/>
      </c>
      <c r="W194" s="49" t="str">
        <f aca="false">IF($O194="","","6001")</f>
        <v/>
      </c>
      <c r="X194" s="48" t="str">
        <f aca="false">IF($O194="","",$O194)</f>
        <v/>
      </c>
      <c r="Y194" s="49" t="str">
        <f aca="false">IF(N($P194)=0,"","1122")</f>
        <v/>
      </c>
      <c r="Z194" s="49" t="str">
        <f aca="false">IF(N($P194)=0,"","2221")</f>
        <v/>
      </c>
      <c r="AA194" s="48" t="str">
        <f aca="false">IF(N($P194)=0,"",$P194)</f>
        <v/>
      </c>
      <c r="AB194" s="49" t="str">
        <f aca="false">IF(N($S194)=0,"","6401")</f>
        <v/>
      </c>
      <c r="AC194" s="49" t="str">
        <f aca="false">IF(N($S194)=0,"","1405")</f>
        <v/>
      </c>
      <c r="AD194" s="48" t="str">
        <f aca="false">IF(N($S194)=0,"",$S194)</f>
        <v/>
      </c>
      <c r="AE194" s="49" t="str">
        <f aca="false">IF(AND($D194=客户对账单!$B$3,$B194&gt;=客户对账单!$E$3,$B194&lt;=客户对账单!$H$3),COUNTIFS($D$5:$D194,客户对账单!$B$3,$B$5:$B194,"&gt;="&amp;客户对账单!$E$3,$B$5:$B194,"&lt;="&amp;客户对账单!$H$3),"")</f>
        <v/>
      </c>
    </row>
    <row r="195" customFormat="false" ht="15.75" hidden="false" customHeight="true" outlineLevel="0" collapsed="false">
      <c r="A195" s="42" t="str">
        <f aca="false">IF($B195="","","XS"&amp;TEXT($B195,"yyyymm")&amp;"-"&amp;TEXT(ROW()-4,"000"))</f>
        <v/>
      </c>
      <c r="B195" s="41"/>
      <c r="C195" s="42" t="str">
        <f aca="false">IF($B195="","",TEXT($B195,"yyyy-mm"))</f>
        <v/>
      </c>
      <c r="D195" s="32"/>
      <c r="E195" s="36"/>
      <c r="F195" s="43"/>
      <c r="G195" s="40"/>
      <c r="H195" s="51"/>
      <c r="I195" s="33"/>
      <c r="J195" s="33"/>
      <c r="K195" s="36"/>
      <c r="L195" s="47" t="str">
        <f aca="false">IF($B195="","",IF(NOT(ISNUMBER($B195)),"日期不是日期格式",IF(YEAR($B195)&lt;&gt;首页!$B$3,"不在会计年度",IF($D195="","未选客户",IF(ISNA(MATCH($D195,基础资料!$Z$6:$Z$155,0)),"客户不在档案",IF($E195="","未选商品",IF(ISNA(MATCH($E195,基础资料!$Q$6:$Q$205,0)),"商品不在档案",IF(NOT(ISNUMBER($F195)),"数量须为数字",IF(NOT(ISNUMBER($G195)),"单价须为数字",IF(N($F195)&lt;=0,"数量须大于0",IF(AND(IFERROR(INDEX(基础资料!$V$6:$V$205,MATCH($E195,基础资料!$Q$6:$Q$205,0)),"")="是",N($R195)=0),"无成本价·请先录采购或填参考成本",IF(N($T195)&lt;0,"毛利为负·请核对","√"))))))))))))</f>
        <v/>
      </c>
      <c r="M195" s="49" t="str">
        <f aca="false">IF($E195="","",IFERROR(INDEX(基础资料!$R$6:$R$205,MATCH($E195,基础资料!$Q$6:$Q$205,0)),""))</f>
        <v/>
      </c>
      <c r="N195" s="49" t="str">
        <f aca="false">IF($E195="","",IFERROR(INDEX(基础资料!$S$6:$S$205,MATCH($E195,基础资料!$Q$6:$Q$205,0)),""))</f>
        <v/>
      </c>
      <c r="O195" s="48" t="str">
        <f aca="false">IF(OR($F195="",$G195=""),"",ROUND(N($F195)*N($G195),2))</f>
        <v/>
      </c>
      <c r="P195" s="48" t="str">
        <f aca="false">IF($O195="","",ROUND(N($O195)*N($H195),2))</f>
        <v/>
      </c>
      <c r="Q195" s="48" t="str">
        <f aca="false">IF($O195="","",N($O195)+N($P195))</f>
        <v/>
      </c>
      <c r="R195" s="48" t="str">
        <f aca="false">IF(OR($E195="",$B195=""),"",IF(IFERROR(INDEX(基础资料!$V$6:$V$205,MATCH($E195,基础资料!$Q$6:$Q$205,0)),"")&lt;&gt;"是",0,IFERROR((SUMIFS(期初数据!$T$6:$T$205,期初数据!$O$6:$O$205,$E195)+SUMIFS(采购录入!$Q$5:$Q$404,采购录入!$E$5:$E$404,$E195,采购录入!$I$5:$I$404,"是",采购录入!$B$5:$B$404,"&lt;="&amp;$B195))/(SUMIFS(期初数据!$R$6:$R$205,期初数据!$O$6:$O$205,$E195)+SUMIFS(采购录入!$F$5:$F$404,采购录入!$E$5:$E$404,$E195,采购录入!$I$5:$I$404,"是",采购录入!$B$5:$B$404,"&lt;="&amp;$B195)),IFERROR(INDEX(基础资料!$U$6:$U$205,MATCH($E195,基础资料!$Q$6:$Q$205,0)),0))))</f>
        <v/>
      </c>
      <c r="S195" s="48" t="str">
        <f aca="false">IF($O195="","",ROUND(N($F195)*N($R195),2))</f>
        <v/>
      </c>
      <c r="T195" s="48" t="str">
        <f aca="false">IF($O195="","",N($O195)-N($S195))</f>
        <v/>
      </c>
      <c r="U195" s="52" t="str">
        <f aca="false">IF(OR($B195="",$D195=""),"",$B195+N(IFERROR(INDEX(基础资料!$AB$6:$AB$155,MATCH($D195,基础资料!$Z$6:$Z$155,0)),0)))</f>
        <v/>
      </c>
      <c r="V195" s="49" t="str">
        <f aca="false">IF($O195="","","1122")</f>
        <v/>
      </c>
      <c r="W195" s="49" t="str">
        <f aca="false">IF($O195="","","6001")</f>
        <v/>
      </c>
      <c r="X195" s="48" t="str">
        <f aca="false">IF($O195="","",$O195)</f>
        <v/>
      </c>
      <c r="Y195" s="49" t="str">
        <f aca="false">IF(N($P195)=0,"","1122")</f>
        <v/>
      </c>
      <c r="Z195" s="49" t="str">
        <f aca="false">IF(N($P195)=0,"","2221")</f>
        <v/>
      </c>
      <c r="AA195" s="48" t="str">
        <f aca="false">IF(N($P195)=0,"",$P195)</f>
        <v/>
      </c>
      <c r="AB195" s="49" t="str">
        <f aca="false">IF(N($S195)=0,"","6401")</f>
        <v/>
      </c>
      <c r="AC195" s="49" t="str">
        <f aca="false">IF(N($S195)=0,"","1405")</f>
        <v/>
      </c>
      <c r="AD195" s="48" t="str">
        <f aca="false">IF(N($S195)=0,"",$S195)</f>
        <v/>
      </c>
      <c r="AE195" s="49" t="str">
        <f aca="false">IF(AND($D195=客户对账单!$B$3,$B195&gt;=客户对账单!$E$3,$B195&lt;=客户对账单!$H$3),COUNTIFS($D$5:$D195,客户对账单!$B$3,$B$5:$B195,"&gt;="&amp;客户对账单!$E$3,$B$5:$B195,"&lt;="&amp;客户对账单!$H$3),"")</f>
        <v/>
      </c>
    </row>
    <row r="196" customFormat="false" ht="15.75" hidden="false" customHeight="true" outlineLevel="0" collapsed="false">
      <c r="A196" s="42" t="str">
        <f aca="false">IF($B196="","","XS"&amp;TEXT($B196,"yyyymm")&amp;"-"&amp;TEXT(ROW()-4,"000"))</f>
        <v/>
      </c>
      <c r="B196" s="41"/>
      <c r="C196" s="42" t="str">
        <f aca="false">IF($B196="","",TEXT($B196,"yyyy-mm"))</f>
        <v/>
      </c>
      <c r="D196" s="32"/>
      <c r="E196" s="36"/>
      <c r="F196" s="43"/>
      <c r="G196" s="40"/>
      <c r="H196" s="51"/>
      <c r="I196" s="33"/>
      <c r="J196" s="33"/>
      <c r="K196" s="36"/>
      <c r="L196" s="47" t="str">
        <f aca="false">IF($B196="","",IF(NOT(ISNUMBER($B196)),"日期不是日期格式",IF(YEAR($B196)&lt;&gt;首页!$B$3,"不在会计年度",IF($D196="","未选客户",IF(ISNA(MATCH($D196,基础资料!$Z$6:$Z$155,0)),"客户不在档案",IF($E196="","未选商品",IF(ISNA(MATCH($E196,基础资料!$Q$6:$Q$205,0)),"商品不在档案",IF(NOT(ISNUMBER($F196)),"数量须为数字",IF(NOT(ISNUMBER($G196)),"单价须为数字",IF(N($F196)&lt;=0,"数量须大于0",IF(AND(IFERROR(INDEX(基础资料!$V$6:$V$205,MATCH($E196,基础资料!$Q$6:$Q$205,0)),"")="是",N($R196)=0),"无成本价·请先录采购或填参考成本",IF(N($T196)&lt;0,"毛利为负·请核对","√"))))))))))))</f>
        <v/>
      </c>
      <c r="M196" s="49" t="str">
        <f aca="false">IF($E196="","",IFERROR(INDEX(基础资料!$R$6:$R$205,MATCH($E196,基础资料!$Q$6:$Q$205,0)),""))</f>
        <v/>
      </c>
      <c r="N196" s="49" t="str">
        <f aca="false">IF($E196="","",IFERROR(INDEX(基础资料!$S$6:$S$205,MATCH($E196,基础资料!$Q$6:$Q$205,0)),""))</f>
        <v/>
      </c>
      <c r="O196" s="48" t="str">
        <f aca="false">IF(OR($F196="",$G196=""),"",ROUND(N($F196)*N($G196),2))</f>
        <v/>
      </c>
      <c r="P196" s="48" t="str">
        <f aca="false">IF($O196="","",ROUND(N($O196)*N($H196),2))</f>
        <v/>
      </c>
      <c r="Q196" s="48" t="str">
        <f aca="false">IF($O196="","",N($O196)+N($P196))</f>
        <v/>
      </c>
      <c r="R196" s="48" t="str">
        <f aca="false">IF(OR($E196="",$B196=""),"",IF(IFERROR(INDEX(基础资料!$V$6:$V$205,MATCH($E196,基础资料!$Q$6:$Q$205,0)),"")&lt;&gt;"是",0,IFERROR((SUMIFS(期初数据!$T$6:$T$205,期初数据!$O$6:$O$205,$E196)+SUMIFS(采购录入!$Q$5:$Q$404,采购录入!$E$5:$E$404,$E196,采购录入!$I$5:$I$404,"是",采购录入!$B$5:$B$404,"&lt;="&amp;$B196))/(SUMIFS(期初数据!$R$6:$R$205,期初数据!$O$6:$O$205,$E196)+SUMIFS(采购录入!$F$5:$F$404,采购录入!$E$5:$E$404,$E196,采购录入!$I$5:$I$404,"是",采购录入!$B$5:$B$404,"&lt;="&amp;$B196)),IFERROR(INDEX(基础资料!$U$6:$U$205,MATCH($E196,基础资料!$Q$6:$Q$205,0)),0))))</f>
        <v/>
      </c>
      <c r="S196" s="48" t="str">
        <f aca="false">IF($O196="","",ROUND(N($F196)*N($R196),2))</f>
        <v/>
      </c>
      <c r="T196" s="48" t="str">
        <f aca="false">IF($O196="","",N($O196)-N($S196))</f>
        <v/>
      </c>
      <c r="U196" s="52" t="str">
        <f aca="false">IF(OR($B196="",$D196=""),"",$B196+N(IFERROR(INDEX(基础资料!$AB$6:$AB$155,MATCH($D196,基础资料!$Z$6:$Z$155,0)),0)))</f>
        <v/>
      </c>
      <c r="V196" s="49" t="str">
        <f aca="false">IF($O196="","","1122")</f>
        <v/>
      </c>
      <c r="W196" s="49" t="str">
        <f aca="false">IF($O196="","","6001")</f>
        <v/>
      </c>
      <c r="X196" s="48" t="str">
        <f aca="false">IF($O196="","",$O196)</f>
        <v/>
      </c>
      <c r="Y196" s="49" t="str">
        <f aca="false">IF(N($P196)=0,"","1122")</f>
        <v/>
      </c>
      <c r="Z196" s="49" t="str">
        <f aca="false">IF(N($P196)=0,"","2221")</f>
        <v/>
      </c>
      <c r="AA196" s="48" t="str">
        <f aca="false">IF(N($P196)=0,"",$P196)</f>
        <v/>
      </c>
      <c r="AB196" s="49" t="str">
        <f aca="false">IF(N($S196)=0,"","6401")</f>
        <v/>
      </c>
      <c r="AC196" s="49" t="str">
        <f aca="false">IF(N($S196)=0,"","1405")</f>
        <v/>
      </c>
      <c r="AD196" s="48" t="str">
        <f aca="false">IF(N($S196)=0,"",$S196)</f>
        <v/>
      </c>
      <c r="AE196" s="49" t="str">
        <f aca="false">IF(AND($D196=客户对账单!$B$3,$B196&gt;=客户对账单!$E$3,$B196&lt;=客户对账单!$H$3),COUNTIFS($D$5:$D196,客户对账单!$B$3,$B$5:$B196,"&gt;="&amp;客户对账单!$E$3,$B$5:$B196,"&lt;="&amp;客户对账单!$H$3),"")</f>
        <v/>
      </c>
    </row>
    <row r="197" customFormat="false" ht="15.75" hidden="false" customHeight="true" outlineLevel="0" collapsed="false">
      <c r="A197" s="42" t="str">
        <f aca="false">IF($B197="","","XS"&amp;TEXT($B197,"yyyymm")&amp;"-"&amp;TEXT(ROW()-4,"000"))</f>
        <v/>
      </c>
      <c r="B197" s="41"/>
      <c r="C197" s="42" t="str">
        <f aca="false">IF($B197="","",TEXT($B197,"yyyy-mm"))</f>
        <v/>
      </c>
      <c r="D197" s="32"/>
      <c r="E197" s="36"/>
      <c r="F197" s="43"/>
      <c r="G197" s="40"/>
      <c r="H197" s="51"/>
      <c r="I197" s="33"/>
      <c r="J197" s="33"/>
      <c r="K197" s="36"/>
      <c r="L197" s="47" t="str">
        <f aca="false">IF($B197="","",IF(NOT(ISNUMBER($B197)),"日期不是日期格式",IF(YEAR($B197)&lt;&gt;首页!$B$3,"不在会计年度",IF($D197="","未选客户",IF(ISNA(MATCH($D197,基础资料!$Z$6:$Z$155,0)),"客户不在档案",IF($E197="","未选商品",IF(ISNA(MATCH($E197,基础资料!$Q$6:$Q$205,0)),"商品不在档案",IF(NOT(ISNUMBER($F197)),"数量须为数字",IF(NOT(ISNUMBER($G197)),"单价须为数字",IF(N($F197)&lt;=0,"数量须大于0",IF(AND(IFERROR(INDEX(基础资料!$V$6:$V$205,MATCH($E197,基础资料!$Q$6:$Q$205,0)),"")="是",N($R197)=0),"无成本价·请先录采购或填参考成本",IF(N($T197)&lt;0,"毛利为负·请核对","√"))))))))))))</f>
        <v/>
      </c>
      <c r="M197" s="49" t="str">
        <f aca="false">IF($E197="","",IFERROR(INDEX(基础资料!$R$6:$R$205,MATCH($E197,基础资料!$Q$6:$Q$205,0)),""))</f>
        <v/>
      </c>
      <c r="N197" s="49" t="str">
        <f aca="false">IF($E197="","",IFERROR(INDEX(基础资料!$S$6:$S$205,MATCH($E197,基础资料!$Q$6:$Q$205,0)),""))</f>
        <v/>
      </c>
      <c r="O197" s="48" t="str">
        <f aca="false">IF(OR($F197="",$G197=""),"",ROUND(N($F197)*N($G197),2))</f>
        <v/>
      </c>
      <c r="P197" s="48" t="str">
        <f aca="false">IF($O197="","",ROUND(N($O197)*N($H197),2))</f>
        <v/>
      </c>
      <c r="Q197" s="48" t="str">
        <f aca="false">IF($O197="","",N($O197)+N($P197))</f>
        <v/>
      </c>
      <c r="R197" s="48" t="str">
        <f aca="false">IF(OR($E197="",$B197=""),"",IF(IFERROR(INDEX(基础资料!$V$6:$V$205,MATCH($E197,基础资料!$Q$6:$Q$205,0)),"")&lt;&gt;"是",0,IFERROR((SUMIFS(期初数据!$T$6:$T$205,期初数据!$O$6:$O$205,$E197)+SUMIFS(采购录入!$Q$5:$Q$404,采购录入!$E$5:$E$404,$E197,采购录入!$I$5:$I$404,"是",采购录入!$B$5:$B$404,"&lt;="&amp;$B197))/(SUMIFS(期初数据!$R$6:$R$205,期初数据!$O$6:$O$205,$E197)+SUMIFS(采购录入!$F$5:$F$404,采购录入!$E$5:$E$404,$E197,采购录入!$I$5:$I$404,"是",采购录入!$B$5:$B$404,"&lt;="&amp;$B197)),IFERROR(INDEX(基础资料!$U$6:$U$205,MATCH($E197,基础资料!$Q$6:$Q$205,0)),0))))</f>
        <v/>
      </c>
      <c r="S197" s="48" t="str">
        <f aca="false">IF($O197="","",ROUND(N($F197)*N($R197),2))</f>
        <v/>
      </c>
      <c r="T197" s="48" t="str">
        <f aca="false">IF($O197="","",N($O197)-N($S197))</f>
        <v/>
      </c>
      <c r="U197" s="52" t="str">
        <f aca="false">IF(OR($B197="",$D197=""),"",$B197+N(IFERROR(INDEX(基础资料!$AB$6:$AB$155,MATCH($D197,基础资料!$Z$6:$Z$155,0)),0)))</f>
        <v/>
      </c>
      <c r="V197" s="49" t="str">
        <f aca="false">IF($O197="","","1122")</f>
        <v/>
      </c>
      <c r="W197" s="49" t="str">
        <f aca="false">IF($O197="","","6001")</f>
        <v/>
      </c>
      <c r="X197" s="48" t="str">
        <f aca="false">IF($O197="","",$O197)</f>
        <v/>
      </c>
      <c r="Y197" s="49" t="str">
        <f aca="false">IF(N($P197)=0,"","1122")</f>
        <v/>
      </c>
      <c r="Z197" s="49" t="str">
        <f aca="false">IF(N($P197)=0,"","2221")</f>
        <v/>
      </c>
      <c r="AA197" s="48" t="str">
        <f aca="false">IF(N($P197)=0,"",$P197)</f>
        <v/>
      </c>
      <c r="AB197" s="49" t="str">
        <f aca="false">IF(N($S197)=0,"","6401")</f>
        <v/>
      </c>
      <c r="AC197" s="49" t="str">
        <f aca="false">IF(N($S197)=0,"","1405")</f>
        <v/>
      </c>
      <c r="AD197" s="48" t="str">
        <f aca="false">IF(N($S197)=0,"",$S197)</f>
        <v/>
      </c>
      <c r="AE197" s="49" t="str">
        <f aca="false">IF(AND($D197=客户对账单!$B$3,$B197&gt;=客户对账单!$E$3,$B197&lt;=客户对账单!$H$3),COUNTIFS($D$5:$D197,客户对账单!$B$3,$B$5:$B197,"&gt;="&amp;客户对账单!$E$3,$B$5:$B197,"&lt;="&amp;客户对账单!$H$3),"")</f>
        <v/>
      </c>
    </row>
    <row r="198" customFormat="false" ht="15.75" hidden="false" customHeight="true" outlineLevel="0" collapsed="false">
      <c r="A198" s="42" t="str">
        <f aca="false">IF($B198="","","XS"&amp;TEXT($B198,"yyyymm")&amp;"-"&amp;TEXT(ROW()-4,"000"))</f>
        <v/>
      </c>
      <c r="B198" s="41"/>
      <c r="C198" s="42" t="str">
        <f aca="false">IF($B198="","",TEXT($B198,"yyyy-mm"))</f>
        <v/>
      </c>
      <c r="D198" s="32"/>
      <c r="E198" s="36"/>
      <c r="F198" s="43"/>
      <c r="G198" s="40"/>
      <c r="H198" s="51"/>
      <c r="I198" s="33"/>
      <c r="J198" s="33"/>
      <c r="K198" s="36"/>
      <c r="L198" s="47" t="str">
        <f aca="false">IF($B198="","",IF(NOT(ISNUMBER($B198)),"日期不是日期格式",IF(YEAR($B198)&lt;&gt;首页!$B$3,"不在会计年度",IF($D198="","未选客户",IF(ISNA(MATCH($D198,基础资料!$Z$6:$Z$155,0)),"客户不在档案",IF($E198="","未选商品",IF(ISNA(MATCH($E198,基础资料!$Q$6:$Q$205,0)),"商品不在档案",IF(NOT(ISNUMBER($F198)),"数量须为数字",IF(NOT(ISNUMBER($G198)),"单价须为数字",IF(N($F198)&lt;=0,"数量须大于0",IF(AND(IFERROR(INDEX(基础资料!$V$6:$V$205,MATCH($E198,基础资料!$Q$6:$Q$205,0)),"")="是",N($R198)=0),"无成本价·请先录采购或填参考成本",IF(N($T198)&lt;0,"毛利为负·请核对","√"))))))))))))</f>
        <v/>
      </c>
      <c r="M198" s="49" t="str">
        <f aca="false">IF($E198="","",IFERROR(INDEX(基础资料!$R$6:$R$205,MATCH($E198,基础资料!$Q$6:$Q$205,0)),""))</f>
        <v/>
      </c>
      <c r="N198" s="49" t="str">
        <f aca="false">IF($E198="","",IFERROR(INDEX(基础资料!$S$6:$S$205,MATCH($E198,基础资料!$Q$6:$Q$205,0)),""))</f>
        <v/>
      </c>
      <c r="O198" s="48" t="str">
        <f aca="false">IF(OR($F198="",$G198=""),"",ROUND(N($F198)*N($G198),2))</f>
        <v/>
      </c>
      <c r="P198" s="48" t="str">
        <f aca="false">IF($O198="","",ROUND(N($O198)*N($H198),2))</f>
        <v/>
      </c>
      <c r="Q198" s="48" t="str">
        <f aca="false">IF($O198="","",N($O198)+N($P198))</f>
        <v/>
      </c>
      <c r="R198" s="48" t="str">
        <f aca="false">IF(OR($E198="",$B198=""),"",IF(IFERROR(INDEX(基础资料!$V$6:$V$205,MATCH($E198,基础资料!$Q$6:$Q$205,0)),"")&lt;&gt;"是",0,IFERROR((SUMIFS(期初数据!$T$6:$T$205,期初数据!$O$6:$O$205,$E198)+SUMIFS(采购录入!$Q$5:$Q$404,采购录入!$E$5:$E$404,$E198,采购录入!$I$5:$I$404,"是",采购录入!$B$5:$B$404,"&lt;="&amp;$B198))/(SUMIFS(期初数据!$R$6:$R$205,期初数据!$O$6:$O$205,$E198)+SUMIFS(采购录入!$F$5:$F$404,采购录入!$E$5:$E$404,$E198,采购录入!$I$5:$I$404,"是",采购录入!$B$5:$B$404,"&lt;="&amp;$B198)),IFERROR(INDEX(基础资料!$U$6:$U$205,MATCH($E198,基础资料!$Q$6:$Q$205,0)),0))))</f>
        <v/>
      </c>
      <c r="S198" s="48" t="str">
        <f aca="false">IF($O198="","",ROUND(N($F198)*N($R198),2))</f>
        <v/>
      </c>
      <c r="T198" s="48" t="str">
        <f aca="false">IF($O198="","",N($O198)-N($S198))</f>
        <v/>
      </c>
      <c r="U198" s="52" t="str">
        <f aca="false">IF(OR($B198="",$D198=""),"",$B198+N(IFERROR(INDEX(基础资料!$AB$6:$AB$155,MATCH($D198,基础资料!$Z$6:$Z$155,0)),0)))</f>
        <v/>
      </c>
      <c r="V198" s="49" t="str">
        <f aca="false">IF($O198="","","1122")</f>
        <v/>
      </c>
      <c r="W198" s="49" t="str">
        <f aca="false">IF($O198="","","6001")</f>
        <v/>
      </c>
      <c r="X198" s="48" t="str">
        <f aca="false">IF($O198="","",$O198)</f>
        <v/>
      </c>
      <c r="Y198" s="49" t="str">
        <f aca="false">IF(N($P198)=0,"","1122")</f>
        <v/>
      </c>
      <c r="Z198" s="49" t="str">
        <f aca="false">IF(N($P198)=0,"","2221")</f>
        <v/>
      </c>
      <c r="AA198" s="48" t="str">
        <f aca="false">IF(N($P198)=0,"",$P198)</f>
        <v/>
      </c>
      <c r="AB198" s="49" t="str">
        <f aca="false">IF(N($S198)=0,"","6401")</f>
        <v/>
      </c>
      <c r="AC198" s="49" t="str">
        <f aca="false">IF(N($S198)=0,"","1405")</f>
        <v/>
      </c>
      <c r="AD198" s="48" t="str">
        <f aca="false">IF(N($S198)=0,"",$S198)</f>
        <v/>
      </c>
      <c r="AE198" s="49" t="str">
        <f aca="false">IF(AND($D198=客户对账单!$B$3,$B198&gt;=客户对账单!$E$3,$B198&lt;=客户对账单!$H$3),COUNTIFS($D$5:$D198,客户对账单!$B$3,$B$5:$B198,"&gt;="&amp;客户对账单!$E$3,$B$5:$B198,"&lt;="&amp;客户对账单!$H$3),"")</f>
        <v/>
      </c>
    </row>
    <row r="199" customFormat="false" ht="15.75" hidden="false" customHeight="true" outlineLevel="0" collapsed="false">
      <c r="A199" s="42" t="str">
        <f aca="false">IF($B199="","","XS"&amp;TEXT($B199,"yyyymm")&amp;"-"&amp;TEXT(ROW()-4,"000"))</f>
        <v/>
      </c>
      <c r="B199" s="41"/>
      <c r="C199" s="42" t="str">
        <f aca="false">IF($B199="","",TEXT($B199,"yyyy-mm"))</f>
        <v/>
      </c>
      <c r="D199" s="32"/>
      <c r="E199" s="36"/>
      <c r="F199" s="43"/>
      <c r="G199" s="40"/>
      <c r="H199" s="51"/>
      <c r="I199" s="33"/>
      <c r="J199" s="33"/>
      <c r="K199" s="36"/>
      <c r="L199" s="47" t="str">
        <f aca="false">IF($B199="","",IF(NOT(ISNUMBER($B199)),"日期不是日期格式",IF(YEAR($B199)&lt;&gt;首页!$B$3,"不在会计年度",IF($D199="","未选客户",IF(ISNA(MATCH($D199,基础资料!$Z$6:$Z$155,0)),"客户不在档案",IF($E199="","未选商品",IF(ISNA(MATCH($E199,基础资料!$Q$6:$Q$205,0)),"商品不在档案",IF(NOT(ISNUMBER($F199)),"数量须为数字",IF(NOT(ISNUMBER($G199)),"单价须为数字",IF(N($F199)&lt;=0,"数量须大于0",IF(AND(IFERROR(INDEX(基础资料!$V$6:$V$205,MATCH($E199,基础资料!$Q$6:$Q$205,0)),"")="是",N($R199)=0),"无成本价·请先录采购或填参考成本",IF(N($T199)&lt;0,"毛利为负·请核对","√"))))))))))))</f>
        <v/>
      </c>
      <c r="M199" s="49" t="str">
        <f aca="false">IF($E199="","",IFERROR(INDEX(基础资料!$R$6:$R$205,MATCH($E199,基础资料!$Q$6:$Q$205,0)),""))</f>
        <v/>
      </c>
      <c r="N199" s="49" t="str">
        <f aca="false">IF($E199="","",IFERROR(INDEX(基础资料!$S$6:$S$205,MATCH($E199,基础资料!$Q$6:$Q$205,0)),""))</f>
        <v/>
      </c>
      <c r="O199" s="48" t="str">
        <f aca="false">IF(OR($F199="",$G199=""),"",ROUND(N($F199)*N($G199),2))</f>
        <v/>
      </c>
      <c r="P199" s="48" t="str">
        <f aca="false">IF($O199="","",ROUND(N($O199)*N($H199),2))</f>
        <v/>
      </c>
      <c r="Q199" s="48" t="str">
        <f aca="false">IF($O199="","",N($O199)+N($P199))</f>
        <v/>
      </c>
      <c r="R199" s="48" t="str">
        <f aca="false">IF(OR($E199="",$B199=""),"",IF(IFERROR(INDEX(基础资料!$V$6:$V$205,MATCH($E199,基础资料!$Q$6:$Q$205,0)),"")&lt;&gt;"是",0,IFERROR((SUMIFS(期初数据!$T$6:$T$205,期初数据!$O$6:$O$205,$E199)+SUMIFS(采购录入!$Q$5:$Q$404,采购录入!$E$5:$E$404,$E199,采购录入!$I$5:$I$404,"是",采购录入!$B$5:$B$404,"&lt;="&amp;$B199))/(SUMIFS(期初数据!$R$6:$R$205,期初数据!$O$6:$O$205,$E199)+SUMIFS(采购录入!$F$5:$F$404,采购录入!$E$5:$E$404,$E199,采购录入!$I$5:$I$404,"是",采购录入!$B$5:$B$404,"&lt;="&amp;$B199)),IFERROR(INDEX(基础资料!$U$6:$U$205,MATCH($E199,基础资料!$Q$6:$Q$205,0)),0))))</f>
        <v/>
      </c>
      <c r="S199" s="48" t="str">
        <f aca="false">IF($O199="","",ROUND(N($F199)*N($R199),2))</f>
        <v/>
      </c>
      <c r="T199" s="48" t="str">
        <f aca="false">IF($O199="","",N($O199)-N($S199))</f>
        <v/>
      </c>
      <c r="U199" s="52" t="str">
        <f aca="false">IF(OR($B199="",$D199=""),"",$B199+N(IFERROR(INDEX(基础资料!$AB$6:$AB$155,MATCH($D199,基础资料!$Z$6:$Z$155,0)),0)))</f>
        <v/>
      </c>
      <c r="V199" s="49" t="str">
        <f aca="false">IF($O199="","","1122")</f>
        <v/>
      </c>
      <c r="W199" s="49" t="str">
        <f aca="false">IF($O199="","","6001")</f>
        <v/>
      </c>
      <c r="X199" s="48" t="str">
        <f aca="false">IF($O199="","",$O199)</f>
        <v/>
      </c>
      <c r="Y199" s="49" t="str">
        <f aca="false">IF(N($P199)=0,"","1122")</f>
        <v/>
      </c>
      <c r="Z199" s="49" t="str">
        <f aca="false">IF(N($P199)=0,"","2221")</f>
        <v/>
      </c>
      <c r="AA199" s="48" t="str">
        <f aca="false">IF(N($P199)=0,"",$P199)</f>
        <v/>
      </c>
      <c r="AB199" s="49" t="str">
        <f aca="false">IF(N($S199)=0,"","6401")</f>
        <v/>
      </c>
      <c r="AC199" s="49" t="str">
        <f aca="false">IF(N($S199)=0,"","1405")</f>
        <v/>
      </c>
      <c r="AD199" s="48" t="str">
        <f aca="false">IF(N($S199)=0,"",$S199)</f>
        <v/>
      </c>
      <c r="AE199" s="49" t="str">
        <f aca="false">IF(AND($D199=客户对账单!$B$3,$B199&gt;=客户对账单!$E$3,$B199&lt;=客户对账单!$H$3),COUNTIFS($D$5:$D199,客户对账单!$B$3,$B$5:$B199,"&gt;="&amp;客户对账单!$E$3,$B$5:$B199,"&lt;="&amp;客户对账单!$H$3),"")</f>
        <v/>
      </c>
    </row>
    <row r="200" customFormat="false" ht="15.75" hidden="false" customHeight="true" outlineLevel="0" collapsed="false">
      <c r="A200" s="42" t="str">
        <f aca="false">IF($B200="","","XS"&amp;TEXT($B200,"yyyymm")&amp;"-"&amp;TEXT(ROW()-4,"000"))</f>
        <v/>
      </c>
      <c r="B200" s="41"/>
      <c r="C200" s="42" t="str">
        <f aca="false">IF($B200="","",TEXT($B200,"yyyy-mm"))</f>
        <v/>
      </c>
      <c r="D200" s="32"/>
      <c r="E200" s="36"/>
      <c r="F200" s="43"/>
      <c r="G200" s="40"/>
      <c r="H200" s="51"/>
      <c r="I200" s="33"/>
      <c r="J200" s="33"/>
      <c r="K200" s="36"/>
      <c r="L200" s="47" t="str">
        <f aca="false">IF($B200="","",IF(NOT(ISNUMBER($B200)),"日期不是日期格式",IF(YEAR($B200)&lt;&gt;首页!$B$3,"不在会计年度",IF($D200="","未选客户",IF(ISNA(MATCH($D200,基础资料!$Z$6:$Z$155,0)),"客户不在档案",IF($E200="","未选商品",IF(ISNA(MATCH($E200,基础资料!$Q$6:$Q$205,0)),"商品不在档案",IF(NOT(ISNUMBER($F200)),"数量须为数字",IF(NOT(ISNUMBER($G200)),"单价须为数字",IF(N($F200)&lt;=0,"数量须大于0",IF(AND(IFERROR(INDEX(基础资料!$V$6:$V$205,MATCH($E200,基础资料!$Q$6:$Q$205,0)),"")="是",N($R200)=0),"无成本价·请先录采购或填参考成本",IF(N($T200)&lt;0,"毛利为负·请核对","√"))))))))))))</f>
        <v/>
      </c>
      <c r="M200" s="49" t="str">
        <f aca="false">IF($E200="","",IFERROR(INDEX(基础资料!$R$6:$R$205,MATCH($E200,基础资料!$Q$6:$Q$205,0)),""))</f>
        <v/>
      </c>
      <c r="N200" s="49" t="str">
        <f aca="false">IF($E200="","",IFERROR(INDEX(基础资料!$S$6:$S$205,MATCH($E200,基础资料!$Q$6:$Q$205,0)),""))</f>
        <v/>
      </c>
      <c r="O200" s="48" t="str">
        <f aca="false">IF(OR($F200="",$G200=""),"",ROUND(N($F200)*N($G200),2))</f>
        <v/>
      </c>
      <c r="P200" s="48" t="str">
        <f aca="false">IF($O200="","",ROUND(N($O200)*N($H200),2))</f>
        <v/>
      </c>
      <c r="Q200" s="48" t="str">
        <f aca="false">IF($O200="","",N($O200)+N($P200))</f>
        <v/>
      </c>
      <c r="R200" s="48" t="str">
        <f aca="false">IF(OR($E200="",$B200=""),"",IF(IFERROR(INDEX(基础资料!$V$6:$V$205,MATCH($E200,基础资料!$Q$6:$Q$205,0)),"")&lt;&gt;"是",0,IFERROR((SUMIFS(期初数据!$T$6:$T$205,期初数据!$O$6:$O$205,$E200)+SUMIFS(采购录入!$Q$5:$Q$404,采购录入!$E$5:$E$404,$E200,采购录入!$I$5:$I$404,"是",采购录入!$B$5:$B$404,"&lt;="&amp;$B200))/(SUMIFS(期初数据!$R$6:$R$205,期初数据!$O$6:$O$205,$E200)+SUMIFS(采购录入!$F$5:$F$404,采购录入!$E$5:$E$404,$E200,采购录入!$I$5:$I$404,"是",采购录入!$B$5:$B$404,"&lt;="&amp;$B200)),IFERROR(INDEX(基础资料!$U$6:$U$205,MATCH($E200,基础资料!$Q$6:$Q$205,0)),0))))</f>
        <v/>
      </c>
      <c r="S200" s="48" t="str">
        <f aca="false">IF($O200="","",ROUND(N($F200)*N($R200),2))</f>
        <v/>
      </c>
      <c r="T200" s="48" t="str">
        <f aca="false">IF($O200="","",N($O200)-N($S200))</f>
        <v/>
      </c>
      <c r="U200" s="52" t="str">
        <f aca="false">IF(OR($B200="",$D200=""),"",$B200+N(IFERROR(INDEX(基础资料!$AB$6:$AB$155,MATCH($D200,基础资料!$Z$6:$Z$155,0)),0)))</f>
        <v/>
      </c>
      <c r="V200" s="49" t="str">
        <f aca="false">IF($O200="","","1122")</f>
        <v/>
      </c>
      <c r="W200" s="49" t="str">
        <f aca="false">IF($O200="","","6001")</f>
        <v/>
      </c>
      <c r="X200" s="48" t="str">
        <f aca="false">IF($O200="","",$O200)</f>
        <v/>
      </c>
      <c r="Y200" s="49" t="str">
        <f aca="false">IF(N($P200)=0,"","1122")</f>
        <v/>
      </c>
      <c r="Z200" s="49" t="str">
        <f aca="false">IF(N($P200)=0,"","2221")</f>
        <v/>
      </c>
      <c r="AA200" s="48" t="str">
        <f aca="false">IF(N($P200)=0,"",$P200)</f>
        <v/>
      </c>
      <c r="AB200" s="49" t="str">
        <f aca="false">IF(N($S200)=0,"","6401")</f>
        <v/>
      </c>
      <c r="AC200" s="49" t="str">
        <f aca="false">IF(N($S200)=0,"","1405")</f>
        <v/>
      </c>
      <c r="AD200" s="48" t="str">
        <f aca="false">IF(N($S200)=0,"",$S200)</f>
        <v/>
      </c>
      <c r="AE200" s="49" t="str">
        <f aca="false">IF(AND($D200=客户对账单!$B$3,$B200&gt;=客户对账单!$E$3,$B200&lt;=客户对账单!$H$3),COUNTIFS($D$5:$D200,客户对账单!$B$3,$B$5:$B200,"&gt;="&amp;客户对账单!$E$3,$B$5:$B200,"&lt;="&amp;客户对账单!$H$3),"")</f>
        <v/>
      </c>
    </row>
    <row r="201" customFormat="false" ht="15.75" hidden="false" customHeight="true" outlineLevel="0" collapsed="false">
      <c r="A201" s="42" t="str">
        <f aca="false">IF($B201="","","XS"&amp;TEXT($B201,"yyyymm")&amp;"-"&amp;TEXT(ROW()-4,"000"))</f>
        <v/>
      </c>
      <c r="B201" s="41"/>
      <c r="C201" s="42" t="str">
        <f aca="false">IF($B201="","",TEXT($B201,"yyyy-mm"))</f>
        <v/>
      </c>
      <c r="D201" s="32"/>
      <c r="E201" s="36"/>
      <c r="F201" s="43"/>
      <c r="G201" s="40"/>
      <c r="H201" s="51"/>
      <c r="I201" s="33"/>
      <c r="J201" s="33"/>
      <c r="K201" s="36"/>
      <c r="L201" s="47" t="str">
        <f aca="false">IF($B201="","",IF(NOT(ISNUMBER($B201)),"日期不是日期格式",IF(YEAR($B201)&lt;&gt;首页!$B$3,"不在会计年度",IF($D201="","未选客户",IF(ISNA(MATCH($D201,基础资料!$Z$6:$Z$155,0)),"客户不在档案",IF($E201="","未选商品",IF(ISNA(MATCH($E201,基础资料!$Q$6:$Q$205,0)),"商品不在档案",IF(NOT(ISNUMBER($F201)),"数量须为数字",IF(NOT(ISNUMBER($G201)),"单价须为数字",IF(N($F201)&lt;=0,"数量须大于0",IF(AND(IFERROR(INDEX(基础资料!$V$6:$V$205,MATCH($E201,基础资料!$Q$6:$Q$205,0)),"")="是",N($R201)=0),"无成本价·请先录采购或填参考成本",IF(N($T201)&lt;0,"毛利为负·请核对","√"))))))))))))</f>
        <v/>
      </c>
      <c r="M201" s="49" t="str">
        <f aca="false">IF($E201="","",IFERROR(INDEX(基础资料!$R$6:$R$205,MATCH($E201,基础资料!$Q$6:$Q$205,0)),""))</f>
        <v/>
      </c>
      <c r="N201" s="49" t="str">
        <f aca="false">IF($E201="","",IFERROR(INDEX(基础资料!$S$6:$S$205,MATCH($E201,基础资料!$Q$6:$Q$205,0)),""))</f>
        <v/>
      </c>
      <c r="O201" s="48" t="str">
        <f aca="false">IF(OR($F201="",$G201=""),"",ROUND(N($F201)*N($G201),2))</f>
        <v/>
      </c>
      <c r="P201" s="48" t="str">
        <f aca="false">IF($O201="","",ROUND(N($O201)*N($H201),2))</f>
        <v/>
      </c>
      <c r="Q201" s="48" t="str">
        <f aca="false">IF($O201="","",N($O201)+N($P201))</f>
        <v/>
      </c>
      <c r="R201" s="48" t="str">
        <f aca="false">IF(OR($E201="",$B201=""),"",IF(IFERROR(INDEX(基础资料!$V$6:$V$205,MATCH($E201,基础资料!$Q$6:$Q$205,0)),"")&lt;&gt;"是",0,IFERROR((SUMIFS(期初数据!$T$6:$T$205,期初数据!$O$6:$O$205,$E201)+SUMIFS(采购录入!$Q$5:$Q$404,采购录入!$E$5:$E$404,$E201,采购录入!$I$5:$I$404,"是",采购录入!$B$5:$B$404,"&lt;="&amp;$B201))/(SUMIFS(期初数据!$R$6:$R$205,期初数据!$O$6:$O$205,$E201)+SUMIFS(采购录入!$F$5:$F$404,采购录入!$E$5:$E$404,$E201,采购录入!$I$5:$I$404,"是",采购录入!$B$5:$B$404,"&lt;="&amp;$B201)),IFERROR(INDEX(基础资料!$U$6:$U$205,MATCH($E201,基础资料!$Q$6:$Q$205,0)),0))))</f>
        <v/>
      </c>
      <c r="S201" s="48" t="str">
        <f aca="false">IF($O201="","",ROUND(N($F201)*N($R201),2))</f>
        <v/>
      </c>
      <c r="T201" s="48" t="str">
        <f aca="false">IF($O201="","",N($O201)-N($S201))</f>
        <v/>
      </c>
      <c r="U201" s="52" t="str">
        <f aca="false">IF(OR($B201="",$D201=""),"",$B201+N(IFERROR(INDEX(基础资料!$AB$6:$AB$155,MATCH($D201,基础资料!$Z$6:$Z$155,0)),0)))</f>
        <v/>
      </c>
      <c r="V201" s="49" t="str">
        <f aca="false">IF($O201="","","1122")</f>
        <v/>
      </c>
      <c r="W201" s="49" t="str">
        <f aca="false">IF($O201="","","6001")</f>
        <v/>
      </c>
      <c r="X201" s="48" t="str">
        <f aca="false">IF($O201="","",$O201)</f>
        <v/>
      </c>
      <c r="Y201" s="49" t="str">
        <f aca="false">IF(N($P201)=0,"","1122")</f>
        <v/>
      </c>
      <c r="Z201" s="49" t="str">
        <f aca="false">IF(N($P201)=0,"","2221")</f>
        <v/>
      </c>
      <c r="AA201" s="48" t="str">
        <f aca="false">IF(N($P201)=0,"",$P201)</f>
        <v/>
      </c>
      <c r="AB201" s="49" t="str">
        <f aca="false">IF(N($S201)=0,"","6401")</f>
        <v/>
      </c>
      <c r="AC201" s="49" t="str">
        <f aca="false">IF(N($S201)=0,"","1405")</f>
        <v/>
      </c>
      <c r="AD201" s="48" t="str">
        <f aca="false">IF(N($S201)=0,"",$S201)</f>
        <v/>
      </c>
      <c r="AE201" s="49" t="str">
        <f aca="false">IF(AND($D201=客户对账单!$B$3,$B201&gt;=客户对账单!$E$3,$B201&lt;=客户对账单!$H$3),COUNTIFS($D$5:$D201,客户对账单!$B$3,$B$5:$B201,"&gt;="&amp;客户对账单!$E$3,$B$5:$B201,"&lt;="&amp;客户对账单!$H$3),"")</f>
        <v/>
      </c>
    </row>
    <row r="202" customFormat="false" ht="15.75" hidden="false" customHeight="true" outlineLevel="0" collapsed="false">
      <c r="A202" s="42" t="str">
        <f aca="false">IF($B202="","","XS"&amp;TEXT($B202,"yyyymm")&amp;"-"&amp;TEXT(ROW()-4,"000"))</f>
        <v/>
      </c>
      <c r="B202" s="41"/>
      <c r="C202" s="42" t="str">
        <f aca="false">IF($B202="","",TEXT($B202,"yyyy-mm"))</f>
        <v/>
      </c>
      <c r="D202" s="32"/>
      <c r="E202" s="36"/>
      <c r="F202" s="43"/>
      <c r="G202" s="40"/>
      <c r="H202" s="51"/>
      <c r="I202" s="33"/>
      <c r="J202" s="33"/>
      <c r="K202" s="36"/>
      <c r="L202" s="47" t="str">
        <f aca="false">IF($B202="","",IF(NOT(ISNUMBER($B202)),"日期不是日期格式",IF(YEAR($B202)&lt;&gt;首页!$B$3,"不在会计年度",IF($D202="","未选客户",IF(ISNA(MATCH($D202,基础资料!$Z$6:$Z$155,0)),"客户不在档案",IF($E202="","未选商品",IF(ISNA(MATCH($E202,基础资料!$Q$6:$Q$205,0)),"商品不在档案",IF(NOT(ISNUMBER($F202)),"数量须为数字",IF(NOT(ISNUMBER($G202)),"单价须为数字",IF(N($F202)&lt;=0,"数量须大于0",IF(AND(IFERROR(INDEX(基础资料!$V$6:$V$205,MATCH($E202,基础资料!$Q$6:$Q$205,0)),"")="是",N($R202)=0),"无成本价·请先录采购或填参考成本",IF(N($T202)&lt;0,"毛利为负·请核对","√"))))))))))))</f>
        <v/>
      </c>
      <c r="M202" s="49" t="str">
        <f aca="false">IF($E202="","",IFERROR(INDEX(基础资料!$R$6:$R$205,MATCH($E202,基础资料!$Q$6:$Q$205,0)),""))</f>
        <v/>
      </c>
      <c r="N202" s="49" t="str">
        <f aca="false">IF($E202="","",IFERROR(INDEX(基础资料!$S$6:$S$205,MATCH($E202,基础资料!$Q$6:$Q$205,0)),""))</f>
        <v/>
      </c>
      <c r="O202" s="48" t="str">
        <f aca="false">IF(OR($F202="",$G202=""),"",ROUND(N($F202)*N($G202),2))</f>
        <v/>
      </c>
      <c r="P202" s="48" t="str">
        <f aca="false">IF($O202="","",ROUND(N($O202)*N($H202),2))</f>
        <v/>
      </c>
      <c r="Q202" s="48" t="str">
        <f aca="false">IF($O202="","",N($O202)+N($P202))</f>
        <v/>
      </c>
      <c r="R202" s="48" t="str">
        <f aca="false">IF(OR($E202="",$B202=""),"",IF(IFERROR(INDEX(基础资料!$V$6:$V$205,MATCH($E202,基础资料!$Q$6:$Q$205,0)),"")&lt;&gt;"是",0,IFERROR((SUMIFS(期初数据!$T$6:$T$205,期初数据!$O$6:$O$205,$E202)+SUMIFS(采购录入!$Q$5:$Q$404,采购录入!$E$5:$E$404,$E202,采购录入!$I$5:$I$404,"是",采购录入!$B$5:$B$404,"&lt;="&amp;$B202))/(SUMIFS(期初数据!$R$6:$R$205,期初数据!$O$6:$O$205,$E202)+SUMIFS(采购录入!$F$5:$F$404,采购录入!$E$5:$E$404,$E202,采购录入!$I$5:$I$404,"是",采购录入!$B$5:$B$404,"&lt;="&amp;$B202)),IFERROR(INDEX(基础资料!$U$6:$U$205,MATCH($E202,基础资料!$Q$6:$Q$205,0)),0))))</f>
        <v/>
      </c>
      <c r="S202" s="48" t="str">
        <f aca="false">IF($O202="","",ROUND(N($F202)*N($R202),2))</f>
        <v/>
      </c>
      <c r="T202" s="48" t="str">
        <f aca="false">IF($O202="","",N($O202)-N($S202))</f>
        <v/>
      </c>
      <c r="U202" s="52" t="str">
        <f aca="false">IF(OR($B202="",$D202=""),"",$B202+N(IFERROR(INDEX(基础资料!$AB$6:$AB$155,MATCH($D202,基础资料!$Z$6:$Z$155,0)),0)))</f>
        <v/>
      </c>
      <c r="V202" s="49" t="str">
        <f aca="false">IF($O202="","","1122")</f>
        <v/>
      </c>
      <c r="W202" s="49" t="str">
        <f aca="false">IF($O202="","","6001")</f>
        <v/>
      </c>
      <c r="X202" s="48" t="str">
        <f aca="false">IF($O202="","",$O202)</f>
        <v/>
      </c>
      <c r="Y202" s="49" t="str">
        <f aca="false">IF(N($P202)=0,"","1122")</f>
        <v/>
      </c>
      <c r="Z202" s="49" t="str">
        <f aca="false">IF(N($P202)=0,"","2221")</f>
        <v/>
      </c>
      <c r="AA202" s="48" t="str">
        <f aca="false">IF(N($P202)=0,"",$P202)</f>
        <v/>
      </c>
      <c r="AB202" s="49" t="str">
        <f aca="false">IF(N($S202)=0,"","6401")</f>
        <v/>
      </c>
      <c r="AC202" s="49" t="str">
        <f aca="false">IF(N($S202)=0,"","1405")</f>
        <v/>
      </c>
      <c r="AD202" s="48" t="str">
        <f aca="false">IF(N($S202)=0,"",$S202)</f>
        <v/>
      </c>
      <c r="AE202" s="49" t="str">
        <f aca="false">IF(AND($D202=客户对账单!$B$3,$B202&gt;=客户对账单!$E$3,$B202&lt;=客户对账单!$H$3),COUNTIFS($D$5:$D202,客户对账单!$B$3,$B$5:$B202,"&gt;="&amp;客户对账单!$E$3,$B$5:$B202,"&lt;="&amp;客户对账单!$H$3),"")</f>
        <v/>
      </c>
    </row>
    <row r="203" customFormat="false" ht="15.75" hidden="false" customHeight="true" outlineLevel="0" collapsed="false">
      <c r="A203" s="42" t="str">
        <f aca="false">IF($B203="","","XS"&amp;TEXT($B203,"yyyymm")&amp;"-"&amp;TEXT(ROW()-4,"000"))</f>
        <v/>
      </c>
      <c r="B203" s="41"/>
      <c r="C203" s="42" t="str">
        <f aca="false">IF($B203="","",TEXT($B203,"yyyy-mm"))</f>
        <v/>
      </c>
      <c r="D203" s="32"/>
      <c r="E203" s="36"/>
      <c r="F203" s="43"/>
      <c r="G203" s="40"/>
      <c r="H203" s="51"/>
      <c r="I203" s="33"/>
      <c r="J203" s="33"/>
      <c r="K203" s="36"/>
      <c r="L203" s="47" t="str">
        <f aca="false">IF($B203="","",IF(NOT(ISNUMBER($B203)),"日期不是日期格式",IF(YEAR($B203)&lt;&gt;首页!$B$3,"不在会计年度",IF($D203="","未选客户",IF(ISNA(MATCH($D203,基础资料!$Z$6:$Z$155,0)),"客户不在档案",IF($E203="","未选商品",IF(ISNA(MATCH($E203,基础资料!$Q$6:$Q$205,0)),"商品不在档案",IF(NOT(ISNUMBER($F203)),"数量须为数字",IF(NOT(ISNUMBER($G203)),"单价须为数字",IF(N($F203)&lt;=0,"数量须大于0",IF(AND(IFERROR(INDEX(基础资料!$V$6:$V$205,MATCH($E203,基础资料!$Q$6:$Q$205,0)),"")="是",N($R203)=0),"无成本价·请先录采购或填参考成本",IF(N($T203)&lt;0,"毛利为负·请核对","√"))))))))))))</f>
        <v/>
      </c>
      <c r="M203" s="49" t="str">
        <f aca="false">IF($E203="","",IFERROR(INDEX(基础资料!$R$6:$R$205,MATCH($E203,基础资料!$Q$6:$Q$205,0)),""))</f>
        <v/>
      </c>
      <c r="N203" s="49" t="str">
        <f aca="false">IF($E203="","",IFERROR(INDEX(基础资料!$S$6:$S$205,MATCH($E203,基础资料!$Q$6:$Q$205,0)),""))</f>
        <v/>
      </c>
      <c r="O203" s="48" t="str">
        <f aca="false">IF(OR($F203="",$G203=""),"",ROUND(N($F203)*N($G203),2))</f>
        <v/>
      </c>
      <c r="P203" s="48" t="str">
        <f aca="false">IF($O203="","",ROUND(N($O203)*N($H203),2))</f>
        <v/>
      </c>
      <c r="Q203" s="48" t="str">
        <f aca="false">IF($O203="","",N($O203)+N($P203))</f>
        <v/>
      </c>
      <c r="R203" s="48" t="str">
        <f aca="false">IF(OR($E203="",$B203=""),"",IF(IFERROR(INDEX(基础资料!$V$6:$V$205,MATCH($E203,基础资料!$Q$6:$Q$205,0)),"")&lt;&gt;"是",0,IFERROR((SUMIFS(期初数据!$T$6:$T$205,期初数据!$O$6:$O$205,$E203)+SUMIFS(采购录入!$Q$5:$Q$404,采购录入!$E$5:$E$404,$E203,采购录入!$I$5:$I$404,"是",采购录入!$B$5:$B$404,"&lt;="&amp;$B203))/(SUMIFS(期初数据!$R$6:$R$205,期初数据!$O$6:$O$205,$E203)+SUMIFS(采购录入!$F$5:$F$404,采购录入!$E$5:$E$404,$E203,采购录入!$I$5:$I$404,"是",采购录入!$B$5:$B$404,"&lt;="&amp;$B203)),IFERROR(INDEX(基础资料!$U$6:$U$205,MATCH($E203,基础资料!$Q$6:$Q$205,0)),0))))</f>
        <v/>
      </c>
      <c r="S203" s="48" t="str">
        <f aca="false">IF($O203="","",ROUND(N($F203)*N($R203),2))</f>
        <v/>
      </c>
      <c r="T203" s="48" t="str">
        <f aca="false">IF($O203="","",N($O203)-N($S203))</f>
        <v/>
      </c>
      <c r="U203" s="52" t="str">
        <f aca="false">IF(OR($B203="",$D203=""),"",$B203+N(IFERROR(INDEX(基础资料!$AB$6:$AB$155,MATCH($D203,基础资料!$Z$6:$Z$155,0)),0)))</f>
        <v/>
      </c>
      <c r="V203" s="49" t="str">
        <f aca="false">IF($O203="","","1122")</f>
        <v/>
      </c>
      <c r="W203" s="49" t="str">
        <f aca="false">IF($O203="","","6001")</f>
        <v/>
      </c>
      <c r="X203" s="48" t="str">
        <f aca="false">IF($O203="","",$O203)</f>
        <v/>
      </c>
      <c r="Y203" s="49" t="str">
        <f aca="false">IF(N($P203)=0,"","1122")</f>
        <v/>
      </c>
      <c r="Z203" s="49" t="str">
        <f aca="false">IF(N($P203)=0,"","2221")</f>
        <v/>
      </c>
      <c r="AA203" s="48" t="str">
        <f aca="false">IF(N($P203)=0,"",$P203)</f>
        <v/>
      </c>
      <c r="AB203" s="49" t="str">
        <f aca="false">IF(N($S203)=0,"","6401")</f>
        <v/>
      </c>
      <c r="AC203" s="49" t="str">
        <f aca="false">IF(N($S203)=0,"","1405")</f>
        <v/>
      </c>
      <c r="AD203" s="48" t="str">
        <f aca="false">IF(N($S203)=0,"",$S203)</f>
        <v/>
      </c>
      <c r="AE203" s="49" t="str">
        <f aca="false">IF(AND($D203=客户对账单!$B$3,$B203&gt;=客户对账单!$E$3,$B203&lt;=客户对账单!$H$3),COUNTIFS($D$5:$D203,客户对账单!$B$3,$B$5:$B203,"&gt;="&amp;客户对账单!$E$3,$B$5:$B203,"&lt;="&amp;客户对账单!$H$3),"")</f>
        <v/>
      </c>
    </row>
    <row r="204" customFormat="false" ht="15.75" hidden="false" customHeight="true" outlineLevel="0" collapsed="false">
      <c r="A204" s="42" t="str">
        <f aca="false">IF($B204="","","XS"&amp;TEXT($B204,"yyyymm")&amp;"-"&amp;TEXT(ROW()-4,"000"))</f>
        <v/>
      </c>
      <c r="B204" s="41"/>
      <c r="C204" s="42" t="str">
        <f aca="false">IF($B204="","",TEXT($B204,"yyyy-mm"))</f>
        <v/>
      </c>
      <c r="D204" s="32"/>
      <c r="E204" s="36"/>
      <c r="F204" s="43"/>
      <c r="G204" s="40"/>
      <c r="H204" s="51"/>
      <c r="I204" s="33"/>
      <c r="J204" s="33"/>
      <c r="K204" s="36"/>
      <c r="L204" s="47" t="str">
        <f aca="false">IF($B204="","",IF(NOT(ISNUMBER($B204)),"日期不是日期格式",IF(YEAR($B204)&lt;&gt;首页!$B$3,"不在会计年度",IF($D204="","未选客户",IF(ISNA(MATCH($D204,基础资料!$Z$6:$Z$155,0)),"客户不在档案",IF($E204="","未选商品",IF(ISNA(MATCH($E204,基础资料!$Q$6:$Q$205,0)),"商品不在档案",IF(NOT(ISNUMBER($F204)),"数量须为数字",IF(NOT(ISNUMBER($G204)),"单价须为数字",IF(N($F204)&lt;=0,"数量须大于0",IF(AND(IFERROR(INDEX(基础资料!$V$6:$V$205,MATCH($E204,基础资料!$Q$6:$Q$205,0)),"")="是",N($R204)=0),"无成本价·请先录采购或填参考成本",IF(N($T204)&lt;0,"毛利为负·请核对","√"))))))))))))</f>
        <v/>
      </c>
      <c r="M204" s="49" t="str">
        <f aca="false">IF($E204="","",IFERROR(INDEX(基础资料!$R$6:$R$205,MATCH($E204,基础资料!$Q$6:$Q$205,0)),""))</f>
        <v/>
      </c>
      <c r="N204" s="49" t="str">
        <f aca="false">IF($E204="","",IFERROR(INDEX(基础资料!$S$6:$S$205,MATCH($E204,基础资料!$Q$6:$Q$205,0)),""))</f>
        <v/>
      </c>
      <c r="O204" s="48" t="str">
        <f aca="false">IF(OR($F204="",$G204=""),"",ROUND(N($F204)*N($G204),2))</f>
        <v/>
      </c>
      <c r="P204" s="48" t="str">
        <f aca="false">IF($O204="","",ROUND(N($O204)*N($H204),2))</f>
        <v/>
      </c>
      <c r="Q204" s="48" t="str">
        <f aca="false">IF($O204="","",N($O204)+N($P204))</f>
        <v/>
      </c>
      <c r="R204" s="48" t="str">
        <f aca="false">IF(OR($E204="",$B204=""),"",IF(IFERROR(INDEX(基础资料!$V$6:$V$205,MATCH($E204,基础资料!$Q$6:$Q$205,0)),"")&lt;&gt;"是",0,IFERROR((SUMIFS(期初数据!$T$6:$T$205,期初数据!$O$6:$O$205,$E204)+SUMIFS(采购录入!$Q$5:$Q$404,采购录入!$E$5:$E$404,$E204,采购录入!$I$5:$I$404,"是",采购录入!$B$5:$B$404,"&lt;="&amp;$B204))/(SUMIFS(期初数据!$R$6:$R$205,期初数据!$O$6:$O$205,$E204)+SUMIFS(采购录入!$F$5:$F$404,采购录入!$E$5:$E$404,$E204,采购录入!$I$5:$I$404,"是",采购录入!$B$5:$B$404,"&lt;="&amp;$B204)),IFERROR(INDEX(基础资料!$U$6:$U$205,MATCH($E204,基础资料!$Q$6:$Q$205,0)),0))))</f>
        <v/>
      </c>
      <c r="S204" s="48" t="str">
        <f aca="false">IF($O204="","",ROUND(N($F204)*N($R204),2))</f>
        <v/>
      </c>
      <c r="T204" s="48" t="str">
        <f aca="false">IF($O204="","",N($O204)-N($S204))</f>
        <v/>
      </c>
      <c r="U204" s="52" t="str">
        <f aca="false">IF(OR($B204="",$D204=""),"",$B204+N(IFERROR(INDEX(基础资料!$AB$6:$AB$155,MATCH($D204,基础资料!$Z$6:$Z$155,0)),0)))</f>
        <v/>
      </c>
      <c r="V204" s="49" t="str">
        <f aca="false">IF($O204="","","1122")</f>
        <v/>
      </c>
      <c r="W204" s="49" t="str">
        <f aca="false">IF($O204="","","6001")</f>
        <v/>
      </c>
      <c r="X204" s="48" t="str">
        <f aca="false">IF($O204="","",$O204)</f>
        <v/>
      </c>
      <c r="Y204" s="49" t="str">
        <f aca="false">IF(N($P204)=0,"","1122")</f>
        <v/>
      </c>
      <c r="Z204" s="49" t="str">
        <f aca="false">IF(N($P204)=0,"","2221")</f>
        <v/>
      </c>
      <c r="AA204" s="48" t="str">
        <f aca="false">IF(N($P204)=0,"",$P204)</f>
        <v/>
      </c>
      <c r="AB204" s="49" t="str">
        <f aca="false">IF(N($S204)=0,"","6401")</f>
        <v/>
      </c>
      <c r="AC204" s="49" t="str">
        <f aca="false">IF(N($S204)=0,"","1405")</f>
        <v/>
      </c>
      <c r="AD204" s="48" t="str">
        <f aca="false">IF(N($S204)=0,"",$S204)</f>
        <v/>
      </c>
      <c r="AE204" s="49" t="str">
        <f aca="false">IF(AND($D204=客户对账单!$B$3,$B204&gt;=客户对账单!$E$3,$B204&lt;=客户对账单!$H$3),COUNTIFS($D$5:$D204,客户对账单!$B$3,$B$5:$B204,"&gt;="&amp;客户对账单!$E$3,$B$5:$B204,"&lt;="&amp;客户对账单!$H$3),"")</f>
        <v/>
      </c>
    </row>
    <row r="205" customFormat="false" ht="15.75" hidden="false" customHeight="true" outlineLevel="0" collapsed="false">
      <c r="A205" s="42" t="str">
        <f aca="false">IF($B205="","","XS"&amp;TEXT($B205,"yyyymm")&amp;"-"&amp;TEXT(ROW()-4,"000"))</f>
        <v/>
      </c>
      <c r="B205" s="41"/>
      <c r="C205" s="42" t="str">
        <f aca="false">IF($B205="","",TEXT($B205,"yyyy-mm"))</f>
        <v/>
      </c>
      <c r="D205" s="32"/>
      <c r="E205" s="36"/>
      <c r="F205" s="43"/>
      <c r="G205" s="40"/>
      <c r="H205" s="51"/>
      <c r="I205" s="33"/>
      <c r="J205" s="33"/>
      <c r="K205" s="36"/>
      <c r="L205" s="47" t="str">
        <f aca="false">IF($B205="","",IF(NOT(ISNUMBER($B205)),"日期不是日期格式",IF(YEAR($B205)&lt;&gt;首页!$B$3,"不在会计年度",IF($D205="","未选客户",IF(ISNA(MATCH($D205,基础资料!$Z$6:$Z$155,0)),"客户不在档案",IF($E205="","未选商品",IF(ISNA(MATCH($E205,基础资料!$Q$6:$Q$205,0)),"商品不在档案",IF(NOT(ISNUMBER($F205)),"数量须为数字",IF(NOT(ISNUMBER($G205)),"单价须为数字",IF(N($F205)&lt;=0,"数量须大于0",IF(AND(IFERROR(INDEX(基础资料!$V$6:$V$205,MATCH($E205,基础资料!$Q$6:$Q$205,0)),"")="是",N($R205)=0),"无成本价·请先录采购或填参考成本",IF(N($T205)&lt;0,"毛利为负·请核对","√"))))))))))))</f>
        <v/>
      </c>
      <c r="M205" s="49" t="str">
        <f aca="false">IF($E205="","",IFERROR(INDEX(基础资料!$R$6:$R$205,MATCH($E205,基础资料!$Q$6:$Q$205,0)),""))</f>
        <v/>
      </c>
      <c r="N205" s="49" t="str">
        <f aca="false">IF($E205="","",IFERROR(INDEX(基础资料!$S$6:$S$205,MATCH($E205,基础资料!$Q$6:$Q$205,0)),""))</f>
        <v/>
      </c>
      <c r="O205" s="48" t="str">
        <f aca="false">IF(OR($F205="",$G205=""),"",ROUND(N($F205)*N($G205),2))</f>
        <v/>
      </c>
      <c r="P205" s="48" t="str">
        <f aca="false">IF($O205="","",ROUND(N($O205)*N($H205),2))</f>
        <v/>
      </c>
      <c r="Q205" s="48" t="str">
        <f aca="false">IF($O205="","",N($O205)+N($P205))</f>
        <v/>
      </c>
      <c r="R205" s="48" t="str">
        <f aca="false">IF(OR($E205="",$B205=""),"",IF(IFERROR(INDEX(基础资料!$V$6:$V$205,MATCH($E205,基础资料!$Q$6:$Q$205,0)),"")&lt;&gt;"是",0,IFERROR((SUMIFS(期初数据!$T$6:$T$205,期初数据!$O$6:$O$205,$E205)+SUMIFS(采购录入!$Q$5:$Q$404,采购录入!$E$5:$E$404,$E205,采购录入!$I$5:$I$404,"是",采购录入!$B$5:$B$404,"&lt;="&amp;$B205))/(SUMIFS(期初数据!$R$6:$R$205,期初数据!$O$6:$O$205,$E205)+SUMIFS(采购录入!$F$5:$F$404,采购录入!$E$5:$E$404,$E205,采购录入!$I$5:$I$404,"是",采购录入!$B$5:$B$404,"&lt;="&amp;$B205)),IFERROR(INDEX(基础资料!$U$6:$U$205,MATCH($E205,基础资料!$Q$6:$Q$205,0)),0))))</f>
        <v/>
      </c>
      <c r="S205" s="48" t="str">
        <f aca="false">IF($O205="","",ROUND(N($F205)*N($R205),2))</f>
        <v/>
      </c>
      <c r="T205" s="48" t="str">
        <f aca="false">IF($O205="","",N($O205)-N($S205))</f>
        <v/>
      </c>
      <c r="U205" s="52" t="str">
        <f aca="false">IF(OR($B205="",$D205=""),"",$B205+N(IFERROR(INDEX(基础资料!$AB$6:$AB$155,MATCH($D205,基础资料!$Z$6:$Z$155,0)),0)))</f>
        <v/>
      </c>
      <c r="V205" s="49" t="str">
        <f aca="false">IF($O205="","","1122")</f>
        <v/>
      </c>
      <c r="W205" s="49" t="str">
        <f aca="false">IF($O205="","","6001")</f>
        <v/>
      </c>
      <c r="X205" s="48" t="str">
        <f aca="false">IF($O205="","",$O205)</f>
        <v/>
      </c>
      <c r="Y205" s="49" t="str">
        <f aca="false">IF(N($P205)=0,"","1122")</f>
        <v/>
      </c>
      <c r="Z205" s="49" t="str">
        <f aca="false">IF(N($P205)=0,"","2221")</f>
        <v/>
      </c>
      <c r="AA205" s="48" t="str">
        <f aca="false">IF(N($P205)=0,"",$P205)</f>
        <v/>
      </c>
      <c r="AB205" s="49" t="str">
        <f aca="false">IF(N($S205)=0,"","6401")</f>
        <v/>
      </c>
      <c r="AC205" s="49" t="str">
        <f aca="false">IF(N($S205)=0,"","1405")</f>
        <v/>
      </c>
      <c r="AD205" s="48" t="str">
        <f aca="false">IF(N($S205)=0,"",$S205)</f>
        <v/>
      </c>
      <c r="AE205" s="49" t="str">
        <f aca="false">IF(AND($D205=客户对账单!$B$3,$B205&gt;=客户对账单!$E$3,$B205&lt;=客户对账单!$H$3),COUNTIFS($D$5:$D205,客户对账单!$B$3,$B$5:$B205,"&gt;="&amp;客户对账单!$E$3,$B$5:$B205,"&lt;="&amp;客户对账单!$H$3),"")</f>
        <v/>
      </c>
    </row>
    <row r="206" customFormat="false" ht="15.75" hidden="false" customHeight="true" outlineLevel="0" collapsed="false">
      <c r="A206" s="42" t="str">
        <f aca="false">IF($B206="","","XS"&amp;TEXT($B206,"yyyymm")&amp;"-"&amp;TEXT(ROW()-4,"000"))</f>
        <v/>
      </c>
      <c r="B206" s="41"/>
      <c r="C206" s="42" t="str">
        <f aca="false">IF($B206="","",TEXT($B206,"yyyy-mm"))</f>
        <v/>
      </c>
      <c r="D206" s="32"/>
      <c r="E206" s="36"/>
      <c r="F206" s="43"/>
      <c r="G206" s="40"/>
      <c r="H206" s="51"/>
      <c r="I206" s="33"/>
      <c r="J206" s="33"/>
      <c r="K206" s="36"/>
      <c r="L206" s="47" t="str">
        <f aca="false">IF($B206="","",IF(NOT(ISNUMBER($B206)),"日期不是日期格式",IF(YEAR($B206)&lt;&gt;首页!$B$3,"不在会计年度",IF($D206="","未选客户",IF(ISNA(MATCH($D206,基础资料!$Z$6:$Z$155,0)),"客户不在档案",IF($E206="","未选商品",IF(ISNA(MATCH($E206,基础资料!$Q$6:$Q$205,0)),"商品不在档案",IF(NOT(ISNUMBER($F206)),"数量须为数字",IF(NOT(ISNUMBER($G206)),"单价须为数字",IF(N($F206)&lt;=0,"数量须大于0",IF(AND(IFERROR(INDEX(基础资料!$V$6:$V$205,MATCH($E206,基础资料!$Q$6:$Q$205,0)),"")="是",N($R206)=0),"无成本价·请先录采购或填参考成本",IF(N($T206)&lt;0,"毛利为负·请核对","√"))))))))))))</f>
        <v/>
      </c>
      <c r="M206" s="49" t="str">
        <f aca="false">IF($E206="","",IFERROR(INDEX(基础资料!$R$6:$R$205,MATCH($E206,基础资料!$Q$6:$Q$205,0)),""))</f>
        <v/>
      </c>
      <c r="N206" s="49" t="str">
        <f aca="false">IF($E206="","",IFERROR(INDEX(基础资料!$S$6:$S$205,MATCH($E206,基础资料!$Q$6:$Q$205,0)),""))</f>
        <v/>
      </c>
      <c r="O206" s="48" t="str">
        <f aca="false">IF(OR($F206="",$G206=""),"",ROUND(N($F206)*N($G206),2))</f>
        <v/>
      </c>
      <c r="P206" s="48" t="str">
        <f aca="false">IF($O206="","",ROUND(N($O206)*N($H206),2))</f>
        <v/>
      </c>
      <c r="Q206" s="48" t="str">
        <f aca="false">IF($O206="","",N($O206)+N($P206))</f>
        <v/>
      </c>
      <c r="R206" s="48" t="str">
        <f aca="false">IF(OR($E206="",$B206=""),"",IF(IFERROR(INDEX(基础资料!$V$6:$V$205,MATCH($E206,基础资料!$Q$6:$Q$205,0)),"")&lt;&gt;"是",0,IFERROR((SUMIFS(期初数据!$T$6:$T$205,期初数据!$O$6:$O$205,$E206)+SUMIFS(采购录入!$Q$5:$Q$404,采购录入!$E$5:$E$404,$E206,采购录入!$I$5:$I$404,"是",采购录入!$B$5:$B$404,"&lt;="&amp;$B206))/(SUMIFS(期初数据!$R$6:$R$205,期初数据!$O$6:$O$205,$E206)+SUMIFS(采购录入!$F$5:$F$404,采购录入!$E$5:$E$404,$E206,采购录入!$I$5:$I$404,"是",采购录入!$B$5:$B$404,"&lt;="&amp;$B206)),IFERROR(INDEX(基础资料!$U$6:$U$205,MATCH($E206,基础资料!$Q$6:$Q$205,0)),0))))</f>
        <v/>
      </c>
      <c r="S206" s="48" t="str">
        <f aca="false">IF($O206="","",ROUND(N($F206)*N($R206),2))</f>
        <v/>
      </c>
      <c r="T206" s="48" t="str">
        <f aca="false">IF($O206="","",N($O206)-N($S206))</f>
        <v/>
      </c>
      <c r="U206" s="52" t="str">
        <f aca="false">IF(OR($B206="",$D206=""),"",$B206+N(IFERROR(INDEX(基础资料!$AB$6:$AB$155,MATCH($D206,基础资料!$Z$6:$Z$155,0)),0)))</f>
        <v/>
      </c>
      <c r="V206" s="49" t="str">
        <f aca="false">IF($O206="","","1122")</f>
        <v/>
      </c>
      <c r="W206" s="49" t="str">
        <f aca="false">IF($O206="","","6001")</f>
        <v/>
      </c>
      <c r="X206" s="48" t="str">
        <f aca="false">IF($O206="","",$O206)</f>
        <v/>
      </c>
      <c r="Y206" s="49" t="str">
        <f aca="false">IF(N($P206)=0,"","1122")</f>
        <v/>
      </c>
      <c r="Z206" s="49" t="str">
        <f aca="false">IF(N($P206)=0,"","2221")</f>
        <v/>
      </c>
      <c r="AA206" s="48" t="str">
        <f aca="false">IF(N($P206)=0,"",$P206)</f>
        <v/>
      </c>
      <c r="AB206" s="49" t="str">
        <f aca="false">IF(N($S206)=0,"","6401")</f>
        <v/>
      </c>
      <c r="AC206" s="49" t="str">
        <f aca="false">IF(N($S206)=0,"","1405")</f>
        <v/>
      </c>
      <c r="AD206" s="48" t="str">
        <f aca="false">IF(N($S206)=0,"",$S206)</f>
        <v/>
      </c>
      <c r="AE206" s="49" t="str">
        <f aca="false">IF(AND($D206=客户对账单!$B$3,$B206&gt;=客户对账单!$E$3,$B206&lt;=客户对账单!$H$3),COUNTIFS($D$5:$D206,客户对账单!$B$3,$B$5:$B206,"&gt;="&amp;客户对账单!$E$3,$B$5:$B206,"&lt;="&amp;客户对账单!$H$3),"")</f>
        <v/>
      </c>
    </row>
    <row r="207" customFormat="false" ht="15.75" hidden="false" customHeight="true" outlineLevel="0" collapsed="false">
      <c r="A207" s="42" t="str">
        <f aca="false">IF($B207="","","XS"&amp;TEXT($B207,"yyyymm")&amp;"-"&amp;TEXT(ROW()-4,"000"))</f>
        <v/>
      </c>
      <c r="B207" s="41"/>
      <c r="C207" s="42" t="str">
        <f aca="false">IF($B207="","",TEXT($B207,"yyyy-mm"))</f>
        <v/>
      </c>
      <c r="D207" s="32"/>
      <c r="E207" s="36"/>
      <c r="F207" s="43"/>
      <c r="G207" s="40"/>
      <c r="H207" s="51"/>
      <c r="I207" s="33"/>
      <c r="J207" s="33"/>
      <c r="K207" s="36"/>
      <c r="L207" s="47" t="str">
        <f aca="false">IF($B207="","",IF(NOT(ISNUMBER($B207)),"日期不是日期格式",IF(YEAR($B207)&lt;&gt;首页!$B$3,"不在会计年度",IF($D207="","未选客户",IF(ISNA(MATCH($D207,基础资料!$Z$6:$Z$155,0)),"客户不在档案",IF($E207="","未选商品",IF(ISNA(MATCH($E207,基础资料!$Q$6:$Q$205,0)),"商品不在档案",IF(NOT(ISNUMBER($F207)),"数量须为数字",IF(NOT(ISNUMBER($G207)),"单价须为数字",IF(N($F207)&lt;=0,"数量须大于0",IF(AND(IFERROR(INDEX(基础资料!$V$6:$V$205,MATCH($E207,基础资料!$Q$6:$Q$205,0)),"")="是",N($R207)=0),"无成本价·请先录采购或填参考成本",IF(N($T207)&lt;0,"毛利为负·请核对","√"))))))))))))</f>
        <v/>
      </c>
      <c r="M207" s="49" t="str">
        <f aca="false">IF($E207="","",IFERROR(INDEX(基础资料!$R$6:$R$205,MATCH($E207,基础资料!$Q$6:$Q$205,0)),""))</f>
        <v/>
      </c>
      <c r="N207" s="49" t="str">
        <f aca="false">IF($E207="","",IFERROR(INDEX(基础资料!$S$6:$S$205,MATCH($E207,基础资料!$Q$6:$Q$205,0)),""))</f>
        <v/>
      </c>
      <c r="O207" s="48" t="str">
        <f aca="false">IF(OR($F207="",$G207=""),"",ROUND(N($F207)*N($G207),2))</f>
        <v/>
      </c>
      <c r="P207" s="48" t="str">
        <f aca="false">IF($O207="","",ROUND(N($O207)*N($H207),2))</f>
        <v/>
      </c>
      <c r="Q207" s="48" t="str">
        <f aca="false">IF($O207="","",N($O207)+N($P207))</f>
        <v/>
      </c>
      <c r="R207" s="48" t="str">
        <f aca="false">IF(OR($E207="",$B207=""),"",IF(IFERROR(INDEX(基础资料!$V$6:$V$205,MATCH($E207,基础资料!$Q$6:$Q$205,0)),"")&lt;&gt;"是",0,IFERROR((SUMIFS(期初数据!$T$6:$T$205,期初数据!$O$6:$O$205,$E207)+SUMIFS(采购录入!$Q$5:$Q$404,采购录入!$E$5:$E$404,$E207,采购录入!$I$5:$I$404,"是",采购录入!$B$5:$B$404,"&lt;="&amp;$B207))/(SUMIFS(期初数据!$R$6:$R$205,期初数据!$O$6:$O$205,$E207)+SUMIFS(采购录入!$F$5:$F$404,采购录入!$E$5:$E$404,$E207,采购录入!$I$5:$I$404,"是",采购录入!$B$5:$B$404,"&lt;="&amp;$B207)),IFERROR(INDEX(基础资料!$U$6:$U$205,MATCH($E207,基础资料!$Q$6:$Q$205,0)),0))))</f>
        <v/>
      </c>
      <c r="S207" s="48" t="str">
        <f aca="false">IF($O207="","",ROUND(N($F207)*N($R207),2))</f>
        <v/>
      </c>
      <c r="T207" s="48" t="str">
        <f aca="false">IF($O207="","",N($O207)-N($S207))</f>
        <v/>
      </c>
      <c r="U207" s="52" t="str">
        <f aca="false">IF(OR($B207="",$D207=""),"",$B207+N(IFERROR(INDEX(基础资料!$AB$6:$AB$155,MATCH($D207,基础资料!$Z$6:$Z$155,0)),0)))</f>
        <v/>
      </c>
      <c r="V207" s="49" t="str">
        <f aca="false">IF($O207="","","1122")</f>
        <v/>
      </c>
      <c r="W207" s="49" t="str">
        <f aca="false">IF($O207="","","6001")</f>
        <v/>
      </c>
      <c r="X207" s="48" t="str">
        <f aca="false">IF($O207="","",$O207)</f>
        <v/>
      </c>
      <c r="Y207" s="49" t="str">
        <f aca="false">IF(N($P207)=0,"","1122")</f>
        <v/>
      </c>
      <c r="Z207" s="49" t="str">
        <f aca="false">IF(N($P207)=0,"","2221")</f>
        <v/>
      </c>
      <c r="AA207" s="48" t="str">
        <f aca="false">IF(N($P207)=0,"",$P207)</f>
        <v/>
      </c>
      <c r="AB207" s="49" t="str">
        <f aca="false">IF(N($S207)=0,"","6401")</f>
        <v/>
      </c>
      <c r="AC207" s="49" t="str">
        <f aca="false">IF(N($S207)=0,"","1405")</f>
        <v/>
      </c>
      <c r="AD207" s="48" t="str">
        <f aca="false">IF(N($S207)=0,"",$S207)</f>
        <v/>
      </c>
      <c r="AE207" s="49" t="str">
        <f aca="false">IF(AND($D207=客户对账单!$B$3,$B207&gt;=客户对账单!$E$3,$B207&lt;=客户对账单!$H$3),COUNTIFS($D$5:$D207,客户对账单!$B$3,$B$5:$B207,"&gt;="&amp;客户对账单!$E$3,$B$5:$B207,"&lt;="&amp;客户对账单!$H$3),"")</f>
        <v/>
      </c>
    </row>
    <row r="208" customFormat="false" ht="15.75" hidden="false" customHeight="true" outlineLevel="0" collapsed="false">
      <c r="A208" s="42" t="str">
        <f aca="false">IF($B208="","","XS"&amp;TEXT($B208,"yyyymm")&amp;"-"&amp;TEXT(ROW()-4,"000"))</f>
        <v/>
      </c>
      <c r="B208" s="41"/>
      <c r="C208" s="42" t="str">
        <f aca="false">IF($B208="","",TEXT($B208,"yyyy-mm"))</f>
        <v/>
      </c>
      <c r="D208" s="32"/>
      <c r="E208" s="36"/>
      <c r="F208" s="43"/>
      <c r="G208" s="40"/>
      <c r="H208" s="51"/>
      <c r="I208" s="33"/>
      <c r="J208" s="33"/>
      <c r="K208" s="36"/>
      <c r="L208" s="47" t="str">
        <f aca="false">IF($B208="","",IF(NOT(ISNUMBER($B208)),"日期不是日期格式",IF(YEAR($B208)&lt;&gt;首页!$B$3,"不在会计年度",IF($D208="","未选客户",IF(ISNA(MATCH($D208,基础资料!$Z$6:$Z$155,0)),"客户不在档案",IF($E208="","未选商品",IF(ISNA(MATCH($E208,基础资料!$Q$6:$Q$205,0)),"商品不在档案",IF(NOT(ISNUMBER($F208)),"数量须为数字",IF(NOT(ISNUMBER($G208)),"单价须为数字",IF(N($F208)&lt;=0,"数量须大于0",IF(AND(IFERROR(INDEX(基础资料!$V$6:$V$205,MATCH($E208,基础资料!$Q$6:$Q$205,0)),"")="是",N($R208)=0),"无成本价·请先录采购或填参考成本",IF(N($T208)&lt;0,"毛利为负·请核对","√"))))))))))))</f>
        <v/>
      </c>
      <c r="M208" s="49" t="str">
        <f aca="false">IF($E208="","",IFERROR(INDEX(基础资料!$R$6:$R$205,MATCH($E208,基础资料!$Q$6:$Q$205,0)),""))</f>
        <v/>
      </c>
      <c r="N208" s="49" t="str">
        <f aca="false">IF($E208="","",IFERROR(INDEX(基础资料!$S$6:$S$205,MATCH($E208,基础资料!$Q$6:$Q$205,0)),""))</f>
        <v/>
      </c>
      <c r="O208" s="48" t="str">
        <f aca="false">IF(OR($F208="",$G208=""),"",ROUND(N($F208)*N($G208),2))</f>
        <v/>
      </c>
      <c r="P208" s="48" t="str">
        <f aca="false">IF($O208="","",ROUND(N($O208)*N($H208),2))</f>
        <v/>
      </c>
      <c r="Q208" s="48" t="str">
        <f aca="false">IF($O208="","",N($O208)+N($P208))</f>
        <v/>
      </c>
      <c r="R208" s="48" t="str">
        <f aca="false">IF(OR($E208="",$B208=""),"",IF(IFERROR(INDEX(基础资料!$V$6:$V$205,MATCH($E208,基础资料!$Q$6:$Q$205,0)),"")&lt;&gt;"是",0,IFERROR((SUMIFS(期初数据!$T$6:$T$205,期初数据!$O$6:$O$205,$E208)+SUMIFS(采购录入!$Q$5:$Q$404,采购录入!$E$5:$E$404,$E208,采购录入!$I$5:$I$404,"是",采购录入!$B$5:$B$404,"&lt;="&amp;$B208))/(SUMIFS(期初数据!$R$6:$R$205,期初数据!$O$6:$O$205,$E208)+SUMIFS(采购录入!$F$5:$F$404,采购录入!$E$5:$E$404,$E208,采购录入!$I$5:$I$404,"是",采购录入!$B$5:$B$404,"&lt;="&amp;$B208)),IFERROR(INDEX(基础资料!$U$6:$U$205,MATCH($E208,基础资料!$Q$6:$Q$205,0)),0))))</f>
        <v/>
      </c>
      <c r="S208" s="48" t="str">
        <f aca="false">IF($O208="","",ROUND(N($F208)*N($R208),2))</f>
        <v/>
      </c>
      <c r="T208" s="48" t="str">
        <f aca="false">IF($O208="","",N($O208)-N($S208))</f>
        <v/>
      </c>
      <c r="U208" s="52" t="str">
        <f aca="false">IF(OR($B208="",$D208=""),"",$B208+N(IFERROR(INDEX(基础资料!$AB$6:$AB$155,MATCH($D208,基础资料!$Z$6:$Z$155,0)),0)))</f>
        <v/>
      </c>
      <c r="V208" s="49" t="str">
        <f aca="false">IF($O208="","","1122")</f>
        <v/>
      </c>
      <c r="W208" s="49" t="str">
        <f aca="false">IF($O208="","","6001")</f>
        <v/>
      </c>
      <c r="X208" s="48" t="str">
        <f aca="false">IF($O208="","",$O208)</f>
        <v/>
      </c>
      <c r="Y208" s="49" t="str">
        <f aca="false">IF(N($P208)=0,"","1122")</f>
        <v/>
      </c>
      <c r="Z208" s="49" t="str">
        <f aca="false">IF(N($P208)=0,"","2221")</f>
        <v/>
      </c>
      <c r="AA208" s="48" t="str">
        <f aca="false">IF(N($P208)=0,"",$P208)</f>
        <v/>
      </c>
      <c r="AB208" s="49" t="str">
        <f aca="false">IF(N($S208)=0,"","6401")</f>
        <v/>
      </c>
      <c r="AC208" s="49" t="str">
        <f aca="false">IF(N($S208)=0,"","1405")</f>
        <v/>
      </c>
      <c r="AD208" s="48" t="str">
        <f aca="false">IF(N($S208)=0,"",$S208)</f>
        <v/>
      </c>
      <c r="AE208" s="49" t="str">
        <f aca="false">IF(AND($D208=客户对账单!$B$3,$B208&gt;=客户对账单!$E$3,$B208&lt;=客户对账单!$H$3),COUNTIFS($D$5:$D208,客户对账单!$B$3,$B$5:$B208,"&gt;="&amp;客户对账单!$E$3,$B$5:$B208,"&lt;="&amp;客户对账单!$H$3),"")</f>
        <v/>
      </c>
    </row>
    <row r="209" customFormat="false" ht="15.75" hidden="false" customHeight="true" outlineLevel="0" collapsed="false">
      <c r="A209" s="42" t="str">
        <f aca="false">IF($B209="","","XS"&amp;TEXT($B209,"yyyymm")&amp;"-"&amp;TEXT(ROW()-4,"000"))</f>
        <v/>
      </c>
      <c r="B209" s="41"/>
      <c r="C209" s="42" t="str">
        <f aca="false">IF($B209="","",TEXT($B209,"yyyy-mm"))</f>
        <v/>
      </c>
      <c r="D209" s="32"/>
      <c r="E209" s="36"/>
      <c r="F209" s="43"/>
      <c r="G209" s="40"/>
      <c r="H209" s="51"/>
      <c r="I209" s="33"/>
      <c r="J209" s="33"/>
      <c r="K209" s="36"/>
      <c r="L209" s="47" t="str">
        <f aca="false">IF($B209="","",IF(NOT(ISNUMBER($B209)),"日期不是日期格式",IF(YEAR($B209)&lt;&gt;首页!$B$3,"不在会计年度",IF($D209="","未选客户",IF(ISNA(MATCH($D209,基础资料!$Z$6:$Z$155,0)),"客户不在档案",IF($E209="","未选商品",IF(ISNA(MATCH($E209,基础资料!$Q$6:$Q$205,0)),"商品不在档案",IF(NOT(ISNUMBER($F209)),"数量须为数字",IF(NOT(ISNUMBER($G209)),"单价须为数字",IF(N($F209)&lt;=0,"数量须大于0",IF(AND(IFERROR(INDEX(基础资料!$V$6:$V$205,MATCH($E209,基础资料!$Q$6:$Q$205,0)),"")="是",N($R209)=0),"无成本价·请先录采购或填参考成本",IF(N($T209)&lt;0,"毛利为负·请核对","√"))))))))))))</f>
        <v/>
      </c>
      <c r="M209" s="49" t="str">
        <f aca="false">IF($E209="","",IFERROR(INDEX(基础资料!$R$6:$R$205,MATCH($E209,基础资料!$Q$6:$Q$205,0)),""))</f>
        <v/>
      </c>
      <c r="N209" s="49" t="str">
        <f aca="false">IF($E209="","",IFERROR(INDEX(基础资料!$S$6:$S$205,MATCH($E209,基础资料!$Q$6:$Q$205,0)),""))</f>
        <v/>
      </c>
      <c r="O209" s="48" t="str">
        <f aca="false">IF(OR($F209="",$G209=""),"",ROUND(N($F209)*N($G209),2))</f>
        <v/>
      </c>
      <c r="P209" s="48" t="str">
        <f aca="false">IF($O209="","",ROUND(N($O209)*N($H209),2))</f>
        <v/>
      </c>
      <c r="Q209" s="48" t="str">
        <f aca="false">IF($O209="","",N($O209)+N($P209))</f>
        <v/>
      </c>
      <c r="R209" s="48" t="str">
        <f aca="false">IF(OR($E209="",$B209=""),"",IF(IFERROR(INDEX(基础资料!$V$6:$V$205,MATCH($E209,基础资料!$Q$6:$Q$205,0)),"")&lt;&gt;"是",0,IFERROR((SUMIFS(期初数据!$T$6:$T$205,期初数据!$O$6:$O$205,$E209)+SUMIFS(采购录入!$Q$5:$Q$404,采购录入!$E$5:$E$404,$E209,采购录入!$I$5:$I$404,"是",采购录入!$B$5:$B$404,"&lt;="&amp;$B209))/(SUMIFS(期初数据!$R$6:$R$205,期初数据!$O$6:$O$205,$E209)+SUMIFS(采购录入!$F$5:$F$404,采购录入!$E$5:$E$404,$E209,采购录入!$I$5:$I$404,"是",采购录入!$B$5:$B$404,"&lt;="&amp;$B209)),IFERROR(INDEX(基础资料!$U$6:$U$205,MATCH($E209,基础资料!$Q$6:$Q$205,0)),0))))</f>
        <v/>
      </c>
      <c r="S209" s="48" t="str">
        <f aca="false">IF($O209="","",ROUND(N($F209)*N($R209),2))</f>
        <v/>
      </c>
      <c r="T209" s="48" t="str">
        <f aca="false">IF($O209="","",N($O209)-N($S209))</f>
        <v/>
      </c>
      <c r="U209" s="52" t="str">
        <f aca="false">IF(OR($B209="",$D209=""),"",$B209+N(IFERROR(INDEX(基础资料!$AB$6:$AB$155,MATCH($D209,基础资料!$Z$6:$Z$155,0)),0)))</f>
        <v/>
      </c>
      <c r="V209" s="49" t="str">
        <f aca="false">IF($O209="","","1122")</f>
        <v/>
      </c>
      <c r="W209" s="49" t="str">
        <f aca="false">IF($O209="","","6001")</f>
        <v/>
      </c>
      <c r="X209" s="48" t="str">
        <f aca="false">IF($O209="","",$O209)</f>
        <v/>
      </c>
      <c r="Y209" s="49" t="str">
        <f aca="false">IF(N($P209)=0,"","1122")</f>
        <v/>
      </c>
      <c r="Z209" s="49" t="str">
        <f aca="false">IF(N($P209)=0,"","2221")</f>
        <v/>
      </c>
      <c r="AA209" s="48" t="str">
        <f aca="false">IF(N($P209)=0,"",$P209)</f>
        <v/>
      </c>
      <c r="AB209" s="49" t="str">
        <f aca="false">IF(N($S209)=0,"","6401")</f>
        <v/>
      </c>
      <c r="AC209" s="49" t="str">
        <f aca="false">IF(N($S209)=0,"","1405")</f>
        <v/>
      </c>
      <c r="AD209" s="48" t="str">
        <f aca="false">IF(N($S209)=0,"",$S209)</f>
        <v/>
      </c>
      <c r="AE209" s="49" t="str">
        <f aca="false">IF(AND($D209=客户对账单!$B$3,$B209&gt;=客户对账单!$E$3,$B209&lt;=客户对账单!$H$3),COUNTIFS($D$5:$D209,客户对账单!$B$3,$B$5:$B209,"&gt;="&amp;客户对账单!$E$3,$B$5:$B209,"&lt;="&amp;客户对账单!$H$3),"")</f>
        <v/>
      </c>
    </row>
    <row r="210" customFormat="false" ht="15.75" hidden="false" customHeight="true" outlineLevel="0" collapsed="false">
      <c r="A210" s="42" t="str">
        <f aca="false">IF($B210="","","XS"&amp;TEXT($B210,"yyyymm")&amp;"-"&amp;TEXT(ROW()-4,"000"))</f>
        <v/>
      </c>
      <c r="B210" s="41"/>
      <c r="C210" s="42" t="str">
        <f aca="false">IF($B210="","",TEXT($B210,"yyyy-mm"))</f>
        <v/>
      </c>
      <c r="D210" s="32"/>
      <c r="E210" s="36"/>
      <c r="F210" s="43"/>
      <c r="G210" s="40"/>
      <c r="H210" s="51"/>
      <c r="I210" s="33"/>
      <c r="J210" s="33"/>
      <c r="K210" s="36"/>
      <c r="L210" s="47" t="str">
        <f aca="false">IF($B210="","",IF(NOT(ISNUMBER($B210)),"日期不是日期格式",IF(YEAR($B210)&lt;&gt;首页!$B$3,"不在会计年度",IF($D210="","未选客户",IF(ISNA(MATCH($D210,基础资料!$Z$6:$Z$155,0)),"客户不在档案",IF($E210="","未选商品",IF(ISNA(MATCH($E210,基础资料!$Q$6:$Q$205,0)),"商品不在档案",IF(NOT(ISNUMBER($F210)),"数量须为数字",IF(NOT(ISNUMBER($G210)),"单价须为数字",IF(N($F210)&lt;=0,"数量须大于0",IF(AND(IFERROR(INDEX(基础资料!$V$6:$V$205,MATCH($E210,基础资料!$Q$6:$Q$205,0)),"")="是",N($R210)=0),"无成本价·请先录采购或填参考成本",IF(N($T210)&lt;0,"毛利为负·请核对","√"))))))))))))</f>
        <v/>
      </c>
      <c r="M210" s="49" t="str">
        <f aca="false">IF($E210="","",IFERROR(INDEX(基础资料!$R$6:$R$205,MATCH($E210,基础资料!$Q$6:$Q$205,0)),""))</f>
        <v/>
      </c>
      <c r="N210" s="49" t="str">
        <f aca="false">IF($E210="","",IFERROR(INDEX(基础资料!$S$6:$S$205,MATCH($E210,基础资料!$Q$6:$Q$205,0)),""))</f>
        <v/>
      </c>
      <c r="O210" s="48" t="str">
        <f aca="false">IF(OR($F210="",$G210=""),"",ROUND(N($F210)*N($G210),2))</f>
        <v/>
      </c>
      <c r="P210" s="48" t="str">
        <f aca="false">IF($O210="","",ROUND(N($O210)*N($H210),2))</f>
        <v/>
      </c>
      <c r="Q210" s="48" t="str">
        <f aca="false">IF($O210="","",N($O210)+N($P210))</f>
        <v/>
      </c>
      <c r="R210" s="48" t="str">
        <f aca="false">IF(OR($E210="",$B210=""),"",IF(IFERROR(INDEX(基础资料!$V$6:$V$205,MATCH($E210,基础资料!$Q$6:$Q$205,0)),"")&lt;&gt;"是",0,IFERROR((SUMIFS(期初数据!$T$6:$T$205,期初数据!$O$6:$O$205,$E210)+SUMIFS(采购录入!$Q$5:$Q$404,采购录入!$E$5:$E$404,$E210,采购录入!$I$5:$I$404,"是",采购录入!$B$5:$B$404,"&lt;="&amp;$B210))/(SUMIFS(期初数据!$R$6:$R$205,期初数据!$O$6:$O$205,$E210)+SUMIFS(采购录入!$F$5:$F$404,采购录入!$E$5:$E$404,$E210,采购录入!$I$5:$I$404,"是",采购录入!$B$5:$B$404,"&lt;="&amp;$B210)),IFERROR(INDEX(基础资料!$U$6:$U$205,MATCH($E210,基础资料!$Q$6:$Q$205,0)),0))))</f>
        <v/>
      </c>
      <c r="S210" s="48" t="str">
        <f aca="false">IF($O210="","",ROUND(N($F210)*N($R210),2))</f>
        <v/>
      </c>
      <c r="T210" s="48" t="str">
        <f aca="false">IF($O210="","",N($O210)-N($S210))</f>
        <v/>
      </c>
      <c r="U210" s="52" t="str">
        <f aca="false">IF(OR($B210="",$D210=""),"",$B210+N(IFERROR(INDEX(基础资料!$AB$6:$AB$155,MATCH($D210,基础资料!$Z$6:$Z$155,0)),0)))</f>
        <v/>
      </c>
      <c r="V210" s="49" t="str">
        <f aca="false">IF($O210="","","1122")</f>
        <v/>
      </c>
      <c r="W210" s="49" t="str">
        <f aca="false">IF($O210="","","6001")</f>
        <v/>
      </c>
      <c r="X210" s="48" t="str">
        <f aca="false">IF($O210="","",$O210)</f>
        <v/>
      </c>
      <c r="Y210" s="49" t="str">
        <f aca="false">IF(N($P210)=0,"","1122")</f>
        <v/>
      </c>
      <c r="Z210" s="49" t="str">
        <f aca="false">IF(N($P210)=0,"","2221")</f>
        <v/>
      </c>
      <c r="AA210" s="48" t="str">
        <f aca="false">IF(N($P210)=0,"",$P210)</f>
        <v/>
      </c>
      <c r="AB210" s="49" t="str">
        <f aca="false">IF(N($S210)=0,"","6401")</f>
        <v/>
      </c>
      <c r="AC210" s="49" t="str">
        <f aca="false">IF(N($S210)=0,"","1405")</f>
        <v/>
      </c>
      <c r="AD210" s="48" t="str">
        <f aca="false">IF(N($S210)=0,"",$S210)</f>
        <v/>
      </c>
      <c r="AE210" s="49" t="str">
        <f aca="false">IF(AND($D210=客户对账单!$B$3,$B210&gt;=客户对账单!$E$3,$B210&lt;=客户对账单!$H$3),COUNTIFS($D$5:$D210,客户对账单!$B$3,$B$5:$B210,"&gt;="&amp;客户对账单!$E$3,$B$5:$B210,"&lt;="&amp;客户对账单!$H$3),"")</f>
        <v/>
      </c>
    </row>
    <row r="211" customFormat="false" ht="15.75" hidden="false" customHeight="true" outlineLevel="0" collapsed="false">
      <c r="A211" s="42" t="str">
        <f aca="false">IF($B211="","","XS"&amp;TEXT($B211,"yyyymm")&amp;"-"&amp;TEXT(ROW()-4,"000"))</f>
        <v/>
      </c>
      <c r="B211" s="41"/>
      <c r="C211" s="42" t="str">
        <f aca="false">IF($B211="","",TEXT($B211,"yyyy-mm"))</f>
        <v/>
      </c>
      <c r="D211" s="32"/>
      <c r="E211" s="36"/>
      <c r="F211" s="43"/>
      <c r="G211" s="40"/>
      <c r="H211" s="51"/>
      <c r="I211" s="33"/>
      <c r="J211" s="33"/>
      <c r="K211" s="36"/>
      <c r="L211" s="47" t="str">
        <f aca="false">IF($B211="","",IF(NOT(ISNUMBER($B211)),"日期不是日期格式",IF(YEAR($B211)&lt;&gt;首页!$B$3,"不在会计年度",IF($D211="","未选客户",IF(ISNA(MATCH($D211,基础资料!$Z$6:$Z$155,0)),"客户不在档案",IF($E211="","未选商品",IF(ISNA(MATCH($E211,基础资料!$Q$6:$Q$205,0)),"商品不在档案",IF(NOT(ISNUMBER($F211)),"数量须为数字",IF(NOT(ISNUMBER($G211)),"单价须为数字",IF(N($F211)&lt;=0,"数量须大于0",IF(AND(IFERROR(INDEX(基础资料!$V$6:$V$205,MATCH($E211,基础资料!$Q$6:$Q$205,0)),"")="是",N($R211)=0),"无成本价·请先录采购或填参考成本",IF(N($T211)&lt;0,"毛利为负·请核对","√"))))))))))))</f>
        <v/>
      </c>
      <c r="M211" s="49" t="str">
        <f aca="false">IF($E211="","",IFERROR(INDEX(基础资料!$R$6:$R$205,MATCH($E211,基础资料!$Q$6:$Q$205,0)),""))</f>
        <v/>
      </c>
      <c r="N211" s="49" t="str">
        <f aca="false">IF($E211="","",IFERROR(INDEX(基础资料!$S$6:$S$205,MATCH($E211,基础资料!$Q$6:$Q$205,0)),""))</f>
        <v/>
      </c>
      <c r="O211" s="48" t="str">
        <f aca="false">IF(OR($F211="",$G211=""),"",ROUND(N($F211)*N($G211),2))</f>
        <v/>
      </c>
      <c r="P211" s="48" t="str">
        <f aca="false">IF($O211="","",ROUND(N($O211)*N($H211),2))</f>
        <v/>
      </c>
      <c r="Q211" s="48" t="str">
        <f aca="false">IF($O211="","",N($O211)+N($P211))</f>
        <v/>
      </c>
      <c r="R211" s="48" t="str">
        <f aca="false">IF(OR($E211="",$B211=""),"",IF(IFERROR(INDEX(基础资料!$V$6:$V$205,MATCH($E211,基础资料!$Q$6:$Q$205,0)),"")&lt;&gt;"是",0,IFERROR((SUMIFS(期初数据!$T$6:$T$205,期初数据!$O$6:$O$205,$E211)+SUMIFS(采购录入!$Q$5:$Q$404,采购录入!$E$5:$E$404,$E211,采购录入!$I$5:$I$404,"是",采购录入!$B$5:$B$404,"&lt;="&amp;$B211))/(SUMIFS(期初数据!$R$6:$R$205,期初数据!$O$6:$O$205,$E211)+SUMIFS(采购录入!$F$5:$F$404,采购录入!$E$5:$E$404,$E211,采购录入!$I$5:$I$404,"是",采购录入!$B$5:$B$404,"&lt;="&amp;$B211)),IFERROR(INDEX(基础资料!$U$6:$U$205,MATCH($E211,基础资料!$Q$6:$Q$205,0)),0))))</f>
        <v/>
      </c>
      <c r="S211" s="48" t="str">
        <f aca="false">IF($O211="","",ROUND(N($F211)*N($R211),2))</f>
        <v/>
      </c>
      <c r="T211" s="48" t="str">
        <f aca="false">IF($O211="","",N($O211)-N($S211))</f>
        <v/>
      </c>
      <c r="U211" s="52" t="str">
        <f aca="false">IF(OR($B211="",$D211=""),"",$B211+N(IFERROR(INDEX(基础资料!$AB$6:$AB$155,MATCH($D211,基础资料!$Z$6:$Z$155,0)),0)))</f>
        <v/>
      </c>
      <c r="V211" s="49" t="str">
        <f aca="false">IF($O211="","","1122")</f>
        <v/>
      </c>
      <c r="W211" s="49" t="str">
        <f aca="false">IF($O211="","","6001")</f>
        <v/>
      </c>
      <c r="X211" s="48" t="str">
        <f aca="false">IF($O211="","",$O211)</f>
        <v/>
      </c>
      <c r="Y211" s="49" t="str">
        <f aca="false">IF(N($P211)=0,"","1122")</f>
        <v/>
      </c>
      <c r="Z211" s="49" t="str">
        <f aca="false">IF(N($P211)=0,"","2221")</f>
        <v/>
      </c>
      <c r="AA211" s="48" t="str">
        <f aca="false">IF(N($P211)=0,"",$P211)</f>
        <v/>
      </c>
      <c r="AB211" s="49" t="str">
        <f aca="false">IF(N($S211)=0,"","6401")</f>
        <v/>
      </c>
      <c r="AC211" s="49" t="str">
        <f aca="false">IF(N($S211)=0,"","1405")</f>
        <v/>
      </c>
      <c r="AD211" s="48" t="str">
        <f aca="false">IF(N($S211)=0,"",$S211)</f>
        <v/>
      </c>
      <c r="AE211" s="49" t="str">
        <f aca="false">IF(AND($D211=客户对账单!$B$3,$B211&gt;=客户对账单!$E$3,$B211&lt;=客户对账单!$H$3),COUNTIFS($D$5:$D211,客户对账单!$B$3,$B$5:$B211,"&gt;="&amp;客户对账单!$E$3,$B$5:$B211,"&lt;="&amp;客户对账单!$H$3),"")</f>
        <v/>
      </c>
    </row>
    <row r="212" customFormat="false" ht="15.75" hidden="false" customHeight="true" outlineLevel="0" collapsed="false">
      <c r="A212" s="42" t="str">
        <f aca="false">IF($B212="","","XS"&amp;TEXT($B212,"yyyymm")&amp;"-"&amp;TEXT(ROW()-4,"000"))</f>
        <v/>
      </c>
      <c r="B212" s="41"/>
      <c r="C212" s="42" t="str">
        <f aca="false">IF($B212="","",TEXT($B212,"yyyy-mm"))</f>
        <v/>
      </c>
      <c r="D212" s="32"/>
      <c r="E212" s="36"/>
      <c r="F212" s="43"/>
      <c r="G212" s="40"/>
      <c r="H212" s="51"/>
      <c r="I212" s="33"/>
      <c r="J212" s="33"/>
      <c r="K212" s="36"/>
      <c r="L212" s="47" t="str">
        <f aca="false">IF($B212="","",IF(NOT(ISNUMBER($B212)),"日期不是日期格式",IF(YEAR($B212)&lt;&gt;首页!$B$3,"不在会计年度",IF($D212="","未选客户",IF(ISNA(MATCH($D212,基础资料!$Z$6:$Z$155,0)),"客户不在档案",IF($E212="","未选商品",IF(ISNA(MATCH($E212,基础资料!$Q$6:$Q$205,0)),"商品不在档案",IF(NOT(ISNUMBER($F212)),"数量须为数字",IF(NOT(ISNUMBER($G212)),"单价须为数字",IF(N($F212)&lt;=0,"数量须大于0",IF(AND(IFERROR(INDEX(基础资料!$V$6:$V$205,MATCH($E212,基础资料!$Q$6:$Q$205,0)),"")="是",N($R212)=0),"无成本价·请先录采购或填参考成本",IF(N($T212)&lt;0,"毛利为负·请核对","√"))))))))))))</f>
        <v/>
      </c>
      <c r="M212" s="49" t="str">
        <f aca="false">IF($E212="","",IFERROR(INDEX(基础资料!$R$6:$R$205,MATCH($E212,基础资料!$Q$6:$Q$205,0)),""))</f>
        <v/>
      </c>
      <c r="N212" s="49" t="str">
        <f aca="false">IF($E212="","",IFERROR(INDEX(基础资料!$S$6:$S$205,MATCH($E212,基础资料!$Q$6:$Q$205,0)),""))</f>
        <v/>
      </c>
      <c r="O212" s="48" t="str">
        <f aca="false">IF(OR($F212="",$G212=""),"",ROUND(N($F212)*N($G212),2))</f>
        <v/>
      </c>
      <c r="P212" s="48" t="str">
        <f aca="false">IF($O212="","",ROUND(N($O212)*N($H212),2))</f>
        <v/>
      </c>
      <c r="Q212" s="48" t="str">
        <f aca="false">IF($O212="","",N($O212)+N($P212))</f>
        <v/>
      </c>
      <c r="R212" s="48" t="str">
        <f aca="false">IF(OR($E212="",$B212=""),"",IF(IFERROR(INDEX(基础资料!$V$6:$V$205,MATCH($E212,基础资料!$Q$6:$Q$205,0)),"")&lt;&gt;"是",0,IFERROR((SUMIFS(期初数据!$T$6:$T$205,期初数据!$O$6:$O$205,$E212)+SUMIFS(采购录入!$Q$5:$Q$404,采购录入!$E$5:$E$404,$E212,采购录入!$I$5:$I$404,"是",采购录入!$B$5:$B$404,"&lt;="&amp;$B212))/(SUMIFS(期初数据!$R$6:$R$205,期初数据!$O$6:$O$205,$E212)+SUMIFS(采购录入!$F$5:$F$404,采购录入!$E$5:$E$404,$E212,采购录入!$I$5:$I$404,"是",采购录入!$B$5:$B$404,"&lt;="&amp;$B212)),IFERROR(INDEX(基础资料!$U$6:$U$205,MATCH($E212,基础资料!$Q$6:$Q$205,0)),0))))</f>
        <v/>
      </c>
      <c r="S212" s="48" t="str">
        <f aca="false">IF($O212="","",ROUND(N($F212)*N($R212),2))</f>
        <v/>
      </c>
      <c r="T212" s="48" t="str">
        <f aca="false">IF($O212="","",N($O212)-N($S212))</f>
        <v/>
      </c>
      <c r="U212" s="52" t="str">
        <f aca="false">IF(OR($B212="",$D212=""),"",$B212+N(IFERROR(INDEX(基础资料!$AB$6:$AB$155,MATCH($D212,基础资料!$Z$6:$Z$155,0)),0)))</f>
        <v/>
      </c>
      <c r="V212" s="49" t="str">
        <f aca="false">IF($O212="","","1122")</f>
        <v/>
      </c>
      <c r="W212" s="49" t="str">
        <f aca="false">IF($O212="","","6001")</f>
        <v/>
      </c>
      <c r="X212" s="48" t="str">
        <f aca="false">IF($O212="","",$O212)</f>
        <v/>
      </c>
      <c r="Y212" s="49" t="str">
        <f aca="false">IF(N($P212)=0,"","1122")</f>
        <v/>
      </c>
      <c r="Z212" s="49" t="str">
        <f aca="false">IF(N($P212)=0,"","2221")</f>
        <v/>
      </c>
      <c r="AA212" s="48" t="str">
        <f aca="false">IF(N($P212)=0,"",$P212)</f>
        <v/>
      </c>
      <c r="AB212" s="49" t="str">
        <f aca="false">IF(N($S212)=0,"","6401")</f>
        <v/>
      </c>
      <c r="AC212" s="49" t="str">
        <f aca="false">IF(N($S212)=0,"","1405")</f>
        <v/>
      </c>
      <c r="AD212" s="48" t="str">
        <f aca="false">IF(N($S212)=0,"",$S212)</f>
        <v/>
      </c>
      <c r="AE212" s="49" t="str">
        <f aca="false">IF(AND($D212=客户对账单!$B$3,$B212&gt;=客户对账单!$E$3,$B212&lt;=客户对账单!$H$3),COUNTIFS($D$5:$D212,客户对账单!$B$3,$B$5:$B212,"&gt;="&amp;客户对账单!$E$3,$B$5:$B212,"&lt;="&amp;客户对账单!$H$3),"")</f>
        <v/>
      </c>
    </row>
    <row r="213" customFormat="false" ht="15.75" hidden="false" customHeight="true" outlineLevel="0" collapsed="false">
      <c r="A213" s="42" t="str">
        <f aca="false">IF($B213="","","XS"&amp;TEXT($B213,"yyyymm")&amp;"-"&amp;TEXT(ROW()-4,"000"))</f>
        <v/>
      </c>
      <c r="B213" s="41"/>
      <c r="C213" s="42" t="str">
        <f aca="false">IF($B213="","",TEXT($B213,"yyyy-mm"))</f>
        <v/>
      </c>
      <c r="D213" s="32"/>
      <c r="E213" s="36"/>
      <c r="F213" s="43"/>
      <c r="G213" s="40"/>
      <c r="H213" s="51"/>
      <c r="I213" s="33"/>
      <c r="J213" s="33"/>
      <c r="K213" s="36"/>
      <c r="L213" s="47" t="str">
        <f aca="false">IF($B213="","",IF(NOT(ISNUMBER($B213)),"日期不是日期格式",IF(YEAR($B213)&lt;&gt;首页!$B$3,"不在会计年度",IF($D213="","未选客户",IF(ISNA(MATCH($D213,基础资料!$Z$6:$Z$155,0)),"客户不在档案",IF($E213="","未选商品",IF(ISNA(MATCH($E213,基础资料!$Q$6:$Q$205,0)),"商品不在档案",IF(NOT(ISNUMBER($F213)),"数量须为数字",IF(NOT(ISNUMBER($G213)),"单价须为数字",IF(N($F213)&lt;=0,"数量须大于0",IF(AND(IFERROR(INDEX(基础资料!$V$6:$V$205,MATCH($E213,基础资料!$Q$6:$Q$205,0)),"")="是",N($R213)=0),"无成本价·请先录采购或填参考成本",IF(N($T213)&lt;0,"毛利为负·请核对","√"))))))))))))</f>
        <v/>
      </c>
      <c r="M213" s="49" t="str">
        <f aca="false">IF($E213="","",IFERROR(INDEX(基础资料!$R$6:$R$205,MATCH($E213,基础资料!$Q$6:$Q$205,0)),""))</f>
        <v/>
      </c>
      <c r="N213" s="49" t="str">
        <f aca="false">IF($E213="","",IFERROR(INDEX(基础资料!$S$6:$S$205,MATCH($E213,基础资料!$Q$6:$Q$205,0)),""))</f>
        <v/>
      </c>
      <c r="O213" s="48" t="str">
        <f aca="false">IF(OR($F213="",$G213=""),"",ROUND(N($F213)*N($G213),2))</f>
        <v/>
      </c>
      <c r="P213" s="48" t="str">
        <f aca="false">IF($O213="","",ROUND(N($O213)*N($H213),2))</f>
        <v/>
      </c>
      <c r="Q213" s="48" t="str">
        <f aca="false">IF($O213="","",N($O213)+N($P213))</f>
        <v/>
      </c>
      <c r="R213" s="48" t="str">
        <f aca="false">IF(OR($E213="",$B213=""),"",IF(IFERROR(INDEX(基础资料!$V$6:$V$205,MATCH($E213,基础资料!$Q$6:$Q$205,0)),"")&lt;&gt;"是",0,IFERROR((SUMIFS(期初数据!$T$6:$T$205,期初数据!$O$6:$O$205,$E213)+SUMIFS(采购录入!$Q$5:$Q$404,采购录入!$E$5:$E$404,$E213,采购录入!$I$5:$I$404,"是",采购录入!$B$5:$B$404,"&lt;="&amp;$B213))/(SUMIFS(期初数据!$R$6:$R$205,期初数据!$O$6:$O$205,$E213)+SUMIFS(采购录入!$F$5:$F$404,采购录入!$E$5:$E$404,$E213,采购录入!$I$5:$I$404,"是",采购录入!$B$5:$B$404,"&lt;="&amp;$B213)),IFERROR(INDEX(基础资料!$U$6:$U$205,MATCH($E213,基础资料!$Q$6:$Q$205,0)),0))))</f>
        <v/>
      </c>
      <c r="S213" s="48" t="str">
        <f aca="false">IF($O213="","",ROUND(N($F213)*N($R213),2))</f>
        <v/>
      </c>
      <c r="T213" s="48" t="str">
        <f aca="false">IF($O213="","",N($O213)-N($S213))</f>
        <v/>
      </c>
      <c r="U213" s="52" t="str">
        <f aca="false">IF(OR($B213="",$D213=""),"",$B213+N(IFERROR(INDEX(基础资料!$AB$6:$AB$155,MATCH($D213,基础资料!$Z$6:$Z$155,0)),0)))</f>
        <v/>
      </c>
      <c r="V213" s="49" t="str">
        <f aca="false">IF($O213="","","1122")</f>
        <v/>
      </c>
      <c r="W213" s="49" t="str">
        <f aca="false">IF($O213="","","6001")</f>
        <v/>
      </c>
      <c r="X213" s="48" t="str">
        <f aca="false">IF($O213="","",$O213)</f>
        <v/>
      </c>
      <c r="Y213" s="49" t="str">
        <f aca="false">IF(N($P213)=0,"","1122")</f>
        <v/>
      </c>
      <c r="Z213" s="49" t="str">
        <f aca="false">IF(N($P213)=0,"","2221")</f>
        <v/>
      </c>
      <c r="AA213" s="48" t="str">
        <f aca="false">IF(N($P213)=0,"",$P213)</f>
        <v/>
      </c>
      <c r="AB213" s="49" t="str">
        <f aca="false">IF(N($S213)=0,"","6401")</f>
        <v/>
      </c>
      <c r="AC213" s="49" t="str">
        <f aca="false">IF(N($S213)=0,"","1405")</f>
        <v/>
      </c>
      <c r="AD213" s="48" t="str">
        <f aca="false">IF(N($S213)=0,"",$S213)</f>
        <v/>
      </c>
      <c r="AE213" s="49" t="str">
        <f aca="false">IF(AND($D213=客户对账单!$B$3,$B213&gt;=客户对账单!$E$3,$B213&lt;=客户对账单!$H$3),COUNTIFS($D$5:$D213,客户对账单!$B$3,$B$5:$B213,"&gt;="&amp;客户对账单!$E$3,$B$5:$B213,"&lt;="&amp;客户对账单!$H$3),"")</f>
        <v/>
      </c>
    </row>
    <row r="214" customFormat="false" ht="15.75" hidden="false" customHeight="true" outlineLevel="0" collapsed="false">
      <c r="A214" s="42" t="str">
        <f aca="false">IF($B214="","","XS"&amp;TEXT($B214,"yyyymm")&amp;"-"&amp;TEXT(ROW()-4,"000"))</f>
        <v/>
      </c>
      <c r="B214" s="41"/>
      <c r="C214" s="42" t="str">
        <f aca="false">IF($B214="","",TEXT($B214,"yyyy-mm"))</f>
        <v/>
      </c>
      <c r="D214" s="32"/>
      <c r="E214" s="36"/>
      <c r="F214" s="43"/>
      <c r="G214" s="40"/>
      <c r="H214" s="51"/>
      <c r="I214" s="33"/>
      <c r="J214" s="33"/>
      <c r="K214" s="36"/>
      <c r="L214" s="47" t="str">
        <f aca="false">IF($B214="","",IF(NOT(ISNUMBER($B214)),"日期不是日期格式",IF(YEAR($B214)&lt;&gt;首页!$B$3,"不在会计年度",IF($D214="","未选客户",IF(ISNA(MATCH($D214,基础资料!$Z$6:$Z$155,0)),"客户不在档案",IF($E214="","未选商品",IF(ISNA(MATCH($E214,基础资料!$Q$6:$Q$205,0)),"商品不在档案",IF(NOT(ISNUMBER($F214)),"数量须为数字",IF(NOT(ISNUMBER($G214)),"单价须为数字",IF(N($F214)&lt;=0,"数量须大于0",IF(AND(IFERROR(INDEX(基础资料!$V$6:$V$205,MATCH($E214,基础资料!$Q$6:$Q$205,0)),"")="是",N($R214)=0),"无成本价·请先录采购或填参考成本",IF(N($T214)&lt;0,"毛利为负·请核对","√"))))))))))))</f>
        <v/>
      </c>
      <c r="M214" s="49" t="str">
        <f aca="false">IF($E214="","",IFERROR(INDEX(基础资料!$R$6:$R$205,MATCH($E214,基础资料!$Q$6:$Q$205,0)),""))</f>
        <v/>
      </c>
      <c r="N214" s="49" t="str">
        <f aca="false">IF($E214="","",IFERROR(INDEX(基础资料!$S$6:$S$205,MATCH($E214,基础资料!$Q$6:$Q$205,0)),""))</f>
        <v/>
      </c>
      <c r="O214" s="48" t="str">
        <f aca="false">IF(OR($F214="",$G214=""),"",ROUND(N($F214)*N($G214),2))</f>
        <v/>
      </c>
      <c r="P214" s="48" t="str">
        <f aca="false">IF($O214="","",ROUND(N($O214)*N($H214),2))</f>
        <v/>
      </c>
      <c r="Q214" s="48" t="str">
        <f aca="false">IF($O214="","",N($O214)+N($P214))</f>
        <v/>
      </c>
      <c r="R214" s="48" t="str">
        <f aca="false">IF(OR($E214="",$B214=""),"",IF(IFERROR(INDEX(基础资料!$V$6:$V$205,MATCH($E214,基础资料!$Q$6:$Q$205,0)),"")&lt;&gt;"是",0,IFERROR((SUMIFS(期初数据!$T$6:$T$205,期初数据!$O$6:$O$205,$E214)+SUMIFS(采购录入!$Q$5:$Q$404,采购录入!$E$5:$E$404,$E214,采购录入!$I$5:$I$404,"是",采购录入!$B$5:$B$404,"&lt;="&amp;$B214))/(SUMIFS(期初数据!$R$6:$R$205,期初数据!$O$6:$O$205,$E214)+SUMIFS(采购录入!$F$5:$F$404,采购录入!$E$5:$E$404,$E214,采购录入!$I$5:$I$404,"是",采购录入!$B$5:$B$404,"&lt;="&amp;$B214)),IFERROR(INDEX(基础资料!$U$6:$U$205,MATCH($E214,基础资料!$Q$6:$Q$205,0)),0))))</f>
        <v/>
      </c>
      <c r="S214" s="48" t="str">
        <f aca="false">IF($O214="","",ROUND(N($F214)*N($R214),2))</f>
        <v/>
      </c>
      <c r="T214" s="48" t="str">
        <f aca="false">IF($O214="","",N($O214)-N($S214))</f>
        <v/>
      </c>
      <c r="U214" s="52" t="str">
        <f aca="false">IF(OR($B214="",$D214=""),"",$B214+N(IFERROR(INDEX(基础资料!$AB$6:$AB$155,MATCH($D214,基础资料!$Z$6:$Z$155,0)),0)))</f>
        <v/>
      </c>
      <c r="V214" s="49" t="str">
        <f aca="false">IF($O214="","","1122")</f>
        <v/>
      </c>
      <c r="W214" s="49" t="str">
        <f aca="false">IF($O214="","","6001")</f>
        <v/>
      </c>
      <c r="X214" s="48" t="str">
        <f aca="false">IF($O214="","",$O214)</f>
        <v/>
      </c>
      <c r="Y214" s="49" t="str">
        <f aca="false">IF(N($P214)=0,"","1122")</f>
        <v/>
      </c>
      <c r="Z214" s="49" t="str">
        <f aca="false">IF(N($P214)=0,"","2221")</f>
        <v/>
      </c>
      <c r="AA214" s="48" t="str">
        <f aca="false">IF(N($P214)=0,"",$P214)</f>
        <v/>
      </c>
      <c r="AB214" s="49" t="str">
        <f aca="false">IF(N($S214)=0,"","6401")</f>
        <v/>
      </c>
      <c r="AC214" s="49" t="str">
        <f aca="false">IF(N($S214)=0,"","1405")</f>
        <v/>
      </c>
      <c r="AD214" s="48" t="str">
        <f aca="false">IF(N($S214)=0,"",$S214)</f>
        <v/>
      </c>
      <c r="AE214" s="49" t="str">
        <f aca="false">IF(AND($D214=客户对账单!$B$3,$B214&gt;=客户对账单!$E$3,$B214&lt;=客户对账单!$H$3),COUNTIFS($D$5:$D214,客户对账单!$B$3,$B$5:$B214,"&gt;="&amp;客户对账单!$E$3,$B$5:$B214,"&lt;="&amp;客户对账单!$H$3),"")</f>
        <v/>
      </c>
    </row>
    <row r="215" customFormat="false" ht="15.75" hidden="false" customHeight="true" outlineLevel="0" collapsed="false">
      <c r="A215" s="42" t="str">
        <f aca="false">IF($B215="","","XS"&amp;TEXT($B215,"yyyymm")&amp;"-"&amp;TEXT(ROW()-4,"000"))</f>
        <v/>
      </c>
      <c r="B215" s="41"/>
      <c r="C215" s="42" t="str">
        <f aca="false">IF($B215="","",TEXT($B215,"yyyy-mm"))</f>
        <v/>
      </c>
      <c r="D215" s="32"/>
      <c r="E215" s="36"/>
      <c r="F215" s="43"/>
      <c r="G215" s="40"/>
      <c r="H215" s="51"/>
      <c r="I215" s="33"/>
      <c r="J215" s="33"/>
      <c r="K215" s="36"/>
      <c r="L215" s="47" t="str">
        <f aca="false">IF($B215="","",IF(NOT(ISNUMBER($B215)),"日期不是日期格式",IF(YEAR($B215)&lt;&gt;首页!$B$3,"不在会计年度",IF($D215="","未选客户",IF(ISNA(MATCH($D215,基础资料!$Z$6:$Z$155,0)),"客户不在档案",IF($E215="","未选商品",IF(ISNA(MATCH($E215,基础资料!$Q$6:$Q$205,0)),"商品不在档案",IF(NOT(ISNUMBER($F215)),"数量须为数字",IF(NOT(ISNUMBER($G215)),"单价须为数字",IF(N($F215)&lt;=0,"数量须大于0",IF(AND(IFERROR(INDEX(基础资料!$V$6:$V$205,MATCH($E215,基础资料!$Q$6:$Q$205,0)),"")="是",N($R215)=0),"无成本价·请先录采购或填参考成本",IF(N($T215)&lt;0,"毛利为负·请核对","√"))))))))))))</f>
        <v/>
      </c>
      <c r="M215" s="49" t="str">
        <f aca="false">IF($E215="","",IFERROR(INDEX(基础资料!$R$6:$R$205,MATCH($E215,基础资料!$Q$6:$Q$205,0)),""))</f>
        <v/>
      </c>
      <c r="N215" s="49" t="str">
        <f aca="false">IF($E215="","",IFERROR(INDEX(基础资料!$S$6:$S$205,MATCH($E215,基础资料!$Q$6:$Q$205,0)),""))</f>
        <v/>
      </c>
      <c r="O215" s="48" t="str">
        <f aca="false">IF(OR($F215="",$G215=""),"",ROUND(N($F215)*N($G215),2))</f>
        <v/>
      </c>
      <c r="P215" s="48" t="str">
        <f aca="false">IF($O215="","",ROUND(N($O215)*N($H215),2))</f>
        <v/>
      </c>
      <c r="Q215" s="48" t="str">
        <f aca="false">IF($O215="","",N($O215)+N($P215))</f>
        <v/>
      </c>
      <c r="R215" s="48" t="str">
        <f aca="false">IF(OR($E215="",$B215=""),"",IF(IFERROR(INDEX(基础资料!$V$6:$V$205,MATCH($E215,基础资料!$Q$6:$Q$205,0)),"")&lt;&gt;"是",0,IFERROR((SUMIFS(期初数据!$T$6:$T$205,期初数据!$O$6:$O$205,$E215)+SUMIFS(采购录入!$Q$5:$Q$404,采购录入!$E$5:$E$404,$E215,采购录入!$I$5:$I$404,"是",采购录入!$B$5:$B$404,"&lt;="&amp;$B215))/(SUMIFS(期初数据!$R$6:$R$205,期初数据!$O$6:$O$205,$E215)+SUMIFS(采购录入!$F$5:$F$404,采购录入!$E$5:$E$404,$E215,采购录入!$I$5:$I$404,"是",采购录入!$B$5:$B$404,"&lt;="&amp;$B215)),IFERROR(INDEX(基础资料!$U$6:$U$205,MATCH($E215,基础资料!$Q$6:$Q$205,0)),0))))</f>
        <v/>
      </c>
      <c r="S215" s="48" t="str">
        <f aca="false">IF($O215="","",ROUND(N($F215)*N($R215),2))</f>
        <v/>
      </c>
      <c r="T215" s="48" t="str">
        <f aca="false">IF($O215="","",N($O215)-N($S215))</f>
        <v/>
      </c>
      <c r="U215" s="52" t="str">
        <f aca="false">IF(OR($B215="",$D215=""),"",$B215+N(IFERROR(INDEX(基础资料!$AB$6:$AB$155,MATCH($D215,基础资料!$Z$6:$Z$155,0)),0)))</f>
        <v/>
      </c>
      <c r="V215" s="49" t="str">
        <f aca="false">IF($O215="","","1122")</f>
        <v/>
      </c>
      <c r="W215" s="49" t="str">
        <f aca="false">IF($O215="","","6001")</f>
        <v/>
      </c>
      <c r="X215" s="48" t="str">
        <f aca="false">IF($O215="","",$O215)</f>
        <v/>
      </c>
      <c r="Y215" s="49" t="str">
        <f aca="false">IF(N($P215)=0,"","1122")</f>
        <v/>
      </c>
      <c r="Z215" s="49" t="str">
        <f aca="false">IF(N($P215)=0,"","2221")</f>
        <v/>
      </c>
      <c r="AA215" s="48" t="str">
        <f aca="false">IF(N($P215)=0,"",$P215)</f>
        <v/>
      </c>
      <c r="AB215" s="49" t="str">
        <f aca="false">IF(N($S215)=0,"","6401")</f>
        <v/>
      </c>
      <c r="AC215" s="49" t="str">
        <f aca="false">IF(N($S215)=0,"","1405")</f>
        <v/>
      </c>
      <c r="AD215" s="48" t="str">
        <f aca="false">IF(N($S215)=0,"",$S215)</f>
        <v/>
      </c>
      <c r="AE215" s="49" t="str">
        <f aca="false">IF(AND($D215=客户对账单!$B$3,$B215&gt;=客户对账单!$E$3,$B215&lt;=客户对账单!$H$3),COUNTIFS($D$5:$D215,客户对账单!$B$3,$B$5:$B215,"&gt;="&amp;客户对账单!$E$3,$B$5:$B215,"&lt;="&amp;客户对账单!$H$3),"")</f>
        <v/>
      </c>
    </row>
    <row r="216" customFormat="false" ht="15.75" hidden="false" customHeight="true" outlineLevel="0" collapsed="false">
      <c r="A216" s="42" t="str">
        <f aca="false">IF($B216="","","XS"&amp;TEXT($B216,"yyyymm")&amp;"-"&amp;TEXT(ROW()-4,"000"))</f>
        <v/>
      </c>
      <c r="B216" s="41"/>
      <c r="C216" s="42" t="str">
        <f aca="false">IF($B216="","",TEXT($B216,"yyyy-mm"))</f>
        <v/>
      </c>
      <c r="D216" s="32"/>
      <c r="E216" s="36"/>
      <c r="F216" s="43"/>
      <c r="G216" s="40"/>
      <c r="H216" s="51"/>
      <c r="I216" s="33"/>
      <c r="J216" s="33"/>
      <c r="K216" s="36"/>
      <c r="L216" s="47" t="str">
        <f aca="false">IF($B216="","",IF(NOT(ISNUMBER($B216)),"日期不是日期格式",IF(YEAR($B216)&lt;&gt;首页!$B$3,"不在会计年度",IF($D216="","未选客户",IF(ISNA(MATCH($D216,基础资料!$Z$6:$Z$155,0)),"客户不在档案",IF($E216="","未选商品",IF(ISNA(MATCH($E216,基础资料!$Q$6:$Q$205,0)),"商品不在档案",IF(NOT(ISNUMBER($F216)),"数量须为数字",IF(NOT(ISNUMBER($G216)),"单价须为数字",IF(N($F216)&lt;=0,"数量须大于0",IF(AND(IFERROR(INDEX(基础资料!$V$6:$V$205,MATCH($E216,基础资料!$Q$6:$Q$205,0)),"")="是",N($R216)=0),"无成本价·请先录采购或填参考成本",IF(N($T216)&lt;0,"毛利为负·请核对","√"))))))))))))</f>
        <v/>
      </c>
      <c r="M216" s="49" t="str">
        <f aca="false">IF($E216="","",IFERROR(INDEX(基础资料!$R$6:$R$205,MATCH($E216,基础资料!$Q$6:$Q$205,0)),""))</f>
        <v/>
      </c>
      <c r="N216" s="49" t="str">
        <f aca="false">IF($E216="","",IFERROR(INDEX(基础资料!$S$6:$S$205,MATCH($E216,基础资料!$Q$6:$Q$205,0)),""))</f>
        <v/>
      </c>
      <c r="O216" s="48" t="str">
        <f aca="false">IF(OR($F216="",$G216=""),"",ROUND(N($F216)*N($G216),2))</f>
        <v/>
      </c>
      <c r="P216" s="48" t="str">
        <f aca="false">IF($O216="","",ROUND(N($O216)*N($H216),2))</f>
        <v/>
      </c>
      <c r="Q216" s="48" t="str">
        <f aca="false">IF($O216="","",N($O216)+N($P216))</f>
        <v/>
      </c>
      <c r="R216" s="48" t="str">
        <f aca="false">IF(OR($E216="",$B216=""),"",IF(IFERROR(INDEX(基础资料!$V$6:$V$205,MATCH($E216,基础资料!$Q$6:$Q$205,0)),"")&lt;&gt;"是",0,IFERROR((SUMIFS(期初数据!$T$6:$T$205,期初数据!$O$6:$O$205,$E216)+SUMIFS(采购录入!$Q$5:$Q$404,采购录入!$E$5:$E$404,$E216,采购录入!$I$5:$I$404,"是",采购录入!$B$5:$B$404,"&lt;="&amp;$B216))/(SUMIFS(期初数据!$R$6:$R$205,期初数据!$O$6:$O$205,$E216)+SUMIFS(采购录入!$F$5:$F$404,采购录入!$E$5:$E$404,$E216,采购录入!$I$5:$I$404,"是",采购录入!$B$5:$B$404,"&lt;="&amp;$B216)),IFERROR(INDEX(基础资料!$U$6:$U$205,MATCH($E216,基础资料!$Q$6:$Q$205,0)),0))))</f>
        <v/>
      </c>
      <c r="S216" s="48" t="str">
        <f aca="false">IF($O216="","",ROUND(N($F216)*N($R216),2))</f>
        <v/>
      </c>
      <c r="T216" s="48" t="str">
        <f aca="false">IF($O216="","",N($O216)-N($S216))</f>
        <v/>
      </c>
      <c r="U216" s="52" t="str">
        <f aca="false">IF(OR($B216="",$D216=""),"",$B216+N(IFERROR(INDEX(基础资料!$AB$6:$AB$155,MATCH($D216,基础资料!$Z$6:$Z$155,0)),0)))</f>
        <v/>
      </c>
      <c r="V216" s="49" t="str">
        <f aca="false">IF($O216="","","1122")</f>
        <v/>
      </c>
      <c r="W216" s="49" t="str">
        <f aca="false">IF($O216="","","6001")</f>
        <v/>
      </c>
      <c r="X216" s="48" t="str">
        <f aca="false">IF($O216="","",$O216)</f>
        <v/>
      </c>
      <c r="Y216" s="49" t="str">
        <f aca="false">IF(N($P216)=0,"","1122")</f>
        <v/>
      </c>
      <c r="Z216" s="49" t="str">
        <f aca="false">IF(N($P216)=0,"","2221")</f>
        <v/>
      </c>
      <c r="AA216" s="48" t="str">
        <f aca="false">IF(N($P216)=0,"",$P216)</f>
        <v/>
      </c>
      <c r="AB216" s="49" t="str">
        <f aca="false">IF(N($S216)=0,"","6401")</f>
        <v/>
      </c>
      <c r="AC216" s="49" t="str">
        <f aca="false">IF(N($S216)=0,"","1405")</f>
        <v/>
      </c>
      <c r="AD216" s="48" t="str">
        <f aca="false">IF(N($S216)=0,"",$S216)</f>
        <v/>
      </c>
      <c r="AE216" s="49" t="str">
        <f aca="false">IF(AND($D216=客户对账单!$B$3,$B216&gt;=客户对账单!$E$3,$B216&lt;=客户对账单!$H$3),COUNTIFS($D$5:$D216,客户对账单!$B$3,$B$5:$B216,"&gt;="&amp;客户对账单!$E$3,$B$5:$B216,"&lt;="&amp;客户对账单!$H$3),"")</f>
        <v/>
      </c>
    </row>
    <row r="217" customFormat="false" ht="15.75" hidden="false" customHeight="true" outlineLevel="0" collapsed="false">
      <c r="A217" s="42" t="str">
        <f aca="false">IF($B217="","","XS"&amp;TEXT($B217,"yyyymm")&amp;"-"&amp;TEXT(ROW()-4,"000"))</f>
        <v/>
      </c>
      <c r="B217" s="41"/>
      <c r="C217" s="42" t="str">
        <f aca="false">IF($B217="","",TEXT($B217,"yyyy-mm"))</f>
        <v/>
      </c>
      <c r="D217" s="32"/>
      <c r="E217" s="36"/>
      <c r="F217" s="43"/>
      <c r="G217" s="40"/>
      <c r="H217" s="51"/>
      <c r="I217" s="33"/>
      <c r="J217" s="33"/>
      <c r="K217" s="36"/>
      <c r="L217" s="47" t="str">
        <f aca="false">IF($B217="","",IF(NOT(ISNUMBER($B217)),"日期不是日期格式",IF(YEAR($B217)&lt;&gt;首页!$B$3,"不在会计年度",IF($D217="","未选客户",IF(ISNA(MATCH($D217,基础资料!$Z$6:$Z$155,0)),"客户不在档案",IF($E217="","未选商品",IF(ISNA(MATCH($E217,基础资料!$Q$6:$Q$205,0)),"商品不在档案",IF(NOT(ISNUMBER($F217)),"数量须为数字",IF(NOT(ISNUMBER($G217)),"单价须为数字",IF(N($F217)&lt;=0,"数量须大于0",IF(AND(IFERROR(INDEX(基础资料!$V$6:$V$205,MATCH($E217,基础资料!$Q$6:$Q$205,0)),"")="是",N($R217)=0),"无成本价·请先录采购或填参考成本",IF(N($T217)&lt;0,"毛利为负·请核对","√"))))))))))))</f>
        <v/>
      </c>
      <c r="M217" s="49" t="str">
        <f aca="false">IF($E217="","",IFERROR(INDEX(基础资料!$R$6:$R$205,MATCH($E217,基础资料!$Q$6:$Q$205,0)),""))</f>
        <v/>
      </c>
      <c r="N217" s="49" t="str">
        <f aca="false">IF($E217="","",IFERROR(INDEX(基础资料!$S$6:$S$205,MATCH($E217,基础资料!$Q$6:$Q$205,0)),""))</f>
        <v/>
      </c>
      <c r="O217" s="48" t="str">
        <f aca="false">IF(OR($F217="",$G217=""),"",ROUND(N($F217)*N($G217),2))</f>
        <v/>
      </c>
      <c r="P217" s="48" t="str">
        <f aca="false">IF($O217="","",ROUND(N($O217)*N($H217),2))</f>
        <v/>
      </c>
      <c r="Q217" s="48" t="str">
        <f aca="false">IF($O217="","",N($O217)+N($P217))</f>
        <v/>
      </c>
      <c r="R217" s="48" t="str">
        <f aca="false">IF(OR($E217="",$B217=""),"",IF(IFERROR(INDEX(基础资料!$V$6:$V$205,MATCH($E217,基础资料!$Q$6:$Q$205,0)),"")&lt;&gt;"是",0,IFERROR((SUMIFS(期初数据!$T$6:$T$205,期初数据!$O$6:$O$205,$E217)+SUMIFS(采购录入!$Q$5:$Q$404,采购录入!$E$5:$E$404,$E217,采购录入!$I$5:$I$404,"是",采购录入!$B$5:$B$404,"&lt;="&amp;$B217))/(SUMIFS(期初数据!$R$6:$R$205,期初数据!$O$6:$O$205,$E217)+SUMIFS(采购录入!$F$5:$F$404,采购录入!$E$5:$E$404,$E217,采购录入!$I$5:$I$404,"是",采购录入!$B$5:$B$404,"&lt;="&amp;$B217)),IFERROR(INDEX(基础资料!$U$6:$U$205,MATCH($E217,基础资料!$Q$6:$Q$205,0)),0))))</f>
        <v/>
      </c>
      <c r="S217" s="48" t="str">
        <f aca="false">IF($O217="","",ROUND(N($F217)*N($R217),2))</f>
        <v/>
      </c>
      <c r="T217" s="48" t="str">
        <f aca="false">IF($O217="","",N($O217)-N($S217))</f>
        <v/>
      </c>
      <c r="U217" s="52" t="str">
        <f aca="false">IF(OR($B217="",$D217=""),"",$B217+N(IFERROR(INDEX(基础资料!$AB$6:$AB$155,MATCH($D217,基础资料!$Z$6:$Z$155,0)),0)))</f>
        <v/>
      </c>
      <c r="V217" s="49" t="str">
        <f aca="false">IF($O217="","","1122")</f>
        <v/>
      </c>
      <c r="W217" s="49" t="str">
        <f aca="false">IF($O217="","","6001")</f>
        <v/>
      </c>
      <c r="X217" s="48" t="str">
        <f aca="false">IF($O217="","",$O217)</f>
        <v/>
      </c>
      <c r="Y217" s="49" t="str">
        <f aca="false">IF(N($P217)=0,"","1122")</f>
        <v/>
      </c>
      <c r="Z217" s="49" t="str">
        <f aca="false">IF(N($P217)=0,"","2221")</f>
        <v/>
      </c>
      <c r="AA217" s="48" t="str">
        <f aca="false">IF(N($P217)=0,"",$P217)</f>
        <v/>
      </c>
      <c r="AB217" s="49" t="str">
        <f aca="false">IF(N($S217)=0,"","6401")</f>
        <v/>
      </c>
      <c r="AC217" s="49" t="str">
        <f aca="false">IF(N($S217)=0,"","1405")</f>
        <v/>
      </c>
      <c r="AD217" s="48" t="str">
        <f aca="false">IF(N($S217)=0,"",$S217)</f>
        <v/>
      </c>
      <c r="AE217" s="49" t="str">
        <f aca="false">IF(AND($D217=客户对账单!$B$3,$B217&gt;=客户对账单!$E$3,$B217&lt;=客户对账单!$H$3),COUNTIFS($D$5:$D217,客户对账单!$B$3,$B$5:$B217,"&gt;="&amp;客户对账单!$E$3,$B$5:$B217,"&lt;="&amp;客户对账单!$H$3),"")</f>
        <v/>
      </c>
    </row>
    <row r="218" customFormat="false" ht="15.75" hidden="false" customHeight="true" outlineLevel="0" collapsed="false">
      <c r="A218" s="42" t="str">
        <f aca="false">IF($B218="","","XS"&amp;TEXT($B218,"yyyymm")&amp;"-"&amp;TEXT(ROW()-4,"000"))</f>
        <v/>
      </c>
      <c r="B218" s="41"/>
      <c r="C218" s="42" t="str">
        <f aca="false">IF($B218="","",TEXT($B218,"yyyy-mm"))</f>
        <v/>
      </c>
      <c r="D218" s="32"/>
      <c r="E218" s="36"/>
      <c r="F218" s="43"/>
      <c r="G218" s="40"/>
      <c r="H218" s="51"/>
      <c r="I218" s="33"/>
      <c r="J218" s="33"/>
      <c r="K218" s="36"/>
      <c r="L218" s="47" t="str">
        <f aca="false">IF($B218="","",IF(NOT(ISNUMBER($B218)),"日期不是日期格式",IF(YEAR($B218)&lt;&gt;首页!$B$3,"不在会计年度",IF($D218="","未选客户",IF(ISNA(MATCH($D218,基础资料!$Z$6:$Z$155,0)),"客户不在档案",IF($E218="","未选商品",IF(ISNA(MATCH($E218,基础资料!$Q$6:$Q$205,0)),"商品不在档案",IF(NOT(ISNUMBER($F218)),"数量须为数字",IF(NOT(ISNUMBER($G218)),"单价须为数字",IF(N($F218)&lt;=0,"数量须大于0",IF(AND(IFERROR(INDEX(基础资料!$V$6:$V$205,MATCH($E218,基础资料!$Q$6:$Q$205,0)),"")="是",N($R218)=0),"无成本价·请先录采购或填参考成本",IF(N($T218)&lt;0,"毛利为负·请核对","√"))))))))))))</f>
        <v/>
      </c>
      <c r="M218" s="49" t="str">
        <f aca="false">IF($E218="","",IFERROR(INDEX(基础资料!$R$6:$R$205,MATCH($E218,基础资料!$Q$6:$Q$205,0)),""))</f>
        <v/>
      </c>
      <c r="N218" s="49" t="str">
        <f aca="false">IF($E218="","",IFERROR(INDEX(基础资料!$S$6:$S$205,MATCH($E218,基础资料!$Q$6:$Q$205,0)),""))</f>
        <v/>
      </c>
      <c r="O218" s="48" t="str">
        <f aca="false">IF(OR($F218="",$G218=""),"",ROUND(N($F218)*N($G218),2))</f>
        <v/>
      </c>
      <c r="P218" s="48" t="str">
        <f aca="false">IF($O218="","",ROUND(N($O218)*N($H218),2))</f>
        <v/>
      </c>
      <c r="Q218" s="48" t="str">
        <f aca="false">IF($O218="","",N($O218)+N($P218))</f>
        <v/>
      </c>
      <c r="R218" s="48" t="str">
        <f aca="false">IF(OR($E218="",$B218=""),"",IF(IFERROR(INDEX(基础资料!$V$6:$V$205,MATCH($E218,基础资料!$Q$6:$Q$205,0)),"")&lt;&gt;"是",0,IFERROR((SUMIFS(期初数据!$T$6:$T$205,期初数据!$O$6:$O$205,$E218)+SUMIFS(采购录入!$Q$5:$Q$404,采购录入!$E$5:$E$404,$E218,采购录入!$I$5:$I$404,"是",采购录入!$B$5:$B$404,"&lt;="&amp;$B218))/(SUMIFS(期初数据!$R$6:$R$205,期初数据!$O$6:$O$205,$E218)+SUMIFS(采购录入!$F$5:$F$404,采购录入!$E$5:$E$404,$E218,采购录入!$I$5:$I$404,"是",采购录入!$B$5:$B$404,"&lt;="&amp;$B218)),IFERROR(INDEX(基础资料!$U$6:$U$205,MATCH($E218,基础资料!$Q$6:$Q$205,0)),0))))</f>
        <v/>
      </c>
      <c r="S218" s="48" t="str">
        <f aca="false">IF($O218="","",ROUND(N($F218)*N($R218),2))</f>
        <v/>
      </c>
      <c r="T218" s="48" t="str">
        <f aca="false">IF($O218="","",N($O218)-N($S218))</f>
        <v/>
      </c>
      <c r="U218" s="52" t="str">
        <f aca="false">IF(OR($B218="",$D218=""),"",$B218+N(IFERROR(INDEX(基础资料!$AB$6:$AB$155,MATCH($D218,基础资料!$Z$6:$Z$155,0)),0)))</f>
        <v/>
      </c>
      <c r="V218" s="49" t="str">
        <f aca="false">IF($O218="","","1122")</f>
        <v/>
      </c>
      <c r="W218" s="49" t="str">
        <f aca="false">IF($O218="","","6001")</f>
        <v/>
      </c>
      <c r="X218" s="48" t="str">
        <f aca="false">IF($O218="","",$O218)</f>
        <v/>
      </c>
      <c r="Y218" s="49" t="str">
        <f aca="false">IF(N($P218)=0,"","1122")</f>
        <v/>
      </c>
      <c r="Z218" s="49" t="str">
        <f aca="false">IF(N($P218)=0,"","2221")</f>
        <v/>
      </c>
      <c r="AA218" s="48" t="str">
        <f aca="false">IF(N($P218)=0,"",$P218)</f>
        <v/>
      </c>
      <c r="AB218" s="49" t="str">
        <f aca="false">IF(N($S218)=0,"","6401")</f>
        <v/>
      </c>
      <c r="AC218" s="49" t="str">
        <f aca="false">IF(N($S218)=0,"","1405")</f>
        <v/>
      </c>
      <c r="AD218" s="48" t="str">
        <f aca="false">IF(N($S218)=0,"",$S218)</f>
        <v/>
      </c>
      <c r="AE218" s="49" t="str">
        <f aca="false">IF(AND($D218=客户对账单!$B$3,$B218&gt;=客户对账单!$E$3,$B218&lt;=客户对账单!$H$3),COUNTIFS($D$5:$D218,客户对账单!$B$3,$B$5:$B218,"&gt;="&amp;客户对账单!$E$3,$B$5:$B218,"&lt;="&amp;客户对账单!$H$3),"")</f>
        <v/>
      </c>
    </row>
    <row r="219" customFormat="false" ht="15.75" hidden="false" customHeight="true" outlineLevel="0" collapsed="false">
      <c r="A219" s="42" t="str">
        <f aca="false">IF($B219="","","XS"&amp;TEXT($B219,"yyyymm")&amp;"-"&amp;TEXT(ROW()-4,"000"))</f>
        <v/>
      </c>
      <c r="B219" s="41"/>
      <c r="C219" s="42" t="str">
        <f aca="false">IF($B219="","",TEXT($B219,"yyyy-mm"))</f>
        <v/>
      </c>
      <c r="D219" s="32"/>
      <c r="E219" s="36"/>
      <c r="F219" s="43"/>
      <c r="G219" s="40"/>
      <c r="H219" s="51"/>
      <c r="I219" s="33"/>
      <c r="J219" s="33"/>
      <c r="K219" s="36"/>
      <c r="L219" s="47" t="str">
        <f aca="false">IF($B219="","",IF(NOT(ISNUMBER($B219)),"日期不是日期格式",IF(YEAR($B219)&lt;&gt;首页!$B$3,"不在会计年度",IF($D219="","未选客户",IF(ISNA(MATCH($D219,基础资料!$Z$6:$Z$155,0)),"客户不在档案",IF($E219="","未选商品",IF(ISNA(MATCH($E219,基础资料!$Q$6:$Q$205,0)),"商品不在档案",IF(NOT(ISNUMBER($F219)),"数量须为数字",IF(NOT(ISNUMBER($G219)),"单价须为数字",IF(N($F219)&lt;=0,"数量须大于0",IF(AND(IFERROR(INDEX(基础资料!$V$6:$V$205,MATCH($E219,基础资料!$Q$6:$Q$205,0)),"")="是",N($R219)=0),"无成本价·请先录采购或填参考成本",IF(N($T219)&lt;0,"毛利为负·请核对","√"))))))))))))</f>
        <v/>
      </c>
      <c r="M219" s="49" t="str">
        <f aca="false">IF($E219="","",IFERROR(INDEX(基础资料!$R$6:$R$205,MATCH($E219,基础资料!$Q$6:$Q$205,0)),""))</f>
        <v/>
      </c>
      <c r="N219" s="49" t="str">
        <f aca="false">IF($E219="","",IFERROR(INDEX(基础资料!$S$6:$S$205,MATCH($E219,基础资料!$Q$6:$Q$205,0)),""))</f>
        <v/>
      </c>
      <c r="O219" s="48" t="str">
        <f aca="false">IF(OR($F219="",$G219=""),"",ROUND(N($F219)*N($G219),2))</f>
        <v/>
      </c>
      <c r="P219" s="48" t="str">
        <f aca="false">IF($O219="","",ROUND(N($O219)*N($H219),2))</f>
        <v/>
      </c>
      <c r="Q219" s="48" t="str">
        <f aca="false">IF($O219="","",N($O219)+N($P219))</f>
        <v/>
      </c>
      <c r="R219" s="48" t="str">
        <f aca="false">IF(OR($E219="",$B219=""),"",IF(IFERROR(INDEX(基础资料!$V$6:$V$205,MATCH($E219,基础资料!$Q$6:$Q$205,0)),"")&lt;&gt;"是",0,IFERROR((SUMIFS(期初数据!$T$6:$T$205,期初数据!$O$6:$O$205,$E219)+SUMIFS(采购录入!$Q$5:$Q$404,采购录入!$E$5:$E$404,$E219,采购录入!$I$5:$I$404,"是",采购录入!$B$5:$B$404,"&lt;="&amp;$B219))/(SUMIFS(期初数据!$R$6:$R$205,期初数据!$O$6:$O$205,$E219)+SUMIFS(采购录入!$F$5:$F$404,采购录入!$E$5:$E$404,$E219,采购录入!$I$5:$I$404,"是",采购录入!$B$5:$B$404,"&lt;="&amp;$B219)),IFERROR(INDEX(基础资料!$U$6:$U$205,MATCH($E219,基础资料!$Q$6:$Q$205,0)),0))))</f>
        <v/>
      </c>
      <c r="S219" s="48" t="str">
        <f aca="false">IF($O219="","",ROUND(N($F219)*N($R219),2))</f>
        <v/>
      </c>
      <c r="T219" s="48" t="str">
        <f aca="false">IF($O219="","",N($O219)-N($S219))</f>
        <v/>
      </c>
      <c r="U219" s="52" t="str">
        <f aca="false">IF(OR($B219="",$D219=""),"",$B219+N(IFERROR(INDEX(基础资料!$AB$6:$AB$155,MATCH($D219,基础资料!$Z$6:$Z$155,0)),0)))</f>
        <v/>
      </c>
      <c r="V219" s="49" t="str">
        <f aca="false">IF($O219="","","1122")</f>
        <v/>
      </c>
      <c r="W219" s="49" t="str">
        <f aca="false">IF($O219="","","6001")</f>
        <v/>
      </c>
      <c r="X219" s="48" t="str">
        <f aca="false">IF($O219="","",$O219)</f>
        <v/>
      </c>
      <c r="Y219" s="49" t="str">
        <f aca="false">IF(N($P219)=0,"","1122")</f>
        <v/>
      </c>
      <c r="Z219" s="49" t="str">
        <f aca="false">IF(N($P219)=0,"","2221")</f>
        <v/>
      </c>
      <c r="AA219" s="48" t="str">
        <f aca="false">IF(N($P219)=0,"",$P219)</f>
        <v/>
      </c>
      <c r="AB219" s="49" t="str">
        <f aca="false">IF(N($S219)=0,"","6401")</f>
        <v/>
      </c>
      <c r="AC219" s="49" t="str">
        <f aca="false">IF(N($S219)=0,"","1405")</f>
        <v/>
      </c>
      <c r="AD219" s="48" t="str">
        <f aca="false">IF(N($S219)=0,"",$S219)</f>
        <v/>
      </c>
      <c r="AE219" s="49" t="str">
        <f aca="false">IF(AND($D219=客户对账单!$B$3,$B219&gt;=客户对账单!$E$3,$B219&lt;=客户对账单!$H$3),COUNTIFS($D$5:$D219,客户对账单!$B$3,$B$5:$B219,"&gt;="&amp;客户对账单!$E$3,$B$5:$B219,"&lt;="&amp;客户对账单!$H$3),"")</f>
        <v/>
      </c>
    </row>
    <row r="220" customFormat="false" ht="15.75" hidden="false" customHeight="true" outlineLevel="0" collapsed="false">
      <c r="A220" s="42" t="str">
        <f aca="false">IF($B220="","","XS"&amp;TEXT($B220,"yyyymm")&amp;"-"&amp;TEXT(ROW()-4,"000"))</f>
        <v/>
      </c>
      <c r="B220" s="41"/>
      <c r="C220" s="42" t="str">
        <f aca="false">IF($B220="","",TEXT($B220,"yyyy-mm"))</f>
        <v/>
      </c>
      <c r="D220" s="32"/>
      <c r="E220" s="36"/>
      <c r="F220" s="43"/>
      <c r="G220" s="40"/>
      <c r="H220" s="51"/>
      <c r="I220" s="33"/>
      <c r="J220" s="33"/>
      <c r="K220" s="36"/>
      <c r="L220" s="47" t="str">
        <f aca="false">IF($B220="","",IF(NOT(ISNUMBER($B220)),"日期不是日期格式",IF(YEAR($B220)&lt;&gt;首页!$B$3,"不在会计年度",IF($D220="","未选客户",IF(ISNA(MATCH($D220,基础资料!$Z$6:$Z$155,0)),"客户不在档案",IF($E220="","未选商品",IF(ISNA(MATCH($E220,基础资料!$Q$6:$Q$205,0)),"商品不在档案",IF(NOT(ISNUMBER($F220)),"数量须为数字",IF(NOT(ISNUMBER($G220)),"单价须为数字",IF(N($F220)&lt;=0,"数量须大于0",IF(AND(IFERROR(INDEX(基础资料!$V$6:$V$205,MATCH($E220,基础资料!$Q$6:$Q$205,0)),"")="是",N($R220)=0),"无成本价·请先录采购或填参考成本",IF(N($T220)&lt;0,"毛利为负·请核对","√"))))))))))))</f>
        <v/>
      </c>
      <c r="M220" s="49" t="str">
        <f aca="false">IF($E220="","",IFERROR(INDEX(基础资料!$R$6:$R$205,MATCH($E220,基础资料!$Q$6:$Q$205,0)),""))</f>
        <v/>
      </c>
      <c r="N220" s="49" t="str">
        <f aca="false">IF($E220="","",IFERROR(INDEX(基础资料!$S$6:$S$205,MATCH($E220,基础资料!$Q$6:$Q$205,0)),""))</f>
        <v/>
      </c>
      <c r="O220" s="48" t="str">
        <f aca="false">IF(OR($F220="",$G220=""),"",ROUND(N($F220)*N($G220),2))</f>
        <v/>
      </c>
      <c r="P220" s="48" t="str">
        <f aca="false">IF($O220="","",ROUND(N($O220)*N($H220),2))</f>
        <v/>
      </c>
      <c r="Q220" s="48" t="str">
        <f aca="false">IF($O220="","",N($O220)+N($P220))</f>
        <v/>
      </c>
      <c r="R220" s="48" t="str">
        <f aca="false">IF(OR($E220="",$B220=""),"",IF(IFERROR(INDEX(基础资料!$V$6:$V$205,MATCH($E220,基础资料!$Q$6:$Q$205,0)),"")&lt;&gt;"是",0,IFERROR((SUMIFS(期初数据!$T$6:$T$205,期初数据!$O$6:$O$205,$E220)+SUMIFS(采购录入!$Q$5:$Q$404,采购录入!$E$5:$E$404,$E220,采购录入!$I$5:$I$404,"是",采购录入!$B$5:$B$404,"&lt;="&amp;$B220))/(SUMIFS(期初数据!$R$6:$R$205,期初数据!$O$6:$O$205,$E220)+SUMIFS(采购录入!$F$5:$F$404,采购录入!$E$5:$E$404,$E220,采购录入!$I$5:$I$404,"是",采购录入!$B$5:$B$404,"&lt;="&amp;$B220)),IFERROR(INDEX(基础资料!$U$6:$U$205,MATCH($E220,基础资料!$Q$6:$Q$205,0)),0))))</f>
        <v/>
      </c>
      <c r="S220" s="48" t="str">
        <f aca="false">IF($O220="","",ROUND(N($F220)*N($R220),2))</f>
        <v/>
      </c>
      <c r="T220" s="48" t="str">
        <f aca="false">IF($O220="","",N($O220)-N($S220))</f>
        <v/>
      </c>
      <c r="U220" s="52" t="str">
        <f aca="false">IF(OR($B220="",$D220=""),"",$B220+N(IFERROR(INDEX(基础资料!$AB$6:$AB$155,MATCH($D220,基础资料!$Z$6:$Z$155,0)),0)))</f>
        <v/>
      </c>
      <c r="V220" s="49" t="str">
        <f aca="false">IF($O220="","","1122")</f>
        <v/>
      </c>
      <c r="W220" s="49" t="str">
        <f aca="false">IF($O220="","","6001")</f>
        <v/>
      </c>
      <c r="X220" s="48" t="str">
        <f aca="false">IF($O220="","",$O220)</f>
        <v/>
      </c>
      <c r="Y220" s="49" t="str">
        <f aca="false">IF(N($P220)=0,"","1122")</f>
        <v/>
      </c>
      <c r="Z220" s="49" t="str">
        <f aca="false">IF(N($P220)=0,"","2221")</f>
        <v/>
      </c>
      <c r="AA220" s="48" t="str">
        <f aca="false">IF(N($P220)=0,"",$P220)</f>
        <v/>
      </c>
      <c r="AB220" s="49" t="str">
        <f aca="false">IF(N($S220)=0,"","6401")</f>
        <v/>
      </c>
      <c r="AC220" s="49" t="str">
        <f aca="false">IF(N($S220)=0,"","1405")</f>
        <v/>
      </c>
      <c r="AD220" s="48" t="str">
        <f aca="false">IF(N($S220)=0,"",$S220)</f>
        <v/>
      </c>
      <c r="AE220" s="49" t="str">
        <f aca="false">IF(AND($D220=客户对账单!$B$3,$B220&gt;=客户对账单!$E$3,$B220&lt;=客户对账单!$H$3),COUNTIFS($D$5:$D220,客户对账单!$B$3,$B$5:$B220,"&gt;="&amp;客户对账单!$E$3,$B$5:$B220,"&lt;="&amp;客户对账单!$H$3),"")</f>
        <v/>
      </c>
    </row>
    <row r="221" customFormat="false" ht="15.75" hidden="false" customHeight="true" outlineLevel="0" collapsed="false">
      <c r="A221" s="42" t="str">
        <f aca="false">IF($B221="","","XS"&amp;TEXT($B221,"yyyymm")&amp;"-"&amp;TEXT(ROW()-4,"000"))</f>
        <v/>
      </c>
      <c r="B221" s="41"/>
      <c r="C221" s="42" t="str">
        <f aca="false">IF($B221="","",TEXT($B221,"yyyy-mm"))</f>
        <v/>
      </c>
      <c r="D221" s="32"/>
      <c r="E221" s="36"/>
      <c r="F221" s="43"/>
      <c r="G221" s="40"/>
      <c r="H221" s="51"/>
      <c r="I221" s="33"/>
      <c r="J221" s="33"/>
      <c r="K221" s="36"/>
      <c r="L221" s="47" t="str">
        <f aca="false">IF($B221="","",IF(NOT(ISNUMBER($B221)),"日期不是日期格式",IF(YEAR($B221)&lt;&gt;首页!$B$3,"不在会计年度",IF($D221="","未选客户",IF(ISNA(MATCH($D221,基础资料!$Z$6:$Z$155,0)),"客户不在档案",IF($E221="","未选商品",IF(ISNA(MATCH($E221,基础资料!$Q$6:$Q$205,0)),"商品不在档案",IF(NOT(ISNUMBER($F221)),"数量须为数字",IF(NOT(ISNUMBER($G221)),"单价须为数字",IF(N($F221)&lt;=0,"数量须大于0",IF(AND(IFERROR(INDEX(基础资料!$V$6:$V$205,MATCH($E221,基础资料!$Q$6:$Q$205,0)),"")="是",N($R221)=0),"无成本价·请先录采购或填参考成本",IF(N($T221)&lt;0,"毛利为负·请核对","√"))))))))))))</f>
        <v/>
      </c>
      <c r="M221" s="49" t="str">
        <f aca="false">IF($E221="","",IFERROR(INDEX(基础资料!$R$6:$R$205,MATCH($E221,基础资料!$Q$6:$Q$205,0)),""))</f>
        <v/>
      </c>
      <c r="N221" s="49" t="str">
        <f aca="false">IF($E221="","",IFERROR(INDEX(基础资料!$S$6:$S$205,MATCH($E221,基础资料!$Q$6:$Q$205,0)),""))</f>
        <v/>
      </c>
      <c r="O221" s="48" t="str">
        <f aca="false">IF(OR($F221="",$G221=""),"",ROUND(N($F221)*N($G221),2))</f>
        <v/>
      </c>
      <c r="P221" s="48" t="str">
        <f aca="false">IF($O221="","",ROUND(N($O221)*N($H221),2))</f>
        <v/>
      </c>
      <c r="Q221" s="48" t="str">
        <f aca="false">IF($O221="","",N($O221)+N($P221))</f>
        <v/>
      </c>
      <c r="R221" s="48" t="str">
        <f aca="false">IF(OR($E221="",$B221=""),"",IF(IFERROR(INDEX(基础资料!$V$6:$V$205,MATCH($E221,基础资料!$Q$6:$Q$205,0)),"")&lt;&gt;"是",0,IFERROR((SUMIFS(期初数据!$T$6:$T$205,期初数据!$O$6:$O$205,$E221)+SUMIFS(采购录入!$Q$5:$Q$404,采购录入!$E$5:$E$404,$E221,采购录入!$I$5:$I$404,"是",采购录入!$B$5:$B$404,"&lt;="&amp;$B221))/(SUMIFS(期初数据!$R$6:$R$205,期初数据!$O$6:$O$205,$E221)+SUMIFS(采购录入!$F$5:$F$404,采购录入!$E$5:$E$404,$E221,采购录入!$I$5:$I$404,"是",采购录入!$B$5:$B$404,"&lt;="&amp;$B221)),IFERROR(INDEX(基础资料!$U$6:$U$205,MATCH($E221,基础资料!$Q$6:$Q$205,0)),0))))</f>
        <v/>
      </c>
      <c r="S221" s="48" t="str">
        <f aca="false">IF($O221="","",ROUND(N($F221)*N($R221),2))</f>
        <v/>
      </c>
      <c r="T221" s="48" t="str">
        <f aca="false">IF($O221="","",N($O221)-N($S221))</f>
        <v/>
      </c>
      <c r="U221" s="52" t="str">
        <f aca="false">IF(OR($B221="",$D221=""),"",$B221+N(IFERROR(INDEX(基础资料!$AB$6:$AB$155,MATCH($D221,基础资料!$Z$6:$Z$155,0)),0)))</f>
        <v/>
      </c>
      <c r="V221" s="49" t="str">
        <f aca="false">IF($O221="","","1122")</f>
        <v/>
      </c>
      <c r="W221" s="49" t="str">
        <f aca="false">IF($O221="","","6001")</f>
        <v/>
      </c>
      <c r="X221" s="48" t="str">
        <f aca="false">IF($O221="","",$O221)</f>
        <v/>
      </c>
      <c r="Y221" s="49" t="str">
        <f aca="false">IF(N($P221)=0,"","1122")</f>
        <v/>
      </c>
      <c r="Z221" s="49" t="str">
        <f aca="false">IF(N($P221)=0,"","2221")</f>
        <v/>
      </c>
      <c r="AA221" s="48" t="str">
        <f aca="false">IF(N($P221)=0,"",$P221)</f>
        <v/>
      </c>
      <c r="AB221" s="49" t="str">
        <f aca="false">IF(N($S221)=0,"","6401")</f>
        <v/>
      </c>
      <c r="AC221" s="49" t="str">
        <f aca="false">IF(N($S221)=0,"","1405")</f>
        <v/>
      </c>
      <c r="AD221" s="48" t="str">
        <f aca="false">IF(N($S221)=0,"",$S221)</f>
        <v/>
      </c>
      <c r="AE221" s="49" t="str">
        <f aca="false">IF(AND($D221=客户对账单!$B$3,$B221&gt;=客户对账单!$E$3,$B221&lt;=客户对账单!$H$3),COUNTIFS($D$5:$D221,客户对账单!$B$3,$B$5:$B221,"&gt;="&amp;客户对账单!$E$3,$B$5:$B221,"&lt;="&amp;客户对账单!$H$3),"")</f>
        <v/>
      </c>
    </row>
    <row r="222" customFormat="false" ht="15.75" hidden="false" customHeight="true" outlineLevel="0" collapsed="false">
      <c r="A222" s="42" t="str">
        <f aca="false">IF($B222="","","XS"&amp;TEXT($B222,"yyyymm")&amp;"-"&amp;TEXT(ROW()-4,"000"))</f>
        <v/>
      </c>
      <c r="B222" s="41"/>
      <c r="C222" s="42" t="str">
        <f aca="false">IF($B222="","",TEXT($B222,"yyyy-mm"))</f>
        <v/>
      </c>
      <c r="D222" s="32"/>
      <c r="E222" s="36"/>
      <c r="F222" s="43"/>
      <c r="G222" s="40"/>
      <c r="H222" s="51"/>
      <c r="I222" s="33"/>
      <c r="J222" s="33"/>
      <c r="K222" s="36"/>
      <c r="L222" s="47" t="str">
        <f aca="false">IF($B222="","",IF(NOT(ISNUMBER($B222)),"日期不是日期格式",IF(YEAR($B222)&lt;&gt;首页!$B$3,"不在会计年度",IF($D222="","未选客户",IF(ISNA(MATCH($D222,基础资料!$Z$6:$Z$155,0)),"客户不在档案",IF($E222="","未选商品",IF(ISNA(MATCH($E222,基础资料!$Q$6:$Q$205,0)),"商品不在档案",IF(NOT(ISNUMBER($F222)),"数量须为数字",IF(NOT(ISNUMBER($G222)),"单价须为数字",IF(N($F222)&lt;=0,"数量须大于0",IF(AND(IFERROR(INDEX(基础资料!$V$6:$V$205,MATCH($E222,基础资料!$Q$6:$Q$205,0)),"")="是",N($R222)=0),"无成本价·请先录采购或填参考成本",IF(N($T222)&lt;0,"毛利为负·请核对","√"))))))))))))</f>
        <v/>
      </c>
      <c r="M222" s="49" t="str">
        <f aca="false">IF($E222="","",IFERROR(INDEX(基础资料!$R$6:$R$205,MATCH($E222,基础资料!$Q$6:$Q$205,0)),""))</f>
        <v/>
      </c>
      <c r="N222" s="49" t="str">
        <f aca="false">IF($E222="","",IFERROR(INDEX(基础资料!$S$6:$S$205,MATCH($E222,基础资料!$Q$6:$Q$205,0)),""))</f>
        <v/>
      </c>
      <c r="O222" s="48" t="str">
        <f aca="false">IF(OR($F222="",$G222=""),"",ROUND(N($F222)*N($G222),2))</f>
        <v/>
      </c>
      <c r="P222" s="48" t="str">
        <f aca="false">IF($O222="","",ROUND(N($O222)*N($H222),2))</f>
        <v/>
      </c>
      <c r="Q222" s="48" t="str">
        <f aca="false">IF($O222="","",N($O222)+N($P222))</f>
        <v/>
      </c>
      <c r="R222" s="48" t="str">
        <f aca="false">IF(OR($E222="",$B222=""),"",IF(IFERROR(INDEX(基础资料!$V$6:$V$205,MATCH($E222,基础资料!$Q$6:$Q$205,0)),"")&lt;&gt;"是",0,IFERROR((SUMIFS(期初数据!$T$6:$T$205,期初数据!$O$6:$O$205,$E222)+SUMIFS(采购录入!$Q$5:$Q$404,采购录入!$E$5:$E$404,$E222,采购录入!$I$5:$I$404,"是",采购录入!$B$5:$B$404,"&lt;="&amp;$B222))/(SUMIFS(期初数据!$R$6:$R$205,期初数据!$O$6:$O$205,$E222)+SUMIFS(采购录入!$F$5:$F$404,采购录入!$E$5:$E$404,$E222,采购录入!$I$5:$I$404,"是",采购录入!$B$5:$B$404,"&lt;="&amp;$B222)),IFERROR(INDEX(基础资料!$U$6:$U$205,MATCH($E222,基础资料!$Q$6:$Q$205,0)),0))))</f>
        <v/>
      </c>
      <c r="S222" s="48" t="str">
        <f aca="false">IF($O222="","",ROUND(N($F222)*N($R222),2))</f>
        <v/>
      </c>
      <c r="T222" s="48" t="str">
        <f aca="false">IF($O222="","",N($O222)-N($S222))</f>
        <v/>
      </c>
      <c r="U222" s="52" t="str">
        <f aca="false">IF(OR($B222="",$D222=""),"",$B222+N(IFERROR(INDEX(基础资料!$AB$6:$AB$155,MATCH($D222,基础资料!$Z$6:$Z$155,0)),0)))</f>
        <v/>
      </c>
      <c r="V222" s="49" t="str">
        <f aca="false">IF($O222="","","1122")</f>
        <v/>
      </c>
      <c r="W222" s="49" t="str">
        <f aca="false">IF($O222="","","6001")</f>
        <v/>
      </c>
      <c r="X222" s="48" t="str">
        <f aca="false">IF($O222="","",$O222)</f>
        <v/>
      </c>
      <c r="Y222" s="49" t="str">
        <f aca="false">IF(N($P222)=0,"","1122")</f>
        <v/>
      </c>
      <c r="Z222" s="49" t="str">
        <f aca="false">IF(N($P222)=0,"","2221")</f>
        <v/>
      </c>
      <c r="AA222" s="48" t="str">
        <f aca="false">IF(N($P222)=0,"",$P222)</f>
        <v/>
      </c>
      <c r="AB222" s="49" t="str">
        <f aca="false">IF(N($S222)=0,"","6401")</f>
        <v/>
      </c>
      <c r="AC222" s="49" t="str">
        <f aca="false">IF(N($S222)=0,"","1405")</f>
        <v/>
      </c>
      <c r="AD222" s="48" t="str">
        <f aca="false">IF(N($S222)=0,"",$S222)</f>
        <v/>
      </c>
      <c r="AE222" s="49" t="str">
        <f aca="false">IF(AND($D222=客户对账单!$B$3,$B222&gt;=客户对账单!$E$3,$B222&lt;=客户对账单!$H$3),COUNTIFS($D$5:$D222,客户对账单!$B$3,$B$5:$B222,"&gt;="&amp;客户对账单!$E$3,$B$5:$B222,"&lt;="&amp;客户对账单!$H$3),"")</f>
        <v/>
      </c>
    </row>
    <row r="223" customFormat="false" ht="15.75" hidden="false" customHeight="true" outlineLevel="0" collapsed="false">
      <c r="A223" s="42" t="str">
        <f aca="false">IF($B223="","","XS"&amp;TEXT($B223,"yyyymm")&amp;"-"&amp;TEXT(ROW()-4,"000"))</f>
        <v/>
      </c>
      <c r="B223" s="41"/>
      <c r="C223" s="42" t="str">
        <f aca="false">IF($B223="","",TEXT($B223,"yyyy-mm"))</f>
        <v/>
      </c>
      <c r="D223" s="32"/>
      <c r="E223" s="36"/>
      <c r="F223" s="43"/>
      <c r="G223" s="40"/>
      <c r="H223" s="51"/>
      <c r="I223" s="33"/>
      <c r="J223" s="33"/>
      <c r="K223" s="36"/>
      <c r="L223" s="47" t="str">
        <f aca="false">IF($B223="","",IF(NOT(ISNUMBER($B223)),"日期不是日期格式",IF(YEAR($B223)&lt;&gt;首页!$B$3,"不在会计年度",IF($D223="","未选客户",IF(ISNA(MATCH($D223,基础资料!$Z$6:$Z$155,0)),"客户不在档案",IF($E223="","未选商品",IF(ISNA(MATCH($E223,基础资料!$Q$6:$Q$205,0)),"商品不在档案",IF(NOT(ISNUMBER($F223)),"数量须为数字",IF(NOT(ISNUMBER($G223)),"单价须为数字",IF(N($F223)&lt;=0,"数量须大于0",IF(AND(IFERROR(INDEX(基础资料!$V$6:$V$205,MATCH($E223,基础资料!$Q$6:$Q$205,0)),"")="是",N($R223)=0),"无成本价·请先录采购或填参考成本",IF(N($T223)&lt;0,"毛利为负·请核对","√"))))))))))))</f>
        <v/>
      </c>
      <c r="M223" s="49" t="str">
        <f aca="false">IF($E223="","",IFERROR(INDEX(基础资料!$R$6:$R$205,MATCH($E223,基础资料!$Q$6:$Q$205,0)),""))</f>
        <v/>
      </c>
      <c r="N223" s="49" t="str">
        <f aca="false">IF($E223="","",IFERROR(INDEX(基础资料!$S$6:$S$205,MATCH($E223,基础资料!$Q$6:$Q$205,0)),""))</f>
        <v/>
      </c>
      <c r="O223" s="48" t="str">
        <f aca="false">IF(OR($F223="",$G223=""),"",ROUND(N($F223)*N($G223),2))</f>
        <v/>
      </c>
      <c r="P223" s="48" t="str">
        <f aca="false">IF($O223="","",ROUND(N($O223)*N($H223),2))</f>
        <v/>
      </c>
      <c r="Q223" s="48" t="str">
        <f aca="false">IF($O223="","",N($O223)+N($P223))</f>
        <v/>
      </c>
      <c r="R223" s="48" t="str">
        <f aca="false">IF(OR($E223="",$B223=""),"",IF(IFERROR(INDEX(基础资料!$V$6:$V$205,MATCH($E223,基础资料!$Q$6:$Q$205,0)),"")&lt;&gt;"是",0,IFERROR((SUMIFS(期初数据!$T$6:$T$205,期初数据!$O$6:$O$205,$E223)+SUMIFS(采购录入!$Q$5:$Q$404,采购录入!$E$5:$E$404,$E223,采购录入!$I$5:$I$404,"是",采购录入!$B$5:$B$404,"&lt;="&amp;$B223))/(SUMIFS(期初数据!$R$6:$R$205,期初数据!$O$6:$O$205,$E223)+SUMIFS(采购录入!$F$5:$F$404,采购录入!$E$5:$E$404,$E223,采购录入!$I$5:$I$404,"是",采购录入!$B$5:$B$404,"&lt;="&amp;$B223)),IFERROR(INDEX(基础资料!$U$6:$U$205,MATCH($E223,基础资料!$Q$6:$Q$205,0)),0))))</f>
        <v/>
      </c>
      <c r="S223" s="48" t="str">
        <f aca="false">IF($O223="","",ROUND(N($F223)*N($R223),2))</f>
        <v/>
      </c>
      <c r="T223" s="48" t="str">
        <f aca="false">IF($O223="","",N($O223)-N($S223))</f>
        <v/>
      </c>
      <c r="U223" s="52" t="str">
        <f aca="false">IF(OR($B223="",$D223=""),"",$B223+N(IFERROR(INDEX(基础资料!$AB$6:$AB$155,MATCH($D223,基础资料!$Z$6:$Z$155,0)),0)))</f>
        <v/>
      </c>
      <c r="V223" s="49" t="str">
        <f aca="false">IF($O223="","","1122")</f>
        <v/>
      </c>
      <c r="W223" s="49" t="str">
        <f aca="false">IF($O223="","","6001")</f>
        <v/>
      </c>
      <c r="X223" s="48" t="str">
        <f aca="false">IF($O223="","",$O223)</f>
        <v/>
      </c>
      <c r="Y223" s="49" t="str">
        <f aca="false">IF(N($P223)=0,"","1122")</f>
        <v/>
      </c>
      <c r="Z223" s="49" t="str">
        <f aca="false">IF(N($P223)=0,"","2221")</f>
        <v/>
      </c>
      <c r="AA223" s="48" t="str">
        <f aca="false">IF(N($P223)=0,"",$P223)</f>
        <v/>
      </c>
      <c r="AB223" s="49" t="str">
        <f aca="false">IF(N($S223)=0,"","6401")</f>
        <v/>
      </c>
      <c r="AC223" s="49" t="str">
        <f aca="false">IF(N($S223)=0,"","1405")</f>
        <v/>
      </c>
      <c r="AD223" s="48" t="str">
        <f aca="false">IF(N($S223)=0,"",$S223)</f>
        <v/>
      </c>
      <c r="AE223" s="49" t="str">
        <f aca="false">IF(AND($D223=客户对账单!$B$3,$B223&gt;=客户对账单!$E$3,$B223&lt;=客户对账单!$H$3),COUNTIFS($D$5:$D223,客户对账单!$B$3,$B$5:$B223,"&gt;="&amp;客户对账单!$E$3,$B$5:$B223,"&lt;="&amp;客户对账单!$H$3),"")</f>
        <v/>
      </c>
    </row>
    <row r="224" customFormat="false" ht="15.75" hidden="false" customHeight="true" outlineLevel="0" collapsed="false">
      <c r="A224" s="42" t="str">
        <f aca="false">IF($B224="","","XS"&amp;TEXT($B224,"yyyymm")&amp;"-"&amp;TEXT(ROW()-4,"000"))</f>
        <v/>
      </c>
      <c r="B224" s="41"/>
      <c r="C224" s="42" t="str">
        <f aca="false">IF($B224="","",TEXT($B224,"yyyy-mm"))</f>
        <v/>
      </c>
      <c r="D224" s="32"/>
      <c r="E224" s="36"/>
      <c r="F224" s="43"/>
      <c r="G224" s="40"/>
      <c r="H224" s="51"/>
      <c r="I224" s="33"/>
      <c r="J224" s="33"/>
      <c r="K224" s="36"/>
      <c r="L224" s="47" t="str">
        <f aca="false">IF($B224="","",IF(NOT(ISNUMBER($B224)),"日期不是日期格式",IF(YEAR($B224)&lt;&gt;首页!$B$3,"不在会计年度",IF($D224="","未选客户",IF(ISNA(MATCH($D224,基础资料!$Z$6:$Z$155,0)),"客户不在档案",IF($E224="","未选商品",IF(ISNA(MATCH($E224,基础资料!$Q$6:$Q$205,0)),"商品不在档案",IF(NOT(ISNUMBER($F224)),"数量须为数字",IF(NOT(ISNUMBER($G224)),"单价须为数字",IF(N($F224)&lt;=0,"数量须大于0",IF(AND(IFERROR(INDEX(基础资料!$V$6:$V$205,MATCH($E224,基础资料!$Q$6:$Q$205,0)),"")="是",N($R224)=0),"无成本价·请先录采购或填参考成本",IF(N($T224)&lt;0,"毛利为负·请核对","√"))))))))))))</f>
        <v/>
      </c>
      <c r="M224" s="49" t="str">
        <f aca="false">IF($E224="","",IFERROR(INDEX(基础资料!$R$6:$R$205,MATCH($E224,基础资料!$Q$6:$Q$205,0)),""))</f>
        <v/>
      </c>
      <c r="N224" s="49" t="str">
        <f aca="false">IF($E224="","",IFERROR(INDEX(基础资料!$S$6:$S$205,MATCH($E224,基础资料!$Q$6:$Q$205,0)),""))</f>
        <v/>
      </c>
      <c r="O224" s="48" t="str">
        <f aca="false">IF(OR($F224="",$G224=""),"",ROUND(N($F224)*N($G224),2))</f>
        <v/>
      </c>
      <c r="P224" s="48" t="str">
        <f aca="false">IF($O224="","",ROUND(N($O224)*N($H224),2))</f>
        <v/>
      </c>
      <c r="Q224" s="48" t="str">
        <f aca="false">IF($O224="","",N($O224)+N($P224))</f>
        <v/>
      </c>
      <c r="R224" s="48" t="str">
        <f aca="false">IF(OR($E224="",$B224=""),"",IF(IFERROR(INDEX(基础资料!$V$6:$V$205,MATCH($E224,基础资料!$Q$6:$Q$205,0)),"")&lt;&gt;"是",0,IFERROR((SUMIFS(期初数据!$T$6:$T$205,期初数据!$O$6:$O$205,$E224)+SUMIFS(采购录入!$Q$5:$Q$404,采购录入!$E$5:$E$404,$E224,采购录入!$I$5:$I$404,"是",采购录入!$B$5:$B$404,"&lt;="&amp;$B224))/(SUMIFS(期初数据!$R$6:$R$205,期初数据!$O$6:$O$205,$E224)+SUMIFS(采购录入!$F$5:$F$404,采购录入!$E$5:$E$404,$E224,采购录入!$I$5:$I$404,"是",采购录入!$B$5:$B$404,"&lt;="&amp;$B224)),IFERROR(INDEX(基础资料!$U$6:$U$205,MATCH($E224,基础资料!$Q$6:$Q$205,0)),0))))</f>
        <v/>
      </c>
      <c r="S224" s="48" t="str">
        <f aca="false">IF($O224="","",ROUND(N($F224)*N($R224),2))</f>
        <v/>
      </c>
      <c r="T224" s="48" t="str">
        <f aca="false">IF($O224="","",N($O224)-N($S224))</f>
        <v/>
      </c>
      <c r="U224" s="52" t="str">
        <f aca="false">IF(OR($B224="",$D224=""),"",$B224+N(IFERROR(INDEX(基础资料!$AB$6:$AB$155,MATCH($D224,基础资料!$Z$6:$Z$155,0)),0)))</f>
        <v/>
      </c>
      <c r="V224" s="49" t="str">
        <f aca="false">IF($O224="","","1122")</f>
        <v/>
      </c>
      <c r="W224" s="49" t="str">
        <f aca="false">IF($O224="","","6001")</f>
        <v/>
      </c>
      <c r="X224" s="48" t="str">
        <f aca="false">IF($O224="","",$O224)</f>
        <v/>
      </c>
      <c r="Y224" s="49" t="str">
        <f aca="false">IF(N($P224)=0,"","1122")</f>
        <v/>
      </c>
      <c r="Z224" s="49" t="str">
        <f aca="false">IF(N($P224)=0,"","2221")</f>
        <v/>
      </c>
      <c r="AA224" s="48" t="str">
        <f aca="false">IF(N($P224)=0,"",$P224)</f>
        <v/>
      </c>
      <c r="AB224" s="49" t="str">
        <f aca="false">IF(N($S224)=0,"","6401")</f>
        <v/>
      </c>
      <c r="AC224" s="49" t="str">
        <f aca="false">IF(N($S224)=0,"","1405")</f>
        <v/>
      </c>
      <c r="AD224" s="48" t="str">
        <f aca="false">IF(N($S224)=0,"",$S224)</f>
        <v/>
      </c>
      <c r="AE224" s="49" t="str">
        <f aca="false">IF(AND($D224=客户对账单!$B$3,$B224&gt;=客户对账单!$E$3,$B224&lt;=客户对账单!$H$3),COUNTIFS($D$5:$D224,客户对账单!$B$3,$B$5:$B224,"&gt;="&amp;客户对账单!$E$3,$B$5:$B224,"&lt;="&amp;客户对账单!$H$3),"")</f>
        <v/>
      </c>
    </row>
    <row r="225" customFormat="false" ht="15.75" hidden="false" customHeight="true" outlineLevel="0" collapsed="false">
      <c r="A225" s="42" t="str">
        <f aca="false">IF($B225="","","XS"&amp;TEXT($B225,"yyyymm")&amp;"-"&amp;TEXT(ROW()-4,"000"))</f>
        <v/>
      </c>
      <c r="B225" s="41"/>
      <c r="C225" s="42" t="str">
        <f aca="false">IF($B225="","",TEXT($B225,"yyyy-mm"))</f>
        <v/>
      </c>
      <c r="D225" s="32"/>
      <c r="E225" s="36"/>
      <c r="F225" s="43"/>
      <c r="G225" s="40"/>
      <c r="H225" s="51"/>
      <c r="I225" s="33"/>
      <c r="J225" s="33"/>
      <c r="K225" s="36"/>
      <c r="L225" s="47" t="str">
        <f aca="false">IF($B225="","",IF(NOT(ISNUMBER($B225)),"日期不是日期格式",IF(YEAR($B225)&lt;&gt;首页!$B$3,"不在会计年度",IF($D225="","未选客户",IF(ISNA(MATCH($D225,基础资料!$Z$6:$Z$155,0)),"客户不在档案",IF($E225="","未选商品",IF(ISNA(MATCH($E225,基础资料!$Q$6:$Q$205,0)),"商品不在档案",IF(NOT(ISNUMBER($F225)),"数量须为数字",IF(NOT(ISNUMBER($G225)),"单价须为数字",IF(N($F225)&lt;=0,"数量须大于0",IF(AND(IFERROR(INDEX(基础资料!$V$6:$V$205,MATCH($E225,基础资料!$Q$6:$Q$205,0)),"")="是",N($R225)=0),"无成本价·请先录采购或填参考成本",IF(N($T225)&lt;0,"毛利为负·请核对","√"))))))))))))</f>
        <v/>
      </c>
      <c r="M225" s="49" t="str">
        <f aca="false">IF($E225="","",IFERROR(INDEX(基础资料!$R$6:$R$205,MATCH($E225,基础资料!$Q$6:$Q$205,0)),""))</f>
        <v/>
      </c>
      <c r="N225" s="49" t="str">
        <f aca="false">IF($E225="","",IFERROR(INDEX(基础资料!$S$6:$S$205,MATCH($E225,基础资料!$Q$6:$Q$205,0)),""))</f>
        <v/>
      </c>
      <c r="O225" s="48" t="str">
        <f aca="false">IF(OR($F225="",$G225=""),"",ROUND(N($F225)*N($G225),2))</f>
        <v/>
      </c>
      <c r="P225" s="48" t="str">
        <f aca="false">IF($O225="","",ROUND(N($O225)*N($H225),2))</f>
        <v/>
      </c>
      <c r="Q225" s="48" t="str">
        <f aca="false">IF($O225="","",N($O225)+N($P225))</f>
        <v/>
      </c>
      <c r="R225" s="48" t="str">
        <f aca="false">IF(OR($E225="",$B225=""),"",IF(IFERROR(INDEX(基础资料!$V$6:$V$205,MATCH($E225,基础资料!$Q$6:$Q$205,0)),"")&lt;&gt;"是",0,IFERROR((SUMIFS(期初数据!$T$6:$T$205,期初数据!$O$6:$O$205,$E225)+SUMIFS(采购录入!$Q$5:$Q$404,采购录入!$E$5:$E$404,$E225,采购录入!$I$5:$I$404,"是",采购录入!$B$5:$B$404,"&lt;="&amp;$B225))/(SUMIFS(期初数据!$R$6:$R$205,期初数据!$O$6:$O$205,$E225)+SUMIFS(采购录入!$F$5:$F$404,采购录入!$E$5:$E$404,$E225,采购录入!$I$5:$I$404,"是",采购录入!$B$5:$B$404,"&lt;="&amp;$B225)),IFERROR(INDEX(基础资料!$U$6:$U$205,MATCH($E225,基础资料!$Q$6:$Q$205,0)),0))))</f>
        <v/>
      </c>
      <c r="S225" s="48" t="str">
        <f aca="false">IF($O225="","",ROUND(N($F225)*N($R225),2))</f>
        <v/>
      </c>
      <c r="T225" s="48" t="str">
        <f aca="false">IF($O225="","",N($O225)-N($S225))</f>
        <v/>
      </c>
      <c r="U225" s="52" t="str">
        <f aca="false">IF(OR($B225="",$D225=""),"",$B225+N(IFERROR(INDEX(基础资料!$AB$6:$AB$155,MATCH($D225,基础资料!$Z$6:$Z$155,0)),0)))</f>
        <v/>
      </c>
      <c r="V225" s="49" t="str">
        <f aca="false">IF($O225="","","1122")</f>
        <v/>
      </c>
      <c r="W225" s="49" t="str">
        <f aca="false">IF($O225="","","6001")</f>
        <v/>
      </c>
      <c r="X225" s="48" t="str">
        <f aca="false">IF($O225="","",$O225)</f>
        <v/>
      </c>
      <c r="Y225" s="49" t="str">
        <f aca="false">IF(N($P225)=0,"","1122")</f>
        <v/>
      </c>
      <c r="Z225" s="49" t="str">
        <f aca="false">IF(N($P225)=0,"","2221")</f>
        <v/>
      </c>
      <c r="AA225" s="48" t="str">
        <f aca="false">IF(N($P225)=0,"",$P225)</f>
        <v/>
      </c>
      <c r="AB225" s="49" t="str">
        <f aca="false">IF(N($S225)=0,"","6401")</f>
        <v/>
      </c>
      <c r="AC225" s="49" t="str">
        <f aca="false">IF(N($S225)=0,"","1405")</f>
        <v/>
      </c>
      <c r="AD225" s="48" t="str">
        <f aca="false">IF(N($S225)=0,"",$S225)</f>
        <v/>
      </c>
      <c r="AE225" s="49" t="str">
        <f aca="false">IF(AND($D225=客户对账单!$B$3,$B225&gt;=客户对账单!$E$3,$B225&lt;=客户对账单!$H$3),COUNTIFS($D$5:$D225,客户对账单!$B$3,$B$5:$B225,"&gt;="&amp;客户对账单!$E$3,$B$5:$B225,"&lt;="&amp;客户对账单!$H$3),"")</f>
        <v/>
      </c>
    </row>
    <row r="226" customFormat="false" ht="15.75" hidden="false" customHeight="true" outlineLevel="0" collapsed="false">
      <c r="A226" s="42" t="str">
        <f aca="false">IF($B226="","","XS"&amp;TEXT($B226,"yyyymm")&amp;"-"&amp;TEXT(ROW()-4,"000"))</f>
        <v/>
      </c>
      <c r="B226" s="41"/>
      <c r="C226" s="42" t="str">
        <f aca="false">IF($B226="","",TEXT($B226,"yyyy-mm"))</f>
        <v/>
      </c>
      <c r="D226" s="32"/>
      <c r="E226" s="36"/>
      <c r="F226" s="43"/>
      <c r="G226" s="40"/>
      <c r="H226" s="51"/>
      <c r="I226" s="33"/>
      <c r="J226" s="33"/>
      <c r="K226" s="36"/>
      <c r="L226" s="47" t="str">
        <f aca="false">IF($B226="","",IF(NOT(ISNUMBER($B226)),"日期不是日期格式",IF(YEAR($B226)&lt;&gt;首页!$B$3,"不在会计年度",IF($D226="","未选客户",IF(ISNA(MATCH($D226,基础资料!$Z$6:$Z$155,0)),"客户不在档案",IF($E226="","未选商品",IF(ISNA(MATCH($E226,基础资料!$Q$6:$Q$205,0)),"商品不在档案",IF(NOT(ISNUMBER($F226)),"数量须为数字",IF(NOT(ISNUMBER($G226)),"单价须为数字",IF(N($F226)&lt;=0,"数量须大于0",IF(AND(IFERROR(INDEX(基础资料!$V$6:$V$205,MATCH($E226,基础资料!$Q$6:$Q$205,0)),"")="是",N($R226)=0),"无成本价·请先录采购或填参考成本",IF(N($T226)&lt;0,"毛利为负·请核对","√"))))))))))))</f>
        <v/>
      </c>
      <c r="M226" s="49" t="str">
        <f aca="false">IF($E226="","",IFERROR(INDEX(基础资料!$R$6:$R$205,MATCH($E226,基础资料!$Q$6:$Q$205,0)),""))</f>
        <v/>
      </c>
      <c r="N226" s="49" t="str">
        <f aca="false">IF($E226="","",IFERROR(INDEX(基础资料!$S$6:$S$205,MATCH($E226,基础资料!$Q$6:$Q$205,0)),""))</f>
        <v/>
      </c>
      <c r="O226" s="48" t="str">
        <f aca="false">IF(OR($F226="",$G226=""),"",ROUND(N($F226)*N($G226),2))</f>
        <v/>
      </c>
      <c r="P226" s="48" t="str">
        <f aca="false">IF($O226="","",ROUND(N($O226)*N($H226),2))</f>
        <v/>
      </c>
      <c r="Q226" s="48" t="str">
        <f aca="false">IF($O226="","",N($O226)+N($P226))</f>
        <v/>
      </c>
      <c r="R226" s="48" t="str">
        <f aca="false">IF(OR($E226="",$B226=""),"",IF(IFERROR(INDEX(基础资料!$V$6:$V$205,MATCH($E226,基础资料!$Q$6:$Q$205,0)),"")&lt;&gt;"是",0,IFERROR((SUMIFS(期初数据!$T$6:$T$205,期初数据!$O$6:$O$205,$E226)+SUMIFS(采购录入!$Q$5:$Q$404,采购录入!$E$5:$E$404,$E226,采购录入!$I$5:$I$404,"是",采购录入!$B$5:$B$404,"&lt;="&amp;$B226))/(SUMIFS(期初数据!$R$6:$R$205,期初数据!$O$6:$O$205,$E226)+SUMIFS(采购录入!$F$5:$F$404,采购录入!$E$5:$E$404,$E226,采购录入!$I$5:$I$404,"是",采购录入!$B$5:$B$404,"&lt;="&amp;$B226)),IFERROR(INDEX(基础资料!$U$6:$U$205,MATCH($E226,基础资料!$Q$6:$Q$205,0)),0))))</f>
        <v/>
      </c>
      <c r="S226" s="48" t="str">
        <f aca="false">IF($O226="","",ROUND(N($F226)*N($R226),2))</f>
        <v/>
      </c>
      <c r="T226" s="48" t="str">
        <f aca="false">IF($O226="","",N($O226)-N($S226))</f>
        <v/>
      </c>
      <c r="U226" s="52" t="str">
        <f aca="false">IF(OR($B226="",$D226=""),"",$B226+N(IFERROR(INDEX(基础资料!$AB$6:$AB$155,MATCH($D226,基础资料!$Z$6:$Z$155,0)),0)))</f>
        <v/>
      </c>
      <c r="V226" s="49" t="str">
        <f aca="false">IF($O226="","","1122")</f>
        <v/>
      </c>
      <c r="W226" s="49" t="str">
        <f aca="false">IF($O226="","","6001")</f>
        <v/>
      </c>
      <c r="X226" s="48" t="str">
        <f aca="false">IF($O226="","",$O226)</f>
        <v/>
      </c>
      <c r="Y226" s="49" t="str">
        <f aca="false">IF(N($P226)=0,"","1122")</f>
        <v/>
      </c>
      <c r="Z226" s="49" t="str">
        <f aca="false">IF(N($P226)=0,"","2221")</f>
        <v/>
      </c>
      <c r="AA226" s="48" t="str">
        <f aca="false">IF(N($P226)=0,"",$P226)</f>
        <v/>
      </c>
      <c r="AB226" s="49" t="str">
        <f aca="false">IF(N($S226)=0,"","6401")</f>
        <v/>
      </c>
      <c r="AC226" s="49" t="str">
        <f aca="false">IF(N($S226)=0,"","1405")</f>
        <v/>
      </c>
      <c r="AD226" s="48" t="str">
        <f aca="false">IF(N($S226)=0,"",$S226)</f>
        <v/>
      </c>
      <c r="AE226" s="49" t="str">
        <f aca="false">IF(AND($D226=客户对账单!$B$3,$B226&gt;=客户对账单!$E$3,$B226&lt;=客户对账单!$H$3),COUNTIFS($D$5:$D226,客户对账单!$B$3,$B$5:$B226,"&gt;="&amp;客户对账单!$E$3,$B$5:$B226,"&lt;="&amp;客户对账单!$H$3),"")</f>
        <v/>
      </c>
    </row>
    <row r="227" customFormat="false" ht="15.75" hidden="false" customHeight="true" outlineLevel="0" collapsed="false">
      <c r="A227" s="42" t="str">
        <f aca="false">IF($B227="","","XS"&amp;TEXT($B227,"yyyymm")&amp;"-"&amp;TEXT(ROW()-4,"000"))</f>
        <v/>
      </c>
      <c r="B227" s="41"/>
      <c r="C227" s="42" t="str">
        <f aca="false">IF($B227="","",TEXT($B227,"yyyy-mm"))</f>
        <v/>
      </c>
      <c r="D227" s="32"/>
      <c r="E227" s="36"/>
      <c r="F227" s="43"/>
      <c r="G227" s="40"/>
      <c r="H227" s="51"/>
      <c r="I227" s="33"/>
      <c r="J227" s="33"/>
      <c r="K227" s="36"/>
      <c r="L227" s="47" t="str">
        <f aca="false">IF($B227="","",IF(NOT(ISNUMBER($B227)),"日期不是日期格式",IF(YEAR($B227)&lt;&gt;首页!$B$3,"不在会计年度",IF($D227="","未选客户",IF(ISNA(MATCH($D227,基础资料!$Z$6:$Z$155,0)),"客户不在档案",IF($E227="","未选商品",IF(ISNA(MATCH($E227,基础资料!$Q$6:$Q$205,0)),"商品不在档案",IF(NOT(ISNUMBER($F227)),"数量须为数字",IF(NOT(ISNUMBER($G227)),"单价须为数字",IF(N($F227)&lt;=0,"数量须大于0",IF(AND(IFERROR(INDEX(基础资料!$V$6:$V$205,MATCH($E227,基础资料!$Q$6:$Q$205,0)),"")="是",N($R227)=0),"无成本价·请先录采购或填参考成本",IF(N($T227)&lt;0,"毛利为负·请核对","√"))))))))))))</f>
        <v/>
      </c>
      <c r="M227" s="49" t="str">
        <f aca="false">IF($E227="","",IFERROR(INDEX(基础资料!$R$6:$R$205,MATCH($E227,基础资料!$Q$6:$Q$205,0)),""))</f>
        <v/>
      </c>
      <c r="N227" s="49" t="str">
        <f aca="false">IF($E227="","",IFERROR(INDEX(基础资料!$S$6:$S$205,MATCH($E227,基础资料!$Q$6:$Q$205,0)),""))</f>
        <v/>
      </c>
      <c r="O227" s="48" t="str">
        <f aca="false">IF(OR($F227="",$G227=""),"",ROUND(N($F227)*N($G227),2))</f>
        <v/>
      </c>
      <c r="P227" s="48" t="str">
        <f aca="false">IF($O227="","",ROUND(N($O227)*N($H227),2))</f>
        <v/>
      </c>
      <c r="Q227" s="48" t="str">
        <f aca="false">IF($O227="","",N($O227)+N($P227))</f>
        <v/>
      </c>
      <c r="R227" s="48" t="str">
        <f aca="false">IF(OR($E227="",$B227=""),"",IF(IFERROR(INDEX(基础资料!$V$6:$V$205,MATCH($E227,基础资料!$Q$6:$Q$205,0)),"")&lt;&gt;"是",0,IFERROR((SUMIFS(期初数据!$T$6:$T$205,期初数据!$O$6:$O$205,$E227)+SUMIFS(采购录入!$Q$5:$Q$404,采购录入!$E$5:$E$404,$E227,采购录入!$I$5:$I$404,"是",采购录入!$B$5:$B$404,"&lt;="&amp;$B227))/(SUMIFS(期初数据!$R$6:$R$205,期初数据!$O$6:$O$205,$E227)+SUMIFS(采购录入!$F$5:$F$404,采购录入!$E$5:$E$404,$E227,采购录入!$I$5:$I$404,"是",采购录入!$B$5:$B$404,"&lt;="&amp;$B227)),IFERROR(INDEX(基础资料!$U$6:$U$205,MATCH($E227,基础资料!$Q$6:$Q$205,0)),0))))</f>
        <v/>
      </c>
      <c r="S227" s="48" t="str">
        <f aca="false">IF($O227="","",ROUND(N($F227)*N($R227),2))</f>
        <v/>
      </c>
      <c r="T227" s="48" t="str">
        <f aca="false">IF($O227="","",N($O227)-N($S227))</f>
        <v/>
      </c>
      <c r="U227" s="52" t="str">
        <f aca="false">IF(OR($B227="",$D227=""),"",$B227+N(IFERROR(INDEX(基础资料!$AB$6:$AB$155,MATCH($D227,基础资料!$Z$6:$Z$155,0)),0)))</f>
        <v/>
      </c>
      <c r="V227" s="49" t="str">
        <f aca="false">IF($O227="","","1122")</f>
        <v/>
      </c>
      <c r="W227" s="49" t="str">
        <f aca="false">IF($O227="","","6001")</f>
        <v/>
      </c>
      <c r="X227" s="48" t="str">
        <f aca="false">IF($O227="","",$O227)</f>
        <v/>
      </c>
      <c r="Y227" s="49" t="str">
        <f aca="false">IF(N($P227)=0,"","1122")</f>
        <v/>
      </c>
      <c r="Z227" s="49" t="str">
        <f aca="false">IF(N($P227)=0,"","2221")</f>
        <v/>
      </c>
      <c r="AA227" s="48" t="str">
        <f aca="false">IF(N($P227)=0,"",$P227)</f>
        <v/>
      </c>
      <c r="AB227" s="49" t="str">
        <f aca="false">IF(N($S227)=0,"","6401")</f>
        <v/>
      </c>
      <c r="AC227" s="49" t="str">
        <f aca="false">IF(N($S227)=0,"","1405")</f>
        <v/>
      </c>
      <c r="AD227" s="48" t="str">
        <f aca="false">IF(N($S227)=0,"",$S227)</f>
        <v/>
      </c>
      <c r="AE227" s="49" t="str">
        <f aca="false">IF(AND($D227=客户对账单!$B$3,$B227&gt;=客户对账单!$E$3,$B227&lt;=客户对账单!$H$3),COUNTIFS($D$5:$D227,客户对账单!$B$3,$B$5:$B227,"&gt;="&amp;客户对账单!$E$3,$B$5:$B227,"&lt;="&amp;客户对账单!$H$3),"")</f>
        <v/>
      </c>
    </row>
    <row r="228" customFormat="false" ht="15.75" hidden="false" customHeight="true" outlineLevel="0" collapsed="false">
      <c r="A228" s="42" t="str">
        <f aca="false">IF($B228="","","XS"&amp;TEXT($B228,"yyyymm")&amp;"-"&amp;TEXT(ROW()-4,"000"))</f>
        <v/>
      </c>
      <c r="B228" s="41"/>
      <c r="C228" s="42" t="str">
        <f aca="false">IF($B228="","",TEXT($B228,"yyyy-mm"))</f>
        <v/>
      </c>
      <c r="D228" s="32"/>
      <c r="E228" s="36"/>
      <c r="F228" s="43"/>
      <c r="G228" s="40"/>
      <c r="H228" s="51"/>
      <c r="I228" s="33"/>
      <c r="J228" s="33"/>
      <c r="K228" s="36"/>
      <c r="L228" s="47" t="str">
        <f aca="false">IF($B228="","",IF(NOT(ISNUMBER($B228)),"日期不是日期格式",IF(YEAR($B228)&lt;&gt;首页!$B$3,"不在会计年度",IF($D228="","未选客户",IF(ISNA(MATCH($D228,基础资料!$Z$6:$Z$155,0)),"客户不在档案",IF($E228="","未选商品",IF(ISNA(MATCH($E228,基础资料!$Q$6:$Q$205,0)),"商品不在档案",IF(NOT(ISNUMBER($F228)),"数量须为数字",IF(NOT(ISNUMBER($G228)),"单价须为数字",IF(N($F228)&lt;=0,"数量须大于0",IF(AND(IFERROR(INDEX(基础资料!$V$6:$V$205,MATCH($E228,基础资料!$Q$6:$Q$205,0)),"")="是",N($R228)=0),"无成本价·请先录采购或填参考成本",IF(N($T228)&lt;0,"毛利为负·请核对","√"))))))))))))</f>
        <v/>
      </c>
      <c r="M228" s="49" t="str">
        <f aca="false">IF($E228="","",IFERROR(INDEX(基础资料!$R$6:$R$205,MATCH($E228,基础资料!$Q$6:$Q$205,0)),""))</f>
        <v/>
      </c>
      <c r="N228" s="49" t="str">
        <f aca="false">IF($E228="","",IFERROR(INDEX(基础资料!$S$6:$S$205,MATCH($E228,基础资料!$Q$6:$Q$205,0)),""))</f>
        <v/>
      </c>
      <c r="O228" s="48" t="str">
        <f aca="false">IF(OR($F228="",$G228=""),"",ROUND(N($F228)*N($G228),2))</f>
        <v/>
      </c>
      <c r="P228" s="48" t="str">
        <f aca="false">IF($O228="","",ROUND(N($O228)*N($H228),2))</f>
        <v/>
      </c>
      <c r="Q228" s="48" t="str">
        <f aca="false">IF($O228="","",N($O228)+N($P228))</f>
        <v/>
      </c>
      <c r="R228" s="48" t="str">
        <f aca="false">IF(OR($E228="",$B228=""),"",IF(IFERROR(INDEX(基础资料!$V$6:$V$205,MATCH($E228,基础资料!$Q$6:$Q$205,0)),"")&lt;&gt;"是",0,IFERROR((SUMIFS(期初数据!$T$6:$T$205,期初数据!$O$6:$O$205,$E228)+SUMIFS(采购录入!$Q$5:$Q$404,采购录入!$E$5:$E$404,$E228,采购录入!$I$5:$I$404,"是",采购录入!$B$5:$B$404,"&lt;="&amp;$B228))/(SUMIFS(期初数据!$R$6:$R$205,期初数据!$O$6:$O$205,$E228)+SUMIFS(采购录入!$F$5:$F$404,采购录入!$E$5:$E$404,$E228,采购录入!$I$5:$I$404,"是",采购录入!$B$5:$B$404,"&lt;="&amp;$B228)),IFERROR(INDEX(基础资料!$U$6:$U$205,MATCH($E228,基础资料!$Q$6:$Q$205,0)),0))))</f>
        <v/>
      </c>
      <c r="S228" s="48" t="str">
        <f aca="false">IF($O228="","",ROUND(N($F228)*N($R228),2))</f>
        <v/>
      </c>
      <c r="T228" s="48" t="str">
        <f aca="false">IF($O228="","",N($O228)-N($S228))</f>
        <v/>
      </c>
      <c r="U228" s="52" t="str">
        <f aca="false">IF(OR($B228="",$D228=""),"",$B228+N(IFERROR(INDEX(基础资料!$AB$6:$AB$155,MATCH($D228,基础资料!$Z$6:$Z$155,0)),0)))</f>
        <v/>
      </c>
      <c r="V228" s="49" t="str">
        <f aca="false">IF($O228="","","1122")</f>
        <v/>
      </c>
      <c r="W228" s="49" t="str">
        <f aca="false">IF($O228="","","6001")</f>
        <v/>
      </c>
      <c r="X228" s="48" t="str">
        <f aca="false">IF($O228="","",$O228)</f>
        <v/>
      </c>
      <c r="Y228" s="49" t="str">
        <f aca="false">IF(N($P228)=0,"","1122")</f>
        <v/>
      </c>
      <c r="Z228" s="49" t="str">
        <f aca="false">IF(N($P228)=0,"","2221")</f>
        <v/>
      </c>
      <c r="AA228" s="48" t="str">
        <f aca="false">IF(N($P228)=0,"",$P228)</f>
        <v/>
      </c>
      <c r="AB228" s="49" t="str">
        <f aca="false">IF(N($S228)=0,"","6401")</f>
        <v/>
      </c>
      <c r="AC228" s="49" t="str">
        <f aca="false">IF(N($S228)=0,"","1405")</f>
        <v/>
      </c>
      <c r="AD228" s="48" t="str">
        <f aca="false">IF(N($S228)=0,"",$S228)</f>
        <v/>
      </c>
      <c r="AE228" s="49" t="str">
        <f aca="false">IF(AND($D228=客户对账单!$B$3,$B228&gt;=客户对账单!$E$3,$B228&lt;=客户对账单!$H$3),COUNTIFS($D$5:$D228,客户对账单!$B$3,$B$5:$B228,"&gt;="&amp;客户对账单!$E$3,$B$5:$B228,"&lt;="&amp;客户对账单!$H$3),"")</f>
        <v/>
      </c>
    </row>
    <row r="229" customFormat="false" ht="15.75" hidden="false" customHeight="true" outlineLevel="0" collapsed="false">
      <c r="A229" s="42" t="str">
        <f aca="false">IF($B229="","","XS"&amp;TEXT($B229,"yyyymm")&amp;"-"&amp;TEXT(ROW()-4,"000"))</f>
        <v/>
      </c>
      <c r="B229" s="41"/>
      <c r="C229" s="42" t="str">
        <f aca="false">IF($B229="","",TEXT($B229,"yyyy-mm"))</f>
        <v/>
      </c>
      <c r="D229" s="32"/>
      <c r="E229" s="36"/>
      <c r="F229" s="43"/>
      <c r="G229" s="40"/>
      <c r="H229" s="51"/>
      <c r="I229" s="33"/>
      <c r="J229" s="33"/>
      <c r="K229" s="36"/>
      <c r="L229" s="47" t="str">
        <f aca="false">IF($B229="","",IF(NOT(ISNUMBER($B229)),"日期不是日期格式",IF(YEAR($B229)&lt;&gt;首页!$B$3,"不在会计年度",IF($D229="","未选客户",IF(ISNA(MATCH($D229,基础资料!$Z$6:$Z$155,0)),"客户不在档案",IF($E229="","未选商品",IF(ISNA(MATCH($E229,基础资料!$Q$6:$Q$205,0)),"商品不在档案",IF(NOT(ISNUMBER($F229)),"数量须为数字",IF(NOT(ISNUMBER($G229)),"单价须为数字",IF(N($F229)&lt;=0,"数量须大于0",IF(AND(IFERROR(INDEX(基础资料!$V$6:$V$205,MATCH($E229,基础资料!$Q$6:$Q$205,0)),"")="是",N($R229)=0),"无成本价·请先录采购或填参考成本",IF(N($T229)&lt;0,"毛利为负·请核对","√"))))))))))))</f>
        <v/>
      </c>
      <c r="M229" s="49" t="str">
        <f aca="false">IF($E229="","",IFERROR(INDEX(基础资料!$R$6:$R$205,MATCH($E229,基础资料!$Q$6:$Q$205,0)),""))</f>
        <v/>
      </c>
      <c r="N229" s="49" t="str">
        <f aca="false">IF($E229="","",IFERROR(INDEX(基础资料!$S$6:$S$205,MATCH($E229,基础资料!$Q$6:$Q$205,0)),""))</f>
        <v/>
      </c>
      <c r="O229" s="48" t="str">
        <f aca="false">IF(OR($F229="",$G229=""),"",ROUND(N($F229)*N($G229),2))</f>
        <v/>
      </c>
      <c r="P229" s="48" t="str">
        <f aca="false">IF($O229="","",ROUND(N($O229)*N($H229),2))</f>
        <v/>
      </c>
      <c r="Q229" s="48" t="str">
        <f aca="false">IF($O229="","",N($O229)+N($P229))</f>
        <v/>
      </c>
      <c r="R229" s="48" t="str">
        <f aca="false">IF(OR($E229="",$B229=""),"",IF(IFERROR(INDEX(基础资料!$V$6:$V$205,MATCH($E229,基础资料!$Q$6:$Q$205,0)),"")&lt;&gt;"是",0,IFERROR((SUMIFS(期初数据!$T$6:$T$205,期初数据!$O$6:$O$205,$E229)+SUMIFS(采购录入!$Q$5:$Q$404,采购录入!$E$5:$E$404,$E229,采购录入!$I$5:$I$404,"是",采购录入!$B$5:$B$404,"&lt;="&amp;$B229))/(SUMIFS(期初数据!$R$6:$R$205,期初数据!$O$6:$O$205,$E229)+SUMIFS(采购录入!$F$5:$F$404,采购录入!$E$5:$E$404,$E229,采购录入!$I$5:$I$404,"是",采购录入!$B$5:$B$404,"&lt;="&amp;$B229)),IFERROR(INDEX(基础资料!$U$6:$U$205,MATCH($E229,基础资料!$Q$6:$Q$205,0)),0))))</f>
        <v/>
      </c>
      <c r="S229" s="48" t="str">
        <f aca="false">IF($O229="","",ROUND(N($F229)*N($R229),2))</f>
        <v/>
      </c>
      <c r="T229" s="48" t="str">
        <f aca="false">IF($O229="","",N($O229)-N($S229))</f>
        <v/>
      </c>
      <c r="U229" s="52" t="str">
        <f aca="false">IF(OR($B229="",$D229=""),"",$B229+N(IFERROR(INDEX(基础资料!$AB$6:$AB$155,MATCH($D229,基础资料!$Z$6:$Z$155,0)),0)))</f>
        <v/>
      </c>
      <c r="V229" s="49" t="str">
        <f aca="false">IF($O229="","","1122")</f>
        <v/>
      </c>
      <c r="W229" s="49" t="str">
        <f aca="false">IF($O229="","","6001")</f>
        <v/>
      </c>
      <c r="X229" s="48" t="str">
        <f aca="false">IF($O229="","",$O229)</f>
        <v/>
      </c>
      <c r="Y229" s="49" t="str">
        <f aca="false">IF(N($P229)=0,"","1122")</f>
        <v/>
      </c>
      <c r="Z229" s="49" t="str">
        <f aca="false">IF(N($P229)=0,"","2221")</f>
        <v/>
      </c>
      <c r="AA229" s="48" t="str">
        <f aca="false">IF(N($P229)=0,"",$P229)</f>
        <v/>
      </c>
      <c r="AB229" s="49" t="str">
        <f aca="false">IF(N($S229)=0,"","6401")</f>
        <v/>
      </c>
      <c r="AC229" s="49" t="str">
        <f aca="false">IF(N($S229)=0,"","1405")</f>
        <v/>
      </c>
      <c r="AD229" s="48" t="str">
        <f aca="false">IF(N($S229)=0,"",$S229)</f>
        <v/>
      </c>
      <c r="AE229" s="49" t="str">
        <f aca="false">IF(AND($D229=客户对账单!$B$3,$B229&gt;=客户对账单!$E$3,$B229&lt;=客户对账单!$H$3),COUNTIFS($D$5:$D229,客户对账单!$B$3,$B$5:$B229,"&gt;="&amp;客户对账单!$E$3,$B$5:$B229,"&lt;="&amp;客户对账单!$H$3),"")</f>
        <v/>
      </c>
    </row>
    <row r="230" customFormat="false" ht="15.75" hidden="false" customHeight="true" outlineLevel="0" collapsed="false">
      <c r="A230" s="42" t="str">
        <f aca="false">IF($B230="","","XS"&amp;TEXT($B230,"yyyymm")&amp;"-"&amp;TEXT(ROW()-4,"000"))</f>
        <v/>
      </c>
      <c r="B230" s="41"/>
      <c r="C230" s="42" t="str">
        <f aca="false">IF($B230="","",TEXT($B230,"yyyy-mm"))</f>
        <v/>
      </c>
      <c r="D230" s="32"/>
      <c r="E230" s="36"/>
      <c r="F230" s="43"/>
      <c r="G230" s="40"/>
      <c r="H230" s="51"/>
      <c r="I230" s="33"/>
      <c r="J230" s="33"/>
      <c r="K230" s="36"/>
      <c r="L230" s="47" t="str">
        <f aca="false">IF($B230="","",IF(NOT(ISNUMBER($B230)),"日期不是日期格式",IF(YEAR($B230)&lt;&gt;首页!$B$3,"不在会计年度",IF($D230="","未选客户",IF(ISNA(MATCH($D230,基础资料!$Z$6:$Z$155,0)),"客户不在档案",IF($E230="","未选商品",IF(ISNA(MATCH($E230,基础资料!$Q$6:$Q$205,0)),"商品不在档案",IF(NOT(ISNUMBER($F230)),"数量须为数字",IF(NOT(ISNUMBER($G230)),"单价须为数字",IF(N($F230)&lt;=0,"数量须大于0",IF(AND(IFERROR(INDEX(基础资料!$V$6:$V$205,MATCH($E230,基础资料!$Q$6:$Q$205,0)),"")="是",N($R230)=0),"无成本价·请先录采购或填参考成本",IF(N($T230)&lt;0,"毛利为负·请核对","√"))))))))))))</f>
        <v/>
      </c>
      <c r="M230" s="49" t="str">
        <f aca="false">IF($E230="","",IFERROR(INDEX(基础资料!$R$6:$R$205,MATCH($E230,基础资料!$Q$6:$Q$205,0)),""))</f>
        <v/>
      </c>
      <c r="N230" s="49" t="str">
        <f aca="false">IF($E230="","",IFERROR(INDEX(基础资料!$S$6:$S$205,MATCH($E230,基础资料!$Q$6:$Q$205,0)),""))</f>
        <v/>
      </c>
      <c r="O230" s="48" t="str">
        <f aca="false">IF(OR($F230="",$G230=""),"",ROUND(N($F230)*N($G230),2))</f>
        <v/>
      </c>
      <c r="P230" s="48" t="str">
        <f aca="false">IF($O230="","",ROUND(N($O230)*N($H230),2))</f>
        <v/>
      </c>
      <c r="Q230" s="48" t="str">
        <f aca="false">IF($O230="","",N($O230)+N($P230))</f>
        <v/>
      </c>
      <c r="R230" s="48" t="str">
        <f aca="false">IF(OR($E230="",$B230=""),"",IF(IFERROR(INDEX(基础资料!$V$6:$V$205,MATCH($E230,基础资料!$Q$6:$Q$205,0)),"")&lt;&gt;"是",0,IFERROR((SUMIFS(期初数据!$T$6:$T$205,期初数据!$O$6:$O$205,$E230)+SUMIFS(采购录入!$Q$5:$Q$404,采购录入!$E$5:$E$404,$E230,采购录入!$I$5:$I$404,"是",采购录入!$B$5:$B$404,"&lt;="&amp;$B230))/(SUMIFS(期初数据!$R$6:$R$205,期初数据!$O$6:$O$205,$E230)+SUMIFS(采购录入!$F$5:$F$404,采购录入!$E$5:$E$404,$E230,采购录入!$I$5:$I$404,"是",采购录入!$B$5:$B$404,"&lt;="&amp;$B230)),IFERROR(INDEX(基础资料!$U$6:$U$205,MATCH($E230,基础资料!$Q$6:$Q$205,0)),0))))</f>
        <v/>
      </c>
      <c r="S230" s="48" t="str">
        <f aca="false">IF($O230="","",ROUND(N($F230)*N($R230),2))</f>
        <v/>
      </c>
      <c r="T230" s="48" t="str">
        <f aca="false">IF($O230="","",N($O230)-N($S230))</f>
        <v/>
      </c>
      <c r="U230" s="52" t="str">
        <f aca="false">IF(OR($B230="",$D230=""),"",$B230+N(IFERROR(INDEX(基础资料!$AB$6:$AB$155,MATCH($D230,基础资料!$Z$6:$Z$155,0)),0)))</f>
        <v/>
      </c>
      <c r="V230" s="49" t="str">
        <f aca="false">IF($O230="","","1122")</f>
        <v/>
      </c>
      <c r="W230" s="49" t="str">
        <f aca="false">IF($O230="","","6001")</f>
        <v/>
      </c>
      <c r="X230" s="48" t="str">
        <f aca="false">IF($O230="","",$O230)</f>
        <v/>
      </c>
      <c r="Y230" s="49" t="str">
        <f aca="false">IF(N($P230)=0,"","1122")</f>
        <v/>
      </c>
      <c r="Z230" s="49" t="str">
        <f aca="false">IF(N($P230)=0,"","2221")</f>
        <v/>
      </c>
      <c r="AA230" s="48" t="str">
        <f aca="false">IF(N($P230)=0,"",$P230)</f>
        <v/>
      </c>
      <c r="AB230" s="49" t="str">
        <f aca="false">IF(N($S230)=0,"","6401")</f>
        <v/>
      </c>
      <c r="AC230" s="49" t="str">
        <f aca="false">IF(N($S230)=0,"","1405")</f>
        <v/>
      </c>
      <c r="AD230" s="48" t="str">
        <f aca="false">IF(N($S230)=0,"",$S230)</f>
        <v/>
      </c>
      <c r="AE230" s="49" t="str">
        <f aca="false">IF(AND($D230=客户对账单!$B$3,$B230&gt;=客户对账单!$E$3,$B230&lt;=客户对账单!$H$3),COUNTIFS($D$5:$D230,客户对账单!$B$3,$B$5:$B230,"&gt;="&amp;客户对账单!$E$3,$B$5:$B230,"&lt;="&amp;客户对账单!$H$3),"")</f>
        <v/>
      </c>
    </row>
    <row r="231" customFormat="false" ht="15.75" hidden="false" customHeight="true" outlineLevel="0" collapsed="false">
      <c r="A231" s="42" t="str">
        <f aca="false">IF($B231="","","XS"&amp;TEXT($B231,"yyyymm")&amp;"-"&amp;TEXT(ROW()-4,"000"))</f>
        <v/>
      </c>
      <c r="B231" s="41"/>
      <c r="C231" s="42" t="str">
        <f aca="false">IF($B231="","",TEXT($B231,"yyyy-mm"))</f>
        <v/>
      </c>
      <c r="D231" s="32"/>
      <c r="E231" s="36"/>
      <c r="F231" s="43"/>
      <c r="G231" s="40"/>
      <c r="H231" s="51"/>
      <c r="I231" s="33"/>
      <c r="J231" s="33"/>
      <c r="K231" s="36"/>
      <c r="L231" s="47" t="str">
        <f aca="false">IF($B231="","",IF(NOT(ISNUMBER($B231)),"日期不是日期格式",IF(YEAR($B231)&lt;&gt;首页!$B$3,"不在会计年度",IF($D231="","未选客户",IF(ISNA(MATCH($D231,基础资料!$Z$6:$Z$155,0)),"客户不在档案",IF($E231="","未选商品",IF(ISNA(MATCH($E231,基础资料!$Q$6:$Q$205,0)),"商品不在档案",IF(NOT(ISNUMBER($F231)),"数量须为数字",IF(NOT(ISNUMBER($G231)),"单价须为数字",IF(N($F231)&lt;=0,"数量须大于0",IF(AND(IFERROR(INDEX(基础资料!$V$6:$V$205,MATCH($E231,基础资料!$Q$6:$Q$205,0)),"")="是",N($R231)=0),"无成本价·请先录采购或填参考成本",IF(N($T231)&lt;0,"毛利为负·请核对","√"))))))))))))</f>
        <v/>
      </c>
      <c r="M231" s="49" t="str">
        <f aca="false">IF($E231="","",IFERROR(INDEX(基础资料!$R$6:$R$205,MATCH($E231,基础资料!$Q$6:$Q$205,0)),""))</f>
        <v/>
      </c>
      <c r="N231" s="49" t="str">
        <f aca="false">IF($E231="","",IFERROR(INDEX(基础资料!$S$6:$S$205,MATCH($E231,基础资料!$Q$6:$Q$205,0)),""))</f>
        <v/>
      </c>
      <c r="O231" s="48" t="str">
        <f aca="false">IF(OR($F231="",$G231=""),"",ROUND(N($F231)*N($G231),2))</f>
        <v/>
      </c>
      <c r="P231" s="48" t="str">
        <f aca="false">IF($O231="","",ROUND(N($O231)*N($H231),2))</f>
        <v/>
      </c>
      <c r="Q231" s="48" t="str">
        <f aca="false">IF($O231="","",N($O231)+N($P231))</f>
        <v/>
      </c>
      <c r="R231" s="48" t="str">
        <f aca="false">IF(OR($E231="",$B231=""),"",IF(IFERROR(INDEX(基础资料!$V$6:$V$205,MATCH($E231,基础资料!$Q$6:$Q$205,0)),"")&lt;&gt;"是",0,IFERROR((SUMIFS(期初数据!$T$6:$T$205,期初数据!$O$6:$O$205,$E231)+SUMIFS(采购录入!$Q$5:$Q$404,采购录入!$E$5:$E$404,$E231,采购录入!$I$5:$I$404,"是",采购录入!$B$5:$B$404,"&lt;="&amp;$B231))/(SUMIFS(期初数据!$R$6:$R$205,期初数据!$O$6:$O$205,$E231)+SUMIFS(采购录入!$F$5:$F$404,采购录入!$E$5:$E$404,$E231,采购录入!$I$5:$I$404,"是",采购录入!$B$5:$B$404,"&lt;="&amp;$B231)),IFERROR(INDEX(基础资料!$U$6:$U$205,MATCH($E231,基础资料!$Q$6:$Q$205,0)),0))))</f>
        <v/>
      </c>
      <c r="S231" s="48" t="str">
        <f aca="false">IF($O231="","",ROUND(N($F231)*N($R231),2))</f>
        <v/>
      </c>
      <c r="T231" s="48" t="str">
        <f aca="false">IF($O231="","",N($O231)-N($S231))</f>
        <v/>
      </c>
      <c r="U231" s="52" t="str">
        <f aca="false">IF(OR($B231="",$D231=""),"",$B231+N(IFERROR(INDEX(基础资料!$AB$6:$AB$155,MATCH($D231,基础资料!$Z$6:$Z$155,0)),0)))</f>
        <v/>
      </c>
      <c r="V231" s="49" t="str">
        <f aca="false">IF($O231="","","1122")</f>
        <v/>
      </c>
      <c r="W231" s="49" t="str">
        <f aca="false">IF($O231="","","6001")</f>
        <v/>
      </c>
      <c r="X231" s="48" t="str">
        <f aca="false">IF($O231="","",$O231)</f>
        <v/>
      </c>
      <c r="Y231" s="49" t="str">
        <f aca="false">IF(N($P231)=0,"","1122")</f>
        <v/>
      </c>
      <c r="Z231" s="49" t="str">
        <f aca="false">IF(N($P231)=0,"","2221")</f>
        <v/>
      </c>
      <c r="AA231" s="48" t="str">
        <f aca="false">IF(N($P231)=0,"",$P231)</f>
        <v/>
      </c>
      <c r="AB231" s="49" t="str">
        <f aca="false">IF(N($S231)=0,"","6401")</f>
        <v/>
      </c>
      <c r="AC231" s="49" t="str">
        <f aca="false">IF(N($S231)=0,"","1405")</f>
        <v/>
      </c>
      <c r="AD231" s="48" t="str">
        <f aca="false">IF(N($S231)=0,"",$S231)</f>
        <v/>
      </c>
      <c r="AE231" s="49" t="str">
        <f aca="false">IF(AND($D231=客户对账单!$B$3,$B231&gt;=客户对账单!$E$3,$B231&lt;=客户对账单!$H$3),COUNTIFS($D$5:$D231,客户对账单!$B$3,$B$5:$B231,"&gt;="&amp;客户对账单!$E$3,$B$5:$B231,"&lt;="&amp;客户对账单!$H$3),"")</f>
        <v/>
      </c>
    </row>
    <row r="232" customFormat="false" ht="15.75" hidden="false" customHeight="true" outlineLevel="0" collapsed="false">
      <c r="A232" s="42" t="str">
        <f aca="false">IF($B232="","","XS"&amp;TEXT($B232,"yyyymm")&amp;"-"&amp;TEXT(ROW()-4,"000"))</f>
        <v/>
      </c>
      <c r="B232" s="41"/>
      <c r="C232" s="42" t="str">
        <f aca="false">IF($B232="","",TEXT($B232,"yyyy-mm"))</f>
        <v/>
      </c>
      <c r="D232" s="32"/>
      <c r="E232" s="36"/>
      <c r="F232" s="43"/>
      <c r="G232" s="40"/>
      <c r="H232" s="51"/>
      <c r="I232" s="33"/>
      <c r="J232" s="33"/>
      <c r="K232" s="36"/>
      <c r="L232" s="47" t="str">
        <f aca="false">IF($B232="","",IF(NOT(ISNUMBER($B232)),"日期不是日期格式",IF(YEAR($B232)&lt;&gt;首页!$B$3,"不在会计年度",IF($D232="","未选客户",IF(ISNA(MATCH($D232,基础资料!$Z$6:$Z$155,0)),"客户不在档案",IF($E232="","未选商品",IF(ISNA(MATCH($E232,基础资料!$Q$6:$Q$205,0)),"商品不在档案",IF(NOT(ISNUMBER($F232)),"数量须为数字",IF(NOT(ISNUMBER($G232)),"单价须为数字",IF(N($F232)&lt;=0,"数量须大于0",IF(AND(IFERROR(INDEX(基础资料!$V$6:$V$205,MATCH($E232,基础资料!$Q$6:$Q$205,0)),"")="是",N($R232)=0),"无成本价·请先录采购或填参考成本",IF(N($T232)&lt;0,"毛利为负·请核对","√"))))))))))))</f>
        <v/>
      </c>
      <c r="M232" s="49" t="str">
        <f aca="false">IF($E232="","",IFERROR(INDEX(基础资料!$R$6:$R$205,MATCH($E232,基础资料!$Q$6:$Q$205,0)),""))</f>
        <v/>
      </c>
      <c r="N232" s="49" t="str">
        <f aca="false">IF($E232="","",IFERROR(INDEX(基础资料!$S$6:$S$205,MATCH($E232,基础资料!$Q$6:$Q$205,0)),""))</f>
        <v/>
      </c>
      <c r="O232" s="48" t="str">
        <f aca="false">IF(OR($F232="",$G232=""),"",ROUND(N($F232)*N($G232),2))</f>
        <v/>
      </c>
      <c r="P232" s="48" t="str">
        <f aca="false">IF($O232="","",ROUND(N($O232)*N($H232),2))</f>
        <v/>
      </c>
      <c r="Q232" s="48" t="str">
        <f aca="false">IF($O232="","",N($O232)+N($P232))</f>
        <v/>
      </c>
      <c r="R232" s="48" t="str">
        <f aca="false">IF(OR($E232="",$B232=""),"",IF(IFERROR(INDEX(基础资料!$V$6:$V$205,MATCH($E232,基础资料!$Q$6:$Q$205,0)),"")&lt;&gt;"是",0,IFERROR((SUMIFS(期初数据!$T$6:$T$205,期初数据!$O$6:$O$205,$E232)+SUMIFS(采购录入!$Q$5:$Q$404,采购录入!$E$5:$E$404,$E232,采购录入!$I$5:$I$404,"是",采购录入!$B$5:$B$404,"&lt;="&amp;$B232))/(SUMIFS(期初数据!$R$6:$R$205,期初数据!$O$6:$O$205,$E232)+SUMIFS(采购录入!$F$5:$F$404,采购录入!$E$5:$E$404,$E232,采购录入!$I$5:$I$404,"是",采购录入!$B$5:$B$404,"&lt;="&amp;$B232)),IFERROR(INDEX(基础资料!$U$6:$U$205,MATCH($E232,基础资料!$Q$6:$Q$205,0)),0))))</f>
        <v/>
      </c>
      <c r="S232" s="48" t="str">
        <f aca="false">IF($O232="","",ROUND(N($F232)*N($R232),2))</f>
        <v/>
      </c>
      <c r="T232" s="48" t="str">
        <f aca="false">IF($O232="","",N($O232)-N($S232))</f>
        <v/>
      </c>
      <c r="U232" s="52" t="str">
        <f aca="false">IF(OR($B232="",$D232=""),"",$B232+N(IFERROR(INDEX(基础资料!$AB$6:$AB$155,MATCH($D232,基础资料!$Z$6:$Z$155,0)),0)))</f>
        <v/>
      </c>
      <c r="V232" s="49" t="str">
        <f aca="false">IF($O232="","","1122")</f>
        <v/>
      </c>
      <c r="W232" s="49" t="str">
        <f aca="false">IF($O232="","","6001")</f>
        <v/>
      </c>
      <c r="X232" s="48" t="str">
        <f aca="false">IF($O232="","",$O232)</f>
        <v/>
      </c>
      <c r="Y232" s="49" t="str">
        <f aca="false">IF(N($P232)=0,"","1122")</f>
        <v/>
      </c>
      <c r="Z232" s="49" t="str">
        <f aca="false">IF(N($P232)=0,"","2221")</f>
        <v/>
      </c>
      <c r="AA232" s="48" t="str">
        <f aca="false">IF(N($P232)=0,"",$P232)</f>
        <v/>
      </c>
      <c r="AB232" s="49" t="str">
        <f aca="false">IF(N($S232)=0,"","6401")</f>
        <v/>
      </c>
      <c r="AC232" s="49" t="str">
        <f aca="false">IF(N($S232)=0,"","1405")</f>
        <v/>
      </c>
      <c r="AD232" s="48" t="str">
        <f aca="false">IF(N($S232)=0,"",$S232)</f>
        <v/>
      </c>
      <c r="AE232" s="49" t="str">
        <f aca="false">IF(AND($D232=客户对账单!$B$3,$B232&gt;=客户对账单!$E$3,$B232&lt;=客户对账单!$H$3),COUNTIFS($D$5:$D232,客户对账单!$B$3,$B$5:$B232,"&gt;="&amp;客户对账单!$E$3,$B$5:$B232,"&lt;="&amp;客户对账单!$H$3),"")</f>
        <v/>
      </c>
    </row>
    <row r="233" customFormat="false" ht="15.75" hidden="false" customHeight="true" outlineLevel="0" collapsed="false">
      <c r="A233" s="42" t="str">
        <f aca="false">IF($B233="","","XS"&amp;TEXT($B233,"yyyymm")&amp;"-"&amp;TEXT(ROW()-4,"000"))</f>
        <v/>
      </c>
      <c r="B233" s="41"/>
      <c r="C233" s="42" t="str">
        <f aca="false">IF($B233="","",TEXT($B233,"yyyy-mm"))</f>
        <v/>
      </c>
      <c r="D233" s="32"/>
      <c r="E233" s="36"/>
      <c r="F233" s="43"/>
      <c r="G233" s="40"/>
      <c r="H233" s="51"/>
      <c r="I233" s="33"/>
      <c r="J233" s="33"/>
      <c r="K233" s="36"/>
      <c r="L233" s="47" t="str">
        <f aca="false">IF($B233="","",IF(NOT(ISNUMBER($B233)),"日期不是日期格式",IF(YEAR($B233)&lt;&gt;首页!$B$3,"不在会计年度",IF($D233="","未选客户",IF(ISNA(MATCH($D233,基础资料!$Z$6:$Z$155,0)),"客户不在档案",IF($E233="","未选商品",IF(ISNA(MATCH($E233,基础资料!$Q$6:$Q$205,0)),"商品不在档案",IF(NOT(ISNUMBER($F233)),"数量须为数字",IF(NOT(ISNUMBER($G233)),"单价须为数字",IF(N($F233)&lt;=0,"数量须大于0",IF(AND(IFERROR(INDEX(基础资料!$V$6:$V$205,MATCH($E233,基础资料!$Q$6:$Q$205,0)),"")="是",N($R233)=0),"无成本价·请先录采购或填参考成本",IF(N($T233)&lt;0,"毛利为负·请核对","√"))))))))))))</f>
        <v/>
      </c>
      <c r="M233" s="49" t="str">
        <f aca="false">IF($E233="","",IFERROR(INDEX(基础资料!$R$6:$R$205,MATCH($E233,基础资料!$Q$6:$Q$205,0)),""))</f>
        <v/>
      </c>
      <c r="N233" s="49" t="str">
        <f aca="false">IF($E233="","",IFERROR(INDEX(基础资料!$S$6:$S$205,MATCH($E233,基础资料!$Q$6:$Q$205,0)),""))</f>
        <v/>
      </c>
      <c r="O233" s="48" t="str">
        <f aca="false">IF(OR($F233="",$G233=""),"",ROUND(N($F233)*N($G233),2))</f>
        <v/>
      </c>
      <c r="P233" s="48" t="str">
        <f aca="false">IF($O233="","",ROUND(N($O233)*N($H233),2))</f>
        <v/>
      </c>
      <c r="Q233" s="48" t="str">
        <f aca="false">IF($O233="","",N($O233)+N($P233))</f>
        <v/>
      </c>
      <c r="R233" s="48" t="str">
        <f aca="false">IF(OR($E233="",$B233=""),"",IF(IFERROR(INDEX(基础资料!$V$6:$V$205,MATCH($E233,基础资料!$Q$6:$Q$205,0)),"")&lt;&gt;"是",0,IFERROR((SUMIFS(期初数据!$T$6:$T$205,期初数据!$O$6:$O$205,$E233)+SUMIFS(采购录入!$Q$5:$Q$404,采购录入!$E$5:$E$404,$E233,采购录入!$I$5:$I$404,"是",采购录入!$B$5:$B$404,"&lt;="&amp;$B233))/(SUMIFS(期初数据!$R$6:$R$205,期初数据!$O$6:$O$205,$E233)+SUMIFS(采购录入!$F$5:$F$404,采购录入!$E$5:$E$404,$E233,采购录入!$I$5:$I$404,"是",采购录入!$B$5:$B$404,"&lt;="&amp;$B233)),IFERROR(INDEX(基础资料!$U$6:$U$205,MATCH($E233,基础资料!$Q$6:$Q$205,0)),0))))</f>
        <v/>
      </c>
      <c r="S233" s="48" t="str">
        <f aca="false">IF($O233="","",ROUND(N($F233)*N($R233),2))</f>
        <v/>
      </c>
      <c r="T233" s="48" t="str">
        <f aca="false">IF($O233="","",N($O233)-N($S233))</f>
        <v/>
      </c>
      <c r="U233" s="52" t="str">
        <f aca="false">IF(OR($B233="",$D233=""),"",$B233+N(IFERROR(INDEX(基础资料!$AB$6:$AB$155,MATCH($D233,基础资料!$Z$6:$Z$155,0)),0)))</f>
        <v/>
      </c>
      <c r="V233" s="49" t="str">
        <f aca="false">IF($O233="","","1122")</f>
        <v/>
      </c>
      <c r="W233" s="49" t="str">
        <f aca="false">IF($O233="","","6001")</f>
        <v/>
      </c>
      <c r="X233" s="48" t="str">
        <f aca="false">IF($O233="","",$O233)</f>
        <v/>
      </c>
      <c r="Y233" s="49" t="str">
        <f aca="false">IF(N($P233)=0,"","1122")</f>
        <v/>
      </c>
      <c r="Z233" s="49" t="str">
        <f aca="false">IF(N($P233)=0,"","2221")</f>
        <v/>
      </c>
      <c r="AA233" s="48" t="str">
        <f aca="false">IF(N($P233)=0,"",$P233)</f>
        <v/>
      </c>
      <c r="AB233" s="49" t="str">
        <f aca="false">IF(N($S233)=0,"","6401")</f>
        <v/>
      </c>
      <c r="AC233" s="49" t="str">
        <f aca="false">IF(N($S233)=0,"","1405")</f>
        <v/>
      </c>
      <c r="AD233" s="48" t="str">
        <f aca="false">IF(N($S233)=0,"",$S233)</f>
        <v/>
      </c>
      <c r="AE233" s="49" t="str">
        <f aca="false">IF(AND($D233=客户对账单!$B$3,$B233&gt;=客户对账单!$E$3,$B233&lt;=客户对账单!$H$3),COUNTIFS($D$5:$D233,客户对账单!$B$3,$B$5:$B233,"&gt;="&amp;客户对账单!$E$3,$B$5:$B233,"&lt;="&amp;客户对账单!$H$3),"")</f>
        <v/>
      </c>
    </row>
    <row r="234" customFormat="false" ht="15.75" hidden="false" customHeight="true" outlineLevel="0" collapsed="false">
      <c r="A234" s="42" t="str">
        <f aca="false">IF($B234="","","XS"&amp;TEXT($B234,"yyyymm")&amp;"-"&amp;TEXT(ROW()-4,"000"))</f>
        <v/>
      </c>
      <c r="B234" s="41"/>
      <c r="C234" s="42" t="str">
        <f aca="false">IF($B234="","",TEXT($B234,"yyyy-mm"))</f>
        <v/>
      </c>
      <c r="D234" s="32"/>
      <c r="E234" s="36"/>
      <c r="F234" s="43"/>
      <c r="G234" s="40"/>
      <c r="H234" s="51"/>
      <c r="I234" s="33"/>
      <c r="J234" s="33"/>
      <c r="K234" s="36"/>
      <c r="L234" s="47" t="str">
        <f aca="false">IF($B234="","",IF(NOT(ISNUMBER($B234)),"日期不是日期格式",IF(YEAR($B234)&lt;&gt;首页!$B$3,"不在会计年度",IF($D234="","未选客户",IF(ISNA(MATCH($D234,基础资料!$Z$6:$Z$155,0)),"客户不在档案",IF($E234="","未选商品",IF(ISNA(MATCH($E234,基础资料!$Q$6:$Q$205,0)),"商品不在档案",IF(NOT(ISNUMBER($F234)),"数量须为数字",IF(NOT(ISNUMBER($G234)),"单价须为数字",IF(N($F234)&lt;=0,"数量须大于0",IF(AND(IFERROR(INDEX(基础资料!$V$6:$V$205,MATCH($E234,基础资料!$Q$6:$Q$205,0)),"")="是",N($R234)=0),"无成本价·请先录采购或填参考成本",IF(N($T234)&lt;0,"毛利为负·请核对","√"))))))))))))</f>
        <v/>
      </c>
      <c r="M234" s="49" t="str">
        <f aca="false">IF($E234="","",IFERROR(INDEX(基础资料!$R$6:$R$205,MATCH($E234,基础资料!$Q$6:$Q$205,0)),""))</f>
        <v/>
      </c>
      <c r="N234" s="49" t="str">
        <f aca="false">IF($E234="","",IFERROR(INDEX(基础资料!$S$6:$S$205,MATCH($E234,基础资料!$Q$6:$Q$205,0)),""))</f>
        <v/>
      </c>
      <c r="O234" s="48" t="str">
        <f aca="false">IF(OR($F234="",$G234=""),"",ROUND(N($F234)*N($G234),2))</f>
        <v/>
      </c>
      <c r="P234" s="48" t="str">
        <f aca="false">IF($O234="","",ROUND(N($O234)*N($H234),2))</f>
        <v/>
      </c>
      <c r="Q234" s="48" t="str">
        <f aca="false">IF($O234="","",N($O234)+N($P234))</f>
        <v/>
      </c>
      <c r="R234" s="48" t="str">
        <f aca="false">IF(OR($E234="",$B234=""),"",IF(IFERROR(INDEX(基础资料!$V$6:$V$205,MATCH($E234,基础资料!$Q$6:$Q$205,0)),"")&lt;&gt;"是",0,IFERROR((SUMIFS(期初数据!$T$6:$T$205,期初数据!$O$6:$O$205,$E234)+SUMIFS(采购录入!$Q$5:$Q$404,采购录入!$E$5:$E$404,$E234,采购录入!$I$5:$I$404,"是",采购录入!$B$5:$B$404,"&lt;="&amp;$B234))/(SUMIFS(期初数据!$R$6:$R$205,期初数据!$O$6:$O$205,$E234)+SUMIFS(采购录入!$F$5:$F$404,采购录入!$E$5:$E$404,$E234,采购录入!$I$5:$I$404,"是",采购录入!$B$5:$B$404,"&lt;="&amp;$B234)),IFERROR(INDEX(基础资料!$U$6:$U$205,MATCH($E234,基础资料!$Q$6:$Q$205,0)),0))))</f>
        <v/>
      </c>
      <c r="S234" s="48" t="str">
        <f aca="false">IF($O234="","",ROUND(N($F234)*N($R234),2))</f>
        <v/>
      </c>
      <c r="T234" s="48" t="str">
        <f aca="false">IF($O234="","",N($O234)-N($S234))</f>
        <v/>
      </c>
      <c r="U234" s="52" t="str">
        <f aca="false">IF(OR($B234="",$D234=""),"",$B234+N(IFERROR(INDEX(基础资料!$AB$6:$AB$155,MATCH($D234,基础资料!$Z$6:$Z$155,0)),0)))</f>
        <v/>
      </c>
      <c r="V234" s="49" t="str">
        <f aca="false">IF($O234="","","1122")</f>
        <v/>
      </c>
      <c r="W234" s="49" t="str">
        <f aca="false">IF($O234="","","6001")</f>
        <v/>
      </c>
      <c r="X234" s="48" t="str">
        <f aca="false">IF($O234="","",$O234)</f>
        <v/>
      </c>
      <c r="Y234" s="49" t="str">
        <f aca="false">IF(N($P234)=0,"","1122")</f>
        <v/>
      </c>
      <c r="Z234" s="49" t="str">
        <f aca="false">IF(N($P234)=0,"","2221")</f>
        <v/>
      </c>
      <c r="AA234" s="48" t="str">
        <f aca="false">IF(N($P234)=0,"",$P234)</f>
        <v/>
      </c>
      <c r="AB234" s="49" t="str">
        <f aca="false">IF(N($S234)=0,"","6401")</f>
        <v/>
      </c>
      <c r="AC234" s="49" t="str">
        <f aca="false">IF(N($S234)=0,"","1405")</f>
        <v/>
      </c>
      <c r="AD234" s="48" t="str">
        <f aca="false">IF(N($S234)=0,"",$S234)</f>
        <v/>
      </c>
      <c r="AE234" s="49" t="str">
        <f aca="false">IF(AND($D234=客户对账单!$B$3,$B234&gt;=客户对账单!$E$3,$B234&lt;=客户对账单!$H$3),COUNTIFS($D$5:$D234,客户对账单!$B$3,$B$5:$B234,"&gt;="&amp;客户对账单!$E$3,$B$5:$B234,"&lt;="&amp;客户对账单!$H$3),"")</f>
        <v/>
      </c>
    </row>
    <row r="235" customFormat="false" ht="15.75" hidden="false" customHeight="true" outlineLevel="0" collapsed="false">
      <c r="A235" s="42" t="str">
        <f aca="false">IF($B235="","","XS"&amp;TEXT($B235,"yyyymm")&amp;"-"&amp;TEXT(ROW()-4,"000"))</f>
        <v/>
      </c>
      <c r="B235" s="41"/>
      <c r="C235" s="42" t="str">
        <f aca="false">IF($B235="","",TEXT($B235,"yyyy-mm"))</f>
        <v/>
      </c>
      <c r="D235" s="32"/>
      <c r="E235" s="36"/>
      <c r="F235" s="43"/>
      <c r="G235" s="40"/>
      <c r="H235" s="51"/>
      <c r="I235" s="33"/>
      <c r="J235" s="33"/>
      <c r="K235" s="36"/>
      <c r="L235" s="47" t="str">
        <f aca="false">IF($B235="","",IF(NOT(ISNUMBER($B235)),"日期不是日期格式",IF(YEAR($B235)&lt;&gt;首页!$B$3,"不在会计年度",IF($D235="","未选客户",IF(ISNA(MATCH($D235,基础资料!$Z$6:$Z$155,0)),"客户不在档案",IF($E235="","未选商品",IF(ISNA(MATCH($E235,基础资料!$Q$6:$Q$205,0)),"商品不在档案",IF(NOT(ISNUMBER($F235)),"数量须为数字",IF(NOT(ISNUMBER($G235)),"单价须为数字",IF(N($F235)&lt;=0,"数量须大于0",IF(AND(IFERROR(INDEX(基础资料!$V$6:$V$205,MATCH($E235,基础资料!$Q$6:$Q$205,0)),"")="是",N($R235)=0),"无成本价·请先录采购或填参考成本",IF(N($T235)&lt;0,"毛利为负·请核对","√"))))))))))))</f>
        <v/>
      </c>
      <c r="M235" s="49" t="str">
        <f aca="false">IF($E235="","",IFERROR(INDEX(基础资料!$R$6:$R$205,MATCH($E235,基础资料!$Q$6:$Q$205,0)),""))</f>
        <v/>
      </c>
      <c r="N235" s="49" t="str">
        <f aca="false">IF($E235="","",IFERROR(INDEX(基础资料!$S$6:$S$205,MATCH($E235,基础资料!$Q$6:$Q$205,0)),""))</f>
        <v/>
      </c>
      <c r="O235" s="48" t="str">
        <f aca="false">IF(OR($F235="",$G235=""),"",ROUND(N($F235)*N($G235),2))</f>
        <v/>
      </c>
      <c r="P235" s="48" t="str">
        <f aca="false">IF($O235="","",ROUND(N($O235)*N($H235),2))</f>
        <v/>
      </c>
      <c r="Q235" s="48" t="str">
        <f aca="false">IF($O235="","",N($O235)+N($P235))</f>
        <v/>
      </c>
      <c r="R235" s="48" t="str">
        <f aca="false">IF(OR($E235="",$B235=""),"",IF(IFERROR(INDEX(基础资料!$V$6:$V$205,MATCH($E235,基础资料!$Q$6:$Q$205,0)),"")&lt;&gt;"是",0,IFERROR((SUMIFS(期初数据!$T$6:$T$205,期初数据!$O$6:$O$205,$E235)+SUMIFS(采购录入!$Q$5:$Q$404,采购录入!$E$5:$E$404,$E235,采购录入!$I$5:$I$404,"是",采购录入!$B$5:$B$404,"&lt;="&amp;$B235))/(SUMIFS(期初数据!$R$6:$R$205,期初数据!$O$6:$O$205,$E235)+SUMIFS(采购录入!$F$5:$F$404,采购录入!$E$5:$E$404,$E235,采购录入!$I$5:$I$404,"是",采购录入!$B$5:$B$404,"&lt;="&amp;$B235)),IFERROR(INDEX(基础资料!$U$6:$U$205,MATCH($E235,基础资料!$Q$6:$Q$205,0)),0))))</f>
        <v/>
      </c>
      <c r="S235" s="48" t="str">
        <f aca="false">IF($O235="","",ROUND(N($F235)*N($R235),2))</f>
        <v/>
      </c>
      <c r="T235" s="48" t="str">
        <f aca="false">IF($O235="","",N($O235)-N($S235))</f>
        <v/>
      </c>
      <c r="U235" s="52" t="str">
        <f aca="false">IF(OR($B235="",$D235=""),"",$B235+N(IFERROR(INDEX(基础资料!$AB$6:$AB$155,MATCH($D235,基础资料!$Z$6:$Z$155,0)),0)))</f>
        <v/>
      </c>
      <c r="V235" s="49" t="str">
        <f aca="false">IF($O235="","","1122")</f>
        <v/>
      </c>
      <c r="W235" s="49" t="str">
        <f aca="false">IF($O235="","","6001")</f>
        <v/>
      </c>
      <c r="X235" s="48" t="str">
        <f aca="false">IF($O235="","",$O235)</f>
        <v/>
      </c>
      <c r="Y235" s="49" t="str">
        <f aca="false">IF(N($P235)=0,"","1122")</f>
        <v/>
      </c>
      <c r="Z235" s="49" t="str">
        <f aca="false">IF(N($P235)=0,"","2221")</f>
        <v/>
      </c>
      <c r="AA235" s="48" t="str">
        <f aca="false">IF(N($P235)=0,"",$P235)</f>
        <v/>
      </c>
      <c r="AB235" s="49" t="str">
        <f aca="false">IF(N($S235)=0,"","6401")</f>
        <v/>
      </c>
      <c r="AC235" s="49" t="str">
        <f aca="false">IF(N($S235)=0,"","1405")</f>
        <v/>
      </c>
      <c r="AD235" s="48" t="str">
        <f aca="false">IF(N($S235)=0,"",$S235)</f>
        <v/>
      </c>
      <c r="AE235" s="49" t="str">
        <f aca="false">IF(AND($D235=客户对账单!$B$3,$B235&gt;=客户对账单!$E$3,$B235&lt;=客户对账单!$H$3),COUNTIFS($D$5:$D235,客户对账单!$B$3,$B$5:$B235,"&gt;="&amp;客户对账单!$E$3,$B$5:$B235,"&lt;="&amp;客户对账单!$H$3),"")</f>
        <v/>
      </c>
    </row>
    <row r="236" customFormat="false" ht="15.75" hidden="false" customHeight="true" outlineLevel="0" collapsed="false">
      <c r="A236" s="42" t="str">
        <f aca="false">IF($B236="","","XS"&amp;TEXT($B236,"yyyymm")&amp;"-"&amp;TEXT(ROW()-4,"000"))</f>
        <v/>
      </c>
      <c r="B236" s="41"/>
      <c r="C236" s="42" t="str">
        <f aca="false">IF($B236="","",TEXT($B236,"yyyy-mm"))</f>
        <v/>
      </c>
      <c r="D236" s="32"/>
      <c r="E236" s="36"/>
      <c r="F236" s="43"/>
      <c r="G236" s="40"/>
      <c r="H236" s="51"/>
      <c r="I236" s="33"/>
      <c r="J236" s="33"/>
      <c r="K236" s="36"/>
      <c r="L236" s="47" t="str">
        <f aca="false">IF($B236="","",IF(NOT(ISNUMBER($B236)),"日期不是日期格式",IF(YEAR($B236)&lt;&gt;首页!$B$3,"不在会计年度",IF($D236="","未选客户",IF(ISNA(MATCH($D236,基础资料!$Z$6:$Z$155,0)),"客户不在档案",IF($E236="","未选商品",IF(ISNA(MATCH($E236,基础资料!$Q$6:$Q$205,0)),"商品不在档案",IF(NOT(ISNUMBER($F236)),"数量须为数字",IF(NOT(ISNUMBER($G236)),"单价须为数字",IF(N($F236)&lt;=0,"数量须大于0",IF(AND(IFERROR(INDEX(基础资料!$V$6:$V$205,MATCH($E236,基础资料!$Q$6:$Q$205,0)),"")="是",N($R236)=0),"无成本价·请先录采购或填参考成本",IF(N($T236)&lt;0,"毛利为负·请核对","√"))))))))))))</f>
        <v/>
      </c>
      <c r="M236" s="49" t="str">
        <f aca="false">IF($E236="","",IFERROR(INDEX(基础资料!$R$6:$R$205,MATCH($E236,基础资料!$Q$6:$Q$205,0)),""))</f>
        <v/>
      </c>
      <c r="N236" s="49" t="str">
        <f aca="false">IF($E236="","",IFERROR(INDEX(基础资料!$S$6:$S$205,MATCH($E236,基础资料!$Q$6:$Q$205,0)),""))</f>
        <v/>
      </c>
      <c r="O236" s="48" t="str">
        <f aca="false">IF(OR($F236="",$G236=""),"",ROUND(N($F236)*N($G236),2))</f>
        <v/>
      </c>
      <c r="P236" s="48" t="str">
        <f aca="false">IF($O236="","",ROUND(N($O236)*N($H236),2))</f>
        <v/>
      </c>
      <c r="Q236" s="48" t="str">
        <f aca="false">IF($O236="","",N($O236)+N($P236))</f>
        <v/>
      </c>
      <c r="R236" s="48" t="str">
        <f aca="false">IF(OR($E236="",$B236=""),"",IF(IFERROR(INDEX(基础资料!$V$6:$V$205,MATCH($E236,基础资料!$Q$6:$Q$205,0)),"")&lt;&gt;"是",0,IFERROR((SUMIFS(期初数据!$T$6:$T$205,期初数据!$O$6:$O$205,$E236)+SUMIFS(采购录入!$Q$5:$Q$404,采购录入!$E$5:$E$404,$E236,采购录入!$I$5:$I$404,"是",采购录入!$B$5:$B$404,"&lt;="&amp;$B236))/(SUMIFS(期初数据!$R$6:$R$205,期初数据!$O$6:$O$205,$E236)+SUMIFS(采购录入!$F$5:$F$404,采购录入!$E$5:$E$404,$E236,采购录入!$I$5:$I$404,"是",采购录入!$B$5:$B$404,"&lt;="&amp;$B236)),IFERROR(INDEX(基础资料!$U$6:$U$205,MATCH($E236,基础资料!$Q$6:$Q$205,0)),0))))</f>
        <v/>
      </c>
      <c r="S236" s="48" t="str">
        <f aca="false">IF($O236="","",ROUND(N($F236)*N($R236),2))</f>
        <v/>
      </c>
      <c r="T236" s="48" t="str">
        <f aca="false">IF($O236="","",N($O236)-N($S236))</f>
        <v/>
      </c>
      <c r="U236" s="52" t="str">
        <f aca="false">IF(OR($B236="",$D236=""),"",$B236+N(IFERROR(INDEX(基础资料!$AB$6:$AB$155,MATCH($D236,基础资料!$Z$6:$Z$155,0)),0)))</f>
        <v/>
      </c>
      <c r="V236" s="49" t="str">
        <f aca="false">IF($O236="","","1122")</f>
        <v/>
      </c>
      <c r="W236" s="49" t="str">
        <f aca="false">IF($O236="","","6001")</f>
        <v/>
      </c>
      <c r="X236" s="48" t="str">
        <f aca="false">IF($O236="","",$O236)</f>
        <v/>
      </c>
      <c r="Y236" s="49" t="str">
        <f aca="false">IF(N($P236)=0,"","1122")</f>
        <v/>
      </c>
      <c r="Z236" s="49" t="str">
        <f aca="false">IF(N($P236)=0,"","2221")</f>
        <v/>
      </c>
      <c r="AA236" s="48" t="str">
        <f aca="false">IF(N($P236)=0,"",$P236)</f>
        <v/>
      </c>
      <c r="AB236" s="49" t="str">
        <f aca="false">IF(N($S236)=0,"","6401")</f>
        <v/>
      </c>
      <c r="AC236" s="49" t="str">
        <f aca="false">IF(N($S236)=0,"","1405")</f>
        <v/>
      </c>
      <c r="AD236" s="48" t="str">
        <f aca="false">IF(N($S236)=0,"",$S236)</f>
        <v/>
      </c>
      <c r="AE236" s="49" t="str">
        <f aca="false">IF(AND($D236=客户对账单!$B$3,$B236&gt;=客户对账单!$E$3,$B236&lt;=客户对账单!$H$3),COUNTIFS($D$5:$D236,客户对账单!$B$3,$B$5:$B236,"&gt;="&amp;客户对账单!$E$3,$B$5:$B236,"&lt;="&amp;客户对账单!$H$3),"")</f>
        <v/>
      </c>
    </row>
    <row r="237" customFormat="false" ht="15.75" hidden="false" customHeight="true" outlineLevel="0" collapsed="false">
      <c r="A237" s="42" t="str">
        <f aca="false">IF($B237="","","XS"&amp;TEXT($B237,"yyyymm")&amp;"-"&amp;TEXT(ROW()-4,"000"))</f>
        <v/>
      </c>
      <c r="B237" s="41"/>
      <c r="C237" s="42" t="str">
        <f aca="false">IF($B237="","",TEXT($B237,"yyyy-mm"))</f>
        <v/>
      </c>
      <c r="D237" s="32"/>
      <c r="E237" s="36"/>
      <c r="F237" s="43"/>
      <c r="G237" s="40"/>
      <c r="H237" s="51"/>
      <c r="I237" s="33"/>
      <c r="J237" s="33"/>
      <c r="K237" s="36"/>
      <c r="L237" s="47" t="str">
        <f aca="false">IF($B237="","",IF(NOT(ISNUMBER($B237)),"日期不是日期格式",IF(YEAR($B237)&lt;&gt;首页!$B$3,"不在会计年度",IF($D237="","未选客户",IF(ISNA(MATCH($D237,基础资料!$Z$6:$Z$155,0)),"客户不在档案",IF($E237="","未选商品",IF(ISNA(MATCH($E237,基础资料!$Q$6:$Q$205,0)),"商品不在档案",IF(NOT(ISNUMBER($F237)),"数量须为数字",IF(NOT(ISNUMBER($G237)),"单价须为数字",IF(N($F237)&lt;=0,"数量须大于0",IF(AND(IFERROR(INDEX(基础资料!$V$6:$V$205,MATCH($E237,基础资料!$Q$6:$Q$205,0)),"")="是",N($R237)=0),"无成本价·请先录采购或填参考成本",IF(N($T237)&lt;0,"毛利为负·请核对","√"))))))))))))</f>
        <v/>
      </c>
      <c r="M237" s="49" t="str">
        <f aca="false">IF($E237="","",IFERROR(INDEX(基础资料!$R$6:$R$205,MATCH($E237,基础资料!$Q$6:$Q$205,0)),""))</f>
        <v/>
      </c>
      <c r="N237" s="49" t="str">
        <f aca="false">IF($E237="","",IFERROR(INDEX(基础资料!$S$6:$S$205,MATCH($E237,基础资料!$Q$6:$Q$205,0)),""))</f>
        <v/>
      </c>
      <c r="O237" s="48" t="str">
        <f aca="false">IF(OR($F237="",$G237=""),"",ROUND(N($F237)*N($G237),2))</f>
        <v/>
      </c>
      <c r="P237" s="48" t="str">
        <f aca="false">IF($O237="","",ROUND(N($O237)*N($H237),2))</f>
        <v/>
      </c>
      <c r="Q237" s="48" t="str">
        <f aca="false">IF($O237="","",N($O237)+N($P237))</f>
        <v/>
      </c>
      <c r="R237" s="48" t="str">
        <f aca="false">IF(OR($E237="",$B237=""),"",IF(IFERROR(INDEX(基础资料!$V$6:$V$205,MATCH($E237,基础资料!$Q$6:$Q$205,0)),"")&lt;&gt;"是",0,IFERROR((SUMIFS(期初数据!$T$6:$T$205,期初数据!$O$6:$O$205,$E237)+SUMIFS(采购录入!$Q$5:$Q$404,采购录入!$E$5:$E$404,$E237,采购录入!$I$5:$I$404,"是",采购录入!$B$5:$B$404,"&lt;="&amp;$B237))/(SUMIFS(期初数据!$R$6:$R$205,期初数据!$O$6:$O$205,$E237)+SUMIFS(采购录入!$F$5:$F$404,采购录入!$E$5:$E$404,$E237,采购录入!$I$5:$I$404,"是",采购录入!$B$5:$B$404,"&lt;="&amp;$B237)),IFERROR(INDEX(基础资料!$U$6:$U$205,MATCH($E237,基础资料!$Q$6:$Q$205,0)),0))))</f>
        <v/>
      </c>
      <c r="S237" s="48" t="str">
        <f aca="false">IF($O237="","",ROUND(N($F237)*N($R237),2))</f>
        <v/>
      </c>
      <c r="T237" s="48" t="str">
        <f aca="false">IF($O237="","",N($O237)-N($S237))</f>
        <v/>
      </c>
      <c r="U237" s="52" t="str">
        <f aca="false">IF(OR($B237="",$D237=""),"",$B237+N(IFERROR(INDEX(基础资料!$AB$6:$AB$155,MATCH($D237,基础资料!$Z$6:$Z$155,0)),0)))</f>
        <v/>
      </c>
      <c r="V237" s="49" t="str">
        <f aca="false">IF($O237="","","1122")</f>
        <v/>
      </c>
      <c r="W237" s="49" t="str">
        <f aca="false">IF($O237="","","6001")</f>
        <v/>
      </c>
      <c r="X237" s="48" t="str">
        <f aca="false">IF($O237="","",$O237)</f>
        <v/>
      </c>
      <c r="Y237" s="49" t="str">
        <f aca="false">IF(N($P237)=0,"","1122")</f>
        <v/>
      </c>
      <c r="Z237" s="49" t="str">
        <f aca="false">IF(N($P237)=0,"","2221")</f>
        <v/>
      </c>
      <c r="AA237" s="48" t="str">
        <f aca="false">IF(N($P237)=0,"",$P237)</f>
        <v/>
      </c>
      <c r="AB237" s="49" t="str">
        <f aca="false">IF(N($S237)=0,"","6401")</f>
        <v/>
      </c>
      <c r="AC237" s="49" t="str">
        <f aca="false">IF(N($S237)=0,"","1405")</f>
        <v/>
      </c>
      <c r="AD237" s="48" t="str">
        <f aca="false">IF(N($S237)=0,"",$S237)</f>
        <v/>
      </c>
      <c r="AE237" s="49" t="str">
        <f aca="false">IF(AND($D237=客户对账单!$B$3,$B237&gt;=客户对账单!$E$3,$B237&lt;=客户对账单!$H$3),COUNTIFS($D$5:$D237,客户对账单!$B$3,$B$5:$B237,"&gt;="&amp;客户对账单!$E$3,$B$5:$B237,"&lt;="&amp;客户对账单!$H$3),"")</f>
        <v/>
      </c>
    </row>
    <row r="238" customFormat="false" ht="15.75" hidden="false" customHeight="true" outlineLevel="0" collapsed="false">
      <c r="A238" s="42" t="str">
        <f aca="false">IF($B238="","","XS"&amp;TEXT($B238,"yyyymm")&amp;"-"&amp;TEXT(ROW()-4,"000"))</f>
        <v/>
      </c>
      <c r="B238" s="41"/>
      <c r="C238" s="42" t="str">
        <f aca="false">IF($B238="","",TEXT($B238,"yyyy-mm"))</f>
        <v/>
      </c>
      <c r="D238" s="32"/>
      <c r="E238" s="36"/>
      <c r="F238" s="43"/>
      <c r="G238" s="40"/>
      <c r="H238" s="51"/>
      <c r="I238" s="33"/>
      <c r="J238" s="33"/>
      <c r="K238" s="36"/>
      <c r="L238" s="47" t="str">
        <f aca="false">IF($B238="","",IF(NOT(ISNUMBER($B238)),"日期不是日期格式",IF(YEAR($B238)&lt;&gt;首页!$B$3,"不在会计年度",IF($D238="","未选客户",IF(ISNA(MATCH($D238,基础资料!$Z$6:$Z$155,0)),"客户不在档案",IF($E238="","未选商品",IF(ISNA(MATCH($E238,基础资料!$Q$6:$Q$205,0)),"商品不在档案",IF(NOT(ISNUMBER($F238)),"数量须为数字",IF(NOT(ISNUMBER($G238)),"单价须为数字",IF(N($F238)&lt;=0,"数量须大于0",IF(AND(IFERROR(INDEX(基础资料!$V$6:$V$205,MATCH($E238,基础资料!$Q$6:$Q$205,0)),"")="是",N($R238)=0),"无成本价·请先录采购或填参考成本",IF(N($T238)&lt;0,"毛利为负·请核对","√"))))))))))))</f>
        <v/>
      </c>
      <c r="M238" s="49" t="str">
        <f aca="false">IF($E238="","",IFERROR(INDEX(基础资料!$R$6:$R$205,MATCH($E238,基础资料!$Q$6:$Q$205,0)),""))</f>
        <v/>
      </c>
      <c r="N238" s="49" t="str">
        <f aca="false">IF($E238="","",IFERROR(INDEX(基础资料!$S$6:$S$205,MATCH($E238,基础资料!$Q$6:$Q$205,0)),""))</f>
        <v/>
      </c>
      <c r="O238" s="48" t="str">
        <f aca="false">IF(OR($F238="",$G238=""),"",ROUND(N($F238)*N($G238),2))</f>
        <v/>
      </c>
      <c r="P238" s="48" t="str">
        <f aca="false">IF($O238="","",ROUND(N($O238)*N($H238),2))</f>
        <v/>
      </c>
      <c r="Q238" s="48" t="str">
        <f aca="false">IF($O238="","",N($O238)+N($P238))</f>
        <v/>
      </c>
      <c r="R238" s="48" t="str">
        <f aca="false">IF(OR($E238="",$B238=""),"",IF(IFERROR(INDEX(基础资料!$V$6:$V$205,MATCH($E238,基础资料!$Q$6:$Q$205,0)),"")&lt;&gt;"是",0,IFERROR((SUMIFS(期初数据!$T$6:$T$205,期初数据!$O$6:$O$205,$E238)+SUMIFS(采购录入!$Q$5:$Q$404,采购录入!$E$5:$E$404,$E238,采购录入!$I$5:$I$404,"是",采购录入!$B$5:$B$404,"&lt;="&amp;$B238))/(SUMIFS(期初数据!$R$6:$R$205,期初数据!$O$6:$O$205,$E238)+SUMIFS(采购录入!$F$5:$F$404,采购录入!$E$5:$E$404,$E238,采购录入!$I$5:$I$404,"是",采购录入!$B$5:$B$404,"&lt;="&amp;$B238)),IFERROR(INDEX(基础资料!$U$6:$U$205,MATCH($E238,基础资料!$Q$6:$Q$205,0)),0))))</f>
        <v/>
      </c>
      <c r="S238" s="48" t="str">
        <f aca="false">IF($O238="","",ROUND(N($F238)*N($R238),2))</f>
        <v/>
      </c>
      <c r="T238" s="48" t="str">
        <f aca="false">IF($O238="","",N($O238)-N($S238))</f>
        <v/>
      </c>
      <c r="U238" s="52" t="str">
        <f aca="false">IF(OR($B238="",$D238=""),"",$B238+N(IFERROR(INDEX(基础资料!$AB$6:$AB$155,MATCH($D238,基础资料!$Z$6:$Z$155,0)),0)))</f>
        <v/>
      </c>
      <c r="V238" s="49" t="str">
        <f aca="false">IF($O238="","","1122")</f>
        <v/>
      </c>
      <c r="W238" s="49" t="str">
        <f aca="false">IF($O238="","","6001")</f>
        <v/>
      </c>
      <c r="X238" s="48" t="str">
        <f aca="false">IF($O238="","",$O238)</f>
        <v/>
      </c>
      <c r="Y238" s="49" t="str">
        <f aca="false">IF(N($P238)=0,"","1122")</f>
        <v/>
      </c>
      <c r="Z238" s="49" t="str">
        <f aca="false">IF(N($P238)=0,"","2221")</f>
        <v/>
      </c>
      <c r="AA238" s="48" t="str">
        <f aca="false">IF(N($P238)=0,"",$P238)</f>
        <v/>
      </c>
      <c r="AB238" s="49" t="str">
        <f aca="false">IF(N($S238)=0,"","6401")</f>
        <v/>
      </c>
      <c r="AC238" s="49" t="str">
        <f aca="false">IF(N($S238)=0,"","1405")</f>
        <v/>
      </c>
      <c r="AD238" s="48" t="str">
        <f aca="false">IF(N($S238)=0,"",$S238)</f>
        <v/>
      </c>
      <c r="AE238" s="49" t="str">
        <f aca="false">IF(AND($D238=客户对账单!$B$3,$B238&gt;=客户对账单!$E$3,$B238&lt;=客户对账单!$H$3),COUNTIFS($D$5:$D238,客户对账单!$B$3,$B$5:$B238,"&gt;="&amp;客户对账单!$E$3,$B$5:$B238,"&lt;="&amp;客户对账单!$H$3),"")</f>
        <v/>
      </c>
    </row>
    <row r="239" customFormat="false" ht="15.75" hidden="false" customHeight="true" outlineLevel="0" collapsed="false">
      <c r="A239" s="42" t="str">
        <f aca="false">IF($B239="","","XS"&amp;TEXT($B239,"yyyymm")&amp;"-"&amp;TEXT(ROW()-4,"000"))</f>
        <v/>
      </c>
      <c r="B239" s="41"/>
      <c r="C239" s="42" t="str">
        <f aca="false">IF($B239="","",TEXT($B239,"yyyy-mm"))</f>
        <v/>
      </c>
      <c r="D239" s="32"/>
      <c r="E239" s="36"/>
      <c r="F239" s="43"/>
      <c r="G239" s="40"/>
      <c r="H239" s="51"/>
      <c r="I239" s="33"/>
      <c r="J239" s="33"/>
      <c r="K239" s="36"/>
      <c r="L239" s="47" t="str">
        <f aca="false">IF($B239="","",IF(NOT(ISNUMBER($B239)),"日期不是日期格式",IF(YEAR($B239)&lt;&gt;首页!$B$3,"不在会计年度",IF($D239="","未选客户",IF(ISNA(MATCH($D239,基础资料!$Z$6:$Z$155,0)),"客户不在档案",IF($E239="","未选商品",IF(ISNA(MATCH($E239,基础资料!$Q$6:$Q$205,0)),"商品不在档案",IF(NOT(ISNUMBER($F239)),"数量须为数字",IF(NOT(ISNUMBER($G239)),"单价须为数字",IF(N($F239)&lt;=0,"数量须大于0",IF(AND(IFERROR(INDEX(基础资料!$V$6:$V$205,MATCH($E239,基础资料!$Q$6:$Q$205,0)),"")="是",N($R239)=0),"无成本价·请先录采购或填参考成本",IF(N($T239)&lt;0,"毛利为负·请核对","√"))))))))))))</f>
        <v/>
      </c>
      <c r="M239" s="49" t="str">
        <f aca="false">IF($E239="","",IFERROR(INDEX(基础资料!$R$6:$R$205,MATCH($E239,基础资料!$Q$6:$Q$205,0)),""))</f>
        <v/>
      </c>
      <c r="N239" s="49" t="str">
        <f aca="false">IF($E239="","",IFERROR(INDEX(基础资料!$S$6:$S$205,MATCH($E239,基础资料!$Q$6:$Q$205,0)),""))</f>
        <v/>
      </c>
      <c r="O239" s="48" t="str">
        <f aca="false">IF(OR($F239="",$G239=""),"",ROUND(N($F239)*N($G239),2))</f>
        <v/>
      </c>
      <c r="P239" s="48" t="str">
        <f aca="false">IF($O239="","",ROUND(N($O239)*N($H239),2))</f>
        <v/>
      </c>
      <c r="Q239" s="48" t="str">
        <f aca="false">IF($O239="","",N($O239)+N($P239))</f>
        <v/>
      </c>
      <c r="R239" s="48" t="str">
        <f aca="false">IF(OR($E239="",$B239=""),"",IF(IFERROR(INDEX(基础资料!$V$6:$V$205,MATCH($E239,基础资料!$Q$6:$Q$205,0)),"")&lt;&gt;"是",0,IFERROR((SUMIFS(期初数据!$T$6:$T$205,期初数据!$O$6:$O$205,$E239)+SUMIFS(采购录入!$Q$5:$Q$404,采购录入!$E$5:$E$404,$E239,采购录入!$I$5:$I$404,"是",采购录入!$B$5:$B$404,"&lt;="&amp;$B239))/(SUMIFS(期初数据!$R$6:$R$205,期初数据!$O$6:$O$205,$E239)+SUMIFS(采购录入!$F$5:$F$404,采购录入!$E$5:$E$404,$E239,采购录入!$I$5:$I$404,"是",采购录入!$B$5:$B$404,"&lt;="&amp;$B239)),IFERROR(INDEX(基础资料!$U$6:$U$205,MATCH($E239,基础资料!$Q$6:$Q$205,0)),0))))</f>
        <v/>
      </c>
      <c r="S239" s="48" t="str">
        <f aca="false">IF($O239="","",ROUND(N($F239)*N($R239),2))</f>
        <v/>
      </c>
      <c r="T239" s="48" t="str">
        <f aca="false">IF($O239="","",N($O239)-N($S239))</f>
        <v/>
      </c>
      <c r="U239" s="52" t="str">
        <f aca="false">IF(OR($B239="",$D239=""),"",$B239+N(IFERROR(INDEX(基础资料!$AB$6:$AB$155,MATCH($D239,基础资料!$Z$6:$Z$155,0)),0)))</f>
        <v/>
      </c>
      <c r="V239" s="49" t="str">
        <f aca="false">IF($O239="","","1122")</f>
        <v/>
      </c>
      <c r="W239" s="49" t="str">
        <f aca="false">IF($O239="","","6001")</f>
        <v/>
      </c>
      <c r="X239" s="48" t="str">
        <f aca="false">IF($O239="","",$O239)</f>
        <v/>
      </c>
      <c r="Y239" s="49" t="str">
        <f aca="false">IF(N($P239)=0,"","1122")</f>
        <v/>
      </c>
      <c r="Z239" s="49" t="str">
        <f aca="false">IF(N($P239)=0,"","2221")</f>
        <v/>
      </c>
      <c r="AA239" s="48" t="str">
        <f aca="false">IF(N($P239)=0,"",$P239)</f>
        <v/>
      </c>
      <c r="AB239" s="49" t="str">
        <f aca="false">IF(N($S239)=0,"","6401")</f>
        <v/>
      </c>
      <c r="AC239" s="49" t="str">
        <f aca="false">IF(N($S239)=0,"","1405")</f>
        <v/>
      </c>
      <c r="AD239" s="48" t="str">
        <f aca="false">IF(N($S239)=0,"",$S239)</f>
        <v/>
      </c>
      <c r="AE239" s="49" t="str">
        <f aca="false">IF(AND($D239=客户对账单!$B$3,$B239&gt;=客户对账单!$E$3,$B239&lt;=客户对账单!$H$3),COUNTIFS($D$5:$D239,客户对账单!$B$3,$B$5:$B239,"&gt;="&amp;客户对账单!$E$3,$B$5:$B239,"&lt;="&amp;客户对账单!$H$3),"")</f>
        <v/>
      </c>
    </row>
    <row r="240" customFormat="false" ht="15.75" hidden="false" customHeight="true" outlineLevel="0" collapsed="false">
      <c r="A240" s="42" t="str">
        <f aca="false">IF($B240="","","XS"&amp;TEXT($B240,"yyyymm")&amp;"-"&amp;TEXT(ROW()-4,"000"))</f>
        <v/>
      </c>
      <c r="B240" s="41"/>
      <c r="C240" s="42" t="str">
        <f aca="false">IF($B240="","",TEXT($B240,"yyyy-mm"))</f>
        <v/>
      </c>
      <c r="D240" s="32"/>
      <c r="E240" s="36"/>
      <c r="F240" s="43"/>
      <c r="G240" s="40"/>
      <c r="H240" s="51"/>
      <c r="I240" s="33"/>
      <c r="J240" s="33"/>
      <c r="K240" s="36"/>
      <c r="L240" s="47" t="str">
        <f aca="false">IF($B240="","",IF(NOT(ISNUMBER($B240)),"日期不是日期格式",IF(YEAR($B240)&lt;&gt;首页!$B$3,"不在会计年度",IF($D240="","未选客户",IF(ISNA(MATCH($D240,基础资料!$Z$6:$Z$155,0)),"客户不在档案",IF($E240="","未选商品",IF(ISNA(MATCH($E240,基础资料!$Q$6:$Q$205,0)),"商品不在档案",IF(NOT(ISNUMBER($F240)),"数量须为数字",IF(NOT(ISNUMBER($G240)),"单价须为数字",IF(N($F240)&lt;=0,"数量须大于0",IF(AND(IFERROR(INDEX(基础资料!$V$6:$V$205,MATCH($E240,基础资料!$Q$6:$Q$205,0)),"")="是",N($R240)=0),"无成本价·请先录采购或填参考成本",IF(N($T240)&lt;0,"毛利为负·请核对","√"))))))))))))</f>
        <v/>
      </c>
      <c r="M240" s="49" t="str">
        <f aca="false">IF($E240="","",IFERROR(INDEX(基础资料!$R$6:$R$205,MATCH($E240,基础资料!$Q$6:$Q$205,0)),""))</f>
        <v/>
      </c>
      <c r="N240" s="49" t="str">
        <f aca="false">IF($E240="","",IFERROR(INDEX(基础资料!$S$6:$S$205,MATCH($E240,基础资料!$Q$6:$Q$205,0)),""))</f>
        <v/>
      </c>
      <c r="O240" s="48" t="str">
        <f aca="false">IF(OR($F240="",$G240=""),"",ROUND(N($F240)*N($G240),2))</f>
        <v/>
      </c>
      <c r="P240" s="48" t="str">
        <f aca="false">IF($O240="","",ROUND(N($O240)*N($H240),2))</f>
        <v/>
      </c>
      <c r="Q240" s="48" t="str">
        <f aca="false">IF($O240="","",N($O240)+N($P240))</f>
        <v/>
      </c>
      <c r="R240" s="48" t="str">
        <f aca="false">IF(OR($E240="",$B240=""),"",IF(IFERROR(INDEX(基础资料!$V$6:$V$205,MATCH($E240,基础资料!$Q$6:$Q$205,0)),"")&lt;&gt;"是",0,IFERROR((SUMIFS(期初数据!$T$6:$T$205,期初数据!$O$6:$O$205,$E240)+SUMIFS(采购录入!$Q$5:$Q$404,采购录入!$E$5:$E$404,$E240,采购录入!$I$5:$I$404,"是",采购录入!$B$5:$B$404,"&lt;="&amp;$B240))/(SUMIFS(期初数据!$R$6:$R$205,期初数据!$O$6:$O$205,$E240)+SUMIFS(采购录入!$F$5:$F$404,采购录入!$E$5:$E$404,$E240,采购录入!$I$5:$I$404,"是",采购录入!$B$5:$B$404,"&lt;="&amp;$B240)),IFERROR(INDEX(基础资料!$U$6:$U$205,MATCH($E240,基础资料!$Q$6:$Q$205,0)),0))))</f>
        <v/>
      </c>
      <c r="S240" s="48" t="str">
        <f aca="false">IF($O240="","",ROUND(N($F240)*N($R240),2))</f>
        <v/>
      </c>
      <c r="T240" s="48" t="str">
        <f aca="false">IF($O240="","",N($O240)-N($S240))</f>
        <v/>
      </c>
      <c r="U240" s="52" t="str">
        <f aca="false">IF(OR($B240="",$D240=""),"",$B240+N(IFERROR(INDEX(基础资料!$AB$6:$AB$155,MATCH($D240,基础资料!$Z$6:$Z$155,0)),0)))</f>
        <v/>
      </c>
      <c r="V240" s="49" t="str">
        <f aca="false">IF($O240="","","1122")</f>
        <v/>
      </c>
      <c r="W240" s="49" t="str">
        <f aca="false">IF($O240="","","6001")</f>
        <v/>
      </c>
      <c r="X240" s="48" t="str">
        <f aca="false">IF($O240="","",$O240)</f>
        <v/>
      </c>
      <c r="Y240" s="49" t="str">
        <f aca="false">IF(N($P240)=0,"","1122")</f>
        <v/>
      </c>
      <c r="Z240" s="49" t="str">
        <f aca="false">IF(N($P240)=0,"","2221")</f>
        <v/>
      </c>
      <c r="AA240" s="48" t="str">
        <f aca="false">IF(N($P240)=0,"",$P240)</f>
        <v/>
      </c>
      <c r="AB240" s="49" t="str">
        <f aca="false">IF(N($S240)=0,"","6401")</f>
        <v/>
      </c>
      <c r="AC240" s="49" t="str">
        <f aca="false">IF(N($S240)=0,"","1405")</f>
        <v/>
      </c>
      <c r="AD240" s="48" t="str">
        <f aca="false">IF(N($S240)=0,"",$S240)</f>
        <v/>
      </c>
      <c r="AE240" s="49" t="str">
        <f aca="false">IF(AND($D240=客户对账单!$B$3,$B240&gt;=客户对账单!$E$3,$B240&lt;=客户对账单!$H$3),COUNTIFS($D$5:$D240,客户对账单!$B$3,$B$5:$B240,"&gt;="&amp;客户对账单!$E$3,$B$5:$B240,"&lt;="&amp;客户对账单!$H$3),"")</f>
        <v/>
      </c>
    </row>
    <row r="241" customFormat="false" ht="15.75" hidden="false" customHeight="true" outlineLevel="0" collapsed="false">
      <c r="A241" s="42" t="str">
        <f aca="false">IF($B241="","","XS"&amp;TEXT($B241,"yyyymm")&amp;"-"&amp;TEXT(ROW()-4,"000"))</f>
        <v/>
      </c>
      <c r="B241" s="41"/>
      <c r="C241" s="42" t="str">
        <f aca="false">IF($B241="","",TEXT($B241,"yyyy-mm"))</f>
        <v/>
      </c>
      <c r="D241" s="32"/>
      <c r="E241" s="36"/>
      <c r="F241" s="43"/>
      <c r="G241" s="40"/>
      <c r="H241" s="51"/>
      <c r="I241" s="33"/>
      <c r="J241" s="33"/>
      <c r="K241" s="36"/>
      <c r="L241" s="47" t="str">
        <f aca="false">IF($B241="","",IF(NOT(ISNUMBER($B241)),"日期不是日期格式",IF(YEAR($B241)&lt;&gt;首页!$B$3,"不在会计年度",IF($D241="","未选客户",IF(ISNA(MATCH($D241,基础资料!$Z$6:$Z$155,0)),"客户不在档案",IF($E241="","未选商品",IF(ISNA(MATCH($E241,基础资料!$Q$6:$Q$205,0)),"商品不在档案",IF(NOT(ISNUMBER($F241)),"数量须为数字",IF(NOT(ISNUMBER($G241)),"单价须为数字",IF(N($F241)&lt;=0,"数量须大于0",IF(AND(IFERROR(INDEX(基础资料!$V$6:$V$205,MATCH($E241,基础资料!$Q$6:$Q$205,0)),"")="是",N($R241)=0),"无成本价·请先录采购或填参考成本",IF(N($T241)&lt;0,"毛利为负·请核对","√"))))))))))))</f>
        <v/>
      </c>
      <c r="M241" s="49" t="str">
        <f aca="false">IF($E241="","",IFERROR(INDEX(基础资料!$R$6:$R$205,MATCH($E241,基础资料!$Q$6:$Q$205,0)),""))</f>
        <v/>
      </c>
      <c r="N241" s="49" t="str">
        <f aca="false">IF($E241="","",IFERROR(INDEX(基础资料!$S$6:$S$205,MATCH($E241,基础资料!$Q$6:$Q$205,0)),""))</f>
        <v/>
      </c>
      <c r="O241" s="48" t="str">
        <f aca="false">IF(OR($F241="",$G241=""),"",ROUND(N($F241)*N($G241),2))</f>
        <v/>
      </c>
      <c r="P241" s="48" t="str">
        <f aca="false">IF($O241="","",ROUND(N($O241)*N($H241),2))</f>
        <v/>
      </c>
      <c r="Q241" s="48" t="str">
        <f aca="false">IF($O241="","",N($O241)+N($P241))</f>
        <v/>
      </c>
      <c r="R241" s="48" t="str">
        <f aca="false">IF(OR($E241="",$B241=""),"",IF(IFERROR(INDEX(基础资料!$V$6:$V$205,MATCH($E241,基础资料!$Q$6:$Q$205,0)),"")&lt;&gt;"是",0,IFERROR((SUMIFS(期初数据!$T$6:$T$205,期初数据!$O$6:$O$205,$E241)+SUMIFS(采购录入!$Q$5:$Q$404,采购录入!$E$5:$E$404,$E241,采购录入!$I$5:$I$404,"是",采购录入!$B$5:$B$404,"&lt;="&amp;$B241))/(SUMIFS(期初数据!$R$6:$R$205,期初数据!$O$6:$O$205,$E241)+SUMIFS(采购录入!$F$5:$F$404,采购录入!$E$5:$E$404,$E241,采购录入!$I$5:$I$404,"是",采购录入!$B$5:$B$404,"&lt;="&amp;$B241)),IFERROR(INDEX(基础资料!$U$6:$U$205,MATCH($E241,基础资料!$Q$6:$Q$205,0)),0))))</f>
        <v/>
      </c>
      <c r="S241" s="48" t="str">
        <f aca="false">IF($O241="","",ROUND(N($F241)*N($R241),2))</f>
        <v/>
      </c>
      <c r="T241" s="48" t="str">
        <f aca="false">IF($O241="","",N($O241)-N($S241))</f>
        <v/>
      </c>
      <c r="U241" s="52" t="str">
        <f aca="false">IF(OR($B241="",$D241=""),"",$B241+N(IFERROR(INDEX(基础资料!$AB$6:$AB$155,MATCH($D241,基础资料!$Z$6:$Z$155,0)),0)))</f>
        <v/>
      </c>
      <c r="V241" s="49" t="str">
        <f aca="false">IF($O241="","","1122")</f>
        <v/>
      </c>
      <c r="W241" s="49" t="str">
        <f aca="false">IF($O241="","","6001")</f>
        <v/>
      </c>
      <c r="X241" s="48" t="str">
        <f aca="false">IF($O241="","",$O241)</f>
        <v/>
      </c>
      <c r="Y241" s="49" t="str">
        <f aca="false">IF(N($P241)=0,"","1122")</f>
        <v/>
      </c>
      <c r="Z241" s="49" t="str">
        <f aca="false">IF(N($P241)=0,"","2221")</f>
        <v/>
      </c>
      <c r="AA241" s="48" t="str">
        <f aca="false">IF(N($P241)=0,"",$P241)</f>
        <v/>
      </c>
      <c r="AB241" s="49" t="str">
        <f aca="false">IF(N($S241)=0,"","6401")</f>
        <v/>
      </c>
      <c r="AC241" s="49" t="str">
        <f aca="false">IF(N($S241)=0,"","1405")</f>
        <v/>
      </c>
      <c r="AD241" s="48" t="str">
        <f aca="false">IF(N($S241)=0,"",$S241)</f>
        <v/>
      </c>
      <c r="AE241" s="49" t="str">
        <f aca="false">IF(AND($D241=客户对账单!$B$3,$B241&gt;=客户对账单!$E$3,$B241&lt;=客户对账单!$H$3),COUNTIFS($D$5:$D241,客户对账单!$B$3,$B$5:$B241,"&gt;="&amp;客户对账单!$E$3,$B$5:$B241,"&lt;="&amp;客户对账单!$H$3),"")</f>
        <v/>
      </c>
    </row>
    <row r="242" customFormat="false" ht="15.75" hidden="false" customHeight="true" outlineLevel="0" collapsed="false">
      <c r="A242" s="42" t="str">
        <f aca="false">IF($B242="","","XS"&amp;TEXT($B242,"yyyymm")&amp;"-"&amp;TEXT(ROW()-4,"000"))</f>
        <v/>
      </c>
      <c r="B242" s="41"/>
      <c r="C242" s="42" t="str">
        <f aca="false">IF($B242="","",TEXT($B242,"yyyy-mm"))</f>
        <v/>
      </c>
      <c r="D242" s="32"/>
      <c r="E242" s="36"/>
      <c r="F242" s="43"/>
      <c r="G242" s="40"/>
      <c r="H242" s="51"/>
      <c r="I242" s="33"/>
      <c r="J242" s="33"/>
      <c r="K242" s="36"/>
      <c r="L242" s="47" t="str">
        <f aca="false">IF($B242="","",IF(NOT(ISNUMBER($B242)),"日期不是日期格式",IF(YEAR($B242)&lt;&gt;首页!$B$3,"不在会计年度",IF($D242="","未选客户",IF(ISNA(MATCH($D242,基础资料!$Z$6:$Z$155,0)),"客户不在档案",IF($E242="","未选商品",IF(ISNA(MATCH($E242,基础资料!$Q$6:$Q$205,0)),"商品不在档案",IF(NOT(ISNUMBER($F242)),"数量须为数字",IF(NOT(ISNUMBER($G242)),"单价须为数字",IF(N($F242)&lt;=0,"数量须大于0",IF(AND(IFERROR(INDEX(基础资料!$V$6:$V$205,MATCH($E242,基础资料!$Q$6:$Q$205,0)),"")="是",N($R242)=0),"无成本价·请先录采购或填参考成本",IF(N($T242)&lt;0,"毛利为负·请核对","√"))))))))))))</f>
        <v/>
      </c>
      <c r="M242" s="49" t="str">
        <f aca="false">IF($E242="","",IFERROR(INDEX(基础资料!$R$6:$R$205,MATCH($E242,基础资料!$Q$6:$Q$205,0)),""))</f>
        <v/>
      </c>
      <c r="N242" s="49" t="str">
        <f aca="false">IF($E242="","",IFERROR(INDEX(基础资料!$S$6:$S$205,MATCH($E242,基础资料!$Q$6:$Q$205,0)),""))</f>
        <v/>
      </c>
      <c r="O242" s="48" t="str">
        <f aca="false">IF(OR($F242="",$G242=""),"",ROUND(N($F242)*N($G242),2))</f>
        <v/>
      </c>
      <c r="P242" s="48" t="str">
        <f aca="false">IF($O242="","",ROUND(N($O242)*N($H242),2))</f>
        <v/>
      </c>
      <c r="Q242" s="48" t="str">
        <f aca="false">IF($O242="","",N($O242)+N($P242))</f>
        <v/>
      </c>
      <c r="R242" s="48" t="str">
        <f aca="false">IF(OR($E242="",$B242=""),"",IF(IFERROR(INDEX(基础资料!$V$6:$V$205,MATCH($E242,基础资料!$Q$6:$Q$205,0)),"")&lt;&gt;"是",0,IFERROR((SUMIFS(期初数据!$T$6:$T$205,期初数据!$O$6:$O$205,$E242)+SUMIFS(采购录入!$Q$5:$Q$404,采购录入!$E$5:$E$404,$E242,采购录入!$I$5:$I$404,"是",采购录入!$B$5:$B$404,"&lt;="&amp;$B242))/(SUMIFS(期初数据!$R$6:$R$205,期初数据!$O$6:$O$205,$E242)+SUMIFS(采购录入!$F$5:$F$404,采购录入!$E$5:$E$404,$E242,采购录入!$I$5:$I$404,"是",采购录入!$B$5:$B$404,"&lt;="&amp;$B242)),IFERROR(INDEX(基础资料!$U$6:$U$205,MATCH($E242,基础资料!$Q$6:$Q$205,0)),0))))</f>
        <v/>
      </c>
      <c r="S242" s="48" t="str">
        <f aca="false">IF($O242="","",ROUND(N($F242)*N($R242),2))</f>
        <v/>
      </c>
      <c r="T242" s="48" t="str">
        <f aca="false">IF($O242="","",N($O242)-N($S242))</f>
        <v/>
      </c>
      <c r="U242" s="52" t="str">
        <f aca="false">IF(OR($B242="",$D242=""),"",$B242+N(IFERROR(INDEX(基础资料!$AB$6:$AB$155,MATCH($D242,基础资料!$Z$6:$Z$155,0)),0)))</f>
        <v/>
      </c>
      <c r="V242" s="49" t="str">
        <f aca="false">IF($O242="","","1122")</f>
        <v/>
      </c>
      <c r="W242" s="49" t="str">
        <f aca="false">IF($O242="","","6001")</f>
        <v/>
      </c>
      <c r="X242" s="48" t="str">
        <f aca="false">IF($O242="","",$O242)</f>
        <v/>
      </c>
      <c r="Y242" s="49" t="str">
        <f aca="false">IF(N($P242)=0,"","1122")</f>
        <v/>
      </c>
      <c r="Z242" s="49" t="str">
        <f aca="false">IF(N($P242)=0,"","2221")</f>
        <v/>
      </c>
      <c r="AA242" s="48" t="str">
        <f aca="false">IF(N($P242)=0,"",$P242)</f>
        <v/>
      </c>
      <c r="AB242" s="49" t="str">
        <f aca="false">IF(N($S242)=0,"","6401")</f>
        <v/>
      </c>
      <c r="AC242" s="49" t="str">
        <f aca="false">IF(N($S242)=0,"","1405")</f>
        <v/>
      </c>
      <c r="AD242" s="48" t="str">
        <f aca="false">IF(N($S242)=0,"",$S242)</f>
        <v/>
      </c>
      <c r="AE242" s="49" t="str">
        <f aca="false">IF(AND($D242=客户对账单!$B$3,$B242&gt;=客户对账单!$E$3,$B242&lt;=客户对账单!$H$3),COUNTIFS($D$5:$D242,客户对账单!$B$3,$B$5:$B242,"&gt;="&amp;客户对账单!$E$3,$B$5:$B242,"&lt;="&amp;客户对账单!$H$3),"")</f>
        <v/>
      </c>
    </row>
    <row r="243" customFormat="false" ht="15.75" hidden="false" customHeight="true" outlineLevel="0" collapsed="false">
      <c r="A243" s="42" t="str">
        <f aca="false">IF($B243="","","XS"&amp;TEXT($B243,"yyyymm")&amp;"-"&amp;TEXT(ROW()-4,"000"))</f>
        <v/>
      </c>
      <c r="B243" s="41"/>
      <c r="C243" s="42" t="str">
        <f aca="false">IF($B243="","",TEXT($B243,"yyyy-mm"))</f>
        <v/>
      </c>
      <c r="D243" s="32"/>
      <c r="E243" s="36"/>
      <c r="F243" s="43"/>
      <c r="G243" s="40"/>
      <c r="H243" s="51"/>
      <c r="I243" s="33"/>
      <c r="J243" s="33"/>
      <c r="K243" s="36"/>
      <c r="L243" s="47" t="str">
        <f aca="false">IF($B243="","",IF(NOT(ISNUMBER($B243)),"日期不是日期格式",IF(YEAR($B243)&lt;&gt;首页!$B$3,"不在会计年度",IF($D243="","未选客户",IF(ISNA(MATCH($D243,基础资料!$Z$6:$Z$155,0)),"客户不在档案",IF($E243="","未选商品",IF(ISNA(MATCH($E243,基础资料!$Q$6:$Q$205,0)),"商品不在档案",IF(NOT(ISNUMBER($F243)),"数量须为数字",IF(NOT(ISNUMBER($G243)),"单价须为数字",IF(N($F243)&lt;=0,"数量须大于0",IF(AND(IFERROR(INDEX(基础资料!$V$6:$V$205,MATCH($E243,基础资料!$Q$6:$Q$205,0)),"")="是",N($R243)=0),"无成本价·请先录采购或填参考成本",IF(N($T243)&lt;0,"毛利为负·请核对","√"))))))))))))</f>
        <v/>
      </c>
      <c r="M243" s="49" t="str">
        <f aca="false">IF($E243="","",IFERROR(INDEX(基础资料!$R$6:$R$205,MATCH($E243,基础资料!$Q$6:$Q$205,0)),""))</f>
        <v/>
      </c>
      <c r="N243" s="49" t="str">
        <f aca="false">IF($E243="","",IFERROR(INDEX(基础资料!$S$6:$S$205,MATCH($E243,基础资料!$Q$6:$Q$205,0)),""))</f>
        <v/>
      </c>
      <c r="O243" s="48" t="str">
        <f aca="false">IF(OR($F243="",$G243=""),"",ROUND(N($F243)*N($G243),2))</f>
        <v/>
      </c>
      <c r="P243" s="48" t="str">
        <f aca="false">IF($O243="","",ROUND(N($O243)*N($H243),2))</f>
        <v/>
      </c>
      <c r="Q243" s="48" t="str">
        <f aca="false">IF($O243="","",N($O243)+N($P243))</f>
        <v/>
      </c>
      <c r="R243" s="48" t="str">
        <f aca="false">IF(OR($E243="",$B243=""),"",IF(IFERROR(INDEX(基础资料!$V$6:$V$205,MATCH($E243,基础资料!$Q$6:$Q$205,0)),"")&lt;&gt;"是",0,IFERROR((SUMIFS(期初数据!$T$6:$T$205,期初数据!$O$6:$O$205,$E243)+SUMIFS(采购录入!$Q$5:$Q$404,采购录入!$E$5:$E$404,$E243,采购录入!$I$5:$I$404,"是",采购录入!$B$5:$B$404,"&lt;="&amp;$B243))/(SUMIFS(期初数据!$R$6:$R$205,期初数据!$O$6:$O$205,$E243)+SUMIFS(采购录入!$F$5:$F$404,采购录入!$E$5:$E$404,$E243,采购录入!$I$5:$I$404,"是",采购录入!$B$5:$B$404,"&lt;="&amp;$B243)),IFERROR(INDEX(基础资料!$U$6:$U$205,MATCH($E243,基础资料!$Q$6:$Q$205,0)),0))))</f>
        <v/>
      </c>
      <c r="S243" s="48" t="str">
        <f aca="false">IF($O243="","",ROUND(N($F243)*N($R243),2))</f>
        <v/>
      </c>
      <c r="T243" s="48" t="str">
        <f aca="false">IF($O243="","",N($O243)-N($S243))</f>
        <v/>
      </c>
      <c r="U243" s="52" t="str">
        <f aca="false">IF(OR($B243="",$D243=""),"",$B243+N(IFERROR(INDEX(基础资料!$AB$6:$AB$155,MATCH($D243,基础资料!$Z$6:$Z$155,0)),0)))</f>
        <v/>
      </c>
      <c r="V243" s="49" t="str">
        <f aca="false">IF($O243="","","1122")</f>
        <v/>
      </c>
      <c r="W243" s="49" t="str">
        <f aca="false">IF($O243="","","6001")</f>
        <v/>
      </c>
      <c r="X243" s="48" t="str">
        <f aca="false">IF($O243="","",$O243)</f>
        <v/>
      </c>
      <c r="Y243" s="49" t="str">
        <f aca="false">IF(N($P243)=0,"","1122")</f>
        <v/>
      </c>
      <c r="Z243" s="49" t="str">
        <f aca="false">IF(N($P243)=0,"","2221")</f>
        <v/>
      </c>
      <c r="AA243" s="48" t="str">
        <f aca="false">IF(N($P243)=0,"",$P243)</f>
        <v/>
      </c>
      <c r="AB243" s="49" t="str">
        <f aca="false">IF(N($S243)=0,"","6401")</f>
        <v/>
      </c>
      <c r="AC243" s="49" t="str">
        <f aca="false">IF(N($S243)=0,"","1405")</f>
        <v/>
      </c>
      <c r="AD243" s="48" t="str">
        <f aca="false">IF(N($S243)=0,"",$S243)</f>
        <v/>
      </c>
      <c r="AE243" s="49" t="str">
        <f aca="false">IF(AND($D243=客户对账单!$B$3,$B243&gt;=客户对账单!$E$3,$B243&lt;=客户对账单!$H$3),COUNTIFS($D$5:$D243,客户对账单!$B$3,$B$5:$B243,"&gt;="&amp;客户对账单!$E$3,$B$5:$B243,"&lt;="&amp;客户对账单!$H$3),"")</f>
        <v/>
      </c>
    </row>
    <row r="244" customFormat="false" ht="15.75" hidden="false" customHeight="true" outlineLevel="0" collapsed="false">
      <c r="A244" s="42" t="str">
        <f aca="false">IF($B244="","","XS"&amp;TEXT($B244,"yyyymm")&amp;"-"&amp;TEXT(ROW()-4,"000"))</f>
        <v/>
      </c>
      <c r="B244" s="41"/>
      <c r="C244" s="42" t="str">
        <f aca="false">IF($B244="","",TEXT($B244,"yyyy-mm"))</f>
        <v/>
      </c>
      <c r="D244" s="32"/>
      <c r="E244" s="36"/>
      <c r="F244" s="43"/>
      <c r="G244" s="40"/>
      <c r="H244" s="51"/>
      <c r="I244" s="33"/>
      <c r="J244" s="33"/>
      <c r="K244" s="36"/>
      <c r="L244" s="47" t="str">
        <f aca="false">IF($B244="","",IF(NOT(ISNUMBER($B244)),"日期不是日期格式",IF(YEAR($B244)&lt;&gt;首页!$B$3,"不在会计年度",IF($D244="","未选客户",IF(ISNA(MATCH($D244,基础资料!$Z$6:$Z$155,0)),"客户不在档案",IF($E244="","未选商品",IF(ISNA(MATCH($E244,基础资料!$Q$6:$Q$205,0)),"商品不在档案",IF(NOT(ISNUMBER($F244)),"数量须为数字",IF(NOT(ISNUMBER($G244)),"单价须为数字",IF(N($F244)&lt;=0,"数量须大于0",IF(AND(IFERROR(INDEX(基础资料!$V$6:$V$205,MATCH($E244,基础资料!$Q$6:$Q$205,0)),"")="是",N($R244)=0),"无成本价·请先录采购或填参考成本",IF(N($T244)&lt;0,"毛利为负·请核对","√"))))))))))))</f>
        <v/>
      </c>
      <c r="M244" s="49" t="str">
        <f aca="false">IF($E244="","",IFERROR(INDEX(基础资料!$R$6:$R$205,MATCH($E244,基础资料!$Q$6:$Q$205,0)),""))</f>
        <v/>
      </c>
      <c r="N244" s="49" t="str">
        <f aca="false">IF($E244="","",IFERROR(INDEX(基础资料!$S$6:$S$205,MATCH($E244,基础资料!$Q$6:$Q$205,0)),""))</f>
        <v/>
      </c>
      <c r="O244" s="48" t="str">
        <f aca="false">IF(OR($F244="",$G244=""),"",ROUND(N($F244)*N($G244),2))</f>
        <v/>
      </c>
      <c r="P244" s="48" t="str">
        <f aca="false">IF($O244="","",ROUND(N($O244)*N($H244),2))</f>
        <v/>
      </c>
      <c r="Q244" s="48" t="str">
        <f aca="false">IF($O244="","",N($O244)+N($P244))</f>
        <v/>
      </c>
      <c r="R244" s="48" t="str">
        <f aca="false">IF(OR($E244="",$B244=""),"",IF(IFERROR(INDEX(基础资料!$V$6:$V$205,MATCH($E244,基础资料!$Q$6:$Q$205,0)),"")&lt;&gt;"是",0,IFERROR((SUMIFS(期初数据!$T$6:$T$205,期初数据!$O$6:$O$205,$E244)+SUMIFS(采购录入!$Q$5:$Q$404,采购录入!$E$5:$E$404,$E244,采购录入!$I$5:$I$404,"是",采购录入!$B$5:$B$404,"&lt;="&amp;$B244))/(SUMIFS(期初数据!$R$6:$R$205,期初数据!$O$6:$O$205,$E244)+SUMIFS(采购录入!$F$5:$F$404,采购录入!$E$5:$E$404,$E244,采购录入!$I$5:$I$404,"是",采购录入!$B$5:$B$404,"&lt;="&amp;$B244)),IFERROR(INDEX(基础资料!$U$6:$U$205,MATCH($E244,基础资料!$Q$6:$Q$205,0)),0))))</f>
        <v/>
      </c>
      <c r="S244" s="48" t="str">
        <f aca="false">IF($O244="","",ROUND(N($F244)*N($R244),2))</f>
        <v/>
      </c>
      <c r="T244" s="48" t="str">
        <f aca="false">IF($O244="","",N($O244)-N($S244))</f>
        <v/>
      </c>
      <c r="U244" s="52" t="str">
        <f aca="false">IF(OR($B244="",$D244=""),"",$B244+N(IFERROR(INDEX(基础资料!$AB$6:$AB$155,MATCH($D244,基础资料!$Z$6:$Z$155,0)),0)))</f>
        <v/>
      </c>
      <c r="V244" s="49" t="str">
        <f aca="false">IF($O244="","","1122")</f>
        <v/>
      </c>
      <c r="W244" s="49" t="str">
        <f aca="false">IF($O244="","","6001")</f>
        <v/>
      </c>
      <c r="X244" s="48" t="str">
        <f aca="false">IF($O244="","",$O244)</f>
        <v/>
      </c>
      <c r="Y244" s="49" t="str">
        <f aca="false">IF(N($P244)=0,"","1122")</f>
        <v/>
      </c>
      <c r="Z244" s="49" t="str">
        <f aca="false">IF(N($P244)=0,"","2221")</f>
        <v/>
      </c>
      <c r="AA244" s="48" t="str">
        <f aca="false">IF(N($P244)=0,"",$P244)</f>
        <v/>
      </c>
      <c r="AB244" s="49" t="str">
        <f aca="false">IF(N($S244)=0,"","6401")</f>
        <v/>
      </c>
      <c r="AC244" s="49" t="str">
        <f aca="false">IF(N($S244)=0,"","1405")</f>
        <v/>
      </c>
      <c r="AD244" s="48" t="str">
        <f aca="false">IF(N($S244)=0,"",$S244)</f>
        <v/>
      </c>
      <c r="AE244" s="49" t="str">
        <f aca="false">IF(AND($D244=客户对账单!$B$3,$B244&gt;=客户对账单!$E$3,$B244&lt;=客户对账单!$H$3),COUNTIFS($D$5:$D244,客户对账单!$B$3,$B$5:$B244,"&gt;="&amp;客户对账单!$E$3,$B$5:$B244,"&lt;="&amp;客户对账单!$H$3),"")</f>
        <v/>
      </c>
    </row>
    <row r="245" customFormat="false" ht="15.75" hidden="false" customHeight="true" outlineLevel="0" collapsed="false">
      <c r="A245" s="42" t="str">
        <f aca="false">IF($B245="","","XS"&amp;TEXT($B245,"yyyymm")&amp;"-"&amp;TEXT(ROW()-4,"000"))</f>
        <v/>
      </c>
      <c r="B245" s="41"/>
      <c r="C245" s="42" t="str">
        <f aca="false">IF($B245="","",TEXT($B245,"yyyy-mm"))</f>
        <v/>
      </c>
      <c r="D245" s="32"/>
      <c r="E245" s="36"/>
      <c r="F245" s="43"/>
      <c r="G245" s="40"/>
      <c r="H245" s="51"/>
      <c r="I245" s="33"/>
      <c r="J245" s="33"/>
      <c r="K245" s="36"/>
      <c r="L245" s="47" t="str">
        <f aca="false">IF($B245="","",IF(NOT(ISNUMBER($B245)),"日期不是日期格式",IF(YEAR($B245)&lt;&gt;首页!$B$3,"不在会计年度",IF($D245="","未选客户",IF(ISNA(MATCH($D245,基础资料!$Z$6:$Z$155,0)),"客户不在档案",IF($E245="","未选商品",IF(ISNA(MATCH($E245,基础资料!$Q$6:$Q$205,0)),"商品不在档案",IF(NOT(ISNUMBER($F245)),"数量须为数字",IF(NOT(ISNUMBER($G245)),"单价须为数字",IF(N($F245)&lt;=0,"数量须大于0",IF(AND(IFERROR(INDEX(基础资料!$V$6:$V$205,MATCH($E245,基础资料!$Q$6:$Q$205,0)),"")="是",N($R245)=0),"无成本价·请先录采购或填参考成本",IF(N($T245)&lt;0,"毛利为负·请核对","√"))))))))))))</f>
        <v/>
      </c>
      <c r="M245" s="49" t="str">
        <f aca="false">IF($E245="","",IFERROR(INDEX(基础资料!$R$6:$R$205,MATCH($E245,基础资料!$Q$6:$Q$205,0)),""))</f>
        <v/>
      </c>
      <c r="N245" s="49" t="str">
        <f aca="false">IF($E245="","",IFERROR(INDEX(基础资料!$S$6:$S$205,MATCH($E245,基础资料!$Q$6:$Q$205,0)),""))</f>
        <v/>
      </c>
      <c r="O245" s="48" t="str">
        <f aca="false">IF(OR($F245="",$G245=""),"",ROUND(N($F245)*N($G245),2))</f>
        <v/>
      </c>
      <c r="P245" s="48" t="str">
        <f aca="false">IF($O245="","",ROUND(N($O245)*N($H245),2))</f>
        <v/>
      </c>
      <c r="Q245" s="48" t="str">
        <f aca="false">IF($O245="","",N($O245)+N($P245))</f>
        <v/>
      </c>
      <c r="R245" s="48" t="str">
        <f aca="false">IF(OR($E245="",$B245=""),"",IF(IFERROR(INDEX(基础资料!$V$6:$V$205,MATCH($E245,基础资料!$Q$6:$Q$205,0)),"")&lt;&gt;"是",0,IFERROR((SUMIFS(期初数据!$T$6:$T$205,期初数据!$O$6:$O$205,$E245)+SUMIFS(采购录入!$Q$5:$Q$404,采购录入!$E$5:$E$404,$E245,采购录入!$I$5:$I$404,"是",采购录入!$B$5:$B$404,"&lt;="&amp;$B245))/(SUMIFS(期初数据!$R$6:$R$205,期初数据!$O$6:$O$205,$E245)+SUMIFS(采购录入!$F$5:$F$404,采购录入!$E$5:$E$404,$E245,采购录入!$I$5:$I$404,"是",采购录入!$B$5:$B$404,"&lt;="&amp;$B245)),IFERROR(INDEX(基础资料!$U$6:$U$205,MATCH($E245,基础资料!$Q$6:$Q$205,0)),0))))</f>
        <v/>
      </c>
      <c r="S245" s="48" t="str">
        <f aca="false">IF($O245="","",ROUND(N($F245)*N($R245),2))</f>
        <v/>
      </c>
      <c r="T245" s="48" t="str">
        <f aca="false">IF($O245="","",N($O245)-N($S245))</f>
        <v/>
      </c>
      <c r="U245" s="52" t="str">
        <f aca="false">IF(OR($B245="",$D245=""),"",$B245+N(IFERROR(INDEX(基础资料!$AB$6:$AB$155,MATCH($D245,基础资料!$Z$6:$Z$155,0)),0)))</f>
        <v/>
      </c>
      <c r="V245" s="49" t="str">
        <f aca="false">IF($O245="","","1122")</f>
        <v/>
      </c>
      <c r="W245" s="49" t="str">
        <f aca="false">IF($O245="","","6001")</f>
        <v/>
      </c>
      <c r="X245" s="48" t="str">
        <f aca="false">IF($O245="","",$O245)</f>
        <v/>
      </c>
      <c r="Y245" s="49" t="str">
        <f aca="false">IF(N($P245)=0,"","1122")</f>
        <v/>
      </c>
      <c r="Z245" s="49" t="str">
        <f aca="false">IF(N($P245)=0,"","2221")</f>
        <v/>
      </c>
      <c r="AA245" s="48" t="str">
        <f aca="false">IF(N($P245)=0,"",$P245)</f>
        <v/>
      </c>
      <c r="AB245" s="49" t="str">
        <f aca="false">IF(N($S245)=0,"","6401")</f>
        <v/>
      </c>
      <c r="AC245" s="49" t="str">
        <f aca="false">IF(N($S245)=0,"","1405")</f>
        <v/>
      </c>
      <c r="AD245" s="48" t="str">
        <f aca="false">IF(N($S245)=0,"",$S245)</f>
        <v/>
      </c>
      <c r="AE245" s="49" t="str">
        <f aca="false">IF(AND($D245=客户对账单!$B$3,$B245&gt;=客户对账单!$E$3,$B245&lt;=客户对账单!$H$3),COUNTIFS($D$5:$D245,客户对账单!$B$3,$B$5:$B245,"&gt;="&amp;客户对账单!$E$3,$B$5:$B245,"&lt;="&amp;客户对账单!$H$3),"")</f>
        <v/>
      </c>
    </row>
    <row r="246" customFormat="false" ht="15.75" hidden="false" customHeight="true" outlineLevel="0" collapsed="false">
      <c r="A246" s="42" t="str">
        <f aca="false">IF($B246="","","XS"&amp;TEXT($B246,"yyyymm")&amp;"-"&amp;TEXT(ROW()-4,"000"))</f>
        <v/>
      </c>
      <c r="B246" s="41"/>
      <c r="C246" s="42" t="str">
        <f aca="false">IF($B246="","",TEXT($B246,"yyyy-mm"))</f>
        <v/>
      </c>
      <c r="D246" s="32"/>
      <c r="E246" s="36"/>
      <c r="F246" s="43"/>
      <c r="G246" s="40"/>
      <c r="H246" s="51"/>
      <c r="I246" s="33"/>
      <c r="J246" s="33"/>
      <c r="K246" s="36"/>
      <c r="L246" s="47" t="str">
        <f aca="false">IF($B246="","",IF(NOT(ISNUMBER($B246)),"日期不是日期格式",IF(YEAR($B246)&lt;&gt;首页!$B$3,"不在会计年度",IF($D246="","未选客户",IF(ISNA(MATCH($D246,基础资料!$Z$6:$Z$155,0)),"客户不在档案",IF($E246="","未选商品",IF(ISNA(MATCH($E246,基础资料!$Q$6:$Q$205,0)),"商品不在档案",IF(NOT(ISNUMBER($F246)),"数量须为数字",IF(NOT(ISNUMBER($G246)),"单价须为数字",IF(N($F246)&lt;=0,"数量须大于0",IF(AND(IFERROR(INDEX(基础资料!$V$6:$V$205,MATCH($E246,基础资料!$Q$6:$Q$205,0)),"")="是",N($R246)=0),"无成本价·请先录采购或填参考成本",IF(N($T246)&lt;0,"毛利为负·请核对","√"))))))))))))</f>
        <v/>
      </c>
      <c r="M246" s="49" t="str">
        <f aca="false">IF($E246="","",IFERROR(INDEX(基础资料!$R$6:$R$205,MATCH($E246,基础资料!$Q$6:$Q$205,0)),""))</f>
        <v/>
      </c>
      <c r="N246" s="49" t="str">
        <f aca="false">IF($E246="","",IFERROR(INDEX(基础资料!$S$6:$S$205,MATCH($E246,基础资料!$Q$6:$Q$205,0)),""))</f>
        <v/>
      </c>
      <c r="O246" s="48" t="str">
        <f aca="false">IF(OR($F246="",$G246=""),"",ROUND(N($F246)*N($G246),2))</f>
        <v/>
      </c>
      <c r="P246" s="48" t="str">
        <f aca="false">IF($O246="","",ROUND(N($O246)*N($H246),2))</f>
        <v/>
      </c>
      <c r="Q246" s="48" t="str">
        <f aca="false">IF($O246="","",N($O246)+N($P246))</f>
        <v/>
      </c>
      <c r="R246" s="48" t="str">
        <f aca="false">IF(OR($E246="",$B246=""),"",IF(IFERROR(INDEX(基础资料!$V$6:$V$205,MATCH($E246,基础资料!$Q$6:$Q$205,0)),"")&lt;&gt;"是",0,IFERROR((SUMIFS(期初数据!$T$6:$T$205,期初数据!$O$6:$O$205,$E246)+SUMIFS(采购录入!$Q$5:$Q$404,采购录入!$E$5:$E$404,$E246,采购录入!$I$5:$I$404,"是",采购录入!$B$5:$B$404,"&lt;="&amp;$B246))/(SUMIFS(期初数据!$R$6:$R$205,期初数据!$O$6:$O$205,$E246)+SUMIFS(采购录入!$F$5:$F$404,采购录入!$E$5:$E$404,$E246,采购录入!$I$5:$I$404,"是",采购录入!$B$5:$B$404,"&lt;="&amp;$B246)),IFERROR(INDEX(基础资料!$U$6:$U$205,MATCH($E246,基础资料!$Q$6:$Q$205,0)),0))))</f>
        <v/>
      </c>
      <c r="S246" s="48" t="str">
        <f aca="false">IF($O246="","",ROUND(N($F246)*N($R246),2))</f>
        <v/>
      </c>
      <c r="T246" s="48" t="str">
        <f aca="false">IF($O246="","",N($O246)-N($S246))</f>
        <v/>
      </c>
      <c r="U246" s="52" t="str">
        <f aca="false">IF(OR($B246="",$D246=""),"",$B246+N(IFERROR(INDEX(基础资料!$AB$6:$AB$155,MATCH($D246,基础资料!$Z$6:$Z$155,0)),0)))</f>
        <v/>
      </c>
      <c r="V246" s="49" t="str">
        <f aca="false">IF($O246="","","1122")</f>
        <v/>
      </c>
      <c r="W246" s="49" t="str">
        <f aca="false">IF($O246="","","6001")</f>
        <v/>
      </c>
      <c r="X246" s="48" t="str">
        <f aca="false">IF($O246="","",$O246)</f>
        <v/>
      </c>
      <c r="Y246" s="49" t="str">
        <f aca="false">IF(N($P246)=0,"","1122")</f>
        <v/>
      </c>
      <c r="Z246" s="49" t="str">
        <f aca="false">IF(N($P246)=0,"","2221")</f>
        <v/>
      </c>
      <c r="AA246" s="48" t="str">
        <f aca="false">IF(N($P246)=0,"",$P246)</f>
        <v/>
      </c>
      <c r="AB246" s="49" t="str">
        <f aca="false">IF(N($S246)=0,"","6401")</f>
        <v/>
      </c>
      <c r="AC246" s="49" t="str">
        <f aca="false">IF(N($S246)=0,"","1405")</f>
        <v/>
      </c>
      <c r="AD246" s="48" t="str">
        <f aca="false">IF(N($S246)=0,"",$S246)</f>
        <v/>
      </c>
      <c r="AE246" s="49" t="str">
        <f aca="false">IF(AND($D246=客户对账单!$B$3,$B246&gt;=客户对账单!$E$3,$B246&lt;=客户对账单!$H$3),COUNTIFS($D$5:$D246,客户对账单!$B$3,$B$5:$B246,"&gt;="&amp;客户对账单!$E$3,$B$5:$B246,"&lt;="&amp;客户对账单!$H$3),"")</f>
        <v/>
      </c>
    </row>
    <row r="247" customFormat="false" ht="15.75" hidden="false" customHeight="true" outlineLevel="0" collapsed="false">
      <c r="A247" s="42" t="str">
        <f aca="false">IF($B247="","","XS"&amp;TEXT($B247,"yyyymm")&amp;"-"&amp;TEXT(ROW()-4,"000"))</f>
        <v/>
      </c>
      <c r="B247" s="41"/>
      <c r="C247" s="42" t="str">
        <f aca="false">IF($B247="","",TEXT($B247,"yyyy-mm"))</f>
        <v/>
      </c>
      <c r="D247" s="32"/>
      <c r="E247" s="36"/>
      <c r="F247" s="43"/>
      <c r="G247" s="40"/>
      <c r="H247" s="51"/>
      <c r="I247" s="33"/>
      <c r="J247" s="33"/>
      <c r="K247" s="36"/>
      <c r="L247" s="47" t="str">
        <f aca="false">IF($B247="","",IF(NOT(ISNUMBER($B247)),"日期不是日期格式",IF(YEAR($B247)&lt;&gt;首页!$B$3,"不在会计年度",IF($D247="","未选客户",IF(ISNA(MATCH($D247,基础资料!$Z$6:$Z$155,0)),"客户不在档案",IF($E247="","未选商品",IF(ISNA(MATCH($E247,基础资料!$Q$6:$Q$205,0)),"商品不在档案",IF(NOT(ISNUMBER($F247)),"数量须为数字",IF(NOT(ISNUMBER($G247)),"单价须为数字",IF(N($F247)&lt;=0,"数量须大于0",IF(AND(IFERROR(INDEX(基础资料!$V$6:$V$205,MATCH($E247,基础资料!$Q$6:$Q$205,0)),"")="是",N($R247)=0),"无成本价·请先录采购或填参考成本",IF(N($T247)&lt;0,"毛利为负·请核对","√"))))))))))))</f>
        <v/>
      </c>
      <c r="M247" s="49" t="str">
        <f aca="false">IF($E247="","",IFERROR(INDEX(基础资料!$R$6:$R$205,MATCH($E247,基础资料!$Q$6:$Q$205,0)),""))</f>
        <v/>
      </c>
      <c r="N247" s="49" t="str">
        <f aca="false">IF($E247="","",IFERROR(INDEX(基础资料!$S$6:$S$205,MATCH($E247,基础资料!$Q$6:$Q$205,0)),""))</f>
        <v/>
      </c>
      <c r="O247" s="48" t="str">
        <f aca="false">IF(OR($F247="",$G247=""),"",ROUND(N($F247)*N($G247),2))</f>
        <v/>
      </c>
      <c r="P247" s="48" t="str">
        <f aca="false">IF($O247="","",ROUND(N($O247)*N($H247),2))</f>
        <v/>
      </c>
      <c r="Q247" s="48" t="str">
        <f aca="false">IF($O247="","",N($O247)+N($P247))</f>
        <v/>
      </c>
      <c r="R247" s="48" t="str">
        <f aca="false">IF(OR($E247="",$B247=""),"",IF(IFERROR(INDEX(基础资料!$V$6:$V$205,MATCH($E247,基础资料!$Q$6:$Q$205,0)),"")&lt;&gt;"是",0,IFERROR((SUMIFS(期初数据!$T$6:$T$205,期初数据!$O$6:$O$205,$E247)+SUMIFS(采购录入!$Q$5:$Q$404,采购录入!$E$5:$E$404,$E247,采购录入!$I$5:$I$404,"是",采购录入!$B$5:$B$404,"&lt;="&amp;$B247))/(SUMIFS(期初数据!$R$6:$R$205,期初数据!$O$6:$O$205,$E247)+SUMIFS(采购录入!$F$5:$F$404,采购录入!$E$5:$E$404,$E247,采购录入!$I$5:$I$404,"是",采购录入!$B$5:$B$404,"&lt;="&amp;$B247)),IFERROR(INDEX(基础资料!$U$6:$U$205,MATCH($E247,基础资料!$Q$6:$Q$205,0)),0))))</f>
        <v/>
      </c>
      <c r="S247" s="48" t="str">
        <f aca="false">IF($O247="","",ROUND(N($F247)*N($R247),2))</f>
        <v/>
      </c>
      <c r="T247" s="48" t="str">
        <f aca="false">IF($O247="","",N($O247)-N($S247))</f>
        <v/>
      </c>
      <c r="U247" s="52" t="str">
        <f aca="false">IF(OR($B247="",$D247=""),"",$B247+N(IFERROR(INDEX(基础资料!$AB$6:$AB$155,MATCH($D247,基础资料!$Z$6:$Z$155,0)),0)))</f>
        <v/>
      </c>
      <c r="V247" s="49" t="str">
        <f aca="false">IF($O247="","","1122")</f>
        <v/>
      </c>
      <c r="W247" s="49" t="str">
        <f aca="false">IF($O247="","","6001")</f>
        <v/>
      </c>
      <c r="X247" s="48" t="str">
        <f aca="false">IF($O247="","",$O247)</f>
        <v/>
      </c>
      <c r="Y247" s="49" t="str">
        <f aca="false">IF(N($P247)=0,"","1122")</f>
        <v/>
      </c>
      <c r="Z247" s="49" t="str">
        <f aca="false">IF(N($P247)=0,"","2221")</f>
        <v/>
      </c>
      <c r="AA247" s="48" t="str">
        <f aca="false">IF(N($P247)=0,"",$P247)</f>
        <v/>
      </c>
      <c r="AB247" s="49" t="str">
        <f aca="false">IF(N($S247)=0,"","6401")</f>
        <v/>
      </c>
      <c r="AC247" s="49" t="str">
        <f aca="false">IF(N($S247)=0,"","1405")</f>
        <v/>
      </c>
      <c r="AD247" s="48" t="str">
        <f aca="false">IF(N($S247)=0,"",$S247)</f>
        <v/>
      </c>
      <c r="AE247" s="49" t="str">
        <f aca="false">IF(AND($D247=客户对账单!$B$3,$B247&gt;=客户对账单!$E$3,$B247&lt;=客户对账单!$H$3),COUNTIFS($D$5:$D247,客户对账单!$B$3,$B$5:$B247,"&gt;="&amp;客户对账单!$E$3,$B$5:$B247,"&lt;="&amp;客户对账单!$H$3),"")</f>
        <v/>
      </c>
    </row>
    <row r="248" customFormat="false" ht="15.75" hidden="false" customHeight="true" outlineLevel="0" collapsed="false">
      <c r="A248" s="42" t="str">
        <f aca="false">IF($B248="","","XS"&amp;TEXT($B248,"yyyymm")&amp;"-"&amp;TEXT(ROW()-4,"000"))</f>
        <v/>
      </c>
      <c r="B248" s="41"/>
      <c r="C248" s="42" t="str">
        <f aca="false">IF($B248="","",TEXT($B248,"yyyy-mm"))</f>
        <v/>
      </c>
      <c r="D248" s="32"/>
      <c r="E248" s="36"/>
      <c r="F248" s="43"/>
      <c r="G248" s="40"/>
      <c r="H248" s="51"/>
      <c r="I248" s="33"/>
      <c r="J248" s="33"/>
      <c r="K248" s="36"/>
      <c r="L248" s="47" t="str">
        <f aca="false">IF($B248="","",IF(NOT(ISNUMBER($B248)),"日期不是日期格式",IF(YEAR($B248)&lt;&gt;首页!$B$3,"不在会计年度",IF($D248="","未选客户",IF(ISNA(MATCH($D248,基础资料!$Z$6:$Z$155,0)),"客户不在档案",IF($E248="","未选商品",IF(ISNA(MATCH($E248,基础资料!$Q$6:$Q$205,0)),"商品不在档案",IF(NOT(ISNUMBER($F248)),"数量须为数字",IF(NOT(ISNUMBER($G248)),"单价须为数字",IF(N($F248)&lt;=0,"数量须大于0",IF(AND(IFERROR(INDEX(基础资料!$V$6:$V$205,MATCH($E248,基础资料!$Q$6:$Q$205,0)),"")="是",N($R248)=0),"无成本价·请先录采购或填参考成本",IF(N($T248)&lt;0,"毛利为负·请核对","√"))))))))))))</f>
        <v/>
      </c>
      <c r="M248" s="49" t="str">
        <f aca="false">IF($E248="","",IFERROR(INDEX(基础资料!$R$6:$R$205,MATCH($E248,基础资料!$Q$6:$Q$205,0)),""))</f>
        <v/>
      </c>
      <c r="N248" s="49" t="str">
        <f aca="false">IF($E248="","",IFERROR(INDEX(基础资料!$S$6:$S$205,MATCH($E248,基础资料!$Q$6:$Q$205,0)),""))</f>
        <v/>
      </c>
      <c r="O248" s="48" t="str">
        <f aca="false">IF(OR($F248="",$G248=""),"",ROUND(N($F248)*N($G248),2))</f>
        <v/>
      </c>
      <c r="P248" s="48" t="str">
        <f aca="false">IF($O248="","",ROUND(N($O248)*N($H248),2))</f>
        <v/>
      </c>
      <c r="Q248" s="48" t="str">
        <f aca="false">IF($O248="","",N($O248)+N($P248))</f>
        <v/>
      </c>
      <c r="R248" s="48" t="str">
        <f aca="false">IF(OR($E248="",$B248=""),"",IF(IFERROR(INDEX(基础资料!$V$6:$V$205,MATCH($E248,基础资料!$Q$6:$Q$205,0)),"")&lt;&gt;"是",0,IFERROR((SUMIFS(期初数据!$T$6:$T$205,期初数据!$O$6:$O$205,$E248)+SUMIFS(采购录入!$Q$5:$Q$404,采购录入!$E$5:$E$404,$E248,采购录入!$I$5:$I$404,"是",采购录入!$B$5:$B$404,"&lt;="&amp;$B248))/(SUMIFS(期初数据!$R$6:$R$205,期初数据!$O$6:$O$205,$E248)+SUMIFS(采购录入!$F$5:$F$404,采购录入!$E$5:$E$404,$E248,采购录入!$I$5:$I$404,"是",采购录入!$B$5:$B$404,"&lt;="&amp;$B248)),IFERROR(INDEX(基础资料!$U$6:$U$205,MATCH($E248,基础资料!$Q$6:$Q$205,0)),0))))</f>
        <v/>
      </c>
      <c r="S248" s="48" t="str">
        <f aca="false">IF($O248="","",ROUND(N($F248)*N($R248),2))</f>
        <v/>
      </c>
      <c r="T248" s="48" t="str">
        <f aca="false">IF($O248="","",N($O248)-N($S248))</f>
        <v/>
      </c>
      <c r="U248" s="52" t="str">
        <f aca="false">IF(OR($B248="",$D248=""),"",$B248+N(IFERROR(INDEX(基础资料!$AB$6:$AB$155,MATCH($D248,基础资料!$Z$6:$Z$155,0)),0)))</f>
        <v/>
      </c>
      <c r="V248" s="49" t="str">
        <f aca="false">IF($O248="","","1122")</f>
        <v/>
      </c>
      <c r="W248" s="49" t="str">
        <f aca="false">IF($O248="","","6001")</f>
        <v/>
      </c>
      <c r="X248" s="48" t="str">
        <f aca="false">IF($O248="","",$O248)</f>
        <v/>
      </c>
      <c r="Y248" s="49" t="str">
        <f aca="false">IF(N($P248)=0,"","1122")</f>
        <v/>
      </c>
      <c r="Z248" s="49" t="str">
        <f aca="false">IF(N($P248)=0,"","2221")</f>
        <v/>
      </c>
      <c r="AA248" s="48" t="str">
        <f aca="false">IF(N($P248)=0,"",$P248)</f>
        <v/>
      </c>
      <c r="AB248" s="49" t="str">
        <f aca="false">IF(N($S248)=0,"","6401")</f>
        <v/>
      </c>
      <c r="AC248" s="49" t="str">
        <f aca="false">IF(N($S248)=0,"","1405")</f>
        <v/>
      </c>
      <c r="AD248" s="48" t="str">
        <f aca="false">IF(N($S248)=0,"",$S248)</f>
        <v/>
      </c>
      <c r="AE248" s="49" t="str">
        <f aca="false">IF(AND($D248=客户对账单!$B$3,$B248&gt;=客户对账单!$E$3,$B248&lt;=客户对账单!$H$3),COUNTIFS($D$5:$D248,客户对账单!$B$3,$B$5:$B248,"&gt;="&amp;客户对账单!$E$3,$B$5:$B248,"&lt;="&amp;客户对账单!$H$3),"")</f>
        <v/>
      </c>
    </row>
    <row r="249" customFormat="false" ht="15.75" hidden="false" customHeight="true" outlineLevel="0" collapsed="false">
      <c r="A249" s="42" t="str">
        <f aca="false">IF($B249="","","XS"&amp;TEXT($B249,"yyyymm")&amp;"-"&amp;TEXT(ROW()-4,"000"))</f>
        <v/>
      </c>
      <c r="B249" s="41"/>
      <c r="C249" s="42" t="str">
        <f aca="false">IF($B249="","",TEXT($B249,"yyyy-mm"))</f>
        <v/>
      </c>
      <c r="D249" s="32"/>
      <c r="E249" s="36"/>
      <c r="F249" s="43"/>
      <c r="G249" s="40"/>
      <c r="H249" s="51"/>
      <c r="I249" s="33"/>
      <c r="J249" s="33"/>
      <c r="K249" s="36"/>
      <c r="L249" s="47" t="str">
        <f aca="false">IF($B249="","",IF(NOT(ISNUMBER($B249)),"日期不是日期格式",IF(YEAR($B249)&lt;&gt;首页!$B$3,"不在会计年度",IF($D249="","未选客户",IF(ISNA(MATCH($D249,基础资料!$Z$6:$Z$155,0)),"客户不在档案",IF($E249="","未选商品",IF(ISNA(MATCH($E249,基础资料!$Q$6:$Q$205,0)),"商品不在档案",IF(NOT(ISNUMBER($F249)),"数量须为数字",IF(NOT(ISNUMBER($G249)),"单价须为数字",IF(N($F249)&lt;=0,"数量须大于0",IF(AND(IFERROR(INDEX(基础资料!$V$6:$V$205,MATCH($E249,基础资料!$Q$6:$Q$205,0)),"")="是",N($R249)=0),"无成本价·请先录采购或填参考成本",IF(N($T249)&lt;0,"毛利为负·请核对","√"))))))))))))</f>
        <v/>
      </c>
      <c r="M249" s="49" t="str">
        <f aca="false">IF($E249="","",IFERROR(INDEX(基础资料!$R$6:$R$205,MATCH($E249,基础资料!$Q$6:$Q$205,0)),""))</f>
        <v/>
      </c>
      <c r="N249" s="49" t="str">
        <f aca="false">IF($E249="","",IFERROR(INDEX(基础资料!$S$6:$S$205,MATCH($E249,基础资料!$Q$6:$Q$205,0)),""))</f>
        <v/>
      </c>
      <c r="O249" s="48" t="str">
        <f aca="false">IF(OR($F249="",$G249=""),"",ROUND(N($F249)*N($G249),2))</f>
        <v/>
      </c>
      <c r="P249" s="48" t="str">
        <f aca="false">IF($O249="","",ROUND(N($O249)*N($H249),2))</f>
        <v/>
      </c>
      <c r="Q249" s="48" t="str">
        <f aca="false">IF($O249="","",N($O249)+N($P249))</f>
        <v/>
      </c>
      <c r="R249" s="48" t="str">
        <f aca="false">IF(OR($E249="",$B249=""),"",IF(IFERROR(INDEX(基础资料!$V$6:$V$205,MATCH($E249,基础资料!$Q$6:$Q$205,0)),"")&lt;&gt;"是",0,IFERROR((SUMIFS(期初数据!$T$6:$T$205,期初数据!$O$6:$O$205,$E249)+SUMIFS(采购录入!$Q$5:$Q$404,采购录入!$E$5:$E$404,$E249,采购录入!$I$5:$I$404,"是",采购录入!$B$5:$B$404,"&lt;="&amp;$B249))/(SUMIFS(期初数据!$R$6:$R$205,期初数据!$O$6:$O$205,$E249)+SUMIFS(采购录入!$F$5:$F$404,采购录入!$E$5:$E$404,$E249,采购录入!$I$5:$I$404,"是",采购录入!$B$5:$B$404,"&lt;="&amp;$B249)),IFERROR(INDEX(基础资料!$U$6:$U$205,MATCH($E249,基础资料!$Q$6:$Q$205,0)),0))))</f>
        <v/>
      </c>
      <c r="S249" s="48" t="str">
        <f aca="false">IF($O249="","",ROUND(N($F249)*N($R249),2))</f>
        <v/>
      </c>
      <c r="T249" s="48" t="str">
        <f aca="false">IF($O249="","",N($O249)-N($S249))</f>
        <v/>
      </c>
      <c r="U249" s="52" t="str">
        <f aca="false">IF(OR($B249="",$D249=""),"",$B249+N(IFERROR(INDEX(基础资料!$AB$6:$AB$155,MATCH($D249,基础资料!$Z$6:$Z$155,0)),0)))</f>
        <v/>
      </c>
      <c r="V249" s="49" t="str">
        <f aca="false">IF($O249="","","1122")</f>
        <v/>
      </c>
      <c r="W249" s="49" t="str">
        <f aca="false">IF($O249="","","6001")</f>
        <v/>
      </c>
      <c r="X249" s="48" t="str">
        <f aca="false">IF($O249="","",$O249)</f>
        <v/>
      </c>
      <c r="Y249" s="49" t="str">
        <f aca="false">IF(N($P249)=0,"","1122")</f>
        <v/>
      </c>
      <c r="Z249" s="49" t="str">
        <f aca="false">IF(N($P249)=0,"","2221")</f>
        <v/>
      </c>
      <c r="AA249" s="48" t="str">
        <f aca="false">IF(N($P249)=0,"",$P249)</f>
        <v/>
      </c>
      <c r="AB249" s="49" t="str">
        <f aca="false">IF(N($S249)=0,"","6401")</f>
        <v/>
      </c>
      <c r="AC249" s="49" t="str">
        <f aca="false">IF(N($S249)=0,"","1405")</f>
        <v/>
      </c>
      <c r="AD249" s="48" t="str">
        <f aca="false">IF(N($S249)=0,"",$S249)</f>
        <v/>
      </c>
      <c r="AE249" s="49" t="str">
        <f aca="false">IF(AND($D249=客户对账单!$B$3,$B249&gt;=客户对账单!$E$3,$B249&lt;=客户对账单!$H$3),COUNTIFS($D$5:$D249,客户对账单!$B$3,$B$5:$B249,"&gt;="&amp;客户对账单!$E$3,$B$5:$B249,"&lt;="&amp;客户对账单!$H$3),"")</f>
        <v/>
      </c>
    </row>
    <row r="250" customFormat="false" ht="15.75" hidden="false" customHeight="true" outlineLevel="0" collapsed="false">
      <c r="A250" s="42" t="str">
        <f aca="false">IF($B250="","","XS"&amp;TEXT($B250,"yyyymm")&amp;"-"&amp;TEXT(ROW()-4,"000"))</f>
        <v/>
      </c>
      <c r="B250" s="41"/>
      <c r="C250" s="42" t="str">
        <f aca="false">IF($B250="","",TEXT($B250,"yyyy-mm"))</f>
        <v/>
      </c>
      <c r="D250" s="32"/>
      <c r="E250" s="36"/>
      <c r="F250" s="43"/>
      <c r="G250" s="40"/>
      <c r="H250" s="51"/>
      <c r="I250" s="33"/>
      <c r="J250" s="33"/>
      <c r="K250" s="36"/>
      <c r="L250" s="47" t="str">
        <f aca="false">IF($B250="","",IF(NOT(ISNUMBER($B250)),"日期不是日期格式",IF(YEAR($B250)&lt;&gt;首页!$B$3,"不在会计年度",IF($D250="","未选客户",IF(ISNA(MATCH($D250,基础资料!$Z$6:$Z$155,0)),"客户不在档案",IF($E250="","未选商品",IF(ISNA(MATCH($E250,基础资料!$Q$6:$Q$205,0)),"商品不在档案",IF(NOT(ISNUMBER($F250)),"数量须为数字",IF(NOT(ISNUMBER($G250)),"单价须为数字",IF(N($F250)&lt;=0,"数量须大于0",IF(AND(IFERROR(INDEX(基础资料!$V$6:$V$205,MATCH($E250,基础资料!$Q$6:$Q$205,0)),"")="是",N($R250)=0),"无成本价·请先录采购或填参考成本",IF(N($T250)&lt;0,"毛利为负·请核对","√"))))))))))))</f>
        <v/>
      </c>
      <c r="M250" s="49" t="str">
        <f aca="false">IF($E250="","",IFERROR(INDEX(基础资料!$R$6:$R$205,MATCH($E250,基础资料!$Q$6:$Q$205,0)),""))</f>
        <v/>
      </c>
      <c r="N250" s="49" t="str">
        <f aca="false">IF($E250="","",IFERROR(INDEX(基础资料!$S$6:$S$205,MATCH($E250,基础资料!$Q$6:$Q$205,0)),""))</f>
        <v/>
      </c>
      <c r="O250" s="48" t="str">
        <f aca="false">IF(OR($F250="",$G250=""),"",ROUND(N($F250)*N($G250),2))</f>
        <v/>
      </c>
      <c r="P250" s="48" t="str">
        <f aca="false">IF($O250="","",ROUND(N($O250)*N($H250),2))</f>
        <v/>
      </c>
      <c r="Q250" s="48" t="str">
        <f aca="false">IF($O250="","",N($O250)+N($P250))</f>
        <v/>
      </c>
      <c r="R250" s="48" t="str">
        <f aca="false">IF(OR($E250="",$B250=""),"",IF(IFERROR(INDEX(基础资料!$V$6:$V$205,MATCH($E250,基础资料!$Q$6:$Q$205,0)),"")&lt;&gt;"是",0,IFERROR((SUMIFS(期初数据!$T$6:$T$205,期初数据!$O$6:$O$205,$E250)+SUMIFS(采购录入!$Q$5:$Q$404,采购录入!$E$5:$E$404,$E250,采购录入!$I$5:$I$404,"是",采购录入!$B$5:$B$404,"&lt;="&amp;$B250))/(SUMIFS(期初数据!$R$6:$R$205,期初数据!$O$6:$O$205,$E250)+SUMIFS(采购录入!$F$5:$F$404,采购录入!$E$5:$E$404,$E250,采购录入!$I$5:$I$404,"是",采购录入!$B$5:$B$404,"&lt;="&amp;$B250)),IFERROR(INDEX(基础资料!$U$6:$U$205,MATCH($E250,基础资料!$Q$6:$Q$205,0)),0))))</f>
        <v/>
      </c>
      <c r="S250" s="48" t="str">
        <f aca="false">IF($O250="","",ROUND(N($F250)*N($R250),2))</f>
        <v/>
      </c>
      <c r="T250" s="48" t="str">
        <f aca="false">IF($O250="","",N($O250)-N($S250))</f>
        <v/>
      </c>
      <c r="U250" s="52" t="str">
        <f aca="false">IF(OR($B250="",$D250=""),"",$B250+N(IFERROR(INDEX(基础资料!$AB$6:$AB$155,MATCH($D250,基础资料!$Z$6:$Z$155,0)),0)))</f>
        <v/>
      </c>
      <c r="V250" s="49" t="str">
        <f aca="false">IF($O250="","","1122")</f>
        <v/>
      </c>
      <c r="W250" s="49" t="str">
        <f aca="false">IF($O250="","","6001")</f>
        <v/>
      </c>
      <c r="X250" s="48" t="str">
        <f aca="false">IF($O250="","",$O250)</f>
        <v/>
      </c>
      <c r="Y250" s="49" t="str">
        <f aca="false">IF(N($P250)=0,"","1122")</f>
        <v/>
      </c>
      <c r="Z250" s="49" t="str">
        <f aca="false">IF(N($P250)=0,"","2221")</f>
        <v/>
      </c>
      <c r="AA250" s="48" t="str">
        <f aca="false">IF(N($P250)=0,"",$P250)</f>
        <v/>
      </c>
      <c r="AB250" s="49" t="str">
        <f aca="false">IF(N($S250)=0,"","6401")</f>
        <v/>
      </c>
      <c r="AC250" s="49" t="str">
        <f aca="false">IF(N($S250)=0,"","1405")</f>
        <v/>
      </c>
      <c r="AD250" s="48" t="str">
        <f aca="false">IF(N($S250)=0,"",$S250)</f>
        <v/>
      </c>
      <c r="AE250" s="49" t="str">
        <f aca="false">IF(AND($D250=客户对账单!$B$3,$B250&gt;=客户对账单!$E$3,$B250&lt;=客户对账单!$H$3),COUNTIFS($D$5:$D250,客户对账单!$B$3,$B$5:$B250,"&gt;="&amp;客户对账单!$E$3,$B$5:$B250,"&lt;="&amp;客户对账单!$H$3),"")</f>
        <v/>
      </c>
    </row>
    <row r="251" customFormat="false" ht="15.75" hidden="false" customHeight="true" outlineLevel="0" collapsed="false">
      <c r="A251" s="42" t="str">
        <f aca="false">IF($B251="","","XS"&amp;TEXT($B251,"yyyymm")&amp;"-"&amp;TEXT(ROW()-4,"000"))</f>
        <v/>
      </c>
      <c r="B251" s="41"/>
      <c r="C251" s="42" t="str">
        <f aca="false">IF($B251="","",TEXT($B251,"yyyy-mm"))</f>
        <v/>
      </c>
      <c r="D251" s="32"/>
      <c r="E251" s="36"/>
      <c r="F251" s="43"/>
      <c r="G251" s="40"/>
      <c r="H251" s="51"/>
      <c r="I251" s="33"/>
      <c r="J251" s="33"/>
      <c r="K251" s="36"/>
      <c r="L251" s="47" t="str">
        <f aca="false">IF($B251="","",IF(NOT(ISNUMBER($B251)),"日期不是日期格式",IF(YEAR($B251)&lt;&gt;首页!$B$3,"不在会计年度",IF($D251="","未选客户",IF(ISNA(MATCH($D251,基础资料!$Z$6:$Z$155,0)),"客户不在档案",IF($E251="","未选商品",IF(ISNA(MATCH($E251,基础资料!$Q$6:$Q$205,0)),"商品不在档案",IF(NOT(ISNUMBER($F251)),"数量须为数字",IF(NOT(ISNUMBER($G251)),"单价须为数字",IF(N($F251)&lt;=0,"数量须大于0",IF(AND(IFERROR(INDEX(基础资料!$V$6:$V$205,MATCH($E251,基础资料!$Q$6:$Q$205,0)),"")="是",N($R251)=0),"无成本价·请先录采购或填参考成本",IF(N($T251)&lt;0,"毛利为负·请核对","√"))))))))))))</f>
        <v/>
      </c>
      <c r="M251" s="49" t="str">
        <f aca="false">IF($E251="","",IFERROR(INDEX(基础资料!$R$6:$R$205,MATCH($E251,基础资料!$Q$6:$Q$205,0)),""))</f>
        <v/>
      </c>
      <c r="N251" s="49" t="str">
        <f aca="false">IF($E251="","",IFERROR(INDEX(基础资料!$S$6:$S$205,MATCH($E251,基础资料!$Q$6:$Q$205,0)),""))</f>
        <v/>
      </c>
      <c r="O251" s="48" t="str">
        <f aca="false">IF(OR($F251="",$G251=""),"",ROUND(N($F251)*N($G251),2))</f>
        <v/>
      </c>
      <c r="P251" s="48" t="str">
        <f aca="false">IF($O251="","",ROUND(N($O251)*N($H251),2))</f>
        <v/>
      </c>
      <c r="Q251" s="48" t="str">
        <f aca="false">IF($O251="","",N($O251)+N($P251))</f>
        <v/>
      </c>
      <c r="R251" s="48" t="str">
        <f aca="false">IF(OR($E251="",$B251=""),"",IF(IFERROR(INDEX(基础资料!$V$6:$V$205,MATCH($E251,基础资料!$Q$6:$Q$205,0)),"")&lt;&gt;"是",0,IFERROR((SUMIFS(期初数据!$T$6:$T$205,期初数据!$O$6:$O$205,$E251)+SUMIFS(采购录入!$Q$5:$Q$404,采购录入!$E$5:$E$404,$E251,采购录入!$I$5:$I$404,"是",采购录入!$B$5:$B$404,"&lt;="&amp;$B251))/(SUMIFS(期初数据!$R$6:$R$205,期初数据!$O$6:$O$205,$E251)+SUMIFS(采购录入!$F$5:$F$404,采购录入!$E$5:$E$404,$E251,采购录入!$I$5:$I$404,"是",采购录入!$B$5:$B$404,"&lt;="&amp;$B251)),IFERROR(INDEX(基础资料!$U$6:$U$205,MATCH($E251,基础资料!$Q$6:$Q$205,0)),0))))</f>
        <v/>
      </c>
      <c r="S251" s="48" t="str">
        <f aca="false">IF($O251="","",ROUND(N($F251)*N($R251),2))</f>
        <v/>
      </c>
      <c r="T251" s="48" t="str">
        <f aca="false">IF($O251="","",N($O251)-N($S251))</f>
        <v/>
      </c>
      <c r="U251" s="52" t="str">
        <f aca="false">IF(OR($B251="",$D251=""),"",$B251+N(IFERROR(INDEX(基础资料!$AB$6:$AB$155,MATCH($D251,基础资料!$Z$6:$Z$155,0)),0)))</f>
        <v/>
      </c>
      <c r="V251" s="49" t="str">
        <f aca="false">IF($O251="","","1122")</f>
        <v/>
      </c>
      <c r="W251" s="49" t="str">
        <f aca="false">IF($O251="","","6001")</f>
        <v/>
      </c>
      <c r="X251" s="48" t="str">
        <f aca="false">IF($O251="","",$O251)</f>
        <v/>
      </c>
      <c r="Y251" s="49" t="str">
        <f aca="false">IF(N($P251)=0,"","1122")</f>
        <v/>
      </c>
      <c r="Z251" s="49" t="str">
        <f aca="false">IF(N($P251)=0,"","2221")</f>
        <v/>
      </c>
      <c r="AA251" s="48" t="str">
        <f aca="false">IF(N($P251)=0,"",$P251)</f>
        <v/>
      </c>
      <c r="AB251" s="49" t="str">
        <f aca="false">IF(N($S251)=0,"","6401")</f>
        <v/>
      </c>
      <c r="AC251" s="49" t="str">
        <f aca="false">IF(N($S251)=0,"","1405")</f>
        <v/>
      </c>
      <c r="AD251" s="48" t="str">
        <f aca="false">IF(N($S251)=0,"",$S251)</f>
        <v/>
      </c>
      <c r="AE251" s="49" t="str">
        <f aca="false">IF(AND($D251=客户对账单!$B$3,$B251&gt;=客户对账单!$E$3,$B251&lt;=客户对账单!$H$3),COUNTIFS($D$5:$D251,客户对账单!$B$3,$B$5:$B251,"&gt;="&amp;客户对账单!$E$3,$B$5:$B251,"&lt;="&amp;客户对账单!$H$3),"")</f>
        <v/>
      </c>
    </row>
    <row r="252" customFormat="false" ht="15.75" hidden="false" customHeight="true" outlineLevel="0" collapsed="false">
      <c r="A252" s="42" t="str">
        <f aca="false">IF($B252="","","XS"&amp;TEXT($B252,"yyyymm")&amp;"-"&amp;TEXT(ROW()-4,"000"))</f>
        <v/>
      </c>
      <c r="B252" s="41"/>
      <c r="C252" s="42" t="str">
        <f aca="false">IF($B252="","",TEXT($B252,"yyyy-mm"))</f>
        <v/>
      </c>
      <c r="D252" s="32"/>
      <c r="E252" s="36"/>
      <c r="F252" s="43"/>
      <c r="G252" s="40"/>
      <c r="H252" s="51"/>
      <c r="I252" s="33"/>
      <c r="J252" s="33"/>
      <c r="K252" s="36"/>
      <c r="L252" s="47" t="str">
        <f aca="false">IF($B252="","",IF(NOT(ISNUMBER($B252)),"日期不是日期格式",IF(YEAR($B252)&lt;&gt;首页!$B$3,"不在会计年度",IF($D252="","未选客户",IF(ISNA(MATCH($D252,基础资料!$Z$6:$Z$155,0)),"客户不在档案",IF($E252="","未选商品",IF(ISNA(MATCH($E252,基础资料!$Q$6:$Q$205,0)),"商品不在档案",IF(NOT(ISNUMBER($F252)),"数量须为数字",IF(NOT(ISNUMBER($G252)),"单价须为数字",IF(N($F252)&lt;=0,"数量须大于0",IF(AND(IFERROR(INDEX(基础资料!$V$6:$V$205,MATCH($E252,基础资料!$Q$6:$Q$205,0)),"")="是",N($R252)=0),"无成本价·请先录采购或填参考成本",IF(N($T252)&lt;0,"毛利为负·请核对","√"))))))))))))</f>
        <v/>
      </c>
      <c r="M252" s="49" t="str">
        <f aca="false">IF($E252="","",IFERROR(INDEX(基础资料!$R$6:$R$205,MATCH($E252,基础资料!$Q$6:$Q$205,0)),""))</f>
        <v/>
      </c>
      <c r="N252" s="49" t="str">
        <f aca="false">IF($E252="","",IFERROR(INDEX(基础资料!$S$6:$S$205,MATCH($E252,基础资料!$Q$6:$Q$205,0)),""))</f>
        <v/>
      </c>
      <c r="O252" s="48" t="str">
        <f aca="false">IF(OR($F252="",$G252=""),"",ROUND(N($F252)*N($G252),2))</f>
        <v/>
      </c>
      <c r="P252" s="48" t="str">
        <f aca="false">IF($O252="","",ROUND(N($O252)*N($H252),2))</f>
        <v/>
      </c>
      <c r="Q252" s="48" t="str">
        <f aca="false">IF($O252="","",N($O252)+N($P252))</f>
        <v/>
      </c>
      <c r="R252" s="48" t="str">
        <f aca="false">IF(OR($E252="",$B252=""),"",IF(IFERROR(INDEX(基础资料!$V$6:$V$205,MATCH($E252,基础资料!$Q$6:$Q$205,0)),"")&lt;&gt;"是",0,IFERROR((SUMIFS(期初数据!$T$6:$T$205,期初数据!$O$6:$O$205,$E252)+SUMIFS(采购录入!$Q$5:$Q$404,采购录入!$E$5:$E$404,$E252,采购录入!$I$5:$I$404,"是",采购录入!$B$5:$B$404,"&lt;="&amp;$B252))/(SUMIFS(期初数据!$R$6:$R$205,期初数据!$O$6:$O$205,$E252)+SUMIFS(采购录入!$F$5:$F$404,采购录入!$E$5:$E$404,$E252,采购录入!$I$5:$I$404,"是",采购录入!$B$5:$B$404,"&lt;="&amp;$B252)),IFERROR(INDEX(基础资料!$U$6:$U$205,MATCH($E252,基础资料!$Q$6:$Q$205,0)),0))))</f>
        <v/>
      </c>
      <c r="S252" s="48" t="str">
        <f aca="false">IF($O252="","",ROUND(N($F252)*N($R252),2))</f>
        <v/>
      </c>
      <c r="T252" s="48" t="str">
        <f aca="false">IF($O252="","",N($O252)-N($S252))</f>
        <v/>
      </c>
      <c r="U252" s="52" t="str">
        <f aca="false">IF(OR($B252="",$D252=""),"",$B252+N(IFERROR(INDEX(基础资料!$AB$6:$AB$155,MATCH($D252,基础资料!$Z$6:$Z$155,0)),0)))</f>
        <v/>
      </c>
      <c r="V252" s="49" t="str">
        <f aca="false">IF($O252="","","1122")</f>
        <v/>
      </c>
      <c r="W252" s="49" t="str">
        <f aca="false">IF($O252="","","6001")</f>
        <v/>
      </c>
      <c r="X252" s="48" t="str">
        <f aca="false">IF($O252="","",$O252)</f>
        <v/>
      </c>
      <c r="Y252" s="49" t="str">
        <f aca="false">IF(N($P252)=0,"","1122")</f>
        <v/>
      </c>
      <c r="Z252" s="49" t="str">
        <f aca="false">IF(N($P252)=0,"","2221")</f>
        <v/>
      </c>
      <c r="AA252" s="48" t="str">
        <f aca="false">IF(N($P252)=0,"",$P252)</f>
        <v/>
      </c>
      <c r="AB252" s="49" t="str">
        <f aca="false">IF(N($S252)=0,"","6401")</f>
        <v/>
      </c>
      <c r="AC252" s="49" t="str">
        <f aca="false">IF(N($S252)=0,"","1405")</f>
        <v/>
      </c>
      <c r="AD252" s="48" t="str">
        <f aca="false">IF(N($S252)=0,"",$S252)</f>
        <v/>
      </c>
      <c r="AE252" s="49" t="str">
        <f aca="false">IF(AND($D252=客户对账单!$B$3,$B252&gt;=客户对账单!$E$3,$B252&lt;=客户对账单!$H$3),COUNTIFS($D$5:$D252,客户对账单!$B$3,$B$5:$B252,"&gt;="&amp;客户对账单!$E$3,$B$5:$B252,"&lt;="&amp;客户对账单!$H$3),"")</f>
        <v/>
      </c>
    </row>
    <row r="253" customFormat="false" ht="15.75" hidden="false" customHeight="true" outlineLevel="0" collapsed="false">
      <c r="A253" s="42" t="str">
        <f aca="false">IF($B253="","","XS"&amp;TEXT($B253,"yyyymm")&amp;"-"&amp;TEXT(ROW()-4,"000"))</f>
        <v/>
      </c>
      <c r="B253" s="41"/>
      <c r="C253" s="42" t="str">
        <f aca="false">IF($B253="","",TEXT($B253,"yyyy-mm"))</f>
        <v/>
      </c>
      <c r="D253" s="32"/>
      <c r="E253" s="36"/>
      <c r="F253" s="43"/>
      <c r="G253" s="40"/>
      <c r="H253" s="51"/>
      <c r="I253" s="33"/>
      <c r="J253" s="33"/>
      <c r="K253" s="36"/>
      <c r="L253" s="47" t="str">
        <f aca="false">IF($B253="","",IF(NOT(ISNUMBER($B253)),"日期不是日期格式",IF(YEAR($B253)&lt;&gt;首页!$B$3,"不在会计年度",IF($D253="","未选客户",IF(ISNA(MATCH($D253,基础资料!$Z$6:$Z$155,0)),"客户不在档案",IF($E253="","未选商品",IF(ISNA(MATCH($E253,基础资料!$Q$6:$Q$205,0)),"商品不在档案",IF(NOT(ISNUMBER($F253)),"数量须为数字",IF(NOT(ISNUMBER($G253)),"单价须为数字",IF(N($F253)&lt;=0,"数量须大于0",IF(AND(IFERROR(INDEX(基础资料!$V$6:$V$205,MATCH($E253,基础资料!$Q$6:$Q$205,0)),"")="是",N($R253)=0),"无成本价·请先录采购或填参考成本",IF(N($T253)&lt;0,"毛利为负·请核对","√"))))))))))))</f>
        <v/>
      </c>
      <c r="M253" s="49" t="str">
        <f aca="false">IF($E253="","",IFERROR(INDEX(基础资料!$R$6:$R$205,MATCH($E253,基础资料!$Q$6:$Q$205,0)),""))</f>
        <v/>
      </c>
      <c r="N253" s="49" t="str">
        <f aca="false">IF($E253="","",IFERROR(INDEX(基础资料!$S$6:$S$205,MATCH($E253,基础资料!$Q$6:$Q$205,0)),""))</f>
        <v/>
      </c>
      <c r="O253" s="48" t="str">
        <f aca="false">IF(OR($F253="",$G253=""),"",ROUND(N($F253)*N($G253),2))</f>
        <v/>
      </c>
      <c r="P253" s="48" t="str">
        <f aca="false">IF($O253="","",ROUND(N($O253)*N($H253),2))</f>
        <v/>
      </c>
      <c r="Q253" s="48" t="str">
        <f aca="false">IF($O253="","",N($O253)+N($P253))</f>
        <v/>
      </c>
      <c r="R253" s="48" t="str">
        <f aca="false">IF(OR($E253="",$B253=""),"",IF(IFERROR(INDEX(基础资料!$V$6:$V$205,MATCH($E253,基础资料!$Q$6:$Q$205,0)),"")&lt;&gt;"是",0,IFERROR((SUMIFS(期初数据!$T$6:$T$205,期初数据!$O$6:$O$205,$E253)+SUMIFS(采购录入!$Q$5:$Q$404,采购录入!$E$5:$E$404,$E253,采购录入!$I$5:$I$404,"是",采购录入!$B$5:$B$404,"&lt;="&amp;$B253))/(SUMIFS(期初数据!$R$6:$R$205,期初数据!$O$6:$O$205,$E253)+SUMIFS(采购录入!$F$5:$F$404,采购录入!$E$5:$E$404,$E253,采购录入!$I$5:$I$404,"是",采购录入!$B$5:$B$404,"&lt;="&amp;$B253)),IFERROR(INDEX(基础资料!$U$6:$U$205,MATCH($E253,基础资料!$Q$6:$Q$205,0)),0))))</f>
        <v/>
      </c>
      <c r="S253" s="48" t="str">
        <f aca="false">IF($O253="","",ROUND(N($F253)*N($R253),2))</f>
        <v/>
      </c>
      <c r="T253" s="48" t="str">
        <f aca="false">IF($O253="","",N($O253)-N($S253))</f>
        <v/>
      </c>
      <c r="U253" s="52" t="str">
        <f aca="false">IF(OR($B253="",$D253=""),"",$B253+N(IFERROR(INDEX(基础资料!$AB$6:$AB$155,MATCH($D253,基础资料!$Z$6:$Z$155,0)),0)))</f>
        <v/>
      </c>
      <c r="V253" s="49" t="str">
        <f aca="false">IF($O253="","","1122")</f>
        <v/>
      </c>
      <c r="W253" s="49" t="str">
        <f aca="false">IF($O253="","","6001")</f>
        <v/>
      </c>
      <c r="X253" s="48" t="str">
        <f aca="false">IF($O253="","",$O253)</f>
        <v/>
      </c>
      <c r="Y253" s="49" t="str">
        <f aca="false">IF(N($P253)=0,"","1122")</f>
        <v/>
      </c>
      <c r="Z253" s="49" t="str">
        <f aca="false">IF(N($P253)=0,"","2221")</f>
        <v/>
      </c>
      <c r="AA253" s="48" t="str">
        <f aca="false">IF(N($P253)=0,"",$P253)</f>
        <v/>
      </c>
      <c r="AB253" s="49" t="str">
        <f aca="false">IF(N($S253)=0,"","6401")</f>
        <v/>
      </c>
      <c r="AC253" s="49" t="str">
        <f aca="false">IF(N($S253)=0,"","1405")</f>
        <v/>
      </c>
      <c r="AD253" s="48" t="str">
        <f aca="false">IF(N($S253)=0,"",$S253)</f>
        <v/>
      </c>
      <c r="AE253" s="49" t="str">
        <f aca="false">IF(AND($D253=客户对账单!$B$3,$B253&gt;=客户对账单!$E$3,$B253&lt;=客户对账单!$H$3),COUNTIFS($D$5:$D253,客户对账单!$B$3,$B$5:$B253,"&gt;="&amp;客户对账单!$E$3,$B$5:$B253,"&lt;="&amp;客户对账单!$H$3),"")</f>
        <v/>
      </c>
    </row>
    <row r="254" customFormat="false" ht="15.75" hidden="false" customHeight="true" outlineLevel="0" collapsed="false">
      <c r="A254" s="42" t="str">
        <f aca="false">IF($B254="","","XS"&amp;TEXT($B254,"yyyymm")&amp;"-"&amp;TEXT(ROW()-4,"000"))</f>
        <v/>
      </c>
      <c r="B254" s="41"/>
      <c r="C254" s="42" t="str">
        <f aca="false">IF($B254="","",TEXT($B254,"yyyy-mm"))</f>
        <v/>
      </c>
      <c r="D254" s="32"/>
      <c r="E254" s="36"/>
      <c r="F254" s="43"/>
      <c r="G254" s="40"/>
      <c r="H254" s="51"/>
      <c r="I254" s="33"/>
      <c r="J254" s="33"/>
      <c r="K254" s="36"/>
      <c r="L254" s="47" t="str">
        <f aca="false">IF($B254="","",IF(NOT(ISNUMBER($B254)),"日期不是日期格式",IF(YEAR($B254)&lt;&gt;首页!$B$3,"不在会计年度",IF($D254="","未选客户",IF(ISNA(MATCH($D254,基础资料!$Z$6:$Z$155,0)),"客户不在档案",IF($E254="","未选商品",IF(ISNA(MATCH($E254,基础资料!$Q$6:$Q$205,0)),"商品不在档案",IF(NOT(ISNUMBER($F254)),"数量须为数字",IF(NOT(ISNUMBER($G254)),"单价须为数字",IF(N($F254)&lt;=0,"数量须大于0",IF(AND(IFERROR(INDEX(基础资料!$V$6:$V$205,MATCH($E254,基础资料!$Q$6:$Q$205,0)),"")="是",N($R254)=0),"无成本价·请先录采购或填参考成本",IF(N($T254)&lt;0,"毛利为负·请核对","√"))))))))))))</f>
        <v/>
      </c>
      <c r="M254" s="49" t="str">
        <f aca="false">IF($E254="","",IFERROR(INDEX(基础资料!$R$6:$R$205,MATCH($E254,基础资料!$Q$6:$Q$205,0)),""))</f>
        <v/>
      </c>
      <c r="N254" s="49" t="str">
        <f aca="false">IF($E254="","",IFERROR(INDEX(基础资料!$S$6:$S$205,MATCH($E254,基础资料!$Q$6:$Q$205,0)),""))</f>
        <v/>
      </c>
      <c r="O254" s="48" t="str">
        <f aca="false">IF(OR($F254="",$G254=""),"",ROUND(N($F254)*N($G254),2))</f>
        <v/>
      </c>
      <c r="P254" s="48" t="str">
        <f aca="false">IF($O254="","",ROUND(N($O254)*N($H254),2))</f>
        <v/>
      </c>
      <c r="Q254" s="48" t="str">
        <f aca="false">IF($O254="","",N($O254)+N($P254))</f>
        <v/>
      </c>
      <c r="R254" s="48" t="str">
        <f aca="false">IF(OR($E254="",$B254=""),"",IF(IFERROR(INDEX(基础资料!$V$6:$V$205,MATCH($E254,基础资料!$Q$6:$Q$205,0)),"")&lt;&gt;"是",0,IFERROR((SUMIFS(期初数据!$T$6:$T$205,期初数据!$O$6:$O$205,$E254)+SUMIFS(采购录入!$Q$5:$Q$404,采购录入!$E$5:$E$404,$E254,采购录入!$I$5:$I$404,"是",采购录入!$B$5:$B$404,"&lt;="&amp;$B254))/(SUMIFS(期初数据!$R$6:$R$205,期初数据!$O$6:$O$205,$E254)+SUMIFS(采购录入!$F$5:$F$404,采购录入!$E$5:$E$404,$E254,采购录入!$I$5:$I$404,"是",采购录入!$B$5:$B$404,"&lt;="&amp;$B254)),IFERROR(INDEX(基础资料!$U$6:$U$205,MATCH($E254,基础资料!$Q$6:$Q$205,0)),0))))</f>
        <v/>
      </c>
      <c r="S254" s="48" t="str">
        <f aca="false">IF($O254="","",ROUND(N($F254)*N($R254),2))</f>
        <v/>
      </c>
      <c r="T254" s="48" t="str">
        <f aca="false">IF($O254="","",N($O254)-N($S254))</f>
        <v/>
      </c>
      <c r="U254" s="52" t="str">
        <f aca="false">IF(OR($B254="",$D254=""),"",$B254+N(IFERROR(INDEX(基础资料!$AB$6:$AB$155,MATCH($D254,基础资料!$Z$6:$Z$155,0)),0)))</f>
        <v/>
      </c>
      <c r="V254" s="49" t="str">
        <f aca="false">IF($O254="","","1122")</f>
        <v/>
      </c>
      <c r="W254" s="49" t="str">
        <f aca="false">IF($O254="","","6001")</f>
        <v/>
      </c>
      <c r="X254" s="48" t="str">
        <f aca="false">IF($O254="","",$O254)</f>
        <v/>
      </c>
      <c r="Y254" s="49" t="str">
        <f aca="false">IF(N($P254)=0,"","1122")</f>
        <v/>
      </c>
      <c r="Z254" s="49" t="str">
        <f aca="false">IF(N($P254)=0,"","2221")</f>
        <v/>
      </c>
      <c r="AA254" s="48" t="str">
        <f aca="false">IF(N($P254)=0,"",$P254)</f>
        <v/>
      </c>
      <c r="AB254" s="49" t="str">
        <f aca="false">IF(N($S254)=0,"","6401")</f>
        <v/>
      </c>
      <c r="AC254" s="49" t="str">
        <f aca="false">IF(N($S254)=0,"","1405")</f>
        <v/>
      </c>
      <c r="AD254" s="48" t="str">
        <f aca="false">IF(N($S254)=0,"",$S254)</f>
        <v/>
      </c>
      <c r="AE254" s="49" t="str">
        <f aca="false">IF(AND($D254=客户对账单!$B$3,$B254&gt;=客户对账单!$E$3,$B254&lt;=客户对账单!$H$3),COUNTIFS($D$5:$D254,客户对账单!$B$3,$B$5:$B254,"&gt;="&amp;客户对账单!$E$3,$B$5:$B254,"&lt;="&amp;客户对账单!$H$3),"")</f>
        <v/>
      </c>
    </row>
    <row r="255" customFormat="false" ht="15.75" hidden="false" customHeight="true" outlineLevel="0" collapsed="false">
      <c r="A255" s="42" t="str">
        <f aca="false">IF($B255="","","XS"&amp;TEXT($B255,"yyyymm")&amp;"-"&amp;TEXT(ROW()-4,"000"))</f>
        <v/>
      </c>
      <c r="B255" s="41"/>
      <c r="C255" s="42" t="str">
        <f aca="false">IF($B255="","",TEXT($B255,"yyyy-mm"))</f>
        <v/>
      </c>
      <c r="D255" s="32"/>
      <c r="E255" s="36"/>
      <c r="F255" s="43"/>
      <c r="G255" s="40"/>
      <c r="H255" s="51"/>
      <c r="I255" s="33"/>
      <c r="J255" s="33"/>
      <c r="K255" s="36"/>
      <c r="L255" s="47" t="str">
        <f aca="false">IF($B255="","",IF(NOT(ISNUMBER($B255)),"日期不是日期格式",IF(YEAR($B255)&lt;&gt;首页!$B$3,"不在会计年度",IF($D255="","未选客户",IF(ISNA(MATCH($D255,基础资料!$Z$6:$Z$155,0)),"客户不在档案",IF($E255="","未选商品",IF(ISNA(MATCH($E255,基础资料!$Q$6:$Q$205,0)),"商品不在档案",IF(NOT(ISNUMBER($F255)),"数量须为数字",IF(NOT(ISNUMBER($G255)),"单价须为数字",IF(N($F255)&lt;=0,"数量须大于0",IF(AND(IFERROR(INDEX(基础资料!$V$6:$V$205,MATCH($E255,基础资料!$Q$6:$Q$205,0)),"")="是",N($R255)=0),"无成本价·请先录采购或填参考成本",IF(N($T255)&lt;0,"毛利为负·请核对","√"))))))))))))</f>
        <v/>
      </c>
      <c r="M255" s="49" t="str">
        <f aca="false">IF($E255="","",IFERROR(INDEX(基础资料!$R$6:$R$205,MATCH($E255,基础资料!$Q$6:$Q$205,0)),""))</f>
        <v/>
      </c>
      <c r="N255" s="49" t="str">
        <f aca="false">IF($E255="","",IFERROR(INDEX(基础资料!$S$6:$S$205,MATCH($E255,基础资料!$Q$6:$Q$205,0)),""))</f>
        <v/>
      </c>
      <c r="O255" s="48" t="str">
        <f aca="false">IF(OR($F255="",$G255=""),"",ROUND(N($F255)*N($G255),2))</f>
        <v/>
      </c>
      <c r="P255" s="48" t="str">
        <f aca="false">IF($O255="","",ROUND(N($O255)*N($H255),2))</f>
        <v/>
      </c>
      <c r="Q255" s="48" t="str">
        <f aca="false">IF($O255="","",N($O255)+N($P255))</f>
        <v/>
      </c>
      <c r="R255" s="48" t="str">
        <f aca="false">IF(OR($E255="",$B255=""),"",IF(IFERROR(INDEX(基础资料!$V$6:$V$205,MATCH($E255,基础资料!$Q$6:$Q$205,0)),"")&lt;&gt;"是",0,IFERROR((SUMIFS(期初数据!$T$6:$T$205,期初数据!$O$6:$O$205,$E255)+SUMIFS(采购录入!$Q$5:$Q$404,采购录入!$E$5:$E$404,$E255,采购录入!$I$5:$I$404,"是",采购录入!$B$5:$B$404,"&lt;="&amp;$B255))/(SUMIFS(期初数据!$R$6:$R$205,期初数据!$O$6:$O$205,$E255)+SUMIFS(采购录入!$F$5:$F$404,采购录入!$E$5:$E$404,$E255,采购录入!$I$5:$I$404,"是",采购录入!$B$5:$B$404,"&lt;="&amp;$B255)),IFERROR(INDEX(基础资料!$U$6:$U$205,MATCH($E255,基础资料!$Q$6:$Q$205,0)),0))))</f>
        <v/>
      </c>
      <c r="S255" s="48" t="str">
        <f aca="false">IF($O255="","",ROUND(N($F255)*N($R255),2))</f>
        <v/>
      </c>
      <c r="T255" s="48" t="str">
        <f aca="false">IF($O255="","",N($O255)-N($S255))</f>
        <v/>
      </c>
      <c r="U255" s="52" t="str">
        <f aca="false">IF(OR($B255="",$D255=""),"",$B255+N(IFERROR(INDEX(基础资料!$AB$6:$AB$155,MATCH($D255,基础资料!$Z$6:$Z$155,0)),0)))</f>
        <v/>
      </c>
      <c r="V255" s="49" t="str">
        <f aca="false">IF($O255="","","1122")</f>
        <v/>
      </c>
      <c r="W255" s="49" t="str">
        <f aca="false">IF($O255="","","6001")</f>
        <v/>
      </c>
      <c r="X255" s="48" t="str">
        <f aca="false">IF($O255="","",$O255)</f>
        <v/>
      </c>
      <c r="Y255" s="49" t="str">
        <f aca="false">IF(N($P255)=0,"","1122")</f>
        <v/>
      </c>
      <c r="Z255" s="49" t="str">
        <f aca="false">IF(N($P255)=0,"","2221")</f>
        <v/>
      </c>
      <c r="AA255" s="48" t="str">
        <f aca="false">IF(N($P255)=0,"",$P255)</f>
        <v/>
      </c>
      <c r="AB255" s="49" t="str">
        <f aca="false">IF(N($S255)=0,"","6401")</f>
        <v/>
      </c>
      <c r="AC255" s="49" t="str">
        <f aca="false">IF(N($S255)=0,"","1405")</f>
        <v/>
      </c>
      <c r="AD255" s="48" t="str">
        <f aca="false">IF(N($S255)=0,"",$S255)</f>
        <v/>
      </c>
      <c r="AE255" s="49" t="str">
        <f aca="false">IF(AND($D255=客户对账单!$B$3,$B255&gt;=客户对账单!$E$3,$B255&lt;=客户对账单!$H$3),COUNTIFS($D$5:$D255,客户对账单!$B$3,$B$5:$B255,"&gt;="&amp;客户对账单!$E$3,$B$5:$B255,"&lt;="&amp;客户对账单!$H$3),"")</f>
        <v/>
      </c>
    </row>
    <row r="256" customFormat="false" ht="15.75" hidden="false" customHeight="true" outlineLevel="0" collapsed="false">
      <c r="A256" s="42" t="str">
        <f aca="false">IF($B256="","","XS"&amp;TEXT($B256,"yyyymm")&amp;"-"&amp;TEXT(ROW()-4,"000"))</f>
        <v/>
      </c>
      <c r="B256" s="41"/>
      <c r="C256" s="42" t="str">
        <f aca="false">IF($B256="","",TEXT($B256,"yyyy-mm"))</f>
        <v/>
      </c>
      <c r="D256" s="32"/>
      <c r="E256" s="36"/>
      <c r="F256" s="43"/>
      <c r="G256" s="40"/>
      <c r="H256" s="51"/>
      <c r="I256" s="33"/>
      <c r="J256" s="33"/>
      <c r="K256" s="36"/>
      <c r="L256" s="47" t="str">
        <f aca="false">IF($B256="","",IF(NOT(ISNUMBER($B256)),"日期不是日期格式",IF(YEAR($B256)&lt;&gt;首页!$B$3,"不在会计年度",IF($D256="","未选客户",IF(ISNA(MATCH($D256,基础资料!$Z$6:$Z$155,0)),"客户不在档案",IF($E256="","未选商品",IF(ISNA(MATCH($E256,基础资料!$Q$6:$Q$205,0)),"商品不在档案",IF(NOT(ISNUMBER($F256)),"数量须为数字",IF(NOT(ISNUMBER($G256)),"单价须为数字",IF(N($F256)&lt;=0,"数量须大于0",IF(AND(IFERROR(INDEX(基础资料!$V$6:$V$205,MATCH($E256,基础资料!$Q$6:$Q$205,0)),"")="是",N($R256)=0),"无成本价·请先录采购或填参考成本",IF(N($T256)&lt;0,"毛利为负·请核对","√"))))))))))))</f>
        <v/>
      </c>
      <c r="M256" s="49" t="str">
        <f aca="false">IF($E256="","",IFERROR(INDEX(基础资料!$R$6:$R$205,MATCH($E256,基础资料!$Q$6:$Q$205,0)),""))</f>
        <v/>
      </c>
      <c r="N256" s="49" t="str">
        <f aca="false">IF($E256="","",IFERROR(INDEX(基础资料!$S$6:$S$205,MATCH($E256,基础资料!$Q$6:$Q$205,0)),""))</f>
        <v/>
      </c>
      <c r="O256" s="48" t="str">
        <f aca="false">IF(OR($F256="",$G256=""),"",ROUND(N($F256)*N($G256),2))</f>
        <v/>
      </c>
      <c r="P256" s="48" t="str">
        <f aca="false">IF($O256="","",ROUND(N($O256)*N($H256),2))</f>
        <v/>
      </c>
      <c r="Q256" s="48" t="str">
        <f aca="false">IF($O256="","",N($O256)+N($P256))</f>
        <v/>
      </c>
      <c r="R256" s="48" t="str">
        <f aca="false">IF(OR($E256="",$B256=""),"",IF(IFERROR(INDEX(基础资料!$V$6:$V$205,MATCH($E256,基础资料!$Q$6:$Q$205,0)),"")&lt;&gt;"是",0,IFERROR((SUMIFS(期初数据!$T$6:$T$205,期初数据!$O$6:$O$205,$E256)+SUMIFS(采购录入!$Q$5:$Q$404,采购录入!$E$5:$E$404,$E256,采购录入!$I$5:$I$404,"是",采购录入!$B$5:$B$404,"&lt;="&amp;$B256))/(SUMIFS(期初数据!$R$6:$R$205,期初数据!$O$6:$O$205,$E256)+SUMIFS(采购录入!$F$5:$F$404,采购录入!$E$5:$E$404,$E256,采购录入!$I$5:$I$404,"是",采购录入!$B$5:$B$404,"&lt;="&amp;$B256)),IFERROR(INDEX(基础资料!$U$6:$U$205,MATCH($E256,基础资料!$Q$6:$Q$205,0)),0))))</f>
        <v/>
      </c>
      <c r="S256" s="48" t="str">
        <f aca="false">IF($O256="","",ROUND(N($F256)*N($R256),2))</f>
        <v/>
      </c>
      <c r="T256" s="48" t="str">
        <f aca="false">IF($O256="","",N($O256)-N($S256))</f>
        <v/>
      </c>
      <c r="U256" s="52" t="str">
        <f aca="false">IF(OR($B256="",$D256=""),"",$B256+N(IFERROR(INDEX(基础资料!$AB$6:$AB$155,MATCH($D256,基础资料!$Z$6:$Z$155,0)),0)))</f>
        <v/>
      </c>
      <c r="V256" s="49" t="str">
        <f aca="false">IF($O256="","","1122")</f>
        <v/>
      </c>
      <c r="W256" s="49" t="str">
        <f aca="false">IF($O256="","","6001")</f>
        <v/>
      </c>
      <c r="X256" s="48" t="str">
        <f aca="false">IF($O256="","",$O256)</f>
        <v/>
      </c>
      <c r="Y256" s="49" t="str">
        <f aca="false">IF(N($P256)=0,"","1122")</f>
        <v/>
      </c>
      <c r="Z256" s="49" t="str">
        <f aca="false">IF(N($P256)=0,"","2221")</f>
        <v/>
      </c>
      <c r="AA256" s="48" t="str">
        <f aca="false">IF(N($P256)=0,"",$P256)</f>
        <v/>
      </c>
      <c r="AB256" s="49" t="str">
        <f aca="false">IF(N($S256)=0,"","6401")</f>
        <v/>
      </c>
      <c r="AC256" s="49" t="str">
        <f aca="false">IF(N($S256)=0,"","1405")</f>
        <v/>
      </c>
      <c r="AD256" s="48" t="str">
        <f aca="false">IF(N($S256)=0,"",$S256)</f>
        <v/>
      </c>
      <c r="AE256" s="49" t="str">
        <f aca="false">IF(AND($D256=客户对账单!$B$3,$B256&gt;=客户对账单!$E$3,$B256&lt;=客户对账单!$H$3),COUNTIFS($D$5:$D256,客户对账单!$B$3,$B$5:$B256,"&gt;="&amp;客户对账单!$E$3,$B$5:$B256,"&lt;="&amp;客户对账单!$H$3),"")</f>
        <v/>
      </c>
    </row>
    <row r="257" customFormat="false" ht="15.75" hidden="false" customHeight="true" outlineLevel="0" collapsed="false">
      <c r="A257" s="42" t="str">
        <f aca="false">IF($B257="","","XS"&amp;TEXT($B257,"yyyymm")&amp;"-"&amp;TEXT(ROW()-4,"000"))</f>
        <v/>
      </c>
      <c r="B257" s="41"/>
      <c r="C257" s="42" t="str">
        <f aca="false">IF($B257="","",TEXT($B257,"yyyy-mm"))</f>
        <v/>
      </c>
      <c r="D257" s="32"/>
      <c r="E257" s="36"/>
      <c r="F257" s="43"/>
      <c r="G257" s="40"/>
      <c r="H257" s="51"/>
      <c r="I257" s="33"/>
      <c r="J257" s="33"/>
      <c r="K257" s="36"/>
      <c r="L257" s="47" t="str">
        <f aca="false">IF($B257="","",IF(NOT(ISNUMBER($B257)),"日期不是日期格式",IF(YEAR($B257)&lt;&gt;首页!$B$3,"不在会计年度",IF($D257="","未选客户",IF(ISNA(MATCH($D257,基础资料!$Z$6:$Z$155,0)),"客户不在档案",IF($E257="","未选商品",IF(ISNA(MATCH($E257,基础资料!$Q$6:$Q$205,0)),"商品不在档案",IF(NOT(ISNUMBER($F257)),"数量须为数字",IF(NOT(ISNUMBER($G257)),"单价须为数字",IF(N($F257)&lt;=0,"数量须大于0",IF(AND(IFERROR(INDEX(基础资料!$V$6:$V$205,MATCH($E257,基础资料!$Q$6:$Q$205,0)),"")="是",N($R257)=0),"无成本价·请先录采购或填参考成本",IF(N($T257)&lt;0,"毛利为负·请核对","√"))))))))))))</f>
        <v/>
      </c>
      <c r="M257" s="49" t="str">
        <f aca="false">IF($E257="","",IFERROR(INDEX(基础资料!$R$6:$R$205,MATCH($E257,基础资料!$Q$6:$Q$205,0)),""))</f>
        <v/>
      </c>
      <c r="N257" s="49" t="str">
        <f aca="false">IF($E257="","",IFERROR(INDEX(基础资料!$S$6:$S$205,MATCH($E257,基础资料!$Q$6:$Q$205,0)),""))</f>
        <v/>
      </c>
      <c r="O257" s="48" t="str">
        <f aca="false">IF(OR($F257="",$G257=""),"",ROUND(N($F257)*N($G257),2))</f>
        <v/>
      </c>
      <c r="P257" s="48" t="str">
        <f aca="false">IF($O257="","",ROUND(N($O257)*N($H257),2))</f>
        <v/>
      </c>
      <c r="Q257" s="48" t="str">
        <f aca="false">IF($O257="","",N($O257)+N($P257))</f>
        <v/>
      </c>
      <c r="R257" s="48" t="str">
        <f aca="false">IF(OR($E257="",$B257=""),"",IF(IFERROR(INDEX(基础资料!$V$6:$V$205,MATCH($E257,基础资料!$Q$6:$Q$205,0)),"")&lt;&gt;"是",0,IFERROR((SUMIFS(期初数据!$T$6:$T$205,期初数据!$O$6:$O$205,$E257)+SUMIFS(采购录入!$Q$5:$Q$404,采购录入!$E$5:$E$404,$E257,采购录入!$I$5:$I$404,"是",采购录入!$B$5:$B$404,"&lt;="&amp;$B257))/(SUMIFS(期初数据!$R$6:$R$205,期初数据!$O$6:$O$205,$E257)+SUMIFS(采购录入!$F$5:$F$404,采购录入!$E$5:$E$404,$E257,采购录入!$I$5:$I$404,"是",采购录入!$B$5:$B$404,"&lt;="&amp;$B257)),IFERROR(INDEX(基础资料!$U$6:$U$205,MATCH($E257,基础资料!$Q$6:$Q$205,0)),0))))</f>
        <v/>
      </c>
      <c r="S257" s="48" t="str">
        <f aca="false">IF($O257="","",ROUND(N($F257)*N($R257),2))</f>
        <v/>
      </c>
      <c r="T257" s="48" t="str">
        <f aca="false">IF($O257="","",N($O257)-N($S257))</f>
        <v/>
      </c>
      <c r="U257" s="52" t="str">
        <f aca="false">IF(OR($B257="",$D257=""),"",$B257+N(IFERROR(INDEX(基础资料!$AB$6:$AB$155,MATCH($D257,基础资料!$Z$6:$Z$155,0)),0)))</f>
        <v/>
      </c>
      <c r="V257" s="49" t="str">
        <f aca="false">IF($O257="","","1122")</f>
        <v/>
      </c>
      <c r="W257" s="49" t="str">
        <f aca="false">IF($O257="","","6001")</f>
        <v/>
      </c>
      <c r="X257" s="48" t="str">
        <f aca="false">IF($O257="","",$O257)</f>
        <v/>
      </c>
      <c r="Y257" s="49" t="str">
        <f aca="false">IF(N($P257)=0,"","1122")</f>
        <v/>
      </c>
      <c r="Z257" s="49" t="str">
        <f aca="false">IF(N($P257)=0,"","2221")</f>
        <v/>
      </c>
      <c r="AA257" s="48" t="str">
        <f aca="false">IF(N($P257)=0,"",$P257)</f>
        <v/>
      </c>
      <c r="AB257" s="49" t="str">
        <f aca="false">IF(N($S257)=0,"","6401")</f>
        <v/>
      </c>
      <c r="AC257" s="49" t="str">
        <f aca="false">IF(N($S257)=0,"","1405")</f>
        <v/>
      </c>
      <c r="AD257" s="48" t="str">
        <f aca="false">IF(N($S257)=0,"",$S257)</f>
        <v/>
      </c>
      <c r="AE257" s="49" t="str">
        <f aca="false">IF(AND($D257=客户对账单!$B$3,$B257&gt;=客户对账单!$E$3,$B257&lt;=客户对账单!$H$3),COUNTIFS($D$5:$D257,客户对账单!$B$3,$B$5:$B257,"&gt;="&amp;客户对账单!$E$3,$B$5:$B257,"&lt;="&amp;客户对账单!$H$3),"")</f>
        <v/>
      </c>
    </row>
    <row r="258" customFormat="false" ht="15.75" hidden="false" customHeight="true" outlineLevel="0" collapsed="false">
      <c r="A258" s="42" t="str">
        <f aca="false">IF($B258="","","XS"&amp;TEXT($B258,"yyyymm")&amp;"-"&amp;TEXT(ROW()-4,"000"))</f>
        <v/>
      </c>
      <c r="B258" s="41"/>
      <c r="C258" s="42" t="str">
        <f aca="false">IF($B258="","",TEXT($B258,"yyyy-mm"))</f>
        <v/>
      </c>
      <c r="D258" s="32"/>
      <c r="E258" s="36"/>
      <c r="F258" s="43"/>
      <c r="G258" s="40"/>
      <c r="H258" s="51"/>
      <c r="I258" s="33"/>
      <c r="J258" s="33"/>
      <c r="K258" s="36"/>
      <c r="L258" s="47" t="str">
        <f aca="false">IF($B258="","",IF(NOT(ISNUMBER($B258)),"日期不是日期格式",IF(YEAR($B258)&lt;&gt;首页!$B$3,"不在会计年度",IF($D258="","未选客户",IF(ISNA(MATCH($D258,基础资料!$Z$6:$Z$155,0)),"客户不在档案",IF($E258="","未选商品",IF(ISNA(MATCH($E258,基础资料!$Q$6:$Q$205,0)),"商品不在档案",IF(NOT(ISNUMBER($F258)),"数量须为数字",IF(NOT(ISNUMBER($G258)),"单价须为数字",IF(N($F258)&lt;=0,"数量须大于0",IF(AND(IFERROR(INDEX(基础资料!$V$6:$V$205,MATCH($E258,基础资料!$Q$6:$Q$205,0)),"")="是",N($R258)=0),"无成本价·请先录采购或填参考成本",IF(N($T258)&lt;0,"毛利为负·请核对","√"))))))))))))</f>
        <v/>
      </c>
      <c r="M258" s="49" t="str">
        <f aca="false">IF($E258="","",IFERROR(INDEX(基础资料!$R$6:$R$205,MATCH($E258,基础资料!$Q$6:$Q$205,0)),""))</f>
        <v/>
      </c>
      <c r="N258" s="49" t="str">
        <f aca="false">IF($E258="","",IFERROR(INDEX(基础资料!$S$6:$S$205,MATCH($E258,基础资料!$Q$6:$Q$205,0)),""))</f>
        <v/>
      </c>
      <c r="O258" s="48" t="str">
        <f aca="false">IF(OR($F258="",$G258=""),"",ROUND(N($F258)*N($G258),2))</f>
        <v/>
      </c>
      <c r="P258" s="48" t="str">
        <f aca="false">IF($O258="","",ROUND(N($O258)*N($H258),2))</f>
        <v/>
      </c>
      <c r="Q258" s="48" t="str">
        <f aca="false">IF($O258="","",N($O258)+N($P258))</f>
        <v/>
      </c>
      <c r="R258" s="48" t="str">
        <f aca="false">IF(OR($E258="",$B258=""),"",IF(IFERROR(INDEX(基础资料!$V$6:$V$205,MATCH($E258,基础资料!$Q$6:$Q$205,0)),"")&lt;&gt;"是",0,IFERROR((SUMIFS(期初数据!$T$6:$T$205,期初数据!$O$6:$O$205,$E258)+SUMIFS(采购录入!$Q$5:$Q$404,采购录入!$E$5:$E$404,$E258,采购录入!$I$5:$I$404,"是",采购录入!$B$5:$B$404,"&lt;="&amp;$B258))/(SUMIFS(期初数据!$R$6:$R$205,期初数据!$O$6:$O$205,$E258)+SUMIFS(采购录入!$F$5:$F$404,采购录入!$E$5:$E$404,$E258,采购录入!$I$5:$I$404,"是",采购录入!$B$5:$B$404,"&lt;="&amp;$B258)),IFERROR(INDEX(基础资料!$U$6:$U$205,MATCH($E258,基础资料!$Q$6:$Q$205,0)),0))))</f>
        <v/>
      </c>
      <c r="S258" s="48" t="str">
        <f aca="false">IF($O258="","",ROUND(N($F258)*N($R258),2))</f>
        <v/>
      </c>
      <c r="T258" s="48" t="str">
        <f aca="false">IF($O258="","",N($O258)-N($S258))</f>
        <v/>
      </c>
      <c r="U258" s="52" t="str">
        <f aca="false">IF(OR($B258="",$D258=""),"",$B258+N(IFERROR(INDEX(基础资料!$AB$6:$AB$155,MATCH($D258,基础资料!$Z$6:$Z$155,0)),0)))</f>
        <v/>
      </c>
      <c r="V258" s="49" t="str">
        <f aca="false">IF($O258="","","1122")</f>
        <v/>
      </c>
      <c r="W258" s="49" t="str">
        <f aca="false">IF($O258="","","6001")</f>
        <v/>
      </c>
      <c r="X258" s="48" t="str">
        <f aca="false">IF($O258="","",$O258)</f>
        <v/>
      </c>
      <c r="Y258" s="49" t="str">
        <f aca="false">IF(N($P258)=0,"","1122")</f>
        <v/>
      </c>
      <c r="Z258" s="49" t="str">
        <f aca="false">IF(N($P258)=0,"","2221")</f>
        <v/>
      </c>
      <c r="AA258" s="48" t="str">
        <f aca="false">IF(N($P258)=0,"",$P258)</f>
        <v/>
      </c>
      <c r="AB258" s="49" t="str">
        <f aca="false">IF(N($S258)=0,"","6401")</f>
        <v/>
      </c>
      <c r="AC258" s="49" t="str">
        <f aca="false">IF(N($S258)=0,"","1405")</f>
        <v/>
      </c>
      <c r="AD258" s="48" t="str">
        <f aca="false">IF(N($S258)=0,"",$S258)</f>
        <v/>
      </c>
      <c r="AE258" s="49" t="str">
        <f aca="false">IF(AND($D258=客户对账单!$B$3,$B258&gt;=客户对账单!$E$3,$B258&lt;=客户对账单!$H$3),COUNTIFS($D$5:$D258,客户对账单!$B$3,$B$5:$B258,"&gt;="&amp;客户对账单!$E$3,$B$5:$B258,"&lt;="&amp;客户对账单!$H$3),"")</f>
        <v/>
      </c>
    </row>
    <row r="259" customFormat="false" ht="15.75" hidden="false" customHeight="true" outlineLevel="0" collapsed="false">
      <c r="A259" s="42" t="str">
        <f aca="false">IF($B259="","","XS"&amp;TEXT($B259,"yyyymm")&amp;"-"&amp;TEXT(ROW()-4,"000"))</f>
        <v/>
      </c>
      <c r="B259" s="41"/>
      <c r="C259" s="42" t="str">
        <f aca="false">IF($B259="","",TEXT($B259,"yyyy-mm"))</f>
        <v/>
      </c>
      <c r="D259" s="32"/>
      <c r="E259" s="36"/>
      <c r="F259" s="43"/>
      <c r="G259" s="40"/>
      <c r="H259" s="51"/>
      <c r="I259" s="33"/>
      <c r="J259" s="33"/>
      <c r="K259" s="36"/>
      <c r="L259" s="47" t="str">
        <f aca="false">IF($B259="","",IF(NOT(ISNUMBER($B259)),"日期不是日期格式",IF(YEAR($B259)&lt;&gt;首页!$B$3,"不在会计年度",IF($D259="","未选客户",IF(ISNA(MATCH($D259,基础资料!$Z$6:$Z$155,0)),"客户不在档案",IF($E259="","未选商品",IF(ISNA(MATCH($E259,基础资料!$Q$6:$Q$205,0)),"商品不在档案",IF(NOT(ISNUMBER($F259)),"数量须为数字",IF(NOT(ISNUMBER($G259)),"单价须为数字",IF(N($F259)&lt;=0,"数量须大于0",IF(AND(IFERROR(INDEX(基础资料!$V$6:$V$205,MATCH($E259,基础资料!$Q$6:$Q$205,0)),"")="是",N($R259)=0),"无成本价·请先录采购或填参考成本",IF(N($T259)&lt;0,"毛利为负·请核对","√"))))))))))))</f>
        <v/>
      </c>
      <c r="M259" s="49" t="str">
        <f aca="false">IF($E259="","",IFERROR(INDEX(基础资料!$R$6:$R$205,MATCH($E259,基础资料!$Q$6:$Q$205,0)),""))</f>
        <v/>
      </c>
      <c r="N259" s="49" t="str">
        <f aca="false">IF($E259="","",IFERROR(INDEX(基础资料!$S$6:$S$205,MATCH($E259,基础资料!$Q$6:$Q$205,0)),""))</f>
        <v/>
      </c>
      <c r="O259" s="48" t="str">
        <f aca="false">IF(OR($F259="",$G259=""),"",ROUND(N($F259)*N($G259),2))</f>
        <v/>
      </c>
      <c r="P259" s="48" t="str">
        <f aca="false">IF($O259="","",ROUND(N($O259)*N($H259),2))</f>
        <v/>
      </c>
      <c r="Q259" s="48" t="str">
        <f aca="false">IF($O259="","",N($O259)+N($P259))</f>
        <v/>
      </c>
      <c r="R259" s="48" t="str">
        <f aca="false">IF(OR($E259="",$B259=""),"",IF(IFERROR(INDEX(基础资料!$V$6:$V$205,MATCH($E259,基础资料!$Q$6:$Q$205,0)),"")&lt;&gt;"是",0,IFERROR((SUMIFS(期初数据!$T$6:$T$205,期初数据!$O$6:$O$205,$E259)+SUMIFS(采购录入!$Q$5:$Q$404,采购录入!$E$5:$E$404,$E259,采购录入!$I$5:$I$404,"是",采购录入!$B$5:$B$404,"&lt;="&amp;$B259))/(SUMIFS(期初数据!$R$6:$R$205,期初数据!$O$6:$O$205,$E259)+SUMIFS(采购录入!$F$5:$F$404,采购录入!$E$5:$E$404,$E259,采购录入!$I$5:$I$404,"是",采购录入!$B$5:$B$404,"&lt;="&amp;$B259)),IFERROR(INDEX(基础资料!$U$6:$U$205,MATCH($E259,基础资料!$Q$6:$Q$205,0)),0))))</f>
        <v/>
      </c>
      <c r="S259" s="48" t="str">
        <f aca="false">IF($O259="","",ROUND(N($F259)*N($R259),2))</f>
        <v/>
      </c>
      <c r="T259" s="48" t="str">
        <f aca="false">IF($O259="","",N($O259)-N($S259))</f>
        <v/>
      </c>
      <c r="U259" s="52" t="str">
        <f aca="false">IF(OR($B259="",$D259=""),"",$B259+N(IFERROR(INDEX(基础资料!$AB$6:$AB$155,MATCH($D259,基础资料!$Z$6:$Z$155,0)),0)))</f>
        <v/>
      </c>
      <c r="V259" s="49" t="str">
        <f aca="false">IF($O259="","","1122")</f>
        <v/>
      </c>
      <c r="W259" s="49" t="str">
        <f aca="false">IF($O259="","","6001")</f>
        <v/>
      </c>
      <c r="X259" s="48" t="str">
        <f aca="false">IF($O259="","",$O259)</f>
        <v/>
      </c>
      <c r="Y259" s="49" t="str">
        <f aca="false">IF(N($P259)=0,"","1122")</f>
        <v/>
      </c>
      <c r="Z259" s="49" t="str">
        <f aca="false">IF(N($P259)=0,"","2221")</f>
        <v/>
      </c>
      <c r="AA259" s="48" t="str">
        <f aca="false">IF(N($P259)=0,"",$P259)</f>
        <v/>
      </c>
      <c r="AB259" s="49" t="str">
        <f aca="false">IF(N($S259)=0,"","6401")</f>
        <v/>
      </c>
      <c r="AC259" s="49" t="str">
        <f aca="false">IF(N($S259)=0,"","1405")</f>
        <v/>
      </c>
      <c r="AD259" s="48" t="str">
        <f aca="false">IF(N($S259)=0,"",$S259)</f>
        <v/>
      </c>
      <c r="AE259" s="49" t="str">
        <f aca="false">IF(AND($D259=客户对账单!$B$3,$B259&gt;=客户对账单!$E$3,$B259&lt;=客户对账单!$H$3),COUNTIFS($D$5:$D259,客户对账单!$B$3,$B$5:$B259,"&gt;="&amp;客户对账单!$E$3,$B$5:$B259,"&lt;="&amp;客户对账单!$H$3),"")</f>
        <v/>
      </c>
    </row>
    <row r="260" customFormat="false" ht="15.75" hidden="false" customHeight="true" outlineLevel="0" collapsed="false">
      <c r="A260" s="42" t="str">
        <f aca="false">IF($B260="","","XS"&amp;TEXT($B260,"yyyymm")&amp;"-"&amp;TEXT(ROW()-4,"000"))</f>
        <v/>
      </c>
      <c r="B260" s="41"/>
      <c r="C260" s="42" t="str">
        <f aca="false">IF($B260="","",TEXT($B260,"yyyy-mm"))</f>
        <v/>
      </c>
      <c r="D260" s="32"/>
      <c r="E260" s="36"/>
      <c r="F260" s="43"/>
      <c r="G260" s="40"/>
      <c r="H260" s="51"/>
      <c r="I260" s="33"/>
      <c r="J260" s="33"/>
      <c r="K260" s="36"/>
      <c r="L260" s="47" t="str">
        <f aca="false">IF($B260="","",IF(NOT(ISNUMBER($B260)),"日期不是日期格式",IF(YEAR($B260)&lt;&gt;首页!$B$3,"不在会计年度",IF($D260="","未选客户",IF(ISNA(MATCH($D260,基础资料!$Z$6:$Z$155,0)),"客户不在档案",IF($E260="","未选商品",IF(ISNA(MATCH($E260,基础资料!$Q$6:$Q$205,0)),"商品不在档案",IF(NOT(ISNUMBER($F260)),"数量须为数字",IF(NOT(ISNUMBER($G260)),"单价须为数字",IF(N($F260)&lt;=0,"数量须大于0",IF(AND(IFERROR(INDEX(基础资料!$V$6:$V$205,MATCH($E260,基础资料!$Q$6:$Q$205,0)),"")="是",N($R260)=0),"无成本价·请先录采购或填参考成本",IF(N($T260)&lt;0,"毛利为负·请核对","√"))))))))))))</f>
        <v/>
      </c>
      <c r="M260" s="49" t="str">
        <f aca="false">IF($E260="","",IFERROR(INDEX(基础资料!$R$6:$R$205,MATCH($E260,基础资料!$Q$6:$Q$205,0)),""))</f>
        <v/>
      </c>
      <c r="N260" s="49" t="str">
        <f aca="false">IF($E260="","",IFERROR(INDEX(基础资料!$S$6:$S$205,MATCH($E260,基础资料!$Q$6:$Q$205,0)),""))</f>
        <v/>
      </c>
      <c r="O260" s="48" t="str">
        <f aca="false">IF(OR($F260="",$G260=""),"",ROUND(N($F260)*N($G260),2))</f>
        <v/>
      </c>
      <c r="P260" s="48" t="str">
        <f aca="false">IF($O260="","",ROUND(N($O260)*N($H260),2))</f>
        <v/>
      </c>
      <c r="Q260" s="48" t="str">
        <f aca="false">IF($O260="","",N($O260)+N($P260))</f>
        <v/>
      </c>
      <c r="R260" s="48" t="str">
        <f aca="false">IF(OR($E260="",$B260=""),"",IF(IFERROR(INDEX(基础资料!$V$6:$V$205,MATCH($E260,基础资料!$Q$6:$Q$205,0)),"")&lt;&gt;"是",0,IFERROR((SUMIFS(期初数据!$T$6:$T$205,期初数据!$O$6:$O$205,$E260)+SUMIFS(采购录入!$Q$5:$Q$404,采购录入!$E$5:$E$404,$E260,采购录入!$I$5:$I$404,"是",采购录入!$B$5:$B$404,"&lt;="&amp;$B260))/(SUMIFS(期初数据!$R$6:$R$205,期初数据!$O$6:$O$205,$E260)+SUMIFS(采购录入!$F$5:$F$404,采购录入!$E$5:$E$404,$E260,采购录入!$I$5:$I$404,"是",采购录入!$B$5:$B$404,"&lt;="&amp;$B260)),IFERROR(INDEX(基础资料!$U$6:$U$205,MATCH($E260,基础资料!$Q$6:$Q$205,0)),0))))</f>
        <v/>
      </c>
      <c r="S260" s="48" t="str">
        <f aca="false">IF($O260="","",ROUND(N($F260)*N($R260),2))</f>
        <v/>
      </c>
      <c r="T260" s="48" t="str">
        <f aca="false">IF($O260="","",N($O260)-N($S260))</f>
        <v/>
      </c>
      <c r="U260" s="52" t="str">
        <f aca="false">IF(OR($B260="",$D260=""),"",$B260+N(IFERROR(INDEX(基础资料!$AB$6:$AB$155,MATCH($D260,基础资料!$Z$6:$Z$155,0)),0)))</f>
        <v/>
      </c>
      <c r="V260" s="49" t="str">
        <f aca="false">IF($O260="","","1122")</f>
        <v/>
      </c>
      <c r="W260" s="49" t="str">
        <f aca="false">IF($O260="","","6001")</f>
        <v/>
      </c>
      <c r="X260" s="48" t="str">
        <f aca="false">IF($O260="","",$O260)</f>
        <v/>
      </c>
      <c r="Y260" s="49" t="str">
        <f aca="false">IF(N($P260)=0,"","1122")</f>
        <v/>
      </c>
      <c r="Z260" s="49" t="str">
        <f aca="false">IF(N($P260)=0,"","2221")</f>
        <v/>
      </c>
      <c r="AA260" s="48" t="str">
        <f aca="false">IF(N($P260)=0,"",$P260)</f>
        <v/>
      </c>
      <c r="AB260" s="49" t="str">
        <f aca="false">IF(N($S260)=0,"","6401")</f>
        <v/>
      </c>
      <c r="AC260" s="49" t="str">
        <f aca="false">IF(N($S260)=0,"","1405")</f>
        <v/>
      </c>
      <c r="AD260" s="48" t="str">
        <f aca="false">IF(N($S260)=0,"",$S260)</f>
        <v/>
      </c>
      <c r="AE260" s="49" t="str">
        <f aca="false">IF(AND($D260=客户对账单!$B$3,$B260&gt;=客户对账单!$E$3,$B260&lt;=客户对账单!$H$3),COUNTIFS($D$5:$D260,客户对账单!$B$3,$B$5:$B260,"&gt;="&amp;客户对账单!$E$3,$B$5:$B260,"&lt;="&amp;客户对账单!$H$3),"")</f>
        <v/>
      </c>
    </row>
    <row r="261" customFormat="false" ht="15.75" hidden="false" customHeight="true" outlineLevel="0" collapsed="false">
      <c r="A261" s="42" t="str">
        <f aca="false">IF($B261="","","XS"&amp;TEXT($B261,"yyyymm")&amp;"-"&amp;TEXT(ROW()-4,"000"))</f>
        <v/>
      </c>
      <c r="B261" s="41"/>
      <c r="C261" s="42" t="str">
        <f aca="false">IF($B261="","",TEXT($B261,"yyyy-mm"))</f>
        <v/>
      </c>
      <c r="D261" s="32"/>
      <c r="E261" s="36"/>
      <c r="F261" s="43"/>
      <c r="G261" s="40"/>
      <c r="H261" s="51"/>
      <c r="I261" s="33"/>
      <c r="J261" s="33"/>
      <c r="K261" s="36"/>
      <c r="L261" s="47" t="str">
        <f aca="false">IF($B261="","",IF(NOT(ISNUMBER($B261)),"日期不是日期格式",IF(YEAR($B261)&lt;&gt;首页!$B$3,"不在会计年度",IF($D261="","未选客户",IF(ISNA(MATCH($D261,基础资料!$Z$6:$Z$155,0)),"客户不在档案",IF($E261="","未选商品",IF(ISNA(MATCH($E261,基础资料!$Q$6:$Q$205,0)),"商品不在档案",IF(NOT(ISNUMBER($F261)),"数量须为数字",IF(NOT(ISNUMBER($G261)),"单价须为数字",IF(N($F261)&lt;=0,"数量须大于0",IF(AND(IFERROR(INDEX(基础资料!$V$6:$V$205,MATCH($E261,基础资料!$Q$6:$Q$205,0)),"")="是",N($R261)=0),"无成本价·请先录采购或填参考成本",IF(N($T261)&lt;0,"毛利为负·请核对","√"))))))))))))</f>
        <v/>
      </c>
      <c r="M261" s="49" t="str">
        <f aca="false">IF($E261="","",IFERROR(INDEX(基础资料!$R$6:$R$205,MATCH($E261,基础资料!$Q$6:$Q$205,0)),""))</f>
        <v/>
      </c>
      <c r="N261" s="49" t="str">
        <f aca="false">IF($E261="","",IFERROR(INDEX(基础资料!$S$6:$S$205,MATCH($E261,基础资料!$Q$6:$Q$205,0)),""))</f>
        <v/>
      </c>
      <c r="O261" s="48" t="str">
        <f aca="false">IF(OR($F261="",$G261=""),"",ROUND(N($F261)*N($G261),2))</f>
        <v/>
      </c>
      <c r="P261" s="48" t="str">
        <f aca="false">IF($O261="","",ROUND(N($O261)*N($H261),2))</f>
        <v/>
      </c>
      <c r="Q261" s="48" t="str">
        <f aca="false">IF($O261="","",N($O261)+N($P261))</f>
        <v/>
      </c>
      <c r="R261" s="48" t="str">
        <f aca="false">IF(OR($E261="",$B261=""),"",IF(IFERROR(INDEX(基础资料!$V$6:$V$205,MATCH($E261,基础资料!$Q$6:$Q$205,0)),"")&lt;&gt;"是",0,IFERROR((SUMIFS(期初数据!$T$6:$T$205,期初数据!$O$6:$O$205,$E261)+SUMIFS(采购录入!$Q$5:$Q$404,采购录入!$E$5:$E$404,$E261,采购录入!$I$5:$I$404,"是",采购录入!$B$5:$B$404,"&lt;="&amp;$B261))/(SUMIFS(期初数据!$R$6:$R$205,期初数据!$O$6:$O$205,$E261)+SUMIFS(采购录入!$F$5:$F$404,采购录入!$E$5:$E$404,$E261,采购录入!$I$5:$I$404,"是",采购录入!$B$5:$B$404,"&lt;="&amp;$B261)),IFERROR(INDEX(基础资料!$U$6:$U$205,MATCH($E261,基础资料!$Q$6:$Q$205,0)),0))))</f>
        <v/>
      </c>
      <c r="S261" s="48" t="str">
        <f aca="false">IF($O261="","",ROUND(N($F261)*N($R261),2))</f>
        <v/>
      </c>
      <c r="T261" s="48" t="str">
        <f aca="false">IF($O261="","",N($O261)-N($S261))</f>
        <v/>
      </c>
      <c r="U261" s="52" t="str">
        <f aca="false">IF(OR($B261="",$D261=""),"",$B261+N(IFERROR(INDEX(基础资料!$AB$6:$AB$155,MATCH($D261,基础资料!$Z$6:$Z$155,0)),0)))</f>
        <v/>
      </c>
      <c r="V261" s="49" t="str">
        <f aca="false">IF($O261="","","1122")</f>
        <v/>
      </c>
      <c r="W261" s="49" t="str">
        <f aca="false">IF($O261="","","6001")</f>
        <v/>
      </c>
      <c r="X261" s="48" t="str">
        <f aca="false">IF($O261="","",$O261)</f>
        <v/>
      </c>
      <c r="Y261" s="49" t="str">
        <f aca="false">IF(N($P261)=0,"","1122")</f>
        <v/>
      </c>
      <c r="Z261" s="49" t="str">
        <f aca="false">IF(N($P261)=0,"","2221")</f>
        <v/>
      </c>
      <c r="AA261" s="48" t="str">
        <f aca="false">IF(N($P261)=0,"",$P261)</f>
        <v/>
      </c>
      <c r="AB261" s="49" t="str">
        <f aca="false">IF(N($S261)=0,"","6401")</f>
        <v/>
      </c>
      <c r="AC261" s="49" t="str">
        <f aca="false">IF(N($S261)=0,"","1405")</f>
        <v/>
      </c>
      <c r="AD261" s="48" t="str">
        <f aca="false">IF(N($S261)=0,"",$S261)</f>
        <v/>
      </c>
      <c r="AE261" s="49" t="str">
        <f aca="false">IF(AND($D261=客户对账单!$B$3,$B261&gt;=客户对账单!$E$3,$B261&lt;=客户对账单!$H$3),COUNTIFS($D$5:$D261,客户对账单!$B$3,$B$5:$B261,"&gt;="&amp;客户对账单!$E$3,$B$5:$B261,"&lt;="&amp;客户对账单!$H$3),"")</f>
        <v/>
      </c>
    </row>
    <row r="262" customFormat="false" ht="15.75" hidden="false" customHeight="true" outlineLevel="0" collapsed="false">
      <c r="A262" s="42" t="str">
        <f aca="false">IF($B262="","","XS"&amp;TEXT($B262,"yyyymm")&amp;"-"&amp;TEXT(ROW()-4,"000"))</f>
        <v/>
      </c>
      <c r="B262" s="41"/>
      <c r="C262" s="42" t="str">
        <f aca="false">IF($B262="","",TEXT($B262,"yyyy-mm"))</f>
        <v/>
      </c>
      <c r="D262" s="32"/>
      <c r="E262" s="36"/>
      <c r="F262" s="43"/>
      <c r="G262" s="40"/>
      <c r="H262" s="51"/>
      <c r="I262" s="33"/>
      <c r="J262" s="33"/>
      <c r="K262" s="36"/>
      <c r="L262" s="47" t="str">
        <f aca="false">IF($B262="","",IF(NOT(ISNUMBER($B262)),"日期不是日期格式",IF(YEAR($B262)&lt;&gt;首页!$B$3,"不在会计年度",IF($D262="","未选客户",IF(ISNA(MATCH($D262,基础资料!$Z$6:$Z$155,0)),"客户不在档案",IF($E262="","未选商品",IF(ISNA(MATCH($E262,基础资料!$Q$6:$Q$205,0)),"商品不在档案",IF(NOT(ISNUMBER($F262)),"数量须为数字",IF(NOT(ISNUMBER($G262)),"单价须为数字",IF(N($F262)&lt;=0,"数量须大于0",IF(AND(IFERROR(INDEX(基础资料!$V$6:$V$205,MATCH($E262,基础资料!$Q$6:$Q$205,0)),"")="是",N($R262)=0),"无成本价·请先录采购或填参考成本",IF(N($T262)&lt;0,"毛利为负·请核对","√"))))))))))))</f>
        <v/>
      </c>
      <c r="M262" s="49" t="str">
        <f aca="false">IF($E262="","",IFERROR(INDEX(基础资料!$R$6:$R$205,MATCH($E262,基础资料!$Q$6:$Q$205,0)),""))</f>
        <v/>
      </c>
      <c r="N262" s="49" t="str">
        <f aca="false">IF($E262="","",IFERROR(INDEX(基础资料!$S$6:$S$205,MATCH($E262,基础资料!$Q$6:$Q$205,0)),""))</f>
        <v/>
      </c>
      <c r="O262" s="48" t="str">
        <f aca="false">IF(OR($F262="",$G262=""),"",ROUND(N($F262)*N($G262),2))</f>
        <v/>
      </c>
      <c r="P262" s="48" t="str">
        <f aca="false">IF($O262="","",ROUND(N($O262)*N($H262),2))</f>
        <v/>
      </c>
      <c r="Q262" s="48" t="str">
        <f aca="false">IF($O262="","",N($O262)+N($P262))</f>
        <v/>
      </c>
      <c r="R262" s="48" t="str">
        <f aca="false">IF(OR($E262="",$B262=""),"",IF(IFERROR(INDEX(基础资料!$V$6:$V$205,MATCH($E262,基础资料!$Q$6:$Q$205,0)),"")&lt;&gt;"是",0,IFERROR((SUMIFS(期初数据!$T$6:$T$205,期初数据!$O$6:$O$205,$E262)+SUMIFS(采购录入!$Q$5:$Q$404,采购录入!$E$5:$E$404,$E262,采购录入!$I$5:$I$404,"是",采购录入!$B$5:$B$404,"&lt;="&amp;$B262))/(SUMIFS(期初数据!$R$6:$R$205,期初数据!$O$6:$O$205,$E262)+SUMIFS(采购录入!$F$5:$F$404,采购录入!$E$5:$E$404,$E262,采购录入!$I$5:$I$404,"是",采购录入!$B$5:$B$404,"&lt;="&amp;$B262)),IFERROR(INDEX(基础资料!$U$6:$U$205,MATCH($E262,基础资料!$Q$6:$Q$205,0)),0))))</f>
        <v/>
      </c>
      <c r="S262" s="48" t="str">
        <f aca="false">IF($O262="","",ROUND(N($F262)*N($R262),2))</f>
        <v/>
      </c>
      <c r="T262" s="48" t="str">
        <f aca="false">IF($O262="","",N($O262)-N($S262))</f>
        <v/>
      </c>
      <c r="U262" s="52" t="str">
        <f aca="false">IF(OR($B262="",$D262=""),"",$B262+N(IFERROR(INDEX(基础资料!$AB$6:$AB$155,MATCH($D262,基础资料!$Z$6:$Z$155,0)),0)))</f>
        <v/>
      </c>
      <c r="V262" s="49" t="str">
        <f aca="false">IF($O262="","","1122")</f>
        <v/>
      </c>
      <c r="W262" s="49" t="str">
        <f aca="false">IF($O262="","","6001")</f>
        <v/>
      </c>
      <c r="X262" s="48" t="str">
        <f aca="false">IF($O262="","",$O262)</f>
        <v/>
      </c>
      <c r="Y262" s="49" t="str">
        <f aca="false">IF(N($P262)=0,"","1122")</f>
        <v/>
      </c>
      <c r="Z262" s="49" t="str">
        <f aca="false">IF(N($P262)=0,"","2221")</f>
        <v/>
      </c>
      <c r="AA262" s="48" t="str">
        <f aca="false">IF(N($P262)=0,"",$P262)</f>
        <v/>
      </c>
      <c r="AB262" s="49" t="str">
        <f aca="false">IF(N($S262)=0,"","6401")</f>
        <v/>
      </c>
      <c r="AC262" s="49" t="str">
        <f aca="false">IF(N($S262)=0,"","1405")</f>
        <v/>
      </c>
      <c r="AD262" s="48" t="str">
        <f aca="false">IF(N($S262)=0,"",$S262)</f>
        <v/>
      </c>
      <c r="AE262" s="49" t="str">
        <f aca="false">IF(AND($D262=客户对账单!$B$3,$B262&gt;=客户对账单!$E$3,$B262&lt;=客户对账单!$H$3),COUNTIFS($D$5:$D262,客户对账单!$B$3,$B$5:$B262,"&gt;="&amp;客户对账单!$E$3,$B$5:$B262,"&lt;="&amp;客户对账单!$H$3),"")</f>
        <v/>
      </c>
    </row>
    <row r="263" customFormat="false" ht="15.75" hidden="false" customHeight="true" outlineLevel="0" collapsed="false">
      <c r="A263" s="42" t="str">
        <f aca="false">IF($B263="","","XS"&amp;TEXT($B263,"yyyymm")&amp;"-"&amp;TEXT(ROW()-4,"000"))</f>
        <v/>
      </c>
      <c r="B263" s="41"/>
      <c r="C263" s="42" t="str">
        <f aca="false">IF($B263="","",TEXT($B263,"yyyy-mm"))</f>
        <v/>
      </c>
      <c r="D263" s="32"/>
      <c r="E263" s="36"/>
      <c r="F263" s="43"/>
      <c r="G263" s="40"/>
      <c r="H263" s="51"/>
      <c r="I263" s="33"/>
      <c r="J263" s="33"/>
      <c r="K263" s="36"/>
      <c r="L263" s="47" t="str">
        <f aca="false">IF($B263="","",IF(NOT(ISNUMBER($B263)),"日期不是日期格式",IF(YEAR($B263)&lt;&gt;首页!$B$3,"不在会计年度",IF($D263="","未选客户",IF(ISNA(MATCH($D263,基础资料!$Z$6:$Z$155,0)),"客户不在档案",IF($E263="","未选商品",IF(ISNA(MATCH($E263,基础资料!$Q$6:$Q$205,0)),"商品不在档案",IF(NOT(ISNUMBER($F263)),"数量须为数字",IF(NOT(ISNUMBER($G263)),"单价须为数字",IF(N($F263)&lt;=0,"数量须大于0",IF(AND(IFERROR(INDEX(基础资料!$V$6:$V$205,MATCH($E263,基础资料!$Q$6:$Q$205,0)),"")="是",N($R263)=0),"无成本价·请先录采购或填参考成本",IF(N($T263)&lt;0,"毛利为负·请核对","√"))))))))))))</f>
        <v/>
      </c>
      <c r="M263" s="49" t="str">
        <f aca="false">IF($E263="","",IFERROR(INDEX(基础资料!$R$6:$R$205,MATCH($E263,基础资料!$Q$6:$Q$205,0)),""))</f>
        <v/>
      </c>
      <c r="N263" s="49" t="str">
        <f aca="false">IF($E263="","",IFERROR(INDEX(基础资料!$S$6:$S$205,MATCH($E263,基础资料!$Q$6:$Q$205,0)),""))</f>
        <v/>
      </c>
      <c r="O263" s="48" t="str">
        <f aca="false">IF(OR($F263="",$G263=""),"",ROUND(N($F263)*N($G263),2))</f>
        <v/>
      </c>
      <c r="P263" s="48" t="str">
        <f aca="false">IF($O263="","",ROUND(N($O263)*N($H263),2))</f>
        <v/>
      </c>
      <c r="Q263" s="48" t="str">
        <f aca="false">IF($O263="","",N($O263)+N($P263))</f>
        <v/>
      </c>
      <c r="R263" s="48" t="str">
        <f aca="false">IF(OR($E263="",$B263=""),"",IF(IFERROR(INDEX(基础资料!$V$6:$V$205,MATCH($E263,基础资料!$Q$6:$Q$205,0)),"")&lt;&gt;"是",0,IFERROR((SUMIFS(期初数据!$T$6:$T$205,期初数据!$O$6:$O$205,$E263)+SUMIFS(采购录入!$Q$5:$Q$404,采购录入!$E$5:$E$404,$E263,采购录入!$I$5:$I$404,"是",采购录入!$B$5:$B$404,"&lt;="&amp;$B263))/(SUMIFS(期初数据!$R$6:$R$205,期初数据!$O$6:$O$205,$E263)+SUMIFS(采购录入!$F$5:$F$404,采购录入!$E$5:$E$404,$E263,采购录入!$I$5:$I$404,"是",采购录入!$B$5:$B$404,"&lt;="&amp;$B263)),IFERROR(INDEX(基础资料!$U$6:$U$205,MATCH($E263,基础资料!$Q$6:$Q$205,0)),0))))</f>
        <v/>
      </c>
      <c r="S263" s="48" t="str">
        <f aca="false">IF($O263="","",ROUND(N($F263)*N($R263),2))</f>
        <v/>
      </c>
      <c r="T263" s="48" t="str">
        <f aca="false">IF($O263="","",N($O263)-N($S263))</f>
        <v/>
      </c>
      <c r="U263" s="52" t="str">
        <f aca="false">IF(OR($B263="",$D263=""),"",$B263+N(IFERROR(INDEX(基础资料!$AB$6:$AB$155,MATCH($D263,基础资料!$Z$6:$Z$155,0)),0)))</f>
        <v/>
      </c>
      <c r="V263" s="49" t="str">
        <f aca="false">IF($O263="","","1122")</f>
        <v/>
      </c>
      <c r="W263" s="49" t="str">
        <f aca="false">IF($O263="","","6001")</f>
        <v/>
      </c>
      <c r="X263" s="48" t="str">
        <f aca="false">IF($O263="","",$O263)</f>
        <v/>
      </c>
      <c r="Y263" s="49" t="str">
        <f aca="false">IF(N($P263)=0,"","1122")</f>
        <v/>
      </c>
      <c r="Z263" s="49" t="str">
        <f aca="false">IF(N($P263)=0,"","2221")</f>
        <v/>
      </c>
      <c r="AA263" s="48" t="str">
        <f aca="false">IF(N($P263)=0,"",$P263)</f>
        <v/>
      </c>
      <c r="AB263" s="49" t="str">
        <f aca="false">IF(N($S263)=0,"","6401")</f>
        <v/>
      </c>
      <c r="AC263" s="49" t="str">
        <f aca="false">IF(N($S263)=0,"","1405")</f>
        <v/>
      </c>
      <c r="AD263" s="48" t="str">
        <f aca="false">IF(N($S263)=0,"",$S263)</f>
        <v/>
      </c>
      <c r="AE263" s="49" t="str">
        <f aca="false">IF(AND($D263=客户对账单!$B$3,$B263&gt;=客户对账单!$E$3,$B263&lt;=客户对账单!$H$3),COUNTIFS($D$5:$D263,客户对账单!$B$3,$B$5:$B263,"&gt;="&amp;客户对账单!$E$3,$B$5:$B263,"&lt;="&amp;客户对账单!$H$3),"")</f>
        <v/>
      </c>
    </row>
    <row r="264" customFormat="false" ht="15.75" hidden="false" customHeight="true" outlineLevel="0" collapsed="false">
      <c r="A264" s="42" t="str">
        <f aca="false">IF($B264="","","XS"&amp;TEXT($B264,"yyyymm")&amp;"-"&amp;TEXT(ROW()-4,"000"))</f>
        <v/>
      </c>
      <c r="B264" s="41"/>
      <c r="C264" s="42" t="str">
        <f aca="false">IF($B264="","",TEXT($B264,"yyyy-mm"))</f>
        <v/>
      </c>
      <c r="D264" s="32"/>
      <c r="E264" s="36"/>
      <c r="F264" s="43"/>
      <c r="G264" s="40"/>
      <c r="H264" s="51"/>
      <c r="I264" s="33"/>
      <c r="J264" s="33"/>
      <c r="K264" s="36"/>
      <c r="L264" s="47" t="str">
        <f aca="false">IF($B264="","",IF(NOT(ISNUMBER($B264)),"日期不是日期格式",IF(YEAR($B264)&lt;&gt;首页!$B$3,"不在会计年度",IF($D264="","未选客户",IF(ISNA(MATCH($D264,基础资料!$Z$6:$Z$155,0)),"客户不在档案",IF($E264="","未选商品",IF(ISNA(MATCH($E264,基础资料!$Q$6:$Q$205,0)),"商品不在档案",IF(NOT(ISNUMBER($F264)),"数量须为数字",IF(NOT(ISNUMBER($G264)),"单价须为数字",IF(N($F264)&lt;=0,"数量须大于0",IF(AND(IFERROR(INDEX(基础资料!$V$6:$V$205,MATCH($E264,基础资料!$Q$6:$Q$205,0)),"")="是",N($R264)=0),"无成本价·请先录采购或填参考成本",IF(N($T264)&lt;0,"毛利为负·请核对","√"))))))))))))</f>
        <v/>
      </c>
      <c r="M264" s="49" t="str">
        <f aca="false">IF($E264="","",IFERROR(INDEX(基础资料!$R$6:$R$205,MATCH($E264,基础资料!$Q$6:$Q$205,0)),""))</f>
        <v/>
      </c>
      <c r="N264" s="49" t="str">
        <f aca="false">IF($E264="","",IFERROR(INDEX(基础资料!$S$6:$S$205,MATCH($E264,基础资料!$Q$6:$Q$205,0)),""))</f>
        <v/>
      </c>
      <c r="O264" s="48" t="str">
        <f aca="false">IF(OR($F264="",$G264=""),"",ROUND(N($F264)*N($G264),2))</f>
        <v/>
      </c>
      <c r="P264" s="48" t="str">
        <f aca="false">IF($O264="","",ROUND(N($O264)*N($H264),2))</f>
        <v/>
      </c>
      <c r="Q264" s="48" t="str">
        <f aca="false">IF($O264="","",N($O264)+N($P264))</f>
        <v/>
      </c>
      <c r="R264" s="48" t="str">
        <f aca="false">IF(OR($E264="",$B264=""),"",IF(IFERROR(INDEX(基础资料!$V$6:$V$205,MATCH($E264,基础资料!$Q$6:$Q$205,0)),"")&lt;&gt;"是",0,IFERROR((SUMIFS(期初数据!$T$6:$T$205,期初数据!$O$6:$O$205,$E264)+SUMIFS(采购录入!$Q$5:$Q$404,采购录入!$E$5:$E$404,$E264,采购录入!$I$5:$I$404,"是",采购录入!$B$5:$B$404,"&lt;="&amp;$B264))/(SUMIFS(期初数据!$R$6:$R$205,期初数据!$O$6:$O$205,$E264)+SUMIFS(采购录入!$F$5:$F$404,采购录入!$E$5:$E$404,$E264,采购录入!$I$5:$I$404,"是",采购录入!$B$5:$B$404,"&lt;="&amp;$B264)),IFERROR(INDEX(基础资料!$U$6:$U$205,MATCH($E264,基础资料!$Q$6:$Q$205,0)),0))))</f>
        <v/>
      </c>
      <c r="S264" s="48" t="str">
        <f aca="false">IF($O264="","",ROUND(N($F264)*N($R264),2))</f>
        <v/>
      </c>
      <c r="T264" s="48" t="str">
        <f aca="false">IF($O264="","",N($O264)-N($S264))</f>
        <v/>
      </c>
      <c r="U264" s="52" t="str">
        <f aca="false">IF(OR($B264="",$D264=""),"",$B264+N(IFERROR(INDEX(基础资料!$AB$6:$AB$155,MATCH($D264,基础资料!$Z$6:$Z$155,0)),0)))</f>
        <v/>
      </c>
      <c r="V264" s="49" t="str">
        <f aca="false">IF($O264="","","1122")</f>
        <v/>
      </c>
      <c r="W264" s="49" t="str">
        <f aca="false">IF($O264="","","6001")</f>
        <v/>
      </c>
      <c r="X264" s="48" t="str">
        <f aca="false">IF($O264="","",$O264)</f>
        <v/>
      </c>
      <c r="Y264" s="49" t="str">
        <f aca="false">IF(N($P264)=0,"","1122")</f>
        <v/>
      </c>
      <c r="Z264" s="49" t="str">
        <f aca="false">IF(N($P264)=0,"","2221")</f>
        <v/>
      </c>
      <c r="AA264" s="48" t="str">
        <f aca="false">IF(N($P264)=0,"",$P264)</f>
        <v/>
      </c>
      <c r="AB264" s="49" t="str">
        <f aca="false">IF(N($S264)=0,"","6401")</f>
        <v/>
      </c>
      <c r="AC264" s="49" t="str">
        <f aca="false">IF(N($S264)=0,"","1405")</f>
        <v/>
      </c>
      <c r="AD264" s="48" t="str">
        <f aca="false">IF(N($S264)=0,"",$S264)</f>
        <v/>
      </c>
      <c r="AE264" s="49" t="str">
        <f aca="false">IF(AND($D264=客户对账单!$B$3,$B264&gt;=客户对账单!$E$3,$B264&lt;=客户对账单!$H$3),COUNTIFS($D$5:$D264,客户对账单!$B$3,$B$5:$B264,"&gt;="&amp;客户对账单!$E$3,$B$5:$B264,"&lt;="&amp;客户对账单!$H$3),"")</f>
        <v/>
      </c>
    </row>
    <row r="265" customFormat="false" ht="15.75" hidden="false" customHeight="true" outlineLevel="0" collapsed="false">
      <c r="A265" s="42" t="str">
        <f aca="false">IF($B265="","","XS"&amp;TEXT($B265,"yyyymm")&amp;"-"&amp;TEXT(ROW()-4,"000"))</f>
        <v/>
      </c>
      <c r="B265" s="41"/>
      <c r="C265" s="42" t="str">
        <f aca="false">IF($B265="","",TEXT($B265,"yyyy-mm"))</f>
        <v/>
      </c>
      <c r="D265" s="32"/>
      <c r="E265" s="36"/>
      <c r="F265" s="43"/>
      <c r="G265" s="40"/>
      <c r="H265" s="51"/>
      <c r="I265" s="33"/>
      <c r="J265" s="33"/>
      <c r="K265" s="36"/>
      <c r="L265" s="47" t="str">
        <f aca="false">IF($B265="","",IF(NOT(ISNUMBER($B265)),"日期不是日期格式",IF(YEAR($B265)&lt;&gt;首页!$B$3,"不在会计年度",IF($D265="","未选客户",IF(ISNA(MATCH($D265,基础资料!$Z$6:$Z$155,0)),"客户不在档案",IF($E265="","未选商品",IF(ISNA(MATCH($E265,基础资料!$Q$6:$Q$205,0)),"商品不在档案",IF(NOT(ISNUMBER($F265)),"数量须为数字",IF(NOT(ISNUMBER($G265)),"单价须为数字",IF(N($F265)&lt;=0,"数量须大于0",IF(AND(IFERROR(INDEX(基础资料!$V$6:$V$205,MATCH($E265,基础资料!$Q$6:$Q$205,0)),"")="是",N($R265)=0),"无成本价·请先录采购或填参考成本",IF(N($T265)&lt;0,"毛利为负·请核对","√"))))))))))))</f>
        <v/>
      </c>
      <c r="M265" s="49" t="str">
        <f aca="false">IF($E265="","",IFERROR(INDEX(基础资料!$R$6:$R$205,MATCH($E265,基础资料!$Q$6:$Q$205,0)),""))</f>
        <v/>
      </c>
      <c r="N265" s="49" t="str">
        <f aca="false">IF($E265="","",IFERROR(INDEX(基础资料!$S$6:$S$205,MATCH($E265,基础资料!$Q$6:$Q$205,0)),""))</f>
        <v/>
      </c>
      <c r="O265" s="48" t="str">
        <f aca="false">IF(OR($F265="",$G265=""),"",ROUND(N($F265)*N($G265),2))</f>
        <v/>
      </c>
      <c r="P265" s="48" t="str">
        <f aca="false">IF($O265="","",ROUND(N($O265)*N($H265),2))</f>
        <v/>
      </c>
      <c r="Q265" s="48" t="str">
        <f aca="false">IF($O265="","",N($O265)+N($P265))</f>
        <v/>
      </c>
      <c r="R265" s="48" t="str">
        <f aca="false">IF(OR($E265="",$B265=""),"",IF(IFERROR(INDEX(基础资料!$V$6:$V$205,MATCH($E265,基础资料!$Q$6:$Q$205,0)),"")&lt;&gt;"是",0,IFERROR((SUMIFS(期初数据!$T$6:$T$205,期初数据!$O$6:$O$205,$E265)+SUMIFS(采购录入!$Q$5:$Q$404,采购录入!$E$5:$E$404,$E265,采购录入!$I$5:$I$404,"是",采购录入!$B$5:$B$404,"&lt;="&amp;$B265))/(SUMIFS(期初数据!$R$6:$R$205,期初数据!$O$6:$O$205,$E265)+SUMIFS(采购录入!$F$5:$F$404,采购录入!$E$5:$E$404,$E265,采购录入!$I$5:$I$404,"是",采购录入!$B$5:$B$404,"&lt;="&amp;$B265)),IFERROR(INDEX(基础资料!$U$6:$U$205,MATCH($E265,基础资料!$Q$6:$Q$205,0)),0))))</f>
        <v/>
      </c>
      <c r="S265" s="48" t="str">
        <f aca="false">IF($O265="","",ROUND(N($F265)*N($R265),2))</f>
        <v/>
      </c>
      <c r="T265" s="48" t="str">
        <f aca="false">IF($O265="","",N($O265)-N($S265))</f>
        <v/>
      </c>
      <c r="U265" s="52" t="str">
        <f aca="false">IF(OR($B265="",$D265=""),"",$B265+N(IFERROR(INDEX(基础资料!$AB$6:$AB$155,MATCH($D265,基础资料!$Z$6:$Z$155,0)),0)))</f>
        <v/>
      </c>
      <c r="V265" s="49" t="str">
        <f aca="false">IF($O265="","","1122")</f>
        <v/>
      </c>
      <c r="W265" s="49" t="str">
        <f aca="false">IF($O265="","","6001")</f>
        <v/>
      </c>
      <c r="X265" s="48" t="str">
        <f aca="false">IF($O265="","",$O265)</f>
        <v/>
      </c>
      <c r="Y265" s="49" t="str">
        <f aca="false">IF(N($P265)=0,"","1122")</f>
        <v/>
      </c>
      <c r="Z265" s="49" t="str">
        <f aca="false">IF(N($P265)=0,"","2221")</f>
        <v/>
      </c>
      <c r="AA265" s="48" t="str">
        <f aca="false">IF(N($P265)=0,"",$P265)</f>
        <v/>
      </c>
      <c r="AB265" s="49" t="str">
        <f aca="false">IF(N($S265)=0,"","6401")</f>
        <v/>
      </c>
      <c r="AC265" s="49" t="str">
        <f aca="false">IF(N($S265)=0,"","1405")</f>
        <v/>
      </c>
      <c r="AD265" s="48" t="str">
        <f aca="false">IF(N($S265)=0,"",$S265)</f>
        <v/>
      </c>
      <c r="AE265" s="49" t="str">
        <f aca="false">IF(AND($D265=客户对账单!$B$3,$B265&gt;=客户对账单!$E$3,$B265&lt;=客户对账单!$H$3),COUNTIFS($D$5:$D265,客户对账单!$B$3,$B$5:$B265,"&gt;="&amp;客户对账单!$E$3,$B$5:$B265,"&lt;="&amp;客户对账单!$H$3),"")</f>
        <v/>
      </c>
    </row>
    <row r="266" customFormat="false" ht="15.75" hidden="false" customHeight="true" outlineLevel="0" collapsed="false">
      <c r="A266" s="42" t="str">
        <f aca="false">IF($B266="","","XS"&amp;TEXT($B266,"yyyymm")&amp;"-"&amp;TEXT(ROW()-4,"000"))</f>
        <v/>
      </c>
      <c r="B266" s="41"/>
      <c r="C266" s="42" t="str">
        <f aca="false">IF($B266="","",TEXT($B266,"yyyy-mm"))</f>
        <v/>
      </c>
      <c r="D266" s="32"/>
      <c r="E266" s="36"/>
      <c r="F266" s="43"/>
      <c r="G266" s="40"/>
      <c r="H266" s="51"/>
      <c r="I266" s="33"/>
      <c r="J266" s="33"/>
      <c r="K266" s="36"/>
      <c r="L266" s="47" t="str">
        <f aca="false">IF($B266="","",IF(NOT(ISNUMBER($B266)),"日期不是日期格式",IF(YEAR($B266)&lt;&gt;首页!$B$3,"不在会计年度",IF($D266="","未选客户",IF(ISNA(MATCH($D266,基础资料!$Z$6:$Z$155,0)),"客户不在档案",IF($E266="","未选商品",IF(ISNA(MATCH($E266,基础资料!$Q$6:$Q$205,0)),"商品不在档案",IF(NOT(ISNUMBER($F266)),"数量须为数字",IF(NOT(ISNUMBER($G266)),"单价须为数字",IF(N($F266)&lt;=0,"数量须大于0",IF(AND(IFERROR(INDEX(基础资料!$V$6:$V$205,MATCH($E266,基础资料!$Q$6:$Q$205,0)),"")="是",N($R266)=0),"无成本价·请先录采购或填参考成本",IF(N($T266)&lt;0,"毛利为负·请核对","√"))))))))))))</f>
        <v/>
      </c>
      <c r="M266" s="49" t="str">
        <f aca="false">IF($E266="","",IFERROR(INDEX(基础资料!$R$6:$R$205,MATCH($E266,基础资料!$Q$6:$Q$205,0)),""))</f>
        <v/>
      </c>
      <c r="N266" s="49" t="str">
        <f aca="false">IF($E266="","",IFERROR(INDEX(基础资料!$S$6:$S$205,MATCH($E266,基础资料!$Q$6:$Q$205,0)),""))</f>
        <v/>
      </c>
      <c r="O266" s="48" t="str">
        <f aca="false">IF(OR($F266="",$G266=""),"",ROUND(N($F266)*N($G266),2))</f>
        <v/>
      </c>
      <c r="P266" s="48" t="str">
        <f aca="false">IF($O266="","",ROUND(N($O266)*N($H266),2))</f>
        <v/>
      </c>
      <c r="Q266" s="48" t="str">
        <f aca="false">IF($O266="","",N($O266)+N($P266))</f>
        <v/>
      </c>
      <c r="R266" s="48" t="str">
        <f aca="false">IF(OR($E266="",$B266=""),"",IF(IFERROR(INDEX(基础资料!$V$6:$V$205,MATCH($E266,基础资料!$Q$6:$Q$205,0)),"")&lt;&gt;"是",0,IFERROR((SUMIFS(期初数据!$T$6:$T$205,期初数据!$O$6:$O$205,$E266)+SUMIFS(采购录入!$Q$5:$Q$404,采购录入!$E$5:$E$404,$E266,采购录入!$I$5:$I$404,"是",采购录入!$B$5:$B$404,"&lt;="&amp;$B266))/(SUMIFS(期初数据!$R$6:$R$205,期初数据!$O$6:$O$205,$E266)+SUMIFS(采购录入!$F$5:$F$404,采购录入!$E$5:$E$404,$E266,采购录入!$I$5:$I$404,"是",采购录入!$B$5:$B$404,"&lt;="&amp;$B266)),IFERROR(INDEX(基础资料!$U$6:$U$205,MATCH($E266,基础资料!$Q$6:$Q$205,0)),0))))</f>
        <v/>
      </c>
      <c r="S266" s="48" t="str">
        <f aca="false">IF($O266="","",ROUND(N($F266)*N($R266),2))</f>
        <v/>
      </c>
      <c r="T266" s="48" t="str">
        <f aca="false">IF($O266="","",N($O266)-N($S266))</f>
        <v/>
      </c>
      <c r="U266" s="52" t="str">
        <f aca="false">IF(OR($B266="",$D266=""),"",$B266+N(IFERROR(INDEX(基础资料!$AB$6:$AB$155,MATCH($D266,基础资料!$Z$6:$Z$155,0)),0)))</f>
        <v/>
      </c>
      <c r="V266" s="49" t="str">
        <f aca="false">IF($O266="","","1122")</f>
        <v/>
      </c>
      <c r="W266" s="49" t="str">
        <f aca="false">IF($O266="","","6001")</f>
        <v/>
      </c>
      <c r="X266" s="48" t="str">
        <f aca="false">IF($O266="","",$O266)</f>
        <v/>
      </c>
      <c r="Y266" s="49" t="str">
        <f aca="false">IF(N($P266)=0,"","1122")</f>
        <v/>
      </c>
      <c r="Z266" s="49" t="str">
        <f aca="false">IF(N($P266)=0,"","2221")</f>
        <v/>
      </c>
      <c r="AA266" s="48" t="str">
        <f aca="false">IF(N($P266)=0,"",$P266)</f>
        <v/>
      </c>
      <c r="AB266" s="49" t="str">
        <f aca="false">IF(N($S266)=0,"","6401")</f>
        <v/>
      </c>
      <c r="AC266" s="49" t="str">
        <f aca="false">IF(N($S266)=0,"","1405")</f>
        <v/>
      </c>
      <c r="AD266" s="48" t="str">
        <f aca="false">IF(N($S266)=0,"",$S266)</f>
        <v/>
      </c>
      <c r="AE266" s="49" t="str">
        <f aca="false">IF(AND($D266=客户对账单!$B$3,$B266&gt;=客户对账单!$E$3,$B266&lt;=客户对账单!$H$3),COUNTIFS($D$5:$D266,客户对账单!$B$3,$B$5:$B266,"&gt;="&amp;客户对账单!$E$3,$B$5:$B266,"&lt;="&amp;客户对账单!$H$3),"")</f>
        <v/>
      </c>
    </row>
    <row r="267" customFormat="false" ht="15.75" hidden="false" customHeight="true" outlineLevel="0" collapsed="false">
      <c r="A267" s="42" t="str">
        <f aca="false">IF($B267="","","XS"&amp;TEXT($B267,"yyyymm")&amp;"-"&amp;TEXT(ROW()-4,"000"))</f>
        <v/>
      </c>
      <c r="B267" s="41"/>
      <c r="C267" s="42" t="str">
        <f aca="false">IF($B267="","",TEXT($B267,"yyyy-mm"))</f>
        <v/>
      </c>
      <c r="D267" s="32"/>
      <c r="E267" s="36"/>
      <c r="F267" s="43"/>
      <c r="G267" s="40"/>
      <c r="H267" s="51"/>
      <c r="I267" s="33"/>
      <c r="J267" s="33"/>
      <c r="K267" s="36"/>
      <c r="L267" s="47" t="str">
        <f aca="false">IF($B267="","",IF(NOT(ISNUMBER($B267)),"日期不是日期格式",IF(YEAR($B267)&lt;&gt;首页!$B$3,"不在会计年度",IF($D267="","未选客户",IF(ISNA(MATCH($D267,基础资料!$Z$6:$Z$155,0)),"客户不在档案",IF($E267="","未选商品",IF(ISNA(MATCH($E267,基础资料!$Q$6:$Q$205,0)),"商品不在档案",IF(NOT(ISNUMBER($F267)),"数量须为数字",IF(NOT(ISNUMBER($G267)),"单价须为数字",IF(N($F267)&lt;=0,"数量须大于0",IF(AND(IFERROR(INDEX(基础资料!$V$6:$V$205,MATCH($E267,基础资料!$Q$6:$Q$205,0)),"")="是",N($R267)=0),"无成本价·请先录采购或填参考成本",IF(N($T267)&lt;0,"毛利为负·请核对","√"))))))))))))</f>
        <v/>
      </c>
      <c r="M267" s="49" t="str">
        <f aca="false">IF($E267="","",IFERROR(INDEX(基础资料!$R$6:$R$205,MATCH($E267,基础资料!$Q$6:$Q$205,0)),""))</f>
        <v/>
      </c>
      <c r="N267" s="49" t="str">
        <f aca="false">IF($E267="","",IFERROR(INDEX(基础资料!$S$6:$S$205,MATCH($E267,基础资料!$Q$6:$Q$205,0)),""))</f>
        <v/>
      </c>
      <c r="O267" s="48" t="str">
        <f aca="false">IF(OR($F267="",$G267=""),"",ROUND(N($F267)*N($G267),2))</f>
        <v/>
      </c>
      <c r="P267" s="48" t="str">
        <f aca="false">IF($O267="","",ROUND(N($O267)*N($H267),2))</f>
        <v/>
      </c>
      <c r="Q267" s="48" t="str">
        <f aca="false">IF($O267="","",N($O267)+N($P267))</f>
        <v/>
      </c>
      <c r="R267" s="48" t="str">
        <f aca="false">IF(OR($E267="",$B267=""),"",IF(IFERROR(INDEX(基础资料!$V$6:$V$205,MATCH($E267,基础资料!$Q$6:$Q$205,0)),"")&lt;&gt;"是",0,IFERROR((SUMIFS(期初数据!$T$6:$T$205,期初数据!$O$6:$O$205,$E267)+SUMIFS(采购录入!$Q$5:$Q$404,采购录入!$E$5:$E$404,$E267,采购录入!$I$5:$I$404,"是",采购录入!$B$5:$B$404,"&lt;="&amp;$B267))/(SUMIFS(期初数据!$R$6:$R$205,期初数据!$O$6:$O$205,$E267)+SUMIFS(采购录入!$F$5:$F$404,采购录入!$E$5:$E$404,$E267,采购录入!$I$5:$I$404,"是",采购录入!$B$5:$B$404,"&lt;="&amp;$B267)),IFERROR(INDEX(基础资料!$U$6:$U$205,MATCH($E267,基础资料!$Q$6:$Q$205,0)),0))))</f>
        <v/>
      </c>
      <c r="S267" s="48" t="str">
        <f aca="false">IF($O267="","",ROUND(N($F267)*N($R267),2))</f>
        <v/>
      </c>
      <c r="T267" s="48" t="str">
        <f aca="false">IF($O267="","",N($O267)-N($S267))</f>
        <v/>
      </c>
      <c r="U267" s="52" t="str">
        <f aca="false">IF(OR($B267="",$D267=""),"",$B267+N(IFERROR(INDEX(基础资料!$AB$6:$AB$155,MATCH($D267,基础资料!$Z$6:$Z$155,0)),0)))</f>
        <v/>
      </c>
      <c r="V267" s="49" t="str">
        <f aca="false">IF($O267="","","1122")</f>
        <v/>
      </c>
      <c r="W267" s="49" t="str">
        <f aca="false">IF($O267="","","6001")</f>
        <v/>
      </c>
      <c r="X267" s="48" t="str">
        <f aca="false">IF($O267="","",$O267)</f>
        <v/>
      </c>
      <c r="Y267" s="49" t="str">
        <f aca="false">IF(N($P267)=0,"","1122")</f>
        <v/>
      </c>
      <c r="Z267" s="49" t="str">
        <f aca="false">IF(N($P267)=0,"","2221")</f>
        <v/>
      </c>
      <c r="AA267" s="48" t="str">
        <f aca="false">IF(N($P267)=0,"",$P267)</f>
        <v/>
      </c>
      <c r="AB267" s="49" t="str">
        <f aca="false">IF(N($S267)=0,"","6401")</f>
        <v/>
      </c>
      <c r="AC267" s="49" t="str">
        <f aca="false">IF(N($S267)=0,"","1405")</f>
        <v/>
      </c>
      <c r="AD267" s="48" t="str">
        <f aca="false">IF(N($S267)=0,"",$S267)</f>
        <v/>
      </c>
      <c r="AE267" s="49" t="str">
        <f aca="false">IF(AND($D267=客户对账单!$B$3,$B267&gt;=客户对账单!$E$3,$B267&lt;=客户对账单!$H$3),COUNTIFS($D$5:$D267,客户对账单!$B$3,$B$5:$B267,"&gt;="&amp;客户对账单!$E$3,$B$5:$B267,"&lt;="&amp;客户对账单!$H$3),"")</f>
        <v/>
      </c>
    </row>
    <row r="268" customFormat="false" ht="15.75" hidden="false" customHeight="true" outlineLevel="0" collapsed="false">
      <c r="A268" s="42" t="str">
        <f aca="false">IF($B268="","","XS"&amp;TEXT($B268,"yyyymm")&amp;"-"&amp;TEXT(ROW()-4,"000"))</f>
        <v/>
      </c>
      <c r="B268" s="41"/>
      <c r="C268" s="42" t="str">
        <f aca="false">IF($B268="","",TEXT($B268,"yyyy-mm"))</f>
        <v/>
      </c>
      <c r="D268" s="32"/>
      <c r="E268" s="36"/>
      <c r="F268" s="43"/>
      <c r="G268" s="40"/>
      <c r="H268" s="51"/>
      <c r="I268" s="33"/>
      <c r="J268" s="33"/>
      <c r="K268" s="36"/>
      <c r="L268" s="47" t="str">
        <f aca="false">IF($B268="","",IF(NOT(ISNUMBER($B268)),"日期不是日期格式",IF(YEAR($B268)&lt;&gt;首页!$B$3,"不在会计年度",IF($D268="","未选客户",IF(ISNA(MATCH($D268,基础资料!$Z$6:$Z$155,0)),"客户不在档案",IF($E268="","未选商品",IF(ISNA(MATCH($E268,基础资料!$Q$6:$Q$205,0)),"商品不在档案",IF(NOT(ISNUMBER($F268)),"数量须为数字",IF(NOT(ISNUMBER($G268)),"单价须为数字",IF(N($F268)&lt;=0,"数量须大于0",IF(AND(IFERROR(INDEX(基础资料!$V$6:$V$205,MATCH($E268,基础资料!$Q$6:$Q$205,0)),"")="是",N($R268)=0),"无成本价·请先录采购或填参考成本",IF(N($T268)&lt;0,"毛利为负·请核对","√"))))))))))))</f>
        <v/>
      </c>
      <c r="M268" s="49" t="str">
        <f aca="false">IF($E268="","",IFERROR(INDEX(基础资料!$R$6:$R$205,MATCH($E268,基础资料!$Q$6:$Q$205,0)),""))</f>
        <v/>
      </c>
      <c r="N268" s="49" t="str">
        <f aca="false">IF($E268="","",IFERROR(INDEX(基础资料!$S$6:$S$205,MATCH($E268,基础资料!$Q$6:$Q$205,0)),""))</f>
        <v/>
      </c>
      <c r="O268" s="48" t="str">
        <f aca="false">IF(OR($F268="",$G268=""),"",ROUND(N($F268)*N($G268),2))</f>
        <v/>
      </c>
      <c r="P268" s="48" t="str">
        <f aca="false">IF($O268="","",ROUND(N($O268)*N($H268),2))</f>
        <v/>
      </c>
      <c r="Q268" s="48" t="str">
        <f aca="false">IF($O268="","",N($O268)+N($P268))</f>
        <v/>
      </c>
      <c r="R268" s="48" t="str">
        <f aca="false">IF(OR($E268="",$B268=""),"",IF(IFERROR(INDEX(基础资料!$V$6:$V$205,MATCH($E268,基础资料!$Q$6:$Q$205,0)),"")&lt;&gt;"是",0,IFERROR((SUMIFS(期初数据!$T$6:$T$205,期初数据!$O$6:$O$205,$E268)+SUMIFS(采购录入!$Q$5:$Q$404,采购录入!$E$5:$E$404,$E268,采购录入!$I$5:$I$404,"是",采购录入!$B$5:$B$404,"&lt;="&amp;$B268))/(SUMIFS(期初数据!$R$6:$R$205,期初数据!$O$6:$O$205,$E268)+SUMIFS(采购录入!$F$5:$F$404,采购录入!$E$5:$E$404,$E268,采购录入!$I$5:$I$404,"是",采购录入!$B$5:$B$404,"&lt;="&amp;$B268)),IFERROR(INDEX(基础资料!$U$6:$U$205,MATCH($E268,基础资料!$Q$6:$Q$205,0)),0))))</f>
        <v/>
      </c>
      <c r="S268" s="48" t="str">
        <f aca="false">IF($O268="","",ROUND(N($F268)*N($R268),2))</f>
        <v/>
      </c>
      <c r="T268" s="48" t="str">
        <f aca="false">IF($O268="","",N($O268)-N($S268))</f>
        <v/>
      </c>
      <c r="U268" s="52" t="str">
        <f aca="false">IF(OR($B268="",$D268=""),"",$B268+N(IFERROR(INDEX(基础资料!$AB$6:$AB$155,MATCH($D268,基础资料!$Z$6:$Z$155,0)),0)))</f>
        <v/>
      </c>
      <c r="V268" s="49" t="str">
        <f aca="false">IF($O268="","","1122")</f>
        <v/>
      </c>
      <c r="W268" s="49" t="str">
        <f aca="false">IF($O268="","","6001")</f>
        <v/>
      </c>
      <c r="X268" s="48" t="str">
        <f aca="false">IF($O268="","",$O268)</f>
        <v/>
      </c>
      <c r="Y268" s="49" t="str">
        <f aca="false">IF(N($P268)=0,"","1122")</f>
        <v/>
      </c>
      <c r="Z268" s="49" t="str">
        <f aca="false">IF(N($P268)=0,"","2221")</f>
        <v/>
      </c>
      <c r="AA268" s="48" t="str">
        <f aca="false">IF(N($P268)=0,"",$P268)</f>
        <v/>
      </c>
      <c r="AB268" s="49" t="str">
        <f aca="false">IF(N($S268)=0,"","6401")</f>
        <v/>
      </c>
      <c r="AC268" s="49" t="str">
        <f aca="false">IF(N($S268)=0,"","1405")</f>
        <v/>
      </c>
      <c r="AD268" s="48" t="str">
        <f aca="false">IF(N($S268)=0,"",$S268)</f>
        <v/>
      </c>
      <c r="AE268" s="49" t="str">
        <f aca="false">IF(AND($D268=客户对账单!$B$3,$B268&gt;=客户对账单!$E$3,$B268&lt;=客户对账单!$H$3),COUNTIFS($D$5:$D268,客户对账单!$B$3,$B$5:$B268,"&gt;="&amp;客户对账单!$E$3,$B$5:$B268,"&lt;="&amp;客户对账单!$H$3),"")</f>
        <v/>
      </c>
    </row>
    <row r="269" customFormat="false" ht="15.75" hidden="false" customHeight="true" outlineLevel="0" collapsed="false">
      <c r="A269" s="42" t="str">
        <f aca="false">IF($B269="","","XS"&amp;TEXT($B269,"yyyymm")&amp;"-"&amp;TEXT(ROW()-4,"000"))</f>
        <v/>
      </c>
      <c r="B269" s="41"/>
      <c r="C269" s="42" t="str">
        <f aca="false">IF($B269="","",TEXT($B269,"yyyy-mm"))</f>
        <v/>
      </c>
      <c r="D269" s="32"/>
      <c r="E269" s="36"/>
      <c r="F269" s="43"/>
      <c r="G269" s="40"/>
      <c r="H269" s="51"/>
      <c r="I269" s="33"/>
      <c r="J269" s="33"/>
      <c r="K269" s="36"/>
      <c r="L269" s="47" t="str">
        <f aca="false">IF($B269="","",IF(NOT(ISNUMBER($B269)),"日期不是日期格式",IF(YEAR($B269)&lt;&gt;首页!$B$3,"不在会计年度",IF($D269="","未选客户",IF(ISNA(MATCH($D269,基础资料!$Z$6:$Z$155,0)),"客户不在档案",IF($E269="","未选商品",IF(ISNA(MATCH($E269,基础资料!$Q$6:$Q$205,0)),"商品不在档案",IF(NOT(ISNUMBER($F269)),"数量须为数字",IF(NOT(ISNUMBER($G269)),"单价须为数字",IF(N($F269)&lt;=0,"数量须大于0",IF(AND(IFERROR(INDEX(基础资料!$V$6:$V$205,MATCH($E269,基础资料!$Q$6:$Q$205,0)),"")="是",N($R269)=0),"无成本价·请先录采购或填参考成本",IF(N($T269)&lt;0,"毛利为负·请核对","√"))))))))))))</f>
        <v/>
      </c>
      <c r="M269" s="49" t="str">
        <f aca="false">IF($E269="","",IFERROR(INDEX(基础资料!$R$6:$R$205,MATCH($E269,基础资料!$Q$6:$Q$205,0)),""))</f>
        <v/>
      </c>
      <c r="N269" s="49" t="str">
        <f aca="false">IF($E269="","",IFERROR(INDEX(基础资料!$S$6:$S$205,MATCH($E269,基础资料!$Q$6:$Q$205,0)),""))</f>
        <v/>
      </c>
      <c r="O269" s="48" t="str">
        <f aca="false">IF(OR($F269="",$G269=""),"",ROUND(N($F269)*N($G269),2))</f>
        <v/>
      </c>
      <c r="P269" s="48" t="str">
        <f aca="false">IF($O269="","",ROUND(N($O269)*N($H269),2))</f>
        <v/>
      </c>
      <c r="Q269" s="48" t="str">
        <f aca="false">IF($O269="","",N($O269)+N($P269))</f>
        <v/>
      </c>
      <c r="R269" s="48" t="str">
        <f aca="false">IF(OR($E269="",$B269=""),"",IF(IFERROR(INDEX(基础资料!$V$6:$V$205,MATCH($E269,基础资料!$Q$6:$Q$205,0)),"")&lt;&gt;"是",0,IFERROR((SUMIFS(期初数据!$T$6:$T$205,期初数据!$O$6:$O$205,$E269)+SUMIFS(采购录入!$Q$5:$Q$404,采购录入!$E$5:$E$404,$E269,采购录入!$I$5:$I$404,"是",采购录入!$B$5:$B$404,"&lt;="&amp;$B269))/(SUMIFS(期初数据!$R$6:$R$205,期初数据!$O$6:$O$205,$E269)+SUMIFS(采购录入!$F$5:$F$404,采购录入!$E$5:$E$404,$E269,采购录入!$I$5:$I$404,"是",采购录入!$B$5:$B$404,"&lt;="&amp;$B269)),IFERROR(INDEX(基础资料!$U$6:$U$205,MATCH($E269,基础资料!$Q$6:$Q$205,0)),0))))</f>
        <v/>
      </c>
      <c r="S269" s="48" t="str">
        <f aca="false">IF($O269="","",ROUND(N($F269)*N($R269),2))</f>
        <v/>
      </c>
      <c r="T269" s="48" t="str">
        <f aca="false">IF($O269="","",N($O269)-N($S269))</f>
        <v/>
      </c>
      <c r="U269" s="52" t="str">
        <f aca="false">IF(OR($B269="",$D269=""),"",$B269+N(IFERROR(INDEX(基础资料!$AB$6:$AB$155,MATCH($D269,基础资料!$Z$6:$Z$155,0)),0)))</f>
        <v/>
      </c>
      <c r="V269" s="49" t="str">
        <f aca="false">IF($O269="","","1122")</f>
        <v/>
      </c>
      <c r="W269" s="49" t="str">
        <f aca="false">IF($O269="","","6001")</f>
        <v/>
      </c>
      <c r="X269" s="48" t="str">
        <f aca="false">IF($O269="","",$O269)</f>
        <v/>
      </c>
      <c r="Y269" s="49" t="str">
        <f aca="false">IF(N($P269)=0,"","1122")</f>
        <v/>
      </c>
      <c r="Z269" s="49" t="str">
        <f aca="false">IF(N($P269)=0,"","2221")</f>
        <v/>
      </c>
      <c r="AA269" s="48" t="str">
        <f aca="false">IF(N($P269)=0,"",$P269)</f>
        <v/>
      </c>
      <c r="AB269" s="49" t="str">
        <f aca="false">IF(N($S269)=0,"","6401")</f>
        <v/>
      </c>
      <c r="AC269" s="49" t="str">
        <f aca="false">IF(N($S269)=0,"","1405")</f>
        <v/>
      </c>
      <c r="AD269" s="48" t="str">
        <f aca="false">IF(N($S269)=0,"",$S269)</f>
        <v/>
      </c>
      <c r="AE269" s="49" t="str">
        <f aca="false">IF(AND($D269=客户对账单!$B$3,$B269&gt;=客户对账单!$E$3,$B269&lt;=客户对账单!$H$3),COUNTIFS($D$5:$D269,客户对账单!$B$3,$B$5:$B269,"&gt;="&amp;客户对账单!$E$3,$B$5:$B269,"&lt;="&amp;客户对账单!$H$3),"")</f>
        <v/>
      </c>
    </row>
    <row r="270" customFormat="false" ht="15.75" hidden="false" customHeight="true" outlineLevel="0" collapsed="false">
      <c r="A270" s="42" t="str">
        <f aca="false">IF($B270="","","XS"&amp;TEXT($B270,"yyyymm")&amp;"-"&amp;TEXT(ROW()-4,"000"))</f>
        <v/>
      </c>
      <c r="B270" s="41"/>
      <c r="C270" s="42" t="str">
        <f aca="false">IF($B270="","",TEXT($B270,"yyyy-mm"))</f>
        <v/>
      </c>
      <c r="D270" s="32"/>
      <c r="E270" s="36"/>
      <c r="F270" s="43"/>
      <c r="G270" s="40"/>
      <c r="H270" s="51"/>
      <c r="I270" s="33"/>
      <c r="J270" s="33"/>
      <c r="K270" s="36"/>
      <c r="L270" s="47" t="str">
        <f aca="false">IF($B270="","",IF(NOT(ISNUMBER($B270)),"日期不是日期格式",IF(YEAR($B270)&lt;&gt;首页!$B$3,"不在会计年度",IF($D270="","未选客户",IF(ISNA(MATCH($D270,基础资料!$Z$6:$Z$155,0)),"客户不在档案",IF($E270="","未选商品",IF(ISNA(MATCH($E270,基础资料!$Q$6:$Q$205,0)),"商品不在档案",IF(NOT(ISNUMBER($F270)),"数量须为数字",IF(NOT(ISNUMBER($G270)),"单价须为数字",IF(N($F270)&lt;=0,"数量须大于0",IF(AND(IFERROR(INDEX(基础资料!$V$6:$V$205,MATCH($E270,基础资料!$Q$6:$Q$205,0)),"")="是",N($R270)=0),"无成本价·请先录采购或填参考成本",IF(N($T270)&lt;0,"毛利为负·请核对","√"))))))))))))</f>
        <v/>
      </c>
      <c r="M270" s="49" t="str">
        <f aca="false">IF($E270="","",IFERROR(INDEX(基础资料!$R$6:$R$205,MATCH($E270,基础资料!$Q$6:$Q$205,0)),""))</f>
        <v/>
      </c>
      <c r="N270" s="49" t="str">
        <f aca="false">IF($E270="","",IFERROR(INDEX(基础资料!$S$6:$S$205,MATCH($E270,基础资料!$Q$6:$Q$205,0)),""))</f>
        <v/>
      </c>
      <c r="O270" s="48" t="str">
        <f aca="false">IF(OR($F270="",$G270=""),"",ROUND(N($F270)*N($G270),2))</f>
        <v/>
      </c>
      <c r="P270" s="48" t="str">
        <f aca="false">IF($O270="","",ROUND(N($O270)*N($H270),2))</f>
        <v/>
      </c>
      <c r="Q270" s="48" t="str">
        <f aca="false">IF($O270="","",N($O270)+N($P270))</f>
        <v/>
      </c>
      <c r="R270" s="48" t="str">
        <f aca="false">IF(OR($E270="",$B270=""),"",IF(IFERROR(INDEX(基础资料!$V$6:$V$205,MATCH($E270,基础资料!$Q$6:$Q$205,0)),"")&lt;&gt;"是",0,IFERROR((SUMIFS(期初数据!$T$6:$T$205,期初数据!$O$6:$O$205,$E270)+SUMIFS(采购录入!$Q$5:$Q$404,采购录入!$E$5:$E$404,$E270,采购录入!$I$5:$I$404,"是",采购录入!$B$5:$B$404,"&lt;="&amp;$B270))/(SUMIFS(期初数据!$R$6:$R$205,期初数据!$O$6:$O$205,$E270)+SUMIFS(采购录入!$F$5:$F$404,采购录入!$E$5:$E$404,$E270,采购录入!$I$5:$I$404,"是",采购录入!$B$5:$B$404,"&lt;="&amp;$B270)),IFERROR(INDEX(基础资料!$U$6:$U$205,MATCH($E270,基础资料!$Q$6:$Q$205,0)),0))))</f>
        <v/>
      </c>
      <c r="S270" s="48" t="str">
        <f aca="false">IF($O270="","",ROUND(N($F270)*N($R270),2))</f>
        <v/>
      </c>
      <c r="T270" s="48" t="str">
        <f aca="false">IF($O270="","",N($O270)-N($S270))</f>
        <v/>
      </c>
      <c r="U270" s="52" t="str">
        <f aca="false">IF(OR($B270="",$D270=""),"",$B270+N(IFERROR(INDEX(基础资料!$AB$6:$AB$155,MATCH($D270,基础资料!$Z$6:$Z$155,0)),0)))</f>
        <v/>
      </c>
      <c r="V270" s="49" t="str">
        <f aca="false">IF($O270="","","1122")</f>
        <v/>
      </c>
      <c r="W270" s="49" t="str">
        <f aca="false">IF($O270="","","6001")</f>
        <v/>
      </c>
      <c r="X270" s="48" t="str">
        <f aca="false">IF($O270="","",$O270)</f>
        <v/>
      </c>
      <c r="Y270" s="49" t="str">
        <f aca="false">IF(N($P270)=0,"","1122")</f>
        <v/>
      </c>
      <c r="Z270" s="49" t="str">
        <f aca="false">IF(N($P270)=0,"","2221")</f>
        <v/>
      </c>
      <c r="AA270" s="48" t="str">
        <f aca="false">IF(N($P270)=0,"",$P270)</f>
        <v/>
      </c>
      <c r="AB270" s="49" t="str">
        <f aca="false">IF(N($S270)=0,"","6401")</f>
        <v/>
      </c>
      <c r="AC270" s="49" t="str">
        <f aca="false">IF(N($S270)=0,"","1405")</f>
        <v/>
      </c>
      <c r="AD270" s="48" t="str">
        <f aca="false">IF(N($S270)=0,"",$S270)</f>
        <v/>
      </c>
      <c r="AE270" s="49" t="str">
        <f aca="false">IF(AND($D270=客户对账单!$B$3,$B270&gt;=客户对账单!$E$3,$B270&lt;=客户对账单!$H$3),COUNTIFS($D$5:$D270,客户对账单!$B$3,$B$5:$B270,"&gt;="&amp;客户对账单!$E$3,$B$5:$B270,"&lt;="&amp;客户对账单!$H$3),"")</f>
        <v/>
      </c>
    </row>
    <row r="271" customFormat="false" ht="15.75" hidden="false" customHeight="true" outlineLevel="0" collapsed="false">
      <c r="A271" s="42" t="str">
        <f aca="false">IF($B271="","","XS"&amp;TEXT($B271,"yyyymm")&amp;"-"&amp;TEXT(ROW()-4,"000"))</f>
        <v/>
      </c>
      <c r="B271" s="41"/>
      <c r="C271" s="42" t="str">
        <f aca="false">IF($B271="","",TEXT($B271,"yyyy-mm"))</f>
        <v/>
      </c>
      <c r="D271" s="32"/>
      <c r="E271" s="36"/>
      <c r="F271" s="43"/>
      <c r="G271" s="40"/>
      <c r="H271" s="51"/>
      <c r="I271" s="33"/>
      <c r="J271" s="33"/>
      <c r="K271" s="36"/>
      <c r="L271" s="47" t="str">
        <f aca="false">IF($B271="","",IF(NOT(ISNUMBER($B271)),"日期不是日期格式",IF(YEAR($B271)&lt;&gt;首页!$B$3,"不在会计年度",IF($D271="","未选客户",IF(ISNA(MATCH($D271,基础资料!$Z$6:$Z$155,0)),"客户不在档案",IF($E271="","未选商品",IF(ISNA(MATCH($E271,基础资料!$Q$6:$Q$205,0)),"商品不在档案",IF(NOT(ISNUMBER($F271)),"数量须为数字",IF(NOT(ISNUMBER($G271)),"单价须为数字",IF(N($F271)&lt;=0,"数量须大于0",IF(AND(IFERROR(INDEX(基础资料!$V$6:$V$205,MATCH($E271,基础资料!$Q$6:$Q$205,0)),"")="是",N($R271)=0),"无成本价·请先录采购或填参考成本",IF(N($T271)&lt;0,"毛利为负·请核对","√"))))))))))))</f>
        <v/>
      </c>
      <c r="M271" s="49" t="str">
        <f aca="false">IF($E271="","",IFERROR(INDEX(基础资料!$R$6:$R$205,MATCH($E271,基础资料!$Q$6:$Q$205,0)),""))</f>
        <v/>
      </c>
      <c r="N271" s="49" t="str">
        <f aca="false">IF($E271="","",IFERROR(INDEX(基础资料!$S$6:$S$205,MATCH($E271,基础资料!$Q$6:$Q$205,0)),""))</f>
        <v/>
      </c>
      <c r="O271" s="48" t="str">
        <f aca="false">IF(OR($F271="",$G271=""),"",ROUND(N($F271)*N($G271),2))</f>
        <v/>
      </c>
      <c r="P271" s="48" t="str">
        <f aca="false">IF($O271="","",ROUND(N($O271)*N($H271),2))</f>
        <v/>
      </c>
      <c r="Q271" s="48" t="str">
        <f aca="false">IF($O271="","",N($O271)+N($P271))</f>
        <v/>
      </c>
      <c r="R271" s="48" t="str">
        <f aca="false">IF(OR($E271="",$B271=""),"",IF(IFERROR(INDEX(基础资料!$V$6:$V$205,MATCH($E271,基础资料!$Q$6:$Q$205,0)),"")&lt;&gt;"是",0,IFERROR((SUMIFS(期初数据!$T$6:$T$205,期初数据!$O$6:$O$205,$E271)+SUMIFS(采购录入!$Q$5:$Q$404,采购录入!$E$5:$E$404,$E271,采购录入!$I$5:$I$404,"是",采购录入!$B$5:$B$404,"&lt;="&amp;$B271))/(SUMIFS(期初数据!$R$6:$R$205,期初数据!$O$6:$O$205,$E271)+SUMIFS(采购录入!$F$5:$F$404,采购录入!$E$5:$E$404,$E271,采购录入!$I$5:$I$404,"是",采购录入!$B$5:$B$404,"&lt;="&amp;$B271)),IFERROR(INDEX(基础资料!$U$6:$U$205,MATCH($E271,基础资料!$Q$6:$Q$205,0)),0))))</f>
        <v/>
      </c>
      <c r="S271" s="48" t="str">
        <f aca="false">IF($O271="","",ROUND(N($F271)*N($R271),2))</f>
        <v/>
      </c>
      <c r="T271" s="48" t="str">
        <f aca="false">IF($O271="","",N($O271)-N($S271))</f>
        <v/>
      </c>
      <c r="U271" s="52" t="str">
        <f aca="false">IF(OR($B271="",$D271=""),"",$B271+N(IFERROR(INDEX(基础资料!$AB$6:$AB$155,MATCH($D271,基础资料!$Z$6:$Z$155,0)),0)))</f>
        <v/>
      </c>
      <c r="V271" s="49" t="str">
        <f aca="false">IF($O271="","","1122")</f>
        <v/>
      </c>
      <c r="W271" s="49" t="str">
        <f aca="false">IF($O271="","","6001")</f>
        <v/>
      </c>
      <c r="X271" s="48" t="str">
        <f aca="false">IF($O271="","",$O271)</f>
        <v/>
      </c>
      <c r="Y271" s="49" t="str">
        <f aca="false">IF(N($P271)=0,"","1122")</f>
        <v/>
      </c>
      <c r="Z271" s="49" t="str">
        <f aca="false">IF(N($P271)=0,"","2221")</f>
        <v/>
      </c>
      <c r="AA271" s="48" t="str">
        <f aca="false">IF(N($P271)=0,"",$P271)</f>
        <v/>
      </c>
      <c r="AB271" s="49" t="str">
        <f aca="false">IF(N($S271)=0,"","6401")</f>
        <v/>
      </c>
      <c r="AC271" s="49" t="str">
        <f aca="false">IF(N($S271)=0,"","1405")</f>
        <v/>
      </c>
      <c r="AD271" s="48" t="str">
        <f aca="false">IF(N($S271)=0,"",$S271)</f>
        <v/>
      </c>
      <c r="AE271" s="49" t="str">
        <f aca="false">IF(AND($D271=客户对账单!$B$3,$B271&gt;=客户对账单!$E$3,$B271&lt;=客户对账单!$H$3),COUNTIFS($D$5:$D271,客户对账单!$B$3,$B$5:$B271,"&gt;="&amp;客户对账单!$E$3,$B$5:$B271,"&lt;="&amp;客户对账单!$H$3),"")</f>
        <v/>
      </c>
    </row>
    <row r="272" customFormat="false" ht="15.75" hidden="false" customHeight="true" outlineLevel="0" collapsed="false">
      <c r="A272" s="42" t="str">
        <f aca="false">IF($B272="","","XS"&amp;TEXT($B272,"yyyymm")&amp;"-"&amp;TEXT(ROW()-4,"000"))</f>
        <v/>
      </c>
      <c r="B272" s="41"/>
      <c r="C272" s="42" t="str">
        <f aca="false">IF($B272="","",TEXT($B272,"yyyy-mm"))</f>
        <v/>
      </c>
      <c r="D272" s="32"/>
      <c r="E272" s="36"/>
      <c r="F272" s="43"/>
      <c r="G272" s="40"/>
      <c r="H272" s="51"/>
      <c r="I272" s="33"/>
      <c r="J272" s="33"/>
      <c r="K272" s="36"/>
      <c r="L272" s="47" t="str">
        <f aca="false">IF($B272="","",IF(NOT(ISNUMBER($B272)),"日期不是日期格式",IF(YEAR($B272)&lt;&gt;首页!$B$3,"不在会计年度",IF($D272="","未选客户",IF(ISNA(MATCH($D272,基础资料!$Z$6:$Z$155,0)),"客户不在档案",IF($E272="","未选商品",IF(ISNA(MATCH($E272,基础资料!$Q$6:$Q$205,0)),"商品不在档案",IF(NOT(ISNUMBER($F272)),"数量须为数字",IF(NOT(ISNUMBER($G272)),"单价须为数字",IF(N($F272)&lt;=0,"数量须大于0",IF(AND(IFERROR(INDEX(基础资料!$V$6:$V$205,MATCH($E272,基础资料!$Q$6:$Q$205,0)),"")="是",N($R272)=0),"无成本价·请先录采购或填参考成本",IF(N($T272)&lt;0,"毛利为负·请核对","√"))))))))))))</f>
        <v/>
      </c>
      <c r="M272" s="49" t="str">
        <f aca="false">IF($E272="","",IFERROR(INDEX(基础资料!$R$6:$R$205,MATCH($E272,基础资料!$Q$6:$Q$205,0)),""))</f>
        <v/>
      </c>
      <c r="N272" s="49" t="str">
        <f aca="false">IF($E272="","",IFERROR(INDEX(基础资料!$S$6:$S$205,MATCH($E272,基础资料!$Q$6:$Q$205,0)),""))</f>
        <v/>
      </c>
      <c r="O272" s="48" t="str">
        <f aca="false">IF(OR($F272="",$G272=""),"",ROUND(N($F272)*N($G272),2))</f>
        <v/>
      </c>
      <c r="P272" s="48" t="str">
        <f aca="false">IF($O272="","",ROUND(N($O272)*N($H272),2))</f>
        <v/>
      </c>
      <c r="Q272" s="48" t="str">
        <f aca="false">IF($O272="","",N($O272)+N($P272))</f>
        <v/>
      </c>
      <c r="R272" s="48" t="str">
        <f aca="false">IF(OR($E272="",$B272=""),"",IF(IFERROR(INDEX(基础资料!$V$6:$V$205,MATCH($E272,基础资料!$Q$6:$Q$205,0)),"")&lt;&gt;"是",0,IFERROR((SUMIFS(期初数据!$T$6:$T$205,期初数据!$O$6:$O$205,$E272)+SUMIFS(采购录入!$Q$5:$Q$404,采购录入!$E$5:$E$404,$E272,采购录入!$I$5:$I$404,"是",采购录入!$B$5:$B$404,"&lt;="&amp;$B272))/(SUMIFS(期初数据!$R$6:$R$205,期初数据!$O$6:$O$205,$E272)+SUMIFS(采购录入!$F$5:$F$404,采购录入!$E$5:$E$404,$E272,采购录入!$I$5:$I$404,"是",采购录入!$B$5:$B$404,"&lt;="&amp;$B272)),IFERROR(INDEX(基础资料!$U$6:$U$205,MATCH($E272,基础资料!$Q$6:$Q$205,0)),0))))</f>
        <v/>
      </c>
      <c r="S272" s="48" t="str">
        <f aca="false">IF($O272="","",ROUND(N($F272)*N($R272),2))</f>
        <v/>
      </c>
      <c r="T272" s="48" t="str">
        <f aca="false">IF($O272="","",N($O272)-N($S272))</f>
        <v/>
      </c>
      <c r="U272" s="52" t="str">
        <f aca="false">IF(OR($B272="",$D272=""),"",$B272+N(IFERROR(INDEX(基础资料!$AB$6:$AB$155,MATCH($D272,基础资料!$Z$6:$Z$155,0)),0)))</f>
        <v/>
      </c>
      <c r="V272" s="49" t="str">
        <f aca="false">IF($O272="","","1122")</f>
        <v/>
      </c>
      <c r="W272" s="49" t="str">
        <f aca="false">IF($O272="","","6001")</f>
        <v/>
      </c>
      <c r="X272" s="48" t="str">
        <f aca="false">IF($O272="","",$O272)</f>
        <v/>
      </c>
      <c r="Y272" s="49" t="str">
        <f aca="false">IF(N($P272)=0,"","1122")</f>
        <v/>
      </c>
      <c r="Z272" s="49" t="str">
        <f aca="false">IF(N($P272)=0,"","2221")</f>
        <v/>
      </c>
      <c r="AA272" s="48" t="str">
        <f aca="false">IF(N($P272)=0,"",$P272)</f>
        <v/>
      </c>
      <c r="AB272" s="49" t="str">
        <f aca="false">IF(N($S272)=0,"","6401")</f>
        <v/>
      </c>
      <c r="AC272" s="49" t="str">
        <f aca="false">IF(N($S272)=0,"","1405")</f>
        <v/>
      </c>
      <c r="AD272" s="48" t="str">
        <f aca="false">IF(N($S272)=0,"",$S272)</f>
        <v/>
      </c>
      <c r="AE272" s="49" t="str">
        <f aca="false">IF(AND($D272=客户对账单!$B$3,$B272&gt;=客户对账单!$E$3,$B272&lt;=客户对账单!$H$3),COUNTIFS($D$5:$D272,客户对账单!$B$3,$B$5:$B272,"&gt;="&amp;客户对账单!$E$3,$B$5:$B272,"&lt;="&amp;客户对账单!$H$3),"")</f>
        <v/>
      </c>
    </row>
    <row r="273" customFormat="false" ht="15.75" hidden="false" customHeight="true" outlineLevel="0" collapsed="false">
      <c r="A273" s="42" t="str">
        <f aca="false">IF($B273="","","XS"&amp;TEXT($B273,"yyyymm")&amp;"-"&amp;TEXT(ROW()-4,"000"))</f>
        <v/>
      </c>
      <c r="B273" s="41"/>
      <c r="C273" s="42" t="str">
        <f aca="false">IF($B273="","",TEXT($B273,"yyyy-mm"))</f>
        <v/>
      </c>
      <c r="D273" s="32"/>
      <c r="E273" s="36"/>
      <c r="F273" s="43"/>
      <c r="G273" s="40"/>
      <c r="H273" s="51"/>
      <c r="I273" s="33"/>
      <c r="J273" s="33"/>
      <c r="K273" s="36"/>
      <c r="L273" s="47" t="str">
        <f aca="false">IF($B273="","",IF(NOT(ISNUMBER($B273)),"日期不是日期格式",IF(YEAR($B273)&lt;&gt;首页!$B$3,"不在会计年度",IF($D273="","未选客户",IF(ISNA(MATCH($D273,基础资料!$Z$6:$Z$155,0)),"客户不在档案",IF($E273="","未选商品",IF(ISNA(MATCH($E273,基础资料!$Q$6:$Q$205,0)),"商品不在档案",IF(NOT(ISNUMBER($F273)),"数量须为数字",IF(NOT(ISNUMBER($G273)),"单价须为数字",IF(N($F273)&lt;=0,"数量须大于0",IF(AND(IFERROR(INDEX(基础资料!$V$6:$V$205,MATCH($E273,基础资料!$Q$6:$Q$205,0)),"")="是",N($R273)=0),"无成本价·请先录采购或填参考成本",IF(N($T273)&lt;0,"毛利为负·请核对","√"))))))))))))</f>
        <v/>
      </c>
      <c r="M273" s="49" t="str">
        <f aca="false">IF($E273="","",IFERROR(INDEX(基础资料!$R$6:$R$205,MATCH($E273,基础资料!$Q$6:$Q$205,0)),""))</f>
        <v/>
      </c>
      <c r="N273" s="49" t="str">
        <f aca="false">IF($E273="","",IFERROR(INDEX(基础资料!$S$6:$S$205,MATCH($E273,基础资料!$Q$6:$Q$205,0)),""))</f>
        <v/>
      </c>
      <c r="O273" s="48" t="str">
        <f aca="false">IF(OR($F273="",$G273=""),"",ROUND(N($F273)*N($G273),2))</f>
        <v/>
      </c>
      <c r="P273" s="48" t="str">
        <f aca="false">IF($O273="","",ROUND(N($O273)*N($H273),2))</f>
        <v/>
      </c>
      <c r="Q273" s="48" t="str">
        <f aca="false">IF($O273="","",N($O273)+N($P273))</f>
        <v/>
      </c>
      <c r="R273" s="48" t="str">
        <f aca="false">IF(OR($E273="",$B273=""),"",IF(IFERROR(INDEX(基础资料!$V$6:$V$205,MATCH($E273,基础资料!$Q$6:$Q$205,0)),"")&lt;&gt;"是",0,IFERROR((SUMIFS(期初数据!$T$6:$T$205,期初数据!$O$6:$O$205,$E273)+SUMIFS(采购录入!$Q$5:$Q$404,采购录入!$E$5:$E$404,$E273,采购录入!$I$5:$I$404,"是",采购录入!$B$5:$B$404,"&lt;="&amp;$B273))/(SUMIFS(期初数据!$R$6:$R$205,期初数据!$O$6:$O$205,$E273)+SUMIFS(采购录入!$F$5:$F$404,采购录入!$E$5:$E$404,$E273,采购录入!$I$5:$I$404,"是",采购录入!$B$5:$B$404,"&lt;="&amp;$B273)),IFERROR(INDEX(基础资料!$U$6:$U$205,MATCH($E273,基础资料!$Q$6:$Q$205,0)),0))))</f>
        <v/>
      </c>
      <c r="S273" s="48" t="str">
        <f aca="false">IF($O273="","",ROUND(N($F273)*N($R273),2))</f>
        <v/>
      </c>
      <c r="T273" s="48" t="str">
        <f aca="false">IF($O273="","",N($O273)-N($S273))</f>
        <v/>
      </c>
      <c r="U273" s="52" t="str">
        <f aca="false">IF(OR($B273="",$D273=""),"",$B273+N(IFERROR(INDEX(基础资料!$AB$6:$AB$155,MATCH($D273,基础资料!$Z$6:$Z$155,0)),0)))</f>
        <v/>
      </c>
      <c r="V273" s="49" t="str">
        <f aca="false">IF($O273="","","1122")</f>
        <v/>
      </c>
      <c r="W273" s="49" t="str">
        <f aca="false">IF($O273="","","6001")</f>
        <v/>
      </c>
      <c r="X273" s="48" t="str">
        <f aca="false">IF($O273="","",$O273)</f>
        <v/>
      </c>
      <c r="Y273" s="49" t="str">
        <f aca="false">IF(N($P273)=0,"","1122")</f>
        <v/>
      </c>
      <c r="Z273" s="49" t="str">
        <f aca="false">IF(N($P273)=0,"","2221")</f>
        <v/>
      </c>
      <c r="AA273" s="48" t="str">
        <f aca="false">IF(N($P273)=0,"",$P273)</f>
        <v/>
      </c>
      <c r="AB273" s="49" t="str">
        <f aca="false">IF(N($S273)=0,"","6401")</f>
        <v/>
      </c>
      <c r="AC273" s="49" t="str">
        <f aca="false">IF(N($S273)=0,"","1405")</f>
        <v/>
      </c>
      <c r="AD273" s="48" t="str">
        <f aca="false">IF(N($S273)=0,"",$S273)</f>
        <v/>
      </c>
      <c r="AE273" s="49" t="str">
        <f aca="false">IF(AND($D273=客户对账单!$B$3,$B273&gt;=客户对账单!$E$3,$B273&lt;=客户对账单!$H$3),COUNTIFS($D$5:$D273,客户对账单!$B$3,$B$5:$B273,"&gt;="&amp;客户对账单!$E$3,$B$5:$B273,"&lt;="&amp;客户对账单!$H$3),"")</f>
        <v/>
      </c>
    </row>
    <row r="274" customFormat="false" ht="15.75" hidden="false" customHeight="true" outlineLevel="0" collapsed="false">
      <c r="A274" s="42" t="str">
        <f aca="false">IF($B274="","","XS"&amp;TEXT($B274,"yyyymm")&amp;"-"&amp;TEXT(ROW()-4,"000"))</f>
        <v/>
      </c>
      <c r="B274" s="41"/>
      <c r="C274" s="42" t="str">
        <f aca="false">IF($B274="","",TEXT($B274,"yyyy-mm"))</f>
        <v/>
      </c>
      <c r="D274" s="32"/>
      <c r="E274" s="36"/>
      <c r="F274" s="43"/>
      <c r="G274" s="40"/>
      <c r="H274" s="51"/>
      <c r="I274" s="33"/>
      <c r="J274" s="33"/>
      <c r="K274" s="36"/>
      <c r="L274" s="47" t="str">
        <f aca="false">IF($B274="","",IF(NOT(ISNUMBER($B274)),"日期不是日期格式",IF(YEAR($B274)&lt;&gt;首页!$B$3,"不在会计年度",IF($D274="","未选客户",IF(ISNA(MATCH($D274,基础资料!$Z$6:$Z$155,0)),"客户不在档案",IF($E274="","未选商品",IF(ISNA(MATCH($E274,基础资料!$Q$6:$Q$205,0)),"商品不在档案",IF(NOT(ISNUMBER($F274)),"数量须为数字",IF(NOT(ISNUMBER($G274)),"单价须为数字",IF(N($F274)&lt;=0,"数量须大于0",IF(AND(IFERROR(INDEX(基础资料!$V$6:$V$205,MATCH($E274,基础资料!$Q$6:$Q$205,0)),"")="是",N($R274)=0),"无成本价·请先录采购或填参考成本",IF(N($T274)&lt;0,"毛利为负·请核对","√"))))))))))))</f>
        <v/>
      </c>
      <c r="M274" s="49" t="str">
        <f aca="false">IF($E274="","",IFERROR(INDEX(基础资料!$R$6:$R$205,MATCH($E274,基础资料!$Q$6:$Q$205,0)),""))</f>
        <v/>
      </c>
      <c r="N274" s="49" t="str">
        <f aca="false">IF($E274="","",IFERROR(INDEX(基础资料!$S$6:$S$205,MATCH($E274,基础资料!$Q$6:$Q$205,0)),""))</f>
        <v/>
      </c>
      <c r="O274" s="48" t="str">
        <f aca="false">IF(OR($F274="",$G274=""),"",ROUND(N($F274)*N($G274),2))</f>
        <v/>
      </c>
      <c r="P274" s="48" t="str">
        <f aca="false">IF($O274="","",ROUND(N($O274)*N($H274),2))</f>
        <v/>
      </c>
      <c r="Q274" s="48" t="str">
        <f aca="false">IF($O274="","",N($O274)+N($P274))</f>
        <v/>
      </c>
      <c r="R274" s="48" t="str">
        <f aca="false">IF(OR($E274="",$B274=""),"",IF(IFERROR(INDEX(基础资料!$V$6:$V$205,MATCH($E274,基础资料!$Q$6:$Q$205,0)),"")&lt;&gt;"是",0,IFERROR((SUMIFS(期初数据!$T$6:$T$205,期初数据!$O$6:$O$205,$E274)+SUMIFS(采购录入!$Q$5:$Q$404,采购录入!$E$5:$E$404,$E274,采购录入!$I$5:$I$404,"是",采购录入!$B$5:$B$404,"&lt;="&amp;$B274))/(SUMIFS(期初数据!$R$6:$R$205,期初数据!$O$6:$O$205,$E274)+SUMIFS(采购录入!$F$5:$F$404,采购录入!$E$5:$E$404,$E274,采购录入!$I$5:$I$404,"是",采购录入!$B$5:$B$404,"&lt;="&amp;$B274)),IFERROR(INDEX(基础资料!$U$6:$U$205,MATCH($E274,基础资料!$Q$6:$Q$205,0)),0))))</f>
        <v/>
      </c>
      <c r="S274" s="48" t="str">
        <f aca="false">IF($O274="","",ROUND(N($F274)*N($R274),2))</f>
        <v/>
      </c>
      <c r="T274" s="48" t="str">
        <f aca="false">IF($O274="","",N($O274)-N($S274))</f>
        <v/>
      </c>
      <c r="U274" s="52" t="str">
        <f aca="false">IF(OR($B274="",$D274=""),"",$B274+N(IFERROR(INDEX(基础资料!$AB$6:$AB$155,MATCH($D274,基础资料!$Z$6:$Z$155,0)),0)))</f>
        <v/>
      </c>
      <c r="V274" s="49" t="str">
        <f aca="false">IF($O274="","","1122")</f>
        <v/>
      </c>
      <c r="W274" s="49" t="str">
        <f aca="false">IF($O274="","","6001")</f>
        <v/>
      </c>
      <c r="X274" s="48" t="str">
        <f aca="false">IF($O274="","",$O274)</f>
        <v/>
      </c>
      <c r="Y274" s="49" t="str">
        <f aca="false">IF(N($P274)=0,"","1122")</f>
        <v/>
      </c>
      <c r="Z274" s="49" t="str">
        <f aca="false">IF(N($P274)=0,"","2221")</f>
        <v/>
      </c>
      <c r="AA274" s="48" t="str">
        <f aca="false">IF(N($P274)=0,"",$P274)</f>
        <v/>
      </c>
      <c r="AB274" s="49" t="str">
        <f aca="false">IF(N($S274)=0,"","6401")</f>
        <v/>
      </c>
      <c r="AC274" s="49" t="str">
        <f aca="false">IF(N($S274)=0,"","1405")</f>
        <v/>
      </c>
      <c r="AD274" s="48" t="str">
        <f aca="false">IF(N($S274)=0,"",$S274)</f>
        <v/>
      </c>
      <c r="AE274" s="49" t="str">
        <f aca="false">IF(AND($D274=客户对账单!$B$3,$B274&gt;=客户对账单!$E$3,$B274&lt;=客户对账单!$H$3),COUNTIFS($D$5:$D274,客户对账单!$B$3,$B$5:$B274,"&gt;="&amp;客户对账单!$E$3,$B$5:$B274,"&lt;="&amp;客户对账单!$H$3),"")</f>
        <v/>
      </c>
    </row>
    <row r="275" customFormat="false" ht="15.75" hidden="false" customHeight="true" outlineLevel="0" collapsed="false">
      <c r="A275" s="42" t="str">
        <f aca="false">IF($B275="","","XS"&amp;TEXT($B275,"yyyymm")&amp;"-"&amp;TEXT(ROW()-4,"000"))</f>
        <v/>
      </c>
      <c r="B275" s="41"/>
      <c r="C275" s="42" t="str">
        <f aca="false">IF($B275="","",TEXT($B275,"yyyy-mm"))</f>
        <v/>
      </c>
      <c r="D275" s="32"/>
      <c r="E275" s="36"/>
      <c r="F275" s="43"/>
      <c r="G275" s="40"/>
      <c r="H275" s="51"/>
      <c r="I275" s="33"/>
      <c r="J275" s="33"/>
      <c r="K275" s="36"/>
      <c r="L275" s="47" t="str">
        <f aca="false">IF($B275="","",IF(NOT(ISNUMBER($B275)),"日期不是日期格式",IF(YEAR($B275)&lt;&gt;首页!$B$3,"不在会计年度",IF($D275="","未选客户",IF(ISNA(MATCH($D275,基础资料!$Z$6:$Z$155,0)),"客户不在档案",IF($E275="","未选商品",IF(ISNA(MATCH($E275,基础资料!$Q$6:$Q$205,0)),"商品不在档案",IF(NOT(ISNUMBER($F275)),"数量须为数字",IF(NOT(ISNUMBER($G275)),"单价须为数字",IF(N($F275)&lt;=0,"数量须大于0",IF(AND(IFERROR(INDEX(基础资料!$V$6:$V$205,MATCH($E275,基础资料!$Q$6:$Q$205,0)),"")="是",N($R275)=0),"无成本价·请先录采购或填参考成本",IF(N($T275)&lt;0,"毛利为负·请核对","√"))))))))))))</f>
        <v/>
      </c>
      <c r="M275" s="49" t="str">
        <f aca="false">IF($E275="","",IFERROR(INDEX(基础资料!$R$6:$R$205,MATCH($E275,基础资料!$Q$6:$Q$205,0)),""))</f>
        <v/>
      </c>
      <c r="N275" s="49" t="str">
        <f aca="false">IF($E275="","",IFERROR(INDEX(基础资料!$S$6:$S$205,MATCH($E275,基础资料!$Q$6:$Q$205,0)),""))</f>
        <v/>
      </c>
      <c r="O275" s="48" t="str">
        <f aca="false">IF(OR($F275="",$G275=""),"",ROUND(N($F275)*N($G275),2))</f>
        <v/>
      </c>
      <c r="P275" s="48" t="str">
        <f aca="false">IF($O275="","",ROUND(N($O275)*N($H275),2))</f>
        <v/>
      </c>
      <c r="Q275" s="48" t="str">
        <f aca="false">IF($O275="","",N($O275)+N($P275))</f>
        <v/>
      </c>
      <c r="R275" s="48" t="str">
        <f aca="false">IF(OR($E275="",$B275=""),"",IF(IFERROR(INDEX(基础资料!$V$6:$V$205,MATCH($E275,基础资料!$Q$6:$Q$205,0)),"")&lt;&gt;"是",0,IFERROR((SUMIFS(期初数据!$T$6:$T$205,期初数据!$O$6:$O$205,$E275)+SUMIFS(采购录入!$Q$5:$Q$404,采购录入!$E$5:$E$404,$E275,采购录入!$I$5:$I$404,"是",采购录入!$B$5:$B$404,"&lt;="&amp;$B275))/(SUMIFS(期初数据!$R$6:$R$205,期初数据!$O$6:$O$205,$E275)+SUMIFS(采购录入!$F$5:$F$404,采购录入!$E$5:$E$404,$E275,采购录入!$I$5:$I$404,"是",采购录入!$B$5:$B$404,"&lt;="&amp;$B275)),IFERROR(INDEX(基础资料!$U$6:$U$205,MATCH($E275,基础资料!$Q$6:$Q$205,0)),0))))</f>
        <v/>
      </c>
      <c r="S275" s="48" t="str">
        <f aca="false">IF($O275="","",ROUND(N($F275)*N($R275),2))</f>
        <v/>
      </c>
      <c r="T275" s="48" t="str">
        <f aca="false">IF($O275="","",N($O275)-N($S275))</f>
        <v/>
      </c>
      <c r="U275" s="52" t="str">
        <f aca="false">IF(OR($B275="",$D275=""),"",$B275+N(IFERROR(INDEX(基础资料!$AB$6:$AB$155,MATCH($D275,基础资料!$Z$6:$Z$155,0)),0)))</f>
        <v/>
      </c>
      <c r="V275" s="49" t="str">
        <f aca="false">IF($O275="","","1122")</f>
        <v/>
      </c>
      <c r="W275" s="49" t="str">
        <f aca="false">IF($O275="","","6001")</f>
        <v/>
      </c>
      <c r="X275" s="48" t="str">
        <f aca="false">IF($O275="","",$O275)</f>
        <v/>
      </c>
      <c r="Y275" s="49" t="str">
        <f aca="false">IF(N($P275)=0,"","1122")</f>
        <v/>
      </c>
      <c r="Z275" s="49" t="str">
        <f aca="false">IF(N($P275)=0,"","2221")</f>
        <v/>
      </c>
      <c r="AA275" s="48" t="str">
        <f aca="false">IF(N($P275)=0,"",$P275)</f>
        <v/>
      </c>
      <c r="AB275" s="49" t="str">
        <f aca="false">IF(N($S275)=0,"","6401")</f>
        <v/>
      </c>
      <c r="AC275" s="49" t="str">
        <f aca="false">IF(N($S275)=0,"","1405")</f>
        <v/>
      </c>
      <c r="AD275" s="48" t="str">
        <f aca="false">IF(N($S275)=0,"",$S275)</f>
        <v/>
      </c>
      <c r="AE275" s="49" t="str">
        <f aca="false">IF(AND($D275=客户对账单!$B$3,$B275&gt;=客户对账单!$E$3,$B275&lt;=客户对账单!$H$3),COUNTIFS($D$5:$D275,客户对账单!$B$3,$B$5:$B275,"&gt;="&amp;客户对账单!$E$3,$B$5:$B275,"&lt;="&amp;客户对账单!$H$3),"")</f>
        <v/>
      </c>
    </row>
    <row r="276" customFormat="false" ht="15.75" hidden="false" customHeight="true" outlineLevel="0" collapsed="false">
      <c r="A276" s="42" t="str">
        <f aca="false">IF($B276="","","XS"&amp;TEXT($B276,"yyyymm")&amp;"-"&amp;TEXT(ROW()-4,"000"))</f>
        <v/>
      </c>
      <c r="B276" s="41"/>
      <c r="C276" s="42" t="str">
        <f aca="false">IF($B276="","",TEXT($B276,"yyyy-mm"))</f>
        <v/>
      </c>
      <c r="D276" s="32"/>
      <c r="E276" s="36"/>
      <c r="F276" s="43"/>
      <c r="G276" s="40"/>
      <c r="H276" s="51"/>
      <c r="I276" s="33"/>
      <c r="J276" s="33"/>
      <c r="K276" s="36"/>
      <c r="L276" s="47" t="str">
        <f aca="false">IF($B276="","",IF(NOT(ISNUMBER($B276)),"日期不是日期格式",IF(YEAR($B276)&lt;&gt;首页!$B$3,"不在会计年度",IF($D276="","未选客户",IF(ISNA(MATCH($D276,基础资料!$Z$6:$Z$155,0)),"客户不在档案",IF($E276="","未选商品",IF(ISNA(MATCH($E276,基础资料!$Q$6:$Q$205,0)),"商品不在档案",IF(NOT(ISNUMBER($F276)),"数量须为数字",IF(NOT(ISNUMBER($G276)),"单价须为数字",IF(N($F276)&lt;=0,"数量须大于0",IF(AND(IFERROR(INDEX(基础资料!$V$6:$V$205,MATCH($E276,基础资料!$Q$6:$Q$205,0)),"")="是",N($R276)=0),"无成本价·请先录采购或填参考成本",IF(N($T276)&lt;0,"毛利为负·请核对","√"))))))))))))</f>
        <v/>
      </c>
      <c r="M276" s="49" t="str">
        <f aca="false">IF($E276="","",IFERROR(INDEX(基础资料!$R$6:$R$205,MATCH($E276,基础资料!$Q$6:$Q$205,0)),""))</f>
        <v/>
      </c>
      <c r="N276" s="49" t="str">
        <f aca="false">IF($E276="","",IFERROR(INDEX(基础资料!$S$6:$S$205,MATCH($E276,基础资料!$Q$6:$Q$205,0)),""))</f>
        <v/>
      </c>
      <c r="O276" s="48" t="str">
        <f aca="false">IF(OR($F276="",$G276=""),"",ROUND(N($F276)*N($G276),2))</f>
        <v/>
      </c>
      <c r="P276" s="48" t="str">
        <f aca="false">IF($O276="","",ROUND(N($O276)*N($H276),2))</f>
        <v/>
      </c>
      <c r="Q276" s="48" t="str">
        <f aca="false">IF($O276="","",N($O276)+N($P276))</f>
        <v/>
      </c>
      <c r="R276" s="48" t="str">
        <f aca="false">IF(OR($E276="",$B276=""),"",IF(IFERROR(INDEX(基础资料!$V$6:$V$205,MATCH($E276,基础资料!$Q$6:$Q$205,0)),"")&lt;&gt;"是",0,IFERROR((SUMIFS(期初数据!$T$6:$T$205,期初数据!$O$6:$O$205,$E276)+SUMIFS(采购录入!$Q$5:$Q$404,采购录入!$E$5:$E$404,$E276,采购录入!$I$5:$I$404,"是",采购录入!$B$5:$B$404,"&lt;="&amp;$B276))/(SUMIFS(期初数据!$R$6:$R$205,期初数据!$O$6:$O$205,$E276)+SUMIFS(采购录入!$F$5:$F$404,采购录入!$E$5:$E$404,$E276,采购录入!$I$5:$I$404,"是",采购录入!$B$5:$B$404,"&lt;="&amp;$B276)),IFERROR(INDEX(基础资料!$U$6:$U$205,MATCH($E276,基础资料!$Q$6:$Q$205,0)),0))))</f>
        <v/>
      </c>
      <c r="S276" s="48" t="str">
        <f aca="false">IF($O276="","",ROUND(N($F276)*N($R276),2))</f>
        <v/>
      </c>
      <c r="T276" s="48" t="str">
        <f aca="false">IF($O276="","",N($O276)-N($S276))</f>
        <v/>
      </c>
      <c r="U276" s="52" t="str">
        <f aca="false">IF(OR($B276="",$D276=""),"",$B276+N(IFERROR(INDEX(基础资料!$AB$6:$AB$155,MATCH($D276,基础资料!$Z$6:$Z$155,0)),0)))</f>
        <v/>
      </c>
      <c r="V276" s="49" t="str">
        <f aca="false">IF($O276="","","1122")</f>
        <v/>
      </c>
      <c r="W276" s="49" t="str">
        <f aca="false">IF($O276="","","6001")</f>
        <v/>
      </c>
      <c r="X276" s="48" t="str">
        <f aca="false">IF($O276="","",$O276)</f>
        <v/>
      </c>
      <c r="Y276" s="49" t="str">
        <f aca="false">IF(N($P276)=0,"","1122")</f>
        <v/>
      </c>
      <c r="Z276" s="49" t="str">
        <f aca="false">IF(N($P276)=0,"","2221")</f>
        <v/>
      </c>
      <c r="AA276" s="48" t="str">
        <f aca="false">IF(N($P276)=0,"",$P276)</f>
        <v/>
      </c>
      <c r="AB276" s="49" t="str">
        <f aca="false">IF(N($S276)=0,"","6401")</f>
        <v/>
      </c>
      <c r="AC276" s="49" t="str">
        <f aca="false">IF(N($S276)=0,"","1405")</f>
        <v/>
      </c>
      <c r="AD276" s="48" t="str">
        <f aca="false">IF(N($S276)=0,"",$S276)</f>
        <v/>
      </c>
      <c r="AE276" s="49" t="str">
        <f aca="false">IF(AND($D276=客户对账单!$B$3,$B276&gt;=客户对账单!$E$3,$B276&lt;=客户对账单!$H$3),COUNTIFS($D$5:$D276,客户对账单!$B$3,$B$5:$B276,"&gt;="&amp;客户对账单!$E$3,$B$5:$B276,"&lt;="&amp;客户对账单!$H$3),"")</f>
        <v/>
      </c>
    </row>
    <row r="277" customFormat="false" ht="15.75" hidden="false" customHeight="true" outlineLevel="0" collapsed="false">
      <c r="A277" s="42" t="str">
        <f aca="false">IF($B277="","","XS"&amp;TEXT($B277,"yyyymm")&amp;"-"&amp;TEXT(ROW()-4,"000"))</f>
        <v/>
      </c>
      <c r="B277" s="41"/>
      <c r="C277" s="42" t="str">
        <f aca="false">IF($B277="","",TEXT($B277,"yyyy-mm"))</f>
        <v/>
      </c>
      <c r="D277" s="32"/>
      <c r="E277" s="36"/>
      <c r="F277" s="43"/>
      <c r="G277" s="40"/>
      <c r="H277" s="51"/>
      <c r="I277" s="33"/>
      <c r="J277" s="33"/>
      <c r="K277" s="36"/>
      <c r="L277" s="47" t="str">
        <f aca="false">IF($B277="","",IF(NOT(ISNUMBER($B277)),"日期不是日期格式",IF(YEAR($B277)&lt;&gt;首页!$B$3,"不在会计年度",IF($D277="","未选客户",IF(ISNA(MATCH($D277,基础资料!$Z$6:$Z$155,0)),"客户不在档案",IF($E277="","未选商品",IF(ISNA(MATCH($E277,基础资料!$Q$6:$Q$205,0)),"商品不在档案",IF(NOT(ISNUMBER($F277)),"数量须为数字",IF(NOT(ISNUMBER($G277)),"单价须为数字",IF(N($F277)&lt;=0,"数量须大于0",IF(AND(IFERROR(INDEX(基础资料!$V$6:$V$205,MATCH($E277,基础资料!$Q$6:$Q$205,0)),"")="是",N($R277)=0),"无成本价·请先录采购或填参考成本",IF(N($T277)&lt;0,"毛利为负·请核对","√"))))))))))))</f>
        <v/>
      </c>
      <c r="M277" s="49" t="str">
        <f aca="false">IF($E277="","",IFERROR(INDEX(基础资料!$R$6:$R$205,MATCH($E277,基础资料!$Q$6:$Q$205,0)),""))</f>
        <v/>
      </c>
      <c r="N277" s="49" t="str">
        <f aca="false">IF($E277="","",IFERROR(INDEX(基础资料!$S$6:$S$205,MATCH($E277,基础资料!$Q$6:$Q$205,0)),""))</f>
        <v/>
      </c>
      <c r="O277" s="48" t="str">
        <f aca="false">IF(OR($F277="",$G277=""),"",ROUND(N($F277)*N($G277),2))</f>
        <v/>
      </c>
      <c r="P277" s="48" t="str">
        <f aca="false">IF($O277="","",ROUND(N($O277)*N($H277),2))</f>
        <v/>
      </c>
      <c r="Q277" s="48" t="str">
        <f aca="false">IF($O277="","",N($O277)+N($P277))</f>
        <v/>
      </c>
      <c r="R277" s="48" t="str">
        <f aca="false">IF(OR($E277="",$B277=""),"",IF(IFERROR(INDEX(基础资料!$V$6:$V$205,MATCH($E277,基础资料!$Q$6:$Q$205,0)),"")&lt;&gt;"是",0,IFERROR((SUMIFS(期初数据!$T$6:$T$205,期初数据!$O$6:$O$205,$E277)+SUMIFS(采购录入!$Q$5:$Q$404,采购录入!$E$5:$E$404,$E277,采购录入!$I$5:$I$404,"是",采购录入!$B$5:$B$404,"&lt;="&amp;$B277))/(SUMIFS(期初数据!$R$6:$R$205,期初数据!$O$6:$O$205,$E277)+SUMIFS(采购录入!$F$5:$F$404,采购录入!$E$5:$E$404,$E277,采购录入!$I$5:$I$404,"是",采购录入!$B$5:$B$404,"&lt;="&amp;$B277)),IFERROR(INDEX(基础资料!$U$6:$U$205,MATCH($E277,基础资料!$Q$6:$Q$205,0)),0))))</f>
        <v/>
      </c>
      <c r="S277" s="48" t="str">
        <f aca="false">IF($O277="","",ROUND(N($F277)*N($R277),2))</f>
        <v/>
      </c>
      <c r="T277" s="48" t="str">
        <f aca="false">IF($O277="","",N($O277)-N($S277))</f>
        <v/>
      </c>
      <c r="U277" s="52" t="str">
        <f aca="false">IF(OR($B277="",$D277=""),"",$B277+N(IFERROR(INDEX(基础资料!$AB$6:$AB$155,MATCH($D277,基础资料!$Z$6:$Z$155,0)),0)))</f>
        <v/>
      </c>
      <c r="V277" s="49" t="str">
        <f aca="false">IF($O277="","","1122")</f>
        <v/>
      </c>
      <c r="W277" s="49" t="str">
        <f aca="false">IF($O277="","","6001")</f>
        <v/>
      </c>
      <c r="X277" s="48" t="str">
        <f aca="false">IF($O277="","",$O277)</f>
        <v/>
      </c>
      <c r="Y277" s="49" t="str">
        <f aca="false">IF(N($P277)=0,"","1122")</f>
        <v/>
      </c>
      <c r="Z277" s="49" t="str">
        <f aca="false">IF(N($P277)=0,"","2221")</f>
        <v/>
      </c>
      <c r="AA277" s="48" t="str">
        <f aca="false">IF(N($P277)=0,"",$P277)</f>
        <v/>
      </c>
      <c r="AB277" s="49" t="str">
        <f aca="false">IF(N($S277)=0,"","6401")</f>
        <v/>
      </c>
      <c r="AC277" s="49" t="str">
        <f aca="false">IF(N($S277)=0,"","1405")</f>
        <v/>
      </c>
      <c r="AD277" s="48" t="str">
        <f aca="false">IF(N($S277)=0,"",$S277)</f>
        <v/>
      </c>
      <c r="AE277" s="49" t="str">
        <f aca="false">IF(AND($D277=客户对账单!$B$3,$B277&gt;=客户对账单!$E$3,$B277&lt;=客户对账单!$H$3),COUNTIFS($D$5:$D277,客户对账单!$B$3,$B$5:$B277,"&gt;="&amp;客户对账单!$E$3,$B$5:$B277,"&lt;="&amp;客户对账单!$H$3),"")</f>
        <v/>
      </c>
    </row>
    <row r="278" customFormat="false" ht="15.75" hidden="false" customHeight="true" outlineLevel="0" collapsed="false">
      <c r="A278" s="42" t="str">
        <f aca="false">IF($B278="","","XS"&amp;TEXT($B278,"yyyymm")&amp;"-"&amp;TEXT(ROW()-4,"000"))</f>
        <v/>
      </c>
      <c r="B278" s="41"/>
      <c r="C278" s="42" t="str">
        <f aca="false">IF($B278="","",TEXT($B278,"yyyy-mm"))</f>
        <v/>
      </c>
      <c r="D278" s="32"/>
      <c r="E278" s="36"/>
      <c r="F278" s="43"/>
      <c r="G278" s="40"/>
      <c r="H278" s="51"/>
      <c r="I278" s="33"/>
      <c r="J278" s="33"/>
      <c r="K278" s="36"/>
      <c r="L278" s="47" t="str">
        <f aca="false">IF($B278="","",IF(NOT(ISNUMBER($B278)),"日期不是日期格式",IF(YEAR($B278)&lt;&gt;首页!$B$3,"不在会计年度",IF($D278="","未选客户",IF(ISNA(MATCH($D278,基础资料!$Z$6:$Z$155,0)),"客户不在档案",IF($E278="","未选商品",IF(ISNA(MATCH($E278,基础资料!$Q$6:$Q$205,0)),"商品不在档案",IF(NOT(ISNUMBER($F278)),"数量须为数字",IF(NOT(ISNUMBER($G278)),"单价须为数字",IF(N($F278)&lt;=0,"数量须大于0",IF(AND(IFERROR(INDEX(基础资料!$V$6:$V$205,MATCH($E278,基础资料!$Q$6:$Q$205,0)),"")="是",N($R278)=0),"无成本价·请先录采购或填参考成本",IF(N($T278)&lt;0,"毛利为负·请核对","√"))))))))))))</f>
        <v/>
      </c>
      <c r="M278" s="49" t="str">
        <f aca="false">IF($E278="","",IFERROR(INDEX(基础资料!$R$6:$R$205,MATCH($E278,基础资料!$Q$6:$Q$205,0)),""))</f>
        <v/>
      </c>
      <c r="N278" s="49" t="str">
        <f aca="false">IF($E278="","",IFERROR(INDEX(基础资料!$S$6:$S$205,MATCH($E278,基础资料!$Q$6:$Q$205,0)),""))</f>
        <v/>
      </c>
      <c r="O278" s="48" t="str">
        <f aca="false">IF(OR($F278="",$G278=""),"",ROUND(N($F278)*N($G278),2))</f>
        <v/>
      </c>
      <c r="P278" s="48" t="str">
        <f aca="false">IF($O278="","",ROUND(N($O278)*N($H278),2))</f>
        <v/>
      </c>
      <c r="Q278" s="48" t="str">
        <f aca="false">IF($O278="","",N($O278)+N($P278))</f>
        <v/>
      </c>
      <c r="R278" s="48" t="str">
        <f aca="false">IF(OR($E278="",$B278=""),"",IF(IFERROR(INDEX(基础资料!$V$6:$V$205,MATCH($E278,基础资料!$Q$6:$Q$205,0)),"")&lt;&gt;"是",0,IFERROR((SUMIFS(期初数据!$T$6:$T$205,期初数据!$O$6:$O$205,$E278)+SUMIFS(采购录入!$Q$5:$Q$404,采购录入!$E$5:$E$404,$E278,采购录入!$I$5:$I$404,"是",采购录入!$B$5:$B$404,"&lt;="&amp;$B278))/(SUMIFS(期初数据!$R$6:$R$205,期初数据!$O$6:$O$205,$E278)+SUMIFS(采购录入!$F$5:$F$404,采购录入!$E$5:$E$404,$E278,采购录入!$I$5:$I$404,"是",采购录入!$B$5:$B$404,"&lt;="&amp;$B278)),IFERROR(INDEX(基础资料!$U$6:$U$205,MATCH($E278,基础资料!$Q$6:$Q$205,0)),0))))</f>
        <v/>
      </c>
      <c r="S278" s="48" t="str">
        <f aca="false">IF($O278="","",ROUND(N($F278)*N($R278),2))</f>
        <v/>
      </c>
      <c r="T278" s="48" t="str">
        <f aca="false">IF($O278="","",N($O278)-N($S278))</f>
        <v/>
      </c>
      <c r="U278" s="52" t="str">
        <f aca="false">IF(OR($B278="",$D278=""),"",$B278+N(IFERROR(INDEX(基础资料!$AB$6:$AB$155,MATCH($D278,基础资料!$Z$6:$Z$155,0)),0)))</f>
        <v/>
      </c>
      <c r="V278" s="49" t="str">
        <f aca="false">IF($O278="","","1122")</f>
        <v/>
      </c>
      <c r="W278" s="49" t="str">
        <f aca="false">IF($O278="","","6001")</f>
        <v/>
      </c>
      <c r="X278" s="48" t="str">
        <f aca="false">IF($O278="","",$O278)</f>
        <v/>
      </c>
      <c r="Y278" s="49" t="str">
        <f aca="false">IF(N($P278)=0,"","1122")</f>
        <v/>
      </c>
      <c r="Z278" s="49" t="str">
        <f aca="false">IF(N($P278)=0,"","2221")</f>
        <v/>
      </c>
      <c r="AA278" s="48" t="str">
        <f aca="false">IF(N($P278)=0,"",$P278)</f>
        <v/>
      </c>
      <c r="AB278" s="49" t="str">
        <f aca="false">IF(N($S278)=0,"","6401")</f>
        <v/>
      </c>
      <c r="AC278" s="49" t="str">
        <f aca="false">IF(N($S278)=0,"","1405")</f>
        <v/>
      </c>
      <c r="AD278" s="48" t="str">
        <f aca="false">IF(N($S278)=0,"",$S278)</f>
        <v/>
      </c>
      <c r="AE278" s="49" t="str">
        <f aca="false">IF(AND($D278=客户对账单!$B$3,$B278&gt;=客户对账单!$E$3,$B278&lt;=客户对账单!$H$3),COUNTIFS($D$5:$D278,客户对账单!$B$3,$B$5:$B278,"&gt;="&amp;客户对账单!$E$3,$B$5:$B278,"&lt;="&amp;客户对账单!$H$3),"")</f>
        <v/>
      </c>
    </row>
    <row r="279" customFormat="false" ht="15.75" hidden="false" customHeight="true" outlineLevel="0" collapsed="false">
      <c r="A279" s="42" t="str">
        <f aca="false">IF($B279="","","XS"&amp;TEXT($B279,"yyyymm")&amp;"-"&amp;TEXT(ROW()-4,"000"))</f>
        <v/>
      </c>
      <c r="B279" s="41"/>
      <c r="C279" s="42" t="str">
        <f aca="false">IF($B279="","",TEXT($B279,"yyyy-mm"))</f>
        <v/>
      </c>
      <c r="D279" s="32"/>
      <c r="E279" s="36"/>
      <c r="F279" s="43"/>
      <c r="G279" s="40"/>
      <c r="H279" s="51"/>
      <c r="I279" s="33"/>
      <c r="J279" s="33"/>
      <c r="K279" s="36"/>
      <c r="L279" s="47" t="str">
        <f aca="false">IF($B279="","",IF(NOT(ISNUMBER($B279)),"日期不是日期格式",IF(YEAR($B279)&lt;&gt;首页!$B$3,"不在会计年度",IF($D279="","未选客户",IF(ISNA(MATCH($D279,基础资料!$Z$6:$Z$155,0)),"客户不在档案",IF($E279="","未选商品",IF(ISNA(MATCH($E279,基础资料!$Q$6:$Q$205,0)),"商品不在档案",IF(NOT(ISNUMBER($F279)),"数量须为数字",IF(NOT(ISNUMBER($G279)),"单价须为数字",IF(N($F279)&lt;=0,"数量须大于0",IF(AND(IFERROR(INDEX(基础资料!$V$6:$V$205,MATCH($E279,基础资料!$Q$6:$Q$205,0)),"")="是",N($R279)=0),"无成本价·请先录采购或填参考成本",IF(N($T279)&lt;0,"毛利为负·请核对","√"))))))))))))</f>
        <v/>
      </c>
      <c r="M279" s="49" t="str">
        <f aca="false">IF($E279="","",IFERROR(INDEX(基础资料!$R$6:$R$205,MATCH($E279,基础资料!$Q$6:$Q$205,0)),""))</f>
        <v/>
      </c>
      <c r="N279" s="49" t="str">
        <f aca="false">IF($E279="","",IFERROR(INDEX(基础资料!$S$6:$S$205,MATCH($E279,基础资料!$Q$6:$Q$205,0)),""))</f>
        <v/>
      </c>
      <c r="O279" s="48" t="str">
        <f aca="false">IF(OR($F279="",$G279=""),"",ROUND(N($F279)*N($G279),2))</f>
        <v/>
      </c>
      <c r="P279" s="48" t="str">
        <f aca="false">IF($O279="","",ROUND(N($O279)*N($H279),2))</f>
        <v/>
      </c>
      <c r="Q279" s="48" t="str">
        <f aca="false">IF($O279="","",N($O279)+N($P279))</f>
        <v/>
      </c>
      <c r="R279" s="48" t="str">
        <f aca="false">IF(OR($E279="",$B279=""),"",IF(IFERROR(INDEX(基础资料!$V$6:$V$205,MATCH($E279,基础资料!$Q$6:$Q$205,0)),"")&lt;&gt;"是",0,IFERROR((SUMIFS(期初数据!$T$6:$T$205,期初数据!$O$6:$O$205,$E279)+SUMIFS(采购录入!$Q$5:$Q$404,采购录入!$E$5:$E$404,$E279,采购录入!$I$5:$I$404,"是",采购录入!$B$5:$B$404,"&lt;="&amp;$B279))/(SUMIFS(期初数据!$R$6:$R$205,期初数据!$O$6:$O$205,$E279)+SUMIFS(采购录入!$F$5:$F$404,采购录入!$E$5:$E$404,$E279,采购录入!$I$5:$I$404,"是",采购录入!$B$5:$B$404,"&lt;="&amp;$B279)),IFERROR(INDEX(基础资料!$U$6:$U$205,MATCH($E279,基础资料!$Q$6:$Q$205,0)),0))))</f>
        <v/>
      </c>
      <c r="S279" s="48" t="str">
        <f aca="false">IF($O279="","",ROUND(N($F279)*N($R279),2))</f>
        <v/>
      </c>
      <c r="T279" s="48" t="str">
        <f aca="false">IF($O279="","",N($O279)-N($S279))</f>
        <v/>
      </c>
      <c r="U279" s="52" t="str">
        <f aca="false">IF(OR($B279="",$D279=""),"",$B279+N(IFERROR(INDEX(基础资料!$AB$6:$AB$155,MATCH($D279,基础资料!$Z$6:$Z$155,0)),0)))</f>
        <v/>
      </c>
      <c r="V279" s="49" t="str">
        <f aca="false">IF($O279="","","1122")</f>
        <v/>
      </c>
      <c r="W279" s="49" t="str">
        <f aca="false">IF($O279="","","6001")</f>
        <v/>
      </c>
      <c r="X279" s="48" t="str">
        <f aca="false">IF($O279="","",$O279)</f>
        <v/>
      </c>
      <c r="Y279" s="49" t="str">
        <f aca="false">IF(N($P279)=0,"","1122")</f>
        <v/>
      </c>
      <c r="Z279" s="49" t="str">
        <f aca="false">IF(N($P279)=0,"","2221")</f>
        <v/>
      </c>
      <c r="AA279" s="48" t="str">
        <f aca="false">IF(N($P279)=0,"",$P279)</f>
        <v/>
      </c>
      <c r="AB279" s="49" t="str">
        <f aca="false">IF(N($S279)=0,"","6401")</f>
        <v/>
      </c>
      <c r="AC279" s="49" t="str">
        <f aca="false">IF(N($S279)=0,"","1405")</f>
        <v/>
      </c>
      <c r="AD279" s="48" t="str">
        <f aca="false">IF(N($S279)=0,"",$S279)</f>
        <v/>
      </c>
      <c r="AE279" s="49" t="str">
        <f aca="false">IF(AND($D279=客户对账单!$B$3,$B279&gt;=客户对账单!$E$3,$B279&lt;=客户对账单!$H$3),COUNTIFS($D$5:$D279,客户对账单!$B$3,$B$5:$B279,"&gt;="&amp;客户对账单!$E$3,$B$5:$B279,"&lt;="&amp;客户对账单!$H$3),"")</f>
        <v/>
      </c>
    </row>
    <row r="280" customFormat="false" ht="15.75" hidden="false" customHeight="true" outlineLevel="0" collapsed="false">
      <c r="A280" s="42" t="str">
        <f aca="false">IF($B280="","","XS"&amp;TEXT($B280,"yyyymm")&amp;"-"&amp;TEXT(ROW()-4,"000"))</f>
        <v/>
      </c>
      <c r="B280" s="41"/>
      <c r="C280" s="42" t="str">
        <f aca="false">IF($B280="","",TEXT($B280,"yyyy-mm"))</f>
        <v/>
      </c>
      <c r="D280" s="32"/>
      <c r="E280" s="36"/>
      <c r="F280" s="43"/>
      <c r="G280" s="40"/>
      <c r="H280" s="51"/>
      <c r="I280" s="33"/>
      <c r="J280" s="33"/>
      <c r="K280" s="36"/>
      <c r="L280" s="47" t="str">
        <f aca="false">IF($B280="","",IF(NOT(ISNUMBER($B280)),"日期不是日期格式",IF(YEAR($B280)&lt;&gt;首页!$B$3,"不在会计年度",IF($D280="","未选客户",IF(ISNA(MATCH($D280,基础资料!$Z$6:$Z$155,0)),"客户不在档案",IF($E280="","未选商品",IF(ISNA(MATCH($E280,基础资料!$Q$6:$Q$205,0)),"商品不在档案",IF(NOT(ISNUMBER($F280)),"数量须为数字",IF(NOT(ISNUMBER($G280)),"单价须为数字",IF(N($F280)&lt;=0,"数量须大于0",IF(AND(IFERROR(INDEX(基础资料!$V$6:$V$205,MATCH($E280,基础资料!$Q$6:$Q$205,0)),"")="是",N($R280)=0),"无成本价·请先录采购或填参考成本",IF(N($T280)&lt;0,"毛利为负·请核对","√"))))))))))))</f>
        <v/>
      </c>
      <c r="M280" s="49" t="str">
        <f aca="false">IF($E280="","",IFERROR(INDEX(基础资料!$R$6:$R$205,MATCH($E280,基础资料!$Q$6:$Q$205,0)),""))</f>
        <v/>
      </c>
      <c r="N280" s="49" t="str">
        <f aca="false">IF($E280="","",IFERROR(INDEX(基础资料!$S$6:$S$205,MATCH($E280,基础资料!$Q$6:$Q$205,0)),""))</f>
        <v/>
      </c>
      <c r="O280" s="48" t="str">
        <f aca="false">IF(OR($F280="",$G280=""),"",ROUND(N($F280)*N($G280),2))</f>
        <v/>
      </c>
      <c r="P280" s="48" t="str">
        <f aca="false">IF($O280="","",ROUND(N($O280)*N($H280),2))</f>
        <v/>
      </c>
      <c r="Q280" s="48" t="str">
        <f aca="false">IF($O280="","",N($O280)+N($P280))</f>
        <v/>
      </c>
      <c r="R280" s="48" t="str">
        <f aca="false">IF(OR($E280="",$B280=""),"",IF(IFERROR(INDEX(基础资料!$V$6:$V$205,MATCH($E280,基础资料!$Q$6:$Q$205,0)),"")&lt;&gt;"是",0,IFERROR((SUMIFS(期初数据!$T$6:$T$205,期初数据!$O$6:$O$205,$E280)+SUMIFS(采购录入!$Q$5:$Q$404,采购录入!$E$5:$E$404,$E280,采购录入!$I$5:$I$404,"是",采购录入!$B$5:$B$404,"&lt;="&amp;$B280))/(SUMIFS(期初数据!$R$6:$R$205,期初数据!$O$6:$O$205,$E280)+SUMIFS(采购录入!$F$5:$F$404,采购录入!$E$5:$E$404,$E280,采购录入!$I$5:$I$404,"是",采购录入!$B$5:$B$404,"&lt;="&amp;$B280)),IFERROR(INDEX(基础资料!$U$6:$U$205,MATCH($E280,基础资料!$Q$6:$Q$205,0)),0))))</f>
        <v/>
      </c>
      <c r="S280" s="48" t="str">
        <f aca="false">IF($O280="","",ROUND(N($F280)*N($R280),2))</f>
        <v/>
      </c>
      <c r="T280" s="48" t="str">
        <f aca="false">IF($O280="","",N($O280)-N($S280))</f>
        <v/>
      </c>
      <c r="U280" s="52" t="str">
        <f aca="false">IF(OR($B280="",$D280=""),"",$B280+N(IFERROR(INDEX(基础资料!$AB$6:$AB$155,MATCH($D280,基础资料!$Z$6:$Z$155,0)),0)))</f>
        <v/>
      </c>
      <c r="V280" s="49" t="str">
        <f aca="false">IF($O280="","","1122")</f>
        <v/>
      </c>
      <c r="W280" s="49" t="str">
        <f aca="false">IF($O280="","","6001")</f>
        <v/>
      </c>
      <c r="X280" s="48" t="str">
        <f aca="false">IF($O280="","",$O280)</f>
        <v/>
      </c>
      <c r="Y280" s="49" t="str">
        <f aca="false">IF(N($P280)=0,"","1122")</f>
        <v/>
      </c>
      <c r="Z280" s="49" t="str">
        <f aca="false">IF(N($P280)=0,"","2221")</f>
        <v/>
      </c>
      <c r="AA280" s="48" t="str">
        <f aca="false">IF(N($P280)=0,"",$P280)</f>
        <v/>
      </c>
      <c r="AB280" s="49" t="str">
        <f aca="false">IF(N($S280)=0,"","6401")</f>
        <v/>
      </c>
      <c r="AC280" s="49" t="str">
        <f aca="false">IF(N($S280)=0,"","1405")</f>
        <v/>
      </c>
      <c r="AD280" s="48" t="str">
        <f aca="false">IF(N($S280)=0,"",$S280)</f>
        <v/>
      </c>
      <c r="AE280" s="49" t="str">
        <f aca="false">IF(AND($D280=客户对账单!$B$3,$B280&gt;=客户对账单!$E$3,$B280&lt;=客户对账单!$H$3),COUNTIFS($D$5:$D280,客户对账单!$B$3,$B$5:$B280,"&gt;="&amp;客户对账单!$E$3,$B$5:$B280,"&lt;="&amp;客户对账单!$H$3),"")</f>
        <v/>
      </c>
    </row>
    <row r="281" customFormat="false" ht="15.75" hidden="false" customHeight="true" outlineLevel="0" collapsed="false">
      <c r="A281" s="42" t="str">
        <f aca="false">IF($B281="","","XS"&amp;TEXT($B281,"yyyymm")&amp;"-"&amp;TEXT(ROW()-4,"000"))</f>
        <v/>
      </c>
      <c r="B281" s="41"/>
      <c r="C281" s="42" t="str">
        <f aca="false">IF($B281="","",TEXT($B281,"yyyy-mm"))</f>
        <v/>
      </c>
      <c r="D281" s="32"/>
      <c r="E281" s="36"/>
      <c r="F281" s="43"/>
      <c r="G281" s="40"/>
      <c r="H281" s="51"/>
      <c r="I281" s="33"/>
      <c r="J281" s="33"/>
      <c r="K281" s="36"/>
      <c r="L281" s="47" t="str">
        <f aca="false">IF($B281="","",IF(NOT(ISNUMBER($B281)),"日期不是日期格式",IF(YEAR($B281)&lt;&gt;首页!$B$3,"不在会计年度",IF($D281="","未选客户",IF(ISNA(MATCH($D281,基础资料!$Z$6:$Z$155,0)),"客户不在档案",IF($E281="","未选商品",IF(ISNA(MATCH($E281,基础资料!$Q$6:$Q$205,0)),"商品不在档案",IF(NOT(ISNUMBER($F281)),"数量须为数字",IF(NOT(ISNUMBER($G281)),"单价须为数字",IF(N($F281)&lt;=0,"数量须大于0",IF(AND(IFERROR(INDEX(基础资料!$V$6:$V$205,MATCH($E281,基础资料!$Q$6:$Q$205,0)),"")="是",N($R281)=0),"无成本价·请先录采购或填参考成本",IF(N($T281)&lt;0,"毛利为负·请核对","√"))))))))))))</f>
        <v/>
      </c>
      <c r="M281" s="49" t="str">
        <f aca="false">IF($E281="","",IFERROR(INDEX(基础资料!$R$6:$R$205,MATCH($E281,基础资料!$Q$6:$Q$205,0)),""))</f>
        <v/>
      </c>
      <c r="N281" s="49" t="str">
        <f aca="false">IF($E281="","",IFERROR(INDEX(基础资料!$S$6:$S$205,MATCH($E281,基础资料!$Q$6:$Q$205,0)),""))</f>
        <v/>
      </c>
      <c r="O281" s="48" t="str">
        <f aca="false">IF(OR($F281="",$G281=""),"",ROUND(N($F281)*N($G281),2))</f>
        <v/>
      </c>
      <c r="P281" s="48" t="str">
        <f aca="false">IF($O281="","",ROUND(N($O281)*N($H281),2))</f>
        <v/>
      </c>
      <c r="Q281" s="48" t="str">
        <f aca="false">IF($O281="","",N($O281)+N($P281))</f>
        <v/>
      </c>
      <c r="R281" s="48" t="str">
        <f aca="false">IF(OR($E281="",$B281=""),"",IF(IFERROR(INDEX(基础资料!$V$6:$V$205,MATCH($E281,基础资料!$Q$6:$Q$205,0)),"")&lt;&gt;"是",0,IFERROR((SUMIFS(期初数据!$T$6:$T$205,期初数据!$O$6:$O$205,$E281)+SUMIFS(采购录入!$Q$5:$Q$404,采购录入!$E$5:$E$404,$E281,采购录入!$I$5:$I$404,"是",采购录入!$B$5:$B$404,"&lt;="&amp;$B281))/(SUMIFS(期初数据!$R$6:$R$205,期初数据!$O$6:$O$205,$E281)+SUMIFS(采购录入!$F$5:$F$404,采购录入!$E$5:$E$404,$E281,采购录入!$I$5:$I$404,"是",采购录入!$B$5:$B$404,"&lt;="&amp;$B281)),IFERROR(INDEX(基础资料!$U$6:$U$205,MATCH($E281,基础资料!$Q$6:$Q$205,0)),0))))</f>
        <v/>
      </c>
      <c r="S281" s="48" t="str">
        <f aca="false">IF($O281="","",ROUND(N($F281)*N($R281),2))</f>
        <v/>
      </c>
      <c r="T281" s="48" t="str">
        <f aca="false">IF($O281="","",N($O281)-N($S281))</f>
        <v/>
      </c>
      <c r="U281" s="52" t="str">
        <f aca="false">IF(OR($B281="",$D281=""),"",$B281+N(IFERROR(INDEX(基础资料!$AB$6:$AB$155,MATCH($D281,基础资料!$Z$6:$Z$155,0)),0)))</f>
        <v/>
      </c>
      <c r="V281" s="49" t="str">
        <f aca="false">IF($O281="","","1122")</f>
        <v/>
      </c>
      <c r="W281" s="49" t="str">
        <f aca="false">IF($O281="","","6001")</f>
        <v/>
      </c>
      <c r="X281" s="48" t="str">
        <f aca="false">IF($O281="","",$O281)</f>
        <v/>
      </c>
      <c r="Y281" s="49" t="str">
        <f aca="false">IF(N($P281)=0,"","1122")</f>
        <v/>
      </c>
      <c r="Z281" s="49" t="str">
        <f aca="false">IF(N($P281)=0,"","2221")</f>
        <v/>
      </c>
      <c r="AA281" s="48" t="str">
        <f aca="false">IF(N($P281)=0,"",$P281)</f>
        <v/>
      </c>
      <c r="AB281" s="49" t="str">
        <f aca="false">IF(N($S281)=0,"","6401")</f>
        <v/>
      </c>
      <c r="AC281" s="49" t="str">
        <f aca="false">IF(N($S281)=0,"","1405")</f>
        <v/>
      </c>
      <c r="AD281" s="48" t="str">
        <f aca="false">IF(N($S281)=0,"",$S281)</f>
        <v/>
      </c>
      <c r="AE281" s="49" t="str">
        <f aca="false">IF(AND($D281=客户对账单!$B$3,$B281&gt;=客户对账单!$E$3,$B281&lt;=客户对账单!$H$3),COUNTIFS($D$5:$D281,客户对账单!$B$3,$B$5:$B281,"&gt;="&amp;客户对账单!$E$3,$B$5:$B281,"&lt;="&amp;客户对账单!$H$3),"")</f>
        <v/>
      </c>
    </row>
    <row r="282" customFormat="false" ht="15.75" hidden="false" customHeight="true" outlineLevel="0" collapsed="false">
      <c r="A282" s="42" t="str">
        <f aca="false">IF($B282="","","XS"&amp;TEXT($B282,"yyyymm")&amp;"-"&amp;TEXT(ROW()-4,"000"))</f>
        <v/>
      </c>
      <c r="B282" s="41"/>
      <c r="C282" s="42" t="str">
        <f aca="false">IF($B282="","",TEXT($B282,"yyyy-mm"))</f>
        <v/>
      </c>
      <c r="D282" s="32"/>
      <c r="E282" s="36"/>
      <c r="F282" s="43"/>
      <c r="G282" s="40"/>
      <c r="H282" s="51"/>
      <c r="I282" s="33"/>
      <c r="J282" s="33"/>
      <c r="K282" s="36"/>
      <c r="L282" s="47" t="str">
        <f aca="false">IF($B282="","",IF(NOT(ISNUMBER($B282)),"日期不是日期格式",IF(YEAR($B282)&lt;&gt;首页!$B$3,"不在会计年度",IF($D282="","未选客户",IF(ISNA(MATCH($D282,基础资料!$Z$6:$Z$155,0)),"客户不在档案",IF($E282="","未选商品",IF(ISNA(MATCH($E282,基础资料!$Q$6:$Q$205,0)),"商品不在档案",IF(NOT(ISNUMBER($F282)),"数量须为数字",IF(NOT(ISNUMBER($G282)),"单价须为数字",IF(N($F282)&lt;=0,"数量须大于0",IF(AND(IFERROR(INDEX(基础资料!$V$6:$V$205,MATCH($E282,基础资料!$Q$6:$Q$205,0)),"")="是",N($R282)=0),"无成本价·请先录采购或填参考成本",IF(N($T282)&lt;0,"毛利为负·请核对","√"))))))))))))</f>
        <v/>
      </c>
      <c r="M282" s="49" t="str">
        <f aca="false">IF($E282="","",IFERROR(INDEX(基础资料!$R$6:$R$205,MATCH($E282,基础资料!$Q$6:$Q$205,0)),""))</f>
        <v/>
      </c>
      <c r="N282" s="49" t="str">
        <f aca="false">IF($E282="","",IFERROR(INDEX(基础资料!$S$6:$S$205,MATCH($E282,基础资料!$Q$6:$Q$205,0)),""))</f>
        <v/>
      </c>
      <c r="O282" s="48" t="str">
        <f aca="false">IF(OR($F282="",$G282=""),"",ROUND(N($F282)*N($G282),2))</f>
        <v/>
      </c>
      <c r="P282" s="48" t="str">
        <f aca="false">IF($O282="","",ROUND(N($O282)*N($H282),2))</f>
        <v/>
      </c>
      <c r="Q282" s="48" t="str">
        <f aca="false">IF($O282="","",N($O282)+N($P282))</f>
        <v/>
      </c>
      <c r="R282" s="48" t="str">
        <f aca="false">IF(OR($E282="",$B282=""),"",IF(IFERROR(INDEX(基础资料!$V$6:$V$205,MATCH($E282,基础资料!$Q$6:$Q$205,0)),"")&lt;&gt;"是",0,IFERROR((SUMIFS(期初数据!$T$6:$T$205,期初数据!$O$6:$O$205,$E282)+SUMIFS(采购录入!$Q$5:$Q$404,采购录入!$E$5:$E$404,$E282,采购录入!$I$5:$I$404,"是",采购录入!$B$5:$B$404,"&lt;="&amp;$B282))/(SUMIFS(期初数据!$R$6:$R$205,期初数据!$O$6:$O$205,$E282)+SUMIFS(采购录入!$F$5:$F$404,采购录入!$E$5:$E$404,$E282,采购录入!$I$5:$I$404,"是",采购录入!$B$5:$B$404,"&lt;="&amp;$B282)),IFERROR(INDEX(基础资料!$U$6:$U$205,MATCH($E282,基础资料!$Q$6:$Q$205,0)),0))))</f>
        <v/>
      </c>
      <c r="S282" s="48" t="str">
        <f aca="false">IF($O282="","",ROUND(N($F282)*N($R282),2))</f>
        <v/>
      </c>
      <c r="T282" s="48" t="str">
        <f aca="false">IF($O282="","",N($O282)-N($S282))</f>
        <v/>
      </c>
      <c r="U282" s="52" t="str">
        <f aca="false">IF(OR($B282="",$D282=""),"",$B282+N(IFERROR(INDEX(基础资料!$AB$6:$AB$155,MATCH($D282,基础资料!$Z$6:$Z$155,0)),0)))</f>
        <v/>
      </c>
      <c r="V282" s="49" t="str">
        <f aca="false">IF($O282="","","1122")</f>
        <v/>
      </c>
      <c r="W282" s="49" t="str">
        <f aca="false">IF($O282="","","6001")</f>
        <v/>
      </c>
      <c r="X282" s="48" t="str">
        <f aca="false">IF($O282="","",$O282)</f>
        <v/>
      </c>
      <c r="Y282" s="49" t="str">
        <f aca="false">IF(N($P282)=0,"","1122")</f>
        <v/>
      </c>
      <c r="Z282" s="49" t="str">
        <f aca="false">IF(N($P282)=0,"","2221")</f>
        <v/>
      </c>
      <c r="AA282" s="48" t="str">
        <f aca="false">IF(N($P282)=0,"",$P282)</f>
        <v/>
      </c>
      <c r="AB282" s="49" t="str">
        <f aca="false">IF(N($S282)=0,"","6401")</f>
        <v/>
      </c>
      <c r="AC282" s="49" t="str">
        <f aca="false">IF(N($S282)=0,"","1405")</f>
        <v/>
      </c>
      <c r="AD282" s="48" t="str">
        <f aca="false">IF(N($S282)=0,"",$S282)</f>
        <v/>
      </c>
      <c r="AE282" s="49" t="str">
        <f aca="false">IF(AND($D282=客户对账单!$B$3,$B282&gt;=客户对账单!$E$3,$B282&lt;=客户对账单!$H$3),COUNTIFS($D$5:$D282,客户对账单!$B$3,$B$5:$B282,"&gt;="&amp;客户对账单!$E$3,$B$5:$B282,"&lt;="&amp;客户对账单!$H$3),"")</f>
        <v/>
      </c>
    </row>
    <row r="283" customFormat="false" ht="15.75" hidden="false" customHeight="true" outlineLevel="0" collapsed="false">
      <c r="A283" s="42" t="str">
        <f aca="false">IF($B283="","","XS"&amp;TEXT($B283,"yyyymm")&amp;"-"&amp;TEXT(ROW()-4,"000"))</f>
        <v/>
      </c>
      <c r="B283" s="41"/>
      <c r="C283" s="42" t="str">
        <f aca="false">IF($B283="","",TEXT($B283,"yyyy-mm"))</f>
        <v/>
      </c>
      <c r="D283" s="32"/>
      <c r="E283" s="36"/>
      <c r="F283" s="43"/>
      <c r="G283" s="40"/>
      <c r="H283" s="51"/>
      <c r="I283" s="33"/>
      <c r="J283" s="33"/>
      <c r="K283" s="36"/>
      <c r="L283" s="47" t="str">
        <f aca="false">IF($B283="","",IF(NOT(ISNUMBER($B283)),"日期不是日期格式",IF(YEAR($B283)&lt;&gt;首页!$B$3,"不在会计年度",IF($D283="","未选客户",IF(ISNA(MATCH($D283,基础资料!$Z$6:$Z$155,0)),"客户不在档案",IF($E283="","未选商品",IF(ISNA(MATCH($E283,基础资料!$Q$6:$Q$205,0)),"商品不在档案",IF(NOT(ISNUMBER($F283)),"数量须为数字",IF(NOT(ISNUMBER($G283)),"单价须为数字",IF(N($F283)&lt;=0,"数量须大于0",IF(AND(IFERROR(INDEX(基础资料!$V$6:$V$205,MATCH($E283,基础资料!$Q$6:$Q$205,0)),"")="是",N($R283)=0),"无成本价·请先录采购或填参考成本",IF(N($T283)&lt;0,"毛利为负·请核对","√"))))))))))))</f>
        <v/>
      </c>
      <c r="M283" s="49" t="str">
        <f aca="false">IF($E283="","",IFERROR(INDEX(基础资料!$R$6:$R$205,MATCH($E283,基础资料!$Q$6:$Q$205,0)),""))</f>
        <v/>
      </c>
      <c r="N283" s="49" t="str">
        <f aca="false">IF($E283="","",IFERROR(INDEX(基础资料!$S$6:$S$205,MATCH($E283,基础资料!$Q$6:$Q$205,0)),""))</f>
        <v/>
      </c>
      <c r="O283" s="48" t="str">
        <f aca="false">IF(OR($F283="",$G283=""),"",ROUND(N($F283)*N($G283),2))</f>
        <v/>
      </c>
      <c r="P283" s="48" t="str">
        <f aca="false">IF($O283="","",ROUND(N($O283)*N($H283),2))</f>
        <v/>
      </c>
      <c r="Q283" s="48" t="str">
        <f aca="false">IF($O283="","",N($O283)+N($P283))</f>
        <v/>
      </c>
      <c r="R283" s="48" t="str">
        <f aca="false">IF(OR($E283="",$B283=""),"",IF(IFERROR(INDEX(基础资料!$V$6:$V$205,MATCH($E283,基础资料!$Q$6:$Q$205,0)),"")&lt;&gt;"是",0,IFERROR((SUMIFS(期初数据!$T$6:$T$205,期初数据!$O$6:$O$205,$E283)+SUMIFS(采购录入!$Q$5:$Q$404,采购录入!$E$5:$E$404,$E283,采购录入!$I$5:$I$404,"是",采购录入!$B$5:$B$404,"&lt;="&amp;$B283))/(SUMIFS(期初数据!$R$6:$R$205,期初数据!$O$6:$O$205,$E283)+SUMIFS(采购录入!$F$5:$F$404,采购录入!$E$5:$E$404,$E283,采购录入!$I$5:$I$404,"是",采购录入!$B$5:$B$404,"&lt;="&amp;$B283)),IFERROR(INDEX(基础资料!$U$6:$U$205,MATCH($E283,基础资料!$Q$6:$Q$205,0)),0))))</f>
        <v/>
      </c>
      <c r="S283" s="48" t="str">
        <f aca="false">IF($O283="","",ROUND(N($F283)*N($R283),2))</f>
        <v/>
      </c>
      <c r="T283" s="48" t="str">
        <f aca="false">IF($O283="","",N($O283)-N($S283))</f>
        <v/>
      </c>
      <c r="U283" s="52" t="str">
        <f aca="false">IF(OR($B283="",$D283=""),"",$B283+N(IFERROR(INDEX(基础资料!$AB$6:$AB$155,MATCH($D283,基础资料!$Z$6:$Z$155,0)),0)))</f>
        <v/>
      </c>
      <c r="V283" s="49" t="str">
        <f aca="false">IF($O283="","","1122")</f>
        <v/>
      </c>
      <c r="W283" s="49" t="str">
        <f aca="false">IF($O283="","","6001")</f>
        <v/>
      </c>
      <c r="X283" s="48" t="str">
        <f aca="false">IF($O283="","",$O283)</f>
        <v/>
      </c>
      <c r="Y283" s="49" t="str">
        <f aca="false">IF(N($P283)=0,"","1122")</f>
        <v/>
      </c>
      <c r="Z283" s="49" t="str">
        <f aca="false">IF(N($P283)=0,"","2221")</f>
        <v/>
      </c>
      <c r="AA283" s="48" t="str">
        <f aca="false">IF(N($P283)=0,"",$P283)</f>
        <v/>
      </c>
      <c r="AB283" s="49" t="str">
        <f aca="false">IF(N($S283)=0,"","6401")</f>
        <v/>
      </c>
      <c r="AC283" s="49" t="str">
        <f aca="false">IF(N($S283)=0,"","1405")</f>
        <v/>
      </c>
      <c r="AD283" s="48" t="str">
        <f aca="false">IF(N($S283)=0,"",$S283)</f>
        <v/>
      </c>
      <c r="AE283" s="49" t="str">
        <f aca="false">IF(AND($D283=客户对账单!$B$3,$B283&gt;=客户对账单!$E$3,$B283&lt;=客户对账单!$H$3),COUNTIFS($D$5:$D283,客户对账单!$B$3,$B$5:$B283,"&gt;="&amp;客户对账单!$E$3,$B$5:$B283,"&lt;="&amp;客户对账单!$H$3),"")</f>
        <v/>
      </c>
    </row>
    <row r="284" customFormat="false" ht="15.75" hidden="false" customHeight="true" outlineLevel="0" collapsed="false">
      <c r="A284" s="42" t="str">
        <f aca="false">IF($B284="","","XS"&amp;TEXT($B284,"yyyymm")&amp;"-"&amp;TEXT(ROW()-4,"000"))</f>
        <v/>
      </c>
      <c r="B284" s="41"/>
      <c r="C284" s="42" t="str">
        <f aca="false">IF($B284="","",TEXT($B284,"yyyy-mm"))</f>
        <v/>
      </c>
      <c r="D284" s="32"/>
      <c r="E284" s="36"/>
      <c r="F284" s="43"/>
      <c r="G284" s="40"/>
      <c r="H284" s="51"/>
      <c r="I284" s="33"/>
      <c r="J284" s="33"/>
      <c r="K284" s="36"/>
      <c r="L284" s="47" t="str">
        <f aca="false">IF($B284="","",IF(NOT(ISNUMBER($B284)),"日期不是日期格式",IF(YEAR($B284)&lt;&gt;首页!$B$3,"不在会计年度",IF($D284="","未选客户",IF(ISNA(MATCH($D284,基础资料!$Z$6:$Z$155,0)),"客户不在档案",IF($E284="","未选商品",IF(ISNA(MATCH($E284,基础资料!$Q$6:$Q$205,0)),"商品不在档案",IF(NOT(ISNUMBER($F284)),"数量须为数字",IF(NOT(ISNUMBER($G284)),"单价须为数字",IF(N($F284)&lt;=0,"数量须大于0",IF(AND(IFERROR(INDEX(基础资料!$V$6:$V$205,MATCH($E284,基础资料!$Q$6:$Q$205,0)),"")="是",N($R284)=0),"无成本价·请先录采购或填参考成本",IF(N($T284)&lt;0,"毛利为负·请核对","√"))))))))))))</f>
        <v/>
      </c>
      <c r="M284" s="49" t="str">
        <f aca="false">IF($E284="","",IFERROR(INDEX(基础资料!$R$6:$R$205,MATCH($E284,基础资料!$Q$6:$Q$205,0)),""))</f>
        <v/>
      </c>
      <c r="N284" s="49" t="str">
        <f aca="false">IF($E284="","",IFERROR(INDEX(基础资料!$S$6:$S$205,MATCH($E284,基础资料!$Q$6:$Q$205,0)),""))</f>
        <v/>
      </c>
      <c r="O284" s="48" t="str">
        <f aca="false">IF(OR($F284="",$G284=""),"",ROUND(N($F284)*N($G284),2))</f>
        <v/>
      </c>
      <c r="P284" s="48" t="str">
        <f aca="false">IF($O284="","",ROUND(N($O284)*N($H284),2))</f>
        <v/>
      </c>
      <c r="Q284" s="48" t="str">
        <f aca="false">IF($O284="","",N($O284)+N($P284))</f>
        <v/>
      </c>
      <c r="R284" s="48" t="str">
        <f aca="false">IF(OR($E284="",$B284=""),"",IF(IFERROR(INDEX(基础资料!$V$6:$V$205,MATCH($E284,基础资料!$Q$6:$Q$205,0)),"")&lt;&gt;"是",0,IFERROR((SUMIFS(期初数据!$T$6:$T$205,期初数据!$O$6:$O$205,$E284)+SUMIFS(采购录入!$Q$5:$Q$404,采购录入!$E$5:$E$404,$E284,采购录入!$I$5:$I$404,"是",采购录入!$B$5:$B$404,"&lt;="&amp;$B284))/(SUMIFS(期初数据!$R$6:$R$205,期初数据!$O$6:$O$205,$E284)+SUMIFS(采购录入!$F$5:$F$404,采购录入!$E$5:$E$404,$E284,采购录入!$I$5:$I$404,"是",采购录入!$B$5:$B$404,"&lt;="&amp;$B284)),IFERROR(INDEX(基础资料!$U$6:$U$205,MATCH($E284,基础资料!$Q$6:$Q$205,0)),0))))</f>
        <v/>
      </c>
      <c r="S284" s="48" t="str">
        <f aca="false">IF($O284="","",ROUND(N($F284)*N($R284),2))</f>
        <v/>
      </c>
      <c r="T284" s="48" t="str">
        <f aca="false">IF($O284="","",N($O284)-N($S284))</f>
        <v/>
      </c>
      <c r="U284" s="52" t="str">
        <f aca="false">IF(OR($B284="",$D284=""),"",$B284+N(IFERROR(INDEX(基础资料!$AB$6:$AB$155,MATCH($D284,基础资料!$Z$6:$Z$155,0)),0)))</f>
        <v/>
      </c>
      <c r="V284" s="49" t="str">
        <f aca="false">IF($O284="","","1122")</f>
        <v/>
      </c>
      <c r="W284" s="49" t="str">
        <f aca="false">IF($O284="","","6001")</f>
        <v/>
      </c>
      <c r="X284" s="48" t="str">
        <f aca="false">IF($O284="","",$O284)</f>
        <v/>
      </c>
      <c r="Y284" s="49" t="str">
        <f aca="false">IF(N($P284)=0,"","1122")</f>
        <v/>
      </c>
      <c r="Z284" s="49" t="str">
        <f aca="false">IF(N($P284)=0,"","2221")</f>
        <v/>
      </c>
      <c r="AA284" s="48" t="str">
        <f aca="false">IF(N($P284)=0,"",$P284)</f>
        <v/>
      </c>
      <c r="AB284" s="49" t="str">
        <f aca="false">IF(N($S284)=0,"","6401")</f>
        <v/>
      </c>
      <c r="AC284" s="49" t="str">
        <f aca="false">IF(N($S284)=0,"","1405")</f>
        <v/>
      </c>
      <c r="AD284" s="48" t="str">
        <f aca="false">IF(N($S284)=0,"",$S284)</f>
        <v/>
      </c>
      <c r="AE284" s="49" t="str">
        <f aca="false">IF(AND($D284=客户对账单!$B$3,$B284&gt;=客户对账单!$E$3,$B284&lt;=客户对账单!$H$3),COUNTIFS($D$5:$D284,客户对账单!$B$3,$B$5:$B284,"&gt;="&amp;客户对账单!$E$3,$B$5:$B284,"&lt;="&amp;客户对账单!$H$3),"")</f>
        <v/>
      </c>
    </row>
    <row r="285" customFormat="false" ht="15.75" hidden="false" customHeight="true" outlineLevel="0" collapsed="false">
      <c r="A285" s="42" t="str">
        <f aca="false">IF($B285="","","XS"&amp;TEXT($B285,"yyyymm")&amp;"-"&amp;TEXT(ROW()-4,"000"))</f>
        <v/>
      </c>
      <c r="B285" s="41"/>
      <c r="C285" s="42" t="str">
        <f aca="false">IF($B285="","",TEXT($B285,"yyyy-mm"))</f>
        <v/>
      </c>
      <c r="D285" s="32"/>
      <c r="E285" s="36"/>
      <c r="F285" s="43"/>
      <c r="G285" s="40"/>
      <c r="H285" s="51"/>
      <c r="I285" s="33"/>
      <c r="J285" s="33"/>
      <c r="K285" s="36"/>
      <c r="L285" s="47" t="str">
        <f aca="false">IF($B285="","",IF(NOT(ISNUMBER($B285)),"日期不是日期格式",IF(YEAR($B285)&lt;&gt;首页!$B$3,"不在会计年度",IF($D285="","未选客户",IF(ISNA(MATCH($D285,基础资料!$Z$6:$Z$155,0)),"客户不在档案",IF($E285="","未选商品",IF(ISNA(MATCH($E285,基础资料!$Q$6:$Q$205,0)),"商品不在档案",IF(NOT(ISNUMBER($F285)),"数量须为数字",IF(NOT(ISNUMBER($G285)),"单价须为数字",IF(N($F285)&lt;=0,"数量须大于0",IF(AND(IFERROR(INDEX(基础资料!$V$6:$V$205,MATCH($E285,基础资料!$Q$6:$Q$205,0)),"")="是",N($R285)=0),"无成本价·请先录采购或填参考成本",IF(N($T285)&lt;0,"毛利为负·请核对","√"))))))))))))</f>
        <v/>
      </c>
      <c r="M285" s="49" t="str">
        <f aca="false">IF($E285="","",IFERROR(INDEX(基础资料!$R$6:$R$205,MATCH($E285,基础资料!$Q$6:$Q$205,0)),""))</f>
        <v/>
      </c>
      <c r="N285" s="49" t="str">
        <f aca="false">IF($E285="","",IFERROR(INDEX(基础资料!$S$6:$S$205,MATCH($E285,基础资料!$Q$6:$Q$205,0)),""))</f>
        <v/>
      </c>
      <c r="O285" s="48" t="str">
        <f aca="false">IF(OR($F285="",$G285=""),"",ROUND(N($F285)*N($G285),2))</f>
        <v/>
      </c>
      <c r="P285" s="48" t="str">
        <f aca="false">IF($O285="","",ROUND(N($O285)*N($H285),2))</f>
        <v/>
      </c>
      <c r="Q285" s="48" t="str">
        <f aca="false">IF($O285="","",N($O285)+N($P285))</f>
        <v/>
      </c>
      <c r="R285" s="48" t="str">
        <f aca="false">IF(OR($E285="",$B285=""),"",IF(IFERROR(INDEX(基础资料!$V$6:$V$205,MATCH($E285,基础资料!$Q$6:$Q$205,0)),"")&lt;&gt;"是",0,IFERROR((SUMIFS(期初数据!$T$6:$T$205,期初数据!$O$6:$O$205,$E285)+SUMIFS(采购录入!$Q$5:$Q$404,采购录入!$E$5:$E$404,$E285,采购录入!$I$5:$I$404,"是",采购录入!$B$5:$B$404,"&lt;="&amp;$B285))/(SUMIFS(期初数据!$R$6:$R$205,期初数据!$O$6:$O$205,$E285)+SUMIFS(采购录入!$F$5:$F$404,采购录入!$E$5:$E$404,$E285,采购录入!$I$5:$I$404,"是",采购录入!$B$5:$B$404,"&lt;="&amp;$B285)),IFERROR(INDEX(基础资料!$U$6:$U$205,MATCH($E285,基础资料!$Q$6:$Q$205,0)),0))))</f>
        <v/>
      </c>
      <c r="S285" s="48" t="str">
        <f aca="false">IF($O285="","",ROUND(N($F285)*N($R285),2))</f>
        <v/>
      </c>
      <c r="T285" s="48" t="str">
        <f aca="false">IF($O285="","",N($O285)-N($S285))</f>
        <v/>
      </c>
      <c r="U285" s="52" t="str">
        <f aca="false">IF(OR($B285="",$D285=""),"",$B285+N(IFERROR(INDEX(基础资料!$AB$6:$AB$155,MATCH($D285,基础资料!$Z$6:$Z$155,0)),0)))</f>
        <v/>
      </c>
      <c r="V285" s="49" t="str">
        <f aca="false">IF($O285="","","1122")</f>
        <v/>
      </c>
      <c r="W285" s="49" t="str">
        <f aca="false">IF($O285="","","6001")</f>
        <v/>
      </c>
      <c r="X285" s="48" t="str">
        <f aca="false">IF($O285="","",$O285)</f>
        <v/>
      </c>
      <c r="Y285" s="49" t="str">
        <f aca="false">IF(N($P285)=0,"","1122")</f>
        <v/>
      </c>
      <c r="Z285" s="49" t="str">
        <f aca="false">IF(N($P285)=0,"","2221")</f>
        <v/>
      </c>
      <c r="AA285" s="48" t="str">
        <f aca="false">IF(N($P285)=0,"",$P285)</f>
        <v/>
      </c>
      <c r="AB285" s="49" t="str">
        <f aca="false">IF(N($S285)=0,"","6401")</f>
        <v/>
      </c>
      <c r="AC285" s="49" t="str">
        <f aca="false">IF(N($S285)=0,"","1405")</f>
        <v/>
      </c>
      <c r="AD285" s="48" t="str">
        <f aca="false">IF(N($S285)=0,"",$S285)</f>
        <v/>
      </c>
      <c r="AE285" s="49" t="str">
        <f aca="false">IF(AND($D285=客户对账单!$B$3,$B285&gt;=客户对账单!$E$3,$B285&lt;=客户对账单!$H$3),COUNTIFS($D$5:$D285,客户对账单!$B$3,$B$5:$B285,"&gt;="&amp;客户对账单!$E$3,$B$5:$B285,"&lt;="&amp;客户对账单!$H$3),"")</f>
        <v/>
      </c>
    </row>
    <row r="286" customFormat="false" ht="15.75" hidden="false" customHeight="true" outlineLevel="0" collapsed="false">
      <c r="A286" s="42" t="str">
        <f aca="false">IF($B286="","","XS"&amp;TEXT($B286,"yyyymm")&amp;"-"&amp;TEXT(ROW()-4,"000"))</f>
        <v/>
      </c>
      <c r="B286" s="41"/>
      <c r="C286" s="42" t="str">
        <f aca="false">IF($B286="","",TEXT($B286,"yyyy-mm"))</f>
        <v/>
      </c>
      <c r="D286" s="32"/>
      <c r="E286" s="36"/>
      <c r="F286" s="43"/>
      <c r="G286" s="40"/>
      <c r="H286" s="51"/>
      <c r="I286" s="33"/>
      <c r="J286" s="33"/>
      <c r="K286" s="36"/>
      <c r="L286" s="47" t="str">
        <f aca="false">IF($B286="","",IF(NOT(ISNUMBER($B286)),"日期不是日期格式",IF(YEAR($B286)&lt;&gt;首页!$B$3,"不在会计年度",IF($D286="","未选客户",IF(ISNA(MATCH($D286,基础资料!$Z$6:$Z$155,0)),"客户不在档案",IF($E286="","未选商品",IF(ISNA(MATCH($E286,基础资料!$Q$6:$Q$205,0)),"商品不在档案",IF(NOT(ISNUMBER($F286)),"数量须为数字",IF(NOT(ISNUMBER($G286)),"单价须为数字",IF(N($F286)&lt;=0,"数量须大于0",IF(AND(IFERROR(INDEX(基础资料!$V$6:$V$205,MATCH($E286,基础资料!$Q$6:$Q$205,0)),"")="是",N($R286)=0),"无成本价·请先录采购或填参考成本",IF(N($T286)&lt;0,"毛利为负·请核对","√"))))))))))))</f>
        <v/>
      </c>
      <c r="M286" s="49" t="str">
        <f aca="false">IF($E286="","",IFERROR(INDEX(基础资料!$R$6:$R$205,MATCH($E286,基础资料!$Q$6:$Q$205,0)),""))</f>
        <v/>
      </c>
      <c r="N286" s="49" t="str">
        <f aca="false">IF($E286="","",IFERROR(INDEX(基础资料!$S$6:$S$205,MATCH($E286,基础资料!$Q$6:$Q$205,0)),""))</f>
        <v/>
      </c>
      <c r="O286" s="48" t="str">
        <f aca="false">IF(OR($F286="",$G286=""),"",ROUND(N($F286)*N($G286),2))</f>
        <v/>
      </c>
      <c r="P286" s="48" t="str">
        <f aca="false">IF($O286="","",ROUND(N($O286)*N($H286),2))</f>
        <v/>
      </c>
      <c r="Q286" s="48" t="str">
        <f aca="false">IF($O286="","",N($O286)+N($P286))</f>
        <v/>
      </c>
      <c r="R286" s="48" t="str">
        <f aca="false">IF(OR($E286="",$B286=""),"",IF(IFERROR(INDEX(基础资料!$V$6:$V$205,MATCH($E286,基础资料!$Q$6:$Q$205,0)),"")&lt;&gt;"是",0,IFERROR((SUMIFS(期初数据!$T$6:$T$205,期初数据!$O$6:$O$205,$E286)+SUMIFS(采购录入!$Q$5:$Q$404,采购录入!$E$5:$E$404,$E286,采购录入!$I$5:$I$404,"是",采购录入!$B$5:$B$404,"&lt;="&amp;$B286))/(SUMIFS(期初数据!$R$6:$R$205,期初数据!$O$6:$O$205,$E286)+SUMIFS(采购录入!$F$5:$F$404,采购录入!$E$5:$E$404,$E286,采购录入!$I$5:$I$404,"是",采购录入!$B$5:$B$404,"&lt;="&amp;$B286)),IFERROR(INDEX(基础资料!$U$6:$U$205,MATCH($E286,基础资料!$Q$6:$Q$205,0)),0))))</f>
        <v/>
      </c>
      <c r="S286" s="48" t="str">
        <f aca="false">IF($O286="","",ROUND(N($F286)*N($R286),2))</f>
        <v/>
      </c>
      <c r="T286" s="48" t="str">
        <f aca="false">IF($O286="","",N($O286)-N($S286))</f>
        <v/>
      </c>
      <c r="U286" s="52" t="str">
        <f aca="false">IF(OR($B286="",$D286=""),"",$B286+N(IFERROR(INDEX(基础资料!$AB$6:$AB$155,MATCH($D286,基础资料!$Z$6:$Z$155,0)),0)))</f>
        <v/>
      </c>
      <c r="V286" s="49" t="str">
        <f aca="false">IF($O286="","","1122")</f>
        <v/>
      </c>
      <c r="W286" s="49" t="str">
        <f aca="false">IF($O286="","","6001")</f>
        <v/>
      </c>
      <c r="X286" s="48" t="str">
        <f aca="false">IF($O286="","",$O286)</f>
        <v/>
      </c>
      <c r="Y286" s="49" t="str">
        <f aca="false">IF(N($P286)=0,"","1122")</f>
        <v/>
      </c>
      <c r="Z286" s="49" t="str">
        <f aca="false">IF(N($P286)=0,"","2221")</f>
        <v/>
      </c>
      <c r="AA286" s="48" t="str">
        <f aca="false">IF(N($P286)=0,"",$P286)</f>
        <v/>
      </c>
      <c r="AB286" s="49" t="str">
        <f aca="false">IF(N($S286)=0,"","6401")</f>
        <v/>
      </c>
      <c r="AC286" s="49" t="str">
        <f aca="false">IF(N($S286)=0,"","1405")</f>
        <v/>
      </c>
      <c r="AD286" s="48" t="str">
        <f aca="false">IF(N($S286)=0,"",$S286)</f>
        <v/>
      </c>
      <c r="AE286" s="49" t="str">
        <f aca="false">IF(AND($D286=客户对账单!$B$3,$B286&gt;=客户对账单!$E$3,$B286&lt;=客户对账单!$H$3),COUNTIFS($D$5:$D286,客户对账单!$B$3,$B$5:$B286,"&gt;="&amp;客户对账单!$E$3,$B$5:$B286,"&lt;="&amp;客户对账单!$H$3),"")</f>
        <v/>
      </c>
    </row>
    <row r="287" customFormat="false" ht="15.75" hidden="false" customHeight="true" outlineLevel="0" collapsed="false">
      <c r="A287" s="42" t="str">
        <f aca="false">IF($B287="","","XS"&amp;TEXT($B287,"yyyymm")&amp;"-"&amp;TEXT(ROW()-4,"000"))</f>
        <v/>
      </c>
      <c r="B287" s="41"/>
      <c r="C287" s="42" t="str">
        <f aca="false">IF($B287="","",TEXT($B287,"yyyy-mm"))</f>
        <v/>
      </c>
      <c r="D287" s="32"/>
      <c r="E287" s="36"/>
      <c r="F287" s="43"/>
      <c r="G287" s="40"/>
      <c r="H287" s="51"/>
      <c r="I287" s="33"/>
      <c r="J287" s="33"/>
      <c r="K287" s="36"/>
      <c r="L287" s="47" t="str">
        <f aca="false">IF($B287="","",IF(NOT(ISNUMBER($B287)),"日期不是日期格式",IF(YEAR($B287)&lt;&gt;首页!$B$3,"不在会计年度",IF($D287="","未选客户",IF(ISNA(MATCH($D287,基础资料!$Z$6:$Z$155,0)),"客户不在档案",IF($E287="","未选商品",IF(ISNA(MATCH($E287,基础资料!$Q$6:$Q$205,0)),"商品不在档案",IF(NOT(ISNUMBER($F287)),"数量须为数字",IF(NOT(ISNUMBER($G287)),"单价须为数字",IF(N($F287)&lt;=0,"数量须大于0",IF(AND(IFERROR(INDEX(基础资料!$V$6:$V$205,MATCH($E287,基础资料!$Q$6:$Q$205,0)),"")="是",N($R287)=0),"无成本价·请先录采购或填参考成本",IF(N($T287)&lt;0,"毛利为负·请核对","√"))))))))))))</f>
        <v/>
      </c>
      <c r="M287" s="49" t="str">
        <f aca="false">IF($E287="","",IFERROR(INDEX(基础资料!$R$6:$R$205,MATCH($E287,基础资料!$Q$6:$Q$205,0)),""))</f>
        <v/>
      </c>
      <c r="N287" s="49" t="str">
        <f aca="false">IF($E287="","",IFERROR(INDEX(基础资料!$S$6:$S$205,MATCH($E287,基础资料!$Q$6:$Q$205,0)),""))</f>
        <v/>
      </c>
      <c r="O287" s="48" t="str">
        <f aca="false">IF(OR($F287="",$G287=""),"",ROUND(N($F287)*N($G287),2))</f>
        <v/>
      </c>
      <c r="P287" s="48" t="str">
        <f aca="false">IF($O287="","",ROUND(N($O287)*N($H287),2))</f>
        <v/>
      </c>
      <c r="Q287" s="48" t="str">
        <f aca="false">IF($O287="","",N($O287)+N($P287))</f>
        <v/>
      </c>
      <c r="R287" s="48" t="str">
        <f aca="false">IF(OR($E287="",$B287=""),"",IF(IFERROR(INDEX(基础资料!$V$6:$V$205,MATCH($E287,基础资料!$Q$6:$Q$205,0)),"")&lt;&gt;"是",0,IFERROR((SUMIFS(期初数据!$T$6:$T$205,期初数据!$O$6:$O$205,$E287)+SUMIFS(采购录入!$Q$5:$Q$404,采购录入!$E$5:$E$404,$E287,采购录入!$I$5:$I$404,"是",采购录入!$B$5:$B$404,"&lt;="&amp;$B287))/(SUMIFS(期初数据!$R$6:$R$205,期初数据!$O$6:$O$205,$E287)+SUMIFS(采购录入!$F$5:$F$404,采购录入!$E$5:$E$404,$E287,采购录入!$I$5:$I$404,"是",采购录入!$B$5:$B$404,"&lt;="&amp;$B287)),IFERROR(INDEX(基础资料!$U$6:$U$205,MATCH($E287,基础资料!$Q$6:$Q$205,0)),0))))</f>
        <v/>
      </c>
      <c r="S287" s="48" t="str">
        <f aca="false">IF($O287="","",ROUND(N($F287)*N($R287),2))</f>
        <v/>
      </c>
      <c r="T287" s="48" t="str">
        <f aca="false">IF($O287="","",N($O287)-N($S287))</f>
        <v/>
      </c>
      <c r="U287" s="52" t="str">
        <f aca="false">IF(OR($B287="",$D287=""),"",$B287+N(IFERROR(INDEX(基础资料!$AB$6:$AB$155,MATCH($D287,基础资料!$Z$6:$Z$155,0)),0)))</f>
        <v/>
      </c>
      <c r="V287" s="49" t="str">
        <f aca="false">IF($O287="","","1122")</f>
        <v/>
      </c>
      <c r="W287" s="49" t="str">
        <f aca="false">IF($O287="","","6001")</f>
        <v/>
      </c>
      <c r="X287" s="48" t="str">
        <f aca="false">IF($O287="","",$O287)</f>
        <v/>
      </c>
      <c r="Y287" s="49" t="str">
        <f aca="false">IF(N($P287)=0,"","1122")</f>
        <v/>
      </c>
      <c r="Z287" s="49" t="str">
        <f aca="false">IF(N($P287)=0,"","2221")</f>
        <v/>
      </c>
      <c r="AA287" s="48" t="str">
        <f aca="false">IF(N($P287)=0,"",$P287)</f>
        <v/>
      </c>
      <c r="AB287" s="49" t="str">
        <f aca="false">IF(N($S287)=0,"","6401")</f>
        <v/>
      </c>
      <c r="AC287" s="49" t="str">
        <f aca="false">IF(N($S287)=0,"","1405")</f>
        <v/>
      </c>
      <c r="AD287" s="48" t="str">
        <f aca="false">IF(N($S287)=0,"",$S287)</f>
        <v/>
      </c>
      <c r="AE287" s="49" t="str">
        <f aca="false">IF(AND($D287=客户对账单!$B$3,$B287&gt;=客户对账单!$E$3,$B287&lt;=客户对账单!$H$3),COUNTIFS($D$5:$D287,客户对账单!$B$3,$B$5:$B287,"&gt;="&amp;客户对账单!$E$3,$B$5:$B287,"&lt;="&amp;客户对账单!$H$3),"")</f>
        <v/>
      </c>
    </row>
    <row r="288" customFormat="false" ht="15.75" hidden="false" customHeight="true" outlineLevel="0" collapsed="false">
      <c r="A288" s="42" t="str">
        <f aca="false">IF($B288="","","XS"&amp;TEXT($B288,"yyyymm")&amp;"-"&amp;TEXT(ROW()-4,"000"))</f>
        <v/>
      </c>
      <c r="B288" s="41"/>
      <c r="C288" s="42" t="str">
        <f aca="false">IF($B288="","",TEXT($B288,"yyyy-mm"))</f>
        <v/>
      </c>
      <c r="D288" s="32"/>
      <c r="E288" s="36"/>
      <c r="F288" s="43"/>
      <c r="G288" s="40"/>
      <c r="H288" s="51"/>
      <c r="I288" s="33"/>
      <c r="J288" s="33"/>
      <c r="K288" s="36"/>
      <c r="L288" s="47" t="str">
        <f aca="false">IF($B288="","",IF(NOT(ISNUMBER($B288)),"日期不是日期格式",IF(YEAR($B288)&lt;&gt;首页!$B$3,"不在会计年度",IF($D288="","未选客户",IF(ISNA(MATCH($D288,基础资料!$Z$6:$Z$155,0)),"客户不在档案",IF($E288="","未选商品",IF(ISNA(MATCH($E288,基础资料!$Q$6:$Q$205,0)),"商品不在档案",IF(NOT(ISNUMBER($F288)),"数量须为数字",IF(NOT(ISNUMBER($G288)),"单价须为数字",IF(N($F288)&lt;=0,"数量须大于0",IF(AND(IFERROR(INDEX(基础资料!$V$6:$V$205,MATCH($E288,基础资料!$Q$6:$Q$205,0)),"")="是",N($R288)=0),"无成本价·请先录采购或填参考成本",IF(N($T288)&lt;0,"毛利为负·请核对","√"))))))))))))</f>
        <v/>
      </c>
      <c r="M288" s="49" t="str">
        <f aca="false">IF($E288="","",IFERROR(INDEX(基础资料!$R$6:$R$205,MATCH($E288,基础资料!$Q$6:$Q$205,0)),""))</f>
        <v/>
      </c>
      <c r="N288" s="49" t="str">
        <f aca="false">IF($E288="","",IFERROR(INDEX(基础资料!$S$6:$S$205,MATCH($E288,基础资料!$Q$6:$Q$205,0)),""))</f>
        <v/>
      </c>
      <c r="O288" s="48" t="str">
        <f aca="false">IF(OR($F288="",$G288=""),"",ROUND(N($F288)*N($G288),2))</f>
        <v/>
      </c>
      <c r="P288" s="48" t="str">
        <f aca="false">IF($O288="","",ROUND(N($O288)*N($H288),2))</f>
        <v/>
      </c>
      <c r="Q288" s="48" t="str">
        <f aca="false">IF($O288="","",N($O288)+N($P288))</f>
        <v/>
      </c>
      <c r="R288" s="48" t="str">
        <f aca="false">IF(OR($E288="",$B288=""),"",IF(IFERROR(INDEX(基础资料!$V$6:$V$205,MATCH($E288,基础资料!$Q$6:$Q$205,0)),"")&lt;&gt;"是",0,IFERROR((SUMIFS(期初数据!$T$6:$T$205,期初数据!$O$6:$O$205,$E288)+SUMIFS(采购录入!$Q$5:$Q$404,采购录入!$E$5:$E$404,$E288,采购录入!$I$5:$I$404,"是",采购录入!$B$5:$B$404,"&lt;="&amp;$B288))/(SUMIFS(期初数据!$R$6:$R$205,期初数据!$O$6:$O$205,$E288)+SUMIFS(采购录入!$F$5:$F$404,采购录入!$E$5:$E$404,$E288,采购录入!$I$5:$I$404,"是",采购录入!$B$5:$B$404,"&lt;="&amp;$B288)),IFERROR(INDEX(基础资料!$U$6:$U$205,MATCH($E288,基础资料!$Q$6:$Q$205,0)),0))))</f>
        <v/>
      </c>
      <c r="S288" s="48" t="str">
        <f aca="false">IF($O288="","",ROUND(N($F288)*N($R288),2))</f>
        <v/>
      </c>
      <c r="T288" s="48" t="str">
        <f aca="false">IF($O288="","",N($O288)-N($S288))</f>
        <v/>
      </c>
      <c r="U288" s="52" t="str">
        <f aca="false">IF(OR($B288="",$D288=""),"",$B288+N(IFERROR(INDEX(基础资料!$AB$6:$AB$155,MATCH($D288,基础资料!$Z$6:$Z$155,0)),0)))</f>
        <v/>
      </c>
      <c r="V288" s="49" t="str">
        <f aca="false">IF($O288="","","1122")</f>
        <v/>
      </c>
      <c r="W288" s="49" t="str">
        <f aca="false">IF($O288="","","6001")</f>
        <v/>
      </c>
      <c r="X288" s="48" t="str">
        <f aca="false">IF($O288="","",$O288)</f>
        <v/>
      </c>
      <c r="Y288" s="49" t="str">
        <f aca="false">IF(N($P288)=0,"","1122")</f>
        <v/>
      </c>
      <c r="Z288" s="49" t="str">
        <f aca="false">IF(N($P288)=0,"","2221")</f>
        <v/>
      </c>
      <c r="AA288" s="48" t="str">
        <f aca="false">IF(N($P288)=0,"",$P288)</f>
        <v/>
      </c>
      <c r="AB288" s="49" t="str">
        <f aca="false">IF(N($S288)=0,"","6401")</f>
        <v/>
      </c>
      <c r="AC288" s="49" t="str">
        <f aca="false">IF(N($S288)=0,"","1405")</f>
        <v/>
      </c>
      <c r="AD288" s="48" t="str">
        <f aca="false">IF(N($S288)=0,"",$S288)</f>
        <v/>
      </c>
      <c r="AE288" s="49" t="str">
        <f aca="false">IF(AND($D288=客户对账单!$B$3,$B288&gt;=客户对账单!$E$3,$B288&lt;=客户对账单!$H$3),COUNTIFS($D$5:$D288,客户对账单!$B$3,$B$5:$B288,"&gt;="&amp;客户对账单!$E$3,$B$5:$B288,"&lt;="&amp;客户对账单!$H$3),"")</f>
        <v/>
      </c>
    </row>
    <row r="289" customFormat="false" ht="15.75" hidden="false" customHeight="true" outlineLevel="0" collapsed="false">
      <c r="A289" s="42" t="str">
        <f aca="false">IF($B289="","","XS"&amp;TEXT($B289,"yyyymm")&amp;"-"&amp;TEXT(ROW()-4,"000"))</f>
        <v/>
      </c>
      <c r="B289" s="41"/>
      <c r="C289" s="42" t="str">
        <f aca="false">IF($B289="","",TEXT($B289,"yyyy-mm"))</f>
        <v/>
      </c>
      <c r="D289" s="32"/>
      <c r="E289" s="36"/>
      <c r="F289" s="43"/>
      <c r="G289" s="40"/>
      <c r="H289" s="51"/>
      <c r="I289" s="33"/>
      <c r="J289" s="33"/>
      <c r="K289" s="36"/>
      <c r="L289" s="47" t="str">
        <f aca="false">IF($B289="","",IF(NOT(ISNUMBER($B289)),"日期不是日期格式",IF(YEAR($B289)&lt;&gt;首页!$B$3,"不在会计年度",IF($D289="","未选客户",IF(ISNA(MATCH($D289,基础资料!$Z$6:$Z$155,0)),"客户不在档案",IF($E289="","未选商品",IF(ISNA(MATCH($E289,基础资料!$Q$6:$Q$205,0)),"商品不在档案",IF(NOT(ISNUMBER($F289)),"数量须为数字",IF(NOT(ISNUMBER($G289)),"单价须为数字",IF(N($F289)&lt;=0,"数量须大于0",IF(AND(IFERROR(INDEX(基础资料!$V$6:$V$205,MATCH($E289,基础资料!$Q$6:$Q$205,0)),"")="是",N($R289)=0),"无成本价·请先录采购或填参考成本",IF(N($T289)&lt;0,"毛利为负·请核对","√"))))))))))))</f>
        <v/>
      </c>
      <c r="M289" s="49" t="str">
        <f aca="false">IF($E289="","",IFERROR(INDEX(基础资料!$R$6:$R$205,MATCH($E289,基础资料!$Q$6:$Q$205,0)),""))</f>
        <v/>
      </c>
      <c r="N289" s="49" t="str">
        <f aca="false">IF($E289="","",IFERROR(INDEX(基础资料!$S$6:$S$205,MATCH($E289,基础资料!$Q$6:$Q$205,0)),""))</f>
        <v/>
      </c>
      <c r="O289" s="48" t="str">
        <f aca="false">IF(OR($F289="",$G289=""),"",ROUND(N($F289)*N($G289),2))</f>
        <v/>
      </c>
      <c r="P289" s="48" t="str">
        <f aca="false">IF($O289="","",ROUND(N($O289)*N($H289),2))</f>
        <v/>
      </c>
      <c r="Q289" s="48" t="str">
        <f aca="false">IF($O289="","",N($O289)+N($P289))</f>
        <v/>
      </c>
      <c r="R289" s="48" t="str">
        <f aca="false">IF(OR($E289="",$B289=""),"",IF(IFERROR(INDEX(基础资料!$V$6:$V$205,MATCH($E289,基础资料!$Q$6:$Q$205,0)),"")&lt;&gt;"是",0,IFERROR((SUMIFS(期初数据!$T$6:$T$205,期初数据!$O$6:$O$205,$E289)+SUMIFS(采购录入!$Q$5:$Q$404,采购录入!$E$5:$E$404,$E289,采购录入!$I$5:$I$404,"是",采购录入!$B$5:$B$404,"&lt;="&amp;$B289))/(SUMIFS(期初数据!$R$6:$R$205,期初数据!$O$6:$O$205,$E289)+SUMIFS(采购录入!$F$5:$F$404,采购录入!$E$5:$E$404,$E289,采购录入!$I$5:$I$404,"是",采购录入!$B$5:$B$404,"&lt;="&amp;$B289)),IFERROR(INDEX(基础资料!$U$6:$U$205,MATCH($E289,基础资料!$Q$6:$Q$205,0)),0))))</f>
        <v/>
      </c>
      <c r="S289" s="48" t="str">
        <f aca="false">IF($O289="","",ROUND(N($F289)*N($R289),2))</f>
        <v/>
      </c>
      <c r="T289" s="48" t="str">
        <f aca="false">IF($O289="","",N($O289)-N($S289))</f>
        <v/>
      </c>
      <c r="U289" s="52" t="str">
        <f aca="false">IF(OR($B289="",$D289=""),"",$B289+N(IFERROR(INDEX(基础资料!$AB$6:$AB$155,MATCH($D289,基础资料!$Z$6:$Z$155,0)),0)))</f>
        <v/>
      </c>
      <c r="V289" s="49" t="str">
        <f aca="false">IF($O289="","","1122")</f>
        <v/>
      </c>
      <c r="W289" s="49" t="str">
        <f aca="false">IF($O289="","","6001")</f>
        <v/>
      </c>
      <c r="X289" s="48" t="str">
        <f aca="false">IF($O289="","",$O289)</f>
        <v/>
      </c>
      <c r="Y289" s="49" t="str">
        <f aca="false">IF(N($P289)=0,"","1122")</f>
        <v/>
      </c>
      <c r="Z289" s="49" t="str">
        <f aca="false">IF(N($P289)=0,"","2221")</f>
        <v/>
      </c>
      <c r="AA289" s="48" t="str">
        <f aca="false">IF(N($P289)=0,"",$P289)</f>
        <v/>
      </c>
      <c r="AB289" s="49" t="str">
        <f aca="false">IF(N($S289)=0,"","6401")</f>
        <v/>
      </c>
      <c r="AC289" s="49" t="str">
        <f aca="false">IF(N($S289)=0,"","1405")</f>
        <v/>
      </c>
      <c r="AD289" s="48" t="str">
        <f aca="false">IF(N($S289)=0,"",$S289)</f>
        <v/>
      </c>
      <c r="AE289" s="49" t="str">
        <f aca="false">IF(AND($D289=客户对账单!$B$3,$B289&gt;=客户对账单!$E$3,$B289&lt;=客户对账单!$H$3),COUNTIFS($D$5:$D289,客户对账单!$B$3,$B$5:$B289,"&gt;="&amp;客户对账单!$E$3,$B$5:$B289,"&lt;="&amp;客户对账单!$H$3),"")</f>
        <v/>
      </c>
    </row>
    <row r="290" customFormat="false" ht="15.75" hidden="false" customHeight="true" outlineLevel="0" collapsed="false">
      <c r="A290" s="42" t="str">
        <f aca="false">IF($B290="","","XS"&amp;TEXT($B290,"yyyymm")&amp;"-"&amp;TEXT(ROW()-4,"000"))</f>
        <v/>
      </c>
      <c r="B290" s="41"/>
      <c r="C290" s="42" t="str">
        <f aca="false">IF($B290="","",TEXT($B290,"yyyy-mm"))</f>
        <v/>
      </c>
      <c r="D290" s="32"/>
      <c r="E290" s="36"/>
      <c r="F290" s="43"/>
      <c r="G290" s="40"/>
      <c r="H290" s="51"/>
      <c r="I290" s="33"/>
      <c r="J290" s="33"/>
      <c r="K290" s="36"/>
      <c r="L290" s="47" t="str">
        <f aca="false">IF($B290="","",IF(NOT(ISNUMBER($B290)),"日期不是日期格式",IF(YEAR($B290)&lt;&gt;首页!$B$3,"不在会计年度",IF($D290="","未选客户",IF(ISNA(MATCH($D290,基础资料!$Z$6:$Z$155,0)),"客户不在档案",IF($E290="","未选商品",IF(ISNA(MATCH($E290,基础资料!$Q$6:$Q$205,0)),"商品不在档案",IF(NOT(ISNUMBER($F290)),"数量须为数字",IF(NOT(ISNUMBER($G290)),"单价须为数字",IF(N($F290)&lt;=0,"数量须大于0",IF(AND(IFERROR(INDEX(基础资料!$V$6:$V$205,MATCH($E290,基础资料!$Q$6:$Q$205,0)),"")="是",N($R290)=0),"无成本价·请先录采购或填参考成本",IF(N($T290)&lt;0,"毛利为负·请核对","√"))))))))))))</f>
        <v/>
      </c>
      <c r="M290" s="49" t="str">
        <f aca="false">IF($E290="","",IFERROR(INDEX(基础资料!$R$6:$R$205,MATCH($E290,基础资料!$Q$6:$Q$205,0)),""))</f>
        <v/>
      </c>
      <c r="N290" s="49" t="str">
        <f aca="false">IF($E290="","",IFERROR(INDEX(基础资料!$S$6:$S$205,MATCH($E290,基础资料!$Q$6:$Q$205,0)),""))</f>
        <v/>
      </c>
      <c r="O290" s="48" t="str">
        <f aca="false">IF(OR($F290="",$G290=""),"",ROUND(N($F290)*N($G290),2))</f>
        <v/>
      </c>
      <c r="P290" s="48" t="str">
        <f aca="false">IF($O290="","",ROUND(N($O290)*N($H290),2))</f>
        <v/>
      </c>
      <c r="Q290" s="48" t="str">
        <f aca="false">IF($O290="","",N($O290)+N($P290))</f>
        <v/>
      </c>
      <c r="R290" s="48" t="str">
        <f aca="false">IF(OR($E290="",$B290=""),"",IF(IFERROR(INDEX(基础资料!$V$6:$V$205,MATCH($E290,基础资料!$Q$6:$Q$205,0)),"")&lt;&gt;"是",0,IFERROR((SUMIFS(期初数据!$T$6:$T$205,期初数据!$O$6:$O$205,$E290)+SUMIFS(采购录入!$Q$5:$Q$404,采购录入!$E$5:$E$404,$E290,采购录入!$I$5:$I$404,"是",采购录入!$B$5:$B$404,"&lt;="&amp;$B290))/(SUMIFS(期初数据!$R$6:$R$205,期初数据!$O$6:$O$205,$E290)+SUMIFS(采购录入!$F$5:$F$404,采购录入!$E$5:$E$404,$E290,采购录入!$I$5:$I$404,"是",采购录入!$B$5:$B$404,"&lt;="&amp;$B290)),IFERROR(INDEX(基础资料!$U$6:$U$205,MATCH($E290,基础资料!$Q$6:$Q$205,0)),0))))</f>
        <v/>
      </c>
      <c r="S290" s="48" t="str">
        <f aca="false">IF($O290="","",ROUND(N($F290)*N($R290),2))</f>
        <v/>
      </c>
      <c r="T290" s="48" t="str">
        <f aca="false">IF($O290="","",N($O290)-N($S290))</f>
        <v/>
      </c>
      <c r="U290" s="52" t="str">
        <f aca="false">IF(OR($B290="",$D290=""),"",$B290+N(IFERROR(INDEX(基础资料!$AB$6:$AB$155,MATCH($D290,基础资料!$Z$6:$Z$155,0)),0)))</f>
        <v/>
      </c>
      <c r="V290" s="49" t="str">
        <f aca="false">IF($O290="","","1122")</f>
        <v/>
      </c>
      <c r="W290" s="49" t="str">
        <f aca="false">IF($O290="","","6001")</f>
        <v/>
      </c>
      <c r="X290" s="48" t="str">
        <f aca="false">IF($O290="","",$O290)</f>
        <v/>
      </c>
      <c r="Y290" s="49" t="str">
        <f aca="false">IF(N($P290)=0,"","1122")</f>
        <v/>
      </c>
      <c r="Z290" s="49" t="str">
        <f aca="false">IF(N($P290)=0,"","2221")</f>
        <v/>
      </c>
      <c r="AA290" s="48" t="str">
        <f aca="false">IF(N($P290)=0,"",$P290)</f>
        <v/>
      </c>
      <c r="AB290" s="49" t="str">
        <f aca="false">IF(N($S290)=0,"","6401")</f>
        <v/>
      </c>
      <c r="AC290" s="49" t="str">
        <f aca="false">IF(N($S290)=0,"","1405")</f>
        <v/>
      </c>
      <c r="AD290" s="48" t="str">
        <f aca="false">IF(N($S290)=0,"",$S290)</f>
        <v/>
      </c>
      <c r="AE290" s="49" t="str">
        <f aca="false">IF(AND($D290=客户对账单!$B$3,$B290&gt;=客户对账单!$E$3,$B290&lt;=客户对账单!$H$3),COUNTIFS($D$5:$D290,客户对账单!$B$3,$B$5:$B290,"&gt;="&amp;客户对账单!$E$3,$B$5:$B290,"&lt;="&amp;客户对账单!$H$3),"")</f>
        <v/>
      </c>
    </row>
    <row r="291" customFormat="false" ht="15.75" hidden="false" customHeight="true" outlineLevel="0" collapsed="false">
      <c r="A291" s="42" t="str">
        <f aca="false">IF($B291="","","XS"&amp;TEXT($B291,"yyyymm")&amp;"-"&amp;TEXT(ROW()-4,"000"))</f>
        <v/>
      </c>
      <c r="B291" s="41"/>
      <c r="C291" s="42" t="str">
        <f aca="false">IF($B291="","",TEXT($B291,"yyyy-mm"))</f>
        <v/>
      </c>
      <c r="D291" s="32"/>
      <c r="E291" s="36"/>
      <c r="F291" s="43"/>
      <c r="G291" s="40"/>
      <c r="H291" s="51"/>
      <c r="I291" s="33"/>
      <c r="J291" s="33"/>
      <c r="K291" s="36"/>
      <c r="L291" s="47" t="str">
        <f aca="false">IF($B291="","",IF(NOT(ISNUMBER($B291)),"日期不是日期格式",IF(YEAR($B291)&lt;&gt;首页!$B$3,"不在会计年度",IF($D291="","未选客户",IF(ISNA(MATCH($D291,基础资料!$Z$6:$Z$155,0)),"客户不在档案",IF($E291="","未选商品",IF(ISNA(MATCH($E291,基础资料!$Q$6:$Q$205,0)),"商品不在档案",IF(NOT(ISNUMBER($F291)),"数量须为数字",IF(NOT(ISNUMBER($G291)),"单价须为数字",IF(N($F291)&lt;=0,"数量须大于0",IF(AND(IFERROR(INDEX(基础资料!$V$6:$V$205,MATCH($E291,基础资料!$Q$6:$Q$205,0)),"")="是",N($R291)=0),"无成本价·请先录采购或填参考成本",IF(N($T291)&lt;0,"毛利为负·请核对","√"))))))))))))</f>
        <v/>
      </c>
      <c r="M291" s="49" t="str">
        <f aca="false">IF($E291="","",IFERROR(INDEX(基础资料!$R$6:$R$205,MATCH($E291,基础资料!$Q$6:$Q$205,0)),""))</f>
        <v/>
      </c>
      <c r="N291" s="49" t="str">
        <f aca="false">IF($E291="","",IFERROR(INDEX(基础资料!$S$6:$S$205,MATCH($E291,基础资料!$Q$6:$Q$205,0)),""))</f>
        <v/>
      </c>
      <c r="O291" s="48" t="str">
        <f aca="false">IF(OR($F291="",$G291=""),"",ROUND(N($F291)*N($G291),2))</f>
        <v/>
      </c>
      <c r="P291" s="48" t="str">
        <f aca="false">IF($O291="","",ROUND(N($O291)*N($H291),2))</f>
        <v/>
      </c>
      <c r="Q291" s="48" t="str">
        <f aca="false">IF($O291="","",N($O291)+N($P291))</f>
        <v/>
      </c>
      <c r="R291" s="48" t="str">
        <f aca="false">IF(OR($E291="",$B291=""),"",IF(IFERROR(INDEX(基础资料!$V$6:$V$205,MATCH($E291,基础资料!$Q$6:$Q$205,0)),"")&lt;&gt;"是",0,IFERROR((SUMIFS(期初数据!$T$6:$T$205,期初数据!$O$6:$O$205,$E291)+SUMIFS(采购录入!$Q$5:$Q$404,采购录入!$E$5:$E$404,$E291,采购录入!$I$5:$I$404,"是",采购录入!$B$5:$B$404,"&lt;="&amp;$B291))/(SUMIFS(期初数据!$R$6:$R$205,期初数据!$O$6:$O$205,$E291)+SUMIFS(采购录入!$F$5:$F$404,采购录入!$E$5:$E$404,$E291,采购录入!$I$5:$I$404,"是",采购录入!$B$5:$B$404,"&lt;="&amp;$B291)),IFERROR(INDEX(基础资料!$U$6:$U$205,MATCH($E291,基础资料!$Q$6:$Q$205,0)),0))))</f>
        <v/>
      </c>
      <c r="S291" s="48" t="str">
        <f aca="false">IF($O291="","",ROUND(N($F291)*N($R291),2))</f>
        <v/>
      </c>
      <c r="T291" s="48" t="str">
        <f aca="false">IF($O291="","",N($O291)-N($S291))</f>
        <v/>
      </c>
      <c r="U291" s="52" t="str">
        <f aca="false">IF(OR($B291="",$D291=""),"",$B291+N(IFERROR(INDEX(基础资料!$AB$6:$AB$155,MATCH($D291,基础资料!$Z$6:$Z$155,0)),0)))</f>
        <v/>
      </c>
      <c r="V291" s="49" t="str">
        <f aca="false">IF($O291="","","1122")</f>
        <v/>
      </c>
      <c r="W291" s="49" t="str">
        <f aca="false">IF($O291="","","6001")</f>
        <v/>
      </c>
      <c r="X291" s="48" t="str">
        <f aca="false">IF($O291="","",$O291)</f>
        <v/>
      </c>
      <c r="Y291" s="49" t="str">
        <f aca="false">IF(N($P291)=0,"","1122")</f>
        <v/>
      </c>
      <c r="Z291" s="49" t="str">
        <f aca="false">IF(N($P291)=0,"","2221")</f>
        <v/>
      </c>
      <c r="AA291" s="48" t="str">
        <f aca="false">IF(N($P291)=0,"",$P291)</f>
        <v/>
      </c>
      <c r="AB291" s="49" t="str">
        <f aca="false">IF(N($S291)=0,"","6401")</f>
        <v/>
      </c>
      <c r="AC291" s="49" t="str">
        <f aca="false">IF(N($S291)=0,"","1405")</f>
        <v/>
      </c>
      <c r="AD291" s="48" t="str">
        <f aca="false">IF(N($S291)=0,"",$S291)</f>
        <v/>
      </c>
      <c r="AE291" s="49" t="str">
        <f aca="false">IF(AND($D291=客户对账单!$B$3,$B291&gt;=客户对账单!$E$3,$B291&lt;=客户对账单!$H$3),COUNTIFS($D$5:$D291,客户对账单!$B$3,$B$5:$B291,"&gt;="&amp;客户对账单!$E$3,$B$5:$B291,"&lt;="&amp;客户对账单!$H$3),"")</f>
        <v/>
      </c>
    </row>
    <row r="292" customFormat="false" ht="15.75" hidden="false" customHeight="true" outlineLevel="0" collapsed="false">
      <c r="A292" s="42" t="str">
        <f aca="false">IF($B292="","","XS"&amp;TEXT($B292,"yyyymm")&amp;"-"&amp;TEXT(ROW()-4,"000"))</f>
        <v/>
      </c>
      <c r="B292" s="41"/>
      <c r="C292" s="42" t="str">
        <f aca="false">IF($B292="","",TEXT($B292,"yyyy-mm"))</f>
        <v/>
      </c>
      <c r="D292" s="32"/>
      <c r="E292" s="36"/>
      <c r="F292" s="43"/>
      <c r="G292" s="40"/>
      <c r="H292" s="51"/>
      <c r="I292" s="33"/>
      <c r="J292" s="33"/>
      <c r="K292" s="36"/>
      <c r="L292" s="47" t="str">
        <f aca="false">IF($B292="","",IF(NOT(ISNUMBER($B292)),"日期不是日期格式",IF(YEAR($B292)&lt;&gt;首页!$B$3,"不在会计年度",IF($D292="","未选客户",IF(ISNA(MATCH($D292,基础资料!$Z$6:$Z$155,0)),"客户不在档案",IF($E292="","未选商品",IF(ISNA(MATCH($E292,基础资料!$Q$6:$Q$205,0)),"商品不在档案",IF(NOT(ISNUMBER($F292)),"数量须为数字",IF(NOT(ISNUMBER($G292)),"单价须为数字",IF(N($F292)&lt;=0,"数量须大于0",IF(AND(IFERROR(INDEX(基础资料!$V$6:$V$205,MATCH($E292,基础资料!$Q$6:$Q$205,0)),"")="是",N($R292)=0),"无成本价·请先录采购或填参考成本",IF(N($T292)&lt;0,"毛利为负·请核对","√"))))))))))))</f>
        <v/>
      </c>
      <c r="M292" s="49" t="str">
        <f aca="false">IF($E292="","",IFERROR(INDEX(基础资料!$R$6:$R$205,MATCH($E292,基础资料!$Q$6:$Q$205,0)),""))</f>
        <v/>
      </c>
      <c r="N292" s="49" t="str">
        <f aca="false">IF($E292="","",IFERROR(INDEX(基础资料!$S$6:$S$205,MATCH($E292,基础资料!$Q$6:$Q$205,0)),""))</f>
        <v/>
      </c>
      <c r="O292" s="48" t="str">
        <f aca="false">IF(OR($F292="",$G292=""),"",ROUND(N($F292)*N($G292),2))</f>
        <v/>
      </c>
      <c r="P292" s="48" t="str">
        <f aca="false">IF($O292="","",ROUND(N($O292)*N($H292),2))</f>
        <v/>
      </c>
      <c r="Q292" s="48" t="str">
        <f aca="false">IF($O292="","",N($O292)+N($P292))</f>
        <v/>
      </c>
      <c r="R292" s="48" t="str">
        <f aca="false">IF(OR($E292="",$B292=""),"",IF(IFERROR(INDEX(基础资料!$V$6:$V$205,MATCH($E292,基础资料!$Q$6:$Q$205,0)),"")&lt;&gt;"是",0,IFERROR((SUMIFS(期初数据!$T$6:$T$205,期初数据!$O$6:$O$205,$E292)+SUMIFS(采购录入!$Q$5:$Q$404,采购录入!$E$5:$E$404,$E292,采购录入!$I$5:$I$404,"是",采购录入!$B$5:$B$404,"&lt;="&amp;$B292))/(SUMIFS(期初数据!$R$6:$R$205,期初数据!$O$6:$O$205,$E292)+SUMIFS(采购录入!$F$5:$F$404,采购录入!$E$5:$E$404,$E292,采购录入!$I$5:$I$404,"是",采购录入!$B$5:$B$404,"&lt;="&amp;$B292)),IFERROR(INDEX(基础资料!$U$6:$U$205,MATCH($E292,基础资料!$Q$6:$Q$205,0)),0))))</f>
        <v/>
      </c>
      <c r="S292" s="48" t="str">
        <f aca="false">IF($O292="","",ROUND(N($F292)*N($R292),2))</f>
        <v/>
      </c>
      <c r="T292" s="48" t="str">
        <f aca="false">IF($O292="","",N($O292)-N($S292))</f>
        <v/>
      </c>
      <c r="U292" s="52" t="str">
        <f aca="false">IF(OR($B292="",$D292=""),"",$B292+N(IFERROR(INDEX(基础资料!$AB$6:$AB$155,MATCH($D292,基础资料!$Z$6:$Z$155,0)),0)))</f>
        <v/>
      </c>
      <c r="V292" s="49" t="str">
        <f aca="false">IF($O292="","","1122")</f>
        <v/>
      </c>
      <c r="W292" s="49" t="str">
        <f aca="false">IF($O292="","","6001")</f>
        <v/>
      </c>
      <c r="X292" s="48" t="str">
        <f aca="false">IF($O292="","",$O292)</f>
        <v/>
      </c>
      <c r="Y292" s="49" t="str">
        <f aca="false">IF(N($P292)=0,"","1122")</f>
        <v/>
      </c>
      <c r="Z292" s="49" t="str">
        <f aca="false">IF(N($P292)=0,"","2221")</f>
        <v/>
      </c>
      <c r="AA292" s="48" t="str">
        <f aca="false">IF(N($P292)=0,"",$P292)</f>
        <v/>
      </c>
      <c r="AB292" s="49" t="str">
        <f aca="false">IF(N($S292)=0,"","6401")</f>
        <v/>
      </c>
      <c r="AC292" s="49" t="str">
        <f aca="false">IF(N($S292)=0,"","1405")</f>
        <v/>
      </c>
      <c r="AD292" s="48" t="str">
        <f aca="false">IF(N($S292)=0,"",$S292)</f>
        <v/>
      </c>
      <c r="AE292" s="49" t="str">
        <f aca="false">IF(AND($D292=客户对账单!$B$3,$B292&gt;=客户对账单!$E$3,$B292&lt;=客户对账单!$H$3),COUNTIFS($D$5:$D292,客户对账单!$B$3,$B$5:$B292,"&gt;="&amp;客户对账单!$E$3,$B$5:$B292,"&lt;="&amp;客户对账单!$H$3),"")</f>
        <v/>
      </c>
    </row>
    <row r="293" customFormat="false" ht="15.75" hidden="false" customHeight="true" outlineLevel="0" collapsed="false">
      <c r="A293" s="42" t="str">
        <f aca="false">IF($B293="","","XS"&amp;TEXT($B293,"yyyymm")&amp;"-"&amp;TEXT(ROW()-4,"000"))</f>
        <v/>
      </c>
      <c r="B293" s="41"/>
      <c r="C293" s="42" t="str">
        <f aca="false">IF($B293="","",TEXT($B293,"yyyy-mm"))</f>
        <v/>
      </c>
      <c r="D293" s="32"/>
      <c r="E293" s="36"/>
      <c r="F293" s="43"/>
      <c r="G293" s="40"/>
      <c r="H293" s="51"/>
      <c r="I293" s="33"/>
      <c r="J293" s="33"/>
      <c r="K293" s="36"/>
      <c r="L293" s="47" t="str">
        <f aca="false">IF($B293="","",IF(NOT(ISNUMBER($B293)),"日期不是日期格式",IF(YEAR($B293)&lt;&gt;首页!$B$3,"不在会计年度",IF($D293="","未选客户",IF(ISNA(MATCH($D293,基础资料!$Z$6:$Z$155,0)),"客户不在档案",IF($E293="","未选商品",IF(ISNA(MATCH($E293,基础资料!$Q$6:$Q$205,0)),"商品不在档案",IF(NOT(ISNUMBER($F293)),"数量须为数字",IF(NOT(ISNUMBER($G293)),"单价须为数字",IF(N($F293)&lt;=0,"数量须大于0",IF(AND(IFERROR(INDEX(基础资料!$V$6:$V$205,MATCH($E293,基础资料!$Q$6:$Q$205,0)),"")="是",N($R293)=0),"无成本价·请先录采购或填参考成本",IF(N($T293)&lt;0,"毛利为负·请核对","√"))))))))))))</f>
        <v/>
      </c>
      <c r="M293" s="49" t="str">
        <f aca="false">IF($E293="","",IFERROR(INDEX(基础资料!$R$6:$R$205,MATCH($E293,基础资料!$Q$6:$Q$205,0)),""))</f>
        <v/>
      </c>
      <c r="N293" s="49" t="str">
        <f aca="false">IF($E293="","",IFERROR(INDEX(基础资料!$S$6:$S$205,MATCH($E293,基础资料!$Q$6:$Q$205,0)),""))</f>
        <v/>
      </c>
      <c r="O293" s="48" t="str">
        <f aca="false">IF(OR($F293="",$G293=""),"",ROUND(N($F293)*N($G293),2))</f>
        <v/>
      </c>
      <c r="P293" s="48" t="str">
        <f aca="false">IF($O293="","",ROUND(N($O293)*N($H293),2))</f>
        <v/>
      </c>
      <c r="Q293" s="48" t="str">
        <f aca="false">IF($O293="","",N($O293)+N($P293))</f>
        <v/>
      </c>
      <c r="R293" s="48" t="str">
        <f aca="false">IF(OR($E293="",$B293=""),"",IF(IFERROR(INDEX(基础资料!$V$6:$V$205,MATCH($E293,基础资料!$Q$6:$Q$205,0)),"")&lt;&gt;"是",0,IFERROR((SUMIFS(期初数据!$T$6:$T$205,期初数据!$O$6:$O$205,$E293)+SUMIFS(采购录入!$Q$5:$Q$404,采购录入!$E$5:$E$404,$E293,采购录入!$I$5:$I$404,"是",采购录入!$B$5:$B$404,"&lt;="&amp;$B293))/(SUMIFS(期初数据!$R$6:$R$205,期初数据!$O$6:$O$205,$E293)+SUMIFS(采购录入!$F$5:$F$404,采购录入!$E$5:$E$404,$E293,采购录入!$I$5:$I$404,"是",采购录入!$B$5:$B$404,"&lt;="&amp;$B293)),IFERROR(INDEX(基础资料!$U$6:$U$205,MATCH($E293,基础资料!$Q$6:$Q$205,0)),0))))</f>
        <v/>
      </c>
      <c r="S293" s="48" t="str">
        <f aca="false">IF($O293="","",ROUND(N($F293)*N($R293),2))</f>
        <v/>
      </c>
      <c r="T293" s="48" t="str">
        <f aca="false">IF($O293="","",N($O293)-N($S293))</f>
        <v/>
      </c>
      <c r="U293" s="52" t="str">
        <f aca="false">IF(OR($B293="",$D293=""),"",$B293+N(IFERROR(INDEX(基础资料!$AB$6:$AB$155,MATCH($D293,基础资料!$Z$6:$Z$155,0)),0)))</f>
        <v/>
      </c>
      <c r="V293" s="49" t="str">
        <f aca="false">IF($O293="","","1122")</f>
        <v/>
      </c>
      <c r="W293" s="49" t="str">
        <f aca="false">IF($O293="","","6001")</f>
        <v/>
      </c>
      <c r="X293" s="48" t="str">
        <f aca="false">IF($O293="","",$O293)</f>
        <v/>
      </c>
      <c r="Y293" s="49" t="str">
        <f aca="false">IF(N($P293)=0,"","1122")</f>
        <v/>
      </c>
      <c r="Z293" s="49" t="str">
        <f aca="false">IF(N($P293)=0,"","2221")</f>
        <v/>
      </c>
      <c r="AA293" s="48" t="str">
        <f aca="false">IF(N($P293)=0,"",$P293)</f>
        <v/>
      </c>
      <c r="AB293" s="49" t="str">
        <f aca="false">IF(N($S293)=0,"","6401")</f>
        <v/>
      </c>
      <c r="AC293" s="49" t="str">
        <f aca="false">IF(N($S293)=0,"","1405")</f>
        <v/>
      </c>
      <c r="AD293" s="48" t="str">
        <f aca="false">IF(N($S293)=0,"",$S293)</f>
        <v/>
      </c>
      <c r="AE293" s="49" t="str">
        <f aca="false">IF(AND($D293=客户对账单!$B$3,$B293&gt;=客户对账单!$E$3,$B293&lt;=客户对账单!$H$3),COUNTIFS($D$5:$D293,客户对账单!$B$3,$B$5:$B293,"&gt;="&amp;客户对账单!$E$3,$B$5:$B293,"&lt;="&amp;客户对账单!$H$3),"")</f>
        <v/>
      </c>
    </row>
    <row r="294" customFormat="false" ht="15.75" hidden="false" customHeight="true" outlineLevel="0" collapsed="false">
      <c r="A294" s="42" t="str">
        <f aca="false">IF($B294="","","XS"&amp;TEXT($B294,"yyyymm")&amp;"-"&amp;TEXT(ROW()-4,"000"))</f>
        <v/>
      </c>
      <c r="B294" s="41"/>
      <c r="C294" s="42" t="str">
        <f aca="false">IF($B294="","",TEXT($B294,"yyyy-mm"))</f>
        <v/>
      </c>
      <c r="D294" s="32"/>
      <c r="E294" s="36"/>
      <c r="F294" s="43"/>
      <c r="G294" s="40"/>
      <c r="H294" s="51"/>
      <c r="I294" s="33"/>
      <c r="J294" s="33"/>
      <c r="K294" s="36"/>
      <c r="L294" s="47" t="str">
        <f aca="false">IF($B294="","",IF(NOT(ISNUMBER($B294)),"日期不是日期格式",IF(YEAR($B294)&lt;&gt;首页!$B$3,"不在会计年度",IF($D294="","未选客户",IF(ISNA(MATCH($D294,基础资料!$Z$6:$Z$155,0)),"客户不在档案",IF($E294="","未选商品",IF(ISNA(MATCH($E294,基础资料!$Q$6:$Q$205,0)),"商品不在档案",IF(NOT(ISNUMBER($F294)),"数量须为数字",IF(NOT(ISNUMBER($G294)),"单价须为数字",IF(N($F294)&lt;=0,"数量须大于0",IF(AND(IFERROR(INDEX(基础资料!$V$6:$V$205,MATCH($E294,基础资料!$Q$6:$Q$205,0)),"")="是",N($R294)=0),"无成本价·请先录采购或填参考成本",IF(N($T294)&lt;0,"毛利为负·请核对","√"))))))))))))</f>
        <v/>
      </c>
      <c r="M294" s="49" t="str">
        <f aca="false">IF($E294="","",IFERROR(INDEX(基础资料!$R$6:$R$205,MATCH($E294,基础资料!$Q$6:$Q$205,0)),""))</f>
        <v/>
      </c>
      <c r="N294" s="49" t="str">
        <f aca="false">IF($E294="","",IFERROR(INDEX(基础资料!$S$6:$S$205,MATCH($E294,基础资料!$Q$6:$Q$205,0)),""))</f>
        <v/>
      </c>
      <c r="O294" s="48" t="str">
        <f aca="false">IF(OR($F294="",$G294=""),"",ROUND(N($F294)*N($G294),2))</f>
        <v/>
      </c>
      <c r="P294" s="48" t="str">
        <f aca="false">IF($O294="","",ROUND(N($O294)*N($H294),2))</f>
        <v/>
      </c>
      <c r="Q294" s="48" t="str">
        <f aca="false">IF($O294="","",N($O294)+N($P294))</f>
        <v/>
      </c>
      <c r="R294" s="48" t="str">
        <f aca="false">IF(OR($E294="",$B294=""),"",IF(IFERROR(INDEX(基础资料!$V$6:$V$205,MATCH($E294,基础资料!$Q$6:$Q$205,0)),"")&lt;&gt;"是",0,IFERROR((SUMIFS(期初数据!$T$6:$T$205,期初数据!$O$6:$O$205,$E294)+SUMIFS(采购录入!$Q$5:$Q$404,采购录入!$E$5:$E$404,$E294,采购录入!$I$5:$I$404,"是",采购录入!$B$5:$B$404,"&lt;="&amp;$B294))/(SUMIFS(期初数据!$R$6:$R$205,期初数据!$O$6:$O$205,$E294)+SUMIFS(采购录入!$F$5:$F$404,采购录入!$E$5:$E$404,$E294,采购录入!$I$5:$I$404,"是",采购录入!$B$5:$B$404,"&lt;="&amp;$B294)),IFERROR(INDEX(基础资料!$U$6:$U$205,MATCH($E294,基础资料!$Q$6:$Q$205,0)),0))))</f>
        <v/>
      </c>
      <c r="S294" s="48" t="str">
        <f aca="false">IF($O294="","",ROUND(N($F294)*N($R294),2))</f>
        <v/>
      </c>
      <c r="T294" s="48" t="str">
        <f aca="false">IF($O294="","",N($O294)-N($S294))</f>
        <v/>
      </c>
      <c r="U294" s="52" t="str">
        <f aca="false">IF(OR($B294="",$D294=""),"",$B294+N(IFERROR(INDEX(基础资料!$AB$6:$AB$155,MATCH($D294,基础资料!$Z$6:$Z$155,0)),0)))</f>
        <v/>
      </c>
      <c r="V294" s="49" t="str">
        <f aca="false">IF($O294="","","1122")</f>
        <v/>
      </c>
      <c r="W294" s="49" t="str">
        <f aca="false">IF($O294="","","6001")</f>
        <v/>
      </c>
      <c r="X294" s="48" t="str">
        <f aca="false">IF($O294="","",$O294)</f>
        <v/>
      </c>
      <c r="Y294" s="49" t="str">
        <f aca="false">IF(N($P294)=0,"","1122")</f>
        <v/>
      </c>
      <c r="Z294" s="49" t="str">
        <f aca="false">IF(N($P294)=0,"","2221")</f>
        <v/>
      </c>
      <c r="AA294" s="48" t="str">
        <f aca="false">IF(N($P294)=0,"",$P294)</f>
        <v/>
      </c>
      <c r="AB294" s="49" t="str">
        <f aca="false">IF(N($S294)=0,"","6401")</f>
        <v/>
      </c>
      <c r="AC294" s="49" t="str">
        <f aca="false">IF(N($S294)=0,"","1405")</f>
        <v/>
      </c>
      <c r="AD294" s="48" t="str">
        <f aca="false">IF(N($S294)=0,"",$S294)</f>
        <v/>
      </c>
      <c r="AE294" s="49" t="str">
        <f aca="false">IF(AND($D294=客户对账单!$B$3,$B294&gt;=客户对账单!$E$3,$B294&lt;=客户对账单!$H$3),COUNTIFS($D$5:$D294,客户对账单!$B$3,$B$5:$B294,"&gt;="&amp;客户对账单!$E$3,$B$5:$B294,"&lt;="&amp;客户对账单!$H$3),"")</f>
        <v/>
      </c>
    </row>
    <row r="295" customFormat="false" ht="15.75" hidden="false" customHeight="true" outlineLevel="0" collapsed="false">
      <c r="A295" s="42" t="str">
        <f aca="false">IF($B295="","","XS"&amp;TEXT($B295,"yyyymm")&amp;"-"&amp;TEXT(ROW()-4,"000"))</f>
        <v/>
      </c>
      <c r="B295" s="41"/>
      <c r="C295" s="42" t="str">
        <f aca="false">IF($B295="","",TEXT($B295,"yyyy-mm"))</f>
        <v/>
      </c>
      <c r="D295" s="32"/>
      <c r="E295" s="36"/>
      <c r="F295" s="43"/>
      <c r="G295" s="40"/>
      <c r="H295" s="51"/>
      <c r="I295" s="33"/>
      <c r="J295" s="33"/>
      <c r="K295" s="36"/>
      <c r="L295" s="47" t="str">
        <f aca="false">IF($B295="","",IF(NOT(ISNUMBER($B295)),"日期不是日期格式",IF(YEAR($B295)&lt;&gt;首页!$B$3,"不在会计年度",IF($D295="","未选客户",IF(ISNA(MATCH($D295,基础资料!$Z$6:$Z$155,0)),"客户不在档案",IF($E295="","未选商品",IF(ISNA(MATCH($E295,基础资料!$Q$6:$Q$205,0)),"商品不在档案",IF(NOT(ISNUMBER($F295)),"数量须为数字",IF(NOT(ISNUMBER($G295)),"单价须为数字",IF(N($F295)&lt;=0,"数量须大于0",IF(AND(IFERROR(INDEX(基础资料!$V$6:$V$205,MATCH($E295,基础资料!$Q$6:$Q$205,0)),"")="是",N($R295)=0),"无成本价·请先录采购或填参考成本",IF(N($T295)&lt;0,"毛利为负·请核对","√"))))))))))))</f>
        <v/>
      </c>
      <c r="M295" s="49" t="str">
        <f aca="false">IF($E295="","",IFERROR(INDEX(基础资料!$R$6:$R$205,MATCH($E295,基础资料!$Q$6:$Q$205,0)),""))</f>
        <v/>
      </c>
      <c r="N295" s="49" t="str">
        <f aca="false">IF($E295="","",IFERROR(INDEX(基础资料!$S$6:$S$205,MATCH($E295,基础资料!$Q$6:$Q$205,0)),""))</f>
        <v/>
      </c>
      <c r="O295" s="48" t="str">
        <f aca="false">IF(OR($F295="",$G295=""),"",ROUND(N($F295)*N($G295),2))</f>
        <v/>
      </c>
      <c r="P295" s="48" t="str">
        <f aca="false">IF($O295="","",ROUND(N($O295)*N($H295),2))</f>
        <v/>
      </c>
      <c r="Q295" s="48" t="str">
        <f aca="false">IF($O295="","",N($O295)+N($P295))</f>
        <v/>
      </c>
      <c r="R295" s="48" t="str">
        <f aca="false">IF(OR($E295="",$B295=""),"",IF(IFERROR(INDEX(基础资料!$V$6:$V$205,MATCH($E295,基础资料!$Q$6:$Q$205,0)),"")&lt;&gt;"是",0,IFERROR((SUMIFS(期初数据!$T$6:$T$205,期初数据!$O$6:$O$205,$E295)+SUMIFS(采购录入!$Q$5:$Q$404,采购录入!$E$5:$E$404,$E295,采购录入!$I$5:$I$404,"是",采购录入!$B$5:$B$404,"&lt;="&amp;$B295))/(SUMIFS(期初数据!$R$6:$R$205,期初数据!$O$6:$O$205,$E295)+SUMIFS(采购录入!$F$5:$F$404,采购录入!$E$5:$E$404,$E295,采购录入!$I$5:$I$404,"是",采购录入!$B$5:$B$404,"&lt;="&amp;$B295)),IFERROR(INDEX(基础资料!$U$6:$U$205,MATCH($E295,基础资料!$Q$6:$Q$205,0)),0))))</f>
        <v/>
      </c>
      <c r="S295" s="48" t="str">
        <f aca="false">IF($O295="","",ROUND(N($F295)*N($R295),2))</f>
        <v/>
      </c>
      <c r="T295" s="48" t="str">
        <f aca="false">IF($O295="","",N($O295)-N($S295))</f>
        <v/>
      </c>
      <c r="U295" s="52" t="str">
        <f aca="false">IF(OR($B295="",$D295=""),"",$B295+N(IFERROR(INDEX(基础资料!$AB$6:$AB$155,MATCH($D295,基础资料!$Z$6:$Z$155,0)),0)))</f>
        <v/>
      </c>
      <c r="V295" s="49" t="str">
        <f aca="false">IF($O295="","","1122")</f>
        <v/>
      </c>
      <c r="W295" s="49" t="str">
        <f aca="false">IF($O295="","","6001")</f>
        <v/>
      </c>
      <c r="X295" s="48" t="str">
        <f aca="false">IF($O295="","",$O295)</f>
        <v/>
      </c>
      <c r="Y295" s="49" t="str">
        <f aca="false">IF(N($P295)=0,"","1122")</f>
        <v/>
      </c>
      <c r="Z295" s="49" t="str">
        <f aca="false">IF(N($P295)=0,"","2221")</f>
        <v/>
      </c>
      <c r="AA295" s="48" t="str">
        <f aca="false">IF(N($P295)=0,"",$P295)</f>
        <v/>
      </c>
      <c r="AB295" s="49" t="str">
        <f aca="false">IF(N($S295)=0,"","6401")</f>
        <v/>
      </c>
      <c r="AC295" s="49" t="str">
        <f aca="false">IF(N($S295)=0,"","1405")</f>
        <v/>
      </c>
      <c r="AD295" s="48" t="str">
        <f aca="false">IF(N($S295)=0,"",$S295)</f>
        <v/>
      </c>
      <c r="AE295" s="49" t="str">
        <f aca="false">IF(AND($D295=客户对账单!$B$3,$B295&gt;=客户对账单!$E$3,$B295&lt;=客户对账单!$H$3),COUNTIFS($D$5:$D295,客户对账单!$B$3,$B$5:$B295,"&gt;="&amp;客户对账单!$E$3,$B$5:$B295,"&lt;="&amp;客户对账单!$H$3),"")</f>
        <v/>
      </c>
    </row>
    <row r="296" customFormat="false" ht="15.75" hidden="false" customHeight="true" outlineLevel="0" collapsed="false">
      <c r="A296" s="42" t="str">
        <f aca="false">IF($B296="","","XS"&amp;TEXT($B296,"yyyymm")&amp;"-"&amp;TEXT(ROW()-4,"000"))</f>
        <v/>
      </c>
      <c r="B296" s="41"/>
      <c r="C296" s="42" t="str">
        <f aca="false">IF($B296="","",TEXT($B296,"yyyy-mm"))</f>
        <v/>
      </c>
      <c r="D296" s="32"/>
      <c r="E296" s="36"/>
      <c r="F296" s="43"/>
      <c r="G296" s="40"/>
      <c r="H296" s="51"/>
      <c r="I296" s="33"/>
      <c r="J296" s="33"/>
      <c r="K296" s="36"/>
      <c r="L296" s="47" t="str">
        <f aca="false">IF($B296="","",IF(NOT(ISNUMBER($B296)),"日期不是日期格式",IF(YEAR($B296)&lt;&gt;首页!$B$3,"不在会计年度",IF($D296="","未选客户",IF(ISNA(MATCH($D296,基础资料!$Z$6:$Z$155,0)),"客户不在档案",IF($E296="","未选商品",IF(ISNA(MATCH($E296,基础资料!$Q$6:$Q$205,0)),"商品不在档案",IF(NOT(ISNUMBER($F296)),"数量须为数字",IF(NOT(ISNUMBER($G296)),"单价须为数字",IF(N($F296)&lt;=0,"数量须大于0",IF(AND(IFERROR(INDEX(基础资料!$V$6:$V$205,MATCH($E296,基础资料!$Q$6:$Q$205,0)),"")="是",N($R296)=0),"无成本价·请先录采购或填参考成本",IF(N($T296)&lt;0,"毛利为负·请核对","√"))))))))))))</f>
        <v/>
      </c>
      <c r="M296" s="49" t="str">
        <f aca="false">IF($E296="","",IFERROR(INDEX(基础资料!$R$6:$R$205,MATCH($E296,基础资料!$Q$6:$Q$205,0)),""))</f>
        <v/>
      </c>
      <c r="N296" s="49" t="str">
        <f aca="false">IF($E296="","",IFERROR(INDEX(基础资料!$S$6:$S$205,MATCH($E296,基础资料!$Q$6:$Q$205,0)),""))</f>
        <v/>
      </c>
      <c r="O296" s="48" t="str">
        <f aca="false">IF(OR($F296="",$G296=""),"",ROUND(N($F296)*N($G296),2))</f>
        <v/>
      </c>
      <c r="P296" s="48" t="str">
        <f aca="false">IF($O296="","",ROUND(N($O296)*N($H296),2))</f>
        <v/>
      </c>
      <c r="Q296" s="48" t="str">
        <f aca="false">IF($O296="","",N($O296)+N($P296))</f>
        <v/>
      </c>
      <c r="R296" s="48" t="str">
        <f aca="false">IF(OR($E296="",$B296=""),"",IF(IFERROR(INDEX(基础资料!$V$6:$V$205,MATCH($E296,基础资料!$Q$6:$Q$205,0)),"")&lt;&gt;"是",0,IFERROR((SUMIFS(期初数据!$T$6:$T$205,期初数据!$O$6:$O$205,$E296)+SUMIFS(采购录入!$Q$5:$Q$404,采购录入!$E$5:$E$404,$E296,采购录入!$I$5:$I$404,"是",采购录入!$B$5:$B$404,"&lt;="&amp;$B296))/(SUMIFS(期初数据!$R$6:$R$205,期初数据!$O$6:$O$205,$E296)+SUMIFS(采购录入!$F$5:$F$404,采购录入!$E$5:$E$404,$E296,采购录入!$I$5:$I$404,"是",采购录入!$B$5:$B$404,"&lt;="&amp;$B296)),IFERROR(INDEX(基础资料!$U$6:$U$205,MATCH($E296,基础资料!$Q$6:$Q$205,0)),0))))</f>
        <v/>
      </c>
      <c r="S296" s="48" t="str">
        <f aca="false">IF($O296="","",ROUND(N($F296)*N($R296),2))</f>
        <v/>
      </c>
      <c r="T296" s="48" t="str">
        <f aca="false">IF($O296="","",N($O296)-N($S296))</f>
        <v/>
      </c>
      <c r="U296" s="52" t="str">
        <f aca="false">IF(OR($B296="",$D296=""),"",$B296+N(IFERROR(INDEX(基础资料!$AB$6:$AB$155,MATCH($D296,基础资料!$Z$6:$Z$155,0)),0)))</f>
        <v/>
      </c>
      <c r="V296" s="49" t="str">
        <f aca="false">IF($O296="","","1122")</f>
        <v/>
      </c>
      <c r="W296" s="49" t="str">
        <f aca="false">IF($O296="","","6001")</f>
        <v/>
      </c>
      <c r="X296" s="48" t="str">
        <f aca="false">IF($O296="","",$O296)</f>
        <v/>
      </c>
      <c r="Y296" s="49" t="str">
        <f aca="false">IF(N($P296)=0,"","1122")</f>
        <v/>
      </c>
      <c r="Z296" s="49" t="str">
        <f aca="false">IF(N($P296)=0,"","2221")</f>
        <v/>
      </c>
      <c r="AA296" s="48" t="str">
        <f aca="false">IF(N($P296)=0,"",$P296)</f>
        <v/>
      </c>
      <c r="AB296" s="49" t="str">
        <f aca="false">IF(N($S296)=0,"","6401")</f>
        <v/>
      </c>
      <c r="AC296" s="49" t="str">
        <f aca="false">IF(N($S296)=0,"","1405")</f>
        <v/>
      </c>
      <c r="AD296" s="48" t="str">
        <f aca="false">IF(N($S296)=0,"",$S296)</f>
        <v/>
      </c>
      <c r="AE296" s="49" t="str">
        <f aca="false">IF(AND($D296=客户对账单!$B$3,$B296&gt;=客户对账单!$E$3,$B296&lt;=客户对账单!$H$3),COUNTIFS($D$5:$D296,客户对账单!$B$3,$B$5:$B296,"&gt;="&amp;客户对账单!$E$3,$B$5:$B296,"&lt;="&amp;客户对账单!$H$3),"")</f>
        <v/>
      </c>
    </row>
    <row r="297" customFormat="false" ht="15.75" hidden="false" customHeight="true" outlineLevel="0" collapsed="false">
      <c r="A297" s="42" t="str">
        <f aca="false">IF($B297="","","XS"&amp;TEXT($B297,"yyyymm")&amp;"-"&amp;TEXT(ROW()-4,"000"))</f>
        <v/>
      </c>
      <c r="B297" s="41"/>
      <c r="C297" s="42" t="str">
        <f aca="false">IF($B297="","",TEXT($B297,"yyyy-mm"))</f>
        <v/>
      </c>
      <c r="D297" s="32"/>
      <c r="E297" s="36"/>
      <c r="F297" s="43"/>
      <c r="G297" s="40"/>
      <c r="H297" s="51"/>
      <c r="I297" s="33"/>
      <c r="J297" s="33"/>
      <c r="K297" s="36"/>
      <c r="L297" s="47" t="str">
        <f aca="false">IF($B297="","",IF(NOT(ISNUMBER($B297)),"日期不是日期格式",IF(YEAR($B297)&lt;&gt;首页!$B$3,"不在会计年度",IF($D297="","未选客户",IF(ISNA(MATCH($D297,基础资料!$Z$6:$Z$155,0)),"客户不在档案",IF($E297="","未选商品",IF(ISNA(MATCH($E297,基础资料!$Q$6:$Q$205,0)),"商品不在档案",IF(NOT(ISNUMBER($F297)),"数量须为数字",IF(NOT(ISNUMBER($G297)),"单价须为数字",IF(N($F297)&lt;=0,"数量须大于0",IF(AND(IFERROR(INDEX(基础资料!$V$6:$V$205,MATCH($E297,基础资料!$Q$6:$Q$205,0)),"")="是",N($R297)=0),"无成本价·请先录采购或填参考成本",IF(N($T297)&lt;0,"毛利为负·请核对","√"))))))))))))</f>
        <v/>
      </c>
      <c r="M297" s="49" t="str">
        <f aca="false">IF($E297="","",IFERROR(INDEX(基础资料!$R$6:$R$205,MATCH($E297,基础资料!$Q$6:$Q$205,0)),""))</f>
        <v/>
      </c>
      <c r="N297" s="49" t="str">
        <f aca="false">IF($E297="","",IFERROR(INDEX(基础资料!$S$6:$S$205,MATCH($E297,基础资料!$Q$6:$Q$205,0)),""))</f>
        <v/>
      </c>
      <c r="O297" s="48" t="str">
        <f aca="false">IF(OR($F297="",$G297=""),"",ROUND(N($F297)*N($G297),2))</f>
        <v/>
      </c>
      <c r="P297" s="48" t="str">
        <f aca="false">IF($O297="","",ROUND(N($O297)*N($H297),2))</f>
        <v/>
      </c>
      <c r="Q297" s="48" t="str">
        <f aca="false">IF($O297="","",N($O297)+N($P297))</f>
        <v/>
      </c>
      <c r="R297" s="48" t="str">
        <f aca="false">IF(OR($E297="",$B297=""),"",IF(IFERROR(INDEX(基础资料!$V$6:$V$205,MATCH($E297,基础资料!$Q$6:$Q$205,0)),"")&lt;&gt;"是",0,IFERROR((SUMIFS(期初数据!$T$6:$T$205,期初数据!$O$6:$O$205,$E297)+SUMIFS(采购录入!$Q$5:$Q$404,采购录入!$E$5:$E$404,$E297,采购录入!$I$5:$I$404,"是",采购录入!$B$5:$B$404,"&lt;="&amp;$B297))/(SUMIFS(期初数据!$R$6:$R$205,期初数据!$O$6:$O$205,$E297)+SUMIFS(采购录入!$F$5:$F$404,采购录入!$E$5:$E$404,$E297,采购录入!$I$5:$I$404,"是",采购录入!$B$5:$B$404,"&lt;="&amp;$B297)),IFERROR(INDEX(基础资料!$U$6:$U$205,MATCH($E297,基础资料!$Q$6:$Q$205,0)),0))))</f>
        <v/>
      </c>
      <c r="S297" s="48" t="str">
        <f aca="false">IF($O297="","",ROUND(N($F297)*N($R297),2))</f>
        <v/>
      </c>
      <c r="T297" s="48" t="str">
        <f aca="false">IF($O297="","",N($O297)-N($S297))</f>
        <v/>
      </c>
      <c r="U297" s="52" t="str">
        <f aca="false">IF(OR($B297="",$D297=""),"",$B297+N(IFERROR(INDEX(基础资料!$AB$6:$AB$155,MATCH($D297,基础资料!$Z$6:$Z$155,0)),0)))</f>
        <v/>
      </c>
      <c r="V297" s="49" t="str">
        <f aca="false">IF($O297="","","1122")</f>
        <v/>
      </c>
      <c r="W297" s="49" t="str">
        <f aca="false">IF($O297="","","6001")</f>
        <v/>
      </c>
      <c r="X297" s="48" t="str">
        <f aca="false">IF($O297="","",$O297)</f>
        <v/>
      </c>
      <c r="Y297" s="49" t="str">
        <f aca="false">IF(N($P297)=0,"","1122")</f>
        <v/>
      </c>
      <c r="Z297" s="49" t="str">
        <f aca="false">IF(N($P297)=0,"","2221")</f>
        <v/>
      </c>
      <c r="AA297" s="48" t="str">
        <f aca="false">IF(N($P297)=0,"",$P297)</f>
        <v/>
      </c>
      <c r="AB297" s="49" t="str">
        <f aca="false">IF(N($S297)=0,"","6401")</f>
        <v/>
      </c>
      <c r="AC297" s="49" t="str">
        <f aca="false">IF(N($S297)=0,"","1405")</f>
        <v/>
      </c>
      <c r="AD297" s="48" t="str">
        <f aca="false">IF(N($S297)=0,"",$S297)</f>
        <v/>
      </c>
      <c r="AE297" s="49" t="str">
        <f aca="false">IF(AND($D297=客户对账单!$B$3,$B297&gt;=客户对账单!$E$3,$B297&lt;=客户对账单!$H$3),COUNTIFS($D$5:$D297,客户对账单!$B$3,$B$5:$B297,"&gt;="&amp;客户对账单!$E$3,$B$5:$B297,"&lt;="&amp;客户对账单!$H$3),"")</f>
        <v/>
      </c>
    </row>
    <row r="298" customFormat="false" ht="15.75" hidden="false" customHeight="true" outlineLevel="0" collapsed="false">
      <c r="A298" s="42" t="str">
        <f aca="false">IF($B298="","","XS"&amp;TEXT($B298,"yyyymm")&amp;"-"&amp;TEXT(ROW()-4,"000"))</f>
        <v/>
      </c>
      <c r="B298" s="41"/>
      <c r="C298" s="42" t="str">
        <f aca="false">IF($B298="","",TEXT($B298,"yyyy-mm"))</f>
        <v/>
      </c>
      <c r="D298" s="32"/>
      <c r="E298" s="36"/>
      <c r="F298" s="43"/>
      <c r="G298" s="40"/>
      <c r="H298" s="51"/>
      <c r="I298" s="33"/>
      <c r="J298" s="33"/>
      <c r="K298" s="36"/>
      <c r="L298" s="47" t="str">
        <f aca="false">IF($B298="","",IF(NOT(ISNUMBER($B298)),"日期不是日期格式",IF(YEAR($B298)&lt;&gt;首页!$B$3,"不在会计年度",IF($D298="","未选客户",IF(ISNA(MATCH($D298,基础资料!$Z$6:$Z$155,0)),"客户不在档案",IF($E298="","未选商品",IF(ISNA(MATCH($E298,基础资料!$Q$6:$Q$205,0)),"商品不在档案",IF(NOT(ISNUMBER($F298)),"数量须为数字",IF(NOT(ISNUMBER($G298)),"单价须为数字",IF(N($F298)&lt;=0,"数量须大于0",IF(AND(IFERROR(INDEX(基础资料!$V$6:$V$205,MATCH($E298,基础资料!$Q$6:$Q$205,0)),"")="是",N($R298)=0),"无成本价·请先录采购或填参考成本",IF(N($T298)&lt;0,"毛利为负·请核对","√"))))))))))))</f>
        <v/>
      </c>
      <c r="M298" s="49" t="str">
        <f aca="false">IF($E298="","",IFERROR(INDEX(基础资料!$R$6:$R$205,MATCH($E298,基础资料!$Q$6:$Q$205,0)),""))</f>
        <v/>
      </c>
      <c r="N298" s="49" t="str">
        <f aca="false">IF($E298="","",IFERROR(INDEX(基础资料!$S$6:$S$205,MATCH($E298,基础资料!$Q$6:$Q$205,0)),""))</f>
        <v/>
      </c>
      <c r="O298" s="48" t="str">
        <f aca="false">IF(OR($F298="",$G298=""),"",ROUND(N($F298)*N($G298),2))</f>
        <v/>
      </c>
      <c r="P298" s="48" t="str">
        <f aca="false">IF($O298="","",ROUND(N($O298)*N($H298),2))</f>
        <v/>
      </c>
      <c r="Q298" s="48" t="str">
        <f aca="false">IF($O298="","",N($O298)+N($P298))</f>
        <v/>
      </c>
      <c r="R298" s="48" t="str">
        <f aca="false">IF(OR($E298="",$B298=""),"",IF(IFERROR(INDEX(基础资料!$V$6:$V$205,MATCH($E298,基础资料!$Q$6:$Q$205,0)),"")&lt;&gt;"是",0,IFERROR((SUMIFS(期初数据!$T$6:$T$205,期初数据!$O$6:$O$205,$E298)+SUMIFS(采购录入!$Q$5:$Q$404,采购录入!$E$5:$E$404,$E298,采购录入!$I$5:$I$404,"是",采购录入!$B$5:$B$404,"&lt;="&amp;$B298))/(SUMIFS(期初数据!$R$6:$R$205,期初数据!$O$6:$O$205,$E298)+SUMIFS(采购录入!$F$5:$F$404,采购录入!$E$5:$E$404,$E298,采购录入!$I$5:$I$404,"是",采购录入!$B$5:$B$404,"&lt;="&amp;$B298)),IFERROR(INDEX(基础资料!$U$6:$U$205,MATCH($E298,基础资料!$Q$6:$Q$205,0)),0))))</f>
        <v/>
      </c>
      <c r="S298" s="48" t="str">
        <f aca="false">IF($O298="","",ROUND(N($F298)*N($R298),2))</f>
        <v/>
      </c>
      <c r="T298" s="48" t="str">
        <f aca="false">IF($O298="","",N($O298)-N($S298))</f>
        <v/>
      </c>
      <c r="U298" s="52" t="str">
        <f aca="false">IF(OR($B298="",$D298=""),"",$B298+N(IFERROR(INDEX(基础资料!$AB$6:$AB$155,MATCH($D298,基础资料!$Z$6:$Z$155,0)),0)))</f>
        <v/>
      </c>
      <c r="V298" s="49" t="str">
        <f aca="false">IF($O298="","","1122")</f>
        <v/>
      </c>
      <c r="W298" s="49" t="str">
        <f aca="false">IF($O298="","","6001")</f>
        <v/>
      </c>
      <c r="X298" s="48" t="str">
        <f aca="false">IF($O298="","",$O298)</f>
        <v/>
      </c>
      <c r="Y298" s="49" t="str">
        <f aca="false">IF(N($P298)=0,"","1122")</f>
        <v/>
      </c>
      <c r="Z298" s="49" t="str">
        <f aca="false">IF(N($P298)=0,"","2221")</f>
        <v/>
      </c>
      <c r="AA298" s="48" t="str">
        <f aca="false">IF(N($P298)=0,"",$P298)</f>
        <v/>
      </c>
      <c r="AB298" s="49" t="str">
        <f aca="false">IF(N($S298)=0,"","6401")</f>
        <v/>
      </c>
      <c r="AC298" s="49" t="str">
        <f aca="false">IF(N($S298)=0,"","1405")</f>
        <v/>
      </c>
      <c r="AD298" s="48" t="str">
        <f aca="false">IF(N($S298)=0,"",$S298)</f>
        <v/>
      </c>
      <c r="AE298" s="49" t="str">
        <f aca="false">IF(AND($D298=客户对账单!$B$3,$B298&gt;=客户对账单!$E$3,$B298&lt;=客户对账单!$H$3),COUNTIFS($D$5:$D298,客户对账单!$B$3,$B$5:$B298,"&gt;="&amp;客户对账单!$E$3,$B$5:$B298,"&lt;="&amp;客户对账单!$H$3),"")</f>
        <v/>
      </c>
    </row>
    <row r="299" customFormat="false" ht="15.75" hidden="false" customHeight="true" outlineLevel="0" collapsed="false">
      <c r="A299" s="42" t="str">
        <f aca="false">IF($B299="","","XS"&amp;TEXT($B299,"yyyymm")&amp;"-"&amp;TEXT(ROW()-4,"000"))</f>
        <v/>
      </c>
      <c r="B299" s="41"/>
      <c r="C299" s="42" t="str">
        <f aca="false">IF($B299="","",TEXT($B299,"yyyy-mm"))</f>
        <v/>
      </c>
      <c r="D299" s="32"/>
      <c r="E299" s="36"/>
      <c r="F299" s="43"/>
      <c r="G299" s="40"/>
      <c r="H299" s="51"/>
      <c r="I299" s="33"/>
      <c r="J299" s="33"/>
      <c r="K299" s="36"/>
      <c r="L299" s="47" t="str">
        <f aca="false">IF($B299="","",IF(NOT(ISNUMBER($B299)),"日期不是日期格式",IF(YEAR($B299)&lt;&gt;首页!$B$3,"不在会计年度",IF($D299="","未选客户",IF(ISNA(MATCH($D299,基础资料!$Z$6:$Z$155,0)),"客户不在档案",IF($E299="","未选商品",IF(ISNA(MATCH($E299,基础资料!$Q$6:$Q$205,0)),"商品不在档案",IF(NOT(ISNUMBER($F299)),"数量须为数字",IF(NOT(ISNUMBER($G299)),"单价须为数字",IF(N($F299)&lt;=0,"数量须大于0",IF(AND(IFERROR(INDEX(基础资料!$V$6:$V$205,MATCH($E299,基础资料!$Q$6:$Q$205,0)),"")="是",N($R299)=0),"无成本价·请先录采购或填参考成本",IF(N($T299)&lt;0,"毛利为负·请核对","√"))))))))))))</f>
        <v/>
      </c>
      <c r="M299" s="49" t="str">
        <f aca="false">IF($E299="","",IFERROR(INDEX(基础资料!$R$6:$R$205,MATCH($E299,基础资料!$Q$6:$Q$205,0)),""))</f>
        <v/>
      </c>
      <c r="N299" s="49" t="str">
        <f aca="false">IF($E299="","",IFERROR(INDEX(基础资料!$S$6:$S$205,MATCH($E299,基础资料!$Q$6:$Q$205,0)),""))</f>
        <v/>
      </c>
      <c r="O299" s="48" t="str">
        <f aca="false">IF(OR($F299="",$G299=""),"",ROUND(N($F299)*N($G299),2))</f>
        <v/>
      </c>
      <c r="P299" s="48" t="str">
        <f aca="false">IF($O299="","",ROUND(N($O299)*N($H299),2))</f>
        <v/>
      </c>
      <c r="Q299" s="48" t="str">
        <f aca="false">IF($O299="","",N($O299)+N($P299))</f>
        <v/>
      </c>
      <c r="R299" s="48" t="str">
        <f aca="false">IF(OR($E299="",$B299=""),"",IF(IFERROR(INDEX(基础资料!$V$6:$V$205,MATCH($E299,基础资料!$Q$6:$Q$205,0)),"")&lt;&gt;"是",0,IFERROR((SUMIFS(期初数据!$T$6:$T$205,期初数据!$O$6:$O$205,$E299)+SUMIFS(采购录入!$Q$5:$Q$404,采购录入!$E$5:$E$404,$E299,采购录入!$I$5:$I$404,"是",采购录入!$B$5:$B$404,"&lt;="&amp;$B299))/(SUMIFS(期初数据!$R$6:$R$205,期初数据!$O$6:$O$205,$E299)+SUMIFS(采购录入!$F$5:$F$404,采购录入!$E$5:$E$404,$E299,采购录入!$I$5:$I$404,"是",采购录入!$B$5:$B$404,"&lt;="&amp;$B299)),IFERROR(INDEX(基础资料!$U$6:$U$205,MATCH($E299,基础资料!$Q$6:$Q$205,0)),0))))</f>
        <v/>
      </c>
      <c r="S299" s="48" t="str">
        <f aca="false">IF($O299="","",ROUND(N($F299)*N($R299),2))</f>
        <v/>
      </c>
      <c r="T299" s="48" t="str">
        <f aca="false">IF($O299="","",N($O299)-N($S299))</f>
        <v/>
      </c>
      <c r="U299" s="52" t="str">
        <f aca="false">IF(OR($B299="",$D299=""),"",$B299+N(IFERROR(INDEX(基础资料!$AB$6:$AB$155,MATCH($D299,基础资料!$Z$6:$Z$155,0)),0)))</f>
        <v/>
      </c>
      <c r="V299" s="49" t="str">
        <f aca="false">IF($O299="","","1122")</f>
        <v/>
      </c>
      <c r="W299" s="49" t="str">
        <f aca="false">IF($O299="","","6001")</f>
        <v/>
      </c>
      <c r="X299" s="48" t="str">
        <f aca="false">IF($O299="","",$O299)</f>
        <v/>
      </c>
      <c r="Y299" s="49" t="str">
        <f aca="false">IF(N($P299)=0,"","1122")</f>
        <v/>
      </c>
      <c r="Z299" s="49" t="str">
        <f aca="false">IF(N($P299)=0,"","2221")</f>
        <v/>
      </c>
      <c r="AA299" s="48" t="str">
        <f aca="false">IF(N($P299)=0,"",$P299)</f>
        <v/>
      </c>
      <c r="AB299" s="49" t="str">
        <f aca="false">IF(N($S299)=0,"","6401")</f>
        <v/>
      </c>
      <c r="AC299" s="49" t="str">
        <f aca="false">IF(N($S299)=0,"","1405")</f>
        <v/>
      </c>
      <c r="AD299" s="48" t="str">
        <f aca="false">IF(N($S299)=0,"",$S299)</f>
        <v/>
      </c>
      <c r="AE299" s="49" t="str">
        <f aca="false">IF(AND($D299=客户对账单!$B$3,$B299&gt;=客户对账单!$E$3,$B299&lt;=客户对账单!$H$3),COUNTIFS($D$5:$D299,客户对账单!$B$3,$B$5:$B299,"&gt;="&amp;客户对账单!$E$3,$B$5:$B299,"&lt;="&amp;客户对账单!$H$3),"")</f>
        <v/>
      </c>
    </row>
    <row r="300" customFormat="false" ht="15.75" hidden="false" customHeight="true" outlineLevel="0" collapsed="false">
      <c r="A300" s="42" t="str">
        <f aca="false">IF($B300="","","XS"&amp;TEXT($B300,"yyyymm")&amp;"-"&amp;TEXT(ROW()-4,"000"))</f>
        <v/>
      </c>
      <c r="B300" s="41"/>
      <c r="C300" s="42" t="str">
        <f aca="false">IF($B300="","",TEXT($B300,"yyyy-mm"))</f>
        <v/>
      </c>
      <c r="D300" s="32"/>
      <c r="E300" s="36"/>
      <c r="F300" s="43"/>
      <c r="G300" s="40"/>
      <c r="H300" s="51"/>
      <c r="I300" s="33"/>
      <c r="J300" s="33"/>
      <c r="K300" s="36"/>
      <c r="L300" s="47" t="str">
        <f aca="false">IF($B300="","",IF(NOT(ISNUMBER($B300)),"日期不是日期格式",IF(YEAR($B300)&lt;&gt;首页!$B$3,"不在会计年度",IF($D300="","未选客户",IF(ISNA(MATCH($D300,基础资料!$Z$6:$Z$155,0)),"客户不在档案",IF($E300="","未选商品",IF(ISNA(MATCH($E300,基础资料!$Q$6:$Q$205,0)),"商品不在档案",IF(NOT(ISNUMBER($F300)),"数量须为数字",IF(NOT(ISNUMBER($G300)),"单价须为数字",IF(N($F300)&lt;=0,"数量须大于0",IF(AND(IFERROR(INDEX(基础资料!$V$6:$V$205,MATCH($E300,基础资料!$Q$6:$Q$205,0)),"")="是",N($R300)=0),"无成本价·请先录采购或填参考成本",IF(N($T300)&lt;0,"毛利为负·请核对","√"))))))))))))</f>
        <v/>
      </c>
      <c r="M300" s="49" t="str">
        <f aca="false">IF($E300="","",IFERROR(INDEX(基础资料!$R$6:$R$205,MATCH($E300,基础资料!$Q$6:$Q$205,0)),""))</f>
        <v/>
      </c>
      <c r="N300" s="49" t="str">
        <f aca="false">IF($E300="","",IFERROR(INDEX(基础资料!$S$6:$S$205,MATCH($E300,基础资料!$Q$6:$Q$205,0)),""))</f>
        <v/>
      </c>
      <c r="O300" s="48" t="str">
        <f aca="false">IF(OR($F300="",$G300=""),"",ROUND(N($F300)*N($G300),2))</f>
        <v/>
      </c>
      <c r="P300" s="48" t="str">
        <f aca="false">IF($O300="","",ROUND(N($O300)*N($H300),2))</f>
        <v/>
      </c>
      <c r="Q300" s="48" t="str">
        <f aca="false">IF($O300="","",N($O300)+N($P300))</f>
        <v/>
      </c>
      <c r="R300" s="48" t="str">
        <f aca="false">IF(OR($E300="",$B300=""),"",IF(IFERROR(INDEX(基础资料!$V$6:$V$205,MATCH($E300,基础资料!$Q$6:$Q$205,0)),"")&lt;&gt;"是",0,IFERROR((SUMIFS(期初数据!$T$6:$T$205,期初数据!$O$6:$O$205,$E300)+SUMIFS(采购录入!$Q$5:$Q$404,采购录入!$E$5:$E$404,$E300,采购录入!$I$5:$I$404,"是",采购录入!$B$5:$B$404,"&lt;="&amp;$B300))/(SUMIFS(期初数据!$R$6:$R$205,期初数据!$O$6:$O$205,$E300)+SUMIFS(采购录入!$F$5:$F$404,采购录入!$E$5:$E$404,$E300,采购录入!$I$5:$I$404,"是",采购录入!$B$5:$B$404,"&lt;="&amp;$B300)),IFERROR(INDEX(基础资料!$U$6:$U$205,MATCH($E300,基础资料!$Q$6:$Q$205,0)),0))))</f>
        <v/>
      </c>
      <c r="S300" s="48" t="str">
        <f aca="false">IF($O300="","",ROUND(N($F300)*N($R300),2))</f>
        <v/>
      </c>
      <c r="T300" s="48" t="str">
        <f aca="false">IF($O300="","",N($O300)-N($S300))</f>
        <v/>
      </c>
      <c r="U300" s="52" t="str">
        <f aca="false">IF(OR($B300="",$D300=""),"",$B300+N(IFERROR(INDEX(基础资料!$AB$6:$AB$155,MATCH($D300,基础资料!$Z$6:$Z$155,0)),0)))</f>
        <v/>
      </c>
      <c r="V300" s="49" t="str">
        <f aca="false">IF($O300="","","1122")</f>
        <v/>
      </c>
      <c r="W300" s="49" t="str">
        <f aca="false">IF($O300="","","6001")</f>
        <v/>
      </c>
      <c r="X300" s="48" t="str">
        <f aca="false">IF($O300="","",$O300)</f>
        <v/>
      </c>
      <c r="Y300" s="49" t="str">
        <f aca="false">IF(N($P300)=0,"","1122")</f>
        <v/>
      </c>
      <c r="Z300" s="49" t="str">
        <f aca="false">IF(N($P300)=0,"","2221")</f>
        <v/>
      </c>
      <c r="AA300" s="48" t="str">
        <f aca="false">IF(N($P300)=0,"",$P300)</f>
        <v/>
      </c>
      <c r="AB300" s="49" t="str">
        <f aca="false">IF(N($S300)=0,"","6401")</f>
        <v/>
      </c>
      <c r="AC300" s="49" t="str">
        <f aca="false">IF(N($S300)=0,"","1405")</f>
        <v/>
      </c>
      <c r="AD300" s="48" t="str">
        <f aca="false">IF(N($S300)=0,"",$S300)</f>
        <v/>
      </c>
      <c r="AE300" s="49" t="str">
        <f aca="false">IF(AND($D300=客户对账单!$B$3,$B300&gt;=客户对账单!$E$3,$B300&lt;=客户对账单!$H$3),COUNTIFS($D$5:$D300,客户对账单!$B$3,$B$5:$B300,"&gt;="&amp;客户对账单!$E$3,$B$5:$B300,"&lt;="&amp;客户对账单!$H$3),"")</f>
        <v/>
      </c>
    </row>
    <row r="301" customFormat="false" ht="15.75" hidden="false" customHeight="true" outlineLevel="0" collapsed="false">
      <c r="A301" s="42" t="str">
        <f aca="false">IF($B301="","","XS"&amp;TEXT($B301,"yyyymm")&amp;"-"&amp;TEXT(ROW()-4,"000"))</f>
        <v/>
      </c>
      <c r="B301" s="41"/>
      <c r="C301" s="42" t="str">
        <f aca="false">IF($B301="","",TEXT($B301,"yyyy-mm"))</f>
        <v/>
      </c>
      <c r="D301" s="32"/>
      <c r="E301" s="36"/>
      <c r="F301" s="43"/>
      <c r="G301" s="40"/>
      <c r="H301" s="51"/>
      <c r="I301" s="33"/>
      <c r="J301" s="33"/>
      <c r="K301" s="36"/>
      <c r="L301" s="47" t="str">
        <f aca="false">IF($B301="","",IF(NOT(ISNUMBER($B301)),"日期不是日期格式",IF(YEAR($B301)&lt;&gt;首页!$B$3,"不在会计年度",IF($D301="","未选客户",IF(ISNA(MATCH($D301,基础资料!$Z$6:$Z$155,0)),"客户不在档案",IF($E301="","未选商品",IF(ISNA(MATCH($E301,基础资料!$Q$6:$Q$205,0)),"商品不在档案",IF(NOT(ISNUMBER($F301)),"数量须为数字",IF(NOT(ISNUMBER($G301)),"单价须为数字",IF(N($F301)&lt;=0,"数量须大于0",IF(AND(IFERROR(INDEX(基础资料!$V$6:$V$205,MATCH($E301,基础资料!$Q$6:$Q$205,0)),"")="是",N($R301)=0),"无成本价·请先录采购或填参考成本",IF(N($T301)&lt;0,"毛利为负·请核对","√"))))))))))))</f>
        <v/>
      </c>
      <c r="M301" s="49" t="str">
        <f aca="false">IF($E301="","",IFERROR(INDEX(基础资料!$R$6:$R$205,MATCH($E301,基础资料!$Q$6:$Q$205,0)),""))</f>
        <v/>
      </c>
      <c r="N301" s="49" t="str">
        <f aca="false">IF($E301="","",IFERROR(INDEX(基础资料!$S$6:$S$205,MATCH($E301,基础资料!$Q$6:$Q$205,0)),""))</f>
        <v/>
      </c>
      <c r="O301" s="48" t="str">
        <f aca="false">IF(OR($F301="",$G301=""),"",ROUND(N($F301)*N($G301),2))</f>
        <v/>
      </c>
      <c r="P301" s="48" t="str">
        <f aca="false">IF($O301="","",ROUND(N($O301)*N($H301),2))</f>
        <v/>
      </c>
      <c r="Q301" s="48" t="str">
        <f aca="false">IF($O301="","",N($O301)+N($P301))</f>
        <v/>
      </c>
      <c r="R301" s="48" t="str">
        <f aca="false">IF(OR($E301="",$B301=""),"",IF(IFERROR(INDEX(基础资料!$V$6:$V$205,MATCH($E301,基础资料!$Q$6:$Q$205,0)),"")&lt;&gt;"是",0,IFERROR((SUMIFS(期初数据!$T$6:$T$205,期初数据!$O$6:$O$205,$E301)+SUMIFS(采购录入!$Q$5:$Q$404,采购录入!$E$5:$E$404,$E301,采购录入!$I$5:$I$404,"是",采购录入!$B$5:$B$404,"&lt;="&amp;$B301))/(SUMIFS(期初数据!$R$6:$R$205,期初数据!$O$6:$O$205,$E301)+SUMIFS(采购录入!$F$5:$F$404,采购录入!$E$5:$E$404,$E301,采购录入!$I$5:$I$404,"是",采购录入!$B$5:$B$404,"&lt;="&amp;$B301)),IFERROR(INDEX(基础资料!$U$6:$U$205,MATCH($E301,基础资料!$Q$6:$Q$205,0)),0))))</f>
        <v/>
      </c>
      <c r="S301" s="48" t="str">
        <f aca="false">IF($O301="","",ROUND(N($F301)*N($R301),2))</f>
        <v/>
      </c>
      <c r="T301" s="48" t="str">
        <f aca="false">IF($O301="","",N($O301)-N($S301))</f>
        <v/>
      </c>
      <c r="U301" s="52" t="str">
        <f aca="false">IF(OR($B301="",$D301=""),"",$B301+N(IFERROR(INDEX(基础资料!$AB$6:$AB$155,MATCH($D301,基础资料!$Z$6:$Z$155,0)),0)))</f>
        <v/>
      </c>
      <c r="V301" s="49" t="str">
        <f aca="false">IF($O301="","","1122")</f>
        <v/>
      </c>
      <c r="W301" s="49" t="str">
        <f aca="false">IF($O301="","","6001")</f>
        <v/>
      </c>
      <c r="X301" s="48" t="str">
        <f aca="false">IF($O301="","",$O301)</f>
        <v/>
      </c>
      <c r="Y301" s="49" t="str">
        <f aca="false">IF(N($P301)=0,"","1122")</f>
        <v/>
      </c>
      <c r="Z301" s="49" t="str">
        <f aca="false">IF(N($P301)=0,"","2221")</f>
        <v/>
      </c>
      <c r="AA301" s="48" t="str">
        <f aca="false">IF(N($P301)=0,"",$P301)</f>
        <v/>
      </c>
      <c r="AB301" s="49" t="str">
        <f aca="false">IF(N($S301)=0,"","6401")</f>
        <v/>
      </c>
      <c r="AC301" s="49" t="str">
        <f aca="false">IF(N($S301)=0,"","1405")</f>
        <v/>
      </c>
      <c r="AD301" s="48" t="str">
        <f aca="false">IF(N($S301)=0,"",$S301)</f>
        <v/>
      </c>
      <c r="AE301" s="49" t="str">
        <f aca="false">IF(AND($D301=客户对账单!$B$3,$B301&gt;=客户对账单!$E$3,$B301&lt;=客户对账单!$H$3),COUNTIFS($D$5:$D301,客户对账单!$B$3,$B$5:$B301,"&gt;="&amp;客户对账单!$E$3,$B$5:$B301,"&lt;="&amp;客户对账单!$H$3),"")</f>
        <v/>
      </c>
    </row>
    <row r="302" customFormat="false" ht="15.75" hidden="false" customHeight="true" outlineLevel="0" collapsed="false">
      <c r="A302" s="42" t="str">
        <f aca="false">IF($B302="","","XS"&amp;TEXT($B302,"yyyymm")&amp;"-"&amp;TEXT(ROW()-4,"000"))</f>
        <v/>
      </c>
      <c r="B302" s="41"/>
      <c r="C302" s="42" t="str">
        <f aca="false">IF($B302="","",TEXT($B302,"yyyy-mm"))</f>
        <v/>
      </c>
      <c r="D302" s="32"/>
      <c r="E302" s="36"/>
      <c r="F302" s="43"/>
      <c r="G302" s="40"/>
      <c r="H302" s="51"/>
      <c r="I302" s="33"/>
      <c r="J302" s="33"/>
      <c r="K302" s="36"/>
      <c r="L302" s="47" t="str">
        <f aca="false">IF($B302="","",IF(NOT(ISNUMBER($B302)),"日期不是日期格式",IF(YEAR($B302)&lt;&gt;首页!$B$3,"不在会计年度",IF($D302="","未选客户",IF(ISNA(MATCH($D302,基础资料!$Z$6:$Z$155,0)),"客户不在档案",IF($E302="","未选商品",IF(ISNA(MATCH($E302,基础资料!$Q$6:$Q$205,0)),"商品不在档案",IF(NOT(ISNUMBER($F302)),"数量须为数字",IF(NOT(ISNUMBER($G302)),"单价须为数字",IF(N($F302)&lt;=0,"数量须大于0",IF(AND(IFERROR(INDEX(基础资料!$V$6:$V$205,MATCH($E302,基础资料!$Q$6:$Q$205,0)),"")="是",N($R302)=0),"无成本价·请先录采购或填参考成本",IF(N($T302)&lt;0,"毛利为负·请核对","√"))))))))))))</f>
        <v/>
      </c>
      <c r="M302" s="49" t="str">
        <f aca="false">IF($E302="","",IFERROR(INDEX(基础资料!$R$6:$R$205,MATCH($E302,基础资料!$Q$6:$Q$205,0)),""))</f>
        <v/>
      </c>
      <c r="N302" s="49" t="str">
        <f aca="false">IF($E302="","",IFERROR(INDEX(基础资料!$S$6:$S$205,MATCH($E302,基础资料!$Q$6:$Q$205,0)),""))</f>
        <v/>
      </c>
      <c r="O302" s="48" t="str">
        <f aca="false">IF(OR($F302="",$G302=""),"",ROUND(N($F302)*N($G302),2))</f>
        <v/>
      </c>
      <c r="P302" s="48" t="str">
        <f aca="false">IF($O302="","",ROUND(N($O302)*N($H302),2))</f>
        <v/>
      </c>
      <c r="Q302" s="48" t="str">
        <f aca="false">IF($O302="","",N($O302)+N($P302))</f>
        <v/>
      </c>
      <c r="R302" s="48" t="str">
        <f aca="false">IF(OR($E302="",$B302=""),"",IF(IFERROR(INDEX(基础资料!$V$6:$V$205,MATCH($E302,基础资料!$Q$6:$Q$205,0)),"")&lt;&gt;"是",0,IFERROR((SUMIFS(期初数据!$T$6:$T$205,期初数据!$O$6:$O$205,$E302)+SUMIFS(采购录入!$Q$5:$Q$404,采购录入!$E$5:$E$404,$E302,采购录入!$I$5:$I$404,"是",采购录入!$B$5:$B$404,"&lt;="&amp;$B302))/(SUMIFS(期初数据!$R$6:$R$205,期初数据!$O$6:$O$205,$E302)+SUMIFS(采购录入!$F$5:$F$404,采购录入!$E$5:$E$404,$E302,采购录入!$I$5:$I$404,"是",采购录入!$B$5:$B$404,"&lt;="&amp;$B302)),IFERROR(INDEX(基础资料!$U$6:$U$205,MATCH($E302,基础资料!$Q$6:$Q$205,0)),0))))</f>
        <v/>
      </c>
      <c r="S302" s="48" t="str">
        <f aca="false">IF($O302="","",ROUND(N($F302)*N($R302),2))</f>
        <v/>
      </c>
      <c r="T302" s="48" t="str">
        <f aca="false">IF($O302="","",N($O302)-N($S302))</f>
        <v/>
      </c>
      <c r="U302" s="52" t="str">
        <f aca="false">IF(OR($B302="",$D302=""),"",$B302+N(IFERROR(INDEX(基础资料!$AB$6:$AB$155,MATCH($D302,基础资料!$Z$6:$Z$155,0)),0)))</f>
        <v/>
      </c>
      <c r="V302" s="49" t="str">
        <f aca="false">IF($O302="","","1122")</f>
        <v/>
      </c>
      <c r="W302" s="49" t="str">
        <f aca="false">IF($O302="","","6001")</f>
        <v/>
      </c>
      <c r="X302" s="48" t="str">
        <f aca="false">IF($O302="","",$O302)</f>
        <v/>
      </c>
      <c r="Y302" s="49" t="str">
        <f aca="false">IF(N($P302)=0,"","1122")</f>
        <v/>
      </c>
      <c r="Z302" s="49" t="str">
        <f aca="false">IF(N($P302)=0,"","2221")</f>
        <v/>
      </c>
      <c r="AA302" s="48" t="str">
        <f aca="false">IF(N($P302)=0,"",$P302)</f>
        <v/>
      </c>
      <c r="AB302" s="49" t="str">
        <f aca="false">IF(N($S302)=0,"","6401")</f>
        <v/>
      </c>
      <c r="AC302" s="49" t="str">
        <f aca="false">IF(N($S302)=0,"","1405")</f>
        <v/>
      </c>
      <c r="AD302" s="48" t="str">
        <f aca="false">IF(N($S302)=0,"",$S302)</f>
        <v/>
      </c>
      <c r="AE302" s="49" t="str">
        <f aca="false">IF(AND($D302=客户对账单!$B$3,$B302&gt;=客户对账单!$E$3,$B302&lt;=客户对账单!$H$3),COUNTIFS($D$5:$D302,客户对账单!$B$3,$B$5:$B302,"&gt;="&amp;客户对账单!$E$3,$B$5:$B302,"&lt;="&amp;客户对账单!$H$3),"")</f>
        <v/>
      </c>
    </row>
    <row r="303" customFormat="false" ht="15.75" hidden="false" customHeight="true" outlineLevel="0" collapsed="false">
      <c r="A303" s="42" t="str">
        <f aca="false">IF($B303="","","XS"&amp;TEXT($B303,"yyyymm")&amp;"-"&amp;TEXT(ROW()-4,"000"))</f>
        <v/>
      </c>
      <c r="B303" s="41"/>
      <c r="C303" s="42" t="str">
        <f aca="false">IF($B303="","",TEXT($B303,"yyyy-mm"))</f>
        <v/>
      </c>
      <c r="D303" s="32"/>
      <c r="E303" s="36"/>
      <c r="F303" s="43"/>
      <c r="G303" s="40"/>
      <c r="H303" s="51"/>
      <c r="I303" s="33"/>
      <c r="J303" s="33"/>
      <c r="K303" s="36"/>
      <c r="L303" s="47" t="str">
        <f aca="false">IF($B303="","",IF(NOT(ISNUMBER($B303)),"日期不是日期格式",IF(YEAR($B303)&lt;&gt;首页!$B$3,"不在会计年度",IF($D303="","未选客户",IF(ISNA(MATCH($D303,基础资料!$Z$6:$Z$155,0)),"客户不在档案",IF($E303="","未选商品",IF(ISNA(MATCH($E303,基础资料!$Q$6:$Q$205,0)),"商品不在档案",IF(NOT(ISNUMBER($F303)),"数量须为数字",IF(NOT(ISNUMBER($G303)),"单价须为数字",IF(N($F303)&lt;=0,"数量须大于0",IF(AND(IFERROR(INDEX(基础资料!$V$6:$V$205,MATCH($E303,基础资料!$Q$6:$Q$205,0)),"")="是",N($R303)=0),"无成本价·请先录采购或填参考成本",IF(N($T303)&lt;0,"毛利为负·请核对","√"))))))))))))</f>
        <v/>
      </c>
      <c r="M303" s="49" t="str">
        <f aca="false">IF($E303="","",IFERROR(INDEX(基础资料!$R$6:$R$205,MATCH($E303,基础资料!$Q$6:$Q$205,0)),""))</f>
        <v/>
      </c>
      <c r="N303" s="49" t="str">
        <f aca="false">IF($E303="","",IFERROR(INDEX(基础资料!$S$6:$S$205,MATCH($E303,基础资料!$Q$6:$Q$205,0)),""))</f>
        <v/>
      </c>
      <c r="O303" s="48" t="str">
        <f aca="false">IF(OR($F303="",$G303=""),"",ROUND(N($F303)*N($G303),2))</f>
        <v/>
      </c>
      <c r="P303" s="48" t="str">
        <f aca="false">IF($O303="","",ROUND(N($O303)*N($H303),2))</f>
        <v/>
      </c>
      <c r="Q303" s="48" t="str">
        <f aca="false">IF($O303="","",N($O303)+N($P303))</f>
        <v/>
      </c>
      <c r="R303" s="48" t="str">
        <f aca="false">IF(OR($E303="",$B303=""),"",IF(IFERROR(INDEX(基础资料!$V$6:$V$205,MATCH($E303,基础资料!$Q$6:$Q$205,0)),"")&lt;&gt;"是",0,IFERROR((SUMIFS(期初数据!$T$6:$T$205,期初数据!$O$6:$O$205,$E303)+SUMIFS(采购录入!$Q$5:$Q$404,采购录入!$E$5:$E$404,$E303,采购录入!$I$5:$I$404,"是",采购录入!$B$5:$B$404,"&lt;="&amp;$B303))/(SUMIFS(期初数据!$R$6:$R$205,期初数据!$O$6:$O$205,$E303)+SUMIFS(采购录入!$F$5:$F$404,采购录入!$E$5:$E$404,$E303,采购录入!$I$5:$I$404,"是",采购录入!$B$5:$B$404,"&lt;="&amp;$B303)),IFERROR(INDEX(基础资料!$U$6:$U$205,MATCH($E303,基础资料!$Q$6:$Q$205,0)),0))))</f>
        <v/>
      </c>
      <c r="S303" s="48" t="str">
        <f aca="false">IF($O303="","",ROUND(N($F303)*N($R303),2))</f>
        <v/>
      </c>
      <c r="T303" s="48" t="str">
        <f aca="false">IF($O303="","",N($O303)-N($S303))</f>
        <v/>
      </c>
      <c r="U303" s="52" t="str">
        <f aca="false">IF(OR($B303="",$D303=""),"",$B303+N(IFERROR(INDEX(基础资料!$AB$6:$AB$155,MATCH($D303,基础资料!$Z$6:$Z$155,0)),0)))</f>
        <v/>
      </c>
      <c r="V303" s="49" t="str">
        <f aca="false">IF($O303="","","1122")</f>
        <v/>
      </c>
      <c r="W303" s="49" t="str">
        <f aca="false">IF($O303="","","6001")</f>
        <v/>
      </c>
      <c r="X303" s="48" t="str">
        <f aca="false">IF($O303="","",$O303)</f>
        <v/>
      </c>
      <c r="Y303" s="49" t="str">
        <f aca="false">IF(N($P303)=0,"","1122")</f>
        <v/>
      </c>
      <c r="Z303" s="49" t="str">
        <f aca="false">IF(N($P303)=0,"","2221")</f>
        <v/>
      </c>
      <c r="AA303" s="48" t="str">
        <f aca="false">IF(N($P303)=0,"",$P303)</f>
        <v/>
      </c>
      <c r="AB303" s="49" t="str">
        <f aca="false">IF(N($S303)=0,"","6401")</f>
        <v/>
      </c>
      <c r="AC303" s="49" t="str">
        <f aca="false">IF(N($S303)=0,"","1405")</f>
        <v/>
      </c>
      <c r="AD303" s="48" t="str">
        <f aca="false">IF(N($S303)=0,"",$S303)</f>
        <v/>
      </c>
      <c r="AE303" s="49" t="str">
        <f aca="false">IF(AND($D303=客户对账单!$B$3,$B303&gt;=客户对账单!$E$3,$B303&lt;=客户对账单!$H$3),COUNTIFS($D$5:$D303,客户对账单!$B$3,$B$5:$B303,"&gt;="&amp;客户对账单!$E$3,$B$5:$B303,"&lt;="&amp;客户对账单!$H$3),"")</f>
        <v/>
      </c>
    </row>
    <row r="304" customFormat="false" ht="15.75" hidden="false" customHeight="true" outlineLevel="0" collapsed="false">
      <c r="A304" s="42" t="str">
        <f aca="false">IF($B304="","","XS"&amp;TEXT($B304,"yyyymm")&amp;"-"&amp;TEXT(ROW()-4,"000"))</f>
        <v/>
      </c>
      <c r="B304" s="41"/>
      <c r="C304" s="42" t="str">
        <f aca="false">IF($B304="","",TEXT($B304,"yyyy-mm"))</f>
        <v/>
      </c>
      <c r="D304" s="32"/>
      <c r="E304" s="36"/>
      <c r="F304" s="43"/>
      <c r="G304" s="40"/>
      <c r="H304" s="51"/>
      <c r="I304" s="33"/>
      <c r="J304" s="33"/>
      <c r="K304" s="36"/>
      <c r="L304" s="47" t="str">
        <f aca="false">IF($B304="","",IF(NOT(ISNUMBER($B304)),"日期不是日期格式",IF(YEAR($B304)&lt;&gt;首页!$B$3,"不在会计年度",IF($D304="","未选客户",IF(ISNA(MATCH($D304,基础资料!$Z$6:$Z$155,0)),"客户不在档案",IF($E304="","未选商品",IF(ISNA(MATCH($E304,基础资料!$Q$6:$Q$205,0)),"商品不在档案",IF(NOT(ISNUMBER($F304)),"数量须为数字",IF(NOT(ISNUMBER($G304)),"单价须为数字",IF(N($F304)&lt;=0,"数量须大于0",IF(AND(IFERROR(INDEX(基础资料!$V$6:$V$205,MATCH($E304,基础资料!$Q$6:$Q$205,0)),"")="是",N($R304)=0),"无成本价·请先录采购或填参考成本",IF(N($T304)&lt;0,"毛利为负·请核对","√"))))))))))))</f>
        <v/>
      </c>
      <c r="M304" s="49" t="str">
        <f aca="false">IF($E304="","",IFERROR(INDEX(基础资料!$R$6:$R$205,MATCH($E304,基础资料!$Q$6:$Q$205,0)),""))</f>
        <v/>
      </c>
      <c r="N304" s="49" t="str">
        <f aca="false">IF($E304="","",IFERROR(INDEX(基础资料!$S$6:$S$205,MATCH($E304,基础资料!$Q$6:$Q$205,0)),""))</f>
        <v/>
      </c>
      <c r="O304" s="48" t="str">
        <f aca="false">IF(OR($F304="",$G304=""),"",ROUND(N($F304)*N($G304),2))</f>
        <v/>
      </c>
      <c r="P304" s="48" t="str">
        <f aca="false">IF($O304="","",ROUND(N($O304)*N($H304),2))</f>
        <v/>
      </c>
      <c r="Q304" s="48" t="str">
        <f aca="false">IF($O304="","",N($O304)+N($P304))</f>
        <v/>
      </c>
      <c r="R304" s="48" t="str">
        <f aca="false">IF(OR($E304="",$B304=""),"",IF(IFERROR(INDEX(基础资料!$V$6:$V$205,MATCH($E304,基础资料!$Q$6:$Q$205,0)),"")&lt;&gt;"是",0,IFERROR((SUMIFS(期初数据!$T$6:$T$205,期初数据!$O$6:$O$205,$E304)+SUMIFS(采购录入!$Q$5:$Q$404,采购录入!$E$5:$E$404,$E304,采购录入!$I$5:$I$404,"是",采购录入!$B$5:$B$404,"&lt;="&amp;$B304))/(SUMIFS(期初数据!$R$6:$R$205,期初数据!$O$6:$O$205,$E304)+SUMIFS(采购录入!$F$5:$F$404,采购录入!$E$5:$E$404,$E304,采购录入!$I$5:$I$404,"是",采购录入!$B$5:$B$404,"&lt;="&amp;$B304)),IFERROR(INDEX(基础资料!$U$6:$U$205,MATCH($E304,基础资料!$Q$6:$Q$205,0)),0))))</f>
        <v/>
      </c>
      <c r="S304" s="48" t="str">
        <f aca="false">IF($O304="","",ROUND(N($F304)*N($R304),2))</f>
        <v/>
      </c>
      <c r="T304" s="48" t="str">
        <f aca="false">IF($O304="","",N($O304)-N($S304))</f>
        <v/>
      </c>
      <c r="U304" s="52" t="str">
        <f aca="false">IF(OR($B304="",$D304=""),"",$B304+N(IFERROR(INDEX(基础资料!$AB$6:$AB$155,MATCH($D304,基础资料!$Z$6:$Z$155,0)),0)))</f>
        <v/>
      </c>
      <c r="V304" s="49" t="str">
        <f aca="false">IF($O304="","","1122")</f>
        <v/>
      </c>
      <c r="W304" s="49" t="str">
        <f aca="false">IF($O304="","","6001")</f>
        <v/>
      </c>
      <c r="X304" s="48" t="str">
        <f aca="false">IF($O304="","",$O304)</f>
        <v/>
      </c>
      <c r="Y304" s="49" t="str">
        <f aca="false">IF(N($P304)=0,"","1122")</f>
        <v/>
      </c>
      <c r="Z304" s="49" t="str">
        <f aca="false">IF(N($P304)=0,"","2221")</f>
        <v/>
      </c>
      <c r="AA304" s="48" t="str">
        <f aca="false">IF(N($P304)=0,"",$P304)</f>
        <v/>
      </c>
      <c r="AB304" s="49" t="str">
        <f aca="false">IF(N($S304)=0,"","6401")</f>
        <v/>
      </c>
      <c r="AC304" s="49" t="str">
        <f aca="false">IF(N($S304)=0,"","1405")</f>
        <v/>
      </c>
      <c r="AD304" s="48" t="str">
        <f aca="false">IF(N($S304)=0,"",$S304)</f>
        <v/>
      </c>
      <c r="AE304" s="49" t="str">
        <f aca="false">IF(AND($D304=客户对账单!$B$3,$B304&gt;=客户对账单!$E$3,$B304&lt;=客户对账单!$H$3),COUNTIFS($D$5:$D304,客户对账单!$B$3,$B$5:$B304,"&gt;="&amp;客户对账单!$E$3,$B$5:$B304,"&lt;="&amp;客户对账单!$H$3),"")</f>
        <v/>
      </c>
    </row>
    <row r="305" customFormat="false" ht="15.75" hidden="false" customHeight="true" outlineLevel="0" collapsed="false">
      <c r="A305" s="42" t="str">
        <f aca="false">IF($B305="","","XS"&amp;TEXT($B305,"yyyymm")&amp;"-"&amp;TEXT(ROW()-4,"000"))</f>
        <v/>
      </c>
      <c r="B305" s="41"/>
      <c r="C305" s="42" t="str">
        <f aca="false">IF($B305="","",TEXT($B305,"yyyy-mm"))</f>
        <v/>
      </c>
      <c r="D305" s="32"/>
      <c r="E305" s="36"/>
      <c r="F305" s="43"/>
      <c r="G305" s="40"/>
      <c r="H305" s="51"/>
      <c r="I305" s="33"/>
      <c r="J305" s="33"/>
      <c r="K305" s="36"/>
      <c r="L305" s="47" t="str">
        <f aca="false">IF($B305="","",IF(NOT(ISNUMBER($B305)),"日期不是日期格式",IF(YEAR($B305)&lt;&gt;首页!$B$3,"不在会计年度",IF($D305="","未选客户",IF(ISNA(MATCH($D305,基础资料!$Z$6:$Z$155,0)),"客户不在档案",IF($E305="","未选商品",IF(ISNA(MATCH($E305,基础资料!$Q$6:$Q$205,0)),"商品不在档案",IF(NOT(ISNUMBER($F305)),"数量须为数字",IF(NOT(ISNUMBER($G305)),"单价须为数字",IF(N($F305)&lt;=0,"数量须大于0",IF(AND(IFERROR(INDEX(基础资料!$V$6:$V$205,MATCH($E305,基础资料!$Q$6:$Q$205,0)),"")="是",N($R305)=0),"无成本价·请先录采购或填参考成本",IF(N($T305)&lt;0,"毛利为负·请核对","√"))))))))))))</f>
        <v/>
      </c>
      <c r="M305" s="49" t="str">
        <f aca="false">IF($E305="","",IFERROR(INDEX(基础资料!$R$6:$R$205,MATCH($E305,基础资料!$Q$6:$Q$205,0)),""))</f>
        <v/>
      </c>
      <c r="N305" s="49" t="str">
        <f aca="false">IF($E305="","",IFERROR(INDEX(基础资料!$S$6:$S$205,MATCH($E305,基础资料!$Q$6:$Q$205,0)),""))</f>
        <v/>
      </c>
      <c r="O305" s="48" t="str">
        <f aca="false">IF(OR($F305="",$G305=""),"",ROUND(N($F305)*N($G305),2))</f>
        <v/>
      </c>
      <c r="P305" s="48" t="str">
        <f aca="false">IF($O305="","",ROUND(N($O305)*N($H305),2))</f>
        <v/>
      </c>
      <c r="Q305" s="48" t="str">
        <f aca="false">IF($O305="","",N($O305)+N($P305))</f>
        <v/>
      </c>
      <c r="R305" s="48" t="str">
        <f aca="false">IF(OR($E305="",$B305=""),"",IF(IFERROR(INDEX(基础资料!$V$6:$V$205,MATCH($E305,基础资料!$Q$6:$Q$205,0)),"")&lt;&gt;"是",0,IFERROR((SUMIFS(期初数据!$T$6:$T$205,期初数据!$O$6:$O$205,$E305)+SUMIFS(采购录入!$Q$5:$Q$404,采购录入!$E$5:$E$404,$E305,采购录入!$I$5:$I$404,"是",采购录入!$B$5:$B$404,"&lt;="&amp;$B305))/(SUMIFS(期初数据!$R$6:$R$205,期初数据!$O$6:$O$205,$E305)+SUMIFS(采购录入!$F$5:$F$404,采购录入!$E$5:$E$404,$E305,采购录入!$I$5:$I$404,"是",采购录入!$B$5:$B$404,"&lt;="&amp;$B305)),IFERROR(INDEX(基础资料!$U$6:$U$205,MATCH($E305,基础资料!$Q$6:$Q$205,0)),0))))</f>
        <v/>
      </c>
      <c r="S305" s="48" t="str">
        <f aca="false">IF($O305="","",ROUND(N($F305)*N($R305),2))</f>
        <v/>
      </c>
      <c r="T305" s="48" t="str">
        <f aca="false">IF($O305="","",N($O305)-N($S305))</f>
        <v/>
      </c>
      <c r="U305" s="52" t="str">
        <f aca="false">IF(OR($B305="",$D305=""),"",$B305+N(IFERROR(INDEX(基础资料!$AB$6:$AB$155,MATCH($D305,基础资料!$Z$6:$Z$155,0)),0)))</f>
        <v/>
      </c>
      <c r="V305" s="49" t="str">
        <f aca="false">IF($O305="","","1122")</f>
        <v/>
      </c>
      <c r="W305" s="49" t="str">
        <f aca="false">IF($O305="","","6001")</f>
        <v/>
      </c>
      <c r="X305" s="48" t="str">
        <f aca="false">IF($O305="","",$O305)</f>
        <v/>
      </c>
      <c r="Y305" s="49" t="str">
        <f aca="false">IF(N($P305)=0,"","1122")</f>
        <v/>
      </c>
      <c r="Z305" s="49" t="str">
        <f aca="false">IF(N($P305)=0,"","2221")</f>
        <v/>
      </c>
      <c r="AA305" s="48" t="str">
        <f aca="false">IF(N($P305)=0,"",$P305)</f>
        <v/>
      </c>
      <c r="AB305" s="49" t="str">
        <f aca="false">IF(N($S305)=0,"","6401")</f>
        <v/>
      </c>
      <c r="AC305" s="49" t="str">
        <f aca="false">IF(N($S305)=0,"","1405")</f>
        <v/>
      </c>
      <c r="AD305" s="48" t="str">
        <f aca="false">IF(N($S305)=0,"",$S305)</f>
        <v/>
      </c>
      <c r="AE305" s="49" t="str">
        <f aca="false">IF(AND($D305=客户对账单!$B$3,$B305&gt;=客户对账单!$E$3,$B305&lt;=客户对账单!$H$3),COUNTIFS($D$5:$D305,客户对账单!$B$3,$B$5:$B305,"&gt;="&amp;客户对账单!$E$3,$B$5:$B305,"&lt;="&amp;客户对账单!$H$3),"")</f>
        <v/>
      </c>
    </row>
    <row r="306" customFormat="false" ht="15.75" hidden="false" customHeight="true" outlineLevel="0" collapsed="false">
      <c r="A306" s="42" t="str">
        <f aca="false">IF($B306="","","XS"&amp;TEXT($B306,"yyyymm")&amp;"-"&amp;TEXT(ROW()-4,"000"))</f>
        <v/>
      </c>
      <c r="B306" s="41"/>
      <c r="C306" s="42" t="str">
        <f aca="false">IF($B306="","",TEXT($B306,"yyyy-mm"))</f>
        <v/>
      </c>
      <c r="D306" s="32"/>
      <c r="E306" s="36"/>
      <c r="F306" s="43"/>
      <c r="G306" s="40"/>
      <c r="H306" s="51"/>
      <c r="I306" s="33"/>
      <c r="J306" s="33"/>
      <c r="K306" s="36"/>
      <c r="L306" s="47" t="str">
        <f aca="false">IF($B306="","",IF(NOT(ISNUMBER($B306)),"日期不是日期格式",IF(YEAR($B306)&lt;&gt;首页!$B$3,"不在会计年度",IF($D306="","未选客户",IF(ISNA(MATCH($D306,基础资料!$Z$6:$Z$155,0)),"客户不在档案",IF($E306="","未选商品",IF(ISNA(MATCH($E306,基础资料!$Q$6:$Q$205,0)),"商品不在档案",IF(NOT(ISNUMBER($F306)),"数量须为数字",IF(NOT(ISNUMBER($G306)),"单价须为数字",IF(N($F306)&lt;=0,"数量须大于0",IF(AND(IFERROR(INDEX(基础资料!$V$6:$V$205,MATCH($E306,基础资料!$Q$6:$Q$205,0)),"")="是",N($R306)=0),"无成本价·请先录采购或填参考成本",IF(N($T306)&lt;0,"毛利为负·请核对","√"))))))))))))</f>
        <v/>
      </c>
      <c r="M306" s="49" t="str">
        <f aca="false">IF($E306="","",IFERROR(INDEX(基础资料!$R$6:$R$205,MATCH($E306,基础资料!$Q$6:$Q$205,0)),""))</f>
        <v/>
      </c>
      <c r="N306" s="49" t="str">
        <f aca="false">IF($E306="","",IFERROR(INDEX(基础资料!$S$6:$S$205,MATCH($E306,基础资料!$Q$6:$Q$205,0)),""))</f>
        <v/>
      </c>
      <c r="O306" s="48" t="str">
        <f aca="false">IF(OR($F306="",$G306=""),"",ROUND(N($F306)*N($G306),2))</f>
        <v/>
      </c>
      <c r="P306" s="48" t="str">
        <f aca="false">IF($O306="","",ROUND(N($O306)*N($H306),2))</f>
        <v/>
      </c>
      <c r="Q306" s="48" t="str">
        <f aca="false">IF($O306="","",N($O306)+N($P306))</f>
        <v/>
      </c>
      <c r="R306" s="48" t="str">
        <f aca="false">IF(OR($E306="",$B306=""),"",IF(IFERROR(INDEX(基础资料!$V$6:$V$205,MATCH($E306,基础资料!$Q$6:$Q$205,0)),"")&lt;&gt;"是",0,IFERROR((SUMIFS(期初数据!$T$6:$T$205,期初数据!$O$6:$O$205,$E306)+SUMIFS(采购录入!$Q$5:$Q$404,采购录入!$E$5:$E$404,$E306,采购录入!$I$5:$I$404,"是",采购录入!$B$5:$B$404,"&lt;="&amp;$B306))/(SUMIFS(期初数据!$R$6:$R$205,期初数据!$O$6:$O$205,$E306)+SUMIFS(采购录入!$F$5:$F$404,采购录入!$E$5:$E$404,$E306,采购录入!$I$5:$I$404,"是",采购录入!$B$5:$B$404,"&lt;="&amp;$B306)),IFERROR(INDEX(基础资料!$U$6:$U$205,MATCH($E306,基础资料!$Q$6:$Q$205,0)),0))))</f>
        <v/>
      </c>
      <c r="S306" s="48" t="str">
        <f aca="false">IF($O306="","",ROUND(N($F306)*N($R306),2))</f>
        <v/>
      </c>
      <c r="T306" s="48" t="str">
        <f aca="false">IF($O306="","",N($O306)-N($S306))</f>
        <v/>
      </c>
      <c r="U306" s="52" t="str">
        <f aca="false">IF(OR($B306="",$D306=""),"",$B306+N(IFERROR(INDEX(基础资料!$AB$6:$AB$155,MATCH($D306,基础资料!$Z$6:$Z$155,0)),0)))</f>
        <v/>
      </c>
      <c r="V306" s="49" t="str">
        <f aca="false">IF($O306="","","1122")</f>
        <v/>
      </c>
      <c r="W306" s="49" t="str">
        <f aca="false">IF($O306="","","6001")</f>
        <v/>
      </c>
      <c r="X306" s="48" t="str">
        <f aca="false">IF($O306="","",$O306)</f>
        <v/>
      </c>
      <c r="Y306" s="49" t="str">
        <f aca="false">IF(N($P306)=0,"","1122")</f>
        <v/>
      </c>
      <c r="Z306" s="49" t="str">
        <f aca="false">IF(N($P306)=0,"","2221")</f>
        <v/>
      </c>
      <c r="AA306" s="48" t="str">
        <f aca="false">IF(N($P306)=0,"",$P306)</f>
        <v/>
      </c>
      <c r="AB306" s="49" t="str">
        <f aca="false">IF(N($S306)=0,"","6401")</f>
        <v/>
      </c>
      <c r="AC306" s="49" t="str">
        <f aca="false">IF(N($S306)=0,"","1405")</f>
        <v/>
      </c>
      <c r="AD306" s="48" t="str">
        <f aca="false">IF(N($S306)=0,"",$S306)</f>
        <v/>
      </c>
      <c r="AE306" s="49" t="str">
        <f aca="false">IF(AND($D306=客户对账单!$B$3,$B306&gt;=客户对账单!$E$3,$B306&lt;=客户对账单!$H$3),COUNTIFS($D$5:$D306,客户对账单!$B$3,$B$5:$B306,"&gt;="&amp;客户对账单!$E$3,$B$5:$B306,"&lt;="&amp;客户对账单!$H$3),"")</f>
        <v/>
      </c>
    </row>
    <row r="307" customFormat="false" ht="15.75" hidden="false" customHeight="true" outlineLevel="0" collapsed="false">
      <c r="A307" s="42" t="str">
        <f aca="false">IF($B307="","","XS"&amp;TEXT($B307,"yyyymm")&amp;"-"&amp;TEXT(ROW()-4,"000"))</f>
        <v/>
      </c>
      <c r="B307" s="41"/>
      <c r="C307" s="42" t="str">
        <f aca="false">IF($B307="","",TEXT($B307,"yyyy-mm"))</f>
        <v/>
      </c>
      <c r="D307" s="32"/>
      <c r="E307" s="36"/>
      <c r="F307" s="43"/>
      <c r="G307" s="40"/>
      <c r="H307" s="51"/>
      <c r="I307" s="33"/>
      <c r="J307" s="33"/>
      <c r="K307" s="36"/>
      <c r="L307" s="47" t="str">
        <f aca="false">IF($B307="","",IF(NOT(ISNUMBER($B307)),"日期不是日期格式",IF(YEAR($B307)&lt;&gt;首页!$B$3,"不在会计年度",IF($D307="","未选客户",IF(ISNA(MATCH($D307,基础资料!$Z$6:$Z$155,0)),"客户不在档案",IF($E307="","未选商品",IF(ISNA(MATCH($E307,基础资料!$Q$6:$Q$205,0)),"商品不在档案",IF(NOT(ISNUMBER($F307)),"数量须为数字",IF(NOT(ISNUMBER($G307)),"单价须为数字",IF(N($F307)&lt;=0,"数量须大于0",IF(AND(IFERROR(INDEX(基础资料!$V$6:$V$205,MATCH($E307,基础资料!$Q$6:$Q$205,0)),"")="是",N($R307)=0),"无成本价·请先录采购或填参考成本",IF(N($T307)&lt;0,"毛利为负·请核对","√"))))))))))))</f>
        <v/>
      </c>
      <c r="M307" s="49" t="str">
        <f aca="false">IF($E307="","",IFERROR(INDEX(基础资料!$R$6:$R$205,MATCH($E307,基础资料!$Q$6:$Q$205,0)),""))</f>
        <v/>
      </c>
      <c r="N307" s="49" t="str">
        <f aca="false">IF($E307="","",IFERROR(INDEX(基础资料!$S$6:$S$205,MATCH($E307,基础资料!$Q$6:$Q$205,0)),""))</f>
        <v/>
      </c>
      <c r="O307" s="48" t="str">
        <f aca="false">IF(OR($F307="",$G307=""),"",ROUND(N($F307)*N($G307),2))</f>
        <v/>
      </c>
      <c r="P307" s="48" t="str">
        <f aca="false">IF($O307="","",ROUND(N($O307)*N($H307),2))</f>
        <v/>
      </c>
      <c r="Q307" s="48" t="str">
        <f aca="false">IF($O307="","",N($O307)+N($P307))</f>
        <v/>
      </c>
      <c r="R307" s="48" t="str">
        <f aca="false">IF(OR($E307="",$B307=""),"",IF(IFERROR(INDEX(基础资料!$V$6:$V$205,MATCH($E307,基础资料!$Q$6:$Q$205,0)),"")&lt;&gt;"是",0,IFERROR((SUMIFS(期初数据!$T$6:$T$205,期初数据!$O$6:$O$205,$E307)+SUMIFS(采购录入!$Q$5:$Q$404,采购录入!$E$5:$E$404,$E307,采购录入!$I$5:$I$404,"是",采购录入!$B$5:$B$404,"&lt;="&amp;$B307))/(SUMIFS(期初数据!$R$6:$R$205,期初数据!$O$6:$O$205,$E307)+SUMIFS(采购录入!$F$5:$F$404,采购录入!$E$5:$E$404,$E307,采购录入!$I$5:$I$404,"是",采购录入!$B$5:$B$404,"&lt;="&amp;$B307)),IFERROR(INDEX(基础资料!$U$6:$U$205,MATCH($E307,基础资料!$Q$6:$Q$205,0)),0))))</f>
        <v/>
      </c>
      <c r="S307" s="48" t="str">
        <f aca="false">IF($O307="","",ROUND(N($F307)*N($R307),2))</f>
        <v/>
      </c>
      <c r="T307" s="48" t="str">
        <f aca="false">IF($O307="","",N($O307)-N($S307))</f>
        <v/>
      </c>
      <c r="U307" s="52" t="str">
        <f aca="false">IF(OR($B307="",$D307=""),"",$B307+N(IFERROR(INDEX(基础资料!$AB$6:$AB$155,MATCH($D307,基础资料!$Z$6:$Z$155,0)),0)))</f>
        <v/>
      </c>
      <c r="V307" s="49" t="str">
        <f aca="false">IF($O307="","","1122")</f>
        <v/>
      </c>
      <c r="W307" s="49" t="str">
        <f aca="false">IF($O307="","","6001")</f>
        <v/>
      </c>
      <c r="X307" s="48" t="str">
        <f aca="false">IF($O307="","",$O307)</f>
        <v/>
      </c>
      <c r="Y307" s="49" t="str">
        <f aca="false">IF(N($P307)=0,"","1122")</f>
        <v/>
      </c>
      <c r="Z307" s="49" t="str">
        <f aca="false">IF(N($P307)=0,"","2221")</f>
        <v/>
      </c>
      <c r="AA307" s="48" t="str">
        <f aca="false">IF(N($P307)=0,"",$P307)</f>
        <v/>
      </c>
      <c r="AB307" s="49" t="str">
        <f aca="false">IF(N($S307)=0,"","6401")</f>
        <v/>
      </c>
      <c r="AC307" s="49" t="str">
        <f aca="false">IF(N($S307)=0,"","1405")</f>
        <v/>
      </c>
      <c r="AD307" s="48" t="str">
        <f aca="false">IF(N($S307)=0,"",$S307)</f>
        <v/>
      </c>
      <c r="AE307" s="49" t="str">
        <f aca="false">IF(AND($D307=客户对账单!$B$3,$B307&gt;=客户对账单!$E$3,$B307&lt;=客户对账单!$H$3),COUNTIFS($D$5:$D307,客户对账单!$B$3,$B$5:$B307,"&gt;="&amp;客户对账单!$E$3,$B$5:$B307,"&lt;="&amp;客户对账单!$H$3),"")</f>
        <v/>
      </c>
    </row>
    <row r="308" customFormat="false" ht="15.75" hidden="false" customHeight="true" outlineLevel="0" collapsed="false">
      <c r="A308" s="42" t="str">
        <f aca="false">IF($B308="","","XS"&amp;TEXT($B308,"yyyymm")&amp;"-"&amp;TEXT(ROW()-4,"000"))</f>
        <v/>
      </c>
      <c r="B308" s="41"/>
      <c r="C308" s="42" t="str">
        <f aca="false">IF($B308="","",TEXT($B308,"yyyy-mm"))</f>
        <v/>
      </c>
      <c r="D308" s="32"/>
      <c r="E308" s="36"/>
      <c r="F308" s="43"/>
      <c r="G308" s="40"/>
      <c r="H308" s="51"/>
      <c r="I308" s="33"/>
      <c r="J308" s="33"/>
      <c r="K308" s="36"/>
      <c r="L308" s="47" t="str">
        <f aca="false">IF($B308="","",IF(NOT(ISNUMBER($B308)),"日期不是日期格式",IF(YEAR($B308)&lt;&gt;首页!$B$3,"不在会计年度",IF($D308="","未选客户",IF(ISNA(MATCH($D308,基础资料!$Z$6:$Z$155,0)),"客户不在档案",IF($E308="","未选商品",IF(ISNA(MATCH($E308,基础资料!$Q$6:$Q$205,0)),"商品不在档案",IF(NOT(ISNUMBER($F308)),"数量须为数字",IF(NOT(ISNUMBER($G308)),"单价须为数字",IF(N($F308)&lt;=0,"数量须大于0",IF(AND(IFERROR(INDEX(基础资料!$V$6:$V$205,MATCH($E308,基础资料!$Q$6:$Q$205,0)),"")="是",N($R308)=0),"无成本价·请先录采购或填参考成本",IF(N($T308)&lt;0,"毛利为负·请核对","√"))))))))))))</f>
        <v/>
      </c>
      <c r="M308" s="49" t="str">
        <f aca="false">IF($E308="","",IFERROR(INDEX(基础资料!$R$6:$R$205,MATCH($E308,基础资料!$Q$6:$Q$205,0)),""))</f>
        <v/>
      </c>
      <c r="N308" s="49" t="str">
        <f aca="false">IF($E308="","",IFERROR(INDEX(基础资料!$S$6:$S$205,MATCH($E308,基础资料!$Q$6:$Q$205,0)),""))</f>
        <v/>
      </c>
      <c r="O308" s="48" t="str">
        <f aca="false">IF(OR($F308="",$G308=""),"",ROUND(N($F308)*N($G308),2))</f>
        <v/>
      </c>
      <c r="P308" s="48" t="str">
        <f aca="false">IF($O308="","",ROUND(N($O308)*N($H308),2))</f>
        <v/>
      </c>
      <c r="Q308" s="48" t="str">
        <f aca="false">IF($O308="","",N($O308)+N($P308))</f>
        <v/>
      </c>
      <c r="R308" s="48" t="str">
        <f aca="false">IF(OR($E308="",$B308=""),"",IF(IFERROR(INDEX(基础资料!$V$6:$V$205,MATCH($E308,基础资料!$Q$6:$Q$205,0)),"")&lt;&gt;"是",0,IFERROR((SUMIFS(期初数据!$T$6:$T$205,期初数据!$O$6:$O$205,$E308)+SUMIFS(采购录入!$Q$5:$Q$404,采购录入!$E$5:$E$404,$E308,采购录入!$I$5:$I$404,"是",采购录入!$B$5:$B$404,"&lt;="&amp;$B308))/(SUMIFS(期初数据!$R$6:$R$205,期初数据!$O$6:$O$205,$E308)+SUMIFS(采购录入!$F$5:$F$404,采购录入!$E$5:$E$404,$E308,采购录入!$I$5:$I$404,"是",采购录入!$B$5:$B$404,"&lt;="&amp;$B308)),IFERROR(INDEX(基础资料!$U$6:$U$205,MATCH($E308,基础资料!$Q$6:$Q$205,0)),0))))</f>
        <v/>
      </c>
      <c r="S308" s="48" t="str">
        <f aca="false">IF($O308="","",ROUND(N($F308)*N($R308),2))</f>
        <v/>
      </c>
      <c r="T308" s="48" t="str">
        <f aca="false">IF($O308="","",N($O308)-N($S308))</f>
        <v/>
      </c>
      <c r="U308" s="52" t="str">
        <f aca="false">IF(OR($B308="",$D308=""),"",$B308+N(IFERROR(INDEX(基础资料!$AB$6:$AB$155,MATCH($D308,基础资料!$Z$6:$Z$155,0)),0)))</f>
        <v/>
      </c>
      <c r="V308" s="49" t="str">
        <f aca="false">IF($O308="","","1122")</f>
        <v/>
      </c>
      <c r="W308" s="49" t="str">
        <f aca="false">IF($O308="","","6001")</f>
        <v/>
      </c>
      <c r="X308" s="48" t="str">
        <f aca="false">IF($O308="","",$O308)</f>
        <v/>
      </c>
      <c r="Y308" s="49" t="str">
        <f aca="false">IF(N($P308)=0,"","1122")</f>
        <v/>
      </c>
      <c r="Z308" s="49" t="str">
        <f aca="false">IF(N($P308)=0,"","2221")</f>
        <v/>
      </c>
      <c r="AA308" s="48" t="str">
        <f aca="false">IF(N($P308)=0,"",$P308)</f>
        <v/>
      </c>
      <c r="AB308" s="49" t="str">
        <f aca="false">IF(N($S308)=0,"","6401")</f>
        <v/>
      </c>
      <c r="AC308" s="49" t="str">
        <f aca="false">IF(N($S308)=0,"","1405")</f>
        <v/>
      </c>
      <c r="AD308" s="48" t="str">
        <f aca="false">IF(N($S308)=0,"",$S308)</f>
        <v/>
      </c>
      <c r="AE308" s="49" t="str">
        <f aca="false">IF(AND($D308=客户对账单!$B$3,$B308&gt;=客户对账单!$E$3,$B308&lt;=客户对账单!$H$3),COUNTIFS($D$5:$D308,客户对账单!$B$3,$B$5:$B308,"&gt;="&amp;客户对账单!$E$3,$B$5:$B308,"&lt;="&amp;客户对账单!$H$3),"")</f>
        <v/>
      </c>
    </row>
    <row r="309" customFormat="false" ht="15.75" hidden="false" customHeight="true" outlineLevel="0" collapsed="false">
      <c r="A309" s="42" t="str">
        <f aca="false">IF($B309="","","XS"&amp;TEXT($B309,"yyyymm")&amp;"-"&amp;TEXT(ROW()-4,"000"))</f>
        <v/>
      </c>
      <c r="B309" s="41"/>
      <c r="C309" s="42" t="str">
        <f aca="false">IF($B309="","",TEXT($B309,"yyyy-mm"))</f>
        <v/>
      </c>
      <c r="D309" s="32"/>
      <c r="E309" s="36"/>
      <c r="F309" s="43"/>
      <c r="G309" s="40"/>
      <c r="H309" s="51"/>
      <c r="I309" s="33"/>
      <c r="J309" s="33"/>
      <c r="K309" s="36"/>
      <c r="L309" s="47" t="str">
        <f aca="false">IF($B309="","",IF(NOT(ISNUMBER($B309)),"日期不是日期格式",IF(YEAR($B309)&lt;&gt;首页!$B$3,"不在会计年度",IF($D309="","未选客户",IF(ISNA(MATCH($D309,基础资料!$Z$6:$Z$155,0)),"客户不在档案",IF($E309="","未选商品",IF(ISNA(MATCH($E309,基础资料!$Q$6:$Q$205,0)),"商品不在档案",IF(NOT(ISNUMBER($F309)),"数量须为数字",IF(NOT(ISNUMBER($G309)),"单价须为数字",IF(N($F309)&lt;=0,"数量须大于0",IF(AND(IFERROR(INDEX(基础资料!$V$6:$V$205,MATCH($E309,基础资料!$Q$6:$Q$205,0)),"")="是",N($R309)=0),"无成本价·请先录采购或填参考成本",IF(N($T309)&lt;0,"毛利为负·请核对","√"))))))))))))</f>
        <v/>
      </c>
      <c r="M309" s="49" t="str">
        <f aca="false">IF($E309="","",IFERROR(INDEX(基础资料!$R$6:$R$205,MATCH($E309,基础资料!$Q$6:$Q$205,0)),""))</f>
        <v/>
      </c>
      <c r="N309" s="49" t="str">
        <f aca="false">IF($E309="","",IFERROR(INDEX(基础资料!$S$6:$S$205,MATCH($E309,基础资料!$Q$6:$Q$205,0)),""))</f>
        <v/>
      </c>
      <c r="O309" s="48" t="str">
        <f aca="false">IF(OR($F309="",$G309=""),"",ROUND(N($F309)*N($G309),2))</f>
        <v/>
      </c>
      <c r="P309" s="48" t="str">
        <f aca="false">IF($O309="","",ROUND(N($O309)*N($H309),2))</f>
        <v/>
      </c>
      <c r="Q309" s="48" t="str">
        <f aca="false">IF($O309="","",N($O309)+N($P309))</f>
        <v/>
      </c>
      <c r="R309" s="48" t="str">
        <f aca="false">IF(OR($E309="",$B309=""),"",IF(IFERROR(INDEX(基础资料!$V$6:$V$205,MATCH($E309,基础资料!$Q$6:$Q$205,0)),"")&lt;&gt;"是",0,IFERROR((SUMIFS(期初数据!$T$6:$T$205,期初数据!$O$6:$O$205,$E309)+SUMIFS(采购录入!$Q$5:$Q$404,采购录入!$E$5:$E$404,$E309,采购录入!$I$5:$I$404,"是",采购录入!$B$5:$B$404,"&lt;="&amp;$B309))/(SUMIFS(期初数据!$R$6:$R$205,期初数据!$O$6:$O$205,$E309)+SUMIFS(采购录入!$F$5:$F$404,采购录入!$E$5:$E$404,$E309,采购录入!$I$5:$I$404,"是",采购录入!$B$5:$B$404,"&lt;="&amp;$B309)),IFERROR(INDEX(基础资料!$U$6:$U$205,MATCH($E309,基础资料!$Q$6:$Q$205,0)),0))))</f>
        <v/>
      </c>
      <c r="S309" s="48" t="str">
        <f aca="false">IF($O309="","",ROUND(N($F309)*N($R309),2))</f>
        <v/>
      </c>
      <c r="T309" s="48" t="str">
        <f aca="false">IF($O309="","",N($O309)-N($S309))</f>
        <v/>
      </c>
      <c r="U309" s="52" t="str">
        <f aca="false">IF(OR($B309="",$D309=""),"",$B309+N(IFERROR(INDEX(基础资料!$AB$6:$AB$155,MATCH($D309,基础资料!$Z$6:$Z$155,0)),0)))</f>
        <v/>
      </c>
      <c r="V309" s="49" t="str">
        <f aca="false">IF($O309="","","1122")</f>
        <v/>
      </c>
      <c r="W309" s="49" t="str">
        <f aca="false">IF($O309="","","6001")</f>
        <v/>
      </c>
      <c r="X309" s="48" t="str">
        <f aca="false">IF($O309="","",$O309)</f>
        <v/>
      </c>
      <c r="Y309" s="49" t="str">
        <f aca="false">IF(N($P309)=0,"","1122")</f>
        <v/>
      </c>
      <c r="Z309" s="49" t="str">
        <f aca="false">IF(N($P309)=0,"","2221")</f>
        <v/>
      </c>
      <c r="AA309" s="48" t="str">
        <f aca="false">IF(N($P309)=0,"",$P309)</f>
        <v/>
      </c>
      <c r="AB309" s="49" t="str">
        <f aca="false">IF(N($S309)=0,"","6401")</f>
        <v/>
      </c>
      <c r="AC309" s="49" t="str">
        <f aca="false">IF(N($S309)=0,"","1405")</f>
        <v/>
      </c>
      <c r="AD309" s="48" t="str">
        <f aca="false">IF(N($S309)=0,"",$S309)</f>
        <v/>
      </c>
      <c r="AE309" s="49" t="str">
        <f aca="false">IF(AND($D309=客户对账单!$B$3,$B309&gt;=客户对账单!$E$3,$B309&lt;=客户对账单!$H$3),COUNTIFS($D$5:$D309,客户对账单!$B$3,$B$5:$B309,"&gt;="&amp;客户对账单!$E$3,$B$5:$B309,"&lt;="&amp;客户对账单!$H$3),"")</f>
        <v/>
      </c>
    </row>
    <row r="310" customFormat="false" ht="15.75" hidden="false" customHeight="true" outlineLevel="0" collapsed="false">
      <c r="A310" s="42" t="str">
        <f aca="false">IF($B310="","","XS"&amp;TEXT($B310,"yyyymm")&amp;"-"&amp;TEXT(ROW()-4,"000"))</f>
        <v/>
      </c>
      <c r="B310" s="41"/>
      <c r="C310" s="42" t="str">
        <f aca="false">IF($B310="","",TEXT($B310,"yyyy-mm"))</f>
        <v/>
      </c>
      <c r="D310" s="32"/>
      <c r="E310" s="36"/>
      <c r="F310" s="43"/>
      <c r="G310" s="40"/>
      <c r="H310" s="51"/>
      <c r="I310" s="33"/>
      <c r="J310" s="33"/>
      <c r="K310" s="36"/>
      <c r="L310" s="47" t="str">
        <f aca="false">IF($B310="","",IF(NOT(ISNUMBER($B310)),"日期不是日期格式",IF(YEAR($B310)&lt;&gt;首页!$B$3,"不在会计年度",IF($D310="","未选客户",IF(ISNA(MATCH($D310,基础资料!$Z$6:$Z$155,0)),"客户不在档案",IF($E310="","未选商品",IF(ISNA(MATCH($E310,基础资料!$Q$6:$Q$205,0)),"商品不在档案",IF(NOT(ISNUMBER($F310)),"数量须为数字",IF(NOT(ISNUMBER($G310)),"单价须为数字",IF(N($F310)&lt;=0,"数量须大于0",IF(AND(IFERROR(INDEX(基础资料!$V$6:$V$205,MATCH($E310,基础资料!$Q$6:$Q$205,0)),"")="是",N($R310)=0),"无成本价·请先录采购或填参考成本",IF(N($T310)&lt;0,"毛利为负·请核对","√"))))))))))))</f>
        <v/>
      </c>
      <c r="M310" s="49" t="str">
        <f aca="false">IF($E310="","",IFERROR(INDEX(基础资料!$R$6:$R$205,MATCH($E310,基础资料!$Q$6:$Q$205,0)),""))</f>
        <v/>
      </c>
      <c r="N310" s="49" t="str">
        <f aca="false">IF($E310="","",IFERROR(INDEX(基础资料!$S$6:$S$205,MATCH($E310,基础资料!$Q$6:$Q$205,0)),""))</f>
        <v/>
      </c>
      <c r="O310" s="48" t="str">
        <f aca="false">IF(OR($F310="",$G310=""),"",ROUND(N($F310)*N($G310),2))</f>
        <v/>
      </c>
      <c r="P310" s="48" t="str">
        <f aca="false">IF($O310="","",ROUND(N($O310)*N($H310),2))</f>
        <v/>
      </c>
      <c r="Q310" s="48" t="str">
        <f aca="false">IF($O310="","",N($O310)+N($P310))</f>
        <v/>
      </c>
      <c r="R310" s="48" t="str">
        <f aca="false">IF(OR($E310="",$B310=""),"",IF(IFERROR(INDEX(基础资料!$V$6:$V$205,MATCH($E310,基础资料!$Q$6:$Q$205,0)),"")&lt;&gt;"是",0,IFERROR((SUMIFS(期初数据!$T$6:$T$205,期初数据!$O$6:$O$205,$E310)+SUMIFS(采购录入!$Q$5:$Q$404,采购录入!$E$5:$E$404,$E310,采购录入!$I$5:$I$404,"是",采购录入!$B$5:$B$404,"&lt;="&amp;$B310))/(SUMIFS(期初数据!$R$6:$R$205,期初数据!$O$6:$O$205,$E310)+SUMIFS(采购录入!$F$5:$F$404,采购录入!$E$5:$E$404,$E310,采购录入!$I$5:$I$404,"是",采购录入!$B$5:$B$404,"&lt;="&amp;$B310)),IFERROR(INDEX(基础资料!$U$6:$U$205,MATCH($E310,基础资料!$Q$6:$Q$205,0)),0))))</f>
        <v/>
      </c>
      <c r="S310" s="48" t="str">
        <f aca="false">IF($O310="","",ROUND(N($F310)*N($R310),2))</f>
        <v/>
      </c>
      <c r="T310" s="48" t="str">
        <f aca="false">IF($O310="","",N($O310)-N($S310))</f>
        <v/>
      </c>
      <c r="U310" s="52" t="str">
        <f aca="false">IF(OR($B310="",$D310=""),"",$B310+N(IFERROR(INDEX(基础资料!$AB$6:$AB$155,MATCH($D310,基础资料!$Z$6:$Z$155,0)),0)))</f>
        <v/>
      </c>
      <c r="V310" s="49" t="str">
        <f aca="false">IF($O310="","","1122")</f>
        <v/>
      </c>
      <c r="W310" s="49" t="str">
        <f aca="false">IF($O310="","","6001")</f>
        <v/>
      </c>
      <c r="X310" s="48" t="str">
        <f aca="false">IF($O310="","",$O310)</f>
        <v/>
      </c>
      <c r="Y310" s="49" t="str">
        <f aca="false">IF(N($P310)=0,"","1122")</f>
        <v/>
      </c>
      <c r="Z310" s="49" t="str">
        <f aca="false">IF(N($P310)=0,"","2221")</f>
        <v/>
      </c>
      <c r="AA310" s="48" t="str">
        <f aca="false">IF(N($P310)=0,"",$P310)</f>
        <v/>
      </c>
      <c r="AB310" s="49" t="str">
        <f aca="false">IF(N($S310)=0,"","6401")</f>
        <v/>
      </c>
      <c r="AC310" s="49" t="str">
        <f aca="false">IF(N($S310)=0,"","1405")</f>
        <v/>
      </c>
      <c r="AD310" s="48" t="str">
        <f aca="false">IF(N($S310)=0,"",$S310)</f>
        <v/>
      </c>
      <c r="AE310" s="49" t="str">
        <f aca="false">IF(AND($D310=客户对账单!$B$3,$B310&gt;=客户对账单!$E$3,$B310&lt;=客户对账单!$H$3),COUNTIFS($D$5:$D310,客户对账单!$B$3,$B$5:$B310,"&gt;="&amp;客户对账单!$E$3,$B$5:$B310,"&lt;="&amp;客户对账单!$H$3),"")</f>
        <v/>
      </c>
    </row>
    <row r="311" customFormat="false" ht="15.75" hidden="false" customHeight="true" outlineLevel="0" collapsed="false">
      <c r="A311" s="42" t="str">
        <f aca="false">IF($B311="","","XS"&amp;TEXT($B311,"yyyymm")&amp;"-"&amp;TEXT(ROW()-4,"000"))</f>
        <v/>
      </c>
      <c r="B311" s="41"/>
      <c r="C311" s="42" t="str">
        <f aca="false">IF($B311="","",TEXT($B311,"yyyy-mm"))</f>
        <v/>
      </c>
      <c r="D311" s="32"/>
      <c r="E311" s="36"/>
      <c r="F311" s="43"/>
      <c r="G311" s="40"/>
      <c r="H311" s="51"/>
      <c r="I311" s="33"/>
      <c r="J311" s="33"/>
      <c r="K311" s="36"/>
      <c r="L311" s="47" t="str">
        <f aca="false">IF($B311="","",IF(NOT(ISNUMBER($B311)),"日期不是日期格式",IF(YEAR($B311)&lt;&gt;首页!$B$3,"不在会计年度",IF($D311="","未选客户",IF(ISNA(MATCH($D311,基础资料!$Z$6:$Z$155,0)),"客户不在档案",IF($E311="","未选商品",IF(ISNA(MATCH($E311,基础资料!$Q$6:$Q$205,0)),"商品不在档案",IF(NOT(ISNUMBER($F311)),"数量须为数字",IF(NOT(ISNUMBER($G311)),"单价须为数字",IF(N($F311)&lt;=0,"数量须大于0",IF(AND(IFERROR(INDEX(基础资料!$V$6:$V$205,MATCH($E311,基础资料!$Q$6:$Q$205,0)),"")="是",N($R311)=0),"无成本价·请先录采购或填参考成本",IF(N($T311)&lt;0,"毛利为负·请核对","√"))))))))))))</f>
        <v/>
      </c>
      <c r="M311" s="49" t="str">
        <f aca="false">IF($E311="","",IFERROR(INDEX(基础资料!$R$6:$R$205,MATCH($E311,基础资料!$Q$6:$Q$205,0)),""))</f>
        <v/>
      </c>
      <c r="N311" s="49" t="str">
        <f aca="false">IF($E311="","",IFERROR(INDEX(基础资料!$S$6:$S$205,MATCH($E311,基础资料!$Q$6:$Q$205,0)),""))</f>
        <v/>
      </c>
      <c r="O311" s="48" t="str">
        <f aca="false">IF(OR($F311="",$G311=""),"",ROUND(N($F311)*N($G311),2))</f>
        <v/>
      </c>
      <c r="P311" s="48" t="str">
        <f aca="false">IF($O311="","",ROUND(N($O311)*N($H311),2))</f>
        <v/>
      </c>
      <c r="Q311" s="48" t="str">
        <f aca="false">IF($O311="","",N($O311)+N($P311))</f>
        <v/>
      </c>
      <c r="R311" s="48" t="str">
        <f aca="false">IF(OR($E311="",$B311=""),"",IF(IFERROR(INDEX(基础资料!$V$6:$V$205,MATCH($E311,基础资料!$Q$6:$Q$205,0)),"")&lt;&gt;"是",0,IFERROR((SUMIFS(期初数据!$T$6:$T$205,期初数据!$O$6:$O$205,$E311)+SUMIFS(采购录入!$Q$5:$Q$404,采购录入!$E$5:$E$404,$E311,采购录入!$I$5:$I$404,"是",采购录入!$B$5:$B$404,"&lt;="&amp;$B311))/(SUMIFS(期初数据!$R$6:$R$205,期初数据!$O$6:$O$205,$E311)+SUMIFS(采购录入!$F$5:$F$404,采购录入!$E$5:$E$404,$E311,采购录入!$I$5:$I$404,"是",采购录入!$B$5:$B$404,"&lt;="&amp;$B311)),IFERROR(INDEX(基础资料!$U$6:$U$205,MATCH($E311,基础资料!$Q$6:$Q$205,0)),0))))</f>
        <v/>
      </c>
      <c r="S311" s="48" t="str">
        <f aca="false">IF($O311="","",ROUND(N($F311)*N($R311),2))</f>
        <v/>
      </c>
      <c r="T311" s="48" t="str">
        <f aca="false">IF($O311="","",N($O311)-N($S311))</f>
        <v/>
      </c>
      <c r="U311" s="52" t="str">
        <f aca="false">IF(OR($B311="",$D311=""),"",$B311+N(IFERROR(INDEX(基础资料!$AB$6:$AB$155,MATCH($D311,基础资料!$Z$6:$Z$155,0)),0)))</f>
        <v/>
      </c>
      <c r="V311" s="49" t="str">
        <f aca="false">IF($O311="","","1122")</f>
        <v/>
      </c>
      <c r="W311" s="49" t="str">
        <f aca="false">IF($O311="","","6001")</f>
        <v/>
      </c>
      <c r="X311" s="48" t="str">
        <f aca="false">IF($O311="","",$O311)</f>
        <v/>
      </c>
      <c r="Y311" s="49" t="str">
        <f aca="false">IF(N($P311)=0,"","1122")</f>
        <v/>
      </c>
      <c r="Z311" s="49" t="str">
        <f aca="false">IF(N($P311)=0,"","2221")</f>
        <v/>
      </c>
      <c r="AA311" s="48" t="str">
        <f aca="false">IF(N($P311)=0,"",$P311)</f>
        <v/>
      </c>
      <c r="AB311" s="49" t="str">
        <f aca="false">IF(N($S311)=0,"","6401")</f>
        <v/>
      </c>
      <c r="AC311" s="49" t="str">
        <f aca="false">IF(N($S311)=0,"","1405")</f>
        <v/>
      </c>
      <c r="AD311" s="48" t="str">
        <f aca="false">IF(N($S311)=0,"",$S311)</f>
        <v/>
      </c>
      <c r="AE311" s="49" t="str">
        <f aca="false">IF(AND($D311=客户对账单!$B$3,$B311&gt;=客户对账单!$E$3,$B311&lt;=客户对账单!$H$3),COUNTIFS($D$5:$D311,客户对账单!$B$3,$B$5:$B311,"&gt;="&amp;客户对账单!$E$3,$B$5:$B311,"&lt;="&amp;客户对账单!$H$3),"")</f>
        <v/>
      </c>
    </row>
    <row r="312" customFormat="false" ht="15.75" hidden="false" customHeight="true" outlineLevel="0" collapsed="false">
      <c r="A312" s="42" t="str">
        <f aca="false">IF($B312="","","XS"&amp;TEXT($B312,"yyyymm")&amp;"-"&amp;TEXT(ROW()-4,"000"))</f>
        <v/>
      </c>
      <c r="B312" s="41"/>
      <c r="C312" s="42" t="str">
        <f aca="false">IF($B312="","",TEXT($B312,"yyyy-mm"))</f>
        <v/>
      </c>
      <c r="D312" s="32"/>
      <c r="E312" s="36"/>
      <c r="F312" s="43"/>
      <c r="G312" s="40"/>
      <c r="H312" s="51"/>
      <c r="I312" s="33"/>
      <c r="J312" s="33"/>
      <c r="K312" s="36"/>
      <c r="L312" s="47" t="str">
        <f aca="false">IF($B312="","",IF(NOT(ISNUMBER($B312)),"日期不是日期格式",IF(YEAR($B312)&lt;&gt;首页!$B$3,"不在会计年度",IF($D312="","未选客户",IF(ISNA(MATCH($D312,基础资料!$Z$6:$Z$155,0)),"客户不在档案",IF($E312="","未选商品",IF(ISNA(MATCH($E312,基础资料!$Q$6:$Q$205,0)),"商品不在档案",IF(NOT(ISNUMBER($F312)),"数量须为数字",IF(NOT(ISNUMBER($G312)),"单价须为数字",IF(N($F312)&lt;=0,"数量须大于0",IF(AND(IFERROR(INDEX(基础资料!$V$6:$V$205,MATCH($E312,基础资料!$Q$6:$Q$205,0)),"")="是",N($R312)=0),"无成本价·请先录采购或填参考成本",IF(N($T312)&lt;0,"毛利为负·请核对","√"))))))))))))</f>
        <v/>
      </c>
      <c r="M312" s="49" t="str">
        <f aca="false">IF($E312="","",IFERROR(INDEX(基础资料!$R$6:$R$205,MATCH($E312,基础资料!$Q$6:$Q$205,0)),""))</f>
        <v/>
      </c>
      <c r="N312" s="49" t="str">
        <f aca="false">IF($E312="","",IFERROR(INDEX(基础资料!$S$6:$S$205,MATCH($E312,基础资料!$Q$6:$Q$205,0)),""))</f>
        <v/>
      </c>
      <c r="O312" s="48" t="str">
        <f aca="false">IF(OR($F312="",$G312=""),"",ROUND(N($F312)*N($G312),2))</f>
        <v/>
      </c>
      <c r="P312" s="48" t="str">
        <f aca="false">IF($O312="","",ROUND(N($O312)*N($H312),2))</f>
        <v/>
      </c>
      <c r="Q312" s="48" t="str">
        <f aca="false">IF($O312="","",N($O312)+N($P312))</f>
        <v/>
      </c>
      <c r="R312" s="48" t="str">
        <f aca="false">IF(OR($E312="",$B312=""),"",IF(IFERROR(INDEX(基础资料!$V$6:$V$205,MATCH($E312,基础资料!$Q$6:$Q$205,0)),"")&lt;&gt;"是",0,IFERROR((SUMIFS(期初数据!$T$6:$T$205,期初数据!$O$6:$O$205,$E312)+SUMIFS(采购录入!$Q$5:$Q$404,采购录入!$E$5:$E$404,$E312,采购录入!$I$5:$I$404,"是",采购录入!$B$5:$B$404,"&lt;="&amp;$B312))/(SUMIFS(期初数据!$R$6:$R$205,期初数据!$O$6:$O$205,$E312)+SUMIFS(采购录入!$F$5:$F$404,采购录入!$E$5:$E$404,$E312,采购录入!$I$5:$I$404,"是",采购录入!$B$5:$B$404,"&lt;="&amp;$B312)),IFERROR(INDEX(基础资料!$U$6:$U$205,MATCH($E312,基础资料!$Q$6:$Q$205,0)),0))))</f>
        <v/>
      </c>
      <c r="S312" s="48" t="str">
        <f aca="false">IF($O312="","",ROUND(N($F312)*N($R312),2))</f>
        <v/>
      </c>
      <c r="T312" s="48" t="str">
        <f aca="false">IF($O312="","",N($O312)-N($S312))</f>
        <v/>
      </c>
      <c r="U312" s="52" t="str">
        <f aca="false">IF(OR($B312="",$D312=""),"",$B312+N(IFERROR(INDEX(基础资料!$AB$6:$AB$155,MATCH($D312,基础资料!$Z$6:$Z$155,0)),0)))</f>
        <v/>
      </c>
      <c r="V312" s="49" t="str">
        <f aca="false">IF($O312="","","1122")</f>
        <v/>
      </c>
      <c r="W312" s="49" t="str">
        <f aca="false">IF($O312="","","6001")</f>
        <v/>
      </c>
      <c r="X312" s="48" t="str">
        <f aca="false">IF($O312="","",$O312)</f>
        <v/>
      </c>
      <c r="Y312" s="49" t="str">
        <f aca="false">IF(N($P312)=0,"","1122")</f>
        <v/>
      </c>
      <c r="Z312" s="49" t="str">
        <f aca="false">IF(N($P312)=0,"","2221")</f>
        <v/>
      </c>
      <c r="AA312" s="48" t="str">
        <f aca="false">IF(N($P312)=0,"",$P312)</f>
        <v/>
      </c>
      <c r="AB312" s="49" t="str">
        <f aca="false">IF(N($S312)=0,"","6401")</f>
        <v/>
      </c>
      <c r="AC312" s="49" t="str">
        <f aca="false">IF(N($S312)=0,"","1405")</f>
        <v/>
      </c>
      <c r="AD312" s="48" t="str">
        <f aca="false">IF(N($S312)=0,"",$S312)</f>
        <v/>
      </c>
      <c r="AE312" s="49" t="str">
        <f aca="false">IF(AND($D312=客户对账单!$B$3,$B312&gt;=客户对账单!$E$3,$B312&lt;=客户对账单!$H$3),COUNTIFS($D$5:$D312,客户对账单!$B$3,$B$5:$B312,"&gt;="&amp;客户对账单!$E$3,$B$5:$B312,"&lt;="&amp;客户对账单!$H$3),"")</f>
        <v/>
      </c>
    </row>
    <row r="313" customFormat="false" ht="15.75" hidden="false" customHeight="true" outlineLevel="0" collapsed="false">
      <c r="A313" s="42" t="str">
        <f aca="false">IF($B313="","","XS"&amp;TEXT($B313,"yyyymm")&amp;"-"&amp;TEXT(ROW()-4,"000"))</f>
        <v/>
      </c>
      <c r="B313" s="41"/>
      <c r="C313" s="42" t="str">
        <f aca="false">IF($B313="","",TEXT($B313,"yyyy-mm"))</f>
        <v/>
      </c>
      <c r="D313" s="32"/>
      <c r="E313" s="36"/>
      <c r="F313" s="43"/>
      <c r="G313" s="40"/>
      <c r="H313" s="51"/>
      <c r="I313" s="33"/>
      <c r="J313" s="33"/>
      <c r="K313" s="36"/>
      <c r="L313" s="47" t="str">
        <f aca="false">IF($B313="","",IF(NOT(ISNUMBER($B313)),"日期不是日期格式",IF(YEAR($B313)&lt;&gt;首页!$B$3,"不在会计年度",IF($D313="","未选客户",IF(ISNA(MATCH($D313,基础资料!$Z$6:$Z$155,0)),"客户不在档案",IF($E313="","未选商品",IF(ISNA(MATCH($E313,基础资料!$Q$6:$Q$205,0)),"商品不在档案",IF(NOT(ISNUMBER($F313)),"数量须为数字",IF(NOT(ISNUMBER($G313)),"单价须为数字",IF(N($F313)&lt;=0,"数量须大于0",IF(AND(IFERROR(INDEX(基础资料!$V$6:$V$205,MATCH($E313,基础资料!$Q$6:$Q$205,0)),"")="是",N($R313)=0),"无成本价·请先录采购或填参考成本",IF(N($T313)&lt;0,"毛利为负·请核对","√"))))))))))))</f>
        <v/>
      </c>
      <c r="M313" s="49" t="str">
        <f aca="false">IF($E313="","",IFERROR(INDEX(基础资料!$R$6:$R$205,MATCH($E313,基础资料!$Q$6:$Q$205,0)),""))</f>
        <v/>
      </c>
      <c r="N313" s="49" t="str">
        <f aca="false">IF($E313="","",IFERROR(INDEX(基础资料!$S$6:$S$205,MATCH($E313,基础资料!$Q$6:$Q$205,0)),""))</f>
        <v/>
      </c>
      <c r="O313" s="48" t="str">
        <f aca="false">IF(OR($F313="",$G313=""),"",ROUND(N($F313)*N($G313),2))</f>
        <v/>
      </c>
      <c r="P313" s="48" t="str">
        <f aca="false">IF($O313="","",ROUND(N($O313)*N($H313),2))</f>
        <v/>
      </c>
      <c r="Q313" s="48" t="str">
        <f aca="false">IF($O313="","",N($O313)+N($P313))</f>
        <v/>
      </c>
      <c r="R313" s="48" t="str">
        <f aca="false">IF(OR($E313="",$B313=""),"",IF(IFERROR(INDEX(基础资料!$V$6:$V$205,MATCH($E313,基础资料!$Q$6:$Q$205,0)),"")&lt;&gt;"是",0,IFERROR((SUMIFS(期初数据!$T$6:$T$205,期初数据!$O$6:$O$205,$E313)+SUMIFS(采购录入!$Q$5:$Q$404,采购录入!$E$5:$E$404,$E313,采购录入!$I$5:$I$404,"是",采购录入!$B$5:$B$404,"&lt;="&amp;$B313))/(SUMIFS(期初数据!$R$6:$R$205,期初数据!$O$6:$O$205,$E313)+SUMIFS(采购录入!$F$5:$F$404,采购录入!$E$5:$E$404,$E313,采购录入!$I$5:$I$404,"是",采购录入!$B$5:$B$404,"&lt;="&amp;$B313)),IFERROR(INDEX(基础资料!$U$6:$U$205,MATCH($E313,基础资料!$Q$6:$Q$205,0)),0))))</f>
        <v/>
      </c>
      <c r="S313" s="48" t="str">
        <f aca="false">IF($O313="","",ROUND(N($F313)*N($R313),2))</f>
        <v/>
      </c>
      <c r="T313" s="48" t="str">
        <f aca="false">IF($O313="","",N($O313)-N($S313))</f>
        <v/>
      </c>
      <c r="U313" s="52" t="str">
        <f aca="false">IF(OR($B313="",$D313=""),"",$B313+N(IFERROR(INDEX(基础资料!$AB$6:$AB$155,MATCH($D313,基础资料!$Z$6:$Z$155,0)),0)))</f>
        <v/>
      </c>
      <c r="V313" s="49" t="str">
        <f aca="false">IF($O313="","","1122")</f>
        <v/>
      </c>
      <c r="W313" s="49" t="str">
        <f aca="false">IF($O313="","","6001")</f>
        <v/>
      </c>
      <c r="X313" s="48" t="str">
        <f aca="false">IF($O313="","",$O313)</f>
        <v/>
      </c>
      <c r="Y313" s="49" t="str">
        <f aca="false">IF(N($P313)=0,"","1122")</f>
        <v/>
      </c>
      <c r="Z313" s="49" t="str">
        <f aca="false">IF(N($P313)=0,"","2221")</f>
        <v/>
      </c>
      <c r="AA313" s="48" t="str">
        <f aca="false">IF(N($P313)=0,"",$P313)</f>
        <v/>
      </c>
      <c r="AB313" s="49" t="str">
        <f aca="false">IF(N($S313)=0,"","6401")</f>
        <v/>
      </c>
      <c r="AC313" s="49" t="str">
        <f aca="false">IF(N($S313)=0,"","1405")</f>
        <v/>
      </c>
      <c r="AD313" s="48" t="str">
        <f aca="false">IF(N($S313)=0,"",$S313)</f>
        <v/>
      </c>
      <c r="AE313" s="49" t="str">
        <f aca="false">IF(AND($D313=客户对账单!$B$3,$B313&gt;=客户对账单!$E$3,$B313&lt;=客户对账单!$H$3),COUNTIFS($D$5:$D313,客户对账单!$B$3,$B$5:$B313,"&gt;="&amp;客户对账单!$E$3,$B$5:$B313,"&lt;="&amp;客户对账单!$H$3),"")</f>
        <v/>
      </c>
    </row>
    <row r="314" customFormat="false" ht="15.75" hidden="false" customHeight="true" outlineLevel="0" collapsed="false">
      <c r="A314" s="42" t="str">
        <f aca="false">IF($B314="","","XS"&amp;TEXT($B314,"yyyymm")&amp;"-"&amp;TEXT(ROW()-4,"000"))</f>
        <v/>
      </c>
      <c r="B314" s="41"/>
      <c r="C314" s="42" t="str">
        <f aca="false">IF($B314="","",TEXT($B314,"yyyy-mm"))</f>
        <v/>
      </c>
      <c r="D314" s="32"/>
      <c r="E314" s="36"/>
      <c r="F314" s="43"/>
      <c r="G314" s="40"/>
      <c r="H314" s="51"/>
      <c r="I314" s="33"/>
      <c r="J314" s="33"/>
      <c r="K314" s="36"/>
      <c r="L314" s="47" t="str">
        <f aca="false">IF($B314="","",IF(NOT(ISNUMBER($B314)),"日期不是日期格式",IF(YEAR($B314)&lt;&gt;首页!$B$3,"不在会计年度",IF($D314="","未选客户",IF(ISNA(MATCH($D314,基础资料!$Z$6:$Z$155,0)),"客户不在档案",IF($E314="","未选商品",IF(ISNA(MATCH($E314,基础资料!$Q$6:$Q$205,0)),"商品不在档案",IF(NOT(ISNUMBER($F314)),"数量须为数字",IF(NOT(ISNUMBER($G314)),"单价须为数字",IF(N($F314)&lt;=0,"数量须大于0",IF(AND(IFERROR(INDEX(基础资料!$V$6:$V$205,MATCH($E314,基础资料!$Q$6:$Q$205,0)),"")="是",N($R314)=0),"无成本价·请先录采购或填参考成本",IF(N($T314)&lt;0,"毛利为负·请核对","√"))))))))))))</f>
        <v/>
      </c>
      <c r="M314" s="49" t="str">
        <f aca="false">IF($E314="","",IFERROR(INDEX(基础资料!$R$6:$R$205,MATCH($E314,基础资料!$Q$6:$Q$205,0)),""))</f>
        <v/>
      </c>
      <c r="N314" s="49" t="str">
        <f aca="false">IF($E314="","",IFERROR(INDEX(基础资料!$S$6:$S$205,MATCH($E314,基础资料!$Q$6:$Q$205,0)),""))</f>
        <v/>
      </c>
      <c r="O314" s="48" t="str">
        <f aca="false">IF(OR($F314="",$G314=""),"",ROUND(N($F314)*N($G314),2))</f>
        <v/>
      </c>
      <c r="P314" s="48" t="str">
        <f aca="false">IF($O314="","",ROUND(N($O314)*N($H314),2))</f>
        <v/>
      </c>
      <c r="Q314" s="48" t="str">
        <f aca="false">IF($O314="","",N($O314)+N($P314))</f>
        <v/>
      </c>
      <c r="R314" s="48" t="str">
        <f aca="false">IF(OR($E314="",$B314=""),"",IF(IFERROR(INDEX(基础资料!$V$6:$V$205,MATCH($E314,基础资料!$Q$6:$Q$205,0)),"")&lt;&gt;"是",0,IFERROR((SUMIFS(期初数据!$T$6:$T$205,期初数据!$O$6:$O$205,$E314)+SUMIFS(采购录入!$Q$5:$Q$404,采购录入!$E$5:$E$404,$E314,采购录入!$I$5:$I$404,"是",采购录入!$B$5:$B$404,"&lt;="&amp;$B314))/(SUMIFS(期初数据!$R$6:$R$205,期初数据!$O$6:$O$205,$E314)+SUMIFS(采购录入!$F$5:$F$404,采购录入!$E$5:$E$404,$E314,采购录入!$I$5:$I$404,"是",采购录入!$B$5:$B$404,"&lt;="&amp;$B314)),IFERROR(INDEX(基础资料!$U$6:$U$205,MATCH($E314,基础资料!$Q$6:$Q$205,0)),0))))</f>
        <v/>
      </c>
      <c r="S314" s="48" t="str">
        <f aca="false">IF($O314="","",ROUND(N($F314)*N($R314),2))</f>
        <v/>
      </c>
      <c r="T314" s="48" t="str">
        <f aca="false">IF($O314="","",N($O314)-N($S314))</f>
        <v/>
      </c>
      <c r="U314" s="52" t="str">
        <f aca="false">IF(OR($B314="",$D314=""),"",$B314+N(IFERROR(INDEX(基础资料!$AB$6:$AB$155,MATCH($D314,基础资料!$Z$6:$Z$155,0)),0)))</f>
        <v/>
      </c>
      <c r="V314" s="49" t="str">
        <f aca="false">IF($O314="","","1122")</f>
        <v/>
      </c>
      <c r="W314" s="49" t="str">
        <f aca="false">IF($O314="","","6001")</f>
        <v/>
      </c>
      <c r="X314" s="48" t="str">
        <f aca="false">IF($O314="","",$O314)</f>
        <v/>
      </c>
      <c r="Y314" s="49" t="str">
        <f aca="false">IF(N($P314)=0,"","1122")</f>
        <v/>
      </c>
      <c r="Z314" s="49" t="str">
        <f aca="false">IF(N($P314)=0,"","2221")</f>
        <v/>
      </c>
      <c r="AA314" s="48" t="str">
        <f aca="false">IF(N($P314)=0,"",$P314)</f>
        <v/>
      </c>
      <c r="AB314" s="49" t="str">
        <f aca="false">IF(N($S314)=0,"","6401")</f>
        <v/>
      </c>
      <c r="AC314" s="49" t="str">
        <f aca="false">IF(N($S314)=0,"","1405")</f>
        <v/>
      </c>
      <c r="AD314" s="48" t="str">
        <f aca="false">IF(N($S314)=0,"",$S314)</f>
        <v/>
      </c>
      <c r="AE314" s="49" t="str">
        <f aca="false">IF(AND($D314=客户对账单!$B$3,$B314&gt;=客户对账单!$E$3,$B314&lt;=客户对账单!$H$3),COUNTIFS($D$5:$D314,客户对账单!$B$3,$B$5:$B314,"&gt;="&amp;客户对账单!$E$3,$B$5:$B314,"&lt;="&amp;客户对账单!$H$3),"")</f>
        <v/>
      </c>
    </row>
    <row r="315" customFormat="false" ht="15.75" hidden="false" customHeight="true" outlineLevel="0" collapsed="false">
      <c r="A315" s="42" t="str">
        <f aca="false">IF($B315="","","XS"&amp;TEXT($B315,"yyyymm")&amp;"-"&amp;TEXT(ROW()-4,"000"))</f>
        <v/>
      </c>
      <c r="B315" s="41"/>
      <c r="C315" s="42" t="str">
        <f aca="false">IF($B315="","",TEXT($B315,"yyyy-mm"))</f>
        <v/>
      </c>
      <c r="D315" s="32"/>
      <c r="E315" s="36"/>
      <c r="F315" s="43"/>
      <c r="G315" s="40"/>
      <c r="H315" s="51"/>
      <c r="I315" s="33"/>
      <c r="J315" s="33"/>
      <c r="K315" s="36"/>
      <c r="L315" s="47" t="str">
        <f aca="false">IF($B315="","",IF(NOT(ISNUMBER($B315)),"日期不是日期格式",IF(YEAR($B315)&lt;&gt;首页!$B$3,"不在会计年度",IF($D315="","未选客户",IF(ISNA(MATCH($D315,基础资料!$Z$6:$Z$155,0)),"客户不在档案",IF($E315="","未选商品",IF(ISNA(MATCH($E315,基础资料!$Q$6:$Q$205,0)),"商品不在档案",IF(NOT(ISNUMBER($F315)),"数量须为数字",IF(NOT(ISNUMBER($G315)),"单价须为数字",IF(N($F315)&lt;=0,"数量须大于0",IF(AND(IFERROR(INDEX(基础资料!$V$6:$V$205,MATCH($E315,基础资料!$Q$6:$Q$205,0)),"")="是",N($R315)=0),"无成本价·请先录采购或填参考成本",IF(N($T315)&lt;0,"毛利为负·请核对","√"))))))))))))</f>
        <v/>
      </c>
      <c r="M315" s="49" t="str">
        <f aca="false">IF($E315="","",IFERROR(INDEX(基础资料!$R$6:$R$205,MATCH($E315,基础资料!$Q$6:$Q$205,0)),""))</f>
        <v/>
      </c>
      <c r="N315" s="49" t="str">
        <f aca="false">IF($E315="","",IFERROR(INDEX(基础资料!$S$6:$S$205,MATCH($E315,基础资料!$Q$6:$Q$205,0)),""))</f>
        <v/>
      </c>
      <c r="O315" s="48" t="str">
        <f aca="false">IF(OR($F315="",$G315=""),"",ROUND(N($F315)*N($G315),2))</f>
        <v/>
      </c>
      <c r="P315" s="48" t="str">
        <f aca="false">IF($O315="","",ROUND(N($O315)*N($H315),2))</f>
        <v/>
      </c>
      <c r="Q315" s="48" t="str">
        <f aca="false">IF($O315="","",N($O315)+N($P315))</f>
        <v/>
      </c>
      <c r="R315" s="48" t="str">
        <f aca="false">IF(OR($E315="",$B315=""),"",IF(IFERROR(INDEX(基础资料!$V$6:$V$205,MATCH($E315,基础资料!$Q$6:$Q$205,0)),"")&lt;&gt;"是",0,IFERROR((SUMIFS(期初数据!$T$6:$T$205,期初数据!$O$6:$O$205,$E315)+SUMIFS(采购录入!$Q$5:$Q$404,采购录入!$E$5:$E$404,$E315,采购录入!$I$5:$I$404,"是",采购录入!$B$5:$B$404,"&lt;="&amp;$B315))/(SUMIFS(期初数据!$R$6:$R$205,期初数据!$O$6:$O$205,$E315)+SUMIFS(采购录入!$F$5:$F$404,采购录入!$E$5:$E$404,$E315,采购录入!$I$5:$I$404,"是",采购录入!$B$5:$B$404,"&lt;="&amp;$B315)),IFERROR(INDEX(基础资料!$U$6:$U$205,MATCH($E315,基础资料!$Q$6:$Q$205,0)),0))))</f>
        <v/>
      </c>
      <c r="S315" s="48" t="str">
        <f aca="false">IF($O315="","",ROUND(N($F315)*N($R315),2))</f>
        <v/>
      </c>
      <c r="T315" s="48" t="str">
        <f aca="false">IF($O315="","",N($O315)-N($S315))</f>
        <v/>
      </c>
      <c r="U315" s="52" t="str">
        <f aca="false">IF(OR($B315="",$D315=""),"",$B315+N(IFERROR(INDEX(基础资料!$AB$6:$AB$155,MATCH($D315,基础资料!$Z$6:$Z$155,0)),0)))</f>
        <v/>
      </c>
      <c r="V315" s="49" t="str">
        <f aca="false">IF($O315="","","1122")</f>
        <v/>
      </c>
      <c r="W315" s="49" t="str">
        <f aca="false">IF($O315="","","6001")</f>
        <v/>
      </c>
      <c r="X315" s="48" t="str">
        <f aca="false">IF($O315="","",$O315)</f>
        <v/>
      </c>
      <c r="Y315" s="49" t="str">
        <f aca="false">IF(N($P315)=0,"","1122")</f>
        <v/>
      </c>
      <c r="Z315" s="49" t="str">
        <f aca="false">IF(N($P315)=0,"","2221")</f>
        <v/>
      </c>
      <c r="AA315" s="48" t="str">
        <f aca="false">IF(N($P315)=0,"",$P315)</f>
        <v/>
      </c>
      <c r="AB315" s="49" t="str">
        <f aca="false">IF(N($S315)=0,"","6401")</f>
        <v/>
      </c>
      <c r="AC315" s="49" t="str">
        <f aca="false">IF(N($S315)=0,"","1405")</f>
        <v/>
      </c>
      <c r="AD315" s="48" t="str">
        <f aca="false">IF(N($S315)=0,"",$S315)</f>
        <v/>
      </c>
      <c r="AE315" s="49" t="str">
        <f aca="false">IF(AND($D315=客户对账单!$B$3,$B315&gt;=客户对账单!$E$3,$B315&lt;=客户对账单!$H$3),COUNTIFS($D$5:$D315,客户对账单!$B$3,$B$5:$B315,"&gt;="&amp;客户对账单!$E$3,$B$5:$B315,"&lt;="&amp;客户对账单!$H$3),"")</f>
        <v/>
      </c>
    </row>
    <row r="316" customFormat="false" ht="15.75" hidden="false" customHeight="true" outlineLevel="0" collapsed="false">
      <c r="A316" s="42" t="str">
        <f aca="false">IF($B316="","","XS"&amp;TEXT($B316,"yyyymm")&amp;"-"&amp;TEXT(ROW()-4,"000"))</f>
        <v/>
      </c>
      <c r="B316" s="41"/>
      <c r="C316" s="42" t="str">
        <f aca="false">IF($B316="","",TEXT($B316,"yyyy-mm"))</f>
        <v/>
      </c>
      <c r="D316" s="32"/>
      <c r="E316" s="36"/>
      <c r="F316" s="43"/>
      <c r="G316" s="40"/>
      <c r="H316" s="51"/>
      <c r="I316" s="33"/>
      <c r="J316" s="33"/>
      <c r="K316" s="36"/>
      <c r="L316" s="47" t="str">
        <f aca="false">IF($B316="","",IF(NOT(ISNUMBER($B316)),"日期不是日期格式",IF(YEAR($B316)&lt;&gt;首页!$B$3,"不在会计年度",IF($D316="","未选客户",IF(ISNA(MATCH($D316,基础资料!$Z$6:$Z$155,0)),"客户不在档案",IF($E316="","未选商品",IF(ISNA(MATCH($E316,基础资料!$Q$6:$Q$205,0)),"商品不在档案",IF(NOT(ISNUMBER($F316)),"数量须为数字",IF(NOT(ISNUMBER($G316)),"单价须为数字",IF(N($F316)&lt;=0,"数量须大于0",IF(AND(IFERROR(INDEX(基础资料!$V$6:$V$205,MATCH($E316,基础资料!$Q$6:$Q$205,0)),"")="是",N($R316)=0),"无成本价·请先录采购或填参考成本",IF(N($T316)&lt;0,"毛利为负·请核对","√"))))))))))))</f>
        <v/>
      </c>
      <c r="M316" s="49" t="str">
        <f aca="false">IF($E316="","",IFERROR(INDEX(基础资料!$R$6:$R$205,MATCH($E316,基础资料!$Q$6:$Q$205,0)),""))</f>
        <v/>
      </c>
      <c r="N316" s="49" t="str">
        <f aca="false">IF($E316="","",IFERROR(INDEX(基础资料!$S$6:$S$205,MATCH($E316,基础资料!$Q$6:$Q$205,0)),""))</f>
        <v/>
      </c>
      <c r="O316" s="48" t="str">
        <f aca="false">IF(OR($F316="",$G316=""),"",ROUND(N($F316)*N($G316),2))</f>
        <v/>
      </c>
      <c r="P316" s="48" t="str">
        <f aca="false">IF($O316="","",ROUND(N($O316)*N($H316),2))</f>
        <v/>
      </c>
      <c r="Q316" s="48" t="str">
        <f aca="false">IF($O316="","",N($O316)+N($P316))</f>
        <v/>
      </c>
      <c r="R316" s="48" t="str">
        <f aca="false">IF(OR($E316="",$B316=""),"",IF(IFERROR(INDEX(基础资料!$V$6:$V$205,MATCH($E316,基础资料!$Q$6:$Q$205,0)),"")&lt;&gt;"是",0,IFERROR((SUMIFS(期初数据!$T$6:$T$205,期初数据!$O$6:$O$205,$E316)+SUMIFS(采购录入!$Q$5:$Q$404,采购录入!$E$5:$E$404,$E316,采购录入!$I$5:$I$404,"是",采购录入!$B$5:$B$404,"&lt;="&amp;$B316))/(SUMIFS(期初数据!$R$6:$R$205,期初数据!$O$6:$O$205,$E316)+SUMIFS(采购录入!$F$5:$F$404,采购录入!$E$5:$E$404,$E316,采购录入!$I$5:$I$404,"是",采购录入!$B$5:$B$404,"&lt;="&amp;$B316)),IFERROR(INDEX(基础资料!$U$6:$U$205,MATCH($E316,基础资料!$Q$6:$Q$205,0)),0))))</f>
        <v/>
      </c>
      <c r="S316" s="48" t="str">
        <f aca="false">IF($O316="","",ROUND(N($F316)*N($R316),2))</f>
        <v/>
      </c>
      <c r="T316" s="48" t="str">
        <f aca="false">IF($O316="","",N($O316)-N($S316))</f>
        <v/>
      </c>
      <c r="U316" s="52" t="str">
        <f aca="false">IF(OR($B316="",$D316=""),"",$B316+N(IFERROR(INDEX(基础资料!$AB$6:$AB$155,MATCH($D316,基础资料!$Z$6:$Z$155,0)),0)))</f>
        <v/>
      </c>
      <c r="V316" s="49" t="str">
        <f aca="false">IF($O316="","","1122")</f>
        <v/>
      </c>
      <c r="W316" s="49" t="str">
        <f aca="false">IF($O316="","","6001")</f>
        <v/>
      </c>
      <c r="X316" s="48" t="str">
        <f aca="false">IF($O316="","",$O316)</f>
        <v/>
      </c>
      <c r="Y316" s="49" t="str">
        <f aca="false">IF(N($P316)=0,"","1122")</f>
        <v/>
      </c>
      <c r="Z316" s="49" t="str">
        <f aca="false">IF(N($P316)=0,"","2221")</f>
        <v/>
      </c>
      <c r="AA316" s="48" t="str">
        <f aca="false">IF(N($P316)=0,"",$P316)</f>
        <v/>
      </c>
      <c r="AB316" s="49" t="str">
        <f aca="false">IF(N($S316)=0,"","6401")</f>
        <v/>
      </c>
      <c r="AC316" s="49" t="str">
        <f aca="false">IF(N($S316)=0,"","1405")</f>
        <v/>
      </c>
      <c r="AD316" s="48" t="str">
        <f aca="false">IF(N($S316)=0,"",$S316)</f>
        <v/>
      </c>
      <c r="AE316" s="49" t="str">
        <f aca="false">IF(AND($D316=客户对账单!$B$3,$B316&gt;=客户对账单!$E$3,$B316&lt;=客户对账单!$H$3),COUNTIFS($D$5:$D316,客户对账单!$B$3,$B$5:$B316,"&gt;="&amp;客户对账单!$E$3,$B$5:$B316,"&lt;="&amp;客户对账单!$H$3),"")</f>
        <v/>
      </c>
    </row>
    <row r="317" customFormat="false" ht="15.75" hidden="false" customHeight="true" outlineLevel="0" collapsed="false">
      <c r="A317" s="42" t="str">
        <f aca="false">IF($B317="","","XS"&amp;TEXT($B317,"yyyymm")&amp;"-"&amp;TEXT(ROW()-4,"000"))</f>
        <v/>
      </c>
      <c r="B317" s="41"/>
      <c r="C317" s="42" t="str">
        <f aca="false">IF($B317="","",TEXT($B317,"yyyy-mm"))</f>
        <v/>
      </c>
      <c r="D317" s="32"/>
      <c r="E317" s="36"/>
      <c r="F317" s="43"/>
      <c r="G317" s="40"/>
      <c r="H317" s="51"/>
      <c r="I317" s="33"/>
      <c r="J317" s="33"/>
      <c r="K317" s="36"/>
      <c r="L317" s="47" t="str">
        <f aca="false">IF($B317="","",IF(NOT(ISNUMBER($B317)),"日期不是日期格式",IF(YEAR($B317)&lt;&gt;首页!$B$3,"不在会计年度",IF($D317="","未选客户",IF(ISNA(MATCH($D317,基础资料!$Z$6:$Z$155,0)),"客户不在档案",IF($E317="","未选商品",IF(ISNA(MATCH($E317,基础资料!$Q$6:$Q$205,0)),"商品不在档案",IF(NOT(ISNUMBER($F317)),"数量须为数字",IF(NOT(ISNUMBER($G317)),"单价须为数字",IF(N($F317)&lt;=0,"数量须大于0",IF(AND(IFERROR(INDEX(基础资料!$V$6:$V$205,MATCH($E317,基础资料!$Q$6:$Q$205,0)),"")="是",N($R317)=0),"无成本价·请先录采购或填参考成本",IF(N($T317)&lt;0,"毛利为负·请核对","√"))))))))))))</f>
        <v/>
      </c>
      <c r="M317" s="49" t="str">
        <f aca="false">IF($E317="","",IFERROR(INDEX(基础资料!$R$6:$R$205,MATCH($E317,基础资料!$Q$6:$Q$205,0)),""))</f>
        <v/>
      </c>
      <c r="N317" s="49" t="str">
        <f aca="false">IF($E317="","",IFERROR(INDEX(基础资料!$S$6:$S$205,MATCH($E317,基础资料!$Q$6:$Q$205,0)),""))</f>
        <v/>
      </c>
      <c r="O317" s="48" t="str">
        <f aca="false">IF(OR($F317="",$G317=""),"",ROUND(N($F317)*N($G317),2))</f>
        <v/>
      </c>
      <c r="P317" s="48" t="str">
        <f aca="false">IF($O317="","",ROUND(N($O317)*N($H317),2))</f>
        <v/>
      </c>
      <c r="Q317" s="48" t="str">
        <f aca="false">IF($O317="","",N($O317)+N($P317))</f>
        <v/>
      </c>
      <c r="R317" s="48" t="str">
        <f aca="false">IF(OR($E317="",$B317=""),"",IF(IFERROR(INDEX(基础资料!$V$6:$V$205,MATCH($E317,基础资料!$Q$6:$Q$205,0)),"")&lt;&gt;"是",0,IFERROR((SUMIFS(期初数据!$T$6:$T$205,期初数据!$O$6:$O$205,$E317)+SUMIFS(采购录入!$Q$5:$Q$404,采购录入!$E$5:$E$404,$E317,采购录入!$I$5:$I$404,"是",采购录入!$B$5:$B$404,"&lt;="&amp;$B317))/(SUMIFS(期初数据!$R$6:$R$205,期初数据!$O$6:$O$205,$E317)+SUMIFS(采购录入!$F$5:$F$404,采购录入!$E$5:$E$404,$E317,采购录入!$I$5:$I$404,"是",采购录入!$B$5:$B$404,"&lt;="&amp;$B317)),IFERROR(INDEX(基础资料!$U$6:$U$205,MATCH($E317,基础资料!$Q$6:$Q$205,0)),0))))</f>
        <v/>
      </c>
      <c r="S317" s="48" t="str">
        <f aca="false">IF($O317="","",ROUND(N($F317)*N($R317),2))</f>
        <v/>
      </c>
      <c r="T317" s="48" t="str">
        <f aca="false">IF($O317="","",N($O317)-N($S317))</f>
        <v/>
      </c>
      <c r="U317" s="52" t="str">
        <f aca="false">IF(OR($B317="",$D317=""),"",$B317+N(IFERROR(INDEX(基础资料!$AB$6:$AB$155,MATCH($D317,基础资料!$Z$6:$Z$155,0)),0)))</f>
        <v/>
      </c>
      <c r="V317" s="49" t="str">
        <f aca="false">IF($O317="","","1122")</f>
        <v/>
      </c>
      <c r="W317" s="49" t="str">
        <f aca="false">IF($O317="","","6001")</f>
        <v/>
      </c>
      <c r="X317" s="48" t="str">
        <f aca="false">IF($O317="","",$O317)</f>
        <v/>
      </c>
      <c r="Y317" s="49" t="str">
        <f aca="false">IF(N($P317)=0,"","1122")</f>
        <v/>
      </c>
      <c r="Z317" s="49" t="str">
        <f aca="false">IF(N($P317)=0,"","2221")</f>
        <v/>
      </c>
      <c r="AA317" s="48" t="str">
        <f aca="false">IF(N($P317)=0,"",$P317)</f>
        <v/>
      </c>
      <c r="AB317" s="49" t="str">
        <f aca="false">IF(N($S317)=0,"","6401")</f>
        <v/>
      </c>
      <c r="AC317" s="49" t="str">
        <f aca="false">IF(N($S317)=0,"","1405")</f>
        <v/>
      </c>
      <c r="AD317" s="48" t="str">
        <f aca="false">IF(N($S317)=0,"",$S317)</f>
        <v/>
      </c>
      <c r="AE317" s="49" t="str">
        <f aca="false">IF(AND($D317=客户对账单!$B$3,$B317&gt;=客户对账单!$E$3,$B317&lt;=客户对账单!$H$3),COUNTIFS($D$5:$D317,客户对账单!$B$3,$B$5:$B317,"&gt;="&amp;客户对账单!$E$3,$B$5:$B317,"&lt;="&amp;客户对账单!$H$3),"")</f>
        <v/>
      </c>
    </row>
    <row r="318" customFormat="false" ht="15.75" hidden="false" customHeight="true" outlineLevel="0" collapsed="false">
      <c r="A318" s="42" t="str">
        <f aca="false">IF($B318="","","XS"&amp;TEXT($B318,"yyyymm")&amp;"-"&amp;TEXT(ROW()-4,"000"))</f>
        <v/>
      </c>
      <c r="B318" s="41"/>
      <c r="C318" s="42" t="str">
        <f aca="false">IF($B318="","",TEXT($B318,"yyyy-mm"))</f>
        <v/>
      </c>
      <c r="D318" s="32"/>
      <c r="E318" s="36"/>
      <c r="F318" s="43"/>
      <c r="G318" s="40"/>
      <c r="H318" s="51"/>
      <c r="I318" s="33"/>
      <c r="J318" s="33"/>
      <c r="K318" s="36"/>
      <c r="L318" s="47" t="str">
        <f aca="false">IF($B318="","",IF(NOT(ISNUMBER($B318)),"日期不是日期格式",IF(YEAR($B318)&lt;&gt;首页!$B$3,"不在会计年度",IF($D318="","未选客户",IF(ISNA(MATCH($D318,基础资料!$Z$6:$Z$155,0)),"客户不在档案",IF($E318="","未选商品",IF(ISNA(MATCH($E318,基础资料!$Q$6:$Q$205,0)),"商品不在档案",IF(NOT(ISNUMBER($F318)),"数量须为数字",IF(NOT(ISNUMBER($G318)),"单价须为数字",IF(N($F318)&lt;=0,"数量须大于0",IF(AND(IFERROR(INDEX(基础资料!$V$6:$V$205,MATCH($E318,基础资料!$Q$6:$Q$205,0)),"")="是",N($R318)=0),"无成本价·请先录采购或填参考成本",IF(N($T318)&lt;0,"毛利为负·请核对","√"))))))))))))</f>
        <v/>
      </c>
      <c r="M318" s="49" t="str">
        <f aca="false">IF($E318="","",IFERROR(INDEX(基础资料!$R$6:$R$205,MATCH($E318,基础资料!$Q$6:$Q$205,0)),""))</f>
        <v/>
      </c>
      <c r="N318" s="49" t="str">
        <f aca="false">IF($E318="","",IFERROR(INDEX(基础资料!$S$6:$S$205,MATCH($E318,基础资料!$Q$6:$Q$205,0)),""))</f>
        <v/>
      </c>
      <c r="O318" s="48" t="str">
        <f aca="false">IF(OR($F318="",$G318=""),"",ROUND(N($F318)*N($G318),2))</f>
        <v/>
      </c>
      <c r="P318" s="48" t="str">
        <f aca="false">IF($O318="","",ROUND(N($O318)*N($H318),2))</f>
        <v/>
      </c>
      <c r="Q318" s="48" t="str">
        <f aca="false">IF($O318="","",N($O318)+N($P318))</f>
        <v/>
      </c>
      <c r="R318" s="48" t="str">
        <f aca="false">IF(OR($E318="",$B318=""),"",IF(IFERROR(INDEX(基础资料!$V$6:$V$205,MATCH($E318,基础资料!$Q$6:$Q$205,0)),"")&lt;&gt;"是",0,IFERROR((SUMIFS(期初数据!$T$6:$T$205,期初数据!$O$6:$O$205,$E318)+SUMIFS(采购录入!$Q$5:$Q$404,采购录入!$E$5:$E$404,$E318,采购录入!$I$5:$I$404,"是",采购录入!$B$5:$B$404,"&lt;="&amp;$B318))/(SUMIFS(期初数据!$R$6:$R$205,期初数据!$O$6:$O$205,$E318)+SUMIFS(采购录入!$F$5:$F$404,采购录入!$E$5:$E$404,$E318,采购录入!$I$5:$I$404,"是",采购录入!$B$5:$B$404,"&lt;="&amp;$B318)),IFERROR(INDEX(基础资料!$U$6:$U$205,MATCH($E318,基础资料!$Q$6:$Q$205,0)),0))))</f>
        <v/>
      </c>
      <c r="S318" s="48" t="str">
        <f aca="false">IF($O318="","",ROUND(N($F318)*N($R318),2))</f>
        <v/>
      </c>
      <c r="T318" s="48" t="str">
        <f aca="false">IF($O318="","",N($O318)-N($S318))</f>
        <v/>
      </c>
      <c r="U318" s="52" t="str">
        <f aca="false">IF(OR($B318="",$D318=""),"",$B318+N(IFERROR(INDEX(基础资料!$AB$6:$AB$155,MATCH($D318,基础资料!$Z$6:$Z$155,0)),0)))</f>
        <v/>
      </c>
      <c r="V318" s="49" t="str">
        <f aca="false">IF($O318="","","1122")</f>
        <v/>
      </c>
      <c r="W318" s="49" t="str">
        <f aca="false">IF($O318="","","6001")</f>
        <v/>
      </c>
      <c r="X318" s="48" t="str">
        <f aca="false">IF($O318="","",$O318)</f>
        <v/>
      </c>
      <c r="Y318" s="49" t="str">
        <f aca="false">IF(N($P318)=0,"","1122")</f>
        <v/>
      </c>
      <c r="Z318" s="49" t="str">
        <f aca="false">IF(N($P318)=0,"","2221")</f>
        <v/>
      </c>
      <c r="AA318" s="48" t="str">
        <f aca="false">IF(N($P318)=0,"",$P318)</f>
        <v/>
      </c>
      <c r="AB318" s="49" t="str">
        <f aca="false">IF(N($S318)=0,"","6401")</f>
        <v/>
      </c>
      <c r="AC318" s="49" t="str">
        <f aca="false">IF(N($S318)=0,"","1405")</f>
        <v/>
      </c>
      <c r="AD318" s="48" t="str">
        <f aca="false">IF(N($S318)=0,"",$S318)</f>
        <v/>
      </c>
      <c r="AE318" s="49" t="str">
        <f aca="false">IF(AND($D318=客户对账单!$B$3,$B318&gt;=客户对账单!$E$3,$B318&lt;=客户对账单!$H$3),COUNTIFS($D$5:$D318,客户对账单!$B$3,$B$5:$B318,"&gt;="&amp;客户对账单!$E$3,$B$5:$B318,"&lt;="&amp;客户对账单!$H$3),"")</f>
        <v/>
      </c>
    </row>
    <row r="319" customFormat="false" ht="15.75" hidden="false" customHeight="true" outlineLevel="0" collapsed="false">
      <c r="A319" s="42" t="str">
        <f aca="false">IF($B319="","","XS"&amp;TEXT($B319,"yyyymm")&amp;"-"&amp;TEXT(ROW()-4,"000"))</f>
        <v/>
      </c>
      <c r="B319" s="41"/>
      <c r="C319" s="42" t="str">
        <f aca="false">IF($B319="","",TEXT($B319,"yyyy-mm"))</f>
        <v/>
      </c>
      <c r="D319" s="32"/>
      <c r="E319" s="36"/>
      <c r="F319" s="43"/>
      <c r="G319" s="40"/>
      <c r="H319" s="51"/>
      <c r="I319" s="33"/>
      <c r="J319" s="33"/>
      <c r="K319" s="36"/>
      <c r="L319" s="47" t="str">
        <f aca="false">IF($B319="","",IF(NOT(ISNUMBER($B319)),"日期不是日期格式",IF(YEAR($B319)&lt;&gt;首页!$B$3,"不在会计年度",IF($D319="","未选客户",IF(ISNA(MATCH($D319,基础资料!$Z$6:$Z$155,0)),"客户不在档案",IF($E319="","未选商品",IF(ISNA(MATCH($E319,基础资料!$Q$6:$Q$205,0)),"商品不在档案",IF(NOT(ISNUMBER($F319)),"数量须为数字",IF(NOT(ISNUMBER($G319)),"单价须为数字",IF(N($F319)&lt;=0,"数量须大于0",IF(AND(IFERROR(INDEX(基础资料!$V$6:$V$205,MATCH($E319,基础资料!$Q$6:$Q$205,0)),"")="是",N($R319)=0),"无成本价·请先录采购或填参考成本",IF(N($T319)&lt;0,"毛利为负·请核对","√"))))))))))))</f>
        <v/>
      </c>
      <c r="M319" s="49" t="str">
        <f aca="false">IF($E319="","",IFERROR(INDEX(基础资料!$R$6:$R$205,MATCH($E319,基础资料!$Q$6:$Q$205,0)),""))</f>
        <v/>
      </c>
      <c r="N319" s="49" t="str">
        <f aca="false">IF($E319="","",IFERROR(INDEX(基础资料!$S$6:$S$205,MATCH($E319,基础资料!$Q$6:$Q$205,0)),""))</f>
        <v/>
      </c>
      <c r="O319" s="48" t="str">
        <f aca="false">IF(OR($F319="",$G319=""),"",ROUND(N($F319)*N($G319),2))</f>
        <v/>
      </c>
      <c r="P319" s="48" t="str">
        <f aca="false">IF($O319="","",ROUND(N($O319)*N($H319),2))</f>
        <v/>
      </c>
      <c r="Q319" s="48" t="str">
        <f aca="false">IF($O319="","",N($O319)+N($P319))</f>
        <v/>
      </c>
      <c r="R319" s="48" t="str">
        <f aca="false">IF(OR($E319="",$B319=""),"",IF(IFERROR(INDEX(基础资料!$V$6:$V$205,MATCH($E319,基础资料!$Q$6:$Q$205,0)),"")&lt;&gt;"是",0,IFERROR((SUMIFS(期初数据!$T$6:$T$205,期初数据!$O$6:$O$205,$E319)+SUMIFS(采购录入!$Q$5:$Q$404,采购录入!$E$5:$E$404,$E319,采购录入!$I$5:$I$404,"是",采购录入!$B$5:$B$404,"&lt;="&amp;$B319))/(SUMIFS(期初数据!$R$6:$R$205,期初数据!$O$6:$O$205,$E319)+SUMIFS(采购录入!$F$5:$F$404,采购录入!$E$5:$E$404,$E319,采购录入!$I$5:$I$404,"是",采购录入!$B$5:$B$404,"&lt;="&amp;$B319)),IFERROR(INDEX(基础资料!$U$6:$U$205,MATCH($E319,基础资料!$Q$6:$Q$205,0)),0))))</f>
        <v/>
      </c>
      <c r="S319" s="48" t="str">
        <f aca="false">IF($O319="","",ROUND(N($F319)*N($R319),2))</f>
        <v/>
      </c>
      <c r="T319" s="48" t="str">
        <f aca="false">IF($O319="","",N($O319)-N($S319))</f>
        <v/>
      </c>
      <c r="U319" s="52" t="str">
        <f aca="false">IF(OR($B319="",$D319=""),"",$B319+N(IFERROR(INDEX(基础资料!$AB$6:$AB$155,MATCH($D319,基础资料!$Z$6:$Z$155,0)),0)))</f>
        <v/>
      </c>
      <c r="V319" s="49" t="str">
        <f aca="false">IF($O319="","","1122")</f>
        <v/>
      </c>
      <c r="W319" s="49" t="str">
        <f aca="false">IF($O319="","","6001")</f>
        <v/>
      </c>
      <c r="X319" s="48" t="str">
        <f aca="false">IF($O319="","",$O319)</f>
        <v/>
      </c>
      <c r="Y319" s="49" t="str">
        <f aca="false">IF(N($P319)=0,"","1122")</f>
        <v/>
      </c>
      <c r="Z319" s="49" t="str">
        <f aca="false">IF(N($P319)=0,"","2221")</f>
        <v/>
      </c>
      <c r="AA319" s="48" t="str">
        <f aca="false">IF(N($P319)=0,"",$P319)</f>
        <v/>
      </c>
      <c r="AB319" s="49" t="str">
        <f aca="false">IF(N($S319)=0,"","6401")</f>
        <v/>
      </c>
      <c r="AC319" s="49" t="str">
        <f aca="false">IF(N($S319)=0,"","1405")</f>
        <v/>
      </c>
      <c r="AD319" s="48" t="str">
        <f aca="false">IF(N($S319)=0,"",$S319)</f>
        <v/>
      </c>
      <c r="AE319" s="49" t="str">
        <f aca="false">IF(AND($D319=客户对账单!$B$3,$B319&gt;=客户对账单!$E$3,$B319&lt;=客户对账单!$H$3),COUNTIFS($D$5:$D319,客户对账单!$B$3,$B$5:$B319,"&gt;="&amp;客户对账单!$E$3,$B$5:$B319,"&lt;="&amp;客户对账单!$H$3),"")</f>
        <v/>
      </c>
    </row>
    <row r="320" customFormat="false" ht="15.75" hidden="false" customHeight="true" outlineLevel="0" collapsed="false">
      <c r="A320" s="42" t="str">
        <f aca="false">IF($B320="","","XS"&amp;TEXT($B320,"yyyymm")&amp;"-"&amp;TEXT(ROW()-4,"000"))</f>
        <v/>
      </c>
      <c r="B320" s="41"/>
      <c r="C320" s="42" t="str">
        <f aca="false">IF($B320="","",TEXT($B320,"yyyy-mm"))</f>
        <v/>
      </c>
      <c r="D320" s="32"/>
      <c r="E320" s="36"/>
      <c r="F320" s="43"/>
      <c r="G320" s="40"/>
      <c r="H320" s="51"/>
      <c r="I320" s="33"/>
      <c r="J320" s="33"/>
      <c r="K320" s="36"/>
      <c r="L320" s="47" t="str">
        <f aca="false">IF($B320="","",IF(NOT(ISNUMBER($B320)),"日期不是日期格式",IF(YEAR($B320)&lt;&gt;首页!$B$3,"不在会计年度",IF($D320="","未选客户",IF(ISNA(MATCH($D320,基础资料!$Z$6:$Z$155,0)),"客户不在档案",IF($E320="","未选商品",IF(ISNA(MATCH($E320,基础资料!$Q$6:$Q$205,0)),"商品不在档案",IF(NOT(ISNUMBER($F320)),"数量须为数字",IF(NOT(ISNUMBER($G320)),"单价须为数字",IF(N($F320)&lt;=0,"数量须大于0",IF(AND(IFERROR(INDEX(基础资料!$V$6:$V$205,MATCH($E320,基础资料!$Q$6:$Q$205,0)),"")="是",N($R320)=0),"无成本价·请先录采购或填参考成本",IF(N($T320)&lt;0,"毛利为负·请核对","√"))))))))))))</f>
        <v/>
      </c>
      <c r="M320" s="49" t="str">
        <f aca="false">IF($E320="","",IFERROR(INDEX(基础资料!$R$6:$R$205,MATCH($E320,基础资料!$Q$6:$Q$205,0)),""))</f>
        <v/>
      </c>
      <c r="N320" s="49" t="str">
        <f aca="false">IF($E320="","",IFERROR(INDEX(基础资料!$S$6:$S$205,MATCH($E320,基础资料!$Q$6:$Q$205,0)),""))</f>
        <v/>
      </c>
      <c r="O320" s="48" t="str">
        <f aca="false">IF(OR($F320="",$G320=""),"",ROUND(N($F320)*N($G320),2))</f>
        <v/>
      </c>
      <c r="P320" s="48" t="str">
        <f aca="false">IF($O320="","",ROUND(N($O320)*N($H320),2))</f>
        <v/>
      </c>
      <c r="Q320" s="48" t="str">
        <f aca="false">IF($O320="","",N($O320)+N($P320))</f>
        <v/>
      </c>
      <c r="R320" s="48" t="str">
        <f aca="false">IF(OR($E320="",$B320=""),"",IF(IFERROR(INDEX(基础资料!$V$6:$V$205,MATCH($E320,基础资料!$Q$6:$Q$205,0)),"")&lt;&gt;"是",0,IFERROR((SUMIFS(期初数据!$T$6:$T$205,期初数据!$O$6:$O$205,$E320)+SUMIFS(采购录入!$Q$5:$Q$404,采购录入!$E$5:$E$404,$E320,采购录入!$I$5:$I$404,"是",采购录入!$B$5:$B$404,"&lt;="&amp;$B320))/(SUMIFS(期初数据!$R$6:$R$205,期初数据!$O$6:$O$205,$E320)+SUMIFS(采购录入!$F$5:$F$404,采购录入!$E$5:$E$404,$E320,采购录入!$I$5:$I$404,"是",采购录入!$B$5:$B$404,"&lt;="&amp;$B320)),IFERROR(INDEX(基础资料!$U$6:$U$205,MATCH($E320,基础资料!$Q$6:$Q$205,0)),0))))</f>
        <v/>
      </c>
      <c r="S320" s="48" t="str">
        <f aca="false">IF($O320="","",ROUND(N($F320)*N($R320),2))</f>
        <v/>
      </c>
      <c r="T320" s="48" t="str">
        <f aca="false">IF($O320="","",N($O320)-N($S320))</f>
        <v/>
      </c>
      <c r="U320" s="52" t="str">
        <f aca="false">IF(OR($B320="",$D320=""),"",$B320+N(IFERROR(INDEX(基础资料!$AB$6:$AB$155,MATCH($D320,基础资料!$Z$6:$Z$155,0)),0)))</f>
        <v/>
      </c>
      <c r="V320" s="49" t="str">
        <f aca="false">IF($O320="","","1122")</f>
        <v/>
      </c>
      <c r="W320" s="49" t="str">
        <f aca="false">IF($O320="","","6001")</f>
        <v/>
      </c>
      <c r="X320" s="48" t="str">
        <f aca="false">IF($O320="","",$O320)</f>
        <v/>
      </c>
      <c r="Y320" s="49" t="str">
        <f aca="false">IF(N($P320)=0,"","1122")</f>
        <v/>
      </c>
      <c r="Z320" s="49" t="str">
        <f aca="false">IF(N($P320)=0,"","2221")</f>
        <v/>
      </c>
      <c r="AA320" s="48" t="str">
        <f aca="false">IF(N($P320)=0,"",$P320)</f>
        <v/>
      </c>
      <c r="AB320" s="49" t="str">
        <f aca="false">IF(N($S320)=0,"","6401")</f>
        <v/>
      </c>
      <c r="AC320" s="49" t="str">
        <f aca="false">IF(N($S320)=0,"","1405")</f>
        <v/>
      </c>
      <c r="AD320" s="48" t="str">
        <f aca="false">IF(N($S320)=0,"",$S320)</f>
        <v/>
      </c>
      <c r="AE320" s="49" t="str">
        <f aca="false">IF(AND($D320=客户对账单!$B$3,$B320&gt;=客户对账单!$E$3,$B320&lt;=客户对账单!$H$3),COUNTIFS($D$5:$D320,客户对账单!$B$3,$B$5:$B320,"&gt;="&amp;客户对账单!$E$3,$B$5:$B320,"&lt;="&amp;客户对账单!$H$3),"")</f>
        <v/>
      </c>
    </row>
    <row r="321" customFormat="false" ht="15.75" hidden="false" customHeight="true" outlineLevel="0" collapsed="false">
      <c r="A321" s="42" t="str">
        <f aca="false">IF($B321="","","XS"&amp;TEXT($B321,"yyyymm")&amp;"-"&amp;TEXT(ROW()-4,"000"))</f>
        <v/>
      </c>
      <c r="B321" s="41"/>
      <c r="C321" s="42" t="str">
        <f aca="false">IF($B321="","",TEXT($B321,"yyyy-mm"))</f>
        <v/>
      </c>
      <c r="D321" s="32"/>
      <c r="E321" s="36"/>
      <c r="F321" s="43"/>
      <c r="G321" s="40"/>
      <c r="H321" s="51"/>
      <c r="I321" s="33"/>
      <c r="J321" s="33"/>
      <c r="K321" s="36"/>
      <c r="L321" s="47" t="str">
        <f aca="false">IF($B321="","",IF(NOT(ISNUMBER($B321)),"日期不是日期格式",IF(YEAR($B321)&lt;&gt;首页!$B$3,"不在会计年度",IF($D321="","未选客户",IF(ISNA(MATCH($D321,基础资料!$Z$6:$Z$155,0)),"客户不在档案",IF($E321="","未选商品",IF(ISNA(MATCH($E321,基础资料!$Q$6:$Q$205,0)),"商品不在档案",IF(NOT(ISNUMBER($F321)),"数量须为数字",IF(NOT(ISNUMBER($G321)),"单价须为数字",IF(N($F321)&lt;=0,"数量须大于0",IF(AND(IFERROR(INDEX(基础资料!$V$6:$V$205,MATCH($E321,基础资料!$Q$6:$Q$205,0)),"")="是",N($R321)=0),"无成本价·请先录采购或填参考成本",IF(N($T321)&lt;0,"毛利为负·请核对","√"))))))))))))</f>
        <v/>
      </c>
      <c r="M321" s="49" t="str">
        <f aca="false">IF($E321="","",IFERROR(INDEX(基础资料!$R$6:$R$205,MATCH($E321,基础资料!$Q$6:$Q$205,0)),""))</f>
        <v/>
      </c>
      <c r="N321" s="49" t="str">
        <f aca="false">IF($E321="","",IFERROR(INDEX(基础资料!$S$6:$S$205,MATCH($E321,基础资料!$Q$6:$Q$205,0)),""))</f>
        <v/>
      </c>
      <c r="O321" s="48" t="str">
        <f aca="false">IF(OR($F321="",$G321=""),"",ROUND(N($F321)*N($G321),2))</f>
        <v/>
      </c>
      <c r="P321" s="48" t="str">
        <f aca="false">IF($O321="","",ROUND(N($O321)*N($H321),2))</f>
        <v/>
      </c>
      <c r="Q321" s="48" t="str">
        <f aca="false">IF($O321="","",N($O321)+N($P321))</f>
        <v/>
      </c>
      <c r="R321" s="48" t="str">
        <f aca="false">IF(OR($E321="",$B321=""),"",IF(IFERROR(INDEX(基础资料!$V$6:$V$205,MATCH($E321,基础资料!$Q$6:$Q$205,0)),"")&lt;&gt;"是",0,IFERROR((SUMIFS(期初数据!$T$6:$T$205,期初数据!$O$6:$O$205,$E321)+SUMIFS(采购录入!$Q$5:$Q$404,采购录入!$E$5:$E$404,$E321,采购录入!$I$5:$I$404,"是",采购录入!$B$5:$B$404,"&lt;="&amp;$B321))/(SUMIFS(期初数据!$R$6:$R$205,期初数据!$O$6:$O$205,$E321)+SUMIFS(采购录入!$F$5:$F$404,采购录入!$E$5:$E$404,$E321,采购录入!$I$5:$I$404,"是",采购录入!$B$5:$B$404,"&lt;="&amp;$B321)),IFERROR(INDEX(基础资料!$U$6:$U$205,MATCH($E321,基础资料!$Q$6:$Q$205,0)),0))))</f>
        <v/>
      </c>
      <c r="S321" s="48" t="str">
        <f aca="false">IF($O321="","",ROUND(N($F321)*N($R321),2))</f>
        <v/>
      </c>
      <c r="T321" s="48" t="str">
        <f aca="false">IF($O321="","",N($O321)-N($S321))</f>
        <v/>
      </c>
      <c r="U321" s="52" t="str">
        <f aca="false">IF(OR($B321="",$D321=""),"",$B321+N(IFERROR(INDEX(基础资料!$AB$6:$AB$155,MATCH($D321,基础资料!$Z$6:$Z$155,0)),0)))</f>
        <v/>
      </c>
      <c r="V321" s="49" t="str">
        <f aca="false">IF($O321="","","1122")</f>
        <v/>
      </c>
      <c r="W321" s="49" t="str">
        <f aca="false">IF($O321="","","6001")</f>
        <v/>
      </c>
      <c r="X321" s="48" t="str">
        <f aca="false">IF($O321="","",$O321)</f>
        <v/>
      </c>
      <c r="Y321" s="49" t="str">
        <f aca="false">IF(N($P321)=0,"","1122")</f>
        <v/>
      </c>
      <c r="Z321" s="49" t="str">
        <f aca="false">IF(N($P321)=0,"","2221")</f>
        <v/>
      </c>
      <c r="AA321" s="48" t="str">
        <f aca="false">IF(N($P321)=0,"",$P321)</f>
        <v/>
      </c>
      <c r="AB321" s="49" t="str">
        <f aca="false">IF(N($S321)=0,"","6401")</f>
        <v/>
      </c>
      <c r="AC321" s="49" t="str">
        <f aca="false">IF(N($S321)=0,"","1405")</f>
        <v/>
      </c>
      <c r="AD321" s="48" t="str">
        <f aca="false">IF(N($S321)=0,"",$S321)</f>
        <v/>
      </c>
      <c r="AE321" s="49" t="str">
        <f aca="false">IF(AND($D321=客户对账单!$B$3,$B321&gt;=客户对账单!$E$3,$B321&lt;=客户对账单!$H$3),COUNTIFS($D$5:$D321,客户对账单!$B$3,$B$5:$B321,"&gt;="&amp;客户对账单!$E$3,$B$5:$B321,"&lt;="&amp;客户对账单!$H$3),"")</f>
        <v/>
      </c>
    </row>
    <row r="322" customFormat="false" ht="15.75" hidden="false" customHeight="true" outlineLevel="0" collapsed="false">
      <c r="A322" s="42" t="str">
        <f aca="false">IF($B322="","","XS"&amp;TEXT($B322,"yyyymm")&amp;"-"&amp;TEXT(ROW()-4,"000"))</f>
        <v/>
      </c>
      <c r="B322" s="41"/>
      <c r="C322" s="42" t="str">
        <f aca="false">IF($B322="","",TEXT($B322,"yyyy-mm"))</f>
        <v/>
      </c>
      <c r="D322" s="32"/>
      <c r="E322" s="36"/>
      <c r="F322" s="43"/>
      <c r="G322" s="40"/>
      <c r="H322" s="51"/>
      <c r="I322" s="33"/>
      <c r="J322" s="33"/>
      <c r="K322" s="36"/>
      <c r="L322" s="47" t="str">
        <f aca="false">IF($B322="","",IF(NOT(ISNUMBER($B322)),"日期不是日期格式",IF(YEAR($B322)&lt;&gt;首页!$B$3,"不在会计年度",IF($D322="","未选客户",IF(ISNA(MATCH($D322,基础资料!$Z$6:$Z$155,0)),"客户不在档案",IF($E322="","未选商品",IF(ISNA(MATCH($E322,基础资料!$Q$6:$Q$205,0)),"商品不在档案",IF(NOT(ISNUMBER($F322)),"数量须为数字",IF(NOT(ISNUMBER($G322)),"单价须为数字",IF(N($F322)&lt;=0,"数量须大于0",IF(AND(IFERROR(INDEX(基础资料!$V$6:$V$205,MATCH($E322,基础资料!$Q$6:$Q$205,0)),"")="是",N($R322)=0),"无成本价·请先录采购或填参考成本",IF(N($T322)&lt;0,"毛利为负·请核对","√"))))))))))))</f>
        <v/>
      </c>
      <c r="M322" s="49" t="str">
        <f aca="false">IF($E322="","",IFERROR(INDEX(基础资料!$R$6:$R$205,MATCH($E322,基础资料!$Q$6:$Q$205,0)),""))</f>
        <v/>
      </c>
      <c r="N322" s="49" t="str">
        <f aca="false">IF($E322="","",IFERROR(INDEX(基础资料!$S$6:$S$205,MATCH($E322,基础资料!$Q$6:$Q$205,0)),""))</f>
        <v/>
      </c>
      <c r="O322" s="48" t="str">
        <f aca="false">IF(OR($F322="",$G322=""),"",ROUND(N($F322)*N($G322),2))</f>
        <v/>
      </c>
      <c r="P322" s="48" t="str">
        <f aca="false">IF($O322="","",ROUND(N($O322)*N($H322),2))</f>
        <v/>
      </c>
      <c r="Q322" s="48" t="str">
        <f aca="false">IF($O322="","",N($O322)+N($P322))</f>
        <v/>
      </c>
      <c r="R322" s="48" t="str">
        <f aca="false">IF(OR($E322="",$B322=""),"",IF(IFERROR(INDEX(基础资料!$V$6:$V$205,MATCH($E322,基础资料!$Q$6:$Q$205,0)),"")&lt;&gt;"是",0,IFERROR((SUMIFS(期初数据!$T$6:$T$205,期初数据!$O$6:$O$205,$E322)+SUMIFS(采购录入!$Q$5:$Q$404,采购录入!$E$5:$E$404,$E322,采购录入!$I$5:$I$404,"是",采购录入!$B$5:$B$404,"&lt;="&amp;$B322))/(SUMIFS(期初数据!$R$6:$R$205,期初数据!$O$6:$O$205,$E322)+SUMIFS(采购录入!$F$5:$F$404,采购录入!$E$5:$E$404,$E322,采购录入!$I$5:$I$404,"是",采购录入!$B$5:$B$404,"&lt;="&amp;$B322)),IFERROR(INDEX(基础资料!$U$6:$U$205,MATCH($E322,基础资料!$Q$6:$Q$205,0)),0))))</f>
        <v/>
      </c>
      <c r="S322" s="48" t="str">
        <f aca="false">IF($O322="","",ROUND(N($F322)*N($R322),2))</f>
        <v/>
      </c>
      <c r="T322" s="48" t="str">
        <f aca="false">IF($O322="","",N($O322)-N($S322))</f>
        <v/>
      </c>
      <c r="U322" s="52" t="str">
        <f aca="false">IF(OR($B322="",$D322=""),"",$B322+N(IFERROR(INDEX(基础资料!$AB$6:$AB$155,MATCH($D322,基础资料!$Z$6:$Z$155,0)),0)))</f>
        <v/>
      </c>
      <c r="V322" s="49" t="str">
        <f aca="false">IF($O322="","","1122")</f>
        <v/>
      </c>
      <c r="W322" s="49" t="str">
        <f aca="false">IF($O322="","","6001")</f>
        <v/>
      </c>
      <c r="X322" s="48" t="str">
        <f aca="false">IF($O322="","",$O322)</f>
        <v/>
      </c>
      <c r="Y322" s="49" t="str">
        <f aca="false">IF(N($P322)=0,"","1122")</f>
        <v/>
      </c>
      <c r="Z322" s="49" t="str">
        <f aca="false">IF(N($P322)=0,"","2221")</f>
        <v/>
      </c>
      <c r="AA322" s="48" t="str">
        <f aca="false">IF(N($P322)=0,"",$P322)</f>
        <v/>
      </c>
      <c r="AB322" s="49" t="str">
        <f aca="false">IF(N($S322)=0,"","6401")</f>
        <v/>
      </c>
      <c r="AC322" s="49" t="str">
        <f aca="false">IF(N($S322)=0,"","1405")</f>
        <v/>
      </c>
      <c r="AD322" s="48" t="str">
        <f aca="false">IF(N($S322)=0,"",$S322)</f>
        <v/>
      </c>
      <c r="AE322" s="49" t="str">
        <f aca="false">IF(AND($D322=客户对账单!$B$3,$B322&gt;=客户对账单!$E$3,$B322&lt;=客户对账单!$H$3),COUNTIFS($D$5:$D322,客户对账单!$B$3,$B$5:$B322,"&gt;="&amp;客户对账单!$E$3,$B$5:$B322,"&lt;="&amp;客户对账单!$H$3),"")</f>
        <v/>
      </c>
    </row>
    <row r="323" customFormat="false" ht="15.75" hidden="false" customHeight="true" outlineLevel="0" collapsed="false">
      <c r="A323" s="42" t="str">
        <f aca="false">IF($B323="","","XS"&amp;TEXT($B323,"yyyymm")&amp;"-"&amp;TEXT(ROW()-4,"000"))</f>
        <v/>
      </c>
      <c r="B323" s="41"/>
      <c r="C323" s="42" t="str">
        <f aca="false">IF($B323="","",TEXT($B323,"yyyy-mm"))</f>
        <v/>
      </c>
      <c r="D323" s="32"/>
      <c r="E323" s="36"/>
      <c r="F323" s="43"/>
      <c r="G323" s="40"/>
      <c r="H323" s="51"/>
      <c r="I323" s="33"/>
      <c r="J323" s="33"/>
      <c r="K323" s="36"/>
      <c r="L323" s="47" t="str">
        <f aca="false">IF($B323="","",IF(NOT(ISNUMBER($B323)),"日期不是日期格式",IF(YEAR($B323)&lt;&gt;首页!$B$3,"不在会计年度",IF($D323="","未选客户",IF(ISNA(MATCH($D323,基础资料!$Z$6:$Z$155,0)),"客户不在档案",IF($E323="","未选商品",IF(ISNA(MATCH($E323,基础资料!$Q$6:$Q$205,0)),"商品不在档案",IF(NOT(ISNUMBER($F323)),"数量须为数字",IF(NOT(ISNUMBER($G323)),"单价须为数字",IF(N($F323)&lt;=0,"数量须大于0",IF(AND(IFERROR(INDEX(基础资料!$V$6:$V$205,MATCH($E323,基础资料!$Q$6:$Q$205,0)),"")="是",N($R323)=0),"无成本价·请先录采购或填参考成本",IF(N($T323)&lt;0,"毛利为负·请核对","√"))))))))))))</f>
        <v/>
      </c>
      <c r="M323" s="49" t="str">
        <f aca="false">IF($E323="","",IFERROR(INDEX(基础资料!$R$6:$R$205,MATCH($E323,基础资料!$Q$6:$Q$205,0)),""))</f>
        <v/>
      </c>
      <c r="N323" s="49" t="str">
        <f aca="false">IF($E323="","",IFERROR(INDEX(基础资料!$S$6:$S$205,MATCH($E323,基础资料!$Q$6:$Q$205,0)),""))</f>
        <v/>
      </c>
      <c r="O323" s="48" t="str">
        <f aca="false">IF(OR($F323="",$G323=""),"",ROUND(N($F323)*N($G323),2))</f>
        <v/>
      </c>
      <c r="P323" s="48" t="str">
        <f aca="false">IF($O323="","",ROUND(N($O323)*N($H323),2))</f>
        <v/>
      </c>
      <c r="Q323" s="48" t="str">
        <f aca="false">IF($O323="","",N($O323)+N($P323))</f>
        <v/>
      </c>
      <c r="R323" s="48" t="str">
        <f aca="false">IF(OR($E323="",$B323=""),"",IF(IFERROR(INDEX(基础资料!$V$6:$V$205,MATCH($E323,基础资料!$Q$6:$Q$205,0)),"")&lt;&gt;"是",0,IFERROR((SUMIFS(期初数据!$T$6:$T$205,期初数据!$O$6:$O$205,$E323)+SUMIFS(采购录入!$Q$5:$Q$404,采购录入!$E$5:$E$404,$E323,采购录入!$I$5:$I$404,"是",采购录入!$B$5:$B$404,"&lt;="&amp;$B323))/(SUMIFS(期初数据!$R$6:$R$205,期初数据!$O$6:$O$205,$E323)+SUMIFS(采购录入!$F$5:$F$404,采购录入!$E$5:$E$404,$E323,采购录入!$I$5:$I$404,"是",采购录入!$B$5:$B$404,"&lt;="&amp;$B323)),IFERROR(INDEX(基础资料!$U$6:$U$205,MATCH($E323,基础资料!$Q$6:$Q$205,0)),0))))</f>
        <v/>
      </c>
      <c r="S323" s="48" t="str">
        <f aca="false">IF($O323="","",ROUND(N($F323)*N($R323),2))</f>
        <v/>
      </c>
      <c r="T323" s="48" t="str">
        <f aca="false">IF($O323="","",N($O323)-N($S323))</f>
        <v/>
      </c>
      <c r="U323" s="52" t="str">
        <f aca="false">IF(OR($B323="",$D323=""),"",$B323+N(IFERROR(INDEX(基础资料!$AB$6:$AB$155,MATCH($D323,基础资料!$Z$6:$Z$155,0)),0)))</f>
        <v/>
      </c>
      <c r="V323" s="49" t="str">
        <f aca="false">IF($O323="","","1122")</f>
        <v/>
      </c>
      <c r="W323" s="49" t="str">
        <f aca="false">IF($O323="","","6001")</f>
        <v/>
      </c>
      <c r="X323" s="48" t="str">
        <f aca="false">IF($O323="","",$O323)</f>
        <v/>
      </c>
      <c r="Y323" s="49" t="str">
        <f aca="false">IF(N($P323)=0,"","1122")</f>
        <v/>
      </c>
      <c r="Z323" s="49" t="str">
        <f aca="false">IF(N($P323)=0,"","2221")</f>
        <v/>
      </c>
      <c r="AA323" s="48" t="str">
        <f aca="false">IF(N($P323)=0,"",$P323)</f>
        <v/>
      </c>
      <c r="AB323" s="49" t="str">
        <f aca="false">IF(N($S323)=0,"","6401")</f>
        <v/>
      </c>
      <c r="AC323" s="49" t="str">
        <f aca="false">IF(N($S323)=0,"","1405")</f>
        <v/>
      </c>
      <c r="AD323" s="48" t="str">
        <f aca="false">IF(N($S323)=0,"",$S323)</f>
        <v/>
      </c>
      <c r="AE323" s="49" t="str">
        <f aca="false">IF(AND($D323=客户对账单!$B$3,$B323&gt;=客户对账单!$E$3,$B323&lt;=客户对账单!$H$3),COUNTIFS($D$5:$D323,客户对账单!$B$3,$B$5:$B323,"&gt;="&amp;客户对账单!$E$3,$B$5:$B323,"&lt;="&amp;客户对账单!$H$3),"")</f>
        <v/>
      </c>
    </row>
    <row r="324" customFormat="false" ht="15.75" hidden="false" customHeight="true" outlineLevel="0" collapsed="false">
      <c r="A324" s="42" t="str">
        <f aca="false">IF($B324="","","XS"&amp;TEXT($B324,"yyyymm")&amp;"-"&amp;TEXT(ROW()-4,"000"))</f>
        <v/>
      </c>
      <c r="B324" s="41"/>
      <c r="C324" s="42" t="str">
        <f aca="false">IF($B324="","",TEXT($B324,"yyyy-mm"))</f>
        <v/>
      </c>
      <c r="D324" s="32"/>
      <c r="E324" s="36"/>
      <c r="F324" s="43"/>
      <c r="G324" s="40"/>
      <c r="H324" s="51"/>
      <c r="I324" s="33"/>
      <c r="J324" s="33"/>
      <c r="K324" s="36"/>
      <c r="L324" s="47" t="str">
        <f aca="false">IF($B324="","",IF(NOT(ISNUMBER($B324)),"日期不是日期格式",IF(YEAR($B324)&lt;&gt;首页!$B$3,"不在会计年度",IF($D324="","未选客户",IF(ISNA(MATCH($D324,基础资料!$Z$6:$Z$155,0)),"客户不在档案",IF($E324="","未选商品",IF(ISNA(MATCH($E324,基础资料!$Q$6:$Q$205,0)),"商品不在档案",IF(NOT(ISNUMBER($F324)),"数量须为数字",IF(NOT(ISNUMBER($G324)),"单价须为数字",IF(N($F324)&lt;=0,"数量须大于0",IF(AND(IFERROR(INDEX(基础资料!$V$6:$V$205,MATCH($E324,基础资料!$Q$6:$Q$205,0)),"")="是",N($R324)=0),"无成本价·请先录采购或填参考成本",IF(N($T324)&lt;0,"毛利为负·请核对","√"))))))))))))</f>
        <v/>
      </c>
      <c r="M324" s="49" t="str">
        <f aca="false">IF($E324="","",IFERROR(INDEX(基础资料!$R$6:$R$205,MATCH($E324,基础资料!$Q$6:$Q$205,0)),""))</f>
        <v/>
      </c>
      <c r="N324" s="49" t="str">
        <f aca="false">IF($E324="","",IFERROR(INDEX(基础资料!$S$6:$S$205,MATCH($E324,基础资料!$Q$6:$Q$205,0)),""))</f>
        <v/>
      </c>
      <c r="O324" s="48" t="str">
        <f aca="false">IF(OR($F324="",$G324=""),"",ROUND(N($F324)*N($G324),2))</f>
        <v/>
      </c>
      <c r="P324" s="48" t="str">
        <f aca="false">IF($O324="","",ROUND(N($O324)*N($H324),2))</f>
        <v/>
      </c>
      <c r="Q324" s="48" t="str">
        <f aca="false">IF($O324="","",N($O324)+N($P324))</f>
        <v/>
      </c>
      <c r="R324" s="48" t="str">
        <f aca="false">IF(OR($E324="",$B324=""),"",IF(IFERROR(INDEX(基础资料!$V$6:$V$205,MATCH($E324,基础资料!$Q$6:$Q$205,0)),"")&lt;&gt;"是",0,IFERROR((SUMIFS(期初数据!$T$6:$T$205,期初数据!$O$6:$O$205,$E324)+SUMIFS(采购录入!$Q$5:$Q$404,采购录入!$E$5:$E$404,$E324,采购录入!$I$5:$I$404,"是",采购录入!$B$5:$B$404,"&lt;="&amp;$B324))/(SUMIFS(期初数据!$R$6:$R$205,期初数据!$O$6:$O$205,$E324)+SUMIFS(采购录入!$F$5:$F$404,采购录入!$E$5:$E$404,$E324,采购录入!$I$5:$I$404,"是",采购录入!$B$5:$B$404,"&lt;="&amp;$B324)),IFERROR(INDEX(基础资料!$U$6:$U$205,MATCH($E324,基础资料!$Q$6:$Q$205,0)),0))))</f>
        <v/>
      </c>
      <c r="S324" s="48" t="str">
        <f aca="false">IF($O324="","",ROUND(N($F324)*N($R324),2))</f>
        <v/>
      </c>
      <c r="T324" s="48" t="str">
        <f aca="false">IF($O324="","",N($O324)-N($S324))</f>
        <v/>
      </c>
      <c r="U324" s="52" t="str">
        <f aca="false">IF(OR($B324="",$D324=""),"",$B324+N(IFERROR(INDEX(基础资料!$AB$6:$AB$155,MATCH($D324,基础资料!$Z$6:$Z$155,0)),0)))</f>
        <v/>
      </c>
      <c r="V324" s="49" t="str">
        <f aca="false">IF($O324="","","1122")</f>
        <v/>
      </c>
      <c r="W324" s="49" t="str">
        <f aca="false">IF($O324="","","6001")</f>
        <v/>
      </c>
      <c r="X324" s="48" t="str">
        <f aca="false">IF($O324="","",$O324)</f>
        <v/>
      </c>
      <c r="Y324" s="49" t="str">
        <f aca="false">IF(N($P324)=0,"","1122")</f>
        <v/>
      </c>
      <c r="Z324" s="49" t="str">
        <f aca="false">IF(N($P324)=0,"","2221")</f>
        <v/>
      </c>
      <c r="AA324" s="48" t="str">
        <f aca="false">IF(N($P324)=0,"",$P324)</f>
        <v/>
      </c>
      <c r="AB324" s="49" t="str">
        <f aca="false">IF(N($S324)=0,"","6401")</f>
        <v/>
      </c>
      <c r="AC324" s="49" t="str">
        <f aca="false">IF(N($S324)=0,"","1405")</f>
        <v/>
      </c>
      <c r="AD324" s="48" t="str">
        <f aca="false">IF(N($S324)=0,"",$S324)</f>
        <v/>
      </c>
      <c r="AE324" s="49" t="str">
        <f aca="false">IF(AND($D324=客户对账单!$B$3,$B324&gt;=客户对账单!$E$3,$B324&lt;=客户对账单!$H$3),COUNTIFS($D$5:$D324,客户对账单!$B$3,$B$5:$B324,"&gt;="&amp;客户对账单!$E$3,$B$5:$B324,"&lt;="&amp;客户对账单!$H$3),"")</f>
        <v/>
      </c>
    </row>
    <row r="325" customFormat="false" ht="15.75" hidden="false" customHeight="true" outlineLevel="0" collapsed="false">
      <c r="A325" s="42" t="str">
        <f aca="false">IF($B325="","","XS"&amp;TEXT($B325,"yyyymm")&amp;"-"&amp;TEXT(ROW()-4,"000"))</f>
        <v/>
      </c>
      <c r="B325" s="41"/>
      <c r="C325" s="42" t="str">
        <f aca="false">IF($B325="","",TEXT($B325,"yyyy-mm"))</f>
        <v/>
      </c>
      <c r="D325" s="32"/>
      <c r="E325" s="36"/>
      <c r="F325" s="43"/>
      <c r="G325" s="40"/>
      <c r="H325" s="51"/>
      <c r="I325" s="33"/>
      <c r="J325" s="33"/>
      <c r="K325" s="36"/>
      <c r="L325" s="47" t="str">
        <f aca="false">IF($B325="","",IF(NOT(ISNUMBER($B325)),"日期不是日期格式",IF(YEAR($B325)&lt;&gt;首页!$B$3,"不在会计年度",IF($D325="","未选客户",IF(ISNA(MATCH($D325,基础资料!$Z$6:$Z$155,0)),"客户不在档案",IF($E325="","未选商品",IF(ISNA(MATCH($E325,基础资料!$Q$6:$Q$205,0)),"商品不在档案",IF(NOT(ISNUMBER($F325)),"数量须为数字",IF(NOT(ISNUMBER($G325)),"单价须为数字",IF(N($F325)&lt;=0,"数量须大于0",IF(AND(IFERROR(INDEX(基础资料!$V$6:$V$205,MATCH($E325,基础资料!$Q$6:$Q$205,0)),"")="是",N($R325)=0),"无成本价·请先录采购或填参考成本",IF(N($T325)&lt;0,"毛利为负·请核对","√"))))))))))))</f>
        <v/>
      </c>
      <c r="M325" s="49" t="str">
        <f aca="false">IF($E325="","",IFERROR(INDEX(基础资料!$R$6:$R$205,MATCH($E325,基础资料!$Q$6:$Q$205,0)),""))</f>
        <v/>
      </c>
      <c r="N325" s="49" t="str">
        <f aca="false">IF($E325="","",IFERROR(INDEX(基础资料!$S$6:$S$205,MATCH($E325,基础资料!$Q$6:$Q$205,0)),""))</f>
        <v/>
      </c>
      <c r="O325" s="48" t="str">
        <f aca="false">IF(OR($F325="",$G325=""),"",ROUND(N($F325)*N($G325),2))</f>
        <v/>
      </c>
      <c r="P325" s="48" t="str">
        <f aca="false">IF($O325="","",ROUND(N($O325)*N($H325),2))</f>
        <v/>
      </c>
      <c r="Q325" s="48" t="str">
        <f aca="false">IF($O325="","",N($O325)+N($P325))</f>
        <v/>
      </c>
      <c r="R325" s="48" t="str">
        <f aca="false">IF(OR($E325="",$B325=""),"",IF(IFERROR(INDEX(基础资料!$V$6:$V$205,MATCH($E325,基础资料!$Q$6:$Q$205,0)),"")&lt;&gt;"是",0,IFERROR((SUMIFS(期初数据!$T$6:$T$205,期初数据!$O$6:$O$205,$E325)+SUMIFS(采购录入!$Q$5:$Q$404,采购录入!$E$5:$E$404,$E325,采购录入!$I$5:$I$404,"是",采购录入!$B$5:$B$404,"&lt;="&amp;$B325))/(SUMIFS(期初数据!$R$6:$R$205,期初数据!$O$6:$O$205,$E325)+SUMIFS(采购录入!$F$5:$F$404,采购录入!$E$5:$E$404,$E325,采购录入!$I$5:$I$404,"是",采购录入!$B$5:$B$404,"&lt;="&amp;$B325)),IFERROR(INDEX(基础资料!$U$6:$U$205,MATCH($E325,基础资料!$Q$6:$Q$205,0)),0))))</f>
        <v/>
      </c>
      <c r="S325" s="48" t="str">
        <f aca="false">IF($O325="","",ROUND(N($F325)*N($R325),2))</f>
        <v/>
      </c>
      <c r="T325" s="48" t="str">
        <f aca="false">IF($O325="","",N($O325)-N($S325))</f>
        <v/>
      </c>
      <c r="U325" s="52" t="str">
        <f aca="false">IF(OR($B325="",$D325=""),"",$B325+N(IFERROR(INDEX(基础资料!$AB$6:$AB$155,MATCH($D325,基础资料!$Z$6:$Z$155,0)),0)))</f>
        <v/>
      </c>
      <c r="V325" s="49" t="str">
        <f aca="false">IF($O325="","","1122")</f>
        <v/>
      </c>
      <c r="W325" s="49" t="str">
        <f aca="false">IF($O325="","","6001")</f>
        <v/>
      </c>
      <c r="X325" s="48" t="str">
        <f aca="false">IF($O325="","",$O325)</f>
        <v/>
      </c>
      <c r="Y325" s="49" t="str">
        <f aca="false">IF(N($P325)=0,"","1122")</f>
        <v/>
      </c>
      <c r="Z325" s="49" t="str">
        <f aca="false">IF(N($P325)=0,"","2221")</f>
        <v/>
      </c>
      <c r="AA325" s="48" t="str">
        <f aca="false">IF(N($P325)=0,"",$P325)</f>
        <v/>
      </c>
      <c r="AB325" s="49" t="str">
        <f aca="false">IF(N($S325)=0,"","6401")</f>
        <v/>
      </c>
      <c r="AC325" s="49" t="str">
        <f aca="false">IF(N($S325)=0,"","1405")</f>
        <v/>
      </c>
      <c r="AD325" s="48" t="str">
        <f aca="false">IF(N($S325)=0,"",$S325)</f>
        <v/>
      </c>
      <c r="AE325" s="49" t="str">
        <f aca="false">IF(AND($D325=客户对账单!$B$3,$B325&gt;=客户对账单!$E$3,$B325&lt;=客户对账单!$H$3),COUNTIFS($D$5:$D325,客户对账单!$B$3,$B$5:$B325,"&gt;="&amp;客户对账单!$E$3,$B$5:$B325,"&lt;="&amp;客户对账单!$H$3),"")</f>
        <v/>
      </c>
    </row>
    <row r="326" customFormat="false" ht="15.75" hidden="false" customHeight="true" outlineLevel="0" collapsed="false">
      <c r="A326" s="42" t="str">
        <f aca="false">IF($B326="","","XS"&amp;TEXT($B326,"yyyymm")&amp;"-"&amp;TEXT(ROW()-4,"000"))</f>
        <v/>
      </c>
      <c r="B326" s="41"/>
      <c r="C326" s="42" t="str">
        <f aca="false">IF($B326="","",TEXT($B326,"yyyy-mm"))</f>
        <v/>
      </c>
      <c r="D326" s="32"/>
      <c r="E326" s="36"/>
      <c r="F326" s="43"/>
      <c r="G326" s="40"/>
      <c r="H326" s="51"/>
      <c r="I326" s="33"/>
      <c r="J326" s="33"/>
      <c r="K326" s="36"/>
      <c r="L326" s="47" t="str">
        <f aca="false">IF($B326="","",IF(NOT(ISNUMBER($B326)),"日期不是日期格式",IF(YEAR($B326)&lt;&gt;首页!$B$3,"不在会计年度",IF($D326="","未选客户",IF(ISNA(MATCH($D326,基础资料!$Z$6:$Z$155,0)),"客户不在档案",IF($E326="","未选商品",IF(ISNA(MATCH($E326,基础资料!$Q$6:$Q$205,0)),"商品不在档案",IF(NOT(ISNUMBER($F326)),"数量须为数字",IF(NOT(ISNUMBER($G326)),"单价须为数字",IF(N($F326)&lt;=0,"数量须大于0",IF(AND(IFERROR(INDEX(基础资料!$V$6:$V$205,MATCH($E326,基础资料!$Q$6:$Q$205,0)),"")="是",N($R326)=0),"无成本价·请先录采购或填参考成本",IF(N($T326)&lt;0,"毛利为负·请核对","√"))))))))))))</f>
        <v/>
      </c>
      <c r="M326" s="49" t="str">
        <f aca="false">IF($E326="","",IFERROR(INDEX(基础资料!$R$6:$R$205,MATCH($E326,基础资料!$Q$6:$Q$205,0)),""))</f>
        <v/>
      </c>
      <c r="N326" s="49" t="str">
        <f aca="false">IF($E326="","",IFERROR(INDEX(基础资料!$S$6:$S$205,MATCH($E326,基础资料!$Q$6:$Q$205,0)),""))</f>
        <v/>
      </c>
      <c r="O326" s="48" t="str">
        <f aca="false">IF(OR($F326="",$G326=""),"",ROUND(N($F326)*N($G326),2))</f>
        <v/>
      </c>
      <c r="P326" s="48" t="str">
        <f aca="false">IF($O326="","",ROUND(N($O326)*N($H326),2))</f>
        <v/>
      </c>
      <c r="Q326" s="48" t="str">
        <f aca="false">IF($O326="","",N($O326)+N($P326))</f>
        <v/>
      </c>
      <c r="R326" s="48" t="str">
        <f aca="false">IF(OR($E326="",$B326=""),"",IF(IFERROR(INDEX(基础资料!$V$6:$V$205,MATCH($E326,基础资料!$Q$6:$Q$205,0)),"")&lt;&gt;"是",0,IFERROR((SUMIFS(期初数据!$T$6:$T$205,期初数据!$O$6:$O$205,$E326)+SUMIFS(采购录入!$Q$5:$Q$404,采购录入!$E$5:$E$404,$E326,采购录入!$I$5:$I$404,"是",采购录入!$B$5:$B$404,"&lt;="&amp;$B326))/(SUMIFS(期初数据!$R$6:$R$205,期初数据!$O$6:$O$205,$E326)+SUMIFS(采购录入!$F$5:$F$404,采购录入!$E$5:$E$404,$E326,采购录入!$I$5:$I$404,"是",采购录入!$B$5:$B$404,"&lt;="&amp;$B326)),IFERROR(INDEX(基础资料!$U$6:$U$205,MATCH($E326,基础资料!$Q$6:$Q$205,0)),0))))</f>
        <v/>
      </c>
      <c r="S326" s="48" t="str">
        <f aca="false">IF($O326="","",ROUND(N($F326)*N($R326),2))</f>
        <v/>
      </c>
      <c r="T326" s="48" t="str">
        <f aca="false">IF($O326="","",N($O326)-N($S326))</f>
        <v/>
      </c>
      <c r="U326" s="52" t="str">
        <f aca="false">IF(OR($B326="",$D326=""),"",$B326+N(IFERROR(INDEX(基础资料!$AB$6:$AB$155,MATCH($D326,基础资料!$Z$6:$Z$155,0)),0)))</f>
        <v/>
      </c>
      <c r="V326" s="49" t="str">
        <f aca="false">IF($O326="","","1122")</f>
        <v/>
      </c>
      <c r="W326" s="49" t="str">
        <f aca="false">IF($O326="","","6001")</f>
        <v/>
      </c>
      <c r="X326" s="48" t="str">
        <f aca="false">IF($O326="","",$O326)</f>
        <v/>
      </c>
      <c r="Y326" s="49" t="str">
        <f aca="false">IF(N($P326)=0,"","1122")</f>
        <v/>
      </c>
      <c r="Z326" s="49" t="str">
        <f aca="false">IF(N($P326)=0,"","2221")</f>
        <v/>
      </c>
      <c r="AA326" s="48" t="str">
        <f aca="false">IF(N($P326)=0,"",$P326)</f>
        <v/>
      </c>
      <c r="AB326" s="49" t="str">
        <f aca="false">IF(N($S326)=0,"","6401")</f>
        <v/>
      </c>
      <c r="AC326" s="49" t="str">
        <f aca="false">IF(N($S326)=0,"","1405")</f>
        <v/>
      </c>
      <c r="AD326" s="48" t="str">
        <f aca="false">IF(N($S326)=0,"",$S326)</f>
        <v/>
      </c>
      <c r="AE326" s="49" t="str">
        <f aca="false">IF(AND($D326=客户对账单!$B$3,$B326&gt;=客户对账单!$E$3,$B326&lt;=客户对账单!$H$3),COUNTIFS($D$5:$D326,客户对账单!$B$3,$B$5:$B326,"&gt;="&amp;客户对账单!$E$3,$B$5:$B326,"&lt;="&amp;客户对账单!$H$3),"")</f>
        <v/>
      </c>
    </row>
    <row r="327" customFormat="false" ht="15.75" hidden="false" customHeight="true" outlineLevel="0" collapsed="false">
      <c r="A327" s="42" t="str">
        <f aca="false">IF($B327="","","XS"&amp;TEXT($B327,"yyyymm")&amp;"-"&amp;TEXT(ROW()-4,"000"))</f>
        <v/>
      </c>
      <c r="B327" s="41"/>
      <c r="C327" s="42" t="str">
        <f aca="false">IF($B327="","",TEXT($B327,"yyyy-mm"))</f>
        <v/>
      </c>
      <c r="D327" s="32"/>
      <c r="E327" s="36"/>
      <c r="F327" s="43"/>
      <c r="G327" s="40"/>
      <c r="H327" s="51"/>
      <c r="I327" s="33"/>
      <c r="J327" s="33"/>
      <c r="K327" s="36"/>
      <c r="L327" s="47" t="str">
        <f aca="false">IF($B327="","",IF(NOT(ISNUMBER($B327)),"日期不是日期格式",IF(YEAR($B327)&lt;&gt;首页!$B$3,"不在会计年度",IF($D327="","未选客户",IF(ISNA(MATCH($D327,基础资料!$Z$6:$Z$155,0)),"客户不在档案",IF($E327="","未选商品",IF(ISNA(MATCH($E327,基础资料!$Q$6:$Q$205,0)),"商品不在档案",IF(NOT(ISNUMBER($F327)),"数量须为数字",IF(NOT(ISNUMBER($G327)),"单价须为数字",IF(N($F327)&lt;=0,"数量须大于0",IF(AND(IFERROR(INDEX(基础资料!$V$6:$V$205,MATCH($E327,基础资料!$Q$6:$Q$205,0)),"")="是",N($R327)=0),"无成本价·请先录采购或填参考成本",IF(N($T327)&lt;0,"毛利为负·请核对","√"))))))))))))</f>
        <v/>
      </c>
      <c r="M327" s="49" t="str">
        <f aca="false">IF($E327="","",IFERROR(INDEX(基础资料!$R$6:$R$205,MATCH($E327,基础资料!$Q$6:$Q$205,0)),""))</f>
        <v/>
      </c>
      <c r="N327" s="49" t="str">
        <f aca="false">IF($E327="","",IFERROR(INDEX(基础资料!$S$6:$S$205,MATCH($E327,基础资料!$Q$6:$Q$205,0)),""))</f>
        <v/>
      </c>
      <c r="O327" s="48" t="str">
        <f aca="false">IF(OR($F327="",$G327=""),"",ROUND(N($F327)*N($G327),2))</f>
        <v/>
      </c>
      <c r="P327" s="48" t="str">
        <f aca="false">IF($O327="","",ROUND(N($O327)*N($H327),2))</f>
        <v/>
      </c>
      <c r="Q327" s="48" t="str">
        <f aca="false">IF($O327="","",N($O327)+N($P327))</f>
        <v/>
      </c>
      <c r="R327" s="48" t="str">
        <f aca="false">IF(OR($E327="",$B327=""),"",IF(IFERROR(INDEX(基础资料!$V$6:$V$205,MATCH($E327,基础资料!$Q$6:$Q$205,0)),"")&lt;&gt;"是",0,IFERROR((SUMIFS(期初数据!$T$6:$T$205,期初数据!$O$6:$O$205,$E327)+SUMIFS(采购录入!$Q$5:$Q$404,采购录入!$E$5:$E$404,$E327,采购录入!$I$5:$I$404,"是",采购录入!$B$5:$B$404,"&lt;="&amp;$B327))/(SUMIFS(期初数据!$R$6:$R$205,期初数据!$O$6:$O$205,$E327)+SUMIFS(采购录入!$F$5:$F$404,采购录入!$E$5:$E$404,$E327,采购录入!$I$5:$I$404,"是",采购录入!$B$5:$B$404,"&lt;="&amp;$B327)),IFERROR(INDEX(基础资料!$U$6:$U$205,MATCH($E327,基础资料!$Q$6:$Q$205,0)),0))))</f>
        <v/>
      </c>
      <c r="S327" s="48" t="str">
        <f aca="false">IF($O327="","",ROUND(N($F327)*N($R327),2))</f>
        <v/>
      </c>
      <c r="T327" s="48" t="str">
        <f aca="false">IF($O327="","",N($O327)-N($S327))</f>
        <v/>
      </c>
      <c r="U327" s="52" t="str">
        <f aca="false">IF(OR($B327="",$D327=""),"",$B327+N(IFERROR(INDEX(基础资料!$AB$6:$AB$155,MATCH($D327,基础资料!$Z$6:$Z$155,0)),0)))</f>
        <v/>
      </c>
      <c r="V327" s="49" t="str">
        <f aca="false">IF($O327="","","1122")</f>
        <v/>
      </c>
      <c r="W327" s="49" t="str">
        <f aca="false">IF($O327="","","6001")</f>
        <v/>
      </c>
      <c r="X327" s="48" t="str">
        <f aca="false">IF($O327="","",$O327)</f>
        <v/>
      </c>
      <c r="Y327" s="49" t="str">
        <f aca="false">IF(N($P327)=0,"","1122")</f>
        <v/>
      </c>
      <c r="Z327" s="49" t="str">
        <f aca="false">IF(N($P327)=0,"","2221")</f>
        <v/>
      </c>
      <c r="AA327" s="48" t="str">
        <f aca="false">IF(N($P327)=0,"",$P327)</f>
        <v/>
      </c>
      <c r="AB327" s="49" t="str">
        <f aca="false">IF(N($S327)=0,"","6401")</f>
        <v/>
      </c>
      <c r="AC327" s="49" t="str">
        <f aca="false">IF(N($S327)=0,"","1405")</f>
        <v/>
      </c>
      <c r="AD327" s="48" t="str">
        <f aca="false">IF(N($S327)=0,"",$S327)</f>
        <v/>
      </c>
      <c r="AE327" s="49" t="str">
        <f aca="false">IF(AND($D327=客户对账单!$B$3,$B327&gt;=客户对账单!$E$3,$B327&lt;=客户对账单!$H$3),COUNTIFS($D$5:$D327,客户对账单!$B$3,$B$5:$B327,"&gt;="&amp;客户对账单!$E$3,$B$5:$B327,"&lt;="&amp;客户对账单!$H$3),"")</f>
        <v/>
      </c>
    </row>
    <row r="328" customFormat="false" ht="15.75" hidden="false" customHeight="true" outlineLevel="0" collapsed="false">
      <c r="A328" s="42" t="str">
        <f aca="false">IF($B328="","","XS"&amp;TEXT($B328,"yyyymm")&amp;"-"&amp;TEXT(ROW()-4,"000"))</f>
        <v/>
      </c>
      <c r="B328" s="41"/>
      <c r="C328" s="42" t="str">
        <f aca="false">IF($B328="","",TEXT($B328,"yyyy-mm"))</f>
        <v/>
      </c>
      <c r="D328" s="32"/>
      <c r="E328" s="36"/>
      <c r="F328" s="43"/>
      <c r="G328" s="40"/>
      <c r="H328" s="51"/>
      <c r="I328" s="33"/>
      <c r="J328" s="33"/>
      <c r="K328" s="36"/>
      <c r="L328" s="47" t="str">
        <f aca="false">IF($B328="","",IF(NOT(ISNUMBER($B328)),"日期不是日期格式",IF(YEAR($B328)&lt;&gt;首页!$B$3,"不在会计年度",IF($D328="","未选客户",IF(ISNA(MATCH($D328,基础资料!$Z$6:$Z$155,0)),"客户不在档案",IF($E328="","未选商品",IF(ISNA(MATCH($E328,基础资料!$Q$6:$Q$205,0)),"商品不在档案",IF(NOT(ISNUMBER($F328)),"数量须为数字",IF(NOT(ISNUMBER($G328)),"单价须为数字",IF(N($F328)&lt;=0,"数量须大于0",IF(AND(IFERROR(INDEX(基础资料!$V$6:$V$205,MATCH($E328,基础资料!$Q$6:$Q$205,0)),"")="是",N($R328)=0),"无成本价·请先录采购或填参考成本",IF(N($T328)&lt;0,"毛利为负·请核对","√"))))))))))))</f>
        <v/>
      </c>
      <c r="M328" s="49" t="str">
        <f aca="false">IF($E328="","",IFERROR(INDEX(基础资料!$R$6:$R$205,MATCH($E328,基础资料!$Q$6:$Q$205,0)),""))</f>
        <v/>
      </c>
      <c r="N328" s="49" t="str">
        <f aca="false">IF($E328="","",IFERROR(INDEX(基础资料!$S$6:$S$205,MATCH($E328,基础资料!$Q$6:$Q$205,0)),""))</f>
        <v/>
      </c>
      <c r="O328" s="48" t="str">
        <f aca="false">IF(OR($F328="",$G328=""),"",ROUND(N($F328)*N($G328),2))</f>
        <v/>
      </c>
      <c r="P328" s="48" t="str">
        <f aca="false">IF($O328="","",ROUND(N($O328)*N($H328),2))</f>
        <v/>
      </c>
      <c r="Q328" s="48" t="str">
        <f aca="false">IF($O328="","",N($O328)+N($P328))</f>
        <v/>
      </c>
      <c r="R328" s="48" t="str">
        <f aca="false">IF(OR($E328="",$B328=""),"",IF(IFERROR(INDEX(基础资料!$V$6:$V$205,MATCH($E328,基础资料!$Q$6:$Q$205,0)),"")&lt;&gt;"是",0,IFERROR((SUMIFS(期初数据!$T$6:$T$205,期初数据!$O$6:$O$205,$E328)+SUMIFS(采购录入!$Q$5:$Q$404,采购录入!$E$5:$E$404,$E328,采购录入!$I$5:$I$404,"是",采购录入!$B$5:$B$404,"&lt;="&amp;$B328))/(SUMIFS(期初数据!$R$6:$R$205,期初数据!$O$6:$O$205,$E328)+SUMIFS(采购录入!$F$5:$F$404,采购录入!$E$5:$E$404,$E328,采购录入!$I$5:$I$404,"是",采购录入!$B$5:$B$404,"&lt;="&amp;$B328)),IFERROR(INDEX(基础资料!$U$6:$U$205,MATCH($E328,基础资料!$Q$6:$Q$205,0)),0))))</f>
        <v/>
      </c>
      <c r="S328" s="48" t="str">
        <f aca="false">IF($O328="","",ROUND(N($F328)*N($R328),2))</f>
        <v/>
      </c>
      <c r="T328" s="48" t="str">
        <f aca="false">IF($O328="","",N($O328)-N($S328))</f>
        <v/>
      </c>
      <c r="U328" s="52" t="str">
        <f aca="false">IF(OR($B328="",$D328=""),"",$B328+N(IFERROR(INDEX(基础资料!$AB$6:$AB$155,MATCH($D328,基础资料!$Z$6:$Z$155,0)),0)))</f>
        <v/>
      </c>
      <c r="V328" s="49" t="str">
        <f aca="false">IF($O328="","","1122")</f>
        <v/>
      </c>
      <c r="W328" s="49" t="str">
        <f aca="false">IF($O328="","","6001")</f>
        <v/>
      </c>
      <c r="X328" s="48" t="str">
        <f aca="false">IF($O328="","",$O328)</f>
        <v/>
      </c>
      <c r="Y328" s="49" t="str">
        <f aca="false">IF(N($P328)=0,"","1122")</f>
        <v/>
      </c>
      <c r="Z328" s="49" t="str">
        <f aca="false">IF(N($P328)=0,"","2221")</f>
        <v/>
      </c>
      <c r="AA328" s="48" t="str">
        <f aca="false">IF(N($P328)=0,"",$P328)</f>
        <v/>
      </c>
      <c r="AB328" s="49" t="str">
        <f aca="false">IF(N($S328)=0,"","6401")</f>
        <v/>
      </c>
      <c r="AC328" s="49" t="str">
        <f aca="false">IF(N($S328)=0,"","1405")</f>
        <v/>
      </c>
      <c r="AD328" s="48" t="str">
        <f aca="false">IF(N($S328)=0,"",$S328)</f>
        <v/>
      </c>
      <c r="AE328" s="49" t="str">
        <f aca="false">IF(AND($D328=客户对账单!$B$3,$B328&gt;=客户对账单!$E$3,$B328&lt;=客户对账单!$H$3),COUNTIFS($D$5:$D328,客户对账单!$B$3,$B$5:$B328,"&gt;="&amp;客户对账单!$E$3,$B$5:$B328,"&lt;="&amp;客户对账单!$H$3),"")</f>
        <v/>
      </c>
    </row>
    <row r="329" customFormat="false" ht="15.75" hidden="false" customHeight="true" outlineLevel="0" collapsed="false">
      <c r="A329" s="42" t="str">
        <f aca="false">IF($B329="","","XS"&amp;TEXT($B329,"yyyymm")&amp;"-"&amp;TEXT(ROW()-4,"000"))</f>
        <v/>
      </c>
      <c r="B329" s="41"/>
      <c r="C329" s="42" t="str">
        <f aca="false">IF($B329="","",TEXT($B329,"yyyy-mm"))</f>
        <v/>
      </c>
      <c r="D329" s="32"/>
      <c r="E329" s="36"/>
      <c r="F329" s="43"/>
      <c r="G329" s="40"/>
      <c r="H329" s="51"/>
      <c r="I329" s="33"/>
      <c r="J329" s="33"/>
      <c r="K329" s="36"/>
      <c r="L329" s="47" t="str">
        <f aca="false">IF($B329="","",IF(NOT(ISNUMBER($B329)),"日期不是日期格式",IF(YEAR($B329)&lt;&gt;首页!$B$3,"不在会计年度",IF($D329="","未选客户",IF(ISNA(MATCH($D329,基础资料!$Z$6:$Z$155,0)),"客户不在档案",IF($E329="","未选商品",IF(ISNA(MATCH($E329,基础资料!$Q$6:$Q$205,0)),"商品不在档案",IF(NOT(ISNUMBER($F329)),"数量须为数字",IF(NOT(ISNUMBER($G329)),"单价须为数字",IF(N($F329)&lt;=0,"数量须大于0",IF(AND(IFERROR(INDEX(基础资料!$V$6:$V$205,MATCH($E329,基础资料!$Q$6:$Q$205,0)),"")="是",N($R329)=0),"无成本价·请先录采购或填参考成本",IF(N($T329)&lt;0,"毛利为负·请核对","√"))))))))))))</f>
        <v/>
      </c>
      <c r="M329" s="49" t="str">
        <f aca="false">IF($E329="","",IFERROR(INDEX(基础资料!$R$6:$R$205,MATCH($E329,基础资料!$Q$6:$Q$205,0)),""))</f>
        <v/>
      </c>
      <c r="N329" s="49" t="str">
        <f aca="false">IF($E329="","",IFERROR(INDEX(基础资料!$S$6:$S$205,MATCH($E329,基础资料!$Q$6:$Q$205,0)),""))</f>
        <v/>
      </c>
      <c r="O329" s="48" t="str">
        <f aca="false">IF(OR($F329="",$G329=""),"",ROUND(N($F329)*N($G329),2))</f>
        <v/>
      </c>
      <c r="P329" s="48" t="str">
        <f aca="false">IF($O329="","",ROUND(N($O329)*N($H329),2))</f>
        <v/>
      </c>
      <c r="Q329" s="48" t="str">
        <f aca="false">IF($O329="","",N($O329)+N($P329))</f>
        <v/>
      </c>
      <c r="R329" s="48" t="str">
        <f aca="false">IF(OR($E329="",$B329=""),"",IF(IFERROR(INDEX(基础资料!$V$6:$V$205,MATCH($E329,基础资料!$Q$6:$Q$205,0)),"")&lt;&gt;"是",0,IFERROR((SUMIFS(期初数据!$T$6:$T$205,期初数据!$O$6:$O$205,$E329)+SUMIFS(采购录入!$Q$5:$Q$404,采购录入!$E$5:$E$404,$E329,采购录入!$I$5:$I$404,"是",采购录入!$B$5:$B$404,"&lt;="&amp;$B329))/(SUMIFS(期初数据!$R$6:$R$205,期初数据!$O$6:$O$205,$E329)+SUMIFS(采购录入!$F$5:$F$404,采购录入!$E$5:$E$404,$E329,采购录入!$I$5:$I$404,"是",采购录入!$B$5:$B$404,"&lt;="&amp;$B329)),IFERROR(INDEX(基础资料!$U$6:$U$205,MATCH($E329,基础资料!$Q$6:$Q$205,0)),0))))</f>
        <v/>
      </c>
      <c r="S329" s="48" t="str">
        <f aca="false">IF($O329="","",ROUND(N($F329)*N($R329),2))</f>
        <v/>
      </c>
      <c r="T329" s="48" t="str">
        <f aca="false">IF($O329="","",N($O329)-N($S329))</f>
        <v/>
      </c>
      <c r="U329" s="52" t="str">
        <f aca="false">IF(OR($B329="",$D329=""),"",$B329+N(IFERROR(INDEX(基础资料!$AB$6:$AB$155,MATCH($D329,基础资料!$Z$6:$Z$155,0)),0)))</f>
        <v/>
      </c>
      <c r="V329" s="49" t="str">
        <f aca="false">IF($O329="","","1122")</f>
        <v/>
      </c>
      <c r="W329" s="49" t="str">
        <f aca="false">IF($O329="","","6001")</f>
        <v/>
      </c>
      <c r="X329" s="48" t="str">
        <f aca="false">IF($O329="","",$O329)</f>
        <v/>
      </c>
      <c r="Y329" s="49" t="str">
        <f aca="false">IF(N($P329)=0,"","1122")</f>
        <v/>
      </c>
      <c r="Z329" s="49" t="str">
        <f aca="false">IF(N($P329)=0,"","2221")</f>
        <v/>
      </c>
      <c r="AA329" s="48" t="str">
        <f aca="false">IF(N($P329)=0,"",$P329)</f>
        <v/>
      </c>
      <c r="AB329" s="49" t="str">
        <f aca="false">IF(N($S329)=0,"","6401")</f>
        <v/>
      </c>
      <c r="AC329" s="49" t="str">
        <f aca="false">IF(N($S329)=0,"","1405")</f>
        <v/>
      </c>
      <c r="AD329" s="48" t="str">
        <f aca="false">IF(N($S329)=0,"",$S329)</f>
        <v/>
      </c>
      <c r="AE329" s="49" t="str">
        <f aca="false">IF(AND($D329=客户对账单!$B$3,$B329&gt;=客户对账单!$E$3,$B329&lt;=客户对账单!$H$3),COUNTIFS($D$5:$D329,客户对账单!$B$3,$B$5:$B329,"&gt;="&amp;客户对账单!$E$3,$B$5:$B329,"&lt;="&amp;客户对账单!$H$3),"")</f>
        <v/>
      </c>
    </row>
    <row r="330" customFormat="false" ht="15.75" hidden="false" customHeight="true" outlineLevel="0" collapsed="false">
      <c r="A330" s="42" t="str">
        <f aca="false">IF($B330="","","XS"&amp;TEXT($B330,"yyyymm")&amp;"-"&amp;TEXT(ROW()-4,"000"))</f>
        <v/>
      </c>
      <c r="B330" s="41"/>
      <c r="C330" s="42" t="str">
        <f aca="false">IF($B330="","",TEXT($B330,"yyyy-mm"))</f>
        <v/>
      </c>
      <c r="D330" s="32"/>
      <c r="E330" s="36"/>
      <c r="F330" s="43"/>
      <c r="G330" s="40"/>
      <c r="H330" s="51"/>
      <c r="I330" s="33"/>
      <c r="J330" s="33"/>
      <c r="K330" s="36"/>
      <c r="L330" s="47" t="str">
        <f aca="false">IF($B330="","",IF(NOT(ISNUMBER($B330)),"日期不是日期格式",IF(YEAR($B330)&lt;&gt;首页!$B$3,"不在会计年度",IF($D330="","未选客户",IF(ISNA(MATCH($D330,基础资料!$Z$6:$Z$155,0)),"客户不在档案",IF($E330="","未选商品",IF(ISNA(MATCH($E330,基础资料!$Q$6:$Q$205,0)),"商品不在档案",IF(NOT(ISNUMBER($F330)),"数量须为数字",IF(NOT(ISNUMBER($G330)),"单价须为数字",IF(N($F330)&lt;=0,"数量须大于0",IF(AND(IFERROR(INDEX(基础资料!$V$6:$V$205,MATCH($E330,基础资料!$Q$6:$Q$205,0)),"")="是",N($R330)=0),"无成本价·请先录采购或填参考成本",IF(N($T330)&lt;0,"毛利为负·请核对","√"))))))))))))</f>
        <v/>
      </c>
      <c r="M330" s="49" t="str">
        <f aca="false">IF($E330="","",IFERROR(INDEX(基础资料!$R$6:$R$205,MATCH($E330,基础资料!$Q$6:$Q$205,0)),""))</f>
        <v/>
      </c>
      <c r="N330" s="49" t="str">
        <f aca="false">IF($E330="","",IFERROR(INDEX(基础资料!$S$6:$S$205,MATCH($E330,基础资料!$Q$6:$Q$205,0)),""))</f>
        <v/>
      </c>
      <c r="O330" s="48" t="str">
        <f aca="false">IF(OR($F330="",$G330=""),"",ROUND(N($F330)*N($G330),2))</f>
        <v/>
      </c>
      <c r="P330" s="48" t="str">
        <f aca="false">IF($O330="","",ROUND(N($O330)*N($H330),2))</f>
        <v/>
      </c>
      <c r="Q330" s="48" t="str">
        <f aca="false">IF($O330="","",N($O330)+N($P330))</f>
        <v/>
      </c>
      <c r="R330" s="48" t="str">
        <f aca="false">IF(OR($E330="",$B330=""),"",IF(IFERROR(INDEX(基础资料!$V$6:$V$205,MATCH($E330,基础资料!$Q$6:$Q$205,0)),"")&lt;&gt;"是",0,IFERROR((SUMIFS(期初数据!$T$6:$T$205,期初数据!$O$6:$O$205,$E330)+SUMIFS(采购录入!$Q$5:$Q$404,采购录入!$E$5:$E$404,$E330,采购录入!$I$5:$I$404,"是",采购录入!$B$5:$B$404,"&lt;="&amp;$B330))/(SUMIFS(期初数据!$R$6:$R$205,期初数据!$O$6:$O$205,$E330)+SUMIFS(采购录入!$F$5:$F$404,采购录入!$E$5:$E$404,$E330,采购录入!$I$5:$I$404,"是",采购录入!$B$5:$B$404,"&lt;="&amp;$B330)),IFERROR(INDEX(基础资料!$U$6:$U$205,MATCH($E330,基础资料!$Q$6:$Q$205,0)),0))))</f>
        <v/>
      </c>
      <c r="S330" s="48" t="str">
        <f aca="false">IF($O330="","",ROUND(N($F330)*N($R330),2))</f>
        <v/>
      </c>
      <c r="T330" s="48" t="str">
        <f aca="false">IF($O330="","",N($O330)-N($S330))</f>
        <v/>
      </c>
      <c r="U330" s="52" t="str">
        <f aca="false">IF(OR($B330="",$D330=""),"",$B330+N(IFERROR(INDEX(基础资料!$AB$6:$AB$155,MATCH($D330,基础资料!$Z$6:$Z$155,0)),0)))</f>
        <v/>
      </c>
      <c r="V330" s="49" t="str">
        <f aca="false">IF($O330="","","1122")</f>
        <v/>
      </c>
      <c r="W330" s="49" t="str">
        <f aca="false">IF($O330="","","6001")</f>
        <v/>
      </c>
      <c r="X330" s="48" t="str">
        <f aca="false">IF($O330="","",$O330)</f>
        <v/>
      </c>
      <c r="Y330" s="49" t="str">
        <f aca="false">IF(N($P330)=0,"","1122")</f>
        <v/>
      </c>
      <c r="Z330" s="49" t="str">
        <f aca="false">IF(N($P330)=0,"","2221")</f>
        <v/>
      </c>
      <c r="AA330" s="48" t="str">
        <f aca="false">IF(N($P330)=0,"",$P330)</f>
        <v/>
      </c>
      <c r="AB330" s="49" t="str">
        <f aca="false">IF(N($S330)=0,"","6401")</f>
        <v/>
      </c>
      <c r="AC330" s="49" t="str">
        <f aca="false">IF(N($S330)=0,"","1405")</f>
        <v/>
      </c>
      <c r="AD330" s="48" t="str">
        <f aca="false">IF(N($S330)=0,"",$S330)</f>
        <v/>
      </c>
      <c r="AE330" s="49" t="str">
        <f aca="false">IF(AND($D330=客户对账单!$B$3,$B330&gt;=客户对账单!$E$3,$B330&lt;=客户对账单!$H$3),COUNTIFS($D$5:$D330,客户对账单!$B$3,$B$5:$B330,"&gt;="&amp;客户对账单!$E$3,$B$5:$B330,"&lt;="&amp;客户对账单!$H$3),"")</f>
        <v/>
      </c>
    </row>
    <row r="331" customFormat="false" ht="15.75" hidden="false" customHeight="true" outlineLevel="0" collapsed="false">
      <c r="A331" s="42" t="str">
        <f aca="false">IF($B331="","","XS"&amp;TEXT($B331,"yyyymm")&amp;"-"&amp;TEXT(ROW()-4,"000"))</f>
        <v/>
      </c>
      <c r="B331" s="41"/>
      <c r="C331" s="42" t="str">
        <f aca="false">IF($B331="","",TEXT($B331,"yyyy-mm"))</f>
        <v/>
      </c>
      <c r="D331" s="32"/>
      <c r="E331" s="36"/>
      <c r="F331" s="43"/>
      <c r="G331" s="40"/>
      <c r="H331" s="51"/>
      <c r="I331" s="33"/>
      <c r="J331" s="33"/>
      <c r="K331" s="36"/>
      <c r="L331" s="47" t="str">
        <f aca="false">IF($B331="","",IF(NOT(ISNUMBER($B331)),"日期不是日期格式",IF(YEAR($B331)&lt;&gt;首页!$B$3,"不在会计年度",IF($D331="","未选客户",IF(ISNA(MATCH($D331,基础资料!$Z$6:$Z$155,0)),"客户不在档案",IF($E331="","未选商品",IF(ISNA(MATCH($E331,基础资料!$Q$6:$Q$205,0)),"商品不在档案",IF(NOT(ISNUMBER($F331)),"数量须为数字",IF(NOT(ISNUMBER($G331)),"单价须为数字",IF(N($F331)&lt;=0,"数量须大于0",IF(AND(IFERROR(INDEX(基础资料!$V$6:$V$205,MATCH($E331,基础资料!$Q$6:$Q$205,0)),"")="是",N($R331)=0),"无成本价·请先录采购或填参考成本",IF(N($T331)&lt;0,"毛利为负·请核对","√"))))))))))))</f>
        <v/>
      </c>
      <c r="M331" s="49" t="str">
        <f aca="false">IF($E331="","",IFERROR(INDEX(基础资料!$R$6:$R$205,MATCH($E331,基础资料!$Q$6:$Q$205,0)),""))</f>
        <v/>
      </c>
      <c r="N331" s="49" t="str">
        <f aca="false">IF($E331="","",IFERROR(INDEX(基础资料!$S$6:$S$205,MATCH($E331,基础资料!$Q$6:$Q$205,0)),""))</f>
        <v/>
      </c>
      <c r="O331" s="48" t="str">
        <f aca="false">IF(OR($F331="",$G331=""),"",ROUND(N($F331)*N($G331),2))</f>
        <v/>
      </c>
      <c r="P331" s="48" t="str">
        <f aca="false">IF($O331="","",ROUND(N($O331)*N($H331),2))</f>
        <v/>
      </c>
      <c r="Q331" s="48" t="str">
        <f aca="false">IF($O331="","",N($O331)+N($P331))</f>
        <v/>
      </c>
      <c r="R331" s="48" t="str">
        <f aca="false">IF(OR($E331="",$B331=""),"",IF(IFERROR(INDEX(基础资料!$V$6:$V$205,MATCH($E331,基础资料!$Q$6:$Q$205,0)),"")&lt;&gt;"是",0,IFERROR((SUMIFS(期初数据!$T$6:$T$205,期初数据!$O$6:$O$205,$E331)+SUMIFS(采购录入!$Q$5:$Q$404,采购录入!$E$5:$E$404,$E331,采购录入!$I$5:$I$404,"是",采购录入!$B$5:$B$404,"&lt;="&amp;$B331))/(SUMIFS(期初数据!$R$6:$R$205,期初数据!$O$6:$O$205,$E331)+SUMIFS(采购录入!$F$5:$F$404,采购录入!$E$5:$E$404,$E331,采购录入!$I$5:$I$404,"是",采购录入!$B$5:$B$404,"&lt;="&amp;$B331)),IFERROR(INDEX(基础资料!$U$6:$U$205,MATCH($E331,基础资料!$Q$6:$Q$205,0)),0))))</f>
        <v/>
      </c>
      <c r="S331" s="48" t="str">
        <f aca="false">IF($O331="","",ROUND(N($F331)*N($R331),2))</f>
        <v/>
      </c>
      <c r="T331" s="48" t="str">
        <f aca="false">IF($O331="","",N($O331)-N($S331))</f>
        <v/>
      </c>
      <c r="U331" s="52" t="str">
        <f aca="false">IF(OR($B331="",$D331=""),"",$B331+N(IFERROR(INDEX(基础资料!$AB$6:$AB$155,MATCH($D331,基础资料!$Z$6:$Z$155,0)),0)))</f>
        <v/>
      </c>
      <c r="V331" s="49" t="str">
        <f aca="false">IF($O331="","","1122")</f>
        <v/>
      </c>
      <c r="W331" s="49" t="str">
        <f aca="false">IF($O331="","","6001")</f>
        <v/>
      </c>
      <c r="X331" s="48" t="str">
        <f aca="false">IF($O331="","",$O331)</f>
        <v/>
      </c>
      <c r="Y331" s="49" t="str">
        <f aca="false">IF(N($P331)=0,"","1122")</f>
        <v/>
      </c>
      <c r="Z331" s="49" t="str">
        <f aca="false">IF(N($P331)=0,"","2221")</f>
        <v/>
      </c>
      <c r="AA331" s="48" t="str">
        <f aca="false">IF(N($P331)=0,"",$P331)</f>
        <v/>
      </c>
      <c r="AB331" s="49" t="str">
        <f aca="false">IF(N($S331)=0,"","6401")</f>
        <v/>
      </c>
      <c r="AC331" s="49" t="str">
        <f aca="false">IF(N($S331)=0,"","1405")</f>
        <v/>
      </c>
      <c r="AD331" s="48" t="str">
        <f aca="false">IF(N($S331)=0,"",$S331)</f>
        <v/>
      </c>
      <c r="AE331" s="49" t="str">
        <f aca="false">IF(AND($D331=客户对账单!$B$3,$B331&gt;=客户对账单!$E$3,$B331&lt;=客户对账单!$H$3),COUNTIFS($D$5:$D331,客户对账单!$B$3,$B$5:$B331,"&gt;="&amp;客户对账单!$E$3,$B$5:$B331,"&lt;="&amp;客户对账单!$H$3),"")</f>
        <v/>
      </c>
    </row>
    <row r="332" customFormat="false" ht="15.75" hidden="false" customHeight="true" outlineLevel="0" collapsed="false">
      <c r="A332" s="42" t="str">
        <f aca="false">IF($B332="","","XS"&amp;TEXT($B332,"yyyymm")&amp;"-"&amp;TEXT(ROW()-4,"000"))</f>
        <v/>
      </c>
      <c r="B332" s="41"/>
      <c r="C332" s="42" t="str">
        <f aca="false">IF($B332="","",TEXT($B332,"yyyy-mm"))</f>
        <v/>
      </c>
      <c r="D332" s="32"/>
      <c r="E332" s="36"/>
      <c r="F332" s="43"/>
      <c r="G332" s="40"/>
      <c r="H332" s="51"/>
      <c r="I332" s="33"/>
      <c r="J332" s="33"/>
      <c r="K332" s="36"/>
      <c r="L332" s="47" t="str">
        <f aca="false">IF($B332="","",IF(NOT(ISNUMBER($B332)),"日期不是日期格式",IF(YEAR($B332)&lt;&gt;首页!$B$3,"不在会计年度",IF($D332="","未选客户",IF(ISNA(MATCH($D332,基础资料!$Z$6:$Z$155,0)),"客户不在档案",IF($E332="","未选商品",IF(ISNA(MATCH($E332,基础资料!$Q$6:$Q$205,0)),"商品不在档案",IF(NOT(ISNUMBER($F332)),"数量须为数字",IF(NOT(ISNUMBER($G332)),"单价须为数字",IF(N($F332)&lt;=0,"数量须大于0",IF(AND(IFERROR(INDEX(基础资料!$V$6:$V$205,MATCH($E332,基础资料!$Q$6:$Q$205,0)),"")="是",N($R332)=0),"无成本价·请先录采购或填参考成本",IF(N($T332)&lt;0,"毛利为负·请核对","√"))))))))))))</f>
        <v/>
      </c>
      <c r="M332" s="49" t="str">
        <f aca="false">IF($E332="","",IFERROR(INDEX(基础资料!$R$6:$R$205,MATCH($E332,基础资料!$Q$6:$Q$205,0)),""))</f>
        <v/>
      </c>
      <c r="N332" s="49" t="str">
        <f aca="false">IF($E332="","",IFERROR(INDEX(基础资料!$S$6:$S$205,MATCH($E332,基础资料!$Q$6:$Q$205,0)),""))</f>
        <v/>
      </c>
      <c r="O332" s="48" t="str">
        <f aca="false">IF(OR($F332="",$G332=""),"",ROUND(N($F332)*N($G332),2))</f>
        <v/>
      </c>
      <c r="P332" s="48" t="str">
        <f aca="false">IF($O332="","",ROUND(N($O332)*N($H332),2))</f>
        <v/>
      </c>
      <c r="Q332" s="48" t="str">
        <f aca="false">IF($O332="","",N($O332)+N($P332))</f>
        <v/>
      </c>
      <c r="R332" s="48" t="str">
        <f aca="false">IF(OR($E332="",$B332=""),"",IF(IFERROR(INDEX(基础资料!$V$6:$V$205,MATCH($E332,基础资料!$Q$6:$Q$205,0)),"")&lt;&gt;"是",0,IFERROR((SUMIFS(期初数据!$T$6:$T$205,期初数据!$O$6:$O$205,$E332)+SUMIFS(采购录入!$Q$5:$Q$404,采购录入!$E$5:$E$404,$E332,采购录入!$I$5:$I$404,"是",采购录入!$B$5:$B$404,"&lt;="&amp;$B332))/(SUMIFS(期初数据!$R$6:$R$205,期初数据!$O$6:$O$205,$E332)+SUMIFS(采购录入!$F$5:$F$404,采购录入!$E$5:$E$404,$E332,采购录入!$I$5:$I$404,"是",采购录入!$B$5:$B$404,"&lt;="&amp;$B332)),IFERROR(INDEX(基础资料!$U$6:$U$205,MATCH($E332,基础资料!$Q$6:$Q$205,0)),0))))</f>
        <v/>
      </c>
      <c r="S332" s="48" t="str">
        <f aca="false">IF($O332="","",ROUND(N($F332)*N($R332),2))</f>
        <v/>
      </c>
      <c r="T332" s="48" t="str">
        <f aca="false">IF($O332="","",N($O332)-N($S332))</f>
        <v/>
      </c>
      <c r="U332" s="52" t="str">
        <f aca="false">IF(OR($B332="",$D332=""),"",$B332+N(IFERROR(INDEX(基础资料!$AB$6:$AB$155,MATCH($D332,基础资料!$Z$6:$Z$155,0)),0)))</f>
        <v/>
      </c>
      <c r="V332" s="49" t="str">
        <f aca="false">IF($O332="","","1122")</f>
        <v/>
      </c>
      <c r="W332" s="49" t="str">
        <f aca="false">IF($O332="","","6001")</f>
        <v/>
      </c>
      <c r="X332" s="48" t="str">
        <f aca="false">IF($O332="","",$O332)</f>
        <v/>
      </c>
      <c r="Y332" s="49" t="str">
        <f aca="false">IF(N($P332)=0,"","1122")</f>
        <v/>
      </c>
      <c r="Z332" s="49" t="str">
        <f aca="false">IF(N($P332)=0,"","2221")</f>
        <v/>
      </c>
      <c r="AA332" s="48" t="str">
        <f aca="false">IF(N($P332)=0,"",$P332)</f>
        <v/>
      </c>
      <c r="AB332" s="49" t="str">
        <f aca="false">IF(N($S332)=0,"","6401")</f>
        <v/>
      </c>
      <c r="AC332" s="49" t="str">
        <f aca="false">IF(N($S332)=0,"","1405")</f>
        <v/>
      </c>
      <c r="AD332" s="48" t="str">
        <f aca="false">IF(N($S332)=0,"",$S332)</f>
        <v/>
      </c>
      <c r="AE332" s="49" t="str">
        <f aca="false">IF(AND($D332=客户对账单!$B$3,$B332&gt;=客户对账单!$E$3,$B332&lt;=客户对账单!$H$3),COUNTIFS($D$5:$D332,客户对账单!$B$3,$B$5:$B332,"&gt;="&amp;客户对账单!$E$3,$B$5:$B332,"&lt;="&amp;客户对账单!$H$3),"")</f>
        <v/>
      </c>
    </row>
    <row r="333" customFormat="false" ht="15.75" hidden="false" customHeight="true" outlineLevel="0" collapsed="false">
      <c r="A333" s="42" t="str">
        <f aca="false">IF($B333="","","XS"&amp;TEXT($B333,"yyyymm")&amp;"-"&amp;TEXT(ROW()-4,"000"))</f>
        <v/>
      </c>
      <c r="B333" s="41"/>
      <c r="C333" s="42" t="str">
        <f aca="false">IF($B333="","",TEXT($B333,"yyyy-mm"))</f>
        <v/>
      </c>
      <c r="D333" s="32"/>
      <c r="E333" s="36"/>
      <c r="F333" s="43"/>
      <c r="G333" s="40"/>
      <c r="H333" s="51"/>
      <c r="I333" s="33"/>
      <c r="J333" s="33"/>
      <c r="K333" s="36"/>
      <c r="L333" s="47" t="str">
        <f aca="false">IF($B333="","",IF(NOT(ISNUMBER($B333)),"日期不是日期格式",IF(YEAR($B333)&lt;&gt;首页!$B$3,"不在会计年度",IF($D333="","未选客户",IF(ISNA(MATCH($D333,基础资料!$Z$6:$Z$155,0)),"客户不在档案",IF($E333="","未选商品",IF(ISNA(MATCH($E333,基础资料!$Q$6:$Q$205,0)),"商品不在档案",IF(NOT(ISNUMBER($F333)),"数量须为数字",IF(NOT(ISNUMBER($G333)),"单价须为数字",IF(N($F333)&lt;=0,"数量须大于0",IF(AND(IFERROR(INDEX(基础资料!$V$6:$V$205,MATCH($E333,基础资料!$Q$6:$Q$205,0)),"")="是",N($R333)=0),"无成本价·请先录采购或填参考成本",IF(N($T333)&lt;0,"毛利为负·请核对","√"))))))))))))</f>
        <v/>
      </c>
      <c r="M333" s="49" t="str">
        <f aca="false">IF($E333="","",IFERROR(INDEX(基础资料!$R$6:$R$205,MATCH($E333,基础资料!$Q$6:$Q$205,0)),""))</f>
        <v/>
      </c>
      <c r="N333" s="49" t="str">
        <f aca="false">IF($E333="","",IFERROR(INDEX(基础资料!$S$6:$S$205,MATCH($E333,基础资料!$Q$6:$Q$205,0)),""))</f>
        <v/>
      </c>
      <c r="O333" s="48" t="str">
        <f aca="false">IF(OR($F333="",$G333=""),"",ROUND(N($F333)*N($G333),2))</f>
        <v/>
      </c>
      <c r="P333" s="48" t="str">
        <f aca="false">IF($O333="","",ROUND(N($O333)*N($H333),2))</f>
        <v/>
      </c>
      <c r="Q333" s="48" t="str">
        <f aca="false">IF($O333="","",N($O333)+N($P333))</f>
        <v/>
      </c>
      <c r="R333" s="48" t="str">
        <f aca="false">IF(OR($E333="",$B333=""),"",IF(IFERROR(INDEX(基础资料!$V$6:$V$205,MATCH($E333,基础资料!$Q$6:$Q$205,0)),"")&lt;&gt;"是",0,IFERROR((SUMIFS(期初数据!$T$6:$T$205,期初数据!$O$6:$O$205,$E333)+SUMIFS(采购录入!$Q$5:$Q$404,采购录入!$E$5:$E$404,$E333,采购录入!$I$5:$I$404,"是",采购录入!$B$5:$B$404,"&lt;="&amp;$B333))/(SUMIFS(期初数据!$R$6:$R$205,期初数据!$O$6:$O$205,$E333)+SUMIFS(采购录入!$F$5:$F$404,采购录入!$E$5:$E$404,$E333,采购录入!$I$5:$I$404,"是",采购录入!$B$5:$B$404,"&lt;="&amp;$B333)),IFERROR(INDEX(基础资料!$U$6:$U$205,MATCH($E333,基础资料!$Q$6:$Q$205,0)),0))))</f>
        <v/>
      </c>
      <c r="S333" s="48" t="str">
        <f aca="false">IF($O333="","",ROUND(N($F333)*N($R333),2))</f>
        <v/>
      </c>
      <c r="T333" s="48" t="str">
        <f aca="false">IF($O333="","",N($O333)-N($S333))</f>
        <v/>
      </c>
      <c r="U333" s="52" t="str">
        <f aca="false">IF(OR($B333="",$D333=""),"",$B333+N(IFERROR(INDEX(基础资料!$AB$6:$AB$155,MATCH($D333,基础资料!$Z$6:$Z$155,0)),0)))</f>
        <v/>
      </c>
      <c r="V333" s="49" t="str">
        <f aca="false">IF($O333="","","1122")</f>
        <v/>
      </c>
      <c r="W333" s="49" t="str">
        <f aca="false">IF($O333="","","6001")</f>
        <v/>
      </c>
      <c r="X333" s="48" t="str">
        <f aca="false">IF($O333="","",$O333)</f>
        <v/>
      </c>
      <c r="Y333" s="49" t="str">
        <f aca="false">IF(N($P333)=0,"","1122")</f>
        <v/>
      </c>
      <c r="Z333" s="49" t="str">
        <f aca="false">IF(N($P333)=0,"","2221")</f>
        <v/>
      </c>
      <c r="AA333" s="48" t="str">
        <f aca="false">IF(N($P333)=0,"",$P333)</f>
        <v/>
      </c>
      <c r="AB333" s="49" t="str">
        <f aca="false">IF(N($S333)=0,"","6401")</f>
        <v/>
      </c>
      <c r="AC333" s="49" t="str">
        <f aca="false">IF(N($S333)=0,"","1405")</f>
        <v/>
      </c>
      <c r="AD333" s="48" t="str">
        <f aca="false">IF(N($S333)=0,"",$S333)</f>
        <v/>
      </c>
      <c r="AE333" s="49" t="str">
        <f aca="false">IF(AND($D333=客户对账单!$B$3,$B333&gt;=客户对账单!$E$3,$B333&lt;=客户对账单!$H$3),COUNTIFS($D$5:$D333,客户对账单!$B$3,$B$5:$B333,"&gt;="&amp;客户对账单!$E$3,$B$5:$B333,"&lt;="&amp;客户对账单!$H$3),"")</f>
        <v/>
      </c>
    </row>
    <row r="334" customFormat="false" ht="15.75" hidden="false" customHeight="true" outlineLevel="0" collapsed="false">
      <c r="A334" s="42" t="str">
        <f aca="false">IF($B334="","","XS"&amp;TEXT($B334,"yyyymm")&amp;"-"&amp;TEXT(ROW()-4,"000"))</f>
        <v/>
      </c>
      <c r="B334" s="41"/>
      <c r="C334" s="42" t="str">
        <f aca="false">IF($B334="","",TEXT($B334,"yyyy-mm"))</f>
        <v/>
      </c>
      <c r="D334" s="32"/>
      <c r="E334" s="36"/>
      <c r="F334" s="43"/>
      <c r="G334" s="40"/>
      <c r="H334" s="51"/>
      <c r="I334" s="33"/>
      <c r="J334" s="33"/>
      <c r="K334" s="36"/>
      <c r="L334" s="47" t="str">
        <f aca="false">IF($B334="","",IF(NOT(ISNUMBER($B334)),"日期不是日期格式",IF(YEAR($B334)&lt;&gt;首页!$B$3,"不在会计年度",IF($D334="","未选客户",IF(ISNA(MATCH($D334,基础资料!$Z$6:$Z$155,0)),"客户不在档案",IF($E334="","未选商品",IF(ISNA(MATCH($E334,基础资料!$Q$6:$Q$205,0)),"商品不在档案",IF(NOT(ISNUMBER($F334)),"数量须为数字",IF(NOT(ISNUMBER($G334)),"单价须为数字",IF(N($F334)&lt;=0,"数量须大于0",IF(AND(IFERROR(INDEX(基础资料!$V$6:$V$205,MATCH($E334,基础资料!$Q$6:$Q$205,0)),"")="是",N($R334)=0),"无成本价·请先录采购或填参考成本",IF(N($T334)&lt;0,"毛利为负·请核对","√"))))))))))))</f>
        <v/>
      </c>
      <c r="M334" s="49" t="str">
        <f aca="false">IF($E334="","",IFERROR(INDEX(基础资料!$R$6:$R$205,MATCH($E334,基础资料!$Q$6:$Q$205,0)),""))</f>
        <v/>
      </c>
      <c r="N334" s="49" t="str">
        <f aca="false">IF($E334="","",IFERROR(INDEX(基础资料!$S$6:$S$205,MATCH($E334,基础资料!$Q$6:$Q$205,0)),""))</f>
        <v/>
      </c>
      <c r="O334" s="48" t="str">
        <f aca="false">IF(OR($F334="",$G334=""),"",ROUND(N($F334)*N($G334),2))</f>
        <v/>
      </c>
      <c r="P334" s="48" t="str">
        <f aca="false">IF($O334="","",ROUND(N($O334)*N($H334),2))</f>
        <v/>
      </c>
      <c r="Q334" s="48" t="str">
        <f aca="false">IF($O334="","",N($O334)+N($P334))</f>
        <v/>
      </c>
      <c r="R334" s="48" t="str">
        <f aca="false">IF(OR($E334="",$B334=""),"",IF(IFERROR(INDEX(基础资料!$V$6:$V$205,MATCH($E334,基础资料!$Q$6:$Q$205,0)),"")&lt;&gt;"是",0,IFERROR((SUMIFS(期初数据!$T$6:$T$205,期初数据!$O$6:$O$205,$E334)+SUMIFS(采购录入!$Q$5:$Q$404,采购录入!$E$5:$E$404,$E334,采购录入!$I$5:$I$404,"是",采购录入!$B$5:$B$404,"&lt;="&amp;$B334))/(SUMIFS(期初数据!$R$6:$R$205,期初数据!$O$6:$O$205,$E334)+SUMIFS(采购录入!$F$5:$F$404,采购录入!$E$5:$E$404,$E334,采购录入!$I$5:$I$404,"是",采购录入!$B$5:$B$404,"&lt;="&amp;$B334)),IFERROR(INDEX(基础资料!$U$6:$U$205,MATCH($E334,基础资料!$Q$6:$Q$205,0)),0))))</f>
        <v/>
      </c>
      <c r="S334" s="48" t="str">
        <f aca="false">IF($O334="","",ROUND(N($F334)*N($R334),2))</f>
        <v/>
      </c>
      <c r="T334" s="48" t="str">
        <f aca="false">IF($O334="","",N($O334)-N($S334))</f>
        <v/>
      </c>
      <c r="U334" s="52" t="str">
        <f aca="false">IF(OR($B334="",$D334=""),"",$B334+N(IFERROR(INDEX(基础资料!$AB$6:$AB$155,MATCH($D334,基础资料!$Z$6:$Z$155,0)),0)))</f>
        <v/>
      </c>
      <c r="V334" s="49" t="str">
        <f aca="false">IF($O334="","","1122")</f>
        <v/>
      </c>
      <c r="W334" s="49" t="str">
        <f aca="false">IF($O334="","","6001")</f>
        <v/>
      </c>
      <c r="X334" s="48" t="str">
        <f aca="false">IF($O334="","",$O334)</f>
        <v/>
      </c>
      <c r="Y334" s="49" t="str">
        <f aca="false">IF(N($P334)=0,"","1122")</f>
        <v/>
      </c>
      <c r="Z334" s="49" t="str">
        <f aca="false">IF(N($P334)=0,"","2221")</f>
        <v/>
      </c>
      <c r="AA334" s="48" t="str">
        <f aca="false">IF(N($P334)=0,"",$P334)</f>
        <v/>
      </c>
      <c r="AB334" s="49" t="str">
        <f aca="false">IF(N($S334)=0,"","6401")</f>
        <v/>
      </c>
      <c r="AC334" s="49" t="str">
        <f aca="false">IF(N($S334)=0,"","1405")</f>
        <v/>
      </c>
      <c r="AD334" s="48" t="str">
        <f aca="false">IF(N($S334)=0,"",$S334)</f>
        <v/>
      </c>
      <c r="AE334" s="49" t="str">
        <f aca="false">IF(AND($D334=客户对账单!$B$3,$B334&gt;=客户对账单!$E$3,$B334&lt;=客户对账单!$H$3),COUNTIFS($D$5:$D334,客户对账单!$B$3,$B$5:$B334,"&gt;="&amp;客户对账单!$E$3,$B$5:$B334,"&lt;="&amp;客户对账单!$H$3),"")</f>
        <v/>
      </c>
    </row>
    <row r="335" customFormat="false" ht="15.75" hidden="false" customHeight="true" outlineLevel="0" collapsed="false">
      <c r="A335" s="42" t="str">
        <f aca="false">IF($B335="","","XS"&amp;TEXT($B335,"yyyymm")&amp;"-"&amp;TEXT(ROW()-4,"000"))</f>
        <v/>
      </c>
      <c r="B335" s="41"/>
      <c r="C335" s="42" t="str">
        <f aca="false">IF($B335="","",TEXT($B335,"yyyy-mm"))</f>
        <v/>
      </c>
      <c r="D335" s="32"/>
      <c r="E335" s="36"/>
      <c r="F335" s="43"/>
      <c r="G335" s="40"/>
      <c r="H335" s="51"/>
      <c r="I335" s="33"/>
      <c r="J335" s="33"/>
      <c r="K335" s="36"/>
      <c r="L335" s="47" t="str">
        <f aca="false">IF($B335="","",IF(NOT(ISNUMBER($B335)),"日期不是日期格式",IF(YEAR($B335)&lt;&gt;首页!$B$3,"不在会计年度",IF($D335="","未选客户",IF(ISNA(MATCH($D335,基础资料!$Z$6:$Z$155,0)),"客户不在档案",IF($E335="","未选商品",IF(ISNA(MATCH($E335,基础资料!$Q$6:$Q$205,0)),"商品不在档案",IF(NOT(ISNUMBER($F335)),"数量须为数字",IF(NOT(ISNUMBER($G335)),"单价须为数字",IF(N($F335)&lt;=0,"数量须大于0",IF(AND(IFERROR(INDEX(基础资料!$V$6:$V$205,MATCH($E335,基础资料!$Q$6:$Q$205,0)),"")="是",N($R335)=0),"无成本价·请先录采购或填参考成本",IF(N($T335)&lt;0,"毛利为负·请核对","√"))))))))))))</f>
        <v/>
      </c>
      <c r="M335" s="49" t="str">
        <f aca="false">IF($E335="","",IFERROR(INDEX(基础资料!$R$6:$R$205,MATCH($E335,基础资料!$Q$6:$Q$205,0)),""))</f>
        <v/>
      </c>
      <c r="N335" s="49" t="str">
        <f aca="false">IF($E335="","",IFERROR(INDEX(基础资料!$S$6:$S$205,MATCH($E335,基础资料!$Q$6:$Q$205,0)),""))</f>
        <v/>
      </c>
      <c r="O335" s="48" t="str">
        <f aca="false">IF(OR($F335="",$G335=""),"",ROUND(N($F335)*N($G335),2))</f>
        <v/>
      </c>
      <c r="P335" s="48" t="str">
        <f aca="false">IF($O335="","",ROUND(N($O335)*N($H335),2))</f>
        <v/>
      </c>
      <c r="Q335" s="48" t="str">
        <f aca="false">IF($O335="","",N($O335)+N($P335))</f>
        <v/>
      </c>
      <c r="R335" s="48" t="str">
        <f aca="false">IF(OR($E335="",$B335=""),"",IF(IFERROR(INDEX(基础资料!$V$6:$V$205,MATCH($E335,基础资料!$Q$6:$Q$205,0)),"")&lt;&gt;"是",0,IFERROR((SUMIFS(期初数据!$T$6:$T$205,期初数据!$O$6:$O$205,$E335)+SUMIFS(采购录入!$Q$5:$Q$404,采购录入!$E$5:$E$404,$E335,采购录入!$I$5:$I$404,"是",采购录入!$B$5:$B$404,"&lt;="&amp;$B335))/(SUMIFS(期初数据!$R$6:$R$205,期初数据!$O$6:$O$205,$E335)+SUMIFS(采购录入!$F$5:$F$404,采购录入!$E$5:$E$404,$E335,采购录入!$I$5:$I$404,"是",采购录入!$B$5:$B$404,"&lt;="&amp;$B335)),IFERROR(INDEX(基础资料!$U$6:$U$205,MATCH($E335,基础资料!$Q$6:$Q$205,0)),0))))</f>
        <v/>
      </c>
      <c r="S335" s="48" t="str">
        <f aca="false">IF($O335="","",ROUND(N($F335)*N($R335),2))</f>
        <v/>
      </c>
      <c r="T335" s="48" t="str">
        <f aca="false">IF($O335="","",N($O335)-N($S335))</f>
        <v/>
      </c>
      <c r="U335" s="52" t="str">
        <f aca="false">IF(OR($B335="",$D335=""),"",$B335+N(IFERROR(INDEX(基础资料!$AB$6:$AB$155,MATCH($D335,基础资料!$Z$6:$Z$155,0)),0)))</f>
        <v/>
      </c>
      <c r="V335" s="49" t="str">
        <f aca="false">IF($O335="","","1122")</f>
        <v/>
      </c>
      <c r="W335" s="49" t="str">
        <f aca="false">IF($O335="","","6001")</f>
        <v/>
      </c>
      <c r="X335" s="48" t="str">
        <f aca="false">IF($O335="","",$O335)</f>
        <v/>
      </c>
      <c r="Y335" s="49" t="str">
        <f aca="false">IF(N($P335)=0,"","1122")</f>
        <v/>
      </c>
      <c r="Z335" s="49" t="str">
        <f aca="false">IF(N($P335)=0,"","2221")</f>
        <v/>
      </c>
      <c r="AA335" s="48" t="str">
        <f aca="false">IF(N($P335)=0,"",$P335)</f>
        <v/>
      </c>
      <c r="AB335" s="49" t="str">
        <f aca="false">IF(N($S335)=0,"","6401")</f>
        <v/>
      </c>
      <c r="AC335" s="49" t="str">
        <f aca="false">IF(N($S335)=0,"","1405")</f>
        <v/>
      </c>
      <c r="AD335" s="48" t="str">
        <f aca="false">IF(N($S335)=0,"",$S335)</f>
        <v/>
      </c>
      <c r="AE335" s="49" t="str">
        <f aca="false">IF(AND($D335=客户对账单!$B$3,$B335&gt;=客户对账单!$E$3,$B335&lt;=客户对账单!$H$3),COUNTIFS($D$5:$D335,客户对账单!$B$3,$B$5:$B335,"&gt;="&amp;客户对账单!$E$3,$B$5:$B335,"&lt;="&amp;客户对账单!$H$3),"")</f>
        <v/>
      </c>
    </row>
    <row r="336" customFormat="false" ht="15.75" hidden="false" customHeight="true" outlineLevel="0" collapsed="false">
      <c r="A336" s="42" t="str">
        <f aca="false">IF($B336="","","XS"&amp;TEXT($B336,"yyyymm")&amp;"-"&amp;TEXT(ROW()-4,"000"))</f>
        <v/>
      </c>
      <c r="B336" s="41"/>
      <c r="C336" s="42" t="str">
        <f aca="false">IF($B336="","",TEXT($B336,"yyyy-mm"))</f>
        <v/>
      </c>
      <c r="D336" s="32"/>
      <c r="E336" s="36"/>
      <c r="F336" s="43"/>
      <c r="G336" s="40"/>
      <c r="H336" s="51"/>
      <c r="I336" s="33"/>
      <c r="J336" s="33"/>
      <c r="K336" s="36"/>
      <c r="L336" s="47" t="str">
        <f aca="false">IF($B336="","",IF(NOT(ISNUMBER($B336)),"日期不是日期格式",IF(YEAR($B336)&lt;&gt;首页!$B$3,"不在会计年度",IF($D336="","未选客户",IF(ISNA(MATCH($D336,基础资料!$Z$6:$Z$155,0)),"客户不在档案",IF($E336="","未选商品",IF(ISNA(MATCH($E336,基础资料!$Q$6:$Q$205,0)),"商品不在档案",IF(NOT(ISNUMBER($F336)),"数量须为数字",IF(NOT(ISNUMBER($G336)),"单价须为数字",IF(N($F336)&lt;=0,"数量须大于0",IF(AND(IFERROR(INDEX(基础资料!$V$6:$V$205,MATCH($E336,基础资料!$Q$6:$Q$205,0)),"")="是",N($R336)=0),"无成本价·请先录采购或填参考成本",IF(N($T336)&lt;0,"毛利为负·请核对","√"))))))))))))</f>
        <v/>
      </c>
      <c r="M336" s="49" t="str">
        <f aca="false">IF($E336="","",IFERROR(INDEX(基础资料!$R$6:$R$205,MATCH($E336,基础资料!$Q$6:$Q$205,0)),""))</f>
        <v/>
      </c>
      <c r="N336" s="49" t="str">
        <f aca="false">IF($E336="","",IFERROR(INDEX(基础资料!$S$6:$S$205,MATCH($E336,基础资料!$Q$6:$Q$205,0)),""))</f>
        <v/>
      </c>
      <c r="O336" s="48" t="str">
        <f aca="false">IF(OR($F336="",$G336=""),"",ROUND(N($F336)*N($G336),2))</f>
        <v/>
      </c>
      <c r="P336" s="48" t="str">
        <f aca="false">IF($O336="","",ROUND(N($O336)*N($H336),2))</f>
        <v/>
      </c>
      <c r="Q336" s="48" t="str">
        <f aca="false">IF($O336="","",N($O336)+N($P336))</f>
        <v/>
      </c>
      <c r="R336" s="48" t="str">
        <f aca="false">IF(OR($E336="",$B336=""),"",IF(IFERROR(INDEX(基础资料!$V$6:$V$205,MATCH($E336,基础资料!$Q$6:$Q$205,0)),"")&lt;&gt;"是",0,IFERROR((SUMIFS(期初数据!$T$6:$T$205,期初数据!$O$6:$O$205,$E336)+SUMIFS(采购录入!$Q$5:$Q$404,采购录入!$E$5:$E$404,$E336,采购录入!$I$5:$I$404,"是",采购录入!$B$5:$B$404,"&lt;="&amp;$B336))/(SUMIFS(期初数据!$R$6:$R$205,期初数据!$O$6:$O$205,$E336)+SUMIFS(采购录入!$F$5:$F$404,采购录入!$E$5:$E$404,$E336,采购录入!$I$5:$I$404,"是",采购录入!$B$5:$B$404,"&lt;="&amp;$B336)),IFERROR(INDEX(基础资料!$U$6:$U$205,MATCH($E336,基础资料!$Q$6:$Q$205,0)),0))))</f>
        <v/>
      </c>
      <c r="S336" s="48" t="str">
        <f aca="false">IF($O336="","",ROUND(N($F336)*N($R336),2))</f>
        <v/>
      </c>
      <c r="T336" s="48" t="str">
        <f aca="false">IF($O336="","",N($O336)-N($S336))</f>
        <v/>
      </c>
      <c r="U336" s="52" t="str">
        <f aca="false">IF(OR($B336="",$D336=""),"",$B336+N(IFERROR(INDEX(基础资料!$AB$6:$AB$155,MATCH($D336,基础资料!$Z$6:$Z$155,0)),0)))</f>
        <v/>
      </c>
      <c r="V336" s="49" t="str">
        <f aca="false">IF($O336="","","1122")</f>
        <v/>
      </c>
      <c r="W336" s="49" t="str">
        <f aca="false">IF($O336="","","6001")</f>
        <v/>
      </c>
      <c r="X336" s="48" t="str">
        <f aca="false">IF($O336="","",$O336)</f>
        <v/>
      </c>
      <c r="Y336" s="49" t="str">
        <f aca="false">IF(N($P336)=0,"","1122")</f>
        <v/>
      </c>
      <c r="Z336" s="49" t="str">
        <f aca="false">IF(N($P336)=0,"","2221")</f>
        <v/>
      </c>
      <c r="AA336" s="48" t="str">
        <f aca="false">IF(N($P336)=0,"",$P336)</f>
        <v/>
      </c>
      <c r="AB336" s="49" t="str">
        <f aca="false">IF(N($S336)=0,"","6401")</f>
        <v/>
      </c>
      <c r="AC336" s="49" t="str">
        <f aca="false">IF(N($S336)=0,"","1405")</f>
        <v/>
      </c>
      <c r="AD336" s="48" t="str">
        <f aca="false">IF(N($S336)=0,"",$S336)</f>
        <v/>
      </c>
      <c r="AE336" s="49" t="str">
        <f aca="false">IF(AND($D336=客户对账单!$B$3,$B336&gt;=客户对账单!$E$3,$B336&lt;=客户对账单!$H$3),COUNTIFS($D$5:$D336,客户对账单!$B$3,$B$5:$B336,"&gt;="&amp;客户对账单!$E$3,$B$5:$B336,"&lt;="&amp;客户对账单!$H$3),"")</f>
        <v/>
      </c>
    </row>
    <row r="337" customFormat="false" ht="15.75" hidden="false" customHeight="true" outlineLevel="0" collapsed="false">
      <c r="A337" s="42" t="str">
        <f aca="false">IF($B337="","","XS"&amp;TEXT($B337,"yyyymm")&amp;"-"&amp;TEXT(ROW()-4,"000"))</f>
        <v/>
      </c>
      <c r="B337" s="41"/>
      <c r="C337" s="42" t="str">
        <f aca="false">IF($B337="","",TEXT($B337,"yyyy-mm"))</f>
        <v/>
      </c>
      <c r="D337" s="32"/>
      <c r="E337" s="36"/>
      <c r="F337" s="43"/>
      <c r="G337" s="40"/>
      <c r="H337" s="51"/>
      <c r="I337" s="33"/>
      <c r="J337" s="33"/>
      <c r="K337" s="36"/>
      <c r="L337" s="47" t="str">
        <f aca="false">IF($B337="","",IF(NOT(ISNUMBER($B337)),"日期不是日期格式",IF(YEAR($B337)&lt;&gt;首页!$B$3,"不在会计年度",IF($D337="","未选客户",IF(ISNA(MATCH($D337,基础资料!$Z$6:$Z$155,0)),"客户不在档案",IF($E337="","未选商品",IF(ISNA(MATCH($E337,基础资料!$Q$6:$Q$205,0)),"商品不在档案",IF(NOT(ISNUMBER($F337)),"数量须为数字",IF(NOT(ISNUMBER($G337)),"单价须为数字",IF(N($F337)&lt;=0,"数量须大于0",IF(AND(IFERROR(INDEX(基础资料!$V$6:$V$205,MATCH($E337,基础资料!$Q$6:$Q$205,0)),"")="是",N($R337)=0),"无成本价·请先录采购或填参考成本",IF(N($T337)&lt;0,"毛利为负·请核对","√"))))))))))))</f>
        <v/>
      </c>
      <c r="M337" s="49" t="str">
        <f aca="false">IF($E337="","",IFERROR(INDEX(基础资料!$R$6:$R$205,MATCH($E337,基础资料!$Q$6:$Q$205,0)),""))</f>
        <v/>
      </c>
      <c r="N337" s="49" t="str">
        <f aca="false">IF($E337="","",IFERROR(INDEX(基础资料!$S$6:$S$205,MATCH($E337,基础资料!$Q$6:$Q$205,0)),""))</f>
        <v/>
      </c>
      <c r="O337" s="48" t="str">
        <f aca="false">IF(OR($F337="",$G337=""),"",ROUND(N($F337)*N($G337),2))</f>
        <v/>
      </c>
      <c r="P337" s="48" t="str">
        <f aca="false">IF($O337="","",ROUND(N($O337)*N($H337),2))</f>
        <v/>
      </c>
      <c r="Q337" s="48" t="str">
        <f aca="false">IF($O337="","",N($O337)+N($P337))</f>
        <v/>
      </c>
      <c r="R337" s="48" t="str">
        <f aca="false">IF(OR($E337="",$B337=""),"",IF(IFERROR(INDEX(基础资料!$V$6:$V$205,MATCH($E337,基础资料!$Q$6:$Q$205,0)),"")&lt;&gt;"是",0,IFERROR((SUMIFS(期初数据!$T$6:$T$205,期初数据!$O$6:$O$205,$E337)+SUMIFS(采购录入!$Q$5:$Q$404,采购录入!$E$5:$E$404,$E337,采购录入!$I$5:$I$404,"是",采购录入!$B$5:$B$404,"&lt;="&amp;$B337))/(SUMIFS(期初数据!$R$6:$R$205,期初数据!$O$6:$O$205,$E337)+SUMIFS(采购录入!$F$5:$F$404,采购录入!$E$5:$E$404,$E337,采购录入!$I$5:$I$404,"是",采购录入!$B$5:$B$404,"&lt;="&amp;$B337)),IFERROR(INDEX(基础资料!$U$6:$U$205,MATCH($E337,基础资料!$Q$6:$Q$205,0)),0))))</f>
        <v/>
      </c>
      <c r="S337" s="48" t="str">
        <f aca="false">IF($O337="","",ROUND(N($F337)*N($R337),2))</f>
        <v/>
      </c>
      <c r="T337" s="48" t="str">
        <f aca="false">IF($O337="","",N($O337)-N($S337))</f>
        <v/>
      </c>
      <c r="U337" s="52" t="str">
        <f aca="false">IF(OR($B337="",$D337=""),"",$B337+N(IFERROR(INDEX(基础资料!$AB$6:$AB$155,MATCH($D337,基础资料!$Z$6:$Z$155,0)),0)))</f>
        <v/>
      </c>
      <c r="V337" s="49" t="str">
        <f aca="false">IF($O337="","","1122")</f>
        <v/>
      </c>
      <c r="W337" s="49" t="str">
        <f aca="false">IF($O337="","","6001")</f>
        <v/>
      </c>
      <c r="X337" s="48" t="str">
        <f aca="false">IF($O337="","",$O337)</f>
        <v/>
      </c>
      <c r="Y337" s="49" t="str">
        <f aca="false">IF(N($P337)=0,"","1122")</f>
        <v/>
      </c>
      <c r="Z337" s="49" t="str">
        <f aca="false">IF(N($P337)=0,"","2221")</f>
        <v/>
      </c>
      <c r="AA337" s="48" t="str">
        <f aca="false">IF(N($P337)=0,"",$P337)</f>
        <v/>
      </c>
      <c r="AB337" s="49" t="str">
        <f aca="false">IF(N($S337)=0,"","6401")</f>
        <v/>
      </c>
      <c r="AC337" s="49" t="str">
        <f aca="false">IF(N($S337)=0,"","1405")</f>
        <v/>
      </c>
      <c r="AD337" s="48" t="str">
        <f aca="false">IF(N($S337)=0,"",$S337)</f>
        <v/>
      </c>
      <c r="AE337" s="49" t="str">
        <f aca="false">IF(AND($D337=客户对账单!$B$3,$B337&gt;=客户对账单!$E$3,$B337&lt;=客户对账单!$H$3),COUNTIFS($D$5:$D337,客户对账单!$B$3,$B$5:$B337,"&gt;="&amp;客户对账单!$E$3,$B$5:$B337,"&lt;="&amp;客户对账单!$H$3),"")</f>
        <v/>
      </c>
    </row>
    <row r="338" customFormat="false" ht="15.75" hidden="false" customHeight="true" outlineLevel="0" collapsed="false">
      <c r="A338" s="42" t="str">
        <f aca="false">IF($B338="","","XS"&amp;TEXT($B338,"yyyymm")&amp;"-"&amp;TEXT(ROW()-4,"000"))</f>
        <v/>
      </c>
      <c r="B338" s="41"/>
      <c r="C338" s="42" t="str">
        <f aca="false">IF($B338="","",TEXT($B338,"yyyy-mm"))</f>
        <v/>
      </c>
      <c r="D338" s="32"/>
      <c r="E338" s="36"/>
      <c r="F338" s="43"/>
      <c r="G338" s="40"/>
      <c r="H338" s="51"/>
      <c r="I338" s="33"/>
      <c r="J338" s="33"/>
      <c r="K338" s="36"/>
      <c r="L338" s="47" t="str">
        <f aca="false">IF($B338="","",IF(NOT(ISNUMBER($B338)),"日期不是日期格式",IF(YEAR($B338)&lt;&gt;首页!$B$3,"不在会计年度",IF($D338="","未选客户",IF(ISNA(MATCH($D338,基础资料!$Z$6:$Z$155,0)),"客户不在档案",IF($E338="","未选商品",IF(ISNA(MATCH($E338,基础资料!$Q$6:$Q$205,0)),"商品不在档案",IF(NOT(ISNUMBER($F338)),"数量须为数字",IF(NOT(ISNUMBER($G338)),"单价须为数字",IF(N($F338)&lt;=0,"数量须大于0",IF(AND(IFERROR(INDEX(基础资料!$V$6:$V$205,MATCH($E338,基础资料!$Q$6:$Q$205,0)),"")="是",N($R338)=0),"无成本价·请先录采购或填参考成本",IF(N($T338)&lt;0,"毛利为负·请核对","√"))))))))))))</f>
        <v/>
      </c>
      <c r="M338" s="49" t="str">
        <f aca="false">IF($E338="","",IFERROR(INDEX(基础资料!$R$6:$R$205,MATCH($E338,基础资料!$Q$6:$Q$205,0)),""))</f>
        <v/>
      </c>
      <c r="N338" s="49" t="str">
        <f aca="false">IF($E338="","",IFERROR(INDEX(基础资料!$S$6:$S$205,MATCH($E338,基础资料!$Q$6:$Q$205,0)),""))</f>
        <v/>
      </c>
      <c r="O338" s="48" t="str">
        <f aca="false">IF(OR($F338="",$G338=""),"",ROUND(N($F338)*N($G338),2))</f>
        <v/>
      </c>
      <c r="P338" s="48" t="str">
        <f aca="false">IF($O338="","",ROUND(N($O338)*N($H338),2))</f>
        <v/>
      </c>
      <c r="Q338" s="48" t="str">
        <f aca="false">IF($O338="","",N($O338)+N($P338))</f>
        <v/>
      </c>
      <c r="R338" s="48" t="str">
        <f aca="false">IF(OR($E338="",$B338=""),"",IF(IFERROR(INDEX(基础资料!$V$6:$V$205,MATCH($E338,基础资料!$Q$6:$Q$205,0)),"")&lt;&gt;"是",0,IFERROR((SUMIFS(期初数据!$T$6:$T$205,期初数据!$O$6:$O$205,$E338)+SUMIFS(采购录入!$Q$5:$Q$404,采购录入!$E$5:$E$404,$E338,采购录入!$I$5:$I$404,"是",采购录入!$B$5:$B$404,"&lt;="&amp;$B338))/(SUMIFS(期初数据!$R$6:$R$205,期初数据!$O$6:$O$205,$E338)+SUMIFS(采购录入!$F$5:$F$404,采购录入!$E$5:$E$404,$E338,采购录入!$I$5:$I$404,"是",采购录入!$B$5:$B$404,"&lt;="&amp;$B338)),IFERROR(INDEX(基础资料!$U$6:$U$205,MATCH($E338,基础资料!$Q$6:$Q$205,0)),0))))</f>
        <v/>
      </c>
      <c r="S338" s="48" t="str">
        <f aca="false">IF($O338="","",ROUND(N($F338)*N($R338),2))</f>
        <v/>
      </c>
      <c r="T338" s="48" t="str">
        <f aca="false">IF($O338="","",N($O338)-N($S338))</f>
        <v/>
      </c>
      <c r="U338" s="52" t="str">
        <f aca="false">IF(OR($B338="",$D338=""),"",$B338+N(IFERROR(INDEX(基础资料!$AB$6:$AB$155,MATCH($D338,基础资料!$Z$6:$Z$155,0)),0)))</f>
        <v/>
      </c>
      <c r="V338" s="49" t="str">
        <f aca="false">IF($O338="","","1122")</f>
        <v/>
      </c>
      <c r="W338" s="49" t="str">
        <f aca="false">IF($O338="","","6001")</f>
        <v/>
      </c>
      <c r="X338" s="48" t="str">
        <f aca="false">IF($O338="","",$O338)</f>
        <v/>
      </c>
      <c r="Y338" s="49" t="str">
        <f aca="false">IF(N($P338)=0,"","1122")</f>
        <v/>
      </c>
      <c r="Z338" s="49" t="str">
        <f aca="false">IF(N($P338)=0,"","2221")</f>
        <v/>
      </c>
      <c r="AA338" s="48" t="str">
        <f aca="false">IF(N($P338)=0,"",$P338)</f>
        <v/>
      </c>
      <c r="AB338" s="49" t="str">
        <f aca="false">IF(N($S338)=0,"","6401")</f>
        <v/>
      </c>
      <c r="AC338" s="49" t="str">
        <f aca="false">IF(N($S338)=0,"","1405")</f>
        <v/>
      </c>
      <c r="AD338" s="48" t="str">
        <f aca="false">IF(N($S338)=0,"",$S338)</f>
        <v/>
      </c>
      <c r="AE338" s="49" t="str">
        <f aca="false">IF(AND($D338=客户对账单!$B$3,$B338&gt;=客户对账单!$E$3,$B338&lt;=客户对账单!$H$3),COUNTIFS($D$5:$D338,客户对账单!$B$3,$B$5:$B338,"&gt;="&amp;客户对账单!$E$3,$B$5:$B338,"&lt;="&amp;客户对账单!$H$3),"")</f>
        <v/>
      </c>
    </row>
    <row r="339" customFormat="false" ht="15.75" hidden="false" customHeight="true" outlineLevel="0" collapsed="false">
      <c r="A339" s="42" t="str">
        <f aca="false">IF($B339="","","XS"&amp;TEXT($B339,"yyyymm")&amp;"-"&amp;TEXT(ROW()-4,"000"))</f>
        <v/>
      </c>
      <c r="B339" s="41"/>
      <c r="C339" s="42" t="str">
        <f aca="false">IF($B339="","",TEXT($B339,"yyyy-mm"))</f>
        <v/>
      </c>
      <c r="D339" s="32"/>
      <c r="E339" s="36"/>
      <c r="F339" s="43"/>
      <c r="G339" s="40"/>
      <c r="H339" s="51"/>
      <c r="I339" s="33"/>
      <c r="J339" s="33"/>
      <c r="K339" s="36"/>
      <c r="L339" s="47" t="str">
        <f aca="false">IF($B339="","",IF(NOT(ISNUMBER($B339)),"日期不是日期格式",IF(YEAR($B339)&lt;&gt;首页!$B$3,"不在会计年度",IF($D339="","未选客户",IF(ISNA(MATCH($D339,基础资料!$Z$6:$Z$155,0)),"客户不在档案",IF($E339="","未选商品",IF(ISNA(MATCH($E339,基础资料!$Q$6:$Q$205,0)),"商品不在档案",IF(NOT(ISNUMBER($F339)),"数量须为数字",IF(NOT(ISNUMBER($G339)),"单价须为数字",IF(N($F339)&lt;=0,"数量须大于0",IF(AND(IFERROR(INDEX(基础资料!$V$6:$V$205,MATCH($E339,基础资料!$Q$6:$Q$205,0)),"")="是",N($R339)=0),"无成本价·请先录采购或填参考成本",IF(N($T339)&lt;0,"毛利为负·请核对","√"))))))))))))</f>
        <v/>
      </c>
      <c r="M339" s="49" t="str">
        <f aca="false">IF($E339="","",IFERROR(INDEX(基础资料!$R$6:$R$205,MATCH($E339,基础资料!$Q$6:$Q$205,0)),""))</f>
        <v/>
      </c>
      <c r="N339" s="49" t="str">
        <f aca="false">IF($E339="","",IFERROR(INDEX(基础资料!$S$6:$S$205,MATCH($E339,基础资料!$Q$6:$Q$205,0)),""))</f>
        <v/>
      </c>
      <c r="O339" s="48" t="str">
        <f aca="false">IF(OR($F339="",$G339=""),"",ROUND(N($F339)*N($G339),2))</f>
        <v/>
      </c>
      <c r="P339" s="48" t="str">
        <f aca="false">IF($O339="","",ROUND(N($O339)*N($H339),2))</f>
        <v/>
      </c>
      <c r="Q339" s="48" t="str">
        <f aca="false">IF($O339="","",N($O339)+N($P339))</f>
        <v/>
      </c>
      <c r="R339" s="48" t="str">
        <f aca="false">IF(OR($E339="",$B339=""),"",IF(IFERROR(INDEX(基础资料!$V$6:$V$205,MATCH($E339,基础资料!$Q$6:$Q$205,0)),"")&lt;&gt;"是",0,IFERROR((SUMIFS(期初数据!$T$6:$T$205,期初数据!$O$6:$O$205,$E339)+SUMIFS(采购录入!$Q$5:$Q$404,采购录入!$E$5:$E$404,$E339,采购录入!$I$5:$I$404,"是",采购录入!$B$5:$B$404,"&lt;="&amp;$B339))/(SUMIFS(期初数据!$R$6:$R$205,期初数据!$O$6:$O$205,$E339)+SUMIFS(采购录入!$F$5:$F$404,采购录入!$E$5:$E$404,$E339,采购录入!$I$5:$I$404,"是",采购录入!$B$5:$B$404,"&lt;="&amp;$B339)),IFERROR(INDEX(基础资料!$U$6:$U$205,MATCH($E339,基础资料!$Q$6:$Q$205,0)),0))))</f>
        <v/>
      </c>
      <c r="S339" s="48" t="str">
        <f aca="false">IF($O339="","",ROUND(N($F339)*N($R339),2))</f>
        <v/>
      </c>
      <c r="T339" s="48" t="str">
        <f aca="false">IF($O339="","",N($O339)-N($S339))</f>
        <v/>
      </c>
      <c r="U339" s="52" t="str">
        <f aca="false">IF(OR($B339="",$D339=""),"",$B339+N(IFERROR(INDEX(基础资料!$AB$6:$AB$155,MATCH($D339,基础资料!$Z$6:$Z$155,0)),0)))</f>
        <v/>
      </c>
      <c r="V339" s="49" t="str">
        <f aca="false">IF($O339="","","1122")</f>
        <v/>
      </c>
      <c r="W339" s="49" t="str">
        <f aca="false">IF($O339="","","6001")</f>
        <v/>
      </c>
      <c r="X339" s="48" t="str">
        <f aca="false">IF($O339="","",$O339)</f>
        <v/>
      </c>
      <c r="Y339" s="49" t="str">
        <f aca="false">IF(N($P339)=0,"","1122")</f>
        <v/>
      </c>
      <c r="Z339" s="49" t="str">
        <f aca="false">IF(N($P339)=0,"","2221")</f>
        <v/>
      </c>
      <c r="AA339" s="48" t="str">
        <f aca="false">IF(N($P339)=0,"",$P339)</f>
        <v/>
      </c>
      <c r="AB339" s="49" t="str">
        <f aca="false">IF(N($S339)=0,"","6401")</f>
        <v/>
      </c>
      <c r="AC339" s="49" t="str">
        <f aca="false">IF(N($S339)=0,"","1405")</f>
        <v/>
      </c>
      <c r="AD339" s="48" t="str">
        <f aca="false">IF(N($S339)=0,"",$S339)</f>
        <v/>
      </c>
      <c r="AE339" s="49" t="str">
        <f aca="false">IF(AND($D339=客户对账单!$B$3,$B339&gt;=客户对账单!$E$3,$B339&lt;=客户对账单!$H$3),COUNTIFS($D$5:$D339,客户对账单!$B$3,$B$5:$B339,"&gt;="&amp;客户对账单!$E$3,$B$5:$B339,"&lt;="&amp;客户对账单!$H$3),"")</f>
        <v/>
      </c>
    </row>
    <row r="340" customFormat="false" ht="15.75" hidden="false" customHeight="true" outlineLevel="0" collapsed="false">
      <c r="A340" s="42" t="str">
        <f aca="false">IF($B340="","","XS"&amp;TEXT($B340,"yyyymm")&amp;"-"&amp;TEXT(ROW()-4,"000"))</f>
        <v/>
      </c>
      <c r="B340" s="41"/>
      <c r="C340" s="42" t="str">
        <f aca="false">IF($B340="","",TEXT($B340,"yyyy-mm"))</f>
        <v/>
      </c>
      <c r="D340" s="32"/>
      <c r="E340" s="36"/>
      <c r="F340" s="43"/>
      <c r="G340" s="40"/>
      <c r="H340" s="51"/>
      <c r="I340" s="33"/>
      <c r="J340" s="33"/>
      <c r="K340" s="36"/>
      <c r="L340" s="47" t="str">
        <f aca="false">IF($B340="","",IF(NOT(ISNUMBER($B340)),"日期不是日期格式",IF(YEAR($B340)&lt;&gt;首页!$B$3,"不在会计年度",IF($D340="","未选客户",IF(ISNA(MATCH($D340,基础资料!$Z$6:$Z$155,0)),"客户不在档案",IF($E340="","未选商品",IF(ISNA(MATCH($E340,基础资料!$Q$6:$Q$205,0)),"商品不在档案",IF(NOT(ISNUMBER($F340)),"数量须为数字",IF(NOT(ISNUMBER($G340)),"单价须为数字",IF(N($F340)&lt;=0,"数量须大于0",IF(AND(IFERROR(INDEX(基础资料!$V$6:$V$205,MATCH($E340,基础资料!$Q$6:$Q$205,0)),"")="是",N($R340)=0),"无成本价·请先录采购或填参考成本",IF(N($T340)&lt;0,"毛利为负·请核对","√"))))))))))))</f>
        <v/>
      </c>
      <c r="M340" s="49" t="str">
        <f aca="false">IF($E340="","",IFERROR(INDEX(基础资料!$R$6:$R$205,MATCH($E340,基础资料!$Q$6:$Q$205,0)),""))</f>
        <v/>
      </c>
      <c r="N340" s="49" t="str">
        <f aca="false">IF($E340="","",IFERROR(INDEX(基础资料!$S$6:$S$205,MATCH($E340,基础资料!$Q$6:$Q$205,0)),""))</f>
        <v/>
      </c>
      <c r="O340" s="48" t="str">
        <f aca="false">IF(OR($F340="",$G340=""),"",ROUND(N($F340)*N($G340),2))</f>
        <v/>
      </c>
      <c r="P340" s="48" t="str">
        <f aca="false">IF($O340="","",ROUND(N($O340)*N($H340),2))</f>
        <v/>
      </c>
      <c r="Q340" s="48" t="str">
        <f aca="false">IF($O340="","",N($O340)+N($P340))</f>
        <v/>
      </c>
      <c r="R340" s="48" t="str">
        <f aca="false">IF(OR($E340="",$B340=""),"",IF(IFERROR(INDEX(基础资料!$V$6:$V$205,MATCH($E340,基础资料!$Q$6:$Q$205,0)),"")&lt;&gt;"是",0,IFERROR((SUMIFS(期初数据!$T$6:$T$205,期初数据!$O$6:$O$205,$E340)+SUMIFS(采购录入!$Q$5:$Q$404,采购录入!$E$5:$E$404,$E340,采购录入!$I$5:$I$404,"是",采购录入!$B$5:$B$404,"&lt;="&amp;$B340))/(SUMIFS(期初数据!$R$6:$R$205,期初数据!$O$6:$O$205,$E340)+SUMIFS(采购录入!$F$5:$F$404,采购录入!$E$5:$E$404,$E340,采购录入!$I$5:$I$404,"是",采购录入!$B$5:$B$404,"&lt;="&amp;$B340)),IFERROR(INDEX(基础资料!$U$6:$U$205,MATCH($E340,基础资料!$Q$6:$Q$205,0)),0))))</f>
        <v/>
      </c>
      <c r="S340" s="48" t="str">
        <f aca="false">IF($O340="","",ROUND(N($F340)*N($R340),2))</f>
        <v/>
      </c>
      <c r="T340" s="48" t="str">
        <f aca="false">IF($O340="","",N($O340)-N($S340))</f>
        <v/>
      </c>
      <c r="U340" s="52" t="str">
        <f aca="false">IF(OR($B340="",$D340=""),"",$B340+N(IFERROR(INDEX(基础资料!$AB$6:$AB$155,MATCH($D340,基础资料!$Z$6:$Z$155,0)),0)))</f>
        <v/>
      </c>
      <c r="V340" s="49" t="str">
        <f aca="false">IF($O340="","","1122")</f>
        <v/>
      </c>
      <c r="W340" s="49" t="str">
        <f aca="false">IF($O340="","","6001")</f>
        <v/>
      </c>
      <c r="X340" s="48" t="str">
        <f aca="false">IF($O340="","",$O340)</f>
        <v/>
      </c>
      <c r="Y340" s="49" t="str">
        <f aca="false">IF(N($P340)=0,"","1122")</f>
        <v/>
      </c>
      <c r="Z340" s="49" t="str">
        <f aca="false">IF(N($P340)=0,"","2221")</f>
        <v/>
      </c>
      <c r="AA340" s="48" t="str">
        <f aca="false">IF(N($P340)=0,"",$P340)</f>
        <v/>
      </c>
      <c r="AB340" s="49" t="str">
        <f aca="false">IF(N($S340)=0,"","6401")</f>
        <v/>
      </c>
      <c r="AC340" s="49" t="str">
        <f aca="false">IF(N($S340)=0,"","1405")</f>
        <v/>
      </c>
      <c r="AD340" s="48" t="str">
        <f aca="false">IF(N($S340)=0,"",$S340)</f>
        <v/>
      </c>
      <c r="AE340" s="49" t="str">
        <f aca="false">IF(AND($D340=客户对账单!$B$3,$B340&gt;=客户对账单!$E$3,$B340&lt;=客户对账单!$H$3),COUNTIFS($D$5:$D340,客户对账单!$B$3,$B$5:$B340,"&gt;="&amp;客户对账单!$E$3,$B$5:$B340,"&lt;="&amp;客户对账单!$H$3),"")</f>
        <v/>
      </c>
    </row>
    <row r="341" customFormat="false" ht="15.75" hidden="false" customHeight="true" outlineLevel="0" collapsed="false">
      <c r="A341" s="42" t="str">
        <f aca="false">IF($B341="","","XS"&amp;TEXT($B341,"yyyymm")&amp;"-"&amp;TEXT(ROW()-4,"000"))</f>
        <v/>
      </c>
      <c r="B341" s="41"/>
      <c r="C341" s="42" t="str">
        <f aca="false">IF($B341="","",TEXT($B341,"yyyy-mm"))</f>
        <v/>
      </c>
      <c r="D341" s="32"/>
      <c r="E341" s="36"/>
      <c r="F341" s="43"/>
      <c r="G341" s="40"/>
      <c r="H341" s="51"/>
      <c r="I341" s="33"/>
      <c r="J341" s="33"/>
      <c r="K341" s="36"/>
      <c r="L341" s="47" t="str">
        <f aca="false">IF($B341="","",IF(NOT(ISNUMBER($B341)),"日期不是日期格式",IF(YEAR($B341)&lt;&gt;首页!$B$3,"不在会计年度",IF($D341="","未选客户",IF(ISNA(MATCH($D341,基础资料!$Z$6:$Z$155,0)),"客户不在档案",IF($E341="","未选商品",IF(ISNA(MATCH($E341,基础资料!$Q$6:$Q$205,0)),"商品不在档案",IF(NOT(ISNUMBER($F341)),"数量须为数字",IF(NOT(ISNUMBER($G341)),"单价须为数字",IF(N($F341)&lt;=0,"数量须大于0",IF(AND(IFERROR(INDEX(基础资料!$V$6:$V$205,MATCH($E341,基础资料!$Q$6:$Q$205,0)),"")="是",N($R341)=0),"无成本价·请先录采购或填参考成本",IF(N($T341)&lt;0,"毛利为负·请核对","√"))))))))))))</f>
        <v/>
      </c>
      <c r="M341" s="49" t="str">
        <f aca="false">IF($E341="","",IFERROR(INDEX(基础资料!$R$6:$R$205,MATCH($E341,基础资料!$Q$6:$Q$205,0)),""))</f>
        <v/>
      </c>
      <c r="N341" s="49" t="str">
        <f aca="false">IF($E341="","",IFERROR(INDEX(基础资料!$S$6:$S$205,MATCH($E341,基础资料!$Q$6:$Q$205,0)),""))</f>
        <v/>
      </c>
      <c r="O341" s="48" t="str">
        <f aca="false">IF(OR($F341="",$G341=""),"",ROUND(N($F341)*N($G341),2))</f>
        <v/>
      </c>
      <c r="P341" s="48" t="str">
        <f aca="false">IF($O341="","",ROUND(N($O341)*N($H341),2))</f>
        <v/>
      </c>
      <c r="Q341" s="48" t="str">
        <f aca="false">IF($O341="","",N($O341)+N($P341))</f>
        <v/>
      </c>
      <c r="R341" s="48" t="str">
        <f aca="false">IF(OR($E341="",$B341=""),"",IF(IFERROR(INDEX(基础资料!$V$6:$V$205,MATCH($E341,基础资料!$Q$6:$Q$205,0)),"")&lt;&gt;"是",0,IFERROR((SUMIFS(期初数据!$T$6:$T$205,期初数据!$O$6:$O$205,$E341)+SUMIFS(采购录入!$Q$5:$Q$404,采购录入!$E$5:$E$404,$E341,采购录入!$I$5:$I$404,"是",采购录入!$B$5:$B$404,"&lt;="&amp;$B341))/(SUMIFS(期初数据!$R$6:$R$205,期初数据!$O$6:$O$205,$E341)+SUMIFS(采购录入!$F$5:$F$404,采购录入!$E$5:$E$404,$E341,采购录入!$I$5:$I$404,"是",采购录入!$B$5:$B$404,"&lt;="&amp;$B341)),IFERROR(INDEX(基础资料!$U$6:$U$205,MATCH($E341,基础资料!$Q$6:$Q$205,0)),0))))</f>
        <v/>
      </c>
      <c r="S341" s="48" t="str">
        <f aca="false">IF($O341="","",ROUND(N($F341)*N($R341),2))</f>
        <v/>
      </c>
      <c r="T341" s="48" t="str">
        <f aca="false">IF($O341="","",N($O341)-N($S341))</f>
        <v/>
      </c>
      <c r="U341" s="52" t="str">
        <f aca="false">IF(OR($B341="",$D341=""),"",$B341+N(IFERROR(INDEX(基础资料!$AB$6:$AB$155,MATCH($D341,基础资料!$Z$6:$Z$155,0)),0)))</f>
        <v/>
      </c>
      <c r="V341" s="49" t="str">
        <f aca="false">IF($O341="","","1122")</f>
        <v/>
      </c>
      <c r="W341" s="49" t="str">
        <f aca="false">IF($O341="","","6001")</f>
        <v/>
      </c>
      <c r="X341" s="48" t="str">
        <f aca="false">IF($O341="","",$O341)</f>
        <v/>
      </c>
      <c r="Y341" s="49" t="str">
        <f aca="false">IF(N($P341)=0,"","1122")</f>
        <v/>
      </c>
      <c r="Z341" s="49" t="str">
        <f aca="false">IF(N($P341)=0,"","2221")</f>
        <v/>
      </c>
      <c r="AA341" s="48" t="str">
        <f aca="false">IF(N($P341)=0,"",$P341)</f>
        <v/>
      </c>
      <c r="AB341" s="49" t="str">
        <f aca="false">IF(N($S341)=0,"","6401")</f>
        <v/>
      </c>
      <c r="AC341" s="49" t="str">
        <f aca="false">IF(N($S341)=0,"","1405")</f>
        <v/>
      </c>
      <c r="AD341" s="48" t="str">
        <f aca="false">IF(N($S341)=0,"",$S341)</f>
        <v/>
      </c>
      <c r="AE341" s="49" t="str">
        <f aca="false">IF(AND($D341=客户对账单!$B$3,$B341&gt;=客户对账单!$E$3,$B341&lt;=客户对账单!$H$3),COUNTIFS($D$5:$D341,客户对账单!$B$3,$B$5:$B341,"&gt;="&amp;客户对账单!$E$3,$B$5:$B341,"&lt;="&amp;客户对账单!$H$3),"")</f>
        <v/>
      </c>
    </row>
    <row r="342" customFormat="false" ht="15.75" hidden="false" customHeight="true" outlineLevel="0" collapsed="false">
      <c r="A342" s="42" t="str">
        <f aca="false">IF($B342="","","XS"&amp;TEXT($B342,"yyyymm")&amp;"-"&amp;TEXT(ROW()-4,"000"))</f>
        <v/>
      </c>
      <c r="B342" s="41"/>
      <c r="C342" s="42" t="str">
        <f aca="false">IF($B342="","",TEXT($B342,"yyyy-mm"))</f>
        <v/>
      </c>
      <c r="D342" s="32"/>
      <c r="E342" s="36"/>
      <c r="F342" s="43"/>
      <c r="G342" s="40"/>
      <c r="H342" s="51"/>
      <c r="I342" s="33"/>
      <c r="J342" s="33"/>
      <c r="K342" s="36"/>
      <c r="L342" s="47" t="str">
        <f aca="false">IF($B342="","",IF(NOT(ISNUMBER($B342)),"日期不是日期格式",IF(YEAR($B342)&lt;&gt;首页!$B$3,"不在会计年度",IF($D342="","未选客户",IF(ISNA(MATCH($D342,基础资料!$Z$6:$Z$155,0)),"客户不在档案",IF($E342="","未选商品",IF(ISNA(MATCH($E342,基础资料!$Q$6:$Q$205,0)),"商品不在档案",IF(NOT(ISNUMBER($F342)),"数量须为数字",IF(NOT(ISNUMBER($G342)),"单价须为数字",IF(N($F342)&lt;=0,"数量须大于0",IF(AND(IFERROR(INDEX(基础资料!$V$6:$V$205,MATCH($E342,基础资料!$Q$6:$Q$205,0)),"")="是",N($R342)=0),"无成本价·请先录采购或填参考成本",IF(N($T342)&lt;0,"毛利为负·请核对","√"))))))))))))</f>
        <v/>
      </c>
      <c r="M342" s="49" t="str">
        <f aca="false">IF($E342="","",IFERROR(INDEX(基础资料!$R$6:$R$205,MATCH($E342,基础资料!$Q$6:$Q$205,0)),""))</f>
        <v/>
      </c>
      <c r="N342" s="49" t="str">
        <f aca="false">IF($E342="","",IFERROR(INDEX(基础资料!$S$6:$S$205,MATCH($E342,基础资料!$Q$6:$Q$205,0)),""))</f>
        <v/>
      </c>
      <c r="O342" s="48" t="str">
        <f aca="false">IF(OR($F342="",$G342=""),"",ROUND(N($F342)*N($G342),2))</f>
        <v/>
      </c>
      <c r="P342" s="48" t="str">
        <f aca="false">IF($O342="","",ROUND(N($O342)*N($H342),2))</f>
        <v/>
      </c>
      <c r="Q342" s="48" t="str">
        <f aca="false">IF($O342="","",N($O342)+N($P342))</f>
        <v/>
      </c>
      <c r="R342" s="48" t="str">
        <f aca="false">IF(OR($E342="",$B342=""),"",IF(IFERROR(INDEX(基础资料!$V$6:$V$205,MATCH($E342,基础资料!$Q$6:$Q$205,0)),"")&lt;&gt;"是",0,IFERROR((SUMIFS(期初数据!$T$6:$T$205,期初数据!$O$6:$O$205,$E342)+SUMIFS(采购录入!$Q$5:$Q$404,采购录入!$E$5:$E$404,$E342,采购录入!$I$5:$I$404,"是",采购录入!$B$5:$B$404,"&lt;="&amp;$B342))/(SUMIFS(期初数据!$R$6:$R$205,期初数据!$O$6:$O$205,$E342)+SUMIFS(采购录入!$F$5:$F$404,采购录入!$E$5:$E$404,$E342,采购录入!$I$5:$I$404,"是",采购录入!$B$5:$B$404,"&lt;="&amp;$B342)),IFERROR(INDEX(基础资料!$U$6:$U$205,MATCH($E342,基础资料!$Q$6:$Q$205,0)),0))))</f>
        <v/>
      </c>
      <c r="S342" s="48" t="str">
        <f aca="false">IF($O342="","",ROUND(N($F342)*N($R342),2))</f>
        <v/>
      </c>
      <c r="T342" s="48" t="str">
        <f aca="false">IF($O342="","",N($O342)-N($S342))</f>
        <v/>
      </c>
      <c r="U342" s="52" t="str">
        <f aca="false">IF(OR($B342="",$D342=""),"",$B342+N(IFERROR(INDEX(基础资料!$AB$6:$AB$155,MATCH($D342,基础资料!$Z$6:$Z$155,0)),0)))</f>
        <v/>
      </c>
      <c r="V342" s="49" t="str">
        <f aca="false">IF($O342="","","1122")</f>
        <v/>
      </c>
      <c r="W342" s="49" t="str">
        <f aca="false">IF($O342="","","6001")</f>
        <v/>
      </c>
      <c r="X342" s="48" t="str">
        <f aca="false">IF($O342="","",$O342)</f>
        <v/>
      </c>
      <c r="Y342" s="49" t="str">
        <f aca="false">IF(N($P342)=0,"","1122")</f>
        <v/>
      </c>
      <c r="Z342" s="49" t="str">
        <f aca="false">IF(N($P342)=0,"","2221")</f>
        <v/>
      </c>
      <c r="AA342" s="48" t="str">
        <f aca="false">IF(N($P342)=0,"",$P342)</f>
        <v/>
      </c>
      <c r="AB342" s="49" t="str">
        <f aca="false">IF(N($S342)=0,"","6401")</f>
        <v/>
      </c>
      <c r="AC342" s="49" t="str">
        <f aca="false">IF(N($S342)=0,"","1405")</f>
        <v/>
      </c>
      <c r="AD342" s="48" t="str">
        <f aca="false">IF(N($S342)=0,"",$S342)</f>
        <v/>
      </c>
      <c r="AE342" s="49" t="str">
        <f aca="false">IF(AND($D342=客户对账单!$B$3,$B342&gt;=客户对账单!$E$3,$B342&lt;=客户对账单!$H$3),COUNTIFS($D$5:$D342,客户对账单!$B$3,$B$5:$B342,"&gt;="&amp;客户对账单!$E$3,$B$5:$B342,"&lt;="&amp;客户对账单!$H$3),"")</f>
        <v/>
      </c>
    </row>
    <row r="343" customFormat="false" ht="15.75" hidden="false" customHeight="true" outlineLevel="0" collapsed="false">
      <c r="A343" s="42" t="str">
        <f aca="false">IF($B343="","","XS"&amp;TEXT($B343,"yyyymm")&amp;"-"&amp;TEXT(ROW()-4,"000"))</f>
        <v/>
      </c>
      <c r="B343" s="41"/>
      <c r="C343" s="42" t="str">
        <f aca="false">IF($B343="","",TEXT($B343,"yyyy-mm"))</f>
        <v/>
      </c>
      <c r="D343" s="32"/>
      <c r="E343" s="36"/>
      <c r="F343" s="43"/>
      <c r="G343" s="40"/>
      <c r="H343" s="51"/>
      <c r="I343" s="33"/>
      <c r="J343" s="33"/>
      <c r="K343" s="36"/>
      <c r="L343" s="47" t="str">
        <f aca="false">IF($B343="","",IF(NOT(ISNUMBER($B343)),"日期不是日期格式",IF(YEAR($B343)&lt;&gt;首页!$B$3,"不在会计年度",IF($D343="","未选客户",IF(ISNA(MATCH($D343,基础资料!$Z$6:$Z$155,0)),"客户不在档案",IF($E343="","未选商品",IF(ISNA(MATCH($E343,基础资料!$Q$6:$Q$205,0)),"商品不在档案",IF(NOT(ISNUMBER($F343)),"数量须为数字",IF(NOT(ISNUMBER($G343)),"单价须为数字",IF(N($F343)&lt;=0,"数量须大于0",IF(AND(IFERROR(INDEX(基础资料!$V$6:$V$205,MATCH($E343,基础资料!$Q$6:$Q$205,0)),"")="是",N($R343)=0),"无成本价·请先录采购或填参考成本",IF(N($T343)&lt;0,"毛利为负·请核对","√"))))))))))))</f>
        <v/>
      </c>
      <c r="M343" s="49" t="str">
        <f aca="false">IF($E343="","",IFERROR(INDEX(基础资料!$R$6:$R$205,MATCH($E343,基础资料!$Q$6:$Q$205,0)),""))</f>
        <v/>
      </c>
      <c r="N343" s="49" t="str">
        <f aca="false">IF($E343="","",IFERROR(INDEX(基础资料!$S$6:$S$205,MATCH($E343,基础资料!$Q$6:$Q$205,0)),""))</f>
        <v/>
      </c>
      <c r="O343" s="48" t="str">
        <f aca="false">IF(OR($F343="",$G343=""),"",ROUND(N($F343)*N($G343),2))</f>
        <v/>
      </c>
      <c r="P343" s="48" t="str">
        <f aca="false">IF($O343="","",ROUND(N($O343)*N($H343),2))</f>
        <v/>
      </c>
      <c r="Q343" s="48" t="str">
        <f aca="false">IF($O343="","",N($O343)+N($P343))</f>
        <v/>
      </c>
      <c r="R343" s="48" t="str">
        <f aca="false">IF(OR($E343="",$B343=""),"",IF(IFERROR(INDEX(基础资料!$V$6:$V$205,MATCH($E343,基础资料!$Q$6:$Q$205,0)),"")&lt;&gt;"是",0,IFERROR((SUMIFS(期初数据!$T$6:$T$205,期初数据!$O$6:$O$205,$E343)+SUMIFS(采购录入!$Q$5:$Q$404,采购录入!$E$5:$E$404,$E343,采购录入!$I$5:$I$404,"是",采购录入!$B$5:$B$404,"&lt;="&amp;$B343))/(SUMIFS(期初数据!$R$6:$R$205,期初数据!$O$6:$O$205,$E343)+SUMIFS(采购录入!$F$5:$F$404,采购录入!$E$5:$E$404,$E343,采购录入!$I$5:$I$404,"是",采购录入!$B$5:$B$404,"&lt;="&amp;$B343)),IFERROR(INDEX(基础资料!$U$6:$U$205,MATCH($E343,基础资料!$Q$6:$Q$205,0)),0))))</f>
        <v/>
      </c>
      <c r="S343" s="48" t="str">
        <f aca="false">IF($O343="","",ROUND(N($F343)*N($R343),2))</f>
        <v/>
      </c>
      <c r="T343" s="48" t="str">
        <f aca="false">IF($O343="","",N($O343)-N($S343))</f>
        <v/>
      </c>
      <c r="U343" s="52" t="str">
        <f aca="false">IF(OR($B343="",$D343=""),"",$B343+N(IFERROR(INDEX(基础资料!$AB$6:$AB$155,MATCH($D343,基础资料!$Z$6:$Z$155,0)),0)))</f>
        <v/>
      </c>
      <c r="V343" s="49" t="str">
        <f aca="false">IF($O343="","","1122")</f>
        <v/>
      </c>
      <c r="W343" s="49" t="str">
        <f aca="false">IF($O343="","","6001")</f>
        <v/>
      </c>
      <c r="X343" s="48" t="str">
        <f aca="false">IF($O343="","",$O343)</f>
        <v/>
      </c>
      <c r="Y343" s="49" t="str">
        <f aca="false">IF(N($P343)=0,"","1122")</f>
        <v/>
      </c>
      <c r="Z343" s="49" t="str">
        <f aca="false">IF(N($P343)=0,"","2221")</f>
        <v/>
      </c>
      <c r="AA343" s="48" t="str">
        <f aca="false">IF(N($P343)=0,"",$P343)</f>
        <v/>
      </c>
      <c r="AB343" s="49" t="str">
        <f aca="false">IF(N($S343)=0,"","6401")</f>
        <v/>
      </c>
      <c r="AC343" s="49" t="str">
        <f aca="false">IF(N($S343)=0,"","1405")</f>
        <v/>
      </c>
      <c r="AD343" s="48" t="str">
        <f aca="false">IF(N($S343)=0,"",$S343)</f>
        <v/>
      </c>
      <c r="AE343" s="49" t="str">
        <f aca="false">IF(AND($D343=客户对账单!$B$3,$B343&gt;=客户对账单!$E$3,$B343&lt;=客户对账单!$H$3),COUNTIFS($D$5:$D343,客户对账单!$B$3,$B$5:$B343,"&gt;="&amp;客户对账单!$E$3,$B$5:$B343,"&lt;="&amp;客户对账单!$H$3),"")</f>
        <v/>
      </c>
    </row>
    <row r="344" customFormat="false" ht="15.75" hidden="false" customHeight="true" outlineLevel="0" collapsed="false">
      <c r="A344" s="42" t="str">
        <f aca="false">IF($B344="","","XS"&amp;TEXT($B344,"yyyymm")&amp;"-"&amp;TEXT(ROW()-4,"000"))</f>
        <v/>
      </c>
      <c r="B344" s="41"/>
      <c r="C344" s="42" t="str">
        <f aca="false">IF($B344="","",TEXT($B344,"yyyy-mm"))</f>
        <v/>
      </c>
      <c r="D344" s="32"/>
      <c r="E344" s="36"/>
      <c r="F344" s="43"/>
      <c r="G344" s="40"/>
      <c r="H344" s="51"/>
      <c r="I344" s="33"/>
      <c r="J344" s="33"/>
      <c r="K344" s="36"/>
      <c r="L344" s="47" t="str">
        <f aca="false">IF($B344="","",IF(NOT(ISNUMBER($B344)),"日期不是日期格式",IF(YEAR($B344)&lt;&gt;首页!$B$3,"不在会计年度",IF($D344="","未选客户",IF(ISNA(MATCH($D344,基础资料!$Z$6:$Z$155,0)),"客户不在档案",IF($E344="","未选商品",IF(ISNA(MATCH($E344,基础资料!$Q$6:$Q$205,0)),"商品不在档案",IF(NOT(ISNUMBER($F344)),"数量须为数字",IF(NOT(ISNUMBER($G344)),"单价须为数字",IF(N($F344)&lt;=0,"数量须大于0",IF(AND(IFERROR(INDEX(基础资料!$V$6:$V$205,MATCH($E344,基础资料!$Q$6:$Q$205,0)),"")="是",N($R344)=0),"无成本价·请先录采购或填参考成本",IF(N($T344)&lt;0,"毛利为负·请核对","√"))))))))))))</f>
        <v/>
      </c>
      <c r="M344" s="49" t="str">
        <f aca="false">IF($E344="","",IFERROR(INDEX(基础资料!$R$6:$R$205,MATCH($E344,基础资料!$Q$6:$Q$205,0)),""))</f>
        <v/>
      </c>
      <c r="N344" s="49" t="str">
        <f aca="false">IF($E344="","",IFERROR(INDEX(基础资料!$S$6:$S$205,MATCH($E344,基础资料!$Q$6:$Q$205,0)),""))</f>
        <v/>
      </c>
      <c r="O344" s="48" t="str">
        <f aca="false">IF(OR($F344="",$G344=""),"",ROUND(N($F344)*N($G344),2))</f>
        <v/>
      </c>
      <c r="P344" s="48" t="str">
        <f aca="false">IF($O344="","",ROUND(N($O344)*N($H344),2))</f>
        <v/>
      </c>
      <c r="Q344" s="48" t="str">
        <f aca="false">IF($O344="","",N($O344)+N($P344))</f>
        <v/>
      </c>
      <c r="R344" s="48" t="str">
        <f aca="false">IF(OR($E344="",$B344=""),"",IF(IFERROR(INDEX(基础资料!$V$6:$V$205,MATCH($E344,基础资料!$Q$6:$Q$205,0)),"")&lt;&gt;"是",0,IFERROR((SUMIFS(期初数据!$T$6:$T$205,期初数据!$O$6:$O$205,$E344)+SUMIFS(采购录入!$Q$5:$Q$404,采购录入!$E$5:$E$404,$E344,采购录入!$I$5:$I$404,"是",采购录入!$B$5:$B$404,"&lt;="&amp;$B344))/(SUMIFS(期初数据!$R$6:$R$205,期初数据!$O$6:$O$205,$E344)+SUMIFS(采购录入!$F$5:$F$404,采购录入!$E$5:$E$404,$E344,采购录入!$I$5:$I$404,"是",采购录入!$B$5:$B$404,"&lt;="&amp;$B344)),IFERROR(INDEX(基础资料!$U$6:$U$205,MATCH($E344,基础资料!$Q$6:$Q$205,0)),0))))</f>
        <v/>
      </c>
      <c r="S344" s="48" t="str">
        <f aca="false">IF($O344="","",ROUND(N($F344)*N($R344),2))</f>
        <v/>
      </c>
      <c r="T344" s="48" t="str">
        <f aca="false">IF($O344="","",N($O344)-N($S344))</f>
        <v/>
      </c>
      <c r="U344" s="52" t="str">
        <f aca="false">IF(OR($B344="",$D344=""),"",$B344+N(IFERROR(INDEX(基础资料!$AB$6:$AB$155,MATCH($D344,基础资料!$Z$6:$Z$155,0)),0)))</f>
        <v/>
      </c>
      <c r="V344" s="49" t="str">
        <f aca="false">IF($O344="","","1122")</f>
        <v/>
      </c>
      <c r="W344" s="49" t="str">
        <f aca="false">IF($O344="","","6001")</f>
        <v/>
      </c>
      <c r="X344" s="48" t="str">
        <f aca="false">IF($O344="","",$O344)</f>
        <v/>
      </c>
      <c r="Y344" s="49" t="str">
        <f aca="false">IF(N($P344)=0,"","1122")</f>
        <v/>
      </c>
      <c r="Z344" s="49" t="str">
        <f aca="false">IF(N($P344)=0,"","2221")</f>
        <v/>
      </c>
      <c r="AA344" s="48" t="str">
        <f aca="false">IF(N($P344)=0,"",$P344)</f>
        <v/>
      </c>
      <c r="AB344" s="49" t="str">
        <f aca="false">IF(N($S344)=0,"","6401")</f>
        <v/>
      </c>
      <c r="AC344" s="49" t="str">
        <f aca="false">IF(N($S344)=0,"","1405")</f>
        <v/>
      </c>
      <c r="AD344" s="48" t="str">
        <f aca="false">IF(N($S344)=0,"",$S344)</f>
        <v/>
      </c>
      <c r="AE344" s="49" t="str">
        <f aca="false">IF(AND($D344=客户对账单!$B$3,$B344&gt;=客户对账单!$E$3,$B344&lt;=客户对账单!$H$3),COUNTIFS($D$5:$D344,客户对账单!$B$3,$B$5:$B344,"&gt;="&amp;客户对账单!$E$3,$B$5:$B344,"&lt;="&amp;客户对账单!$H$3),"")</f>
        <v/>
      </c>
    </row>
    <row r="345" customFormat="false" ht="15.75" hidden="false" customHeight="true" outlineLevel="0" collapsed="false">
      <c r="A345" s="42" t="str">
        <f aca="false">IF($B345="","","XS"&amp;TEXT($B345,"yyyymm")&amp;"-"&amp;TEXT(ROW()-4,"000"))</f>
        <v/>
      </c>
      <c r="B345" s="41"/>
      <c r="C345" s="42" t="str">
        <f aca="false">IF($B345="","",TEXT($B345,"yyyy-mm"))</f>
        <v/>
      </c>
      <c r="D345" s="32"/>
      <c r="E345" s="36"/>
      <c r="F345" s="43"/>
      <c r="G345" s="40"/>
      <c r="H345" s="51"/>
      <c r="I345" s="33"/>
      <c r="J345" s="33"/>
      <c r="K345" s="36"/>
      <c r="L345" s="47" t="str">
        <f aca="false">IF($B345="","",IF(NOT(ISNUMBER($B345)),"日期不是日期格式",IF(YEAR($B345)&lt;&gt;首页!$B$3,"不在会计年度",IF($D345="","未选客户",IF(ISNA(MATCH($D345,基础资料!$Z$6:$Z$155,0)),"客户不在档案",IF($E345="","未选商品",IF(ISNA(MATCH($E345,基础资料!$Q$6:$Q$205,0)),"商品不在档案",IF(NOT(ISNUMBER($F345)),"数量须为数字",IF(NOT(ISNUMBER($G345)),"单价须为数字",IF(N($F345)&lt;=0,"数量须大于0",IF(AND(IFERROR(INDEX(基础资料!$V$6:$V$205,MATCH($E345,基础资料!$Q$6:$Q$205,0)),"")="是",N($R345)=0),"无成本价·请先录采购或填参考成本",IF(N($T345)&lt;0,"毛利为负·请核对","√"))))))))))))</f>
        <v/>
      </c>
      <c r="M345" s="49" t="str">
        <f aca="false">IF($E345="","",IFERROR(INDEX(基础资料!$R$6:$R$205,MATCH($E345,基础资料!$Q$6:$Q$205,0)),""))</f>
        <v/>
      </c>
      <c r="N345" s="49" t="str">
        <f aca="false">IF($E345="","",IFERROR(INDEX(基础资料!$S$6:$S$205,MATCH($E345,基础资料!$Q$6:$Q$205,0)),""))</f>
        <v/>
      </c>
      <c r="O345" s="48" t="str">
        <f aca="false">IF(OR($F345="",$G345=""),"",ROUND(N($F345)*N($G345),2))</f>
        <v/>
      </c>
      <c r="P345" s="48" t="str">
        <f aca="false">IF($O345="","",ROUND(N($O345)*N($H345),2))</f>
        <v/>
      </c>
      <c r="Q345" s="48" t="str">
        <f aca="false">IF($O345="","",N($O345)+N($P345))</f>
        <v/>
      </c>
      <c r="R345" s="48" t="str">
        <f aca="false">IF(OR($E345="",$B345=""),"",IF(IFERROR(INDEX(基础资料!$V$6:$V$205,MATCH($E345,基础资料!$Q$6:$Q$205,0)),"")&lt;&gt;"是",0,IFERROR((SUMIFS(期初数据!$T$6:$T$205,期初数据!$O$6:$O$205,$E345)+SUMIFS(采购录入!$Q$5:$Q$404,采购录入!$E$5:$E$404,$E345,采购录入!$I$5:$I$404,"是",采购录入!$B$5:$B$404,"&lt;="&amp;$B345))/(SUMIFS(期初数据!$R$6:$R$205,期初数据!$O$6:$O$205,$E345)+SUMIFS(采购录入!$F$5:$F$404,采购录入!$E$5:$E$404,$E345,采购录入!$I$5:$I$404,"是",采购录入!$B$5:$B$404,"&lt;="&amp;$B345)),IFERROR(INDEX(基础资料!$U$6:$U$205,MATCH($E345,基础资料!$Q$6:$Q$205,0)),0))))</f>
        <v/>
      </c>
      <c r="S345" s="48" t="str">
        <f aca="false">IF($O345="","",ROUND(N($F345)*N($R345),2))</f>
        <v/>
      </c>
      <c r="T345" s="48" t="str">
        <f aca="false">IF($O345="","",N($O345)-N($S345))</f>
        <v/>
      </c>
      <c r="U345" s="52" t="str">
        <f aca="false">IF(OR($B345="",$D345=""),"",$B345+N(IFERROR(INDEX(基础资料!$AB$6:$AB$155,MATCH($D345,基础资料!$Z$6:$Z$155,0)),0)))</f>
        <v/>
      </c>
      <c r="V345" s="49" t="str">
        <f aca="false">IF($O345="","","1122")</f>
        <v/>
      </c>
      <c r="W345" s="49" t="str">
        <f aca="false">IF($O345="","","6001")</f>
        <v/>
      </c>
      <c r="X345" s="48" t="str">
        <f aca="false">IF($O345="","",$O345)</f>
        <v/>
      </c>
      <c r="Y345" s="49" t="str">
        <f aca="false">IF(N($P345)=0,"","1122")</f>
        <v/>
      </c>
      <c r="Z345" s="49" t="str">
        <f aca="false">IF(N($P345)=0,"","2221")</f>
        <v/>
      </c>
      <c r="AA345" s="48" t="str">
        <f aca="false">IF(N($P345)=0,"",$P345)</f>
        <v/>
      </c>
      <c r="AB345" s="49" t="str">
        <f aca="false">IF(N($S345)=0,"","6401")</f>
        <v/>
      </c>
      <c r="AC345" s="49" t="str">
        <f aca="false">IF(N($S345)=0,"","1405")</f>
        <v/>
      </c>
      <c r="AD345" s="48" t="str">
        <f aca="false">IF(N($S345)=0,"",$S345)</f>
        <v/>
      </c>
      <c r="AE345" s="49" t="str">
        <f aca="false">IF(AND($D345=客户对账单!$B$3,$B345&gt;=客户对账单!$E$3,$B345&lt;=客户对账单!$H$3),COUNTIFS($D$5:$D345,客户对账单!$B$3,$B$5:$B345,"&gt;="&amp;客户对账单!$E$3,$B$5:$B345,"&lt;="&amp;客户对账单!$H$3),"")</f>
        <v/>
      </c>
    </row>
    <row r="346" customFormat="false" ht="15.75" hidden="false" customHeight="true" outlineLevel="0" collapsed="false">
      <c r="A346" s="42" t="str">
        <f aca="false">IF($B346="","","XS"&amp;TEXT($B346,"yyyymm")&amp;"-"&amp;TEXT(ROW()-4,"000"))</f>
        <v/>
      </c>
      <c r="B346" s="41"/>
      <c r="C346" s="42" t="str">
        <f aca="false">IF($B346="","",TEXT($B346,"yyyy-mm"))</f>
        <v/>
      </c>
      <c r="D346" s="32"/>
      <c r="E346" s="36"/>
      <c r="F346" s="43"/>
      <c r="G346" s="40"/>
      <c r="H346" s="51"/>
      <c r="I346" s="33"/>
      <c r="J346" s="33"/>
      <c r="K346" s="36"/>
      <c r="L346" s="47" t="str">
        <f aca="false">IF($B346="","",IF(NOT(ISNUMBER($B346)),"日期不是日期格式",IF(YEAR($B346)&lt;&gt;首页!$B$3,"不在会计年度",IF($D346="","未选客户",IF(ISNA(MATCH($D346,基础资料!$Z$6:$Z$155,0)),"客户不在档案",IF($E346="","未选商品",IF(ISNA(MATCH($E346,基础资料!$Q$6:$Q$205,0)),"商品不在档案",IF(NOT(ISNUMBER($F346)),"数量须为数字",IF(NOT(ISNUMBER($G346)),"单价须为数字",IF(N($F346)&lt;=0,"数量须大于0",IF(AND(IFERROR(INDEX(基础资料!$V$6:$V$205,MATCH($E346,基础资料!$Q$6:$Q$205,0)),"")="是",N($R346)=0),"无成本价·请先录采购或填参考成本",IF(N($T346)&lt;0,"毛利为负·请核对","√"))))))))))))</f>
        <v/>
      </c>
      <c r="M346" s="49" t="str">
        <f aca="false">IF($E346="","",IFERROR(INDEX(基础资料!$R$6:$R$205,MATCH($E346,基础资料!$Q$6:$Q$205,0)),""))</f>
        <v/>
      </c>
      <c r="N346" s="49" t="str">
        <f aca="false">IF($E346="","",IFERROR(INDEX(基础资料!$S$6:$S$205,MATCH($E346,基础资料!$Q$6:$Q$205,0)),""))</f>
        <v/>
      </c>
      <c r="O346" s="48" t="str">
        <f aca="false">IF(OR($F346="",$G346=""),"",ROUND(N($F346)*N($G346),2))</f>
        <v/>
      </c>
      <c r="P346" s="48" t="str">
        <f aca="false">IF($O346="","",ROUND(N($O346)*N($H346),2))</f>
        <v/>
      </c>
      <c r="Q346" s="48" t="str">
        <f aca="false">IF($O346="","",N($O346)+N($P346))</f>
        <v/>
      </c>
      <c r="R346" s="48" t="str">
        <f aca="false">IF(OR($E346="",$B346=""),"",IF(IFERROR(INDEX(基础资料!$V$6:$V$205,MATCH($E346,基础资料!$Q$6:$Q$205,0)),"")&lt;&gt;"是",0,IFERROR((SUMIFS(期初数据!$T$6:$T$205,期初数据!$O$6:$O$205,$E346)+SUMIFS(采购录入!$Q$5:$Q$404,采购录入!$E$5:$E$404,$E346,采购录入!$I$5:$I$404,"是",采购录入!$B$5:$B$404,"&lt;="&amp;$B346))/(SUMIFS(期初数据!$R$6:$R$205,期初数据!$O$6:$O$205,$E346)+SUMIFS(采购录入!$F$5:$F$404,采购录入!$E$5:$E$404,$E346,采购录入!$I$5:$I$404,"是",采购录入!$B$5:$B$404,"&lt;="&amp;$B346)),IFERROR(INDEX(基础资料!$U$6:$U$205,MATCH($E346,基础资料!$Q$6:$Q$205,0)),0))))</f>
        <v/>
      </c>
      <c r="S346" s="48" t="str">
        <f aca="false">IF($O346="","",ROUND(N($F346)*N($R346),2))</f>
        <v/>
      </c>
      <c r="T346" s="48" t="str">
        <f aca="false">IF($O346="","",N($O346)-N($S346))</f>
        <v/>
      </c>
      <c r="U346" s="52" t="str">
        <f aca="false">IF(OR($B346="",$D346=""),"",$B346+N(IFERROR(INDEX(基础资料!$AB$6:$AB$155,MATCH($D346,基础资料!$Z$6:$Z$155,0)),0)))</f>
        <v/>
      </c>
      <c r="V346" s="49" t="str">
        <f aca="false">IF($O346="","","1122")</f>
        <v/>
      </c>
      <c r="W346" s="49" t="str">
        <f aca="false">IF($O346="","","6001")</f>
        <v/>
      </c>
      <c r="X346" s="48" t="str">
        <f aca="false">IF($O346="","",$O346)</f>
        <v/>
      </c>
      <c r="Y346" s="49" t="str">
        <f aca="false">IF(N($P346)=0,"","1122")</f>
        <v/>
      </c>
      <c r="Z346" s="49" t="str">
        <f aca="false">IF(N($P346)=0,"","2221")</f>
        <v/>
      </c>
      <c r="AA346" s="48" t="str">
        <f aca="false">IF(N($P346)=0,"",$P346)</f>
        <v/>
      </c>
      <c r="AB346" s="49" t="str">
        <f aca="false">IF(N($S346)=0,"","6401")</f>
        <v/>
      </c>
      <c r="AC346" s="49" t="str">
        <f aca="false">IF(N($S346)=0,"","1405")</f>
        <v/>
      </c>
      <c r="AD346" s="48" t="str">
        <f aca="false">IF(N($S346)=0,"",$S346)</f>
        <v/>
      </c>
      <c r="AE346" s="49" t="str">
        <f aca="false">IF(AND($D346=客户对账单!$B$3,$B346&gt;=客户对账单!$E$3,$B346&lt;=客户对账单!$H$3),COUNTIFS($D$5:$D346,客户对账单!$B$3,$B$5:$B346,"&gt;="&amp;客户对账单!$E$3,$B$5:$B346,"&lt;="&amp;客户对账单!$H$3),"")</f>
        <v/>
      </c>
    </row>
    <row r="347" customFormat="false" ht="15.75" hidden="false" customHeight="true" outlineLevel="0" collapsed="false">
      <c r="A347" s="42" t="str">
        <f aca="false">IF($B347="","","XS"&amp;TEXT($B347,"yyyymm")&amp;"-"&amp;TEXT(ROW()-4,"000"))</f>
        <v/>
      </c>
      <c r="B347" s="41"/>
      <c r="C347" s="42" t="str">
        <f aca="false">IF($B347="","",TEXT($B347,"yyyy-mm"))</f>
        <v/>
      </c>
      <c r="D347" s="32"/>
      <c r="E347" s="36"/>
      <c r="F347" s="43"/>
      <c r="G347" s="40"/>
      <c r="H347" s="51"/>
      <c r="I347" s="33"/>
      <c r="J347" s="33"/>
      <c r="K347" s="36"/>
      <c r="L347" s="47" t="str">
        <f aca="false">IF($B347="","",IF(NOT(ISNUMBER($B347)),"日期不是日期格式",IF(YEAR($B347)&lt;&gt;首页!$B$3,"不在会计年度",IF($D347="","未选客户",IF(ISNA(MATCH($D347,基础资料!$Z$6:$Z$155,0)),"客户不在档案",IF($E347="","未选商品",IF(ISNA(MATCH($E347,基础资料!$Q$6:$Q$205,0)),"商品不在档案",IF(NOT(ISNUMBER($F347)),"数量须为数字",IF(NOT(ISNUMBER($G347)),"单价须为数字",IF(N($F347)&lt;=0,"数量须大于0",IF(AND(IFERROR(INDEX(基础资料!$V$6:$V$205,MATCH($E347,基础资料!$Q$6:$Q$205,0)),"")="是",N($R347)=0),"无成本价·请先录采购或填参考成本",IF(N($T347)&lt;0,"毛利为负·请核对","√"))))))))))))</f>
        <v/>
      </c>
      <c r="M347" s="49" t="str">
        <f aca="false">IF($E347="","",IFERROR(INDEX(基础资料!$R$6:$R$205,MATCH($E347,基础资料!$Q$6:$Q$205,0)),""))</f>
        <v/>
      </c>
      <c r="N347" s="49" t="str">
        <f aca="false">IF($E347="","",IFERROR(INDEX(基础资料!$S$6:$S$205,MATCH($E347,基础资料!$Q$6:$Q$205,0)),""))</f>
        <v/>
      </c>
      <c r="O347" s="48" t="str">
        <f aca="false">IF(OR($F347="",$G347=""),"",ROUND(N($F347)*N($G347),2))</f>
        <v/>
      </c>
      <c r="P347" s="48" t="str">
        <f aca="false">IF($O347="","",ROUND(N($O347)*N($H347),2))</f>
        <v/>
      </c>
      <c r="Q347" s="48" t="str">
        <f aca="false">IF($O347="","",N($O347)+N($P347))</f>
        <v/>
      </c>
      <c r="R347" s="48" t="str">
        <f aca="false">IF(OR($E347="",$B347=""),"",IF(IFERROR(INDEX(基础资料!$V$6:$V$205,MATCH($E347,基础资料!$Q$6:$Q$205,0)),"")&lt;&gt;"是",0,IFERROR((SUMIFS(期初数据!$T$6:$T$205,期初数据!$O$6:$O$205,$E347)+SUMIFS(采购录入!$Q$5:$Q$404,采购录入!$E$5:$E$404,$E347,采购录入!$I$5:$I$404,"是",采购录入!$B$5:$B$404,"&lt;="&amp;$B347))/(SUMIFS(期初数据!$R$6:$R$205,期初数据!$O$6:$O$205,$E347)+SUMIFS(采购录入!$F$5:$F$404,采购录入!$E$5:$E$404,$E347,采购录入!$I$5:$I$404,"是",采购录入!$B$5:$B$404,"&lt;="&amp;$B347)),IFERROR(INDEX(基础资料!$U$6:$U$205,MATCH($E347,基础资料!$Q$6:$Q$205,0)),0))))</f>
        <v/>
      </c>
      <c r="S347" s="48" t="str">
        <f aca="false">IF($O347="","",ROUND(N($F347)*N($R347),2))</f>
        <v/>
      </c>
      <c r="T347" s="48" t="str">
        <f aca="false">IF($O347="","",N($O347)-N($S347))</f>
        <v/>
      </c>
      <c r="U347" s="52" t="str">
        <f aca="false">IF(OR($B347="",$D347=""),"",$B347+N(IFERROR(INDEX(基础资料!$AB$6:$AB$155,MATCH($D347,基础资料!$Z$6:$Z$155,0)),0)))</f>
        <v/>
      </c>
      <c r="V347" s="49" t="str">
        <f aca="false">IF($O347="","","1122")</f>
        <v/>
      </c>
      <c r="W347" s="49" t="str">
        <f aca="false">IF($O347="","","6001")</f>
        <v/>
      </c>
      <c r="X347" s="48" t="str">
        <f aca="false">IF($O347="","",$O347)</f>
        <v/>
      </c>
      <c r="Y347" s="49" t="str">
        <f aca="false">IF(N($P347)=0,"","1122")</f>
        <v/>
      </c>
      <c r="Z347" s="49" t="str">
        <f aca="false">IF(N($P347)=0,"","2221")</f>
        <v/>
      </c>
      <c r="AA347" s="48" t="str">
        <f aca="false">IF(N($P347)=0,"",$P347)</f>
        <v/>
      </c>
      <c r="AB347" s="49" t="str">
        <f aca="false">IF(N($S347)=0,"","6401")</f>
        <v/>
      </c>
      <c r="AC347" s="49" t="str">
        <f aca="false">IF(N($S347)=0,"","1405")</f>
        <v/>
      </c>
      <c r="AD347" s="48" t="str">
        <f aca="false">IF(N($S347)=0,"",$S347)</f>
        <v/>
      </c>
      <c r="AE347" s="49" t="str">
        <f aca="false">IF(AND($D347=客户对账单!$B$3,$B347&gt;=客户对账单!$E$3,$B347&lt;=客户对账单!$H$3),COUNTIFS($D$5:$D347,客户对账单!$B$3,$B$5:$B347,"&gt;="&amp;客户对账单!$E$3,$B$5:$B347,"&lt;="&amp;客户对账单!$H$3),"")</f>
        <v/>
      </c>
    </row>
    <row r="348" customFormat="false" ht="15.75" hidden="false" customHeight="true" outlineLevel="0" collapsed="false">
      <c r="A348" s="42" t="str">
        <f aca="false">IF($B348="","","XS"&amp;TEXT($B348,"yyyymm")&amp;"-"&amp;TEXT(ROW()-4,"000"))</f>
        <v/>
      </c>
      <c r="B348" s="41"/>
      <c r="C348" s="42" t="str">
        <f aca="false">IF($B348="","",TEXT($B348,"yyyy-mm"))</f>
        <v/>
      </c>
      <c r="D348" s="32"/>
      <c r="E348" s="36"/>
      <c r="F348" s="43"/>
      <c r="G348" s="40"/>
      <c r="H348" s="51"/>
      <c r="I348" s="33"/>
      <c r="J348" s="33"/>
      <c r="K348" s="36"/>
      <c r="L348" s="47" t="str">
        <f aca="false">IF($B348="","",IF(NOT(ISNUMBER($B348)),"日期不是日期格式",IF(YEAR($B348)&lt;&gt;首页!$B$3,"不在会计年度",IF($D348="","未选客户",IF(ISNA(MATCH($D348,基础资料!$Z$6:$Z$155,0)),"客户不在档案",IF($E348="","未选商品",IF(ISNA(MATCH($E348,基础资料!$Q$6:$Q$205,0)),"商品不在档案",IF(NOT(ISNUMBER($F348)),"数量须为数字",IF(NOT(ISNUMBER($G348)),"单价须为数字",IF(N($F348)&lt;=0,"数量须大于0",IF(AND(IFERROR(INDEX(基础资料!$V$6:$V$205,MATCH($E348,基础资料!$Q$6:$Q$205,0)),"")="是",N($R348)=0),"无成本价·请先录采购或填参考成本",IF(N($T348)&lt;0,"毛利为负·请核对","√"))))))))))))</f>
        <v/>
      </c>
      <c r="M348" s="49" t="str">
        <f aca="false">IF($E348="","",IFERROR(INDEX(基础资料!$R$6:$R$205,MATCH($E348,基础资料!$Q$6:$Q$205,0)),""))</f>
        <v/>
      </c>
      <c r="N348" s="49" t="str">
        <f aca="false">IF($E348="","",IFERROR(INDEX(基础资料!$S$6:$S$205,MATCH($E348,基础资料!$Q$6:$Q$205,0)),""))</f>
        <v/>
      </c>
      <c r="O348" s="48" t="str">
        <f aca="false">IF(OR($F348="",$G348=""),"",ROUND(N($F348)*N($G348),2))</f>
        <v/>
      </c>
      <c r="P348" s="48" t="str">
        <f aca="false">IF($O348="","",ROUND(N($O348)*N($H348),2))</f>
        <v/>
      </c>
      <c r="Q348" s="48" t="str">
        <f aca="false">IF($O348="","",N($O348)+N($P348))</f>
        <v/>
      </c>
      <c r="R348" s="48" t="str">
        <f aca="false">IF(OR($E348="",$B348=""),"",IF(IFERROR(INDEX(基础资料!$V$6:$V$205,MATCH($E348,基础资料!$Q$6:$Q$205,0)),"")&lt;&gt;"是",0,IFERROR((SUMIFS(期初数据!$T$6:$T$205,期初数据!$O$6:$O$205,$E348)+SUMIFS(采购录入!$Q$5:$Q$404,采购录入!$E$5:$E$404,$E348,采购录入!$I$5:$I$404,"是",采购录入!$B$5:$B$404,"&lt;="&amp;$B348))/(SUMIFS(期初数据!$R$6:$R$205,期初数据!$O$6:$O$205,$E348)+SUMIFS(采购录入!$F$5:$F$404,采购录入!$E$5:$E$404,$E348,采购录入!$I$5:$I$404,"是",采购录入!$B$5:$B$404,"&lt;="&amp;$B348)),IFERROR(INDEX(基础资料!$U$6:$U$205,MATCH($E348,基础资料!$Q$6:$Q$205,0)),0))))</f>
        <v/>
      </c>
      <c r="S348" s="48" t="str">
        <f aca="false">IF($O348="","",ROUND(N($F348)*N($R348),2))</f>
        <v/>
      </c>
      <c r="T348" s="48" t="str">
        <f aca="false">IF($O348="","",N($O348)-N($S348))</f>
        <v/>
      </c>
      <c r="U348" s="52" t="str">
        <f aca="false">IF(OR($B348="",$D348=""),"",$B348+N(IFERROR(INDEX(基础资料!$AB$6:$AB$155,MATCH($D348,基础资料!$Z$6:$Z$155,0)),0)))</f>
        <v/>
      </c>
      <c r="V348" s="49" t="str">
        <f aca="false">IF($O348="","","1122")</f>
        <v/>
      </c>
      <c r="W348" s="49" t="str">
        <f aca="false">IF($O348="","","6001")</f>
        <v/>
      </c>
      <c r="X348" s="48" t="str">
        <f aca="false">IF($O348="","",$O348)</f>
        <v/>
      </c>
      <c r="Y348" s="49" t="str">
        <f aca="false">IF(N($P348)=0,"","1122")</f>
        <v/>
      </c>
      <c r="Z348" s="49" t="str">
        <f aca="false">IF(N($P348)=0,"","2221")</f>
        <v/>
      </c>
      <c r="AA348" s="48" t="str">
        <f aca="false">IF(N($P348)=0,"",$P348)</f>
        <v/>
      </c>
      <c r="AB348" s="49" t="str">
        <f aca="false">IF(N($S348)=0,"","6401")</f>
        <v/>
      </c>
      <c r="AC348" s="49" t="str">
        <f aca="false">IF(N($S348)=0,"","1405")</f>
        <v/>
      </c>
      <c r="AD348" s="48" t="str">
        <f aca="false">IF(N($S348)=0,"",$S348)</f>
        <v/>
      </c>
      <c r="AE348" s="49" t="str">
        <f aca="false">IF(AND($D348=客户对账单!$B$3,$B348&gt;=客户对账单!$E$3,$B348&lt;=客户对账单!$H$3),COUNTIFS($D$5:$D348,客户对账单!$B$3,$B$5:$B348,"&gt;="&amp;客户对账单!$E$3,$B$5:$B348,"&lt;="&amp;客户对账单!$H$3),"")</f>
        <v/>
      </c>
    </row>
    <row r="349" customFormat="false" ht="15.75" hidden="false" customHeight="true" outlineLevel="0" collapsed="false">
      <c r="A349" s="42" t="str">
        <f aca="false">IF($B349="","","XS"&amp;TEXT($B349,"yyyymm")&amp;"-"&amp;TEXT(ROW()-4,"000"))</f>
        <v/>
      </c>
      <c r="B349" s="41"/>
      <c r="C349" s="42" t="str">
        <f aca="false">IF($B349="","",TEXT($B349,"yyyy-mm"))</f>
        <v/>
      </c>
      <c r="D349" s="32"/>
      <c r="E349" s="36"/>
      <c r="F349" s="43"/>
      <c r="G349" s="40"/>
      <c r="H349" s="51"/>
      <c r="I349" s="33"/>
      <c r="J349" s="33"/>
      <c r="K349" s="36"/>
      <c r="L349" s="47" t="str">
        <f aca="false">IF($B349="","",IF(NOT(ISNUMBER($B349)),"日期不是日期格式",IF(YEAR($B349)&lt;&gt;首页!$B$3,"不在会计年度",IF($D349="","未选客户",IF(ISNA(MATCH($D349,基础资料!$Z$6:$Z$155,0)),"客户不在档案",IF($E349="","未选商品",IF(ISNA(MATCH($E349,基础资料!$Q$6:$Q$205,0)),"商品不在档案",IF(NOT(ISNUMBER($F349)),"数量须为数字",IF(NOT(ISNUMBER($G349)),"单价须为数字",IF(N($F349)&lt;=0,"数量须大于0",IF(AND(IFERROR(INDEX(基础资料!$V$6:$V$205,MATCH($E349,基础资料!$Q$6:$Q$205,0)),"")="是",N($R349)=0),"无成本价·请先录采购或填参考成本",IF(N($T349)&lt;0,"毛利为负·请核对","√"))))))))))))</f>
        <v/>
      </c>
      <c r="M349" s="49" t="str">
        <f aca="false">IF($E349="","",IFERROR(INDEX(基础资料!$R$6:$R$205,MATCH($E349,基础资料!$Q$6:$Q$205,0)),""))</f>
        <v/>
      </c>
      <c r="N349" s="49" t="str">
        <f aca="false">IF($E349="","",IFERROR(INDEX(基础资料!$S$6:$S$205,MATCH($E349,基础资料!$Q$6:$Q$205,0)),""))</f>
        <v/>
      </c>
      <c r="O349" s="48" t="str">
        <f aca="false">IF(OR($F349="",$G349=""),"",ROUND(N($F349)*N($G349),2))</f>
        <v/>
      </c>
      <c r="P349" s="48" t="str">
        <f aca="false">IF($O349="","",ROUND(N($O349)*N($H349),2))</f>
        <v/>
      </c>
      <c r="Q349" s="48" t="str">
        <f aca="false">IF($O349="","",N($O349)+N($P349))</f>
        <v/>
      </c>
      <c r="R349" s="48" t="str">
        <f aca="false">IF(OR($E349="",$B349=""),"",IF(IFERROR(INDEX(基础资料!$V$6:$V$205,MATCH($E349,基础资料!$Q$6:$Q$205,0)),"")&lt;&gt;"是",0,IFERROR((SUMIFS(期初数据!$T$6:$T$205,期初数据!$O$6:$O$205,$E349)+SUMIFS(采购录入!$Q$5:$Q$404,采购录入!$E$5:$E$404,$E349,采购录入!$I$5:$I$404,"是",采购录入!$B$5:$B$404,"&lt;="&amp;$B349))/(SUMIFS(期初数据!$R$6:$R$205,期初数据!$O$6:$O$205,$E349)+SUMIFS(采购录入!$F$5:$F$404,采购录入!$E$5:$E$404,$E349,采购录入!$I$5:$I$404,"是",采购录入!$B$5:$B$404,"&lt;="&amp;$B349)),IFERROR(INDEX(基础资料!$U$6:$U$205,MATCH($E349,基础资料!$Q$6:$Q$205,0)),0))))</f>
        <v/>
      </c>
      <c r="S349" s="48" t="str">
        <f aca="false">IF($O349="","",ROUND(N($F349)*N($R349),2))</f>
        <v/>
      </c>
      <c r="T349" s="48" t="str">
        <f aca="false">IF($O349="","",N($O349)-N($S349))</f>
        <v/>
      </c>
      <c r="U349" s="52" t="str">
        <f aca="false">IF(OR($B349="",$D349=""),"",$B349+N(IFERROR(INDEX(基础资料!$AB$6:$AB$155,MATCH($D349,基础资料!$Z$6:$Z$155,0)),0)))</f>
        <v/>
      </c>
      <c r="V349" s="49" t="str">
        <f aca="false">IF($O349="","","1122")</f>
        <v/>
      </c>
      <c r="W349" s="49" t="str">
        <f aca="false">IF($O349="","","6001")</f>
        <v/>
      </c>
      <c r="X349" s="48" t="str">
        <f aca="false">IF($O349="","",$O349)</f>
        <v/>
      </c>
      <c r="Y349" s="49" t="str">
        <f aca="false">IF(N($P349)=0,"","1122")</f>
        <v/>
      </c>
      <c r="Z349" s="49" t="str">
        <f aca="false">IF(N($P349)=0,"","2221")</f>
        <v/>
      </c>
      <c r="AA349" s="48" t="str">
        <f aca="false">IF(N($P349)=0,"",$P349)</f>
        <v/>
      </c>
      <c r="AB349" s="49" t="str">
        <f aca="false">IF(N($S349)=0,"","6401")</f>
        <v/>
      </c>
      <c r="AC349" s="49" t="str">
        <f aca="false">IF(N($S349)=0,"","1405")</f>
        <v/>
      </c>
      <c r="AD349" s="48" t="str">
        <f aca="false">IF(N($S349)=0,"",$S349)</f>
        <v/>
      </c>
      <c r="AE349" s="49" t="str">
        <f aca="false">IF(AND($D349=客户对账单!$B$3,$B349&gt;=客户对账单!$E$3,$B349&lt;=客户对账单!$H$3),COUNTIFS($D$5:$D349,客户对账单!$B$3,$B$5:$B349,"&gt;="&amp;客户对账单!$E$3,$B$5:$B349,"&lt;="&amp;客户对账单!$H$3),"")</f>
        <v/>
      </c>
    </row>
    <row r="350" customFormat="false" ht="15.75" hidden="false" customHeight="true" outlineLevel="0" collapsed="false">
      <c r="A350" s="42" t="str">
        <f aca="false">IF($B350="","","XS"&amp;TEXT($B350,"yyyymm")&amp;"-"&amp;TEXT(ROW()-4,"000"))</f>
        <v/>
      </c>
      <c r="B350" s="41"/>
      <c r="C350" s="42" t="str">
        <f aca="false">IF($B350="","",TEXT($B350,"yyyy-mm"))</f>
        <v/>
      </c>
      <c r="D350" s="32"/>
      <c r="E350" s="36"/>
      <c r="F350" s="43"/>
      <c r="G350" s="40"/>
      <c r="H350" s="51"/>
      <c r="I350" s="33"/>
      <c r="J350" s="33"/>
      <c r="K350" s="36"/>
      <c r="L350" s="47" t="str">
        <f aca="false">IF($B350="","",IF(NOT(ISNUMBER($B350)),"日期不是日期格式",IF(YEAR($B350)&lt;&gt;首页!$B$3,"不在会计年度",IF($D350="","未选客户",IF(ISNA(MATCH($D350,基础资料!$Z$6:$Z$155,0)),"客户不在档案",IF($E350="","未选商品",IF(ISNA(MATCH($E350,基础资料!$Q$6:$Q$205,0)),"商品不在档案",IF(NOT(ISNUMBER($F350)),"数量须为数字",IF(NOT(ISNUMBER($G350)),"单价须为数字",IF(N($F350)&lt;=0,"数量须大于0",IF(AND(IFERROR(INDEX(基础资料!$V$6:$V$205,MATCH($E350,基础资料!$Q$6:$Q$205,0)),"")="是",N($R350)=0),"无成本价·请先录采购或填参考成本",IF(N($T350)&lt;0,"毛利为负·请核对","√"))))))))))))</f>
        <v/>
      </c>
      <c r="M350" s="49" t="str">
        <f aca="false">IF($E350="","",IFERROR(INDEX(基础资料!$R$6:$R$205,MATCH($E350,基础资料!$Q$6:$Q$205,0)),""))</f>
        <v/>
      </c>
      <c r="N350" s="49" t="str">
        <f aca="false">IF($E350="","",IFERROR(INDEX(基础资料!$S$6:$S$205,MATCH($E350,基础资料!$Q$6:$Q$205,0)),""))</f>
        <v/>
      </c>
      <c r="O350" s="48" t="str">
        <f aca="false">IF(OR($F350="",$G350=""),"",ROUND(N($F350)*N($G350),2))</f>
        <v/>
      </c>
      <c r="P350" s="48" t="str">
        <f aca="false">IF($O350="","",ROUND(N($O350)*N($H350),2))</f>
        <v/>
      </c>
      <c r="Q350" s="48" t="str">
        <f aca="false">IF($O350="","",N($O350)+N($P350))</f>
        <v/>
      </c>
      <c r="R350" s="48" t="str">
        <f aca="false">IF(OR($E350="",$B350=""),"",IF(IFERROR(INDEX(基础资料!$V$6:$V$205,MATCH($E350,基础资料!$Q$6:$Q$205,0)),"")&lt;&gt;"是",0,IFERROR((SUMIFS(期初数据!$T$6:$T$205,期初数据!$O$6:$O$205,$E350)+SUMIFS(采购录入!$Q$5:$Q$404,采购录入!$E$5:$E$404,$E350,采购录入!$I$5:$I$404,"是",采购录入!$B$5:$B$404,"&lt;="&amp;$B350))/(SUMIFS(期初数据!$R$6:$R$205,期初数据!$O$6:$O$205,$E350)+SUMIFS(采购录入!$F$5:$F$404,采购录入!$E$5:$E$404,$E350,采购录入!$I$5:$I$404,"是",采购录入!$B$5:$B$404,"&lt;="&amp;$B350)),IFERROR(INDEX(基础资料!$U$6:$U$205,MATCH($E350,基础资料!$Q$6:$Q$205,0)),0))))</f>
        <v/>
      </c>
      <c r="S350" s="48" t="str">
        <f aca="false">IF($O350="","",ROUND(N($F350)*N($R350),2))</f>
        <v/>
      </c>
      <c r="T350" s="48" t="str">
        <f aca="false">IF($O350="","",N($O350)-N($S350))</f>
        <v/>
      </c>
      <c r="U350" s="52" t="str">
        <f aca="false">IF(OR($B350="",$D350=""),"",$B350+N(IFERROR(INDEX(基础资料!$AB$6:$AB$155,MATCH($D350,基础资料!$Z$6:$Z$155,0)),0)))</f>
        <v/>
      </c>
      <c r="V350" s="49" t="str">
        <f aca="false">IF($O350="","","1122")</f>
        <v/>
      </c>
      <c r="W350" s="49" t="str">
        <f aca="false">IF($O350="","","6001")</f>
        <v/>
      </c>
      <c r="X350" s="48" t="str">
        <f aca="false">IF($O350="","",$O350)</f>
        <v/>
      </c>
      <c r="Y350" s="49" t="str">
        <f aca="false">IF(N($P350)=0,"","1122")</f>
        <v/>
      </c>
      <c r="Z350" s="49" t="str">
        <f aca="false">IF(N($P350)=0,"","2221")</f>
        <v/>
      </c>
      <c r="AA350" s="48" t="str">
        <f aca="false">IF(N($P350)=0,"",$P350)</f>
        <v/>
      </c>
      <c r="AB350" s="49" t="str">
        <f aca="false">IF(N($S350)=0,"","6401")</f>
        <v/>
      </c>
      <c r="AC350" s="49" t="str">
        <f aca="false">IF(N($S350)=0,"","1405")</f>
        <v/>
      </c>
      <c r="AD350" s="48" t="str">
        <f aca="false">IF(N($S350)=0,"",$S350)</f>
        <v/>
      </c>
      <c r="AE350" s="49" t="str">
        <f aca="false">IF(AND($D350=客户对账单!$B$3,$B350&gt;=客户对账单!$E$3,$B350&lt;=客户对账单!$H$3),COUNTIFS($D$5:$D350,客户对账单!$B$3,$B$5:$B350,"&gt;="&amp;客户对账单!$E$3,$B$5:$B350,"&lt;="&amp;客户对账单!$H$3),"")</f>
        <v/>
      </c>
    </row>
    <row r="351" customFormat="false" ht="15.75" hidden="false" customHeight="true" outlineLevel="0" collapsed="false">
      <c r="A351" s="42" t="str">
        <f aca="false">IF($B351="","","XS"&amp;TEXT($B351,"yyyymm")&amp;"-"&amp;TEXT(ROW()-4,"000"))</f>
        <v/>
      </c>
      <c r="B351" s="41"/>
      <c r="C351" s="42" t="str">
        <f aca="false">IF($B351="","",TEXT($B351,"yyyy-mm"))</f>
        <v/>
      </c>
      <c r="D351" s="32"/>
      <c r="E351" s="36"/>
      <c r="F351" s="43"/>
      <c r="G351" s="40"/>
      <c r="H351" s="51"/>
      <c r="I351" s="33"/>
      <c r="J351" s="33"/>
      <c r="K351" s="36"/>
      <c r="L351" s="47" t="str">
        <f aca="false">IF($B351="","",IF(NOT(ISNUMBER($B351)),"日期不是日期格式",IF(YEAR($B351)&lt;&gt;首页!$B$3,"不在会计年度",IF($D351="","未选客户",IF(ISNA(MATCH($D351,基础资料!$Z$6:$Z$155,0)),"客户不在档案",IF($E351="","未选商品",IF(ISNA(MATCH($E351,基础资料!$Q$6:$Q$205,0)),"商品不在档案",IF(NOT(ISNUMBER($F351)),"数量须为数字",IF(NOT(ISNUMBER($G351)),"单价须为数字",IF(N($F351)&lt;=0,"数量须大于0",IF(AND(IFERROR(INDEX(基础资料!$V$6:$V$205,MATCH($E351,基础资料!$Q$6:$Q$205,0)),"")="是",N($R351)=0),"无成本价·请先录采购或填参考成本",IF(N($T351)&lt;0,"毛利为负·请核对","√"))))))))))))</f>
        <v/>
      </c>
      <c r="M351" s="49" t="str">
        <f aca="false">IF($E351="","",IFERROR(INDEX(基础资料!$R$6:$R$205,MATCH($E351,基础资料!$Q$6:$Q$205,0)),""))</f>
        <v/>
      </c>
      <c r="N351" s="49" t="str">
        <f aca="false">IF($E351="","",IFERROR(INDEX(基础资料!$S$6:$S$205,MATCH($E351,基础资料!$Q$6:$Q$205,0)),""))</f>
        <v/>
      </c>
      <c r="O351" s="48" t="str">
        <f aca="false">IF(OR($F351="",$G351=""),"",ROUND(N($F351)*N($G351),2))</f>
        <v/>
      </c>
      <c r="P351" s="48" t="str">
        <f aca="false">IF($O351="","",ROUND(N($O351)*N($H351),2))</f>
        <v/>
      </c>
      <c r="Q351" s="48" t="str">
        <f aca="false">IF($O351="","",N($O351)+N($P351))</f>
        <v/>
      </c>
      <c r="R351" s="48" t="str">
        <f aca="false">IF(OR($E351="",$B351=""),"",IF(IFERROR(INDEX(基础资料!$V$6:$V$205,MATCH($E351,基础资料!$Q$6:$Q$205,0)),"")&lt;&gt;"是",0,IFERROR((SUMIFS(期初数据!$T$6:$T$205,期初数据!$O$6:$O$205,$E351)+SUMIFS(采购录入!$Q$5:$Q$404,采购录入!$E$5:$E$404,$E351,采购录入!$I$5:$I$404,"是",采购录入!$B$5:$B$404,"&lt;="&amp;$B351))/(SUMIFS(期初数据!$R$6:$R$205,期初数据!$O$6:$O$205,$E351)+SUMIFS(采购录入!$F$5:$F$404,采购录入!$E$5:$E$404,$E351,采购录入!$I$5:$I$404,"是",采购录入!$B$5:$B$404,"&lt;="&amp;$B351)),IFERROR(INDEX(基础资料!$U$6:$U$205,MATCH($E351,基础资料!$Q$6:$Q$205,0)),0))))</f>
        <v/>
      </c>
      <c r="S351" s="48" t="str">
        <f aca="false">IF($O351="","",ROUND(N($F351)*N($R351),2))</f>
        <v/>
      </c>
      <c r="T351" s="48" t="str">
        <f aca="false">IF($O351="","",N($O351)-N($S351))</f>
        <v/>
      </c>
      <c r="U351" s="52" t="str">
        <f aca="false">IF(OR($B351="",$D351=""),"",$B351+N(IFERROR(INDEX(基础资料!$AB$6:$AB$155,MATCH($D351,基础资料!$Z$6:$Z$155,0)),0)))</f>
        <v/>
      </c>
      <c r="V351" s="49" t="str">
        <f aca="false">IF($O351="","","1122")</f>
        <v/>
      </c>
      <c r="W351" s="49" t="str">
        <f aca="false">IF($O351="","","6001")</f>
        <v/>
      </c>
      <c r="X351" s="48" t="str">
        <f aca="false">IF($O351="","",$O351)</f>
        <v/>
      </c>
      <c r="Y351" s="49" t="str">
        <f aca="false">IF(N($P351)=0,"","1122")</f>
        <v/>
      </c>
      <c r="Z351" s="49" t="str">
        <f aca="false">IF(N($P351)=0,"","2221")</f>
        <v/>
      </c>
      <c r="AA351" s="48" t="str">
        <f aca="false">IF(N($P351)=0,"",$P351)</f>
        <v/>
      </c>
      <c r="AB351" s="49" t="str">
        <f aca="false">IF(N($S351)=0,"","6401")</f>
        <v/>
      </c>
      <c r="AC351" s="49" t="str">
        <f aca="false">IF(N($S351)=0,"","1405")</f>
        <v/>
      </c>
      <c r="AD351" s="48" t="str">
        <f aca="false">IF(N($S351)=0,"",$S351)</f>
        <v/>
      </c>
      <c r="AE351" s="49" t="str">
        <f aca="false">IF(AND($D351=客户对账单!$B$3,$B351&gt;=客户对账单!$E$3,$B351&lt;=客户对账单!$H$3),COUNTIFS($D$5:$D351,客户对账单!$B$3,$B$5:$B351,"&gt;="&amp;客户对账单!$E$3,$B$5:$B351,"&lt;="&amp;客户对账单!$H$3),"")</f>
        <v/>
      </c>
    </row>
    <row r="352" customFormat="false" ht="15.75" hidden="false" customHeight="true" outlineLevel="0" collapsed="false">
      <c r="A352" s="42" t="str">
        <f aca="false">IF($B352="","","XS"&amp;TEXT($B352,"yyyymm")&amp;"-"&amp;TEXT(ROW()-4,"000"))</f>
        <v/>
      </c>
      <c r="B352" s="41"/>
      <c r="C352" s="42" t="str">
        <f aca="false">IF($B352="","",TEXT($B352,"yyyy-mm"))</f>
        <v/>
      </c>
      <c r="D352" s="32"/>
      <c r="E352" s="36"/>
      <c r="F352" s="43"/>
      <c r="G352" s="40"/>
      <c r="H352" s="51"/>
      <c r="I352" s="33"/>
      <c r="J352" s="33"/>
      <c r="K352" s="36"/>
      <c r="L352" s="47" t="str">
        <f aca="false">IF($B352="","",IF(NOT(ISNUMBER($B352)),"日期不是日期格式",IF(YEAR($B352)&lt;&gt;首页!$B$3,"不在会计年度",IF($D352="","未选客户",IF(ISNA(MATCH($D352,基础资料!$Z$6:$Z$155,0)),"客户不在档案",IF($E352="","未选商品",IF(ISNA(MATCH($E352,基础资料!$Q$6:$Q$205,0)),"商品不在档案",IF(NOT(ISNUMBER($F352)),"数量须为数字",IF(NOT(ISNUMBER($G352)),"单价须为数字",IF(N($F352)&lt;=0,"数量须大于0",IF(AND(IFERROR(INDEX(基础资料!$V$6:$V$205,MATCH($E352,基础资料!$Q$6:$Q$205,0)),"")="是",N($R352)=0),"无成本价·请先录采购或填参考成本",IF(N($T352)&lt;0,"毛利为负·请核对","√"))))))))))))</f>
        <v/>
      </c>
      <c r="M352" s="49" t="str">
        <f aca="false">IF($E352="","",IFERROR(INDEX(基础资料!$R$6:$R$205,MATCH($E352,基础资料!$Q$6:$Q$205,0)),""))</f>
        <v/>
      </c>
      <c r="N352" s="49" t="str">
        <f aca="false">IF($E352="","",IFERROR(INDEX(基础资料!$S$6:$S$205,MATCH($E352,基础资料!$Q$6:$Q$205,0)),""))</f>
        <v/>
      </c>
      <c r="O352" s="48" t="str">
        <f aca="false">IF(OR($F352="",$G352=""),"",ROUND(N($F352)*N($G352),2))</f>
        <v/>
      </c>
      <c r="P352" s="48" t="str">
        <f aca="false">IF($O352="","",ROUND(N($O352)*N($H352),2))</f>
        <v/>
      </c>
      <c r="Q352" s="48" t="str">
        <f aca="false">IF($O352="","",N($O352)+N($P352))</f>
        <v/>
      </c>
      <c r="R352" s="48" t="str">
        <f aca="false">IF(OR($E352="",$B352=""),"",IF(IFERROR(INDEX(基础资料!$V$6:$V$205,MATCH($E352,基础资料!$Q$6:$Q$205,0)),"")&lt;&gt;"是",0,IFERROR((SUMIFS(期初数据!$T$6:$T$205,期初数据!$O$6:$O$205,$E352)+SUMIFS(采购录入!$Q$5:$Q$404,采购录入!$E$5:$E$404,$E352,采购录入!$I$5:$I$404,"是",采购录入!$B$5:$B$404,"&lt;="&amp;$B352))/(SUMIFS(期初数据!$R$6:$R$205,期初数据!$O$6:$O$205,$E352)+SUMIFS(采购录入!$F$5:$F$404,采购录入!$E$5:$E$404,$E352,采购录入!$I$5:$I$404,"是",采购录入!$B$5:$B$404,"&lt;="&amp;$B352)),IFERROR(INDEX(基础资料!$U$6:$U$205,MATCH($E352,基础资料!$Q$6:$Q$205,0)),0))))</f>
        <v/>
      </c>
      <c r="S352" s="48" t="str">
        <f aca="false">IF($O352="","",ROUND(N($F352)*N($R352),2))</f>
        <v/>
      </c>
      <c r="T352" s="48" t="str">
        <f aca="false">IF($O352="","",N($O352)-N($S352))</f>
        <v/>
      </c>
      <c r="U352" s="52" t="str">
        <f aca="false">IF(OR($B352="",$D352=""),"",$B352+N(IFERROR(INDEX(基础资料!$AB$6:$AB$155,MATCH($D352,基础资料!$Z$6:$Z$155,0)),0)))</f>
        <v/>
      </c>
      <c r="V352" s="49" t="str">
        <f aca="false">IF($O352="","","1122")</f>
        <v/>
      </c>
      <c r="W352" s="49" t="str">
        <f aca="false">IF($O352="","","6001")</f>
        <v/>
      </c>
      <c r="X352" s="48" t="str">
        <f aca="false">IF($O352="","",$O352)</f>
        <v/>
      </c>
      <c r="Y352" s="49" t="str">
        <f aca="false">IF(N($P352)=0,"","1122")</f>
        <v/>
      </c>
      <c r="Z352" s="49" t="str">
        <f aca="false">IF(N($P352)=0,"","2221")</f>
        <v/>
      </c>
      <c r="AA352" s="48" t="str">
        <f aca="false">IF(N($P352)=0,"",$P352)</f>
        <v/>
      </c>
      <c r="AB352" s="49" t="str">
        <f aca="false">IF(N($S352)=0,"","6401")</f>
        <v/>
      </c>
      <c r="AC352" s="49" t="str">
        <f aca="false">IF(N($S352)=0,"","1405")</f>
        <v/>
      </c>
      <c r="AD352" s="48" t="str">
        <f aca="false">IF(N($S352)=0,"",$S352)</f>
        <v/>
      </c>
      <c r="AE352" s="49" t="str">
        <f aca="false">IF(AND($D352=客户对账单!$B$3,$B352&gt;=客户对账单!$E$3,$B352&lt;=客户对账单!$H$3),COUNTIFS($D$5:$D352,客户对账单!$B$3,$B$5:$B352,"&gt;="&amp;客户对账单!$E$3,$B$5:$B352,"&lt;="&amp;客户对账单!$H$3),"")</f>
        <v/>
      </c>
    </row>
    <row r="353" customFormat="false" ht="15.75" hidden="false" customHeight="true" outlineLevel="0" collapsed="false">
      <c r="A353" s="42" t="str">
        <f aca="false">IF($B353="","","XS"&amp;TEXT($B353,"yyyymm")&amp;"-"&amp;TEXT(ROW()-4,"000"))</f>
        <v/>
      </c>
      <c r="B353" s="41"/>
      <c r="C353" s="42" t="str">
        <f aca="false">IF($B353="","",TEXT($B353,"yyyy-mm"))</f>
        <v/>
      </c>
      <c r="D353" s="32"/>
      <c r="E353" s="36"/>
      <c r="F353" s="43"/>
      <c r="G353" s="40"/>
      <c r="H353" s="51"/>
      <c r="I353" s="33"/>
      <c r="J353" s="33"/>
      <c r="K353" s="36"/>
      <c r="L353" s="47" t="str">
        <f aca="false">IF($B353="","",IF(NOT(ISNUMBER($B353)),"日期不是日期格式",IF(YEAR($B353)&lt;&gt;首页!$B$3,"不在会计年度",IF($D353="","未选客户",IF(ISNA(MATCH($D353,基础资料!$Z$6:$Z$155,0)),"客户不在档案",IF($E353="","未选商品",IF(ISNA(MATCH($E353,基础资料!$Q$6:$Q$205,0)),"商品不在档案",IF(NOT(ISNUMBER($F353)),"数量须为数字",IF(NOT(ISNUMBER($G353)),"单价须为数字",IF(N($F353)&lt;=0,"数量须大于0",IF(AND(IFERROR(INDEX(基础资料!$V$6:$V$205,MATCH($E353,基础资料!$Q$6:$Q$205,0)),"")="是",N($R353)=0),"无成本价·请先录采购或填参考成本",IF(N($T353)&lt;0,"毛利为负·请核对","√"))))))))))))</f>
        <v/>
      </c>
      <c r="M353" s="49" t="str">
        <f aca="false">IF($E353="","",IFERROR(INDEX(基础资料!$R$6:$R$205,MATCH($E353,基础资料!$Q$6:$Q$205,0)),""))</f>
        <v/>
      </c>
      <c r="N353" s="49" t="str">
        <f aca="false">IF($E353="","",IFERROR(INDEX(基础资料!$S$6:$S$205,MATCH($E353,基础资料!$Q$6:$Q$205,0)),""))</f>
        <v/>
      </c>
      <c r="O353" s="48" t="str">
        <f aca="false">IF(OR($F353="",$G353=""),"",ROUND(N($F353)*N($G353),2))</f>
        <v/>
      </c>
      <c r="P353" s="48" t="str">
        <f aca="false">IF($O353="","",ROUND(N($O353)*N($H353),2))</f>
        <v/>
      </c>
      <c r="Q353" s="48" t="str">
        <f aca="false">IF($O353="","",N($O353)+N($P353))</f>
        <v/>
      </c>
      <c r="R353" s="48" t="str">
        <f aca="false">IF(OR($E353="",$B353=""),"",IF(IFERROR(INDEX(基础资料!$V$6:$V$205,MATCH($E353,基础资料!$Q$6:$Q$205,0)),"")&lt;&gt;"是",0,IFERROR((SUMIFS(期初数据!$T$6:$T$205,期初数据!$O$6:$O$205,$E353)+SUMIFS(采购录入!$Q$5:$Q$404,采购录入!$E$5:$E$404,$E353,采购录入!$I$5:$I$404,"是",采购录入!$B$5:$B$404,"&lt;="&amp;$B353))/(SUMIFS(期初数据!$R$6:$R$205,期初数据!$O$6:$O$205,$E353)+SUMIFS(采购录入!$F$5:$F$404,采购录入!$E$5:$E$404,$E353,采购录入!$I$5:$I$404,"是",采购录入!$B$5:$B$404,"&lt;="&amp;$B353)),IFERROR(INDEX(基础资料!$U$6:$U$205,MATCH($E353,基础资料!$Q$6:$Q$205,0)),0))))</f>
        <v/>
      </c>
      <c r="S353" s="48" t="str">
        <f aca="false">IF($O353="","",ROUND(N($F353)*N($R353),2))</f>
        <v/>
      </c>
      <c r="T353" s="48" t="str">
        <f aca="false">IF($O353="","",N($O353)-N($S353))</f>
        <v/>
      </c>
      <c r="U353" s="52" t="str">
        <f aca="false">IF(OR($B353="",$D353=""),"",$B353+N(IFERROR(INDEX(基础资料!$AB$6:$AB$155,MATCH($D353,基础资料!$Z$6:$Z$155,0)),0)))</f>
        <v/>
      </c>
      <c r="V353" s="49" t="str">
        <f aca="false">IF($O353="","","1122")</f>
        <v/>
      </c>
      <c r="W353" s="49" t="str">
        <f aca="false">IF($O353="","","6001")</f>
        <v/>
      </c>
      <c r="X353" s="48" t="str">
        <f aca="false">IF($O353="","",$O353)</f>
        <v/>
      </c>
      <c r="Y353" s="49" t="str">
        <f aca="false">IF(N($P353)=0,"","1122")</f>
        <v/>
      </c>
      <c r="Z353" s="49" t="str">
        <f aca="false">IF(N($P353)=0,"","2221")</f>
        <v/>
      </c>
      <c r="AA353" s="48" t="str">
        <f aca="false">IF(N($P353)=0,"",$P353)</f>
        <v/>
      </c>
      <c r="AB353" s="49" t="str">
        <f aca="false">IF(N($S353)=0,"","6401")</f>
        <v/>
      </c>
      <c r="AC353" s="49" t="str">
        <f aca="false">IF(N($S353)=0,"","1405")</f>
        <v/>
      </c>
      <c r="AD353" s="48" t="str">
        <f aca="false">IF(N($S353)=0,"",$S353)</f>
        <v/>
      </c>
      <c r="AE353" s="49" t="str">
        <f aca="false">IF(AND($D353=客户对账单!$B$3,$B353&gt;=客户对账单!$E$3,$B353&lt;=客户对账单!$H$3),COUNTIFS($D$5:$D353,客户对账单!$B$3,$B$5:$B353,"&gt;="&amp;客户对账单!$E$3,$B$5:$B353,"&lt;="&amp;客户对账单!$H$3),"")</f>
        <v/>
      </c>
    </row>
    <row r="354" customFormat="false" ht="15.75" hidden="false" customHeight="true" outlineLevel="0" collapsed="false">
      <c r="A354" s="42" t="str">
        <f aca="false">IF($B354="","","XS"&amp;TEXT($B354,"yyyymm")&amp;"-"&amp;TEXT(ROW()-4,"000"))</f>
        <v/>
      </c>
      <c r="B354" s="41"/>
      <c r="C354" s="42" t="str">
        <f aca="false">IF($B354="","",TEXT($B354,"yyyy-mm"))</f>
        <v/>
      </c>
      <c r="D354" s="32"/>
      <c r="E354" s="36"/>
      <c r="F354" s="43"/>
      <c r="G354" s="40"/>
      <c r="H354" s="51"/>
      <c r="I354" s="33"/>
      <c r="J354" s="33"/>
      <c r="K354" s="36"/>
      <c r="L354" s="47" t="str">
        <f aca="false">IF($B354="","",IF(NOT(ISNUMBER($B354)),"日期不是日期格式",IF(YEAR($B354)&lt;&gt;首页!$B$3,"不在会计年度",IF($D354="","未选客户",IF(ISNA(MATCH($D354,基础资料!$Z$6:$Z$155,0)),"客户不在档案",IF($E354="","未选商品",IF(ISNA(MATCH($E354,基础资料!$Q$6:$Q$205,0)),"商品不在档案",IF(NOT(ISNUMBER($F354)),"数量须为数字",IF(NOT(ISNUMBER($G354)),"单价须为数字",IF(N($F354)&lt;=0,"数量须大于0",IF(AND(IFERROR(INDEX(基础资料!$V$6:$V$205,MATCH($E354,基础资料!$Q$6:$Q$205,0)),"")="是",N($R354)=0),"无成本价·请先录采购或填参考成本",IF(N($T354)&lt;0,"毛利为负·请核对","√"))))))))))))</f>
        <v/>
      </c>
      <c r="M354" s="49" t="str">
        <f aca="false">IF($E354="","",IFERROR(INDEX(基础资料!$R$6:$R$205,MATCH($E354,基础资料!$Q$6:$Q$205,0)),""))</f>
        <v/>
      </c>
      <c r="N354" s="49" t="str">
        <f aca="false">IF($E354="","",IFERROR(INDEX(基础资料!$S$6:$S$205,MATCH($E354,基础资料!$Q$6:$Q$205,0)),""))</f>
        <v/>
      </c>
      <c r="O354" s="48" t="str">
        <f aca="false">IF(OR($F354="",$G354=""),"",ROUND(N($F354)*N($G354),2))</f>
        <v/>
      </c>
      <c r="P354" s="48" t="str">
        <f aca="false">IF($O354="","",ROUND(N($O354)*N($H354),2))</f>
        <v/>
      </c>
      <c r="Q354" s="48" t="str">
        <f aca="false">IF($O354="","",N($O354)+N($P354))</f>
        <v/>
      </c>
      <c r="R354" s="48" t="str">
        <f aca="false">IF(OR($E354="",$B354=""),"",IF(IFERROR(INDEX(基础资料!$V$6:$V$205,MATCH($E354,基础资料!$Q$6:$Q$205,0)),"")&lt;&gt;"是",0,IFERROR((SUMIFS(期初数据!$T$6:$T$205,期初数据!$O$6:$O$205,$E354)+SUMIFS(采购录入!$Q$5:$Q$404,采购录入!$E$5:$E$404,$E354,采购录入!$I$5:$I$404,"是",采购录入!$B$5:$B$404,"&lt;="&amp;$B354))/(SUMIFS(期初数据!$R$6:$R$205,期初数据!$O$6:$O$205,$E354)+SUMIFS(采购录入!$F$5:$F$404,采购录入!$E$5:$E$404,$E354,采购录入!$I$5:$I$404,"是",采购录入!$B$5:$B$404,"&lt;="&amp;$B354)),IFERROR(INDEX(基础资料!$U$6:$U$205,MATCH($E354,基础资料!$Q$6:$Q$205,0)),0))))</f>
        <v/>
      </c>
      <c r="S354" s="48" t="str">
        <f aca="false">IF($O354="","",ROUND(N($F354)*N($R354),2))</f>
        <v/>
      </c>
      <c r="T354" s="48" t="str">
        <f aca="false">IF($O354="","",N($O354)-N($S354))</f>
        <v/>
      </c>
      <c r="U354" s="52" t="str">
        <f aca="false">IF(OR($B354="",$D354=""),"",$B354+N(IFERROR(INDEX(基础资料!$AB$6:$AB$155,MATCH($D354,基础资料!$Z$6:$Z$155,0)),0)))</f>
        <v/>
      </c>
      <c r="V354" s="49" t="str">
        <f aca="false">IF($O354="","","1122")</f>
        <v/>
      </c>
      <c r="W354" s="49" t="str">
        <f aca="false">IF($O354="","","6001")</f>
        <v/>
      </c>
      <c r="X354" s="48" t="str">
        <f aca="false">IF($O354="","",$O354)</f>
        <v/>
      </c>
      <c r="Y354" s="49" t="str">
        <f aca="false">IF(N($P354)=0,"","1122")</f>
        <v/>
      </c>
      <c r="Z354" s="49" t="str">
        <f aca="false">IF(N($P354)=0,"","2221")</f>
        <v/>
      </c>
      <c r="AA354" s="48" t="str">
        <f aca="false">IF(N($P354)=0,"",$P354)</f>
        <v/>
      </c>
      <c r="AB354" s="49" t="str">
        <f aca="false">IF(N($S354)=0,"","6401")</f>
        <v/>
      </c>
      <c r="AC354" s="49" t="str">
        <f aca="false">IF(N($S354)=0,"","1405")</f>
        <v/>
      </c>
      <c r="AD354" s="48" t="str">
        <f aca="false">IF(N($S354)=0,"",$S354)</f>
        <v/>
      </c>
      <c r="AE354" s="49" t="str">
        <f aca="false">IF(AND($D354=客户对账单!$B$3,$B354&gt;=客户对账单!$E$3,$B354&lt;=客户对账单!$H$3),COUNTIFS($D$5:$D354,客户对账单!$B$3,$B$5:$B354,"&gt;="&amp;客户对账单!$E$3,$B$5:$B354,"&lt;="&amp;客户对账单!$H$3),"")</f>
        <v/>
      </c>
    </row>
    <row r="355" customFormat="false" ht="15.75" hidden="false" customHeight="true" outlineLevel="0" collapsed="false">
      <c r="A355" s="42" t="str">
        <f aca="false">IF($B355="","","XS"&amp;TEXT($B355,"yyyymm")&amp;"-"&amp;TEXT(ROW()-4,"000"))</f>
        <v/>
      </c>
      <c r="B355" s="41"/>
      <c r="C355" s="42" t="str">
        <f aca="false">IF($B355="","",TEXT($B355,"yyyy-mm"))</f>
        <v/>
      </c>
      <c r="D355" s="32"/>
      <c r="E355" s="36"/>
      <c r="F355" s="43"/>
      <c r="G355" s="40"/>
      <c r="H355" s="51"/>
      <c r="I355" s="33"/>
      <c r="J355" s="33"/>
      <c r="K355" s="36"/>
      <c r="L355" s="47" t="str">
        <f aca="false">IF($B355="","",IF(NOT(ISNUMBER($B355)),"日期不是日期格式",IF(YEAR($B355)&lt;&gt;首页!$B$3,"不在会计年度",IF($D355="","未选客户",IF(ISNA(MATCH($D355,基础资料!$Z$6:$Z$155,0)),"客户不在档案",IF($E355="","未选商品",IF(ISNA(MATCH($E355,基础资料!$Q$6:$Q$205,0)),"商品不在档案",IF(NOT(ISNUMBER($F355)),"数量须为数字",IF(NOT(ISNUMBER($G355)),"单价须为数字",IF(N($F355)&lt;=0,"数量须大于0",IF(AND(IFERROR(INDEX(基础资料!$V$6:$V$205,MATCH($E355,基础资料!$Q$6:$Q$205,0)),"")="是",N($R355)=0),"无成本价·请先录采购或填参考成本",IF(N($T355)&lt;0,"毛利为负·请核对","√"))))))))))))</f>
        <v/>
      </c>
      <c r="M355" s="49" t="str">
        <f aca="false">IF($E355="","",IFERROR(INDEX(基础资料!$R$6:$R$205,MATCH($E355,基础资料!$Q$6:$Q$205,0)),""))</f>
        <v/>
      </c>
      <c r="N355" s="49" t="str">
        <f aca="false">IF($E355="","",IFERROR(INDEX(基础资料!$S$6:$S$205,MATCH($E355,基础资料!$Q$6:$Q$205,0)),""))</f>
        <v/>
      </c>
      <c r="O355" s="48" t="str">
        <f aca="false">IF(OR($F355="",$G355=""),"",ROUND(N($F355)*N($G355),2))</f>
        <v/>
      </c>
      <c r="P355" s="48" t="str">
        <f aca="false">IF($O355="","",ROUND(N($O355)*N($H355),2))</f>
        <v/>
      </c>
      <c r="Q355" s="48" t="str">
        <f aca="false">IF($O355="","",N($O355)+N($P355))</f>
        <v/>
      </c>
      <c r="R355" s="48" t="str">
        <f aca="false">IF(OR($E355="",$B355=""),"",IF(IFERROR(INDEX(基础资料!$V$6:$V$205,MATCH($E355,基础资料!$Q$6:$Q$205,0)),"")&lt;&gt;"是",0,IFERROR((SUMIFS(期初数据!$T$6:$T$205,期初数据!$O$6:$O$205,$E355)+SUMIFS(采购录入!$Q$5:$Q$404,采购录入!$E$5:$E$404,$E355,采购录入!$I$5:$I$404,"是",采购录入!$B$5:$B$404,"&lt;="&amp;$B355))/(SUMIFS(期初数据!$R$6:$R$205,期初数据!$O$6:$O$205,$E355)+SUMIFS(采购录入!$F$5:$F$404,采购录入!$E$5:$E$404,$E355,采购录入!$I$5:$I$404,"是",采购录入!$B$5:$B$404,"&lt;="&amp;$B355)),IFERROR(INDEX(基础资料!$U$6:$U$205,MATCH($E355,基础资料!$Q$6:$Q$205,0)),0))))</f>
        <v/>
      </c>
      <c r="S355" s="48" t="str">
        <f aca="false">IF($O355="","",ROUND(N($F355)*N($R355),2))</f>
        <v/>
      </c>
      <c r="T355" s="48" t="str">
        <f aca="false">IF($O355="","",N($O355)-N($S355))</f>
        <v/>
      </c>
      <c r="U355" s="52" t="str">
        <f aca="false">IF(OR($B355="",$D355=""),"",$B355+N(IFERROR(INDEX(基础资料!$AB$6:$AB$155,MATCH($D355,基础资料!$Z$6:$Z$155,0)),0)))</f>
        <v/>
      </c>
      <c r="V355" s="49" t="str">
        <f aca="false">IF($O355="","","1122")</f>
        <v/>
      </c>
      <c r="W355" s="49" t="str">
        <f aca="false">IF($O355="","","6001")</f>
        <v/>
      </c>
      <c r="X355" s="48" t="str">
        <f aca="false">IF($O355="","",$O355)</f>
        <v/>
      </c>
      <c r="Y355" s="49" t="str">
        <f aca="false">IF(N($P355)=0,"","1122")</f>
        <v/>
      </c>
      <c r="Z355" s="49" t="str">
        <f aca="false">IF(N($P355)=0,"","2221")</f>
        <v/>
      </c>
      <c r="AA355" s="48" t="str">
        <f aca="false">IF(N($P355)=0,"",$P355)</f>
        <v/>
      </c>
      <c r="AB355" s="49" t="str">
        <f aca="false">IF(N($S355)=0,"","6401")</f>
        <v/>
      </c>
      <c r="AC355" s="49" t="str">
        <f aca="false">IF(N($S355)=0,"","1405")</f>
        <v/>
      </c>
      <c r="AD355" s="48" t="str">
        <f aca="false">IF(N($S355)=0,"",$S355)</f>
        <v/>
      </c>
      <c r="AE355" s="49" t="str">
        <f aca="false">IF(AND($D355=客户对账单!$B$3,$B355&gt;=客户对账单!$E$3,$B355&lt;=客户对账单!$H$3),COUNTIFS($D$5:$D355,客户对账单!$B$3,$B$5:$B355,"&gt;="&amp;客户对账单!$E$3,$B$5:$B355,"&lt;="&amp;客户对账单!$H$3),"")</f>
        <v/>
      </c>
    </row>
    <row r="356" customFormat="false" ht="15.75" hidden="false" customHeight="true" outlineLevel="0" collapsed="false">
      <c r="A356" s="42" t="str">
        <f aca="false">IF($B356="","","XS"&amp;TEXT($B356,"yyyymm")&amp;"-"&amp;TEXT(ROW()-4,"000"))</f>
        <v/>
      </c>
      <c r="B356" s="41"/>
      <c r="C356" s="42" t="str">
        <f aca="false">IF($B356="","",TEXT($B356,"yyyy-mm"))</f>
        <v/>
      </c>
      <c r="D356" s="32"/>
      <c r="E356" s="36"/>
      <c r="F356" s="43"/>
      <c r="G356" s="40"/>
      <c r="H356" s="51"/>
      <c r="I356" s="33"/>
      <c r="J356" s="33"/>
      <c r="K356" s="36"/>
      <c r="L356" s="47" t="str">
        <f aca="false">IF($B356="","",IF(NOT(ISNUMBER($B356)),"日期不是日期格式",IF(YEAR($B356)&lt;&gt;首页!$B$3,"不在会计年度",IF($D356="","未选客户",IF(ISNA(MATCH($D356,基础资料!$Z$6:$Z$155,0)),"客户不在档案",IF($E356="","未选商品",IF(ISNA(MATCH($E356,基础资料!$Q$6:$Q$205,0)),"商品不在档案",IF(NOT(ISNUMBER($F356)),"数量须为数字",IF(NOT(ISNUMBER($G356)),"单价须为数字",IF(N($F356)&lt;=0,"数量须大于0",IF(AND(IFERROR(INDEX(基础资料!$V$6:$V$205,MATCH($E356,基础资料!$Q$6:$Q$205,0)),"")="是",N($R356)=0),"无成本价·请先录采购或填参考成本",IF(N($T356)&lt;0,"毛利为负·请核对","√"))))))))))))</f>
        <v/>
      </c>
      <c r="M356" s="49" t="str">
        <f aca="false">IF($E356="","",IFERROR(INDEX(基础资料!$R$6:$R$205,MATCH($E356,基础资料!$Q$6:$Q$205,0)),""))</f>
        <v/>
      </c>
      <c r="N356" s="49" t="str">
        <f aca="false">IF($E356="","",IFERROR(INDEX(基础资料!$S$6:$S$205,MATCH($E356,基础资料!$Q$6:$Q$205,0)),""))</f>
        <v/>
      </c>
      <c r="O356" s="48" t="str">
        <f aca="false">IF(OR($F356="",$G356=""),"",ROUND(N($F356)*N($G356),2))</f>
        <v/>
      </c>
      <c r="P356" s="48" t="str">
        <f aca="false">IF($O356="","",ROUND(N($O356)*N($H356),2))</f>
        <v/>
      </c>
      <c r="Q356" s="48" t="str">
        <f aca="false">IF($O356="","",N($O356)+N($P356))</f>
        <v/>
      </c>
      <c r="R356" s="48" t="str">
        <f aca="false">IF(OR($E356="",$B356=""),"",IF(IFERROR(INDEX(基础资料!$V$6:$V$205,MATCH($E356,基础资料!$Q$6:$Q$205,0)),"")&lt;&gt;"是",0,IFERROR((SUMIFS(期初数据!$T$6:$T$205,期初数据!$O$6:$O$205,$E356)+SUMIFS(采购录入!$Q$5:$Q$404,采购录入!$E$5:$E$404,$E356,采购录入!$I$5:$I$404,"是",采购录入!$B$5:$B$404,"&lt;="&amp;$B356))/(SUMIFS(期初数据!$R$6:$R$205,期初数据!$O$6:$O$205,$E356)+SUMIFS(采购录入!$F$5:$F$404,采购录入!$E$5:$E$404,$E356,采购录入!$I$5:$I$404,"是",采购录入!$B$5:$B$404,"&lt;="&amp;$B356)),IFERROR(INDEX(基础资料!$U$6:$U$205,MATCH($E356,基础资料!$Q$6:$Q$205,0)),0))))</f>
        <v/>
      </c>
      <c r="S356" s="48" t="str">
        <f aca="false">IF($O356="","",ROUND(N($F356)*N($R356),2))</f>
        <v/>
      </c>
      <c r="T356" s="48" t="str">
        <f aca="false">IF($O356="","",N($O356)-N($S356))</f>
        <v/>
      </c>
      <c r="U356" s="52" t="str">
        <f aca="false">IF(OR($B356="",$D356=""),"",$B356+N(IFERROR(INDEX(基础资料!$AB$6:$AB$155,MATCH($D356,基础资料!$Z$6:$Z$155,0)),0)))</f>
        <v/>
      </c>
      <c r="V356" s="49" t="str">
        <f aca="false">IF($O356="","","1122")</f>
        <v/>
      </c>
      <c r="W356" s="49" t="str">
        <f aca="false">IF($O356="","","6001")</f>
        <v/>
      </c>
      <c r="X356" s="48" t="str">
        <f aca="false">IF($O356="","",$O356)</f>
        <v/>
      </c>
      <c r="Y356" s="49" t="str">
        <f aca="false">IF(N($P356)=0,"","1122")</f>
        <v/>
      </c>
      <c r="Z356" s="49" t="str">
        <f aca="false">IF(N($P356)=0,"","2221")</f>
        <v/>
      </c>
      <c r="AA356" s="48" t="str">
        <f aca="false">IF(N($P356)=0,"",$P356)</f>
        <v/>
      </c>
      <c r="AB356" s="49" t="str">
        <f aca="false">IF(N($S356)=0,"","6401")</f>
        <v/>
      </c>
      <c r="AC356" s="49" t="str">
        <f aca="false">IF(N($S356)=0,"","1405")</f>
        <v/>
      </c>
      <c r="AD356" s="48" t="str">
        <f aca="false">IF(N($S356)=0,"",$S356)</f>
        <v/>
      </c>
      <c r="AE356" s="49" t="str">
        <f aca="false">IF(AND($D356=客户对账单!$B$3,$B356&gt;=客户对账单!$E$3,$B356&lt;=客户对账单!$H$3),COUNTIFS($D$5:$D356,客户对账单!$B$3,$B$5:$B356,"&gt;="&amp;客户对账单!$E$3,$B$5:$B356,"&lt;="&amp;客户对账单!$H$3),"")</f>
        <v/>
      </c>
    </row>
    <row r="357" customFormat="false" ht="15.75" hidden="false" customHeight="true" outlineLevel="0" collapsed="false">
      <c r="A357" s="42" t="str">
        <f aca="false">IF($B357="","","XS"&amp;TEXT($B357,"yyyymm")&amp;"-"&amp;TEXT(ROW()-4,"000"))</f>
        <v/>
      </c>
      <c r="B357" s="41"/>
      <c r="C357" s="42" t="str">
        <f aca="false">IF($B357="","",TEXT($B357,"yyyy-mm"))</f>
        <v/>
      </c>
      <c r="D357" s="32"/>
      <c r="E357" s="36"/>
      <c r="F357" s="43"/>
      <c r="G357" s="40"/>
      <c r="H357" s="51"/>
      <c r="I357" s="33"/>
      <c r="J357" s="33"/>
      <c r="K357" s="36"/>
      <c r="L357" s="47" t="str">
        <f aca="false">IF($B357="","",IF(NOT(ISNUMBER($B357)),"日期不是日期格式",IF(YEAR($B357)&lt;&gt;首页!$B$3,"不在会计年度",IF($D357="","未选客户",IF(ISNA(MATCH($D357,基础资料!$Z$6:$Z$155,0)),"客户不在档案",IF($E357="","未选商品",IF(ISNA(MATCH($E357,基础资料!$Q$6:$Q$205,0)),"商品不在档案",IF(NOT(ISNUMBER($F357)),"数量须为数字",IF(NOT(ISNUMBER($G357)),"单价须为数字",IF(N($F357)&lt;=0,"数量须大于0",IF(AND(IFERROR(INDEX(基础资料!$V$6:$V$205,MATCH($E357,基础资料!$Q$6:$Q$205,0)),"")="是",N($R357)=0),"无成本价·请先录采购或填参考成本",IF(N($T357)&lt;0,"毛利为负·请核对","√"))))))))))))</f>
        <v/>
      </c>
      <c r="M357" s="49" t="str">
        <f aca="false">IF($E357="","",IFERROR(INDEX(基础资料!$R$6:$R$205,MATCH($E357,基础资料!$Q$6:$Q$205,0)),""))</f>
        <v/>
      </c>
      <c r="N357" s="49" t="str">
        <f aca="false">IF($E357="","",IFERROR(INDEX(基础资料!$S$6:$S$205,MATCH($E357,基础资料!$Q$6:$Q$205,0)),""))</f>
        <v/>
      </c>
      <c r="O357" s="48" t="str">
        <f aca="false">IF(OR($F357="",$G357=""),"",ROUND(N($F357)*N($G357),2))</f>
        <v/>
      </c>
      <c r="P357" s="48" t="str">
        <f aca="false">IF($O357="","",ROUND(N($O357)*N($H357),2))</f>
        <v/>
      </c>
      <c r="Q357" s="48" t="str">
        <f aca="false">IF($O357="","",N($O357)+N($P357))</f>
        <v/>
      </c>
      <c r="R357" s="48" t="str">
        <f aca="false">IF(OR($E357="",$B357=""),"",IF(IFERROR(INDEX(基础资料!$V$6:$V$205,MATCH($E357,基础资料!$Q$6:$Q$205,0)),"")&lt;&gt;"是",0,IFERROR((SUMIFS(期初数据!$T$6:$T$205,期初数据!$O$6:$O$205,$E357)+SUMIFS(采购录入!$Q$5:$Q$404,采购录入!$E$5:$E$404,$E357,采购录入!$I$5:$I$404,"是",采购录入!$B$5:$B$404,"&lt;="&amp;$B357))/(SUMIFS(期初数据!$R$6:$R$205,期初数据!$O$6:$O$205,$E357)+SUMIFS(采购录入!$F$5:$F$404,采购录入!$E$5:$E$404,$E357,采购录入!$I$5:$I$404,"是",采购录入!$B$5:$B$404,"&lt;="&amp;$B357)),IFERROR(INDEX(基础资料!$U$6:$U$205,MATCH($E357,基础资料!$Q$6:$Q$205,0)),0))))</f>
        <v/>
      </c>
      <c r="S357" s="48" t="str">
        <f aca="false">IF($O357="","",ROUND(N($F357)*N($R357),2))</f>
        <v/>
      </c>
      <c r="T357" s="48" t="str">
        <f aca="false">IF($O357="","",N($O357)-N($S357))</f>
        <v/>
      </c>
      <c r="U357" s="52" t="str">
        <f aca="false">IF(OR($B357="",$D357=""),"",$B357+N(IFERROR(INDEX(基础资料!$AB$6:$AB$155,MATCH($D357,基础资料!$Z$6:$Z$155,0)),0)))</f>
        <v/>
      </c>
      <c r="V357" s="49" t="str">
        <f aca="false">IF($O357="","","1122")</f>
        <v/>
      </c>
      <c r="W357" s="49" t="str">
        <f aca="false">IF($O357="","","6001")</f>
        <v/>
      </c>
      <c r="X357" s="48" t="str">
        <f aca="false">IF($O357="","",$O357)</f>
        <v/>
      </c>
      <c r="Y357" s="49" t="str">
        <f aca="false">IF(N($P357)=0,"","1122")</f>
        <v/>
      </c>
      <c r="Z357" s="49" t="str">
        <f aca="false">IF(N($P357)=0,"","2221")</f>
        <v/>
      </c>
      <c r="AA357" s="48" t="str">
        <f aca="false">IF(N($P357)=0,"",$P357)</f>
        <v/>
      </c>
      <c r="AB357" s="49" t="str">
        <f aca="false">IF(N($S357)=0,"","6401")</f>
        <v/>
      </c>
      <c r="AC357" s="49" t="str">
        <f aca="false">IF(N($S357)=0,"","1405")</f>
        <v/>
      </c>
      <c r="AD357" s="48" t="str">
        <f aca="false">IF(N($S357)=0,"",$S357)</f>
        <v/>
      </c>
      <c r="AE357" s="49" t="str">
        <f aca="false">IF(AND($D357=客户对账单!$B$3,$B357&gt;=客户对账单!$E$3,$B357&lt;=客户对账单!$H$3),COUNTIFS($D$5:$D357,客户对账单!$B$3,$B$5:$B357,"&gt;="&amp;客户对账单!$E$3,$B$5:$B357,"&lt;="&amp;客户对账单!$H$3),"")</f>
        <v/>
      </c>
    </row>
    <row r="358" customFormat="false" ht="15.75" hidden="false" customHeight="true" outlineLevel="0" collapsed="false">
      <c r="A358" s="42" t="str">
        <f aca="false">IF($B358="","","XS"&amp;TEXT($B358,"yyyymm")&amp;"-"&amp;TEXT(ROW()-4,"000"))</f>
        <v/>
      </c>
      <c r="B358" s="41"/>
      <c r="C358" s="42" t="str">
        <f aca="false">IF($B358="","",TEXT($B358,"yyyy-mm"))</f>
        <v/>
      </c>
      <c r="D358" s="32"/>
      <c r="E358" s="36"/>
      <c r="F358" s="43"/>
      <c r="G358" s="40"/>
      <c r="H358" s="51"/>
      <c r="I358" s="33"/>
      <c r="J358" s="33"/>
      <c r="K358" s="36"/>
      <c r="L358" s="47" t="str">
        <f aca="false">IF($B358="","",IF(NOT(ISNUMBER($B358)),"日期不是日期格式",IF(YEAR($B358)&lt;&gt;首页!$B$3,"不在会计年度",IF($D358="","未选客户",IF(ISNA(MATCH($D358,基础资料!$Z$6:$Z$155,0)),"客户不在档案",IF($E358="","未选商品",IF(ISNA(MATCH($E358,基础资料!$Q$6:$Q$205,0)),"商品不在档案",IF(NOT(ISNUMBER($F358)),"数量须为数字",IF(NOT(ISNUMBER($G358)),"单价须为数字",IF(N($F358)&lt;=0,"数量须大于0",IF(AND(IFERROR(INDEX(基础资料!$V$6:$V$205,MATCH($E358,基础资料!$Q$6:$Q$205,0)),"")="是",N($R358)=0),"无成本价·请先录采购或填参考成本",IF(N($T358)&lt;0,"毛利为负·请核对","√"))))))))))))</f>
        <v/>
      </c>
      <c r="M358" s="49" t="str">
        <f aca="false">IF($E358="","",IFERROR(INDEX(基础资料!$R$6:$R$205,MATCH($E358,基础资料!$Q$6:$Q$205,0)),""))</f>
        <v/>
      </c>
      <c r="N358" s="49" t="str">
        <f aca="false">IF($E358="","",IFERROR(INDEX(基础资料!$S$6:$S$205,MATCH($E358,基础资料!$Q$6:$Q$205,0)),""))</f>
        <v/>
      </c>
      <c r="O358" s="48" t="str">
        <f aca="false">IF(OR($F358="",$G358=""),"",ROUND(N($F358)*N($G358),2))</f>
        <v/>
      </c>
      <c r="P358" s="48" t="str">
        <f aca="false">IF($O358="","",ROUND(N($O358)*N($H358),2))</f>
        <v/>
      </c>
      <c r="Q358" s="48" t="str">
        <f aca="false">IF($O358="","",N($O358)+N($P358))</f>
        <v/>
      </c>
      <c r="R358" s="48" t="str">
        <f aca="false">IF(OR($E358="",$B358=""),"",IF(IFERROR(INDEX(基础资料!$V$6:$V$205,MATCH($E358,基础资料!$Q$6:$Q$205,0)),"")&lt;&gt;"是",0,IFERROR((SUMIFS(期初数据!$T$6:$T$205,期初数据!$O$6:$O$205,$E358)+SUMIFS(采购录入!$Q$5:$Q$404,采购录入!$E$5:$E$404,$E358,采购录入!$I$5:$I$404,"是",采购录入!$B$5:$B$404,"&lt;="&amp;$B358))/(SUMIFS(期初数据!$R$6:$R$205,期初数据!$O$6:$O$205,$E358)+SUMIFS(采购录入!$F$5:$F$404,采购录入!$E$5:$E$404,$E358,采购录入!$I$5:$I$404,"是",采购录入!$B$5:$B$404,"&lt;="&amp;$B358)),IFERROR(INDEX(基础资料!$U$6:$U$205,MATCH($E358,基础资料!$Q$6:$Q$205,0)),0))))</f>
        <v/>
      </c>
      <c r="S358" s="48" t="str">
        <f aca="false">IF($O358="","",ROUND(N($F358)*N($R358),2))</f>
        <v/>
      </c>
      <c r="T358" s="48" t="str">
        <f aca="false">IF($O358="","",N($O358)-N($S358))</f>
        <v/>
      </c>
      <c r="U358" s="52" t="str">
        <f aca="false">IF(OR($B358="",$D358=""),"",$B358+N(IFERROR(INDEX(基础资料!$AB$6:$AB$155,MATCH($D358,基础资料!$Z$6:$Z$155,0)),0)))</f>
        <v/>
      </c>
      <c r="V358" s="49" t="str">
        <f aca="false">IF($O358="","","1122")</f>
        <v/>
      </c>
      <c r="W358" s="49" t="str">
        <f aca="false">IF($O358="","","6001")</f>
        <v/>
      </c>
      <c r="X358" s="48" t="str">
        <f aca="false">IF($O358="","",$O358)</f>
        <v/>
      </c>
      <c r="Y358" s="49" t="str">
        <f aca="false">IF(N($P358)=0,"","1122")</f>
        <v/>
      </c>
      <c r="Z358" s="49" t="str">
        <f aca="false">IF(N($P358)=0,"","2221")</f>
        <v/>
      </c>
      <c r="AA358" s="48" t="str">
        <f aca="false">IF(N($P358)=0,"",$P358)</f>
        <v/>
      </c>
      <c r="AB358" s="49" t="str">
        <f aca="false">IF(N($S358)=0,"","6401")</f>
        <v/>
      </c>
      <c r="AC358" s="49" t="str">
        <f aca="false">IF(N($S358)=0,"","1405")</f>
        <v/>
      </c>
      <c r="AD358" s="48" t="str">
        <f aca="false">IF(N($S358)=0,"",$S358)</f>
        <v/>
      </c>
      <c r="AE358" s="49" t="str">
        <f aca="false">IF(AND($D358=客户对账单!$B$3,$B358&gt;=客户对账单!$E$3,$B358&lt;=客户对账单!$H$3),COUNTIFS($D$5:$D358,客户对账单!$B$3,$B$5:$B358,"&gt;="&amp;客户对账单!$E$3,$B$5:$B358,"&lt;="&amp;客户对账单!$H$3),"")</f>
        <v/>
      </c>
    </row>
    <row r="359" customFormat="false" ht="15.75" hidden="false" customHeight="true" outlineLevel="0" collapsed="false">
      <c r="A359" s="42" t="str">
        <f aca="false">IF($B359="","","XS"&amp;TEXT($B359,"yyyymm")&amp;"-"&amp;TEXT(ROW()-4,"000"))</f>
        <v/>
      </c>
      <c r="B359" s="41"/>
      <c r="C359" s="42" t="str">
        <f aca="false">IF($B359="","",TEXT($B359,"yyyy-mm"))</f>
        <v/>
      </c>
      <c r="D359" s="32"/>
      <c r="E359" s="36"/>
      <c r="F359" s="43"/>
      <c r="G359" s="40"/>
      <c r="H359" s="51"/>
      <c r="I359" s="33"/>
      <c r="J359" s="33"/>
      <c r="K359" s="36"/>
      <c r="L359" s="47" t="str">
        <f aca="false">IF($B359="","",IF(NOT(ISNUMBER($B359)),"日期不是日期格式",IF(YEAR($B359)&lt;&gt;首页!$B$3,"不在会计年度",IF($D359="","未选客户",IF(ISNA(MATCH($D359,基础资料!$Z$6:$Z$155,0)),"客户不在档案",IF($E359="","未选商品",IF(ISNA(MATCH($E359,基础资料!$Q$6:$Q$205,0)),"商品不在档案",IF(NOT(ISNUMBER($F359)),"数量须为数字",IF(NOT(ISNUMBER($G359)),"单价须为数字",IF(N($F359)&lt;=0,"数量须大于0",IF(AND(IFERROR(INDEX(基础资料!$V$6:$V$205,MATCH($E359,基础资料!$Q$6:$Q$205,0)),"")="是",N($R359)=0),"无成本价·请先录采购或填参考成本",IF(N($T359)&lt;0,"毛利为负·请核对","√"))))))))))))</f>
        <v/>
      </c>
      <c r="M359" s="49" t="str">
        <f aca="false">IF($E359="","",IFERROR(INDEX(基础资料!$R$6:$R$205,MATCH($E359,基础资料!$Q$6:$Q$205,0)),""))</f>
        <v/>
      </c>
      <c r="N359" s="49" t="str">
        <f aca="false">IF($E359="","",IFERROR(INDEX(基础资料!$S$6:$S$205,MATCH($E359,基础资料!$Q$6:$Q$205,0)),""))</f>
        <v/>
      </c>
      <c r="O359" s="48" t="str">
        <f aca="false">IF(OR($F359="",$G359=""),"",ROUND(N($F359)*N($G359),2))</f>
        <v/>
      </c>
      <c r="P359" s="48" t="str">
        <f aca="false">IF($O359="","",ROUND(N($O359)*N($H359),2))</f>
        <v/>
      </c>
      <c r="Q359" s="48" t="str">
        <f aca="false">IF($O359="","",N($O359)+N($P359))</f>
        <v/>
      </c>
      <c r="R359" s="48" t="str">
        <f aca="false">IF(OR($E359="",$B359=""),"",IF(IFERROR(INDEX(基础资料!$V$6:$V$205,MATCH($E359,基础资料!$Q$6:$Q$205,0)),"")&lt;&gt;"是",0,IFERROR((SUMIFS(期初数据!$T$6:$T$205,期初数据!$O$6:$O$205,$E359)+SUMIFS(采购录入!$Q$5:$Q$404,采购录入!$E$5:$E$404,$E359,采购录入!$I$5:$I$404,"是",采购录入!$B$5:$B$404,"&lt;="&amp;$B359))/(SUMIFS(期初数据!$R$6:$R$205,期初数据!$O$6:$O$205,$E359)+SUMIFS(采购录入!$F$5:$F$404,采购录入!$E$5:$E$404,$E359,采购录入!$I$5:$I$404,"是",采购录入!$B$5:$B$404,"&lt;="&amp;$B359)),IFERROR(INDEX(基础资料!$U$6:$U$205,MATCH($E359,基础资料!$Q$6:$Q$205,0)),0))))</f>
        <v/>
      </c>
      <c r="S359" s="48" t="str">
        <f aca="false">IF($O359="","",ROUND(N($F359)*N($R359),2))</f>
        <v/>
      </c>
      <c r="T359" s="48" t="str">
        <f aca="false">IF($O359="","",N($O359)-N($S359))</f>
        <v/>
      </c>
      <c r="U359" s="52" t="str">
        <f aca="false">IF(OR($B359="",$D359=""),"",$B359+N(IFERROR(INDEX(基础资料!$AB$6:$AB$155,MATCH($D359,基础资料!$Z$6:$Z$155,0)),0)))</f>
        <v/>
      </c>
      <c r="V359" s="49" t="str">
        <f aca="false">IF($O359="","","1122")</f>
        <v/>
      </c>
      <c r="W359" s="49" t="str">
        <f aca="false">IF($O359="","","6001")</f>
        <v/>
      </c>
      <c r="X359" s="48" t="str">
        <f aca="false">IF($O359="","",$O359)</f>
        <v/>
      </c>
      <c r="Y359" s="49" t="str">
        <f aca="false">IF(N($P359)=0,"","1122")</f>
        <v/>
      </c>
      <c r="Z359" s="49" t="str">
        <f aca="false">IF(N($P359)=0,"","2221")</f>
        <v/>
      </c>
      <c r="AA359" s="48" t="str">
        <f aca="false">IF(N($P359)=0,"",$P359)</f>
        <v/>
      </c>
      <c r="AB359" s="49" t="str">
        <f aca="false">IF(N($S359)=0,"","6401")</f>
        <v/>
      </c>
      <c r="AC359" s="49" t="str">
        <f aca="false">IF(N($S359)=0,"","1405")</f>
        <v/>
      </c>
      <c r="AD359" s="48" t="str">
        <f aca="false">IF(N($S359)=0,"",$S359)</f>
        <v/>
      </c>
      <c r="AE359" s="49" t="str">
        <f aca="false">IF(AND($D359=客户对账单!$B$3,$B359&gt;=客户对账单!$E$3,$B359&lt;=客户对账单!$H$3),COUNTIFS($D$5:$D359,客户对账单!$B$3,$B$5:$B359,"&gt;="&amp;客户对账单!$E$3,$B$5:$B359,"&lt;="&amp;客户对账单!$H$3),"")</f>
        <v/>
      </c>
    </row>
    <row r="360" customFormat="false" ht="15.75" hidden="false" customHeight="true" outlineLevel="0" collapsed="false">
      <c r="A360" s="42" t="str">
        <f aca="false">IF($B360="","","XS"&amp;TEXT($B360,"yyyymm")&amp;"-"&amp;TEXT(ROW()-4,"000"))</f>
        <v/>
      </c>
      <c r="B360" s="41"/>
      <c r="C360" s="42" t="str">
        <f aca="false">IF($B360="","",TEXT($B360,"yyyy-mm"))</f>
        <v/>
      </c>
      <c r="D360" s="32"/>
      <c r="E360" s="36"/>
      <c r="F360" s="43"/>
      <c r="G360" s="40"/>
      <c r="H360" s="51"/>
      <c r="I360" s="33"/>
      <c r="J360" s="33"/>
      <c r="K360" s="36"/>
      <c r="L360" s="47" t="str">
        <f aca="false">IF($B360="","",IF(NOT(ISNUMBER($B360)),"日期不是日期格式",IF(YEAR($B360)&lt;&gt;首页!$B$3,"不在会计年度",IF($D360="","未选客户",IF(ISNA(MATCH($D360,基础资料!$Z$6:$Z$155,0)),"客户不在档案",IF($E360="","未选商品",IF(ISNA(MATCH($E360,基础资料!$Q$6:$Q$205,0)),"商品不在档案",IF(NOT(ISNUMBER($F360)),"数量须为数字",IF(NOT(ISNUMBER($G360)),"单价须为数字",IF(N($F360)&lt;=0,"数量须大于0",IF(AND(IFERROR(INDEX(基础资料!$V$6:$V$205,MATCH($E360,基础资料!$Q$6:$Q$205,0)),"")="是",N($R360)=0),"无成本价·请先录采购或填参考成本",IF(N($T360)&lt;0,"毛利为负·请核对","√"))))))))))))</f>
        <v/>
      </c>
      <c r="M360" s="49" t="str">
        <f aca="false">IF($E360="","",IFERROR(INDEX(基础资料!$R$6:$R$205,MATCH($E360,基础资料!$Q$6:$Q$205,0)),""))</f>
        <v/>
      </c>
      <c r="N360" s="49" t="str">
        <f aca="false">IF($E360="","",IFERROR(INDEX(基础资料!$S$6:$S$205,MATCH($E360,基础资料!$Q$6:$Q$205,0)),""))</f>
        <v/>
      </c>
      <c r="O360" s="48" t="str">
        <f aca="false">IF(OR($F360="",$G360=""),"",ROUND(N($F360)*N($G360),2))</f>
        <v/>
      </c>
      <c r="P360" s="48" t="str">
        <f aca="false">IF($O360="","",ROUND(N($O360)*N($H360),2))</f>
        <v/>
      </c>
      <c r="Q360" s="48" t="str">
        <f aca="false">IF($O360="","",N($O360)+N($P360))</f>
        <v/>
      </c>
      <c r="R360" s="48" t="str">
        <f aca="false">IF(OR($E360="",$B360=""),"",IF(IFERROR(INDEX(基础资料!$V$6:$V$205,MATCH($E360,基础资料!$Q$6:$Q$205,0)),"")&lt;&gt;"是",0,IFERROR((SUMIFS(期初数据!$T$6:$T$205,期初数据!$O$6:$O$205,$E360)+SUMIFS(采购录入!$Q$5:$Q$404,采购录入!$E$5:$E$404,$E360,采购录入!$I$5:$I$404,"是",采购录入!$B$5:$B$404,"&lt;="&amp;$B360))/(SUMIFS(期初数据!$R$6:$R$205,期初数据!$O$6:$O$205,$E360)+SUMIFS(采购录入!$F$5:$F$404,采购录入!$E$5:$E$404,$E360,采购录入!$I$5:$I$404,"是",采购录入!$B$5:$B$404,"&lt;="&amp;$B360)),IFERROR(INDEX(基础资料!$U$6:$U$205,MATCH($E360,基础资料!$Q$6:$Q$205,0)),0))))</f>
        <v/>
      </c>
      <c r="S360" s="48" t="str">
        <f aca="false">IF($O360="","",ROUND(N($F360)*N($R360),2))</f>
        <v/>
      </c>
      <c r="T360" s="48" t="str">
        <f aca="false">IF($O360="","",N($O360)-N($S360))</f>
        <v/>
      </c>
      <c r="U360" s="52" t="str">
        <f aca="false">IF(OR($B360="",$D360=""),"",$B360+N(IFERROR(INDEX(基础资料!$AB$6:$AB$155,MATCH($D360,基础资料!$Z$6:$Z$155,0)),0)))</f>
        <v/>
      </c>
      <c r="V360" s="49" t="str">
        <f aca="false">IF($O360="","","1122")</f>
        <v/>
      </c>
      <c r="W360" s="49" t="str">
        <f aca="false">IF($O360="","","6001")</f>
        <v/>
      </c>
      <c r="X360" s="48" t="str">
        <f aca="false">IF($O360="","",$O360)</f>
        <v/>
      </c>
      <c r="Y360" s="49" t="str">
        <f aca="false">IF(N($P360)=0,"","1122")</f>
        <v/>
      </c>
      <c r="Z360" s="49" t="str">
        <f aca="false">IF(N($P360)=0,"","2221")</f>
        <v/>
      </c>
      <c r="AA360" s="48" t="str">
        <f aca="false">IF(N($P360)=0,"",$P360)</f>
        <v/>
      </c>
      <c r="AB360" s="49" t="str">
        <f aca="false">IF(N($S360)=0,"","6401")</f>
        <v/>
      </c>
      <c r="AC360" s="49" t="str">
        <f aca="false">IF(N($S360)=0,"","1405")</f>
        <v/>
      </c>
      <c r="AD360" s="48" t="str">
        <f aca="false">IF(N($S360)=0,"",$S360)</f>
        <v/>
      </c>
      <c r="AE360" s="49" t="str">
        <f aca="false">IF(AND($D360=客户对账单!$B$3,$B360&gt;=客户对账单!$E$3,$B360&lt;=客户对账单!$H$3),COUNTIFS($D$5:$D360,客户对账单!$B$3,$B$5:$B360,"&gt;="&amp;客户对账单!$E$3,$B$5:$B360,"&lt;="&amp;客户对账单!$H$3),"")</f>
        <v/>
      </c>
    </row>
    <row r="361" customFormat="false" ht="15.75" hidden="false" customHeight="true" outlineLevel="0" collapsed="false">
      <c r="A361" s="42" t="str">
        <f aca="false">IF($B361="","","XS"&amp;TEXT($B361,"yyyymm")&amp;"-"&amp;TEXT(ROW()-4,"000"))</f>
        <v/>
      </c>
      <c r="B361" s="41"/>
      <c r="C361" s="42" t="str">
        <f aca="false">IF($B361="","",TEXT($B361,"yyyy-mm"))</f>
        <v/>
      </c>
      <c r="D361" s="32"/>
      <c r="E361" s="36"/>
      <c r="F361" s="43"/>
      <c r="G361" s="40"/>
      <c r="H361" s="51"/>
      <c r="I361" s="33"/>
      <c r="J361" s="33"/>
      <c r="K361" s="36"/>
      <c r="L361" s="47" t="str">
        <f aca="false">IF($B361="","",IF(NOT(ISNUMBER($B361)),"日期不是日期格式",IF(YEAR($B361)&lt;&gt;首页!$B$3,"不在会计年度",IF($D361="","未选客户",IF(ISNA(MATCH($D361,基础资料!$Z$6:$Z$155,0)),"客户不在档案",IF($E361="","未选商品",IF(ISNA(MATCH($E361,基础资料!$Q$6:$Q$205,0)),"商品不在档案",IF(NOT(ISNUMBER($F361)),"数量须为数字",IF(NOT(ISNUMBER($G361)),"单价须为数字",IF(N($F361)&lt;=0,"数量须大于0",IF(AND(IFERROR(INDEX(基础资料!$V$6:$V$205,MATCH($E361,基础资料!$Q$6:$Q$205,0)),"")="是",N($R361)=0),"无成本价·请先录采购或填参考成本",IF(N($T361)&lt;0,"毛利为负·请核对","√"))))))))))))</f>
        <v/>
      </c>
      <c r="M361" s="49" t="str">
        <f aca="false">IF($E361="","",IFERROR(INDEX(基础资料!$R$6:$R$205,MATCH($E361,基础资料!$Q$6:$Q$205,0)),""))</f>
        <v/>
      </c>
      <c r="N361" s="49" t="str">
        <f aca="false">IF($E361="","",IFERROR(INDEX(基础资料!$S$6:$S$205,MATCH($E361,基础资料!$Q$6:$Q$205,0)),""))</f>
        <v/>
      </c>
      <c r="O361" s="48" t="str">
        <f aca="false">IF(OR($F361="",$G361=""),"",ROUND(N($F361)*N($G361),2))</f>
        <v/>
      </c>
      <c r="P361" s="48" t="str">
        <f aca="false">IF($O361="","",ROUND(N($O361)*N($H361),2))</f>
        <v/>
      </c>
      <c r="Q361" s="48" t="str">
        <f aca="false">IF($O361="","",N($O361)+N($P361))</f>
        <v/>
      </c>
      <c r="R361" s="48" t="str">
        <f aca="false">IF(OR($E361="",$B361=""),"",IF(IFERROR(INDEX(基础资料!$V$6:$V$205,MATCH($E361,基础资料!$Q$6:$Q$205,0)),"")&lt;&gt;"是",0,IFERROR((SUMIFS(期初数据!$T$6:$T$205,期初数据!$O$6:$O$205,$E361)+SUMIFS(采购录入!$Q$5:$Q$404,采购录入!$E$5:$E$404,$E361,采购录入!$I$5:$I$404,"是",采购录入!$B$5:$B$404,"&lt;="&amp;$B361))/(SUMIFS(期初数据!$R$6:$R$205,期初数据!$O$6:$O$205,$E361)+SUMIFS(采购录入!$F$5:$F$404,采购录入!$E$5:$E$404,$E361,采购录入!$I$5:$I$404,"是",采购录入!$B$5:$B$404,"&lt;="&amp;$B361)),IFERROR(INDEX(基础资料!$U$6:$U$205,MATCH($E361,基础资料!$Q$6:$Q$205,0)),0))))</f>
        <v/>
      </c>
      <c r="S361" s="48" t="str">
        <f aca="false">IF($O361="","",ROUND(N($F361)*N($R361),2))</f>
        <v/>
      </c>
      <c r="T361" s="48" t="str">
        <f aca="false">IF($O361="","",N($O361)-N($S361))</f>
        <v/>
      </c>
      <c r="U361" s="52" t="str">
        <f aca="false">IF(OR($B361="",$D361=""),"",$B361+N(IFERROR(INDEX(基础资料!$AB$6:$AB$155,MATCH($D361,基础资料!$Z$6:$Z$155,0)),0)))</f>
        <v/>
      </c>
      <c r="V361" s="49" t="str">
        <f aca="false">IF($O361="","","1122")</f>
        <v/>
      </c>
      <c r="W361" s="49" t="str">
        <f aca="false">IF($O361="","","6001")</f>
        <v/>
      </c>
      <c r="X361" s="48" t="str">
        <f aca="false">IF($O361="","",$O361)</f>
        <v/>
      </c>
      <c r="Y361" s="49" t="str">
        <f aca="false">IF(N($P361)=0,"","1122")</f>
        <v/>
      </c>
      <c r="Z361" s="49" t="str">
        <f aca="false">IF(N($P361)=0,"","2221")</f>
        <v/>
      </c>
      <c r="AA361" s="48" t="str">
        <f aca="false">IF(N($P361)=0,"",$P361)</f>
        <v/>
      </c>
      <c r="AB361" s="49" t="str">
        <f aca="false">IF(N($S361)=0,"","6401")</f>
        <v/>
      </c>
      <c r="AC361" s="49" t="str">
        <f aca="false">IF(N($S361)=0,"","1405")</f>
        <v/>
      </c>
      <c r="AD361" s="48" t="str">
        <f aca="false">IF(N($S361)=0,"",$S361)</f>
        <v/>
      </c>
      <c r="AE361" s="49" t="str">
        <f aca="false">IF(AND($D361=客户对账单!$B$3,$B361&gt;=客户对账单!$E$3,$B361&lt;=客户对账单!$H$3),COUNTIFS($D$5:$D361,客户对账单!$B$3,$B$5:$B361,"&gt;="&amp;客户对账单!$E$3,$B$5:$B361,"&lt;="&amp;客户对账单!$H$3),"")</f>
        <v/>
      </c>
    </row>
    <row r="362" customFormat="false" ht="15.75" hidden="false" customHeight="true" outlineLevel="0" collapsed="false">
      <c r="A362" s="42" t="str">
        <f aca="false">IF($B362="","","XS"&amp;TEXT($B362,"yyyymm")&amp;"-"&amp;TEXT(ROW()-4,"000"))</f>
        <v/>
      </c>
      <c r="B362" s="41"/>
      <c r="C362" s="42" t="str">
        <f aca="false">IF($B362="","",TEXT($B362,"yyyy-mm"))</f>
        <v/>
      </c>
      <c r="D362" s="32"/>
      <c r="E362" s="36"/>
      <c r="F362" s="43"/>
      <c r="G362" s="40"/>
      <c r="H362" s="51"/>
      <c r="I362" s="33"/>
      <c r="J362" s="33"/>
      <c r="K362" s="36"/>
      <c r="L362" s="47" t="str">
        <f aca="false">IF($B362="","",IF(NOT(ISNUMBER($B362)),"日期不是日期格式",IF(YEAR($B362)&lt;&gt;首页!$B$3,"不在会计年度",IF($D362="","未选客户",IF(ISNA(MATCH($D362,基础资料!$Z$6:$Z$155,0)),"客户不在档案",IF($E362="","未选商品",IF(ISNA(MATCH($E362,基础资料!$Q$6:$Q$205,0)),"商品不在档案",IF(NOT(ISNUMBER($F362)),"数量须为数字",IF(NOT(ISNUMBER($G362)),"单价须为数字",IF(N($F362)&lt;=0,"数量须大于0",IF(AND(IFERROR(INDEX(基础资料!$V$6:$V$205,MATCH($E362,基础资料!$Q$6:$Q$205,0)),"")="是",N($R362)=0),"无成本价·请先录采购或填参考成本",IF(N($T362)&lt;0,"毛利为负·请核对","√"))))))))))))</f>
        <v/>
      </c>
      <c r="M362" s="49" t="str">
        <f aca="false">IF($E362="","",IFERROR(INDEX(基础资料!$R$6:$R$205,MATCH($E362,基础资料!$Q$6:$Q$205,0)),""))</f>
        <v/>
      </c>
      <c r="N362" s="49" t="str">
        <f aca="false">IF($E362="","",IFERROR(INDEX(基础资料!$S$6:$S$205,MATCH($E362,基础资料!$Q$6:$Q$205,0)),""))</f>
        <v/>
      </c>
      <c r="O362" s="48" t="str">
        <f aca="false">IF(OR($F362="",$G362=""),"",ROUND(N($F362)*N($G362),2))</f>
        <v/>
      </c>
      <c r="P362" s="48" t="str">
        <f aca="false">IF($O362="","",ROUND(N($O362)*N($H362),2))</f>
        <v/>
      </c>
      <c r="Q362" s="48" t="str">
        <f aca="false">IF($O362="","",N($O362)+N($P362))</f>
        <v/>
      </c>
      <c r="R362" s="48" t="str">
        <f aca="false">IF(OR($E362="",$B362=""),"",IF(IFERROR(INDEX(基础资料!$V$6:$V$205,MATCH($E362,基础资料!$Q$6:$Q$205,0)),"")&lt;&gt;"是",0,IFERROR((SUMIFS(期初数据!$T$6:$T$205,期初数据!$O$6:$O$205,$E362)+SUMIFS(采购录入!$Q$5:$Q$404,采购录入!$E$5:$E$404,$E362,采购录入!$I$5:$I$404,"是",采购录入!$B$5:$B$404,"&lt;="&amp;$B362))/(SUMIFS(期初数据!$R$6:$R$205,期初数据!$O$6:$O$205,$E362)+SUMIFS(采购录入!$F$5:$F$404,采购录入!$E$5:$E$404,$E362,采购录入!$I$5:$I$404,"是",采购录入!$B$5:$B$404,"&lt;="&amp;$B362)),IFERROR(INDEX(基础资料!$U$6:$U$205,MATCH($E362,基础资料!$Q$6:$Q$205,0)),0))))</f>
        <v/>
      </c>
      <c r="S362" s="48" t="str">
        <f aca="false">IF($O362="","",ROUND(N($F362)*N($R362),2))</f>
        <v/>
      </c>
      <c r="T362" s="48" t="str">
        <f aca="false">IF($O362="","",N($O362)-N($S362))</f>
        <v/>
      </c>
      <c r="U362" s="52" t="str">
        <f aca="false">IF(OR($B362="",$D362=""),"",$B362+N(IFERROR(INDEX(基础资料!$AB$6:$AB$155,MATCH($D362,基础资料!$Z$6:$Z$155,0)),0)))</f>
        <v/>
      </c>
      <c r="V362" s="49" t="str">
        <f aca="false">IF($O362="","","1122")</f>
        <v/>
      </c>
      <c r="W362" s="49" t="str">
        <f aca="false">IF($O362="","","6001")</f>
        <v/>
      </c>
      <c r="X362" s="48" t="str">
        <f aca="false">IF($O362="","",$O362)</f>
        <v/>
      </c>
      <c r="Y362" s="49" t="str">
        <f aca="false">IF(N($P362)=0,"","1122")</f>
        <v/>
      </c>
      <c r="Z362" s="49" t="str">
        <f aca="false">IF(N($P362)=0,"","2221")</f>
        <v/>
      </c>
      <c r="AA362" s="48" t="str">
        <f aca="false">IF(N($P362)=0,"",$P362)</f>
        <v/>
      </c>
      <c r="AB362" s="49" t="str">
        <f aca="false">IF(N($S362)=0,"","6401")</f>
        <v/>
      </c>
      <c r="AC362" s="49" t="str">
        <f aca="false">IF(N($S362)=0,"","1405")</f>
        <v/>
      </c>
      <c r="AD362" s="48" t="str">
        <f aca="false">IF(N($S362)=0,"",$S362)</f>
        <v/>
      </c>
      <c r="AE362" s="49" t="str">
        <f aca="false">IF(AND($D362=客户对账单!$B$3,$B362&gt;=客户对账单!$E$3,$B362&lt;=客户对账单!$H$3),COUNTIFS($D$5:$D362,客户对账单!$B$3,$B$5:$B362,"&gt;="&amp;客户对账单!$E$3,$B$5:$B362,"&lt;="&amp;客户对账单!$H$3),"")</f>
        <v/>
      </c>
    </row>
    <row r="363" customFormat="false" ht="15.75" hidden="false" customHeight="true" outlineLevel="0" collapsed="false">
      <c r="A363" s="42" t="str">
        <f aca="false">IF($B363="","","XS"&amp;TEXT($B363,"yyyymm")&amp;"-"&amp;TEXT(ROW()-4,"000"))</f>
        <v/>
      </c>
      <c r="B363" s="41"/>
      <c r="C363" s="42" t="str">
        <f aca="false">IF($B363="","",TEXT($B363,"yyyy-mm"))</f>
        <v/>
      </c>
      <c r="D363" s="32"/>
      <c r="E363" s="36"/>
      <c r="F363" s="43"/>
      <c r="G363" s="40"/>
      <c r="H363" s="51"/>
      <c r="I363" s="33"/>
      <c r="J363" s="33"/>
      <c r="K363" s="36"/>
      <c r="L363" s="47" t="str">
        <f aca="false">IF($B363="","",IF(NOT(ISNUMBER($B363)),"日期不是日期格式",IF(YEAR($B363)&lt;&gt;首页!$B$3,"不在会计年度",IF($D363="","未选客户",IF(ISNA(MATCH($D363,基础资料!$Z$6:$Z$155,0)),"客户不在档案",IF($E363="","未选商品",IF(ISNA(MATCH($E363,基础资料!$Q$6:$Q$205,0)),"商品不在档案",IF(NOT(ISNUMBER($F363)),"数量须为数字",IF(NOT(ISNUMBER($G363)),"单价须为数字",IF(N($F363)&lt;=0,"数量须大于0",IF(AND(IFERROR(INDEX(基础资料!$V$6:$V$205,MATCH($E363,基础资料!$Q$6:$Q$205,0)),"")="是",N($R363)=0),"无成本价·请先录采购或填参考成本",IF(N($T363)&lt;0,"毛利为负·请核对","√"))))))))))))</f>
        <v/>
      </c>
      <c r="M363" s="49" t="str">
        <f aca="false">IF($E363="","",IFERROR(INDEX(基础资料!$R$6:$R$205,MATCH($E363,基础资料!$Q$6:$Q$205,0)),""))</f>
        <v/>
      </c>
      <c r="N363" s="49" t="str">
        <f aca="false">IF($E363="","",IFERROR(INDEX(基础资料!$S$6:$S$205,MATCH($E363,基础资料!$Q$6:$Q$205,0)),""))</f>
        <v/>
      </c>
      <c r="O363" s="48" t="str">
        <f aca="false">IF(OR($F363="",$G363=""),"",ROUND(N($F363)*N($G363),2))</f>
        <v/>
      </c>
      <c r="P363" s="48" t="str">
        <f aca="false">IF($O363="","",ROUND(N($O363)*N($H363),2))</f>
        <v/>
      </c>
      <c r="Q363" s="48" t="str">
        <f aca="false">IF($O363="","",N($O363)+N($P363))</f>
        <v/>
      </c>
      <c r="R363" s="48" t="str">
        <f aca="false">IF(OR($E363="",$B363=""),"",IF(IFERROR(INDEX(基础资料!$V$6:$V$205,MATCH($E363,基础资料!$Q$6:$Q$205,0)),"")&lt;&gt;"是",0,IFERROR((SUMIFS(期初数据!$T$6:$T$205,期初数据!$O$6:$O$205,$E363)+SUMIFS(采购录入!$Q$5:$Q$404,采购录入!$E$5:$E$404,$E363,采购录入!$I$5:$I$404,"是",采购录入!$B$5:$B$404,"&lt;="&amp;$B363))/(SUMIFS(期初数据!$R$6:$R$205,期初数据!$O$6:$O$205,$E363)+SUMIFS(采购录入!$F$5:$F$404,采购录入!$E$5:$E$404,$E363,采购录入!$I$5:$I$404,"是",采购录入!$B$5:$B$404,"&lt;="&amp;$B363)),IFERROR(INDEX(基础资料!$U$6:$U$205,MATCH($E363,基础资料!$Q$6:$Q$205,0)),0))))</f>
        <v/>
      </c>
      <c r="S363" s="48" t="str">
        <f aca="false">IF($O363="","",ROUND(N($F363)*N($R363),2))</f>
        <v/>
      </c>
      <c r="T363" s="48" t="str">
        <f aca="false">IF($O363="","",N($O363)-N($S363))</f>
        <v/>
      </c>
      <c r="U363" s="52" t="str">
        <f aca="false">IF(OR($B363="",$D363=""),"",$B363+N(IFERROR(INDEX(基础资料!$AB$6:$AB$155,MATCH($D363,基础资料!$Z$6:$Z$155,0)),0)))</f>
        <v/>
      </c>
      <c r="V363" s="49" t="str">
        <f aca="false">IF($O363="","","1122")</f>
        <v/>
      </c>
      <c r="W363" s="49" t="str">
        <f aca="false">IF($O363="","","6001")</f>
        <v/>
      </c>
      <c r="X363" s="48" t="str">
        <f aca="false">IF($O363="","",$O363)</f>
        <v/>
      </c>
      <c r="Y363" s="49" t="str">
        <f aca="false">IF(N($P363)=0,"","1122")</f>
        <v/>
      </c>
      <c r="Z363" s="49" t="str">
        <f aca="false">IF(N($P363)=0,"","2221")</f>
        <v/>
      </c>
      <c r="AA363" s="48" t="str">
        <f aca="false">IF(N($P363)=0,"",$P363)</f>
        <v/>
      </c>
      <c r="AB363" s="49" t="str">
        <f aca="false">IF(N($S363)=0,"","6401")</f>
        <v/>
      </c>
      <c r="AC363" s="49" t="str">
        <f aca="false">IF(N($S363)=0,"","1405")</f>
        <v/>
      </c>
      <c r="AD363" s="48" t="str">
        <f aca="false">IF(N($S363)=0,"",$S363)</f>
        <v/>
      </c>
      <c r="AE363" s="49" t="str">
        <f aca="false">IF(AND($D363=客户对账单!$B$3,$B363&gt;=客户对账单!$E$3,$B363&lt;=客户对账单!$H$3),COUNTIFS($D$5:$D363,客户对账单!$B$3,$B$5:$B363,"&gt;="&amp;客户对账单!$E$3,$B$5:$B363,"&lt;="&amp;客户对账单!$H$3),"")</f>
        <v/>
      </c>
    </row>
    <row r="364" customFormat="false" ht="15.75" hidden="false" customHeight="true" outlineLevel="0" collapsed="false">
      <c r="A364" s="42" t="str">
        <f aca="false">IF($B364="","","XS"&amp;TEXT($B364,"yyyymm")&amp;"-"&amp;TEXT(ROW()-4,"000"))</f>
        <v/>
      </c>
      <c r="B364" s="41"/>
      <c r="C364" s="42" t="str">
        <f aca="false">IF($B364="","",TEXT($B364,"yyyy-mm"))</f>
        <v/>
      </c>
      <c r="D364" s="32"/>
      <c r="E364" s="36"/>
      <c r="F364" s="43"/>
      <c r="G364" s="40"/>
      <c r="H364" s="51"/>
      <c r="I364" s="33"/>
      <c r="J364" s="33"/>
      <c r="K364" s="36"/>
      <c r="L364" s="47" t="str">
        <f aca="false">IF($B364="","",IF(NOT(ISNUMBER($B364)),"日期不是日期格式",IF(YEAR($B364)&lt;&gt;首页!$B$3,"不在会计年度",IF($D364="","未选客户",IF(ISNA(MATCH($D364,基础资料!$Z$6:$Z$155,0)),"客户不在档案",IF($E364="","未选商品",IF(ISNA(MATCH($E364,基础资料!$Q$6:$Q$205,0)),"商品不在档案",IF(NOT(ISNUMBER($F364)),"数量须为数字",IF(NOT(ISNUMBER($G364)),"单价须为数字",IF(N($F364)&lt;=0,"数量须大于0",IF(AND(IFERROR(INDEX(基础资料!$V$6:$V$205,MATCH($E364,基础资料!$Q$6:$Q$205,0)),"")="是",N($R364)=0),"无成本价·请先录采购或填参考成本",IF(N($T364)&lt;0,"毛利为负·请核对","√"))))))))))))</f>
        <v/>
      </c>
      <c r="M364" s="49" t="str">
        <f aca="false">IF($E364="","",IFERROR(INDEX(基础资料!$R$6:$R$205,MATCH($E364,基础资料!$Q$6:$Q$205,0)),""))</f>
        <v/>
      </c>
      <c r="N364" s="49" t="str">
        <f aca="false">IF($E364="","",IFERROR(INDEX(基础资料!$S$6:$S$205,MATCH($E364,基础资料!$Q$6:$Q$205,0)),""))</f>
        <v/>
      </c>
      <c r="O364" s="48" t="str">
        <f aca="false">IF(OR($F364="",$G364=""),"",ROUND(N($F364)*N($G364),2))</f>
        <v/>
      </c>
      <c r="P364" s="48" t="str">
        <f aca="false">IF($O364="","",ROUND(N($O364)*N($H364),2))</f>
        <v/>
      </c>
      <c r="Q364" s="48" t="str">
        <f aca="false">IF($O364="","",N($O364)+N($P364))</f>
        <v/>
      </c>
      <c r="R364" s="48" t="str">
        <f aca="false">IF(OR($E364="",$B364=""),"",IF(IFERROR(INDEX(基础资料!$V$6:$V$205,MATCH($E364,基础资料!$Q$6:$Q$205,0)),"")&lt;&gt;"是",0,IFERROR((SUMIFS(期初数据!$T$6:$T$205,期初数据!$O$6:$O$205,$E364)+SUMIFS(采购录入!$Q$5:$Q$404,采购录入!$E$5:$E$404,$E364,采购录入!$I$5:$I$404,"是",采购录入!$B$5:$B$404,"&lt;="&amp;$B364))/(SUMIFS(期初数据!$R$6:$R$205,期初数据!$O$6:$O$205,$E364)+SUMIFS(采购录入!$F$5:$F$404,采购录入!$E$5:$E$404,$E364,采购录入!$I$5:$I$404,"是",采购录入!$B$5:$B$404,"&lt;="&amp;$B364)),IFERROR(INDEX(基础资料!$U$6:$U$205,MATCH($E364,基础资料!$Q$6:$Q$205,0)),0))))</f>
        <v/>
      </c>
      <c r="S364" s="48" t="str">
        <f aca="false">IF($O364="","",ROUND(N($F364)*N($R364),2))</f>
        <v/>
      </c>
      <c r="T364" s="48" t="str">
        <f aca="false">IF($O364="","",N($O364)-N($S364))</f>
        <v/>
      </c>
      <c r="U364" s="52" t="str">
        <f aca="false">IF(OR($B364="",$D364=""),"",$B364+N(IFERROR(INDEX(基础资料!$AB$6:$AB$155,MATCH($D364,基础资料!$Z$6:$Z$155,0)),0)))</f>
        <v/>
      </c>
      <c r="V364" s="49" t="str">
        <f aca="false">IF($O364="","","1122")</f>
        <v/>
      </c>
      <c r="W364" s="49" t="str">
        <f aca="false">IF($O364="","","6001")</f>
        <v/>
      </c>
      <c r="X364" s="48" t="str">
        <f aca="false">IF($O364="","",$O364)</f>
        <v/>
      </c>
      <c r="Y364" s="49" t="str">
        <f aca="false">IF(N($P364)=0,"","1122")</f>
        <v/>
      </c>
      <c r="Z364" s="49" t="str">
        <f aca="false">IF(N($P364)=0,"","2221")</f>
        <v/>
      </c>
      <c r="AA364" s="48" t="str">
        <f aca="false">IF(N($P364)=0,"",$P364)</f>
        <v/>
      </c>
      <c r="AB364" s="49" t="str">
        <f aca="false">IF(N($S364)=0,"","6401")</f>
        <v/>
      </c>
      <c r="AC364" s="49" t="str">
        <f aca="false">IF(N($S364)=0,"","1405")</f>
        <v/>
      </c>
      <c r="AD364" s="48" t="str">
        <f aca="false">IF(N($S364)=0,"",$S364)</f>
        <v/>
      </c>
      <c r="AE364" s="49" t="str">
        <f aca="false">IF(AND($D364=客户对账单!$B$3,$B364&gt;=客户对账单!$E$3,$B364&lt;=客户对账单!$H$3),COUNTIFS($D$5:$D364,客户对账单!$B$3,$B$5:$B364,"&gt;="&amp;客户对账单!$E$3,$B$5:$B364,"&lt;="&amp;客户对账单!$H$3),"")</f>
        <v/>
      </c>
    </row>
    <row r="365" customFormat="false" ht="15.75" hidden="false" customHeight="true" outlineLevel="0" collapsed="false">
      <c r="A365" s="42" t="str">
        <f aca="false">IF($B365="","","XS"&amp;TEXT($B365,"yyyymm")&amp;"-"&amp;TEXT(ROW()-4,"000"))</f>
        <v/>
      </c>
      <c r="B365" s="41"/>
      <c r="C365" s="42" t="str">
        <f aca="false">IF($B365="","",TEXT($B365,"yyyy-mm"))</f>
        <v/>
      </c>
      <c r="D365" s="32"/>
      <c r="E365" s="36"/>
      <c r="F365" s="43"/>
      <c r="G365" s="40"/>
      <c r="H365" s="51"/>
      <c r="I365" s="33"/>
      <c r="J365" s="33"/>
      <c r="K365" s="36"/>
      <c r="L365" s="47" t="str">
        <f aca="false">IF($B365="","",IF(NOT(ISNUMBER($B365)),"日期不是日期格式",IF(YEAR($B365)&lt;&gt;首页!$B$3,"不在会计年度",IF($D365="","未选客户",IF(ISNA(MATCH($D365,基础资料!$Z$6:$Z$155,0)),"客户不在档案",IF($E365="","未选商品",IF(ISNA(MATCH($E365,基础资料!$Q$6:$Q$205,0)),"商品不在档案",IF(NOT(ISNUMBER($F365)),"数量须为数字",IF(NOT(ISNUMBER($G365)),"单价须为数字",IF(N($F365)&lt;=0,"数量须大于0",IF(AND(IFERROR(INDEX(基础资料!$V$6:$V$205,MATCH($E365,基础资料!$Q$6:$Q$205,0)),"")="是",N($R365)=0),"无成本价·请先录采购或填参考成本",IF(N($T365)&lt;0,"毛利为负·请核对","√"))))))))))))</f>
        <v/>
      </c>
      <c r="M365" s="49" t="str">
        <f aca="false">IF($E365="","",IFERROR(INDEX(基础资料!$R$6:$R$205,MATCH($E365,基础资料!$Q$6:$Q$205,0)),""))</f>
        <v/>
      </c>
      <c r="N365" s="49" t="str">
        <f aca="false">IF($E365="","",IFERROR(INDEX(基础资料!$S$6:$S$205,MATCH($E365,基础资料!$Q$6:$Q$205,0)),""))</f>
        <v/>
      </c>
      <c r="O365" s="48" t="str">
        <f aca="false">IF(OR($F365="",$G365=""),"",ROUND(N($F365)*N($G365),2))</f>
        <v/>
      </c>
      <c r="P365" s="48" t="str">
        <f aca="false">IF($O365="","",ROUND(N($O365)*N($H365),2))</f>
        <v/>
      </c>
      <c r="Q365" s="48" t="str">
        <f aca="false">IF($O365="","",N($O365)+N($P365))</f>
        <v/>
      </c>
      <c r="R365" s="48" t="str">
        <f aca="false">IF(OR($E365="",$B365=""),"",IF(IFERROR(INDEX(基础资料!$V$6:$V$205,MATCH($E365,基础资料!$Q$6:$Q$205,0)),"")&lt;&gt;"是",0,IFERROR((SUMIFS(期初数据!$T$6:$T$205,期初数据!$O$6:$O$205,$E365)+SUMIFS(采购录入!$Q$5:$Q$404,采购录入!$E$5:$E$404,$E365,采购录入!$I$5:$I$404,"是",采购录入!$B$5:$B$404,"&lt;="&amp;$B365))/(SUMIFS(期初数据!$R$6:$R$205,期初数据!$O$6:$O$205,$E365)+SUMIFS(采购录入!$F$5:$F$404,采购录入!$E$5:$E$404,$E365,采购录入!$I$5:$I$404,"是",采购录入!$B$5:$B$404,"&lt;="&amp;$B365)),IFERROR(INDEX(基础资料!$U$6:$U$205,MATCH($E365,基础资料!$Q$6:$Q$205,0)),0))))</f>
        <v/>
      </c>
      <c r="S365" s="48" t="str">
        <f aca="false">IF($O365="","",ROUND(N($F365)*N($R365),2))</f>
        <v/>
      </c>
      <c r="T365" s="48" t="str">
        <f aca="false">IF($O365="","",N($O365)-N($S365))</f>
        <v/>
      </c>
      <c r="U365" s="52" t="str">
        <f aca="false">IF(OR($B365="",$D365=""),"",$B365+N(IFERROR(INDEX(基础资料!$AB$6:$AB$155,MATCH($D365,基础资料!$Z$6:$Z$155,0)),0)))</f>
        <v/>
      </c>
      <c r="V365" s="49" t="str">
        <f aca="false">IF($O365="","","1122")</f>
        <v/>
      </c>
      <c r="W365" s="49" t="str">
        <f aca="false">IF($O365="","","6001")</f>
        <v/>
      </c>
      <c r="X365" s="48" t="str">
        <f aca="false">IF($O365="","",$O365)</f>
        <v/>
      </c>
      <c r="Y365" s="49" t="str">
        <f aca="false">IF(N($P365)=0,"","1122")</f>
        <v/>
      </c>
      <c r="Z365" s="49" t="str">
        <f aca="false">IF(N($P365)=0,"","2221")</f>
        <v/>
      </c>
      <c r="AA365" s="48" t="str">
        <f aca="false">IF(N($P365)=0,"",$P365)</f>
        <v/>
      </c>
      <c r="AB365" s="49" t="str">
        <f aca="false">IF(N($S365)=0,"","6401")</f>
        <v/>
      </c>
      <c r="AC365" s="49" t="str">
        <f aca="false">IF(N($S365)=0,"","1405")</f>
        <v/>
      </c>
      <c r="AD365" s="48" t="str">
        <f aca="false">IF(N($S365)=0,"",$S365)</f>
        <v/>
      </c>
      <c r="AE365" s="49" t="str">
        <f aca="false">IF(AND($D365=客户对账单!$B$3,$B365&gt;=客户对账单!$E$3,$B365&lt;=客户对账单!$H$3),COUNTIFS($D$5:$D365,客户对账单!$B$3,$B$5:$B365,"&gt;="&amp;客户对账单!$E$3,$B$5:$B365,"&lt;="&amp;客户对账单!$H$3),"")</f>
        <v/>
      </c>
    </row>
    <row r="366" customFormat="false" ht="15.75" hidden="false" customHeight="true" outlineLevel="0" collapsed="false">
      <c r="A366" s="42" t="str">
        <f aca="false">IF($B366="","","XS"&amp;TEXT($B366,"yyyymm")&amp;"-"&amp;TEXT(ROW()-4,"000"))</f>
        <v/>
      </c>
      <c r="B366" s="41"/>
      <c r="C366" s="42" t="str">
        <f aca="false">IF($B366="","",TEXT($B366,"yyyy-mm"))</f>
        <v/>
      </c>
      <c r="D366" s="32"/>
      <c r="E366" s="36"/>
      <c r="F366" s="43"/>
      <c r="G366" s="40"/>
      <c r="H366" s="51"/>
      <c r="I366" s="33"/>
      <c r="J366" s="33"/>
      <c r="K366" s="36"/>
      <c r="L366" s="47" t="str">
        <f aca="false">IF($B366="","",IF(NOT(ISNUMBER($B366)),"日期不是日期格式",IF(YEAR($B366)&lt;&gt;首页!$B$3,"不在会计年度",IF($D366="","未选客户",IF(ISNA(MATCH($D366,基础资料!$Z$6:$Z$155,0)),"客户不在档案",IF($E366="","未选商品",IF(ISNA(MATCH($E366,基础资料!$Q$6:$Q$205,0)),"商品不在档案",IF(NOT(ISNUMBER($F366)),"数量须为数字",IF(NOT(ISNUMBER($G366)),"单价须为数字",IF(N($F366)&lt;=0,"数量须大于0",IF(AND(IFERROR(INDEX(基础资料!$V$6:$V$205,MATCH($E366,基础资料!$Q$6:$Q$205,0)),"")="是",N($R366)=0),"无成本价·请先录采购或填参考成本",IF(N($T366)&lt;0,"毛利为负·请核对","√"))))))))))))</f>
        <v/>
      </c>
      <c r="M366" s="49" t="str">
        <f aca="false">IF($E366="","",IFERROR(INDEX(基础资料!$R$6:$R$205,MATCH($E366,基础资料!$Q$6:$Q$205,0)),""))</f>
        <v/>
      </c>
      <c r="N366" s="49" t="str">
        <f aca="false">IF($E366="","",IFERROR(INDEX(基础资料!$S$6:$S$205,MATCH($E366,基础资料!$Q$6:$Q$205,0)),""))</f>
        <v/>
      </c>
      <c r="O366" s="48" t="str">
        <f aca="false">IF(OR($F366="",$G366=""),"",ROUND(N($F366)*N($G366),2))</f>
        <v/>
      </c>
      <c r="P366" s="48" t="str">
        <f aca="false">IF($O366="","",ROUND(N($O366)*N($H366),2))</f>
        <v/>
      </c>
      <c r="Q366" s="48" t="str">
        <f aca="false">IF($O366="","",N($O366)+N($P366))</f>
        <v/>
      </c>
      <c r="R366" s="48" t="str">
        <f aca="false">IF(OR($E366="",$B366=""),"",IF(IFERROR(INDEX(基础资料!$V$6:$V$205,MATCH($E366,基础资料!$Q$6:$Q$205,0)),"")&lt;&gt;"是",0,IFERROR((SUMIFS(期初数据!$T$6:$T$205,期初数据!$O$6:$O$205,$E366)+SUMIFS(采购录入!$Q$5:$Q$404,采购录入!$E$5:$E$404,$E366,采购录入!$I$5:$I$404,"是",采购录入!$B$5:$B$404,"&lt;="&amp;$B366))/(SUMIFS(期初数据!$R$6:$R$205,期初数据!$O$6:$O$205,$E366)+SUMIFS(采购录入!$F$5:$F$404,采购录入!$E$5:$E$404,$E366,采购录入!$I$5:$I$404,"是",采购录入!$B$5:$B$404,"&lt;="&amp;$B366)),IFERROR(INDEX(基础资料!$U$6:$U$205,MATCH($E366,基础资料!$Q$6:$Q$205,0)),0))))</f>
        <v/>
      </c>
      <c r="S366" s="48" t="str">
        <f aca="false">IF($O366="","",ROUND(N($F366)*N($R366),2))</f>
        <v/>
      </c>
      <c r="T366" s="48" t="str">
        <f aca="false">IF($O366="","",N($O366)-N($S366))</f>
        <v/>
      </c>
      <c r="U366" s="52" t="str">
        <f aca="false">IF(OR($B366="",$D366=""),"",$B366+N(IFERROR(INDEX(基础资料!$AB$6:$AB$155,MATCH($D366,基础资料!$Z$6:$Z$155,0)),0)))</f>
        <v/>
      </c>
      <c r="V366" s="49" t="str">
        <f aca="false">IF($O366="","","1122")</f>
        <v/>
      </c>
      <c r="W366" s="49" t="str">
        <f aca="false">IF($O366="","","6001")</f>
        <v/>
      </c>
      <c r="X366" s="48" t="str">
        <f aca="false">IF($O366="","",$O366)</f>
        <v/>
      </c>
      <c r="Y366" s="49" t="str">
        <f aca="false">IF(N($P366)=0,"","1122")</f>
        <v/>
      </c>
      <c r="Z366" s="49" t="str">
        <f aca="false">IF(N($P366)=0,"","2221")</f>
        <v/>
      </c>
      <c r="AA366" s="48" t="str">
        <f aca="false">IF(N($P366)=0,"",$P366)</f>
        <v/>
      </c>
      <c r="AB366" s="49" t="str">
        <f aca="false">IF(N($S366)=0,"","6401")</f>
        <v/>
      </c>
      <c r="AC366" s="49" t="str">
        <f aca="false">IF(N($S366)=0,"","1405")</f>
        <v/>
      </c>
      <c r="AD366" s="48" t="str">
        <f aca="false">IF(N($S366)=0,"",$S366)</f>
        <v/>
      </c>
      <c r="AE366" s="49" t="str">
        <f aca="false">IF(AND($D366=客户对账单!$B$3,$B366&gt;=客户对账单!$E$3,$B366&lt;=客户对账单!$H$3),COUNTIFS($D$5:$D366,客户对账单!$B$3,$B$5:$B366,"&gt;="&amp;客户对账单!$E$3,$B$5:$B366,"&lt;="&amp;客户对账单!$H$3),"")</f>
        <v/>
      </c>
    </row>
    <row r="367" customFormat="false" ht="15.75" hidden="false" customHeight="true" outlineLevel="0" collapsed="false">
      <c r="A367" s="42" t="str">
        <f aca="false">IF($B367="","","XS"&amp;TEXT($B367,"yyyymm")&amp;"-"&amp;TEXT(ROW()-4,"000"))</f>
        <v/>
      </c>
      <c r="B367" s="41"/>
      <c r="C367" s="42" t="str">
        <f aca="false">IF($B367="","",TEXT($B367,"yyyy-mm"))</f>
        <v/>
      </c>
      <c r="D367" s="32"/>
      <c r="E367" s="36"/>
      <c r="F367" s="43"/>
      <c r="G367" s="40"/>
      <c r="H367" s="51"/>
      <c r="I367" s="33"/>
      <c r="J367" s="33"/>
      <c r="K367" s="36"/>
      <c r="L367" s="47" t="str">
        <f aca="false">IF($B367="","",IF(NOT(ISNUMBER($B367)),"日期不是日期格式",IF(YEAR($B367)&lt;&gt;首页!$B$3,"不在会计年度",IF($D367="","未选客户",IF(ISNA(MATCH($D367,基础资料!$Z$6:$Z$155,0)),"客户不在档案",IF($E367="","未选商品",IF(ISNA(MATCH($E367,基础资料!$Q$6:$Q$205,0)),"商品不在档案",IF(NOT(ISNUMBER($F367)),"数量须为数字",IF(NOT(ISNUMBER($G367)),"单价须为数字",IF(N($F367)&lt;=0,"数量须大于0",IF(AND(IFERROR(INDEX(基础资料!$V$6:$V$205,MATCH($E367,基础资料!$Q$6:$Q$205,0)),"")="是",N($R367)=0),"无成本价·请先录采购或填参考成本",IF(N($T367)&lt;0,"毛利为负·请核对","√"))))))))))))</f>
        <v/>
      </c>
      <c r="M367" s="49" t="str">
        <f aca="false">IF($E367="","",IFERROR(INDEX(基础资料!$R$6:$R$205,MATCH($E367,基础资料!$Q$6:$Q$205,0)),""))</f>
        <v/>
      </c>
      <c r="N367" s="49" t="str">
        <f aca="false">IF($E367="","",IFERROR(INDEX(基础资料!$S$6:$S$205,MATCH($E367,基础资料!$Q$6:$Q$205,0)),""))</f>
        <v/>
      </c>
      <c r="O367" s="48" t="str">
        <f aca="false">IF(OR($F367="",$G367=""),"",ROUND(N($F367)*N($G367),2))</f>
        <v/>
      </c>
      <c r="P367" s="48" t="str">
        <f aca="false">IF($O367="","",ROUND(N($O367)*N($H367),2))</f>
        <v/>
      </c>
      <c r="Q367" s="48" t="str">
        <f aca="false">IF($O367="","",N($O367)+N($P367))</f>
        <v/>
      </c>
      <c r="R367" s="48" t="str">
        <f aca="false">IF(OR($E367="",$B367=""),"",IF(IFERROR(INDEX(基础资料!$V$6:$V$205,MATCH($E367,基础资料!$Q$6:$Q$205,0)),"")&lt;&gt;"是",0,IFERROR((SUMIFS(期初数据!$T$6:$T$205,期初数据!$O$6:$O$205,$E367)+SUMIFS(采购录入!$Q$5:$Q$404,采购录入!$E$5:$E$404,$E367,采购录入!$I$5:$I$404,"是",采购录入!$B$5:$B$404,"&lt;="&amp;$B367))/(SUMIFS(期初数据!$R$6:$R$205,期初数据!$O$6:$O$205,$E367)+SUMIFS(采购录入!$F$5:$F$404,采购录入!$E$5:$E$404,$E367,采购录入!$I$5:$I$404,"是",采购录入!$B$5:$B$404,"&lt;="&amp;$B367)),IFERROR(INDEX(基础资料!$U$6:$U$205,MATCH($E367,基础资料!$Q$6:$Q$205,0)),0))))</f>
        <v/>
      </c>
      <c r="S367" s="48" t="str">
        <f aca="false">IF($O367="","",ROUND(N($F367)*N($R367),2))</f>
        <v/>
      </c>
      <c r="T367" s="48" t="str">
        <f aca="false">IF($O367="","",N($O367)-N($S367))</f>
        <v/>
      </c>
      <c r="U367" s="52" t="str">
        <f aca="false">IF(OR($B367="",$D367=""),"",$B367+N(IFERROR(INDEX(基础资料!$AB$6:$AB$155,MATCH($D367,基础资料!$Z$6:$Z$155,0)),0)))</f>
        <v/>
      </c>
      <c r="V367" s="49" t="str">
        <f aca="false">IF($O367="","","1122")</f>
        <v/>
      </c>
      <c r="W367" s="49" t="str">
        <f aca="false">IF($O367="","","6001")</f>
        <v/>
      </c>
      <c r="X367" s="48" t="str">
        <f aca="false">IF($O367="","",$O367)</f>
        <v/>
      </c>
      <c r="Y367" s="49" t="str">
        <f aca="false">IF(N($P367)=0,"","1122")</f>
        <v/>
      </c>
      <c r="Z367" s="49" t="str">
        <f aca="false">IF(N($P367)=0,"","2221")</f>
        <v/>
      </c>
      <c r="AA367" s="48" t="str">
        <f aca="false">IF(N($P367)=0,"",$P367)</f>
        <v/>
      </c>
      <c r="AB367" s="49" t="str">
        <f aca="false">IF(N($S367)=0,"","6401")</f>
        <v/>
      </c>
      <c r="AC367" s="49" t="str">
        <f aca="false">IF(N($S367)=0,"","1405")</f>
        <v/>
      </c>
      <c r="AD367" s="48" t="str">
        <f aca="false">IF(N($S367)=0,"",$S367)</f>
        <v/>
      </c>
      <c r="AE367" s="49" t="str">
        <f aca="false">IF(AND($D367=客户对账单!$B$3,$B367&gt;=客户对账单!$E$3,$B367&lt;=客户对账单!$H$3),COUNTIFS($D$5:$D367,客户对账单!$B$3,$B$5:$B367,"&gt;="&amp;客户对账单!$E$3,$B$5:$B367,"&lt;="&amp;客户对账单!$H$3),"")</f>
        <v/>
      </c>
    </row>
    <row r="368" customFormat="false" ht="15.75" hidden="false" customHeight="true" outlineLevel="0" collapsed="false">
      <c r="A368" s="42" t="str">
        <f aca="false">IF($B368="","","XS"&amp;TEXT($B368,"yyyymm")&amp;"-"&amp;TEXT(ROW()-4,"000"))</f>
        <v/>
      </c>
      <c r="B368" s="41"/>
      <c r="C368" s="42" t="str">
        <f aca="false">IF($B368="","",TEXT($B368,"yyyy-mm"))</f>
        <v/>
      </c>
      <c r="D368" s="32"/>
      <c r="E368" s="36"/>
      <c r="F368" s="43"/>
      <c r="G368" s="40"/>
      <c r="H368" s="51"/>
      <c r="I368" s="33"/>
      <c r="J368" s="33"/>
      <c r="K368" s="36"/>
      <c r="L368" s="47" t="str">
        <f aca="false">IF($B368="","",IF(NOT(ISNUMBER($B368)),"日期不是日期格式",IF(YEAR($B368)&lt;&gt;首页!$B$3,"不在会计年度",IF($D368="","未选客户",IF(ISNA(MATCH($D368,基础资料!$Z$6:$Z$155,0)),"客户不在档案",IF($E368="","未选商品",IF(ISNA(MATCH($E368,基础资料!$Q$6:$Q$205,0)),"商品不在档案",IF(NOT(ISNUMBER($F368)),"数量须为数字",IF(NOT(ISNUMBER($G368)),"单价须为数字",IF(N($F368)&lt;=0,"数量须大于0",IF(AND(IFERROR(INDEX(基础资料!$V$6:$V$205,MATCH($E368,基础资料!$Q$6:$Q$205,0)),"")="是",N($R368)=0),"无成本价·请先录采购或填参考成本",IF(N($T368)&lt;0,"毛利为负·请核对","√"))))))))))))</f>
        <v/>
      </c>
      <c r="M368" s="49" t="str">
        <f aca="false">IF($E368="","",IFERROR(INDEX(基础资料!$R$6:$R$205,MATCH($E368,基础资料!$Q$6:$Q$205,0)),""))</f>
        <v/>
      </c>
      <c r="N368" s="49" t="str">
        <f aca="false">IF($E368="","",IFERROR(INDEX(基础资料!$S$6:$S$205,MATCH($E368,基础资料!$Q$6:$Q$205,0)),""))</f>
        <v/>
      </c>
      <c r="O368" s="48" t="str">
        <f aca="false">IF(OR($F368="",$G368=""),"",ROUND(N($F368)*N($G368),2))</f>
        <v/>
      </c>
      <c r="P368" s="48" t="str">
        <f aca="false">IF($O368="","",ROUND(N($O368)*N($H368),2))</f>
        <v/>
      </c>
      <c r="Q368" s="48" t="str">
        <f aca="false">IF($O368="","",N($O368)+N($P368))</f>
        <v/>
      </c>
      <c r="R368" s="48" t="str">
        <f aca="false">IF(OR($E368="",$B368=""),"",IF(IFERROR(INDEX(基础资料!$V$6:$V$205,MATCH($E368,基础资料!$Q$6:$Q$205,0)),"")&lt;&gt;"是",0,IFERROR((SUMIFS(期初数据!$T$6:$T$205,期初数据!$O$6:$O$205,$E368)+SUMIFS(采购录入!$Q$5:$Q$404,采购录入!$E$5:$E$404,$E368,采购录入!$I$5:$I$404,"是",采购录入!$B$5:$B$404,"&lt;="&amp;$B368))/(SUMIFS(期初数据!$R$6:$R$205,期初数据!$O$6:$O$205,$E368)+SUMIFS(采购录入!$F$5:$F$404,采购录入!$E$5:$E$404,$E368,采购录入!$I$5:$I$404,"是",采购录入!$B$5:$B$404,"&lt;="&amp;$B368)),IFERROR(INDEX(基础资料!$U$6:$U$205,MATCH($E368,基础资料!$Q$6:$Q$205,0)),0))))</f>
        <v/>
      </c>
      <c r="S368" s="48" t="str">
        <f aca="false">IF($O368="","",ROUND(N($F368)*N($R368),2))</f>
        <v/>
      </c>
      <c r="T368" s="48" t="str">
        <f aca="false">IF($O368="","",N($O368)-N($S368))</f>
        <v/>
      </c>
      <c r="U368" s="52" t="str">
        <f aca="false">IF(OR($B368="",$D368=""),"",$B368+N(IFERROR(INDEX(基础资料!$AB$6:$AB$155,MATCH($D368,基础资料!$Z$6:$Z$155,0)),0)))</f>
        <v/>
      </c>
      <c r="V368" s="49" t="str">
        <f aca="false">IF($O368="","","1122")</f>
        <v/>
      </c>
      <c r="W368" s="49" t="str">
        <f aca="false">IF($O368="","","6001")</f>
        <v/>
      </c>
      <c r="X368" s="48" t="str">
        <f aca="false">IF($O368="","",$O368)</f>
        <v/>
      </c>
      <c r="Y368" s="49" t="str">
        <f aca="false">IF(N($P368)=0,"","1122")</f>
        <v/>
      </c>
      <c r="Z368" s="49" t="str">
        <f aca="false">IF(N($P368)=0,"","2221")</f>
        <v/>
      </c>
      <c r="AA368" s="48" t="str">
        <f aca="false">IF(N($P368)=0,"",$P368)</f>
        <v/>
      </c>
      <c r="AB368" s="49" t="str">
        <f aca="false">IF(N($S368)=0,"","6401")</f>
        <v/>
      </c>
      <c r="AC368" s="49" t="str">
        <f aca="false">IF(N($S368)=0,"","1405")</f>
        <v/>
      </c>
      <c r="AD368" s="48" t="str">
        <f aca="false">IF(N($S368)=0,"",$S368)</f>
        <v/>
      </c>
      <c r="AE368" s="49" t="str">
        <f aca="false">IF(AND($D368=客户对账单!$B$3,$B368&gt;=客户对账单!$E$3,$B368&lt;=客户对账单!$H$3),COUNTIFS($D$5:$D368,客户对账单!$B$3,$B$5:$B368,"&gt;="&amp;客户对账单!$E$3,$B$5:$B368,"&lt;="&amp;客户对账单!$H$3),"")</f>
        <v/>
      </c>
    </row>
    <row r="369" customFormat="false" ht="15.75" hidden="false" customHeight="true" outlineLevel="0" collapsed="false">
      <c r="A369" s="42" t="str">
        <f aca="false">IF($B369="","","XS"&amp;TEXT($B369,"yyyymm")&amp;"-"&amp;TEXT(ROW()-4,"000"))</f>
        <v/>
      </c>
      <c r="B369" s="41"/>
      <c r="C369" s="42" t="str">
        <f aca="false">IF($B369="","",TEXT($B369,"yyyy-mm"))</f>
        <v/>
      </c>
      <c r="D369" s="32"/>
      <c r="E369" s="36"/>
      <c r="F369" s="43"/>
      <c r="G369" s="40"/>
      <c r="H369" s="51"/>
      <c r="I369" s="33"/>
      <c r="J369" s="33"/>
      <c r="K369" s="36"/>
      <c r="L369" s="47" t="str">
        <f aca="false">IF($B369="","",IF(NOT(ISNUMBER($B369)),"日期不是日期格式",IF(YEAR($B369)&lt;&gt;首页!$B$3,"不在会计年度",IF($D369="","未选客户",IF(ISNA(MATCH($D369,基础资料!$Z$6:$Z$155,0)),"客户不在档案",IF($E369="","未选商品",IF(ISNA(MATCH($E369,基础资料!$Q$6:$Q$205,0)),"商品不在档案",IF(NOT(ISNUMBER($F369)),"数量须为数字",IF(NOT(ISNUMBER($G369)),"单价须为数字",IF(N($F369)&lt;=0,"数量须大于0",IF(AND(IFERROR(INDEX(基础资料!$V$6:$V$205,MATCH($E369,基础资料!$Q$6:$Q$205,0)),"")="是",N($R369)=0),"无成本价·请先录采购或填参考成本",IF(N($T369)&lt;0,"毛利为负·请核对","√"))))))))))))</f>
        <v/>
      </c>
      <c r="M369" s="49" t="str">
        <f aca="false">IF($E369="","",IFERROR(INDEX(基础资料!$R$6:$R$205,MATCH($E369,基础资料!$Q$6:$Q$205,0)),""))</f>
        <v/>
      </c>
      <c r="N369" s="49" t="str">
        <f aca="false">IF($E369="","",IFERROR(INDEX(基础资料!$S$6:$S$205,MATCH($E369,基础资料!$Q$6:$Q$205,0)),""))</f>
        <v/>
      </c>
      <c r="O369" s="48" t="str">
        <f aca="false">IF(OR($F369="",$G369=""),"",ROUND(N($F369)*N($G369),2))</f>
        <v/>
      </c>
      <c r="P369" s="48" t="str">
        <f aca="false">IF($O369="","",ROUND(N($O369)*N($H369),2))</f>
        <v/>
      </c>
      <c r="Q369" s="48" t="str">
        <f aca="false">IF($O369="","",N($O369)+N($P369))</f>
        <v/>
      </c>
      <c r="R369" s="48" t="str">
        <f aca="false">IF(OR($E369="",$B369=""),"",IF(IFERROR(INDEX(基础资料!$V$6:$V$205,MATCH($E369,基础资料!$Q$6:$Q$205,0)),"")&lt;&gt;"是",0,IFERROR((SUMIFS(期初数据!$T$6:$T$205,期初数据!$O$6:$O$205,$E369)+SUMIFS(采购录入!$Q$5:$Q$404,采购录入!$E$5:$E$404,$E369,采购录入!$I$5:$I$404,"是",采购录入!$B$5:$B$404,"&lt;="&amp;$B369))/(SUMIFS(期初数据!$R$6:$R$205,期初数据!$O$6:$O$205,$E369)+SUMIFS(采购录入!$F$5:$F$404,采购录入!$E$5:$E$404,$E369,采购录入!$I$5:$I$404,"是",采购录入!$B$5:$B$404,"&lt;="&amp;$B369)),IFERROR(INDEX(基础资料!$U$6:$U$205,MATCH($E369,基础资料!$Q$6:$Q$205,0)),0))))</f>
        <v/>
      </c>
      <c r="S369" s="48" t="str">
        <f aca="false">IF($O369="","",ROUND(N($F369)*N($R369),2))</f>
        <v/>
      </c>
      <c r="T369" s="48" t="str">
        <f aca="false">IF($O369="","",N($O369)-N($S369))</f>
        <v/>
      </c>
      <c r="U369" s="52" t="str">
        <f aca="false">IF(OR($B369="",$D369=""),"",$B369+N(IFERROR(INDEX(基础资料!$AB$6:$AB$155,MATCH($D369,基础资料!$Z$6:$Z$155,0)),0)))</f>
        <v/>
      </c>
      <c r="V369" s="49" t="str">
        <f aca="false">IF($O369="","","1122")</f>
        <v/>
      </c>
      <c r="W369" s="49" t="str">
        <f aca="false">IF($O369="","","6001")</f>
        <v/>
      </c>
      <c r="X369" s="48" t="str">
        <f aca="false">IF($O369="","",$O369)</f>
        <v/>
      </c>
      <c r="Y369" s="49" t="str">
        <f aca="false">IF(N($P369)=0,"","1122")</f>
        <v/>
      </c>
      <c r="Z369" s="49" t="str">
        <f aca="false">IF(N($P369)=0,"","2221")</f>
        <v/>
      </c>
      <c r="AA369" s="48" t="str">
        <f aca="false">IF(N($P369)=0,"",$P369)</f>
        <v/>
      </c>
      <c r="AB369" s="49" t="str">
        <f aca="false">IF(N($S369)=0,"","6401")</f>
        <v/>
      </c>
      <c r="AC369" s="49" t="str">
        <f aca="false">IF(N($S369)=0,"","1405")</f>
        <v/>
      </c>
      <c r="AD369" s="48" t="str">
        <f aca="false">IF(N($S369)=0,"",$S369)</f>
        <v/>
      </c>
      <c r="AE369" s="49" t="str">
        <f aca="false">IF(AND($D369=客户对账单!$B$3,$B369&gt;=客户对账单!$E$3,$B369&lt;=客户对账单!$H$3),COUNTIFS($D$5:$D369,客户对账单!$B$3,$B$5:$B369,"&gt;="&amp;客户对账单!$E$3,$B$5:$B369,"&lt;="&amp;客户对账单!$H$3),"")</f>
        <v/>
      </c>
    </row>
    <row r="370" customFormat="false" ht="15.75" hidden="false" customHeight="true" outlineLevel="0" collapsed="false">
      <c r="A370" s="42" t="str">
        <f aca="false">IF($B370="","","XS"&amp;TEXT($B370,"yyyymm")&amp;"-"&amp;TEXT(ROW()-4,"000"))</f>
        <v/>
      </c>
      <c r="B370" s="41"/>
      <c r="C370" s="42" t="str">
        <f aca="false">IF($B370="","",TEXT($B370,"yyyy-mm"))</f>
        <v/>
      </c>
      <c r="D370" s="32"/>
      <c r="E370" s="36"/>
      <c r="F370" s="43"/>
      <c r="G370" s="40"/>
      <c r="H370" s="51"/>
      <c r="I370" s="33"/>
      <c r="J370" s="33"/>
      <c r="K370" s="36"/>
      <c r="L370" s="47" t="str">
        <f aca="false">IF($B370="","",IF(NOT(ISNUMBER($B370)),"日期不是日期格式",IF(YEAR($B370)&lt;&gt;首页!$B$3,"不在会计年度",IF($D370="","未选客户",IF(ISNA(MATCH($D370,基础资料!$Z$6:$Z$155,0)),"客户不在档案",IF($E370="","未选商品",IF(ISNA(MATCH($E370,基础资料!$Q$6:$Q$205,0)),"商品不在档案",IF(NOT(ISNUMBER($F370)),"数量须为数字",IF(NOT(ISNUMBER($G370)),"单价须为数字",IF(N($F370)&lt;=0,"数量须大于0",IF(AND(IFERROR(INDEX(基础资料!$V$6:$V$205,MATCH($E370,基础资料!$Q$6:$Q$205,0)),"")="是",N($R370)=0),"无成本价·请先录采购或填参考成本",IF(N($T370)&lt;0,"毛利为负·请核对","√"))))))))))))</f>
        <v/>
      </c>
      <c r="M370" s="49" t="str">
        <f aca="false">IF($E370="","",IFERROR(INDEX(基础资料!$R$6:$R$205,MATCH($E370,基础资料!$Q$6:$Q$205,0)),""))</f>
        <v/>
      </c>
      <c r="N370" s="49" t="str">
        <f aca="false">IF($E370="","",IFERROR(INDEX(基础资料!$S$6:$S$205,MATCH($E370,基础资料!$Q$6:$Q$205,0)),""))</f>
        <v/>
      </c>
      <c r="O370" s="48" t="str">
        <f aca="false">IF(OR($F370="",$G370=""),"",ROUND(N($F370)*N($G370),2))</f>
        <v/>
      </c>
      <c r="P370" s="48" t="str">
        <f aca="false">IF($O370="","",ROUND(N($O370)*N($H370),2))</f>
        <v/>
      </c>
      <c r="Q370" s="48" t="str">
        <f aca="false">IF($O370="","",N($O370)+N($P370))</f>
        <v/>
      </c>
      <c r="R370" s="48" t="str">
        <f aca="false">IF(OR($E370="",$B370=""),"",IF(IFERROR(INDEX(基础资料!$V$6:$V$205,MATCH($E370,基础资料!$Q$6:$Q$205,0)),"")&lt;&gt;"是",0,IFERROR((SUMIFS(期初数据!$T$6:$T$205,期初数据!$O$6:$O$205,$E370)+SUMIFS(采购录入!$Q$5:$Q$404,采购录入!$E$5:$E$404,$E370,采购录入!$I$5:$I$404,"是",采购录入!$B$5:$B$404,"&lt;="&amp;$B370))/(SUMIFS(期初数据!$R$6:$R$205,期初数据!$O$6:$O$205,$E370)+SUMIFS(采购录入!$F$5:$F$404,采购录入!$E$5:$E$404,$E370,采购录入!$I$5:$I$404,"是",采购录入!$B$5:$B$404,"&lt;="&amp;$B370)),IFERROR(INDEX(基础资料!$U$6:$U$205,MATCH($E370,基础资料!$Q$6:$Q$205,0)),0))))</f>
        <v/>
      </c>
      <c r="S370" s="48" t="str">
        <f aca="false">IF($O370="","",ROUND(N($F370)*N($R370),2))</f>
        <v/>
      </c>
      <c r="T370" s="48" t="str">
        <f aca="false">IF($O370="","",N($O370)-N($S370))</f>
        <v/>
      </c>
      <c r="U370" s="52" t="str">
        <f aca="false">IF(OR($B370="",$D370=""),"",$B370+N(IFERROR(INDEX(基础资料!$AB$6:$AB$155,MATCH($D370,基础资料!$Z$6:$Z$155,0)),0)))</f>
        <v/>
      </c>
      <c r="V370" s="49" t="str">
        <f aca="false">IF($O370="","","1122")</f>
        <v/>
      </c>
      <c r="W370" s="49" t="str">
        <f aca="false">IF($O370="","","6001")</f>
        <v/>
      </c>
      <c r="X370" s="48" t="str">
        <f aca="false">IF($O370="","",$O370)</f>
        <v/>
      </c>
      <c r="Y370" s="49" t="str">
        <f aca="false">IF(N($P370)=0,"","1122")</f>
        <v/>
      </c>
      <c r="Z370" s="49" t="str">
        <f aca="false">IF(N($P370)=0,"","2221")</f>
        <v/>
      </c>
      <c r="AA370" s="48" t="str">
        <f aca="false">IF(N($P370)=0,"",$P370)</f>
        <v/>
      </c>
      <c r="AB370" s="49" t="str">
        <f aca="false">IF(N($S370)=0,"","6401")</f>
        <v/>
      </c>
      <c r="AC370" s="49" t="str">
        <f aca="false">IF(N($S370)=0,"","1405")</f>
        <v/>
      </c>
      <c r="AD370" s="48" t="str">
        <f aca="false">IF(N($S370)=0,"",$S370)</f>
        <v/>
      </c>
      <c r="AE370" s="49" t="str">
        <f aca="false">IF(AND($D370=客户对账单!$B$3,$B370&gt;=客户对账单!$E$3,$B370&lt;=客户对账单!$H$3),COUNTIFS($D$5:$D370,客户对账单!$B$3,$B$5:$B370,"&gt;="&amp;客户对账单!$E$3,$B$5:$B370,"&lt;="&amp;客户对账单!$H$3),"")</f>
        <v/>
      </c>
    </row>
    <row r="371" customFormat="false" ht="15.75" hidden="false" customHeight="true" outlineLevel="0" collapsed="false">
      <c r="A371" s="42" t="str">
        <f aca="false">IF($B371="","","XS"&amp;TEXT($B371,"yyyymm")&amp;"-"&amp;TEXT(ROW()-4,"000"))</f>
        <v/>
      </c>
      <c r="B371" s="41"/>
      <c r="C371" s="42" t="str">
        <f aca="false">IF($B371="","",TEXT($B371,"yyyy-mm"))</f>
        <v/>
      </c>
      <c r="D371" s="32"/>
      <c r="E371" s="36"/>
      <c r="F371" s="43"/>
      <c r="G371" s="40"/>
      <c r="H371" s="51"/>
      <c r="I371" s="33"/>
      <c r="J371" s="33"/>
      <c r="K371" s="36"/>
      <c r="L371" s="47" t="str">
        <f aca="false">IF($B371="","",IF(NOT(ISNUMBER($B371)),"日期不是日期格式",IF(YEAR($B371)&lt;&gt;首页!$B$3,"不在会计年度",IF($D371="","未选客户",IF(ISNA(MATCH($D371,基础资料!$Z$6:$Z$155,0)),"客户不在档案",IF($E371="","未选商品",IF(ISNA(MATCH($E371,基础资料!$Q$6:$Q$205,0)),"商品不在档案",IF(NOT(ISNUMBER($F371)),"数量须为数字",IF(NOT(ISNUMBER($G371)),"单价须为数字",IF(N($F371)&lt;=0,"数量须大于0",IF(AND(IFERROR(INDEX(基础资料!$V$6:$V$205,MATCH($E371,基础资料!$Q$6:$Q$205,0)),"")="是",N($R371)=0),"无成本价·请先录采购或填参考成本",IF(N($T371)&lt;0,"毛利为负·请核对","√"))))))))))))</f>
        <v/>
      </c>
      <c r="M371" s="49" t="str">
        <f aca="false">IF($E371="","",IFERROR(INDEX(基础资料!$R$6:$R$205,MATCH($E371,基础资料!$Q$6:$Q$205,0)),""))</f>
        <v/>
      </c>
      <c r="N371" s="49" t="str">
        <f aca="false">IF($E371="","",IFERROR(INDEX(基础资料!$S$6:$S$205,MATCH($E371,基础资料!$Q$6:$Q$205,0)),""))</f>
        <v/>
      </c>
      <c r="O371" s="48" t="str">
        <f aca="false">IF(OR($F371="",$G371=""),"",ROUND(N($F371)*N($G371),2))</f>
        <v/>
      </c>
      <c r="P371" s="48" t="str">
        <f aca="false">IF($O371="","",ROUND(N($O371)*N($H371),2))</f>
        <v/>
      </c>
      <c r="Q371" s="48" t="str">
        <f aca="false">IF($O371="","",N($O371)+N($P371))</f>
        <v/>
      </c>
      <c r="R371" s="48" t="str">
        <f aca="false">IF(OR($E371="",$B371=""),"",IF(IFERROR(INDEX(基础资料!$V$6:$V$205,MATCH($E371,基础资料!$Q$6:$Q$205,0)),"")&lt;&gt;"是",0,IFERROR((SUMIFS(期初数据!$T$6:$T$205,期初数据!$O$6:$O$205,$E371)+SUMIFS(采购录入!$Q$5:$Q$404,采购录入!$E$5:$E$404,$E371,采购录入!$I$5:$I$404,"是",采购录入!$B$5:$B$404,"&lt;="&amp;$B371))/(SUMIFS(期初数据!$R$6:$R$205,期初数据!$O$6:$O$205,$E371)+SUMIFS(采购录入!$F$5:$F$404,采购录入!$E$5:$E$404,$E371,采购录入!$I$5:$I$404,"是",采购录入!$B$5:$B$404,"&lt;="&amp;$B371)),IFERROR(INDEX(基础资料!$U$6:$U$205,MATCH($E371,基础资料!$Q$6:$Q$205,0)),0))))</f>
        <v/>
      </c>
      <c r="S371" s="48" t="str">
        <f aca="false">IF($O371="","",ROUND(N($F371)*N($R371),2))</f>
        <v/>
      </c>
      <c r="T371" s="48" t="str">
        <f aca="false">IF($O371="","",N($O371)-N($S371))</f>
        <v/>
      </c>
      <c r="U371" s="52" t="str">
        <f aca="false">IF(OR($B371="",$D371=""),"",$B371+N(IFERROR(INDEX(基础资料!$AB$6:$AB$155,MATCH($D371,基础资料!$Z$6:$Z$155,0)),0)))</f>
        <v/>
      </c>
      <c r="V371" s="49" t="str">
        <f aca="false">IF($O371="","","1122")</f>
        <v/>
      </c>
      <c r="W371" s="49" t="str">
        <f aca="false">IF($O371="","","6001")</f>
        <v/>
      </c>
      <c r="X371" s="48" t="str">
        <f aca="false">IF($O371="","",$O371)</f>
        <v/>
      </c>
      <c r="Y371" s="49" t="str">
        <f aca="false">IF(N($P371)=0,"","1122")</f>
        <v/>
      </c>
      <c r="Z371" s="49" t="str">
        <f aca="false">IF(N($P371)=0,"","2221")</f>
        <v/>
      </c>
      <c r="AA371" s="48" t="str">
        <f aca="false">IF(N($P371)=0,"",$P371)</f>
        <v/>
      </c>
      <c r="AB371" s="49" t="str">
        <f aca="false">IF(N($S371)=0,"","6401")</f>
        <v/>
      </c>
      <c r="AC371" s="49" t="str">
        <f aca="false">IF(N($S371)=0,"","1405")</f>
        <v/>
      </c>
      <c r="AD371" s="48" t="str">
        <f aca="false">IF(N($S371)=0,"",$S371)</f>
        <v/>
      </c>
      <c r="AE371" s="49" t="str">
        <f aca="false">IF(AND($D371=客户对账单!$B$3,$B371&gt;=客户对账单!$E$3,$B371&lt;=客户对账单!$H$3),COUNTIFS($D$5:$D371,客户对账单!$B$3,$B$5:$B371,"&gt;="&amp;客户对账单!$E$3,$B$5:$B371,"&lt;="&amp;客户对账单!$H$3),"")</f>
        <v/>
      </c>
    </row>
    <row r="372" customFormat="false" ht="15.75" hidden="false" customHeight="true" outlineLevel="0" collapsed="false">
      <c r="A372" s="42" t="str">
        <f aca="false">IF($B372="","","XS"&amp;TEXT($B372,"yyyymm")&amp;"-"&amp;TEXT(ROW()-4,"000"))</f>
        <v/>
      </c>
      <c r="B372" s="41"/>
      <c r="C372" s="42" t="str">
        <f aca="false">IF($B372="","",TEXT($B372,"yyyy-mm"))</f>
        <v/>
      </c>
      <c r="D372" s="32"/>
      <c r="E372" s="36"/>
      <c r="F372" s="43"/>
      <c r="G372" s="40"/>
      <c r="H372" s="51"/>
      <c r="I372" s="33"/>
      <c r="J372" s="33"/>
      <c r="K372" s="36"/>
      <c r="L372" s="47" t="str">
        <f aca="false">IF($B372="","",IF(NOT(ISNUMBER($B372)),"日期不是日期格式",IF(YEAR($B372)&lt;&gt;首页!$B$3,"不在会计年度",IF($D372="","未选客户",IF(ISNA(MATCH($D372,基础资料!$Z$6:$Z$155,0)),"客户不在档案",IF($E372="","未选商品",IF(ISNA(MATCH($E372,基础资料!$Q$6:$Q$205,0)),"商品不在档案",IF(NOT(ISNUMBER($F372)),"数量须为数字",IF(NOT(ISNUMBER($G372)),"单价须为数字",IF(N($F372)&lt;=0,"数量须大于0",IF(AND(IFERROR(INDEX(基础资料!$V$6:$V$205,MATCH($E372,基础资料!$Q$6:$Q$205,0)),"")="是",N($R372)=0),"无成本价·请先录采购或填参考成本",IF(N($T372)&lt;0,"毛利为负·请核对","√"))))))))))))</f>
        <v/>
      </c>
      <c r="M372" s="49" t="str">
        <f aca="false">IF($E372="","",IFERROR(INDEX(基础资料!$R$6:$R$205,MATCH($E372,基础资料!$Q$6:$Q$205,0)),""))</f>
        <v/>
      </c>
      <c r="N372" s="49" t="str">
        <f aca="false">IF($E372="","",IFERROR(INDEX(基础资料!$S$6:$S$205,MATCH($E372,基础资料!$Q$6:$Q$205,0)),""))</f>
        <v/>
      </c>
      <c r="O372" s="48" t="str">
        <f aca="false">IF(OR($F372="",$G372=""),"",ROUND(N($F372)*N($G372),2))</f>
        <v/>
      </c>
      <c r="P372" s="48" t="str">
        <f aca="false">IF($O372="","",ROUND(N($O372)*N($H372),2))</f>
        <v/>
      </c>
      <c r="Q372" s="48" t="str">
        <f aca="false">IF($O372="","",N($O372)+N($P372))</f>
        <v/>
      </c>
      <c r="R372" s="48" t="str">
        <f aca="false">IF(OR($E372="",$B372=""),"",IF(IFERROR(INDEX(基础资料!$V$6:$V$205,MATCH($E372,基础资料!$Q$6:$Q$205,0)),"")&lt;&gt;"是",0,IFERROR((SUMIFS(期初数据!$T$6:$T$205,期初数据!$O$6:$O$205,$E372)+SUMIFS(采购录入!$Q$5:$Q$404,采购录入!$E$5:$E$404,$E372,采购录入!$I$5:$I$404,"是",采购录入!$B$5:$B$404,"&lt;="&amp;$B372))/(SUMIFS(期初数据!$R$6:$R$205,期初数据!$O$6:$O$205,$E372)+SUMIFS(采购录入!$F$5:$F$404,采购录入!$E$5:$E$404,$E372,采购录入!$I$5:$I$404,"是",采购录入!$B$5:$B$404,"&lt;="&amp;$B372)),IFERROR(INDEX(基础资料!$U$6:$U$205,MATCH($E372,基础资料!$Q$6:$Q$205,0)),0))))</f>
        <v/>
      </c>
      <c r="S372" s="48" t="str">
        <f aca="false">IF($O372="","",ROUND(N($F372)*N($R372),2))</f>
        <v/>
      </c>
      <c r="T372" s="48" t="str">
        <f aca="false">IF($O372="","",N($O372)-N($S372))</f>
        <v/>
      </c>
      <c r="U372" s="52" t="str">
        <f aca="false">IF(OR($B372="",$D372=""),"",$B372+N(IFERROR(INDEX(基础资料!$AB$6:$AB$155,MATCH($D372,基础资料!$Z$6:$Z$155,0)),0)))</f>
        <v/>
      </c>
      <c r="V372" s="49" t="str">
        <f aca="false">IF($O372="","","1122")</f>
        <v/>
      </c>
      <c r="W372" s="49" t="str">
        <f aca="false">IF($O372="","","6001")</f>
        <v/>
      </c>
      <c r="X372" s="48" t="str">
        <f aca="false">IF($O372="","",$O372)</f>
        <v/>
      </c>
      <c r="Y372" s="49" t="str">
        <f aca="false">IF(N($P372)=0,"","1122")</f>
        <v/>
      </c>
      <c r="Z372" s="49" t="str">
        <f aca="false">IF(N($P372)=0,"","2221")</f>
        <v/>
      </c>
      <c r="AA372" s="48" t="str">
        <f aca="false">IF(N($P372)=0,"",$P372)</f>
        <v/>
      </c>
      <c r="AB372" s="49" t="str">
        <f aca="false">IF(N($S372)=0,"","6401")</f>
        <v/>
      </c>
      <c r="AC372" s="49" t="str">
        <f aca="false">IF(N($S372)=0,"","1405")</f>
        <v/>
      </c>
      <c r="AD372" s="48" t="str">
        <f aca="false">IF(N($S372)=0,"",$S372)</f>
        <v/>
      </c>
      <c r="AE372" s="49" t="str">
        <f aca="false">IF(AND($D372=客户对账单!$B$3,$B372&gt;=客户对账单!$E$3,$B372&lt;=客户对账单!$H$3),COUNTIFS($D$5:$D372,客户对账单!$B$3,$B$5:$B372,"&gt;="&amp;客户对账单!$E$3,$B$5:$B372,"&lt;="&amp;客户对账单!$H$3),"")</f>
        <v/>
      </c>
    </row>
    <row r="373" customFormat="false" ht="15.75" hidden="false" customHeight="true" outlineLevel="0" collapsed="false">
      <c r="A373" s="42" t="str">
        <f aca="false">IF($B373="","","XS"&amp;TEXT($B373,"yyyymm")&amp;"-"&amp;TEXT(ROW()-4,"000"))</f>
        <v/>
      </c>
      <c r="B373" s="41"/>
      <c r="C373" s="42" t="str">
        <f aca="false">IF($B373="","",TEXT($B373,"yyyy-mm"))</f>
        <v/>
      </c>
      <c r="D373" s="32"/>
      <c r="E373" s="36"/>
      <c r="F373" s="43"/>
      <c r="G373" s="40"/>
      <c r="H373" s="51"/>
      <c r="I373" s="33"/>
      <c r="J373" s="33"/>
      <c r="K373" s="36"/>
      <c r="L373" s="47" t="str">
        <f aca="false">IF($B373="","",IF(NOT(ISNUMBER($B373)),"日期不是日期格式",IF(YEAR($B373)&lt;&gt;首页!$B$3,"不在会计年度",IF($D373="","未选客户",IF(ISNA(MATCH($D373,基础资料!$Z$6:$Z$155,0)),"客户不在档案",IF($E373="","未选商品",IF(ISNA(MATCH($E373,基础资料!$Q$6:$Q$205,0)),"商品不在档案",IF(NOT(ISNUMBER($F373)),"数量须为数字",IF(NOT(ISNUMBER($G373)),"单价须为数字",IF(N($F373)&lt;=0,"数量须大于0",IF(AND(IFERROR(INDEX(基础资料!$V$6:$V$205,MATCH($E373,基础资料!$Q$6:$Q$205,0)),"")="是",N($R373)=0),"无成本价·请先录采购或填参考成本",IF(N($T373)&lt;0,"毛利为负·请核对","√"))))))))))))</f>
        <v/>
      </c>
      <c r="M373" s="49" t="str">
        <f aca="false">IF($E373="","",IFERROR(INDEX(基础资料!$R$6:$R$205,MATCH($E373,基础资料!$Q$6:$Q$205,0)),""))</f>
        <v/>
      </c>
      <c r="N373" s="49" t="str">
        <f aca="false">IF($E373="","",IFERROR(INDEX(基础资料!$S$6:$S$205,MATCH($E373,基础资料!$Q$6:$Q$205,0)),""))</f>
        <v/>
      </c>
      <c r="O373" s="48" t="str">
        <f aca="false">IF(OR($F373="",$G373=""),"",ROUND(N($F373)*N($G373),2))</f>
        <v/>
      </c>
      <c r="P373" s="48" t="str">
        <f aca="false">IF($O373="","",ROUND(N($O373)*N($H373),2))</f>
        <v/>
      </c>
      <c r="Q373" s="48" t="str">
        <f aca="false">IF($O373="","",N($O373)+N($P373))</f>
        <v/>
      </c>
      <c r="R373" s="48" t="str">
        <f aca="false">IF(OR($E373="",$B373=""),"",IF(IFERROR(INDEX(基础资料!$V$6:$V$205,MATCH($E373,基础资料!$Q$6:$Q$205,0)),"")&lt;&gt;"是",0,IFERROR((SUMIFS(期初数据!$T$6:$T$205,期初数据!$O$6:$O$205,$E373)+SUMIFS(采购录入!$Q$5:$Q$404,采购录入!$E$5:$E$404,$E373,采购录入!$I$5:$I$404,"是",采购录入!$B$5:$B$404,"&lt;="&amp;$B373))/(SUMIFS(期初数据!$R$6:$R$205,期初数据!$O$6:$O$205,$E373)+SUMIFS(采购录入!$F$5:$F$404,采购录入!$E$5:$E$404,$E373,采购录入!$I$5:$I$404,"是",采购录入!$B$5:$B$404,"&lt;="&amp;$B373)),IFERROR(INDEX(基础资料!$U$6:$U$205,MATCH($E373,基础资料!$Q$6:$Q$205,0)),0))))</f>
        <v/>
      </c>
      <c r="S373" s="48" t="str">
        <f aca="false">IF($O373="","",ROUND(N($F373)*N($R373),2))</f>
        <v/>
      </c>
      <c r="T373" s="48" t="str">
        <f aca="false">IF($O373="","",N($O373)-N($S373))</f>
        <v/>
      </c>
      <c r="U373" s="52" t="str">
        <f aca="false">IF(OR($B373="",$D373=""),"",$B373+N(IFERROR(INDEX(基础资料!$AB$6:$AB$155,MATCH($D373,基础资料!$Z$6:$Z$155,0)),0)))</f>
        <v/>
      </c>
      <c r="V373" s="49" t="str">
        <f aca="false">IF($O373="","","1122")</f>
        <v/>
      </c>
      <c r="W373" s="49" t="str">
        <f aca="false">IF($O373="","","6001")</f>
        <v/>
      </c>
      <c r="X373" s="48" t="str">
        <f aca="false">IF($O373="","",$O373)</f>
        <v/>
      </c>
      <c r="Y373" s="49" t="str">
        <f aca="false">IF(N($P373)=0,"","1122")</f>
        <v/>
      </c>
      <c r="Z373" s="49" t="str">
        <f aca="false">IF(N($P373)=0,"","2221")</f>
        <v/>
      </c>
      <c r="AA373" s="48" t="str">
        <f aca="false">IF(N($P373)=0,"",$P373)</f>
        <v/>
      </c>
      <c r="AB373" s="49" t="str">
        <f aca="false">IF(N($S373)=0,"","6401")</f>
        <v/>
      </c>
      <c r="AC373" s="49" t="str">
        <f aca="false">IF(N($S373)=0,"","1405")</f>
        <v/>
      </c>
      <c r="AD373" s="48" t="str">
        <f aca="false">IF(N($S373)=0,"",$S373)</f>
        <v/>
      </c>
      <c r="AE373" s="49" t="str">
        <f aca="false">IF(AND($D373=客户对账单!$B$3,$B373&gt;=客户对账单!$E$3,$B373&lt;=客户对账单!$H$3),COUNTIFS($D$5:$D373,客户对账单!$B$3,$B$5:$B373,"&gt;="&amp;客户对账单!$E$3,$B$5:$B373,"&lt;="&amp;客户对账单!$H$3),"")</f>
        <v/>
      </c>
    </row>
    <row r="374" customFormat="false" ht="15.75" hidden="false" customHeight="true" outlineLevel="0" collapsed="false">
      <c r="A374" s="42" t="str">
        <f aca="false">IF($B374="","","XS"&amp;TEXT($B374,"yyyymm")&amp;"-"&amp;TEXT(ROW()-4,"000"))</f>
        <v/>
      </c>
      <c r="B374" s="41"/>
      <c r="C374" s="42" t="str">
        <f aca="false">IF($B374="","",TEXT($B374,"yyyy-mm"))</f>
        <v/>
      </c>
      <c r="D374" s="32"/>
      <c r="E374" s="36"/>
      <c r="F374" s="43"/>
      <c r="G374" s="40"/>
      <c r="H374" s="51"/>
      <c r="I374" s="33"/>
      <c r="J374" s="33"/>
      <c r="K374" s="36"/>
      <c r="L374" s="47" t="str">
        <f aca="false">IF($B374="","",IF(NOT(ISNUMBER($B374)),"日期不是日期格式",IF(YEAR($B374)&lt;&gt;首页!$B$3,"不在会计年度",IF($D374="","未选客户",IF(ISNA(MATCH($D374,基础资料!$Z$6:$Z$155,0)),"客户不在档案",IF($E374="","未选商品",IF(ISNA(MATCH($E374,基础资料!$Q$6:$Q$205,0)),"商品不在档案",IF(NOT(ISNUMBER($F374)),"数量须为数字",IF(NOT(ISNUMBER($G374)),"单价须为数字",IF(N($F374)&lt;=0,"数量须大于0",IF(AND(IFERROR(INDEX(基础资料!$V$6:$V$205,MATCH($E374,基础资料!$Q$6:$Q$205,0)),"")="是",N($R374)=0),"无成本价·请先录采购或填参考成本",IF(N($T374)&lt;0,"毛利为负·请核对","√"))))))))))))</f>
        <v/>
      </c>
      <c r="M374" s="49" t="str">
        <f aca="false">IF($E374="","",IFERROR(INDEX(基础资料!$R$6:$R$205,MATCH($E374,基础资料!$Q$6:$Q$205,0)),""))</f>
        <v/>
      </c>
      <c r="N374" s="49" t="str">
        <f aca="false">IF($E374="","",IFERROR(INDEX(基础资料!$S$6:$S$205,MATCH($E374,基础资料!$Q$6:$Q$205,0)),""))</f>
        <v/>
      </c>
      <c r="O374" s="48" t="str">
        <f aca="false">IF(OR($F374="",$G374=""),"",ROUND(N($F374)*N($G374),2))</f>
        <v/>
      </c>
      <c r="P374" s="48" t="str">
        <f aca="false">IF($O374="","",ROUND(N($O374)*N($H374),2))</f>
        <v/>
      </c>
      <c r="Q374" s="48" t="str">
        <f aca="false">IF($O374="","",N($O374)+N($P374))</f>
        <v/>
      </c>
      <c r="R374" s="48" t="str">
        <f aca="false">IF(OR($E374="",$B374=""),"",IF(IFERROR(INDEX(基础资料!$V$6:$V$205,MATCH($E374,基础资料!$Q$6:$Q$205,0)),"")&lt;&gt;"是",0,IFERROR((SUMIFS(期初数据!$T$6:$T$205,期初数据!$O$6:$O$205,$E374)+SUMIFS(采购录入!$Q$5:$Q$404,采购录入!$E$5:$E$404,$E374,采购录入!$I$5:$I$404,"是",采购录入!$B$5:$B$404,"&lt;="&amp;$B374))/(SUMIFS(期初数据!$R$6:$R$205,期初数据!$O$6:$O$205,$E374)+SUMIFS(采购录入!$F$5:$F$404,采购录入!$E$5:$E$404,$E374,采购录入!$I$5:$I$404,"是",采购录入!$B$5:$B$404,"&lt;="&amp;$B374)),IFERROR(INDEX(基础资料!$U$6:$U$205,MATCH($E374,基础资料!$Q$6:$Q$205,0)),0))))</f>
        <v/>
      </c>
      <c r="S374" s="48" t="str">
        <f aca="false">IF($O374="","",ROUND(N($F374)*N($R374),2))</f>
        <v/>
      </c>
      <c r="T374" s="48" t="str">
        <f aca="false">IF($O374="","",N($O374)-N($S374))</f>
        <v/>
      </c>
      <c r="U374" s="52" t="str">
        <f aca="false">IF(OR($B374="",$D374=""),"",$B374+N(IFERROR(INDEX(基础资料!$AB$6:$AB$155,MATCH($D374,基础资料!$Z$6:$Z$155,0)),0)))</f>
        <v/>
      </c>
      <c r="V374" s="49" t="str">
        <f aca="false">IF($O374="","","1122")</f>
        <v/>
      </c>
      <c r="W374" s="49" t="str">
        <f aca="false">IF($O374="","","6001")</f>
        <v/>
      </c>
      <c r="X374" s="48" t="str">
        <f aca="false">IF($O374="","",$O374)</f>
        <v/>
      </c>
      <c r="Y374" s="49" t="str">
        <f aca="false">IF(N($P374)=0,"","1122")</f>
        <v/>
      </c>
      <c r="Z374" s="49" t="str">
        <f aca="false">IF(N($P374)=0,"","2221")</f>
        <v/>
      </c>
      <c r="AA374" s="48" t="str">
        <f aca="false">IF(N($P374)=0,"",$P374)</f>
        <v/>
      </c>
      <c r="AB374" s="49" t="str">
        <f aca="false">IF(N($S374)=0,"","6401")</f>
        <v/>
      </c>
      <c r="AC374" s="49" t="str">
        <f aca="false">IF(N($S374)=0,"","1405")</f>
        <v/>
      </c>
      <c r="AD374" s="48" t="str">
        <f aca="false">IF(N($S374)=0,"",$S374)</f>
        <v/>
      </c>
      <c r="AE374" s="49" t="str">
        <f aca="false">IF(AND($D374=客户对账单!$B$3,$B374&gt;=客户对账单!$E$3,$B374&lt;=客户对账单!$H$3),COUNTIFS($D$5:$D374,客户对账单!$B$3,$B$5:$B374,"&gt;="&amp;客户对账单!$E$3,$B$5:$B374,"&lt;="&amp;客户对账单!$H$3),"")</f>
        <v/>
      </c>
    </row>
    <row r="375" customFormat="false" ht="15.75" hidden="false" customHeight="true" outlineLevel="0" collapsed="false">
      <c r="A375" s="42" t="str">
        <f aca="false">IF($B375="","","XS"&amp;TEXT($B375,"yyyymm")&amp;"-"&amp;TEXT(ROW()-4,"000"))</f>
        <v/>
      </c>
      <c r="B375" s="41"/>
      <c r="C375" s="42" t="str">
        <f aca="false">IF($B375="","",TEXT($B375,"yyyy-mm"))</f>
        <v/>
      </c>
      <c r="D375" s="32"/>
      <c r="E375" s="36"/>
      <c r="F375" s="43"/>
      <c r="G375" s="40"/>
      <c r="H375" s="51"/>
      <c r="I375" s="33"/>
      <c r="J375" s="33"/>
      <c r="K375" s="36"/>
      <c r="L375" s="47" t="str">
        <f aca="false">IF($B375="","",IF(NOT(ISNUMBER($B375)),"日期不是日期格式",IF(YEAR($B375)&lt;&gt;首页!$B$3,"不在会计年度",IF($D375="","未选客户",IF(ISNA(MATCH($D375,基础资料!$Z$6:$Z$155,0)),"客户不在档案",IF($E375="","未选商品",IF(ISNA(MATCH($E375,基础资料!$Q$6:$Q$205,0)),"商品不在档案",IF(NOT(ISNUMBER($F375)),"数量须为数字",IF(NOT(ISNUMBER($G375)),"单价须为数字",IF(N($F375)&lt;=0,"数量须大于0",IF(AND(IFERROR(INDEX(基础资料!$V$6:$V$205,MATCH($E375,基础资料!$Q$6:$Q$205,0)),"")="是",N($R375)=0),"无成本价·请先录采购或填参考成本",IF(N($T375)&lt;0,"毛利为负·请核对","√"))))))))))))</f>
        <v/>
      </c>
      <c r="M375" s="49" t="str">
        <f aca="false">IF($E375="","",IFERROR(INDEX(基础资料!$R$6:$R$205,MATCH($E375,基础资料!$Q$6:$Q$205,0)),""))</f>
        <v/>
      </c>
      <c r="N375" s="49" t="str">
        <f aca="false">IF($E375="","",IFERROR(INDEX(基础资料!$S$6:$S$205,MATCH($E375,基础资料!$Q$6:$Q$205,0)),""))</f>
        <v/>
      </c>
      <c r="O375" s="48" t="str">
        <f aca="false">IF(OR($F375="",$G375=""),"",ROUND(N($F375)*N($G375),2))</f>
        <v/>
      </c>
      <c r="P375" s="48" t="str">
        <f aca="false">IF($O375="","",ROUND(N($O375)*N($H375),2))</f>
        <v/>
      </c>
      <c r="Q375" s="48" t="str">
        <f aca="false">IF($O375="","",N($O375)+N($P375))</f>
        <v/>
      </c>
      <c r="R375" s="48" t="str">
        <f aca="false">IF(OR($E375="",$B375=""),"",IF(IFERROR(INDEX(基础资料!$V$6:$V$205,MATCH($E375,基础资料!$Q$6:$Q$205,0)),"")&lt;&gt;"是",0,IFERROR((SUMIFS(期初数据!$T$6:$T$205,期初数据!$O$6:$O$205,$E375)+SUMIFS(采购录入!$Q$5:$Q$404,采购录入!$E$5:$E$404,$E375,采购录入!$I$5:$I$404,"是",采购录入!$B$5:$B$404,"&lt;="&amp;$B375))/(SUMIFS(期初数据!$R$6:$R$205,期初数据!$O$6:$O$205,$E375)+SUMIFS(采购录入!$F$5:$F$404,采购录入!$E$5:$E$404,$E375,采购录入!$I$5:$I$404,"是",采购录入!$B$5:$B$404,"&lt;="&amp;$B375)),IFERROR(INDEX(基础资料!$U$6:$U$205,MATCH($E375,基础资料!$Q$6:$Q$205,0)),0))))</f>
        <v/>
      </c>
      <c r="S375" s="48" t="str">
        <f aca="false">IF($O375="","",ROUND(N($F375)*N($R375),2))</f>
        <v/>
      </c>
      <c r="T375" s="48" t="str">
        <f aca="false">IF($O375="","",N($O375)-N($S375))</f>
        <v/>
      </c>
      <c r="U375" s="52" t="str">
        <f aca="false">IF(OR($B375="",$D375=""),"",$B375+N(IFERROR(INDEX(基础资料!$AB$6:$AB$155,MATCH($D375,基础资料!$Z$6:$Z$155,0)),0)))</f>
        <v/>
      </c>
      <c r="V375" s="49" t="str">
        <f aca="false">IF($O375="","","1122")</f>
        <v/>
      </c>
      <c r="W375" s="49" t="str">
        <f aca="false">IF($O375="","","6001")</f>
        <v/>
      </c>
      <c r="X375" s="48" t="str">
        <f aca="false">IF($O375="","",$O375)</f>
        <v/>
      </c>
      <c r="Y375" s="49" t="str">
        <f aca="false">IF(N($P375)=0,"","1122")</f>
        <v/>
      </c>
      <c r="Z375" s="49" t="str">
        <f aca="false">IF(N($P375)=0,"","2221")</f>
        <v/>
      </c>
      <c r="AA375" s="48" t="str">
        <f aca="false">IF(N($P375)=0,"",$P375)</f>
        <v/>
      </c>
      <c r="AB375" s="49" t="str">
        <f aca="false">IF(N($S375)=0,"","6401")</f>
        <v/>
      </c>
      <c r="AC375" s="49" t="str">
        <f aca="false">IF(N($S375)=0,"","1405")</f>
        <v/>
      </c>
      <c r="AD375" s="48" t="str">
        <f aca="false">IF(N($S375)=0,"",$S375)</f>
        <v/>
      </c>
      <c r="AE375" s="49" t="str">
        <f aca="false">IF(AND($D375=客户对账单!$B$3,$B375&gt;=客户对账单!$E$3,$B375&lt;=客户对账单!$H$3),COUNTIFS($D$5:$D375,客户对账单!$B$3,$B$5:$B375,"&gt;="&amp;客户对账单!$E$3,$B$5:$B375,"&lt;="&amp;客户对账单!$H$3),"")</f>
        <v/>
      </c>
    </row>
    <row r="376" customFormat="false" ht="15.75" hidden="false" customHeight="true" outlineLevel="0" collapsed="false">
      <c r="A376" s="42" t="str">
        <f aca="false">IF($B376="","","XS"&amp;TEXT($B376,"yyyymm")&amp;"-"&amp;TEXT(ROW()-4,"000"))</f>
        <v/>
      </c>
      <c r="B376" s="41"/>
      <c r="C376" s="42" t="str">
        <f aca="false">IF($B376="","",TEXT($B376,"yyyy-mm"))</f>
        <v/>
      </c>
      <c r="D376" s="32"/>
      <c r="E376" s="36"/>
      <c r="F376" s="43"/>
      <c r="G376" s="40"/>
      <c r="H376" s="51"/>
      <c r="I376" s="33"/>
      <c r="J376" s="33"/>
      <c r="K376" s="36"/>
      <c r="L376" s="47" t="str">
        <f aca="false">IF($B376="","",IF(NOT(ISNUMBER($B376)),"日期不是日期格式",IF(YEAR($B376)&lt;&gt;首页!$B$3,"不在会计年度",IF($D376="","未选客户",IF(ISNA(MATCH($D376,基础资料!$Z$6:$Z$155,0)),"客户不在档案",IF($E376="","未选商品",IF(ISNA(MATCH($E376,基础资料!$Q$6:$Q$205,0)),"商品不在档案",IF(NOT(ISNUMBER($F376)),"数量须为数字",IF(NOT(ISNUMBER($G376)),"单价须为数字",IF(N($F376)&lt;=0,"数量须大于0",IF(AND(IFERROR(INDEX(基础资料!$V$6:$V$205,MATCH($E376,基础资料!$Q$6:$Q$205,0)),"")="是",N($R376)=0),"无成本价·请先录采购或填参考成本",IF(N($T376)&lt;0,"毛利为负·请核对","√"))))))))))))</f>
        <v/>
      </c>
      <c r="M376" s="49" t="str">
        <f aca="false">IF($E376="","",IFERROR(INDEX(基础资料!$R$6:$R$205,MATCH($E376,基础资料!$Q$6:$Q$205,0)),""))</f>
        <v/>
      </c>
      <c r="N376" s="49" t="str">
        <f aca="false">IF($E376="","",IFERROR(INDEX(基础资料!$S$6:$S$205,MATCH($E376,基础资料!$Q$6:$Q$205,0)),""))</f>
        <v/>
      </c>
      <c r="O376" s="48" t="str">
        <f aca="false">IF(OR($F376="",$G376=""),"",ROUND(N($F376)*N($G376),2))</f>
        <v/>
      </c>
      <c r="P376" s="48" t="str">
        <f aca="false">IF($O376="","",ROUND(N($O376)*N($H376),2))</f>
        <v/>
      </c>
      <c r="Q376" s="48" t="str">
        <f aca="false">IF($O376="","",N($O376)+N($P376))</f>
        <v/>
      </c>
      <c r="R376" s="48" t="str">
        <f aca="false">IF(OR($E376="",$B376=""),"",IF(IFERROR(INDEX(基础资料!$V$6:$V$205,MATCH($E376,基础资料!$Q$6:$Q$205,0)),"")&lt;&gt;"是",0,IFERROR((SUMIFS(期初数据!$T$6:$T$205,期初数据!$O$6:$O$205,$E376)+SUMIFS(采购录入!$Q$5:$Q$404,采购录入!$E$5:$E$404,$E376,采购录入!$I$5:$I$404,"是",采购录入!$B$5:$B$404,"&lt;="&amp;$B376))/(SUMIFS(期初数据!$R$6:$R$205,期初数据!$O$6:$O$205,$E376)+SUMIFS(采购录入!$F$5:$F$404,采购录入!$E$5:$E$404,$E376,采购录入!$I$5:$I$404,"是",采购录入!$B$5:$B$404,"&lt;="&amp;$B376)),IFERROR(INDEX(基础资料!$U$6:$U$205,MATCH($E376,基础资料!$Q$6:$Q$205,0)),0))))</f>
        <v/>
      </c>
      <c r="S376" s="48" t="str">
        <f aca="false">IF($O376="","",ROUND(N($F376)*N($R376),2))</f>
        <v/>
      </c>
      <c r="T376" s="48" t="str">
        <f aca="false">IF($O376="","",N($O376)-N($S376))</f>
        <v/>
      </c>
      <c r="U376" s="52" t="str">
        <f aca="false">IF(OR($B376="",$D376=""),"",$B376+N(IFERROR(INDEX(基础资料!$AB$6:$AB$155,MATCH($D376,基础资料!$Z$6:$Z$155,0)),0)))</f>
        <v/>
      </c>
      <c r="V376" s="49" t="str">
        <f aca="false">IF($O376="","","1122")</f>
        <v/>
      </c>
      <c r="W376" s="49" t="str">
        <f aca="false">IF($O376="","","6001")</f>
        <v/>
      </c>
      <c r="X376" s="48" t="str">
        <f aca="false">IF($O376="","",$O376)</f>
        <v/>
      </c>
      <c r="Y376" s="49" t="str">
        <f aca="false">IF(N($P376)=0,"","1122")</f>
        <v/>
      </c>
      <c r="Z376" s="49" t="str">
        <f aca="false">IF(N($P376)=0,"","2221")</f>
        <v/>
      </c>
      <c r="AA376" s="48" t="str">
        <f aca="false">IF(N($P376)=0,"",$P376)</f>
        <v/>
      </c>
      <c r="AB376" s="49" t="str">
        <f aca="false">IF(N($S376)=0,"","6401")</f>
        <v/>
      </c>
      <c r="AC376" s="49" t="str">
        <f aca="false">IF(N($S376)=0,"","1405")</f>
        <v/>
      </c>
      <c r="AD376" s="48" t="str">
        <f aca="false">IF(N($S376)=0,"",$S376)</f>
        <v/>
      </c>
      <c r="AE376" s="49" t="str">
        <f aca="false">IF(AND($D376=客户对账单!$B$3,$B376&gt;=客户对账单!$E$3,$B376&lt;=客户对账单!$H$3),COUNTIFS($D$5:$D376,客户对账单!$B$3,$B$5:$B376,"&gt;="&amp;客户对账单!$E$3,$B$5:$B376,"&lt;="&amp;客户对账单!$H$3),"")</f>
        <v/>
      </c>
    </row>
    <row r="377" customFormat="false" ht="15.75" hidden="false" customHeight="true" outlineLevel="0" collapsed="false">
      <c r="A377" s="42" t="str">
        <f aca="false">IF($B377="","","XS"&amp;TEXT($B377,"yyyymm")&amp;"-"&amp;TEXT(ROW()-4,"000"))</f>
        <v/>
      </c>
      <c r="B377" s="41"/>
      <c r="C377" s="42" t="str">
        <f aca="false">IF($B377="","",TEXT($B377,"yyyy-mm"))</f>
        <v/>
      </c>
      <c r="D377" s="32"/>
      <c r="E377" s="36"/>
      <c r="F377" s="43"/>
      <c r="G377" s="40"/>
      <c r="H377" s="51"/>
      <c r="I377" s="33"/>
      <c r="J377" s="33"/>
      <c r="K377" s="36"/>
      <c r="L377" s="47" t="str">
        <f aca="false">IF($B377="","",IF(NOT(ISNUMBER($B377)),"日期不是日期格式",IF(YEAR($B377)&lt;&gt;首页!$B$3,"不在会计年度",IF($D377="","未选客户",IF(ISNA(MATCH($D377,基础资料!$Z$6:$Z$155,0)),"客户不在档案",IF($E377="","未选商品",IF(ISNA(MATCH($E377,基础资料!$Q$6:$Q$205,0)),"商品不在档案",IF(NOT(ISNUMBER($F377)),"数量须为数字",IF(NOT(ISNUMBER($G377)),"单价须为数字",IF(N($F377)&lt;=0,"数量须大于0",IF(AND(IFERROR(INDEX(基础资料!$V$6:$V$205,MATCH($E377,基础资料!$Q$6:$Q$205,0)),"")="是",N($R377)=0),"无成本价·请先录采购或填参考成本",IF(N($T377)&lt;0,"毛利为负·请核对","√"))))))))))))</f>
        <v/>
      </c>
      <c r="M377" s="49" t="str">
        <f aca="false">IF($E377="","",IFERROR(INDEX(基础资料!$R$6:$R$205,MATCH($E377,基础资料!$Q$6:$Q$205,0)),""))</f>
        <v/>
      </c>
      <c r="N377" s="49" t="str">
        <f aca="false">IF($E377="","",IFERROR(INDEX(基础资料!$S$6:$S$205,MATCH($E377,基础资料!$Q$6:$Q$205,0)),""))</f>
        <v/>
      </c>
      <c r="O377" s="48" t="str">
        <f aca="false">IF(OR($F377="",$G377=""),"",ROUND(N($F377)*N($G377),2))</f>
        <v/>
      </c>
      <c r="P377" s="48" t="str">
        <f aca="false">IF($O377="","",ROUND(N($O377)*N($H377),2))</f>
        <v/>
      </c>
      <c r="Q377" s="48" t="str">
        <f aca="false">IF($O377="","",N($O377)+N($P377))</f>
        <v/>
      </c>
      <c r="R377" s="48" t="str">
        <f aca="false">IF(OR($E377="",$B377=""),"",IF(IFERROR(INDEX(基础资料!$V$6:$V$205,MATCH($E377,基础资料!$Q$6:$Q$205,0)),"")&lt;&gt;"是",0,IFERROR((SUMIFS(期初数据!$T$6:$T$205,期初数据!$O$6:$O$205,$E377)+SUMIFS(采购录入!$Q$5:$Q$404,采购录入!$E$5:$E$404,$E377,采购录入!$I$5:$I$404,"是",采购录入!$B$5:$B$404,"&lt;="&amp;$B377))/(SUMIFS(期初数据!$R$6:$R$205,期初数据!$O$6:$O$205,$E377)+SUMIFS(采购录入!$F$5:$F$404,采购录入!$E$5:$E$404,$E377,采购录入!$I$5:$I$404,"是",采购录入!$B$5:$B$404,"&lt;="&amp;$B377)),IFERROR(INDEX(基础资料!$U$6:$U$205,MATCH($E377,基础资料!$Q$6:$Q$205,0)),0))))</f>
        <v/>
      </c>
      <c r="S377" s="48" t="str">
        <f aca="false">IF($O377="","",ROUND(N($F377)*N($R377),2))</f>
        <v/>
      </c>
      <c r="T377" s="48" t="str">
        <f aca="false">IF($O377="","",N($O377)-N($S377))</f>
        <v/>
      </c>
      <c r="U377" s="52" t="str">
        <f aca="false">IF(OR($B377="",$D377=""),"",$B377+N(IFERROR(INDEX(基础资料!$AB$6:$AB$155,MATCH($D377,基础资料!$Z$6:$Z$155,0)),0)))</f>
        <v/>
      </c>
      <c r="V377" s="49" t="str">
        <f aca="false">IF($O377="","","1122")</f>
        <v/>
      </c>
      <c r="W377" s="49" t="str">
        <f aca="false">IF($O377="","","6001")</f>
        <v/>
      </c>
      <c r="X377" s="48" t="str">
        <f aca="false">IF($O377="","",$O377)</f>
        <v/>
      </c>
      <c r="Y377" s="49" t="str">
        <f aca="false">IF(N($P377)=0,"","1122")</f>
        <v/>
      </c>
      <c r="Z377" s="49" t="str">
        <f aca="false">IF(N($P377)=0,"","2221")</f>
        <v/>
      </c>
      <c r="AA377" s="48" t="str">
        <f aca="false">IF(N($P377)=0,"",$P377)</f>
        <v/>
      </c>
      <c r="AB377" s="49" t="str">
        <f aca="false">IF(N($S377)=0,"","6401")</f>
        <v/>
      </c>
      <c r="AC377" s="49" t="str">
        <f aca="false">IF(N($S377)=0,"","1405")</f>
        <v/>
      </c>
      <c r="AD377" s="48" t="str">
        <f aca="false">IF(N($S377)=0,"",$S377)</f>
        <v/>
      </c>
      <c r="AE377" s="49" t="str">
        <f aca="false">IF(AND($D377=客户对账单!$B$3,$B377&gt;=客户对账单!$E$3,$B377&lt;=客户对账单!$H$3),COUNTIFS($D$5:$D377,客户对账单!$B$3,$B$5:$B377,"&gt;="&amp;客户对账单!$E$3,$B$5:$B377,"&lt;="&amp;客户对账单!$H$3),"")</f>
        <v/>
      </c>
    </row>
    <row r="378" customFormat="false" ht="15.75" hidden="false" customHeight="true" outlineLevel="0" collapsed="false">
      <c r="A378" s="42" t="str">
        <f aca="false">IF($B378="","","XS"&amp;TEXT($B378,"yyyymm")&amp;"-"&amp;TEXT(ROW()-4,"000"))</f>
        <v/>
      </c>
      <c r="B378" s="41"/>
      <c r="C378" s="42" t="str">
        <f aca="false">IF($B378="","",TEXT($B378,"yyyy-mm"))</f>
        <v/>
      </c>
      <c r="D378" s="32"/>
      <c r="E378" s="36"/>
      <c r="F378" s="43"/>
      <c r="G378" s="40"/>
      <c r="H378" s="51"/>
      <c r="I378" s="33"/>
      <c r="J378" s="33"/>
      <c r="K378" s="36"/>
      <c r="L378" s="47" t="str">
        <f aca="false">IF($B378="","",IF(NOT(ISNUMBER($B378)),"日期不是日期格式",IF(YEAR($B378)&lt;&gt;首页!$B$3,"不在会计年度",IF($D378="","未选客户",IF(ISNA(MATCH($D378,基础资料!$Z$6:$Z$155,0)),"客户不在档案",IF($E378="","未选商品",IF(ISNA(MATCH($E378,基础资料!$Q$6:$Q$205,0)),"商品不在档案",IF(NOT(ISNUMBER($F378)),"数量须为数字",IF(NOT(ISNUMBER($G378)),"单价须为数字",IF(N($F378)&lt;=0,"数量须大于0",IF(AND(IFERROR(INDEX(基础资料!$V$6:$V$205,MATCH($E378,基础资料!$Q$6:$Q$205,0)),"")="是",N($R378)=0),"无成本价·请先录采购或填参考成本",IF(N($T378)&lt;0,"毛利为负·请核对","√"))))))))))))</f>
        <v/>
      </c>
      <c r="M378" s="49" t="str">
        <f aca="false">IF($E378="","",IFERROR(INDEX(基础资料!$R$6:$R$205,MATCH($E378,基础资料!$Q$6:$Q$205,0)),""))</f>
        <v/>
      </c>
      <c r="N378" s="49" t="str">
        <f aca="false">IF($E378="","",IFERROR(INDEX(基础资料!$S$6:$S$205,MATCH($E378,基础资料!$Q$6:$Q$205,0)),""))</f>
        <v/>
      </c>
      <c r="O378" s="48" t="str">
        <f aca="false">IF(OR($F378="",$G378=""),"",ROUND(N($F378)*N($G378),2))</f>
        <v/>
      </c>
      <c r="P378" s="48" t="str">
        <f aca="false">IF($O378="","",ROUND(N($O378)*N($H378),2))</f>
        <v/>
      </c>
      <c r="Q378" s="48" t="str">
        <f aca="false">IF($O378="","",N($O378)+N($P378))</f>
        <v/>
      </c>
      <c r="R378" s="48" t="str">
        <f aca="false">IF(OR($E378="",$B378=""),"",IF(IFERROR(INDEX(基础资料!$V$6:$V$205,MATCH($E378,基础资料!$Q$6:$Q$205,0)),"")&lt;&gt;"是",0,IFERROR((SUMIFS(期初数据!$T$6:$T$205,期初数据!$O$6:$O$205,$E378)+SUMIFS(采购录入!$Q$5:$Q$404,采购录入!$E$5:$E$404,$E378,采购录入!$I$5:$I$404,"是",采购录入!$B$5:$B$404,"&lt;="&amp;$B378))/(SUMIFS(期初数据!$R$6:$R$205,期初数据!$O$6:$O$205,$E378)+SUMIFS(采购录入!$F$5:$F$404,采购录入!$E$5:$E$404,$E378,采购录入!$I$5:$I$404,"是",采购录入!$B$5:$B$404,"&lt;="&amp;$B378)),IFERROR(INDEX(基础资料!$U$6:$U$205,MATCH($E378,基础资料!$Q$6:$Q$205,0)),0))))</f>
        <v/>
      </c>
      <c r="S378" s="48" t="str">
        <f aca="false">IF($O378="","",ROUND(N($F378)*N($R378),2))</f>
        <v/>
      </c>
      <c r="T378" s="48" t="str">
        <f aca="false">IF($O378="","",N($O378)-N($S378))</f>
        <v/>
      </c>
      <c r="U378" s="52" t="str">
        <f aca="false">IF(OR($B378="",$D378=""),"",$B378+N(IFERROR(INDEX(基础资料!$AB$6:$AB$155,MATCH($D378,基础资料!$Z$6:$Z$155,0)),0)))</f>
        <v/>
      </c>
      <c r="V378" s="49" t="str">
        <f aca="false">IF($O378="","","1122")</f>
        <v/>
      </c>
      <c r="W378" s="49" t="str">
        <f aca="false">IF($O378="","","6001")</f>
        <v/>
      </c>
      <c r="X378" s="48" t="str">
        <f aca="false">IF($O378="","",$O378)</f>
        <v/>
      </c>
      <c r="Y378" s="49" t="str">
        <f aca="false">IF(N($P378)=0,"","1122")</f>
        <v/>
      </c>
      <c r="Z378" s="49" t="str">
        <f aca="false">IF(N($P378)=0,"","2221")</f>
        <v/>
      </c>
      <c r="AA378" s="48" t="str">
        <f aca="false">IF(N($P378)=0,"",$P378)</f>
        <v/>
      </c>
      <c r="AB378" s="49" t="str">
        <f aca="false">IF(N($S378)=0,"","6401")</f>
        <v/>
      </c>
      <c r="AC378" s="49" t="str">
        <f aca="false">IF(N($S378)=0,"","1405")</f>
        <v/>
      </c>
      <c r="AD378" s="48" t="str">
        <f aca="false">IF(N($S378)=0,"",$S378)</f>
        <v/>
      </c>
      <c r="AE378" s="49" t="str">
        <f aca="false">IF(AND($D378=客户对账单!$B$3,$B378&gt;=客户对账单!$E$3,$B378&lt;=客户对账单!$H$3),COUNTIFS($D$5:$D378,客户对账单!$B$3,$B$5:$B378,"&gt;="&amp;客户对账单!$E$3,$B$5:$B378,"&lt;="&amp;客户对账单!$H$3),"")</f>
        <v/>
      </c>
    </row>
    <row r="379" customFormat="false" ht="15.75" hidden="false" customHeight="true" outlineLevel="0" collapsed="false">
      <c r="A379" s="42" t="str">
        <f aca="false">IF($B379="","","XS"&amp;TEXT($B379,"yyyymm")&amp;"-"&amp;TEXT(ROW()-4,"000"))</f>
        <v/>
      </c>
      <c r="B379" s="41"/>
      <c r="C379" s="42" t="str">
        <f aca="false">IF($B379="","",TEXT($B379,"yyyy-mm"))</f>
        <v/>
      </c>
      <c r="D379" s="32"/>
      <c r="E379" s="36"/>
      <c r="F379" s="43"/>
      <c r="G379" s="40"/>
      <c r="H379" s="51"/>
      <c r="I379" s="33"/>
      <c r="J379" s="33"/>
      <c r="K379" s="36"/>
      <c r="L379" s="47" t="str">
        <f aca="false">IF($B379="","",IF(NOT(ISNUMBER($B379)),"日期不是日期格式",IF(YEAR($B379)&lt;&gt;首页!$B$3,"不在会计年度",IF($D379="","未选客户",IF(ISNA(MATCH($D379,基础资料!$Z$6:$Z$155,0)),"客户不在档案",IF($E379="","未选商品",IF(ISNA(MATCH($E379,基础资料!$Q$6:$Q$205,0)),"商品不在档案",IF(NOT(ISNUMBER($F379)),"数量须为数字",IF(NOT(ISNUMBER($G379)),"单价须为数字",IF(N($F379)&lt;=0,"数量须大于0",IF(AND(IFERROR(INDEX(基础资料!$V$6:$V$205,MATCH($E379,基础资料!$Q$6:$Q$205,0)),"")="是",N($R379)=0),"无成本价·请先录采购或填参考成本",IF(N($T379)&lt;0,"毛利为负·请核对","√"))))))))))))</f>
        <v/>
      </c>
      <c r="M379" s="49" t="str">
        <f aca="false">IF($E379="","",IFERROR(INDEX(基础资料!$R$6:$R$205,MATCH($E379,基础资料!$Q$6:$Q$205,0)),""))</f>
        <v/>
      </c>
      <c r="N379" s="49" t="str">
        <f aca="false">IF($E379="","",IFERROR(INDEX(基础资料!$S$6:$S$205,MATCH($E379,基础资料!$Q$6:$Q$205,0)),""))</f>
        <v/>
      </c>
      <c r="O379" s="48" t="str">
        <f aca="false">IF(OR($F379="",$G379=""),"",ROUND(N($F379)*N($G379),2))</f>
        <v/>
      </c>
      <c r="P379" s="48" t="str">
        <f aca="false">IF($O379="","",ROUND(N($O379)*N($H379),2))</f>
        <v/>
      </c>
      <c r="Q379" s="48" t="str">
        <f aca="false">IF($O379="","",N($O379)+N($P379))</f>
        <v/>
      </c>
      <c r="R379" s="48" t="str">
        <f aca="false">IF(OR($E379="",$B379=""),"",IF(IFERROR(INDEX(基础资料!$V$6:$V$205,MATCH($E379,基础资料!$Q$6:$Q$205,0)),"")&lt;&gt;"是",0,IFERROR((SUMIFS(期初数据!$T$6:$T$205,期初数据!$O$6:$O$205,$E379)+SUMIFS(采购录入!$Q$5:$Q$404,采购录入!$E$5:$E$404,$E379,采购录入!$I$5:$I$404,"是",采购录入!$B$5:$B$404,"&lt;="&amp;$B379))/(SUMIFS(期初数据!$R$6:$R$205,期初数据!$O$6:$O$205,$E379)+SUMIFS(采购录入!$F$5:$F$404,采购录入!$E$5:$E$404,$E379,采购录入!$I$5:$I$404,"是",采购录入!$B$5:$B$404,"&lt;="&amp;$B379)),IFERROR(INDEX(基础资料!$U$6:$U$205,MATCH($E379,基础资料!$Q$6:$Q$205,0)),0))))</f>
        <v/>
      </c>
      <c r="S379" s="48" t="str">
        <f aca="false">IF($O379="","",ROUND(N($F379)*N($R379),2))</f>
        <v/>
      </c>
      <c r="T379" s="48" t="str">
        <f aca="false">IF($O379="","",N($O379)-N($S379))</f>
        <v/>
      </c>
      <c r="U379" s="52" t="str">
        <f aca="false">IF(OR($B379="",$D379=""),"",$B379+N(IFERROR(INDEX(基础资料!$AB$6:$AB$155,MATCH($D379,基础资料!$Z$6:$Z$155,0)),0)))</f>
        <v/>
      </c>
      <c r="V379" s="49" t="str">
        <f aca="false">IF($O379="","","1122")</f>
        <v/>
      </c>
      <c r="W379" s="49" t="str">
        <f aca="false">IF($O379="","","6001")</f>
        <v/>
      </c>
      <c r="X379" s="48" t="str">
        <f aca="false">IF($O379="","",$O379)</f>
        <v/>
      </c>
      <c r="Y379" s="49" t="str">
        <f aca="false">IF(N($P379)=0,"","1122")</f>
        <v/>
      </c>
      <c r="Z379" s="49" t="str">
        <f aca="false">IF(N($P379)=0,"","2221")</f>
        <v/>
      </c>
      <c r="AA379" s="48" t="str">
        <f aca="false">IF(N($P379)=0,"",$P379)</f>
        <v/>
      </c>
      <c r="AB379" s="49" t="str">
        <f aca="false">IF(N($S379)=0,"","6401")</f>
        <v/>
      </c>
      <c r="AC379" s="49" t="str">
        <f aca="false">IF(N($S379)=0,"","1405")</f>
        <v/>
      </c>
      <c r="AD379" s="48" t="str">
        <f aca="false">IF(N($S379)=0,"",$S379)</f>
        <v/>
      </c>
      <c r="AE379" s="49" t="str">
        <f aca="false">IF(AND($D379=客户对账单!$B$3,$B379&gt;=客户对账单!$E$3,$B379&lt;=客户对账单!$H$3),COUNTIFS($D$5:$D379,客户对账单!$B$3,$B$5:$B379,"&gt;="&amp;客户对账单!$E$3,$B$5:$B379,"&lt;="&amp;客户对账单!$H$3),"")</f>
        <v/>
      </c>
    </row>
    <row r="380" customFormat="false" ht="15.75" hidden="false" customHeight="true" outlineLevel="0" collapsed="false">
      <c r="A380" s="42" t="str">
        <f aca="false">IF($B380="","","XS"&amp;TEXT($B380,"yyyymm")&amp;"-"&amp;TEXT(ROW()-4,"000"))</f>
        <v/>
      </c>
      <c r="B380" s="41"/>
      <c r="C380" s="42" t="str">
        <f aca="false">IF($B380="","",TEXT($B380,"yyyy-mm"))</f>
        <v/>
      </c>
      <c r="D380" s="32"/>
      <c r="E380" s="36"/>
      <c r="F380" s="43"/>
      <c r="G380" s="40"/>
      <c r="H380" s="51"/>
      <c r="I380" s="33"/>
      <c r="J380" s="33"/>
      <c r="K380" s="36"/>
      <c r="L380" s="47" t="str">
        <f aca="false">IF($B380="","",IF(NOT(ISNUMBER($B380)),"日期不是日期格式",IF(YEAR($B380)&lt;&gt;首页!$B$3,"不在会计年度",IF($D380="","未选客户",IF(ISNA(MATCH($D380,基础资料!$Z$6:$Z$155,0)),"客户不在档案",IF($E380="","未选商品",IF(ISNA(MATCH($E380,基础资料!$Q$6:$Q$205,0)),"商品不在档案",IF(NOT(ISNUMBER($F380)),"数量须为数字",IF(NOT(ISNUMBER($G380)),"单价须为数字",IF(N($F380)&lt;=0,"数量须大于0",IF(AND(IFERROR(INDEX(基础资料!$V$6:$V$205,MATCH($E380,基础资料!$Q$6:$Q$205,0)),"")="是",N($R380)=0),"无成本价·请先录采购或填参考成本",IF(N($T380)&lt;0,"毛利为负·请核对","√"))))))))))))</f>
        <v/>
      </c>
      <c r="M380" s="49" t="str">
        <f aca="false">IF($E380="","",IFERROR(INDEX(基础资料!$R$6:$R$205,MATCH($E380,基础资料!$Q$6:$Q$205,0)),""))</f>
        <v/>
      </c>
      <c r="N380" s="49" t="str">
        <f aca="false">IF($E380="","",IFERROR(INDEX(基础资料!$S$6:$S$205,MATCH($E380,基础资料!$Q$6:$Q$205,0)),""))</f>
        <v/>
      </c>
      <c r="O380" s="48" t="str">
        <f aca="false">IF(OR($F380="",$G380=""),"",ROUND(N($F380)*N($G380),2))</f>
        <v/>
      </c>
      <c r="P380" s="48" t="str">
        <f aca="false">IF($O380="","",ROUND(N($O380)*N($H380),2))</f>
        <v/>
      </c>
      <c r="Q380" s="48" t="str">
        <f aca="false">IF($O380="","",N($O380)+N($P380))</f>
        <v/>
      </c>
      <c r="R380" s="48" t="str">
        <f aca="false">IF(OR($E380="",$B380=""),"",IF(IFERROR(INDEX(基础资料!$V$6:$V$205,MATCH($E380,基础资料!$Q$6:$Q$205,0)),"")&lt;&gt;"是",0,IFERROR((SUMIFS(期初数据!$T$6:$T$205,期初数据!$O$6:$O$205,$E380)+SUMIFS(采购录入!$Q$5:$Q$404,采购录入!$E$5:$E$404,$E380,采购录入!$I$5:$I$404,"是",采购录入!$B$5:$B$404,"&lt;="&amp;$B380))/(SUMIFS(期初数据!$R$6:$R$205,期初数据!$O$6:$O$205,$E380)+SUMIFS(采购录入!$F$5:$F$404,采购录入!$E$5:$E$404,$E380,采购录入!$I$5:$I$404,"是",采购录入!$B$5:$B$404,"&lt;="&amp;$B380)),IFERROR(INDEX(基础资料!$U$6:$U$205,MATCH($E380,基础资料!$Q$6:$Q$205,0)),0))))</f>
        <v/>
      </c>
      <c r="S380" s="48" t="str">
        <f aca="false">IF($O380="","",ROUND(N($F380)*N($R380),2))</f>
        <v/>
      </c>
      <c r="T380" s="48" t="str">
        <f aca="false">IF($O380="","",N($O380)-N($S380))</f>
        <v/>
      </c>
      <c r="U380" s="52" t="str">
        <f aca="false">IF(OR($B380="",$D380=""),"",$B380+N(IFERROR(INDEX(基础资料!$AB$6:$AB$155,MATCH($D380,基础资料!$Z$6:$Z$155,0)),0)))</f>
        <v/>
      </c>
      <c r="V380" s="49" t="str">
        <f aca="false">IF($O380="","","1122")</f>
        <v/>
      </c>
      <c r="W380" s="49" t="str">
        <f aca="false">IF($O380="","","6001")</f>
        <v/>
      </c>
      <c r="X380" s="48" t="str">
        <f aca="false">IF($O380="","",$O380)</f>
        <v/>
      </c>
      <c r="Y380" s="49" t="str">
        <f aca="false">IF(N($P380)=0,"","1122")</f>
        <v/>
      </c>
      <c r="Z380" s="49" t="str">
        <f aca="false">IF(N($P380)=0,"","2221")</f>
        <v/>
      </c>
      <c r="AA380" s="48" t="str">
        <f aca="false">IF(N($P380)=0,"",$P380)</f>
        <v/>
      </c>
      <c r="AB380" s="49" t="str">
        <f aca="false">IF(N($S380)=0,"","6401")</f>
        <v/>
      </c>
      <c r="AC380" s="49" t="str">
        <f aca="false">IF(N($S380)=0,"","1405")</f>
        <v/>
      </c>
      <c r="AD380" s="48" t="str">
        <f aca="false">IF(N($S380)=0,"",$S380)</f>
        <v/>
      </c>
      <c r="AE380" s="49" t="str">
        <f aca="false">IF(AND($D380=客户对账单!$B$3,$B380&gt;=客户对账单!$E$3,$B380&lt;=客户对账单!$H$3),COUNTIFS($D$5:$D380,客户对账单!$B$3,$B$5:$B380,"&gt;="&amp;客户对账单!$E$3,$B$5:$B380,"&lt;="&amp;客户对账单!$H$3),"")</f>
        <v/>
      </c>
    </row>
    <row r="381" customFormat="false" ht="15.75" hidden="false" customHeight="true" outlineLevel="0" collapsed="false">
      <c r="A381" s="42" t="str">
        <f aca="false">IF($B381="","","XS"&amp;TEXT($B381,"yyyymm")&amp;"-"&amp;TEXT(ROW()-4,"000"))</f>
        <v/>
      </c>
      <c r="B381" s="41"/>
      <c r="C381" s="42" t="str">
        <f aca="false">IF($B381="","",TEXT($B381,"yyyy-mm"))</f>
        <v/>
      </c>
      <c r="D381" s="32"/>
      <c r="E381" s="36"/>
      <c r="F381" s="43"/>
      <c r="G381" s="40"/>
      <c r="H381" s="51"/>
      <c r="I381" s="33"/>
      <c r="J381" s="33"/>
      <c r="K381" s="36"/>
      <c r="L381" s="47" t="str">
        <f aca="false">IF($B381="","",IF(NOT(ISNUMBER($B381)),"日期不是日期格式",IF(YEAR($B381)&lt;&gt;首页!$B$3,"不在会计年度",IF($D381="","未选客户",IF(ISNA(MATCH($D381,基础资料!$Z$6:$Z$155,0)),"客户不在档案",IF($E381="","未选商品",IF(ISNA(MATCH($E381,基础资料!$Q$6:$Q$205,0)),"商品不在档案",IF(NOT(ISNUMBER($F381)),"数量须为数字",IF(NOT(ISNUMBER($G381)),"单价须为数字",IF(N($F381)&lt;=0,"数量须大于0",IF(AND(IFERROR(INDEX(基础资料!$V$6:$V$205,MATCH($E381,基础资料!$Q$6:$Q$205,0)),"")="是",N($R381)=0),"无成本价·请先录采购或填参考成本",IF(N($T381)&lt;0,"毛利为负·请核对","√"))))))))))))</f>
        <v/>
      </c>
      <c r="M381" s="49" t="str">
        <f aca="false">IF($E381="","",IFERROR(INDEX(基础资料!$R$6:$R$205,MATCH($E381,基础资料!$Q$6:$Q$205,0)),""))</f>
        <v/>
      </c>
      <c r="N381" s="49" t="str">
        <f aca="false">IF($E381="","",IFERROR(INDEX(基础资料!$S$6:$S$205,MATCH($E381,基础资料!$Q$6:$Q$205,0)),""))</f>
        <v/>
      </c>
      <c r="O381" s="48" t="str">
        <f aca="false">IF(OR($F381="",$G381=""),"",ROUND(N($F381)*N($G381),2))</f>
        <v/>
      </c>
      <c r="P381" s="48" t="str">
        <f aca="false">IF($O381="","",ROUND(N($O381)*N($H381),2))</f>
        <v/>
      </c>
      <c r="Q381" s="48" t="str">
        <f aca="false">IF($O381="","",N($O381)+N($P381))</f>
        <v/>
      </c>
      <c r="R381" s="48" t="str">
        <f aca="false">IF(OR($E381="",$B381=""),"",IF(IFERROR(INDEX(基础资料!$V$6:$V$205,MATCH($E381,基础资料!$Q$6:$Q$205,0)),"")&lt;&gt;"是",0,IFERROR((SUMIFS(期初数据!$T$6:$T$205,期初数据!$O$6:$O$205,$E381)+SUMIFS(采购录入!$Q$5:$Q$404,采购录入!$E$5:$E$404,$E381,采购录入!$I$5:$I$404,"是",采购录入!$B$5:$B$404,"&lt;="&amp;$B381))/(SUMIFS(期初数据!$R$6:$R$205,期初数据!$O$6:$O$205,$E381)+SUMIFS(采购录入!$F$5:$F$404,采购录入!$E$5:$E$404,$E381,采购录入!$I$5:$I$404,"是",采购录入!$B$5:$B$404,"&lt;="&amp;$B381)),IFERROR(INDEX(基础资料!$U$6:$U$205,MATCH($E381,基础资料!$Q$6:$Q$205,0)),0))))</f>
        <v/>
      </c>
      <c r="S381" s="48" t="str">
        <f aca="false">IF($O381="","",ROUND(N($F381)*N($R381),2))</f>
        <v/>
      </c>
      <c r="T381" s="48" t="str">
        <f aca="false">IF($O381="","",N($O381)-N($S381))</f>
        <v/>
      </c>
      <c r="U381" s="52" t="str">
        <f aca="false">IF(OR($B381="",$D381=""),"",$B381+N(IFERROR(INDEX(基础资料!$AB$6:$AB$155,MATCH($D381,基础资料!$Z$6:$Z$155,0)),0)))</f>
        <v/>
      </c>
      <c r="V381" s="49" t="str">
        <f aca="false">IF($O381="","","1122")</f>
        <v/>
      </c>
      <c r="W381" s="49" t="str">
        <f aca="false">IF($O381="","","6001")</f>
        <v/>
      </c>
      <c r="X381" s="48" t="str">
        <f aca="false">IF($O381="","",$O381)</f>
        <v/>
      </c>
      <c r="Y381" s="49" t="str">
        <f aca="false">IF(N($P381)=0,"","1122")</f>
        <v/>
      </c>
      <c r="Z381" s="49" t="str">
        <f aca="false">IF(N($P381)=0,"","2221")</f>
        <v/>
      </c>
      <c r="AA381" s="48" t="str">
        <f aca="false">IF(N($P381)=0,"",$P381)</f>
        <v/>
      </c>
      <c r="AB381" s="49" t="str">
        <f aca="false">IF(N($S381)=0,"","6401")</f>
        <v/>
      </c>
      <c r="AC381" s="49" t="str">
        <f aca="false">IF(N($S381)=0,"","1405")</f>
        <v/>
      </c>
      <c r="AD381" s="48" t="str">
        <f aca="false">IF(N($S381)=0,"",$S381)</f>
        <v/>
      </c>
      <c r="AE381" s="49" t="str">
        <f aca="false">IF(AND($D381=客户对账单!$B$3,$B381&gt;=客户对账单!$E$3,$B381&lt;=客户对账单!$H$3),COUNTIFS($D$5:$D381,客户对账单!$B$3,$B$5:$B381,"&gt;="&amp;客户对账单!$E$3,$B$5:$B381,"&lt;="&amp;客户对账单!$H$3),"")</f>
        <v/>
      </c>
    </row>
    <row r="382" customFormat="false" ht="15.75" hidden="false" customHeight="true" outlineLevel="0" collapsed="false">
      <c r="A382" s="42" t="str">
        <f aca="false">IF($B382="","","XS"&amp;TEXT($B382,"yyyymm")&amp;"-"&amp;TEXT(ROW()-4,"000"))</f>
        <v/>
      </c>
      <c r="B382" s="41"/>
      <c r="C382" s="42" t="str">
        <f aca="false">IF($B382="","",TEXT($B382,"yyyy-mm"))</f>
        <v/>
      </c>
      <c r="D382" s="32"/>
      <c r="E382" s="36"/>
      <c r="F382" s="43"/>
      <c r="G382" s="40"/>
      <c r="H382" s="51"/>
      <c r="I382" s="33"/>
      <c r="J382" s="33"/>
      <c r="K382" s="36"/>
      <c r="L382" s="47" t="str">
        <f aca="false">IF($B382="","",IF(NOT(ISNUMBER($B382)),"日期不是日期格式",IF(YEAR($B382)&lt;&gt;首页!$B$3,"不在会计年度",IF($D382="","未选客户",IF(ISNA(MATCH($D382,基础资料!$Z$6:$Z$155,0)),"客户不在档案",IF($E382="","未选商品",IF(ISNA(MATCH($E382,基础资料!$Q$6:$Q$205,0)),"商品不在档案",IF(NOT(ISNUMBER($F382)),"数量须为数字",IF(NOT(ISNUMBER($G382)),"单价须为数字",IF(N($F382)&lt;=0,"数量须大于0",IF(AND(IFERROR(INDEX(基础资料!$V$6:$V$205,MATCH($E382,基础资料!$Q$6:$Q$205,0)),"")="是",N($R382)=0),"无成本价·请先录采购或填参考成本",IF(N($T382)&lt;0,"毛利为负·请核对","√"))))))))))))</f>
        <v/>
      </c>
      <c r="M382" s="49" t="str">
        <f aca="false">IF($E382="","",IFERROR(INDEX(基础资料!$R$6:$R$205,MATCH($E382,基础资料!$Q$6:$Q$205,0)),""))</f>
        <v/>
      </c>
      <c r="N382" s="49" t="str">
        <f aca="false">IF($E382="","",IFERROR(INDEX(基础资料!$S$6:$S$205,MATCH($E382,基础资料!$Q$6:$Q$205,0)),""))</f>
        <v/>
      </c>
      <c r="O382" s="48" t="str">
        <f aca="false">IF(OR($F382="",$G382=""),"",ROUND(N($F382)*N($G382),2))</f>
        <v/>
      </c>
      <c r="P382" s="48" t="str">
        <f aca="false">IF($O382="","",ROUND(N($O382)*N($H382),2))</f>
        <v/>
      </c>
      <c r="Q382" s="48" t="str">
        <f aca="false">IF($O382="","",N($O382)+N($P382))</f>
        <v/>
      </c>
      <c r="R382" s="48" t="str">
        <f aca="false">IF(OR($E382="",$B382=""),"",IF(IFERROR(INDEX(基础资料!$V$6:$V$205,MATCH($E382,基础资料!$Q$6:$Q$205,0)),"")&lt;&gt;"是",0,IFERROR((SUMIFS(期初数据!$T$6:$T$205,期初数据!$O$6:$O$205,$E382)+SUMIFS(采购录入!$Q$5:$Q$404,采购录入!$E$5:$E$404,$E382,采购录入!$I$5:$I$404,"是",采购录入!$B$5:$B$404,"&lt;="&amp;$B382))/(SUMIFS(期初数据!$R$6:$R$205,期初数据!$O$6:$O$205,$E382)+SUMIFS(采购录入!$F$5:$F$404,采购录入!$E$5:$E$404,$E382,采购录入!$I$5:$I$404,"是",采购录入!$B$5:$B$404,"&lt;="&amp;$B382)),IFERROR(INDEX(基础资料!$U$6:$U$205,MATCH($E382,基础资料!$Q$6:$Q$205,0)),0))))</f>
        <v/>
      </c>
      <c r="S382" s="48" t="str">
        <f aca="false">IF($O382="","",ROUND(N($F382)*N($R382),2))</f>
        <v/>
      </c>
      <c r="T382" s="48" t="str">
        <f aca="false">IF($O382="","",N($O382)-N($S382))</f>
        <v/>
      </c>
      <c r="U382" s="52" t="str">
        <f aca="false">IF(OR($B382="",$D382=""),"",$B382+N(IFERROR(INDEX(基础资料!$AB$6:$AB$155,MATCH($D382,基础资料!$Z$6:$Z$155,0)),0)))</f>
        <v/>
      </c>
      <c r="V382" s="49" t="str">
        <f aca="false">IF($O382="","","1122")</f>
        <v/>
      </c>
      <c r="W382" s="49" t="str">
        <f aca="false">IF($O382="","","6001")</f>
        <v/>
      </c>
      <c r="X382" s="48" t="str">
        <f aca="false">IF($O382="","",$O382)</f>
        <v/>
      </c>
      <c r="Y382" s="49" t="str">
        <f aca="false">IF(N($P382)=0,"","1122")</f>
        <v/>
      </c>
      <c r="Z382" s="49" t="str">
        <f aca="false">IF(N($P382)=0,"","2221")</f>
        <v/>
      </c>
      <c r="AA382" s="48" t="str">
        <f aca="false">IF(N($P382)=0,"",$P382)</f>
        <v/>
      </c>
      <c r="AB382" s="49" t="str">
        <f aca="false">IF(N($S382)=0,"","6401")</f>
        <v/>
      </c>
      <c r="AC382" s="49" t="str">
        <f aca="false">IF(N($S382)=0,"","1405")</f>
        <v/>
      </c>
      <c r="AD382" s="48" t="str">
        <f aca="false">IF(N($S382)=0,"",$S382)</f>
        <v/>
      </c>
      <c r="AE382" s="49" t="str">
        <f aca="false">IF(AND($D382=客户对账单!$B$3,$B382&gt;=客户对账单!$E$3,$B382&lt;=客户对账单!$H$3),COUNTIFS($D$5:$D382,客户对账单!$B$3,$B$5:$B382,"&gt;="&amp;客户对账单!$E$3,$B$5:$B382,"&lt;="&amp;客户对账单!$H$3),"")</f>
        <v/>
      </c>
    </row>
    <row r="383" customFormat="false" ht="15.75" hidden="false" customHeight="true" outlineLevel="0" collapsed="false">
      <c r="A383" s="42" t="str">
        <f aca="false">IF($B383="","","XS"&amp;TEXT($B383,"yyyymm")&amp;"-"&amp;TEXT(ROW()-4,"000"))</f>
        <v/>
      </c>
      <c r="B383" s="41"/>
      <c r="C383" s="42" t="str">
        <f aca="false">IF($B383="","",TEXT($B383,"yyyy-mm"))</f>
        <v/>
      </c>
      <c r="D383" s="32"/>
      <c r="E383" s="36"/>
      <c r="F383" s="43"/>
      <c r="G383" s="40"/>
      <c r="H383" s="51"/>
      <c r="I383" s="33"/>
      <c r="J383" s="33"/>
      <c r="K383" s="36"/>
      <c r="L383" s="47" t="str">
        <f aca="false">IF($B383="","",IF(NOT(ISNUMBER($B383)),"日期不是日期格式",IF(YEAR($B383)&lt;&gt;首页!$B$3,"不在会计年度",IF($D383="","未选客户",IF(ISNA(MATCH($D383,基础资料!$Z$6:$Z$155,0)),"客户不在档案",IF($E383="","未选商品",IF(ISNA(MATCH($E383,基础资料!$Q$6:$Q$205,0)),"商品不在档案",IF(NOT(ISNUMBER($F383)),"数量须为数字",IF(NOT(ISNUMBER($G383)),"单价须为数字",IF(N($F383)&lt;=0,"数量须大于0",IF(AND(IFERROR(INDEX(基础资料!$V$6:$V$205,MATCH($E383,基础资料!$Q$6:$Q$205,0)),"")="是",N($R383)=0),"无成本价·请先录采购或填参考成本",IF(N($T383)&lt;0,"毛利为负·请核对","√"))))))))))))</f>
        <v/>
      </c>
      <c r="M383" s="49" t="str">
        <f aca="false">IF($E383="","",IFERROR(INDEX(基础资料!$R$6:$R$205,MATCH($E383,基础资料!$Q$6:$Q$205,0)),""))</f>
        <v/>
      </c>
      <c r="N383" s="49" t="str">
        <f aca="false">IF($E383="","",IFERROR(INDEX(基础资料!$S$6:$S$205,MATCH($E383,基础资料!$Q$6:$Q$205,0)),""))</f>
        <v/>
      </c>
      <c r="O383" s="48" t="str">
        <f aca="false">IF(OR($F383="",$G383=""),"",ROUND(N($F383)*N($G383),2))</f>
        <v/>
      </c>
      <c r="P383" s="48" t="str">
        <f aca="false">IF($O383="","",ROUND(N($O383)*N($H383),2))</f>
        <v/>
      </c>
      <c r="Q383" s="48" t="str">
        <f aca="false">IF($O383="","",N($O383)+N($P383))</f>
        <v/>
      </c>
      <c r="R383" s="48" t="str">
        <f aca="false">IF(OR($E383="",$B383=""),"",IF(IFERROR(INDEX(基础资料!$V$6:$V$205,MATCH($E383,基础资料!$Q$6:$Q$205,0)),"")&lt;&gt;"是",0,IFERROR((SUMIFS(期初数据!$T$6:$T$205,期初数据!$O$6:$O$205,$E383)+SUMIFS(采购录入!$Q$5:$Q$404,采购录入!$E$5:$E$404,$E383,采购录入!$I$5:$I$404,"是",采购录入!$B$5:$B$404,"&lt;="&amp;$B383))/(SUMIFS(期初数据!$R$6:$R$205,期初数据!$O$6:$O$205,$E383)+SUMIFS(采购录入!$F$5:$F$404,采购录入!$E$5:$E$404,$E383,采购录入!$I$5:$I$404,"是",采购录入!$B$5:$B$404,"&lt;="&amp;$B383)),IFERROR(INDEX(基础资料!$U$6:$U$205,MATCH($E383,基础资料!$Q$6:$Q$205,0)),0))))</f>
        <v/>
      </c>
      <c r="S383" s="48" t="str">
        <f aca="false">IF($O383="","",ROUND(N($F383)*N($R383),2))</f>
        <v/>
      </c>
      <c r="T383" s="48" t="str">
        <f aca="false">IF($O383="","",N($O383)-N($S383))</f>
        <v/>
      </c>
      <c r="U383" s="52" t="str">
        <f aca="false">IF(OR($B383="",$D383=""),"",$B383+N(IFERROR(INDEX(基础资料!$AB$6:$AB$155,MATCH($D383,基础资料!$Z$6:$Z$155,0)),0)))</f>
        <v/>
      </c>
      <c r="V383" s="49" t="str">
        <f aca="false">IF($O383="","","1122")</f>
        <v/>
      </c>
      <c r="W383" s="49" t="str">
        <f aca="false">IF($O383="","","6001")</f>
        <v/>
      </c>
      <c r="X383" s="48" t="str">
        <f aca="false">IF($O383="","",$O383)</f>
        <v/>
      </c>
      <c r="Y383" s="49" t="str">
        <f aca="false">IF(N($P383)=0,"","1122")</f>
        <v/>
      </c>
      <c r="Z383" s="49" t="str">
        <f aca="false">IF(N($P383)=0,"","2221")</f>
        <v/>
      </c>
      <c r="AA383" s="48" t="str">
        <f aca="false">IF(N($P383)=0,"",$P383)</f>
        <v/>
      </c>
      <c r="AB383" s="49" t="str">
        <f aca="false">IF(N($S383)=0,"","6401")</f>
        <v/>
      </c>
      <c r="AC383" s="49" t="str">
        <f aca="false">IF(N($S383)=0,"","1405")</f>
        <v/>
      </c>
      <c r="AD383" s="48" t="str">
        <f aca="false">IF(N($S383)=0,"",$S383)</f>
        <v/>
      </c>
      <c r="AE383" s="49" t="str">
        <f aca="false">IF(AND($D383=客户对账单!$B$3,$B383&gt;=客户对账单!$E$3,$B383&lt;=客户对账单!$H$3),COUNTIFS($D$5:$D383,客户对账单!$B$3,$B$5:$B383,"&gt;="&amp;客户对账单!$E$3,$B$5:$B383,"&lt;="&amp;客户对账单!$H$3),"")</f>
        <v/>
      </c>
    </row>
    <row r="384" customFormat="false" ht="15.75" hidden="false" customHeight="true" outlineLevel="0" collapsed="false">
      <c r="A384" s="42" t="str">
        <f aca="false">IF($B384="","","XS"&amp;TEXT($B384,"yyyymm")&amp;"-"&amp;TEXT(ROW()-4,"000"))</f>
        <v/>
      </c>
      <c r="B384" s="41"/>
      <c r="C384" s="42" t="str">
        <f aca="false">IF($B384="","",TEXT($B384,"yyyy-mm"))</f>
        <v/>
      </c>
      <c r="D384" s="32"/>
      <c r="E384" s="36"/>
      <c r="F384" s="43"/>
      <c r="G384" s="40"/>
      <c r="H384" s="51"/>
      <c r="I384" s="33"/>
      <c r="J384" s="33"/>
      <c r="K384" s="36"/>
      <c r="L384" s="47" t="str">
        <f aca="false">IF($B384="","",IF(NOT(ISNUMBER($B384)),"日期不是日期格式",IF(YEAR($B384)&lt;&gt;首页!$B$3,"不在会计年度",IF($D384="","未选客户",IF(ISNA(MATCH($D384,基础资料!$Z$6:$Z$155,0)),"客户不在档案",IF($E384="","未选商品",IF(ISNA(MATCH($E384,基础资料!$Q$6:$Q$205,0)),"商品不在档案",IF(NOT(ISNUMBER($F384)),"数量须为数字",IF(NOT(ISNUMBER($G384)),"单价须为数字",IF(N($F384)&lt;=0,"数量须大于0",IF(AND(IFERROR(INDEX(基础资料!$V$6:$V$205,MATCH($E384,基础资料!$Q$6:$Q$205,0)),"")="是",N($R384)=0),"无成本价·请先录采购或填参考成本",IF(N($T384)&lt;0,"毛利为负·请核对","√"))))))))))))</f>
        <v/>
      </c>
      <c r="M384" s="49" t="str">
        <f aca="false">IF($E384="","",IFERROR(INDEX(基础资料!$R$6:$R$205,MATCH($E384,基础资料!$Q$6:$Q$205,0)),""))</f>
        <v/>
      </c>
      <c r="N384" s="49" t="str">
        <f aca="false">IF($E384="","",IFERROR(INDEX(基础资料!$S$6:$S$205,MATCH($E384,基础资料!$Q$6:$Q$205,0)),""))</f>
        <v/>
      </c>
      <c r="O384" s="48" t="str">
        <f aca="false">IF(OR($F384="",$G384=""),"",ROUND(N($F384)*N($G384),2))</f>
        <v/>
      </c>
      <c r="P384" s="48" t="str">
        <f aca="false">IF($O384="","",ROUND(N($O384)*N($H384),2))</f>
        <v/>
      </c>
      <c r="Q384" s="48" t="str">
        <f aca="false">IF($O384="","",N($O384)+N($P384))</f>
        <v/>
      </c>
      <c r="R384" s="48" t="str">
        <f aca="false">IF(OR($E384="",$B384=""),"",IF(IFERROR(INDEX(基础资料!$V$6:$V$205,MATCH($E384,基础资料!$Q$6:$Q$205,0)),"")&lt;&gt;"是",0,IFERROR((SUMIFS(期初数据!$T$6:$T$205,期初数据!$O$6:$O$205,$E384)+SUMIFS(采购录入!$Q$5:$Q$404,采购录入!$E$5:$E$404,$E384,采购录入!$I$5:$I$404,"是",采购录入!$B$5:$B$404,"&lt;="&amp;$B384))/(SUMIFS(期初数据!$R$6:$R$205,期初数据!$O$6:$O$205,$E384)+SUMIFS(采购录入!$F$5:$F$404,采购录入!$E$5:$E$404,$E384,采购录入!$I$5:$I$404,"是",采购录入!$B$5:$B$404,"&lt;="&amp;$B384)),IFERROR(INDEX(基础资料!$U$6:$U$205,MATCH($E384,基础资料!$Q$6:$Q$205,0)),0))))</f>
        <v/>
      </c>
      <c r="S384" s="48" t="str">
        <f aca="false">IF($O384="","",ROUND(N($F384)*N($R384),2))</f>
        <v/>
      </c>
      <c r="T384" s="48" t="str">
        <f aca="false">IF($O384="","",N($O384)-N($S384))</f>
        <v/>
      </c>
      <c r="U384" s="52" t="str">
        <f aca="false">IF(OR($B384="",$D384=""),"",$B384+N(IFERROR(INDEX(基础资料!$AB$6:$AB$155,MATCH($D384,基础资料!$Z$6:$Z$155,0)),0)))</f>
        <v/>
      </c>
      <c r="V384" s="49" t="str">
        <f aca="false">IF($O384="","","1122")</f>
        <v/>
      </c>
      <c r="W384" s="49" t="str">
        <f aca="false">IF($O384="","","6001")</f>
        <v/>
      </c>
      <c r="X384" s="48" t="str">
        <f aca="false">IF($O384="","",$O384)</f>
        <v/>
      </c>
      <c r="Y384" s="49" t="str">
        <f aca="false">IF(N($P384)=0,"","1122")</f>
        <v/>
      </c>
      <c r="Z384" s="49" t="str">
        <f aca="false">IF(N($P384)=0,"","2221")</f>
        <v/>
      </c>
      <c r="AA384" s="48" t="str">
        <f aca="false">IF(N($P384)=0,"",$P384)</f>
        <v/>
      </c>
      <c r="AB384" s="49" t="str">
        <f aca="false">IF(N($S384)=0,"","6401")</f>
        <v/>
      </c>
      <c r="AC384" s="49" t="str">
        <f aca="false">IF(N($S384)=0,"","1405")</f>
        <v/>
      </c>
      <c r="AD384" s="48" t="str">
        <f aca="false">IF(N($S384)=0,"",$S384)</f>
        <v/>
      </c>
      <c r="AE384" s="49" t="str">
        <f aca="false">IF(AND($D384=客户对账单!$B$3,$B384&gt;=客户对账单!$E$3,$B384&lt;=客户对账单!$H$3),COUNTIFS($D$5:$D384,客户对账单!$B$3,$B$5:$B384,"&gt;="&amp;客户对账单!$E$3,$B$5:$B384,"&lt;="&amp;客户对账单!$H$3),"")</f>
        <v/>
      </c>
    </row>
    <row r="385" customFormat="false" ht="15.75" hidden="false" customHeight="true" outlineLevel="0" collapsed="false">
      <c r="A385" s="42" t="str">
        <f aca="false">IF($B385="","","XS"&amp;TEXT($B385,"yyyymm")&amp;"-"&amp;TEXT(ROW()-4,"000"))</f>
        <v/>
      </c>
      <c r="B385" s="41"/>
      <c r="C385" s="42" t="str">
        <f aca="false">IF($B385="","",TEXT($B385,"yyyy-mm"))</f>
        <v/>
      </c>
      <c r="D385" s="32"/>
      <c r="E385" s="36"/>
      <c r="F385" s="43"/>
      <c r="G385" s="40"/>
      <c r="H385" s="51"/>
      <c r="I385" s="33"/>
      <c r="J385" s="33"/>
      <c r="K385" s="36"/>
      <c r="L385" s="47" t="str">
        <f aca="false">IF($B385="","",IF(NOT(ISNUMBER($B385)),"日期不是日期格式",IF(YEAR($B385)&lt;&gt;首页!$B$3,"不在会计年度",IF($D385="","未选客户",IF(ISNA(MATCH($D385,基础资料!$Z$6:$Z$155,0)),"客户不在档案",IF($E385="","未选商品",IF(ISNA(MATCH($E385,基础资料!$Q$6:$Q$205,0)),"商品不在档案",IF(NOT(ISNUMBER($F385)),"数量须为数字",IF(NOT(ISNUMBER($G385)),"单价须为数字",IF(N($F385)&lt;=0,"数量须大于0",IF(AND(IFERROR(INDEX(基础资料!$V$6:$V$205,MATCH($E385,基础资料!$Q$6:$Q$205,0)),"")="是",N($R385)=0),"无成本价·请先录采购或填参考成本",IF(N($T385)&lt;0,"毛利为负·请核对","√"))))))))))))</f>
        <v/>
      </c>
      <c r="M385" s="49" t="str">
        <f aca="false">IF($E385="","",IFERROR(INDEX(基础资料!$R$6:$R$205,MATCH($E385,基础资料!$Q$6:$Q$205,0)),""))</f>
        <v/>
      </c>
      <c r="N385" s="49" t="str">
        <f aca="false">IF($E385="","",IFERROR(INDEX(基础资料!$S$6:$S$205,MATCH($E385,基础资料!$Q$6:$Q$205,0)),""))</f>
        <v/>
      </c>
      <c r="O385" s="48" t="str">
        <f aca="false">IF(OR($F385="",$G385=""),"",ROUND(N($F385)*N($G385),2))</f>
        <v/>
      </c>
      <c r="P385" s="48" t="str">
        <f aca="false">IF($O385="","",ROUND(N($O385)*N($H385),2))</f>
        <v/>
      </c>
      <c r="Q385" s="48" t="str">
        <f aca="false">IF($O385="","",N($O385)+N($P385))</f>
        <v/>
      </c>
      <c r="R385" s="48" t="str">
        <f aca="false">IF(OR($E385="",$B385=""),"",IF(IFERROR(INDEX(基础资料!$V$6:$V$205,MATCH($E385,基础资料!$Q$6:$Q$205,0)),"")&lt;&gt;"是",0,IFERROR((SUMIFS(期初数据!$T$6:$T$205,期初数据!$O$6:$O$205,$E385)+SUMIFS(采购录入!$Q$5:$Q$404,采购录入!$E$5:$E$404,$E385,采购录入!$I$5:$I$404,"是",采购录入!$B$5:$B$404,"&lt;="&amp;$B385))/(SUMIFS(期初数据!$R$6:$R$205,期初数据!$O$6:$O$205,$E385)+SUMIFS(采购录入!$F$5:$F$404,采购录入!$E$5:$E$404,$E385,采购录入!$I$5:$I$404,"是",采购录入!$B$5:$B$404,"&lt;="&amp;$B385)),IFERROR(INDEX(基础资料!$U$6:$U$205,MATCH($E385,基础资料!$Q$6:$Q$205,0)),0))))</f>
        <v/>
      </c>
      <c r="S385" s="48" t="str">
        <f aca="false">IF($O385="","",ROUND(N($F385)*N($R385),2))</f>
        <v/>
      </c>
      <c r="T385" s="48" t="str">
        <f aca="false">IF($O385="","",N($O385)-N($S385))</f>
        <v/>
      </c>
      <c r="U385" s="52" t="str">
        <f aca="false">IF(OR($B385="",$D385=""),"",$B385+N(IFERROR(INDEX(基础资料!$AB$6:$AB$155,MATCH($D385,基础资料!$Z$6:$Z$155,0)),0)))</f>
        <v/>
      </c>
      <c r="V385" s="49" t="str">
        <f aca="false">IF($O385="","","1122")</f>
        <v/>
      </c>
      <c r="W385" s="49" t="str">
        <f aca="false">IF($O385="","","6001")</f>
        <v/>
      </c>
      <c r="X385" s="48" t="str">
        <f aca="false">IF($O385="","",$O385)</f>
        <v/>
      </c>
      <c r="Y385" s="49" t="str">
        <f aca="false">IF(N($P385)=0,"","1122")</f>
        <v/>
      </c>
      <c r="Z385" s="49" t="str">
        <f aca="false">IF(N($P385)=0,"","2221")</f>
        <v/>
      </c>
      <c r="AA385" s="48" t="str">
        <f aca="false">IF(N($P385)=0,"",$P385)</f>
        <v/>
      </c>
      <c r="AB385" s="49" t="str">
        <f aca="false">IF(N($S385)=0,"","6401")</f>
        <v/>
      </c>
      <c r="AC385" s="49" t="str">
        <f aca="false">IF(N($S385)=0,"","1405")</f>
        <v/>
      </c>
      <c r="AD385" s="48" t="str">
        <f aca="false">IF(N($S385)=0,"",$S385)</f>
        <v/>
      </c>
      <c r="AE385" s="49" t="str">
        <f aca="false">IF(AND($D385=客户对账单!$B$3,$B385&gt;=客户对账单!$E$3,$B385&lt;=客户对账单!$H$3),COUNTIFS($D$5:$D385,客户对账单!$B$3,$B$5:$B385,"&gt;="&amp;客户对账单!$E$3,$B$5:$B385,"&lt;="&amp;客户对账单!$H$3),"")</f>
        <v/>
      </c>
    </row>
    <row r="386" customFormat="false" ht="15.75" hidden="false" customHeight="true" outlineLevel="0" collapsed="false">
      <c r="A386" s="42" t="str">
        <f aca="false">IF($B386="","","XS"&amp;TEXT($B386,"yyyymm")&amp;"-"&amp;TEXT(ROW()-4,"000"))</f>
        <v/>
      </c>
      <c r="B386" s="41"/>
      <c r="C386" s="42" t="str">
        <f aca="false">IF($B386="","",TEXT($B386,"yyyy-mm"))</f>
        <v/>
      </c>
      <c r="D386" s="32"/>
      <c r="E386" s="36"/>
      <c r="F386" s="43"/>
      <c r="G386" s="40"/>
      <c r="H386" s="51"/>
      <c r="I386" s="33"/>
      <c r="J386" s="33"/>
      <c r="K386" s="36"/>
      <c r="L386" s="47" t="str">
        <f aca="false">IF($B386="","",IF(NOT(ISNUMBER($B386)),"日期不是日期格式",IF(YEAR($B386)&lt;&gt;首页!$B$3,"不在会计年度",IF($D386="","未选客户",IF(ISNA(MATCH($D386,基础资料!$Z$6:$Z$155,0)),"客户不在档案",IF($E386="","未选商品",IF(ISNA(MATCH($E386,基础资料!$Q$6:$Q$205,0)),"商品不在档案",IF(NOT(ISNUMBER($F386)),"数量须为数字",IF(NOT(ISNUMBER($G386)),"单价须为数字",IF(N($F386)&lt;=0,"数量须大于0",IF(AND(IFERROR(INDEX(基础资料!$V$6:$V$205,MATCH($E386,基础资料!$Q$6:$Q$205,0)),"")="是",N($R386)=0),"无成本价·请先录采购或填参考成本",IF(N($T386)&lt;0,"毛利为负·请核对","√"))))))))))))</f>
        <v/>
      </c>
      <c r="M386" s="49" t="str">
        <f aca="false">IF($E386="","",IFERROR(INDEX(基础资料!$R$6:$R$205,MATCH($E386,基础资料!$Q$6:$Q$205,0)),""))</f>
        <v/>
      </c>
      <c r="N386" s="49" t="str">
        <f aca="false">IF($E386="","",IFERROR(INDEX(基础资料!$S$6:$S$205,MATCH($E386,基础资料!$Q$6:$Q$205,0)),""))</f>
        <v/>
      </c>
      <c r="O386" s="48" t="str">
        <f aca="false">IF(OR($F386="",$G386=""),"",ROUND(N($F386)*N($G386),2))</f>
        <v/>
      </c>
      <c r="P386" s="48" t="str">
        <f aca="false">IF($O386="","",ROUND(N($O386)*N($H386),2))</f>
        <v/>
      </c>
      <c r="Q386" s="48" t="str">
        <f aca="false">IF($O386="","",N($O386)+N($P386))</f>
        <v/>
      </c>
      <c r="R386" s="48" t="str">
        <f aca="false">IF(OR($E386="",$B386=""),"",IF(IFERROR(INDEX(基础资料!$V$6:$V$205,MATCH($E386,基础资料!$Q$6:$Q$205,0)),"")&lt;&gt;"是",0,IFERROR((SUMIFS(期初数据!$T$6:$T$205,期初数据!$O$6:$O$205,$E386)+SUMIFS(采购录入!$Q$5:$Q$404,采购录入!$E$5:$E$404,$E386,采购录入!$I$5:$I$404,"是",采购录入!$B$5:$B$404,"&lt;="&amp;$B386))/(SUMIFS(期初数据!$R$6:$R$205,期初数据!$O$6:$O$205,$E386)+SUMIFS(采购录入!$F$5:$F$404,采购录入!$E$5:$E$404,$E386,采购录入!$I$5:$I$404,"是",采购录入!$B$5:$B$404,"&lt;="&amp;$B386)),IFERROR(INDEX(基础资料!$U$6:$U$205,MATCH($E386,基础资料!$Q$6:$Q$205,0)),0))))</f>
        <v/>
      </c>
      <c r="S386" s="48" t="str">
        <f aca="false">IF($O386="","",ROUND(N($F386)*N($R386),2))</f>
        <v/>
      </c>
      <c r="T386" s="48" t="str">
        <f aca="false">IF($O386="","",N($O386)-N($S386))</f>
        <v/>
      </c>
      <c r="U386" s="52" t="str">
        <f aca="false">IF(OR($B386="",$D386=""),"",$B386+N(IFERROR(INDEX(基础资料!$AB$6:$AB$155,MATCH($D386,基础资料!$Z$6:$Z$155,0)),0)))</f>
        <v/>
      </c>
      <c r="V386" s="49" t="str">
        <f aca="false">IF($O386="","","1122")</f>
        <v/>
      </c>
      <c r="W386" s="49" t="str">
        <f aca="false">IF($O386="","","6001")</f>
        <v/>
      </c>
      <c r="X386" s="48" t="str">
        <f aca="false">IF($O386="","",$O386)</f>
        <v/>
      </c>
      <c r="Y386" s="49" t="str">
        <f aca="false">IF(N($P386)=0,"","1122")</f>
        <v/>
      </c>
      <c r="Z386" s="49" t="str">
        <f aca="false">IF(N($P386)=0,"","2221")</f>
        <v/>
      </c>
      <c r="AA386" s="48" t="str">
        <f aca="false">IF(N($P386)=0,"",$P386)</f>
        <v/>
      </c>
      <c r="AB386" s="49" t="str">
        <f aca="false">IF(N($S386)=0,"","6401")</f>
        <v/>
      </c>
      <c r="AC386" s="49" t="str">
        <f aca="false">IF(N($S386)=0,"","1405")</f>
        <v/>
      </c>
      <c r="AD386" s="48" t="str">
        <f aca="false">IF(N($S386)=0,"",$S386)</f>
        <v/>
      </c>
      <c r="AE386" s="49" t="str">
        <f aca="false">IF(AND($D386=客户对账单!$B$3,$B386&gt;=客户对账单!$E$3,$B386&lt;=客户对账单!$H$3),COUNTIFS($D$5:$D386,客户对账单!$B$3,$B$5:$B386,"&gt;="&amp;客户对账单!$E$3,$B$5:$B386,"&lt;="&amp;客户对账单!$H$3),"")</f>
        <v/>
      </c>
    </row>
    <row r="387" customFormat="false" ht="15.75" hidden="false" customHeight="true" outlineLevel="0" collapsed="false">
      <c r="A387" s="42" t="str">
        <f aca="false">IF($B387="","","XS"&amp;TEXT($B387,"yyyymm")&amp;"-"&amp;TEXT(ROW()-4,"000"))</f>
        <v/>
      </c>
      <c r="B387" s="41"/>
      <c r="C387" s="42" t="str">
        <f aca="false">IF($B387="","",TEXT($B387,"yyyy-mm"))</f>
        <v/>
      </c>
      <c r="D387" s="32"/>
      <c r="E387" s="36"/>
      <c r="F387" s="43"/>
      <c r="G387" s="40"/>
      <c r="H387" s="51"/>
      <c r="I387" s="33"/>
      <c r="J387" s="33"/>
      <c r="K387" s="36"/>
      <c r="L387" s="47" t="str">
        <f aca="false">IF($B387="","",IF(NOT(ISNUMBER($B387)),"日期不是日期格式",IF(YEAR($B387)&lt;&gt;首页!$B$3,"不在会计年度",IF($D387="","未选客户",IF(ISNA(MATCH($D387,基础资料!$Z$6:$Z$155,0)),"客户不在档案",IF($E387="","未选商品",IF(ISNA(MATCH($E387,基础资料!$Q$6:$Q$205,0)),"商品不在档案",IF(NOT(ISNUMBER($F387)),"数量须为数字",IF(NOT(ISNUMBER($G387)),"单价须为数字",IF(N($F387)&lt;=0,"数量须大于0",IF(AND(IFERROR(INDEX(基础资料!$V$6:$V$205,MATCH($E387,基础资料!$Q$6:$Q$205,0)),"")="是",N($R387)=0),"无成本价·请先录采购或填参考成本",IF(N($T387)&lt;0,"毛利为负·请核对","√"))))))))))))</f>
        <v/>
      </c>
      <c r="M387" s="49" t="str">
        <f aca="false">IF($E387="","",IFERROR(INDEX(基础资料!$R$6:$R$205,MATCH($E387,基础资料!$Q$6:$Q$205,0)),""))</f>
        <v/>
      </c>
      <c r="N387" s="49" t="str">
        <f aca="false">IF($E387="","",IFERROR(INDEX(基础资料!$S$6:$S$205,MATCH($E387,基础资料!$Q$6:$Q$205,0)),""))</f>
        <v/>
      </c>
      <c r="O387" s="48" t="str">
        <f aca="false">IF(OR($F387="",$G387=""),"",ROUND(N($F387)*N($G387),2))</f>
        <v/>
      </c>
      <c r="P387" s="48" t="str">
        <f aca="false">IF($O387="","",ROUND(N($O387)*N($H387),2))</f>
        <v/>
      </c>
      <c r="Q387" s="48" t="str">
        <f aca="false">IF($O387="","",N($O387)+N($P387))</f>
        <v/>
      </c>
      <c r="R387" s="48" t="str">
        <f aca="false">IF(OR($E387="",$B387=""),"",IF(IFERROR(INDEX(基础资料!$V$6:$V$205,MATCH($E387,基础资料!$Q$6:$Q$205,0)),"")&lt;&gt;"是",0,IFERROR((SUMIFS(期初数据!$T$6:$T$205,期初数据!$O$6:$O$205,$E387)+SUMIFS(采购录入!$Q$5:$Q$404,采购录入!$E$5:$E$404,$E387,采购录入!$I$5:$I$404,"是",采购录入!$B$5:$B$404,"&lt;="&amp;$B387))/(SUMIFS(期初数据!$R$6:$R$205,期初数据!$O$6:$O$205,$E387)+SUMIFS(采购录入!$F$5:$F$404,采购录入!$E$5:$E$404,$E387,采购录入!$I$5:$I$404,"是",采购录入!$B$5:$B$404,"&lt;="&amp;$B387)),IFERROR(INDEX(基础资料!$U$6:$U$205,MATCH($E387,基础资料!$Q$6:$Q$205,0)),0))))</f>
        <v/>
      </c>
      <c r="S387" s="48" t="str">
        <f aca="false">IF($O387="","",ROUND(N($F387)*N($R387),2))</f>
        <v/>
      </c>
      <c r="T387" s="48" t="str">
        <f aca="false">IF($O387="","",N($O387)-N($S387))</f>
        <v/>
      </c>
      <c r="U387" s="52" t="str">
        <f aca="false">IF(OR($B387="",$D387=""),"",$B387+N(IFERROR(INDEX(基础资料!$AB$6:$AB$155,MATCH($D387,基础资料!$Z$6:$Z$155,0)),0)))</f>
        <v/>
      </c>
      <c r="V387" s="49" t="str">
        <f aca="false">IF($O387="","","1122")</f>
        <v/>
      </c>
      <c r="W387" s="49" t="str">
        <f aca="false">IF($O387="","","6001")</f>
        <v/>
      </c>
      <c r="X387" s="48" t="str">
        <f aca="false">IF($O387="","",$O387)</f>
        <v/>
      </c>
      <c r="Y387" s="49" t="str">
        <f aca="false">IF(N($P387)=0,"","1122")</f>
        <v/>
      </c>
      <c r="Z387" s="49" t="str">
        <f aca="false">IF(N($P387)=0,"","2221")</f>
        <v/>
      </c>
      <c r="AA387" s="48" t="str">
        <f aca="false">IF(N($P387)=0,"",$P387)</f>
        <v/>
      </c>
      <c r="AB387" s="49" t="str">
        <f aca="false">IF(N($S387)=0,"","6401")</f>
        <v/>
      </c>
      <c r="AC387" s="49" t="str">
        <f aca="false">IF(N($S387)=0,"","1405")</f>
        <v/>
      </c>
      <c r="AD387" s="48" t="str">
        <f aca="false">IF(N($S387)=0,"",$S387)</f>
        <v/>
      </c>
      <c r="AE387" s="49" t="str">
        <f aca="false">IF(AND($D387=客户对账单!$B$3,$B387&gt;=客户对账单!$E$3,$B387&lt;=客户对账单!$H$3),COUNTIFS($D$5:$D387,客户对账单!$B$3,$B$5:$B387,"&gt;="&amp;客户对账单!$E$3,$B$5:$B387,"&lt;="&amp;客户对账单!$H$3),"")</f>
        <v/>
      </c>
    </row>
    <row r="388" customFormat="false" ht="15.75" hidden="false" customHeight="true" outlineLevel="0" collapsed="false">
      <c r="A388" s="42" t="str">
        <f aca="false">IF($B388="","","XS"&amp;TEXT($B388,"yyyymm")&amp;"-"&amp;TEXT(ROW()-4,"000"))</f>
        <v/>
      </c>
      <c r="B388" s="41"/>
      <c r="C388" s="42" t="str">
        <f aca="false">IF($B388="","",TEXT($B388,"yyyy-mm"))</f>
        <v/>
      </c>
      <c r="D388" s="32"/>
      <c r="E388" s="36"/>
      <c r="F388" s="43"/>
      <c r="G388" s="40"/>
      <c r="H388" s="51"/>
      <c r="I388" s="33"/>
      <c r="J388" s="33"/>
      <c r="K388" s="36"/>
      <c r="L388" s="47" t="str">
        <f aca="false">IF($B388="","",IF(NOT(ISNUMBER($B388)),"日期不是日期格式",IF(YEAR($B388)&lt;&gt;首页!$B$3,"不在会计年度",IF($D388="","未选客户",IF(ISNA(MATCH($D388,基础资料!$Z$6:$Z$155,0)),"客户不在档案",IF($E388="","未选商品",IF(ISNA(MATCH($E388,基础资料!$Q$6:$Q$205,0)),"商品不在档案",IF(NOT(ISNUMBER($F388)),"数量须为数字",IF(NOT(ISNUMBER($G388)),"单价须为数字",IF(N($F388)&lt;=0,"数量须大于0",IF(AND(IFERROR(INDEX(基础资料!$V$6:$V$205,MATCH($E388,基础资料!$Q$6:$Q$205,0)),"")="是",N($R388)=0),"无成本价·请先录采购或填参考成本",IF(N($T388)&lt;0,"毛利为负·请核对","√"))))))))))))</f>
        <v/>
      </c>
      <c r="M388" s="49" t="str">
        <f aca="false">IF($E388="","",IFERROR(INDEX(基础资料!$R$6:$R$205,MATCH($E388,基础资料!$Q$6:$Q$205,0)),""))</f>
        <v/>
      </c>
      <c r="N388" s="49" t="str">
        <f aca="false">IF($E388="","",IFERROR(INDEX(基础资料!$S$6:$S$205,MATCH($E388,基础资料!$Q$6:$Q$205,0)),""))</f>
        <v/>
      </c>
      <c r="O388" s="48" t="str">
        <f aca="false">IF(OR($F388="",$G388=""),"",ROUND(N($F388)*N($G388),2))</f>
        <v/>
      </c>
      <c r="P388" s="48" t="str">
        <f aca="false">IF($O388="","",ROUND(N($O388)*N($H388),2))</f>
        <v/>
      </c>
      <c r="Q388" s="48" t="str">
        <f aca="false">IF($O388="","",N($O388)+N($P388))</f>
        <v/>
      </c>
      <c r="R388" s="48" t="str">
        <f aca="false">IF(OR($E388="",$B388=""),"",IF(IFERROR(INDEX(基础资料!$V$6:$V$205,MATCH($E388,基础资料!$Q$6:$Q$205,0)),"")&lt;&gt;"是",0,IFERROR((SUMIFS(期初数据!$T$6:$T$205,期初数据!$O$6:$O$205,$E388)+SUMIFS(采购录入!$Q$5:$Q$404,采购录入!$E$5:$E$404,$E388,采购录入!$I$5:$I$404,"是",采购录入!$B$5:$B$404,"&lt;="&amp;$B388))/(SUMIFS(期初数据!$R$6:$R$205,期初数据!$O$6:$O$205,$E388)+SUMIFS(采购录入!$F$5:$F$404,采购录入!$E$5:$E$404,$E388,采购录入!$I$5:$I$404,"是",采购录入!$B$5:$B$404,"&lt;="&amp;$B388)),IFERROR(INDEX(基础资料!$U$6:$U$205,MATCH($E388,基础资料!$Q$6:$Q$205,0)),0))))</f>
        <v/>
      </c>
      <c r="S388" s="48" t="str">
        <f aca="false">IF($O388="","",ROUND(N($F388)*N($R388),2))</f>
        <v/>
      </c>
      <c r="T388" s="48" t="str">
        <f aca="false">IF($O388="","",N($O388)-N($S388))</f>
        <v/>
      </c>
      <c r="U388" s="52" t="str">
        <f aca="false">IF(OR($B388="",$D388=""),"",$B388+N(IFERROR(INDEX(基础资料!$AB$6:$AB$155,MATCH($D388,基础资料!$Z$6:$Z$155,0)),0)))</f>
        <v/>
      </c>
      <c r="V388" s="49" t="str">
        <f aca="false">IF($O388="","","1122")</f>
        <v/>
      </c>
      <c r="W388" s="49" t="str">
        <f aca="false">IF($O388="","","6001")</f>
        <v/>
      </c>
      <c r="X388" s="48" t="str">
        <f aca="false">IF($O388="","",$O388)</f>
        <v/>
      </c>
      <c r="Y388" s="49" t="str">
        <f aca="false">IF(N($P388)=0,"","1122")</f>
        <v/>
      </c>
      <c r="Z388" s="49" t="str">
        <f aca="false">IF(N($P388)=0,"","2221")</f>
        <v/>
      </c>
      <c r="AA388" s="48" t="str">
        <f aca="false">IF(N($P388)=0,"",$P388)</f>
        <v/>
      </c>
      <c r="AB388" s="49" t="str">
        <f aca="false">IF(N($S388)=0,"","6401")</f>
        <v/>
      </c>
      <c r="AC388" s="49" t="str">
        <f aca="false">IF(N($S388)=0,"","1405")</f>
        <v/>
      </c>
      <c r="AD388" s="48" t="str">
        <f aca="false">IF(N($S388)=0,"",$S388)</f>
        <v/>
      </c>
      <c r="AE388" s="49" t="str">
        <f aca="false">IF(AND($D388=客户对账单!$B$3,$B388&gt;=客户对账单!$E$3,$B388&lt;=客户对账单!$H$3),COUNTIFS($D$5:$D388,客户对账单!$B$3,$B$5:$B388,"&gt;="&amp;客户对账单!$E$3,$B$5:$B388,"&lt;="&amp;客户对账单!$H$3),"")</f>
        <v/>
      </c>
    </row>
    <row r="389" customFormat="false" ht="15.75" hidden="false" customHeight="true" outlineLevel="0" collapsed="false">
      <c r="A389" s="42" t="str">
        <f aca="false">IF($B389="","","XS"&amp;TEXT($B389,"yyyymm")&amp;"-"&amp;TEXT(ROW()-4,"000"))</f>
        <v/>
      </c>
      <c r="B389" s="41"/>
      <c r="C389" s="42" t="str">
        <f aca="false">IF($B389="","",TEXT($B389,"yyyy-mm"))</f>
        <v/>
      </c>
      <c r="D389" s="32"/>
      <c r="E389" s="36"/>
      <c r="F389" s="43"/>
      <c r="G389" s="40"/>
      <c r="H389" s="51"/>
      <c r="I389" s="33"/>
      <c r="J389" s="33"/>
      <c r="K389" s="36"/>
      <c r="L389" s="47" t="str">
        <f aca="false">IF($B389="","",IF(NOT(ISNUMBER($B389)),"日期不是日期格式",IF(YEAR($B389)&lt;&gt;首页!$B$3,"不在会计年度",IF($D389="","未选客户",IF(ISNA(MATCH($D389,基础资料!$Z$6:$Z$155,0)),"客户不在档案",IF($E389="","未选商品",IF(ISNA(MATCH($E389,基础资料!$Q$6:$Q$205,0)),"商品不在档案",IF(NOT(ISNUMBER($F389)),"数量须为数字",IF(NOT(ISNUMBER($G389)),"单价须为数字",IF(N($F389)&lt;=0,"数量须大于0",IF(AND(IFERROR(INDEX(基础资料!$V$6:$V$205,MATCH($E389,基础资料!$Q$6:$Q$205,0)),"")="是",N($R389)=0),"无成本价·请先录采购或填参考成本",IF(N($T389)&lt;0,"毛利为负·请核对","√"))))))))))))</f>
        <v/>
      </c>
      <c r="M389" s="49" t="str">
        <f aca="false">IF($E389="","",IFERROR(INDEX(基础资料!$R$6:$R$205,MATCH($E389,基础资料!$Q$6:$Q$205,0)),""))</f>
        <v/>
      </c>
      <c r="N389" s="49" t="str">
        <f aca="false">IF($E389="","",IFERROR(INDEX(基础资料!$S$6:$S$205,MATCH($E389,基础资料!$Q$6:$Q$205,0)),""))</f>
        <v/>
      </c>
      <c r="O389" s="48" t="str">
        <f aca="false">IF(OR($F389="",$G389=""),"",ROUND(N($F389)*N($G389),2))</f>
        <v/>
      </c>
      <c r="P389" s="48" t="str">
        <f aca="false">IF($O389="","",ROUND(N($O389)*N($H389),2))</f>
        <v/>
      </c>
      <c r="Q389" s="48" t="str">
        <f aca="false">IF($O389="","",N($O389)+N($P389))</f>
        <v/>
      </c>
      <c r="R389" s="48" t="str">
        <f aca="false">IF(OR($E389="",$B389=""),"",IF(IFERROR(INDEX(基础资料!$V$6:$V$205,MATCH($E389,基础资料!$Q$6:$Q$205,0)),"")&lt;&gt;"是",0,IFERROR((SUMIFS(期初数据!$T$6:$T$205,期初数据!$O$6:$O$205,$E389)+SUMIFS(采购录入!$Q$5:$Q$404,采购录入!$E$5:$E$404,$E389,采购录入!$I$5:$I$404,"是",采购录入!$B$5:$B$404,"&lt;="&amp;$B389))/(SUMIFS(期初数据!$R$6:$R$205,期初数据!$O$6:$O$205,$E389)+SUMIFS(采购录入!$F$5:$F$404,采购录入!$E$5:$E$404,$E389,采购录入!$I$5:$I$404,"是",采购录入!$B$5:$B$404,"&lt;="&amp;$B389)),IFERROR(INDEX(基础资料!$U$6:$U$205,MATCH($E389,基础资料!$Q$6:$Q$205,0)),0))))</f>
        <v/>
      </c>
      <c r="S389" s="48" t="str">
        <f aca="false">IF($O389="","",ROUND(N($F389)*N($R389),2))</f>
        <v/>
      </c>
      <c r="T389" s="48" t="str">
        <f aca="false">IF($O389="","",N($O389)-N($S389))</f>
        <v/>
      </c>
      <c r="U389" s="52" t="str">
        <f aca="false">IF(OR($B389="",$D389=""),"",$B389+N(IFERROR(INDEX(基础资料!$AB$6:$AB$155,MATCH($D389,基础资料!$Z$6:$Z$155,0)),0)))</f>
        <v/>
      </c>
      <c r="V389" s="49" t="str">
        <f aca="false">IF($O389="","","1122")</f>
        <v/>
      </c>
      <c r="W389" s="49" t="str">
        <f aca="false">IF($O389="","","6001")</f>
        <v/>
      </c>
      <c r="X389" s="48" t="str">
        <f aca="false">IF($O389="","",$O389)</f>
        <v/>
      </c>
      <c r="Y389" s="49" t="str">
        <f aca="false">IF(N($P389)=0,"","1122")</f>
        <v/>
      </c>
      <c r="Z389" s="49" t="str">
        <f aca="false">IF(N($P389)=0,"","2221")</f>
        <v/>
      </c>
      <c r="AA389" s="48" t="str">
        <f aca="false">IF(N($P389)=0,"",$P389)</f>
        <v/>
      </c>
      <c r="AB389" s="49" t="str">
        <f aca="false">IF(N($S389)=0,"","6401")</f>
        <v/>
      </c>
      <c r="AC389" s="49" t="str">
        <f aca="false">IF(N($S389)=0,"","1405")</f>
        <v/>
      </c>
      <c r="AD389" s="48" t="str">
        <f aca="false">IF(N($S389)=0,"",$S389)</f>
        <v/>
      </c>
      <c r="AE389" s="49" t="str">
        <f aca="false">IF(AND($D389=客户对账单!$B$3,$B389&gt;=客户对账单!$E$3,$B389&lt;=客户对账单!$H$3),COUNTIFS($D$5:$D389,客户对账单!$B$3,$B$5:$B389,"&gt;="&amp;客户对账单!$E$3,$B$5:$B389,"&lt;="&amp;客户对账单!$H$3),"")</f>
        <v/>
      </c>
    </row>
    <row r="390" customFormat="false" ht="15.75" hidden="false" customHeight="true" outlineLevel="0" collapsed="false">
      <c r="A390" s="42" t="str">
        <f aca="false">IF($B390="","","XS"&amp;TEXT($B390,"yyyymm")&amp;"-"&amp;TEXT(ROW()-4,"000"))</f>
        <v/>
      </c>
      <c r="B390" s="41"/>
      <c r="C390" s="42" t="str">
        <f aca="false">IF($B390="","",TEXT($B390,"yyyy-mm"))</f>
        <v/>
      </c>
      <c r="D390" s="32"/>
      <c r="E390" s="36"/>
      <c r="F390" s="43"/>
      <c r="G390" s="40"/>
      <c r="H390" s="51"/>
      <c r="I390" s="33"/>
      <c r="J390" s="33"/>
      <c r="K390" s="36"/>
      <c r="L390" s="47" t="str">
        <f aca="false">IF($B390="","",IF(NOT(ISNUMBER($B390)),"日期不是日期格式",IF(YEAR($B390)&lt;&gt;首页!$B$3,"不在会计年度",IF($D390="","未选客户",IF(ISNA(MATCH($D390,基础资料!$Z$6:$Z$155,0)),"客户不在档案",IF($E390="","未选商品",IF(ISNA(MATCH($E390,基础资料!$Q$6:$Q$205,0)),"商品不在档案",IF(NOT(ISNUMBER($F390)),"数量须为数字",IF(NOT(ISNUMBER($G390)),"单价须为数字",IF(N($F390)&lt;=0,"数量须大于0",IF(AND(IFERROR(INDEX(基础资料!$V$6:$V$205,MATCH($E390,基础资料!$Q$6:$Q$205,0)),"")="是",N($R390)=0),"无成本价·请先录采购或填参考成本",IF(N($T390)&lt;0,"毛利为负·请核对","√"))))))))))))</f>
        <v/>
      </c>
      <c r="M390" s="49" t="str">
        <f aca="false">IF($E390="","",IFERROR(INDEX(基础资料!$R$6:$R$205,MATCH($E390,基础资料!$Q$6:$Q$205,0)),""))</f>
        <v/>
      </c>
      <c r="N390" s="49" t="str">
        <f aca="false">IF($E390="","",IFERROR(INDEX(基础资料!$S$6:$S$205,MATCH($E390,基础资料!$Q$6:$Q$205,0)),""))</f>
        <v/>
      </c>
      <c r="O390" s="48" t="str">
        <f aca="false">IF(OR($F390="",$G390=""),"",ROUND(N($F390)*N($G390),2))</f>
        <v/>
      </c>
      <c r="P390" s="48" t="str">
        <f aca="false">IF($O390="","",ROUND(N($O390)*N($H390),2))</f>
        <v/>
      </c>
      <c r="Q390" s="48" t="str">
        <f aca="false">IF($O390="","",N($O390)+N($P390))</f>
        <v/>
      </c>
      <c r="R390" s="48" t="str">
        <f aca="false">IF(OR($E390="",$B390=""),"",IF(IFERROR(INDEX(基础资料!$V$6:$V$205,MATCH($E390,基础资料!$Q$6:$Q$205,0)),"")&lt;&gt;"是",0,IFERROR((SUMIFS(期初数据!$T$6:$T$205,期初数据!$O$6:$O$205,$E390)+SUMIFS(采购录入!$Q$5:$Q$404,采购录入!$E$5:$E$404,$E390,采购录入!$I$5:$I$404,"是",采购录入!$B$5:$B$404,"&lt;="&amp;$B390))/(SUMIFS(期初数据!$R$6:$R$205,期初数据!$O$6:$O$205,$E390)+SUMIFS(采购录入!$F$5:$F$404,采购录入!$E$5:$E$404,$E390,采购录入!$I$5:$I$404,"是",采购录入!$B$5:$B$404,"&lt;="&amp;$B390)),IFERROR(INDEX(基础资料!$U$6:$U$205,MATCH($E390,基础资料!$Q$6:$Q$205,0)),0))))</f>
        <v/>
      </c>
      <c r="S390" s="48" t="str">
        <f aca="false">IF($O390="","",ROUND(N($F390)*N($R390),2))</f>
        <v/>
      </c>
      <c r="T390" s="48" t="str">
        <f aca="false">IF($O390="","",N($O390)-N($S390))</f>
        <v/>
      </c>
      <c r="U390" s="52" t="str">
        <f aca="false">IF(OR($B390="",$D390=""),"",$B390+N(IFERROR(INDEX(基础资料!$AB$6:$AB$155,MATCH($D390,基础资料!$Z$6:$Z$155,0)),0)))</f>
        <v/>
      </c>
      <c r="V390" s="49" t="str">
        <f aca="false">IF($O390="","","1122")</f>
        <v/>
      </c>
      <c r="W390" s="49" t="str">
        <f aca="false">IF($O390="","","6001")</f>
        <v/>
      </c>
      <c r="X390" s="48" t="str">
        <f aca="false">IF($O390="","",$O390)</f>
        <v/>
      </c>
      <c r="Y390" s="49" t="str">
        <f aca="false">IF(N($P390)=0,"","1122")</f>
        <v/>
      </c>
      <c r="Z390" s="49" t="str">
        <f aca="false">IF(N($P390)=0,"","2221")</f>
        <v/>
      </c>
      <c r="AA390" s="48" t="str">
        <f aca="false">IF(N($P390)=0,"",$P390)</f>
        <v/>
      </c>
      <c r="AB390" s="49" t="str">
        <f aca="false">IF(N($S390)=0,"","6401")</f>
        <v/>
      </c>
      <c r="AC390" s="49" t="str">
        <f aca="false">IF(N($S390)=0,"","1405")</f>
        <v/>
      </c>
      <c r="AD390" s="48" t="str">
        <f aca="false">IF(N($S390)=0,"",$S390)</f>
        <v/>
      </c>
      <c r="AE390" s="49" t="str">
        <f aca="false">IF(AND($D390=客户对账单!$B$3,$B390&gt;=客户对账单!$E$3,$B390&lt;=客户对账单!$H$3),COUNTIFS($D$5:$D390,客户对账单!$B$3,$B$5:$B390,"&gt;="&amp;客户对账单!$E$3,$B$5:$B390,"&lt;="&amp;客户对账单!$H$3),"")</f>
        <v/>
      </c>
    </row>
    <row r="391" customFormat="false" ht="15.75" hidden="false" customHeight="true" outlineLevel="0" collapsed="false">
      <c r="A391" s="42" t="str">
        <f aca="false">IF($B391="","","XS"&amp;TEXT($B391,"yyyymm")&amp;"-"&amp;TEXT(ROW()-4,"000"))</f>
        <v/>
      </c>
      <c r="B391" s="41"/>
      <c r="C391" s="42" t="str">
        <f aca="false">IF($B391="","",TEXT($B391,"yyyy-mm"))</f>
        <v/>
      </c>
      <c r="D391" s="32"/>
      <c r="E391" s="36"/>
      <c r="F391" s="43"/>
      <c r="G391" s="40"/>
      <c r="H391" s="51"/>
      <c r="I391" s="33"/>
      <c r="J391" s="33"/>
      <c r="K391" s="36"/>
      <c r="L391" s="47" t="str">
        <f aca="false">IF($B391="","",IF(NOT(ISNUMBER($B391)),"日期不是日期格式",IF(YEAR($B391)&lt;&gt;首页!$B$3,"不在会计年度",IF($D391="","未选客户",IF(ISNA(MATCH($D391,基础资料!$Z$6:$Z$155,0)),"客户不在档案",IF($E391="","未选商品",IF(ISNA(MATCH($E391,基础资料!$Q$6:$Q$205,0)),"商品不在档案",IF(NOT(ISNUMBER($F391)),"数量须为数字",IF(NOT(ISNUMBER($G391)),"单价须为数字",IF(N($F391)&lt;=0,"数量须大于0",IF(AND(IFERROR(INDEX(基础资料!$V$6:$V$205,MATCH($E391,基础资料!$Q$6:$Q$205,0)),"")="是",N($R391)=0),"无成本价·请先录采购或填参考成本",IF(N($T391)&lt;0,"毛利为负·请核对","√"))))))))))))</f>
        <v/>
      </c>
      <c r="M391" s="49" t="str">
        <f aca="false">IF($E391="","",IFERROR(INDEX(基础资料!$R$6:$R$205,MATCH($E391,基础资料!$Q$6:$Q$205,0)),""))</f>
        <v/>
      </c>
      <c r="N391" s="49" t="str">
        <f aca="false">IF($E391="","",IFERROR(INDEX(基础资料!$S$6:$S$205,MATCH($E391,基础资料!$Q$6:$Q$205,0)),""))</f>
        <v/>
      </c>
      <c r="O391" s="48" t="str">
        <f aca="false">IF(OR($F391="",$G391=""),"",ROUND(N($F391)*N($G391),2))</f>
        <v/>
      </c>
      <c r="P391" s="48" t="str">
        <f aca="false">IF($O391="","",ROUND(N($O391)*N($H391),2))</f>
        <v/>
      </c>
      <c r="Q391" s="48" t="str">
        <f aca="false">IF($O391="","",N($O391)+N($P391))</f>
        <v/>
      </c>
      <c r="R391" s="48" t="str">
        <f aca="false">IF(OR($E391="",$B391=""),"",IF(IFERROR(INDEX(基础资料!$V$6:$V$205,MATCH($E391,基础资料!$Q$6:$Q$205,0)),"")&lt;&gt;"是",0,IFERROR((SUMIFS(期初数据!$T$6:$T$205,期初数据!$O$6:$O$205,$E391)+SUMIFS(采购录入!$Q$5:$Q$404,采购录入!$E$5:$E$404,$E391,采购录入!$I$5:$I$404,"是",采购录入!$B$5:$B$404,"&lt;="&amp;$B391))/(SUMIFS(期初数据!$R$6:$R$205,期初数据!$O$6:$O$205,$E391)+SUMIFS(采购录入!$F$5:$F$404,采购录入!$E$5:$E$404,$E391,采购录入!$I$5:$I$404,"是",采购录入!$B$5:$B$404,"&lt;="&amp;$B391)),IFERROR(INDEX(基础资料!$U$6:$U$205,MATCH($E391,基础资料!$Q$6:$Q$205,0)),0))))</f>
        <v/>
      </c>
      <c r="S391" s="48" t="str">
        <f aca="false">IF($O391="","",ROUND(N($F391)*N($R391),2))</f>
        <v/>
      </c>
      <c r="T391" s="48" t="str">
        <f aca="false">IF($O391="","",N($O391)-N($S391))</f>
        <v/>
      </c>
      <c r="U391" s="52" t="str">
        <f aca="false">IF(OR($B391="",$D391=""),"",$B391+N(IFERROR(INDEX(基础资料!$AB$6:$AB$155,MATCH($D391,基础资料!$Z$6:$Z$155,0)),0)))</f>
        <v/>
      </c>
      <c r="V391" s="49" t="str">
        <f aca="false">IF($O391="","","1122")</f>
        <v/>
      </c>
      <c r="W391" s="49" t="str">
        <f aca="false">IF($O391="","","6001")</f>
        <v/>
      </c>
      <c r="X391" s="48" t="str">
        <f aca="false">IF($O391="","",$O391)</f>
        <v/>
      </c>
      <c r="Y391" s="49" t="str">
        <f aca="false">IF(N($P391)=0,"","1122")</f>
        <v/>
      </c>
      <c r="Z391" s="49" t="str">
        <f aca="false">IF(N($P391)=0,"","2221")</f>
        <v/>
      </c>
      <c r="AA391" s="48" t="str">
        <f aca="false">IF(N($P391)=0,"",$P391)</f>
        <v/>
      </c>
      <c r="AB391" s="49" t="str">
        <f aca="false">IF(N($S391)=0,"","6401")</f>
        <v/>
      </c>
      <c r="AC391" s="49" t="str">
        <f aca="false">IF(N($S391)=0,"","1405")</f>
        <v/>
      </c>
      <c r="AD391" s="48" t="str">
        <f aca="false">IF(N($S391)=0,"",$S391)</f>
        <v/>
      </c>
      <c r="AE391" s="49" t="str">
        <f aca="false">IF(AND($D391=客户对账单!$B$3,$B391&gt;=客户对账单!$E$3,$B391&lt;=客户对账单!$H$3),COUNTIFS($D$5:$D391,客户对账单!$B$3,$B$5:$B391,"&gt;="&amp;客户对账单!$E$3,$B$5:$B391,"&lt;="&amp;客户对账单!$H$3),"")</f>
        <v/>
      </c>
    </row>
    <row r="392" customFormat="false" ht="15.75" hidden="false" customHeight="true" outlineLevel="0" collapsed="false">
      <c r="A392" s="42" t="str">
        <f aca="false">IF($B392="","","XS"&amp;TEXT($B392,"yyyymm")&amp;"-"&amp;TEXT(ROW()-4,"000"))</f>
        <v/>
      </c>
      <c r="B392" s="41"/>
      <c r="C392" s="42" t="str">
        <f aca="false">IF($B392="","",TEXT($B392,"yyyy-mm"))</f>
        <v/>
      </c>
      <c r="D392" s="32"/>
      <c r="E392" s="36"/>
      <c r="F392" s="43"/>
      <c r="G392" s="40"/>
      <c r="H392" s="51"/>
      <c r="I392" s="33"/>
      <c r="J392" s="33"/>
      <c r="K392" s="36"/>
      <c r="L392" s="47" t="str">
        <f aca="false">IF($B392="","",IF(NOT(ISNUMBER($B392)),"日期不是日期格式",IF(YEAR($B392)&lt;&gt;首页!$B$3,"不在会计年度",IF($D392="","未选客户",IF(ISNA(MATCH($D392,基础资料!$Z$6:$Z$155,0)),"客户不在档案",IF($E392="","未选商品",IF(ISNA(MATCH($E392,基础资料!$Q$6:$Q$205,0)),"商品不在档案",IF(NOT(ISNUMBER($F392)),"数量须为数字",IF(NOT(ISNUMBER($G392)),"单价须为数字",IF(N($F392)&lt;=0,"数量须大于0",IF(AND(IFERROR(INDEX(基础资料!$V$6:$V$205,MATCH($E392,基础资料!$Q$6:$Q$205,0)),"")="是",N($R392)=0),"无成本价·请先录采购或填参考成本",IF(N($T392)&lt;0,"毛利为负·请核对","√"))))))))))))</f>
        <v/>
      </c>
      <c r="M392" s="49" t="str">
        <f aca="false">IF($E392="","",IFERROR(INDEX(基础资料!$R$6:$R$205,MATCH($E392,基础资料!$Q$6:$Q$205,0)),""))</f>
        <v/>
      </c>
      <c r="N392" s="49" t="str">
        <f aca="false">IF($E392="","",IFERROR(INDEX(基础资料!$S$6:$S$205,MATCH($E392,基础资料!$Q$6:$Q$205,0)),""))</f>
        <v/>
      </c>
      <c r="O392" s="48" t="str">
        <f aca="false">IF(OR($F392="",$G392=""),"",ROUND(N($F392)*N($G392),2))</f>
        <v/>
      </c>
      <c r="P392" s="48" t="str">
        <f aca="false">IF($O392="","",ROUND(N($O392)*N($H392),2))</f>
        <v/>
      </c>
      <c r="Q392" s="48" t="str">
        <f aca="false">IF($O392="","",N($O392)+N($P392))</f>
        <v/>
      </c>
      <c r="R392" s="48" t="str">
        <f aca="false">IF(OR($E392="",$B392=""),"",IF(IFERROR(INDEX(基础资料!$V$6:$V$205,MATCH($E392,基础资料!$Q$6:$Q$205,0)),"")&lt;&gt;"是",0,IFERROR((SUMIFS(期初数据!$T$6:$T$205,期初数据!$O$6:$O$205,$E392)+SUMIFS(采购录入!$Q$5:$Q$404,采购录入!$E$5:$E$404,$E392,采购录入!$I$5:$I$404,"是",采购录入!$B$5:$B$404,"&lt;="&amp;$B392))/(SUMIFS(期初数据!$R$6:$R$205,期初数据!$O$6:$O$205,$E392)+SUMIFS(采购录入!$F$5:$F$404,采购录入!$E$5:$E$404,$E392,采购录入!$I$5:$I$404,"是",采购录入!$B$5:$B$404,"&lt;="&amp;$B392)),IFERROR(INDEX(基础资料!$U$6:$U$205,MATCH($E392,基础资料!$Q$6:$Q$205,0)),0))))</f>
        <v/>
      </c>
      <c r="S392" s="48" t="str">
        <f aca="false">IF($O392="","",ROUND(N($F392)*N($R392),2))</f>
        <v/>
      </c>
      <c r="T392" s="48" t="str">
        <f aca="false">IF($O392="","",N($O392)-N($S392))</f>
        <v/>
      </c>
      <c r="U392" s="52" t="str">
        <f aca="false">IF(OR($B392="",$D392=""),"",$B392+N(IFERROR(INDEX(基础资料!$AB$6:$AB$155,MATCH($D392,基础资料!$Z$6:$Z$155,0)),0)))</f>
        <v/>
      </c>
      <c r="V392" s="49" t="str">
        <f aca="false">IF($O392="","","1122")</f>
        <v/>
      </c>
      <c r="W392" s="49" t="str">
        <f aca="false">IF($O392="","","6001")</f>
        <v/>
      </c>
      <c r="X392" s="48" t="str">
        <f aca="false">IF($O392="","",$O392)</f>
        <v/>
      </c>
      <c r="Y392" s="49" t="str">
        <f aca="false">IF(N($P392)=0,"","1122")</f>
        <v/>
      </c>
      <c r="Z392" s="49" t="str">
        <f aca="false">IF(N($P392)=0,"","2221")</f>
        <v/>
      </c>
      <c r="AA392" s="48" t="str">
        <f aca="false">IF(N($P392)=0,"",$P392)</f>
        <v/>
      </c>
      <c r="AB392" s="49" t="str">
        <f aca="false">IF(N($S392)=0,"","6401")</f>
        <v/>
      </c>
      <c r="AC392" s="49" t="str">
        <f aca="false">IF(N($S392)=0,"","1405")</f>
        <v/>
      </c>
      <c r="AD392" s="48" t="str">
        <f aca="false">IF(N($S392)=0,"",$S392)</f>
        <v/>
      </c>
      <c r="AE392" s="49" t="str">
        <f aca="false">IF(AND($D392=客户对账单!$B$3,$B392&gt;=客户对账单!$E$3,$B392&lt;=客户对账单!$H$3),COUNTIFS($D$5:$D392,客户对账单!$B$3,$B$5:$B392,"&gt;="&amp;客户对账单!$E$3,$B$5:$B392,"&lt;="&amp;客户对账单!$H$3),"")</f>
        <v/>
      </c>
    </row>
    <row r="393" customFormat="false" ht="15.75" hidden="false" customHeight="true" outlineLevel="0" collapsed="false">
      <c r="A393" s="42" t="str">
        <f aca="false">IF($B393="","","XS"&amp;TEXT($B393,"yyyymm")&amp;"-"&amp;TEXT(ROW()-4,"000"))</f>
        <v/>
      </c>
      <c r="B393" s="41"/>
      <c r="C393" s="42" t="str">
        <f aca="false">IF($B393="","",TEXT($B393,"yyyy-mm"))</f>
        <v/>
      </c>
      <c r="D393" s="32"/>
      <c r="E393" s="36"/>
      <c r="F393" s="43"/>
      <c r="G393" s="40"/>
      <c r="H393" s="51"/>
      <c r="I393" s="33"/>
      <c r="J393" s="33"/>
      <c r="K393" s="36"/>
      <c r="L393" s="47" t="str">
        <f aca="false">IF($B393="","",IF(NOT(ISNUMBER($B393)),"日期不是日期格式",IF(YEAR($B393)&lt;&gt;首页!$B$3,"不在会计年度",IF($D393="","未选客户",IF(ISNA(MATCH($D393,基础资料!$Z$6:$Z$155,0)),"客户不在档案",IF($E393="","未选商品",IF(ISNA(MATCH($E393,基础资料!$Q$6:$Q$205,0)),"商品不在档案",IF(NOT(ISNUMBER($F393)),"数量须为数字",IF(NOT(ISNUMBER($G393)),"单价须为数字",IF(N($F393)&lt;=0,"数量须大于0",IF(AND(IFERROR(INDEX(基础资料!$V$6:$V$205,MATCH($E393,基础资料!$Q$6:$Q$205,0)),"")="是",N($R393)=0),"无成本价·请先录采购或填参考成本",IF(N($T393)&lt;0,"毛利为负·请核对","√"))))))))))))</f>
        <v/>
      </c>
      <c r="M393" s="49" t="str">
        <f aca="false">IF($E393="","",IFERROR(INDEX(基础资料!$R$6:$R$205,MATCH($E393,基础资料!$Q$6:$Q$205,0)),""))</f>
        <v/>
      </c>
      <c r="N393" s="49" t="str">
        <f aca="false">IF($E393="","",IFERROR(INDEX(基础资料!$S$6:$S$205,MATCH($E393,基础资料!$Q$6:$Q$205,0)),""))</f>
        <v/>
      </c>
      <c r="O393" s="48" t="str">
        <f aca="false">IF(OR($F393="",$G393=""),"",ROUND(N($F393)*N($G393),2))</f>
        <v/>
      </c>
      <c r="P393" s="48" t="str">
        <f aca="false">IF($O393="","",ROUND(N($O393)*N($H393),2))</f>
        <v/>
      </c>
      <c r="Q393" s="48" t="str">
        <f aca="false">IF($O393="","",N($O393)+N($P393))</f>
        <v/>
      </c>
      <c r="R393" s="48" t="str">
        <f aca="false">IF(OR($E393="",$B393=""),"",IF(IFERROR(INDEX(基础资料!$V$6:$V$205,MATCH($E393,基础资料!$Q$6:$Q$205,0)),"")&lt;&gt;"是",0,IFERROR((SUMIFS(期初数据!$T$6:$T$205,期初数据!$O$6:$O$205,$E393)+SUMIFS(采购录入!$Q$5:$Q$404,采购录入!$E$5:$E$404,$E393,采购录入!$I$5:$I$404,"是",采购录入!$B$5:$B$404,"&lt;="&amp;$B393))/(SUMIFS(期初数据!$R$6:$R$205,期初数据!$O$6:$O$205,$E393)+SUMIFS(采购录入!$F$5:$F$404,采购录入!$E$5:$E$404,$E393,采购录入!$I$5:$I$404,"是",采购录入!$B$5:$B$404,"&lt;="&amp;$B393)),IFERROR(INDEX(基础资料!$U$6:$U$205,MATCH($E393,基础资料!$Q$6:$Q$205,0)),0))))</f>
        <v/>
      </c>
      <c r="S393" s="48" t="str">
        <f aca="false">IF($O393="","",ROUND(N($F393)*N($R393),2))</f>
        <v/>
      </c>
      <c r="T393" s="48" t="str">
        <f aca="false">IF($O393="","",N($O393)-N($S393))</f>
        <v/>
      </c>
      <c r="U393" s="52" t="str">
        <f aca="false">IF(OR($B393="",$D393=""),"",$B393+N(IFERROR(INDEX(基础资料!$AB$6:$AB$155,MATCH($D393,基础资料!$Z$6:$Z$155,0)),0)))</f>
        <v/>
      </c>
      <c r="V393" s="49" t="str">
        <f aca="false">IF($O393="","","1122")</f>
        <v/>
      </c>
      <c r="W393" s="49" t="str">
        <f aca="false">IF($O393="","","6001")</f>
        <v/>
      </c>
      <c r="X393" s="48" t="str">
        <f aca="false">IF($O393="","",$O393)</f>
        <v/>
      </c>
      <c r="Y393" s="49" t="str">
        <f aca="false">IF(N($P393)=0,"","1122")</f>
        <v/>
      </c>
      <c r="Z393" s="49" t="str">
        <f aca="false">IF(N($P393)=0,"","2221")</f>
        <v/>
      </c>
      <c r="AA393" s="48" t="str">
        <f aca="false">IF(N($P393)=0,"",$P393)</f>
        <v/>
      </c>
      <c r="AB393" s="49" t="str">
        <f aca="false">IF(N($S393)=0,"","6401")</f>
        <v/>
      </c>
      <c r="AC393" s="49" t="str">
        <f aca="false">IF(N($S393)=0,"","1405")</f>
        <v/>
      </c>
      <c r="AD393" s="48" t="str">
        <f aca="false">IF(N($S393)=0,"",$S393)</f>
        <v/>
      </c>
      <c r="AE393" s="49" t="str">
        <f aca="false">IF(AND($D393=客户对账单!$B$3,$B393&gt;=客户对账单!$E$3,$B393&lt;=客户对账单!$H$3),COUNTIFS($D$5:$D393,客户对账单!$B$3,$B$5:$B393,"&gt;="&amp;客户对账单!$E$3,$B$5:$B393,"&lt;="&amp;客户对账单!$H$3),"")</f>
        <v/>
      </c>
    </row>
    <row r="394" customFormat="false" ht="15.75" hidden="false" customHeight="true" outlineLevel="0" collapsed="false">
      <c r="A394" s="42" t="str">
        <f aca="false">IF($B394="","","XS"&amp;TEXT($B394,"yyyymm")&amp;"-"&amp;TEXT(ROW()-4,"000"))</f>
        <v/>
      </c>
      <c r="B394" s="41"/>
      <c r="C394" s="42" t="str">
        <f aca="false">IF($B394="","",TEXT($B394,"yyyy-mm"))</f>
        <v/>
      </c>
      <c r="D394" s="32"/>
      <c r="E394" s="36"/>
      <c r="F394" s="43"/>
      <c r="G394" s="40"/>
      <c r="H394" s="51"/>
      <c r="I394" s="33"/>
      <c r="J394" s="33"/>
      <c r="K394" s="36"/>
      <c r="L394" s="47" t="str">
        <f aca="false">IF($B394="","",IF(NOT(ISNUMBER($B394)),"日期不是日期格式",IF(YEAR($B394)&lt;&gt;首页!$B$3,"不在会计年度",IF($D394="","未选客户",IF(ISNA(MATCH($D394,基础资料!$Z$6:$Z$155,0)),"客户不在档案",IF($E394="","未选商品",IF(ISNA(MATCH($E394,基础资料!$Q$6:$Q$205,0)),"商品不在档案",IF(NOT(ISNUMBER($F394)),"数量须为数字",IF(NOT(ISNUMBER($G394)),"单价须为数字",IF(N($F394)&lt;=0,"数量须大于0",IF(AND(IFERROR(INDEX(基础资料!$V$6:$V$205,MATCH($E394,基础资料!$Q$6:$Q$205,0)),"")="是",N($R394)=0),"无成本价·请先录采购或填参考成本",IF(N($T394)&lt;0,"毛利为负·请核对","√"))))))))))))</f>
        <v/>
      </c>
      <c r="M394" s="49" t="str">
        <f aca="false">IF($E394="","",IFERROR(INDEX(基础资料!$R$6:$R$205,MATCH($E394,基础资料!$Q$6:$Q$205,0)),""))</f>
        <v/>
      </c>
      <c r="N394" s="49" t="str">
        <f aca="false">IF($E394="","",IFERROR(INDEX(基础资料!$S$6:$S$205,MATCH($E394,基础资料!$Q$6:$Q$205,0)),""))</f>
        <v/>
      </c>
      <c r="O394" s="48" t="str">
        <f aca="false">IF(OR($F394="",$G394=""),"",ROUND(N($F394)*N($G394),2))</f>
        <v/>
      </c>
      <c r="P394" s="48" t="str">
        <f aca="false">IF($O394="","",ROUND(N($O394)*N($H394),2))</f>
        <v/>
      </c>
      <c r="Q394" s="48" t="str">
        <f aca="false">IF($O394="","",N($O394)+N($P394))</f>
        <v/>
      </c>
      <c r="R394" s="48" t="str">
        <f aca="false">IF(OR($E394="",$B394=""),"",IF(IFERROR(INDEX(基础资料!$V$6:$V$205,MATCH($E394,基础资料!$Q$6:$Q$205,0)),"")&lt;&gt;"是",0,IFERROR((SUMIFS(期初数据!$T$6:$T$205,期初数据!$O$6:$O$205,$E394)+SUMIFS(采购录入!$Q$5:$Q$404,采购录入!$E$5:$E$404,$E394,采购录入!$I$5:$I$404,"是",采购录入!$B$5:$B$404,"&lt;="&amp;$B394))/(SUMIFS(期初数据!$R$6:$R$205,期初数据!$O$6:$O$205,$E394)+SUMIFS(采购录入!$F$5:$F$404,采购录入!$E$5:$E$404,$E394,采购录入!$I$5:$I$404,"是",采购录入!$B$5:$B$404,"&lt;="&amp;$B394)),IFERROR(INDEX(基础资料!$U$6:$U$205,MATCH($E394,基础资料!$Q$6:$Q$205,0)),0))))</f>
        <v/>
      </c>
      <c r="S394" s="48" t="str">
        <f aca="false">IF($O394="","",ROUND(N($F394)*N($R394),2))</f>
        <v/>
      </c>
      <c r="T394" s="48" t="str">
        <f aca="false">IF($O394="","",N($O394)-N($S394))</f>
        <v/>
      </c>
      <c r="U394" s="52" t="str">
        <f aca="false">IF(OR($B394="",$D394=""),"",$B394+N(IFERROR(INDEX(基础资料!$AB$6:$AB$155,MATCH($D394,基础资料!$Z$6:$Z$155,0)),0)))</f>
        <v/>
      </c>
      <c r="V394" s="49" t="str">
        <f aca="false">IF($O394="","","1122")</f>
        <v/>
      </c>
      <c r="W394" s="49" t="str">
        <f aca="false">IF($O394="","","6001")</f>
        <v/>
      </c>
      <c r="X394" s="48" t="str">
        <f aca="false">IF($O394="","",$O394)</f>
        <v/>
      </c>
      <c r="Y394" s="49" t="str">
        <f aca="false">IF(N($P394)=0,"","1122")</f>
        <v/>
      </c>
      <c r="Z394" s="49" t="str">
        <f aca="false">IF(N($P394)=0,"","2221")</f>
        <v/>
      </c>
      <c r="AA394" s="48" t="str">
        <f aca="false">IF(N($P394)=0,"",$P394)</f>
        <v/>
      </c>
      <c r="AB394" s="49" t="str">
        <f aca="false">IF(N($S394)=0,"","6401")</f>
        <v/>
      </c>
      <c r="AC394" s="49" t="str">
        <f aca="false">IF(N($S394)=0,"","1405")</f>
        <v/>
      </c>
      <c r="AD394" s="48" t="str">
        <f aca="false">IF(N($S394)=0,"",$S394)</f>
        <v/>
      </c>
      <c r="AE394" s="49" t="str">
        <f aca="false">IF(AND($D394=客户对账单!$B$3,$B394&gt;=客户对账单!$E$3,$B394&lt;=客户对账单!$H$3),COUNTIFS($D$5:$D394,客户对账单!$B$3,$B$5:$B394,"&gt;="&amp;客户对账单!$E$3,$B$5:$B394,"&lt;="&amp;客户对账单!$H$3),"")</f>
        <v/>
      </c>
    </row>
    <row r="395" customFormat="false" ht="15.75" hidden="false" customHeight="true" outlineLevel="0" collapsed="false">
      <c r="A395" s="42" t="str">
        <f aca="false">IF($B395="","","XS"&amp;TEXT($B395,"yyyymm")&amp;"-"&amp;TEXT(ROW()-4,"000"))</f>
        <v/>
      </c>
      <c r="B395" s="41"/>
      <c r="C395" s="42" t="str">
        <f aca="false">IF($B395="","",TEXT($B395,"yyyy-mm"))</f>
        <v/>
      </c>
      <c r="D395" s="32"/>
      <c r="E395" s="36"/>
      <c r="F395" s="43"/>
      <c r="G395" s="40"/>
      <c r="H395" s="51"/>
      <c r="I395" s="33"/>
      <c r="J395" s="33"/>
      <c r="K395" s="36"/>
      <c r="L395" s="47" t="str">
        <f aca="false">IF($B395="","",IF(NOT(ISNUMBER($B395)),"日期不是日期格式",IF(YEAR($B395)&lt;&gt;首页!$B$3,"不在会计年度",IF($D395="","未选客户",IF(ISNA(MATCH($D395,基础资料!$Z$6:$Z$155,0)),"客户不在档案",IF($E395="","未选商品",IF(ISNA(MATCH($E395,基础资料!$Q$6:$Q$205,0)),"商品不在档案",IF(NOT(ISNUMBER($F395)),"数量须为数字",IF(NOT(ISNUMBER($G395)),"单价须为数字",IF(N($F395)&lt;=0,"数量须大于0",IF(AND(IFERROR(INDEX(基础资料!$V$6:$V$205,MATCH($E395,基础资料!$Q$6:$Q$205,0)),"")="是",N($R395)=0),"无成本价·请先录采购或填参考成本",IF(N($T395)&lt;0,"毛利为负·请核对","√"))))))))))))</f>
        <v/>
      </c>
      <c r="M395" s="49" t="str">
        <f aca="false">IF($E395="","",IFERROR(INDEX(基础资料!$R$6:$R$205,MATCH($E395,基础资料!$Q$6:$Q$205,0)),""))</f>
        <v/>
      </c>
      <c r="N395" s="49" t="str">
        <f aca="false">IF($E395="","",IFERROR(INDEX(基础资料!$S$6:$S$205,MATCH($E395,基础资料!$Q$6:$Q$205,0)),""))</f>
        <v/>
      </c>
      <c r="O395" s="48" t="str">
        <f aca="false">IF(OR($F395="",$G395=""),"",ROUND(N($F395)*N($G395),2))</f>
        <v/>
      </c>
      <c r="P395" s="48" t="str">
        <f aca="false">IF($O395="","",ROUND(N($O395)*N($H395),2))</f>
        <v/>
      </c>
      <c r="Q395" s="48" t="str">
        <f aca="false">IF($O395="","",N($O395)+N($P395))</f>
        <v/>
      </c>
      <c r="R395" s="48" t="str">
        <f aca="false">IF(OR($E395="",$B395=""),"",IF(IFERROR(INDEX(基础资料!$V$6:$V$205,MATCH($E395,基础资料!$Q$6:$Q$205,0)),"")&lt;&gt;"是",0,IFERROR((SUMIFS(期初数据!$T$6:$T$205,期初数据!$O$6:$O$205,$E395)+SUMIFS(采购录入!$Q$5:$Q$404,采购录入!$E$5:$E$404,$E395,采购录入!$I$5:$I$404,"是",采购录入!$B$5:$B$404,"&lt;="&amp;$B395))/(SUMIFS(期初数据!$R$6:$R$205,期初数据!$O$6:$O$205,$E395)+SUMIFS(采购录入!$F$5:$F$404,采购录入!$E$5:$E$404,$E395,采购录入!$I$5:$I$404,"是",采购录入!$B$5:$B$404,"&lt;="&amp;$B395)),IFERROR(INDEX(基础资料!$U$6:$U$205,MATCH($E395,基础资料!$Q$6:$Q$205,0)),0))))</f>
        <v/>
      </c>
      <c r="S395" s="48" t="str">
        <f aca="false">IF($O395="","",ROUND(N($F395)*N($R395),2))</f>
        <v/>
      </c>
      <c r="T395" s="48" t="str">
        <f aca="false">IF($O395="","",N($O395)-N($S395))</f>
        <v/>
      </c>
      <c r="U395" s="52" t="str">
        <f aca="false">IF(OR($B395="",$D395=""),"",$B395+N(IFERROR(INDEX(基础资料!$AB$6:$AB$155,MATCH($D395,基础资料!$Z$6:$Z$155,0)),0)))</f>
        <v/>
      </c>
      <c r="V395" s="49" t="str">
        <f aca="false">IF($O395="","","1122")</f>
        <v/>
      </c>
      <c r="W395" s="49" t="str">
        <f aca="false">IF($O395="","","6001")</f>
        <v/>
      </c>
      <c r="X395" s="48" t="str">
        <f aca="false">IF($O395="","",$O395)</f>
        <v/>
      </c>
      <c r="Y395" s="49" t="str">
        <f aca="false">IF(N($P395)=0,"","1122")</f>
        <v/>
      </c>
      <c r="Z395" s="49" t="str">
        <f aca="false">IF(N($P395)=0,"","2221")</f>
        <v/>
      </c>
      <c r="AA395" s="48" t="str">
        <f aca="false">IF(N($P395)=0,"",$P395)</f>
        <v/>
      </c>
      <c r="AB395" s="49" t="str">
        <f aca="false">IF(N($S395)=0,"","6401")</f>
        <v/>
      </c>
      <c r="AC395" s="49" t="str">
        <f aca="false">IF(N($S395)=0,"","1405")</f>
        <v/>
      </c>
      <c r="AD395" s="48" t="str">
        <f aca="false">IF(N($S395)=0,"",$S395)</f>
        <v/>
      </c>
      <c r="AE395" s="49" t="str">
        <f aca="false">IF(AND($D395=客户对账单!$B$3,$B395&gt;=客户对账单!$E$3,$B395&lt;=客户对账单!$H$3),COUNTIFS($D$5:$D395,客户对账单!$B$3,$B$5:$B395,"&gt;="&amp;客户对账单!$E$3,$B$5:$B395,"&lt;="&amp;客户对账单!$H$3),"")</f>
        <v/>
      </c>
    </row>
    <row r="396" customFormat="false" ht="15.75" hidden="false" customHeight="true" outlineLevel="0" collapsed="false">
      <c r="A396" s="42" t="str">
        <f aca="false">IF($B396="","","XS"&amp;TEXT($B396,"yyyymm")&amp;"-"&amp;TEXT(ROW()-4,"000"))</f>
        <v/>
      </c>
      <c r="B396" s="41"/>
      <c r="C396" s="42" t="str">
        <f aca="false">IF($B396="","",TEXT($B396,"yyyy-mm"))</f>
        <v/>
      </c>
      <c r="D396" s="32"/>
      <c r="E396" s="36"/>
      <c r="F396" s="43"/>
      <c r="G396" s="40"/>
      <c r="H396" s="51"/>
      <c r="I396" s="33"/>
      <c r="J396" s="33"/>
      <c r="K396" s="36"/>
      <c r="L396" s="47" t="str">
        <f aca="false">IF($B396="","",IF(NOT(ISNUMBER($B396)),"日期不是日期格式",IF(YEAR($B396)&lt;&gt;首页!$B$3,"不在会计年度",IF($D396="","未选客户",IF(ISNA(MATCH($D396,基础资料!$Z$6:$Z$155,0)),"客户不在档案",IF($E396="","未选商品",IF(ISNA(MATCH($E396,基础资料!$Q$6:$Q$205,0)),"商品不在档案",IF(NOT(ISNUMBER($F396)),"数量须为数字",IF(NOT(ISNUMBER($G396)),"单价须为数字",IF(N($F396)&lt;=0,"数量须大于0",IF(AND(IFERROR(INDEX(基础资料!$V$6:$V$205,MATCH($E396,基础资料!$Q$6:$Q$205,0)),"")="是",N($R396)=0),"无成本价·请先录采购或填参考成本",IF(N($T396)&lt;0,"毛利为负·请核对","√"))))))))))))</f>
        <v/>
      </c>
      <c r="M396" s="49" t="str">
        <f aca="false">IF($E396="","",IFERROR(INDEX(基础资料!$R$6:$R$205,MATCH($E396,基础资料!$Q$6:$Q$205,0)),""))</f>
        <v/>
      </c>
      <c r="N396" s="49" t="str">
        <f aca="false">IF($E396="","",IFERROR(INDEX(基础资料!$S$6:$S$205,MATCH($E396,基础资料!$Q$6:$Q$205,0)),""))</f>
        <v/>
      </c>
      <c r="O396" s="48" t="str">
        <f aca="false">IF(OR($F396="",$G396=""),"",ROUND(N($F396)*N($G396),2))</f>
        <v/>
      </c>
      <c r="P396" s="48" t="str">
        <f aca="false">IF($O396="","",ROUND(N($O396)*N($H396),2))</f>
        <v/>
      </c>
      <c r="Q396" s="48" t="str">
        <f aca="false">IF($O396="","",N($O396)+N($P396))</f>
        <v/>
      </c>
      <c r="R396" s="48" t="str">
        <f aca="false">IF(OR($E396="",$B396=""),"",IF(IFERROR(INDEX(基础资料!$V$6:$V$205,MATCH($E396,基础资料!$Q$6:$Q$205,0)),"")&lt;&gt;"是",0,IFERROR((SUMIFS(期初数据!$T$6:$T$205,期初数据!$O$6:$O$205,$E396)+SUMIFS(采购录入!$Q$5:$Q$404,采购录入!$E$5:$E$404,$E396,采购录入!$I$5:$I$404,"是",采购录入!$B$5:$B$404,"&lt;="&amp;$B396))/(SUMIFS(期初数据!$R$6:$R$205,期初数据!$O$6:$O$205,$E396)+SUMIFS(采购录入!$F$5:$F$404,采购录入!$E$5:$E$404,$E396,采购录入!$I$5:$I$404,"是",采购录入!$B$5:$B$404,"&lt;="&amp;$B396)),IFERROR(INDEX(基础资料!$U$6:$U$205,MATCH($E396,基础资料!$Q$6:$Q$205,0)),0))))</f>
        <v/>
      </c>
      <c r="S396" s="48" t="str">
        <f aca="false">IF($O396="","",ROUND(N($F396)*N($R396),2))</f>
        <v/>
      </c>
      <c r="T396" s="48" t="str">
        <f aca="false">IF($O396="","",N($O396)-N($S396))</f>
        <v/>
      </c>
      <c r="U396" s="52" t="str">
        <f aca="false">IF(OR($B396="",$D396=""),"",$B396+N(IFERROR(INDEX(基础资料!$AB$6:$AB$155,MATCH($D396,基础资料!$Z$6:$Z$155,0)),0)))</f>
        <v/>
      </c>
      <c r="V396" s="49" t="str">
        <f aca="false">IF($O396="","","1122")</f>
        <v/>
      </c>
      <c r="W396" s="49" t="str">
        <f aca="false">IF($O396="","","6001")</f>
        <v/>
      </c>
      <c r="X396" s="48" t="str">
        <f aca="false">IF($O396="","",$O396)</f>
        <v/>
      </c>
      <c r="Y396" s="49" t="str">
        <f aca="false">IF(N($P396)=0,"","1122")</f>
        <v/>
      </c>
      <c r="Z396" s="49" t="str">
        <f aca="false">IF(N($P396)=0,"","2221")</f>
        <v/>
      </c>
      <c r="AA396" s="48" t="str">
        <f aca="false">IF(N($P396)=0,"",$P396)</f>
        <v/>
      </c>
      <c r="AB396" s="49" t="str">
        <f aca="false">IF(N($S396)=0,"","6401")</f>
        <v/>
      </c>
      <c r="AC396" s="49" t="str">
        <f aca="false">IF(N($S396)=0,"","1405")</f>
        <v/>
      </c>
      <c r="AD396" s="48" t="str">
        <f aca="false">IF(N($S396)=0,"",$S396)</f>
        <v/>
      </c>
      <c r="AE396" s="49" t="str">
        <f aca="false">IF(AND($D396=客户对账单!$B$3,$B396&gt;=客户对账单!$E$3,$B396&lt;=客户对账单!$H$3),COUNTIFS($D$5:$D396,客户对账单!$B$3,$B$5:$B396,"&gt;="&amp;客户对账单!$E$3,$B$5:$B396,"&lt;="&amp;客户对账单!$H$3),"")</f>
        <v/>
      </c>
    </row>
    <row r="397" customFormat="false" ht="15.75" hidden="false" customHeight="true" outlineLevel="0" collapsed="false">
      <c r="A397" s="42" t="str">
        <f aca="false">IF($B397="","","XS"&amp;TEXT($B397,"yyyymm")&amp;"-"&amp;TEXT(ROW()-4,"000"))</f>
        <v/>
      </c>
      <c r="B397" s="41"/>
      <c r="C397" s="42" t="str">
        <f aca="false">IF($B397="","",TEXT($B397,"yyyy-mm"))</f>
        <v/>
      </c>
      <c r="D397" s="32"/>
      <c r="E397" s="36"/>
      <c r="F397" s="43"/>
      <c r="G397" s="40"/>
      <c r="H397" s="51"/>
      <c r="I397" s="33"/>
      <c r="J397" s="33"/>
      <c r="K397" s="36"/>
      <c r="L397" s="47" t="str">
        <f aca="false">IF($B397="","",IF(NOT(ISNUMBER($B397)),"日期不是日期格式",IF(YEAR($B397)&lt;&gt;首页!$B$3,"不在会计年度",IF($D397="","未选客户",IF(ISNA(MATCH($D397,基础资料!$Z$6:$Z$155,0)),"客户不在档案",IF($E397="","未选商品",IF(ISNA(MATCH($E397,基础资料!$Q$6:$Q$205,0)),"商品不在档案",IF(NOT(ISNUMBER($F397)),"数量须为数字",IF(NOT(ISNUMBER($G397)),"单价须为数字",IF(N($F397)&lt;=0,"数量须大于0",IF(AND(IFERROR(INDEX(基础资料!$V$6:$V$205,MATCH($E397,基础资料!$Q$6:$Q$205,0)),"")="是",N($R397)=0),"无成本价·请先录采购或填参考成本",IF(N($T397)&lt;0,"毛利为负·请核对","√"))))))))))))</f>
        <v/>
      </c>
      <c r="M397" s="49" t="str">
        <f aca="false">IF($E397="","",IFERROR(INDEX(基础资料!$R$6:$R$205,MATCH($E397,基础资料!$Q$6:$Q$205,0)),""))</f>
        <v/>
      </c>
      <c r="N397" s="49" t="str">
        <f aca="false">IF($E397="","",IFERROR(INDEX(基础资料!$S$6:$S$205,MATCH($E397,基础资料!$Q$6:$Q$205,0)),""))</f>
        <v/>
      </c>
      <c r="O397" s="48" t="str">
        <f aca="false">IF(OR($F397="",$G397=""),"",ROUND(N($F397)*N($G397),2))</f>
        <v/>
      </c>
      <c r="P397" s="48" t="str">
        <f aca="false">IF($O397="","",ROUND(N($O397)*N($H397),2))</f>
        <v/>
      </c>
      <c r="Q397" s="48" t="str">
        <f aca="false">IF($O397="","",N($O397)+N($P397))</f>
        <v/>
      </c>
      <c r="R397" s="48" t="str">
        <f aca="false">IF(OR($E397="",$B397=""),"",IF(IFERROR(INDEX(基础资料!$V$6:$V$205,MATCH($E397,基础资料!$Q$6:$Q$205,0)),"")&lt;&gt;"是",0,IFERROR((SUMIFS(期初数据!$T$6:$T$205,期初数据!$O$6:$O$205,$E397)+SUMIFS(采购录入!$Q$5:$Q$404,采购录入!$E$5:$E$404,$E397,采购录入!$I$5:$I$404,"是",采购录入!$B$5:$B$404,"&lt;="&amp;$B397))/(SUMIFS(期初数据!$R$6:$R$205,期初数据!$O$6:$O$205,$E397)+SUMIFS(采购录入!$F$5:$F$404,采购录入!$E$5:$E$404,$E397,采购录入!$I$5:$I$404,"是",采购录入!$B$5:$B$404,"&lt;="&amp;$B397)),IFERROR(INDEX(基础资料!$U$6:$U$205,MATCH($E397,基础资料!$Q$6:$Q$205,0)),0))))</f>
        <v/>
      </c>
      <c r="S397" s="48" t="str">
        <f aca="false">IF($O397="","",ROUND(N($F397)*N($R397),2))</f>
        <v/>
      </c>
      <c r="T397" s="48" t="str">
        <f aca="false">IF($O397="","",N($O397)-N($S397))</f>
        <v/>
      </c>
      <c r="U397" s="52" t="str">
        <f aca="false">IF(OR($B397="",$D397=""),"",$B397+N(IFERROR(INDEX(基础资料!$AB$6:$AB$155,MATCH($D397,基础资料!$Z$6:$Z$155,0)),0)))</f>
        <v/>
      </c>
      <c r="V397" s="49" t="str">
        <f aca="false">IF($O397="","","1122")</f>
        <v/>
      </c>
      <c r="W397" s="49" t="str">
        <f aca="false">IF($O397="","","6001")</f>
        <v/>
      </c>
      <c r="X397" s="48" t="str">
        <f aca="false">IF($O397="","",$O397)</f>
        <v/>
      </c>
      <c r="Y397" s="49" t="str">
        <f aca="false">IF(N($P397)=0,"","1122")</f>
        <v/>
      </c>
      <c r="Z397" s="49" t="str">
        <f aca="false">IF(N($P397)=0,"","2221")</f>
        <v/>
      </c>
      <c r="AA397" s="48" t="str">
        <f aca="false">IF(N($P397)=0,"",$P397)</f>
        <v/>
      </c>
      <c r="AB397" s="49" t="str">
        <f aca="false">IF(N($S397)=0,"","6401")</f>
        <v/>
      </c>
      <c r="AC397" s="49" t="str">
        <f aca="false">IF(N($S397)=0,"","1405")</f>
        <v/>
      </c>
      <c r="AD397" s="48" t="str">
        <f aca="false">IF(N($S397)=0,"",$S397)</f>
        <v/>
      </c>
      <c r="AE397" s="49" t="str">
        <f aca="false">IF(AND($D397=客户对账单!$B$3,$B397&gt;=客户对账单!$E$3,$B397&lt;=客户对账单!$H$3),COUNTIFS($D$5:$D397,客户对账单!$B$3,$B$5:$B397,"&gt;="&amp;客户对账单!$E$3,$B$5:$B397,"&lt;="&amp;客户对账单!$H$3),"")</f>
        <v/>
      </c>
    </row>
    <row r="398" customFormat="false" ht="15.75" hidden="false" customHeight="true" outlineLevel="0" collapsed="false">
      <c r="A398" s="42" t="str">
        <f aca="false">IF($B398="","","XS"&amp;TEXT($B398,"yyyymm")&amp;"-"&amp;TEXT(ROW()-4,"000"))</f>
        <v/>
      </c>
      <c r="B398" s="41"/>
      <c r="C398" s="42" t="str">
        <f aca="false">IF($B398="","",TEXT($B398,"yyyy-mm"))</f>
        <v/>
      </c>
      <c r="D398" s="32"/>
      <c r="E398" s="36"/>
      <c r="F398" s="43"/>
      <c r="G398" s="40"/>
      <c r="H398" s="51"/>
      <c r="I398" s="33"/>
      <c r="J398" s="33"/>
      <c r="K398" s="36"/>
      <c r="L398" s="47" t="str">
        <f aca="false">IF($B398="","",IF(NOT(ISNUMBER($B398)),"日期不是日期格式",IF(YEAR($B398)&lt;&gt;首页!$B$3,"不在会计年度",IF($D398="","未选客户",IF(ISNA(MATCH($D398,基础资料!$Z$6:$Z$155,0)),"客户不在档案",IF($E398="","未选商品",IF(ISNA(MATCH($E398,基础资料!$Q$6:$Q$205,0)),"商品不在档案",IF(NOT(ISNUMBER($F398)),"数量须为数字",IF(NOT(ISNUMBER($G398)),"单价须为数字",IF(N($F398)&lt;=0,"数量须大于0",IF(AND(IFERROR(INDEX(基础资料!$V$6:$V$205,MATCH($E398,基础资料!$Q$6:$Q$205,0)),"")="是",N($R398)=0),"无成本价·请先录采购或填参考成本",IF(N($T398)&lt;0,"毛利为负·请核对","√"))))))))))))</f>
        <v/>
      </c>
      <c r="M398" s="49" t="str">
        <f aca="false">IF($E398="","",IFERROR(INDEX(基础资料!$R$6:$R$205,MATCH($E398,基础资料!$Q$6:$Q$205,0)),""))</f>
        <v/>
      </c>
      <c r="N398" s="49" t="str">
        <f aca="false">IF($E398="","",IFERROR(INDEX(基础资料!$S$6:$S$205,MATCH($E398,基础资料!$Q$6:$Q$205,0)),""))</f>
        <v/>
      </c>
      <c r="O398" s="48" t="str">
        <f aca="false">IF(OR($F398="",$G398=""),"",ROUND(N($F398)*N($G398),2))</f>
        <v/>
      </c>
      <c r="P398" s="48" t="str">
        <f aca="false">IF($O398="","",ROUND(N($O398)*N($H398),2))</f>
        <v/>
      </c>
      <c r="Q398" s="48" t="str">
        <f aca="false">IF($O398="","",N($O398)+N($P398))</f>
        <v/>
      </c>
      <c r="R398" s="48" t="str">
        <f aca="false">IF(OR($E398="",$B398=""),"",IF(IFERROR(INDEX(基础资料!$V$6:$V$205,MATCH($E398,基础资料!$Q$6:$Q$205,0)),"")&lt;&gt;"是",0,IFERROR((SUMIFS(期初数据!$T$6:$T$205,期初数据!$O$6:$O$205,$E398)+SUMIFS(采购录入!$Q$5:$Q$404,采购录入!$E$5:$E$404,$E398,采购录入!$I$5:$I$404,"是",采购录入!$B$5:$B$404,"&lt;="&amp;$B398))/(SUMIFS(期初数据!$R$6:$R$205,期初数据!$O$6:$O$205,$E398)+SUMIFS(采购录入!$F$5:$F$404,采购录入!$E$5:$E$404,$E398,采购录入!$I$5:$I$404,"是",采购录入!$B$5:$B$404,"&lt;="&amp;$B398)),IFERROR(INDEX(基础资料!$U$6:$U$205,MATCH($E398,基础资料!$Q$6:$Q$205,0)),0))))</f>
        <v/>
      </c>
      <c r="S398" s="48" t="str">
        <f aca="false">IF($O398="","",ROUND(N($F398)*N($R398),2))</f>
        <v/>
      </c>
      <c r="T398" s="48" t="str">
        <f aca="false">IF($O398="","",N($O398)-N($S398))</f>
        <v/>
      </c>
      <c r="U398" s="52" t="str">
        <f aca="false">IF(OR($B398="",$D398=""),"",$B398+N(IFERROR(INDEX(基础资料!$AB$6:$AB$155,MATCH($D398,基础资料!$Z$6:$Z$155,0)),0)))</f>
        <v/>
      </c>
      <c r="V398" s="49" t="str">
        <f aca="false">IF($O398="","","1122")</f>
        <v/>
      </c>
      <c r="W398" s="49" t="str">
        <f aca="false">IF($O398="","","6001")</f>
        <v/>
      </c>
      <c r="X398" s="48" t="str">
        <f aca="false">IF($O398="","",$O398)</f>
        <v/>
      </c>
      <c r="Y398" s="49" t="str">
        <f aca="false">IF(N($P398)=0,"","1122")</f>
        <v/>
      </c>
      <c r="Z398" s="49" t="str">
        <f aca="false">IF(N($P398)=0,"","2221")</f>
        <v/>
      </c>
      <c r="AA398" s="48" t="str">
        <f aca="false">IF(N($P398)=0,"",$P398)</f>
        <v/>
      </c>
      <c r="AB398" s="49" t="str">
        <f aca="false">IF(N($S398)=0,"","6401")</f>
        <v/>
      </c>
      <c r="AC398" s="49" t="str">
        <f aca="false">IF(N($S398)=0,"","1405")</f>
        <v/>
      </c>
      <c r="AD398" s="48" t="str">
        <f aca="false">IF(N($S398)=0,"",$S398)</f>
        <v/>
      </c>
      <c r="AE398" s="49" t="str">
        <f aca="false">IF(AND($D398=客户对账单!$B$3,$B398&gt;=客户对账单!$E$3,$B398&lt;=客户对账单!$H$3),COUNTIFS($D$5:$D398,客户对账单!$B$3,$B$5:$B398,"&gt;="&amp;客户对账单!$E$3,$B$5:$B398,"&lt;="&amp;客户对账单!$H$3),"")</f>
        <v/>
      </c>
    </row>
    <row r="399" customFormat="false" ht="15.75" hidden="false" customHeight="true" outlineLevel="0" collapsed="false">
      <c r="A399" s="42" t="str">
        <f aca="false">IF($B399="","","XS"&amp;TEXT($B399,"yyyymm")&amp;"-"&amp;TEXT(ROW()-4,"000"))</f>
        <v/>
      </c>
      <c r="B399" s="41"/>
      <c r="C399" s="42" t="str">
        <f aca="false">IF($B399="","",TEXT($B399,"yyyy-mm"))</f>
        <v/>
      </c>
      <c r="D399" s="32"/>
      <c r="E399" s="36"/>
      <c r="F399" s="43"/>
      <c r="G399" s="40"/>
      <c r="H399" s="51"/>
      <c r="I399" s="33"/>
      <c r="J399" s="33"/>
      <c r="K399" s="36"/>
      <c r="L399" s="47" t="str">
        <f aca="false">IF($B399="","",IF(NOT(ISNUMBER($B399)),"日期不是日期格式",IF(YEAR($B399)&lt;&gt;首页!$B$3,"不在会计年度",IF($D399="","未选客户",IF(ISNA(MATCH($D399,基础资料!$Z$6:$Z$155,0)),"客户不在档案",IF($E399="","未选商品",IF(ISNA(MATCH($E399,基础资料!$Q$6:$Q$205,0)),"商品不在档案",IF(NOT(ISNUMBER($F399)),"数量须为数字",IF(NOT(ISNUMBER($G399)),"单价须为数字",IF(N($F399)&lt;=0,"数量须大于0",IF(AND(IFERROR(INDEX(基础资料!$V$6:$V$205,MATCH($E399,基础资料!$Q$6:$Q$205,0)),"")="是",N($R399)=0),"无成本价·请先录采购或填参考成本",IF(N($T399)&lt;0,"毛利为负·请核对","√"))))))))))))</f>
        <v/>
      </c>
      <c r="M399" s="49" t="str">
        <f aca="false">IF($E399="","",IFERROR(INDEX(基础资料!$R$6:$R$205,MATCH($E399,基础资料!$Q$6:$Q$205,0)),""))</f>
        <v/>
      </c>
      <c r="N399" s="49" t="str">
        <f aca="false">IF($E399="","",IFERROR(INDEX(基础资料!$S$6:$S$205,MATCH($E399,基础资料!$Q$6:$Q$205,0)),""))</f>
        <v/>
      </c>
      <c r="O399" s="48" t="str">
        <f aca="false">IF(OR($F399="",$G399=""),"",ROUND(N($F399)*N($G399),2))</f>
        <v/>
      </c>
      <c r="P399" s="48" t="str">
        <f aca="false">IF($O399="","",ROUND(N($O399)*N($H399),2))</f>
        <v/>
      </c>
      <c r="Q399" s="48" t="str">
        <f aca="false">IF($O399="","",N($O399)+N($P399))</f>
        <v/>
      </c>
      <c r="R399" s="48" t="str">
        <f aca="false">IF(OR($E399="",$B399=""),"",IF(IFERROR(INDEX(基础资料!$V$6:$V$205,MATCH($E399,基础资料!$Q$6:$Q$205,0)),"")&lt;&gt;"是",0,IFERROR((SUMIFS(期初数据!$T$6:$T$205,期初数据!$O$6:$O$205,$E399)+SUMIFS(采购录入!$Q$5:$Q$404,采购录入!$E$5:$E$404,$E399,采购录入!$I$5:$I$404,"是",采购录入!$B$5:$B$404,"&lt;="&amp;$B399))/(SUMIFS(期初数据!$R$6:$R$205,期初数据!$O$6:$O$205,$E399)+SUMIFS(采购录入!$F$5:$F$404,采购录入!$E$5:$E$404,$E399,采购录入!$I$5:$I$404,"是",采购录入!$B$5:$B$404,"&lt;="&amp;$B399)),IFERROR(INDEX(基础资料!$U$6:$U$205,MATCH($E399,基础资料!$Q$6:$Q$205,0)),0))))</f>
        <v/>
      </c>
      <c r="S399" s="48" t="str">
        <f aca="false">IF($O399="","",ROUND(N($F399)*N($R399),2))</f>
        <v/>
      </c>
      <c r="T399" s="48" t="str">
        <f aca="false">IF($O399="","",N($O399)-N($S399))</f>
        <v/>
      </c>
      <c r="U399" s="52" t="str">
        <f aca="false">IF(OR($B399="",$D399=""),"",$B399+N(IFERROR(INDEX(基础资料!$AB$6:$AB$155,MATCH($D399,基础资料!$Z$6:$Z$155,0)),0)))</f>
        <v/>
      </c>
      <c r="V399" s="49" t="str">
        <f aca="false">IF($O399="","","1122")</f>
        <v/>
      </c>
      <c r="W399" s="49" t="str">
        <f aca="false">IF($O399="","","6001")</f>
        <v/>
      </c>
      <c r="X399" s="48" t="str">
        <f aca="false">IF($O399="","",$O399)</f>
        <v/>
      </c>
      <c r="Y399" s="49" t="str">
        <f aca="false">IF(N($P399)=0,"","1122")</f>
        <v/>
      </c>
      <c r="Z399" s="49" t="str">
        <f aca="false">IF(N($P399)=0,"","2221")</f>
        <v/>
      </c>
      <c r="AA399" s="48" t="str">
        <f aca="false">IF(N($P399)=0,"",$P399)</f>
        <v/>
      </c>
      <c r="AB399" s="49" t="str">
        <f aca="false">IF(N($S399)=0,"","6401")</f>
        <v/>
      </c>
      <c r="AC399" s="49" t="str">
        <f aca="false">IF(N($S399)=0,"","1405")</f>
        <v/>
      </c>
      <c r="AD399" s="48" t="str">
        <f aca="false">IF(N($S399)=0,"",$S399)</f>
        <v/>
      </c>
      <c r="AE399" s="49" t="str">
        <f aca="false">IF(AND($D399=客户对账单!$B$3,$B399&gt;=客户对账单!$E$3,$B399&lt;=客户对账单!$H$3),COUNTIFS($D$5:$D399,客户对账单!$B$3,$B$5:$B399,"&gt;="&amp;客户对账单!$E$3,$B$5:$B399,"&lt;="&amp;客户对账单!$H$3),"")</f>
        <v/>
      </c>
    </row>
    <row r="400" customFormat="false" ht="15.75" hidden="false" customHeight="true" outlineLevel="0" collapsed="false">
      <c r="A400" s="42" t="str">
        <f aca="false">IF($B400="","","XS"&amp;TEXT($B400,"yyyymm")&amp;"-"&amp;TEXT(ROW()-4,"000"))</f>
        <v/>
      </c>
      <c r="B400" s="41"/>
      <c r="C400" s="42" t="str">
        <f aca="false">IF($B400="","",TEXT($B400,"yyyy-mm"))</f>
        <v/>
      </c>
      <c r="D400" s="32"/>
      <c r="E400" s="36"/>
      <c r="F400" s="43"/>
      <c r="G400" s="40"/>
      <c r="H400" s="51"/>
      <c r="I400" s="33"/>
      <c r="J400" s="33"/>
      <c r="K400" s="36"/>
      <c r="L400" s="47" t="str">
        <f aca="false">IF($B400="","",IF(NOT(ISNUMBER($B400)),"日期不是日期格式",IF(YEAR($B400)&lt;&gt;首页!$B$3,"不在会计年度",IF($D400="","未选客户",IF(ISNA(MATCH($D400,基础资料!$Z$6:$Z$155,0)),"客户不在档案",IF($E400="","未选商品",IF(ISNA(MATCH($E400,基础资料!$Q$6:$Q$205,0)),"商品不在档案",IF(NOT(ISNUMBER($F400)),"数量须为数字",IF(NOT(ISNUMBER($G400)),"单价须为数字",IF(N($F400)&lt;=0,"数量须大于0",IF(AND(IFERROR(INDEX(基础资料!$V$6:$V$205,MATCH($E400,基础资料!$Q$6:$Q$205,0)),"")="是",N($R400)=0),"无成本价·请先录采购或填参考成本",IF(N($T400)&lt;0,"毛利为负·请核对","√"))))))))))))</f>
        <v/>
      </c>
      <c r="M400" s="49" t="str">
        <f aca="false">IF($E400="","",IFERROR(INDEX(基础资料!$R$6:$R$205,MATCH($E400,基础资料!$Q$6:$Q$205,0)),""))</f>
        <v/>
      </c>
      <c r="N400" s="49" t="str">
        <f aca="false">IF($E400="","",IFERROR(INDEX(基础资料!$S$6:$S$205,MATCH($E400,基础资料!$Q$6:$Q$205,0)),""))</f>
        <v/>
      </c>
      <c r="O400" s="48" t="str">
        <f aca="false">IF(OR($F400="",$G400=""),"",ROUND(N($F400)*N($G400),2))</f>
        <v/>
      </c>
      <c r="P400" s="48" t="str">
        <f aca="false">IF($O400="","",ROUND(N($O400)*N($H400),2))</f>
        <v/>
      </c>
      <c r="Q400" s="48" t="str">
        <f aca="false">IF($O400="","",N($O400)+N($P400))</f>
        <v/>
      </c>
      <c r="R400" s="48" t="str">
        <f aca="false">IF(OR($E400="",$B400=""),"",IF(IFERROR(INDEX(基础资料!$V$6:$V$205,MATCH($E400,基础资料!$Q$6:$Q$205,0)),"")&lt;&gt;"是",0,IFERROR((SUMIFS(期初数据!$T$6:$T$205,期初数据!$O$6:$O$205,$E400)+SUMIFS(采购录入!$Q$5:$Q$404,采购录入!$E$5:$E$404,$E400,采购录入!$I$5:$I$404,"是",采购录入!$B$5:$B$404,"&lt;="&amp;$B400))/(SUMIFS(期初数据!$R$6:$R$205,期初数据!$O$6:$O$205,$E400)+SUMIFS(采购录入!$F$5:$F$404,采购录入!$E$5:$E$404,$E400,采购录入!$I$5:$I$404,"是",采购录入!$B$5:$B$404,"&lt;="&amp;$B400)),IFERROR(INDEX(基础资料!$U$6:$U$205,MATCH($E400,基础资料!$Q$6:$Q$205,0)),0))))</f>
        <v/>
      </c>
      <c r="S400" s="48" t="str">
        <f aca="false">IF($O400="","",ROUND(N($F400)*N($R400),2))</f>
        <v/>
      </c>
      <c r="T400" s="48" t="str">
        <f aca="false">IF($O400="","",N($O400)-N($S400))</f>
        <v/>
      </c>
      <c r="U400" s="52" t="str">
        <f aca="false">IF(OR($B400="",$D400=""),"",$B400+N(IFERROR(INDEX(基础资料!$AB$6:$AB$155,MATCH($D400,基础资料!$Z$6:$Z$155,0)),0)))</f>
        <v/>
      </c>
      <c r="V400" s="49" t="str">
        <f aca="false">IF($O400="","","1122")</f>
        <v/>
      </c>
      <c r="W400" s="49" t="str">
        <f aca="false">IF($O400="","","6001")</f>
        <v/>
      </c>
      <c r="X400" s="48" t="str">
        <f aca="false">IF($O400="","",$O400)</f>
        <v/>
      </c>
      <c r="Y400" s="49" t="str">
        <f aca="false">IF(N($P400)=0,"","1122")</f>
        <v/>
      </c>
      <c r="Z400" s="49" t="str">
        <f aca="false">IF(N($P400)=0,"","2221")</f>
        <v/>
      </c>
      <c r="AA400" s="48" t="str">
        <f aca="false">IF(N($P400)=0,"",$P400)</f>
        <v/>
      </c>
      <c r="AB400" s="49" t="str">
        <f aca="false">IF(N($S400)=0,"","6401")</f>
        <v/>
      </c>
      <c r="AC400" s="49" t="str">
        <f aca="false">IF(N($S400)=0,"","1405")</f>
        <v/>
      </c>
      <c r="AD400" s="48" t="str">
        <f aca="false">IF(N($S400)=0,"",$S400)</f>
        <v/>
      </c>
      <c r="AE400" s="49" t="str">
        <f aca="false">IF(AND($D400=客户对账单!$B$3,$B400&gt;=客户对账单!$E$3,$B400&lt;=客户对账单!$H$3),COUNTIFS($D$5:$D400,客户对账单!$B$3,$B$5:$B400,"&gt;="&amp;客户对账单!$E$3,$B$5:$B400,"&lt;="&amp;客户对账单!$H$3),"")</f>
        <v/>
      </c>
    </row>
    <row r="401" customFormat="false" ht="15.75" hidden="false" customHeight="true" outlineLevel="0" collapsed="false">
      <c r="A401" s="42" t="str">
        <f aca="false">IF($B401="","","XS"&amp;TEXT($B401,"yyyymm")&amp;"-"&amp;TEXT(ROW()-4,"000"))</f>
        <v/>
      </c>
      <c r="B401" s="41"/>
      <c r="C401" s="42" t="str">
        <f aca="false">IF($B401="","",TEXT($B401,"yyyy-mm"))</f>
        <v/>
      </c>
      <c r="D401" s="32"/>
      <c r="E401" s="36"/>
      <c r="F401" s="43"/>
      <c r="G401" s="40"/>
      <c r="H401" s="51"/>
      <c r="I401" s="33"/>
      <c r="J401" s="33"/>
      <c r="K401" s="36"/>
      <c r="L401" s="47" t="str">
        <f aca="false">IF($B401="","",IF(NOT(ISNUMBER($B401)),"日期不是日期格式",IF(YEAR($B401)&lt;&gt;首页!$B$3,"不在会计年度",IF($D401="","未选客户",IF(ISNA(MATCH($D401,基础资料!$Z$6:$Z$155,0)),"客户不在档案",IF($E401="","未选商品",IF(ISNA(MATCH($E401,基础资料!$Q$6:$Q$205,0)),"商品不在档案",IF(NOT(ISNUMBER($F401)),"数量须为数字",IF(NOT(ISNUMBER($G401)),"单价须为数字",IF(N($F401)&lt;=0,"数量须大于0",IF(AND(IFERROR(INDEX(基础资料!$V$6:$V$205,MATCH($E401,基础资料!$Q$6:$Q$205,0)),"")="是",N($R401)=0),"无成本价·请先录采购或填参考成本",IF(N($T401)&lt;0,"毛利为负·请核对","√"))))))))))))</f>
        <v/>
      </c>
      <c r="M401" s="49" t="str">
        <f aca="false">IF($E401="","",IFERROR(INDEX(基础资料!$R$6:$R$205,MATCH($E401,基础资料!$Q$6:$Q$205,0)),""))</f>
        <v/>
      </c>
      <c r="N401" s="49" t="str">
        <f aca="false">IF($E401="","",IFERROR(INDEX(基础资料!$S$6:$S$205,MATCH($E401,基础资料!$Q$6:$Q$205,0)),""))</f>
        <v/>
      </c>
      <c r="O401" s="48" t="str">
        <f aca="false">IF(OR($F401="",$G401=""),"",ROUND(N($F401)*N($G401),2))</f>
        <v/>
      </c>
      <c r="P401" s="48" t="str">
        <f aca="false">IF($O401="","",ROUND(N($O401)*N($H401),2))</f>
        <v/>
      </c>
      <c r="Q401" s="48" t="str">
        <f aca="false">IF($O401="","",N($O401)+N($P401))</f>
        <v/>
      </c>
      <c r="R401" s="48" t="str">
        <f aca="false">IF(OR($E401="",$B401=""),"",IF(IFERROR(INDEX(基础资料!$V$6:$V$205,MATCH($E401,基础资料!$Q$6:$Q$205,0)),"")&lt;&gt;"是",0,IFERROR((SUMIFS(期初数据!$T$6:$T$205,期初数据!$O$6:$O$205,$E401)+SUMIFS(采购录入!$Q$5:$Q$404,采购录入!$E$5:$E$404,$E401,采购录入!$I$5:$I$404,"是",采购录入!$B$5:$B$404,"&lt;="&amp;$B401))/(SUMIFS(期初数据!$R$6:$R$205,期初数据!$O$6:$O$205,$E401)+SUMIFS(采购录入!$F$5:$F$404,采购录入!$E$5:$E$404,$E401,采购录入!$I$5:$I$404,"是",采购录入!$B$5:$B$404,"&lt;="&amp;$B401)),IFERROR(INDEX(基础资料!$U$6:$U$205,MATCH($E401,基础资料!$Q$6:$Q$205,0)),0))))</f>
        <v/>
      </c>
      <c r="S401" s="48" t="str">
        <f aca="false">IF($O401="","",ROUND(N($F401)*N($R401),2))</f>
        <v/>
      </c>
      <c r="T401" s="48" t="str">
        <f aca="false">IF($O401="","",N($O401)-N($S401))</f>
        <v/>
      </c>
      <c r="U401" s="52" t="str">
        <f aca="false">IF(OR($B401="",$D401=""),"",$B401+N(IFERROR(INDEX(基础资料!$AB$6:$AB$155,MATCH($D401,基础资料!$Z$6:$Z$155,0)),0)))</f>
        <v/>
      </c>
      <c r="V401" s="49" t="str">
        <f aca="false">IF($O401="","","1122")</f>
        <v/>
      </c>
      <c r="W401" s="49" t="str">
        <f aca="false">IF($O401="","","6001")</f>
        <v/>
      </c>
      <c r="X401" s="48" t="str">
        <f aca="false">IF($O401="","",$O401)</f>
        <v/>
      </c>
      <c r="Y401" s="49" t="str">
        <f aca="false">IF(N($P401)=0,"","1122")</f>
        <v/>
      </c>
      <c r="Z401" s="49" t="str">
        <f aca="false">IF(N($P401)=0,"","2221")</f>
        <v/>
      </c>
      <c r="AA401" s="48" t="str">
        <f aca="false">IF(N($P401)=0,"",$P401)</f>
        <v/>
      </c>
      <c r="AB401" s="49" t="str">
        <f aca="false">IF(N($S401)=0,"","6401")</f>
        <v/>
      </c>
      <c r="AC401" s="49" t="str">
        <f aca="false">IF(N($S401)=0,"","1405")</f>
        <v/>
      </c>
      <c r="AD401" s="48" t="str">
        <f aca="false">IF(N($S401)=0,"",$S401)</f>
        <v/>
      </c>
      <c r="AE401" s="49" t="str">
        <f aca="false">IF(AND($D401=客户对账单!$B$3,$B401&gt;=客户对账单!$E$3,$B401&lt;=客户对账单!$H$3),COUNTIFS($D$5:$D401,客户对账单!$B$3,$B$5:$B401,"&gt;="&amp;客户对账单!$E$3,$B$5:$B401,"&lt;="&amp;客户对账单!$H$3),"")</f>
        <v/>
      </c>
    </row>
    <row r="402" customFormat="false" ht="15.75" hidden="false" customHeight="true" outlineLevel="0" collapsed="false">
      <c r="A402" s="42" t="str">
        <f aca="false">IF($B402="","","XS"&amp;TEXT($B402,"yyyymm")&amp;"-"&amp;TEXT(ROW()-4,"000"))</f>
        <v/>
      </c>
      <c r="B402" s="41"/>
      <c r="C402" s="42" t="str">
        <f aca="false">IF($B402="","",TEXT($B402,"yyyy-mm"))</f>
        <v/>
      </c>
      <c r="D402" s="32"/>
      <c r="E402" s="36"/>
      <c r="F402" s="43"/>
      <c r="G402" s="40"/>
      <c r="H402" s="51"/>
      <c r="I402" s="33"/>
      <c r="J402" s="33"/>
      <c r="K402" s="36"/>
      <c r="L402" s="47" t="str">
        <f aca="false">IF($B402="","",IF(NOT(ISNUMBER($B402)),"日期不是日期格式",IF(YEAR($B402)&lt;&gt;首页!$B$3,"不在会计年度",IF($D402="","未选客户",IF(ISNA(MATCH($D402,基础资料!$Z$6:$Z$155,0)),"客户不在档案",IF($E402="","未选商品",IF(ISNA(MATCH($E402,基础资料!$Q$6:$Q$205,0)),"商品不在档案",IF(NOT(ISNUMBER($F402)),"数量须为数字",IF(NOT(ISNUMBER($G402)),"单价须为数字",IF(N($F402)&lt;=0,"数量须大于0",IF(AND(IFERROR(INDEX(基础资料!$V$6:$V$205,MATCH($E402,基础资料!$Q$6:$Q$205,0)),"")="是",N($R402)=0),"无成本价·请先录采购或填参考成本",IF(N($T402)&lt;0,"毛利为负·请核对","√"))))))))))))</f>
        <v/>
      </c>
      <c r="M402" s="49" t="str">
        <f aca="false">IF($E402="","",IFERROR(INDEX(基础资料!$R$6:$R$205,MATCH($E402,基础资料!$Q$6:$Q$205,0)),""))</f>
        <v/>
      </c>
      <c r="N402" s="49" t="str">
        <f aca="false">IF($E402="","",IFERROR(INDEX(基础资料!$S$6:$S$205,MATCH($E402,基础资料!$Q$6:$Q$205,0)),""))</f>
        <v/>
      </c>
      <c r="O402" s="48" t="str">
        <f aca="false">IF(OR($F402="",$G402=""),"",ROUND(N($F402)*N($G402),2))</f>
        <v/>
      </c>
      <c r="P402" s="48" t="str">
        <f aca="false">IF($O402="","",ROUND(N($O402)*N($H402),2))</f>
        <v/>
      </c>
      <c r="Q402" s="48" t="str">
        <f aca="false">IF($O402="","",N($O402)+N($P402))</f>
        <v/>
      </c>
      <c r="R402" s="48" t="str">
        <f aca="false">IF(OR($E402="",$B402=""),"",IF(IFERROR(INDEX(基础资料!$V$6:$V$205,MATCH($E402,基础资料!$Q$6:$Q$205,0)),"")&lt;&gt;"是",0,IFERROR((SUMIFS(期初数据!$T$6:$T$205,期初数据!$O$6:$O$205,$E402)+SUMIFS(采购录入!$Q$5:$Q$404,采购录入!$E$5:$E$404,$E402,采购录入!$I$5:$I$404,"是",采购录入!$B$5:$B$404,"&lt;="&amp;$B402))/(SUMIFS(期初数据!$R$6:$R$205,期初数据!$O$6:$O$205,$E402)+SUMIFS(采购录入!$F$5:$F$404,采购录入!$E$5:$E$404,$E402,采购录入!$I$5:$I$404,"是",采购录入!$B$5:$B$404,"&lt;="&amp;$B402)),IFERROR(INDEX(基础资料!$U$6:$U$205,MATCH($E402,基础资料!$Q$6:$Q$205,0)),0))))</f>
        <v/>
      </c>
      <c r="S402" s="48" t="str">
        <f aca="false">IF($O402="","",ROUND(N($F402)*N($R402),2))</f>
        <v/>
      </c>
      <c r="T402" s="48" t="str">
        <f aca="false">IF($O402="","",N($O402)-N($S402))</f>
        <v/>
      </c>
      <c r="U402" s="52" t="str">
        <f aca="false">IF(OR($B402="",$D402=""),"",$B402+N(IFERROR(INDEX(基础资料!$AB$6:$AB$155,MATCH($D402,基础资料!$Z$6:$Z$155,0)),0)))</f>
        <v/>
      </c>
      <c r="V402" s="49" t="str">
        <f aca="false">IF($O402="","","1122")</f>
        <v/>
      </c>
      <c r="W402" s="49" t="str">
        <f aca="false">IF($O402="","","6001")</f>
        <v/>
      </c>
      <c r="X402" s="48" t="str">
        <f aca="false">IF($O402="","",$O402)</f>
        <v/>
      </c>
      <c r="Y402" s="49" t="str">
        <f aca="false">IF(N($P402)=0,"","1122")</f>
        <v/>
      </c>
      <c r="Z402" s="49" t="str">
        <f aca="false">IF(N($P402)=0,"","2221")</f>
        <v/>
      </c>
      <c r="AA402" s="48" t="str">
        <f aca="false">IF(N($P402)=0,"",$P402)</f>
        <v/>
      </c>
      <c r="AB402" s="49" t="str">
        <f aca="false">IF(N($S402)=0,"","6401")</f>
        <v/>
      </c>
      <c r="AC402" s="49" t="str">
        <f aca="false">IF(N($S402)=0,"","1405")</f>
        <v/>
      </c>
      <c r="AD402" s="48" t="str">
        <f aca="false">IF(N($S402)=0,"",$S402)</f>
        <v/>
      </c>
      <c r="AE402" s="49" t="str">
        <f aca="false">IF(AND($D402=客户对账单!$B$3,$B402&gt;=客户对账单!$E$3,$B402&lt;=客户对账单!$H$3),COUNTIFS($D$5:$D402,客户对账单!$B$3,$B$5:$B402,"&gt;="&amp;客户对账单!$E$3,$B$5:$B402,"&lt;="&amp;客户对账单!$H$3),"")</f>
        <v/>
      </c>
    </row>
    <row r="403" customFormat="false" ht="15.75" hidden="false" customHeight="true" outlineLevel="0" collapsed="false">
      <c r="A403" s="42" t="str">
        <f aca="false">IF($B403="","","XS"&amp;TEXT($B403,"yyyymm")&amp;"-"&amp;TEXT(ROW()-4,"000"))</f>
        <v/>
      </c>
      <c r="B403" s="41"/>
      <c r="C403" s="42" t="str">
        <f aca="false">IF($B403="","",TEXT($B403,"yyyy-mm"))</f>
        <v/>
      </c>
      <c r="D403" s="32"/>
      <c r="E403" s="36"/>
      <c r="F403" s="43"/>
      <c r="G403" s="40"/>
      <c r="H403" s="51"/>
      <c r="I403" s="33"/>
      <c r="J403" s="33"/>
      <c r="K403" s="36"/>
      <c r="L403" s="47" t="str">
        <f aca="false">IF($B403="","",IF(NOT(ISNUMBER($B403)),"日期不是日期格式",IF(YEAR($B403)&lt;&gt;首页!$B$3,"不在会计年度",IF($D403="","未选客户",IF(ISNA(MATCH($D403,基础资料!$Z$6:$Z$155,0)),"客户不在档案",IF($E403="","未选商品",IF(ISNA(MATCH($E403,基础资料!$Q$6:$Q$205,0)),"商品不在档案",IF(NOT(ISNUMBER($F403)),"数量须为数字",IF(NOT(ISNUMBER($G403)),"单价须为数字",IF(N($F403)&lt;=0,"数量须大于0",IF(AND(IFERROR(INDEX(基础资料!$V$6:$V$205,MATCH($E403,基础资料!$Q$6:$Q$205,0)),"")="是",N($R403)=0),"无成本价·请先录采购或填参考成本",IF(N($T403)&lt;0,"毛利为负·请核对","√"))))))))))))</f>
        <v/>
      </c>
      <c r="M403" s="49" t="str">
        <f aca="false">IF($E403="","",IFERROR(INDEX(基础资料!$R$6:$R$205,MATCH($E403,基础资料!$Q$6:$Q$205,0)),""))</f>
        <v/>
      </c>
      <c r="N403" s="49" t="str">
        <f aca="false">IF($E403="","",IFERROR(INDEX(基础资料!$S$6:$S$205,MATCH($E403,基础资料!$Q$6:$Q$205,0)),""))</f>
        <v/>
      </c>
      <c r="O403" s="48" t="str">
        <f aca="false">IF(OR($F403="",$G403=""),"",ROUND(N($F403)*N($G403),2))</f>
        <v/>
      </c>
      <c r="P403" s="48" t="str">
        <f aca="false">IF($O403="","",ROUND(N($O403)*N($H403),2))</f>
        <v/>
      </c>
      <c r="Q403" s="48" t="str">
        <f aca="false">IF($O403="","",N($O403)+N($P403))</f>
        <v/>
      </c>
      <c r="R403" s="48" t="str">
        <f aca="false">IF(OR($E403="",$B403=""),"",IF(IFERROR(INDEX(基础资料!$V$6:$V$205,MATCH($E403,基础资料!$Q$6:$Q$205,0)),"")&lt;&gt;"是",0,IFERROR((SUMIFS(期初数据!$T$6:$T$205,期初数据!$O$6:$O$205,$E403)+SUMIFS(采购录入!$Q$5:$Q$404,采购录入!$E$5:$E$404,$E403,采购录入!$I$5:$I$404,"是",采购录入!$B$5:$B$404,"&lt;="&amp;$B403))/(SUMIFS(期初数据!$R$6:$R$205,期初数据!$O$6:$O$205,$E403)+SUMIFS(采购录入!$F$5:$F$404,采购录入!$E$5:$E$404,$E403,采购录入!$I$5:$I$404,"是",采购录入!$B$5:$B$404,"&lt;="&amp;$B403)),IFERROR(INDEX(基础资料!$U$6:$U$205,MATCH($E403,基础资料!$Q$6:$Q$205,0)),0))))</f>
        <v/>
      </c>
      <c r="S403" s="48" t="str">
        <f aca="false">IF($O403="","",ROUND(N($F403)*N($R403),2))</f>
        <v/>
      </c>
      <c r="T403" s="48" t="str">
        <f aca="false">IF($O403="","",N($O403)-N($S403))</f>
        <v/>
      </c>
      <c r="U403" s="52" t="str">
        <f aca="false">IF(OR($B403="",$D403=""),"",$B403+N(IFERROR(INDEX(基础资料!$AB$6:$AB$155,MATCH($D403,基础资料!$Z$6:$Z$155,0)),0)))</f>
        <v/>
      </c>
      <c r="V403" s="49" t="str">
        <f aca="false">IF($O403="","","1122")</f>
        <v/>
      </c>
      <c r="W403" s="49" t="str">
        <f aca="false">IF($O403="","","6001")</f>
        <v/>
      </c>
      <c r="X403" s="48" t="str">
        <f aca="false">IF($O403="","",$O403)</f>
        <v/>
      </c>
      <c r="Y403" s="49" t="str">
        <f aca="false">IF(N($P403)=0,"","1122")</f>
        <v/>
      </c>
      <c r="Z403" s="49" t="str">
        <f aca="false">IF(N($P403)=0,"","2221")</f>
        <v/>
      </c>
      <c r="AA403" s="48" t="str">
        <f aca="false">IF(N($P403)=0,"",$P403)</f>
        <v/>
      </c>
      <c r="AB403" s="49" t="str">
        <f aca="false">IF(N($S403)=0,"","6401")</f>
        <v/>
      </c>
      <c r="AC403" s="49" t="str">
        <f aca="false">IF(N($S403)=0,"","1405")</f>
        <v/>
      </c>
      <c r="AD403" s="48" t="str">
        <f aca="false">IF(N($S403)=0,"",$S403)</f>
        <v/>
      </c>
      <c r="AE403" s="49" t="str">
        <f aca="false">IF(AND($D403=客户对账单!$B$3,$B403&gt;=客户对账单!$E$3,$B403&lt;=客户对账单!$H$3),COUNTIFS($D$5:$D403,客户对账单!$B$3,$B$5:$B403,"&gt;="&amp;客户对账单!$E$3,$B$5:$B403,"&lt;="&amp;客户对账单!$H$3),"")</f>
        <v/>
      </c>
    </row>
    <row r="404" customFormat="false" ht="15.75" hidden="false" customHeight="true" outlineLevel="0" collapsed="false">
      <c r="A404" s="42" t="str">
        <f aca="false">IF($B404="","","XS"&amp;TEXT($B404,"yyyymm")&amp;"-"&amp;TEXT(ROW()-4,"000"))</f>
        <v/>
      </c>
      <c r="B404" s="41"/>
      <c r="C404" s="42" t="str">
        <f aca="false">IF($B404="","",TEXT($B404,"yyyy-mm"))</f>
        <v/>
      </c>
      <c r="D404" s="32"/>
      <c r="E404" s="36"/>
      <c r="F404" s="43"/>
      <c r="G404" s="40"/>
      <c r="H404" s="51"/>
      <c r="I404" s="33"/>
      <c r="J404" s="33"/>
      <c r="K404" s="36"/>
      <c r="L404" s="47" t="str">
        <f aca="false">IF($B404="","",IF(NOT(ISNUMBER($B404)),"日期不是日期格式",IF(YEAR($B404)&lt;&gt;首页!$B$3,"不在会计年度",IF($D404="","未选客户",IF(ISNA(MATCH($D404,基础资料!$Z$6:$Z$155,0)),"客户不在档案",IF($E404="","未选商品",IF(ISNA(MATCH($E404,基础资料!$Q$6:$Q$205,0)),"商品不在档案",IF(NOT(ISNUMBER($F404)),"数量须为数字",IF(NOT(ISNUMBER($G404)),"单价须为数字",IF(N($F404)&lt;=0,"数量须大于0",IF(AND(IFERROR(INDEX(基础资料!$V$6:$V$205,MATCH($E404,基础资料!$Q$6:$Q$205,0)),"")="是",N($R404)=0),"无成本价·请先录采购或填参考成本",IF(N($T404)&lt;0,"毛利为负·请核对","√"))))))))))))</f>
        <v/>
      </c>
      <c r="M404" s="49" t="str">
        <f aca="false">IF($E404="","",IFERROR(INDEX(基础资料!$R$6:$R$205,MATCH($E404,基础资料!$Q$6:$Q$205,0)),""))</f>
        <v/>
      </c>
      <c r="N404" s="49" t="str">
        <f aca="false">IF($E404="","",IFERROR(INDEX(基础资料!$S$6:$S$205,MATCH($E404,基础资料!$Q$6:$Q$205,0)),""))</f>
        <v/>
      </c>
      <c r="O404" s="48" t="str">
        <f aca="false">IF(OR($F404="",$G404=""),"",ROUND(N($F404)*N($G404),2))</f>
        <v/>
      </c>
      <c r="P404" s="48" t="str">
        <f aca="false">IF($O404="","",ROUND(N($O404)*N($H404),2))</f>
        <v/>
      </c>
      <c r="Q404" s="48" t="str">
        <f aca="false">IF($O404="","",N($O404)+N($P404))</f>
        <v/>
      </c>
      <c r="R404" s="48" t="str">
        <f aca="false">IF(OR($E404="",$B404=""),"",IF(IFERROR(INDEX(基础资料!$V$6:$V$205,MATCH($E404,基础资料!$Q$6:$Q$205,0)),"")&lt;&gt;"是",0,IFERROR((SUMIFS(期初数据!$T$6:$T$205,期初数据!$O$6:$O$205,$E404)+SUMIFS(采购录入!$Q$5:$Q$404,采购录入!$E$5:$E$404,$E404,采购录入!$I$5:$I$404,"是",采购录入!$B$5:$B$404,"&lt;="&amp;$B404))/(SUMIFS(期初数据!$R$6:$R$205,期初数据!$O$6:$O$205,$E404)+SUMIFS(采购录入!$F$5:$F$404,采购录入!$E$5:$E$404,$E404,采购录入!$I$5:$I$404,"是",采购录入!$B$5:$B$404,"&lt;="&amp;$B404)),IFERROR(INDEX(基础资料!$U$6:$U$205,MATCH($E404,基础资料!$Q$6:$Q$205,0)),0))))</f>
        <v/>
      </c>
      <c r="S404" s="48" t="str">
        <f aca="false">IF($O404="","",ROUND(N($F404)*N($R404),2))</f>
        <v/>
      </c>
      <c r="T404" s="48" t="str">
        <f aca="false">IF($O404="","",N($O404)-N($S404))</f>
        <v/>
      </c>
      <c r="U404" s="52" t="str">
        <f aca="false">IF(OR($B404="",$D404=""),"",$B404+N(IFERROR(INDEX(基础资料!$AB$6:$AB$155,MATCH($D404,基础资料!$Z$6:$Z$155,0)),0)))</f>
        <v/>
      </c>
      <c r="V404" s="49" t="str">
        <f aca="false">IF($O404="","","1122")</f>
        <v/>
      </c>
      <c r="W404" s="49" t="str">
        <f aca="false">IF($O404="","","6001")</f>
        <v/>
      </c>
      <c r="X404" s="48" t="str">
        <f aca="false">IF($O404="","",$O404)</f>
        <v/>
      </c>
      <c r="Y404" s="49" t="str">
        <f aca="false">IF(N($P404)=0,"","1122")</f>
        <v/>
      </c>
      <c r="Z404" s="49" t="str">
        <f aca="false">IF(N($P404)=0,"","2221")</f>
        <v/>
      </c>
      <c r="AA404" s="48" t="str">
        <f aca="false">IF(N($P404)=0,"",$P404)</f>
        <v/>
      </c>
      <c r="AB404" s="49" t="str">
        <f aca="false">IF(N($S404)=0,"","6401")</f>
        <v/>
      </c>
      <c r="AC404" s="49" t="str">
        <f aca="false">IF(N($S404)=0,"","1405")</f>
        <v/>
      </c>
      <c r="AD404" s="48" t="str">
        <f aca="false">IF(N($S404)=0,"",$S404)</f>
        <v/>
      </c>
      <c r="AE404" s="49" t="str">
        <f aca="false">IF(AND($D404=客户对账单!$B$3,$B404&gt;=客户对账单!$E$3,$B404&lt;=客户对账单!$H$3),COUNTIFS($D$5:$D404,客户对账单!$B$3,$B$5:$B404,"&gt;="&amp;客户对账单!$E$3,$B$5:$B404,"&lt;="&amp;客户对账单!$H$3),"")</f>
        <v/>
      </c>
    </row>
    <row r="406" customFormat="false" ht="74.6" hidden="false" customHeight="false" outlineLevel="0" collapsed="false">
      <c r="A406" s="37" t="s">
        <v>403</v>
      </c>
    </row>
  </sheetData>
  <autoFilter ref="A4:AE404"/>
  <mergeCells count="4">
    <mergeCell ref="A1:AD1"/>
    <mergeCell ref="A2:AD2"/>
    <mergeCell ref="A3:L3"/>
    <mergeCell ref="M3:AD3"/>
  </mergeCells>
  <conditionalFormatting sqref="L5:L404">
    <cfRule type="expression" priority="2" aboveAverage="0" equalAverage="0" bottom="0" percent="0" rank="0" text="" dxfId="9">
      <formula>AND($L5&lt;&gt;"",$L5&lt;&gt;"√")</formula>
    </cfRule>
  </conditionalFormatting>
  <dataValidations count="7">
    <dataValidation allowBlank="true" error="本列必须是数字，填成文本会让整笔业务被静默丢弃" errorStyle="stop" errorTitle="只能填数字" operator="greaterThanOrEqual" showDropDown="false" showErrorMessage="true" showInputMessage="false" sqref="F5:G404" type="decimal">
      <formula1>0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D5:D404" type="list">
      <formula1>基础资料!$Z$6:$Z$155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5:E404" type="list">
      <formula1>基础资料!$Q$6:$Q$205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I5:I404" type="list">
      <formula1>基础资料!$G$6:$G$25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J5:J404" type="list">
      <formula1>基础资料!$K$6:$K$65</formula1>
      <formula2>0</formula2>
    </dataValidation>
    <dataValidation allowBlank="true" error="日期必须落在首页设定的会计年度内，否则该笔业务不会进入任何报表" errorStyle="stop" errorTitle="日期超出会计年度" operator="between" showDropDown="false" showErrorMessage="true" showInputMessage="false" sqref="B5:B404" type="date">
      <formula1>DATE(首页!$B$3,1,1)</formula1>
      <formula2>DATE(首页!$B$3,12,31)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5:H404" type="list">
      <formula1>"0,0.01,0.03,0.05,0.06,0.09,0.13"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AA40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8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1"/>
    <col collapsed="false" customWidth="true" hidden="false" outlineLevel="0" max="22" min="21" style="0" width="8"/>
    <col collapsed="false" customWidth="true" hidden="false" outlineLevel="0" max="23" min="23" style="0" width="12"/>
    <col collapsed="false" customWidth="true" hidden="false" outlineLevel="0" max="25" min="24" style="0" width="8"/>
    <col collapsed="false" customWidth="true" hidden="false" outlineLevel="0" max="26" min="26" style="0" width="12"/>
    <col collapsed="false" customWidth="true" hidden="false" outlineLevel="0" max="27" min="27" style="0" width="8"/>
  </cols>
  <sheetData>
    <row r="1" customFormat="false" ht="25.5" hidden="false" customHeight="true" outlineLevel="0" collapsed="false">
      <c r="A1" s="23" t="s">
        <v>557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customFormat="false" ht="15" hidden="false" customHeight="true" outlineLevel="0" collapsed="false">
      <c r="A2" s="6" t="s">
        <v>558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true" outlineLevel="0" collapsed="false">
      <c r="A3" s="45" t="s">
        <v>509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 t="s">
        <v>510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customFormat="false" ht="30" hidden="false" customHeight="true" outlineLevel="0" collapsed="false">
      <c r="A4" s="30" t="s">
        <v>511</v>
      </c>
      <c r="B4" s="30" t="s">
        <v>512</v>
      </c>
      <c r="C4" s="30" t="s">
        <v>513</v>
      </c>
      <c r="D4" s="30" t="s">
        <v>206</v>
      </c>
      <c r="E4" s="30" t="s">
        <v>559</v>
      </c>
      <c r="F4" s="30" t="s">
        <v>537</v>
      </c>
      <c r="G4" s="30" t="s">
        <v>538</v>
      </c>
      <c r="H4" s="30" t="s">
        <v>539</v>
      </c>
      <c r="I4" s="30" t="s">
        <v>560</v>
      </c>
      <c r="J4" s="30" t="s">
        <v>561</v>
      </c>
      <c r="K4" s="30" t="s">
        <v>374</v>
      </c>
      <c r="L4" s="30" t="s">
        <v>434</v>
      </c>
      <c r="M4" s="30" t="s">
        <v>515</v>
      </c>
      <c r="N4" s="30" t="s">
        <v>518</v>
      </c>
      <c r="O4" s="46" t="s">
        <v>499</v>
      </c>
      <c r="P4" s="46" t="s">
        <v>424</v>
      </c>
      <c r="Q4" s="46" t="s">
        <v>540</v>
      </c>
      <c r="R4" s="46" t="s">
        <v>562</v>
      </c>
      <c r="S4" s="46" t="s">
        <v>542</v>
      </c>
      <c r="T4" s="46" t="s">
        <v>545</v>
      </c>
      <c r="U4" s="46" t="s">
        <v>546</v>
      </c>
      <c r="V4" s="46" t="s">
        <v>547</v>
      </c>
      <c r="W4" s="46" t="s">
        <v>548</v>
      </c>
      <c r="X4" s="46" t="s">
        <v>549</v>
      </c>
      <c r="Y4" s="46" t="s">
        <v>550</v>
      </c>
      <c r="Z4" s="46" t="s">
        <v>551</v>
      </c>
      <c r="AA4" s="46" t="s">
        <v>526</v>
      </c>
    </row>
    <row r="5" customFormat="false" ht="15.75" hidden="false" customHeight="true" outlineLevel="0" collapsed="false">
      <c r="A5" s="42" t="str">
        <f aca="false">IF($B5="","","CG"&amp;TEXT($B5,"yyyymm")&amp;"-"&amp;TEXT(ROW()-4,"000"))</f>
        <v>CG202601-001</v>
      </c>
      <c r="B5" s="41" t="n">
        <v>46025</v>
      </c>
      <c r="C5" s="42" t="str">
        <f aca="false">IF($B5="","",TEXT($B5,"yyyy-mm"))</f>
        <v>2026-01</v>
      </c>
      <c r="D5" s="32" t="s">
        <v>448</v>
      </c>
      <c r="E5" s="36" t="s">
        <v>441</v>
      </c>
      <c r="F5" s="43" t="n">
        <v>100</v>
      </c>
      <c r="G5" s="40" t="n">
        <v>105</v>
      </c>
      <c r="H5" s="51" t="n">
        <v>0.13</v>
      </c>
      <c r="I5" s="33" t="s">
        <v>444</v>
      </c>
      <c r="J5" s="31"/>
      <c r="K5" s="33" t="s">
        <v>452</v>
      </c>
      <c r="L5" s="33" t="s">
        <v>449</v>
      </c>
      <c r="M5" s="32" t="s">
        <v>563</v>
      </c>
      <c r="N5" s="47" t="str">
        <f aca="false">IF($B5="","",IF(NOT(ISNUMBER($B5)),"日期不是日期格式",IF(YEAR($B5)&lt;&gt;首页!$B$3,"不在会计年度",IF($D5="","未选供应商",IF(ISNA(MATCH($D5,基础资料!$AF$6:$AF$155,0)),"供应商不在档案",IF($E5="","未填商品或内容",IF(NOT(ISNUMBER($F5)),"数量须为数字",IF(NOT(ISNUMBER($G5)),"单价须为数字",IF(N($F5)&lt;=0,"数量须大于0",IF($I5="","请选是否入库",IF(AND($I5="是",ISNA(MATCH($E5,基础资料!$Q$6:$Q$205,0))),"入库商品必须在商品档案中",IF(AND($I5="否",$J5&lt;&gt;"",ISNA(MATCH($J5,科目参数!$A$6:$A$125,0))),"费用科目不存在","√"))))))))))))</f>
        <v>√</v>
      </c>
      <c r="O5" s="49" t="str">
        <f aca="false">IF($E5="","",IFERROR(INDEX(基础资料!$R$6:$R$205,MATCH($E5,基础资料!$Q$6:$Q$205,0)),""))</f>
        <v>A-01</v>
      </c>
      <c r="P5" s="49" t="str">
        <f aca="false">IF($E5="","",IFERROR(INDEX(基础资料!$S$6:$S$205,MATCH($E5,基础资料!$Q$6:$Q$205,0)),""))</f>
        <v>个</v>
      </c>
      <c r="Q5" s="48" t="n">
        <f aca="false">IF(OR($F5="",$G5=""),"",ROUND(N($F5)*N($G5),2))</f>
        <v>10500</v>
      </c>
      <c r="R5" s="48" t="n">
        <f aca="false">IF($Q5="","",ROUND(N($Q5)*N($H5),2))</f>
        <v>1365</v>
      </c>
      <c r="S5" s="48" t="n">
        <f aca="false">IF($Q5="","",N($Q5)+N($R5))</f>
        <v>11865</v>
      </c>
      <c r="T5" s="52" t="n">
        <f aca="false">IF(OR($B5="",$D5=""),"",$B5+N(IFERROR(INDEX(基础资料!$AH$6:$AH$155,MATCH($D5,基础资料!$AF$6:$AF$155,0)),0)))</f>
        <v>46055</v>
      </c>
      <c r="U5" s="49" t="str">
        <f aca="false">IF($Q5="","",IF($I5="是","1405",IF($J5="","6602",$J5)))</f>
        <v>1405</v>
      </c>
      <c r="V5" s="49" t="str">
        <f aca="false">IF($Q5="","","2202")</f>
        <v>2202</v>
      </c>
      <c r="W5" s="48" t="n">
        <f aca="false">IF($Q5="","",$Q5)</f>
        <v>10500</v>
      </c>
      <c r="X5" s="49" t="str">
        <f aca="false">IF(N($R5)=0,"","2221")</f>
        <v>2221</v>
      </c>
      <c r="Y5" s="49" t="str">
        <f aca="false">IF(N($R5)=0,"","2202")</f>
        <v>2202</v>
      </c>
      <c r="Z5" s="48" t="n">
        <f aca="false">IF(N($R5)=0,"",$R5)</f>
        <v>1365</v>
      </c>
      <c r="AA5" s="49" t="n">
        <f aca="false">IF(AND($D5=供应商对账单!$B$3,$B5&gt;=供应商对账单!$E$3,$B5&lt;=供应商对账单!$H$3),COUNTIFS($D$5:$D5,供应商对账单!$B$3,$B$5:$B5,"&gt;="&amp;供应商对账单!$E$3,$B$5:$B5,"&lt;="&amp;供应商对账单!$H$3),"")</f>
        <v>1</v>
      </c>
    </row>
    <row r="6" customFormat="false" ht="15.75" hidden="false" customHeight="true" outlineLevel="0" collapsed="false">
      <c r="A6" s="42" t="str">
        <f aca="false">IF($B6="","","CG"&amp;TEXT($B6,"yyyymm")&amp;"-"&amp;TEXT(ROW()-4,"000"))</f>
        <v>CG202601-002</v>
      </c>
      <c r="B6" s="41" t="n">
        <v>46032</v>
      </c>
      <c r="C6" s="42" t="str">
        <f aca="false">IF($B6="","",TEXT($B6,"yyyy-mm"))</f>
        <v>2026-01</v>
      </c>
      <c r="D6" s="32" t="s">
        <v>460</v>
      </c>
      <c r="E6" s="36" t="s">
        <v>455</v>
      </c>
      <c r="F6" s="43" t="n">
        <v>30</v>
      </c>
      <c r="G6" s="40" t="n">
        <v>225</v>
      </c>
      <c r="H6" s="51" t="n">
        <v>0.13</v>
      </c>
      <c r="I6" s="33" t="s">
        <v>444</v>
      </c>
      <c r="J6" s="31"/>
      <c r="K6" s="33" t="s">
        <v>452</v>
      </c>
      <c r="L6" s="33" t="s">
        <v>449</v>
      </c>
      <c r="M6" s="36"/>
      <c r="N6" s="47" t="str">
        <f aca="false">IF($B6="","",IF(NOT(ISNUMBER($B6)),"日期不是日期格式",IF(YEAR($B6)&lt;&gt;首页!$B$3,"不在会计年度",IF($D6="","未选供应商",IF(ISNA(MATCH($D6,基础资料!$AF$6:$AF$155,0)),"供应商不在档案",IF($E6="","未填商品或内容",IF(NOT(ISNUMBER($F6)),"数量须为数字",IF(NOT(ISNUMBER($G6)),"单价须为数字",IF(N($F6)&lt;=0,"数量须大于0",IF($I6="","请选是否入库",IF(AND($I6="是",ISNA(MATCH($E6,基础资料!$Q$6:$Q$205,0))),"入库商品必须在商品档案中",IF(AND($I6="否",$J6&lt;&gt;"",ISNA(MATCH($J6,科目参数!$A$6:$A$125,0))),"费用科目不存在","√"))))))))))))</f>
        <v>√</v>
      </c>
      <c r="O6" s="49" t="str">
        <f aca="false">IF($E6="","",IFERROR(INDEX(基础资料!$R$6:$R$205,MATCH($E6,基础资料!$Q$6:$Q$205,0)),""))</f>
        <v>B-02</v>
      </c>
      <c r="P6" s="49" t="str">
        <f aca="false">IF($E6="","",IFERROR(INDEX(基础资料!$S$6:$S$205,MATCH($E6,基础资料!$Q$6:$Q$205,0)),""))</f>
        <v>个</v>
      </c>
      <c r="Q6" s="48" t="n">
        <f aca="false">IF(OR($F6="",$G6=""),"",ROUND(N($F6)*N($G6),2))</f>
        <v>6750</v>
      </c>
      <c r="R6" s="48" t="n">
        <f aca="false">IF($Q6="","",ROUND(N($Q6)*N($H6),2))</f>
        <v>877.5</v>
      </c>
      <c r="S6" s="48" t="n">
        <f aca="false">IF($Q6="","",N($Q6)+N($R6))</f>
        <v>7627.5</v>
      </c>
      <c r="T6" s="52" t="n">
        <f aca="false">IF(OR($B6="",$D6=""),"",$B6+N(IFERROR(INDEX(基础资料!$AH$6:$AH$155,MATCH($D6,基础资料!$AF$6:$AF$155,0)),0)))</f>
        <v>46077</v>
      </c>
      <c r="U6" s="49" t="str">
        <f aca="false">IF($Q6="","",IF($I6="是","1405",IF($J6="","6602",$J6)))</f>
        <v>1405</v>
      </c>
      <c r="V6" s="49" t="str">
        <f aca="false">IF($Q6="","","2202")</f>
        <v>2202</v>
      </c>
      <c r="W6" s="48" t="n">
        <f aca="false">IF($Q6="","",$Q6)</f>
        <v>6750</v>
      </c>
      <c r="X6" s="49" t="str">
        <f aca="false">IF(N($R6)=0,"","2221")</f>
        <v>2221</v>
      </c>
      <c r="Y6" s="49" t="str">
        <f aca="false">IF(N($R6)=0,"","2202")</f>
        <v>2202</v>
      </c>
      <c r="Z6" s="48" t="n">
        <f aca="false">IF(N($R6)=0,"",$R6)</f>
        <v>877.5</v>
      </c>
      <c r="AA6" s="49" t="str">
        <f aca="false">IF(AND($D6=供应商对账单!$B$3,$B6&gt;=供应商对账单!$E$3,$B6&lt;=供应商对账单!$H$3),COUNTIFS($D$5:$D6,供应商对账单!$B$3,$B$5:$B6,"&gt;="&amp;供应商对账单!$E$3,$B$5:$B6,"&lt;="&amp;供应商对账单!$H$3),"")</f>
        <v/>
      </c>
    </row>
    <row r="7" customFormat="false" ht="15.75" hidden="false" customHeight="true" outlineLevel="0" collapsed="false">
      <c r="A7" s="42" t="str">
        <f aca="false">IF($B7="","","CG"&amp;TEXT($B7,"yyyymm")&amp;"-"&amp;TEXT(ROW()-4,"000"))</f>
        <v>CG202601-003</v>
      </c>
      <c r="B7" s="41" t="n">
        <v>46037</v>
      </c>
      <c r="C7" s="42" t="str">
        <f aca="false">IF($B7="","",TEXT($B7,"yyyy-mm"))</f>
        <v>2026-01</v>
      </c>
      <c r="D7" s="32" t="s">
        <v>448</v>
      </c>
      <c r="E7" s="32" t="s">
        <v>564</v>
      </c>
      <c r="F7" s="43" t="n">
        <v>1</v>
      </c>
      <c r="G7" s="40" t="n">
        <v>2000</v>
      </c>
      <c r="H7" s="51" t="n">
        <v>0.13</v>
      </c>
      <c r="I7" s="33" t="s">
        <v>479</v>
      </c>
      <c r="J7" s="31" t="s">
        <v>269</v>
      </c>
      <c r="K7" s="33" t="s">
        <v>473</v>
      </c>
      <c r="L7" s="33" t="s">
        <v>449</v>
      </c>
      <c r="M7" s="32" t="s">
        <v>565</v>
      </c>
      <c r="N7" s="47" t="str">
        <f aca="false">IF($B7="","",IF(NOT(ISNUMBER($B7)),"日期不是日期格式",IF(YEAR($B7)&lt;&gt;首页!$B$3,"不在会计年度",IF($D7="","未选供应商",IF(ISNA(MATCH($D7,基础资料!$AF$6:$AF$155,0)),"供应商不在档案",IF($E7="","未填商品或内容",IF(NOT(ISNUMBER($F7)),"数量须为数字",IF(NOT(ISNUMBER($G7)),"单价须为数字",IF(N($F7)&lt;=0,"数量须大于0",IF($I7="","请选是否入库",IF(AND($I7="是",ISNA(MATCH($E7,基础资料!$Q$6:$Q$205,0))),"入库商品必须在商品档案中",IF(AND($I7="否",$J7&lt;&gt;"",ISNA(MATCH($J7,科目参数!$A$6:$A$125,0))),"费用科目不存在","√"))))))))))))</f>
        <v>√</v>
      </c>
      <c r="O7" s="49" t="str">
        <f aca="false">IF($E7="","",IFERROR(INDEX(基础资料!$R$6:$R$205,MATCH($E7,基础资料!$Q$6:$Q$205,0)),""))</f>
        <v/>
      </c>
      <c r="P7" s="49" t="str">
        <f aca="false">IF($E7="","",IFERROR(INDEX(基础资料!$S$6:$S$205,MATCH($E7,基础资料!$Q$6:$Q$205,0)),""))</f>
        <v/>
      </c>
      <c r="Q7" s="48" t="n">
        <f aca="false">IF(OR($F7="",$G7=""),"",ROUND(N($F7)*N($G7),2))</f>
        <v>2000</v>
      </c>
      <c r="R7" s="48" t="n">
        <f aca="false">IF($Q7="","",ROUND(N($Q7)*N($H7),2))</f>
        <v>260</v>
      </c>
      <c r="S7" s="48" t="n">
        <f aca="false">IF($Q7="","",N($Q7)+N($R7))</f>
        <v>2260</v>
      </c>
      <c r="T7" s="52" t="n">
        <f aca="false">IF(OR($B7="",$D7=""),"",$B7+N(IFERROR(INDEX(基础资料!$AH$6:$AH$155,MATCH($D7,基础资料!$AF$6:$AF$155,0)),0)))</f>
        <v>46067</v>
      </c>
      <c r="U7" s="49" t="str">
        <f aca="false">IF($Q7="","",IF($I7="是","1405",IF($J7="","6602",$J7)))</f>
        <v>6602</v>
      </c>
      <c r="V7" s="49" t="str">
        <f aca="false">IF($Q7="","","2202")</f>
        <v>2202</v>
      </c>
      <c r="W7" s="48" t="n">
        <f aca="false">IF($Q7="","",$Q7)</f>
        <v>2000</v>
      </c>
      <c r="X7" s="49" t="str">
        <f aca="false">IF(N($R7)=0,"","2221")</f>
        <v>2221</v>
      </c>
      <c r="Y7" s="49" t="str">
        <f aca="false">IF(N($R7)=0,"","2202")</f>
        <v>2202</v>
      </c>
      <c r="Z7" s="48" t="n">
        <f aca="false">IF(N($R7)=0,"",$R7)</f>
        <v>260</v>
      </c>
      <c r="AA7" s="49" t="n">
        <f aca="false">IF(AND($D7=供应商对账单!$B$3,$B7&gt;=供应商对账单!$E$3,$B7&lt;=供应商对账单!$H$3),COUNTIFS($D$5:$D7,供应商对账单!$B$3,$B$5:$B7,"&gt;="&amp;供应商对账单!$E$3,$B$5:$B7,"&lt;="&amp;供应商对账单!$H$3),"")</f>
        <v>2</v>
      </c>
    </row>
    <row r="8" customFormat="false" ht="15.75" hidden="false" customHeight="true" outlineLevel="0" collapsed="false">
      <c r="A8" s="42" t="str">
        <f aca="false">IF($B8="","","CG"&amp;TEXT($B8,"yyyymm")&amp;"-"&amp;TEXT(ROW()-4,"000"))</f>
        <v/>
      </c>
      <c r="B8" s="41"/>
      <c r="C8" s="42" t="str">
        <f aca="false">IF($B8="","",TEXT($B8,"yyyy-mm"))</f>
        <v/>
      </c>
      <c r="D8" s="32"/>
      <c r="E8" s="36"/>
      <c r="F8" s="43"/>
      <c r="G8" s="40"/>
      <c r="H8" s="51"/>
      <c r="I8" s="33"/>
      <c r="J8" s="31"/>
      <c r="K8" s="33"/>
      <c r="L8" s="33"/>
      <c r="M8" s="36"/>
      <c r="N8" s="47" t="str">
        <f aca="false">IF($B8="","",IF(NOT(ISNUMBER($B8)),"日期不是日期格式",IF(YEAR($B8)&lt;&gt;首页!$B$3,"不在会计年度",IF($D8="","未选供应商",IF(ISNA(MATCH($D8,基础资料!$AF$6:$AF$155,0)),"供应商不在档案",IF($E8="","未填商品或内容",IF(NOT(ISNUMBER($F8)),"数量须为数字",IF(NOT(ISNUMBER($G8)),"单价须为数字",IF(N($F8)&lt;=0,"数量须大于0",IF($I8="","请选是否入库",IF(AND($I8="是",ISNA(MATCH($E8,基础资料!$Q$6:$Q$205,0))),"入库商品必须在商品档案中",IF(AND($I8="否",$J8&lt;&gt;"",ISNA(MATCH($J8,科目参数!$A$6:$A$125,0))),"费用科目不存在","√"))))))))))))</f>
        <v/>
      </c>
      <c r="O8" s="49" t="str">
        <f aca="false">IF($E8="","",IFERROR(INDEX(基础资料!$R$6:$R$205,MATCH($E8,基础资料!$Q$6:$Q$205,0)),""))</f>
        <v/>
      </c>
      <c r="P8" s="49" t="str">
        <f aca="false">IF($E8="","",IFERROR(INDEX(基础资料!$S$6:$S$205,MATCH($E8,基础资料!$Q$6:$Q$205,0)),""))</f>
        <v/>
      </c>
      <c r="Q8" s="48" t="str">
        <f aca="false">IF(OR($F8="",$G8=""),"",ROUND(N($F8)*N($G8),2))</f>
        <v/>
      </c>
      <c r="R8" s="48" t="str">
        <f aca="false">IF($Q8="","",ROUND(N($Q8)*N($H8),2))</f>
        <v/>
      </c>
      <c r="S8" s="48" t="str">
        <f aca="false">IF($Q8="","",N($Q8)+N($R8))</f>
        <v/>
      </c>
      <c r="T8" s="52" t="str">
        <f aca="false">IF(OR($B8="",$D8=""),"",$B8+N(IFERROR(INDEX(基础资料!$AH$6:$AH$155,MATCH($D8,基础资料!$AF$6:$AF$155,0)),0)))</f>
        <v/>
      </c>
      <c r="U8" s="49" t="str">
        <f aca="false">IF($Q8="","",IF($I8="是","1405",IF($J8="","6602",$J8)))</f>
        <v/>
      </c>
      <c r="V8" s="49" t="str">
        <f aca="false">IF($Q8="","","2202")</f>
        <v/>
      </c>
      <c r="W8" s="48" t="str">
        <f aca="false">IF($Q8="","",$Q8)</f>
        <v/>
      </c>
      <c r="X8" s="49" t="str">
        <f aca="false">IF(N($R8)=0,"","2221")</f>
        <v/>
      </c>
      <c r="Y8" s="49" t="str">
        <f aca="false">IF(N($R8)=0,"","2202")</f>
        <v/>
      </c>
      <c r="Z8" s="48" t="str">
        <f aca="false">IF(N($R8)=0,"",$R8)</f>
        <v/>
      </c>
      <c r="AA8" s="49" t="str">
        <f aca="false">IF(AND($D8=供应商对账单!$B$3,$B8&gt;=供应商对账单!$E$3,$B8&lt;=供应商对账单!$H$3),COUNTIFS($D$5:$D8,供应商对账单!$B$3,$B$5:$B8,"&gt;="&amp;供应商对账单!$E$3,$B$5:$B8,"&lt;="&amp;供应商对账单!$H$3),"")</f>
        <v/>
      </c>
    </row>
    <row r="9" customFormat="false" ht="15.75" hidden="false" customHeight="true" outlineLevel="0" collapsed="false">
      <c r="A9" s="42" t="str">
        <f aca="false">IF($B9="","","CG"&amp;TEXT($B9,"yyyymm")&amp;"-"&amp;TEXT(ROW()-4,"000"))</f>
        <v/>
      </c>
      <c r="B9" s="41"/>
      <c r="C9" s="42" t="str">
        <f aca="false">IF($B9="","",TEXT($B9,"yyyy-mm"))</f>
        <v/>
      </c>
      <c r="D9" s="32"/>
      <c r="E9" s="36"/>
      <c r="F9" s="43"/>
      <c r="G9" s="40"/>
      <c r="H9" s="51"/>
      <c r="I9" s="33"/>
      <c r="J9" s="31"/>
      <c r="K9" s="33"/>
      <c r="L9" s="33"/>
      <c r="M9" s="36"/>
      <c r="N9" s="47" t="str">
        <f aca="false">IF($B9="","",IF(NOT(ISNUMBER($B9)),"日期不是日期格式",IF(YEAR($B9)&lt;&gt;首页!$B$3,"不在会计年度",IF($D9="","未选供应商",IF(ISNA(MATCH($D9,基础资料!$AF$6:$AF$155,0)),"供应商不在档案",IF($E9="","未填商品或内容",IF(NOT(ISNUMBER($F9)),"数量须为数字",IF(NOT(ISNUMBER($G9)),"单价须为数字",IF(N($F9)&lt;=0,"数量须大于0",IF($I9="","请选是否入库",IF(AND($I9="是",ISNA(MATCH($E9,基础资料!$Q$6:$Q$205,0))),"入库商品必须在商品档案中",IF(AND($I9="否",$J9&lt;&gt;"",ISNA(MATCH($J9,科目参数!$A$6:$A$125,0))),"费用科目不存在","√"))))))))))))</f>
        <v/>
      </c>
      <c r="O9" s="49" t="str">
        <f aca="false">IF($E9="","",IFERROR(INDEX(基础资料!$R$6:$R$205,MATCH($E9,基础资料!$Q$6:$Q$205,0)),""))</f>
        <v/>
      </c>
      <c r="P9" s="49" t="str">
        <f aca="false">IF($E9="","",IFERROR(INDEX(基础资料!$S$6:$S$205,MATCH($E9,基础资料!$Q$6:$Q$205,0)),""))</f>
        <v/>
      </c>
      <c r="Q9" s="48" t="str">
        <f aca="false">IF(OR($F9="",$G9=""),"",ROUND(N($F9)*N($G9),2))</f>
        <v/>
      </c>
      <c r="R9" s="48" t="str">
        <f aca="false">IF($Q9="","",ROUND(N($Q9)*N($H9),2))</f>
        <v/>
      </c>
      <c r="S9" s="48" t="str">
        <f aca="false">IF($Q9="","",N($Q9)+N($R9))</f>
        <v/>
      </c>
      <c r="T9" s="52" t="str">
        <f aca="false">IF(OR($B9="",$D9=""),"",$B9+N(IFERROR(INDEX(基础资料!$AH$6:$AH$155,MATCH($D9,基础资料!$AF$6:$AF$155,0)),0)))</f>
        <v/>
      </c>
      <c r="U9" s="49" t="str">
        <f aca="false">IF($Q9="","",IF($I9="是","1405",IF($J9="","6602",$J9)))</f>
        <v/>
      </c>
      <c r="V9" s="49" t="str">
        <f aca="false">IF($Q9="","","2202")</f>
        <v/>
      </c>
      <c r="W9" s="48" t="str">
        <f aca="false">IF($Q9="","",$Q9)</f>
        <v/>
      </c>
      <c r="X9" s="49" t="str">
        <f aca="false">IF(N($R9)=0,"","2221")</f>
        <v/>
      </c>
      <c r="Y9" s="49" t="str">
        <f aca="false">IF(N($R9)=0,"","2202")</f>
        <v/>
      </c>
      <c r="Z9" s="48" t="str">
        <f aca="false">IF(N($R9)=0,"",$R9)</f>
        <v/>
      </c>
      <c r="AA9" s="49" t="str">
        <f aca="false">IF(AND($D9=供应商对账单!$B$3,$B9&gt;=供应商对账单!$E$3,$B9&lt;=供应商对账单!$H$3),COUNTIFS($D$5:$D9,供应商对账单!$B$3,$B$5:$B9,"&gt;="&amp;供应商对账单!$E$3,$B$5:$B9,"&lt;="&amp;供应商对账单!$H$3),"")</f>
        <v/>
      </c>
    </row>
    <row r="10" customFormat="false" ht="15.75" hidden="false" customHeight="true" outlineLevel="0" collapsed="false">
      <c r="A10" s="42" t="str">
        <f aca="false">IF($B10="","","CG"&amp;TEXT($B10,"yyyymm")&amp;"-"&amp;TEXT(ROW()-4,"000"))</f>
        <v/>
      </c>
      <c r="B10" s="41"/>
      <c r="C10" s="42" t="str">
        <f aca="false">IF($B10="","",TEXT($B10,"yyyy-mm"))</f>
        <v/>
      </c>
      <c r="D10" s="32"/>
      <c r="E10" s="36"/>
      <c r="F10" s="43"/>
      <c r="G10" s="40"/>
      <c r="H10" s="51"/>
      <c r="I10" s="33"/>
      <c r="J10" s="31"/>
      <c r="K10" s="33"/>
      <c r="L10" s="33"/>
      <c r="M10" s="36"/>
      <c r="N10" s="47" t="str">
        <f aca="false">IF($B10="","",IF(NOT(ISNUMBER($B10)),"日期不是日期格式",IF(YEAR($B10)&lt;&gt;首页!$B$3,"不在会计年度",IF($D10="","未选供应商",IF(ISNA(MATCH($D10,基础资料!$AF$6:$AF$155,0)),"供应商不在档案",IF($E10="","未填商品或内容",IF(NOT(ISNUMBER($F10)),"数量须为数字",IF(NOT(ISNUMBER($G10)),"单价须为数字",IF(N($F10)&lt;=0,"数量须大于0",IF($I10="","请选是否入库",IF(AND($I10="是",ISNA(MATCH($E10,基础资料!$Q$6:$Q$205,0))),"入库商品必须在商品档案中",IF(AND($I10="否",$J10&lt;&gt;"",ISNA(MATCH($J10,科目参数!$A$6:$A$125,0))),"费用科目不存在","√"))))))))))))</f>
        <v/>
      </c>
      <c r="O10" s="49" t="str">
        <f aca="false">IF($E10="","",IFERROR(INDEX(基础资料!$R$6:$R$205,MATCH($E10,基础资料!$Q$6:$Q$205,0)),""))</f>
        <v/>
      </c>
      <c r="P10" s="49" t="str">
        <f aca="false">IF($E10="","",IFERROR(INDEX(基础资料!$S$6:$S$205,MATCH($E10,基础资料!$Q$6:$Q$205,0)),""))</f>
        <v/>
      </c>
      <c r="Q10" s="48" t="str">
        <f aca="false">IF(OR($F10="",$G10=""),"",ROUND(N($F10)*N($G10),2))</f>
        <v/>
      </c>
      <c r="R10" s="48" t="str">
        <f aca="false">IF($Q10="","",ROUND(N($Q10)*N($H10),2))</f>
        <v/>
      </c>
      <c r="S10" s="48" t="str">
        <f aca="false">IF($Q10="","",N($Q10)+N($R10))</f>
        <v/>
      </c>
      <c r="T10" s="52" t="str">
        <f aca="false">IF(OR($B10="",$D10=""),"",$B10+N(IFERROR(INDEX(基础资料!$AH$6:$AH$155,MATCH($D10,基础资料!$AF$6:$AF$155,0)),0)))</f>
        <v/>
      </c>
      <c r="U10" s="49" t="str">
        <f aca="false">IF($Q10="","",IF($I10="是","1405",IF($J10="","6602",$J10)))</f>
        <v/>
      </c>
      <c r="V10" s="49" t="str">
        <f aca="false">IF($Q10="","","2202")</f>
        <v/>
      </c>
      <c r="W10" s="48" t="str">
        <f aca="false">IF($Q10="","",$Q10)</f>
        <v/>
      </c>
      <c r="X10" s="49" t="str">
        <f aca="false">IF(N($R10)=0,"","2221")</f>
        <v/>
      </c>
      <c r="Y10" s="49" t="str">
        <f aca="false">IF(N($R10)=0,"","2202")</f>
        <v/>
      </c>
      <c r="Z10" s="48" t="str">
        <f aca="false">IF(N($R10)=0,"",$R10)</f>
        <v/>
      </c>
      <c r="AA10" s="49" t="str">
        <f aca="false">IF(AND($D10=供应商对账单!$B$3,$B10&gt;=供应商对账单!$E$3,$B10&lt;=供应商对账单!$H$3),COUNTIFS($D$5:$D10,供应商对账单!$B$3,$B$5:$B10,"&gt;="&amp;供应商对账单!$E$3,$B$5:$B10,"&lt;="&amp;供应商对账单!$H$3),"")</f>
        <v/>
      </c>
    </row>
    <row r="11" customFormat="false" ht="15.75" hidden="false" customHeight="true" outlineLevel="0" collapsed="false">
      <c r="A11" s="42" t="str">
        <f aca="false">IF($B11="","","CG"&amp;TEXT($B11,"yyyymm")&amp;"-"&amp;TEXT(ROW()-4,"000"))</f>
        <v/>
      </c>
      <c r="B11" s="41"/>
      <c r="C11" s="42" t="str">
        <f aca="false">IF($B11="","",TEXT($B11,"yyyy-mm"))</f>
        <v/>
      </c>
      <c r="D11" s="32"/>
      <c r="E11" s="36"/>
      <c r="F11" s="43"/>
      <c r="G11" s="40"/>
      <c r="H11" s="51"/>
      <c r="I11" s="33"/>
      <c r="J11" s="31"/>
      <c r="K11" s="33"/>
      <c r="L11" s="33"/>
      <c r="M11" s="36"/>
      <c r="N11" s="47" t="str">
        <f aca="false">IF($B11="","",IF(NOT(ISNUMBER($B11)),"日期不是日期格式",IF(YEAR($B11)&lt;&gt;首页!$B$3,"不在会计年度",IF($D11="","未选供应商",IF(ISNA(MATCH($D11,基础资料!$AF$6:$AF$155,0)),"供应商不在档案",IF($E11="","未填商品或内容",IF(NOT(ISNUMBER($F11)),"数量须为数字",IF(NOT(ISNUMBER($G11)),"单价须为数字",IF(N($F11)&lt;=0,"数量须大于0",IF($I11="","请选是否入库",IF(AND($I11="是",ISNA(MATCH($E11,基础资料!$Q$6:$Q$205,0))),"入库商品必须在商品档案中",IF(AND($I11="否",$J11&lt;&gt;"",ISNA(MATCH($J11,科目参数!$A$6:$A$125,0))),"费用科目不存在","√"))))))))))))</f>
        <v/>
      </c>
      <c r="O11" s="49" t="str">
        <f aca="false">IF($E11="","",IFERROR(INDEX(基础资料!$R$6:$R$205,MATCH($E11,基础资料!$Q$6:$Q$205,0)),""))</f>
        <v/>
      </c>
      <c r="P11" s="49" t="str">
        <f aca="false">IF($E11="","",IFERROR(INDEX(基础资料!$S$6:$S$205,MATCH($E11,基础资料!$Q$6:$Q$205,0)),""))</f>
        <v/>
      </c>
      <c r="Q11" s="48" t="str">
        <f aca="false">IF(OR($F11="",$G11=""),"",ROUND(N($F11)*N($G11),2))</f>
        <v/>
      </c>
      <c r="R11" s="48" t="str">
        <f aca="false">IF($Q11="","",ROUND(N($Q11)*N($H11),2))</f>
        <v/>
      </c>
      <c r="S11" s="48" t="str">
        <f aca="false">IF($Q11="","",N($Q11)+N($R11))</f>
        <v/>
      </c>
      <c r="T11" s="52" t="str">
        <f aca="false">IF(OR($B11="",$D11=""),"",$B11+N(IFERROR(INDEX(基础资料!$AH$6:$AH$155,MATCH($D11,基础资料!$AF$6:$AF$155,0)),0)))</f>
        <v/>
      </c>
      <c r="U11" s="49" t="str">
        <f aca="false">IF($Q11="","",IF($I11="是","1405",IF($J11="","6602",$J11)))</f>
        <v/>
      </c>
      <c r="V11" s="49" t="str">
        <f aca="false">IF($Q11="","","2202")</f>
        <v/>
      </c>
      <c r="W11" s="48" t="str">
        <f aca="false">IF($Q11="","",$Q11)</f>
        <v/>
      </c>
      <c r="X11" s="49" t="str">
        <f aca="false">IF(N($R11)=0,"","2221")</f>
        <v/>
      </c>
      <c r="Y11" s="49" t="str">
        <f aca="false">IF(N($R11)=0,"","2202")</f>
        <v/>
      </c>
      <c r="Z11" s="48" t="str">
        <f aca="false">IF(N($R11)=0,"",$R11)</f>
        <v/>
      </c>
      <c r="AA11" s="49" t="str">
        <f aca="false">IF(AND($D11=供应商对账单!$B$3,$B11&gt;=供应商对账单!$E$3,$B11&lt;=供应商对账单!$H$3),COUNTIFS($D$5:$D11,供应商对账单!$B$3,$B$5:$B11,"&gt;="&amp;供应商对账单!$E$3,$B$5:$B11,"&lt;="&amp;供应商对账单!$H$3),"")</f>
        <v/>
      </c>
    </row>
    <row r="12" customFormat="false" ht="15.75" hidden="false" customHeight="true" outlineLevel="0" collapsed="false">
      <c r="A12" s="42" t="str">
        <f aca="false">IF($B12="","","CG"&amp;TEXT($B12,"yyyymm")&amp;"-"&amp;TEXT(ROW()-4,"000"))</f>
        <v/>
      </c>
      <c r="B12" s="41"/>
      <c r="C12" s="42" t="str">
        <f aca="false">IF($B12="","",TEXT($B12,"yyyy-mm"))</f>
        <v/>
      </c>
      <c r="D12" s="32"/>
      <c r="E12" s="36"/>
      <c r="F12" s="43"/>
      <c r="G12" s="40"/>
      <c r="H12" s="51"/>
      <c r="I12" s="33"/>
      <c r="J12" s="31"/>
      <c r="K12" s="33"/>
      <c r="L12" s="33"/>
      <c r="M12" s="36"/>
      <c r="N12" s="47" t="str">
        <f aca="false">IF($B12="","",IF(NOT(ISNUMBER($B12)),"日期不是日期格式",IF(YEAR($B12)&lt;&gt;首页!$B$3,"不在会计年度",IF($D12="","未选供应商",IF(ISNA(MATCH($D12,基础资料!$AF$6:$AF$155,0)),"供应商不在档案",IF($E12="","未填商品或内容",IF(NOT(ISNUMBER($F12)),"数量须为数字",IF(NOT(ISNUMBER($G12)),"单价须为数字",IF(N($F12)&lt;=0,"数量须大于0",IF($I12="","请选是否入库",IF(AND($I12="是",ISNA(MATCH($E12,基础资料!$Q$6:$Q$205,0))),"入库商品必须在商品档案中",IF(AND($I12="否",$J12&lt;&gt;"",ISNA(MATCH($J12,科目参数!$A$6:$A$125,0))),"费用科目不存在","√"))))))))))))</f>
        <v/>
      </c>
      <c r="O12" s="49" t="str">
        <f aca="false">IF($E12="","",IFERROR(INDEX(基础资料!$R$6:$R$205,MATCH($E12,基础资料!$Q$6:$Q$205,0)),""))</f>
        <v/>
      </c>
      <c r="P12" s="49" t="str">
        <f aca="false">IF($E12="","",IFERROR(INDEX(基础资料!$S$6:$S$205,MATCH($E12,基础资料!$Q$6:$Q$205,0)),""))</f>
        <v/>
      </c>
      <c r="Q12" s="48" t="str">
        <f aca="false">IF(OR($F12="",$G12=""),"",ROUND(N($F12)*N($G12),2))</f>
        <v/>
      </c>
      <c r="R12" s="48" t="str">
        <f aca="false">IF($Q12="","",ROUND(N($Q12)*N($H12),2))</f>
        <v/>
      </c>
      <c r="S12" s="48" t="str">
        <f aca="false">IF($Q12="","",N($Q12)+N($R12))</f>
        <v/>
      </c>
      <c r="T12" s="52" t="str">
        <f aca="false">IF(OR($B12="",$D12=""),"",$B12+N(IFERROR(INDEX(基础资料!$AH$6:$AH$155,MATCH($D12,基础资料!$AF$6:$AF$155,0)),0)))</f>
        <v/>
      </c>
      <c r="U12" s="49" t="str">
        <f aca="false">IF($Q12="","",IF($I12="是","1405",IF($J12="","6602",$J12)))</f>
        <v/>
      </c>
      <c r="V12" s="49" t="str">
        <f aca="false">IF($Q12="","","2202")</f>
        <v/>
      </c>
      <c r="W12" s="48" t="str">
        <f aca="false">IF($Q12="","",$Q12)</f>
        <v/>
      </c>
      <c r="X12" s="49" t="str">
        <f aca="false">IF(N($R12)=0,"","2221")</f>
        <v/>
      </c>
      <c r="Y12" s="49" t="str">
        <f aca="false">IF(N($R12)=0,"","2202")</f>
        <v/>
      </c>
      <c r="Z12" s="48" t="str">
        <f aca="false">IF(N($R12)=0,"",$R12)</f>
        <v/>
      </c>
      <c r="AA12" s="49" t="str">
        <f aca="false">IF(AND($D12=供应商对账单!$B$3,$B12&gt;=供应商对账单!$E$3,$B12&lt;=供应商对账单!$H$3),COUNTIFS($D$5:$D12,供应商对账单!$B$3,$B$5:$B12,"&gt;="&amp;供应商对账单!$E$3,$B$5:$B12,"&lt;="&amp;供应商对账单!$H$3),"")</f>
        <v/>
      </c>
    </row>
    <row r="13" customFormat="false" ht="15.75" hidden="false" customHeight="true" outlineLevel="0" collapsed="false">
      <c r="A13" s="42" t="str">
        <f aca="false">IF($B13="","","CG"&amp;TEXT($B13,"yyyymm")&amp;"-"&amp;TEXT(ROW()-4,"000"))</f>
        <v/>
      </c>
      <c r="B13" s="41"/>
      <c r="C13" s="42" t="str">
        <f aca="false">IF($B13="","",TEXT($B13,"yyyy-mm"))</f>
        <v/>
      </c>
      <c r="D13" s="32"/>
      <c r="E13" s="36"/>
      <c r="F13" s="43"/>
      <c r="G13" s="40"/>
      <c r="H13" s="51"/>
      <c r="I13" s="33"/>
      <c r="J13" s="31"/>
      <c r="K13" s="33"/>
      <c r="L13" s="33"/>
      <c r="M13" s="36"/>
      <c r="N13" s="47" t="str">
        <f aca="false">IF($B13="","",IF(NOT(ISNUMBER($B13)),"日期不是日期格式",IF(YEAR($B13)&lt;&gt;首页!$B$3,"不在会计年度",IF($D13="","未选供应商",IF(ISNA(MATCH($D13,基础资料!$AF$6:$AF$155,0)),"供应商不在档案",IF($E13="","未填商品或内容",IF(NOT(ISNUMBER($F13)),"数量须为数字",IF(NOT(ISNUMBER($G13)),"单价须为数字",IF(N($F13)&lt;=0,"数量须大于0",IF($I13="","请选是否入库",IF(AND($I13="是",ISNA(MATCH($E13,基础资料!$Q$6:$Q$205,0))),"入库商品必须在商品档案中",IF(AND($I13="否",$J13&lt;&gt;"",ISNA(MATCH($J13,科目参数!$A$6:$A$125,0))),"费用科目不存在","√"))))))))))))</f>
        <v/>
      </c>
      <c r="O13" s="49" t="str">
        <f aca="false">IF($E13="","",IFERROR(INDEX(基础资料!$R$6:$R$205,MATCH($E13,基础资料!$Q$6:$Q$205,0)),""))</f>
        <v/>
      </c>
      <c r="P13" s="49" t="str">
        <f aca="false">IF($E13="","",IFERROR(INDEX(基础资料!$S$6:$S$205,MATCH($E13,基础资料!$Q$6:$Q$205,0)),""))</f>
        <v/>
      </c>
      <c r="Q13" s="48" t="str">
        <f aca="false">IF(OR($F13="",$G13=""),"",ROUND(N($F13)*N($G13),2))</f>
        <v/>
      </c>
      <c r="R13" s="48" t="str">
        <f aca="false">IF($Q13="","",ROUND(N($Q13)*N($H13),2))</f>
        <v/>
      </c>
      <c r="S13" s="48" t="str">
        <f aca="false">IF($Q13="","",N($Q13)+N($R13))</f>
        <v/>
      </c>
      <c r="T13" s="52" t="str">
        <f aca="false">IF(OR($B13="",$D13=""),"",$B13+N(IFERROR(INDEX(基础资料!$AH$6:$AH$155,MATCH($D13,基础资料!$AF$6:$AF$155,0)),0)))</f>
        <v/>
      </c>
      <c r="U13" s="49" t="str">
        <f aca="false">IF($Q13="","",IF($I13="是","1405",IF($J13="","6602",$J13)))</f>
        <v/>
      </c>
      <c r="V13" s="49" t="str">
        <f aca="false">IF($Q13="","","2202")</f>
        <v/>
      </c>
      <c r="W13" s="48" t="str">
        <f aca="false">IF($Q13="","",$Q13)</f>
        <v/>
      </c>
      <c r="X13" s="49" t="str">
        <f aca="false">IF(N($R13)=0,"","2221")</f>
        <v/>
      </c>
      <c r="Y13" s="49" t="str">
        <f aca="false">IF(N($R13)=0,"","2202")</f>
        <v/>
      </c>
      <c r="Z13" s="48" t="str">
        <f aca="false">IF(N($R13)=0,"",$R13)</f>
        <v/>
      </c>
      <c r="AA13" s="49" t="str">
        <f aca="false">IF(AND($D13=供应商对账单!$B$3,$B13&gt;=供应商对账单!$E$3,$B13&lt;=供应商对账单!$H$3),COUNTIFS($D$5:$D13,供应商对账单!$B$3,$B$5:$B13,"&gt;="&amp;供应商对账单!$E$3,$B$5:$B13,"&lt;="&amp;供应商对账单!$H$3),"")</f>
        <v/>
      </c>
    </row>
    <row r="14" customFormat="false" ht="15.75" hidden="false" customHeight="true" outlineLevel="0" collapsed="false">
      <c r="A14" s="42" t="str">
        <f aca="false">IF($B14="","","CG"&amp;TEXT($B14,"yyyymm")&amp;"-"&amp;TEXT(ROW()-4,"000"))</f>
        <v/>
      </c>
      <c r="B14" s="41"/>
      <c r="C14" s="42" t="str">
        <f aca="false">IF($B14="","",TEXT($B14,"yyyy-mm"))</f>
        <v/>
      </c>
      <c r="D14" s="32"/>
      <c r="E14" s="36"/>
      <c r="F14" s="43"/>
      <c r="G14" s="40"/>
      <c r="H14" s="51"/>
      <c r="I14" s="33"/>
      <c r="J14" s="31"/>
      <c r="K14" s="33"/>
      <c r="L14" s="33"/>
      <c r="M14" s="36"/>
      <c r="N14" s="47" t="str">
        <f aca="false">IF($B14="","",IF(NOT(ISNUMBER($B14)),"日期不是日期格式",IF(YEAR($B14)&lt;&gt;首页!$B$3,"不在会计年度",IF($D14="","未选供应商",IF(ISNA(MATCH($D14,基础资料!$AF$6:$AF$155,0)),"供应商不在档案",IF($E14="","未填商品或内容",IF(NOT(ISNUMBER($F14)),"数量须为数字",IF(NOT(ISNUMBER($G14)),"单价须为数字",IF(N($F14)&lt;=0,"数量须大于0",IF($I14="","请选是否入库",IF(AND($I14="是",ISNA(MATCH($E14,基础资料!$Q$6:$Q$205,0))),"入库商品必须在商品档案中",IF(AND($I14="否",$J14&lt;&gt;"",ISNA(MATCH($J14,科目参数!$A$6:$A$125,0))),"费用科目不存在","√"))))))))))))</f>
        <v/>
      </c>
      <c r="O14" s="49" t="str">
        <f aca="false">IF($E14="","",IFERROR(INDEX(基础资料!$R$6:$R$205,MATCH($E14,基础资料!$Q$6:$Q$205,0)),""))</f>
        <v/>
      </c>
      <c r="P14" s="49" t="str">
        <f aca="false">IF($E14="","",IFERROR(INDEX(基础资料!$S$6:$S$205,MATCH($E14,基础资料!$Q$6:$Q$205,0)),""))</f>
        <v/>
      </c>
      <c r="Q14" s="48" t="str">
        <f aca="false">IF(OR($F14="",$G14=""),"",ROUND(N($F14)*N($G14),2))</f>
        <v/>
      </c>
      <c r="R14" s="48" t="str">
        <f aca="false">IF($Q14="","",ROUND(N($Q14)*N($H14),2))</f>
        <v/>
      </c>
      <c r="S14" s="48" t="str">
        <f aca="false">IF($Q14="","",N($Q14)+N($R14))</f>
        <v/>
      </c>
      <c r="T14" s="52" t="str">
        <f aca="false">IF(OR($B14="",$D14=""),"",$B14+N(IFERROR(INDEX(基础资料!$AH$6:$AH$155,MATCH($D14,基础资料!$AF$6:$AF$155,0)),0)))</f>
        <v/>
      </c>
      <c r="U14" s="49" t="str">
        <f aca="false">IF($Q14="","",IF($I14="是","1405",IF($J14="","6602",$J14)))</f>
        <v/>
      </c>
      <c r="V14" s="49" t="str">
        <f aca="false">IF($Q14="","","2202")</f>
        <v/>
      </c>
      <c r="W14" s="48" t="str">
        <f aca="false">IF($Q14="","",$Q14)</f>
        <v/>
      </c>
      <c r="X14" s="49" t="str">
        <f aca="false">IF(N($R14)=0,"","2221")</f>
        <v/>
      </c>
      <c r="Y14" s="49" t="str">
        <f aca="false">IF(N($R14)=0,"","2202")</f>
        <v/>
      </c>
      <c r="Z14" s="48" t="str">
        <f aca="false">IF(N($R14)=0,"",$R14)</f>
        <v/>
      </c>
      <c r="AA14" s="49" t="str">
        <f aca="false">IF(AND($D14=供应商对账单!$B$3,$B14&gt;=供应商对账单!$E$3,$B14&lt;=供应商对账单!$H$3),COUNTIFS($D$5:$D14,供应商对账单!$B$3,$B$5:$B14,"&gt;="&amp;供应商对账单!$E$3,$B$5:$B14,"&lt;="&amp;供应商对账单!$H$3),"")</f>
        <v/>
      </c>
    </row>
    <row r="15" customFormat="false" ht="15.75" hidden="false" customHeight="true" outlineLevel="0" collapsed="false">
      <c r="A15" s="42" t="str">
        <f aca="false">IF($B15="","","CG"&amp;TEXT($B15,"yyyymm")&amp;"-"&amp;TEXT(ROW()-4,"000"))</f>
        <v/>
      </c>
      <c r="B15" s="41"/>
      <c r="C15" s="42" t="str">
        <f aca="false">IF($B15="","",TEXT($B15,"yyyy-mm"))</f>
        <v/>
      </c>
      <c r="D15" s="32"/>
      <c r="E15" s="36"/>
      <c r="F15" s="43"/>
      <c r="G15" s="40"/>
      <c r="H15" s="51"/>
      <c r="I15" s="33"/>
      <c r="J15" s="31"/>
      <c r="K15" s="33"/>
      <c r="L15" s="33"/>
      <c r="M15" s="36"/>
      <c r="N15" s="47" t="str">
        <f aca="false">IF($B15="","",IF(NOT(ISNUMBER($B15)),"日期不是日期格式",IF(YEAR($B15)&lt;&gt;首页!$B$3,"不在会计年度",IF($D15="","未选供应商",IF(ISNA(MATCH($D15,基础资料!$AF$6:$AF$155,0)),"供应商不在档案",IF($E15="","未填商品或内容",IF(NOT(ISNUMBER($F15)),"数量须为数字",IF(NOT(ISNUMBER($G15)),"单价须为数字",IF(N($F15)&lt;=0,"数量须大于0",IF($I15="","请选是否入库",IF(AND($I15="是",ISNA(MATCH($E15,基础资料!$Q$6:$Q$205,0))),"入库商品必须在商品档案中",IF(AND($I15="否",$J15&lt;&gt;"",ISNA(MATCH($J15,科目参数!$A$6:$A$125,0))),"费用科目不存在","√"))))))))))))</f>
        <v/>
      </c>
      <c r="O15" s="49" t="str">
        <f aca="false">IF($E15="","",IFERROR(INDEX(基础资料!$R$6:$R$205,MATCH($E15,基础资料!$Q$6:$Q$205,0)),""))</f>
        <v/>
      </c>
      <c r="P15" s="49" t="str">
        <f aca="false">IF($E15="","",IFERROR(INDEX(基础资料!$S$6:$S$205,MATCH($E15,基础资料!$Q$6:$Q$205,0)),""))</f>
        <v/>
      </c>
      <c r="Q15" s="48" t="str">
        <f aca="false">IF(OR($F15="",$G15=""),"",ROUND(N($F15)*N($G15),2))</f>
        <v/>
      </c>
      <c r="R15" s="48" t="str">
        <f aca="false">IF($Q15="","",ROUND(N($Q15)*N($H15),2))</f>
        <v/>
      </c>
      <c r="S15" s="48" t="str">
        <f aca="false">IF($Q15="","",N($Q15)+N($R15))</f>
        <v/>
      </c>
      <c r="T15" s="52" t="str">
        <f aca="false">IF(OR($B15="",$D15=""),"",$B15+N(IFERROR(INDEX(基础资料!$AH$6:$AH$155,MATCH($D15,基础资料!$AF$6:$AF$155,0)),0)))</f>
        <v/>
      </c>
      <c r="U15" s="49" t="str">
        <f aca="false">IF($Q15="","",IF($I15="是","1405",IF($J15="","6602",$J15)))</f>
        <v/>
      </c>
      <c r="V15" s="49" t="str">
        <f aca="false">IF($Q15="","","2202")</f>
        <v/>
      </c>
      <c r="W15" s="48" t="str">
        <f aca="false">IF($Q15="","",$Q15)</f>
        <v/>
      </c>
      <c r="X15" s="49" t="str">
        <f aca="false">IF(N($R15)=0,"","2221")</f>
        <v/>
      </c>
      <c r="Y15" s="49" t="str">
        <f aca="false">IF(N($R15)=0,"","2202")</f>
        <v/>
      </c>
      <c r="Z15" s="48" t="str">
        <f aca="false">IF(N($R15)=0,"",$R15)</f>
        <v/>
      </c>
      <c r="AA15" s="49" t="str">
        <f aca="false">IF(AND($D15=供应商对账单!$B$3,$B15&gt;=供应商对账单!$E$3,$B15&lt;=供应商对账单!$H$3),COUNTIFS($D$5:$D15,供应商对账单!$B$3,$B$5:$B15,"&gt;="&amp;供应商对账单!$E$3,$B$5:$B15,"&lt;="&amp;供应商对账单!$H$3),"")</f>
        <v/>
      </c>
    </row>
    <row r="16" customFormat="false" ht="15.75" hidden="false" customHeight="true" outlineLevel="0" collapsed="false">
      <c r="A16" s="42" t="str">
        <f aca="false">IF($B16="","","CG"&amp;TEXT($B16,"yyyymm")&amp;"-"&amp;TEXT(ROW()-4,"000"))</f>
        <v/>
      </c>
      <c r="B16" s="41"/>
      <c r="C16" s="42" t="str">
        <f aca="false">IF($B16="","",TEXT($B16,"yyyy-mm"))</f>
        <v/>
      </c>
      <c r="D16" s="32"/>
      <c r="E16" s="36"/>
      <c r="F16" s="43"/>
      <c r="G16" s="40"/>
      <c r="H16" s="51"/>
      <c r="I16" s="33"/>
      <c r="J16" s="31"/>
      <c r="K16" s="33"/>
      <c r="L16" s="33"/>
      <c r="M16" s="36"/>
      <c r="N16" s="47" t="str">
        <f aca="false">IF($B16="","",IF(NOT(ISNUMBER($B16)),"日期不是日期格式",IF(YEAR($B16)&lt;&gt;首页!$B$3,"不在会计年度",IF($D16="","未选供应商",IF(ISNA(MATCH($D16,基础资料!$AF$6:$AF$155,0)),"供应商不在档案",IF($E16="","未填商品或内容",IF(NOT(ISNUMBER($F16)),"数量须为数字",IF(NOT(ISNUMBER($G16)),"单价须为数字",IF(N($F16)&lt;=0,"数量须大于0",IF($I16="","请选是否入库",IF(AND($I16="是",ISNA(MATCH($E16,基础资料!$Q$6:$Q$205,0))),"入库商品必须在商品档案中",IF(AND($I16="否",$J16&lt;&gt;"",ISNA(MATCH($J16,科目参数!$A$6:$A$125,0))),"费用科目不存在","√"))))))))))))</f>
        <v/>
      </c>
      <c r="O16" s="49" t="str">
        <f aca="false">IF($E16="","",IFERROR(INDEX(基础资料!$R$6:$R$205,MATCH($E16,基础资料!$Q$6:$Q$205,0)),""))</f>
        <v/>
      </c>
      <c r="P16" s="49" t="str">
        <f aca="false">IF($E16="","",IFERROR(INDEX(基础资料!$S$6:$S$205,MATCH($E16,基础资料!$Q$6:$Q$205,0)),""))</f>
        <v/>
      </c>
      <c r="Q16" s="48" t="str">
        <f aca="false">IF(OR($F16="",$G16=""),"",ROUND(N($F16)*N($G16),2))</f>
        <v/>
      </c>
      <c r="R16" s="48" t="str">
        <f aca="false">IF($Q16="","",ROUND(N($Q16)*N($H16),2))</f>
        <v/>
      </c>
      <c r="S16" s="48" t="str">
        <f aca="false">IF($Q16="","",N($Q16)+N($R16))</f>
        <v/>
      </c>
      <c r="T16" s="52" t="str">
        <f aca="false">IF(OR($B16="",$D16=""),"",$B16+N(IFERROR(INDEX(基础资料!$AH$6:$AH$155,MATCH($D16,基础资料!$AF$6:$AF$155,0)),0)))</f>
        <v/>
      </c>
      <c r="U16" s="49" t="str">
        <f aca="false">IF($Q16="","",IF($I16="是","1405",IF($J16="","6602",$J16)))</f>
        <v/>
      </c>
      <c r="V16" s="49" t="str">
        <f aca="false">IF($Q16="","","2202")</f>
        <v/>
      </c>
      <c r="W16" s="48" t="str">
        <f aca="false">IF($Q16="","",$Q16)</f>
        <v/>
      </c>
      <c r="X16" s="49" t="str">
        <f aca="false">IF(N($R16)=0,"","2221")</f>
        <v/>
      </c>
      <c r="Y16" s="49" t="str">
        <f aca="false">IF(N($R16)=0,"","2202")</f>
        <v/>
      </c>
      <c r="Z16" s="48" t="str">
        <f aca="false">IF(N($R16)=0,"",$R16)</f>
        <v/>
      </c>
      <c r="AA16" s="49" t="str">
        <f aca="false">IF(AND($D16=供应商对账单!$B$3,$B16&gt;=供应商对账单!$E$3,$B16&lt;=供应商对账单!$H$3),COUNTIFS($D$5:$D16,供应商对账单!$B$3,$B$5:$B16,"&gt;="&amp;供应商对账单!$E$3,$B$5:$B16,"&lt;="&amp;供应商对账单!$H$3),"")</f>
        <v/>
      </c>
    </row>
    <row r="17" customFormat="false" ht="15.75" hidden="false" customHeight="true" outlineLevel="0" collapsed="false">
      <c r="A17" s="42" t="str">
        <f aca="false">IF($B17="","","CG"&amp;TEXT($B17,"yyyymm")&amp;"-"&amp;TEXT(ROW()-4,"000"))</f>
        <v/>
      </c>
      <c r="B17" s="41"/>
      <c r="C17" s="42" t="str">
        <f aca="false">IF($B17="","",TEXT($B17,"yyyy-mm"))</f>
        <v/>
      </c>
      <c r="D17" s="32"/>
      <c r="E17" s="36"/>
      <c r="F17" s="43"/>
      <c r="G17" s="40"/>
      <c r="H17" s="51"/>
      <c r="I17" s="33"/>
      <c r="J17" s="31"/>
      <c r="K17" s="33"/>
      <c r="L17" s="33"/>
      <c r="M17" s="36"/>
      <c r="N17" s="47" t="str">
        <f aca="false">IF($B17="","",IF(NOT(ISNUMBER($B17)),"日期不是日期格式",IF(YEAR($B17)&lt;&gt;首页!$B$3,"不在会计年度",IF($D17="","未选供应商",IF(ISNA(MATCH($D17,基础资料!$AF$6:$AF$155,0)),"供应商不在档案",IF($E17="","未填商品或内容",IF(NOT(ISNUMBER($F17)),"数量须为数字",IF(NOT(ISNUMBER($G17)),"单价须为数字",IF(N($F17)&lt;=0,"数量须大于0",IF($I17="","请选是否入库",IF(AND($I17="是",ISNA(MATCH($E17,基础资料!$Q$6:$Q$205,0))),"入库商品必须在商品档案中",IF(AND($I17="否",$J17&lt;&gt;"",ISNA(MATCH($J17,科目参数!$A$6:$A$125,0))),"费用科目不存在","√"))))))))))))</f>
        <v/>
      </c>
      <c r="O17" s="49" t="str">
        <f aca="false">IF($E17="","",IFERROR(INDEX(基础资料!$R$6:$R$205,MATCH($E17,基础资料!$Q$6:$Q$205,0)),""))</f>
        <v/>
      </c>
      <c r="P17" s="49" t="str">
        <f aca="false">IF($E17="","",IFERROR(INDEX(基础资料!$S$6:$S$205,MATCH($E17,基础资料!$Q$6:$Q$205,0)),""))</f>
        <v/>
      </c>
      <c r="Q17" s="48" t="str">
        <f aca="false">IF(OR($F17="",$G17=""),"",ROUND(N($F17)*N($G17),2))</f>
        <v/>
      </c>
      <c r="R17" s="48" t="str">
        <f aca="false">IF($Q17="","",ROUND(N($Q17)*N($H17),2))</f>
        <v/>
      </c>
      <c r="S17" s="48" t="str">
        <f aca="false">IF($Q17="","",N($Q17)+N($R17))</f>
        <v/>
      </c>
      <c r="T17" s="52" t="str">
        <f aca="false">IF(OR($B17="",$D17=""),"",$B17+N(IFERROR(INDEX(基础资料!$AH$6:$AH$155,MATCH($D17,基础资料!$AF$6:$AF$155,0)),0)))</f>
        <v/>
      </c>
      <c r="U17" s="49" t="str">
        <f aca="false">IF($Q17="","",IF($I17="是","1405",IF($J17="","6602",$J17)))</f>
        <v/>
      </c>
      <c r="V17" s="49" t="str">
        <f aca="false">IF($Q17="","","2202")</f>
        <v/>
      </c>
      <c r="W17" s="48" t="str">
        <f aca="false">IF($Q17="","",$Q17)</f>
        <v/>
      </c>
      <c r="X17" s="49" t="str">
        <f aca="false">IF(N($R17)=0,"","2221")</f>
        <v/>
      </c>
      <c r="Y17" s="49" t="str">
        <f aca="false">IF(N($R17)=0,"","2202")</f>
        <v/>
      </c>
      <c r="Z17" s="48" t="str">
        <f aca="false">IF(N($R17)=0,"",$R17)</f>
        <v/>
      </c>
      <c r="AA17" s="49" t="str">
        <f aca="false">IF(AND($D17=供应商对账单!$B$3,$B17&gt;=供应商对账单!$E$3,$B17&lt;=供应商对账单!$H$3),COUNTIFS($D$5:$D17,供应商对账单!$B$3,$B$5:$B17,"&gt;="&amp;供应商对账单!$E$3,$B$5:$B17,"&lt;="&amp;供应商对账单!$H$3),"")</f>
        <v/>
      </c>
    </row>
    <row r="18" customFormat="false" ht="15.75" hidden="false" customHeight="true" outlineLevel="0" collapsed="false">
      <c r="A18" s="42" t="str">
        <f aca="false">IF($B18="","","CG"&amp;TEXT($B18,"yyyymm")&amp;"-"&amp;TEXT(ROW()-4,"000"))</f>
        <v/>
      </c>
      <c r="B18" s="41"/>
      <c r="C18" s="42" t="str">
        <f aca="false">IF($B18="","",TEXT($B18,"yyyy-mm"))</f>
        <v/>
      </c>
      <c r="D18" s="32"/>
      <c r="E18" s="36"/>
      <c r="F18" s="43"/>
      <c r="G18" s="40"/>
      <c r="H18" s="51"/>
      <c r="I18" s="33"/>
      <c r="J18" s="31"/>
      <c r="K18" s="33"/>
      <c r="L18" s="33"/>
      <c r="M18" s="36"/>
      <c r="N18" s="47" t="str">
        <f aca="false">IF($B18="","",IF(NOT(ISNUMBER($B18)),"日期不是日期格式",IF(YEAR($B18)&lt;&gt;首页!$B$3,"不在会计年度",IF($D18="","未选供应商",IF(ISNA(MATCH($D18,基础资料!$AF$6:$AF$155,0)),"供应商不在档案",IF($E18="","未填商品或内容",IF(NOT(ISNUMBER($F18)),"数量须为数字",IF(NOT(ISNUMBER($G18)),"单价须为数字",IF(N($F18)&lt;=0,"数量须大于0",IF($I18="","请选是否入库",IF(AND($I18="是",ISNA(MATCH($E18,基础资料!$Q$6:$Q$205,0))),"入库商品必须在商品档案中",IF(AND($I18="否",$J18&lt;&gt;"",ISNA(MATCH($J18,科目参数!$A$6:$A$125,0))),"费用科目不存在","√"))))))))))))</f>
        <v/>
      </c>
      <c r="O18" s="49" t="str">
        <f aca="false">IF($E18="","",IFERROR(INDEX(基础资料!$R$6:$R$205,MATCH($E18,基础资料!$Q$6:$Q$205,0)),""))</f>
        <v/>
      </c>
      <c r="P18" s="49" t="str">
        <f aca="false">IF($E18="","",IFERROR(INDEX(基础资料!$S$6:$S$205,MATCH($E18,基础资料!$Q$6:$Q$205,0)),""))</f>
        <v/>
      </c>
      <c r="Q18" s="48" t="str">
        <f aca="false">IF(OR($F18="",$G18=""),"",ROUND(N($F18)*N($G18),2))</f>
        <v/>
      </c>
      <c r="R18" s="48" t="str">
        <f aca="false">IF($Q18="","",ROUND(N($Q18)*N($H18),2))</f>
        <v/>
      </c>
      <c r="S18" s="48" t="str">
        <f aca="false">IF($Q18="","",N($Q18)+N($R18))</f>
        <v/>
      </c>
      <c r="T18" s="52" t="str">
        <f aca="false">IF(OR($B18="",$D18=""),"",$B18+N(IFERROR(INDEX(基础资料!$AH$6:$AH$155,MATCH($D18,基础资料!$AF$6:$AF$155,0)),0)))</f>
        <v/>
      </c>
      <c r="U18" s="49" t="str">
        <f aca="false">IF($Q18="","",IF($I18="是","1405",IF($J18="","6602",$J18)))</f>
        <v/>
      </c>
      <c r="V18" s="49" t="str">
        <f aca="false">IF($Q18="","","2202")</f>
        <v/>
      </c>
      <c r="W18" s="48" t="str">
        <f aca="false">IF($Q18="","",$Q18)</f>
        <v/>
      </c>
      <c r="X18" s="49" t="str">
        <f aca="false">IF(N($R18)=0,"","2221")</f>
        <v/>
      </c>
      <c r="Y18" s="49" t="str">
        <f aca="false">IF(N($R18)=0,"","2202")</f>
        <v/>
      </c>
      <c r="Z18" s="48" t="str">
        <f aca="false">IF(N($R18)=0,"",$R18)</f>
        <v/>
      </c>
      <c r="AA18" s="49" t="str">
        <f aca="false">IF(AND($D18=供应商对账单!$B$3,$B18&gt;=供应商对账单!$E$3,$B18&lt;=供应商对账单!$H$3),COUNTIFS($D$5:$D18,供应商对账单!$B$3,$B$5:$B18,"&gt;="&amp;供应商对账单!$E$3,$B$5:$B18,"&lt;="&amp;供应商对账单!$H$3),"")</f>
        <v/>
      </c>
    </row>
    <row r="19" customFormat="false" ht="15.75" hidden="false" customHeight="true" outlineLevel="0" collapsed="false">
      <c r="A19" s="42" t="str">
        <f aca="false">IF($B19="","","CG"&amp;TEXT($B19,"yyyymm")&amp;"-"&amp;TEXT(ROW()-4,"000"))</f>
        <v/>
      </c>
      <c r="B19" s="41"/>
      <c r="C19" s="42" t="str">
        <f aca="false">IF($B19="","",TEXT($B19,"yyyy-mm"))</f>
        <v/>
      </c>
      <c r="D19" s="32"/>
      <c r="E19" s="36"/>
      <c r="F19" s="43"/>
      <c r="G19" s="40"/>
      <c r="H19" s="51"/>
      <c r="I19" s="33"/>
      <c r="J19" s="31"/>
      <c r="K19" s="33"/>
      <c r="L19" s="33"/>
      <c r="M19" s="36"/>
      <c r="N19" s="47" t="str">
        <f aca="false">IF($B19="","",IF(NOT(ISNUMBER($B19)),"日期不是日期格式",IF(YEAR($B19)&lt;&gt;首页!$B$3,"不在会计年度",IF($D19="","未选供应商",IF(ISNA(MATCH($D19,基础资料!$AF$6:$AF$155,0)),"供应商不在档案",IF($E19="","未填商品或内容",IF(NOT(ISNUMBER($F19)),"数量须为数字",IF(NOT(ISNUMBER($G19)),"单价须为数字",IF(N($F19)&lt;=0,"数量须大于0",IF($I19="","请选是否入库",IF(AND($I19="是",ISNA(MATCH($E19,基础资料!$Q$6:$Q$205,0))),"入库商品必须在商品档案中",IF(AND($I19="否",$J19&lt;&gt;"",ISNA(MATCH($J19,科目参数!$A$6:$A$125,0))),"费用科目不存在","√"))))))))))))</f>
        <v/>
      </c>
      <c r="O19" s="49" t="str">
        <f aca="false">IF($E19="","",IFERROR(INDEX(基础资料!$R$6:$R$205,MATCH($E19,基础资料!$Q$6:$Q$205,0)),""))</f>
        <v/>
      </c>
      <c r="P19" s="49" t="str">
        <f aca="false">IF($E19="","",IFERROR(INDEX(基础资料!$S$6:$S$205,MATCH($E19,基础资料!$Q$6:$Q$205,0)),""))</f>
        <v/>
      </c>
      <c r="Q19" s="48" t="str">
        <f aca="false">IF(OR($F19="",$G19=""),"",ROUND(N($F19)*N($G19),2))</f>
        <v/>
      </c>
      <c r="R19" s="48" t="str">
        <f aca="false">IF($Q19="","",ROUND(N($Q19)*N($H19),2))</f>
        <v/>
      </c>
      <c r="S19" s="48" t="str">
        <f aca="false">IF($Q19="","",N($Q19)+N($R19))</f>
        <v/>
      </c>
      <c r="T19" s="52" t="str">
        <f aca="false">IF(OR($B19="",$D19=""),"",$B19+N(IFERROR(INDEX(基础资料!$AH$6:$AH$155,MATCH($D19,基础资料!$AF$6:$AF$155,0)),0)))</f>
        <v/>
      </c>
      <c r="U19" s="49" t="str">
        <f aca="false">IF($Q19="","",IF($I19="是","1405",IF($J19="","6602",$J19)))</f>
        <v/>
      </c>
      <c r="V19" s="49" t="str">
        <f aca="false">IF($Q19="","","2202")</f>
        <v/>
      </c>
      <c r="W19" s="48" t="str">
        <f aca="false">IF($Q19="","",$Q19)</f>
        <v/>
      </c>
      <c r="X19" s="49" t="str">
        <f aca="false">IF(N($R19)=0,"","2221")</f>
        <v/>
      </c>
      <c r="Y19" s="49" t="str">
        <f aca="false">IF(N($R19)=0,"","2202")</f>
        <v/>
      </c>
      <c r="Z19" s="48" t="str">
        <f aca="false">IF(N($R19)=0,"",$R19)</f>
        <v/>
      </c>
      <c r="AA19" s="49" t="str">
        <f aca="false">IF(AND($D19=供应商对账单!$B$3,$B19&gt;=供应商对账单!$E$3,$B19&lt;=供应商对账单!$H$3),COUNTIFS($D$5:$D19,供应商对账单!$B$3,$B$5:$B19,"&gt;="&amp;供应商对账单!$E$3,$B$5:$B19,"&lt;="&amp;供应商对账单!$H$3),"")</f>
        <v/>
      </c>
    </row>
    <row r="20" customFormat="false" ht="15.75" hidden="false" customHeight="true" outlineLevel="0" collapsed="false">
      <c r="A20" s="42" t="str">
        <f aca="false">IF($B20="","","CG"&amp;TEXT($B20,"yyyymm")&amp;"-"&amp;TEXT(ROW()-4,"000"))</f>
        <v/>
      </c>
      <c r="B20" s="41"/>
      <c r="C20" s="42" t="str">
        <f aca="false">IF($B20="","",TEXT($B20,"yyyy-mm"))</f>
        <v/>
      </c>
      <c r="D20" s="32"/>
      <c r="E20" s="36"/>
      <c r="F20" s="43"/>
      <c r="G20" s="40"/>
      <c r="H20" s="51"/>
      <c r="I20" s="33"/>
      <c r="J20" s="31"/>
      <c r="K20" s="33"/>
      <c r="L20" s="33"/>
      <c r="M20" s="36"/>
      <c r="N20" s="47" t="str">
        <f aca="false">IF($B20="","",IF(NOT(ISNUMBER($B20)),"日期不是日期格式",IF(YEAR($B20)&lt;&gt;首页!$B$3,"不在会计年度",IF($D20="","未选供应商",IF(ISNA(MATCH($D20,基础资料!$AF$6:$AF$155,0)),"供应商不在档案",IF($E20="","未填商品或内容",IF(NOT(ISNUMBER($F20)),"数量须为数字",IF(NOT(ISNUMBER($G20)),"单价须为数字",IF(N($F20)&lt;=0,"数量须大于0",IF($I20="","请选是否入库",IF(AND($I20="是",ISNA(MATCH($E20,基础资料!$Q$6:$Q$205,0))),"入库商品必须在商品档案中",IF(AND($I20="否",$J20&lt;&gt;"",ISNA(MATCH($J20,科目参数!$A$6:$A$125,0))),"费用科目不存在","√"))))))))))))</f>
        <v/>
      </c>
      <c r="O20" s="49" t="str">
        <f aca="false">IF($E20="","",IFERROR(INDEX(基础资料!$R$6:$R$205,MATCH($E20,基础资料!$Q$6:$Q$205,0)),""))</f>
        <v/>
      </c>
      <c r="P20" s="49" t="str">
        <f aca="false">IF($E20="","",IFERROR(INDEX(基础资料!$S$6:$S$205,MATCH($E20,基础资料!$Q$6:$Q$205,0)),""))</f>
        <v/>
      </c>
      <c r="Q20" s="48" t="str">
        <f aca="false">IF(OR($F20="",$G20=""),"",ROUND(N($F20)*N($G20),2))</f>
        <v/>
      </c>
      <c r="R20" s="48" t="str">
        <f aca="false">IF($Q20="","",ROUND(N($Q20)*N($H20),2))</f>
        <v/>
      </c>
      <c r="S20" s="48" t="str">
        <f aca="false">IF($Q20="","",N($Q20)+N($R20))</f>
        <v/>
      </c>
      <c r="T20" s="52" t="str">
        <f aca="false">IF(OR($B20="",$D20=""),"",$B20+N(IFERROR(INDEX(基础资料!$AH$6:$AH$155,MATCH($D20,基础资料!$AF$6:$AF$155,0)),0)))</f>
        <v/>
      </c>
      <c r="U20" s="49" t="str">
        <f aca="false">IF($Q20="","",IF($I20="是","1405",IF($J20="","6602",$J20)))</f>
        <v/>
      </c>
      <c r="V20" s="49" t="str">
        <f aca="false">IF($Q20="","","2202")</f>
        <v/>
      </c>
      <c r="W20" s="48" t="str">
        <f aca="false">IF($Q20="","",$Q20)</f>
        <v/>
      </c>
      <c r="X20" s="49" t="str">
        <f aca="false">IF(N($R20)=0,"","2221")</f>
        <v/>
      </c>
      <c r="Y20" s="49" t="str">
        <f aca="false">IF(N($R20)=0,"","2202")</f>
        <v/>
      </c>
      <c r="Z20" s="48" t="str">
        <f aca="false">IF(N($R20)=0,"",$R20)</f>
        <v/>
      </c>
      <c r="AA20" s="49" t="str">
        <f aca="false">IF(AND($D20=供应商对账单!$B$3,$B20&gt;=供应商对账单!$E$3,$B20&lt;=供应商对账单!$H$3),COUNTIFS($D$5:$D20,供应商对账单!$B$3,$B$5:$B20,"&gt;="&amp;供应商对账单!$E$3,$B$5:$B20,"&lt;="&amp;供应商对账单!$H$3),"")</f>
        <v/>
      </c>
    </row>
    <row r="21" customFormat="false" ht="15.75" hidden="false" customHeight="true" outlineLevel="0" collapsed="false">
      <c r="A21" s="42" t="str">
        <f aca="false">IF($B21="","","CG"&amp;TEXT($B21,"yyyymm")&amp;"-"&amp;TEXT(ROW()-4,"000"))</f>
        <v/>
      </c>
      <c r="B21" s="41"/>
      <c r="C21" s="42" t="str">
        <f aca="false">IF($B21="","",TEXT($B21,"yyyy-mm"))</f>
        <v/>
      </c>
      <c r="D21" s="32"/>
      <c r="E21" s="36"/>
      <c r="F21" s="43"/>
      <c r="G21" s="40"/>
      <c r="H21" s="51"/>
      <c r="I21" s="33"/>
      <c r="J21" s="31"/>
      <c r="K21" s="33"/>
      <c r="L21" s="33"/>
      <c r="M21" s="36"/>
      <c r="N21" s="47" t="str">
        <f aca="false">IF($B21="","",IF(NOT(ISNUMBER($B21)),"日期不是日期格式",IF(YEAR($B21)&lt;&gt;首页!$B$3,"不在会计年度",IF($D21="","未选供应商",IF(ISNA(MATCH($D21,基础资料!$AF$6:$AF$155,0)),"供应商不在档案",IF($E21="","未填商品或内容",IF(NOT(ISNUMBER($F21)),"数量须为数字",IF(NOT(ISNUMBER($G21)),"单价须为数字",IF(N($F21)&lt;=0,"数量须大于0",IF($I21="","请选是否入库",IF(AND($I21="是",ISNA(MATCH($E21,基础资料!$Q$6:$Q$205,0))),"入库商品必须在商品档案中",IF(AND($I21="否",$J21&lt;&gt;"",ISNA(MATCH($J21,科目参数!$A$6:$A$125,0))),"费用科目不存在","√"))))))))))))</f>
        <v/>
      </c>
      <c r="O21" s="49" t="str">
        <f aca="false">IF($E21="","",IFERROR(INDEX(基础资料!$R$6:$R$205,MATCH($E21,基础资料!$Q$6:$Q$205,0)),""))</f>
        <v/>
      </c>
      <c r="P21" s="49" t="str">
        <f aca="false">IF($E21="","",IFERROR(INDEX(基础资料!$S$6:$S$205,MATCH($E21,基础资料!$Q$6:$Q$205,0)),""))</f>
        <v/>
      </c>
      <c r="Q21" s="48" t="str">
        <f aca="false">IF(OR($F21="",$G21=""),"",ROUND(N($F21)*N($G21),2))</f>
        <v/>
      </c>
      <c r="R21" s="48" t="str">
        <f aca="false">IF($Q21="","",ROUND(N($Q21)*N($H21),2))</f>
        <v/>
      </c>
      <c r="S21" s="48" t="str">
        <f aca="false">IF($Q21="","",N($Q21)+N($R21))</f>
        <v/>
      </c>
      <c r="T21" s="52" t="str">
        <f aca="false">IF(OR($B21="",$D21=""),"",$B21+N(IFERROR(INDEX(基础资料!$AH$6:$AH$155,MATCH($D21,基础资料!$AF$6:$AF$155,0)),0)))</f>
        <v/>
      </c>
      <c r="U21" s="49" t="str">
        <f aca="false">IF($Q21="","",IF($I21="是","1405",IF($J21="","6602",$J21)))</f>
        <v/>
      </c>
      <c r="V21" s="49" t="str">
        <f aca="false">IF($Q21="","","2202")</f>
        <v/>
      </c>
      <c r="W21" s="48" t="str">
        <f aca="false">IF($Q21="","",$Q21)</f>
        <v/>
      </c>
      <c r="X21" s="49" t="str">
        <f aca="false">IF(N($R21)=0,"","2221")</f>
        <v/>
      </c>
      <c r="Y21" s="49" t="str">
        <f aca="false">IF(N($R21)=0,"","2202")</f>
        <v/>
      </c>
      <c r="Z21" s="48" t="str">
        <f aca="false">IF(N($R21)=0,"",$R21)</f>
        <v/>
      </c>
      <c r="AA21" s="49" t="str">
        <f aca="false">IF(AND($D21=供应商对账单!$B$3,$B21&gt;=供应商对账单!$E$3,$B21&lt;=供应商对账单!$H$3),COUNTIFS($D$5:$D21,供应商对账单!$B$3,$B$5:$B21,"&gt;="&amp;供应商对账单!$E$3,$B$5:$B21,"&lt;="&amp;供应商对账单!$H$3),"")</f>
        <v/>
      </c>
    </row>
    <row r="22" customFormat="false" ht="15.75" hidden="false" customHeight="true" outlineLevel="0" collapsed="false">
      <c r="A22" s="42" t="str">
        <f aca="false">IF($B22="","","CG"&amp;TEXT($B22,"yyyymm")&amp;"-"&amp;TEXT(ROW()-4,"000"))</f>
        <v/>
      </c>
      <c r="B22" s="41"/>
      <c r="C22" s="42" t="str">
        <f aca="false">IF($B22="","",TEXT($B22,"yyyy-mm"))</f>
        <v/>
      </c>
      <c r="D22" s="32"/>
      <c r="E22" s="36"/>
      <c r="F22" s="43"/>
      <c r="G22" s="40"/>
      <c r="H22" s="51"/>
      <c r="I22" s="33"/>
      <c r="J22" s="31"/>
      <c r="K22" s="33"/>
      <c r="L22" s="33"/>
      <c r="M22" s="36"/>
      <c r="N22" s="47" t="str">
        <f aca="false">IF($B22="","",IF(NOT(ISNUMBER($B22)),"日期不是日期格式",IF(YEAR($B22)&lt;&gt;首页!$B$3,"不在会计年度",IF($D22="","未选供应商",IF(ISNA(MATCH($D22,基础资料!$AF$6:$AF$155,0)),"供应商不在档案",IF($E22="","未填商品或内容",IF(NOT(ISNUMBER($F22)),"数量须为数字",IF(NOT(ISNUMBER($G22)),"单价须为数字",IF(N($F22)&lt;=0,"数量须大于0",IF($I22="","请选是否入库",IF(AND($I22="是",ISNA(MATCH($E22,基础资料!$Q$6:$Q$205,0))),"入库商品必须在商品档案中",IF(AND($I22="否",$J22&lt;&gt;"",ISNA(MATCH($J22,科目参数!$A$6:$A$125,0))),"费用科目不存在","√"))))))))))))</f>
        <v/>
      </c>
      <c r="O22" s="49" t="str">
        <f aca="false">IF($E22="","",IFERROR(INDEX(基础资料!$R$6:$R$205,MATCH($E22,基础资料!$Q$6:$Q$205,0)),""))</f>
        <v/>
      </c>
      <c r="P22" s="49" t="str">
        <f aca="false">IF($E22="","",IFERROR(INDEX(基础资料!$S$6:$S$205,MATCH($E22,基础资料!$Q$6:$Q$205,0)),""))</f>
        <v/>
      </c>
      <c r="Q22" s="48" t="str">
        <f aca="false">IF(OR($F22="",$G22=""),"",ROUND(N($F22)*N($G22),2))</f>
        <v/>
      </c>
      <c r="R22" s="48" t="str">
        <f aca="false">IF($Q22="","",ROUND(N($Q22)*N($H22),2))</f>
        <v/>
      </c>
      <c r="S22" s="48" t="str">
        <f aca="false">IF($Q22="","",N($Q22)+N($R22))</f>
        <v/>
      </c>
      <c r="T22" s="52" t="str">
        <f aca="false">IF(OR($B22="",$D22=""),"",$B22+N(IFERROR(INDEX(基础资料!$AH$6:$AH$155,MATCH($D22,基础资料!$AF$6:$AF$155,0)),0)))</f>
        <v/>
      </c>
      <c r="U22" s="49" t="str">
        <f aca="false">IF($Q22="","",IF($I22="是","1405",IF($J22="","6602",$J22)))</f>
        <v/>
      </c>
      <c r="V22" s="49" t="str">
        <f aca="false">IF($Q22="","","2202")</f>
        <v/>
      </c>
      <c r="W22" s="48" t="str">
        <f aca="false">IF($Q22="","",$Q22)</f>
        <v/>
      </c>
      <c r="X22" s="49" t="str">
        <f aca="false">IF(N($R22)=0,"","2221")</f>
        <v/>
      </c>
      <c r="Y22" s="49" t="str">
        <f aca="false">IF(N($R22)=0,"","2202")</f>
        <v/>
      </c>
      <c r="Z22" s="48" t="str">
        <f aca="false">IF(N($R22)=0,"",$R22)</f>
        <v/>
      </c>
      <c r="AA22" s="49" t="str">
        <f aca="false">IF(AND($D22=供应商对账单!$B$3,$B22&gt;=供应商对账单!$E$3,$B22&lt;=供应商对账单!$H$3),COUNTIFS($D$5:$D22,供应商对账单!$B$3,$B$5:$B22,"&gt;="&amp;供应商对账单!$E$3,$B$5:$B22,"&lt;="&amp;供应商对账单!$H$3),"")</f>
        <v/>
      </c>
    </row>
    <row r="23" customFormat="false" ht="15.75" hidden="false" customHeight="true" outlineLevel="0" collapsed="false">
      <c r="A23" s="42" t="str">
        <f aca="false">IF($B23="","","CG"&amp;TEXT($B23,"yyyymm")&amp;"-"&amp;TEXT(ROW()-4,"000"))</f>
        <v/>
      </c>
      <c r="B23" s="41"/>
      <c r="C23" s="42" t="str">
        <f aca="false">IF($B23="","",TEXT($B23,"yyyy-mm"))</f>
        <v/>
      </c>
      <c r="D23" s="32"/>
      <c r="E23" s="36"/>
      <c r="F23" s="43"/>
      <c r="G23" s="40"/>
      <c r="H23" s="51"/>
      <c r="I23" s="33"/>
      <c r="J23" s="31"/>
      <c r="K23" s="33"/>
      <c r="L23" s="33"/>
      <c r="M23" s="36"/>
      <c r="N23" s="47" t="str">
        <f aca="false">IF($B23="","",IF(NOT(ISNUMBER($B23)),"日期不是日期格式",IF(YEAR($B23)&lt;&gt;首页!$B$3,"不在会计年度",IF($D23="","未选供应商",IF(ISNA(MATCH($D23,基础资料!$AF$6:$AF$155,0)),"供应商不在档案",IF($E23="","未填商品或内容",IF(NOT(ISNUMBER($F23)),"数量须为数字",IF(NOT(ISNUMBER($G23)),"单价须为数字",IF(N($F23)&lt;=0,"数量须大于0",IF($I23="","请选是否入库",IF(AND($I23="是",ISNA(MATCH($E23,基础资料!$Q$6:$Q$205,0))),"入库商品必须在商品档案中",IF(AND($I23="否",$J23&lt;&gt;"",ISNA(MATCH($J23,科目参数!$A$6:$A$125,0))),"费用科目不存在","√"))))))))))))</f>
        <v/>
      </c>
      <c r="O23" s="49" t="str">
        <f aca="false">IF($E23="","",IFERROR(INDEX(基础资料!$R$6:$R$205,MATCH($E23,基础资料!$Q$6:$Q$205,0)),""))</f>
        <v/>
      </c>
      <c r="P23" s="49" t="str">
        <f aca="false">IF($E23="","",IFERROR(INDEX(基础资料!$S$6:$S$205,MATCH($E23,基础资料!$Q$6:$Q$205,0)),""))</f>
        <v/>
      </c>
      <c r="Q23" s="48" t="str">
        <f aca="false">IF(OR($F23="",$G23=""),"",ROUND(N($F23)*N($G23),2))</f>
        <v/>
      </c>
      <c r="R23" s="48" t="str">
        <f aca="false">IF($Q23="","",ROUND(N($Q23)*N($H23),2))</f>
        <v/>
      </c>
      <c r="S23" s="48" t="str">
        <f aca="false">IF($Q23="","",N($Q23)+N($R23))</f>
        <v/>
      </c>
      <c r="T23" s="52" t="str">
        <f aca="false">IF(OR($B23="",$D23=""),"",$B23+N(IFERROR(INDEX(基础资料!$AH$6:$AH$155,MATCH($D23,基础资料!$AF$6:$AF$155,0)),0)))</f>
        <v/>
      </c>
      <c r="U23" s="49" t="str">
        <f aca="false">IF($Q23="","",IF($I23="是","1405",IF($J23="","6602",$J23)))</f>
        <v/>
      </c>
      <c r="V23" s="49" t="str">
        <f aca="false">IF($Q23="","","2202")</f>
        <v/>
      </c>
      <c r="W23" s="48" t="str">
        <f aca="false">IF($Q23="","",$Q23)</f>
        <v/>
      </c>
      <c r="X23" s="49" t="str">
        <f aca="false">IF(N($R23)=0,"","2221")</f>
        <v/>
      </c>
      <c r="Y23" s="49" t="str">
        <f aca="false">IF(N($R23)=0,"","2202")</f>
        <v/>
      </c>
      <c r="Z23" s="48" t="str">
        <f aca="false">IF(N($R23)=0,"",$R23)</f>
        <v/>
      </c>
      <c r="AA23" s="49" t="str">
        <f aca="false">IF(AND($D23=供应商对账单!$B$3,$B23&gt;=供应商对账单!$E$3,$B23&lt;=供应商对账单!$H$3),COUNTIFS($D$5:$D23,供应商对账单!$B$3,$B$5:$B23,"&gt;="&amp;供应商对账单!$E$3,$B$5:$B23,"&lt;="&amp;供应商对账单!$H$3),"")</f>
        <v/>
      </c>
    </row>
    <row r="24" customFormat="false" ht="15.75" hidden="false" customHeight="true" outlineLevel="0" collapsed="false">
      <c r="A24" s="42" t="str">
        <f aca="false">IF($B24="","","CG"&amp;TEXT($B24,"yyyymm")&amp;"-"&amp;TEXT(ROW()-4,"000"))</f>
        <v/>
      </c>
      <c r="B24" s="41"/>
      <c r="C24" s="42" t="str">
        <f aca="false">IF($B24="","",TEXT($B24,"yyyy-mm"))</f>
        <v/>
      </c>
      <c r="D24" s="32"/>
      <c r="E24" s="36"/>
      <c r="F24" s="43"/>
      <c r="G24" s="40"/>
      <c r="H24" s="51"/>
      <c r="I24" s="33"/>
      <c r="J24" s="31"/>
      <c r="K24" s="33"/>
      <c r="L24" s="33"/>
      <c r="M24" s="36"/>
      <c r="N24" s="47" t="str">
        <f aca="false">IF($B24="","",IF(NOT(ISNUMBER($B24)),"日期不是日期格式",IF(YEAR($B24)&lt;&gt;首页!$B$3,"不在会计年度",IF($D24="","未选供应商",IF(ISNA(MATCH($D24,基础资料!$AF$6:$AF$155,0)),"供应商不在档案",IF($E24="","未填商品或内容",IF(NOT(ISNUMBER($F24)),"数量须为数字",IF(NOT(ISNUMBER($G24)),"单价须为数字",IF(N($F24)&lt;=0,"数量须大于0",IF($I24="","请选是否入库",IF(AND($I24="是",ISNA(MATCH($E24,基础资料!$Q$6:$Q$205,0))),"入库商品必须在商品档案中",IF(AND($I24="否",$J24&lt;&gt;"",ISNA(MATCH($J24,科目参数!$A$6:$A$125,0))),"费用科目不存在","√"))))))))))))</f>
        <v/>
      </c>
      <c r="O24" s="49" t="str">
        <f aca="false">IF($E24="","",IFERROR(INDEX(基础资料!$R$6:$R$205,MATCH($E24,基础资料!$Q$6:$Q$205,0)),""))</f>
        <v/>
      </c>
      <c r="P24" s="49" t="str">
        <f aca="false">IF($E24="","",IFERROR(INDEX(基础资料!$S$6:$S$205,MATCH($E24,基础资料!$Q$6:$Q$205,0)),""))</f>
        <v/>
      </c>
      <c r="Q24" s="48" t="str">
        <f aca="false">IF(OR($F24="",$G24=""),"",ROUND(N($F24)*N($G24),2))</f>
        <v/>
      </c>
      <c r="R24" s="48" t="str">
        <f aca="false">IF($Q24="","",ROUND(N($Q24)*N($H24),2))</f>
        <v/>
      </c>
      <c r="S24" s="48" t="str">
        <f aca="false">IF($Q24="","",N($Q24)+N($R24))</f>
        <v/>
      </c>
      <c r="T24" s="52" t="str">
        <f aca="false">IF(OR($B24="",$D24=""),"",$B24+N(IFERROR(INDEX(基础资料!$AH$6:$AH$155,MATCH($D24,基础资料!$AF$6:$AF$155,0)),0)))</f>
        <v/>
      </c>
      <c r="U24" s="49" t="str">
        <f aca="false">IF($Q24="","",IF($I24="是","1405",IF($J24="","6602",$J24)))</f>
        <v/>
      </c>
      <c r="V24" s="49" t="str">
        <f aca="false">IF($Q24="","","2202")</f>
        <v/>
      </c>
      <c r="W24" s="48" t="str">
        <f aca="false">IF($Q24="","",$Q24)</f>
        <v/>
      </c>
      <c r="X24" s="49" t="str">
        <f aca="false">IF(N($R24)=0,"","2221")</f>
        <v/>
      </c>
      <c r="Y24" s="49" t="str">
        <f aca="false">IF(N($R24)=0,"","2202")</f>
        <v/>
      </c>
      <c r="Z24" s="48" t="str">
        <f aca="false">IF(N($R24)=0,"",$R24)</f>
        <v/>
      </c>
      <c r="AA24" s="49" t="str">
        <f aca="false">IF(AND($D24=供应商对账单!$B$3,$B24&gt;=供应商对账单!$E$3,$B24&lt;=供应商对账单!$H$3),COUNTIFS($D$5:$D24,供应商对账单!$B$3,$B$5:$B24,"&gt;="&amp;供应商对账单!$E$3,$B$5:$B24,"&lt;="&amp;供应商对账单!$H$3),"")</f>
        <v/>
      </c>
    </row>
    <row r="25" customFormat="false" ht="15.75" hidden="false" customHeight="true" outlineLevel="0" collapsed="false">
      <c r="A25" s="42" t="str">
        <f aca="false">IF($B25="","","CG"&amp;TEXT($B25,"yyyymm")&amp;"-"&amp;TEXT(ROW()-4,"000"))</f>
        <v/>
      </c>
      <c r="B25" s="41"/>
      <c r="C25" s="42" t="str">
        <f aca="false">IF($B25="","",TEXT($B25,"yyyy-mm"))</f>
        <v/>
      </c>
      <c r="D25" s="32"/>
      <c r="E25" s="36"/>
      <c r="F25" s="43"/>
      <c r="G25" s="40"/>
      <c r="H25" s="51"/>
      <c r="I25" s="33"/>
      <c r="J25" s="31"/>
      <c r="K25" s="33"/>
      <c r="L25" s="33"/>
      <c r="M25" s="36"/>
      <c r="N25" s="47" t="str">
        <f aca="false">IF($B25="","",IF(NOT(ISNUMBER($B25)),"日期不是日期格式",IF(YEAR($B25)&lt;&gt;首页!$B$3,"不在会计年度",IF($D25="","未选供应商",IF(ISNA(MATCH($D25,基础资料!$AF$6:$AF$155,0)),"供应商不在档案",IF($E25="","未填商品或内容",IF(NOT(ISNUMBER($F25)),"数量须为数字",IF(NOT(ISNUMBER($G25)),"单价须为数字",IF(N($F25)&lt;=0,"数量须大于0",IF($I25="","请选是否入库",IF(AND($I25="是",ISNA(MATCH($E25,基础资料!$Q$6:$Q$205,0))),"入库商品必须在商品档案中",IF(AND($I25="否",$J25&lt;&gt;"",ISNA(MATCH($J25,科目参数!$A$6:$A$125,0))),"费用科目不存在","√"))))))))))))</f>
        <v/>
      </c>
      <c r="O25" s="49" t="str">
        <f aca="false">IF($E25="","",IFERROR(INDEX(基础资料!$R$6:$R$205,MATCH($E25,基础资料!$Q$6:$Q$205,0)),""))</f>
        <v/>
      </c>
      <c r="P25" s="49" t="str">
        <f aca="false">IF($E25="","",IFERROR(INDEX(基础资料!$S$6:$S$205,MATCH($E25,基础资料!$Q$6:$Q$205,0)),""))</f>
        <v/>
      </c>
      <c r="Q25" s="48" t="str">
        <f aca="false">IF(OR($F25="",$G25=""),"",ROUND(N($F25)*N($G25),2))</f>
        <v/>
      </c>
      <c r="R25" s="48" t="str">
        <f aca="false">IF($Q25="","",ROUND(N($Q25)*N($H25),2))</f>
        <v/>
      </c>
      <c r="S25" s="48" t="str">
        <f aca="false">IF($Q25="","",N($Q25)+N($R25))</f>
        <v/>
      </c>
      <c r="T25" s="52" t="str">
        <f aca="false">IF(OR($B25="",$D25=""),"",$B25+N(IFERROR(INDEX(基础资料!$AH$6:$AH$155,MATCH($D25,基础资料!$AF$6:$AF$155,0)),0)))</f>
        <v/>
      </c>
      <c r="U25" s="49" t="str">
        <f aca="false">IF($Q25="","",IF($I25="是","1405",IF($J25="","6602",$J25)))</f>
        <v/>
      </c>
      <c r="V25" s="49" t="str">
        <f aca="false">IF($Q25="","","2202")</f>
        <v/>
      </c>
      <c r="W25" s="48" t="str">
        <f aca="false">IF($Q25="","",$Q25)</f>
        <v/>
      </c>
      <c r="X25" s="49" t="str">
        <f aca="false">IF(N($R25)=0,"","2221")</f>
        <v/>
      </c>
      <c r="Y25" s="49" t="str">
        <f aca="false">IF(N($R25)=0,"","2202")</f>
        <v/>
      </c>
      <c r="Z25" s="48" t="str">
        <f aca="false">IF(N($R25)=0,"",$R25)</f>
        <v/>
      </c>
      <c r="AA25" s="49" t="str">
        <f aca="false">IF(AND($D25=供应商对账单!$B$3,$B25&gt;=供应商对账单!$E$3,$B25&lt;=供应商对账单!$H$3),COUNTIFS($D$5:$D25,供应商对账单!$B$3,$B$5:$B25,"&gt;="&amp;供应商对账单!$E$3,$B$5:$B25,"&lt;="&amp;供应商对账单!$H$3),"")</f>
        <v/>
      </c>
    </row>
    <row r="26" customFormat="false" ht="15.75" hidden="false" customHeight="true" outlineLevel="0" collapsed="false">
      <c r="A26" s="42" t="str">
        <f aca="false">IF($B26="","","CG"&amp;TEXT($B26,"yyyymm")&amp;"-"&amp;TEXT(ROW()-4,"000"))</f>
        <v/>
      </c>
      <c r="B26" s="41"/>
      <c r="C26" s="42" t="str">
        <f aca="false">IF($B26="","",TEXT($B26,"yyyy-mm"))</f>
        <v/>
      </c>
      <c r="D26" s="32"/>
      <c r="E26" s="36"/>
      <c r="F26" s="43"/>
      <c r="G26" s="40"/>
      <c r="H26" s="51"/>
      <c r="I26" s="33"/>
      <c r="J26" s="31"/>
      <c r="K26" s="33"/>
      <c r="L26" s="33"/>
      <c r="M26" s="36"/>
      <c r="N26" s="47" t="str">
        <f aca="false">IF($B26="","",IF(NOT(ISNUMBER($B26)),"日期不是日期格式",IF(YEAR($B26)&lt;&gt;首页!$B$3,"不在会计年度",IF($D26="","未选供应商",IF(ISNA(MATCH($D26,基础资料!$AF$6:$AF$155,0)),"供应商不在档案",IF($E26="","未填商品或内容",IF(NOT(ISNUMBER($F26)),"数量须为数字",IF(NOT(ISNUMBER($G26)),"单价须为数字",IF(N($F26)&lt;=0,"数量须大于0",IF($I26="","请选是否入库",IF(AND($I26="是",ISNA(MATCH($E26,基础资料!$Q$6:$Q$205,0))),"入库商品必须在商品档案中",IF(AND($I26="否",$J26&lt;&gt;"",ISNA(MATCH($J26,科目参数!$A$6:$A$125,0))),"费用科目不存在","√"))))))))))))</f>
        <v/>
      </c>
      <c r="O26" s="49" t="str">
        <f aca="false">IF($E26="","",IFERROR(INDEX(基础资料!$R$6:$R$205,MATCH($E26,基础资料!$Q$6:$Q$205,0)),""))</f>
        <v/>
      </c>
      <c r="P26" s="49" t="str">
        <f aca="false">IF($E26="","",IFERROR(INDEX(基础资料!$S$6:$S$205,MATCH($E26,基础资料!$Q$6:$Q$205,0)),""))</f>
        <v/>
      </c>
      <c r="Q26" s="48" t="str">
        <f aca="false">IF(OR($F26="",$G26=""),"",ROUND(N($F26)*N($G26),2))</f>
        <v/>
      </c>
      <c r="R26" s="48" t="str">
        <f aca="false">IF($Q26="","",ROUND(N($Q26)*N($H26),2))</f>
        <v/>
      </c>
      <c r="S26" s="48" t="str">
        <f aca="false">IF($Q26="","",N($Q26)+N($R26))</f>
        <v/>
      </c>
      <c r="T26" s="52" t="str">
        <f aca="false">IF(OR($B26="",$D26=""),"",$B26+N(IFERROR(INDEX(基础资料!$AH$6:$AH$155,MATCH($D26,基础资料!$AF$6:$AF$155,0)),0)))</f>
        <v/>
      </c>
      <c r="U26" s="49" t="str">
        <f aca="false">IF($Q26="","",IF($I26="是","1405",IF($J26="","6602",$J26)))</f>
        <v/>
      </c>
      <c r="V26" s="49" t="str">
        <f aca="false">IF($Q26="","","2202")</f>
        <v/>
      </c>
      <c r="W26" s="48" t="str">
        <f aca="false">IF($Q26="","",$Q26)</f>
        <v/>
      </c>
      <c r="X26" s="49" t="str">
        <f aca="false">IF(N($R26)=0,"","2221")</f>
        <v/>
      </c>
      <c r="Y26" s="49" t="str">
        <f aca="false">IF(N($R26)=0,"","2202")</f>
        <v/>
      </c>
      <c r="Z26" s="48" t="str">
        <f aca="false">IF(N($R26)=0,"",$R26)</f>
        <v/>
      </c>
      <c r="AA26" s="49" t="str">
        <f aca="false">IF(AND($D26=供应商对账单!$B$3,$B26&gt;=供应商对账单!$E$3,$B26&lt;=供应商对账单!$H$3),COUNTIFS($D$5:$D26,供应商对账单!$B$3,$B$5:$B26,"&gt;="&amp;供应商对账单!$E$3,$B$5:$B26,"&lt;="&amp;供应商对账单!$H$3),"")</f>
        <v/>
      </c>
    </row>
    <row r="27" customFormat="false" ht="15.75" hidden="false" customHeight="true" outlineLevel="0" collapsed="false">
      <c r="A27" s="42" t="str">
        <f aca="false">IF($B27="","","CG"&amp;TEXT($B27,"yyyymm")&amp;"-"&amp;TEXT(ROW()-4,"000"))</f>
        <v/>
      </c>
      <c r="B27" s="41"/>
      <c r="C27" s="42" t="str">
        <f aca="false">IF($B27="","",TEXT($B27,"yyyy-mm"))</f>
        <v/>
      </c>
      <c r="D27" s="32"/>
      <c r="E27" s="36"/>
      <c r="F27" s="43"/>
      <c r="G27" s="40"/>
      <c r="H27" s="51"/>
      <c r="I27" s="33"/>
      <c r="J27" s="31"/>
      <c r="K27" s="33"/>
      <c r="L27" s="33"/>
      <c r="M27" s="36"/>
      <c r="N27" s="47" t="str">
        <f aca="false">IF($B27="","",IF(NOT(ISNUMBER($B27)),"日期不是日期格式",IF(YEAR($B27)&lt;&gt;首页!$B$3,"不在会计年度",IF($D27="","未选供应商",IF(ISNA(MATCH($D27,基础资料!$AF$6:$AF$155,0)),"供应商不在档案",IF($E27="","未填商品或内容",IF(NOT(ISNUMBER($F27)),"数量须为数字",IF(NOT(ISNUMBER($G27)),"单价须为数字",IF(N($F27)&lt;=0,"数量须大于0",IF($I27="","请选是否入库",IF(AND($I27="是",ISNA(MATCH($E27,基础资料!$Q$6:$Q$205,0))),"入库商品必须在商品档案中",IF(AND($I27="否",$J27&lt;&gt;"",ISNA(MATCH($J27,科目参数!$A$6:$A$125,0))),"费用科目不存在","√"))))))))))))</f>
        <v/>
      </c>
      <c r="O27" s="49" t="str">
        <f aca="false">IF($E27="","",IFERROR(INDEX(基础资料!$R$6:$R$205,MATCH($E27,基础资料!$Q$6:$Q$205,0)),""))</f>
        <v/>
      </c>
      <c r="P27" s="49" t="str">
        <f aca="false">IF($E27="","",IFERROR(INDEX(基础资料!$S$6:$S$205,MATCH($E27,基础资料!$Q$6:$Q$205,0)),""))</f>
        <v/>
      </c>
      <c r="Q27" s="48" t="str">
        <f aca="false">IF(OR($F27="",$G27=""),"",ROUND(N($F27)*N($G27),2))</f>
        <v/>
      </c>
      <c r="R27" s="48" t="str">
        <f aca="false">IF($Q27="","",ROUND(N($Q27)*N($H27),2))</f>
        <v/>
      </c>
      <c r="S27" s="48" t="str">
        <f aca="false">IF($Q27="","",N($Q27)+N($R27))</f>
        <v/>
      </c>
      <c r="T27" s="52" t="str">
        <f aca="false">IF(OR($B27="",$D27=""),"",$B27+N(IFERROR(INDEX(基础资料!$AH$6:$AH$155,MATCH($D27,基础资料!$AF$6:$AF$155,0)),0)))</f>
        <v/>
      </c>
      <c r="U27" s="49" t="str">
        <f aca="false">IF($Q27="","",IF($I27="是","1405",IF($J27="","6602",$J27)))</f>
        <v/>
      </c>
      <c r="V27" s="49" t="str">
        <f aca="false">IF($Q27="","","2202")</f>
        <v/>
      </c>
      <c r="W27" s="48" t="str">
        <f aca="false">IF($Q27="","",$Q27)</f>
        <v/>
      </c>
      <c r="X27" s="49" t="str">
        <f aca="false">IF(N($R27)=0,"","2221")</f>
        <v/>
      </c>
      <c r="Y27" s="49" t="str">
        <f aca="false">IF(N($R27)=0,"","2202")</f>
        <v/>
      </c>
      <c r="Z27" s="48" t="str">
        <f aca="false">IF(N($R27)=0,"",$R27)</f>
        <v/>
      </c>
      <c r="AA27" s="49" t="str">
        <f aca="false">IF(AND($D27=供应商对账单!$B$3,$B27&gt;=供应商对账单!$E$3,$B27&lt;=供应商对账单!$H$3),COUNTIFS($D$5:$D27,供应商对账单!$B$3,$B$5:$B27,"&gt;="&amp;供应商对账单!$E$3,$B$5:$B27,"&lt;="&amp;供应商对账单!$H$3),"")</f>
        <v/>
      </c>
    </row>
    <row r="28" customFormat="false" ht="15.75" hidden="false" customHeight="true" outlineLevel="0" collapsed="false">
      <c r="A28" s="42" t="str">
        <f aca="false">IF($B28="","","CG"&amp;TEXT($B28,"yyyymm")&amp;"-"&amp;TEXT(ROW()-4,"000"))</f>
        <v/>
      </c>
      <c r="B28" s="41"/>
      <c r="C28" s="42" t="str">
        <f aca="false">IF($B28="","",TEXT($B28,"yyyy-mm"))</f>
        <v/>
      </c>
      <c r="D28" s="32"/>
      <c r="E28" s="36"/>
      <c r="F28" s="43"/>
      <c r="G28" s="40"/>
      <c r="H28" s="51"/>
      <c r="I28" s="33"/>
      <c r="J28" s="31"/>
      <c r="K28" s="33"/>
      <c r="L28" s="33"/>
      <c r="M28" s="36"/>
      <c r="N28" s="47" t="str">
        <f aca="false">IF($B28="","",IF(NOT(ISNUMBER($B28)),"日期不是日期格式",IF(YEAR($B28)&lt;&gt;首页!$B$3,"不在会计年度",IF($D28="","未选供应商",IF(ISNA(MATCH($D28,基础资料!$AF$6:$AF$155,0)),"供应商不在档案",IF($E28="","未填商品或内容",IF(NOT(ISNUMBER($F28)),"数量须为数字",IF(NOT(ISNUMBER($G28)),"单价须为数字",IF(N($F28)&lt;=0,"数量须大于0",IF($I28="","请选是否入库",IF(AND($I28="是",ISNA(MATCH($E28,基础资料!$Q$6:$Q$205,0))),"入库商品必须在商品档案中",IF(AND($I28="否",$J28&lt;&gt;"",ISNA(MATCH($J28,科目参数!$A$6:$A$125,0))),"费用科目不存在","√"))))))))))))</f>
        <v/>
      </c>
      <c r="O28" s="49" t="str">
        <f aca="false">IF($E28="","",IFERROR(INDEX(基础资料!$R$6:$R$205,MATCH($E28,基础资料!$Q$6:$Q$205,0)),""))</f>
        <v/>
      </c>
      <c r="P28" s="49" t="str">
        <f aca="false">IF($E28="","",IFERROR(INDEX(基础资料!$S$6:$S$205,MATCH($E28,基础资料!$Q$6:$Q$205,0)),""))</f>
        <v/>
      </c>
      <c r="Q28" s="48" t="str">
        <f aca="false">IF(OR($F28="",$G28=""),"",ROUND(N($F28)*N($G28),2))</f>
        <v/>
      </c>
      <c r="R28" s="48" t="str">
        <f aca="false">IF($Q28="","",ROUND(N($Q28)*N($H28),2))</f>
        <v/>
      </c>
      <c r="S28" s="48" t="str">
        <f aca="false">IF($Q28="","",N($Q28)+N($R28))</f>
        <v/>
      </c>
      <c r="T28" s="52" t="str">
        <f aca="false">IF(OR($B28="",$D28=""),"",$B28+N(IFERROR(INDEX(基础资料!$AH$6:$AH$155,MATCH($D28,基础资料!$AF$6:$AF$155,0)),0)))</f>
        <v/>
      </c>
      <c r="U28" s="49" t="str">
        <f aca="false">IF($Q28="","",IF($I28="是","1405",IF($J28="","6602",$J28)))</f>
        <v/>
      </c>
      <c r="V28" s="49" t="str">
        <f aca="false">IF($Q28="","","2202")</f>
        <v/>
      </c>
      <c r="W28" s="48" t="str">
        <f aca="false">IF($Q28="","",$Q28)</f>
        <v/>
      </c>
      <c r="X28" s="49" t="str">
        <f aca="false">IF(N($R28)=0,"","2221")</f>
        <v/>
      </c>
      <c r="Y28" s="49" t="str">
        <f aca="false">IF(N($R28)=0,"","2202")</f>
        <v/>
      </c>
      <c r="Z28" s="48" t="str">
        <f aca="false">IF(N($R28)=0,"",$R28)</f>
        <v/>
      </c>
      <c r="AA28" s="49" t="str">
        <f aca="false">IF(AND($D28=供应商对账单!$B$3,$B28&gt;=供应商对账单!$E$3,$B28&lt;=供应商对账单!$H$3),COUNTIFS($D$5:$D28,供应商对账单!$B$3,$B$5:$B28,"&gt;="&amp;供应商对账单!$E$3,$B$5:$B28,"&lt;="&amp;供应商对账单!$H$3),"")</f>
        <v/>
      </c>
    </row>
    <row r="29" customFormat="false" ht="15.75" hidden="false" customHeight="true" outlineLevel="0" collapsed="false">
      <c r="A29" s="42" t="str">
        <f aca="false">IF($B29="","","CG"&amp;TEXT($B29,"yyyymm")&amp;"-"&amp;TEXT(ROW()-4,"000"))</f>
        <v/>
      </c>
      <c r="B29" s="41"/>
      <c r="C29" s="42" t="str">
        <f aca="false">IF($B29="","",TEXT($B29,"yyyy-mm"))</f>
        <v/>
      </c>
      <c r="D29" s="32"/>
      <c r="E29" s="36"/>
      <c r="F29" s="43"/>
      <c r="G29" s="40"/>
      <c r="H29" s="51"/>
      <c r="I29" s="33"/>
      <c r="J29" s="31"/>
      <c r="K29" s="33"/>
      <c r="L29" s="33"/>
      <c r="M29" s="36"/>
      <c r="N29" s="47" t="str">
        <f aca="false">IF($B29="","",IF(NOT(ISNUMBER($B29)),"日期不是日期格式",IF(YEAR($B29)&lt;&gt;首页!$B$3,"不在会计年度",IF($D29="","未选供应商",IF(ISNA(MATCH($D29,基础资料!$AF$6:$AF$155,0)),"供应商不在档案",IF($E29="","未填商品或内容",IF(NOT(ISNUMBER($F29)),"数量须为数字",IF(NOT(ISNUMBER($G29)),"单价须为数字",IF(N($F29)&lt;=0,"数量须大于0",IF($I29="","请选是否入库",IF(AND($I29="是",ISNA(MATCH($E29,基础资料!$Q$6:$Q$205,0))),"入库商品必须在商品档案中",IF(AND($I29="否",$J29&lt;&gt;"",ISNA(MATCH($J29,科目参数!$A$6:$A$125,0))),"费用科目不存在","√"))))))))))))</f>
        <v/>
      </c>
      <c r="O29" s="49" t="str">
        <f aca="false">IF($E29="","",IFERROR(INDEX(基础资料!$R$6:$R$205,MATCH($E29,基础资料!$Q$6:$Q$205,0)),""))</f>
        <v/>
      </c>
      <c r="P29" s="49" t="str">
        <f aca="false">IF($E29="","",IFERROR(INDEX(基础资料!$S$6:$S$205,MATCH($E29,基础资料!$Q$6:$Q$205,0)),""))</f>
        <v/>
      </c>
      <c r="Q29" s="48" t="str">
        <f aca="false">IF(OR($F29="",$G29=""),"",ROUND(N($F29)*N($G29),2))</f>
        <v/>
      </c>
      <c r="R29" s="48" t="str">
        <f aca="false">IF($Q29="","",ROUND(N($Q29)*N($H29),2))</f>
        <v/>
      </c>
      <c r="S29" s="48" t="str">
        <f aca="false">IF($Q29="","",N($Q29)+N($R29))</f>
        <v/>
      </c>
      <c r="T29" s="52" t="str">
        <f aca="false">IF(OR($B29="",$D29=""),"",$B29+N(IFERROR(INDEX(基础资料!$AH$6:$AH$155,MATCH($D29,基础资料!$AF$6:$AF$155,0)),0)))</f>
        <v/>
      </c>
      <c r="U29" s="49" t="str">
        <f aca="false">IF($Q29="","",IF($I29="是","1405",IF($J29="","6602",$J29)))</f>
        <v/>
      </c>
      <c r="V29" s="49" t="str">
        <f aca="false">IF($Q29="","","2202")</f>
        <v/>
      </c>
      <c r="W29" s="48" t="str">
        <f aca="false">IF($Q29="","",$Q29)</f>
        <v/>
      </c>
      <c r="X29" s="49" t="str">
        <f aca="false">IF(N($R29)=0,"","2221")</f>
        <v/>
      </c>
      <c r="Y29" s="49" t="str">
        <f aca="false">IF(N($R29)=0,"","2202")</f>
        <v/>
      </c>
      <c r="Z29" s="48" t="str">
        <f aca="false">IF(N($R29)=0,"",$R29)</f>
        <v/>
      </c>
      <c r="AA29" s="49" t="str">
        <f aca="false">IF(AND($D29=供应商对账单!$B$3,$B29&gt;=供应商对账单!$E$3,$B29&lt;=供应商对账单!$H$3),COUNTIFS($D$5:$D29,供应商对账单!$B$3,$B$5:$B29,"&gt;="&amp;供应商对账单!$E$3,$B$5:$B29,"&lt;="&amp;供应商对账单!$H$3),"")</f>
        <v/>
      </c>
    </row>
    <row r="30" customFormat="false" ht="15.75" hidden="false" customHeight="true" outlineLevel="0" collapsed="false">
      <c r="A30" s="42" t="str">
        <f aca="false">IF($B30="","","CG"&amp;TEXT($B30,"yyyymm")&amp;"-"&amp;TEXT(ROW()-4,"000"))</f>
        <v/>
      </c>
      <c r="B30" s="41"/>
      <c r="C30" s="42" t="str">
        <f aca="false">IF($B30="","",TEXT($B30,"yyyy-mm"))</f>
        <v/>
      </c>
      <c r="D30" s="32"/>
      <c r="E30" s="36"/>
      <c r="F30" s="43"/>
      <c r="G30" s="40"/>
      <c r="H30" s="51"/>
      <c r="I30" s="33"/>
      <c r="J30" s="31"/>
      <c r="K30" s="33"/>
      <c r="L30" s="33"/>
      <c r="M30" s="36"/>
      <c r="N30" s="47" t="str">
        <f aca="false">IF($B30="","",IF(NOT(ISNUMBER($B30)),"日期不是日期格式",IF(YEAR($B30)&lt;&gt;首页!$B$3,"不在会计年度",IF($D30="","未选供应商",IF(ISNA(MATCH($D30,基础资料!$AF$6:$AF$155,0)),"供应商不在档案",IF($E30="","未填商品或内容",IF(NOT(ISNUMBER($F30)),"数量须为数字",IF(NOT(ISNUMBER($G30)),"单价须为数字",IF(N($F30)&lt;=0,"数量须大于0",IF($I30="","请选是否入库",IF(AND($I30="是",ISNA(MATCH($E30,基础资料!$Q$6:$Q$205,0))),"入库商品必须在商品档案中",IF(AND($I30="否",$J30&lt;&gt;"",ISNA(MATCH($J30,科目参数!$A$6:$A$125,0))),"费用科目不存在","√"))))))))))))</f>
        <v/>
      </c>
      <c r="O30" s="49" t="str">
        <f aca="false">IF($E30="","",IFERROR(INDEX(基础资料!$R$6:$R$205,MATCH($E30,基础资料!$Q$6:$Q$205,0)),""))</f>
        <v/>
      </c>
      <c r="P30" s="49" t="str">
        <f aca="false">IF($E30="","",IFERROR(INDEX(基础资料!$S$6:$S$205,MATCH($E30,基础资料!$Q$6:$Q$205,0)),""))</f>
        <v/>
      </c>
      <c r="Q30" s="48" t="str">
        <f aca="false">IF(OR($F30="",$G30=""),"",ROUND(N($F30)*N($G30),2))</f>
        <v/>
      </c>
      <c r="R30" s="48" t="str">
        <f aca="false">IF($Q30="","",ROUND(N($Q30)*N($H30),2))</f>
        <v/>
      </c>
      <c r="S30" s="48" t="str">
        <f aca="false">IF($Q30="","",N($Q30)+N($R30))</f>
        <v/>
      </c>
      <c r="T30" s="52" t="str">
        <f aca="false">IF(OR($B30="",$D30=""),"",$B30+N(IFERROR(INDEX(基础资料!$AH$6:$AH$155,MATCH($D30,基础资料!$AF$6:$AF$155,0)),0)))</f>
        <v/>
      </c>
      <c r="U30" s="49" t="str">
        <f aca="false">IF($Q30="","",IF($I30="是","1405",IF($J30="","6602",$J30)))</f>
        <v/>
      </c>
      <c r="V30" s="49" t="str">
        <f aca="false">IF($Q30="","","2202")</f>
        <v/>
      </c>
      <c r="W30" s="48" t="str">
        <f aca="false">IF($Q30="","",$Q30)</f>
        <v/>
      </c>
      <c r="X30" s="49" t="str">
        <f aca="false">IF(N($R30)=0,"","2221")</f>
        <v/>
      </c>
      <c r="Y30" s="49" t="str">
        <f aca="false">IF(N($R30)=0,"","2202")</f>
        <v/>
      </c>
      <c r="Z30" s="48" t="str">
        <f aca="false">IF(N($R30)=0,"",$R30)</f>
        <v/>
      </c>
      <c r="AA30" s="49" t="str">
        <f aca="false">IF(AND($D30=供应商对账单!$B$3,$B30&gt;=供应商对账单!$E$3,$B30&lt;=供应商对账单!$H$3),COUNTIFS($D$5:$D30,供应商对账单!$B$3,$B$5:$B30,"&gt;="&amp;供应商对账单!$E$3,$B$5:$B30,"&lt;="&amp;供应商对账单!$H$3),"")</f>
        <v/>
      </c>
    </row>
    <row r="31" customFormat="false" ht="15.75" hidden="false" customHeight="true" outlineLevel="0" collapsed="false">
      <c r="A31" s="42" t="str">
        <f aca="false">IF($B31="","","CG"&amp;TEXT($B31,"yyyymm")&amp;"-"&amp;TEXT(ROW()-4,"000"))</f>
        <v/>
      </c>
      <c r="B31" s="41"/>
      <c r="C31" s="42" t="str">
        <f aca="false">IF($B31="","",TEXT($B31,"yyyy-mm"))</f>
        <v/>
      </c>
      <c r="D31" s="32"/>
      <c r="E31" s="36"/>
      <c r="F31" s="43"/>
      <c r="G31" s="40"/>
      <c r="H31" s="51"/>
      <c r="I31" s="33"/>
      <c r="J31" s="31"/>
      <c r="K31" s="33"/>
      <c r="L31" s="33"/>
      <c r="M31" s="36"/>
      <c r="N31" s="47" t="str">
        <f aca="false">IF($B31="","",IF(NOT(ISNUMBER($B31)),"日期不是日期格式",IF(YEAR($B31)&lt;&gt;首页!$B$3,"不在会计年度",IF($D31="","未选供应商",IF(ISNA(MATCH($D31,基础资料!$AF$6:$AF$155,0)),"供应商不在档案",IF($E31="","未填商品或内容",IF(NOT(ISNUMBER($F31)),"数量须为数字",IF(NOT(ISNUMBER($G31)),"单价须为数字",IF(N($F31)&lt;=0,"数量须大于0",IF($I31="","请选是否入库",IF(AND($I31="是",ISNA(MATCH($E31,基础资料!$Q$6:$Q$205,0))),"入库商品必须在商品档案中",IF(AND($I31="否",$J31&lt;&gt;"",ISNA(MATCH($J31,科目参数!$A$6:$A$125,0))),"费用科目不存在","√"))))))))))))</f>
        <v/>
      </c>
      <c r="O31" s="49" t="str">
        <f aca="false">IF($E31="","",IFERROR(INDEX(基础资料!$R$6:$R$205,MATCH($E31,基础资料!$Q$6:$Q$205,0)),""))</f>
        <v/>
      </c>
      <c r="P31" s="49" t="str">
        <f aca="false">IF($E31="","",IFERROR(INDEX(基础资料!$S$6:$S$205,MATCH($E31,基础资料!$Q$6:$Q$205,0)),""))</f>
        <v/>
      </c>
      <c r="Q31" s="48" t="str">
        <f aca="false">IF(OR($F31="",$G31=""),"",ROUND(N($F31)*N($G31),2))</f>
        <v/>
      </c>
      <c r="R31" s="48" t="str">
        <f aca="false">IF($Q31="","",ROUND(N($Q31)*N($H31),2))</f>
        <v/>
      </c>
      <c r="S31" s="48" t="str">
        <f aca="false">IF($Q31="","",N($Q31)+N($R31))</f>
        <v/>
      </c>
      <c r="T31" s="52" t="str">
        <f aca="false">IF(OR($B31="",$D31=""),"",$B31+N(IFERROR(INDEX(基础资料!$AH$6:$AH$155,MATCH($D31,基础资料!$AF$6:$AF$155,0)),0)))</f>
        <v/>
      </c>
      <c r="U31" s="49" t="str">
        <f aca="false">IF($Q31="","",IF($I31="是","1405",IF($J31="","6602",$J31)))</f>
        <v/>
      </c>
      <c r="V31" s="49" t="str">
        <f aca="false">IF($Q31="","","2202")</f>
        <v/>
      </c>
      <c r="W31" s="48" t="str">
        <f aca="false">IF($Q31="","",$Q31)</f>
        <v/>
      </c>
      <c r="X31" s="49" t="str">
        <f aca="false">IF(N($R31)=0,"","2221")</f>
        <v/>
      </c>
      <c r="Y31" s="49" t="str">
        <f aca="false">IF(N($R31)=0,"","2202")</f>
        <v/>
      </c>
      <c r="Z31" s="48" t="str">
        <f aca="false">IF(N($R31)=0,"",$R31)</f>
        <v/>
      </c>
      <c r="AA31" s="49" t="str">
        <f aca="false">IF(AND($D31=供应商对账单!$B$3,$B31&gt;=供应商对账单!$E$3,$B31&lt;=供应商对账单!$H$3),COUNTIFS($D$5:$D31,供应商对账单!$B$3,$B$5:$B31,"&gt;="&amp;供应商对账单!$E$3,$B$5:$B31,"&lt;="&amp;供应商对账单!$H$3),"")</f>
        <v/>
      </c>
    </row>
    <row r="32" customFormat="false" ht="15.75" hidden="false" customHeight="true" outlineLevel="0" collapsed="false">
      <c r="A32" s="42" t="str">
        <f aca="false">IF($B32="","","CG"&amp;TEXT($B32,"yyyymm")&amp;"-"&amp;TEXT(ROW()-4,"000"))</f>
        <v/>
      </c>
      <c r="B32" s="41"/>
      <c r="C32" s="42" t="str">
        <f aca="false">IF($B32="","",TEXT($B32,"yyyy-mm"))</f>
        <v/>
      </c>
      <c r="D32" s="32"/>
      <c r="E32" s="36"/>
      <c r="F32" s="43"/>
      <c r="G32" s="40"/>
      <c r="H32" s="51"/>
      <c r="I32" s="33"/>
      <c r="J32" s="31"/>
      <c r="K32" s="33"/>
      <c r="L32" s="33"/>
      <c r="M32" s="36"/>
      <c r="N32" s="47" t="str">
        <f aca="false">IF($B32="","",IF(NOT(ISNUMBER($B32)),"日期不是日期格式",IF(YEAR($B32)&lt;&gt;首页!$B$3,"不在会计年度",IF($D32="","未选供应商",IF(ISNA(MATCH($D32,基础资料!$AF$6:$AF$155,0)),"供应商不在档案",IF($E32="","未填商品或内容",IF(NOT(ISNUMBER($F32)),"数量须为数字",IF(NOT(ISNUMBER($G32)),"单价须为数字",IF(N($F32)&lt;=0,"数量须大于0",IF($I32="","请选是否入库",IF(AND($I32="是",ISNA(MATCH($E32,基础资料!$Q$6:$Q$205,0))),"入库商品必须在商品档案中",IF(AND($I32="否",$J32&lt;&gt;"",ISNA(MATCH($J32,科目参数!$A$6:$A$125,0))),"费用科目不存在","√"))))))))))))</f>
        <v/>
      </c>
      <c r="O32" s="49" t="str">
        <f aca="false">IF($E32="","",IFERROR(INDEX(基础资料!$R$6:$R$205,MATCH($E32,基础资料!$Q$6:$Q$205,0)),""))</f>
        <v/>
      </c>
      <c r="P32" s="49" t="str">
        <f aca="false">IF($E32="","",IFERROR(INDEX(基础资料!$S$6:$S$205,MATCH($E32,基础资料!$Q$6:$Q$205,0)),""))</f>
        <v/>
      </c>
      <c r="Q32" s="48" t="str">
        <f aca="false">IF(OR($F32="",$G32=""),"",ROUND(N($F32)*N($G32),2))</f>
        <v/>
      </c>
      <c r="R32" s="48" t="str">
        <f aca="false">IF($Q32="","",ROUND(N($Q32)*N($H32),2))</f>
        <v/>
      </c>
      <c r="S32" s="48" t="str">
        <f aca="false">IF($Q32="","",N($Q32)+N($R32))</f>
        <v/>
      </c>
      <c r="T32" s="52" t="str">
        <f aca="false">IF(OR($B32="",$D32=""),"",$B32+N(IFERROR(INDEX(基础资料!$AH$6:$AH$155,MATCH($D32,基础资料!$AF$6:$AF$155,0)),0)))</f>
        <v/>
      </c>
      <c r="U32" s="49" t="str">
        <f aca="false">IF($Q32="","",IF($I32="是","1405",IF($J32="","6602",$J32)))</f>
        <v/>
      </c>
      <c r="V32" s="49" t="str">
        <f aca="false">IF($Q32="","","2202")</f>
        <v/>
      </c>
      <c r="W32" s="48" t="str">
        <f aca="false">IF($Q32="","",$Q32)</f>
        <v/>
      </c>
      <c r="X32" s="49" t="str">
        <f aca="false">IF(N($R32)=0,"","2221")</f>
        <v/>
      </c>
      <c r="Y32" s="49" t="str">
        <f aca="false">IF(N($R32)=0,"","2202")</f>
        <v/>
      </c>
      <c r="Z32" s="48" t="str">
        <f aca="false">IF(N($R32)=0,"",$R32)</f>
        <v/>
      </c>
      <c r="AA32" s="49" t="str">
        <f aca="false">IF(AND($D32=供应商对账单!$B$3,$B32&gt;=供应商对账单!$E$3,$B32&lt;=供应商对账单!$H$3),COUNTIFS($D$5:$D32,供应商对账单!$B$3,$B$5:$B32,"&gt;="&amp;供应商对账单!$E$3,$B$5:$B32,"&lt;="&amp;供应商对账单!$H$3),"")</f>
        <v/>
      </c>
    </row>
    <row r="33" customFormat="false" ht="15.75" hidden="false" customHeight="true" outlineLevel="0" collapsed="false">
      <c r="A33" s="42" t="str">
        <f aca="false">IF($B33="","","CG"&amp;TEXT($B33,"yyyymm")&amp;"-"&amp;TEXT(ROW()-4,"000"))</f>
        <v/>
      </c>
      <c r="B33" s="41"/>
      <c r="C33" s="42" t="str">
        <f aca="false">IF($B33="","",TEXT($B33,"yyyy-mm"))</f>
        <v/>
      </c>
      <c r="D33" s="32"/>
      <c r="E33" s="36"/>
      <c r="F33" s="43"/>
      <c r="G33" s="40"/>
      <c r="H33" s="51"/>
      <c r="I33" s="33"/>
      <c r="J33" s="31"/>
      <c r="K33" s="33"/>
      <c r="L33" s="33"/>
      <c r="M33" s="36"/>
      <c r="N33" s="47" t="str">
        <f aca="false">IF($B33="","",IF(NOT(ISNUMBER($B33)),"日期不是日期格式",IF(YEAR($B33)&lt;&gt;首页!$B$3,"不在会计年度",IF($D33="","未选供应商",IF(ISNA(MATCH($D33,基础资料!$AF$6:$AF$155,0)),"供应商不在档案",IF($E33="","未填商品或内容",IF(NOT(ISNUMBER($F33)),"数量须为数字",IF(NOT(ISNUMBER($G33)),"单价须为数字",IF(N($F33)&lt;=0,"数量须大于0",IF($I33="","请选是否入库",IF(AND($I33="是",ISNA(MATCH($E33,基础资料!$Q$6:$Q$205,0))),"入库商品必须在商品档案中",IF(AND($I33="否",$J33&lt;&gt;"",ISNA(MATCH($J33,科目参数!$A$6:$A$125,0))),"费用科目不存在","√"))))))))))))</f>
        <v/>
      </c>
      <c r="O33" s="49" t="str">
        <f aca="false">IF($E33="","",IFERROR(INDEX(基础资料!$R$6:$R$205,MATCH($E33,基础资料!$Q$6:$Q$205,0)),""))</f>
        <v/>
      </c>
      <c r="P33" s="49" t="str">
        <f aca="false">IF($E33="","",IFERROR(INDEX(基础资料!$S$6:$S$205,MATCH($E33,基础资料!$Q$6:$Q$205,0)),""))</f>
        <v/>
      </c>
      <c r="Q33" s="48" t="str">
        <f aca="false">IF(OR($F33="",$G33=""),"",ROUND(N($F33)*N($G33),2))</f>
        <v/>
      </c>
      <c r="R33" s="48" t="str">
        <f aca="false">IF($Q33="","",ROUND(N($Q33)*N($H33),2))</f>
        <v/>
      </c>
      <c r="S33" s="48" t="str">
        <f aca="false">IF($Q33="","",N($Q33)+N($R33))</f>
        <v/>
      </c>
      <c r="T33" s="52" t="str">
        <f aca="false">IF(OR($B33="",$D33=""),"",$B33+N(IFERROR(INDEX(基础资料!$AH$6:$AH$155,MATCH($D33,基础资料!$AF$6:$AF$155,0)),0)))</f>
        <v/>
      </c>
      <c r="U33" s="49" t="str">
        <f aca="false">IF($Q33="","",IF($I33="是","1405",IF($J33="","6602",$J33)))</f>
        <v/>
      </c>
      <c r="V33" s="49" t="str">
        <f aca="false">IF($Q33="","","2202")</f>
        <v/>
      </c>
      <c r="W33" s="48" t="str">
        <f aca="false">IF($Q33="","",$Q33)</f>
        <v/>
      </c>
      <c r="X33" s="49" t="str">
        <f aca="false">IF(N($R33)=0,"","2221")</f>
        <v/>
      </c>
      <c r="Y33" s="49" t="str">
        <f aca="false">IF(N($R33)=0,"","2202")</f>
        <v/>
      </c>
      <c r="Z33" s="48" t="str">
        <f aca="false">IF(N($R33)=0,"",$R33)</f>
        <v/>
      </c>
      <c r="AA33" s="49" t="str">
        <f aca="false">IF(AND($D33=供应商对账单!$B$3,$B33&gt;=供应商对账单!$E$3,$B33&lt;=供应商对账单!$H$3),COUNTIFS($D$5:$D33,供应商对账单!$B$3,$B$5:$B33,"&gt;="&amp;供应商对账单!$E$3,$B$5:$B33,"&lt;="&amp;供应商对账单!$H$3),"")</f>
        <v/>
      </c>
    </row>
    <row r="34" customFormat="false" ht="15.75" hidden="false" customHeight="true" outlineLevel="0" collapsed="false">
      <c r="A34" s="42" t="str">
        <f aca="false">IF($B34="","","CG"&amp;TEXT($B34,"yyyymm")&amp;"-"&amp;TEXT(ROW()-4,"000"))</f>
        <v/>
      </c>
      <c r="B34" s="41"/>
      <c r="C34" s="42" t="str">
        <f aca="false">IF($B34="","",TEXT($B34,"yyyy-mm"))</f>
        <v/>
      </c>
      <c r="D34" s="32"/>
      <c r="E34" s="36"/>
      <c r="F34" s="43"/>
      <c r="G34" s="40"/>
      <c r="H34" s="51"/>
      <c r="I34" s="33"/>
      <c r="J34" s="31"/>
      <c r="K34" s="33"/>
      <c r="L34" s="33"/>
      <c r="M34" s="36"/>
      <c r="N34" s="47" t="str">
        <f aca="false">IF($B34="","",IF(NOT(ISNUMBER($B34)),"日期不是日期格式",IF(YEAR($B34)&lt;&gt;首页!$B$3,"不在会计年度",IF($D34="","未选供应商",IF(ISNA(MATCH($D34,基础资料!$AF$6:$AF$155,0)),"供应商不在档案",IF($E34="","未填商品或内容",IF(NOT(ISNUMBER($F34)),"数量须为数字",IF(NOT(ISNUMBER($G34)),"单价须为数字",IF(N($F34)&lt;=0,"数量须大于0",IF($I34="","请选是否入库",IF(AND($I34="是",ISNA(MATCH($E34,基础资料!$Q$6:$Q$205,0))),"入库商品必须在商品档案中",IF(AND($I34="否",$J34&lt;&gt;"",ISNA(MATCH($J34,科目参数!$A$6:$A$125,0))),"费用科目不存在","√"))))))))))))</f>
        <v/>
      </c>
      <c r="O34" s="49" t="str">
        <f aca="false">IF($E34="","",IFERROR(INDEX(基础资料!$R$6:$R$205,MATCH($E34,基础资料!$Q$6:$Q$205,0)),""))</f>
        <v/>
      </c>
      <c r="P34" s="49" t="str">
        <f aca="false">IF($E34="","",IFERROR(INDEX(基础资料!$S$6:$S$205,MATCH($E34,基础资料!$Q$6:$Q$205,0)),""))</f>
        <v/>
      </c>
      <c r="Q34" s="48" t="str">
        <f aca="false">IF(OR($F34="",$G34=""),"",ROUND(N($F34)*N($G34),2))</f>
        <v/>
      </c>
      <c r="R34" s="48" t="str">
        <f aca="false">IF($Q34="","",ROUND(N($Q34)*N($H34),2))</f>
        <v/>
      </c>
      <c r="S34" s="48" t="str">
        <f aca="false">IF($Q34="","",N($Q34)+N($R34))</f>
        <v/>
      </c>
      <c r="T34" s="52" t="str">
        <f aca="false">IF(OR($B34="",$D34=""),"",$B34+N(IFERROR(INDEX(基础资料!$AH$6:$AH$155,MATCH($D34,基础资料!$AF$6:$AF$155,0)),0)))</f>
        <v/>
      </c>
      <c r="U34" s="49" t="str">
        <f aca="false">IF($Q34="","",IF($I34="是","1405",IF($J34="","6602",$J34)))</f>
        <v/>
      </c>
      <c r="V34" s="49" t="str">
        <f aca="false">IF($Q34="","","2202")</f>
        <v/>
      </c>
      <c r="W34" s="48" t="str">
        <f aca="false">IF($Q34="","",$Q34)</f>
        <v/>
      </c>
      <c r="X34" s="49" t="str">
        <f aca="false">IF(N($R34)=0,"","2221")</f>
        <v/>
      </c>
      <c r="Y34" s="49" t="str">
        <f aca="false">IF(N($R34)=0,"","2202")</f>
        <v/>
      </c>
      <c r="Z34" s="48" t="str">
        <f aca="false">IF(N($R34)=0,"",$R34)</f>
        <v/>
      </c>
      <c r="AA34" s="49" t="str">
        <f aca="false">IF(AND($D34=供应商对账单!$B$3,$B34&gt;=供应商对账单!$E$3,$B34&lt;=供应商对账单!$H$3),COUNTIFS($D$5:$D34,供应商对账单!$B$3,$B$5:$B34,"&gt;="&amp;供应商对账单!$E$3,$B$5:$B34,"&lt;="&amp;供应商对账单!$H$3),"")</f>
        <v/>
      </c>
    </row>
    <row r="35" customFormat="false" ht="15.75" hidden="false" customHeight="true" outlineLevel="0" collapsed="false">
      <c r="A35" s="42" t="str">
        <f aca="false">IF($B35="","","CG"&amp;TEXT($B35,"yyyymm")&amp;"-"&amp;TEXT(ROW()-4,"000"))</f>
        <v/>
      </c>
      <c r="B35" s="41"/>
      <c r="C35" s="42" t="str">
        <f aca="false">IF($B35="","",TEXT($B35,"yyyy-mm"))</f>
        <v/>
      </c>
      <c r="D35" s="32"/>
      <c r="E35" s="36"/>
      <c r="F35" s="43"/>
      <c r="G35" s="40"/>
      <c r="H35" s="51"/>
      <c r="I35" s="33"/>
      <c r="J35" s="31"/>
      <c r="K35" s="33"/>
      <c r="L35" s="33"/>
      <c r="M35" s="36"/>
      <c r="N35" s="47" t="str">
        <f aca="false">IF($B35="","",IF(NOT(ISNUMBER($B35)),"日期不是日期格式",IF(YEAR($B35)&lt;&gt;首页!$B$3,"不在会计年度",IF($D35="","未选供应商",IF(ISNA(MATCH($D35,基础资料!$AF$6:$AF$155,0)),"供应商不在档案",IF($E35="","未填商品或内容",IF(NOT(ISNUMBER($F35)),"数量须为数字",IF(NOT(ISNUMBER($G35)),"单价须为数字",IF(N($F35)&lt;=0,"数量须大于0",IF($I35="","请选是否入库",IF(AND($I35="是",ISNA(MATCH($E35,基础资料!$Q$6:$Q$205,0))),"入库商品必须在商品档案中",IF(AND($I35="否",$J35&lt;&gt;"",ISNA(MATCH($J35,科目参数!$A$6:$A$125,0))),"费用科目不存在","√"))))))))))))</f>
        <v/>
      </c>
      <c r="O35" s="49" t="str">
        <f aca="false">IF($E35="","",IFERROR(INDEX(基础资料!$R$6:$R$205,MATCH($E35,基础资料!$Q$6:$Q$205,0)),""))</f>
        <v/>
      </c>
      <c r="P35" s="49" t="str">
        <f aca="false">IF($E35="","",IFERROR(INDEX(基础资料!$S$6:$S$205,MATCH($E35,基础资料!$Q$6:$Q$205,0)),""))</f>
        <v/>
      </c>
      <c r="Q35" s="48" t="str">
        <f aca="false">IF(OR($F35="",$G35=""),"",ROUND(N($F35)*N($G35),2))</f>
        <v/>
      </c>
      <c r="R35" s="48" t="str">
        <f aca="false">IF($Q35="","",ROUND(N($Q35)*N($H35),2))</f>
        <v/>
      </c>
      <c r="S35" s="48" t="str">
        <f aca="false">IF($Q35="","",N($Q35)+N($R35))</f>
        <v/>
      </c>
      <c r="T35" s="52" t="str">
        <f aca="false">IF(OR($B35="",$D35=""),"",$B35+N(IFERROR(INDEX(基础资料!$AH$6:$AH$155,MATCH($D35,基础资料!$AF$6:$AF$155,0)),0)))</f>
        <v/>
      </c>
      <c r="U35" s="49" t="str">
        <f aca="false">IF($Q35="","",IF($I35="是","1405",IF($J35="","6602",$J35)))</f>
        <v/>
      </c>
      <c r="V35" s="49" t="str">
        <f aca="false">IF($Q35="","","2202")</f>
        <v/>
      </c>
      <c r="W35" s="48" t="str">
        <f aca="false">IF($Q35="","",$Q35)</f>
        <v/>
      </c>
      <c r="X35" s="49" t="str">
        <f aca="false">IF(N($R35)=0,"","2221")</f>
        <v/>
      </c>
      <c r="Y35" s="49" t="str">
        <f aca="false">IF(N($R35)=0,"","2202")</f>
        <v/>
      </c>
      <c r="Z35" s="48" t="str">
        <f aca="false">IF(N($R35)=0,"",$R35)</f>
        <v/>
      </c>
      <c r="AA35" s="49" t="str">
        <f aca="false">IF(AND($D35=供应商对账单!$B$3,$B35&gt;=供应商对账单!$E$3,$B35&lt;=供应商对账单!$H$3),COUNTIFS($D$5:$D35,供应商对账单!$B$3,$B$5:$B35,"&gt;="&amp;供应商对账单!$E$3,$B$5:$B35,"&lt;="&amp;供应商对账单!$H$3),"")</f>
        <v/>
      </c>
    </row>
    <row r="36" customFormat="false" ht="15.75" hidden="false" customHeight="true" outlineLevel="0" collapsed="false">
      <c r="A36" s="42" t="str">
        <f aca="false">IF($B36="","","CG"&amp;TEXT($B36,"yyyymm")&amp;"-"&amp;TEXT(ROW()-4,"000"))</f>
        <v/>
      </c>
      <c r="B36" s="41"/>
      <c r="C36" s="42" t="str">
        <f aca="false">IF($B36="","",TEXT($B36,"yyyy-mm"))</f>
        <v/>
      </c>
      <c r="D36" s="32"/>
      <c r="E36" s="36"/>
      <c r="F36" s="43"/>
      <c r="G36" s="40"/>
      <c r="H36" s="51"/>
      <c r="I36" s="33"/>
      <c r="J36" s="31"/>
      <c r="K36" s="33"/>
      <c r="L36" s="33"/>
      <c r="M36" s="36"/>
      <c r="N36" s="47" t="str">
        <f aca="false">IF($B36="","",IF(NOT(ISNUMBER($B36)),"日期不是日期格式",IF(YEAR($B36)&lt;&gt;首页!$B$3,"不在会计年度",IF($D36="","未选供应商",IF(ISNA(MATCH($D36,基础资料!$AF$6:$AF$155,0)),"供应商不在档案",IF($E36="","未填商品或内容",IF(NOT(ISNUMBER($F36)),"数量须为数字",IF(NOT(ISNUMBER($G36)),"单价须为数字",IF(N($F36)&lt;=0,"数量须大于0",IF($I36="","请选是否入库",IF(AND($I36="是",ISNA(MATCH($E36,基础资料!$Q$6:$Q$205,0))),"入库商品必须在商品档案中",IF(AND($I36="否",$J36&lt;&gt;"",ISNA(MATCH($J36,科目参数!$A$6:$A$125,0))),"费用科目不存在","√"))))))))))))</f>
        <v/>
      </c>
      <c r="O36" s="49" t="str">
        <f aca="false">IF($E36="","",IFERROR(INDEX(基础资料!$R$6:$R$205,MATCH($E36,基础资料!$Q$6:$Q$205,0)),""))</f>
        <v/>
      </c>
      <c r="P36" s="49" t="str">
        <f aca="false">IF($E36="","",IFERROR(INDEX(基础资料!$S$6:$S$205,MATCH($E36,基础资料!$Q$6:$Q$205,0)),""))</f>
        <v/>
      </c>
      <c r="Q36" s="48" t="str">
        <f aca="false">IF(OR($F36="",$G36=""),"",ROUND(N($F36)*N($G36),2))</f>
        <v/>
      </c>
      <c r="R36" s="48" t="str">
        <f aca="false">IF($Q36="","",ROUND(N($Q36)*N($H36),2))</f>
        <v/>
      </c>
      <c r="S36" s="48" t="str">
        <f aca="false">IF($Q36="","",N($Q36)+N($R36))</f>
        <v/>
      </c>
      <c r="T36" s="52" t="str">
        <f aca="false">IF(OR($B36="",$D36=""),"",$B36+N(IFERROR(INDEX(基础资料!$AH$6:$AH$155,MATCH($D36,基础资料!$AF$6:$AF$155,0)),0)))</f>
        <v/>
      </c>
      <c r="U36" s="49" t="str">
        <f aca="false">IF($Q36="","",IF($I36="是","1405",IF($J36="","6602",$J36)))</f>
        <v/>
      </c>
      <c r="V36" s="49" t="str">
        <f aca="false">IF($Q36="","","2202")</f>
        <v/>
      </c>
      <c r="W36" s="48" t="str">
        <f aca="false">IF($Q36="","",$Q36)</f>
        <v/>
      </c>
      <c r="X36" s="49" t="str">
        <f aca="false">IF(N($R36)=0,"","2221")</f>
        <v/>
      </c>
      <c r="Y36" s="49" t="str">
        <f aca="false">IF(N($R36)=0,"","2202")</f>
        <v/>
      </c>
      <c r="Z36" s="48" t="str">
        <f aca="false">IF(N($R36)=0,"",$R36)</f>
        <v/>
      </c>
      <c r="AA36" s="49" t="str">
        <f aca="false">IF(AND($D36=供应商对账单!$B$3,$B36&gt;=供应商对账单!$E$3,$B36&lt;=供应商对账单!$H$3),COUNTIFS($D$5:$D36,供应商对账单!$B$3,$B$5:$B36,"&gt;="&amp;供应商对账单!$E$3,$B$5:$B36,"&lt;="&amp;供应商对账单!$H$3),"")</f>
        <v/>
      </c>
    </row>
    <row r="37" customFormat="false" ht="15.75" hidden="false" customHeight="true" outlineLevel="0" collapsed="false">
      <c r="A37" s="42" t="str">
        <f aca="false">IF($B37="","","CG"&amp;TEXT($B37,"yyyymm")&amp;"-"&amp;TEXT(ROW()-4,"000"))</f>
        <v/>
      </c>
      <c r="B37" s="41"/>
      <c r="C37" s="42" t="str">
        <f aca="false">IF($B37="","",TEXT($B37,"yyyy-mm"))</f>
        <v/>
      </c>
      <c r="D37" s="32"/>
      <c r="E37" s="36"/>
      <c r="F37" s="43"/>
      <c r="G37" s="40"/>
      <c r="H37" s="51"/>
      <c r="I37" s="33"/>
      <c r="J37" s="31"/>
      <c r="K37" s="33"/>
      <c r="L37" s="33"/>
      <c r="M37" s="36"/>
      <c r="N37" s="47" t="str">
        <f aca="false">IF($B37="","",IF(NOT(ISNUMBER($B37)),"日期不是日期格式",IF(YEAR($B37)&lt;&gt;首页!$B$3,"不在会计年度",IF($D37="","未选供应商",IF(ISNA(MATCH($D37,基础资料!$AF$6:$AF$155,0)),"供应商不在档案",IF($E37="","未填商品或内容",IF(NOT(ISNUMBER($F37)),"数量须为数字",IF(NOT(ISNUMBER($G37)),"单价须为数字",IF(N($F37)&lt;=0,"数量须大于0",IF($I37="","请选是否入库",IF(AND($I37="是",ISNA(MATCH($E37,基础资料!$Q$6:$Q$205,0))),"入库商品必须在商品档案中",IF(AND($I37="否",$J37&lt;&gt;"",ISNA(MATCH($J37,科目参数!$A$6:$A$125,0))),"费用科目不存在","√"))))))))))))</f>
        <v/>
      </c>
      <c r="O37" s="49" t="str">
        <f aca="false">IF($E37="","",IFERROR(INDEX(基础资料!$R$6:$R$205,MATCH($E37,基础资料!$Q$6:$Q$205,0)),""))</f>
        <v/>
      </c>
      <c r="P37" s="49" t="str">
        <f aca="false">IF($E37="","",IFERROR(INDEX(基础资料!$S$6:$S$205,MATCH($E37,基础资料!$Q$6:$Q$205,0)),""))</f>
        <v/>
      </c>
      <c r="Q37" s="48" t="str">
        <f aca="false">IF(OR($F37="",$G37=""),"",ROUND(N($F37)*N($G37),2))</f>
        <v/>
      </c>
      <c r="R37" s="48" t="str">
        <f aca="false">IF($Q37="","",ROUND(N($Q37)*N($H37),2))</f>
        <v/>
      </c>
      <c r="S37" s="48" t="str">
        <f aca="false">IF($Q37="","",N($Q37)+N($R37))</f>
        <v/>
      </c>
      <c r="T37" s="52" t="str">
        <f aca="false">IF(OR($B37="",$D37=""),"",$B37+N(IFERROR(INDEX(基础资料!$AH$6:$AH$155,MATCH($D37,基础资料!$AF$6:$AF$155,0)),0)))</f>
        <v/>
      </c>
      <c r="U37" s="49" t="str">
        <f aca="false">IF($Q37="","",IF($I37="是","1405",IF($J37="","6602",$J37)))</f>
        <v/>
      </c>
      <c r="V37" s="49" t="str">
        <f aca="false">IF($Q37="","","2202")</f>
        <v/>
      </c>
      <c r="W37" s="48" t="str">
        <f aca="false">IF($Q37="","",$Q37)</f>
        <v/>
      </c>
      <c r="X37" s="49" t="str">
        <f aca="false">IF(N($R37)=0,"","2221")</f>
        <v/>
      </c>
      <c r="Y37" s="49" t="str">
        <f aca="false">IF(N($R37)=0,"","2202")</f>
        <v/>
      </c>
      <c r="Z37" s="48" t="str">
        <f aca="false">IF(N($R37)=0,"",$R37)</f>
        <v/>
      </c>
      <c r="AA37" s="49" t="str">
        <f aca="false">IF(AND($D37=供应商对账单!$B$3,$B37&gt;=供应商对账单!$E$3,$B37&lt;=供应商对账单!$H$3),COUNTIFS($D$5:$D37,供应商对账单!$B$3,$B$5:$B37,"&gt;="&amp;供应商对账单!$E$3,$B$5:$B37,"&lt;="&amp;供应商对账单!$H$3),"")</f>
        <v/>
      </c>
    </row>
    <row r="38" customFormat="false" ht="15.75" hidden="false" customHeight="true" outlineLevel="0" collapsed="false">
      <c r="A38" s="42" t="str">
        <f aca="false">IF($B38="","","CG"&amp;TEXT($B38,"yyyymm")&amp;"-"&amp;TEXT(ROW()-4,"000"))</f>
        <v/>
      </c>
      <c r="B38" s="41"/>
      <c r="C38" s="42" t="str">
        <f aca="false">IF($B38="","",TEXT($B38,"yyyy-mm"))</f>
        <v/>
      </c>
      <c r="D38" s="32"/>
      <c r="E38" s="36"/>
      <c r="F38" s="43"/>
      <c r="G38" s="40"/>
      <c r="H38" s="51"/>
      <c r="I38" s="33"/>
      <c r="J38" s="31"/>
      <c r="K38" s="33"/>
      <c r="L38" s="33"/>
      <c r="M38" s="36"/>
      <c r="N38" s="47" t="str">
        <f aca="false">IF($B38="","",IF(NOT(ISNUMBER($B38)),"日期不是日期格式",IF(YEAR($B38)&lt;&gt;首页!$B$3,"不在会计年度",IF($D38="","未选供应商",IF(ISNA(MATCH($D38,基础资料!$AF$6:$AF$155,0)),"供应商不在档案",IF($E38="","未填商品或内容",IF(NOT(ISNUMBER($F38)),"数量须为数字",IF(NOT(ISNUMBER($G38)),"单价须为数字",IF(N($F38)&lt;=0,"数量须大于0",IF($I38="","请选是否入库",IF(AND($I38="是",ISNA(MATCH($E38,基础资料!$Q$6:$Q$205,0))),"入库商品必须在商品档案中",IF(AND($I38="否",$J38&lt;&gt;"",ISNA(MATCH($J38,科目参数!$A$6:$A$125,0))),"费用科目不存在","√"))))))))))))</f>
        <v/>
      </c>
      <c r="O38" s="49" t="str">
        <f aca="false">IF($E38="","",IFERROR(INDEX(基础资料!$R$6:$R$205,MATCH($E38,基础资料!$Q$6:$Q$205,0)),""))</f>
        <v/>
      </c>
      <c r="P38" s="49" t="str">
        <f aca="false">IF($E38="","",IFERROR(INDEX(基础资料!$S$6:$S$205,MATCH($E38,基础资料!$Q$6:$Q$205,0)),""))</f>
        <v/>
      </c>
      <c r="Q38" s="48" t="str">
        <f aca="false">IF(OR($F38="",$G38=""),"",ROUND(N($F38)*N($G38),2))</f>
        <v/>
      </c>
      <c r="R38" s="48" t="str">
        <f aca="false">IF($Q38="","",ROUND(N($Q38)*N($H38),2))</f>
        <v/>
      </c>
      <c r="S38" s="48" t="str">
        <f aca="false">IF($Q38="","",N($Q38)+N($R38))</f>
        <v/>
      </c>
      <c r="T38" s="52" t="str">
        <f aca="false">IF(OR($B38="",$D38=""),"",$B38+N(IFERROR(INDEX(基础资料!$AH$6:$AH$155,MATCH($D38,基础资料!$AF$6:$AF$155,0)),0)))</f>
        <v/>
      </c>
      <c r="U38" s="49" t="str">
        <f aca="false">IF($Q38="","",IF($I38="是","1405",IF($J38="","6602",$J38)))</f>
        <v/>
      </c>
      <c r="V38" s="49" t="str">
        <f aca="false">IF($Q38="","","2202")</f>
        <v/>
      </c>
      <c r="W38" s="48" t="str">
        <f aca="false">IF($Q38="","",$Q38)</f>
        <v/>
      </c>
      <c r="X38" s="49" t="str">
        <f aca="false">IF(N($R38)=0,"","2221")</f>
        <v/>
      </c>
      <c r="Y38" s="49" t="str">
        <f aca="false">IF(N($R38)=0,"","2202")</f>
        <v/>
      </c>
      <c r="Z38" s="48" t="str">
        <f aca="false">IF(N($R38)=0,"",$R38)</f>
        <v/>
      </c>
      <c r="AA38" s="49" t="str">
        <f aca="false">IF(AND($D38=供应商对账单!$B$3,$B38&gt;=供应商对账单!$E$3,$B38&lt;=供应商对账单!$H$3),COUNTIFS($D$5:$D38,供应商对账单!$B$3,$B$5:$B38,"&gt;="&amp;供应商对账单!$E$3,$B$5:$B38,"&lt;="&amp;供应商对账单!$H$3),"")</f>
        <v/>
      </c>
    </row>
    <row r="39" customFormat="false" ht="15.75" hidden="false" customHeight="true" outlineLevel="0" collapsed="false">
      <c r="A39" s="42" t="str">
        <f aca="false">IF($B39="","","CG"&amp;TEXT($B39,"yyyymm")&amp;"-"&amp;TEXT(ROW()-4,"000"))</f>
        <v/>
      </c>
      <c r="B39" s="41"/>
      <c r="C39" s="42" t="str">
        <f aca="false">IF($B39="","",TEXT($B39,"yyyy-mm"))</f>
        <v/>
      </c>
      <c r="D39" s="32"/>
      <c r="E39" s="36"/>
      <c r="F39" s="43"/>
      <c r="G39" s="40"/>
      <c r="H39" s="51"/>
      <c r="I39" s="33"/>
      <c r="J39" s="31"/>
      <c r="K39" s="33"/>
      <c r="L39" s="33"/>
      <c r="M39" s="36"/>
      <c r="N39" s="47" t="str">
        <f aca="false">IF($B39="","",IF(NOT(ISNUMBER($B39)),"日期不是日期格式",IF(YEAR($B39)&lt;&gt;首页!$B$3,"不在会计年度",IF($D39="","未选供应商",IF(ISNA(MATCH($D39,基础资料!$AF$6:$AF$155,0)),"供应商不在档案",IF($E39="","未填商品或内容",IF(NOT(ISNUMBER($F39)),"数量须为数字",IF(NOT(ISNUMBER($G39)),"单价须为数字",IF(N($F39)&lt;=0,"数量须大于0",IF($I39="","请选是否入库",IF(AND($I39="是",ISNA(MATCH($E39,基础资料!$Q$6:$Q$205,0))),"入库商品必须在商品档案中",IF(AND($I39="否",$J39&lt;&gt;"",ISNA(MATCH($J39,科目参数!$A$6:$A$125,0))),"费用科目不存在","√"))))))))))))</f>
        <v/>
      </c>
      <c r="O39" s="49" t="str">
        <f aca="false">IF($E39="","",IFERROR(INDEX(基础资料!$R$6:$R$205,MATCH($E39,基础资料!$Q$6:$Q$205,0)),""))</f>
        <v/>
      </c>
      <c r="P39" s="49" t="str">
        <f aca="false">IF($E39="","",IFERROR(INDEX(基础资料!$S$6:$S$205,MATCH($E39,基础资料!$Q$6:$Q$205,0)),""))</f>
        <v/>
      </c>
      <c r="Q39" s="48" t="str">
        <f aca="false">IF(OR($F39="",$G39=""),"",ROUND(N($F39)*N($G39),2))</f>
        <v/>
      </c>
      <c r="R39" s="48" t="str">
        <f aca="false">IF($Q39="","",ROUND(N($Q39)*N($H39),2))</f>
        <v/>
      </c>
      <c r="S39" s="48" t="str">
        <f aca="false">IF($Q39="","",N($Q39)+N($R39))</f>
        <v/>
      </c>
      <c r="T39" s="52" t="str">
        <f aca="false">IF(OR($B39="",$D39=""),"",$B39+N(IFERROR(INDEX(基础资料!$AH$6:$AH$155,MATCH($D39,基础资料!$AF$6:$AF$155,0)),0)))</f>
        <v/>
      </c>
      <c r="U39" s="49" t="str">
        <f aca="false">IF($Q39="","",IF($I39="是","1405",IF($J39="","6602",$J39)))</f>
        <v/>
      </c>
      <c r="V39" s="49" t="str">
        <f aca="false">IF($Q39="","","2202")</f>
        <v/>
      </c>
      <c r="W39" s="48" t="str">
        <f aca="false">IF($Q39="","",$Q39)</f>
        <v/>
      </c>
      <c r="X39" s="49" t="str">
        <f aca="false">IF(N($R39)=0,"","2221")</f>
        <v/>
      </c>
      <c r="Y39" s="49" t="str">
        <f aca="false">IF(N($R39)=0,"","2202")</f>
        <v/>
      </c>
      <c r="Z39" s="48" t="str">
        <f aca="false">IF(N($R39)=0,"",$R39)</f>
        <v/>
      </c>
      <c r="AA39" s="49" t="str">
        <f aca="false">IF(AND($D39=供应商对账单!$B$3,$B39&gt;=供应商对账单!$E$3,$B39&lt;=供应商对账单!$H$3),COUNTIFS($D$5:$D39,供应商对账单!$B$3,$B$5:$B39,"&gt;="&amp;供应商对账单!$E$3,$B$5:$B39,"&lt;="&amp;供应商对账单!$H$3),"")</f>
        <v/>
      </c>
    </row>
    <row r="40" customFormat="false" ht="15.75" hidden="false" customHeight="true" outlineLevel="0" collapsed="false">
      <c r="A40" s="42" t="str">
        <f aca="false">IF($B40="","","CG"&amp;TEXT($B40,"yyyymm")&amp;"-"&amp;TEXT(ROW()-4,"000"))</f>
        <v/>
      </c>
      <c r="B40" s="41"/>
      <c r="C40" s="42" t="str">
        <f aca="false">IF($B40="","",TEXT($B40,"yyyy-mm"))</f>
        <v/>
      </c>
      <c r="D40" s="32"/>
      <c r="E40" s="36"/>
      <c r="F40" s="43"/>
      <c r="G40" s="40"/>
      <c r="H40" s="51"/>
      <c r="I40" s="33"/>
      <c r="J40" s="31"/>
      <c r="K40" s="33"/>
      <c r="L40" s="33"/>
      <c r="M40" s="36"/>
      <c r="N40" s="47" t="str">
        <f aca="false">IF($B40="","",IF(NOT(ISNUMBER($B40)),"日期不是日期格式",IF(YEAR($B40)&lt;&gt;首页!$B$3,"不在会计年度",IF($D40="","未选供应商",IF(ISNA(MATCH($D40,基础资料!$AF$6:$AF$155,0)),"供应商不在档案",IF($E40="","未填商品或内容",IF(NOT(ISNUMBER($F40)),"数量须为数字",IF(NOT(ISNUMBER($G40)),"单价须为数字",IF(N($F40)&lt;=0,"数量须大于0",IF($I40="","请选是否入库",IF(AND($I40="是",ISNA(MATCH($E40,基础资料!$Q$6:$Q$205,0))),"入库商品必须在商品档案中",IF(AND($I40="否",$J40&lt;&gt;"",ISNA(MATCH($J40,科目参数!$A$6:$A$125,0))),"费用科目不存在","√"))))))))))))</f>
        <v/>
      </c>
      <c r="O40" s="49" t="str">
        <f aca="false">IF($E40="","",IFERROR(INDEX(基础资料!$R$6:$R$205,MATCH($E40,基础资料!$Q$6:$Q$205,0)),""))</f>
        <v/>
      </c>
      <c r="P40" s="49" t="str">
        <f aca="false">IF($E40="","",IFERROR(INDEX(基础资料!$S$6:$S$205,MATCH($E40,基础资料!$Q$6:$Q$205,0)),""))</f>
        <v/>
      </c>
      <c r="Q40" s="48" t="str">
        <f aca="false">IF(OR($F40="",$G40=""),"",ROUND(N($F40)*N($G40),2))</f>
        <v/>
      </c>
      <c r="R40" s="48" t="str">
        <f aca="false">IF($Q40="","",ROUND(N($Q40)*N($H40),2))</f>
        <v/>
      </c>
      <c r="S40" s="48" t="str">
        <f aca="false">IF($Q40="","",N($Q40)+N($R40))</f>
        <v/>
      </c>
      <c r="T40" s="52" t="str">
        <f aca="false">IF(OR($B40="",$D40=""),"",$B40+N(IFERROR(INDEX(基础资料!$AH$6:$AH$155,MATCH($D40,基础资料!$AF$6:$AF$155,0)),0)))</f>
        <v/>
      </c>
      <c r="U40" s="49" t="str">
        <f aca="false">IF($Q40="","",IF($I40="是","1405",IF($J40="","6602",$J40)))</f>
        <v/>
      </c>
      <c r="V40" s="49" t="str">
        <f aca="false">IF($Q40="","","2202")</f>
        <v/>
      </c>
      <c r="W40" s="48" t="str">
        <f aca="false">IF($Q40="","",$Q40)</f>
        <v/>
      </c>
      <c r="X40" s="49" t="str">
        <f aca="false">IF(N($R40)=0,"","2221")</f>
        <v/>
      </c>
      <c r="Y40" s="49" t="str">
        <f aca="false">IF(N($R40)=0,"","2202")</f>
        <v/>
      </c>
      <c r="Z40" s="48" t="str">
        <f aca="false">IF(N($R40)=0,"",$R40)</f>
        <v/>
      </c>
      <c r="AA40" s="49" t="str">
        <f aca="false">IF(AND($D40=供应商对账单!$B$3,$B40&gt;=供应商对账单!$E$3,$B40&lt;=供应商对账单!$H$3),COUNTIFS($D$5:$D40,供应商对账单!$B$3,$B$5:$B40,"&gt;="&amp;供应商对账单!$E$3,$B$5:$B40,"&lt;="&amp;供应商对账单!$H$3),"")</f>
        <v/>
      </c>
    </row>
    <row r="41" customFormat="false" ht="15.75" hidden="false" customHeight="true" outlineLevel="0" collapsed="false">
      <c r="A41" s="42" t="str">
        <f aca="false">IF($B41="","","CG"&amp;TEXT($B41,"yyyymm")&amp;"-"&amp;TEXT(ROW()-4,"000"))</f>
        <v/>
      </c>
      <c r="B41" s="41"/>
      <c r="C41" s="42" t="str">
        <f aca="false">IF($B41="","",TEXT($B41,"yyyy-mm"))</f>
        <v/>
      </c>
      <c r="D41" s="32"/>
      <c r="E41" s="36"/>
      <c r="F41" s="43"/>
      <c r="G41" s="40"/>
      <c r="H41" s="51"/>
      <c r="I41" s="33"/>
      <c r="J41" s="31"/>
      <c r="K41" s="33"/>
      <c r="L41" s="33"/>
      <c r="M41" s="36"/>
      <c r="N41" s="47" t="str">
        <f aca="false">IF($B41="","",IF(NOT(ISNUMBER($B41)),"日期不是日期格式",IF(YEAR($B41)&lt;&gt;首页!$B$3,"不在会计年度",IF($D41="","未选供应商",IF(ISNA(MATCH($D41,基础资料!$AF$6:$AF$155,0)),"供应商不在档案",IF($E41="","未填商品或内容",IF(NOT(ISNUMBER($F41)),"数量须为数字",IF(NOT(ISNUMBER($G41)),"单价须为数字",IF(N($F41)&lt;=0,"数量须大于0",IF($I41="","请选是否入库",IF(AND($I41="是",ISNA(MATCH($E41,基础资料!$Q$6:$Q$205,0))),"入库商品必须在商品档案中",IF(AND($I41="否",$J41&lt;&gt;"",ISNA(MATCH($J41,科目参数!$A$6:$A$125,0))),"费用科目不存在","√"))))))))))))</f>
        <v/>
      </c>
      <c r="O41" s="49" t="str">
        <f aca="false">IF($E41="","",IFERROR(INDEX(基础资料!$R$6:$R$205,MATCH($E41,基础资料!$Q$6:$Q$205,0)),""))</f>
        <v/>
      </c>
      <c r="P41" s="49" t="str">
        <f aca="false">IF($E41="","",IFERROR(INDEX(基础资料!$S$6:$S$205,MATCH($E41,基础资料!$Q$6:$Q$205,0)),""))</f>
        <v/>
      </c>
      <c r="Q41" s="48" t="str">
        <f aca="false">IF(OR($F41="",$G41=""),"",ROUND(N($F41)*N($G41),2))</f>
        <v/>
      </c>
      <c r="R41" s="48" t="str">
        <f aca="false">IF($Q41="","",ROUND(N($Q41)*N($H41),2))</f>
        <v/>
      </c>
      <c r="S41" s="48" t="str">
        <f aca="false">IF($Q41="","",N($Q41)+N($R41))</f>
        <v/>
      </c>
      <c r="T41" s="52" t="str">
        <f aca="false">IF(OR($B41="",$D41=""),"",$B41+N(IFERROR(INDEX(基础资料!$AH$6:$AH$155,MATCH($D41,基础资料!$AF$6:$AF$155,0)),0)))</f>
        <v/>
      </c>
      <c r="U41" s="49" t="str">
        <f aca="false">IF($Q41="","",IF($I41="是","1405",IF($J41="","6602",$J41)))</f>
        <v/>
      </c>
      <c r="V41" s="49" t="str">
        <f aca="false">IF($Q41="","","2202")</f>
        <v/>
      </c>
      <c r="W41" s="48" t="str">
        <f aca="false">IF($Q41="","",$Q41)</f>
        <v/>
      </c>
      <c r="X41" s="49" t="str">
        <f aca="false">IF(N($R41)=0,"","2221")</f>
        <v/>
      </c>
      <c r="Y41" s="49" t="str">
        <f aca="false">IF(N($R41)=0,"","2202")</f>
        <v/>
      </c>
      <c r="Z41" s="48" t="str">
        <f aca="false">IF(N($R41)=0,"",$R41)</f>
        <v/>
      </c>
      <c r="AA41" s="49" t="str">
        <f aca="false">IF(AND($D41=供应商对账单!$B$3,$B41&gt;=供应商对账单!$E$3,$B41&lt;=供应商对账单!$H$3),COUNTIFS($D$5:$D41,供应商对账单!$B$3,$B$5:$B41,"&gt;="&amp;供应商对账单!$E$3,$B$5:$B41,"&lt;="&amp;供应商对账单!$H$3),"")</f>
        <v/>
      </c>
    </row>
    <row r="42" customFormat="false" ht="15.75" hidden="false" customHeight="true" outlineLevel="0" collapsed="false">
      <c r="A42" s="42" t="str">
        <f aca="false">IF($B42="","","CG"&amp;TEXT($B42,"yyyymm")&amp;"-"&amp;TEXT(ROW()-4,"000"))</f>
        <v/>
      </c>
      <c r="B42" s="41"/>
      <c r="C42" s="42" t="str">
        <f aca="false">IF($B42="","",TEXT($B42,"yyyy-mm"))</f>
        <v/>
      </c>
      <c r="D42" s="32"/>
      <c r="E42" s="36"/>
      <c r="F42" s="43"/>
      <c r="G42" s="40"/>
      <c r="H42" s="51"/>
      <c r="I42" s="33"/>
      <c r="J42" s="31"/>
      <c r="K42" s="33"/>
      <c r="L42" s="33"/>
      <c r="M42" s="36"/>
      <c r="N42" s="47" t="str">
        <f aca="false">IF($B42="","",IF(NOT(ISNUMBER($B42)),"日期不是日期格式",IF(YEAR($B42)&lt;&gt;首页!$B$3,"不在会计年度",IF($D42="","未选供应商",IF(ISNA(MATCH($D42,基础资料!$AF$6:$AF$155,0)),"供应商不在档案",IF($E42="","未填商品或内容",IF(NOT(ISNUMBER($F42)),"数量须为数字",IF(NOT(ISNUMBER($G42)),"单价须为数字",IF(N($F42)&lt;=0,"数量须大于0",IF($I42="","请选是否入库",IF(AND($I42="是",ISNA(MATCH($E42,基础资料!$Q$6:$Q$205,0))),"入库商品必须在商品档案中",IF(AND($I42="否",$J42&lt;&gt;"",ISNA(MATCH($J42,科目参数!$A$6:$A$125,0))),"费用科目不存在","√"))))))))))))</f>
        <v/>
      </c>
      <c r="O42" s="49" t="str">
        <f aca="false">IF($E42="","",IFERROR(INDEX(基础资料!$R$6:$R$205,MATCH($E42,基础资料!$Q$6:$Q$205,0)),""))</f>
        <v/>
      </c>
      <c r="P42" s="49" t="str">
        <f aca="false">IF($E42="","",IFERROR(INDEX(基础资料!$S$6:$S$205,MATCH($E42,基础资料!$Q$6:$Q$205,0)),""))</f>
        <v/>
      </c>
      <c r="Q42" s="48" t="str">
        <f aca="false">IF(OR($F42="",$G42=""),"",ROUND(N($F42)*N($G42),2))</f>
        <v/>
      </c>
      <c r="R42" s="48" t="str">
        <f aca="false">IF($Q42="","",ROUND(N($Q42)*N($H42),2))</f>
        <v/>
      </c>
      <c r="S42" s="48" t="str">
        <f aca="false">IF($Q42="","",N($Q42)+N($R42))</f>
        <v/>
      </c>
      <c r="T42" s="52" t="str">
        <f aca="false">IF(OR($B42="",$D42=""),"",$B42+N(IFERROR(INDEX(基础资料!$AH$6:$AH$155,MATCH($D42,基础资料!$AF$6:$AF$155,0)),0)))</f>
        <v/>
      </c>
      <c r="U42" s="49" t="str">
        <f aca="false">IF($Q42="","",IF($I42="是","1405",IF($J42="","6602",$J42)))</f>
        <v/>
      </c>
      <c r="V42" s="49" t="str">
        <f aca="false">IF($Q42="","","2202")</f>
        <v/>
      </c>
      <c r="W42" s="48" t="str">
        <f aca="false">IF($Q42="","",$Q42)</f>
        <v/>
      </c>
      <c r="X42" s="49" t="str">
        <f aca="false">IF(N($R42)=0,"","2221")</f>
        <v/>
      </c>
      <c r="Y42" s="49" t="str">
        <f aca="false">IF(N($R42)=0,"","2202")</f>
        <v/>
      </c>
      <c r="Z42" s="48" t="str">
        <f aca="false">IF(N($R42)=0,"",$R42)</f>
        <v/>
      </c>
      <c r="AA42" s="49" t="str">
        <f aca="false">IF(AND($D42=供应商对账单!$B$3,$B42&gt;=供应商对账单!$E$3,$B42&lt;=供应商对账单!$H$3),COUNTIFS($D$5:$D42,供应商对账单!$B$3,$B$5:$B42,"&gt;="&amp;供应商对账单!$E$3,$B$5:$B42,"&lt;="&amp;供应商对账单!$H$3),"")</f>
        <v/>
      </c>
    </row>
    <row r="43" customFormat="false" ht="15.75" hidden="false" customHeight="true" outlineLevel="0" collapsed="false">
      <c r="A43" s="42" t="str">
        <f aca="false">IF($B43="","","CG"&amp;TEXT($B43,"yyyymm")&amp;"-"&amp;TEXT(ROW()-4,"000"))</f>
        <v/>
      </c>
      <c r="B43" s="41"/>
      <c r="C43" s="42" t="str">
        <f aca="false">IF($B43="","",TEXT($B43,"yyyy-mm"))</f>
        <v/>
      </c>
      <c r="D43" s="32"/>
      <c r="E43" s="36"/>
      <c r="F43" s="43"/>
      <c r="G43" s="40"/>
      <c r="H43" s="51"/>
      <c r="I43" s="33"/>
      <c r="J43" s="31"/>
      <c r="K43" s="33"/>
      <c r="L43" s="33"/>
      <c r="M43" s="36"/>
      <c r="N43" s="47" t="str">
        <f aca="false">IF($B43="","",IF(NOT(ISNUMBER($B43)),"日期不是日期格式",IF(YEAR($B43)&lt;&gt;首页!$B$3,"不在会计年度",IF($D43="","未选供应商",IF(ISNA(MATCH($D43,基础资料!$AF$6:$AF$155,0)),"供应商不在档案",IF($E43="","未填商品或内容",IF(NOT(ISNUMBER($F43)),"数量须为数字",IF(NOT(ISNUMBER($G43)),"单价须为数字",IF(N($F43)&lt;=0,"数量须大于0",IF($I43="","请选是否入库",IF(AND($I43="是",ISNA(MATCH($E43,基础资料!$Q$6:$Q$205,0))),"入库商品必须在商品档案中",IF(AND($I43="否",$J43&lt;&gt;"",ISNA(MATCH($J43,科目参数!$A$6:$A$125,0))),"费用科目不存在","√"))))))))))))</f>
        <v/>
      </c>
      <c r="O43" s="49" t="str">
        <f aca="false">IF($E43="","",IFERROR(INDEX(基础资料!$R$6:$R$205,MATCH($E43,基础资料!$Q$6:$Q$205,0)),""))</f>
        <v/>
      </c>
      <c r="P43" s="49" t="str">
        <f aca="false">IF($E43="","",IFERROR(INDEX(基础资料!$S$6:$S$205,MATCH($E43,基础资料!$Q$6:$Q$205,0)),""))</f>
        <v/>
      </c>
      <c r="Q43" s="48" t="str">
        <f aca="false">IF(OR($F43="",$G43=""),"",ROUND(N($F43)*N($G43),2))</f>
        <v/>
      </c>
      <c r="R43" s="48" t="str">
        <f aca="false">IF($Q43="","",ROUND(N($Q43)*N($H43),2))</f>
        <v/>
      </c>
      <c r="S43" s="48" t="str">
        <f aca="false">IF($Q43="","",N($Q43)+N($R43))</f>
        <v/>
      </c>
      <c r="T43" s="52" t="str">
        <f aca="false">IF(OR($B43="",$D43=""),"",$B43+N(IFERROR(INDEX(基础资料!$AH$6:$AH$155,MATCH($D43,基础资料!$AF$6:$AF$155,0)),0)))</f>
        <v/>
      </c>
      <c r="U43" s="49" t="str">
        <f aca="false">IF($Q43="","",IF($I43="是","1405",IF($J43="","6602",$J43)))</f>
        <v/>
      </c>
      <c r="V43" s="49" t="str">
        <f aca="false">IF($Q43="","","2202")</f>
        <v/>
      </c>
      <c r="W43" s="48" t="str">
        <f aca="false">IF($Q43="","",$Q43)</f>
        <v/>
      </c>
      <c r="X43" s="49" t="str">
        <f aca="false">IF(N($R43)=0,"","2221")</f>
        <v/>
      </c>
      <c r="Y43" s="49" t="str">
        <f aca="false">IF(N($R43)=0,"","2202")</f>
        <v/>
      </c>
      <c r="Z43" s="48" t="str">
        <f aca="false">IF(N($R43)=0,"",$R43)</f>
        <v/>
      </c>
      <c r="AA43" s="49" t="str">
        <f aca="false">IF(AND($D43=供应商对账单!$B$3,$B43&gt;=供应商对账单!$E$3,$B43&lt;=供应商对账单!$H$3),COUNTIFS($D$5:$D43,供应商对账单!$B$3,$B$5:$B43,"&gt;="&amp;供应商对账单!$E$3,$B$5:$B43,"&lt;="&amp;供应商对账单!$H$3),"")</f>
        <v/>
      </c>
    </row>
    <row r="44" customFormat="false" ht="15.75" hidden="false" customHeight="true" outlineLevel="0" collapsed="false">
      <c r="A44" s="42" t="str">
        <f aca="false">IF($B44="","","CG"&amp;TEXT($B44,"yyyymm")&amp;"-"&amp;TEXT(ROW()-4,"000"))</f>
        <v/>
      </c>
      <c r="B44" s="41"/>
      <c r="C44" s="42" t="str">
        <f aca="false">IF($B44="","",TEXT($B44,"yyyy-mm"))</f>
        <v/>
      </c>
      <c r="D44" s="32"/>
      <c r="E44" s="36"/>
      <c r="F44" s="43"/>
      <c r="G44" s="40"/>
      <c r="H44" s="51"/>
      <c r="I44" s="33"/>
      <c r="J44" s="31"/>
      <c r="K44" s="33"/>
      <c r="L44" s="33"/>
      <c r="M44" s="36"/>
      <c r="N44" s="47" t="str">
        <f aca="false">IF($B44="","",IF(NOT(ISNUMBER($B44)),"日期不是日期格式",IF(YEAR($B44)&lt;&gt;首页!$B$3,"不在会计年度",IF($D44="","未选供应商",IF(ISNA(MATCH($D44,基础资料!$AF$6:$AF$155,0)),"供应商不在档案",IF($E44="","未填商品或内容",IF(NOT(ISNUMBER($F44)),"数量须为数字",IF(NOT(ISNUMBER($G44)),"单价须为数字",IF(N($F44)&lt;=0,"数量须大于0",IF($I44="","请选是否入库",IF(AND($I44="是",ISNA(MATCH($E44,基础资料!$Q$6:$Q$205,0))),"入库商品必须在商品档案中",IF(AND($I44="否",$J44&lt;&gt;"",ISNA(MATCH($J44,科目参数!$A$6:$A$125,0))),"费用科目不存在","√"))))))))))))</f>
        <v/>
      </c>
      <c r="O44" s="49" t="str">
        <f aca="false">IF($E44="","",IFERROR(INDEX(基础资料!$R$6:$R$205,MATCH($E44,基础资料!$Q$6:$Q$205,0)),""))</f>
        <v/>
      </c>
      <c r="P44" s="49" t="str">
        <f aca="false">IF($E44="","",IFERROR(INDEX(基础资料!$S$6:$S$205,MATCH($E44,基础资料!$Q$6:$Q$205,0)),""))</f>
        <v/>
      </c>
      <c r="Q44" s="48" t="str">
        <f aca="false">IF(OR($F44="",$G44=""),"",ROUND(N($F44)*N($G44),2))</f>
        <v/>
      </c>
      <c r="R44" s="48" t="str">
        <f aca="false">IF($Q44="","",ROUND(N($Q44)*N($H44),2))</f>
        <v/>
      </c>
      <c r="S44" s="48" t="str">
        <f aca="false">IF($Q44="","",N($Q44)+N($R44))</f>
        <v/>
      </c>
      <c r="T44" s="52" t="str">
        <f aca="false">IF(OR($B44="",$D44=""),"",$B44+N(IFERROR(INDEX(基础资料!$AH$6:$AH$155,MATCH($D44,基础资料!$AF$6:$AF$155,0)),0)))</f>
        <v/>
      </c>
      <c r="U44" s="49" t="str">
        <f aca="false">IF($Q44="","",IF($I44="是","1405",IF($J44="","6602",$J44)))</f>
        <v/>
      </c>
      <c r="V44" s="49" t="str">
        <f aca="false">IF($Q44="","","2202")</f>
        <v/>
      </c>
      <c r="W44" s="48" t="str">
        <f aca="false">IF($Q44="","",$Q44)</f>
        <v/>
      </c>
      <c r="X44" s="49" t="str">
        <f aca="false">IF(N($R44)=0,"","2221")</f>
        <v/>
      </c>
      <c r="Y44" s="49" t="str">
        <f aca="false">IF(N($R44)=0,"","2202")</f>
        <v/>
      </c>
      <c r="Z44" s="48" t="str">
        <f aca="false">IF(N($R44)=0,"",$R44)</f>
        <v/>
      </c>
      <c r="AA44" s="49" t="str">
        <f aca="false">IF(AND($D44=供应商对账单!$B$3,$B44&gt;=供应商对账单!$E$3,$B44&lt;=供应商对账单!$H$3),COUNTIFS($D$5:$D44,供应商对账单!$B$3,$B$5:$B44,"&gt;="&amp;供应商对账单!$E$3,$B$5:$B44,"&lt;="&amp;供应商对账单!$H$3),"")</f>
        <v/>
      </c>
    </row>
    <row r="45" customFormat="false" ht="15.75" hidden="false" customHeight="true" outlineLevel="0" collapsed="false">
      <c r="A45" s="42" t="str">
        <f aca="false">IF($B45="","","CG"&amp;TEXT($B45,"yyyymm")&amp;"-"&amp;TEXT(ROW()-4,"000"))</f>
        <v/>
      </c>
      <c r="B45" s="41"/>
      <c r="C45" s="42" t="str">
        <f aca="false">IF($B45="","",TEXT($B45,"yyyy-mm"))</f>
        <v/>
      </c>
      <c r="D45" s="32"/>
      <c r="E45" s="36"/>
      <c r="F45" s="43"/>
      <c r="G45" s="40"/>
      <c r="H45" s="51"/>
      <c r="I45" s="33"/>
      <c r="J45" s="31"/>
      <c r="K45" s="33"/>
      <c r="L45" s="33"/>
      <c r="M45" s="36"/>
      <c r="N45" s="47" t="str">
        <f aca="false">IF($B45="","",IF(NOT(ISNUMBER($B45)),"日期不是日期格式",IF(YEAR($B45)&lt;&gt;首页!$B$3,"不在会计年度",IF($D45="","未选供应商",IF(ISNA(MATCH($D45,基础资料!$AF$6:$AF$155,0)),"供应商不在档案",IF($E45="","未填商品或内容",IF(NOT(ISNUMBER($F45)),"数量须为数字",IF(NOT(ISNUMBER($G45)),"单价须为数字",IF(N($F45)&lt;=0,"数量须大于0",IF($I45="","请选是否入库",IF(AND($I45="是",ISNA(MATCH($E45,基础资料!$Q$6:$Q$205,0))),"入库商品必须在商品档案中",IF(AND($I45="否",$J45&lt;&gt;"",ISNA(MATCH($J45,科目参数!$A$6:$A$125,0))),"费用科目不存在","√"))))))))))))</f>
        <v/>
      </c>
      <c r="O45" s="49" t="str">
        <f aca="false">IF($E45="","",IFERROR(INDEX(基础资料!$R$6:$R$205,MATCH($E45,基础资料!$Q$6:$Q$205,0)),""))</f>
        <v/>
      </c>
      <c r="P45" s="49" t="str">
        <f aca="false">IF($E45="","",IFERROR(INDEX(基础资料!$S$6:$S$205,MATCH($E45,基础资料!$Q$6:$Q$205,0)),""))</f>
        <v/>
      </c>
      <c r="Q45" s="48" t="str">
        <f aca="false">IF(OR($F45="",$G45=""),"",ROUND(N($F45)*N($G45),2))</f>
        <v/>
      </c>
      <c r="R45" s="48" t="str">
        <f aca="false">IF($Q45="","",ROUND(N($Q45)*N($H45),2))</f>
        <v/>
      </c>
      <c r="S45" s="48" t="str">
        <f aca="false">IF($Q45="","",N($Q45)+N($R45))</f>
        <v/>
      </c>
      <c r="T45" s="52" t="str">
        <f aca="false">IF(OR($B45="",$D45=""),"",$B45+N(IFERROR(INDEX(基础资料!$AH$6:$AH$155,MATCH($D45,基础资料!$AF$6:$AF$155,0)),0)))</f>
        <v/>
      </c>
      <c r="U45" s="49" t="str">
        <f aca="false">IF($Q45="","",IF($I45="是","1405",IF($J45="","6602",$J45)))</f>
        <v/>
      </c>
      <c r="V45" s="49" t="str">
        <f aca="false">IF($Q45="","","2202")</f>
        <v/>
      </c>
      <c r="W45" s="48" t="str">
        <f aca="false">IF($Q45="","",$Q45)</f>
        <v/>
      </c>
      <c r="X45" s="49" t="str">
        <f aca="false">IF(N($R45)=0,"","2221")</f>
        <v/>
      </c>
      <c r="Y45" s="49" t="str">
        <f aca="false">IF(N($R45)=0,"","2202")</f>
        <v/>
      </c>
      <c r="Z45" s="48" t="str">
        <f aca="false">IF(N($R45)=0,"",$R45)</f>
        <v/>
      </c>
      <c r="AA45" s="49" t="str">
        <f aca="false">IF(AND($D45=供应商对账单!$B$3,$B45&gt;=供应商对账单!$E$3,$B45&lt;=供应商对账单!$H$3),COUNTIFS($D$5:$D45,供应商对账单!$B$3,$B$5:$B45,"&gt;="&amp;供应商对账单!$E$3,$B$5:$B45,"&lt;="&amp;供应商对账单!$H$3),"")</f>
        <v/>
      </c>
    </row>
    <row r="46" customFormat="false" ht="15.75" hidden="false" customHeight="true" outlineLevel="0" collapsed="false">
      <c r="A46" s="42" t="str">
        <f aca="false">IF($B46="","","CG"&amp;TEXT($B46,"yyyymm")&amp;"-"&amp;TEXT(ROW()-4,"000"))</f>
        <v/>
      </c>
      <c r="B46" s="41"/>
      <c r="C46" s="42" t="str">
        <f aca="false">IF($B46="","",TEXT($B46,"yyyy-mm"))</f>
        <v/>
      </c>
      <c r="D46" s="32"/>
      <c r="E46" s="36"/>
      <c r="F46" s="43"/>
      <c r="G46" s="40"/>
      <c r="H46" s="51"/>
      <c r="I46" s="33"/>
      <c r="J46" s="31"/>
      <c r="K46" s="33"/>
      <c r="L46" s="33"/>
      <c r="M46" s="36"/>
      <c r="N46" s="47" t="str">
        <f aca="false">IF($B46="","",IF(NOT(ISNUMBER($B46)),"日期不是日期格式",IF(YEAR($B46)&lt;&gt;首页!$B$3,"不在会计年度",IF($D46="","未选供应商",IF(ISNA(MATCH($D46,基础资料!$AF$6:$AF$155,0)),"供应商不在档案",IF($E46="","未填商品或内容",IF(NOT(ISNUMBER($F46)),"数量须为数字",IF(NOT(ISNUMBER($G46)),"单价须为数字",IF(N($F46)&lt;=0,"数量须大于0",IF($I46="","请选是否入库",IF(AND($I46="是",ISNA(MATCH($E46,基础资料!$Q$6:$Q$205,0))),"入库商品必须在商品档案中",IF(AND($I46="否",$J46&lt;&gt;"",ISNA(MATCH($J46,科目参数!$A$6:$A$125,0))),"费用科目不存在","√"))))))))))))</f>
        <v/>
      </c>
      <c r="O46" s="49" t="str">
        <f aca="false">IF($E46="","",IFERROR(INDEX(基础资料!$R$6:$R$205,MATCH($E46,基础资料!$Q$6:$Q$205,0)),""))</f>
        <v/>
      </c>
      <c r="P46" s="49" t="str">
        <f aca="false">IF($E46="","",IFERROR(INDEX(基础资料!$S$6:$S$205,MATCH($E46,基础资料!$Q$6:$Q$205,0)),""))</f>
        <v/>
      </c>
      <c r="Q46" s="48" t="str">
        <f aca="false">IF(OR($F46="",$G46=""),"",ROUND(N($F46)*N($G46),2))</f>
        <v/>
      </c>
      <c r="R46" s="48" t="str">
        <f aca="false">IF($Q46="","",ROUND(N($Q46)*N($H46),2))</f>
        <v/>
      </c>
      <c r="S46" s="48" t="str">
        <f aca="false">IF($Q46="","",N($Q46)+N($R46))</f>
        <v/>
      </c>
      <c r="T46" s="52" t="str">
        <f aca="false">IF(OR($B46="",$D46=""),"",$B46+N(IFERROR(INDEX(基础资料!$AH$6:$AH$155,MATCH($D46,基础资料!$AF$6:$AF$155,0)),0)))</f>
        <v/>
      </c>
      <c r="U46" s="49" t="str">
        <f aca="false">IF($Q46="","",IF($I46="是","1405",IF($J46="","6602",$J46)))</f>
        <v/>
      </c>
      <c r="V46" s="49" t="str">
        <f aca="false">IF($Q46="","","2202")</f>
        <v/>
      </c>
      <c r="W46" s="48" t="str">
        <f aca="false">IF($Q46="","",$Q46)</f>
        <v/>
      </c>
      <c r="X46" s="49" t="str">
        <f aca="false">IF(N($R46)=0,"","2221")</f>
        <v/>
      </c>
      <c r="Y46" s="49" t="str">
        <f aca="false">IF(N($R46)=0,"","2202")</f>
        <v/>
      </c>
      <c r="Z46" s="48" t="str">
        <f aca="false">IF(N($R46)=0,"",$R46)</f>
        <v/>
      </c>
      <c r="AA46" s="49" t="str">
        <f aca="false">IF(AND($D46=供应商对账单!$B$3,$B46&gt;=供应商对账单!$E$3,$B46&lt;=供应商对账单!$H$3),COUNTIFS($D$5:$D46,供应商对账单!$B$3,$B$5:$B46,"&gt;="&amp;供应商对账单!$E$3,$B$5:$B46,"&lt;="&amp;供应商对账单!$H$3),"")</f>
        <v/>
      </c>
    </row>
    <row r="47" customFormat="false" ht="15.75" hidden="false" customHeight="true" outlineLevel="0" collapsed="false">
      <c r="A47" s="42" t="str">
        <f aca="false">IF($B47="","","CG"&amp;TEXT($B47,"yyyymm")&amp;"-"&amp;TEXT(ROW()-4,"000"))</f>
        <v/>
      </c>
      <c r="B47" s="41"/>
      <c r="C47" s="42" t="str">
        <f aca="false">IF($B47="","",TEXT($B47,"yyyy-mm"))</f>
        <v/>
      </c>
      <c r="D47" s="32"/>
      <c r="E47" s="36"/>
      <c r="F47" s="43"/>
      <c r="G47" s="40"/>
      <c r="H47" s="51"/>
      <c r="I47" s="33"/>
      <c r="J47" s="31"/>
      <c r="K47" s="33"/>
      <c r="L47" s="33"/>
      <c r="M47" s="36"/>
      <c r="N47" s="47" t="str">
        <f aca="false">IF($B47="","",IF(NOT(ISNUMBER($B47)),"日期不是日期格式",IF(YEAR($B47)&lt;&gt;首页!$B$3,"不在会计年度",IF($D47="","未选供应商",IF(ISNA(MATCH($D47,基础资料!$AF$6:$AF$155,0)),"供应商不在档案",IF($E47="","未填商品或内容",IF(NOT(ISNUMBER($F47)),"数量须为数字",IF(NOT(ISNUMBER($G47)),"单价须为数字",IF(N($F47)&lt;=0,"数量须大于0",IF($I47="","请选是否入库",IF(AND($I47="是",ISNA(MATCH($E47,基础资料!$Q$6:$Q$205,0))),"入库商品必须在商品档案中",IF(AND($I47="否",$J47&lt;&gt;"",ISNA(MATCH($J47,科目参数!$A$6:$A$125,0))),"费用科目不存在","√"))))))))))))</f>
        <v/>
      </c>
      <c r="O47" s="49" t="str">
        <f aca="false">IF($E47="","",IFERROR(INDEX(基础资料!$R$6:$R$205,MATCH($E47,基础资料!$Q$6:$Q$205,0)),""))</f>
        <v/>
      </c>
      <c r="P47" s="49" t="str">
        <f aca="false">IF($E47="","",IFERROR(INDEX(基础资料!$S$6:$S$205,MATCH($E47,基础资料!$Q$6:$Q$205,0)),""))</f>
        <v/>
      </c>
      <c r="Q47" s="48" t="str">
        <f aca="false">IF(OR($F47="",$G47=""),"",ROUND(N($F47)*N($G47),2))</f>
        <v/>
      </c>
      <c r="R47" s="48" t="str">
        <f aca="false">IF($Q47="","",ROUND(N($Q47)*N($H47),2))</f>
        <v/>
      </c>
      <c r="S47" s="48" t="str">
        <f aca="false">IF($Q47="","",N($Q47)+N($R47))</f>
        <v/>
      </c>
      <c r="T47" s="52" t="str">
        <f aca="false">IF(OR($B47="",$D47=""),"",$B47+N(IFERROR(INDEX(基础资料!$AH$6:$AH$155,MATCH($D47,基础资料!$AF$6:$AF$155,0)),0)))</f>
        <v/>
      </c>
      <c r="U47" s="49" t="str">
        <f aca="false">IF($Q47="","",IF($I47="是","1405",IF($J47="","6602",$J47)))</f>
        <v/>
      </c>
      <c r="V47" s="49" t="str">
        <f aca="false">IF($Q47="","","2202")</f>
        <v/>
      </c>
      <c r="W47" s="48" t="str">
        <f aca="false">IF($Q47="","",$Q47)</f>
        <v/>
      </c>
      <c r="X47" s="49" t="str">
        <f aca="false">IF(N($R47)=0,"","2221")</f>
        <v/>
      </c>
      <c r="Y47" s="49" t="str">
        <f aca="false">IF(N($R47)=0,"","2202")</f>
        <v/>
      </c>
      <c r="Z47" s="48" t="str">
        <f aca="false">IF(N($R47)=0,"",$R47)</f>
        <v/>
      </c>
      <c r="AA47" s="49" t="str">
        <f aca="false">IF(AND($D47=供应商对账单!$B$3,$B47&gt;=供应商对账单!$E$3,$B47&lt;=供应商对账单!$H$3),COUNTIFS($D$5:$D47,供应商对账单!$B$3,$B$5:$B47,"&gt;="&amp;供应商对账单!$E$3,$B$5:$B47,"&lt;="&amp;供应商对账单!$H$3),"")</f>
        <v/>
      </c>
    </row>
    <row r="48" customFormat="false" ht="15.75" hidden="false" customHeight="true" outlineLevel="0" collapsed="false">
      <c r="A48" s="42" t="str">
        <f aca="false">IF($B48="","","CG"&amp;TEXT($B48,"yyyymm")&amp;"-"&amp;TEXT(ROW()-4,"000"))</f>
        <v/>
      </c>
      <c r="B48" s="41"/>
      <c r="C48" s="42" t="str">
        <f aca="false">IF($B48="","",TEXT($B48,"yyyy-mm"))</f>
        <v/>
      </c>
      <c r="D48" s="32"/>
      <c r="E48" s="36"/>
      <c r="F48" s="43"/>
      <c r="G48" s="40"/>
      <c r="H48" s="51"/>
      <c r="I48" s="33"/>
      <c r="J48" s="31"/>
      <c r="K48" s="33"/>
      <c r="L48" s="33"/>
      <c r="M48" s="36"/>
      <c r="N48" s="47" t="str">
        <f aca="false">IF($B48="","",IF(NOT(ISNUMBER($B48)),"日期不是日期格式",IF(YEAR($B48)&lt;&gt;首页!$B$3,"不在会计年度",IF($D48="","未选供应商",IF(ISNA(MATCH($D48,基础资料!$AF$6:$AF$155,0)),"供应商不在档案",IF($E48="","未填商品或内容",IF(NOT(ISNUMBER($F48)),"数量须为数字",IF(NOT(ISNUMBER($G48)),"单价须为数字",IF(N($F48)&lt;=0,"数量须大于0",IF($I48="","请选是否入库",IF(AND($I48="是",ISNA(MATCH($E48,基础资料!$Q$6:$Q$205,0))),"入库商品必须在商品档案中",IF(AND($I48="否",$J48&lt;&gt;"",ISNA(MATCH($J48,科目参数!$A$6:$A$125,0))),"费用科目不存在","√"))))))))))))</f>
        <v/>
      </c>
      <c r="O48" s="49" t="str">
        <f aca="false">IF($E48="","",IFERROR(INDEX(基础资料!$R$6:$R$205,MATCH($E48,基础资料!$Q$6:$Q$205,0)),""))</f>
        <v/>
      </c>
      <c r="P48" s="49" t="str">
        <f aca="false">IF($E48="","",IFERROR(INDEX(基础资料!$S$6:$S$205,MATCH($E48,基础资料!$Q$6:$Q$205,0)),""))</f>
        <v/>
      </c>
      <c r="Q48" s="48" t="str">
        <f aca="false">IF(OR($F48="",$G48=""),"",ROUND(N($F48)*N($G48),2))</f>
        <v/>
      </c>
      <c r="R48" s="48" t="str">
        <f aca="false">IF($Q48="","",ROUND(N($Q48)*N($H48),2))</f>
        <v/>
      </c>
      <c r="S48" s="48" t="str">
        <f aca="false">IF($Q48="","",N($Q48)+N($R48))</f>
        <v/>
      </c>
      <c r="T48" s="52" t="str">
        <f aca="false">IF(OR($B48="",$D48=""),"",$B48+N(IFERROR(INDEX(基础资料!$AH$6:$AH$155,MATCH($D48,基础资料!$AF$6:$AF$155,0)),0)))</f>
        <v/>
      </c>
      <c r="U48" s="49" t="str">
        <f aca="false">IF($Q48="","",IF($I48="是","1405",IF($J48="","6602",$J48)))</f>
        <v/>
      </c>
      <c r="V48" s="49" t="str">
        <f aca="false">IF($Q48="","","2202")</f>
        <v/>
      </c>
      <c r="W48" s="48" t="str">
        <f aca="false">IF($Q48="","",$Q48)</f>
        <v/>
      </c>
      <c r="X48" s="49" t="str">
        <f aca="false">IF(N($R48)=0,"","2221")</f>
        <v/>
      </c>
      <c r="Y48" s="49" t="str">
        <f aca="false">IF(N($R48)=0,"","2202")</f>
        <v/>
      </c>
      <c r="Z48" s="48" t="str">
        <f aca="false">IF(N($R48)=0,"",$R48)</f>
        <v/>
      </c>
      <c r="AA48" s="49" t="str">
        <f aca="false">IF(AND($D48=供应商对账单!$B$3,$B48&gt;=供应商对账单!$E$3,$B48&lt;=供应商对账单!$H$3),COUNTIFS($D$5:$D48,供应商对账单!$B$3,$B$5:$B48,"&gt;="&amp;供应商对账单!$E$3,$B$5:$B48,"&lt;="&amp;供应商对账单!$H$3),"")</f>
        <v/>
      </c>
    </row>
    <row r="49" customFormat="false" ht="15.75" hidden="false" customHeight="true" outlineLevel="0" collapsed="false">
      <c r="A49" s="42" t="str">
        <f aca="false">IF($B49="","","CG"&amp;TEXT($B49,"yyyymm")&amp;"-"&amp;TEXT(ROW()-4,"000"))</f>
        <v/>
      </c>
      <c r="B49" s="41"/>
      <c r="C49" s="42" t="str">
        <f aca="false">IF($B49="","",TEXT($B49,"yyyy-mm"))</f>
        <v/>
      </c>
      <c r="D49" s="32"/>
      <c r="E49" s="36"/>
      <c r="F49" s="43"/>
      <c r="G49" s="40"/>
      <c r="H49" s="51"/>
      <c r="I49" s="33"/>
      <c r="J49" s="31"/>
      <c r="K49" s="33"/>
      <c r="L49" s="33"/>
      <c r="M49" s="36"/>
      <c r="N49" s="47" t="str">
        <f aca="false">IF($B49="","",IF(NOT(ISNUMBER($B49)),"日期不是日期格式",IF(YEAR($B49)&lt;&gt;首页!$B$3,"不在会计年度",IF($D49="","未选供应商",IF(ISNA(MATCH($D49,基础资料!$AF$6:$AF$155,0)),"供应商不在档案",IF($E49="","未填商品或内容",IF(NOT(ISNUMBER($F49)),"数量须为数字",IF(NOT(ISNUMBER($G49)),"单价须为数字",IF(N($F49)&lt;=0,"数量须大于0",IF($I49="","请选是否入库",IF(AND($I49="是",ISNA(MATCH($E49,基础资料!$Q$6:$Q$205,0))),"入库商品必须在商品档案中",IF(AND($I49="否",$J49&lt;&gt;"",ISNA(MATCH($J49,科目参数!$A$6:$A$125,0))),"费用科目不存在","√"))))))))))))</f>
        <v/>
      </c>
      <c r="O49" s="49" t="str">
        <f aca="false">IF($E49="","",IFERROR(INDEX(基础资料!$R$6:$R$205,MATCH($E49,基础资料!$Q$6:$Q$205,0)),""))</f>
        <v/>
      </c>
      <c r="P49" s="49" t="str">
        <f aca="false">IF($E49="","",IFERROR(INDEX(基础资料!$S$6:$S$205,MATCH($E49,基础资料!$Q$6:$Q$205,0)),""))</f>
        <v/>
      </c>
      <c r="Q49" s="48" t="str">
        <f aca="false">IF(OR($F49="",$G49=""),"",ROUND(N($F49)*N($G49),2))</f>
        <v/>
      </c>
      <c r="R49" s="48" t="str">
        <f aca="false">IF($Q49="","",ROUND(N($Q49)*N($H49),2))</f>
        <v/>
      </c>
      <c r="S49" s="48" t="str">
        <f aca="false">IF($Q49="","",N($Q49)+N($R49))</f>
        <v/>
      </c>
      <c r="T49" s="52" t="str">
        <f aca="false">IF(OR($B49="",$D49=""),"",$B49+N(IFERROR(INDEX(基础资料!$AH$6:$AH$155,MATCH($D49,基础资料!$AF$6:$AF$155,0)),0)))</f>
        <v/>
      </c>
      <c r="U49" s="49" t="str">
        <f aca="false">IF($Q49="","",IF($I49="是","1405",IF($J49="","6602",$J49)))</f>
        <v/>
      </c>
      <c r="V49" s="49" t="str">
        <f aca="false">IF($Q49="","","2202")</f>
        <v/>
      </c>
      <c r="W49" s="48" t="str">
        <f aca="false">IF($Q49="","",$Q49)</f>
        <v/>
      </c>
      <c r="X49" s="49" t="str">
        <f aca="false">IF(N($R49)=0,"","2221")</f>
        <v/>
      </c>
      <c r="Y49" s="49" t="str">
        <f aca="false">IF(N($R49)=0,"","2202")</f>
        <v/>
      </c>
      <c r="Z49" s="48" t="str">
        <f aca="false">IF(N($R49)=0,"",$R49)</f>
        <v/>
      </c>
      <c r="AA49" s="49" t="str">
        <f aca="false">IF(AND($D49=供应商对账单!$B$3,$B49&gt;=供应商对账单!$E$3,$B49&lt;=供应商对账单!$H$3),COUNTIFS($D$5:$D49,供应商对账单!$B$3,$B$5:$B49,"&gt;="&amp;供应商对账单!$E$3,$B$5:$B49,"&lt;="&amp;供应商对账单!$H$3),"")</f>
        <v/>
      </c>
    </row>
    <row r="50" customFormat="false" ht="15.75" hidden="false" customHeight="true" outlineLevel="0" collapsed="false">
      <c r="A50" s="42" t="str">
        <f aca="false">IF($B50="","","CG"&amp;TEXT($B50,"yyyymm")&amp;"-"&amp;TEXT(ROW()-4,"000"))</f>
        <v/>
      </c>
      <c r="B50" s="41"/>
      <c r="C50" s="42" t="str">
        <f aca="false">IF($B50="","",TEXT($B50,"yyyy-mm"))</f>
        <v/>
      </c>
      <c r="D50" s="32"/>
      <c r="E50" s="36"/>
      <c r="F50" s="43"/>
      <c r="G50" s="40"/>
      <c r="H50" s="51"/>
      <c r="I50" s="33"/>
      <c r="J50" s="31"/>
      <c r="K50" s="33"/>
      <c r="L50" s="33"/>
      <c r="M50" s="36"/>
      <c r="N50" s="47" t="str">
        <f aca="false">IF($B50="","",IF(NOT(ISNUMBER($B50)),"日期不是日期格式",IF(YEAR($B50)&lt;&gt;首页!$B$3,"不在会计年度",IF($D50="","未选供应商",IF(ISNA(MATCH($D50,基础资料!$AF$6:$AF$155,0)),"供应商不在档案",IF($E50="","未填商品或内容",IF(NOT(ISNUMBER($F50)),"数量须为数字",IF(NOT(ISNUMBER($G50)),"单价须为数字",IF(N($F50)&lt;=0,"数量须大于0",IF($I50="","请选是否入库",IF(AND($I50="是",ISNA(MATCH($E50,基础资料!$Q$6:$Q$205,0))),"入库商品必须在商品档案中",IF(AND($I50="否",$J50&lt;&gt;"",ISNA(MATCH($J50,科目参数!$A$6:$A$125,0))),"费用科目不存在","√"))))))))))))</f>
        <v/>
      </c>
      <c r="O50" s="49" t="str">
        <f aca="false">IF($E50="","",IFERROR(INDEX(基础资料!$R$6:$R$205,MATCH($E50,基础资料!$Q$6:$Q$205,0)),""))</f>
        <v/>
      </c>
      <c r="P50" s="49" t="str">
        <f aca="false">IF($E50="","",IFERROR(INDEX(基础资料!$S$6:$S$205,MATCH($E50,基础资料!$Q$6:$Q$205,0)),""))</f>
        <v/>
      </c>
      <c r="Q50" s="48" t="str">
        <f aca="false">IF(OR($F50="",$G50=""),"",ROUND(N($F50)*N($G50),2))</f>
        <v/>
      </c>
      <c r="R50" s="48" t="str">
        <f aca="false">IF($Q50="","",ROUND(N($Q50)*N($H50),2))</f>
        <v/>
      </c>
      <c r="S50" s="48" t="str">
        <f aca="false">IF($Q50="","",N($Q50)+N($R50))</f>
        <v/>
      </c>
      <c r="T50" s="52" t="str">
        <f aca="false">IF(OR($B50="",$D50=""),"",$B50+N(IFERROR(INDEX(基础资料!$AH$6:$AH$155,MATCH($D50,基础资料!$AF$6:$AF$155,0)),0)))</f>
        <v/>
      </c>
      <c r="U50" s="49" t="str">
        <f aca="false">IF($Q50="","",IF($I50="是","1405",IF($J50="","6602",$J50)))</f>
        <v/>
      </c>
      <c r="V50" s="49" t="str">
        <f aca="false">IF($Q50="","","2202")</f>
        <v/>
      </c>
      <c r="W50" s="48" t="str">
        <f aca="false">IF($Q50="","",$Q50)</f>
        <v/>
      </c>
      <c r="X50" s="49" t="str">
        <f aca="false">IF(N($R50)=0,"","2221")</f>
        <v/>
      </c>
      <c r="Y50" s="49" t="str">
        <f aca="false">IF(N($R50)=0,"","2202")</f>
        <v/>
      </c>
      <c r="Z50" s="48" t="str">
        <f aca="false">IF(N($R50)=0,"",$R50)</f>
        <v/>
      </c>
      <c r="AA50" s="49" t="str">
        <f aca="false">IF(AND($D50=供应商对账单!$B$3,$B50&gt;=供应商对账单!$E$3,$B50&lt;=供应商对账单!$H$3),COUNTIFS($D$5:$D50,供应商对账单!$B$3,$B$5:$B50,"&gt;="&amp;供应商对账单!$E$3,$B$5:$B50,"&lt;="&amp;供应商对账单!$H$3),"")</f>
        <v/>
      </c>
    </row>
    <row r="51" customFormat="false" ht="15.75" hidden="false" customHeight="true" outlineLevel="0" collapsed="false">
      <c r="A51" s="42" t="str">
        <f aca="false">IF($B51="","","CG"&amp;TEXT($B51,"yyyymm")&amp;"-"&amp;TEXT(ROW()-4,"000"))</f>
        <v/>
      </c>
      <c r="B51" s="41"/>
      <c r="C51" s="42" t="str">
        <f aca="false">IF($B51="","",TEXT($B51,"yyyy-mm"))</f>
        <v/>
      </c>
      <c r="D51" s="32"/>
      <c r="E51" s="36"/>
      <c r="F51" s="43"/>
      <c r="G51" s="40"/>
      <c r="H51" s="51"/>
      <c r="I51" s="33"/>
      <c r="J51" s="31"/>
      <c r="K51" s="33"/>
      <c r="L51" s="33"/>
      <c r="M51" s="36"/>
      <c r="N51" s="47" t="str">
        <f aca="false">IF($B51="","",IF(NOT(ISNUMBER($B51)),"日期不是日期格式",IF(YEAR($B51)&lt;&gt;首页!$B$3,"不在会计年度",IF($D51="","未选供应商",IF(ISNA(MATCH($D51,基础资料!$AF$6:$AF$155,0)),"供应商不在档案",IF($E51="","未填商品或内容",IF(NOT(ISNUMBER($F51)),"数量须为数字",IF(NOT(ISNUMBER($G51)),"单价须为数字",IF(N($F51)&lt;=0,"数量须大于0",IF($I51="","请选是否入库",IF(AND($I51="是",ISNA(MATCH($E51,基础资料!$Q$6:$Q$205,0))),"入库商品必须在商品档案中",IF(AND($I51="否",$J51&lt;&gt;"",ISNA(MATCH($J51,科目参数!$A$6:$A$125,0))),"费用科目不存在","√"))))))))))))</f>
        <v/>
      </c>
      <c r="O51" s="49" t="str">
        <f aca="false">IF($E51="","",IFERROR(INDEX(基础资料!$R$6:$R$205,MATCH($E51,基础资料!$Q$6:$Q$205,0)),""))</f>
        <v/>
      </c>
      <c r="P51" s="49" t="str">
        <f aca="false">IF($E51="","",IFERROR(INDEX(基础资料!$S$6:$S$205,MATCH($E51,基础资料!$Q$6:$Q$205,0)),""))</f>
        <v/>
      </c>
      <c r="Q51" s="48" t="str">
        <f aca="false">IF(OR($F51="",$G51=""),"",ROUND(N($F51)*N($G51),2))</f>
        <v/>
      </c>
      <c r="R51" s="48" t="str">
        <f aca="false">IF($Q51="","",ROUND(N($Q51)*N($H51),2))</f>
        <v/>
      </c>
      <c r="S51" s="48" t="str">
        <f aca="false">IF($Q51="","",N($Q51)+N($R51))</f>
        <v/>
      </c>
      <c r="T51" s="52" t="str">
        <f aca="false">IF(OR($B51="",$D51=""),"",$B51+N(IFERROR(INDEX(基础资料!$AH$6:$AH$155,MATCH($D51,基础资料!$AF$6:$AF$155,0)),0)))</f>
        <v/>
      </c>
      <c r="U51" s="49" t="str">
        <f aca="false">IF($Q51="","",IF($I51="是","1405",IF($J51="","6602",$J51)))</f>
        <v/>
      </c>
      <c r="V51" s="49" t="str">
        <f aca="false">IF($Q51="","","2202")</f>
        <v/>
      </c>
      <c r="W51" s="48" t="str">
        <f aca="false">IF($Q51="","",$Q51)</f>
        <v/>
      </c>
      <c r="X51" s="49" t="str">
        <f aca="false">IF(N($R51)=0,"","2221")</f>
        <v/>
      </c>
      <c r="Y51" s="49" t="str">
        <f aca="false">IF(N($R51)=0,"","2202")</f>
        <v/>
      </c>
      <c r="Z51" s="48" t="str">
        <f aca="false">IF(N($R51)=0,"",$R51)</f>
        <v/>
      </c>
      <c r="AA51" s="49" t="str">
        <f aca="false">IF(AND($D51=供应商对账单!$B$3,$B51&gt;=供应商对账单!$E$3,$B51&lt;=供应商对账单!$H$3),COUNTIFS($D$5:$D51,供应商对账单!$B$3,$B$5:$B51,"&gt;="&amp;供应商对账单!$E$3,$B$5:$B51,"&lt;="&amp;供应商对账单!$H$3),"")</f>
        <v/>
      </c>
    </row>
    <row r="52" customFormat="false" ht="15.75" hidden="false" customHeight="true" outlineLevel="0" collapsed="false">
      <c r="A52" s="42" t="str">
        <f aca="false">IF($B52="","","CG"&amp;TEXT($B52,"yyyymm")&amp;"-"&amp;TEXT(ROW()-4,"000"))</f>
        <v/>
      </c>
      <c r="B52" s="41"/>
      <c r="C52" s="42" t="str">
        <f aca="false">IF($B52="","",TEXT($B52,"yyyy-mm"))</f>
        <v/>
      </c>
      <c r="D52" s="32"/>
      <c r="E52" s="36"/>
      <c r="F52" s="43"/>
      <c r="G52" s="40"/>
      <c r="H52" s="51"/>
      <c r="I52" s="33"/>
      <c r="J52" s="31"/>
      <c r="K52" s="33"/>
      <c r="L52" s="33"/>
      <c r="M52" s="36"/>
      <c r="N52" s="47" t="str">
        <f aca="false">IF($B52="","",IF(NOT(ISNUMBER($B52)),"日期不是日期格式",IF(YEAR($B52)&lt;&gt;首页!$B$3,"不在会计年度",IF($D52="","未选供应商",IF(ISNA(MATCH($D52,基础资料!$AF$6:$AF$155,0)),"供应商不在档案",IF($E52="","未填商品或内容",IF(NOT(ISNUMBER($F52)),"数量须为数字",IF(NOT(ISNUMBER($G52)),"单价须为数字",IF(N($F52)&lt;=0,"数量须大于0",IF($I52="","请选是否入库",IF(AND($I52="是",ISNA(MATCH($E52,基础资料!$Q$6:$Q$205,0))),"入库商品必须在商品档案中",IF(AND($I52="否",$J52&lt;&gt;"",ISNA(MATCH($J52,科目参数!$A$6:$A$125,0))),"费用科目不存在","√"))))))))))))</f>
        <v/>
      </c>
      <c r="O52" s="49" t="str">
        <f aca="false">IF($E52="","",IFERROR(INDEX(基础资料!$R$6:$R$205,MATCH($E52,基础资料!$Q$6:$Q$205,0)),""))</f>
        <v/>
      </c>
      <c r="P52" s="49" t="str">
        <f aca="false">IF($E52="","",IFERROR(INDEX(基础资料!$S$6:$S$205,MATCH($E52,基础资料!$Q$6:$Q$205,0)),""))</f>
        <v/>
      </c>
      <c r="Q52" s="48" t="str">
        <f aca="false">IF(OR($F52="",$G52=""),"",ROUND(N($F52)*N($G52),2))</f>
        <v/>
      </c>
      <c r="R52" s="48" t="str">
        <f aca="false">IF($Q52="","",ROUND(N($Q52)*N($H52),2))</f>
        <v/>
      </c>
      <c r="S52" s="48" t="str">
        <f aca="false">IF($Q52="","",N($Q52)+N($R52))</f>
        <v/>
      </c>
      <c r="T52" s="52" t="str">
        <f aca="false">IF(OR($B52="",$D52=""),"",$B52+N(IFERROR(INDEX(基础资料!$AH$6:$AH$155,MATCH($D52,基础资料!$AF$6:$AF$155,0)),0)))</f>
        <v/>
      </c>
      <c r="U52" s="49" t="str">
        <f aca="false">IF($Q52="","",IF($I52="是","1405",IF($J52="","6602",$J52)))</f>
        <v/>
      </c>
      <c r="V52" s="49" t="str">
        <f aca="false">IF($Q52="","","2202")</f>
        <v/>
      </c>
      <c r="W52" s="48" t="str">
        <f aca="false">IF($Q52="","",$Q52)</f>
        <v/>
      </c>
      <c r="X52" s="49" t="str">
        <f aca="false">IF(N($R52)=0,"","2221")</f>
        <v/>
      </c>
      <c r="Y52" s="49" t="str">
        <f aca="false">IF(N($R52)=0,"","2202")</f>
        <v/>
      </c>
      <c r="Z52" s="48" t="str">
        <f aca="false">IF(N($R52)=0,"",$R52)</f>
        <v/>
      </c>
      <c r="AA52" s="49" t="str">
        <f aca="false">IF(AND($D52=供应商对账单!$B$3,$B52&gt;=供应商对账单!$E$3,$B52&lt;=供应商对账单!$H$3),COUNTIFS($D$5:$D52,供应商对账单!$B$3,$B$5:$B52,"&gt;="&amp;供应商对账单!$E$3,$B$5:$B52,"&lt;="&amp;供应商对账单!$H$3),"")</f>
        <v/>
      </c>
    </row>
    <row r="53" customFormat="false" ht="15.75" hidden="false" customHeight="true" outlineLevel="0" collapsed="false">
      <c r="A53" s="42" t="str">
        <f aca="false">IF($B53="","","CG"&amp;TEXT($B53,"yyyymm")&amp;"-"&amp;TEXT(ROW()-4,"000"))</f>
        <v/>
      </c>
      <c r="B53" s="41"/>
      <c r="C53" s="42" t="str">
        <f aca="false">IF($B53="","",TEXT($B53,"yyyy-mm"))</f>
        <v/>
      </c>
      <c r="D53" s="32"/>
      <c r="E53" s="36"/>
      <c r="F53" s="43"/>
      <c r="G53" s="40"/>
      <c r="H53" s="51"/>
      <c r="I53" s="33"/>
      <c r="J53" s="31"/>
      <c r="K53" s="33"/>
      <c r="L53" s="33"/>
      <c r="M53" s="36"/>
      <c r="N53" s="47" t="str">
        <f aca="false">IF($B53="","",IF(NOT(ISNUMBER($B53)),"日期不是日期格式",IF(YEAR($B53)&lt;&gt;首页!$B$3,"不在会计年度",IF($D53="","未选供应商",IF(ISNA(MATCH($D53,基础资料!$AF$6:$AF$155,0)),"供应商不在档案",IF($E53="","未填商品或内容",IF(NOT(ISNUMBER($F53)),"数量须为数字",IF(NOT(ISNUMBER($G53)),"单价须为数字",IF(N($F53)&lt;=0,"数量须大于0",IF($I53="","请选是否入库",IF(AND($I53="是",ISNA(MATCH($E53,基础资料!$Q$6:$Q$205,0))),"入库商品必须在商品档案中",IF(AND($I53="否",$J53&lt;&gt;"",ISNA(MATCH($J53,科目参数!$A$6:$A$125,0))),"费用科目不存在","√"))))))))))))</f>
        <v/>
      </c>
      <c r="O53" s="49" t="str">
        <f aca="false">IF($E53="","",IFERROR(INDEX(基础资料!$R$6:$R$205,MATCH($E53,基础资料!$Q$6:$Q$205,0)),""))</f>
        <v/>
      </c>
      <c r="P53" s="49" t="str">
        <f aca="false">IF($E53="","",IFERROR(INDEX(基础资料!$S$6:$S$205,MATCH($E53,基础资料!$Q$6:$Q$205,0)),""))</f>
        <v/>
      </c>
      <c r="Q53" s="48" t="str">
        <f aca="false">IF(OR($F53="",$G53=""),"",ROUND(N($F53)*N($G53),2))</f>
        <v/>
      </c>
      <c r="R53" s="48" t="str">
        <f aca="false">IF($Q53="","",ROUND(N($Q53)*N($H53),2))</f>
        <v/>
      </c>
      <c r="S53" s="48" t="str">
        <f aca="false">IF($Q53="","",N($Q53)+N($R53))</f>
        <v/>
      </c>
      <c r="T53" s="52" t="str">
        <f aca="false">IF(OR($B53="",$D53=""),"",$B53+N(IFERROR(INDEX(基础资料!$AH$6:$AH$155,MATCH($D53,基础资料!$AF$6:$AF$155,0)),0)))</f>
        <v/>
      </c>
      <c r="U53" s="49" t="str">
        <f aca="false">IF($Q53="","",IF($I53="是","1405",IF($J53="","6602",$J53)))</f>
        <v/>
      </c>
      <c r="V53" s="49" t="str">
        <f aca="false">IF($Q53="","","2202")</f>
        <v/>
      </c>
      <c r="W53" s="48" t="str">
        <f aca="false">IF($Q53="","",$Q53)</f>
        <v/>
      </c>
      <c r="X53" s="49" t="str">
        <f aca="false">IF(N($R53)=0,"","2221")</f>
        <v/>
      </c>
      <c r="Y53" s="49" t="str">
        <f aca="false">IF(N($R53)=0,"","2202")</f>
        <v/>
      </c>
      <c r="Z53" s="48" t="str">
        <f aca="false">IF(N($R53)=0,"",$R53)</f>
        <v/>
      </c>
      <c r="AA53" s="49" t="str">
        <f aca="false">IF(AND($D53=供应商对账单!$B$3,$B53&gt;=供应商对账单!$E$3,$B53&lt;=供应商对账单!$H$3),COUNTIFS($D$5:$D53,供应商对账单!$B$3,$B$5:$B53,"&gt;="&amp;供应商对账单!$E$3,$B$5:$B53,"&lt;="&amp;供应商对账单!$H$3),"")</f>
        <v/>
      </c>
    </row>
    <row r="54" customFormat="false" ht="15.75" hidden="false" customHeight="true" outlineLevel="0" collapsed="false">
      <c r="A54" s="42" t="str">
        <f aca="false">IF($B54="","","CG"&amp;TEXT($B54,"yyyymm")&amp;"-"&amp;TEXT(ROW()-4,"000"))</f>
        <v/>
      </c>
      <c r="B54" s="41"/>
      <c r="C54" s="42" t="str">
        <f aca="false">IF($B54="","",TEXT($B54,"yyyy-mm"))</f>
        <v/>
      </c>
      <c r="D54" s="32"/>
      <c r="E54" s="36"/>
      <c r="F54" s="43"/>
      <c r="G54" s="40"/>
      <c r="H54" s="51"/>
      <c r="I54" s="33"/>
      <c r="J54" s="31"/>
      <c r="K54" s="33"/>
      <c r="L54" s="33"/>
      <c r="M54" s="36"/>
      <c r="N54" s="47" t="str">
        <f aca="false">IF($B54="","",IF(NOT(ISNUMBER($B54)),"日期不是日期格式",IF(YEAR($B54)&lt;&gt;首页!$B$3,"不在会计年度",IF($D54="","未选供应商",IF(ISNA(MATCH($D54,基础资料!$AF$6:$AF$155,0)),"供应商不在档案",IF($E54="","未填商品或内容",IF(NOT(ISNUMBER($F54)),"数量须为数字",IF(NOT(ISNUMBER($G54)),"单价须为数字",IF(N($F54)&lt;=0,"数量须大于0",IF($I54="","请选是否入库",IF(AND($I54="是",ISNA(MATCH($E54,基础资料!$Q$6:$Q$205,0))),"入库商品必须在商品档案中",IF(AND($I54="否",$J54&lt;&gt;"",ISNA(MATCH($J54,科目参数!$A$6:$A$125,0))),"费用科目不存在","√"))))))))))))</f>
        <v/>
      </c>
      <c r="O54" s="49" t="str">
        <f aca="false">IF($E54="","",IFERROR(INDEX(基础资料!$R$6:$R$205,MATCH($E54,基础资料!$Q$6:$Q$205,0)),""))</f>
        <v/>
      </c>
      <c r="P54" s="49" t="str">
        <f aca="false">IF($E54="","",IFERROR(INDEX(基础资料!$S$6:$S$205,MATCH($E54,基础资料!$Q$6:$Q$205,0)),""))</f>
        <v/>
      </c>
      <c r="Q54" s="48" t="str">
        <f aca="false">IF(OR($F54="",$G54=""),"",ROUND(N($F54)*N($G54),2))</f>
        <v/>
      </c>
      <c r="R54" s="48" t="str">
        <f aca="false">IF($Q54="","",ROUND(N($Q54)*N($H54),2))</f>
        <v/>
      </c>
      <c r="S54" s="48" t="str">
        <f aca="false">IF($Q54="","",N($Q54)+N($R54))</f>
        <v/>
      </c>
      <c r="T54" s="52" t="str">
        <f aca="false">IF(OR($B54="",$D54=""),"",$B54+N(IFERROR(INDEX(基础资料!$AH$6:$AH$155,MATCH($D54,基础资料!$AF$6:$AF$155,0)),0)))</f>
        <v/>
      </c>
      <c r="U54" s="49" t="str">
        <f aca="false">IF($Q54="","",IF($I54="是","1405",IF($J54="","6602",$J54)))</f>
        <v/>
      </c>
      <c r="V54" s="49" t="str">
        <f aca="false">IF($Q54="","","2202")</f>
        <v/>
      </c>
      <c r="W54" s="48" t="str">
        <f aca="false">IF($Q54="","",$Q54)</f>
        <v/>
      </c>
      <c r="X54" s="49" t="str">
        <f aca="false">IF(N($R54)=0,"","2221")</f>
        <v/>
      </c>
      <c r="Y54" s="49" t="str">
        <f aca="false">IF(N($R54)=0,"","2202")</f>
        <v/>
      </c>
      <c r="Z54" s="48" t="str">
        <f aca="false">IF(N($R54)=0,"",$R54)</f>
        <v/>
      </c>
      <c r="AA54" s="49" t="str">
        <f aca="false">IF(AND($D54=供应商对账单!$B$3,$B54&gt;=供应商对账单!$E$3,$B54&lt;=供应商对账单!$H$3),COUNTIFS($D$5:$D54,供应商对账单!$B$3,$B$5:$B54,"&gt;="&amp;供应商对账单!$E$3,$B$5:$B54,"&lt;="&amp;供应商对账单!$H$3),"")</f>
        <v/>
      </c>
    </row>
    <row r="55" customFormat="false" ht="15.75" hidden="false" customHeight="true" outlineLevel="0" collapsed="false">
      <c r="A55" s="42" t="str">
        <f aca="false">IF($B55="","","CG"&amp;TEXT($B55,"yyyymm")&amp;"-"&amp;TEXT(ROW()-4,"000"))</f>
        <v/>
      </c>
      <c r="B55" s="41"/>
      <c r="C55" s="42" t="str">
        <f aca="false">IF($B55="","",TEXT($B55,"yyyy-mm"))</f>
        <v/>
      </c>
      <c r="D55" s="32"/>
      <c r="E55" s="36"/>
      <c r="F55" s="43"/>
      <c r="G55" s="40"/>
      <c r="H55" s="51"/>
      <c r="I55" s="33"/>
      <c r="J55" s="31"/>
      <c r="K55" s="33"/>
      <c r="L55" s="33"/>
      <c r="M55" s="36"/>
      <c r="N55" s="47" t="str">
        <f aca="false">IF($B55="","",IF(NOT(ISNUMBER($B55)),"日期不是日期格式",IF(YEAR($B55)&lt;&gt;首页!$B$3,"不在会计年度",IF($D55="","未选供应商",IF(ISNA(MATCH($D55,基础资料!$AF$6:$AF$155,0)),"供应商不在档案",IF($E55="","未填商品或内容",IF(NOT(ISNUMBER($F55)),"数量须为数字",IF(NOT(ISNUMBER($G55)),"单价须为数字",IF(N($F55)&lt;=0,"数量须大于0",IF($I55="","请选是否入库",IF(AND($I55="是",ISNA(MATCH($E55,基础资料!$Q$6:$Q$205,0))),"入库商品必须在商品档案中",IF(AND($I55="否",$J55&lt;&gt;"",ISNA(MATCH($J55,科目参数!$A$6:$A$125,0))),"费用科目不存在","√"))))))))))))</f>
        <v/>
      </c>
      <c r="O55" s="49" t="str">
        <f aca="false">IF($E55="","",IFERROR(INDEX(基础资料!$R$6:$R$205,MATCH($E55,基础资料!$Q$6:$Q$205,0)),""))</f>
        <v/>
      </c>
      <c r="P55" s="49" t="str">
        <f aca="false">IF($E55="","",IFERROR(INDEX(基础资料!$S$6:$S$205,MATCH($E55,基础资料!$Q$6:$Q$205,0)),""))</f>
        <v/>
      </c>
      <c r="Q55" s="48" t="str">
        <f aca="false">IF(OR($F55="",$G55=""),"",ROUND(N($F55)*N($G55),2))</f>
        <v/>
      </c>
      <c r="R55" s="48" t="str">
        <f aca="false">IF($Q55="","",ROUND(N($Q55)*N($H55),2))</f>
        <v/>
      </c>
      <c r="S55" s="48" t="str">
        <f aca="false">IF($Q55="","",N($Q55)+N($R55))</f>
        <v/>
      </c>
      <c r="T55" s="52" t="str">
        <f aca="false">IF(OR($B55="",$D55=""),"",$B55+N(IFERROR(INDEX(基础资料!$AH$6:$AH$155,MATCH($D55,基础资料!$AF$6:$AF$155,0)),0)))</f>
        <v/>
      </c>
      <c r="U55" s="49" t="str">
        <f aca="false">IF($Q55="","",IF($I55="是","1405",IF($J55="","6602",$J55)))</f>
        <v/>
      </c>
      <c r="V55" s="49" t="str">
        <f aca="false">IF($Q55="","","2202")</f>
        <v/>
      </c>
      <c r="W55" s="48" t="str">
        <f aca="false">IF($Q55="","",$Q55)</f>
        <v/>
      </c>
      <c r="X55" s="49" t="str">
        <f aca="false">IF(N($R55)=0,"","2221")</f>
        <v/>
      </c>
      <c r="Y55" s="49" t="str">
        <f aca="false">IF(N($R55)=0,"","2202")</f>
        <v/>
      </c>
      <c r="Z55" s="48" t="str">
        <f aca="false">IF(N($R55)=0,"",$R55)</f>
        <v/>
      </c>
      <c r="AA55" s="49" t="str">
        <f aca="false">IF(AND($D55=供应商对账单!$B$3,$B55&gt;=供应商对账单!$E$3,$B55&lt;=供应商对账单!$H$3),COUNTIFS($D$5:$D55,供应商对账单!$B$3,$B$5:$B55,"&gt;="&amp;供应商对账单!$E$3,$B$5:$B55,"&lt;="&amp;供应商对账单!$H$3),"")</f>
        <v/>
      </c>
    </row>
    <row r="56" customFormat="false" ht="15.75" hidden="false" customHeight="true" outlineLevel="0" collapsed="false">
      <c r="A56" s="42" t="str">
        <f aca="false">IF($B56="","","CG"&amp;TEXT($B56,"yyyymm")&amp;"-"&amp;TEXT(ROW()-4,"000"))</f>
        <v/>
      </c>
      <c r="B56" s="41"/>
      <c r="C56" s="42" t="str">
        <f aca="false">IF($B56="","",TEXT($B56,"yyyy-mm"))</f>
        <v/>
      </c>
      <c r="D56" s="32"/>
      <c r="E56" s="36"/>
      <c r="F56" s="43"/>
      <c r="G56" s="40"/>
      <c r="H56" s="51"/>
      <c r="I56" s="33"/>
      <c r="J56" s="31"/>
      <c r="K56" s="33"/>
      <c r="L56" s="33"/>
      <c r="M56" s="36"/>
      <c r="N56" s="47" t="str">
        <f aca="false">IF($B56="","",IF(NOT(ISNUMBER($B56)),"日期不是日期格式",IF(YEAR($B56)&lt;&gt;首页!$B$3,"不在会计年度",IF($D56="","未选供应商",IF(ISNA(MATCH($D56,基础资料!$AF$6:$AF$155,0)),"供应商不在档案",IF($E56="","未填商品或内容",IF(NOT(ISNUMBER($F56)),"数量须为数字",IF(NOT(ISNUMBER($G56)),"单价须为数字",IF(N($F56)&lt;=0,"数量须大于0",IF($I56="","请选是否入库",IF(AND($I56="是",ISNA(MATCH($E56,基础资料!$Q$6:$Q$205,0))),"入库商品必须在商品档案中",IF(AND($I56="否",$J56&lt;&gt;"",ISNA(MATCH($J56,科目参数!$A$6:$A$125,0))),"费用科目不存在","√"))))))))))))</f>
        <v/>
      </c>
      <c r="O56" s="49" t="str">
        <f aca="false">IF($E56="","",IFERROR(INDEX(基础资料!$R$6:$R$205,MATCH($E56,基础资料!$Q$6:$Q$205,0)),""))</f>
        <v/>
      </c>
      <c r="P56" s="49" t="str">
        <f aca="false">IF($E56="","",IFERROR(INDEX(基础资料!$S$6:$S$205,MATCH($E56,基础资料!$Q$6:$Q$205,0)),""))</f>
        <v/>
      </c>
      <c r="Q56" s="48" t="str">
        <f aca="false">IF(OR($F56="",$G56=""),"",ROUND(N($F56)*N($G56),2))</f>
        <v/>
      </c>
      <c r="R56" s="48" t="str">
        <f aca="false">IF($Q56="","",ROUND(N($Q56)*N($H56),2))</f>
        <v/>
      </c>
      <c r="S56" s="48" t="str">
        <f aca="false">IF($Q56="","",N($Q56)+N($R56))</f>
        <v/>
      </c>
      <c r="T56" s="52" t="str">
        <f aca="false">IF(OR($B56="",$D56=""),"",$B56+N(IFERROR(INDEX(基础资料!$AH$6:$AH$155,MATCH($D56,基础资料!$AF$6:$AF$155,0)),0)))</f>
        <v/>
      </c>
      <c r="U56" s="49" t="str">
        <f aca="false">IF($Q56="","",IF($I56="是","1405",IF($J56="","6602",$J56)))</f>
        <v/>
      </c>
      <c r="V56" s="49" t="str">
        <f aca="false">IF($Q56="","","2202")</f>
        <v/>
      </c>
      <c r="W56" s="48" t="str">
        <f aca="false">IF($Q56="","",$Q56)</f>
        <v/>
      </c>
      <c r="X56" s="49" t="str">
        <f aca="false">IF(N($R56)=0,"","2221")</f>
        <v/>
      </c>
      <c r="Y56" s="49" t="str">
        <f aca="false">IF(N($R56)=0,"","2202")</f>
        <v/>
      </c>
      <c r="Z56" s="48" t="str">
        <f aca="false">IF(N($R56)=0,"",$R56)</f>
        <v/>
      </c>
      <c r="AA56" s="49" t="str">
        <f aca="false">IF(AND($D56=供应商对账单!$B$3,$B56&gt;=供应商对账单!$E$3,$B56&lt;=供应商对账单!$H$3),COUNTIFS($D$5:$D56,供应商对账单!$B$3,$B$5:$B56,"&gt;="&amp;供应商对账单!$E$3,$B$5:$B56,"&lt;="&amp;供应商对账单!$H$3),"")</f>
        <v/>
      </c>
    </row>
    <row r="57" customFormat="false" ht="15.75" hidden="false" customHeight="true" outlineLevel="0" collapsed="false">
      <c r="A57" s="42" t="str">
        <f aca="false">IF($B57="","","CG"&amp;TEXT($B57,"yyyymm")&amp;"-"&amp;TEXT(ROW()-4,"000"))</f>
        <v/>
      </c>
      <c r="B57" s="41"/>
      <c r="C57" s="42" t="str">
        <f aca="false">IF($B57="","",TEXT($B57,"yyyy-mm"))</f>
        <v/>
      </c>
      <c r="D57" s="32"/>
      <c r="E57" s="36"/>
      <c r="F57" s="43"/>
      <c r="G57" s="40"/>
      <c r="H57" s="51"/>
      <c r="I57" s="33"/>
      <c r="J57" s="31"/>
      <c r="K57" s="33"/>
      <c r="L57" s="33"/>
      <c r="M57" s="36"/>
      <c r="N57" s="47" t="str">
        <f aca="false">IF($B57="","",IF(NOT(ISNUMBER($B57)),"日期不是日期格式",IF(YEAR($B57)&lt;&gt;首页!$B$3,"不在会计年度",IF($D57="","未选供应商",IF(ISNA(MATCH($D57,基础资料!$AF$6:$AF$155,0)),"供应商不在档案",IF($E57="","未填商品或内容",IF(NOT(ISNUMBER($F57)),"数量须为数字",IF(NOT(ISNUMBER($G57)),"单价须为数字",IF(N($F57)&lt;=0,"数量须大于0",IF($I57="","请选是否入库",IF(AND($I57="是",ISNA(MATCH($E57,基础资料!$Q$6:$Q$205,0))),"入库商品必须在商品档案中",IF(AND($I57="否",$J57&lt;&gt;"",ISNA(MATCH($J57,科目参数!$A$6:$A$125,0))),"费用科目不存在","√"))))))))))))</f>
        <v/>
      </c>
      <c r="O57" s="49" t="str">
        <f aca="false">IF($E57="","",IFERROR(INDEX(基础资料!$R$6:$R$205,MATCH($E57,基础资料!$Q$6:$Q$205,0)),""))</f>
        <v/>
      </c>
      <c r="P57" s="49" t="str">
        <f aca="false">IF($E57="","",IFERROR(INDEX(基础资料!$S$6:$S$205,MATCH($E57,基础资料!$Q$6:$Q$205,0)),""))</f>
        <v/>
      </c>
      <c r="Q57" s="48" t="str">
        <f aca="false">IF(OR($F57="",$G57=""),"",ROUND(N($F57)*N($G57),2))</f>
        <v/>
      </c>
      <c r="R57" s="48" t="str">
        <f aca="false">IF($Q57="","",ROUND(N($Q57)*N($H57),2))</f>
        <v/>
      </c>
      <c r="S57" s="48" t="str">
        <f aca="false">IF($Q57="","",N($Q57)+N($R57))</f>
        <v/>
      </c>
      <c r="T57" s="52" t="str">
        <f aca="false">IF(OR($B57="",$D57=""),"",$B57+N(IFERROR(INDEX(基础资料!$AH$6:$AH$155,MATCH($D57,基础资料!$AF$6:$AF$155,0)),0)))</f>
        <v/>
      </c>
      <c r="U57" s="49" t="str">
        <f aca="false">IF($Q57="","",IF($I57="是","1405",IF($J57="","6602",$J57)))</f>
        <v/>
      </c>
      <c r="V57" s="49" t="str">
        <f aca="false">IF($Q57="","","2202")</f>
        <v/>
      </c>
      <c r="W57" s="48" t="str">
        <f aca="false">IF($Q57="","",$Q57)</f>
        <v/>
      </c>
      <c r="X57" s="49" t="str">
        <f aca="false">IF(N($R57)=0,"","2221")</f>
        <v/>
      </c>
      <c r="Y57" s="49" t="str">
        <f aca="false">IF(N($R57)=0,"","2202")</f>
        <v/>
      </c>
      <c r="Z57" s="48" t="str">
        <f aca="false">IF(N($R57)=0,"",$R57)</f>
        <v/>
      </c>
      <c r="AA57" s="49" t="str">
        <f aca="false">IF(AND($D57=供应商对账单!$B$3,$B57&gt;=供应商对账单!$E$3,$B57&lt;=供应商对账单!$H$3),COUNTIFS($D$5:$D57,供应商对账单!$B$3,$B$5:$B57,"&gt;="&amp;供应商对账单!$E$3,$B$5:$B57,"&lt;="&amp;供应商对账单!$H$3),"")</f>
        <v/>
      </c>
    </row>
    <row r="58" customFormat="false" ht="15.75" hidden="false" customHeight="true" outlineLevel="0" collapsed="false">
      <c r="A58" s="42" t="str">
        <f aca="false">IF($B58="","","CG"&amp;TEXT($B58,"yyyymm")&amp;"-"&amp;TEXT(ROW()-4,"000"))</f>
        <v/>
      </c>
      <c r="B58" s="41"/>
      <c r="C58" s="42" t="str">
        <f aca="false">IF($B58="","",TEXT($B58,"yyyy-mm"))</f>
        <v/>
      </c>
      <c r="D58" s="32"/>
      <c r="E58" s="36"/>
      <c r="F58" s="43"/>
      <c r="G58" s="40"/>
      <c r="H58" s="51"/>
      <c r="I58" s="33"/>
      <c r="J58" s="31"/>
      <c r="K58" s="33"/>
      <c r="L58" s="33"/>
      <c r="M58" s="36"/>
      <c r="N58" s="47" t="str">
        <f aca="false">IF($B58="","",IF(NOT(ISNUMBER($B58)),"日期不是日期格式",IF(YEAR($B58)&lt;&gt;首页!$B$3,"不在会计年度",IF($D58="","未选供应商",IF(ISNA(MATCH($D58,基础资料!$AF$6:$AF$155,0)),"供应商不在档案",IF($E58="","未填商品或内容",IF(NOT(ISNUMBER($F58)),"数量须为数字",IF(NOT(ISNUMBER($G58)),"单价须为数字",IF(N($F58)&lt;=0,"数量须大于0",IF($I58="","请选是否入库",IF(AND($I58="是",ISNA(MATCH($E58,基础资料!$Q$6:$Q$205,0))),"入库商品必须在商品档案中",IF(AND($I58="否",$J58&lt;&gt;"",ISNA(MATCH($J58,科目参数!$A$6:$A$125,0))),"费用科目不存在","√"))))))))))))</f>
        <v/>
      </c>
      <c r="O58" s="49" t="str">
        <f aca="false">IF($E58="","",IFERROR(INDEX(基础资料!$R$6:$R$205,MATCH($E58,基础资料!$Q$6:$Q$205,0)),""))</f>
        <v/>
      </c>
      <c r="P58" s="49" t="str">
        <f aca="false">IF($E58="","",IFERROR(INDEX(基础资料!$S$6:$S$205,MATCH($E58,基础资料!$Q$6:$Q$205,0)),""))</f>
        <v/>
      </c>
      <c r="Q58" s="48" t="str">
        <f aca="false">IF(OR($F58="",$G58=""),"",ROUND(N($F58)*N($G58),2))</f>
        <v/>
      </c>
      <c r="R58" s="48" t="str">
        <f aca="false">IF($Q58="","",ROUND(N($Q58)*N($H58),2))</f>
        <v/>
      </c>
      <c r="S58" s="48" t="str">
        <f aca="false">IF($Q58="","",N($Q58)+N($R58))</f>
        <v/>
      </c>
      <c r="T58" s="52" t="str">
        <f aca="false">IF(OR($B58="",$D58=""),"",$B58+N(IFERROR(INDEX(基础资料!$AH$6:$AH$155,MATCH($D58,基础资料!$AF$6:$AF$155,0)),0)))</f>
        <v/>
      </c>
      <c r="U58" s="49" t="str">
        <f aca="false">IF($Q58="","",IF($I58="是","1405",IF($J58="","6602",$J58)))</f>
        <v/>
      </c>
      <c r="V58" s="49" t="str">
        <f aca="false">IF($Q58="","","2202")</f>
        <v/>
      </c>
      <c r="W58" s="48" t="str">
        <f aca="false">IF($Q58="","",$Q58)</f>
        <v/>
      </c>
      <c r="X58" s="49" t="str">
        <f aca="false">IF(N($R58)=0,"","2221")</f>
        <v/>
      </c>
      <c r="Y58" s="49" t="str">
        <f aca="false">IF(N($R58)=0,"","2202")</f>
        <v/>
      </c>
      <c r="Z58" s="48" t="str">
        <f aca="false">IF(N($R58)=0,"",$R58)</f>
        <v/>
      </c>
      <c r="AA58" s="49" t="str">
        <f aca="false">IF(AND($D58=供应商对账单!$B$3,$B58&gt;=供应商对账单!$E$3,$B58&lt;=供应商对账单!$H$3),COUNTIFS($D$5:$D58,供应商对账单!$B$3,$B$5:$B58,"&gt;="&amp;供应商对账单!$E$3,$B$5:$B58,"&lt;="&amp;供应商对账单!$H$3),"")</f>
        <v/>
      </c>
    </row>
    <row r="59" customFormat="false" ht="15.75" hidden="false" customHeight="true" outlineLevel="0" collapsed="false">
      <c r="A59" s="42" t="str">
        <f aca="false">IF($B59="","","CG"&amp;TEXT($B59,"yyyymm")&amp;"-"&amp;TEXT(ROW()-4,"000"))</f>
        <v/>
      </c>
      <c r="B59" s="41"/>
      <c r="C59" s="42" t="str">
        <f aca="false">IF($B59="","",TEXT($B59,"yyyy-mm"))</f>
        <v/>
      </c>
      <c r="D59" s="32"/>
      <c r="E59" s="36"/>
      <c r="F59" s="43"/>
      <c r="G59" s="40"/>
      <c r="H59" s="51"/>
      <c r="I59" s="33"/>
      <c r="J59" s="31"/>
      <c r="K59" s="33"/>
      <c r="L59" s="33"/>
      <c r="M59" s="36"/>
      <c r="N59" s="47" t="str">
        <f aca="false">IF($B59="","",IF(NOT(ISNUMBER($B59)),"日期不是日期格式",IF(YEAR($B59)&lt;&gt;首页!$B$3,"不在会计年度",IF($D59="","未选供应商",IF(ISNA(MATCH($D59,基础资料!$AF$6:$AF$155,0)),"供应商不在档案",IF($E59="","未填商品或内容",IF(NOT(ISNUMBER($F59)),"数量须为数字",IF(NOT(ISNUMBER($G59)),"单价须为数字",IF(N($F59)&lt;=0,"数量须大于0",IF($I59="","请选是否入库",IF(AND($I59="是",ISNA(MATCH($E59,基础资料!$Q$6:$Q$205,0))),"入库商品必须在商品档案中",IF(AND($I59="否",$J59&lt;&gt;"",ISNA(MATCH($J59,科目参数!$A$6:$A$125,0))),"费用科目不存在","√"))))))))))))</f>
        <v/>
      </c>
      <c r="O59" s="49" t="str">
        <f aca="false">IF($E59="","",IFERROR(INDEX(基础资料!$R$6:$R$205,MATCH($E59,基础资料!$Q$6:$Q$205,0)),""))</f>
        <v/>
      </c>
      <c r="P59" s="49" t="str">
        <f aca="false">IF($E59="","",IFERROR(INDEX(基础资料!$S$6:$S$205,MATCH($E59,基础资料!$Q$6:$Q$205,0)),""))</f>
        <v/>
      </c>
      <c r="Q59" s="48" t="str">
        <f aca="false">IF(OR($F59="",$G59=""),"",ROUND(N($F59)*N($G59),2))</f>
        <v/>
      </c>
      <c r="R59" s="48" t="str">
        <f aca="false">IF($Q59="","",ROUND(N($Q59)*N($H59),2))</f>
        <v/>
      </c>
      <c r="S59" s="48" t="str">
        <f aca="false">IF($Q59="","",N($Q59)+N($R59))</f>
        <v/>
      </c>
      <c r="T59" s="52" t="str">
        <f aca="false">IF(OR($B59="",$D59=""),"",$B59+N(IFERROR(INDEX(基础资料!$AH$6:$AH$155,MATCH($D59,基础资料!$AF$6:$AF$155,0)),0)))</f>
        <v/>
      </c>
      <c r="U59" s="49" t="str">
        <f aca="false">IF($Q59="","",IF($I59="是","1405",IF($J59="","6602",$J59)))</f>
        <v/>
      </c>
      <c r="V59" s="49" t="str">
        <f aca="false">IF($Q59="","","2202")</f>
        <v/>
      </c>
      <c r="W59" s="48" t="str">
        <f aca="false">IF($Q59="","",$Q59)</f>
        <v/>
      </c>
      <c r="X59" s="49" t="str">
        <f aca="false">IF(N($R59)=0,"","2221")</f>
        <v/>
      </c>
      <c r="Y59" s="49" t="str">
        <f aca="false">IF(N($R59)=0,"","2202")</f>
        <v/>
      </c>
      <c r="Z59" s="48" t="str">
        <f aca="false">IF(N($R59)=0,"",$R59)</f>
        <v/>
      </c>
      <c r="AA59" s="49" t="str">
        <f aca="false">IF(AND($D59=供应商对账单!$B$3,$B59&gt;=供应商对账单!$E$3,$B59&lt;=供应商对账单!$H$3),COUNTIFS($D$5:$D59,供应商对账单!$B$3,$B$5:$B59,"&gt;="&amp;供应商对账单!$E$3,$B$5:$B59,"&lt;="&amp;供应商对账单!$H$3),"")</f>
        <v/>
      </c>
    </row>
    <row r="60" customFormat="false" ht="15.75" hidden="false" customHeight="true" outlineLevel="0" collapsed="false">
      <c r="A60" s="42" t="str">
        <f aca="false">IF($B60="","","CG"&amp;TEXT($B60,"yyyymm")&amp;"-"&amp;TEXT(ROW()-4,"000"))</f>
        <v/>
      </c>
      <c r="B60" s="41"/>
      <c r="C60" s="42" t="str">
        <f aca="false">IF($B60="","",TEXT($B60,"yyyy-mm"))</f>
        <v/>
      </c>
      <c r="D60" s="32"/>
      <c r="E60" s="36"/>
      <c r="F60" s="43"/>
      <c r="G60" s="40"/>
      <c r="H60" s="51"/>
      <c r="I60" s="33"/>
      <c r="J60" s="31"/>
      <c r="K60" s="33"/>
      <c r="L60" s="33"/>
      <c r="M60" s="36"/>
      <c r="N60" s="47" t="str">
        <f aca="false">IF($B60="","",IF(NOT(ISNUMBER($B60)),"日期不是日期格式",IF(YEAR($B60)&lt;&gt;首页!$B$3,"不在会计年度",IF($D60="","未选供应商",IF(ISNA(MATCH($D60,基础资料!$AF$6:$AF$155,0)),"供应商不在档案",IF($E60="","未填商品或内容",IF(NOT(ISNUMBER($F60)),"数量须为数字",IF(NOT(ISNUMBER($G60)),"单价须为数字",IF(N($F60)&lt;=0,"数量须大于0",IF($I60="","请选是否入库",IF(AND($I60="是",ISNA(MATCH($E60,基础资料!$Q$6:$Q$205,0))),"入库商品必须在商品档案中",IF(AND($I60="否",$J60&lt;&gt;"",ISNA(MATCH($J60,科目参数!$A$6:$A$125,0))),"费用科目不存在","√"))))))))))))</f>
        <v/>
      </c>
      <c r="O60" s="49" t="str">
        <f aca="false">IF($E60="","",IFERROR(INDEX(基础资料!$R$6:$R$205,MATCH($E60,基础资料!$Q$6:$Q$205,0)),""))</f>
        <v/>
      </c>
      <c r="P60" s="49" t="str">
        <f aca="false">IF($E60="","",IFERROR(INDEX(基础资料!$S$6:$S$205,MATCH($E60,基础资料!$Q$6:$Q$205,0)),""))</f>
        <v/>
      </c>
      <c r="Q60" s="48" t="str">
        <f aca="false">IF(OR($F60="",$G60=""),"",ROUND(N($F60)*N($G60),2))</f>
        <v/>
      </c>
      <c r="R60" s="48" t="str">
        <f aca="false">IF($Q60="","",ROUND(N($Q60)*N($H60),2))</f>
        <v/>
      </c>
      <c r="S60" s="48" t="str">
        <f aca="false">IF($Q60="","",N($Q60)+N($R60))</f>
        <v/>
      </c>
      <c r="T60" s="52" t="str">
        <f aca="false">IF(OR($B60="",$D60=""),"",$B60+N(IFERROR(INDEX(基础资料!$AH$6:$AH$155,MATCH($D60,基础资料!$AF$6:$AF$155,0)),0)))</f>
        <v/>
      </c>
      <c r="U60" s="49" t="str">
        <f aca="false">IF($Q60="","",IF($I60="是","1405",IF($J60="","6602",$J60)))</f>
        <v/>
      </c>
      <c r="V60" s="49" t="str">
        <f aca="false">IF($Q60="","","2202")</f>
        <v/>
      </c>
      <c r="W60" s="48" t="str">
        <f aca="false">IF($Q60="","",$Q60)</f>
        <v/>
      </c>
      <c r="X60" s="49" t="str">
        <f aca="false">IF(N($R60)=0,"","2221")</f>
        <v/>
      </c>
      <c r="Y60" s="49" t="str">
        <f aca="false">IF(N($R60)=0,"","2202")</f>
        <v/>
      </c>
      <c r="Z60" s="48" t="str">
        <f aca="false">IF(N($R60)=0,"",$R60)</f>
        <v/>
      </c>
      <c r="AA60" s="49" t="str">
        <f aca="false">IF(AND($D60=供应商对账单!$B$3,$B60&gt;=供应商对账单!$E$3,$B60&lt;=供应商对账单!$H$3),COUNTIFS($D$5:$D60,供应商对账单!$B$3,$B$5:$B60,"&gt;="&amp;供应商对账单!$E$3,$B$5:$B60,"&lt;="&amp;供应商对账单!$H$3),"")</f>
        <v/>
      </c>
    </row>
    <row r="61" customFormat="false" ht="15.75" hidden="false" customHeight="true" outlineLevel="0" collapsed="false">
      <c r="A61" s="42" t="str">
        <f aca="false">IF($B61="","","CG"&amp;TEXT($B61,"yyyymm")&amp;"-"&amp;TEXT(ROW()-4,"000"))</f>
        <v/>
      </c>
      <c r="B61" s="41"/>
      <c r="C61" s="42" t="str">
        <f aca="false">IF($B61="","",TEXT($B61,"yyyy-mm"))</f>
        <v/>
      </c>
      <c r="D61" s="32"/>
      <c r="E61" s="36"/>
      <c r="F61" s="43"/>
      <c r="G61" s="40"/>
      <c r="H61" s="51"/>
      <c r="I61" s="33"/>
      <c r="J61" s="31"/>
      <c r="K61" s="33"/>
      <c r="L61" s="33"/>
      <c r="M61" s="36"/>
      <c r="N61" s="47" t="str">
        <f aca="false">IF($B61="","",IF(NOT(ISNUMBER($B61)),"日期不是日期格式",IF(YEAR($B61)&lt;&gt;首页!$B$3,"不在会计年度",IF($D61="","未选供应商",IF(ISNA(MATCH($D61,基础资料!$AF$6:$AF$155,0)),"供应商不在档案",IF($E61="","未填商品或内容",IF(NOT(ISNUMBER($F61)),"数量须为数字",IF(NOT(ISNUMBER($G61)),"单价须为数字",IF(N($F61)&lt;=0,"数量须大于0",IF($I61="","请选是否入库",IF(AND($I61="是",ISNA(MATCH($E61,基础资料!$Q$6:$Q$205,0))),"入库商品必须在商品档案中",IF(AND($I61="否",$J61&lt;&gt;"",ISNA(MATCH($J61,科目参数!$A$6:$A$125,0))),"费用科目不存在","√"))))))))))))</f>
        <v/>
      </c>
      <c r="O61" s="49" t="str">
        <f aca="false">IF($E61="","",IFERROR(INDEX(基础资料!$R$6:$R$205,MATCH($E61,基础资料!$Q$6:$Q$205,0)),""))</f>
        <v/>
      </c>
      <c r="P61" s="49" t="str">
        <f aca="false">IF($E61="","",IFERROR(INDEX(基础资料!$S$6:$S$205,MATCH($E61,基础资料!$Q$6:$Q$205,0)),""))</f>
        <v/>
      </c>
      <c r="Q61" s="48" t="str">
        <f aca="false">IF(OR($F61="",$G61=""),"",ROUND(N($F61)*N($G61),2))</f>
        <v/>
      </c>
      <c r="R61" s="48" t="str">
        <f aca="false">IF($Q61="","",ROUND(N($Q61)*N($H61),2))</f>
        <v/>
      </c>
      <c r="S61" s="48" t="str">
        <f aca="false">IF($Q61="","",N($Q61)+N($R61))</f>
        <v/>
      </c>
      <c r="T61" s="52" t="str">
        <f aca="false">IF(OR($B61="",$D61=""),"",$B61+N(IFERROR(INDEX(基础资料!$AH$6:$AH$155,MATCH($D61,基础资料!$AF$6:$AF$155,0)),0)))</f>
        <v/>
      </c>
      <c r="U61" s="49" t="str">
        <f aca="false">IF($Q61="","",IF($I61="是","1405",IF($J61="","6602",$J61)))</f>
        <v/>
      </c>
      <c r="V61" s="49" t="str">
        <f aca="false">IF($Q61="","","2202")</f>
        <v/>
      </c>
      <c r="W61" s="48" t="str">
        <f aca="false">IF($Q61="","",$Q61)</f>
        <v/>
      </c>
      <c r="X61" s="49" t="str">
        <f aca="false">IF(N($R61)=0,"","2221")</f>
        <v/>
      </c>
      <c r="Y61" s="49" t="str">
        <f aca="false">IF(N($R61)=0,"","2202")</f>
        <v/>
      </c>
      <c r="Z61" s="48" t="str">
        <f aca="false">IF(N($R61)=0,"",$R61)</f>
        <v/>
      </c>
      <c r="AA61" s="49" t="str">
        <f aca="false">IF(AND($D61=供应商对账单!$B$3,$B61&gt;=供应商对账单!$E$3,$B61&lt;=供应商对账单!$H$3),COUNTIFS($D$5:$D61,供应商对账单!$B$3,$B$5:$B61,"&gt;="&amp;供应商对账单!$E$3,$B$5:$B61,"&lt;="&amp;供应商对账单!$H$3),"")</f>
        <v/>
      </c>
    </row>
    <row r="62" customFormat="false" ht="15.75" hidden="false" customHeight="true" outlineLevel="0" collapsed="false">
      <c r="A62" s="42" t="str">
        <f aca="false">IF($B62="","","CG"&amp;TEXT($B62,"yyyymm")&amp;"-"&amp;TEXT(ROW()-4,"000"))</f>
        <v/>
      </c>
      <c r="B62" s="41"/>
      <c r="C62" s="42" t="str">
        <f aca="false">IF($B62="","",TEXT($B62,"yyyy-mm"))</f>
        <v/>
      </c>
      <c r="D62" s="32"/>
      <c r="E62" s="36"/>
      <c r="F62" s="43"/>
      <c r="G62" s="40"/>
      <c r="H62" s="51"/>
      <c r="I62" s="33"/>
      <c r="J62" s="31"/>
      <c r="K62" s="33"/>
      <c r="L62" s="33"/>
      <c r="M62" s="36"/>
      <c r="N62" s="47" t="str">
        <f aca="false">IF($B62="","",IF(NOT(ISNUMBER($B62)),"日期不是日期格式",IF(YEAR($B62)&lt;&gt;首页!$B$3,"不在会计年度",IF($D62="","未选供应商",IF(ISNA(MATCH($D62,基础资料!$AF$6:$AF$155,0)),"供应商不在档案",IF($E62="","未填商品或内容",IF(NOT(ISNUMBER($F62)),"数量须为数字",IF(NOT(ISNUMBER($G62)),"单价须为数字",IF(N($F62)&lt;=0,"数量须大于0",IF($I62="","请选是否入库",IF(AND($I62="是",ISNA(MATCH($E62,基础资料!$Q$6:$Q$205,0))),"入库商品必须在商品档案中",IF(AND($I62="否",$J62&lt;&gt;"",ISNA(MATCH($J62,科目参数!$A$6:$A$125,0))),"费用科目不存在","√"))))))))))))</f>
        <v/>
      </c>
      <c r="O62" s="49" t="str">
        <f aca="false">IF($E62="","",IFERROR(INDEX(基础资料!$R$6:$R$205,MATCH($E62,基础资料!$Q$6:$Q$205,0)),""))</f>
        <v/>
      </c>
      <c r="P62" s="49" t="str">
        <f aca="false">IF($E62="","",IFERROR(INDEX(基础资料!$S$6:$S$205,MATCH($E62,基础资料!$Q$6:$Q$205,0)),""))</f>
        <v/>
      </c>
      <c r="Q62" s="48" t="str">
        <f aca="false">IF(OR($F62="",$G62=""),"",ROUND(N($F62)*N($G62),2))</f>
        <v/>
      </c>
      <c r="R62" s="48" t="str">
        <f aca="false">IF($Q62="","",ROUND(N($Q62)*N($H62),2))</f>
        <v/>
      </c>
      <c r="S62" s="48" t="str">
        <f aca="false">IF($Q62="","",N($Q62)+N($R62))</f>
        <v/>
      </c>
      <c r="T62" s="52" t="str">
        <f aca="false">IF(OR($B62="",$D62=""),"",$B62+N(IFERROR(INDEX(基础资料!$AH$6:$AH$155,MATCH($D62,基础资料!$AF$6:$AF$155,0)),0)))</f>
        <v/>
      </c>
      <c r="U62" s="49" t="str">
        <f aca="false">IF($Q62="","",IF($I62="是","1405",IF($J62="","6602",$J62)))</f>
        <v/>
      </c>
      <c r="V62" s="49" t="str">
        <f aca="false">IF($Q62="","","2202")</f>
        <v/>
      </c>
      <c r="W62" s="48" t="str">
        <f aca="false">IF($Q62="","",$Q62)</f>
        <v/>
      </c>
      <c r="X62" s="49" t="str">
        <f aca="false">IF(N($R62)=0,"","2221")</f>
        <v/>
      </c>
      <c r="Y62" s="49" t="str">
        <f aca="false">IF(N($R62)=0,"","2202")</f>
        <v/>
      </c>
      <c r="Z62" s="48" t="str">
        <f aca="false">IF(N($R62)=0,"",$R62)</f>
        <v/>
      </c>
      <c r="AA62" s="49" t="str">
        <f aca="false">IF(AND($D62=供应商对账单!$B$3,$B62&gt;=供应商对账单!$E$3,$B62&lt;=供应商对账单!$H$3),COUNTIFS($D$5:$D62,供应商对账单!$B$3,$B$5:$B62,"&gt;="&amp;供应商对账单!$E$3,$B$5:$B62,"&lt;="&amp;供应商对账单!$H$3),"")</f>
        <v/>
      </c>
    </row>
    <row r="63" customFormat="false" ht="15.75" hidden="false" customHeight="true" outlineLevel="0" collapsed="false">
      <c r="A63" s="42" t="str">
        <f aca="false">IF($B63="","","CG"&amp;TEXT($B63,"yyyymm")&amp;"-"&amp;TEXT(ROW()-4,"000"))</f>
        <v/>
      </c>
      <c r="B63" s="41"/>
      <c r="C63" s="42" t="str">
        <f aca="false">IF($B63="","",TEXT($B63,"yyyy-mm"))</f>
        <v/>
      </c>
      <c r="D63" s="32"/>
      <c r="E63" s="36"/>
      <c r="F63" s="43"/>
      <c r="G63" s="40"/>
      <c r="H63" s="51"/>
      <c r="I63" s="33"/>
      <c r="J63" s="31"/>
      <c r="K63" s="33"/>
      <c r="L63" s="33"/>
      <c r="M63" s="36"/>
      <c r="N63" s="47" t="str">
        <f aca="false">IF($B63="","",IF(NOT(ISNUMBER($B63)),"日期不是日期格式",IF(YEAR($B63)&lt;&gt;首页!$B$3,"不在会计年度",IF($D63="","未选供应商",IF(ISNA(MATCH($D63,基础资料!$AF$6:$AF$155,0)),"供应商不在档案",IF($E63="","未填商品或内容",IF(NOT(ISNUMBER($F63)),"数量须为数字",IF(NOT(ISNUMBER($G63)),"单价须为数字",IF(N($F63)&lt;=0,"数量须大于0",IF($I63="","请选是否入库",IF(AND($I63="是",ISNA(MATCH($E63,基础资料!$Q$6:$Q$205,0))),"入库商品必须在商品档案中",IF(AND($I63="否",$J63&lt;&gt;"",ISNA(MATCH($J63,科目参数!$A$6:$A$125,0))),"费用科目不存在","√"))))))))))))</f>
        <v/>
      </c>
      <c r="O63" s="49" t="str">
        <f aca="false">IF($E63="","",IFERROR(INDEX(基础资料!$R$6:$R$205,MATCH($E63,基础资料!$Q$6:$Q$205,0)),""))</f>
        <v/>
      </c>
      <c r="P63" s="49" t="str">
        <f aca="false">IF($E63="","",IFERROR(INDEX(基础资料!$S$6:$S$205,MATCH($E63,基础资料!$Q$6:$Q$205,0)),""))</f>
        <v/>
      </c>
      <c r="Q63" s="48" t="str">
        <f aca="false">IF(OR($F63="",$G63=""),"",ROUND(N($F63)*N($G63),2))</f>
        <v/>
      </c>
      <c r="R63" s="48" t="str">
        <f aca="false">IF($Q63="","",ROUND(N($Q63)*N($H63),2))</f>
        <v/>
      </c>
      <c r="S63" s="48" t="str">
        <f aca="false">IF($Q63="","",N($Q63)+N($R63))</f>
        <v/>
      </c>
      <c r="T63" s="52" t="str">
        <f aca="false">IF(OR($B63="",$D63=""),"",$B63+N(IFERROR(INDEX(基础资料!$AH$6:$AH$155,MATCH($D63,基础资料!$AF$6:$AF$155,0)),0)))</f>
        <v/>
      </c>
      <c r="U63" s="49" t="str">
        <f aca="false">IF($Q63="","",IF($I63="是","1405",IF($J63="","6602",$J63)))</f>
        <v/>
      </c>
      <c r="V63" s="49" t="str">
        <f aca="false">IF($Q63="","","2202")</f>
        <v/>
      </c>
      <c r="W63" s="48" t="str">
        <f aca="false">IF($Q63="","",$Q63)</f>
        <v/>
      </c>
      <c r="X63" s="49" t="str">
        <f aca="false">IF(N($R63)=0,"","2221")</f>
        <v/>
      </c>
      <c r="Y63" s="49" t="str">
        <f aca="false">IF(N($R63)=0,"","2202")</f>
        <v/>
      </c>
      <c r="Z63" s="48" t="str">
        <f aca="false">IF(N($R63)=0,"",$R63)</f>
        <v/>
      </c>
      <c r="AA63" s="49" t="str">
        <f aca="false">IF(AND($D63=供应商对账单!$B$3,$B63&gt;=供应商对账单!$E$3,$B63&lt;=供应商对账单!$H$3),COUNTIFS($D$5:$D63,供应商对账单!$B$3,$B$5:$B63,"&gt;="&amp;供应商对账单!$E$3,$B$5:$B63,"&lt;="&amp;供应商对账单!$H$3),"")</f>
        <v/>
      </c>
    </row>
    <row r="64" customFormat="false" ht="15.75" hidden="false" customHeight="true" outlineLevel="0" collapsed="false">
      <c r="A64" s="42" t="str">
        <f aca="false">IF($B64="","","CG"&amp;TEXT($B64,"yyyymm")&amp;"-"&amp;TEXT(ROW()-4,"000"))</f>
        <v/>
      </c>
      <c r="B64" s="41"/>
      <c r="C64" s="42" t="str">
        <f aca="false">IF($B64="","",TEXT($B64,"yyyy-mm"))</f>
        <v/>
      </c>
      <c r="D64" s="32"/>
      <c r="E64" s="36"/>
      <c r="F64" s="43"/>
      <c r="G64" s="40"/>
      <c r="H64" s="51"/>
      <c r="I64" s="33"/>
      <c r="J64" s="31"/>
      <c r="K64" s="33"/>
      <c r="L64" s="33"/>
      <c r="M64" s="36"/>
      <c r="N64" s="47" t="str">
        <f aca="false">IF($B64="","",IF(NOT(ISNUMBER($B64)),"日期不是日期格式",IF(YEAR($B64)&lt;&gt;首页!$B$3,"不在会计年度",IF($D64="","未选供应商",IF(ISNA(MATCH($D64,基础资料!$AF$6:$AF$155,0)),"供应商不在档案",IF($E64="","未填商品或内容",IF(NOT(ISNUMBER($F64)),"数量须为数字",IF(NOT(ISNUMBER($G64)),"单价须为数字",IF(N($F64)&lt;=0,"数量须大于0",IF($I64="","请选是否入库",IF(AND($I64="是",ISNA(MATCH($E64,基础资料!$Q$6:$Q$205,0))),"入库商品必须在商品档案中",IF(AND($I64="否",$J64&lt;&gt;"",ISNA(MATCH($J64,科目参数!$A$6:$A$125,0))),"费用科目不存在","√"))))))))))))</f>
        <v/>
      </c>
      <c r="O64" s="49" t="str">
        <f aca="false">IF($E64="","",IFERROR(INDEX(基础资料!$R$6:$R$205,MATCH($E64,基础资料!$Q$6:$Q$205,0)),""))</f>
        <v/>
      </c>
      <c r="P64" s="49" t="str">
        <f aca="false">IF($E64="","",IFERROR(INDEX(基础资料!$S$6:$S$205,MATCH($E64,基础资料!$Q$6:$Q$205,0)),""))</f>
        <v/>
      </c>
      <c r="Q64" s="48" t="str">
        <f aca="false">IF(OR($F64="",$G64=""),"",ROUND(N($F64)*N($G64),2))</f>
        <v/>
      </c>
      <c r="R64" s="48" t="str">
        <f aca="false">IF($Q64="","",ROUND(N($Q64)*N($H64),2))</f>
        <v/>
      </c>
      <c r="S64" s="48" t="str">
        <f aca="false">IF($Q64="","",N($Q64)+N($R64))</f>
        <v/>
      </c>
      <c r="T64" s="52" t="str">
        <f aca="false">IF(OR($B64="",$D64=""),"",$B64+N(IFERROR(INDEX(基础资料!$AH$6:$AH$155,MATCH($D64,基础资料!$AF$6:$AF$155,0)),0)))</f>
        <v/>
      </c>
      <c r="U64" s="49" t="str">
        <f aca="false">IF($Q64="","",IF($I64="是","1405",IF($J64="","6602",$J64)))</f>
        <v/>
      </c>
      <c r="V64" s="49" t="str">
        <f aca="false">IF($Q64="","","2202")</f>
        <v/>
      </c>
      <c r="W64" s="48" t="str">
        <f aca="false">IF($Q64="","",$Q64)</f>
        <v/>
      </c>
      <c r="X64" s="49" t="str">
        <f aca="false">IF(N($R64)=0,"","2221")</f>
        <v/>
      </c>
      <c r="Y64" s="49" t="str">
        <f aca="false">IF(N($R64)=0,"","2202")</f>
        <v/>
      </c>
      <c r="Z64" s="48" t="str">
        <f aca="false">IF(N($R64)=0,"",$R64)</f>
        <v/>
      </c>
      <c r="AA64" s="49" t="str">
        <f aca="false">IF(AND($D64=供应商对账单!$B$3,$B64&gt;=供应商对账单!$E$3,$B64&lt;=供应商对账单!$H$3),COUNTIFS($D$5:$D64,供应商对账单!$B$3,$B$5:$B64,"&gt;="&amp;供应商对账单!$E$3,$B$5:$B64,"&lt;="&amp;供应商对账单!$H$3),"")</f>
        <v/>
      </c>
    </row>
    <row r="65" customFormat="false" ht="15.75" hidden="false" customHeight="true" outlineLevel="0" collapsed="false">
      <c r="A65" s="42" t="str">
        <f aca="false">IF($B65="","","CG"&amp;TEXT($B65,"yyyymm")&amp;"-"&amp;TEXT(ROW()-4,"000"))</f>
        <v/>
      </c>
      <c r="B65" s="41"/>
      <c r="C65" s="42" t="str">
        <f aca="false">IF($B65="","",TEXT($B65,"yyyy-mm"))</f>
        <v/>
      </c>
      <c r="D65" s="32"/>
      <c r="E65" s="36"/>
      <c r="F65" s="43"/>
      <c r="G65" s="40"/>
      <c r="H65" s="51"/>
      <c r="I65" s="33"/>
      <c r="J65" s="31"/>
      <c r="K65" s="33"/>
      <c r="L65" s="33"/>
      <c r="M65" s="36"/>
      <c r="N65" s="47" t="str">
        <f aca="false">IF($B65="","",IF(NOT(ISNUMBER($B65)),"日期不是日期格式",IF(YEAR($B65)&lt;&gt;首页!$B$3,"不在会计年度",IF($D65="","未选供应商",IF(ISNA(MATCH($D65,基础资料!$AF$6:$AF$155,0)),"供应商不在档案",IF($E65="","未填商品或内容",IF(NOT(ISNUMBER($F65)),"数量须为数字",IF(NOT(ISNUMBER($G65)),"单价须为数字",IF(N($F65)&lt;=0,"数量须大于0",IF($I65="","请选是否入库",IF(AND($I65="是",ISNA(MATCH($E65,基础资料!$Q$6:$Q$205,0))),"入库商品必须在商品档案中",IF(AND($I65="否",$J65&lt;&gt;"",ISNA(MATCH($J65,科目参数!$A$6:$A$125,0))),"费用科目不存在","√"))))))))))))</f>
        <v/>
      </c>
      <c r="O65" s="49" t="str">
        <f aca="false">IF($E65="","",IFERROR(INDEX(基础资料!$R$6:$R$205,MATCH($E65,基础资料!$Q$6:$Q$205,0)),""))</f>
        <v/>
      </c>
      <c r="P65" s="49" t="str">
        <f aca="false">IF($E65="","",IFERROR(INDEX(基础资料!$S$6:$S$205,MATCH($E65,基础资料!$Q$6:$Q$205,0)),""))</f>
        <v/>
      </c>
      <c r="Q65" s="48" t="str">
        <f aca="false">IF(OR($F65="",$G65=""),"",ROUND(N($F65)*N($G65),2))</f>
        <v/>
      </c>
      <c r="R65" s="48" t="str">
        <f aca="false">IF($Q65="","",ROUND(N($Q65)*N($H65),2))</f>
        <v/>
      </c>
      <c r="S65" s="48" t="str">
        <f aca="false">IF($Q65="","",N($Q65)+N($R65))</f>
        <v/>
      </c>
      <c r="T65" s="52" t="str">
        <f aca="false">IF(OR($B65="",$D65=""),"",$B65+N(IFERROR(INDEX(基础资料!$AH$6:$AH$155,MATCH($D65,基础资料!$AF$6:$AF$155,0)),0)))</f>
        <v/>
      </c>
      <c r="U65" s="49" t="str">
        <f aca="false">IF($Q65="","",IF($I65="是","1405",IF($J65="","6602",$J65)))</f>
        <v/>
      </c>
      <c r="V65" s="49" t="str">
        <f aca="false">IF($Q65="","","2202")</f>
        <v/>
      </c>
      <c r="W65" s="48" t="str">
        <f aca="false">IF($Q65="","",$Q65)</f>
        <v/>
      </c>
      <c r="X65" s="49" t="str">
        <f aca="false">IF(N($R65)=0,"","2221")</f>
        <v/>
      </c>
      <c r="Y65" s="49" t="str">
        <f aca="false">IF(N($R65)=0,"","2202")</f>
        <v/>
      </c>
      <c r="Z65" s="48" t="str">
        <f aca="false">IF(N($R65)=0,"",$R65)</f>
        <v/>
      </c>
      <c r="AA65" s="49" t="str">
        <f aca="false">IF(AND($D65=供应商对账单!$B$3,$B65&gt;=供应商对账单!$E$3,$B65&lt;=供应商对账单!$H$3),COUNTIFS($D$5:$D65,供应商对账单!$B$3,$B$5:$B65,"&gt;="&amp;供应商对账单!$E$3,$B$5:$B65,"&lt;="&amp;供应商对账单!$H$3),"")</f>
        <v/>
      </c>
    </row>
    <row r="66" customFormat="false" ht="15.75" hidden="false" customHeight="true" outlineLevel="0" collapsed="false">
      <c r="A66" s="42" t="str">
        <f aca="false">IF($B66="","","CG"&amp;TEXT($B66,"yyyymm")&amp;"-"&amp;TEXT(ROW()-4,"000"))</f>
        <v/>
      </c>
      <c r="B66" s="41"/>
      <c r="C66" s="42" t="str">
        <f aca="false">IF($B66="","",TEXT($B66,"yyyy-mm"))</f>
        <v/>
      </c>
      <c r="D66" s="32"/>
      <c r="E66" s="36"/>
      <c r="F66" s="43"/>
      <c r="G66" s="40"/>
      <c r="H66" s="51"/>
      <c r="I66" s="33"/>
      <c r="J66" s="31"/>
      <c r="K66" s="33"/>
      <c r="L66" s="33"/>
      <c r="M66" s="36"/>
      <c r="N66" s="47" t="str">
        <f aca="false">IF($B66="","",IF(NOT(ISNUMBER($B66)),"日期不是日期格式",IF(YEAR($B66)&lt;&gt;首页!$B$3,"不在会计年度",IF($D66="","未选供应商",IF(ISNA(MATCH($D66,基础资料!$AF$6:$AF$155,0)),"供应商不在档案",IF($E66="","未填商品或内容",IF(NOT(ISNUMBER($F66)),"数量须为数字",IF(NOT(ISNUMBER($G66)),"单价须为数字",IF(N($F66)&lt;=0,"数量须大于0",IF($I66="","请选是否入库",IF(AND($I66="是",ISNA(MATCH($E66,基础资料!$Q$6:$Q$205,0))),"入库商品必须在商品档案中",IF(AND($I66="否",$J66&lt;&gt;"",ISNA(MATCH($J66,科目参数!$A$6:$A$125,0))),"费用科目不存在","√"))))))))))))</f>
        <v/>
      </c>
      <c r="O66" s="49" t="str">
        <f aca="false">IF($E66="","",IFERROR(INDEX(基础资料!$R$6:$R$205,MATCH($E66,基础资料!$Q$6:$Q$205,0)),""))</f>
        <v/>
      </c>
      <c r="P66" s="49" t="str">
        <f aca="false">IF($E66="","",IFERROR(INDEX(基础资料!$S$6:$S$205,MATCH($E66,基础资料!$Q$6:$Q$205,0)),""))</f>
        <v/>
      </c>
      <c r="Q66" s="48" t="str">
        <f aca="false">IF(OR($F66="",$G66=""),"",ROUND(N($F66)*N($G66),2))</f>
        <v/>
      </c>
      <c r="R66" s="48" t="str">
        <f aca="false">IF($Q66="","",ROUND(N($Q66)*N($H66),2))</f>
        <v/>
      </c>
      <c r="S66" s="48" t="str">
        <f aca="false">IF($Q66="","",N($Q66)+N($R66))</f>
        <v/>
      </c>
      <c r="T66" s="52" t="str">
        <f aca="false">IF(OR($B66="",$D66=""),"",$B66+N(IFERROR(INDEX(基础资料!$AH$6:$AH$155,MATCH($D66,基础资料!$AF$6:$AF$155,0)),0)))</f>
        <v/>
      </c>
      <c r="U66" s="49" t="str">
        <f aca="false">IF($Q66="","",IF($I66="是","1405",IF($J66="","6602",$J66)))</f>
        <v/>
      </c>
      <c r="V66" s="49" t="str">
        <f aca="false">IF($Q66="","","2202")</f>
        <v/>
      </c>
      <c r="W66" s="48" t="str">
        <f aca="false">IF($Q66="","",$Q66)</f>
        <v/>
      </c>
      <c r="X66" s="49" t="str">
        <f aca="false">IF(N($R66)=0,"","2221")</f>
        <v/>
      </c>
      <c r="Y66" s="49" t="str">
        <f aca="false">IF(N($R66)=0,"","2202")</f>
        <v/>
      </c>
      <c r="Z66" s="48" t="str">
        <f aca="false">IF(N($R66)=0,"",$R66)</f>
        <v/>
      </c>
      <c r="AA66" s="49" t="str">
        <f aca="false">IF(AND($D66=供应商对账单!$B$3,$B66&gt;=供应商对账单!$E$3,$B66&lt;=供应商对账单!$H$3),COUNTIFS($D$5:$D66,供应商对账单!$B$3,$B$5:$B66,"&gt;="&amp;供应商对账单!$E$3,$B$5:$B66,"&lt;="&amp;供应商对账单!$H$3),"")</f>
        <v/>
      </c>
    </row>
    <row r="67" customFormat="false" ht="15.75" hidden="false" customHeight="true" outlineLevel="0" collapsed="false">
      <c r="A67" s="42" t="str">
        <f aca="false">IF($B67="","","CG"&amp;TEXT($B67,"yyyymm")&amp;"-"&amp;TEXT(ROW()-4,"000"))</f>
        <v/>
      </c>
      <c r="B67" s="41"/>
      <c r="C67" s="42" t="str">
        <f aca="false">IF($B67="","",TEXT($B67,"yyyy-mm"))</f>
        <v/>
      </c>
      <c r="D67" s="32"/>
      <c r="E67" s="36"/>
      <c r="F67" s="43"/>
      <c r="G67" s="40"/>
      <c r="H67" s="51"/>
      <c r="I67" s="33"/>
      <c r="J67" s="31"/>
      <c r="K67" s="33"/>
      <c r="L67" s="33"/>
      <c r="M67" s="36"/>
      <c r="N67" s="47" t="str">
        <f aca="false">IF($B67="","",IF(NOT(ISNUMBER($B67)),"日期不是日期格式",IF(YEAR($B67)&lt;&gt;首页!$B$3,"不在会计年度",IF($D67="","未选供应商",IF(ISNA(MATCH($D67,基础资料!$AF$6:$AF$155,0)),"供应商不在档案",IF($E67="","未填商品或内容",IF(NOT(ISNUMBER($F67)),"数量须为数字",IF(NOT(ISNUMBER($G67)),"单价须为数字",IF(N($F67)&lt;=0,"数量须大于0",IF($I67="","请选是否入库",IF(AND($I67="是",ISNA(MATCH($E67,基础资料!$Q$6:$Q$205,0))),"入库商品必须在商品档案中",IF(AND($I67="否",$J67&lt;&gt;"",ISNA(MATCH($J67,科目参数!$A$6:$A$125,0))),"费用科目不存在","√"))))))))))))</f>
        <v/>
      </c>
      <c r="O67" s="49" t="str">
        <f aca="false">IF($E67="","",IFERROR(INDEX(基础资料!$R$6:$R$205,MATCH($E67,基础资料!$Q$6:$Q$205,0)),""))</f>
        <v/>
      </c>
      <c r="P67" s="49" t="str">
        <f aca="false">IF($E67="","",IFERROR(INDEX(基础资料!$S$6:$S$205,MATCH($E67,基础资料!$Q$6:$Q$205,0)),""))</f>
        <v/>
      </c>
      <c r="Q67" s="48" t="str">
        <f aca="false">IF(OR($F67="",$G67=""),"",ROUND(N($F67)*N($G67),2))</f>
        <v/>
      </c>
      <c r="R67" s="48" t="str">
        <f aca="false">IF($Q67="","",ROUND(N($Q67)*N($H67),2))</f>
        <v/>
      </c>
      <c r="S67" s="48" t="str">
        <f aca="false">IF($Q67="","",N($Q67)+N($R67))</f>
        <v/>
      </c>
      <c r="T67" s="52" t="str">
        <f aca="false">IF(OR($B67="",$D67=""),"",$B67+N(IFERROR(INDEX(基础资料!$AH$6:$AH$155,MATCH($D67,基础资料!$AF$6:$AF$155,0)),0)))</f>
        <v/>
      </c>
      <c r="U67" s="49" t="str">
        <f aca="false">IF($Q67="","",IF($I67="是","1405",IF($J67="","6602",$J67)))</f>
        <v/>
      </c>
      <c r="V67" s="49" t="str">
        <f aca="false">IF($Q67="","","2202")</f>
        <v/>
      </c>
      <c r="W67" s="48" t="str">
        <f aca="false">IF($Q67="","",$Q67)</f>
        <v/>
      </c>
      <c r="X67" s="49" t="str">
        <f aca="false">IF(N($R67)=0,"","2221")</f>
        <v/>
      </c>
      <c r="Y67" s="49" t="str">
        <f aca="false">IF(N($R67)=0,"","2202")</f>
        <v/>
      </c>
      <c r="Z67" s="48" t="str">
        <f aca="false">IF(N($R67)=0,"",$R67)</f>
        <v/>
      </c>
      <c r="AA67" s="49" t="str">
        <f aca="false">IF(AND($D67=供应商对账单!$B$3,$B67&gt;=供应商对账单!$E$3,$B67&lt;=供应商对账单!$H$3),COUNTIFS($D$5:$D67,供应商对账单!$B$3,$B$5:$B67,"&gt;="&amp;供应商对账单!$E$3,$B$5:$B67,"&lt;="&amp;供应商对账单!$H$3),"")</f>
        <v/>
      </c>
    </row>
    <row r="68" customFormat="false" ht="15.75" hidden="false" customHeight="true" outlineLevel="0" collapsed="false">
      <c r="A68" s="42" t="str">
        <f aca="false">IF($B68="","","CG"&amp;TEXT($B68,"yyyymm")&amp;"-"&amp;TEXT(ROW()-4,"000"))</f>
        <v/>
      </c>
      <c r="B68" s="41"/>
      <c r="C68" s="42" t="str">
        <f aca="false">IF($B68="","",TEXT($B68,"yyyy-mm"))</f>
        <v/>
      </c>
      <c r="D68" s="32"/>
      <c r="E68" s="36"/>
      <c r="F68" s="43"/>
      <c r="G68" s="40"/>
      <c r="H68" s="51"/>
      <c r="I68" s="33"/>
      <c r="J68" s="31"/>
      <c r="K68" s="33"/>
      <c r="L68" s="33"/>
      <c r="M68" s="36"/>
      <c r="N68" s="47" t="str">
        <f aca="false">IF($B68="","",IF(NOT(ISNUMBER($B68)),"日期不是日期格式",IF(YEAR($B68)&lt;&gt;首页!$B$3,"不在会计年度",IF($D68="","未选供应商",IF(ISNA(MATCH($D68,基础资料!$AF$6:$AF$155,0)),"供应商不在档案",IF($E68="","未填商品或内容",IF(NOT(ISNUMBER($F68)),"数量须为数字",IF(NOT(ISNUMBER($G68)),"单价须为数字",IF(N($F68)&lt;=0,"数量须大于0",IF($I68="","请选是否入库",IF(AND($I68="是",ISNA(MATCH($E68,基础资料!$Q$6:$Q$205,0))),"入库商品必须在商品档案中",IF(AND($I68="否",$J68&lt;&gt;"",ISNA(MATCH($J68,科目参数!$A$6:$A$125,0))),"费用科目不存在","√"))))))))))))</f>
        <v/>
      </c>
      <c r="O68" s="49" t="str">
        <f aca="false">IF($E68="","",IFERROR(INDEX(基础资料!$R$6:$R$205,MATCH($E68,基础资料!$Q$6:$Q$205,0)),""))</f>
        <v/>
      </c>
      <c r="P68" s="49" t="str">
        <f aca="false">IF($E68="","",IFERROR(INDEX(基础资料!$S$6:$S$205,MATCH($E68,基础资料!$Q$6:$Q$205,0)),""))</f>
        <v/>
      </c>
      <c r="Q68" s="48" t="str">
        <f aca="false">IF(OR($F68="",$G68=""),"",ROUND(N($F68)*N($G68),2))</f>
        <v/>
      </c>
      <c r="R68" s="48" t="str">
        <f aca="false">IF($Q68="","",ROUND(N($Q68)*N($H68),2))</f>
        <v/>
      </c>
      <c r="S68" s="48" t="str">
        <f aca="false">IF($Q68="","",N($Q68)+N($R68))</f>
        <v/>
      </c>
      <c r="T68" s="52" t="str">
        <f aca="false">IF(OR($B68="",$D68=""),"",$B68+N(IFERROR(INDEX(基础资料!$AH$6:$AH$155,MATCH($D68,基础资料!$AF$6:$AF$155,0)),0)))</f>
        <v/>
      </c>
      <c r="U68" s="49" t="str">
        <f aca="false">IF($Q68="","",IF($I68="是","1405",IF($J68="","6602",$J68)))</f>
        <v/>
      </c>
      <c r="V68" s="49" t="str">
        <f aca="false">IF($Q68="","","2202")</f>
        <v/>
      </c>
      <c r="W68" s="48" t="str">
        <f aca="false">IF($Q68="","",$Q68)</f>
        <v/>
      </c>
      <c r="X68" s="49" t="str">
        <f aca="false">IF(N($R68)=0,"","2221")</f>
        <v/>
      </c>
      <c r="Y68" s="49" t="str">
        <f aca="false">IF(N($R68)=0,"","2202")</f>
        <v/>
      </c>
      <c r="Z68" s="48" t="str">
        <f aca="false">IF(N($R68)=0,"",$R68)</f>
        <v/>
      </c>
      <c r="AA68" s="49" t="str">
        <f aca="false">IF(AND($D68=供应商对账单!$B$3,$B68&gt;=供应商对账单!$E$3,$B68&lt;=供应商对账单!$H$3),COUNTIFS($D$5:$D68,供应商对账单!$B$3,$B$5:$B68,"&gt;="&amp;供应商对账单!$E$3,$B$5:$B68,"&lt;="&amp;供应商对账单!$H$3),"")</f>
        <v/>
      </c>
    </row>
    <row r="69" customFormat="false" ht="15.75" hidden="false" customHeight="true" outlineLevel="0" collapsed="false">
      <c r="A69" s="42" t="str">
        <f aca="false">IF($B69="","","CG"&amp;TEXT($B69,"yyyymm")&amp;"-"&amp;TEXT(ROW()-4,"000"))</f>
        <v/>
      </c>
      <c r="B69" s="41"/>
      <c r="C69" s="42" t="str">
        <f aca="false">IF($B69="","",TEXT($B69,"yyyy-mm"))</f>
        <v/>
      </c>
      <c r="D69" s="32"/>
      <c r="E69" s="36"/>
      <c r="F69" s="43"/>
      <c r="G69" s="40"/>
      <c r="H69" s="51"/>
      <c r="I69" s="33"/>
      <c r="J69" s="31"/>
      <c r="K69" s="33"/>
      <c r="L69" s="33"/>
      <c r="M69" s="36"/>
      <c r="N69" s="47" t="str">
        <f aca="false">IF($B69="","",IF(NOT(ISNUMBER($B69)),"日期不是日期格式",IF(YEAR($B69)&lt;&gt;首页!$B$3,"不在会计年度",IF($D69="","未选供应商",IF(ISNA(MATCH($D69,基础资料!$AF$6:$AF$155,0)),"供应商不在档案",IF($E69="","未填商品或内容",IF(NOT(ISNUMBER($F69)),"数量须为数字",IF(NOT(ISNUMBER($G69)),"单价须为数字",IF(N($F69)&lt;=0,"数量须大于0",IF($I69="","请选是否入库",IF(AND($I69="是",ISNA(MATCH($E69,基础资料!$Q$6:$Q$205,0))),"入库商品必须在商品档案中",IF(AND($I69="否",$J69&lt;&gt;"",ISNA(MATCH($J69,科目参数!$A$6:$A$125,0))),"费用科目不存在","√"))))))))))))</f>
        <v/>
      </c>
      <c r="O69" s="49" t="str">
        <f aca="false">IF($E69="","",IFERROR(INDEX(基础资料!$R$6:$R$205,MATCH($E69,基础资料!$Q$6:$Q$205,0)),""))</f>
        <v/>
      </c>
      <c r="P69" s="49" t="str">
        <f aca="false">IF($E69="","",IFERROR(INDEX(基础资料!$S$6:$S$205,MATCH($E69,基础资料!$Q$6:$Q$205,0)),""))</f>
        <v/>
      </c>
      <c r="Q69" s="48" t="str">
        <f aca="false">IF(OR($F69="",$G69=""),"",ROUND(N($F69)*N($G69),2))</f>
        <v/>
      </c>
      <c r="R69" s="48" t="str">
        <f aca="false">IF($Q69="","",ROUND(N($Q69)*N($H69),2))</f>
        <v/>
      </c>
      <c r="S69" s="48" t="str">
        <f aca="false">IF($Q69="","",N($Q69)+N($R69))</f>
        <v/>
      </c>
      <c r="T69" s="52" t="str">
        <f aca="false">IF(OR($B69="",$D69=""),"",$B69+N(IFERROR(INDEX(基础资料!$AH$6:$AH$155,MATCH($D69,基础资料!$AF$6:$AF$155,0)),0)))</f>
        <v/>
      </c>
      <c r="U69" s="49" t="str">
        <f aca="false">IF($Q69="","",IF($I69="是","1405",IF($J69="","6602",$J69)))</f>
        <v/>
      </c>
      <c r="V69" s="49" t="str">
        <f aca="false">IF($Q69="","","2202")</f>
        <v/>
      </c>
      <c r="W69" s="48" t="str">
        <f aca="false">IF($Q69="","",$Q69)</f>
        <v/>
      </c>
      <c r="X69" s="49" t="str">
        <f aca="false">IF(N($R69)=0,"","2221")</f>
        <v/>
      </c>
      <c r="Y69" s="49" t="str">
        <f aca="false">IF(N($R69)=0,"","2202")</f>
        <v/>
      </c>
      <c r="Z69" s="48" t="str">
        <f aca="false">IF(N($R69)=0,"",$R69)</f>
        <v/>
      </c>
      <c r="AA69" s="49" t="str">
        <f aca="false">IF(AND($D69=供应商对账单!$B$3,$B69&gt;=供应商对账单!$E$3,$B69&lt;=供应商对账单!$H$3),COUNTIFS($D$5:$D69,供应商对账单!$B$3,$B$5:$B69,"&gt;="&amp;供应商对账单!$E$3,$B$5:$B69,"&lt;="&amp;供应商对账单!$H$3),"")</f>
        <v/>
      </c>
    </row>
    <row r="70" customFormat="false" ht="15.75" hidden="false" customHeight="true" outlineLevel="0" collapsed="false">
      <c r="A70" s="42" t="str">
        <f aca="false">IF($B70="","","CG"&amp;TEXT($B70,"yyyymm")&amp;"-"&amp;TEXT(ROW()-4,"000"))</f>
        <v/>
      </c>
      <c r="B70" s="41"/>
      <c r="C70" s="42" t="str">
        <f aca="false">IF($B70="","",TEXT($B70,"yyyy-mm"))</f>
        <v/>
      </c>
      <c r="D70" s="32"/>
      <c r="E70" s="36"/>
      <c r="F70" s="43"/>
      <c r="G70" s="40"/>
      <c r="H70" s="51"/>
      <c r="I70" s="33"/>
      <c r="J70" s="31"/>
      <c r="K70" s="33"/>
      <c r="L70" s="33"/>
      <c r="M70" s="36"/>
      <c r="N70" s="47" t="str">
        <f aca="false">IF($B70="","",IF(NOT(ISNUMBER($B70)),"日期不是日期格式",IF(YEAR($B70)&lt;&gt;首页!$B$3,"不在会计年度",IF($D70="","未选供应商",IF(ISNA(MATCH($D70,基础资料!$AF$6:$AF$155,0)),"供应商不在档案",IF($E70="","未填商品或内容",IF(NOT(ISNUMBER($F70)),"数量须为数字",IF(NOT(ISNUMBER($G70)),"单价须为数字",IF(N($F70)&lt;=0,"数量须大于0",IF($I70="","请选是否入库",IF(AND($I70="是",ISNA(MATCH($E70,基础资料!$Q$6:$Q$205,0))),"入库商品必须在商品档案中",IF(AND($I70="否",$J70&lt;&gt;"",ISNA(MATCH($J70,科目参数!$A$6:$A$125,0))),"费用科目不存在","√"))))))))))))</f>
        <v/>
      </c>
      <c r="O70" s="49" t="str">
        <f aca="false">IF($E70="","",IFERROR(INDEX(基础资料!$R$6:$R$205,MATCH($E70,基础资料!$Q$6:$Q$205,0)),""))</f>
        <v/>
      </c>
      <c r="P70" s="49" t="str">
        <f aca="false">IF($E70="","",IFERROR(INDEX(基础资料!$S$6:$S$205,MATCH($E70,基础资料!$Q$6:$Q$205,0)),""))</f>
        <v/>
      </c>
      <c r="Q70" s="48" t="str">
        <f aca="false">IF(OR($F70="",$G70=""),"",ROUND(N($F70)*N($G70),2))</f>
        <v/>
      </c>
      <c r="R70" s="48" t="str">
        <f aca="false">IF($Q70="","",ROUND(N($Q70)*N($H70),2))</f>
        <v/>
      </c>
      <c r="S70" s="48" t="str">
        <f aca="false">IF($Q70="","",N($Q70)+N($R70))</f>
        <v/>
      </c>
      <c r="T70" s="52" t="str">
        <f aca="false">IF(OR($B70="",$D70=""),"",$B70+N(IFERROR(INDEX(基础资料!$AH$6:$AH$155,MATCH($D70,基础资料!$AF$6:$AF$155,0)),0)))</f>
        <v/>
      </c>
      <c r="U70" s="49" t="str">
        <f aca="false">IF($Q70="","",IF($I70="是","1405",IF($J70="","6602",$J70)))</f>
        <v/>
      </c>
      <c r="V70" s="49" t="str">
        <f aca="false">IF($Q70="","","2202")</f>
        <v/>
      </c>
      <c r="W70" s="48" t="str">
        <f aca="false">IF($Q70="","",$Q70)</f>
        <v/>
      </c>
      <c r="X70" s="49" t="str">
        <f aca="false">IF(N($R70)=0,"","2221")</f>
        <v/>
      </c>
      <c r="Y70" s="49" t="str">
        <f aca="false">IF(N($R70)=0,"","2202")</f>
        <v/>
      </c>
      <c r="Z70" s="48" t="str">
        <f aca="false">IF(N($R70)=0,"",$R70)</f>
        <v/>
      </c>
      <c r="AA70" s="49" t="str">
        <f aca="false">IF(AND($D70=供应商对账单!$B$3,$B70&gt;=供应商对账单!$E$3,$B70&lt;=供应商对账单!$H$3),COUNTIFS($D$5:$D70,供应商对账单!$B$3,$B$5:$B70,"&gt;="&amp;供应商对账单!$E$3,$B$5:$B70,"&lt;="&amp;供应商对账单!$H$3),"")</f>
        <v/>
      </c>
    </row>
    <row r="71" customFormat="false" ht="15.75" hidden="false" customHeight="true" outlineLevel="0" collapsed="false">
      <c r="A71" s="42" t="str">
        <f aca="false">IF($B71="","","CG"&amp;TEXT($B71,"yyyymm")&amp;"-"&amp;TEXT(ROW()-4,"000"))</f>
        <v/>
      </c>
      <c r="B71" s="41"/>
      <c r="C71" s="42" t="str">
        <f aca="false">IF($B71="","",TEXT($B71,"yyyy-mm"))</f>
        <v/>
      </c>
      <c r="D71" s="32"/>
      <c r="E71" s="36"/>
      <c r="F71" s="43"/>
      <c r="G71" s="40"/>
      <c r="H71" s="51"/>
      <c r="I71" s="33"/>
      <c r="J71" s="31"/>
      <c r="K71" s="33"/>
      <c r="L71" s="33"/>
      <c r="M71" s="36"/>
      <c r="N71" s="47" t="str">
        <f aca="false">IF($B71="","",IF(NOT(ISNUMBER($B71)),"日期不是日期格式",IF(YEAR($B71)&lt;&gt;首页!$B$3,"不在会计年度",IF($D71="","未选供应商",IF(ISNA(MATCH($D71,基础资料!$AF$6:$AF$155,0)),"供应商不在档案",IF($E71="","未填商品或内容",IF(NOT(ISNUMBER($F71)),"数量须为数字",IF(NOT(ISNUMBER($G71)),"单价须为数字",IF(N($F71)&lt;=0,"数量须大于0",IF($I71="","请选是否入库",IF(AND($I71="是",ISNA(MATCH($E71,基础资料!$Q$6:$Q$205,0))),"入库商品必须在商品档案中",IF(AND($I71="否",$J71&lt;&gt;"",ISNA(MATCH($J71,科目参数!$A$6:$A$125,0))),"费用科目不存在","√"))))))))))))</f>
        <v/>
      </c>
      <c r="O71" s="49" t="str">
        <f aca="false">IF($E71="","",IFERROR(INDEX(基础资料!$R$6:$R$205,MATCH($E71,基础资料!$Q$6:$Q$205,0)),""))</f>
        <v/>
      </c>
      <c r="P71" s="49" t="str">
        <f aca="false">IF($E71="","",IFERROR(INDEX(基础资料!$S$6:$S$205,MATCH($E71,基础资料!$Q$6:$Q$205,0)),""))</f>
        <v/>
      </c>
      <c r="Q71" s="48" t="str">
        <f aca="false">IF(OR($F71="",$G71=""),"",ROUND(N($F71)*N($G71),2))</f>
        <v/>
      </c>
      <c r="R71" s="48" t="str">
        <f aca="false">IF($Q71="","",ROUND(N($Q71)*N($H71),2))</f>
        <v/>
      </c>
      <c r="S71" s="48" t="str">
        <f aca="false">IF($Q71="","",N($Q71)+N($R71))</f>
        <v/>
      </c>
      <c r="T71" s="52" t="str">
        <f aca="false">IF(OR($B71="",$D71=""),"",$B71+N(IFERROR(INDEX(基础资料!$AH$6:$AH$155,MATCH($D71,基础资料!$AF$6:$AF$155,0)),0)))</f>
        <v/>
      </c>
      <c r="U71" s="49" t="str">
        <f aca="false">IF($Q71="","",IF($I71="是","1405",IF($J71="","6602",$J71)))</f>
        <v/>
      </c>
      <c r="V71" s="49" t="str">
        <f aca="false">IF($Q71="","","2202")</f>
        <v/>
      </c>
      <c r="W71" s="48" t="str">
        <f aca="false">IF($Q71="","",$Q71)</f>
        <v/>
      </c>
      <c r="X71" s="49" t="str">
        <f aca="false">IF(N($R71)=0,"","2221")</f>
        <v/>
      </c>
      <c r="Y71" s="49" t="str">
        <f aca="false">IF(N($R71)=0,"","2202")</f>
        <v/>
      </c>
      <c r="Z71" s="48" t="str">
        <f aca="false">IF(N($R71)=0,"",$R71)</f>
        <v/>
      </c>
      <c r="AA71" s="49" t="str">
        <f aca="false">IF(AND($D71=供应商对账单!$B$3,$B71&gt;=供应商对账单!$E$3,$B71&lt;=供应商对账单!$H$3),COUNTIFS($D$5:$D71,供应商对账单!$B$3,$B$5:$B71,"&gt;="&amp;供应商对账单!$E$3,$B$5:$B71,"&lt;="&amp;供应商对账单!$H$3),"")</f>
        <v/>
      </c>
    </row>
    <row r="72" customFormat="false" ht="15.75" hidden="false" customHeight="true" outlineLevel="0" collapsed="false">
      <c r="A72" s="42" t="str">
        <f aca="false">IF($B72="","","CG"&amp;TEXT($B72,"yyyymm")&amp;"-"&amp;TEXT(ROW()-4,"000"))</f>
        <v/>
      </c>
      <c r="B72" s="41"/>
      <c r="C72" s="42" t="str">
        <f aca="false">IF($B72="","",TEXT($B72,"yyyy-mm"))</f>
        <v/>
      </c>
      <c r="D72" s="32"/>
      <c r="E72" s="36"/>
      <c r="F72" s="43"/>
      <c r="G72" s="40"/>
      <c r="H72" s="51"/>
      <c r="I72" s="33"/>
      <c r="J72" s="31"/>
      <c r="K72" s="33"/>
      <c r="L72" s="33"/>
      <c r="M72" s="36"/>
      <c r="N72" s="47" t="str">
        <f aca="false">IF($B72="","",IF(NOT(ISNUMBER($B72)),"日期不是日期格式",IF(YEAR($B72)&lt;&gt;首页!$B$3,"不在会计年度",IF($D72="","未选供应商",IF(ISNA(MATCH($D72,基础资料!$AF$6:$AF$155,0)),"供应商不在档案",IF($E72="","未填商品或内容",IF(NOT(ISNUMBER($F72)),"数量须为数字",IF(NOT(ISNUMBER($G72)),"单价须为数字",IF(N($F72)&lt;=0,"数量须大于0",IF($I72="","请选是否入库",IF(AND($I72="是",ISNA(MATCH($E72,基础资料!$Q$6:$Q$205,0))),"入库商品必须在商品档案中",IF(AND($I72="否",$J72&lt;&gt;"",ISNA(MATCH($J72,科目参数!$A$6:$A$125,0))),"费用科目不存在","√"))))))))))))</f>
        <v/>
      </c>
      <c r="O72" s="49" t="str">
        <f aca="false">IF($E72="","",IFERROR(INDEX(基础资料!$R$6:$R$205,MATCH($E72,基础资料!$Q$6:$Q$205,0)),""))</f>
        <v/>
      </c>
      <c r="P72" s="49" t="str">
        <f aca="false">IF($E72="","",IFERROR(INDEX(基础资料!$S$6:$S$205,MATCH($E72,基础资料!$Q$6:$Q$205,0)),""))</f>
        <v/>
      </c>
      <c r="Q72" s="48" t="str">
        <f aca="false">IF(OR($F72="",$G72=""),"",ROUND(N($F72)*N($G72),2))</f>
        <v/>
      </c>
      <c r="R72" s="48" t="str">
        <f aca="false">IF($Q72="","",ROUND(N($Q72)*N($H72),2))</f>
        <v/>
      </c>
      <c r="S72" s="48" t="str">
        <f aca="false">IF($Q72="","",N($Q72)+N($R72))</f>
        <v/>
      </c>
      <c r="T72" s="52" t="str">
        <f aca="false">IF(OR($B72="",$D72=""),"",$B72+N(IFERROR(INDEX(基础资料!$AH$6:$AH$155,MATCH($D72,基础资料!$AF$6:$AF$155,0)),0)))</f>
        <v/>
      </c>
      <c r="U72" s="49" t="str">
        <f aca="false">IF($Q72="","",IF($I72="是","1405",IF($J72="","6602",$J72)))</f>
        <v/>
      </c>
      <c r="V72" s="49" t="str">
        <f aca="false">IF($Q72="","","2202")</f>
        <v/>
      </c>
      <c r="W72" s="48" t="str">
        <f aca="false">IF($Q72="","",$Q72)</f>
        <v/>
      </c>
      <c r="X72" s="49" t="str">
        <f aca="false">IF(N($R72)=0,"","2221")</f>
        <v/>
      </c>
      <c r="Y72" s="49" t="str">
        <f aca="false">IF(N($R72)=0,"","2202")</f>
        <v/>
      </c>
      <c r="Z72" s="48" t="str">
        <f aca="false">IF(N($R72)=0,"",$R72)</f>
        <v/>
      </c>
      <c r="AA72" s="49" t="str">
        <f aca="false">IF(AND($D72=供应商对账单!$B$3,$B72&gt;=供应商对账单!$E$3,$B72&lt;=供应商对账单!$H$3),COUNTIFS($D$5:$D72,供应商对账单!$B$3,$B$5:$B72,"&gt;="&amp;供应商对账单!$E$3,$B$5:$B72,"&lt;="&amp;供应商对账单!$H$3),"")</f>
        <v/>
      </c>
    </row>
    <row r="73" customFormat="false" ht="15.75" hidden="false" customHeight="true" outlineLevel="0" collapsed="false">
      <c r="A73" s="42" t="str">
        <f aca="false">IF($B73="","","CG"&amp;TEXT($B73,"yyyymm")&amp;"-"&amp;TEXT(ROW()-4,"000"))</f>
        <v/>
      </c>
      <c r="B73" s="41"/>
      <c r="C73" s="42" t="str">
        <f aca="false">IF($B73="","",TEXT($B73,"yyyy-mm"))</f>
        <v/>
      </c>
      <c r="D73" s="32"/>
      <c r="E73" s="36"/>
      <c r="F73" s="43"/>
      <c r="G73" s="40"/>
      <c r="H73" s="51"/>
      <c r="I73" s="33"/>
      <c r="J73" s="31"/>
      <c r="K73" s="33"/>
      <c r="L73" s="33"/>
      <c r="M73" s="36"/>
      <c r="N73" s="47" t="str">
        <f aca="false">IF($B73="","",IF(NOT(ISNUMBER($B73)),"日期不是日期格式",IF(YEAR($B73)&lt;&gt;首页!$B$3,"不在会计年度",IF($D73="","未选供应商",IF(ISNA(MATCH($D73,基础资料!$AF$6:$AF$155,0)),"供应商不在档案",IF($E73="","未填商品或内容",IF(NOT(ISNUMBER($F73)),"数量须为数字",IF(NOT(ISNUMBER($G73)),"单价须为数字",IF(N($F73)&lt;=0,"数量须大于0",IF($I73="","请选是否入库",IF(AND($I73="是",ISNA(MATCH($E73,基础资料!$Q$6:$Q$205,0))),"入库商品必须在商品档案中",IF(AND($I73="否",$J73&lt;&gt;"",ISNA(MATCH($J73,科目参数!$A$6:$A$125,0))),"费用科目不存在","√"))))))))))))</f>
        <v/>
      </c>
      <c r="O73" s="49" t="str">
        <f aca="false">IF($E73="","",IFERROR(INDEX(基础资料!$R$6:$R$205,MATCH($E73,基础资料!$Q$6:$Q$205,0)),""))</f>
        <v/>
      </c>
      <c r="P73" s="49" t="str">
        <f aca="false">IF($E73="","",IFERROR(INDEX(基础资料!$S$6:$S$205,MATCH($E73,基础资料!$Q$6:$Q$205,0)),""))</f>
        <v/>
      </c>
      <c r="Q73" s="48" t="str">
        <f aca="false">IF(OR($F73="",$G73=""),"",ROUND(N($F73)*N($G73),2))</f>
        <v/>
      </c>
      <c r="R73" s="48" t="str">
        <f aca="false">IF($Q73="","",ROUND(N($Q73)*N($H73),2))</f>
        <v/>
      </c>
      <c r="S73" s="48" t="str">
        <f aca="false">IF($Q73="","",N($Q73)+N($R73))</f>
        <v/>
      </c>
      <c r="T73" s="52" t="str">
        <f aca="false">IF(OR($B73="",$D73=""),"",$B73+N(IFERROR(INDEX(基础资料!$AH$6:$AH$155,MATCH($D73,基础资料!$AF$6:$AF$155,0)),0)))</f>
        <v/>
      </c>
      <c r="U73" s="49" t="str">
        <f aca="false">IF($Q73="","",IF($I73="是","1405",IF($J73="","6602",$J73)))</f>
        <v/>
      </c>
      <c r="V73" s="49" t="str">
        <f aca="false">IF($Q73="","","2202")</f>
        <v/>
      </c>
      <c r="W73" s="48" t="str">
        <f aca="false">IF($Q73="","",$Q73)</f>
        <v/>
      </c>
      <c r="X73" s="49" t="str">
        <f aca="false">IF(N($R73)=0,"","2221")</f>
        <v/>
      </c>
      <c r="Y73" s="49" t="str">
        <f aca="false">IF(N($R73)=0,"","2202")</f>
        <v/>
      </c>
      <c r="Z73" s="48" t="str">
        <f aca="false">IF(N($R73)=0,"",$R73)</f>
        <v/>
      </c>
      <c r="AA73" s="49" t="str">
        <f aca="false">IF(AND($D73=供应商对账单!$B$3,$B73&gt;=供应商对账单!$E$3,$B73&lt;=供应商对账单!$H$3),COUNTIFS($D$5:$D73,供应商对账单!$B$3,$B$5:$B73,"&gt;="&amp;供应商对账单!$E$3,$B$5:$B73,"&lt;="&amp;供应商对账单!$H$3),"")</f>
        <v/>
      </c>
    </row>
    <row r="74" customFormat="false" ht="15.75" hidden="false" customHeight="true" outlineLevel="0" collapsed="false">
      <c r="A74" s="42" t="str">
        <f aca="false">IF($B74="","","CG"&amp;TEXT($B74,"yyyymm")&amp;"-"&amp;TEXT(ROW()-4,"000"))</f>
        <v/>
      </c>
      <c r="B74" s="41"/>
      <c r="C74" s="42" t="str">
        <f aca="false">IF($B74="","",TEXT($B74,"yyyy-mm"))</f>
        <v/>
      </c>
      <c r="D74" s="32"/>
      <c r="E74" s="36"/>
      <c r="F74" s="43"/>
      <c r="G74" s="40"/>
      <c r="H74" s="51"/>
      <c r="I74" s="33"/>
      <c r="J74" s="31"/>
      <c r="K74" s="33"/>
      <c r="L74" s="33"/>
      <c r="M74" s="36"/>
      <c r="N74" s="47" t="str">
        <f aca="false">IF($B74="","",IF(NOT(ISNUMBER($B74)),"日期不是日期格式",IF(YEAR($B74)&lt;&gt;首页!$B$3,"不在会计年度",IF($D74="","未选供应商",IF(ISNA(MATCH($D74,基础资料!$AF$6:$AF$155,0)),"供应商不在档案",IF($E74="","未填商品或内容",IF(NOT(ISNUMBER($F74)),"数量须为数字",IF(NOT(ISNUMBER($G74)),"单价须为数字",IF(N($F74)&lt;=0,"数量须大于0",IF($I74="","请选是否入库",IF(AND($I74="是",ISNA(MATCH($E74,基础资料!$Q$6:$Q$205,0))),"入库商品必须在商品档案中",IF(AND($I74="否",$J74&lt;&gt;"",ISNA(MATCH($J74,科目参数!$A$6:$A$125,0))),"费用科目不存在","√"))))))))))))</f>
        <v/>
      </c>
      <c r="O74" s="49" t="str">
        <f aca="false">IF($E74="","",IFERROR(INDEX(基础资料!$R$6:$R$205,MATCH($E74,基础资料!$Q$6:$Q$205,0)),""))</f>
        <v/>
      </c>
      <c r="P74" s="49" t="str">
        <f aca="false">IF($E74="","",IFERROR(INDEX(基础资料!$S$6:$S$205,MATCH($E74,基础资料!$Q$6:$Q$205,0)),""))</f>
        <v/>
      </c>
      <c r="Q74" s="48" t="str">
        <f aca="false">IF(OR($F74="",$G74=""),"",ROUND(N($F74)*N($G74),2))</f>
        <v/>
      </c>
      <c r="R74" s="48" t="str">
        <f aca="false">IF($Q74="","",ROUND(N($Q74)*N($H74),2))</f>
        <v/>
      </c>
      <c r="S74" s="48" t="str">
        <f aca="false">IF($Q74="","",N($Q74)+N($R74))</f>
        <v/>
      </c>
      <c r="T74" s="52" t="str">
        <f aca="false">IF(OR($B74="",$D74=""),"",$B74+N(IFERROR(INDEX(基础资料!$AH$6:$AH$155,MATCH($D74,基础资料!$AF$6:$AF$155,0)),0)))</f>
        <v/>
      </c>
      <c r="U74" s="49" t="str">
        <f aca="false">IF($Q74="","",IF($I74="是","1405",IF($J74="","6602",$J74)))</f>
        <v/>
      </c>
      <c r="V74" s="49" t="str">
        <f aca="false">IF($Q74="","","2202")</f>
        <v/>
      </c>
      <c r="W74" s="48" t="str">
        <f aca="false">IF($Q74="","",$Q74)</f>
        <v/>
      </c>
      <c r="X74" s="49" t="str">
        <f aca="false">IF(N($R74)=0,"","2221")</f>
        <v/>
      </c>
      <c r="Y74" s="49" t="str">
        <f aca="false">IF(N($R74)=0,"","2202")</f>
        <v/>
      </c>
      <c r="Z74" s="48" t="str">
        <f aca="false">IF(N($R74)=0,"",$R74)</f>
        <v/>
      </c>
      <c r="AA74" s="49" t="str">
        <f aca="false">IF(AND($D74=供应商对账单!$B$3,$B74&gt;=供应商对账单!$E$3,$B74&lt;=供应商对账单!$H$3),COUNTIFS($D$5:$D74,供应商对账单!$B$3,$B$5:$B74,"&gt;="&amp;供应商对账单!$E$3,$B$5:$B74,"&lt;="&amp;供应商对账单!$H$3),"")</f>
        <v/>
      </c>
    </row>
    <row r="75" customFormat="false" ht="15.75" hidden="false" customHeight="true" outlineLevel="0" collapsed="false">
      <c r="A75" s="42" t="str">
        <f aca="false">IF($B75="","","CG"&amp;TEXT($B75,"yyyymm")&amp;"-"&amp;TEXT(ROW()-4,"000"))</f>
        <v/>
      </c>
      <c r="B75" s="41"/>
      <c r="C75" s="42" t="str">
        <f aca="false">IF($B75="","",TEXT($B75,"yyyy-mm"))</f>
        <v/>
      </c>
      <c r="D75" s="32"/>
      <c r="E75" s="36"/>
      <c r="F75" s="43"/>
      <c r="G75" s="40"/>
      <c r="H75" s="51"/>
      <c r="I75" s="33"/>
      <c r="J75" s="31"/>
      <c r="K75" s="33"/>
      <c r="L75" s="33"/>
      <c r="M75" s="36"/>
      <c r="N75" s="47" t="str">
        <f aca="false">IF($B75="","",IF(NOT(ISNUMBER($B75)),"日期不是日期格式",IF(YEAR($B75)&lt;&gt;首页!$B$3,"不在会计年度",IF($D75="","未选供应商",IF(ISNA(MATCH($D75,基础资料!$AF$6:$AF$155,0)),"供应商不在档案",IF($E75="","未填商品或内容",IF(NOT(ISNUMBER($F75)),"数量须为数字",IF(NOT(ISNUMBER($G75)),"单价须为数字",IF(N($F75)&lt;=0,"数量须大于0",IF($I75="","请选是否入库",IF(AND($I75="是",ISNA(MATCH($E75,基础资料!$Q$6:$Q$205,0))),"入库商品必须在商品档案中",IF(AND($I75="否",$J75&lt;&gt;"",ISNA(MATCH($J75,科目参数!$A$6:$A$125,0))),"费用科目不存在","√"))))))))))))</f>
        <v/>
      </c>
      <c r="O75" s="49" t="str">
        <f aca="false">IF($E75="","",IFERROR(INDEX(基础资料!$R$6:$R$205,MATCH($E75,基础资料!$Q$6:$Q$205,0)),""))</f>
        <v/>
      </c>
      <c r="P75" s="49" t="str">
        <f aca="false">IF($E75="","",IFERROR(INDEX(基础资料!$S$6:$S$205,MATCH($E75,基础资料!$Q$6:$Q$205,0)),""))</f>
        <v/>
      </c>
      <c r="Q75" s="48" t="str">
        <f aca="false">IF(OR($F75="",$G75=""),"",ROUND(N($F75)*N($G75),2))</f>
        <v/>
      </c>
      <c r="R75" s="48" t="str">
        <f aca="false">IF($Q75="","",ROUND(N($Q75)*N($H75),2))</f>
        <v/>
      </c>
      <c r="S75" s="48" t="str">
        <f aca="false">IF($Q75="","",N($Q75)+N($R75))</f>
        <v/>
      </c>
      <c r="T75" s="52" t="str">
        <f aca="false">IF(OR($B75="",$D75=""),"",$B75+N(IFERROR(INDEX(基础资料!$AH$6:$AH$155,MATCH($D75,基础资料!$AF$6:$AF$155,0)),0)))</f>
        <v/>
      </c>
      <c r="U75" s="49" t="str">
        <f aca="false">IF($Q75="","",IF($I75="是","1405",IF($J75="","6602",$J75)))</f>
        <v/>
      </c>
      <c r="V75" s="49" t="str">
        <f aca="false">IF($Q75="","","2202")</f>
        <v/>
      </c>
      <c r="W75" s="48" t="str">
        <f aca="false">IF($Q75="","",$Q75)</f>
        <v/>
      </c>
      <c r="X75" s="49" t="str">
        <f aca="false">IF(N($R75)=0,"","2221")</f>
        <v/>
      </c>
      <c r="Y75" s="49" t="str">
        <f aca="false">IF(N($R75)=0,"","2202")</f>
        <v/>
      </c>
      <c r="Z75" s="48" t="str">
        <f aca="false">IF(N($R75)=0,"",$R75)</f>
        <v/>
      </c>
      <c r="AA75" s="49" t="str">
        <f aca="false">IF(AND($D75=供应商对账单!$B$3,$B75&gt;=供应商对账单!$E$3,$B75&lt;=供应商对账单!$H$3),COUNTIFS($D$5:$D75,供应商对账单!$B$3,$B$5:$B75,"&gt;="&amp;供应商对账单!$E$3,$B$5:$B75,"&lt;="&amp;供应商对账单!$H$3),"")</f>
        <v/>
      </c>
    </row>
    <row r="76" customFormat="false" ht="15.75" hidden="false" customHeight="true" outlineLevel="0" collapsed="false">
      <c r="A76" s="42" t="str">
        <f aca="false">IF($B76="","","CG"&amp;TEXT($B76,"yyyymm")&amp;"-"&amp;TEXT(ROW()-4,"000"))</f>
        <v/>
      </c>
      <c r="B76" s="41"/>
      <c r="C76" s="42" t="str">
        <f aca="false">IF($B76="","",TEXT($B76,"yyyy-mm"))</f>
        <v/>
      </c>
      <c r="D76" s="32"/>
      <c r="E76" s="36"/>
      <c r="F76" s="43"/>
      <c r="G76" s="40"/>
      <c r="H76" s="51"/>
      <c r="I76" s="33"/>
      <c r="J76" s="31"/>
      <c r="K76" s="33"/>
      <c r="L76" s="33"/>
      <c r="M76" s="36"/>
      <c r="N76" s="47" t="str">
        <f aca="false">IF($B76="","",IF(NOT(ISNUMBER($B76)),"日期不是日期格式",IF(YEAR($B76)&lt;&gt;首页!$B$3,"不在会计年度",IF($D76="","未选供应商",IF(ISNA(MATCH($D76,基础资料!$AF$6:$AF$155,0)),"供应商不在档案",IF($E76="","未填商品或内容",IF(NOT(ISNUMBER($F76)),"数量须为数字",IF(NOT(ISNUMBER($G76)),"单价须为数字",IF(N($F76)&lt;=0,"数量须大于0",IF($I76="","请选是否入库",IF(AND($I76="是",ISNA(MATCH($E76,基础资料!$Q$6:$Q$205,0))),"入库商品必须在商品档案中",IF(AND($I76="否",$J76&lt;&gt;"",ISNA(MATCH($J76,科目参数!$A$6:$A$125,0))),"费用科目不存在","√"))))))))))))</f>
        <v/>
      </c>
      <c r="O76" s="49" t="str">
        <f aca="false">IF($E76="","",IFERROR(INDEX(基础资料!$R$6:$R$205,MATCH($E76,基础资料!$Q$6:$Q$205,0)),""))</f>
        <v/>
      </c>
      <c r="P76" s="49" t="str">
        <f aca="false">IF($E76="","",IFERROR(INDEX(基础资料!$S$6:$S$205,MATCH($E76,基础资料!$Q$6:$Q$205,0)),""))</f>
        <v/>
      </c>
      <c r="Q76" s="48" t="str">
        <f aca="false">IF(OR($F76="",$G76=""),"",ROUND(N($F76)*N($G76),2))</f>
        <v/>
      </c>
      <c r="R76" s="48" t="str">
        <f aca="false">IF($Q76="","",ROUND(N($Q76)*N($H76),2))</f>
        <v/>
      </c>
      <c r="S76" s="48" t="str">
        <f aca="false">IF($Q76="","",N($Q76)+N($R76))</f>
        <v/>
      </c>
      <c r="T76" s="52" t="str">
        <f aca="false">IF(OR($B76="",$D76=""),"",$B76+N(IFERROR(INDEX(基础资料!$AH$6:$AH$155,MATCH($D76,基础资料!$AF$6:$AF$155,0)),0)))</f>
        <v/>
      </c>
      <c r="U76" s="49" t="str">
        <f aca="false">IF($Q76="","",IF($I76="是","1405",IF($J76="","6602",$J76)))</f>
        <v/>
      </c>
      <c r="V76" s="49" t="str">
        <f aca="false">IF($Q76="","","2202")</f>
        <v/>
      </c>
      <c r="W76" s="48" t="str">
        <f aca="false">IF($Q76="","",$Q76)</f>
        <v/>
      </c>
      <c r="X76" s="49" t="str">
        <f aca="false">IF(N($R76)=0,"","2221")</f>
        <v/>
      </c>
      <c r="Y76" s="49" t="str">
        <f aca="false">IF(N($R76)=0,"","2202")</f>
        <v/>
      </c>
      <c r="Z76" s="48" t="str">
        <f aca="false">IF(N($R76)=0,"",$R76)</f>
        <v/>
      </c>
      <c r="AA76" s="49" t="str">
        <f aca="false">IF(AND($D76=供应商对账单!$B$3,$B76&gt;=供应商对账单!$E$3,$B76&lt;=供应商对账单!$H$3),COUNTIFS($D$5:$D76,供应商对账单!$B$3,$B$5:$B76,"&gt;="&amp;供应商对账单!$E$3,$B$5:$B76,"&lt;="&amp;供应商对账单!$H$3),"")</f>
        <v/>
      </c>
    </row>
    <row r="77" customFormat="false" ht="15.75" hidden="false" customHeight="true" outlineLevel="0" collapsed="false">
      <c r="A77" s="42" t="str">
        <f aca="false">IF($B77="","","CG"&amp;TEXT($B77,"yyyymm")&amp;"-"&amp;TEXT(ROW()-4,"000"))</f>
        <v/>
      </c>
      <c r="B77" s="41"/>
      <c r="C77" s="42" t="str">
        <f aca="false">IF($B77="","",TEXT($B77,"yyyy-mm"))</f>
        <v/>
      </c>
      <c r="D77" s="32"/>
      <c r="E77" s="36"/>
      <c r="F77" s="43"/>
      <c r="G77" s="40"/>
      <c r="H77" s="51"/>
      <c r="I77" s="33"/>
      <c r="J77" s="31"/>
      <c r="K77" s="33"/>
      <c r="L77" s="33"/>
      <c r="M77" s="36"/>
      <c r="N77" s="47" t="str">
        <f aca="false">IF($B77="","",IF(NOT(ISNUMBER($B77)),"日期不是日期格式",IF(YEAR($B77)&lt;&gt;首页!$B$3,"不在会计年度",IF($D77="","未选供应商",IF(ISNA(MATCH($D77,基础资料!$AF$6:$AF$155,0)),"供应商不在档案",IF($E77="","未填商品或内容",IF(NOT(ISNUMBER($F77)),"数量须为数字",IF(NOT(ISNUMBER($G77)),"单价须为数字",IF(N($F77)&lt;=0,"数量须大于0",IF($I77="","请选是否入库",IF(AND($I77="是",ISNA(MATCH($E77,基础资料!$Q$6:$Q$205,0))),"入库商品必须在商品档案中",IF(AND($I77="否",$J77&lt;&gt;"",ISNA(MATCH($J77,科目参数!$A$6:$A$125,0))),"费用科目不存在","√"))))))))))))</f>
        <v/>
      </c>
      <c r="O77" s="49" t="str">
        <f aca="false">IF($E77="","",IFERROR(INDEX(基础资料!$R$6:$R$205,MATCH($E77,基础资料!$Q$6:$Q$205,0)),""))</f>
        <v/>
      </c>
      <c r="P77" s="49" t="str">
        <f aca="false">IF($E77="","",IFERROR(INDEX(基础资料!$S$6:$S$205,MATCH($E77,基础资料!$Q$6:$Q$205,0)),""))</f>
        <v/>
      </c>
      <c r="Q77" s="48" t="str">
        <f aca="false">IF(OR($F77="",$G77=""),"",ROUND(N($F77)*N($G77),2))</f>
        <v/>
      </c>
      <c r="R77" s="48" t="str">
        <f aca="false">IF($Q77="","",ROUND(N($Q77)*N($H77),2))</f>
        <v/>
      </c>
      <c r="S77" s="48" t="str">
        <f aca="false">IF($Q77="","",N($Q77)+N($R77))</f>
        <v/>
      </c>
      <c r="T77" s="52" t="str">
        <f aca="false">IF(OR($B77="",$D77=""),"",$B77+N(IFERROR(INDEX(基础资料!$AH$6:$AH$155,MATCH($D77,基础资料!$AF$6:$AF$155,0)),0)))</f>
        <v/>
      </c>
      <c r="U77" s="49" t="str">
        <f aca="false">IF($Q77="","",IF($I77="是","1405",IF($J77="","6602",$J77)))</f>
        <v/>
      </c>
      <c r="V77" s="49" t="str">
        <f aca="false">IF($Q77="","","2202")</f>
        <v/>
      </c>
      <c r="W77" s="48" t="str">
        <f aca="false">IF($Q77="","",$Q77)</f>
        <v/>
      </c>
      <c r="X77" s="49" t="str">
        <f aca="false">IF(N($R77)=0,"","2221")</f>
        <v/>
      </c>
      <c r="Y77" s="49" t="str">
        <f aca="false">IF(N($R77)=0,"","2202")</f>
        <v/>
      </c>
      <c r="Z77" s="48" t="str">
        <f aca="false">IF(N($R77)=0,"",$R77)</f>
        <v/>
      </c>
      <c r="AA77" s="49" t="str">
        <f aca="false">IF(AND($D77=供应商对账单!$B$3,$B77&gt;=供应商对账单!$E$3,$B77&lt;=供应商对账单!$H$3),COUNTIFS($D$5:$D77,供应商对账单!$B$3,$B$5:$B77,"&gt;="&amp;供应商对账单!$E$3,$B$5:$B77,"&lt;="&amp;供应商对账单!$H$3),"")</f>
        <v/>
      </c>
    </row>
    <row r="78" customFormat="false" ht="15.75" hidden="false" customHeight="true" outlineLevel="0" collapsed="false">
      <c r="A78" s="42" t="str">
        <f aca="false">IF($B78="","","CG"&amp;TEXT($B78,"yyyymm")&amp;"-"&amp;TEXT(ROW()-4,"000"))</f>
        <v/>
      </c>
      <c r="B78" s="41"/>
      <c r="C78" s="42" t="str">
        <f aca="false">IF($B78="","",TEXT($B78,"yyyy-mm"))</f>
        <v/>
      </c>
      <c r="D78" s="32"/>
      <c r="E78" s="36"/>
      <c r="F78" s="43"/>
      <c r="G78" s="40"/>
      <c r="H78" s="51"/>
      <c r="I78" s="33"/>
      <c r="J78" s="31"/>
      <c r="K78" s="33"/>
      <c r="L78" s="33"/>
      <c r="M78" s="36"/>
      <c r="N78" s="47" t="str">
        <f aca="false">IF($B78="","",IF(NOT(ISNUMBER($B78)),"日期不是日期格式",IF(YEAR($B78)&lt;&gt;首页!$B$3,"不在会计年度",IF($D78="","未选供应商",IF(ISNA(MATCH($D78,基础资料!$AF$6:$AF$155,0)),"供应商不在档案",IF($E78="","未填商品或内容",IF(NOT(ISNUMBER($F78)),"数量须为数字",IF(NOT(ISNUMBER($G78)),"单价须为数字",IF(N($F78)&lt;=0,"数量须大于0",IF($I78="","请选是否入库",IF(AND($I78="是",ISNA(MATCH($E78,基础资料!$Q$6:$Q$205,0))),"入库商品必须在商品档案中",IF(AND($I78="否",$J78&lt;&gt;"",ISNA(MATCH($J78,科目参数!$A$6:$A$125,0))),"费用科目不存在","√"))))))))))))</f>
        <v/>
      </c>
      <c r="O78" s="49" t="str">
        <f aca="false">IF($E78="","",IFERROR(INDEX(基础资料!$R$6:$R$205,MATCH($E78,基础资料!$Q$6:$Q$205,0)),""))</f>
        <v/>
      </c>
      <c r="P78" s="49" t="str">
        <f aca="false">IF($E78="","",IFERROR(INDEX(基础资料!$S$6:$S$205,MATCH($E78,基础资料!$Q$6:$Q$205,0)),""))</f>
        <v/>
      </c>
      <c r="Q78" s="48" t="str">
        <f aca="false">IF(OR($F78="",$G78=""),"",ROUND(N($F78)*N($G78),2))</f>
        <v/>
      </c>
      <c r="R78" s="48" t="str">
        <f aca="false">IF($Q78="","",ROUND(N($Q78)*N($H78),2))</f>
        <v/>
      </c>
      <c r="S78" s="48" t="str">
        <f aca="false">IF($Q78="","",N($Q78)+N($R78))</f>
        <v/>
      </c>
      <c r="T78" s="52" t="str">
        <f aca="false">IF(OR($B78="",$D78=""),"",$B78+N(IFERROR(INDEX(基础资料!$AH$6:$AH$155,MATCH($D78,基础资料!$AF$6:$AF$155,0)),0)))</f>
        <v/>
      </c>
      <c r="U78" s="49" t="str">
        <f aca="false">IF($Q78="","",IF($I78="是","1405",IF($J78="","6602",$J78)))</f>
        <v/>
      </c>
      <c r="V78" s="49" t="str">
        <f aca="false">IF($Q78="","","2202")</f>
        <v/>
      </c>
      <c r="W78" s="48" t="str">
        <f aca="false">IF($Q78="","",$Q78)</f>
        <v/>
      </c>
      <c r="X78" s="49" t="str">
        <f aca="false">IF(N($R78)=0,"","2221")</f>
        <v/>
      </c>
      <c r="Y78" s="49" t="str">
        <f aca="false">IF(N($R78)=0,"","2202")</f>
        <v/>
      </c>
      <c r="Z78" s="48" t="str">
        <f aca="false">IF(N($R78)=0,"",$R78)</f>
        <v/>
      </c>
      <c r="AA78" s="49" t="str">
        <f aca="false">IF(AND($D78=供应商对账单!$B$3,$B78&gt;=供应商对账单!$E$3,$B78&lt;=供应商对账单!$H$3),COUNTIFS($D$5:$D78,供应商对账单!$B$3,$B$5:$B78,"&gt;="&amp;供应商对账单!$E$3,$B$5:$B78,"&lt;="&amp;供应商对账单!$H$3),"")</f>
        <v/>
      </c>
    </row>
    <row r="79" customFormat="false" ht="15.75" hidden="false" customHeight="true" outlineLevel="0" collapsed="false">
      <c r="A79" s="42" t="str">
        <f aca="false">IF($B79="","","CG"&amp;TEXT($B79,"yyyymm")&amp;"-"&amp;TEXT(ROW()-4,"000"))</f>
        <v/>
      </c>
      <c r="B79" s="41"/>
      <c r="C79" s="42" t="str">
        <f aca="false">IF($B79="","",TEXT($B79,"yyyy-mm"))</f>
        <v/>
      </c>
      <c r="D79" s="32"/>
      <c r="E79" s="36"/>
      <c r="F79" s="43"/>
      <c r="G79" s="40"/>
      <c r="H79" s="51"/>
      <c r="I79" s="33"/>
      <c r="J79" s="31"/>
      <c r="K79" s="33"/>
      <c r="L79" s="33"/>
      <c r="M79" s="36"/>
      <c r="N79" s="47" t="str">
        <f aca="false">IF($B79="","",IF(NOT(ISNUMBER($B79)),"日期不是日期格式",IF(YEAR($B79)&lt;&gt;首页!$B$3,"不在会计年度",IF($D79="","未选供应商",IF(ISNA(MATCH($D79,基础资料!$AF$6:$AF$155,0)),"供应商不在档案",IF($E79="","未填商品或内容",IF(NOT(ISNUMBER($F79)),"数量须为数字",IF(NOT(ISNUMBER($G79)),"单价须为数字",IF(N($F79)&lt;=0,"数量须大于0",IF($I79="","请选是否入库",IF(AND($I79="是",ISNA(MATCH($E79,基础资料!$Q$6:$Q$205,0))),"入库商品必须在商品档案中",IF(AND($I79="否",$J79&lt;&gt;"",ISNA(MATCH($J79,科目参数!$A$6:$A$125,0))),"费用科目不存在","√"))))))))))))</f>
        <v/>
      </c>
      <c r="O79" s="49" t="str">
        <f aca="false">IF($E79="","",IFERROR(INDEX(基础资料!$R$6:$R$205,MATCH($E79,基础资料!$Q$6:$Q$205,0)),""))</f>
        <v/>
      </c>
      <c r="P79" s="49" t="str">
        <f aca="false">IF($E79="","",IFERROR(INDEX(基础资料!$S$6:$S$205,MATCH($E79,基础资料!$Q$6:$Q$205,0)),""))</f>
        <v/>
      </c>
      <c r="Q79" s="48" t="str">
        <f aca="false">IF(OR($F79="",$G79=""),"",ROUND(N($F79)*N($G79),2))</f>
        <v/>
      </c>
      <c r="R79" s="48" t="str">
        <f aca="false">IF($Q79="","",ROUND(N($Q79)*N($H79),2))</f>
        <v/>
      </c>
      <c r="S79" s="48" t="str">
        <f aca="false">IF($Q79="","",N($Q79)+N($R79))</f>
        <v/>
      </c>
      <c r="T79" s="52" t="str">
        <f aca="false">IF(OR($B79="",$D79=""),"",$B79+N(IFERROR(INDEX(基础资料!$AH$6:$AH$155,MATCH($D79,基础资料!$AF$6:$AF$155,0)),0)))</f>
        <v/>
      </c>
      <c r="U79" s="49" t="str">
        <f aca="false">IF($Q79="","",IF($I79="是","1405",IF($J79="","6602",$J79)))</f>
        <v/>
      </c>
      <c r="V79" s="49" t="str">
        <f aca="false">IF($Q79="","","2202")</f>
        <v/>
      </c>
      <c r="W79" s="48" t="str">
        <f aca="false">IF($Q79="","",$Q79)</f>
        <v/>
      </c>
      <c r="X79" s="49" t="str">
        <f aca="false">IF(N($R79)=0,"","2221")</f>
        <v/>
      </c>
      <c r="Y79" s="49" t="str">
        <f aca="false">IF(N($R79)=0,"","2202")</f>
        <v/>
      </c>
      <c r="Z79" s="48" t="str">
        <f aca="false">IF(N($R79)=0,"",$R79)</f>
        <v/>
      </c>
      <c r="AA79" s="49" t="str">
        <f aca="false">IF(AND($D79=供应商对账单!$B$3,$B79&gt;=供应商对账单!$E$3,$B79&lt;=供应商对账单!$H$3),COUNTIFS($D$5:$D79,供应商对账单!$B$3,$B$5:$B79,"&gt;="&amp;供应商对账单!$E$3,$B$5:$B79,"&lt;="&amp;供应商对账单!$H$3),"")</f>
        <v/>
      </c>
    </row>
    <row r="80" customFormat="false" ht="15.75" hidden="false" customHeight="true" outlineLevel="0" collapsed="false">
      <c r="A80" s="42" t="str">
        <f aca="false">IF($B80="","","CG"&amp;TEXT($B80,"yyyymm")&amp;"-"&amp;TEXT(ROW()-4,"000"))</f>
        <v/>
      </c>
      <c r="B80" s="41"/>
      <c r="C80" s="42" t="str">
        <f aca="false">IF($B80="","",TEXT($B80,"yyyy-mm"))</f>
        <v/>
      </c>
      <c r="D80" s="32"/>
      <c r="E80" s="36"/>
      <c r="F80" s="43"/>
      <c r="G80" s="40"/>
      <c r="H80" s="51"/>
      <c r="I80" s="33"/>
      <c r="J80" s="31"/>
      <c r="K80" s="33"/>
      <c r="L80" s="33"/>
      <c r="M80" s="36"/>
      <c r="N80" s="47" t="str">
        <f aca="false">IF($B80="","",IF(NOT(ISNUMBER($B80)),"日期不是日期格式",IF(YEAR($B80)&lt;&gt;首页!$B$3,"不在会计年度",IF($D80="","未选供应商",IF(ISNA(MATCH($D80,基础资料!$AF$6:$AF$155,0)),"供应商不在档案",IF($E80="","未填商品或内容",IF(NOT(ISNUMBER($F80)),"数量须为数字",IF(NOT(ISNUMBER($G80)),"单价须为数字",IF(N($F80)&lt;=0,"数量须大于0",IF($I80="","请选是否入库",IF(AND($I80="是",ISNA(MATCH($E80,基础资料!$Q$6:$Q$205,0))),"入库商品必须在商品档案中",IF(AND($I80="否",$J80&lt;&gt;"",ISNA(MATCH($J80,科目参数!$A$6:$A$125,0))),"费用科目不存在","√"))))))))))))</f>
        <v/>
      </c>
      <c r="O80" s="49" t="str">
        <f aca="false">IF($E80="","",IFERROR(INDEX(基础资料!$R$6:$R$205,MATCH($E80,基础资料!$Q$6:$Q$205,0)),""))</f>
        <v/>
      </c>
      <c r="P80" s="49" t="str">
        <f aca="false">IF($E80="","",IFERROR(INDEX(基础资料!$S$6:$S$205,MATCH($E80,基础资料!$Q$6:$Q$205,0)),""))</f>
        <v/>
      </c>
      <c r="Q80" s="48" t="str">
        <f aca="false">IF(OR($F80="",$G80=""),"",ROUND(N($F80)*N($G80),2))</f>
        <v/>
      </c>
      <c r="R80" s="48" t="str">
        <f aca="false">IF($Q80="","",ROUND(N($Q80)*N($H80),2))</f>
        <v/>
      </c>
      <c r="S80" s="48" t="str">
        <f aca="false">IF($Q80="","",N($Q80)+N($R80))</f>
        <v/>
      </c>
      <c r="T80" s="52" t="str">
        <f aca="false">IF(OR($B80="",$D80=""),"",$B80+N(IFERROR(INDEX(基础资料!$AH$6:$AH$155,MATCH($D80,基础资料!$AF$6:$AF$155,0)),0)))</f>
        <v/>
      </c>
      <c r="U80" s="49" t="str">
        <f aca="false">IF($Q80="","",IF($I80="是","1405",IF($J80="","6602",$J80)))</f>
        <v/>
      </c>
      <c r="V80" s="49" t="str">
        <f aca="false">IF($Q80="","","2202")</f>
        <v/>
      </c>
      <c r="W80" s="48" t="str">
        <f aca="false">IF($Q80="","",$Q80)</f>
        <v/>
      </c>
      <c r="X80" s="49" t="str">
        <f aca="false">IF(N($R80)=0,"","2221")</f>
        <v/>
      </c>
      <c r="Y80" s="49" t="str">
        <f aca="false">IF(N($R80)=0,"","2202")</f>
        <v/>
      </c>
      <c r="Z80" s="48" t="str">
        <f aca="false">IF(N($R80)=0,"",$R80)</f>
        <v/>
      </c>
      <c r="AA80" s="49" t="str">
        <f aca="false">IF(AND($D80=供应商对账单!$B$3,$B80&gt;=供应商对账单!$E$3,$B80&lt;=供应商对账单!$H$3),COUNTIFS($D$5:$D80,供应商对账单!$B$3,$B$5:$B80,"&gt;="&amp;供应商对账单!$E$3,$B$5:$B80,"&lt;="&amp;供应商对账单!$H$3),"")</f>
        <v/>
      </c>
    </row>
    <row r="81" customFormat="false" ht="15.75" hidden="false" customHeight="true" outlineLevel="0" collapsed="false">
      <c r="A81" s="42" t="str">
        <f aca="false">IF($B81="","","CG"&amp;TEXT($B81,"yyyymm")&amp;"-"&amp;TEXT(ROW()-4,"000"))</f>
        <v/>
      </c>
      <c r="B81" s="41"/>
      <c r="C81" s="42" t="str">
        <f aca="false">IF($B81="","",TEXT($B81,"yyyy-mm"))</f>
        <v/>
      </c>
      <c r="D81" s="32"/>
      <c r="E81" s="36"/>
      <c r="F81" s="43"/>
      <c r="G81" s="40"/>
      <c r="H81" s="51"/>
      <c r="I81" s="33"/>
      <c r="J81" s="31"/>
      <c r="K81" s="33"/>
      <c r="L81" s="33"/>
      <c r="M81" s="36"/>
      <c r="N81" s="47" t="str">
        <f aca="false">IF($B81="","",IF(NOT(ISNUMBER($B81)),"日期不是日期格式",IF(YEAR($B81)&lt;&gt;首页!$B$3,"不在会计年度",IF($D81="","未选供应商",IF(ISNA(MATCH($D81,基础资料!$AF$6:$AF$155,0)),"供应商不在档案",IF($E81="","未填商品或内容",IF(NOT(ISNUMBER($F81)),"数量须为数字",IF(NOT(ISNUMBER($G81)),"单价须为数字",IF(N($F81)&lt;=0,"数量须大于0",IF($I81="","请选是否入库",IF(AND($I81="是",ISNA(MATCH($E81,基础资料!$Q$6:$Q$205,0))),"入库商品必须在商品档案中",IF(AND($I81="否",$J81&lt;&gt;"",ISNA(MATCH($J81,科目参数!$A$6:$A$125,0))),"费用科目不存在","√"))))))))))))</f>
        <v/>
      </c>
      <c r="O81" s="49" t="str">
        <f aca="false">IF($E81="","",IFERROR(INDEX(基础资料!$R$6:$R$205,MATCH($E81,基础资料!$Q$6:$Q$205,0)),""))</f>
        <v/>
      </c>
      <c r="P81" s="49" t="str">
        <f aca="false">IF($E81="","",IFERROR(INDEX(基础资料!$S$6:$S$205,MATCH($E81,基础资料!$Q$6:$Q$205,0)),""))</f>
        <v/>
      </c>
      <c r="Q81" s="48" t="str">
        <f aca="false">IF(OR($F81="",$G81=""),"",ROUND(N($F81)*N($G81),2))</f>
        <v/>
      </c>
      <c r="R81" s="48" t="str">
        <f aca="false">IF($Q81="","",ROUND(N($Q81)*N($H81),2))</f>
        <v/>
      </c>
      <c r="S81" s="48" t="str">
        <f aca="false">IF($Q81="","",N($Q81)+N($R81))</f>
        <v/>
      </c>
      <c r="T81" s="52" t="str">
        <f aca="false">IF(OR($B81="",$D81=""),"",$B81+N(IFERROR(INDEX(基础资料!$AH$6:$AH$155,MATCH($D81,基础资料!$AF$6:$AF$155,0)),0)))</f>
        <v/>
      </c>
      <c r="U81" s="49" t="str">
        <f aca="false">IF($Q81="","",IF($I81="是","1405",IF($J81="","6602",$J81)))</f>
        <v/>
      </c>
      <c r="V81" s="49" t="str">
        <f aca="false">IF($Q81="","","2202")</f>
        <v/>
      </c>
      <c r="W81" s="48" t="str">
        <f aca="false">IF($Q81="","",$Q81)</f>
        <v/>
      </c>
      <c r="X81" s="49" t="str">
        <f aca="false">IF(N($R81)=0,"","2221")</f>
        <v/>
      </c>
      <c r="Y81" s="49" t="str">
        <f aca="false">IF(N($R81)=0,"","2202")</f>
        <v/>
      </c>
      <c r="Z81" s="48" t="str">
        <f aca="false">IF(N($R81)=0,"",$R81)</f>
        <v/>
      </c>
      <c r="AA81" s="49" t="str">
        <f aca="false">IF(AND($D81=供应商对账单!$B$3,$B81&gt;=供应商对账单!$E$3,$B81&lt;=供应商对账单!$H$3),COUNTIFS($D$5:$D81,供应商对账单!$B$3,$B$5:$B81,"&gt;="&amp;供应商对账单!$E$3,$B$5:$B81,"&lt;="&amp;供应商对账单!$H$3),"")</f>
        <v/>
      </c>
    </row>
    <row r="82" customFormat="false" ht="15.75" hidden="false" customHeight="true" outlineLevel="0" collapsed="false">
      <c r="A82" s="42" t="str">
        <f aca="false">IF($B82="","","CG"&amp;TEXT($B82,"yyyymm")&amp;"-"&amp;TEXT(ROW()-4,"000"))</f>
        <v/>
      </c>
      <c r="B82" s="41"/>
      <c r="C82" s="42" t="str">
        <f aca="false">IF($B82="","",TEXT($B82,"yyyy-mm"))</f>
        <v/>
      </c>
      <c r="D82" s="32"/>
      <c r="E82" s="36"/>
      <c r="F82" s="43"/>
      <c r="G82" s="40"/>
      <c r="H82" s="51"/>
      <c r="I82" s="33"/>
      <c r="J82" s="31"/>
      <c r="K82" s="33"/>
      <c r="L82" s="33"/>
      <c r="M82" s="36"/>
      <c r="N82" s="47" t="str">
        <f aca="false">IF($B82="","",IF(NOT(ISNUMBER($B82)),"日期不是日期格式",IF(YEAR($B82)&lt;&gt;首页!$B$3,"不在会计年度",IF($D82="","未选供应商",IF(ISNA(MATCH($D82,基础资料!$AF$6:$AF$155,0)),"供应商不在档案",IF($E82="","未填商品或内容",IF(NOT(ISNUMBER($F82)),"数量须为数字",IF(NOT(ISNUMBER($G82)),"单价须为数字",IF(N($F82)&lt;=0,"数量须大于0",IF($I82="","请选是否入库",IF(AND($I82="是",ISNA(MATCH($E82,基础资料!$Q$6:$Q$205,0))),"入库商品必须在商品档案中",IF(AND($I82="否",$J82&lt;&gt;"",ISNA(MATCH($J82,科目参数!$A$6:$A$125,0))),"费用科目不存在","√"))))))))))))</f>
        <v/>
      </c>
      <c r="O82" s="49" t="str">
        <f aca="false">IF($E82="","",IFERROR(INDEX(基础资料!$R$6:$R$205,MATCH($E82,基础资料!$Q$6:$Q$205,0)),""))</f>
        <v/>
      </c>
      <c r="P82" s="49" t="str">
        <f aca="false">IF($E82="","",IFERROR(INDEX(基础资料!$S$6:$S$205,MATCH($E82,基础资料!$Q$6:$Q$205,0)),""))</f>
        <v/>
      </c>
      <c r="Q82" s="48" t="str">
        <f aca="false">IF(OR($F82="",$G82=""),"",ROUND(N($F82)*N($G82),2))</f>
        <v/>
      </c>
      <c r="R82" s="48" t="str">
        <f aca="false">IF($Q82="","",ROUND(N($Q82)*N($H82),2))</f>
        <v/>
      </c>
      <c r="S82" s="48" t="str">
        <f aca="false">IF($Q82="","",N($Q82)+N($R82))</f>
        <v/>
      </c>
      <c r="T82" s="52" t="str">
        <f aca="false">IF(OR($B82="",$D82=""),"",$B82+N(IFERROR(INDEX(基础资料!$AH$6:$AH$155,MATCH($D82,基础资料!$AF$6:$AF$155,0)),0)))</f>
        <v/>
      </c>
      <c r="U82" s="49" t="str">
        <f aca="false">IF($Q82="","",IF($I82="是","1405",IF($J82="","6602",$J82)))</f>
        <v/>
      </c>
      <c r="V82" s="49" t="str">
        <f aca="false">IF($Q82="","","2202")</f>
        <v/>
      </c>
      <c r="W82" s="48" t="str">
        <f aca="false">IF($Q82="","",$Q82)</f>
        <v/>
      </c>
      <c r="X82" s="49" t="str">
        <f aca="false">IF(N($R82)=0,"","2221")</f>
        <v/>
      </c>
      <c r="Y82" s="49" t="str">
        <f aca="false">IF(N($R82)=0,"","2202")</f>
        <v/>
      </c>
      <c r="Z82" s="48" t="str">
        <f aca="false">IF(N($R82)=0,"",$R82)</f>
        <v/>
      </c>
      <c r="AA82" s="49" t="str">
        <f aca="false">IF(AND($D82=供应商对账单!$B$3,$B82&gt;=供应商对账单!$E$3,$B82&lt;=供应商对账单!$H$3),COUNTIFS($D$5:$D82,供应商对账单!$B$3,$B$5:$B82,"&gt;="&amp;供应商对账单!$E$3,$B$5:$B82,"&lt;="&amp;供应商对账单!$H$3),"")</f>
        <v/>
      </c>
    </row>
    <row r="83" customFormat="false" ht="15.75" hidden="false" customHeight="true" outlineLevel="0" collapsed="false">
      <c r="A83" s="42" t="str">
        <f aca="false">IF($B83="","","CG"&amp;TEXT($B83,"yyyymm")&amp;"-"&amp;TEXT(ROW()-4,"000"))</f>
        <v/>
      </c>
      <c r="B83" s="41"/>
      <c r="C83" s="42" t="str">
        <f aca="false">IF($B83="","",TEXT($B83,"yyyy-mm"))</f>
        <v/>
      </c>
      <c r="D83" s="32"/>
      <c r="E83" s="36"/>
      <c r="F83" s="43"/>
      <c r="G83" s="40"/>
      <c r="H83" s="51"/>
      <c r="I83" s="33"/>
      <c r="J83" s="31"/>
      <c r="K83" s="33"/>
      <c r="L83" s="33"/>
      <c r="M83" s="36"/>
      <c r="N83" s="47" t="str">
        <f aca="false">IF($B83="","",IF(NOT(ISNUMBER($B83)),"日期不是日期格式",IF(YEAR($B83)&lt;&gt;首页!$B$3,"不在会计年度",IF($D83="","未选供应商",IF(ISNA(MATCH($D83,基础资料!$AF$6:$AF$155,0)),"供应商不在档案",IF($E83="","未填商品或内容",IF(NOT(ISNUMBER($F83)),"数量须为数字",IF(NOT(ISNUMBER($G83)),"单价须为数字",IF(N($F83)&lt;=0,"数量须大于0",IF($I83="","请选是否入库",IF(AND($I83="是",ISNA(MATCH($E83,基础资料!$Q$6:$Q$205,0))),"入库商品必须在商品档案中",IF(AND($I83="否",$J83&lt;&gt;"",ISNA(MATCH($J83,科目参数!$A$6:$A$125,0))),"费用科目不存在","√"))))))))))))</f>
        <v/>
      </c>
      <c r="O83" s="49" t="str">
        <f aca="false">IF($E83="","",IFERROR(INDEX(基础资料!$R$6:$R$205,MATCH($E83,基础资料!$Q$6:$Q$205,0)),""))</f>
        <v/>
      </c>
      <c r="P83" s="49" t="str">
        <f aca="false">IF($E83="","",IFERROR(INDEX(基础资料!$S$6:$S$205,MATCH($E83,基础资料!$Q$6:$Q$205,0)),""))</f>
        <v/>
      </c>
      <c r="Q83" s="48" t="str">
        <f aca="false">IF(OR($F83="",$G83=""),"",ROUND(N($F83)*N($G83),2))</f>
        <v/>
      </c>
      <c r="R83" s="48" t="str">
        <f aca="false">IF($Q83="","",ROUND(N($Q83)*N($H83),2))</f>
        <v/>
      </c>
      <c r="S83" s="48" t="str">
        <f aca="false">IF($Q83="","",N($Q83)+N($R83))</f>
        <v/>
      </c>
      <c r="T83" s="52" t="str">
        <f aca="false">IF(OR($B83="",$D83=""),"",$B83+N(IFERROR(INDEX(基础资料!$AH$6:$AH$155,MATCH($D83,基础资料!$AF$6:$AF$155,0)),0)))</f>
        <v/>
      </c>
      <c r="U83" s="49" t="str">
        <f aca="false">IF($Q83="","",IF($I83="是","1405",IF($J83="","6602",$J83)))</f>
        <v/>
      </c>
      <c r="V83" s="49" t="str">
        <f aca="false">IF($Q83="","","2202")</f>
        <v/>
      </c>
      <c r="W83" s="48" t="str">
        <f aca="false">IF($Q83="","",$Q83)</f>
        <v/>
      </c>
      <c r="X83" s="49" t="str">
        <f aca="false">IF(N($R83)=0,"","2221")</f>
        <v/>
      </c>
      <c r="Y83" s="49" t="str">
        <f aca="false">IF(N($R83)=0,"","2202")</f>
        <v/>
      </c>
      <c r="Z83" s="48" t="str">
        <f aca="false">IF(N($R83)=0,"",$R83)</f>
        <v/>
      </c>
      <c r="AA83" s="49" t="str">
        <f aca="false">IF(AND($D83=供应商对账单!$B$3,$B83&gt;=供应商对账单!$E$3,$B83&lt;=供应商对账单!$H$3),COUNTIFS($D$5:$D83,供应商对账单!$B$3,$B$5:$B83,"&gt;="&amp;供应商对账单!$E$3,$B$5:$B83,"&lt;="&amp;供应商对账单!$H$3),"")</f>
        <v/>
      </c>
    </row>
    <row r="84" customFormat="false" ht="15.75" hidden="false" customHeight="true" outlineLevel="0" collapsed="false">
      <c r="A84" s="42" t="str">
        <f aca="false">IF($B84="","","CG"&amp;TEXT($B84,"yyyymm")&amp;"-"&amp;TEXT(ROW()-4,"000"))</f>
        <v/>
      </c>
      <c r="B84" s="41"/>
      <c r="C84" s="42" t="str">
        <f aca="false">IF($B84="","",TEXT($B84,"yyyy-mm"))</f>
        <v/>
      </c>
      <c r="D84" s="32"/>
      <c r="E84" s="36"/>
      <c r="F84" s="43"/>
      <c r="G84" s="40"/>
      <c r="H84" s="51"/>
      <c r="I84" s="33"/>
      <c r="J84" s="31"/>
      <c r="K84" s="33"/>
      <c r="L84" s="33"/>
      <c r="M84" s="36"/>
      <c r="N84" s="47" t="str">
        <f aca="false">IF($B84="","",IF(NOT(ISNUMBER($B84)),"日期不是日期格式",IF(YEAR($B84)&lt;&gt;首页!$B$3,"不在会计年度",IF($D84="","未选供应商",IF(ISNA(MATCH($D84,基础资料!$AF$6:$AF$155,0)),"供应商不在档案",IF($E84="","未填商品或内容",IF(NOT(ISNUMBER($F84)),"数量须为数字",IF(NOT(ISNUMBER($G84)),"单价须为数字",IF(N($F84)&lt;=0,"数量须大于0",IF($I84="","请选是否入库",IF(AND($I84="是",ISNA(MATCH($E84,基础资料!$Q$6:$Q$205,0))),"入库商品必须在商品档案中",IF(AND($I84="否",$J84&lt;&gt;"",ISNA(MATCH($J84,科目参数!$A$6:$A$125,0))),"费用科目不存在","√"))))))))))))</f>
        <v/>
      </c>
      <c r="O84" s="49" t="str">
        <f aca="false">IF($E84="","",IFERROR(INDEX(基础资料!$R$6:$R$205,MATCH($E84,基础资料!$Q$6:$Q$205,0)),""))</f>
        <v/>
      </c>
      <c r="P84" s="49" t="str">
        <f aca="false">IF($E84="","",IFERROR(INDEX(基础资料!$S$6:$S$205,MATCH($E84,基础资料!$Q$6:$Q$205,0)),""))</f>
        <v/>
      </c>
      <c r="Q84" s="48" t="str">
        <f aca="false">IF(OR($F84="",$G84=""),"",ROUND(N($F84)*N($G84),2))</f>
        <v/>
      </c>
      <c r="R84" s="48" t="str">
        <f aca="false">IF($Q84="","",ROUND(N($Q84)*N($H84),2))</f>
        <v/>
      </c>
      <c r="S84" s="48" t="str">
        <f aca="false">IF($Q84="","",N($Q84)+N($R84))</f>
        <v/>
      </c>
      <c r="T84" s="52" t="str">
        <f aca="false">IF(OR($B84="",$D84=""),"",$B84+N(IFERROR(INDEX(基础资料!$AH$6:$AH$155,MATCH($D84,基础资料!$AF$6:$AF$155,0)),0)))</f>
        <v/>
      </c>
      <c r="U84" s="49" t="str">
        <f aca="false">IF($Q84="","",IF($I84="是","1405",IF($J84="","6602",$J84)))</f>
        <v/>
      </c>
      <c r="V84" s="49" t="str">
        <f aca="false">IF($Q84="","","2202")</f>
        <v/>
      </c>
      <c r="W84" s="48" t="str">
        <f aca="false">IF($Q84="","",$Q84)</f>
        <v/>
      </c>
      <c r="X84" s="49" t="str">
        <f aca="false">IF(N($R84)=0,"","2221")</f>
        <v/>
      </c>
      <c r="Y84" s="49" t="str">
        <f aca="false">IF(N($R84)=0,"","2202")</f>
        <v/>
      </c>
      <c r="Z84" s="48" t="str">
        <f aca="false">IF(N($R84)=0,"",$R84)</f>
        <v/>
      </c>
      <c r="AA84" s="49" t="str">
        <f aca="false">IF(AND($D84=供应商对账单!$B$3,$B84&gt;=供应商对账单!$E$3,$B84&lt;=供应商对账单!$H$3),COUNTIFS($D$5:$D84,供应商对账单!$B$3,$B$5:$B84,"&gt;="&amp;供应商对账单!$E$3,$B$5:$B84,"&lt;="&amp;供应商对账单!$H$3),"")</f>
        <v/>
      </c>
    </row>
    <row r="85" customFormat="false" ht="15.75" hidden="false" customHeight="true" outlineLevel="0" collapsed="false">
      <c r="A85" s="42" t="str">
        <f aca="false">IF($B85="","","CG"&amp;TEXT($B85,"yyyymm")&amp;"-"&amp;TEXT(ROW()-4,"000"))</f>
        <v/>
      </c>
      <c r="B85" s="41"/>
      <c r="C85" s="42" t="str">
        <f aca="false">IF($B85="","",TEXT($B85,"yyyy-mm"))</f>
        <v/>
      </c>
      <c r="D85" s="32"/>
      <c r="E85" s="36"/>
      <c r="F85" s="43"/>
      <c r="G85" s="40"/>
      <c r="H85" s="51"/>
      <c r="I85" s="33"/>
      <c r="J85" s="31"/>
      <c r="K85" s="33"/>
      <c r="L85" s="33"/>
      <c r="M85" s="36"/>
      <c r="N85" s="47" t="str">
        <f aca="false">IF($B85="","",IF(NOT(ISNUMBER($B85)),"日期不是日期格式",IF(YEAR($B85)&lt;&gt;首页!$B$3,"不在会计年度",IF($D85="","未选供应商",IF(ISNA(MATCH($D85,基础资料!$AF$6:$AF$155,0)),"供应商不在档案",IF($E85="","未填商品或内容",IF(NOT(ISNUMBER($F85)),"数量须为数字",IF(NOT(ISNUMBER($G85)),"单价须为数字",IF(N($F85)&lt;=0,"数量须大于0",IF($I85="","请选是否入库",IF(AND($I85="是",ISNA(MATCH($E85,基础资料!$Q$6:$Q$205,0))),"入库商品必须在商品档案中",IF(AND($I85="否",$J85&lt;&gt;"",ISNA(MATCH($J85,科目参数!$A$6:$A$125,0))),"费用科目不存在","√"))))))))))))</f>
        <v/>
      </c>
      <c r="O85" s="49" t="str">
        <f aca="false">IF($E85="","",IFERROR(INDEX(基础资料!$R$6:$R$205,MATCH($E85,基础资料!$Q$6:$Q$205,0)),""))</f>
        <v/>
      </c>
      <c r="P85" s="49" t="str">
        <f aca="false">IF($E85="","",IFERROR(INDEX(基础资料!$S$6:$S$205,MATCH($E85,基础资料!$Q$6:$Q$205,0)),""))</f>
        <v/>
      </c>
      <c r="Q85" s="48" t="str">
        <f aca="false">IF(OR($F85="",$G85=""),"",ROUND(N($F85)*N($G85),2))</f>
        <v/>
      </c>
      <c r="R85" s="48" t="str">
        <f aca="false">IF($Q85="","",ROUND(N($Q85)*N($H85),2))</f>
        <v/>
      </c>
      <c r="S85" s="48" t="str">
        <f aca="false">IF($Q85="","",N($Q85)+N($R85))</f>
        <v/>
      </c>
      <c r="T85" s="52" t="str">
        <f aca="false">IF(OR($B85="",$D85=""),"",$B85+N(IFERROR(INDEX(基础资料!$AH$6:$AH$155,MATCH($D85,基础资料!$AF$6:$AF$155,0)),0)))</f>
        <v/>
      </c>
      <c r="U85" s="49" t="str">
        <f aca="false">IF($Q85="","",IF($I85="是","1405",IF($J85="","6602",$J85)))</f>
        <v/>
      </c>
      <c r="V85" s="49" t="str">
        <f aca="false">IF($Q85="","","2202")</f>
        <v/>
      </c>
      <c r="W85" s="48" t="str">
        <f aca="false">IF($Q85="","",$Q85)</f>
        <v/>
      </c>
      <c r="X85" s="49" t="str">
        <f aca="false">IF(N($R85)=0,"","2221")</f>
        <v/>
      </c>
      <c r="Y85" s="49" t="str">
        <f aca="false">IF(N($R85)=0,"","2202")</f>
        <v/>
      </c>
      <c r="Z85" s="48" t="str">
        <f aca="false">IF(N($R85)=0,"",$R85)</f>
        <v/>
      </c>
      <c r="AA85" s="49" t="str">
        <f aca="false">IF(AND($D85=供应商对账单!$B$3,$B85&gt;=供应商对账单!$E$3,$B85&lt;=供应商对账单!$H$3),COUNTIFS($D$5:$D85,供应商对账单!$B$3,$B$5:$B85,"&gt;="&amp;供应商对账单!$E$3,$B$5:$B85,"&lt;="&amp;供应商对账单!$H$3),"")</f>
        <v/>
      </c>
    </row>
    <row r="86" customFormat="false" ht="15.75" hidden="false" customHeight="true" outlineLevel="0" collapsed="false">
      <c r="A86" s="42" t="str">
        <f aca="false">IF($B86="","","CG"&amp;TEXT($B86,"yyyymm")&amp;"-"&amp;TEXT(ROW()-4,"000"))</f>
        <v/>
      </c>
      <c r="B86" s="41"/>
      <c r="C86" s="42" t="str">
        <f aca="false">IF($B86="","",TEXT($B86,"yyyy-mm"))</f>
        <v/>
      </c>
      <c r="D86" s="32"/>
      <c r="E86" s="36"/>
      <c r="F86" s="43"/>
      <c r="G86" s="40"/>
      <c r="H86" s="51"/>
      <c r="I86" s="33"/>
      <c r="J86" s="31"/>
      <c r="K86" s="33"/>
      <c r="L86" s="33"/>
      <c r="M86" s="36"/>
      <c r="N86" s="47" t="str">
        <f aca="false">IF($B86="","",IF(NOT(ISNUMBER($B86)),"日期不是日期格式",IF(YEAR($B86)&lt;&gt;首页!$B$3,"不在会计年度",IF($D86="","未选供应商",IF(ISNA(MATCH($D86,基础资料!$AF$6:$AF$155,0)),"供应商不在档案",IF($E86="","未填商品或内容",IF(NOT(ISNUMBER($F86)),"数量须为数字",IF(NOT(ISNUMBER($G86)),"单价须为数字",IF(N($F86)&lt;=0,"数量须大于0",IF($I86="","请选是否入库",IF(AND($I86="是",ISNA(MATCH($E86,基础资料!$Q$6:$Q$205,0))),"入库商品必须在商品档案中",IF(AND($I86="否",$J86&lt;&gt;"",ISNA(MATCH($J86,科目参数!$A$6:$A$125,0))),"费用科目不存在","√"))))))))))))</f>
        <v/>
      </c>
      <c r="O86" s="49" t="str">
        <f aca="false">IF($E86="","",IFERROR(INDEX(基础资料!$R$6:$R$205,MATCH($E86,基础资料!$Q$6:$Q$205,0)),""))</f>
        <v/>
      </c>
      <c r="P86" s="49" t="str">
        <f aca="false">IF($E86="","",IFERROR(INDEX(基础资料!$S$6:$S$205,MATCH($E86,基础资料!$Q$6:$Q$205,0)),""))</f>
        <v/>
      </c>
      <c r="Q86" s="48" t="str">
        <f aca="false">IF(OR($F86="",$G86=""),"",ROUND(N($F86)*N($G86),2))</f>
        <v/>
      </c>
      <c r="R86" s="48" t="str">
        <f aca="false">IF($Q86="","",ROUND(N($Q86)*N($H86),2))</f>
        <v/>
      </c>
      <c r="S86" s="48" t="str">
        <f aca="false">IF($Q86="","",N($Q86)+N($R86))</f>
        <v/>
      </c>
      <c r="T86" s="52" t="str">
        <f aca="false">IF(OR($B86="",$D86=""),"",$B86+N(IFERROR(INDEX(基础资料!$AH$6:$AH$155,MATCH($D86,基础资料!$AF$6:$AF$155,0)),0)))</f>
        <v/>
      </c>
      <c r="U86" s="49" t="str">
        <f aca="false">IF($Q86="","",IF($I86="是","1405",IF($J86="","6602",$J86)))</f>
        <v/>
      </c>
      <c r="V86" s="49" t="str">
        <f aca="false">IF($Q86="","","2202")</f>
        <v/>
      </c>
      <c r="W86" s="48" t="str">
        <f aca="false">IF($Q86="","",$Q86)</f>
        <v/>
      </c>
      <c r="X86" s="49" t="str">
        <f aca="false">IF(N($R86)=0,"","2221")</f>
        <v/>
      </c>
      <c r="Y86" s="49" t="str">
        <f aca="false">IF(N($R86)=0,"","2202")</f>
        <v/>
      </c>
      <c r="Z86" s="48" t="str">
        <f aca="false">IF(N($R86)=0,"",$R86)</f>
        <v/>
      </c>
      <c r="AA86" s="49" t="str">
        <f aca="false">IF(AND($D86=供应商对账单!$B$3,$B86&gt;=供应商对账单!$E$3,$B86&lt;=供应商对账单!$H$3),COUNTIFS($D$5:$D86,供应商对账单!$B$3,$B$5:$B86,"&gt;="&amp;供应商对账单!$E$3,$B$5:$B86,"&lt;="&amp;供应商对账单!$H$3),"")</f>
        <v/>
      </c>
    </row>
    <row r="87" customFormat="false" ht="15.75" hidden="false" customHeight="true" outlineLevel="0" collapsed="false">
      <c r="A87" s="42" t="str">
        <f aca="false">IF($B87="","","CG"&amp;TEXT($B87,"yyyymm")&amp;"-"&amp;TEXT(ROW()-4,"000"))</f>
        <v/>
      </c>
      <c r="B87" s="41"/>
      <c r="C87" s="42" t="str">
        <f aca="false">IF($B87="","",TEXT($B87,"yyyy-mm"))</f>
        <v/>
      </c>
      <c r="D87" s="32"/>
      <c r="E87" s="36"/>
      <c r="F87" s="43"/>
      <c r="G87" s="40"/>
      <c r="H87" s="51"/>
      <c r="I87" s="33"/>
      <c r="J87" s="31"/>
      <c r="K87" s="33"/>
      <c r="L87" s="33"/>
      <c r="M87" s="36"/>
      <c r="N87" s="47" t="str">
        <f aca="false">IF($B87="","",IF(NOT(ISNUMBER($B87)),"日期不是日期格式",IF(YEAR($B87)&lt;&gt;首页!$B$3,"不在会计年度",IF($D87="","未选供应商",IF(ISNA(MATCH($D87,基础资料!$AF$6:$AF$155,0)),"供应商不在档案",IF($E87="","未填商品或内容",IF(NOT(ISNUMBER($F87)),"数量须为数字",IF(NOT(ISNUMBER($G87)),"单价须为数字",IF(N($F87)&lt;=0,"数量须大于0",IF($I87="","请选是否入库",IF(AND($I87="是",ISNA(MATCH($E87,基础资料!$Q$6:$Q$205,0))),"入库商品必须在商品档案中",IF(AND($I87="否",$J87&lt;&gt;"",ISNA(MATCH($J87,科目参数!$A$6:$A$125,0))),"费用科目不存在","√"))))))))))))</f>
        <v/>
      </c>
      <c r="O87" s="49" t="str">
        <f aca="false">IF($E87="","",IFERROR(INDEX(基础资料!$R$6:$R$205,MATCH($E87,基础资料!$Q$6:$Q$205,0)),""))</f>
        <v/>
      </c>
      <c r="P87" s="49" t="str">
        <f aca="false">IF($E87="","",IFERROR(INDEX(基础资料!$S$6:$S$205,MATCH($E87,基础资料!$Q$6:$Q$205,0)),""))</f>
        <v/>
      </c>
      <c r="Q87" s="48" t="str">
        <f aca="false">IF(OR($F87="",$G87=""),"",ROUND(N($F87)*N($G87),2))</f>
        <v/>
      </c>
      <c r="R87" s="48" t="str">
        <f aca="false">IF($Q87="","",ROUND(N($Q87)*N($H87),2))</f>
        <v/>
      </c>
      <c r="S87" s="48" t="str">
        <f aca="false">IF($Q87="","",N($Q87)+N($R87))</f>
        <v/>
      </c>
      <c r="T87" s="52" t="str">
        <f aca="false">IF(OR($B87="",$D87=""),"",$B87+N(IFERROR(INDEX(基础资料!$AH$6:$AH$155,MATCH($D87,基础资料!$AF$6:$AF$155,0)),0)))</f>
        <v/>
      </c>
      <c r="U87" s="49" t="str">
        <f aca="false">IF($Q87="","",IF($I87="是","1405",IF($J87="","6602",$J87)))</f>
        <v/>
      </c>
      <c r="V87" s="49" t="str">
        <f aca="false">IF($Q87="","","2202")</f>
        <v/>
      </c>
      <c r="W87" s="48" t="str">
        <f aca="false">IF($Q87="","",$Q87)</f>
        <v/>
      </c>
      <c r="X87" s="49" t="str">
        <f aca="false">IF(N($R87)=0,"","2221")</f>
        <v/>
      </c>
      <c r="Y87" s="49" t="str">
        <f aca="false">IF(N($R87)=0,"","2202")</f>
        <v/>
      </c>
      <c r="Z87" s="48" t="str">
        <f aca="false">IF(N($R87)=0,"",$R87)</f>
        <v/>
      </c>
      <c r="AA87" s="49" t="str">
        <f aca="false">IF(AND($D87=供应商对账单!$B$3,$B87&gt;=供应商对账单!$E$3,$B87&lt;=供应商对账单!$H$3),COUNTIFS($D$5:$D87,供应商对账单!$B$3,$B$5:$B87,"&gt;="&amp;供应商对账单!$E$3,$B$5:$B87,"&lt;="&amp;供应商对账单!$H$3),"")</f>
        <v/>
      </c>
    </row>
    <row r="88" customFormat="false" ht="15.75" hidden="false" customHeight="true" outlineLevel="0" collapsed="false">
      <c r="A88" s="42" t="str">
        <f aca="false">IF($B88="","","CG"&amp;TEXT($B88,"yyyymm")&amp;"-"&amp;TEXT(ROW()-4,"000"))</f>
        <v/>
      </c>
      <c r="B88" s="41"/>
      <c r="C88" s="42" t="str">
        <f aca="false">IF($B88="","",TEXT($B88,"yyyy-mm"))</f>
        <v/>
      </c>
      <c r="D88" s="32"/>
      <c r="E88" s="36"/>
      <c r="F88" s="43"/>
      <c r="G88" s="40"/>
      <c r="H88" s="51"/>
      <c r="I88" s="33"/>
      <c r="J88" s="31"/>
      <c r="K88" s="33"/>
      <c r="L88" s="33"/>
      <c r="M88" s="36"/>
      <c r="N88" s="47" t="str">
        <f aca="false">IF($B88="","",IF(NOT(ISNUMBER($B88)),"日期不是日期格式",IF(YEAR($B88)&lt;&gt;首页!$B$3,"不在会计年度",IF($D88="","未选供应商",IF(ISNA(MATCH($D88,基础资料!$AF$6:$AF$155,0)),"供应商不在档案",IF($E88="","未填商品或内容",IF(NOT(ISNUMBER($F88)),"数量须为数字",IF(NOT(ISNUMBER($G88)),"单价须为数字",IF(N($F88)&lt;=0,"数量须大于0",IF($I88="","请选是否入库",IF(AND($I88="是",ISNA(MATCH($E88,基础资料!$Q$6:$Q$205,0))),"入库商品必须在商品档案中",IF(AND($I88="否",$J88&lt;&gt;"",ISNA(MATCH($J88,科目参数!$A$6:$A$125,0))),"费用科目不存在","√"))))))))))))</f>
        <v/>
      </c>
      <c r="O88" s="49" t="str">
        <f aca="false">IF($E88="","",IFERROR(INDEX(基础资料!$R$6:$R$205,MATCH($E88,基础资料!$Q$6:$Q$205,0)),""))</f>
        <v/>
      </c>
      <c r="P88" s="49" t="str">
        <f aca="false">IF($E88="","",IFERROR(INDEX(基础资料!$S$6:$S$205,MATCH($E88,基础资料!$Q$6:$Q$205,0)),""))</f>
        <v/>
      </c>
      <c r="Q88" s="48" t="str">
        <f aca="false">IF(OR($F88="",$G88=""),"",ROUND(N($F88)*N($G88),2))</f>
        <v/>
      </c>
      <c r="R88" s="48" t="str">
        <f aca="false">IF($Q88="","",ROUND(N($Q88)*N($H88),2))</f>
        <v/>
      </c>
      <c r="S88" s="48" t="str">
        <f aca="false">IF($Q88="","",N($Q88)+N($R88))</f>
        <v/>
      </c>
      <c r="T88" s="52" t="str">
        <f aca="false">IF(OR($B88="",$D88=""),"",$B88+N(IFERROR(INDEX(基础资料!$AH$6:$AH$155,MATCH($D88,基础资料!$AF$6:$AF$155,0)),0)))</f>
        <v/>
      </c>
      <c r="U88" s="49" t="str">
        <f aca="false">IF($Q88="","",IF($I88="是","1405",IF($J88="","6602",$J88)))</f>
        <v/>
      </c>
      <c r="V88" s="49" t="str">
        <f aca="false">IF($Q88="","","2202")</f>
        <v/>
      </c>
      <c r="W88" s="48" t="str">
        <f aca="false">IF($Q88="","",$Q88)</f>
        <v/>
      </c>
      <c r="X88" s="49" t="str">
        <f aca="false">IF(N($R88)=0,"","2221")</f>
        <v/>
      </c>
      <c r="Y88" s="49" t="str">
        <f aca="false">IF(N($R88)=0,"","2202")</f>
        <v/>
      </c>
      <c r="Z88" s="48" t="str">
        <f aca="false">IF(N($R88)=0,"",$R88)</f>
        <v/>
      </c>
      <c r="AA88" s="49" t="str">
        <f aca="false">IF(AND($D88=供应商对账单!$B$3,$B88&gt;=供应商对账单!$E$3,$B88&lt;=供应商对账单!$H$3),COUNTIFS($D$5:$D88,供应商对账单!$B$3,$B$5:$B88,"&gt;="&amp;供应商对账单!$E$3,$B$5:$B88,"&lt;="&amp;供应商对账单!$H$3),"")</f>
        <v/>
      </c>
    </row>
    <row r="89" customFormat="false" ht="15.75" hidden="false" customHeight="true" outlineLevel="0" collapsed="false">
      <c r="A89" s="42" t="str">
        <f aca="false">IF($B89="","","CG"&amp;TEXT($B89,"yyyymm")&amp;"-"&amp;TEXT(ROW()-4,"000"))</f>
        <v/>
      </c>
      <c r="B89" s="41"/>
      <c r="C89" s="42" t="str">
        <f aca="false">IF($B89="","",TEXT($B89,"yyyy-mm"))</f>
        <v/>
      </c>
      <c r="D89" s="32"/>
      <c r="E89" s="36"/>
      <c r="F89" s="43"/>
      <c r="G89" s="40"/>
      <c r="H89" s="51"/>
      <c r="I89" s="33"/>
      <c r="J89" s="31"/>
      <c r="K89" s="33"/>
      <c r="L89" s="33"/>
      <c r="M89" s="36"/>
      <c r="N89" s="47" t="str">
        <f aca="false">IF($B89="","",IF(NOT(ISNUMBER($B89)),"日期不是日期格式",IF(YEAR($B89)&lt;&gt;首页!$B$3,"不在会计年度",IF($D89="","未选供应商",IF(ISNA(MATCH($D89,基础资料!$AF$6:$AF$155,0)),"供应商不在档案",IF($E89="","未填商品或内容",IF(NOT(ISNUMBER($F89)),"数量须为数字",IF(NOT(ISNUMBER($G89)),"单价须为数字",IF(N($F89)&lt;=0,"数量须大于0",IF($I89="","请选是否入库",IF(AND($I89="是",ISNA(MATCH($E89,基础资料!$Q$6:$Q$205,0))),"入库商品必须在商品档案中",IF(AND($I89="否",$J89&lt;&gt;"",ISNA(MATCH($J89,科目参数!$A$6:$A$125,0))),"费用科目不存在","√"))))))))))))</f>
        <v/>
      </c>
      <c r="O89" s="49" t="str">
        <f aca="false">IF($E89="","",IFERROR(INDEX(基础资料!$R$6:$R$205,MATCH($E89,基础资料!$Q$6:$Q$205,0)),""))</f>
        <v/>
      </c>
      <c r="P89" s="49" t="str">
        <f aca="false">IF($E89="","",IFERROR(INDEX(基础资料!$S$6:$S$205,MATCH($E89,基础资料!$Q$6:$Q$205,0)),""))</f>
        <v/>
      </c>
      <c r="Q89" s="48" t="str">
        <f aca="false">IF(OR($F89="",$G89=""),"",ROUND(N($F89)*N($G89),2))</f>
        <v/>
      </c>
      <c r="R89" s="48" t="str">
        <f aca="false">IF($Q89="","",ROUND(N($Q89)*N($H89),2))</f>
        <v/>
      </c>
      <c r="S89" s="48" t="str">
        <f aca="false">IF($Q89="","",N($Q89)+N($R89))</f>
        <v/>
      </c>
      <c r="T89" s="52" t="str">
        <f aca="false">IF(OR($B89="",$D89=""),"",$B89+N(IFERROR(INDEX(基础资料!$AH$6:$AH$155,MATCH($D89,基础资料!$AF$6:$AF$155,0)),0)))</f>
        <v/>
      </c>
      <c r="U89" s="49" t="str">
        <f aca="false">IF($Q89="","",IF($I89="是","1405",IF($J89="","6602",$J89)))</f>
        <v/>
      </c>
      <c r="V89" s="49" t="str">
        <f aca="false">IF($Q89="","","2202")</f>
        <v/>
      </c>
      <c r="W89" s="48" t="str">
        <f aca="false">IF($Q89="","",$Q89)</f>
        <v/>
      </c>
      <c r="X89" s="49" t="str">
        <f aca="false">IF(N($R89)=0,"","2221")</f>
        <v/>
      </c>
      <c r="Y89" s="49" t="str">
        <f aca="false">IF(N($R89)=0,"","2202")</f>
        <v/>
      </c>
      <c r="Z89" s="48" t="str">
        <f aca="false">IF(N($R89)=0,"",$R89)</f>
        <v/>
      </c>
      <c r="AA89" s="49" t="str">
        <f aca="false">IF(AND($D89=供应商对账单!$B$3,$B89&gt;=供应商对账单!$E$3,$B89&lt;=供应商对账单!$H$3),COUNTIFS($D$5:$D89,供应商对账单!$B$3,$B$5:$B89,"&gt;="&amp;供应商对账单!$E$3,$B$5:$B89,"&lt;="&amp;供应商对账单!$H$3),"")</f>
        <v/>
      </c>
    </row>
    <row r="90" customFormat="false" ht="15.75" hidden="false" customHeight="true" outlineLevel="0" collapsed="false">
      <c r="A90" s="42" t="str">
        <f aca="false">IF($B90="","","CG"&amp;TEXT($B90,"yyyymm")&amp;"-"&amp;TEXT(ROW()-4,"000"))</f>
        <v/>
      </c>
      <c r="B90" s="41"/>
      <c r="C90" s="42" t="str">
        <f aca="false">IF($B90="","",TEXT($B90,"yyyy-mm"))</f>
        <v/>
      </c>
      <c r="D90" s="32"/>
      <c r="E90" s="36"/>
      <c r="F90" s="43"/>
      <c r="G90" s="40"/>
      <c r="H90" s="51"/>
      <c r="I90" s="33"/>
      <c r="J90" s="31"/>
      <c r="K90" s="33"/>
      <c r="L90" s="33"/>
      <c r="M90" s="36"/>
      <c r="N90" s="47" t="str">
        <f aca="false">IF($B90="","",IF(NOT(ISNUMBER($B90)),"日期不是日期格式",IF(YEAR($B90)&lt;&gt;首页!$B$3,"不在会计年度",IF($D90="","未选供应商",IF(ISNA(MATCH($D90,基础资料!$AF$6:$AF$155,0)),"供应商不在档案",IF($E90="","未填商品或内容",IF(NOT(ISNUMBER($F90)),"数量须为数字",IF(NOT(ISNUMBER($G90)),"单价须为数字",IF(N($F90)&lt;=0,"数量须大于0",IF($I90="","请选是否入库",IF(AND($I90="是",ISNA(MATCH($E90,基础资料!$Q$6:$Q$205,0))),"入库商品必须在商品档案中",IF(AND($I90="否",$J90&lt;&gt;"",ISNA(MATCH($J90,科目参数!$A$6:$A$125,0))),"费用科目不存在","√"))))))))))))</f>
        <v/>
      </c>
      <c r="O90" s="49" t="str">
        <f aca="false">IF($E90="","",IFERROR(INDEX(基础资料!$R$6:$R$205,MATCH($E90,基础资料!$Q$6:$Q$205,0)),""))</f>
        <v/>
      </c>
      <c r="P90" s="49" t="str">
        <f aca="false">IF($E90="","",IFERROR(INDEX(基础资料!$S$6:$S$205,MATCH($E90,基础资料!$Q$6:$Q$205,0)),""))</f>
        <v/>
      </c>
      <c r="Q90" s="48" t="str">
        <f aca="false">IF(OR($F90="",$G90=""),"",ROUND(N($F90)*N($G90),2))</f>
        <v/>
      </c>
      <c r="R90" s="48" t="str">
        <f aca="false">IF($Q90="","",ROUND(N($Q90)*N($H90),2))</f>
        <v/>
      </c>
      <c r="S90" s="48" t="str">
        <f aca="false">IF($Q90="","",N($Q90)+N($R90))</f>
        <v/>
      </c>
      <c r="T90" s="52" t="str">
        <f aca="false">IF(OR($B90="",$D90=""),"",$B90+N(IFERROR(INDEX(基础资料!$AH$6:$AH$155,MATCH($D90,基础资料!$AF$6:$AF$155,0)),0)))</f>
        <v/>
      </c>
      <c r="U90" s="49" t="str">
        <f aca="false">IF($Q90="","",IF($I90="是","1405",IF($J90="","6602",$J90)))</f>
        <v/>
      </c>
      <c r="V90" s="49" t="str">
        <f aca="false">IF($Q90="","","2202")</f>
        <v/>
      </c>
      <c r="W90" s="48" t="str">
        <f aca="false">IF($Q90="","",$Q90)</f>
        <v/>
      </c>
      <c r="X90" s="49" t="str">
        <f aca="false">IF(N($R90)=0,"","2221")</f>
        <v/>
      </c>
      <c r="Y90" s="49" t="str">
        <f aca="false">IF(N($R90)=0,"","2202")</f>
        <v/>
      </c>
      <c r="Z90" s="48" t="str">
        <f aca="false">IF(N($R90)=0,"",$R90)</f>
        <v/>
      </c>
      <c r="AA90" s="49" t="str">
        <f aca="false">IF(AND($D90=供应商对账单!$B$3,$B90&gt;=供应商对账单!$E$3,$B90&lt;=供应商对账单!$H$3),COUNTIFS($D$5:$D90,供应商对账单!$B$3,$B$5:$B90,"&gt;="&amp;供应商对账单!$E$3,$B$5:$B90,"&lt;="&amp;供应商对账单!$H$3),"")</f>
        <v/>
      </c>
    </row>
    <row r="91" customFormat="false" ht="15.75" hidden="false" customHeight="true" outlineLevel="0" collapsed="false">
      <c r="A91" s="42" t="str">
        <f aca="false">IF($B91="","","CG"&amp;TEXT($B91,"yyyymm")&amp;"-"&amp;TEXT(ROW()-4,"000"))</f>
        <v/>
      </c>
      <c r="B91" s="41"/>
      <c r="C91" s="42" t="str">
        <f aca="false">IF($B91="","",TEXT($B91,"yyyy-mm"))</f>
        <v/>
      </c>
      <c r="D91" s="32"/>
      <c r="E91" s="36"/>
      <c r="F91" s="43"/>
      <c r="G91" s="40"/>
      <c r="H91" s="51"/>
      <c r="I91" s="33"/>
      <c r="J91" s="31"/>
      <c r="K91" s="33"/>
      <c r="L91" s="33"/>
      <c r="M91" s="36"/>
      <c r="N91" s="47" t="str">
        <f aca="false">IF($B91="","",IF(NOT(ISNUMBER($B91)),"日期不是日期格式",IF(YEAR($B91)&lt;&gt;首页!$B$3,"不在会计年度",IF($D91="","未选供应商",IF(ISNA(MATCH($D91,基础资料!$AF$6:$AF$155,0)),"供应商不在档案",IF($E91="","未填商品或内容",IF(NOT(ISNUMBER($F91)),"数量须为数字",IF(NOT(ISNUMBER($G91)),"单价须为数字",IF(N($F91)&lt;=0,"数量须大于0",IF($I91="","请选是否入库",IF(AND($I91="是",ISNA(MATCH($E91,基础资料!$Q$6:$Q$205,0))),"入库商品必须在商品档案中",IF(AND($I91="否",$J91&lt;&gt;"",ISNA(MATCH($J91,科目参数!$A$6:$A$125,0))),"费用科目不存在","√"))))))))))))</f>
        <v/>
      </c>
      <c r="O91" s="49" t="str">
        <f aca="false">IF($E91="","",IFERROR(INDEX(基础资料!$R$6:$R$205,MATCH($E91,基础资料!$Q$6:$Q$205,0)),""))</f>
        <v/>
      </c>
      <c r="P91" s="49" t="str">
        <f aca="false">IF($E91="","",IFERROR(INDEX(基础资料!$S$6:$S$205,MATCH($E91,基础资料!$Q$6:$Q$205,0)),""))</f>
        <v/>
      </c>
      <c r="Q91" s="48" t="str">
        <f aca="false">IF(OR($F91="",$G91=""),"",ROUND(N($F91)*N($G91),2))</f>
        <v/>
      </c>
      <c r="R91" s="48" t="str">
        <f aca="false">IF($Q91="","",ROUND(N($Q91)*N($H91),2))</f>
        <v/>
      </c>
      <c r="S91" s="48" t="str">
        <f aca="false">IF($Q91="","",N($Q91)+N($R91))</f>
        <v/>
      </c>
      <c r="T91" s="52" t="str">
        <f aca="false">IF(OR($B91="",$D91=""),"",$B91+N(IFERROR(INDEX(基础资料!$AH$6:$AH$155,MATCH($D91,基础资料!$AF$6:$AF$155,0)),0)))</f>
        <v/>
      </c>
      <c r="U91" s="49" t="str">
        <f aca="false">IF($Q91="","",IF($I91="是","1405",IF($J91="","6602",$J91)))</f>
        <v/>
      </c>
      <c r="V91" s="49" t="str">
        <f aca="false">IF($Q91="","","2202")</f>
        <v/>
      </c>
      <c r="W91" s="48" t="str">
        <f aca="false">IF($Q91="","",$Q91)</f>
        <v/>
      </c>
      <c r="X91" s="49" t="str">
        <f aca="false">IF(N($R91)=0,"","2221")</f>
        <v/>
      </c>
      <c r="Y91" s="49" t="str">
        <f aca="false">IF(N($R91)=0,"","2202")</f>
        <v/>
      </c>
      <c r="Z91" s="48" t="str">
        <f aca="false">IF(N($R91)=0,"",$R91)</f>
        <v/>
      </c>
      <c r="AA91" s="49" t="str">
        <f aca="false">IF(AND($D91=供应商对账单!$B$3,$B91&gt;=供应商对账单!$E$3,$B91&lt;=供应商对账单!$H$3),COUNTIFS($D$5:$D91,供应商对账单!$B$3,$B$5:$B91,"&gt;="&amp;供应商对账单!$E$3,$B$5:$B91,"&lt;="&amp;供应商对账单!$H$3),"")</f>
        <v/>
      </c>
    </row>
    <row r="92" customFormat="false" ht="15.75" hidden="false" customHeight="true" outlineLevel="0" collapsed="false">
      <c r="A92" s="42" t="str">
        <f aca="false">IF($B92="","","CG"&amp;TEXT($B92,"yyyymm")&amp;"-"&amp;TEXT(ROW()-4,"000"))</f>
        <v/>
      </c>
      <c r="B92" s="41"/>
      <c r="C92" s="42" t="str">
        <f aca="false">IF($B92="","",TEXT($B92,"yyyy-mm"))</f>
        <v/>
      </c>
      <c r="D92" s="32"/>
      <c r="E92" s="36"/>
      <c r="F92" s="43"/>
      <c r="G92" s="40"/>
      <c r="H92" s="51"/>
      <c r="I92" s="33"/>
      <c r="J92" s="31"/>
      <c r="K92" s="33"/>
      <c r="L92" s="33"/>
      <c r="M92" s="36"/>
      <c r="N92" s="47" t="str">
        <f aca="false">IF($B92="","",IF(NOT(ISNUMBER($B92)),"日期不是日期格式",IF(YEAR($B92)&lt;&gt;首页!$B$3,"不在会计年度",IF($D92="","未选供应商",IF(ISNA(MATCH($D92,基础资料!$AF$6:$AF$155,0)),"供应商不在档案",IF($E92="","未填商品或内容",IF(NOT(ISNUMBER($F92)),"数量须为数字",IF(NOT(ISNUMBER($G92)),"单价须为数字",IF(N($F92)&lt;=0,"数量须大于0",IF($I92="","请选是否入库",IF(AND($I92="是",ISNA(MATCH($E92,基础资料!$Q$6:$Q$205,0))),"入库商品必须在商品档案中",IF(AND($I92="否",$J92&lt;&gt;"",ISNA(MATCH($J92,科目参数!$A$6:$A$125,0))),"费用科目不存在","√"))))))))))))</f>
        <v/>
      </c>
      <c r="O92" s="49" t="str">
        <f aca="false">IF($E92="","",IFERROR(INDEX(基础资料!$R$6:$R$205,MATCH($E92,基础资料!$Q$6:$Q$205,0)),""))</f>
        <v/>
      </c>
      <c r="P92" s="49" t="str">
        <f aca="false">IF($E92="","",IFERROR(INDEX(基础资料!$S$6:$S$205,MATCH($E92,基础资料!$Q$6:$Q$205,0)),""))</f>
        <v/>
      </c>
      <c r="Q92" s="48" t="str">
        <f aca="false">IF(OR($F92="",$G92=""),"",ROUND(N($F92)*N($G92),2))</f>
        <v/>
      </c>
      <c r="R92" s="48" t="str">
        <f aca="false">IF($Q92="","",ROUND(N($Q92)*N($H92),2))</f>
        <v/>
      </c>
      <c r="S92" s="48" t="str">
        <f aca="false">IF($Q92="","",N($Q92)+N($R92))</f>
        <v/>
      </c>
      <c r="T92" s="52" t="str">
        <f aca="false">IF(OR($B92="",$D92=""),"",$B92+N(IFERROR(INDEX(基础资料!$AH$6:$AH$155,MATCH($D92,基础资料!$AF$6:$AF$155,0)),0)))</f>
        <v/>
      </c>
      <c r="U92" s="49" t="str">
        <f aca="false">IF($Q92="","",IF($I92="是","1405",IF($J92="","6602",$J92)))</f>
        <v/>
      </c>
      <c r="V92" s="49" t="str">
        <f aca="false">IF($Q92="","","2202")</f>
        <v/>
      </c>
      <c r="W92" s="48" t="str">
        <f aca="false">IF($Q92="","",$Q92)</f>
        <v/>
      </c>
      <c r="X92" s="49" t="str">
        <f aca="false">IF(N($R92)=0,"","2221")</f>
        <v/>
      </c>
      <c r="Y92" s="49" t="str">
        <f aca="false">IF(N($R92)=0,"","2202")</f>
        <v/>
      </c>
      <c r="Z92" s="48" t="str">
        <f aca="false">IF(N($R92)=0,"",$R92)</f>
        <v/>
      </c>
      <c r="AA92" s="49" t="str">
        <f aca="false">IF(AND($D92=供应商对账单!$B$3,$B92&gt;=供应商对账单!$E$3,$B92&lt;=供应商对账单!$H$3),COUNTIFS($D$5:$D92,供应商对账单!$B$3,$B$5:$B92,"&gt;="&amp;供应商对账单!$E$3,$B$5:$B92,"&lt;="&amp;供应商对账单!$H$3),"")</f>
        <v/>
      </c>
    </row>
    <row r="93" customFormat="false" ht="15.75" hidden="false" customHeight="true" outlineLevel="0" collapsed="false">
      <c r="A93" s="42" t="str">
        <f aca="false">IF($B93="","","CG"&amp;TEXT($B93,"yyyymm")&amp;"-"&amp;TEXT(ROW()-4,"000"))</f>
        <v/>
      </c>
      <c r="B93" s="41"/>
      <c r="C93" s="42" t="str">
        <f aca="false">IF($B93="","",TEXT($B93,"yyyy-mm"))</f>
        <v/>
      </c>
      <c r="D93" s="32"/>
      <c r="E93" s="36"/>
      <c r="F93" s="43"/>
      <c r="G93" s="40"/>
      <c r="H93" s="51"/>
      <c r="I93" s="33"/>
      <c r="J93" s="31"/>
      <c r="K93" s="33"/>
      <c r="L93" s="33"/>
      <c r="M93" s="36"/>
      <c r="N93" s="47" t="str">
        <f aca="false">IF($B93="","",IF(NOT(ISNUMBER($B93)),"日期不是日期格式",IF(YEAR($B93)&lt;&gt;首页!$B$3,"不在会计年度",IF($D93="","未选供应商",IF(ISNA(MATCH($D93,基础资料!$AF$6:$AF$155,0)),"供应商不在档案",IF($E93="","未填商品或内容",IF(NOT(ISNUMBER($F93)),"数量须为数字",IF(NOT(ISNUMBER($G93)),"单价须为数字",IF(N($F93)&lt;=0,"数量须大于0",IF($I93="","请选是否入库",IF(AND($I93="是",ISNA(MATCH($E93,基础资料!$Q$6:$Q$205,0))),"入库商品必须在商品档案中",IF(AND($I93="否",$J93&lt;&gt;"",ISNA(MATCH($J93,科目参数!$A$6:$A$125,0))),"费用科目不存在","√"))))))))))))</f>
        <v/>
      </c>
      <c r="O93" s="49" t="str">
        <f aca="false">IF($E93="","",IFERROR(INDEX(基础资料!$R$6:$R$205,MATCH($E93,基础资料!$Q$6:$Q$205,0)),""))</f>
        <v/>
      </c>
      <c r="P93" s="49" t="str">
        <f aca="false">IF($E93="","",IFERROR(INDEX(基础资料!$S$6:$S$205,MATCH($E93,基础资料!$Q$6:$Q$205,0)),""))</f>
        <v/>
      </c>
      <c r="Q93" s="48" t="str">
        <f aca="false">IF(OR($F93="",$G93=""),"",ROUND(N($F93)*N($G93),2))</f>
        <v/>
      </c>
      <c r="R93" s="48" t="str">
        <f aca="false">IF($Q93="","",ROUND(N($Q93)*N($H93),2))</f>
        <v/>
      </c>
      <c r="S93" s="48" t="str">
        <f aca="false">IF($Q93="","",N($Q93)+N($R93))</f>
        <v/>
      </c>
      <c r="T93" s="52" t="str">
        <f aca="false">IF(OR($B93="",$D93=""),"",$B93+N(IFERROR(INDEX(基础资料!$AH$6:$AH$155,MATCH($D93,基础资料!$AF$6:$AF$155,0)),0)))</f>
        <v/>
      </c>
      <c r="U93" s="49" t="str">
        <f aca="false">IF($Q93="","",IF($I93="是","1405",IF($J93="","6602",$J93)))</f>
        <v/>
      </c>
      <c r="V93" s="49" t="str">
        <f aca="false">IF($Q93="","","2202")</f>
        <v/>
      </c>
      <c r="W93" s="48" t="str">
        <f aca="false">IF($Q93="","",$Q93)</f>
        <v/>
      </c>
      <c r="X93" s="49" t="str">
        <f aca="false">IF(N($R93)=0,"","2221")</f>
        <v/>
      </c>
      <c r="Y93" s="49" t="str">
        <f aca="false">IF(N($R93)=0,"","2202")</f>
        <v/>
      </c>
      <c r="Z93" s="48" t="str">
        <f aca="false">IF(N($R93)=0,"",$R93)</f>
        <v/>
      </c>
      <c r="AA93" s="49" t="str">
        <f aca="false">IF(AND($D93=供应商对账单!$B$3,$B93&gt;=供应商对账单!$E$3,$B93&lt;=供应商对账单!$H$3),COUNTIFS($D$5:$D93,供应商对账单!$B$3,$B$5:$B93,"&gt;="&amp;供应商对账单!$E$3,$B$5:$B93,"&lt;="&amp;供应商对账单!$H$3),"")</f>
        <v/>
      </c>
    </row>
    <row r="94" customFormat="false" ht="15.75" hidden="false" customHeight="true" outlineLevel="0" collapsed="false">
      <c r="A94" s="42" t="str">
        <f aca="false">IF($B94="","","CG"&amp;TEXT($B94,"yyyymm")&amp;"-"&amp;TEXT(ROW()-4,"000"))</f>
        <v/>
      </c>
      <c r="B94" s="41"/>
      <c r="C94" s="42" t="str">
        <f aca="false">IF($B94="","",TEXT($B94,"yyyy-mm"))</f>
        <v/>
      </c>
      <c r="D94" s="32"/>
      <c r="E94" s="36"/>
      <c r="F94" s="43"/>
      <c r="G94" s="40"/>
      <c r="H94" s="51"/>
      <c r="I94" s="33"/>
      <c r="J94" s="31"/>
      <c r="K94" s="33"/>
      <c r="L94" s="33"/>
      <c r="M94" s="36"/>
      <c r="N94" s="47" t="str">
        <f aca="false">IF($B94="","",IF(NOT(ISNUMBER($B94)),"日期不是日期格式",IF(YEAR($B94)&lt;&gt;首页!$B$3,"不在会计年度",IF($D94="","未选供应商",IF(ISNA(MATCH($D94,基础资料!$AF$6:$AF$155,0)),"供应商不在档案",IF($E94="","未填商品或内容",IF(NOT(ISNUMBER($F94)),"数量须为数字",IF(NOT(ISNUMBER($G94)),"单价须为数字",IF(N($F94)&lt;=0,"数量须大于0",IF($I94="","请选是否入库",IF(AND($I94="是",ISNA(MATCH($E94,基础资料!$Q$6:$Q$205,0))),"入库商品必须在商品档案中",IF(AND($I94="否",$J94&lt;&gt;"",ISNA(MATCH($J94,科目参数!$A$6:$A$125,0))),"费用科目不存在","√"))))))))))))</f>
        <v/>
      </c>
      <c r="O94" s="49" t="str">
        <f aca="false">IF($E94="","",IFERROR(INDEX(基础资料!$R$6:$R$205,MATCH($E94,基础资料!$Q$6:$Q$205,0)),""))</f>
        <v/>
      </c>
      <c r="P94" s="49" t="str">
        <f aca="false">IF($E94="","",IFERROR(INDEX(基础资料!$S$6:$S$205,MATCH($E94,基础资料!$Q$6:$Q$205,0)),""))</f>
        <v/>
      </c>
      <c r="Q94" s="48" t="str">
        <f aca="false">IF(OR($F94="",$G94=""),"",ROUND(N($F94)*N($G94),2))</f>
        <v/>
      </c>
      <c r="R94" s="48" t="str">
        <f aca="false">IF($Q94="","",ROUND(N($Q94)*N($H94),2))</f>
        <v/>
      </c>
      <c r="S94" s="48" t="str">
        <f aca="false">IF($Q94="","",N($Q94)+N($R94))</f>
        <v/>
      </c>
      <c r="T94" s="52" t="str">
        <f aca="false">IF(OR($B94="",$D94=""),"",$B94+N(IFERROR(INDEX(基础资料!$AH$6:$AH$155,MATCH($D94,基础资料!$AF$6:$AF$155,0)),0)))</f>
        <v/>
      </c>
      <c r="U94" s="49" t="str">
        <f aca="false">IF($Q94="","",IF($I94="是","1405",IF($J94="","6602",$J94)))</f>
        <v/>
      </c>
      <c r="V94" s="49" t="str">
        <f aca="false">IF($Q94="","","2202")</f>
        <v/>
      </c>
      <c r="W94" s="48" t="str">
        <f aca="false">IF($Q94="","",$Q94)</f>
        <v/>
      </c>
      <c r="X94" s="49" t="str">
        <f aca="false">IF(N($R94)=0,"","2221")</f>
        <v/>
      </c>
      <c r="Y94" s="49" t="str">
        <f aca="false">IF(N($R94)=0,"","2202")</f>
        <v/>
      </c>
      <c r="Z94" s="48" t="str">
        <f aca="false">IF(N($R94)=0,"",$R94)</f>
        <v/>
      </c>
      <c r="AA94" s="49" t="str">
        <f aca="false">IF(AND($D94=供应商对账单!$B$3,$B94&gt;=供应商对账单!$E$3,$B94&lt;=供应商对账单!$H$3),COUNTIFS($D$5:$D94,供应商对账单!$B$3,$B$5:$B94,"&gt;="&amp;供应商对账单!$E$3,$B$5:$B94,"&lt;="&amp;供应商对账单!$H$3),"")</f>
        <v/>
      </c>
    </row>
    <row r="95" customFormat="false" ht="15.75" hidden="false" customHeight="true" outlineLevel="0" collapsed="false">
      <c r="A95" s="42" t="str">
        <f aca="false">IF($B95="","","CG"&amp;TEXT($B95,"yyyymm")&amp;"-"&amp;TEXT(ROW()-4,"000"))</f>
        <v/>
      </c>
      <c r="B95" s="41"/>
      <c r="C95" s="42" t="str">
        <f aca="false">IF($B95="","",TEXT($B95,"yyyy-mm"))</f>
        <v/>
      </c>
      <c r="D95" s="32"/>
      <c r="E95" s="36"/>
      <c r="F95" s="43"/>
      <c r="G95" s="40"/>
      <c r="H95" s="51"/>
      <c r="I95" s="33"/>
      <c r="J95" s="31"/>
      <c r="K95" s="33"/>
      <c r="L95" s="33"/>
      <c r="M95" s="36"/>
      <c r="N95" s="47" t="str">
        <f aca="false">IF($B95="","",IF(NOT(ISNUMBER($B95)),"日期不是日期格式",IF(YEAR($B95)&lt;&gt;首页!$B$3,"不在会计年度",IF($D95="","未选供应商",IF(ISNA(MATCH($D95,基础资料!$AF$6:$AF$155,0)),"供应商不在档案",IF($E95="","未填商品或内容",IF(NOT(ISNUMBER($F95)),"数量须为数字",IF(NOT(ISNUMBER($G95)),"单价须为数字",IF(N($F95)&lt;=0,"数量须大于0",IF($I95="","请选是否入库",IF(AND($I95="是",ISNA(MATCH($E95,基础资料!$Q$6:$Q$205,0))),"入库商品必须在商品档案中",IF(AND($I95="否",$J95&lt;&gt;"",ISNA(MATCH($J95,科目参数!$A$6:$A$125,0))),"费用科目不存在","√"))))))))))))</f>
        <v/>
      </c>
      <c r="O95" s="49" t="str">
        <f aca="false">IF($E95="","",IFERROR(INDEX(基础资料!$R$6:$R$205,MATCH($E95,基础资料!$Q$6:$Q$205,0)),""))</f>
        <v/>
      </c>
      <c r="P95" s="49" t="str">
        <f aca="false">IF($E95="","",IFERROR(INDEX(基础资料!$S$6:$S$205,MATCH($E95,基础资料!$Q$6:$Q$205,0)),""))</f>
        <v/>
      </c>
      <c r="Q95" s="48" t="str">
        <f aca="false">IF(OR($F95="",$G95=""),"",ROUND(N($F95)*N($G95),2))</f>
        <v/>
      </c>
      <c r="R95" s="48" t="str">
        <f aca="false">IF($Q95="","",ROUND(N($Q95)*N($H95),2))</f>
        <v/>
      </c>
      <c r="S95" s="48" t="str">
        <f aca="false">IF($Q95="","",N($Q95)+N($R95))</f>
        <v/>
      </c>
      <c r="T95" s="52" t="str">
        <f aca="false">IF(OR($B95="",$D95=""),"",$B95+N(IFERROR(INDEX(基础资料!$AH$6:$AH$155,MATCH($D95,基础资料!$AF$6:$AF$155,0)),0)))</f>
        <v/>
      </c>
      <c r="U95" s="49" t="str">
        <f aca="false">IF($Q95="","",IF($I95="是","1405",IF($J95="","6602",$J95)))</f>
        <v/>
      </c>
      <c r="V95" s="49" t="str">
        <f aca="false">IF($Q95="","","2202")</f>
        <v/>
      </c>
      <c r="W95" s="48" t="str">
        <f aca="false">IF($Q95="","",$Q95)</f>
        <v/>
      </c>
      <c r="X95" s="49" t="str">
        <f aca="false">IF(N($R95)=0,"","2221")</f>
        <v/>
      </c>
      <c r="Y95" s="49" t="str">
        <f aca="false">IF(N($R95)=0,"","2202")</f>
        <v/>
      </c>
      <c r="Z95" s="48" t="str">
        <f aca="false">IF(N($R95)=0,"",$R95)</f>
        <v/>
      </c>
      <c r="AA95" s="49" t="str">
        <f aca="false">IF(AND($D95=供应商对账单!$B$3,$B95&gt;=供应商对账单!$E$3,$B95&lt;=供应商对账单!$H$3),COUNTIFS($D$5:$D95,供应商对账单!$B$3,$B$5:$B95,"&gt;="&amp;供应商对账单!$E$3,$B$5:$B95,"&lt;="&amp;供应商对账单!$H$3),"")</f>
        <v/>
      </c>
    </row>
    <row r="96" customFormat="false" ht="15.75" hidden="false" customHeight="true" outlineLevel="0" collapsed="false">
      <c r="A96" s="42" t="str">
        <f aca="false">IF($B96="","","CG"&amp;TEXT($B96,"yyyymm")&amp;"-"&amp;TEXT(ROW()-4,"000"))</f>
        <v/>
      </c>
      <c r="B96" s="41"/>
      <c r="C96" s="42" t="str">
        <f aca="false">IF($B96="","",TEXT($B96,"yyyy-mm"))</f>
        <v/>
      </c>
      <c r="D96" s="32"/>
      <c r="E96" s="36"/>
      <c r="F96" s="43"/>
      <c r="G96" s="40"/>
      <c r="H96" s="51"/>
      <c r="I96" s="33"/>
      <c r="J96" s="31"/>
      <c r="K96" s="33"/>
      <c r="L96" s="33"/>
      <c r="M96" s="36"/>
      <c r="N96" s="47" t="str">
        <f aca="false">IF($B96="","",IF(NOT(ISNUMBER($B96)),"日期不是日期格式",IF(YEAR($B96)&lt;&gt;首页!$B$3,"不在会计年度",IF($D96="","未选供应商",IF(ISNA(MATCH($D96,基础资料!$AF$6:$AF$155,0)),"供应商不在档案",IF($E96="","未填商品或内容",IF(NOT(ISNUMBER($F96)),"数量须为数字",IF(NOT(ISNUMBER($G96)),"单价须为数字",IF(N($F96)&lt;=0,"数量须大于0",IF($I96="","请选是否入库",IF(AND($I96="是",ISNA(MATCH($E96,基础资料!$Q$6:$Q$205,0))),"入库商品必须在商品档案中",IF(AND($I96="否",$J96&lt;&gt;"",ISNA(MATCH($J96,科目参数!$A$6:$A$125,0))),"费用科目不存在","√"))))))))))))</f>
        <v/>
      </c>
      <c r="O96" s="49" t="str">
        <f aca="false">IF($E96="","",IFERROR(INDEX(基础资料!$R$6:$R$205,MATCH($E96,基础资料!$Q$6:$Q$205,0)),""))</f>
        <v/>
      </c>
      <c r="P96" s="49" t="str">
        <f aca="false">IF($E96="","",IFERROR(INDEX(基础资料!$S$6:$S$205,MATCH($E96,基础资料!$Q$6:$Q$205,0)),""))</f>
        <v/>
      </c>
      <c r="Q96" s="48" t="str">
        <f aca="false">IF(OR($F96="",$G96=""),"",ROUND(N($F96)*N($G96),2))</f>
        <v/>
      </c>
      <c r="R96" s="48" t="str">
        <f aca="false">IF($Q96="","",ROUND(N($Q96)*N($H96),2))</f>
        <v/>
      </c>
      <c r="S96" s="48" t="str">
        <f aca="false">IF($Q96="","",N($Q96)+N($R96))</f>
        <v/>
      </c>
      <c r="T96" s="52" t="str">
        <f aca="false">IF(OR($B96="",$D96=""),"",$B96+N(IFERROR(INDEX(基础资料!$AH$6:$AH$155,MATCH($D96,基础资料!$AF$6:$AF$155,0)),0)))</f>
        <v/>
      </c>
      <c r="U96" s="49" t="str">
        <f aca="false">IF($Q96="","",IF($I96="是","1405",IF($J96="","6602",$J96)))</f>
        <v/>
      </c>
      <c r="V96" s="49" t="str">
        <f aca="false">IF($Q96="","","2202")</f>
        <v/>
      </c>
      <c r="W96" s="48" t="str">
        <f aca="false">IF($Q96="","",$Q96)</f>
        <v/>
      </c>
      <c r="X96" s="49" t="str">
        <f aca="false">IF(N($R96)=0,"","2221")</f>
        <v/>
      </c>
      <c r="Y96" s="49" t="str">
        <f aca="false">IF(N($R96)=0,"","2202")</f>
        <v/>
      </c>
      <c r="Z96" s="48" t="str">
        <f aca="false">IF(N($R96)=0,"",$R96)</f>
        <v/>
      </c>
      <c r="AA96" s="49" t="str">
        <f aca="false">IF(AND($D96=供应商对账单!$B$3,$B96&gt;=供应商对账单!$E$3,$B96&lt;=供应商对账单!$H$3),COUNTIFS($D$5:$D96,供应商对账单!$B$3,$B$5:$B96,"&gt;="&amp;供应商对账单!$E$3,$B$5:$B96,"&lt;="&amp;供应商对账单!$H$3),"")</f>
        <v/>
      </c>
    </row>
    <row r="97" customFormat="false" ht="15.75" hidden="false" customHeight="true" outlineLevel="0" collapsed="false">
      <c r="A97" s="42" t="str">
        <f aca="false">IF($B97="","","CG"&amp;TEXT($B97,"yyyymm")&amp;"-"&amp;TEXT(ROW()-4,"000"))</f>
        <v/>
      </c>
      <c r="B97" s="41"/>
      <c r="C97" s="42" t="str">
        <f aca="false">IF($B97="","",TEXT($B97,"yyyy-mm"))</f>
        <v/>
      </c>
      <c r="D97" s="32"/>
      <c r="E97" s="36"/>
      <c r="F97" s="43"/>
      <c r="G97" s="40"/>
      <c r="H97" s="51"/>
      <c r="I97" s="33"/>
      <c r="J97" s="31"/>
      <c r="K97" s="33"/>
      <c r="L97" s="33"/>
      <c r="M97" s="36"/>
      <c r="N97" s="47" t="str">
        <f aca="false">IF($B97="","",IF(NOT(ISNUMBER($B97)),"日期不是日期格式",IF(YEAR($B97)&lt;&gt;首页!$B$3,"不在会计年度",IF($D97="","未选供应商",IF(ISNA(MATCH($D97,基础资料!$AF$6:$AF$155,0)),"供应商不在档案",IF($E97="","未填商品或内容",IF(NOT(ISNUMBER($F97)),"数量须为数字",IF(NOT(ISNUMBER($G97)),"单价须为数字",IF(N($F97)&lt;=0,"数量须大于0",IF($I97="","请选是否入库",IF(AND($I97="是",ISNA(MATCH($E97,基础资料!$Q$6:$Q$205,0))),"入库商品必须在商品档案中",IF(AND($I97="否",$J97&lt;&gt;"",ISNA(MATCH($J97,科目参数!$A$6:$A$125,0))),"费用科目不存在","√"))))))))))))</f>
        <v/>
      </c>
      <c r="O97" s="49" t="str">
        <f aca="false">IF($E97="","",IFERROR(INDEX(基础资料!$R$6:$R$205,MATCH($E97,基础资料!$Q$6:$Q$205,0)),""))</f>
        <v/>
      </c>
      <c r="P97" s="49" t="str">
        <f aca="false">IF($E97="","",IFERROR(INDEX(基础资料!$S$6:$S$205,MATCH($E97,基础资料!$Q$6:$Q$205,0)),""))</f>
        <v/>
      </c>
      <c r="Q97" s="48" t="str">
        <f aca="false">IF(OR($F97="",$G97=""),"",ROUND(N($F97)*N($G97),2))</f>
        <v/>
      </c>
      <c r="R97" s="48" t="str">
        <f aca="false">IF($Q97="","",ROUND(N($Q97)*N($H97),2))</f>
        <v/>
      </c>
      <c r="S97" s="48" t="str">
        <f aca="false">IF($Q97="","",N($Q97)+N($R97))</f>
        <v/>
      </c>
      <c r="T97" s="52" t="str">
        <f aca="false">IF(OR($B97="",$D97=""),"",$B97+N(IFERROR(INDEX(基础资料!$AH$6:$AH$155,MATCH($D97,基础资料!$AF$6:$AF$155,0)),0)))</f>
        <v/>
      </c>
      <c r="U97" s="49" t="str">
        <f aca="false">IF($Q97="","",IF($I97="是","1405",IF($J97="","6602",$J97)))</f>
        <v/>
      </c>
      <c r="V97" s="49" t="str">
        <f aca="false">IF($Q97="","","2202")</f>
        <v/>
      </c>
      <c r="W97" s="48" t="str">
        <f aca="false">IF($Q97="","",$Q97)</f>
        <v/>
      </c>
      <c r="X97" s="49" t="str">
        <f aca="false">IF(N($R97)=0,"","2221")</f>
        <v/>
      </c>
      <c r="Y97" s="49" t="str">
        <f aca="false">IF(N($R97)=0,"","2202")</f>
        <v/>
      </c>
      <c r="Z97" s="48" t="str">
        <f aca="false">IF(N($R97)=0,"",$R97)</f>
        <v/>
      </c>
      <c r="AA97" s="49" t="str">
        <f aca="false">IF(AND($D97=供应商对账单!$B$3,$B97&gt;=供应商对账单!$E$3,$B97&lt;=供应商对账单!$H$3),COUNTIFS($D$5:$D97,供应商对账单!$B$3,$B$5:$B97,"&gt;="&amp;供应商对账单!$E$3,$B$5:$B97,"&lt;="&amp;供应商对账单!$H$3),"")</f>
        <v/>
      </c>
    </row>
    <row r="98" customFormat="false" ht="15.75" hidden="false" customHeight="true" outlineLevel="0" collapsed="false">
      <c r="A98" s="42" t="str">
        <f aca="false">IF($B98="","","CG"&amp;TEXT($B98,"yyyymm")&amp;"-"&amp;TEXT(ROW()-4,"000"))</f>
        <v/>
      </c>
      <c r="B98" s="41"/>
      <c r="C98" s="42" t="str">
        <f aca="false">IF($B98="","",TEXT($B98,"yyyy-mm"))</f>
        <v/>
      </c>
      <c r="D98" s="32"/>
      <c r="E98" s="36"/>
      <c r="F98" s="43"/>
      <c r="G98" s="40"/>
      <c r="H98" s="51"/>
      <c r="I98" s="33"/>
      <c r="J98" s="31"/>
      <c r="K98" s="33"/>
      <c r="L98" s="33"/>
      <c r="M98" s="36"/>
      <c r="N98" s="47" t="str">
        <f aca="false">IF($B98="","",IF(NOT(ISNUMBER($B98)),"日期不是日期格式",IF(YEAR($B98)&lt;&gt;首页!$B$3,"不在会计年度",IF($D98="","未选供应商",IF(ISNA(MATCH($D98,基础资料!$AF$6:$AF$155,0)),"供应商不在档案",IF($E98="","未填商品或内容",IF(NOT(ISNUMBER($F98)),"数量须为数字",IF(NOT(ISNUMBER($G98)),"单价须为数字",IF(N($F98)&lt;=0,"数量须大于0",IF($I98="","请选是否入库",IF(AND($I98="是",ISNA(MATCH($E98,基础资料!$Q$6:$Q$205,0))),"入库商品必须在商品档案中",IF(AND($I98="否",$J98&lt;&gt;"",ISNA(MATCH($J98,科目参数!$A$6:$A$125,0))),"费用科目不存在","√"))))))))))))</f>
        <v/>
      </c>
      <c r="O98" s="49" t="str">
        <f aca="false">IF($E98="","",IFERROR(INDEX(基础资料!$R$6:$R$205,MATCH($E98,基础资料!$Q$6:$Q$205,0)),""))</f>
        <v/>
      </c>
      <c r="P98" s="49" t="str">
        <f aca="false">IF($E98="","",IFERROR(INDEX(基础资料!$S$6:$S$205,MATCH($E98,基础资料!$Q$6:$Q$205,0)),""))</f>
        <v/>
      </c>
      <c r="Q98" s="48" t="str">
        <f aca="false">IF(OR($F98="",$G98=""),"",ROUND(N($F98)*N($G98),2))</f>
        <v/>
      </c>
      <c r="R98" s="48" t="str">
        <f aca="false">IF($Q98="","",ROUND(N($Q98)*N($H98),2))</f>
        <v/>
      </c>
      <c r="S98" s="48" t="str">
        <f aca="false">IF($Q98="","",N($Q98)+N($R98))</f>
        <v/>
      </c>
      <c r="T98" s="52" t="str">
        <f aca="false">IF(OR($B98="",$D98=""),"",$B98+N(IFERROR(INDEX(基础资料!$AH$6:$AH$155,MATCH($D98,基础资料!$AF$6:$AF$155,0)),0)))</f>
        <v/>
      </c>
      <c r="U98" s="49" t="str">
        <f aca="false">IF($Q98="","",IF($I98="是","1405",IF($J98="","6602",$J98)))</f>
        <v/>
      </c>
      <c r="V98" s="49" t="str">
        <f aca="false">IF($Q98="","","2202")</f>
        <v/>
      </c>
      <c r="W98" s="48" t="str">
        <f aca="false">IF($Q98="","",$Q98)</f>
        <v/>
      </c>
      <c r="X98" s="49" t="str">
        <f aca="false">IF(N($R98)=0,"","2221")</f>
        <v/>
      </c>
      <c r="Y98" s="49" t="str">
        <f aca="false">IF(N($R98)=0,"","2202")</f>
        <v/>
      </c>
      <c r="Z98" s="48" t="str">
        <f aca="false">IF(N($R98)=0,"",$R98)</f>
        <v/>
      </c>
      <c r="AA98" s="49" t="str">
        <f aca="false">IF(AND($D98=供应商对账单!$B$3,$B98&gt;=供应商对账单!$E$3,$B98&lt;=供应商对账单!$H$3),COUNTIFS($D$5:$D98,供应商对账单!$B$3,$B$5:$B98,"&gt;="&amp;供应商对账单!$E$3,$B$5:$B98,"&lt;="&amp;供应商对账单!$H$3),"")</f>
        <v/>
      </c>
    </row>
    <row r="99" customFormat="false" ht="15.75" hidden="false" customHeight="true" outlineLevel="0" collapsed="false">
      <c r="A99" s="42" t="str">
        <f aca="false">IF($B99="","","CG"&amp;TEXT($B99,"yyyymm")&amp;"-"&amp;TEXT(ROW()-4,"000"))</f>
        <v/>
      </c>
      <c r="B99" s="41"/>
      <c r="C99" s="42" t="str">
        <f aca="false">IF($B99="","",TEXT($B99,"yyyy-mm"))</f>
        <v/>
      </c>
      <c r="D99" s="32"/>
      <c r="E99" s="36"/>
      <c r="F99" s="43"/>
      <c r="G99" s="40"/>
      <c r="H99" s="51"/>
      <c r="I99" s="33"/>
      <c r="J99" s="31"/>
      <c r="K99" s="33"/>
      <c r="L99" s="33"/>
      <c r="M99" s="36"/>
      <c r="N99" s="47" t="str">
        <f aca="false">IF($B99="","",IF(NOT(ISNUMBER($B99)),"日期不是日期格式",IF(YEAR($B99)&lt;&gt;首页!$B$3,"不在会计年度",IF($D99="","未选供应商",IF(ISNA(MATCH($D99,基础资料!$AF$6:$AF$155,0)),"供应商不在档案",IF($E99="","未填商品或内容",IF(NOT(ISNUMBER($F99)),"数量须为数字",IF(NOT(ISNUMBER($G99)),"单价须为数字",IF(N($F99)&lt;=0,"数量须大于0",IF($I99="","请选是否入库",IF(AND($I99="是",ISNA(MATCH($E99,基础资料!$Q$6:$Q$205,0))),"入库商品必须在商品档案中",IF(AND($I99="否",$J99&lt;&gt;"",ISNA(MATCH($J99,科目参数!$A$6:$A$125,0))),"费用科目不存在","√"))))))))))))</f>
        <v/>
      </c>
      <c r="O99" s="49" t="str">
        <f aca="false">IF($E99="","",IFERROR(INDEX(基础资料!$R$6:$R$205,MATCH($E99,基础资料!$Q$6:$Q$205,0)),""))</f>
        <v/>
      </c>
      <c r="P99" s="49" t="str">
        <f aca="false">IF($E99="","",IFERROR(INDEX(基础资料!$S$6:$S$205,MATCH($E99,基础资料!$Q$6:$Q$205,0)),""))</f>
        <v/>
      </c>
      <c r="Q99" s="48" t="str">
        <f aca="false">IF(OR($F99="",$G99=""),"",ROUND(N($F99)*N($G99),2))</f>
        <v/>
      </c>
      <c r="R99" s="48" t="str">
        <f aca="false">IF($Q99="","",ROUND(N($Q99)*N($H99),2))</f>
        <v/>
      </c>
      <c r="S99" s="48" t="str">
        <f aca="false">IF($Q99="","",N($Q99)+N($R99))</f>
        <v/>
      </c>
      <c r="T99" s="52" t="str">
        <f aca="false">IF(OR($B99="",$D99=""),"",$B99+N(IFERROR(INDEX(基础资料!$AH$6:$AH$155,MATCH($D99,基础资料!$AF$6:$AF$155,0)),0)))</f>
        <v/>
      </c>
      <c r="U99" s="49" t="str">
        <f aca="false">IF($Q99="","",IF($I99="是","1405",IF($J99="","6602",$J99)))</f>
        <v/>
      </c>
      <c r="V99" s="49" t="str">
        <f aca="false">IF($Q99="","","2202")</f>
        <v/>
      </c>
      <c r="W99" s="48" t="str">
        <f aca="false">IF($Q99="","",$Q99)</f>
        <v/>
      </c>
      <c r="X99" s="49" t="str">
        <f aca="false">IF(N($R99)=0,"","2221")</f>
        <v/>
      </c>
      <c r="Y99" s="49" t="str">
        <f aca="false">IF(N($R99)=0,"","2202")</f>
        <v/>
      </c>
      <c r="Z99" s="48" t="str">
        <f aca="false">IF(N($R99)=0,"",$R99)</f>
        <v/>
      </c>
      <c r="AA99" s="49" t="str">
        <f aca="false">IF(AND($D99=供应商对账单!$B$3,$B99&gt;=供应商对账单!$E$3,$B99&lt;=供应商对账单!$H$3),COUNTIFS($D$5:$D99,供应商对账单!$B$3,$B$5:$B99,"&gt;="&amp;供应商对账单!$E$3,$B$5:$B99,"&lt;="&amp;供应商对账单!$H$3),"")</f>
        <v/>
      </c>
    </row>
    <row r="100" customFormat="false" ht="15.75" hidden="false" customHeight="true" outlineLevel="0" collapsed="false">
      <c r="A100" s="42" t="str">
        <f aca="false">IF($B100="","","CG"&amp;TEXT($B100,"yyyymm")&amp;"-"&amp;TEXT(ROW()-4,"000"))</f>
        <v/>
      </c>
      <c r="B100" s="41"/>
      <c r="C100" s="42" t="str">
        <f aca="false">IF($B100="","",TEXT($B100,"yyyy-mm"))</f>
        <v/>
      </c>
      <c r="D100" s="32"/>
      <c r="E100" s="36"/>
      <c r="F100" s="43"/>
      <c r="G100" s="40"/>
      <c r="H100" s="51"/>
      <c r="I100" s="33"/>
      <c r="J100" s="31"/>
      <c r="K100" s="33"/>
      <c r="L100" s="33"/>
      <c r="M100" s="36"/>
      <c r="N100" s="47" t="str">
        <f aca="false">IF($B100="","",IF(NOT(ISNUMBER($B100)),"日期不是日期格式",IF(YEAR($B100)&lt;&gt;首页!$B$3,"不在会计年度",IF($D100="","未选供应商",IF(ISNA(MATCH($D100,基础资料!$AF$6:$AF$155,0)),"供应商不在档案",IF($E100="","未填商品或内容",IF(NOT(ISNUMBER($F100)),"数量须为数字",IF(NOT(ISNUMBER($G100)),"单价须为数字",IF(N($F100)&lt;=0,"数量须大于0",IF($I100="","请选是否入库",IF(AND($I100="是",ISNA(MATCH($E100,基础资料!$Q$6:$Q$205,0))),"入库商品必须在商品档案中",IF(AND($I100="否",$J100&lt;&gt;"",ISNA(MATCH($J100,科目参数!$A$6:$A$125,0))),"费用科目不存在","√"))))))))))))</f>
        <v/>
      </c>
      <c r="O100" s="49" t="str">
        <f aca="false">IF($E100="","",IFERROR(INDEX(基础资料!$R$6:$R$205,MATCH($E100,基础资料!$Q$6:$Q$205,0)),""))</f>
        <v/>
      </c>
      <c r="P100" s="49" t="str">
        <f aca="false">IF($E100="","",IFERROR(INDEX(基础资料!$S$6:$S$205,MATCH($E100,基础资料!$Q$6:$Q$205,0)),""))</f>
        <v/>
      </c>
      <c r="Q100" s="48" t="str">
        <f aca="false">IF(OR($F100="",$G100=""),"",ROUND(N($F100)*N($G100),2))</f>
        <v/>
      </c>
      <c r="R100" s="48" t="str">
        <f aca="false">IF($Q100="","",ROUND(N($Q100)*N($H100),2))</f>
        <v/>
      </c>
      <c r="S100" s="48" t="str">
        <f aca="false">IF($Q100="","",N($Q100)+N($R100))</f>
        <v/>
      </c>
      <c r="T100" s="52" t="str">
        <f aca="false">IF(OR($B100="",$D100=""),"",$B100+N(IFERROR(INDEX(基础资料!$AH$6:$AH$155,MATCH($D100,基础资料!$AF$6:$AF$155,0)),0)))</f>
        <v/>
      </c>
      <c r="U100" s="49" t="str">
        <f aca="false">IF($Q100="","",IF($I100="是","1405",IF($J100="","6602",$J100)))</f>
        <v/>
      </c>
      <c r="V100" s="49" t="str">
        <f aca="false">IF($Q100="","","2202")</f>
        <v/>
      </c>
      <c r="W100" s="48" t="str">
        <f aca="false">IF($Q100="","",$Q100)</f>
        <v/>
      </c>
      <c r="X100" s="49" t="str">
        <f aca="false">IF(N($R100)=0,"","2221")</f>
        <v/>
      </c>
      <c r="Y100" s="49" t="str">
        <f aca="false">IF(N($R100)=0,"","2202")</f>
        <v/>
      </c>
      <c r="Z100" s="48" t="str">
        <f aca="false">IF(N($R100)=0,"",$R100)</f>
        <v/>
      </c>
      <c r="AA100" s="49" t="str">
        <f aca="false">IF(AND($D100=供应商对账单!$B$3,$B100&gt;=供应商对账单!$E$3,$B100&lt;=供应商对账单!$H$3),COUNTIFS($D$5:$D100,供应商对账单!$B$3,$B$5:$B100,"&gt;="&amp;供应商对账单!$E$3,$B$5:$B100,"&lt;="&amp;供应商对账单!$H$3),"")</f>
        <v/>
      </c>
    </row>
    <row r="101" customFormat="false" ht="15.75" hidden="false" customHeight="true" outlineLevel="0" collapsed="false">
      <c r="A101" s="42" t="str">
        <f aca="false">IF($B101="","","CG"&amp;TEXT($B101,"yyyymm")&amp;"-"&amp;TEXT(ROW()-4,"000"))</f>
        <v/>
      </c>
      <c r="B101" s="41"/>
      <c r="C101" s="42" t="str">
        <f aca="false">IF($B101="","",TEXT($B101,"yyyy-mm"))</f>
        <v/>
      </c>
      <c r="D101" s="32"/>
      <c r="E101" s="36"/>
      <c r="F101" s="43"/>
      <c r="G101" s="40"/>
      <c r="H101" s="51"/>
      <c r="I101" s="33"/>
      <c r="J101" s="31"/>
      <c r="K101" s="33"/>
      <c r="L101" s="33"/>
      <c r="M101" s="36"/>
      <c r="N101" s="47" t="str">
        <f aca="false">IF($B101="","",IF(NOT(ISNUMBER($B101)),"日期不是日期格式",IF(YEAR($B101)&lt;&gt;首页!$B$3,"不在会计年度",IF($D101="","未选供应商",IF(ISNA(MATCH($D101,基础资料!$AF$6:$AF$155,0)),"供应商不在档案",IF($E101="","未填商品或内容",IF(NOT(ISNUMBER($F101)),"数量须为数字",IF(NOT(ISNUMBER($G101)),"单价须为数字",IF(N($F101)&lt;=0,"数量须大于0",IF($I101="","请选是否入库",IF(AND($I101="是",ISNA(MATCH($E101,基础资料!$Q$6:$Q$205,0))),"入库商品必须在商品档案中",IF(AND($I101="否",$J101&lt;&gt;"",ISNA(MATCH($J101,科目参数!$A$6:$A$125,0))),"费用科目不存在","√"))))))))))))</f>
        <v/>
      </c>
      <c r="O101" s="49" t="str">
        <f aca="false">IF($E101="","",IFERROR(INDEX(基础资料!$R$6:$R$205,MATCH($E101,基础资料!$Q$6:$Q$205,0)),""))</f>
        <v/>
      </c>
      <c r="P101" s="49" t="str">
        <f aca="false">IF($E101="","",IFERROR(INDEX(基础资料!$S$6:$S$205,MATCH($E101,基础资料!$Q$6:$Q$205,0)),""))</f>
        <v/>
      </c>
      <c r="Q101" s="48" t="str">
        <f aca="false">IF(OR($F101="",$G101=""),"",ROUND(N($F101)*N($G101),2))</f>
        <v/>
      </c>
      <c r="R101" s="48" t="str">
        <f aca="false">IF($Q101="","",ROUND(N($Q101)*N($H101),2))</f>
        <v/>
      </c>
      <c r="S101" s="48" t="str">
        <f aca="false">IF($Q101="","",N($Q101)+N($R101))</f>
        <v/>
      </c>
      <c r="T101" s="52" t="str">
        <f aca="false">IF(OR($B101="",$D101=""),"",$B101+N(IFERROR(INDEX(基础资料!$AH$6:$AH$155,MATCH($D101,基础资料!$AF$6:$AF$155,0)),0)))</f>
        <v/>
      </c>
      <c r="U101" s="49" t="str">
        <f aca="false">IF($Q101="","",IF($I101="是","1405",IF($J101="","6602",$J101)))</f>
        <v/>
      </c>
      <c r="V101" s="49" t="str">
        <f aca="false">IF($Q101="","","2202")</f>
        <v/>
      </c>
      <c r="W101" s="48" t="str">
        <f aca="false">IF($Q101="","",$Q101)</f>
        <v/>
      </c>
      <c r="X101" s="49" t="str">
        <f aca="false">IF(N($R101)=0,"","2221")</f>
        <v/>
      </c>
      <c r="Y101" s="49" t="str">
        <f aca="false">IF(N($R101)=0,"","2202")</f>
        <v/>
      </c>
      <c r="Z101" s="48" t="str">
        <f aca="false">IF(N($R101)=0,"",$R101)</f>
        <v/>
      </c>
      <c r="AA101" s="49" t="str">
        <f aca="false">IF(AND($D101=供应商对账单!$B$3,$B101&gt;=供应商对账单!$E$3,$B101&lt;=供应商对账单!$H$3),COUNTIFS($D$5:$D101,供应商对账单!$B$3,$B$5:$B101,"&gt;="&amp;供应商对账单!$E$3,$B$5:$B101,"&lt;="&amp;供应商对账单!$H$3),"")</f>
        <v/>
      </c>
    </row>
    <row r="102" customFormat="false" ht="15.75" hidden="false" customHeight="true" outlineLevel="0" collapsed="false">
      <c r="A102" s="42" t="str">
        <f aca="false">IF($B102="","","CG"&amp;TEXT($B102,"yyyymm")&amp;"-"&amp;TEXT(ROW()-4,"000"))</f>
        <v/>
      </c>
      <c r="B102" s="41"/>
      <c r="C102" s="42" t="str">
        <f aca="false">IF($B102="","",TEXT($B102,"yyyy-mm"))</f>
        <v/>
      </c>
      <c r="D102" s="32"/>
      <c r="E102" s="36"/>
      <c r="F102" s="43"/>
      <c r="G102" s="40"/>
      <c r="H102" s="51"/>
      <c r="I102" s="33"/>
      <c r="J102" s="31"/>
      <c r="K102" s="33"/>
      <c r="L102" s="33"/>
      <c r="M102" s="36"/>
      <c r="N102" s="47" t="str">
        <f aca="false">IF($B102="","",IF(NOT(ISNUMBER($B102)),"日期不是日期格式",IF(YEAR($B102)&lt;&gt;首页!$B$3,"不在会计年度",IF($D102="","未选供应商",IF(ISNA(MATCH($D102,基础资料!$AF$6:$AF$155,0)),"供应商不在档案",IF($E102="","未填商品或内容",IF(NOT(ISNUMBER($F102)),"数量须为数字",IF(NOT(ISNUMBER($G102)),"单价须为数字",IF(N($F102)&lt;=0,"数量须大于0",IF($I102="","请选是否入库",IF(AND($I102="是",ISNA(MATCH($E102,基础资料!$Q$6:$Q$205,0))),"入库商品必须在商品档案中",IF(AND($I102="否",$J102&lt;&gt;"",ISNA(MATCH($J102,科目参数!$A$6:$A$125,0))),"费用科目不存在","√"))))))))))))</f>
        <v/>
      </c>
      <c r="O102" s="49" t="str">
        <f aca="false">IF($E102="","",IFERROR(INDEX(基础资料!$R$6:$R$205,MATCH($E102,基础资料!$Q$6:$Q$205,0)),""))</f>
        <v/>
      </c>
      <c r="P102" s="49" t="str">
        <f aca="false">IF($E102="","",IFERROR(INDEX(基础资料!$S$6:$S$205,MATCH($E102,基础资料!$Q$6:$Q$205,0)),""))</f>
        <v/>
      </c>
      <c r="Q102" s="48" t="str">
        <f aca="false">IF(OR($F102="",$G102=""),"",ROUND(N($F102)*N($G102),2))</f>
        <v/>
      </c>
      <c r="R102" s="48" t="str">
        <f aca="false">IF($Q102="","",ROUND(N($Q102)*N($H102),2))</f>
        <v/>
      </c>
      <c r="S102" s="48" t="str">
        <f aca="false">IF($Q102="","",N($Q102)+N($R102))</f>
        <v/>
      </c>
      <c r="T102" s="52" t="str">
        <f aca="false">IF(OR($B102="",$D102=""),"",$B102+N(IFERROR(INDEX(基础资料!$AH$6:$AH$155,MATCH($D102,基础资料!$AF$6:$AF$155,0)),0)))</f>
        <v/>
      </c>
      <c r="U102" s="49" t="str">
        <f aca="false">IF($Q102="","",IF($I102="是","1405",IF($J102="","6602",$J102)))</f>
        <v/>
      </c>
      <c r="V102" s="49" t="str">
        <f aca="false">IF($Q102="","","2202")</f>
        <v/>
      </c>
      <c r="W102" s="48" t="str">
        <f aca="false">IF($Q102="","",$Q102)</f>
        <v/>
      </c>
      <c r="X102" s="49" t="str">
        <f aca="false">IF(N($R102)=0,"","2221")</f>
        <v/>
      </c>
      <c r="Y102" s="49" t="str">
        <f aca="false">IF(N($R102)=0,"","2202")</f>
        <v/>
      </c>
      <c r="Z102" s="48" t="str">
        <f aca="false">IF(N($R102)=0,"",$R102)</f>
        <v/>
      </c>
      <c r="AA102" s="49" t="str">
        <f aca="false">IF(AND($D102=供应商对账单!$B$3,$B102&gt;=供应商对账单!$E$3,$B102&lt;=供应商对账单!$H$3),COUNTIFS($D$5:$D102,供应商对账单!$B$3,$B$5:$B102,"&gt;="&amp;供应商对账单!$E$3,$B$5:$B102,"&lt;="&amp;供应商对账单!$H$3),"")</f>
        <v/>
      </c>
    </row>
    <row r="103" customFormat="false" ht="15.75" hidden="false" customHeight="true" outlineLevel="0" collapsed="false">
      <c r="A103" s="42" t="str">
        <f aca="false">IF($B103="","","CG"&amp;TEXT($B103,"yyyymm")&amp;"-"&amp;TEXT(ROW()-4,"000"))</f>
        <v/>
      </c>
      <c r="B103" s="41"/>
      <c r="C103" s="42" t="str">
        <f aca="false">IF($B103="","",TEXT($B103,"yyyy-mm"))</f>
        <v/>
      </c>
      <c r="D103" s="32"/>
      <c r="E103" s="36"/>
      <c r="F103" s="43"/>
      <c r="G103" s="40"/>
      <c r="H103" s="51"/>
      <c r="I103" s="33"/>
      <c r="J103" s="31"/>
      <c r="K103" s="33"/>
      <c r="L103" s="33"/>
      <c r="M103" s="36"/>
      <c r="N103" s="47" t="str">
        <f aca="false">IF($B103="","",IF(NOT(ISNUMBER($B103)),"日期不是日期格式",IF(YEAR($B103)&lt;&gt;首页!$B$3,"不在会计年度",IF($D103="","未选供应商",IF(ISNA(MATCH($D103,基础资料!$AF$6:$AF$155,0)),"供应商不在档案",IF($E103="","未填商品或内容",IF(NOT(ISNUMBER($F103)),"数量须为数字",IF(NOT(ISNUMBER($G103)),"单价须为数字",IF(N($F103)&lt;=0,"数量须大于0",IF($I103="","请选是否入库",IF(AND($I103="是",ISNA(MATCH($E103,基础资料!$Q$6:$Q$205,0))),"入库商品必须在商品档案中",IF(AND($I103="否",$J103&lt;&gt;"",ISNA(MATCH($J103,科目参数!$A$6:$A$125,0))),"费用科目不存在","√"))))))))))))</f>
        <v/>
      </c>
      <c r="O103" s="49" t="str">
        <f aca="false">IF($E103="","",IFERROR(INDEX(基础资料!$R$6:$R$205,MATCH($E103,基础资料!$Q$6:$Q$205,0)),""))</f>
        <v/>
      </c>
      <c r="P103" s="49" t="str">
        <f aca="false">IF($E103="","",IFERROR(INDEX(基础资料!$S$6:$S$205,MATCH($E103,基础资料!$Q$6:$Q$205,0)),""))</f>
        <v/>
      </c>
      <c r="Q103" s="48" t="str">
        <f aca="false">IF(OR($F103="",$G103=""),"",ROUND(N($F103)*N($G103),2))</f>
        <v/>
      </c>
      <c r="R103" s="48" t="str">
        <f aca="false">IF($Q103="","",ROUND(N($Q103)*N($H103),2))</f>
        <v/>
      </c>
      <c r="S103" s="48" t="str">
        <f aca="false">IF($Q103="","",N($Q103)+N($R103))</f>
        <v/>
      </c>
      <c r="T103" s="52" t="str">
        <f aca="false">IF(OR($B103="",$D103=""),"",$B103+N(IFERROR(INDEX(基础资料!$AH$6:$AH$155,MATCH($D103,基础资料!$AF$6:$AF$155,0)),0)))</f>
        <v/>
      </c>
      <c r="U103" s="49" t="str">
        <f aca="false">IF($Q103="","",IF($I103="是","1405",IF($J103="","6602",$J103)))</f>
        <v/>
      </c>
      <c r="V103" s="49" t="str">
        <f aca="false">IF($Q103="","","2202")</f>
        <v/>
      </c>
      <c r="W103" s="48" t="str">
        <f aca="false">IF($Q103="","",$Q103)</f>
        <v/>
      </c>
      <c r="X103" s="49" t="str">
        <f aca="false">IF(N($R103)=0,"","2221")</f>
        <v/>
      </c>
      <c r="Y103" s="49" t="str">
        <f aca="false">IF(N($R103)=0,"","2202")</f>
        <v/>
      </c>
      <c r="Z103" s="48" t="str">
        <f aca="false">IF(N($R103)=0,"",$R103)</f>
        <v/>
      </c>
      <c r="AA103" s="49" t="str">
        <f aca="false">IF(AND($D103=供应商对账单!$B$3,$B103&gt;=供应商对账单!$E$3,$B103&lt;=供应商对账单!$H$3),COUNTIFS($D$5:$D103,供应商对账单!$B$3,$B$5:$B103,"&gt;="&amp;供应商对账单!$E$3,$B$5:$B103,"&lt;="&amp;供应商对账单!$H$3),"")</f>
        <v/>
      </c>
    </row>
    <row r="104" customFormat="false" ht="15.75" hidden="false" customHeight="true" outlineLevel="0" collapsed="false">
      <c r="A104" s="42" t="str">
        <f aca="false">IF($B104="","","CG"&amp;TEXT($B104,"yyyymm")&amp;"-"&amp;TEXT(ROW()-4,"000"))</f>
        <v/>
      </c>
      <c r="B104" s="41"/>
      <c r="C104" s="42" t="str">
        <f aca="false">IF($B104="","",TEXT($B104,"yyyy-mm"))</f>
        <v/>
      </c>
      <c r="D104" s="32"/>
      <c r="E104" s="36"/>
      <c r="F104" s="43"/>
      <c r="G104" s="40"/>
      <c r="H104" s="51"/>
      <c r="I104" s="33"/>
      <c r="J104" s="31"/>
      <c r="K104" s="33"/>
      <c r="L104" s="33"/>
      <c r="M104" s="36"/>
      <c r="N104" s="47" t="str">
        <f aca="false">IF($B104="","",IF(NOT(ISNUMBER($B104)),"日期不是日期格式",IF(YEAR($B104)&lt;&gt;首页!$B$3,"不在会计年度",IF($D104="","未选供应商",IF(ISNA(MATCH($D104,基础资料!$AF$6:$AF$155,0)),"供应商不在档案",IF($E104="","未填商品或内容",IF(NOT(ISNUMBER($F104)),"数量须为数字",IF(NOT(ISNUMBER($G104)),"单价须为数字",IF(N($F104)&lt;=0,"数量须大于0",IF($I104="","请选是否入库",IF(AND($I104="是",ISNA(MATCH($E104,基础资料!$Q$6:$Q$205,0))),"入库商品必须在商品档案中",IF(AND($I104="否",$J104&lt;&gt;"",ISNA(MATCH($J104,科目参数!$A$6:$A$125,0))),"费用科目不存在","√"))))))))))))</f>
        <v/>
      </c>
      <c r="O104" s="49" t="str">
        <f aca="false">IF($E104="","",IFERROR(INDEX(基础资料!$R$6:$R$205,MATCH($E104,基础资料!$Q$6:$Q$205,0)),""))</f>
        <v/>
      </c>
      <c r="P104" s="49" t="str">
        <f aca="false">IF($E104="","",IFERROR(INDEX(基础资料!$S$6:$S$205,MATCH($E104,基础资料!$Q$6:$Q$205,0)),""))</f>
        <v/>
      </c>
      <c r="Q104" s="48" t="str">
        <f aca="false">IF(OR($F104="",$G104=""),"",ROUND(N($F104)*N($G104),2))</f>
        <v/>
      </c>
      <c r="R104" s="48" t="str">
        <f aca="false">IF($Q104="","",ROUND(N($Q104)*N($H104),2))</f>
        <v/>
      </c>
      <c r="S104" s="48" t="str">
        <f aca="false">IF($Q104="","",N($Q104)+N($R104))</f>
        <v/>
      </c>
      <c r="T104" s="52" t="str">
        <f aca="false">IF(OR($B104="",$D104=""),"",$B104+N(IFERROR(INDEX(基础资料!$AH$6:$AH$155,MATCH($D104,基础资料!$AF$6:$AF$155,0)),0)))</f>
        <v/>
      </c>
      <c r="U104" s="49" t="str">
        <f aca="false">IF($Q104="","",IF($I104="是","1405",IF($J104="","6602",$J104)))</f>
        <v/>
      </c>
      <c r="V104" s="49" t="str">
        <f aca="false">IF($Q104="","","2202")</f>
        <v/>
      </c>
      <c r="W104" s="48" t="str">
        <f aca="false">IF($Q104="","",$Q104)</f>
        <v/>
      </c>
      <c r="X104" s="49" t="str">
        <f aca="false">IF(N($R104)=0,"","2221")</f>
        <v/>
      </c>
      <c r="Y104" s="49" t="str">
        <f aca="false">IF(N($R104)=0,"","2202")</f>
        <v/>
      </c>
      <c r="Z104" s="48" t="str">
        <f aca="false">IF(N($R104)=0,"",$R104)</f>
        <v/>
      </c>
      <c r="AA104" s="49" t="str">
        <f aca="false">IF(AND($D104=供应商对账单!$B$3,$B104&gt;=供应商对账单!$E$3,$B104&lt;=供应商对账单!$H$3),COUNTIFS($D$5:$D104,供应商对账单!$B$3,$B$5:$B104,"&gt;="&amp;供应商对账单!$E$3,$B$5:$B104,"&lt;="&amp;供应商对账单!$H$3),"")</f>
        <v/>
      </c>
    </row>
    <row r="105" customFormat="false" ht="15.75" hidden="false" customHeight="true" outlineLevel="0" collapsed="false">
      <c r="A105" s="42" t="str">
        <f aca="false">IF($B105="","","CG"&amp;TEXT($B105,"yyyymm")&amp;"-"&amp;TEXT(ROW()-4,"000"))</f>
        <v/>
      </c>
      <c r="B105" s="41"/>
      <c r="C105" s="42" t="str">
        <f aca="false">IF($B105="","",TEXT($B105,"yyyy-mm"))</f>
        <v/>
      </c>
      <c r="D105" s="32"/>
      <c r="E105" s="36"/>
      <c r="F105" s="43"/>
      <c r="G105" s="40"/>
      <c r="H105" s="51"/>
      <c r="I105" s="33"/>
      <c r="J105" s="31"/>
      <c r="K105" s="33"/>
      <c r="L105" s="33"/>
      <c r="M105" s="36"/>
      <c r="N105" s="47" t="str">
        <f aca="false">IF($B105="","",IF(NOT(ISNUMBER($B105)),"日期不是日期格式",IF(YEAR($B105)&lt;&gt;首页!$B$3,"不在会计年度",IF($D105="","未选供应商",IF(ISNA(MATCH($D105,基础资料!$AF$6:$AF$155,0)),"供应商不在档案",IF($E105="","未填商品或内容",IF(NOT(ISNUMBER($F105)),"数量须为数字",IF(NOT(ISNUMBER($G105)),"单价须为数字",IF(N($F105)&lt;=0,"数量须大于0",IF($I105="","请选是否入库",IF(AND($I105="是",ISNA(MATCH($E105,基础资料!$Q$6:$Q$205,0))),"入库商品必须在商品档案中",IF(AND($I105="否",$J105&lt;&gt;"",ISNA(MATCH($J105,科目参数!$A$6:$A$125,0))),"费用科目不存在","√"))))))))))))</f>
        <v/>
      </c>
      <c r="O105" s="49" t="str">
        <f aca="false">IF($E105="","",IFERROR(INDEX(基础资料!$R$6:$R$205,MATCH($E105,基础资料!$Q$6:$Q$205,0)),""))</f>
        <v/>
      </c>
      <c r="P105" s="49" t="str">
        <f aca="false">IF($E105="","",IFERROR(INDEX(基础资料!$S$6:$S$205,MATCH($E105,基础资料!$Q$6:$Q$205,0)),""))</f>
        <v/>
      </c>
      <c r="Q105" s="48" t="str">
        <f aca="false">IF(OR($F105="",$G105=""),"",ROUND(N($F105)*N($G105),2))</f>
        <v/>
      </c>
      <c r="R105" s="48" t="str">
        <f aca="false">IF($Q105="","",ROUND(N($Q105)*N($H105),2))</f>
        <v/>
      </c>
      <c r="S105" s="48" t="str">
        <f aca="false">IF($Q105="","",N($Q105)+N($R105))</f>
        <v/>
      </c>
      <c r="T105" s="52" t="str">
        <f aca="false">IF(OR($B105="",$D105=""),"",$B105+N(IFERROR(INDEX(基础资料!$AH$6:$AH$155,MATCH($D105,基础资料!$AF$6:$AF$155,0)),0)))</f>
        <v/>
      </c>
      <c r="U105" s="49" t="str">
        <f aca="false">IF($Q105="","",IF($I105="是","1405",IF($J105="","6602",$J105)))</f>
        <v/>
      </c>
      <c r="V105" s="49" t="str">
        <f aca="false">IF($Q105="","","2202")</f>
        <v/>
      </c>
      <c r="W105" s="48" t="str">
        <f aca="false">IF($Q105="","",$Q105)</f>
        <v/>
      </c>
      <c r="X105" s="49" t="str">
        <f aca="false">IF(N($R105)=0,"","2221")</f>
        <v/>
      </c>
      <c r="Y105" s="49" t="str">
        <f aca="false">IF(N($R105)=0,"","2202")</f>
        <v/>
      </c>
      <c r="Z105" s="48" t="str">
        <f aca="false">IF(N($R105)=0,"",$R105)</f>
        <v/>
      </c>
      <c r="AA105" s="49" t="str">
        <f aca="false">IF(AND($D105=供应商对账单!$B$3,$B105&gt;=供应商对账单!$E$3,$B105&lt;=供应商对账单!$H$3),COUNTIFS($D$5:$D105,供应商对账单!$B$3,$B$5:$B105,"&gt;="&amp;供应商对账单!$E$3,$B$5:$B105,"&lt;="&amp;供应商对账单!$H$3),"")</f>
        <v/>
      </c>
    </row>
    <row r="106" customFormat="false" ht="15.75" hidden="false" customHeight="true" outlineLevel="0" collapsed="false">
      <c r="A106" s="42" t="str">
        <f aca="false">IF($B106="","","CG"&amp;TEXT($B106,"yyyymm")&amp;"-"&amp;TEXT(ROW()-4,"000"))</f>
        <v/>
      </c>
      <c r="B106" s="41"/>
      <c r="C106" s="42" t="str">
        <f aca="false">IF($B106="","",TEXT($B106,"yyyy-mm"))</f>
        <v/>
      </c>
      <c r="D106" s="32"/>
      <c r="E106" s="36"/>
      <c r="F106" s="43"/>
      <c r="G106" s="40"/>
      <c r="H106" s="51"/>
      <c r="I106" s="33"/>
      <c r="J106" s="31"/>
      <c r="K106" s="33"/>
      <c r="L106" s="33"/>
      <c r="M106" s="36"/>
      <c r="N106" s="47" t="str">
        <f aca="false">IF($B106="","",IF(NOT(ISNUMBER($B106)),"日期不是日期格式",IF(YEAR($B106)&lt;&gt;首页!$B$3,"不在会计年度",IF($D106="","未选供应商",IF(ISNA(MATCH($D106,基础资料!$AF$6:$AF$155,0)),"供应商不在档案",IF($E106="","未填商品或内容",IF(NOT(ISNUMBER($F106)),"数量须为数字",IF(NOT(ISNUMBER($G106)),"单价须为数字",IF(N($F106)&lt;=0,"数量须大于0",IF($I106="","请选是否入库",IF(AND($I106="是",ISNA(MATCH($E106,基础资料!$Q$6:$Q$205,0))),"入库商品必须在商品档案中",IF(AND($I106="否",$J106&lt;&gt;"",ISNA(MATCH($J106,科目参数!$A$6:$A$125,0))),"费用科目不存在","√"))))))))))))</f>
        <v/>
      </c>
      <c r="O106" s="49" t="str">
        <f aca="false">IF($E106="","",IFERROR(INDEX(基础资料!$R$6:$R$205,MATCH($E106,基础资料!$Q$6:$Q$205,0)),""))</f>
        <v/>
      </c>
      <c r="P106" s="49" t="str">
        <f aca="false">IF($E106="","",IFERROR(INDEX(基础资料!$S$6:$S$205,MATCH($E106,基础资料!$Q$6:$Q$205,0)),""))</f>
        <v/>
      </c>
      <c r="Q106" s="48" t="str">
        <f aca="false">IF(OR($F106="",$G106=""),"",ROUND(N($F106)*N($G106),2))</f>
        <v/>
      </c>
      <c r="R106" s="48" t="str">
        <f aca="false">IF($Q106="","",ROUND(N($Q106)*N($H106),2))</f>
        <v/>
      </c>
      <c r="S106" s="48" t="str">
        <f aca="false">IF($Q106="","",N($Q106)+N($R106))</f>
        <v/>
      </c>
      <c r="T106" s="52" t="str">
        <f aca="false">IF(OR($B106="",$D106=""),"",$B106+N(IFERROR(INDEX(基础资料!$AH$6:$AH$155,MATCH($D106,基础资料!$AF$6:$AF$155,0)),0)))</f>
        <v/>
      </c>
      <c r="U106" s="49" t="str">
        <f aca="false">IF($Q106="","",IF($I106="是","1405",IF($J106="","6602",$J106)))</f>
        <v/>
      </c>
      <c r="V106" s="49" t="str">
        <f aca="false">IF($Q106="","","2202")</f>
        <v/>
      </c>
      <c r="W106" s="48" t="str">
        <f aca="false">IF($Q106="","",$Q106)</f>
        <v/>
      </c>
      <c r="X106" s="49" t="str">
        <f aca="false">IF(N($R106)=0,"","2221")</f>
        <v/>
      </c>
      <c r="Y106" s="49" t="str">
        <f aca="false">IF(N($R106)=0,"","2202")</f>
        <v/>
      </c>
      <c r="Z106" s="48" t="str">
        <f aca="false">IF(N($R106)=0,"",$R106)</f>
        <v/>
      </c>
      <c r="AA106" s="49" t="str">
        <f aca="false">IF(AND($D106=供应商对账单!$B$3,$B106&gt;=供应商对账单!$E$3,$B106&lt;=供应商对账单!$H$3),COUNTIFS($D$5:$D106,供应商对账单!$B$3,$B$5:$B106,"&gt;="&amp;供应商对账单!$E$3,$B$5:$B106,"&lt;="&amp;供应商对账单!$H$3),"")</f>
        <v/>
      </c>
    </row>
    <row r="107" customFormat="false" ht="15.75" hidden="false" customHeight="true" outlineLevel="0" collapsed="false">
      <c r="A107" s="42" t="str">
        <f aca="false">IF($B107="","","CG"&amp;TEXT($B107,"yyyymm")&amp;"-"&amp;TEXT(ROW()-4,"000"))</f>
        <v/>
      </c>
      <c r="B107" s="41"/>
      <c r="C107" s="42" t="str">
        <f aca="false">IF($B107="","",TEXT($B107,"yyyy-mm"))</f>
        <v/>
      </c>
      <c r="D107" s="32"/>
      <c r="E107" s="36"/>
      <c r="F107" s="43"/>
      <c r="G107" s="40"/>
      <c r="H107" s="51"/>
      <c r="I107" s="33"/>
      <c r="J107" s="31"/>
      <c r="K107" s="33"/>
      <c r="L107" s="33"/>
      <c r="M107" s="36"/>
      <c r="N107" s="47" t="str">
        <f aca="false">IF($B107="","",IF(NOT(ISNUMBER($B107)),"日期不是日期格式",IF(YEAR($B107)&lt;&gt;首页!$B$3,"不在会计年度",IF($D107="","未选供应商",IF(ISNA(MATCH($D107,基础资料!$AF$6:$AF$155,0)),"供应商不在档案",IF($E107="","未填商品或内容",IF(NOT(ISNUMBER($F107)),"数量须为数字",IF(NOT(ISNUMBER($G107)),"单价须为数字",IF(N($F107)&lt;=0,"数量须大于0",IF($I107="","请选是否入库",IF(AND($I107="是",ISNA(MATCH($E107,基础资料!$Q$6:$Q$205,0))),"入库商品必须在商品档案中",IF(AND($I107="否",$J107&lt;&gt;"",ISNA(MATCH($J107,科目参数!$A$6:$A$125,0))),"费用科目不存在","√"))))))))))))</f>
        <v/>
      </c>
      <c r="O107" s="49" t="str">
        <f aca="false">IF($E107="","",IFERROR(INDEX(基础资料!$R$6:$R$205,MATCH($E107,基础资料!$Q$6:$Q$205,0)),""))</f>
        <v/>
      </c>
      <c r="P107" s="49" t="str">
        <f aca="false">IF($E107="","",IFERROR(INDEX(基础资料!$S$6:$S$205,MATCH($E107,基础资料!$Q$6:$Q$205,0)),""))</f>
        <v/>
      </c>
      <c r="Q107" s="48" t="str">
        <f aca="false">IF(OR($F107="",$G107=""),"",ROUND(N($F107)*N($G107),2))</f>
        <v/>
      </c>
      <c r="R107" s="48" t="str">
        <f aca="false">IF($Q107="","",ROUND(N($Q107)*N($H107),2))</f>
        <v/>
      </c>
      <c r="S107" s="48" t="str">
        <f aca="false">IF($Q107="","",N($Q107)+N($R107))</f>
        <v/>
      </c>
      <c r="T107" s="52" t="str">
        <f aca="false">IF(OR($B107="",$D107=""),"",$B107+N(IFERROR(INDEX(基础资料!$AH$6:$AH$155,MATCH($D107,基础资料!$AF$6:$AF$155,0)),0)))</f>
        <v/>
      </c>
      <c r="U107" s="49" t="str">
        <f aca="false">IF($Q107="","",IF($I107="是","1405",IF($J107="","6602",$J107)))</f>
        <v/>
      </c>
      <c r="V107" s="49" t="str">
        <f aca="false">IF($Q107="","","2202")</f>
        <v/>
      </c>
      <c r="W107" s="48" t="str">
        <f aca="false">IF($Q107="","",$Q107)</f>
        <v/>
      </c>
      <c r="X107" s="49" t="str">
        <f aca="false">IF(N($R107)=0,"","2221")</f>
        <v/>
      </c>
      <c r="Y107" s="49" t="str">
        <f aca="false">IF(N($R107)=0,"","2202")</f>
        <v/>
      </c>
      <c r="Z107" s="48" t="str">
        <f aca="false">IF(N($R107)=0,"",$R107)</f>
        <v/>
      </c>
      <c r="AA107" s="49" t="str">
        <f aca="false">IF(AND($D107=供应商对账单!$B$3,$B107&gt;=供应商对账单!$E$3,$B107&lt;=供应商对账单!$H$3),COUNTIFS($D$5:$D107,供应商对账单!$B$3,$B$5:$B107,"&gt;="&amp;供应商对账单!$E$3,$B$5:$B107,"&lt;="&amp;供应商对账单!$H$3),"")</f>
        <v/>
      </c>
    </row>
    <row r="108" customFormat="false" ht="15.75" hidden="false" customHeight="true" outlineLevel="0" collapsed="false">
      <c r="A108" s="42" t="str">
        <f aca="false">IF($B108="","","CG"&amp;TEXT($B108,"yyyymm")&amp;"-"&amp;TEXT(ROW()-4,"000"))</f>
        <v/>
      </c>
      <c r="B108" s="41"/>
      <c r="C108" s="42" t="str">
        <f aca="false">IF($B108="","",TEXT($B108,"yyyy-mm"))</f>
        <v/>
      </c>
      <c r="D108" s="32"/>
      <c r="E108" s="36"/>
      <c r="F108" s="43"/>
      <c r="G108" s="40"/>
      <c r="H108" s="51"/>
      <c r="I108" s="33"/>
      <c r="J108" s="31"/>
      <c r="K108" s="33"/>
      <c r="L108" s="33"/>
      <c r="M108" s="36"/>
      <c r="N108" s="47" t="str">
        <f aca="false">IF($B108="","",IF(NOT(ISNUMBER($B108)),"日期不是日期格式",IF(YEAR($B108)&lt;&gt;首页!$B$3,"不在会计年度",IF($D108="","未选供应商",IF(ISNA(MATCH($D108,基础资料!$AF$6:$AF$155,0)),"供应商不在档案",IF($E108="","未填商品或内容",IF(NOT(ISNUMBER($F108)),"数量须为数字",IF(NOT(ISNUMBER($G108)),"单价须为数字",IF(N($F108)&lt;=0,"数量须大于0",IF($I108="","请选是否入库",IF(AND($I108="是",ISNA(MATCH($E108,基础资料!$Q$6:$Q$205,0))),"入库商品必须在商品档案中",IF(AND($I108="否",$J108&lt;&gt;"",ISNA(MATCH($J108,科目参数!$A$6:$A$125,0))),"费用科目不存在","√"))))))))))))</f>
        <v/>
      </c>
      <c r="O108" s="49" t="str">
        <f aca="false">IF($E108="","",IFERROR(INDEX(基础资料!$R$6:$R$205,MATCH($E108,基础资料!$Q$6:$Q$205,0)),""))</f>
        <v/>
      </c>
      <c r="P108" s="49" t="str">
        <f aca="false">IF($E108="","",IFERROR(INDEX(基础资料!$S$6:$S$205,MATCH($E108,基础资料!$Q$6:$Q$205,0)),""))</f>
        <v/>
      </c>
      <c r="Q108" s="48" t="str">
        <f aca="false">IF(OR($F108="",$G108=""),"",ROUND(N($F108)*N($G108),2))</f>
        <v/>
      </c>
      <c r="R108" s="48" t="str">
        <f aca="false">IF($Q108="","",ROUND(N($Q108)*N($H108),2))</f>
        <v/>
      </c>
      <c r="S108" s="48" t="str">
        <f aca="false">IF($Q108="","",N($Q108)+N($R108))</f>
        <v/>
      </c>
      <c r="T108" s="52" t="str">
        <f aca="false">IF(OR($B108="",$D108=""),"",$B108+N(IFERROR(INDEX(基础资料!$AH$6:$AH$155,MATCH($D108,基础资料!$AF$6:$AF$155,0)),0)))</f>
        <v/>
      </c>
      <c r="U108" s="49" t="str">
        <f aca="false">IF($Q108="","",IF($I108="是","1405",IF($J108="","6602",$J108)))</f>
        <v/>
      </c>
      <c r="V108" s="49" t="str">
        <f aca="false">IF($Q108="","","2202")</f>
        <v/>
      </c>
      <c r="W108" s="48" t="str">
        <f aca="false">IF($Q108="","",$Q108)</f>
        <v/>
      </c>
      <c r="X108" s="49" t="str">
        <f aca="false">IF(N($R108)=0,"","2221")</f>
        <v/>
      </c>
      <c r="Y108" s="49" t="str">
        <f aca="false">IF(N($R108)=0,"","2202")</f>
        <v/>
      </c>
      <c r="Z108" s="48" t="str">
        <f aca="false">IF(N($R108)=0,"",$R108)</f>
        <v/>
      </c>
      <c r="AA108" s="49" t="str">
        <f aca="false">IF(AND($D108=供应商对账单!$B$3,$B108&gt;=供应商对账单!$E$3,$B108&lt;=供应商对账单!$H$3),COUNTIFS($D$5:$D108,供应商对账单!$B$3,$B$5:$B108,"&gt;="&amp;供应商对账单!$E$3,$B$5:$B108,"&lt;="&amp;供应商对账单!$H$3),"")</f>
        <v/>
      </c>
    </row>
    <row r="109" customFormat="false" ht="15.75" hidden="false" customHeight="true" outlineLevel="0" collapsed="false">
      <c r="A109" s="42" t="str">
        <f aca="false">IF($B109="","","CG"&amp;TEXT($B109,"yyyymm")&amp;"-"&amp;TEXT(ROW()-4,"000"))</f>
        <v/>
      </c>
      <c r="B109" s="41"/>
      <c r="C109" s="42" t="str">
        <f aca="false">IF($B109="","",TEXT($B109,"yyyy-mm"))</f>
        <v/>
      </c>
      <c r="D109" s="32"/>
      <c r="E109" s="36"/>
      <c r="F109" s="43"/>
      <c r="G109" s="40"/>
      <c r="H109" s="51"/>
      <c r="I109" s="33"/>
      <c r="J109" s="31"/>
      <c r="K109" s="33"/>
      <c r="L109" s="33"/>
      <c r="M109" s="36"/>
      <c r="N109" s="47" t="str">
        <f aca="false">IF($B109="","",IF(NOT(ISNUMBER($B109)),"日期不是日期格式",IF(YEAR($B109)&lt;&gt;首页!$B$3,"不在会计年度",IF($D109="","未选供应商",IF(ISNA(MATCH($D109,基础资料!$AF$6:$AF$155,0)),"供应商不在档案",IF($E109="","未填商品或内容",IF(NOT(ISNUMBER($F109)),"数量须为数字",IF(NOT(ISNUMBER($G109)),"单价须为数字",IF(N($F109)&lt;=0,"数量须大于0",IF($I109="","请选是否入库",IF(AND($I109="是",ISNA(MATCH($E109,基础资料!$Q$6:$Q$205,0))),"入库商品必须在商品档案中",IF(AND($I109="否",$J109&lt;&gt;"",ISNA(MATCH($J109,科目参数!$A$6:$A$125,0))),"费用科目不存在","√"))))))))))))</f>
        <v/>
      </c>
      <c r="O109" s="49" t="str">
        <f aca="false">IF($E109="","",IFERROR(INDEX(基础资料!$R$6:$R$205,MATCH($E109,基础资料!$Q$6:$Q$205,0)),""))</f>
        <v/>
      </c>
      <c r="P109" s="49" t="str">
        <f aca="false">IF($E109="","",IFERROR(INDEX(基础资料!$S$6:$S$205,MATCH($E109,基础资料!$Q$6:$Q$205,0)),""))</f>
        <v/>
      </c>
      <c r="Q109" s="48" t="str">
        <f aca="false">IF(OR($F109="",$G109=""),"",ROUND(N($F109)*N($G109),2))</f>
        <v/>
      </c>
      <c r="R109" s="48" t="str">
        <f aca="false">IF($Q109="","",ROUND(N($Q109)*N($H109),2))</f>
        <v/>
      </c>
      <c r="S109" s="48" t="str">
        <f aca="false">IF($Q109="","",N($Q109)+N($R109))</f>
        <v/>
      </c>
      <c r="T109" s="52" t="str">
        <f aca="false">IF(OR($B109="",$D109=""),"",$B109+N(IFERROR(INDEX(基础资料!$AH$6:$AH$155,MATCH($D109,基础资料!$AF$6:$AF$155,0)),0)))</f>
        <v/>
      </c>
      <c r="U109" s="49" t="str">
        <f aca="false">IF($Q109="","",IF($I109="是","1405",IF($J109="","6602",$J109)))</f>
        <v/>
      </c>
      <c r="V109" s="49" t="str">
        <f aca="false">IF($Q109="","","2202")</f>
        <v/>
      </c>
      <c r="W109" s="48" t="str">
        <f aca="false">IF($Q109="","",$Q109)</f>
        <v/>
      </c>
      <c r="X109" s="49" t="str">
        <f aca="false">IF(N($R109)=0,"","2221")</f>
        <v/>
      </c>
      <c r="Y109" s="49" t="str">
        <f aca="false">IF(N($R109)=0,"","2202")</f>
        <v/>
      </c>
      <c r="Z109" s="48" t="str">
        <f aca="false">IF(N($R109)=0,"",$R109)</f>
        <v/>
      </c>
      <c r="AA109" s="49" t="str">
        <f aca="false">IF(AND($D109=供应商对账单!$B$3,$B109&gt;=供应商对账单!$E$3,$B109&lt;=供应商对账单!$H$3),COUNTIFS($D$5:$D109,供应商对账单!$B$3,$B$5:$B109,"&gt;="&amp;供应商对账单!$E$3,$B$5:$B109,"&lt;="&amp;供应商对账单!$H$3),"")</f>
        <v/>
      </c>
    </row>
    <row r="110" customFormat="false" ht="15.75" hidden="false" customHeight="true" outlineLevel="0" collapsed="false">
      <c r="A110" s="42" t="str">
        <f aca="false">IF($B110="","","CG"&amp;TEXT($B110,"yyyymm")&amp;"-"&amp;TEXT(ROW()-4,"000"))</f>
        <v/>
      </c>
      <c r="B110" s="41"/>
      <c r="C110" s="42" t="str">
        <f aca="false">IF($B110="","",TEXT($B110,"yyyy-mm"))</f>
        <v/>
      </c>
      <c r="D110" s="32"/>
      <c r="E110" s="36"/>
      <c r="F110" s="43"/>
      <c r="G110" s="40"/>
      <c r="H110" s="51"/>
      <c r="I110" s="33"/>
      <c r="J110" s="31"/>
      <c r="K110" s="33"/>
      <c r="L110" s="33"/>
      <c r="M110" s="36"/>
      <c r="N110" s="47" t="str">
        <f aca="false">IF($B110="","",IF(NOT(ISNUMBER($B110)),"日期不是日期格式",IF(YEAR($B110)&lt;&gt;首页!$B$3,"不在会计年度",IF($D110="","未选供应商",IF(ISNA(MATCH($D110,基础资料!$AF$6:$AF$155,0)),"供应商不在档案",IF($E110="","未填商品或内容",IF(NOT(ISNUMBER($F110)),"数量须为数字",IF(NOT(ISNUMBER($G110)),"单价须为数字",IF(N($F110)&lt;=0,"数量须大于0",IF($I110="","请选是否入库",IF(AND($I110="是",ISNA(MATCH($E110,基础资料!$Q$6:$Q$205,0))),"入库商品必须在商品档案中",IF(AND($I110="否",$J110&lt;&gt;"",ISNA(MATCH($J110,科目参数!$A$6:$A$125,0))),"费用科目不存在","√"))))))))))))</f>
        <v/>
      </c>
      <c r="O110" s="49" t="str">
        <f aca="false">IF($E110="","",IFERROR(INDEX(基础资料!$R$6:$R$205,MATCH($E110,基础资料!$Q$6:$Q$205,0)),""))</f>
        <v/>
      </c>
      <c r="P110" s="49" t="str">
        <f aca="false">IF($E110="","",IFERROR(INDEX(基础资料!$S$6:$S$205,MATCH($E110,基础资料!$Q$6:$Q$205,0)),""))</f>
        <v/>
      </c>
      <c r="Q110" s="48" t="str">
        <f aca="false">IF(OR($F110="",$G110=""),"",ROUND(N($F110)*N($G110),2))</f>
        <v/>
      </c>
      <c r="R110" s="48" t="str">
        <f aca="false">IF($Q110="","",ROUND(N($Q110)*N($H110),2))</f>
        <v/>
      </c>
      <c r="S110" s="48" t="str">
        <f aca="false">IF($Q110="","",N($Q110)+N($R110))</f>
        <v/>
      </c>
      <c r="T110" s="52" t="str">
        <f aca="false">IF(OR($B110="",$D110=""),"",$B110+N(IFERROR(INDEX(基础资料!$AH$6:$AH$155,MATCH($D110,基础资料!$AF$6:$AF$155,0)),0)))</f>
        <v/>
      </c>
      <c r="U110" s="49" t="str">
        <f aca="false">IF($Q110="","",IF($I110="是","1405",IF($J110="","6602",$J110)))</f>
        <v/>
      </c>
      <c r="V110" s="49" t="str">
        <f aca="false">IF($Q110="","","2202")</f>
        <v/>
      </c>
      <c r="W110" s="48" t="str">
        <f aca="false">IF($Q110="","",$Q110)</f>
        <v/>
      </c>
      <c r="X110" s="49" t="str">
        <f aca="false">IF(N($R110)=0,"","2221")</f>
        <v/>
      </c>
      <c r="Y110" s="49" t="str">
        <f aca="false">IF(N($R110)=0,"","2202")</f>
        <v/>
      </c>
      <c r="Z110" s="48" t="str">
        <f aca="false">IF(N($R110)=0,"",$R110)</f>
        <v/>
      </c>
      <c r="AA110" s="49" t="str">
        <f aca="false">IF(AND($D110=供应商对账单!$B$3,$B110&gt;=供应商对账单!$E$3,$B110&lt;=供应商对账单!$H$3),COUNTIFS($D$5:$D110,供应商对账单!$B$3,$B$5:$B110,"&gt;="&amp;供应商对账单!$E$3,$B$5:$B110,"&lt;="&amp;供应商对账单!$H$3),"")</f>
        <v/>
      </c>
    </row>
    <row r="111" customFormat="false" ht="15.75" hidden="false" customHeight="true" outlineLevel="0" collapsed="false">
      <c r="A111" s="42" t="str">
        <f aca="false">IF($B111="","","CG"&amp;TEXT($B111,"yyyymm")&amp;"-"&amp;TEXT(ROW()-4,"000"))</f>
        <v/>
      </c>
      <c r="B111" s="41"/>
      <c r="C111" s="42" t="str">
        <f aca="false">IF($B111="","",TEXT($B111,"yyyy-mm"))</f>
        <v/>
      </c>
      <c r="D111" s="32"/>
      <c r="E111" s="36"/>
      <c r="F111" s="43"/>
      <c r="G111" s="40"/>
      <c r="H111" s="51"/>
      <c r="I111" s="33"/>
      <c r="J111" s="31"/>
      <c r="K111" s="33"/>
      <c r="L111" s="33"/>
      <c r="M111" s="36"/>
      <c r="N111" s="47" t="str">
        <f aca="false">IF($B111="","",IF(NOT(ISNUMBER($B111)),"日期不是日期格式",IF(YEAR($B111)&lt;&gt;首页!$B$3,"不在会计年度",IF($D111="","未选供应商",IF(ISNA(MATCH($D111,基础资料!$AF$6:$AF$155,0)),"供应商不在档案",IF($E111="","未填商品或内容",IF(NOT(ISNUMBER($F111)),"数量须为数字",IF(NOT(ISNUMBER($G111)),"单价须为数字",IF(N($F111)&lt;=0,"数量须大于0",IF($I111="","请选是否入库",IF(AND($I111="是",ISNA(MATCH($E111,基础资料!$Q$6:$Q$205,0))),"入库商品必须在商品档案中",IF(AND($I111="否",$J111&lt;&gt;"",ISNA(MATCH($J111,科目参数!$A$6:$A$125,0))),"费用科目不存在","√"))))))))))))</f>
        <v/>
      </c>
      <c r="O111" s="49" t="str">
        <f aca="false">IF($E111="","",IFERROR(INDEX(基础资料!$R$6:$R$205,MATCH($E111,基础资料!$Q$6:$Q$205,0)),""))</f>
        <v/>
      </c>
      <c r="P111" s="49" t="str">
        <f aca="false">IF($E111="","",IFERROR(INDEX(基础资料!$S$6:$S$205,MATCH($E111,基础资料!$Q$6:$Q$205,0)),""))</f>
        <v/>
      </c>
      <c r="Q111" s="48" t="str">
        <f aca="false">IF(OR($F111="",$G111=""),"",ROUND(N($F111)*N($G111),2))</f>
        <v/>
      </c>
      <c r="R111" s="48" t="str">
        <f aca="false">IF($Q111="","",ROUND(N($Q111)*N($H111),2))</f>
        <v/>
      </c>
      <c r="S111" s="48" t="str">
        <f aca="false">IF($Q111="","",N($Q111)+N($R111))</f>
        <v/>
      </c>
      <c r="T111" s="52" t="str">
        <f aca="false">IF(OR($B111="",$D111=""),"",$B111+N(IFERROR(INDEX(基础资料!$AH$6:$AH$155,MATCH($D111,基础资料!$AF$6:$AF$155,0)),0)))</f>
        <v/>
      </c>
      <c r="U111" s="49" t="str">
        <f aca="false">IF($Q111="","",IF($I111="是","1405",IF($J111="","6602",$J111)))</f>
        <v/>
      </c>
      <c r="V111" s="49" t="str">
        <f aca="false">IF($Q111="","","2202")</f>
        <v/>
      </c>
      <c r="W111" s="48" t="str">
        <f aca="false">IF($Q111="","",$Q111)</f>
        <v/>
      </c>
      <c r="X111" s="49" t="str">
        <f aca="false">IF(N($R111)=0,"","2221")</f>
        <v/>
      </c>
      <c r="Y111" s="49" t="str">
        <f aca="false">IF(N($R111)=0,"","2202")</f>
        <v/>
      </c>
      <c r="Z111" s="48" t="str">
        <f aca="false">IF(N($R111)=0,"",$R111)</f>
        <v/>
      </c>
      <c r="AA111" s="49" t="str">
        <f aca="false">IF(AND($D111=供应商对账单!$B$3,$B111&gt;=供应商对账单!$E$3,$B111&lt;=供应商对账单!$H$3),COUNTIFS($D$5:$D111,供应商对账单!$B$3,$B$5:$B111,"&gt;="&amp;供应商对账单!$E$3,$B$5:$B111,"&lt;="&amp;供应商对账单!$H$3),"")</f>
        <v/>
      </c>
    </row>
    <row r="112" customFormat="false" ht="15.75" hidden="false" customHeight="true" outlineLevel="0" collapsed="false">
      <c r="A112" s="42" t="str">
        <f aca="false">IF($B112="","","CG"&amp;TEXT($B112,"yyyymm")&amp;"-"&amp;TEXT(ROW()-4,"000"))</f>
        <v/>
      </c>
      <c r="B112" s="41"/>
      <c r="C112" s="42" t="str">
        <f aca="false">IF($B112="","",TEXT($B112,"yyyy-mm"))</f>
        <v/>
      </c>
      <c r="D112" s="32"/>
      <c r="E112" s="36"/>
      <c r="F112" s="43"/>
      <c r="G112" s="40"/>
      <c r="H112" s="51"/>
      <c r="I112" s="33"/>
      <c r="J112" s="31"/>
      <c r="K112" s="33"/>
      <c r="L112" s="33"/>
      <c r="M112" s="36"/>
      <c r="N112" s="47" t="str">
        <f aca="false">IF($B112="","",IF(NOT(ISNUMBER($B112)),"日期不是日期格式",IF(YEAR($B112)&lt;&gt;首页!$B$3,"不在会计年度",IF($D112="","未选供应商",IF(ISNA(MATCH($D112,基础资料!$AF$6:$AF$155,0)),"供应商不在档案",IF($E112="","未填商品或内容",IF(NOT(ISNUMBER($F112)),"数量须为数字",IF(NOT(ISNUMBER($G112)),"单价须为数字",IF(N($F112)&lt;=0,"数量须大于0",IF($I112="","请选是否入库",IF(AND($I112="是",ISNA(MATCH($E112,基础资料!$Q$6:$Q$205,0))),"入库商品必须在商品档案中",IF(AND($I112="否",$J112&lt;&gt;"",ISNA(MATCH($J112,科目参数!$A$6:$A$125,0))),"费用科目不存在","√"))))))))))))</f>
        <v/>
      </c>
      <c r="O112" s="49" t="str">
        <f aca="false">IF($E112="","",IFERROR(INDEX(基础资料!$R$6:$R$205,MATCH($E112,基础资料!$Q$6:$Q$205,0)),""))</f>
        <v/>
      </c>
      <c r="P112" s="49" t="str">
        <f aca="false">IF($E112="","",IFERROR(INDEX(基础资料!$S$6:$S$205,MATCH($E112,基础资料!$Q$6:$Q$205,0)),""))</f>
        <v/>
      </c>
      <c r="Q112" s="48" t="str">
        <f aca="false">IF(OR($F112="",$G112=""),"",ROUND(N($F112)*N($G112),2))</f>
        <v/>
      </c>
      <c r="R112" s="48" t="str">
        <f aca="false">IF($Q112="","",ROUND(N($Q112)*N($H112),2))</f>
        <v/>
      </c>
      <c r="S112" s="48" t="str">
        <f aca="false">IF($Q112="","",N($Q112)+N($R112))</f>
        <v/>
      </c>
      <c r="T112" s="52" t="str">
        <f aca="false">IF(OR($B112="",$D112=""),"",$B112+N(IFERROR(INDEX(基础资料!$AH$6:$AH$155,MATCH($D112,基础资料!$AF$6:$AF$155,0)),0)))</f>
        <v/>
      </c>
      <c r="U112" s="49" t="str">
        <f aca="false">IF($Q112="","",IF($I112="是","1405",IF($J112="","6602",$J112)))</f>
        <v/>
      </c>
      <c r="V112" s="49" t="str">
        <f aca="false">IF($Q112="","","2202")</f>
        <v/>
      </c>
      <c r="W112" s="48" t="str">
        <f aca="false">IF($Q112="","",$Q112)</f>
        <v/>
      </c>
      <c r="X112" s="49" t="str">
        <f aca="false">IF(N($R112)=0,"","2221")</f>
        <v/>
      </c>
      <c r="Y112" s="49" t="str">
        <f aca="false">IF(N($R112)=0,"","2202")</f>
        <v/>
      </c>
      <c r="Z112" s="48" t="str">
        <f aca="false">IF(N($R112)=0,"",$R112)</f>
        <v/>
      </c>
      <c r="AA112" s="49" t="str">
        <f aca="false">IF(AND($D112=供应商对账单!$B$3,$B112&gt;=供应商对账单!$E$3,$B112&lt;=供应商对账单!$H$3),COUNTIFS($D$5:$D112,供应商对账单!$B$3,$B$5:$B112,"&gt;="&amp;供应商对账单!$E$3,$B$5:$B112,"&lt;="&amp;供应商对账单!$H$3),"")</f>
        <v/>
      </c>
    </row>
    <row r="113" customFormat="false" ht="15.75" hidden="false" customHeight="true" outlineLevel="0" collapsed="false">
      <c r="A113" s="42" t="str">
        <f aca="false">IF($B113="","","CG"&amp;TEXT($B113,"yyyymm")&amp;"-"&amp;TEXT(ROW()-4,"000"))</f>
        <v/>
      </c>
      <c r="B113" s="41"/>
      <c r="C113" s="42" t="str">
        <f aca="false">IF($B113="","",TEXT($B113,"yyyy-mm"))</f>
        <v/>
      </c>
      <c r="D113" s="32"/>
      <c r="E113" s="36"/>
      <c r="F113" s="43"/>
      <c r="G113" s="40"/>
      <c r="H113" s="51"/>
      <c r="I113" s="33"/>
      <c r="J113" s="31"/>
      <c r="K113" s="33"/>
      <c r="L113" s="33"/>
      <c r="M113" s="36"/>
      <c r="N113" s="47" t="str">
        <f aca="false">IF($B113="","",IF(NOT(ISNUMBER($B113)),"日期不是日期格式",IF(YEAR($B113)&lt;&gt;首页!$B$3,"不在会计年度",IF($D113="","未选供应商",IF(ISNA(MATCH($D113,基础资料!$AF$6:$AF$155,0)),"供应商不在档案",IF($E113="","未填商品或内容",IF(NOT(ISNUMBER($F113)),"数量须为数字",IF(NOT(ISNUMBER($G113)),"单价须为数字",IF(N($F113)&lt;=0,"数量须大于0",IF($I113="","请选是否入库",IF(AND($I113="是",ISNA(MATCH($E113,基础资料!$Q$6:$Q$205,0))),"入库商品必须在商品档案中",IF(AND($I113="否",$J113&lt;&gt;"",ISNA(MATCH($J113,科目参数!$A$6:$A$125,0))),"费用科目不存在","√"))))))))))))</f>
        <v/>
      </c>
      <c r="O113" s="49" t="str">
        <f aca="false">IF($E113="","",IFERROR(INDEX(基础资料!$R$6:$R$205,MATCH($E113,基础资料!$Q$6:$Q$205,0)),""))</f>
        <v/>
      </c>
      <c r="P113" s="49" t="str">
        <f aca="false">IF($E113="","",IFERROR(INDEX(基础资料!$S$6:$S$205,MATCH($E113,基础资料!$Q$6:$Q$205,0)),""))</f>
        <v/>
      </c>
      <c r="Q113" s="48" t="str">
        <f aca="false">IF(OR($F113="",$G113=""),"",ROUND(N($F113)*N($G113),2))</f>
        <v/>
      </c>
      <c r="R113" s="48" t="str">
        <f aca="false">IF($Q113="","",ROUND(N($Q113)*N($H113),2))</f>
        <v/>
      </c>
      <c r="S113" s="48" t="str">
        <f aca="false">IF($Q113="","",N($Q113)+N($R113))</f>
        <v/>
      </c>
      <c r="T113" s="52" t="str">
        <f aca="false">IF(OR($B113="",$D113=""),"",$B113+N(IFERROR(INDEX(基础资料!$AH$6:$AH$155,MATCH($D113,基础资料!$AF$6:$AF$155,0)),0)))</f>
        <v/>
      </c>
      <c r="U113" s="49" t="str">
        <f aca="false">IF($Q113="","",IF($I113="是","1405",IF($J113="","6602",$J113)))</f>
        <v/>
      </c>
      <c r="V113" s="49" t="str">
        <f aca="false">IF($Q113="","","2202")</f>
        <v/>
      </c>
      <c r="W113" s="48" t="str">
        <f aca="false">IF($Q113="","",$Q113)</f>
        <v/>
      </c>
      <c r="X113" s="49" t="str">
        <f aca="false">IF(N($R113)=0,"","2221")</f>
        <v/>
      </c>
      <c r="Y113" s="49" t="str">
        <f aca="false">IF(N($R113)=0,"","2202")</f>
        <v/>
      </c>
      <c r="Z113" s="48" t="str">
        <f aca="false">IF(N($R113)=0,"",$R113)</f>
        <v/>
      </c>
      <c r="AA113" s="49" t="str">
        <f aca="false">IF(AND($D113=供应商对账单!$B$3,$B113&gt;=供应商对账单!$E$3,$B113&lt;=供应商对账单!$H$3),COUNTIFS($D$5:$D113,供应商对账单!$B$3,$B$5:$B113,"&gt;="&amp;供应商对账单!$E$3,$B$5:$B113,"&lt;="&amp;供应商对账单!$H$3),"")</f>
        <v/>
      </c>
    </row>
    <row r="114" customFormat="false" ht="15.75" hidden="false" customHeight="true" outlineLevel="0" collapsed="false">
      <c r="A114" s="42" t="str">
        <f aca="false">IF($B114="","","CG"&amp;TEXT($B114,"yyyymm")&amp;"-"&amp;TEXT(ROW()-4,"000"))</f>
        <v/>
      </c>
      <c r="B114" s="41"/>
      <c r="C114" s="42" t="str">
        <f aca="false">IF($B114="","",TEXT($B114,"yyyy-mm"))</f>
        <v/>
      </c>
      <c r="D114" s="32"/>
      <c r="E114" s="36"/>
      <c r="F114" s="43"/>
      <c r="G114" s="40"/>
      <c r="H114" s="51"/>
      <c r="I114" s="33"/>
      <c r="J114" s="31"/>
      <c r="K114" s="33"/>
      <c r="L114" s="33"/>
      <c r="M114" s="36"/>
      <c r="N114" s="47" t="str">
        <f aca="false">IF($B114="","",IF(NOT(ISNUMBER($B114)),"日期不是日期格式",IF(YEAR($B114)&lt;&gt;首页!$B$3,"不在会计年度",IF($D114="","未选供应商",IF(ISNA(MATCH($D114,基础资料!$AF$6:$AF$155,0)),"供应商不在档案",IF($E114="","未填商品或内容",IF(NOT(ISNUMBER($F114)),"数量须为数字",IF(NOT(ISNUMBER($G114)),"单价须为数字",IF(N($F114)&lt;=0,"数量须大于0",IF($I114="","请选是否入库",IF(AND($I114="是",ISNA(MATCH($E114,基础资料!$Q$6:$Q$205,0))),"入库商品必须在商品档案中",IF(AND($I114="否",$J114&lt;&gt;"",ISNA(MATCH($J114,科目参数!$A$6:$A$125,0))),"费用科目不存在","√"))))))))))))</f>
        <v/>
      </c>
      <c r="O114" s="49" t="str">
        <f aca="false">IF($E114="","",IFERROR(INDEX(基础资料!$R$6:$R$205,MATCH($E114,基础资料!$Q$6:$Q$205,0)),""))</f>
        <v/>
      </c>
      <c r="P114" s="49" t="str">
        <f aca="false">IF($E114="","",IFERROR(INDEX(基础资料!$S$6:$S$205,MATCH($E114,基础资料!$Q$6:$Q$205,0)),""))</f>
        <v/>
      </c>
      <c r="Q114" s="48" t="str">
        <f aca="false">IF(OR($F114="",$G114=""),"",ROUND(N($F114)*N($G114),2))</f>
        <v/>
      </c>
      <c r="R114" s="48" t="str">
        <f aca="false">IF($Q114="","",ROUND(N($Q114)*N($H114),2))</f>
        <v/>
      </c>
      <c r="S114" s="48" t="str">
        <f aca="false">IF($Q114="","",N($Q114)+N($R114))</f>
        <v/>
      </c>
      <c r="T114" s="52" t="str">
        <f aca="false">IF(OR($B114="",$D114=""),"",$B114+N(IFERROR(INDEX(基础资料!$AH$6:$AH$155,MATCH($D114,基础资料!$AF$6:$AF$155,0)),0)))</f>
        <v/>
      </c>
      <c r="U114" s="49" t="str">
        <f aca="false">IF($Q114="","",IF($I114="是","1405",IF($J114="","6602",$J114)))</f>
        <v/>
      </c>
      <c r="V114" s="49" t="str">
        <f aca="false">IF($Q114="","","2202")</f>
        <v/>
      </c>
      <c r="W114" s="48" t="str">
        <f aca="false">IF($Q114="","",$Q114)</f>
        <v/>
      </c>
      <c r="X114" s="49" t="str">
        <f aca="false">IF(N($R114)=0,"","2221")</f>
        <v/>
      </c>
      <c r="Y114" s="49" t="str">
        <f aca="false">IF(N($R114)=0,"","2202")</f>
        <v/>
      </c>
      <c r="Z114" s="48" t="str">
        <f aca="false">IF(N($R114)=0,"",$R114)</f>
        <v/>
      </c>
      <c r="AA114" s="49" t="str">
        <f aca="false">IF(AND($D114=供应商对账单!$B$3,$B114&gt;=供应商对账单!$E$3,$B114&lt;=供应商对账单!$H$3),COUNTIFS($D$5:$D114,供应商对账单!$B$3,$B$5:$B114,"&gt;="&amp;供应商对账单!$E$3,$B$5:$B114,"&lt;="&amp;供应商对账单!$H$3),"")</f>
        <v/>
      </c>
    </row>
    <row r="115" customFormat="false" ht="15.75" hidden="false" customHeight="true" outlineLevel="0" collapsed="false">
      <c r="A115" s="42" t="str">
        <f aca="false">IF($B115="","","CG"&amp;TEXT($B115,"yyyymm")&amp;"-"&amp;TEXT(ROW()-4,"000"))</f>
        <v/>
      </c>
      <c r="B115" s="41"/>
      <c r="C115" s="42" t="str">
        <f aca="false">IF($B115="","",TEXT($B115,"yyyy-mm"))</f>
        <v/>
      </c>
      <c r="D115" s="32"/>
      <c r="E115" s="36"/>
      <c r="F115" s="43"/>
      <c r="G115" s="40"/>
      <c r="H115" s="51"/>
      <c r="I115" s="33"/>
      <c r="J115" s="31"/>
      <c r="K115" s="33"/>
      <c r="L115" s="33"/>
      <c r="M115" s="36"/>
      <c r="N115" s="47" t="str">
        <f aca="false">IF($B115="","",IF(NOT(ISNUMBER($B115)),"日期不是日期格式",IF(YEAR($B115)&lt;&gt;首页!$B$3,"不在会计年度",IF($D115="","未选供应商",IF(ISNA(MATCH($D115,基础资料!$AF$6:$AF$155,0)),"供应商不在档案",IF($E115="","未填商品或内容",IF(NOT(ISNUMBER($F115)),"数量须为数字",IF(NOT(ISNUMBER($G115)),"单价须为数字",IF(N($F115)&lt;=0,"数量须大于0",IF($I115="","请选是否入库",IF(AND($I115="是",ISNA(MATCH($E115,基础资料!$Q$6:$Q$205,0))),"入库商品必须在商品档案中",IF(AND($I115="否",$J115&lt;&gt;"",ISNA(MATCH($J115,科目参数!$A$6:$A$125,0))),"费用科目不存在","√"))))))))))))</f>
        <v/>
      </c>
      <c r="O115" s="49" t="str">
        <f aca="false">IF($E115="","",IFERROR(INDEX(基础资料!$R$6:$R$205,MATCH($E115,基础资料!$Q$6:$Q$205,0)),""))</f>
        <v/>
      </c>
      <c r="P115" s="49" t="str">
        <f aca="false">IF($E115="","",IFERROR(INDEX(基础资料!$S$6:$S$205,MATCH($E115,基础资料!$Q$6:$Q$205,0)),""))</f>
        <v/>
      </c>
      <c r="Q115" s="48" t="str">
        <f aca="false">IF(OR($F115="",$G115=""),"",ROUND(N($F115)*N($G115),2))</f>
        <v/>
      </c>
      <c r="R115" s="48" t="str">
        <f aca="false">IF($Q115="","",ROUND(N($Q115)*N($H115),2))</f>
        <v/>
      </c>
      <c r="S115" s="48" t="str">
        <f aca="false">IF($Q115="","",N($Q115)+N($R115))</f>
        <v/>
      </c>
      <c r="T115" s="52" t="str">
        <f aca="false">IF(OR($B115="",$D115=""),"",$B115+N(IFERROR(INDEX(基础资料!$AH$6:$AH$155,MATCH($D115,基础资料!$AF$6:$AF$155,0)),0)))</f>
        <v/>
      </c>
      <c r="U115" s="49" t="str">
        <f aca="false">IF($Q115="","",IF($I115="是","1405",IF($J115="","6602",$J115)))</f>
        <v/>
      </c>
      <c r="V115" s="49" t="str">
        <f aca="false">IF($Q115="","","2202")</f>
        <v/>
      </c>
      <c r="W115" s="48" t="str">
        <f aca="false">IF($Q115="","",$Q115)</f>
        <v/>
      </c>
      <c r="X115" s="49" t="str">
        <f aca="false">IF(N($R115)=0,"","2221")</f>
        <v/>
      </c>
      <c r="Y115" s="49" t="str">
        <f aca="false">IF(N($R115)=0,"","2202")</f>
        <v/>
      </c>
      <c r="Z115" s="48" t="str">
        <f aca="false">IF(N($R115)=0,"",$R115)</f>
        <v/>
      </c>
      <c r="AA115" s="49" t="str">
        <f aca="false">IF(AND($D115=供应商对账单!$B$3,$B115&gt;=供应商对账单!$E$3,$B115&lt;=供应商对账单!$H$3),COUNTIFS($D$5:$D115,供应商对账单!$B$3,$B$5:$B115,"&gt;="&amp;供应商对账单!$E$3,$B$5:$B115,"&lt;="&amp;供应商对账单!$H$3),"")</f>
        <v/>
      </c>
    </row>
    <row r="116" customFormat="false" ht="15.75" hidden="false" customHeight="true" outlineLevel="0" collapsed="false">
      <c r="A116" s="42" t="str">
        <f aca="false">IF($B116="","","CG"&amp;TEXT($B116,"yyyymm")&amp;"-"&amp;TEXT(ROW()-4,"000"))</f>
        <v/>
      </c>
      <c r="B116" s="41"/>
      <c r="C116" s="42" t="str">
        <f aca="false">IF($B116="","",TEXT($B116,"yyyy-mm"))</f>
        <v/>
      </c>
      <c r="D116" s="32"/>
      <c r="E116" s="36"/>
      <c r="F116" s="43"/>
      <c r="G116" s="40"/>
      <c r="H116" s="51"/>
      <c r="I116" s="33"/>
      <c r="J116" s="31"/>
      <c r="K116" s="33"/>
      <c r="L116" s="33"/>
      <c r="M116" s="36"/>
      <c r="N116" s="47" t="str">
        <f aca="false">IF($B116="","",IF(NOT(ISNUMBER($B116)),"日期不是日期格式",IF(YEAR($B116)&lt;&gt;首页!$B$3,"不在会计年度",IF($D116="","未选供应商",IF(ISNA(MATCH($D116,基础资料!$AF$6:$AF$155,0)),"供应商不在档案",IF($E116="","未填商品或内容",IF(NOT(ISNUMBER($F116)),"数量须为数字",IF(NOT(ISNUMBER($G116)),"单价须为数字",IF(N($F116)&lt;=0,"数量须大于0",IF($I116="","请选是否入库",IF(AND($I116="是",ISNA(MATCH($E116,基础资料!$Q$6:$Q$205,0))),"入库商品必须在商品档案中",IF(AND($I116="否",$J116&lt;&gt;"",ISNA(MATCH($J116,科目参数!$A$6:$A$125,0))),"费用科目不存在","√"))))))))))))</f>
        <v/>
      </c>
      <c r="O116" s="49" t="str">
        <f aca="false">IF($E116="","",IFERROR(INDEX(基础资料!$R$6:$R$205,MATCH($E116,基础资料!$Q$6:$Q$205,0)),""))</f>
        <v/>
      </c>
      <c r="P116" s="49" t="str">
        <f aca="false">IF($E116="","",IFERROR(INDEX(基础资料!$S$6:$S$205,MATCH($E116,基础资料!$Q$6:$Q$205,0)),""))</f>
        <v/>
      </c>
      <c r="Q116" s="48" t="str">
        <f aca="false">IF(OR($F116="",$G116=""),"",ROUND(N($F116)*N($G116),2))</f>
        <v/>
      </c>
      <c r="R116" s="48" t="str">
        <f aca="false">IF($Q116="","",ROUND(N($Q116)*N($H116),2))</f>
        <v/>
      </c>
      <c r="S116" s="48" t="str">
        <f aca="false">IF($Q116="","",N($Q116)+N($R116))</f>
        <v/>
      </c>
      <c r="T116" s="52" t="str">
        <f aca="false">IF(OR($B116="",$D116=""),"",$B116+N(IFERROR(INDEX(基础资料!$AH$6:$AH$155,MATCH($D116,基础资料!$AF$6:$AF$155,0)),0)))</f>
        <v/>
      </c>
      <c r="U116" s="49" t="str">
        <f aca="false">IF($Q116="","",IF($I116="是","1405",IF($J116="","6602",$J116)))</f>
        <v/>
      </c>
      <c r="V116" s="49" t="str">
        <f aca="false">IF($Q116="","","2202")</f>
        <v/>
      </c>
      <c r="W116" s="48" t="str">
        <f aca="false">IF($Q116="","",$Q116)</f>
        <v/>
      </c>
      <c r="X116" s="49" t="str">
        <f aca="false">IF(N($R116)=0,"","2221")</f>
        <v/>
      </c>
      <c r="Y116" s="49" t="str">
        <f aca="false">IF(N($R116)=0,"","2202")</f>
        <v/>
      </c>
      <c r="Z116" s="48" t="str">
        <f aca="false">IF(N($R116)=0,"",$R116)</f>
        <v/>
      </c>
      <c r="AA116" s="49" t="str">
        <f aca="false">IF(AND($D116=供应商对账单!$B$3,$B116&gt;=供应商对账单!$E$3,$B116&lt;=供应商对账单!$H$3),COUNTIFS($D$5:$D116,供应商对账单!$B$3,$B$5:$B116,"&gt;="&amp;供应商对账单!$E$3,$B$5:$B116,"&lt;="&amp;供应商对账单!$H$3),"")</f>
        <v/>
      </c>
    </row>
    <row r="117" customFormat="false" ht="15.75" hidden="false" customHeight="true" outlineLevel="0" collapsed="false">
      <c r="A117" s="42" t="str">
        <f aca="false">IF($B117="","","CG"&amp;TEXT($B117,"yyyymm")&amp;"-"&amp;TEXT(ROW()-4,"000"))</f>
        <v/>
      </c>
      <c r="B117" s="41"/>
      <c r="C117" s="42" t="str">
        <f aca="false">IF($B117="","",TEXT($B117,"yyyy-mm"))</f>
        <v/>
      </c>
      <c r="D117" s="32"/>
      <c r="E117" s="36"/>
      <c r="F117" s="43"/>
      <c r="G117" s="40"/>
      <c r="H117" s="51"/>
      <c r="I117" s="33"/>
      <c r="J117" s="31"/>
      <c r="K117" s="33"/>
      <c r="L117" s="33"/>
      <c r="M117" s="36"/>
      <c r="N117" s="47" t="str">
        <f aca="false">IF($B117="","",IF(NOT(ISNUMBER($B117)),"日期不是日期格式",IF(YEAR($B117)&lt;&gt;首页!$B$3,"不在会计年度",IF($D117="","未选供应商",IF(ISNA(MATCH($D117,基础资料!$AF$6:$AF$155,0)),"供应商不在档案",IF($E117="","未填商品或内容",IF(NOT(ISNUMBER($F117)),"数量须为数字",IF(NOT(ISNUMBER($G117)),"单价须为数字",IF(N($F117)&lt;=0,"数量须大于0",IF($I117="","请选是否入库",IF(AND($I117="是",ISNA(MATCH($E117,基础资料!$Q$6:$Q$205,0))),"入库商品必须在商品档案中",IF(AND($I117="否",$J117&lt;&gt;"",ISNA(MATCH($J117,科目参数!$A$6:$A$125,0))),"费用科目不存在","√"))))))))))))</f>
        <v/>
      </c>
      <c r="O117" s="49" t="str">
        <f aca="false">IF($E117="","",IFERROR(INDEX(基础资料!$R$6:$R$205,MATCH($E117,基础资料!$Q$6:$Q$205,0)),""))</f>
        <v/>
      </c>
      <c r="P117" s="49" t="str">
        <f aca="false">IF($E117="","",IFERROR(INDEX(基础资料!$S$6:$S$205,MATCH($E117,基础资料!$Q$6:$Q$205,0)),""))</f>
        <v/>
      </c>
      <c r="Q117" s="48" t="str">
        <f aca="false">IF(OR($F117="",$G117=""),"",ROUND(N($F117)*N($G117),2))</f>
        <v/>
      </c>
      <c r="R117" s="48" t="str">
        <f aca="false">IF($Q117="","",ROUND(N($Q117)*N($H117),2))</f>
        <v/>
      </c>
      <c r="S117" s="48" t="str">
        <f aca="false">IF($Q117="","",N($Q117)+N($R117))</f>
        <v/>
      </c>
      <c r="T117" s="52" t="str">
        <f aca="false">IF(OR($B117="",$D117=""),"",$B117+N(IFERROR(INDEX(基础资料!$AH$6:$AH$155,MATCH($D117,基础资料!$AF$6:$AF$155,0)),0)))</f>
        <v/>
      </c>
      <c r="U117" s="49" t="str">
        <f aca="false">IF($Q117="","",IF($I117="是","1405",IF($J117="","6602",$J117)))</f>
        <v/>
      </c>
      <c r="V117" s="49" t="str">
        <f aca="false">IF($Q117="","","2202")</f>
        <v/>
      </c>
      <c r="W117" s="48" t="str">
        <f aca="false">IF($Q117="","",$Q117)</f>
        <v/>
      </c>
      <c r="X117" s="49" t="str">
        <f aca="false">IF(N($R117)=0,"","2221")</f>
        <v/>
      </c>
      <c r="Y117" s="49" t="str">
        <f aca="false">IF(N($R117)=0,"","2202")</f>
        <v/>
      </c>
      <c r="Z117" s="48" t="str">
        <f aca="false">IF(N($R117)=0,"",$R117)</f>
        <v/>
      </c>
      <c r="AA117" s="49" t="str">
        <f aca="false">IF(AND($D117=供应商对账单!$B$3,$B117&gt;=供应商对账单!$E$3,$B117&lt;=供应商对账单!$H$3),COUNTIFS($D$5:$D117,供应商对账单!$B$3,$B$5:$B117,"&gt;="&amp;供应商对账单!$E$3,$B$5:$B117,"&lt;="&amp;供应商对账单!$H$3),"")</f>
        <v/>
      </c>
    </row>
    <row r="118" customFormat="false" ht="15.75" hidden="false" customHeight="true" outlineLevel="0" collapsed="false">
      <c r="A118" s="42" t="str">
        <f aca="false">IF($B118="","","CG"&amp;TEXT($B118,"yyyymm")&amp;"-"&amp;TEXT(ROW()-4,"000"))</f>
        <v/>
      </c>
      <c r="B118" s="41"/>
      <c r="C118" s="42" t="str">
        <f aca="false">IF($B118="","",TEXT($B118,"yyyy-mm"))</f>
        <v/>
      </c>
      <c r="D118" s="32"/>
      <c r="E118" s="36"/>
      <c r="F118" s="43"/>
      <c r="G118" s="40"/>
      <c r="H118" s="51"/>
      <c r="I118" s="33"/>
      <c r="J118" s="31"/>
      <c r="K118" s="33"/>
      <c r="L118" s="33"/>
      <c r="M118" s="36"/>
      <c r="N118" s="47" t="str">
        <f aca="false">IF($B118="","",IF(NOT(ISNUMBER($B118)),"日期不是日期格式",IF(YEAR($B118)&lt;&gt;首页!$B$3,"不在会计年度",IF($D118="","未选供应商",IF(ISNA(MATCH($D118,基础资料!$AF$6:$AF$155,0)),"供应商不在档案",IF($E118="","未填商品或内容",IF(NOT(ISNUMBER($F118)),"数量须为数字",IF(NOT(ISNUMBER($G118)),"单价须为数字",IF(N($F118)&lt;=0,"数量须大于0",IF($I118="","请选是否入库",IF(AND($I118="是",ISNA(MATCH($E118,基础资料!$Q$6:$Q$205,0))),"入库商品必须在商品档案中",IF(AND($I118="否",$J118&lt;&gt;"",ISNA(MATCH($J118,科目参数!$A$6:$A$125,0))),"费用科目不存在","√"))))))))))))</f>
        <v/>
      </c>
      <c r="O118" s="49" t="str">
        <f aca="false">IF($E118="","",IFERROR(INDEX(基础资料!$R$6:$R$205,MATCH($E118,基础资料!$Q$6:$Q$205,0)),""))</f>
        <v/>
      </c>
      <c r="P118" s="49" t="str">
        <f aca="false">IF($E118="","",IFERROR(INDEX(基础资料!$S$6:$S$205,MATCH($E118,基础资料!$Q$6:$Q$205,0)),""))</f>
        <v/>
      </c>
      <c r="Q118" s="48" t="str">
        <f aca="false">IF(OR($F118="",$G118=""),"",ROUND(N($F118)*N($G118),2))</f>
        <v/>
      </c>
      <c r="R118" s="48" t="str">
        <f aca="false">IF($Q118="","",ROUND(N($Q118)*N($H118),2))</f>
        <v/>
      </c>
      <c r="S118" s="48" t="str">
        <f aca="false">IF($Q118="","",N($Q118)+N($R118))</f>
        <v/>
      </c>
      <c r="T118" s="52" t="str">
        <f aca="false">IF(OR($B118="",$D118=""),"",$B118+N(IFERROR(INDEX(基础资料!$AH$6:$AH$155,MATCH($D118,基础资料!$AF$6:$AF$155,0)),0)))</f>
        <v/>
      </c>
      <c r="U118" s="49" t="str">
        <f aca="false">IF($Q118="","",IF($I118="是","1405",IF($J118="","6602",$J118)))</f>
        <v/>
      </c>
      <c r="V118" s="49" t="str">
        <f aca="false">IF($Q118="","","2202")</f>
        <v/>
      </c>
      <c r="W118" s="48" t="str">
        <f aca="false">IF($Q118="","",$Q118)</f>
        <v/>
      </c>
      <c r="X118" s="49" t="str">
        <f aca="false">IF(N($R118)=0,"","2221")</f>
        <v/>
      </c>
      <c r="Y118" s="49" t="str">
        <f aca="false">IF(N($R118)=0,"","2202")</f>
        <v/>
      </c>
      <c r="Z118" s="48" t="str">
        <f aca="false">IF(N($R118)=0,"",$R118)</f>
        <v/>
      </c>
      <c r="AA118" s="49" t="str">
        <f aca="false">IF(AND($D118=供应商对账单!$B$3,$B118&gt;=供应商对账单!$E$3,$B118&lt;=供应商对账单!$H$3),COUNTIFS($D$5:$D118,供应商对账单!$B$3,$B$5:$B118,"&gt;="&amp;供应商对账单!$E$3,$B$5:$B118,"&lt;="&amp;供应商对账单!$H$3),"")</f>
        <v/>
      </c>
    </row>
    <row r="119" customFormat="false" ht="15.75" hidden="false" customHeight="true" outlineLevel="0" collapsed="false">
      <c r="A119" s="42" t="str">
        <f aca="false">IF($B119="","","CG"&amp;TEXT($B119,"yyyymm")&amp;"-"&amp;TEXT(ROW()-4,"000"))</f>
        <v/>
      </c>
      <c r="B119" s="41"/>
      <c r="C119" s="42" t="str">
        <f aca="false">IF($B119="","",TEXT($B119,"yyyy-mm"))</f>
        <v/>
      </c>
      <c r="D119" s="32"/>
      <c r="E119" s="36"/>
      <c r="F119" s="43"/>
      <c r="G119" s="40"/>
      <c r="H119" s="51"/>
      <c r="I119" s="33"/>
      <c r="J119" s="31"/>
      <c r="K119" s="33"/>
      <c r="L119" s="33"/>
      <c r="M119" s="36"/>
      <c r="N119" s="47" t="str">
        <f aca="false">IF($B119="","",IF(NOT(ISNUMBER($B119)),"日期不是日期格式",IF(YEAR($B119)&lt;&gt;首页!$B$3,"不在会计年度",IF($D119="","未选供应商",IF(ISNA(MATCH($D119,基础资料!$AF$6:$AF$155,0)),"供应商不在档案",IF($E119="","未填商品或内容",IF(NOT(ISNUMBER($F119)),"数量须为数字",IF(NOT(ISNUMBER($G119)),"单价须为数字",IF(N($F119)&lt;=0,"数量须大于0",IF($I119="","请选是否入库",IF(AND($I119="是",ISNA(MATCH($E119,基础资料!$Q$6:$Q$205,0))),"入库商品必须在商品档案中",IF(AND($I119="否",$J119&lt;&gt;"",ISNA(MATCH($J119,科目参数!$A$6:$A$125,0))),"费用科目不存在","√"))))))))))))</f>
        <v/>
      </c>
      <c r="O119" s="49" t="str">
        <f aca="false">IF($E119="","",IFERROR(INDEX(基础资料!$R$6:$R$205,MATCH($E119,基础资料!$Q$6:$Q$205,0)),""))</f>
        <v/>
      </c>
      <c r="P119" s="49" t="str">
        <f aca="false">IF($E119="","",IFERROR(INDEX(基础资料!$S$6:$S$205,MATCH($E119,基础资料!$Q$6:$Q$205,0)),""))</f>
        <v/>
      </c>
      <c r="Q119" s="48" t="str">
        <f aca="false">IF(OR($F119="",$G119=""),"",ROUND(N($F119)*N($G119),2))</f>
        <v/>
      </c>
      <c r="R119" s="48" t="str">
        <f aca="false">IF($Q119="","",ROUND(N($Q119)*N($H119),2))</f>
        <v/>
      </c>
      <c r="S119" s="48" t="str">
        <f aca="false">IF($Q119="","",N($Q119)+N($R119))</f>
        <v/>
      </c>
      <c r="T119" s="52" t="str">
        <f aca="false">IF(OR($B119="",$D119=""),"",$B119+N(IFERROR(INDEX(基础资料!$AH$6:$AH$155,MATCH($D119,基础资料!$AF$6:$AF$155,0)),0)))</f>
        <v/>
      </c>
      <c r="U119" s="49" t="str">
        <f aca="false">IF($Q119="","",IF($I119="是","1405",IF($J119="","6602",$J119)))</f>
        <v/>
      </c>
      <c r="V119" s="49" t="str">
        <f aca="false">IF($Q119="","","2202")</f>
        <v/>
      </c>
      <c r="W119" s="48" t="str">
        <f aca="false">IF($Q119="","",$Q119)</f>
        <v/>
      </c>
      <c r="X119" s="49" t="str">
        <f aca="false">IF(N($R119)=0,"","2221")</f>
        <v/>
      </c>
      <c r="Y119" s="49" t="str">
        <f aca="false">IF(N($R119)=0,"","2202")</f>
        <v/>
      </c>
      <c r="Z119" s="48" t="str">
        <f aca="false">IF(N($R119)=0,"",$R119)</f>
        <v/>
      </c>
      <c r="AA119" s="49" t="str">
        <f aca="false">IF(AND($D119=供应商对账单!$B$3,$B119&gt;=供应商对账单!$E$3,$B119&lt;=供应商对账单!$H$3),COUNTIFS($D$5:$D119,供应商对账单!$B$3,$B$5:$B119,"&gt;="&amp;供应商对账单!$E$3,$B$5:$B119,"&lt;="&amp;供应商对账单!$H$3),"")</f>
        <v/>
      </c>
    </row>
    <row r="120" customFormat="false" ht="15.75" hidden="false" customHeight="true" outlineLevel="0" collapsed="false">
      <c r="A120" s="42" t="str">
        <f aca="false">IF($B120="","","CG"&amp;TEXT($B120,"yyyymm")&amp;"-"&amp;TEXT(ROW()-4,"000"))</f>
        <v/>
      </c>
      <c r="B120" s="41"/>
      <c r="C120" s="42" t="str">
        <f aca="false">IF($B120="","",TEXT($B120,"yyyy-mm"))</f>
        <v/>
      </c>
      <c r="D120" s="32"/>
      <c r="E120" s="36"/>
      <c r="F120" s="43"/>
      <c r="G120" s="40"/>
      <c r="H120" s="51"/>
      <c r="I120" s="33"/>
      <c r="J120" s="31"/>
      <c r="K120" s="33"/>
      <c r="L120" s="33"/>
      <c r="M120" s="36"/>
      <c r="N120" s="47" t="str">
        <f aca="false">IF($B120="","",IF(NOT(ISNUMBER($B120)),"日期不是日期格式",IF(YEAR($B120)&lt;&gt;首页!$B$3,"不在会计年度",IF($D120="","未选供应商",IF(ISNA(MATCH($D120,基础资料!$AF$6:$AF$155,0)),"供应商不在档案",IF($E120="","未填商品或内容",IF(NOT(ISNUMBER($F120)),"数量须为数字",IF(NOT(ISNUMBER($G120)),"单价须为数字",IF(N($F120)&lt;=0,"数量须大于0",IF($I120="","请选是否入库",IF(AND($I120="是",ISNA(MATCH($E120,基础资料!$Q$6:$Q$205,0))),"入库商品必须在商品档案中",IF(AND($I120="否",$J120&lt;&gt;"",ISNA(MATCH($J120,科目参数!$A$6:$A$125,0))),"费用科目不存在","√"))))))))))))</f>
        <v/>
      </c>
      <c r="O120" s="49" t="str">
        <f aca="false">IF($E120="","",IFERROR(INDEX(基础资料!$R$6:$R$205,MATCH($E120,基础资料!$Q$6:$Q$205,0)),""))</f>
        <v/>
      </c>
      <c r="P120" s="49" t="str">
        <f aca="false">IF($E120="","",IFERROR(INDEX(基础资料!$S$6:$S$205,MATCH($E120,基础资料!$Q$6:$Q$205,0)),""))</f>
        <v/>
      </c>
      <c r="Q120" s="48" t="str">
        <f aca="false">IF(OR($F120="",$G120=""),"",ROUND(N($F120)*N($G120),2))</f>
        <v/>
      </c>
      <c r="R120" s="48" t="str">
        <f aca="false">IF($Q120="","",ROUND(N($Q120)*N($H120),2))</f>
        <v/>
      </c>
      <c r="S120" s="48" t="str">
        <f aca="false">IF($Q120="","",N($Q120)+N($R120))</f>
        <v/>
      </c>
      <c r="T120" s="52" t="str">
        <f aca="false">IF(OR($B120="",$D120=""),"",$B120+N(IFERROR(INDEX(基础资料!$AH$6:$AH$155,MATCH($D120,基础资料!$AF$6:$AF$155,0)),0)))</f>
        <v/>
      </c>
      <c r="U120" s="49" t="str">
        <f aca="false">IF($Q120="","",IF($I120="是","1405",IF($J120="","6602",$J120)))</f>
        <v/>
      </c>
      <c r="V120" s="49" t="str">
        <f aca="false">IF($Q120="","","2202")</f>
        <v/>
      </c>
      <c r="W120" s="48" t="str">
        <f aca="false">IF($Q120="","",$Q120)</f>
        <v/>
      </c>
      <c r="X120" s="49" t="str">
        <f aca="false">IF(N($R120)=0,"","2221")</f>
        <v/>
      </c>
      <c r="Y120" s="49" t="str">
        <f aca="false">IF(N($R120)=0,"","2202")</f>
        <v/>
      </c>
      <c r="Z120" s="48" t="str">
        <f aca="false">IF(N($R120)=0,"",$R120)</f>
        <v/>
      </c>
      <c r="AA120" s="49" t="str">
        <f aca="false">IF(AND($D120=供应商对账单!$B$3,$B120&gt;=供应商对账单!$E$3,$B120&lt;=供应商对账单!$H$3),COUNTIFS($D$5:$D120,供应商对账单!$B$3,$B$5:$B120,"&gt;="&amp;供应商对账单!$E$3,$B$5:$B120,"&lt;="&amp;供应商对账单!$H$3),"")</f>
        <v/>
      </c>
    </row>
    <row r="121" customFormat="false" ht="15.75" hidden="false" customHeight="true" outlineLevel="0" collapsed="false">
      <c r="A121" s="42" t="str">
        <f aca="false">IF($B121="","","CG"&amp;TEXT($B121,"yyyymm")&amp;"-"&amp;TEXT(ROW()-4,"000"))</f>
        <v/>
      </c>
      <c r="B121" s="41"/>
      <c r="C121" s="42" t="str">
        <f aca="false">IF($B121="","",TEXT($B121,"yyyy-mm"))</f>
        <v/>
      </c>
      <c r="D121" s="32"/>
      <c r="E121" s="36"/>
      <c r="F121" s="43"/>
      <c r="G121" s="40"/>
      <c r="H121" s="51"/>
      <c r="I121" s="33"/>
      <c r="J121" s="31"/>
      <c r="K121" s="33"/>
      <c r="L121" s="33"/>
      <c r="M121" s="36"/>
      <c r="N121" s="47" t="str">
        <f aca="false">IF($B121="","",IF(NOT(ISNUMBER($B121)),"日期不是日期格式",IF(YEAR($B121)&lt;&gt;首页!$B$3,"不在会计年度",IF($D121="","未选供应商",IF(ISNA(MATCH($D121,基础资料!$AF$6:$AF$155,0)),"供应商不在档案",IF($E121="","未填商品或内容",IF(NOT(ISNUMBER($F121)),"数量须为数字",IF(NOT(ISNUMBER($G121)),"单价须为数字",IF(N($F121)&lt;=0,"数量须大于0",IF($I121="","请选是否入库",IF(AND($I121="是",ISNA(MATCH($E121,基础资料!$Q$6:$Q$205,0))),"入库商品必须在商品档案中",IF(AND($I121="否",$J121&lt;&gt;"",ISNA(MATCH($J121,科目参数!$A$6:$A$125,0))),"费用科目不存在","√"))))))))))))</f>
        <v/>
      </c>
      <c r="O121" s="49" t="str">
        <f aca="false">IF($E121="","",IFERROR(INDEX(基础资料!$R$6:$R$205,MATCH($E121,基础资料!$Q$6:$Q$205,0)),""))</f>
        <v/>
      </c>
      <c r="P121" s="49" t="str">
        <f aca="false">IF($E121="","",IFERROR(INDEX(基础资料!$S$6:$S$205,MATCH($E121,基础资料!$Q$6:$Q$205,0)),""))</f>
        <v/>
      </c>
      <c r="Q121" s="48" t="str">
        <f aca="false">IF(OR($F121="",$G121=""),"",ROUND(N($F121)*N($G121),2))</f>
        <v/>
      </c>
      <c r="R121" s="48" t="str">
        <f aca="false">IF($Q121="","",ROUND(N($Q121)*N($H121),2))</f>
        <v/>
      </c>
      <c r="S121" s="48" t="str">
        <f aca="false">IF($Q121="","",N($Q121)+N($R121))</f>
        <v/>
      </c>
      <c r="T121" s="52" t="str">
        <f aca="false">IF(OR($B121="",$D121=""),"",$B121+N(IFERROR(INDEX(基础资料!$AH$6:$AH$155,MATCH($D121,基础资料!$AF$6:$AF$155,0)),0)))</f>
        <v/>
      </c>
      <c r="U121" s="49" t="str">
        <f aca="false">IF($Q121="","",IF($I121="是","1405",IF($J121="","6602",$J121)))</f>
        <v/>
      </c>
      <c r="V121" s="49" t="str">
        <f aca="false">IF($Q121="","","2202")</f>
        <v/>
      </c>
      <c r="W121" s="48" t="str">
        <f aca="false">IF($Q121="","",$Q121)</f>
        <v/>
      </c>
      <c r="X121" s="49" t="str">
        <f aca="false">IF(N($R121)=0,"","2221")</f>
        <v/>
      </c>
      <c r="Y121" s="49" t="str">
        <f aca="false">IF(N($R121)=0,"","2202")</f>
        <v/>
      </c>
      <c r="Z121" s="48" t="str">
        <f aca="false">IF(N($R121)=0,"",$R121)</f>
        <v/>
      </c>
      <c r="AA121" s="49" t="str">
        <f aca="false">IF(AND($D121=供应商对账单!$B$3,$B121&gt;=供应商对账单!$E$3,$B121&lt;=供应商对账单!$H$3),COUNTIFS($D$5:$D121,供应商对账单!$B$3,$B$5:$B121,"&gt;="&amp;供应商对账单!$E$3,$B$5:$B121,"&lt;="&amp;供应商对账单!$H$3),"")</f>
        <v/>
      </c>
    </row>
    <row r="122" customFormat="false" ht="15.75" hidden="false" customHeight="true" outlineLevel="0" collapsed="false">
      <c r="A122" s="42" t="str">
        <f aca="false">IF($B122="","","CG"&amp;TEXT($B122,"yyyymm")&amp;"-"&amp;TEXT(ROW()-4,"000"))</f>
        <v/>
      </c>
      <c r="B122" s="41"/>
      <c r="C122" s="42" t="str">
        <f aca="false">IF($B122="","",TEXT($B122,"yyyy-mm"))</f>
        <v/>
      </c>
      <c r="D122" s="32"/>
      <c r="E122" s="36"/>
      <c r="F122" s="43"/>
      <c r="G122" s="40"/>
      <c r="H122" s="51"/>
      <c r="I122" s="33"/>
      <c r="J122" s="31"/>
      <c r="K122" s="33"/>
      <c r="L122" s="33"/>
      <c r="M122" s="36"/>
      <c r="N122" s="47" t="str">
        <f aca="false">IF($B122="","",IF(NOT(ISNUMBER($B122)),"日期不是日期格式",IF(YEAR($B122)&lt;&gt;首页!$B$3,"不在会计年度",IF($D122="","未选供应商",IF(ISNA(MATCH($D122,基础资料!$AF$6:$AF$155,0)),"供应商不在档案",IF($E122="","未填商品或内容",IF(NOT(ISNUMBER($F122)),"数量须为数字",IF(NOT(ISNUMBER($G122)),"单价须为数字",IF(N($F122)&lt;=0,"数量须大于0",IF($I122="","请选是否入库",IF(AND($I122="是",ISNA(MATCH($E122,基础资料!$Q$6:$Q$205,0))),"入库商品必须在商品档案中",IF(AND($I122="否",$J122&lt;&gt;"",ISNA(MATCH($J122,科目参数!$A$6:$A$125,0))),"费用科目不存在","√"))))))))))))</f>
        <v/>
      </c>
      <c r="O122" s="49" t="str">
        <f aca="false">IF($E122="","",IFERROR(INDEX(基础资料!$R$6:$R$205,MATCH($E122,基础资料!$Q$6:$Q$205,0)),""))</f>
        <v/>
      </c>
      <c r="P122" s="49" t="str">
        <f aca="false">IF($E122="","",IFERROR(INDEX(基础资料!$S$6:$S$205,MATCH($E122,基础资料!$Q$6:$Q$205,0)),""))</f>
        <v/>
      </c>
      <c r="Q122" s="48" t="str">
        <f aca="false">IF(OR($F122="",$G122=""),"",ROUND(N($F122)*N($G122),2))</f>
        <v/>
      </c>
      <c r="R122" s="48" t="str">
        <f aca="false">IF($Q122="","",ROUND(N($Q122)*N($H122),2))</f>
        <v/>
      </c>
      <c r="S122" s="48" t="str">
        <f aca="false">IF($Q122="","",N($Q122)+N($R122))</f>
        <v/>
      </c>
      <c r="T122" s="52" t="str">
        <f aca="false">IF(OR($B122="",$D122=""),"",$B122+N(IFERROR(INDEX(基础资料!$AH$6:$AH$155,MATCH($D122,基础资料!$AF$6:$AF$155,0)),0)))</f>
        <v/>
      </c>
      <c r="U122" s="49" t="str">
        <f aca="false">IF($Q122="","",IF($I122="是","1405",IF($J122="","6602",$J122)))</f>
        <v/>
      </c>
      <c r="V122" s="49" t="str">
        <f aca="false">IF($Q122="","","2202")</f>
        <v/>
      </c>
      <c r="W122" s="48" t="str">
        <f aca="false">IF($Q122="","",$Q122)</f>
        <v/>
      </c>
      <c r="X122" s="49" t="str">
        <f aca="false">IF(N($R122)=0,"","2221")</f>
        <v/>
      </c>
      <c r="Y122" s="49" t="str">
        <f aca="false">IF(N($R122)=0,"","2202")</f>
        <v/>
      </c>
      <c r="Z122" s="48" t="str">
        <f aca="false">IF(N($R122)=0,"",$R122)</f>
        <v/>
      </c>
      <c r="AA122" s="49" t="str">
        <f aca="false">IF(AND($D122=供应商对账单!$B$3,$B122&gt;=供应商对账单!$E$3,$B122&lt;=供应商对账单!$H$3),COUNTIFS($D$5:$D122,供应商对账单!$B$3,$B$5:$B122,"&gt;="&amp;供应商对账单!$E$3,$B$5:$B122,"&lt;="&amp;供应商对账单!$H$3),"")</f>
        <v/>
      </c>
    </row>
    <row r="123" customFormat="false" ht="15.75" hidden="false" customHeight="true" outlineLevel="0" collapsed="false">
      <c r="A123" s="42" t="str">
        <f aca="false">IF($B123="","","CG"&amp;TEXT($B123,"yyyymm")&amp;"-"&amp;TEXT(ROW()-4,"000"))</f>
        <v/>
      </c>
      <c r="B123" s="41"/>
      <c r="C123" s="42" t="str">
        <f aca="false">IF($B123="","",TEXT($B123,"yyyy-mm"))</f>
        <v/>
      </c>
      <c r="D123" s="32"/>
      <c r="E123" s="36"/>
      <c r="F123" s="43"/>
      <c r="G123" s="40"/>
      <c r="H123" s="51"/>
      <c r="I123" s="33"/>
      <c r="J123" s="31"/>
      <c r="K123" s="33"/>
      <c r="L123" s="33"/>
      <c r="M123" s="36"/>
      <c r="N123" s="47" t="str">
        <f aca="false">IF($B123="","",IF(NOT(ISNUMBER($B123)),"日期不是日期格式",IF(YEAR($B123)&lt;&gt;首页!$B$3,"不在会计年度",IF($D123="","未选供应商",IF(ISNA(MATCH($D123,基础资料!$AF$6:$AF$155,0)),"供应商不在档案",IF($E123="","未填商品或内容",IF(NOT(ISNUMBER($F123)),"数量须为数字",IF(NOT(ISNUMBER($G123)),"单价须为数字",IF(N($F123)&lt;=0,"数量须大于0",IF($I123="","请选是否入库",IF(AND($I123="是",ISNA(MATCH($E123,基础资料!$Q$6:$Q$205,0))),"入库商品必须在商品档案中",IF(AND($I123="否",$J123&lt;&gt;"",ISNA(MATCH($J123,科目参数!$A$6:$A$125,0))),"费用科目不存在","√"))))))))))))</f>
        <v/>
      </c>
      <c r="O123" s="49" t="str">
        <f aca="false">IF($E123="","",IFERROR(INDEX(基础资料!$R$6:$R$205,MATCH($E123,基础资料!$Q$6:$Q$205,0)),""))</f>
        <v/>
      </c>
      <c r="P123" s="49" t="str">
        <f aca="false">IF($E123="","",IFERROR(INDEX(基础资料!$S$6:$S$205,MATCH($E123,基础资料!$Q$6:$Q$205,0)),""))</f>
        <v/>
      </c>
      <c r="Q123" s="48" t="str">
        <f aca="false">IF(OR($F123="",$G123=""),"",ROUND(N($F123)*N($G123),2))</f>
        <v/>
      </c>
      <c r="R123" s="48" t="str">
        <f aca="false">IF($Q123="","",ROUND(N($Q123)*N($H123),2))</f>
        <v/>
      </c>
      <c r="S123" s="48" t="str">
        <f aca="false">IF($Q123="","",N($Q123)+N($R123))</f>
        <v/>
      </c>
      <c r="T123" s="52" t="str">
        <f aca="false">IF(OR($B123="",$D123=""),"",$B123+N(IFERROR(INDEX(基础资料!$AH$6:$AH$155,MATCH($D123,基础资料!$AF$6:$AF$155,0)),0)))</f>
        <v/>
      </c>
      <c r="U123" s="49" t="str">
        <f aca="false">IF($Q123="","",IF($I123="是","1405",IF($J123="","6602",$J123)))</f>
        <v/>
      </c>
      <c r="V123" s="49" t="str">
        <f aca="false">IF($Q123="","","2202")</f>
        <v/>
      </c>
      <c r="W123" s="48" t="str">
        <f aca="false">IF($Q123="","",$Q123)</f>
        <v/>
      </c>
      <c r="X123" s="49" t="str">
        <f aca="false">IF(N($R123)=0,"","2221")</f>
        <v/>
      </c>
      <c r="Y123" s="49" t="str">
        <f aca="false">IF(N($R123)=0,"","2202")</f>
        <v/>
      </c>
      <c r="Z123" s="48" t="str">
        <f aca="false">IF(N($R123)=0,"",$R123)</f>
        <v/>
      </c>
      <c r="AA123" s="49" t="str">
        <f aca="false">IF(AND($D123=供应商对账单!$B$3,$B123&gt;=供应商对账单!$E$3,$B123&lt;=供应商对账单!$H$3),COUNTIFS($D$5:$D123,供应商对账单!$B$3,$B$5:$B123,"&gt;="&amp;供应商对账单!$E$3,$B$5:$B123,"&lt;="&amp;供应商对账单!$H$3),"")</f>
        <v/>
      </c>
    </row>
    <row r="124" customFormat="false" ht="15.75" hidden="false" customHeight="true" outlineLevel="0" collapsed="false">
      <c r="A124" s="42" t="str">
        <f aca="false">IF($B124="","","CG"&amp;TEXT($B124,"yyyymm")&amp;"-"&amp;TEXT(ROW()-4,"000"))</f>
        <v/>
      </c>
      <c r="B124" s="41"/>
      <c r="C124" s="42" t="str">
        <f aca="false">IF($B124="","",TEXT($B124,"yyyy-mm"))</f>
        <v/>
      </c>
      <c r="D124" s="32"/>
      <c r="E124" s="36"/>
      <c r="F124" s="43"/>
      <c r="G124" s="40"/>
      <c r="H124" s="51"/>
      <c r="I124" s="33"/>
      <c r="J124" s="31"/>
      <c r="K124" s="33"/>
      <c r="L124" s="33"/>
      <c r="M124" s="36"/>
      <c r="N124" s="47" t="str">
        <f aca="false">IF($B124="","",IF(NOT(ISNUMBER($B124)),"日期不是日期格式",IF(YEAR($B124)&lt;&gt;首页!$B$3,"不在会计年度",IF($D124="","未选供应商",IF(ISNA(MATCH($D124,基础资料!$AF$6:$AF$155,0)),"供应商不在档案",IF($E124="","未填商品或内容",IF(NOT(ISNUMBER($F124)),"数量须为数字",IF(NOT(ISNUMBER($G124)),"单价须为数字",IF(N($F124)&lt;=0,"数量须大于0",IF($I124="","请选是否入库",IF(AND($I124="是",ISNA(MATCH($E124,基础资料!$Q$6:$Q$205,0))),"入库商品必须在商品档案中",IF(AND($I124="否",$J124&lt;&gt;"",ISNA(MATCH($J124,科目参数!$A$6:$A$125,0))),"费用科目不存在","√"))))))))))))</f>
        <v/>
      </c>
      <c r="O124" s="49" t="str">
        <f aca="false">IF($E124="","",IFERROR(INDEX(基础资料!$R$6:$R$205,MATCH($E124,基础资料!$Q$6:$Q$205,0)),""))</f>
        <v/>
      </c>
      <c r="P124" s="49" t="str">
        <f aca="false">IF($E124="","",IFERROR(INDEX(基础资料!$S$6:$S$205,MATCH($E124,基础资料!$Q$6:$Q$205,0)),""))</f>
        <v/>
      </c>
      <c r="Q124" s="48" t="str">
        <f aca="false">IF(OR($F124="",$G124=""),"",ROUND(N($F124)*N($G124),2))</f>
        <v/>
      </c>
      <c r="R124" s="48" t="str">
        <f aca="false">IF($Q124="","",ROUND(N($Q124)*N($H124),2))</f>
        <v/>
      </c>
      <c r="S124" s="48" t="str">
        <f aca="false">IF($Q124="","",N($Q124)+N($R124))</f>
        <v/>
      </c>
      <c r="T124" s="52" t="str">
        <f aca="false">IF(OR($B124="",$D124=""),"",$B124+N(IFERROR(INDEX(基础资料!$AH$6:$AH$155,MATCH($D124,基础资料!$AF$6:$AF$155,0)),0)))</f>
        <v/>
      </c>
      <c r="U124" s="49" t="str">
        <f aca="false">IF($Q124="","",IF($I124="是","1405",IF($J124="","6602",$J124)))</f>
        <v/>
      </c>
      <c r="V124" s="49" t="str">
        <f aca="false">IF($Q124="","","2202")</f>
        <v/>
      </c>
      <c r="W124" s="48" t="str">
        <f aca="false">IF($Q124="","",$Q124)</f>
        <v/>
      </c>
      <c r="X124" s="49" t="str">
        <f aca="false">IF(N($R124)=0,"","2221")</f>
        <v/>
      </c>
      <c r="Y124" s="49" t="str">
        <f aca="false">IF(N($R124)=0,"","2202")</f>
        <v/>
      </c>
      <c r="Z124" s="48" t="str">
        <f aca="false">IF(N($R124)=0,"",$R124)</f>
        <v/>
      </c>
      <c r="AA124" s="49" t="str">
        <f aca="false">IF(AND($D124=供应商对账单!$B$3,$B124&gt;=供应商对账单!$E$3,$B124&lt;=供应商对账单!$H$3),COUNTIFS($D$5:$D124,供应商对账单!$B$3,$B$5:$B124,"&gt;="&amp;供应商对账单!$E$3,$B$5:$B124,"&lt;="&amp;供应商对账单!$H$3),"")</f>
        <v/>
      </c>
    </row>
    <row r="125" customFormat="false" ht="15.75" hidden="false" customHeight="true" outlineLevel="0" collapsed="false">
      <c r="A125" s="42" t="str">
        <f aca="false">IF($B125="","","CG"&amp;TEXT($B125,"yyyymm")&amp;"-"&amp;TEXT(ROW()-4,"000"))</f>
        <v/>
      </c>
      <c r="B125" s="41"/>
      <c r="C125" s="42" t="str">
        <f aca="false">IF($B125="","",TEXT($B125,"yyyy-mm"))</f>
        <v/>
      </c>
      <c r="D125" s="32"/>
      <c r="E125" s="36"/>
      <c r="F125" s="43"/>
      <c r="G125" s="40"/>
      <c r="H125" s="51"/>
      <c r="I125" s="33"/>
      <c r="J125" s="31"/>
      <c r="K125" s="33"/>
      <c r="L125" s="33"/>
      <c r="M125" s="36"/>
      <c r="N125" s="47" t="str">
        <f aca="false">IF($B125="","",IF(NOT(ISNUMBER($B125)),"日期不是日期格式",IF(YEAR($B125)&lt;&gt;首页!$B$3,"不在会计年度",IF($D125="","未选供应商",IF(ISNA(MATCH($D125,基础资料!$AF$6:$AF$155,0)),"供应商不在档案",IF($E125="","未填商品或内容",IF(NOT(ISNUMBER($F125)),"数量须为数字",IF(NOT(ISNUMBER($G125)),"单价须为数字",IF(N($F125)&lt;=0,"数量须大于0",IF($I125="","请选是否入库",IF(AND($I125="是",ISNA(MATCH($E125,基础资料!$Q$6:$Q$205,0))),"入库商品必须在商品档案中",IF(AND($I125="否",$J125&lt;&gt;"",ISNA(MATCH($J125,科目参数!$A$6:$A$125,0))),"费用科目不存在","√"))))))))))))</f>
        <v/>
      </c>
      <c r="O125" s="49" t="str">
        <f aca="false">IF($E125="","",IFERROR(INDEX(基础资料!$R$6:$R$205,MATCH($E125,基础资料!$Q$6:$Q$205,0)),""))</f>
        <v/>
      </c>
      <c r="P125" s="49" t="str">
        <f aca="false">IF($E125="","",IFERROR(INDEX(基础资料!$S$6:$S$205,MATCH($E125,基础资料!$Q$6:$Q$205,0)),""))</f>
        <v/>
      </c>
      <c r="Q125" s="48" t="str">
        <f aca="false">IF(OR($F125="",$G125=""),"",ROUND(N($F125)*N($G125),2))</f>
        <v/>
      </c>
      <c r="R125" s="48" t="str">
        <f aca="false">IF($Q125="","",ROUND(N($Q125)*N($H125),2))</f>
        <v/>
      </c>
      <c r="S125" s="48" t="str">
        <f aca="false">IF($Q125="","",N($Q125)+N($R125))</f>
        <v/>
      </c>
      <c r="T125" s="52" t="str">
        <f aca="false">IF(OR($B125="",$D125=""),"",$B125+N(IFERROR(INDEX(基础资料!$AH$6:$AH$155,MATCH($D125,基础资料!$AF$6:$AF$155,0)),0)))</f>
        <v/>
      </c>
      <c r="U125" s="49" t="str">
        <f aca="false">IF($Q125="","",IF($I125="是","1405",IF($J125="","6602",$J125)))</f>
        <v/>
      </c>
      <c r="V125" s="49" t="str">
        <f aca="false">IF($Q125="","","2202")</f>
        <v/>
      </c>
      <c r="W125" s="48" t="str">
        <f aca="false">IF($Q125="","",$Q125)</f>
        <v/>
      </c>
      <c r="X125" s="49" t="str">
        <f aca="false">IF(N($R125)=0,"","2221")</f>
        <v/>
      </c>
      <c r="Y125" s="49" t="str">
        <f aca="false">IF(N($R125)=0,"","2202")</f>
        <v/>
      </c>
      <c r="Z125" s="48" t="str">
        <f aca="false">IF(N($R125)=0,"",$R125)</f>
        <v/>
      </c>
      <c r="AA125" s="49" t="str">
        <f aca="false">IF(AND($D125=供应商对账单!$B$3,$B125&gt;=供应商对账单!$E$3,$B125&lt;=供应商对账单!$H$3),COUNTIFS($D$5:$D125,供应商对账单!$B$3,$B$5:$B125,"&gt;="&amp;供应商对账单!$E$3,$B$5:$B125,"&lt;="&amp;供应商对账单!$H$3),"")</f>
        <v/>
      </c>
    </row>
    <row r="126" customFormat="false" ht="15.75" hidden="false" customHeight="true" outlineLevel="0" collapsed="false">
      <c r="A126" s="42" t="str">
        <f aca="false">IF($B126="","","CG"&amp;TEXT($B126,"yyyymm")&amp;"-"&amp;TEXT(ROW()-4,"000"))</f>
        <v/>
      </c>
      <c r="B126" s="41"/>
      <c r="C126" s="42" t="str">
        <f aca="false">IF($B126="","",TEXT($B126,"yyyy-mm"))</f>
        <v/>
      </c>
      <c r="D126" s="32"/>
      <c r="E126" s="36"/>
      <c r="F126" s="43"/>
      <c r="G126" s="40"/>
      <c r="H126" s="51"/>
      <c r="I126" s="33"/>
      <c r="J126" s="31"/>
      <c r="K126" s="33"/>
      <c r="L126" s="33"/>
      <c r="M126" s="36"/>
      <c r="N126" s="47" t="str">
        <f aca="false">IF($B126="","",IF(NOT(ISNUMBER($B126)),"日期不是日期格式",IF(YEAR($B126)&lt;&gt;首页!$B$3,"不在会计年度",IF($D126="","未选供应商",IF(ISNA(MATCH($D126,基础资料!$AF$6:$AF$155,0)),"供应商不在档案",IF($E126="","未填商品或内容",IF(NOT(ISNUMBER($F126)),"数量须为数字",IF(NOT(ISNUMBER($G126)),"单价须为数字",IF(N($F126)&lt;=0,"数量须大于0",IF($I126="","请选是否入库",IF(AND($I126="是",ISNA(MATCH($E126,基础资料!$Q$6:$Q$205,0))),"入库商品必须在商品档案中",IF(AND($I126="否",$J126&lt;&gt;"",ISNA(MATCH($J126,科目参数!$A$6:$A$125,0))),"费用科目不存在","√"))))))))))))</f>
        <v/>
      </c>
      <c r="O126" s="49" t="str">
        <f aca="false">IF($E126="","",IFERROR(INDEX(基础资料!$R$6:$R$205,MATCH($E126,基础资料!$Q$6:$Q$205,0)),""))</f>
        <v/>
      </c>
      <c r="P126" s="49" t="str">
        <f aca="false">IF($E126="","",IFERROR(INDEX(基础资料!$S$6:$S$205,MATCH($E126,基础资料!$Q$6:$Q$205,0)),""))</f>
        <v/>
      </c>
      <c r="Q126" s="48" t="str">
        <f aca="false">IF(OR($F126="",$G126=""),"",ROUND(N($F126)*N($G126),2))</f>
        <v/>
      </c>
      <c r="R126" s="48" t="str">
        <f aca="false">IF($Q126="","",ROUND(N($Q126)*N($H126),2))</f>
        <v/>
      </c>
      <c r="S126" s="48" t="str">
        <f aca="false">IF($Q126="","",N($Q126)+N($R126))</f>
        <v/>
      </c>
      <c r="T126" s="52" t="str">
        <f aca="false">IF(OR($B126="",$D126=""),"",$B126+N(IFERROR(INDEX(基础资料!$AH$6:$AH$155,MATCH($D126,基础资料!$AF$6:$AF$155,0)),0)))</f>
        <v/>
      </c>
      <c r="U126" s="49" t="str">
        <f aca="false">IF($Q126="","",IF($I126="是","1405",IF($J126="","6602",$J126)))</f>
        <v/>
      </c>
      <c r="V126" s="49" t="str">
        <f aca="false">IF($Q126="","","2202")</f>
        <v/>
      </c>
      <c r="W126" s="48" t="str">
        <f aca="false">IF($Q126="","",$Q126)</f>
        <v/>
      </c>
      <c r="X126" s="49" t="str">
        <f aca="false">IF(N($R126)=0,"","2221")</f>
        <v/>
      </c>
      <c r="Y126" s="49" t="str">
        <f aca="false">IF(N($R126)=0,"","2202")</f>
        <v/>
      </c>
      <c r="Z126" s="48" t="str">
        <f aca="false">IF(N($R126)=0,"",$R126)</f>
        <v/>
      </c>
      <c r="AA126" s="49" t="str">
        <f aca="false">IF(AND($D126=供应商对账单!$B$3,$B126&gt;=供应商对账单!$E$3,$B126&lt;=供应商对账单!$H$3),COUNTIFS($D$5:$D126,供应商对账单!$B$3,$B$5:$B126,"&gt;="&amp;供应商对账单!$E$3,$B$5:$B126,"&lt;="&amp;供应商对账单!$H$3),"")</f>
        <v/>
      </c>
    </row>
    <row r="127" customFormat="false" ht="15.75" hidden="false" customHeight="true" outlineLevel="0" collapsed="false">
      <c r="A127" s="42" t="str">
        <f aca="false">IF($B127="","","CG"&amp;TEXT($B127,"yyyymm")&amp;"-"&amp;TEXT(ROW()-4,"000"))</f>
        <v/>
      </c>
      <c r="B127" s="41"/>
      <c r="C127" s="42" t="str">
        <f aca="false">IF($B127="","",TEXT($B127,"yyyy-mm"))</f>
        <v/>
      </c>
      <c r="D127" s="32"/>
      <c r="E127" s="36"/>
      <c r="F127" s="43"/>
      <c r="G127" s="40"/>
      <c r="H127" s="51"/>
      <c r="I127" s="33"/>
      <c r="J127" s="31"/>
      <c r="K127" s="33"/>
      <c r="L127" s="33"/>
      <c r="M127" s="36"/>
      <c r="N127" s="47" t="str">
        <f aca="false">IF($B127="","",IF(NOT(ISNUMBER($B127)),"日期不是日期格式",IF(YEAR($B127)&lt;&gt;首页!$B$3,"不在会计年度",IF($D127="","未选供应商",IF(ISNA(MATCH($D127,基础资料!$AF$6:$AF$155,0)),"供应商不在档案",IF($E127="","未填商品或内容",IF(NOT(ISNUMBER($F127)),"数量须为数字",IF(NOT(ISNUMBER($G127)),"单价须为数字",IF(N($F127)&lt;=0,"数量须大于0",IF($I127="","请选是否入库",IF(AND($I127="是",ISNA(MATCH($E127,基础资料!$Q$6:$Q$205,0))),"入库商品必须在商品档案中",IF(AND($I127="否",$J127&lt;&gt;"",ISNA(MATCH($J127,科目参数!$A$6:$A$125,0))),"费用科目不存在","√"))))))))))))</f>
        <v/>
      </c>
      <c r="O127" s="49" t="str">
        <f aca="false">IF($E127="","",IFERROR(INDEX(基础资料!$R$6:$R$205,MATCH($E127,基础资料!$Q$6:$Q$205,0)),""))</f>
        <v/>
      </c>
      <c r="P127" s="49" t="str">
        <f aca="false">IF($E127="","",IFERROR(INDEX(基础资料!$S$6:$S$205,MATCH($E127,基础资料!$Q$6:$Q$205,0)),""))</f>
        <v/>
      </c>
      <c r="Q127" s="48" t="str">
        <f aca="false">IF(OR($F127="",$G127=""),"",ROUND(N($F127)*N($G127),2))</f>
        <v/>
      </c>
      <c r="R127" s="48" t="str">
        <f aca="false">IF($Q127="","",ROUND(N($Q127)*N($H127),2))</f>
        <v/>
      </c>
      <c r="S127" s="48" t="str">
        <f aca="false">IF($Q127="","",N($Q127)+N($R127))</f>
        <v/>
      </c>
      <c r="T127" s="52" t="str">
        <f aca="false">IF(OR($B127="",$D127=""),"",$B127+N(IFERROR(INDEX(基础资料!$AH$6:$AH$155,MATCH($D127,基础资料!$AF$6:$AF$155,0)),0)))</f>
        <v/>
      </c>
      <c r="U127" s="49" t="str">
        <f aca="false">IF($Q127="","",IF($I127="是","1405",IF($J127="","6602",$J127)))</f>
        <v/>
      </c>
      <c r="V127" s="49" t="str">
        <f aca="false">IF($Q127="","","2202")</f>
        <v/>
      </c>
      <c r="W127" s="48" t="str">
        <f aca="false">IF($Q127="","",$Q127)</f>
        <v/>
      </c>
      <c r="X127" s="49" t="str">
        <f aca="false">IF(N($R127)=0,"","2221")</f>
        <v/>
      </c>
      <c r="Y127" s="49" t="str">
        <f aca="false">IF(N($R127)=0,"","2202")</f>
        <v/>
      </c>
      <c r="Z127" s="48" t="str">
        <f aca="false">IF(N($R127)=0,"",$R127)</f>
        <v/>
      </c>
      <c r="AA127" s="49" t="str">
        <f aca="false">IF(AND($D127=供应商对账单!$B$3,$B127&gt;=供应商对账单!$E$3,$B127&lt;=供应商对账单!$H$3),COUNTIFS($D$5:$D127,供应商对账单!$B$3,$B$5:$B127,"&gt;="&amp;供应商对账单!$E$3,$B$5:$B127,"&lt;="&amp;供应商对账单!$H$3),"")</f>
        <v/>
      </c>
    </row>
    <row r="128" customFormat="false" ht="15.75" hidden="false" customHeight="true" outlineLevel="0" collapsed="false">
      <c r="A128" s="42" t="str">
        <f aca="false">IF($B128="","","CG"&amp;TEXT($B128,"yyyymm")&amp;"-"&amp;TEXT(ROW()-4,"000"))</f>
        <v/>
      </c>
      <c r="B128" s="41"/>
      <c r="C128" s="42" t="str">
        <f aca="false">IF($B128="","",TEXT($B128,"yyyy-mm"))</f>
        <v/>
      </c>
      <c r="D128" s="32"/>
      <c r="E128" s="36"/>
      <c r="F128" s="43"/>
      <c r="G128" s="40"/>
      <c r="H128" s="51"/>
      <c r="I128" s="33"/>
      <c r="J128" s="31"/>
      <c r="K128" s="33"/>
      <c r="L128" s="33"/>
      <c r="M128" s="36"/>
      <c r="N128" s="47" t="str">
        <f aca="false">IF($B128="","",IF(NOT(ISNUMBER($B128)),"日期不是日期格式",IF(YEAR($B128)&lt;&gt;首页!$B$3,"不在会计年度",IF($D128="","未选供应商",IF(ISNA(MATCH($D128,基础资料!$AF$6:$AF$155,0)),"供应商不在档案",IF($E128="","未填商品或内容",IF(NOT(ISNUMBER($F128)),"数量须为数字",IF(NOT(ISNUMBER($G128)),"单价须为数字",IF(N($F128)&lt;=0,"数量须大于0",IF($I128="","请选是否入库",IF(AND($I128="是",ISNA(MATCH($E128,基础资料!$Q$6:$Q$205,0))),"入库商品必须在商品档案中",IF(AND($I128="否",$J128&lt;&gt;"",ISNA(MATCH($J128,科目参数!$A$6:$A$125,0))),"费用科目不存在","√"))))))))))))</f>
        <v/>
      </c>
      <c r="O128" s="49" t="str">
        <f aca="false">IF($E128="","",IFERROR(INDEX(基础资料!$R$6:$R$205,MATCH($E128,基础资料!$Q$6:$Q$205,0)),""))</f>
        <v/>
      </c>
      <c r="P128" s="49" t="str">
        <f aca="false">IF($E128="","",IFERROR(INDEX(基础资料!$S$6:$S$205,MATCH($E128,基础资料!$Q$6:$Q$205,0)),""))</f>
        <v/>
      </c>
      <c r="Q128" s="48" t="str">
        <f aca="false">IF(OR($F128="",$G128=""),"",ROUND(N($F128)*N($G128),2))</f>
        <v/>
      </c>
      <c r="R128" s="48" t="str">
        <f aca="false">IF($Q128="","",ROUND(N($Q128)*N($H128),2))</f>
        <v/>
      </c>
      <c r="S128" s="48" t="str">
        <f aca="false">IF($Q128="","",N($Q128)+N($R128))</f>
        <v/>
      </c>
      <c r="T128" s="52" t="str">
        <f aca="false">IF(OR($B128="",$D128=""),"",$B128+N(IFERROR(INDEX(基础资料!$AH$6:$AH$155,MATCH($D128,基础资料!$AF$6:$AF$155,0)),0)))</f>
        <v/>
      </c>
      <c r="U128" s="49" t="str">
        <f aca="false">IF($Q128="","",IF($I128="是","1405",IF($J128="","6602",$J128)))</f>
        <v/>
      </c>
      <c r="V128" s="49" t="str">
        <f aca="false">IF($Q128="","","2202")</f>
        <v/>
      </c>
      <c r="W128" s="48" t="str">
        <f aca="false">IF($Q128="","",$Q128)</f>
        <v/>
      </c>
      <c r="X128" s="49" t="str">
        <f aca="false">IF(N($R128)=0,"","2221")</f>
        <v/>
      </c>
      <c r="Y128" s="49" t="str">
        <f aca="false">IF(N($R128)=0,"","2202")</f>
        <v/>
      </c>
      <c r="Z128" s="48" t="str">
        <f aca="false">IF(N($R128)=0,"",$R128)</f>
        <v/>
      </c>
      <c r="AA128" s="49" t="str">
        <f aca="false">IF(AND($D128=供应商对账单!$B$3,$B128&gt;=供应商对账单!$E$3,$B128&lt;=供应商对账单!$H$3),COUNTIFS($D$5:$D128,供应商对账单!$B$3,$B$5:$B128,"&gt;="&amp;供应商对账单!$E$3,$B$5:$B128,"&lt;="&amp;供应商对账单!$H$3),"")</f>
        <v/>
      </c>
    </row>
    <row r="129" customFormat="false" ht="15.75" hidden="false" customHeight="true" outlineLevel="0" collapsed="false">
      <c r="A129" s="42" t="str">
        <f aca="false">IF($B129="","","CG"&amp;TEXT($B129,"yyyymm")&amp;"-"&amp;TEXT(ROW()-4,"000"))</f>
        <v/>
      </c>
      <c r="B129" s="41"/>
      <c r="C129" s="42" t="str">
        <f aca="false">IF($B129="","",TEXT($B129,"yyyy-mm"))</f>
        <v/>
      </c>
      <c r="D129" s="32"/>
      <c r="E129" s="36"/>
      <c r="F129" s="43"/>
      <c r="G129" s="40"/>
      <c r="H129" s="51"/>
      <c r="I129" s="33"/>
      <c r="J129" s="31"/>
      <c r="K129" s="33"/>
      <c r="L129" s="33"/>
      <c r="M129" s="36"/>
      <c r="N129" s="47" t="str">
        <f aca="false">IF($B129="","",IF(NOT(ISNUMBER($B129)),"日期不是日期格式",IF(YEAR($B129)&lt;&gt;首页!$B$3,"不在会计年度",IF($D129="","未选供应商",IF(ISNA(MATCH($D129,基础资料!$AF$6:$AF$155,0)),"供应商不在档案",IF($E129="","未填商品或内容",IF(NOT(ISNUMBER($F129)),"数量须为数字",IF(NOT(ISNUMBER($G129)),"单价须为数字",IF(N($F129)&lt;=0,"数量须大于0",IF($I129="","请选是否入库",IF(AND($I129="是",ISNA(MATCH($E129,基础资料!$Q$6:$Q$205,0))),"入库商品必须在商品档案中",IF(AND($I129="否",$J129&lt;&gt;"",ISNA(MATCH($J129,科目参数!$A$6:$A$125,0))),"费用科目不存在","√"))))))))))))</f>
        <v/>
      </c>
      <c r="O129" s="49" t="str">
        <f aca="false">IF($E129="","",IFERROR(INDEX(基础资料!$R$6:$R$205,MATCH($E129,基础资料!$Q$6:$Q$205,0)),""))</f>
        <v/>
      </c>
      <c r="P129" s="49" t="str">
        <f aca="false">IF($E129="","",IFERROR(INDEX(基础资料!$S$6:$S$205,MATCH($E129,基础资料!$Q$6:$Q$205,0)),""))</f>
        <v/>
      </c>
      <c r="Q129" s="48" t="str">
        <f aca="false">IF(OR($F129="",$G129=""),"",ROUND(N($F129)*N($G129),2))</f>
        <v/>
      </c>
      <c r="R129" s="48" t="str">
        <f aca="false">IF($Q129="","",ROUND(N($Q129)*N($H129),2))</f>
        <v/>
      </c>
      <c r="S129" s="48" t="str">
        <f aca="false">IF($Q129="","",N($Q129)+N($R129))</f>
        <v/>
      </c>
      <c r="T129" s="52" t="str">
        <f aca="false">IF(OR($B129="",$D129=""),"",$B129+N(IFERROR(INDEX(基础资料!$AH$6:$AH$155,MATCH($D129,基础资料!$AF$6:$AF$155,0)),0)))</f>
        <v/>
      </c>
      <c r="U129" s="49" t="str">
        <f aca="false">IF($Q129="","",IF($I129="是","1405",IF($J129="","6602",$J129)))</f>
        <v/>
      </c>
      <c r="V129" s="49" t="str">
        <f aca="false">IF($Q129="","","2202")</f>
        <v/>
      </c>
      <c r="W129" s="48" t="str">
        <f aca="false">IF($Q129="","",$Q129)</f>
        <v/>
      </c>
      <c r="X129" s="49" t="str">
        <f aca="false">IF(N($R129)=0,"","2221")</f>
        <v/>
      </c>
      <c r="Y129" s="49" t="str">
        <f aca="false">IF(N($R129)=0,"","2202")</f>
        <v/>
      </c>
      <c r="Z129" s="48" t="str">
        <f aca="false">IF(N($R129)=0,"",$R129)</f>
        <v/>
      </c>
      <c r="AA129" s="49" t="str">
        <f aca="false">IF(AND($D129=供应商对账单!$B$3,$B129&gt;=供应商对账单!$E$3,$B129&lt;=供应商对账单!$H$3),COUNTIFS($D$5:$D129,供应商对账单!$B$3,$B$5:$B129,"&gt;="&amp;供应商对账单!$E$3,$B$5:$B129,"&lt;="&amp;供应商对账单!$H$3),"")</f>
        <v/>
      </c>
    </row>
    <row r="130" customFormat="false" ht="15.75" hidden="false" customHeight="true" outlineLevel="0" collapsed="false">
      <c r="A130" s="42" t="str">
        <f aca="false">IF($B130="","","CG"&amp;TEXT($B130,"yyyymm")&amp;"-"&amp;TEXT(ROW()-4,"000"))</f>
        <v/>
      </c>
      <c r="B130" s="41"/>
      <c r="C130" s="42" t="str">
        <f aca="false">IF($B130="","",TEXT($B130,"yyyy-mm"))</f>
        <v/>
      </c>
      <c r="D130" s="32"/>
      <c r="E130" s="36"/>
      <c r="F130" s="43"/>
      <c r="G130" s="40"/>
      <c r="H130" s="51"/>
      <c r="I130" s="33"/>
      <c r="J130" s="31"/>
      <c r="K130" s="33"/>
      <c r="L130" s="33"/>
      <c r="M130" s="36"/>
      <c r="N130" s="47" t="str">
        <f aca="false">IF($B130="","",IF(NOT(ISNUMBER($B130)),"日期不是日期格式",IF(YEAR($B130)&lt;&gt;首页!$B$3,"不在会计年度",IF($D130="","未选供应商",IF(ISNA(MATCH($D130,基础资料!$AF$6:$AF$155,0)),"供应商不在档案",IF($E130="","未填商品或内容",IF(NOT(ISNUMBER($F130)),"数量须为数字",IF(NOT(ISNUMBER($G130)),"单价须为数字",IF(N($F130)&lt;=0,"数量须大于0",IF($I130="","请选是否入库",IF(AND($I130="是",ISNA(MATCH($E130,基础资料!$Q$6:$Q$205,0))),"入库商品必须在商品档案中",IF(AND($I130="否",$J130&lt;&gt;"",ISNA(MATCH($J130,科目参数!$A$6:$A$125,0))),"费用科目不存在","√"))))))))))))</f>
        <v/>
      </c>
      <c r="O130" s="49" t="str">
        <f aca="false">IF($E130="","",IFERROR(INDEX(基础资料!$R$6:$R$205,MATCH($E130,基础资料!$Q$6:$Q$205,0)),""))</f>
        <v/>
      </c>
      <c r="P130" s="49" t="str">
        <f aca="false">IF($E130="","",IFERROR(INDEX(基础资料!$S$6:$S$205,MATCH($E130,基础资料!$Q$6:$Q$205,0)),""))</f>
        <v/>
      </c>
      <c r="Q130" s="48" t="str">
        <f aca="false">IF(OR($F130="",$G130=""),"",ROUND(N($F130)*N($G130),2))</f>
        <v/>
      </c>
      <c r="R130" s="48" t="str">
        <f aca="false">IF($Q130="","",ROUND(N($Q130)*N($H130),2))</f>
        <v/>
      </c>
      <c r="S130" s="48" t="str">
        <f aca="false">IF($Q130="","",N($Q130)+N($R130))</f>
        <v/>
      </c>
      <c r="T130" s="52" t="str">
        <f aca="false">IF(OR($B130="",$D130=""),"",$B130+N(IFERROR(INDEX(基础资料!$AH$6:$AH$155,MATCH($D130,基础资料!$AF$6:$AF$155,0)),0)))</f>
        <v/>
      </c>
      <c r="U130" s="49" t="str">
        <f aca="false">IF($Q130="","",IF($I130="是","1405",IF($J130="","6602",$J130)))</f>
        <v/>
      </c>
      <c r="V130" s="49" t="str">
        <f aca="false">IF($Q130="","","2202")</f>
        <v/>
      </c>
      <c r="W130" s="48" t="str">
        <f aca="false">IF($Q130="","",$Q130)</f>
        <v/>
      </c>
      <c r="X130" s="49" t="str">
        <f aca="false">IF(N($R130)=0,"","2221")</f>
        <v/>
      </c>
      <c r="Y130" s="49" t="str">
        <f aca="false">IF(N($R130)=0,"","2202")</f>
        <v/>
      </c>
      <c r="Z130" s="48" t="str">
        <f aca="false">IF(N($R130)=0,"",$R130)</f>
        <v/>
      </c>
      <c r="AA130" s="49" t="str">
        <f aca="false">IF(AND($D130=供应商对账单!$B$3,$B130&gt;=供应商对账单!$E$3,$B130&lt;=供应商对账单!$H$3),COUNTIFS($D$5:$D130,供应商对账单!$B$3,$B$5:$B130,"&gt;="&amp;供应商对账单!$E$3,$B$5:$B130,"&lt;="&amp;供应商对账单!$H$3),"")</f>
        <v/>
      </c>
    </row>
    <row r="131" customFormat="false" ht="15.75" hidden="false" customHeight="true" outlineLevel="0" collapsed="false">
      <c r="A131" s="42" t="str">
        <f aca="false">IF($B131="","","CG"&amp;TEXT($B131,"yyyymm")&amp;"-"&amp;TEXT(ROW()-4,"000"))</f>
        <v/>
      </c>
      <c r="B131" s="41"/>
      <c r="C131" s="42" t="str">
        <f aca="false">IF($B131="","",TEXT($B131,"yyyy-mm"))</f>
        <v/>
      </c>
      <c r="D131" s="32"/>
      <c r="E131" s="36"/>
      <c r="F131" s="43"/>
      <c r="G131" s="40"/>
      <c r="H131" s="51"/>
      <c r="I131" s="33"/>
      <c r="J131" s="31"/>
      <c r="K131" s="33"/>
      <c r="L131" s="33"/>
      <c r="M131" s="36"/>
      <c r="N131" s="47" t="str">
        <f aca="false">IF($B131="","",IF(NOT(ISNUMBER($B131)),"日期不是日期格式",IF(YEAR($B131)&lt;&gt;首页!$B$3,"不在会计年度",IF($D131="","未选供应商",IF(ISNA(MATCH($D131,基础资料!$AF$6:$AF$155,0)),"供应商不在档案",IF($E131="","未填商品或内容",IF(NOT(ISNUMBER($F131)),"数量须为数字",IF(NOT(ISNUMBER($G131)),"单价须为数字",IF(N($F131)&lt;=0,"数量须大于0",IF($I131="","请选是否入库",IF(AND($I131="是",ISNA(MATCH($E131,基础资料!$Q$6:$Q$205,0))),"入库商品必须在商品档案中",IF(AND($I131="否",$J131&lt;&gt;"",ISNA(MATCH($J131,科目参数!$A$6:$A$125,0))),"费用科目不存在","√"))))))))))))</f>
        <v/>
      </c>
      <c r="O131" s="49" t="str">
        <f aca="false">IF($E131="","",IFERROR(INDEX(基础资料!$R$6:$R$205,MATCH($E131,基础资料!$Q$6:$Q$205,0)),""))</f>
        <v/>
      </c>
      <c r="P131" s="49" t="str">
        <f aca="false">IF($E131="","",IFERROR(INDEX(基础资料!$S$6:$S$205,MATCH($E131,基础资料!$Q$6:$Q$205,0)),""))</f>
        <v/>
      </c>
      <c r="Q131" s="48" t="str">
        <f aca="false">IF(OR($F131="",$G131=""),"",ROUND(N($F131)*N($G131),2))</f>
        <v/>
      </c>
      <c r="R131" s="48" t="str">
        <f aca="false">IF($Q131="","",ROUND(N($Q131)*N($H131),2))</f>
        <v/>
      </c>
      <c r="S131" s="48" t="str">
        <f aca="false">IF($Q131="","",N($Q131)+N($R131))</f>
        <v/>
      </c>
      <c r="T131" s="52" t="str">
        <f aca="false">IF(OR($B131="",$D131=""),"",$B131+N(IFERROR(INDEX(基础资料!$AH$6:$AH$155,MATCH($D131,基础资料!$AF$6:$AF$155,0)),0)))</f>
        <v/>
      </c>
      <c r="U131" s="49" t="str">
        <f aca="false">IF($Q131="","",IF($I131="是","1405",IF($J131="","6602",$J131)))</f>
        <v/>
      </c>
      <c r="V131" s="49" t="str">
        <f aca="false">IF($Q131="","","2202")</f>
        <v/>
      </c>
      <c r="W131" s="48" t="str">
        <f aca="false">IF($Q131="","",$Q131)</f>
        <v/>
      </c>
      <c r="X131" s="49" t="str">
        <f aca="false">IF(N($R131)=0,"","2221")</f>
        <v/>
      </c>
      <c r="Y131" s="49" t="str">
        <f aca="false">IF(N($R131)=0,"","2202")</f>
        <v/>
      </c>
      <c r="Z131" s="48" t="str">
        <f aca="false">IF(N($R131)=0,"",$R131)</f>
        <v/>
      </c>
      <c r="AA131" s="49" t="str">
        <f aca="false">IF(AND($D131=供应商对账单!$B$3,$B131&gt;=供应商对账单!$E$3,$B131&lt;=供应商对账单!$H$3),COUNTIFS($D$5:$D131,供应商对账单!$B$3,$B$5:$B131,"&gt;="&amp;供应商对账单!$E$3,$B$5:$B131,"&lt;="&amp;供应商对账单!$H$3),"")</f>
        <v/>
      </c>
    </row>
    <row r="132" customFormat="false" ht="15.75" hidden="false" customHeight="true" outlineLevel="0" collapsed="false">
      <c r="A132" s="42" t="str">
        <f aca="false">IF($B132="","","CG"&amp;TEXT($B132,"yyyymm")&amp;"-"&amp;TEXT(ROW()-4,"000"))</f>
        <v/>
      </c>
      <c r="B132" s="41"/>
      <c r="C132" s="42" t="str">
        <f aca="false">IF($B132="","",TEXT($B132,"yyyy-mm"))</f>
        <v/>
      </c>
      <c r="D132" s="32"/>
      <c r="E132" s="36"/>
      <c r="F132" s="43"/>
      <c r="G132" s="40"/>
      <c r="H132" s="51"/>
      <c r="I132" s="33"/>
      <c r="J132" s="31"/>
      <c r="K132" s="33"/>
      <c r="L132" s="33"/>
      <c r="M132" s="36"/>
      <c r="N132" s="47" t="str">
        <f aca="false">IF($B132="","",IF(NOT(ISNUMBER($B132)),"日期不是日期格式",IF(YEAR($B132)&lt;&gt;首页!$B$3,"不在会计年度",IF($D132="","未选供应商",IF(ISNA(MATCH($D132,基础资料!$AF$6:$AF$155,0)),"供应商不在档案",IF($E132="","未填商品或内容",IF(NOT(ISNUMBER($F132)),"数量须为数字",IF(NOT(ISNUMBER($G132)),"单价须为数字",IF(N($F132)&lt;=0,"数量须大于0",IF($I132="","请选是否入库",IF(AND($I132="是",ISNA(MATCH($E132,基础资料!$Q$6:$Q$205,0))),"入库商品必须在商品档案中",IF(AND($I132="否",$J132&lt;&gt;"",ISNA(MATCH($J132,科目参数!$A$6:$A$125,0))),"费用科目不存在","√"))))))))))))</f>
        <v/>
      </c>
      <c r="O132" s="49" t="str">
        <f aca="false">IF($E132="","",IFERROR(INDEX(基础资料!$R$6:$R$205,MATCH($E132,基础资料!$Q$6:$Q$205,0)),""))</f>
        <v/>
      </c>
      <c r="P132" s="49" t="str">
        <f aca="false">IF($E132="","",IFERROR(INDEX(基础资料!$S$6:$S$205,MATCH($E132,基础资料!$Q$6:$Q$205,0)),""))</f>
        <v/>
      </c>
      <c r="Q132" s="48" t="str">
        <f aca="false">IF(OR($F132="",$G132=""),"",ROUND(N($F132)*N($G132),2))</f>
        <v/>
      </c>
      <c r="R132" s="48" t="str">
        <f aca="false">IF($Q132="","",ROUND(N($Q132)*N($H132),2))</f>
        <v/>
      </c>
      <c r="S132" s="48" t="str">
        <f aca="false">IF($Q132="","",N($Q132)+N($R132))</f>
        <v/>
      </c>
      <c r="T132" s="52" t="str">
        <f aca="false">IF(OR($B132="",$D132=""),"",$B132+N(IFERROR(INDEX(基础资料!$AH$6:$AH$155,MATCH($D132,基础资料!$AF$6:$AF$155,0)),0)))</f>
        <v/>
      </c>
      <c r="U132" s="49" t="str">
        <f aca="false">IF($Q132="","",IF($I132="是","1405",IF($J132="","6602",$J132)))</f>
        <v/>
      </c>
      <c r="V132" s="49" t="str">
        <f aca="false">IF($Q132="","","2202")</f>
        <v/>
      </c>
      <c r="W132" s="48" t="str">
        <f aca="false">IF($Q132="","",$Q132)</f>
        <v/>
      </c>
      <c r="X132" s="49" t="str">
        <f aca="false">IF(N($R132)=0,"","2221")</f>
        <v/>
      </c>
      <c r="Y132" s="49" t="str">
        <f aca="false">IF(N($R132)=0,"","2202")</f>
        <v/>
      </c>
      <c r="Z132" s="48" t="str">
        <f aca="false">IF(N($R132)=0,"",$R132)</f>
        <v/>
      </c>
      <c r="AA132" s="49" t="str">
        <f aca="false">IF(AND($D132=供应商对账单!$B$3,$B132&gt;=供应商对账单!$E$3,$B132&lt;=供应商对账单!$H$3),COUNTIFS($D$5:$D132,供应商对账单!$B$3,$B$5:$B132,"&gt;="&amp;供应商对账单!$E$3,$B$5:$B132,"&lt;="&amp;供应商对账单!$H$3),"")</f>
        <v/>
      </c>
    </row>
    <row r="133" customFormat="false" ht="15.75" hidden="false" customHeight="true" outlineLevel="0" collapsed="false">
      <c r="A133" s="42" t="str">
        <f aca="false">IF($B133="","","CG"&amp;TEXT($B133,"yyyymm")&amp;"-"&amp;TEXT(ROW()-4,"000"))</f>
        <v/>
      </c>
      <c r="B133" s="41"/>
      <c r="C133" s="42" t="str">
        <f aca="false">IF($B133="","",TEXT($B133,"yyyy-mm"))</f>
        <v/>
      </c>
      <c r="D133" s="32"/>
      <c r="E133" s="36"/>
      <c r="F133" s="43"/>
      <c r="G133" s="40"/>
      <c r="H133" s="51"/>
      <c r="I133" s="33"/>
      <c r="J133" s="31"/>
      <c r="K133" s="33"/>
      <c r="L133" s="33"/>
      <c r="M133" s="36"/>
      <c r="N133" s="47" t="str">
        <f aca="false">IF($B133="","",IF(NOT(ISNUMBER($B133)),"日期不是日期格式",IF(YEAR($B133)&lt;&gt;首页!$B$3,"不在会计年度",IF($D133="","未选供应商",IF(ISNA(MATCH($D133,基础资料!$AF$6:$AF$155,0)),"供应商不在档案",IF($E133="","未填商品或内容",IF(NOT(ISNUMBER($F133)),"数量须为数字",IF(NOT(ISNUMBER($G133)),"单价须为数字",IF(N($F133)&lt;=0,"数量须大于0",IF($I133="","请选是否入库",IF(AND($I133="是",ISNA(MATCH($E133,基础资料!$Q$6:$Q$205,0))),"入库商品必须在商品档案中",IF(AND($I133="否",$J133&lt;&gt;"",ISNA(MATCH($J133,科目参数!$A$6:$A$125,0))),"费用科目不存在","√"))))))))))))</f>
        <v/>
      </c>
      <c r="O133" s="49" t="str">
        <f aca="false">IF($E133="","",IFERROR(INDEX(基础资料!$R$6:$R$205,MATCH($E133,基础资料!$Q$6:$Q$205,0)),""))</f>
        <v/>
      </c>
      <c r="P133" s="49" t="str">
        <f aca="false">IF($E133="","",IFERROR(INDEX(基础资料!$S$6:$S$205,MATCH($E133,基础资料!$Q$6:$Q$205,0)),""))</f>
        <v/>
      </c>
      <c r="Q133" s="48" t="str">
        <f aca="false">IF(OR($F133="",$G133=""),"",ROUND(N($F133)*N($G133),2))</f>
        <v/>
      </c>
      <c r="R133" s="48" t="str">
        <f aca="false">IF($Q133="","",ROUND(N($Q133)*N($H133),2))</f>
        <v/>
      </c>
      <c r="S133" s="48" t="str">
        <f aca="false">IF($Q133="","",N($Q133)+N($R133))</f>
        <v/>
      </c>
      <c r="T133" s="52" t="str">
        <f aca="false">IF(OR($B133="",$D133=""),"",$B133+N(IFERROR(INDEX(基础资料!$AH$6:$AH$155,MATCH($D133,基础资料!$AF$6:$AF$155,0)),0)))</f>
        <v/>
      </c>
      <c r="U133" s="49" t="str">
        <f aca="false">IF($Q133="","",IF($I133="是","1405",IF($J133="","6602",$J133)))</f>
        <v/>
      </c>
      <c r="V133" s="49" t="str">
        <f aca="false">IF($Q133="","","2202")</f>
        <v/>
      </c>
      <c r="W133" s="48" t="str">
        <f aca="false">IF($Q133="","",$Q133)</f>
        <v/>
      </c>
      <c r="X133" s="49" t="str">
        <f aca="false">IF(N($R133)=0,"","2221")</f>
        <v/>
      </c>
      <c r="Y133" s="49" t="str">
        <f aca="false">IF(N($R133)=0,"","2202")</f>
        <v/>
      </c>
      <c r="Z133" s="48" t="str">
        <f aca="false">IF(N($R133)=0,"",$R133)</f>
        <v/>
      </c>
      <c r="AA133" s="49" t="str">
        <f aca="false">IF(AND($D133=供应商对账单!$B$3,$B133&gt;=供应商对账单!$E$3,$B133&lt;=供应商对账单!$H$3),COUNTIFS($D$5:$D133,供应商对账单!$B$3,$B$5:$B133,"&gt;="&amp;供应商对账单!$E$3,$B$5:$B133,"&lt;="&amp;供应商对账单!$H$3),"")</f>
        <v/>
      </c>
    </row>
    <row r="134" customFormat="false" ht="15.75" hidden="false" customHeight="true" outlineLevel="0" collapsed="false">
      <c r="A134" s="42" t="str">
        <f aca="false">IF($B134="","","CG"&amp;TEXT($B134,"yyyymm")&amp;"-"&amp;TEXT(ROW()-4,"000"))</f>
        <v/>
      </c>
      <c r="B134" s="41"/>
      <c r="C134" s="42" t="str">
        <f aca="false">IF($B134="","",TEXT($B134,"yyyy-mm"))</f>
        <v/>
      </c>
      <c r="D134" s="32"/>
      <c r="E134" s="36"/>
      <c r="F134" s="43"/>
      <c r="G134" s="40"/>
      <c r="H134" s="51"/>
      <c r="I134" s="33"/>
      <c r="J134" s="31"/>
      <c r="K134" s="33"/>
      <c r="L134" s="33"/>
      <c r="M134" s="36"/>
      <c r="N134" s="47" t="str">
        <f aca="false">IF($B134="","",IF(NOT(ISNUMBER($B134)),"日期不是日期格式",IF(YEAR($B134)&lt;&gt;首页!$B$3,"不在会计年度",IF($D134="","未选供应商",IF(ISNA(MATCH($D134,基础资料!$AF$6:$AF$155,0)),"供应商不在档案",IF($E134="","未填商品或内容",IF(NOT(ISNUMBER($F134)),"数量须为数字",IF(NOT(ISNUMBER($G134)),"单价须为数字",IF(N($F134)&lt;=0,"数量须大于0",IF($I134="","请选是否入库",IF(AND($I134="是",ISNA(MATCH($E134,基础资料!$Q$6:$Q$205,0))),"入库商品必须在商品档案中",IF(AND($I134="否",$J134&lt;&gt;"",ISNA(MATCH($J134,科目参数!$A$6:$A$125,0))),"费用科目不存在","√"))))))))))))</f>
        <v/>
      </c>
      <c r="O134" s="49" t="str">
        <f aca="false">IF($E134="","",IFERROR(INDEX(基础资料!$R$6:$R$205,MATCH($E134,基础资料!$Q$6:$Q$205,0)),""))</f>
        <v/>
      </c>
      <c r="P134" s="49" t="str">
        <f aca="false">IF($E134="","",IFERROR(INDEX(基础资料!$S$6:$S$205,MATCH($E134,基础资料!$Q$6:$Q$205,0)),""))</f>
        <v/>
      </c>
      <c r="Q134" s="48" t="str">
        <f aca="false">IF(OR($F134="",$G134=""),"",ROUND(N($F134)*N($G134),2))</f>
        <v/>
      </c>
      <c r="R134" s="48" t="str">
        <f aca="false">IF($Q134="","",ROUND(N($Q134)*N($H134),2))</f>
        <v/>
      </c>
      <c r="S134" s="48" t="str">
        <f aca="false">IF($Q134="","",N($Q134)+N($R134))</f>
        <v/>
      </c>
      <c r="T134" s="52" t="str">
        <f aca="false">IF(OR($B134="",$D134=""),"",$B134+N(IFERROR(INDEX(基础资料!$AH$6:$AH$155,MATCH($D134,基础资料!$AF$6:$AF$155,0)),0)))</f>
        <v/>
      </c>
      <c r="U134" s="49" t="str">
        <f aca="false">IF($Q134="","",IF($I134="是","1405",IF($J134="","6602",$J134)))</f>
        <v/>
      </c>
      <c r="V134" s="49" t="str">
        <f aca="false">IF($Q134="","","2202")</f>
        <v/>
      </c>
      <c r="W134" s="48" t="str">
        <f aca="false">IF($Q134="","",$Q134)</f>
        <v/>
      </c>
      <c r="X134" s="49" t="str">
        <f aca="false">IF(N($R134)=0,"","2221")</f>
        <v/>
      </c>
      <c r="Y134" s="49" t="str">
        <f aca="false">IF(N($R134)=0,"","2202")</f>
        <v/>
      </c>
      <c r="Z134" s="48" t="str">
        <f aca="false">IF(N($R134)=0,"",$R134)</f>
        <v/>
      </c>
      <c r="AA134" s="49" t="str">
        <f aca="false">IF(AND($D134=供应商对账单!$B$3,$B134&gt;=供应商对账单!$E$3,$B134&lt;=供应商对账单!$H$3),COUNTIFS($D$5:$D134,供应商对账单!$B$3,$B$5:$B134,"&gt;="&amp;供应商对账单!$E$3,$B$5:$B134,"&lt;="&amp;供应商对账单!$H$3),"")</f>
        <v/>
      </c>
    </row>
    <row r="135" customFormat="false" ht="15.75" hidden="false" customHeight="true" outlineLevel="0" collapsed="false">
      <c r="A135" s="42" t="str">
        <f aca="false">IF($B135="","","CG"&amp;TEXT($B135,"yyyymm")&amp;"-"&amp;TEXT(ROW()-4,"000"))</f>
        <v/>
      </c>
      <c r="B135" s="41"/>
      <c r="C135" s="42" t="str">
        <f aca="false">IF($B135="","",TEXT($B135,"yyyy-mm"))</f>
        <v/>
      </c>
      <c r="D135" s="32"/>
      <c r="E135" s="36"/>
      <c r="F135" s="43"/>
      <c r="G135" s="40"/>
      <c r="H135" s="51"/>
      <c r="I135" s="33"/>
      <c r="J135" s="31"/>
      <c r="K135" s="33"/>
      <c r="L135" s="33"/>
      <c r="M135" s="36"/>
      <c r="N135" s="47" t="str">
        <f aca="false">IF($B135="","",IF(NOT(ISNUMBER($B135)),"日期不是日期格式",IF(YEAR($B135)&lt;&gt;首页!$B$3,"不在会计年度",IF($D135="","未选供应商",IF(ISNA(MATCH($D135,基础资料!$AF$6:$AF$155,0)),"供应商不在档案",IF($E135="","未填商品或内容",IF(NOT(ISNUMBER($F135)),"数量须为数字",IF(NOT(ISNUMBER($G135)),"单价须为数字",IF(N($F135)&lt;=0,"数量须大于0",IF($I135="","请选是否入库",IF(AND($I135="是",ISNA(MATCH($E135,基础资料!$Q$6:$Q$205,0))),"入库商品必须在商品档案中",IF(AND($I135="否",$J135&lt;&gt;"",ISNA(MATCH($J135,科目参数!$A$6:$A$125,0))),"费用科目不存在","√"))))))))))))</f>
        <v/>
      </c>
      <c r="O135" s="49" t="str">
        <f aca="false">IF($E135="","",IFERROR(INDEX(基础资料!$R$6:$R$205,MATCH($E135,基础资料!$Q$6:$Q$205,0)),""))</f>
        <v/>
      </c>
      <c r="P135" s="49" t="str">
        <f aca="false">IF($E135="","",IFERROR(INDEX(基础资料!$S$6:$S$205,MATCH($E135,基础资料!$Q$6:$Q$205,0)),""))</f>
        <v/>
      </c>
      <c r="Q135" s="48" t="str">
        <f aca="false">IF(OR($F135="",$G135=""),"",ROUND(N($F135)*N($G135),2))</f>
        <v/>
      </c>
      <c r="R135" s="48" t="str">
        <f aca="false">IF($Q135="","",ROUND(N($Q135)*N($H135),2))</f>
        <v/>
      </c>
      <c r="S135" s="48" t="str">
        <f aca="false">IF($Q135="","",N($Q135)+N($R135))</f>
        <v/>
      </c>
      <c r="T135" s="52" t="str">
        <f aca="false">IF(OR($B135="",$D135=""),"",$B135+N(IFERROR(INDEX(基础资料!$AH$6:$AH$155,MATCH($D135,基础资料!$AF$6:$AF$155,0)),0)))</f>
        <v/>
      </c>
      <c r="U135" s="49" t="str">
        <f aca="false">IF($Q135="","",IF($I135="是","1405",IF($J135="","6602",$J135)))</f>
        <v/>
      </c>
      <c r="V135" s="49" t="str">
        <f aca="false">IF($Q135="","","2202")</f>
        <v/>
      </c>
      <c r="W135" s="48" t="str">
        <f aca="false">IF($Q135="","",$Q135)</f>
        <v/>
      </c>
      <c r="X135" s="49" t="str">
        <f aca="false">IF(N($R135)=0,"","2221")</f>
        <v/>
      </c>
      <c r="Y135" s="49" t="str">
        <f aca="false">IF(N($R135)=0,"","2202")</f>
        <v/>
      </c>
      <c r="Z135" s="48" t="str">
        <f aca="false">IF(N($R135)=0,"",$R135)</f>
        <v/>
      </c>
      <c r="AA135" s="49" t="str">
        <f aca="false">IF(AND($D135=供应商对账单!$B$3,$B135&gt;=供应商对账单!$E$3,$B135&lt;=供应商对账单!$H$3),COUNTIFS($D$5:$D135,供应商对账单!$B$3,$B$5:$B135,"&gt;="&amp;供应商对账单!$E$3,$B$5:$B135,"&lt;="&amp;供应商对账单!$H$3),"")</f>
        <v/>
      </c>
    </row>
    <row r="136" customFormat="false" ht="15.75" hidden="false" customHeight="true" outlineLevel="0" collapsed="false">
      <c r="A136" s="42" t="str">
        <f aca="false">IF($B136="","","CG"&amp;TEXT($B136,"yyyymm")&amp;"-"&amp;TEXT(ROW()-4,"000"))</f>
        <v/>
      </c>
      <c r="B136" s="41"/>
      <c r="C136" s="42" t="str">
        <f aca="false">IF($B136="","",TEXT($B136,"yyyy-mm"))</f>
        <v/>
      </c>
      <c r="D136" s="32"/>
      <c r="E136" s="36"/>
      <c r="F136" s="43"/>
      <c r="G136" s="40"/>
      <c r="H136" s="51"/>
      <c r="I136" s="33"/>
      <c r="J136" s="31"/>
      <c r="K136" s="33"/>
      <c r="L136" s="33"/>
      <c r="M136" s="36"/>
      <c r="N136" s="47" t="str">
        <f aca="false">IF($B136="","",IF(NOT(ISNUMBER($B136)),"日期不是日期格式",IF(YEAR($B136)&lt;&gt;首页!$B$3,"不在会计年度",IF($D136="","未选供应商",IF(ISNA(MATCH($D136,基础资料!$AF$6:$AF$155,0)),"供应商不在档案",IF($E136="","未填商品或内容",IF(NOT(ISNUMBER($F136)),"数量须为数字",IF(NOT(ISNUMBER($G136)),"单价须为数字",IF(N($F136)&lt;=0,"数量须大于0",IF($I136="","请选是否入库",IF(AND($I136="是",ISNA(MATCH($E136,基础资料!$Q$6:$Q$205,0))),"入库商品必须在商品档案中",IF(AND($I136="否",$J136&lt;&gt;"",ISNA(MATCH($J136,科目参数!$A$6:$A$125,0))),"费用科目不存在","√"))))))))))))</f>
        <v/>
      </c>
      <c r="O136" s="49" t="str">
        <f aca="false">IF($E136="","",IFERROR(INDEX(基础资料!$R$6:$R$205,MATCH($E136,基础资料!$Q$6:$Q$205,0)),""))</f>
        <v/>
      </c>
      <c r="P136" s="49" t="str">
        <f aca="false">IF($E136="","",IFERROR(INDEX(基础资料!$S$6:$S$205,MATCH($E136,基础资料!$Q$6:$Q$205,0)),""))</f>
        <v/>
      </c>
      <c r="Q136" s="48" t="str">
        <f aca="false">IF(OR($F136="",$G136=""),"",ROUND(N($F136)*N($G136),2))</f>
        <v/>
      </c>
      <c r="R136" s="48" t="str">
        <f aca="false">IF($Q136="","",ROUND(N($Q136)*N($H136),2))</f>
        <v/>
      </c>
      <c r="S136" s="48" t="str">
        <f aca="false">IF($Q136="","",N($Q136)+N($R136))</f>
        <v/>
      </c>
      <c r="T136" s="52" t="str">
        <f aca="false">IF(OR($B136="",$D136=""),"",$B136+N(IFERROR(INDEX(基础资料!$AH$6:$AH$155,MATCH($D136,基础资料!$AF$6:$AF$155,0)),0)))</f>
        <v/>
      </c>
      <c r="U136" s="49" t="str">
        <f aca="false">IF($Q136="","",IF($I136="是","1405",IF($J136="","6602",$J136)))</f>
        <v/>
      </c>
      <c r="V136" s="49" t="str">
        <f aca="false">IF($Q136="","","2202")</f>
        <v/>
      </c>
      <c r="W136" s="48" t="str">
        <f aca="false">IF($Q136="","",$Q136)</f>
        <v/>
      </c>
      <c r="X136" s="49" t="str">
        <f aca="false">IF(N($R136)=0,"","2221")</f>
        <v/>
      </c>
      <c r="Y136" s="49" t="str">
        <f aca="false">IF(N($R136)=0,"","2202")</f>
        <v/>
      </c>
      <c r="Z136" s="48" t="str">
        <f aca="false">IF(N($R136)=0,"",$R136)</f>
        <v/>
      </c>
      <c r="AA136" s="49" t="str">
        <f aca="false">IF(AND($D136=供应商对账单!$B$3,$B136&gt;=供应商对账单!$E$3,$B136&lt;=供应商对账单!$H$3),COUNTIFS($D$5:$D136,供应商对账单!$B$3,$B$5:$B136,"&gt;="&amp;供应商对账单!$E$3,$B$5:$B136,"&lt;="&amp;供应商对账单!$H$3),"")</f>
        <v/>
      </c>
    </row>
    <row r="137" customFormat="false" ht="15.75" hidden="false" customHeight="true" outlineLevel="0" collapsed="false">
      <c r="A137" s="42" t="str">
        <f aca="false">IF($B137="","","CG"&amp;TEXT($B137,"yyyymm")&amp;"-"&amp;TEXT(ROW()-4,"000"))</f>
        <v/>
      </c>
      <c r="B137" s="41"/>
      <c r="C137" s="42" t="str">
        <f aca="false">IF($B137="","",TEXT($B137,"yyyy-mm"))</f>
        <v/>
      </c>
      <c r="D137" s="32"/>
      <c r="E137" s="36"/>
      <c r="F137" s="43"/>
      <c r="G137" s="40"/>
      <c r="H137" s="51"/>
      <c r="I137" s="33"/>
      <c r="J137" s="31"/>
      <c r="K137" s="33"/>
      <c r="L137" s="33"/>
      <c r="M137" s="36"/>
      <c r="N137" s="47" t="str">
        <f aca="false">IF($B137="","",IF(NOT(ISNUMBER($B137)),"日期不是日期格式",IF(YEAR($B137)&lt;&gt;首页!$B$3,"不在会计年度",IF($D137="","未选供应商",IF(ISNA(MATCH($D137,基础资料!$AF$6:$AF$155,0)),"供应商不在档案",IF($E137="","未填商品或内容",IF(NOT(ISNUMBER($F137)),"数量须为数字",IF(NOT(ISNUMBER($G137)),"单价须为数字",IF(N($F137)&lt;=0,"数量须大于0",IF($I137="","请选是否入库",IF(AND($I137="是",ISNA(MATCH($E137,基础资料!$Q$6:$Q$205,0))),"入库商品必须在商品档案中",IF(AND($I137="否",$J137&lt;&gt;"",ISNA(MATCH($J137,科目参数!$A$6:$A$125,0))),"费用科目不存在","√"))))))))))))</f>
        <v/>
      </c>
      <c r="O137" s="49" t="str">
        <f aca="false">IF($E137="","",IFERROR(INDEX(基础资料!$R$6:$R$205,MATCH($E137,基础资料!$Q$6:$Q$205,0)),""))</f>
        <v/>
      </c>
      <c r="P137" s="49" t="str">
        <f aca="false">IF($E137="","",IFERROR(INDEX(基础资料!$S$6:$S$205,MATCH($E137,基础资料!$Q$6:$Q$205,0)),""))</f>
        <v/>
      </c>
      <c r="Q137" s="48" t="str">
        <f aca="false">IF(OR($F137="",$G137=""),"",ROUND(N($F137)*N($G137),2))</f>
        <v/>
      </c>
      <c r="R137" s="48" t="str">
        <f aca="false">IF($Q137="","",ROUND(N($Q137)*N($H137),2))</f>
        <v/>
      </c>
      <c r="S137" s="48" t="str">
        <f aca="false">IF($Q137="","",N($Q137)+N($R137))</f>
        <v/>
      </c>
      <c r="T137" s="52" t="str">
        <f aca="false">IF(OR($B137="",$D137=""),"",$B137+N(IFERROR(INDEX(基础资料!$AH$6:$AH$155,MATCH($D137,基础资料!$AF$6:$AF$155,0)),0)))</f>
        <v/>
      </c>
      <c r="U137" s="49" t="str">
        <f aca="false">IF($Q137="","",IF($I137="是","1405",IF($J137="","6602",$J137)))</f>
        <v/>
      </c>
      <c r="V137" s="49" t="str">
        <f aca="false">IF($Q137="","","2202")</f>
        <v/>
      </c>
      <c r="W137" s="48" t="str">
        <f aca="false">IF($Q137="","",$Q137)</f>
        <v/>
      </c>
      <c r="X137" s="49" t="str">
        <f aca="false">IF(N($R137)=0,"","2221")</f>
        <v/>
      </c>
      <c r="Y137" s="49" t="str">
        <f aca="false">IF(N($R137)=0,"","2202")</f>
        <v/>
      </c>
      <c r="Z137" s="48" t="str">
        <f aca="false">IF(N($R137)=0,"",$R137)</f>
        <v/>
      </c>
      <c r="AA137" s="49" t="str">
        <f aca="false">IF(AND($D137=供应商对账单!$B$3,$B137&gt;=供应商对账单!$E$3,$B137&lt;=供应商对账单!$H$3),COUNTIFS($D$5:$D137,供应商对账单!$B$3,$B$5:$B137,"&gt;="&amp;供应商对账单!$E$3,$B$5:$B137,"&lt;="&amp;供应商对账单!$H$3),"")</f>
        <v/>
      </c>
    </row>
    <row r="138" customFormat="false" ht="15.75" hidden="false" customHeight="true" outlineLevel="0" collapsed="false">
      <c r="A138" s="42" t="str">
        <f aca="false">IF($B138="","","CG"&amp;TEXT($B138,"yyyymm")&amp;"-"&amp;TEXT(ROW()-4,"000"))</f>
        <v/>
      </c>
      <c r="B138" s="41"/>
      <c r="C138" s="42" t="str">
        <f aca="false">IF($B138="","",TEXT($B138,"yyyy-mm"))</f>
        <v/>
      </c>
      <c r="D138" s="32"/>
      <c r="E138" s="36"/>
      <c r="F138" s="43"/>
      <c r="G138" s="40"/>
      <c r="H138" s="51"/>
      <c r="I138" s="33"/>
      <c r="J138" s="31"/>
      <c r="K138" s="33"/>
      <c r="L138" s="33"/>
      <c r="M138" s="36"/>
      <c r="N138" s="47" t="str">
        <f aca="false">IF($B138="","",IF(NOT(ISNUMBER($B138)),"日期不是日期格式",IF(YEAR($B138)&lt;&gt;首页!$B$3,"不在会计年度",IF($D138="","未选供应商",IF(ISNA(MATCH($D138,基础资料!$AF$6:$AF$155,0)),"供应商不在档案",IF($E138="","未填商品或内容",IF(NOT(ISNUMBER($F138)),"数量须为数字",IF(NOT(ISNUMBER($G138)),"单价须为数字",IF(N($F138)&lt;=0,"数量须大于0",IF($I138="","请选是否入库",IF(AND($I138="是",ISNA(MATCH($E138,基础资料!$Q$6:$Q$205,0))),"入库商品必须在商品档案中",IF(AND($I138="否",$J138&lt;&gt;"",ISNA(MATCH($J138,科目参数!$A$6:$A$125,0))),"费用科目不存在","√"))))))))))))</f>
        <v/>
      </c>
      <c r="O138" s="49" t="str">
        <f aca="false">IF($E138="","",IFERROR(INDEX(基础资料!$R$6:$R$205,MATCH($E138,基础资料!$Q$6:$Q$205,0)),""))</f>
        <v/>
      </c>
      <c r="P138" s="49" t="str">
        <f aca="false">IF($E138="","",IFERROR(INDEX(基础资料!$S$6:$S$205,MATCH($E138,基础资料!$Q$6:$Q$205,0)),""))</f>
        <v/>
      </c>
      <c r="Q138" s="48" t="str">
        <f aca="false">IF(OR($F138="",$G138=""),"",ROUND(N($F138)*N($G138),2))</f>
        <v/>
      </c>
      <c r="R138" s="48" t="str">
        <f aca="false">IF($Q138="","",ROUND(N($Q138)*N($H138),2))</f>
        <v/>
      </c>
      <c r="S138" s="48" t="str">
        <f aca="false">IF($Q138="","",N($Q138)+N($R138))</f>
        <v/>
      </c>
      <c r="T138" s="52" t="str">
        <f aca="false">IF(OR($B138="",$D138=""),"",$B138+N(IFERROR(INDEX(基础资料!$AH$6:$AH$155,MATCH($D138,基础资料!$AF$6:$AF$155,0)),0)))</f>
        <v/>
      </c>
      <c r="U138" s="49" t="str">
        <f aca="false">IF($Q138="","",IF($I138="是","1405",IF($J138="","6602",$J138)))</f>
        <v/>
      </c>
      <c r="V138" s="49" t="str">
        <f aca="false">IF($Q138="","","2202")</f>
        <v/>
      </c>
      <c r="W138" s="48" t="str">
        <f aca="false">IF($Q138="","",$Q138)</f>
        <v/>
      </c>
      <c r="X138" s="49" t="str">
        <f aca="false">IF(N($R138)=0,"","2221")</f>
        <v/>
      </c>
      <c r="Y138" s="49" t="str">
        <f aca="false">IF(N($R138)=0,"","2202")</f>
        <v/>
      </c>
      <c r="Z138" s="48" t="str">
        <f aca="false">IF(N($R138)=0,"",$R138)</f>
        <v/>
      </c>
      <c r="AA138" s="49" t="str">
        <f aca="false">IF(AND($D138=供应商对账单!$B$3,$B138&gt;=供应商对账单!$E$3,$B138&lt;=供应商对账单!$H$3),COUNTIFS($D$5:$D138,供应商对账单!$B$3,$B$5:$B138,"&gt;="&amp;供应商对账单!$E$3,$B$5:$B138,"&lt;="&amp;供应商对账单!$H$3),"")</f>
        <v/>
      </c>
    </row>
    <row r="139" customFormat="false" ht="15.75" hidden="false" customHeight="true" outlineLevel="0" collapsed="false">
      <c r="A139" s="42" t="str">
        <f aca="false">IF($B139="","","CG"&amp;TEXT($B139,"yyyymm")&amp;"-"&amp;TEXT(ROW()-4,"000"))</f>
        <v/>
      </c>
      <c r="B139" s="41"/>
      <c r="C139" s="42" t="str">
        <f aca="false">IF($B139="","",TEXT($B139,"yyyy-mm"))</f>
        <v/>
      </c>
      <c r="D139" s="32"/>
      <c r="E139" s="36"/>
      <c r="F139" s="43"/>
      <c r="G139" s="40"/>
      <c r="H139" s="51"/>
      <c r="I139" s="33"/>
      <c r="J139" s="31"/>
      <c r="K139" s="33"/>
      <c r="L139" s="33"/>
      <c r="M139" s="36"/>
      <c r="N139" s="47" t="str">
        <f aca="false">IF($B139="","",IF(NOT(ISNUMBER($B139)),"日期不是日期格式",IF(YEAR($B139)&lt;&gt;首页!$B$3,"不在会计年度",IF($D139="","未选供应商",IF(ISNA(MATCH($D139,基础资料!$AF$6:$AF$155,0)),"供应商不在档案",IF($E139="","未填商品或内容",IF(NOT(ISNUMBER($F139)),"数量须为数字",IF(NOT(ISNUMBER($G139)),"单价须为数字",IF(N($F139)&lt;=0,"数量须大于0",IF($I139="","请选是否入库",IF(AND($I139="是",ISNA(MATCH($E139,基础资料!$Q$6:$Q$205,0))),"入库商品必须在商品档案中",IF(AND($I139="否",$J139&lt;&gt;"",ISNA(MATCH($J139,科目参数!$A$6:$A$125,0))),"费用科目不存在","√"))))))))))))</f>
        <v/>
      </c>
      <c r="O139" s="49" t="str">
        <f aca="false">IF($E139="","",IFERROR(INDEX(基础资料!$R$6:$R$205,MATCH($E139,基础资料!$Q$6:$Q$205,0)),""))</f>
        <v/>
      </c>
      <c r="P139" s="49" t="str">
        <f aca="false">IF($E139="","",IFERROR(INDEX(基础资料!$S$6:$S$205,MATCH($E139,基础资料!$Q$6:$Q$205,0)),""))</f>
        <v/>
      </c>
      <c r="Q139" s="48" t="str">
        <f aca="false">IF(OR($F139="",$G139=""),"",ROUND(N($F139)*N($G139),2))</f>
        <v/>
      </c>
      <c r="R139" s="48" t="str">
        <f aca="false">IF($Q139="","",ROUND(N($Q139)*N($H139),2))</f>
        <v/>
      </c>
      <c r="S139" s="48" t="str">
        <f aca="false">IF($Q139="","",N($Q139)+N($R139))</f>
        <v/>
      </c>
      <c r="T139" s="52" t="str">
        <f aca="false">IF(OR($B139="",$D139=""),"",$B139+N(IFERROR(INDEX(基础资料!$AH$6:$AH$155,MATCH($D139,基础资料!$AF$6:$AF$155,0)),0)))</f>
        <v/>
      </c>
      <c r="U139" s="49" t="str">
        <f aca="false">IF($Q139="","",IF($I139="是","1405",IF($J139="","6602",$J139)))</f>
        <v/>
      </c>
      <c r="V139" s="49" t="str">
        <f aca="false">IF($Q139="","","2202")</f>
        <v/>
      </c>
      <c r="W139" s="48" t="str">
        <f aca="false">IF($Q139="","",$Q139)</f>
        <v/>
      </c>
      <c r="X139" s="49" t="str">
        <f aca="false">IF(N($R139)=0,"","2221")</f>
        <v/>
      </c>
      <c r="Y139" s="49" t="str">
        <f aca="false">IF(N($R139)=0,"","2202")</f>
        <v/>
      </c>
      <c r="Z139" s="48" t="str">
        <f aca="false">IF(N($R139)=0,"",$R139)</f>
        <v/>
      </c>
      <c r="AA139" s="49" t="str">
        <f aca="false">IF(AND($D139=供应商对账单!$B$3,$B139&gt;=供应商对账单!$E$3,$B139&lt;=供应商对账单!$H$3),COUNTIFS($D$5:$D139,供应商对账单!$B$3,$B$5:$B139,"&gt;="&amp;供应商对账单!$E$3,$B$5:$B139,"&lt;="&amp;供应商对账单!$H$3),"")</f>
        <v/>
      </c>
    </row>
    <row r="140" customFormat="false" ht="15.75" hidden="false" customHeight="true" outlineLevel="0" collapsed="false">
      <c r="A140" s="42" t="str">
        <f aca="false">IF($B140="","","CG"&amp;TEXT($B140,"yyyymm")&amp;"-"&amp;TEXT(ROW()-4,"000"))</f>
        <v/>
      </c>
      <c r="B140" s="41"/>
      <c r="C140" s="42" t="str">
        <f aca="false">IF($B140="","",TEXT($B140,"yyyy-mm"))</f>
        <v/>
      </c>
      <c r="D140" s="32"/>
      <c r="E140" s="36"/>
      <c r="F140" s="43"/>
      <c r="G140" s="40"/>
      <c r="H140" s="51"/>
      <c r="I140" s="33"/>
      <c r="J140" s="31"/>
      <c r="K140" s="33"/>
      <c r="L140" s="33"/>
      <c r="M140" s="36"/>
      <c r="N140" s="47" t="str">
        <f aca="false">IF($B140="","",IF(NOT(ISNUMBER($B140)),"日期不是日期格式",IF(YEAR($B140)&lt;&gt;首页!$B$3,"不在会计年度",IF($D140="","未选供应商",IF(ISNA(MATCH($D140,基础资料!$AF$6:$AF$155,0)),"供应商不在档案",IF($E140="","未填商品或内容",IF(NOT(ISNUMBER($F140)),"数量须为数字",IF(NOT(ISNUMBER($G140)),"单价须为数字",IF(N($F140)&lt;=0,"数量须大于0",IF($I140="","请选是否入库",IF(AND($I140="是",ISNA(MATCH($E140,基础资料!$Q$6:$Q$205,0))),"入库商品必须在商品档案中",IF(AND($I140="否",$J140&lt;&gt;"",ISNA(MATCH($J140,科目参数!$A$6:$A$125,0))),"费用科目不存在","√"))))))))))))</f>
        <v/>
      </c>
      <c r="O140" s="49" t="str">
        <f aca="false">IF($E140="","",IFERROR(INDEX(基础资料!$R$6:$R$205,MATCH($E140,基础资料!$Q$6:$Q$205,0)),""))</f>
        <v/>
      </c>
      <c r="P140" s="49" t="str">
        <f aca="false">IF($E140="","",IFERROR(INDEX(基础资料!$S$6:$S$205,MATCH($E140,基础资料!$Q$6:$Q$205,0)),""))</f>
        <v/>
      </c>
      <c r="Q140" s="48" t="str">
        <f aca="false">IF(OR($F140="",$G140=""),"",ROUND(N($F140)*N($G140),2))</f>
        <v/>
      </c>
      <c r="R140" s="48" t="str">
        <f aca="false">IF($Q140="","",ROUND(N($Q140)*N($H140),2))</f>
        <v/>
      </c>
      <c r="S140" s="48" t="str">
        <f aca="false">IF($Q140="","",N($Q140)+N($R140))</f>
        <v/>
      </c>
      <c r="T140" s="52" t="str">
        <f aca="false">IF(OR($B140="",$D140=""),"",$B140+N(IFERROR(INDEX(基础资料!$AH$6:$AH$155,MATCH($D140,基础资料!$AF$6:$AF$155,0)),0)))</f>
        <v/>
      </c>
      <c r="U140" s="49" t="str">
        <f aca="false">IF($Q140="","",IF($I140="是","1405",IF($J140="","6602",$J140)))</f>
        <v/>
      </c>
      <c r="V140" s="49" t="str">
        <f aca="false">IF($Q140="","","2202")</f>
        <v/>
      </c>
      <c r="W140" s="48" t="str">
        <f aca="false">IF($Q140="","",$Q140)</f>
        <v/>
      </c>
      <c r="X140" s="49" t="str">
        <f aca="false">IF(N($R140)=0,"","2221")</f>
        <v/>
      </c>
      <c r="Y140" s="49" t="str">
        <f aca="false">IF(N($R140)=0,"","2202")</f>
        <v/>
      </c>
      <c r="Z140" s="48" t="str">
        <f aca="false">IF(N($R140)=0,"",$R140)</f>
        <v/>
      </c>
      <c r="AA140" s="49" t="str">
        <f aca="false">IF(AND($D140=供应商对账单!$B$3,$B140&gt;=供应商对账单!$E$3,$B140&lt;=供应商对账单!$H$3),COUNTIFS($D$5:$D140,供应商对账单!$B$3,$B$5:$B140,"&gt;="&amp;供应商对账单!$E$3,$B$5:$B140,"&lt;="&amp;供应商对账单!$H$3),"")</f>
        <v/>
      </c>
    </row>
    <row r="141" customFormat="false" ht="15.75" hidden="false" customHeight="true" outlineLevel="0" collapsed="false">
      <c r="A141" s="42" t="str">
        <f aca="false">IF($B141="","","CG"&amp;TEXT($B141,"yyyymm")&amp;"-"&amp;TEXT(ROW()-4,"000"))</f>
        <v/>
      </c>
      <c r="B141" s="41"/>
      <c r="C141" s="42" t="str">
        <f aca="false">IF($B141="","",TEXT($B141,"yyyy-mm"))</f>
        <v/>
      </c>
      <c r="D141" s="32"/>
      <c r="E141" s="36"/>
      <c r="F141" s="43"/>
      <c r="G141" s="40"/>
      <c r="H141" s="51"/>
      <c r="I141" s="33"/>
      <c r="J141" s="31"/>
      <c r="K141" s="33"/>
      <c r="L141" s="33"/>
      <c r="M141" s="36"/>
      <c r="N141" s="47" t="str">
        <f aca="false">IF($B141="","",IF(NOT(ISNUMBER($B141)),"日期不是日期格式",IF(YEAR($B141)&lt;&gt;首页!$B$3,"不在会计年度",IF($D141="","未选供应商",IF(ISNA(MATCH($D141,基础资料!$AF$6:$AF$155,0)),"供应商不在档案",IF($E141="","未填商品或内容",IF(NOT(ISNUMBER($F141)),"数量须为数字",IF(NOT(ISNUMBER($G141)),"单价须为数字",IF(N($F141)&lt;=0,"数量须大于0",IF($I141="","请选是否入库",IF(AND($I141="是",ISNA(MATCH($E141,基础资料!$Q$6:$Q$205,0))),"入库商品必须在商品档案中",IF(AND($I141="否",$J141&lt;&gt;"",ISNA(MATCH($J141,科目参数!$A$6:$A$125,0))),"费用科目不存在","√"))))))))))))</f>
        <v/>
      </c>
      <c r="O141" s="49" t="str">
        <f aca="false">IF($E141="","",IFERROR(INDEX(基础资料!$R$6:$R$205,MATCH($E141,基础资料!$Q$6:$Q$205,0)),""))</f>
        <v/>
      </c>
      <c r="P141" s="49" t="str">
        <f aca="false">IF($E141="","",IFERROR(INDEX(基础资料!$S$6:$S$205,MATCH($E141,基础资料!$Q$6:$Q$205,0)),""))</f>
        <v/>
      </c>
      <c r="Q141" s="48" t="str">
        <f aca="false">IF(OR($F141="",$G141=""),"",ROUND(N($F141)*N($G141),2))</f>
        <v/>
      </c>
      <c r="R141" s="48" t="str">
        <f aca="false">IF($Q141="","",ROUND(N($Q141)*N($H141),2))</f>
        <v/>
      </c>
      <c r="S141" s="48" t="str">
        <f aca="false">IF($Q141="","",N($Q141)+N($R141))</f>
        <v/>
      </c>
      <c r="T141" s="52" t="str">
        <f aca="false">IF(OR($B141="",$D141=""),"",$B141+N(IFERROR(INDEX(基础资料!$AH$6:$AH$155,MATCH($D141,基础资料!$AF$6:$AF$155,0)),0)))</f>
        <v/>
      </c>
      <c r="U141" s="49" t="str">
        <f aca="false">IF($Q141="","",IF($I141="是","1405",IF($J141="","6602",$J141)))</f>
        <v/>
      </c>
      <c r="V141" s="49" t="str">
        <f aca="false">IF($Q141="","","2202")</f>
        <v/>
      </c>
      <c r="W141" s="48" t="str">
        <f aca="false">IF($Q141="","",$Q141)</f>
        <v/>
      </c>
      <c r="X141" s="49" t="str">
        <f aca="false">IF(N($R141)=0,"","2221")</f>
        <v/>
      </c>
      <c r="Y141" s="49" t="str">
        <f aca="false">IF(N($R141)=0,"","2202")</f>
        <v/>
      </c>
      <c r="Z141" s="48" t="str">
        <f aca="false">IF(N($R141)=0,"",$R141)</f>
        <v/>
      </c>
      <c r="AA141" s="49" t="str">
        <f aca="false">IF(AND($D141=供应商对账单!$B$3,$B141&gt;=供应商对账单!$E$3,$B141&lt;=供应商对账单!$H$3),COUNTIFS($D$5:$D141,供应商对账单!$B$3,$B$5:$B141,"&gt;="&amp;供应商对账单!$E$3,$B$5:$B141,"&lt;="&amp;供应商对账单!$H$3),"")</f>
        <v/>
      </c>
    </row>
    <row r="142" customFormat="false" ht="15.75" hidden="false" customHeight="true" outlineLevel="0" collapsed="false">
      <c r="A142" s="42" t="str">
        <f aca="false">IF($B142="","","CG"&amp;TEXT($B142,"yyyymm")&amp;"-"&amp;TEXT(ROW()-4,"000"))</f>
        <v/>
      </c>
      <c r="B142" s="41"/>
      <c r="C142" s="42" t="str">
        <f aca="false">IF($B142="","",TEXT($B142,"yyyy-mm"))</f>
        <v/>
      </c>
      <c r="D142" s="32"/>
      <c r="E142" s="36"/>
      <c r="F142" s="43"/>
      <c r="G142" s="40"/>
      <c r="H142" s="51"/>
      <c r="I142" s="33"/>
      <c r="J142" s="31"/>
      <c r="K142" s="33"/>
      <c r="L142" s="33"/>
      <c r="M142" s="36"/>
      <c r="N142" s="47" t="str">
        <f aca="false">IF($B142="","",IF(NOT(ISNUMBER($B142)),"日期不是日期格式",IF(YEAR($B142)&lt;&gt;首页!$B$3,"不在会计年度",IF($D142="","未选供应商",IF(ISNA(MATCH($D142,基础资料!$AF$6:$AF$155,0)),"供应商不在档案",IF($E142="","未填商品或内容",IF(NOT(ISNUMBER($F142)),"数量须为数字",IF(NOT(ISNUMBER($G142)),"单价须为数字",IF(N($F142)&lt;=0,"数量须大于0",IF($I142="","请选是否入库",IF(AND($I142="是",ISNA(MATCH($E142,基础资料!$Q$6:$Q$205,0))),"入库商品必须在商品档案中",IF(AND($I142="否",$J142&lt;&gt;"",ISNA(MATCH($J142,科目参数!$A$6:$A$125,0))),"费用科目不存在","√"))))))))))))</f>
        <v/>
      </c>
      <c r="O142" s="49" t="str">
        <f aca="false">IF($E142="","",IFERROR(INDEX(基础资料!$R$6:$R$205,MATCH($E142,基础资料!$Q$6:$Q$205,0)),""))</f>
        <v/>
      </c>
      <c r="P142" s="49" t="str">
        <f aca="false">IF($E142="","",IFERROR(INDEX(基础资料!$S$6:$S$205,MATCH($E142,基础资料!$Q$6:$Q$205,0)),""))</f>
        <v/>
      </c>
      <c r="Q142" s="48" t="str">
        <f aca="false">IF(OR($F142="",$G142=""),"",ROUND(N($F142)*N($G142),2))</f>
        <v/>
      </c>
      <c r="R142" s="48" t="str">
        <f aca="false">IF($Q142="","",ROUND(N($Q142)*N($H142),2))</f>
        <v/>
      </c>
      <c r="S142" s="48" t="str">
        <f aca="false">IF($Q142="","",N($Q142)+N($R142))</f>
        <v/>
      </c>
      <c r="T142" s="52" t="str">
        <f aca="false">IF(OR($B142="",$D142=""),"",$B142+N(IFERROR(INDEX(基础资料!$AH$6:$AH$155,MATCH($D142,基础资料!$AF$6:$AF$155,0)),0)))</f>
        <v/>
      </c>
      <c r="U142" s="49" t="str">
        <f aca="false">IF($Q142="","",IF($I142="是","1405",IF($J142="","6602",$J142)))</f>
        <v/>
      </c>
      <c r="V142" s="49" t="str">
        <f aca="false">IF($Q142="","","2202")</f>
        <v/>
      </c>
      <c r="W142" s="48" t="str">
        <f aca="false">IF($Q142="","",$Q142)</f>
        <v/>
      </c>
      <c r="X142" s="49" t="str">
        <f aca="false">IF(N($R142)=0,"","2221")</f>
        <v/>
      </c>
      <c r="Y142" s="49" t="str">
        <f aca="false">IF(N($R142)=0,"","2202")</f>
        <v/>
      </c>
      <c r="Z142" s="48" t="str">
        <f aca="false">IF(N($R142)=0,"",$R142)</f>
        <v/>
      </c>
      <c r="AA142" s="49" t="str">
        <f aca="false">IF(AND($D142=供应商对账单!$B$3,$B142&gt;=供应商对账单!$E$3,$B142&lt;=供应商对账单!$H$3),COUNTIFS($D$5:$D142,供应商对账单!$B$3,$B$5:$B142,"&gt;="&amp;供应商对账单!$E$3,$B$5:$B142,"&lt;="&amp;供应商对账单!$H$3),"")</f>
        <v/>
      </c>
    </row>
    <row r="143" customFormat="false" ht="15.75" hidden="false" customHeight="true" outlineLevel="0" collapsed="false">
      <c r="A143" s="42" t="str">
        <f aca="false">IF($B143="","","CG"&amp;TEXT($B143,"yyyymm")&amp;"-"&amp;TEXT(ROW()-4,"000"))</f>
        <v/>
      </c>
      <c r="B143" s="41"/>
      <c r="C143" s="42" t="str">
        <f aca="false">IF($B143="","",TEXT($B143,"yyyy-mm"))</f>
        <v/>
      </c>
      <c r="D143" s="32"/>
      <c r="E143" s="36"/>
      <c r="F143" s="43"/>
      <c r="G143" s="40"/>
      <c r="H143" s="51"/>
      <c r="I143" s="33"/>
      <c r="J143" s="31"/>
      <c r="K143" s="33"/>
      <c r="L143" s="33"/>
      <c r="M143" s="36"/>
      <c r="N143" s="47" t="str">
        <f aca="false">IF($B143="","",IF(NOT(ISNUMBER($B143)),"日期不是日期格式",IF(YEAR($B143)&lt;&gt;首页!$B$3,"不在会计年度",IF($D143="","未选供应商",IF(ISNA(MATCH($D143,基础资料!$AF$6:$AF$155,0)),"供应商不在档案",IF($E143="","未填商品或内容",IF(NOT(ISNUMBER($F143)),"数量须为数字",IF(NOT(ISNUMBER($G143)),"单价须为数字",IF(N($F143)&lt;=0,"数量须大于0",IF($I143="","请选是否入库",IF(AND($I143="是",ISNA(MATCH($E143,基础资料!$Q$6:$Q$205,0))),"入库商品必须在商品档案中",IF(AND($I143="否",$J143&lt;&gt;"",ISNA(MATCH($J143,科目参数!$A$6:$A$125,0))),"费用科目不存在","√"))))))))))))</f>
        <v/>
      </c>
      <c r="O143" s="49" t="str">
        <f aca="false">IF($E143="","",IFERROR(INDEX(基础资料!$R$6:$R$205,MATCH($E143,基础资料!$Q$6:$Q$205,0)),""))</f>
        <v/>
      </c>
      <c r="P143" s="49" t="str">
        <f aca="false">IF($E143="","",IFERROR(INDEX(基础资料!$S$6:$S$205,MATCH($E143,基础资料!$Q$6:$Q$205,0)),""))</f>
        <v/>
      </c>
      <c r="Q143" s="48" t="str">
        <f aca="false">IF(OR($F143="",$G143=""),"",ROUND(N($F143)*N($G143),2))</f>
        <v/>
      </c>
      <c r="R143" s="48" t="str">
        <f aca="false">IF($Q143="","",ROUND(N($Q143)*N($H143),2))</f>
        <v/>
      </c>
      <c r="S143" s="48" t="str">
        <f aca="false">IF($Q143="","",N($Q143)+N($R143))</f>
        <v/>
      </c>
      <c r="T143" s="52" t="str">
        <f aca="false">IF(OR($B143="",$D143=""),"",$B143+N(IFERROR(INDEX(基础资料!$AH$6:$AH$155,MATCH($D143,基础资料!$AF$6:$AF$155,0)),0)))</f>
        <v/>
      </c>
      <c r="U143" s="49" t="str">
        <f aca="false">IF($Q143="","",IF($I143="是","1405",IF($J143="","6602",$J143)))</f>
        <v/>
      </c>
      <c r="V143" s="49" t="str">
        <f aca="false">IF($Q143="","","2202")</f>
        <v/>
      </c>
      <c r="W143" s="48" t="str">
        <f aca="false">IF($Q143="","",$Q143)</f>
        <v/>
      </c>
      <c r="X143" s="49" t="str">
        <f aca="false">IF(N($R143)=0,"","2221")</f>
        <v/>
      </c>
      <c r="Y143" s="49" t="str">
        <f aca="false">IF(N($R143)=0,"","2202")</f>
        <v/>
      </c>
      <c r="Z143" s="48" t="str">
        <f aca="false">IF(N($R143)=0,"",$R143)</f>
        <v/>
      </c>
      <c r="AA143" s="49" t="str">
        <f aca="false">IF(AND($D143=供应商对账单!$B$3,$B143&gt;=供应商对账单!$E$3,$B143&lt;=供应商对账单!$H$3),COUNTIFS($D$5:$D143,供应商对账单!$B$3,$B$5:$B143,"&gt;="&amp;供应商对账单!$E$3,$B$5:$B143,"&lt;="&amp;供应商对账单!$H$3),"")</f>
        <v/>
      </c>
    </row>
    <row r="144" customFormat="false" ht="15.75" hidden="false" customHeight="true" outlineLevel="0" collapsed="false">
      <c r="A144" s="42" t="str">
        <f aca="false">IF($B144="","","CG"&amp;TEXT($B144,"yyyymm")&amp;"-"&amp;TEXT(ROW()-4,"000"))</f>
        <v/>
      </c>
      <c r="B144" s="41"/>
      <c r="C144" s="42" t="str">
        <f aca="false">IF($B144="","",TEXT($B144,"yyyy-mm"))</f>
        <v/>
      </c>
      <c r="D144" s="32"/>
      <c r="E144" s="36"/>
      <c r="F144" s="43"/>
      <c r="G144" s="40"/>
      <c r="H144" s="51"/>
      <c r="I144" s="33"/>
      <c r="J144" s="31"/>
      <c r="K144" s="33"/>
      <c r="L144" s="33"/>
      <c r="M144" s="36"/>
      <c r="N144" s="47" t="str">
        <f aca="false">IF($B144="","",IF(NOT(ISNUMBER($B144)),"日期不是日期格式",IF(YEAR($B144)&lt;&gt;首页!$B$3,"不在会计年度",IF($D144="","未选供应商",IF(ISNA(MATCH($D144,基础资料!$AF$6:$AF$155,0)),"供应商不在档案",IF($E144="","未填商品或内容",IF(NOT(ISNUMBER($F144)),"数量须为数字",IF(NOT(ISNUMBER($G144)),"单价须为数字",IF(N($F144)&lt;=0,"数量须大于0",IF($I144="","请选是否入库",IF(AND($I144="是",ISNA(MATCH($E144,基础资料!$Q$6:$Q$205,0))),"入库商品必须在商品档案中",IF(AND($I144="否",$J144&lt;&gt;"",ISNA(MATCH($J144,科目参数!$A$6:$A$125,0))),"费用科目不存在","√"))))))))))))</f>
        <v/>
      </c>
      <c r="O144" s="49" t="str">
        <f aca="false">IF($E144="","",IFERROR(INDEX(基础资料!$R$6:$R$205,MATCH($E144,基础资料!$Q$6:$Q$205,0)),""))</f>
        <v/>
      </c>
      <c r="P144" s="49" t="str">
        <f aca="false">IF($E144="","",IFERROR(INDEX(基础资料!$S$6:$S$205,MATCH($E144,基础资料!$Q$6:$Q$205,0)),""))</f>
        <v/>
      </c>
      <c r="Q144" s="48" t="str">
        <f aca="false">IF(OR($F144="",$G144=""),"",ROUND(N($F144)*N($G144),2))</f>
        <v/>
      </c>
      <c r="R144" s="48" t="str">
        <f aca="false">IF($Q144="","",ROUND(N($Q144)*N($H144),2))</f>
        <v/>
      </c>
      <c r="S144" s="48" t="str">
        <f aca="false">IF($Q144="","",N($Q144)+N($R144))</f>
        <v/>
      </c>
      <c r="T144" s="52" t="str">
        <f aca="false">IF(OR($B144="",$D144=""),"",$B144+N(IFERROR(INDEX(基础资料!$AH$6:$AH$155,MATCH($D144,基础资料!$AF$6:$AF$155,0)),0)))</f>
        <v/>
      </c>
      <c r="U144" s="49" t="str">
        <f aca="false">IF($Q144="","",IF($I144="是","1405",IF($J144="","6602",$J144)))</f>
        <v/>
      </c>
      <c r="V144" s="49" t="str">
        <f aca="false">IF($Q144="","","2202")</f>
        <v/>
      </c>
      <c r="W144" s="48" t="str">
        <f aca="false">IF($Q144="","",$Q144)</f>
        <v/>
      </c>
      <c r="X144" s="49" t="str">
        <f aca="false">IF(N($R144)=0,"","2221")</f>
        <v/>
      </c>
      <c r="Y144" s="49" t="str">
        <f aca="false">IF(N($R144)=0,"","2202")</f>
        <v/>
      </c>
      <c r="Z144" s="48" t="str">
        <f aca="false">IF(N($R144)=0,"",$R144)</f>
        <v/>
      </c>
      <c r="AA144" s="49" t="str">
        <f aca="false">IF(AND($D144=供应商对账单!$B$3,$B144&gt;=供应商对账单!$E$3,$B144&lt;=供应商对账单!$H$3),COUNTIFS($D$5:$D144,供应商对账单!$B$3,$B$5:$B144,"&gt;="&amp;供应商对账单!$E$3,$B$5:$B144,"&lt;="&amp;供应商对账单!$H$3),"")</f>
        <v/>
      </c>
    </row>
    <row r="145" customFormat="false" ht="15.75" hidden="false" customHeight="true" outlineLevel="0" collapsed="false">
      <c r="A145" s="42" t="str">
        <f aca="false">IF($B145="","","CG"&amp;TEXT($B145,"yyyymm")&amp;"-"&amp;TEXT(ROW()-4,"000"))</f>
        <v/>
      </c>
      <c r="B145" s="41"/>
      <c r="C145" s="42" t="str">
        <f aca="false">IF($B145="","",TEXT($B145,"yyyy-mm"))</f>
        <v/>
      </c>
      <c r="D145" s="32"/>
      <c r="E145" s="36"/>
      <c r="F145" s="43"/>
      <c r="G145" s="40"/>
      <c r="H145" s="51"/>
      <c r="I145" s="33"/>
      <c r="J145" s="31"/>
      <c r="K145" s="33"/>
      <c r="L145" s="33"/>
      <c r="M145" s="36"/>
      <c r="N145" s="47" t="str">
        <f aca="false">IF($B145="","",IF(NOT(ISNUMBER($B145)),"日期不是日期格式",IF(YEAR($B145)&lt;&gt;首页!$B$3,"不在会计年度",IF($D145="","未选供应商",IF(ISNA(MATCH($D145,基础资料!$AF$6:$AF$155,0)),"供应商不在档案",IF($E145="","未填商品或内容",IF(NOT(ISNUMBER($F145)),"数量须为数字",IF(NOT(ISNUMBER($G145)),"单价须为数字",IF(N($F145)&lt;=0,"数量须大于0",IF($I145="","请选是否入库",IF(AND($I145="是",ISNA(MATCH($E145,基础资料!$Q$6:$Q$205,0))),"入库商品必须在商品档案中",IF(AND($I145="否",$J145&lt;&gt;"",ISNA(MATCH($J145,科目参数!$A$6:$A$125,0))),"费用科目不存在","√"))))))))))))</f>
        <v/>
      </c>
      <c r="O145" s="49" t="str">
        <f aca="false">IF($E145="","",IFERROR(INDEX(基础资料!$R$6:$R$205,MATCH($E145,基础资料!$Q$6:$Q$205,0)),""))</f>
        <v/>
      </c>
      <c r="P145" s="49" t="str">
        <f aca="false">IF($E145="","",IFERROR(INDEX(基础资料!$S$6:$S$205,MATCH($E145,基础资料!$Q$6:$Q$205,0)),""))</f>
        <v/>
      </c>
      <c r="Q145" s="48" t="str">
        <f aca="false">IF(OR($F145="",$G145=""),"",ROUND(N($F145)*N($G145),2))</f>
        <v/>
      </c>
      <c r="R145" s="48" t="str">
        <f aca="false">IF($Q145="","",ROUND(N($Q145)*N($H145),2))</f>
        <v/>
      </c>
      <c r="S145" s="48" t="str">
        <f aca="false">IF($Q145="","",N($Q145)+N($R145))</f>
        <v/>
      </c>
      <c r="T145" s="52" t="str">
        <f aca="false">IF(OR($B145="",$D145=""),"",$B145+N(IFERROR(INDEX(基础资料!$AH$6:$AH$155,MATCH($D145,基础资料!$AF$6:$AF$155,0)),0)))</f>
        <v/>
      </c>
      <c r="U145" s="49" t="str">
        <f aca="false">IF($Q145="","",IF($I145="是","1405",IF($J145="","6602",$J145)))</f>
        <v/>
      </c>
      <c r="V145" s="49" t="str">
        <f aca="false">IF($Q145="","","2202")</f>
        <v/>
      </c>
      <c r="W145" s="48" t="str">
        <f aca="false">IF($Q145="","",$Q145)</f>
        <v/>
      </c>
      <c r="X145" s="49" t="str">
        <f aca="false">IF(N($R145)=0,"","2221")</f>
        <v/>
      </c>
      <c r="Y145" s="49" t="str">
        <f aca="false">IF(N($R145)=0,"","2202")</f>
        <v/>
      </c>
      <c r="Z145" s="48" t="str">
        <f aca="false">IF(N($R145)=0,"",$R145)</f>
        <v/>
      </c>
      <c r="AA145" s="49" t="str">
        <f aca="false">IF(AND($D145=供应商对账单!$B$3,$B145&gt;=供应商对账单!$E$3,$B145&lt;=供应商对账单!$H$3),COUNTIFS($D$5:$D145,供应商对账单!$B$3,$B$5:$B145,"&gt;="&amp;供应商对账单!$E$3,$B$5:$B145,"&lt;="&amp;供应商对账单!$H$3),"")</f>
        <v/>
      </c>
    </row>
    <row r="146" customFormat="false" ht="15.75" hidden="false" customHeight="true" outlineLevel="0" collapsed="false">
      <c r="A146" s="42" t="str">
        <f aca="false">IF($B146="","","CG"&amp;TEXT($B146,"yyyymm")&amp;"-"&amp;TEXT(ROW()-4,"000"))</f>
        <v/>
      </c>
      <c r="B146" s="41"/>
      <c r="C146" s="42" t="str">
        <f aca="false">IF($B146="","",TEXT($B146,"yyyy-mm"))</f>
        <v/>
      </c>
      <c r="D146" s="32"/>
      <c r="E146" s="36"/>
      <c r="F146" s="43"/>
      <c r="G146" s="40"/>
      <c r="H146" s="51"/>
      <c r="I146" s="33"/>
      <c r="J146" s="31"/>
      <c r="K146" s="33"/>
      <c r="L146" s="33"/>
      <c r="M146" s="36"/>
      <c r="N146" s="47" t="str">
        <f aca="false">IF($B146="","",IF(NOT(ISNUMBER($B146)),"日期不是日期格式",IF(YEAR($B146)&lt;&gt;首页!$B$3,"不在会计年度",IF($D146="","未选供应商",IF(ISNA(MATCH($D146,基础资料!$AF$6:$AF$155,0)),"供应商不在档案",IF($E146="","未填商品或内容",IF(NOT(ISNUMBER($F146)),"数量须为数字",IF(NOT(ISNUMBER($G146)),"单价须为数字",IF(N($F146)&lt;=0,"数量须大于0",IF($I146="","请选是否入库",IF(AND($I146="是",ISNA(MATCH($E146,基础资料!$Q$6:$Q$205,0))),"入库商品必须在商品档案中",IF(AND($I146="否",$J146&lt;&gt;"",ISNA(MATCH($J146,科目参数!$A$6:$A$125,0))),"费用科目不存在","√"))))))))))))</f>
        <v/>
      </c>
      <c r="O146" s="49" t="str">
        <f aca="false">IF($E146="","",IFERROR(INDEX(基础资料!$R$6:$R$205,MATCH($E146,基础资料!$Q$6:$Q$205,0)),""))</f>
        <v/>
      </c>
      <c r="P146" s="49" t="str">
        <f aca="false">IF($E146="","",IFERROR(INDEX(基础资料!$S$6:$S$205,MATCH($E146,基础资料!$Q$6:$Q$205,0)),""))</f>
        <v/>
      </c>
      <c r="Q146" s="48" t="str">
        <f aca="false">IF(OR($F146="",$G146=""),"",ROUND(N($F146)*N($G146),2))</f>
        <v/>
      </c>
      <c r="R146" s="48" t="str">
        <f aca="false">IF($Q146="","",ROUND(N($Q146)*N($H146),2))</f>
        <v/>
      </c>
      <c r="S146" s="48" t="str">
        <f aca="false">IF($Q146="","",N($Q146)+N($R146))</f>
        <v/>
      </c>
      <c r="T146" s="52" t="str">
        <f aca="false">IF(OR($B146="",$D146=""),"",$B146+N(IFERROR(INDEX(基础资料!$AH$6:$AH$155,MATCH($D146,基础资料!$AF$6:$AF$155,0)),0)))</f>
        <v/>
      </c>
      <c r="U146" s="49" t="str">
        <f aca="false">IF($Q146="","",IF($I146="是","1405",IF($J146="","6602",$J146)))</f>
        <v/>
      </c>
      <c r="V146" s="49" t="str">
        <f aca="false">IF($Q146="","","2202")</f>
        <v/>
      </c>
      <c r="W146" s="48" t="str">
        <f aca="false">IF($Q146="","",$Q146)</f>
        <v/>
      </c>
      <c r="X146" s="49" t="str">
        <f aca="false">IF(N($R146)=0,"","2221")</f>
        <v/>
      </c>
      <c r="Y146" s="49" t="str">
        <f aca="false">IF(N($R146)=0,"","2202")</f>
        <v/>
      </c>
      <c r="Z146" s="48" t="str">
        <f aca="false">IF(N($R146)=0,"",$R146)</f>
        <v/>
      </c>
      <c r="AA146" s="49" t="str">
        <f aca="false">IF(AND($D146=供应商对账单!$B$3,$B146&gt;=供应商对账单!$E$3,$B146&lt;=供应商对账单!$H$3),COUNTIFS($D$5:$D146,供应商对账单!$B$3,$B$5:$B146,"&gt;="&amp;供应商对账单!$E$3,$B$5:$B146,"&lt;="&amp;供应商对账单!$H$3),"")</f>
        <v/>
      </c>
    </row>
    <row r="147" customFormat="false" ht="15.75" hidden="false" customHeight="true" outlineLevel="0" collapsed="false">
      <c r="A147" s="42" t="str">
        <f aca="false">IF($B147="","","CG"&amp;TEXT($B147,"yyyymm")&amp;"-"&amp;TEXT(ROW()-4,"000"))</f>
        <v/>
      </c>
      <c r="B147" s="41"/>
      <c r="C147" s="42" t="str">
        <f aca="false">IF($B147="","",TEXT($B147,"yyyy-mm"))</f>
        <v/>
      </c>
      <c r="D147" s="32"/>
      <c r="E147" s="36"/>
      <c r="F147" s="43"/>
      <c r="G147" s="40"/>
      <c r="H147" s="51"/>
      <c r="I147" s="33"/>
      <c r="J147" s="31"/>
      <c r="K147" s="33"/>
      <c r="L147" s="33"/>
      <c r="M147" s="36"/>
      <c r="N147" s="47" t="str">
        <f aca="false">IF($B147="","",IF(NOT(ISNUMBER($B147)),"日期不是日期格式",IF(YEAR($B147)&lt;&gt;首页!$B$3,"不在会计年度",IF($D147="","未选供应商",IF(ISNA(MATCH($D147,基础资料!$AF$6:$AF$155,0)),"供应商不在档案",IF($E147="","未填商品或内容",IF(NOT(ISNUMBER($F147)),"数量须为数字",IF(NOT(ISNUMBER($G147)),"单价须为数字",IF(N($F147)&lt;=0,"数量须大于0",IF($I147="","请选是否入库",IF(AND($I147="是",ISNA(MATCH($E147,基础资料!$Q$6:$Q$205,0))),"入库商品必须在商品档案中",IF(AND($I147="否",$J147&lt;&gt;"",ISNA(MATCH($J147,科目参数!$A$6:$A$125,0))),"费用科目不存在","√"))))))))))))</f>
        <v/>
      </c>
      <c r="O147" s="49" t="str">
        <f aca="false">IF($E147="","",IFERROR(INDEX(基础资料!$R$6:$R$205,MATCH($E147,基础资料!$Q$6:$Q$205,0)),""))</f>
        <v/>
      </c>
      <c r="P147" s="49" t="str">
        <f aca="false">IF($E147="","",IFERROR(INDEX(基础资料!$S$6:$S$205,MATCH($E147,基础资料!$Q$6:$Q$205,0)),""))</f>
        <v/>
      </c>
      <c r="Q147" s="48" t="str">
        <f aca="false">IF(OR($F147="",$G147=""),"",ROUND(N($F147)*N($G147),2))</f>
        <v/>
      </c>
      <c r="R147" s="48" t="str">
        <f aca="false">IF($Q147="","",ROUND(N($Q147)*N($H147),2))</f>
        <v/>
      </c>
      <c r="S147" s="48" t="str">
        <f aca="false">IF($Q147="","",N($Q147)+N($R147))</f>
        <v/>
      </c>
      <c r="T147" s="52" t="str">
        <f aca="false">IF(OR($B147="",$D147=""),"",$B147+N(IFERROR(INDEX(基础资料!$AH$6:$AH$155,MATCH($D147,基础资料!$AF$6:$AF$155,0)),0)))</f>
        <v/>
      </c>
      <c r="U147" s="49" t="str">
        <f aca="false">IF($Q147="","",IF($I147="是","1405",IF($J147="","6602",$J147)))</f>
        <v/>
      </c>
      <c r="V147" s="49" t="str">
        <f aca="false">IF($Q147="","","2202")</f>
        <v/>
      </c>
      <c r="W147" s="48" t="str">
        <f aca="false">IF($Q147="","",$Q147)</f>
        <v/>
      </c>
      <c r="X147" s="49" t="str">
        <f aca="false">IF(N($R147)=0,"","2221")</f>
        <v/>
      </c>
      <c r="Y147" s="49" t="str">
        <f aca="false">IF(N($R147)=0,"","2202")</f>
        <v/>
      </c>
      <c r="Z147" s="48" t="str">
        <f aca="false">IF(N($R147)=0,"",$R147)</f>
        <v/>
      </c>
      <c r="AA147" s="49" t="str">
        <f aca="false">IF(AND($D147=供应商对账单!$B$3,$B147&gt;=供应商对账单!$E$3,$B147&lt;=供应商对账单!$H$3),COUNTIFS($D$5:$D147,供应商对账单!$B$3,$B$5:$B147,"&gt;="&amp;供应商对账单!$E$3,$B$5:$B147,"&lt;="&amp;供应商对账单!$H$3),"")</f>
        <v/>
      </c>
    </row>
    <row r="148" customFormat="false" ht="15.75" hidden="false" customHeight="true" outlineLevel="0" collapsed="false">
      <c r="A148" s="42" t="str">
        <f aca="false">IF($B148="","","CG"&amp;TEXT($B148,"yyyymm")&amp;"-"&amp;TEXT(ROW()-4,"000"))</f>
        <v/>
      </c>
      <c r="B148" s="41"/>
      <c r="C148" s="42" t="str">
        <f aca="false">IF($B148="","",TEXT($B148,"yyyy-mm"))</f>
        <v/>
      </c>
      <c r="D148" s="32"/>
      <c r="E148" s="36"/>
      <c r="F148" s="43"/>
      <c r="G148" s="40"/>
      <c r="H148" s="51"/>
      <c r="I148" s="33"/>
      <c r="J148" s="31"/>
      <c r="K148" s="33"/>
      <c r="L148" s="33"/>
      <c r="M148" s="36"/>
      <c r="N148" s="47" t="str">
        <f aca="false">IF($B148="","",IF(NOT(ISNUMBER($B148)),"日期不是日期格式",IF(YEAR($B148)&lt;&gt;首页!$B$3,"不在会计年度",IF($D148="","未选供应商",IF(ISNA(MATCH($D148,基础资料!$AF$6:$AF$155,0)),"供应商不在档案",IF($E148="","未填商品或内容",IF(NOT(ISNUMBER($F148)),"数量须为数字",IF(NOT(ISNUMBER($G148)),"单价须为数字",IF(N($F148)&lt;=0,"数量须大于0",IF($I148="","请选是否入库",IF(AND($I148="是",ISNA(MATCH($E148,基础资料!$Q$6:$Q$205,0))),"入库商品必须在商品档案中",IF(AND($I148="否",$J148&lt;&gt;"",ISNA(MATCH($J148,科目参数!$A$6:$A$125,0))),"费用科目不存在","√"))))))))))))</f>
        <v/>
      </c>
      <c r="O148" s="49" t="str">
        <f aca="false">IF($E148="","",IFERROR(INDEX(基础资料!$R$6:$R$205,MATCH($E148,基础资料!$Q$6:$Q$205,0)),""))</f>
        <v/>
      </c>
      <c r="P148" s="49" t="str">
        <f aca="false">IF($E148="","",IFERROR(INDEX(基础资料!$S$6:$S$205,MATCH($E148,基础资料!$Q$6:$Q$205,0)),""))</f>
        <v/>
      </c>
      <c r="Q148" s="48" t="str">
        <f aca="false">IF(OR($F148="",$G148=""),"",ROUND(N($F148)*N($G148),2))</f>
        <v/>
      </c>
      <c r="R148" s="48" t="str">
        <f aca="false">IF($Q148="","",ROUND(N($Q148)*N($H148),2))</f>
        <v/>
      </c>
      <c r="S148" s="48" t="str">
        <f aca="false">IF($Q148="","",N($Q148)+N($R148))</f>
        <v/>
      </c>
      <c r="T148" s="52" t="str">
        <f aca="false">IF(OR($B148="",$D148=""),"",$B148+N(IFERROR(INDEX(基础资料!$AH$6:$AH$155,MATCH($D148,基础资料!$AF$6:$AF$155,0)),0)))</f>
        <v/>
      </c>
      <c r="U148" s="49" t="str">
        <f aca="false">IF($Q148="","",IF($I148="是","1405",IF($J148="","6602",$J148)))</f>
        <v/>
      </c>
      <c r="V148" s="49" t="str">
        <f aca="false">IF($Q148="","","2202")</f>
        <v/>
      </c>
      <c r="W148" s="48" t="str">
        <f aca="false">IF($Q148="","",$Q148)</f>
        <v/>
      </c>
      <c r="X148" s="49" t="str">
        <f aca="false">IF(N($R148)=0,"","2221")</f>
        <v/>
      </c>
      <c r="Y148" s="49" t="str">
        <f aca="false">IF(N($R148)=0,"","2202")</f>
        <v/>
      </c>
      <c r="Z148" s="48" t="str">
        <f aca="false">IF(N($R148)=0,"",$R148)</f>
        <v/>
      </c>
      <c r="AA148" s="49" t="str">
        <f aca="false">IF(AND($D148=供应商对账单!$B$3,$B148&gt;=供应商对账单!$E$3,$B148&lt;=供应商对账单!$H$3),COUNTIFS($D$5:$D148,供应商对账单!$B$3,$B$5:$B148,"&gt;="&amp;供应商对账单!$E$3,$B$5:$B148,"&lt;="&amp;供应商对账单!$H$3),"")</f>
        <v/>
      </c>
    </row>
    <row r="149" customFormat="false" ht="15.75" hidden="false" customHeight="true" outlineLevel="0" collapsed="false">
      <c r="A149" s="42" t="str">
        <f aca="false">IF($B149="","","CG"&amp;TEXT($B149,"yyyymm")&amp;"-"&amp;TEXT(ROW()-4,"000"))</f>
        <v/>
      </c>
      <c r="B149" s="41"/>
      <c r="C149" s="42" t="str">
        <f aca="false">IF($B149="","",TEXT($B149,"yyyy-mm"))</f>
        <v/>
      </c>
      <c r="D149" s="32"/>
      <c r="E149" s="36"/>
      <c r="F149" s="43"/>
      <c r="G149" s="40"/>
      <c r="H149" s="51"/>
      <c r="I149" s="33"/>
      <c r="J149" s="31"/>
      <c r="K149" s="33"/>
      <c r="L149" s="33"/>
      <c r="M149" s="36"/>
      <c r="N149" s="47" t="str">
        <f aca="false">IF($B149="","",IF(NOT(ISNUMBER($B149)),"日期不是日期格式",IF(YEAR($B149)&lt;&gt;首页!$B$3,"不在会计年度",IF($D149="","未选供应商",IF(ISNA(MATCH($D149,基础资料!$AF$6:$AF$155,0)),"供应商不在档案",IF($E149="","未填商品或内容",IF(NOT(ISNUMBER($F149)),"数量须为数字",IF(NOT(ISNUMBER($G149)),"单价须为数字",IF(N($F149)&lt;=0,"数量须大于0",IF($I149="","请选是否入库",IF(AND($I149="是",ISNA(MATCH($E149,基础资料!$Q$6:$Q$205,0))),"入库商品必须在商品档案中",IF(AND($I149="否",$J149&lt;&gt;"",ISNA(MATCH($J149,科目参数!$A$6:$A$125,0))),"费用科目不存在","√"))))))))))))</f>
        <v/>
      </c>
      <c r="O149" s="49" t="str">
        <f aca="false">IF($E149="","",IFERROR(INDEX(基础资料!$R$6:$R$205,MATCH($E149,基础资料!$Q$6:$Q$205,0)),""))</f>
        <v/>
      </c>
      <c r="P149" s="49" t="str">
        <f aca="false">IF($E149="","",IFERROR(INDEX(基础资料!$S$6:$S$205,MATCH($E149,基础资料!$Q$6:$Q$205,0)),""))</f>
        <v/>
      </c>
      <c r="Q149" s="48" t="str">
        <f aca="false">IF(OR($F149="",$G149=""),"",ROUND(N($F149)*N($G149),2))</f>
        <v/>
      </c>
      <c r="R149" s="48" t="str">
        <f aca="false">IF($Q149="","",ROUND(N($Q149)*N($H149),2))</f>
        <v/>
      </c>
      <c r="S149" s="48" t="str">
        <f aca="false">IF($Q149="","",N($Q149)+N($R149))</f>
        <v/>
      </c>
      <c r="T149" s="52" t="str">
        <f aca="false">IF(OR($B149="",$D149=""),"",$B149+N(IFERROR(INDEX(基础资料!$AH$6:$AH$155,MATCH($D149,基础资料!$AF$6:$AF$155,0)),0)))</f>
        <v/>
      </c>
      <c r="U149" s="49" t="str">
        <f aca="false">IF($Q149="","",IF($I149="是","1405",IF($J149="","6602",$J149)))</f>
        <v/>
      </c>
      <c r="V149" s="49" t="str">
        <f aca="false">IF($Q149="","","2202")</f>
        <v/>
      </c>
      <c r="W149" s="48" t="str">
        <f aca="false">IF($Q149="","",$Q149)</f>
        <v/>
      </c>
      <c r="X149" s="49" t="str">
        <f aca="false">IF(N($R149)=0,"","2221")</f>
        <v/>
      </c>
      <c r="Y149" s="49" t="str">
        <f aca="false">IF(N($R149)=0,"","2202")</f>
        <v/>
      </c>
      <c r="Z149" s="48" t="str">
        <f aca="false">IF(N($R149)=0,"",$R149)</f>
        <v/>
      </c>
      <c r="AA149" s="49" t="str">
        <f aca="false">IF(AND($D149=供应商对账单!$B$3,$B149&gt;=供应商对账单!$E$3,$B149&lt;=供应商对账单!$H$3),COUNTIFS($D$5:$D149,供应商对账单!$B$3,$B$5:$B149,"&gt;="&amp;供应商对账单!$E$3,$B$5:$B149,"&lt;="&amp;供应商对账单!$H$3),"")</f>
        <v/>
      </c>
    </row>
    <row r="150" customFormat="false" ht="15.75" hidden="false" customHeight="true" outlineLevel="0" collapsed="false">
      <c r="A150" s="42" t="str">
        <f aca="false">IF($B150="","","CG"&amp;TEXT($B150,"yyyymm")&amp;"-"&amp;TEXT(ROW()-4,"000"))</f>
        <v/>
      </c>
      <c r="B150" s="41"/>
      <c r="C150" s="42" t="str">
        <f aca="false">IF($B150="","",TEXT($B150,"yyyy-mm"))</f>
        <v/>
      </c>
      <c r="D150" s="32"/>
      <c r="E150" s="36"/>
      <c r="F150" s="43"/>
      <c r="G150" s="40"/>
      <c r="H150" s="51"/>
      <c r="I150" s="33"/>
      <c r="J150" s="31"/>
      <c r="K150" s="33"/>
      <c r="L150" s="33"/>
      <c r="M150" s="36"/>
      <c r="N150" s="47" t="str">
        <f aca="false">IF($B150="","",IF(NOT(ISNUMBER($B150)),"日期不是日期格式",IF(YEAR($B150)&lt;&gt;首页!$B$3,"不在会计年度",IF($D150="","未选供应商",IF(ISNA(MATCH($D150,基础资料!$AF$6:$AF$155,0)),"供应商不在档案",IF($E150="","未填商品或内容",IF(NOT(ISNUMBER($F150)),"数量须为数字",IF(NOT(ISNUMBER($G150)),"单价须为数字",IF(N($F150)&lt;=0,"数量须大于0",IF($I150="","请选是否入库",IF(AND($I150="是",ISNA(MATCH($E150,基础资料!$Q$6:$Q$205,0))),"入库商品必须在商品档案中",IF(AND($I150="否",$J150&lt;&gt;"",ISNA(MATCH($J150,科目参数!$A$6:$A$125,0))),"费用科目不存在","√"))))))))))))</f>
        <v/>
      </c>
      <c r="O150" s="49" t="str">
        <f aca="false">IF($E150="","",IFERROR(INDEX(基础资料!$R$6:$R$205,MATCH($E150,基础资料!$Q$6:$Q$205,0)),""))</f>
        <v/>
      </c>
      <c r="P150" s="49" t="str">
        <f aca="false">IF($E150="","",IFERROR(INDEX(基础资料!$S$6:$S$205,MATCH($E150,基础资料!$Q$6:$Q$205,0)),""))</f>
        <v/>
      </c>
      <c r="Q150" s="48" t="str">
        <f aca="false">IF(OR($F150="",$G150=""),"",ROUND(N($F150)*N($G150),2))</f>
        <v/>
      </c>
      <c r="R150" s="48" t="str">
        <f aca="false">IF($Q150="","",ROUND(N($Q150)*N($H150),2))</f>
        <v/>
      </c>
      <c r="S150" s="48" t="str">
        <f aca="false">IF($Q150="","",N($Q150)+N($R150))</f>
        <v/>
      </c>
      <c r="T150" s="52" t="str">
        <f aca="false">IF(OR($B150="",$D150=""),"",$B150+N(IFERROR(INDEX(基础资料!$AH$6:$AH$155,MATCH($D150,基础资料!$AF$6:$AF$155,0)),0)))</f>
        <v/>
      </c>
      <c r="U150" s="49" t="str">
        <f aca="false">IF($Q150="","",IF($I150="是","1405",IF($J150="","6602",$J150)))</f>
        <v/>
      </c>
      <c r="V150" s="49" t="str">
        <f aca="false">IF($Q150="","","2202")</f>
        <v/>
      </c>
      <c r="W150" s="48" t="str">
        <f aca="false">IF($Q150="","",$Q150)</f>
        <v/>
      </c>
      <c r="X150" s="49" t="str">
        <f aca="false">IF(N($R150)=0,"","2221")</f>
        <v/>
      </c>
      <c r="Y150" s="49" t="str">
        <f aca="false">IF(N($R150)=0,"","2202")</f>
        <v/>
      </c>
      <c r="Z150" s="48" t="str">
        <f aca="false">IF(N($R150)=0,"",$R150)</f>
        <v/>
      </c>
      <c r="AA150" s="49" t="str">
        <f aca="false">IF(AND($D150=供应商对账单!$B$3,$B150&gt;=供应商对账单!$E$3,$B150&lt;=供应商对账单!$H$3),COUNTIFS($D$5:$D150,供应商对账单!$B$3,$B$5:$B150,"&gt;="&amp;供应商对账单!$E$3,$B$5:$B150,"&lt;="&amp;供应商对账单!$H$3),"")</f>
        <v/>
      </c>
    </row>
    <row r="151" customFormat="false" ht="15.75" hidden="false" customHeight="true" outlineLevel="0" collapsed="false">
      <c r="A151" s="42" t="str">
        <f aca="false">IF($B151="","","CG"&amp;TEXT($B151,"yyyymm")&amp;"-"&amp;TEXT(ROW()-4,"000"))</f>
        <v/>
      </c>
      <c r="B151" s="41"/>
      <c r="C151" s="42" t="str">
        <f aca="false">IF($B151="","",TEXT($B151,"yyyy-mm"))</f>
        <v/>
      </c>
      <c r="D151" s="32"/>
      <c r="E151" s="36"/>
      <c r="F151" s="43"/>
      <c r="G151" s="40"/>
      <c r="H151" s="51"/>
      <c r="I151" s="33"/>
      <c r="J151" s="31"/>
      <c r="K151" s="33"/>
      <c r="L151" s="33"/>
      <c r="M151" s="36"/>
      <c r="N151" s="47" t="str">
        <f aca="false">IF($B151="","",IF(NOT(ISNUMBER($B151)),"日期不是日期格式",IF(YEAR($B151)&lt;&gt;首页!$B$3,"不在会计年度",IF($D151="","未选供应商",IF(ISNA(MATCH($D151,基础资料!$AF$6:$AF$155,0)),"供应商不在档案",IF($E151="","未填商品或内容",IF(NOT(ISNUMBER($F151)),"数量须为数字",IF(NOT(ISNUMBER($G151)),"单价须为数字",IF(N($F151)&lt;=0,"数量须大于0",IF($I151="","请选是否入库",IF(AND($I151="是",ISNA(MATCH($E151,基础资料!$Q$6:$Q$205,0))),"入库商品必须在商品档案中",IF(AND($I151="否",$J151&lt;&gt;"",ISNA(MATCH($J151,科目参数!$A$6:$A$125,0))),"费用科目不存在","√"))))))))))))</f>
        <v/>
      </c>
      <c r="O151" s="49" t="str">
        <f aca="false">IF($E151="","",IFERROR(INDEX(基础资料!$R$6:$R$205,MATCH($E151,基础资料!$Q$6:$Q$205,0)),""))</f>
        <v/>
      </c>
      <c r="P151" s="49" t="str">
        <f aca="false">IF($E151="","",IFERROR(INDEX(基础资料!$S$6:$S$205,MATCH($E151,基础资料!$Q$6:$Q$205,0)),""))</f>
        <v/>
      </c>
      <c r="Q151" s="48" t="str">
        <f aca="false">IF(OR($F151="",$G151=""),"",ROUND(N($F151)*N($G151),2))</f>
        <v/>
      </c>
      <c r="R151" s="48" t="str">
        <f aca="false">IF($Q151="","",ROUND(N($Q151)*N($H151),2))</f>
        <v/>
      </c>
      <c r="S151" s="48" t="str">
        <f aca="false">IF($Q151="","",N($Q151)+N($R151))</f>
        <v/>
      </c>
      <c r="T151" s="52" t="str">
        <f aca="false">IF(OR($B151="",$D151=""),"",$B151+N(IFERROR(INDEX(基础资料!$AH$6:$AH$155,MATCH($D151,基础资料!$AF$6:$AF$155,0)),0)))</f>
        <v/>
      </c>
      <c r="U151" s="49" t="str">
        <f aca="false">IF($Q151="","",IF($I151="是","1405",IF($J151="","6602",$J151)))</f>
        <v/>
      </c>
      <c r="V151" s="49" t="str">
        <f aca="false">IF($Q151="","","2202")</f>
        <v/>
      </c>
      <c r="W151" s="48" t="str">
        <f aca="false">IF($Q151="","",$Q151)</f>
        <v/>
      </c>
      <c r="X151" s="49" t="str">
        <f aca="false">IF(N($R151)=0,"","2221")</f>
        <v/>
      </c>
      <c r="Y151" s="49" t="str">
        <f aca="false">IF(N($R151)=0,"","2202")</f>
        <v/>
      </c>
      <c r="Z151" s="48" t="str">
        <f aca="false">IF(N($R151)=0,"",$R151)</f>
        <v/>
      </c>
      <c r="AA151" s="49" t="str">
        <f aca="false">IF(AND($D151=供应商对账单!$B$3,$B151&gt;=供应商对账单!$E$3,$B151&lt;=供应商对账单!$H$3),COUNTIFS($D$5:$D151,供应商对账单!$B$3,$B$5:$B151,"&gt;="&amp;供应商对账单!$E$3,$B$5:$B151,"&lt;="&amp;供应商对账单!$H$3),"")</f>
        <v/>
      </c>
    </row>
    <row r="152" customFormat="false" ht="15.75" hidden="false" customHeight="true" outlineLevel="0" collapsed="false">
      <c r="A152" s="42" t="str">
        <f aca="false">IF($B152="","","CG"&amp;TEXT($B152,"yyyymm")&amp;"-"&amp;TEXT(ROW()-4,"000"))</f>
        <v/>
      </c>
      <c r="B152" s="41"/>
      <c r="C152" s="42" t="str">
        <f aca="false">IF($B152="","",TEXT($B152,"yyyy-mm"))</f>
        <v/>
      </c>
      <c r="D152" s="32"/>
      <c r="E152" s="36"/>
      <c r="F152" s="43"/>
      <c r="G152" s="40"/>
      <c r="H152" s="51"/>
      <c r="I152" s="33"/>
      <c r="J152" s="31"/>
      <c r="K152" s="33"/>
      <c r="L152" s="33"/>
      <c r="M152" s="36"/>
      <c r="N152" s="47" t="str">
        <f aca="false">IF($B152="","",IF(NOT(ISNUMBER($B152)),"日期不是日期格式",IF(YEAR($B152)&lt;&gt;首页!$B$3,"不在会计年度",IF($D152="","未选供应商",IF(ISNA(MATCH($D152,基础资料!$AF$6:$AF$155,0)),"供应商不在档案",IF($E152="","未填商品或内容",IF(NOT(ISNUMBER($F152)),"数量须为数字",IF(NOT(ISNUMBER($G152)),"单价须为数字",IF(N($F152)&lt;=0,"数量须大于0",IF($I152="","请选是否入库",IF(AND($I152="是",ISNA(MATCH($E152,基础资料!$Q$6:$Q$205,0))),"入库商品必须在商品档案中",IF(AND($I152="否",$J152&lt;&gt;"",ISNA(MATCH($J152,科目参数!$A$6:$A$125,0))),"费用科目不存在","√"))))))))))))</f>
        <v/>
      </c>
      <c r="O152" s="49" t="str">
        <f aca="false">IF($E152="","",IFERROR(INDEX(基础资料!$R$6:$R$205,MATCH($E152,基础资料!$Q$6:$Q$205,0)),""))</f>
        <v/>
      </c>
      <c r="P152" s="49" t="str">
        <f aca="false">IF($E152="","",IFERROR(INDEX(基础资料!$S$6:$S$205,MATCH($E152,基础资料!$Q$6:$Q$205,0)),""))</f>
        <v/>
      </c>
      <c r="Q152" s="48" t="str">
        <f aca="false">IF(OR($F152="",$G152=""),"",ROUND(N($F152)*N($G152),2))</f>
        <v/>
      </c>
      <c r="R152" s="48" t="str">
        <f aca="false">IF($Q152="","",ROUND(N($Q152)*N($H152),2))</f>
        <v/>
      </c>
      <c r="S152" s="48" t="str">
        <f aca="false">IF($Q152="","",N($Q152)+N($R152))</f>
        <v/>
      </c>
      <c r="T152" s="52" t="str">
        <f aca="false">IF(OR($B152="",$D152=""),"",$B152+N(IFERROR(INDEX(基础资料!$AH$6:$AH$155,MATCH($D152,基础资料!$AF$6:$AF$155,0)),0)))</f>
        <v/>
      </c>
      <c r="U152" s="49" t="str">
        <f aca="false">IF($Q152="","",IF($I152="是","1405",IF($J152="","6602",$J152)))</f>
        <v/>
      </c>
      <c r="V152" s="49" t="str">
        <f aca="false">IF($Q152="","","2202")</f>
        <v/>
      </c>
      <c r="W152" s="48" t="str">
        <f aca="false">IF($Q152="","",$Q152)</f>
        <v/>
      </c>
      <c r="X152" s="49" t="str">
        <f aca="false">IF(N($R152)=0,"","2221")</f>
        <v/>
      </c>
      <c r="Y152" s="49" t="str">
        <f aca="false">IF(N($R152)=0,"","2202")</f>
        <v/>
      </c>
      <c r="Z152" s="48" t="str">
        <f aca="false">IF(N($R152)=0,"",$R152)</f>
        <v/>
      </c>
      <c r="AA152" s="49" t="str">
        <f aca="false">IF(AND($D152=供应商对账单!$B$3,$B152&gt;=供应商对账单!$E$3,$B152&lt;=供应商对账单!$H$3),COUNTIFS($D$5:$D152,供应商对账单!$B$3,$B$5:$B152,"&gt;="&amp;供应商对账单!$E$3,$B$5:$B152,"&lt;="&amp;供应商对账单!$H$3),"")</f>
        <v/>
      </c>
    </row>
    <row r="153" customFormat="false" ht="15.75" hidden="false" customHeight="true" outlineLevel="0" collapsed="false">
      <c r="A153" s="42" t="str">
        <f aca="false">IF($B153="","","CG"&amp;TEXT($B153,"yyyymm")&amp;"-"&amp;TEXT(ROW()-4,"000"))</f>
        <v/>
      </c>
      <c r="B153" s="41"/>
      <c r="C153" s="42" t="str">
        <f aca="false">IF($B153="","",TEXT($B153,"yyyy-mm"))</f>
        <v/>
      </c>
      <c r="D153" s="32"/>
      <c r="E153" s="36"/>
      <c r="F153" s="43"/>
      <c r="G153" s="40"/>
      <c r="H153" s="51"/>
      <c r="I153" s="33"/>
      <c r="J153" s="31"/>
      <c r="K153" s="33"/>
      <c r="L153" s="33"/>
      <c r="M153" s="36"/>
      <c r="N153" s="47" t="str">
        <f aca="false">IF($B153="","",IF(NOT(ISNUMBER($B153)),"日期不是日期格式",IF(YEAR($B153)&lt;&gt;首页!$B$3,"不在会计年度",IF($D153="","未选供应商",IF(ISNA(MATCH($D153,基础资料!$AF$6:$AF$155,0)),"供应商不在档案",IF($E153="","未填商品或内容",IF(NOT(ISNUMBER($F153)),"数量须为数字",IF(NOT(ISNUMBER($G153)),"单价须为数字",IF(N($F153)&lt;=0,"数量须大于0",IF($I153="","请选是否入库",IF(AND($I153="是",ISNA(MATCH($E153,基础资料!$Q$6:$Q$205,0))),"入库商品必须在商品档案中",IF(AND($I153="否",$J153&lt;&gt;"",ISNA(MATCH($J153,科目参数!$A$6:$A$125,0))),"费用科目不存在","√"))))))))))))</f>
        <v/>
      </c>
      <c r="O153" s="49" t="str">
        <f aca="false">IF($E153="","",IFERROR(INDEX(基础资料!$R$6:$R$205,MATCH($E153,基础资料!$Q$6:$Q$205,0)),""))</f>
        <v/>
      </c>
      <c r="P153" s="49" t="str">
        <f aca="false">IF($E153="","",IFERROR(INDEX(基础资料!$S$6:$S$205,MATCH($E153,基础资料!$Q$6:$Q$205,0)),""))</f>
        <v/>
      </c>
      <c r="Q153" s="48" t="str">
        <f aca="false">IF(OR($F153="",$G153=""),"",ROUND(N($F153)*N($G153),2))</f>
        <v/>
      </c>
      <c r="R153" s="48" t="str">
        <f aca="false">IF($Q153="","",ROUND(N($Q153)*N($H153),2))</f>
        <v/>
      </c>
      <c r="S153" s="48" t="str">
        <f aca="false">IF($Q153="","",N($Q153)+N($R153))</f>
        <v/>
      </c>
      <c r="T153" s="52" t="str">
        <f aca="false">IF(OR($B153="",$D153=""),"",$B153+N(IFERROR(INDEX(基础资料!$AH$6:$AH$155,MATCH($D153,基础资料!$AF$6:$AF$155,0)),0)))</f>
        <v/>
      </c>
      <c r="U153" s="49" t="str">
        <f aca="false">IF($Q153="","",IF($I153="是","1405",IF($J153="","6602",$J153)))</f>
        <v/>
      </c>
      <c r="V153" s="49" t="str">
        <f aca="false">IF($Q153="","","2202")</f>
        <v/>
      </c>
      <c r="W153" s="48" t="str">
        <f aca="false">IF($Q153="","",$Q153)</f>
        <v/>
      </c>
      <c r="X153" s="49" t="str">
        <f aca="false">IF(N($R153)=0,"","2221")</f>
        <v/>
      </c>
      <c r="Y153" s="49" t="str">
        <f aca="false">IF(N($R153)=0,"","2202")</f>
        <v/>
      </c>
      <c r="Z153" s="48" t="str">
        <f aca="false">IF(N($R153)=0,"",$R153)</f>
        <v/>
      </c>
      <c r="AA153" s="49" t="str">
        <f aca="false">IF(AND($D153=供应商对账单!$B$3,$B153&gt;=供应商对账单!$E$3,$B153&lt;=供应商对账单!$H$3),COUNTIFS($D$5:$D153,供应商对账单!$B$3,$B$5:$B153,"&gt;="&amp;供应商对账单!$E$3,$B$5:$B153,"&lt;="&amp;供应商对账单!$H$3),"")</f>
        <v/>
      </c>
    </row>
    <row r="154" customFormat="false" ht="15.75" hidden="false" customHeight="true" outlineLevel="0" collapsed="false">
      <c r="A154" s="42" t="str">
        <f aca="false">IF($B154="","","CG"&amp;TEXT($B154,"yyyymm")&amp;"-"&amp;TEXT(ROW()-4,"000"))</f>
        <v/>
      </c>
      <c r="B154" s="41"/>
      <c r="C154" s="42" t="str">
        <f aca="false">IF($B154="","",TEXT($B154,"yyyy-mm"))</f>
        <v/>
      </c>
      <c r="D154" s="32"/>
      <c r="E154" s="36"/>
      <c r="F154" s="43"/>
      <c r="G154" s="40"/>
      <c r="H154" s="51"/>
      <c r="I154" s="33"/>
      <c r="J154" s="31"/>
      <c r="K154" s="33"/>
      <c r="L154" s="33"/>
      <c r="M154" s="36"/>
      <c r="N154" s="47" t="str">
        <f aca="false">IF($B154="","",IF(NOT(ISNUMBER($B154)),"日期不是日期格式",IF(YEAR($B154)&lt;&gt;首页!$B$3,"不在会计年度",IF($D154="","未选供应商",IF(ISNA(MATCH($D154,基础资料!$AF$6:$AF$155,0)),"供应商不在档案",IF($E154="","未填商品或内容",IF(NOT(ISNUMBER($F154)),"数量须为数字",IF(NOT(ISNUMBER($G154)),"单价须为数字",IF(N($F154)&lt;=0,"数量须大于0",IF($I154="","请选是否入库",IF(AND($I154="是",ISNA(MATCH($E154,基础资料!$Q$6:$Q$205,0))),"入库商品必须在商品档案中",IF(AND($I154="否",$J154&lt;&gt;"",ISNA(MATCH($J154,科目参数!$A$6:$A$125,0))),"费用科目不存在","√"))))))))))))</f>
        <v/>
      </c>
      <c r="O154" s="49" t="str">
        <f aca="false">IF($E154="","",IFERROR(INDEX(基础资料!$R$6:$R$205,MATCH($E154,基础资料!$Q$6:$Q$205,0)),""))</f>
        <v/>
      </c>
      <c r="P154" s="49" t="str">
        <f aca="false">IF($E154="","",IFERROR(INDEX(基础资料!$S$6:$S$205,MATCH($E154,基础资料!$Q$6:$Q$205,0)),""))</f>
        <v/>
      </c>
      <c r="Q154" s="48" t="str">
        <f aca="false">IF(OR($F154="",$G154=""),"",ROUND(N($F154)*N($G154),2))</f>
        <v/>
      </c>
      <c r="R154" s="48" t="str">
        <f aca="false">IF($Q154="","",ROUND(N($Q154)*N($H154),2))</f>
        <v/>
      </c>
      <c r="S154" s="48" t="str">
        <f aca="false">IF($Q154="","",N($Q154)+N($R154))</f>
        <v/>
      </c>
      <c r="T154" s="52" t="str">
        <f aca="false">IF(OR($B154="",$D154=""),"",$B154+N(IFERROR(INDEX(基础资料!$AH$6:$AH$155,MATCH($D154,基础资料!$AF$6:$AF$155,0)),0)))</f>
        <v/>
      </c>
      <c r="U154" s="49" t="str">
        <f aca="false">IF($Q154="","",IF($I154="是","1405",IF($J154="","6602",$J154)))</f>
        <v/>
      </c>
      <c r="V154" s="49" t="str">
        <f aca="false">IF($Q154="","","2202")</f>
        <v/>
      </c>
      <c r="W154" s="48" t="str">
        <f aca="false">IF($Q154="","",$Q154)</f>
        <v/>
      </c>
      <c r="X154" s="49" t="str">
        <f aca="false">IF(N($R154)=0,"","2221")</f>
        <v/>
      </c>
      <c r="Y154" s="49" t="str">
        <f aca="false">IF(N($R154)=0,"","2202")</f>
        <v/>
      </c>
      <c r="Z154" s="48" t="str">
        <f aca="false">IF(N($R154)=0,"",$R154)</f>
        <v/>
      </c>
      <c r="AA154" s="49" t="str">
        <f aca="false">IF(AND($D154=供应商对账单!$B$3,$B154&gt;=供应商对账单!$E$3,$B154&lt;=供应商对账单!$H$3),COUNTIFS($D$5:$D154,供应商对账单!$B$3,$B$5:$B154,"&gt;="&amp;供应商对账单!$E$3,$B$5:$B154,"&lt;="&amp;供应商对账单!$H$3),"")</f>
        <v/>
      </c>
    </row>
    <row r="155" customFormat="false" ht="15.75" hidden="false" customHeight="true" outlineLevel="0" collapsed="false">
      <c r="A155" s="42" t="str">
        <f aca="false">IF($B155="","","CG"&amp;TEXT($B155,"yyyymm")&amp;"-"&amp;TEXT(ROW()-4,"000"))</f>
        <v/>
      </c>
      <c r="B155" s="41"/>
      <c r="C155" s="42" t="str">
        <f aca="false">IF($B155="","",TEXT($B155,"yyyy-mm"))</f>
        <v/>
      </c>
      <c r="D155" s="32"/>
      <c r="E155" s="36"/>
      <c r="F155" s="43"/>
      <c r="G155" s="40"/>
      <c r="H155" s="51"/>
      <c r="I155" s="33"/>
      <c r="J155" s="31"/>
      <c r="K155" s="33"/>
      <c r="L155" s="33"/>
      <c r="M155" s="36"/>
      <c r="N155" s="47" t="str">
        <f aca="false">IF($B155="","",IF(NOT(ISNUMBER($B155)),"日期不是日期格式",IF(YEAR($B155)&lt;&gt;首页!$B$3,"不在会计年度",IF($D155="","未选供应商",IF(ISNA(MATCH($D155,基础资料!$AF$6:$AF$155,0)),"供应商不在档案",IF($E155="","未填商品或内容",IF(NOT(ISNUMBER($F155)),"数量须为数字",IF(NOT(ISNUMBER($G155)),"单价须为数字",IF(N($F155)&lt;=0,"数量须大于0",IF($I155="","请选是否入库",IF(AND($I155="是",ISNA(MATCH($E155,基础资料!$Q$6:$Q$205,0))),"入库商品必须在商品档案中",IF(AND($I155="否",$J155&lt;&gt;"",ISNA(MATCH($J155,科目参数!$A$6:$A$125,0))),"费用科目不存在","√"))))))))))))</f>
        <v/>
      </c>
      <c r="O155" s="49" t="str">
        <f aca="false">IF($E155="","",IFERROR(INDEX(基础资料!$R$6:$R$205,MATCH($E155,基础资料!$Q$6:$Q$205,0)),""))</f>
        <v/>
      </c>
      <c r="P155" s="49" t="str">
        <f aca="false">IF($E155="","",IFERROR(INDEX(基础资料!$S$6:$S$205,MATCH($E155,基础资料!$Q$6:$Q$205,0)),""))</f>
        <v/>
      </c>
      <c r="Q155" s="48" t="str">
        <f aca="false">IF(OR($F155="",$G155=""),"",ROUND(N($F155)*N($G155),2))</f>
        <v/>
      </c>
      <c r="R155" s="48" t="str">
        <f aca="false">IF($Q155="","",ROUND(N($Q155)*N($H155),2))</f>
        <v/>
      </c>
      <c r="S155" s="48" t="str">
        <f aca="false">IF($Q155="","",N($Q155)+N($R155))</f>
        <v/>
      </c>
      <c r="T155" s="52" t="str">
        <f aca="false">IF(OR($B155="",$D155=""),"",$B155+N(IFERROR(INDEX(基础资料!$AH$6:$AH$155,MATCH($D155,基础资料!$AF$6:$AF$155,0)),0)))</f>
        <v/>
      </c>
      <c r="U155" s="49" t="str">
        <f aca="false">IF($Q155="","",IF($I155="是","1405",IF($J155="","6602",$J155)))</f>
        <v/>
      </c>
      <c r="V155" s="49" t="str">
        <f aca="false">IF($Q155="","","2202")</f>
        <v/>
      </c>
      <c r="W155" s="48" t="str">
        <f aca="false">IF($Q155="","",$Q155)</f>
        <v/>
      </c>
      <c r="X155" s="49" t="str">
        <f aca="false">IF(N($R155)=0,"","2221")</f>
        <v/>
      </c>
      <c r="Y155" s="49" t="str">
        <f aca="false">IF(N($R155)=0,"","2202")</f>
        <v/>
      </c>
      <c r="Z155" s="48" t="str">
        <f aca="false">IF(N($R155)=0,"",$R155)</f>
        <v/>
      </c>
      <c r="AA155" s="49" t="str">
        <f aca="false">IF(AND($D155=供应商对账单!$B$3,$B155&gt;=供应商对账单!$E$3,$B155&lt;=供应商对账单!$H$3),COUNTIFS($D$5:$D155,供应商对账单!$B$3,$B$5:$B155,"&gt;="&amp;供应商对账单!$E$3,$B$5:$B155,"&lt;="&amp;供应商对账单!$H$3),"")</f>
        <v/>
      </c>
    </row>
    <row r="156" customFormat="false" ht="15.75" hidden="false" customHeight="true" outlineLevel="0" collapsed="false">
      <c r="A156" s="42" t="str">
        <f aca="false">IF($B156="","","CG"&amp;TEXT($B156,"yyyymm")&amp;"-"&amp;TEXT(ROW()-4,"000"))</f>
        <v/>
      </c>
      <c r="B156" s="41"/>
      <c r="C156" s="42" t="str">
        <f aca="false">IF($B156="","",TEXT($B156,"yyyy-mm"))</f>
        <v/>
      </c>
      <c r="D156" s="32"/>
      <c r="E156" s="36"/>
      <c r="F156" s="43"/>
      <c r="G156" s="40"/>
      <c r="H156" s="51"/>
      <c r="I156" s="33"/>
      <c r="J156" s="31"/>
      <c r="K156" s="33"/>
      <c r="L156" s="33"/>
      <c r="M156" s="36"/>
      <c r="N156" s="47" t="str">
        <f aca="false">IF($B156="","",IF(NOT(ISNUMBER($B156)),"日期不是日期格式",IF(YEAR($B156)&lt;&gt;首页!$B$3,"不在会计年度",IF($D156="","未选供应商",IF(ISNA(MATCH($D156,基础资料!$AF$6:$AF$155,0)),"供应商不在档案",IF($E156="","未填商品或内容",IF(NOT(ISNUMBER($F156)),"数量须为数字",IF(NOT(ISNUMBER($G156)),"单价须为数字",IF(N($F156)&lt;=0,"数量须大于0",IF($I156="","请选是否入库",IF(AND($I156="是",ISNA(MATCH($E156,基础资料!$Q$6:$Q$205,0))),"入库商品必须在商品档案中",IF(AND($I156="否",$J156&lt;&gt;"",ISNA(MATCH($J156,科目参数!$A$6:$A$125,0))),"费用科目不存在","√"))))))))))))</f>
        <v/>
      </c>
      <c r="O156" s="49" t="str">
        <f aca="false">IF($E156="","",IFERROR(INDEX(基础资料!$R$6:$R$205,MATCH($E156,基础资料!$Q$6:$Q$205,0)),""))</f>
        <v/>
      </c>
      <c r="P156" s="49" t="str">
        <f aca="false">IF($E156="","",IFERROR(INDEX(基础资料!$S$6:$S$205,MATCH($E156,基础资料!$Q$6:$Q$205,0)),""))</f>
        <v/>
      </c>
      <c r="Q156" s="48" t="str">
        <f aca="false">IF(OR($F156="",$G156=""),"",ROUND(N($F156)*N($G156),2))</f>
        <v/>
      </c>
      <c r="R156" s="48" t="str">
        <f aca="false">IF($Q156="","",ROUND(N($Q156)*N($H156),2))</f>
        <v/>
      </c>
      <c r="S156" s="48" t="str">
        <f aca="false">IF($Q156="","",N($Q156)+N($R156))</f>
        <v/>
      </c>
      <c r="T156" s="52" t="str">
        <f aca="false">IF(OR($B156="",$D156=""),"",$B156+N(IFERROR(INDEX(基础资料!$AH$6:$AH$155,MATCH($D156,基础资料!$AF$6:$AF$155,0)),0)))</f>
        <v/>
      </c>
      <c r="U156" s="49" t="str">
        <f aca="false">IF($Q156="","",IF($I156="是","1405",IF($J156="","6602",$J156)))</f>
        <v/>
      </c>
      <c r="V156" s="49" t="str">
        <f aca="false">IF($Q156="","","2202")</f>
        <v/>
      </c>
      <c r="W156" s="48" t="str">
        <f aca="false">IF($Q156="","",$Q156)</f>
        <v/>
      </c>
      <c r="X156" s="49" t="str">
        <f aca="false">IF(N($R156)=0,"","2221")</f>
        <v/>
      </c>
      <c r="Y156" s="49" t="str">
        <f aca="false">IF(N($R156)=0,"","2202")</f>
        <v/>
      </c>
      <c r="Z156" s="48" t="str">
        <f aca="false">IF(N($R156)=0,"",$R156)</f>
        <v/>
      </c>
      <c r="AA156" s="49" t="str">
        <f aca="false">IF(AND($D156=供应商对账单!$B$3,$B156&gt;=供应商对账单!$E$3,$B156&lt;=供应商对账单!$H$3),COUNTIFS($D$5:$D156,供应商对账单!$B$3,$B$5:$B156,"&gt;="&amp;供应商对账单!$E$3,$B$5:$B156,"&lt;="&amp;供应商对账单!$H$3),"")</f>
        <v/>
      </c>
    </row>
    <row r="157" customFormat="false" ht="15.75" hidden="false" customHeight="true" outlineLevel="0" collapsed="false">
      <c r="A157" s="42" t="str">
        <f aca="false">IF($B157="","","CG"&amp;TEXT($B157,"yyyymm")&amp;"-"&amp;TEXT(ROW()-4,"000"))</f>
        <v/>
      </c>
      <c r="B157" s="41"/>
      <c r="C157" s="42" t="str">
        <f aca="false">IF($B157="","",TEXT($B157,"yyyy-mm"))</f>
        <v/>
      </c>
      <c r="D157" s="32"/>
      <c r="E157" s="36"/>
      <c r="F157" s="43"/>
      <c r="G157" s="40"/>
      <c r="H157" s="51"/>
      <c r="I157" s="33"/>
      <c r="J157" s="31"/>
      <c r="K157" s="33"/>
      <c r="L157" s="33"/>
      <c r="M157" s="36"/>
      <c r="N157" s="47" t="str">
        <f aca="false">IF($B157="","",IF(NOT(ISNUMBER($B157)),"日期不是日期格式",IF(YEAR($B157)&lt;&gt;首页!$B$3,"不在会计年度",IF($D157="","未选供应商",IF(ISNA(MATCH($D157,基础资料!$AF$6:$AF$155,0)),"供应商不在档案",IF($E157="","未填商品或内容",IF(NOT(ISNUMBER($F157)),"数量须为数字",IF(NOT(ISNUMBER($G157)),"单价须为数字",IF(N($F157)&lt;=0,"数量须大于0",IF($I157="","请选是否入库",IF(AND($I157="是",ISNA(MATCH($E157,基础资料!$Q$6:$Q$205,0))),"入库商品必须在商品档案中",IF(AND($I157="否",$J157&lt;&gt;"",ISNA(MATCH($J157,科目参数!$A$6:$A$125,0))),"费用科目不存在","√"))))))))))))</f>
        <v/>
      </c>
      <c r="O157" s="49" t="str">
        <f aca="false">IF($E157="","",IFERROR(INDEX(基础资料!$R$6:$R$205,MATCH($E157,基础资料!$Q$6:$Q$205,0)),""))</f>
        <v/>
      </c>
      <c r="P157" s="49" t="str">
        <f aca="false">IF($E157="","",IFERROR(INDEX(基础资料!$S$6:$S$205,MATCH($E157,基础资料!$Q$6:$Q$205,0)),""))</f>
        <v/>
      </c>
      <c r="Q157" s="48" t="str">
        <f aca="false">IF(OR($F157="",$G157=""),"",ROUND(N($F157)*N($G157),2))</f>
        <v/>
      </c>
      <c r="R157" s="48" t="str">
        <f aca="false">IF($Q157="","",ROUND(N($Q157)*N($H157),2))</f>
        <v/>
      </c>
      <c r="S157" s="48" t="str">
        <f aca="false">IF($Q157="","",N($Q157)+N($R157))</f>
        <v/>
      </c>
      <c r="T157" s="52" t="str">
        <f aca="false">IF(OR($B157="",$D157=""),"",$B157+N(IFERROR(INDEX(基础资料!$AH$6:$AH$155,MATCH($D157,基础资料!$AF$6:$AF$155,0)),0)))</f>
        <v/>
      </c>
      <c r="U157" s="49" t="str">
        <f aca="false">IF($Q157="","",IF($I157="是","1405",IF($J157="","6602",$J157)))</f>
        <v/>
      </c>
      <c r="V157" s="49" t="str">
        <f aca="false">IF($Q157="","","2202")</f>
        <v/>
      </c>
      <c r="W157" s="48" t="str">
        <f aca="false">IF($Q157="","",$Q157)</f>
        <v/>
      </c>
      <c r="X157" s="49" t="str">
        <f aca="false">IF(N($R157)=0,"","2221")</f>
        <v/>
      </c>
      <c r="Y157" s="49" t="str">
        <f aca="false">IF(N($R157)=0,"","2202")</f>
        <v/>
      </c>
      <c r="Z157" s="48" t="str">
        <f aca="false">IF(N($R157)=0,"",$R157)</f>
        <v/>
      </c>
      <c r="AA157" s="49" t="str">
        <f aca="false">IF(AND($D157=供应商对账单!$B$3,$B157&gt;=供应商对账单!$E$3,$B157&lt;=供应商对账单!$H$3),COUNTIFS($D$5:$D157,供应商对账单!$B$3,$B$5:$B157,"&gt;="&amp;供应商对账单!$E$3,$B$5:$B157,"&lt;="&amp;供应商对账单!$H$3),"")</f>
        <v/>
      </c>
    </row>
    <row r="158" customFormat="false" ht="15.75" hidden="false" customHeight="true" outlineLevel="0" collapsed="false">
      <c r="A158" s="42" t="str">
        <f aca="false">IF($B158="","","CG"&amp;TEXT($B158,"yyyymm")&amp;"-"&amp;TEXT(ROW()-4,"000"))</f>
        <v/>
      </c>
      <c r="B158" s="41"/>
      <c r="C158" s="42" t="str">
        <f aca="false">IF($B158="","",TEXT($B158,"yyyy-mm"))</f>
        <v/>
      </c>
      <c r="D158" s="32"/>
      <c r="E158" s="36"/>
      <c r="F158" s="43"/>
      <c r="G158" s="40"/>
      <c r="H158" s="51"/>
      <c r="I158" s="33"/>
      <c r="J158" s="31"/>
      <c r="K158" s="33"/>
      <c r="L158" s="33"/>
      <c r="M158" s="36"/>
      <c r="N158" s="47" t="str">
        <f aca="false">IF($B158="","",IF(NOT(ISNUMBER($B158)),"日期不是日期格式",IF(YEAR($B158)&lt;&gt;首页!$B$3,"不在会计年度",IF($D158="","未选供应商",IF(ISNA(MATCH($D158,基础资料!$AF$6:$AF$155,0)),"供应商不在档案",IF($E158="","未填商品或内容",IF(NOT(ISNUMBER($F158)),"数量须为数字",IF(NOT(ISNUMBER($G158)),"单价须为数字",IF(N($F158)&lt;=0,"数量须大于0",IF($I158="","请选是否入库",IF(AND($I158="是",ISNA(MATCH($E158,基础资料!$Q$6:$Q$205,0))),"入库商品必须在商品档案中",IF(AND($I158="否",$J158&lt;&gt;"",ISNA(MATCH($J158,科目参数!$A$6:$A$125,0))),"费用科目不存在","√"))))))))))))</f>
        <v/>
      </c>
      <c r="O158" s="49" t="str">
        <f aca="false">IF($E158="","",IFERROR(INDEX(基础资料!$R$6:$R$205,MATCH($E158,基础资料!$Q$6:$Q$205,0)),""))</f>
        <v/>
      </c>
      <c r="P158" s="49" t="str">
        <f aca="false">IF($E158="","",IFERROR(INDEX(基础资料!$S$6:$S$205,MATCH($E158,基础资料!$Q$6:$Q$205,0)),""))</f>
        <v/>
      </c>
      <c r="Q158" s="48" t="str">
        <f aca="false">IF(OR($F158="",$G158=""),"",ROUND(N($F158)*N($G158),2))</f>
        <v/>
      </c>
      <c r="R158" s="48" t="str">
        <f aca="false">IF($Q158="","",ROUND(N($Q158)*N($H158),2))</f>
        <v/>
      </c>
      <c r="S158" s="48" t="str">
        <f aca="false">IF($Q158="","",N($Q158)+N($R158))</f>
        <v/>
      </c>
      <c r="T158" s="52" t="str">
        <f aca="false">IF(OR($B158="",$D158=""),"",$B158+N(IFERROR(INDEX(基础资料!$AH$6:$AH$155,MATCH($D158,基础资料!$AF$6:$AF$155,0)),0)))</f>
        <v/>
      </c>
      <c r="U158" s="49" t="str">
        <f aca="false">IF($Q158="","",IF($I158="是","1405",IF($J158="","6602",$J158)))</f>
        <v/>
      </c>
      <c r="V158" s="49" t="str">
        <f aca="false">IF($Q158="","","2202")</f>
        <v/>
      </c>
      <c r="W158" s="48" t="str">
        <f aca="false">IF($Q158="","",$Q158)</f>
        <v/>
      </c>
      <c r="X158" s="49" t="str">
        <f aca="false">IF(N($R158)=0,"","2221")</f>
        <v/>
      </c>
      <c r="Y158" s="49" t="str">
        <f aca="false">IF(N($R158)=0,"","2202")</f>
        <v/>
      </c>
      <c r="Z158" s="48" t="str">
        <f aca="false">IF(N($R158)=0,"",$R158)</f>
        <v/>
      </c>
      <c r="AA158" s="49" t="str">
        <f aca="false">IF(AND($D158=供应商对账单!$B$3,$B158&gt;=供应商对账单!$E$3,$B158&lt;=供应商对账单!$H$3),COUNTIFS($D$5:$D158,供应商对账单!$B$3,$B$5:$B158,"&gt;="&amp;供应商对账单!$E$3,$B$5:$B158,"&lt;="&amp;供应商对账单!$H$3),"")</f>
        <v/>
      </c>
    </row>
    <row r="159" customFormat="false" ht="15.75" hidden="false" customHeight="true" outlineLevel="0" collapsed="false">
      <c r="A159" s="42" t="str">
        <f aca="false">IF($B159="","","CG"&amp;TEXT($B159,"yyyymm")&amp;"-"&amp;TEXT(ROW()-4,"000"))</f>
        <v/>
      </c>
      <c r="B159" s="41"/>
      <c r="C159" s="42" t="str">
        <f aca="false">IF($B159="","",TEXT($B159,"yyyy-mm"))</f>
        <v/>
      </c>
      <c r="D159" s="32"/>
      <c r="E159" s="36"/>
      <c r="F159" s="43"/>
      <c r="G159" s="40"/>
      <c r="H159" s="51"/>
      <c r="I159" s="33"/>
      <c r="J159" s="31"/>
      <c r="K159" s="33"/>
      <c r="L159" s="33"/>
      <c r="M159" s="36"/>
      <c r="N159" s="47" t="str">
        <f aca="false">IF($B159="","",IF(NOT(ISNUMBER($B159)),"日期不是日期格式",IF(YEAR($B159)&lt;&gt;首页!$B$3,"不在会计年度",IF($D159="","未选供应商",IF(ISNA(MATCH($D159,基础资料!$AF$6:$AF$155,0)),"供应商不在档案",IF($E159="","未填商品或内容",IF(NOT(ISNUMBER($F159)),"数量须为数字",IF(NOT(ISNUMBER($G159)),"单价须为数字",IF(N($F159)&lt;=0,"数量须大于0",IF($I159="","请选是否入库",IF(AND($I159="是",ISNA(MATCH($E159,基础资料!$Q$6:$Q$205,0))),"入库商品必须在商品档案中",IF(AND($I159="否",$J159&lt;&gt;"",ISNA(MATCH($J159,科目参数!$A$6:$A$125,0))),"费用科目不存在","√"))))))))))))</f>
        <v/>
      </c>
      <c r="O159" s="49" t="str">
        <f aca="false">IF($E159="","",IFERROR(INDEX(基础资料!$R$6:$R$205,MATCH($E159,基础资料!$Q$6:$Q$205,0)),""))</f>
        <v/>
      </c>
      <c r="P159" s="49" t="str">
        <f aca="false">IF($E159="","",IFERROR(INDEX(基础资料!$S$6:$S$205,MATCH($E159,基础资料!$Q$6:$Q$205,0)),""))</f>
        <v/>
      </c>
      <c r="Q159" s="48" t="str">
        <f aca="false">IF(OR($F159="",$G159=""),"",ROUND(N($F159)*N($G159),2))</f>
        <v/>
      </c>
      <c r="R159" s="48" t="str">
        <f aca="false">IF($Q159="","",ROUND(N($Q159)*N($H159),2))</f>
        <v/>
      </c>
      <c r="S159" s="48" t="str">
        <f aca="false">IF($Q159="","",N($Q159)+N($R159))</f>
        <v/>
      </c>
      <c r="T159" s="52" t="str">
        <f aca="false">IF(OR($B159="",$D159=""),"",$B159+N(IFERROR(INDEX(基础资料!$AH$6:$AH$155,MATCH($D159,基础资料!$AF$6:$AF$155,0)),0)))</f>
        <v/>
      </c>
      <c r="U159" s="49" t="str">
        <f aca="false">IF($Q159="","",IF($I159="是","1405",IF($J159="","6602",$J159)))</f>
        <v/>
      </c>
      <c r="V159" s="49" t="str">
        <f aca="false">IF($Q159="","","2202")</f>
        <v/>
      </c>
      <c r="W159" s="48" t="str">
        <f aca="false">IF($Q159="","",$Q159)</f>
        <v/>
      </c>
      <c r="X159" s="49" t="str">
        <f aca="false">IF(N($R159)=0,"","2221")</f>
        <v/>
      </c>
      <c r="Y159" s="49" t="str">
        <f aca="false">IF(N($R159)=0,"","2202")</f>
        <v/>
      </c>
      <c r="Z159" s="48" t="str">
        <f aca="false">IF(N($R159)=0,"",$R159)</f>
        <v/>
      </c>
      <c r="AA159" s="49" t="str">
        <f aca="false">IF(AND($D159=供应商对账单!$B$3,$B159&gt;=供应商对账单!$E$3,$B159&lt;=供应商对账单!$H$3),COUNTIFS($D$5:$D159,供应商对账单!$B$3,$B$5:$B159,"&gt;="&amp;供应商对账单!$E$3,$B$5:$B159,"&lt;="&amp;供应商对账单!$H$3),"")</f>
        <v/>
      </c>
    </row>
    <row r="160" customFormat="false" ht="15.75" hidden="false" customHeight="true" outlineLevel="0" collapsed="false">
      <c r="A160" s="42" t="str">
        <f aca="false">IF($B160="","","CG"&amp;TEXT($B160,"yyyymm")&amp;"-"&amp;TEXT(ROW()-4,"000"))</f>
        <v/>
      </c>
      <c r="B160" s="41"/>
      <c r="C160" s="42" t="str">
        <f aca="false">IF($B160="","",TEXT($B160,"yyyy-mm"))</f>
        <v/>
      </c>
      <c r="D160" s="32"/>
      <c r="E160" s="36"/>
      <c r="F160" s="43"/>
      <c r="G160" s="40"/>
      <c r="H160" s="51"/>
      <c r="I160" s="33"/>
      <c r="J160" s="31"/>
      <c r="K160" s="33"/>
      <c r="L160" s="33"/>
      <c r="M160" s="36"/>
      <c r="N160" s="47" t="str">
        <f aca="false">IF($B160="","",IF(NOT(ISNUMBER($B160)),"日期不是日期格式",IF(YEAR($B160)&lt;&gt;首页!$B$3,"不在会计年度",IF($D160="","未选供应商",IF(ISNA(MATCH($D160,基础资料!$AF$6:$AF$155,0)),"供应商不在档案",IF($E160="","未填商品或内容",IF(NOT(ISNUMBER($F160)),"数量须为数字",IF(NOT(ISNUMBER($G160)),"单价须为数字",IF(N($F160)&lt;=0,"数量须大于0",IF($I160="","请选是否入库",IF(AND($I160="是",ISNA(MATCH($E160,基础资料!$Q$6:$Q$205,0))),"入库商品必须在商品档案中",IF(AND($I160="否",$J160&lt;&gt;"",ISNA(MATCH($J160,科目参数!$A$6:$A$125,0))),"费用科目不存在","√"))))))))))))</f>
        <v/>
      </c>
      <c r="O160" s="49" t="str">
        <f aca="false">IF($E160="","",IFERROR(INDEX(基础资料!$R$6:$R$205,MATCH($E160,基础资料!$Q$6:$Q$205,0)),""))</f>
        <v/>
      </c>
      <c r="P160" s="49" t="str">
        <f aca="false">IF($E160="","",IFERROR(INDEX(基础资料!$S$6:$S$205,MATCH($E160,基础资料!$Q$6:$Q$205,0)),""))</f>
        <v/>
      </c>
      <c r="Q160" s="48" t="str">
        <f aca="false">IF(OR($F160="",$G160=""),"",ROUND(N($F160)*N($G160),2))</f>
        <v/>
      </c>
      <c r="R160" s="48" t="str">
        <f aca="false">IF($Q160="","",ROUND(N($Q160)*N($H160),2))</f>
        <v/>
      </c>
      <c r="S160" s="48" t="str">
        <f aca="false">IF($Q160="","",N($Q160)+N($R160))</f>
        <v/>
      </c>
      <c r="T160" s="52" t="str">
        <f aca="false">IF(OR($B160="",$D160=""),"",$B160+N(IFERROR(INDEX(基础资料!$AH$6:$AH$155,MATCH($D160,基础资料!$AF$6:$AF$155,0)),0)))</f>
        <v/>
      </c>
      <c r="U160" s="49" t="str">
        <f aca="false">IF($Q160="","",IF($I160="是","1405",IF($J160="","6602",$J160)))</f>
        <v/>
      </c>
      <c r="V160" s="49" t="str">
        <f aca="false">IF($Q160="","","2202")</f>
        <v/>
      </c>
      <c r="W160" s="48" t="str">
        <f aca="false">IF($Q160="","",$Q160)</f>
        <v/>
      </c>
      <c r="X160" s="49" t="str">
        <f aca="false">IF(N($R160)=0,"","2221")</f>
        <v/>
      </c>
      <c r="Y160" s="49" t="str">
        <f aca="false">IF(N($R160)=0,"","2202")</f>
        <v/>
      </c>
      <c r="Z160" s="48" t="str">
        <f aca="false">IF(N($R160)=0,"",$R160)</f>
        <v/>
      </c>
      <c r="AA160" s="49" t="str">
        <f aca="false">IF(AND($D160=供应商对账单!$B$3,$B160&gt;=供应商对账单!$E$3,$B160&lt;=供应商对账单!$H$3),COUNTIFS($D$5:$D160,供应商对账单!$B$3,$B$5:$B160,"&gt;="&amp;供应商对账单!$E$3,$B$5:$B160,"&lt;="&amp;供应商对账单!$H$3),"")</f>
        <v/>
      </c>
    </row>
    <row r="161" customFormat="false" ht="15.75" hidden="false" customHeight="true" outlineLevel="0" collapsed="false">
      <c r="A161" s="42" t="str">
        <f aca="false">IF($B161="","","CG"&amp;TEXT($B161,"yyyymm")&amp;"-"&amp;TEXT(ROW()-4,"000"))</f>
        <v/>
      </c>
      <c r="B161" s="41"/>
      <c r="C161" s="42" t="str">
        <f aca="false">IF($B161="","",TEXT($B161,"yyyy-mm"))</f>
        <v/>
      </c>
      <c r="D161" s="32"/>
      <c r="E161" s="36"/>
      <c r="F161" s="43"/>
      <c r="G161" s="40"/>
      <c r="H161" s="51"/>
      <c r="I161" s="33"/>
      <c r="J161" s="31"/>
      <c r="K161" s="33"/>
      <c r="L161" s="33"/>
      <c r="M161" s="36"/>
      <c r="N161" s="47" t="str">
        <f aca="false">IF($B161="","",IF(NOT(ISNUMBER($B161)),"日期不是日期格式",IF(YEAR($B161)&lt;&gt;首页!$B$3,"不在会计年度",IF($D161="","未选供应商",IF(ISNA(MATCH($D161,基础资料!$AF$6:$AF$155,0)),"供应商不在档案",IF($E161="","未填商品或内容",IF(NOT(ISNUMBER($F161)),"数量须为数字",IF(NOT(ISNUMBER($G161)),"单价须为数字",IF(N($F161)&lt;=0,"数量须大于0",IF($I161="","请选是否入库",IF(AND($I161="是",ISNA(MATCH($E161,基础资料!$Q$6:$Q$205,0))),"入库商品必须在商品档案中",IF(AND($I161="否",$J161&lt;&gt;"",ISNA(MATCH($J161,科目参数!$A$6:$A$125,0))),"费用科目不存在","√"))))))))))))</f>
        <v/>
      </c>
      <c r="O161" s="49" t="str">
        <f aca="false">IF($E161="","",IFERROR(INDEX(基础资料!$R$6:$R$205,MATCH($E161,基础资料!$Q$6:$Q$205,0)),""))</f>
        <v/>
      </c>
      <c r="P161" s="49" t="str">
        <f aca="false">IF($E161="","",IFERROR(INDEX(基础资料!$S$6:$S$205,MATCH($E161,基础资料!$Q$6:$Q$205,0)),""))</f>
        <v/>
      </c>
      <c r="Q161" s="48" t="str">
        <f aca="false">IF(OR($F161="",$G161=""),"",ROUND(N($F161)*N($G161),2))</f>
        <v/>
      </c>
      <c r="R161" s="48" t="str">
        <f aca="false">IF($Q161="","",ROUND(N($Q161)*N($H161),2))</f>
        <v/>
      </c>
      <c r="S161" s="48" t="str">
        <f aca="false">IF($Q161="","",N($Q161)+N($R161))</f>
        <v/>
      </c>
      <c r="T161" s="52" t="str">
        <f aca="false">IF(OR($B161="",$D161=""),"",$B161+N(IFERROR(INDEX(基础资料!$AH$6:$AH$155,MATCH($D161,基础资料!$AF$6:$AF$155,0)),0)))</f>
        <v/>
      </c>
      <c r="U161" s="49" t="str">
        <f aca="false">IF($Q161="","",IF($I161="是","1405",IF($J161="","6602",$J161)))</f>
        <v/>
      </c>
      <c r="V161" s="49" t="str">
        <f aca="false">IF($Q161="","","2202")</f>
        <v/>
      </c>
      <c r="W161" s="48" t="str">
        <f aca="false">IF($Q161="","",$Q161)</f>
        <v/>
      </c>
      <c r="X161" s="49" t="str">
        <f aca="false">IF(N($R161)=0,"","2221")</f>
        <v/>
      </c>
      <c r="Y161" s="49" t="str">
        <f aca="false">IF(N($R161)=0,"","2202")</f>
        <v/>
      </c>
      <c r="Z161" s="48" t="str">
        <f aca="false">IF(N($R161)=0,"",$R161)</f>
        <v/>
      </c>
      <c r="AA161" s="49" t="str">
        <f aca="false">IF(AND($D161=供应商对账单!$B$3,$B161&gt;=供应商对账单!$E$3,$B161&lt;=供应商对账单!$H$3),COUNTIFS($D$5:$D161,供应商对账单!$B$3,$B$5:$B161,"&gt;="&amp;供应商对账单!$E$3,$B$5:$B161,"&lt;="&amp;供应商对账单!$H$3),"")</f>
        <v/>
      </c>
    </row>
    <row r="162" customFormat="false" ht="15.75" hidden="false" customHeight="true" outlineLevel="0" collapsed="false">
      <c r="A162" s="42" t="str">
        <f aca="false">IF($B162="","","CG"&amp;TEXT($B162,"yyyymm")&amp;"-"&amp;TEXT(ROW()-4,"000"))</f>
        <v/>
      </c>
      <c r="B162" s="41"/>
      <c r="C162" s="42" t="str">
        <f aca="false">IF($B162="","",TEXT($B162,"yyyy-mm"))</f>
        <v/>
      </c>
      <c r="D162" s="32"/>
      <c r="E162" s="36"/>
      <c r="F162" s="43"/>
      <c r="G162" s="40"/>
      <c r="H162" s="51"/>
      <c r="I162" s="33"/>
      <c r="J162" s="31"/>
      <c r="K162" s="33"/>
      <c r="L162" s="33"/>
      <c r="M162" s="36"/>
      <c r="N162" s="47" t="str">
        <f aca="false">IF($B162="","",IF(NOT(ISNUMBER($B162)),"日期不是日期格式",IF(YEAR($B162)&lt;&gt;首页!$B$3,"不在会计年度",IF($D162="","未选供应商",IF(ISNA(MATCH($D162,基础资料!$AF$6:$AF$155,0)),"供应商不在档案",IF($E162="","未填商品或内容",IF(NOT(ISNUMBER($F162)),"数量须为数字",IF(NOT(ISNUMBER($G162)),"单价须为数字",IF(N($F162)&lt;=0,"数量须大于0",IF($I162="","请选是否入库",IF(AND($I162="是",ISNA(MATCH($E162,基础资料!$Q$6:$Q$205,0))),"入库商品必须在商品档案中",IF(AND($I162="否",$J162&lt;&gt;"",ISNA(MATCH($J162,科目参数!$A$6:$A$125,0))),"费用科目不存在","√"))))))))))))</f>
        <v/>
      </c>
      <c r="O162" s="49" t="str">
        <f aca="false">IF($E162="","",IFERROR(INDEX(基础资料!$R$6:$R$205,MATCH($E162,基础资料!$Q$6:$Q$205,0)),""))</f>
        <v/>
      </c>
      <c r="P162" s="49" t="str">
        <f aca="false">IF($E162="","",IFERROR(INDEX(基础资料!$S$6:$S$205,MATCH($E162,基础资料!$Q$6:$Q$205,0)),""))</f>
        <v/>
      </c>
      <c r="Q162" s="48" t="str">
        <f aca="false">IF(OR($F162="",$G162=""),"",ROUND(N($F162)*N($G162),2))</f>
        <v/>
      </c>
      <c r="R162" s="48" t="str">
        <f aca="false">IF($Q162="","",ROUND(N($Q162)*N($H162),2))</f>
        <v/>
      </c>
      <c r="S162" s="48" t="str">
        <f aca="false">IF($Q162="","",N($Q162)+N($R162))</f>
        <v/>
      </c>
      <c r="T162" s="52" t="str">
        <f aca="false">IF(OR($B162="",$D162=""),"",$B162+N(IFERROR(INDEX(基础资料!$AH$6:$AH$155,MATCH($D162,基础资料!$AF$6:$AF$155,0)),0)))</f>
        <v/>
      </c>
      <c r="U162" s="49" t="str">
        <f aca="false">IF($Q162="","",IF($I162="是","1405",IF($J162="","6602",$J162)))</f>
        <v/>
      </c>
      <c r="V162" s="49" t="str">
        <f aca="false">IF($Q162="","","2202")</f>
        <v/>
      </c>
      <c r="W162" s="48" t="str">
        <f aca="false">IF($Q162="","",$Q162)</f>
        <v/>
      </c>
      <c r="X162" s="49" t="str">
        <f aca="false">IF(N($R162)=0,"","2221")</f>
        <v/>
      </c>
      <c r="Y162" s="49" t="str">
        <f aca="false">IF(N($R162)=0,"","2202")</f>
        <v/>
      </c>
      <c r="Z162" s="48" t="str">
        <f aca="false">IF(N($R162)=0,"",$R162)</f>
        <v/>
      </c>
      <c r="AA162" s="49" t="str">
        <f aca="false">IF(AND($D162=供应商对账单!$B$3,$B162&gt;=供应商对账单!$E$3,$B162&lt;=供应商对账单!$H$3),COUNTIFS($D$5:$D162,供应商对账单!$B$3,$B$5:$B162,"&gt;="&amp;供应商对账单!$E$3,$B$5:$B162,"&lt;="&amp;供应商对账单!$H$3),"")</f>
        <v/>
      </c>
    </row>
    <row r="163" customFormat="false" ht="15.75" hidden="false" customHeight="true" outlineLevel="0" collapsed="false">
      <c r="A163" s="42" t="str">
        <f aca="false">IF($B163="","","CG"&amp;TEXT($B163,"yyyymm")&amp;"-"&amp;TEXT(ROW()-4,"000"))</f>
        <v/>
      </c>
      <c r="B163" s="41"/>
      <c r="C163" s="42" t="str">
        <f aca="false">IF($B163="","",TEXT($B163,"yyyy-mm"))</f>
        <v/>
      </c>
      <c r="D163" s="32"/>
      <c r="E163" s="36"/>
      <c r="F163" s="43"/>
      <c r="G163" s="40"/>
      <c r="H163" s="51"/>
      <c r="I163" s="33"/>
      <c r="J163" s="31"/>
      <c r="K163" s="33"/>
      <c r="L163" s="33"/>
      <c r="M163" s="36"/>
      <c r="N163" s="47" t="str">
        <f aca="false">IF($B163="","",IF(NOT(ISNUMBER($B163)),"日期不是日期格式",IF(YEAR($B163)&lt;&gt;首页!$B$3,"不在会计年度",IF($D163="","未选供应商",IF(ISNA(MATCH($D163,基础资料!$AF$6:$AF$155,0)),"供应商不在档案",IF($E163="","未填商品或内容",IF(NOT(ISNUMBER($F163)),"数量须为数字",IF(NOT(ISNUMBER($G163)),"单价须为数字",IF(N($F163)&lt;=0,"数量须大于0",IF($I163="","请选是否入库",IF(AND($I163="是",ISNA(MATCH($E163,基础资料!$Q$6:$Q$205,0))),"入库商品必须在商品档案中",IF(AND($I163="否",$J163&lt;&gt;"",ISNA(MATCH($J163,科目参数!$A$6:$A$125,0))),"费用科目不存在","√"))))))))))))</f>
        <v/>
      </c>
      <c r="O163" s="49" t="str">
        <f aca="false">IF($E163="","",IFERROR(INDEX(基础资料!$R$6:$R$205,MATCH($E163,基础资料!$Q$6:$Q$205,0)),""))</f>
        <v/>
      </c>
      <c r="P163" s="49" t="str">
        <f aca="false">IF($E163="","",IFERROR(INDEX(基础资料!$S$6:$S$205,MATCH($E163,基础资料!$Q$6:$Q$205,0)),""))</f>
        <v/>
      </c>
      <c r="Q163" s="48" t="str">
        <f aca="false">IF(OR($F163="",$G163=""),"",ROUND(N($F163)*N($G163),2))</f>
        <v/>
      </c>
      <c r="R163" s="48" t="str">
        <f aca="false">IF($Q163="","",ROUND(N($Q163)*N($H163),2))</f>
        <v/>
      </c>
      <c r="S163" s="48" t="str">
        <f aca="false">IF($Q163="","",N($Q163)+N($R163))</f>
        <v/>
      </c>
      <c r="T163" s="52" t="str">
        <f aca="false">IF(OR($B163="",$D163=""),"",$B163+N(IFERROR(INDEX(基础资料!$AH$6:$AH$155,MATCH($D163,基础资料!$AF$6:$AF$155,0)),0)))</f>
        <v/>
      </c>
      <c r="U163" s="49" t="str">
        <f aca="false">IF($Q163="","",IF($I163="是","1405",IF($J163="","6602",$J163)))</f>
        <v/>
      </c>
      <c r="V163" s="49" t="str">
        <f aca="false">IF($Q163="","","2202")</f>
        <v/>
      </c>
      <c r="W163" s="48" t="str">
        <f aca="false">IF($Q163="","",$Q163)</f>
        <v/>
      </c>
      <c r="X163" s="49" t="str">
        <f aca="false">IF(N($R163)=0,"","2221")</f>
        <v/>
      </c>
      <c r="Y163" s="49" t="str">
        <f aca="false">IF(N($R163)=0,"","2202")</f>
        <v/>
      </c>
      <c r="Z163" s="48" t="str">
        <f aca="false">IF(N($R163)=0,"",$R163)</f>
        <v/>
      </c>
      <c r="AA163" s="49" t="str">
        <f aca="false">IF(AND($D163=供应商对账单!$B$3,$B163&gt;=供应商对账单!$E$3,$B163&lt;=供应商对账单!$H$3),COUNTIFS($D$5:$D163,供应商对账单!$B$3,$B$5:$B163,"&gt;="&amp;供应商对账单!$E$3,$B$5:$B163,"&lt;="&amp;供应商对账单!$H$3),"")</f>
        <v/>
      </c>
    </row>
    <row r="164" customFormat="false" ht="15.75" hidden="false" customHeight="true" outlineLevel="0" collapsed="false">
      <c r="A164" s="42" t="str">
        <f aca="false">IF($B164="","","CG"&amp;TEXT($B164,"yyyymm")&amp;"-"&amp;TEXT(ROW()-4,"000"))</f>
        <v/>
      </c>
      <c r="B164" s="41"/>
      <c r="C164" s="42" t="str">
        <f aca="false">IF($B164="","",TEXT($B164,"yyyy-mm"))</f>
        <v/>
      </c>
      <c r="D164" s="32"/>
      <c r="E164" s="36"/>
      <c r="F164" s="43"/>
      <c r="G164" s="40"/>
      <c r="H164" s="51"/>
      <c r="I164" s="33"/>
      <c r="J164" s="31"/>
      <c r="K164" s="33"/>
      <c r="L164" s="33"/>
      <c r="M164" s="36"/>
      <c r="N164" s="47" t="str">
        <f aca="false">IF($B164="","",IF(NOT(ISNUMBER($B164)),"日期不是日期格式",IF(YEAR($B164)&lt;&gt;首页!$B$3,"不在会计年度",IF($D164="","未选供应商",IF(ISNA(MATCH($D164,基础资料!$AF$6:$AF$155,0)),"供应商不在档案",IF($E164="","未填商品或内容",IF(NOT(ISNUMBER($F164)),"数量须为数字",IF(NOT(ISNUMBER($G164)),"单价须为数字",IF(N($F164)&lt;=0,"数量须大于0",IF($I164="","请选是否入库",IF(AND($I164="是",ISNA(MATCH($E164,基础资料!$Q$6:$Q$205,0))),"入库商品必须在商品档案中",IF(AND($I164="否",$J164&lt;&gt;"",ISNA(MATCH($J164,科目参数!$A$6:$A$125,0))),"费用科目不存在","√"))))))))))))</f>
        <v/>
      </c>
      <c r="O164" s="49" t="str">
        <f aca="false">IF($E164="","",IFERROR(INDEX(基础资料!$R$6:$R$205,MATCH($E164,基础资料!$Q$6:$Q$205,0)),""))</f>
        <v/>
      </c>
      <c r="P164" s="49" t="str">
        <f aca="false">IF($E164="","",IFERROR(INDEX(基础资料!$S$6:$S$205,MATCH($E164,基础资料!$Q$6:$Q$205,0)),""))</f>
        <v/>
      </c>
      <c r="Q164" s="48" t="str">
        <f aca="false">IF(OR($F164="",$G164=""),"",ROUND(N($F164)*N($G164),2))</f>
        <v/>
      </c>
      <c r="R164" s="48" t="str">
        <f aca="false">IF($Q164="","",ROUND(N($Q164)*N($H164),2))</f>
        <v/>
      </c>
      <c r="S164" s="48" t="str">
        <f aca="false">IF($Q164="","",N($Q164)+N($R164))</f>
        <v/>
      </c>
      <c r="T164" s="52" t="str">
        <f aca="false">IF(OR($B164="",$D164=""),"",$B164+N(IFERROR(INDEX(基础资料!$AH$6:$AH$155,MATCH($D164,基础资料!$AF$6:$AF$155,0)),0)))</f>
        <v/>
      </c>
      <c r="U164" s="49" t="str">
        <f aca="false">IF($Q164="","",IF($I164="是","1405",IF($J164="","6602",$J164)))</f>
        <v/>
      </c>
      <c r="V164" s="49" t="str">
        <f aca="false">IF($Q164="","","2202")</f>
        <v/>
      </c>
      <c r="W164" s="48" t="str">
        <f aca="false">IF($Q164="","",$Q164)</f>
        <v/>
      </c>
      <c r="X164" s="49" t="str">
        <f aca="false">IF(N($R164)=0,"","2221")</f>
        <v/>
      </c>
      <c r="Y164" s="49" t="str">
        <f aca="false">IF(N($R164)=0,"","2202")</f>
        <v/>
      </c>
      <c r="Z164" s="48" t="str">
        <f aca="false">IF(N($R164)=0,"",$R164)</f>
        <v/>
      </c>
      <c r="AA164" s="49" t="str">
        <f aca="false">IF(AND($D164=供应商对账单!$B$3,$B164&gt;=供应商对账单!$E$3,$B164&lt;=供应商对账单!$H$3),COUNTIFS($D$5:$D164,供应商对账单!$B$3,$B$5:$B164,"&gt;="&amp;供应商对账单!$E$3,$B$5:$B164,"&lt;="&amp;供应商对账单!$H$3),"")</f>
        <v/>
      </c>
    </row>
    <row r="165" customFormat="false" ht="15.75" hidden="false" customHeight="true" outlineLevel="0" collapsed="false">
      <c r="A165" s="42" t="str">
        <f aca="false">IF($B165="","","CG"&amp;TEXT($B165,"yyyymm")&amp;"-"&amp;TEXT(ROW()-4,"000"))</f>
        <v/>
      </c>
      <c r="B165" s="41"/>
      <c r="C165" s="42" t="str">
        <f aca="false">IF($B165="","",TEXT($B165,"yyyy-mm"))</f>
        <v/>
      </c>
      <c r="D165" s="32"/>
      <c r="E165" s="36"/>
      <c r="F165" s="43"/>
      <c r="G165" s="40"/>
      <c r="H165" s="51"/>
      <c r="I165" s="33"/>
      <c r="J165" s="31"/>
      <c r="K165" s="33"/>
      <c r="L165" s="33"/>
      <c r="M165" s="36"/>
      <c r="N165" s="47" t="str">
        <f aca="false">IF($B165="","",IF(NOT(ISNUMBER($B165)),"日期不是日期格式",IF(YEAR($B165)&lt;&gt;首页!$B$3,"不在会计年度",IF($D165="","未选供应商",IF(ISNA(MATCH($D165,基础资料!$AF$6:$AF$155,0)),"供应商不在档案",IF($E165="","未填商品或内容",IF(NOT(ISNUMBER($F165)),"数量须为数字",IF(NOT(ISNUMBER($G165)),"单价须为数字",IF(N($F165)&lt;=0,"数量须大于0",IF($I165="","请选是否入库",IF(AND($I165="是",ISNA(MATCH($E165,基础资料!$Q$6:$Q$205,0))),"入库商品必须在商品档案中",IF(AND($I165="否",$J165&lt;&gt;"",ISNA(MATCH($J165,科目参数!$A$6:$A$125,0))),"费用科目不存在","√"))))))))))))</f>
        <v/>
      </c>
      <c r="O165" s="49" t="str">
        <f aca="false">IF($E165="","",IFERROR(INDEX(基础资料!$R$6:$R$205,MATCH($E165,基础资料!$Q$6:$Q$205,0)),""))</f>
        <v/>
      </c>
      <c r="P165" s="49" t="str">
        <f aca="false">IF($E165="","",IFERROR(INDEX(基础资料!$S$6:$S$205,MATCH($E165,基础资料!$Q$6:$Q$205,0)),""))</f>
        <v/>
      </c>
      <c r="Q165" s="48" t="str">
        <f aca="false">IF(OR($F165="",$G165=""),"",ROUND(N($F165)*N($G165),2))</f>
        <v/>
      </c>
      <c r="R165" s="48" t="str">
        <f aca="false">IF($Q165="","",ROUND(N($Q165)*N($H165),2))</f>
        <v/>
      </c>
      <c r="S165" s="48" t="str">
        <f aca="false">IF($Q165="","",N($Q165)+N($R165))</f>
        <v/>
      </c>
      <c r="T165" s="52" t="str">
        <f aca="false">IF(OR($B165="",$D165=""),"",$B165+N(IFERROR(INDEX(基础资料!$AH$6:$AH$155,MATCH($D165,基础资料!$AF$6:$AF$155,0)),0)))</f>
        <v/>
      </c>
      <c r="U165" s="49" t="str">
        <f aca="false">IF($Q165="","",IF($I165="是","1405",IF($J165="","6602",$J165)))</f>
        <v/>
      </c>
      <c r="V165" s="49" t="str">
        <f aca="false">IF($Q165="","","2202")</f>
        <v/>
      </c>
      <c r="W165" s="48" t="str">
        <f aca="false">IF($Q165="","",$Q165)</f>
        <v/>
      </c>
      <c r="X165" s="49" t="str">
        <f aca="false">IF(N($R165)=0,"","2221")</f>
        <v/>
      </c>
      <c r="Y165" s="49" t="str">
        <f aca="false">IF(N($R165)=0,"","2202")</f>
        <v/>
      </c>
      <c r="Z165" s="48" t="str">
        <f aca="false">IF(N($R165)=0,"",$R165)</f>
        <v/>
      </c>
      <c r="AA165" s="49" t="str">
        <f aca="false">IF(AND($D165=供应商对账单!$B$3,$B165&gt;=供应商对账单!$E$3,$B165&lt;=供应商对账单!$H$3),COUNTIFS($D$5:$D165,供应商对账单!$B$3,$B$5:$B165,"&gt;="&amp;供应商对账单!$E$3,$B$5:$B165,"&lt;="&amp;供应商对账单!$H$3),"")</f>
        <v/>
      </c>
    </row>
    <row r="166" customFormat="false" ht="15.75" hidden="false" customHeight="true" outlineLevel="0" collapsed="false">
      <c r="A166" s="42" t="str">
        <f aca="false">IF($B166="","","CG"&amp;TEXT($B166,"yyyymm")&amp;"-"&amp;TEXT(ROW()-4,"000"))</f>
        <v/>
      </c>
      <c r="B166" s="41"/>
      <c r="C166" s="42" t="str">
        <f aca="false">IF($B166="","",TEXT($B166,"yyyy-mm"))</f>
        <v/>
      </c>
      <c r="D166" s="32"/>
      <c r="E166" s="36"/>
      <c r="F166" s="43"/>
      <c r="G166" s="40"/>
      <c r="H166" s="51"/>
      <c r="I166" s="33"/>
      <c r="J166" s="31"/>
      <c r="K166" s="33"/>
      <c r="L166" s="33"/>
      <c r="M166" s="36"/>
      <c r="N166" s="47" t="str">
        <f aca="false">IF($B166="","",IF(NOT(ISNUMBER($B166)),"日期不是日期格式",IF(YEAR($B166)&lt;&gt;首页!$B$3,"不在会计年度",IF($D166="","未选供应商",IF(ISNA(MATCH($D166,基础资料!$AF$6:$AF$155,0)),"供应商不在档案",IF($E166="","未填商品或内容",IF(NOT(ISNUMBER($F166)),"数量须为数字",IF(NOT(ISNUMBER($G166)),"单价须为数字",IF(N($F166)&lt;=0,"数量须大于0",IF($I166="","请选是否入库",IF(AND($I166="是",ISNA(MATCH($E166,基础资料!$Q$6:$Q$205,0))),"入库商品必须在商品档案中",IF(AND($I166="否",$J166&lt;&gt;"",ISNA(MATCH($J166,科目参数!$A$6:$A$125,0))),"费用科目不存在","√"))))))))))))</f>
        <v/>
      </c>
      <c r="O166" s="49" t="str">
        <f aca="false">IF($E166="","",IFERROR(INDEX(基础资料!$R$6:$R$205,MATCH($E166,基础资料!$Q$6:$Q$205,0)),""))</f>
        <v/>
      </c>
      <c r="P166" s="49" t="str">
        <f aca="false">IF($E166="","",IFERROR(INDEX(基础资料!$S$6:$S$205,MATCH($E166,基础资料!$Q$6:$Q$205,0)),""))</f>
        <v/>
      </c>
      <c r="Q166" s="48" t="str">
        <f aca="false">IF(OR($F166="",$G166=""),"",ROUND(N($F166)*N($G166),2))</f>
        <v/>
      </c>
      <c r="R166" s="48" t="str">
        <f aca="false">IF($Q166="","",ROUND(N($Q166)*N($H166),2))</f>
        <v/>
      </c>
      <c r="S166" s="48" t="str">
        <f aca="false">IF($Q166="","",N($Q166)+N($R166))</f>
        <v/>
      </c>
      <c r="T166" s="52" t="str">
        <f aca="false">IF(OR($B166="",$D166=""),"",$B166+N(IFERROR(INDEX(基础资料!$AH$6:$AH$155,MATCH($D166,基础资料!$AF$6:$AF$155,0)),0)))</f>
        <v/>
      </c>
      <c r="U166" s="49" t="str">
        <f aca="false">IF($Q166="","",IF($I166="是","1405",IF($J166="","6602",$J166)))</f>
        <v/>
      </c>
      <c r="V166" s="49" t="str">
        <f aca="false">IF($Q166="","","2202")</f>
        <v/>
      </c>
      <c r="W166" s="48" t="str">
        <f aca="false">IF($Q166="","",$Q166)</f>
        <v/>
      </c>
      <c r="X166" s="49" t="str">
        <f aca="false">IF(N($R166)=0,"","2221")</f>
        <v/>
      </c>
      <c r="Y166" s="49" t="str">
        <f aca="false">IF(N($R166)=0,"","2202")</f>
        <v/>
      </c>
      <c r="Z166" s="48" t="str">
        <f aca="false">IF(N($R166)=0,"",$R166)</f>
        <v/>
      </c>
      <c r="AA166" s="49" t="str">
        <f aca="false">IF(AND($D166=供应商对账单!$B$3,$B166&gt;=供应商对账单!$E$3,$B166&lt;=供应商对账单!$H$3),COUNTIFS($D$5:$D166,供应商对账单!$B$3,$B$5:$B166,"&gt;="&amp;供应商对账单!$E$3,$B$5:$B166,"&lt;="&amp;供应商对账单!$H$3),"")</f>
        <v/>
      </c>
    </row>
    <row r="167" customFormat="false" ht="15.75" hidden="false" customHeight="true" outlineLevel="0" collapsed="false">
      <c r="A167" s="42" t="str">
        <f aca="false">IF($B167="","","CG"&amp;TEXT($B167,"yyyymm")&amp;"-"&amp;TEXT(ROW()-4,"000"))</f>
        <v/>
      </c>
      <c r="B167" s="41"/>
      <c r="C167" s="42" t="str">
        <f aca="false">IF($B167="","",TEXT($B167,"yyyy-mm"))</f>
        <v/>
      </c>
      <c r="D167" s="32"/>
      <c r="E167" s="36"/>
      <c r="F167" s="43"/>
      <c r="G167" s="40"/>
      <c r="H167" s="51"/>
      <c r="I167" s="33"/>
      <c r="J167" s="31"/>
      <c r="K167" s="33"/>
      <c r="L167" s="33"/>
      <c r="M167" s="36"/>
      <c r="N167" s="47" t="str">
        <f aca="false">IF($B167="","",IF(NOT(ISNUMBER($B167)),"日期不是日期格式",IF(YEAR($B167)&lt;&gt;首页!$B$3,"不在会计年度",IF($D167="","未选供应商",IF(ISNA(MATCH($D167,基础资料!$AF$6:$AF$155,0)),"供应商不在档案",IF($E167="","未填商品或内容",IF(NOT(ISNUMBER($F167)),"数量须为数字",IF(NOT(ISNUMBER($G167)),"单价须为数字",IF(N($F167)&lt;=0,"数量须大于0",IF($I167="","请选是否入库",IF(AND($I167="是",ISNA(MATCH($E167,基础资料!$Q$6:$Q$205,0))),"入库商品必须在商品档案中",IF(AND($I167="否",$J167&lt;&gt;"",ISNA(MATCH($J167,科目参数!$A$6:$A$125,0))),"费用科目不存在","√"))))))))))))</f>
        <v/>
      </c>
      <c r="O167" s="49" t="str">
        <f aca="false">IF($E167="","",IFERROR(INDEX(基础资料!$R$6:$R$205,MATCH($E167,基础资料!$Q$6:$Q$205,0)),""))</f>
        <v/>
      </c>
      <c r="P167" s="49" t="str">
        <f aca="false">IF($E167="","",IFERROR(INDEX(基础资料!$S$6:$S$205,MATCH($E167,基础资料!$Q$6:$Q$205,0)),""))</f>
        <v/>
      </c>
      <c r="Q167" s="48" t="str">
        <f aca="false">IF(OR($F167="",$G167=""),"",ROUND(N($F167)*N($G167),2))</f>
        <v/>
      </c>
      <c r="R167" s="48" t="str">
        <f aca="false">IF($Q167="","",ROUND(N($Q167)*N($H167),2))</f>
        <v/>
      </c>
      <c r="S167" s="48" t="str">
        <f aca="false">IF($Q167="","",N($Q167)+N($R167))</f>
        <v/>
      </c>
      <c r="T167" s="52" t="str">
        <f aca="false">IF(OR($B167="",$D167=""),"",$B167+N(IFERROR(INDEX(基础资料!$AH$6:$AH$155,MATCH($D167,基础资料!$AF$6:$AF$155,0)),0)))</f>
        <v/>
      </c>
      <c r="U167" s="49" t="str">
        <f aca="false">IF($Q167="","",IF($I167="是","1405",IF($J167="","6602",$J167)))</f>
        <v/>
      </c>
      <c r="V167" s="49" t="str">
        <f aca="false">IF($Q167="","","2202")</f>
        <v/>
      </c>
      <c r="W167" s="48" t="str">
        <f aca="false">IF($Q167="","",$Q167)</f>
        <v/>
      </c>
      <c r="X167" s="49" t="str">
        <f aca="false">IF(N($R167)=0,"","2221")</f>
        <v/>
      </c>
      <c r="Y167" s="49" t="str">
        <f aca="false">IF(N($R167)=0,"","2202")</f>
        <v/>
      </c>
      <c r="Z167" s="48" t="str">
        <f aca="false">IF(N($R167)=0,"",$R167)</f>
        <v/>
      </c>
      <c r="AA167" s="49" t="str">
        <f aca="false">IF(AND($D167=供应商对账单!$B$3,$B167&gt;=供应商对账单!$E$3,$B167&lt;=供应商对账单!$H$3),COUNTIFS($D$5:$D167,供应商对账单!$B$3,$B$5:$B167,"&gt;="&amp;供应商对账单!$E$3,$B$5:$B167,"&lt;="&amp;供应商对账单!$H$3),"")</f>
        <v/>
      </c>
    </row>
    <row r="168" customFormat="false" ht="15.75" hidden="false" customHeight="true" outlineLevel="0" collapsed="false">
      <c r="A168" s="42" t="str">
        <f aca="false">IF($B168="","","CG"&amp;TEXT($B168,"yyyymm")&amp;"-"&amp;TEXT(ROW()-4,"000"))</f>
        <v/>
      </c>
      <c r="B168" s="41"/>
      <c r="C168" s="42" t="str">
        <f aca="false">IF($B168="","",TEXT($B168,"yyyy-mm"))</f>
        <v/>
      </c>
      <c r="D168" s="32"/>
      <c r="E168" s="36"/>
      <c r="F168" s="43"/>
      <c r="G168" s="40"/>
      <c r="H168" s="51"/>
      <c r="I168" s="33"/>
      <c r="J168" s="31"/>
      <c r="K168" s="33"/>
      <c r="L168" s="33"/>
      <c r="M168" s="36"/>
      <c r="N168" s="47" t="str">
        <f aca="false">IF($B168="","",IF(NOT(ISNUMBER($B168)),"日期不是日期格式",IF(YEAR($B168)&lt;&gt;首页!$B$3,"不在会计年度",IF($D168="","未选供应商",IF(ISNA(MATCH($D168,基础资料!$AF$6:$AF$155,0)),"供应商不在档案",IF($E168="","未填商品或内容",IF(NOT(ISNUMBER($F168)),"数量须为数字",IF(NOT(ISNUMBER($G168)),"单价须为数字",IF(N($F168)&lt;=0,"数量须大于0",IF($I168="","请选是否入库",IF(AND($I168="是",ISNA(MATCH($E168,基础资料!$Q$6:$Q$205,0))),"入库商品必须在商品档案中",IF(AND($I168="否",$J168&lt;&gt;"",ISNA(MATCH($J168,科目参数!$A$6:$A$125,0))),"费用科目不存在","√"))))))))))))</f>
        <v/>
      </c>
      <c r="O168" s="49" t="str">
        <f aca="false">IF($E168="","",IFERROR(INDEX(基础资料!$R$6:$R$205,MATCH($E168,基础资料!$Q$6:$Q$205,0)),""))</f>
        <v/>
      </c>
      <c r="P168" s="49" t="str">
        <f aca="false">IF($E168="","",IFERROR(INDEX(基础资料!$S$6:$S$205,MATCH($E168,基础资料!$Q$6:$Q$205,0)),""))</f>
        <v/>
      </c>
      <c r="Q168" s="48" t="str">
        <f aca="false">IF(OR($F168="",$G168=""),"",ROUND(N($F168)*N($G168),2))</f>
        <v/>
      </c>
      <c r="R168" s="48" t="str">
        <f aca="false">IF($Q168="","",ROUND(N($Q168)*N($H168),2))</f>
        <v/>
      </c>
      <c r="S168" s="48" t="str">
        <f aca="false">IF($Q168="","",N($Q168)+N($R168))</f>
        <v/>
      </c>
      <c r="T168" s="52" t="str">
        <f aca="false">IF(OR($B168="",$D168=""),"",$B168+N(IFERROR(INDEX(基础资料!$AH$6:$AH$155,MATCH($D168,基础资料!$AF$6:$AF$155,0)),0)))</f>
        <v/>
      </c>
      <c r="U168" s="49" t="str">
        <f aca="false">IF($Q168="","",IF($I168="是","1405",IF($J168="","6602",$J168)))</f>
        <v/>
      </c>
      <c r="V168" s="49" t="str">
        <f aca="false">IF($Q168="","","2202")</f>
        <v/>
      </c>
      <c r="W168" s="48" t="str">
        <f aca="false">IF($Q168="","",$Q168)</f>
        <v/>
      </c>
      <c r="X168" s="49" t="str">
        <f aca="false">IF(N($R168)=0,"","2221")</f>
        <v/>
      </c>
      <c r="Y168" s="49" t="str">
        <f aca="false">IF(N($R168)=0,"","2202")</f>
        <v/>
      </c>
      <c r="Z168" s="48" t="str">
        <f aca="false">IF(N($R168)=0,"",$R168)</f>
        <v/>
      </c>
      <c r="AA168" s="49" t="str">
        <f aca="false">IF(AND($D168=供应商对账单!$B$3,$B168&gt;=供应商对账单!$E$3,$B168&lt;=供应商对账单!$H$3),COUNTIFS($D$5:$D168,供应商对账单!$B$3,$B$5:$B168,"&gt;="&amp;供应商对账单!$E$3,$B$5:$B168,"&lt;="&amp;供应商对账单!$H$3),"")</f>
        <v/>
      </c>
    </row>
    <row r="169" customFormat="false" ht="15.75" hidden="false" customHeight="true" outlineLevel="0" collapsed="false">
      <c r="A169" s="42" t="str">
        <f aca="false">IF($B169="","","CG"&amp;TEXT($B169,"yyyymm")&amp;"-"&amp;TEXT(ROW()-4,"000"))</f>
        <v/>
      </c>
      <c r="B169" s="41"/>
      <c r="C169" s="42" t="str">
        <f aca="false">IF($B169="","",TEXT($B169,"yyyy-mm"))</f>
        <v/>
      </c>
      <c r="D169" s="32"/>
      <c r="E169" s="36"/>
      <c r="F169" s="43"/>
      <c r="G169" s="40"/>
      <c r="H169" s="51"/>
      <c r="I169" s="33"/>
      <c r="J169" s="31"/>
      <c r="K169" s="33"/>
      <c r="L169" s="33"/>
      <c r="M169" s="36"/>
      <c r="N169" s="47" t="str">
        <f aca="false">IF($B169="","",IF(NOT(ISNUMBER($B169)),"日期不是日期格式",IF(YEAR($B169)&lt;&gt;首页!$B$3,"不在会计年度",IF($D169="","未选供应商",IF(ISNA(MATCH($D169,基础资料!$AF$6:$AF$155,0)),"供应商不在档案",IF($E169="","未填商品或内容",IF(NOT(ISNUMBER($F169)),"数量须为数字",IF(NOT(ISNUMBER($G169)),"单价须为数字",IF(N($F169)&lt;=0,"数量须大于0",IF($I169="","请选是否入库",IF(AND($I169="是",ISNA(MATCH($E169,基础资料!$Q$6:$Q$205,0))),"入库商品必须在商品档案中",IF(AND($I169="否",$J169&lt;&gt;"",ISNA(MATCH($J169,科目参数!$A$6:$A$125,0))),"费用科目不存在","√"))))))))))))</f>
        <v/>
      </c>
      <c r="O169" s="49" t="str">
        <f aca="false">IF($E169="","",IFERROR(INDEX(基础资料!$R$6:$R$205,MATCH($E169,基础资料!$Q$6:$Q$205,0)),""))</f>
        <v/>
      </c>
      <c r="P169" s="49" t="str">
        <f aca="false">IF($E169="","",IFERROR(INDEX(基础资料!$S$6:$S$205,MATCH($E169,基础资料!$Q$6:$Q$205,0)),""))</f>
        <v/>
      </c>
      <c r="Q169" s="48" t="str">
        <f aca="false">IF(OR($F169="",$G169=""),"",ROUND(N($F169)*N($G169),2))</f>
        <v/>
      </c>
      <c r="R169" s="48" t="str">
        <f aca="false">IF($Q169="","",ROUND(N($Q169)*N($H169),2))</f>
        <v/>
      </c>
      <c r="S169" s="48" t="str">
        <f aca="false">IF($Q169="","",N($Q169)+N($R169))</f>
        <v/>
      </c>
      <c r="T169" s="52" t="str">
        <f aca="false">IF(OR($B169="",$D169=""),"",$B169+N(IFERROR(INDEX(基础资料!$AH$6:$AH$155,MATCH($D169,基础资料!$AF$6:$AF$155,0)),0)))</f>
        <v/>
      </c>
      <c r="U169" s="49" t="str">
        <f aca="false">IF($Q169="","",IF($I169="是","1405",IF($J169="","6602",$J169)))</f>
        <v/>
      </c>
      <c r="V169" s="49" t="str">
        <f aca="false">IF($Q169="","","2202")</f>
        <v/>
      </c>
      <c r="W169" s="48" t="str">
        <f aca="false">IF($Q169="","",$Q169)</f>
        <v/>
      </c>
      <c r="X169" s="49" t="str">
        <f aca="false">IF(N($R169)=0,"","2221")</f>
        <v/>
      </c>
      <c r="Y169" s="49" t="str">
        <f aca="false">IF(N($R169)=0,"","2202")</f>
        <v/>
      </c>
      <c r="Z169" s="48" t="str">
        <f aca="false">IF(N($R169)=0,"",$R169)</f>
        <v/>
      </c>
      <c r="AA169" s="49" t="str">
        <f aca="false">IF(AND($D169=供应商对账单!$B$3,$B169&gt;=供应商对账单!$E$3,$B169&lt;=供应商对账单!$H$3),COUNTIFS($D$5:$D169,供应商对账单!$B$3,$B$5:$B169,"&gt;="&amp;供应商对账单!$E$3,$B$5:$B169,"&lt;="&amp;供应商对账单!$H$3),"")</f>
        <v/>
      </c>
    </row>
    <row r="170" customFormat="false" ht="15.75" hidden="false" customHeight="true" outlineLevel="0" collapsed="false">
      <c r="A170" s="42" t="str">
        <f aca="false">IF($B170="","","CG"&amp;TEXT($B170,"yyyymm")&amp;"-"&amp;TEXT(ROW()-4,"000"))</f>
        <v/>
      </c>
      <c r="B170" s="41"/>
      <c r="C170" s="42" t="str">
        <f aca="false">IF($B170="","",TEXT($B170,"yyyy-mm"))</f>
        <v/>
      </c>
      <c r="D170" s="32"/>
      <c r="E170" s="36"/>
      <c r="F170" s="43"/>
      <c r="G170" s="40"/>
      <c r="H170" s="51"/>
      <c r="I170" s="33"/>
      <c r="J170" s="31"/>
      <c r="K170" s="33"/>
      <c r="L170" s="33"/>
      <c r="M170" s="36"/>
      <c r="N170" s="47" t="str">
        <f aca="false">IF($B170="","",IF(NOT(ISNUMBER($B170)),"日期不是日期格式",IF(YEAR($B170)&lt;&gt;首页!$B$3,"不在会计年度",IF($D170="","未选供应商",IF(ISNA(MATCH($D170,基础资料!$AF$6:$AF$155,0)),"供应商不在档案",IF($E170="","未填商品或内容",IF(NOT(ISNUMBER($F170)),"数量须为数字",IF(NOT(ISNUMBER($G170)),"单价须为数字",IF(N($F170)&lt;=0,"数量须大于0",IF($I170="","请选是否入库",IF(AND($I170="是",ISNA(MATCH($E170,基础资料!$Q$6:$Q$205,0))),"入库商品必须在商品档案中",IF(AND($I170="否",$J170&lt;&gt;"",ISNA(MATCH($J170,科目参数!$A$6:$A$125,0))),"费用科目不存在","√"))))))))))))</f>
        <v/>
      </c>
      <c r="O170" s="49" t="str">
        <f aca="false">IF($E170="","",IFERROR(INDEX(基础资料!$R$6:$R$205,MATCH($E170,基础资料!$Q$6:$Q$205,0)),""))</f>
        <v/>
      </c>
      <c r="P170" s="49" t="str">
        <f aca="false">IF($E170="","",IFERROR(INDEX(基础资料!$S$6:$S$205,MATCH($E170,基础资料!$Q$6:$Q$205,0)),""))</f>
        <v/>
      </c>
      <c r="Q170" s="48" t="str">
        <f aca="false">IF(OR($F170="",$G170=""),"",ROUND(N($F170)*N($G170),2))</f>
        <v/>
      </c>
      <c r="R170" s="48" t="str">
        <f aca="false">IF($Q170="","",ROUND(N($Q170)*N($H170),2))</f>
        <v/>
      </c>
      <c r="S170" s="48" t="str">
        <f aca="false">IF($Q170="","",N($Q170)+N($R170))</f>
        <v/>
      </c>
      <c r="T170" s="52" t="str">
        <f aca="false">IF(OR($B170="",$D170=""),"",$B170+N(IFERROR(INDEX(基础资料!$AH$6:$AH$155,MATCH($D170,基础资料!$AF$6:$AF$155,0)),0)))</f>
        <v/>
      </c>
      <c r="U170" s="49" t="str">
        <f aca="false">IF($Q170="","",IF($I170="是","1405",IF($J170="","6602",$J170)))</f>
        <v/>
      </c>
      <c r="V170" s="49" t="str">
        <f aca="false">IF($Q170="","","2202")</f>
        <v/>
      </c>
      <c r="W170" s="48" t="str">
        <f aca="false">IF($Q170="","",$Q170)</f>
        <v/>
      </c>
      <c r="X170" s="49" t="str">
        <f aca="false">IF(N($R170)=0,"","2221")</f>
        <v/>
      </c>
      <c r="Y170" s="49" t="str">
        <f aca="false">IF(N($R170)=0,"","2202")</f>
        <v/>
      </c>
      <c r="Z170" s="48" t="str">
        <f aca="false">IF(N($R170)=0,"",$R170)</f>
        <v/>
      </c>
      <c r="AA170" s="49" t="str">
        <f aca="false">IF(AND($D170=供应商对账单!$B$3,$B170&gt;=供应商对账单!$E$3,$B170&lt;=供应商对账单!$H$3),COUNTIFS($D$5:$D170,供应商对账单!$B$3,$B$5:$B170,"&gt;="&amp;供应商对账单!$E$3,$B$5:$B170,"&lt;="&amp;供应商对账单!$H$3),"")</f>
        <v/>
      </c>
    </row>
    <row r="171" customFormat="false" ht="15.75" hidden="false" customHeight="true" outlineLevel="0" collapsed="false">
      <c r="A171" s="42" t="str">
        <f aca="false">IF($B171="","","CG"&amp;TEXT($B171,"yyyymm")&amp;"-"&amp;TEXT(ROW()-4,"000"))</f>
        <v/>
      </c>
      <c r="B171" s="41"/>
      <c r="C171" s="42" t="str">
        <f aca="false">IF($B171="","",TEXT($B171,"yyyy-mm"))</f>
        <v/>
      </c>
      <c r="D171" s="32"/>
      <c r="E171" s="36"/>
      <c r="F171" s="43"/>
      <c r="G171" s="40"/>
      <c r="H171" s="51"/>
      <c r="I171" s="33"/>
      <c r="J171" s="31"/>
      <c r="K171" s="33"/>
      <c r="L171" s="33"/>
      <c r="M171" s="36"/>
      <c r="N171" s="47" t="str">
        <f aca="false">IF($B171="","",IF(NOT(ISNUMBER($B171)),"日期不是日期格式",IF(YEAR($B171)&lt;&gt;首页!$B$3,"不在会计年度",IF($D171="","未选供应商",IF(ISNA(MATCH($D171,基础资料!$AF$6:$AF$155,0)),"供应商不在档案",IF($E171="","未填商品或内容",IF(NOT(ISNUMBER($F171)),"数量须为数字",IF(NOT(ISNUMBER($G171)),"单价须为数字",IF(N($F171)&lt;=0,"数量须大于0",IF($I171="","请选是否入库",IF(AND($I171="是",ISNA(MATCH($E171,基础资料!$Q$6:$Q$205,0))),"入库商品必须在商品档案中",IF(AND($I171="否",$J171&lt;&gt;"",ISNA(MATCH($J171,科目参数!$A$6:$A$125,0))),"费用科目不存在","√"))))))))))))</f>
        <v/>
      </c>
      <c r="O171" s="49" t="str">
        <f aca="false">IF($E171="","",IFERROR(INDEX(基础资料!$R$6:$R$205,MATCH($E171,基础资料!$Q$6:$Q$205,0)),""))</f>
        <v/>
      </c>
      <c r="P171" s="49" t="str">
        <f aca="false">IF($E171="","",IFERROR(INDEX(基础资料!$S$6:$S$205,MATCH($E171,基础资料!$Q$6:$Q$205,0)),""))</f>
        <v/>
      </c>
      <c r="Q171" s="48" t="str">
        <f aca="false">IF(OR($F171="",$G171=""),"",ROUND(N($F171)*N($G171),2))</f>
        <v/>
      </c>
      <c r="R171" s="48" t="str">
        <f aca="false">IF($Q171="","",ROUND(N($Q171)*N($H171),2))</f>
        <v/>
      </c>
      <c r="S171" s="48" t="str">
        <f aca="false">IF($Q171="","",N($Q171)+N($R171))</f>
        <v/>
      </c>
      <c r="T171" s="52" t="str">
        <f aca="false">IF(OR($B171="",$D171=""),"",$B171+N(IFERROR(INDEX(基础资料!$AH$6:$AH$155,MATCH($D171,基础资料!$AF$6:$AF$155,0)),0)))</f>
        <v/>
      </c>
      <c r="U171" s="49" t="str">
        <f aca="false">IF($Q171="","",IF($I171="是","1405",IF($J171="","6602",$J171)))</f>
        <v/>
      </c>
      <c r="V171" s="49" t="str">
        <f aca="false">IF($Q171="","","2202")</f>
        <v/>
      </c>
      <c r="W171" s="48" t="str">
        <f aca="false">IF($Q171="","",$Q171)</f>
        <v/>
      </c>
      <c r="X171" s="49" t="str">
        <f aca="false">IF(N($R171)=0,"","2221")</f>
        <v/>
      </c>
      <c r="Y171" s="49" t="str">
        <f aca="false">IF(N($R171)=0,"","2202")</f>
        <v/>
      </c>
      <c r="Z171" s="48" t="str">
        <f aca="false">IF(N($R171)=0,"",$R171)</f>
        <v/>
      </c>
      <c r="AA171" s="49" t="str">
        <f aca="false">IF(AND($D171=供应商对账单!$B$3,$B171&gt;=供应商对账单!$E$3,$B171&lt;=供应商对账单!$H$3),COUNTIFS($D$5:$D171,供应商对账单!$B$3,$B$5:$B171,"&gt;="&amp;供应商对账单!$E$3,$B$5:$B171,"&lt;="&amp;供应商对账单!$H$3),"")</f>
        <v/>
      </c>
    </row>
    <row r="172" customFormat="false" ht="15.75" hidden="false" customHeight="true" outlineLevel="0" collapsed="false">
      <c r="A172" s="42" t="str">
        <f aca="false">IF($B172="","","CG"&amp;TEXT($B172,"yyyymm")&amp;"-"&amp;TEXT(ROW()-4,"000"))</f>
        <v/>
      </c>
      <c r="B172" s="41"/>
      <c r="C172" s="42" t="str">
        <f aca="false">IF($B172="","",TEXT($B172,"yyyy-mm"))</f>
        <v/>
      </c>
      <c r="D172" s="32"/>
      <c r="E172" s="36"/>
      <c r="F172" s="43"/>
      <c r="G172" s="40"/>
      <c r="H172" s="51"/>
      <c r="I172" s="33"/>
      <c r="J172" s="31"/>
      <c r="K172" s="33"/>
      <c r="L172" s="33"/>
      <c r="M172" s="36"/>
      <c r="N172" s="47" t="str">
        <f aca="false">IF($B172="","",IF(NOT(ISNUMBER($B172)),"日期不是日期格式",IF(YEAR($B172)&lt;&gt;首页!$B$3,"不在会计年度",IF($D172="","未选供应商",IF(ISNA(MATCH($D172,基础资料!$AF$6:$AF$155,0)),"供应商不在档案",IF($E172="","未填商品或内容",IF(NOT(ISNUMBER($F172)),"数量须为数字",IF(NOT(ISNUMBER($G172)),"单价须为数字",IF(N($F172)&lt;=0,"数量须大于0",IF($I172="","请选是否入库",IF(AND($I172="是",ISNA(MATCH($E172,基础资料!$Q$6:$Q$205,0))),"入库商品必须在商品档案中",IF(AND($I172="否",$J172&lt;&gt;"",ISNA(MATCH($J172,科目参数!$A$6:$A$125,0))),"费用科目不存在","√"))))))))))))</f>
        <v/>
      </c>
      <c r="O172" s="49" t="str">
        <f aca="false">IF($E172="","",IFERROR(INDEX(基础资料!$R$6:$R$205,MATCH($E172,基础资料!$Q$6:$Q$205,0)),""))</f>
        <v/>
      </c>
      <c r="P172" s="49" t="str">
        <f aca="false">IF($E172="","",IFERROR(INDEX(基础资料!$S$6:$S$205,MATCH($E172,基础资料!$Q$6:$Q$205,0)),""))</f>
        <v/>
      </c>
      <c r="Q172" s="48" t="str">
        <f aca="false">IF(OR($F172="",$G172=""),"",ROUND(N($F172)*N($G172),2))</f>
        <v/>
      </c>
      <c r="R172" s="48" t="str">
        <f aca="false">IF($Q172="","",ROUND(N($Q172)*N($H172),2))</f>
        <v/>
      </c>
      <c r="S172" s="48" t="str">
        <f aca="false">IF($Q172="","",N($Q172)+N($R172))</f>
        <v/>
      </c>
      <c r="T172" s="52" t="str">
        <f aca="false">IF(OR($B172="",$D172=""),"",$B172+N(IFERROR(INDEX(基础资料!$AH$6:$AH$155,MATCH($D172,基础资料!$AF$6:$AF$155,0)),0)))</f>
        <v/>
      </c>
      <c r="U172" s="49" t="str">
        <f aca="false">IF($Q172="","",IF($I172="是","1405",IF($J172="","6602",$J172)))</f>
        <v/>
      </c>
      <c r="V172" s="49" t="str">
        <f aca="false">IF($Q172="","","2202")</f>
        <v/>
      </c>
      <c r="W172" s="48" t="str">
        <f aca="false">IF($Q172="","",$Q172)</f>
        <v/>
      </c>
      <c r="X172" s="49" t="str">
        <f aca="false">IF(N($R172)=0,"","2221")</f>
        <v/>
      </c>
      <c r="Y172" s="49" t="str">
        <f aca="false">IF(N($R172)=0,"","2202")</f>
        <v/>
      </c>
      <c r="Z172" s="48" t="str">
        <f aca="false">IF(N($R172)=0,"",$R172)</f>
        <v/>
      </c>
      <c r="AA172" s="49" t="str">
        <f aca="false">IF(AND($D172=供应商对账单!$B$3,$B172&gt;=供应商对账单!$E$3,$B172&lt;=供应商对账单!$H$3),COUNTIFS($D$5:$D172,供应商对账单!$B$3,$B$5:$B172,"&gt;="&amp;供应商对账单!$E$3,$B$5:$B172,"&lt;="&amp;供应商对账单!$H$3),"")</f>
        <v/>
      </c>
    </row>
    <row r="173" customFormat="false" ht="15.75" hidden="false" customHeight="true" outlineLevel="0" collapsed="false">
      <c r="A173" s="42" t="str">
        <f aca="false">IF($B173="","","CG"&amp;TEXT($B173,"yyyymm")&amp;"-"&amp;TEXT(ROW()-4,"000"))</f>
        <v/>
      </c>
      <c r="B173" s="41"/>
      <c r="C173" s="42" t="str">
        <f aca="false">IF($B173="","",TEXT($B173,"yyyy-mm"))</f>
        <v/>
      </c>
      <c r="D173" s="32"/>
      <c r="E173" s="36"/>
      <c r="F173" s="43"/>
      <c r="G173" s="40"/>
      <c r="H173" s="51"/>
      <c r="I173" s="33"/>
      <c r="J173" s="31"/>
      <c r="K173" s="33"/>
      <c r="L173" s="33"/>
      <c r="M173" s="36"/>
      <c r="N173" s="47" t="str">
        <f aca="false">IF($B173="","",IF(NOT(ISNUMBER($B173)),"日期不是日期格式",IF(YEAR($B173)&lt;&gt;首页!$B$3,"不在会计年度",IF($D173="","未选供应商",IF(ISNA(MATCH($D173,基础资料!$AF$6:$AF$155,0)),"供应商不在档案",IF($E173="","未填商品或内容",IF(NOT(ISNUMBER($F173)),"数量须为数字",IF(NOT(ISNUMBER($G173)),"单价须为数字",IF(N($F173)&lt;=0,"数量须大于0",IF($I173="","请选是否入库",IF(AND($I173="是",ISNA(MATCH($E173,基础资料!$Q$6:$Q$205,0))),"入库商品必须在商品档案中",IF(AND($I173="否",$J173&lt;&gt;"",ISNA(MATCH($J173,科目参数!$A$6:$A$125,0))),"费用科目不存在","√"))))))))))))</f>
        <v/>
      </c>
      <c r="O173" s="49" t="str">
        <f aca="false">IF($E173="","",IFERROR(INDEX(基础资料!$R$6:$R$205,MATCH($E173,基础资料!$Q$6:$Q$205,0)),""))</f>
        <v/>
      </c>
      <c r="P173" s="49" t="str">
        <f aca="false">IF($E173="","",IFERROR(INDEX(基础资料!$S$6:$S$205,MATCH($E173,基础资料!$Q$6:$Q$205,0)),""))</f>
        <v/>
      </c>
      <c r="Q173" s="48" t="str">
        <f aca="false">IF(OR($F173="",$G173=""),"",ROUND(N($F173)*N($G173),2))</f>
        <v/>
      </c>
      <c r="R173" s="48" t="str">
        <f aca="false">IF($Q173="","",ROUND(N($Q173)*N($H173),2))</f>
        <v/>
      </c>
      <c r="S173" s="48" t="str">
        <f aca="false">IF($Q173="","",N($Q173)+N($R173))</f>
        <v/>
      </c>
      <c r="T173" s="52" t="str">
        <f aca="false">IF(OR($B173="",$D173=""),"",$B173+N(IFERROR(INDEX(基础资料!$AH$6:$AH$155,MATCH($D173,基础资料!$AF$6:$AF$155,0)),0)))</f>
        <v/>
      </c>
      <c r="U173" s="49" t="str">
        <f aca="false">IF($Q173="","",IF($I173="是","1405",IF($J173="","6602",$J173)))</f>
        <v/>
      </c>
      <c r="V173" s="49" t="str">
        <f aca="false">IF($Q173="","","2202")</f>
        <v/>
      </c>
      <c r="W173" s="48" t="str">
        <f aca="false">IF($Q173="","",$Q173)</f>
        <v/>
      </c>
      <c r="X173" s="49" t="str">
        <f aca="false">IF(N($R173)=0,"","2221")</f>
        <v/>
      </c>
      <c r="Y173" s="49" t="str">
        <f aca="false">IF(N($R173)=0,"","2202")</f>
        <v/>
      </c>
      <c r="Z173" s="48" t="str">
        <f aca="false">IF(N($R173)=0,"",$R173)</f>
        <v/>
      </c>
      <c r="AA173" s="49" t="str">
        <f aca="false">IF(AND($D173=供应商对账单!$B$3,$B173&gt;=供应商对账单!$E$3,$B173&lt;=供应商对账单!$H$3),COUNTIFS($D$5:$D173,供应商对账单!$B$3,$B$5:$B173,"&gt;="&amp;供应商对账单!$E$3,$B$5:$B173,"&lt;="&amp;供应商对账单!$H$3),"")</f>
        <v/>
      </c>
    </row>
    <row r="174" customFormat="false" ht="15.75" hidden="false" customHeight="true" outlineLevel="0" collapsed="false">
      <c r="A174" s="42" t="str">
        <f aca="false">IF($B174="","","CG"&amp;TEXT($B174,"yyyymm")&amp;"-"&amp;TEXT(ROW()-4,"000"))</f>
        <v/>
      </c>
      <c r="B174" s="41"/>
      <c r="C174" s="42" t="str">
        <f aca="false">IF($B174="","",TEXT($B174,"yyyy-mm"))</f>
        <v/>
      </c>
      <c r="D174" s="32"/>
      <c r="E174" s="36"/>
      <c r="F174" s="43"/>
      <c r="G174" s="40"/>
      <c r="H174" s="51"/>
      <c r="I174" s="33"/>
      <c r="J174" s="31"/>
      <c r="K174" s="33"/>
      <c r="L174" s="33"/>
      <c r="M174" s="36"/>
      <c r="N174" s="47" t="str">
        <f aca="false">IF($B174="","",IF(NOT(ISNUMBER($B174)),"日期不是日期格式",IF(YEAR($B174)&lt;&gt;首页!$B$3,"不在会计年度",IF($D174="","未选供应商",IF(ISNA(MATCH($D174,基础资料!$AF$6:$AF$155,0)),"供应商不在档案",IF($E174="","未填商品或内容",IF(NOT(ISNUMBER($F174)),"数量须为数字",IF(NOT(ISNUMBER($G174)),"单价须为数字",IF(N($F174)&lt;=0,"数量须大于0",IF($I174="","请选是否入库",IF(AND($I174="是",ISNA(MATCH($E174,基础资料!$Q$6:$Q$205,0))),"入库商品必须在商品档案中",IF(AND($I174="否",$J174&lt;&gt;"",ISNA(MATCH($J174,科目参数!$A$6:$A$125,0))),"费用科目不存在","√"))))))))))))</f>
        <v/>
      </c>
      <c r="O174" s="49" t="str">
        <f aca="false">IF($E174="","",IFERROR(INDEX(基础资料!$R$6:$R$205,MATCH($E174,基础资料!$Q$6:$Q$205,0)),""))</f>
        <v/>
      </c>
      <c r="P174" s="49" t="str">
        <f aca="false">IF($E174="","",IFERROR(INDEX(基础资料!$S$6:$S$205,MATCH($E174,基础资料!$Q$6:$Q$205,0)),""))</f>
        <v/>
      </c>
      <c r="Q174" s="48" t="str">
        <f aca="false">IF(OR($F174="",$G174=""),"",ROUND(N($F174)*N($G174),2))</f>
        <v/>
      </c>
      <c r="R174" s="48" t="str">
        <f aca="false">IF($Q174="","",ROUND(N($Q174)*N($H174),2))</f>
        <v/>
      </c>
      <c r="S174" s="48" t="str">
        <f aca="false">IF($Q174="","",N($Q174)+N($R174))</f>
        <v/>
      </c>
      <c r="T174" s="52" t="str">
        <f aca="false">IF(OR($B174="",$D174=""),"",$B174+N(IFERROR(INDEX(基础资料!$AH$6:$AH$155,MATCH($D174,基础资料!$AF$6:$AF$155,0)),0)))</f>
        <v/>
      </c>
      <c r="U174" s="49" t="str">
        <f aca="false">IF($Q174="","",IF($I174="是","1405",IF($J174="","6602",$J174)))</f>
        <v/>
      </c>
      <c r="V174" s="49" t="str">
        <f aca="false">IF($Q174="","","2202")</f>
        <v/>
      </c>
      <c r="W174" s="48" t="str">
        <f aca="false">IF($Q174="","",$Q174)</f>
        <v/>
      </c>
      <c r="X174" s="49" t="str">
        <f aca="false">IF(N($R174)=0,"","2221")</f>
        <v/>
      </c>
      <c r="Y174" s="49" t="str">
        <f aca="false">IF(N($R174)=0,"","2202")</f>
        <v/>
      </c>
      <c r="Z174" s="48" t="str">
        <f aca="false">IF(N($R174)=0,"",$R174)</f>
        <v/>
      </c>
      <c r="AA174" s="49" t="str">
        <f aca="false">IF(AND($D174=供应商对账单!$B$3,$B174&gt;=供应商对账单!$E$3,$B174&lt;=供应商对账单!$H$3),COUNTIFS($D$5:$D174,供应商对账单!$B$3,$B$5:$B174,"&gt;="&amp;供应商对账单!$E$3,$B$5:$B174,"&lt;="&amp;供应商对账单!$H$3),"")</f>
        <v/>
      </c>
    </row>
    <row r="175" customFormat="false" ht="15.75" hidden="false" customHeight="true" outlineLevel="0" collapsed="false">
      <c r="A175" s="42" t="str">
        <f aca="false">IF($B175="","","CG"&amp;TEXT($B175,"yyyymm")&amp;"-"&amp;TEXT(ROW()-4,"000"))</f>
        <v/>
      </c>
      <c r="B175" s="41"/>
      <c r="C175" s="42" t="str">
        <f aca="false">IF($B175="","",TEXT($B175,"yyyy-mm"))</f>
        <v/>
      </c>
      <c r="D175" s="32"/>
      <c r="E175" s="36"/>
      <c r="F175" s="43"/>
      <c r="G175" s="40"/>
      <c r="H175" s="51"/>
      <c r="I175" s="33"/>
      <c r="J175" s="31"/>
      <c r="K175" s="33"/>
      <c r="L175" s="33"/>
      <c r="M175" s="36"/>
      <c r="N175" s="47" t="str">
        <f aca="false">IF($B175="","",IF(NOT(ISNUMBER($B175)),"日期不是日期格式",IF(YEAR($B175)&lt;&gt;首页!$B$3,"不在会计年度",IF($D175="","未选供应商",IF(ISNA(MATCH($D175,基础资料!$AF$6:$AF$155,0)),"供应商不在档案",IF($E175="","未填商品或内容",IF(NOT(ISNUMBER($F175)),"数量须为数字",IF(NOT(ISNUMBER($G175)),"单价须为数字",IF(N($F175)&lt;=0,"数量须大于0",IF($I175="","请选是否入库",IF(AND($I175="是",ISNA(MATCH($E175,基础资料!$Q$6:$Q$205,0))),"入库商品必须在商品档案中",IF(AND($I175="否",$J175&lt;&gt;"",ISNA(MATCH($J175,科目参数!$A$6:$A$125,0))),"费用科目不存在","√"))))))))))))</f>
        <v/>
      </c>
      <c r="O175" s="49" t="str">
        <f aca="false">IF($E175="","",IFERROR(INDEX(基础资料!$R$6:$R$205,MATCH($E175,基础资料!$Q$6:$Q$205,0)),""))</f>
        <v/>
      </c>
      <c r="P175" s="49" t="str">
        <f aca="false">IF($E175="","",IFERROR(INDEX(基础资料!$S$6:$S$205,MATCH($E175,基础资料!$Q$6:$Q$205,0)),""))</f>
        <v/>
      </c>
      <c r="Q175" s="48" t="str">
        <f aca="false">IF(OR($F175="",$G175=""),"",ROUND(N($F175)*N($G175),2))</f>
        <v/>
      </c>
      <c r="R175" s="48" t="str">
        <f aca="false">IF($Q175="","",ROUND(N($Q175)*N($H175),2))</f>
        <v/>
      </c>
      <c r="S175" s="48" t="str">
        <f aca="false">IF($Q175="","",N($Q175)+N($R175))</f>
        <v/>
      </c>
      <c r="T175" s="52" t="str">
        <f aca="false">IF(OR($B175="",$D175=""),"",$B175+N(IFERROR(INDEX(基础资料!$AH$6:$AH$155,MATCH($D175,基础资料!$AF$6:$AF$155,0)),0)))</f>
        <v/>
      </c>
      <c r="U175" s="49" t="str">
        <f aca="false">IF($Q175="","",IF($I175="是","1405",IF($J175="","6602",$J175)))</f>
        <v/>
      </c>
      <c r="V175" s="49" t="str">
        <f aca="false">IF($Q175="","","2202")</f>
        <v/>
      </c>
      <c r="W175" s="48" t="str">
        <f aca="false">IF($Q175="","",$Q175)</f>
        <v/>
      </c>
      <c r="X175" s="49" t="str">
        <f aca="false">IF(N($R175)=0,"","2221")</f>
        <v/>
      </c>
      <c r="Y175" s="49" t="str">
        <f aca="false">IF(N($R175)=0,"","2202")</f>
        <v/>
      </c>
      <c r="Z175" s="48" t="str">
        <f aca="false">IF(N($R175)=0,"",$R175)</f>
        <v/>
      </c>
      <c r="AA175" s="49" t="str">
        <f aca="false">IF(AND($D175=供应商对账单!$B$3,$B175&gt;=供应商对账单!$E$3,$B175&lt;=供应商对账单!$H$3),COUNTIFS($D$5:$D175,供应商对账单!$B$3,$B$5:$B175,"&gt;="&amp;供应商对账单!$E$3,$B$5:$B175,"&lt;="&amp;供应商对账单!$H$3),"")</f>
        <v/>
      </c>
    </row>
    <row r="176" customFormat="false" ht="15.75" hidden="false" customHeight="true" outlineLevel="0" collapsed="false">
      <c r="A176" s="42" t="str">
        <f aca="false">IF($B176="","","CG"&amp;TEXT($B176,"yyyymm")&amp;"-"&amp;TEXT(ROW()-4,"000"))</f>
        <v/>
      </c>
      <c r="B176" s="41"/>
      <c r="C176" s="42" t="str">
        <f aca="false">IF($B176="","",TEXT($B176,"yyyy-mm"))</f>
        <v/>
      </c>
      <c r="D176" s="32"/>
      <c r="E176" s="36"/>
      <c r="F176" s="43"/>
      <c r="G176" s="40"/>
      <c r="H176" s="51"/>
      <c r="I176" s="33"/>
      <c r="J176" s="31"/>
      <c r="K176" s="33"/>
      <c r="L176" s="33"/>
      <c r="M176" s="36"/>
      <c r="N176" s="47" t="str">
        <f aca="false">IF($B176="","",IF(NOT(ISNUMBER($B176)),"日期不是日期格式",IF(YEAR($B176)&lt;&gt;首页!$B$3,"不在会计年度",IF($D176="","未选供应商",IF(ISNA(MATCH($D176,基础资料!$AF$6:$AF$155,0)),"供应商不在档案",IF($E176="","未填商品或内容",IF(NOT(ISNUMBER($F176)),"数量须为数字",IF(NOT(ISNUMBER($G176)),"单价须为数字",IF(N($F176)&lt;=0,"数量须大于0",IF($I176="","请选是否入库",IF(AND($I176="是",ISNA(MATCH($E176,基础资料!$Q$6:$Q$205,0))),"入库商品必须在商品档案中",IF(AND($I176="否",$J176&lt;&gt;"",ISNA(MATCH($J176,科目参数!$A$6:$A$125,0))),"费用科目不存在","√"))))))))))))</f>
        <v/>
      </c>
      <c r="O176" s="49" t="str">
        <f aca="false">IF($E176="","",IFERROR(INDEX(基础资料!$R$6:$R$205,MATCH($E176,基础资料!$Q$6:$Q$205,0)),""))</f>
        <v/>
      </c>
      <c r="P176" s="49" t="str">
        <f aca="false">IF($E176="","",IFERROR(INDEX(基础资料!$S$6:$S$205,MATCH($E176,基础资料!$Q$6:$Q$205,0)),""))</f>
        <v/>
      </c>
      <c r="Q176" s="48" t="str">
        <f aca="false">IF(OR($F176="",$G176=""),"",ROUND(N($F176)*N($G176),2))</f>
        <v/>
      </c>
      <c r="R176" s="48" t="str">
        <f aca="false">IF($Q176="","",ROUND(N($Q176)*N($H176),2))</f>
        <v/>
      </c>
      <c r="S176" s="48" t="str">
        <f aca="false">IF($Q176="","",N($Q176)+N($R176))</f>
        <v/>
      </c>
      <c r="T176" s="52" t="str">
        <f aca="false">IF(OR($B176="",$D176=""),"",$B176+N(IFERROR(INDEX(基础资料!$AH$6:$AH$155,MATCH($D176,基础资料!$AF$6:$AF$155,0)),0)))</f>
        <v/>
      </c>
      <c r="U176" s="49" t="str">
        <f aca="false">IF($Q176="","",IF($I176="是","1405",IF($J176="","6602",$J176)))</f>
        <v/>
      </c>
      <c r="V176" s="49" t="str">
        <f aca="false">IF($Q176="","","2202")</f>
        <v/>
      </c>
      <c r="W176" s="48" t="str">
        <f aca="false">IF($Q176="","",$Q176)</f>
        <v/>
      </c>
      <c r="X176" s="49" t="str">
        <f aca="false">IF(N($R176)=0,"","2221")</f>
        <v/>
      </c>
      <c r="Y176" s="49" t="str">
        <f aca="false">IF(N($R176)=0,"","2202")</f>
        <v/>
      </c>
      <c r="Z176" s="48" t="str">
        <f aca="false">IF(N($R176)=0,"",$R176)</f>
        <v/>
      </c>
      <c r="AA176" s="49" t="str">
        <f aca="false">IF(AND($D176=供应商对账单!$B$3,$B176&gt;=供应商对账单!$E$3,$B176&lt;=供应商对账单!$H$3),COUNTIFS($D$5:$D176,供应商对账单!$B$3,$B$5:$B176,"&gt;="&amp;供应商对账单!$E$3,$B$5:$B176,"&lt;="&amp;供应商对账单!$H$3),"")</f>
        <v/>
      </c>
    </row>
    <row r="177" customFormat="false" ht="15.75" hidden="false" customHeight="true" outlineLevel="0" collapsed="false">
      <c r="A177" s="42" t="str">
        <f aca="false">IF($B177="","","CG"&amp;TEXT($B177,"yyyymm")&amp;"-"&amp;TEXT(ROW()-4,"000"))</f>
        <v/>
      </c>
      <c r="B177" s="41"/>
      <c r="C177" s="42" t="str">
        <f aca="false">IF($B177="","",TEXT($B177,"yyyy-mm"))</f>
        <v/>
      </c>
      <c r="D177" s="32"/>
      <c r="E177" s="36"/>
      <c r="F177" s="43"/>
      <c r="G177" s="40"/>
      <c r="H177" s="51"/>
      <c r="I177" s="33"/>
      <c r="J177" s="31"/>
      <c r="K177" s="33"/>
      <c r="L177" s="33"/>
      <c r="M177" s="36"/>
      <c r="N177" s="47" t="str">
        <f aca="false">IF($B177="","",IF(NOT(ISNUMBER($B177)),"日期不是日期格式",IF(YEAR($B177)&lt;&gt;首页!$B$3,"不在会计年度",IF($D177="","未选供应商",IF(ISNA(MATCH($D177,基础资料!$AF$6:$AF$155,0)),"供应商不在档案",IF($E177="","未填商品或内容",IF(NOT(ISNUMBER($F177)),"数量须为数字",IF(NOT(ISNUMBER($G177)),"单价须为数字",IF(N($F177)&lt;=0,"数量须大于0",IF($I177="","请选是否入库",IF(AND($I177="是",ISNA(MATCH($E177,基础资料!$Q$6:$Q$205,0))),"入库商品必须在商品档案中",IF(AND($I177="否",$J177&lt;&gt;"",ISNA(MATCH($J177,科目参数!$A$6:$A$125,0))),"费用科目不存在","√"))))))))))))</f>
        <v/>
      </c>
      <c r="O177" s="49" t="str">
        <f aca="false">IF($E177="","",IFERROR(INDEX(基础资料!$R$6:$R$205,MATCH($E177,基础资料!$Q$6:$Q$205,0)),""))</f>
        <v/>
      </c>
      <c r="P177" s="49" t="str">
        <f aca="false">IF($E177="","",IFERROR(INDEX(基础资料!$S$6:$S$205,MATCH($E177,基础资料!$Q$6:$Q$205,0)),""))</f>
        <v/>
      </c>
      <c r="Q177" s="48" t="str">
        <f aca="false">IF(OR($F177="",$G177=""),"",ROUND(N($F177)*N($G177),2))</f>
        <v/>
      </c>
      <c r="R177" s="48" t="str">
        <f aca="false">IF($Q177="","",ROUND(N($Q177)*N($H177),2))</f>
        <v/>
      </c>
      <c r="S177" s="48" t="str">
        <f aca="false">IF($Q177="","",N($Q177)+N($R177))</f>
        <v/>
      </c>
      <c r="T177" s="52" t="str">
        <f aca="false">IF(OR($B177="",$D177=""),"",$B177+N(IFERROR(INDEX(基础资料!$AH$6:$AH$155,MATCH($D177,基础资料!$AF$6:$AF$155,0)),0)))</f>
        <v/>
      </c>
      <c r="U177" s="49" t="str">
        <f aca="false">IF($Q177="","",IF($I177="是","1405",IF($J177="","6602",$J177)))</f>
        <v/>
      </c>
      <c r="V177" s="49" t="str">
        <f aca="false">IF($Q177="","","2202")</f>
        <v/>
      </c>
      <c r="W177" s="48" t="str">
        <f aca="false">IF($Q177="","",$Q177)</f>
        <v/>
      </c>
      <c r="X177" s="49" t="str">
        <f aca="false">IF(N($R177)=0,"","2221")</f>
        <v/>
      </c>
      <c r="Y177" s="49" t="str">
        <f aca="false">IF(N($R177)=0,"","2202")</f>
        <v/>
      </c>
      <c r="Z177" s="48" t="str">
        <f aca="false">IF(N($R177)=0,"",$R177)</f>
        <v/>
      </c>
      <c r="AA177" s="49" t="str">
        <f aca="false">IF(AND($D177=供应商对账单!$B$3,$B177&gt;=供应商对账单!$E$3,$B177&lt;=供应商对账单!$H$3),COUNTIFS($D$5:$D177,供应商对账单!$B$3,$B$5:$B177,"&gt;="&amp;供应商对账单!$E$3,$B$5:$B177,"&lt;="&amp;供应商对账单!$H$3),"")</f>
        <v/>
      </c>
    </row>
    <row r="178" customFormat="false" ht="15.75" hidden="false" customHeight="true" outlineLevel="0" collapsed="false">
      <c r="A178" s="42" t="str">
        <f aca="false">IF($B178="","","CG"&amp;TEXT($B178,"yyyymm")&amp;"-"&amp;TEXT(ROW()-4,"000"))</f>
        <v/>
      </c>
      <c r="B178" s="41"/>
      <c r="C178" s="42" t="str">
        <f aca="false">IF($B178="","",TEXT($B178,"yyyy-mm"))</f>
        <v/>
      </c>
      <c r="D178" s="32"/>
      <c r="E178" s="36"/>
      <c r="F178" s="43"/>
      <c r="G178" s="40"/>
      <c r="H178" s="51"/>
      <c r="I178" s="33"/>
      <c r="J178" s="31"/>
      <c r="K178" s="33"/>
      <c r="L178" s="33"/>
      <c r="M178" s="36"/>
      <c r="N178" s="47" t="str">
        <f aca="false">IF($B178="","",IF(NOT(ISNUMBER($B178)),"日期不是日期格式",IF(YEAR($B178)&lt;&gt;首页!$B$3,"不在会计年度",IF($D178="","未选供应商",IF(ISNA(MATCH($D178,基础资料!$AF$6:$AF$155,0)),"供应商不在档案",IF($E178="","未填商品或内容",IF(NOT(ISNUMBER($F178)),"数量须为数字",IF(NOT(ISNUMBER($G178)),"单价须为数字",IF(N($F178)&lt;=0,"数量须大于0",IF($I178="","请选是否入库",IF(AND($I178="是",ISNA(MATCH($E178,基础资料!$Q$6:$Q$205,0))),"入库商品必须在商品档案中",IF(AND($I178="否",$J178&lt;&gt;"",ISNA(MATCH($J178,科目参数!$A$6:$A$125,0))),"费用科目不存在","√"))))))))))))</f>
        <v/>
      </c>
      <c r="O178" s="49" t="str">
        <f aca="false">IF($E178="","",IFERROR(INDEX(基础资料!$R$6:$R$205,MATCH($E178,基础资料!$Q$6:$Q$205,0)),""))</f>
        <v/>
      </c>
      <c r="P178" s="49" t="str">
        <f aca="false">IF($E178="","",IFERROR(INDEX(基础资料!$S$6:$S$205,MATCH($E178,基础资料!$Q$6:$Q$205,0)),""))</f>
        <v/>
      </c>
      <c r="Q178" s="48" t="str">
        <f aca="false">IF(OR($F178="",$G178=""),"",ROUND(N($F178)*N($G178),2))</f>
        <v/>
      </c>
      <c r="R178" s="48" t="str">
        <f aca="false">IF($Q178="","",ROUND(N($Q178)*N($H178),2))</f>
        <v/>
      </c>
      <c r="S178" s="48" t="str">
        <f aca="false">IF($Q178="","",N($Q178)+N($R178))</f>
        <v/>
      </c>
      <c r="T178" s="52" t="str">
        <f aca="false">IF(OR($B178="",$D178=""),"",$B178+N(IFERROR(INDEX(基础资料!$AH$6:$AH$155,MATCH($D178,基础资料!$AF$6:$AF$155,0)),0)))</f>
        <v/>
      </c>
      <c r="U178" s="49" t="str">
        <f aca="false">IF($Q178="","",IF($I178="是","1405",IF($J178="","6602",$J178)))</f>
        <v/>
      </c>
      <c r="V178" s="49" t="str">
        <f aca="false">IF($Q178="","","2202")</f>
        <v/>
      </c>
      <c r="W178" s="48" t="str">
        <f aca="false">IF($Q178="","",$Q178)</f>
        <v/>
      </c>
      <c r="X178" s="49" t="str">
        <f aca="false">IF(N($R178)=0,"","2221")</f>
        <v/>
      </c>
      <c r="Y178" s="49" t="str">
        <f aca="false">IF(N($R178)=0,"","2202")</f>
        <v/>
      </c>
      <c r="Z178" s="48" t="str">
        <f aca="false">IF(N($R178)=0,"",$R178)</f>
        <v/>
      </c>
      <c r="AA178" s="49" t="str">
        <f aca="false">IF(AND($D178=供应商对账单!$B$3,$B178&gt;=供应商对账单!$E$3,$B178&lt;=供应商对账单!$H$3),COUNTIFS($D$5:$D178,供应商对账单!$B$3,$B$5:$B178,"&gt;="&amp;供应商对账单!$E$3,$B$5:$B178,"&lt;="&amp;供应商对账单!$H$3),"")</f>
        <v/>
      </c>
    </row>
    <row r="179" customFormat="false" ht="15.75" hidden="false" customHeight="true" outlineLevel="0" collapsed="false">
      <c r="A179" s="42" t="str">
        <f aca="false">IF($B179="","","CG"&amp;TEXT($B179,"yyyymm")&amp;"-"&amp;TEXT(ROW()-4,"000"))</f>
        <v/>
      </c>
      <c r="B179" s="41"/>
      <c r="C179" s="42" t="str">
        <f aca="false">IF($B179="","",TEXT($B179,"yyyy-mm"))</f>
        <v/>
      </c>
      <c r="D179" s="32"/>
      <c r="E179" s="36"/>
      <c r="F179" s="43"/>
      <c r="G179" s="40"/>
      <c r="H179" s="51"/>
      <c r="I179" s="33"/>
      <c r="J179" s="31"/>
      <c r="K179" s="33"/>
      <c r="L179" s="33"/>
      <c r="M179" s="36"/>
      <c r="N179" s="47" t="str">
        <f aca="false">IF($B179="","",IF(NOT(ISNUMBER($B179)),"日期不是日期格式",IF(YEAR($B179)&lt;&gt;首页!$B$3,"不在会计年度",IF($D179="","未选供应商",IF(ISNA(MATCH($D179,基础资料!$AF$6:$AF$155,0)),"供应商不在档案",IF($E179="","未填商品或内容",IF(NOT(ISNUMBER($F179)),"数量须为数字",IF(NOT(ISNUMBER($G179)),"单价须为数字",IF(N($F179)&lt;=0,"数量须大于0",IF($I179="","请选是否入库",IF(AND($I179="是",ISNA(MATCH($E179,基础资料!$Q$6:$Q$205,0))),"入库商品必须在商品档案中",IF(AND($I179="否",$J179&lt;&gt;"",ISNA(MATCH($J179,科目参数!$A$6:$A$125,0))),"费用科目不存在","√"))))))))))))</f>
        <v/>
      </c>
      <c r="O179" s="49" t="str">
        <f aca="false">IF($E179="","",IFERROR(INDEX(基础资料!$R$6:$R$205,MATCH($E179,基础资料!$Q$6:$Q$205,0)),""))</f>
        <v/>
      </c>
      <c r="P179" s="49" t="str">
        <f aca="false">IF($E179="","",IFERROR(INDEX(基础资料!$S$6:$S$205,MATCH($E179,基础资料!$Q$6:$Q$205,0)),""))</f>
        <v/>
      </c>
      <c r="Q179" s="48" t="str">
        <f aca="false">IF(OR($F179="",$G179=""),"",ROUND(N($F179)*N($G179),2))</f>
        <v/>
      </c>
      <c r="R179" s="48" t="str">
        <f aca="false">IF($Q179="","",ROUND(N($Q179)*N($H179),2))</f>
        <v/>
      </c>
      <c r="S179" s="48" t="str">
        <f aca="false">IF($Q179="","",N($Q179)+N($R179))</f>
        <v/>
      </c>
      <c r="T179" s="52" t="str">
        <f aca="false">IF(OR($B179="",$D179=""),"",$B179+N(IFERROR(INDEX(基础资料!$AH$6:$AH$155,MATCH($D179,基础资料!$AF$6:$AF$155,0)),0)))</f>
        <v/>
      </c>
      <c r="U179" s="49" t="str">
        <f aca="false">IF($Q179="","",IF($I179="是","1405",IF($J179="","6602",$J179)))</f>
        <v/>
      </c>
      <c r="V179" s="49" t="str">
        <f aca="false">IF($Q179="","","2202")</f>
        <v/>
      </c>
      <c r="W179" s="48" t="str">
        <f aca="false">IF($Q179="","",$Q179)</f>
        <v/>
      </c>
      <c r="X179" s="49" t="str">
        <f aca="false">IF(N($R179)=0,"","2221")</f>
        <v/>
      </c>
      <c r="Y179" s="49" t="str">
        <f aca="false">IF(N($R179)=0,"","2202")</f>
        <v/>
      </c>
      <c r="Z179" s="48" t="str">
        <f aca="false">IF(N($R179)=0,"",$R179)</f>
        <v/>
      </c>
      <c r="AA179" s="49" t="str">
        <f aca="false">IF(AND($D179=供应商对账单!$B$3,$B179&gt;=供应商对账单!$E$3,$B179&lt;=供应商对账单!$H$3),COUNTIFS($D$5:$D179,供应商对账单!$B$3,$B$5:$B179,"&gt;="&amp;供应商对账单!$E$3,$B$5:$B179,"&lt;="&amp;供应商对账单!$H$3),"")</f>
        <v/>
      </c>
    </row>
    <row r="180" customFormat="false" ht="15.75" hidden="false" customHeight="true" outlineLevel="0" collapsed="false">
      <c r="A180" s="42" t="str">
        <f aca="false">IF($B180="","","CG"&amp;TEXT($B180,"yyyymm")&amp;"-"&amp;TEXT(ROW()-4,"000"))</f>
        <v/>
      </c>
      <c r="B180" s="41"/>
      <c r="C180" s="42" t="str">
        <f aca="false">IF($B180="","",TEXT($B180,"yyyy-mm"))</f>
        <v/>
      </c>
      <c r="D180" s="32"/>
      <c r="E180" s="36"/>
      <c r="F180" s="43"/>
      <c r="G180" s="40"/>
      <c r="H180" s="51"/>
      <c r="I180" s="33"/>
      <c r="J180" s="31"/>
      <c r="K180" s="33"/>
      <c r="L180" s="33"/>
      <c r="M180" s="36"/>
      <c r="N180" s="47" t="str">
        <f aca="false">IF($B180="","",IF(NOT(ISNUMBER($B180)),"日期不是日期格式",IF(YEAR($B180)&lt;&gt;首页!$B$3,"不在会计年度",IF($D180="","未选供应商",IF(ISNA(MATCH($D180,基础资料!$AF$6:$AF$155,0)),"供应商不在档案",IF($E180="","未填商品或内容",IF(NOT(ISNUMBER($F180)),"数量须为数字",IF(NOT(ISNUMBER($G180)),"单价须为数字",IF(N($F180)&lt;=0,"数量须大于0",IF($I180="","请选是否入库",IF(AND($I180="是",ISNA(MATCH($E180,基础资料!$Q$6:$Q$205,0))),"入库商品必须在商品档案中",IF(AND($I180="否",$J180&lt;&gt;"",ISNA(MATCH($J180,科目参数!$A$6:$A$125,0))),"费用科目不存在","√"))))))))))))</f>
        <v/>
      </c>
      <c r="O180" s="49" t="str">
        <f aca="false">IF($E180="","",IFERROR(INDEX(基础资料!$R$6:$R$205,MATCH($E180,基础资料!$Q$6:$Q$205,0)),""))</f>
        <v/>
      </c>
      <c r="P180" s="49" t="str">
        <f aca="false">IF($E180="","",IFERROR(INDEX(基础资料!$S$6:$S$205,MATCH($E180,基础资料!$Q$6:$Q$205,0)),""))</f>
        <v/>
      </c>
      <c r="Q180" s="48" t="str">
        <f aca="false">IF(OR($F180="",$G180=""),"",ROUND(N($F180)*N($G180),2))</f>
        <v/>
      </c>
      <c r="R180" s="48" t="str">
        <f aca="false">IF($Q180="","",ROUND(N($Q180)*N($H180),2))</f>
        <v/>
      </c>
      <c r="S180" s="48" t="str">
        <f aca="false">IF($Q180="","",N($Q180)+N($R180))</f>
        <v/>
      </c>
      <c r="T180" s="52" t="str">
        <f aca="false">IF(OR($B180="",$D180=""),"",$B180+N(IFERROR(INDEX(基础资料!$AH$6:$AH$155,MATCH($D180,基础资料!$AF$6:$AF$155,0)),0)))</f>
        <v/>
      </c>
      <c r="U180" s="49" t="str">
        <f aca="false">IF($Q180="","",IF($I180="是","1405",IF($J180="","6602",$J180)))</f>
        <v/>
      </c>
      <c r="V180" s="49" t="str">
        <f aca="false">IF($Q180="","","2202")</f>
        <v/>
      </c>
      <c r="W180" s="48" t="str">
        <f aca="false">IF($Q180="","",$Q180)</f>
        <v/>
      </c>
      <c r="X180" s="49" t="str">
        <f aca="false">IF(N($R180)=0,"","2221")</f>
        <v/>
      </c>
      <c r="Y180" s="49" t="str">
        <f aca="false">IF(N($R180)=0,"","2202")</f>
        <v/>
      </c>
      <c r="Z180" s="48" t="str">
        <f aca="false">IF(N($R180)=0,"",$R180)</f>
        <v/>
      </c>
      <c r="AA180" s="49" t="str">
        <f aca="false">IF(AND($D180=供应商对账单!$B$3,$B180&gt;=供应商对账单!$E$3,$B180&lt;=供应商对账单!$H$3),COUNTIFS($D$5:$D180,供应商对账单!$B$3,$B$5:$B180,"&gt;="&amp;供应商对账单!$E$3,$B$5:$B180,"&lt;="&amp;供应商对账单!$H$3),"")</f>
        <v/>
      </c>
    </row>
    <row r="181" customFormat="false" ht="15.75" hidden="false" customHeight="true" outlineLevel="0" collapsed="false">
      <c r="A181" s="42" t="str">
        <f aca="false">IF($B181="","","CG"&amp;TEXT($B181,"yyyymm")&amp;"-"&amp;TEXT(ROW()-4,"000"))</f>
        <v/>
      </c>
      <c r="B181" s="41"/>
      <c r="C181" s="42" t="str">
        <f aca="false">IF($B181="","",TEXT($B181,"yyyy-mm"))</f>
        <v/>
      </c>
      <c r="D181" s="32"/>
      <c r="E181" s="36"/>
      <c r="F181" s="43"/>
      <c r="G181" s="40"/>
      <c r="H181" s="51"/>
      <c r="I181" s="33"/>
      <c r="J181" s="31"/>
      <c r="K181" s="33"/>
      <c r="L181" s="33"/>
      <c r="M181" s="36"/>
      <c r="N181" s="47" t="str">
        <f aca="false">IF($B181="","",IF(NOT(ISNUMBER($B181)),"日期不是日期格式",IF(YEAR($B181)&lt;&gt;首页!$B$3,"不在会计年度",IF($D181="","未选供应商",IF(ISNA(MATCH($D181,基础资料!$AF$6:$AF$155,0)),"供应商不在档案",IF($E181="","未填商品或内容",IF(NOT(ISNUMBER($F181)),"数量须为数字",IF(NOT(ISNUMBER($G181)),"单价须为数字",IF(N($F181)&lt;=0,"数量须大于0",IF($I181="","请选是否入库",IF(AND($I181="是",ISNA(MATCH($E181,基础资料!$Q$6:$Q$205,0))),"入库商品必须在商品档案中",IF(AND($I181="否",$J181&lt;&gt;"",ISNA(MATCH($J181,科目参数!$A$6:$A$125,0))),"费用科目不存在","√"))))))))))))</f>
        <v/>
      </c>
      <c r="O181" s="49" t="str">
        <f aca="false">IF($E181="","",IFERROR(INDEX(基础资料!$R$6:$R$205,MATCH($E181,基础资料!$Q$6:$Q$205,0)),""))</f>
        <v/>
      </c>
      <c r="P181" s="49" t="str">
        <f aca="false">IF($E181="","",IFERROR(INDEX(基础资料!$S$6:$S$205,MATCH($E181,基础资料!$Q$6:$Q$205,0)),""))</f>
        <v/>
      </c>
      <c r="Q181" s="48" t="str">
        <f aca="false">IF(OR($F181="",$G181=""),"",ROUND(N($F181)*N($G181),2))</f>
        <v/>
      </c>
      <c r="R181" s="48" t="str">
        <f aca="false">IF($Q181="","",ROUND(N($Q181)*N($H181),2))</f>
        <v/>
      </c>
      <c r="S181" s="48" t="str">
        <f aca="false">IF($Q181="","",N($Q181)+N($R181))</f>
        <v/>
      </c>
      <c r="T181" s="52" t="str">
        <f aca="false">IF(OR($B181="",$D181=""),"",$B181+N(IFERROR(INDEX(基础资料!$AH$6:$AH$155,MATCH($D181,基础资料!$AF$6:$AF$155,0)),0)))</f>
        <v/>
      </c>
      <c r="U181" s="49" t="str">
        <f aca="false">IF($Q181="","",IF($I181="是","1405",IF($J181="","6602",$J181)))</f>
        <v/>
      </c>
      <c r="V181" s="49" t="str">
        <f aca="false">IF($Q181="","","2202")</f>
        <v/>
      </c>
      <c r="W181" s="48" t="str">
        <f aca="false">IF($Q181="","",$Q181)</f>
        <v/>
      </c>
      <c r="X181" s="49" t="str">
        <f aca="false">IF(N($R181)=0,"","2221")</f>
        <v/>
      </c>
      <c r="Y181" s="49" t="str">
        <f aca="false">IF(N($R181)=0,"","2202")</f>
        <v/>
      </c>
      <c r="Z181" s="48" t="str">
        <f aca="false">IF(N($R181)=0,"",$R181)</f>
        <v/>
      </c>
      <c r="AA181" s="49" t="str">
        <f aca="false">IF(AND($D181=供应商对账单!$B$3,$B181&gt;=供应商对账单!$E$3,$B181&lt;=供应商对账单!$H$3),COUNTIFS($D$5:$D181,供应商对账单!$B$3,$B$5:$B181,"&gt;="&amp;供应商对账单!$E$3,$B$5:$B181,"&lt;="&amp;供应商对账单!$H$3),"")</f>
        <v/>
      </c>
    </row>
    <row r="182" customFormat="false" ht="15.75" hidden="false" customHeight="true" outlineLevel="0" collapsed="false">
      <c r="A182" s="42" t="str">
        <f aca="false">IF($B182="","","CG"&amp;TEXT($B182,"yyyymm")&amp;"-"&amp;TEXT(ROW()-4,"000"))</f>
        <v/>
      </c>
      <c r="B182" s="41"/>
      <c r="C182" s="42" t="str">
        <f aca="false">IF($B182="","",TEXT($B182,"yyyy-mm"))</f>
        <v/>
      </c>
      <c r="D182" s="32"/>
      <c r="E182" s="36"/>
      <c r="F182" s="43"/>
      <c r="G182" s="40"/>
      <c r="H182" s="51"/>
      <c r="I182" s="33"/>
      <c r="J182" s="31"/>
      <c r="K182" s="33"/>
      <c r="L182" s="33"/>
      <c r="M182" s="36"/>
      <c r="N182" s="47" t="str">
        <f aca="false">IF($B182="","",IF(NOT(ISNUMBER($B182)),"日期不是日期格式",IF(YEAR($B182)&lt;&gt;首页!$B$3,"不在会计年度",IF($D182="","未选供应商",IF(ISNA(MATCH($D182,基础资料!$AF$6:$AF$155,0)),"供应商不在档案",IF($E182="","未填商品或内容",IF(NOT(ISNUMBER($F182)),"数量须为数字",IF(NOT(ISNUMBER($G182)),"单价须为数字",IF(N($F182)&lt;=0,"数量须大于0",IF($I182="","请选是否入库",IF(AND($I182="是",ISNA(MATCH($E182,基础资料!$Q$6:$Q$205,0))),"入库商品必须在商品档案中",IF(AND($I182="否",$J182&lt;&gt;"",ISNA(MATCH($J182,科目参数!$A$6:$A$125,0))),"费用科目不存在","√"))))))))))))</f>
        <v/>
      </c>
      <c r="O182" s="49" t="str">
        <f aca="false">IF($E182="","",IFERROR(INDEX(基础资料!$R$6:$R$205,MATCH($E182,基础资料!$Q$6:$Q$205,0)),""))</f>
        <v/>
      </c>
      <c r="P182" s="49" t="str">
        <f aca="false">IF($E182="","",IFERROR(INDEX(基础资料!$S$6:$S$205,MATCH($E182,基础资料!$Q$6:$Q$205,0)),""))</f>
        <v/>
      </c>
      <c r="Q182" s="48" t="str">
        <f aca="false">IF(OR($F182="",$G182=""),"",ROUND(N($F182)*N($G182),2))</f>
        <v/>
      </c>
      <c r="R182" s="48" t="str">
        <f aca="false">IF($Q182="","",ROUND(N($Q182)*N($H182),2))</f>
        <v/>
      </c>
      <c r="S182" s="48" t="str">
        <f aca="false">IF($Q182="","",N($Q182)+N($R182))</f>
        <v/>
      </c>
      <c r="T182" s="52" t="str">
        <f aca="false">IF(OR($B182="",$D182=""),"",$B182+N(IFERROR(INDEX(基础资料!$AH$6:$AH$155,MATCH($D182,基础资料!$AF$6:$AF$155,0)),0)))</f>
        <v/>
      </c>
      <c r="U182" s="49" t="str">
        <f aca="false">IF($Q182="","",IF($I182="是","1405",IF($J182="","6602",$J182)))</f>
        <v/>
      </c>
      <c r="V182" s="49" t="str">
        <f aca="false">IF($Q182="","","2202")</f>
        <v/>
      </c>
      <c r="W182" s="48" t="str">
        <f aca="false">IF($Q182="","",$Q182)</f>
        <v/>
      </c>
      <c r="X182" s="49" t="str">
        <f aca="false">IF(N($R182)=0,"","2221")</f>
        <v/>
      </c>
      <c r="Y182" s="49" t="str">
        <f aca="false">IF(N($R182)=0,"","2202")</f>
        <v/>
      </c>
      <c r="Z182" s="48" t="str">
        <f aca="false">IF(N($R182)=0,"",$R182)</f>
        <v/>
      </c>
      <c r="AA182" s="49" t="str">
        <f aca="false">IF(AND($D182=供应商对账单!$B$3,$B182&gt;=供应商对账单!$E$3,$B182&lt;=供应商对账单!$H$3),COUNTIFS($D$5:$D182,供应商对账单!$B$3,$B$5:$B182,"&gt;="&amp;供应商对账单!$E$3,$B$5:$B182,"&lt;="&amp;供应商对账单!$H$3),"")</f>
        <v/>
      </c>
    </row>
    <row r="183" customFormat="false" ht="15.75" hidden="false" customHeight="true" outlineLevel="0" collapsed="false">
      <c r="A183" s="42" t="str">
        <f aca="false">IF($B183="","","CG"&amp;TEXT($B183,"yyyymm")&amp;"-"&amp;TEXT(ROW()-4,"000"))</f>
        <v/>
      </c>
      <c r="B183" s="41"/>
      <c r="C183" s="42" t="str">
        <f aca="false">IF($B183="","",TEXT($B183,"yyyy-mm"))</f>
        <v/>
      </c>
      <c r="D183" s="32"/>
      <c r="E183" s="36"/>
      <c r="F183" s="43"/>
      <c r="G183" s="40"/>
      <c r="H183" s="51"/>
      <c r="I183" s="33"/>
      <c r="J183" s="31"/>
      <c r="K183" s="33"/>
      <c r="L183" s="33"/>
      <c r="M183" s="36"/>
      <c r="N183" s="47" t="str">
        <f aca="false">IF($B183="","",IF(NOT(ISNUMBER($B183)),"日期不是日期格式",IF(YEAR($B183)&lt;&gt;首页!$B$3,"不在会计年度",IF($D183="","未选供应商",IF(ISNA(MATCH($D183,基础资料!$AF$6:$AF$155,0)),"供应商不在档案",IF($E183="","未填商品或内容",IF(NOT(ISNUMBER($F183)),"数量须为数字",IF(NOT(ISNUMBER($G183)),"单价须为数字",IF(N($F183)&lt;=0,"数量须大于0",IF($I183="","请选是否入库",IF(AND($I183="是",ISNA(MATCH($E183,基础资料!$Q$6:$Q$205,0))),"入库商品必须在商品档案中",IF(AND($I183="否",$J183&lt;&gt;"",ISNA(MATCH($J183,科目参数!$A$6:$A$125,0))),"费用科目不存在","√"))))))))))))</f>
        <v/>
      </c>
      <c r="O183" s="49" t="str">
        <f aca="false">IF($E183="","",IFERROR(INDEX(基础资料!$R$6:$R$205,MATCH($E183,基础资料!$Q$6:$Q$205,0)),""))</f>
        <v/>
      </c>
      <c r="P183" s="49" t="str">
        <f aca="false">IF($E183="","",IFERROR(INDEX(基础资料!$S$6:$S$205,MATCH($E183,基础资料!$Q$6:$Q$205,0)),""))</f>
        <v/>
      </c>
      <c r="Q183" s="48" t="str">
        <f aca="false">IF(OR($F183="",$G183=""),"",ROUND(N($F183)*N($G183),2))</f>
        <v/>
      </c>
      <c r="R183" s="48" t="str">
        <f aca="false">IF($Q183="","",ROUND(N($Q183)*N($H183),2))</f>
        <v/>
      </c>
      <c r="S183" s="48" t="str">
        <f aca="false">IF($Q183="","",N($Q183)+N($R183))</f>
        <v/>
      </c>
      <c r="T183" s="52" t="str">
        <f aca="false">IF(OR($B183="",$D183=""),"",$B183+N(IFERROR(INDEX(基础资料!$AH$6:$AH$155,MATCH($D183,基础资料!$AF$6:$AF$155,0)),0)))</f>
        <v/>
      </c>
      <c r="U183" s="49" t="str">
        <f aca="false">IF($Q183="","",IF($I183="是","1405",IF($J183="","6602",$J183)))</f>
        <v/>
      </c>
      <c r="V183" s="49" t="str">
        <f aca="false">IF($Q183="","","2202")</f>
        <v/>
      </c>
      <c r="W183" s="48" t="str">
        <f aca="false">IF($Q183="","",$Q183)</f>
        <v/>
      </c>
      <c r="X183" s="49" t="str">
        <f aca="false">IF(N($R183)=0,"","2221")</f>
        <v/>
      </c>
      <c r="Y183" s="49" t="str">
        <f aca="false">IF(N($R183)=0,"","2202")</f>
        <v/>
      </c>
      <c r="Z183" s="48" t="str">
        <f aca="false">IF(N($R183)=0,"",$R183)</f>
        <v/>
      </c>
      <c r="AA183" s="49" t="str">
        <f aca="false">IF(AND($D183=供应商对账单!$B$3,$B183&gt;=供应商对账单!$E$3,$B183&lt;=供应商对账单!$H$3),COUNTIFS($D$5:$D183,供应商对账单!$B$3,$B$5:$B183,"&gt;="&amp;供应商对账单!$E$3,$B$5:$B183,"&lt;="&amp;供应商对账单!$H$3),"")</f>
        <v/>
      </c>
    </row>
    <row r="184" customFormat="false" ht="15.75" hidden="false" customHeight="true" outlineLevel="0" collapsed="false">
      <c r="A184" s="42" t="str">
        <f aca="false">IF($B184="","","CG"&amp;TEXT($B184,"yyyymm")&amp;"-"&amp;TEXT(ROW()-4,"000"))</f>
        <v/>
      </c>
      <c r="B184" s="41"/>
      <c r="C184" s="42" t="str">
        <f aca="false">IF($B184="","",TEXT($B184,"yyyy-mm"))</f>
        <v/>
      </c>
      <c r="D184" s="32"/>
      <c r="E184" s="36"/>
      <c r="F184" s="43"/>
      <c r="G184" s="40"/>
      <c r="H184" s="51"/>
      <c r="I184" s="33"/>
      <c r="J184" s="31"/>
      <c r="K184" s="33"/>
      <c r="L184" s="33"/>
      <c r="M184" s="36"/>
      <c r="N184" s="47" t="str">
        <f aca="false">IF($B184="","",IF(NOT(ISNUMBER($B184)),"日期不是日期格式",IF(YEAR($B184)&lt;&gt;首页!$B$3,"不在会计年度",IF($D184="","未选供应商",IF(ISNA(MATCH($D184,基础资料!$AF$6:$AF$155,0)),"供应商不在档案",IF($E184="","未填商品或内容",IF(NOT(ISNUMBER($F184)),"数量须为数字",IF(NOT(ISNUMBER($G184)),"单价须为数字",IF(N($F184)&lt;=0,"数量须大于0",IF($I184="","请选是否入库",IF(AND($I184="是",ISNA(MATCH($E184,基础资料!$Q$6:$Q$205,0))),"入库商品必须在商品档案中",IF(AND($I184="否",$J184&lt;&gt;"",ISNA(MATCH($J184,科目参数!$A$6:$A$125,0))),"费用科目不存在","√"))))))))))))</f>
        <v/>
      </c>
      <c r="O184" s="49" t="str">
        <f aca="false">IF($E184="","",IFERROR(INDEX(基础资料!$R$6:$R$205,MATCH($E184,基础资料!$Q$6:$Q$205,0)),""))</f>
        <v/>
      </c>
      <c r="P184" s="49" t="str">
        <f aca="false">IF($E184="","",IFERROR(INDEX(基础资料!$S$6:$S$205,MATCH($E184,基础资料!$Q$6:$Q$205,0)),""))</f>
        <v/>
      </c>
      <c r="Q184" s="48" t="str">
        <f aca="false">IF(OR($F184="",$G184=""),"",ROUND(N($F184)*N($G184),2))</f>
        <v/>
      </c>
      <c r="R184" s="48" t="str">
        <f aca="false">IF($Q184="","",ROUND(N($Q184)*N($H184),2))</f>
        <v/>
      </c>
      <c r="S184" s="48" t="str">
        <f aca="false">IF($Q184="","",N($Q184)+N($R184))</f>
        <v/>
      </c>
      <c r="T184" s="52" t="str">
        <f aca="false">IF(OR($B184="",$D184=""),"",$B184+N(IFERROR(INDEX(基础资料!$AH$6:$AH$155,MATCH($D184,基础资料!$AF$6:$AF$155,0)),0)))</f>
        <v/>
      </c>
      <c r="U184" s="49" t="str">
        <f aca="false">IF($Q184="","",IF($I184="是","1405",IF($J184="","6602",$J184)))</f>
        <v/>
      </c>
      <c r="V184" s="49" t="str">
        <f aca="false">IF($Q184="","","2202")</f>
        <v/>
      </c>
      <c r="W184" s="48" t="str">
        <f aca="false">IF($Q184="","",$Q184)</f>
        <v/>
      </c>
      <c r="X184" s="49" t="str">
        <f aca="false">IF(N($R184)=0,"","2221")</f>
        <v/>
      </c>
      <c r="Y184" s="49" t="str">
        <f aca="false">IF(N($R184)=0,"","2202")</f>
        <v/>
      </c>
      <c r="Z184" s="48" t="str">
        <f aca="false">IF(N($R184)=0,"",$R184)</f>
        <v/>
      </c>
      <c r="AA184" s="49" t="str">
        <f aca="false">IF(AND($D184=供应商对账单!$B$3,$B184&gt;=供应商对账单!$E$3,$B184&lt;=供应商对账单!$H$3),COUNTIFS($D$5:$D184,供应商对账单!$B$3,$B$5:$B184,"&gt;="&amp;供应商对账单!$E$3,$B$5:$B184,"&lt;="&amp;供应商对账单!$H$3),"")</f>
        <v/>
      </c>
    </row>
    <row r="185" customFormat="false" ht="15.75" hidden="false" customHeight="true" outlineLevel="0" collapsed="false">
      <c r="A185" s="42" t="str">
        <f aca="false">IF($B185="","","CG"&amp;TEXT($B185,"yyyymm")&amp;"-"&amp;TEXT(ROW()-4,"000"))</f>
        <v/>
      </c>
      <c r="B185" s="41"/>
      <c r="C185" s="42" t="str">
        <f aca="false">IF($B185="","",TEXT($B185,"yyyy-mm"))</f>
        <v/>
      </c>
      <c r="D185" s="32"/>
      <c r="E185" s="36"/>
      <c r="F185" s="43"/>
      <c r="G185" s="40"/>
      <c r="H185" s="51"/>
      <c r="I185" s="33"/>
      <c r="J185" s="31"/>
      <c r="K185" s="33"/>
      <c r="L185" s="33"/>
      <c r="M185" s="36"/>
      <c r="N185" s="47" t="str">
        <f aca="false">IF($B185="","",IF(NOT(ISNUMBER($B185)),"日期不是日期格式",IF(YEAR($B185)&lt;&gt;首页!$B$3,"不在会计年度",IF($D185="","未选供应商",IF(ISNA(MATCH($D185,基础资料!$AF$6:$AF$155,0)),"供应商不在档案",IF($E185="","未填商品或内容",IF(NOT(ISNUMBER($F185)),"数量须为数字",IF(NOT(ISNUMBER($G185)),"单价须为数字",IF(N($F185)&lt;=0,"数量须大于0",IF($I185="","请选是否入库",IF(AND($I185="是",ISNA(MATCH($E185,基础资料!$Q$6:$Q$205,0))),"入库商品必须在商品档案中",IF(AND($I185="否",$J185&lt;&gt;"",ISNA(MATCH($J185,科目参数!$A$6:$A$125,0))),"费用科目不存在","√"))))))))))))</f>
        <v/>
      </c>
      <c r="O185" s="49" t="str">
        <f aca="false">IF($E185="","",IFERROR(INDEX(基础资料!$R$6:$R$205,MATCH($E185,基础资料!$Q$6:$Q$205,0)),""))</f>
        <v/>
      </c>
      <c r="P185" s="49" t="str">
        <f aca="false">IF($E185="","",IFERROR(INDEX(基础资料!$S$6:$S$205,MATCH($E185,基础资料!$Q$6:$Q$205,0)),""))</f>
        <v/>
      </c>
      <c r="Q185" s="48" t="str">
        <f aca="false">IF(OR($F185="",$G185=""),"",ROUND(N($F185)*N($G185),2))</f>
        <v/>
      </c>
      <c r="R185" s="48" t="str">
        <f aca="false">IF($Q185="","",ROUND(N($Q185)*N($H185),2))</f>
        <v/>
      </c>
      <c r="S185" s="48" t="str">
        <f aca="false">IF($Q185="","",N($Q185)+N($R185))</f>
        <v/>
      </c>
      <c r="T185" s="52" t="str">
        <f aca="false">IF(OR($B185="",$D185=""),"",$B185+N(IFERROR(INDEX(基础资料!$AH$6:$AH$155,MATCH($D185,基础资料!$AF$6:$AF$155,0)),0)))</f>
        <v/>
      </c>
      <c r="U185" s="49" t="str">
        <f aca="false">IF($Q185="","",IF($I185="是","1405",IF($J185="","6602",$J185)))</f>
        <v/>
      </c>
      <c r="V185" s="49" t="str">
        <f aca="false">IF($Q185="","","2202")</f>
        <v/>
      </c>
      <c r="W185" s="48" t="str">
        <f aca="false">IF($Q185="","",$Q185)</f>
        <v/>
      </c>
      <c r="X185" s="49" t="str">
        <f aca="false">IF(N($R185)=0,"","2221")</f>
        <v/>
      </c>
      <c r="Y185" s="49" t="str">
        <f aca="false">IF(N($R185)=0,"","2202")</f>
        <v/>
      </c>
      <c r="Z185" s="48" t="str">
        <f aca="false">IF(N($R185)=0,"",$R185)</f>
        <v/>
      </c>
      <c r="AA185" s="49" t="str">
        <f aca="false">IF(AND($D185=供应商对账单!$B$3,$B185&gt;=供应商对账单!$E$3,$B185&lt;=供应商对账单!$H$3),COUNTIFS($D$5:$D185,供应商对账单!$B$3,$B$5:$B185,"&gt;="&amp;供应商对账单!$E$3,$B$5:$B185,"&lt;="&amp;供应商对账单!$H$3),"")</f>
        <v/>
      </c>
    </row>
    <row r="186" customFormat="false" ht="15.75" hidden="false" customHeight="true" outlineLevel="0" collapsed="false">
      <c r="A186" s="42" t="str">
        <f aca="false">IF($B186="","","CG"&amp;TEXT($B186,"yyyymm")&amp;"-"&amp;TEXT(ROW()-4,"000"))</f>
        <v/>
      </c>
      <c r="B186" s="41"/>
      <c r="C186" s="42" t="str">
        <f aca="false">IF($B186="","",TEXT($B186,"yyyy-mm"))</f>
        <v/>
      </c>
      <c r="D186" s="32"/>
      <c r="E186" s="36"/>
      <c r="F186" s="43"/>
      <c r="G186" s="40"/>
      <c r="H186" s="51"/>
      <c r="I186" s="33"/>
      <c r="J186" s="31"/>
      <c r="K186" s="33"/>
      <c r="L186" s="33"/>
      <c r="M186" s="36"/>
      <c r="N186" s="47" t="str">
        <f aca="false">IF($B186="","",IF(NOT(ISNUMBER($B186)),"日期不是日期格式",IF(YEAR($B186)&lt;&gt;首页!$B$3,"不在会计年度",IF($D186="","未选供应商",IF(ISNA(MATCH($D186,基础资料!$AF$6:$AF$155,0)),"供应商不在档案",IF($E186="","未填商品或内容",IF(NOT(ISNUMBER($F186)),"数量须为数字",IF(NOT(ISNUMBER($G186)),"单价须为数字",IF(N($F186)&lt;=0,"数量须大于0",IF($I186="","请选是否入库",IF(AND($I186="是",ISNA(MATCH($E186,基础资料!$Q$6:$Q$205,0))),"入库商品必须在商品档案中",IF(AND($I186="否",$J186&lt;&gt;"",ISNA(MATCH($J186,科目参数!$A$6:$A$125,0))),"费用科目不存在","√"))))))))))))</f>
        <v/>
      </c>
      <c r="O186" s="49" t="str">
        <f aca="false">IF($E186="","",IFERROR(INDEX(基础资料!$R$6:$R$205,MATCH($E186,基础资料!$Q$6:$Q$205,0)),""))</f>
        <v/>
      </c>
      <c r="P186" s="49" t="str">
        <f aca="false">IF($E186="","",IFERROR(INDEX(基础资料!$S$6:$S$205,MATCH($E186,基础资料!$Q$6:$Q$205,0)),""))</f>
        <v/>
      </c>
      <c r="Q186" s="48" t="str">
        <f aca="false">IF(OR($F186="",$G186=""),"",ROUND(N($F186)*N($G186),2))</f>
        <v/>
      </c>
      <c r="R186" s="48" t="str">
        <f aca="false">IF($Q186="","",ROUND(N($Q186)*N($H186),2))</f>
        <v/>
      </c>
      <c r="S186" s="48" t="str">
        <f aca="false">IF($Q186="","",N($Q186)+N($R186))</f>
        <v/>
      </c>
      <c r="T186" s="52" t="str">
        <f aca="false">IF(OR($B186="",$D186=""),"",$B186+N(IFERROR(INDEX(基础资料!$AH$6:$AH$155,MATCH($D186,基础资料!$AF$6:$AF$155,0)),0)))</f>
        <v/>
      </c>
      <c r="U186" s="49" t="str">
        <f aca="false">IF($Q186="","",IF($I186="是","1405",IF($J186="","6602",$J186)))</f>
        <v/>
      </c>
      <c r="V186" s="49" t="str">
        <f aca="false">IF($Q186="","","2202")</f>
        <v/>
      </c>
      <c r="W186" s="48" t="str">
        <f aca="false">IF($Q186="","",$Q186)</f>
        <v/>
      </c>
      <c r="X186" s="49" t="str">
        <f aca="false">IF(N($R186)=0,"","2221")</f>
        <v/>
      </c>
      <c r="Y186" s="49" t="str">
        <f aca="false">IF(N($R186)=0,"","2202")</f>
        <v/>
      </c>
      <c r="Z186" s="48" t="str">
        <f aca="false">IF(N($R186)=0,"",$R186)</f>
        <v/>
      </c>
      <c r="AA186" s="49" t="str">
        <f aca="false">IF(AND($D186=供应商对账单!$B$3,$B186&gt;=供应商对账单!$E$3,$B186&lt;=供应商对账单!$H$3),COUNTIFS($D$5:$D186,供应商对账单!$B$3,$B$5:$B186,"&gt;="&amp;供应商对账单!$E$3,$B$5:$B186,"&lt;="&amp;供应商对账单!$H$3),"")</f>
        <v/>
      </c>
    </row>
    <row r="187" customFormat="false" ht="15.75" hidden="false" customHeight="true" outlineLevel="0" collapsed="false">
      <c r="A187" s="42" t="str">
        <f aca="false">IF($B187="","","CG"&amp;TEXT($B187,"yyyymm")&amp;"-"&amp;TEXT(ROW()-4,"000"))</f>
        <v/>
      </c>
      <c r="B187" s="41"/>
      <c r="C187" s="42" t="str">
        <f aca="false">IF($B187="","",TEXT($B187,"yyyy-mm"))</f>
        <v/>
      </c>
      <c r="D187" s="32"/>
      <c r="E187" s="36"/>
      <c r="F187" s="43"/>
      <c r="G187" s="40"/>
      <c r="H187" s="51"/>
      <c r="I187" s="33"/>
      <c r="J187" s="31"/>
      <c r="K187" s="33"/>
      <c r="L187" s="33"/>
      <c r="M187" s="36"/>
      <c r="N187" s="47" t="str">
        <f aca="false">IF($B187="","",IF(NOT(ISNUMBER($B187)),"日期不是日期格式",IF(YEAR($B187)&lt;&gt;首页!$B$3,"不在会计年度",IF($D187="","未选供应商",IF(ISNA(MATCH($D187,基础资料!$AF$6:$AF$155,0)),"供应商不在档案",IF($E187="","未填商品或内容",IF(NOT(ISNUMBER($F187)),"数量须为数字",IF(NOT(ISNUMBER($G187)),"单价须为数字",IF(N($F187)&lt;=0,"数量须大于0",IF($I187="","请选是否入库",IF(AND($I187="是",ISNA(MATCH($E187,基础资料!$Q$6:$Q$205,0))),"入库商品必须在商品档案中",IF(AND($I187="否",$J187&lt;&gt;"",ISNA(MATCH($J187,科目参数!$A$6:$A$125,0))),"费用科目不存在","√"))))))))))))</f>
        <v/>
      </c>
      <c r="O187" s="49" t="str">
        <f aca="false">IF($E187="","",IFERROR(INDEX(基础资料!$R$6:$R$205,MATCH($E187,基础资料!$Q$6:$Q$205,0)),""))</f>
        <v/>
      </c>
      <c r="P187" s="49" t="str">
        <f aca="false">IF($E187="","",IFERROR(INDEX(基础资料!$S$6:$S$205,MATCH($E187,基础资料!$Q$6:$Q$205,0)),""))</f>
        <v/>
      </c>
      <c r="Q187" s="48" t="str">
        <f aca="false">IF(OR($F187="",$G187=""),"",ROUND(N($F187)*N($G187),2))</f>
        <v/>
      </c>
      <c r="R187" s="48" t="str">
        <f aca="false">IF($Q187="","",ROUND(N($Q187)*N($H187),2))</f>
        <v/>
      </c>
      <c r="S187" s="48" t="str">
        <f aca="false">IF($Q187="","",N($Q187)+N($R187))</f>
        <v/>
      </c>
      <c r="T187" s="52" t="str">
        <f aca="false">IF(OR($B187="",$D187=""),"",$B187+N(IFERROR(INDEX(基础资料!$AH$6:$AH$155,MATCH($D187,基础资料!$AF$6:$AF$155,0)),0)))</f>
        <v/>
      </c>
      <c r="U187" s="49" t="str">
        <f aca="false">IF($Q187="","",IF($I187="是","1405",IF($J187="","6602",$J187)))</f>
        <v/>
      </c>
      <c r="V187" s="49" t="str">
        <f aca="false">IF($Q187="","","2202")</f>
        <v/>
      </c>
      <c r="W187" s="48" t="str">
        <f aca="false">IF($Q187="","",$Q187)</f>
        <v/>
      </c>
      <c r="X187" s="49" t="str">
        <f aca="false">IF(N($R187)=0,"","2221")</f>
        <v/>
      </c>
      <c r="Y187" s="49" t="str">
        <f aca="false">IF(N($R187)=0,"","2202")</f>
        <v/>
      </c>
      <c r="Z187" s="48" t="str">
        <f aca="false">IF(N($R187)=0,"",$R187)</f>
        <v/>
      </c>
      <c r="AA187" s="49" t="str">
        <f aca="false">IF(AND($D187=供应商对账单!$B$3,$B187&gt;=供应商对账单!$E$3,$B187&lt;=供应商对账单!$H$3),COUNTIFS($D$5:$D187,供应商对账单!$B$3,$B$5:$B187,"&gt;="&amp;供应商对账单!$E$3,$B$5:$B187,"&lt;="&amp;供应商对账单!$H$3),"")</f>
        <v/>
      </c>
    </row>
    <row r="188" customFormat="false" ht="15.75" hidden="false" customHeight="true" outlineLevel="0" collapsed="false">
      <c r="A188" s="42" t="str">
        <f aca="false">IF($B188="","","CG"&amp;TEXT($B188,"yyyymm")&amp;"-"&amp;TEXT(ROW()-4,"000"))</f>
        <v/>
      </c>
      <c r="B188" s="41"/>
      <c r="C188" s="42" t="str">
        <f aca="false">IF($B188="","",TEXT($B188,"yyyy-mm"))</f>
        <v/>
      </c>
      <c r="D188" s="32"/>
      <c r="E188" s="36"/>
      <c r="F188" s="43"/>
      <c r="G188" s="40"/>
      <c r="H188" s="51"/>
      <c r="I188" s="33"/>
      <c r="J188" s="31"/>
      <c r="K188" s="33"/>
      <c r="L188" s="33"/>
      <c r="M188" s="36"/>
      <c r="N188" s="47" t="str">
        <f aca="false">IF($B188="","",IF(NOT(ISNUMBER($B188)),"日期不是日期格式",IF(YEAR($B188)&lt;&gt;首页!$B$3,"不在会计年度",IF($D188="","未选供应商",IF(ISNA(MATCH($D188,基础资料!$AF$6:$AF$155,0)),"供应商不在档案",IF($E188="","未填商品或内容",IF(NOT(ISNUMBER($F188)),"数量须为数字",IF(NOT(ISNUMBER($G188)),"单价须为数字",IF(N($F188)&lt;=0,"数量须大于0",IF($I188="","请选是否入库",IF(AND($I188="是",ISNA(MATCH($E188,基础资料!$Q$6:$Q$205,0))),"入库商品必须在商品档案中",IF(AND($I188="否",$J188&lt;&gt;"",ISNA(MATCH($J188,科目参数!$A$6:$A$125,0))),"费用科目不存在","√"))))))))))))</f>
        <v/>
      </c>
      <c r="O188" s="49" t="str">
        <f aca="false">IF($E188="","",IFERROR(INDEX(基础资料!$R$6:$R$205,MATCH($E188,基础资料!$Q$6:$Q$205,0)),""))</f>
        <v/>
      </c>
      <c r="P188" s="49" t="str">
        <f aca="false">IF($E188="","",IFERROR(INDEX(基础资料!$S$6:$S$205,MATCH($E188,基础资料!$Q$6:$Q$205,0)),""))</f>
        <v/>
      </c>
      <c r="Q188" s="48" t="str">
        <f aca="false">IF(OR($F188="",$G188=""),"",ROUND(N($F188)*N($G188),2))</f>
        <v/>
      </c>
      <c r="R188" s="48" t="str">
        <f aca="false">IF($Q188="","",ROUND(N($Q188)*N($H188),2))</f>
        <v/>
      </c>
      <c r="S188" s="48" t="str">
        <f aca="false">IF($Q188="","",N($Q188)+N($R188))</f>
        <v/>
      </c>
      <c r="T188" s="52" t="str">
        <f aca="false">IF(OR($B188="",$D188=""),"",$B188+N(IFERROR(INDEX(基础资料!$AH$6:$AH$155,MATCH($D188,基础资料!$AF$6:$AF$155,0)),0)))</f>
        <v/>
      </c>
      <c r="U188" s="49" t="str">
        <f aca="false">IF($Q188="","",IF($I188="是","1405",IF($J188="","6602",$J188)))</f>
        <v/>
      </c>
      <c r="V188" s="49" t="str">
        <f aca="false">IF($Q188="","","2202")</f>
        <v/>
      </c>
      <c r="W188" s="48" t="str">
        <f aca="false">IF($Q188="","",$Q188)</f>
        <v/>
      </c>
      <c r="X188" s="49" t="str">
        <f aca="false">IF(N($R188)=0,"","2221")</f>
        <v/>
      </c>
      <c r="Y188" s="49" t="str">
        <f aca="false">IF(N($R188)=0,"","2202")</f>
        <v/>
      </c>
      <c r="Z188" s="48" t="str">
        <f aca="false">IF(N($R188)=0,"",$R188)</f>
        <v/>
      </c>
      <c r="AA188" s="49" t="str">
        <f aca="false">IF(AND($D188=供应商对账单!$B$3,$B188&gt;=供应商对账单!$E$3,$B188&lt;=供应商对账单!$H$3),COUNTIFS($D$5:$D188,供应商对账单!$B$3,$B$5:$B188,"&gt;="&amp;供应商对账单!$E$3,$B$5:$B188,"&lt;="&amp;供应商对账单!$H$3),"")</f>
        <v/>
      </c>
    </row>
    <row r="189" customFormat="false" ht="15.75" hidden="false" customHeight="true" outlineLevel="0" collapsed="false">
      <c r="A189" s="42" t="str">
        <f aca="false">IF($B189="","","CG"&amp;TEXT($B189,"yyyymm")&amp;"-"&amp;TEXT(ROW()-4,"000"))</f>
        <v/>
      </c>
      <c r="B189" s="41"/>
      <c r="C189" s="42" t="str">
        <f aca="false">IF($B189="","",TEXT($B189,"yyyy-mm"))</f>
        <v/>
      </c>
      <c r="D189" s="32"/>
      <c r="E189" s="36"/>
      <c r="F189" s="43"/>
      <c r="G189" s="40"/>
      <c r="H189" s="51"/>
      <c r="I189" s="33"/>
      <c r="J189" s="31"/>
      <c r="K189" s="33"/>
      <c r="L189" s="33"/>
      <c r="M189" s="36"/>
      <c r="N189" s="47" t="str">
        <f aca="false">IF($B189="","",IF(NOT(ISNUMBER($B189)),"日期不是日期格式",IF(YEAR($B189)&lt;&gt;首页!$B$3,"不在会计年度",IF($D189="","未选供应商",IF(ISNA(MATCH($D189,基础资料!$AF$6:$AF$155,0)),"供应商不在档案",IF($E189="","未填商品或内容",IF(NOT(ISNUMBER($F189)),"数量须为数字",IF(NOT(ISNUMBER($G189)),"单价须为数字",IF(N($F189)&lt;=0,"数量须大于0",IF($I189="","请选是否入库",IF(AND($I189="是",ISNA(MATCH($E189,基础资料!$Q$6:$Q$205,0))),"入库商品必须在商品档案中",IF(AND($I189="否",$J189&lt;&gt;"",ISNA(MATCH($J189,科目参数!$A$6:$A$125,0))),"费用科目不存在","√"))))))))))))</f>
        <v/>
      </c>
      <c r="O189" s="49" t="str">
        <f aca="false">IF($E189="","",IFERROR(INDEX(基础资料!$R$6:$R$205,MATCH($E189,基础资料!$Q$6:$Q$205,0)),""))</f>
        <v/>
      </c>
      <c r="P189" s="49" t="str">
        <f aca="false">IF($E189="","",IFERROR(INDEX(基础资料!$S$6:$S$205,MATCH($E189,基础资料!$Q$6:$Q$205,0)),""))</f>
        <v/>
      </c>
      <c r="Q189" s="48" t="str">
        <f aca="false">IF(OR($F189="",$G189=""),"",ROUND(N($F189)*N($G189),2))</f>
        <v/>
      </c>
      <c r="R189" s="48" t="str">
        <f aca="false">IF($Q189="","",ROUND(N($Q189)*N($H189),2))</f>
        <v/>
      </c>
      <c r="S189" s="48" t="str">
        <f aca="false">IF($Q189="","",N($Q189)+N($R189))</f>
        <v/>
      </c>
      <c r="T189" s="52" t="str">
        <f aca="false">IF(OR($B189="",$D189=""),"",$B189+N(IFERROR(INDEX(基础资料!$AH$6:$AH$155,MATCH($D189,基础资料!$AF$6:$AF$155,0)),0)))</f>
        <v/>
      </c>
      <c r="U189" s="49" t="str">
        <f aca="false">IF($Q189="","",IF($I189="是","1405",IF($J189="","6602",$J189)))</f>
        <v/>
      </c>
      <c r="V189" s="49" t="str">
        <f aca="false">IF($Q189="","","2202")</f>
        <v/>
      </c>
      <c r="W189" s="48" t="str">
        <f aca="false">IF($Q189="","",$Q189)</f>
        <v/>
      </c>
      <c r="X189" s="49" t="str">
        <f aca="false">IF(N($R189)=0,"","2221")</f>
        <v/>
      </c>
      <c r="Y189" s="49" t="str">
        <f aca="false">IF(N($R189)=0,"","2202")</f>
        <v/>
      </c>
      <c r="Z189" s="48" t="str">
        <f aca="false">IF(N($R189)=0,"",$R189)</f>
        <v/>
      </c>
      <c r="AA189" s="49" t="str">
        <f aca="false">IF(AND($D189=供应商对账单!$B$3,$B189&gt;=供应商对账单!$E$3,$B189&lt;=供应商对账单!$H$3),COUNTIFS($D$5:$D189,供应商对账单!$B$3,$B$5:$B189,"&gt;="&amp;供应商对账单!$E$3,$B$5:$B189,"&lt;="&amp;供应商对账单!$H$3),"")</f>
        <v/>
      </c>
    </row>
    <row r="190" customFormat="false" ht="15.75" hidden="false" customHeight="true" outlineLevel="0" collapsed="false">
      <c r="A190" s="42" t="str">
        <f aca="false">IF($B190="","","CG"&amp;TEXT($B190,"yyyymm")&amp;"-"&amp;TEXT(ROW()-4,"000"))</f>
        <v/>
      </c>
      <c r="B190" s="41"/>
      <c r="C190" s="42" t="str">
        <f aca="false">IF($B190="","",TEXT($B190,"yyyy-mm"))</f>
        <v/>
      </c>
      <c r="D190" s="32"/>
      <c r="E190" s="36"/>
      <c r="F190" s="43"/>
      <c r="G190" s="40"/>
      <c r="H190" s="51"/>
      <c r="I190" s="33"/>
      <c r="J190" s="31"/>
      <c r="K190" s="33"/>
      <c r="L190" s="33"/>
      <c r="M190" s="36"/>
      <c r="N190" s="47" t="str">
        <f aca="false">IF($B190="","",IF(NOT(ISNUMBER($B190)),"日期不是日期格式",IF(YEAR($B190)&lt;&gt;首页!$B$3,"不在会计年度",IF($D190="","未选供应商",IF(ISNA(MATCH($D190,基础资料!$AF$6:$AF$155,0)),"供应商不在档案",IF($E190="","未填商品或内容",IF(NOT(ISNUMBER($F190)),"数量须为数字",IF(NOT(ISNUMBER($G190)),"单价须为数字",IF(N($F190)&lt;=0,"数量须大于0",IF($I190="","请选是否入库",IF(AND($I190="是",ISNA(MATCH($E190,基础资料!$Q$6:$Q$205,0))),"入库商品必须在商品档案中",IF(AND($I190="否",$J190&lt;&gt;"",ISNA(MATCH($J190,科目参数!$A$6:$A$125,0))),"费用科目不存在","√"))))))))))))</f>
        <v/>
      </c>
      <c r="O190" s="49" t="str">
        <f aca="false">IF($E190="","",IFERROR(INDEX(基础资料!$R$6:$R$205,MATCH($E190,基础资料!$Q$6:$Q$205,0)),""))</f>
        <v/>
      </c>
      <c r="P190" s="49" t="str">
        <f aca="false">IF($E190="","",IFERROR(INDEX(基础资料!$S$6:$S$205,MATCH($E190,基础资料!$Q$6:$Q$205,0)),""))</f>
        <v/>
      </c>
      <c r="Q190" s="48" t="str">
        <f aca="false">IF(OR($F190="",$G190=""),"",ROUND(N($F190)*N($G190),2))</f>
        <v/>
      </c>
      <c r="R190" s="48" t="str">
        <f aca="false">IF($Q190="","",ROUND(N($Q190)*N($H190),2))</f>
        <v/>
      </c>
      <c r="S190" s="48" t="str">
        <f aca="false">IF($Q190="","",N($Q190)+N($R190))</f>
        <v/>
      </c>
      <c r="T190" s="52" t="str">
        <f aca="false">IF(OR($B190="",$D190=""),"",$B190+N(IFERROR(INDEX(基础资料!$AH$6:$AH$155,MATCH($D190,基础资料!$AF$6:$AF$155,0)),0)))</f>
        <v/>
      </c>
      <c r="U190" s="49" t="str">
        <f aca="false">IF($Q190="","",IF($I190="是","1405",IF($J190="","6602",$J190)))</f>
        <v/>
      </c>
      <c r="V190" s="49" t="str">
        <f aca="false">IF($Q190="","","2202")</f>
        <v/>
      </c>
      <c r="W190" s="48" t="str">
        <f aca="false">IF($Q190="","",$Q190)</f>
        <v/>
      </c>
      <c r="X190" s="49" t="str">
        <f aca="false">IF(N($R190)=0,"","2221")</f>
        <v/>
      </c>
      <c r="Y190" s="49" t="str">
        <f aca="false">IF(N($R190)=0,"","2202")</f>
        <v/>
      </c>
      <c r="Z190" s="48" t="str">
        <f aca="false">IF(N($R190)=0,"",$R190)</f>
        <v/>
      </c>
      <c r="AA190" s="49" t="str">
        <f aca="false">IF(AND($D190=供应商对账单!$B$3,$B190&gt;=供应商对账单!$E$3,$B190&lt;=供应商对账单!$H$3),COUNTIFS($D$5:$D190,供应商对账单!$B$3,$B$5:$B190,"&gt;="&amp;供应商对账单!$E$3,$B$5:$B190,"&lt;="&amp;供应商对账单!$H$3),"")</f>
        <v/>
      </c>
    </row>
    <row r="191" customFormat="false" ht="15.75" hidden="false" customHeight="true" outlineLevel="0" collapsed="false">
      <c r="A191" s="42" t="str">
        <f aca="false">IF($B191="","","CG"&amp;TEXT($B191,"yyyymm")&amp;"-"&amp;TEXT(ROW()-4,"000"))</f>
        <v/>
      </c>
      <c r="B191" s="41"/>
      <c r="C191" s="42" t="str">
        <f aca="false">IF($B191="","",TEXT($B191,"yyyy-mm"))</f>
        <v/>
      </c>
      <c r="D191" s="32"/>
      <c r="E191" s="36"/>
      <c r="F191" s="43"/>
      <c r="G191" s="40"/>
      <c r="H191" s="51"/>
      <c r="I191" s="33"/>
      <c r="J191" s="31"/>
      <c r="K191" s="33"/>
      <c r="L191" s="33"/>
      <c r="M191" s="36"/>
      <c r="N191" s="47" t="str">
        <f aca="false">IF($B191="","",IF(NOT(ISNUMBER($B191)),"日期不是日期格式",IF(YEAR($B191)&lt;&gt;首页!$B$3,"不在会计年度",IF($D191="","未选供应商",IF(ISNA(MATCH($D191,基础资料!$AF$6:$AF$155,0)),"供应商不在档案",IF($E191="","未填商品或内容",IF(NOT(ISNUMBER($F191)),"数量须为数字",IF(NOT(ISNUMBER($G191)),"单价须为数字",IF(N($F191)&lt;=0,"数量须大于0",IF($I191="","请选是否入库",IF(AND($I191="是",ISNA(MATCH($E191,基础资料!$Q$6:$Q$205,0))),"入库商品必须在商品档案中",IF(AND($I191="否",$J191&lt;&gt;"",ISNA(MATCH($J191,科目参数!$A$6:$A$125,0))),"费用科目不存在","√"))))))))))))</f>
        <v/>
      </c>
      <c r="O191" s="49" t="str">
        <f aca="false">IF($E191="","",IFERROR(INDEX(基础资料!$R$6:$R$205,MATCH($E191,基础资料!$Q$6:$Q$205,0)),""))</f>
        <v/>
      </c>
      <c r="P191" s="49" t="str">
        <f aca="false">IF($E191="","",IFERROR(INDEX(基础资料!$S$6:$S$205,MATCH($E191,基础资料!$Q$6:$Q$205,0)),""))</f>
        <v/>
      </c>
      <c r="Q191" s="48" t="str">
        <f aca="false">IF(OR($F191="",$G191=""),"",ROUND(N($F191)*N($G191),2))</f>
        <v/>
      </c>
      <c r="R191" s="48" t="str">
        <f aca="false">IF($Q191="","",ROUND(N($Q191)*N($H191),2))</f>
        <v/>
      </c>
      <c r="S191" s="48" t="str">
        <f aca="false">IF($Q191="","",N($Q191)+N($R191))</f>
        <v/>
      </c>
      <c r="T191" s="52" t="str">
        <f aca="false">IF(OR($B191="",$D191=""),"",$B191+N(IFERROR(INDEX(基础资料!$AH$6:$AH$155,MATCH($D191,基础资料!$AF$6:$AF$155,0)),0)))</f>
        <v/>
      </c>
      <c r="U191" s="49" t="str">
        <f aca="false">IF($Q191="","",IF($I191="是","1405",IF($J191="","6602",$J191)))</f>
        <v/>
      </c>
      <c r="V191" s="49" t="str">
        <f aca="false">IF($Q191="","","2202")</f>
        <v/>
      </c>
      <c r="W191" s="48" t="str">
        <f aca="false">IF($Q191="","",$Q191)</f>
        <v/>
      </c>
      <c r="X191" s="49" t="str">
        <f aca="false">IF(N($R191)=0,"","2221")</f>
        <v/>
      </c>
      <c r="Y191" s="49" t="str">
        <f aca="false">IF(N($R191)=0,"","2202")</f>
        <v/>
      </c>
      <c r="Z191" s="48" t="str">
        <f aca="false">IF(N($R191)=0,"",$R191)</f>
        <v/>
      </c>
      <c r="AA191" s="49" t="str">
        <f aca="false">IF(AND($D191=供应商对账单!$B$3,$B191&gt;=供应商对账单!$E$3,$B191&lt;=供应商对账单!$H$3),COUNTIFS($D$5:$D191,供应商对账单!$B$3,$B$5:$B191,"&gt;="&amp;供应商对账单!$E$3,$B$5:$B191,"&lt;="&amp;供应商对账单!$H$3),"")</f>
        <v/>
      </c>
    </row>
    <row r="192" customFormat="false" ht="15.75" hidden="false" customHeight="true" outlineLevel="0" collapsed="false">
      <c r="A192" s="42" t="str">
        <f aca="false">IF($B192="","","CG"&amp;TEXT($B192,"yyyymm")&amp;"-"&amp;TEXT(ROW()-4,"000"))</f>
        <v/>
      </c>
      <c r="B192" s="41"/>
      <c r="C192" s="42" t="str">
        <f aca="false">IF($B192="","",TEXT($B192,"yyyy-mm"))</f>
        <v/>
      </c>
      <c r="D192" s="32"/>
      <c r="E192" s="36"/>
      <c r="F192" s="43"/>
      <c r="G192" s="40"/>
      <c r="H192" s="51"/>
      <c r="I192" s="33"/>
      <c r="J192" s="31"/>
      <c r="K192" s="33"/>
      <c r="L192" s="33"/>
      <c r="M192" s="36"/>
      <c r="N192" s="47" t="str">
        <f aca="false">IF($B192="","",IF(NOT(ISNUMBER($B192)),"日期不是日期格式",IF(YEAR($B192)&lt;&gt;首页!$B$3,"不在会计年度",IF($D192="","未选供应商",IF(ISNA(MATCH($D192,基础资料!$AF$6:$AF$155,0)),"供应商不在档案",IF($E192="","未填商品或内容",IF(NOT(ISNUMBER($F192)),"数量须为数字",IF(NOT(ISNUMBER($G192)),"单价须为数字",IF(N($F192)&lt;=0,"数量须大于0",IF($I192="","请选是否入库",IF(AND($I192="是",ISNA(MATCH($E192,基础资料!$Q$6:$Q$205,0))),"入库商品必须在商品档案中",IF(AND($I192="否",$J192&lt;&gt;"",ISNA(MATCH($J192,科目参数!$A$6:$A$125,0))),"费用科目不存在","√"))))))))))))</f>
        <v/>
      </c>
      <c r="O192" s="49" t="str">
        <f aca="false">IF($E192="","",IFERROR(INDEX(基础资料!$R$6:$R$205,MATCH($E192,基础资料!$Q$6:$Q$205,0)),""))</f>
        <v/>
      </c>
      <c r="P192" s="49" t="str">
        <f aca="false">IF($E192="","",IFERROR(INDEX(基础资料!$S$6:$S$205,MATCH($E192,基础资料!$Q$6:$Q$205,0)),""))</f>
        <v/>
      </c>
      <c r="Q192" s="48" t="str">
        <f aca="false">IF(OR($F192="",$G192=""),"",ROUND(N($F192)*N($G192),2))</f>
        <v/>
      </c>
      <c r="R192" s="48" t="str">
        <f aca="false">IF($Q192="","",ROUND(N($Q192)*N($H192),2))</f>
        <v/>
      </c>
      <c r="S192" s="48" t="str">
        <f aca="false">IF($Q192="","",N($Q192)+N($R192))</f>
        <v/>
      </c>
      <c r="T192" s="52" t="str">
        <f aca="false">IF(OR($B192="",$D192=""),"",$B192+N(IFERROR(INDEX(基础资料!$AH$6:$AH$155,MATCH($D192,基础资料!$AF$6:$AF$155,0)),0)))</f>
        <v/>
      </c>
      <c r="U192" s="49" t="str">
        <f aca="false">IF($Q192="","",IF($I192="是","1405",IF($J192="","6602",$J192)))</f>
        <v/>
      </c>
      <c r="V192" s="49" t="str">
        <f aca="false">IF($Q192="","","2202")</f>
        <v/>
      </c>
      <c r="W192" s="48" t="str">
        <f aca="false">IF($Q192="","",$Q192)</f>
        <v/>
      </c>
      <c r="X192" s="49" t="str">
        <f aca="false">IF(N($R192)=0,"","2221")</f>
        <v/>
      </c>
      <c r="Y192" s="49" t="str">
        <f aca="false">IF(N($R192)=0,"","2202")</f>
        <v/>
      </c>
      <c r="Z192" s="48" t="str">
        <f aca="false">IF(N($R192)=0,"",$R192)</f>
        <v/>
      </c>
      <c r="AA192" s="49" t="str">
        <f aca="false">IF(AND($D192=供应商对账单!$B$3,$B192&gt;=供应商对账单!$E$3,$B192&lt;=供应商对账单!$H$3),COUNTIFS($D$5:$D192,供应商对账单!$B$3,$B$5:$B192,"&gt;="&amp;供应商对账单!$E$3,$B$5:$B192,"&lt;="&amp;供应商对账单!$H$3),"")</f>
        <v/>
      </c>
    </row>
    <row r="193" customFormat="false" ht="15.75" hidden="false" customHeight="true" outlineLevel="0" collapsed="false">
      <c r="A193" s="42" t="str">
        <f aca="false">IF($B193="","","CG"&amp;TEXT($B193,"yyyymm")&amp;"-"&amp;TEXT(ROW()-4,"000"))</f>
        <v/>
      </c>
      <c r="B193" s="41"/>
      <c r="C193" s="42" t="str">
        <f aca="false">IF($B193="","",TEXT($B193,"yyyy-mm"))</f>
        <v/>
      </c>
      <c r="D193" s="32"/>
      <c r="E193" s="36"/>
      <c r="F193" s="43"/>
      <c r="G193" s="40"/>
      <c r="H193" s="51"/>
      <c r="I193" s="33"/>
      <c r="J193" s="31"/>
      <c r="K193" s="33"/>
      <c r="L193" s="33"/>
      <c r="M193" s="36"/>
      <c r="N193" s="47" t="str">
        <f aca="false">IF($B193="","",IF(NOT(ISNUMBER($B193)),"日期不是日期格式",IF(YEAR($B193)&lt;&gt;首页!$B$3,"不在会计年度",IF($D193="","未选供应商",IF(ISNA(MATCH($D193,基础资料!$AF$6:$AF$155,0)),"供应商不在档案",IF($E193="","未填商品或内容",IF(NOT(ISNUMBER($F193)),"数量须为数字",IF(NOT(ISNUMBER($G193)),"单价须为数字",IF(N($F193)&lt;=0,"数量须大于0",IF($I193="","请选是否入库",IF(AND($I193="是",ISNA(MATCH($E193,基础资料!$Q$6:$Q$205,0))),"入库商品必须在商品档案中",IF(AND($I193="否",$J193&lt;&gt;"",ISNA(MATCH($J193,科目参数!$A$6:$A$125,0))),"费用科目不存在","√"))))))))))))</f>
        <v/>
      </c>
      <c r="O193" s="49" t="str">
        <f aca="false">IF($E193="","",IFERROR(INDEX(基础资料!$R$6:$R$205,MATCH($E193,基础资料!$Q$6:$Q$205,0)),""))</f>
        <v/>
      </c>
      <c r="P193" s="49" t="str">
        <f aca="false">IF($E193="","",IFERROR(INDEX(基础资料!$S$6:$S$205,MATCH($E193,基础资料!$Q$6:$Q$205,0)),""))</f>
        <v/>
      </c>
      <c r="Q193" s="48" t="str">
        <f aca="false">IF(OR($F193="",$G193=""),"",ROUND(N($F193)*N($G193),2))</f>
        <v/>
      </c>
      <c r="R193" s="48" t="str">
        <f aca="false">IF($Q193="","",ROUND(N($Q193)*N($H193),2))</f>
        <v/>
      </c>
      <c r="S193" s="48" t="str">
        <f aca="false">IF($Q193="","",N($Q193)+N($R193))</f>
        <v/>
      </c>
      <c r="T193" s="52" t="str">
        <f aca="false">IF(OR($B193="",$D193=""),"",$B193+N(IFERROR(INDEX(基础资料!$AH$6:$AH$155,MATCH($D193,基础资料!$AF$6:$AF$155,0)),0)))</f>
        <v/>
      </c>
      <c r="U193" s="49" t="str">
        <f aca="false">IF($Q193="","",IF($I193="是","1405",IF($J193="","6602",$J193)))</f>
        <v/>
      </c>
      <c r="V193" s="49" t="str">
        <f aca="false">IF($Q193="","","2202")</f>
        <v/>
      </c>
      <c r="W193" s="48" t="str">
        <f aca="false">IF($Q193="","",$Q193)</f>
        <v/>
      </c>
      <c r="X193" s="49" t="str">
        <f aca="false">IF(N($R193)=0,"","2221")</f>
        <v/>
      </c>
      <c r="Y193" s="49" t="str">
        <f aca="false">IF(N($R193)=0,"","2202")</f>
        <v/>
      </c>
      <c r="Z193" s="48" t="str">
        <f aca="false">IF(N($R193)=0,"",$R193)</f>
        <v/>
      </c>
      <c r="AA193" s="49" t="str">
        <f aca="false">IF(AND($D193=供应商对账单!$B$3,$B193&gt;=供应商对账单!$E$3,$B193&lt;=供应商对账单!$H$3),COUNTIFS($D$5:$D193,供应商对账单!$B$3,$B$5:$B193,"&gt;="&amp;供应商对账单!$E$3,$B$5:$B193,"&lt;="&amp;供应商对账单!$H$3),"")</f>
        <v/>
      </c>
    </row>
    <row r="194" customFormat="false" ht="15.75" hidden="false" customHeight="true" outlineLevel="0" collapsed="false">
      <c r="A194" s="42" t="str">
        <f aca="false">IF($B194="","","CG"&amp;TEXT($B194,"yyyymm")&amp;"-"&amp;TEXT(ROW()-4,"000"))</f>
        <v/>
      </c>
      <c r="B194" s="41"/>
      <c r="C194" s="42" t="str">
        <f aca="false">IF($B194="","",TEXT($B194,"yyyy-mm"))</f>
        <v/>
      </c>
      <c r="D194" s="32"/>
      <c r="E194" s="36"/>
      <c r="F194" s="43"/>
      <c r="G194" s="40"/>
      <c r="H194" s="51"/>
      <c r="I194" s="33"/>
      <c r="J194" s="31"/>
      <c r="K194" s="33"/>
      <c r="L194" s="33"/>
      <c r="M194" s="36"/>
      <c r="N194" s="47" t="str">
        <f aca="false">IF($B194="","",IF(NOT(ISNUMBER($B194)),"日期不是日期格式",IF(YEAR($B194)&lt;&gt;首页!$B$3,"不在会计年度",IF($D194="","未选供应商",IF(ISNA(MATCH($D194,基础资料!$AF$6:$AF$155,0)),"供应商不在档案",IF($E194="","未填商品或内容",IF(NOT(ISNUMBER($F194)),"数量须为数字",IF(NOT(ISNUMBER($G194)),"单价须为数字",IF(N($F194)&lt;=0,"数量须大于0",IF($I194="","请选是否入库",IF(AND($I194="是",ISNA(MATCH($E194,基础资料!$Q$6:$Q$205,0))),"入库商品必须在商品档案中",IF(AND($I194="否",$J194&lt;&gt;"",ISNA(MATCH($J194,科目参数!$A$6:$A$125,0))),"费用科目不存在","√"))))))))))))</f>
        <v/>
      </c>
      <c r="O194" s="49" t="str">
        <f aca="false">IF($E194="","",IFERROR(INDEX(基础资料!$R$6:$R$205,MATCH($E194,基础资料!$Q$6:$Q$205,0)),""))</f>
        <v/>
      </c>
      <c r="P194" s="49" t="str">
        <f aca="false">IF($E194="","",IFERROR(INDEX(基础资料!$S$6:$S$205,MATCH($E194,基础资料!$Q$6:$Q$205,0)),""))</f>
        <v/>
      </c>
      <c r="Q194" s="48" t="str">
        <f aca="false">IF(OR($F194="",$G194=""),"",ROUND(N($F194)*N($G194),2))</f>
        <v/>
      </c>
      <c r="R194" s="48" t="str">
        <f aca="false">IF($Q194="","",ROUND(N($Q194)*N($H194),2))</f>
        <v/>
      </c>
      <c r="S194" s="48" t="str">
        <f aca="false">IF($Q194="","",N($Q194)+N($R194))</f>
        <v/>
      </c>
      <c r="T194" s="52" t="str">
        <f aca="false">IF(OR($B194="",$D194=""),"",$B194+N(IFERROR(INDEX(基础资料!$AH$6:$AH$155,MATCH($D194,基础资料!$AF$6:$AF$155,0)),0)))</f>
        <v/>
      </c>
      <c r="U194" s="49" t="str">
        <f aca="false">IF($Q194="","",IF($I194="是","1405",IF($J194="","6602",$J194)))</f>
        <v/>
      </c>
      <c r="V194" s="49" t="str">
        <f aca="false">IF($Q194="","","2202")</f>
        <v/>
      </c>
      <c r="W194" s="48" t="str">
        <f aca="false">IF($Q194="","",$Q194)</f>
        <v/>
      </c>
      <c r="X194" s="49" t="str">
        <f aca="false">IF(N($R194)=0,"","2221")</f>
        <v/>
      </c>
      <c r="Y194" s="49" t="str">
        <f aca="false">IF(N($R194)=0,"","2202")</f>
        <v/>
      </c>
      <c r="Z194" s="48" t="str">
        <f aca="false">IF(N($R194)=0,"",$R194)</f>
        <v/>
      </c>
      <c r="AA194" s="49" t="str">
        <f aca="false">IF(AND($D194=供应商对账单!$B$3,$B194&gt;=供应商对账单!$E$3,$B194&lt;=供应商对账单!$H$3),COUNTIFS($D$5:$D194,供应商对账单!$B$3,$B$5:$B194,"&gt;="&amp;供应商对账单!$E$3,$B$5:$B194,"&lt;="&amp;供应商对账单!$H$3),"")</f>
        <v/>
      </c>
    </row>
    <row r="195" customFormat="false" ht="15.75" hidden="false" customHeight="true" outlineLevel="0" collapsed="false">
      <c r="A195" s="42" t="str">
        <f aca="false">IF($B195="","","CG"&amp;TEXT($B195,"yyyymm")&amp;"-"&amp;TEXT(ROW()-4,"000"))</f>
        <v/>
      </c>
      <c r="B195" s="41"/>
      <c r="C195" s="42" t="str">
        <f aca="false">IF($B195="","",TEXT($B195,"yyyy-mm"))</f>
        <v/>
      </c>
      <c r="D195" s="32"/>
      <c r="E195" s="36"/>
      <c r="F195" s="43"/>
      <c r="G195" s="40"/>
      <c r="H195" s="51"/>
      <c r="I195" s="33"/>
      <c r="J195" s="31"/>
      <c r="K195" s="33"/>
      <c r="L195" s="33"/>
      <c r="M195" s="36"/>
      <c r="N195" s="47" t="str">
        <f aca="false">IF($B195="","",IF(NOT(ISNUMBER($B195)),"日期不是日期格式",IF(YEAR($B195)&lt;&gt;首页!$B$3,"不在会计年度",IF($D195="","未选供应商",IF(ISNA(MATCH($D195,基础资料!$AF$6:$AF$155,0)),"供应商不在档案",IF($E195="","未填商品或内容",IF(NOT(ISNUMBER($F195)),"数量须为数字",IF(NOT(ISNUMBER($G195)),"单价须为数字",IF(N($F195)&lt;=0,"数量须大于0",IF($I195="","请选是否入库",IF(AND($I195="是",ISNA(MATCH($E195,基础资料!$Q$6:$Q$205,0))),"入库商品必须在商品档案中",IF(AND($I195="否",$J195&lt;&gt;"",ISNA(MATCH($J195,科目参数!$A$6:$A$125,0))),"费用科目不存在","√"))))))))))))</f>
        <v/>
      </c>
      <c r="O195" s="49" t="str">
        <f aca="false">IF($E195="","",IFERROR(INDEX(基础资料!$R$6:$R$205,MATCH($E195,基础资料!$Q$6:$Q$205,0)),""))</f>
        <v/>
      </c>
      <c r="P195" s="49" t="str">
        <f aca="false">IF($E195="","",IFERROR(INDEX(基础资料!$S$6:$S$205,MATCH($E195,基础资料!$Q$6:$Q$205,0)),""))</f>
        <v/>
      </c>
      <c r="Q195" s="48" t="str">
        <f aca="false">IF(OR($F195="",$G195=""),"",ROUND(N($F195)*N($G195),2))</f>
        <v/>
      </c>
      <c r="R195" s="48" t="str">
        <f aca="false">IF($Q195="","",ROUND(N($Q195)*N($H195),2))</f>
        <v/>
      </c>
      <c r="S195" s="48" t="str">
        <f aca="false">IF($Q195="","",N($Q195)+N($R195))</f>
        <v/>
      </c>
      <c r="T195" s="52" t="str">
        <f aca="false">IF(OR($B195="",$D195=""),"",$B195+N(IFERROR(INDEX(基础资料!$AH$6:$AH$155,MATCH($D195,基础资料!$AF$6:$AF$155,0)),0)))</f>
        <v/>
      </c>
      <c r="U195" s="49" t="str">
        <f aca="false">IF($Q195="","",IF($I195="是","1405",IF($J195="","6602",$J195)))</f>
        <v/>
      </c>
      <c r="V195" s="49" t="str">
        <f aca="false">IF($Q195="","","2202")</f>
        <v/>
      </c>
      <c r="W195" s="48" t="str">
        <f aca="false">IF($Q195="","",$Q195)</f>
        <v/>
      </c>
      <c r="X195" s="49" t="str">
        <f aca="false">IF(N($R195)=0,"","2221")</f>
        <v/>
      </c>
      <c r="Y195" s="49" t="str">
        <f aca="false">IF(N($R195)=0,"","2202")</f>
        <v/>
      </c>
      <c r="Z195" s="48" t="str">
        <f aca="false">IF(N($R195)=0,"",$R195)</f>
        <v/>
      </c>
      <c r="AA195" s="49" t="str">
        <f aca="false">IF(AND($D195=供应商对账单!$B$3,$B195&gt;=供应商对账单!$E$3,$B195&lt;=供应商对账单!$H$3),COUNTIFS($D$5:$D195,供应商对账单!$B$3,$B$5:$B195,"&gt;="&amp;供应商对账单!$E$3,$B$5:$B195,"&lt;="&amp;供应商对账单!$H$3),"")</f>
        <v/>
      </c>
    </row>
    <row r="196" customFormat="false" ht="15.75" hidden="false" customHeight="true" outlineLevel="0" collapsed="false">
      <c r="A196" s="42" t="str">
        <f aca="false">IF($B196="","","CG"&amp;TEXT($B196,"yyyymm")&amp;"-"&amp;TEXT(ROW()-4,"000"))</f>
        <v/>
      </c>
      <c r="B196" s="41"/>
      <c r="C196" s="42" t="str">
        <f aca="false">IF($B196="","",TEXT($B196,"yyyy-mm"))</f>
        <v/>
      </c>
      <c r="D196" s="32"/>
      <c r="E196" s="36"/>
      <c r="F196" s="43"/>
      <c r="G196" s="40"/>
      <c r="H196" s="51"/>
      <c r="I196" s="33"/>
      <c r="J196" s="31"/>
      <c r="K196" s="33"/>
      <c r="L196" s="33"/>
      <c r="M196" s="36"/>
      <c r="N196" s="47" t="str">
        <f aca="false">IF($B196="","",IF(NOT(ISNUMBER($B196)),"日期不是日期格式",IF(YEAR($B196)&lt;&gt;首页!$B$3,"不在会计年度",IF($D196="","未选供应商",IF(ISNA(MATCH($D196,基础资料!$AF$6:$AF$155,0)),"供应商不在档案",IF($E196="","未填商品或内容",IF(NOT(ISNUMBER($F196)),"数量须为数字",IF(NOT(ISNUMBER($G196)),"单价须为数字",IF(N($F196)&lt;=0,"数量须大于0",IF($I196="","请选是否入库",IF(AND($I196="是",ISNA(MATCH($E196,基础资料!$Q$6:$Q$205,0))),"入库商品必须在商品档案中",IF(AND($I196="否",$J196&lt;&gt;"",ISNA(MATCH($J196,科目参数!$A$6:$A$125,0))),"费用科目不存在","√"))))))))))))</f>
        <v/>
      </c>
      <c r="O196" s="49" t="str">
        <f aca="false">IF($E196="","",IFERROR(INDEX(基础资料!$R$6:$R$205,MATCH($E196,基础资料!$Q$6:$Q$205,0)),""))</f>
        <v/>
      </c>
      <c r="P196" s="49" t="str">
        <f aca="false">IF($E196="","",IFERROR(INDEX(基础资料!$S$6:$S$205,MATCH($E196,基础资料!$Q$6:$Q$205,0)),""))</f>
        <v/>
      </c>
      <c r="Q196" s="48" t="str">
        <f aca="false">IF(OR($F196="",$G196=""),"",ROUND(N($F196)*N($G196),2))</f>
        <v/>
      </c>
      <c r="R196" s="48" t="str">
        <f aca="false">IF($Q196="","",ROUND(N($Q196)*N($H196),2))</f>
        <v/>
      </c>
      <c r="S196" s="48" t="str">
        <f aca="false">IF($Q196="","",N($Q196)+N($R196))</f>
        <v/>
      </c>
      <c r="T196" s="52" t="str">
        <f aca="false">IF(OR($B196="",$D196=""),"",$B196+N(IFERROR(INDEX(基础资料!$AH$6:$AH$155,MATCH($D196,基础资料!$AF$6:$AF$155,0)),0)))</f>
        <v/>
      </c>
      <c r="U196" s="49" t="str">
        <f aca="false">IF($Q196="","",IF($I196="是","1405",IF($J196="","6602",$J196)))</f>
        <v/>
      </c>
      <c r="V196" s="49" t="str">
        <f aca="false">IF($Q196="","","2202")</f>
        <v/>
      </c>
      <c r="W196" s="48" t="str">
        <f aca="false">IF($Q196="","",$Q196)</f>
        <v/>
      </c>
      <c r="X196" s="49" t="str">
        <f aca="false">IF(N($R196)=0,"","2221")</f>
        <v/>
      </c>
      <c r="Y196" s="49" t="str">
        <f aca="false">IF(N($R196)=0,"","2202")</f>
        <v/>
      </c>
      <c r="Z196" s="48" t="str">
        <f aca="false">IF(N($R196)=0,"",$R196)</f>
        <v/>
      </c>
      <c r="AA196" s="49" t="str">
        <f aca="false">IF(AND($D196=供应商对账单!$B$3,$B196&gt;=供应商对账单!$E$3,$B196&lt;=供应商对账单!$H$3),COUNTIFS($D$5:$D196,供应商对账单!$B$3,$B$5:$B196,"&gt;="&amp;供应商对账单!$E$3,$B$5:$B196,"&lt;="&amp;供应商对账单!$H$3),"")</f>
        <v/>
      </c>
    </row>
    <row r="197" customFormat="false" ht="15.75" hidden="false" customHeight="true" outlineLevel="0" collapsed="false">
      <c r="A197" s="42" t="str">
        <f aca="false">IF($B197="","","CG"&amp;TEXT($B197,"yyyymm")&amp;"-"&amp;TEXT(ROW()-4,"000"))</f>
        <v/>
      </c>
      <c r="B197" s="41"/>
      <c r="C197" s="42" t="str">
        <f aca="false">IF($B197="","",TEXT($B197,"yyyy-mm"))</f>
        <v/>
      </c>
      <c r="D197" s="32"/>
      <c r="E197" s="36"/>
      <c r="F197" s="43"/>
      <c r="G197" s="40"/>
      <c r="H197" s="51"/>
      <c r="I197" s="33"/>
      <c r="J197" s="31"/>
      <c r="K197" s="33"/>
      <c r="L197" s="33"/>
      <c r="M197" s="36"/>
      <c r="N197" s="47" t="str">
        <f aca="false">IF($B197="","",IF(NOT(ISNUMBER($B197)),"日期不是日期格式",IF(YEAR($B197)&lt;&gt;首页!$B$3,"不在会计年度",IF($D197="","未选供应商",IF(ISNA(MATCH($D197,基础资料!$AF$6:$AF$155,0)),"供应商不在档案",IF($E197="","未填商品或内容",IF(NOT(ISNUMBER($F197)),"数量须为数字",IF(NOT(ISNUMBER($G197)),"单价须为数字",IF(N($F197)&lt;=0,"数量须大于0",IF($I197="","请选是否入库",IF(AND($I197="是",ISNA(MATCH($E197,基础资料!$Q$6:$Q$205,0))),"入库商品必须在商品档案中",IF(AND($I197="否",$J197&lt;&gt;"",ISNA(MATCH($J197,科目参数!$A$6:$A$125,0))),"费用科目不存在","√"))))))))))))</f>
        <v/>
      </c>
      <c r="O197" s="49" t="str">
        <f aca="false">IF($E197="","",IFERROR(INDEX(基础资料!$R$6:$R$205,MATCH($E197,基础资料!$Q$6:$Q$205,0)),""))</f>
        <v/>
      </c>
      <c r="P197" s="49" t="str">
        <f aca="false">IF($E197="","",IFERROR(INDEX(基础资料!$S$6:$S$205,MATCH($E197,基础资料!$Q$6:$Q$205,0)),""))</f>
        <v/>
      </c>
      <c r="Q197" s="48" t="str">
        <f aca="false">IF(OR($F197="",$G197=""),"",ROUND(N($F197)*N($G197),2))</f>
        <v/>
      </c>
      <c r="R197" s="48" t="str">
        <f aca="false">IF($Q197="","",ROUND(N($Q197)*N($H197),2))</f>
        <v/>
      </c>
      <c r="S197" s="48" t="str">
        <f aca="false">IF($Q197="","",N($Q197)+N($R197))</f>
        <v/>
      </c>
      <c r="T197" s="52" t="str">
        <f aca="false">IF(OR($B197="",$D197=""),"",$B197+N(IFERROR(INDEX(基础资料!$AH$6:$AH$155,MATCH($D197,基础资料!$AF$6:$AF$155,0)),0)))</f>
        <v/>
      </c>
      <c r="U197" s="49" t="str">
        <f aca="false">IF($Q197="","",IF($I197="是","1405",IF($J197="","6602",$J197)))</f>
        <v/>
      </c>
      <c r="V197" s="49" t="str">
        <f aca="false">IF($Q197="","","2202")</f>
        <v/>
      </c>
      <c r="W197" s="48" t="str">
        <f aca="false">IF($Q197="","",$Q197)</f>
        <v/>
      </c>
      <c r="X197" s="49" t="str">
        <f aca="false">IF(N($R197)=0,"","2221")</f>
        <v/>
      </c>
      <c r="Y197" s="49" t="str">
        <f aca="false">IF(N($R197)=0,"","2202")</f>
        <v/>
      </c>
      <c r="Z197" s="48" t="str">
        <f aca="false">IF(N($R197)=0,"",$R197)</f>
        <v/>
      </c>
      <c r="AA197" s="49" t="str">
        <f aca="false">IF(AND($D197=供应商对账单!$B$3,$B197&gt;=供应商对账单!$E$3,$B197&lt;=供应商对账单!$H$3),COUNTIFS($D$5:$D197,供应商对账单!$B$3,$B$5:$B197,"&gt;="&amp;供应商对账单!$E$3,$B$5:$B197,"&lt;="&amp;供应商对账单!$H$3),"")</f>
        <v/>
      </c>
    </row>
    <row r="198" customFormat="false" ht="15.75" hidden="false" customHeight="true" outlineLevel="0" collapsed="false">
      <c r="A198" s="42" t="str">
        <f aca="false">IF($B198="","","CG"&amp;TEXT($B198,"yyyymm")&amp;"-"&amp;TEXT(ROW()-4,"000"))</f>
        <v/>
      </c>
      <c r="B198" s="41"/>
      <c r="C198" s="42" t="str">
        <f aca="false">IF($B198="","",TEXT($B198,"yyyy-mm"))</f>
        <v/>
      </c>
      <c r="D198" s="32"/>
      <c r="E198" s="36"/>
      <c r="F198" s="43"/>
      <c r="G198" s="40"/>
      <c r="H198" s="51"/>
      <c r="I198" s="33"/>
      <c r="J198" s="31"/>
      <c r="K198" s="33"/>
      <c r="L198" s="33"/>
      <c r="M198" s="36"/>
      <c r="N198" s="47" t="str">
        <f aca="false">IF($B198="","",IF(NOT(ISNUMBER($B198)),"日期不是日期格式",IF(YEAR($B198)&lt;&gt;首页!$B$3,"不在会计年度",IF($D198="","未选供应商",IF(ISNA(MATCH($D198,基础资料!$AF$6:$AF$155,0)),"供应商不在档案",IF($E198="","未填商品或内容",IF(NOT(ISNUMBER($F198)),"数量须为数字",IF(NOT(ISNUMBER($G198)),"单价须为数字",IF(N($F198)&lt;=0,"数量须大于0",IF($I198="","请选是否入库",IF(AND($I198="是",ISNA(MATCH($E198,基础资料!$Q$6:$Q$205,0))),"入库商品必须在商品档案中",IF(AND($I198="否",$J198&lt;&gt;"",ISNA(MATCH($J198,科目参数!$A$6:$A$125,0))),"费用科目不存在","√"))))))))))))</f>
        <v/>
      </c>
      <c r="O198" s="49" t="str">
        <f aca="false">IF($E198="","",IFERROR(INDEX(基础资料!$R$6:$R$205,MATCH($E198,基础资料!$Q$6:$Q$205,0)),""))</f>
        <v/>
      </c>
      <c r="P198" s="49" t="str">
        <f aca="false">IF($E198="","",IFERROR(INDEX(基础资料!$S$6:$S$205,MATCH($E198,基础资料!$Q$6:$Q$205,0)),""))</f>
        <v/>
      </c>
      <c r="Q198" s="48" t="str">
        <f aca="false">IF(OR($F198="",$G198=""),"",ROUND(N($F198)*N($G198),2))</f>
        <v/>
      </c>
      <c r="R198" s="48" t="str">
        <f aca="false">IF($Q198="","",ROUND(N($Q198)*N($H198),2))</f>
        <v/>
      </c>
      <c r="S198" s="48" t="str">
        <f aca="false">IF($Q198="","",N($Q198)+N($R198))</f>
        <v/>
      </c>
      <c r="T198" s="52" t="str">
        <f aca="false">IF(OR($B198="",$D198=""),"",$B198+N(IFERROR(INDEX(基础资料!$AH$6:$AH$155,MATCH($D198,基础资料!$AF$6:$AF$155,0)),0)))</f>
        <v/>
      </c>
      <c r="U198" s="49" t="str">
        <f aca="false">IF($Q198="","",IF($I198="是","1405",IF($J198="","6602",$J198)))</f>
        <v/>
      </c>
      <c r="V198" s="49" t="str">
        <f aca="false">IF($Q198="","","2202")</f>
        <v/>
      </c>
      <c r="W198" s="48" t="str">
        <f aca="false">IF($Q198="","",$Q198)</f>
        <v/>
      </c>
      <c r="X198" s="49" t="str">
        <f aca="false">IF(N($R198)=0,"","2221")</f>
        <v/>
      </c>
      <c r="Y198" s="49" t="str">
        <f aca="false">IF(N($R198)=0,"","2202")</f>
        <v/>
      </c>
      <c r="Z198" s="48" t="str">
        <f aca="false">IF(N($R198)=0,"",$R198)</f>
        <v/>
      </c>
      <c r="AA198" s="49" t="str">
        <f aca="false">IF(AND($D198=供应商对账单!$B$3,$B198&gt;=供应商对账单!$E$3,$B198&lt;=供应商对账单!$H$3),COUNTIFS($D$5:$D198,供应商对账单!$B$3,$B$5:$B198,"&gt;="&amp;供应商对账单!$E$3,$B$5:$B198,"&lt;="&amp;供应商对账单!$H$3),"")</f>
        <v/>
      </c>
    </row>
    <row r="199" customFormat="false" ht="15.75" hidden="false" customHeight="true" outlineLevel="0" collapsed="false">
      <c r="A199" s="42" t="str">
        <f aca="false">IF($B199="","","CG"&amp;TEXT($B199,"yyyymm")&amp;"-"&amp;TEXT(ROW()-4,"000"))</f>
        <v/>
      </c>
      <c r="B199" s="41"/>
      <c r="C199" s="42" t="str">
        <f aca="false">IF($B199="","",TEXT($B199,"yyyy-mm"))</f>
        <v/>
      </c>
      <c r="D199" s="32"/>
      <c r="E199" s="36"/>
      <c r="F199" s="43"/>
      <c r="G199" s="40"/>
      <c r="H199" s="51"/>
      <c r="I199" s="33"/>
      <c r="J199" s="31"/>
      <c r="K199" s="33"/>
      <c r="L199" s="33"/>
      <c r="M199" s="36"/>
      <c r="N199" s="47" t="str">
        <f aca="false">IF($B199="","",IF(NOT(ISNUMBER($B199)),"日期不是日期格式",IF(YEAR($B199)&lt;&gt;首页!$B$3,"不在会计年度",IF($D199="","未选供应商",IF(ISNA(MATCH($D199,基础资料!$AF$6:$AF$155,0)),"供应商不在档案",IF($E199="","未填商品或内容",IF(NOT(ISNUMBER($F199)),"数量须为数字",IF(NOT(ISNUMBER($G199)),"单价须为数字",IF(N($F199)&lt;=0,"数量须大于0",IF($I199="","请选是否入库",IF(AND($I199="是",ISNA(MATCH($E199,基础资料!$Q$6:$Q$205,0))),"入库商品必须在商品档案中",IF(AND($I199="否",$J199&lt;&gt;"",ISNA(MATCH($J199,科目参数!$A$6:$A$125,0))),"费用科目不存在","√"))))))))))))</f>
        <v/>
      </c>
      <c r="O199" s="49" t="str">
        <f aca="false">IF($E199="","",IFERROR(INDEX(基础资料!$R$6:$R$205,MATCH($E199,基础资料!$Q$6:$Q$205,0)),""))</f>
        <v/>
      </c>
      <c r="P199" s="49" t="str">
        <f aca="false">IF($E199="","",IFERROR(INDEX(基础资料!$S$6:$S$205,MATCH($E199,基础资料!$Q$6:$Q$205,0)),""))</f>
        <v/>
      </c>
      <c r="Q199" s="48" t="str">
        <f aca="false">IF(OR($F199="",$G199=""),"",ROUND(N($F199)*N($G199),2))</f>
        <v/>
      </c>
      <c r="R199" s="48" t="str">
        <f aca="false">IF($Q199="","",ROUND(N($Q199)*N($H199),2))</f>
        <v/>
      </c>
      <c r="S199" s="48" t="str">
        <f aca="false">IF($Q199="","",N($Q199)+N($R199))</f>
        <v/>
      </c>
      <c r="T199" s="52" t="str">
        <f aca="false">IF(OR($B199="",$D199=""),"",$B199+N(IFERROR(INDEX(基础资料!$AH$6:$AH$155,MATCH($D199,基础资料!$AF$6:$AF$155,0)),0)))</f>
        <v/>
      </c>
      <c r="U199" s="49" t="str">
        <f aca="false">IF($Q199="","",IF($I199="是","1405",IF($J199="","6602",$J199)))</f>
        <v/>
      </c>
      <c r="V199" s="49" t="str">
        <f aca="false">IF($Q199="","","2202")</f>
        <v/>
      </c>
      <c r="W199" s="48" t="str">
        <f aca="false">IF($Q199="","",$Q199)</f>
        <v/>
      </c>
      <c r="X199" s="49" t="str">
        <f aca="false">IF(N($R199)=0,"","2221")</f>
        <v/>
      </c>
      <c r="Y199" s="49" t="str">
        <f aca="false">IF(N($R199)=0,"","2202")</f>
        <v/>
      </c>
      <c r="Z199" s="48" t="str">
        <f aca="false">IF(N($R199)=0,"",$R199)</f>
        <v/>
      </c>
      <c r="AA199" s="49" t="str">
        <f aca="false">IF(AND($D199=供应商对账单!$B$3,$B199&gt;=供应商对账单!$E$3,$B199&lt;=供应商对账单!$H$3),COUNTIFS($D$5:$D199,供应商对账单!$B$3,$B$5:$B199,"&gt;="&amp;供应商对账单!$E$3,$B$5:$B199,"&lt;="&amp;供应商对账单!$H$3),"")</f>
        <v/>
      </c>
    </row>
    <row r="200" customFormat="false" ht="15.75" hidden="false" customHeight="true" outlineLevel="0" collapsed="false">
      <c r="A200" s="42" t="str">
        <f aca="false">IF($B200="","","CG"&amp;TEXT($B200,"yyyymm")&amp;"-"&amp;TEXT(ROW()-4,"000"))</f>
        <v/>
      </c>
      <c r="B200" s="41"/>
      <c r="C200" s="42" t="str">
        <f aca="false">IF($B200="","",TEXT($B200,"yyyy-mm"))</f>
        <v/>
      </c>
      <c r="D200" s="32"/>
      <c r="E200" s="36"/>
      <c r="F200" s="43"/>
      <c r="G200" s="40"/>
      <c r="H200" s="51"/>
      <c r="I200" s="33"/>
      <c r="J200" s="31"/>
      <c r="K200" s="33"/>
      <c r="L200" s="33"/>
      <c r="M200" s="36"/>
      <c r="N200" s="47" t="str">
        <f aca="false">IF($B200="","",IF(NOT(ISNUMBER($B200)),"日期不是日期格式",IF(YEAR($B200)&lt;&gt;首页!$B$3,"不在会计年度",IF($D200="","未选供应商",IF(ISNA(MATCH($D200,基础资料!$AF$6:$AF$155,0)),"供应商不在档案",IF($E200="","未填商品或内容",IF(NOT(ISNUMBER($F200)),"数量须为数字",IF(NOT(ISNUMBER($G200)),"单价须为数字",IF(N($F200)&lt;=0,"数量须大于0",IF($I200="","请选是否入库",IF(AND($I200="是",ISNA(MATCH($E200,基础资料!$Q$6:$Q$205,0))),"入库商品必须在商品档案中",IF(AND($I200="否",$J200&lt;&gt;"",ISNA(MATCH($J200,科目参数!$A$6:$A$125,0))),"费用科目不存在","√"))))))))))))</f>
        <v/>
      </c>
      <c r="O200" s="49" t="str">
        <f aca="false">IF($E200="","",IFERROR(INDEX(基础资料!$R$6:$R$205,MATCH($E200,基础资料!$Q$6:$Q$205,0)),""))</f>
        <v/>
      </c>
      <c r="P200" s="49" t="str">
        <f aca="false">IF($E200="","",IFERROR(INDEX(基础资料!$S$6:$S$205,MATCH($E200,基础资料!$Q$6:$Q$205,0)),""))</f>
        <v/>
      </c>
      <c r="Q200" s="48" t="str">
        <f aca="false">IF(OR($F200="",$G200=""),"",ROUND(N($F200)*N($G200),2))</f>
        <v/>
      </c>
      <c r="R200" s="48" t="str">
        <f aca="false">IF($Q200="","",ROUND(N($Q200)*N($H200),2))</f>
        <v/>
      </c>
      <c r="S200" s="48" t="str">
        <f aca="false">IF($Q200="","",N($Q200)+N($R200))</f>
        <v/>
      </c>
      <c r="T200" s="52" t="str">
        <f aca="false">IF(OR($B200="",$D200=""),"",$B200+N(IFERROR(INDEX(基础资料!$AH$6:$AH$155,MATCH($D200,基础资料!$AF$6:$AF$155,0)),0)))</f>
        <v/>
      </c>
      <c r="U200" s="49" t="str">
        <f aca="false">IF($Q200="","",IF($I200="是","1405",IF($J200="","6602",$J200)))</f>
        <v/>
      </c>
      <c r="V200" s="49" t="str">
        <f aca="false">IF($Q200="","","2202")</f>
        <v/>
      </c>
      <c r="W200" s="48" t="str">
        <f aca="false">IF($Q200="","",$Q200)</f>
        <v/>
      </c>
      <c r="X200" s="49" t="str">
        <f aca="false">IF(N($R200)=0,"","2221")</f>
        <v/>
      </c>
      <c r="Y200" s="49" t="str">
        <f aca="false">IF(N($R200)=0,"","2202")</f>
        <v/>
      </c>
      <c r="Z200" s="48" t="str">
        <f aca="false">IF(N($R200)=0,"",$R200)</f>
        <v/>
      </c>
      <c r="AA200" s="49" t="str">
        <f aca="false">IF(AND($D200=供应商对账单!$B$3,$B200&gt;=供应商对账单!$E$3,$B200&lt;=供应商对账单!$H$3),COUNTIFS($D$5:$D200,供应商对账单!$B$3,$B$5:$B200,"&gt;="&amp;供应商对账单!$E$3,$B$5:$B200,"&lt;="&amp;供应商对账单!$H$3),"")</f>
        <v/>
      </c>
    </row>
    <row r="201" customFormat="false" ht="15.75" hidden="false" customHeight="true" outlineLevel="0" collapsed="false">
      <c r="A201" s="42" t="str">
        <f aca="false">IF($B201="","","CG"&amp;TEXT($B201,"yyyymm")&amp;"-"&amp;TEXT(ROW()-4,"000"))</f>
        <v/>
      </c>
      <c r="B201" s="41"/>
      <c r="C201" s="42" t="str">
        <f aca="false">IF($B201="","",TEXT($B201,"yyyy-mm"))</f>
        <v/>
      </c>
      <c r="D201" s="32"/>
      <c r="E201" s="36"/>
      <c r="F201" s="43"/>
      <c r="G201" s="40"/>
      <c r="H201" s="51"/>
      <c r="I201" s="33"/>
      <c r="J201" s="31"/>
      <c r="K201" s="33"/>
      <c r="L201" s="33"/>
      <c r="M201" s="36"/>
      <c r="N201" s="47" t="str">
        <f aca="false">IF($B201="","",IF(NOT(ISNUMBER($B201)),"日期不是日期格式",IF(YEAR($B201)&lt;&gt;首页!$B$3,"不在会计年度",IF($D201="","未选供应商",IF(ISNA(MATCH($D201,基础资料!$AF$6:$AF$155,0)),"供应商不在档案",IF($E201="","未填商品或内容",IF(NOT(ISNUMBER($F201)),"数量须为数字",IF(NOT(ISNUMBER($G201)),"单价须为数字",IF(N($F201)&lt;=0,"数量须大于0",IF($I201="","请选是否入库",IF(AND($I201="是",ISNA(MATCH($E201,基础资料!$Q$6:$Q$205,0))),"入库商品必须在商品档案中",IF(AND($I201="否",$J201&lt;&gt;"",ISNA(MATCH($J201,科目参数!$A$6:$A$125,0))),"费用科目不存在","√"))))))))))))</f>
        <v/>
      </c>
      <c r="O201" s="49" t="str">
        <f aca="false">IF($E201="","",IFERROR(INDEX(基础资料!$R$6:$R$205,MATCH($E201,基础资料!$Q$6:$Q$205,0)),""))</f>
        <v/>
      </c>
      <c r="P201" s="49" t="str">
        <f aca="false">IF($E201="","",IFERROR(INDEX(基础资料!$S$6:$S$205,MATCH($E201,基础资料!$Q$6:$Q$205,0)),""))</f>
        <v/>
      </c>
      <c r="Q201" s="48" t="str">
        <f aca="false">IF(OR($F201="",$G201=""),"",ROUND(N($F201)*N($G201),2))</f>
        <v/>
      </c>
      <c r="R201" s="48" t="str">
        <f aca="false">IF($Q201="","",ROUND(N($Q201)*N($H201),2))</f>
        <v/>
      </c>
      <c r="S201" s="48" t="str">
        <f aca="false">IF($Q201="","",N($Q201)+N($R201))</f>
        <v/>
      </c>
      <c r="T201" s="52" t="str">
        <f aca="false">IF(OR($B201="",$D201=""),"",$B201+N(IFERROR(INDEX(基础资料!$AH$6:$AH$155,MATCH($D201,基础资料!$AF$6:$AF$155,0)),0)))</f>
        <v/>
      </c>
      <c r="U201" s="49" t="str">
        <f aca="false">IF($Q201="","",IF($I201="是","1405",IF($J201="","6602",$J201)))</f>
        <v/>
      </c>
      <c r="V201" s="49" t="str">
        <f aca="false">IF($Q201="","","2202")</f>
        <v/>
      </c>
      <c r="W201" s="48" t="str">
        <f aca="false">IF($Q201="","",$Q201)</f>
        <v/>
      </c>
      <c r="X201" s="49" t="str">
        <f aca="false">IF(N($R201)=0,"","2221")</f>
        <v/>
      </c>
      <c r="Y201" s="49" t="str">
        <f aca="false">IF(N($R201)=0,"","2202")</f>
        <v/>
      </c>
      <c r="Z201" s="48" t="str">
        <f aca="false">IF(N($R201)=0,"",$R201)</f>
        <v/>
      </c>
      <c r="AA201" s="49" t="str">
        <f aca="false">IF(AND($D201=供应商对账单!$B$3,$B201&gt;=供应商对账单!$E$3,$B201&lt;=供应商对账单!$H$3),COUNTIFS($D$5:$D201,供应商对账单!$B$3,$B$5:$B201,"&gt;="&amp;供应商对账单!$E$3,$B$5:$B201,"&lt;="&amp;供应商对账单!$H$3),"")</f>
        <v/>
      </c>
    </row>
    <row r="202" customFormat="false" ht="15.75" hidden="false" customHeight="true" outlineLevel="0" collapsed="false">
      <c r="A202" s="42" t="str">
        <f aca="false">IF($B202="","","CG"&amp;TEXT($B202,"yyyymm")&amp;"-"&amp;TEXT(ROW()-4,"000"))</f>
        <v/>
      </c>
      <c r="B202" s="41"/>
      <c r="C202" s="42" t="str">
        <f aca="false">IF($B202="","",TEXT($B202,"yyyy-mm"))</f>
        <v/>
      </c>
      <c r="D202" s="32"/>
      <c r="E202" s="36"/>
      <c r="F202" s="43"/>
      <c r="G202" s="40"/>
      <c r="H202" s="51"/>
      <c r="I202" s="33"/>
      <c r="J202" s="31"/>
      <c r="K202" s="33"/>
      <c r="L202" s="33"/>
      <c r="M202" s="36"/>
      <c r="N202" s="47" t="str">
        <f aca="false">IF($B202="","",IF(NOT(ISNUMBER($B202)),"日期不是日期格式",IF(YEAR($B202)&lt;&gt;首页!$B$3,"不在会计年度",IF($D202="","未选供应商",IF(ISNA(MATCH($D202,基础资料!$AF$6:$AF$155,0)),"供应商不在档案",IF($E202="","未填商品或内容",IF(NOT(ISNUMBER($F202)),"数量须为数字",IF(NOT(ISNUMBER($G202)),"单价须为数字",IF(N($F202)&lt;=0,"数量须大于0",IF($I202="","请选是否入库",IF(AND($I202="是",ISNA(MATCH($E202,基础资料!$Q$6:$Q$205,0))),"入库商品必须在商品档案中",IF(AND($I202="否",$J202&lt;&gt;"",ISNA(MATCH($J202,科目参数!$A$6:$A$125,0))),"费用科目不存在","√"))))))))))))</f>
        <v/>
      </c>
      <c r="O202" s="49" t="str">
        <f aca="false">IF($E202="","",IFERROR(INDEX(基础资料!$R$6:$R$205,MATCH($E202,基础资料!$Q$6:$Q$205,0)),""))</f>
        <v/>
      </c>
      <c r="P202" s="49" t="str">
        <f aca="false">IF($E202="","",IFERROR(INDEX(基础资料!$S$6:$S$205,MATCH($E202,基础资料!$Q$6:$Q$205,0)),""))</f>
        <v/>
      </c>
      <c r="Q202" s="48" t="str">
        <f aca="false">IF(OR($F202="",$G202=""),"",ROUND(N($F202)*N($G202),2))</f>
        <v/>
      </c>
      <c r="R202" s="48" t="str">
        <f aca="false">IF($Q202="","",ROUND(N($Q202)*N($H202),2))</f>
        <v/>
      </c>
      <c r="S202" s="48" t="str">
        <f aca="false">IF($Q202="","",N($Q202)+N($R202))</f>
        <v/>
      </c>
      <c r="T202" s="52" t="str">
        <f aca="false">IF(OR($B202="",$D202=""),"",$B202+N(IFERROR(INDEX(基础资料!$AH$6:$AH$155,MATCH($D202,基础资料!$AF$6:$AF$155,0)),0)))</f>
        <v/>
      </c>
      <c r="U202" s="49" t="str">
        <f aca="false">IF($Q202="","",IF($I202="是","1405",IF($J202="","6602",$J202)))</f>
        <v/>
      </c>
      <c r="V202" s="49" t="str">
        <f aca="false">IF($Q202="","","2202")</f>
        <v/>
      </c>
      <c r="W202" s="48" t="str">
        <f aca="false">IF($Q202="","",$Q202)</f>
        <v/>
      </c>
      <c r="X202" s="49" t="str">
        <f aca="false">IF(N($R202)=0,"","2221")</f>
        <v/>
      </c>
      <c r="Y202" s="49" t="str">
        <f aca="false">IF(N($R202)=0,"","2202")</f>
        <v/>
      </c>
      <c r="Z202" s="48" t="str">
        <f aca="false">IF(N($R202)=0,"",$R202)</f>
        <v/>
      </c>
      <c r="AA202" s="49" t="str">
        <f aca="false">IF(AND($D202=供应商对账单!$B$3,$B202&gt;=供应商对账单!$E$3,$B202&lt;=供应商对账单!$H$3),COUNTIFS($D$5:$D202,供应商对账单!$B$3,$B$5:$B202,"&gt;="&amp;供应商对账单!$E$3,$B$5:$B202,"&lt;="&amp;供应商对账单!$H$3),"")</f>
        <v/>
      </c>
    </row>
    <row r="203" customFormat="false" ht="15.75" hidden="false" customHeight="true" outlineLevel="0" collapsed="false">
      <c r="A203" s="42" t="str">
        <f aca="false">IF($B203="","","CG"&amp;TEXT($B203,"yyyymm")&amp;"-"&amp;TEXT(ROW()-4,"000"))</f>
        <v/>
      </c>
      <c r="B203" s="41"/>
      <c r="C203" s="42" t="str">
        <f aca="false">IF($B203="","",TEXT($B203,"yyyy-mm"))</f>
        <v/>
      </c>
      <c r="D203" s="32"/>
      <c r="E203" s="36"/>
      <c r="F203" s="43"/>
      <c r="G203" s="40"/>
      <c r="H203" s="51"/>
      <c r="I203" s="33"/>
      <c r="J203" s="31"/>
      <c r="K203" s="33"/>
      <c r="L203" s="33"/>
      <c r="M203" s="36"/>
      <c r="N203" s="47" t="str">
        <f aca="false">IF($B203="","",IF(NOT(ISNUMBER($B203)),"日期不是日期格式",IF(YEAR($B203)&lt;&gt;首页!$B$3,"不在会计年度",IF($D203="","未选供应商",IF(ISNA(MATCH($D203,基础资料!$AF$6:$AF$155,0)),"供应商不在档案",IF($E203="","未填商品或内容",IF(NOT(ISNUMBER($F203)),"数量须为数字",IF(NOT(ISNUMBER($G203)),"单价须为数字",IF(N($F203)&lt;=0,"数量须大于0",IF($I203="","请选是否入库",IF(AND($I203="是",ISNA(MATCH($E203,基础资料!$Q$6:$Q$205,0))),"入库商品必须在商品档案中",IF(AND($I203="否",$J203&lt;&gt;"",ISNA(MATCH($J203,科目参数!$A$6:$A$125,0))),"费用科目不存在","√"))))))))))))</f>
        <v/>
      </c>
      <c r="O203" s="49" t="str">
        <f aca="false">IF($E203="","",IFERROR(INDEX(基础资料!$R$6:$R$205,MATCH($E203,基础资料!$Q$6:$Q$205,0)),""))</f>
        <v/>
      </c>
      <c r="P203" s="49" t="str">
        <f aca="false">IF($E203="","",IFERROR(INDEX(基础资料!$S$6:$S$205,MATCH($E203,基础资料!$Q$6:$Q$205,0)),""))</f>
        <v/>
      </c>
      <c r="Q203" s="48" t="str">
        <f aca="false">IF(OR($F203="",$G203=""),"",ROUND(N($F203)*N($G203),2))</f>
        <v/>
      </c>
      <c r="R203" s="48" t="str">
        <f aca="false">IF($Q203="","",ROUND(N($Q203)*N($H203),2))</f>
        <v/>
      </c>
      <c r="S203" s="48" t="str">
        <f aca="false">IF($Q203="","",N($Q203)+N($R203))</f>
        <v/>
      </c>
      <c r="T203" s="52" t="str">
        <f aca="false">IF(OR($B203="",$D203=""),"",$B203+N(IFERROR(INDEX(基础资料!$AH$6:$AH$155,MATCH($D203,基础资料!$AF$6:$AF$155,0)),0)))</f>
        <v/>
      </c>
      <c r="U203" s="49" t="str">
        <f aca="false">IF($Q203="","",IF($I203="是","1405",IF($J203="","6602",$J203)))</f>
        <v/>
      </c>
      <c r="V203" s="49" t="str">
        <f aca="false">IF($Q203="","","2202")</f>
        <v/>
      </c>
      <c r="W203" s="48" t="str">
        <f aca="false">IF($Q203="","",$Q203)</f>
        <v/>
      </c>
      <c r="X203" s="49" t="str">
        <f aca="false">IF(N($R203)=0,"","2221")</f>
        <v/>
      </c>
      <c r="Y203" s="49" t="str">
        <f aca="false">IF(N($R203)=0,"","2202")</f>
        <v/>
      </c>
      <c r="Z203" s="48" t="str">
        <f aca="false">IF(N($R203)=0,"",$R203)</f>
        <v/>
      </c>
      <c r="AA203" s="49" t="str">
        <f aca="false">IF(AND($D203=供应商对账单!$B$3,$B203&gt;=供应商对账单!$E$3,$B203&lt;=供应商对账单!$H$3),COUNTIFS($D$5:$D203,供应商对账单!$B$3,$B$5:$B203,"&gt;="&amp;供应商对账单!$E$3,$B$5:$B203,"&lt;="&amp;供应商对账单!$H$3),"")</f>
        <v/>
      </c>
    </row>
    <row r="204" customFormat="false" ht="15.75" hidden="false" customHeight="true" outlineLevel="0" collapsed="false">
      <c r="A204" s="42" t="str">
        <f aca="false">IF($B204="","","CG"&amp;TEXT($B204,"yyyymm")&amp;"-"&amp;TEXT(ROW()-4,"000"))</f>
        <v/>
      </c>
      <c r="B204" s="41"/>
      <c r="C204" s="42" t="str">
        <f aca="false">IF($B204="","",TEXT($B204,"yyyy-mm"))</f>
        <v/>
      </c>
      <c r="D204" s="32"/>
      <c r="E204" s="36"/>
      <c r="F204" s="43"/>
      <c r="G204" s="40"/>
      <c r="H204" s="51"/>
      <c r="I204" s="33"/>
      <c r="J204" s="31"/>
      <c r="K204" s="33"/>
      <c r="L204" s="33"/>
      <c r="M204" s="36"/>
      <c r="N204" s="47" t="str">
        <f aca="false">IF($B204="","",IF(NOT(ISNUMBER($B204)),"日期不是日期格式",IF(YEAR($B204)&lt;&gt;首页!$B$3,"不在会计年度",IF($D204="","未选供应商",IF(ISNA(MATCH($D204,基础资料!$AF$6:$AF$155,0)),"供应商不在档案",IF($E204="","未填商品或内容",IF(NOT(ISNUMBER($F204)),"数量须为数字",IF(NOT(ISNUMBER($G204)),"单价须为数字",IF(N($F204)&lt;=0,"数量须大于0",IF($I204="","请选是否入库",IF(AND($I204="是",ISNA(MATCH($E204,基础资料!$Q$6:$Q$205,0))),"入库商品必须在商品档案中",IF(AND($I204="否",$J204&lt;&gt;"",ISNA(MATCH($J204,科目参数!$A$6:$A$125,0))),"费用科目不存在","√"))))))))))))</f>
        <v/>
      </c>
      <c r="O204" s="49" t="str">
        <f aca="false">IF($E204="","",IFERROR(INDEX(基础资料!$R$6:$R$205,MATCH($E204,基础资料!$Q$6:$Q$205,0)),""))</f>
        <v/>
      </c>
      <c r="P204" s="49" t="str">
        <f aca="false">IF($E204="","",IFERROR(INDEX(基础资料!$S$6:$S$205,MATCH($E204,基础资料!$Q$6:$Q$205,0)),""))</f>
        <v/>
      </c>
      <c r="Q204" s="48" t="str">
        <f aca="false">IF(OR($F204="",$G204=""),"",ROUND(N($F204)*N($G204),2))</f>
        <v/>
      </c>
      <c r="R204" s="48" t="str">
        <f aca="false">IF($Q204="","",ROUND(N($Q204)*N($H204),2))</f>
        <v/>
      </c>
      <c r="S204" s="48" t="str">
        <f aca="false">IF($Q204="","",N($Q204)+N($R204))</f>
        <v/>
      </c>
      <c r="T204" s="52" t="str">
        <f aca="false">IF(OR($B204="",$D204=""),"",$B204+N(IFERROR(INDEX(基础资料!$AH$6:$AH$155,MATCH($D204,基础资料!$AF$6:$AF$155,0)),0)))</f>
        <v/>
      </c>
      <c r="U204" s="49" t="str">
        <f aca="false">IF($Q204="","",IF($I204="是","1405",IF($J204="","6602",$J204)))</f>
        <v/>
      </c>
      <c r="V204" s="49" t="str">
        <f aca="false">IF($Q204="","","2202")</f>
        <v/>
      </c>
      <c r="W204" s="48" t="str">
        <f aca="false">IF($Q204="","",$Q204)</f>
        <v/>
      </c>
      <c r="X204" s="49" t="str">
        <f aca="false">IF(N($R204)=0,"","2221")</f>
        <v/>
      </c>
      <c r="Y204" s="49" t="str">
        <f aca="false">IF(N($R204)=0,"","2202")</f>
        <v/>
      </c>
      <c r="Z204" s="48" t="str">
        <f aca="false">IF(N($R204)=0,"",$R204)</f>
        <v/>
      </c>
      <c r="AA204" s="49" t="str">
        <f aca="false">IF(AND($D204=供应商对账单!$B$3,$B204&gt;=供应商对账单!$E$3,$B204&lt;=供应商对账单!$H$3),COUNTIFS($D$5:$D204,供应商对账单!$B$3,$B$5:$B204,"&gt;="&amp;供应商对账单!$E$3,$B$5:$B204,"&lt;="&amp;供应商对账单!$H$3),"")</f>
        <v/>
      </c>
    </row>
    <row r="205" customFormat="false" ht="15.75" hidden="false" customHeight="true" outlineLevel="0" collapsed="false">
      <c r="A205" s="42" t="str">
        <f aca="false">IF($B205="","","CG"&amp;TEXT($B205,"yyyymm")&amp;"-"&amp;TEXT(ROW()-4,"000"))</f>
        <v/>
      </c>
      <c r="B205" s="41"/>
      <c r="C205" s="42" t="str">
        <f aca="false">IF($B205="","",TEXT($B205,"yyyy-mm"))</f>
        <v/>
      </c>
      <c r="D205" s="32"/>
      <c r="E205" s="36"/>
      <c r="F205" s="43"/>
      <c r="G205" s="40"/>
      <c r="H205" s="51"/>
      <c r="I205" s="33"/>
      <c r="J205" s="31"/>
      <c r="K205" s="33"/>
      <c r="L205" s="33"/>
      <c r="M205" s="36"/>
      <c r="N205" s="47" t="str">
        <f aca="false">IF($B205="","",IF(NOT(ISNUMBER($B205)),"日期不是日期格式",IF(YEAR($B205)&lt;&gt;首页!$B$3,"不在会计年度",IF($D205="","未选供应商",IF(ISNA(MATCH($D205,基础资料!$AF$6:$AF$155,0)),"供应商不在档案",IF($E205="","未填商品或内容",IF(NOT(ISNUMBER($F205)),"数量须为数字",IF(NOT(ISNUMBER($G205)),"单价须为数字",IF(N($F205)&lt;=0,"数量须大于0",IF($I205="","请选是否入库",IF(AND($I205="是",ISNA(MATCH($E205,基础资料!$Q$6:$Q$205,0))),"入库商品必须在商品档案中",IF(AND($I205="否",$J205&lt;&gt;"",ISNA(MATCH($J205,科目参数!$A$6:$A$125,0))),"费用科目不存在","√"))))))))))))</f>
        <v/>
      </c>
      <c r="O205" s="49" t="str">
        <f aca="false">IF($E205="","",IFERROR(INDEX(基础资料!$R$6:$R$205,MATCH($E205,基础资料!$Q$6:$Q$205,0)),""))</f>
        <v/>
      </c>
      <c r="P205" s="49" t="str">
        <f aca="false">IF($E205="","",IFERROR(INDEX(基础资料!$S$6:$S$205,MATCH($E205,基础资料!$Q$6:$Q$205,0)),""))</f>
        <v/>
      </c>
      <c r="Q205" s="48" t="str">
        <f aca="false">IF(OR($F205="",$G205=""),"",ROUND(N($F205)*N($G205),2))</f>
        <v/>
      </c>
      <c r="R205" s="48" t="str">
        <f aca="false">IF($Q205="","",ROUND(N($Q205)*N($H205),2))</f>
        <v/>
      </c>
      <c r="S205" s="48" t="str">
        <f aca="false">IF($Q205="","",N($Q205)+N($R205))</f>
        <v/>
      </c>
      <c r="T205" s="52" t="str">
        <f aca="false">IF(OR($B205="",$D205=""),"",$B205+N(IFERROR(INDEX(基础资料!$AH$6:$AH$155,MATCH($D205,基础资料!$AF$6:$AF$155,0)),0)))</f>
        <v/>
      </c>
      <c r="U205" s="49" t="str">
        <f aca="false">IF($Q205="","",IF($I205="是","1405",IF($J205="","6602",$J205)))</f>
        <v/>
      </c>
      <c r="V205" s="49" t="str">
        <f aca="false">IF($Q205="","","2202")</f>
        <v/>
      </c>
      <c r="W205" s="48" t="str">
        <f aca="false">IF($Q205="","",$Q205)</f>
        <v/>
      </c>
      <c r="X205" s="49" t="str">
        <f aca="false">IF(N($R205)=0,"","2221")</f>
        <v/>
      </c>
      <c r="Y205" s="49" t="str">
        <f aca="false">IF(N($R205)=0,"","2202")</f>
        <v/>
      </c>
      <c r="Z205" s="48" t="str">
        <f aca="false">IF(N($R205)=0,"",$R205)</f>
        <v/>
      </c>
      <c r="AA205" s="49" t="str">
        <f aca="false">IF(AND($D205=供应商对账单!$B$3,$B205&gt;=供应商对账单!$E$3,$B205&lt;=供应商对账单!$H$3),COUNTIFS($D$5:$D205,供应商对账单!$B$3,$B$5:$B205,"&gt;="&amp;供应商对账单!$E$3,$B$5:$B205,"&lt;="&amp;供应商对账单!$H$3),"")</f>
        <v/>
      </c>
    </row>
    <row r="206" customFormat="false" ht="15.75" hidden="false" customHeight="true" outlineLevel="0" collapsed="false">
      <c r="A206" s="42" t="str">
        <f aca="false">IF($B206="","","CG"&amp;TEXT($B206,"yyyymm")&amp;"-"&amp;TEXT(ROW()-4,"000"))</f>
        <v/>
      </c>
      <c r="B206" s="41"/>
      <c r="C206" s="42" t="str">
        <f aca="false">IF($B206="","",TEXT($B206,"yyyy-mm"))</f>
        <v/>
      </c>
      <c r="D206" s="32"/>
      <c r="E206" s="36"/>
      <c r="F206" s="43"/>
      <c r="G206" s="40"/>
      <c r="H206" s="51"/>
      <c r="I206" s="33"/>
      <c r="J206" s="31"/>
      <c r="K206" s="33"/>
      <c r="L206" s="33"/>
      <c r="M206" s="36"/>
      <c r="N206" s="47" t="str">
        <f aca="false">IF($B206="","",IF(NOT(ISNUMBER($B206)),"日期不是日期格式",IF(YEAR($B206)&lt;&gt;首页!$B$3,"不在会计年度",IF($D206="","未选供应商",IF(ISNA(MATCH($D206,基础资料!$AF$6:$AF$155,0)),"供应商不在档案",IF($E206="","未填商品或内容",IF(NOT(ISNUMBER($F206)),"数量须为数字",IF(NOT(ISNUMBER($G206)),"单价须为数字",IF(N($F206)&lt;=0,"数量须大于0",IF($I206="","请选是否入库",IF(AND($I206="是",ISNA(MATCH($E206,基础资料!$Q$6:$Q$205,0))),"入库商品必须在商品档案中",IF(AND($I206="否",$J206&lt;&gt;"",ISNA(MATCH($J206,科目参数!$A$6:$A$125,0))),"费用科目不存在","√"))))))))))))</f>
        <v/>
      </c>
      <c r="O206" s="49" t="str">
        <f aca="false">IF($E206="","",IFERROR(INDEX(基础资料!$R$6:$R$205,MATCH($E206,基础资料!$Q$6:$Q$205,0)),""))</f>
        <v/>
      </c>
      <c r="P206" s="49" t="str">
        <f aca="false">IF($E206="","",IFERROR(INDEX(基础资料!$S$6:$S$205,MATCH($E206,基础资料!$Q$6:$Q$205,0)),""))</f>
        <v/>
      </c>
      <c r="Q206" s="48" t="str">
        <f aca="false">IF(OR($F206="",$G206=""),"",ROUND(N($F206)*N($G206),2))</f>
        <v/>
      </c>
      <c r="R206" s="48" t="str">
        <f aca="false">IF($Q206="","",ROUND(N($Q206)*N($H206),2))</f>
        <v/>
      </c>
      <c r="S206" s="48" t="str">
        <f aca="false">IF($Q206="","",N($Q206)+N($R206))</f>
        <v/>
      </c>
      <c r="T206" s="52" t="str">
        <f aca="false">IF(OR($B206="",$D206=""),"",$B206+N(IFERROR(INDEX(基础资料!$AH$6:$AH$155,MATCH($D206,基础资料!$AF$6:$AF$155,0)),0)))</f>
        <v/>
      </c>
      <c r="U206" s="49" t="str">
        <f aca="false">IF($Q206="","",IF($I206="是","1405",IF($J206="","6602",$J206)))</f>
        <v/>
      </c>
      <c r="V206" s="49" t="str">
        <f aca="false">IF($Q206="","","2202")</f>
        <v/>
      </c>
      <c r="W206" s="48" t="str">
        <f aca="false">IF($Q206="","",$Q206)</f>
        <v/>
      </c>
      <c r="X206" s="49" t="str">
        <f aca="false">IF(N($R206)=0,"","2221")</f>
        <v/>
      </c>
      <c r="Y206" s="49" t="str">
        <f aca="false">IF(N($R206)=0,"","2202")</f>
        <v/>
      </c>
      <c r="Z206" s="48" t="str">
        <f aca="false">IF(N($R206)=0,"",$R206)</f>
        <v/>
      </c>
      <c r="AA206" s="49" t="str">
        <f aca="false">IF(AND($D206=供应商对账单!$B$3,$B206&gt;=供应商对账单!$E$3,$B206&lt;=供应商对账单!$H$3),COUNTIFS($D$5:$D206,供应商对账单!$B$3,$B$5:$B206,"&gt;="&amp;供应商对账单!$E$3,$B$5:$B206,"&lt;="&amp;供应商对账单!$H$3),"")</f>
        <v/>
      </c>
    </row>
    <row r="207" customFormat="false" ht="15.75" hidden="false" customHeight="true" outlineLevel="0" collapsed="false">
      <c r="A207" s="42" t="str">
        <f aca="false">IF($B207="","","CG"&amp;TEXT($B207,"yyyymm")&amp;"-"&amp;TEXT(ROW()-4,"000"))</f>
        <v/>
      </c>
      <c r="B207" s="41"/>
      <c r="C207" s="42" t="str">
        <f aca="false">IF($B207="","",TEXT($B207,"yyyy-mm"))</f>
        <v/>
      </c>
      <c r="D207" s="32"/>
      <c r="E207" s="36"/>
      <c r="F207" s="43"/>
      <c r="G207" s="40"/>
      <c r="H207" s="51"/>
      <c r="I207" s="33"/>
      <c r="J207" s="31"/>
      <c r="K207" s="33"/>
      <c r="L207" s="33"/>
      <c r="M207" s="36"/>
      <c r="N207" s="47" t="str">
        <f aca="false">IF($B207="","",IF(NOT(ISNUMBER($B207)),"日期不是日期格式",IF(YEAR($B207)&lt;&gt;首页!$B$3,"不在会计年度",IF($D207="","未选供应商",IF(ISNA(MATCH($D207,基础资料!$AF$6:$AF$155,0)),"供应商不在档案",IF($E207="","未填商品或内容",IF(NOT(ISNUMBER($F207)),"数量须为数字",IF(NOT(ISNUMBER($G207)),"单价须为数字",IF(N($F207)&lt;=0,"数量须大于0",IF($I207="","请选是否入库",IF(AND($I207="是",ISNA(MATCH($E207,基础资料!$Q$6:$Q$205,0))),"入库商品必须在商品档案中",IF(AND($I207="否",$J207&lt;&gt;"",ISNA(MATCH($J207,科目参数!$A$6:$A$125,0))),"费用科目不存在","√"))))))))))))</f>
        <v/>
      </c>
      <c r="O207" s="49" t="str">
        <f aca="false">IF($E207="","",IFERROR(INDEX(基础资料!$R$6:$R$205,MATCH($E207,基础资料!$Q$6:$Q$205,0)),""))</f>
        <v/>
      </c>
      <c r="P207" s="49" t="str">
        <f aca="false">IF($E207="","",IFERROR(INDEX(基础资料!$S$6:$S$205,MATCH($E207,基础资料!$Q$6:$Q$205,0)),""))</f>
        <v/>
      </c>
      <c r="Q207" s="48" t="str">
        <f aca="false">IF(OR($F207="",$G207=""),"",ROUND(N($F207)*N($G207),2))</f>
        <v/>
      </c>
      <c r="R207" s="48" t="str">
        <f aca="false">IF($Q207="","",ROUND(N($Q207)*N($H207),2))</f>
        <v/>
      </c>
      <c r="S207" s="48" t="str">
        <f aca="false">IF($Q207="","",N($Q207)+N($R207))</f>
        <v/>
      </c>
      <c r="T207" s="52" t="str">
        <f aca="false">IF(OR($B207="",$D207=""),"",$B207+N(IFERROR(INDEX(基础资料!$AH$6:$AH$155,MATCH($D207,基础资料!$AF$6:$AF$155,0)),0)))</f>
        <v/>
      </c>
      <c r="U207" s="49" t="str">
        <f aca="false">IF($Q207="","",IF($I207="是","1405",IF($J207="","6602",$J207)))</f>
        <v/>
      </c>
      <c r="V207" s="49" t="str">
        <f aca="false">IF($Q207="","","2202")</f>
        <v/>
      </c>
      <c r="W207" s="48" t="str">
        <f aca="false">IF($Q207="","",$Q207)</f>
        <v/>
      </c>
      <c r="X207" s="49" t="str">
        <f aca="false">IF(N($R207)=0,"","2221")</f>
        <v/>
      </c>
      <c r="Y207" s="49" t="str">
        <f aca="false">IF(N($R207)=0,"","2202")</f>
        <v/>
      </c>
      <c r="Z207" s="48" t="str">
        <f aca="false">IF(N($R207)=0,"",$R207)</f>
        <v/>
      </c>
      <c r="AA207" s="49" t="str">
        <f aca="false">IF(AND($D207=供应商对账单!$B$3,$B207&gt;=供应商对账单!$E$3,$B207&lt;=供应商对账单!$H$3),COUNTIFS($D$5:$D207,供应商对账单!$B$3,$B$5:$B207,"&gt;="&amp;供应商对账单!$E$3,$B$5:$B207,"&lt;="&amp;供应商对账单!$H$3),"")</f>
        <v/>
      </c>
    </row>
    <row r="208" customFormat="false" ht="15.75" hidden="false" customHeight="true" outlineLevel="0" collapsed="false">
      <c r="A208" s="42" t="str">
        <f aca="false">IF($B208="","","CG"&amp;TEXT($B208,"yyyymm")&amp;"-"&amp;TEXT(ROW()-4,"000"))</f>
        <v/>
      </c>
      <c r="B208" s="41"/>
      <c r="C208" s="42" t="str">
        <f aca="false">IF($B208="","",TEXT($B208,"yyyy-mm"))</f>
        <v/>
      </c>
      <c r="D208" s="32"/>
      <c r="E208" s="36"/>
      <c r="F208" s="43"/>
      <c r="G208" s="40"/>
      <c r="H208" s="51"/>
      <c r="I208" s="33"/>
      <c r="J208" s="31"/>
      <c r="K208" s="33"/>
      <c r="L208" s="33"/>
      <c r="M208" s="36"/>
      <c r="N208" s="47" t="str">
        <f aca="false">IF($B208="","",IF(NOT(ISNUMBER($B208)),"日期不是日期格式",IF(YEAR($B208)&lt;&gt;首页!$B$3,"不在会计年度",IF($D208="","未选供应商",IF(ISNA(MATCH($D208,基础资料!$AF$6:$AF$155,0)),"供应商不在档案",IF($E208="","未填商品或内容",IF(NOT(ISNUMBER($F208)),"数量须为数字",IF(NOT(ISNUMBER($G208)),"单价须为数字",IF(N($F208)&lt;=0,"数量须大于0",IF($I208="","请选是否入库",IF(AND($I208="是",ISNA(MATCH($E208,基础资料!$Q$6:$Q$205,0))),"入库商品必须在商品档案中",IF(AND($I208="否",$J208&lt;&gt;"",ISNA(MATCH($J208,科目参数!$A$6:$A$125,0))),"费用科目不存在","√"))))))))))))</f>
        <v/>
      </c>
      <c r="O208" s="49" t="str">
        <f aca="false">IF($E208="","",IFERROR(INDEX(基础资料!$R$6:$R$205,MATCH($E208,基础资料!$Q$6:$Q$205,0)),""))</f>
        <v/>
      </c>
      <c r="P208" s="49" t="str">
        <f aca="false">IF($E208="","",IFERROR(INDEX(基础资料!$S$6:$S$205,MATCH($E208,基础资料!$Q$6:$Q$205,0)),""))</f>
        <v/>
      </c>
      <c r="Q208" s="48" t="str">
        <f aca="false">IF(OR($F208="",$G208=""),"",ROUND(N($F208)*N($G208),2))</f>
        <v/>
      </c>
      <c r="R208" s="48" t="str">
        <f aca="false">IF($Q208="","",ROUND(N($Q208)*N($H208),2))</f>
        <v/>
      </c>
      <c r="S208" s="48" t="str">
        <f aca="false">IF($Q208="","",N($Q208)+N($R208))</f>
        <v/>
      </c>
      <c r="T208" s="52" t="str">
        <f aca="false">IF(OR($B208="",$D208=""),"",$B208+N(IFERROR(INDEX(基础资料!$AH$6:$AH$155,MATCH($D208,基础资料!$AF$6:$AF$155,0)),0)))</f>
        <v/>
      </c>
      <c r="U208" s="49" t="str">
        <f aca="false">IF($Q208="","",IF($I208="是","1405",IF($J208="","6602",$J208)))</f>
        <v/>
      </c>
      <c r="V208" s="49" t="str">
        <f aca="false">IF($Q208="","","2202")</f>
        <v/>
      </c>
      <c r="W208" s="48" t="str">
        <f aca="false">IF($Q208="","",$Q208)</f>
        <v/>
      </c>
      <c r="X208" s="49" t="str">
        <f aca="false">IF(N($R208)=0,"","2221")</f>
        <v/>
      </c>
      <c r="Y208" s="49" t="str">
        <f aca="false">IF(N($R208)=0,"","2202")</f>
        <v/>
      </c>
      <c r="Z208" s="48" t="str">
        <f aca="false">IF(N($R208)=0,"",$R208)</f>
        <v/>
      </c>
      <c r="AA208" s="49" t="str">
        <f aca="false">IF(AND($D208=供应商对账单!$B$3,$B208&gt;=供应商对账单!$E$3,$B208&lt;=供应商对账单!$H$3),COUNTIFS($D$5:$D208,供应商对账单!$B$3,$B$5:$B208,"&gt;="&amp;供应商对账单!$E$3,$B$5:$B208,"&lt;="&amp;供应商对账单!$H$3),"")</f>
        <v/>
      </c>
    </row>
    <row r="209" customFormat="false" ht="15.75" hidden="false" customHeight="true" outlineLevel="0" collapsed="false">
      <c r="A209" s="42" t="str">
        <f aca="false">IF($B209="","","CG"&amp;TEXT($B209,"yyyymm")&amp;"-"&amp;TEXT(ROW()-4,"000"))</f>
        <v/>
      </c>
      <c r="B209" s="41"/>
      <c r="C209" s="42" t="str">
        <f aca="false">IF($B209="","",TEXT($B209,"yyyy-mm"))</f>
        <v/>
      </c>
      <c r="D209" s="32"/>
      <c r="E209" s="36"/>
      <c r="F209" s="43"/>
      <c r="G209" s="40"/>
      <c r="H209" s="51"/>
      <c r="I209" s="33"/>
      <c r="J209" s="31"/>
      <c r="K209" s="33"/>
      <c r="L209" s="33"/>
      <c r="M209" s="36"/>
      <c r="N209" s="47" t="str">
        <f aca="false">IF($B209="","",IF(NOT(ISNUMBER($B209)),"日期不是日期格式",IF(YEAR($B209)&lt;&gt;首页!$B$3,"不在会计年度",IF($D209="","未选供应商",IF(ISNA(MATCH($D209,基础资料!$AF$6:$AF$155,0)),"供应商不在档案",IF($E209="","未填商品或内容",IF(NOT(ISNUMBER($F209)),"数量须为数字",IF(NOT(ISNUMBER($G209)),"单价须为数字",IF(N($F209)&lt;=0,"数量须大于0",IF($I209="","请选是否入库",IF(AND($I209="是",ISNA(MATCH($E209,基础资料!$Q$6:$Q$205,0))),"入库商品必须在商品档案中",IF(AND($I209="否",$J209&lt;&gt;"",ISNA(MATCH($J209,科目参数!$A$6:$A$125,0))),"费用科目不存在","√"))))))))))))</f>
        <v/>
      </c>
      <c r="O209" s="49" t="str">
        <f aca="false">IF($E209="","",IFERROR(INDEX(基础资料!$R$6:$R$205,MATCH($E209,基础资料!$Q$6:$Q$205,0)),""))</f>
        <v/>
      </c>
      <c r="P209" s="49" t="str">
        <f aca="false">IF($E209="","",IFERROR(INDEX(基础资料!$S$6:$S$205,MATCH($E209,基础资料!$Q$6:$Q$205,0)),""))</f>
        <v/>
      </c>
      <c r="Q209" s="48" t="str">
        <f aca="false">IF(OR($F209="",$G209=""),"",ROUND(N($F209)*N($G209),2))</f>
        <v/>
      </c>
      <c r="R209" s="48" t="str">
        <f aca="false">IF($Q209="","",ROUND(N($Q209)*N($H209),2))</f>
        <v/>
      </c>
      <c r="S209" s="48" t="str">
        <f aca="false">IF($Q209="","",N($Q209)+N($R209))</f>
        <v/>
      </c>
      <c r="T209" s="52" t="str">
        <f aca="false">IF(OR($B209="",$D209=""),"",$B209+N(IFERROR(INDEX(基础资料!$AH$6:$AH$155,MATCH($D209,基础资料!$AF$6:$AF$155,0)),0)))</f>
        <v/>
      </c>
      <c r="U209" s="49" t="str">
        <f aca="false">IF($Q209="","",IF($I209="是","1405",IF($J209="","6602",$J209)))</f>
        <v/>
      </c>
      <c r="V209" s="49" t="str">
        <f aca="false">IF($Q209="","","2202")</f>
        <v/>
      </c>
      <c r="W209" s="48" t="str">
        <f aca="false">IF($Q209="","",$Q209)</f>
        <v/>
      </c>
      <c r="X209" s="49" t="str">
        <f aca="false">IF(N($R209)=0,"","2221")</f>
        <v/>
      </c>
      <c r="Y209" s="49" t="str">
        <f aca="false">IF(N($R209)=0,"","2202")</f>
        <v/>
      </c>
      <c r="Z209" s="48" t="str">
        <f aca="false">IF(N($R209)=0,"",$R209)</f>
        <v/>
      </c>
      <c r="AA209" s="49" t="str">
        <f aca="false">IF(AND($D209=供应商对账单!$B$3,$B209&gt;=供应商对账单!$E$3,$B209&lt;=供应商对账单!$H$3),COUNTIFS($D$5:$D209,供应商对账单!$B$3,$B$5:$B209,"&gt;="&amp;供应商对账单!$E$3,$B$5:$B209,"&lt;="&amp;供应商对账单!$H$3),"")</f>
        <v/>
      </c>
    </row>
    <row r="210" customFormat="false" ht="15.75" hidden="false" customHeight="true" outlineLevel="0" collapsed="false">
      <c r="A210" s="42" t="str">
        <f aca="false">IF($B210="","","CG"&amp;TEXT($B210,"yyyymm")&amp;"-"&amp;TEXT(ROW()-4,"000"))</f>
        <v/>
      </c>
      <c r="B210" s="41"/>
      <c r="C210" s="42" t="str">
        <f aca="false">IF($B210="","",TEXT($B210,"yyyy-mm"))</f>
        <v/>
      </c>
      <c r="D210" s="32"/>
      <c r="E210" s="36"/>
      <c r="F210" s="43"/>
      <c r="G210" s="40"/>
      <c r="H210" s="51"/>
      <c r="I210" s="33"/>
      <c r="J210" s="31"/>
      <c r="K210" s="33"/>
      <c r="L210" s="33"/>
      <c r="M210" s="36"/>
      <c r="N210" s="47" t="str">
        <f aca="false">IF($B210="","",IF(NOT(ISNUMBER($B210)),"日期不是日期格式",IF(YEAR($B210)&lt;&gt;首页!$B$3,"不在会计年度",IF($D210="","未选供应商",IF(ISNA(MATCH($D210,基础资料!$AF$6:$AF$155,0)),"供应商不在档案",IF($E210="","未填商品或内容",IF(NOT(ISNUMBER($F210)),"数量须为数字",IF(NOT(ISNUMBER($G210)),"单价须为数字",IF(N($F210)&lt;=0,"数量须大于0",IF($I210="","请选是否入库",IF(AND($I210="是",ISNA(MATCH($E210,基础资料!$Q$6:$Q$205,0))),"入库商品必须在商品档案中",IF(AND($I210="否",$J210&lt;&gt;"",ISNA(MATCH($J210,科目参数!$A$6:$A$125,0))),"费用科目不存在","√"))))))))))))</f>
        <v/>
      </c>
      <c r="O210" s="49" t="str">
        <f aca="false">IF($E210="","",IFERROR(INDEX(基础资料!$R$6:$R$205,MATCH($E210,基础资料!$Q$6:$Q$205,0)),""))</f>
        <v/>
      </c>
      <c r="P210" s="49" t="str">
        <f aca="false">IF($E210="","",IFERROR(INDEX(基础资料!$S$6:$S$205,MATCH($E210,基础资料!$Q$6:$Q$205,0)),""))</f>
        <v/>
      </c>
      <c r="Q210" s="48" t="str">
        <f aca="false">IF(OR($F210="",$G210=""),"",ROUND(N($F210)*N($G210),2))</f>
        <v/>
      </c>
      <c r="R210" s="48" t="str">
        <f aca="false">IF($Q210="","",ROUND(N($Q210)*N($H210),2))</f>
        <v/>
      </c>
      <c r="S210" s="48" t="str">
        <f aca="false">IF($Q210="","",N($Q210)+N($R210))</f>
        <v/>
      </c>
      <c r="T210" s="52" t="str">
        <f aca="false">IF(OR($B210="",$D210=""),"",$B210+N(IFERROR(INDEX(基础资料!$AH$6:$AH$155,MATCH($D210,基础资料!$AF$6:$AF$155,0)),0)))</f>
        <v/>
      </c>
      <c r="U210" s="49" t="str">
        <f aca="false">IF($Q210="","",IF($I210="是","1405",IF($J210="","6602",$J210)))</f>
        <v/>
      </c>
      <c r="V210" s="49" t="str">
        <f aca="false">IF($Q210="","","2202")</f>
        <v/>
      </c>
      <c r="W210" s="48" t="str">
        <f aca="false">IF($Q210="","",$Q210)</f>
        <v/>
      </c>
      <c r="X210" s="49" t="str">
        <f aca="false">IF(N($R210)=0,"","2221")</f>
        <v/>
      </c>
      <c r="Y210" s="49" t="str">
        <f aca="false">IF(N($R210)=0,"","2202")</f>
        <v/>
      </c>
      <c r="Z210" s="48" t="str">
        <f aca="false">IF(N($R210)=0,"",$R210)</f>
        <v/>
      </c>
      <c r="AA210" s="49" t="str">
        <f aca="false">IF(AND($D210=供应商对账单!$B$3,$B210&gt;=供应商对账单!$E$3,$B210&lt;=供应商对账单!$H$3),COUNTIFS($D$5:$D210,供应商对账单!$B$3,$B$5:$B210,"&gt;="&amp;供应商对账单!$E$3,$B$5:$B210,"&lt;="&amp;供应商对账单!$H$3),"")</f>
        <v/>
      </c>
    </row>
    <row r="211" customFormat="false" ht="15.75" hidden="false" customHeight="true" outlineLevel="0" collapsed="false">
      <c r="A211" s="42" t="str">
        <f aca="false">IF($B211="","","CG"&amp;TEXT($B211,"yyyymm")&amp;"-"&amp;TEXT(ROW()-4,"000"))</f>
        <v/>
      </c>
      <c r="B211" s="41"/>
      <c r="C211" s="42" t="str">
        <f aca="false">IF($B211="","",TEXT($B211,"yyyy-mm"))</f>
        <v/>
      </c>
      <c r="D211" s="32"/>
      <c r="E211" s="36"/>
      <c r="F211" s="43"/>
      <c r="G211" s="40"/>
      <c r="H211" s="51"/>
      <c r="I211" s="33"/>
      <c r="J211" s="31"/>
      <c r="K211" s="33"/>
      <c r="L211" s="33"/>
      <c r="M211" s="36"/>
      <c r="N211" s="47" t="str">
        <f aca="false">IF($B211="","",IF(NOT(ISNUMBER($B211)),"日期不是日期格式",IF(YEAR($B211)&lt;&gt;首页!$B$3,"不在会计年度",IF($D211="","未选供应商",IF(ISNA(MATCH($D211,基础资料!$AF$6:$AF$155,0)),"供应商不在档案",IF($E211="","未填商品或内容",IF(NOT(ISNUMBER($F211)),"数量须为数字",IF(NOT(ISNUMBER($G211)),"单价须为数字",IF(N($F211)&lt;=0,"数量须大于0",IF($I211="","请选是否入库",IF(AND($I211="是",ISNA(MATCH($E211,基础资料!$Q$6:$Q$205,0))),"入库商品必须在商品档案中",IF(AND($I211="否",$J211&lt;&gt;"",ISNA(MATCH($J211,科目参数!$A$6:$A$125,0))),"费用科目不存在","√"))))))))))))</f>
        <v/>
      </c>
      <c r="O211" s="49" t="str">
        <f aca="false">IF($E211="","",IFERROR(INDEX(基础资料!$R$6:$R$205,MATCH($E211,基础资料!$Q$6:$Q$205,0)),""))</f>
        <v/>
      </c>
      <c r="P211" s="49" t="str">
        <f aca="false">IF($E211="","",IFERROR(INDEX(基础资料!$S$6:$S$205,MATCH($E211,基础资料!$Q$6:$Q$205,0)),""))</f>
        <v/>
      </c>
      <c r="Q211" s="48" t="str">
        <f aca="false">IF(OR($F211="",$G211=""),"",ROUND(N($F211)*N($G211),2))</f>
        <v/>
      </c>
      <c r="R211" s="48" t="str">
        <f aca="false">IF($Q211="","",ROUND(N($Q211)*N($H211),2))</f>
        <v/>
      </c>
      <c r="S211" s="48" t="str">
        <f aca="false">IF($Q211="","",N($Q211)+N($R211))</f>
        <v/>
      </c>
      <c r="T211" s="52" t="str">
        <f aca="false">IF(OR($B211="",$D211=""),"",$B211+N(IFERROR(INDEX(基础资料!$AH$6:$AH$155,MATCH($D211,基础资料!$AF$6:$AF$155,0)),0)))</f>
        <v/>
      </c>
      <c r="U211" s="49" t="str">
        <f aca="false">IF($Q211="","",IF($I211="是","1405",IF($J211="","6602",$J211)))</f>
        <v/>
      </c>
      <c r="V211" s="49" t="str">
        <f aca="false">IF($Q211="","","2202")</f>
        <v/>
      </c>
      <c r="W211" s="48" t="str">
        <f aca="false">IF($Q211="","",$Q211)</f>
        <v/>
      </c>
      <c r="X211" s="49" t="str">
        <f aca="false">IF(N($R211)=0,"","2221")</f>
        <v/>
      </c>
      <c r="Y211" s="49" t="str">
        <f aca="false">IF(N($R211)=0,"","2202")</f>
        <v/>
      </c>
      <c r="Z211" s="48" t="str">
        <f aca="false">IF(N($R211)=0,"",$R211)</f>
        <v/>
      </c>
      <c r="AA211" s="49" t="str">
        <f aca="false">IF(AND($D211=供应商对账单!$B$3,$B211&gt;=供应商对账单!$E$3,$B211&lt;=供应商对账单!$H$3),COUNTIFS($D$5:$D211,供应商对账单!$B$3,$B$5:$B211,"&gt;="&amp;供应商对账单!$E$3,$B$5:$B211,"&lt;="&amp;供应商对账单!$H$3),"")</f>
        <v/>
      </c>
    </row>
    <row r="212" customFormat="false" ht="15.75" hidden="false" customHeight="true" outlineLevel="0" collapsed="false">
      <c r="A212" s="42" t="str">
        <f aca="false">IF($B212="","","CG"&amp;TEXT($B212,"yyyymm")&amp;"-"&amp;TEXT(ROW()-4,"000"))</f>
        <v/>
      </c>
      <c r="B212" s="41"/>
      <c r="C212" s="42" t="str">
        <f aca="false">IF($B212="","",TEXT($B212,"yyyy-mm"))</f>
        <v/>
      </c>
      <c r="D212" s="32"/>
      <c r="E212" s="36"/>
      <c r="F212" s="43"/>
      <c r="G212" s="40"/>
      <c r="H212" s="51"/>
      <c r="I212" s="33"/>
      <c r="J212" s="31"/>
      <c r="K212" s="33"/>
      <c r="L212" s="33"/>
      <c r="M212" s="36"/>
      <c r="N212" s="47" t="str">
        <f aca="false">IF($B212="","",IF(NOT(ISNUMBER($B212)),"日期不是日期格式",IF(YEAR($B212)&lt;&gt;首页!$B$3,"不在会计年度",IF($D212="","未选供应商",IF(ISNA(MATCH($D212,基础资料!$AF$6:$AF$155,0)),"供应商不在档案",IF($E212="","未填商品或内容",IF(NOT(ISNUMBER($F212)),"数量须为数字",IF(NOT(ISNUMBER($G212)),"单价须为数字",IF(N($F212)&lt;=0,"数量须大于0",IF($I212="","请选是否入库",IF(AND($I212="是",ISNA(MATCH($E212,基础资料!$Q$6:$Q$205,0))),"入库商品必须在商品档案中",IF(AND($I212="否",$J212&lt;&gt;"",ISNA(MATCH($J212,科目参数!$A$6:$A$125,0))),"费用科目不存在","√"))))))))))))</f>
        <v/>
      </c>
      <c r="O212" s="49" t="str">
        <f aca="false">IF($E212="","",IFERROR(INDEX(基础资料!$R$6:$R$205,MATCH($E212,基础资料!$Q$6:$Q$205,0)),""))</f>
        <v/>
      </c>
      <c r="P212" s="49" t="str">
        <f aca="false">IF($E212="","",IFERROR(INDEX(基础资料!$S$6:$S$205,MATCH($E212,基础资料!$Q$6:$Q$205,0)),""))</f>
        <v/>
      </c>
      <c r="Q212" s="48" t="str">
        <f aca="false">IF(OR($F212="",$G212=""),"",ROUND(N($F212)*N($G212),2))</f>
        <v/>
      </c>
      <c r="R212" s="48" t="str">
        <f aca="false">IF($Q212="","",ROUND(N($Q212)*N($H212),2))</f>
        <v/>
      </c>
      <c r="S212" s="48" t="str">
        <f aca="false">IF($Q212="","",N($Q212)+N($R212))</f>
        <v/>
      </c>
      <c r="T212" s="52" t="str">
        <f aca="false">IF(OR($B212="",$D212=""),"",$B212+N(IFERROR(INDEX(基础资料!$AH$6:$AH$155,MATCH($D212,基础资料!$AF$6:$AF$155,0)),0)))</f>
        <v/>
      </c>
      <c r="U212" s="49" t="str">
        <f aca="false">IF($Q212="","",IF($I212="是","1405",IF($J212="","6602",$J212)))</f>
        <v/>
      </c>
      <c r="V212" s="49" t="str">
        <f aca="false">IF($Q212="","","2202")</f>
        <v/>
      </c>
      <c r="W212" s="48" t="str">
        <f aca="false">IF($Q212="","",$Q212)</f>
        <v/>
      </c>
      <c r="X212" s="49" t="str">
        <f aca="false">IF(N($R212)=0,"","2221")</f>
        <v/>
      </c>
      <c r="Y212" s="49" t="str">
        <f aca="false">IF(N($R212)=0,"","2202")</f>
        <v/>
      </c>
      <c r="Z212" s="48" t="str">
        <f aca="false">IF(N($R212)=0,"",$R212)</f>
        <v/>
      </c>
      <c r="AA212" s="49" t="str">
        <f aca="false">IF(AND($D212=供应商对账单!$B$3,$B212&gt;=供应商对账单!$E$3,$B212&lt;=供应商对账单!$H$3),COUNTIFS($D$5:$D212,供应商对账单!$B$3,$B$5:$B212,"&gt;="&amp;供应商对账单!$E$3,$B$5:$B212,"&lt;="&amp;供应商对账单!$H$3),"")</f>
        <v/>
      </c>
    </row>
    <row r="213" customFormat="false" ht="15.75" hidden="false" customHeight="true" outlineLevel="0" collapsed="false">
      <c r="A213" s="42" t="str">
        <f aca="false">IF($B213="","","CG"&amp;TEXT($B213,"yyyymm")&amp;"-"&amp;TEXT(ROW()-4,"000"))</f>
        <v/>
      </c>
      <c r="B213" s="41"/>
      <c r="C213" s="42" t="str">
        <f aca="false">IF($B213="","",TEXT($B213,"yyyy-mm"))</f>
        <v/>
      </c>
      <c r="D213" s="32"/>
      <c r="E213" s="36"/>
      <c r="F213" s="43"/>
      <c r="G213" s="40"/>
      <c r="H213" s="51"/>
      <c r="I213" s="33"/>
      <c r="J213" s="31"/>
      <c r="K213" s="33"/>
      <c r="L213" s="33"/>
      <c r="M213" s="36"/>
      <c r="N213" s="47" t="str">
        <f aca="false">IF($B213="","",IF(NOT(ISNUMBER($B213)),"日期不是日期格式",IF(YEAR($B213)&lt;&gt;首页!$B$3,"不在会计年度",IF($D213="","未选供应商",IF(ISNA(MATCH($D213,基础资料!$AF$6:$AF$155,0)),"供应商不在档案",IF($E213="","未填商品或内容",IF(NOT(ISNUMBER($F213)),"数量须为数字",IF(NOT(ISNUMBER($G213)),"单价须为数字",IF(N($F213)&lt;=0,"数量须大于0",IF($I213="","请选是否入库",IF(AND($I213="是",ISNA(MATCH($E213,基础资料!$Q$6:$Q$205,0))),"入库商品必须在商品档案中",IF(AND($I213="否",$J213&lt;&gt;"",ISNA(MATCH($J213,科目参数!$A$6:$A$125,0))),"费用科目不存在","√"))))))))))))</f>
        <v/>
      </c>
      <c r="O213" s="49" t="str">
        <f aca="false">IF($E213="","",IFERROR(INDEX(基础资料!$R$6:$R$205,MATCH($E213,基础资料!$Q$6:$Q$205,0)),""))</f>
        <v/>
      </c>
      <c r="P213" s="49" t="str">
        <f aca="false">IF($E213="","",IFERROR(INDEX(基础资料!$S$6:$S$205,MATCH($E213,基础资料!$Q$6:$Q$205,0)),""))</f>
        <v/>
      </c>
      <c r="Q213" s="48" t="str">
        <f aca="false">IF(OR($F213="",$G213=""),"",ROUND(N($F213)*N($G213),2))</f>
        <v/>
      </c>
      <c r="R213" s="48" t="str">
        <f aca="false">IF($Q213="","",ROUND(N($Q213)*N($H213),2))</f>
        <v/>
      </c>
      <c r="S213" s="48" t="str">
        <f aca="false">IF($Q213="","",N($Q213)+N($R213))</f>
        <v/>
      </c>
      <c r="T213" s="52" t="str">
        <f aca="false">IF(OR($B213="",$D213=""),"",$B213+N(IFERROR(INDEX(基础资料!$AH$6:$AH$155,MATCH($D213,基础资料!$AF$6:$AF$155,0)),0)))</f>
        <v/>
      </c>
      <c r="U213" s="49" t="str">
        <f aca="false">IF($Q213="","",IF($I213="是","1405",IF($J213="","6602",$J213)))</f>
        <v/>
      </c>
      <c r="V213" s="49" t="str">
        <f aca="false">IF($Q213="","","2202")</f>
        <v/>
      </c>
      <c r="W213" s="48" t="str">
        <f aca="false">IF($Q213="","",$Q213)</f>
        <v/>
      </c>
      <c r="X213" s="49" t="str">
        <f aca="false">IF(N($R213)=0,"","2221")</f>
        <v/>
      </c>
      <c r="Y213" s="49" t="str">
        <f aca="false">IF(N($R213)=0,"","2202")</f>
        <v/>
      </c>
      <c r="Z213" s="48" t="str">
        <f aca="false">IF(N($R213)=0,"",$R213)</f>
        <v/>
      </c>
      <c r="AA213" s="49" t="str">
        <f aca="false">IF(AND($D213=供应商对账单!$B$3,$B213&gt;=供应商对账单!$E$3,$B213&lt;=供应商对账单!$H$3),COUNTIFS($D$5:$D213,供应商对账单!$B$3,$B$5:$B213,"&gt;="&amp;供应商对账单!$E$3,$B$5:$B213,"&lt;="&amp;供应商对账单!$H$3),"")</f>
        <v/>
      </c>
    </row>
    <row r="214" customFormat="false" ht="15.75" hidden="false" customHeight="true" outlineLevel="0" collapsed="false">
      <c r="A214" s="42" t="str">
        <f aca="false">IF($B214="","","CG"&amp;TEXT($B214,"yyyymm")&amp;"-"&amp;TEXT(ROW()-4,"000"))</f>
        <v/>
      </c>
      <c r="B214" s="41"/>
      <c r="C214" s="42" t="str">
        <f aca="false">IF($B214="","",TEXT($B214,"yyyy-mm"))</f>
        <v/>
      </c>
      <c r="D214" s="32"/>
      <c r="E214" s="36"/>
      <c r="F214" s="43"/>
      <c r="G214" s="40"/>
      <c r="H214" s="51"/>
      <c r="I214" s="33"/>
      <c r="J214" s="31"/>
      <c r="K214" s="33"/>
      <c r="L214" s="33"/>
      <c r="M214" s="36"/>
      <c r="N214" s="47" t="str">
        <f aca="false">IF($B214="","",IF(NOT(ISNUMBER($B214)),"日期不是日期格式",IF(YEAR($B214)&lt;&gt;首页!$B$3,"不在会计年度",IF($D214="","未选供应商",IF(ISNA(MATCH($D214,基础资料!$AF$6:$AF$155,0)),"供应商不在档案",IF($E214="","未填商品或内容",IF(NOT(ISNUMBER($F214)),"数量须为数字",IF(NOT(ISNUMBER($G214)),"单价须为数字",IF(N($F214)&lt;=0,"数量须大于0",IF($I214="","请选是否入库",IF(AND($I214="是",ISNA(MATCH($E214,基础资料!$Q$6:$Q$205,0))),"入库商品必须在商品档案中",IF(AND($I214="否",$J214&lt;&gt;"",ISNA(MATCH($J214,科目参数!$A$6:$A$125,0))),"费用科目不存在","√"))))))))))))</f>
        <v/>
      </c>
      <c r="O214" s="49" t="str">
        <f aca="false">IF($E214="","",IFERROR(INDEX(基础资料!$R$6:$R$205,MATCH($E214,基础资料!$Q$6:$Q$205,0)),""))</f>
        <v/>
      </c>
      <c r="P214" s="49" t="str">
        <f aca="false">IF($E214="","",IFERROR(INDEX(基础资料!$S$6:$S$205,MATCH($E214,基础资料!$Q$6:$Q$205,0)),""))</f>
        <v/>
      </c>
      <c r="Q214" s="48" t="str">
        <f aca="false">IF(OR($F214="",$G214=""),"",ROUND(N($F214)*N($G214),2))</f>
        <v/>
      </c>
      <c r="R214" s="48" t="str">
        <f aca="false">IF($Q214="","",ROUND(N($Q214)*N($H214),2))</f>
        <v/>
      </c>
      <c r="S214" s="48" t="str">
        <f aca="false">IF($Q214="","",N($Q214)+N($R214))</f>
        <v/>
      </c>
      <c r="T214" s="52" t="str">
        <f aca="false">IF(OR($B214="",$D214=""),"",$B214+N(IFERROR(INDEX(基础资料!$AH$6:$AH$155,MATCH($D214,基础资料!$AF$6:$AF$155,0)),0)))</f>
        <v/>
      </c>
      <c r="U214" s="49" t="str">
        <f aca="false">IF($Q214="","",IF($I214="是","1405",IF($J214="","6602",$J214)))</f>
        <v/>
      </c>
      <c r="V214" s="49" t="str">
        <f aca="false">IF($Q214="","","2202")</f>
        <v/>
      </c>
      <c r="W214" s="48" t="str">
        <f aca="false">IF($Q214="","",$Q214)</f>
        <v/>
      </c>
      <c r="X214" s="49" t="str">
        <f aca="false">IF(N($R214)=0,"","2221")</f>
        <v/>
      </c>
      <c r="Y214" s="49" t="str">
        <f aca="false">IF(N($R214)=0,"","2202")</f>
        <v/>
      </c>
      <c r="Z214" s="48" t="str">
        <f aca="false">IF(N($R214)=0,"",$R214)</f>
        <v/>
      </c>
      <c r="AA214" s="49" t="str">
        <f aca="false">IF(AND($D214=供应商对账单!$B$3,$B214&gt;=供应商对账单!$E$3,$B214&lt;=供应商对账单!$H$3),COUNTIFS($D$5:$D214,供应商对账单!$B$3,$B$5:$B214,"&gt;="&amp;供应商对账单!$E$3,$B$5:$B214,"&lt;="&amp;供应商对账单!$H$3),"")</f>
        <v/>
      </c>
    </row>
    <row r="215" customFormat="false" ht="15.75" hidden="false" customHeight="true" outlineLevel="0" collapsed="false">
      <c r="A215" s="42" t="str">
        <f aca="false">IF($B215="","","CG"&amp;TEXT($B215,"yyyymm")&amp;"-"&amp;TEXT(ROW()-4,"000"))</f>
        <v/>
      </c>
      <c r="B215" s="41"/>
      <c r="C215" s="42" t="str">
        <f aca="false">IF($B215="","",TEXT($B215,"yyyy-mm"))</f>
        <v/>
      </c>
      <c r="D215" s="32"/>
      <c r="E215" s="36"/>
      <c r="F215" s="43"/>
      <c r="G215" s="40"/>
      <c r="H215" s="51"/>
      <c r="I215" s="33"/>
      <c r="J215" s="31"/>
      <c r="K215" s="33"/>
      <c r="L215" s="33"/>
      <c r="M215" s="36"/>
      <c r="N215" s="47" t="str">
        <f aca="false">IF($B215="","",IF(NOT(ISNUMBER($B215)),"日期不是日期格式",IF(YEAR($B215)&lt;&gt;首页!$B$3,"不在会计年度",IF($D215="","未选供应商",IF(ISNA(MATCH($D215,基础资料!$AF$6:$AF$155,0)),"供应商不在档案",IF($E215="","未填商品或内容",IF(NOT(ISNUMBER($F215)),"数量须为数字",IF(NOT(ISNUMBER($G215)),"单价须为数字",IF(N($F215)&lt;=0,"数量须大于0",IF($I215="","请选是否入库",IF(AND($I215="是",ISNA(MATCH($E215,基础资料!$Q$6:$Q$205,0))),"入库商品必须在商品档案中",IF(AND($I215="否",$J215&lt;&gt;"",ISNA(MATCH($J215,科目参数!$A$6:$A$125,0))),"费用科目不存在","√"))))))))))))</f>
        <v/>
      </c>
      <c r="O215" s="49" t="str">
        <f aca="false">IF($E215="","",IFERROR(INDEX(基础资料!$R$6:$R$205,MATCH($E215,基础资料!$Q$6:$Q$205,0)),""))</f>
        <v/>
      </c>
      <c r="P215" s="49" t="str">
        <f aca="false">IF($E215="","",IFERROR(INDEX(基础资料!$S$6:$S$205,MATCH($E215,基础资料!$Q$6:$Q$205,0)),""))</f>
        <v/>
      </c>
      <c r="Q215" s="48" t="str">
        <f aca="false">IF(OR($F215="",$G215=""),"",ROUND(N($F215)*N($G215),2))</f>
        <v/>
      </c>
      <c r="R215" s="48" t="str">
        <f aca="false">IF($Q215="","",ROUND(N($Q215)*N($H215),2))</f>
        <v/>
      </c>
      <c r="S215" s="48" t="str">
        <f aca="false">IF($Q215="","",N($Q215)+N($R215))</f>
        <v/>
      </c>
      <c r="T215" s="52" t="str">
        <f aca="false">IF(OR($B215="",$D215=""),"",$B215+N(IFERROR(INDEX(基础资料!$AH$6:$AH$155,MATCH($D215,基础资料!$AF$6:$AF$155,0)),0)))</f>
        <v/>
      </c>
      <c r="U215" s="49" t="str">
        <f aca="false">IF($Q215="","",IF($I215="是","1405",IF($J215="","6602",$J215)))</f>
        <v/>
      </c>
      <c r="V215" s="49" t="str">
        <f aca="false">IF($Q215="","","2202")</f>
        <v/>
      </c>
      <c r="W215" s="48" t="str">
        <f aca="false">IF($Q215="","",$Q215)</f>
        <v/>
      </c>
      <c r="X215" s="49" t="str">
        <f aca="false">IF(N($R215)=0,"","2221")</f>
        <v/>
      </c>
      <c r="Y215" s="49" t="str">
        <f aca="false">IF(N($R215)=0,"","2202")</f>
        <v/>
      </c>
      <c r="Z215" s="48" t="str">
        <f aca="false">IF(N($R215)=0,"",$R215)</f>
        <v/>
      </c>
      <c r="AA215" s="49" t="str">
        <f aca="false">IF(AND($D215=供应商对账单!$B$3,$B215&gt;=供应商对账单!$E$3,$B215&lt;=供应商对账单!$H$3),COUNTIFS($D$5:$D215,供应商对账单!$B$3,$B$5:$B215,"&gt;="&amp;供应商对账单!$E$3,$B$5:$B215,"&lt;="&amp;供应商对账单!$H$3),"")</f>
        <v/>
      </c>
    </row>
    <row r="216" customFormat="false" ht="15.75" hidden="false" customHeight="true" outlineLevel="0" collapsed="false">
      <c r="A216" s="42" t="str">
        <f aca="false">IF($B216="","","CG"&amp;TEXT($B216,"yyyymm")&amp;"-"&amp;TEXT(ROW()-4,"000"))</f>
        <v/>
      </c>
      <c r="B216" s="41"/>
      <c r="C216" s="42" t="str">
        <f aca="false">IF($B216="","",TEXT($B216,"yyyy-mm"))</f>
        <v/>
      </c>
      <c r="D216" s="32"/>
      <c r="E216" s="36"/>
      <c r="F216" s="43"/>
      <c r="G216" s="40"/>
      <c r="H216" s="51"/>
      <c r="I216" s="33"/>
      <c r="J216" s="31"/>
      <c r="K216" s="33"/>
      <c r="L216" s="33"/>
      <c r="M216" s="36"/>
      <c r="N216" s="47" t="str">
        <f aca="false">IF($B216="","",IF(NOT(ISNUMBER($B216)),"日期不是日期格式",IF(YEAR($B216)&lt;&gt;首页!$B$3,"不在会计年度",IF($D216="","未选供应商",IF(ISNA(MATCH($D216,基础资料!$AF$6:$AF$155,0)),"供应商不在档案",IF($E216="","未填商品或内容",IF(NOT(ISNUMBER($F216)),"数量须为数字",IF(NOT(ISNUMBER($G216)),"单价须为数字",IF(N($F216)&lt;=0,"数量须大于0",IF($I216="","请选是否入库",IF(AND($I216="是",ISNA(MATCH($E216,基础资料!$Q$6:$Q$205,0))),"入库商品必须在商品档案中",IF(AND($I216="否",$J216&lt;&gt;"",ISNA(MATCH($J216,科目参数!$A$6:$A$125,0))),"费用科目不存在","√"))))))))))))</f>
        <v/>
      </c>
      <c r="O216" s="49" t="str">
        <f aca="false">IF($E216="","",IFERROR(INDEX(基础资料!$R$6:$R$205,MATCH($E216,基础资料!$Q$6:$Q$205,0)),""))</f>
        <v/>
      </c>
      <c r="P216" s="49" t="str">
        <f aca="false">IF($E216="","",IFERROR(INDEX(基础资料!$S$6:$S$205,MATCH($E216,基础资料!$Q$6:$Q$205,0)),""))</f>
        <v/>
      </c>
      <c r="Q216" s="48" t="str">
        <f aca="false">IF(OR($F216="",$G216=""),"",ROUND(N($F216)*N($G216),2))</f>
        <v/>
      </c>
      <c r="R216" s="48" t="str">
        <f aca="false">IF($Q216="","",ROUND(N($Q216)*N($H216),2))</f>
        <v/>
      </c>
      <c r="S216" s="48" t="str">
        <f aca="false">IF($Q216="","",N($Q216)+N($R216))</f>
        <v/>
      </c>
      <c r="T216" s="52" t="str">
        <f aca="false">IF(OR($B216="",$D216=""),"",$B216+N(IFERROR(INDEX(基础资料!$AH$6:$AH$155,MATCH($D216,基础资料!$AF$6:$AF$155,0)),0)))</f>
        <v/>
      </c>
      <c r="U216" s="49" t="str">
        <f aca="false">IF($Q216="","",IF($I216="是","1405",IF($J216="","6602",$J216)))</f>
        <v/>
      </c>
      <c r="V216" s="49" t="str">
        <f aca="false">IF($Q216="","","2202")</f>
        <v/>
      </c>
      <c r="W216" s="48" t="str">
        <f aca="false">IF($Q216="","",$Q216)</f>
        <v/>
      </c>
      <c r="X216" s="49" t="str">
        <f aca="false">IF(N($R216)=0,"","2221")</f>
        <v/>
      </c>
      <c r="Y216" s="49" t="str">
        <f aca="false">IF(N($R216)=0,"","2202")</f>
        <v/>
      </c>
      <c r="Z216" s="48" t="str">
        <f aca="false">IF(N($R216)=0,"",$R216)</f>
        <v/>
      </c>
      <c r="AA216" s="49" t="str">
        <f aca="false">IF(AND($D216=供应商对账单!$B$3,$B216&gt;=供应商对账单!$E$3,$B216&lt;=供应商对账单!$H$3),COUNTIFS($D$5:$D216,供应商对账单!$B$3,$B$5:$B216,"&gt;="&amp;供应商对账单!$E$3,$B$5:$B216,"&lt;="&amp;供应商对账单!$H$3),"")</f>
        <v/>
      </c>
    </row>
    <row r="217" customFormat="false" ht="15.75" hidden="false" customHeight="true" outlineLevel="0" collapsed="false">
      <c r="A217" s="42" t="str">
        <f aca="false">IF($B217="","","CG"&amp;TEXT($B217,"yyyymm")&amp;"-"&amp;TEXT(ROW()-4,"000"))</f>
        <v/>
      </c>
      <c r="B217" s="41"/>
      <c r="C217" s="42" t="str">
        <f aca="false">IF($B217="","",TEXT($B217,"yyyy-mm"))</f>
        <v/>
      </c>
      <c r="D217" s="32"/>
      <c r="E217" s="36"/>
      <c r="F217" s="43"/>
      <c r="G217" s="40"/>
      <c r="H217" s="51"/>
      <c r="I217" s="33"/>
      <c r="J217" s="31"/>
      <c r="K217" s="33"/>
      <c r="L217" s="33"/>
      <c r="M217" s="36"/>
      <c r="N217" s="47" t="str">
        <f aca="false">IF($B217="","",IF(NOT(ISNUMBER($B217)),"日期不是日期格式",IF(YEAR($B217)&lt;&gt;首页!$B$3,"不在会计年度",IF($D217="","未选供应商",IF(ISNA(MATCH($D217,基础资料!$AF$6:$AF$155,0)),"供应商不在档案",IF($E217="","未填商品或内容",IF(NOT(ISNUMBER($F217)),"数量须为数字",IF(NOT(ISNUMBER($G217)),"单价须为数字",IF(N($F217)&lt;=0,"数量须大于0",IF($I217="","请选是否入库",IF(AND($I217="是",ISNA(MATCH($E217,基础资料!$Q$6:$Q$205,0))),"入库商品必须在商品档案中",IF(AND($I217="否",$J217&lt;&gt;"",ISNA(MATCH($J217,科目参数!$A$6:$A$125,0))),"费用科目不存在","√"))))))))))))</f>
        <v/>
      </c>
      <c r="O217" s="49" t="str">
        <f aca="false">IF($E217="","",IFERROR(INDEX(基础资料!$R$6:$R$205,MATCH($E217,基础资料!$Q$6:$Q$205,0)),""))</f>
        <v/>
      </c>
      <c r="P217" s="49" t="str">
        <f aca="false">IF($E217="","",IFERROR(INDEX(基础资料!$S$6:$S$205,MATCH($E217,基础资料!$Q$6:$Q$205,0)),""))</f>
        <v/>
      </c>
      <c r="Q217" s="48" t="str">
        <f aca="false">IF(OR($F217="",$G217=""),"",ROUND(N($F217)*N($G217),2))</f>
        <v/>
      </c>
      <c r="R217" s="48" t="str">
        <f aca="false">IF($Q217="","",ROUND(N($Q217)*N($H217),2))</f>
        <v/>
      </c>
      <c r="S217" s="48" t="str">
        <f aca="false">IF($Q217="","",N($Q217)+N($R217))</f>
        <v/>
      </c>
      <c r="T217" s="52" t="str">
        <f aca="false">IF(OR($B217="",$D217=""),"",$B217+N(IFERROR(INDEX(基础资料!$AH$6:$AH$155,MATCH($D217,基础资料!$AF$6:$AF$155,0)),0)))</f>
        <v/>
      </c>
      <c r="U217" s="49" t="str">
        <f aca="false">IF($Q217="","",IF($I217="是","1405",IF($J217="","6602",$J217)))</f>
        <v/>
      </c>
      <c r="V217" s="49" t="str">
        <f aca="false">IF($Q217="","","2202")</f>
        <v/>
      </c>
      <c r="W217" s="48" t="str">
        <f aca="false">IF($Q217="","",$Q217)</f>
        <v/>
      </c>
      <c r="X217" s="49" t="str">
        <f aca="false">IF(N($R217)=0,"","2221")</f>
        <v/>
      </c>
      <c r="Y217" s="49" t="str">
        <f aca="false">IF(N($R217)=0,"","2202")</f>
        <v/>
      </c>
      <c r="Z217" s="48" t="str">
        <f aca="false">IF(N($R217)=0,"",$R217)</f>
        <v/>
      </c>
      <c r="AA217" s="49" t="str">
        <f aca="false">IF(AND($D217=供应商对账单!$B$3,$B217&gt;=供应商对账单!$E$3,$B217&lt;=供应商对账单!$H$3),COUNTIFS($D$5:$D217,供应商对账单!$B$3,$B$5:$B217,"&gt;="&amp;供应商对账单!$E$3,$B$5:$B217,"&lt;="&amp;供应商对账单!$H$3),"")</f>
        <v/>
      </c>
    </row>
    <row r="218" customFormat="false" ht="15.75" hidden="false" customHeight="true" outlineLevel="0" collapsed="false">
      <c r="A218" s="42" t="str">
        <f aca="false">IF($B218="","","CG"&amp;TEXT($B218,"yyyymm")&amp;"-"&amp;TEXT(ROW()-4,"000"))</f>
        <v/>
      </c>
      <c r="B218" s="41"/>
      <c r="C218" s="42" t="str">
        <f aca="false">IF($B218="","",TEXT($B218,"yyyy-mm"))</f>
        <v/>
      </c>
      <c r="D218" s="32"/>
      <c r="E218" s="36"/>
      <c r="F218" s="43"/>
      <c r="G218" s="40"/>
      <c r="H218" s="51"/>
      <c r="I218" s="33"/>
      <c r="J218" s="31"/>
      <c r="K218" s="33"/>
      <c r="L218" s="33"/>
      <c r="M218" s="36"/>
      <c r="N218" s="47" t="str">
        <f aca="false">IF($B218="","",IF(NOT(ISNUMBER($B218)),"日期不是日期格式",IF(YEAR($B218)&lt;&gt;首页!$B$3,"不在会计年度",IF($D218="","未选供应商",IF(ISNA(MATCH($D218,基础资料!$AF$6:$AF$155,0)),"供应商不在档案",IF($E218="","未填商品或内容",IF(NOT(ISNUMBER($F218)),"数量须为数字",IF(NOT(ISNUMBER($G218)),"单价须为数字",IF(N($F218)&lt;=0,"数量须大于0",IF($I218="","请选是否入库",IF(AND($I218="是",ISNA(MATCH($E218,基础资料!$Q$6:$Q$205,0))),"入库商品必须在商品档案中",IF(AND($I218="否",$J218&lt;&gt;"",ISNA(MATCH($J218,科目参数!$A$6:$A$125,0))),"费用科目不存在","√"))))))))))))</f>
        <v/>
      </c>
      <c r="O218" s="49" t="str">
        <f aca="false">IF($E218="","",IFERROR(INDEX(基础资料!$R$6:$R$205,MATCH($E218,基础资料!$Q$6:$Q$205,0)),""))</f>
        <v/>
      </c>
      <c r="P218" s="49" t="str">
        <f aca="false">IF($E218="","",IFERROR(INDEX(基础资料!$S$6:$S$205,MATCH($E218,基础资料!$Q$6:$Q$205,0)),""))</f>
        <v/>
      </c>
      <c r="Q218" s="48" t="str">
        <f aca="false">IF(OR($F218="",$G218=""),"",ROUND(N($F218)*N($G218),2))</f>
        <v/>
      </c>
      <c r="R218" s="48" t="str">
        <f aca="false">IF($Q218="","",ROUND(N($Q218)*N($H218),2))</f>
        <v/>
      </c>
      <c r="S218" s="48" t="str">
        <f aca="false">IF($Q218="","",N($Q218)+N($R218))</f>
        <v/>
      </c>
      <c r="T218" s="52" t="str">
        <f aca="false">IF(OR($B218="",$D218=""),"",$B218+N(IFERROR(INDEX(基础资料!$AH$6:$AH$155,MATCH($D218,基础资料!$AF$6:$AF$155,0)),0)))</f>
        <v/>
      </c>
      <c r="U218" s="49" t="str">
        <f aca="false">IF($Q218="","",IF($I218="是","1405",IF($J218="","6602",$J218)))</f>
        <v/>
      </c>
      <c r="V218" s="49" t="str">
        <f aca="false">IF($Q218="","","2202")</f>
        <v/>
      </c>
      <c r="W218" s="48" t="str">
        <f aca="false">IF($Q218="","",$Q218)</f>
        <v/>
      </c>
      <c r="X218" s="49" t="str">
        <f aca="false">IF(N($R218)=0,"","2221")</f>
        <v/>
      </c>
      <c r="Y218" s="49" t="str">
        <f aca="false">IF(N($R218)=0,"","2202")</f>
        <v/>
      </c>
      <c r="Z218" s="48" t="str">
        <f aca="false">IF(N($R218)=0,"",$R218)</f>
        <v/>
      </c>
      <c r="AA218" s="49" t="str">
        <f aca="false">IF(AND($D218=供应商对账单!$B$3,$B218&gt;=供应商对账单!$E$3,$B218&lt;=供应商对账单!$H$3),COUNTIFS($D$5:$D218,供应商对账单!$B$3,$B$5:$B218,"&gt;="&amp;供应商对账单!$E$3,$B$5:$B218,"&lt;="&amp;供应商对账单!$H$3),"")</f>
        <v/>
      </c>
    </row>
    <row r="219" customFormat="false" ht="15.75" hidden="false" customHeight="true" outlineLevel="0" collapsed="false">
      <c r="A219" s="42" t="str">
        <f aca="false">IF($B219="","","CG"&amp;TEXT($B219,"yyyymm")&amp;"-"&amp;TEXT(ROW()-4,"000"))</f>
        <v/>
      </c>
      <c r="B219" s="41"/>
      <c r="C219" s="42" t="str">
        <f aca="false">IF($B219="","",TEXT($B219,"yyyy-mm"))</f>
        <v/>
      </c>
      <c r="D219" s="32"/>
      <c r="E219" s="36"/>
      <c r="F219" s="43"/>
      <c r="G219" s="40"/>
      <c r="H219" s="51"/>
      <c r="I219" s="33"/>
      <c r="J219" s="31"/>
      <c r="K219" s="33"/>
      <c r="L219" s="33"/>
      <c r="M219" s="36"/>
      <c r="N219" s="47" t="str">
        <f aca="false">IF($B219="","",IF(NOT(ISNUMBER($B219)),"日期不是日期格式",IF(YEAR($B219)&lt;&gt;首页!$B$3,"不在会计年度",IF($D219="","未选供应商",IF(ISNA(MATCH($D219,基础资料!$AF$6:$AF$155,0)),"供应商不在档案",IF($E219="","未填商品或内容",IF(NOT(ISNUMBER($F219)),"数量须为数字",IF(NOT(ISNUMBER($G219)),"单价须为数字",IF(N($F219)&lt;=0,"数量须大于0",IF($I219="","请选是否入库",IF(AND($I219="是",ISNA(MATCH($E219,基础资料!$Q$6:$Q$205,0))),"入库商品必须在商品档案中",IF(AND($I219="否",$J219&lt;&gt;"",ISNA(MATCH($J219,科目参数!$A$6:$A$125,0))),"费用科目不存在","√"))))))))))))</f>
        <v/>
      </c>
      <c r="O219" s="49" t="str">
        <f aca="false">IF($E219="","",IFERROR(INDEX(基础资料!$R$6:$R$205,MATCH($E219,基础资料!$Q$6:$Q$205,0)),""))</f>
        <v/>
      </c>
      <c r="P219" s="49" t="str">
        <f aca="false">IF($E219="","",IFERROR(INDEX(基础资料!$S$6:$S$205,MATCH($E219,基础资料!$Q$6:$Q$205,0)),""))</f>
        <v/>
      </c>
      <c r="Q219" s="48" t="str">
        <f aca="false">IF(OR($F219="",$G219=""),"",ROUND(N($F219)*N($G219),2))</f>
        <v/>
      </c>
      <c r="R219" s="48" t="str">
        <f aca="false">IF($Q219="","",ROUND(N($Q219)*N($H219),2))</f>
        <v/>
      </c>
      <c r="S219" s="48" t="str">
        <f aca="false">IF($Q219="","",N($Q219)+N($R219))</f>
        <v/>
      </c>
      <c r="T219" s="52" t="str">
        <f aca="false">IF(OR($B219="",$D219=""),"",$B219+N(IFERROR(INDEX(基础资料!$AH$6:$AH$155,MATCH($D219,基础资料!$AF$6:$AF$155,0)),0)))</f>
        <v/>
      </c>
      <c r="U219" s="49" t="str">
        <f aca="false">IF($Q219="","",IF($I219="是","1405",IF($J219="","6602",$J219)))</f>
        <v/>
      </c>
      <c r="V219" s="49" t="str">
        <f aca="false">IF($Q219="","","2202")</f>
        <v/>
      </c>
      <c r="W219" s="48" t="str">
        <f aca="false">IF($Q219="","",$Q219)</f>
        <v/>
      </c>
      <c r="X219" s="49" t="str">
        <f aca="false">IF(N($R219)=0,"","2221")</f>
        <v/>
      </c>
      <c r="Y219" s="49" t="str">
        <f aca="false">IF(N($R219)=0,"","2202")</f>
        <v/>
      </c>
      <c r="Z219" s="48" t="str">
        <f aca="false">IF(N($R219)=0,"",$R219)</f>
        <v/>
      </c>
      <c r="AA219" s="49" t="str">
        <f aca="false">IF(AND($D219=供应商对账单!$B$3,$B219&gt;=供应商对账单!$E$3,$B219&lt;=供应商对账单!$H$3),COUNTIFS($D$5:$D219,供应商对账单!$B$3,$B$5:$B219,"&gt;="&amp;供应商对账单!$E$3,$B$5:$B219,"&lt;="&amp;供应商对账单!$H$3),"")</f>
        <v/>
      </c>
    </row>
    <row r="220" customFormat="false" ht="15.75" hidden="false" customHeight="true" outlineLevel="0" collapsed="false">
      <c r="A220" s="42" t="str">
        <f aca="false">IF($B220="","","CG"&amp;TEXT($B220,"yyyymm")&amp;"-"&amp;TEXT(ROW()-4,"000"))</f>
        <v/>
      </c>
      <c r="B220" s="41"/>
      <c r="C220" s="42" t="str">
        <f aca="false">IF($B220="","",TEXT($B220,"yyyy-mm"))</f>
        <v/>
      </c>
      <c r="D220" s="32"/>
      <c r="E220" s="36"/>
      <c r="F220" s="43"/>
      <c r="G220" s="40"/>
      <c r="H220" s="51"/>
      <c r="I220" s="33"/>
      <c r="J220" s="31"/>
      <c r="K220" s="33"/>
      <c r="L220" s="33"/>
      <c r="M220" s="36"/>
      <c r="N220" s="47" t="str">
        <f aca="false">IF($B220="","",IF(NOT(ISNUMBER($B220)),"日期不是日期格式",IF(YEAR($B220)&lt;&gt;首页!$B$3,"不在会计年度",IF($D220="","未选供应商",IF(ISNA(MATCH($D220,基础资料!$AF$6:$AF$155,0)),"供应商不在档案",IF($E220="","未填商品或内容",IF(NOT(ISNUMBER($F220)),"数量须为数字",IF(NOT(ISNUMBER($G220)),"单价须为数字",IF(N($F220)&lt;=0,"数量须大于0",IF($I220="","请选是否入库",IF(AND($I220="是",ISNA(MATCH($E220,基础资料!$Q$6:$Q$205,0))),"入库商品必须在商品档案中",IF(AND($I220="否",$J220&lt;&gt;"",ISNA(MATCH($J220,科目参数!$A$6:$A$125,0))),"费用科目不存在","√"))))))))))))</f>
        <v/>
      </c>
      <c r="O220" s="49" t="str">
        <f aca="false">IF($E220="","",IFERROR(INDEX(基础资料!$R$6:$R$205,MATCH($E220,基础资料!$Q$6:$Q$205,0)),""))</f>
        <v/>
      </c>
      <c r="P220" s="49" t="str">
        <f aca="false">IF($E220="","",IFERROR(INDEX(基础资料!$S$6:$S$205,MATCH($E220,基础资料!$Q$6:$Q$205,0)),""))</f>
        <v/>
      </c>
      <c r="Q220" s="48" t="str">
        <f aca="false">IF(OR($F220="",$G220=""),"",ROUND(N($F220)*N($G220),2))</f>
        <v/>
      </c>
      <c r="R220" s="48" t="str">
        <f aca="false">IF($Q220="","",ROUND(N($Q220)*N($H220),2))</f>
        <v/>
      </c>
      <c r="S220" s="48" t="str">
        <f aca="false">IF($Q220="","",N($Q220)+N($R220))</f>
        <v/>
      </c>
      <c r="T220" s="52" t="str">
        <f aca="false">IF(OR($B220="",$D220=""),"",$B220+N(IFERROR(INDEX(基础资料!$AH$6:$AH$155,MATCH($D220,基础资料!$AF$6:$AF$155,0)),0)))</f>
        <v/>
      </c>
      <c r="U220" s="49" t="str">
        <f aca="false">IF($Q220="","",IF($I220="是","1405",IF($J220="","6602",$J220)))</f>
        <v/>
      </c>
      <c r="V220" s="49" t="str">
        <f aca="false">IF($Q220="","","2202")</f>
        <v/>
      </c>
      <c r="W220" s="48" t="str">
        <f aca="false">IF($Q220="","",$Q220)</f>
        <v/>
      </c>
      <c r="X220" s="49" t="str">
        <f aca="false">IF(N($R220)=0,"","2221")</f>
        <v/>
      </c>
      <c r="Y220" s="49" t="str">
        <f aca="false">IF(N($R220)=0,"","2202")</f>
        <v/>
      </c>
      <c r="Z220" s="48" t="str">
        <f aca="false">IF(N($R220)=0,"",$R220)</f>
        <v/>
      </c>
      <c r="AA220" s="49" t="str">
        <f aca="false">IF(AND($D220=供应商对账单!$B$3,$B220&gt;=供应商对账单!$E$3,$B220&lt;=供应商对账单!$H$3),COUNTIFS($D$5:$D220,供应商对账单!$B$3,$B$5:$B220,"&gt;="&amp;供应商对账单!$E$3,$B$5:$B220,"&lt;="&amp;供应商对账单!$H$3),"")</f>
        <v/>
      </c>
    </row>
    <row r="221" customFormat="false" ht="15.75" hidden="false" customHeight="true" outlineLevel="0" collapsed="false">
      <c r="A221" s="42" t="str">
        <f aca="false">IF($B221="","","CG"&amp;TEXT($B221,"yyyymm")&amp;"-"&amp;TEXT(ROW()-4,"000"))</f>
        <v/>
      </c>
      <c r="B221" s="41"/>
      <c r="C221" s="42" t="str">
        <f aca="false">IF($B221="","",TEXT($B221,"yyyy-mm"))</f>
        <v/>
      </c>
      <c r="D221" s="32"/>
      <c r="E221" s="36"/>
      <c r="F221" s="43"/>
      <c r="G221" s="40"/>
      <c r="H221" s="51"/>
      <c r="I221" s="33"/>
      <c r="J221" s="31"/>
      <c r="K221" s="33"/>
      <c r="L221" s="33"/>
      <c r="M221" s="36"/>
      <c r="N221" s="47" t="str">
        <f aca="false">IF($B221="","",IF(NOT(ISNUMBER($B221)),"日期不是日期格式",IF(YEAR($B221)&lt;&gt;首页!$B$3,"不在会计年度",IF($D221="","未选供应商",IF(ISNA(MATCH($D221,基础资料!$AF$6:$AF$155,0)),"供应商不在档案",IF($E221="","未填商品或内容",IF(NOT(ISNUMBER($F221)),"数量须为数字",IF(NOT(ISNUMBER($G221)),"单价须为数字",IF(N($F221)&lt;=0,"数量须大于0",IF($I221="","请选是否入库",IF(AND($I221="是",ISNA(MATCH($E221,基础资料!$Q$6:$Q$205,0))),"入库商品必须在商品档案中",IF(AND($I221="否",$J221&lt;&gt;"",ISNA(MATCH($J221,科目参数!$A$6:$A$125,0))),"费用科目不存在","√"))))))))))))</f>
        <v/>
      </c>
      <c r="O221" s="49" t="str">
        <f aca="false">IF($E221="","",IFERROR(INDEX(基础资料!$R$6:$R$205,MATCH($E221,基础资料!$Q$6:$Q$205,0)),""))</f>
        <v/>
      </c>
      <c r="P221" s="49" t="str">
        <f aca="false">IF($E221="","",IFERROR(INDEX(基础资料!$S$6:$S$205,MATCH($E221,基础资料!$Q$6:$Q$205,0)),""))</f>
        <v/>
      </c>
      <c r="Q221" s="48" t="str">
        <f aca="false">IF(OR($F221="",$G221=""),"",ROUND(N($F221)*N($G221),2))</f>
        <v/>
      </c>
      <c r="R221" s="48" t="str">
        <f aca="false">IF($Q221="","",ROUND(N($Q221)*N($H221),2))</f>
        <v/>
      </c>
      <c r="S221" s="48" t="str">
        <f aca="false">IF($Q221="","",N($Q221)+N($R221))</f>
        <v/>
      </c>
      <c r="T221" s="52" t="str">
        <f aca="false">IF(OR($B221="",$D221=""),"",$B221+N(IFERROR(INDEX(基础资料!$AH$6:$AH$155,MATCH($D221,基础资料!$AF$6:$AF$155,0)),0)))</f>
        <v/>
      </c>
      <c r="U221" s="49" t="str">
        <f aca="false">IF($Q221="","",IF($I221="是","1405",IF($J221="","6602",$J221)))</f>
        <v/>
      </c>
      <c r="V221" s="49" t="str">
        <f aca="false">IF($Q221="","","2202")</f>
        <v/>
      </c>
      <c r="W221" s="48" t="str">
        <f aca="false">IF($Q221="","",$Q221)</f>
        <v/>
      </c>
      <c r="X221" s="49" t="str">
        <f aca="false">IF(N($R221)=0,"","2221")</f>
        <v/>
      </c>
      <c r="Y221" s="49" t="str">
        <f aca="false">IF(N($R221)=0,"","2202")</f>
        <v/>
      </c>
      <c r="Z221" s="48" t="str">
        <f aca="false">IF(N($R221)=0,"",$R221)</f>
        <v/>
      </c>
      <c r="AA221" s="49" t="str">
        <f aca="false">IF(AND($D221=供应商对账单!$B$3,$B221&gt;=供应商对账单!$E$3,$B221&lt;=供应商对账单!$H$3),COUNTIFS($D$5:$D221,供应商对账单!$B$3,$B$5:$B221,"&gt;="&amp;供应商对账单!$E$3,$B$5:$B221,"&lt;="&amp;供应商对账单!$H$3),"")</f>
        <v/>
      </c>
    </row>
    <row r="222" customFormat="false" ht="15.75" hidden="false" customHeight="true" outlineLevel="0" collapsed="false">
      <c r="A222" s="42" t="str">
        <f aca="false">IF($B222="","","CG"&amp;TEXT($B222,"yyyymm")&amp;"-"&amp;TEXT(ROW()-4,"000"))</f>
        <v/>
      </c>
      <c r="B222" s="41"/>
      <c r="C222" s="42" t="str">
        <f aca="false">IF($B222="","",TEXT($B222,"yyyy-mm"))</f>
        <v/>
      </c>
      <c r="D222" s="32"/>
      <c r="E222" s="36"/>
      <c r="F222" s="43"/>
      <c r="G222" s="40"/>
      <c r="H222" s="51"/>
      <c r="I222" s="33"/>
      <c r="J222" s="31"/>
      <c r="K222" s="33"/>
      <c r="L222" s="33"/>
      <c r="M222" s="36"/>
      <c r="N222" s="47" t="str">
        <f aca="false">IF($B222="","",IF(NOT(ISNUMBER($B222)),"日期不是日期格式",IF(YEAR($B222)&lt;&gt;首页!$B$3,"不在会计年度",IF($D222="","未选供应商",IF(ISNA(MATCH($D222,基础资料!$AF$6:$AF$155,0)),"供应商不在档案",IF($E222="","未填商品或内容",IF(NOT(ISNUMBER($F222)),"数量须为数字",IF(NOT(ISNUMBER($G222)),"单价须为数字",IF(N($F222)&lt;=0,"数量须大于0",IF($I222="","请选是否入库",IF(AND($I222="是",ISNA(MATCH($E222,基础资料!$Q$6:$Q$205,0))),"入库商品必须在商品档案中",IF(AND($I222="否",$J222&lt;&gt;"",ISNA(MATCH($J222,科目参数!$A$6:$A$125,0))),"费用科目不存在","√"))))))))))))</f>
        <v/>
      </c>
      <c r="O222" s="49" t="str">
        <f aca="false">IF($E222="","",IFERROR(INDEX(基础资料!$R$6:$R$205,MATCH($E222,基础资料!$Q$6:$Q$205,0)),""))</f>
        <v/>
      </c>
      <c r="P222" s="49" t="str">
        <f aca="false">IF($E222="","",IFERROR(INDEX(基础资料!$S$6:$S$205,MATCH($E222,基础资料!$Q$6:$Q$205,0)),""))</f>
        <v/>
      </c>
      <c r="Q222" s="48" t="str">
        <f aca="false">IF(OR($F222="",$G222=""),"",ROUND(N($F222)*N($G222),2))</f>
        <v/>
      </c>
      <c r="R222" s="48" t="str">
        <f aca="false">IF($Q222="","",ROUND(N($Q222)*N($H222),2))</f>
        <v/>
      </c>
      <c r="S222" s="48" t="str">
        <f aca="false">IF($Q222="","",N($Q222)+N($R222))</f>
        <v/>
      </c>
      <c r="T222" s="52" t="str">
        <f aca="false">IF(OR($B222="",$D222=""),"",$B222+N(IFERROR(INDEX(基础资料!$AH$6:$AH$155,MATCH($D222,基础资料!$AF$6:$AF$155,0)),0)))</f>
        <v/>
      </c>
      <c r="U222" s="49" t="str">
        <f aca="false">IF($Q222="","",IF($I222="是","1405",IF($J222="","6602",$J222)))</f>
        <v/>
      </c>
      <c r="V222" s="49" t="str">
        <f aca="false">IF($Q222="","","2202")</f>
        <v/>
      </c>
      <c r="W222" s="48" t="str">
        <f aca="false">IF($Q222="","",$Q222)</f>
        <v/>
      </c>
      <c r="X222" s="49" t="str">
        <f aca="false">IF(N($R222)=0,"","2221")</f>
        <v/>
      </c>
      <c r="Y222" s="49" t="str">
        <f aca="false">IF(N($R222)=0,"","2202")</f>
        <v/>
      </c>
      <c r="Z222" s="48" t="str">
        <f aca="false">IF(N($R222)=0,"",$R222)</f>
        <v/>
      </c>
      <c r="AA222" s="49" t="str">
        <f aca="false">IF(AND($D222=供应商对账单!$B$3,$B222&gt;=供应商对账单!$E$3,$B222&lt;=供应商对账单!$H$3),COUNTIFS($D$5:$D222,供应商对账单!$B$3,$B$5:$B222,"&gt;="&amp;供应商对账单!$E$3,$B$5:$B222,"&lt;="&amp;供应商对账单!$H$3),"")</f>
        <v/>
      </c>
    </row>
    <row r="223" customFormat="false" ht="15.75" hidden="false" customHeight="true" outlineLevel="0" collapsed="false">
      <c r="A223" s="42" t="str">
        <f aca="false">IF($B223="","","CG"&amp;TEXT($B223,"yyyymm")&amp;"-"&amp;TEXT(ROW()-4,"000"))</f>
        <v/>
      </c>
      <c r="B223" s="41"/>
      <c r="C223" s="42" t="str">
        <f aca="false">IF($B223="","",TEXT($B223,"yyyy-mm"))</f>
        <v/>
      </c>
      <c r="D223" s="32"/>
      <c r="E223" s="36"/>
      <c r="F223" s="43"/>
      <c r="G223" s="40"/>
      <c r="H223" s="51"/>
      <c r="I223" s="33"/>
      <c r="J223" s="31"/>
      <c r="K223" s="33"/>
      <c r="L223" s="33"/>
      <c r="M223" s="36"/>
      <c r="N223" s="47" t="str">
        <f aca="false">IF($B223="","",IF(NOT(ISNUMBER($B223)),"日期不是日期格式",IF(YEAR($B223)&lt;&gt;首页!$B$3,"不在会计年度",IF($D223="","未选供应商",IF(ISNA(MATCH($D223,基础资料!$AF$6:$AF$155,0)),"供应商不在档案",IF($E223="","未填商品或内容",IF(NOT(ISNUMBER($F223)),"数量须为数字",IF(NOT(ISNUMBER($G223)),"单价须为数字",IF(N($F223)&lt;=0,"数量须大于0",IF($I223="","请选是否入库",IF(AND($I223="是",ISNA(MATCH($E223,基础资料!$Q$6:$Q$205,0))),"入库商品必须在商品档案中",IF(AND($I223="否",$J223&lt;&gt;"",ISNA(MATCH($J223,科目参数!$A$6:$A$125,0))),"费用科目不存在","√"))))))))))))</f>
        <v/>
      </c>
      <c r="O223" s="49" t="str">
        <f aca="false">IF($E223="","",IFERROR(INDEX(基础资料!$R$6:$R$205,MATCH($E223,基础资料!$Q$6:$Q$205,0)),""))</f>
        <v/>
      </c>
      <c r="P223" s="49" t="str">
        <f aca="false">IF($E223="","",IFERROR(INDEX(基础资料!$S$6:$S$205,MATCH($E223,基础资料!$Q$6:$Q$205,0)),""))</f>
        <v/>
      </c>
      <c r="Q223" s="48" t="str">
        <f aca="false">IF(OR($F223="",$G223=""),"",ROUND(N($F223)*N($G223),2))</f>
        <v/>
      </c>
      <c r="R223" s="48" t="str">
        <f aca="false">IF($Q223="","",ROUND(N($Q223)*N($H223),2))</f>
        <v/>
      </c>
      <c r="S223" s="48" t="str">
        <f aca="false">IF($Q223="","",N($Q223)+N($R223))</f>
        <v/>
      </c>
      <c r="T223" s="52" t="str">
        <f aca="false">IF(OR($B223="",$D223=""),"",$B223+N(IFERROR(INDEX(基础资料!$AH$6:$AH$155,MATCH($D223,基础资料!$AF$6:$AF$155,0)),0)))</f>
        <v/>
      </c>
      <c r="U223" s="49" t="str">
        <f aca="false">IF($Q223="","",IF($I223="是","1405",IF($J223="","6602",$J223)))</f>
        <v/>
      </c>
      <c r="V223" s="49" t="str">
        <f aca="false">IF($Q223="","","2202")</f>
        <v/>
      </c>
      <c r="W223" s="48" t="str">
        <f aca="false">IF($Q223="","",$Q223)</f>
        <v/>
      </c>
      <c r="X223" s="49" t="str">
        <f aca="false">IF(N($R223)=0,"","2221")</f>
        <v/>
      </c>
      <c r="Y223" s="49" t="str">
        <f aca="false">IF(N($R223)=0,"","2202")</f>
        <v/>
      </c>
      <c r="Z223" s="48" t="str">
        <f aca="false">IF(N($R223)=0,"",$R223)</f>
        <v/>
      </c>
      <c r="AA223" s="49" t="str">
        <f aca="false">IF(AND($D223=供应商对账单!$B$3,$B223&gt;=供应商对账单!$E$3,$B223&lt;=供应商对账单!$H$3),COUNTIFS($D$5:$D223,供应商对账单!$B$3,$B$5:$B223,"&gt;="&amp;供应商对账单!$E$3,$B$5:$B223,"&lt;="&amp;供应商对账单!$H$3),"")</f>
        <v/>
      </c>
    </row>
    <row r="224" customFormat="false" ht="15.75" hidden="false" customHeight="true" outlineLevel="0" collapsed="false">
      <c r="A224" s="42" t="str">
        <f aca="false">IF($B224="","","CG"&amp;TEXT($B224,"yyyymm")&amp;"-"&amp;TEXT(ROW()-4,"000"))</f>
        <v/>
      </c>
      <c r="B224" s="41"/>
      <c r="C224" s="42" t="str">
        <f aca="false">IF($B224="","",TEXT($B224,"yyyy-mm"))</f>
        <v/>
      </c>
      <c r="D224" s="32"/>
      <c r="E224" s="36"/>
      <c r="F224" s="43"/>
      <c r="G224" s="40"/>
      <c r="H224" s="51"/>
      <c r="I224" s="33"/>
      <c r="J224" s="31"/>
      <c r="K224" s="33"/>
      <c r="L224" s="33"/>
      <c r="M224" s="36"/>
      <c r="N224" s="47" t="str">
        <f aca="false">IF($B224="","",IF(NOT(ISNUMBER($B224)),"日期不是日期格式",IF(YEAR($B224)&lt;&gt;首页!$B$3,"不在会计年度",IF($D224="","未选供应商",IF(ISNA(MATCH($D224,基础资料!$AF$6:$AF$155,0)),"供应商不在档案",IF($E224="","未填商品或内容",IF(NOT(ISNUMBER($F224)),"数量须为数字",IF(NOT(ISNUMBER($G224)),"单价须为数字",IF(N($F224)&lt;=0,"数量须大于0",IF($I224="","请选是否入库",IF(AND($I224="是",ISNA(MATCH($E224,基础资料!$Q$6:$Q$205,0))),"入库商品必须在商品档案中",IF(AND($I224="否",$J224&lt;&gt;"",ISNA(MATCH($J224,科目参数!$A$6:$A$125,0))),"费用科目不存在","√"))))))))))))</f>
        <v/>
      </c>
      <c r="O224" s="49" t="str">
        <f aca="false">IF($E224="","",IFERROR(INDEX(基础资料!$R$6:$R$205,MATCH($E224,基础资料!$Q$6:$Q$205,0)),""))</f>
        <v/>
      </c>
      <c r="P224" s="49" t="str">
        <f aca="false">IF($E224="","",IFERROR(INDEX(基础资料!$S$6:$S$205,MATCH($E224,基础资料!$Q$6:$Q$205,0)),""))</f>
        <v/>
      </c>
      <c r="Q224" s="48" t="str">
        <f aca="false">IF(OR($F224="",$G224=""),"",ROUND(N($F224)*N($G224),2))</f>
        <v/>
      </c>
      <c r="R224" s="48" t="str">
        <f aca="false">IF($Q224="","",ROUND(N($Q224)*N($H224),2))</f>
        <v/>
      </c>
      <c r="S224" s="48" t="str">
        <f aca="false">IF($Q224="","",N($Q224)+N($R224))</f>
        <v/>
      </c>
      <c r="T224" s="52" t="str">
        <f aca="false">IF(OR($B224="",$D224=""),"",$B224+N(IFERROR(INDEX(基础资料!$AH$6:$AH$155,MATCH($D224,基础资料!$AF$6:$AF$155,0)),0)))</f>
        <v/>
      </c>
      <c r="U224" s="49" t="str">
        <f aca="false">IF($Q224="","",IF($I224="是","1405",IF($J224="","6602",$J224)))</f>
        <v/>
      </c>
      <c r="V224" s="49" t="str">
        <f aca="false">IF($Q224="","","2202")</f>
        <v/>
      </c>
      <c r="W224" s="48" t="str">
        <f aca="false">IF($Q224="","",$Q224)</f>
        <v/>
      </c>
      <c r="X224" s="49" t="str">
        <f aca="false">IF(N($R224)=0,"","2221")</f>
        <v/>
      </c>
      <c r="Y224" s="49" t="str">
        <f aca="false">IF(N($R224)=0,"","2202")</f>
        <v/>
      </c>
      <c r="Z224" s="48" t="str">
        <f aca="false">IF(N($R224)=0,"",$R224)</f>
        <v/>
      </c>
      <c r="AA224" s="49" t="str">
        <f aca="false">IF(AND($D224=供应商对账单!$B$3,$B224&gt;=供应商对账单!$E$3,$B224&lt;=供应商对账单!$H$3),COUNTIFS($D$5:$D224,供应商对账单!$B$3,$B$5:$B224,"&gt;="&amp;供应商对账单!$E$3,$B$5:$B224,"&lt;="&amp;供应商对账单!$H$3),"")</f>
        <v/>
      </c>
    </row>
    <row r="225" customFormat="false" ht="15.75" hidden="false" customHeight="true" outlineLevel="0" collapsed="false">
      <c r="A225" s="42" t="str">
        <f aca="false">IF($B225="","","CG"&amp;TEXT($B225,"yyyymm")&amp;"-"&amp;TEXT(ROW()-4,"000"))</f>
        <v/>
      </c>
      <c r="B225" s="41"/>
      <c r="C225" s="42" t="str">
        <f aca="false">IF($B225="","",TEXT($B225,"yyyy-mm"))</f>
        <v/>
      </c>
      <c r="D225" s="32"/>
      <c r="E225" s="36"/>
      <c r="F225" s="43"/>
      <c r="G225" s="40"/>
      <c r="H225" s="51"/>
      <c r="I225" s="33"/>
      <c r="J225" s="31"/>
      <c r="K225" s="33"/>
      <c r="L225" s="33"/>
      <c r="M225" s="36"/>
      <c r="N225" s="47" t="str">
        <f aca="false">IF($B225="","",IF(NOT(ISNUMBER($B225)),"日期不是日期格式",IF(YEAR($B225)&lt;&gt;首页!$B$3,"不在会计年度",IF($D225="","未选供应商",IF(ISNA(MATCH($D225,基础资料!$AF$6:$AF$155,0)),"供应商不在档案",IF($E225="","未填商品或内容",IF(NOT(ISNUMBER($F225)),"数量须为数字",IF(NOT(ISNUMBER($G225)),"单价须为数字",IF(N($F225)&lt;=0,"数量须大于0",IF($I225="","请选是否入库",IF(AND($I225="是",ISNA(MATCH($E225,基础资料!$Q$6:$Q$205,0))),"入库商品必须在商品档案中",IF(AND($I225="否",$J225&lt;&gt;"",ISNA(MATCH($J225,科目参数!$A$6:$A$125,0))),"费用科目不存在","√"))))))))))))</f>
        <v/>
      </c>
      <c r="O225" s="49" t="str">
        <f aca="false">IF($E225="","",IFERROR(INDEX(基础资料!$R$6:$R$205,MATCH($E225,基础资料!$Q$6:$Q$205,0)),""))</f>
        <v/>
      </c>
      <c r="P225" s="49" t="str">
        <f aca="false">IF($E225="","",IFERROR(INDEX(基础资料!$S$6:$S$205,MATCH($E225,基础资料!$Q$6:$Q$205,0)),""))</f>
        <v/>
      </c>
      <c r="Q225" s="48" t="str">
        <f aca="false">IF(OR($F225="",$G225=""),"",ROUND(N($F225)*N($G225),2))</f>
        <v/>
      </c>
      <c r="R225" s="48" t="str">
        <f aca="false">IF($Q225="","",ROUND(N($Q225)*N($H225),2))</f>
        <v/>
      </c>
      <c r="S225" s="48" t="str">
        <f aca="false">IF($Q225="","",N($Q225)+N($R225))</f>
        <v/>
      </c>
      <c r="T225" s="52" t="str">
        <f aca="false">IF(OR($B225="",$D225=""),"",$B225+N(IFERROR(INDEX(基础资料!$AH$6:$AH$155,MATCH($D225,基础资料!$AF$6:$AF$155,0)),0)))</f>
        <v/>
      </c>
      <c r="U225" s="49" t="str">
        <f aca="false">IF($Q225="","",IF($I225="是","1405",IF($J225="","6602",$J225)))</f>
        <v/>
      </c>
      <c r="V225" s="49" t="str">
        <f aca="false">IF($Q225="","","2202")</f>
        <v/>
      </c>
      <c r="W225" s="48" t="str">
        <f aca="false">IF($Q225="","",$Q225)</f>
        <v/>
      </c>
      <c r="X225" s="49" t="str">
        <f aca="false">IF(N($R225)=0,"","2221")</f>
        <v/>
      </c>
      <c r="Y225" s="49" t="str">
        <f aca="false">IF(N($R225)=0,"","2202")</f>
        <v/>
      </c>
      <c r="Z225" s="48" t="str">
        <f aca="false">IF(N($R225)=0,"",$R225)</f>
        <v/>
      </c>
      <c r="AA225" s="49" t="str">
        <f aca="false">IF(AND($D225=供应商对账单!$B$3,$B225&gt;=供应商对账单!$E$3,$B225&lt;=供应商对账单!$H$3),COUNTIFS($D$5:$D225,供应商对账单!$B$3,$B$5:$B225,"&gt;="&amp;供应商对账单!$E$3,$B$5:$B225,"&lt;="&amp;供应商对账单!$H$3),"")</f>
        <v/>
      </c>
    </row>
    <row r="226" customFormat="false" ht="15.75" hidden="false" customHeight="true" outlineLevel="0" collapsed="false">
      <c r="A226" s="42" t="str">
        <f aca="false">IF($B226="","","CG"&amp;TEXT($B226,"yyyymm")&amp;"-"&amp;TEXT(ROW()-4,"000"))</f>
        <v/>
      </c>
      <c r="B226" s="41"/>
      <c r="C226" s="42" t="str">
        <f aca="false">IF($B226="","",TEXT($B226,"yyyy-mm"))</f>
        <v/>
      </c>
      <c r="D226" s="32"/>
      <c r="E226" s="36"/>
      <c r="F226" s="43"/>
      <c r="G226" s="40"/>
      <c r="H226" s="51"/>
      <c r="I226" s="33"/>
      <c r="J226" s="31"/>
      <c r="K226" s="33"/>
      <c r="L226" s="33"/>
      <c r="M226" s="36"/>
      <c r="N226" s="47" t="str">
        <f aca="false">IF($B226="","",IF(NOT(ISNUMBER($B226)),"日期不是日期格式",IF(YEAR($B226)&lt;&gt;首页!$B$3,"不在会计年度",IF($D226="","未选供应商",IF(ISNA(MATCH($D226,基础资料!$AF$6:$AF$155,0)),"供应商不在档案",IF($E226="","未填商品或内容",IF(NOT(ISNUMBER($F226)),"数量须为数字",IF(NOT(ISNUMBER($G226)),"单价须为数字",IF(N($F226)&lt;=0,"数量须大于0",IF($I226="","请选是否入库",IF(AND($I226="是",ISNA(MATCH($E226,基础资料!$Q$6:$Q$205,0))),"入库商品必须在商品档案中",IF(AND($I226="否",$J226&lt;&gt;"",ISNA(MATCH($J226,科目参数!$A$6:$A$125,0))),"费用科目不存在","√"))))))))))))</f>
        <v/>
      </c>
      <c r="O226" s="49" t="str">
        <f aca="false">IF($E226="","",IFERROR(INDEX(基础资料!$R$6:$R$205,MATCH($E226,基础资料!$Q$6:$Q$205,0)),""))</f>
        <v/>
      </c>
      <c r="P226" s="49" t="str">
        <f aca="false">IF($E226="","",IFERROR(INDEX(基础资料!$S$6:$S$205,MATCH($E226,基础资料!$Q$6:$Q$205,0)),""))</f>
        <v/>
      </c>
      <c r="Q226" s="48" t="str">
        <f aca="false">IF(OR($F226="",$G226=""),"",ROUND(N($F226)*N($G226),2))</f>
        <v/>
      </c>
      <c r="R226" s="48" t="str">
        <f aca="false">IF($Q226="","",ROUND(N($Q226)*N($H226),2))</f>
        <v/>
      </c>
      <c r="S226" s="48" t="str">
        <f aca="false">IF($Q226="","",N($Q226)+N($R226))</f>
        <v/>
      </c>
      <c r="T226" s="52" t="str">
        <f aca="false">IF(OR($B226="",$D226=""),"",$B226+N(IFERROR(INDEX(基础资料!$AH$6:$AH$155,MATCH($D226,基础资料!$AF$6:$AF$155,0)),0)))</f>
        <v/>
      </c>
      <c r="U226" s="49" t="str">
        <f aca="false">IF($Q226="","",IF($I226="是","1405",IF($J226="","6602",$J226)))</f>
        <v/>
      </c>
      <c r="V226" s="49" t="str">
        <f aca="false">IF($Q226="","","2202")</f>
        <v/>
      </c>
      <c r="W226" s="48" t="str">
        <f aca="false">IF($Q226="","",$Q226)</f>
        <v/>
      </c>
      <c r="X226" s="49" t="str">
        <f aca="false">IF(N($R226)=0,"","2221")</f>
        <v/>
      </c>
      <c r="Y226" s="49" t="str">
        <f aca="false">IF(N($R226)=0,"","2202")</f>
        <v/>
      </c>
      <c r="Z226" s="48" t="str">
        <f aca="false">IF(N($R226)=0,"",$R226)</f>
        <v/>
      </c>
      <c r="AA226" s="49" t="str">
        <f aca="false">IF(AND($D226=供应商对账单!$B$3,$B226&gt;=供应商对账单!$E$3,$B226&lt;=供应商对账单!$H$3),COUNTIFS($D$5:$D226,供应商对账单!$B$3,$B$5:$B226,"&gt;="&amp;供应商对账单!$E$3,$B$5:$B226,"&lt;="&amp;供应商对账单!$H$3),"")</f>
        <v/>
      </c>
    </row>
    <row r="227" customFormat="false" ht="15.75" hidden="false" customHeight="true" outlineLevel="0" collapsed="false">
      <c r="A227" s="42" t="str">
        <f aca="false">IF($B227="","","CG"&amp;TEXT($B227,"yyyymm")&amp;"-"&amp;TEXT(ROW()-4,"000"))</f>
        <v/>
      </c>
      <c r="B227" s="41"/>
      <c r="C227" s="42" t="str">
        <f aca="false">IF($B227="","",TEXT($B227,"yyyy-mm"))</f>
        <v/>
      </c>
      <c r="D227" s="32"/>
      <c r="E227" s="36"/>
      <c r="F227" s="43"/>
      <c r="G227" s="40"/>
      <c r="H227" s="51"/>
      <c r="I227" s="33"/>
      <c r="J227" s="31"/>
      <c r="K227" s="33"/>
      <c r="L227" s="33"/>
      <c r="M227" s="36"/>
      <c r="N227" s="47" t="str">
        <f aca="false">IF($B227="","",IF(NOT(ISNUMBER($B227)),"日期不是日期格式",IF(YEAR($B227)&lt;&gt;首页!$B$3,"不在会计年度",IF($D227="","未选供应商",IF(ISNA(MATCH($D227,基础资料!$AF$6:$AF$155,0)),"供应商不在档案",IF($E227="","未填商品或内容",IF(NOT(ISNUMBER($F227)),"数量须为数字",IF(NOT(ISNUMBER($G227)),"单价须为数字",IF(N($F227)&lt;=0,"数量须大于0",IF($I227="","请选是否入库",IF(AND($I227="是",ISNA(MATCH($E227,基础资料!$Q$6:$Q$205,0))),"入库商品必须在商品档案中",IF(AND($I227="否",$J227&lt;&gt;"",ISNA(MATCH($J227,科目参数!$A$6:$A$125,0))),"费用科目不存在","√"))))))))))))</f>
        <v/>
      </c>
      <c r="O227" s="49" t="str">
        <f aca="false">IF($E227="","",IFERROR(INDEX(基础资料!$R$6:$R$205,MATCH($E227,基础资料!$Q$6:$Q$205,0)),""))</f>
        <v/>
      </c>
      <c r="P227" s="49" t="str">
        <f aca="false">IF($E227="","",IFERROR(INDEX(基础资料!$S$6:$S$205,MATCH($E227,基础资料!$Q$6:$Q$205,0)),""))</f>
        <v/>
      </c>
      <c r="Q227" s="48" t="str">
        <f aca="false">IF(OR($F227="",$G227=""),"",ROUND(N($F227)*N($G227),2))</f>
        <v/>
      </c>
      <c r="R227" s="48" t="str">
        <f aca="false">IF($Q227="","",ROUND(N($Q227)*N($H227),2))</f>
        <v/>
      </c>
      <c r="S227" s="48" t="str">
        <f aca="false">IF($Q227="","",N($Q227)+N($R227))</f>
        <v/>
      </c>
      <c r="T227" s="52" t="str">
        <f aca="false">IF(OR($B227="",$D227=""),"",$B227+N(IFERROR(INDEX(基础资料!$AH$6:$AH$155,MATCH($D227,基础资料!$AF$6:$AF$155,0)),0)))</f>
        <v/>
      </c>
      <c r="U227" s="49" t="str">
        <f aca="false">IF($Q227="","",IF($I227="是","1405",IF($J227="","6602",$J227)))</f>
        <v/>
      </c>
      <c r="V227" s="49" t="str">
        <f aca="false">IF($Q227="","","2202")</f>
        <v/>
      </c>
      <c r="W227" s="48" t="str">
        <f aca="false">IF($Q227="","",$Q227)</f>
        <v/>
      </c>
      <c r="X227" s="49" t="str">
        <f aca="false">IF(N($R227)=0,"","2221")</f>
        <v/>
      </c>
      <c r="Y227" s="49" t="str">
        <f aca="false">IF(N($R227)=0,"","2202")</f>
        <v/>
      </c>
      <c r="Z227" s="48" t="str">
        <f aca="false">IF(N($R227)=0,"",$R227)</f>
        <v/>
      </c>
      <c r="AA227" s="49" t="str">
        <f aca="false">IF(AND($D227=供应商对账单!$B$3,$B227&gt;=供应商对账单!$E$3,$B227&lt;=供应商对账单!$H$3),COUNTIFS($D$5:$D227,供应商对账单!$B$3,$B$5:$B227,"&gt;="&amp;供应商对账单!$E$3,$B$5:$B227,"&lt;="&amp;供应商对账单!$H$3),"")</f>
        <v/>
      </c>
    </row>
    <row r="228" customFormat="false" ht="15.75" hidden="false" customHeight="true" outlineLevel="0" collapsed="false">
      <c r="A228" s="42" t="str">
        <f aca="false">IF($B228="","","CG"&amp;TEXT($B228,"yyyymm")&amp;"-"&amp;TEXT(ROW()-4,"000"))</f>
        <v/>
      </c>
      <c r="B228" s="41"/>
      <c r="C228" s="42" t="str">
        <f aca="false">IF($B228="","",TEXT($B228,"yyyy-mm"))</f>
        <v/>
      </c>
      <c r="D228" s="32"/>
      <c r="E228" s="36"/>
      <c r="F228" s="43"/>
      <c r="G228" s="40"/>
      <c r="H228" s="51"/>
      <c r="I228" s="33"/>
      <c r="J228" s="31"/>
      <c r="K228" s="33"/>
      <c r="L228" s="33"/>
      <c r="M228" s="36"/>
      <c r="N228" s="47" t="str">
        <f aca="false">IF($B228="","",IF(NOT(ISNUMBER($B228)),"日期不是日期格式",IF(YEAR($B228)&lt;&gt;首页!$B$3,"不在会计年度",IF($D228="","未选供应商",IF(ISNA(MATCH($D228,基础资料!$AF$6:$AF$155,0)),"供应商不在档案",IF($E228="","未填商品或内容",IF(NOT(ISNUMBER($F228)),"数量须为数字",IF(NOT(ISNUMBER($G228)),"单价须为数字",IF(N($F228)&lt;=0,"数量须大于0",IF($I228="","请选是否入库",IF(AND($I228="是",ISNA(MATCH($E228,基础资料!$Q$6:$Q$205,0))),"入库商品必须在商品档案中",IF(AND($I228="否",$J228&lt;&gt;"",ISNA(MATCH($J228,科目参数!$A$6:$A$125,0))),"费用科目不存在","√"))))))))))))</f>
        <v/>
      </c>
      <c r="O228" s="49" t="str">
        <f aca="false">IF($E228="","",IFERROR(INDEX(基础资料!$R$6:$R$205,MATCH($E228,基础资料!$Q$6:$Q$205,0)),""))</f>
        <v/>
      </c>
      <c r="P228" s="49" t="str">
        <f aca="false">IF($E228="","",IFERROR(INDEX(基础资料!$S$6:$S$205,MATCH($E228,基础资料!$Q$6:$Q$205,0)),""))</f>
        <v/>
      </c>
      <c r="Q228" s="48" t="str">
        <f aca="false">IF(OR($F228="",$G228=""),"",ROUND(N($F228)*N($G228),2))</f>
        <v/>
      </c>
      <c r="R228" s="48" t="str">
        <f aca="false">IF($Q228="","",ROUND(N($Q228)*N($H228),2))</f>
        <v/>
      </c>
      <c r="S228" s="48" t="str">
        <f aca="false">IF($Q228="","",N($Q228)+N($R228))</f>
        <v/>
      </c>
      <c r="T228" s="52" t="str">
        <f aca="false">IF(OR($B228="",$D228=""),"",$B228+N(IFERROR(INDEX(基础资料!$AH$6:$AH$155,MATCH($D228,基础资料!$AF$6:$AF$155,0)),0)))</f>
        <v/>
      </c>
      <c r="U228" s="49" t="str">
        <f aca="false">IF($Q228="","",IF($I228="是","1405",IF($J228="","6602",$J228)))</f>
        <v/>
      </c>
      <c r="V228" s="49" t="str">
        <f aca="false">IF($Q228="","","2202")</f>
        <v/>
      </c>
      <c r="W228" s="48" t="str">
        <f aca="false">IF($Q228="","",$Q228)</f>
        <v/>
      </c>
      <c r="X228" s="49" t="str">
        <f aca="false">IF(N($R228)=0,"","2221")</f>
        <v/>
      </c>
      <c r="Y228" s="49" t="str">
        <f aca="false">IF(N($R228)=0,"","2202")</f>
        <v/>
      </c>
      <c r="Z228" s="48" t="str">
        <f aca="false">IF(N($R228)=0,"",$R228)</f>
        <v/>
      </c>
      <c r="AA228" s="49" t="str">
        <f aca="false">IF(AND($D228=供应商对账单!$B$3,$B228&gt;=供应商对账单!$E$3,$B228&lt;=供应商对账单!$H$3),COUNTIFS($D$5:$D228,供应商对账单!$B$3,$B$5:$B228,"&gt;="&amp;供应商对账单!$E$3,$B$5:$B228,"&lt;="&amp;供应商对账单!$H$3),"")</f>
        <v/>
      </c>
    </row>
    <row r="229" customFormat="false" ht="15.75" hidden="false" customHeight="true" outlineLevel="0" collapsed="false">
      <c r="A229" s="42" t="str">
        <f aca="false">IF($B229="","","CG"&amp;TEXT($B229,"yyyymm")&amp;"-"&amp;TEXT(ROW()-4,"000"))</f>
        <v/>
      </c>
      <c r="B229" s="41"/>
      <c r="C229" s="42" t="str">
        <f aca="false">IF($B229="","",TEXT($B229,"yyyy-mm"))</f>
        <v/>
      </c>
      <c r="D229" s="32"/>
      <c r="E229" s="36"/>
      <c r="F229" s="43"/>
      <c r="G229" s="40"/>
      <c r="H229" s="51"/>
      <c r="I229" s="33"/>
      <c r="J229" s="31"/>
      <c r="K229" s="33"/>
      <c r="L229" s="33"/>
      <c r="M229" s="36"/>
      <c r="N229" s="47" t="str">
        <f aca="false">IF($B229="","",IF(NOT(ISNUMBER($B229)),"日期不是日期格式",IF(YEAR($B229)&lt;&gt;首页!$B$3,"不在会计年度",IF($D229="","未选供应商",IF(ISNA(MATCH($D229,基础资料!$AF$6:$AF$155,0)),"供应商不在档案",IF($E229="","未填商品或内容",IF(NOT(ISNUMBER($F229)),"数量须为数字",IF(NOT(ISNUMBER($G229)),"单价须为数字",IF(N($F229)&lt;=0,"数量须大于0",IF($I229="","请选是否入库",IF(AND($I229="是",ISNA(MATCH($E229,基础资料!$Q$6:$Q$205,0))),"入库商品必须在商品档案中",IF(AND($I229="否",$J229&lt;&gt;"",ISNA(MATCH($J229,科目参数!$A$6:$A$125,0))),"费用科目不存在","√"))))))))))))</f>
        <v/>
      </c>
      <c r="O229" s="49" t="str">
        <f aca="false">IF($E229="","",IFERROR(INDEX(基础资料!$R$6:$R$205,MATCH($E229,基础资料!$Q$6:$Q$205,0)),""))</f>
        <v/>
      </c>
      <c r="P229" s="49" t="str">
        <f aca="false">IF($E229="","",IFERROR(INDEX(基础资料!$S$6:$S$205,MATCH($E229,基础资料!$Q$6:$Q$205,0)),""))</f>
        <v/>
      </c>
      <c r="Q229" s="48" t="str">
        <f aca="false">IF(OR($F229="",$G229=""),"",ROUND(N($F229)*N($G229),2))</f>
        <v/>
      </c>
      <c r="R229" s="48" t="str">
        <f aca="false">IF($Q229="","",ROUND(N($Q229)*N($H229),2))</f>
        <v/>
      </c>
      <c r="S229" s="48" t="str">
        <f aca="false">IF($Q229="","",N($Q229)+N($R229))</f>
        <v/>
      </c>
      <c r="T229" s="52" t="str">
        <f aca="false">IF(OR($B229="",$D229=""),"",$B229+N(IFERROR(INDEX(基础资料!$AH$6:$AH$155,MATCH($D229,基础资料!$AF$6:$AF$155,0)),0)))</f>
        <v/>
      </c>
      <c r="U229" s="49" t="str">
        <f aca="false">IF($Q229="","",IF($I229="是","1405",IF($J229="","6602",$J229)))</f>
        <v/>
      </c>
      <c r="V229" s="49" t="str">
        <f aca="false">IF($Q229="","","2202")</f>
        <v/>
      </c>
      <c r="W229" s="48" t="str">
        <f aca="false">IF($Q229="","",$Q229)</f>
        <v/>
      </c>
      <c r="X229" s="49" t="str">
        <f aca="false">IF(N($R229)=0,"","2221")</f>
        <v/>
      </c>
      <c r="Y229" s="49" t="str">
        <f aca="false">IF(N($R229)=0,"","2202")</f>
        <v/>
      </c>
      <c r="Z229" s="48" t="str">
        <f aca="false">IF(N($R229)=0,"",$R229)</f>
        <v/>
      </c>
      <c r="AA229" s="49" t="str">
        <f aca="false">IF(AND($D229=供应商对账单!$B$3,$B229&gt;=供应商对账单!$E$3,$B229&lt;=供应商对账单!$H$3),COUNTIFS($D$5:$D229,供应商对账单!$B$3,$B$5:$B229,"&gt;="&amp;供应商对账单!$E$3,$B$5:$B229,"&lt;="&amp;供应商对账单!$H$3),"")</f>
        <v/>
      </c>
    </row>
    <row r="230" customFormat="false" ht="15.75" hidden="false" customHeight="true" outlineLevel="0" collapsed="false">
      <c r="A230" s="42" t="str">
        <f aca="false">IF($B230="","","CG"&amp;TEXT($B230,"yyyymm")&amp;"-"&amp;TEXT(ROW()-4,"000"))</f>
        <v/>
      </c>
      <c r="B230" s="41"/>
      <c r="C230" s="42" t="str">
        <f aca="false">IF($B230="","",TEXT($B230,"yyyy-mm"))</f>
        <v/>
      </c>
      <c r="D230" s="32"/>
      <c r="E230" s="36"/>
      <c r="F230" s="43"/>
      <c r="G230" s="40"/>
      <c r="H230" s="51"/>
      <c r="I230" s="33"/>
      <c r="J230" s="31"/>
      <c r="K230" s="33"/>
      <c r="L230" s="33"/>
      <c r="M230" s="36"/>
      <c r="N230" s="47" t="str">
        <f aca="false">IF($B230="","",IF(NOT(ISNUMBER($B230)),"日期不是日期格式",IF(YEAR($B230)&lt;&gt;首页!$B$3,"不在会计年度",IF($D230="","未选供应商",IF(ISNA(MATCH($D230,基础资料!$AF$6:$AF$155,0)),"供应商不在档案",IF($E230="","未填商品或内容",IF(NOT(ISNUMBER($F230)),"数量须为数字",IF(NOT(ISNUMBER($G230)),"单价须为数字",IF(N($F230)&lt;=0,"数量须大于0",IF($I230="","请选是否入库",IF(AND($I230="是",ISNA(MATCH($E230,基础资料!$Q$6:$Q$205,0))),"入库商品必须在商品档案中",IF(AND($I230="否",$J230&lt;&gt;"",ISNA(MATCH($J230,科目参数!$A$6:$A$125,0))),"费用科目不存在","√"))))))))))))</f>
        <v/>
      </c>
      <c r="O230" s="49" t="str">
        <f aca="false">IF($E230="","",IFERROR(INDEX(基础资料!$R$6:$R$205,MATCH($E230,基础资料!$Q$6:$Q$205,0)),""))</f>
        <v/>
      </c>
      <c r="P230" s="49" t="str">
        <f aca="false">IF($E230="","",IFERROR(INDEX(基础资料!$S$6:$S$205,MATCH($E230,基础资料!$Q$6:$Q$205,0)),""))</f>
        <v/>
      </c>
      <c r="Q230" s="48" t="str">
        <f aca="false">IF(OR($F230="",$G230=""),"",ROUND(N($F230)*N($G230),2))</f>
        <v/>
      </c>
      <c r="R230" s="48" t="str">
        <f aca="false">IF($Q230="","",ROUND(N($Q230)*N($H230),2))</f>
        <v/>
      </c>
      <c r="S230" s="48" t="str">
        <f aca="false">IF($Q230="","",N($Q230)+N($R230))</f>
        <v/>
      </c>
      <c r="T230" s="52" t="str">
        <f aca="false">IF(OR($B230="",$D230=""),"",$B230+N(IFERROR(INDEX(基础资料!$AH$6:$AH$155,MATCH($D230,基础资料!$AF$6:$AF$155,0)),0)))</f>
        <v/>
      </c>
      <c r="U230" s="49" t="str">
        <f aca="false">IF($Q230="","",IF($I230="是","1405",IF($J230="","6602",$J230)))</f>
        <v/>
      </c>
      <c r="V230" s="49" t="str">
        <f aca="false">IF($Q230="","","2202")</f>
        <v/>
      </c>
      <c r="W230" s="48" t="str">
        <f aca="false">IF($Q230="","",$Q230)</f>
        <v/>
      </c>
      <c r="X230" s="49" t="str">
        <f aca="false">IF(N($R230)=0,"","2221")</f>
        <v/>
      </c>
      <c r="Y230" s="49" t="str">
        <f aca="false">IF(N($R230)=0,"","2202")</f>
        <v/>
      </c>
      <c r="Z230" s="48" t="str">
        <f aca="false">IF(N($R230)=0,"",$R230)</f>
        <v/>
      </c>
      <c r="AA230" s="49" t="str">
        <f aca="false">IF(AND($D230=供应商对账单!$B$3,$B230&gt;=供应商对账单!$E$3,$B230&lt;=供应商对账单!$H$3),COUNTIFS($D$5:$D230,供应商对账单!$B$3,$B$5:$B230,"&gt;="&amp;供应商对账单!$E$3,$B$5:$B230,"&lt;="&amp;供应商对账单!$H$3),"")</f>
        <v/>
      </c>
    </row>
    <row r="231" customFormat="false" ht="15.75" hidden="false" customHeight="true" outlineLevel="0" collapsed="false">
      <c r="A231" s="42" t="str">
        <f aca="false">IF($B231="","","CG"&amp;TEXT($B231,"yyyymm")&amp;"-"&amp;TEXT(ROW()-4,"000"))</f>
        <v/>
      </c>
      <c r="B231" s="41"/>
      <c r="C231" s="42" t="str">
        <f aca="false">IF($B231="","",TEXT($B231,"yyyy-mm"))</f>
        <v/>
      </c>
      <c r="D231" s="32"/>
      <c r="E231" s="36"/>
      <c r="F231" s="43"/>
      <c r="G231" s="40"/>
      <c r="H231" s="51"/>
      <c r="I231" s="33"/>
      <c r="J231" s="31"/>
      <c r="K231" s="33"/>
      <c r="L231" s="33"/>
      <c r="M231" s="36"/>
      <c r="N231" s="47" t="str">
        <f aca="false">IF($B231="","",IF(NOT(ISNUMBER($B231)),"日期不是日期格式",IF(YEAR($B231)&lt;&gt;首页!$B$3,"不在会计年度",IF($D231="","未选供应商",IF(ISNA(MATCH($D231,基础资料!$AF$6:$AF$155,0)),"供应商不在档案",IF($E231="","未填商品或内容",IF(NOT(ISNUMBER($F231)),"数量须为数字",IF(NOT(ISNUMBER($G231)),"单价须为数字",IF(N($F231)&lt;=0,"数量须大于0",IF($I231="","请选是否入库",IF(AND($I231="是",ISNA(MATCH($E231,基础资料!$Q$6:$Q$205,0))),"入库商品必须在商品档案中",IF(AND($I231="否",$J231&lt;&gt;"",ISNA(MATCH($J231,科目参数!$A$6:$A$125,0))),"费用科目不存在","√"))))))))))))</f>
        <v/>
      </c>
      <c r="O231" s="49" t="str">
        <f aca="false">IF($E231="","",IFERROR(INDEX(基础资料!$R$6:$R$205,MATCH($E231,基础资料!$Q$6:$Q$205,0)),""))</f>
        <v/>
      </c>
      <c r="P231" s="49" t="str">
        <f aca="false">IF($E231="","",IFERROR(INDEX(基础资料!$S$6:$S$205,MATCH($E231,基础资料!$Q$6:$Q$205,0)),""))</f>
        <v/>
      </c>
      <c r="Q231" s="48" t="str">
        <f aca="false">IF(OR($F231="",$G231=""),"",ROUND(N($F231)*N($G231),2))</f>
        <v/>
      </c>
      <c r="R231" s="48" t="str">
        <f aca="false">IF($Q231="","",ROUND(N($Q231)*N($H231),2))</f>
        <v/>
      </c>
      <c r="S231" s="48" t="str">
        <f aca="false">IF($Q231="","",N($Q231)+N($R231))</f>
        <v/>
      </c>
      <c r="T231" s="52" t="str">
        <f aca="false">IF(OR($B231="",$D231=""),"",$B231+N(IFERROR(INDEX(基础资料!$AH$6:$AH$155,MATCH($D231,基础资料!$AF$6:$AF$155,0)),0)))</f>
        <v/>
      </c>
      <c r="U231" s="49" t="str">
        <f aca="false">IF($Q231="","",IF($I231="是","1405",IF($J231="","6602",$J231)))</f>
        <v/>
      </c>
      <c r="V231" s="49" t="str">
        <f aca="false">IF($Q231="","","2202")</f>
        <v/>
      </c>
      <c r="W231" s="48" t="str">
        <f aca="false">IF($Q231="","",$Q231)</f>
        <v/>
      </c>
      <c r="X231" s="49" t="str">
        <f aca="false">IF(N($R231)=0,"","2221")</f>
        <v/>
      </c>
      <c r="Y231" s="49" t="str">
        <f aca="false">IF(N($R231)=0,"","2202")</f>
        <v/>
      </c>
      <c r="Z231" s="48" t="str">
        <f aca="false">IF(N($R231)=0,"",$R231)</f>
        <v/>
      </c>
      <c r="AA231" s="49" t="str">
        <f aca="false">IF(AND($D231=供应商对账单!$B$3,$B231&gt;=供应商对账单!$E$3,$B231&lt;=供应商对账单!$H$3),COUNTIFS($D$5:$D231,供应商对账单!$B$3,$B$5:$B231,"&gt;="&amp;供应商对账单!$E$3,$B$5:$B231,"&lt;="&amp;供应商对账单!$H$3),"")</f>
        <v/>
      </c>
    </row>
    <row r="232" customFormat="false" ht="15.75" hidden="false" customHeight="true" outlineLevel="0" collapsed="false">
      <c r="A232" s="42" t="str">
        <f aca="false">IF($B232="","","CG"&amp;TEXT($B232,"yyyymm")&amp;"-"&amp;TEXT(ROW()-4,"000"))</f>
        <v/>
      </c>
      <c r="B232" s="41"/>
      <c r="C232" s="42" t="str">
        <f aca="false">IF($B232="","",TEXT($B232,"yyyy-mm"))</f>
        <v/>
      </c>
      <c r="D232" s="32"/>
      <c r="E232" s="36"/>
      <c r="F232" s="43"/>
      <c r="G232" s="40"/>
      <c r="H232" s="51"/>
      <c r="I232" s="33"/>
      <c r="J232" s="31"/>
      <c r="K232" s="33"/>
      <c r="L232" s="33"/>
      <c r="M232" s="36"/>
      <c r="N232" s="47" t="str">
        <f aca="false">IF($B232="","",IF(NOT(ISNUMBER($B232)),"日期不是日期格式",IF(YEAR($B232)&lt;&gt;首页!$B$3,"不在会计年度",IF($D232="","未选供应商",IF(ISNA(MATCH($D232,基础资料!$AF$6:$AF$155,0)),"供应商不在档案",IF($E232="","未填商品或内容",IF(NOT(ISNUMBER($F232)),"数量须为数字",IF(NOT(ISNUMBER($G232)),"单价须为数字",IF(N($F232)&lt;=0,"数量须大于0",IF($I232="","请选是否入库",IF(AND($I232="是",ISNA(MATCH($E232,基础资料!$Q$6:$Q$205,0))),"入库商品必须在商品档案中",IF(AND($I232="否",$J232&lt;&gt;"",ISNA(MATCH($J232,科目参数!$A$6:$A$125,0))),"费用科目不存在","√"))))))))))))</f>
        <v/>
      </c>
      <c r="O232" s="49" t="str">
        <f aca="false">IF($E232="","",IFERROR(INDEX(基础资料!$R$6:$R$205,MATCH($E232,基础资料!$Q$6:$Q$205,0)),""))</f>
        <v/>
      </c>
      <c r="P232" s="49" t="str">
        <f aca="false">IF($E232="","",IFERROR(INDEX(基础资料!$S$6:$S$205,MATCH($E232,基础资料!$Q$6:$Q$205,0)),""))</f>
        <v/>
      </c>
      <c r="Q232" s="48" t="str">
        <f aca="false">IF(OR($F232="",$G232=""),"",ROUND(N($F232)*N($G232),2))</f>
        <v/>
      </c>
      <c r="R232" s="48" t="str">
        <f aca="false">IF($Q232="","",ROUND(N($Q232)*N($H232),2))</f>
        <v/>
      </c>
      <c r="S232" s="48" t="str">
        <f aca="false">IF($Q232="","",N($Q232)+N($R232))</f>
        <v/>
      </c>
      <c r="T232" s="52" t="str">
        <f aca="false">IF(OR($B232="",$D232=""),"",$B232+N(IFERROR(INDEX(基础资料!$AH$6:$AH$155,MATCH($D232,基础资料!$AF$6:$AF$155,0)),0)))</f>
        <v/>
      </c>
      <c r="U232" s="49" t="str">
        <f aca="false">IF($Q232="","",IF($I232="是","1405",IF($J232="","6602",$J232)))</f>
        <v/>
      </c>
      <c r="V232" s="49" t="str">
        <f aca="false">IF($Q232="","","2202")</f>
        <v/>
      </c>
      <c r="W232" s="48" t="str">
        <f aca="false">IF($Q232="","",$Q232)</f>
        <v/>
      </c>
      <c r="X232" s="49" t="str">
        <f aca="false">IF(N($R232)=0,"","2221")</f>
        <v/>
      </c>
      <c r="Y232" s="49" t="str">
        <f aca="false">IF(N($R232)=0,"","2202")</f>
        <v/>
      </c>
      <c r="Z232" s="48" t="str">
        <f aca="false">IF(N($R232)=0,"",$R232)</f>
        <v/>
      </c>
      <c r="AA232" s="49" t="str">
        <f aca="false">IF(AND($D232=供应商对账单!$B$3,$B232&gt;=供应商对账单!$E$3,$B232&lt;=供应商对账单!$H$3),COUNTIFS($D$5:$D232,供应商对账单!$B$3,$B$5:$B232,"&gt;="&amp;供应商对账单!$E$3,$B$5:$B232,"&lt;="&amp;供应商对账单!$H$3),"")</f>
        <v/>
      </c>
    </row>
    <row r="233" customFormat="false" ht="15.75" hidden="false" customHeight="true" outlineLevel="0" collapsed="false">
      <c r="A233" s="42" t="str">
        <f aca="false">IF($B233="","","CG"&amp;TEXT($B233,"yyyymm")&amp;"-"&amp;TEXT(ROW()-4,"000"))</f>
        <v/>
      </c>
      <c r="B233" s="41"/>
      <c r="C233" s="42" t="str">
        <f aca="false">IF($B233="","",TEXT($B233,"yyyy-mm"))</f>
        <v/>
      </c>
      <c r="D233" s="32"/>
      <c r="E233" s="36"/>
      <c r="F233" s="43"/>
      <c r="G233" s="40"/>
      <c r="H233" s="51"/>
      <c r="I233" s="33"/>
      <c r="J233" s="31"/>
      <c r="K233" s="33"/>
      <c r="L233" s="33"/>
      <c r="M233" s="36"/>
      <c r="N233" s="47" t="str">
        <f aca="false">IF($B233="","",IF(NOT(ISNUMBER($B233)),"日期不是日期格式",IF(YEAR($B233)&lt;&gt;首页!$B$3,"不在会计年度",IF($D233="","未选供应商",IF(ISNA(MATCH($D233,基础资料!$AF$6:$AF$155,0)),"供应商不在档案",IF($E233="","未填商品或内容",IF(NOT(ISNUMBER($F233)),"数量须为数字",IF(NOT(ISNUMBER($G233)),"单价须为数字",IF(N($F233)&lt;=0,"数量须大于0",IF($I233="","请选是否入库",IF(AND($I233="是",ISNA(MATCH($E233,基础资料!$Q$6:$Q$205,0))),"入库商品必须在商品档案中",IF(AND($I233="否",$J233&lt;&gt;"",ISNA(MATCH($J233,科目参数!$A$6:$A$125,0))),"费用科目不存在","√"))))))))))))</f>
        <v/>
      </c>
      <c r="O233" s="49" t="str">
        <f aca="false">IF($E233="","",IFERROR(INDEX(基础资料!$R$6:$R$205,MATCH($E233,基础资料!$Q$6:$Q$205,0)),""))</f>
        <v/>
      </c>
      <c r="P233" s="49" t="str">
        <f aca="false">IF($E233="","",IFERROR(INDEX(基础资料!$S$6:$S$205,MATCH($E233,基础资料!$Q$6:$Q$205,0)),""))</f>
        <v/>
      </c>
      <c r="Q233" s="48" t="str">
        <f aca="false">IF(OR($F233="",$G233=""),"",ROUND(N($F233)*N($G233),2))</f>
        <v/>
      </c>
      <c r="R233" s="48" t="str">
        <f aca="false">IF($Q233="","",ROUND(N($Q233)*N($H233),2))</f>
        <v/>
      </c>
      <c r="S233" s="48" t="str">
        <f aca="false">IF($Q233="","",N($Q233)+N($R233))</f>
        <v/>
      </c>
      <c r="T233" s="52" t="str">
        <f aca="false">IF(OR($B233="",$D233=""),"",$B233+N(IFERROR(INDEX(基础资料!$AH$6:$AH$155,MATCH($D233,基础资料!$AF$6:$AF$155,0)),0)))</f>
        <v/>
      </c>
      <c r="U233" s="49" t="str">
        <f aca="false">IF($Q233="","",IF($I233="是","1405",IF($J233="","6602",$J233)))</f>
        <v/>
      </c>
      <c r="V233" s="49" t="str">
        <f aca="false">IF($Q233="","","2202")</f>
        <v/>
      </c>
      <c r="W233" s="48" t="str">
        <f aca="false">IF($Q233="","",$Q233)</f>
        <v/>
      </c>
      <c r="X233" s="49" t="str">
        <f aca="false">IF(N($R233)=0,"","2221")</f>
        <v/>
      </c>
      <c r="Y233" s="49" t="str">
        <f aca="false">IF(N($R233)=0,"","2202")</f>
        <v/>
      </c>
      <c r="Z233" s="48" t="str">
        <f aca="false">IF(N($R233)=0,"",$R233)</f>
        <v/>
      </c>
      <c r="AA233" s="49" t="str">
        <f aca="false">IF(AND($D233=供应商对账单!$B$3,$B233&gt;=供应商对账单!$E$3,$B233&lt;=供应商对账单!$H$3),COUNTIFS($D$5:$D233,供应商对账单!$B$3,$B$5:$B233,"&gt;="&amp;供应商对账单!$E$3,$B$5:$B233,"&lt;="&amp;供应商对账单!$H$3),"")</f>
        <v/>
      </c>
    </row>
    <row r="234" customFormat="false" ht="15.75" hidden="false" customHeight="true" outlineLevel="0" collapsed="false">
      <c r="A234" s="42" t="str">
        <f aca="false">IF($B234="","","CG"&amp;TEXT($B234,"yyyymm")&amp;"-"&amp;TEXT(ROW()-4,"000"))</f>
        <v/>
      </c>
      <c r="B234" s="41"/>
      <c r="C234" s="42" t="str">
        <f aca="false">IF($B234="","",TEXT($B234,"yyyy-mm"))</f>
        <v/>
      </c>
      <c r="D234" s="32"/>
      <c r="E234" s="36"/>
      <c r="F234" s="43"/>
      <c r="G234" s="40"/>
      <c r="H234" s="51"/>
      <c r="I234" s="33"/>
      <c r="J234" s="31"/>
      <c r="K234" s="33"/>
      <c r="L234" s="33"/>
      <c r="M234" s="36"/>
      <c r="N234" s="47" t="str">
        <f aca="false">IF($B234="","",IF(NOT(ISNUMBER($B234)),"日期不是日期格式",IF(YEAR($B234)&lt;&gt;首页!$B$3,"不在会计年度",IF($D234="","未选供应商",IF(ISNA(MATCH($D234,基础资料!$AF$6:$AF$155,0)),"供应商不在档案",IF($E234="","未填商品或内容",IF(NOT(ISNUMBER($F234)),"数量须为数字",IF(NOT(ISNUMBER($G234)),"单价须为数字",IF(N($F234)&lt;=0,"数量须大于0",IF($I234="","请选是否入库",IF(AND($I234="是",ISNA(MATCH($E234,基础资料!$Q$6:$Q$205,0))),"入库商品必须在商品档案中",IF(AND($I234="否",$J234&lt;&gt;"",ISNA(MATCH($J234,科目参数!$A$6:$A$125,0))),"费用科目不存在","√"))))))))))))</f>
        <v/>
      </c>
      <c r="O234" s="49" t="str">
        <f aca="false">IF($E234="","",IFERROR(INDEX(基础资料!$R$6:$R$205,MATCH($E234,基础资料!$Q$6:$Q$205,0)),""))</f>
        <v/>
      </c>
      <c r="P234" s="49" t="str">
        <f aca="false">IF($E234="","",IFERROR(INDEX(基础资料!$S$6:$S$205,MATCH($E234,基础资料!$Q$6:$Q$205,0)),""))</f>
        <v/>
      </c>
      <c r="Q234" s="48" t="str">
        <f aca="false">IF(OR($F234="",$G234=""),"",ROUND(N($F234)*N($G234),2))</f>
        <v/>
      </c>
      <c r="R234" s="48" t="str">
        <f aca="false">IF($Q234="","",ROUND(N($Q234)*N($H234),2))</f>
        <v/>
      </c>
      <c r="S234" s="48" t="str">
        <f aca="false">IF($Q234="","",N($Q234)+N($R234))</f>
        <v/>
      </c>
      <c r="T234" s="52" t="str">
        <f aca="false">IF(OR($B234="",$D234=""),"",$B234+N(IFERROR(INDEX(基础资料!$AH$6:$AH$155,MATCH($D234,基础资料!$AF$6:$AF$155,0)),0)))</f>
        <v/>
      </c>
      <c r="U234" s="49" t="str">
        <f aca="false">IF($Q234="","",IF($I234="是","1405",IF($J234="","6602",$J234)))</f>
        <v/>
      </c>
      <c r="V234" s="49" t="str">
        <f aca="false">IF($Q234="","","2202")</f>
        <v/>
      </c>
      <c r="W234" s="48" t="str">
        <f aca="false">IF($Q234="","",$Q234)</f>
        <v/>
      </c>
      <c r="X234" s="49" t="str">
        <f aca="false">IF(N($R234)=0,"","2221")</f>
        <v/>
      </c>
      <c r="Y234" s="49" t="str">
        <f aca="false">IF(N($R234)=0,"","2202")</f>
        <v/>
      </c>
      <c r="Z234" s="48" t="str">
        <f aca="false">IF(N($R234)=0,"",$R234)</f>
        <v/>
      </c>
      <c r="AA234" s="49" t="str">
        <f aca="false">IF(AND($D234=供应商对账单!$B$3,$B234&gt;=供应商对账单!$E$3,$B234&lt;=供应商对账单!$H$3),COUNTIFS($D$5:$D234,供应商对账单!$B$3,$B$5:$B234,"&gt;="&amp;供应商对账单!$E$3,$B$5:$B234,"&lt;="&amp;供应商对账单!$H$3),"")</f>
        <v/>
      </c>
    </row>
    <row r="235" customFormat="false" ht="15.75" hidden="false" customHeight="true" outlineLevel="0" collapsed="false">
      <c r="A235" s="42" t="str">
        <f aca="false">IF($B235="","","CG"&amp;TEXT($B235,"yyyymm")&amp;"-"&amp;TEXT(ROW()-4,"000"))</f>
        <v/>
      </c>
      <c r="B235" s="41"/>
      <c r="C235" s="42" t="str">
        <f aca="false">IF($B235="","",TEXT($B235,"yyyy-mm"))</f>
        <v/>
      </c>
      <c r="D235" s="32"/>
      <c r="E235" s="36"/>
      <c r="F235" s="43"/>
      <c r="G235" s="40"/>
      <c r="H235" s="51"/>
      <c r="I235" s="33"/>
      <c r="J235" s="31"/>
      <c r="K235" s="33"/>
      <c r="L235" s="33"/>
      <c r="M235" s="36"/>
      <c r="N235" s="47" t="str">
        <f aca="false">IF($B235="","",IF(NOT(ISNUMBER($B235)),"日期不是日期格式",IF(YEAR($B235)&lt;&gt;首页!$B$3,"不在会计年度",IF($D235="","未选供应商",IF(ISNA(MATCH($D235,基础资料!$AF$6:$AF$155,0)),"供应商不在档案",IF($E235="","未填商品或内容",IF(NOT(ISNUMBER($F235)),"数量须为数字",IF(NOT(ISNUMBER($G235)),"单价须为数字",IF(N($F235)&lt;=0,"数量须大于0",IF($I235="","请选是否入库",IF(AND($I235="是",ISNA(MATCH($E235,基础资料!$Q$6:$Q$205,0))),"入库商品必须在商品档案中",IF(AND($I235="否",$J235&lt;&gt;"",ISNA(MATCH($J235,科目参数!$A$6:$A$125,0))),"费用科目不存在","√"))))))))))))</f>
        <v/>
      </c>
      <c r="O235" s="49" t="str">
        <f aca="false">IF($E235="","",IFERROR(INDEX(基础资料!$R$6:$R$205,MATCH($E235,基础资料!$Q$6:$Q$205,0)),""))</f>
        <v/>
      </c>
      <c r="P235" s="49" t="str">
        <f aca="false">IF($E235="","",IFERROR(INDEX(基础资料!$S$6:$S$205,MATCH($E235,基础资料!$Q$6:$Q$205,0)),""))</f>
        <v/>
      </c>
      <c r="Q235" s="48" t="str">
        <f aca="false">IF(OR($F235="",$G235=""),"",ROUND(N($F235)*N($G235),2))</f>
        <v/>
      </c>
      <c r="R235" s="48" t="str">
        <f aca="false">IF($Q235="","",ROUND(N($Q235)*N($H235),2))</f>
        <v/>
      </c>
      <c r="S235" s="48" t="str">
        <f aca="false">IF($Q235="","",N($Q235)+N($R235))</f>
        <v/>
      </c>
      <c r="T235" s="52" t="str">
        <f aca="false">IF(OR($B235="",$D235=""),"",$B235+N(IFERROR(INDEX(基础资料!$AH$6:$AH$155,MATCH($D235,基础资料!$AF$6:$AF$155,0)),0)))</f>
        <v/>
      </c>
      <c r="U235" s="49" t="str">
        <f aca="false">IF($Q235="","",IF($I235="是","1405",IF($J235="","6602",$J235)))</f>
        <v/>
      </c>
      <c r="V235" s="49" t="str">
        <f aca="false">IF($Q235="","","2202")</f>
        <v/>
      </c>
      <c r="W235" s="48" t="str">
        <f aca="false">IF($Q235="","",$Q235)</f>
        <v/>
      </c>
      <c r="X235" s="49" t="str">
        <f aca="false">IF(N($R235)=0,"","2221")</f>
        <v/>
      </c>
      <c r="Y235" s="49" t="str">
        <f aca="false">IF(N($R235)=0,"","2202")</f>
        <v/>
      </c>
      <c r="Z235" s="48" t="str">
        <f aca="false">IF(N($R235)=0,"",$R235)</f>
        <v/>
      </c>
      <c r="AA235" s="49" t="str">
        <f aca="false">IF(AND($D235=供应商对账单!$B$3,$B235&gt;=供应商对账单!$E$3,$B235&lt;=供应商对账单!$H$3),COUNTIFS($D$5:$D235,供应商对账单!$B$3,$B$5:$B235,"&gt;="&amp;供应商对账单!$E$3,$B$5:$B235,"&lt;="&amp;供应商对账单!$H$3),"")</f>
        <v/>
      </c>
    </row>
    <row r="236" customFormat="false" ht="15.75" hidden="false" customHeight="true" outlineLevel="0" collapsed="false">
      <c r="A236" s="42" t="str">
        <f aca="false">IF($B236="","","CG"&amp;TEXT($B236,"yyyymm")&amp;"-"&amp;TEXT(ROW()-4,"000"))</f>
        <v/>
      </c>
      <c r="B236" s="41"/>
      <c r="C236" s="42" t="str">
        <f aca="false">IF($B236="","",TEXT($B236,"yyyy-mm"))</f>
        <v/>
      </c>
      <c r="D236" s="32"/>
      <c r="E236" s="36"/>
      <c r="F236" s="43"/>
      <c r="G236" s="40"/>
      <c r="H236" s="51"/>
      <c r="I236" s="33"/>
      <c r="J236" s="31"/>
      <c r="K236" s="33"/>
      <c r="L236" s="33"/>
      <c r="M236" s="36"/>
      <c r="N236" s="47" t="str">
        <f aca="false">IF($B236="","",IF(NOT(ISNUMBER($B236)),"日期不是日期格式",IF(YEAR($B236)&lt;&gt;首页!$B$3,"不在会计年度",IF($D236="","未选供应商",IF(ISNA(MATCH($D236,基础资料!$AF$6:$AF$155,0)),"供应商不在档案",IF($E236="","未填商品或内容",IF(NOT(ISNUMBER($F236)),"数量须为数字",IF(NOT(ISNUMBER($G236)),"单价须为数字",IF(N($F236)&lt;=0,"数量须大于0",IF($I236="","请选是否入库",IF(AND($I236="是",ISNA(MATCH($E236,基础资料!$Q$6:$Q$205,0))),"入库商品必须在商品档案中",IF(AND($I236="否",$J236&lt;&gt;"",ISNA(MATCH($J236,科目参数!$A$6:$A$125,0))),"费用科目不存在","√"))))))))))))</f>
        <v/>
      </c>
      <c r="O236" s="49" t="str">
        <f aca="false">IF($E236="","",IFERROR(INDEX(基础资料!$R$6:$R$205,MATCH($E236,基础资料!$Q$6:$Q$205,0)),""))</f>
        <v/>
      </c>
      <c r="P236" s="49" t="str">
        <f aca="false">IF($E236="","",IFERROR(INDEX(基础资料!$S$6:$S$205,MATCH($E236,基础资料!$Q$6:$Q$205,0)),""))</f>
        <v/>
      </c>
      <c r="Q236" s="48" t="str">
        <f aca="false">IF(OR($F236="",$G236=""),"",ROUND(N($F236)*N($G236),2))</f>
        <v/>
      </c>
      <c r="R236" s="48" t="str">
        <f aca="false">IF($Q236="","",ROUND(N($Q236)*N($H236),2))</f>
        <v/>
      </c>
      <c r="S236" s="48" t="str">
        <f aca="false">IF($Q236="","",N($Q236)+N($R236))</f>
        <v/>
      </c>
      <c r="T236" s="52" t="str">
        <f aca="false">IF(OR($B236="",$D236=""),"",$B236+N(IFERROR(INDEX(基础资料!$AH$6:$AH$155,MATCH($D236,基础资料!$AF$6:$AF$155,0)),0)))</f>
        <v/>
      </c>
      <c r="U236" s="49" t="str">
        <f aca="false">IF($Q236="","",IF($I236="是","1405",IF($J236="","6602",$J236)))</f>
        <v/>
      </c>
      <c r="V236" s="49" t="str">
        <f aca="false">IF($Q236="","","2202")</f>
        <v/>
      </c>
      <c r="W236" s="48" t="str">
        <f aca="false">IF($Q236="","",$Q236)</f>
        <v/>
      </c>
      <c r="X236" s="49" t="str">
        <f aca="false">IF(N($R236)=0,"","2221")</f>
        <v/>
      </c>
      <c r="Y236" s="49" t="str">
        <f aca="false">IF(N($R236)=0,"","2202")</f>
        <v/>
      </c>
      <c r="Z236" s="48" t="str">
        <f aca="false">IF(N($R236)=0,"",$R236)</f>
        <v/>
      </c>
      <c r="AA236" s="49" t="str">
        <f aca="false">IF(AND($D236=供应商对账单!$B$3,$B236&gt;=供应商对账单!$E$3,$B236&lt;=供应商对账单!$H$3),COUNTIFS($D$5:$D236,供应商对账单!$B$3,$B$5:$B236,"&gt;="&amp;供应商对账单!$E$3,$B$5:$B236,"&lt;="&amp;供应商对账单!$H$3),"")</f>
        <v/>
      </c>
    </row>
    <row r="237" customFormat="false" ht="15.75" hidden="false" customHeight="true" outlineLevel="0" collapsed="false">
      <c r="A237" s="42" t="str">
        <f aca="false">IF($B237="","","CG"&amp;TEXT($B237,"yyyymm")&amp;"-"&amp;TEXT(ROW()-4,"000"))</f>
        <v/>
      </c>
      <c r="B237" s="41"/>
      <c r="C237" s="42" t="str">
        <f aca="false">IF($B237="","",TEXT($B237,"yyyy-mm"))</f>
        <v/>
      </c>
      <c r="D237" s="32"/>
      <c r="E237" s="36"/>
      <c r="F237" s="43"/>
      <c r="G237" s="40"/>
      <c r="H237" s="51"/>
      <c r="I237" s="33"/>
      <c r="J237" s="31"/>
      <c r="K237" s="33"/>
      <c r="L237" s="33"/>
      <c r="M237" s="36"/>
      <c r="N237" s="47" t="str">
        <f aca="false">IF($B237="","",IF(NOT(ISNUMBER($B237)),"日期不是日期格式",IF(YEAR($B237)&lt;&gt;首页!$B$3,"不在会计年度",IF($D237="","未选供应商",IF(ISNA(MATCH($D237,基础资料!$AF$6:$AF$155,0)),"供应商不在档案",IF($E237="","未填商品或内容",IF(NOT(ISNUMBER($F237)),"数量须为数字",IF(NOT(ISNUMBER($G237)),"单价须为数字",IF(N($F237)&lt;=0,"数量须大于0",IF($I237="","请选是否入库",IF(AND($I237="是",ISNA(MATCH($E237,基础资料!$Q$6:$Q$205,0))),"入库商品必须在商品档案中",IF(AND($I237="否",$J237&lt;&gt;"",ISNA(MATCH($J237,科目参数!$A$6:$A$125,0))),"费用科目不存在","√"))))))))))))</f>
        <v/>
      </c>
      <c r="O237" s="49" t="str">
        <f aca="false">IF($E237="","",IFERROR(INDEX(基础资料!$R$6:$R$205,MATCH($E237,基础资料!$Q$6:$Q$205,0)),""))</f>
        <v/>
      </c>
      <c r="P237" s="49" t="str">
        <f aca="false">IF($E237="","",IFERROR(INDEX(基础资料!$S$6:$S$205,MATCH($E237,基础资料!$Q$6:$Q$205,0)),""))</f>
        <v/>
      </c>
      <c r="Q237" s="48" t="str">
        <f aca="false">IF(OR($F237="",$G237=""),"",ROUND(N($F237)*N($G237),2))</f>
        <v/>
      </c>
      <c r="R237" s="48" t="str">
        <f aca="false">IF($Q237="","",ROUND(N($Q237)*N($H237),2))</f>
        <v/>
      </c>
      <c r="S237" s="48" t="str">
        <f aca="false">IF($Q237="","",N($Q237)+N($R237))</f>
        <v/>
      </c>
      <c r="T237" s="52" t="str">
        <f aca="false">IF(OR($B237="",$D237=""),"",$B237+N(IFERROR(INDEX(基础资料!$AH$6:$AH$155,MATCH($D237,基础资料!$AF$6:$AF$155,0)),0)))</f>
        <v/>
      </c>
      <c r="U237" s="49" t="str">
        <f aca="false">IF($Q237="","",IF($I237="是","1405",IF($J237="","6602",$J237)))</f>
        <v/>
      </c>
      <c r="V237" s="49" t="str">
        <f aca="false">IF($Q237="","","2202")</f>
        <v/>
      </c>
      <c r="W237" s="48" t="str">
        <f aca="false">IF($Q237="","",$Q237)</f>
        <v/>
      </c>
      <c r="X237" s="49" t="str">
        <f aca="false">IF(N($R237)=0,"","2221")</f>
        <v/>
      </c>
      <c r="Y237" s="49" t="str">
        <f aca="false">IF(N($R237)=0,"","2202")</f>
        <v/>
      </c>
      <c r="Z237" s="48" t="str">
        <f aca="false">IF(N($R237)=0,"",$R237)</f>
        <v/>
      </c>
      <c r="AA237" s="49" t="str">
        <f aca="false">IF(AND($D237=供应商对账单!$B$3,$B237&gt;=供应商对账单!$E$3,$B237&lt;=供应商对账单!$H$3),COUNTIFS($D$5:$D237,供应商对账单!$B$3,$B$5:$B237,"&gt;="&amp;供应商对账单!$E$3,$B$5:$B237,"&lt;="&amp;供应商对账单!$H$3),"")</f>
        <v/>
      </c>
    </row>
    <row r="238" customFormat="false" ht="15.75" hidden="false" customHeight="true" outlineLevel="0" collapsed="false">
      <c r="A238" s="42" t="str">
        <f aca="false">IF($B238="","","CG"&amp;TEXT($B238,"yyyymm")&amp;"-"&amp;TEXT(ROW()-4,"000"))</f>
        <v/>
      </c>
      <c r="B238" s="41"/>
      <c r="C238" s="42" t="str">
        <f aca="false">IF($B238="","",TEXT($B238,"yyyy-mm"))</f>
        <v/>
      </c>
      <c r="D238" s="32"/>
      <c r="E238" s="36"/>
      <c r="F238" s="43"/>
      <c r="G238" s="40"/>
      <c r="H238" s="51"/>
      <c r="I238" s="33"/>
      <c r="J238" s="31"/>
      <c r="K238" s="33"/>
      <c r="L238" s="33"/>
      <c r="M238" s="36"/>
      <c r="N238" s="47" t="str">
        <f aca="false">IF($B238="","",IF(NOT(ISNUMBER($B238)),"日期不是日期格式",IF(YEAR($B238)&lt;&gt;首页!$B$3,"不在会计年度",IF($D238="","未选供应商",IF(ISNA(MATCH($D238,基础资料!$AF$6:$AF$155,0)),"供应商不在档案",IF($E238="","未填商品或内容",IF(NOT(ISNUMBER($F238)),"数量须为数字",IF(NOT(ISNUMBER($G238)),"单价须为数字",IF(N($F238)&lt;=0,"数量须大于0",IF($I238="","请选是否入库",IF(AND($I238="是",ISNA(MATCH($E238,基础资料!$Q$6:$Q$205,0))),"入库商品必须在商品档案中",IF(AND($I238="否",$J238&lt;&gt;"",ISNA(MATCH($J238,科目参数!$A$6:$A$125,0))),"费用科目不存在","√"))))))))))))</f>
        <v/>
      </c>
      <c r="O238" s="49" t="str">
        <f aca="false">IF($E238="","",IFERROR(INDEX(基础资料!$R$6:$R$205,MATCH($E238,基础资料!$Q$6:$Q$205,0)),""))</f>
        <v/>
      </c>
      <c r="P238" s="49" t="str">
        <f aca="false">IF($E238="","",IFERROR(INDEX(基础资料!$S$6:$S$205,MATCH($E238,基础资料!$Q$6:$Q$205,0)),""))</f>
        <v/>
      </c>
      <c r="Q238" s="48" t="str">
        <f aca="false">IF(OR($F238="",$G238=""),"",ROUND(N($F238)*N($G238),2))</f>
        <v/>
      </c>
      <c r="R238" s="48" t="str">
        <f aca="false">IF($Q238="","",ROUND(N($Q238)*N($H238),2))</f>
        <v/>
      </c>
      <c r="S238" s="48" t="str">
        <f aca="false">IF($Q238="","",N($Q238)+N($R238))</f>
        <v/>
      </c>
      <c r="T238" s="52" t="str">
        <f aca="false">IF(OR($B238="",$D238=""),"",$B238+N(IFERROR(INDEX(基础资料!$AH$6:$AH$155,MATCH($D238,基础资料!$AF$6:$AF$155,0)),0)))</f>
        <v/>
      </c>
      <c r="U238" s="49" t="str">
        <f aca="false">IF($Q238="","",IF($I238="是","1405",IF($J238="","6602",$J238)))</f>
        <v/>
      </c>
      <c r="V238" s="49" t="str">
        <f aca="false">IF($Q238="","","2202")</f>
        <v/>
      </c>
      <c r="W238" s="48" t="str">
        <f aca="false">IF($Q238="","",$Q238)</f>
        <v/>
      </c>
      <c r="X238" s="49" t="str">
        <f aca="false">IF(N($R238)=0,"","2221")</f>
        <v/>
      </c>
      <c r="Y238" s="49" t="str">
        <f aca="false">IF(N($R238)=0,"","2202")</f>
        <v/>
      </c>
      <c r="Z238" s="48" t="str">
        <f aca="false">IF(N($R238)=0,"",$R238)</f>
        <v/>
      </c>
      <c r="AA238" s="49" t="str">
        <f aca="false">IF(AND($D238=供应商对账单!$B$3,$B238&gt;=供应商对账单!$E$3,$B238&lt;=供应商对账单!$H$3),COUNTIFS($D$5:$D238,供应商对账单!$B$3,$B$5:$B238,"&gt;="&amp;供应商对账单!$E$3,$B$5:$B238,"&lt;="&amp;供应商对账单!$H$3),"")</f>
        <v/>
      </c>
    </row>
    <row r="239" customFormat="false" ht="15.75" hidden="false" customHeight="true" outlineLevel="0" collapsed="false">
      <c r="A239" s="42" t="str">
        <f aca="false">IF($B239="","","CG"&amp;TEXT($B239,"yyyymm")&amp;"-"&amp;TEXT(ROW()-4,"000"))</f>
        <v/>
      </c>
      <c r="B239" s="41"/>
      <c r="C239" s="42" t="str">
        <f aca="false">IF($B239="","",TEXT($B239,"yyyy-mm"))</f>
        <v/>
      </c>
      <c r="D239" s="32"/>
      <c r="E239" s="36"/>
      <c r="F239" s="43"/>
      <c r="G239" s="40"/>
      <c r="H239" s="51"/>
      <c r="I239" s="33"/>
      <c r="J239" s="31"/>
      <c r="K239" s="33"/>
      <c r="L239" s="33"/>
      <c r="M239" s="36"/>
      <c r="N239" s="47" t="str">
        <f aca="false">IF($B239="","",IF(NOT(ISNUMBER($B239)),"日期不是日期格式",IF(YEAR($B239)&lt;&gt;首页!$B$3,"不在会计年度",IF($D239="","未选供应商",IF(ISNA(MATCH($D239,基础资料!$AF$6:$AF$155,0)),"供应商不在档案",IF($E239="","未填商品或内容",IF(NOT(ISNUMBER($F239)),"数量须为数字",IF(NOT(ISNUMBER($G239)),"单价须为数字",IF(N($F239)&lt;=0,"数量须大于0",IF($I239="","请选是否入库",IF(AND($I239="是",ISNA(MATCH($E239,基础资料!$Q$6:$Q$205,0))),"入库商品必须在商品档案中",IF(AND($I239="否",$J239&lt;&gt;"",ISNA(MATCH($J239,科目参数!$A$6:$A$125,0))),"费用科目不存在","√"))))))))))))</f>
        <v/>
      </c>
      <c r="O239" s="49" t="str">
        <f aca="false">IF($E239="","",IFERROR(INDEX(基础资料!$R$6:$R$205,MATCH($E239,基础资料!$Q$6:$Q$205,0)),""))</f>
        <v/>
      </c>
      <c r="P239" s="49" t="str">
        <f aca="false">IF($E239="","",IFERROR(INDEX(基础资料!$S$6:$S$205,MATCH($E239,基础资料!$Q$6:$Q$205,0)),""))</f>
        <v/>
      </c>
      <c r="Q239" s="48" t="str">
        <f aca="false">IF(OR($F239="",$G239=""),"",ROUND(N($F239)*N($G239),2))</f>
        <v/>
      </c>
      <c r="R239" s="48" t="str">
        <f aca="false">IF($Q239="","",ROUND(N($Q239)*N($H239),2))</f>
        <v/>
      </c>
      <c r="S239" s="48" t="str">
        <f aca="false">IF($Q239="","",N($Q239)+N($R239))</f>
        <v/>
      </c>
      <c r="T239" s="52" t="str">
        <f aca="false">IF(OR($B239="",$D239=""),"",$B239+N(IFERROR(INDEX(基础资料!$AH$6:$AH$155,MATCH($D239,基础资料!$AF$6:$AF$155,0)),0)))</f>
        <v/>
      </c>
      <c r="U239" s="49" t="str">
        <f aca="false">IF($Q239="","",IF($I239="是","1405",IF($J239="","6602",$J239)))</f>
        <v/>
      </c>
      <c r="V239" s="49" t="str">
        <f aca="false">IF($Q239="","","2202")</f>
        <v/>
      </c>
      <c r="W239" s="48" t="str">
        <f aca="false">IF($Q239="","",$Q239)</f>
        <v/>
      </c>
      <c r="X239" s="49" t="str">
        <f aca="false">IF(N($R239)=0,"","2221")</f>
        <v/>
      </c>
      <c r="Y239" s="49" t="str">
        <f aca="false">IF(N($R239)=0,"","2202")</f>
        <v/>
      </c>
      <c r="Z239" s="48" t="str">
        <f aca="false">IF(N($R239)=0,"",$R239)</f>
        <v/>
      </c>
      <c r="AA239" s="49" t="str">
        <f aca="false">IF(AND($D239=供应商对账单!$B$3,$B239&gt;=供应商对账单!$E$3,$B239&lt;=供应商对账单!$H$3),COUNTIFS($D$5:$D239,供应商对账单!$B$3,$B$5:$B239,"&gt;="&amp;供应商对账单!$E$3,$B$5:$B239,"&lt;="&amp;供应商对账单!$H$3),"")</f>
        <v/>
      </c>
    </row>
    <row r="240" customFormat="false" ht="15.75" hidden="false" customHeight="true" outlineLevel="0" collapsed="false">
      <c r="A240" s="42" t="str">
        <f aca="false">IF($B240="","","CG"&amp;TEXT($B240,"yyyymm")&amp;"-"&amp;TEXT(ROW()-4,"000"))</f>
        <v/>
      </c>
      <c r="B240" s="41"/>
      <c r="C240" s="42" t="str">
        <f aca="false">IF($B240="","",TEXT($B240,"yyyy-mm"))</f>
        <v/>
      </c>
      <c r="D240" s="32"/>
      <c r="E240" s="36"/>
      <c r="F240" s="43"/>
      <c r="G240" s="40"/>
      <c r="H240" s="51"/>
      <c r="I240" s="33"/>
      <c r="J240" s="31"/>
      <c r="K240" s="33"/>
      <c r="L240" s="33"/>
      <c r="M240" s="36"/>
      <c r="N240" s="47" t="str">
        <f aca="false">IF($B240="","",IF(NOT(ISNUMBER($B240)),"日期不是日期格式",IF(YEAR($B240)&lt;&gt;首页!$B$3,"不在会计年度",IF($D240="","未选供应商",IF(ISNA(MATCH($D240,基础资料!$AF$6:$AF$155,0)),"供应商不在档案",IF($E240="","未填商品或内容",IF(NOT(ISNUMBER($F240)),"数量须为数字",IF(NOT(ISNUMBER($G240)),"单价须为数字",IF(N($F240)&lt;=0,"数量须大于0",IF($I240="","请选是否入库",IF(AND($I240="是",ISNA(MATCH($E240,基础资料!$Q$6:$Q$205,0))),"入库商品必须在商品档案中",IF(AND($I240="否",$J240&lt;&gt;"",ISNA(MATCH($J240,科目参数!$A$6:$A$125,0))),"费用科目不存在","√"))))))))))))</f>
        <v/>
      </c>
      <c r="O240" s="49" t="str">
        <f aca="false">IF($E240="","",IFERROR(INDEX(基础资料!$R$6:$R$205,MATCH($E240,基础资料!$Q$6:$Q$205,0)),""))</f>
        <v/>
      </c>
      <c r="P240" s="49" t="str">
        <f aca="false">IF($E240="","",IFERROR(INDEX(基础资料!$S$6:$S$205,MATCH($E240,基础资料!$Q$6:$Q$205,0)),""))</f>
        <v/>
      </c>
      <c r="Q240" s="48" t="str">
        <f aca="false">IF(OR($F240="",$G240=""),"",ROUND(N($F240)*N($G240),2))</f>
        <v/>
      </c>
      <c r="R240" s="48" t="str">
        <f aca="false">IF($Q240="","",ROUND(N($Q240)*N($H240),2))</f>
        <v/>
      </c>
      <c r="S240" s="48" t="str">
        <f aca="false">IF($Q240="","",N($Q240)+N($R240))</f>
        <v/>
      </c>
      <c r="T240" s="52" t="str">
        <f aca="false">IF(OR($B240="",$D240=""),"",$B240+N(IFERROR(INDEX(基础资料!$AH$6:$AH$155,MATCH($D240,基础资料!$AF$6:$AF$155,0)),0)))</f>
        <v/>
      </c>
      <c r="U240" s="49" t="str">
        <f aca="false">IF($Q240="","",IF($I240="是","1405",IF($J240="","6602",$J240)))</f>
        <v/>
      </c>
      <c r="V240" s="49" t="str">
        <f aca="false">IF($Q240="","","2202")</f>
        <v/>
      </c>
      <c r="W240" s="48" t="str">
        <f aca="false">IF($Q240="","",$Q240)</f>
        <v/>
      </c>
      <c r="X240" s="49" t="str">
        <f aca="false">IF(N($R240)=0,"","2221")</f>
        <v/>
      </c>
      <c r="Y240" s="49" t="str">
        <f aca="false">IF(N($R240)=0,"","2202")</f>
        <v/>
      </c>
      <c r="Z240" s="48" t="str">
        <f aca="false">IF(N($R240)=0,"",$R240)</f>
        <v/>
      </c>
      <c r="AA240" s="49" t="str">
        <f aca="false">IF(AND($D240=供应商对账单!$B$3,$B240&gt;=供应商对账单!$E$3,$B240&lt;=供应商对账单!$H$3),COUNTIFS($D$5:$D240,供应商对账单!$B$3,$B$5:$B240,"&gt;="&amp;供应商对账单!$E$3,$B$5:$B240,"&lt;="&amp;供应商对账单!$H$3),"")</f>
        <v/>
      </c>
    </row>
    <row r="241" customFormat="false" ht="15.75" hidden="false" customHeight="true" outlineLevel="0" collapsed="false">
      <c r="A241" s="42" t="str">
        <f aca="false">IF($B241="","","CG"&amp;TEXT($B241,"yyyymm")&amp;"-"&amp;TEXT(ROW()-4,"000"))</f>
        <v/>
      </c>
      <c r="B241" s="41"/>
      <c r="C241" s="42" t="str">
        <f aca="false">IF($B241="","",TEXT($B241,"yyyy-mm"))</f>
        <v/>
      </c>
      <c r="D241" s="32"/>
      <c r="E241" s="36"/>
      <c r="F241" s="43"/>
      <c r="G241" s="40"/>
      <c r="H241" s="51"/>
      <c r="I241" s="33"/>
      <c r="J241" s="31"/>
      <c r="K241" s="33"/>
      <c r="L241" s="33"/>
      <c r="M241" s="36"/>
      <c r="N241" s="47" t="str">
        <f aca="false">IF($B241="","",IF(NOT(ISNUMBER($B241)),"日期不是日期格式",IF(YEAR($B241)&lt;&gt;首页!$B$3,"不在会计年度",IF($D241="","未选供应商",IF(ISNA(MATCH($D241,基础资料!$AF$6:$AF$155,0)),"供应商不在档案",IF($E241="","未填商品或内容",IF(NOT(ISNUMBER($F241)),"数量须为数字",IF(NOT(ISNUMBER($G241)),"单价须为数字",IF(N($F241)&lt;=0,"数量须大于0",IF($I241="","请选是否入库",IF(AND($I241="是",ISNA(MATCH($E241,基础资料!$Q$6:$Q$205,0))),"入库商品必须在商品档案中",IF(AND($I241="否",$J241&lt;&gt;"",ISNA(MATCH($J241,科目参数!$A$6:$A$125,0))),"费用科目不存在","√"))))))))))))</f>
        <v/>
      </c>
      <c r="O241" s="49" t="str">
        <f aca="false">IF($E241="","",IFERROR(INDEX(基础资料!$R$6:$R$205,MATCH($E241,基础资料!$Q$6:$Q$205,0)),""))</f>
        <v/>
      </c>
      <c r="P241" s="49" t="str">
        <f aca="false">IF($E241="","",IFERROR(INDEX(基础资料!$S$6:$S$205,MATCH($E241,基础资料!$Q$6:$Q$205,0)),""))</f>
        <v/>
      </c>
      <c r="Q241" s="48" t="str">
        <f aca="false">IF(OR($F241="",$G241=""),"",ROUND(N($F241)*N($G241),2))</f>
        <v/>
      </c>
      <c r="R241" s="48" t="str">
        <f aca="false">IF($Q241="","",ROUND(N($Q241)*N($H241),2))</f>
        <v/>
      </c>
      <c r="S241" s="48" t="str">
        <f aca="false">IF($Q241="","",N($Q241)+N($R241))</f>
        <v/>
      </c>
      <c r="T241" s="52" t="str">
        <f aca="false">IF(OR($B241="",$D241=""),"",$B241+N(IFERROR(INDEX(基础资料!$AH$6:$AH$155,MATCH($D241,基础资料!$AF$6:$AF$155,0)),0)))</f>
        <v/>
      </c>
      <c r="U241" s="49" t="str">
        <f aca="false">IF($Q241="","",IF($I241="是","1405",IF($J241="","6602",$J241)))</f>
        <v/>
      </c>
      <c r="V241" s="49" t="str">
        <f aca="false">IF($Q241="","","2202")</f>
        <v/>
      </c>
      <c r="W241" s="48" t="str">
        <f aca="false">IF($Q241="","",$Q241)</f>
        <v/>
      </c>
      <c r="X241" s="49" t="str">
        <f aca="false">IF(N($R241)=0,"","2221")</f>
        <v/>
      </c>
      <c r="Y241" s="49" t="str">
        <f aca="false">IF(N($R241)=0,"","2202")</f>
        <v/>
      </c>
      <c r="Z241" s="48" t="str">
        <f aca="false">IF(N($R241)=0,"",$R241)</f>
        <v/>
      </c>
      <c r="AA241" s="49" t="str">
        <f aca="false">IF(AND($D241=供应商对账单!$B$3,$B241&gt;=供应商对账单!$E$3,$B241&lt;=供应商对账单!$H$3),COUNTIFS($D$5:$D241,供应商对账单!$B$3,$B$5:$B241,"&gt;="&amp;供应商对账单!$E$3,$B$5:$B241,"&lt;="&amp;供应商对账单!$H$3),"")</f>
        <v/>
      </c>
    </row>
    <row r="242" customFormat="false" ht="15.75" hidden="false" customHeight="true" outlineLevel="0" collapsed="false">
      <c r="A242" s="42" t="str">
        <f aca="false">IF($B242="","","CG"&amp;TEXT($B242,"yyyymm")&amp;"-"&amp;TEXT(ROW()-4,"000"))</f>
        <v/>
      </c>
      <c r="B242" s="41"/>
      <c r="C242" s="42" t="str">
        <f aca="false">IF($B242="","",TEXT($B242,"yyyy-mm"))</f>
        <v/>
      </c>
      <c r="D242" s="32"/>
      <c r="E242" s="36"/>
      <c r="F242" s="43"/>
      <c r="G242" s="40"/>
      <c r="H242" s="51"/>
      <c r="I242" s="33"/>
      <c r="J242" s="31"/>
      <c r="K242" s="33"/>
      <c r="L242" s="33"/>
      <c r="M242" s="36"/>
      <c r="N242" s="47" t="str">
        <f aca="false">IF($B242="","",IF(NOT(ISNUMBER($B242)),"日期不是日期格式",IF(YEAR($B242)&lt;&gt;首页!$B$3,"不在会计年度",IF($D242="","未选供应商",IF(ISNA(MATCH($D242,基础资料!$AF$6:$AF$155,0)),"供应商不在档案",IF($E242="","未填商品或内容",IF(NOT(ISNUMBER($F242)),"数量须为数字",IF(NOT(ISNUMBER($G242)),"单价须为数字",IF(N($F242)&lt;=0,"数量须大于0",IF($I242="","请选是否入库",IF(AND($I242="是",ISNA(MATCH($E242,基础资料!$Q$6:$Q$205,0))),"入库商品必须在商品档案中",IF(AND($I242="否",$J242&lt;&gt;"",ISNA(MATCH($J242,科目参数!$A$6:$A$125,0))),"费用科目不存在","√"))))))))))))</f>
        <v/>
      </c>
      <c r="O242" s="49" t="str">
        <f aca="false">IF($E242="","",IFERROR(INDEX(基础资料!$R$6:$R$205,MATCH($E242,基础资料!$Q$6:$Q$205,0)),""))</f>
        <v/>
      </c>
      <c r="P242" s="49" t="str">
        <f aca="false">IF($E242="","",IFERROR(INDEX(基础资料!$S$6:$S$205,MATCH($E242,基础资料!$Q$6:$Q$205,0)),""))</f>
        <v/>
      </c>
      <c r="Q242" s="48" t="str">
        <f aca="false">IF(OR($F242="",$G242=""),"",ROUND(N($F242)*N($G242),2))</f>
        <v/>
      </c>
      <c r="R242" s="48" t="str">
        <f aca="false">IF($Q242="","",ROUND(N($Q242)*N($H242),2))</f>
        <v/>
      </c>
      <c r="S242" s="48" t="str">
        <f aca="false">IF($Q242="","",N($Q242)+N($R242))</f>
        <v/>
      </c>
      <c r="T242" s="52" t="str">
        <f aca="false">IF(OR($B242="",$D242=""),"",$B242+N(IFERROR(INDEX(基础资料!$AH$6:$AH$155,MATCH($D242,基础资料!$AF$6:$AF$155,0)),0)))</f>
        <v/>
      </c>
      <c r="U242" s="49" t="str">
        <f aca="false">IF($Q242="","",IF($I242="是","1405",IF($J242="","6602",$J242)))</f>
        <v/>
      </c>
      <c r="V242" s="49" t="str">
        <f aca="false">IF($Q242="","","2202")</f>
        <v/>
      </c>
      <c r="W242" s="48" t="str">
        <f aca="false">IF($Q242="","",$Q242)</f>
        <v/>
      </c>
      <c r="X242" s="49" t="str">
        <f aca="false">IF(N($R242)=0,"","2221")</f>
        <v/>
      </c>
      <c r="Y242" s="49" t="str">
        <f aca="false">IF(N($R242)=0,"","2202")</f>
        <v/>
      </c>
      <c r="Z242" s="48" t="str">
        <f aca="false">IF(N($R242)=0,"",$R242)</f>
        <v/>
      </c>
      <c r="AA242" s="49" t="str">
        <f aca="false">IF(AND($D242=供应商对账单!$B$3,$B242&gt;=供应商对账单!$E$3,$B242&lt;=供应商对账单!$H$3),COUNTIFS($D$5:$D242,供应商对账单!$B$3,$B$5:$B242,"&gt;="&amp;供应商对账单!$E$3,$B$5:$B242,"&lt;="&amp;供应商对账单!$H$3),"")</f>
        <v/>
      </c>
    </row>
    <row r="243" customFormat="false" ht="15.75" hidden="false" customHeight="true" outlineLevel="0" collapsed="false">
      <c r="A243" s="42" t="str">
        <f aca="false">IF($B243="","","CG"&amp;TEXT($B243,"yyyymm")&amp;"-"&amp;TEXT(ROW()-4,"000"))</f>
        <v/>
      </c>
      <c r="B243" s="41"/>
      <c r="C243" s="42" t="str">
        <f aca="false">IF($B243="","",TEXT($B243,"yyyy-mm"))</f>
        <v/>
      </c>
      <c r="D243" s="32"/>
      <c r="E243" s="36"/>
      <c r="F243" s="43"/>
      <c r="G243" s="40"/>
      <c r="H243" s="51"/>
      <c r="I243" s="33"/>
      <c r="J243" s="31"/>
      <c r="K243" s="33"/>
      <c r="L243" s="33"/>
      <c r="M243" s="36"/>
      <c r="N243" s="47" t="str">
        <f aca="false">IF($B243="","",IF(NOT(ISNUMBER($B243)),"日期不是日期格式",IF(YEAR($B243)&lt;&gt;首页!$B$3,"不在会计年度",IF($D243="","未选供应商",IF(ISNA(MATCH($D243,基础资料!$AF$6:$AF$155,0)),"供应商不在档案",IF($E243="","未填商品或内容",IF(NOT(ISNUMBER($F243)),"数量须为数字",IF(NOT(ISNUMBER($G243)),"单价须为数字",IF(N($F243)&lt;=0,"数量须大于0",IF($I243="","请选是否入库",IF(AND($I243="是",ISNA(MATCH($E243,基础资料!$Q$6:$Q$205,0))),"入库商品必须在商品档案中",IF(AND($I243="否",$J243&lt;&gt;"",ISNA(MATCH($J243,科目参数!$A$6:$A$125,0))),"费用科目不存在","√"))))))))))))</f>
        <v/>
      </c>
      <c r="O243" s="49" t="str">
        <f aca="false">IF($E243="","",IFERROR(INDEX(基础资料!$R$6:$R$205,MATCH($E243,基础资料!$Q$6:$Q$205,0)),""))</f>
        <v/>
      </c>
      <c r="P243" s="49" t="str">
        <f aca="false">IF($E243="","",IFERROR(INDEX(基础资料!$S$6:$S$205,MATCH($E243,基础资料!$Q$6:$Q$205,0)),""))</f>
        <v/>
      </c>
      <c r="Q243" s="48" t="str">
        <f aca="false">IF(OR($F243="",$G243=""),"",ROUND(N($F243)*N($G243),2))</f>
        <v/>
      </c>
      <c r="R243" s="48" t="str">
        <f aca="false">IF($Q243="","",ROUND(N($Q243)*N($H243),2))</f>
        <v/>
      </c>
      <c r="S243" s="48" t="str">
        <f aca="false">IF($Q243="","",N($Q243)+N($R243))</f>
        <v/>
      </c>
      <c r="T243" s="52" t="str">
        <f aca="false">IF(OR($B243="",$D243=""),"",$B243+N(IFERROR(INDEX(基础资料!$AH$6:$AH$155,MATCH($D243,基础资料!$AF$6:$AF$155,0)),0)))</f>
        <v/>
      </c>
      <c r="U243" s="49" t="str">
        <f aca="false">IF($Q243="","",IF($I243="是","1405",IF($J243="","6602",$J243)))</f>
        <v/>
      </c>
      <c r="V243" s="49" t="str">
        <f aca="false">IF($Q243="","","2202")</f>
        <v/>
      </c>
      <c r="W243" s="48" t="str">
        <f aca="false">IF($Q243="","",$Q243)</f>
        <v/>
      </c>
      <c r="X243" s="49" t="str">
        <f aca="false">IF(N($R243)=0,"","2221")</f>
        <v/>
      </c>
      <c r="Y243" s="49" t="str">
        <f aca="false">IF(N($R243)=0,"","2202")</f>
        <v/>
      </c>
      <c r="Z243" s="48" t="str">
        <f aca="false">IF(N($R243)=0,"",$R243)</f>
        <v/>
      </c>
      <c r="AA243" s="49" t="str">
        <f aca="false">IF(AND($D243=供应商对账单!$B$3,$B243&gt;=供应商对账单!$E$3,$B243&lt;=供应商对账单!$H$3),COUNTIFS($D$5:$D243,供应商对账单!$B$3,$B$5:$B243,"&gt;="&amp;供应商对账单!$E$3,$B$5:$B243,"&lt;="&amp;供应商对账单!$H$3),"")</f>
        <v/>
      </c>
    </row>
    <row r="244" customFormat="false" ht="15.75" hidden="false" customHeight="true" outlineLevel="0" collapsed="false">
      <c r="A244" s="42" t="str">
        <f aca="false">IF($B244="","","CG"&amp;TEXT($B244,"yyyymm")&amp;"-"&amp;TEXT(ROW()-4,"000"))</f>
        <v/>
      </c>
      <c r="B244" s="41"/>
      <c r="C244" s="42" t="str">
        <f aca="false">IF($B244="","",TEXT($B244,"yyyy-mm"))</f>
        <v/>
      </c>
      <c r="D244" s="32"/>
      <c r="E244" s="36"/>
      <c r="F244" s="43"/>
      <c r="G244" s="40"/>
      <c r="H244" s="51"/>
      <c r="I244" s="33"/>
      <c r="J244" s="31"/>
      <c r="K244" s="33"/>
      <c r="L244" s="33"/>
      <c r="M244" s="36"/>
      <c r="N244" s="47" t="str">
        <f aca="false">IF($B244="","",IF(NOT(ISNUMBER($B244)),"日期不是日期格式",IF(YEAR($B244)&lt;&gt;首页!$B$3,"不在会计年度",IF($D244="","未选供应商",IF(ISNA(MATCH($D244,基础资料!$AF$6:$AF$155,0)),"供应商不在档案",IF($E244="","未填商品或内容",IF(NOT(ISNUMBER($F244)),"数量须为数字",IF(NOT(ISNUMBER($G244)),"单价须为数字",IF(N($F244)&lt;=0,"数量须大于0",IF($I244="","请选是否入库",IF(AND($I244="是",ISNA(MATCH($E244,基础资料!$Q$6:$Q$205,0))),"入库商品必须在商品档案中",IF(AND($I244="否",$J244&lt;&gt;"",ISNA(MATCH($J244,科目参数!$A$6:$A$125,0))),"费用科目不存在","√"))))))))))))</f>
        <v/>
      </c>
      <c r="O244" s="49" t="str">
        <f aca="false">IF($E244="","",IFERROR(INDEX(基础资料!$R$6:$R$205,MATCH($E244,基础资料!$Q$6:$Q$205,0)),""))</f>
        <v/>
      </c>
      <c r="P244" s="49" t="str">
        <f aca="false">IF($E244="","",IFERROR(INDEX(基础资料!$S$6:$S$205,MATCH($E244,基础资料!$Q$6:$Q$205,0)),""))</f>
        <v/>
      </c>
      <c r="Q244" s="48" t="str">
        <f aca="false">IF(OR($F244="",$G244=""),"",ROUND(N($F244)*N($G244),2))</f>
        <v/>
      </c>
      <c r="R244" s="48" t="str">
        <f aca="false">IF($Q244="","",ROUND(N($Q244)*N($H244),2))</f>
        <v/>
      </c>
      <c r="S244" s="48" t="str">
        <f aca="false">IF($Q244="","",N($Q244)+N($R244))</f>
        <v/>
      </c>
      <c r="T244" s="52" t="str">
        <f aca="false">IF(OR($B244="",$D244=""),"",$B244+N(IFERROR(INDEX(基础资料!$AH$6:$AH$155,MATCH($D244,基础资料!$AF$6:$AF$155,0)),0)))</f>
        <v/>
      </c>
      <c r="U244" s="49" t="str">
        <f aca="false">IF($Q244="","",IF($I244="是","1405",IF($J244="","6602",$J244)))</f>
        <v/>
      </c>
      <c r="V244" s="49" t="str">
        <f aca="false">IF($Q244="","","2202")</f>
        <v/>
      </c>
      <c r="W244" s="48" t="str">
        <f aca="false">IF($Q244="","",$Q244)</f>
        <v/>
      </c>
      <c r="X244" s="49" t="str">
        <f aca="false">IF(N($R244)=0,"","2221")</f>
        <v/>
      </c>
      <c r="Y244" s="49" t="str">
        <f aca="false">IF(N($R244)=0,"","2202")</f>
        <v/>
      </c>
      <c r="Z244" s="48" t="str">
        <f aca="false">IF(N($R244)=0,"",$R244)</f>
        <v/>
      </c>
      <c r="AA244" s="49" t="str">
        <f aca="false">IF(AND($D244=供应商对账单!$B$3,$B244&gt;=供应商对账单!$E$3,$B244&lt;=供应商对账单!$H$3),COUNTIFS($D$5:$D244,供应商对账单!$B$3,$B$5:$B244,"&gt;="&amp;供应商对账单!$E$3,$B$5:$B244,"&lt;="&amp;供应商对账单!$H$3),"")</f>
        <v/>
      </c>
    </row>
    <row r="245" customFormat="false" ht="15.75" hidden="false" customHeight="true" outlineLevel="0" collapsed="false">
      <c r="A245" s="42" t="str">
        <f aca="false">IF($B245="","","CG"&amp;TEXT($B245,"yyyymm")&amp;"-"&amp;TEXT(ROW()-4,"000"))</f>
        <v/>
      </c>
      <c r="B245" s="41"/>
      <c r="C245" s="42" t="str">
        <f aca="false">IF($B245="","",TEXT($B245,"yyyy-mm"))</f>
        <v/>
      </c>
      <c r="D245" s="32"/>
      <c r="E245" s="36"/>
      <c r="F245" s="43"/>
      <c r="G245" s="40"/>
      <c r="H245" s="51"/>
      <c r="I245" s="33"/>
      <c r="J245" s="31"/>
      <c r="K245" s="33"/>
      <c r="L245" s="33"/>
      <c r="M245" s="36"/>
      <c r="N245" s="47" t="str">
        <f aca="false">IF($B245="","",IF(NOT(ISNUMBER($B245)),"日期不是日期格式",IF(YEAR($B245)&lt;&gt;首页!$B$3,"不在会计年度",IF($D245="","未选供应商",IF(ISNA(MATCH($D245,基础资料!$AF$6:$AF$155,0)),"供应商不在档案",IF($E245="","未填商品或内容",IF(NOT(ISNUMBER($F245)),"数量须为数字",IF(NOT(ISNUMBER($G245)),"单价须为数字",IF(N($F245)&lt;=0,"数量须大于0",IF($I245="","请选是否入库",IF(AND($I245="是",ISNA(MATCH($E245,基础资料!$Q$6:$Q$205,0))),"入库商品必须在商品档案中",IF(AND($I245="否",$J245&lt;&gt;"",ISNA(MATCH($J245,科目参数!$A$6:$A$125,0))),"费用科目不存在","√"))))))))))))</f>
        <v/>
      </c>
      <c r="O245" s="49" t="str">
        <f aca="false">IF($E245="","",IFERROR(INDEX(基础资料!$R$6:$R$205,MATCH($E245,基础资料!$Q$6:$Q$205,0)),""))</f>
        <v/>
      </c>
      <c r="P245" s="49" t="str">
        <f aca="false">IF($E245="","",IFERROR(INDEX(基础资料!$S$6:$S$205,MATCH($E245,基础资料!$Q$6:$Q$205,0)),""))</f>
        <v/>
      </c>
      <c r="Q245" s="48" t="str">
        <f aca="false">IF(OR($F245="",$G245=""),"",ROUND(N($F245)*N($G245),2))</f>
        <v/>
      </c>
      <c r="R245" s="48" t="str">
        <f aca="false">IF($Q245="","",ROUND(N($Q245)*N($H245),2))</f>
        <v/>
      </c>
      <c r="S245" s="48" t="str">
        <f aca="false">IF($Q245="","",N($Q245)+N($R245))</f>
        <v/>
      </c>
      <c r="T245" s="52" t="str">
        <f aca="false">IF(OR($B245="",$D245=""),"",$B245+N(IFERROR(INDEX(基础资料!$AH$6:$AH$155,MATCH($D245,基础资料!$AF$6:$AF$155,0)),0)))</f>
        <v/>
      </c>
      <c r="U245" s="49" t="str">
        <f aca="false">IF($Q245="","",IF($I245="是","1405",IF($J245="","6602",$J245)))</f>
        <v/>
      </c>
      <c r="V245" s="49" t="str">
        <f aca="false">IF($Q245="","","2202")</f>
        <v/>
      </c>
      <c r="W245" s="48" t="str">
        <f aca="false">IF($Q245="","",$Q245)</f>
        <v/>
      </c>
      <c r="X245" s="49" t="str">
        <f aca="false">IF(N($R245)=0,"","2221")</f>
        <v/>
      </c>
      <c r="Y245" s="49" t="str">
        <f aca="false">IF(N($R245)=0,"","2202")</f>
        <v/>
      </c>
      <c r="Z245" s="48" t="str">
        <f aca="false">IF(N($R245)=0,"",$R245)</f>
        <v/>
      </c>
      <c r="AA245" s="49" t="str">
        <f aca="false">IF(AND($D245=供应商对账单!$B$3,$B245&gt;=供应商对账单!$E$3,$B245&lt;=供应商对账单!$H$3),COUNTIFS($D$5:$D245,供应商对账单!$B$3,$B$5:$B245,"&gt;="&amp;供应商对账单!$E$3,$B$5:$B245,"&lt;="&amp;供应商对账单!$H$3),"")</f>
        <v/>
      </c>
    </row>
    <row r="246" customFormat="false" ht="15.75" hidden="false" customHeight="true" outlineLevel="0" collapsed="false">
      <c r="A246" s="42" t="str">
        <f aca="false">IF($B246="","","CG"&amp;TEXT($B246,"yyyymm")&amp;"-"&amp;TEXT(ROW()-4,"000"))</f>
        <v/>
      </c>
      <c r="B246" s="41"/>
      <c r="C246" s="42" t="str">
        <f aca="false">IF($B246="","",TEXT($B246,"yyyy-mm"))</f>
        <v/>
      </c>
      <c r="D246" s="32"/>
      <c r="E246" s="36"/>
      <c r="F246" s="43"/>
      <c r="G246" s="40"/>
      <c r="H246" s="51"/>
      <c r="I246" s="33"/>
      <c r="J246" s="31"/>
      <c r="K246" s="33"/>
      <c r="L246" s="33"/>
      <c r="M246" s="36"/>
      <c r="N246" s="47" t="str">
        <f aca="false">IF($B246="","",IF(NOT(ISNUMBER($B246)),"日期不是日期格式",IF(YEAR($B246)&lt;&gt;首页!$B$3,"不在会计年度",IF($D246="","未选供应商",IF(ISNA(MATCH($D246,基础资料!$AF$6:$AF$155,0)),"供应商不在档案",IF($E246="","未填商品或内容",IF(NOT(ISNUMBER($F246)),"数量须为数字",IF(NOT(ISNUMBER($G246)),"单价须为数字",IF(N($F246)&lt;=0,"数量须大于0",IF($I246="","请选是否入库",IF(AND($I246="是",ISNA(MATCH($E246,基础资料!$Q$6:$Q$205,0))),"入库商品必须在商品档案中",IF(AND($I246="否",$J246&lt;&gt;"",ISNA(MATCH($J246,科目参数!$A$6:$A$125,0))),"费用科目不存在","√"))))))))))))</f>
        <v/>
      </c>
      <c r="O246" s="49" t="str">
        <f aca="false">IF($E246="","",IFERROR(INDEX(基础资料!$R$6:$R$205,MATCH($E246,基础资料!$Q$6:$Q$205,0)),""))</f>
        <v/>
      </c>
      <c r="P246" s="49" t="str">
        <f aca="false">IF($E246="","",IFERROR(INDEX(基础资料!$S$6:$S$205,MATCH($E246,基础资料!$Q$6:$Q$205,0)),""))</f>
        <v/>
      </c>
      <c r="Q246" s="48" t="str">
        <f aca="false">IF(OR($F246="",$G246=""),"",ROUND(N($F246)*N($G246),2))</f>
        <v/>
      </c>
      <c r="R246" s="48" t="str">
        <f aca="false">IF($Q246="","",ROUND(N($Q246)*N($H246),2))</f>
        <v/>
      </c>
      <c r="S246" s="48" t="str">
        <f aca="false">IF($Q246="","",N($Q246)+N($R246))</f>
        <v/>
      </c>
      <c r="T246" s="52" t="str">
        <f aca="false">IF(OR($B246="",$D246=""),"",$B246+N(IFERROR(INDEX(基础资料!$AH$6:$AH$155,MATCH($D246,基础资料!$AF$6:$AF$155,0)),0)))</f>
        <v/>
      </c>
      <c r="U246" s="49" t="str">
        <f aca="false">IF($Q246="","",IF($I246="是","1405",IF($J246="","6602",$J246)))</f>
        <v/>
      </c>
      <c r="V246" s="49" t="str">
        <f aca="false">IF($Q246="","","2202")</f>
        <v/>
      </c>
      <c r="W246" s="48" t="str">
        <f aca="false">IF($Q246="","",$Q246)</f>
        <v/>
      </c>
      <c r="X246" s="49" t="str">
        <f aca="false">IF(N($R246)=0,"","2221")</f>
        <v/>
      </c>
      <c r="Y246" s="49" t="str">
        <f aca="false">IF(N($R246)=0,"","2202")</f>
        <v/>
      </c>
      <c r="Z246" s="48" t="str">
        <f aca="false">IF(N($R246)=0,"",$R246)</f>
        <v/>
      </c>
      <c r="AA246" s="49" t="str">
        <f aca="false">IF(AND($D246=供应商对账单!$B$3,$B246&gt;=供应商对账单!$E$3,$B246&lt;=供应商对账单!$H$3),COUNTIFS($D$5:$D246,供应商对账单!$B$3,$B$5:$B246,"&gt;="&amp;供应商对账单!$E$3,$B$5:$B246,"&lt;="&amp;供应商对账单!$H$3),"")</f>
        <v/>
      </c>
    </row>
    <row r="247" customFormat="false" ht="15.75" hidden="false" customHeight="true" outlineLevel="0" collapsed="false">
      <c r="A247" s="42" t="str">
        <f aca="false">IF($B247="","","CG"&amp;TEXT($B247,"yyyymm")&amp;"-"&amp;TEXT(ROW()-4,"000"))</f>
        <v/>
      </c>
      <c r="B247" s="41"/>
      <c r="C247" s="42" t="str">
        <f aca="false">IF($B247="","",TEXT($B247,"yyyy-mm"))</f>
        <v/>
      </c>
      <c r="D247" s="32"/>
      <c r="E247" s="36"/>
      <c r="F247" s="43"/>
      <c r="G247" s="40"/>
      <c r="H247" s="51"/>
      <c r="I247" s="33"/>
      <c r="J247" s="31"/>
      <c r="K247" s="33"/>
      <c r="L247" s="33"/>
      <c r="M247" s="36"/>
      <c r="N247" s="47" t="str">
        <f aca="false">IF($B247="","",IF(NOT(ISNUMBER($B247)),"日期不是日期格式",IF(YEAR($B247)&lt;&gt;首页!$B$3,"不在会计年度",IF($D247="","未选供应商",IF(ISNA(MATCH($D247,基础资料!$AF$6:$AF$155,0)),"供应商不在档案",IF($E247="","未填商品或内容",IF(NOT(ISNUMBER($F247)),"数量须为数字",IF(NOT(ISNUMBER($G247)),"单价须为数字",IF(N($F247)&lt;=0,"数量须大于0",IF($I247="","请选是否入库",IF(AND($I247="是",ISNA(MATCH($E247,基础资料!$Q$6:$Q$205,0))),"入库商品必须在商品档案中",IF(AND($I247="否",$J247&lt;&gt;"",ISNA(MATCH($J247,科目参数!$A$6:$A$125,0))),"费用科目不存在","√"))))))))))))</f>
        <v/>
      </c>
      <c r="O247" s="49" t="str">
        <f aca="false">IF($E247="","",IFERROR(INDEX(基础资料!$R$6:$R$205,MATCH($E247,基础资料!$Q$6:$Q$205,0)),""))</f>
        <v/>
      </c>
      <c r="P247" s="49" t="str">
        <f aca="false">IF($E247="","",IFERROR(INDEX(基础资料!$S$6:$S$205,MATCH($E247,基础资料!$Q$6:$Q$205,0)),""))</f>
        <v/>
      </c>
      <c r="Q247" s="48" t="str">
        <f aca="false">IF(OR($F247="",$G247=""),"",ROUND(N($F247)*N($G247),2))</f>
        <v/>
      </c>
      <c r="R247" s="48" t="str">
        <f aca="false">IF($Q247="","",ROUND(N($Q247)*N($H247),2))</f>
        <v/>
      </c>
      <c r="S247" s="48" t="str">
        <f aca="false">IF($Q247="","",N($Q247)+N($R247))</f>
        <v/>
      </c>
      <c r="T247" s="52" t="str">
        <f aca="false">IF(OR($B247="",$D247=""),"",$B247+N(IFERROR(INDEX(基础资料!$AH$6:$AH$155,MATCH($D247,基础资料!$AF$6:$AF$155,0)),0)))</f>
        <v/>
      </c>
      <c r="U247" s="49" t="str">
        <f aca="false">IF($Q247="","",IF($I247="是","1405",IF($J247="","6602",$J247)))</f>
        <v/>
      </c>
      <c r="V247" s="49" t="str">
        <f aca="false">IF($Q247="","","2202")</f>
        <v/>
      </c>
      <c r="W247" s="48" t="str">
        <f aca="false">IF($Q247="","",$Q247)</f>
        <v/>
      </c>
      <c r="X247" s="49" t="str">
        <f aca="false">IF(N($R247)=0,"","2221")</f>
        <v/>
      </c>
      <c r="Y247" s="49" t="str">
        <f aca="false">IF(N($R247)=0,"","2202")</f>
        <v/>
      </c>
      <c r="Z247" s="48" t="str">
        <f aca="false">IF(N($R247)=0,"",$R247)</f>
        <v/>
      </c>
      <c r="AA247" s="49" t="str">
        <f aca="false">IF(AND($D247=供应商对账单!$B$3,$B247&gt;=供应商对账单!$E$3,$B247&lt;=供应商对账单!$H$3),COUNTIFS($D$5:$D247,供应商对账单!$B$3,$B$5:$B247,"&gt;="&amp;供应商对账单!$E$3,$B$5:$B247,"&lt;="&amp;供应商对账单!$H$3),"")</f>
        <v/>
      </c>
    </row>
    <row r="248" customFormat="false" ht="15.75" hidden="false" customHeight="true" outlineLevel="0" collapsed="false">
      <c r="A248" s="42" t="str">
        <f aca="false">IF($B248="","","CG"&amp;TEXT($B248,"yyyymm")&amp;"-"&amp;TEXT(ROW()-4,"000"))</f>
        <v/>
      </c>
      <c r="B248" s="41"/>
      <c r="C248" s="42" t="str">
        <f aca="false">IF($B248="","",TEXT($B248,"yyyy-mm"))</f>
        <v/>
      </c>
      <c r="D248" s="32"/>
      <c r="E248" s="36"/>
      <c r="F248" s="43"/>
      <c r="G248" s="40"/>
      <c r="H248" s="51"/>
      <c r="I248" s="33"/>
      <c r="J248" s="31"/>
      <c r="K248" s="33"/>
      <c r="L248" s="33"/>
      <c r="M248" s="36"/>
      <c r="N248" s="47" t="str">
        <f aca="false">IF($B248="","",IF(NOT(ISNUMBER($B248)),"日期不是日期格式",IF(YEAR($B248)&lt;&gt;首页!$B$3,"不在会计年度",IF($D248="","未选供应商",IF(ISNA(MATCH($D248,基础资料!$AF$6:$AF$155,0)),"供应商不在档案",IF($E248="","未填商品或内容",IF(NOT(ISNUMBER($F248)),"数量须为数字",IF(NOT(ISNUMBER($G248)),"单价须为数字",IF(N($F248)&lt;=0,"数量须大于0",IF($I248="","请选是否入库",IF(AND($I248="是",ISNA(MATCH($E248,基础资料!$Q$6:$Q$205,0))),"入库商品必须在商品档案中",IF(AND($I248="否",$J248&lt;&gt;"",ISNA(MATCH($J248,科目参数!$A$6:$A$125,0))),"费用科目不存在","√"))))))))))))</f>
        <v/>
      </c>
      <c r="O248" s="49" t="str">
        <f aca="false">IF($E248="","",IFERROR(INDEX(基础资料!$R$6:$R$205,MATCH($E248,基础资料!$Q$6:$Q$205,0)),""))</f>
        <v/>
      </c>
      <c r="P248" s="49" t="str">
        <f aca="false">IF($E248="","",IFERROR(INDEX(基础资料!$S$6:$S$205,MATCH($E248,基础资料!$Q$6:$Q$205,0)),""))</f>
        <v/>
      </c>
      <c r="Q248" s="48" t="str">
        <f aca="false">IF(OR($F248="",$G248=""),"",ROUND(N($F248)*N($G248),2))</f>
        <v/>
      </c>
      <c r="R248" s="48" t="str">
        <f aca="false">IF($Q248="","",ROUND(N($Q248)*N($H248),2))</f>
        <v/>
      </c>
      <c r="S248" s="48" t="str">
        <f aca="false">IF($Q248="","",N($Q248)+N($R248))</f>
        <v/>
      </c>
      <c r="T248" s="52" t="str">
        <f aca="false">IF(OR($B248="",$D248=""),"",$B248+N(IFERROR(INDEX(基础资料!$AH$6:$AH$155,MATCH($D248,基础资料!$AF$6:$AF$155,0)),0)))</f>
        <v/>
      </c>
      <c r="U248" s="49" t="str">
        <f aca="false">IF($Q248="","",IF($I248="是","1405",IF($J248="","6602",$J248)))</f>
        <v/>
      </c>
      <c r="V248" s="49" t="str">
        <f aca="false">IF($Q248="","","2202")</f>
        <v/>
      </c>
      <c r="W248" s="48" t="str">
        <f aca="false">IF($Q248="","",$Q248)</f>
        <v/>
      </c>
      <c r="X248" s="49" t="str">
        <f aca="false">IF(N($R248)=0,"","2221")</f>
        <v/>
      </c>
      <c r="Y248" s="49" t="str">
        <f aca="false">IF(N($R248)=0,"","2202")</f>
        <v/>
      </c>
      <c r="Z248" s="48" t="str">
        <f aca="false">IF(N($R248)=0,"",$R248)</f>
        <v/>
      </c>
      <c r="AA248" s="49" t="str">
        <f aca="false">IF(AND($D248=供应商对账单!$B$3,$B248&gt;=供应商对账单!$E$3,$B248&lt;=供应商对账单!$H$3),COUNTIFS($D$5:$D248,供应商对账单!$B$3,$B$5:$B248,"&gt;="&amp;供应商对账单!$E$3,$B$5:$B248,"&lt;="&amp;供应商对账单!$H$3),"")</f>
        <v/>
      </c>
    </row>
    <row r="249" customFormat="false" ht="15.75" hidden="false" customHeight="true" outlineLevel="0" collapsed="false">
      <c r="A249" s="42" t="str">
        <f aca="false">IF($B249="","","CG"&amp;TEXT($B249,"yyyymm")&amp;"-"&amp;TEXT(ROW()-4,"000"))</f>
        <v/>
      </c>
      <c r="B249" s="41"/>
      <c r="C249" s="42" t="str">
        <f aca="false">IF($B249="","",TEXT($B249,"yyyy-mm"))</f>
        <v/>
      </c>
      <c r="D249" s="32"/>
      <c r="E249" s="36"/>
      <c r="F249" s="43"/>
      <c r="G249" s="40"/>
      <c r="H249" s="51"/>
      <c r="I249" s="33"/>
      <c r="J249" s="31"/>
      <c r="K249" s="33"/>
      <c r="L249" s="33"/>
      <c r="M249" s="36"/>
      <c r="N249" s="47" t="str">
        <f aca="false">IF($B249="","",IF(NOT(ISNUMBER($B249)),"日期不是日期格式",IF(YEAR($B249)&lt;&gt;首页!$B$3,"不在会计年度",IF($D249="","未选供应商",IF(ISNA(MATCH($D249,基础资料!$AF$6:$AF$155,0)),"供应商不在档案",IF($E249="","未填商品或内容",IF(NOT(ISNUMBER($F249)),"数量须为数字",IF(NOT(ISNUMBER($G249)),"单价须为数字",IF(N($F249)&lt;=0,"数量须大于0",IF($I249="","请选是否入库",IF(AND($I249="是",ISNA(MATCH($E249,基础资料!$Q$6:$Q$205,0))),"入库商品必须在商品档案中",IF(AND($I249="否",$J249&lt;&gt;"",ISNA(MATCH($J249,科目参数!$A$6:$A$125,0))),"费用科目不存在","√"))))))))))))</f>
        <v/>
      </c>
      <c r="O249" s="49" t="str">
        <f aca="false">IF($E249="","",IFERROR(INDEX(基础资料!$R$6:$R$205,MATCH($E249,基础资料!$Q$6:$Q$205,0)),""))</f>
        <v/>
      </c>
      <c r="P249" s="49" t="str">
        <f aca="false">IF($E249="","",IFERROR(INDEX(基础资料!$S$6:$S$205,MATCH($E249,基础资料!$Q$6:$Q$205,0)),""))</f>
        <v/>
      </c>
      <c r="Q249" s="48" t="str">
        <f aca="false">IF(OR($F249="",$G249=""),"",ROUND(N($F249)*N($G249),2))</f>
        <v/>
      </c>
      <c r="R249" s="48" t="str">
        <f aca="false">IF($Q249="","",ROUND(N($Q249)*N($H249),2))</f>
        <v/>
      </c>
      <c r="S249" s="48" t="str">
        <f aca="false">IF($Q249="","",N($Q249)+N($R249))</f>
        <v/>
      </c>
      <c r="T249" s="52" t="str">
        <f aca="false">IF(OR($B249="",$D249=""),"",$B249+N(IFERROR(INDEX(基础资料!$AH$6:$AH$155,MATCH($D249,基础资料!$AF$6:$AF$155,0)),0)))</f>
        <v/>
      </c>
      <c r="U249" s="49" t="str">
        <f aca="false">IF($Q249="","",IF($I249="是","1405",IF($J249="","6602",$J249)))</f>
        <v/>
      </c>
      <c r="V249" s="49" t="str">
        <f aca="false">IF($Q249="","","2202")</f>
        <v/>
      </c>
      <c r="W249" s="48" t="str">
        <f aca="false">IF($Q249="","",$Q249)</f>
        <v/>
      </c>
      <c r="X249" s="49" t="str">
        <f aca="false">IF(N($R249)=0,"","2221")</f>
        <v/>
      </c>
      <c r="Y249" s="49" t="str">
        <f aca="false">IF(N($R249)=0,"","2202")</f>
        <v/>
      </c>
      <c r="Z249" s="48" t="str">
        <f aca="false">IF(N($R249)=0,"",$R249)</f>
        <v/>
      </c>
      <c r="AA249" s="49" t="str">
        <f aca="false">IF(AND($D249=供应商对账单!$B$3,$B249&gt;=供应商对账单!$E$3,$B249&lt;=供应商对账单!$H$3),COUNTIFS($D$5:$D249,供应商对账单!$B$3,$B$5:$B249,"&gt;="&amp;供应商对账单!$E$3,$B$5:$B249,"&lt;="&amp;供应商对账单!$H$3),"")</f>
        <v/>
      </c>
    </row>
    <row r="250" customFormat="false" ht="15.75" hidden="false" customHeight="true" outlineLevel="0" collapsed="false">
      <c r="A250" s="42" t="str">
        <f aca="false">IF($B250="","","CG"&amp;TEXT($B250,"yyyymm")&amp;"-"&amp;TEXT(ROW()-4,"000"))</f>
        <v/>
      </c>
      <c r="B250" s="41"/>
      <c r="C250" s="42" t="str">
        <f aca="false">IF($B250="","",TEXT($B250,"yyyy-mm"))</f>
        <v/>
      </c>
      <c r="D250" s="32"/>
      <c r="E250" s="36"/>
      <c r="F250" s="43"/>
      <c r="G250" s="40"/>
      <c r="H250" s="51"/>
      <c r="I250" s="33"/>
      <c r="J250" s="31"/>
      <c r="K250" s="33"/>
      <c r="L250" s="33"/>
      <c r="M250" s="36"/>
      <c r="N250" s="47" t="str">
        <f aca="false">IF($B250="","",IF(NOT(ISNUMBER($B250)),"日期不是日期格式",IF(YEAR($B250)&lt;&gt;首页!$B$3,"不在会计年度",IF($D250="","未选供应商",IF(ISNA(MATCH($D250,基础资料!$AF$6:$AF$155,0)),"供应商不在档案",IF($E250="","未填商品或内容",IF(NOT(ISNUMBER($F250)),"数量须为数字",IF(NOT(ISNUMBER($G250)),"单价须为数字",IF(N($F250)&lt;=0,"数量须大于0",IF($I250="","请选是否入库",IF(AND($I250="是",ISNA(MATCH($E250,基础资料!$Q$6:$Q$205,0))),"入库商品必须在商品档案中",IF(AND($I250="否",$J250&lt;&gt;"",ISNA(MATCH($J250,科目参数!$A$6:$A$125,0))),"费用科目不存在","√"))))))))))))</f>
        <v/>
      </c>
      <c r="O250" s="49" t="str">
        <f aca="false">IF($E250="","",IFERROR(INDEX(基础资料!$R$6:$R$205,MATCH($E250,基础资料!$Q$6:$Q$205,0)),""))</f>
        <v/>
      </c>
      <c r="P250" s="49" t="str">
        <f aca="false">IF($E250="","",IFERROR(INDEX(基础资料!$S$6:$S$205,MATCH($E250,基础资料!$Q$6:$Q$205,0)),""))</f>
        <v/>
      </c>
      <c r="Q250" s="48" t="str">
        <f aca="false">IF(OR($F250="",$G250=""),"",ROUND(N($F250)*N($G250),2))</f>
        <v/>
      </c>
      <c r="R250" s="48" t="str">
        <f aca="false">IF($Q250="","",ROUND(N($Q250)*N($H250),2))</f>
        <v/>
      </c>
      <c r="S250" s="48" t="str">
        <f aca="false">IF($Q250="","",N($Q250)+N($R250))</f>
        <v/>
      </c>
      <c r="T250" s="52" t="str">
        <f aca="false">IF(OR($B250="",$D250=""),"",$B250+N(IFERROR(INDEX(基础资料!$AH$6:$AH$155,MATCH($D250,基础资料!$AF$6:$AF$155,0)),0)))</f>
        <v/>
      </c>
      <c r="U250" s="49" t="str">
        <f aca="false">IF($Q250="","",IF($I250="是","1405",IF($J250="","6602",$J250)))</f>
        <v/>
      </c>
      <c r="V250" s="49" t="str">
        <f aca="false">IF($Q250="","","2202")</f>
        <v/>
      </c>
      <c r="W250" s="48" t="str">
        <f aca="false">IF($Q250="","",$Q250)</f>
        <v/>
      </c>
      <c r="X250" s="49" t="str">
        <f aca="false">IF(N($R250)=0,"","2221")</f>
        <v/>
      </c>
      <c r="Y250" s="49" t="str">
        <f aca="false">IF(N($R250)=0,"","2202")</f>
        <v/>
      </c>
      <c r="Z250" s="48" t="str">
        <f aca="false">IF(N($R250)=0,"",$R250)</f>
        <v/>
      </c>
      <c r="AA250" s="49" t="str">
        <f aca="false">IF(AND($D250=供应商对账单!$B$3,$B250&gt;=供应商对账单!$E$3,$B250&lt;=供应商对账单!$H$3),COUNTIFS($D$5:$D250,供应商对账单!$B$3,$B$5:$B250,"&gt;="&amp;供应商对账单!$E$3,$B$5:$B250,"&lt;="&amp;供应商对账单!$H$3),"")</f>
        <v/>
      </c>
    </row>
    <row r="251" customFormat="false" ht="15.75" hidden="false" customHeight="true" outlineLevel="0" collapsed="false">
      <c r="A251" s="42" t="str">
        <f aca="false">IF($B251="","","CG"&amp;TEXT($B251,"yyyymm")&amp;"-"&amp;TEXT(ROW()-4,"000"))</f>
        <v/>
      </c>
      <c r="B251" s="41"/>
      <c r="C251" s="42" t="str">
        <f aca="false">IF($B251="","",TEXT($B251,"yyyy-mm"))</f>
        <v/>
      </c>
      <c r="D251" s="32"/>
      <c r="E251" s="36"/>
      <c r="F251" s="43"/>
      <c r="G251" s="40"/>
      <c r="H251" s="51"/>
      <c r="I251" s="33"/>
      <c r="J251" s="31"/>
      <c r="K251" s="33"/>
      <c r="L251" s="33"/>
      <c r="M251" s="36"/>
      <c r="N251" s="47" t="str">
        <f aca="false">IF($B251="","",IF(NOT(ISNUMBER($B251)),"日期不是日期格式",IF(YEAR($B251)&lt;&gt;首页!$B$3,"不在会计年度",IF($D251="","未选供应商",IF(ISNA(MATCH($D251,基础资料!$AF$6:$AF$155,0)),"供应商不在档案",IF($E251="","未填商品或内容",IF(NOT(ISNUMBER($F251)),"数量须为数字",IF(NOT(ISNUMBER($G251)),"单价须为数字",IF(N($F251)&lt;=0,"数量须大于0",IF($I251="","请选是否入库",IF(AND($I251="是",ISNA(MATCH($E251,基础资料!$Q$6:$Q$205,0))),"入库商品必须在商品档案中",IF(AND($I251="否",$J251&lt;&gt;"",ISNA(MATCH($J251,科目参数!$A$6:$A$125,0))),"费用科目不存在","√"))))))))))))</f>
        <v/>
      </c>
      <c r="O251" s="49" t="str">
        <f aca="false">IF($E251="","",IFERROR(INDEX(基础资料!$R$6:$R$205,MATCH($E251,基础资料!$Q$6:$Q$205,0)),""))</f>
        <v/>
      </c>
      <c r="P251" s="49" t="str">
        <f aca="false">IF($E251="","",IFERROR(INDEX(基础资料!$S$6:$S$205,MATCH($E251,基础资料!$Q$6:$Q$205,0)),""))</f>
        <v/>
      </c>
      <c r="Q251" s="48" t="str">
        <f aca="false">IF(OR($F251="",$G251=""),"",ROUND(N($F251)*N($G251),2))</f>
        <v/>
      </c>
      <c r="R251" s="48" t="str">
        <f aca="false">IF($Q251="","",ROUND(N($Q251)*N($H251),2))</f>
        <v/>
      </c>
      <c r="S251" s="48" t="str">
        <f aca="false">IF($Q251="","",N($Q251)+N($R251))</f>
        <v/>
      </c>
      <c r="T251" s="52" t="str">
        <f aca="false">IF(OR($B251="",$D251=""),"",$B251+N(IFERROR(INDEX(基础资料!$AH$6:$AH$155,MATCH($D251,基础资料!$AF$6:$AF$155,0)),0)))</f>
        <v/>
      </c>
      <c r="U251" s="49" t="str">
        <f aca="false">IF($Q251="","",IF($I251="是","1405",IF($J251="","6602",$J251)))</f>
        <v/>
      </c>
      <c r="V251" s="49" t="str">
        <f aca="false">IF($Q251="","","2202")</f>
        <v/>
      </c>
      <c r="W251" s="48" t="str">
        <f aca="false">IF($Q251="","",$Q251)</f>
        <v/>
      </c>
      <c r="X251" s="49" t="str">
        <f aca="false">IF(N($R251)=0,"","2221")</f>
        <v/>
      </c>
      <c r="Y251" s="49" t="str">
        <f aca="false">IF(N($R251)=0,"","2202")</f>
        <v/>
      </c>
      <c r="Z251" s="48" t="str">
        <f aca="false">IF(N($R251)=0,"",$R251)</f>
        <v/>
      </c>
      <c r="AA251" s="49" t="str">
        <f aca="false">IF(AND($D251=供应商对账单!$B$3,$B251&gt;=供应商对账单!$E$3,$B251&lt;=供应商对账单!$H$3),COUNTIFS($D$5:$D251,供应商对账单!$B$3,$B$5:$B251,"&gt;="&amp;供应商对账单!$E$3,$B$5:$B251,"&lt;="&amp;供应商对账单!$H$3),"")</f>
        <v/>
      </c>
    </row>
    <row r="252" customFormat="false" ht="15.75" hidden="false" customHeight="true" outlineLevel="0" collapsed="false">
      <c r="A252" s="42" t="str">
        <f aca="false">IF($B252="","","CG"&amp;TEXT($B252,"yyyymm")&amp;"-"&amp;TEXT(ROW()-4,"000"))</f>
        <v/>
      </c>
      <c r="B252" s="41"/>
      <c r="C252" s="42" t="str">
        <f aca="false">IF($B252="","",TEXT($B252,"yyyy-mm"))</f>
        <v/>
      </c>
      <c r="D252" s="32"/>
      <c r="E252" s="36"/>
      <c r="F252" s="43"/>
      <c r="G252" s="40"/>
      <c r="H252" s="51"/>
      <c r="I252" s="33"/>
      <c r="J252" s="31"/>
      <c r="K252" s="33"/>
      <c r="L252" s="33"/>
      <c r="M252" s="36"/>
      <c r="N252" s="47" t="str">
        <f aca="false">IF($B252="","",IF(NOT(ISNUMBER($B252)),"日期不是日期格式",IF(YEAR($B252)&lt;&gt;首页!$B$3,"不在会计年度",IF($D252="","未选供应商",IF(ISNA(MATCH($D252,基础资料!$AF$6:$AF$155,0)),"供应商不在档案",IF($E252="","未填商品或内容",IF(NOT(ISNUMBER($F252)),"数量须为数字",IF(NOT(ISNUMBER($G252)),"单价须为数字",IF(N($F252)&lt;=0,"数量须大于0",IF($I252="","请选是否入库",IF(AND($I252="是",ISNA(MATCH($E252,基础资料!$Q$6:$Q$205,0))),"入库商品必须在商品档案中",IF(AND($I252="否",$J252&lt;&gt;"",ISNA(MATCH($J252,科目参数!$A$6:$A$125,0))),"费用科目不存在","√"))))))))))))</f>
        <v/>
      </c>
      <c r="O252" s="49" t="str">
        <f aca="false">IF($E252="","",IFERROR(INDEX(基础资料!$R$6:$R$205,MATCH($E252,基础资料!$Q$6:$Q$205,0)),""))</f>
        <v/>
      </c>
      <c r="P252" s="49" t="str">
        <f aca="false">IF($E252="","",IFERROR(INDEX(基础资料!$S$6:$S$205,MATCH($E252,基础资料!$Q$6:$Q$205,0)),""))</f>
        <v/>
      </c>
      <c r="Q252" s="48" t="str">
        <f aca="false">IF(OR($F252="",$G252=""),"",ROUND(N($F252)*N($G252),2))</f>
        <v/>
      </c>
      <c r="R252" s="48" t="str">
        <f aca="false">IF($Q252="","",ROUND(N($Q252)*N($H252),2))</f>
        <v/>
      </c>
      <c r="S252" s="48" t="str">
        <f aca="false">IF($Q252="","",N($Q252)+N($R252))</f>
        <v/>
      </c>
      <c r="T252" s="52" t="str">
        <f aca="false">IF(OR($B252="",$D252=""),"",$B252+N(IFERROR(INDEX(基础资料!$AH$6:$AH$155,MATCH($D252,基础资料!$AF$6:$AF$155,0)),0)))</f>
        <v/>
      </c>
      <c r="U252" s="49" t="str">
        <f aca="false">IF($Q252="","",IF($I252="是","1405",IF($J252="","6602",$J252)))</f>
        <v/>
      </c>
      <c r="V252" s="49" t="str">
        <f aca="false">IF($Q252="","","2202")</f>
        <v/>
      </c>
      <c r="W252" s="48" t="str">
        <f aca="false">IF($Q252="","",$Q252)</f>
        <v/>
      </c>
      <c r="X252" s="49" t="str">
        <f aca="false">IF(N($R252)=0,"","2221")</f>
        <v/>
      </c>
      <c r="Y252" s="49" t="str">
        <f aca="false">IF(N($R252)=0,"","2202")</f>
        <v/>
      </c>
      <c r="Z252" s="48" t="str">
        <f aca="false">IF(N($R252)=0,"",$R252)</f>
        <v/>
      </c>
      <c r="AA252" s="49" t="str">
        <f aca="false">IF(AND($D252=供应商对账单!$B$3,$B252&gt;=供应商对账单!$E$3,$B252&lt;=供应商对账单!$H$3),COUNTIFS($D$5:$D252,供应商对账单!$B$3,$B$5:$B252,"&gt;="&amp;供应商对账单!$E$3,$B$5:$B252,"&lt;="&amp;供应商对账单!$H$3),"")</f>
        <v/>
      </c>
    </row>
    <row r="253" customFormat="false" ht="15.75" hidden="false" customHeight="true" outlineLevel="0" collapsed="false">
      <c r="A253" s="42" t="str">
        <f aca="false">IF($B253="","","CG"&amp;TEXT($B253,"yyyymm")&amp;"-"&amp;TEXT(ROW()-4,"000"))</f>
        <v/>
      </c>
      <c r="B253" s="41"/>
      <c r="C253" s="42" t="str">
        <f aca="false">IF($B253="","",TEXT($B253,"yyyy-mm"))</f>
        <v/>
      </c>
      <c r="D253" s="32"/>
      <c r="E253" s="36"/>
      <c r="F253" s="43"/>
      <c r="G253" s="40"/>
      <c r="H253" s="51"/>
      <c r="I253" s="33"/>
      <c r="J253" s="31"/>
      <c r="K253" s="33"/>
      <c r="L253" s="33"/>
      <c r="M253" s="36"/>
      <c r="N253" s="47" t="str">
        <f aca="false">IF($B253="","",IF(NOT(ISNUMBER($B253)),"日期不是日期格式",IF(YEAR($B253)&lt;&gt;首页!$B$3,"不在会计年度",IF($D253="","未选供应商",IF(ISNA(MATCH($D253,基础资料!$AF$6:$AF$155,0)),"供应商不在档案",IF($E253="","未填商品或内容",IF(NOT(ISNUMBER($F253)),"数量须为数字",IF(NOT(ISNUMBER($G253)),"单价须为数字",IF(N($F253)&lt;=0,"数量须大于0",IF($I253="","请选是否入库",IF(AND($I253="是",ISNA(MATCH($E253,基础资料!$Q$6:$Q$205,0))),"入库商品必须在商品档案中",IF(AND($I253="否",$J253&lt;&gt;"",ISNA(MATCH($J253,科目参数!$A$6:$A$125,0))),"费用科目不存在","√"))))))))))))</f>
        <v/>
      </c>
      <c r="O253" s="49" t="str">
        <f aca="false">IF($E253="","",IFERROR(INDEX(基础资料!$R$6:$R$205,MATCH($E253,基础资料!$Q$6:$Q$205,0)),""))</f>
        <v/>
      </c>
      <c r="P253" s="49" t="str">
        <f aca="false">IF($E253="","",IFERROR(INDEX(基础资料!$S$6:$S$205,MATCH($E253,基础资料!$Q$6:$Q$205,0)),""))</f>
        <v/>
      </c>
      <c r="Q253" s="48" t="str">
        <f aca="false">IF(OR($F253="",$G253=""),"",ROUND(N($F253)*N($G253),2))</f>
        <v/>
      </c>
      <c r="R253" s="48" t="str">
        <f aca="false">IF($Q253="","",ROUND(N($Q253)*N($H253),2))</f>
        <v/>
      </c>
      <c r="S253" s="48" t="str">
        <f aca="false">IF($Q253="","",N($Q253)+N($R253))</f>
        <v/>
      </c>
      <c r="T253" s="52" t="str">
        <f aca="false">IF(OR($B253="",$D253=""),"",$B253+N(IFERROR(INDEX(基础资料!$AH$6:$AH$155,MATCH($D253,基础资料!$AF$6:$AF$155,0)),0)))</f>
        <v/>
      </c>
      <c r="U253" s="49" t="str">
        <f aca="false">IF($Q253="","",IF($I253="是","1405",IF($J253="","6602",$J253)))</f>
        <v/>
      </c>
      <c r="V253" s="49" t="str">
        <f aca="false">IF($Q253="","","2202")</f>
        <v/>
      </c>
      <c r="W253" s="48" t="str">
        <f aca="false">IF($Q253="","",$Q253)</f>
        <v/>
      </c>
      <c r="X253" s="49" t="str">
        <f aca="false">IF(N($R253)=0,"","2221")</f>
        <v/>
      </c>
      <c r="Y253" s="49" t="str">
        <f aca="false">IF(N($R253)=0,"","2202")</f>
        <v/>
      </c>
      <c r="Z253" s="48" t="str">
        <f aca="false">IF(N($R253)=0,"",$R253)</f>
        <v/>
      </c>
      <c r="AA253" s="49" t="str">
        <f aca="false">IF(AND($D253=供应商对账单!$B$3,$B253&gt;=供应商对账单!$E$3,$B253&lt;=供应商对账单!$H$3),COUNTIFS($D$5:$D253,供应商对账单!$B$3,$B$5:$B253,"&gt;="&amp;供应商对账单!$E$3,$B$5:$B253,"&lt;="&amp;供应商对账单!$H$3),"")</f>
        <v/>
      </c>
    </row>
    <row r="254" customFormat="false" ht="15.75" hidden="false" customHeight="true" outlineLevel="0" collapsed="false">
      <c r="A254" s="42" t="str">
        <f aca="false">IF($B254="","","CG"&amp;TEXT($B254,"yyyymm")&amp;"-"&amp;TEXT(ROW()-4,"000"))</f>
        <v/>
      </c>
      <c r="B254" s="41"/>
      <c r="C254" s="42" t="str">
        <f aca="false">IF($B254="","",TEXT($B254,"yyyy-mm"))</f>
        <v/>
      </c>
      <c r="D254" s="32"/>
      <c r="E254" s="36"/>
      <c r="F254" s="43"/>
      <c r="G254" s="40"/>
      <c r="H254" s="51"/>
      <c r="I254" s="33"/>
      <c r="J254" s="31"/>
      <c r="K254" s="33"/>
      <c r="L254" s="33"/>
      <c r="M254" s="36"/>
      <c r="N254" s="47" t="str">
        <f aca="false">IF($B254="","",IF(NOT(ISNUMBER($B254)),"日期不是日期格式",IF(YEAR($B254)&lt;&gt;首页!$B$3,"不在会计年度",IF($D254="","未选供应商",IF(ISNA(MATCH($D254,基础资料!$AF$6:$AF$155,0)),"供应商不在档案",IF($E254="","未填商品或内容",IF(NOT(ISNUMBER($F254)),"数量须为数字",IF(NOT(ISNUMBER($G254)),"单价须为数字",IF(N($F254)&lt;=0,"数量须大于0",IF($I254="","请选是否入库",IF(AND($I254="是",ISNA(MATCH($E254,基础资料!$Q$6:$Q$205,0))),"入库商品必须在商品档案中",IF(AND($I254="否",$J254&lt;&gt;"",ISNA(MATCH($J254,科目参数!$A$6:$A$125,0))),"费用科目不存在","√"))))))))))))</f>
        <v/>
      </c>
      <c r="O254" s="49" t="str">
        <f aca="false">IF($E254="","",IFERROR(INDEX(基础资料!$R$6:$R$205,MATCH($E254,基础资料!$Q$6:$Q$205,0)),""))</f>
        <v/>
      </c>
      <c r="P254" s="49" t="str">
        <f aca="false">IF($E254="","",IFERROR(INDEX(基础资料!$S$6:$S$205,MATCH($E254,基础资料!$Q$6:$Q$205,0)),""))</f>
        <v/>
      </c>
      <c r="Q254" s="48" t="str">
        <f aca="false">IF(OR($F254="",$G254=""),"",ROUND(N($F254)*N($G254),2))</f>
        <v/>
      </c>
      <c r="R254" s="48" t="str">
        <f aca="false">IF($Q254="","",ROUND(N($Q254)*N($H254),2))</f>
        <v/>
      </c>
      <c r="S254" s="48" t="str">
        <f aca="false">IF($Q254="","",N($Q254)+N($R254))</f>
        <v/>
      </c>
      <c r="T254" s="52" t="str">
        <f aca="false">IF(OR($B254="",$D254=""),"",$B254+N(IFERROR(INDEX(基础资料!$AH$6:$AH$155,MATCH($D254,基础资料!$AF$6:$AF$155,0)),0)))</f>
        <v/>
      </c>
      <c r="U254" s="49" t="str">
        <f aca="false">IF($Q254="","",IF($I254="是","1405",IF($J254="","6602",$J254)))</f>
        <v/>
      </c>
      <c r="V254" s="49" t="str">
        <f aca="false">IF($Q254="","","2202")</f>
        <v/>
      </c>
      <c r="W254" s="48" t="str">
        <f aca="false">IF($Q254="","",$Q254)</f>
        <v/>
      </c>
      <c r="X254" s="49" t="str">
        <f aca="false">IF(N($R254)=0,"","2221")</f>
        <v/>
      </c>
      <c r="Y254" s="49" t="str">
        <f aca="false">IF(N($R254)=0,"","2202")</f>
        <v/>
      </c>
      <c r="Z254" s="48" t="str">
        <f aca="false">IF(N($R254)=0,"",$R254)</f>
        <v/>
      </c>
      <c r="AA254" s="49" t="str">
        <f aca="false">IF(AND($D254=供应商对账单!$B$3,$B254&gt;=供应商对账单!$E$3,$B254&lt;=供应商对账单!$H$3),COUNTIFS($D$5:$D254,供应商对账单!$B$3,$B$5:$B254,"&gt;="&amp;供应商对账单!$E$3,$B$5:$B254,"&lt;="&amp;供应商对账单!$H$3),"")</f>
        <v/>
      </c>
    </row>
    <row r="255" customFormat="false" ht="15.75" hidden="false" customHeight="true" outlineLevel="0" collapsed="false">
      <c r="A255" s="42" t="str">
        <f aca="false">IF($B255="","","CG"&amp;TEXT($B255,"yyyymm")&amp;"-"&amp;TEXT(ROW()-4,"000"))</f>
        <v/>
      </c>
      <c r="B255" s="41"/>
      <c r="C255" s="42" t="str">
        <f aca="false">IF($B255="","",TEXT($B255,"yyyy-mm"))</f>
        <v/>
      </c>
      <c r="D255" s="32"/>
      <c r="E255" s="36"/>
      <c r="F255" s="43"/>
      <c r="G255" s="40"/>
      <c r="H255" s="51"/>
      <c r="I255" s="33"/>
      <c r="J255" s="31"/>
      <c r="K255" s="33"/>
      <c r="L255" s="33"/>
      <c r="M255" s="36"/>
      <c r="N255" s="47" t="str">
        <f aca="false">IF($B255="","",IF(NOT(ISNUMBER($B255)),"日期不是日期格式",IF(YEAR($B255)&lt;&gt;首页!$B$3,"不在会计年度",IF($D255="","未选供应商",IF(ISNA(MATCH($D255,基础资料!$AF$6:$AF$155,0)),"供应商不在档案",IF($E255="","未填商品或内容",IF(NOT(ISNUMBER($F255)),"数量须为数字",IF(NOT(ISNUMBER($G255)),"单价须为数字",IF(N($F255)&lt;=0,"数量须大于0",IF($I255="","请选是否入库",IF(AND($I255="是",ISNA(MATCH($E255,基础资料!$Q$6:$Q$205,0))),"入库商品必须在商品档案中",IF(AND($I255="否",$J255&lt;&gt;"",ISNA(MATCH($J255,科目参数!$A$6:$A$125,0))),"费用科目不存在","√"))))))))))))</f>
        <v/>
      </c>
      <c r="O255" s="49" t="str">
        <f aca="false">IF($E255="","",IFERROR(INDEX(基础资料!$R$6:$R$205,MATCH($E255,基础资料!$Q$6:$Q$205,0)),""))</f>
        <v/>
      </c>
      <c r="P255" s="49" t="str">
        <f aca="false">IF($E255="","",IFERROR(INDEX(基础资料!$S$6:$S$205,MATCH($E255,基础资料!$Q$6:$Q$205,0)),""))</f>
        <v/>
      </c>
      <c r="Q255" s="48" t="str">
        <f aca="false">IF(OR($F255="",$G255=""),"",ROUND(N($F255)*N($G255),2))</f>
        <v/>
      </c>
      <c r="R255" s="48" t="str">
        <f aca="false">IF($Q255="","",ROUND(N($Q255)*N($H255),2))</f>
        <v/>
      </c>
      <c r="S255" s="48" t="str">
        <f aca="false">IF($Q255="","",N($Q255)+N($R255))</f>
        <v/>
      </c>
      <c r="T255" s="52" t="str">
        <f aca="false">IF(OR($B255="",$D255=""),"",$B255+N(IFERROR(INDEX(基础资料!$AH$6:$AH$155,MATCH($D255,基础资料!$AF$6:$AF$155,0)),0)))</f>
        <v/>
      </c>
      <c r="U255" s="49" t="str">
        <f aca="false">IF($Q255="","",IF($I255="是","1405",IF($J255="","6602",$J255)))</f>
        <v/>
      </c>
      <c r="V255" s="49" t="str">
        <f aca="false">IF($Q255="","","2202")</f>
        <v/>
      </c>
      <c r="W255" s="48" t="str">
        <f aca="false">IF($Q255="","",$Q255)</f>
        <v/>
      </c>
      <c r="X255" s="49" t="str">
        <f aca="false">IF(N($R255)=0,"","2221")</f>
        <v/>
      </c>
      <c r="Y255" s="49" t="str">
        <f aca="false">IF(N($R255)=0,"","2202")</f>
        <v/>
      </c>
      <c r="Z255" s="48" t="str">
        <f aca="false">IF(N($R255)=0,"",$R255)</f>
        <v/>
      </c>
      <c r="AA255" s="49" t="str">
        <f aca="false">IF(AND($D255=供应商对账单!$B$3,$B255&gt;=供应商对账单!$E$3,$B255&lt;=供应商对账单!$H$3),COUNTIFS($D$5:$D255,供应商对账单!$B$3,$B$5:$B255,"&gt;="&amp;供应商对账单!$E$3,$B$5:$B255,"&lt;="&amp;供应商对账单!$H$3),"")</f>
        <v/>
      </c>
    </row>
    <row r="256" customFormat="false" ht="15.75" hidden="false" customHeight="true" outlineLevel="0" collapsed="false">
      <c r="A256" s="42" t="str">
        <f aca="false">IF($B256="","","CG"&amp;TEXT($B256,"yyyymm")&amp;"-"&amp;TEXT(ROW()-4,"000"))</f>
        <v/>
      </c>
      <c r="B256" s="41"/>
      <c r="C256" s="42" t="str">
        <f aca="false">IF($B256="","",TEXT($B256,"yyyy-mm"))</f>
        <v/>
      </c>
      <c r="D256" s="32"/>
      <c r="E256" s="36"/>
      <c r="F256" s="43"/>
      <c r="G256" s="40"/>
      <c r="H256" s="51"/>
      <c r="I256" s="33"/>
      <c r="J256" s="31"/>
      <c r="K256" s="33"/>
      <c r="L256" s="33"/>
      <c r="M256" s="36"/>
      <c r="N256" s="47" t="str">
        <f aca="false">IF($B256="","",IF(NOT(ISNUMBER($B256)),"日期不是日期格式",IF(YEAR($B256)&lt;&gt;首页!$B$3,"不在会计年度",IF($D256="","未选供应商",IF(ISNA(MATCH($D256,基础资料!$AF$6:$AF$155,0)),"供应商不在档案",IF($E256="","未填商品或内容",IF(NOT(ISNUMBER($F256)),"数量须为数字",IF(NOT(ISNUMBER($G256)),"单价须为数字",IF(N($F256)&lt;=0,"数量须大于0",IF($I256="","请选是否入库",IF(AND($I256="是",ISNA(MATCH($E256,基础资料!$Q$6:$Q$205,0))),"入库商品必须在商品档案中",IF(AND($I256="否",$J256&lt;&gt;"",ISNA(MATCH($J256,科目参数!$A$6:$A$125,0))),"费用科目不存在","√"))))))))))))</f>
        <v/>
      </c>
      <c r="O256" s="49" t="str">
        <f aca="false">IF($E256="","",IFERROR(INDEX(基础资料!$R$6:$R$205,MATCH($E256,基础资料!$Q$6:$Q$205,0)),""))</f>
        <v/>
      </c>
      <c r="P256" s="49" t="str">
        <f aca="false">IF($E256="","",IFERROR(INDEX(基础资料!$S$6:$S$205,MATCH($E256,基础资料!$Q$6:$Q$205,0)),""))</f>
        <v/>
      </c>
      <c r="Q256" s="48" t="str">
        <f aca="false">IF(OR($F256="",$G256=""),"",ROUND(N($F256)*N($G256),2))</f>
        <v/>
      </c>
      <c r="R256" s="48" t="str">
        <f aca="false">IF($Q256="","",ROUND(N($Q256)*N($H256),2))</f>
        <v/>
      </c>
      <c r="S256" s="48" t="str">
        <f aca="false">IF($Q256="","",N($Q256)+N($R256))</f>
        <v/>
      </c>
      <c r="T256" s="52" t="str">
        <f aca="false">IF(OR($B256="",$D256=""),"",$B256+N(IFERROR(INDEX(基础资料!$AH$6:$AH$155,MATCH($D256,基础资料!$AF$6:$AF$155,0)),0)))</f>
        <v/>
      </c>
      <c r="U256" s="49" t="str">
        <f aca="false">IF($Q256="","",IF($I256="是","1405",IF($J256="","6602",$J256)))</f>
        <v/>
      </c>
      <c r="V256" s="49" t="str">
        <f aca="false">IF($Q256="","","2202")</f>
        <v/>
      </c>
      <c r="W256" s="48" t="str">
        <f aca="false">IF($Q256="","",$Q256)</f>
        <v/>
      </c>
      <c r="X256" s="49" t="str">
        <f aca="false">IF(N($R256)=0,"","2221")</f>
        <v/>
      </c>
      <c r="Y256" s="49" t="str">
        <f aca="false">IF(N($R256)=0,"","2202")</f>
        <v/>
      </c>
      <c r="Z256" s="48" t="str">
        <f aca="false">IF(N($R256)=0,"",$R256)</f>
        <v/>
      </c>
      <c r="AA256" s="49" t="str">
        <f aca="false">IF(AND($D256=供应商对账单!$B$3,$B256&gt;=供应商对账单!$E$3,$B256&lt;=供应商对账单!$H$3),COUNTIFS($D$5:$D256,供应商对账单!$B$3,$B$5:$B256,"&gt;="&amp;供应商对账单!$E$3,$B$5:$B256,"&lt;="&amp;供应商对账单!$H$3),"")</f>
        <v/>
      </c>
    </row>
    <row r="257" customFormat="false" ht="15.75" hidden="false" customHeight="true" outlineLevel="0" collapsed="false">
      <c r="A257" s="42" t="str">
        <f aca="false">IF($B257="","","CG"&amp;TEXT($B257,"yyyymm")&amp;"-"&amp;TEXT(ROW()-4,"000"))</f>
        <v/>
      </c>
      <c r="B257" s="41"/>
      <c r="C257" s="42" t="str">
        <f aca="false">IF($B257="","",TEXT($B257,"yyyy-mm"))</f>
        <v/>
      </c>
      <c r="D257" s="32"/>
      <c r="E257" s="36"/>
      <c r="F257" s="43"/>
      <c r="G257" s="40"/>
      <c r="H257" s="51"/>
      <c r="I257" s="33"/>
      <c r="J257" s="31"/>
      <c r="K257" s="33"/>
      <c r="L257" s="33"/>
      <c r="M257" s="36"/>
      <c r="N257" s="47" t="str">
        <f aca="false">IF($B257="","",IF(NOT(ISNUMBER($B257)),"日期不是日期格式",IF(YEAR($B257)&lt;&gt;首页!$B$3,"不在会计年度",IF($D257="","未选供应商",IF(ISNA(MATCH($D257,基础资料!$AF$6:$AF$155,0)),"供应商不在档案",IF($E257="","未填商品或内容",IF(NOT(ISNUMBER($F257)),"数量须为数字",IF(NOT(ISNUMBER($G257)),"单价须为数字",IF(N($F257)&lt;=0,"数量须大于0",IF($I257="","请选是否入库",IF(AND($I257="是",ISNA(MATCH($E257,基础资料!$Q$6:$Q$205,0))),"入库商品必须在商品档案中",IF(AND($I257="否",$J257&lt;&gt;"",ISNA(MATCH($J257,科目参数!$A$6:$A$125,0))),"费用科目不存在","√"))))))))))))</f>
        <v/>
      </c>
      <c r="O257" s="49" t="str">
        <f aca="false">IF($E257="","",IFERROR(INDEX(基础资料!$R$6:$R$205,MATCH($E257,基础资料!$Q$6:$Q$205,0)),""))</f>
        <v/>
      </c>
      <c r="P257" s="49" t="str">
        <f aca="false">IF($E257="","",IFERROR(INDEX(基础资料!$S$6:$S$205,MATCH($E257,基础资料!$Q$6:$Q$205,0)),""))</f>
        <v/>
      </c>
      <c r="Q257" s="48" t="str">
        <f aca="false">IF(OR($F257="",$G257=""),"",ROUND(N($F257)*N($G257),2))</f>
        <v/>
      </c>
      <c r="R257" s="48" t="str">
        <f aca="false">IF($Q257="","",ROUND(N($Q257)*N($H257),2))</f>
        <v/>
      </c>
      <c r="S257" s="48" t="str">
        <f aca="false">IF($Q257="","",N($Q257)+N($R257))</f>
        <v/>
      </c>
      <c r="T257" s="52" t="str">
        <f aca="false">IF(OR($B257="",$D257=""),"",$B257+N(IFERROR(INDEX(基础资料!$AH$6:$AH$155,MATCH($D257,基础资料!$AF$6:$AF$155,0)),0)))</f>
        <v/>
      </c>
      <c r="U257" s="49" t="str">
        <f aca="false">IF($Q257="","",IF($I257="是","1405",IF($J257="","6602",$J257)))</f>
        <v/>
      </c>
      <c r="V257" s="49" t="str">
        <f aca="false">IF($Q257="","","2202")</f>
        <v/>
      </c>
      <c r="W257" s="48" t="str">
        <f aca="false">IF($Q257="","",$Q257)</f>
        <v/>
      </c>
      <c r="X257" s="49" t="str">
        <f aca="false">IF(N($R257)=0,"","2221")</f>
        <v/>
      </c>
      <c r="Y257" s="49" t="str">
        <f aca="false">IF(N($R257)=0,"","2202")</f>
        <v/>
      </c>
      <c r="Z257" s="48" t="str">
        <f aca="false">IF(N($R257)=0,"",$R257)</f>
        <v/>
      </c>
      <c r="AA257" s="49" t="str">
        <f aca="false">IF(AND($D257=供应商对账单!$B$3,$B257&gt;=供应商对账单!$E$3,$B257&lt;=供应商对账单!$H$3),COUNTIFS($D$5:$D257,供应商对账单!$B$3,$B$5:$B257,"&gt;="&amp;供应商对账单!$E$3,$B$5:$B257,"&lt;="&amp;供应商对账单!$H$3),"")</f>
        <v/>
      </c>
    </row>
    <row r="258" customFormat="false" ht="15.75" hidden="false" customHeight="true" outlineLevel="0" collapsed="false">
      <c r="A258" s="42" t="str">
        <f aca="false">IF($B258="","","CG"&amp;TEXT($B258,"yyyymm")&amp;"-"&amp;TEXT(ROW()-4,"000"))</f>
        <v/>
      </c>
      <c r="B258" s="41"/>
      <c r="C258" s="42" t="str">
        <f aca="false">IF($B258="","",TEXT($B258,"yyyy-mm"))</f>
        <v/>
      </c>
      <c r="D258" s="32"/>
      <c r="E258" s="36"/>
      <c r="F258" s="43"/>
      <c r="G258" s="40"/>
      <c r="H258" s="51"/>
      <c r="I258" s="33"/>
      <c r="J258" s="31"/>
      <c r="K258" s="33"/>
      <c r="L258" s="33"/>
      <c r="M258" s="36"/>
      <c r="N258" s="47" t="str">
        <f aca="false">IF($B258="","",IF(NOT(ISNUMBER($B258)),"日期不是日期格式",IF(YEAR($B258)&lt;&gt;首页!$B$3,"不在会计年度",IF($D258="","未选供应商",IF(ISNA(MATCH($D258,基础资料!$AF$6:$AF$155,0)),"供应商不在档案",IF($E258="","未填商品或内容",IF(NOT(ISNUMBER($F258)),"数量须为数字",IF(NOT(ISNUMBER($G258)),"单价须为数字",IF(N($F258)&lt;=0,"数量须大于0",IF($I258="","请选是否入库",IF(AND($I258="是",ISNA(MATCH($E258,基础资料!$Q$6:$Q$205,0))),"入库商品必须在商品档案中",IF(AND($I258="否",$J258&lt;&gt;"",ISNA(MATCH($J258,科目参数!$A$6:$A$125,0))),"费用科目不存在","√"))))))))))))</f>
        <v/>
      </c>
      <c r="O258" s="49" t="str">
        <f aca="false">IF($E258="","",IFERROR(INDEX(基础资料!$R$6:$R$205,MATCH($E258,基础资料!$Q$6:$Q$205,0)),""))</f>
        <v/>
      </c>
      <c r="P258" s="49" t="str">
        <f aca="false">IF($E258="","",IFERROR(INDEX(基础资料!$S$6:$S$205,MATCH($E258,基础资料!$Q$6:$Q$205,0)),""))</f>
        <v/>
      </c>
      <c r="Q258" s="48" t="str">
        <f aca="false">IF(OR($F258="",$G258=""),"",ROUND(N($F258)*N($G258),2))</f>
        <v/>
      </c>
      <c r="R258" s="48" t="str">
        <f aca="false">IF($Q258="","",ROUND(N($Q258)*N($H258),2))</f>
        <v/>
      </c>
      <c r="S258" s="48" t="str">
        <f aca="false">IF($Q258="","",N($Q258)+N($R258))</f>
        <v/>
      </c>
      <c r="T258" s="52" t="str">
        <f aca="false">IF(OR($B258="",$D258=""),"",$B258+N(IFERROR(INDEX(基础资料!$AH$6:$AH$155,MATCH($D258,基础资料!$AF$6:$AF$155,0)),0)))</f>
        <v/>
      </c>
      <c r="U258" s="49" t="str">
        <f aca="false">IF($Q258="","",IF($I258="是","1405",IF($J258="","6602",$J258)))</f>
        <v/>
      </c>
      <c r="V258" s="49" t="str">
        <f aca="false">IF($Q258="","","2202")</f>
        <v/>
      </c>
      <c r="W258" s="48" t="str">
        <f aca="false">IF($Q258="","",$Q258)</f>
        <v/>
      </c>
      <c r="X258" s="49" t="str">
        <f aca="false">IF(N($R258)=0,"","2221")</f>
        <v/>
      </c>
      <c r="Y258" s="49" t="str">
        <f aca="false">IF(N($R258)=0,"","2202")</f>
        <v/>
      </c>
      <c r="Z258" s="48" t="str">
        <f aca="false">IF(N($R258)=0,"",$R258)</f>
        <v/>
      </c>
      <c r="AA258" s="49" t="str">
        <f aca="false">IF(AND($D258=供应商对账单!$B$3,$B258&gt;=供应商对账单!$E$3,$B258&lt;=供应商对账单!$H$3),COUNTIFS($D$5:$D258,供应商对账单!$B$3,$B$5:$B258,"&gt;="&amp;供应商对账单!$E$3,$B$5:$B258,"&lt;="&amp;供应商对账单!$H$3),"")</f>
        <v/>
      </c>
    </row>
    <row r="259" customFormat="false" ht="15.75" hidden="false" customHeight="true" outlineLevel="0" collapsed="false">
      <c r="A259" s="42" t="str">
        <f aca="false">IF($B259="","","CG"&amp;TEXT($B259,"yyyymm")&amp;"-"&amp;TEXT(ROW()-4,"000"))</f>
        <v/>
      </c>
      <c r="B259" s="41"/>
      <c r="C259" s="42" t="str">
        <f aca="false">IF($B259="","",TEXT($B259,"yyyy-mm"))</f>
        <v/>
      </c>
      <c r="D259" s="32"/>
      <c r="E259" s="36"/>
      <c r="F259" s="43"/>
      <c r="G259" s="40"/>
      <c r="H259" s="51"/>
      <c r="I259" s="33"/>
      <c r="J259" s="31"/>
      <c r="K259" s="33"/>
      <c r="L259" s="33"/>
      <c r="M259" s="36"/>
      <c r="N259" s="47" t="str">
        <f aca="false">IF($B259="","",IF(NOT(ISNUMBER($B259)),"日期不是日期格式",IF(YEAR($B259)&lt;&gt;首页!$B$3,"不在会计年度",IF($D259="","未选供应商",IF(ISNA(MATCH($D259,基础资料!$AF$6:$AF$155,0)),"供应商不在档案",IF($E259="","未填商品或内容",IF(NOT(ISNUMBER($F259)),"数量须为数字",IF(NOT(ISNUMBER($G259)),"单价须为数字",IF(N($F259)&lt;=0,"数量须大于0",IF($I259="","请选是否入库",IF(AND($I259="是",ISNA(MATCH($E259,基础资料!$Q$6:$Q$205,0))),"入库商品必须在商品档案中",IF(AND($I259="否",$J259&lt;&gt;"",ISNA(MATCH($J259,科目参数!$A$6:$A$125,0))),"费用科目不存在","√"))))))))))))</f>
        <v/>
      </c>
      <c r="O259" s="49" t="str">
        <f aca="false">IF($E259="","",IFERROR(INDEX(基础资料!$R$6:$R$205,MATCH($E259,基础资料!$Q$6:$Q$205,0)),""))</f>
        <v/>
      </c>
      <c r="P259" s="49" t="str">
        <f aca="false">IF($E259="","",IFERROR(INDEX(基础资料!$S$6:$S$205,MATCH($E259,基础资料!$Q$6:$Q$205,0)),""))</f>
        <v/>
      </c>
      <c r="Q259" s="48" t="str">
        <f aca="false">IF(OR($F259="",$G259=""),"",ROUND(N($F259)*N($G259),2))</f>
        <v/>
      </c>
      <c r="R259" s="48" t="str">
        <f aca="false">IF($Q259="","",ROUND(N($Q259)*N($H259),2))</f>
        <v/>
      </c>
      <c r="S259" s="48" t="str">
        <f aca="false">IF($Q259="","",N($Q259)+N($R259))</f>
        <v/>
      </c>
      <c r="T259" s="52" t="str">
        <f aca="false">IF(OR($B259="",$D259=""),"",$B259+N(IFERROR(INDEX(基础资料!$AH$6:$AH$155,MATCH($D259,基础资料!$AF$6:$AF$155,0)),0)))</f>
        <v/>
      </c>
      <c r="U259" s="49" t="str">
        <f aca="false">IF($Q259="","",IF($I259="是","1405",IF($J259="","6602",$J259)))</f>
        <v/>
      </c>
      <c r="V259" s="49" t="str">
        <f aca="false">IF($Q259="","","2202")</f>
        <v/>
      </c>
      <c r="W259" s="48" t="str">
        <f aca="false">IF($Q259="","",$Q259)</f>
        <v/>
      </c>
      <c r="X259" s="49" t="str">
        <f aca="false">IF(N($R259)=0,"","2221")</f>
        <v/>
      </c>
      <c r="Y259" s="49" t="str">
        <f aca="false">IF(N($R259)=0,"","2202")</f>
        <v/>
      </c>
      <c r="Z259" s="48" t="str">
        <f aca="false">IF(N($R259)=0,"",$R259)</f>
        <v/>
      </c>
      <c r="AA259" s="49" t="str">
        <f aca="false">IF(AND($D259=供应商对账单!$B$3,$B259&gt;=供应商对账单!$E$3,$B259&lt;=供应商对账单!$H$3),COUNTIFS($D$5:$D259,供应商对账单!$B$3,$B$5:$B259,"&gt;="&amp;供应商对账单!$E$3,$B$5:$B259,"&lt;="&amp;供应商对账单!$H$3),"")</f>
        <v/>
      </c>
    </row>
    <row r="260" customFormat="false" ht="15.75" hidden="false" customHeight="true" outlineLevel="0" collapsed="false">
      <c r="A260" s="42" t="str">
        <f aca="false">IF($B260="","","CG"&amp;TEXT($B260,"yyyymm")&amp;"-"&amp;TEXT(ROW()-4,"000"))</f>
        <v/>
      </c>
      <c r="B260" s="41"/>
      <c r="C260" s="42" t="str">
        <f aca="false">IF($B260="","",TEXT($B260,"yyyy-mm"))</f>
        <v/>
      </c>
      <c r="D260" s="32"/>
      <c r="E260" s="36"/>
      <c r="F260" s="43"/>
      <c r="G260" s="40"/>
      <c r="H260" s="51"/>
      <c r="I260" s="33"/>
      <c r="J260" s="31"/>
      <c r="K260" s="33"/>
      <c r="L260" s="33"/>
      <c r="M260" s="36"/>
      <c r="N260" s="47" t="str">
        <f aca="false">IF($B260="","",IF(NOT(ISNUMBER($B260)),"日期不是日期格式",IF(YEAR($B260)&lt;&gt;首页!$B$3,"不在会计年度",IF($D260="","未选供应商",IF(ISNA(MATCH($D260,基础资料!$AF$6:$AF$155,0)),"供应商不在档案",IF($E260="","未填商品或内容",IF(NOT(ISNUMBER($F260)),"数量须为数字",IF(NOT(ISNUMBER($G260)),"单价须为数字",IF(N($F260)&lt;=0,"数量须大于0",IF($I260="","请选是否入库",IF(AND($I260="是",ISNA(MATCH($E260,基础资料!$Q$6:$Q$205,0))),"入库商品必须在商品档案中",IF(AND($I260="否",$J260&lt;&gt;"",ISNA(MATCH($J260,科目参数!$A$6:$A$125,0))),"费用科目不存在","√"))))))))))))</f>
        <v/>
      </c>
      <c r="O260" s="49" t="str">
        <f aca="false">IF($E260="","",IFERROR(INDEX(基础资料!$R$6:$R$205,MATCH($E260,基础资料!$Q$6:$Q$205,0)),""))</f>
        <v/>
      </c>
      <c r="P260" s="49" t="str">
        <f aca="false">IF($E260="","",IFERROR(INDEX(基础资料!$S$6:$S$205,MATCH($E260,基础资料!$Q$6:$Q$205,0)),""))</f>
        <v/>
      </c>
      <c r="Q260" s="48" t="str">
        <f aca="false">IF(OR($F260="",$G260=""),"",ROUND(N($F260)*N($G260),2))</f>
        <v/>
      </c>
      <c r="R260" s="48" t="str">
        <f aca="false">IF($Q260="","",ROUND(N($Q260)*N($H260),2))</f>
        <v/>
      </c>
      <c r="S260" s="48" t="str">
        <f aca="false">IF($Q260="","",N($Q260)+N($R260))</f>
        <v/>
      </c>
      <c r="T260" s="52" t="str">
        <f aca="false">IF(OR($B260="",$D260=""),"",$B260+N(IFERROR(INDEX(基础资料!$AH$6:$AH$155,MATCH($D260,基础资料!$AF$6:$AF$155,0)),0)))</f>
        <v/>
      </c>
      <c r="U260" s="49" t="str">
        <f aca="false">IF($Q260="","",IF($I260="是","1405",IF($J260="","6602",$J260)))</f>
        <v/>
      </c>
      <c r="V260" s="49" t="str">
        <f aca="false">IF($Q260="","","2202")</f>
        <v/>
      </c>
      <c r="W260" s="48" t="str">
        <f aca="false">IF($Q260="","",$Q260)</f>
        <v/>
      </c>
      <c r="X260" s="49" t="str">
        <f aca="false">IF(N($R260)=0,"","2221")</f>
        <v/>
      </c>
      <c r="Y260" s="49" t="str">
        <f aca="false">IF(N($R260)=0,"","2202")</f>
        <v/>
      </c>
      <c r="Z260" s="48" t="str">
        <f aca="false">IF(N($R260)=0,"",$R260)</f>
        <v/>
      </c>
      <c r="AA260" s="49" t="str">
        <f aca="false">IF(AND($D260=供应商对账单!$B$3,$B260&gt;=供应商对账单!$E$3,$B260&lt;=供应商对账单!$H$3),COUNTIFS($D$5:$D260,供应商对账单!$B$3,$B$5:$B260,"&gt;="&amp;供应商对账单!$E$3,$B$5:$B260,"&lt;="&amp;供应商对账单!$H$3),"")</f>
        <v/>
      </c>
    </row>
    <row r="261" customFormat="false" ht="15.75" hidden="false" customHeight="true" outlineLevel="0" collapsed="false">
      <c r="A261" s="42" t="str">
        <f aca="false">IF($B261="","","CG"&amp;TEXT($B261,"yyyymm")&amp;"-"&amp;TEXT(ROW()-4,"000"))</f>
        <v/>
      </c>
      <c r="B261" s="41"/>
      <c r="C261" s="42" t="str">
        <f aca="false">IF($B261="","",TEXT($B261,"yyyy-mm"))</f>
        <v/>
      </c>
      <c r="D261" s="32"/>
      <c r="E261" s="36"/>
      <c r="F261" s="43"/>
      <c r="G261" s="40"/>
      <c r="H261" s="51"/>
      <c r="I261" s="33"/>
      <c r="J261" s="31"/>
      <c r="K261" s="33"/>
      <c r="L261" s="33"/>
      <c r="M261" s="36"/>
      <c r="N261" s="47" t="str">
        <f aca="false">IF($B261="","",IF(NOT(ISNUMBER($B261)),"日期不是日期格式",IF(YEAR($B261)&lt;&gt;首页!$B$3,"不在会计年度",IF($D261="","未选供应商",IF(ISNA(MATCH($D261,基础资料!$AF$6:$AF$155,0)),"供应商不在档案",IF($E261="","未填商品或内容",IF(NOT(ISNUMBER($F261)),"数量须为数字",IF(NOT(ISNUMBER($G261)),"单价须为数字",IF(N($F261)&lt;=0,"数量须大于0",IF($I261="","请选是否入库",IF(AND($I261="是",ISNA(MATCH($E261,基础资料!$Q$6:$Q$205,0))),"入库商品必须在商品档案中",IF(AND($I261="否",$J261&lt;&gt;"",ISNA(MATCH($J261,科目参数!$A$6:$A$125,0))),"费用科目不存在","√"))))))))))))</f>
        <v/>
      </c>
      <c r="O261" s="49" t="str">
        <f aca="false">IF($E261="","",IFERROR(INDEX(基础资料!$R$6:$R$205,MATCH($E261,基础资料!$Q$6:$Q$205,0)),""))</f>
        <v/>
      </c>
      <c r="P261" s="49" t="str">
        <f aca="false">IF($E261="","",IFERROR(INDEX(基础资料!$S$6:$S$205,MATCH($E261,基础资料!$Q$6:$Q$205,0)),""))</f>
        <v/>
      </c>
      <c r="Q261" s="48" t="str">
        <f aca="false">IF(OR($F261="",$G261=""),"",ROUND(N($F261)*N($G261),2))</f>
        <v/>
      </c>
      <c r="R261" s="48" t="str">
        <f aca="false">IF($Q261="","",ROUND(N($Q261)*N($H261),2))</f>
        <v/>
      </c>
      <c r="S261" s="48" t="str">
        <f aca="false">IF($Q261="","",N($Q261)+N($R261))</f>
        <v/>
      </c>
      <c r="T261" s="52" t="str">
        <f aca="false">IF(OR($B261="",$D261=""),"",$B261+N(IFERROR(INDEX(基础资料!$AH$6:$AH$155,MATCH($D261,基础资料!$AF$6:$AF$155,0)),0)))</f>
        <v/>
      </c>
      <c r="U261" s="49" t="str">
        <f aca="false">IF($Q261="","",IF($I261="是","1405",IF($J261="","6602",$J261)))</f>
        <v/>
      </c>
      <c r="V261" s="49" t="str">
        <f aca="false">IF($Q261="","","2202")</f>
        <v/>
      </c>
      <c r="W261" s="48" t="str">
        <f aca="false">IF($Q261="","",$Q261)</f>
        <v/>
      </c>
      <c r="X261" s="49" t="str">
        <f aca="false">IF(N($R261)=0,"","2221")</f>
        <v/>
      </c>
      <c r="Y261" s="49" t="str">
        <f aca="false">IF(N($R261)=0,"","2202")</f>
        <v/>
      </c>
      <c r="Z261" s="48" t="str">
        <f aca="false">IF(N($R261)=0,"",$R261)</f>
        <v/>
      </c>
      <c r="AA261" s="49" t="str">
        <f aca="false">IF(AND($D261=供应商对账单!$B$3,$B261&gt;=供应商对账单!$E$3,$B261&lt;=供应商对账单!$H$3),COUNTIFS($D$5:$D261,供应商对账单!$B$3,$B$5:$B261,"&gt;="&amp;供应商对账单!$E$3,$B$5:$B261,"&lt;="&amp;供应商对账单!$H$3),"")</f>
        <v/>
      </c>
    </row>
    <row r="262" customFormat="false" ht="15.75" hidden="false" customHeight="true" outlineLevel="0" collapsed="false">
      <c r="A262" s="42" t="str">
        <f aca="false">IF($B262="","","CG"&amp;TEXT($B262,"yyyymm")&amp;"-"&amp;TEXT(ROW()-4,"000"))</f>
        <v/>
      </c>
      <c r="B262" s="41"/>
      <c r="C262" s="42" t="str">
        <f aca="false">IF($B262="","",TEXT($B262,"yyyy-mm"))</f>
        <v/>
      </c>
      <c r="D262" s="32"/>
      <c r="E262" s="36"/>
      <c r="F262" s="43"/>
      <c r="G262" s="40"/>
      <c r="H262" s="51"/>
      <c r="I262" s="33"/>
      <c r="J262" s="31"/>
      <c r="K262" s="33"/>
      <c r="L262" s="33"/>
      <c r="M262" s="36"/>
      <c r="N262" s="47" t="str">
        <f aca="false">IF($B262="","",IF(NOT(ISNUMBER($B262)),"日期不是日期格式",IF(YEAR($B262)&lt;&gt;首页!$B$3,"不在会计年度",IF($D262="","未选供应商",IF(ISNA(MATCH($D262,基础资料!$AF$6:$AF$155,0)),"供应商不在档案",IF($E262="","未填商品或内容",IF(NOT(ISNUMBER($F262)),"数量须为数字",IF(NOT(ISNUMBER($G262)),"单价须为数字",IF(N($F262)&lt;=0,"数量须大于0",IF($I262="","请选是否入库",IF(AND($I262="是",ISNA(MATCH($E262,基础资料!$Q$6:$Q$205,0))),"入库商品必须在商品档案中",IF(AND($I262="否",$J262&lt;&gt;"",ISNA(MATCH($J262,科目参数!$A$6:$A$125,0))),"费用科目不存在","√"))))))))))))</f>
        <v/>
      </c>
      <c r="O262" s="49" t="str">
        <f aca="false">IF($E262="","",IFERROR(INDEX(基础资料!$R$6:$R$205,MATCH($E262,基础资料!$Q$6:$Q$205,0)),""))</f>
        <v/>
      </c>
      <c r="P262" s="49" t="str">
        <f aca="false">IF($E262="","",IFERROR(INDEX(基础资料!$S$6:$S$205,MATCH($E262,基础资料!$Q$6:$Q$205,0)),""))</f>
        <v/>
      </c>
      <c r="Q262" s="48" t="str">
        <f aca="false">IF(OR($F262="",$G262=""),"",ROUND(N($F262)*N($G262),2))</f>
        <v/>
      </c>
      <c r="R262" s="48" t="str">
        <f aca="false">IF($Q262="","",ROUND(N($Q262)*N($H262),2))</f>
        <v/>
      </c>
      <c r="S262" s="48" t="str">
        <f aca="false">IF($Q262="","",N($Q262)+N($R262))</f>
        <v/>
      </c>
      <c r="T262" s="52" t="str">
        <f aca="false">IF(OR($B262="",$D262=""),"",$B262+N(IFERROR(INDEX(基础资料!$AH$6:$AH$155,MATCH($D262,基础资料!$AF$6:$AF$155,0)),0)))</f>
        <v/>
      </c>
      <c r="U262" s="49" t="str">
        <f aca="false">IF($Q262="","",IF($I262="是","1405",IF($J262="","6602",$J262)))</f>
        <v/>
      </c>
      <c r="V262" s="49" t="str">
        <f aca="false">IF($Q262="","","2202")</f>
        <v/>
      </c>
      <c r="W262" s="48" t="str">
        <f aca="false">IF($Q262="","",$Q262)</f>
        <v/>
      </c>
      <c r="X262" s="49" t="str">
        <f aca="false">IF(N($R262)=0,"","2221")</f>
        <v/>
      </c>
      <c r="Y262" s="49" t="str">
        <f aca="false">IF(N($R262)=0,"","2202")</f>
        <v/>
      </c>
      <c r="Z262" s="48" t="str">
        <f aca="false">IF(N($R262)=0,"",$R262)</f>
        <v/>
      </c>
      <c r="AA262" s="49" t="str">
        <f aca="false">IF(AND($D262=供应商对账单!$B$3,$B262&gt;=供应商对账单!$E$3,$B262&lt;=供应商对账单!$H$3),COUNTIFS($D$5:$D262,供应商对账单!$B$3,$B$5:$B262,"&gt;="&amp;供应商对账单!$E$3,$B$5:$B262,"&lt;="&amp;供应商对账单!$H$3),"")</f>
        <v/>
      </c>
    </row>
    <row r="263" customFormat="false" ht="15.75" hidden="false" customHeight="true" outlineLevel="0" collapsed="false">
      <c r="A263" s="42" t="str">
        <f aca="false">IF($B263="","","CG"&amp;TEXT($B263,"yyyymm")&amp;"-"&amp;TEXT(ROW()-4,"000"))</f>
        <v/>
      </c>
      <c r="B263" s="41"/>
      <c r="C263" s="42" t="str">
        <f aca="false">IF($B263="","",TEXT($B263,"yyyy-mm"))</f>
        <v/>
      </c>
      <c r="D263" s="32"/>
      <c r="E263" s="36"/>
      <c r="F263" s="43"/>
      <c r="G263" s="40"/>
      <c r="H263" s="51"/>
      <c r="I263" s="33"/>
      <c r="J263" s="31"/>
      <c r="K263" s="33"/>
      <c r="L263" s="33"/>
      <c r="M263" s="36"/>
      <c r="N263" s="47" t="str">
        <f aca="false">IF($B263="","",IF(NOT(ISNUMBER($B263)),"日期不是日期格式",IF(YEAR($B263)&lt;&gt;首页!$B$3,"不在会计年度",IF($D263="","未选供应商",IF(ISNA(MATCH($D263,基础资料!$AF$6:$AF$155,0)),"供应商不在档案",IF($E263="","未填商品或内容",IF(NOT(ISNUMBER($F263)),"数量须为数字",IF(NOT(ISNUMBER($G263)),"单价须为数字",IF(N($F263)&lt;=0,"数量须大于0",IF($I263="","请选是否入库",IF(AND($I263="是",ISNA(MATCH($E263,基础资料!$Q$6:$Q$205,0))),"入库商品必须在商品档案中",IF(AND($I263="否",$J263&lt;&gt;"",ISNA(MATCH($J263,科目参数!$A$6:$A$125,0))),"费用科目不存在","√"))))))))))))</f>
        <v/>
      </c>
      <c r="O263" s="49" t="str">
        <f aca="false">IF($E263="","",IFERROR(INDEX(基础资料!$R$6:$R$205,MATCH($E263,基础资料!$Q$6:$Q$205,0)),""))</f>
        <v/>
      </c>
      <c r="P263" s="49" t="str">
        <f aca="false">IF($E263="","",IFERROR(INDEX(基础资料!$S$6:$S$205,MATCH($E263,基础资料!$Q$6:$Q$205,0)),""))</f>
        <v/>
      </c>
      <c r="Q263" s="48" t="str">
        <f aca="false">IF(OR($F263="",$G263=""),"",ROUND(N($F263)*N($G263),2))</f>
        <v/>
      </c>
      <c r="R263" s="48" t="str">
        <f aca="false">IF($Q263="","",ROUND(N($Q263)*N($H263),2))</f>
        <v/>
      </c>
      <c r="S263" s="48" t="str">
        <f aca="false">IF($Q263="","",N($Q263)+N($R263))</f>
        <v/>
      </c>
      <c r="T263" s="52" t="str">
        <f aca="false">IF(OR($B263="",$D263=""),"",$B263+N(IFERROR(INDEX(基础资料!$AH$6:$AH$155,MATCH($D263,基础资料!$AF$6:$AF$155,0)),0)))</f>
        <v/>
      </c>
      <c r="U263" s="49" t="str">
        <f aca="false">IF($Q263="","",IF($I263="是","1405",IF($J263="","6602",$J263)))</f>
        <v/>
      </c>
      <c r="V263" s="49" t="str">
        <f aca="false">IF($Q263="","","2202")</f>
        <v/>
      </c>
      <c r="W263" s="48" t="str">
        <f aca="false">IF($Q263="","",$Q263)</f>
        <v/>
      </c>
      <c r="X263" s="49" t="str">
        <f aca="false">IF(N($R263)=0,"","2221")</f>
        <v/>
      </c>
      <c r="Y263" s="49" t="str">
        <f aca="false">IF(N($R263)=0,"","2202")</f>
        <v/>
      </c>
      <c r="Z263" s="48" t="str">
        <f aca="false">IF(N($R263)=0,"",$R263)</f>
        <v/>
      </c>
      <c r="AA263" s="49" t="str">
        <f aca="false">IF(AND($D263=供应商对账单!$B$3,$B263&gt;=供应商对账单!$E$3,$B263&lt;=供应商对账单!$H$3),COUNTIFS($D$5:$D263,供应商对账单!$B$3,$B$5:$B263,"&gt;="&amp;供应商对账单!$E$3,$B$5:$B263,"&lt;="&amp;供应商对账单!$H$3),"")</f>
        <v/>
      </c>
    </row>
    <row r="264" customFormat="false" ht="15.75" hidden="false" customHeight="true" outlineLevel="0" collapsed="false">
      <c r="A264" s="42" t="str">
        <f aca="false">IF($B264="","","CG"&amp;TEXT($B264,"yyyymm")&amp;"-"&amp;TEXT(ROW()-4,"000"))</f>
        <v/>
      </c>
      <c r="B264" s="41"/>
      <c r="C264" s="42" t="str">
        <f aca="false">IF($B264="","",TEXT($B264,"yyyy-mm"))</f>
        <v/>
      </c>
      <c r="D264" s="32"/>
      <c r="E264" s="36"/>
      <c r="F264" s="43"/>
      <c r="G264" s="40"/>
      <c r="H264" s="51"/>
      <c r="I264" s="33"/>
      <c r="J264" s="31"/>
      <c r="K264" s="33"/>
      <c r="L264" s="33"/>
      <c r="M264" s="36"/>
      <c r="N264" s="47" t="str">
        <f aca="false">IF($B264="","",IF(NOT(ISNUMBER($B264)),"日期不是日期格式",IF(YEAR($B264)&lt;&gt;首页!$B$3,"不在会计年度",IF($D264="","未选供应商",IF(ISNA(MATCH($D264,基础资料!$AF$6:$AF$155,0)),"供应商不在档案",IF($E264="","未填商品或内容",IF(NOT(ISNUMBER($F264)),"数量须为数字",IF(NOT(ISNUMBER($G264)),"单价须为数字",IF(N($F264)&lt;=0,"数量须大于0",IF($I264="","请选是否入库",IF(AND($I264="是",ISNA(MATCH($E264,基础资料!$Q$6:$Q$205,0))),"入库商品必须在商品档案中",IF(AND($I264="否",$J264&lt;&gt;"",ISNA(MATCH($J264,科目参数!$A$6:$A$125,0))),"费用科目不存在","√"))))))))))))</f>
        <v/>
      </c>
      <c r="O264" s="49" t="str">
        <f aca="false">IF($E264="","",IFERROR(INDEX(基础资料!$R$6:$R$205,MATCH($E264,基础资料!$Q$6:$Q$205,0)),""))</f>
        <v/>
      </c>
      <c r="P264" s="49" t="str">
        <f aca="false">IF($E264="","",IFERROR(INDEX(基础资料!$S$6:$S$205,MATCH($E264,基础资料!$Q$6:$Q$205,0)),""))</f>
        <v/>
      </c>
      <c r="Q264" s="48" t="str">
        <f aca="false">IF(OR($F264="",$G264=""),"",ROUND(N($F264)*N($G264),2))</f>
        <v/>
      </c>
      <c r="R264" s="48" t="str">
        <f aca="false">IF($Q264="","",ROUND(N($Q264)*N($H264),2))</f>
        <v/>
      </c>
      <c r="S264" s="48" t="str">
        <f aca="false">IF($Q264="","",N($Q264)+N($R264))</f>
        <v/>
      </c>
      <c r="T264" s="52" t="str">
        <f aca="false">IF(OR($B264="",$D264=""),"",$B264+N(IFERROR(INDEX(基础资料!$AH$6:$AH$155,MATCH($D264,基础资料!$AF$6:$AF$155,0)),0)))</f>
        <v/>
      </c>
      <c r="U264" s="49" t="str">
        <f aca="false">IF($Q264="","",IF($I264="是","1405",IF($J264="","6602",$J264)))</f>
        <v/>
      </c>
      <c r="V264" s="49" t="str">
        <f aca="false">IF($Q264="","","2202")</f>
        <v/>
      </c>
      <c r="W264" s="48" t="str">
        <f aca="false">IF($Q264="","",$Q264)</f>
        <v/>
      </c>
      <c r="X264" s="49" t="str">
        <f aca="false">IF(N($R264)=0,"","2221")</f>
        <v/>
      </c>
      <c r="Y264" s="49" t="str">
        <f aca="false">IF(N($R264)=0,"","2202")</f>
        <v/>
      </c>
      <c r="Z264" s="48" t="str">
        <f aca="false">IF(N($R264)=0,"",$R264)</f>
        <v/>
      </c>
      <c r="AA264" s="49" t="str">
        <f aca="false">IF(AND($D264=供应商对账单!$B$3,$B264&gt;=供应商对账单!$E$3,$B264&lt;=供应商对账单!$H$3),COUNTIFS($D$5:$D264,供应商对账单!$B$3,$B$5:$B264,"&gt;="&amp;供应商对账单!$E$3,$B$5:$B264,"&lt;="&amp;供应商对账单!$H$3),"")</f>
        <v/>
      </c>
    </row>
    <row r="265" customFormat="false" ht="15.75" hidden="false" customHeight="true" outlineLevel="0" collapsed="false">
      <c r="A265" s="42" t="str">
        <f aca="false">IF($B265="","","CG"&amp;TEXT($B265,"yyyymm")&amp;"-"&amp;TEXT(ROW()-4,"000"))</f>
        <v/>
      </c>
      <c r="B265" s="41"/>
      <c r="C265" s="42" t="str">
        <f aca="false">IF($B265="","",TEXT($B265,"yyyy-mm"))</f>
        <v/>
      </c>
      <c r="D265" s="32"/>
      <c r="E265" s="36"/>
      <c r="F265" s="43"/>
      <c r="G265" s="40"/>
      <c r="H265" s="51"/>
      <c r="I265" s="33"/>
      <c r="J265" s="31"/>
      <c r="K265" s="33"/>
      <c r="L265" s="33"/>
      <c r="M265" s="36"/>
      <c r="N265" s="47" t="str">
        <f aca="false">IF($B265="","",IF(NOT(ISNUMBER($B265)),"日期不是日期格式",IF(YEAR($B265)&lt;&gt;首页!$B$3,"不在会计年度",IF($D265="","未选供应商",IF(ISNA(MATCH($D265,基础资料!$AF$6:$AF$155,0)),"供应商不在档案",IF($E265="","未填商品或内容",IF(NOT(ISNUMBER($F265)),"数量须为数字",IF(NOT(ISNUMBER($G265)),"单价须为数字",IF(N($F265)&lt;=0,"数量须大于0",IF($I265="","请选是否入库",IF(AND($I265="是",ISNA(MATCH($E265,基础资料!$Q$6:$Q$205,0))),"入库商品必须在商品档案中",IF(AND($I265="否",$J265&lt;&gt;"",ISNA(MATCH($J265,科目参数!$A$6:$A$125,0))),"费用科目不存在","√"))))))))))))</f>
        <v/>
      </c>
      <c r="O265" s="49" t="str">
        <f aca="false">IF($E265="","",IFERROR(INDEX(基础资料!$R$6:$R$205,MATCH($E265,基础资料!$Q$6:$Q$205,0)),""))</f>
        <v/>
      </c>
      <c r="P265" s="49" t="str">
        <f aca="false">IF($E265="","",IFERROR(INDEX(基础资料!$S$6:$S$205,MATCH($E265,基础资料!$Q$6:$Q$205,0)),""))</f>
        <v/>
      </c>
      <c r="Q265" s="48" t="str">
        <f aca="false">IF(OR($F265="",$G265=""),"",ROUND(N($F265)*N($G265),2))</f>
        <v/>
      </c>
      <c r="R265" s="48" t="str">
        <f aca="false">IF($Q265="","",ROUND(N($Q265)*N($H265),2))</f>
        <v/>
      </c>
      <c r="S265" s="48" t="str">
        <f aca="false">IF($Q265="","",N($Q265)+N($R265))</f>
        <v/>
      </c>
      <c r="T265" s="52" t="str">
        <f aca="false">IF(OR($B265="",$D265=""),"",$B265+N(IFERROR(INDEX(基础资料!$AH$6:$AH$155,MATCH($D265,基础资料!$AF$6:$AF$155,0)),0)))</f>
        <v/>
      </c>
      <c r="U265" s="49" t="str">
        <f aca="false">IF($Q265="","",IF($I265="是","1405",IF($J265="","6602",$J265)))</f>
        <v/>
      </c>
      <c r="V265" s="49" t="str">
        <f aca="false">IF($Q265="","","2202")</f>
        <v/>
      </c>
      <c r="W265" s="48" t="str">
        <f aca="false">IF($Q265="","",$Q265)</f>
        <v/>
      </c>
      <c r="X265" s="49" t="str">
        <f aca="false">IF(N($R265)=0,"","2221")</f>
        <v/>
      </c>
      <c r="Y265" s="49" t="str">
        <f aca="false">IF(N($R265)=0,"","2202")</f>
        <v/>
      </c>
      <c r="Z265" s="48" t="str">
        <f aca="false">IF(N($R265)=0,"",$R265)</f>
        <v/>
      </c>
      <c r="AA265" s="49" t="str">
        <f aca="false">IF(AND($D265=供应商对账单!$B$3,$B265&gt;=供应商对账单!$E$3,$B265&lt;=供应商对账单!$H$3),COUNTIFS($D$5:$D265,供应商对账单!$B$3,$B$5:$B265,"&gt;="&amp;供应商对账单!$E$3,$B$5:$B265,"&lt;="&amp;供应商对账单!$H$3),"")</f>
        <v/>
      </c>
    </row>
    <row r="266" customFormat="false" ht="15.75" hidden="false" customHeight="true" outlineLevel="0" collapsed="false">
      <c r="A266" s="42" t="str">
        <f aca="false">IF($B266="","","CG"&amp;TEXT($B266,"yyyymm")&amp;"-"&amp;TEXT(ROW()-4,"000"))</f>
        <v/>
      </c>
      <c r="B266" s="41"/>
      <c r="C266" s="42" t="str">
        <f aca="false">IF($B266="","",TEXT($B266,"yyyy-mm"))</f>
        <v/>
      </c>
      <c r="D266" s="32"/>
      <c r="E266" s="36"/>
      <c r="F266" s="43"/>
      <c r="G266" s="40"/>
      <c r="H266" s="51"/>
      <c r="I266" s="33"/>
      <c r="J266" s="31"/>
      <c r="K266" s="33"/>
      <c r="L266" s="33"/>
      <c r="M266" s="36"/>
      <c r="N266" s="47" t="str">
        <f aca="false">IF($B266="","",IF(NOT(ISNUMBER($B266)),"日期不是日期格式",IF(YEAR($B266)&lt;&gt;首页!$B$3,"不在会计年度",IF($D266="","未选供应商",IF(ISNA(MATCH($D266,基础资料!$AF$6:$AF$155,0)),"供应商不在档案",IF($E266="","未填商品或内容",IF(NOT(ISNUMBER($F266)),"数量须为数字",IF(NOT(ISNUMBER($G266)),"单价须为数字",IF(N($F266)&lt;=0,"数量须大于0",IF($I266="","请选是否入库",IF(AND($I266="是",ISNA(MATCH($E266,基础资料!$Q$6:$Q$205,0))),"入库商品必须在商品档案中",IF(AND($I266="否",$J266&lt;&gt;"",ISNA(MATCH($J266,科目参数!$A$6:$A$125,0))),"费用科目不存在","√"))))))))))))</f>
        <v/>
      </c>
      <c r="O266" s="49" t="str">
        <f aca="false">IF($E266="","",IFERROR(INDEX(基础资料!$R$6:$R$205,MATCH($E266,基础资料!$Q$6:$Q$205,0)),""))</f>
        <v/>
      </c>
      <c r="P266" s="49" t="str">
        <f aca="false">IF($E266="","",IFERROR(INDEX(基础资料!$S$6:$S$205,MATCH($E266,基础资料!$Q$6:$Q$205,0)),""))</f>
        <v/>
      </c>
      <c r="Q266" s="48" t="str">
        <f aca="false">IF(OR($F266="",$G266=""),"",ROUND(N($F266)*N($G266),2))</f>
        <v/>
      </c>
      <c r="R266" s="48" t="str">
        <f aca="false">IF($Q266="","",ROUND(N($Q266)*N($H266),2))</f>
        <v/>
      </c>
      <c r="S266" s="48" t="str">
        <f aca="false">IF($Q266="","",N($Q266)+N($R266))</f>
        <v/>
      </c>
      <c r="T266" s="52" t="str">
        <f aca="false">IF(OR($B266="",$D266=""),"",$B266+N(IFERROR(INDEX(基础资料!$AH$6:$AH$155,MATCH($D266,基础资料!$AF$6:$AF$155,0)),0)))</f>
        <v/>
      </c>
      <c r="U266" s="49" t="str">
        <f aca="false">IF($Q266="","",IF($I266="是","1405",IF($J266="","6602",$J266)))</f>
        <v/>
      </c>
      <c r="V266" s="49" t="str">
        <f aca="false">IF($Q266="","","2202")</f>
        <v/>
      </c>
      <c r="W266" s="48" t="str">
        <f aca="false">IF($Q266="","",$Q266)</f>
        <v/>
      </c>
      <c r="X266" s="49" t="str">
        <f aca="false">IF(N($R266)=0,"","2221")</f>
        <v/>
      </c>
      <c r="Y266" s="49" t="str">
        <f aca="false">IF(N($R266)=0,"","2202")</f>
        <v/>
      </c>
      <c r="Z266" s="48" t="str">
        <f aca="false">IF(N($R266)=0,"",$R266)</f>
        <v/>
      </c>
      <c r="AA266" s="49" t="str">
        <f aca="false">IF(AND($D266=供应商对账单!$B$3,$B266&gt;=供应商对账单!$E$3,$B266&lt;=供应商对账单!$H$3),COUNTIFS($D$5:$D266,供应商对账单!$B$3,$B$5:$B266,"&gt;="&amp;供应商对账单!$E$3,$B$5:$B266,"&lt;="&amp;供应商对账单!$H$3),"")</f>
        <v/>
      </c>
    </row>
    <row r="267" customFormat="false" ht="15.75" hidden="false" customHeight="true" outlineLevel="0" collapsed="false">
      <c r="A267" s="42" t="str">
        <f aca="false">IF($B267="","","CG"&amp;TEXT($B267,"yyyymm")&amp;"-"&amp;TEXT(ROW()-4,"000"))</f>
        <v/>
      </c>
      <c r="B267" s="41"/>
      <c r="C267" s="42" t="str">
        <f aca="false">IF($B267="","",TEXT($B267,"yyyy-mm"))</f>
        <v/>
      </c>
      <c r="D267" s="32"/>
      <c r="E267" s="36"/>
      <c r="F267" s="43"/>
      <c r="G267" s="40"/>
      <c r="H267" s="51"/>
      <c r="I267" s="33"/>
      <c r="J267" s="31"/>
      <c r="K267" s="33"/>
      <c r="L267" s="33"/>
      <c r="M267" s="36"/>
      <c r="N267" s="47" t="str">
        <f aca="false">IF($B267="","",IF(NOT(ISNUMBER($B267)),"日期不是日期格式",IF(YEAR($B267)&lt;&gt;首页!$B$3,"不在会计年度",IF($D267="","未选供应商",IF(ISNA(MATCH($D267,基础资料!$AF$6:$AF$155,0)),"供应商不在档案",IF($E267="","未填商品或内容",IF(NOT(ISNUMBER($F267)),"数量须为数字",IF(NOT(ISNUMBER($G267)),"单价须为数字",IF(N($F267)&lt;=0,"数量须大于0",IF($I267="","请选是否入库",IF(AND($I267="是",ISNA(MATCH($E267,基础资料!$Q$6:$Q$205,0))),"入库商品必须在商品档案中",IF(AND($I267="否",$J267&lt;&gt;"",ISNA(MATCH($J267,科目参数!$A$6:$A$125,0))),"费用科目不存在","√"))))))))))))</f>
        <v/>
      </c>
      <c r="O267" s="49" t="str">
        <f aca="false">IF($E267="","",IFERROR(INDEX(基础资料!$R$6:$R$205,MATCH($E267,基础资料!$Q$6:$Q$205,0)),""))</f>
        <v/>
      </c>
      <c r="P267" s="49" t="str">
        <f aca="false">IF($E267="","",IFERROR(INDEX(基础资料!$S$6:$S$205,MATCH($E267,基础资料!$Q$6:$Q$205,0)),""))</f>
        <v/>
      </c>
      <c r="Q267" s="48" t="str">
        <f aca="false">IF(OR($F267="",$G267=""),"",ROUND(N($F267)*N($G267),2))</f>
        <v/>
      </c>
      <c r="R267" s="48" t="str">
        <f aca="false">IF($Q267="","",ROUND(N($Q267)*N($H267),2))</f>
        <v/>
      </c>
      <c r="S267" s="48" t="str">
        <f aca="false">IF($Q267="","",N($Q267)+N($R267))</f>
        <v/>
      </c>
      <c r="T267" s="52" t="str">
        <f aca="false">IF(OR($B267="",$D267=""),"",$B267+N(IFERROR(INDEX(基础资料!$AH$6:$AH$155,MATCH($D267,基础资料!$AF$6:$AF$155,0)),0)))</f>
        <v/>
      </c>
      <c r="U267" s="49" t="str">
        <f aca="false">IF($Q267="","",IF($I267="是","1405",IF($J267="","6602",$J267)))</f>
        <v/>
      </c>
      <c r="V267" s="49" t="str">
        <f aca="false">IF($Q267="","","2202")</f>
        <v/>
      </c>
      <c r="W267" s="48" t="str">
        <f aca="false">IF($Q267="","",$Q267)</f>
        <v/>
      </c>
      <c r="X267" s="49" t="str">
        <f aca="false">IF(N($R267)=0,"","2221")</f>
        <v/>
      </c>
      <c r="Y267" s="49" t="str">
        <f aca="false">IF(N($R267)=0,"","2202")</f>
        <v/>
      </c>
      <c r="Z267" s="48" t="str">
        <f aca="false">IF(N($R267)=0,"",$R267)</f>
        <v/>
      </c>
      <c r="AA267" s="49" t="str">
        <f aca="false">IF(AND($D267=供应商对账单!$B$3,$B267&gt;=供应商对账单!$E$3,$B267&lt;=供应商对账单!$H$3),COUNTIFS($D$5:$D267,供应商对账单!$B$3,$B$5:$B267,"&gt;="&amp;供应商对账单!$E$3,$B$5:$B267,"&lt;="&amp;供应商对账单!$H$3),"")</f>
        <v/>
      </c>
    </row>
    <row r="268" customFormat="false" ht="15.75" hidden="false" customHeight="true" outlineLevel="0" collapsed="false">
      <c r="A268" s="42" t="str">
        <f aca="false">IF($B268="","","CG"&amp;TEXT($B268,"yyyymm")&amp;"-"&amp;TEXT(ROW()-4,"000"))</f>
        <v/>
      </c>
      <c r="B268" s="41"/>
      <c r="C268" s="42" t="str">
        <f aca="false">IF($B268="","",TEXT($B268,"yyyy-mm"))</f>
        <v/>
      </c>
      <c r="D268" s="32"/>
      <c r="E268" s="36"/>
      <c r="F268" s="43"/>
      <c r="G268" s="40"/>
      <c r="H268" s="51"/>
      <c r="I268" s="33"/>
      <c r="J268" s="31"/>
      <c r="K268" s="33"/>
      <c r="L268" s="33"/>
      <c r="M268" s="36"/>
      <c r="N268" s="47" t="str">
        <f aca="false">IF($B268="","",IF(NOT(ISNUMBER($B268)),"日期不是日期格式",IF(YEAR($B268)&lt;&gt;首页!$B$3,"不在会计年度",IF($D268="","未选供应商",IF(ISNA(MATCH($D268,基础资料!$AF$6:$AF$155,0)),"供应商不在档案",IF($E268="","未填商品或内容",IF(NOT(ISNUMBER($F268)),"数量须为数字",IF(NOT(ISNUMBER($G268)),"单价须为数字",IF(N($F268)&lt;=0,"数量须大于0",IF($I268="","请选是否入库",IF(AND($I268="是",ISNA(MATCH($E268,基础资料!$Q$6:$Q$205,0))),"入库商品必须在商品档案中",IF(AND($I268="否",$J268&lt;&gt;"",ISNA(MATCH($J268,科目参数!$A$6:$A$125,0))),"费用科目不存在","√"))))))))))))</f>
        <v/>
      </c>
      <c r="O268" s="49" t="str">
        <f aca="false">IF($E268="","",IFERROR(INDEX(基础资料!$R$6:$R$205,MATCH($E268,基础资料!$Q$6:$Q$205,0)),""))</f>
        <v/>
      </c>
      <c r="P268" s="49" t="str">
        <f aca="false">IF($E268="","",IFERROR(INDEX(基础资料!$S$6:$S$205,MATCH($E268,基础资料!$Q$6:$Q$205,0)),""))</f>
        <v/>
      </c>
      <c r="Q268" s="48" t="str">
        <f aca="false">IF(OR($F268="",$G268=""),"",ROUND(N($F268)*N($G268),2))</f>
        <v/>
      </c>
      <c r="R268" s="48" t="str">
        <f aca="false">IF($Q268="","",ROUND(N($Q268)*N($H268),2))</f>
        <v/>
      </c>
      <c r="S268" s="48" t="str">
        <f aca="false">IF($Q268="","",N($Q268)+N($R268))</f>
        <v/>
      </c>
      <c r="T268" s="52" t="str">
        <f aca="false">IF(OR($B268="",$D268=""),"",$B268+N(IFERROR(INDEX(基础资料!$AH$6:$AH$155,MATCH($D268,基础资料!$AF$6:$AF$155,0)),0)))</f>
        <v/>
      </c>
      <c r="U268" s="49" t="str">
        <f aca="false">IF($Q268="","",IF($I268="是","1405",IF($J268="","6602",$J268)))</f>
        <v/>
      </c>
      <c r="V268" s="49" t="str">
        <f aca="false">IF($Q268="","","2202")</f>
        <v/>
      </c>
      <c r="W268" s="48" t="str">
        <f aca="false">IF($Q268="","",$Q268)</f>
        <v/>
      </c>
      <c r="X268" s="49" t="str">
        <f aca="false">IF(N($R268)=0,"","2221")</f>
        <v/>
      </c>
      <c r="Y268" s="49" t="str">
        <f aca="false">IF(N($R268)=0,"","2202")</f>
        <v/>
      </c>
      <c r="Z268" s="48" t="str">
        <f aca="false">IF(N($R268)=0,"",$R268)</f>
        <v/>
      </c>
      <c r="AA268" s="49" t="str">
        <f aca="false">IF(AND($D268=供应商对账单!$B$3,$B268&gt;=供应商对账单!$E$3,$B268&lt;=供应商对账单!$H$3),COUNTIFS($D$5:$D268,供应商对账单!$B$3,$B$5:$B268,"&gt;="&amp;供应商对账单!$E$3,$B$5:$B268,"&lt;="&amp;供应商对账单!$H$3),"")</f>
        <v/>
      </c>
    </row>
    <row r="269" customFormat="false" ht="15.75" hidden="false" customHeight="true" outlineLevel="0" collapsed="false">
      <c r="A269" s="42" t="str">
        <f aca="false">IF($B269="","","CG"&amp;TEXT($B269,"yyyymm")&amp;"-"&amp;TEXT(ROW()-4,"000"))</f>
        <v/>
      </c>
      <c r="B269" s="41"/>
      <c r="C269" s="42" t="str">
        <f aca="false">IF($B269="","",TEXT($B269,"yyyy-mm"))</f>
        <v/>
      </c>
      <c r="D269" s="32"/>
      <c r="E269" s="36"/>
      <c r="F269" s="43"/>
      <c r="G269" s="40"/>
      <c r="H269" s="51"/>
      <c r="I269" s="33"/>
      <c r="J269" s="31"/>
      <c r="K269" s="33"/>
      <c r="L269" s="33"/>
      <c r="M269" s="36"/>
      <c r="N269" s="47" t="str">
        <f aca="false">IF($B269="","",IF(NOT(ISNUMBER($B269)),"日期不是日期格式",IF(YEAR($B269)&lt;&gt;首页!$B$3,"不在会计年度",IF($D269="","未选供应商",IF(ISNA(MATCH($D269,基础资料!$AF$6:$AF$155,0)),"供应商不在档案",IF($E269="","未填商品或内容",IF(NOT(ISNUMBER($F269)),"数量须为数字",IF(NOT(ISNUMBER($G269)),"单价须为数字",IF(N($F269)&lt;=0,"数量须大于0",IF($I269="","请选是否入库",IF(AND($I269="是",ISNA(MATCH($E269,基础资料!$Q$6:$Q$205,0))),"入库商品必须在商品档案中",IF(AND($I269="否",$J269&lt;&gt;"",ISNA(MATCH($J269,科目参数!$A$6:$A$125,0))),"费用科目不存在","√"))))))))))))</f>
        <v/>
      </c>
      <c r="O269" s="49" t="str">
        <f aca="false">IF($E269="","",IFERROR(INDEX(基础资料!$R$6:$R$205,MATCH($E269,基础资料!$Q$6:$Q$205,0)),""))</f>
        <v/>
      </c>
      <c r="P269" s="49" t="str">
        <f aca="false">IF($E269="","",IFERROR(INDEX(基础资料!$S$6:$S$205,MATCH($E269,基础资料!$Q$6:$Q$205,0)),""))</f>
        <v/>
      </c>
      <c r="Q269" s="48" t="str">
        <f aca="false">IF(OR($F269="",$G269=""),"",ROUND(N($F269)*N($G269),2))</f>
        <v/>
      </c>
      <c r="R269" s="48" t="str">
        <f aca="false">IF($Q269="","",ROUND(N($Q269)*N($H269),2))</f>
        <v/>
      </c>
      <c r="S269" s="48" t="str">
        <f aca="false">IF($Q269="","",N($Q269)+N($R269))</f>
        <v/>
      </c>
      <c r="T269" s="52" t="str">
        <f aca="false">IF(OR($B269="",$D269=""),"",$B269+N(IFERROR(INDEX(基础资料!$AH$6:$AH$155,MATCH($D269,基础资料!$AF$6:$AF$155,0)),0)))</f>
        <v/>
      </c>
      <c r="U269" s="49" t="str">
        <f aca="false">IF($Q269="","",IF($I269="是","1405",IF($J269="","6602",$J269)))</f>
        <v/>
      </c>
      <c r="V269" s="49" t="str">
        <f aca="false">IF($Q269="","","2202")</f>
        <v/>
      </c>
      <c r="W269" s="48" t="str">
        <f aca="false">IF($Q269="","",$Q269)</f>
        <v/>
      </c>
      <c r="X269" s="49" t="str">
        <f aca="false">IF(N($R269)=0,"","2221")</f>
        <v/>
      </c>
      <c r="Y269" s="49" t="str">
        <f aca="false">IF(N($R269)=0,"","2202")</f>
        <v/>
      </c>
      <c r="Z269" s="48" t="str">
        <f aca="false">IF(N($R269)=0,"",$R269)</f>
        <v/>
      </c>
      <c r="AA269" s="49" t="str">
        <f aca="false">IF(AND($D269=供应商对账单!$B$3,$B269&gt;=供应商对账单!$E$3,$B269&lt;=供应商对账单!$H$3),COUNTIFS($D$5:$D269,供应商对账单!$B$3,$B$5:$B269,"&gt;="&amp;供应商对账单!$E$3,$B$5:$B269,"&lt;="&amp;供应商对账单!$H$3),"")</f>
        <v/>
      </c>
    </row>
    <row r="270" customFormat="false" ht="15.75" hidden="false" customHeight="true" outlineLevel="0" collapsed="false">
      <c r="A270" s="42" t="str">
        <f aca="false">IF($B270="","","CG"&amp;TEXT($B270,"yyyymm")&amp;"-"&amp;TEXT(ROW()-4,"000"))</f>
        <v/>
      </c>
      <c r="B270" s="41"/>
      <c r="C270" s="42" t="str">
        <f aca="false">IF($B270="","",TEXT($B270,"yyyy-mm"))</f>
        <v/>
      </c>
      <c r="D270" s="32"/>
      <c r="E270" s="36"/>
      <c r="F270" s="43"/>
      <c r="G270" s="40"/>
      <c r="H270" s="51"/>
      <c r="I270" s="33"/>
      <c r="J270" s="31"/>
      <c r="K270" s="33"/>
      <c r="L270" s="33"/>
      <c r="M270" s="36"/>
      <c r="N270" s="47" t="str">
        <f aca="false">IF($B270="","",IF(NOT(ISNUMBER($B270)),"日期不是日期格式",IF(YEAR($B270)&lt;&gt;首页!$B$3,"不在会计年度",IF($D270="","未选供应商",IF(ISNA(MATCH($D270,基础资料!$AF$6:$AF$155,0)),"供应商不在档案",IF($E270="","未填商品或内容",IF(NOT(ISNUMBER($F270)),"数量须为数字",IF(NOT(ISNUMBER($G270)),"单价须为数字",IF(N($F270)&lt;=0,"数量须大于0",IF($I270="","请选是否入库",IF(AND($I270="是",ISNA(MATCH($E270,基础资料!$Q$6:$Q$205,0))),"入库商品必须在商品档案中",IF(AND($I270="否",$J270&lt;&gt;"",ISNA(MATCH($J270,科目参数!$A$6:$A$125,0))),"费用科目不存在","√"))))))))))))</f>
        <v/>
      </c>
      <c r="O270" s="49" t="str">
        <f aca="false">IF($E270="","",IFERROR(INDEX(基础资料!$R$6:$R$205,MATCH($E270,基础资料!$Q$6:$Q$205,0)),""))</f>
        <v/>
      </c>
      <c r="P270" s="49" t="str">
        <f aca="false">IF($E270="","",IFERROR(INDEX(基础资料!$S$6:$S$205,MATCH($E270,基础资料!$Q$6:$Q$205,0)),""))</f>
        <v/>
      </c>
      <c r="Q270" s="48" t="str">
        <f aca="false">IF(OR($F270="",$G270=""),"",ROUND(N($F270)*N($G270),2))</f>
        <v/>
      </c>
      <c r="R270" s="48" t="str">
        <f aca="false">IF($Q270="","",ROUND(N($Q270)*N($H270),2))</f>
        <v/>
      </c>
      <c r="S270" s="48" t="str">
        <f aca="false">IF($Q270="","",N($Q270)+N($R270))</f>
        <v/>
      </c>
      <c r="T270" s="52" t="str">
        <f aca="false">IF(OR($B270="",$D270=""),"",$B270+N(IFERROR(INDEX(基础资料!$AH$6:$AH$155,MATCH($D270,基础资料!$AF$6:$AF$155,0)),0)))</f>
        <v/>
      </c>
      <c r="U270" s="49" t="str">
        <f aca="false">IF($Q270="","",IF($I270="是","1405",IF($J270="","6602",$J270)))</f>
        <v/>
      </c>
      <c r="V270" s="49" t="str">
        <f aca="false">IF($Q270="","","2202")</f>
        <v/>
      </c>
      <c r="W270" s="48" t="str">
        <f aca="false">IF($Q270="","",$Q270)</f>
        <v/>
      </c>
      <c r="X270" s="49" t="str">
        <f aca="false">IF(N($R270)=0,"","2221")</f>
        <v/>
      </c>
      <c r="Y270" s="49" t="str">
        <f aca="false">IF(N($R270)=0,"","2202")</f>
        <v/>
      </c>
      <c r="Z270" s="48" t="str">
        <f aca="false">IF(N($R270)=0,"",$R270)</f>
        <v/>
      </c>
      <c r="AA270" s="49" t="str">
        <f aca="false">IF(AND($D270=供应商对账单!$B$3,$B270&gt;=供应商对账单!$E$3,$B270&lt;=供应商对账单!$H$3),COUNTIFS($D$5:$D270,供应商对账单!$B$3,$B$5:$B270,"&gt;="&amp;供应商对账单!$E$3,$B$5:$B270,"&lt;="&amp;供应商对账单!$H$3),"")</f>
        <v/>
      </c>
    </row>
    <row r="271" customFormat="false" ht="15.75" hidden="false" customHeight="true" outlineLevel="0" collapsed="false">
      <c r="A271" s="42" t="str">
        <f aca="false">IF($B271="","","CG"&amp;TEXT($B271,"yyyymm")&amp;"-"&amp;TEXT(ROW()-4,"000"))</f>
        <v/>
      </c>
      <c r="B271" s="41"/>
      <c r="C271" s="42" t="str">
        <f aca="false">IF($B271="","",TEXT($B271,"yyyy-mm"))</f>
        <v/>
      </c>
      <c r="D271" s="32"/>
      <c r="E271" s="36"/>
      <c r="F271" s="43"/>
      <c r="G271" s="40"/>
      <c r="H271" s="51"/>
      <c r="I271" s="33"/>
      <c r="J271" s="31"/>
      <c r="K271" s="33"/>
      <c r="L271" s="33"/>
      <c r="M271" s="36"/>
      <c r="N271" s="47" t="str">
        <f aca="false">IF($B271="","",IF(NOT(ISNUMBER($B271)),"日期不是日期格式",IF(YEAR($B271)&lt;&gt;首页!$B$3,"不在会计年度",IF($D271="","未选供应商",IF(ISNA(MATCH($D271,基础资料!$AF$6:$AF$155,0)),"供应商不在档案",IF($E271="","未填商品或内容",IF(NOT(ISNUMBER($F271)),"数量须为数字",IF(NOT(ISNUMBER($G271)),"单价须为数字",IF(N($F271)&lt;=0,"数量须大于0",IF($I271="","请选是否入库",IF(AND($I271="是",ISNA(MATCH($E271,基础资料!$Q$6:$Q$205,0))),"入库商品必须在商品档案中",IF(AND($I271="否",$J271&lt;&gt;"",ISNA(MATCH($J271,科目参数!$A$6:$A$125,0))),"费用科目不存在","√"))))))))))))</f>
        <v/>
      </c>
      <c r="O271" s="49" t="str">
        <f aca="false">IF($E271="","",IFERROR(INDEX(基础资料!$R$6:$R$205,MATCH($E271,基础资料!$Q$6:$Q$205,0)),""))</f>
        <v/>
      </c>
      <c r="P271" s="49" t="str">
        <f aca="false">IF($E271="","",IFERROR(INDEX(基础资料!$S$6:$S$205,MATCH($E271,基础资料!$Q$6:$Q$205,0)),""))</f>
        <v/>
      </c>
      <c r="Q271" s="48" t="str">
        <f aca="false">IF(OR($F271="",$G271=""),"",ROUND(N($F271)*N($G271),2))</f>
        <v/>
      </c>
      <c r="R271" s="48" t="str">
        <f aca="false">IF($Q271="","",ROUND(N($Q271)*N($H271),2))</f>
        <v/>
      </c>
      <c r="S271" s="48" t="str">
        <f aca="false">IF($Q271="","",N($Q271)+N($R271))</f>
        <v/>
      </c>
      <c r="T271" s="52" t="str">
        <f aca="false">IF(OR($B271="",$D271=""),"",$B271+N(IFERROR(INDEX(基础资料!$AH$6:$AH$155,MATCH($D271,基础资料!$AF$6:$AF$155,0)),0)))</f>
        <v/>
      </c>
      <c r="U271" s="49" t="str">
        <f aca="false">IF($Q271="","",IF($I271="是","1405",IF($J271="","6602",$J271)))</f>
        <v/>
      </c>
      <c r="V271" s="49" t="str">
        <f aca="false">IF($Q271="","","2202")</f>
        <v/>
      </c>
      <c r="W271" s="48" t="str">
        <f aca="false">IF($Q271="","",$Q271)</f>
        <v/>
      </c>
      <c r="X271" s="49" t="str">
        <f aca="false">IF(N($R271)=0,"","2221")</f>
        <v/>
      </c>
      <c r="Y271" s="49" t="str">
        <f aca="false">IF(N($R271)=0,"","2202")</f>
        <v/>
      </c>
      <c r="Z271" s="48" t="str">
        <f aca="false">IF(N($R271)=0,"",$R271)</f>
        <v/>
      </c>
      <c r="AA271" s="49" t="str">
        <f aca="false">IF(AND($D271=供应商对账单!$B$3,$B271&gt;=供应商对账单!$E$3,$B271&lt;=供应商对账单!$H$3),COUNTIFS($D$5:$D271,供应商对账单!$B$3,$B$5:$B271,"&gt;="&amp;供应商对账单!$E$3,$B$5:$B271,"&lt;="&amp;供应商对账单!$H$3),"")</f>
        <v/>
      </c>
    </row>
    <row r="272" customFormat="false" ht="15.75" hidden="false" customHeight="true" outlineLevel="0" collapsed="false">
      <c r="A272" s="42" t="str">
        <f aca="false">IF($B272="","","CG"&amp;TEXT($B272,"yyyymm")&amp;"-"&amp;TEXT(ROW()-4,"000"))</f>
        <v/>
      </c>
      <c r="B272" s="41"/>
      <c r="C272" s="42" t="str">
        <f aca="false">IF($B272="","",TEXT($B272,"yyyy-mm"))</f>
        <v/>
      </c>
      <c r="D272" s="32"/>
      <c r="E272" s="36"/>
      <c r="F272" s="43"/>
      <c r="G272" s="40"/>
      <c r="H272" s="51"/>
      <c r="I272" s="33"/>
      <c r="J272" s="31"/>
      <c r="K272" s="33"/>
      <c r="L272" s="33"/>
      <c r="M272" s="36"/>
      <c r="N272" s="47" t="str">
        <f aca="false">IF($B272="","",IF(NOT(ISNUMBER($B272)),"日期不是日期格式",IF(YEAR($B272)&lt;&gt;首页!$B$3,"不在会计年度",IF($D272="","未选供应商",IF(ISNA(MATCH($D272,基础资料!$AF$6:$AF$155,0)),"供应商不在档案",IF($E272="","未填商品或内容",IF(NOT(ISNUMBER($F272)),"数量须为数字",IF(NOT(ISNUMBER($G272)),"单价须为数字",IF(N($F272)&lt;=0,"数量须大于0",IF($I272="","请选是否入库",IF(AND($I272="是",ISNA(MATCH($E272,基础资料!$Q$6:$Q$205,0))),"入库商品必须在商品档案中",IF(AND($I272="否",$J272&lt;&gt;"",ISNA(MATCH($J272,科目参数!$A$6:$A$125,0))),"费用科目不存在","√"))))))))))))</f>
        <v/>
      </c>
      <c r="O272" s="49" t="str">
        <f aca="false">IF($E272="","",IFERROR(INDEX(基础资料!$R$6:$R$205,MATCH($E272,基础资料!$Q$6:$Q$205,0)),""))</f>
        <v/>
      </c>
      <c r="P272" s="49" t="str">
        <f aca="false">IF($E272="","",IFERROR(INDEX(基础资料!$S$6:$S$205,MATCH($E272,基础资料!$Q$6:$Q$205,0)),""))</f>
        <v/>
      </c>
      <c r="Q272" s="48" t="str">
        <f aca="false">IF(OR($F272="",$G272=""),"",ROUND(N($F272)*N($G272),2))</f>
        <v/>
      </c>
      <c r="R272" s="48" t="str">
        <f aca="false">IF($Q272="","",ROUND(N($Q272)*N($H272),2))</f>
        <v/>
      </c>
      <c r="S272" s="48" t="str">
        <f aca="false">IF($Q272="","",N($Q272)+N($R272))</f>
        <v/>
      </c>
      <c r="T272" s="52" t="str">
        <f aca="false">IF(OR($B272="",$D272=""),"",$B272+N(IFERROR(INDEX(基础资料!$AH$6:$AH$155,MATCH($D272,基础资料!$AF$6:$AF$155,0)),0)))</f>
        <v/>
      </c>
      <c r="U272" s="49" t="str">
        <f aca="false">IF($Q272="","",IF($I272="是","1405",IF($J272="","6602",$J272)))</f>
        <v/>
      </c>
      <c r="V272" s="49" t="str">
        <f aca="false">IF($Q272="","","2202")</f>
        <v/>
      </c>
      <c r="W272" s="48" t="str">
        <f aca="false">IF($Q272="","",$Q272)</f>
        <v/>
      </c>
      <c r="X272" s="49" t="str">
        <f aca="false">IF(N($R272)=0,"","2221")</f>
        <v/>
      </c>
      <c r="Y272" s="49" t="str">
        <f aca="false">IF(N($R272)=0,"","2202")</f>
        <v/>
      </c>
      <c r="Z272" s="48" t="str">
        <f aca="false">IF(N($R272)=0,"",$R272)</f>
        <v/>
      </c>
      <c r="AA272" s="49" t="str">
        <f aca="false">IF(AND($D272=供应商对账单!$B$3,$B272&gt;=供应商对账单!$E$3,$B272&lt;=供应商对账单!$H$3),COUNTIFS($D$5:$D272,供应商对账单!$B$3,$B$5:$B272,"&gt;="&amp;供应商对账单!$E$3,$B$5:$B272,"&lt;="&amp;供应商对账单!$H$3),"")</f>
        <v/>
      </c>
    </row>
    <row r="273" customFormat="false" ht="15.75" hidden="false" customHeight="true" outlineLevel="0" collapsed="false">
      <c r="A273" s="42" t="str">
        <f aca="false">IF($B273="","","CG"&amp;TEXT($B273,"yyyymm")&amp;"-"&amp;TEXT(ROW()-4,"000"))</f>
        <v/>
      </c>
      <c r="B273" s="41"/>
      <c r="C273" s="42" t="str">
        <f aca="false">IF($B273="","",TEXT($B273,"yyyy-mm"))</f>
        <v/>
      </c>
      <c r="D273" s="32"/>
      <c r="E273" s="36"/>
      <c r="F273" s="43"/>
      <c r="G273" s="40"/>
      <c r="H273" s="51"/>
      <c r="I273" s="33"/>
      <c r="J273" s="31"/>
      <c r="K273" s="33"/>
      <c r="L273" s="33"/>
      <c r="M273" s="36"/>
      <c r="N273" s="47" t="str">
        <f aca="false">IF($B273="","",IF(NOT(ISNUMBER($B273)),"日期不是日期格式",IF(YEAR($B273)&lt;&gt;首页!$B$3,"不在会计年度",IF($D273="","未选供应商",IF(ISNA(MATCH($D273,基础资料!$AF$6:$AF$155,0)),"供应商不在档案",IF($E273="","未填商品或内容",IF(NOT(ISNUMBER($F273)),"数量须为数字",IF(NOT(ISNUMBER($G273)),"单价须为数字",IF(N($F273)&lt;=0,"数量须大于0",IF($I273="","请选是否入库",IF(AND($I273="是",ISNA(MATCH($E273,基础资料!$Q$6:$Q$205,0))),"入库商品必须在商品档案中",IF(AND($I273="否",$J273&lt;&gt;"",ISNA(MATCH($J273,科目参数!$A$6:$A$125,0))),"费用科目不存在","√"))))))))))))</f>
        <v/>
      </c>
      <c r="O273" s="49" t="str">
        <f aca="false">IF($E273="","",IFERROR(INDEX(基础资料!$R$6:$R$205,MATCH($E273,基础资料!$Q$6:$Q$205,0)),""))</f>
        <v/>
      </c>
      <c r="P273" s="49" t="str">
        <f aca="false">IF($E273="","",IFERROR(INDEX(基础资料!$S$6:$S$205,MATCH($E273,基础资料!$Q$6:$Q$205,0)),""))</f>
        <v/>
      </c>
      <c r="Q273" s="48" t="str">
        <f aca="false">IF(OR($F273="",$G273=""),"",ROUND(N($F273)*N($G273),2))</f>
        <v/>
      </c>
      <c r="R273" s="48" t="str">
        <f aca="false">IF($Q273="","",ROUND(N($Q273)*N($H273),2))</f>
        <v/>
      </c>
      <c r="S273" s="48" t="str">
        <f aca="false">IF($Q273="","",N($Q273)+N($R273))</f>
        <v/>
      </c>
      <c r="T273" s="52" t="str">
        <f aca="false">IF(OR($B273="",$D273=""),"",$B273+N(IFERROR(INDEX(基础资料!$AH$6:$AH$155,MATCH($D273,基础资料!$AF$6:$AF$155,0)),0)))</f>
        <v/>
      </c>
      <c r="U273" s="49" t="str">
        <f aca="false">IF($Q273="","",IF($I273="是","1405",IF($J273="","6602",$J273)))</f>
        <v/>
      </c>
      <c r="V273" s="49" t="str">
        <f aca="false">IF($Q273="","","2202")</f>
        <v/>
      </c>
      <c r="W273" s="48" t="str">
        <f aca="false">IF($Q273="","",$Q273)</f>
        <v/>
      </c>
      <c r="X273" s="49" t="str">
        <f aca="false">IF(N($R273)=0,"","2221")</f>
        <v/>
      </c>
      <c r="Y273" s="49" t="str">
        <f aca="false">IF(N($R273)=0,"","2202")</f>
        <v/>
      </c>
      <c r="Z273" s="48" t="str">
        <f aca="false">IF(N($R273)=0,"",$R273)</f>
        <v/>
      </c>
      <c r="AA273" s="49" t="str">
        <f aca="false">IF(AND($D273=供应商对账单!$B$3,$B273&gt;=供应商对账单!$E$3,$B273&lt;=供应商对账单!$H$3),COUNTIFS($D$5:$D273,供应商对账单!$B$3,$B$5:$B273,"&gt;="&amp;供应商对账单!$E$3,$B$5:$B273,"&lt;="&amp;供应商对账单!$H$3),"")</f>
        <v/>
      </c>
    </row>
    <row r="274" customFormat="false" ht="15.75" hidden="false" customHeight="true" outlineLevel="0" collapsed="false">
      <c r="A274" s="42" t="str">
        <f aca="false">IF($B274="","","CG"&amp;TEXT($B274,"yyyymm")&amp;"-"&amp;TEXT(ROW()-4,"000"))</f>
        <v/>
      </c>
      <c r="B274" s="41"/>
      <c r="C274" s="42" t="str">
        <f aca="false">IF($B274="","",TEXT($B274,"yyyy-mm"))</f>
        <v/>
      </c>
      <c r="D274" s="32"/>
      <c r="E274" s="36"/>
      <c r="F274" s="43"/>
      <c r="G274" s="40"/>
      <c r="H274" s="51"/>
      <c r="I274" s="33"/>
      <c r="J274" s="31"/>
      <c r="K274" s="33"/>
      <c r="L274" s="33"/>
      <c r="M274" s="36"/>
      <c r="N274" s="47" t="str">
        <f aca="false">IF($B274="","",IF(NOT(ISNUMBER($B274)),"日期不是日期格式",IF(YEAR($B274)&lt;&gt;首页!$B$3,"不在会计年度",IF($D274="","未选供应商",IF(ISNA(MATCH($D274,基础资料!$AF$6:$AF$155,0)),"供应商不在档案",IF($E274="","未填商品或内容",IF(NOT(ISNUMBER($F274)),"数量须为数字",IF(NOT(ISNUMBER($G274)),"单价须为数字",IF(N($F274)&lt;=0,"数量须大于0",IF($I274="","请选是否入库",IF(AND($I274="是",ISNA(MATCH($E274,基础资料!$Q$6:$Q$205,0))),"入库商品必须在商品档案中",IF(AND($I274="否",$J274&lt;&gt;"",ISNA(MATCH($J274,科目参数!$A$6:$A$125,0))),"费用科目不存在","√"))))))))))))</f>
        <v/>
      </c>
      <c r="O274" s="49" t="str">
        <f aca="false">IF($E274="","",IFERROR(INDEX(基础资料!$R$6:$R$205,MATCH($E274,基础资料!$Q$6:$Q$205,0)),""))</f>
        <v/>
      </c>
      <c r="P274" s="49" t="str">
        <f aca="false">IF($E274="","",IFERROR(INDEX(基础资料!$S$6:$S$205,MATCH($E274,基础资料!$Q$6:$Q$205,0)),""))</f>
        <v/>
      </c>
      <c r="Q274" s="48" t="str">
        <f aca="false">IF(OR($F274="",$G274=""),"",ROUND(N($F274)*N($G274),2))</f>
        <v/>
      </c>
      <c r="R274" s="48" t="str">
        <f aca="false">IF($Q274="","",ROUND(N($Q274)*N($H274),2))</f>
        <v/>
      </c>
      <c r="S274" s="48" t="str">
        <f aca="false">IF($Q274="","",N($Q274)+N($R274))</f>
        <v/>
      </c>
      <c r="T274" s="52" t="str">
        <f aca="false">IF(OR($B274="",$D274=""),"",$B274+N(IFERROR(INDEX(基础资料!$AH$6:$AH$155,MATCH($D274,基础资料!$AF$6:$AF$155,0)),0)))</f>
        <v/>
      </c>
      <c r="U274" s="49" t="str">
        <f aca="false">IF($Q274="","",IF($I274="是","1405",IF($J274="","6602",$J274)))</f>
        <v/>
      </c>
      <c r="V274" s="49" t="str">
        <f aca="false">IF($Q274="","","2202")</f>
        <v/>
      </c>
      <c r="W274" s="48" t="str">
        <f aca="false">IF($Q274="","",$Q274)</f>
        <v/>
      </c>
      <c r="X274" s="49" t="str">
        <f aca="false">IF(N($R274)=0,"","2221")</f>
        <v/>
      </c>
      <c r="Y274" s="49" t="str">
        <f aca="false">IF(N($R274)=0,"","2202")</f>
        <v/>
      </c>
      <c r="Z274" s="48" t="str">
        <f aca="false">IF(N($R274)=0,"",$R274)</f>
        <v/>
      </c>
      <c r="AA274" s="49" t="str">
        <f aca="false">IF(AND($D274=供应商对账单!$B$3,$B274&gt;=供应商对账单!$E$3,$B274&lt;=供应商对账单!$H$3),COUNTIFS($D$5:$D274,供应商对账单!$B$3,$B$5:$B274,"&gt;="&amp;供应商对账单!$E$3,$B$5:$B274,"&lt;="&amp;供应商对账单!$H$3),"")</f>
        <v/>
      </c>
    </row>
    <row r="275" customFormat="false" ht="15.75" hidden="false" customHeight="true" outlineLevel="0" collapsed="false">
      <c r="A275" s="42" t="str">
        <f aca="false">IF($B275="","","CG"&amp;TEXT($B275,"yyyymm")&amp;"-"&amp;TEXT(ROW()-4,"000"))</f>
        <v/>
      </c>
      <c r="B275" s="41"/>
      <c r="C275" s="42" t="str">
        <f aca="false">IF($B275="","",TEXT($B275,"yyyy-mm"))</f>
        <v/>
      </c>
      <c r="D275" s="32"/>
      <c r="E275" s="36"/>
      <c r="F275" s="43"/>
      <c r="G275" s="40"/>
      <c r="H275" s="51"/>
      <c r="I275" s="33"/>
      <c r="J275" s="31"/>
      <c r="K275" s="33"/>
      <c r="L275" s="33"/>
      <c r="M275" s="36"/>
      <c r="N275" s="47" t="str">
        <f aca="false">IF($B275="","",IF(NOT(ISNUMBER($B275)),"日期不是日期格式",IF(YEAR($B275)&lt;&gt;首页!$B$3,"不在会计年度",IF($D275="","未选供应商",IF(ISNA(MATCH($D275,基础资料!$AF$6:$AF$155,0)),"供应商不在档案",IF($E275="","未填商品或内容",IF(NOT(ISNUMBER($F275)),"数量须为数字",IF(NOT(ISNUMBER($G275)),"单价须为数字",IF(N($F275)&lt;=0,"数量须大于0",IF($I275="","请选是否入库",IF(AND($I275="是",ISNA(MATCH($E275,基础资料!$Q$6:$Q$205,0))),"入库商品必须在商品档案中",IF(AND($I275="否",$J275&lt;&gt;"",ISNA(MATCH($J275,科目参数!$A$6:$A$125,0))),"费用科目不存在","√"))))))))))))</f>
        <v/>
      </c>
      <c r="O275" s="49" t="str">
        <f aca="false">IF($E275="","",IFERROR(INDEX(基础资料!$R$6:$R$205,MATCH($E275,基础资料!$Q$6:$Q$205,0)),""))</f>
        <v/>
      </c>
      <c r="P275" s="49" t="str">
        <f aca="false">IF($E275="","",IFERROR(INDEX(基础资料!$S$6:$S$205,MATCH($E275,基础资料!$Q$6:$Q$205,0)),""))</f>
        <v/>
      </c>
      <c r="Q275" s="48" t="str">
        <f aca="false">IF(OR($F275="",$G275=""),"",ROUND(N($F275)*N($G275),2))</f>
        <v/>
      </c>
      <c r="R275" s="48" t="str">
        <f aca="false">IF($Q275="","",ROUND(N($Q275)*N($H275),2))</f>
        <v/>
      </c>
      <c r="S275" s="48" t="str">
        <f aca="false">IF($Q275="","",N($Q275)+N($R275))</f>
        <v/>
      </c>
      <c r="T275" s="52" t="str">
        <f aca="false">IF(OR($B275="",$D275=""),"",$B275+N(IFERROR(INDEX(基础资料!$AH$6:$AH$155,MATCH($D275,基础资料!$AF$6:$AF$155,0)),0)))</f>
        <v/>
      </c>
      <c r="U275" s="49" t="str">
        <f aca="false">IF($Q275="","",IF($I275="是","1405",IF($J275="","6602",$J275)))</f>
        <v/>
      </c>
      <c r="V275" s="49" t="str">
        <f aca="false">IF($Q275="","","2202")</f>
        <v/>
      </c>
      <c r="W275" s="48" t="str">
        <f aca="false">IF($Q275="","",$Q275)</f>
        <v/>
      </c>
      <c r="X275" s="49" t="str">
        <f aca="false">IF(N($R275)=0,"","2221")</f>
        <v/>
      </c>
      <c r="Y275" s="49" t="str">
        <f aca="false">IF(N($R275)=0,"","2202")</f>
        <v/>
      </c>
      <c r="Z275" s="48" t="str">
        <f aca="false">IF(N($R275)=0,"",$R275)</f>
        <v/>
      </c>
      <c r="AA275" s="49" t="str">
        <f aca="false">IF(AND($D275=供应商对账单!$B$3,$B275&gt;=供应商对账单!$E$3,$B275&lt;=供应商对账单!$H$3),COUNTIFS($D$5:$D275,供应商对账单!$B$3,$B$5:$B275,"&gt;="&amp;供应商对账单!$E$3,$B$5:$B275,"&lt;="&amp;供应商对账单!$H$3),"")</f>
        <v/>
      </c>
    </row>
    <row r="276" customFormat="false" ht="15.75" hidden="false" customHeight="true" outlineLevel="0" collapsed="false">
      <c r="A276" s="42" t="str">
        <f aca="false">IF($B276="","","CG"&amp;TEXT($B276,"yyyymm")&amp;"-"&amp;TEXT(ROW()-4,"000"))</f>
        <v/>
      </c>
      <c r="B276" s="41"/>
      <c r="C276" s="42" t="str">
        <f aca="false">IF($B276="","",TEXT($B276,"yyyy-mm"))</f>
        <v/>
      </c>
      <c r="D276" s="32"/>
      <c r="E276" s="36"/>
      <c r="F276" s="43"/>
      <c r="G276" s="40"/>
      <c r="H276" s="51"/>
      <c r="I276" s="33"/>
      <c r="J276" s="31"/>
      <c r="K276" s="33"/>
      <c r="L276" s="33"/>
      <c r="M276" s="36"/>
      <c r="N276" s="47" t="str">
        <f aca="false">IF($B276="","",IF(NOT(ISNUMBER($B276)),"日期不是日期格式",IF(YEAR($B276)&lt;&gt;首页!$B$3,"不在会计年度",IF($D276="","未选供应商",IF(ISNA(MATCH($D276,基础资料!$AF$6:$AF$155,0)),"供应商不在档案",IF($E276="","未填商品或内容",IF(NOT(ISNUMBER($F276)),"数量须为数字",IF(NOT(ISNUMBER($G276)),"单价须为数字",IF(N($F276)&lt;=0,"数量须大于0",IF($I276="","请选是否入库",IF(AND($I276="是",ISNA(MATCH($E276,基础资料!$Q$6:$Q$205,0))),"入库商品必须在商品档案中",IF(AND($I276="否",$J276&lt;&gt;"",ISNA(MATCH($J276,科目参数!$A$6:$A$125,0))),"费用科目不存在","√"))))))))))))</f>
        <v/>
      </c>
      <c r="O276" s="49" t="str">
        <f aca="false">IF($E276="","",IFERROR(INDEX(基础资料!$R$6:$R$205,MATCH($E276,基础资料!$Q$6:$Q$205,0)),""))</f>
        <v/>
      </c>
      <c r="P276" s="49" t="str">
        <f aca="false">IF($E276="","",IFERROR(INDEX(基础资料!$S$6:$S$205,MATCH($E276,基础资料!$Q$6:$Q$205,0)),""))</f>
        <v/>
      </c>
      <c r="Q276" s="48" t="str">
        <f aca="false">IF(OR($F276="",$G276=""),"",ROUND(N($F276)*N($G276),2))</f>
        <v/>
      </c>
      <c r="R276" s="48" t="str">
        <f aca="false">IF($Q276="","",ROUND(N($Q276)*N($H276),2))</f>
        <v/>
      </c>
      <c r="S276" s="48" t="str">
        <f aca="false">IF($Q276="","",N($Q276)+N($R276))</f>
        <v/>
      </c>
      <c r="T276" s="52" t="str">
        <f aca="false">IF(OR($B276="",$D276=""),"",$B276+N(IFERROR(INDEX(基础资料!$AH$6:$AH$155,MATCH($D276,基础资料!$AF$6:$AF$155,0)),0)))</f>
        <v/>
      </c>
      <c r="U276" s="49" t="str">
        <f aca="false">IF($Q276="","",IF($I276="是","1405",IF($J276="","6602",$J276)))</f>
        <v/>
      </c>
      <c r="V276" s="49" t="str">
        <f aca="false">IF($Q276="","","2202")</f>
        <v/>
      </c>
      <c r="W276" s="48" t="str">
        <f aca="false">IF($Q276="","",$Q276)</f>
        <v/>
      </c>
      <c r="X276" s="49" t="str">
        <f aca="false">IF(N($R276)=0,"","2221")</f>
        <v/>
      </c>
      <c r="Y276" s="49" t="str">
        <f aca="false">IF(N($R276)=0,"","2202")</f>
        <v/>
      </c>
      <c r="Z276" s="48" t="str">
        <f aca="false">IF(N($R276)=0,"",$R276)</f>
        <v/>
      </c>
      <c r="AA276" s="49" t="str">
        <f aca="false">IF(AND($D276=供应商对账单!$B$3,$B276&gt;=供应商对账单!$E$3,$B276&lt;=供应商对账单!$H$3),COUNTIFS($D$5:$D276,供应商对账单!$B$3,$B$5:$B276,"&gt;="&amp;供应商对账单!$E$3,$B$5:$B276,"&lt;="&amp;供应商对账单!$H$3),"")</f>
        <v/>
      </c>
    </row>
    <row r="277" customFormat="false" ht="15.75" hidden="false" customHeight="true" outlineLevel="0" collapsed="false">
      <c r="A277" s="42" t="str">
        <f aca="false">IF($B277="","","CG"&amp;TEXT($B277,"yyyymm")&amp;"-"&amp;TEXT(ROW()-4,"000"))</f>
        <v/>
      </c>
      <c r="B277" s="41"/>
      <c r="C277" s="42" t="str">
        <f aca="false">IF($B277="","",TEXT($B277,"yyyy-mm"))</f>
        <v/>
      </c>
      <c r="D277" s="32"/>
      <c r="E277" s="36"/>
      <c r="F277" s="43"/>
      <c r="G277" s="40"/>
      <c r="H277" s="51"/>
      <c r="I277" s="33"/>
      <c r="J277" s="31"/>
      <c r="K277" s="33"/>
      <c r="L277" s="33"/>
      <c r="M277" s="36"/>
      <c r="N277" s="47" t="str">
        <f aca="false">IF($B277="","",IF(NOT(ISNUMBER($B277)),"日期不是日期格式",IF(YEAR($B277)&lt;&gt;首页!$B$3,"不在会计年度",IF($D277="","未选供应商",IF(ISNA(MATCH($D277,基础资料!$AF$6:$AF$155,0)),"供应商不在档案",IF($E277="","未填商品或内容",IF(NOT(ISNUMBER($F277)),"数量须为数字",IF(NOT(ISNUMBER($G277)),"单价须为数字",IF(N($F277)&lt;=0,"数量须大于0",IF($I277="","请选是否入库",IF(AND($I277="是",ISNA(MATCH($E277,基础资料!$Q$6:$Q$205,0))),"入库商品必须在商品档案中",IF(AND($I277="否",$J277&lt;&gt;"",ISNA(MATCH($J277,科目参数!$A$6:$A$125,0))),"费用科目不存在","√"))))))))))))</f>
        <v/>
      </c>
      <c r="O277" s="49" t="str">
        <f aca="false">IF($E277="","",IFERROR(INDEX(基础资料!$R$6:$R$205,MATCH($E277,基础资料!$Q$6:$Q$205,0)),""))</f>
        <v/>
      </c>
      <c r="P277" s="49" t="str">
        <f aca="false">IF($E277="","",IFERROR(INDEX(基础资料!$S$6:$S$205,MATCH($E277,基础资料!$Q$6:$Q$205,0)),""))</f>
        <v/>
      </c>
      <c r="Q277" s="48" t="str">
        <f aca="false">IF(OR($F277="",$G277=""),"",ROUND(N($F277)*N($G277),2))</f>
        <v/>
      </c>
      <c r="R277" s="48" t="str">
        <f aca="false">IF($Q277="","",ROUND(N($Q277)*N($H277),2))</f>
        <v/>
      </c>
      <c r="S277" s="48" t="str">
        <f aca="false">IF($Q277="","",N($Q277)+N($R277))</f>
        <v/>
      </c>
      <c r="T277" s="52" t="str">
        <f aca="false">IF(OR($B277="",$D277=""),"",$B277+N(IFERROR(INDEX(基础资料!$AH$6:$AH$155,MATCH($D277,基础资料!$AF$6:$AF$155,0)),0)))</f>
        <v/>
      </c>
      <c r="U277" s="49" t="str">
        <f aca="false">IF($Q277="","",IF($I277="是","1405",IF($J277="","6602",$J277)))</f>
        <v/>
      </c>
      <c r="V277" s="49" t="str">
        <f aca="false">IF($Q277="","","2202")</f>
        <v/>
      </c>
      <c r="W277" s="48" t="str">
        <f aca="false">IF($Q277="","",$Q277)</f>
        <v/>
      </c>
      <c r="X277" s="49" t="str">
        <f aca="false">IF(N($R277)=0,"","2221")</f>
        <v/>
      </c>
      <c r="Y277" s="49" t="str">
        <f aca="false">IF(N($R277)=0,"","2202")</f>
        <v/>
      </c>
      <c r="Z277" s="48" t="str">
        <f aca="false">IF(N($R277)=0,"",$R277)</f>
        <v/>
      </c>
      <c r="AA277" s="49" t="str">
        <f aca="false">IF(AND($D277=供应商对账单!$B$3,$B277&gt;=供应商对账单!$E$3,$B277&lt;=供应商对账单!$H$3),COUNTIFS($D$5:$D277,供应商对账单!$B$3,$B$5:$B277,"&gt;="&amp;供应商对账单!$E$3,$B$5:$B277,"&lt;="&amp;供应商对账单!$H$3),"")</f>
        <v/>
      </c>
    </row>
    <row r="278" customFormat="false" ht="15.75" hidden="false" customHeight="true" outlineLevel="0" collapsed="false">
      <c r="A278" s="42" t="str">
        <f aca="false">IF($B278="","","CG"&amp;TEXT($B278,"yyyymm")&amp;"-"&amp;TEXT(ROW()-4,"000"))</f>
        <v/>
      </c>
      <c r="B278" s="41"/>
      <c r="C278" s="42" t="str">
        <f aca="false">IF($B278="","",TEXT($B278,"yyyy-mm"))</f>
        <v/>
      </c>
      <c r="D278" s="32"/>
      <c r="E278" s="36"/>
      <c r="F278" s="43"/>
      <c r="G278" s="40"/>
      <c r="H278" s="51"/>
      <c r="I278" s="33"/>
      <c r="J278" s="31"/>
      <c r="K278" s="33"/>
      <c r="L278" s="33"/>
      <c r="M278" s="36"/>
      <c r="N278" s="47" t="str">
        <f aca="false">IF($B278="","",IF(NOT(ISNUMBER($B278)),"日期不是日期格式",IF(YEAR($B278)&lt;&gt;首页!$B$3,"不在会计年度",IF($D278="","未选供应商",IF(ISNA(MATCH($D278,基础资料!$AF$6:$AF$155,0)),"供应商不在档案",IF($E278="","未填商品或内容",IF(NOT(ISNUMBER($F278)),"数量须为数字",IF(NOT(ISNUMBER($G278)),"单价须为数字",IF(N($F278)&lt;=0,"数量须大于0",IF($I278="","请选是否入库",IF(AND($I278="是",ISNA(MATCH($E278,基础资料!$Q$6:$Q$205,0))),"入库商品必须在商品档案中",IF(AND($I278="否",$J278&lt;&gt;"",ISNA(MATCH($J278,科目参数!$A$6:$A$125,0))),"费用科目不存在","√"))))))))))))</f>
        <v/>
      </c>
      <c r="O278" s="49" t="str">
        <f aca="false">IF($E278="","",IFERROR(INDEX(基础资料!$R$6:$R$205,MATCH($E278,基础资料!$Q$6:$Q$205,0)),""))</f>
        <v/>
      </c>
      <c r="P278" s="49" t="str">
        <f aca="false">IF($E278="","",IFERROR(INDEX(基础资料!$S$6:$S$205,MATCH($E278,基础资料!$Q$6:$Q$205,0)),""))</f>
        <v/>
      </c>
      <c r="Q278" s="48" t="str">
        <f aca="false">IF(OR($F278="",$G278=""),"",ROUND(N($F278)*N($G278),2))</f>
        <v/>
      </c>
      <c r="R278" s="48" t="str">
        <f aca="false">IF($Q278="","",ROUND(N($Q278)*N($H278),2))</f>
        <v/>
      </c>
      <c r="S278" s="48" t="str">
        <f aca="false">IF($Q278="","",N($Q278)+N($R278))</f>
        <v/>
      </c>
      <c r="T278" s="52" t="str">
        <f aca="false">IF(OR($B278="",$D278=""),"",$B278+N(IFERROR(INDEX(基础资料!$AH$6:$AH$155,MATCH($D278,基础资料!$AF$6:$AF$155,0)),0)))</f>
        <v/>
      </c>
      <c r="U278" s="49" t="str">
        <f aca="false">IF($Q278="","",IF($I278="是","1405",IF($J278="","6602",$J278)))</f>
        <v/>
      </c>
      <c r="V278" s="49" t="str">
        <f aca="false">IF($Q278="","","2202")</f>
        <v/>
      </c>
      <c r="W278" s="48" t="str">
        <f aca="false">IF($Q278="","",$Q278)</f>
        <v/>
      </c>
      <c r="X278" s="49" t="str">
        <f aca="false">IF(N($R278)=0,"","2221")</f>
        <v/>
      </c>
      <c r="Y278" s="49" t="str">
        <f aca="false">IF(N($R278)=0,"","2202")</f>
        <v/>
      </c>
      <c r="Z278" s="48" t="str">
        <f aca="false">IF(N($R278)=0,"",$R278)</f>
        <v/>
      </c>
      <c r="AA278" s="49" t="str">
        <f aca="false">IF(AND($D278=供应商对账单!$B$3,$B278&gt;=供应商对账单!$E$3,$B278&lt;=供应商对账单!$H$3),COUNTIFS($D$5:$D278,供应商对账单!$B$3,$B$5:$B278,"&gt;="&amp;供应商对账单!$E$3,$B$5:$B278,"&lt;="&amp;供应商对账单!$H$3),"")</f>
        <v/>
      </c>
    </row>
    <row r="279" customFormat="false" ht="15.75" hidden="false" customHeight="true" outlineLevel="0" collapsed="false">
      <c r="A279" s="42" t="str">
        <f aca="false">IF($B279="","","CG"&amp;TEXT($B279,"yyyymm")&amp;"-"&amp;TEXT(ROW()-4,"000"))</f>
        <v/>
      </c>
      <c r="B279" s="41"/>
      <c r="C279" s="42" t="str">
        <f aca="false">IF($B279="","",TEXT($B279,"yyyy-mm"))</f>
        <v/>
      </c>
      <c r="D279" s="32"/>
      <c r="E279" s="36"/>
      <c r="F279" s="43"/>
      <c r="G279" s="40"/>
      <c r="H279" s="51"/>
      <c r="I279" s="33"/>
      <c r="J279" s="31"/>
      <c r="K279" s="33"/>
      <c r="L279" s="33"/>
      <c r="M279" s="36"/>
      <c r="N279" s="47" t="str">
        <f aca="false">IF($B279="","",IF(NOT(ISNUMBER($B279)),"日期不是日期格式",IF(YEAR($B279)&lt;&gt;首页!$B$3,"不在会计年度",IF($D279="","未选供应商",IF(ISNA(MATCH($D279,基础资料!$AF$6:$AF$155,0)),"供应商不在档案",IF($E279="","未填商品或内容",IF(NOT(ISNUMBER($F279)),"数量须为数字",IF(NOT(ISNUMBER($G279)),"单价须为数字",IF(N($F279)&lt;=0,"数量须大于0",IF($I279="","请选是否入库",IF(AND($I279="是",ISNA(MATCH($E279,基础资料!$Q$6:$Q$205,0))),"入库商品必须在商品档案中",IF(AND($I279="否",$J279&lt;&gt;"",ISNA(MATCH($J279,科目参数!$A$6:$A$125,0))),"费用科目不存在","√"))))))))))))</f>
        <v/>
      </c>
      <c r="O279" s="49" t="str">
        <f aca="false">IF($E279="","",IFERROR(INDEX(基础资料!$R$6:$R$205,MATCH($E279,基础资料!$Q$6:$Q$205,0)),""))</f>
        <v/>
      </c>
      <c r="P279" s="49" t="str">
        <f aca="false">IF($E279="","",IFERROR(INDEX(基础资料!$S$6:$S$205,MATCH($E279,基础资料!$Q$6:$Q$205,0)),""))</f>
        <v/>
      </c>
      <c r="Q279" s="48" t="str">
        <f aca="false">IF(OR($F279="",$G279=""),"",ROUND(N($F279)*N($G279),2))</f>
        <v/>
      </c>
      <c r="R279" s="48" t="str">
        <f aca="false">IF($Q279="","",ROUND(N($Q279)*N($H279),2))</f>
        <v/>
      </c>
      <c r="S279" s="48" t="str">
        <f aca="false">IF($Q279="","",N($Q279)+N($R279))</f>
        <v/>
      </c>
      <c r="T279" s="52" t="str">
        <f aca="false">IF(OR($B279="",$D279=""),"",$B279+N(IFERROR(INDEX(基础资料!$AH$6:$AH$155,MATCH($D279,基础资料!$AF$6:$AF$155,0)),0)))</f>
        <v/>
      </c>
      <c r="U279" s="49" t="str">
        <f aca="false">IF($Q279="","",IF($I279="是","1405",IF($J279="","6602",$J279)))</f>
        <v/>
      </c>
      <c r="V279" s="49" t="str">
        <f aca="false">IF($Q279="","","2202")</f>
        <v/>
      </c>
      <c r="W279" s="48" t="str">
        <f aca="false">IF($Q279="","",$Q279)</f>
        <v/>
      </c>
      <c r="X279" s="49" t="str">
        <f aca="false">IF(N($R279)=0,"","2221")</f>
        <v/>
      </c>
      <c r="Y279" s="49" t="str">
        <f aca="false">IF(N($R279)=0,"","2202")</f>
        <v/>
      </c>
      <c r="Z279" s="48" t="str">
        <f aca="false">IF(N($R279)=0,"",$R279)</f>
        <v/>
      </c>
      <c r="AA279" s="49" t="str">
        <f aca="false">IF(AND($D279=供应商对账单!$B$3,$B279&gt;=供应商对账单!$E$3,$B279&lt;=供应商对账单!$H$3),COUNTIFS($D$5:$D279,供应商对账单!$B$3,$B$5:$B279,"&gt;="&amp;供应商对账单!$E$3,$B$5:$B279,"&lt;="&amp;供应商对账单!$H$3),"")</f>
        <v/>
      </c>
    </row>
    <row r="280" customFormat="false" ht="15.75" hidden="false" customHeight="true" outlineLevel="0" collapsed="false">
      <c r="A280" s="42" t="str">
        <f aca="false">IF($B280="","","CG"&amp;TEXT($B280,"yyyymm")&amp;"-"&amp;TEXT(ROW()-4,"000"))</f>
        <v/>
      </c>
      <c r="B280" s="41"/>
      <c r="C280" s="42" t="str">
        <f aca="false">IF($B280="","",TEXT($B280,"yyyy-mm"))</f>
        <v/>
      </c>
      <c r="D280" s="32"/>
      <c r="E280" s="36"/>
      <c r="F280" s="43"/>
      <c r="G280" s="40"/>
      <c r="H280" s="51"/>
      <c r="I280" s="33"/>
      <c r="J280" s="31"/>
      <c r="K280" s="33"/>
      <c r="L280" s="33"/>
      <c r="M280" s="36"/>
      <c r="N280" s="47" t="str">
        <f aca="false">IF($B280="","",IF(NOT(ISNUMBER($B280)),"日期不是日期格式",IF(YEAR($B280)&lt;&gt;首页!$B$3,"不在会计年度",IF($D280="","未选供应商",IF(ISNA(MATCH($D280,基础资料!$AF$6:$AF$155,0)),"供应商不在档案",IF($E280="","未填商品或内容",IF(NOT(ISNUMBER($F280)),"数量须为数字",IF(NOT(ISNUMBER($G280)),"单价须为数字",IF(N($F280)&lt;=0,"数量须大于0",IF($I280="","请选是否入库",IF(AND($I280="是",ISNA(MATCH($E280,基础资料!$Q$6:$Q$205,0))),"入库商品必须在商品档案中",IF(AND($I280="否",$J280&lt;&gt;"",ISNA(MATCH($J280,科目参数!$A$6:$A$125,0))),"费用科目不存在","√"))))))))))))</f>
        <v/>
      </c>
      <c r="O280" s="49" t="str">
        <f aca="false">IF($E280="","",IFERROR(INDEX(基础资料!$R$6:$R$205,MATCH($E280,基础资料!$Q$6:$Q$205,0)),""))</f>
        <v/>
      </c>
      <c r="P280" s="49" t="str">
        <f aca="false">IF($E280="","",IFERROR(INDEX(基础资料!$S$6:$S$205,MATCH($E280,基础资料!$Q$6:$Q$205,0)),""))</f>
        <v/>
      </c>
      <c r="Q280" s="48" t="str">
        <f aca="false">IF(OR($F280="",$G280=""),"",ROUND(N($F280)*N($G280),2))</f>
        <v/>
      </c>
      <c r="R280" s="48" t="str">
        <f aca="false">IF($Q280="","",ROUND(N($Q280)*N($H280),2))</f>
        <v/>
      </c>
      <c r="S280" s="48" t="str">
        <f aca="false">IF($Q280="","",N($Q280)+N($R280))</f>
        <v/>
      </c>
      <c r="T280" s="52" t="str">
        <f aca="false">IF(OR($B280="",$D280=""),"",$B280+N(IFERROR(INDEX(基础资料!$AH$6:$AH$155,MATCH($D280,基础资料!$AF$6:$AF$155,0)),0)))</f>
        <v/>
      </c>
      <c r="U280" s="49" t="str">
        <f aca="false">IF($Q280="","",IF($I280="是","1405",IF($J280="","6602",$J280)))</f>
        <v/>
      </c>
      <c r="V280" s="49" t="str">
        <f aca="false">IF($Q280="","","2202")</f>
        <v/>
      </c>
      <c r="W280" s="48" t="str">
        <f aca="false">IF($Q280="","",$Q280)</f>
        <v/>
      </c>
      <c r="X280" s="49" t="str">
        <f aca="false">IF(N($R280)=0,"","2221")</f>
        <v/>
      </c>
      <c r="Y280" s="49" t="str">
        <f aca="false">IF(N($R280)=0,"","2202")</f>
        <v/>
      </c>
      <c r="Z280" s="48" t="str">
        <f aca="false">IF(N($R280)=0,"",$R280)</f>
        <v/>
      </c>
      <c r="AA280" s="49" t="str">
        <f aca="false">IF(AND($D280=供应商对账单!$B$3,$B280&gt;=供应商对账单!$E$3,$B280&lt;=供应商对账单!$H$3),COUNTIFS($D$5:$D280,供应商对账单!$B$3,$B$5:$B280,"&gt;="&amp;供应商对账单!$E$3,$B$5:$B280,"&lt;="&amp;供应商对账单!$H$3),"")</f>
        <v/>
      </c>
    </row>
    <row r="281" customFormat="false" ht="15.75" hidden="false" customHeight="true" outlineLevel="0" collapsed="false">
      <c r="A281" s="42" t="str">
        <f aca="false">IF($B281="","","CG"&amp;TEXT($B281,"yyyymm")&amp;"-"&amp;TEXT(ROW()-4,"000"))</f>
        <v/>
      </c>
      <c r="B281" s="41"/>
      <c r="C281" s="42" t="str">
        <f aca="false">IF($B281="","",TEXT($B281,"yyyy-mm"))</f>
        <v/>
      </c>
      <c r="D281" s="32"/>
      <c r="E281" s="36"/>
      <c r="F281" s="43"/>
      <c r="G281" s="40"/>
      <c r="H281" s="51"/>
      <c r="I281" s="33"/>
      <c r="J281" s="31"/>
      <c r="K281" s="33"/>
      <c r="L281" s="33"/>
      <c r="M281" s="36"/>
      <c r="N281" s="47" t="str">
        <f aca="false">IF($B281="","",IF(NOT(ISNUMBER($B281)),"日期不是日期格式",IF(YEAR($B281)&lt;&gt;首页!$B$3,"不在会计年度",IF($D281="","未选供应商",IF(ISNA(MATCH($D281,基础资料!$AF$6:$AF$155,0)),"供应商不在档案",IF($E281="","未填商品或内容",IF(NOT(ISNUMBER($F281)),"数量须为数字",IF(NOT(ISNUMBER($G281)),"单价须为数字",IF(N($F281)&lt;=0,"数量须大于0",IF($I281="","请选是否入库",IF(AND($I281="是",ISNA(MATCH($E281,基础资料!$Q$6:$Q$205,0))),"入库商品必须在商品档案中",IF(AND($I281="否",$J281&lt;&gt;"",ISNA(MATCH($J281,科目参数!$A$6:$A$125,0))),"费用科目不存在","√"))))))))))))</f>
        <v/>
      </c>
      <c r="O281" s="49" t="str">
        <f aca="false">IF($E281="","",IFERROR(INDEX(基础资料!$R$6:$R$205,MATCH($E281,基础资料!$Q$6:$Q$205,0)),""))</f>
        <v/>
      </c>
      <c r="P281" s="49" t="str">
        <f aca="false">IF($E281="","",IFERROR(INDEX(基础资料!$S$6:$S$205,MATCH($E281,基础资料!$Q$6:$Q$205,0)),""))</f>
        <v/>
      </c>
      <c r="Q281" s="48" t="str">
        <f aca="false">IF(OR($F281="",$G281=""),"",ROUND(N($F281)*N($G281),2))</f>
        <v/>
      </c>
      <c r="R281" s="48" t="str">
        <f aca="false">IF($Q281="","",ROUND(N($Q281)*N($H281),2))</f>
        <v/>
      </c>
      <c r="S281" s="48" t="str">
        <f aca="false">IF($Q281="","",N($Q281)+N($R281))</f>
        <v/>
      </c>
      <c r="T281" s="52" t="str">
        <f aca="false">IF(OR($B281="",$D281=""),"",$B281+N(IFERROR(INDEX(基础资料!$AH$6:$AH$155,MATCH($D281,基础资料!$AF$6:$AF$155,0)),0)))</f>
        <v/>
      </c>
      <c r="U281" s="49" t="str">
        <f aca="false">IF($Q281="","",IF($I281="是","1405",IF($J281="","6602",$J281)))</f>
        <v/>
      </c>
      <c r="V281" s="49" t="str">
        <f aca="false">IF($Q281="","","2202")</f>
        <v/>
      </c>
      <c r="W281" s="48" t="str">
        <f aca="false">IF($Q281="","",$Q281)</f>
        <v/>
      </c>
      <c r="X281" s="49" t="str">
        <f aca="false">IF(N($R281)=0,"","2221")</f>
        <v/>
      </c>
      <c r="Y281" s="49" t="str">
        <f aca="false">IF(N($R281)=0,"","2202")</f>
        <v/>
      </c>
      <c r="Z281" s="48" t="str">
        <f aca="false">IF(N($R281)=0,"",$R281)</f>
        <v/>
      </c>
      <c r="AA281" s="49" t="str">
        <f aca="false">IF(AND($D281=供应商对账单!$B$3,$B281&gt;=供应商对账单!$E$3,$B281&lt;=供应商对账单!$H$3),COUNTIFS($D$5:$D281,供应商对账单!$B$3,$B$5:$B281,"&gt;="&amp;供应商对账单!$E$3,$B$5:$B281,"&lt;="&amp;供应商对账单!$H$3),"")</f>
        <v/>
      </c>
    </row>
    <row r="282" customFormat="false" ht="15.75" hidden="false" customHeight="true" outlineLevel="0" collapsed="false">
      <c r="A282" s="42" t="str">
        <f aca="false">IF($B282="","","CG"&amp;TEXT($B282,"yyyymm")&amp;"-"&amp;TEXT(ROW()-4,"000"))</f>
        <v/>
      </c>
      <c r="B282" s="41"/>
      <c r="C282" s="42" t="str">
        <f aca="false">IF($B282="","",TEXT($B282,"yyyy-mm"))</f>
        <v/>
      </c>
      <c r="D282" s="32"/>
      <c r="E282" s="36"/>
      <c r="F282" s="43"/>
      <c r="G282" s="40"/>
      <c r="H282" s="51"/>
      <c r="I282" s="33"/>
      <c r="J282" s="31"/>
      <c r="K282" s="33"/>
      <c r="L282" s="33"/>
      <c r="M282" s="36"/>
      <c r="N282" s="47" t="str">
        <f aca="false">IF($B282="","",IF(NOT(ISNUMBER($B282)),"日期不是日期格式",IF(YEAR($B282)&lt;&gt;首页!$B$3,"不在会计年度",IF($D282="","未选供应商",IF(ISNA(MATCH($D282,基础资料!$AF$6:$AF$155,0)),"供应商不在档案",IF($E282="","未填商品或内容",IF(NOT(ISNUMBER($F282)),"数量须为数字",IF(NOT(ISNUMBER($G282)),"单价须为数字",IF(N($F282)&lt;=0,"数量须大于0",IF($I282="","请选是否入库",IF(AND($I282="是",ISNA(MATCH($E282,基础资料!$Q$6:$Q$205,0))),"入库商品必须在商品档案中",IF(AND($I282="否",$J282&lt;&gt;"",ISNA(MATCH($J282,科目参数!$A$6:$A$125,0))),"费用科目不存在","√"))))))))))))</f>
        <v/>
      </c>
      <c r="O282" s="49" t="str">
        <f aca="false">IF($E282="","",IFERROR(INDEX(基础资料!$R$6:$R$205,MATCH($E282,基础资料!$Q$6:$Q$205,0)),""))</f>
        <v/>
      </c>
      <c r="P282" s="49" t="str">
        <f aca="false">IF($E282="","",IFERROR(INDEX(基础资料!$S$6:$S$205,MATCH($E282,基础资料!$Q$6:$Q$205,0)),""))</f>
        <v/>
      </c>
      <c r="Q282" s="48" t="str">
        <f aca="false">IF(OR($F282="",$G282=""),"",ROUND(N($F282)*N($G282),2))</f>
        <v/>
      </c>
      <c r="R282" s="48" t="str">
        <f aca="false">IF($Q282="","",ROUND(N($Q282)*N($H282),2))</f>
        <v/>
      </c>
      <c r="S282" s="48" t="str">
        <f aca="false">IF($Q282="","",N($Q282)+N($R282))</f>
        <v/>
      </c>
      <c r="T282" s="52" t="str">
        <f aca="false">IF(OR($B282="",$D282=""),"",$B282+N(IFERROR(INDEX(基础资料!$AH$6:$AH$155,MATCH($D282,基础资料!$AF$6:$AF$155,0)),0)))</f>
        <v/>
      </c>
      <c r="U282" s="49" t="str">
        <f aca="false">IF($Q282="","",IF($I282="是","1405",IF($J282="","6602",$J282)))</f>
        <v/>
      </c>
      <c r="V282" s="49" t="str">
        <f aca="false">IF($Q282="","","2202")</f>
        <v/>
      </c>
      <c r="W282" s="48" t="str">
        <f aca="false">IF($Q282="","",$Q282)</f>
        <v/>
      </c>
      <c r="X282" s="49" t="str">
        <f aca="false">IF(N($R282)=0,"","2221")</f>
        <v/>
      </c>
      <c r="Y282" s="49" t="str">
        <f aca="false">IF(N($R282)=0,"","2202")</f>
        <v/>
      </c>
      <c r="Z282" s="48" t="str">
        <f aca="false">IF(N($R282)=0,"",$R282)</f>
        <v/>
      </c>
      <c r="AA282" s="49" t="str">
        <f aca="false">IF(AND($D282=供应商对账单!$B$3,$B282&gt;=供应商对账单!$E$3,$B282&lt;=供应商对账单!$H$3),COUNTIFS($D$5:$D282,供应商对账单!$B$3,$B$5:$B282,"&gt;="&amp;供应商对账单!$E$3,$B$5:$B282,"&lt;="&amp;供应商对账单!$H$3),"")</f>
        <v/>
      </c>
    </row>
    <row r="283" customFormat="false" ht="15.75" hidden="false" customHeight="true" outlineLevel="0" collapsed="false">
      <c r="A283" s="42" t="str">
        <f aca="false">IF($B283="","","CG"&amp;TEXT($B283,"yyyymm")&amp;"-"&amp;TEXT(ROW()-4,"000"))</f>
        <v/>
      </c>
      <c r="B283" s="41"/>
      <c r="C283" s="42" t="str">
        <f aca="false">IF($B283="","",TEXT($B283,"yyyy-mm"))</f>
        <v/>
      </c>
      <c r="D283" s="32"/>
      <c r="E283" s="36"/>
      <c r="F283" s="43"/>
      <c r="G283" s="40"/>
      <c r="H283" s="51"/>
      <c r="I283" s="33"/>
      <c r="J283" s="31"/>
      <c r="K283" s="33"/>
      <c r="L283" s="33"/>
      <c r="M283" s="36"/>
      <c r="N283" s="47" t="str">
        <f aca="false">IF($B283="","",IF(NOT(ISNUMBER($B283)),"日期不是日期格式",IF(YEAR($B283)&lt;&gt;首页!$B$3,"不在会计年度",IF($D283="","未选供应商",IF(ISNA(MATCH($D283,基础资料!$AF$6:$AF$155,0)),"供应商不在档案",IF($E283="","未填商品或内容",IF(NOT(ISNUMBER($F283)),"数量须为数字",IF(NOT(ISNUMBER($G283)),"单价须为数字",IF(N($F283)&lt;=0,"数量须大于0",IF($I283="","请选是否入库",IF(AND($I283="是",ISNA(MATCH($E283,基础资料!$Q$6:$Q$205,0))),"入库商品必须在商品档案中",IF(AND($I283="否",$J283&lt;&gt;"",ISNA(MATCH($J283,科目参数!$A$6:$A$125,0))),"费用科目不存在","√"))))))))))))</f>
        <v/>
      </c>
      <c r="O283" s="49" t="str">
        <f aca="false">IF($E283="","",IFERROR(INDEX(基础资料!$R$6:$R$205,MATCH($E283,基础资料!$Q$6:$Q$205,0)),""))</f>
        <v/>
      </c>
      <c r="P283" s="49" t="str">
        <f aca="false">IF($E283="","",IFERROR(INDEX(基础资料!$S$6:$S$205,MATCH($E283,基础资料!$Q$6:$Q$205,0)),""))</f>
        <v/>
      </c>
      <c r="Q283" s="48" t="str">
        <f aca="false">IF(OR($F283="",$G283=""),"",ROUND(N($F283)*N($G283),2))</f>
        <v/>
      </c>
      <c r="R283" s="48" t="str">
        <f aca="false">IF($Q283="","",ROUND(N($Q283)*N($H283),2))</f>
        <v/>
      </c>
      <c r="S283" s="48" t="str">
        <f aca="false">IF($Q283="","",N($Q283)+N($R283))</f>
        <v/>
      </c>
      <c r="T283" s="52" t="str">
        <f aca="false">IF(OR($B283="",$D283=""),"",$B283+N(IFERROR(INDEX(基础资料!$AH$6:$AH$155,MATCH($D283,基础资料!$AF$6:$AF$155,0)),0)))</f>
        <v/>
      </c>
      <c r="U283" s="49" t="str">
        <f aca="false">IF($Q283="","",IF($I283="是","1405",IF($J283="","6602",$J283)))</f>
        <v/>
      </c>
      <c r="V283" s="49" t="str">
        <f aca="false">IF($Q283="","","2202")</f>
        <v/>
      </c>
      <c r="W283" s="48" t="str">
        <f aca="false">IF($Q283="","",$Q283)</f>
        <v/>
      </c>
      <c r="X283" s="49" t="str">
        <f aca="false">IF(N($R283)=0,"","2221")</f>
        <v/>
      </c>
      <c r="Y283" s="49" t="str">
        <f aca="false">IF(N($R283)=0,"","2202")</f>
        <v/>
      </c>
      <c r="Z283" s="48" t="str">
        <f aca="false">IF(N($R283)=0,"",$R283)</f>
        <v/>
      </c>
      <c r="AA283" s="49" t="str">
        <f aca="false">IF(AND($D283=供应商对账单!$B$3,$B283&gt;=供应商对账单!$E$3,$B283&lt;=供应商对账单!$H$3),COUNTIFS($D$5:$D283,供应商对账单!$B$3,$B$5:$B283,"&gt;="&amp;供应商对账单!$E$3,$B$5:$B283,"&lt;="&amp;供应商对账单!$H$3),"")</f>
        <v/>
      </c>
    </row>
    <row r="284" customFormat="false" ht="15.75" hidden="false" customHeight="true" outlineLevel="0" collapsed="false">
      <c r="A284" s="42" t="str">
        <f aca="false">IF($B284="","","CG"&amp;TEXT($B284,"yyyymm")&amp;"-"&amp;TEXT(ROW()-4,"000"))</f>
        <v/>
      </c>
      <c r="B284" s="41"/>
      <c r="C284" s="42" t="str">
        <f aca="false">IF($B284="","",TEXT($B284,"yyyy-mm"))</f>
        <v/>
      </c>
      <c r="D284" s="32"/>
      <c r="E284" s="36"/>
      <c r="F284" s="43"/>
      <c r="G284" s="40"/>
      <c r="H284" s="51"/>
      <c r="I284" s="33"/>
      <c r="J284" s="31"/>
      <c r="K284" s="33"/>
      <c r="L284" s="33"/>
      <c r="M284" s="36"/>
      <c r="N284" s="47" t="str">
        <f aca="false">IF($B284="","",IF(NOT(ISNUMBER($B284)),"日期不是日期格式",IF(YEAR($B284)&lt;&gt;首页!$B$3,"不在会计年度",IF($D284="","未选供应商",IF(ISNA(MATCH($D284,基础资料!$AF$6:$AF$155,0)),"供应商不在档案",IF($E284="","未填商品或内容",IF(NOT(ISNUMBER($F284)),"数量须为数字",IF(NOT(ISNUMBER($G284)),"单价须为数字",IF(N($F284)&lt;=0,"数量须大于0",IF($I284="","请选是否入库",IF(AND($I284="是",ISNA(MATCH($E284,基础资料!$Q$6:$Q$205,0))),"入库商品必须在商品档案中",IF(AND($I284="否",$J284&lt;&gt;"",ISNA(MATCH($J284,科目参数!$A$6:$A$125,0))),"费用科目不存在","√"))))))))))))</f>
        <v/>
      </c>
      <c r="O284" s="49" t="str">
        <f aca="false">IF($E284="","",IFERROR(INDEX(基础资料!$R$6:$R$205,MATCH($E284,基础资料!$Q$6:$Q$205,0)),""))</f>
        <v/>
      </c>
      <c r="P284" s="49" t="str">
        <f aca="false">IF($E284="","",IFERROR(INDEX(基础资料!$S$6:$S$205,MATCH($E284,基础资料!$Q$6:$Q$205,0)),""))</f>
        <v/>
      </c>
      <c r="Q284" s="48" t="str">
        <f aca="false">IF(OR($F284="",$G284=""),"",ROUND(N($F284)*N($G284),2))</f>
        <v/>
      </c>
      <c r="R284" s="48" t="str">
        <f aca="false">IF($Q284="","",ROUND(N($Q284)*N($H284),2))</f>
        <v/>
      </c>
      <c r="S284" s="48" t="str">
        <f aca="false">IF($Q284="","",N($Q284)+N($R284))</f>
        <v/>
      </c>
      <c r="T284" s="52" t="str">
        <f aca="false">IF(OR($B284="",$D284=""),"",$B284+N(IFERROR(INDEX(基础资料!$AH$6:$AH$155,MATCH($D284,基础资料!$AF$6:$AF$155,0)),0)))</f>
        <v/>
      </c>
      <c r="U284" s="49" t="str">
        <f aca="false">IF($Q284="","",IF($I284="是","1405",IF($J284="","6602",$J284)))</f>
        <v/>
      </c>
      <c r="V284" s="49" t="str">
        <f aca="false">IF($Q284="","","2202")</f>
        <v/>
      </c>
      <c r="W284" s="48" t="str">
        <f aca="false">IF($Q284="","",$Q284)</f>
        <v/>
      </c>
      <c r="X284" s="49" t="str">
        <f aca="false">IF(N($R284)=0,"","2221")</f>
        <v/>
      </c>
      <c r="Y284" s="49" t="str">
        <f aca="false">IF(N($R284)=0,"","2202")</f>
        <v/>
      </c>
      <c r="Z284" s="48" t="str">
        <f aca="false">IF(N($R284)=0,"",$R284)</f>
        <v/>
      </c>
      <c r="AA284" s="49" t="str">
        <f aca="false">IF(AND($D284=供应商对账单!$B$3,$B284&gt;=供应商对账单!$E$3,$B284&lt;=供应商对账单!$H$3),COUNTIFS($D$5:$D284,供应商对账单!$B$3,$B$5:$B284,"&gt;="&amp;供应商对账单!$E$3,$B$5:$B284,"&lt;="&amp;供应商对账单!$H$3),"")</f>
        <v/>
      </c>
    </row>
    <row r="285" customFormat="false" ht="15.75" hidden="false" customHeight="true" outlineLevel="0" collapsed="false">
      <c r="A285" s="42" t="str">
        <f aca="false">IF($B285="","","CG"&amp;TEXT($B285,"yyyymm")&amp;"-"&amp;TEXT(ROW()-4,"000"))</f>
        <v/>
      </c>
      <c r="B285" s="41"/>
      <c r="C285" s="42" t="str">
        <f aca="false">IF($B285="","",TEXT($B285,"yyyy-mm"))</f>
        <v/>
      </c>
      <c r="D285" s="32"/>
      <c r="E285" s="36"/>
      <c r="F285" s="43"/>
      <c r="G285" s="40"/>
      <c r="H285" s="51"/>
      <c r="I285" s="33"/>
      <c r="J285" s="31"/>
      <c r="K285" s="33"/>
      <c r="L285" s="33"/>
      <c r="M285" s="36"/>
      <c r="N285" s="47" t="str">
        <f aca="false">IF($B285="","",IF(NOT(ISNUMBER($B285)),"日期不是日期格式",IF(YEAR($B285)&lt;&gt;首页!$B$3,"不在会计年度",IF($D285="","未选供应商",IF(ISNA(MATCH($D285,基础资料!$AF$6:$AF$155,0)),"供应商不在档案",IF($E285="","未填商品或内容",IF(NOT(ISNUMBER($F285)),"数量须为数字",IF(NOT(ISNUMBER($G285)),"单价须为数字",IF(N($F285)&lt;=0,"数量须大于0",IF($I285="","请选是否入库",IF(AND($I285="是",ISNA(MATCH($E285,基础资料!$Q$6:$Q$205,0))),"入库商品必须在商品档案中",IF(AND($I285="否",$J285&lt;&gt;"",ISNA(MATCH($J285,科目参数!$A$6:$A$125,0))),"费用科目不存在","√"))))))))))))</f>
        <v/>
      </c>
      <c r="O285" s="49" t="str">
        <f aca="false">IF($E285="","",IFERROR(INDEX(基础资料!$R$6:$R$205,MATCH($E285,基础资料!$Q$6:$Q$205,0)),""))</f>
        <v/>
      </c>
      <c r="P285" s="49" t="str">
        <f aca="false">IF($E285="","",IFERROR(INDEX(基础资料!$S$6:$S$205,MATCH($E285,基础资料!$Q$6:$Q$205,0)),""))</f>
        <v/>
      </c>
      <c r="Q285" s="48" t="str">
        <f aca="false">IF(OR($F285="",$G285=""),"",ROUND(N($F285)*N($G285),2))</f>
        <v/>
      </c>
      <c r="R285" s="48" t="str">
        <f aca="false">IF($Q285="","",ROUND(N($Q285)*N($H285),2))</f>
        <v/>
      </c>
      <c r="S285" s="48" t="str">
        <f aca="false">IF($Q285="","",N($Q285)+N($R285))</f>
        <v/>
      </c>
      <c r="T285" s="52" t="str">
        <f aca="false">IF(OR($B285="",$D285=""),"",$B285+N(IFERROR(INDEX(基础资料!$AH$6:$AH$155,MATCH($D285,基础资料!$AF$6:$AF$155,0)),0)))</f>
        <v/>
      </c>
      <c r="U285" s="49" t="str">
        <f aca="false">IF($Q285="","",IF($I285="是","1405",IF($J285="","6602",$J285)))</f>
        <v/>
      </c>
      <c r="V285" s="49" t="str">
        <f aca="false">IF($Q285="","","2202")</f>
        <v/>
      </c>
      <c r="W285" s="48" t="str">
        <f aca="false">IF($Q285="","",$Q285)</f>
        <v/>
      </c>
      <c r="X285" s="49" t="str">
        <f aca="false">IF(N($R285)=0,"","2221")</f>
        <v/>
      </c>
      <c r="Y285" s="49" t="str">
        <f aca="false">IF(N($R285)=0,"","2202")</f>
        <v/>
      </c>
      <c r="Z285" s="48" t="str">
        <f aca="false">IF(N($R285)=0,"",$R285)</f>
        <v/>
      </c>
      <c r="AA285" s="49" t="str">
        <f aca="false">IF(AND($D285=供应商对账单!$B$3,$B285&gt;=供应商对账单!$E$3,$B285&lt;=供应商对账单!$H$3),COUNTIFS($D$5:$D285,供应商对账单!$B$3,$B$5:$B285,"&gt;="&amp;供应商对账单!$E$3,$B$5:$B285,"&lt;="&amp;供应商对账单!$H$3),"")</f>
        <v/>
      </c>
    </row>
    <row r="286" customFormat="false" ht="15.75" hidden="false" customHeight="true" outlineLevel="0" collapsed="false">
      <c r="A286" s="42" t="str">
        <f aca="false">IF($B286="","","CG"&amp;TEXT($B286,"yyyymm")&amp;"-"&amp;TEXT(ROW()-4,"000"))</f>
        <v/>
      </c>
      <c r="B286" s="41"/>
      <c r="C286" s="42" t="str">
        <f aca="false">IF($B286="","",TEXT($B286,"yyyy-mm"))</f>
        <v/>
      </c>
      <c r="D286" s="32"/>
      <c r="E286" s="36"/>
      <c r="F286" s="43"/>
      <c r="G286" s="40"/>
      <c r="H286" s="51"/>
      <c r="I286" s="33"/>
      <c r="J286" s="31"/>
      <c r="K286" s="33"/>
      <c r="L286" s="33"/>
      <c r="M286" s="36"/>
      <c r="N286" s="47" t="str">
        <f aca="false">IF($B286="","",IF(NOT(ISNUMBER($B286)),"日期不是日期格式",IF(YEAR($B286)&lt;&gt;首页!$B$3,"不在会计年度",IF($D286="","未选供应商",IF(ISNA(MATCH($D286,基础资料!$AF$6:$AF$155,0)),"供应商不在档案",IF($E286="","未填商品或内容",IF(NOT(ISNUMBER($F286)),"数量须为数字",IF(NOT(ISNUMBER($G286)),"单价须为数字",IF(N($F286)&lt;=0,"数量须大于0",IF($I286="","请选是否入库",IF(AND($I286="是",ISNA(MATCH($E286,基础资料!$Q$6:$Q$205,0))),"入库商品必须在商品档案中",IF(AND($I286="否",$J286&lt;&gt;"",ISNA(MATCH($J286,科目参数!$A$6:$A$125,0))),"费用科目不存在","√"))))))))))))</f>
        <v/>
      </c>
      <c r="O286" s="49" t="str">
        <f aca="false">IF($E286="","",IFERROR(INDEX(基础资料!$R$6:$R$205,MATCH($E286,基础资料!$Q$6:$Q$205,0)),""))</f>
        <v/>
      </c>
      <c r="P286" s="49" t="str">
        <f aca="false">IF($E286="","",IFERROR(INDEX(基础资料!$S$6:$S$205,MATCH($E286,基础资料!$Q$6:$Q$205,0)),""))</f>
        <v/>
      </c>
      <c r="Q286" s="48" t="str">
        <f aca="false">IF(OR($F286="",$G286=""),"",ROUND(N($F286)*N($G286),2))</f>
        <v/>
      </c>
      <c r="R286" s="48" t="str">
        <f aca="false">IF($Q286="","",ROUND(N($Q286)*N($H286),2))</f>
        <v/>
      </c>
      <c r="S286" s="48" t="str">
        <f aca="false">IF($Q286="","",N($Q286)+N($R286))</f>
        <v/>
      </c>
      <c r="T286" s="52" t="str">
        <f aca="false">IF(OR($B286="",$D286=""),"",$B286+N(IFERROR(INDEX(基础资料!$AH$6:$AH$155,MATCH($D286,基础资料!$AF$6:$AF$155,0)),0)))</f>
        <v/>
      </c>
      <c r="U286" s="49" t="str">
        <f aca="false">IF($Q286="","",IF($I286="是","1405",IF($J286="","6602",$J286)))</f>
        <v/>
      </c>
      <c r="V286" s="49" t="str">
        <f aca="false">IF($Q286="","","2202")</f>
        <v/>
      </c>
      <c r="W286" s="48" t="str">
        <f aca="false">IF($Q286="","",$Q286)</f>
        <v/>
      </c>
      <c r="X286" s="49" t="str">
        <f aca="false">IF(N($R286)=0,"","2221")</f>
        <v/>
      </c>
      <c r="Y286" s="49" t="str">
        <f aca="false">IF(N($R286)=0,"","2202")</f>
        <v/>
      </c>
      <c r="Z286" s="48" t="str">
        <f aca="false">IF(N($R286)=0,"",$R286)</f>
        <v/>
      </c>
      <c r="AA286" s="49" t="str">
        <f aca="false">IF(AND($D286=供应商对账单!$B$3,$B286&gt;=供应商对账单!$E$3,$B286&lt;=供应商对账单!$H$3),COUNTIFS($D$5:$D286,供应商对账单!$B$3,$B$5:$B286,"&gt;="&amp;供应商对账单!$E$3,$B$5:$B286,"&lt;="&amp;供应商对账单!$H$3),"")</f>
        <v/>
      </c>
    </row>
    <row r="287" customFormat="false" ht="15.75" hidden="false" customHeight="true" outlineLevel="0" collapsed="false">
      <c r="A287" s="42" t="str">
        <f aca="false">IF($B287="","","CG"&amp;TEXT($B287,"yyyymm")&amp;"-"&amp;TEXT(ROW()-4,"000"))</f>
        <v/>
      </c>
      <c r="B287" s="41"/>
      <c r="C287" s="42" t="str">
        <f aca="false">IF($B287="","",TEXT($B287,"yyyy-mm"))</f>
        <v/>
      </c>
      <c r="D287" s="32"/>
      <c r="E287" s="36"/>
      <c r="F287" s="43"/>
      <c r="G287" s="40"/>
      <c r="H287" s="51"/>
      <c r="I287" s="33"/>
      <c r="J287" s="31"/>
      <c r="K287" s="33"/>
      <c r="L287" s="33"/>
      <c r="M287" s="36"/>
      <c r="N287" s="47" t="str">
        <f aca="false">IF($B287="","",IF(NOT(ISNUMBER($B287)),"日期不是日期格式",IF(YEAR($B287)&lt;&gt;首页!$B$3,"不在会计年度",IF($D287="","未选供应商",IF(ISNA(MATCH($D287,基础资料!$AF$6:$AF$155,0)),"供应商不在档案",IF($E287="","未填商品或内容",IF(NOT(ISNUMBER($F287)),"数量须为数字",IF(NOT(ISNUMBER($G287)),"单价须为数字",IF(N($F287)&lt;=0,"数量须大于0",IF($I287="","请选是否入库",IF(AND($I287="是",ISNA(MATCH($E287,基础资料!$Q$6:$Q$205,0))),"入库商品必须在商品档案中",IF(AND($I287="否",$J287&lt;&gt;"",ISNA(MATCH($J287,科目参数!$A$6:$A$125,0))),"费用科目不存在","√"))))))))))))</f>
        <v/>
      </c>
      <c r="O287" s="49" t="str">
        <f aca="false">IF($E287="","",IFERROR(INDEX(基础资料!$R$6:$R$205,MATCH($E287,基础资料!$Q$6:$Q$205,0)),""))</f>
        <v/>
      </c>
      <c r="P287" s="49" t="str">
        <f aca="false">IF($E287="","",IFERROR(INDEX(基础资料!$S$6:$S$205,MATCH($E287,基础资料!$Q$6:$Q$205,0)),""))</f>
        <v/>
      </c>
      <c r="Q287" s="48" t="str">
        <f aca="false">IF(OR($F287="",$G287=""),"",ROUND(N($F287)*N($G287),2))</f>
        <v/>
      </c>
      <c r="R287" s="48" t="str">
        <f aca="false">IF($Q287="","",ROUND(N($Q287)*N($H287),2))</f>
        <v/>
      </c>
      <c r="S287" s="48" t="str">
        <f aca="false">IF($Q287="","",N($Q287)+N($R287))</f>
        <v/>
      </c>
      <c r="T287" s="52" t="str">
        <f aca="false">IF(OR($B287="",$D287=""),"",$B287+N(IFERROR(INDEX(基础资料!$AH$6:$AH$155,MATCH($D287,基础资料!$AF$6:$AF$155,0)),0)))</f>
        <v/>
      </c>
      <c r="U287" s="49" t="str">
        <f aca="false">IF($Q287="","",IF($I287="是","1405",IF($J287="","6602",$J287)))</f>
        <v/>
      </c>
      <c r="V287" s="49" t="str">
        <f aca="false">IF($Q287="","","2202")</f>
        <v/>
      </c>
      <c r="W287" s="48" t="str">
        <f aca="false">IF($Q287="","",$Q287)</f>
        <v/>
      </c>
      <c r="X287" s="49" t="str">
        <f aca="false">IF(N($R287)=0,"","2221")</f>
        <v/>
      </c>
      <c r="Y287" s="49" t="str">
        <f aca="false">IF(N($R287)=0,"","2202")</f>
        <v/>
      </c>
      <c r="Z287" s="48" t="str">
        <f aca="false">IF(N($R287)=0,"",$R287)</f>
        <v/>
      </c>
      <c r="AA287" s="49" t="str">
        <f aca="false">IF(AND($D287=供应商对账单!$B$3,$B287&gt;=供应商对账单!$E$3,$B287&lt;=供应商对账单!$H$3),COUNTIFS($D$5:$D287,供应商对账单!$B$3,$B$5:$B287,"&gt;="&amp;供应商对账单!$E$3,$B$5:$B287,"&lt;="&amp;供应商对账单!$H$3),"")</f>
        <v/>
      </c>
    </row>
    <row r="288" customFormat="false" ht="15.75" hidden="false" customHeight="true" outlineLevel="0" collapsed="false">
      <c r="A288" s="42" t="str">
        <f aca="false">IF($B288="","","CG"&amp;TEXT($B288,"yyyymm")&amp;"-"&amp;TEXT(ROW()-4,"000"))</f>
        <v/>
      </c>
      <c r="B288" s="41"/>
      <c r="C288" s="42" t="str">
        <f aca="false">IF($B288="","",TEXT($B288,"yyyy-mm"))</f>
        <v/>
      </c>
      <c r="D288" s="32"/>
      <c r="E288" s="36"/>
      <c r="F288" s="43"/>
      <c r="G288" s="40"/>
      <c r="H288" s="51"/>
      <c r="I288" s="33"/>
      <c r="J288" s="31"/>
      <c r="K288" s="33"/>
      <c r="L288" s="33"/>
      <c r="M288" s="36"/>
      <c r="N288" s="47" t="str">
        <f aca="false">IF($B288="","",IF(NOT(ISNUMBER($B288)),"日期不是日期格式",IF(YEAR($B288)&lt;&gt;首页!$B$3,"不在会计年度",IF($D288="","未选供应商",IF(ISNA(MATCH($D288,基础资料!$AF$6:$AF$155,0)),"供应商不在档案",IF($E288="","未填商品或内容",IF(NOT(ISNUMBER($F288)),"数量须为数字",IF(NOT(ISNUMBER($G288)),"单价须为数字",IF(N($F288)&lt;=0,"数量须大于0",IF($I288="","请选是否入库",IF(AND($I288="是",ISNA(MATCH($E288,基础资料!$Q$6:$Q$205,0))),"入库商品必须在商品档案中",IF(AND($I288="否",$J288&lt;&gt;"",ISNA(MATCH($J288,科目参数!$A$6:$A$125,0))),"费用科目不存在","√"))))))))))))</f>
        <v/>
      </c>
      <c r="O288" s="49" t="str">
        <f aca="false">IF($E288="","",IFERROR(INDEX(基础资料!$R$6:$R$205,MATCH($E288,基础资料!$Q$6:$Q$205,0)),""))</f>
        <v/>
      </c>
      <c r="P288" s="49" t="str">
        <f aca="false">IF($E288="","",IFERROR(INDEX(基础资料!$S$6:$S$205,MATCH($E288,基础资料!$Q$6:$Q$205,0)),""))</f>
        <v/>
      </c>
      <c r="Q288" s="48" t="str">
        <f aca="false">IF(OR($F288="",$G288=""),"",ROUND(N($F288)*N($G288),2))</f>
        <v/>
      </c>
      <c r="R288" s="48" t="str">
        <f aca="false">IF($Q288="","",ROUND(N($Q288)*N($H288),2))</f>
        <v/>
      </c>
      <c r="S288" s="48" t="str">
        <f aca="false">IF($Q288="","",N($Q288)+N($R288))</f>
        <v/>
      </c>
      <c r="T288" s="52" t="str">
        <f aca="false">IF(OR($B288="",$D288=""),"",$B288+N(IFERROR(INDEX(基础资料!$AH$6:$AH$155,MATCH($D288,基础资料!$AF$6:$AF$155,0)),0)))</f>
        <v/>
      </c>
      <c r="U288" s="49" t="str">
        <f aca="false">IF($Q288="","",IF($I288="是","1405",IF($J288="","6602",$J288)))</f>
        <v/>
      </c>
      <c r="V288" s="49" t="str">
        <f aca="false">IF($Q288="","","2202")</f>
        <v/>
      </c>
      <c r="W288" s="48" t="str">
        <f aca="false">IF($Q288="","",$Q288)</f>
        <v/>
      </c>
      <c r="X288" s="49" t="str">
        <f aca="false">IF(N($R288)=0,"","2221")</f>
        <v/>
      </c>
      <c r="Y288" s="49" t="str">
        <f aca="false">IF(N($R288)=0,"","2202")</f>
        <v/>
      </c>
      <c r="Z288" s="48" t="str">
        <f aca="false">IF(N($R288)=0,"",$R288)</f>
        <v/>
      </c>
      <c r="AA288" s="49" t="str">
        <f aca="false">IF(AND($D288=供应商对账单!$B$3,$B288&gt;=供应商对账单!$E$3,$B288&lt;=供应商对账单!$H$3),COUNTIFS($D$5:$D288,供应商对账单!$B$3,$B$5:$B288,"&gt;="&amp;供应商对账单!$E$3,$B$5:$B288,"&lt;="&amp;供应商对账单!$H$3),"")</f>
        <v/>
      </c>
    </row>
    <row r="289" customFormat="false" ht="15.75" hidden="false" customHeight="true" outlineLevel="0" collapsed="false">
      <c r="A289" s="42" t="str">
        <f aca="false">IF($B289="","","CG"&amp;TEXT($B289,"yyyymm")&amp;"-"&amp;TEXT(ROW()-4,"000"))</f>
        <v/>
      </c>
      <c r="B289" s="41"/>
      <c r="C289" s="42" t="str">
        <f aca="false">IF($B289="","",TEXT($B289,"yyyy-mm"))</f>
        <v/>
      </c>
      <c r="D289" s="32"/>
      <c r="E289" s="36"/>
      <c r="F289" s="43"/>
      <c r="G289" s="40"/>
      <c r="H289" s="51"/>
      <c r="I289" s="33"/>
      <c r="J289" s="31"/>
      <c r="K289" s="33"/>
      <c r="L289" s="33"/>
      <c r="M289" s="36"/>
      <c r="N289" s="47" t="str">
        <f aca="false">IF($B289="","",IF(NOT(ISNUMBER($B289)),"日期不是日期格式",IF(YEAR($B289)&lt;&gt;首页!$B$3,"不在会计年度",IF($D289="","未选供应商",IF(ISNA(MATCH($D289,基础资料!$AF$6:$AF$155,0)),"供应商不在档案",IF($E289="","未填商品或内容",IF(NOT(ISNUMBER($F289)),"数量须为数字",IF(NOT(ISNUMBER($G289)),"单价须为数字",IF(N($F289)&lt;=0,"数量须大于0",IF($I289="","请选是否入库",IF(AND($I289="是",ISNA(MATCH($E289,基础资料!$Q$6:$Q$205,0))),"入库商品必须在商品档案中",IF(AND($I289="否",$J289&lt;&gt;"",ISNA(MATCH($J289,科目参数!$A$6:$A$125,0))),"费用科目不存在","√"))))))))))))</f>
        <v/>
      </c>
      <c r="O289" s="49" t="str">
        <f aca="false">IF($E289="","",IFERROR(INDEX(基础资料!$R$6:$R$205,MATCH($E289,基础资料!$Q$6:$Q$205,0)),""))</f>
        <v/>
      </c>
      <c r="P289" s="49" t="str">
        <f aca="false">IF($E289="","",IFERROR(INDEX(基础资料!$S$6:$S$205,MATCH($E289,基础资料!$Q$6:$Q$205,0)),""))</f>
        <v/>
      </c>
      <c r="Q289" s="48" t="str">
        <f aca="false">IF(OR($F289="",$G289=""),"",ROUND(N($F289)*N($G289),2))</f>
        <v/>
      </c>
      <c r="R289" s="48" t="str">
        <f aca="false">IF($Q289="","",ROUND(N($Q289)*N($H289),2))</f>
        <v/>
      </c>
      <c r="S289" s="48" t="str">
        <f aca="false">IF($Q289="","",N($Q289)+N($R289))</f>
        <v/>
      </c>
      <c r="T289" s="52" t="str">
        <f aca="false">IF(OR($B289="",$D289=""),"",$B289+N(IFERROR(INDEX(基础资料!$AH$6:$AH$155,MATCH($D289,基础资料!$AF$6:$AF$155,0)),0)))</f>
        <v/>
      </c>
      <c r="U289" s="49" t="str">
        <f aca="false">IF($Q289="","",IF($I289="是","1405",IF($J289="","6602",$J289)))</f>
        <v/>
      </c>
      <c r="V289" s="49" t="str">
        <f aca="false">IF($Q289="","","2202")</f>
        <v/>
      </c>
      <c r="W289" s="48" t="str">
        <f aca="false">IF($Q289="","",$Q289)</f>
        <v/>
      </c>
      <c r="X289" s="49" t="str">
        <f aca="false">IF(N($R289)=0,"","2221")</f>
        <v/>
      </c>
      <c r="Y289" s="49" t="str">
        <f aca="false">IF(N($R289)=0,"","2202")</f>
        <v/>
      </c>
      <c r="Z289" s="48" t="str">
        <f aca="false">IF(N($R289)=0,"",$R289)</f>
        <v/>
      </c>
      <c r="AA289" s="49" t="str">
        <f aca="false">IF(AND($D289=供应商对账单!$B$3,$B289&gt;=供应商对账单!$E$3,$B289&lt;=供应商对账单!$H$3),COUNTIFS($D$5:$D289,供应商对账单!$B$3,$B$5:$B289,"&gt;="&amp;供应商对账单!$E$3,$B$5:$B289,"&lt;="&amp;供应商对账单!$H$3),"")</f>
        <v/>
      </c>
    </row>
    <row r="290" customFormat="false" ht="15.75" hidden="false" customHeight="true" outlineLevel="0" collapsed="false">
      <c r="A290" s="42" t="str">
        <f aca="false">IF($B290="","","CG"&amp;TEXT($B290,"yyyymm")&amp;"-"&amp;TEXT(ROW()-4,"000"))</f>
        <v/>
      </c>
      <c r="B290" s="41"/>
      <c r="C290" s="42" t="str">
        <f aca="false">IF($B290="","",TEXT($B290,"yyyy-mm"))</f>
        <v/>
      </c>
      <c r="D290" s="32"/>
      <c r="E290" s="36"/>
      <c r="F290" s="43"/>
      <c r="G290" s="40"/>
      <c r="H290" s="51"/>
      <c r="I290" s="33"/>
      <c r="J290" s="31"/>
      <c r="K290" s="33"/>
      <c r="L290" s="33"/>
      <c r="M290" s="36"/>
      <c r="N290" s="47" t="str">
        <f aca="false">IF($B290="","",IF(NOT(ISNUMBER($B290)),"日期不是日期格式",IF(YEAR($B290)&lt;&gt;首页!$B$3,"不在会计年度",IF($D290="","未选供应商",IF(ISNA(MATCH($D290,基础资料!$AF$6:$AF$155,0)),"供应商不在档案",IF($E290="","未填商品或内容",IF(NOT(ISNUMBER($F290)),"数量须为数字",IF(NOT(ISNUMBER($G290)),"单价须为数字",IF(N($F290)&lt;=0,"数量须大于0",IF($I290="","请选是否入库",IF(AND($I290="是",ISNA(MATCH($E290,基础资料!$Q$6:$Q$205,0))),"入库商品必须在商品档案中",IF(AND($I290="否",$J290&lt;&gt;"",ISNA(MATCH($J290,科目参数!$A$6:$A$125,0))),"费用科目不存在","√"))))))))))))</f>
        <v/>
      </c>
      <c r="O290" s="49" t="str">
        <f aca="false">IF($E290="","",IFERROR(INDEX(基础资料!$R$6:$R$205,MATCH($E290,基础资料!$Q$6:$Q$205,0)),""))</f>
        <v/>
      </c>
      <c r="P290" s="49" t="str">
        <f aca="false">IF($E290="","",IFERROR(INDEX(基础资料!$S$6:$S$205,MATCH($E290,基础资料!$Q$6:$Q$205,0)),""))</f>
        <v/>
      </c>
      <c r="Q290" s="48" t="str">
        <f aca="false">IF(OR($F290="",$G290=""),"",ROUND(N($F290)*N($G290),2))</f>
        <v/>
      </c>
      <c r="R290" s="48" t="str">
        <f aca="false">IF($Q290="","",ROUND(N($Q290)*N($H290),2))</f>
        <v/>
      </c>
      <c r="S290" s="48" t="str">
        <f aca="false">IF($Q290="","",N($Q290)+N($R290))</f>
        <v/>
      </c>
      <c r="T290" s="52" t="str">
        <f aca="false">IF(OR($B290="",$D290=""),"",$B290+N(IFERROR(INDEX(基础资料!$AH$6:$AH$155,MATCH($D290,基础资料!$AF$6:$AF$155,0)),0)))</f>
        <v/>
      </c>
      <c r="U290" s="49" t="str">
        <f aca="false">IF($Q290="","",IF($I290="是","1405",IF($J290="","6602",$J290)))</f>
        <v/>
      </c>
      <c r="V290" s="49" t="str">
        <f aca="false">IF($Q290="","","2202")</f>
        <v/>
      </c>
      <c r="W290" s="48" t="str">
        <f aca="false">IF($Q290="","",$Q290)</f>
        <v/>
      </c>
      <c r="X290" s="49" t="str">
        <f aca="false">IF(N($R290)=0,"","2221")</f>
        <v/>
      </c>
      <c r="Y290" s="49" t="str">
        <f aca="false">IF(N($R290)=0,"","2202")</f>
        <v/>
      </c>
      <c r="Z290" s="48" t="str">
        <f aca="false">IF(N($R290)=0,"",$R290)</f>
        <v/>
      </c>
      <c r="AA290" s="49" t="str">
        <f aca="false">IF(AND($D290=供应商对账单!$B$3,$B290&gt;=供应商对账单!$E$3,$B290&lt;=供应商对账单!$H$3),COUNTIFS($D$5:$D290,供应商对账单!$B$3,$B$5:$B290,"&gt;="&amp;供应商对账单!$E$3,$B$5:$B290,"&lt;="&amp;供应商对账单!$H$3),"")</f>
        <v/>
      </c>
    </row>
    <row r="291" customFormat="false" ht="15.75" hidden="false" customHeight="true" outlineLevel="0" collapsed="false">
      <c r="A291" s="42" t="str">
        <f aca="false">IF($B291="","","CG"&amp;TEXT($B291,"yyyymm")&amp;"-"&amp;TEXT(ROW()-4,"000"))</f>
        <v/>
      </c>
      <c r="B291" s="41"/>
      <c r="C291" s="42" t="str">
        <f aca="false">IF($B291="","",TEXT($B291,"yyyy-mm"))</f>
        <v/>
      </c>
      <c r="D291" s="32"/>
      <c r="E291" s="36"/>
      <c r="F291" s="43"/>
      <c r="G291" s="40"/>
      <c r="H291" s="51"/>
      <c r="I291" s="33"/>
      <c r="J291" s="31"/>
      <c r="K291" s="33"/>
      <c r="L291" s="33"/>
      <c r="M291" s="36"/>
      <c r="N291" s="47" t="str">
        <f aca="false">IF($B291="","",IF(NOT(ISNUMBER($B291)),"日期不是日期格式",IF(YEAR($B291)&lt;&gt;首页!$B$3,"不在会计年度",IF($D291="","未选供应商",IF(ISNA(MATCH($D291,基础资料!$AF$6:$AF$155,0)),"供应商不在档案",IF($E291="","未填商品或内容",IF(NOT(ISNUMBER($F291)),"数量须为数字",IF(NOT(ISNUMBER($G291)),"单价须为数字",IF(N($F291)&lt;=0,"数量须大于0",IF($I291="","请选是否入库",IF(AND($I291="是",ISNA(MATCH($E291,基础资料!$Q$6:$Q$205,0))),"入库商品必须在商品档案中",IF(AND($I291="否",$J291&lt;&gt;"",ISNA(MATCH($J291,科目参数!$A$6:$A$125,0))),"费用科目不存在","√"))))))))))))</f>
        <v/>
      </c>
      <c r="O291" s="49" t="str">
        <f aca="false">IF($E291="","",IFERROR(INDEX(基础资料!$R$6:$R$205,MATCH($E291,基础资料!$Q$6:$Q$205,0)),""))</f>
        <v/>
      </c>
      <c r="P291" s="49" t="str">
        <f aca="false">IF($E291="","",IFERROR(INDEX(基础资料!$S$6:$S$205,MATCH($E291,基础资料!$Q$6:$Q$205,0)),""))</f>
        <v/>
      </c>
      <c r="Q291" s="48" t="str">
        <f aca="false">IF(OR($F291="",$G291=""),"",ROUND(N($F291)*N($G291),2))</f>
        <v/>
      </c>
      <c r="R291" s="48" t="str">
        <f aca="false">IF($Q291="","",ROUND(N($Q291)*N($H291),2))</f>
        <v/>
      </c>
      <c r="S291" s="48" t="str">
        <f aca="false">IF($Q291="","",N($Q291)+N($R291))</f>
        <v/>
      </c>
      <c r="T291" s="52" t="str">
        <f aca="false">IF(OR($B291="",$D291=""),"",$B291+N(IFERROR(INDEX(基础资料!$AH$6:$AH$155,MATCH($D291,基础资料!$AF$6:$AF$155,0)),0)))</f>
        <v/>
      </c>
      <c r="U291" s="49" t="str">
        <f aca="false">IF($Q291="","",IF($I291="是","1405",IF($J291="","6602",$J291)))</f>
        <v/>
      </c>
      <c r="V291" s="49" t="str">
        <f aca="false">IF($Q291="","","2202")</f>
        <v/>
      </c>
      <c r="W291" s="48" t="str">
        <f aca="false">IF($Q291="","",$Q291)</f>
        <v/>
      </c>
      <c r="X291" s="49" t="str">
        <f aca="false">IF(N($R291)=0,"","2221")</f>
        <v/>
      </c>
      <c r="Y291" s="49" t="str">
        <f aca="false">IF(N($R291)=0,"","2202")</f>
        <v/>
      </c>
      <c r="Z291" s="48" t="str">
        <f aca="false">IF(N($R291)=0,"",$R291)</f>
        <v/>
      </c>
      <c r="AA291" s="49" t="str">
        <f aca="false">IF(AND($D291=供应商对账单!$B$3,$B291&gt;=供应商对账单!$E$3,$B291&lt;=供应商对账单!$H$3),COUNTIFS($D$5:$D291,供应商对账单!$B$3,$B$5:$B291,"&gt;="&amp;供应商对账单!$E$3,$B$5:$B291,"&lt;="&amp;供应商对账单!$H$3),"")</f>
        <v/>
      </c>
    </row>
    <row r="292" customFormat="false" ht="15.75" hidden="false" customHeight="true" outlineLevel="0" collapsed="false">
      <c r="A292" s="42" t="str">
        <f aca="false">IF($B292="","","CG"&amp;TEXT($B292,"yyyymm")&amp;"-"&amp;TEXT(ROW()-4,"000"))</f>
        <v/>
      </c>
      <c r="B292" s="41"/>
      <c r="C292" s="42" t="str">
        <f aca="false">IF($B292="","",TEXT($B292,"yyyy-mm"))</f>
        <v/>
      </c>
      <c r="D292" s="32"/>
      <c r="E292" s="36"/>
      <c r="F292" s="43"/>
      <c r="G292" s="40"/>
      <c r="H292" s="51"/>
      <c r="I292" s="33"/>
      <c r="J292" s="31"/>
      <c r="K292" s="33"/>
      <c r="L292" s="33"/>
      <c r="M292" s="36"/>
      <c r="N292" s="47" t="str">
        <f aca="false">IF($B292="","",IF(NOT(ISNUMBER($B292)),"日期不是日期格式",IF(YEAR($B292)&lt;&gt;首页!$B$3,"不在会计年度",IF($D292="","未选供应商",IF(ISNA(MATCH($D292,基础资料!$AF$6:$AF$155,0)),"供应商不在档案",IF($E292="","未填商品或内容",IF(NOT(ISNUMBER($F292)),"数量须为数字",IF(NOT(ISNUMBER($G292)),"单价须为数字",IF(N($F292)&lt;=0,"数量须大于0",IF($I292="","请选是否入库",IF(AND($I292="是",ISNA(MATCH($E292,基础资料!$Q$6:$Q$205,0))),"入库商品必须在商品档案中",IF(AND($I292="否",$J292&lt;&gt;"",ISNA(MATCH($J292,科目参数!$A$6:$A$125,0))),"费用科目不存在","√"))))))))))))</f>
        <v/>
      </c>
      <c r="O292" s="49" t="str">
        <f aca="false">IF($E292="","",IFERROR(INDEX(基础资料!$R$6:$R$205,MATCH($E292,基础资料!$Q$6:$Q$205,0)),""))</f>
        <v/>
      </c>
      <c r="P292" s="49" t="str">
        <f aca="false">IF($E292="","",IFERROR(INDEX(基础资料!$S$6:$S$205,MATCH($E292,基础资料!$Q$6:$Q$205,0)),""))</f>
        <v/>
      </c>
      <c r="Q292" s="48" t="str">
        <f aca="false">IF(OR($F292="",$G292=""),"",ROUND(N($F292)*N($G292),2))</f>
        <v/>
      </c>
      <c r="R292" s="48" t="str">
        <f aca="false">IF($Q292="","",ROUND(N($Q292)*N($H292),2))</f>
        <v/>
      </c>
      <c r="S292" s="48" t="str">
        <f aca="false">IF($Q292="","",N($Q292)+N($R292))</f>
        <v/>
      </c>
      <c r="T292" s="52" t="str">
        <f aca="false">IF(OR($B292="",$D292=""),"",$B292+N(IFERROR(INDEX(基础资料!$AH$6:$AH$155,MATCH($D292,基础资料!$AF$6:$AF$155,0)),0)))</f>
        <v/>
      </c>
      <c r="U292" s="49" t="str">
        <f aca="false">IF($Q292="","",IF($I292="是","1405",IF($J292="","6602",$J292)))</f>
        <v/>
      </c>
      <c r="V292" s="49" t="str">
        <f aca="false">IF($Q292="","","2202")</f>
        <v/>
      </c>
      <c r="W292" s="48" t="str">
        <f aca="false">IF($Q292="","",$Q292)</f>
        <v/>
      </c>
      <c r="X292" s="49" t="str">
        <f aca="false">IF(N($R292)=0,"","2221")</f>
        <v/>
      </c>
      <c r="Y292" s="49" t="str">
        <f aca="false">IF(N($R292)=0,"","2202")</f>
        <v/>
      </c>
      <c r="Z292" s="48" t="str">
        <f aca="false">IF(N($R292)=0,"",$R292)</f>
        <v/>
      </c>
      <c r="AA292" s="49" t="str">
        <f aca="false">IF(AND($D292=供应商对账单!$B$3,$B292&gt;=供应商对账单!$E$3,$B292&lt;=供应商对账单!$H$3),COUNTIFS($D$5:$D292,供应商对账单!$B$3,$B$5:$B292,"&gt;="&amp;供应商对账单!$E$3,$B$5:$B292,"&lt;="&amp;供应商对账单!$H$3),"")</f>
        <v/>
      </c>
    </row>
    <row r="293" customFormat="false" ht="15.75" hidden="false" customHeight="true" outlineLevel="0" collapsed="false">
      <c r="A293" s="42" t="str">
        <f aca="false">IF($B293="","","CG"&amp;TEXT($B293,"yyyymm")&amp;"-"&amp;TEXT(ROW()-4,"000"))</f>
        <v/>
      </c>
      <c r="B293" s="41"/>
      <c r="C293" s="42" t="str">
        <f aca="false">IF($B293="","",TEXT($B293,"yyyy-mm"))</f>
        <v/>
      </c>
      <c r="D293" s="32"/>
      <c r="E293" s="36"/>
      <c r="F293" s="43"/>
      <c r="G293" s="40"/>
      <c r="H293" s="51"/>
      <c r="I293" s="33"/>
      <c r="J293" s="31"/>
      <c r="K293" s="33"/>
      <c r="L293" s="33"/>
      <c r="M293" s="36"/>
      <c r="N293" s="47" t="str">
        <f aca="false">IF($B293="","",IF(NOT(ISNUMBER($B293)),"日期不是日期格式",IF(YEAR($B293)&lt;&gt;首页!$B$3,"不在会计年度",IF($D293="","未选供应商",IF(ISNA(MATCH($D293,基础资料!$AF$6:$AF$155,0)),"供应商不在档案",IF($E293="","未填商品或内容",IF(NOT(ISNUMBER($F293)),"数量须为数字",IF(NOT(ISNUMBER($G293)),"单价须为数字",IF(N($F293)&lt;=0,"数量须大于0",IF($I293="","请选是否入库",IF(AND($I293="是",ISNA(MATCH($E293,基础资料!$Q$6:$Q$205,0))),"入库商品必须在商品档案中",IF(AND($I293="否",$J293&lt;&gt;"",ISNA(MATCH($J293,科目参数!$A$6:$A$125,0))),"费用科目不存在","√"))))))))))))</f>
        <v/>
      </c>
      <c r="O293" s="49" t="str">
        <f aca="false">IF($E293="","",IFERROR(INDEX(基础资料!$R$6:$R$205,MATCH($E293,基础资料!$Q$6:$Q$205,0)),""))</f>
        <v/>
      </c>
      <c r="P293" s="49" t="str">
        <f aca="false">IF($E293="","",IFERROR(INDEX(基础资料!$S$6:$S$205,MATCH($E293,基础资料!$Q$6:$Q$205,0)),""))</f>
        <v/>
      </c>
      <c r="Q293" s="48" t="str">
        <f aca="false">IF(OR($F293="",$G293=""),"",ROUND(N($F293)*N($G293),2))</f>
        <v/>
      </c>
      <c r="R293" s="48" t="str">
        <f aca="false">IF($Q293="","",ROUND(N($Q293)*N($H293),2))</f>
        <v/>
      </c>
      <c r="S293" s="48" t="str">
        <f aca="false">IF($Q293="","",N($Q293)+N($R293))</f>
        <v/>
      </c>
      <c r="T293" s="52" t="str">
        <f aca="false">IF(OR($B293="",$D293=""),"",$B293+N(IFERROR(INDEX(基础资料!$AH$6:$AH$155,MATCH($D293,基础资料!$AF$6:$AF$155,0)),0)))</f>
        <v/>
      </c>
      <c r="U293" s="49" t="str">
        <f aca="false">IF($Q293="","",IF($I293="是","1405",IF($J293="","6602",$J293)))</f>
        <v/>
      </c>
      <c r="V293" s="49" t="str">
        <f aca="false">IF($Q293="","","2202")</f>
        <v/>
      </c>
      <c r="W293" s="48" t="str">
        <f aca="false">IF($Q293="","",$Q293)</f>
        <v/>
      </c>
      <c r="X293" s="49" t="str">
        <f aca="false">IF(N($R293)=0,"","2221")</f>
        <v/>
      </c>
      <c r="Y293" s="49" t="str">
        <f aca="false">IF(N($R293)=0,"","2202")</f>
        <v/>
      </c>
      <c r="Z293" s="48" t="str">
        <f aca="false">IF(N($R293)=0,"",$R293)</f>
        <v/>
      </c>
      <c r="AA293" s="49" t="str">
        <f aca="false">IF(AND($D293=供应商对账单!$B$3,$B293&gt;=供应商对账单!$E$3,$B293&lt;=供应商对账单!$H$3),COUNTIFS($D$5:$D293,供应商对账单!$B$3,$B$5:$B293,"&gt;="&amp;供应商对账单!$E$3,$B$5:$B293,"&lt;="&amp;供应商对账单!$H$3),"")</f>
        <v/>
      </c>
    </row>
    <row r="294" customFormat="false" ht="15.75" hidden="false" customHeight="true" outlineLevel="0" collapsed="false">
      <c r="A294" s="42" t="str">
        <f aca="false">IF($B294="","","CG"&amp;TEXT($B294,"yyyymm")&amp;"-"&amp;TEXT(ROW()-4,"000"))</f>
        <v/>
      </c>
      <c r="B294" s="41"/>
      <c r="C294" s="42" t="str">
        <f aca="false">IF($B294="","",TEXT($B294,"yyyy-mm"))</f>
        <v/>
      </c>
      <c r="D294" s="32"/>
      <c r="E294" s="36"/>
      <c r="F294" s="43"/>
      <c r="G294" s="40"/>
      <c r="H294" s="51"/>
      <c r="I294" s="33"/>
      <c r="J294" s="31"/>
      <c r="K294" s="33"/>
      <c r="L294" s="33"/>
      <c r="M294" s="36"/>
      <c r="N294" s="47" t="str">
        <f aca="false">IF($B294="","",IF(NOT(ISNUMBER($B294)),"日期不是日期格式",IF(YEAR($B294)&lt;&gt;首页!$B$3,"不在会计年度",IF($D294="","未选供应商",IF(ISNA(MATCH($D294,基础资料!$AF$6:$AF$155,0)),"供应商不在档案",IF($E294="","未填商品或内容",IF(NOT(ISNUMBER($F294)),"数量须为数字",IF(NOT(ISNUMBER($G294)),"单价须为数字",IF(N($F294)&lt;=0,"数量须大于0",IF($I294="","请选是否入库",IF(AND($I294="是",ISNA(MATCH($E294,基础资料!$Q$6:$Q$205,0))),"入库商品必须在商品档案中",IF(AND($I294="否",$J294&lt;&gt;"",ISNA(MATCH($J294,科目参数!$A$6:$A$125,0))),"费用科目不存在","√"))))))))))))</f>
        <v/>
      </c>
      <c r="O294" s="49" t="str">
        <f aca="false">IF($E294="","",IFERROR(INDEX(基础资料!$R$6:$R$205,MATCH($E294,基础资料!$Q$6:$Q$205,0)),""))</f>
        <v/>
      </c>
      <c r="P294" s="49" t="str">
        <f aca="false">IF($E294="","",IFERROR(INDEX(基础资料!$S$6:$S$205,MATCH($E294,基础资料!$Q$6:$Q$205,0)),""))</f>
        <v/>
      </c>
      <c r="Q294" s="48" t="str">
        <f aca="false">IF(OR($F294="",$G294=""),"",ROUND(N($F294)*N($G294),2))</f>
        <v/>
      </c>
      <c r="R294" s="48" t="str">
        <f aca="false">IF($Q294="","",ROUND(N($Q294)*N($H294),2))</f>
        <v/>
      </c>
      <c r="S294" s="48" t="str">
        <f aca="false">IF($Q294="","",N($Q294)+N($R294))</f>
        <v/>
      </c>
      <c r="T294" s="52" t="str">
        <f aca="false">IF(OR($B294="",$D294=""),"",$B294+N(IFERROR(INDEX(基础资料!$AH$6:$AH$155,MATCH($D294,基础资料!$AF$6:$AF$155,0)),0)))</f>
        <v/>
      </c>
      <c r="U294" s="49" t="str">
        <f aca="false">IF($Q294="","",IF($I294="是","1405",IF($J294="","6602",$J294)))</f>
        <v/>
      </c>
      <c r="V294" s="49" t="str">
        <f aca="false">IF($Q294="","","2202")</f>
        <v/>
      </c>
      <c r="W294" s="48" t="str">
        <f aca="false">IF($Q294="","",$Q294)</f>
        <v/>
      </c>
      <c r="X294" s="49" t="str">
        <f aca="false">IF(N($R294)=0,"","2221")</f>
        <v/>
      </c>
      <c r="Y294" s="49" t="str">
        <f aca="false">IF(N($R294)=0,"","2202")</f>
        <v/>
      </c>
      <c r="Z294" s="48" t="str">
        <f aca="false">IF(N($R294)=0,"",$R294)</f>
        <v/>
      </c>
      <c r="AA294" s="49" t="str">
        <f aca="false">IF(AND($D294=供应商对账单!$B$3,$B294&gt;=供应商对账单!$E$3,$B294&lt;=供应商对账单!$H$3),COUNTIFS($D$5:$D294,供应商对账单!$B$3,$B$5:$B294,"&gt;="&amp;供应商对账单!$E$3,$B$5:$B294,"&lt;="&amp;供应商对账单!$H$3),"")</f>
        <v/>
      </c>
    </row>
    <row r="295" customFormat="false" ht="15.75" hidden="false" customHeight="true" outlineLevel="0" collapsed="false">
      <c r="A295" s="42" t="str">
        <f aca="false">IF($B295="","","CG"&amp;TEXT($B295,"yyyymm")&amp;"-"&amp;TEXT(ROW()-4,"000"))</f>
        <v/>
      </c>
      <c r="B295" s="41"/>
      <c r="C295" s="42" t="str">
        <f aca="false">IF($B295="","",TEXT($B295,"yyyy-mm"))</f>
        <v/>
      </c>
      <c r="D295" s="32"/>
      <c r="E295" s="36"/>
      <c r="F295" s="43"/>
      <c r="G295" s="40"/>
      <c r="H295" s="51"/>
      <c r="I295" s="33"/>
      <c r="J295" s="31"/>
      <c r="K295" s="33"/>
      <c r="L295" s="33"/>
      <c r="M295" s="36"/>
      <c r="N295" s="47" t="str">
        <f aca="false">IF($B295="","",IF(NOT(ISNUMBER($B295)),"日期不是日期格式",IF(YEAR($B295)&lt;&gt;首页!$B$3,"不在会计年度",IF($D295="","未选供应商",IF(ISNA(MATCH($D295,基础资料!$AF$6:$AF$155,0)),"供应商不在档案",IF($E295="","未填商品或内容",IF(NOT(ISNUMBER($F295)),"数量须为数字",IF(NOT(ISNUMBER($G295)),"单价须为数字",IF(N($F295)&lt;=0,"数量须大于0",IF($I295="","请选是否入库",IF(AND($I295="是",ISNA(MATCH($E295,基础资料!$Q$6:$Q$205,0))),"入库商品必须在商品档案中",IF(AND($I295="否",$J295&lt;&gt;"",ISNA(MATCH($J295,科目参数!$A$6:$A$125,0))),"费用科目不存在","√"))))))))))))</f>
        <v/>
      </c>
      <c r="O295" s="49" t="str">
        <f aca="false">IF($E295="","",IFERROR(INDEX(基础资料!$R$6:$R$205,MATCH($E295,基础资料!$Q$6:$Q$205,0)),""))</f>
        <v/>
      </c>
      <c r="P295" s="49" t="str">
        <f aca="false">IF($E295="","",IFERROR(INDEX(基础资料!$S$6:$S$205,MATCH($E295,基础资料!$Q$6:$Q$205,0)),""))</f>
        <v/>
      </c>
      <c r="Q295" s="48" t="str">
        <f aca="false">IF(OR($F295="",$G295=""),"",ROUND(N($F295)*N($G295),2))</f>
        <v/>
      </c>
      <c r="R295" s="48" t="str">
        <f aca="false">IF($Q295="","",ROUND(N($Q295)*N($H295),2))</f>
        <v/>
      </c>
      <c r="S295" s="48" t="str">
        <f aca="false">IF($Q295="","",N($Q295)+N($R295))</f>
        <v/>
      </c>
      <c r="T295" s="52" t="str">
        <f aca="false">IF(OR($B295="",$D295=""),"",$B295+N(IFERROR(INDEX(基础资料!$AH$6:$AH$155,MATCH($D295,基础资料!$AF$6:$AF$155,0)),0)))</f>
        <v/>
      </c>
      <c r="U295" s="49" t="str">
        <f aca="false">IF($Q295="","",IF($I295="是","1405",IF($J295="","6602",$J295)))</f>
        <v/>
      </c>
      <c r="V295" s="49" t="str">
        <f aca="false">IF($Q295="","","2202")</f>
        <v/>
      </c>
      <c r="W295" s="48" t="str">
        <f aca="false">IF($Q295="","",$Q295)</f>
        <v/>
      </c>
      <c r="X295" s="49" t="str">
        <f aca="false">IF(N($R295)=0,"","2221")</f>
        <v/>
      </c>
      <c r="Y295" s="49" t="str">
        <f aca="false">IF(N($R295)=0,"","2202")</f>
        <v/>
      </c>
      <c r="Z295" s="48" t="str">
        <f aca="false">IF(N($R295)=0,"",$R295)</f>
        <v/>
      </c>
      <c r="AA295" s="49" t="str">
        <f aca="false">IF(AND($D295=供应商对账单!$B$3,$B295&gt;=供应商对账单!$E$3,$B295&lt;=供应商对账单!$H$3),COUNTIFS($D$5:$D295,供应商对账单!$B$3,$B$5:$B295,"&gt;="&amp;供应商对账单!$E$3,$B$5:$B295,"&lt;="&amp;供应商对账单!$H$3),"")</f>
        <v/>
      </c>
    </row>
    <row r="296" customFormat="false" ht="15.75" hidden="false" customHeight="true" outlineLevel="0" collapsed="false">
      <c r="A296" s="42" t="str">
        <f aca="false">IF($B296="","","CG"&amp;TEXT($B296,"yyyymm")&amp;"-"&amp;TEXT(ROW()-4,"000"))</f>
        <v/>
      </c>
      <c r="B296" s="41"/>
      <c r="C296" s="42" t="str">
        <f aca="false">IF($B296="","",TEXT($B296,"yyyy-mm"))</f>
        <v/>
      </c>
      <c r="D296" s="32"/>
      <c r="E296" s="36"/>
      <c r="F296" s="43"/>
      <c r="G296" s="40"/>
      <c r="H296" s="51"/>
      <c r="I296" s="33"/>
      <c r="J296" s="31"/>
      <c r="K296" s="33"/>
      <c r="L296" s="33"/>
      <c r="M296" s="36"/>
      <c r="N296" s="47" t="str">
        <f aca="false">IF($B296="","",IF(NOT(ISNUMBER($B296)),"日期不是日期格式",IF(YEAR($B296)&lt;&gt;首页!$B$3,"不在会计年度",IF($D296="","未选供应商",IF(ISNA(MATCH($D296,基础资料!$AF$6:$AF$155,0)),"供应商不在档案",IF($E296="","未填商品或内容",IF(NOT(ISNUMBER($F296)),"数量须为数字",IF(NOT(ISNUMBER($G296)),"单价须为数字",IF(N($F296)&lt;=0,"数量须大于0",IF($I296="","请选是否入库",IF(AND($I296="是",ISNA(MATCH($E296,基础资料!$Q$6:$Q$205,0))),"入库商品必须在商品档案中",IF(AND($I296="否",$J296&lt;&gt;"",ISNA(MATCH($J296,科目参数!$A$6:$A$125,0))),"费用科目不存在","√"))))))))))))</f>
        <v/>
      </c>
      <c r="O296" s="49" t="str">
        <f aca="false">IF($E296="","",IFERROR(INDEX(基础资料!$R$6:$R$205,MATCH($E296,基础资料!$Q$6:$Q$205,0)),""))</f>
        <v/>
      </c>
      <c r="P296" s="49" t="str">
        <f aca="false">IF($E296="","",IFERROR(INDEX(基础资料!$S$6:$S$205,MATCH($E296,基础资料!$Q$6:$Q$205,0)),""))</f>
        <v/>
      </c>
      <c r="Q296" s="48" t="str">
        <f aca="false">IF(OR($F296="",$G296=""),"",ROUND(N($F296)*N($G296),2))</f>
        <v/>
      </c>
      <c r="R296" s="48" t="str">
        <f aca="false">IF($Q296="","",ROUND(N($Q296)*N($H296),2))</f>
        <v/>
      </c>
      <c r="S296" s="48" t="str">
        <f aca="false">IF($Q296="","",N($Q296)+N($R296))</f>
        <v/>
      </c>
      <c r="T296" s="52" t="str">
        <f aca="false">IF(OR($B296="",$D296=""),"",$B296+N(IFERROR(INDEX(基础资料!$AH$6:$AH$155,MATCH($D296,基础资料!$AF$6:$AF$155,0)),0)))</f>
        <v/>
      </c>
      <c r="U296" s="49" t="str">
        <f aca="false">IF($Q296="","",IF($I296="是","1405",IF($J296="","6602",$J296)))</f>
        <v/>
      </c>
      <c r="V296" s="49" t="str">
        <f aca="false">IF($Q296="","","2202")</f>
        <v/>
      </c>
      <c r="W296" s="48" t="str">
        <f aca="false">IF($Q296="","",$Q296)</f>
        <v/>
      </c>
      <c r="X296" s="49" t="str">
        <f aca="false">IF(N($R296)=0,"","2221")</f>
        <v/>
      </c>
      <c r="Y296" s="49" t="str">
        <f aca="false">IF(N($R296)=0,"","2202")</f>
        <v/>
      </c>
      <c r="Z296" s="48" t="str">
        <f aca="false">IF(N($R296)=0,"",$R296)</f>
        <v/>
      </c>
      <c r="AA296" s="49" t="str">
        <f aca="false">IF(AND($D296=供应商对账单!$B$3,$B296&gt;=供应商对账单!$E$3,$B296&lt;=供应商对账单!$H$3),COUNTIFS($D$5:$D296,供应商对账单!$B$3,$B$5:$B296,"&gt;="&amp;供应商对账单!$E$3,$B$5:$B296,"&lt;="&amp;供应商对账单!$H$3),"")</f>
        <v/>
      </c>
    </row>
    <row r="297" customFormat="false" ht="15.75" hidden="false" customHeight="true" outlineLevel="0" collapsed="false">
      <c r="A297" s="42" t="str">
        <f aca="false">IF($B297="","","CG"&amp;TEXT($B297,"yyyymm")&amp;"-"&amp;TEXT(ROW()-4,"000"))</f>
        <v/>
      </c>
      <c r="B297" s="41"/>
      <c r="C297" s="42" t="str">
        <f aca="false">IF($B297="","",TEXT($B297,"yyyy-mm"))</f>
        <v/>
      </c>
      <c r="D297" s="32"/>
      <c r="E297" s="36"/>
      <c r="F297" s="43"/>
      <c r="G297" s="40"/>
      <c r="H297" s="51"/>
      <c r="I297" s="33"/>
      <c r="J297" s="31"/>
      <c r="K297" s="33"/>
      <c r="L297" s="33"/>
      <c r="M297" s="36"/>
      <c r="N297" s="47" t="str">
        <f aca="false">IF($B297="","",IF(NOT(ISNUMBER($B297)),"日期不是日期格式",IF(YEAR($B297)&lt;&gt;首页!$B$3,"不在会计年度",IF($D297="","未选供应商",IF(ISNA(MATCH($D297,基础资料!$AF$6:$AF$155,0)),"供应商不在档案",IF($E297="","未填商品或内容",IF(NOT(ISNUMBER($F297)),"数量须为数字",IF(NOT(ISNUMBER($G297)),"单价须为数字",IF(N($F297)&lt;=0,"数量须大于0",IF($I297="","请选是否入库",IF(AND($I297="是",ISNA(MATCH($E297,基础资料!$Q$6:$Q$205,0))),"入库商品必须在商品档案中",IF(AND($I297="否",$J297&lt;&gt;"",ISNA(MATCH($J297,科目参数!$A$6:$A$125,0))),"费用科目不存在","√"))))))))))))</f>
        <v/>
      </c>
      <c r="O297" s="49" t="str">
        <f aca="false">IF($E297="","",IFERROR(INDEX(基础资料!$R$6:$R$205,MATCH($E297,基础资料!$Q$6:$Q$205,0)),""))</f>
        <v/>
      </c>
      <c r="P297" s="49" t="str">
        <f aca="false">IF($E297="","",IFERROR(INDEX(基础资料!$S$6:$S$205,MATCH($E297,基础资料!$Q$6:$Q$205,0)),""))</f>
        <v/>
      </c>
      <c r="Q297" s="48" t="str">
        <f aca="false">IF(OR($F297="",$G297=""),"",ROUND(N($F297)*N($G297),2))</f>
        <v/>
      </c>
      <c r="R297" s="48" t="str">
        <f aca="false">IF($Q297="","",ROUND(N($Q297)*N($H297),2))</f>
        <v/>
      </c>
      <c r="S297" s="48" t="str">
        <f aca="false">IF($Q297="","",N($Q297)+N($R297))</f>
        <v/>
      </c>
      <c r="T297" s="52" t="str">
        <f aca="false">IF(OR($B297="",$D297=""),"",$B297+N(IFERROR(INDEX(基础资料!$AH$6:$AH$155,MATCH($D297,基础资料!$AF$6:$AF$155,0)),0)))</f>
        <v/>
      </c>
      <c r="U297" s="49" t="str">
        <f aca="false">IF($Q297="","",IF($I297="是","1405",IF($J297="","6602",$J297)))</f>
        <v/>
      </c>
      <c r="V297" s="49" t="str">
        <f aca="false">IF($Q297="","","2202")</f>
        <v/>
      </c>
      <c r="W297" s="48" t="str">
        <f aca="false">IF($Q297="","",$Q297)</f>
        <v/>
      </c>
      <c r="X297" s="49" t="str">
        <f aca="false">IF(N($R297)=0,"","2221")</f>
        <v/>
      </c>
      <c r="Y297" s="49" t="str">
        <f aca="false">IF(N($R297)=0,"","2202")</f>
        <v/>
      </c>
      <c r="Z297" s="48" t="str">
        <f aca="false">IF(N($R297)=0,"",$R297)</f>
        <v/>
      </c>
      <c r="AA297" s="49" t="str">
        <f aca="false">IF(AND($D297=供应商对账单!$B$3,$B297&gt;=供应商对账单!$E$3,$B297&lt;=供应商对账单!$H$3),COUNTIFS($D$5:$D297,供应商对账单!$B$3,$B$5:$B297,"&gt;="&amp;供应商对账单!$E$3,$B$5:$B297,"&lt;="&amp;供应商对账单!$H$3),"")</f>
        <v/>
      </c>
    </row>
    <row r="298" customFormat="false" ht="15.75" hidden="false" customHeight="true" outlineLevel="0" collapsed="false">
      <c r="A298" s="42" t="str">
        <f aca="false">IF($B298="","","CG"&amp;TEXT($B298,"yyyymm")&amp;"-"&amp;TEXT(ROW()-4,"000"))</f>
        <v/>
      </c>
      <c r="B298" s="41"/>
      <c r="C298" s="42" t="str">
        <f aca="false">IF($B298="","",TEXT($B298,"yyyy-mm"))</f>
        <v/>
      </c>
      <c r="D298" s="32"/>
      <c r="E298" s="36"/>
      <c r="F298" s="43"/>
      <c r="G298" s="40"/>
      <c r="H298" s="51"/>
      <c r="I298" s="33"/>
      <c r="J298" s="31"/>
      <c r="K298" s="33"/>
      <c r="L298" s="33"/>
      <c r="M298" s="36"/>
      <c r="N298" s="47" t="str">
        <f aca="false">IF($B298="","",IF(NOT(ISNUMBER($B298)),"日期不是日期格式",IF(YEAR($B298)&lt;&gt;首页!$B$3,"不在会计年度",IF($D298="","未选供应商",IF(ISNA(MATCH($D298,基础资料!$AF$6:$AF$155,0)),"供应商不在档案",IF($E298="","未填商品或内容",IF(NOT(ISNUMBER($F298)),"数量须为数字",IF(NOT(ISNUMBER($G298)),"单价须为数字",IF(N($F298)&lt;=0,"数量须大于0",IF($I298="","请选是否入库",IF(AND($I298="是",ISNA(MATCH($E298,基础资料!$Q$6:$Q$205,0))),"入库商品必须在商品档案中",IF(AND($I298="否",$J298&lt;&gt;"",ISNA(MATCH($J298,科目参数!$A$6:$A$125,0))),"费用科目不存在","√"))))))))))))</f>
        <v/>
      </c>
      <c r="O298" s="49" t="str">
        <f aca="false">IF($E298="","",IFERROR(INDEX(基础资料!$R$6:$R$205,MATCH($E298,基础资料!$Q$6:$Q$205,0)),""))</f>
        <v/>
      </c>
      <c r="P298" s="49" t="str">
        <f aca="false">IF($E298="","",IFERROR(INDEX(基础资料!$S$6:$S$205,MATCH($E298,基础资料!$Q$6:$Q$205,0)),""))</f>
        <v/>
      </c>
      <c r="Q298" s="48" t="str">
        <f aca="false">IF(OR($F298="",$G298=""),"",ROUND(N($F298)*N($G298),2))</f>
        <v/>
      </c>
      <c r="R298" s="48" t="str">
        <f aca="false">IF($Q298="","",ROUND(N($Q298)*N($H298),2))</f>
        <v/>
      </c>
      <c r="S298" s="48" t="str">
        <f aca="false">IF($Q298="","",N($Q298)+N($R298))</f>
        <v/>
      </c>
      <c r="T298" s="52" t="str">
        <f aca="false">IF(OR($B298="",$D298=""),"",$B298+N(IFERROR(INDEX(基础资料!$AH$6:$AH$155,MATCH($D298,基础资料!$AF$6:$AF$155,0)),0)))</f>
        <v/>
      </c>
      <c r="U298" s="49" t="str">
        <f aca="false">IF($Q298="","",IF($I298="是","1405",IF($J298="","6602",$J298)))</f>
        <v/>
      </c>
      <c r="V298" s="49" t="str">
        <f aca="false">IF($Q298="","","2202")</f>
        <v/>
      </c>
      <c r="W298" s="48" t="str">
        <f aca="false">IF($Q298="","",$Q298)</f>
        <v/>
      </c>
      <c r="X298" s="49" t="str">
        <f aca="false">IF(N($R298)=0,"","2221")</f>
        <v/>
      </c>
      <c r="Y298" s="49" t="str">
        <f aca="false">IF(N($R298)=0,"","2202")</f>
        <v/>
      </c>
      <c r="Z298" s="48" t="str">
        <f aca="false">IF(N($R298)=0,"",$R298)</f>
        <v/>
      </c>
      <c r="AA298" s="49" t="str">
        <f aca="false">IF(AND($D298=供应商对账单!$B$3,$B298&gt;=供应商对账单!$E$3,$B298&lt;=供应商对账单!$H$3),COUNTIFS($D$5:$D298,供应商对账单!$B$3,$B$5:$B298,"&gt;="&amp;供应商对账单!$E$3,$B$5:$B298,"&lt;="&amp;供应商对账单!$H$3),"")</f>
        <v/>
      </c>
    </row>
    <row r="299" customFormat="false" ht="15.75" hidden="false" customHeight="true" outlineLevel="0" collapsed="false">
      <c r="A299" s="42" t="str">
        <f aca="false">IF($B299="","","CG"&amp;TEXT($B299,"yyyymm")&amp;"-"&amp;TEXT(ROW()-4,"000"))</f>
        <v/>
      </c>
      <c r="B299" s="41"/>
      <c r="C299" s="42" t="str">
        <f aca="false">IF($B299="","",TEXT($B299,"yyyy-mm"))</f>
        <v/>
      </c>
      <c r="D299" s="32"/>
      <c r="E299" s="36"/>
      <c r="F299" s="43"/>
      <c r="G299" s="40"/>
      <c r="H299" s="51"/>
      <c r="I299" s="33"/>
      <c r="J299" s="31"/>
      <c r="K299" s="33"/>
      <c r="L299" s="33"/>
      <c r="M299" s="36"/>
      <c r="N299" s="47" t="str">
        <f aca="false">IF($B299="","",IF(NOT(ISNUMBER($B299)),"日期不是日期格式",IF(YEAR($B299)&lt;&gt;首页!$B$3,"不在会计年度",IF($D299="","未选供应商",IF(ISNA(MATCH($D299,基础资料!$AF$6:$AF$155,0)),"供应商不在档案",IF($E299="","未填商品或内容",IF(NOT(ISNUMBER($F299)),"数量须为数字",IF(NOT(ISNUMBER($G299)),"单价须为数字",IF(N($F299)&lt;=0,"数量须大于0",IF($I299="","请选是否入库",IF(AND($I299="是",ISNA(MATCH($E299,基础资料!$Q$6:$Q$205,0))),"入库商品必须在商品档案中",IF(AND($I299="否",$J299&lt;&gt;"",ISNA(MATCH($J299,科目参数!$A$6:$A$125,0))),"费用科目不存在","√"))))))))))))</f>
        <v/>
      </c>
      <c r="O299" s="49" t="str">
        <f aca="false">IF($E299="","",IFERROR(INDEX(基础资料!$R$6:$R$205,MATCH($E299,基础资料!$Q$6:$Q$205,0)),""))</f>
        <v/>
      </c>
      <c r="P299" s="49" t="str">
        <f aca="false">IF($E299="","",IFERROR(INDEX(基础资料!$S$6:$S$205,MATCH($E299,基础资料!$Q$6:$Q$205,0)),""))</f>
        <v/>
      </c>
      <c r="Q299" s="48" t="str">
        <f aca="false">IF(OR($F299="",$G299=""),"",ROUND(N($F299)*N($G299),2))</f>
        <v/>
      </c>
      <c r="R299" s="48" t="str">
        <f aca="false">IF($Q299="","",ROUND(N($Q299)*N($H299),2))</f>
        <v/>
      </c>
      <c r="S299" s="48" t="str">
        <f aca="false">IF($Q299="","",N($Q299)+N($R299))</f>
        <v/>
      </c>
      <c r="T299" s="52" t="str">
        <f aca="false">IF(OR($B299="",$D299=""),"",$B299+N(IFERROR(INDEX(基础资料!$AH$6:$AH$155,MATCH($D299,基础资料!$AF$6:$AF$155,0)),0)))</f>
        <v/>
      </c>
      <c r="U299" s="49" t="str">
        <f aca="false">IF($Q299="","",IF($I299="是","1405",IF($J299="","6602",$J299)))</f>
        <v/>
      </c>
      <c r="V299" s="49" t="str">
        <f aca="false">IF($Q299="","","2202")</f>
        <v/>
      </c>
      <c r="W299" s="48" t="str">
        <f aca="false">IF($Q299="","",$Q299)</f>
        <v/>
      </c>
      <c r="X299" s="49" t="str">
        <f aca="false">IF(N($R299)=0,"","2221")</f>
        <v/>
      </c>
      <c r="Y299" s="49" t="str">
        <f aca="false">IF(N($R299)=0,"","2202")</f>
        <v/>
      </c>
      <c r="Z299" s="48" t="str">
        <f aca="false">IF(N($R299)=0,"",$R299)</f>
        <v/>
      </c>
      <c r="AA299" s="49" t="str">
        <f aca="false">IF(AND($D299=供应商对账单!$B$3,$B299&gt;=供应商对账单!$E$3,$B299&lt;=供应商对账单!$H$3),COUNTIFS($D$5:$D299,供应商对账单!$B$3,$B$5:$B299,"&gt;="&amp;供应商对账单!$E$3,$B$5:$B299,"&lt;="&amp;供应商对账单!$H$3),"")</f>
        <v/>
      </c>
    </row>
    <row r="300" customFormat="false" ht="15.75" hidden="false" customHeight="true" outlineLevel="0" collapsed="false">
      <c r="A300" s="42" t="str">
        <f aca="false">IF($B300="","","CG"&amp;TEXT($B300,"yyyymm")&amp;"-"&amp;TEXT(ROW()-4,"000"))</f>
        <v/>
      </c>
      <c r="B300" s="41"/>
      <c r="C300" s="42" t="str">
        <f aca="false">IF($B300="","",TEXT($B300,"yyyy-mm"))</f>
        <v/>
      </c>
      <c r="D300" s="32"/>
      <c r="E300" s="36"/>
      <c r="F300" s="43"/>
      <c r="G300" s="40"/>
      <c r="H300" s="51"/>
      <c r="I300" s="33"/>
      <c r="J300" s="31"/>
      <c r="K300" s="33"/>
      <c r="L300" s="33"/>
      <c r="M300" s="36"/>
      <c r="N300" s="47" t="str">
        <f aca="false">IF($B300="","",IF(NOT(ISNUMBER($B300)),"日期不是日期格式",IF(YEAR($B300)&lt;&gt;首页!$B$3,"不在会计年度",IF($D300="","未选供应商",IF(ISNA(MATCH($D300,基础资料!$AF$6:$AF$155,0)),"供应商不在档案",IF($E300="","未填商品或内容",IF(NOT(ISNUMBER($F300)),"数量须为数字",IF(NOT(ISNUMBER($G300)),"单价须为数字",IF(N($F300)&lt;=0,"数量须大于0",IF($I300="","请选是否入库",IF(AND($I300="是",ISNA(MATCH($E300,基础资料!$Q$6:$Q$205,0))),"入库商品必须在商品档案中",IF(AND($I300="否",$J300&lt;&gt;"",ISNA(MATCH($J300,科目参数!$A$6:$A$125,0))),"费用科目不存在","√"))))))))))))</f>
        <v/>
      </c>
      <c r="O300" s="49" t="str">
        <f aca="false">IF($E300="","",IFERROR(INDEX(基础资料!$R$6:$R$205,MATCH($E300,基础资料!$Q$6:$Q$205,0)),""))</f>
        <v/>
      </c>
      <c r="P300" s="49" t="str">
        <f aca="false">IF($E300="","",IFERROR(INDEX(基础资料!$S$6:$S$205,MATCH($E300,基础资料!$Q$6:$Q$205,0)),""))</f>
        <v/>
      </c>
      <c r="Q300" s="48" t="str">
        <f aca="false">IF(OR($F300="",$G300=""),"",ROUND(N($F300)*N($G300),2))</f>
        <v/>
      </c>
      <c r="R300" s="48" t="str">
        <f aca="false">IF($Q300="","",ROUND(N($Q300)*N($H300),2))</f>
        <v/>
      </c>
      <c r="S300" s="48" t="str">
        <f aca="false">IF($Q300="","",N($Q300)+N($R300))</f>
        <v/>
      </c>
      <c r="T300" s="52" t="str">
        <f aca="false">IF(OR($B300="",$D300=""),"",$B300+N(IFERROR(INDEX(基础资料!$AH$6:$AH$155,MATCH($D300,基础资料!$AF$6:$AF$155,0)),0)))</f>
        <v/>
      </c>
      <c r="U300" s="49" t="str">
        <f aca="false">IF($Q300="","",IF($I300="是","1405",IF($J300="","6602",$J300)))</f>
        <v/>
      </c>
      <c r="V300" s="49" t="str">
        <f aca="false">IF($Q300="","","2202")</f>
        <v/>
      </c>
      <c r="W300" s="48" t="str">
        <f aca="false">IF($Q300="","",$Q300)</f>
        <v/>
      </c>
      <c r="X300" s="49" t="str">
        <f aca="false">IF(N($R300)=0,"","2221")</f>
        <v/>
      </c>
      <c r="Y300" s="49" t="str">
        <f aca="false">IF(N($R300)=0,"","2202")</f>
        <v/>
      </c>
      <c r="Z300" s="48" t="str">
        <f aca="false">IF(N($R300)=0,"",$R300)</f>
        <v/>
      </c>
      <c r="AA300" s="49" t="str">
        <f aca="false">IF(AND($D300=供应商对账单!$B$3,$B300&gt;=供应商对账单!$E$3,$B300&lt;=供应商对账单!$H$3),COUNTIFS($D$5:$D300,供应商对账单!$B$3,$B$5:$B300,"&gt;="&amp;供应商对账单!$E$3,$B$5:$B300,"&lt;="&amp;供应商对账单!$H$3),"")</f>
        <v/>
      </c>
    </row>
    <row r="301" customFormat="false" ht="15.75" hidden="false" customHeight="true" outlineLevel="0" collapsed="false">
      <c r="A301" s="42" t="str">
        <f aca="false">IF($B301="","","CG"&amp;TEXT($B301,"yyyymm")&amp;"-"&amp;TEXT(ROW()-4,"000"))</f>
        <v/>
      </c>
      <c r="B301" s="41"/>
      <c r="C301" s="42" t="str">
        <f aca="false">IF($B301="","",TEXT($B301,"yyyy-mm"))</f>
        <v/>
      </c>
      <c r="D301" s="32"/>
      <c r="E301" s="36"/>
      <c r="F301" s="43"/>
      <c r="G301" s="40"/>
      <c r="H301" s="51"/>
      <c r="I301" s="33"/>
      <c r="J301" s="31"/>
      <c r="K301" s="33"/>
      <c r="L301" s="33"/>
      <c r="M301" s="36"/>
      <c r="N301" s="47" t="str">
        <f aca="false">IF($B301="","",IF(NOT(ISNUMBER($B301)),"日期不是日期格式",IF(YEAR($B301)&lt;&gt;首页!$B$3,"不在会计年度",IF($D301="","未选供应商",IF(ISNA(MATCH($D301,基础资料!$AF$6:$AF$155,0)),"供应商不在档案",IF($E301="","未填商品或内容",IF(NOT(ISNUMBER($F301)),"数量须为数字",IF(NOT(ISNUMBER($G301)),"单价须为数字",IF(N($F301)&lt;=0,"数量须大于0",IF($I301="","请选是否入库",IF(AND($I301="是",ISNA(MATCH($E301,基础资料!$Q$6:$Q$205,0))),"入库商品必须在商品档案中",IF(AND($I301="否",$J301&lt;&gt;"",ISNA(MATCH($J301,科目参数!$A$6:$A$125,0))),"费用科目不存在","√"))))))))))))</f>
        <v/>
      </c>
      <c r="O301" s="49" t="str">
        <f aca="false">IF($E301="","",IFERROR(INDEX(基础资料!$R$6:$R$205,MATCH($E301,基础资料!$Q$6:$Q$205,0)),""))</f>
        <v/>
      </c>
      <c r="P301" s="49" t="str">
        <f aca="false">IF($E301="","",IFERROR(INDEX(基础资料!$S$6:$S$205,MATCH($E301,基础资料!$Q$6:$Q$205,0)),""))</f>
        <v/>
      </c>
      <c r="Q301" s="48" t="str">
        <f aca="false">IF(OR($F301="",$G301=""),"",ROUND(N($F301)*N($G301),2))</f>
        <v/>
      </c>
      <c r="R301" s="48" t="str">
        <f aca="false">IF($Q301="","",ROUND(N($Q301)*N($H301),2))</f>
        <v/>
      </c>
      <c r="S301" s="48" t="str">
        <f aca="false">IF($Q301="","",N($Q301)+N($R301))</f>
        <v/>
      </c>
      <c r="T301" s="52" t="str">
        <f aca="false">IF(OR($B301="",$D301=""),"",$B301+N(IFERROR(INDEX(基础资料!$AH$6:$AH$155,MATCH($D301,基础资料!$AF$6:$AF$155,0)),0)))</f>
        <v/>
      </c>
      <c r="U301" s="49" t="str">
        <f aca="false">IF($Q301="","",IF($I301="是","1405",IF($J301="","6602",$J301)))</f>
        <v/>
      </c>
      <c r="V301" s="49" t="str">
        <f aca="false">IF($Q301="","","2202")</f>
        <v/>
      </c>
      <c r="W301" s="48" t="str">
        <f aca="false">IF($Q301="","",$Q301)</f>
        <v/>
      </c>
      <c r="X301" s="49" t="str">
        <f aca="false">IF(N($R301)=0,"","2221")</f>
        <v/>
      </c>
      <c r="Y301" s="49" t="str">
        <f aca="false">IF(N($R301)=0,"","2202")</f>
        <v/>
      </c>
      <c r="Z301" s="48" t="str">
        <f aca="false">IF(N($R301)=0,"",$R301)</f>
        <v/>
      </c>
      <c r="AA301" s="49" t="str">
        <f aca="false">IF(AND($D301=供应商对账单!$B$3,$B301&gt;=供应商对账单!$E$3,$B301&lt;=供应商对账单!$H$3),COUNTIFS($D$5:$D301,供应商对账单!$B$3,$B$5:$B301,"&gt;="&amp;供应商对账单!$E$3,$B$5:$B301,"&lt;="&amp;供应商对账单!$H$3),"")</f>
        <v/>
      </c>
    </row>
    <row r="302" customFormat="false" ht="15.75" hidden="false" customHeight="true" outlineLevel="0" collapsed="false">
      <c r="A302" s="42" t="str">
        <f aca="false">IF($B302="","","CG"&amp;TEXT($B302,"yyyymm")&amp;"-"&amp;TEXT(ROW()-4,"000"))</f>
        <v/>
      </c>
      <c r="B302" s="41"/>
      <c r="C302" s="42" t="str">
        <f aca="false">IF($B302="","",TEXT($B302,"yyyy-mm"))</f>
        <v/>
      </c>
      <c r="D302" s="32"/>
      <c r="E302" s="36"/>
      <c r="F302" s="43"/>
      <c r="G302" s="40"/>
      <c r="H302" s="51"/>
      <c r="I302" s="33"/>
      <c r="J302" s="31"/>
      <c r="K302" s="33"/>
      <c r="L302" s="33"/>
      <c r="M302" s="36"/>
      <c r="N302" s="47" t="str">
        <f aca="false">IF($B302="","",IF(NOT(ISNUMBER($B302)),"日期不是日期格式",IF(YEAR($B302)&lt;&gt;首页!$B$3,"不在会计年度",IF($D302="","未选供应商",IF(ISNA(MATCH($D302,基础资料!$AF$6:$AF$155,0)),"供应商不在档案",IF($E302="","未填商品或内容",IF(NOT(ISNUMBER($F302)),"数量须为数字",IF(NOT(ISNUMBER($G302)),"单价须为数字",IF(N($F302)&lt;=0,"数量须大于0",IF($I302="","请选是否入库",IF(AND($I302="是",ISNA(MATCH($E302,基础资料!$Q$6:$Q$205,0))),"入库商品必须在商品档案中",IF(AND($I302="否",$J302&lt;&gt;"",ISNA(MATCH($J302,科目参数!$A$6:$A$125,0))),"费用科目不存在","√"))))))))))))</f>
        <v/>
      </c>
      <c r="O302" s="49" t="str">
        <f aca="false">IF($E302="","",IFERROR(INDEX(基础资料!$R$6:$R$205,MATCH($E302,基础资料!$Q$6:$Q$205,0)),""))</f>
        <v/>
      </c>
      <c r="P302" s="49" t="str">
        <f aca="false">IF($E302="","",IFERROR(INDEX(基础资料!$S$6:$S$205,MATCH($E302,基础资料!$Q$6:$Q$205,0)),""))</f>
        <v/>
      </c>
      <c r="Q302" s="48" t="str">
        <f aca="false">IF(OR($F302="",$G302=""),"",ROUND(N($F302)*N($G302),2))</f>
        <v/>
      </c>
      <c r="R302" s="48" t="str">
        <f aca="false">IF($Q302="","",ROUND(N($Q302)*N($H302),2))</f>
        <v/>
      </c>
      <c r="S302" s="48" t="str">
        <f aca="false">IF($Q302="","",N($Q302)+N($R302))</f>
        <v/>
      </c>
      <c r="T302" s="52" t="str">
        <f aca="false">IF(OR($B302="",$D302=""),"",$B302+N(IFERROR(INDEX(基础资料!$AH$6:$AH$155,MATCH($D302,基础资料!$AF$6:$AF$155,0)),0)))</f>
        <v/>
      </c>
      <c r="U302" s="49" t="str">
        <f aca="false">IF($Q302="","",IF($I302="是","1405",IF($J302="","6602",$J302)))</f>
        <v/>
      </c>
      <c r="V302" s="49" t="str">
        <f aca="false">IF($Q302="","","2202")</f>
        <v/>
      </c>
      <c r="W302" s="48" t="str">
        <f aca="false">IF($Q302="","",$Q302)</f>
        <v/>
      </c>
      <c r="X302" s="49" t="str">
        <f aca="false">IF(N($R302)=0,"","2221")</f>
        <v/>
      </c>
      <c r="Y302" s="49" t="str">
        <f aca="false">IF(N($R302)=0,"","2202")</f>
        <v/>
      </c>
      <c r="Z302" s="48" t="str">
        <f aca="false">IF(N($R302)=0,"",$R302)</f>
        <v/>
      </c>
      <c r="AA302" s="49" t="str">
        <f aca="false">IF(AND($D302=供应商对账单!$B$3,$B302&gt;=供应商对账单!$E$3,$B302&lt;=供应商对账单!$H$3),COUNTIFS($D$5:$D302,供应商对账单!$B$3,$B$5:$B302,"&gt;="&amp;供应商对账单!$E$3,$B$5:$B302,"&lt;="&amp;供应商对账单!$H$3),"")</f>
        <v/>
      </c>
    </row>
    <row r="303" customFormat="false" ht="15.75" hidden="false" customHeight="true" outlineLevel="0" collapsed="false">
      <c r="A303" s="42" t="str">
        <f aca="false">IF($B303="","","CG"&amp;TEXT($B303,"yyyymm")&amp;"-"&amp;TEXT(ROW()-4,"000"))</f>
        <v/>
      </c>
      <c r="B303" s="41"/>
      <c r="C303" s="42" t="str">
        <f aca="false">IF($B303="","",TEXT($B303,"yyyy-mm"))</f>
        <v/>
      </c>
      <c r="D303" s="32"/>
      <c r="E303" s="36"/>
      <c r="F303" s="43"/>
      <c r="G303" s="40"/>
      <c r="H303" s="51"/>
      <c r="I303" s="33"/>
      <c r="J303" s="31"/>
      <c r="K303" s="33"/>
      <c r="L303" s="33"/>
      <c r="M303" s="36"/>
      <c r="N303" s="47" t="str">
        <f aca="false">IF($B303="","",IF(NOT(ISNUMBER($B303)),"日期不是日期格式",IF(YEAR($B303)&lt;&gt;首页!$B$3,"不在会计年度",IF($D303="","未选供应商",IF(ISNA(MATCH($D303,基础资料!$AF$6:$AF$155,0)),"供应商不在档案",IF($E303="","未填商品或内容",IF(NOT(ISNUMBER($F303)),"数量须为数字",IF(NOT(ISNUMBER($G303)),"单价须为数字",IF(N($F303)&lt;=0,"数量须大于0",IF($I303="","请选是否入库",IF(AND($I303="是",ISNA(MATCH($E303,基础资料!$Q$6:$Q$205,0))),"入库商品必须在商品档案中",IF(AND($I303="否",$J303&lt;&gt;"",ISNA(MATCH($J303,科目参数!$A$6:$A$125,0))),"费用科目不存在","√"))))))))))))</f>
        <v/>
      </c>
      <c r="O303" s="49" t="str">
        <f aca="false">IF($E303="","",IFERROR(INDEX(基础资料!$R$6:$R$205,MATCH($E303,基础资料!$Q$6:$Q$205,0)),""))</f>
        <v/>
      </c>
      <c r="P303" s="49" t="str">
        <f aca="false">IF($E303="","",IFERROR(INDEX(基础资料!$S$6:$S$205,MATCH($E303,基础资料!$Q$6:$Q$205,0)),""))</f>
        <v/>
      </c>
      <c r="Q303" s="48" t="str">
        <f aca="false">IF(OR($F303="",$G303=""),"",ROUND(N($F303)*N($G303),2))</f>
        <v/>
      </c>
      <c r="R303" s="48" t="str">
        <f aca="false">IF($Q303="","",ROUND(N($Q303)*N($H303),2))</f>
        <v/>
      </c>
      <c r="S303" s="48" t="str">
        <f aca="false">IF($Q303="","",N($Q303)+N($R303))</f>
        <v/>
      </c>
      <c r="T303" s="52" t="str">
        <f aca="false">IF(OR($B303="",$D303=""),"",$B303+N(IFERROR(INDEX(基础资料!$AH$6:$AH$155,MATCH($D303,基础资料!$AF$6:$AF$155,0)),0)))</f>
        <v/>
      </c>
      <c r="U303" s="49" t="str">
        <f aca="false">IF($Q303="","",IF($I303="是","1405",IF($J303="","6602",$J303)))</f>
        <v/>
      </c>
      <c r="V303" s="49" t="str">
        <f aca="false">IF($Q303="","","2202")</f>
        <v/>
      </c>
      <c r="W303" s="48" t="str">
        <f aca="false">IF($Q303="","",$Q303)</f>
        <v/>
      </c>
      <c r="X303" s="49" t="str">
        <f aca="false">IF(N($R303)=0,"","2221")</f>
        <v/>
      </c>
      <c r="Y303" s="49" t="str">
        <f aca="false">IF(N($R303)=0,"","2202")</f>
        <v/>
      </c>
      <c r="Z303" s="48" t="str">
        <f aca="false">IF(N($R303)=0,"",$R303)</f>
        <v/>
      </c>
      <c r="AA303" s="49" t="str">
        <f aca="false">IF(AND($D303=供应商对账单!$B$3,$B303&gt;=供应商对账单!$E$3,$B303&lt;=供应商对账单!$H$3),COUNTIFS($D$5:$D303,供应商对账单!$B$3,$B$5:$B303,"&gt;="&amp;供应商对账单!$E$3,$B$5:$B303,"&lt;="&amp;供应商对账单!$H$3),"")</f>
        <v/>
      </c>
    </row>
    <row r="304" customFormat="false" ht="15.75" hidden="false" customHeight="true" outlineLevel="0" collapsed="false">
      <c r="A304" s="42" t="str">
        <f aca="false">IF($B304="","","CG"&amp;TEXT($B304,"yyyymm")&amp;"-"&amp;TEXT(ROW()-4,"000"))</f>
        <v/>
      </c>
      <c r="B304" s="41"/>
      <c r="C304" s="42" t="str">
        <f aca="false">IF($B304="","",TEXT($B304,"yyyy-mm"))</f>
        <v/>
      </c>
      <c r="D304" s="32"/>
      <c r="E304" s="36"/>
      <c r="F304" s="43"/>
      <c r="G304" s="40"/>
      <c r="H304" s="51"/>
      <c r="I304" s="33"/>
      <c r="J304" s="31"/>
      <c r="K304" s="33"/>
      <c r="L304" s="33"/>
      <c r="M304" s="36"/>
      <c r="N304" s="47" t="str">
        <f aca="false">IF($B304="","",IF(NOT(ISNUMBER($B304)),"日期不是日期格式",IF(YEAR($B304)&lt;&gt;首页!$B$3,"不在会计年度",IF($D304="","未选供应商",IF(ISNA(MATCH($D304,基础资料!$AF$6:$AF$155,0)),"供应商不在档案",IF($E304="","未填商品或内容",IF(NOT(ISNUMBER($F304)),"数量须为数字",IF(NOT(ISNUMBER($G304)),"单价须为数字",IF(N($F304)&lt;=0,"数量须大于0",IF($I304="","请选是否入库",IF(AND($I304="是",ISNA(MATCH($E304,基础资料!$Q$6:$Q$205,0))),"入库商品必须在商品档案中",IF(AND($I304="否",$J304&lt;&gt;"",ISNA(MATCH($J304,科目参数!$A$6:$A$125,0))),"费用科目不存在","√"))))))))))))</f>
        <v/>
      </c>
      <c r="O304" s="49" t="str">
        <f aca="false">IF($E304="","",IFERROR(INDEX(基础资料!$R$6:$R$205,MATCH($E304,基础资料!$Q$6:$Q$205,0)),""))</f>
        <v/>
      </c>
      <c r="P304" s="49" t="str">
        <f aca="false">IF($E304="","",IFERROR(INDEX(基础资料!$S$6:$S$205,MATCH($E304,基础资料!$Q$6:$Q$205,0)),""))</f>
        <v/>
      </c>
      <c r="Q304" s="48" t="str">
        <f aca="false">IF(OR($F304="",$G304=""),"",ROUND(N($F304)*N($G304),2))</f>
        <v/>
      </c>
      <c r="R304" s="48" t="str">
        <f aca="false">IF($Q304="","",ROUND(N($Q304)*N($H304),2))</f>
        <v/>
      </c>
      <c r="S304" s="48" t="str">
        <f aca="false">IF($Q304="","",N($Q304)+N($R304))</f>
        <v/>
      </c>
      <c r="T304" s="52" t="str">
        <f aca="false">IF(OR($B304="",$D304=""),"",$B304+N(IFERROR(INDEX(基础资料!$AH$6:$AH$155,MATCH($D304,基础资料!$AF$6:$AF$155,0)),0)))</f>
        <v/>
      </c>
      <c r="U304" s="49" t="str">
        <f aca="false">IF($Q304="","",IF($I304="是","1405",IF($J304="","6602",$J304)))</f>
        <v/>
      </c>
      <c r="V304" s="49" t="str">
        <f aca="false">IF($Q304="","","2202")</f>
        <v/>
      </c>
      <c r="W304" s="48" t="str">
        <f aca="false">IF($Q304="","",$Q304)</f>
        <v/>
      </c>
      <c r="X304" s="49" t="str">
        <f aca="false">IF(N($R304)=0,"","2221")</f>
        <v/>
      </c>
      <c r="Y304" s="49" t="str">
        <f aca="false">IF(N($R304)=0,"","2202")</f>
        <v/>
      </c>
      <c r="Z304" s="48" t="str">
        <f aca="false">IF(N($R304)=0,"",$R304)</f>
        <v/>
      </c>
      <c r="AA304" s="49" t="str">
        <f aca="false">IF(AND($D304=供应商对账单!$B$3,$B304&gt;=供应商对账单!$E$3,$B304&lt;=供应商对账单!$H$3),COUNTIFS($D$5:$D304,供应商对账单!$B$3,$B$5:$B304,"&gt;="&amp;供应商对账单!$E$3,$B$5:$B304,"&lt;="&amp;供应商对账单!$H$3),"")</f>
        <v/>
      </c>
    </row>
    <row r="305" customFormat="false" ht="15.75" hidden="false" customHeight="true" outlineLevel="0" collapsed="false">
      <c r="A305" s="42" t="str">
        <f aca="false">IF($B305="","","CG"&amp;TEXT($B305,"yyyymm")&amp;"-"&amp;TEXT(ROW()-4,"000"))</f>
        <v/>
      </c>
      <c r="B305" s="41"/>
      <c r="C305" s="42" t="str">
        <f aca="false">IF($B305="","",TEXT($B305,"yyyy-mm"))</f>
        <v/>
      </c>
      <c r="D305" s="32"/>
      <c r="E305" s="36"/>
      <c r="F305" s="43"/>
      <c r="G305" s="40"/>
      <c r="H305" s="51"/>
      <c r="I305" s="33"/>
      <c r="J305" s="31"/>
      <c r="K305" s="33"/>
      <c r="L305" s="33"/>
      <c r="M305" s="36"/>
      <c r="N305" s="47" t="str">
        <f aca="false">IF($B305="","",IF(NOT(ISNUMBER($B305)),"日期不是日期格式",IF(YEAR($B305)&lt;&gt;首页!$B$3,"不在会计年度",IF($D305="","未选供应商",IF(ISNA(MATCH($D305,基础资料!$AF$6:$AF$155,0)),"供应商不在档案",IF($E305="","未填商品或内容",IF(NOT(ISNUMBER($F305)),"数量须为数字",IF(NOT(ISNUMBER($G305)),"单价须为数字",IF(N($F305)&lt;=0,"数量须大于0",IF($I305="","请选是否入库",IF(AND($I305="是",ISNA(MATCH($E305,基础资料!$Q$6:$Q$205,0))),"入库商品必须在商品档案中",IF(AND($I305="否",$J305&lt;&gt;"",ISNA(MATCH($J305,科目参数!$A$6:$A$125,0))),"费用科目不存在","√"))))))))))))</f>
        <v/>
      </c>
      <c r="O305" s="49" t="str">
        <f aca="false">IF($E305="","",IFERROR(INDEX(基础资料!$R$6:$R$205,MATCH($E305,基础资料!$Q$6:$Q$205,0)),""))</f>
        <v/>
      </c>
      <c r="P305" s="49" t="str">
        <f aca="false">IF($E305="","",IFERROR(INDEX(基础资料!$S$6:$S$205,MATCH($E305,基础资料!$Q$6:$Q$205,0)),""))</f>
        <v/>
      </c>
      <c r="Q305" s="48" t="str">
        <f aca="false">IF(OR($F305="",$G305=""),"",ROUND(N($F305)*N($G305),2))</f>
        <v/>
      </c>
      <c r="R305" s="48" t="str">
        <f aca="false">IF($Q305="","",ROUND(N($Q305)*N($H305),2))</f>
        <v/>
      </c>
      <c r="S305" s="48" t="str">
        <f aca="false">IF($Q305="","",N($Q305)+N($R305))</f>
        <v/>
      </c>
      <c r="T305" s="52" t="str">
        <f aca="false">IF(OR($B305="",$D305=""),"",$B305+N(IFERROR(INDEX(基础资料!$AH$6:$AH$155,MATCH($D305,基础资料!$AF$6:$AF$155,0)),0)))</f>
        <v/>
      </c>
      <c r="U305" s="49" t="str">
        <f aca="false">IF($Q305="","",IF($I305="是","1405",IF($J305="","6602",$J305)))</f>
        <v/>
      </c>
      <c r="V305" s="49" t="str">
        <f aca="false">IF($Q305="","","2202")</f>
        <v/>
      </c>
      <c r="W305" s="48" t="str">
        <f aca="false">IF($Q305="","",$Q305)</f>
        <v/>
      </c>
      <c r="X305" s="49" t="str">
        <f aca="false">IF(N($R305)=0,"","2221")</f>
        <v/>
      </c>
      <c r="Y305" s="49" t="str">
        <f aca="false">IF(N($R305)=0,"","2202")</f>
        <v/>
      </c>
      <c r="Z305" s="48" t="str">
        <f aca="false">IF(N($R305)=0,"",$R305)</f>
        <v/>
      </c>
      <c r="AA305" s="49" t="str">
        <f aca="false">IF(AND($D305=供应商对账单!$B$3,$B305&gt;=供应商对账单!$E$3,$B305&lt;=供应商对账单!$H$3),COUNTIFS($D$5:$D305,供应商对账单!$B$3,$B$5:$B305,"&gt;="&amp;供应商对账单!$E$3,$B$5:$B305,"&lt;="&amp;供应商对账单!$H$3),"")</f>
        <v/>
      </c>
    </row>
    <row r="306" customFormat="false" ht="15.75" hidden="false" customHeight="true" outlineLevel="0" collapsed="false">
      <c r="A306" s="42" t="str">
        <f aca="false">IF($B306="","","CG"&amp;TEXT($B306,"yyyymm")&amp;"-"&amp;TEXT(ROW()-4,"000"))</f>
        <v/>
      </c>
      <c r="B306" s="41"/>
      <c r="C306" s="42" t="str">
        <f aca="false">IF($B306="","",TEXT($B306,"yyyy-mm"))</f>
        <v/>
      </c>
      <c r="D306" s="32"/>
      <c r="E306" s="36"/>
      <c r="F306" s="43"/>
      <c r="G306" s="40"/>
      <c r="H306" s="51"/>
      <c r="I306" s="33"/>
      <c r="J306" s="31"/>
      <c r="K306" s="33"/>
      <c r="L306" s="33"/>
      <c r="M306" s="36"/>
      <c r="N306" s="47" t="str">
        <f aca="false">IF($B306="","",IF(NOT(ISNUMBER($B306)),"日期不是日期格式",IF(YEAR($B306)&lt;&gt;首页!$B$3,"不在会计年度",IF($D306="","未选供应商",IF(ISNA(MATCH($D306,基础资料!$AF$6:$AF$155,0)),"供应商不在档案",IF($E306="","未填商品或内容",IF(NOT(ISNUMBER($F306)),"数量须为数字",IF(NOT(ISNUMBER($G306)),"单价须为数字",IF(N($F306)&lt;=0,"数量须大于0",IF($I306="","请选是否入库",IF(AND($I306="是",ISNA(MATCH($E306,基础资料!$Q$6:$Q$205,0))),"入库商品必须在商品档案中",IF(AND($I306="否",$J306&lt;&gt;"",ISNA(MATCH($J306,科目参数!$A$6:$A$125,0))),"费用科目不存在","√"))))))))))))</f>
        <v/>
      </c>
      <c r="O306" s="49" t="str">
        <f aca="false">IF($E306="","",IFERROR(INDEX(基础资料!$R$6:$R$205,MATCH($E306,基础资料!$Q$6:$Q$205,0)),""))</f>
        <v/>
      </c>
      <c r="P306" s="49" t="str">
        <f aca="false">IF($E306="","",IFERROR(INDEX(基础资料!$S$6:$S$205,MATCH($E306,基础资料!$Q$6:$Q$205,0)),""))</f>
        <v/>
      </c>
      <c r="Q306" s="48" t="str">
        <f aca="false">IF(OR($F306="",$G306=""),"",ROUND(N($F306)*N($G306),2))</f>
        <v/>
      </c>
      <c r="R306" s="48" t="str">
        <f aca="false">IF($Q306="","",ROUND(N($Q306)*N($H306),2))</f>
        <v/>
      </c>
      <c r="S306" s="48" t="str">
        <f aca="false">IF($Q306="","",N($Q306)+N($R306))</f>
        <v/>
      </c>
      <c r="T306" s="52" t="str">
        <f aca="false">IF(OR($B306="",$D306=""),"",$B306+N(IFERROR(INDEX(基础资料!$AH$6:$AH$155,MATCH($D306,基础资料!$AF$6:$AF$155,0)),0)))</f>
        <v/>
      </c>
      <c r="U306" s="49" t="str">
        <f aca="false">IF($Q306="","",IF($I306="是","1405",IF($J306="","6602",$J306)))</f>
        <v/>
      </c>
      <c r="V306" s="49" t="str">
        <f aca="false">IF($Q306="","","2202")</f>
        <v/>
      </c>
      <c r="W306" s="48" t="str">
        <f aca="false">IF($Q306="","",$Q306)</f>
        <v/>
      </c>
      <c r="X306" s="49" t="str">
        <f aca="false">IF(N($R306)=0,"","2221")</f>
        <v/>
      </c>
      <c r="Y306" s="49" t="str">
        <f aca="false">IF(N($R306)=0,"","2202")</f>
        <v/>
      </c>
      <c r="Z306" s="48" t="str">
        <f aca="false">IF(N($R306)=0,"",$R306)</f>
        <v/>
      </c>
      <c r="AA306" s="49" t="str">
        <f aca="false">IF(AND($D306=供应商对账单!$B$3,$B306&gt;=供应商对账单!$E$3,$B306&lt;=供应商对账单!$H$3),COUNTIFS($D$5:$D306,供应商对账单!$B$3,$B$5:$B306,"&gt;="&amp;供应商对账单!$E$3,$B$5:$B306,"&lt;="&amp;供应商对账单!$H$3),"")</f>
        <v/>
      </c>
    </row>
    <row r="307" customFormat="false" ht="15.75" hidden="false" customHeight="true" outlineLevel="0" collapsed="false">
      <c r="A307" s="42" t="str">
        <f aca="false">IF($B307="","","CG"&amp;TEXT($B307,"yyyymm")&amp;"-"&amp;TEXT(ROW()-4,"000"))</f>
        <v/>
      </c>
      <c r="B307" s="41"/>
      <c r="C307" s="42" t="str">
        <f aca="false">IF($B307="","",TEXT($B307,"yyyy-mm"))</f>
        <v/>
      </c>
      <c r="D307" s="32"/>
      <c r="E307" s="36"/>
      <c r="F307" s="43"/>
      <c r="G307" s="40"/>
      <c r="H307" s="51"/>
      <c r="I307" s="33"/>
      <c r="J307" s="31"/>
      <c r="K307" s="33"/>
      <c r="L307" s="33"/>
      <c r="M307" s="36"/>
      <c r="N307" s="47" t="str">
        <f aca="false">IF($B307="","",IF(NOT(ISNUMBER($B307)),"日期不是日期格式",IF(YEAR($B307)&lt;&gt;首页!$B$3,"不在会计年度",IF($D307="","未选供应商",IF(ISNA(MATCH($D307,基础资料!$AF$6:$AF$155,0)),"供应商不在档案",IF($E307="","未填商品或内容",IF(NOT(ISNUMBER($F307)),"数量须为数字",IF(NOT(ISNUMBER($G307)),"单价须为数字",IF(N($F307)&lt;=0,"数量须大于0",IF($I307="","请选是否入库",IF(AND($I307="是",ISNA(MATCH($E307,基础资料!$Q$6:$Q$205,0))),"入库商品必须在商品档案中",IF(AND($I307="否",$J307&lt;&gt;"",ISNA(MATCH($J307,科目参数!$A$6:$A$125,0))),"费用科目不存在","√"))))))))))))</f>
        <v/>
      </c>
      <c r="O307" s="49" t="str">
        <f aca="false">IF($E307="","",IFERROR(INDEX(基础资料!$R$6:$R$205,MATCH($E307,基础资料!$Q$6:$Q$205,0)),""))</f>
        <v/>
      </c>
      <c r="P307" s="49" t="str">
        <f aca="false">IF($E307="","",IFERROR(INDEX(基础资料!$S$6:$S$205,MATCH($E307,基础资料!$Q$6:$Q$205,0)),""))</f>
        <v/>
      </c>
      <c r="Q307" s="48" t="str">
        <f aca="false">IF(OR($F307="",$G307=""),"",ROUND(N($F307)*N($G307),2))</f>
        <v/>
      </c>
      <c r="R307" s="48" t="str">
        <f aca="false">IF($Q307="","",ROUND(N($Q307)*N($H307),2))</f>
        <v/>
      </c>
      <c r="S307" s="48" t="str">
        <f aca="false">IF($Q307="","",N($Q307)+N($R307))</f>
        <v/>
      </c>
      <c r="T307" s="52" t="str">
        <f aca="false">IF(OR($B307="",$D307=""),"",$B307+N(IFERROR(INDEX(基础资料!$AH$6:$AH$155,MATCH($D307,基础资料!$AF$6:$AF$155,0)),0)))</f>
        <v/>
      </c>
      <c r="U307" s="49" t="str">
        <f aca="false">IF($Q307="","",IF($I307="是","1405",IF($J307="","6602",$J307)))</f>
        <v/>
      </c>
      <c r="V307" s="49" t="str">
        <f aca="false">IF($Q307="","","2202")</f>
        <v/>
      </c>
      <c r="W307" s="48" t="str">
        <f aca="false">IF($Q307="","",$Q307)</f>
        <v/>
      </c>
      <c r="X307" s="49" t="str">
        <f aca="false">IF(N($R307)=0,"","2221")</f>
        <v/>
      </c>
      <c r="Y307" s="49" t="str">
        <f aca="false">IF(N($R307)=0,"","2202")</f>
        <v/>
      </c>
      <c r="Z307" s="48" t="str">
        <f aca="false">IF(N($R307)=0,"",$R307)</f>
        <v/>
      </c>
      <c r="AA307" s="49" t="str">
        <f aca="false">IF(AND($D307=供应商对账单!$B$3,$B307&gt;=供应商对账单!$E$3,$B307&lt;=供应商对账单!$H$3),COUNTIFS($D$5:$D307,供应商对账单!$B$3,$B$5:$B307,"&gt;="&amp;供应商对账单!$E$3,$B$5:$B307,"&lt;="&amp;供应商对账单!$H$3),"")</f>
        <v/>
      </c>
    </row>
    <row r="308" customFormat="false" ht="15.75" hidden="false" customHeight="true" outlineLevel="0" collapsed="false">
      <c r="A308" s="42" t="str">
        <f aca="false">IF($B308="","","CG"&amp;TEXT($B308,"yyyymm")&amp;"-"&amp;TEXT(ROW()-4,"000"))</f>
        <v/>
      </c>
      <c r="B308" s="41"/>
      <c r="C308" s="42" t="str">
        <f aca="false">IF($B308="","",TEXT($B308,"yyyy-mm"))</f>
        <v/>
      </c>
      <c r="D308" s="32"/>
      <c r="E308" s="36"/>
      <c r="F308" s="43"/>
      <c r="G308" s="40"/>
      <c r="H308" s="51"/>
      <c r="I308" s="33"/>
      <c r="J308" s="31"/>
      <c r="K308" s="33"/>
      <c r="L308" s="33"/>
      <c r="M308" s="36"/>
      <c r="N308" s="47" t="str">
        <f aca="false">IF($B308="","",IF(NOT(ISNUMBER($B308)),"日期不是日期格式",IF(YEAR($B308)&lt;&gt;首页!$B$3,"不在会计年度",IF($D308="","未选供应商",IF(ISNA(MATCH($D308,基础资料!$AF$6:$AF$155,0)),"供应商不在档案",IF($E308="","未填商品或内容",IF(NOT(ISNUMBER($F308)),"数量须为数字",IF(NOT(ISNUMBER($G308)),"单价须为数字",IF(N($F308)&lt;=0,"数量须大于0",IF($I308="","请选是否入库",IF(AND($I308="是",ISNA(MATCH($E308,基础资料!$Q$6:$Q$205,0))),"入库商品必须在商品档案中",IF(AND($I308="否",$J308&lt;&gt;"",ISNA(MATCH($J308,科目参数!$A$6:$A$125,0))),"费用科目不存在","√"))))))))))))</f>
        <v/>
      </c>
      <c r="O308" s="49" t="str">
        <f aca="false">IF($E308="","",IFERROR(INDEX(基础资料!$R$6:$R$205,MATCH($E308,基础资料!$Q$6:$Q$205,0)),""))</f>
        <v/>
      </c>
      <c r="P308" s="49" t="str">
        <f aca="false">IF($E308="","",IFERROR(INDEX(基础资料!$S$6:$S$205,MATCH($E308,基础资料!$Q$6:$Q$205,0)),""))</f>
        <v/>
      </c>
      <c r="Q308" s="48" t="str">
        <f aca="false">IF(OR($F308="",$G308=""),"",ROUND(N($F308)*N($G308),2))</f>
        <v/>
      </c>
      <c r="R308" s="48" t="str">
        <f aca="false">IF($Q308="","",ROUND(N($Q308)*N($H308),2))</f>
        <v/>
      </c>
      <c r="S308" s="48" t="str">
        <f aca="false">IF($Q308="","",N($Q308)+N($R308))</f>
        <v/>
      </c>
      <c r="T308" s="52" t="str">
        <f aca="false">IF(OR($B308="",$D308=""),"",$B308+N(IFERROR(INDEX(基础资料!$AH$6:$AH$155,MATCH($D308,基础资料!$AF$6:$AF$155,0)),0)))</f>
        <v/>
      </c>
      <c r="U308" s="49" t="str">
        <f aca="false">IF($Q308="","",IF($I308="是","1405",IF($J308="","6602",$J308)))</f>
        <v/>
      </c>
      <c r="V308" s="49" t="str">
        <f aca="false">IF($Q308="","","2202")</f>
        <v/>
      </c>
      <c r="W308" s="48" t="str">
        <f aca="false">IF($Q308="","",$Q308)</f>
        <v/>
      </c>
      <c r="X308" s="49" t="str">
        <f aca="false">IF(N($R308)=0,"","2221")</f>
        <v/>
      </c>
      <c r="Y308" s="49" t="str">
        <f aca="false">IF(N($R308)=0,"","2202")</f>
        <v/>
      </c>
      <c r="Z308" s="48" t="str">
        <f aca="false">IF(N($R308)=0,"",$R308)</f>
        <v/>
      </c>
      <c r="AA308" s="49" t="str">
        <f aca="false">IF(AND($D308=供应商对账单!$B$3,$B308&gt;=供应商对账单!$E$3,$B308&lt;=供应商对账单!$H$3),COUNTIFS($D$5:$D308,供应商对账单!$B$3,$B$5:$B308,"&gt;="&amp;供应商对账单!$E$3,$B$5:$B308,"&lt;="&amp;供应商对账单!$H$3),"")</f>
        <v/>
      </c>
    </row>
    <row r="309" customFormat="false" ht="15.75" hidden="false" customHeight="true" outlineLevel="0" collapsed="false">
      <c r="A309" s="42" t="str">
        <f aca="false">IF($B309="","","CG"&amp;TEXT($B309,"yyyymm")&amp;"-"&amp;TEXT(ROW()-4,"000"))</f>
        <v/>
      </c>
      <c r="B309" s="41"/>
      <c r="C309" s="42" t="str">
        <f aca="false">IF($B309="","",TEXT($B309,"yyyy-mm"))</f>
        <v/>
      </c>
      <c r="D309" s="32"/>
      <c r="E309" s="36"/>
      <c r="F309" s="43"/>
      <c r="G309" s="40"/>
      <c r="H309" s="51"/>
      <c r="I309" s="33"/>
      <c r="J309" s="31"/>
      <c r="K309" s="33"/>
      <c r="L309" s="33"/>
      <c r="M309" s="36"/>
      <c r="N309" s="47" t="str">
        <f aca="false">IF($B309="","",IF(NOT(ISNUMBER($B309)),"日期不是日期格式",IF(YEAR($B309)&lt;&gt;首页!$B$3,"不在会计年度",IF($D309="","未选供应商",IF(ISNA(MATCH($D309,基础资料!$AF$6:$AF$155,0)),"供应商不在档案",IF($E309="","未填商品或内容",IF(NOT(ISNUMBER($F309)),"数量须为数字",IF(NOT(ISNUMBER($G309)),"单价须为数字",IF(N($F309)&lt;=0,"数量须大于0",IF($I309="","请选是否入库",IF(AND($I309="是",ISNA(MATCH($E309,基础资料!$Q$6:$Q$205,0))),"入库商品必须在商品档案中",IF(AND($I309="否",$J309&lt;&gt;"",ISNA(MATCH($J309,科目参数!$A$6:$A$125,0))),"费用科目不存在","√"))))))))))))</f>
        <v/>
      </c>
      <c r="O309" s="49" t="str">
        <f aca="false">IF($E309="","",IFERROR(INDEX(基础资料!$R$6:$R$205,MATCH($E309,基础资料!$Q$6:$Q$205,0)),""))</f>
        <v/>
      </c>
      <c r="P309" s="49" t="str">
        <f aca="false">IF($E309="","",IFERROR(INDEX(基础资料!$S$6:$S$205,MATCH($E309,基础资料!$Q$6:$Q$205,0)),""))</f>
        <v/>
      </c>
      <c r="Q309" s="48" t="str">
        <f aca="false">IF(OR($F309="",$G309=""),"",ROUND(N($F309)*N($G309),2))</f>
        <v/>
      </c>
      <c r="R309" s="48" t="str">
        <f aca="false">IF($Q309="","",ROUND(N($Q309)*N($H309),2))</f>
        <v/>
      </c>
      <c r="S309" s="48" t="str">
        <f aca="false">IF($Q309="","",N($Q309)+N($R309))</f>
        <v/>
      </c>
      <c r="T309" s="52" t="str">
        <f aca="false">IF(OR($B309="",$D309=""),"",$B309+N(IFERROR(INDEX(基础资料!$AH$6:$AH$155,MATCH($D309,基础资料!$AF$6:$AF$155,0)),0)))</f>
        <v/>
      </c>
      <c r="U309" s="49" t="str">
        <f aca="false">IF($Q309="","",IF($I309="是","1405",IF($J309="","6602",$J309)))</f>
        <v/>
      </c>
      <c r="V309" s="49" t="str">
        <f aca="false">IF($Q309="","","2202")</f>
        <v/>
      </c>
      <c r="W309" s="48" t="str">
        <f aca="false">IF($Q309="","",$Q309)</f>
        <v/>
      </c>
      <c r="X309" s="49" t="str">
        <f aca="false">IF(N($R309)=0,"","2221")</f>
        <v/>
      </c>
      <c r="Y309" s="49" t="str">
        <f aca="false">IF(N($R309)=0,"","2202")</f>
        <v/>
      </c>
      <c r="Z309" s="48" t="str">
        <f aca="false">IF(N($R309)=0,"",$R309)</f>
        <v/>
      </c>
      <c r="AA309" s="49" t="str">
        <f aca="false">IF(AND($D309=供应商对账单!$B$3,$B309&gt;=供应商对账单!$E$3,$B309&lt;=供应商对账单!$H$3),COUNTIFS($D$5:$D309,供应商对账单!$B$3,$B$5:$B309,"&gt;="&amp;供应商对账单!$E$3,$B$5:$B309,"&lt;="&amp;供应商对账单!$H$3),"")</f>
        <v/>
      </c>
    </row>
    <row r="310" customFormat="false" ht="15.75" hidden="false" customHeight="true" outlineLevel="0" collapsed="false">
      <c r="A310" s="42" t="str">
        <f aca="false">IF($B310="","","CG"&amp;TEXT($B310,"yyyymm")&amp;"-"&amp;TEXT(ROW()-4,"000"))</f>
        <v/>
      </c>
      <c r="B310" s="41"/>
      <c r="C310" s="42" t="str">
        <f aca="false">IF($B310="","",TEXT($B310,"yyyy-mm"))</f>
        <v/>
      </c>
      <c r="D310" s="32"/>
      <c r="E310" s="36"/>
      <c r="F310" s="43"/>
      <c r="G310" s="40"/>
      <c r="H310" s="51"/>
      <c r="I310" s="33"/>
      <c r="J310" s="31"/>
      <c r="K310" s="33"/>
      <c r="L310" s="33"/>
      <c r="M310" s="36"/>
      <c r="N310" s="47" t="str">
        <f aca="false">IF($B310="","",IF(NOT(ISNUMBER($B310)),"日期不是日期格式",IF(YEAR($B310)&lt;&gt;首页!$B$3,"不在会计年度",IF($D310="","未选供应商",IF(ISNA(MATCH($D310,基础资料!$AF$6:$AF$155,0)),"供应商不在档案",IF($E310="","未填商品或内容",IF(NOT(ISNUMBER($F310)),"数量须为数字",IF(NOT(ISNUMBER($G310)),"单价须为数字",IF(N($F310)&lt;=0,"数量须大于0",IF($I310="","请选是否入库",IF(AND($I310="是",ISNA(MATCH($E310,基础资料!$Q$6:$Q$205,0))),"入库商品必须在商品档案中",IF(AND($I310="否",$J310&lt;&gt;"",ISNA(MATCH($J310,科目参数!$A$6:$A$125,0))),"费用科目不存在","√"))))))))))))</f>
        <v/>
      </c>
      <c r="O310" s="49" t="str">
        <f aca="false">IF($E310="","",IFERROR(INDEX(基础资料!$R$6:$R$205,MATCH($E310,基础资料!$Q$6:$Q$205,0)),""))</f>
        <v/>
      </c>
      <c r="P310" s="49" t="str">
        <f aca="false">IF($E310="","",IFERROR(INDEX(基础资料!$S$6:$S$205,MATCH($E310,基础资料!$Q$6:$Q$205,0)),""))</f>
        <v/>
      </c>
      <c r="Q310" s="48" t="str">
        <f aca="false">IF(OR($F310="",$G310=""),"",ROUND(N($F310)*N($G310),2))</f>
        <v/>
      </c>
      <c r="R310" s="48" t="str">
        <f aca="false">IF($Q310="","",ROUND(N($Q310)*N($H310),2))</f>
        <v/>
      </c>
      <c r="S310" s="48" t="str">
        <f aca="false">IF($Q310="","",N($Q310)+N($R310))</f>
        <v/>
      </c>
      <c r="T310" s="52" t="str">
        <f aca="false">IF(OR($B310="",$D310=""),"",$B310+N(IFERROR(INDEX(基础资料!$AH$6:$AH$155,MATCH($D310,基础资料!$AF$6:$AF$155,0)),0)))</f>
        <v/>
      </c>
      <c r="U310" s="49" t="str">
        <f aca="false">IF($Q310="","",IF($I310="是","1405",IF($J310="","6602",$J310)))</f>
        <v/>
      </c>
      <c r="V310" s="49" t="str">
        <f aca="false">IF($Q310="","","2202")</f>
        <v/>
      </c>
      <c r="W310" s="48" t="str">
        <f aca="false">IF($Q310="","",$Q310)</f>
        <v/>
      </c>
      <c r="X310" s="49" t="str">
        <f aca="false">IF(N($R310)=0,"","2221")</f>
        <v/>
      </c>
      <c r="Y310" s="49" t="str">
        <f aca="false">IF(N($R310)=0,"","2202")</f>
        <v/>
      </c>
      <c r="Z310" s="48" t="str">
        <f aca="false">IF(N($R310)=0,"",$R310)</f>
        <v/>
      </c>
      <c r="AA310" s="49" t="str">
        <f aca="false">IF(AND($D310=供应商对账单!$B$3,$B310&gt;=供应商对账单!$E$3,$B310&lt;=供应商对账单!$H$3),COUNTIFS($D$5:$D310,供应商对账单!$B$3,$B$5:$B310,"&gt;="&amp;供应商对账单!$E$3,$B$5:$B310,"&lt;="&amp;供应商对账单!$H$3),"")</f>
        <v/>
      </c>
    </row>
    <row r="311" customFormat="false" ht="15.75" hidden="false" customHeight="true" outlineLevel="0" collapsed="false">
      <c r="A311" s="42" t="str">
        <f aca="false">IF($B311="","","CG"&amp;TEXT($B311,"yyyymm")&amp;"-"&amp;TEXT(ROW()-4,"000"))</f>
        <v/>
      </c>
      <c r="B311" s="41"/>
      <c r="C311" s="42" t="str">
        <f aca="false">IF($B311="","",TEXT($B311,"yyyy-mm"))</f>
        <v/>
      </c>
      <c r="D311" s="32"/>
      <c r="E311" s="36"/>
      <c r="F311" s="43"/>
      <c r="G311" s="40"/>
      <c r="H311" s="51"/>
      <c r="I311" s="33"/>
      <c r="J311" s="31"/>
      <c r="K311" s="33"/>
      <c r="L311" s="33"/>
      <c r="M311" s="36"/>
      <c r="N311" s="47" t="str">
        <f aca="false">IF($B311="","",IF(NOT(ISNUMBER($B311)),"日期不是日期格式",IF(YEAR($B311)&lt;&gt;首页!$B$3,"不在会计年度",IF($D311="","未选供应商",IF(ISNA(MATCH($D311,基础资料!$AF$6:$AF$155,0)),"供应商不在档案",IF($E311="","未填商品或内容",IF(NOT(ISNUMBER($F311)),"数量须为数字",IF(NOT(ISNUMBER($G311)),"单价须为数字",IF(N($F311)&lt;=0,"数量须大于0",IF($I311="","请选是否入库",IF(AND($I311="是",ISNA(MATCH($E311,基础资料!$Q$6:$Q$205,0))),"入库商品必须在商品档案中",IF(AND($I311="否",$J311&lt;&gt;"",ISNA(MATCH($J311,科目参数!$A$6:$A$125,0))),"费用科目不存在","√"))))))))))))</f>
        <v/>
      </c>
      <c r="O311" s="49" t="str">
        <f aca="false">IF($E311="","",IFERROR(INDEX(基础资料!$R$6:$R$205,MATCH($E311,基础资料!$Q$6:$Q$205,0)),""))</f>
        <v/>
      </c>
      <c r="P311" s="49" t="str">
        <f aca="false">IF($E311="","",IFERROR(INDEX(基础资料!$S$6:$S$205,MATCH($E311,基础资料!$Q$6:$Q$205,0)),""))</f>
        <v/>
      </c>
      <c r="Q311" s="48" t="str">
        <f aca="false">IF(OR($F311="",$G311=""),"",ROUND(N($F311)*N($G311),2))</f>
        <v/>
      </c>
      <c r="R311" s="48" t="str">
        <f aca="false">IF($Q311="","",ROUND(N($Q311)*N($H311),2))</f>
        <v/>
      </c>
      <c r="S311" s="48" t="str">
        <f aca="false">IF($Q311="","",N($Q311)+N($R311))</f>
        <v/>
      </c>
      <c r="T311" s="52" t="str">
        <f aca="false">IF(OR($B311="",$D311=""),"",$B311+N(IFERROR(INDEX(基础资料!$AH$6:$AH$155,MATCH($D311,基础资料!$AF$6:$AF$155,0)),0)))</f>
        <v/>
      </c>
      <c r="U311" s="49" t="str">
        <f aca="false">IF($Q311="","",IF($I311="是","1405",IF($J311="","6602",$J311)))</f>
        <v/>
      </c>
      <c r="V311" s="49" t="str">
        <f aca="false">IF($Q311="","","2202")</f>
        <v/>
      </c>
      <c r="W311" s="48" t="str">
        <f aca="false">IF($Q311="","",$Q311)</f>
        <v/>
      </c>
      <c r="X311" s="49" t="str">
        <f aca="false">IF(N($R311)=0,"","2221")</f>
        <v/>
      </c>
      <c r="Y311" s="49" t="str">
        <f aca="false">IF(N($R311)=0,"","2202")</f>
        <v/>
      </c>
      <c r="Z311" s="48" t="str">
        <f aca="false">IF(N($R311)=0,"",$R311)</f>
        <v/>
      </c>
      <c r="AA311" s="49" t="str">
        <f aca="false">IF(AND($D311=供应商对账单!$B$3,$B311&gt;=供应商对账单!$E$3,$B311&lt;=供应商对账单!$H$3),COUNTIFS($D$5:$D311,供应商对账单!$B$3,$B$5:$B311,"&gt;="&amp;供应商对账单!$E$3,$B$5:$B311,"&lt;="&amp;供应商对账单!$H$3),"")</f>
        <v/>
      </c>
    </row>
    <row r="312" customFormat="false" ht="15.75" hidden="false" customHeight="true" outlineLevel="0" collapsed="false">
      <c r="A312" s="42" t="str">
        <f aca="false">IF($B312="","","CG"&amp;TEXT($B312,"yyyymm")&amp;"-"&amp;TEXT(ROW()-4,"000"))</f>
        <v/>
      </c>
      <c r="B312" s="41"/>
      <c r="C312" s="42" t="str">
        <f aca="false">IF($B312="","",TEXT($B312,"yyyy-mm"))</f>
        <v/>
      </c>
      <c r="D312" s="32"/>
      <c r="E312" s="36"/>
      <c r="F312" s="43"/>
      <c r="G312" s="40"/>
      <c r="H312" s="51"/>
      <c r="I312" s="33"/>
      <c r="J312" s="31"/>
      <c r="K312" s="33"/>
      <c r="L312" s="33"/>
      <c r="M312" s="36"/>
      <c r="N312" s="47" t="str">
        <f aca="false">IF($B312="","",IF(NOT(ISNUMBER($B312)),"日期不是日期格式",IF(YEAR($B312)&lt;&gt;首页!$B$3,"不在会计年度",IF($D312="","未选供应商",IF(ISNA(MATCH($D312,基础资料!$AF$6:$AF$155,0)),"供应商不在档案",IF($E312="","未填商品或内容",IF(NOT(ISNUMBER($F312)),"数量须为数字",IF(NOT(ISNUMBER($G312)),"单价须为数字",IF(N($F312)&lt;=0,"数量须大于0",IF($I312="","请选是否入库",IF(AND($I312="是",ISNA(MATCH($E312,基础资料!$Q$6:$Q$205,0))),"入库商品必须在商品档案中",IF(AND($I312="否",$J312&lt;&gt;"",ISNA(MATCH($J312,科目参数!$A$6:$A$125,0))),"费用科目不存在","√"))))))))))))</f>
        <v/>
      </c>
      <c r="O312" s="49" t="str">
        <f aca="false">IF($E312="","",IFERROR(INDEX(基础资料!$R$6:$R$205,MATCH($E312,基础资料!$Q$6:$Q$205,0)),""))</f>
        <v/>
      </c>
      <c r="P312" s="49" t="str">
        <f aca="false">IF($E312="","",IFERROR(INDEX(基础资料!$S$6:$S$205,MATCH($E312,基础资料!$Q$6:$Q$205,0)),""))</f>
        <v/>
      </c>
      <c r="Q312" s="48" t="str">
        <f aca="false">IF(OR($F312="",$G312=""),"",ROUND(N($F312)*N($G312),2))</f>
        <v/>
      </c>
      <c r="R312" s="48" t="str">
        <f aca="false">IF($Q312="","",ROUND(N($Q312)*N($H312),2))</f>
        <v/>
      </c>
      <c r="S312" s="48" t="str">
        <f aca="false">IF($Q312="","",N($Q312)+N($R312))</f>
        <v/>
      </c>
      <c r="T312" s="52" t="str">
        <f aca="false">IF(OR($B312="",$D312=""),"",$B312+N(IFERROR(INDEX(基础资料!$AH$6:$AH$155,MATCH($D312,基础资料!$AF$6:$AF$155,0)),0)))</f>
        <v/>
      </c>
      <c r="U312" s="49" t="str">
        <f aca="false">IF($Q312="","",IF($I312="是","1405",IF($J312="","6602",$J312)))</f>
        <v/>
      </c>
      <c r="V312" s="49" t="str">
        <f aca="false">IF($Q312="","","2202")</f>
        <v/>
      </c>
      <c r="W312" s="48" t="str">
        <f aca="false">IF($Q312="","",$Q312)</f>
        <v/>
      </c>
      <c r="X312" s="49" t="str">
        <f aca="false">IF(N($R312)=0,"","2221")</f>
        <v/>
      </c>
      <c r="Y312" s="49" t="str">
        <f aca="false">IF(N($R312)=0,"","2202")</f>
        <v/>
      </c>
      <c r="Z312" s="48" t="str">
        <f aca="false">IF(N($R312)=0,"",$R312)</f>
        <v/>
      </c>
      <c r="AA312" s="49" t="str">
        <f aca="false">IF(AND($D312=供应商对账单!$B$3,$B312&gt;=供应商对账单!$E$3,$B312&lt;=供应商对账单!$H$3),COUNTIFS($D$5:$D312,供应商对账单!$B$3,$B$5:$B312,"&gt;="&amp;供应商对账单!$E$3,$B$5:$B312,"&lt;="&amp;供应商对账单!$H$3),"")</f>
        <v/>
      </c>
    </row>
    <row r="313" customFormat="false" ht="15.75" hidden="false" customHeight="true" outlineLevel="0" collapsed="false">
      <c r="A313" s="42" t="str">
        <f aca="false">IF($B313="","","CG"&amp;TEXT($B313,"yyyymm")&amp;"-"&amp;TEXT(ROW()-4,"000"))</f>
        <v/>
      </c>
      <c r="B313" s="41"/>
      <c r="C313" s="42" t="str">
        <f aca="false">IF($B313="","",TEXT($B313,"yyyy-mm"))</f>
        <v/>
      </c>
      <c r="D313" s="32"/>
      <c r="E313" s="36"/>
      <c r="F313" s="43"/>
      <c r="G313" s="40"/>
      <c r="H313" s="51"/>
      <c r="I313" s="33"/>
      <c r="J313" s="31"/>
      <c r="K313" s="33"/>
      <c r="L313" s="33"/>
      <c r="M313" s="36"/>
      <c r="N313" s="47" t="str">
        <f aca="false">IF($B313="","",IF(NOT(ISNUMBER($B313)),"日期不是日期格式",IF(YEAR($B313)&lt;&gt;首页!$B$3,"不在会计年度",IF($D313="","未选供应商",IF(ISNA(MATCH($D313,基础资料!$AF$6:$AF$155,0)),"供应商不在档案",IF($E313="","未填商品或内容",IF(NOT(ISNUMBER($F313)),"数量须为数字",IF(NOT(ISNUMBER($G313)),"单价须为数字",IF(N($F313)&lt;=0,"数量须大于0",IF($I313="","请选是否入库",IF(AND($I313="是",ISNA(MATCH($E313,基础资料!$Q$6:$Q$205,0))),"入库商品必须在商品档案中",IF(AND($I313="否",$J313&lt;&gt;"",ISNA(MATCH($J313,科目参数!$A$6:$A$125,0))),"费用科目不存在","√"))))))))))))</f>
        <v/>
      </c>
      <c r="O313" s="49" t="str">
        <f aca="false">IF($E313="","",IFERROR(INDEX(基础资料!$R$6:$R$205,MATCH($E313,基础资料!$Q$6:$Q$205,0)),""))</f>
        <v/>
      </c>
      <c r="P313" s="49" t="str">
        <f aca="false">IF($E313="","",IFERROR(INDEX(基础资料!$S$6:$S$205,MATCH($E313,基础资料!$Q$6:$Q$205,0)),""))</f>
        <v/>
      </c>
      <c r="Q313" s="48" t="str">
        <f aca="false">IF(OR($F313="",$G313=""),"",ROUND(N($F313)*N($G313),2))</f>
        <v/>
      </c>
      <c r="R313" s="48" t="str">
        <f aca="false">IF($Q313="","",ROUND(N($Q313)*N($H313),2))</f>
        <v/>
      </c>
      <c r="S313" s="48" t="str">
        <f aca="false">IF($Q313="","",N($Q313)+N($R313))</f>
        <v/>
      </c>
      <c r="T313" s="52" t="str">
        <f aca="false">IF(OR($B313="",$D313=""),"",$B313+N(IFERROR(INDEX(基础资料!$AH$6:$AH$155,MATCH($D313,基础资料!$AF$6:$AF$155,0)),0)))</f>
        <v/>
      </c>
      <c r="U313" s="49" t="str">
        <f aca="false">IF($Q313="","",IF($I313="是","1405",IF($J313="","6602",$J313)))</f>
        <v/>
      </c>
      <c r="V313" s="49" t="str">
        <f aca="false">IF($Q313="","","2202")</f>
        <v/>
      </c>
      <c r="W313" s="48" t="str">
        <f aca="false">IF($Q313="","",$Q313)</f>
        <v/>
      </c>
      <c r="X313" s="49" t="str">
        <f aca="false">IF(N($R313)=0,"","2221")</f>
        <v/>
      </c>
      <c r="Y313" s="49" t="str">
        <f aca="false">IF(N($R313)=0,"","2202")</f>
        <v/>
      </c>
      <c r="Z313" s="48" t="str">
        <f aca="false">IF(N($R313)=0,"",$R313)</f>
        <v/>
      </c>
      <c r="AA313" s="49" t="str">
        <f aca="false">IF(AND($D313=供应商对账单!$B$3,$B313&gt;=供应商对账单!$E$3,$B313&lt;=供应商对账单!$H$3),COUNTIFS($D$5:$D313,供应商对账单!$B$3,$B$5:$B313,"&gt;="&amp;供应商对账单!$E$3,$B$5:$B313,"&lt;="&amp;供应商对账单!$H$3),"")</f>
        <v/>
      </c>
    </row>
    <row r="314" customFormat="false" ht="15.75" hidden="false" customHeight="true" outlineLevel="0" collapsed="false">
      <c r="A314" s="42" t="str">
        <f aca="false">IF($B314="","","CG"&amp;TEXT($B314,"yyyymm")&amp;"-"&amp;TEXT(ROW()-4,"000"))</f>
        <v/>
      </c>
      <c r="B314" s="41"/>
      <c r="C314" s="42" t="str">
        <f aca="false">IF($B314="","",TEXT($B314,"yyyy-mm"))</f>
        <v/>
      </c>
      <c r="D314" s="32"/>
      <c r="E314" s="36"/>
      <c r="F314" s="43"/>
      <c r="G314" s="40"/>
      <c r="H314" s="51"/>
      <c r="I314" s="33"/>
      <c r="J314" s="31"/>
      <c r="K314" s="33"/>
      <c r="L314" s="33"/>
      <c r="M314" s="36"/>
      <c r="N314" s="47" t="str">
        <f aca="false">IF($B314="","",IF(NOT(ISNUMBER($B314)),"日期不是日期格式",IF(YEAR($B314)&lt;&gt;首页!$B$3,"不在会计年度",IF($D314="","未选供应商",IF(ISNA(MATCH($D314,基础资料!$AF$6:$AF$155,0)),"供应商不在档案",IF($E314="","未填商品或内容",IF(NOT(ISNUMBER($F314)),"数量须为数字",IF(NOT(ISNUMBER($G314)),"单价须为数字",IF(N($F314)&lt;=0,"数量须大于0",IF($I314="","请选是否入库",IF(AND($I314="是",ISNA(MATCH($E314,基础资料!$Q$6:$Q$205,0))),"入库商品必须在商品档案中",IF(AND($I314="否",$J314&lt;&gt;"",ISNA(MATCH($J314,科目参数!$A$6:$A$125,0))),"费用科目不存在","√"))))))))))))</f>
        <v/>
      </c>
      <c r="O314" s="49" t="str">
        <f aca="false">IF($E314="","",IFERROR(INDEX(基础资料!$R$6:$R$205,MATCH($E314,基础资料!$Q$6:$Q$205,0)),""))</f>
        <v/>
      </c>
      <c r="P314" s="49" t="str">
        <f aca="false">IF($E314="","",IFERROR(INDEX(基础资料!$S$6:$S$205,MATCH($E314,基础资料!$Q$6:$Q$205,0)),""))</f>
        <v/>
      </c>
      <c r="Q314" s="48" t="str">
        <f aca="false">IF(OR($F314="",$G314=""),"",ROUND(N($F314)*N($G314),2))</f>
        <v/>
      </c>
      <c r="R314" s="48" t="str">
        <f aca="false">IF($Q314="","",ROUND(N($Q314)*N($H314),2))</f>
        <v/>
      </c>
      <c r="S314" s="48" t="str">
        <f aca="false">IF($Q314="","",N($Q314)+N($R314))</f>
        <v/>
      </c>
      <c r="T314" s="52" t="str">
        <f aca="false">IF(OR($B314="",$D314=""),"",$B314+N(IFERROR(INDEX(基础资料!$AH$6:$AH$155,MATCH($D314,基础资料!$AF$6:$AF$155,0)),0)))</f>
        <v/>
      </c>
      <c r="U314" s="49" t="str">
        <f aca="false">IF($Q314="","",IF($I314="是","1405",IF($J314="","6602",$J314)))</f>
        <v/>
      </c>
      <c r="V314" s="49" t="str">
        <f aca="false">IF($Q314="","","2202")</f>
        <v/>
      </c>
      <c r="W314" s="48" t="str">
        <f aca="false">IF($Q314="","",$Q314)</f>
        <v/>
      </c>
      <c r="X314" s="49" t="str">
        <f aca="false">IF(N($R314)=0,"","2221")</f>
        <v/>
      </c>
      <c r="Y314" s="49" t="str">
        <f aca="false">IF(N($R314)=0,"","2202")</f>
        <v/>
      </c>
      <c r="Z314" s="48" t="str">
        <f aca="false">IF(N($R314)=0,"",$R314)</f>
        <v/>
      </c>
      <c r="AA314" s="49" t="str">
        <f aca="false">IF(AND($D314=供应商对账单!$B$3,$B314&gt;=供应商对账单!$E$3,$B314&lt;=供应商对账单!$H$3),COUNTIFS($D$5:$D314,供应商对账单!$B$3,$B$5:$B314,"&gt;="&amp;供应商对账单!$E$3,$B$5:$B314,"&lt;="&amp;供应商对账单!$H$3),"")</f>
        <v/>
      </c>
    </row>
    <row r="315" customFormat="false" ht="15.75" hidden="false" customHeight="true" outlineLevel="0" collapsed="false">
      <c r="A315" s="42" t="str">
        <f aca="false">IF($B315="","","CG"&amp;TEXT($B315,"yyyymm")&amp;"-"&amp;TEXT(ROW()-4,"000"))</f>
        <v/>
      </c>
      <c r="B315" s="41"/>
      <c r="C315" s="42" t="str">
        <f aca="false">IF($B315="","",TEXT($B315,"yyyy-mm"))</f>
        <v/>
      </c>
      <c r="D315" s="32"/>
      <c r="E315" s="36"/>
      <c r="F315" s="43"/>
      <c r="G315" s="40"/>
      <c r="H315" s="51"/>
      <c r="I315" s="33"/>
      <c r="J315" s="31"/>
      <c r="K315" s="33"/>
      <c r="L315" s="33"/>
      <c r="M315" s="36"/>
      <c r="N315" s="47" t="str">
        <f aca="false">IF($B315="","",IF(NOT(ISNUMBER($B315)),"日期不是日期格式",IF(YEAR($B315)&lt;&gt;首页!$B$3,"不在会计年度",IF($D315="","未选供应商",IF(ISNA(MATCH($D315,基础资料!$AF$6:$AF$155,0)),"供应商不在档案",IF($E315="","未填商品或内容",IF(NOT(ISNUMBER($F315)),"数量须为数字",IF(NOT(ISNUMBER($G315)),"单价须为数字",IF(N($F315)&lt;=0,"数量须大于0",IF($I315="","请选是否入库",IF(AND($I315="是",ISNA(MATCH($E315,基础资料!$Q$6:$Q$205,0))),"入库商品必须在商品档案中",IF(AND($I315="否",$J315&lt;&gt;"",ISNA(MATCH($J315,科目参数!$A$6:$A$125,0))),"费用科目不存在","√"))))))))))))</f>
        <v/>
      </c>
      <c r="O315" s="49" t="str">
        <f aca="false">IF($E315="","",IFERROR(INDEX(基础资料!$R$6:$R$205,MATCH($E315,基础资料!$Q$6:$Q$205,0)),""))</f>
        <v/>
      </c>
      <c r="P315" s="49" t="str">
        <f aca="false">IF($E315="","",IFERROR(INDEX(基础资料!$S$6:$S$205,MATCH($E315,基础资料!$Q$6:$Q$205,0)),""))</f>
        <v/>
      </c>
      <c r="Q315" s="48" t="str">
        <f aca="false">IF(OR($F315="",$G315=""),"",ROUND(N($F315)*N($G315),2))</f>
        <v/>
      </c>
      <c r="R315" s="48" t="str">
        <f aca="false">IF($Q315="","",ROUND(N($Q315)*N($H315),2))</f>
        <v/>
      </c>
      <c r="S315" s="48" t="str">
        <f aca="false">IF($Q315="","",N($Q315)+N($R315))</f>
        <v/>
      </c>
      <c r="T315" s="52" t="str">
        <f aca="false">IF(OR($B315="",$D315=""),"",$B315+N(IFERROR(INDEX(基础资料!$AH$6:$AH$155,MATCH($D315,基础资料!$AF$6:$AF$155,0)),0)))</f>
        <v/>
      </c>
      <c r="U315" s="49" t="str">
        <f aca="false">IF($Q315="","",IF($I315="是","1405",IF($J315="","6602",$J315)))</f>
        <v/>
      </c>
      <c r="V315" s="49" t="str">
        <f aca="false">IF($Q315="","","2202")</f>
        <v/>
      </c>
      <c r="W315" s="48" t="str">
        <f aca="false">IF($Q315="","",$Q315)</f>
        <v/>
      </c>
      <c r="X315" s="49" t="str">
        <f aca="false">IF(N($R315)=0,"","2221")</f>
        <v/>
      </c>
      <c r="Y315" s="49" t="str">
        <f aca="false">IF(N($R315)=0,"","2202")</f>
        <v/>
      </c>
      <c r="Z315" s="48" t="str">
        <f aca="false">IF(N($R315)=0,"",$R315)</f>
        <v/>
      </c>
      <c r="AA315" s="49" t="str">
        <f aca="false">IF(AND($D315=供应商对账单!$B$3,$B315&gt;=供应商对账单!$E$3,$B315&lt;=供应商对账单!$H$3),COUNTIFS($D$5:$D315,供应商对账单!$B$3,$B$5:$B315,"&gt;="&amp;供应商对账单!$E$3,$B$5:$B315,"&lt;="&amp;供应商对账单!$H$3),"")</f>
        <v/>
      </c>
    </row>
    <row r="316" customFormat="false" ht="15.75" hidden="false" customHeight="true" outlineLevel="0" collapsed="false">
      <c r="A316" s="42" t="str">
        <f aca="false">IF($B316="","","CG"&amp;TEXT($B316,"yyyymm")&amp;"-"&amp;TEXT(ROW()-4,"000"))</f>
        <v/>
      </c>
      <c r="B316" s="41"/>
      <c r="C316" s="42" t="str">
        <f aca="false">IF($B316="","",TEXT($B316,"yyyy-mm"))</f>
        <v/>
      </c>
      <c r="D316" s="32"/>
      <c r="E316" s="36"/>
      <c r="F316" s="43"/>
      <c r="G316" s="40"/>
      <c r="H316" s="51"/>
      <c r="I316" s="33"/>
      <c r="J316" s="31"/>
      <c r="K316" s="33"/>
      <c r="L316" s="33"/>
      <c r="M316" s="36"/>
      <c r="N316" s="47" t="str">
        <f aca="false">IF($B316="","",IF(NOT(ISNUMBER($B316)),"日期不是日期格式",IF(YEAR($B316)&lt;&gt;首页!$B$3,"不在会计年度",IF($D316="","未选供应商",IF(ISNA(MATCH($D316,基础资料!$AF$6:$AF$155,0)),"供应商不在档案",IF($E316="","未填商品或内容",IF(NOT(ISNUMBER($F316)),"数量须为数字",IF(NOT(ISNUMBER($G316)),"单价须为数字",IF(N($F316)&lt;=0,"数量须大于0",IF($I316="","请选是否入库",IF(AND($I316="是",ISNA(MATCH($E316,基础资料!$Q$6:$Q$205,0))),"入库商品必须在商品档案中",IF(AND($I316="否",$J316&lt;&gt;"",ISNA(MATCH($J316,科目参数!$A$6:$A$125,0))),"费用科目不存在","√"))))))))))))</f>
        <v/>
      </c>
      <c r="O316" s="49" t="str">
        <f aca="false">IF($E316="","",IFERROR(INDEX(基础资料!$R$6:$R$205,MATCH($E316,基础资料!$Q$6:$Q$205,0)),""))</f>
        <v/>
      </c>
      <c r="P316" s="49" t="str">
        <f aca="false">IF($E316="","",IFERROR(INDEX(基础资料!$S$6:$S$205,MATCH($E316,基础资料!$Q$6:$Q$205,0)),""))</f>
        <v/>
      </c>
      <c r="Q316" s="48" t="str">
        <f aca="false">IF(OR($F316="",$G316=""),"",ROUND(N($F316)*N($G316),2))</f>
        <v/>
      </c>
      <c r="R316" s="48" t="str">
        <f aca="false">IF($Q316="","",ROUND(N($Q316)*N($H316),2))</f>
        <v/>
      </c>
      <c r="S316" s="48" t="str">
        <f aca="false">IF($Q316="","",N($Q316)+N($R316))</f>
        <v/>
      </c>
      <c r="T316" s="52" t="str">
        <f aca="false">IF(OR($B316="",$D316=""),"",$B316+N(IFERROR(INDEX(基础资料!$AH$6:$AH$155,MATCH($D316,基础资料!$AF$6:$AF$155,0)),0)))</f>
        <v/>
      </c>
      <c r="U316" s="49" t="str">
        <f aca="false">IF($Q316="","",IF($I316="是","1405",IF($J316="","6602",$J316)))</f>
        <v/>
      </c>
      <c r="V316" s="49" t="str">
        <f aca="false">IF($Q316="","","2202")</f>
        <v/>
      </c>
      <c r="W316" s="48" t="str">
        <f aca="false">IF($Q316="","",$Q316)</f>
        <v/>
      </c>
      <c r="X316" s="49" t="str">
        <f aca="false">IF(N($R316)=0,"","2221")</f>
        <v/>
      </c>
      <c r="Y316" s="49" t="str">
        <f aca="false">IF(N($R316)=0,"","2202")</f>
        <v/>
      </c>
      <c r="Z316" s="48" t="str">
        <f aca="false">IF(N($R316)=0,"",$R316)</f>
        <v/>
      </c>
      <c r="AA316" s="49" t="str">
        <f aca="false">IF(AND($D316=供应商对账单!$B$3,$B316&gt;=供应商对账单!$E$3,$B316&lt;=供应商对账单!$H$3),COUNTIFS($D$5:$D316,供应商对账单!$B$3,$B$5:$B316,"&gt;="&amp;供应商对账单!$E$3,$B$5:$B316,"&lt;="&amp;供应商对账单!$H$3),"")</f>
        <v/>
      </c>
    </row>
    <row r="317" customFormat="false" ht="15.75" hidden="false" customHeight="true" outlineLevel="0" collapsed="false">
      <c r="A317" s="42" t="str">
        <f aca="false">IF($B317="","","CG"&amp;TEXT($B317,"yyyymm")&amp;"-"&amp;TEXT(ROW()-4,"000"))</f>
        <v/>
      </c>
      <c r="B317" s="41"/>
      <c r="C317" s="42" t="str">
        <f aca="false">IF($B317="","",TEXT($B317,"yyyy-mm"))</f>
        <v/>
      </c>
      <c r="D317" s="32"/>
      <c r="E317" s="36"/>
      <c r="F317" s="43"/>
      <c r="G317" s="40"/>
      <c r="H317" s="51"/>
      <c r="I317" s="33"/>
      <c r="J317" s="31"/>
      <c r="K317" s="33"/>
      <c r="L317" s="33"/>
      <c r="M317" s="36"/>
      <c r="N317" s="47" t="str">
        <f aca="false">IF($B317="","",IF(NOT(ISNUMBER($B317)),"日期不是日期格式",IF(YEAR($B317)&lt;&gt;首页!$B$3,"不在会计年度",IF($D317="","未选供应商",IF(ISNA(MATCH($D317,基础资料!$AF$6:$AF$155,0)),"供应商不在档案",IF($E317="","未填商品或内容",IF(NOT(ISNUMBER($F317)),"数量须为数字",IF(NOT(ISNUMBER($G317)),"单价须为数字",IF(N($F317)&lt;=0,"数量须大于0",IF($I317="","请选是否入库",IF(AND($I317="是",ISNA(MATCH($E317,基础资料!$Q$6:$Q$205,0))),"入库商品必须在商品档案中",IF(AND($I317="否",$J317&lt;&gt;"",ISNA(MATCH($J317,科目参数!$A$6:$A$125,0))),"费用科目不存在","√"))))))))))))</f>
        <v/>
      </c>
      <c r="O317" s="49" t="str">
        <f aca="false">IF($E317="","",IFERROR(INDEX(基础资料!$R$6:$R$205,MATCH($E317,基础资料!$Q$6:$Q$205,0)),""))</f>
        <v/>
      </c>
      <c r="P317" s="49" t="str">
        <f aca="false">IF($E317="","",IFERROR(INDEX(基础资料!$S$6:$S$205,MATCH($E317,基础资料!$Q$6:$Q$205,0)),""))</f>
        <v/>
      </c>
      <c r="Q317" s="48" t="str">
        <f aca="false">IF(OR($F317="",$G317=""),"",ROUND(N($F317)*N($G317),2))</f>
        <v/>
      </c>
      <c r="R317" s="48" t="str">
        <f aca="false">IF($Q317="","",ROUND(N($Q317)*N($H317),2))</f>
        <v/>
      </c>
      <c r="S317" s="48" t="str">
        <f aca="false">IF($Q317="","",N($Q317)+N($R317))</f>
        <v/>
      </c>
      <c r="T317" s="52" t="str">
        <f aca="false">IF(OR($B317="",$D317=""),"",$B317+N(IFERROR(INDEX(基础资料!$AH$6:$AH$155,MATCH($D317,基础资料!$AF$6:$AF$155,0)),0)))</f>
        <v/>
      </c>
      <c r="U317" s="49" t="str">
        <f aca="false">IF($Q317="","",IF($I317="是","1405",IF($J317="","6602",$J317)))</f>
        <v/>
      </c>
      <c r="V317" s="49" t="str">
        <f aca="false">IF($Q317="","","2202")</f>
        <v/>
      </c>
      <c r="W317" s="48" t="str">
        <f aca="false">IF($Q317="","",$Q317)</f>
        <v/>
      </c>
      <c r="X317" s="49" t="str">
        <f aca="false">IF(N($R317)=0,"","2221")</f>
        <v/>
      </c>
      <c r="Y317" s="49" t="str">
        <f aca="false">IF(N($R317)=0,"","2202")</f>
        <v/>
      </c>
      <c r="Z317" s="48" t="str">
        <f aca="false">IF(N($R317)=0,"",$R317)</f>
        <v/>
      </c>
      <c r="AA317" s="49" t="str">
        <f aca="false">IF(AND($D317=供应商对账单!$B$3,$B317&gt;=供应商对账单!$E$3,$B317&lt;=供应商对账单!$H$3),COUNTIFS($D$5:$D317,供应商对账单!$B$3,$B$5:$B317,"&gt;="&amp;供应商对账单!$E$3,$B$5:$B317,"&lt;="&amp;供应商对账单!$H$3),"")</f>
        <v/>
      </c>
    </row>
    <row r="318" customFormat="false" ht="15.75" hidden="false" customHeight="true" outlineLevel="0" collapsed="false">
      <c r="A318" s="42" t="str">
        <f aca="false">IF($B318="","","CG"&amp;TEXT($B318,"yyyymm")&amp;"-"&amp;TEXT(ROW()-4,"000"))</f>
        <v/>
      </c>
      <c r="B318" s="41"/>
      <c r="C318" s="42" t="str">
        <f aca="false">IF($B318="","",TEXT($B318,"yyyy-mm"))</f>
        <v/>
      </c>
      <c r="D318" s="32"/>
      <c r="E318" s="36"/>
      <c r="F318" s="43"/>
      <c r="G318" s="40"/>
      <c r="H318" s="51"/>
      <c r="I318" s="33"/>
      <c r="J318" s="31"/>
      <c r="K318" s="33"/>
      <c r="L318" s="33"/>
      <c r="M318" s="36"/>
      <c r="N318" s="47" t="str">
        <f aca="false">IF($B318="","",IF(NOT(ISNUMBER($B318)),"日期不是日期格式",IF(YEAR($B318)&lt;&gt;首页!$B$3,"不在会计年度",IF($D318="","未选供应商",IF(ISNA(MATCH($D318,基础资料!$AF$6:$AF$155,0)),"供应商不在档案",IF($E318="","未填商品或内容",IF(NOT(ISNUMBER($F318)),"数量须为数字",IF(NOT(ISNUMBER($G318)),"单价须为数字",IF(N($F318)&lt;=0,"数量须大于0",IF($I318="","请选是否入库",IF(AND($I318="是",ISNA(MATCH($E318,基础资料!$Q$6:$Q$205,0))),"入库商品必须在商品档案中",IF(AND($I318="否",$J318&lt;&gt;"",ISNA(MATCH($J318,科目参数!$A$6:$A$125,0))),"费用科目不存在","√"))))))))))))</f>
        <v/>
      </c>
      <c r="O318" s="49" t="str">
        <f aca="false">IF($E318="","",IFERROR(INDEX(基础资料!$R$6:$R$205,MATCH($E318,基础资料!$Q$6:$Q$205,0)),""))</f>
        <v/>
      </c>
      <c r="P318" s="49" t="str">
        <f aca="false">IF($E318="","",IFERROR(INDEX(基础资料!$S$6:$S$205,MATCH($E318,基础资料!$Q$6:$Q$205,0)),""))</f>
        <v/>
      </c>
      <c r="Q318" s="48" t="str">
        <f aca="false">IF(OR($F318="",$G318=""),"",ROUND(N($F318)*N($G318),2))</f>
        <v/>
      </c>
      <c r="R318" s="48" t="str">
        <f aca="false">IF($Q318="","",ROUND(N($Q318)*N($H318),2))</f>
        <v/>
      </c>
      <c r="S318" s="48" t="str">
        <f aca="false">IF($Q318="","",N($Q318)+N($R318))</f>
        <v/>
      </c>
      <c r="T318" s="52" t="str">
        <f aca="false">IF(OR($B318="",$D318=""),"",$B318+N(IFERROR(INDEX(基础资料!$AH$6:$AH$155,MATCH($D318,基础资料!$AF$6:$AF$155,0)),0)))</f>
        <v/>
      </c>
      <c r="U318" s="49" t="str">
        <f aca="false">IF($Q318="","",IF($I318="是","1405",IF($J318="","6602",$J318)))</f>
        <v/>
      </c>
      <c r="V318" s="49" t="str">
        <f aca="false">IF($Q318="","","2202")</f>
        <v/>
      </c>
      <c r="W318" s="48" t="str">
        <f aca="false">IF($Q318="","",$Q318)</f>
        <v/>
      </c>
      <c r="X318" s="49" t="str">
        <f aca="false">IF(N($R318)=0,"","2221")</f>
        <v/>
      </c>
      <c r="Y318" s="49" t="str">
        <f aca="false">IF(N($R318)=0,"","2202")</f>
        <v/>
      </c>
      <c r="Z318" s="48" t="str">
        <f aca="false">IF(N($R318)=0,"",$R318)</f>
        <v/>
      </c>
      <c r="AA318" s="49" t="str">
        <f aca="false">IF(AND($D318=供应商对账单!$B$3,$B318&gt;=供应商对账单!$E$3,$B318&lt;=供应商对账单!$H$3),COUNTIFS($D$5:$D318,供应商对账单!$B$3,$B$5:$B318,"&gt;="&amp;供应商对账单!$E$3,$B$5:$B318,"&lt;="&amp;供应商对账单!$H$3),"")</f>
        <v/>
      </c>
    </row>
    <row r="319" customFormat="false" ht="15.75" hidden="false" customHeight="true" outlineLevel="0" collapsed="false">
      <c r="A319" s="42" t="str">
        <f aca="false">IF($B319="","","CG"&amp;TEXT($B319,"yyyymm")&amp;"-"&amp;TEXT(ROW()-4,"000"))</f>
        <v/>
      </c>
      <c r="B319" s="41"/>
      <c r="C319" s="42" t="str">
        <f aca="false">IF($B319="","",TEXT($B319,"yyyy-mm"))</f>
        <v/>
      </c>
      <c r="D319" s="32"/>
      <c r="E319" s="36"/>
      <c r="F319" s="43"/>
      <c r="G319" s="40"/>
      <c r="H319" s="51"/>
      <c r="I319" s="33"/>
      <c r="J319" s="31"/>
      <c r="K319" s="33"/>
      <c r="L319" s="33"/>
      <c r="M319" s="36"/>
      <c r="N319" s="47" t="str">
        <f aca="false">IF($B319="","",IF(NOT(ISNUMBER($B319)),"日期不是日期格式",IF(YEAR($B319)&lt;&gt;首页!$B$3,"不在会计年度",IF($D319="","未选供应商",IF(ISNA(MATCH($D319,基础资料!$AF$6:$AF$155,0)),"供应商不在档案",IF($E319="","未填商品或内容",IF(NOT(ISNUMBER($F319)),"数量须为数字",IF(NOT(ISNUMBER($G319)),"单价须为数字",IF(N($F319)&lt;=0,"数量须大于0",IF($I319="","请选是否入库",IF(AND($I319="是",ISNA(MATCH($E319,基础资料!$Q$6:$Q$205,0))),"入库商品必须在商品档案中",IF(AND($I319="否",$J319&lt;&gt;"",ISNA(MATCH($J319,科目参数!$A$6:$A$125,0))),"费用科目不存在","√"))))))))))))</f>
        <v/>
      </c>
      <c r="O319" s="49" t="str">
        <f aca="false">IF($E319="","",IFERROR(INDEX(基础资料!$R$6:$R$205,MATCH($E319,基础资料!$Q$6:$Q$205,0)),""))</f>
        <v/>
      </c>
      <c r="P319" s="49" t="str">
        <f aca="false">IF($E319="","",IFERROR(INDEX(基础资料!$S$6:$S$205,MATCH($E319,基础资料!$Q$6:$Q$205,0)),""))</f>
        <v/>
      </c>
      <c r="Q319" s="48" t="str">
        <f aca="false">IF(OR($F319="",$G319=""),"",ROUND(N($F319)*N($G319),2))</f>
        <v/>
      </c>
      <c r="R319" s="48" t="str">
        <f aca="false">IF($Q319="","",ROUND(N($Q319)*N($H319),2))</f>
        <v/>
      </c>
      <c r="S319" s="48" t="str">
        <f aca="false">IF($Q319="","",N($Q319)+N($R319))</f>
        <v/>
      </c>
      <c r="T319" s="52" t="str">
        <f aca="false">IF(OR($B319="",$D319=""),"",$B319+N(IFERROR(INDEX(基础资料!$AH$6:$AH$155,MATCH($D319,基础资料!$AF$6:$AF$155,0)),0)))</f>
        <v/>
      </c>
      <c r="U319" s="49" t="str">
        <f aca="false">IF($Q319="","",IF($I319="是","1405",IF($J319="","6602",$J319)))</f>
        <v/>
      </c>
      <c r="V319" s="49" t="str">
        <f aca="false">IF($Q319="","","2202")</f>
        <v/>
      </c>
      <c r="W319" s="48" t="str">
        <f aca="false">IF($Q319="","",$Q319)</f>
        <v/>
      </c>
      <c r="X319" s="49" t="str">
        <f aca="false">IF(N($R319)=0,"","2221")</f>
        <v/>
      </c>
      <c r="Y319" s="49" t="str">
        <f aca="false">IF(N($R319)=0,"","2202")</f>
        <v/>
      </c>
      <c r="Z319" s="48" t="str">
        <f aca="false">IF(N($R319)=0,"",$R319)</f>
        <v/>
      </c>
      <c r="AA319" s="49" t="str">
        <f aca="false">IF(AND($D319=供应商对账单!$B$3,$B319&gt;=供应商对账单!$E$3,$B319&lt;=供应商对账单!$H$3),COUNTIFS($D$5:$D319,供应商对账单!$B$3,$B$5:$B319,"&gt;="&amp;供应商对账单!$E$3,$B$5:$B319,"&lt;="&amp;供应商对账单!$H$3),"")</f>
        <v/>
      </c>
    </row>
    <row r="320" customFormat="false" ht="15.75" hidden="false" customHeight="true" outlineLevel="0" collapsed="false">
      <c r="A320" s="42" t="str">
        <f aca="false">IF($B320="","","CG"&amp;TEXT($B320,"yyyymm")&amp;"-"&amp;TEXT(ROW()-4,"000"))</f>
        <v/>
      </c>
      <c r="B320" s="41"/>
      <c r="C320" s="42" t="str">
        <f aca="false">IF($B320="","",TEXT($B320,"yyyy-mm"))</f>
        <v/>
      </c>
      <c r="D320" s="32"/>
      <c r="E320" s="36"/>
      <c r="F320" s="43"/>
      <c r="G320" s="40"/>
      <c r="H320" s="51"/>
      <c r="I320" s="33"/>
      <c r="J320" s="31"/>
      <c r="K320" s="33"/>
      <c r="L320" s="33"/>
      <c r="M320" s="36"/>
      <c r="N320" s="47" t="str">
        <f aca="false">IF($B320="","",IF(NOT(ISNUMBER($B320)),"日期不是日期格式",IF(YEAR($B320)&lt;&gt;首页!$B$3,"不在会计年度",IF($D320="","未选供应商",IF(ISNA(MATCH($D320,基础资料!$AF$6:$AF$155,0)),"供应商不在档案",IF($E320="","未填商品或内容",IF(NOT(ISNUMBER($F320)),"数量须为数字",IF(NOT(ISNUMBER($G320)),"单价须为数字",IF(N($F320)&lt;=0,"数量须大于0",IF($I320="","请选是否入库",IF(AND($I320="是",ISNA(MATCH($E320,基础资料!$Q$6:$Q$205,0))),"入库商品必须在商品档案中",IF(AND($I320="否",$J320&lt;&gt;"",ISNA(MATCH($J320,科目参数!$A$6:$A$125,0))),"费用科目不存在","√"))))))))))))</f>
        <v/>
      </c>
      <c r="O320" s="49" t="str">
        <f aca="false">IF($E320="","",IFERROR(INDEX(基础资料!$R$6:$R$205,MATCH($E320,基础资料!$Q$6:$Q$205,0)),""))</f>
        <v/>
      </c>
      <c r="P320" s="49" t="str">
        <f aca="false">IF($E320="","",IFERROR(INDEX(基础资料!$S$6:$S$205,MATCH($E320,基础资料!$Q$6:$Q$205,0)),""))</f>
        <v/>
      </c>
      <c r="Q320" s="48" t="str">
        <f aca="false">IF(OR($F320="",$G320=""),"",ROUND(N($F320)*N($G320),2))</f>
        <v/>
      </c>
      <c r="R320" s="48" t="str">
        <f aca="false">IF($Q320="","",ROUND(N($Q320)*N($H320),2))</f>
        <v/>
      </c>
      <c r="S320" s="48" t="str">
        <f aca="false">IF($Q320="","",N($Q320)+N($R320))</f>
        <v/>
      </c>
      <c r="T320" s="52" t="str">
        <f aca="false">IF(OR($B320="",$D320=""),"",$B320+N(IFERROR(INDEX(基础资料!$AH$6:$AH$155,MATCH($D320,基础资料!$AF$6:$AF$155,0)),0)))</f>
        <v/>
      </c>
      <c r="U320" s="49" t="str">
        <f aca="false">IF($Q320="","",IF($I320="是","1405",IF($J320="","6602",$J320)))</f>
        <v/>
      </c>
      <c r="V320" s="49" t="str">
        <f aca="false">IF($Q320="","","2202")</f>
        <v/>
      </c>
      <c r="W320" s="48" t="str">
        <f aca="false">IF($Q320="","",$Q320)</f>
        <v/>
      </c>
      <c r="X320" s="49" t="str">
        <f aca="false">IF(N($R320)=0,"","2221")</f>
        <v/>
      </c>
      <c r="Y320" s="49" t="str">
        <f aca="false">IF(N($R320)=0,"","2202")</f>
        <v/>
      </c>
      <c r="Z320" s="48" t="str">
        <f aca="false">IF(N($R320)=0,"",$R320)</f>
        <v/>
      </c>
      <c r="AA320" s="49" t="str">
        <f aca="false">IF(AND($D320=供应商对账单!$B$3,$B320&gt;=供应商对账单!$E$3,$B320&lt;=供应商对账单!$H$3),COUNTIFS($D$5:$D320,供应商对账单!$B$3,$B$5:$B320,"&gt;="&amp;供应商对账单!$E$3,$B$5:$B320,"&lt;="&amp;供应商对账单!$H$3),"")</f>
        <v/>
      </c>
    </row>
    <row r="321" customFormat="false" ht="15.75" hidden="false" customHeight="true" outlineLevel="0" collapsed="false">
      <c r="A321" s="42" t="str">
        <f aca="false">IF($B321="","","CG"&amp;TEXT($B321,"yyyymm")&amp;"-"&amp;TEXT(ROW()-4,"000"))</f>
        <v/>
      </c>
      <c r="B321" s="41"/>
      <c r="C321" s="42" t="str">
        <f aca="false">IF($B321="","",TEXT($B321,"yyyy-mm"))</f>
        <v/>
      </c>
      <c r="D321" s="32"/>
      <c r="E321" s="36"/>
      <c r="F321" s="43"/>
      <c r="G321" s="40"/>
      <c r="H321" s="51"/>
      <c r="I321" s="33"/>
      <c r="J321" s="31"/>
      <c r="K321" s="33"/>
      <c r="L321" s="33"/>
      <c r="M321" s="36"/>
      <c r="N321" s="47" t="str">
        <f aca="false">IF($B321="","",IF(NOT(ISNUMBER($B321)),"日期不是日期格式",IF(YEAR($B321)&lt;&gt;首页!$B$3,"不在会计年度",IF($D321="","未选供应商",IF(ISNA(MATCH($D321,基础资料!$AF$6:$AF$155,0)),"供应商不在档案",IF($E321="","未填商品或内容",IF(NOT(ISNUMBER($F321)),"数量须为数字",IF(NOT(ISNUMBER($G321)),"单价须为数字",IF(N($F321)&lt;=0,"数量须大于0",IF($I321="","请选是否入库",IF(AND($I321="是",ISNA(MATCH($E321,基础资料!$Q$6:$Q$205,0))),"入库商品必须在商品档案中",IF(AND($I321="否",$J321&lt;&gt;"",ISNA(MATCH($J321,科目参数!$A$6:$A$125,0))),"费用科目不存在","√"))))))))))))</f>
        <v/>
      </c>
      <c r="O321" s="49" t="str">
        <f aca="false">IF($E321="","",IFERROR(INDEX(基础资料!$R$6:$R$205,MATCH($E321,基础资料!$Q$6:$Q$205,0)),""))</f>
        <v/>
      </c>
      <c r="P321" s="49" t="str">
        <f aca="false">IF($E321="","",IFERROR(INDEX(基础资料!$S$6:$S$205,MATCH($E321,基础资料!$Q$6:$Q$205,0)),""))</f>
        <v/>
      </c>
      <c r="Q321" s="48" t="str">
        <f aca="false">IF(OR($F321="",$G321=""),"",ROUND(N($F321)*N($G321),2))</f>
        <v/>
      </c>
      <c r="R321" s="48" t="str">
        <f aca="false">IF($Q321="","",ROUND(N($Q321)*N($H321),2))</f>
        <v/>
      </c>
      <c r="S321" s="48" t="str">
        <f aca="false">IF($Q321="","",N($Q321)+N($R321))</f>
        <v/>
      </c>
      <c r="T321" s="52" t="str">
        <f aca="false">IF(OR($B321="",$D321=""),"",$B321+N(IFERROR(INDEX(基础资料!$AH$6:$AH$155,MATCH($D321,基础资料!$AF$6:$AF$155,0)),0)))</f>
        <v/>
      </c>
      <c r="U321" s="49" t="str">
        <f aca="false">IF($Q321="","",IF($I321="是","1405",IF($J321="","6602",$J321)))</f>
        <v/>
      </c>
      <c r="V321" s="49" t="str">
        <f aca="false">IF($Q321="","","2202")</f>
        <v/>
      </c>
      <c r="W321" s="48" t="str">
        <f aca="false">IF($Q321="","",$Q321)</f>
        <v/>
      </c>
      <c r="X321" s="49" t="str">
        <f aca="false">IF(N($R321)=0,"","2221")</f>
        <v/>
      </c>
      <c r="Y321" s="49" t="str">
        <f aca="false">IF(N($R321)=0,"","2202")</f>
        <v/>
      </c>
      <c r="Z321" s="48" t="str">
        <f aca="false">IF(N($R321)=0,"",$R321)</f>
        <v/>
      </c>
      <c r="AA321" s="49" t="str">
        <f aca="false">IF(AND($D321=供应商对账单!$B$3,$B321&gt;=供应商对账单!$E$3,$B321&lt;=供应商对账单!$H$3),COUNTIFS($D$5:$D321,供应商对账单!$B$3,$B$5:$B321,"&gt;="&amp;供应商对账单!$E$3,$B$5:$B321,"&lt;="&amp;供应商对账单!$H$3),"")</f>
        <v/>
      </c>
    </row>
    <row r="322" customFormat="false" ht="15.75" hidden="false" customHeight="true" outlineLevel="0" collapsed="false">
      <c r="A322" s="42" t="str">
        <f aca="false">IF($B322="","","CG"&amp;TEXT($B322,"yyyymm")&amp;"-"&amp;TEXT(ROW()-4,"000"))</f>
        <v/>
      </c>
      <c r="B322" s="41"/>
      <c r="C322" s="42" t="str">
        <f aca="false">IF($B322="","",TEXT($B322,"yyyy-mm"))</f>
        <v/>
      </c>
      <c r="D322" s="32"/>
      <c r="E322" s="36"/>
      <c r="F322" s="43"/>
      <c r="G322" s="40"/>
      <c r="H322" s="51"/>
      <c r="I322" s="33"/>
      <c r="J322" s="31"/>
      <c r="K322" s="33"/>
      <c r="L322" s="33"/>
      <c r="M322" s="36"/>
      <c r="N322" s="47" t="str">
        <f aca="false">IF($B322="","",IF(NOT(ISNUMBER($B322)),"日期不是日期格式",IF(YEAR($B322)&lt;&gt;首页!$B$3,"不在会计年度",IF($D322="","未选供应商",IF(ISNA(MATCH($D322,基础资料!$AF$6:$AF$155,0)),"供应商不在档案",IF($E322="","未填商品或内容",IF(NOT(ISNUMBER($F322)),"数量须为数字",IF(NOT(ISNUMBER($G322)),"单价须为数字",IF(N($F322)&lt;=0,"数量须大于0",IF($I322="","请选是否入库",IF(AND($I322="是",ISNA(MATCH($E322,基础资料!$Q$6:$Q$205,0))),"入库商品必须在商品档案中",IF(AND($I322="否",$J322&lt;&gt;"",ISNA(MATCH($J322,科目参数!$A$6:$A$125,0))),"费用科目不存在","√"))))))))))))</f>
        <v/>
      </c>
      <c r="O322" s="49" t="str">
        <f aca="false">IF($E322="","",IFERROR(INDEX(基础资料!$R$6:$R$205,MATCH($E322,基础资料!$Q$6:$Q$205,0)),""))</f>
        <v/>
      </c>
      <c r="P322" s="49" t="str">
        <f aca="false">IF($E322="","",IFERROR(INDEX(基础资料!$S$6:$S$205,MATCH($E322,基础资料!$Q$6:$Q$205,0)),""))</f>
        <v/>
      </c>
      <c r="Q322" s="48" t="str">
        <f aca="false">IF(OR($F322="",$G322=""),"",ROUND(N($F322)*N($G322),2))</f>
        <v/>
      </c>
      <c r="R322" s="48" t="str">
        <f aca="false">IF($Q322="","",ROUND(N($Q322)*N($H322),2))</f>
        <v/>
      </c>
      <c r="S322" s="48" t="str">
        <f aca="false">IF($Q322="","",N($Q322)+N($R322))</f>
        <v/>
      </c>
      <c r="T322" s="52" t="str">
        <f aca="false">IF(OR($B322="",$D322=""),"",$B322+N(IFERROR(INDEX(基础资料!$AH$6:$AH$155,MATCH($D322,基础资料!$AF$6:$AF$155,0)),0)))</f>
        <v/>
      </c>
      <c r="U322" s="49" t="str">
        <f aca="false">IF($Q322="","",IF($I322="是","1405",IF($J322="","6602",$J322)))</f>
        <v/>
      </c>
      <c r="V322" s="49" t="str">
        <f aca="false">IF($Q322="","","2202")</f>
        <v/>
      </c>
      <c r="W322" s="48" t="str">
        <f aca="false">IF($Q322="","",$Q322)</f>
        <v/>
      </c>
      <c r="X322" s="49" t="str">
        <f aca="false">IF(N($R322)=0,"","2221")</f>
        <v/>
      </c>
      <c r="Y322" s="49" t="str">
        <f aca="false">IF(N($R322)=0,"","2202")</f>
        <v/>
      </c>
      <c r="Z322" s="48" t="str">
        <f aca="false">IF(N($R322)=0,"",$R322)</f>
        <v/>
      </c>
      <c r="AA322" s="49" t="str">
        <f aca="false">IF(AND($D322=供应商对账单!$B$3,$B322&gt;=供应商对账单!$E$3,$B322&lt;=供应商对账单!$H$3),COUNTIFS($D$5:$D322,供应商对账单!$B$3,$B$5:$B322,"&gt;="&amp;供应商对账单!$E$3,$B$5:$B322,"&lt;="&amp;供应商对账单!$H$3),"")</f>
        <v/>
      </c>
    </row>
    <row r="323" customFormat="false" ht="15.75" hidden="false" customHeight="true" outlineLevel="0" collapsed="false">
      <c r="A323" s="42" t="str">
        <f aca="false">IF($B323="","","CG"&amp;TEXT($B323,"yyyymm")&amp;"-"&amp;TEXT(ROW()-4,"000"))</f>
        <v/>
      </c>
      <c r="B323" s="41"/>
      <c r="C323" s="42" t="str">
        <f aca="false">IF($B323="","",TEXT($B323,"yyyy-mm"))</f>
        <v/>
      </c>
      <c r="D323" s="32"/>
      <c r="E323" s="36"/>
      <c r="F323" s="43"/>
      <c r="G323" s="40"/>
      <c r="H323" s="51"/>
      <c r="I323" s="33"/>
      <c r="J323" s="31"/>
      <c r="K323" s="33"/>
      <c r="L323" s="33"/>
      <c r="M323" s="36"/>
      <c r="N323" s="47" t="str">
        <f aca="false">IF($B323="","",IF(NOT(ISNUMBER($B323)),"日期不是日期格式",IF(YEAR($B323)&lt;&gt;首页!$B$3,"不在会计年度",IF($D323="","未选供应商",IF(ISNA(MATCH($D323,基础资料!$AF$6:$AF$155,0)),"供应商不在档案",IF($E323="","未填商品或内容",IF(NOT(ISNUMBER($F323)),"数量须为数字",IF(NOT(ISNUMBER($G323)),"单价须为数字",IF(N($F323)&lt;=0,"数量须大于0",IF($I323="","请选是否入库",IF(AND($I323="是",ISNA(MATCH($E323,基础资料!$Q$6:$Q$205,0))),"入库商品必须在商品档案中",IF(AND($I323="否",$J323&lt;&gt;"",ISNA(MATCH($J323,科目参数!$A$6:$A$125,0))),"费用科目不存在","√"))))))))))))</f>
        <v/>
      </c>
      <c r="O323" s="49" t="str">
        <f aca="false">IF($E323="","",IFERROR(INDEX(基础资料!$R$6:$R$205,MATCH($E323,基础资料!$Q$6:$Q$205,0)),""))</f>
        <v/>
      </c>
      <c r="P323" s="49" t="str">
        <f aca="false">IF($E323="","",IFERROR(INDEX(基础资料!$S$6:$S$205,MATCH($E323,基础资料!$Q$6:$Q$205,0)),""))</f>
        <v/>
      </c>
      <c r="Q323" s="48" t="str">
        <f aca="false">IF(OR($F323="",$G323=""),"",ROUND(N($F323)*N($G323),2))</f>
        <v/>
      </c>
      <c r="R323" s="48" t="str">
        <f aca="false">IF($Q323="","",ROUND(N($Q323)*N($H323),2))</f>
        <v/>
      </c>
      <c r="S323" s="48" t="str">
        <f aca="false">IF($Q323="","",N($Q323)+N($R323))</f>
        <v/>
      </c>
      <c r="T323" s="52" t="str">
        <f aca="false">IF(OR($B323="",$D323=""),"",$B323+N(IFERROR(INDEX(基础资料!$AH$6:$AH$155,MATCH($D323,基础资料!$AF$6:$AF$155,0)),0)))</f>
        <v/>
      </c>
      <c r="U323" s="49" t="str">
        <f aca="false">IF($Q323="","",IF($I323="是","1405",IF($J323="","6602",$J323)))</f>
        <v/>
      </c>
      <c r="V323" s="49" t="str">
        <f aca="false">IF($Q323="","","2202")</f>
        <v/>
      </c>
      <c r="W323" s="48" t="str">
        <f aca="false">IF($Q323="","",$Q323)</f>
        <v/>
      </c>
      <c r="X323" s="49" t="str">
        <f aca="false">IF(N($R323)=0,"","2221")</f>
        <v/>
      </c>
      <c r="Y323" s="49" t="str">
        <f aca="false">IF(N($R323)=0,"","2202")</f>
        <v/>
      </c>
      <c r="Z323" s="48" t="str">
        <f aca="false">IF(N($R323)=0,"",$R323)</f>
        <v/>
      </c>
      <c r="AA323" s="49" t="str">
        <f aca="false">IF(AND($D323=供应商对账单!$B$3,$B323&gt;=供应商对账单!$E$3,$B323&lt;=供应商对账单!$H$3),COUNTIFS($D$5:$D323,供应商对账单!$B$3,$B$5:$B323,"&gt;="&amp;供应商对账单!$E$3,$B$5:$B323,"&lt;="&amp;供应商对账单!$H$3),"")</f>
        <v/>
      </c>
    </row>
    <row r="324" customFormat="false" ht="15.75" hidden="false" customHeight="true" outlineLevel="0" collapsed="false">
      <c r="A324" s="42" t="str">
        <f aca="false">IF($B324="","","CG"&amp;TEXT($B324,"yyyymm")&amp;"-"&amp;TEXT(ROW()-4,"000"))</f>
        <v/>
      </c>
      <c r="B324" s="41"/>
      <c r="C324" s="42" t="str">
        <f aca="false">IF($B324="","",TEXT($B324,"yyyy-mm"))</f>
        <v/>
      </c>
      <c r="D324" s="32"/>
      <c r="E324" s="36"/>
      <c r="F324" s="43"/>
      <c r="G324" s="40"/>
      <c r="H324" s="51"/>
      <c r="I324" s="33"/>
      <c r="J324" s="31"/>
      <c r="K324" s="33"/>
      <c r="L324" s="33"/>
      <c r="M324" s="36"/>
      <c r="N324" s="47" t="str">
        <f aca="false">IF($B324="","",IF(NOT(ISNUMBER($B324)),"日期不是日期格式",IF(YEAR($B324)&lt;&gt;首页!$B$3,"不在会计年度",IF($D324="","未选供应商",IF(ISNA(MATCH($D324,基础资料!$AF$6:$AF$155,0)),"供应商不在档案",IF($E324="","未填商品或内容",IF(NOT(ISNUMBER($F324)),"数量须为数字",IF(NOT(ISNUMBER($G324)),"单价须为数字",IF(N($F324)&lt;=0,"数量须大于0",IF($I324="","请选是否入库",IF(AND($I324="是",ISNA(MATCH($E324,基础资料!$Q$6:$Q$205,0))),"入库商品必须在商品档案中",IF(AND($I324="否",$J324&lt;&gt;"",ISNA(MATCH($J324,科目参数!$A$6:$A$125,0))),"费用科目不存在","√"))))))))))))</f>
        <v/>
      </c>
      <c r="O324" s="49" t="str">
        <f aca="false">IF($E324="","",IFERROR(INDEX(基础资料!$R$6:$R$205,MATCH($E324,基础资料!$Q$6:$Q$205,0)),""))</f>
        <v/>
      </c>
      <c r="P324" s="49" t="str">
        <f aca="false">IF($E324="","",IFERROR(INDEX(基础资料!$S$6:$S$205,MATCH($E324,基础资料!$Q$6:$Q$205,0)),""))</f>
        <v/>
      </c>
      <c r="Q324" s="48" t="str">
        <f aca="false">IF(OR($F324="",$G324=""),"",ROUND(N($F324)*N($G324),2))</f>
        <v/>
      </c>
      <c r="R324" s="48" t="str">
        <f aca="false">IF($Q324="","",ROUND(N($Q324)*N($H324),2))</f>
        <v/>
      </c>
      <c r="S324" s="48" t="str">
        <f aca="false">IF($Q324="","",N($Q324)+N($R324))</f>
        <v/>
      </c>
      <c r="T324" s="52" t="str">
        <f aca="false">IF(OR($B324="",$D324=""),"",$B324+N(IFERROR(INDEX(基础资料!$AH$6:$AH$155,MATCH($D324,基础资料!$AF$6:$AF$155,0)),0)))</f>
        <v/>
      </c>
      <c r="U324" s="49" t="str">
        <f aca="false">IF($Q324="","",IF($I324="是","1405",IF($J324="","6602",$J324)))</f>
        <v/>
      </c>
      <c r="V324" s="49" t="str">
        <f aca="false">IF($Q324="","","2202")</f>
        <v/>
      </c>
      <c r="W324" s="48" t="str">
        <f aca="false">IF($Q324="","",$Q324)</f>
        <v/>
      </c>
      <c r="X324" s="49" t="str">
        <f aca="false">IF(N($R324)=0,"","2221")</f>
        <v/>
      </c>
      <c r="Y324" s="49" t="str">
        <f aca="false">IF(N($R324)=0,"","2202")</f>
        <v/>
      </c>
      <c r="Z324" s="48" t="str">
        <f aca="false">IF(N($R324)=0,"",$R324)</f>
        <v/>
      </c>
      <c r="AA324" s="49" t="str">
        <f aca="false">IF(AND($D324=供应商对账单!$B$3,$B324&gt;=供应商对账单!$E$3,$B324&lt;=供应商对账单!$H$3),COUNTIFS($D$5:$D324,供应商对账单!$B$3,$B$5:$B324,"&gt;="&amp;供应商对账单!$E$3,$B$5:$B324,"&lt;="&amp;供应商对账单!$H$3),"")</f>
        <v/>
      </c>
    </row>
    <row r="325" customFormat="false" ht="15.75" hidden="false" customHeight="true" outlineLevel="0" collapsed="false">
      <c r="A325" s="42" t="str">
        <f aca="false">IF($B325="","","CG"&amp;TEXT($B325,"yyyymm")&amp;"-"&amp;TEXT(ROW()-4,"000"))</f>
        <v/>
      </c>
      <c r="B325" s="41"/>
      <c r="C325" s="42" t="str">
        <f aca="false">IF($B325="","",TEXT($B325,"yyyy-mm"))</f>
        <v/>
      </c>
      <c r="D325" s="32"/>
      <c r="E325" s="36"/>
      <c r="F325" s="43"/>
      <c r="G325" s="40"/>
      <c r="H325" s="51"/>
      <c r="I325" s="33"/>
      <c r="J325" s="31"/>
      <c r="K325" s="33"/>
      <c r="L325" s="33"/>
      <c r="M325" s="36"/>
      <c r="N325" s="47" t="str">
        <f aca="false">IF($B325="","",IF(NOT(ISNUMBER($B325)),"日期不是日期格式",IF(YEAR($B325)&lt;&gt;首页!$B$3,"不在会计年度",IF($D325="","未选供应商",IF(ISNA(MATCH($D325,基础资料!$AF$6:$AF$155,0)),"供应商不在档案",IF($E325="","未填商品或内容",IF(NOT(ISNUMBER($F325)),"数量须为数字",IF(NOT(ISNUMBER($G325)),"单价须为数字",IF(N($F325)&lt;=0,"数量须大于0",IF($I325="","请选是否入库",IF(AND($I325="是",ISNA(MATCH($E325,基础资料!$Q$6:$Q$205,0))),"入库商品必须在商品档案中",IF(AND($I325="否",$J325&lt;&gt;"",ISNA(MATCH($J325,科目参数!$A$6:$A$125,0))),"费用科目不存在","√"))))))))))))</f>
        <v/>
      </c>
      <c r="O325" s="49" t="str">
        <f aca="false">IF($E325="","",IFERROR(INDEX(基础资料!$R$6:$R$205,MATCH($E325,基础资料!$Q$6:$Q$205,0)),""))</f>
        <v/>
      </c>
      <c r="P325" s="49" t="str">
        <f aca="false">IF($E325="","",IFERROR(INDEX(基础资料!$S$6:$S$205,MATCH($E325,基础资料!$Q$6:$Q$205,0)),""))</f>
        <v/>
      </c>
      <c r="Q325" s="48" t="str">
        <f aca="false">IF(OR($F325="",$G325=""),"",ROUND(N($F325)*N($G325),2))</f>
        <v/>
      </c>
      <c r="R325" s="48" t="str">
        <f aca="false">IF($Q325="","",ROUND(N($Q325)*N($H325),2))</f>
        <v/>
      </c>
      <c r="S325" s="48" t="str">
        <f aca="false">IF($Q325="","",N($Q325)+N($R325))</f>
        <v/>
      </c>
      <c r="T325" s="52" t="str">
        <f aca="false">IF(OR($B325="",$D325=""),"",$B325+N(IFERROR(INDEX(基础资料!$AH$6:$AH$155,MATCH($D325,基础资料!$AF$6:$AF$155,0)),0)))</f>
        <v/>
      </c>
      <c r="U325" s="49" t="str">
        <f aca="false">IF($Q325="","",IF($I325="是","1405",IF($J325="","6602",$J325)))</f>
        <v/>
      </c>
      <c r="V325" s="49" t="str">
        <f aca="false">IF($Q325="","","2202")</f>
        <v/>
      </c>
      <c r="W325" s="48" t="str">
        <f aca="false">IF($Q325="","",$Q325)</f>
        <v/>
      </c>
      <c r="X325" s="49" t="str">
        <f aca="false">IF(N($R325)=0,"","2221")</f>
        <v/>
      </c>
      <c r="Y325" s="49" t="str">
        <f aca="false">IF(N($R325)=0,"","2202")</f>
        <v/>
      </c>
      <c r="Z325" s="48" t="str">
        <f aca="false">IF(N($R325)=0,"",$R325)</f>
        <v/>
      </c>
      <c r="AA325" s="49" t="str">
        <f aca="false">IF(AND($D325=供应商对账单!$B$3,$B325&gt;=供应商对账单!$E$3,$B325&lt;=供应商对账单!$H$3),COUNTIFS($D$5:$D325,供应商对账单!$B$3,$B$5:$B325,"&gt;="&amp;供应商对账单!$E$3,$B$5:$B325,"&lt;="&amp;供应商对账单!$H$3),"")</f>
        <v/>
      </c>
    </row>
    <row r="326" customFormat="false" ht="15.75" hidden="false" customHeight="true" outlineLevel="0" collapsed="false">
      <c r="A326" s="42" t="str">
        <f aca="false">IF($B326="","","CG"&amp;TEXT($B326,"yyyymm")&amp;"-"&amp;TEXT(ROW()-4,"000"))</f>
        <v/>
      </c>
      <c r="B326" s="41"/>
      <c r="C326" s="42" t="str">
        <f aca="false">IF($B326="","",TEXT($B326,"yyyy-mm"))</f>
        <v/>
      </c>
      <c r="D326" s="32"/>
      <c r="E326" s="36"/>
      <c r="F326" s="43"/>
      <c r="G326" s="40"/>
      <c r="H326" s="51"/>
      <c r="I326" s="33"/>
      <c r="J326" s="31"/>
      <c r="K326" s="33"/>
      <c r="L326" s="33"/>
      <c r="M326" s="36"/>
      <c r="N326" s="47" t="str">
        <f aca="false">IF($B326="","",IF(NOT(ISNUMBER($B326)),"日期不是日期格式",IF(YEAR($B326)&lt;&gt;首页!$B$3,"不在会计年度",IF($D326="","未选供应商",IF(ISNA(MATCH($D326,基础资料!$AF$6:$AF$155,0)),"供应商不在档案",IF($E326="","未填商品或内容",IF(NOT(ISNUMBER($F326)),"数量须为数字",IF(NOT(ISNUMBER($G326)),"单价须为数字",IF(N($F326)&lt;=0,"数量须大于0",IF($I326="","请选是否入库",IF(AND($I326="是",ISNA(MATCH($E326,基础资料!$Q$6:$Q$205,0))),"入库商品必须在商品档案中",IF(AND($I326="否",$J326&lt;&gt;"",ISNA(MATCH($J326,科目参数!$A$6:$A$125,0))),"费用科目不存在","√"))))))))))))</f>
        <v/>
      </c>
      <c r="O326" s="49" t="str">
        <f aca="false">IF($E326="","",IFERROR(INDEX(基础资料!$R$6:$R$205,MATCH($E326,基础资料!$Q$6:$Q$205,0)),""))</f>
        <v/>
      </c>
      <c r="P326" s="49" t="str">
        <f aca="false">IF($E326="","",IFERROR(INDEX(基础资料!$S$6:$S$205,MATCH($E326,基础资料!$Q$6:$Q$205,0)),""))</f>
        <v/>
      </c>
      <c r="Q326" s="48" t="str">
        <f aca="false">IF(OR($F326="",$G326=""),"",ROUND(N($F326)*N($G326),2))</f>
        <v/>
      </c>
      <c r="R326" s="48" t="str">
        <f aca="false">IF($Q326="","",ROUND(N($Q326)*N($H326),2))</f>
        <v/>
      </c>
      <c r="S326" s="48" t="str">
        <f aca="false">IF($Q326="","",N($Q326)+N($R326))</f>
        <v/>
      </c>
      <c r="T326" s="52" t="str">
        <f aca="false">IF(OR($B326="",$D326=""),"",$B326+N(IFERROR(INDEX(基础资料!$AH$6:$AH$155,MATCH($D326,基础资料!$AF$6:$AF$155,0)),0)))</f>
        <v/>
      </c>
      <c r="U326" s="49" t="str">
        <f aca="false">IF($Q326="","",IF($I326="是","1405",IF($J326="","6602",$J326)))</f>
        <v/>
      </c>
      <c r="V326" s="49" t="str">
        <f aca="false">IF($Q326="","","2202")</f>
        <v/>
      </c>
      <c r="W326" s="48" t="str">
        <f aca="false">IF($Q326="","",$Q326)</f>
        <v/>
      </c>
      <c r="X326" s="49" t="str">
        <f aca="false">IF(N($R326)=0,"","2221")</f>
        <v/>
      </c>
      <c r="Y326" s="49" t="str">
        <f aca="false">IF(N($R326)=0,"","2202")</f>
        <v/>
      </c>
      <c r="Z326" s="48" t="str">
        <f aca="false">IF(N($R326)=0,"",$R326)</f>
        <v/>
      </c>
      <c r="AA326" s="49" t="str">
        <f aca="false">IF(AND($D326=供应商对账单!$B$3,$B326&gt;=供应商对账单!$E$3,$B326&lt;=供应商对账单!$H$3),COUNTIFS($D$5:$D326,供应商对账单!$B$3,$B$5:$B326,"&gt;="&amp;供应商对账单!$E$3,$B$5:$B326,"&lt;="&amp;供应商对账单!$H$3),"")</f>
        <v/>
      </c>
    </row>
    <row r="327" customFormat="false" ht="15.75" hidden="false" customHeight="true" outlineLevel="0" collapsed="false">
      <c r="A327" s="42" t="str">
        <f aca="false">IF($B327="","","CG"&amp;TEXT($B327,"yyyymm")&amp;"-"&amp;TEXT(ROW()-4,"000"))</f>
        <v/>
      </c>
      <c r="B327" s="41"/>
      <c r="C327" s="42" t="str">
        <f aca="false">IF($B327="","",TEXT($B327,"yyyy-mm"))</f>
        <v/>
      </c>
      <c r="D327" s="32"/>
      <c r="E327" s="36"/>
      <c r="F327" s="43"/>
      <c r="G327" s="40"/>
      <c r="H327" s="51"/>
      <c r="I327" s="33"/>
      <c r="J327" s="31"/>
      <c r="K327" s="33"/>
      <c r="L327" s="33"/>
      <c r="M327" s="36"/>
      <c r="N327" s="47" t="str">
        <f aca="false">IF($B327="","",IF(NOT(ISNUMBER($B327)),"日期不是日期格式",IF(YEAR($B327)&lt;&gt;首页!$B$3,"不在会计年度",IF($D327="","未选供应商",IF(ISNA(MATCH($D327,基础资料!$AF$6:$AF$155,0)),"供应商不在档案",IF($E327="","未填商品或内容",IF(NOT(ISNUMBER($F327)),"数量须为数字",IF(NOT(ISNUMBER($G327)),"单价须为数字",IF(N($F327)&lt;=0,"数量须大于0",IF($I327="","请选是否入库",IF(AND($I327="是",ISNA(MATCH($E327,基础资料!$Q$6:$Q$205,0))),"入库商品必须在商品档案中",IF(AND($I327="否",$J327&lt;&gt;"",ISNA(MATCH($J327,科目参数!$A$6:$A$125,0))),"费用科目不存在","√"))))))))))))</f>
        <v/>
      </c>
      <c r="O327" s="49" t="str">
        <f aca="false">IF($E327="","",IFERROR(INDEX(基础资料!$R$6:$R$205,MATCH($E327,基础资料!$Q$6:$Q$205,0)),""))</f>
        <v/>
      </c>
      <c r="P327" s="49" t="str">
        <f aca="false">IF($E327="","",IFERROR(INDEX(基础资料!$S$6:$S$205,MATCH($E327,基础资料!$Q$6:$Q$205,0)),""))</f>
        <v/>
      </c>
      <c r="Q327" s="48" t="str">
        <f aca="false">IF(OR($F327="",$G327=""),"",ROUND(N($F327)*N($G327),2))</f>
        <v/>
      </c>
      <c r="R327" s="48" t="str">
        <f aca="false">IF($Q327="","",ROUND(N($Q327)*N($H327),2))</f>
        <v/>
      </c>
      <c r="S327" s="48" t="str">
        <f aca="false">IF($Q327="","",N($Q327)+N($R327))</f>
        <v/>
      </c>
      <c r="T327" s="52" t="str">
        <f aca="false">IF(OR($B327="",$D327=""),"",$B327+N(IFERROR(INDEX(基础资料!$AH$6:$AH$155,MATCH($D327,基础资料!$AF$6:$AF$155,0)),0)))</f>
        <v/>
      </c>
      <c r="U327" s="49" t="str">
        <f aca="false">IF($Q327="","",IF($I327="是","1405",IF($J327="","6602",$J327)))</f>
        <v/>
      </c>
      <c r="V327" s="49" t="str">
        <f aca="false">IF($Q327="","","2202")</f>
        <v/>
      </c>
      <c r="W327" s="48" t="str">
        <f aca="false">IF($Q327="","",$Q327)</f>
        <v/>
      </c>
      <c r="X327" s="49" t="str">
        <f aca="false">IF(N($R327)=0,"","2221")</f>
        <v/>
      </c>
      <c r="Y327" s="49" t="str">
        <f aca="false">IF(N($R327)=0,"","2202")</f>
        <v/>
      </c>
      <c r="Z327" s="48" t="str">
        <f aca="false">IF(N($R327)=0,"",$R327)</f>
        <v/>
      </c>
      <c r="AA327" s="49" t="str">
        <f aca="false">IF(AND($D327=供应商对账单!$B$3,$B327&gt;=供应商对账单!$E$3,$B327&lt;=供应商对账单!$H$3),COUNTIFS($D$5:$D327,供应商对账单!$B$3,$B$5:$B327,"&gt;="&amp;供应商对账单!$E$3,$B$5:$B327,"&lt;="&amp;供应商对账单!$H$3),"")</f>
        <v/>
      </c>
    </row>
    <row r="328" customFormat="false" ht="15.75" hidden="false" customHeight="true" outlineLevel="0" collapsed="false">
      <c r="A328" s="42" t="str">
        <f aca="false">IF($B328="","","CG"&amp;TEXT($B328,"yyyymm")&amp;"-"&amp;TEXT(ROW()-4,"000"))</f>
        <v/>
      </c>
      <c r="B328" s="41"/>
      <c r="C328" s="42" t="str">
        <f aca="false">IF($B328="","",TEXT($B328,"yyyy-mm"))</f>
        <v/>
      </c>
      <c r="D328" s="32"/>
      <c r="E328" s="36"/>
      <c r="F328" s="43"/>
      <c r="G328" s="40"/>
      <c r="H328" s="51"/>
      <c r="I328" s="33"/>
      <c r="J328" s="31"/>
      <c r="K328" s="33"/>
      <c r="L328" s="33"/>
      <c r="M328" s="36"/>
      <c r="N328" s="47" t="str">
        <f aca="false">IF($B328="","",IF(NOT(ISNUMBER($B328)),"日期不是日期格式",IF(YEAR($B328)&lt;&gt;首页!$B$3,"不在会计年度",IF($D328="","未选供应商",IF(ISNA(MATCH($D328,基础资料!$AF$6:$AF$155,0)),"供应商不在档案",IF($E328="","未填商品或内容",IF(NOT(ISNUMBER($F328)),"数量须为数字",IF(NOT(ISNUMBER($G328)),"单价须为数字",IF(N($F328)&lt;=0,"数量须大于0",IF($I328="","请选是否入库",IF(AND($I328="是",ISNA(MATCH($E328,基础资料!$Q$6:$Q$205,0))),"入库商品必须在商品档案中",IF(AND($I328="否",$J328&lt;&gt;"",ISNA(MATCH($J328,科目参数!$A$6:$A$125,0))),"费用科目不存在","√"))))))))))))</f>
        <v/>
      </c>
      <c r="O328" s="49" t="str">
        <f aca="false">IF($E328="","",IFERROR(INDEX(基础资料!$R$6:$R$205,MATCH($E328,基础资料!$Q$6:$Q$205,0)),""))</f>
        <v/>
      </c>
      <c r="P328" s="49" t="str">
        <f aca="false">IF($E328="","",IFERROR(INDEX(基础资料!$S$6:$S$205,MATCH($E328,基础资料!$Q$6:$Q$205,0)),""))</f>
        <v/>
      </c>
      <c r="Q328" s="48" t="str">
        <f aca="false">IF(OR($F328="",$G328=""),"",ROUND(N($F328)*N($G328),2))</f>
        <v/>
      </c>
      <c r="R328" s="48" t="str">
        <f aca="false">IF($Q328="","",ROUND(N($Q328)*N($H328),2))</f>
        <v/>
      </c>
      <c r="S328" s="48" t="str">
        <f aca="false">IF($Q328="","",N($Q328)+N($R328))</f>
        <v/>
      </c>
      <c r="T328" s="52" t="str">
        <f aca="false">IF(OR($B328="",$D328=""),"",$B328+N(IFERROR(INDEX(基础资料!$AH$6:$AH$155,MATCH($D328,基础资料!$AF$6:$AF$155,0)),0)))</f>
        <v/>
      </c>
      <c r="U328" s="49" t="str">
        <f aca="false">IF($Q328="","",IF($I328="是","1405",IF($J328="","6602",$J328)))</f>
        <v/>
      </c>
      <c r="V328" s="49" t="str">
        <f aca="false">IF($Q328="","","2202")</f>
        <v/>
      </c>
      <c r="W328" s="48" t="str">
        <f aca="false">IF($Q328="","",$Q328)</f>
        <v/>
      </c>
      <c r="X328" s="49" t="str">
        <f aca="false">IF(N($R328)=0,"","2221")</f>
        <v/>
      </c>
      <c r="Y328" s="49" t="str">
        <f aca="false">IF(N($R328)=0,"","2202")</f>
        <v/>
      </c>
      <c r="Z328" s="48" t="str">
        <f aca="false">IF(N($R328)=0,"",$R328)</f>
        <v/>
      </c>
      <c r="AA328" s="49" t="str">
        <f aca="false">IF(AND($D328=供应商对账单!$B$3,$B328&gt;=供应商对账单!$E$3,$B328&lt;=供应商对账单!$H$3),COUNTIFS($D$5:$D328,供应商对账单!$B$3,$B$5:$B328,"&gt;="&amp;供应商对账单!$E$3,$B$5:$B328,"&lt;="&amp;供应商对账单!$H$3),"")</f>
        <v/>
      </c>
    </row>
    <row r="329" customFormat="false" ht="15.75" hidden="false" customHeight="true" outlineLevel="0" collapsed="false">
      <c r="A329" s="42" t="str">
        <f aca="false">IF($B329="","","CG"&amp;TEXT($B329,"yyyymm")&amp;"-"&amp;TEXT(ROW()-4,"000"))</f>
        <v/>
      </c>
      <c r="B329" s="41"/>
      <c r="C329" s="42" t="str">
        <f aca="false">IF($B329="","",TEXT($B329,"yyyy-mm"))</f>
        <v/>
      </c>
      <c r="D329" s="32"/>
      <c r="E329" s="36"/>
      <c r="F329" s="43"/>
      <c r="G329" s="40"/>
      <c r="H329" s="51"/>
      <c r="I329" s="33"/>
      <c r="J329" s="31"/>
      <c r="K329" s="33"/>
      <c r="L329" s="33"/>
      <c r="M329" s="36"/>
      <c r="N329" s="47" t="str">
        <f aca="false">IF($B329="","",IF(NOT(ISNUMBER($B329)),"日期不是日期格式",IF(YEAR($B329)&lt;&gt;首页!$B$3,"不在会计年度",IF($D329="","未选供应商",IF(ISNA(MATCH($D329,基础资料!$AF$6:$AF$155,0)),"供应商不在档案",IF($E329="","未填商品或内容",IF(NOT(ISNUMBER($F329)),"数量须为数字",IF(NOT(ISNUMBER($G329)),"单价须为数字",IF(N($F329)&lt;=0,"数量须大于0",IF($I329="","请选是否入库",IF(AND($I329="是",ISNA(MATCH($E329,基础资料!$Q$6:$Q$205,0))),"入库商品必须在商品档案中",IF(AND($I329="否",$J329&lt;&gt;"",ISNA(MATCH($J329,科目参数!$A$6:$A$125,0))),"费用科目不存在","√"))))))))))))</f>
        <v/>
      </c>
      <c r="O329" s="49" t="str">
        <f aca="false">IF($E329="","",IFERROR(INDEX(基础资料!$R$6:$R$205,MATCH($E329,基础资料!$Q$6:$Q$205,0)),""))</f>
        <v/>
      </c>
      <c r="P329" s="49" t="str">
        <f aca="false">IF($E329="","",IFERROR(INDEX(基础资料!$S$6:$S$205,MATCH($E329,基础资料!$Q$6:$Q$205,0)),""))</f>
        <v/>
      </c>
      <c r="Q329" s="48" t="str">
        <f aca="false">IF(OR($F329="",$G329=""),"",ROUND(N($F329)*N($G329),2))</f>
        <v/>
      </c>
      <c r="R329" s="48" t="str">
        <f aca="false">IF($Q329="","",ROUND(N($Q329)*N($H329),2))</f>
        <v/>
      </c>
      <c r="S329" s="48" t="str">
        <f aca="false">IF($Q329="","",N($Q329)+N($R329))</f>
        <v/>
      </c>
      <c r="T329" s="52" t="str">
        <f aca="false">IF(OR($B329="",$D329=""),"",$B329+N(IFERROR(INDEX(基础资料!$AH$6:$AH$155,MATCH($D329,基础资料!$AF$6:$AF$155,0)),0)))</f>
        <v/>
      </c>
      <c r="U329" s="49" t="str">
        <f aca="false">IF($Q329="","",IF($I329="是","1405",IF($J329="","6602",$J329)))</f>
        <v/>
      </c>
      <c r="V329" s="49" t="str">
        <f aca="false">IF($Q329="","","2202")</f>
        <v/>
      </c>
      <c r="W329" s="48" t="str">
        <f aca="false">IF($Q329="","",$Q329)</f>
        <v/>
      </c>
      <c r="X329" s="49" t="str">
        <f aca="false">IF(N($R329)=0,"","2221")</f>
        <v/>
      </c>
      <c r="Y329" s="49" t="str">
        <f aca="false">IF(N($R329)=0,"","2202")</f>
        <v/>
      </c>
      <c r="Z329" s="48" t="str">
        <f aca="false">IF(N($R329)=0,"",$R329)</f>
        <v/>
      </c>
      <c r="AA329" s="49" t="str">
        <f aca="false">IF(AND($D329=供应商对账单!$B$3,$B329&gt;=供应商对账单!$E$3,$B329&lt;=供应商对账单!$H$3),COUNTIFS($D$5:$D329,供应商对账单!$B$3,$B$5:$B329,"&gt;="&amp;供应商对账单!$E$3,$B$5:$B329,"&lt;="&amp;供应商对账单!$H$3),"")</f>
        <v/>
      </c>
    </row>
    <row r="330" customFormat="false" ht="15.75" hidden="false" customHeight="true" outlineLevel="0" collapsed="false">
      <c r="A330" s="42" t="str">
        <f aca="false">IF($B330="","","CG"&amp;TEXT($B330,"yyyymm")&amp;"-"&amp;TEXT(ROW()-4,"000"))</f>
        <v/>
      </c>
      <c r="B330" s="41"/>
      <c r="C330" s="42" t="str">
        <f aca="false">IF($B330="","",TEXT($B330,"yyyy-mm"))</f>
        <v/>
      </c>
      <c r="D330" s="32"/>
      <c r="E330" s="36"/>
      <c r="F330" s="43"/>
      <c r="G330" s="40"/>
      <c r="H330" s="51"/>
      <c r="I330" s="33"/>
      <c r="J330" s="31"/>
      <c r="K330" s="33"/>
      <c r="L330" s="33"/>
      <c r="M330" s="36"/>
      <c r="N330" s="47" t="str">
        <f aca="false">IF($B330="","",IF(NOT(ISNUMBER($B330)),"日期不是日期格式",IF(YEAR($B330)&lt;&gt;首页!$B$3,"不在会计年度",IF($D330="","未选供应商",IF(ISNA(MATCH($D330,基础资料!$AF$6:$AF$155,0)),"供应商不在档案",IF($E330="","未填商品或内容",IF(NOT(ISNUMBER($F330)),"数量须为数字",IF(NOT(ISNUMBER($G330)),"单价须为数字",IF(N($F330)&lt;=0,"数量须大于0",IF($I330="","请选是否入库",IF(AND($I330="是",ISNA(MATCH($E330,基础资料!$Q$6:$Q$205,0))),"入库商品必须在商品档案中",IF(AND($I330="否",$J330&lt;&gt;"",ISNA(MATCH($J330,科目参数!$A$6:$A$125,0))),"费用科目不存在","√"))))))))))))</f>
        <v/>
      </c>
      <c r="O330" s="49" t="str">
        <f aca="false">IF($E330="","",IFERROR(INDEX(基础资料!$R$6:$R$205,MATCH($E330,基础资料!$Q$6:$Q$205,0)),""))</f>
        <v/>
      </c>
      <c r="P330" s="49" t="str">
        <f aca="false">IF($E330="","",IFERROR(INDEX(基础资料!$S$6:$S$205,MATCH($E330,基础资料!$Q$6:$Q$205,0)),""))</f>
        <v/>
      </c>
      <c r="Q330" s="48" t="str">
        <f aca="false">IF(OR($F330="",$G330=""),"",ROUND(N($F330)*N($G330),2))</f>
        <v/>
      </c>
      <c r="R330" s="48" t="str">
        <f aca="false">IF($Q330="","",ROUND(N($Q330)*N($H330),2))</f>
        <v/>
      </c>
      <c r="S330" s="48" t="str">
        <f aca="false">IF($Q330="","",N($Q330)+N($R330))</f>
        <v/>
      </c>
      <c r="T330" s="52" t="str">
        <f aca="false">IF(OR($B330="",$D330=""),"",$B330+N(IFERROR(INDEX(基础资料!$AH$6:$AH$155,MATCH($D330,基础资料!$AF$6:$AF$155,0)),0)))</f>
        <v/>
      </c>
      <c r="U330" s="49" t="str">
        <f aca="false">IF($Q330="","",IF($I330="是","1405",IF($J330="","6602",$J330)))</f>
        <v/>
      </c>
      <c r="V330" s="49" t="str">
        <f aca="false">IF($Q330="","","2202")</f>
        <v/>
      </c>
      <c r="W330" s="48" t="str">
        <f aca="false">IF($Q330="","",$Q330)</f>
        <v/>
      </c>
      <c r="X330" s="49" t="str">
        <f aca="false">IF(N($R330)=0,"","2221")</f>
        <v/>
      </c>
      <c r="Y330" s="49" t="str">
        <f aca="false">IF(N($R330)=0,"","2202")</f>
        <v/>
      </c>
      <c r="Z330" s="48" t="str">
        <f aca="false">IF(N($R330)=0,"",$R330)</f>
        <v/>
      </c>
      <c r="AA330" s="49" t="str">
        <f aca="false">IF(AND($D330=供应商对账单!$B$3,$B330&gt;=供应商对账单!$E$3,$B330&lt;=供应商对账单!$H$3),COUNTIFS($D$5:$D330,供应商对账单!$B$3,$B$5:$B330,"&gt;="&amp;供应商对账单!$E$3,$B$5:$B330,"&lt;="&amp;供应商对账单!$H$3),"")</f>
        <v/>
      </c>
    </row>
    <row r="331" customFormat="false" ht="15.75" hidden="false" customHeight="true" outlineLevel="0" collapsed="false">
      <c r="A331" s="42" t="str">
        <f aca="false">IF($B331="","","CG"&amp;TEXT($B331,"yyyymm")&amp;"-"&amp;TEXT(ROW()-4,"000"))</f>
        <v/>
      </c>
      <c r="B331" s="41"/>
      <c r="C331" s="42" t="str">
        <f aca="false">IF($B331="","",TEXT($B331,"yyyy-mm"))</f>
        <v/>
      </c>
      <c r="D331" s="32"/>
      <c r="E331" s="36"/>
      <c r="F331" s="43"/>
      <c r="G331" s="40"/>
      <c r="H331" s="51"/>
      <c r="I331" s="33"/>
      <c r="J331" s="31"/>
      <c r="K331" s="33"/>
      <c r="L331" s="33"/>
      <c r="M331" s="36"/>
      <c r="N331" s="47" t="str">
        <f aca="false">IF($B331="","",IF(NOT(ISNUMBER($B331)),"日期不是日期格式",IF(YEAR($B331)&lt;&gt;首页!$B$3,"不在会计年度",IF($D331="","未选供应商",IF(ISNA(MATCH($D331,基础资料!$AF$6:$AF$155,0)),"供应商不在档案",IF($E331="","未填商品或内容",IF(NOT(ISNUMBER($F331)),"数量须为数字",IF(NOT(ISNUMBER($G331)),"单价须为数字",IF(N($F331)&lt;=0,"数量须大于0",IF($I331="","请选是否入库",IF(AND($I331="是",ISNA(MATCH($E331,基础资料!$Q$6:$Q$205,0))),"入库商品必须在商品档案中",IF(AND($I331="否",$J331&lt;&gt;"",ISNA(MATCH($J331,科目参数!$A$6:$A$125,0))),"费用科目不存在","√"))))))))))))</f>
        <v/>
      </c>
      <c r="O331" s="49" t="str">
        <f aca="false">IF($E331="","",IFERROR(INDEX(基础资料!$R$6:$R$205,MATCH($E331,基础资料!$Q$6:$Q$205,0)),""))</f>
        <v/>
      </c>
      <c r="P331" s="49" t="str">
        <f aca="false">IF($E331="","",IFERROR(INDEX(基础资料!$S$6:$S$205,MATCH($E331,基础资料!$Q$6:$Q$205,0)),""))</f>
        <v/>
      </c>
      <c r="Q331" s="48" t="str">
        <f aca="false">IF(OR($F331="",$G331=""),"",ROUND(N($F331)*N($G331),2))</f>
        <v/>
      </c>
      <c r="R331" s="48" t="str">
        <f aca="false">IF($Q331="","",ROUND(N($Q331)*N($H331),2))</f>
        <v/>
      </c>
      <c r="S331" s="48" t="str">
        <f aca="false">IF($Q331="","",N($Q331)+N($R331))</f>
        <v/>
      </c>
      <c r="T331" s="52" t="str">
        <f aca="false">IF(OR($B331="",$D331=""),"",$B331+N(IFERROR(INDEX(基础资料!$AH$6:$AH$155,MATCH($D331,基础资料!$AF$6:$AF$155,0)),0)))</f>
        <v/>
      </c>
      <c r="U331" s="49" t="str">
        <f aca="false">IF($Q331="","",IF($I331="是","1405",IF($J331="","6602",$J331)))</f>
        <v/>
      </c>
      <c r="V331" s="49" t="str">
        <f aca="false">IF($Q331="","","2202")</f>
        <v/>
      </c>
      <c r="W331" s="48" t="str">
        <f aca="false">IF($Q331="","",$Q331)</f>
        <v/>
      </c>
      <c r="X331" s="49" t="str">
        <f aca="false">IF(N($R331)=0,"","2221")</f>
        <v/>
      </c>
      <c r="Y331" s="49" t="str">
        <f aca="false">IF(N($R331)=0,"","2202")</f>
        <v/>
      </c>
      <c r="Z331" s="48" t="str">
        <f aca="false">IF(N($R331)=0,"",$R331)</f>
        <v/>
      </c>
      <c r="AA331" s="49" t="str">
        <f aca="false">IF(AND($D331=供应商对账单!$B$3,$B331&gt;=供应商对账单!$E$3,$B331&lt;=供应商对账单!$H$3),COUNTIFS($D$5:$D331,供应商对账单!$B$3,$B$5:$B331,"&gt;="&amp;供应商对账单!$E$3,$B$5:$B331,"&lt;="&amp;供应商对账单!$H$3),"")</f>
        <v/>
      </c>
    </row>
    <row r="332" customFormat="false" ht="15.75" hidden="false" customHeight="true" outlineLevel="0" collapsed="false">
      <c r="A332" s="42" t="str">
        <f aca="false">IF($B332="","","CG"&amp;TEXT($B332,"yyyymm")&amp;"-"&amp;TEXT(ROW()-4,"000"))</f>
        <v/>
      </c>
      <c r="B332" s="41"/>
      <c r="C332" s="42" t="str">
        <f aca="false">IF($B332="","",TEXT($B332,"yyyy-mm"))</f>
        <v/>
      </c>
      <c r="D332" s="32"/>
      <c r="E332" s="36"/>
      <c r="F332" s="43"/>
      <c r="G332" s="40"/>
      <c r="H332" s="51"/>
      <c r="I332" s="33"/>
      <c r="J332" s="31"/>
      <c r="K332" s="33"/>
      <c r="L332" s="33"/>
      <c r="M332" s="36"/>
      <c r="N332" s="47" t="str">
        <f aca="false">IF($B332="","",IF(NOT(ISNUMBER($B332)),"日期不是日期格式",IF(YEAR($B332)&lt;&gt;首页!$B$3,"不在会计年度",IF($D332="","未选供应商",IF(ISNA(MATCH($D332,基础资料!$AF$6:$AF$155,0)),"供应商不在档案",IF($E332="","未填商品或内容",IF(NOT(ISNUMBER($F332)),"数量须为数字",IF(NOT(ISNUMBER($G332)),"单价须为数字",IF(N($F332)&lt;=0,"数量须大于0",IF($I332="","请选是否入库",IF(AND($I332="是",ISNA(MATCH($E332,基础资料!$Q$6:$Q$205,0))),"入库商品必须在商品档案中",IF(AND($I332="否",$J332&lt;&gt;"",ISNA(MATCH($J332,科目参数!$A$6:$A$125,0))),"费用科目不存在","√"))))))))))))</f>
        <v/>
      </c>
      <c r="O332" s="49" t="str">
        <f aca="false">IF($E332="","",IFERROR(INDEX(基础资料!$R$6:$R$205,MATCH($E332,基础资料!$Q$6:$Q$205,0)),""))</f>
        <v/>
      </c>
      <c r="P332" s="49" t="str">
        <f aca="false">IF($E332="","",IFERROR(INDEX(基础资料!$S$6:$S$205,MATCH($E332,基础资料!$Q$6:$Q$205,0)),""))</f>
        <v/>
      </c>
      <c r="Q332" s="48" t="str">
        <f aca="false">IF(OR($F332="",$G332=""),"",ROUND(N($F332)*N($G332),2))</f>
        <v/>
      </c>
      <c r="R332" s="48" t="str">
        <f aca="false">IF($Q332="","",ROUND(N($Q332)*N($H332),2))</f>
        <v/>
      </c>
      <c r="S332" s="48" t="str">
        <f aca="false">IF($Q332="","",N($Q332)+N($R332))</f>
        <v/>
      </c>
      <c r="T332" s="52" t="str">
        <f aca="false">IF(OR($B332="",$D332=""),"",$B332+N(IFERROR(INDEX(基础资料!$AH$6:$AH$155,MATCH($D332,基础资料!$AF$6:$AF$155,0)),0)))</f>
        <v/>
      </c>
      <c r="U332" s="49" t="str">
        <f aca="false">IF($Q332="","",IF($I332="是","1405",IF($J332="","6602",$J332)))</f>
        <v/>
      </c>
      <c r="V332" s="49" t="str">
        <f aca="false">IF($Q332="","","2202")</f>
        <v/>
      </c>
      <c r="W332" s="48" t="str">
        <f aca="false">IF($Q332="","",$Q332)</f>
        <v/>
      </c>
      <c r="X332" s="49" t="str">
        <f aca="false">IF(N($R332)=0,"","2221")</f>
        <v/>
      </c>
      <c r="Y332" s="49" t="str">
        <f aca="false">IF(N($R332)=0,"","2202")</f>
        <v/>
      </c>
      <c r="Z332" s="48" t="str">
        <f aca="false">IF(N($R332)=0,"",$R332)</f>
        <v/>
      </c>
      <c r="AA332" s="49" t="str">
        <f aca="false">IF(AND($D332=供应商对账单!$B$3,$B332&gt;=供应商对账单!$E$3,$B332&lt;=供应商对账单!$H$3),COUNTIFS($D$5:$D332,供应商对账单!$B$3,$B$5:$B332,"&gt;="&amp;供应商对账单!$E$3,$B$5:$B332,"&lt;="&amp;供应商对账单!$H$3),"")</f>
        <v/>
      </c>
    </row>
    <row r="333" customFormat="false" ht="15.75" hidden="false" customHeight="true" outlineLevel="0" collapsed="false">
      <c r="A333" s="42" t="str">
        <f aca="false">IF($B333="","","CG"&amp;TEXT($B333,"yyyymm")&amp;"-"&amp;TEXT(ROW()-4,"000"))</f>
        <v/>
      </c>
      <c r="B333" s="41"/>
      <c r="C333" s="42" t="str">
        <f aca="false">IF($B333="","",TEXT($B333,"yyyy-mm"))</f>
        <v/>
      </c>
      <c r="D333" s="32"/>
      <c r="E333" s="36"/>
      <c r="F333" s="43"/>
      <c r="G333" s="40"/>
      <c r="H333" s="51"/>
      <c r="I333" s="33"/>
      <c r="J333" s="31"/>
      <c r="K333" s="33"/>
      <c r="L333" s="33"/>
      <c r="M333" s="36"/>
      <c r="N333" s="47" t="str">
        <f aca="false">IF($B333="","",IF(NOT(ISNUMBER($B333)),"日期不是日期格式",IF(YEAR($B333)&lt;&gt;首页!$B$3,"不在会计年度",IF($D333="","未选供应商",IF(ISNA(MATCH($D333,基础资料!$AF$6:$AF$155,0)),"供应商不在档案",IF($E333="","未填商品或内容",IF(NOT(ISNUMBER($F333)),"数量须为数字",IF(NOT(ISNUMBER($G333)),"单价须为数字",IF(N($F333)&lt;=0,"数量须大于0",IF($I333="","请选是否入库",IF(AND($I333="是",ISNA(MATCH($E333,基础资料!$Q$6:$Q$205,0))),"入库商品必须在商品档案中",IF(AND($I333="否",$J333&lt;&gt;"",ISNA(MATCH($J333,科目参数!$A$6:$A$125,0))),"费用科目不存在","√"))))))))))))</f>
        <v/>
      </c>
      <c r="O333" s="49" t="str">
        <f aca="false">IF($E333="","",IFERROR(INDEX(基础资料!$R$6:$R$205,MATCH($E333,基础资料!$Q$6:$Q$205,0)),""))</f>
        <v/>
      </c>
      <c r="P333" s="49" t="str">
        <f aca="false">IF($E333="","",IFERROR(INDEX(基础资料!$S$6:$S$205,MATCH($E333,基础资料!$Q$6:$Q$205,0)),""))</f>
        <v/>
      </c>
      <c r="Q333" s="48" t="str">
        <f aca="false">IF(OR($F333="",$G333=""),"",ROUND(N($F333)*N($G333),2))</f>
        <v/>
      </c>
      <c r="R333" s="48" t="str">
        <f aca="false">IF($Q333="","",ROUND(N($Q333)*N($H333),2))</f>
        <v/>
      </c>
      <c r="S333" s="48" t="str">
        <f aca="false">IF($Q333="","",N($Q333)+N($R333))</f>
        <v/>
      </c>
      <c r="T333" s="52" t="str">
        <f aca="false">IF(OR($B333="",$D333=""),"",$B333+N(IFERROR(INDEX(基础资料!$AH$6:$AH$155,MATCH($D333,基础资料!$AF$6:$AF$155,0)),0)))</f>
        <v/>
      </c>
      <c r="U333" s="49" t="str">
        <f aca="false">IF($Q333="","",IF($I333="是","1405",IF($J333="","6602",$J333)))</f>
        <v/>
      </c>
      <c r="V333" s="49" t="str">
        <f aca="false">IF($Q333="","","2202")</f>
        <v/>
      </c>
      <c r="W333" s="48" t="str">
        <f aca="false">IF($Q333="","",$Q333)</f>
        <v/>
      </c>
      <c r="X333" s="49" t="str">
        <f aca="false">IF(N($R333)=0,"","2221")</f>
        <v/>
      </c>
      <c r="Y333" s="49" t="str">
        <f aca="false">IF(N($R333)=0,"","2202")</f>
        <v/>
      </c>
      <c r="Z333" s="48" t="str">
        <f aca="false">IF(N($R333)=0,"",$R333)</f>
        <v/>
      </c>
      <c r="AA333" s="49" t="str">
        <f aca="false">IF(AND($D333=供应商对账单!$B$3,$B333&gt;=供应商对账单!$E$3,$B333&lt;=供应商对账单!$H$3),COUNTIFS($D$5:$D333,供应商对账单!$B$3,$B$5:$B333,"&gt;="&amp;供应商对账单!$E$3,$B$5:$B333,"&lt;="&amp;供应商对账单!$H$3),"")</f>
        <v/>
      </c>
    </row>
    <row r="334" customFormat="false" ht="15.75" hidden="false" customHeight="true" outlineLevel="0" collapsed="false">
      <c r="A334" s="42" t="str">
        <f aca="false">IF($B334="","","CG"&amp;TEXT($B334,"yyyymm")&amp;"-"&amp;TEXT(ROW()-4,"000"))</f>
        <v/>
      </c>
      <c r="B334" s="41"/>
      <c r="C334" s="42" t="str">
        <f aca="false">IF($B334="","",TEXT($B334,"yyyy-mm"))</f>
        <v/>
      </c>
      <c r="D334" s="32"/>
      <c r="E334" s="36"/>
      <c r="F334" s="43"/>
      <c r="G334" s="40"/>
      <c r="H334" s="51"/>
      <c r="I334" s="33"/>
      <c r="J334" s="31"/>
      <c r="K334" s="33"/>
      <c r="L334" s="33"/>
      <c r="M334" s="36"/>
      <c r="N334" s="47" t="str">
        <f aca="false">IF($B334="","",IF(NOT(ISNUMBER($B334)),"日期不是日期格式",IF(YEAR($B334)&lt;&gt;首页!$B$3,"不在会计年度",IF($D334="","未选供应商",IF(ISNA(MATCH($D334,基础资料!$AF$6:$AF$155,0)),"供应商不在档案",IF($E334="","未填商品或内容",IF(NOT(ISNUMBER($F334)),"数量须为数字",IF(NOT(ISNUMBER($G334)),"单价须为数字",IF(N($F334)&lt;=0,"数量须大于0",IF($I334="","请选是否入库",IF(AND($I334="是",ISNA(MATCH($E334,基础资料!$Q$6:$Q$205,0))),"入库商品必须在商品档案中",IF(AND($I334="否",$J334&lt;&gt;"",ISNA(MATCH($J334,科目参数!$A$6:$A$125,0))),"费用科目不存在","√"))))))))))))</f>
        <v/>
      </c>
      <c r="O334" s="49" t="str">
        <f aca="false">IF($E334="","",IFERROR(INDEX(基础资料!$R$6:$R$205,MATCH($E334,基础资料!$Q$6:$Q$205,0)),""))</f>
        <v/>
      </c>
      <c r="P334" s="49" t="str">
        <f aca="false">IF($E334="","",IFERROR(INDEX(基础资料!$S$6:$S$205,MATCH($E334,基础资料!$Q$6:$Q$205,0)),""))</f>
        <v/>
      </c>
      <c r="Q334" s="48" t="str">
        <f aca="false">IF(OR($F334="",$G334=""),"",ROUND(N($F334)*N($G334),2))</f>
        <v/>
      </c>
      <c r="R334" s="48" t="str">
        <f aca="false">IF($Q334="","",ROUND(N($Q334)*N($H334),2))</f>
        <v/>
      </c>
      <c r="S334" s="48" t="str">
        <f aca="false">IF($Q334="","",N($Q334)+N($R334))</f>
        <v/>
      </c>
      <c r="T334" s="52" t="str">
        <f aca="false">IF(OR($B334="",$D334=""),"",$B334+N(IFERROR(INDEX(基础资料!$AH$6:$AH$155,MATCH($D334,基础资料!$AF$6:$AF$155,0)),0)))</f>
        <v/>
      </c>
      <c r="U334" s="49" t="str">
        <f aca="false">IF($Q334="","",IF($I334="是","1405",IF($J334="","6602",$J334)))</f>
        <v/>
      </c>
      <c r="V334" s="49" t="str">
        <f aca="false">IF($Q334="","","2202")</f>
        <v/>
      </c>
      <c r="W334" s="48" t="str">
        <f aca="false">IF($Q334="","",$Q334)</f>
        <v/>
      </c>
      <c r="X334" s="49" t="str">
        <f aca="false">IF(N($R334)=0,"","2221")</f>
        <v/>
      </c>
      <c r="Y334" s="49" t="str">
        <f aca="false">IF(N($R334)=0,"","2202")</f>
        <v/>
      </c>
      <c r="Z334" s="48" t="str">
        <f aca="false">IF(N($R334)=0,"",$R334)</f>
        <v/>
      </c>
      <c r="AA334" s="49" t="str">
        <f aca="false">IF(AND($D334=供应商对账单!$B$3,$B334&gt;=供应商对账单!$E$3,$B334&lt;=供应商对账单!$H$3),COUNTIFS($D$5:$D334,供应商对账单!$B$3,$B$5:$B334,"&gt;="&amp;供应商对账单!$E$3,$B$5:$B334,"&lt;="&amp;供应商对账单!$H$3),"")</f>
        <v/>
      </c>
    </row>
    <row r="335" customFormat="false" ht="15.75" hidden="false" customHeight="true" outlineLevel="0" collapsed="false">
      <c r="A335" s="42" t="str">
        <f aca="false">IF($B335="","","CG"&amp;TEXT($B335,"yyyymm")&amp;"-"&amp;TEXT(ROW()-4,"000"))</f>
        <v/>
      </c>
      <c r="B335" s="41"/>
      <c r="C335" s="42" t="str">
        <f aca="false">IF($B335="","",TEXT($B335,"yyyy-mm"))</f>
        <v/>
      </c>
      <c r="D335" s="32"/>
      <c r="E335" s="36"/>
      <c r="F335" s="43"/>
      <c r="G335" s="40"/>
      <c r="H335" s="51"/>
      <c r="I335" s="33"/>
      <c r="J335" s="31"/>
      <c r="K335" s="33"/>
      <c r="L335" s="33"/>
      <c r="M335" s="36"/>
      <c r="N335" s="47" t="str">
        <f aca="false">IF($B335="","",IF(NOT(ISNUMBER($B335)),"日期不是日期格式",IF(YEAR($B335)&lt;&gt;首页!$B$3,"不在会计年度",IF($D335="","未选供应商",IF(ISNA(MATCH($D335,基础资料!$AF$6:$AF$155,0)),"供应商不在档案",IF($E335="","未填商品或内容",IF(NOT(ISNUMBER($F335)),"数量须为数字",IF(NOT(ISNUMBER($G335)),"单价须为数字",IF(N($F335)&lt;=0,"数量须大于0",IF($I335="","请选是否入库",IF(AND($I335="是",ISNA(MATCH($E335,基础资料!$Q$6:$Q$205,0))),"入库商品必须在商品档案中",IF(AND($I335="否",$J335&lt;&gt;"",ISNA(MATCH($J335,科目参数!$A$6:$A$125,0))),"费用科目不存在","√"))))))))))))</f>
        <v/>
      </c>
      <c r="O335" s="49" t="str">
        <f aca="false">IF($E335="","",IFERROR(INDEX(基础资料!$R$6:$R$205,MATCH($E335,基础资料!$Q$6:$Q$205,0)),""))</f>
        <v/>
      </c>
      <c r="P335" s="49" t="str">
        <f aca="false">IF($E335="","",IFERROR(INDEX(基础资料!$S$6:$S$205,MATCH($E335,基础资料!$Q$6:$Q$205,0)),""))</f>
        <v/>
      </c>
      <c r="Q335" s="48" t="str">
        <f aca="false">IF(OR($F335="",$G335=""),"",ROUND(N($F335)*N($G335),2))</f>
        <v/>
      </c>
      <c r="R335" s="48" t="str">
        <f aca="false">IF($Q335="","",ROUND(N($Q335)*N($H335),2))</f>
        <v/>
      </c>
      <c r="S335" s="48" t="str">
        <f aca="false">IF($Q335="","",N($Q335)+N($R335))</f>
        <v/>
      </c>
      <c r="T335" s="52" t="str">
        <f aca="false">IF(OR($B335="",$D335=""),"",$B335+N(IFERROR(INDEX(基础资料!$AH$6:$AH$155,MATCH($D335,基础资料!$AF$6:$AF$155,0)),0)))</f>
        <v/>
      </c>
      <c r="U335" s="49" t="str">
        <f aca="false">IF($Q335="","",IF($I335="是","1405",IF($J335="","6602",$J335)))</f>
        <v/>
      </c>
      <c r="V335" s="49" t="str">
        <f aca="false">IF($Q335="","","2202")</f>
        <v/>
      </c>
      <c r="W335" s="48" t="str">
        <f aca="false">IF($Q335="","",$Q335)</f>
        <v/>
      </c>
      <c r="X335" s="49" t="str">
        <f aca="false">IF(N($R335)=0,"","2221")</f>
        <v/>
      </c>
      <c r="Y335" s="49" t="str">
        <f aca="false">IF(N($R335)=0,"","2202")</f>
        <v/>
      </c>
      <c r="Z335" s="48" t="str">
        <f aca="false">IF(N($R335)=0,"",$R335)</f>
        <v/>
      </c>
      <c r="AA335" s="49" t="str">
        <f aca="false">IF(AND($D335=供应商对账单!$B$3,$B335&gt;=供应商对账单!$E$3,$B335&lt;=供应商对账单!$H$3),COUNTIFS($D$5:$D335,供应商对账单!$B$3,$B$5:$B335,"&gt;="&amp;供应商对账单!$E$3,$B$5:$B335,"&lt;="&amp;供应商对账单!$H$3),"")</f>
        <v/>
      </c>
    </row>
    <row r="336" customFormat="false" ht="15.75" hidden="false" customHeight="true" outlineLevel="0" collapsed="false">
      <c r="A336" s="42" t="str">
        <f aca="false">IF($B336="","","CG"&amp;TEXT($B336,"yyyymm")&amp;"-"&amp;TEXT(ROW()-4,"000"))</f>
        <v/>
      </c>
      <c r="B336" s="41"/>
      <c r="C336" s="42" t="str">
        <f aca="false">IF($B336="","",TEXT($B336,"yyyy-mm"))</f>
        <v/>
      </c>
      <c r="D336" s="32"/>
      <c r="E336" s="36"/>
      <c r="F336" s="43"/>
      <c r="G336" s="40"/>
      <c r="H336" s="51"/>
      <c r="I336" s="33"/>
      <c r="J336" s="31"/>
      <c r="K336" s="33"/>
      <c r="L336" s="33"/>
      <c r="M336" s="36"/>
      <c r="N336" s="47" t="str">
        <f aca="false">IF($B336="","",IF(NOT(ISNUMBER($B336)),"日期不是日期格式",IF(YEAR($B336)&lt;&gt;首页!$B$3,"不在会计年度",IF($D336="","未选供应商",IF(ISNA(MATCH($D336,基础资料!$AF$6:$AF$155,0)),"供应商不在档案",IF($E336="","未填商品或内容",IF(NOT(ISNUMBER($F336)),"数量须为数字",IF(NOT(ISNUMBER($G336)),"单价须为数字",IF(N($F336)&lt;=0,"数量须大于0",IF($I336="","请选是否入库",IF(AND($I336="是",ISNA(MATCH($E336,基础资料!$Q$6:$Q$205,0))),"入库商品必须在商品档案中",IF(AND($I336="否",$J336&lt;&gt;"",ISNA(MATCH($J336,科目参数!$A$6:$A$125,0))),"费用科目不存在","√"))))))))))))</f>
        <v/>
      </c>
      <c r="O336" s="49" t="str">
        <f aca="false">IF($E336="","",IFERROR(INDEX(基础资料!$R$6:$R$205,MATCH($E336,基础资料!$Q$6:$Q$205,0)),""))</f>
        <v/>
      </c>
      <c r="P336" s="49" t="str">
        <f aca="false">IF($E336="","",IFERROR(INDEX(基础资料!$S$6:$S$205,MATCH($E336,基础资料!$Q$6:$Q$205,0)),""))</f>
        <v/>
      </c>
      <c r="Q336" s="48" t="str">
        <f aca="false">IF(OR($F336="",$G336=""),"",ROUND(N($F336)*N($G336),2))</f>
        <v/>
      </c>
      <c r="R336" s="48" t="str">
        <f aca="false">IF($Q336="","",ROUND(N($Q336)*N($H336),2))</f>
        <v/>
      </c>
      <c r="S336" s="48" t="str">
        <f aca="false">IF($Q336="","",N($Q336)+N($R336))</f>
        <v/>
      </c>
      <c r="T336" s="52" t="str">
        <f aca="false">IF(OR($B336="",$D336=""),"",$B336+N(IFERROR(INDEX(基础资料!$AH$6:$AH$155,MATCH($D336,基础资料!$AF$6:$AF$155,0)),0)))</f>
        <v/>
      </c>
      <c r="U336" s="49" t="str">
        <f aca="false">IF($Q336="","",IF($I336="是","1405",IF($J336="","6602",$J336)))</f>
        <v/>
      </c>
      <c r="V336" s="49" t="str">
        <f aca="false">IF($Q336="","","2202")</f>
        <v/>
      </c>
      <c r="W336" s="48" t="str">
        <f aca="false">IF($Q336="","",$Q336)</f>
        <v/>
      </c>
      <c r="X336" s="49" t="str">
        <f aca="false">IF(N($R336)=0,"","2221")</f>
        <v/>
      </c>
      <c r="Y336" s="49" t="str">
        <f aca="false">IF(N($R336)=0,"","2202")</f>
        <v/>
      </c>
      <c r="Z336" s="48" t="str">
        <f aca="false">IF(N($R336)=0,"",$R336)</f>
        <v/>
      </c>
      <c r="AA336" s="49" t="str">
        <f aca="false">IF(AND($D336=供应商对账单!$B$3,$B336&gt;=供应商对账单!$E$3,$B336&lt;=供应商对账单!$H$3),COUNTIFS($D$5:$D336,供应商对账单!$B$3,$B$5:$B336,"&gt;="&amp;供应商对账单!$E$3,$B$5:$B336,"&lt;="&amp;供应商对账单!$H$3),"")</f>
        <v/>
      </c>
    </row>
    <row r="337" customFormat="false" ht="15.75" hidden="false" customHeight="true" outlineLevel="0" collapsed="false">
      <c r="A337" s="42" t="str">
        <f aca="false">IF($B337="","","CG"&amp;TEXT($B337,"yyyymm")&amp;"-"&amp;TEXT(ROW()-4,"000"))</f>
        <v/>
      </c>
      <c r="B337" s="41"/>
      <c r="C337" s="42" t="str">
        <f aca="false">IF($B337="","",TEXT($B337,"yyyy-mm"))</f>
        <v/>
      </c>
      <c r="D337" s="32"/>
      <c r="E337" s="36"/>
      <c r="F337" s="43"/>
      <c r="G337" s="40"/>
      <c r="H337" s="51"/>
      <c r="I337" s="33"/>
      <c r="J337" s="31"/>
      <c r="K337" s="33"/>
      <c r="L337" s="33"/>
      <c r="M337" s="36"/>
      <c r="N337" s="47" t="str">
        <f aca="false">IF($B337="","",IF(NOT(ISNUMBER($B337)),"日期不是日期格式",IF(YEAR($B337)&lt;&gt;首页!$B$3,"不在会计年度",IF($D337="","未选供应商",IF(ISNA(MATCH($D337,基础资料!$AF$6:$AF$155,0)),"供应商不在档案",IF($E337="","未填商品或内容",IF(NOT(ISNUMBER($F337)),"数量须为数字",IF(NOT(ISNUMBER($G337)),"单价须为数字",IF(N($F337)&lt;=0,"数量须大于0",IF($I337="","请选是否入库",IF(AND($I337="是",ISNA(MATCH($E337,基础资料!$Q$6:$Q$205,0))),"入库商品必须在商品档案中",IF(AND($I337="否",$J337&lt;&gt;"",ISNA(MATCH($J337,科目参数!$A$6:$A$125,0))),"费用科目不存在","√"))))))))))))</f>
        <v/>
      </c>
      <c r="O337" s="49" t="str">
        <f aca="false">IF($E337="","",IFERROR(INDEX(基础资料!$R$6:$R$205,MATCH($E337,基础资料!$Q$6:$Q$205,0)),""))</f>
        <v/>
      </c>
      <c r="P337" s="49" t="str">
        <f aca="false">IF($E337="","",IFERROR(INDEX(基础资料!$S$6:$S$205,MATCH($E337,基础资料!$Q$6:$Q$205,0)),""))</f>
        <v/>
      </c>
      <c r="Q337" s="48" t="str">
        <f aca="false">IF(OR($F337="",$G337=""),"",ROUND(N($F337)*N($G337),2))</f>
        <v/>
      </c>
      <c r="R337" s="48" t="str">
        <f aca="false">IF($Q337="","",ROUND(N($Q337)*N($H337),2))</f>
        <v/>
      </c>
      <c r="S337" s="48" t="str">
        <f aca="false">IF($Q337="","",N($Q337)+N($R337))</f>
        <v/>
      </c>
      <c r="T337" s="52" t="str">
        <f aca="false">IF(OR($B337="",$D337=""),"",$B337+N(IFERROR(INDEX(基础资料!$AH$6:$AH$155,MATCH($D337,基础资料!$AF$6:$AF$155,0)),0)))</f>
        <v/>
      </c>
      <c r="U337" s="49" t="str">
        <f aca="false">IF($Q337="","",IF($I337="是","1405",IF($J337="","6602",$J337)))</f>
        <v/>
      </c>
      <c r="V337" s="49" t="str">
        <f aca="false">IF($Q337="","","2202")</f>
        <v/>
      </c>
      <c r="W337" s="48" t="str">
        <f aca="false">IF($Q337="","",$Q337)</f>
        <v/>
      </c>
      <c r="X337" s="49" t="str">
        <f aca="false">IF(N($R337)=0,"","2221")</f>
        <v/>
      </c>
      <c r="Y337" s="49" t="str">
        <f aca="false">IF(N($R337)=0,"","2202")</f>
        <v/>
      </c>
      <c r="Z337" s="48" t="str">
        <f aca="false">IF(N($R337)=0,"",$R337)</f>
        <v/>
      </c>
      <c r="AA337" s="49" t="str">
        <f aca="false">IF(AND($D337=供应商对账单!$B$3,$B337&gt;=供应商对账单!$E$3,$B337&lt;=供应商对账单!$H$3),COUNTIFS($D$5:$D337,供应商对账单!$B$3,$B$5:$B337,"&gt;="&amp;供应商对账单!$E$3,$B$5:$B337,"&lt;="&amp;供应商对账单!$H$3),"")</f>
        <v/>
      </c>
    </row>
    <row r="338" customFormat="false" ht="15.75" hidden="false" customHeight="true" outlineLevel="0" collapsed="false">
      <c r="A338" s="42" t="str">
        <f aca="false">IF($B338="","","CG"&amp;TEXT($B338,"yyyymm")&amp;"-"&amp;TEXT(ROW()-4,"000"))</f>
        <v/>
      </c>
      <c r="B338" s="41"/>
      <c r="C338" s="42" t="str">
        <f aca="false">IF($B338="","",TEXT($B338,"yyyy-mm"))</f>
        <v/>
      </c>
      <c r="D338" s="32"/>
      <c r="E338" s="36"/>
      <c r="F338" s="43"/>
      <c r="G338" s="40"/>
      <c r="H338" s="51"/>
      <c r="I338" s="33"/>
      <c r="J338" s="31"/>
      <c r="K338" s="33"/>
      <c r="L338" s="33"/>
      <c r="M338" s="36"/>
      <c r="N338" s="47" t="str">
        <f aca="false">IF($B338="","",IF(NOT(ISNUMBER($B338)),"日期不是日期格式",IF(YEAR($B338)&lt;&gt;首页!$B$3,"不在会计年度",IF($D338="","未选供应商",IF(ISNA(MATCH($D338,基础资料!$AF$6:$AF$155,0)),"供应商不在档案",IF($E338="","未填商品或内容",IF(NOT(ISNUMBER($F338)),"数量须为数字",IF(NOT(ISNUMBER($G338)),"单价须为数字",IF(N($F338)&lt;=0,"数量须大于0",IF($I338="","请选是否入库",IF(AND($I338="是",ISNA(MATCH($E338,基础资料!$Q$6:$Q$205,0))),"入库商品必须在商品档案中",IF(AND($I338="否",$J338&lt;&gt;"",ISNA(MATCH($J338,科目参数!$A$6:$A$125,0))),"费用科目不存在","√"))))))))))))</f>
        <v/>
      </c>
      <c r="O338" s="49" t="str">
        <f aca="false">IF($E338="","",IFERROR(INDEX(基础资料!$R$6:$R$205,MATCH($E338,基础资料!$Q$6:$Q$205,0)),""))</f>
        <v/>
      </c>
      <c r="P338" s="49" t="str">
        <f aca="false">IF($E338="","",IFERROR(INDEX(基础资料!$S$6:$S$205,MATCH($E338,基础资料!$Q$6:$Q$205,0)),""))</f>
        <v/>
      </c>
      <c r="Q338" s="48" t="str">
        <f aca="false">IF(OR($F338="",$G338=""),"",ROUND(N($F338)*N($G338),2))</f>
        <v/>
      </c>
      <c r="R338" s="48" t="str">
        <f aca="false">IF($Q338="","",ROUND(N($Q338)*N($H338),2))</f>
        <v/>
      </c>
      <c r="S338" s="48" t="str">
        <f aca="false">IF($Q338="","",N($Q338)+N($R338))</f>
        <v/>
      </c>
      <c r="T338" s="52" t="str">
        <f aca="false">IF(OR($B338="",$D338=""),"",$B338+N(IFERROR(INDEX(基础资料!$AH$6:$AH$155,MATCH($D338,基础资料!$AF$6:$AF$155,0)),0)))</f>
        <v/>
      </c>
      <c r="U338" s="49" t="str">
        <f aca="false">IF($Q338="","",IF($I338="是","1405",IF($J338="","6602",$J338)))</f>
        <v/>
      </c>
      <c r="V338" s="49" t="str">
        <f aca="false">IF($Q338="","","2202")</f>
        <v/>
      </c>
      <c r="W338" s="48" t="str">
        <f aca="false">IF($Q338="","",$Q338)</f>
        <v/>
      </c>
      <c r="X338" s="49" t="str">
        <f aca="false">IF(N($R338)=0,"","2221")</f>
        <v/>
      </c>
      <c r="Y338" s="49" t="str">
        <f aca="false">IF(N($R338)=0,"","2202")</f>
        <v/>
      </c>
      <c r="Z338" s="48" t="str">
        <f aca="false">IF(N($R338)=0,"",$R338)</f>
        <v/>
      </c>
      <c r="AA338" s="49" t="str">
        <f aca="false">IF(AND($D338=供应商对账单!$B$3,$B338&gt;=供应商对账单!$E$3,$B338&lt;=供应商对账单!$H$3),COUNTIFS($D$5:$D338,供应商对账单!$B$3,$B$5:$B338,"&gt;="&amp;供应商对账单!$E$3,$B$5:$B338,"&lt;="&amp;供应商对账单!$H$3),"")</f>
        <v/>
      </c>
    </row>
    <row r="339" customFormat="false" ht="15.75" hidden="false" customHeight="true" outlineLevel="0" collapsed="false">
      <c r="A339" s="42" t="str">
        <f aca="false">IF($B339="","","CG"&amp;TEXT($B339,"yyyymm")&amp;"-"&amp;TEXT(ROW()-4,"000"))</f>
        <v/>
      </c>
      <c r="B339" s="41"/>
      <c r="C339" s="42" t="str">
        <f aca="false">IF($B339="","",TEXT($B339,"yyyy-mm"))</f>
        <v/>
      </c>
      <c r="D339" s="32"/>
      <c r="E339" s="36"/>
      <c r="F339" s="43"/>
      <c r="G339" s="40"/>
      <c r="H339" s="51"/>
      <c r="I339" s="33"/>
      <c r="J339" s="31"/>
      <c r="K339" s="33"/>
      <c r="L339" s="33"/>
      <c r="M339" s="36"/>
      <c r="N339" s="47" t="str">
        <f aca="false">IF($B339="","",IF(NOT(ISNUMBER($B339)),"日期不是日期格式",IF(YEAR($B339)&lt;&gt;首页!$B$3,"不在会计年度",IF($D339="","未选供应商",IF(ISNA(MATCH($D339,基础资料!$AF$6:$AF$155,0)),"供应商不在档案",IF($E339="","未填商品或内容",IF(NOT(ISNUMBER($F339)),"数量须为数字",IF(NOT(ISNUMBER($G339)),"单价须为数字",IF(N($F339)&lt;=0,"数量须大于0",IF($I339="","请选是否入库",IF(AND($I339="是",ISNA(MATCH($E339,基础资料!$Q$6:$Q$205,0))),"入库商品必须在商品档案中",IF(AND($I339="否",$J339&lt;&gt;"",ISNA(MATCH($J339,科目参数!$A$6:$A$125,0))),"费用科目不存在","√"))))))))))))</f>
        <v/>
      </c>
      <c r="O339" s="49" t="str">
        <f aca="false">IF($E339="","",IFERROR(INDEX(基础资料!$R$6:$R$205,MATCH($E339,基础资料!$Q$6:$Q$205,0)),""))</f>
        <v/>
      </c>
      <c r="P339" s="49" t="str">
        <f aca="false">IF($E339="","",IFERROR(INDEX(基础资料!$S$6:$S$205,MATCH($E339,基础资料!$Q$6:$Q$205,0)),""))</f>
        <v/>
      </c>
      <c r="Q339" s="48" t="str">
        <f aca="false">IF(OR($F339="",$G339=""),"",ROUND(N($F339)*N($G339),2))</f>
        <v/>
      </c>
      <c r="R339" s="48" t="str">
        <f aca="false">IF($Q339="","",ROUND(N($Q339)*N($H339),2))</f>
        <v/>
      </c>
      <c r="S339" s="48" t="str">
        <f aca="false">IF($Q339="","",N($Q339)+N($R339))</f>
        <v/>
      </c>
      <c r="T339" s="52" t="str">
        <f aca="false">IF(OR($B339="",$D339=""),"",$B339+N(IFERROR(INDEX(基础资料!$AH$6:$AH$155,MATCH($D339,基础资料!$AF$6:$AF$155,0)),0)))</f>
        <v/>
      </c>
      <c r="U339" s="49" t="str">
        <f aca="false">IF($Q339="","",IF($I339="是","1405",IF($J339="","6602",$J339)))</f>
        <v/>
      </c>
      <c r="V339" s="49" t="str">
        <f aca="false">IF($Q339="","","2202")</f>
        <v/>
      </c>
      <c r="W339" s="48" t="str">
        <f aca="false">IF($Q339="","",$Q339)</f>
        <v/>
      </c>
      <c r="X339" s="49" t="str">
        <f aca="false">IF(N($R339)=0,"","2221")</f>
        <v/>
      </c>
      <c r="Y339" s="49" t="str">
        <f aca="false">IF(N($R339)=0,"","2202")</f>
        <v/>
      </c>
      <c r="Z339" s="48" t="str">
        <f aca="false">IF(N($R339)=0,"",$R339)</f>
        <v/>
      </c>
      <c r="AA339" s="49" t="str">
        <f aca="false">IF(AND($D339=供应商对账单!$B$3,$B339&gt;=供应商对账单!$E$3,$B339&lt;=供应商对账单!$H$3),COUNTIFS($D$5:$D339,供应商对账单!$B$3,$B$5:$B339,"&gt;="&amp;供应商对账单!$E$3,$B$5:$B339,"&lt;="&amp;供应商对账单!$H$3),"")</f>
        <v/>
      </c>
    </row>
    <row r="340" customFormat="false" ht="15.75" hidden="false" customHeight="true" outlineLevel="0" collapsed="false">
      <c r="A340" s="42" t="str">
        <f aca="false">IF($B340="","","CG"&amp;TEXT($B340,"yyyymm")&amp;"-"&amp;TEXT(ROW()-4,"000"))</f>
        <v/>
      </c>
      <c r="B340" s="41"/>
      <c r="C340" s="42" t="str">
        <f aca="false">IF($B340="","",TEXT($B340,"yyyy-mm"))</f>
        <v/>
      </c>
      <c r="D340" s="32"/>
      <c r="E340" s="36"/>
      <c r="F340" s="43"/>
      <c r="G340" s="40"/>
      <c r="H340" s="51"/>
      <c r="I340" s="33"/>
      <c r="J340" s="31"/>
      <c r="K340" s="33"/>
      <c r="L340" s="33"/>
      <c r="M340" s="36"/>
      <c r="N340" s="47" t="str">
        <f aca="false">IF($B340="","",IF(NOT(ISNUMBER($B340)),"日期不是日期格式",IF(YEAR($B340)&lt;&gt;首页!$B$3,"不在会计年度",IF($D340="","未选供应商",IF(ISNA(MATCH($D340,基础资料!$AF$6:$AF$155,0)),"供应商不在档案",IF($E340="","未填商品或内容",IF(NOT(ISNUMBER($F340)),"数量须为数字",IF(NOT(ISNUMBER($G340)),"单价须为数字",IF(N($F340)&lt;=0,"数量须大于0",IF($I340="","请选是否入库",IF(AND($I340="是",ISNA(MATCH($E340,基础资料!$Q$6:$Q$205,0))),"入库商品必须在商品档案中",IF(AND($I340="否",$J340&lt;&gt;"",ISNA(MATCH($J340,科目参数!$A$6:$A$125,0))),"费用科目不存在","√"))))))))))))</f>
        <v/>
      </c>
      <c r="O340" s="49" t="str">
        <f aca="false">IF($E340="","",IFERROR(INDEX(基础资料!$R$6:$R$205,MATCH($E340,基础资料!$Q$6:$Q$205,0)),""))</f>
        <v/>
      </c>
      <c r="P340" s="49" t="str">
        <f aca="false">IF($E340="","",IFERROR(INDEX(基础资料!$S$6:$S$205,MATCH($E340,基础资料!$Q$6:$Q$205,0)),""))</f>
        <v/>
      </c>
      <c r="Q340" s="48" t="str">
        <f aca="false">IF(OR($F340="",$G340=""),"",ROUND(N($F340)*N($G340),2))</f>
        <v/>
      </c>
      <c r="R340" s="48" t="str">
        <f aca="false">IF($Q340="","",ROUND(N($Q340)*N($H340),2))</f>
        <v/>
      </c>
      <c r="S340" s="48" t="str">
        <f aca="false">IF($Q340="","",N($Q340)+N($R340))</f>
        <v/>
      </c>
      <c r="T340" s="52" t="str">
        <f aca="false">IF(OR($B340="",$D340=""),"",$B340+N(IFERROR(INDEX(基础资料!$AH$6:$AH$155,MATCH($D340,基础资料!$AF$6:$AF$155,0)),0)))</f>
        <v/>
      </c>
      <c r="U340" s="49" t="str">
        <f aca="false">IF($Q340="","",IF($I340="是","1405",IF($J340="","6602",$J340)))</f>
        <v/>
      </c>
      <c r="V340" s="49" t="str">
        <f aca="false">IF($Q340="","","2202")</f>
        <v/>
      </c>
      <c r="W340" s="48" t="str">
        <f aca="false">IF($Q340="","",$Q340)</f>
        <v/>
      </c>
      <c r="X340" s="49" t="str">
        <f aca="false">IF(N($R340)=0,"","2221")</f>
        <v/>
      </c>
      <c r="Y340" s="49" t="str">
        <f aca="false">IF(N($R340)=0,"","2202")</f>
        <v/>
      </c>
      <c r="Z340" s="48" t="str">
        <f aca="false">IF(N($R340)=0,"",$R340)</f>
        <v/>
      </c>
      <c r="AA340" s="49" t="str">
        <f aca="false">IF(AND($D340=供应商对账单!$B$3,$B340&gt;=供应商对账单!$E$3,$B340&lt;=供应商对账单!$H$3),COUNTIFS($D$5:$D340,供应商对账单!$B$3,$B$5:$B340,"&gt;="&amp;供应商对账单!$E$3,$B$5:$B340,"&lt;="&amp;供应商对账单!$H$3),"")</f>
        <v/>
      </c>
    </row>
    <row r="341" customFormat="false" ht="15.75" hidden="false" customHeight="true" outlineLevel="0" collapsed="false">
      <c r="A341" s="42" t="str">
        <f aca="false">IF($B341="","","CG"&amp;TEXT($B341,"yyyymm")&amp;"-"&amp;TEXT(ROW()-4,"000"))</f>
        <v/>
      </c>
      <c r="B341" s="41"/>
      <c r="C341" s="42" t="str">
        <f aca="false">IF($B341="","",TEXT($B341,"yyyy-mm"))</f>
        <v/>
      </c>
      <c r="D341" s="32"/>
      <c r="E341" s="36"/>
      <c r="F341" s="43"/>
      <c r="G341" s="40"/>
      <c r="H341" s="51"/>
      <c r="I341" s="33"/>
      <c r="J341" s="31"/>
      <c r="K341" s="33"/>
      <c r="L341" s="33"/>
      <c r="M341" s="36"/>
      <c r="N341" s="47" t="str">
        <f aca="false">IF($B341="","",IF(NOT(ISNUMBER($B341)),"日期不是日期格式",IF(YEAR($B341)&lt;&gt;首页!$B$3,"不在会计年度",IF($D341="","未选供应商",IF(ISNA(MATCH($D341,基础资料!$AF$6:$AF$155,0)),"供应商不在档案",IF($E341="","未填商品或内容",IF(NOT(ISNUMBER($F341)),"数量须为数字",IF(NOT(ISNUMBER($G341)),"单价须为数字",IF(N($F341)&lt;=0,"数量须大于0",IF($I341="","请选是否入库",IF(AND($I341="是",ISNA(MATCH($E341,基础资料!$Q$6:$Q$205,0))),"入库商品必须在商品档案中",IF(AND($I341="否",$J341&lt;&gt;"",ISNA(MATCH($J341,科目参数!$A$6:$A$125,0))),"费用科目不存在","√"))))))))))))</f>
        <v/>
      </c>
      <c r="O341" s="49" t="str">
        <f aca="false">IF($E341="","",IFERROR(INDEX(基础资料!$R$6:$R$205,MATCH($E341,基础资料!$Q$6:$Q$205,0)),""))</f>
        <v/>
      </c>
      <c r="P341" s="49" t="str">
        <f aca="false">IF($E341="","",IFERROR(INDEX(基础资料!$S$6:$S$205,MATCH($E341,基础资料!$Q$6:$Q$205,0)),""))</f>
        <v/>
      </c>
      <c r="Q341" s="48" t="str">
        <f aca="false">IF(OR($F341="",$G341=""),"",ROUND(N($F341)*N($G341),2))</f>
        <v/>
      </c>
      <c r="R341" s="48" t="str">
        <f aca="false">IF($Q341="","",ROUND(N($Q341)*N($H341),2))</f>
        <v/>
      </c>
      <c r="S341" s="48" t="str">
        <f aca="false">IF($Q341="","",N($Q341)+N($R341))</f>
        <v/>
      </c>
      <c r="T341" s="52" t="str">
        <f aca="false">IF(OR($B341="",$D341=""),"",$B341+N(IFERROR(INDEX(基础资料!$AH$6:$AH$155,MATCH($D341,基础资料!$AF$6:$AF$155,0)),0)))</f>
        <v/>
      </c>
      <c r="U341" s="49" t="str">
        <f aca="false">IF($Q341="","",IF($I341="是","1405",IF($J341="","6602",$J341)))</f>
        <v/>
      </c>
      <c r="V341" s="49" t="str">
        <f aca="false">IF($Q341="","","2202")</f>
        <v/>
      </c>
      <c r="W341" s="48" t="str">
        <f aca="false">IF($Q341="","",$Q341)</f>
        <v/>
      </c>
      <c r="X341" s="49" t="str">
        <f aca="false">IF(N($R341)=0,"","2221")</f>
        <v/>
      </c>
      <c r="Y341" s="49" t="str">
        <f aca="false">IF(N($R341)=0,"","2202")</f>
        <v/>
      </c>
      <c r="Z341" s="48" t="str">
        <f aca="false">IF(N($R341)=0,"",$R341)</f>
        <v/>
      </c>
      <c r="AA341" s="49" t="str">
        <f aca="false">IF(AND($D341=供应商对账单!$B$3,$B341&gt;=供应商对账单!$E$3,$B341&lt;=供应商对账单!$H$3),COUNTIFS($D$5:$D341,供应商对账单!$B$3,$B$5:$B341,"&gt;="&amp;供应商对账单!$E$3,$B$5:$B341,"&lt;="&amp;供应商对账单!$H$3),"")</f>
        <v/>
      </c>
    </row>
    <row r="342" customFormat="false" ht="15.75" hidden="false" customHeight="true" outlineLevel="0" collapsed="false">
      <c r="A342" s="42" t="str">
        <f aca="false">IF($B342="","","CG"&amp;TEXT($B342,"yyyymm")&amp;"-"&amp;TEXT(ROW()-4,"000"))</f>
        <v/>
      </c>
      <c r="B342" s="41"/>
      <c r="C342" s="42" t="str">
        <f aca="false">IF($B342="","",TEXT($B342,"yyyy-mm"))</f>
        <v/>
      </c>
      <c r="D342" s="32"/>
      <c r="E342" s="36"/>
      <c r="F342" s="43"/>
      <c r="G342" s="40"/>
      <c r="H342" s="51"/>
      <c r="I342" s="33"/>
      <c r="J342" s="31"/>
      <c r="K342" s="33"/>
      <c r="L342" s="33"/>
      <c r="M342" s="36"/>
      <c r="N342" s="47" t="str">
        <f aca="false">IF($B342="","",IF(NOT(ISNUMBER($B342)),"日期不是日期格式",IF(YEAR($B342)&lt;&gt;首页!$B$3,"不在会计年度",IF($D342="","未选供应商",IF(ISNA(MATCH($D342,基础资料!$AF$6:$AF$155,0)),"供应商不在档案",IF($E342="","未填商品或内容",IF(NOT(ISNUMBER($F342)),"数量须为数字",IF(NOT(ISNUMBER($G342)),"单价须为数字",IF(N($F342)&lt;=0,"数量须大于0",IF($I342="","请选是否入库",IF(AND($I342="是",ISNA(MATCH($E342,基础资料!$Q$6:$Q$205,0))),"入库商品必须在商品档案中",IF(AND($I342="否",$J342&lt;&gt;"",ISNA(MATCH($J342,科目参数!$A$6:$A$125,0))),"费用科目不存在","√"))))))))))))</f>
        <v/>
      </c>
      <c r="O342" s="49" t="str">
        <f aca="false">IF($E342="","",IFERROR(INDEX(基础资料!$R$6:$R$205,MATCH($E342,基础资料!$Q$6:$Q$205,0)),""))</f>
        <v/>
      </c>
      <c r="P342" s="49" t="str">
        <f aca="false">IF($E342="","",IFERROR(INDEX(基础资料!$S$6:$S$205,MATCH($E342,基础资料!$Q$6:$Q$205,0)),""))</f>
        <v/>
      </c>
      <c r="Q342" s="48" t="str">
        <f aca="false">IF(OR($F342="",$G342=""),"",ROUND(N($F342)*N($G342),2))</f>
        <v/>
      </c>
      <c r="R342" s="48" t="str">
        <f aca="false">IF($Q342="","",ROUND(N($Q342)*N($H342),2))</f>
        <v/>
      </c>
      <c r="S342" s="48" t="str">
        <f aca="false">IF($Q342="","",N($Q342)+N($R342))</f>
        <v/>
      </c>
      <c r="T342" s="52" t="str">
        <f aca="false">IF(OR($B342="",$D342=""),"",$B342+N(IFERROR(INDEX(基础资料!$AH$6:$AH$155,MATCH($D342,基础资料!$AF$6:$AF$155,0)),0)))</f>
        <v/>
      </c>
      <c r="U342" s="49" t="str">
        <f aca="false">IF($Q342="","",IF($I342="是","1405",IF($J342="","6602",$J342)))</f>
        <v/>
      </c>
      <c r="V342" s="49" t="str">
        <f aca="false">IF($Q342="","","2202")</f>
        <v/>
      </c>
      <c r="W342" s="48" t="str">
        <f aca="false">IF($Q342="","",$Q342)</f>
        <v/>
      </c>
      <c r="X342" s="49" t="str">
        <f aca="false">IF(N($R342)=0,"","2221")</f>
        <v/>
      </c>
      <c r="Y342" s="49" t="str">
        <f aca="false">IF(N($R342)=0,"","2202")</f>
        <v/>
      </c>
      <c r="Z342" s="48" t="str">
        <f aca="false">IF(N($R342)=0,"",$R342)</f>
        <v/>
      </c>
      <c r="AA342" s="49" t="str">
        <f aca="false">IF(AND($D342=供应商对账单!$B$3,$B342&gt;=供应商对账单!$E$3,$B342&lt;=供应商对账单!$H$3),COUNTIFS($D$5:$D342,供应商对账单!$B$3,$B$5:$B342,"&gt;="&amp;供应商对账单!$E$3,$B$5:$B342,"&lt;="&amp;供应商对账单!$H$3),"")</f>
        <v/>
      </c>
    </row>
    <row r="343" customFormat="false" ht="15.75" hidden="false" customHeight="true" outlineLevel="0" collapsed="false">
      <c r="A343" s="42" t="str">
        <f aca="false">IF($B343="","","CG"&amp;TEXT($B343,"yyyymm")&amp;"-"&amp;TEXT(ROW()-4,"000"))</f>
        <v/>
      </c>
      <c r="B343" s="41"/>
      <c r="C343" s="42" t="str">
        <f aca="false">IF($B343="","",TEXT($B343,"yyyy-mm"))</f>
        <v/>
      </c>
      <c r="D343" s="32"/>
      <c r="E343" s="36"/>
      <c r="F343" s="43"/>
      <c r="G343" s="40"/>
      <c r="H343" s="51"/>
      <c r="I343" s="33"/>
      <c r="J343" s="31"/>
      <c r="K343" s="33"/>
      <c r="L343" s="33"/>
      <c r="M343" s="36"/>
      <c r="N343" s="47" t="str">
        <f aca="false">IF($B343="","",IF(NOT(ISNUMBER($B343)),"日期不是日期格式",IF(YEAR($B343)&lt;&gt;首页!$B$3,"不在会计年度",IF($D343="","未选供应商",IF(ISNA(MATCH($D343,基础资料!$AF$6:$AF$155,0)),"供应商不在档案",IF($E343="","未填商品或内容",IF(NOT(ISNUMBER($F343)),"数量须为数字",IF(NOT(ISNUMBER($G343)),"单价须为数字",IF(N($F343)&lt;=0,"数量须大于0",IF($I343="","请选是否入库",IF(AND($I343="是",ISNA(MATCH($E343,基础资料!$Q$6:$Q$205,0))),"入库商品必须在商品档案中",IF(AND($I343="否",$J343&lt;&gt;"",ISNA(MATCH($J343,科目参数!$A$6:$A$125,0))),"费用科目不存在","√"))))))))))))</f>
        <v/>
      </c>
      <c r="O343" s="49" t="str">
        <f aca="false">IF($E343="","",IFERROR(INDEX(基础资料!$R$6:$R$205,MATCH($E343,基础资料!$Q$6:$Q$205,0)),""))</f>
        <v/>
      </c>
      <c r="P343" s="49" t="str">
        <f aca="false">IF($E343="","",IFERROR(INDEX(基础资料!$S$6:$S$205,MATCH($E343,基础资料!$Q$6:$Q$205,0)),""))</f>
        <v/>
      </c>
      <c r="Q343" s="48" t="str">
        <f aca="false">IF(OR($F343="",$G343=""),"",ROUND(N($F343)*N($G343),2))</f>
        <v/>
      </c>
      <c r="R343" s="48" t="str">
        <f aca="false">IF($Q343="","",ROUND(N($Q343)*N($H343),2))</f>
        <v/>
      </c>
      <c r="S343" s="48" t="str">
        <f aca="false">IF($Q343="","",N($Q343)+N($R343))</f>
        <v/>
      </c>
      <c r="T343" s="52" t="str">
        <f aca="false">IF(OR($B343="",$D343=""),"",$B343+N(IFERROR(INDEX(基础资料!$AH$6:$AH$155,MATCH($D343,基础资料!$AF$6:$AF$155,0)),0)))</f>
        <v/>
      </c>
      <c r="U343" s="49" t="str">
        <f aca="false">IF($Q343="","",IF($I343="是","1405",IF($J343="","6602",$J343)))</f>
        <v/>
      </c>
      <c r="V343" s="49" t="str">
        <f aca="false">IF($Q343="","","2202")</f>
        <v/>
      </c>
      <c r="W343" s="48" t="str">
        <f aca="false">IF($Q343="","",$Q343)</f>
        <v/>
      </c>
      <c r="X343" s="49" t="str">
        <f aca="false">IF(N($R343)=0,"","2221")</f>
        <v/>
      </c>
      <c r="Y343" s="49" t="str">
        <f aca="false">IF(N($R343)=0,"","2202")</f>
        <v/>
      </c>
      <c r="Z343" s="48" t="str">
        <f aca="false">IF(N($R343)=0,"",$R343)</f>
        <v/>
      </c>
      <c r="AA343" s="49" t="str">
        <f aca="false">IF(AND($D343=供应商对账单!$B$3,$B343&gt;=供应商对账单!$E$3,$B343&lt;=供应商对账单!$H$3),COUNTIFS($D$5:$D343,供应商对账单!$B$3,$B$5:$B343,"&gt;="&amp;供应商对账单!$E$3,$B$5:$B343,"&lt;="&amp;供应商对账单!$H$3),"")</f>
        <v/>
      </c>
    </row>
    <row r="344" customFormat="false" ht="15.75" hidden="false" customHeight="true" outlineLevel="0" collapsed="false">
      <c r="A344" s="42" t="str">
        <f aca="false">IF($B344="","","CG"&amp;TEXT($B344,"yyyymm")&amp;"-"&amp;TEXT(ROW()-4,"000"))</f>
        <v/>
      </c>
      <c r="B344" s="41"/>
      <c r="C344" s="42" t="str">
        <f aca="false">IF($B344="","",TEXT($B344,"yyyy-mm"))</f>
        <v/>
      </c>
      <c r="D344" s="32"/>
      <c r="E344" s="36"/>
      <c r="F344" s="43"/>
      <c r="G344" s="40"/>
      <c r="H344" s="51"/>
      <c r="I344" s="33"/>
      <c r="J344" s="31"/>
      <c r="K344" s="33"/>
      <c r="L344" s="33"/>
      <c r="M344" s="36"/>
      <c r="N344" s="47" t="str">
        <f aca="false">IF($B344="","",IF(NOT(ISNUMBER($B344)),"日期不是日期格式",IF(YEAR($B344)&lt;&gt;首页!$B$3,"不在会计年度",IF($D344="","未选供应商",IF(ISNA(MATCH($D344,基础资料!$AF$6:$AF$155,0)),"供应商不在档案",IF($E344="","未填商品或内容",IF(NOT(ISNUMBER($F344)),"数量须为数字",IF(NOT(ISNUMBER($G344)),"单价须为数字",IF(N($F344)&lt;=0,"数量须大于0",IF($I344="","请选是否入库",IF(AND($I344="是",ISNA(MATCH($E344,基础资料!$Q$6:$Q$205,0))),"入库商品必须在商品档案中",IF(AND($I344="否",$J344&lt;&gt;"",ISNA(MATCH($J344,科目参数!$A$6:$A$125,0))),"费用科目不存在","√"))))))))))))</f>
        <v/>
      </c>
      <c r="O344" s="49" t="str">
        <f aca="false">IF($E344="","",IFERROR(INDEX(基础资料!$R$6:$R$205,MATCH($E344,基础资料!$Q$6:$Q$205,0)),""))</f>
        <v/>
      </c>
      <c r="P344" s="49" t="str">
        <f aca="false">IF($E344="","",IFERROR(INDEX(基础资料!$S$6:$S$205,MATCH($E344,基础资料!$Q$6:$Q$205,0)),""))</f>
        <v/>
      </c>
      <c r="Q344" s="48" t="str">
        <f aca="false">IF(OR($F344="",$G344=""),"",ROUND(N($F344)*N($G344),2))</f>
        <v/>
      </c>
      <c r="R344" s="48" t="str">
        <f aca="false">IF($Q344="","",ROUND(N($Q344)*N($H344),2))</f>
        <v/>
      </c>
      <c r="S344" s="48" t="str">
        <f aca="false">IF($Q344="","",N($Q344)+N($R344))</f>
        <v/>
      </c>
      <c r="T344" s="52" t="str">
        <f aca="false">IF(OR($B344="",$D344=""),"",$B344+N(IFERROR(INDEX(基础资料!$AH$6:$AH$155,MATCH($D344,基础资料!$AF$6:$AF$155,0)),0)))</f>
        <v/>
      </c>
      <c r="U344" s="49" t="str">
        <f aca="false">IF($Q344="","",IF($I344="是","1405",IF($J344="","6602",$J344)))</f>
        <v/>
      </c>
      <c r="V344" s="49" t="str">
        <f aca="false">IF($Q344="","","2202")</f>
        <v/>
      </c>
      <c r="W344" s="48" t="str">
        <f aca="false">IF($Q344="","",$Q344)</f>
        <v/>
      </c>
      <c r="X344" s="49" t="str">
        <f aca="false">IF(N($R344)=0,"","2221")</f>
        <v/>
      </c>
      <c r="Y344" s="49" t="str">
        <f aca="false">IF(N($R344)=0,"","2202")</f>
        <v/>
      </c>
      <c r="Z344" s="48" t="str">
        <f aca="false">IF(N($R344)=0,"",$R344)</f>
        <v/>
      </c>
      <c r="AA344" s="49" t="str">
        <f aca="false">IF(AND($D344=供应商对账单!$B$3,$B344&gt;=供应商对账单!$E$3,$B344&lt;=供应商对账单!$H$3),COUNTIFS($D$5:$D344,供应商对账单!$B$3,$B$5:$B344,"&gt;="&amp;供应商对账单!$E$3,$B$5:$B344,"&lt;="&amp;供应商对账单!$H$3),"")</f>
        <v/>
      </c>
    </row>
    <row r="345" customFormat="false" ht="15.75" hidden="false" customHeight="true" outlineLevel="0" collapsed="false">
      <c r="A345" s="42" t="str">
        <f aca="false">IF($B345="","","CG"&amp;TEXT($B345,"yyyymm")&amp;"-"&amp;TEXT(ROW()-4,"000"))</f>
        <v/>
      </c>
      <c r="B345" s="41"/>
      <c r="C345" s="42" t="str">
        <f aca="false">IF($B345="","",TEXT($B345,"yyyy-mm"))</f>
        <v/>
      </c>
      <c r="D345" s="32"/>
      <c r="E345" s="36"/>
      <c r="F345" s="43"/>
      <c r="G345" s="40"/>
      <c r="H345" s="51"/>
      <c r="I345" s="33"/>
      <c r="J345" s="31"/>
      <c r="K345" s="33"/>
      <c r="L345" s="33"/>
      <c r="M345" s="36"/>
      <c r="N345" s="47" t="str">
        <f aca="false">IF($B345="","",IF(NOT(ISNUMBER($B345)),"日期不是日期格式",IF(YEAR($B345)&lt;&gt;首页!$B$3,"不在会计年度",IF($D345="","未选供应商",IF(ISNA(MATCH($D345,基础资料!$AF$6:$AF$155,0)),"供应商不在档案",IF($E345="","未填商品或内容",IF(NOT(ISNUMBER($F345)),"数量须为数字",IF(NOT(ISNUMBER($G345)),"单价须为数字",IF(N($F345)&lt;=0,"数量须大于0",IF($I345="","请选是否入库",IF(AND($I345="是",ISNA(MATCH($E345,基础资料!$Q$6:$Q$205,0))),"入库商品必须在商品档案中",IF(AND($I345="否",$J345&lt;&gt;"",ISNA(MATCH($J345,科目参数!$A$6:$A$125,0))),"费用科目不存在","√"))))))))))))</f>
        <v/>
      </c>
      <c r="O345" s="49" t="str">
        <f aca="false">IF($E345="","",IFERROR(INDEX(基础资料!$R$6:$R$205,MATCH($E345,基础资料!$Q$6:$Q$205,0)),""))</f>
        <v/>
      </c>
      <c r="P345" s="49" t="str">
        <f aca="false">IF($E345="","",IFERROR(INDEX(基础资料!$S$6:$S$205,MATCH($E345,基础资料!$Q$6:$Q$205,0)),""))</f>
        <v/>
      </c>
      <c r="Q345" s="48" t="str">
        <f aca="false">IF(OR($F345="",$G345=""),"",ROUND(N($F345)*N($G345),2))</f>
        <v/>
      </c>
      <c r="R345" s="48" t="str">
        <f aca="false">IF($Q345="","",ROUND(N($Q345)*N($H345),2))</f>
        <v/>
      </c>
      <c r="S345" s="48" t="str">
        <f aca="false">IF($Q345="","",N($Q345)+N($R345))</f>
        <v/>
      </c>
      <c r="T345" s="52" t="str">
        <f aca="false">IF(OR($B345="",$D345=""),"",$B345+N(IFERROR(INDEX(基础资料!$AH$6:$AH$155,MATCH($D345,基础资料!$AF$6:$AF$155,0)),0)))</f>
        <v/>
      </c>
      <c r="U345" s="49" t="str">
        <f aca="false">IF($Q345="","",IF($I345="是","1405",IF($J345="","6602",$J345)))</f>
        <v/>
      </c>
      <c r="V345" s="49" t="str">
        <f aca="false">IF($Q345="","","2202")</f>
        <v/>
      </c>
      <c r="W345" s="48" t="str">
        <f aca="false">IF($Q345="","",$Q345)</f>
        <v/>
      </c>
      <c r="X345" s="49" t="str">
        <f aca="false">IF(N($R345)=0,"","2221")</f>
        <v/>
      </c>
      <c r="Y345" s="49" t="str">
        <f aca="false">IF(N($R345)=0,"","2202")</f>
        <v/>
      </c>
      <c r="Z345" s="48" t="str">
        <f aca="false">IF(N($R345)=0,"",$R345)</f>
        <v/>
      </c>
      <c r="AA345" s="49" t="str">
        <f aca="false">IF(AND($D345=供应商对账单!$B$3,$B345&gt;=供应商对账单!$E$3,$B345&lt;=供应商对账单!$H$3),COUNTIFS($D$5:$D345,供应商对账单!$B$3,$B$5:$B345,"&gt;="&amp;供应商对账单!$E$3,$B$5:$B345,"&lt;="&amp;供应商对账单!$H$3),"")</f>
        <v/>
      </c>
    </row>
    <row r="346" customFormat="false" ht="15.75" hidden="false" customHeight="true" outlineLevel="0" collapsed="false">
      <c r="A346" s="42" t="str">
        <f aca="false">IF($B346="","","CG"&amp;TEXT($B346,"yyyymm")&amp;"-"&amp;TEXT(ROW()-4,"000"))</f>
        <v/>
      </c>
      <c r="B346" s="41"/>
      <c r="C346" s="42" t="str">
        <f aca="false">IF($B346="","",TEXT($B346,"yyyy-mm"))</f>
        <v/>
      </c>
      <c r="D346" s="32"/>
      <c r="E346" s="36"/>
      <c r="F346" s="43"/>
      <c r="G346" s="40"/>
      <c r="H346" s="51"/>
      <c r="I346" s="33"/>
      <c r="J346" s="31"/>
      <c r="K346" s="33"/>
      <c r="L346" s="33"/>
      <c r="M346" s="36"/>
      <c r="N346" s="47" t="str">
        <f aca="false">IF($B346="","",IF(NOT(ISNUMBER($B346)),"日期不是日期格式",IF(YEAR($B346)&lt;&gt;首页!$B$3,"不在会计年度",IF($D346="","未选供应商",IF(ISNA(MATCH($D346,基础资料!$AF$6:$AF$155,0)),"供应商不在档案",IF($E346="","未填商品或内容",IF(NOT(ISNUMBER($F346)),"数量须为数字",IF(NOT(ISNUMBER($G346)),"单价须为数字",IF(N($F346)&lt;=0,"数量须大于0",IF($I346="","请选是否入库",IF(AND($I346="是",ISNA(MATCH($E346,基础资料!$Q$6:$Q$205,0))),"入库商品必须在商品档案中",IF(AND($I346="否",$J346&lt;&gt;"",ISNA(MATCH($J346,科目参数!$A$6:$A$125,0))),"费用科目不存在","√"))))))))))))</f>
        <v/>
      </c>
      <c r="O346" s="49" t="str">
        <f aca="false">IF($E346="","",IFERROR(INDEX(基础资料!$R$6:$R$205,MATCH($E346,基础资料!$Q$6:$Q$205,0)),""))</f>
        <v/>
      </c>
      <c r="P346" s="49" t="str">
        <f aca="false">IF($E346="","",IFERROR(INDEX(基础资料!$S$6:$S$205,MATCH($E346,基础资料!$Q$6:$Q$205,0)),""))</f>
        <v/>
      </c>
      <c r="Q346" s="48" t="str">
        <f aca="false">IF(OR($F346="",$G346=""),"",ROUND(N($F346)*N($G346),2))</f>
        <v/>
      </c>
      <c r="R346" s="48" t="str">
        <f aca="false">IF($Q346="","",ROUND(N($Q346)*N($H346),2))</f>
        <v/>
      </c>
      <c r="S346" s="48" t="str">
        <f aca="false">IF($Q346="","",N($Q346)+N($R346))</f>
        <v/>
      </c>
      <c r="T346" s="52" t="str">
        <f aca="false">IF(OR($B346="",$D346=""),"",$B346+N(IFERROR(INDEX(基础资料!$AH$6:$AH$155,MATCH($D346,基础资料!$AF$6:$AF$155,0)),0)))</f>
        <v/>
      </c>
      <c r="U346" s="49" t="str">
        <f aca="false">IF($Q346="","",IF($I346="是","1405",IF($J346="","6602",$J346)))</f>
        <v/>
      </c>
      <c r="V346" s="49" t="str">
        <f aca="false">IF($Q346="","","2202")</f>
        <v/>
      </c>
      <c r="W346" s="48" t="str">
        <f aca="false">IF($Q346="","",$Q346)</f>
        <v/>
      </c>
      <c r="X346" s="49" t="str">
        <f aca="false">IF(N($R346)=0,"","2221")</f>
        <v/>
      </c>
      <c r="Y346" s="49" t="str">
        <f aca="false">IF(N($R346)=0,"","2202")</f>
        <v/>
      </c>
      <c r="Z346" s="48" t="str">
        <f aca="false">IF(N($R346)=0,"",$R346)</f>
        <v/>
      </c>
      <c r="AA346" s="49" t="str">
        <f aca="false">IF(AND($D346=供应商对账单!$B$3,$B346&gt;=供应商对账单!$E$3,$B346&lt;=供应商对账单!$H$3),COUNTIFS($D$5:$D346,供应商对账单!$B$3,$B$5:$B346,"&gt;="&amp;供应商对账单!$E$3,$B$5:$B346,"&lt;="&amp;供应商对账单!$H$3),"")</f>
        <v/>
      </c>
    </row>
    <row r="347" customFormat="false" ht="15.75" hidden="false" customHeight="true" outlineLevel="0" collapsed="false">
      <c r="A347" s="42" t="str">
        <f aca="false">IF($B347="","","CG"&amp;TEXT($B347,"yyyymm")&amp;"-"&amp;TEXT(ROW()-4,"000"))</f>
        <v/>
      </c>
      <c r="B347" s="41"/>
      <c r="C347" s="42" t="str">
        <f aca="false">IF($B347="","",TEXT($B347,"yyyy-mm"))</f>
        <v/>
      </c>
      <c r="D347" s="32"/>
      <c r="E347" s="36"/>
      <c r="F347" s="43"/>
      <c r="G347" s="40"/>
      <c r="H347" s="51"/>
      <c r="I347" s="33"/>
      <c r="J347" s="31"/>
      <c r="K347" s="33"/>
      <c r="L347" s="33"/>
      <c r="M347" s="36"/>
      <c r="N347" s="47" t="str">
        <f aca="false">IF($B347="","",IF(NOT(ISNUMBER($B347)),"日期不是日期格式",IF(YEAR($B347)&lt;&gt;首页!$B$3,"不在会计年度",IF($D347="","未选供应商",IF(ISNA(MATCH($D347,基础资料!$AF$6:$AF$155,0)),"供应商不在档案",IF($E347="","未填商品或内容",IF(NOT(ISNUMBER($F347)),"数量须为数字",IF(NOT(ISNUMBER($G347)),"单价须为数字",IF(N($F347)&lt;=0,"数量须大于0",IF($I347="","请选是否入库",IF(AND($I347="是",ISNA(MATCH($E347,基础资料!$Q$6:$Q$205,0))),"入库商品必须在商品档案中",IF(AND($I347="否",$J347&lt;&gt;"",ISNA(MATCH($J347,科目参数!$A$6:$A$125,0))),"费用科目不存在","√"))))))))))))</f>
        <v/>
      </c>
      <c r="O347" s="49" t="str">
        <f aca="false">IF($E347="","",IFERROR(INDEX(基础资料!$R$6:$R$205,MATCH($E347,基础资料!$Q$6:$Q$205,0)),""))</f>
        <v/>
      </c>
      <c r="P347" s="49" t="str">
        <f aca="false">IF($E347="","",IFERROR(INDEX(基础资料!$S$6:$S$205,MATCH($E347,基础资料!$Q$6:$Q$205,0)),""))</f>
        <v/>
      </c>
      <c r="Q347" s="48" t="str">
        <f aca="false">IF(OR($F347="",$G347=""),"",ROUND(N($F347)*N($G347),2))</f>
        <v/>
      </c>
      <c r="R347" s="48" t="str">
        <f aca="false">IF($Q347="","",ROUND(N($Q347)*N($H347),2))</f>
        <v/>
      </c>
      <c r="S347" s="48" t="str">
        <f aca="false">IF($Q347="","",N($Q347)+N($R347))</f>
        <v/>
      </c>
      <c r="T347" s="52" t="str">
        <f aca="false">IF(OR($B347="",$D347=""),"",$B347+N(IFERROR(INDEX(基础资料!$AH$6:$AH$155,MATCH($D347,基础资料!$AF$6:$AF$155,0)),0)))</f>
        <v/>
      </c>
      <c r="U347" s="49" t="str">
        <f aca="false">IF($Q347="","",IF($I347="是","1405",IF($J347="","6602",$J347)))</f>
        <v/>
      </c>
      <c r="V347" s="49" t="str">
        <f aca="false">IF($Q347="","","2202")</f>
        <v/>
      </c>
      <c r="W347" s="48" t="str">
        <f aca="false">IF($Q347="","",$Q347)</f>
        <v/>
      </c>
      <c r="X347" s="49" t="str">
        <f aca="false">IF(N($R347)=0,"","2221")</f>
        <v/>
      </c>
      <c r="Y347" s="49" t="str">
        <f aca="false">IF(N($R347)=0,"","2202")</f>
        <v/>
      </c>
      <c r="Z347" s="48" t="str">
        <f aca="false">IF(N($R347)=0,"",$R347)</f>
        <v/>
      </c>
      <c r="AA347" s="49" t="str">
        <f aca="false">IF(AND($D347=供应商对账单!$B$3,$B347&gt;=供应商对账单!$E$3,$B347&lt;=供应商对账单!$H$3),COUNTIFS($D$5:$D347,供应商对账单!$B$3,$B$5:$B347,"&gt;="&amp;供应商对账单!$E$3,$B$5:$B347,"&lt;="&amp;供应商对账单!$H$3),"")</f>
        <v/>
      </c>
    </row>
    <row r="348" customFormat="false" ht="15.75" hidden="false" customHeight="true" outlineLevel="0" collapsed="false">
      <c r="A348" s="42" t="str">
        <f aca="false">IF($B348="","","CG"&amp;TEXT($B348,"yyyymm")&amp;"-"&amp;TEXT(ROW()-4,"000"))</f>
        <v/>
      </c>
      <c r="B348" s="41"/>
      <c r="C348" s="42" t="str">
        <f aca="false">IF($B348="","",TEXT($B348,"yyyy-mm"))</f>
        <v/>
      </c>
      <c r="D348" s="32"/>
      <c r="E348" s="36"/>
      <c r="F348" s="43"/>
      <c r="G348" s="40"/>
      <c r="H348" s="51"/>
      <c r="I348" s="33"/>
      <c r="J348" s="31"/>
      <c r="K348" s="33"/>
      <c r="L348" s="33"/>
      <c r="M348" s="36"/>
      <c r="N348" s="47" t="str">
        <f aca="false">IF($B348="","",IF(NOT(ISNUMBER($B348)),"日期不是日期格式",IF(YEAR($B348)&lt;&gt;首页!$B$3,"不在会计年度",IF($D348="","未选供应商",IF(ISNA(MATCH($D348,基础资料!$AF$6:$AF$155,0)),"供应商不在档案",IF($E348="","未填商品或内容",IF(NOT(ISNUMBER($F348)),"数量须为数字",IF(NOT(ISNUMBER($G348)),"单价须为数字",IF(N($F348)&lt;=0,"数量须大于0",IF($I348="","请选是否入库",IF(AND($I348="是",ISNA(MATCH($E348,基础资料!$Q$6:$Q$205,0))),"入库商品必须在商品档案中",IF(AND($I348="否",$J348&lt;&gt;"",ISNA(MATCH($J348,科目参数!$A$6:$A$125,0))),"费用科目不存在","√"))))))))))))</f>
        <v/>
      </c>
      <c r="O348" s="49" t="str">
        <f aca="false">IF($E348="","",IFERROR(INDEX(基础资料!$R$6:$R$205,MATCH($E348,基础资料!$Q$6:$Q$205,0)),""))</f>
        <v/>
      </c>
      <c r="P348" s="49" t="str">
        <f aca="false">IF($E348="","",IFERROR(INDEX(基础资料!$S$6:$S$205,MATCH($E348,基础资料!$Q$6:$Q$205,0)),""))</f>
        <v/>
      </c>
      <c r="Q348" s="48" t="str">
        <f aca="false">IF(OR($F348="",$G348=""),"",ROUND(N($F348)*N($G348),2))</f>
        <v/>
      </c>
      <c r="R348" s="48" t="str">
        <f aca="false">IF($Q348="","",ROUND(N($Q348)*N($H348),2))</f>
        <v/>
      </c>
      <c r="S348" s="48" t="str">
        <f aca="false">IF($Q348="","",N($Q348)+N($R348))</f>
        <v/>
      </c>
      <c r="T348" s="52" t="str">
        <f aca="false">IF(OR($B348="",$D348=""),"",$B348+N(IFERROR(INDEX(基础资料!$AH$6:$AH$155,MATCH($D348,基础资料!$AF$6:$AF$155,0)),0)))</f>
        <v/>
      </c>
      <c r="U348" s="49" t="str">
        <f aca="false">IF($Q348="","",IF($I348="是","1405",IF($J348="","6602",$J348)))</f>
        <v/>
      </c>
      <c r="V348" s="49" t="str">
        <f aca="false">IF($Q348="","","2202")</f>
        <v/>
      </c>
      <c r="W348" s="48" t="str">
        <f aca="false">IF($Q348="","",$Q348)</f>
        <v/>
      </c>
      <c r="X348" s="49" t="str">
        <f aca="false">IF(N($R348)=0,"","2221")</f>
        <v/>
      </c>
      <c r="Y348" s="49" t="str">
        <f aca="false">IF(N($R348)=0,"","2202")</f>
        <v/>
      </c>
      <c r="Z348" s="48" t="str">
        <f aca="false">IF(N($R348)=0,"",$R348)</f>
        <v/>
      </c>
      <c r="AA348" s="49" t="str">
        <f aca="false">IF(AND($D348=供应商对账单!$B$3,$B348&gt;=供应商对账单!$E$3,$B348&lt;=供应商对账单!$H$3),COUNTIFS($D$5:$D348,供应商对账单!$B$3,$B$5:$B348,"&gt;="&amp;供应商对账单!$E$3,$B$5:$B348,"&lt;="&amp;供应商对账单!$H$3),"")</f>
        <v/>
      </c>
    </row>
    <row r="349" customFormat="false" ht="15.75" hidden="false" customHeight="true" outlineLevel="0" collapsed="false">
      <c r="A349" s="42" t="str">
        <f aca="false">IF($B349="","","CG"&amp;TEXT($B349,"yyyymm")&amp;"-"&amp;TEXT(ROW()-4,"000"))</f>
        <v/>
      </c>
      <c r="B349" s="41"/>
      <c r="C349" s="42" t="str">
        <f aca="false">IF($B349="","",TEXT($B349,"yyyy-mm"))</f>
        <v/>
      </c>
      <c r="D349" s="32"/>
      <c r="E349" s="36"/>
      <c r="F349" s="43"/>
      <c r="G349" s="40"/>
      <c r="H349" s="51"/>
      <c r="I349" s="33"/>
      <c r="J349" s="31"/>
      <c r="K349" s="33"/>
      <c r="L349" s="33"/>
      <c r="M349" s="36"/>
      <c r="N349" s="47" t="str">
        <f aca="false">IF($B349="","",IF(NOT(ISNUMBER($B349)),"日期不是日期格式",IF(YEAR($B349)&lt;&gt;首页!$B$3,"不在会计年度",IF($D349="","未选供应商",IF(ISNA(MATCH($D349,基础资料!$AF$6:$AF$155,0)),"供应商不在档案",IF($E349="","未填商品或内容",IF(NOT(ISNUMBER($F349)),"数量须为数字",IF(NOT(ISNUMBER($G349)),"单价须为数字",IF(N($F349)&lt;=0,"数量须大于0",IF($I349="","请选是否入库",IF(AND($I349="是",ISNA(MATCH($E349,基础资料!$Q$6:$Q$205,0))),"入库商品必须在商品档案中",IF(AND($I349="否",$J349&lt;&gt;"",ISNA(MATCH($J349,科目参数!$A$6:$A$125,0))),"费用科目不存在","√"))))))))))))</f>
        <v/>
      </c>
      <c r="O349" s="49" t="str">
        <f aca="false">IF($E349="","",IFERROR(INDEX(基础资料!$R$6:$R$205,MATCH($E349,基础资料!$Q$6:$Q$205,0)),""))</f>
        <v/>
      </c>
      <c r="P349" s="49" t="str">
        <f aca="false">IF($E349="","",IFERROR(INDEX(基础资料!$S$6:$S$205,MATCH($E349,基础资料!$Q$6:$Q$205,0)),""))</f>
        <v/>
      </c>
      <c r="Q349" s="48" t="str">
        <f aca="false">IF(OR($F349="",$G349=""),"",ROUND(N($F349)*N($G349),2))</f>
        <v/>
      </c>
      <c r="R349" s="48" t="str">
        <f aca="false">IF($Q349="","",ROUND(N($Q349)*N($H349),2))</f>
        <v/>
      </c>
      <c r="S349" s="48" t="str">
        <f aca="false">IF($Q349="","",N($Q349)+N($R349))</f>
        <v/>
      </c>
      <c r="T349" s="52" t="str">
        <f aca="false">IF(OR($B349="",$D349=""),"",$B349+N(IFERROR(INDEX(基础资料!$AH$6:$AH$155,MATCH($D349,基础资料!$AF$6:$AF$155,0)),0)))</f>
        <v/>
      </c>
      <c r="U349" s="49" t="str">
        <f aca="false">IF($Q349="","",IF($I349="是","1405",IF($J349="","6602",$J349)))</f>
        <v/>
      </c>
      <c r="V349" s="49" t="str">
        <f aca="false">IF($Q349="","","2202")</f>
        <v/>
      </c>
      <c r="W349" s="48" t="str">
        <f aca="false">IF($Q349="","",$Q349)</f>
        <v/>
      </c>
      <c r="X349" s="49" t="str">
        <f aca="false">IF(N($R349)=0,"","2221")</f>
        <v/>
      </c>
      <c r="Y349" s="49" t="str">
        <f aca="false">IF(N($R349)=0,"","2202")</f>
        <v/>
      </c>
      <c r="Z349" s="48" t="str">
        <f aca="false">IF(N($R349)=0,"",$R349)</f>
        <v/>
      </c>
      <c r="AA349" s="49" t="str">
        <f aca="false">IF(AND($D349=供应商对账单!$B$3,$B349&gt;=供应商对账单!$E$3,$B349&lt;=供应商对账单!$H$3),COUNTIFS($D$5:$D349,供应商对账单!$B$3,$B$5:$B349,"&gt;="&amp;供应商对账单!$E$3,$B$5:$B349,"&lt;="&amp;供应商对账单!$H$3),"")</f>
        <v/>
      </c>
    </row>
    <row r="350" customFormat="false" ht="15.75" hidden="false" customHeight="true" outlineLevel="0" collapsed="false">
      <c r="A350" s="42" t="str">
        <f aca="false">IF($B350="","","CG"&amp;TEXT($B350,"yyyymm")&amp;"-"&amp;TEXT(ROW()-4,"000"))</f>
        <v/>
      </c>
      <c r="B350" s="41"/>
      <c r="C350" s="42" t="str">
        <f aca="false">IF($B350="","",TEXT($B350,"yyyy-mm"))</f>
        <v/>
      </c>
      <c r="D350" s="32"/>
      <c r="E350" s="36"/>
      <c r="F350" s="43"/>
      <c r="G350" s="40"/>
      <c r="H350" s="51"/>
      <c r="I350" s="33"/>
      <c r="J350" s="31"/>
      <c r="K350" s="33"/>
      <c r="L350" s="33"/>
      <c r="M350" s="36"/>
      <c r="N350" s="47" t="str">
        <f aca="false">IF($B350="","",IF(NOT(ISNUMBER($B350)),"日期不是日期格式",IF(YEAR($B350)&lt;&gt;首页!$B$3,"不在会计年度",IF($D350="","未选供应商",IF(ISNA(MATCH($D350,基础资料!$AF$6:$AF$155,0)),"供应商不在档案",IF($E350="","未填商品或内容",IF(NOT(ISNUMBER($F350)),"数量须为数字",IF(NOT(ISNUMBER($G350)),"单价须为数字",IF(N($F350)&lt;=0,"数量须大于0",IF($I350="","请选是否入库",IF(AND($I350="是",ISNA(MATCH($E350,基础资料!$Q$6:$Q$205,0))),"入库商品必须在商品档案中",IF(AND($I350="否",$J350&lt;&gt;"",ISNA(MATCH($J350,科目参数!$A$6:$A$125,0))),"费用科目不存在","√"))))))))))))</f>
        <v/>
      </c>
      <c r="O350" s="49" t="str">
        <f aca="false">IF($E350="","",IFERROR(INDEX(基础资料!$R$6:$R$205,MATCH($E350,基础资料!$Q$6:$Q$205,0)),""))</f>
        <v/>
      </c>
      <c r="P350" s="49" t="str">
        <f aca="false">IF($E350="","",IFERROR(INDEX(基础资料!$S$6:$S$205,MATCH($E350,基础资料!$Q$6:$Q$205,0)),""))</f>
        <v/>
      </c>
      <c r="Q350" s="48" t="str">
        <f aca="false">IF(OR($F350="",$G350=""),"",ROUND(N($F350)*N($G350),2))</f>
        <v/>
      </c>
      <c r="R350" s="48" t="str">
        <f aca="false">IF($Q350="","",ROUND(N($Q350)*N($H350),2))</f>
        <v/>
      </c>
      <c r="S350" s="48" t="str">
        <f aca="false">IF($Q350="","",N($Q350)+N($R350))</f>
        <v/>
      </c>
      <c r="T350" s="52" t="str">
        <f aca="false">IF(OR($B350="",$D350=""),"",$B350+N(IFERROR(INDEX(基础资料!$AH$6:$AH$155,MATCH($D350,基础资料!$AF$6:$AF$155,0)),0)))</f>
        <v/>
      </c>
      <c r="U350" s="49" t="str">
        <f aca="false">IF($Q350="","",IF($I350="是","1405",IF($J350="","6602",$J350)))</f>
        <v/>
      </c>
      <c r="V350" s="49" t="str">
        <f aca="false">IF($Q350="","","2202")</f>
        <v/>
      </c>
      <c r="W350" s="48" t="str">
        <f aca="false">IF($Q350="","",$Q350)</f>
        <v/>
      </c>
      <c r="X350" s="49" t="str">
        <f aca="false">IF(N($R350)=0,"","2221")</f>
        <v/>
      </c>
      <c r="Y350" s="49" t="str">
        <f aca="false">IF(N($R350)=0,"","2202")</f>
        <v/>
      </c>
      <c r="Z350" s="48" t="str">
        <f aca="false">IF(N($R350)=0,"",$R350)</f>
        <v/>
      </c>
      <c r="AA350" s="49" t="str">
        <f aca="false">IF(AND($D350=供应商对账单!$B$3,$B350&gt;=供应商对账单!$E$3,$B350&lt;=供应商对账单!$H$3),COUNTIFS($D$5:$D350,供应商对账单!$B$3,$B$5:$B350,"&gt;="&amp;供应商对账单!$E$3,$B$5:$B350,"&lt;="&amp;供应商对账单!$H$3),"")</f>
        <v/>
      </c>
    </row>
    <row r="351" customFormat="false" ht="15.75" hidden="false" customHeight="true" outlineLevel="0" collapsed="false">
      <c r="A351" s="42" t="str">
        <f aca="false">IF($B351="","","CG"&amp;TEXT($B351,"yyyymm")&amp;"-"&amp;TEXT(ROW()-4,"000"))</f>
        <v/>
      </c>
      <c r="B351" s="41"/>
      <c r="C351" s="42" t="str">
        <f aca="false">IF($B351="","",TEXT($B351,"yyyy-mm"))</f>
        <v/>
      </c>
      <c r="D351" s="32"/>
      <c r="E351" s="36"/>
      <c r="F351" s="43"/>
      <c r="G351" s="40"/>
      <c r="H351" s="51"/>
      <c r="I351" s="33"/>
      <c r="J351" s="31"/>
      <c r="K351" s="33"/>
      <c r="L351" s="33"/>
      <c r="M351" s="36"/>
      <c r="N351" s="47" t="str">
        <f aca="false">IF($B351="","",IF(NOT(ISNUMBER($B351)),"日期不是日期格式",IF(YEAR($B351)&lt;&gt;首页!$B$3,"不在会计年度",IF($D351="","未选供应商",IF(ISNA(MATCH($D351,基础资料!$AF$6:$AF$155,0)),"供应商不在档案",IF($E351="","未填商品或内容",IF(NOT(ISNUMBER($F351)),"数量须为数字",IF(NOT(ISNUMBER($G351)),"单价须为数字",IF(N($F351)&lt;=0,"数量须大于0",IF($I351="","请选是否入库",IF(AND($I351="是",ISNA(MATCH($E351,基础资料!$Q$6:$Q$205,0))),"入库商品必须在商品档案中",IF(AND($I351="否",$J351&lt;&gt;"",ISNA(MATCH($J351,科目参数!$A$6:$A$125,0))),"费用科目不存在","√"))))))))))))</f>
        <v/>
      </c>
      <c r="O351" s="49" t="str">
        <f aca="false">IF($E351="","",IFERROR(INDEX(基础资料!$R$6:$R$205,MATCH($E351,基础资料!$Q$6:$Q$205,0)),""))</f>
        <v/>
      </c>
      <c r="P351" s="49" t="str">
        <f aca="false">IF($E351="","",IFERROR(INDEX(基础资料!$S$6:$S$205,MATCH($E351,基础资料!$Q$6:$Q$205,0)),""))</f>
        <v/>
      </c>
      <c r="Q351" s="48" t="str">
        <f aca="false">IF(OR($F351="",$G351=""),"",ROUND(N($F351)*N($G351),2))</f>
        <v/>
      </c>
      <c r="R351" s="48" t="str">
        <f aca="false">IF($Q351="","",ROUND(N($Q351)*N($H351),2))</f>
        <v/>
      </c>
      <c r="S351" s="48" t="str">
        <f aca="false">IF($Q351="","",N($Q351)+N($R351))</f>
        <v/>
      </c>
      <c r="T351" s="52" t="str">
        <f aca="false">IF(OR($B351="",$D351=""),"",$B351+N(IFERROR(INDEX(基础资料!$AH$6:$AH$155,MATCH($D351,基础资料!$AF$6:$AF$155,0)),0)))</f>
        <v/>
      </c>
      <c r="U351" s="49" t="str">
        <f aca="false">IF($Q351="","",IF($I351="是","1405",IF($J351="","6602",$J351)))</f>
        <v/>
      </c>
      <c r="V351" s="49" t="str">
        <f aca="false">IF($Q351="","","2202")</f>
        <v/>
      </c>
      <c r="W351" s="48" t="str">
        <f aca="false">IF($Q351="","",$Q351)</f>
        <v/>
      </c>
      <c r="X351" s="49" t="str">
        <f aca="false">IF(N($R351)=0,"","2221")</f>
        <v/>
      </c>
      <c r="Y351" s="49" t="str">
        <f aca="false">IF(N($R351)=0,"","2202")</f>
        <v/>
      </c>
      <c r="Z351" s="48" t="str">
        <f aca="false">IF(N($R351)=0,"",$R351)</f>
        <v/>
      </c>
      <c r="AA351" s="49" t="str">
        <f aca="false">IF(AND($D351=供应商对账单!$B$3,$B351&gt;=供应商对账单!$E$3,$B351&lt;=供应商对账单!$H$3),COUNTIFS($D$5:$D351,供应商对账单!$B$3,$B$5:$B351,"&gt;="&amp;供应商对账单!$E$3,$B$5:$B351,"&lt;="&amp;供应商对账单!$H$3),"")</f>
        <v/>
      </c>
    </row>
    <row r="352" customFormat="false" ht="15.75" hidden="false" customHeight="true" outlineLevel="0" collapsed="false">
      <c r="A352" s="42" t="str">
        <f aca="false">IF($B352="","","CG"&amp;TEXT($B352,"yyyymm")&amp;"-"&amp;TEXT(ROW()-4,"000"))</f>
        <v/>
      </c>
      <c r="B352" s="41"/>
      <c r="C352" s="42" t="str">
        <f aca="false">IF($B352="","",TEXT($B352,"yyyy-mm"))</f>
        <v/>
      </c>
      <c r="D352" s="32"/>
      <c r="E352" s="36"/>
      <c r="F352" s="43"/>
      <c r="G352" s="40"/>
      <c r="H352" s="51"/>
      <c r="I352" s="33"/>
      <c r="J352" s="31"/>
      <c r="K352" s="33"/>
      <c r="L352" s="33"/>
      <c r="M352" s="36"/>
      <c r="N352" s="47" t="str">
        <f aca="false">IF($B352="","",IF(NOT(ISNUMBER($B352)),"日期不是日期格式",IF(YEAR($B352)&lt;&gt;首页!$B$3,"不在会计年度",IF($D352="","未选供应商",IF(ISNA(MATCH($D352,基础资料!$AF$6:$AF$155,0)),"供应商不在档案",IF($E352="","未填商品或内容",IF(NOT(ISNUMBER($F352)),"数量须为数字",IF(NOT(ISNUMBER($G352)),"单价须为数字",IF(N($F352)&lt;=0,"数量须大于0",IF($I352="","请选是否入库",IF(AND($I352="是",ISNA(MATCH($E352,基础资料!$Q$6:$Q$205,0))),"入库商品必须在商品档案中",IF(AND($I352="否",$J352&lt;&gt;"",ISNA(MATCH($J352,科目参数!$A$6:$A$125,0))),"费用科目不存在","√"))))))))))))</f>
        <v/>
      </c>
      <c r="O352" s="49" t="str">
        <f aca="false">IF($E352="","",IFERROR(INDEX(基础资料!$R$6:$R$205,MATCH($E352,基础资料!$Q$6:$Q$205,0)),""))</f>
        <v/>
      </c>
      <c r="P352" s="49" t="str">
        <f aca="false">IF($E352="","",IFERROR(INDEX(基础资料!$S$6:$S$205,MATCH($E352,基础资料!$Q$6:$Q$205,0)),""))</f>
        <v/>
      </c>
      <c r="Q352" s="48" t="str">
        <f aca="false">IF(OR($F352="",$G352=""),"",ROUND(N($F352)*N($G352),2))</f>
        <v/>
      </c>
      <c r="R352" s="48" t="str">
        <f aca="false">IF($Q352="","",ROUND(N($Q352)*N($H352),2))</f>
        <v/>
      </c>
      <c r="S352" s="48" t="str">
        <f aca="false">IF($Q352="","",N($Q352)+N($R352))</f>
        <v/>
      </c>
      <c r="T352" s="52" t="str">
        <f aca="false">IF(OR($B352="",$D352=""),"",$B352+N(IFERROR(INDEX(基础资料!$AH$6:$AH$155,MATCH($D352,基础资料!$AF$6:$AF$155,0)),0)))</f>
        <v/>
      </c>
      <c r="U352" s="49" t="str">
        <f aca="false">IF($Q352="","",IF($I352="是","1405",IF($J352="","6602",$J352)))</f>
        <v/>
      </c>
      <c r="V352" s="49" t="str">
        <f aca="false">IF($Q352="","","2202")</f>
        <v/>
      </c>
      <c r="W352" s="48" t="str">
        <f aca="false">IF($Q352="","",$Q352)</f>
        <v/>
      </c>
      <c r="X352" s="49" t="str">
        <f aca="false">IF(N($R352)=0,"","2221")</f>
        <v/>
      </c>
      <c r="Y352" s="49" t="str">
        <f aca="false">IF(N($R352)=0,"","2202")</f>
        <v/>
      </c>
      <c r="Z352" s="48" t="str">
        <f aca="false">IF(N($R352)=0,"",$R352)</f>
        <v/>
      </c>
      <c r="AA352" s="49" t="str">
        <f aca="false">IF(AND($D352=供应商对账单!$B$3,$B352&gt;=供应商对账单!$E$3,$B352&lt;=供应商对账单!$H$3),COUNTIFS($D$5:$D352,供应商对账单!$B$3,$B$5:$B352,"&gt;="&amp;供应商对账单!$E$3,$B$5:$B352,"&lt;="&amp;供应商对账单!$H$3),"")</f>
        <v/>
      </c>
    </row>
    <row r="353" customFormat="false" ht="15.75" hidden="false" customHeight="true" outlineLevel="0" collapsed="false">
      <c r="A353" s="42" t="str">
        <f aca="false">IF($B353="","","CG"&amp;TEXT($B353,"yyyymm")&amp;"-"&amp;TEXT(ROW()-4,"000"))</f>
        <v/>
      </c>
      <c r="B353" s="41"/>
      <c r="C353" s="42" t="str">
        <f aca="false">IF($B353="","",TEXT($B353,"yyyy-mm"))</f>
        <v/>
      </c>
      <c r="D353" s="32"/>
      <c r="E353" s="36"/>
      <c r="F353" s="43"/>
      <c r="G353" s="40"/>
      <c r="H353" s="51"/>
      <c r="I353" s="33"/>
      <c r="J353" s="31"/>
      <c r="K353" s="33"/>
      <c r="L353" s="33"/>
      <c r="M353" s="36"/>
      <c r="N353" s="47" t="str">
        <f aca="false">IF($B353="","",IF(NOT(ISNUMBER($B353)),"日期不是日期格式",IF(YEAR($B353)&lt;&gt;首页!$B$3,"不在会计年度",IF($D353="","未选供应商",IF(ISNA(MATCH($D353,基础资料!$AF$6:$AF$155,0)),"供应商不在档案",IF($E353="","未填商品或内容",IF(NOT(ISNUMBER($F353)),"数量须为数字",IF(NOT(ISNUMBER($G353)),"单价须为数字",IF(N($F353)&lt;=0,"数量须大于0",IF($I353="","请选是否入库",IF(AND($I353="是",ISNA(MATCH($E353,基础资料!$Q$6:$Q$205,0))),"入库商品必须在商品档案中",IF(AND($I353="否",$J353&lt;&gt;"",ISNA(MATCH($J353,科目参数!$A$6:$A$125,0))),"费用科目不存在","√"))))))))))))</f>
        <v/>
      </c>
      <c r="O353" s="49" t="str">
        <f aca="false">IF($E353="","",IFERROR(INDEX(基础资料!$R$6:$R$205,MATCH($E353,基础资料!$Q$6:$Q$205,0)),""))</f>
        <v/>
      </c>
      <c r="P353" s="49" t="str">
        <f aca="false">IF($E353="","",IFERROR(INDEX(基础资料!$S$6:$S$205,MATCH($E353,基础资料!$Q$6:$Q$205,0)),""))</f>
        <v/>
      </c>
      <c r="Q353" s="48" t="str">
        <f aca="false">IF(OR($F353="",$G353=""),"",ROUND(N($F353)*N($G353),2))</f>
        <v/>
      </c>
      <c r="R353" s="48" t="str">
        <f aca="false">IF($Q353="","",ROUND(N($Q353)*N($H353),2))</f>
        <v/>
      </c>
      <c r="S353" s="48" t="str">
        <f aca="false">IF($Q353="","",N($Q353)+N($R353))</f>
        <v/>
      </c>
      <c r="T353" s="52" t="str">
        <f aca="false">IF(OR($B353="",$D353=""),"",$B353+N(IFERROR(INDEX(基础资料!$AH$6:$AH$155,MATCH($D353,基础资料!$AF$6:$AF$155,0)),0)))</f>
        <v/>
      </c>
      <c r="U353" s="49" t="str">
        <f aca="false">IF($Q353="","",IF($I353="是","1405",IF($J353="","6602",$J353)))</f>
        <v/>
      </c>
      <c r="V353" s="49" t="str">
        <f aca="false">IF($Q353="","","2202")</f>
        <v/>
      </c>
      <c r="W353" s="48" t="str">
        <f aca="false">IF($Q353="","",$Q353)</f>
        <v/>
      </c>
      <c r="X353" s="49" t="str">
        <f aca="false">IF(N($R353)=0,"","2221")</f>
        <v/>
      </c>
      <c r="Y353" s="49" t="str">
        <f aca="false">IF(N($R353)=0,"","2202")</f>
        <v/>
      </c>
      <c r="Z353" s="48" t="str">
        <f aca="false">IF(N($R353)=0,"",$R353)</f>
        <v/>
      </c>
      <c r="AA353" s="49" t="str">
        <f aca="false">IF(AND($D353=供应商对账单!$B$3,$B353&gt;=供应商对账单!$E$3,$B353&lt;=供应商对账单!$H$3),COUNTIFS($D$5:$D353,供应商对账单!$B$3,$B$5:$B353,"&gt;="&amp;供应商对账单!$E$3,$B$5:$B353,"&lt;="&amp;供应商对账单!$H$3),"")</f>
        <v/>
      </c>
    </row>
    <row r="354" customFormat="false" ht="15.75" hidden="false" customHeight="true" outlineLevel="0" collapsed="false">
      <c r="A354" s="42" t="str">
        <f aca="false">IF($B354="","","CG"&amp;TEXT($B354,"yyyymm")&amp;"-"&amp;TEXT(ROW()-4,"000"))</f>
        <v/>
      </c>
      <c r="B354" s="41"/>
      <c r="C354" s="42" t="str">
        <f aca="false">IF($B354="","",TEXT($B354,"yyyy-mm"))</f>
        <v/>
      </c>
      <c r="D354" s="32"/>
      <c r="E354" s="36"/>
      <c r="F354" s="43"/>
      <c r="G354" s="40"/>
      <c r="H354" s="51"/>
      <c r="I354" s="33"/>
      <c r="J354" s="31"/>
      <c r="K354" s="33"/>
      <c r="L354" s="33"/>
      <c r="M354" s="36"/>
      <c r="N354" s="47" t="str">
        <f aca="false">IF($B354="","",IF(NOT(ISNUMBER($B354)),"日期不是日期格式",IF(YEAR($B354)&lt;&gt;首页!$B$3,"不在会计年度",IF($D354="","未选供应商",IF(ISNA(MATCH($D354,基础资料!$AF$6:$AF$155,0)),"供应商不在档案",IF($E354="","未填商品或内容",IF(NOT(ISNUMBER($F354)),"数量须为数字",IF(NOT(ISNUMBER($G354)),"单价须为数字",IF(N($F354)&lt;=0,"数量须大于0",IF($I354="","请选是否入库",IF(AND($I354="是",ISNA(MATCH($E354,基础资料!$Q$6:$Q$205,0))),"入库商品必须在商品档案中",IF(AND($I354="否",$J354&lt;&gt;"",ISNA(MATCH($J354,科目参数!$A$6:$A$125,0))),"费用科目不存在","√"))))))))))))</f>
        <v/>
      </c>
      <c r="O354" s="49" t="str">
        <f aca="false">IF($E354="","",IFERROR(INDEX(基础资料!$R$6:$R$205,MATCH($E354,基础资料!$Q$6:$Q$205,0)),""))</f>
        <v/>
      </c>
      <c r="P354" s="49" t="str">
        <f aca="false">IF($E354="","",IFERROR(INDEX(基础资料!$S$6:$S$205,MATCH($E354,基础资料!$Q$6:$Q$205,0)),""))</f>
        <v/>
      </c>
      <c r="Q354" s="48" t="str">
        <f aca="false">IF(OR($F354="",$G354=""),"",ROUND(N($F354)*N($G354),2))</f>
        <v/>
      </c>
      <c r="R354" s="48" t="str">
        <f aca="false">IF($Q354="","",ROUND(N($Q354)*N($H354),2))</f>
        <v/>
      </c>
      <c r="S354" s="48" t="str">
        <f aca="false">IF($Q354="","",N($Q354)+N($R354))</f>
        <v/>
      </c>
      <c r="T354" s="52" t="str">
        <f aca="false">IF(OR($B354="",$D354=""),"",$B354+N(IFERROR(INDEX(基础资料!$AH$6:$AH$155,MATCH($D354,基础资料!$AF$6:$AF$155,0)),0)))</f>
        <v/>
      </c>
      <c r="U354" s="49" t="str">
        <f aca="false">IF($Q354="","",IF($I354="是","1405",IF($J354="","6602",$J354)))</f>
        <v/>
      </c>
      <c r="V354" s="49" t="str">
        <f aca="false">IF($Q354="","","2202")</f>
        <v/>
      </c>
      <c r="W354" s="48" t="str">
        <f aca="false">IF($Q354="","",$Q354)</f>
        <v/>
      </c>
      <c r="X354" s="49" t="str">
        <f aca="false">IF(N($R354)=0,"","2221")</f>
        <v/>
      </c>
      <c r="Y354" s="49" t="str">
        <f aca="false">IF(N($R354)=0,"","2202")</f>
        <v/>
      </c>
      <c r="Z354" s="48" t="str">
        <f aca="false">IF(N($R354)=0,"",$R354)</f>
        <v/>
      </c>
      <c r="AA354" s="49" t="str">
        <f aca="false">IF(AND($D354=供应商对账单!$B$3,$B354&gt;=供应商对账单!$E$3,$B354&lt;=供应商对账单!$H$3),COUNTIFS($D$5:$D354,供应商对账单!$B$3,$B$5:$B354,"&gt;="&amp;供应商对账单!$E$3,$B$5:$B354,"&lt;="&amp;供应商对账单!$H$3),"")</f>
        <v/>
      </c>
    </row>
    <row r="355" customFormat="false" ht="15.75" hidden="false" customHeight="true" outlineLevel="0" collapsed="false">
      <c r="A355" s="42" t="str">
        <f aca="false">IF($B355="","","CG"&amp;TEXT($B355,"yyyymm")&amp;"-"&amp;TEXT(ROW()-4,"000"))</f>
        <v/>
      </c>
      <c r="B355" s="41"/>
      <c r="C355" s="42" t="str">
        <f aca="false">IF($B355="","",TEXT($B355,"yyyy-mm"))</f>
        <v/>
      </c>
      <c r="D355" s="32"/>
      <c r="E355" s="36"/>
      <c r="F355" s="43"/>
      <c r="G355" s="40"/>
      <c r="H355" s="51"/>
      <c r="I355" s="33"/>
      <c r="J355" s="31"/>
      <c r="K355" s="33"/>
      <c r="L355" s="33"/>
      <c r="M355" s="36"/>
      <c r="N355" s="47" t="str">
        <f aca="false">IF($B355="","",IF(NOT(ISNUMBER($B355)),"日期不是日期格式",IF(YEAR($B355)&lt;&gt;首页!$B$3,"不在会计年度",IF($D355="","未选供应商",IF(ISNA(MATCH($D355,基础资料!$AF$6:$AF$155,0)),"供应商不在档案",IF($E355="","未填商品或内容",IF(NOT(ISNUMBER($F355)),"数量须为数字",IF(NOT(ISNUMBER($G355)),"单价须为数字",IF(N($F355)&lt;=0,"数量须大于0",IF($I355="","请选是否入库",IF(AND($I355="是",ISNA(MATCH($E355,基础资料!$Q$6:$Q$205,0))),"入库商品必须在商品档案中",IF(AND($I355="否",$J355&lt;&gt;"",ISNA(MATCH($J355,科目参数!$A$6:$A$125,0))),"费用科目不存在","√"))))))))))))</f>
        <v/>
      </c>
      <c r="O355" s="49" t="str">
        <f aca="false">IF($E355="","",IFERROR(INDEX(基础资料!$R$6:$R$205,MATCH($E355,基础资料!$Q$6:$Q$205,0)),""))</f>
        <v/>
      </c>
      <c r="P355" s="49" t="str">
        <f aca="false">IF($E355="","",IFERROR(INDEX(基础资料!$S$6:$S$205,MATCH($E355,基础资料!$Q$6:$Q$205,0)),""))</f>
        <v/>
      </c>
      <c r="Q355" s="48" t="str">
        <f aca="false">IF(OR($F355="",$G355=""),"",ROUND(N($F355)*N($G355),2))</f>
        <v/>
      </c>
      <c r="R355" s="48" t="str">
        <f aca="false">IF($Q355="","",ROUND(N($Q355)*N($H355),2))</f>
        <v/>
      </c>
      <c r="S355" s="48" t="str">
        <f aca="false">IF($Q355="","",N($Q355)+N($R355))</f>
        <v/>
      </c>
      <c r="T355" s="52" t="str">
        <f aca="false">IF(OR($B355="",$D355=""),"",$B355+N(IFERROR(INDEX(基础资料!$AH$6:$AH$155,MATCH($D355,基础资料!$AF$6:$AF$155,0)),0)))</f>
        <v/>
      </c>
      <c r="U355" s="49" t="str">
        <f aca="false">IF($Q355="","",IF($I355="是","1405",IF($J355="","6602",$J355)))</f>
        <v/>
      </c>
      <c r="V355" s="49" t="str">
        <f aca="false">IF($Q355="","","2202")</f>
        <v/>
      </c>
      <c r="W355" s="48" t="str">
        <f aca="false">IF($Q355="","",$Q355)</f>
        <v/>
      </c>
      <c r="X355" s="49" t="str">
        <f aca="false">IF(N($R355)=0,"","2221")</f>
        <v/>
      </c>
      <c r="Y355" s="49" t="str">
        <f aca="false">IF(N($R355)=0,"","2202")</f>
        <v/>
      </c>
      <c r="Z355" s="48" t="str">
        <f aca="false">IF(N($R355)=0,"",$R355)</f>
        <v/>
      </c>
      <c r="AA355" s="49" t="str">
        <f aca="false">IF(AND($D355=供应商对账单!$B$3,$B355&gt;=供应商对账单!$E$3,$B355&lt;=供应商对账单!$H$3),COUNTIFS($D$5:$D355,供应商对账单!$B$3,$B$5:$B355,"&gt;="&amp;供应商对账单!$E$3,$B$5:$B355,"&lt;="&amp;供应商对账单!$H$3),"")</f>
        <v/>
      </c>
    </row>
    <row r="356" customFormat="false" ht="15.75" hidden="false" customHeight="true" outlineLevel="0" collapsed="false">
      <c r="A356" s="42" t="str">
        <f aca="false">IF($B356="","","CG"&amp;TEXT($B356,"yyyymm")&amp;"-"&amp;TEXT(ROW()-4,"000"))</f>
        <v/>
      </c>
      <c r="B356" s="41"/>
      <c r="C356" s="42" t="str">
        <f aca="false">IF($B356="","",TEXT($B356,"yyyy-mm"))</f>
        <v/>
      </c>
      <c r="D356" s="32"/>
      <c r="E356" s="36"/>
      <c r="F356" s="43"/>
      <c r="G356" s="40"/>
      <c r="H356" s="51"/>
      <c r="I356" s="33"/>
      <c r="J356" s="31"/>
      <c r="K356" s="33"/>
      <c r="L356" s="33"/>
      <c r="M356" s="36"/>
      <c r="N356" s="47" t="str">
        <f aca="false">IF($B356="","",IF(NOT(ISNUMBER($B356)),"日期不是日期格式",IF(YEAR($B356)&lt;&gt;首页!$B$3,"不在会计年度",IF($D356="","未选供应商",IF(ISNA(MATCH($D356,基础资料!$AF$6:$AF$155,0)),"供应商不在档案",IF($E356="","未填商品或内容",IF(NOT(ISNUMBER($F356)),"数量须为数字",IF(NOT(ISNUMBER($G356)),"单价须为数字",IF(N($F356)&lt;=0,"数量须大于0",IF($I356="","请选是否入库",IF(AND($I356="是",ISNA(MATCH($E356,基础资料!$Q$6:$Q$205,0))),"入库商品必须在商品档案中",IF(AND($I356="否",$J356&lt;&gt;"",ISNA(MATCH($J356,科目参数!$A$6:$A$125,0))),"费用科目不存在","√"))))))))))))</f>
        <v/>
      </c>
      <c r="O356" s="49" t="str">
        <f aca="false">IF($E356="","",IFERROR(INDEX(基础资料!$R$6:$R$205,MATCH($E356,基础资料!$Q$6:$Q$205,0)),""))</f>
        <v/>
      </c>
      <c r="P356" s="49" t="str">
        <f aca="false">IF($E356="","",IFERROR(INDEX(基础资料!$S$6:$S$205,MATCH($E356,基础资料!$Q$6:$Q$205,0)),""))</f>
        <v/>
      </c>
      <c r="Q356" s="48" t="str">
        <f aca="false">IF(OR($F356="",$G356=""),"",ROUND(N($F356)*N($G356),2))</f>
        <v/>
      </c>
      <c r="R356" s="48" t="str">
        <f aca="false">IF($Q356="","",ROUND(N($Q356)*N($H356),2))</f>
        <v/>
      </c>
      <c r="S356" s="48" t="str">
        <f aca="false">IF($Q356="","",N($Q356)+N($R356))</f>
        <v/>
      </c>
      <c r="T356" s="52" t="str">
        <f aca="false">IF(OR($B356="",$D356=""),"",$B356+N(IFERROR(INDEX(基础资料!$AH$6:$AH$155,MATCH($D356,基础资料!$AF$6:$AF$155,0)),0)))</f>
        <v/>
      </c>
      <c r="U356" s="49" t="str">
        <f aca="false">IF($Q356="","",IF($I356="是","1405",IF($J356="","6602",$J356)))</f>
        <v/>
      </c>
      <c r="V356" s="49" t="str">
        <f aca="false">IF($Q356="","","2202")</f>
        <v/>
      </c>
      <c r="W356" s="48" t="str">
        <f aca="false">IF($Q356="","",$Q356)</f>
        <v/>
      </c>
      <c r="X356" s="49" t="str">
        <f aca="false">IF(N($R356)=0,"","2221")</f>
        <v/>
      </c>
      <c r="Y356" s="49" t="str">
        <f aca="false">IF(N($R356)=0,"","2202")</f>
        <v/>
      </c>
      <c r="Z356" s="48" t="str">
        <f aca="false">IF(N($R356)=0,"",$R356)</f>
        <v/>
      </c>
      <c r="AA356" s="49" t="str">
        <f aca="false">IF(AND($D356=供应商对账单!$B$3,$B356&gt;=供应商对账单!$E$3,$B356&lt;=供应商对账单!$H$3),COUNTIFS($D$5:$D356,供应商对账单!$B$3,$B$5:$B356,"&gt;="&amp;供应商对账单!$E$3,$B$5:$B356,"&lt;="&amp;供应商对账单!$H$3),"")</f>
        <v/>
      </c>
    </row>
    <row r="357" customFormat="false" ht="15.75" hidden="false" customHeight="true" outlineLevel="0" collapsed="false">
      <c r="A357" s="42" t="str">
        <f aca="false">IF($B357="","","CG"&amp;TEXT($B357,"yyyymm")&amp;"-"&amp;TEXT(ROW()-4,"000"))</f>
        <v/>
      </c>
      <c r="B357" s="41"/>
      <c r="C357" s="42" t="str">
        <f aca="false">IF($B357="","",TEXT($B357,"yyyy-mm"))</f>
        <v/>
      </c>
      <c r="D357" s="32"/>
      <c r="E357" s="36"/>
      <c r="F357" s="43"/>
      <c r="G357" s="40"/>
      <c r="H357" s="51"/>
      <c r="I357" s="33"/>
      <c r="J357" s="31"/>
      <c r="K357" s="33"/>
      <c r="L357" s="33"/>
      <c r="M357" s="36"/>
      <c r="N357" s="47" t="str">
        <f aca="false">IF($B357="","",IF(NOT(ISNUMBER($B357)),"日期不是日期格式",IF(YEAR($B357)&lt;&gt;首页!$B$3,"不在会计年度",IF($D357="","未选供应商",IF(ISNA(MATCH($D357,基础资料!$AF$6:$AF$155,0)),"供应商不在档案",IF($E357="","未填商品或内容",IF(NOT(ISNUMBER($F357)),"数量须为数字",IF(NOT(ISNUMBER($G357)),"单价须为数字",IF(N($F357)&lt;=0,"数量须大于0",IF($I357="","请选是否入库",IF(AND($I357="是",ISNA(MATCH($E357,基础资料!$Q$6:$Q$205,0))),"入库商品必须在商品档案中",IF(AND($I357="否",$J357&lt;&gt;"",ISNA(MATCH($J357,科目参数!$A$6:$A$125,0))),"费用科目不存在","√"))))))))))))</f>
        <v/>
      </c>
      <c r="O357" s="49" t="str">
        <f aca="false">IF($E357="","",IFERROR(INDEX(基础资料!$R$6:$R$205,MATCH($E357,基础资料!$Q$6:$Q$205,0)),""))</f>
        <v/>
      </c>
      <c r="P357" s="49" t="str">
        <f aca="false">IF($E357="","",IFERROR(INDEX(基础资料!$S$6:$S$205,MATCH($E357,基础资料!$Q$6:$Q$205,0)),""))</f>
        <v/>
      </c>
      <c r="Q357" s="48" t="str">
        <f aca="false">IF(OR($F357="",$G357=""),"",ROUND(N($F357)*N($G357),2))</f>
        <v/>
      </c>
      <c r="R357" s="48" t="str">
        <f aca="false">IF($Q357="","",ROUND(N($Q357)*N($H357),2))</f>
        <v/>
      </c>
      <c r="S357" s="48" t="str">
        <f aca="false">IF($Q357="","",N($Q357)+N($R357))</f>
        <v/>
      </c>
      <c r="T357" s="52" t="str">
        <f aca="false">IF(OR($B357="",$D357=""),"",$B357+N(IFERROR(INDEX(基础资料!$AH$6:$AH$155,MATCH($D357,基础资料!$AF$6:$AF$155,0)),0)))</f>
        <v/>
      </c>
      <c r="U357" s="49" t="str">
        <f aca="false">IF($Q357="","",IF($I357="是","1405",IF($J357="","6602",$J357)))</f>
        <v/>
      </c>
      <c r="V357" s="49" t="str">
        <f aca="false">IF($Q357="","","2202")</f>
        <v/>
      </c>
      <c r="W357" s="48" t="str">
        <f aca="false">IF($Q357="","",$Q357)</f>
        <v/>
      </c>
      <c r="X357" s="49" t="str">
        <f aca="false">IF(N($R357)=0,"","2221")</f>
        <v/>
      </c>
      <c r="Y357" s="49" t="str">
        <f aca="false">IF(N($R357)=0,"","2202")</f>
        <v/>
      </c>
      <c r="Z357" s="48" t="str">
        <f aca="false">IF(N($R357)=0,"",$R357)</f>
        <v/>
      </c>
      <c r="AA357" s="49" t="str">
        <f aca="false">IF(AND($D357=供应商对账单!$B$3,$B357&gt;=供应商对账单!$E$3,$B357&lt;=供应商对账单!$H$3),COUNTIFS($D$5:$D357,供应商对账单!$B$3,$B$5:$B357,"&gt;="&amp;供应商对账单!$E$3,$B$5:$B357,"&lt;="&amp;供应商对账单!$H$3),"")</f>
        <v/>
      </c>
    </row>
    <row r="358" customFormat="false" ht="15.75" hidden="false" customHeight="true" outlineLevel="0" collapsed="false">
      <c r="A358" s="42" t="str">
        <f aca="false">IF($B358="","","CG"&amp;TEXT($B358,"yyyymm")&amp;"-"&amp;TEXT(ROW()-4,"000"))</f>
        <v/>
      </c>
      <c r="B358" s="41"/>
      <c r="C358" s="42" t="str">
        <f aca="false">IF($B358="","",TEXT($B358,"yyyy-mm"))</f>
        <v/>
      </c>
      <c r="D358" s="32"/>
      <c r="E358" s="36"/>
      <c r="F358" s="43"/>
      <c r="G358" s="40"/>
      <c r="H358" s="51"/>
      <c r="I358" s="33"/>
      <c r="J358" s="31"/>
      <c r="K358" s="33"/>
      <c r="L358" s="33"/>
      <c r="M358" s="36"/>
      <c r="N358" s="47" t="str">
        <f aca="false">IF($B358="","",IF(NOT(ISNUMBER($B358)),"日期不是日期格式",IF(YEAR($B358)&lt;&gt;首页!$B$3,"不在会计年度",IF($D358="","未选供应商",IF(ISNA(MATCH($D358,基础资料!$AF$6:$AF$155,0)),"供应商不在档案",IF($E358="","未填商品或内容",IF(NOT(ISNUMBER($F358)),"数量须为数字",IF(NOT(ISNUMBER($G358)),"单价须为数字",IF(N($F358)&lt;=0,"数量须大于0",IF($I358="","请选是否入库",IF(AND($I358="是",ISNA(MATCH($E358,基础资料!$Q$6:$Q$205,0))),"入库商品必须在商品档案中",IF(AND($I358="否",$J358&lt;&gt;"",ISNA(MATCH($J358,科目参数!$A$6:$A$125,0))),"费用科目不存在","√"))))))))))))</f>
        <v/>
      </c>
      <c r="O358" s="49" t="str">
        <f aca="false">IF($E358="","",IFERROR(INDEX(基础资料!$R$6:$R$205,MATCH($E358,基础资料!$Q$6:$Q$205,0)),""))</f>
        <v/>
      </c>
      <c r="P358" s="49" t="str">
        <f aca="false">IF($E358="","",IFERROR(INDEX(基础资料!$S$6:$S$205,MATCH($E358,基础资料!$Q$6:$Q$205,0)),""))</f>
        <v/>
      </c>
      <c r="Q358" s="48" t="str">
        <f aca="false">IF(OR($F358="",$G358=""),"",ROUND(N($F358)*N($G358),2))</f>
        <v/>
      </c>
      <c r="R358" s="48" t="str">
        <f aca="false">IF($Q358="","",ROUND(N($Q358)*N($H358),2))</f>
        <v/>
      </c>
      <c r="S358" s="48" t="str">
        <f aca="false">IF($Q358="","",N($Q358)+N($R358))</f>
        <v/>
      </c>
      <c r="T358" s="52" t="str">
        <f aca="false">IF(OR($B358="",$D358=""),"",$B358+N(IFERROR(INDEX(基础资料!$AH$6:$AH$155,MATCH($D358,基础资料!$AF$6:$AF$155,0)),0)))</f>
        <v/>
      </c>
      <c r="U358" s="49" t="str">
        <f aca="false">IF($Q358="","",IF($I358="是","1405",IF($J358="","6602",$J358)))</f>
        <v/>
      </c>
      <c r="V358" s="49" t="str">
        <f aca="false">IF($Q358="","","2202")</f>
        <v/>
      </c>
      <c r="W358" s="48" t="str">
        <f aca="false">IF($Q358="","",$Q358)</f>
        <v/>
      </c>
      <c r="X358" s="49" t="str">
        <f aca="false">IF(N($R358)=0,"","2221")</f>
        <v/>
      </c>
      <c r="Y358" s="49" t="str">
        <f aca="false">IF(N($R358)=0,"","2202")</f>
        <v/>
      </c>
      <c r="Z358" s="48" t="str">
        <f aca="false">IF(N($R358)=0,"",$R358)</f>
        <v/>
      </c>
      <c r="AA358" s="49" t="str">
        <f aca="false">IF(AND($D358=供应商对账单!$B$3,$B358&gt;=供应商对账单!$E$3,$B358&lt;=供应商对账单!$H$3),COUNTIFS($D$5:$D358,供应商对账单!$B$3,$B$5:$B358,"&gt;="&amp;供应商对账单!$E$3,$B$5:$B358,"&lt;="&amp;供应商对账单!$H$3),"")</f>
        <v/>
      </c>
    </row>
    <row r="359" customFormat="false" ht="15.75" hidden="false" customHeight="true" outlineLevel="0" collapsed="false">
      <c r="A359" s="42" t="str">
        <f aca="false">IF($B359="","","CG"&amp;TEXT($B359,"yyyymm")&amp;"-"&amp;TEXT(ROW()-4,"000"))</f>
        <v/>
      </c>
      <c r="B359" s="41"/>
      <c r="C359" s="42" t="str">
        <f aca="false">IF($B359="","",TEXT($B359,"yyyy-mm"))</f>
        <v/>
      </c>
      <c r="D359" s="32"/>
      <c r="E359" s="36"/>
      <c r="F359" s="43"/>
      <c r="G359" s="40"/>
      <c r="H359" s="51"/>
      <c r="I359" s="33"/>
      <c r="J359" s="31"/>
      <c r="K359" s="33"/>
      <c r="L359" s="33"/>
      <c r="M359" s="36"/>
      <c r="N359" s="47" t="str">
        <f aca="false">IF($B359="","",IF(NOT(ISNUMBER($B359)),"日期不是日期格式",IF(YEAR($B359)&lt;&gt;首页!$B$3,"不在会计年度",IF($D359="","未选供应商",IF(ISNA(MATCH($D359,基础资料!$AF$6:$AF$155,0)),"供应商不在档案",IF($E359="","未填商品或内容",IF(NOT(ISNUMBER($F359)),"数量须为数字",IF(NOT(ISNUMBER($G359)),"单价须为数字",IF(N($F359)&lt;=0,"数量须大于0",IF($I359="","请选是否入库",IF(AND($I359="是",ISNA(MATCH($E359,基础资料!$Q$6:$Q$205,0))),"入库商品必须在商品档案中",IF(AND($I359="否",$J359&lt;&gt;"",ISNA(MATCH($J359,科目参数!$A$6:$A$125,0))),"费用科目不存在","√"))))))))))))</f>
        <v/>
      </c>
      <c r="O359" s="49" t="str">
        <f aca="false">IF($E359="","",IFERROR(INDEX(基础资料!$R$6:$R$205,MATCH($E359,基础资料!$Q$6:$Q$205,0)),""))</f>
        <v/>
      </c>
      <c r="P359" s="49" t="str">
        <f aca="false">IF($E359="","",IFERROR(INDEX(基础资料!$S$6:$S$205,MATCH($E359,基础资料!$Q$6:$Q$205,0)),""))</f>
        <v/>
      </c>
      <c r="Q359" s="48" t="str">
        <f aca="false">IF(OR($F359="",$G359=""),"",ROUND(N($F359)*N($G359),2))</f>
        <v/>
      </c>
      <c r="R359" s="48" t="str">
        <f aca="false">IF($Q359="","",ROUND(N($Q359)*N($H359),2))</f>
        <v/>
      </c>
      <c r="S359" s="48" t="str">
        <f aca="false">IF($Q359="","",N($Q359)+N($R359))</f>
        <v/>
      </c>
      <c r="T359" s="52" t="str">
        <f aca="false">IF(OR($B359="",$D359=""),"",$B359+N(IFERROR(INDEX(基础资料!$AH$6:$AH$155,MATCH($D359,基础资料!$AF$6:$AF$155,0)),0)))</f>
        <v/>
      </c>
      <c r="U359" s="49" t="str">
        <f aca="false">IF($Q359="","",IF($I359="是","1405",IF($J359="","6602",$J359)))</f>
        <v/>
      </c>
      <c r="V359" s="49" t="str">
        <f aca="false">IF($Q359="","","2202")</f>
        <v/>
      </c>
      <c r="W359" s="48" t="str">
        <f aca="false">IF($Q359="","",$Q359)</f>
        <v/>
      </c>
      <c r="X359" s="49" t="str">
        <f aca="false">IF(N($R359)=0,"","2221")</f>
        <v/>
      </c>
      <c r="Y359" s="49" t="str">
        <f aca="false">IF(N($R359)=0,"","2202")</f>
        <v/>
      </c>
      <c r="Z359" s="48" t="str">
        <f aca="false">IF(N($R359)=0,"",$R359)</f>
        <v/>
      </c>
      <c r="AA359" s="49" t="str">
        <f aca="false">IF(AND($D359=供应商对账单!$B$3,$B359&gt;=供应商对账单!$E$3,$B359&lt;=供应商对账单!$H$3),COUNTIFS($D$5:$D359,供应商对账单!$B$3,$B$5:$B359,"&gt;="&amp;供应商对账单!$E$3,$B$5:$B359,"&lt;="&amp;供应商对账单!$H$3),"")</f>
        <v/>
      </c>
    </row>
    <row r="360" customFormat="false" ht="15.75" hidden="false" customHeight="true" outlineLevel="0" collapsed="false">
      <c r="A360" s="42" t="str">
        <f aca="false">IF($B360="","","CG"&amp;TEXT($B360,"yyyymm")&amp;"-"&amp;TEXT(ROW()-4,"000"))</f>
        <v/>
      </c>
      <c r="B360" s="41"/>
      <c r="C360" s="42" t="str">
        <f aca="false">IF($B360="","",TEXT($B360,"yyyy-mm"))</f>
        <v/>
      </c>
      <c r="D360" s="32"/>
      <c r="E360" s="36"/>
      <c r="F360" s="43"/>
      <c r="G360" s="40"/>
      <c r="H360" s="51"/>
      <c r="I360" s="33"/>
      <c r="J360" s="31"/>
      <c r="K360" s="33"/>
      <c r="L360" s="33"/>
      <c r="M360" s="36"/>
      <c r="N360" s="47" t="str">
        <f aca="false">IF($B360="","",IF(NOT(ISNUMBER($B360)),"日期不是日期格式",IF(YEAR($B360)&lt;&gt;首页!$B$3,"不在会计年度",IF($D360="","未选供应商",IF(ISNA(MATCH($D360,基础资料!$AF$6:$AF$155,0)),"供应商不在档案",IF($E360="","未填商品或内容",IF(NOT(ISNUMBER($F360)),"数量须为数字",IF(NOT(ISNUMBER($G360)),"单价须为数字",IF(N($F360)&lt;=0,"数量须大于0",IF($I360="","请选是否入库",IF(AND($I360="是",ISNA(MATCH($E360,基础资料!$Q$6:$Q$205,0))),"入库商品必须在商品档案中",IF(AND($I360="否",$J360&lt;&gt;"",ISNA(MATCH($J360,科目参数!$A$6:$A$125,0))),"费用科目不存在","√"))))))))))))</f>
        <v/>
      </c>
      <c r="O360" s="49" t="str">
        <f aca="false">IF($E360="","",IFERROR(INDEX(基础资料!$R$6:$R$205,MATCH($E360,基础资料!$Q$6:$Q$205,0)),""))</f>
        <v/>
      </c>
      <c r="P360" s="49" t="str">
        <f aca="false">IF($E360="","",IFERROR(INDEX(基础资料!$S$6:$S$205,MATCH($E360,基础资料!$Q$6:$Q$205,0)),""))</f>
        <v/>
      </c>
      <c r="Q360" s="48" t="str">
        <f aca="false">IF(OR($F360="",$G360=""),"",ROUND(N($F360)*N($G360),2))</f>
        <v/>
      </c>
      <c r="R360" s="48" t="str">
        <f aca="false">IF($Q360="","",ROUND(N($Q360)*N($H360),2))</f>
        <v/>
      </c>
      <c r="S360" s="48" t="str">
        <f aca="false">IF($Q360="","",N($Q360)+N($R360))</f>
        <v/>
      </c>
      <c r="T360" s="52" t="str">
        <f aca="false">IF(OR($B360="",$D360=""),"",$B360+N(IFERROR(INDEX(基础资料!$AH$6:$AH$155,MATCH($D360,基础资料!$AF$6:$AF$155,0)),0)))</f>
        <v/>
      </c>
      <c r="U360" s="49" t="str">
        <f aca="false">IF($Q360="","",IF($I360="是","1405",IF($J360="","6602",$J360)))</f>
        <v/>
      </c>
      <c r="V360" s="49" t="str">
        <f aca="false">IF($Q360="","","2202")</f>
        <v/>
      </c>
      <c r="W360" s="48" t="str">
        <f aca="false">IF($Q360="","",$Q360)</f>
        <v/>
      </c>
      <c r="X360" s="49" t="str">
        <f aca="false">IF(N($R360)=0,"","2221")</f>
        <v/>
      </c>
      <c r="Y360" s="49" t="str">
        <f aca="false">IF(N($R360)=0,"","2202")</f>
        <v/>
      </c>
      <c r="Z360" s="48" t="str">
        <f aca="false">IF(N($R360)=0,"",$R360)</f>
        <v/>
      </c>
      <c r="AA360" s="49" t="str">
        <f aca="false">IF(AND($D360=供应商对账单!$B$3,$B360&gt;=供应商对账单!$E$3,$B360&lt;=供应商对账单!$H$3),COUNTIFS($D$5:$D360,供应商对账单!$B$3,$B$5:$B360,"&gt;="&amp;供应商对账单!$E$3,$B$5:$B360,"&lt;="&amp;供应商对账单!$H$3),"")</f>
        <v/>
      </c>
    </row>
    <row r="361" customFormat="false" ht="15.75" hidden="false" customHeight="true" outlineLevel="0" collapsed="false">
      <c r="A361" s="42" t="str">
        <f aca="false">IF($B361="","","CG"&amp;TEXT($B361,"yyyymm")&amp;"-"&amp;TEXT(ROW()-4,"000"))</f>
        <v/>
      </c>
      <c r="B361" s="41"/>
      <c r="C361" s="42" t="str">
        <f aca="false">IF($B361="","",TEXT($B361,"yyyy-mm"))</f>
        <v/>
      </c>
      <c r="D361" s="32"/>
      <c r="E361" s="36"/>
      <c r="F361" s="43"/>
      <c r="G361" s="40"/>
      <c r="H361" s="51"/>
      <c r="I361" s="33"/>
      <c r="J361" s="31"/>
      <c r="K361" s="33"/>
      <c r="L361" s="33"/>
      <c r="M361" s="36"/>
      <c r="N361" s="47" t="str">
        <f aca="false">IF($B361="","",IF(NOT(ISNUMBER($B361)),"日期不是日期格式",IF(YEAR($B361)&lt;&gt;首页!$B$3,"不在会计年度",IF($D361="","未选供应商",IF(ISNA(MATCH($D361,基础资料!$AF$6:$AF$155,0)),"供应商不在档案",IF($E361="","未填商品或内容",IF(NOT(ISNUMBER($F361)),"数量须为数字",IF(NOT(ISNUMBER($G361)),"单价须为数字",IF(N($F361)&lt;=0,"数量须大于0",IF($I361="","请选是否入库",IF(AND($I361="是",ISNA(MATCH($E361,基础资料!$Q$6:$Q$205,0))),"入库商品必须在商品档案中",IF(AND($I361="否",$J361&lt;&gt;"",ISNA(MATCH($J361,科目参数!$A$6:$A$125,0))),"费用科目不存在","√"))))))))))))</f>
        <v/>
      </c>
      <c r="O361" s="49" t="str">
        <f aca="false">IF($E361="","",IFERROR(INDEX(基础资料!$R$6:$R$205,MATCH($E361,基础资料!$Q$6:$Q$205,0)),""))</f>
        <v/>
      </c>
      <c r="P361" s="49" t="str">
        <f aca="false">IF($E361="","",IFERROR(INDEX(基础资料!$S$6:$S$205,MATCH($E361,基础资料!$Q$6:$Q$205,0)),""))</f>
        <v/>
      </c>
      <c r="Q361" s="48" t="str">
        <f aca="false">IF(OR($F361="",$G361=""),"",ROUND(N($F361)*N($G361),2))</f>
        <v/>
      </c>
      <c r="R361" s="48" t="str">
        <f aca="false">IF($Q361="","",ROUND(N($Q361)*N($H361),2))</f>
        <v/>
      </c>
      <c r="S361" s="48" t="str">
        <f aca="false">IF($Q361="","",N($Q361)+N($R361))</f>
        <v/>
      </c>
      <c r="T361" s="52" t="str">
        <f aca="false">IF(OR($B361="",$D361=""),"",$B361+N(IFERROR(INDEX(基础资料!$AH$6:$AH$155,MATCH($D361,基础资料!$AF$6:$AF$155,0)),0)))</f>
        <v/>
      </c>
      <c r="U361" s="49" t="str">
        <f aca="false">IF($Q361="","",IF($I361="是","1405",IF($J361="","6602",$J361)))</f>
        <v/>
      </c>
      <c r="V361" s="49" t="str">
        <f aca="false">IF($Q361="","","2202")</f>
        <v/>
      </c>
      <c r="W361" s="48" t="str">
        <f aca="false">IF($Q361="","",$Q361)</f>
        <v/>
      </c>
      <c r="X361" s="49" t="str">
        <f aca="false">IF(N($R361)=0,"","2221")</f>
        <v/>
      </c>
      <c r="Y361" s="49" t="str">
        <f aca="false">IF(N($R361)=0,"","2202")</f>
        <v/>
      </c>
      <c r="Z361" s="48" t="str">
        <f aca="false">IF(N($R361)=0,"",$R361)</f>
        <v/>
      </c>
      <c r="AA361" s="49" t="str">
        <f aca="false">IF(AND($D361=供应商对账单!$B$3,$B361&gt;=供应商对账单!$E$3,$B361&lt;=供应商对账单!$H$3),COUNTIFS($D$5:$D361,供应商对账单!$B$3,$B$5:$B361,"&gt;="&amp;供应商对账单!$E$3,$B$5:$B361,"&lt;="&amp;供应商对账单!$H$3),"")</f>
        <v/>
      </c>
    </row>
    <row r="362" customFormat="false" ht="15.75" hidden="false" customHeight="true" outlineLevel="0" collapsed="false">
      <c r="A362" s="42" t="str">
        <f aca="false">IF($B362="","","CG"&amp;TEXT($B362,"yyyymm")&amp;"-"&amp;TEXT(ROW()-4,"000"))</f>
        <v/>
      </c>
      <c r="B362" s="41"/>
      <c r="C362" s="42" t="str">
        <f aca="false">IF($B362="","",TEXT($B362,"yyyy-mm"))</f>
        <v/>
      </c>
      <c r="D362" s="32"/>
      <c r="E362" s="36"/>
      <c r="F362" s="43"/>
      <c r="G362" s="40"/>
      <c r="H362" s="51"/>
      <c r="I362" s="33"/>
      <c r="J362" s="31"/>
      <c r="K362" s="33"/>
      <c r="L362" s="33"/>
      <c r="M362" s="36"/>
      <c r="N362" s="47" t="str">
        <f aca="false">IF($B362="","",IF(NOT(ISNUMBER($B362)),"日期不是日期格式",IF(YEAR($B362)&lt;&gt;首页!$B$3,"不在会计年度",IF($D362="","未选供应商",IF(ISNA(MATCH($D362,基础资料!$AF$6:$AF$155,0)),"供应商不在档案",IF($E362="","未填商品或内容",IF(NOT(ISNUMBER($F362)),"数量须为数字",IF(NOT(ISNUMBER($G362)),"单价须为数字",IF(N($F362)&lt;=0,"数量须大于0",IF($I362="","请选是否入库",IF(AND($I362="是",ISNA(MATCH($E362,基础资料!$Q$6:$Q$205,0))),"入库商品必须在商品档案中",IF(AND($I362="否",$J362&lt;&gt;"",ISNA(MATCH($J362,科目参数!$A$6:$A$125,0))),"费用科目不存在","√"))))))))))))</f>
        <v/>
      </c>
      <c r="O362" s="49" t="str">
        <f aca="false">IF($E362="","",IFERROR(INDEX(基础资料!$R$6:$R$205,MATCH($E362,基础资料!$Q$6:$Q$205,0)),""))</f>
        <v/>
      </c>
      <c r="P362" s="49" t="str">
        <f aca="false">IF($E362="","",IFERROR(INDEX(基础资料!$S$6:$S$205,MATCH($E362,基础资料!$Q$6:$Q$205,0)),""))</f>
        <v/>
      </c>
      <c r="Q362" s="48" t="str">
        <f aca="false">IF(OR($F362="",$G362=""),"",ROUND(N($F362)*N($G362),2))</f>
        <v/>
      </c>
      <c r="R362" s="48" t="str">
        <f aca="false">IF($Q362="","",ROUND(N($Q362)*N($H362),2))</f>
        <v/>
      </c>
      <c r="S362" s="48" t="str">
        <f aca="false">IF($Q362="","",N($Q362)+N($R362))</f>
        <v/>
      </c>
      <c r="T362" s="52" t="str">
        <f aca="false">IF(OR($B362="",$D362=""),"",$B362+N(IFERROR(INDEX(基础资料!$AH$6:$AH$155,MATCH($D362,基础资料!$AF$6:$AF$155,0)),0)))</f>
        <v/>
      </c>
      <c r="U362" s="49" t="str">
        <f aca="false">IF($Q362="","",IF($I362="是","1405",IF($J362="","6602",$J362)))</f>
        <v/>
      </c>
      <c r="V362" s="49" t="str">
        <f aca="false">IF($Q362="","","2202")</f>
        <v/>
      </c>
      <c r="W362" s="48" t="str">
        <f aca="false">IF($Q362="","",$Q362)</f>
        <v/>
      </c>
      <c r="X362" s="49" t="str">
        <f aca="false">IF(N($R362)=0,"","2221")</f>
        <v/>
      </c>
      <c r="Y362" s="49" t="str">
        <f aca="false">IF(N($R362)=0,"","2202")</f>
        <v/>
      </c>
      <c r="Z362" s="48" t="str">
        <f aca="false">IF(N($R362)=0,"",$R362)</f>
        <v/>
      </c>
      <c r="AA362" s="49" t="str">
        <f aca="false">IF(AND($D362=供应商对账单!$B$3,$B362&gt;=供应商对账单!$E$3,$B362&lt;=供应商对账单!$H$3),COUNTIFS($D$5:$D362,供应商对账单!$B$3,$B$5:$B362,"&gt;="&amp;供应商对账单!$E$3,$B$5:$B362,"&lt;="&amp;供应商对账单!$H$3),"")</f>
        <v/>
      </c>
    </row>
    <row r="363" customFormat="false" ht="15.75" hidden="false" customHeight="true" outlineLevel="0" collapsed="false">
      <c r="A363" s="42" t="str">
        <f aca="false">IF($B363="","","CG"&amp;TEXT($B363,"yyyymm")&amp;"-"&amp;TEXT(ROW()-4,"000"))</f>
        <v/>
      </c>
      <c r="B363" s="41"/>
      <c r="C363" s="42" t="str">
        <f aca="false">IF($B363="","",TEXT($B363,"yyyy-mm"))</f>
        <v/>
      </c>
      <c r="D363" s="32"/>
      <c r="E363" s="36"/>
      <c r="F363" s="43"/>
      <c r="G363" s="40"/>
      <c r="H363" s="51"/>
      <c r="I363" s="33"/>
      <c r="J363" s="31"/>
      <c r="K363" s="33"/>
      <c r="L363" s="33"/>
      <c r="M363" s="36"/>
      <c r="N363" s="47" t="str">
        <f aca="false">IF($B363="","",IF(NOT(ISNUMBER($B363)),"日期不是日期格式",IF(YEAR($B363)&lt;&gt;首页!$B$3,"不在会计年度",IF($D363="","未选供应商",IF(ISNA(MATCH($D363,基础资料!$AF$6:$AF$155,0)),"供应商不在档案",IF($E363="","未填商品或内容",IF(NOT(ISNUMBER($F363)),"数量须为数字",IF(NOT(ISNUMBER($G363)),"单价须为数字",IF(N($F363)&lt;=0,"数量须大于0",IF($I363="","请选是否入库",IF(AND($I363="是",ISNA(MATCH($E363,基础资料!$Q$6:$Q$205,0))),"入库商品必须在商品档案中",IF(AND($I363="否",$J363&lt;&gt;"",ISNA(MATCH($J363,科目参数!$A$6:$A$125,0))),"费用科目不存在","√"))))))))))))</f>
        <v/>
      </c>
      <c r="O363" s="49" t="str">
        <f aca="false">IF($E363="","",IFERROR(INDEX(基础资料!$R$6:$R$205,MATCH($E363,基础资料!$Q$6:$Q$205,0)),""))</f>
        <v/>
      </c>
      <c r="P363" s="49" t="str">
        <f aca="false">IF($E363="","",IFERROR(INDEX(基础资料!$S$6:$S$205,MATCH($E363,基础资料!$Q$6:$Q$205,0)),""))</f>
        <v/>
      </c>
      <c r="Q363" s="48" t="str">
        <f aca="false">IF(OR($F363="",$G363=""),"",ROUND(N($F363)*N($G363),2))</f>
        <v/>
      </c>
      <c r="R363" s="48" t="str">
        <f aca="false">IF($Q363="","",ROUND(N($Q363)*N($H363),2))</f>
        <v/>
      </c>
      <c r="S363" s="48" t="str">
        <f aca="false">IF($Q363="","",N($Q363)+N($R363))</f>
        <v/>
      </c>
      <c r="T363" s="52" t="str">
        <f aca="false">IF(OR($B363="",$D363=""),"",$B363+N(IFERROR(INDEX(基础资料!$AH$6:$AH$155,MATCH($D363,基础资料!$AF$6:$AF$155,0)),0)))</f>
        <v/>
      </c>
      <c r="U363" s="49" t="str">
        <f aca="false">IF($Q363="","",IF($I363="是","1405",IF($J363="","6602",$J363)))</f>
        <v/>
      </c>
      <c r="V363" s="49" t="str">
        <f aca="false">IF($Q363="","","2202")</f>
        <v/>
      </c>
      <c r="W363" s="48" t="str">
        <f aca="false">IF($Q363="","",$Q363)</f>
        <v/>
      </c>
      <c r="X363" s="49" t="str">
        <f aca="false">IF(N($R363)=0,"","2221")</f>
        <v/>
      </c>
      <c r="Y363" s="49" t="str">
        <f aca="false">IF(N($R363)=0,"","2202")</f>
        <v/>
      </c>
      <c r="Z363" s="48" t="str">
        <f aca="false">IF(N($R363)=0,"",$R363)</f>
        <v/>
      </c>
      <c r="AA363" s="49" t="str">
        <f aca="false">IF(AND($D363=供应商对账单!$B$3,$B363&gt;=供应商对账单!$E$3,$B363&lt;=供应商对账单!$H$3),COUNTIFS($D$5:$D363,供应商对账单!$B$3,$B$5:$B363,"&gt;="&amp;供应商对账单!$E$3,$B$5:$B363,"&lt;="&amp;供应商对账单!$H$3),"")</f>
        <v/>
      </c>
    </row>
    <row r="364" customFormat="false" ht="15.75" hidden="false" customHeight="true" outlineLevel="0" collapsed="false">
      <c r="A364" s="42" t="str">
        <f aca="false">IF($B364="","","CG"&amp;TEXT($B364,"yyyymm")&amp;"-"&amp;TEXT(ROW()-4,"000"))</f>
        <v/>
      </c>
      <c r="B364" s="41"/>
      <c r="C364" s="42" t="str">
        <f aca="false">IF($B364="","",TEXT($B364,"yyyy-mm"))</f>
        <v/>
      </c>
      <c r="D364" s="32"/>
      <c r="E364" s="36"/>
      <c r="F364" s="43"/>
      <c r="G364" s="40"/>
      <c r="H364" s="51"/>
      <c r="I364" s="33"/>
      <c r="J364" s="31"/>
      <c r="K364" s="33"/>
      <c r="L364" s="33"/>
      <c r="M364" s="36"/>
      <c r="N364" s="47" t="str">
        <f aca="false">IF($B364="","",IF(NOT(ISNUMBER($B364)),"日期不是日期格式",IF(YEAR($B364)&lt;&gt;首页!$B$3,"不在会计年度",IF($D364="","未选供应商",IF(ISNA(MATCH($D364,基础资料!$AF$6:$AF$155,0)),"供应商不在档案",IF($E364="","未填商品或内容",IF(NOT(ISNUMBER($F364)),"数量须为数字",IF(NOT(ISNUMBER($G364)),"单价须为数字",IF(N($F364)&lt;=0,"数量须大于0",IF($I364="","请选是否入库",IF(AND($I364="是",ISNA(MATCH($E364,基础资料!$Q$6:$Q$205,0))),"入库商品必须在商品档案中",IF(AND($I364="否",$J364&lt;&gt;"",ISNA(MATCH($J364,科目参数!$A$6:$A$125,0))),"费用科目不存在","√"))))))))))))</f>
        <v/>
      </c>
      <c r="O364" s="49" t="str">
        <f aca="false">IF($E364="","",IFERROR(INDEX(基础资料!$R$6:$R$205,MATCH($E364,基础资料!$Q$6:$Q$205,0)),""))</f>
        <v/>
      </c>
      <c r="P364" s="49" t="str">
        <f aca="false">IF($E364="","",IFERROR(INDEX(基础资料!$S$6:$S$205,MATCH($E364,基础资料!$Q$6:$Q$205,0)),""))</f>
        <v/>
      </c>
      <c r="Q364" s="48" t="str">
        <f aca="false">IF(OR($F364="",$G364=""),"",ROUND(N($F364)*N($G364),2))</f>
        <v/>
      </c>
      <c r="R364" s="48" t="str">
        <f aca="false">IF($Q364="","",ROUND(N($Q364)*N($H364),2))</f>
        <v/>
      </c>
      <c r="S364" s="48" t="str">
        <f aca="false">IF($Q364="","",N($Q364)+N($R364))</f>
        <v/>
      </c>
      <c r="T364" s="52" t="str">
        <f aca="false">IF(OR($B364="",$D364=""),"",$B364+N(IFERROR(INDEX(基础资料!$AH$6:$AH$155,MATCH($D364,基础资料!$AF$6:$AF$155,0)),0)))</f>
        <v/>
      </c>
      <c r="U364" s="49" t="str">
        <f aca="false">IF($Q364="","",IF($I364="是","1405",IF($J364="","6602",$J364)))</f>
        <v/>
      </c>
      <c r="V364" s="49" t="str">
        <f aca="false">IF($Q364="","","2202")</f>
        <v/>
      </c>
      <c r="W364" s="48" t="str">
        <f aca="false">IF($Q364="","",$Q364)</f>
        <v/>
      </c>
      <c r="X364" s="49" t="str">
        <f aca="false">IF(N($R364)=0,"","2221")</f>
        <v/>
      </c>
      <c r="Y364" s="49" t="str">
        <f aca="false">IF(N($R364)=0,"","2202")</f>
        <v/>
      </c>
      <c r="Z364" s="48" t="str">
        <f aca="false">IF(N($R364)=0,"",$R364)</f>
        <v/>
      </c>
      <c r="AA364" s="49" t="str">
        <f aca="false">IF(AND($D364=供应商对账单!$B$3,$B364&gt;=供应商对账单!$E$3,$B364&lt;=供应商对账单!$H$3),COUNTIFS($D$5:$D364,供应商对账单!$B$3,$B$5:$B364,"&gt;="&amp;供应商对账单!$E$3,$B$5:$B364,"&lt;="&amp;供应商对账单!$H$3),"")</f>
        <v/>
      </c>
    </row>
    <row r="365" customFormat="false" ht="15.75" hidden="false" customHeight="true" outlineLevel="0" collapsed="false">
      <c r="A365" s="42" t="str">
        <f aca="false">IF($B365="","","CG"&amp;TEXT($B365,"yyyymm")&amp;"-"&amp;TEXT(ROW()-4,"000"))</f>
        <v/>
      </c>
      <c r="B365" s="41"/>
      <c r="C365" s="42" t="str">
        <f aca="false">IF($B365="","",TEXT($B365,"yyyy-mm"))</f>
        <v/>
      </c>
      <c r="D365" s="32"/>
      <c r="E365" s="36"/>
      <c r="F365" s="43"/>
      <c r="G365" s="40"/>
      <c r="H365" s="51"/>
      <c r="I365" s="33"/>
      <c r="J365" s="31"/>
      <c r="K365" s="33"/>
      <c r="L365" s="33"/>
      <c r="M365" s="36"/>
      <c r="N365" s="47" t="str">
        <f aca="false">IF($B365="","",IF(NOT(ISNUMBER($B365)),"日期不是日期格式",IF(YEAR($B365)&lt;&gt;首页!$B$3,"不在会计年度",IF($D365="","未选供应商",IF(ISNA(MATCH($D365,基础资料!$AF$6:$AF$155,0)),"供应商不在档案",IF($E365="","未填商品或内容",IF(NOT(ISNUMBER($F365)),"数量须为数字",IF(NOT(ISNUMBER($G365)),"单价须为数字",IF(N($F365)&lt;=0,"数量须大于0",IF($I365="","请选是否入库",IF(AND($I365="是",ISNA(MATCH($E365,基础资料!$Q$6:$Q$205,0))),"入库商品必须在商品档案中",IF(AND($I365="否",$J365&lt;&gt;"",ISNA(MATCH($J365,科目参数!$A$6:$A$125,0))),"费用科目不存在","√"))))))))))))</f>
        <v/>
      </c>
      <c r="O365" s="49" t="str">
        <f aca="false">IF($E365="","",IFERROR(INDEX(基础资料!$R$6:$R$205,MATCH($E365,基础资料!$Q$6:$Q$205,0)),""))</f>
        <v/>
      </c>
      <c r="P365" s="49" t="str">
        <f aca="false">IF($E365="","",IFERROR(INDEX(基础资料!$S$6:$S$205,MATCH($E365,基础资料!$Q$6:$Q$205,0)),""))</f>
        <v/>
      </c>
      <c r="Q365" s="48" t="str">
        <f aca="false">IF(OR($F365="",$G365=""),"",ROUND(N($F365)*N($G365),2))</f>
        <v/>
      </c>
      <c r="R365" s="48" t="str">
        <f aca="false">IF($Q365="","",ROUND(N($Q365)*N($H365),2))</f>
        <v/>
      </c>
      <c r="S365" s="48" t="str">
        <f aca="false">IF($Q365="","",N($Q365)+N($R365))</f>
        <v/>
      </c>
      <c r="T365" s="52" t="str">
        <f aca="false">IF(OR($B365="",$D365=""),"",$B365+N(IFERROR(INDEX(基础资料!$AH$6:$AH$155,MATCH($D365,基础资料!$AF$6:$AF$155,0)),0)))</f>
        <v/>
      </c>
      <c r="U365" s="49" t="str">
        <f aca="false">IF($Q365="","",IF($I365="是","1405",IF($J365="","6602",$J365)))</f>
        <v/>
      </c>
      <c r="V365" s="49" t="str">
        <f aca="false">IF($Q365="","","2202")</f>
        <v/>
      </c>
      <c r="W365" s="48" t="str">
        <f aca="false">IF($Q365="","",$Q365)</f>
        <v/>
      </c>
      <c r="X365" s="49" t="str">
        <f aca="false">IF(N($R365)=0,"","2221")</f>
        <v/>
      </c>
      <c r="Y365" s="49" t="str">
        <f aca="false">IF(N($R365)=0,"","2202")</f>
        <v/>
      </c>
      <c r="Z365" s="48" t="str">
        <f aca="false">IF(N($R365)=0,"",$R365)</f>
        <v/>
      </c>
      <c r="AA365" s="49" t="str">
        <f aca="false">IF(AND($D365=供应商对账单!$B$3,$B365&gt;=供应商对账单!$E$3,$B365&lt;=供应商对账单!$H$3),COUNTIFS($D$5:$D365,供应商对账单!$B$3,$B$5:$B365,"&gt;="&amp;供应商对账单!$E$3,$B$5:$B365,"&lt;="&amp;供应商对账单!$H$3),"")</f>
        <v/>
      </c>
    </row>
    <row r="366" customFormat="false" ht="15.75" hidden="false" customHeight="true" outlineLevel="0" collapsed="false">
      <c r="A366" s="42" t="str">
        <f aca="false">IF($B366="","","CG"&amp;TEXT($B366,"yyyymm")&amp;"-"&amp;TEXT(ROW()-4,"000"))</f>
        <v/>
      </c>
      <c r="B366" s="41"/>
      <c r="C366" s="42" t="str">
        <f aca="false">IF($B366="","",TEXT($B366,"yyyy-mm"))</f>
        <v/>
      </c>
      <c r="D366" s="32"/>
      <c r="E366" s="36"/>
      <c r="F366" s="43"/>
      <c r="G366" s="40"/>
      <c r="H366" s="51"/>
      <c r="I366" s="33"/>
      <c r="J366" s="31"/>
      <c r="K366" s="33"/>
      <c r="L366" s="33"/>
      <c r="M366" s="36"/>
      <c r="N366" s="47" t="str">
        <f aca="false">IF($B366="","",IF(NOT(ISNUMBER($B366)),"日期不是日期格式",IF(YEAR($B366)&lt;&gt;首页!$B$3,"不在会计年度",IF($D366="","未选供应商",IF(ISNA(MATCH($D366,基础资料!$AF$6:$AF$155,0)),"供应商不在档案",IF($E366="","未填商品或内容",IF(NOT(ISNUMBER($F366)),"数量须为数字",IF(NOT(ISNUMBER($G366)),"单价须为数字",IF(N($F366)&lt;=0,"数量须大于0",IF($I366="","请选是否入库",IF(AND($I366="是",ISNA(MATCH($E366,基础资料!$Q$6:$Q$205,0))),"入库商品必须在商品档案中",IF(AND($I366="否",$J366&lt;&gt;"",ISNA(MATCH($J366,科目参数!$A$6:$A$125,0))),"费用科目不存在","√"))))))))))))</f>
        <v/>
      </c>
      <c r="O366" s="49" t="str">
        <f aca="false">IF($E366="","",IFERROR(INDEX(基础资料!$R$6:$R$205,MATCH($E366,基础资料!$Q$6:$Q$205,0)),""))</f>
        <v/>
      </c>
      <c r="P366" s="49" t="str">
        <f aca="false">IF($E366="","",IFERROR(INDEX(基础资料!$S$6:$S$205,MATCH($E366,基础资料!$Q$6:$Q$205,0)),""))</f>
        <v/>
      </c>
      <c r="Q366" s="48" t="str">
        <f aca="false">IF(OR($F366="",$G366=""),"",ROUND(N($F366)*N($G366),2))</f>
        <v/>
      </c>
      <c r="R366" s="48" t="str">
        <f aca="false">IF($Q366="","",ROUND(N($Q366)*N($H366),2))</f>
        <v/>
      </c>
      <c r="S366" s="48" t="str">
        <f aca="false">IF($Q366="","",N($Q366)+N($R366))</f>
        <v/>
      </c>
      <c r="T366" s="52" t="str">
        <f aca="false">IF(OR($B366="",$D366=""),"",$B366+N(IFERROR(INDEX(基础资料!$AH$6:$AH$155,MATCH($D366,基础资料!$AF$6:$AF$155,0)),0)))</f>
        <v/>
      </c>
      <c r="U366" s="49" t="str">
        <f aca="false">IF($Q366="","",IF($I366="是","1405",IF($J366="","6602",$J366)))</f>
        <v/>
      </c>
      <c r="V366" s="49" t="str">
        <f aca="false">IF($Q366="","","2202")</f>
        <v/>
      </c>
      <c r="W366" s="48" t="str">
        <f aca="false">IF($Q366="","",$Q366)</f>
        <v/>
      </c>
      <c r="X366" s="49" t="str">
        <f aca="false">IF(N($R366)=0,"","2221")</f>
        <v/>
      </c>
      <c r="Y366" s="49" t="str">
        <f aca="false">IF(N($R366)=0,"","2202")</f>
        <v/>
      </c>
      <c r="Z366" s="48" t="str">
        <f aca="false">IF(N($R366)=0,"",$R366)</f>
        <v/>
      </c>
      <c r="AA366" s="49" t="str">
        <f aca="false">IF(AND($D366=供应商对账单!$B$3,$B366&gt;=供应商对账单!$E$3,$B366&lt;=供应商对账单!$H$3),COUNTIFS($D$5:$D366,供应商对账单!$B$3,$B$5:$B366,"&gt;="&amp;供应商对账单!$E$3,$B$5:$B366,"&lt;="&amp;供应商对账单!$H$3),"")</f>
        <v/>
      </c>
    </row>
    <row r="367" customFormat="false" ht="15.75" hidden="false" customHeight="true" outlineLevel="0" collapsed="false">
      <c r="A367" s="42" t="str">
        <f aca="false">IF($B367="","","CG"&amp;TEXT($B367,"yyyymm")&amp;"-"&amp;TEXT(ROW()-4,"000"))</f>
        <v/>
      </c>
      <c r="B367" s="41"/>
      <c r="C367" s="42" t="str">
        <f aca="false">IF($B367="","",TEXT($B367,"yyyy-mm"))</f>
        <v/>
      </c>
      <c r="D367" s="32"/>
      <c r="E367" s="36"/>
      <c r="F367" s="43"/>
      <c r="G367" s="40"/>
      <c r="H367" s="51"/>
      <c r="I367" s="33"/>
      <c r="J367" s="31"/>
      <c r="K367" s="33"/>
      <c r="L367" s="33"/>
      <c r="M367" s="36"/>
      <c r="N367" s="47" t="str">
        <f aca="false">IF($B367="","",IF(NOT(ISNUMBER($B367)),"日期不是日期格式",IF(YEAR($B367)&lt;&gt;首页!$B$3,"不在会计年度",IF($D367="","未选供应商",IF(ISNA(MATCH($D367,基础资料!$AF$6:$AF$155,0)),"供应商不在档案",IF($E367="","未填商品或内容",IF(NOT(ISNUMBER($F367)),"数量须为数字",IF(NOT(ISNUMBER($G367)),"单价须为数字",IF(N($F367)&lt;=0,"数量须大于0",IF($I367="","请选是否入库",IF(AND($I367="是",ISNA(MATCH($E367,基础资料!$Q$6:$Q$205,0))),"入库商品必须在商品档案中",IF(AND($I367="否",$J367&lt;&gt;"",ISNA(MATCH($J367,科目参数!$A$6:$A$125,0))),"费用科目不存在","√"))))))))))))</f>
        <v/>
      </c>
      <c r="O367" s="49" t="str">
        <f aca="false">IF($E367="","",IFERROR(INDEX(基础资料!$R$6:$R$205,MATCH($E367,基础资料!$Q$6:$Q$205,0)),""))</f>
        <v/>
      </c>
      <c r="P367" s="49" t="str">
        <f aca="false">IF($E367="","",IFERROR(INDEX(基础资料!$S$6:$S$205,MATCH($E367,基础资料!$Q$6:$Q$205,0)),""))</f>
        <v/>
      </c>
      <c r="Q367" s="48" t="str">
        <f aca="false">IF(OR($F367="",$G367=""),"",ROUND(N($F367)*N($G367),2))</f>
        <v/>
      </c>
      <c r="R367" s="48" t="str">
        <f aca="false">IF($Q367="","",ROUND(N($Q367)*N($H367),2))</f>
        <v/>
      </c>
      <c r="S367" s="48" t="str">
        <f aca="false">IF($Q367="","",N($Q367)+N($R367))</f>
        <v/>
      </c>
      <c r="T367" s="52" t="str">
        <f aca="false">IF(OR($B367="",$D367=""),"",$B367+N(IFERROR(INDEX(基础资料!$AH$6:$AH$155,MATCH($D367,基础资料!$AF$6:$AF$155,0)),0)))</f>
        <v/>
      </c>
      <c r="U367" s="49" t="str">
        <f aca="false">IF($Q367="","",IF($I367="是","1405",IF($J367="","6602",$J367)))</f>
        <v/>
      </c>
      <c r="V367" s="49" t="str">
        <f aca="false">IF($Q367="","","2202")</f>
        <v/>
      </c>
      <c r="W367" s="48" t="str">
        <f aca="false">IF($Q367="","",$Q367)</f>
        <v/>
      </c>
      <c r="X367" s="49" t="str">
        <f aca="false">IF(N($R367)=0,"","2221")</f>
        <v/>
      </c>
      <c r="Y367" s="49" t="str">
        <f aca="false">IF(N($R367)=0,"","2202")</f>
        <v/>
      </c>
      <c r="Z367" s="48" t="str">
        <f aca="false">IF(N($R367)=0,"",$R367)</f>
        <v/>
      </c>
      <c r="AA367" s="49" t="str">
        <f aca="false">IF(AND($D367=供应商对账单!$B$3,$B367&gt;=供应商对账单!$E$3,$B367&lt;=供应商对账单!$H$3),COUNTIFS($D$5:$D367,供应商对账单!$B$3,$B$5:$B367,"&gt;="&amp;供应商对账单!$E$3,$B$5:$B367,"&lt;="&amp;供应商对账单!$H$3),"")</f>
        <v/>
      </c>
    </row>
    <row r="368" customFormat="false" ht="15.75" hidden="false" customHeight="true" outlineLevel="0" collapsed="false">
      <c r="A368" s="42" t="str">
        <f aca="false">IF($B368="","","CG"&amp;TEXT($B368,"yyyymm")&amp;"-"&amp;TEXT(ROW()-4,"000"))</f>
        <v/>
      </c>
      <c r="B368" s="41"/>
      <c r="C368" s="42" t="str">
        <f aca="false">IF($B368="","",TEXT($B368,"yyyy-mm"))</f>
        <v/>
      </c>
      <c r="D368" s="32"/>
      <c r="E368" s="36"/>
      <c r="F368" s="43"/>
      <c r="G368" s="40"/>
      <c r="H368" s="51"/>
      <c r="I368" s="33"/>
      <c r="J368" s="31"/>
      <c r="K368" s="33"/>
      <c r="L368" s="33"/>
      <c r="M368" s="36"/>
      <c r="N368" s="47" t="str">
        <f aca="false">IF($B368="","",IF(NOT(ISNUMBER($B368)),"日期不是日期格式",IF(YEAR($B368)&lt;&gt;首页!$B$3,"不在会计年度",IF($D368="","未选供应商",IF(ISNA(MATCH($D368,基础资料!$AF$6:$AF$155,0)),"供应商不在档案",IF($E368="","未填商品或内容",IF(NOT(ISNUMBER($F368)),"数量须为数字",IF(NOT(ISNUMBER($G368)),"单价须为数字",IF(N($F368)&lt;=0,"数量须大于0",IF($I368="","请选是否入库",IF(AND($I368="是",ISNA(MATCH($E368,基础资料!$Q$6:$Q$205,0))),"入库商品必须在商品档案中",IF(AND($I368="否",$J368&lt;&gt;"",ISNA(MATCH($J368,科目参数!$A$6:$A$125,0))),"费用科目不存在","√"))))))))))))</f>
        <v/>
      </c>
      <c r="O368" s="49" t="str">
        <f aca="false">IF($E368="","",IFERROR(INDEX(基础资料!$R$6:$R$205,MATCH($E368,基础资料!$Q$6:$Q$205,0)),""))</f>
        <v/>
      </c>
      <c r="P368" s="49" t="str">
        <f aca="false">IF($E368="","",IFERROR(INDEX(基础资料!$S$6:$S$205,MATCH($E368,基础资料!$Q$6:$Q$205,0)),""))</f>
        <v/>
      </c>
      <c r="Q368" s="48" t="str">
        <f aca="false">IF(OR($F368="",$G368=""),"",ROUND(N($F368)*N($G368),2))</f>
        <v/>
      </c>
      <c r="R368" s="48" t="str">
        <f aca="false">IF($Q368="","",ROUND(N($Q368)*N($H368),2))</f>
        <v/>
      </c>
      <c r="S368" s="48" t="str">
        <f aca="false">IF($Q368="","",N($Q368)+N($R368))</f>
        <v/>
      </c>
      <c r="T368" s="52" t="str">
        <f aca="false">IF(OR($B368="",$D368=""),"",$B368+N(IFERROR(INDEX(基础资料!$AH$6:$AH$155,MATCH($D368,基础资料!$AF$6:$AF$155,0)),0)))</f>
        <v/>
      </c>
      <c r="U368" s="49" t="str">
        <f aca="false">IF($Q368="","",IF($I368="是","1405",IF($J368="","6602",$J368)))</f>
        <v/>
      </c>
      <c r="V368" s="49" t="str">
        <f aca="false">IF($Q368="","","2202")</f>
        <v/>
      </c>
      <c r="W368" s="48" t="str">
        <f aca="false">IF($Q368="","",$Q368)</f>
        <v/>
      </c>
      <c r="X368" s="49" t="str">
        <f aca="false">IF(N($R368)=0,"","2221")</f>
        <v/>
      </c>
      <c r="Y368" s="49" t="str">
        <f aca="false">IF(N($R368)=0,"","2202")</f>
        <v/>
      </c>
      <c r="Z368" s="48" t="str">
        <f aca="false">IF(N($R368)=0,"",$R368)</f>
        <v/>
      </c>
      <c r="AA368" s="49" t="str">
        <f aca="false">IF(AND($D368=供应商对账单!$B$3,$B368&gt;=供应商对账单!$E$3,$B368&lt;=供应商对账单!$H$3),COUNTIFS($D$5:$D368,供应商对账单!$B$3,$B$5:$B368,"&gt;="&amp;供应商对账单!$E$3,$B$5:$B368,"&lt;="&amp;供应商对账单!$H$3),"")</f>
        <v/>
      </c>
    </row>
    <row r="369" customFormat="false" ht="15.75" hidden="false" customHeight="true" outlineLevel="0" collapsed="false">
      <c r="A369" s="42" t="str">
        <f aca="false">IF($B369="","","CG"&amp;TEXT($B369,"yyyymm")&amp;"-"&amp;TEXT(ROW()-4,"000"))</f>
        <v/>
      </c>
      <c r="B369" s="41"/>
      <c r="C369" s="42" t="str">
        <f aca="false">IF($B369="","",TEXT($B369,"yyyy-mm"))</f>
        <v/>
      </c>
      <c r="D369" s="32"/>
      <c r="E369" s="36"/>
      <c r="F369" s="43"/>
      <c r="G369" s="40"/>
      <c r="H369" s="51"/>
      <c r="I369" s="33"/>
      <c r="J369" s="31"/>
      <c r="K369" s="33"/>
      <c r="L369" s="33"/>
      <c r="M369" s="36"/>
      <c r="N369" s="47" t="str">
        <f aca="false">IF($B369="","",IF(NOT(ISNUMBER($B369)),"日期不是日期格式",IF(YEAR($B369)&lt;&gt;首页!$B$3,"不在会计年度",IF($D369="","未选供应商",IF(ISNA(MATCH($D369,基础资料!$AF$6:$AF$155,0)),"供应商不在档案",IF($E369="","未填商品或内容",IF(NOT(ISNUMBER($F369)),"数量须为数字",IF(NOT(ISNUMBER($G369)),"单价须为数字",IF(N($F369)&lt;=0,"数量须大于0",IF($I369="","请选是否入库",IF(AND($I369="是",ISNA(MATCH($E369,基础资料!$Q$6:$Q$205,0))),"入库商品必须在商品档案中",IF(AND($I369="否",$J369&lt;&gt;"",ISNA(MATCH($J369,科目参数!$A$6:$A$125,0))),"费用科目不存在","√"))))))))))))</f>
        <v/>
      </c>
      <c r="O369" s="49" t="str">
        <f aca="false">IF($E369="","",IFERROR(INDEX(基础资料!$R$6:$R$205,MATCH($E369,基础资料!$Q$6:$Q$205,0)),""))</f>
        <v/>
      </c>
      <c r="P369" s="49" t="str">
        <f aca="false">IF($E369="","",IFERROR(INDEX(基础资料!$S$6:$S$205,MATCH($E369,基础资料!$Q$6:$Q$205,0)),""))</f>
        <v/>
      </c>
      <c r="Q369" s="48" t="str">
        <f aca="false">IF(OR($F369="",$G369=""),"",ROUND(N($F369)*N($G369),2))</f>
        <v/>
      </c>
      <c r="R369" s="48" t="str">
        <f aca="false">IF($Q369="","",ROUND(N($Q369)*N($H369),2))</f>
        <v/>
      </c>
      <c r="S369" s="48" t="str">
        <f aca="false">IF($Q369="","",N($Q369)+N($R369))</f>
        <v/>
      </c>
      <c r="T369" s="52" t="str">
        <f aca="false">IF(OR($B369="",$D369=""),"",$B369+N(IFERROR(INDEX(基础资料!$AH$6:$AH$155,MATCH($D369,基础资料!$AF$6:$AF$155,0)),0)))</f>
        <v/>
      </c>
      <c r="U369" s="49" t="str">
        <f aca="false">IF($Q369="","",IF($I369="是","1405",IF($J369="","6602",$J369)))</f>
        <v/>
      </c>
      <c r="V369" s="49" t="str">
        <f aca="false">IF($Q369="","","2202")</f>
        <v/>
      </c>
      <c r="W369" s="48" t="str">
        <f aca="false">IF($Q369="","",$Q369)</f>
        <v/>
      </c>
      <c r="X369" s="49" t="str">
        <f aca="false">IF(N($R369)=0,"","2221")</f>
        <v/>
      </c>
      <c r="Y369" s="49" t="str">
        <f aca="false">IF(N($R369)=0,"","2202")</f>
        <v/>
      </c>
      <c r="Z369" s="48" t="str">
        <f aca="false">IF(N($R369)=0,"",$R369)</f>
        <v/>
      </c>
      <c r="AA369" s="49" t="str">
        <f aca="false">IF(AND($D369=供应商对账单!$B$3,$B369&gt;=供应商对账单!$E$3,$B369&lt;=供应商对账单!$H$3),COUNTIFS($D$5:$D369,供应商对账单!$B$3,$B$5:$B369,"&gt;="&amp;供应商对账单!$E$3,$B$5:$B369,"&lt;="&amp;供应商对账单!$H$3),"")</f>
        <v/>
      </c>
    </row>
    <row r="370" customFormat="false" ht="15.75" hidden="false" customHeight="true" outlineLevel="0" collapsed="false">
      <c r="A370" s="42" t="str">
        <f aca="false">IF($B370="","","CG"&amp;TEXT($B370,"yyyymm")&amp;"-"&amp;TEXT(ROW()-4,"000"))</f>
        <v/>
      </c>
      <c r="B370" s="41"/>
      <c r="C370" s="42" t="str">
        <f aca="false">IF($B370="","",TEXT($B370,"yyyy-mm"))</f>
        <v/>
      </c>
      <c r="D370" s="32"/>
      <c r="E370" s="36"/>
      <c r="F370" s="43"/>
      <c r="G370" s="40"/>
      <c r="H370" s="51"/>
      <c r="I370" s="33"/>
      <c r="J370" s="31"/>
      <c r="K370" s="33"/>
      <c r="L370" s="33"/>
      <c r="M370" s="36"/>
      <c r="N370" s="47" t="str">
        <f aca="false">IF($B370="","",IF(NOT(ISNUMBER($B370)),"日期不是日期格式",IF(YEAR($B370)&lt;&gt;首页!$B$3,"不在会计年度",IF($D370="","未选供应商",IF(ISNA(MATCH($D370,基础资料!$AF$6:$AF$155,0)),"供应商不在档案",IF($E370="","未填商品或内容",IF(NOT(ISNUMBER($F370)),"数量须为数字",IF(NOT(ISNUMBER($G370)),"单价须为数字",IF(N($F370)&lt;=0,"数量须大于0",IF($I370="","请选是否入库",IF(AND($I370="是",ISNA(MATCH($E370,基础资料!$Q$6:$Q$205,0))),"入库商品必须在商品档案中",IF(AND($I370="否",$J370&lt;&gt;"",ISNA(MATCH($J370,科目参数!$A$6:$A$125,0))),"费用科目不存在","√"))))))))))))</f>
        <v/>
      </c>
      <c r="O370" s="49" t="str">
        <f aca="false">IF($E370="","",IFERROR(INDEX(基础资料!$R$6:$R$205,MATCH($E370,基础资料!$Q$6:$Q$205,0)),""))</f>
        <v/>
      </c>
      <c r="P370" s="49" t="str">
        <f aca="false">IF($E370="","",IFERROR(INDEX(基础资料!$S$6:$S$205,MATCH($E370,基础资料!$Q$6:$Q$205,0)),""))</f>
        <v/>
      </c>
      <c r="Q370" s="48" t="str">
        <f aca="false">IF(OR($F370="",$G370=""),"",ROUND(N($F370)*N($G370),2))</f>
        <v/>
      </c>
      <c r="R370" s="48" t="str">
        <f aca="false">IF($Q370="","",ROUND(N($Q370)*N($H370),2))</f>
        <v/>
      </c>
      <c r="S370" s="48" t="str">
        <f aca="false">IF($Q370="","",N($Q370)+N($R370))</f>
        <v/>
      </c>
      <c r="T370" s="52" t="str">
        <f aca="false">IF(OR($B370="",$D370=""),"",$B370+N(IFERROR(INDEX(基础资料!$AH$6:$AH$155,MATCH($D370,基础资料!$AF$6:$AF$155,0)),0)))</f>
        <v/>
      </c>
      <c r="U370" s="49" t="str">
        <f aca="false">IF($Q370="","",IF($I370="是","1405",IF($J370="","6602",$J370)))</f>
        <v/>
      </c>
      <c r="V370" s="49" t="str">
        <f aca="false">IF($Q370="","","2202")</f>
        <v/>
      </c>
      <c r="W370" s="48" t="str">
        <f aca="false">IF($Q370="","",$Q370)</f>
        <v/>
      </c>
      <c r="X370" s="49" t="str">
        <f aca="false">IF(N($R370)=0,"","2221")</f>
        <v/>
      </c>
      <c r="Y370" s="49" t="str">
        <f aca="false">IF(N($R370)=0,"","2202")</f>
        <v/>
      </c>
      <c r="Z370" s="48" t="str">
        <f aca="false">IF(N($R370)=0,"",$R370)</f>
        <v/>
      </c>
      <c r="AA370" s="49" t="str">
        <f aca="false">IF(AND($D370=供应商对账单!$B$3,$B370&gt;=供应商对账单!$E$3,$B370&lt;=供应商对账单!$H$3),COUNTIFS($D$5:$D370,供应商对账单!$B$3,$B$5:$B370,"&gt;="&amp;供应商对账单!$E$3,$B$5:$B370,"&lt;="&amp;供应商对账单!$H$3),"")</f>
        <v/>
      </c>
    </row>
    <row r="371" customFormat="false" ht="15.75" hidden="false" customHeight="true" outlineLevel="0" collapsed="false">
      <c r="A371" s="42" t="str">
        <f aca="false">IF($B371="","","CG"&amp;TEXT($B371,"yyyymm")&amp;"-"&amp;TEXT(ROW()-4,"000"))</f>
        <v/>
      </c>
      <c r="B371" s="41"/>
      <c r="C371" s="42" t="str">
        <f aca="false">IF($B371="","",TEXT($B371,"yyyy-mm"))</f>
        <v/>
      </c>
      <c r="D371" s="32"/>
      <c r="E371" s="36"/>
      <c r="F371" s="43"/>
      <c r="G371" s="40"/>
      <c r="H371" s="51"/>
      <c r="I371" s="33"/>
      <c r="J371" s="31"/>
      <c r="K371" s="33"/>
      <c r="L371" s="33"/>
      <c r="M371" s="36"/>
      <c r="N371" s="47" t="str">
        <f aca="false">IF($B371="","",IF(NOT(ISNUMBER($B371)),"日期不是日期格式",IF(YEAR($B371)&lt;&gt;首页!$B$3,"不在会计年度",IF($D371="","未选供应商",IF(ISNA(MATCH($D371,基础资料!$AF$6:$AF$155,0)),"供应商不在档案",IF($E371="","未填商品或内容",IF(NOT(ISNUMBER($F371)),"数量须为数字",IF(NOT(ISNUMBER($G371)),"单价须为数字",IF(N($F371)&lt;=0,"数量须大于0",IF($I371="","请选是否入库",IF(AND($I371="是",ISNA(MATCH($E371,基础资料!$Q$6:$Q$205,0))),"入库商品必须在商品档案中",IF(AND($I371="否",$J371&lt;&gt;"",ISNA(MATCH($J371,科目参数!$A$6:$A$125,0))),"费用科目不存在","√"))))))))))))</f>
        <v/>
      </c>
      <c r="O371" s="49" t="str">
        <f aca="false">IF($E371="","",IFERROR(INDEX(基础资料!$R$6:$R$205,MATCH($E371,基础资料!$Q$6:$Q$205,0)),""))</f>
        <v/>
      </c>
      <c r="P371" s="49" t="str">
        <f aca="false">IF($E371="","",IFERROR(INDEX(基础资料!$S$6:$S$205,MATCH($E371,基础资料!$Q$6:$Q$205,0)),""))</f>
        <v/>
      </c>
      <c r="Q371" s="48" t="str">
        <f aca="false">IF(OR($F371="",$G371=""),"",ROUND(N($F371)*N($G371),2))</f>
        <v/>
      </c>
      <c r="R371" s="48" t="str">
        <f aca="false">IF($Q371="","",ROUND(N($Q371)*N($H371),2))</f>
        <v/>
      </c>
      <c r="S371" s="48" t="str">
        <f aca="false">IF($Q371="","",N($Q371)+N($R371))</f>
        <v/>
      </c>
      <c r="T371" s="52" t="str">
        <f aca="false">IF(OR($B371="",$D371=""),"",$B371+N(IFERROR(INDEX(基础资料!$AH$6:$AH$155,MATCH($D371,基础资料!$AF$6:$AF$155,0)),0)))</f>
        <v/>
      </c>
      <c r="U371" s="49" t="str">
        <f aca="false">IF($Q371="","",IF($I371="是","1405",IF($J371="","6602",$J371)))</f>
        <v/>
      </c>
      <c r="V371" s="49" t="str">
        <f aca="false">IF($Q371="","","2202")</f>
        <v/>
      </c>
      <c r="W371" s="48" t="str">
        <f aca="false">IF($Q371="","",$Q371)</f>
        <v/>
      </c>
      <c r="X371" s="49" t="str">
        <f aca="false">IF(N($R371)=0,"","2221")</f>
        <v/>
      </c>
      <c r="Y371" s="49" t="str">
        <f aca="false">IF(N($R371)=0,"","2202")</f>
        <v/>
      </c>
      <c r="Z371" s="48" t="str">
        <f aca="false">IF(N($R371)=0,"",$R371)</f>
        <v/>
      </c>
      <c r="AA371" s="49" t="str">
        <f aca="false">IF(AND($D371=供应商对账单!$B$3,$B371&gt;=供应商对账单!$E$3,$B371&lt;=供应商对账单!$H$3),COUNTIFS($D$5:$D371,供应商对账单!$B$3,$B$5:$B371,"&gt;="&amp;供应商对账单!$E$3,$B$5:$B371,"&lt;="&amp;供应商对账单!$H$3),"")</f>
        <v/>
      </c>
    </row>
    <row r="372" customFormat="false" ht="15.75" hidden="false" customHeight="true" outlineLevel="0" collapsed="false">
      <c r="A372" s="42" t="str">
        <f aca="false">IF($B372="","","CG"&amp;TEXT($B372,"yyyymm")&amp;"-"&amp;TEXT(ROW()-4,"000"))</f>
        <v/>
      </c>
      <c r="B372" s="41"/>
      <c r="C372" s="42" t="str">
        <f aca="false">IF($B372="","",TEXT($B372,"yyyy-mm"))</f>
        <v/>
      </c>
      <c r="D372" s="32"/>
      <c r="E372" s="36"/>
      <c r="F372" s="43"/>
      <c r="G372" s="40"/>
      <c r="H372" s="51"/>
      <c r="I372" s="33"/>
      <c r="J372" s="31"/>
      <c r="K372" s="33"/>
      <c r="L372" s="33"/>
      <c r="M372" s="36"/>
      <c r="N372" s="47" t="str">
        <f aca="false">IF($B372="","",IF(NOT(ISNUMBER($B372)),"日期不是日期格式",IF(YEAR($B372)&lt;&gt;首页!$B$3,"不在会计年度",IF($D372="","未选供应商",IF(ISNA(MATCH($D372,基础资料!$AF$6:$AF$155,0)),"供应商不在档案",IF($E372="","未填商品或内容",IF(NOT(ISNUMBER($F372)),"数量须为数字",IF(NOT(ISNUMBER($G372)),"单价须为数字",IF(N($F372)&lt;=0,"数量须大于0",IF($I372="","请选是否入库",IF(AND($I372="是",ISNA(MATCH($E372,基础资料!$Q$6:$Q$205,0))),"入库商品必须在商品档案中",IF(AND($I372="否",$J372&lt;&gt;"",ISNA(MATCH($J372,科目参数!$A$6:$A$125,0))),"费用科目不存在","√"))))))))))))</f>
        <v/>
      </c>
      <c r="O372" s="49" t="str">
        <f aca="false">IF($E372="","",IFERROR(INDEX(基础资料!$R$6:$R$205,MATCH($E372,基础资料!$Q$6:$Q$205,0)),""))</f>
        <v/>
      </c>
      <c r="P372" s="49" t="str">
        <f aca="false">IF($E372="","",IFERROR(INDEX(基础资料!$S$6:$S$205,MATCH($E372,基础资料!$Q$6:$Q$205,0)),""))</f>
        <v/>
      </c>
      <c r="Q372" s="48" t="str">
        <f aca="false">IF(OR($F372="",$G372=""),"",ROUND(N($F372)*N($G372),2))</f>
        <v/>
      </c>
      <c r="R372" s="48" t="str">
        <f aca="false">IF($Q372="","",ROUND(N($Q372)*N($H372),2))</f>
        <v/>
      </c>
      <c r="S372" s="48" t="str">
        <f aca="false">IF($Q372="","",N($Q372)+N($R372))</f>
        <v/>
      </c>
      <c r="T372" s="52" t="str">
        <f aca="false">IF(OR($B372="",$D372=""),"",$B372+N(IFERROR(INDEX(基础资料!$AH$6:$AH$155,MATCH($D372,基础资料!$AF$6:$AF$155,0)),0)))</f>
        <v/>
      </c>
      <c r="U372" s="49" t="str">
        <f aca="false">IF($Q372="","",IF($I372="是","1405",IF($J372="","6602",$J372)))</f>
        <v/>
      </c>
      <c r="V372" s="49" t="str">
        <f aca="false">IF($Q372="","","2202")</f>
        <v/>
      </c>
      <c r="W372" s="48" t="str">
        <f aca="false">IF($Q372="","",$Q372)</f>
        <v/>
      </c>
      <c r="X372" s="49" t="str">
        <f aca="false">IF(N($R372)=0,"","2221")</f>
        <v/>
      </c>
      <c r="Y372" s="49" t="str">
        <f aca="false">IF(N($R372)=0,"","2202")</f>
        <v/>
      </c>
      <c r="Z372" s="48" t="str">
        <f aca="false">IF(N($R372)=0,"",$R372)</f>
        <v/>
      </c>
      <c r="AA372" s="49" t="str">
        <f aca="false">IF(AND($D372=供应商对账单!$B$3,$B372&gt;=供应商对账单!$E$3,$B372&lt;=供应商对账单!$H$3),COUNTIFS($D$5:$D372,供应商对账单!$B$3,$B$5:$B372,"&gt;="&amp;供应商对账单!$E$3,$B$5:$B372,"&lt;="&amp;供应商对账单!$H$3),"")</f>
        <v/>
      </c>
    </row>
    <row r="373" customFormat="false" ht="15.75" hidden="false" customHeight="true" outlineLevel="0" collapsed="false">
      <c r="A373" s="42" t="str">
        <f aca="false">IF($B373="","","CG"&amp;TEXT($B373,"yyyymm")&amp;"-"&amp;TEXT(ROW()-4,"000"))</f>
        <v/>
      </c>
      <c r="B373" s="41"/>
      <c r="C373" s="42" t="str">
        <f aca="false">IF($B373="","",TEXT($B373,"yyyy-mm"))</f>
        <v/>
      </c>
      <c r="D373" s="32"/>
      <c r="E373" s="36"/>
      <c r="F373" s="43"/>
      <c r="G373" s="40"/>
      <c r="H373" s="51"/>
      <c r="I373" s="33"/>
      <c r="J373" s="31"/>
      <c r="K373" s="33"/>
      <c r="L373" s="33"/>
      <c r="M373" s="36"/>
      <c r="N373" s="47" t="str">
        <f aca="false">IF($B373="","",IF(NOT(ISNUMBER($B373)),"日期不是日期格式",IF(YEAR($B373)&lt;&gt;首页!$B$3,"不在会计年度",IF($D373="","未选供应商",IF(ISNA(MATCH($D373,基础资料!$AF$6:$AF$155,0)),"供应商不在档案",IF($E373="","未填商品或内容",IF(NOT(ISNUMBER($F373)),"数量须为数字",IF(NOT(ISNUMBER($G373)),"单价须为数字",IF(N($F373)&lt;=0,"数量须大于0",IF($I373="","请选是否入库",IF(AND($I373="是",ISNA(MATCH($E373,基础资料!$Q$6:$Q$205,0))),"入库商品必须在商品档案中",IF(AND($I373="否",$J373&lt;&gt;"",ISNA(MATCH($J373,科目参数!$A$6:$A$125,0))),"费用科目不存在","√"))))))))))))</f>
        <v/>
      </c>
      <c r="O373" s="49" t="str">
        <f aca="false">IF($E373="","",IFERROR(INDEX(基础资料!$R$6:$R$205,MATCH($E373,基础资料!$Q$6:$Q$205,0)),""))</f>
        <v/>
      </c>
      <c r="P373" s="49" t="str">
        <f aca="false">IF($E373="","",IFERROR(INDEX(基础资料!$S$6:$S$205,MATCH($E373,基础资料!$Q$6:$Q$205,0)),""))</f>
        <v/>
      </c>
      <c r="Q373" s="48" t="str">
        <f aca="false">IF(OR($F373="",$G373=""),"",ROUND(N($F373)*N($G373),2))</f>
        <v/>
      </c>
      <c r="R373" s="48" t="str">
        <f aca="false">IF($Q373="","",ROUND(N($Q373)*N($H373),2))</f>
        <v/>
      </c>
      <c r="S373" s="48" t="str">
        <f aca="false">IF($Q373="","",N($Q373)+N($R373))</f>
        <v/>
      </c>
      <c r="T373" s="52" t="str">
        <f aca="false">IF(OR($B373="",$D373=""),"",$B373+N(IFERROR(INDEX(基础资料!$AH$6:$AH$155,MATCH($D373,基础资料!$AF$6:$AF$155,0)),0)))</f>
        <v/>
      </c>
      <c r="U373" s="49" t="str">
        <f aca="false">IF($Q373="","",IF($I373="是","1405",IF($J373="","6602",$J373)))</f>
        <v/>
      </c>
      <c r="V373" s="49" t="str">
        <f aca="false">IF($Q373="","","2202")</f>
        <v/>
      </c>
      <c r="W373" s="48" t="str">
        <f aca="false">IF($Q373="","",$Q373)</f>
        <v/>
      </c>
      <c r="X373" s="49" t="str">
        <f aca="false">IF(N($R373)=0,"","2221")</f>
        <v/>
      </c>
      <c r="Y373" s="49" t="str">
        <f aca="false">IF(N($R373)=0,"","2202")</f>
        <v/>
      </c>
      <c r="Z373" s="48" t="str">
        <f aca="false">IF(N($R373)=0,"",$R373)</f>
        <v/>
      </c>
      <c r="AA373" s="49" t="str">
        <f aca="false">IF(AND($D373=供应商对账单!$B$3,$B373&gt;=供应商对账单!$E$3,$B373&lt;=供应商对账单!$H$3),COUNTIFS($D$5:$D373,供应商对账单!$B$3,$B$5:$B373,"&gt;="&amp;供应商对账单!$E$3,$B$5:$B373,"&lt;="&amp;供应商对账单!$H$3),"")</f>
        <v/>
      </c>
    </row>
    <row r="374" customFormat="false" ht="15.75" hidden="false" customHeight="true" outlineLevel="0" collapsed="false">
      <c r="A374" s="42" t="str">
        <f aca="false">IF($B374="","","CG"&amp;TEXT($B374,"yyyymm")&amp;"-"&amp;TEXT(ROW()-4,"000"))</f>
        <v/>
      </c>
      <c r="B374" s="41"/>
      <c r="C374" s="42" t="str">
        <f aca="false">IF($B374="","",TEXT($B374,"yyyy-mm"))</f>
        <v/>
      </c>
      <c r="D374" s="32"/>
      <c r="E374" s="36"/>
      <c r="F374" s="43"/>
      <c r="G374" s="40"/>
      <c r="H374" s="51"/>
      <c r="I374" s="33"/>
      <c r="J374" s="31"/>
      <c r="K374" s="33"/>
      <c r="L374" s="33"/>
      <c r="M374" s="36"/>
      <c r="N374" s="47" t="str">
        <f aca="false">IF($B374="","",IF(NOT(ISNUMBER($B374)),"日期不是日期格式",IF(YEAR($B374)&lt;&gt;首页!$B$3,"不在会计年度",IF($D374="","未选供应商",IF(ISNA(MATCH($D374,基础资料!$AF$6:$AF$155,0)),"供应商不在档案",IF($E374="","未填商品或内容",IF(NOT(ISNUMBER($F374)),"数量须为数字",IF(NOT(ISNUMBER($G374)),"单价须为数字",IF(N($F374)&lt;=0,"数量须大于0",IF($I374="","请选是否入库",IF(AND($I374="是",ISNA(MATCH($E374,基础资料!$Q$6:$Q$205,0))),"入库商品必须在商品档案中",IF(AND($I374="否",$J374&lt;&gt;"",ISNA(MATCH($J374,科目参数!$A$6:$A$125,0))),"费用科目不存在","√"))))))))))))</f>
        <v/>
      </c>
      <c r="O374" s="49" t="str">
        <f aca="false">IF($E374="","",IFERROR(INDEX(基础资料!$R$6:$R$205,MATCH($E374,基础资料!$Q$6:$Q$205,0)),""))</f>
        <v/>
      </c>
      <c r="P374" s="49" t="str">
        <f aca="false">IF($E374="","",IFERROR(INDEX(基础资料!$S$6:$S$205,MATCH($E374,基础资料!$Q$6:$Q$205,0)),""))</f>
        <v/>
      </c>
      <c r="Q374" s="48" t="str">
        <f aca="false">IF(OR($F374="",$G374=""),"",ROUND(N($F374)*N($G374),2))</f>
        <v/>
      </c>
      <c r="R374" s="48" t="str">
        <f aca="false">IF($Q374="","",ROUND(N($Q374)*N($H374),2))</f>
        <v/>
      </c>
      <c r="S374" s="48" t="str">
        <f aca="false">IF($Q374="","",N($Q374)+N($R374))</f>
        <v/>
      </c>
      <c r="T374" s="52" t="str">
        <f aca="false">IF(OR($B374="",$D374=""),"",$B374+N(IFERROR(INDEX(基础资料!$AH$6:$AH$155,MATCH($D374,基础资料!$AF$6:$AF$155,0)),0)))</f>
        <v/>
      </c>
      <c r="U374" s="49" t="str">
        <f aca="false">IF($Q374="","",IF($I374="是","1405",IF($J374="","6602",$J374)))</f>
        <v/>
      </c>
      <c r="V374" s="49" t="str">
        <f aca="false">IF($Q374="","","2202")</f>
        <v/>
      </c>
      <c r="W374" s="48" t="str">
        <f aca="false">IF($Q374="","",$Q374)</f>
        <v/>
      </c>
      <c r="X374" s="49" t="str">
        <f aca="false">IF(N($R374)=0,"","2221")</f>
        <v/>
      </c>
      <c r="Y374" s="49" t="str">
        <f aca="false">IF(N($R374)=0,"","2202")</f>
        <v/>
      </c>
      <c r="Z374" s="48" t="str">
        <f aca="false">IF(N($R374)=0,"",$R374)</f>
        <v/>
      </c>
      <c r="AA374" s="49" t="str">
        <f aca="false">IF(AND($D374=供应商对账单!$B$3,$B374&gt;=供应商对账单!$E$3,$B374&lt;=供应商对账单!$H$3),COUNTIFS($D$5:$D374,供应商对账单!$B$3,$B$5:$B374,"&gt;="&amp;供应商对账单!$E$3,$B$5:$B374,"&lt;="&amp;供应商对账单!$H$3),"")</f>
        <v/>
      </c>
    </row>
    <row r="375" customFormat="false" ht="15.75" hidden="false" customHeight="true" outlineLevel="0" collapsed="false">
      <c r="A375" s="42" t="str">
        <f aca="false">IF($B375="","","CG"&amp;TEXT($B375,"yyyymm")&amp;"-"&amp;TEXT(ROW()-4,"000"))</f>
        <v/>
      </c>
      <c r="B375" s="41"/>
      <c r="C375" s="42" t="str">
        <f aca="false">IF($B375="","",TEXT($B375,"yyyy-mm"))</f>
        <v/>
      </c>
      <c r="D375" s="32"/>
      <c r="E375" s="36"/>
      <c r="F375" s="43"/>
      <c r="G375" s="40"/>
      <c r="H375" s="51"/>
      <c r="I375" s="33"/>
      <c r="J375" s="31"/>
      <c r="K375" s="33"/>
      <c r="L375" s="33"/>
      <c r="M375" s="36"/>
      <c r="N375" s="47" t="str">
        <f aca="false">IF($B375="","",IF(NOT(ISNUMBER($B375)),"日期不是日期格式",IF(YEAR($B375)&lt;&gt;首页!$B$3,"不在会计年度",IF($D375="","未选供应商",IF(ISNA(MATCH($D375,基础资料!$AF$6:$AF$155,0)),"供应商不在档案",IF($E375="","未填商品或内容",IF(NOT(ISNUMBER($F375)),"数量须为数字",IF(NOT(ISNUMBER($G375)),"单价须为数字",IF(N($F375)&lt;=0,"数量须大于0",IF($I375="","请选是否入库",IF(AND($I375="是",ISNA(MATCH($E375,基础资料!$Q$6:$Q$205,0))),"入库商品必须在商品档案中",IF(AND($I375="否",$J375&lt;&gt;"",ISNA(MATCH($J375,科目参数!$A$6:$A$125,0))),"费用科目不存在","√"))))))))))))</f>
        <v/>
      </c>
      <c r="O375" s="49" t="str">
        <f aca="false">IF($E375="","",IFERROR(INDEX(基础资料!$R$6:$R$205,MATCH($E375,基础资料!$Q$6:$Q$205,0)),""))</f>
        <v/>
      </c>
      <c r="P375" s="49" t="str">
        <f aca="false">IF($E375="","",IFERROR(INDEX(基础资料!$S$6:$S$205,MATCH($E375,基础资料!$Q$6:$Q$205,0)),""))</f>
        <v/>
      </c>
      <c r="Q375" s="48" t="str">
        <f aca="false">IF(OR($F375="",$G375=""),"",ROUND(N($F375)*N($G375),2))</f>
        <v/>
      </c>
      <c r="R375" s="48" t="str">
        <f aca="false">IF($Q375="","",ROUND(N($Q375)*N($H375),2))</f>
        <v/>
      </c>
      <c r="S375" s="48" t="str">
        <f aca="false">IF($Q375="","",N($Q375)+N($R375))</f>
        <v/>
      </c>
      <c r="T375" s="52" t="str">
        <f aca="false">IF(OR($B375="",$D375=""),"",$B375+N(IFERROR(INDEX(基础资料!$AH$6:$AH$155,MATCH($D375,基础资料!$AF$6:$AF$155,0)),0)))</f>
        <v/>
      </c>
      <c r="U375" s="49" t="str">
        <f aca="false">IF($Q375="","",IF($I375="是","1405",IF($J375="","6602",$J375)))</f>
        <v/>
      </c>
      <c r="V375" s="49" t="str">
        <f aca="false">IF($Q375="","","2202")</f>
        <v/>
      </c>
      <c r="W375" s="48" t="str">
        <f aca="false">IF($Q375="","",$Q375)</f>
        <v/>
      </c>
      <c r="X375" s="49" t="str">
        <f aca="false">IF(N($R375)=0,"","2221")</f>
        <v/>
      </c>
      <c r="Y375" s="49" t="str">
        <f aca="false">IF(N($R375)=0,"","2202")</f>
        <v/>
      </c>
      <c r="Z375" s="48" t="str">
        <f aca="false">IF(N($R375)=0,"",$R375)</f>
        <v/>
      </c>
      <c r="AA375" s="49" t="str">
        <f aca="false">IF(AND($D375=供应商对账单!$B$3,$B375&gt;=供应商对账单!$E$3,$B375&lt;=供应商对账单!$H$3),COUNTIFS($D$5:$D375,供应商对账单!$B$3,$B$5:$B375,"&gt;="&amp;供应商对账单!$E$3,$B$5:$B375,"&lt;="&amp;供应商对账单!$H$3),"")</f>
        <v/>
      </c>
    </row>
    <row r="376" customFormat="false" ht="15.75" hidden="false" customHeight="true" outlineLevel="0" collapsed="false">
      <c r="A376" s="42" t="str">
        <f aca="false">IF($B376="","","CG"&amp;TEXT($B376,"yyyymm")&amp;"-"&amp;TEXT(ROW()-4,"000"))</f>
        <v/>
      </c>
      <c r="B376" s="41"/>
      <c r="C376" s="42" t="str">
        <f aca="false">IF($B376="","",TEXT($B376,"yyyy-mm"))</f>
        <v/>
      </c>
      <c r="D376" s="32"/>
      <c r="E376" s="36"/>
      <c r="F376" s="43"/>
      <c r="G376" s="40"/>
      <c r="H376" s="51"/>
      <c r="I376" s="33"/>
      <c r="J376" s="31"/>
      <c r="K376" s="33"/>
      <c r="L376" s="33"/>
      <c r="M376" s="36"/>
      <c r="N376" s="47" t="str">
        <f aca="false">IF($B376="","",IF(NOT(ISNUMBER($B376)),"日期不是日期格式",IF(YEAR($B376)&lt;&gt;首页!$B$3,"不在会计年度",IF($D376="","未选供应商",IF(ISNA(MATCH($D376,基础资料!$AF$6:$AF$155,0)),"供应商不在档案",IF($E376="","未填商品或内容",IF(NOT(ISNUMBER($F376)),"数量须为数字",IF(NOT(ISNUMBER($G376)),"单价须为数字",IF(N($F376)&lt;=0,"数量须大于0",IF($I376="","请选是否入库",IF(AND($I376="是",ISNA(MATCH($E376,基础资料!$Q$6:$Q$205,0))),"入库商品必须在商品档案中",IF(AND($I376="否",$J376&lt;&gt;"",ISNA(MATCH($J376,科目参数!$A$6:$A$125,0))),"费用科目不存在","√"))))))))))))</f>
        <v/>
      </c>
      <c r="O376" s="49" t="str">
        <f aca="false">IF($E376="","",IFERROR(INDEX(基础资料!$R$6:$R$205,MATCH($E376,基础资料!$Q$6:$Q$205,0)),""))</f>
        <v/>
      </c>
      <c r="P376" s="49" t="str">
        <f aca="false">IF($E376="","",IFERROR(INDEX(基础资料!$S$6:$S$205,MATCH($E376,基础资料!$Q$6:$Q$205,0)),""))</f>
        <v/>
      </c>
      <c r="Q376" s="48" t="str">
        <f aca="false">IF(OR($F376="",$G376=""),"",ROUND(N($F376)*N($G376),2))</f>
        <v/>
      </c>
      <c r="R376" s="48" t="str">
        <f aca="false">IF($Q376="","",ROUND(N($Q376)*N($H376),2))</f>
        <v/>
      </c>
      <c r="S376" s="48" t="str">
        <f aca="false">IF($Q376="","",N($Q376)+N($R376))</f>
        <v/>
      </c>
      <c r="T376" s="52" t="str">
        <f aca="false">IF(OR($B376="",$D376=""),"",$B376+N(IFERROR(INDEX(基础资料!$AH$6:$AH$155,MATCH($D376,基础资料!$AF$6:$AF$155,0)),0)))</f>
        <v/>
      </c>
      <c r="U376" s="49" t="str">
        <f aca="false">IF($Q376="","",IF($I376="是","1405",IF($J376="","6602",$J376)))</f>
        <v/>
      </c>
      <c r="V376" s="49" t="str">
        <f aca="false">IF($Q376="","","2202")</f>
        <v/>
      </c>
      <c r="W376" s="48" t="str">
        <f aca="false">IF($Q376="","",$Q376)</f>
        <v/>
      </c>
      <c r="X376" s="49" t="str">
        <f aca="false">IF(N($R376)=0,"","2221")</f>
        <v/>
      </c>
      <c r="Y376" s="49" t="str">
        <f aca="false">IF(N($R376)=0,"","2202")</f>
        <v/>
      </c>
      <c r="Z376" s="48" t="str">
        <f aca="false">IF(N($R376)=0,"",$R376)</f>
        <v/>
      </c>
      <c r="AA376" s="49" t="str">
        <f aca="false">IF(AND($D376=供应商对账单!$B$3,$B376&gt;=供应商对账单!$E$3,$B376&lt;=供应商对账单!$H$3),COUNTIFS($D$5:$D376,供应商对账单!$B$3,$B$5:$B376,"&gt;="&amp;供应商对账单!$E$3,$B$5:$B376,"&lt;="&amp;供应商对账单!$H$3),"")</f>
        <v/>
      </c>
    </row>
    <row r="377" customFormat="false" ht="15.75" hidden="false" customHeight="true" outlineLevel="0" collapsed="false">
      <c r="A377" s="42" t="str">
        <f aca="false">IF($B377="","","CG"&amp;TEXT($B377,"yyyymm")&amp;"-"&amp;TEXT(ROW()-4,"000"))</f>
        <v/>
      </c>
      <c r="B377" s="41"/>
      <c r="C377" s="42" t="str">
        <f aca="false">IF($B377="","",TEXT($B377,"yyyy-mm"))</f>
        <v/>
      </c>
      <c r="D377" s="32"/>
      <c r="E377" s="36"/>
      <c r="F377" s="43"/>
      <c r="G377" s="40"/>
      <c r="H377" s="51"/>
      <c r="I377" s="33"/>
      <c r="J377" s="31"/>
      <c r="K377" s="33"/>
      <c r="L377" s="33"/>
      <c r="M377" s="36"/>
      <c r="N377" s="47" t="str">
        <f aca="false">IF($B377="","",IF(NOT(ISNUMBER($B377)),"日期不是日期格式",IF(YEAR($B377)&lt;&gt;首页!$B$3,"不在会计年度",IF($D377="","未选供应商",IF(ISNA(MATCH($D377,基础资料!$AF$6:$AF$155,0)),"供应商不在档案",IF($E377="","未填商品或内容",IF(NOT(ISNUMBER($F377)),"数量须为数字",IF(NOT(ISNUMBER($G377)),"单价须为数字",IF(N($F377)&lt;=0,"数量须大于0",IF($I377="","请选是否入库",IF(AND($I377="是",ISNA(MATCH($E377,基础资料!$Q$6:$Q$205,0))),"入库商品必须在商品档案中",IF(AND($I377="否",$J377&lt;&gt;"",ISNA(MATCH($J377,科目参数!$A$6:$A$125,0))),"费用科目不存在","√"))))))))))))</f>
        <v/>
      </c>
      <c r="O377" s="49" t="str">
        <f aca="false">IF($E377="","",IFERROR(INDEX(基础资料!$R$6:$R$205,MATCH($E377,基础资料!$Q$6:$Q$205,0)),""))</f>
        <v/>
      </c>
      <c r="P377" s="49" t="str">
        <f aca="false">IF($E377="","",IFERROR(INDEX(基础资料!$S$6:$S$205,MATCH($E377,基础资料!$Q$6:$Q$205,0)),""))</f>
        <v/>
      </c>
      <c r="Q377" s="48" t="str">
        <f aca="false">IF(OR($F377="",$G377=""),"",ROUND(N($F377)*N($G377),2))</f>
        <v/>
      </c>
      <c r="R377" s="48" t="str">
        <f aca="false">IF($Q377="","",ROUND(N($Q377)*N($H377),2))</f>
        <v/>
      </c>
      <c r="S377" s="48" t="str">
        <f aca="false">IF($Q377="","",N($Q377)+N($R377))</f>
        <v/>
      </c>
      <c r="T377" s="52" t="str">
        <f aca="false">IF(OR($B377="",$D377=""),"",$B377+N(IFERROR(INDEX(基础资料!$AH$6:$AH$155,MATCH($D377,基础资料!$AF$6:$AF$155,0)),0)))</f>
        <v/>
      </c>
      <c r="U377" s="49" t="str">
        <f aca="false">IF($Q377="","",IF($I377="是","1405",IF($J377="","6602",$J377)))</f>
        <v/>
      </c>
      <c r="V377" s="49" t="str">
        <f aca="false">IF($Q377="","","2202")</f>
        <v/>
      </c>
      <c r="W377" s="48" t="str">
        <f aca="false">IF($Q377="","",$Q377)</f>
        <v/>
      </c>
      <c r="X377" s="49" t="str">
        <f aca="false">IF(N($R377)=0,"","2221")</f>
        <v/>
      </c>
      <c r="Y377" s="49" t="str">
        <f aca="false">IF(N($R377)=0,"","2202")</f>
        <v/>
      </c>
      <c r="Z377" s="48" t="str">
        <f aca="false">IF(N($R377)=0,"",$R377)</f>
        <v/>
      </c>
      <c r="AA377" s="49" t="str">
        <f aca="false">IF(AND($D377=供应商对账单!$B$3,$B377&gt;=供应商对账单!$E$3,$B377&lt;=供应商对账单!$H$3),COUNTIFS($D$5:$D377,供应商对账单!$B$3,$B$5:$B377,"&gt;="&amp;供应商对账单!$E$3,$B$5:$B377,"&lt;="&amp;供应商对账单!$H$3),"")</f>
        <v/>
      </c>
    </row>
    <row r="378" customFormat="false" ht="15.75" hidden="false" customHeight="true" outlineLevel="0" collapsed="false">
      <c r="A378" s="42" t="str">
        <f aca="false">IF($B378="","","CG"&amp;TEXT($B378,"yyyymm")&amp;"-"&amp;TEXT(ROW()-4,"000"))</f>
        <v/>
      </c>
      <c r="B378" s="41"/>
      <c r="C378" s="42" t="str">
        <f aca="false">IF($B378="","",TEXT($B378,"yyyy-mm"))</f>
        <v/>
      </c>
      <c r="D378" s="32"/>
      <c r="E378" s="36"/>
      <c r="F378" s="43"/>
      <c r="G378" s="40"/>
      <c r="H378" s="51"/>
      <c r="I378" s="33"/>
      <c r="J378" s="31"/>
      <c r="K378" s="33"/>
      <c r="L378" s="33"/>
      <c r="M378" s="36"/>
      <c r="N378" s="47" t="str">
        <f aca="false">IF($B378="","",IF(NOT(ISNUMBER($B378)),"日期不是日期格式",IF(YEAR($B378)&lt;&gt;首页!$B$3,"不在会计年度",IF($D378="","未选供应商",IF(ISNA(MATCH($D378,基础资料!$AF$6:$AF$155,0)),"供应商不在档案",IF($E378="","未填商品或内容",IF(NOT(ISNUMBER($F378)),"数量须为数字",IF(NOT(ISNUMBER($G378)),"单价须为数字",IF(N($F378)&lt;=0,"数量须大于0",IF($I378="","请选是否入库",IF(AND($I378="是",ISNA(MATCH($E378,基础资料!$Q$6:$Q$205,0))),"入库商品必须在商品档案中",IF(AND($I378="否",$J378&lt;&gt;"",ISNA(MATCH($J378,科目参数!$A$6:$A$125,0))),"费用科目不存在","√"))))))))))))</f>
        <v/>
      </c>
      <c r="O378" s="49" t="str">
        <f aca="false">IF($E378="","",IFERROR(INDEX(基础资料!$R$6:$R$205,MATCH($E378,基础资料!$Q$6:$Q$205,0)),""))</f>
        <v/>
      </c>
      <c r="P378" s="49" t="str">
        <f aca="false">IF($E378="","",IFERROR(INDEX(基础资料!$S$6:$S$205,MATCH($E378,基础资料!$Q$6:$Q$205,0)),""))</f>
        <v/>
      </c>
      <c r="Q378" s="48" t="str">
        <f aca="false">IF(OR($F378="",$G378=""),"",ROUND(N($F378)*N($G378),2))</f>
        <v/>
      </c>
      <c r="R378" s="48" t="str">
        <f aca="false">IF($Q378="","",ROUND(N($Q378)*N($H378),2))</f>
        <v/>
      </c>
      <c r="S378" s="48" t="str">
        <f aca="false">IF($Q378="","",N($Q378)+N($R378))</f>
        <v/>
      </c>
      <c r="T378" s="52" t="str">
        <f aca="false">IF(OR($B378="",$D378=""),"",$B378+N(IFERROR(INDEX(基础资料!$AH$6:$AH$155,MATCH($D378,基础资料!$AF$6:$AF$155,0)),0)))</f>
        <v/>
      </c>
      <c r="U378" s="49" t="str">
        <f aca="false">IF($Q378="","",IF($I378="是","1405",IF($J378="","6602",$J378)))</f>
        <v/>
      </c>
      <c r="V378" s="49" t="str">
        <f aca="false">IF($Q378="","","2202")</f>
        <v/>
      </c>
      <c r="W378" s="48" t="str">
        <f aca="false">IF($Q378="","",$Q378)</f>
        <v/>
      </c>
      <c r="X378" s="49" t="str">
        <f aca="false">IF(N($R378)=0,"","2221")</f>
        <v/>
      </c>
      <c r="Y378" s="49" t="str">
        <f aca="false">IF(N($R378)=0,"","2202")</f>
        <v/>
      </c>
      <c r="Z378" s="48" t="str">
        <f aca="false">IF(N($R378)=0,"",$R378)</f>
        <v/>
      </c>
      <c r="AA378" s="49" t="str">
        <f aca="false">IF(AND($D378=供应商对账单!$B$3,$B378&gt;=供应商对账单!$E$3,$B378&lt;=供应商对账单!$H$3),COUNTIFS($D$5:$D378,供应商对账单!$B$3,$B$5:$B378,"&gt;="&amp;供应商对账单!$E$3,$B$5:$B378,"&lt;="&amp;供应商对账单!$H$3),"")</f>
        <v/>
      </c>
    </row>
    <row r="379" customFormat="false" ht="15.75" hidden="false" customHeight="true" outlineLevel="0" collapsed="false">
      <c r="A379" s="42" t="str">
        <f aca="false">IF($B379="","","CG"&amp;TEXT($B379,"yyyymm")&amp;"-"&amp;TEXT(ROW()-4,"000"))</f>
        <v/>
      </c>
      <c r="B379" s="41"/>
      <c r="C379" s="42" t="str">
        <f aca="false">IF($B379="","",TEXT($B379,"yyyy-mm"))</f>
        <v/>
      </c>
      <c r="D379" s="32"/>
      <c r="E379" s="36"/>
      <c r="F379" s="43"/>
      <c r="G379" s="40"/>
      <c r="H379" s="51"/>
      <c r="I379" s="33"/>
      <c r="J379" s="31"/>
      <c r="K379" s="33"/>
      <c r="L379" s="33"/>
      <c r="M379" s="36"/>
      <c r="N379" s="47" t="str">
        <f aca="false">IF($B379="","",IF(NOT(ISNUMBER($B379)),"日期不是日期格式",IF(YEAR($B379)&lt;&gt;首页!$B$3,"不在会计年度",IF($D379="","未选供应商",IF(ISNA(MATCH($D379,基础资料!$AF$6:$AF$155,0)),"供应商不在档案",IF($E379="","未填商品或内容",IF(NOT(ISNUMBER($F379)),"数量须为数字",IF(NOT(ISNUMBER($G379)),"单价须为数字",IF(N($F379)&lt;=0,"数量须大于0",IF($I379="","请选是否入库",IF(AND($I379="是",ISNA(MATCH($E379,基础资料!$Q$6:$Q$205,0))),"入库商品必须在商品档案中",IF(AND($I379="否",$J379&lt;&gt;"",ISNA(MATCH($J379,科目参数!$A$6:$A$125,0))),"费用科目不存在","√"))))))))))))</f>
        <v/>
      </c>
      <c r="O379" s="49" t="str">
        <f aca="false">IF($E379="","",IFERROR(INDEX(基础资料!$R$6:$R$205,MATCH($E379,基础资料!$Q$6:$Q$205,0)),""))</f>
        <v/>
      </c>
      <c r="P379" s="49" t="str">
        <f aca="false">IF($E379="","",IFERROR(INDEX(基础资料!$S$6:$S$205,MATCH($E379,基础资料!$Q$6:$Q$205,0)),""))</f>
        <v/>
      </c>
      <c r="Q379" s="48" t="str">
        <f aca="false">IF(OR($F379="",$G379=""),"",ROUND(N($F379)*N($G379),2))</f>
        <v/>
      </c>
      <c r="R379" s="48" t="str">
        <f aca="false">IF($Q379="","",ROUND(N($Q379)*N($H379),2))</f>
        <v/>
      </c>
      <c r="S379" s="48" t="str">
        <f aca="false">IF($Q379="","",N($Q379)+N($R379))</f>
        <v/>
      </c>
      <c r="T379" s="52" t="str">
        <f aca="false">IF(OR($B379="",$D379=""),"",$B379+N(IFERROR(INDEX(基础资料!$AH$6:$AH$155,MATCH($D379,基础资料!$AF$6:$AF$155,0)),0)))</f>
        <v/>
      </c>
      <c r="U379" s="49" t="str">
        <f aca="false">IF($Q379="","",IF($I379="是","1405",IF($J379="","6602",$J379)))</f>
        <v/>
      </c>
      <c r="V379" s="49" t="str">
        <f aca="false">IF($Q379="","","2202")</f>
        <v/>
      </c>
      <c r="W379" s="48" t="str">
        <f aca="false">IF($Q379="","",$Q379)</f>
        <v/>
      </c>
      <c r="X379" s="49" t="str">
        <f aca="false">IF(N($R379)=0,"","2221")</f>
        <v/>
      </c>
      <c r="Y379" s="49" t="str">
        <f aca="false">IF(N($R379)=0,"","2202")</f>
        <v/>
      </c>
      <c r="Z379" s="48" t="str">
        <f aca="false">IF(N($R379)=0,"",$R379)</f>
        <v/>
      </c>
      <c r="AA379" s="49" t="str">
        <f aca="false">IF(AND($D379=供应商对账单!$B$3,$B379&gt;=供应商对账单!$E$3,$B379&lt;=供应商对账单!$H$3),COUNTIFS($D$5:$D379,供应商对账单!$B$3,$B$5:$B379,"&gt;="&amp;供应商对账单!$E$3,$B$5:$B379,"&lt;="&amp;供应商对账单!$H$3),"")</f>
        <v/>
      </c>
    </row>
    <row r="380" customFormat="false" ht="15.75" hidden="false" customHeight="true" outlineLevel="0" collapsed="false">
      <c r="A380" s="42" t="str">
        <f aca="false">IF($B380="","","CG"&amp;TEXT($B380,"yyyymm")&amp;"-"&amp;TEXT(ROW()-4,"000"))</f>
        <v/>
      </c>
      <c r="B380" s="41"/>
      <c r="C380" s="42" t="str">
        <f aca="false">IF($B380="","",TEXT($B380,"yyyy-mm"))</f>
        <v/>
      </c>
      <c r="D380" s="32"/>
      <c r="E380" s="36"/>
      <c r="F380" s="43"/>
      <c r="G380" s="40"/>
      <c r="H380" s="51"/>
      <c r="I380" s="33"/>
      <c r="J380" s="31"/>
      <c r="K380" s="33"/>
      <c r="L380" s="33"/>
      <c r="M380" s="36"/>
      <c r="N380" s="47" t="str">
        <f aca="false">IF($B380="","",IF(NOT(ISNUMBER($B380)),"日期不是日期格式",IF(YEAR($B380)&lt;&gt;首页!$B$3,"不在会计年度",IF($D380="","未选供应商",IF(ISNA(MATCH($D380,基础资料!$AF$6:$AF$155,0)),"供应商不在档案",IF($E380="","未填商品或内容",IF(NOT(ISNUMBER($F380)),"数量须为数字",IF(NOT(ISNUMBER($G380)),"单价须为数字",IF(N($F380)&lt;=0,"数量须大于0",IF($I380="","请选是否入库",IF(AND($I380="是",ISNA(MATCH($E380,基础资料!$Q$6:$Q$205,0))),"入库商品必须在商品档案中",IF(AND($I380="否",$J380&lt;&gt;"",ISNA(MATCH($J380,科目参数!$A$6:$A$125,0))),"费用科目不存在","√"))))))))))))</f>
        <v/>
      </c>
      <c r="O380" s="49" t="str">
        <f aca="false">IF($E380="","",IFERROR(INDEX(基础资料!$R$6:$R$205,MATCH($E380,基础资料!$Q$6:$Q$205,0)),""))</f>
        <v/>
      </c>
      <c r="P380" s="49" t="str">
        <f aca="false">IF($E380="","",IFERROR(INDEX(基础资料!$S$6:$S$205,MATCH($E380,基础资料!$Q$6:$Q$205,0)),""))</f>
        <v/>
      </c>
      <c r="Q380" s="48" t="str">
        <f aca="false">IF(OR($F380="",$G380=""),"",ROUND(N($F380)*N($G380),2))</f>
        <v/>
      </c>
      <c r="R380" s="48" t="str">
        <f aca="false">IF($Q380="","",ROUND(N($Q380)*N($H380),2))</f>
        <v/>
      </c>
      <c r="S380" s="48" t="str">
        <f aca="false">IF($Q380="","",N($Q380)+N($R380))</f>
        <v/>
      </c>
      <c r="T380" s="52" t="str">
        <f aca="false">IF(OR($B380="",$D380=""),"",$B380+N(IFERROR(INDEX(基础资料!$AH$6:$AH$155,MATCH($D380,基础资料!$AF$6:$AF$155,0)),0)))</f>
        <v/>
      </c>
      <c r="U380" s="49" t="str">
        <f aca="false">IF($Q380="","",IF($I380="是","1405",IF($J380="","6602",$J380)))</f>
        <v/>
      </c>
      <c r="V380" s="49" t="str">
        <f aca="false">IF($Q380="","","2202")</f>
        <v/>
      </c>
      <c r="W380" s="48" t="str">
        <f aca="false">IF($Q380="","",$Q380)</f>
        <v/>
      </c>
      <c r="X380" s="49" t="str">
        <f aca="false">IF(N($R380)=0,"","2221")</f>
        <v/>
      </c>
      <c r="Y380" s="49" t="str">
        <f aca="false">IF(N($R380)=0,"","2202")</f>
        <v/>
      </c>
      <c r="Z380" s="48" t="str">
        <f aca="false">IF(N($R380)=0,"",$R380)</f>
        <v/>
      </c>
      <c r="AA380" s="49" t="str">
        <f aca="false">IF(AND($D380=供应商对账单!$B$3,$B380&gt;=供应商对账单!$E$3,$B380&lt;=供应商对账单!$H$3),COUNTIFS($D$5:$D380,供应商对账单!$B$3,$B$5:$B380,"&gt;="&amp;供应商对账单!$E$3,$B$5:$B380,"&lt;="&amp;供应商对账单!$H$3),"")</f>
        <v/>
      </c>
    </row>
    <row r="381" customFormat="false" ht="15.75" hidden="false" customHeight="true" outlineLevel="0" collapsed="false">
      <c r="A381" s="42" t="str">
        <f aca="false">IF($B381="","","CG"&amp;TEXT($B381,"yyyymm")&amp;"-"&amp;TEXT(ROW()-4,"000"))</f>
        <v/>
      </c>
      <c r="B381" s="41"/>
      <c r="C381" s="42" t="str">
        <f aca="false">IF($B381="","",TEXT($B381,"yyyy-mm"))</f>
        <v/>
      </c>
      <c r="D381" s="32"/>
      <c r="E381" s="36"/>
      <c r="F381" s="43"/>
      <c r="G381" s="40"/>
      <c r="H381" s="51"/>
      <c r="I381" s="33"/>
      <c r="J381" s="31"/>
      <c r="K381" s="33"/>
      <c r="L381" s="33"/>
      <c r="M381" s="36"/>
      <c r="N381" s="47" t="str">
        <f aca="false">IF($B381="","",IF(NOT(ISNUMBER($B381)),"日期不是日期格式",IF(YEAR($B381)&lt;&gt;首页!$B$3,"不在会计年度",IF($D381="","未选供应商",IF(ISNA(MATCH($D381,基础资料!$AF$6:$AF$155,0)),"供应商不在档案",IF($E381="","未填商品或内容",IF(NOT(ISNUMBER($F381)),"数量须为数字",IF(NOT(ISNUMBER($G381)),"单价须为数字",IF(N($F381)&lt;=0,"数量须大于0",IF($I381="","请选是否入库",IF(AND($I381="是",ISNA(MATCH($E381,基础资料!$Q$6:$Q$205,0))),"入库商品必须在商品档案中",IF(AND($I381="否",$J381&lt;&gt;"",ISNA(MATCH($J381,科目参数!$A$6:$A$125,0))),"费用科目不存在","√"))))))))))))</f>
        <v/>
      </c>
      <c r="O381" s="49" t="str">
        <f aca="false">IF($E381="","",IFERROR(INDEX(基础资料!$R$6:$R$205,MATCH($E381,基础资料!$Q$6:$Q$205,0)),""))</f>
        <v/>
      </c>
      <c r="P381" s="49" t="str">
        <f aca="false">IF($E381="","",IFERROR(INDEX(基础资料!$S$6:$S$205,MATCH($E381,基础资料!$Q$6:$Q$205,0)),""))</f>
        <v/>
      </c>
      <c r="Q381" s="48" t="str">
        <f aca="false">IF(OR($F381="",$G381=""),"",ROUND(N($F381)*N($G381),2))</f>
        <v/>
      </c>
      <c r="R381" s="48" t="str">
        <f aca="false">IF($Q381="","",ROUND(N($Q381)*N($H381),2))</f>
        <v/>
      </c>
      <c r="S381" s="48" t="str">
        <f aca="false">IF($Q381="","",N($Q381)+N($R381))</f>
        <v/>
      </c>
      <c r="T381" s="52" t="str">
        <f aca="false">IF(OR($B381="",$D381=""),"",$B381+N(IFERROR(INDEX(基础资料!$AH$6:$AH$155,MATCH($D381,基础资料!$AF$6:$AF$155,0)),0)))</f>
        <v/>
      </c>
      <c r="U381" s="49" t="str">
        <f aca="false">IF($Q381="","",IF($I381="是","1405",IF($J381="","6602",$J381)))</f>
        <v/>
      </c>
      <c r="V381" s="49" t="str">
        <f aca="false">IF($Q381="","","2202")</f>
        <v/>
      </c>
      <c r="W381" s="48" t="str">
        <f aca="false">IF($Q381="","",$Q381)</f>
        <v/>
      </c>
      <c r="X381" s="49" t="str">
        <f aca="false">IF(N($R381)=0,"","2221")</f>
        <v/>
      </c>
      <c r="Y381" s="49" t="str">
        <f aca="false">IF(N($R381)=0,"","2202")</f>
        <v/>
      </c>
      <c r="Z381" s="48" t="str">
        <f aca="false">IF(N($R381)=0,"",$R381)</f>
        <v/>
      </c>
      <c r="AA381" s="49" t="str">
        <f aca="false">IF(AND($D381=供应商对账单!$B$3,$B381&gt;=供应商对账单!$E$3,$B381&lt;=供应商对账单!$H$3),COUNTIFS($D$5:$D381,供应商对账单!$B$3,$B$5:$B381,"&gt;="&amp;供应商对账单!$E$3,$B$5:$B381,"&lt;="&amp;供应商对账单!$H$3),"")</f>
        <v/>
      </c>
    </row>
    <row r="382" customFormat="false" ht="15.75" hidden="false" customHeight="true" outlineLevel="0" collapsed="false">
      <c r="A382" s="42" t="str">
        <f aca="false">IF($B382="","","CG"&amp;TEXT($B382,"yyyymm")&amp;"-"&amp;TEXT(ROW()-4,"000"))</f>
        <v/>
      </c>
      <c r="B382" s="41"/>
      <c r="C382" s="42" t="str">
        <f aca="false">IF($B382="","",TEXT($B382,"yyyy-mm"))</f>
        <v/>
      </c>
      <c r="D382" s="32"/>
      <c r="E382" s="36"/>
      <c r="F382" s="43"/>
      <c r="G382" s="40"/>
      <c r="H382" s="51"/>
      <c r="I382" s="33"/>
      <c r="J382" s="31"/>
      <c r="K382" s="33"/>
      <c r="L382" s="33"/>
      <c r="M382" s="36"/>
      <c r="N382" s="47" t="str">
        <f aca="false">IF($B382="","",IF(NOT(ISNUMBER($B382)),"日期不是日期格式",IF(YEAR($B382)&lt;&gt;首页!$B$3,"不在会计年度",IF($D382="","未选供应商",IF(ISNA(MATCH($D382,基础资料!$AF$6:$AF$155,0)),"供应商不在档案",IF($E382="","未填商品或内容",IF(NOT(ISNUMBER($F382)),"数量须为数字",IF(NOT(ISNUMBER($G382)),"单价须为数字",IF(N($F382)&lt;=0,"数量须大于0",IF($I382="","请选是否入库",IF(AND($I382="是",ISNA(MATCH($E382,基础资料!$Q$6:$Q$205,0))),"入库商品必须在商品档案中",IF(AND($I382="否",$J382&lt;&gt;"",ISNA(MATCH($J382,科目参数!$A$6:$A$125,0))),"费用科目不存在","√"))))))))))))</f>
        <v/>
      </c>
      <c r="O382" s="49" t="str">
        <f aca="false">IF($E382="","",IFERROR(INDEX(基础资料!$R$6:$R$205,MATCH($E382,基础资料!$Q$6:$Q$205,0)),""))</f>
        <v/>
      </c>
      <c r="P382" s="49" t="str">
        <f aca="false">IF($E382="","",IFERROR(INDEX(基础资料!$S$6:$S$205,MATCH($E382,基础资料!$Q$6:$Q$205,0)),""))</f>
        <v/>
      </c>
      <c r="Q382" s="48" t="str">
        <f aca="false">IF(OR($F382="",$G382=""),"",ROUND(N($F382)*N($G382),2))</f>
        <v/>
      </c>
      <c r="R382" s="48" t="str">
        <f aca="false">IF($Q382="","",ROUND(N($Q382)*N($H382),2))</f>
        <v/>
      </c>
      <c r="S382" s="48" t="str">
        <f aca="false">IF($Q382="","",N($Q382)+N($R382))</f>
        <v/>
      </c>
      <c r="T382" s="52" t="str">
        <f aca="false">IF(OR($B382="",$D382=""),"",$B382+N(IFERROR(INDEX(基础资料!$AH$6:$AH$155,MATCH($D382,基础资料!$AF$6:$AF$155,0)),0)))</f>
        <v/>
      </c>
      <c r="U382" s="49" t="str">
        <f aca="false">IF($Q382="","",IF($I382="是","1405",IF($J382="","6602",$J382)))</f>
        <v/>
      </c>
      <c r="V382" s="49" t="str">
        <f aca="false">IF($Q382="","","2202")</f>
        <v/>
      </c>
      <c r="W382" s="48" t="str">
        <f aca="false">IF($Q382="","",$Q382)</f>
        <v/>
      </c>
      <c r="X382" s="49" t="str">
        <f aca="false">IF(N($R382)=0,"","2221")</f>
        <v/>
      </c>
      <c r="Y382" s="49" t="str">
        <f aca="false">IF(N($R382)=0,"","2202")</f>
        <v/>
      </c>
      <c r="Z382" s="48" t="str">
        <f aca="false">IF(N($R382)=0,"",$R382)</f>
        <v/>
      </c>
      <c r="AA382" s="49" t="str">
        <f aca="false">IF(AND($D382=供应商对账单!$B$3,$B382&gt;=供应商对账单!$E$3,$B382&lt;=供应商对账单!$H$3),COUNTIFS($D$5:$D382,供应商对账单!$B$3,$B$5:$B382,"&gt;="&amp;供应商对账单!$E$3,$B$5:$B382,"&lt;="&amp;供应商对账单!$H$3),"")</f>
        <v/>
      </c>
    </row>
    <row r="383" customFormat="false" ht="15.75" hidden="false" customHeight="true" outlineLevel="0" collapsed="false">
      <c r="A383" s="42" t="str">
        <f aca="false">IF($B383="","","CG"&amp;TEXT($B383,"yyyymm")&amp;"-"&amp;TEXT(ROW()-4,"000"))</f>
        <v/>
      </c>
      <c r="B383" s="41"/>
      <c r="C383" s="42" t="str">
        <f aca="false">IF($B383="","",TEXT($B383,"yyyy-mm"))</f>
        <v/>
      </c>
      <c r="D383" s="32"/>
      <c r="E383" s="36"/>
      <c r="F383" s="43"/>
      <c r="G383" s="40"/>
      <c r="H383" s="51"/>
      <c r="I383" s="33"/>
      <c r="J383" s="31"/>
      <c r="K383" s="33"/>
      <c r="L383" s="33"/>
      <c r="M383" s="36"/>
      <c r="N383" s="47" t="str">
        <f aca="false">IF($B383="","",IF(NOT(ISNUMBER($B383)),"日期不是日期格式",IF(YEAR($B383)&lt;&gt;首页!$B$3,"不在会计年度",IF($D383="","未选供应商",IF(ISNA(MATCH($D383,基础资料!$AF$6:$AF$155,0)),"供应商不在档案",IF($E383="","未填商品或内容",IF(NOT(ISNUMBER($F383)),"数量须为数字",IF(NOT(ISNUMBER($G383)),"单价须为数字",IF(N($F383)&lt;=0,"数量须大于0",IF($I383="","请选是否入库",IF(AND($I383="是",ISNA(MATCH($E383,基础资料!$Q$6:$Q$205,0))),"入库商品必须在商品档案中",IF(AND($I383="否",$J383&lt;&gt;"",ISNA(MATCH($J383,科目参数!$A$6:$A$125,0))),"费用科目不存在","√"))))))))))))</f>
        <v/>
      </c>
      <c r="O383" s="49" t="str">
        <f aca="false">IF($E383="","",IFERROR(INDEX(基础资料!$R$6:$R$205,MATCH($E383,基础资料!$Q$6:$Q$205,0)),""))</f>
        <v/>
      </c>
      <c r="P383" s="49" t="str">
        <f aca="false">IF($E383="","",IFERROR(INDEX(基础资料!$S$6:$S$205,MATCH($E383,基础资料!$Q$6:$Q$205,0)),""))</f>
        <v/>
      </c>
      <c r="Q383" s="48" t="str">
        <f aca="false">IF(OR($F383="",$G383=""),"",ROUND(N($F383)*N($G383),2))</f>
        <v/>
      </c>
      <c r="R383" s="48" t="str">
        <f aca="false">IF($Q383="","",ROUND(N($Q383)*N($H383),2))</f>
        <v/>
      </c>
      <c r="S383" s="48" t="str">
        <f aca="false">IF($Q383="","",N($Q383)+N($R383))</f>
        <v/>
      </c>
      <c r="T383" s="52" t="str">
        <f aca="false">IF(OR($B383="",$D383=""),"",$B383+N(IFERROR(INDEX(基础资料!$AH$6:$AH$155,MATCH($D383,基础资料!$AF$6:$AF$155,0)),0)))</f>
        <v/>
      </c>
      <c r="U383" s="49" t="str">
        <f aca="false">IF($Q383="","",IF($I383="是","1405",IF($J383="","6602",$J383)))</f>
        <v/>
      </c>
      <c r="V383" s="49" t="str">
        <f aca="false">IF($Q383="","","2202")</f>
        <v/>
      </c>
      <c r="W383" s="48" t="str">
        <f aca="false">IF($Q383="","",$Q383)</f>
        <v/>
      </c>
      <c r="X383" s="49" t="str">
        <f aca="false">IF(N($R383)=0,"","2221")</f>
        <v/>
      </c>
      <c r="Y383" s="49" t="str">
        <f aca="false">IF(N($R383)=0,"","2202")</f>
        <v/>
      </c>
      <c r="Z383" s="48" t="str">
        <f aca="false">IF(N($R383)=0,"",$R383)</f>
        <v/>
      </c>
      <c r="AA383" s="49" t="str">
        <f aca="false">IF(AND($D383=供应商对账单!$B$3,$B383&gt;=供应商对账单!$E$3,$B383&lt;=供应商对账单!$H$3),COUNTIFS($D$5:$D383,供应商对账单!$B$3,$B$5:$B383,"&gt;="&amp;供应商对账单!$E$3,$B$5:$B383,"&lt;="&amp;供应商对账单!$H$3),"")</f>
        <v/>
      </c>
    </row>
    <row r="384" customFormat="false" ht="15.75" hidden="false" customHeight="true" outlineLevel="0" collapsed="false">
      <c r="A384" s="42" t="str">
        <f aca="false">IF($B384="","","CG"&amp;TEXT($B384,"yyyymm")&amp;"-"&amp;TEXT(ROW()-4,"000"))</f>
        <v/>
      </c>
      <c r="B384" s="41"/>
      <c r="C384" s="42" t="str">
        <f aca="false">IF($B384="","",TEXT($B384,"yyyy-mm"))</f>
        <v/>
      </c>
      <c r="D384" s="32"/>
      <c r="E384" s="36"/>
      <c r="F384" s="43"/>
      <c r="G384" s="40"/>
      <c r="H384" s="51"/>
      <c r="I384" s="33"/>
      <c r="J384" s="31"/>
      <c r="K384" s="33"/>
      <c r="L384" s="33"/>
      <c r="M384" s="36"/>
      <c r="N384" s="47" t="str">
        <f aca="false">IF($B384="","",IF(NOT(ISNUMBER($B384)),"日期不是日期格式",IF(YEAR($B384)&lt;&gt;首页!$B$3,"不在会计年度",IF($D384="","未选供应商",IF(ISNA(MATCH($D384,基础资料!$AF$6:$AF$155,0)),"供应商不在档案",IF($E384="","未填商品或内容",IF(NOT(ISNUMBER($F384)),"数量须为数字",IF(NOT(ISNUMBER($G384)),"单价须为数字",IF(N($F384)&lt;=0,"数量须大于0",IF($I384="","请选是否入库",IF(AND($I384="是",ISNA(MATCH($E384,基础资料!$Q$6:$Q$205,0))),"入库商品必须在商品档案中",IF(AND($I384="否",$J384&lt;&gt;"",ISNA(MATCH($J384,科目参数!$A$6:$A$125,0))),"费用科目不存在","√"))))))))))))</f>
        <v/>
      </c>
      <c r="O384" s="49" t="str">
        <f aca="false">IF($E384="","",IFERROR(INDEX(基础资料!$R$6:$R$205,MATCH($E384,基础资料!$Q$6:$Q$205,0)),""))</f>
        <v/>
      </c>
      <c r="P384" s="49" t="str">
        <f aca="false">IF($E384="","",IFERROR(INDEX(基础资料!$S$6:$S$205,MATCH($E384,基础资料!$Q$6:$Q$205,0)),""))</f>
        <v/>
      </c>
      <c r="Q384" s="48" t="str">
        <f aca="false">IF(OR($F384="",$G384=""),"",ROUND(N($F384)*N($G384),2))</f>
        <v/>
      </c>
      <c r="R384" s="48" t="str">
        <f aca="false">IF($Q384="","",ROUND(N($Q384)*N($H384),2))</f>
        <v/>
      </c>
      <c r="S384" s="48" t="str">
        <f aca="false">IF($Q384="","",N($Q384)+N($R384))</f>
        <v/>
      </c>
      <c r="T384" s="52" t="str">
        <f aca="false">IF(OR($B384="",$D384=""),"",$B384+N(IFERROR(INDEX(基础资料!$AH$6:$AH$155,MATCH($D384,基础资料!$AF$6:$AF$155,0)),0)))</f>
        <v/>
      </c>
      <c r="U384" s="49" t="str">
        <f aca="false">IF($Q384="","",IF($I384="是","1405",IF($J384="","6602",$J384)))</f>
        <v/>
      </c>
      <c r="V384" s="49" t="str">
        <f aca="false">IF($Q384="","","2202")</f>
        <v/>
      </c>
      <c r="W384" s="48" t="str">
        <f aca="false">IF($Q384="","",$Q384)</f>
        <v/>
      </c>
      <c r="X384" s="49" t="str">
        <f aca="false">IF(N($R384)=0,"","2221")</f>
        <v/>
      </c>
      <c r="Y384" s="49" t="str">
        <f aca="false">IF(N($R384)=0,"","2202")</f>
        <v/>
      </c>
      <c r="Z384" s="48" t="str">
        <f aca="false">IF(N($R384)=0,"",$R384)</f>
        <v/>
      </c>
      <c r="AA384" s="49" t="str">
        <f aca="false">IF(AND($D384=供应商对账单!$B$3,$B384&gt;=供应商对账单!$E$3,$B384&lt;=供应商对账单!$H$3),COUNTIFS($D$5:$D384,供应商对账单!$B$3,$B$5:$B384,"&gt;="&amp;供应商对账单!$E$3,$B$5:$B384,"&lt;="&amp;供应商对账单!$H$3),"")</f>
        <v/>
      </c>
    </row>
    <row r="385" customFormat="false" ht="15.75" hidden="false" customHeight="true" outlineLevel="0" collapsed="false">
      <c r="A385" s="42" t="str">
        <f aca="false">IF($B385="","","CG"&amp;TEXT($B385,"yyyymm")&amp;"-"&amp;TEXT(ROW()-4,"000"))</f>
        <v/>
      </c>
      <c r="B385" s="41"/>
      <c r="C385" s="42" t="str">
        <f aca="false">IF($B385="","",TEXT($B385,"yyyy-mm"))</f>
        <v/>
      </c>
      <c r="D385" s="32"/>
      <c r="E385" s="36"/>
      <c r="F385" s="43"/>
      <c r="G385" s="40"/>
      <c r="H385" s="51"/>
      <c r="I385" s="33"/>
      <c r="J385" s="31"/>
      <c r="K385" s="33"/>
      <c r="L385" s="33"/>
      <c r="M385" s="36"/>
      <c r="N385" s="47" t="str">
        <f aca="false">IF($B385="","",IF(NOT(ISNUMBER($B385)),"日期不是日期格式",IF(YEAR($B385)&lt;&gt;首页!$B$3,"不在会计年度",IF($D385="","未选供应商",IF(ISNA(MATCH($D385,基础资料!$AF$6:$AF$155,0)),"供应商不在档案",IF($E385="","未填商品或内容",IF(NOT(ISNUMBER($F385)),"数量须为数字",IF(NOT(ISNUMBER($G385)),"单价须为数字",IF(N($F385)&lt;=0,"数量须大于0",IF($I385="","请选是否入库",IF(AND($I385="是",ISNA(MATCH($E385,基础资料!$Q$6:$Q$205,0))),"入库商品必须在商品档案中",IF(AND($I385="否",$J385&lt;&gt;"",ISNA(MATCH($J385,科目参数!$A$6:$A$125,0))),"费用科目不存在","√"))))))))))))</f>
        <v/>
      </c>
      <c r="O385" s="49" t="str">
        <f aca="false">IF($E385="","",IFERROR(INDEX(基础资料!$R$6:$R$205,MATCH($E385,基础资料!$Q$6:$Q$205,0)),""))</f>
        <v/>
      </c>
      <c r="P385" s="49" t="str">
        <f aca="false">IF($E385="","",IFERROR(INDEX(基础资料!$S$6:$S$205,MATCH($E385,基础资料!$Q$6:$Q$205,0)),""))</f>
        <v/>
      </c>
      <c r="Q385" s="48" t="str">
        <f aca="false">IF(OR($F385="",$G385=""),"",ROUND(N($F385)*N($G385),2))</f>
        <v/>
      </c>
      <c r="R385" s="48" t="str">
        <f aca="false">IF($Q385="","",ROUND(N($Q385)*N($H385),2))</f>
        <v/>
      </c>
      <c r="S385" s="48" t="str">
        <f aca="false">IF($Q385="","",N($Q385)+N($R385))</f>
        <v/>
      </c>
      <c r="T385" s="52" t="str">
        <f aca="false">IF(OR($B385="",$D385=""),"",$B385+N(IFERROR(INDEX(基础资料!$AH$6:$AH$155,MATCH($D385,基础资料!$AF$6:$AF$155,0)),0)))</f>
        <v/>
      </c>
      <c r="U385" s="49" t="str">
        <f aca="false">IF($Q385="","",IF($I385="是","1405",IF($J385="","6602",$J385)))</f>
        <v/>
      </c>
      <c r="V385" s="49" t="str">
        <f aca="false">IF($Q385="","","2202")</f>
        <v/>
      </c>
      <c r="W385" s="48" t="str">
        <f aca="false">IF($Q385="","",$Q385)</f>
        <v/>
      </c>
      <c r="X385" s="49" t="str">
        <f aca="false">IF(N($R385)=0,"","2221")</f>
        <v/>
      </c>
      <c r="Y385" s="49" t="str">
        <f aca="false">IF(N($R385)=0,"","2202")</f>
        <v/>
      </c>
      <c r="Z385" s="48" t="str">
        <f aca="false">IF(N($R385)=0,"",$R385)</f>
        <v/>
      </c>
      <c r="AA385" s="49" t="str">
        <f aca="false">IF(AND($D385=供应商对账单!$B$3,$B385&gt;=供应商对账单!$E$3,$B385&lt;=供应商对账单!$H$3),COUNTIFS($D$5:$D385,供应商对账单!$B$3,$B$5:$B385,"&gt;="&amp;供应商对账单!$E$3,$B$5:$B385,"&lt;="&amp;供应商对账单!$H$3),"")</f>
        <v/>
      </c>
    </row>
    <row r="386" customFormat="false" ht="15.75" hidden="false" customHeight="true" outlineLevel="0" collapsed="false">
      <c r="A386" s="42" t="str">
        <f aca="false">IF($B386="","","CG"&amp;TEXT($B386,"yyyymm")&amp;"-"&amp;TEXT(ROW()-4,"000"))</f>
        <v/>
      </c>
      <c r="B386" s="41"/>
      <c r="C386" s="42" t="str">
        <f aca="false">IF($B386="","",TEXT($B386,"yyyy-mm"))</f>
        <v/>
      </c>
      <c r="D386" s="32"/>
      <c r="E386" s="36"/>
      <c r="F386" s="43"/>
      <c r="G386" s="40"/>
      <c r="H386" s="51"/>
      <c r="I386" s="33"/>
      <c r="J386" s="31"/>
      <c r="K386" s="33"/>
      <c r="L386" s="33"/>
      <c r="M386" s="36"/>
      <c r="N386" s="47" t="str">
        <f aca="false">IF($B386="","",IF(NOT(ISNUMBER($B386)),"日期不是日期格式",IF(YEAR($B386)&lt;&gt;首页!$B$3,"不在会计年度",IF($D386="","未选供应商",IF(ISNA(MATCH($D386,基础资料!$AF$6:$AF$155,0)),"供应商不在档案",IF($E386="","未填商品或内容",IF(NOT(ISNUMBER($F386)),"数量须为数字",IF(NOT(ISNUMBER($G386)),"单价须为数字",IF(N($F386)&lt;=0,"数量须大于0",IF($I386="","请选是否入库",IF(AND($I386="是",ISNA(MATCH($E386,基础资料!$Q$6:$Q$205,0))),"入库商品必须在商品档案中",IF(AND($I386="否",$J386&lt;&gt;"",ISNA(MATCH($J386,科目参数!$A$6:$A$125,0))),"费用科目不存在","√"))))))))))))</f>
        <v/>
      </c>
      <c r="O386" s="49" t="str">
        <f aca="false">IF($E386="","",IFERROR(INDEX(基础资料!$R$6:$R$205,MATCH($E386,基础资料!$Q$6:$Q$205,0)),""))</f>
        <v/>
      </c>
      <c r="P386" s="49" t="str">
        <f aca="false">IF($E386="","",IFERROR(INDEX(基础资料!$S$6:$S$205,MATCH($E386,基础资料!$Q$6:$Q$205,0)),""))</f>
        <v/>
      </c>
      <c r="Q386" s="48" t="str">
        <f aca="false">IF(OR($F386="",$G386=""),"",ROUND(N($F386)*N($G386),2))</f>
        <v/>
      </c>
      <c r="R386" s="48" t="str">
        <f aca="false">IF($Q386="","",ROUND(N($Q386)*N($H386),2))</f>
        <v/>
      </c>
      <c r="S386" s="48" t="str">
        <f aca="false">IF($Q386="","",N($Q386)+N($R386))</f>
        <v/>
      </c>
      <c r="T386" s="52" t="str">
        <f aca="false">IF(OR($B386="",$D386=""),"",$B386+N(IFERROR(INDEX(基础资料!$AH$6:$AH$155,MATCH($D386,基础资料!$AF$6:$AF$155,0)),0)))</f>
        <v/>
      </c>
      <c r="U386" s="49" t="str">
        <f aca="false">IF($Q386="","",IF($I386="是","1405",IF($J386="","6602",$J386)))</f>
        <v/>
      </c>
      <c r="V386" s="49" t="str">
        <f aca="false">IF($Q386="","","2202")</f>
        <v/>
      </c>
      <c r="W386" s="48" t="str">
        <f aca="false">IF($Q386="","",$Q386)</f>
        <v/>
      </c>
      <c r="X386" s="49" t="str">
        <f aca="false">IF(N($R386)=0,"","2221")</f>
        <v/>
      </c>
      <c r="Y386" s="49" t="str">
        <f aca="false">IF(N($R386)=0,"","2202")</f>
        <v/>
      </c>
      <c r="Z386" s="48" t="str">
        <f aca="false">IF(N($R386)=0,"",$R386)</f>
        <v/>
      </c>
      <c r="AA386" s="49" t="str">
        <f aca="false">IF(AND($D386=供应商对账单!$B$3,$B386&gt;=供应商对账单!$E$3,$B386&lt;=供应商对账单!$H$3),COUNTIFS($D$5:$D386,供应商对账单!$B$3,$B$5:$B386,"&gt;="&amp;供应商对账单!$E$3,$B$5:$B386,"&lt;="&amp;供应商对账单!$H$3),"")</f>
        <v/>
      </c>
    </row>
    <row r="387" customFormat="false" ht="15.75" hidden="false" customHeight="true" outlineLevel="0" collapsed="false">
      <c r="A387" s="42" t="str">
        <f aca="false">IF($B387="","","CG"&amp;TEXT($B387,"yyyymm")&amp;"-"&amp;TEXT(ROW()-4,"000"))</f>
        <v/>
      </c>
      <c r="B387" s="41"/>
      <c r="C387" s="42" t="str">
        <f aca="false">IF($B387="","",TEXT($B387,"yyyy-mm"))</f>
        <v/>
      </c>
      <c r="D387" s="32"/>
      <c r="E387" s="36"/>
      <c r="F387" s="43"/>
      <c r="G387" s="40"/>
      <c r="H387" s="51"/>
      <c r="I387" s="33"/>
      <c r="J387" s="31"/>
      <c r="K387" s="33"/>
      <c r="L387" s="33"/>
      <c r="M387" s="36"/>
      <c r="N387" s="47" t="str">
        <f aca="false">IF($B387="","",IF(NOT(ISNUMBER($B387)),"日期不是日期格式",IF(YEAR($B387)&lt;&gt;首页!$B$3,"不在会计年度",IF($D387="","未选供应商",IF(ISNA(MATCH($D387,基础资料!$AF$6:$AF$155,0)),"供应商不在档案",IF($E387="","未填商品或内容",IF(NOT(ISNUMBER($F387)),"数量须为数字",IF(NOT(ISNUMBER($G387)),"单价须为数字",IF(N($F387)&lt;=0,"数量须大于0",IF($I387="","请选是否入库",IF(AND($I387="是",ISNA(MATCH($E387,基础资料!$Q$6:$Q$205,0))),"入库商品必须在商品档案中",IF(AND($I387="否",$J387&lt;&gt;"",ISNA(MATCH($J387,科目参数!$A$6:$A$125,0))),"费用科目不存在","√"))))))))))))</f>
        <v/>
      </c>
      <c r="O387" s="49" t="str">
        <f aca="false">IF($E387="","",IFERROR(INDEX(基础资料!$R$6:$R$205,MATCH($E387,基础资料!$Q$6:$Q$205,0)),""))</f>
        <v/>
      </c>
      <c r="P387" s="49" t="str">
        <f aca="false">IF($E387="","",IFERROR(INDEX(基础资料!$S$6:$S$205,MATCH($E387,基础资料!$Q$6:$Q$205,0)),""))</f>
        <v/>
      </c>
      <c r="Q387" s="48" t="str">
        <f aca="false">IF(OR($F387="",$G387=""),"",ROUND(N($F387)*N($G387),2))</f>
        <v/>
      </c>
      <c r="R387" s="48" t="str">
        <f aca="false">IF($Q387="","",ROUND(N($Q387)*N($H387),2))</f>
        <v/>
      </c>
      <c r="S387" s="48" t="str">
        <f aca="false">IF($Q387="","",N($Q387)+N($R387))</f>
        <v/>
      </c>
      <c r="T387" s="52" t="str">
        <f aca="false">IF(OR($B387="",$D387=""),"",$B387+N(IFERROR(INDEX(基础资料!$AH$6:$AH$155,MATCH($D387,基础资料!$AF$6:$AF$155,0)),0)))</f>
        <v/>
      </c>
      <c r="U387" s="49" t="str">
        <f aca="false">IF($Q387="","",IF($I387="是","1405",IF($J387="","6602",$J387)))</f>
        <v/>
      </c>
      <c r="V387" s="49" t="str">
        <f aca="false">IF($Q387="","","2202")</f>
        <v/>
      </c>
      <c r="W387" s="48" t="str">
        <f aca="false">IF($Q387="","",$Q387)</f>
        <v/>
      </c>
      <c r="X387" s="49" t="str">
        <f aca="false">IF(N($R387)=0,"","2221")</f>
        <v/>
      </c>
      <c r="Y387" s="49" t="str">
        <f aca="false">IF(N($R387)=0,"","2202")</f>
        <v/>
      </c>
      <c r="Z387" s="48" t="str">
        <f aca="false">IF(N($R387)=0,"",$R387)</f>
        <v/>
      </c>
      <c r="AA387" s="49" t="str">
        <f aca="false">IF(AND($D387=供应商对账单!$B$3,$B387&gt;=供应商对账单!$E$3,$B387&lt;=供应商对账单!$H$3),COUNTIFS($D$5:$D387,供应商对账单!$B$3,$B$5:$B387,"&gt;="&amp;供应商对账单!$E$3,$B$5:$B387,"&lt;="&amp;供应商对账单!$H$3),"")</f>
        <v/>
      </c>
    </row>
    <row r="388" customFormat="false" ht="15.75" hidden="false" customHeight="true" outlineLevel="0" collapsed="false">
      <c r="A388" s="42" t="str">
        <f aca="false">IF($B388="","","CG"&amp;TEXT($B388,"yyyymm")&amp;"-"&amp;TEXT(ROW()-4,"000"))</f>
        <v/>
      </c>
      <c r="B388" s="41"/>
      <c r="C388" s="42" t="str">
        <f aca="false">IF($B388="","",TEXT($B388,"yyyy-mm"))</f>
        <v/>
      </c>
      <c r="D388" s="32"/>
      <c r="E388" s="36"/>
      <c r="F388" s="43"/>
      <c r="G388" s="40"/>
      <c r="H388" s="51"/>
      <c r="I388" s="33"/>
      <c r="J388" s="31"/>
      <c r="K388" s="33"/>
      <c r="L388" s="33"/>
      <c r="M388" s="36"/>
      <c r="N388" s="47" t="str">
        <f aca="false">IF($B388="","",IF(NOT(ISNUMBER($B388)),"日期不是日期格式",IF(YEAR($B388)&lt;&gt;首页!$B$3,"不在会计年度",IF($D388="","未选供应商",IF(ISNA(MATCH($D388,基础资料!$AF$6:$AF$155,0)),"供应商不在档案",IF($E388="","未填商品或内容",IF(NOT(ISNUMBER($F388)),"数量须为数字",IF(NOT(ISNUMBER($G388)),"单价须为数字",IF(N($F388)&lt;=0,"数量须大于0",IF($I388="","请选是否入库",IF(AND($I388="是",ISNA(MATCH($E388,基础资料!$Q$6:$Q$205,0))),"入库商品必须在商品档案中",IF(AND($I388="否",$J388&lt;&gt;"",ISNA(MATCH($J388,科目参数!$A$6:$A$125,0))),"费用科目不存在","√"))))))))))))</f>
        <v/>
      </c>
      <c r="O388" s="49" t="str">
        <f aca="false">IF($E388="","",IFERROR(INDEX(基础资料!$R$6:$R$205,MATCH($E388,基础资料!$Q$6:$Q$205,0)),""))</f>
        <v/>
      </c>
      <c r="P388" s="49" t="str">
        <f aca="false">IF($E388="","",IFERROR(INDEX(基础资料!$S$6:$S$205,MATCH($E388,基础资料!$Q$6:$Q$205,0)),""))</f>
        <v/>
      </c>
      <c r="Q388" s="48" t="str">
        <f aca="false">IF(OR($F388="",$G388=""),"",ROUND(N($F388)*N($G388),2))</f>
        <v/>
      </c>
      <c r="R388" s="48" t="str">
        <f aca="false">IF($Q388="","",ROUND(N($Q388)*N($H388),2))</f>
        <v/>
      </c>
      <c r="S388" s="48" t="str">
        <f aca="false">IF($Q388="","",N($Q388)+N($R388))</f>
        <v/>
      </c>
      <c r="T388" s="52" t="str">
        <f aca="false">IF(OR($B388="",$D388=""),"",$B388+N(IFERROR(INDEX(基础资料!$AH$6:$AH$155,MATCH($D388,基础资料!$AF$6:$AF$155,0)),0)))</f>
        <v/>
      </c>
      <c r="U388" s="49" t="str">
        <f aca="false">IF($Q388="","",IF($I388="是","1405",IF($J388="","6602",$J388)))</f>
        <v/>
      </c>
      <c r="V388" s="49" t="str">
        <f aca="false">IF($Q388="","","2202")</f>
        <v/>
      </c>
      <c r="W388" s="48" t="str">
        <f aca="false">IF($Q388="","",$Q388)</f>
        <v/>
      </c>
      <c r="X388" s="49" t="str">
        <f aca="false">IF(N($R388)=0,"","2221")</f>
        <v/>
      </c>
      <c r="Y388" s="49" t="str">
        <f aca="false">IF(N($R388)=0,"","2202")</f>
        <v/>
      </c>
      <c r="Z388" s="48" t="str">
        <f aca="false">IF(N($R388)=0,"",$R388)</f>
        <v/>
      </c>
      <c r="AA388" s="49" t="str">
        <f aca="false">IF(AND($D388=供应商对账单!$B$3,$B388&gt;=供应商对账单!$E$3,$B388&lt;=供应商对账单!$H$3),COUNTIFS($D$5:$D388,供应商对账单!$B$3,$B$5:$B388,"&gt;="&amp;供应商对账单!$E$3,$B$5:$B388,"&lt;="&amp;供应商对账单!$H$3),"")</f>
        <v/>
      </c>
    </row>
    <row r="389" customFormat="false" ht="15.75" hidden="false" customHeight="true" outlineLevel="0" collapsed="false">
      <c r="A389" s="42" t="str">
        <f aca="false">IF($B389="","","CG"&amp;TEXT($B389,"yyyymm")&amp;"-"&amp;TEXT(ROW()-4,"000"))</f>
        <v/>
      </c>
      <c r="B389" s="41"/>
      <c r="C389" s="42" t="str">
        <f aca="false">IF($B389="","",TEXT($B389,"yyyy-mm"))</f>
        <v/>
      </c>
      <c r="D389" s="32"/>
      <c r="E389" s="36"/>
      <c r="F389" s="43"/>
      <c r="G389" s="40"/>
      <c r="H389" s="51"/>
      <c r="I389" s="33"/>
      <c r="J389" s="31"/>
      <c r="K389" s="33"/>
      <c r="L389" s="33"/>
      <c r="M389" s="36"/>
      <c r="N389" s="47" t="str">
        <f aca="false">IF($B389="","",IF(NOT(ISNUMBER($B389)),"日期不是日期格式",IF(YEAR($B389)&lt;&gt;首页!$B$3,"不在会计年度",IF($D389="","未选供应商",IF(ISNA(MATCH($D389,基础资料!$AF$6:$AF$155,0)),"供应商不在档案",IF($E389="","未填商品或内容",IF(NOT(ISNUMBER($F389)),"数量须为数字",IF(NOT(ISNUMBER($G389)),"单价须为数字",IF(N($F389)&lt;=0,"数量须大于0",IF($I389="","请选是否入库",IF(AND($I389="是",ISNA(MATCH($E389,基础资料!$Q$6:$Q$205,0))),"入库商品必须在商品档案中",IF(AND($I389="否",$J389&lt;&gt;"",ISNA(MATCH($J389,科目参数!$A$6:$A$125,0))),"费用科目不存在","√"))))))))))))</f>
        <v/>
      </c>
      <c r="O389" s="49" t="str">
        <f aca="false">IF($E389="","",IFERROR(INDEX(基础资料!$R$6:$R$205,MATCH($E389,基础资料!$Q$6:$Q$205,0)),""))</f>
        <v/>
      </c>
      <c r="P389" s="49" t="str">
        <f aca="false">IF($E389="","",IFERROR(INDEX(基础资料!$S$6:$S$205,MATCH($E389,基础资料!$Q$6:$Q$205,0)),""))</f>
        <v/>
      </c>
      <c r="Q389" s="48" t="str">
        <f aca="false">IF(OR($F389="",$G389=""),"",ROUND(N($F389)*N($G389),2))</f>
        <v/>
      </c>
      <c r="R389" s="48" t="str">
        <f aca="false">IF($Q389="","",ROUND(N($Q389)*N($H389),2))</f>
        <v/>
      </c>
      <c r="S389" s="48" t="str">
        <f aca="false">IF($Q389="","",N($Q389)+N($R389))</f>
        <v/>
      </c>
      <c r="T389" s="52" t="str">
        <f aca="false">IF(OR($B389="",$D389=""),"",$B389+N(IFERROR(INDEX(基础资料!$AH$6:$AH$155,MATCH($D389,基础资料!$AF$6:$AF$155,0)),0)))</f>
        <v/>
      </c>
      <c r="U389" s="49" t="str">
        <f aca="false">IF($Q389="","",IF($I389="是","1405",IF($J389="","6602",$J389)))</f>
        <v/>
      </c>
      <c r="V389" s="49" t="str">
        <f aca="false">IF($Q389="","","2202")</f>
        <v/>
      </c>
      <c r="W389" s="48" t="str">
        <f aca="false">IF($Q389="","",$Q389)</f>
        <v/>
      </c>
      <c r="X389" s="49" t="str">
        <f aca="false">IF(N($R389)=0,"","2221")</f>
        <v/>
      </c>
      <c r="Y389" s="49" t="str">
        <f aca="false">IF(N($R389)=0,"","2202")</f>
        <v/>
      </c>
      <c r="Z389" s="48" t="str">
        <f aca="false">IF(N($R389)=0,"",$R389)</f>
        <v/>
      </c>
      <c r="AA389" s="49" t="str">
        <f aca="false">IF(AND($D389=供应商对账单!$B$3,$B389&gt;=供应商对账单!$E$3,$B389&lt;=供应商对账单!$H$3),COUNTIFS($D$5:$D389,供应商对账单!$B$3,$B$5:$B389,"&gt;="&amp;供应商对账单!$E$3,$B$5:$B389,"&lt;="&amp;供应商对账单!$H$3),"")</f>
        <v/>
      </c>
    </row>
    <row r="390" customFormat="false" ht="15.75" hidden="false" customHeight="true" outlineLevel="0" collapsed="false">
      <c r="A390" s="42" t="str">
        <f aca="false">IF($B390="","","CG"&amp;TEXT($B390,"yyyymm")&amp;"-"&amp;TEXT(ROW()-4,"000"))</f>
        <v/>
      </c>
      <c r="B390" s="41"/>
      <c r="C390" s="42" t="str">
        <f aca="false">IF($B390="","",TEXT($B390,"yyyy-mm"))</f>
        <v/>
      </c>
      <c r="D390" s="32"/>
      <c r="E390" s="36"/>
      <c r="F390" s="43"/>
      <c r="G390" s="40"/>
      <c r="H390" s="51"/>
      <c r="I390" s="33"/>
      <c r="J390" s="31"/>
      <c r="K390" s="33"/>
      <c r="L390" s="33"/>
      <c r="M390" s="36"/>
      <c r="N390" s="47" t="str">
        <f aca="false">IF($B390="","",IF(NOT(ISNUMBER($B390)),"日期不是日期格式",IF(YEAR($B390)&lt;&gt;首页!$B$3,"不在会计年度",IF($D390="","未选供应商",IF(ISNA(MATCH($D390,基础资料!$AF$6:$AF$155,0)),"供应商不在档案",IF($E390="","未填商品或内容",IF(NOT(ISNUMBER($F390)),"数量须为数字",IF(NOT(ISNUMBER($G390)),"单价须为数字",IF(N($F390)&lt;=0,"数量须大于0",IF($I390="","请选是否入库",IF(AND($I390="是",ISNA(MATCH($E390,基础资料!$Q$6:$Q$205,0))),"入库商品必须在商品档案中",IF(AND($I390="否",$J390&lt;&gt;"",ISNA(MATCH($J390,科目参数!$A$6:$A$125,0))),"费用科目不存在","√"))))))))))))</f>
        <v/>
      </c>
      <c r="O390" s="49" t="str">
        <f aca="false">IF($E390="","",IFERROR(INDEX(基础资料!$R$6:$R$205,MATCH($E390,基础资料!$Q$6:$Q$205,0)),""))</f>
        <v/>
      </c>
      <c r="P390" s="49" t="str">
        <f aca="false">IF($E390="","",IFERROR(INDEX(基础资料!$S$6:$S$205,MATCH($E390,基础资料!$Q$6:$Q$205,0)),""))</f>
        <v/>
      </c>
      <c r="Q390" s="48" t="str">
        <f aca="false">IF(OR($F390="",$G390=""),"",ROUND(N($F390)*N($G390),2))</f>
        <v/>
      </c>
      <c r="R390" s="48" t="str">
        <f aca="false">IF($Q390="","",ROUND(N($Q390)*N($H390),2))</f>
        <v/>
      </c>
      <c r="S390" s="48" t="str">
        <f aca="false">IF($Q390="","",N($Q390)+N($R390))</f>
        <v/>
      </c>
      <c r="T390" s="52" t="str">
        <f aca="false">IF(OR($B390="",$D390=""),"",$B390+N(IFERROR(INDEX(基础资料!$AH$6:$AH$155,MATCH($D390,基础资料!$AF$6:$AF$155,0)),0)))</f>
        <v/>
      </c>
      <c r="U390" s="49" t="str">
        <f aca="false">IF($Q390="","",IF($I390="是","1405",IF($J390="","6602",$J390)))</f>
        <v/>
      </c>
      <c r="V390" s="49" t="str">
        <f aca="false">IF($Q390="","","2202")</f>
        <v/>
      </c>
      <c r="W390" s="48" t="str">
        <f aca="false">IF($Q390="","",$Q390)</f>
        <v/>
      </c>
      <c r="X390" s="49" t="str">
        <f aca="false">IF(N($R390)=0,"","2221")</f>
        <v/>
      </c>
      <c r="Y390" s="49" t="str">
        <f aca="false">IF(N($R390)=0,"","2202")</f>
        <v/>
      </c>
      <c r="Z390" s="48" t="str">
        <f aca="false">IF(N($R390)=0,"",$R390)</f>
        <v/>
      </c>
      <c r="AA390" s="49" t="str">
        <f aca="false">IF(AND($D390=供应商对账单!$B$3,$B390&gt;=供应商对账单!$E$3,$B390&lt;=供应商对账单!$H$3),COUNTIFS($D$5:$D390,供应商对账单!$B$3,$B$5:$B390,"&gt;="&amp;供应商对账单!$E$3,$B$5:$B390,"&lt;="&amp;供应商对账单!$H$3),"")</f>
        <v/>
      </c>
    </row>
    <row r="391" customFormat="false" ht="15.75" hidden="false" customHeight="true" outlineLevel="0" collapsed="false">
      <c r="A391" s="42" t="str">
        <f aca="false">IF($B391="","","CG"&amp;TEXT($B391,"yyyymm")&amp;"-"&amp;TEXT(ROW()-4,"000"))</f>
        <v/>
      </c>
      <c r="B391" s="41"/>
      <c r="C391" s="42" t="str">
        <f aca="false">IF($B391="","",TEXT($B391,"yyyy-mm"))</f>
        <v/>
      </c>
      <c r="D391" s="32"/>
      <c r="E391" s="36"/>
      <c r="F391" s="43"/>
      <c r="G391" s="40"/>
      <c r="H391" s="51"/>
      <c r="I391" s="33"/>
      <c r="J391" s="31"/>
      <c r="K391" s="33"/>
      <c r="L391" s="33"/>
      <c r="M391" s="36"/>
      <c r="N391" s="47" t="str">
        <f aca="false">IF($B391="","",IF(NOT(ISNUMBER($B391)),"日期不是日期格式",IF(YEAR($B391)&lt;&gt;首页!$B$3,"不在会计年度",IF($D391="","未选供应商",IF(ISNA(MATCH($D391,基础资料!$AF$6:$AF$155,0)),"供应商不在档案",IF($E391="","未填商品或内容",IF(NOT(ISNUMBER($F391)),"数量须为数字",IF(NOT(ISNUMBER($G391)),"单价须为数字",IF(N($F391)&lt;=0,"数量须大于0",IF($I391="","请选是否入库",IF(AND($I391="是",ISNA(MATCH($E391,基础资料!$Q$6:$Q$205,0))),"入库商品必须在商品档案中",IF(AND($I391="否",$J391&lt;&gt;"",ISNA(MATCH($J391,科目参数!$A$6:$A$125,0))),"费用科目不存在","√"))))))))))))</f>
        <v/>
      </c>
      <c r="O391" s="49" t="str">
        <f aca="false">IF($E391="","",IFERROR(INDEX(基础资料!$R$6:$R$205,MATCH($E391,基础资料!$Q$6:$Q$205,0)),""))</f>
        <v/>
      </c>
      <c r="P391" s="49" t="str">
        <f aca="false">IF($E391="","",IFERROR(INDEX(基础资料!$S$6:$S$205,MATCH($E391,基础资料!$Q$6:$Q$205,0)),""))</f>
        <v/>
      </c>
      <c r="Q391" s="48" t="str">
        <f aca="false">IF(OR($F391="",$G391=""),"",ROUND(N($F391)*N($G391),2))</f>
        <v/>
      </c>
      <c r="R391" s="48" t="str">
        <f aca="false">IF($Q391="","",ROUND(N($Q391)*N($H391),2))</f>
        <v/>
      </c>
      <c r="S391" s="48" t="str">
        <f aca="false">IF($Q391="","",N($Q391)+N($R391))</f>
        <v/>
      </c>
      <c r="T391" s="52" t="str">
        <f aca="false">IF(OR($B391="",$D391=""),"",$B391+N(IFERROR(INDEX(基础资料!$AH$6:$AH$155,MATCH($D391,基础资料!$AF$6:$AF$155,0)),0)))</f>
        <v/>
      </c>
      <c r="U391" s="49" t="str">
        <f aca="false">IF($Q391="","",IF($I391="是","1405",IF($J391="","6602",$J391)))</f>
        <v/>
      </c>
      <c r="V391" s="49" t="str">
        <f aca="false">IF($Q391="","","2202")</f>
        <v/>
      </c>
      <c r="W391" s="48" t="str">
        <f aca="false">IF($Q391="","",$Q391)</f>
        <v/>
      </c>
      <c r="X391" s="49" t="str">
        <f aca="false">IF(N($R391)=0,"","2221")</f>
        <v/>
      </c>
      <c r="Y391" s="49" t="str">
        <f aca="false">IF(N($R391)=0,"","2202")</f>
        <v/>
      </c>
      <c r="Z391" s="48" t="str">
        <f aca="false">IF(N($R391)=0,"",$R391)</f>
        <v/>
      </c>
      <c r="AA391" s="49" t="str">
        <f aca="false">IF(AND($D391=供应商对账单!$B$3,$B391&gt;=供应商对账单!$E$3,$B391&lt;=供应商对账单!$H$3),COUNTIFS($D$5:$D391,供应商对账单!$B$3,$B$5:$B391,"&gt;="&amp;供应商对账单!$E$3,$B$5:$B391,"&lt;="&amp;供应商对账单!$H$3),"")</f>
        <v/>
      </c>
    </row>
    <row r="392" customFormat="false" ht="15.75" hidden="false" customHeight="true" outlineLevel="0" collapsed="false">
      <c r="A392" s="42" t="str">
        <f aca="false">IF($B392="","","CG"&amp;TEXT($B392,"yyyymm")&amp;"-"&amp;TEXT(ROW()-4,"000"))</f>
        <v/>
      </c>
      <c r="B392" s="41"/>
      <c r="C392" s="42" t="str">
        <f aca="false">IF($B392="","",TEXT($B392,"yyyy-mm"))</f>
        <v/>
      </c>
      <c r="D392" s="32"/>
      <c r="E392" s="36"/>
      <c r="F392" s="43"/>
      <c r="G392" s="40"/>
      <c r="H392" s="51"/>
      <c r="I392" s="33"/>
      <c r="J392" s="31"/>
      <c r="K392" s="33"/>
      <c r="L392" s="33"/>
      <c r="M392" s="36"/>
      <c r="N392" s="47" t="str">
        <f aca="false">IF($B392="","",IF(NOT(ISNUMBER($B392)),"日期不是日期格式",IF(YEAR($B392)&lt;&gt;首页!$B$3,"不在会计年度",IF($D392="","未选供应商",IF(ISNA(MATCH($D392,基础资料!$AF$6:$AF$155,0)),"供应商不在档案",IF($E392="","未填商品或内容",IF(NOT(ISNUMBER($F392)),"数量须为数字",IF(NOT(ISNUMBER($G392)),"单价须为数字",IF(N($F392)&lt;=0,"数量须大于0",IF($I392="","请选是否入库",IF(AND($I392="是",ISNA(MATCH($E392,基础资料!$Q$6:$Q$205,0))),"入库商品必须在商品档案中",IF(AND($I392="否",$J392&lt;&gt;"",ISNA(MATCH($J392,科目参数!$A$6:$A$125,0))),"费用科目不存在","√"))))))))))))</f>
        <v/>
      </c>
      <c r="O392" s="49" t="str">
        <f aca="false">IF($E392="","",IFERROR(INDEX(基础资料!$R$6:$R$205,MATCH($E392,基础资料!$Q$6:$Q$205,0)),""))</f>
        <v/>
      </c>
      <c r="P392" s="49" t="str">
        <f aca="false">IF($E392="","",IFERROR(INDEX(基础资料!$S$6:$S$205,MATCH($E392,基础资料!$Q$6:$Q$205,0)),""))</f>
        <v/>
      </c>
      <c r="Q392" s="48" t="str">
        <f aca="false">IF(OR($F392="",$G392=""),"",ROUND(N($F392)*N($G392),2))</f>
        <v/>
      </c>
      <c r="R392" s="48" t="str">
        <f aca="false">IF($Q392="","",ROUND(N($Q392)*N($H392),2))</f>
        <v/>
      </c>
      <c r="S392" s="48" t="str">
        <f aca="false">IF($Q392="","",N($Q392)+N($R392))</f>
        <v/>
      </c>
      <c r="T392" s="52" t="str">
        <f aca="false">IF(OR($B392="",$D392=""),"",$B392+N(IFERROR(INDEX(基础资料!$AH$6:$AH$155,MATCH($D392,基础资料!$AF$6:$AF$155,0)),0)))</f>
        <v/>
      </c>
      <c r="U392" s="49" t="str">
        <f aca="false">IF($Q392="","",IF($I392="是","1405",IF($J392="","6602",$J392)))</f>
        <v/>
      </c>
      <c r="V392" s="49" t="str">
        <f aca="false">IF($Q392="","","2202")</f>
        <v/>
      </c>
      <c r="W392" s="48" t="str">
        <f aca="false">IF($Q392="","",$Q392)</f>
        <v/>
      </c>
      <c r="X392" s="49" t="str">
        <f aca="false">IF(N($R392)=0,"","2221")</f>
        <v/>
      </c>
      <c r="Y392" s="49" t="str">
        <f aca="false">IF(N($R392)=0,"","2202")</f>
        <v/>
      </c>
      <c r="Z392" s="48" t="str">
        <f aca="false">IF(N($R392)=0,"",$R392)</f>
        <v/>
      </c>
      <c r="AA392" s="49" t="str">
        <f aca="false">IF(AND($D392=供应商对账单!$B$3,$B392&gt;=供应商对账单!$E$3,$B392&lt;=供应商对账单!$H$3),COUNTIFS($D$5:$D392,供应商对账单!$B$3,$B$5:$B392,"&gt;="&amp;供应商对账单!$E$3,$B$5:$B392,"&lt;="&amp;供应商对账单!$H$3),"")</f>
        <v/>
      </c>
    </row>
    <row r="393" customFormat="false" ht="15.75" hidden="false" customHeight="true" outlineLevel="0" collapsed="false">
      <c r="A393" s="42" t="str">
        <f aca="false">IF($B393="","","CG"&amp;TEXT($B393,"yyyymm")&amp;"-"&amp;TEXT(ROW()-4,"000"))</f>
        <v/>
      </c>
      <c r="B393" s="41"/>
      <c r="C393" s="42" t="str">
        <f aca="false">IF($B393="","",TEXT($B393,"yyyy-mm"))</f>
        <v/>
      </c>
      <c r="D393" s="32"/>
      <c r="E393" s="36"/>
      <c r="F393" s="43"/>
      <c r="G393" s="40"/>
      <c r="H393" s="51"/>
      <c r="I393" s="33"/>
      <c r="J393" s="31"/>
      <c r="K393" s="33"/>
      <c r="L393" s="33"/>
      <c r="M393" s="36"/>
      <c r="N393" s="47" t="str">
        <f aca="false">IF($B393="","",IF(NOT(ISNUMBER($B393)),"日期不是日期格式",IF(YEAR($B393)&lt;&gt;首页!$B$3,"不在会计年度",IF($D393="","未选供应商",IF(ISNA(MATCH($D393,基础资料!$AF$6:$AF$155,0)),"供应商不在档案",IF($E393="","未填商品或内容",IF(NOT(ISNUMBER($F393)),"数量须为数字",IF(NOT(ISNUMBER($G393)),"单价须为数字",IF(N($F393)&lt;=0,"数量须大于0",IF($I393="","请选是否入库",IF(AND($I393="是",ISNA(MATCH($E393,基础资料!$Q$6:$Q$205,0))),"入库商品必须在商品档案中",IF(AND($I393="否",$J393&lt;&gt;"",ISNA(MATCH($J393,科目参数!$A$6:$A$125,0))),"费用科目不存在","√"))))))))))))</f>
        <v/>
      </c>
      <c r="O393" s="49" t="str">
        <f aca="false">IF($E393="","",IFERROR(INDEX(基础资料!$R$6:$R$205,MATCH($E393,基础资料!$Q$6:$Q$205,0)),""))</f>
        <v/>
      </c>
      <c r="P393" s="49" t="str">
        <f aca="false">IF($E393="","",IFERROR(INDEX(基础资料!$S$6:$S$205,MATCH($E393,基础资料!$Q$6:$Q$205,0)),""))</f>
        <v/>
      </c>
      <c r="Q393" s="48" t="str">
        <f aca="false">IF(OR($F393="",$G393=""),"",ROUND(N($F393)*N($G393),2))</f>
        <v/>
      </c>
      <c r="R393" s="48" t="str">
        <f aca="false">IF($Q393="","",ROUND(N($Q393)*N($H393),2))</f>
        <v/>
      </c>
      <c r="S393" s="48" t="str">
        <f aca="false">IF($Q393="","",N($Q393)+N($R393))</f>
        <v/>
      </c>
      <c r="T393" s="52" t="str">
        <f aca="false">IF(OR($B393="",$D393=""),"",$B393+N(IFERROR(INDEX(基础资料!$AH$6:$AH$155,MATCH($D393,基础资料!$AF$6:$AF$155,0)),0)))</f>
        <v/>
      </c>
      <c r="U393" s="49" t="str">
        <f aca="false">IF($Q393="","",IF($I393="是","1405",IF($J393="","6602",$J393)))</f>
        <v/>
      </c>
      <c r="V393" s="49" t="str">
        <f aca="false">IF($Q393="","","2202")</f>
        <v/>
      </c>
      <c r="W393" s="48" t="str">
        <f aca="false">IF($Q393="","",$Q393)</f>
        <v/>
      </c>
      <c r="X393" s="49" t="str">
        <f aca="false">IF(N($R393)=0,"","2221")</f>
        <v/>
      </c>
      <c r="Y393" s="49" t="str">
        <f aca="false">IF(N($R393)=0,"","2202")</f>
        <v/>
      </c>
      <c r="Z393" s="48" t="str">
        <f aca="false">IF(N($R393)=0,"",$R393)</f>
        <v/>
      </c>
      <c r="AA393" s="49" t="str">
        <f aca="false">IF(AND($D393=供应商对账单!$B$3,$B393&gt;=供应商对账单!$E$3,$B393&lt;=供应商对账单!$H$3),COUNTIFS($D$5:$D393,供应商对账单!$B$3,$B$5:$B393,"&gt;="&amp;供应商对账单!$E$3,$B$5:$B393,"&lt;="&amp;供应商对账单!$H$3),"")</f>
        <v/>
      </c>
    </row>
    <row r="394" customFormat="false" ht="15.75" hidden="false" customHeight="true" outlineLevel="0" collapsed="false">
      <c r="A394" s="42" t="str">
        <f aca="false">IF($B394="","","CG"&amp;TEXT($B394,"yyyymm")&amp;"-"&amp;TEXT(ROW()-4,"000"))</f>
        <v/>
      </c>
      <c r="B394" s="41"/>
      <c r="C394" s="42" t="str">
        <f aca="false">IF($B394="","",TEXT($B394,"yyyy-mm"))</f>
        <v/>
      </c>
      <c r="D394" s="32"/>
      <c r="E394" s="36"/>
      <c r="F394" s="43"/>
      <c r="G394" s="40"/>
      <c r="H394" s="51"/>
      <c r="I394" s="33"/>
      <c r="J394" s="31"/>
      <c r="K394" s="33"/>
      <c r="L394" s="33"/>
      <c r="M394" s="36"/>
      <c r="N394" s="47" t="str">
        <f aca="false">IF($B394="","",IF(NOT(ISNUMBER($B394)),"日期不是日期格式",IF(YEAR($B394)&lt;&gt;首页!$B$3,"不在会计年度",IF($D394="","未选供应商",IF(ISNA(MATCH($D394,基础资料!$AF$6:$AF$155,0)),"供应商不在档案",IF($E394="","未填商品或内容",IF(NOT(ISNUMBER($F394)),"数量须为数字",IF(NOT(ISNUMBER($G394)),"单价须为数字",IF(N($F394)&lt;=0,"数量须大于0",IF($I394="","请选是否入库",IF(AND($I394="是",ISNA(MATCH($E394,基础资料!$Q$6:$Q$205,0))),"入库商品必须在商品档案中",IF(AND($I394="否",$J394&lt;&gt;"",ISNA(MATCH($J394,科目参数!$A$6:$A$125,0))),"费用科目不存在","√"))))))))))))</f>
        <v/>
      </c>
      <c r="O394" s="49" t="str">
        <f aca="false">IF($E394="","",IFERROR(INDEX(基础资料!$R$6:$R$205,MATCH($E394,基础资料!$Q$6:$Q$205,0)),""))</f>
        <v/>
      </c>
      <c r="P394" s="49" t="str">
        <f aca="false">IF($E394="","",IFERROR(INDEX(基础资料!$S$6:$S$205,MATCH($E394,基础资料!$Q$6:$Q$205,0)),""))</f>
        <v/>
      </c>
      <c r="Q394" s="48" t="str">
        <f aca="false">IF(OR($F394="",$G394=""),"",ROUND(N($F394)*N($G394),2))</f>
        <v/>
      </c>
      <c r="R394" s="48" t="str">
        <f aca="false">IF($Q394="","",ROUND(N($Q394)*N($H394),2))</f>
        <v/>
      </c>
      <c r="S394" s="48" t="str">
        <f aca="false">IF($Q394="","",N($Q394)+N($R394))</f>
        <v/>
      </c>
      <c r="T394" s="52" t="str">
        <f aca="false">IF(OR($B394="",$D394=""),"",$B394+N(IFERROR(INDEX(基础资料!$AH$6:$AH$155,MATCH($D394,基础资料!$AF$6:$AF$155,0)),0)))</f>
        <v/>
      </c>
      <c r="U394" s="49" t="str">
        <f aca="false">IF($Q394="","",IF($I394="是","1405",IF($J394="","6602",$J394)))</f>
        <v/>
      </c>
      <c r="V394" s="49" t="str">
        <f aca="false">IF($Q394="","","2202")</f>
        <v/>
      </c>
      <c r="W394" s="48" t="str">
        <f aca="false">IF($Q394="","",$Q394)</f>
        <v/>
      </c>
      <c r="X394" s="49" t="str">
        <f aca="false">IF(N($R394)=0,"","2221")</f>
        <v/>
      </c>
      <c r="Y394" s="49" t="str">
        <f aca="false">IF(N($R394)=0,"","2202")</f>
        <v/>
      </c>
      <c r="Z394" s="48" t="str">
        <f aca="false">IF(N($R394)=0,"",$R394)</f>
        <v/>
      </c>
      <c r="AA394" s="49" t="str">
        <f aca="false">IF(AND($D394=供应商对账单!$B$3,$B394&gt;=供应商对账单!$E$3,$B394&lt;=供应商对账单!$H$3),COUNTIFS($D$5:$D394,供应商对账单!$B$3,$B$5:$B394,"&gt;="&amp;供应商对账单!$E$3,$B$5:$B394,"&lt;="&amp;供应商对账单!$H$3),"")</f>
        <v/>
      </c>
    </row>
    <row r="395" customFormat="false" ht="15.75" hidden="false" customHeight="true" outlineLevel="0" collapsed="false">
      <c r="A395" s="42" t="str">
        <f aca="false">IF($B395="","","CG"&amp;TEXT($B395,"yyyymm")&amp;"-"&amp;TEXT(ROW()-4,"000"))</f>
        <v/>
      </c>
      <c r="B395" s="41"/>
      <c r="C395" s="42" t="str">
        <f aca="false">IF($B395="","",TEXT($B395,"yyyy-mm"))</f>
        <v/>
      </c>
      <c r="D395" s="32"/>
      <c r="E395" s="36"/>
      <c r="F395" s="43"/>
      <c r="G395" s="40"/>
      <c r="H395" s="51"/>
      <c r="I395" s="33"/>
      <c r="J395" s="31"/>
      <c r="K395" s="33"/>
      <c r="L395" s="33"/>
      <c r="M395" s="36"/>
      <c r="N395" s="47" t="str">
        <f aca="false">IF($B395="","",IF(NOT(ISNUMBER($B395)),"日期不是日期格式",IF(YEAR($B395)&lt;&gt;首页!$B$3,"不在会计年度",IF($D395="","未选供应商",IF(ISNA(MATCH($D395,基础资料!$AF$6:$AF$155,0)),"供应商不在档案",IF($E395="","未填商品或内容",IF(NOT(ISNUMBER($F395)),"数量须为数字",IF(NOT(ISNUMBER($G395)),"单价须为数字",IF(N($F395)&lt;=0,"数量须大于0",IF($I395="","请选是否入库",IF(AND($I395="是",ISNA(MATCH($E395,基础资料!$Q$6:$Q$205,0))),"入库商品必须在商品档案中",IF(AND($I395="否",$J395&lt;&gt;"",ISNA(MATCH($J395,科目参数!$A$6:$A$125,0))),"费用科目不存在","√"))))))))))))</f>
        <v/>
      </c>
      <c r="O395" s="49" t="str">
        <f aca="false">IF($E395="","",IFERROR(INDEX(基础资料!$R$6:$R$205,MATCH($E395,基础资料!$Q$6:$Q$205,0)),""))</f>
        <v/>
      </c>
      <c r="P395" s="49" t="str">
        <f aca="false">IF($E395="","",IFERROR(INDEX(基础资料!$S$6:$S$205,MATCH($E395,基础资料!$Q$6:$Q$205,0)),""))</f>
        <v/>
      </c>
      <c r="Q395" s="48" t="str">
        <f aca="false">IF(OR($F395="",$G395=""),"",ROUND(N($F395)*N($G395),2))</f>
        <v/>
      </c>
      <c r="R395" s="48" t="str">
        <f aca="false">IF($Q395="","",ROUND(N($Q395)*N($H395),2))</f>
        <v/>
      </c>
      <c r="S395" s="48" t="str">
        <f aca="false">IF($Q395="","",N($Q395)+N($R395))</f>
        <v/>
      </c>
      <c r="T395" s="52" t="str">
        <f aca="false">IF(OR($B395="",$D395=""),"",$B395+N(IFERROR(INDEX(基础资料!$AH$6:$AH$155,MATCH($D395,基础资料!$AF$6:$AF$155,0)),0)))</f>
        <v/>
      </c>
      <c r="U395" s="49" t="str">
        <f aca="false">IF($Q395="","",IF($I395="是","1405",IF($J395="","6602",$J395)))</f>
        <v/>
      </c>
      <c r="V395" s="49" t="str">
        <f aca="false">IF($Q395="","","2202")</f>
        <v/>
      </c>
      <c r="W395" s="48" t="str">
        <f aca="false">IF($Q395="","",$Q395)</f>
        <v/>
      </c>
      <c r="X395" s="49" t="str">
        <f aca="false">IF(N($R395)=0,"","2221")</f>
        <v/>
      </c>
      <c r="Y395" s="49" t="str">
        <f aca="false">IF(N($R395)=0,"","2202")</f>
        <v/>
      </c>
      <c r="Z395" s="48" t="str">
        <f aca="false">IF(N($R395)=0,"",$R395)</f>
        <v/>
      </c>
      <c r="AA395" s="49" t="str">
        <f aca="false">IF(AND($D395=供应商对账单!$B$3,$B395&gt;=供应商对账单!$E$3,$B395&lt;=供应商对账单!$H$3),COUNTIFS($D$5:$D395,供应商对账单!$B$3,$B$5:$B395,"&gt;="&amp;供应商对账单!$E$3,$B$5:$B395,"&lt;="&amp;供应商对账单!$H$3),"")</f>
        <v/>
      </c>
    </row>
    <row r="396" customFormat="false" ht="15.75" hidden="false" customHeight="true" outlineLevel="0" collapsed="false">
      <c r="A396" s="42" t="str">
        <f aca="false">IF($B396="","","CG"&amp;TEXT($B396,"yyyymm")&amp;"-"&amp;TEXT(ROW()-4,"000"))</f>
        <v/>
      </c>
      <c r="B396" s="41"/>
      <c r="C396" s="42" t="str">
        <f aca="false">IF($B396="","",TEXT($B396,"yyyy-mm"))</f>
        <v/>
      </c>
      <c r="D396" s="32"/>
      <c r="E396" s="36"/>
      <c r="F396" s="43"/>
      <c r="G396" s="40"/>
      <c r="H396" s="51"/>
      <c r="I396" s="33"/>
      <c r="J396" s="31"/>
      <c r="K396" s="33"/>
      <c r="L396" s="33"/>
      <c r="M396" s="36"/>
      <c r="N396" s="47" t="str">
        <f aca="false">IF($B396="","",IF(NOT(ISNUMBER($B396)),"日期不是日期格式",IF(YEAR($B396)&lt;&gt;首页!$B$3,"不在会计年度",IF($D396="","未选供应商",IF(ISNA(MATCH($D396,基础资料!$AF$6:$AF$155,0)),"供应商不在档案",IF($E396="","未填商品或内容",IF(NOT(ISNUMBER($F396)),"数量须为数字",IF(NOT(ISNUMBER($G396)),"单价须为数字",IF(N($F396)&lt;=0,"数量须大于0",IF($I396="","请选是否入库",IF(AND($I396="是",ISNA(MATCH($E396,基础资料!$Q$6:$Q$205,0))),"入库商品必须在商品档案中",IF(AND($I396="否",$J396&lt;&gt;"",ISNA(MATCH($J396,科目参数!$A$6:$A$125,0))),"费用科目不存在","√"))))))))))))</f>
        <v/>
      </c>
      <c r="O396" s="49" t="str">
        <f aca="false">IF($E396="","",IFERROR(INDEX(基础资料!$R$6:$R$205,MATCH($E396,基础资料!$Q$6:$Q$205,0)),""))</f>
        <v/>
      </c>
      <c r="P396" s="49" t="str">
        <f aca="false">IF($E396="","",IFERROR(INDEX(基础资料!$S$6:$S$205,MATCH($E396,基础资料!$Q$6:$Q$205,0)),""))</f>
        <v/>
      </c>
      <c r="Q396" s="48" t="str">
        <f aca="false">IF(OR($F396="",$G396=""),"",ROUND(N($F396)*N($G396),2))</f>
        <v/>
      </c>
      <c r="R396" s="48" t="str">
        <f aca="false">IF($Q396="","",ROUND(N($Q396)*N($H396),2))</f>
        <v/>
      </c>
      <c r="S396" s="48" t="str">
        <f aca="false">IF($Q396="","",N($Q396)+N($R396))</f>
        <v/>
      </c>
      <c r="T396" s="52" t="str">
        <f aca="false">IF(OR($B396="",$D396=""),"",$B396+N(IFERROR(INDEX(基础资料!$AH$6:$AH$155,MATCH($D396,基础资料!$AF$6:$AF$155,0)),0)))</f>
        <v/>
      </c>
      <c r="U396" s="49" t="str">
        <f aca="false">IF($Q396="","",IF($I396="是","1405",IF($J396="","6602",$J396)))</f>
        <v/>
      </c>
      <c r="V396" s="49" t="str">
        <f aca="false">IF($Q396="","","2202")</f>
        <v/>
      </c>
      <c r="W396" s="48" t="str">
        <f aca="false">IF($Q396="","",$Q396)</f>
        <v/>
      </c>
      <c r="X396" s="49" t="str">
        <f aca="false">IF(N($R396)=0,"","2221")</f>
        <v/>
      </c>
      <c r="Y396" s="49" t="str">
        <f aca="false">IF(N($R396)=0,"","2202")</f>
        <v/>
      </c>
      <c r="Z396" s="48" t="str">
        <f aca="false">IF(N($R396)=0,"",$R396)</f>
        <v/>
      </c>
      <c r="AA396" s="49" t="str">
        <f aca="false">IF(AND($D396=供应商对账单!$B$3,$B396&gt;=供应商对账单!$E$3,$B396&lt;=供应商对账单!$H$3),COUNTIFS($D$5:$D396,供应商对账单!$B$3,$B$5:$B396,"&gt;="&amp;供应商对账单!$E$3,$B$5:$B396,"&lt;="&amp;供应商对账单!$H$3),"")</f>
        <v/>
      </c>
    </row>
    <row r="397" customFormat="false" ht="15.75" hidden="false" customHeight="true" outlineLevel="0" collapsed="false">
      <c r="A397" s="42" t="str">
        <f aca="false">IF($B397="","","CG"&amp;TEXT($B397,"yyyymm")&amp;"-"&amp;TEXT(ROW()-4,"000"))</f>
        <v/>
      </c>
      <c r="B397" s="41"/>
      <c r="C397" s="42" t="str">
        <f aca="false">IF($B397="","",TEXT($B397,"yyyy-mm"))</f>
        <v/>
      </c>
      <c r="D397" s="32"/>
      <c r="E397" s="36"/>
      <c r="F397" s="43"/>
      <c r="G397" s="40"/>
      <c r="H397" s="51"/>
      <c r="I397" s="33"/>
      <c r="J397" s="31"/>
      <c r="K397" s="33"/>
      <c r="L397" s="33"/>
      <c r="M397" s="36"/>
      <c r="N397" s="47" t="str">
        <f aca="false">IF($B397="","",IF(NOT(ISNUMBER($B397)),"日期不是日期格式",IF(YEAR($B397)&lt;&gt;首页!$B$3,"不在会计年度",IF($D397="","未选供应商",IF(ISNA(MATCH($D397,基础资料!$AF$6:$AF$155,0)),"供应商不在档案",IF($E397="","未填商品或内容",IF(NOT(ISNUMBER($F397)),"数量须为数字",IF(NOT(ISNUMBER($G397)),"单价须为数字",IF(N($F397)&lt;=0,"数量须大于0",IF($I397="","请选是否入库",IF(AND($I397="是",ISNA(MATCH($E397,基础资料!$Q$6:$Q$205,0))),"入库商品必须在商品档案中",IF(AND($I397="否",$J397&lt;&gt;"",ISNA(MATCH($J397,科目参数!$A$6:$A$125,0))),"费用科目不存在","√"))))))))))))</f>
        <v/>
      </c>
      <c r="O397" s="49" t="str">
        <f aca="false">IF($E397="","",IFERROR(INDEX(基础资料!$R$6:$R$205,MATCH($E397,基础资料!$Q$6:$Q$205,0)),""))</f>
        <v/>
      </c>
      <c r="P397" s="49" t="str">
        <f aca="false">IF($E397="","",IFERROR(INDEX(基础资料!$S$6:$S$205,MATCH($E397,基础资料!$Q$6:$Q$205,0)),""))</f>
        <v/>
      </c>
      <c r="Q397" s="48" t="str">
        <f aca="false">IF(OR($F397="",$G397=""),"",ROUND(N($F397)*N($G397),2))</f>
        <v/>
      </c>
      <c r="R397" s="48" t="str">
        <f aca="false">IF($Q397="","",ROUND(N($Q397)*N($H397),2))</f>
        <v/>
      </c>
      <c r="S397" s="48" t="str">
        <f aca="false">IF($Q397="","",N($Q397)+N($R397))</f>
        <v/>
      </c>
      <c r="T397" s="52" t="str">
        <f aca="false">IF(OR($B397="",$D397=""),"",$B397+N(IFERROR(INDEX(基础资料!$AH$6:$AH$155,MATCH($D397,基础资料!$AF$6:$AF$155,0)),0)))</f>
        <v/>
      </c>
      <c r="U397" s="49" t="str">
        <f aca="false">IF($Q397="","",IF($I397="是","1405",IF($J397="","6602",$J397)))</f>
        <v/>
      </c>
      <c r="V397" s="49" t="str">
        <f aca="false">IF($Q397="","","2202")</f>
        <v/>
      </c>
      <c r="W397" s="48" t="str">
        <f aca="false">IF($Q397="","",$Q397)</f>
        <v/>
      </c>
      <c r="X397" s="49" t="str">
        <f aca="false">IF(N($R397)=0,"","2221")</f>
        <v/>
      </c>
      <c r="Y397" s="49" t="str">
        <f aca="false">IF(N($R397)=0,"","2202")</f>
        <v/>
      </c>
      <c r="Z397" s="48" t="str">
        <f aca="false">IF(N($R397)=0,"",$R397)</f>
        <v/>
      </c>
      <c r="AA397" s="49" t="str">
        <f aca="false">IF(AND($D397=供应商对账单!$B$3,$B397&gt;=供应商对账单!$E$3,$B397&lt;=供应商对账单!$H$3),COUNTIFS($D$5:$D397,供应商对账单!$B$3,$B$5:$B397,"&gt;="&amp;供应商对账单!$E$3,$B$5:$B397,"&lt;="&amp;供应商对账单!$H$3),"")</f>
        <v/>
      </c>
    </row>
    <row r="398" customFormat="false" ht="15.75" hidden="false" customHeight="true" outlineLevel="0" collapsed="false">
      <c r="A398" s="42" t="str">
        <f aca="false">IF($B398="","","CG"&amp;TEXT($B398,"yyyymm")&amp;"-"&amp;TEXT(ROW()-4,"000"))</f>
        <v/>
      </c>
      <c r="B398" s="41"/>
      <c r="C398" s="42" t="str">
        <f aca="false">IF($B398="","",TEXT($B398,"yyyy-mm"))</f>
        <v/>
      </c>
      <c r="D398" s="32"/>
      <c r="E398" s="36"/>
      <c r="F398" s="43"/>
      <c r="G398" s="40"/>
      <c r="H398" s="51"/>
      <c r="I398" s="33"/>
      <c r="J398" s="31"/>
      <c r="K398" s="33"/>
      <c r="L398" s="33"/>
      <c r="M398" s="36"/>
      <c r="N398" s="47" t="str">
        <f aca="false">IF($B398="","",IF(NOT(ISNUMBER($B398)),"日期不是日期格式",IF(YEAR($B398)&lt;&gt;首页!$B$3,"不在会计年度",IF($D398="","未选供应商",IF(ISNA(MATCH($D398,基础资料!$AF$6:$AF$155,0)),"供应商不在档案",IF($E398="","未填商品或内容",IF(NOT(ISNUMBER($F398)),"数量须为数字",IF(NOT(ISNUMBER($G398)),"单价须为数字",IF(N($F398)&lt;=0,"数量须大于0",IF($I398="","请选是否入库",IF(AND($I398="是",ISNA(MATCH($E398,基础资料!$Q$6:$Q$205,0))),"入库商品必须在商品档案中",IF(AND($I398="否",$J398&lt;&gt;"",ISNA(MATCH($J398,科目参数!$A$6:$A$125,0))),"费用科目不存在","√"))))))))))))</f>
        <v/>
      </c>
      <c r="O398" s="49" t="str">
        <f aca="false">IF($E398="","",IFERROR(INDEX(基础资料!$R$6:$R$205,MATCH($E398,基础资料!$Q$6:$Q$205,0)),""))</f>
        <v/>
      </c>
      <c r="P398" s="49" t="str">
        <f aca="false">IF($E398="","",IFERROR(INDEX(基础资料!$S$6:$S$205,MATCH($E398,基础资料!$Q$6:$Q$205,0)),""))</f>
        <v/>
      </c>
      <c r="Q398" s="48" t="str">
        <f aca="false">IF(OR($F398="",$G398=""),"",ROUND(N($F398)*N($G398),2))</f>
        <v/>
      </c>
      <c r="R398" s="48" t="str">
        <f aca="false">IF($Q398="","",ROUND(N($Q398)*N($H398),2))</f>
        <v/>
      </c>
      <c r="S398" s="48" t="str">
        <f aca="false">IF($Q398="","",N($Q398)+N($R398))</f>
        <v/>
      </c>
      <c r="T398" s="52" t="str">
        <f aca="false">IF(OR($B398="",$D398=""),"",$B398+N(IFERROR(INDEX(基础资料!$AH$6:$AH$155,MATCH($D398,基础资料!$AF$6:$AF$155,0)),0)))</f>
        <v/>
      </c>
      <c r="U398" s="49" t="str">
        <f aca="false">IF($Q398="","",IF($I398="是","1405",IF($J398="","6602",$J398)))</f>
        <v/>
      </c>
      <c r="V398" s="49" t="str">
        <f aca="false">IF($Q398="","","2202")</f>
        <v/>
      </c>
      <c r="W398" s="48" t="str">
        <f aca="false">IF($Q398="","",$Q398)</f>
        <v/>
      </c>
      <c r="X398" s="49" t="str">
        <f aca="false">IF(N($R398)=0,"","2221")</f>
        <v/>
      </c>
      <c r="Y398" s="49" t="str">
        <f aca="false">IF(N($R398)=0,"","2202")</f>
        <v/>
      </c>
      <c r="Z398" s="48" t="str">
        <f aca="false">IF(N($R398)=0,"",$R398)</f>
        <v/>
      </c>
      <c r="AA398" s="49" t="str">
        <f aca="false">IF(AND($D398=供应商对账单!$B$3,$B398&gt;=供应商对账单!$E$3,$B398&lt;=供应商对账单!$H$3),COUNTIFS($D$5:$D398,供应商对账单!$B$3,$B$5:$B398,"&gt;="&amp;供应商对账单!$E$3,$B$5:$B398,"&lt;="&amp;供应商对账单!$H$3),"")</f>
        <v/>
      </c>
    </row>
    <row r="399" customFormat="false" ht="15.75" hidden="false" customHeight="true" outlineLevel="0" collapsed="false">
      <c r="A399" s="42" t="str">
        <f aca="false">IF($B399="","","CG"&amp;TEXT($B399,"yyyymm")&amp;"-"&amp;TEXT(ROW()-4,"000"))</f>
        <v/>
      </c>
      <c r="B399" s="41"/>
      <c r="C399" s="42" t="str">
        <f aca="false">IF($B399="","",TEXT($B399,"yyyy-mm"))</f>
        <v/>
      </c>
      <c r="D399" s="32"/>
      <c r="E399" s="36"/>
      <c r="F399" s="43"/>
      <c r="G399" s="40"/>
      <c r="H399" s="51"/>
      <c r="I399" s="33"/>
      <c r="J399" s="31"/>
      <c r="K399" s="33"/>
      <c r="L399" s="33"/>
      <c r="M399" s="36"/>
      <c r="N399" s="47" t="str">
        <f aca="false">IF($B399="","",IF(NOT(ISNUMBER($B399)),"日期不是日期格式",IF(YEAR($B399)&lt;&gt;首页!$B$3,"不在会计年度",IF($D399="","未选供应商",IF(ISNA(MATCH($D399,基础资料!$AF$6:$AF$155,0)),"供应商不在档案",IF($E399="","未填商品或内容",IF(NOT(ISNUMBER($F399)),"数量须为数字",IF(NOT(ISNUMBER($G399)),"单价须为数字",IF(N($F399)&lt;=0,"数量须大于0",IF($I399="","请选是否入库",IF(AND($I399="是",ISNA(MATCH($E399,基础资料!$Q$6:$Q$205,0))),"入库商品必须在商品档案中",IF(AND($I399="否",$J399&lt;&gt;"",ISNA(MATCH($J399,科目参数!$A$6:$A$125,0))),"费用科目不存在","√"))))))))))))</f>
        <v/>
      </c>
      <c r="O399" s="49" t="str">
        <f aca="false">IF($E399="","",IFERROR(INDEX(基础资料!$R$6:$R$205,MATCH($E399,基础资料!$Q$6:$Q$205,0)),""))</f>
        <v/>
      </c>
      <c r="P399" s="49" t="str">
        <f aca="false">IF($E399="","",IFERROR(INDEX(基础资料!$S$6:$S$205,MATCH($E399,基础资料!$Q$6:$Q$205,0)),""))</f>
        <v/>
      </c>
      <c r="Q399" s="48" t="str">
        <f aca="false">IF(OR($F399="",$G399=""),"",ROUND(N($F399)*N($G399),2))</f>
        <v/>
      </c>
      <c r="R399" s="48" t="str">
        <f aca="false">IF($Q399="","",ROUND(N($Q399)*N($H399),2))</f>
        <v/>
      </c>
      <c r="S399" s="48" t="str">
        <f aca="false">IF($Q399="","",N($Q399)+N($R399))</f>
        <v/>
      </c>
      <c r="T399" s="52" t="str">
        <f aca="false">IF(OR($B399="",$D399=""),"",$B399+N(IFERROR(INDEX(基础资料!$AH$6:$AH$155,MATCH($D399,基础资料!$AF$6:$AF$155,0)),0)))</f>
        <v/>
      </c>
      <c r="U399" s="49" t="str">
        <f aca="false">IF($Q399="","",IF($I399="是","1405",IF($J399="","6602",$J399)))</f>
        <v/>
      </c>
      <c r="V399" s="49" t="str">
        <f aca="false">IF($Q399="","","2202")</f>
        <v/>
      </c>
      <c r="W399" s="48" t="str">
        <f aca="false">IF($Q399="","",$Q399)</f>
        <v/>
      </c>
      <c r="X399" s="49" t="str">
        <f aca="false">IF(N($R399)=0,"","2221")</f>
        <v/>
      </c>
      <c r="Y399" s="49" t="str">
        <f aca="false">IF(N($R399)=0,"","2202")</f>
        <v/>
      </c>
      <c r="Z399" s="48" t="str">
        <f aca="false">IF(N($R399)=0,"",$R399)</f>
        <v/>
      </c>
      <c r="AA399" s="49" t="str">
        <f aca="false">IF(AND($D399=供应商对账单!$B$3,$B399&gt;=供应商对账单!$E$3,$B399&lt;=供应商对账单!$H$3),COUNTIFS($D$5:$D399,供应商对账单!$B$3,$B$5:$B399,"&gt;="&amp;供应商对账单!$E$3,$B$5:$B399,"&lt;="&amp;供应商对账单!$H$3),"")</f>
        <v/>
      </c>
    </row>
    <row r="400" customFormat="false" ht="15.75" hidden="false" customHeight="true" outlineLevel="0" collapsed="false">
      <c r="A400" s="42" t="str">
        <f aca="false">IF($B400="","","CG"&amp;TEXT($B400,"yyyymm")&amp;"-"&amp;TEXT(ROW()-4,"000"))</f>
        <v/>
      </c>
      <c r="B400" s="41"/>
      <c r="C400" s="42" t="str">
        <f aca="false">IF($B400="","",TEXT($B400,"yyyy-mm"))</f>
        <v/>
      </c>
      <c r="D400" s="32"/>
      <c r="E400" s="36"/>
      <c r="F400" s="43"/>
      <c r="G400" s="40"/>
      <c r="H400" s="51"/>
      <c r="I400" s="33"/>
      <c r="J400" s="31"/>
      <c r="K400" s="33"/>
      <c r="L400" s="33"/>
      <c r="M400" s="36"/>
      <c r="N400" s="47" t="str">
        <f aca="false">IF($B400="","",IF(NOT(ISNUMBER($B400)),"日期不是日期格式",IF(YEAR($B400)&lt;&gt;首页!$B$3,"不在会计年度",IF($D400="","未选供应商",IF(ISNA(MATCH($D400,基础资料!$AF$6:$AF$155,0)),"供应商不在档案",IF($E400="","未填商品或内容",IF(NOT(ISNUMBER($F400)),"数量须为数字",IF(NOT(ISNUMBER($G400)),"单价须为数字",IF(N($F400)&lt;=0,"数量须大于0",IF($I400="","请选是否入库",IF(AND($I400="是",ISNA(MATCH($E400,基础资料!$Q$6:$Q$205,0))),"入库商品必须在商品档案中",IF(AND($I400="否",$J400&lt;&gt;"",ISNA(MATCH($J400,科目参数!$A$6:$A$125,0))),"费用科目不存在","√"))))))))))))</f>
        <v/>
      </c>
      <c r="O400" s="49" t="str">
        <f aca="false">IF($E400="","",IFERROR(INDEX(基础资料!$R$6:$R$205,MATCH($E400,基础资料!$Q$6:$Q$205,0)),""))</f>
        <v/>
      </c>
      <c r="P400" s="49" t="str">
        <f aca="false">IF($E400="","",IFERROR(INDEX(基础资料!$S$6:$S$205,MATCH($E400,基础资料!$Q$6:$Q$205,0)),""))</f>
        <v/>
      </c>
      <c r="Q400" s="48" t="str">
        <f aca="false">IF(OR($F400="",$G400=""),"",ROUND(N($F400)*N($G400),2))</f>
        <v/>
      </c>
      <c r="R400" s="48" t="str">
        <f aca="false">IF($Q400="","",ROUND(N($Q400)*N($H400),2))</f>
        <v/>
      </c>
      <c r="S400" s="48" t="str">
        <f aca="false">IF($Q400="","",N($Q400)+N($R400))</f>
        <v/>
      </c>
      <c r="T400" s="52" t="str">
        <f aca="false">IF(OR($B400="",$D400=""),"",$B400+N(IFERROR(INDEX(基础资料!$AH$6:$AH$155,MATCH($D400,基础资料!$AF$6:$AF$155,0)),0)))</f>
        <v/>
      </c>
      <c r="U400" s="49" t="str">
        <f aca="false">IF($Q400="","",IF($I400="是","1405",IF($J400="","6602",$J400)))</f>
        <v/>
      </c>
      <c r="V400" s="49" t="str">
        <f aca="false">IF($Q400="","","2202")</f>
        <v/>
      </c>
      <c r="W400" s="48" t="str">
        <f aca="false">IF($Q400="","",$Q400)</f>
        <v/>
      </c>
      <c r="X400" s="49" t="str">
        <f aca="false">IF(N($R400)=0,"","2221")</f>
        <v/>
      </c>
      <c r="Y400" s="49" t="str">
        <f aca="false">IF(N($R400)=0,"","2202")</f>
        <v/>
      </c>
      <c r="Z400" s="48" t="str">
        <f aca="false">IF(N($R400)=0,"",$R400)</f>
        <v/>
      </c>
      <c r="AA400" s="49" t="str">
        <f aca="false">IF(AND($D400=供应商对账单!$B$3,$B400&gt;=供应商对账单!$E$3,$B400&lt;=供应商对账单!$H$3),COUNTIFS($D$5:$D400,供应商对账单!$B$3,$B$5:$B400,"&gt;="&amp;供应商对账单!$E$3,$B$5:$B400,"&lt;="&amp;供应商对账单!$H$3),"")</f>
        <v/>
      </c>
    </row>
    <row r="401" customFormat="false" ht="15.75" hidden="false" customHeight="true" outlineLevel="0" collapsed="false">
      <c r="A401" s="42" t="str">
        <f aca="false">IF($B401="","","CG"&amp;TEXT($B401,"yyyymm")&amp;"-"&amp;TEXT(ROW()-4,"000"))</f>
        <v/>
      </c>
      <c r="B401" s="41"/>
      <c r="C401" s="42" t="str">
        <f aca="false">IF($B401="","",TEXT($B401,"yyyy-mm"))</f>
        <v/>
      </c>
      <c r="D401" s="32"/>
      <c r="E401" s="36"/>
      <c r="F401" s="43"/>
      <c r="G401" s="40"/>
      <c r="H401" s="51"/>
      <c r="I401" s="33"/>
      <c r="J401" s="31"/>
      <c r="K401" s="33"/>
      <c r="L401" s="33"/>
      <c r="M401" s="36"/>
      <c r="N401" s="47" t="str">
        <f aca="false">IF($B401="","",IF(NOT(ISNUMBER($B401)),"日期不是日期格式",IF(YEAR($B401)&lt;&gt;首页!$B$3,"不在会计年度",IF($D401="","未选供应商",IF(ISNA(MATCH($D401,基础资料!$AF$6:$AF$155,0)),"供应商不在档案",IF($E401="","未填商品或内容",IF(NOT(ISNUMBER($F401)),"数量须为数字",IF(NOT(ISNUMBER($G401)),"单价须为数字",IF(N($F401)&lt;=0,"数量须大于0",IF($I401="","请选是否入库",IF(AND($I401="是",ISNA(MATCH($E401,基础资料!$Q$6:$Q$205,0))),"入库商品必须在商品档案中",IF(AND($I401="否",$J401&lt;&gt;"",ISNA(MATCH($J401,科目参数!$A$6:$A$125,0))),"费用科目不存在","√"))))))))))))</f>
        <v/>
      </c>
      <c r="O401" s="49" t="str">
        <f aca="false">IF($E401="","",IFERROR(INDEX(基础资料!$R$6:$R$205,MATCH($E401,基础资料!$Q$6:$Q$205,0)),""))</f>
        <v/>
      </c>
      <c r="P401" s="49" t="str">
        <f aca="false">IF($E401="","",IFERROR(INDEX(基础资料!$S$6:$S$205,MATCH($E401,基础资料!$Q$6:$Q$205,0)),""))</f>
        <v/>
      </c>
      <c r="Q401" s="48" t="str">
        <f aca="false">IF(OR($F401="",$G401=""),"",ROUND(N($F401)*N($G401),2))</f>
        <v/>
      </c>
      <c r="R401" s="48" t="str">
        <f aca="false">IF($Q401="","",ROUND(N($Q401)*N($H401),2))</f>
        <v/>
      </c>
      <c r="S401" s="48" t="str">
        <f aca="false">IF($Q401="","",N($Q401)+N($R401))</f>
        <v/>
      </c>
      <c r="T401" s="52" t="str">
        <f aca="false">IF(OR($B401="",$D401=""),"",$B401+N(IFERROR(INDEX(基础资料!$AH$6:$AH$155,MATCH($D401,基础资料!$AF$6:$AF$155,0)),0)))</f>
        <v/>
      </c>
      <c r="U401" s="49" t="str">
        <f aca="false">IF($Q401="","",IF($I401="是","1405",IF($J401="","6602",$J401)))</f>
        <v/>
      </c>
      <c r="V401" s="49" t="str">
        <f aca="false">IF($Q401="","","2202")</f>
        <v/>
      </c>
      <c r="W401" s="48" t="str">
        <f aca="false">IF($Q401="","",$Q401)</f>
        <v/>
      </c>
      <c r="X401" s="49" t="str">
        <f aca="false">IF(N($R401)=0,"","2221")</f>
        <v/>
      </c>
      <c r="Y401" s="49" t="str">
        <f aca="false">IF(N($R401)=0,"","2202")</f>
        <v/>
      </c>
      <c r="Z401" s="48" t="str">
        <f aca="false">IF(N($R401)=0,"",$R401)</f>
        <v/>
      </c>
      <c r="AA401" s="49" t="str">
        <f aca="false">IF(AND($D401=供应商对账单!$B$3,$B401&gt;=供应商对账单!$E$3,$B401&lt;=供应商对账单!$H$3),COUNTIFS($D$5:$D401,供应商对账单!$B$3,$B$5:$B401,"&gt;="&amp;供应商对账单!$E$3,$B$5:$B401,"&lt;="&amp;供应商对账单!$H$3),"")</f>
        <v/>
      </c>
    </row>
    <row r="402" customFormat="false" ht="15.75" hidden="false" customHeight="true" outlineLevel="0" collapsed="false">
      <c r="A402" s="42" t="str">
        <f aca="false">IF($B402="","","CG"&amp;TEXT($B402,"yyyymm")&amp;"-"&amp;TEXT(ROW()-4,"000"))</f>
        <v/>
      </c>
      <c r="B402" s="41"/>
      <c r="C402" s="42" t="str">
        <f aca="false">IF($B402="","",TEXT($B402,"yyyy-mm"))</f>
        <v/>
      </c>
      <c r="D402" s="32"/>
      <c r="E402" s="36"/>
      <c r="F402" s="43"/>
      <c r="G402" s="40"/>
      <c r="H402" s="51"/>
      <c r="I402" s="33"/>
      <c r="J402" s="31"/>
      <c r="K402" s="33"/>
      <c r="L402" s="33"/>
      <c r="M402" s="36"/>
      <c r="N402" s="47" t="str">
        <f aca="false">IF($B402="","",IF(NOT(ISNUMBER($B402)),"日期不是日期格式",IF(YEAR($B402)&lt;&gt;首页!$B$3,"不在会计年度",IF($D402="","未选供应商",IF(ISNA(MATCH($D402,基础资料!$AF$6:$AF$155,0)),"供应商不在档案",IF($E402="","未填商品或内容",IF(NOT(ISNUMBER($F402)),"数量须为数字",IF(NOT(ISNUMBER($G402)),"单价须为数字",IF(N($F402)&lt;=0,"数量须大于0",IF($I402="","请选是否入库",IF(AND($I402="是",ISNA(MATCH($E402,基础资料!$Q$6:$Q$205,0))),"入库商品必须在商品档案中",IF(AND($I402="否",$J402&lt;&gt;"",ISNA(MATCH($J402,科目参数!$A$6:$A$125,0))),"费用科目不存在","√"))))))))))))</f>
        <v/>
      </c>
      <c r="O402" s="49" t="str">
        <f aca="false">IF($E402="","",IFERROR(INDEX(基础资料!$R$6:$R$205,MATCH($E402,基础资料!$Q$6:$Q$205,0)),""))</f>
        <v/>
      </c>
      <c r="P402" s="49" t="str">
        <f aca="false">IF($E402="","",IFERROR(INDEX(基础资料!$S$6:$S$205,MATCH($E402,基础资料!$Q$6:$Q$205,0)),""))</f>
        <v/>
      </c>
      <c r="Q402" s="48" t="str">
        <f aca="false">IF(OR($F402="",$G402=""),"",ROUND(N($F402)*N($G402),2))</f>
        <v/>
      </c>
      <c r="R402" s="48" t="str">
        <f aca="false">IF($Q402="","",ROUND(N($Q402)*N($H402),2))</f>
        <v/>
      </c>
      <c r="S402" s="48" t="str">
        <f aca="false">IF($Q402="","",N($Q402)+N($R402))</f>
        <v/>
      </c>
      <c r="T402" s="52" t="str">
        <f aca="false">IF(OR($B402="",$D402=""),"",$B402+N(IFERROR(INDEX(基础资料!$AH$6:$AH$155,MATCH($D402,基础资料!$AF$6:$AF$155,0)),0)))</f>
        <v/>
      </c>
      <c r="U402" s="49" t="str">
        <f aca="false">IF($Q402="","",IF($I402="是","1405",IF($J402="","6602",$J402)))</f>
        <v/>
      </c>
      <c r="V402" s="49" t="str">
        <f aca="false">IF($Q402="","","2202")</f>
        <v/>
      </c>
      <c r="W402" s="48" t="str">
        <f aca="false">IF($Q402="","",$Q402)</f>
        <v/>
      </c>
      <c r="X402" s="49" t="str">
        <f aca="false">IF(N($R402)=0,"","2221")</f>
        <v/>
      </c>
      <c r="Y402" s="49" t="str">
        <f aca="false">IF(N($R402)=0,"","2202")</f>
        <v/>
      </c>
      <c r="Z402" s="48" t="str">
        <f aca="false">IF(N($R402)=0,"",$R402)</f>
        <v/>
      </c>
      <c r="AA402" s="49" t="str">
        <f aca="false">IF(AND($D402=供应商对账单!$B$3,$B402&gt;=供应商对账单!$E$3,$B402&lt;=供应商对账单!$H$3),COUNTIFS($D$5:$D402,供应商对账单!$B$3,$B$5:$B402,"&gt;="&amp;供应商对账单!$E$3,$B$5:$B402,"&lt;="&amp;供应商对账单!$H$3),"")</f>
        <v/>
      </c>
    </row>
    <row r="403" customFormat="false" ht="15.75" hidden="false" customHeight="true" outlineLevel="0" collapsed="false">
      <c r="A403" s="42" t="str">
        <f aca="false">IF($B403="","","CG"&amp;TEXT($B403,"yyyymm")&amp;"-"&amp;TEXT(ROW()-4,"000"))</f>
        <v/>
      </c>
      <c r="B403" s="41"/>
      <c r="C403" s="42" t="str">
        <f aca="false">IF($B403="","",TEXT($B403,"yyyy-mm"))</f>
        <v/>
      </c>
      <c r="D403" s="32"/>
      <c r="E403" s="36"/>
      <c r="F403" s="43"/>
      <c r="G403" s="40"/>
      <c r="H403" s="51"/>
      <c r="I403" s="33"/>
      <c r="J403" s="31"/>
      <c r="K403" s="33"/>
      <c r="L403" s="33"/>
      <c r="M403" s="36"/>
      <c r="N403" s="47" t="str">
        <f aca="false">IF($B403="","",IF(NOT(ISNUMBER($B403)),"日期不是日期格式",IF(YEAR($B403)&lt;&gt;首页!$B$3,"不在会计年度",IF($D403="","未选供应商",IF(ISNA(MATCH($D403,基础资料!$AF$6:$AF$155,0)),"供应商不在档案",IF($E403="","未填商品或内容",IF(NOT(ISNUMBER($F403)),"数量须为数字",IF(NOT(ISNUMBER($G403)),"单价须为数字",IF(N($F403)&lt;=0,"数量须大于0",IF($I403="","请选是否入库",IF(AND($I403="是",ISNA(MATCH($E403,基础资料!$Q$6:$Q$205,0))),"入库商品必须在商品档案中",IF(AND($I403="否",$J403&lt;&gt;"",ISNA(MATCH($J403,科目参数!$A$6:$A$125,0))),"费用科目不存在","√"))))))))))))</f>
        <v/>
      </c>
      <c r="O403" s="49" t="str">
        <f aca="false">IF($E403="","",IFERROR(INDEX(基础资料!$R$6:$R$205,MATCH($E403,基础资料!$Q$6:$Q$205,0)),""))</f>
        <v/>
      </c>
      <c r="P403" s="49" t="str">
        <f aca="false">IF($E403="","",IFERROR(INDEX(基础资料!$S$6:$S$205,MATCH($E403,基础资料!$Q$6:$Q$205,0)),""))</f>
        <v/>
      </c>
      <c r="Q403" s="48" t="str">
        <f aca="false">IF(OR($F403="",$G403=""),"",ROUND(N($F403)*N($G403),2))</f>
        <v/>
      </c>
      <c r="R403" s="48" t="str">
        <f aca="false">IF($Q403="","",ROUND(N($Q403)*N($H403),2))</f>
        <v/>
      </c>
      <c r="S403" s="48" t="str">
        <f aca="false">IF($Q403="","",N($Q403)+N($R403))</f>
        <v/>
      </c>
      <c r="T403" s="52" t="str">
        <f aca="false">IF(OR($B403="",$D403=""),"",$B403+N(IFERROR(INDEX(基础资料!$AH$6:$AH$155,MATCH($D403,基础资料!$AF$6:$AF$155,0)),0)))</f>
        <v/>
      </c>
      <c r="U403" s="49" t="str">
        <f aca="false">IF($Q403="","",IF($I403="是","1405",IF($J403="","6602",$J403)))</f>
        <v/>
      </c>
      <c r="V403" s="49" t="str">
        <f aca="false">IF($Q403="","","2202")</f>
        <v/>
      </c>
      <c r="W403" s="48" t="str">
        <f aca="false">IF($Q403="","",$Q403)</f>
        <v/>
      </c>
      <c r="X403" s="49" t="str">
        <f aca="false">IF(N($R403)=0,"","2221")</f>
        <v/>
      </c>
      <c r="Y403" s="49" t="str">
        <f aca="false">IF(N($R403)=0,"","2202")</f>
        <v/>
      </c>
      <c r="Z403" s="48" t="str">
        <f aca="false">IF(N($R403)=0,"",$R403)</f>
        <v/>
      </c>
      <c r="AA403" s="49" t="str">
        <f aca="false">IF(AND($D403=供应商对账单!$B$3,$B403&gt;=供应商对账单!$E$3,$B403&lt;=供应商对账单!$H$3),COUNTIFS($D$5:$D403,供应商对账单!$B$3,$B$5:$B403,"&gt;="&amp;供应商对账单!$E$3,$B$5:$B403,"&lt;="&amp;供应商对账单!$H$3),"")</f>
        <v/>
      </c>
    </row>
    <row r="404" customFormat="false" ht="15.75" hidden="false" customHeight="true" outlineLevel="0" collapsed="false">
      <c r="A404" s="42" t="str">
        <f aca="false">IF($B404="","","CG"&amp;TEXT($B404,"yyyymm")&amp;"-"&amp;TEXT(ROW()-4,"000"))</f>
        <v/>
      </c>
      <c r="B404" s="41"/>
      <c r="C404" s="42" t="str">
        <f aca="false">IF($B404="","",TEXT($B404,"yyyy-mm"))</f>
        <v/>
      </c>
      <c r="D404" s="32"/>
      <c r="E404" s="36"/>
      <c r="F404" s="43"/>
      <c r="G404" s="40"/>
      <c r="H404" s="51"/>
      <c r="I404" s="33"/>
      <c r="J404" s="31"/>
      <c r="K404" s="33"/>
      <c r="L404" s="33"/>
      <c r="M404" s="36"/>
      <c r="N404" s="47" t="str">
        <f aca="false">IF($B404="","",IF(NOT(ISNUMBER($B404)),"日期不是日期格式",IF(YEAR($B404)&lt;&gt;首页!$B$3,"不在会计年度",IF($D404="","未选供应商",IF(ISNA(MATCH($D404,基础资料!$AF$6:$AF$155,0)),"供应商不在档案",IF($E404="","未填商品或内容",IF(NOT(ISNUMBER($F404)),"数量须为数字",IF(NOT(ISNUMBER($G404)),"单价须为数字",IF(N($F404)&lt;=0,"数量须大于0",IF($I404="","请选是否入库",IF(AND($I404="是",ISNA(MATCH($E404,基础资料!$Q$6:$Q$205,0))),"入库商品必须在商品档案中",IF(AND($I404="否",$J404&lt;&gt;"",ISNA(MATCH($J404,科目参数!$A$6:$A$125,0))),"费用科目不存在","√"))))))))))))</f>
        <v/>
      </c>
      <c r="O404" s="49" t="str">
        <f aca="false">IF($E404="","",IFERROR(INDEX(基础资料!$R$6:$R$205,MATCH($E404,基础资料!$Q$6:$Q$205,0)),""))</f>
        <v/>
      </c>
      <c r="P404" s="49" t="str">
        <f aca="false">IF($E404="","",IFERROR(INDEX(基础资料!$S$6:$S$205,MATCH($E404,基础资料!$Q$6:$Q$205,0)),""))</f>
        <v/>
      </c>
      <c r="Q404" s="48" t="str">
        <f aca="false">IF(OR($F404="",$G404=""),"",ROUND(N($F404)*N($G404),2))</f>
        <v/>
      </c>
      <c r="R404" s="48" t="str">
        <f aca="false">IF($Q404="","",ROUND(N($Q404)*N($H404),2))</f>
        <v/>
      </c>
      <c r="S404" s="48" t="str">
        <f aca="false">IF($Q404="","",N($Q404)+N($R404))</f>
        <v/>
      </c>
      <c r="T404" s="52" t="str">
        <f aca="false">IF(OR($B404="",$D404=""),"",$B404+N(IFERROR(INDEX(基础资料!$AH$6:$AH$155,MATCH($D404,基础资料!$AF$6:$AF$155,0)),0)))</f>
        <v/>
      </c>
      <c r="U404" s="49" t="str">
        <f aca="false">IF($Q404="","",IF($I404="是","1405",IF($J404="","6602",$J404)))</f>
        <v/>
      </c>
      <c r="V404" s="49" t="str">
        <f aca="false">IF($Q404="","","2202")</f>
        <v/>
      </c>
      <c r="W404" s="48" t="str">
        <f aca="false">IF($Q404="","",$Q404)</f>
        <v/>
      </c>
      <c r="X404" s="49" t="str">
        <f aca="false">IF(N($R404)=0,"","2221")</f>
        <v/>
      </c>
      <c r="Y404" s="49" t="str">
        <f aca="false">IF(N($R404)=0,"","2202")</f>
        <v/>
      </c>
      <c r="Z404" s="48" t="str">
        <f aca="false">IF(N($R404)=0,"",$R404)</f>
        <v/>
      </c>
      <c r="AA404" s="49" t="str">
        <f aca="false">IF(AND($D404=供应商对账单!$B$3,$B404&gt;=供应商对账单!$E$3,$B404&lt;=供应商对账单!$H$3),COUNTIFS($D$5:$D404,供应商对账单!$B$3,$B$5:$B404,"&gt;="&amp;供应商对账单!$E$3,$B$5:$B404,"&lt;="&amp;供应商对账单!$H$3),"")</f>
        <v/>
      </c>
    </row>
    <row r="406" customFormat="false" ht="74.6" hidden="false" customHeight="false" outlineLevel="0" collapsed="false">
      <c r="A406" s="37" t="s">
        <v>403</v>
      </c>
    </row>
  </sheetData>
  <autoFilter ref="A4:AA404"/>
  <mergeCells count="4">
    <mergeCell ref="A1:Z1"/>
    <mergeCell ref="A2:Z2"/>
    <mergeCell ref="A3:N3"/>
    <mergeCell ref="O3:Z3"/>
  </mergeCells>
  <conditionalFormatting sqref="N5:N404">
    <cfRule type="expression" priority="2" aboveAverage="0" equalAverage="0" bottom="0" percent="0" rank="0" text="" dxfId="9">
      <formula>AND($N5&lt;&gt;"",$N5&lt;&gt;"√")</formula>
    </cfRule>
  </conditionalFormatting>
  <dataValidations count="9">
    <dataValidation allowBlank="true" error="必须选择下拉中已维护的值，手工输入会导致取数错位" errorStyle="stop" errorTitle="请从下拉中选择" operator="between" showDropDown="false" showErrorMessage="true" showInputMessage="false" sqref="D5:D404" type="list">
      <formula1>基础资料!$AF$6:$AF$155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E5:E404" type="list">
      <formula1>基础资料!$Q$6:$Q$205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I5:I404" type="list">
      <formula1>"是,否"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J5:J404" type="list">
      <formula1>科目参数!$A$6:$A$125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K5:K404" type="list">
      <formula1>基础资料!$G$6:$G$25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L5:L404" type="list">
      <formula1>基础资料!$K$6:$K$65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F5:G404" type="decimal">
      <formula1>0</formula1>
      <formula2>0</formula2>
    </dataValidation>
    <dataValidation allowBlank="true" error="日期必须落在首页设定的会计年度内，否则该笔业务不会进入任何报表" errorStyle="stop" errorTitle="日期超出会计年度" operator="between" showDropDown="false" showErrorMessage="true" showInputMessage="false" sqref="B5:B404" type="date">
      <formula1>DATE(首页!$B$3,1,1)</formula1>
      <formula2>DATE(首页!$B$3,12,31)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H5:H404" type="list">
      <formula1>"0,0.01,0.03,0.05,0.06,0.09,0.13"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N30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4" min="11" style="0" width="16"/>
  </cols>
  <sheetData>
    <row r="1" customFormat="false" ht="25.5" hidden="false" customHeight="true" outlineLevel="0" collapsed="false">
      <c r="A1" s="23" t="s">
        <v>566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customFormat="false" ht="15" hidden="false" customHeight="true" outlineLevel="0" collapsed="false">
      <c r="A2" s="6" t="s">
        <v>567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true" outlineLevel="0" collapsed="false">
      <c r="A3" s="45" t="s">
        <v>509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 t="s">
        <v>510</v>
      </c>
      <c r="N3" s="46"/>
    </row>
    <row r="4" customFormat="false" ht="30" hidden="false" customHeight="true" outlineLevel="0" collapsed="false">
      <c r="A4" s="30" t="s">
        <v>568</v>
      </c>
      <c r="B4" s="30" t="s">
        <v>512</v>
      </c>
      <c r="C4" s="30" t="s">
        <v>513</v>
      </c>
      <c r="D4" s="30" t="s">
        <v>569</v>
      </c>
      <c r="E4" s="30" t="s">
        <v>515</v>
      </c>
      <c r="F4" s="30" t="s">
        <v>570</v>
      </c>
      <c r="G4" s="30" t="s">
        <v>571</v>
      </c>
      <c r="H4" s="30" t="s">
        <v>572</v>
      </c>
      <c r="I4" s="30" t="s">
        <v>374</v>
      </c>
      <c r="J4" s="30" t="s">
        <v>319</v>
      </c>
      <c r="K4" s="30" t="s">
        <v>416</v>
      </c>
      <c r="L4" s="30" t="s">
        <v>518</v>
      </c>
      <c r="M4" s="46" t="s">
        <v>573</v>
      </c>
      <c r="N4" s="46" t="s">
        <v>574</v>
      </c>
    </row>
    <row r="5" customFormat="false" ht="15.75" hidden="false" customHeight="true" outlineLevel="0" collapsed="false">
      <c r="A5" s="42" t="str">
        <f aca="false">IF($B5="","","QT"&amp;TEXT($B5,"yyyymm")&amp;"-"&amp;TEXT(ROW()-4,"000"))</f>
        <v>QT202601-001</v>
      </c>
      <c r="B5" s="41" t="n">
        <v>46053</v>
      </c>
      <c r="C5" s="42" t="str">
        <f aca="false">IF($B5="","",TEXT($B5,"yyyy-mm"))</f>
        <v>2026-01</v>
      </c>
      <c r="D5" s="33" t="s">
        <v>575</v>
      </c>
      <c r="E5" s="36" t="s">
        <v>576</v>
      </c>
      <c r="F5" s="31" t="s">
        <v>269</v>
      </c>
      <c r="G5" s="31" t="s">
        <v>279</v>
      </c>
      <c r="H5" s="40" t="n">
        <v>2500</v>
      </c>
      <c r="I5" s="33" t="s">
        <v>473</v>
      </c>
      <c r="J5" s="31"/>
      <c r="K5" s="36"/>
      <c r="L5" s="47" t="str">
        <f aca="false">IF($B5="","",IF(NOT(ISNUMBER($B5)),"日期不是日期格式",IF(YEAR($B5)&lt;&gt;首页!$B$3,"不在会计年度",IF($F5="","未填借方科目",IF($G5="","未填贷方科目",IF(LEFT($M5,1)="⚠","借方科目不存在",IF(LEFT($N5,1)="⚠","贷方科目不存在",IF($F5=$G5,"借贷科目不能相同",IF(NOT(ISNUMBER($H5)),"金额须为数字",IF(N($H5)&lt;=0,"金额须大于0","√"))))))))))</f>
        <v>√</v>
      </c>
      <c r="M5" s="50" t="str">
        <f aca="false">IF($F5="","",IFERROR(INDEX(科目参数!$B$6:$B$125,MATCH($F5,科目参数!$A$6:$A$125,0)),"⚠科目不存在"))</f>
        <v>管理费用</v>
      </c>
      <c r="N5" s="50" t="str">
        <f aca="false">IF($G5="","",IFERROR(INDEX(科目参数!$B$6:$B$125,MATCH($G5,科目参数!$A$6:$A$125,0)),"⚠科目不存在"))</f>
        <v>累计折旧</v>
      </c>
    </row>
    <row r="6" customFormat="false" ht="15.75" hidden="false" customHeight="true" outlineLevel="0" collapsed="false">
      <c r="A6" s="42" t="str">
        <f aca="false">IF($B6="","","QT"&amp;TEXT($B6,"yyyymm")&amp;"-"&amp;TEXT(ROW()-4,"000"))</f>
        <v>QT202601-002</v>
      </c>
      <c r="B6" s="41" t="n">
        <v>46053</v>
      </c>
      <c r="C6" s="42" t="str">
        <f aca="false">IF($B6="","",TEXT($B6,"yyyy-mm"))</f>
        <v>2026-01</v>
      </c>
      <c r="D6" s="33" t="s">
        <v>577</v>
      </c>
      <c r="E6" s="36" t="s">
        <v>578</v>
      </c>
      <c r="F6" s="31" t="s">
        <v>269</v>
      </c>
      <c r="G6" s="31" t="s">
        <v>261</v>
      </c>
      <c r="H6" s="40" t="n">
        <v>18000</v>
      </c>
      <c r="I6" s="33" t="s">
        <v>473</v>
      </c>
      <c r="J6" s="31"/>
      <c r="K6" s="36"/>
      <c r="L6" s="47" t="str">
        <f aca="false">IF($B6="","",IF(NOT(ISNUMBER($B6)),"日期不是日期格式",IF(YEAR($B6)&lt;&gt;首页!$B$3,"不在会计年度",IF($F6="","未填借方科目",IF($G6="","未填贷方科目",IF(LEFT($M6,1)="⚠","借方科目不存在",IF(LEFT($N6,1)="⚠","贷方科目不存在",IF($F6=$G6,"借贷科目不能相同",IF(NOT(ISNUMBER($H6)),"金额须为数字",IF(N($H6)&lt;=0,"金额须大于0","√"))))))))))</f>
        <v>√</v>
      </c>
      <c r="M6" s="50" t="str">
        <f aca="false">IF($F6="","",IFERROR(INDEX(科目参数!$B$6:$B$125,MATCH($F6,科目参数!$A$6:$A$125,0)),"⚠科目不存在"))</f>
        <v>管理费用</v>
      </c>
      <c r="N6" s="50" t="str">
        <f aca="false">IF($G6="","",IFERROR(INDEX(科目参数!$B$6:$B$125,MATCH($G6,科目参数!$A$6:$A$125,0)),"⚠科目不存在"))</f>
        <v>应付职工薪酬</v>
      </c>
    </row>
    <row r="7" customFormat="false" ht="15.75" hidden="false" customHeight="true" outlineLevel="0" collapsed="false">
      <c r="A7" s="42" t="str">
        <f aca="false">IF($B7="","","QT"&amp;TEXT($B7,"yyyymm")&amp;"-"&amp;TEXT(ROW()-4,"000"))</f>
        <v>QT202601-003</v>
      </c>
      <c r="B7" s="41" t="n">
        <v>46053</v>
      </c>
      <c r="C7" s="42" t="str">
        <f aca="false">IF($B7="","",TEXT($B7,"yyyy-mm"))</f>
        <v>2026-01</v>
      </c>
      <c r="D7" s="33" t="s">
        <v>579</v>
      </c>
      <c r="E7" s="36" t="s">
        <v>580</v>
      </c>
      <c r="F7" s="31" t="s">
        <v>388</v>
      </c>
      <c r="G7" s="31" t="s">
        <v>273</v>
      </c>
      <c r="H7" s="40" t="n">
        <v>500</v>
      </c>
      <c r="I7" s="33" t="s">
        <v>463</v>
      </c>
      <c r="J7" s="31"/>
      <c r="K7" s="36"/>
      <c r="L7" s="47" t="str">
        <f aca="false">IF($B7="","",IF(NOT(ISNUMBER($B7)),"日期不是日期格式",IF(YEAR($B7)&lt;&gt;首页!$B$3,"不在会计年度",IF($F7="","未填借方科目",IF($G7="","未填贷方科目",IF(LEFT($M7,1)="⚠","借方科目不存在",IF(LEFT($N7,1)="⚠","贷方科目不存在",IF($F7=$G7,"借贷科目不能相同",IF(NOT(ISNUMBER($H7)),"金额须为数字",IF(N($H7)&lt;=0,"金额须大于0","√"))))))))))</f>
        <v>√</v>
      </c>
      <c r="M7" s="50" t="str">
        <f aca="false">IF($F7="","",IFERROR(INDEX(科目参数!$B$6:$B$125,MATCH($F7,科目参数!$A$6:$A$125,0)),"⚠科目不存在"))</f>
        <v>税金及附加</v>
      </c>
      <c r="N7" s="50" t="str">
        <f aca="false">IF($G7="","",IFERROR(INDEX(科目参数!$B$6:$B$125,MATCH($G7,科目参数!$A$6:$A$125,0)),"⚠科目不存在"))</f>
        <v>应交税费</v>
      </c>
    </row>
    <row r="8" customFormat="false" ht="15.75" hidden="false" customHeight="true" outlineLevel="0" collapsed="false">
      <c r="A8" s="42" t="str">
        <f aca="false">IF($B8="","","QT"&amp;TEXT($B8,"yyyymm")&amp;"-"&amp;TEXT(ROW()-4,"000"))</f>
        <v/>
      </c>
      <c r="B8" s="41"/>
      <c r="C8" s="42" t="str">
        <f aca="false">IF($B8="","",TEXT($B8,"yyyy-mm"))</f>
        <v/>
      </c>
      <c r="D8" s="33"/>
      <c r="E8" s="36"/>
      <c r="F8" s="31"/>
      <c r="G8" s="31"/>
      <c r="H8" s="40"/>
      <c r="I8" s="33"/>
      <c r="J8" s="31"/>
      <c r="K8" s="36"/>
      <c r="L8" s="47" t="str">
        <f aca="false">IF($B8="","",IF(NOT(ISNUMBER($B8)),"日期不是日期格式",IF(YEAR($B8)&lt;&gt;首页!$B$3,"不在会计年度",IF($F8="","未填借方科目",IF($G8="","未填贷方科目",IF(LEFT($M8,1)="⚠","借方科目不存在",IF(LEFT($N8,1)="⚠","贷方科目不存在",IF($F8=$G8,"借贷科目不能相同",IF(NOT(ISNUMBER($H8)),"金额须为数字",IF(N($H8)&lt;=0,"金额须大于0","√"))))))))))</f>
        <v/>
      </c>
      <c r="M8" s="50" t="str">
        <f aca="false">IF($F8="","",IFERROR(INDEX(科目参数!$B$6:$B$125,MATCH($F8,科目参数!$A$6:$A$125,0)),"⚠科目不存在"))</f>
        <v/>
      </c>
      <c r="N8" s="50" t="str">
        <f aca="false">IF($G8="","",IFERROR(INDEX(科目参数!$B$6:$B$125,MATCH($G8,科目参数!$A$6:$A$125,0)),"⚠科目不存在"))</f>
        <v/>
      </c>
    </row>
    <row r="9" customFormat="false" ht="15.75" hidden="false" customHeight="true" outlineLevel="0" collapsed="false">
      <c r="A9" s="42" t="str">
        <f aca="false">IF($B9="","","QT"&amp;TEXT($B9,"yyyymm")&amp;"-"&amp;TEXT(ROW()-4,"000"))</f>
        <v/>
      </c>
      <c r="B9" s="41"/>
      <c r="C9" s="42" t="str">
        <f aca="false">IF($B9="","",TEXT($B9,"yyyy-mm"))</f>
        <v/>
      </c>
      <c r="D9" s="33"/>
      <c r="E9" s="36"/>
      <c r="F9" s="31"/>
      <c r="G9" s="31"/>
      <c r="H9" s="40"/>
      <c r="I9" s="33"/>
      <c r="J9" s="31"/>
      <c r="K9" s="36"/>
      <c r="L9" s="47" t="str">
        <f aca="false">IF($B9="","",IF(NOT(ISNUMBER($B9)),"日期不是日期格式",IF(YEAR($B9)&lt;&gt;首页!$B$3,"不在会计年度",IF($F9="","未填借方科目",IF($G9="","未填贷方科目",IF(LEFT($M9,1)="⚠","借方科目不存在",IF(LEFT($N9,1)="⚠","贷方科目不存在",IF($F9=$G9,"借贷科目不能相同",IF(NOT(ISNUMBER($H9)),"金额须为数字",IF(N($H9)&lt;=0,"金额须大于0","√"))))))))))</f>
        <v/>
      </c>
      <c r="M9" s="50" t="str">
        <f aca="false">IF($F9="","",IFERROR(INDEX(科目参数!$B$6:$B$125,MATCH($F9,科目参数!$A$6:$A$125,0)),"⚠科目不存在"))</f>
        <v/>
      </c>
      <c r="N9" s="50" t="str">
        <f aca="false">IF($G9="","",IFERROR(INDEX(科目参数!$B$6:$B$125,MATCH($G9,科目参数!$A$6:$A$125,0)),"⚠科目不存在"))</f>
        <v/>
      </c>
    </row>
    <row r="10" customFormat="false" ht="15.75" hidden="false" customHeight="true" outlineLevel="0" collapsed="false">
      <c r="A10" s="42" t="str">
        <f aca="false">IF($B10="","","QT"&amp;TEXT($B10,"yyyymm")&amp;"-"&amp;TEXT(ROW()-4,"000"))</f>
        <v/>
      </c>
      <c r="B10" s="41"/>
      <c r="C10" s="42" t="str">
        <f aca="false">IF($B10="","",TEXT($B10,"yyyy-mm"))</f>
        <v/>
      </c>
      <c r="D10" s="33"/>
      <c r="E10" s="36"/>
      <c r="F10" s="31"/>
      <c r="G10" s="31"/>
      <c r="H10" s="40"/>
      <c r="I10" s="33"/>
      <c r="J10" s="31"/>
      <c r="K10" s="36"/>
      <c r="L10" s="47" t="str">
        <f aca="false">IF($B10="","",IF(NOT(ISNUMBER($B10)),"日期不是日期格式",IF(YEAR($B10)&lt;&gt;首页!$B$3,"不在会计年度",IF($F10="","未填借方科目",IF($G10="","未填贷方科目",IF(LEFT($M10,1)="⚠","借方科目不存在",IF(LEFT($N10,1)="⚠","贷方科目不存在",IF($F10=$G10,"借贷科目不能相同",IF(NOT(ISNUMBER($H10)),"金额须为数字",IF(N($H10)&lt;=0,"金额须大于0","√"))))))))))</f>
        <v/>
      </c>
      <c r="M10" s="50" t="str">
        <f aca="false">IF($F10="","",IFERROR(INDEX(科目参数!$B$6:$B$125,MATCH($F10,科目参数!$A$6:$A$125,0)),"⚠科目不存在"))</f>
        <v/>
      </c>
      <c r="N10" s="50" t="str">
        <f aca="false">IF($G10="","",IFERROR(INDEX(科目参数!$B$6:$B$125,MATCH($G10,科目参数!$A$6:$A$125,0)),"⚠科目不存在"))</f>
        <v/>
      </c>
    </row>
    <row r="11" customFormat="false" ht="15.75" hidden="false" customHeight="true" outlineLevel="0" collapsed="false">
      <c r="A11" s="42" t="str">
        <f aca="false">IF($B11="","","QT"&amp;TEXT($B11,"yyyymm")&amp;"-"&amp;TEXT(ROW()-4,"000"))</f>
        <v/>
      </c>
      <c r="B11" s="41"/>
      <c r="C11" s="42" t="str">
        <f aca="false">IF($B11="","",TEXT($B11,"yyyy-mm"))</f>
        <v/>
      </c>
      <c r="D11" s="33"/>
      <c r="E11" s="36"/>
      <c r="F11" s="31"/>
      <c r="G11" s="31"/>
      <c r="H11" s="40"/>
      <c r="I11" s="33"/>
      <c r="J11" s="31"/>
      <c r="K11" s="36"/>
      <c r="L11" s="47" t="str">
        <f aca="false">IF($B11="","",IF(NOT(ISNUMBER($B11)),"日期不是日期格式",IF(YEAR($B11)&lt;&gt;首页!$B$3,"不在会计年度",IF($F11="","未填借方科目",IF($G11="","未填贷方科目",IF(LEFT($M11,1)="⚠","借方科目不存在",IF(LEFT($N11,1)="⚠","贷方科目不存在",IF($F11=$G11,"借贷科目不能相同",IF(NOT(ISNUMBER($H11)),"金额须为数字",IF(N($H11)&lt;=0,"金额须大于0","√"))))))))))</f>
        <v/>
      </c>
      <c r="M11" s="50" t="str">
        <f aca="false">IF($F11="","",IFERROR(INDEX(科目参数!$B$6:$B$125,MATCH($F11,科目参数!$A$6:$A$125,0)),"⚠科目不存在"))</f>
        <v/>
      </c>
      <c r="N11" s="50" t="str">
        <f aca="false">IF($G11="","",IFERROR(INDEX(科目参数!$B$6:$B$125,MATCH($G11,科目参数!$A$6:$A$125,0)),"⚠科目不存在"))</f>
        <v/>
      </c>
    </row>
    <row r="12" customFormat="false" ht="15.75" hidden="false" customHeight="true" outlineLevel="0" collapsed="false">
      <c r="A12" s="42" t="str">
        <f aca="false">IF($B12="","","QT"&amp;TEXT($B12,"yyyymm")&amp;"-"&amp;TEXT(ROW()-4,"000"))</f>
        <v/>
      </c>
      <c r="B12" s="41"/>
      <c r="C12" s="42" t="str">
        <f aca="false">IF($B12="","",TEXT($B12,"yyyy-mm"))</f>
        <v/>
      </c>
      <c r="D12" s="33"/>
      <c r="E12" s="36"/>
      <c r="F12" s="31"/>
      <c r="G12" s="31"/>
      <c r="H12" s="40"/>
      <c r="I12" s="33"/>
      <c r="J12" s="31"/>
      <c r="K12" s="36"/>
      <c r="L12" s="47" t="str">
        <f aca="false">IF($B12="","",IF(NOT(ISNUMBER($B12)),"日期不是日期格式",IF(YEAR($B12)&lt;&gt;首页!$B$3,"不在会计年度",IF($F12="","未填借方科目",IF($G12="","未填贷方科目",IF(LEFT($M12,1)="⚠","借方科目不存在",IF(LEFT($N12,1)="⚠","贷方科目不存在",IF($F12=$G12,"借贷科目不能相同",IF(NOT(ISNUMBER($H12)),"金额须为数字",IF(N($H12)&lt;=0,"金额须大于0","√"))))))))))</f>
        <v/>
      </c>
      <c r="M12" s="50" t="str">
        <f aca="false">IF($F12="","",IFERROR(INDEX(科目参数!$B$6:$B$125,MATCH($F12,科目参数!$A$6:$A$125,0)),"⚠科目不存在"))</f>
        <v/>
      </c>
      <c r="N12" s="50" t="str">
        <f aca="false">IF($G12="","",IFERROR(INDEX(科目参数!$B$6:$B$125,MATCH($G12,科目参数!$A$6:$A$125,0)),"⚠科目不存在"))</f>
        <v/>
      </c>
    </row>
    <row r="13" customFormat="false" ht="15.75" hidden="false" customHeight="true" outlineLevel="0" collapsed="false">
      <c r="A13" s="42" t="str">
        <f aca="false">IF($B13="","","QT"&amp;TEXT($B13,"yyyymm")&amp;"-"&amp;TEXT(ROW()-4,"000"))</f>
        <v/>
      </c>
      <c r="B13" s="41"/>
      <c r="C13" s="42" t="str">
        <f aca="false">IF($B13="","",TEXT($B13,"yyyy-mm"))</f>
        <v/>
      </c>
      <c r="D13" s="33"/>
      <c r="E13" s="36"/>
      <c r="F13" s="31"/>
      <c r="G13" s="31"/>
      <c r="H13" s="40"/>
      <c r="I13" s="33"/>
      <c r="J13" s="31"/>
      <c r="K13" s="36"/>
      <c r="L13" s="47" t="str">
        <f aca="false">IF($B13="","",IF(NOT(ISNUMBER($B13)),"日期不是日期格式",IF(YEAR($B13)&lt;&gt;首页!$B$3,"不在会计年度",IF($F13="","未填借方科目",IF($G13="","未填贷方科目",IF(LEFT($M13,1)="⚠","借方科目不存在",IF(LEFT($N13,1)="⚠","贷方科目不存在",IF($F13=$G13,"借贷科目不能相同",IF(NOT(ISNUMBER($H13)),"金额须为数字",IF(N($H13)&lt;=0,"金额须大于0","√"))))))))))</f>
        <v/>
      </c>
      <c r="M13" s="50" t="str">
        <f aca="false">IF($F13="","",IFERROR(INDEX(科目参数!$B$6:$B$125,MATCH($F13,科目参数!$A$6:$A$125,0)),"⚠科目不存在"))</f>
        <v/>
      </c>
      <c r="N13" s="50" t="str">
        <f aca="false">IF($G13="","",IFERROR(INDEX(科目参数!$B$6:$B$125,MATCH($G13,科目参数!$A$6:$A$125,0)),"⚠科目不存在"))</f>
        <v/>
      </c>
    </row>
    <row r="14" customFormat="false" ht="15.75" hidden="false" customHeight="true" outlineLevel="0" collapsed="false">
      <c r="A14" s="42" t="str">
        <f aca="false">IF($B14="","","QT"&amp;TEXT($B14,"yyyymm")&amp;"-"&amp;TEXT(ROW()-4,"000"))</f>
        <v/>
      </c>
      <c r="B14" s="41"/>
      <c r="C14" s="42" t="str">
        <f aca="false">IF($B14="","",TEXT($B14,"yyyy-mm"))</f>
        <v/>
      </c>
      <c r="D14" s="33"/>
      <c r="E14" s="36"/>
      <c r="F14" s="31"/>
      <c r="G14" s="31"/>
      <c r="H14" s="40"/>
      <c r="I14" s="33"/>
      <c r="J14" s="31"/>
      <c r="K14" s="36"/>
      <c r="L14" s="47" t="str">
        <f aca="false">IF($B14="","",IF(NOT(ISNUMBER($B14)),"日期不是日期格式",IF(YEAR($B14)&lt;&gt;首页!$B$3,"不在会计年度",IF($F14="","未填借方科目",IF($G14="","未填贷方科目",IF(LEFT($M14,1)="⚠","借方科目不存在",IF(LEFT($N14,1)="⚠","贷方科目不存在",IF($F14=$G14,"借贷科目不能相同",IF(NOT(ISNUMBER($H14)),"金额须为数字",IF(N($H14)&lt;=0,"金额须大于0","√"))))))))))</f>
        <v/>
      </c>
      <c r="M14" s="50" t="str">
        <f aca="false">IF($F14="","",IFERROR(INDEX(科目参数!$B$6:$B$125,MATCH($F14,科目参数!$A$6:$A$125,0)),"⚠科目不存在"))</f>
        <v/>
      </c>
      <c r="N14" s="50" t="str">
        <f aca="false">IF($G14="","",IFERROR(INDEX(科目参数!$B$6:$B$125,MATCH($G14,科目参数!$A$6:$A$125,0)),"⚠科目不存在"))</f>
        <v/>
      </c>
    </row>
    <row r="15" customFormat="false" ht="15.75" hidden="false" customHeight="true" outlineLevel="0" collapsed="false">
      <c r="A15" s="42" t="str">
        <f aca="false">IF($B15="","","QT"&amp;TEXT($B15,"yyyymm")&amp;"-"&amp;TEXT(ROW()-4,"000"))</f>
        <v/>
      </c>
      <c r="B15" s="41"/>
      <c r="C15" s="42" t="str">
        <f aca="false">IF($B15="","",TEXT($B15,"yyyy-mm"))</f>
        <v/>
      </c>
      <c r="D15" s="33"/>
      <c r="E15" s="36"/>
      <c r="F15" s="31"/>
      <c r="G15" s="31"/>
      <c r="H15" s="40"/>
      <c r="I15" s="33"/>
      <c r="J15" s="31"/>
      <c r="K15" s="36"/>
      <c r="L15" s="47" t="str">
        <f aca="false">IF($B15="","",IF(NOT(ISNUMBER($B15)),"日期不是日期格式",IF(YEAR($B15)&lt;&gt;首页!$B$3,"不在会计年度",IF($F15="","未填借方科目",IF($G15="","未填贷方科目",IF(LEFT($M15,1)="⚠","借方科目不存在",IF(LEFT($N15,1)="⚠","贷方科目不存在",IF($F15=$G15,"借贷科目不能相同",IF(NOT(ISNUMBER($H15)),"金额须为数字",IF(N($H15)&lt;=0,"金额须大于0","√"))))))))))</f>
        <v/>
      </c>
      <c r="M15" s="50" t="str">
        <f aca="false">IF($F15="","",IFERROR(INDEX(科目参数!$B$6:$B$125,MATCH($F15,科目参数!$A$6:$A$125,0)),"⚠科目不存在"))</f>
        <v/>
      </c>
      <c r="N15" s="50" t="str">
        <f aca="false">IF($G15="","",IFERROR(INDEX(科目参数!$B$6:$B$125,MATCH($G15,科目参数!$A$6:$A$125,0)),"⚠科目不存在"))</f>
        <v/>
      </c>
    </row>
    <row r="16" customFormat="false" ht="15.75" hidden="false" customHeight="true" outlineLevel="0" collapsed="false">
      <c r="A16" s="42" t="str">
        <f aca="false">IF($B16="","","QT"&amp;TEXT($B16,"yyyymm")&amp;"-"&amp;TEXT(ROW()-4,"000"))</f>
        <v/>
      </c>
      <c r="B16" s="41"/>
      <c r="C16" s="42" t="str">
        <f aca="false">IF($B16="","",TEXT($B16,"yyyy-mm"))</f>
        <v/>
      </c>
      <c r="D16" s="33"/>
      <c r="E16" s="36"/>
      <c r="F16" s="31"/>
      <c r="G16" s="31"/>
      <c r="H16" s="40"/>
      <c r="I16" s="33"/>
      <c r="J16" s="31"/>
      <c r="K16" s="36"/>
      <c r="L16" s="47" t="str">
        <f aca="false">IF($B16="","",IF(NOT(ISNUMBER($B16)),"日期不是日期格式",IF(YEAR($B16)&lt;&gt;首页!$B$3,"不在会计年度",IF($F16="","未填借方科目",IF($G16="","未填贷方科目",IF(LEFT($M16,1)="⚠","借方科目不存在",IF(LEFT($N16,1)="⚠","贷方科目不存在",IF($F16=$G16,"借贷科目不能相同",IF(NOT(ISNUMBER($H16)),"金额须为数字",IF(N($H16)&lt;=0,"金额须大于0","√"))))))))))</f>
        <v/>
      </c>
      <c r="M16" s="50" t="str">
        <f aca="false">IF($F16="","",IFERROR(INDEX(科目参数!$B$6:$B$125,MATCH($F16,科目参数!$A$6:$A$125,0)),"⚠科目不存在"))</f>
        <v/>
      </c>
      <c r="N16" s="50" t="str">
        <f aca="false">IF($G16="","",IFERROR(INDEX(科目参数!$B$6:$B$125,MATCH($G16,科目参数!$A$6:$A$125,0)),"⚠科目不存在"))</f>
        <v/>
      </c>
    </row>
    <row r="17" customFormat="false" ht="15.75" hidden="false" customHeight="true" outlineLevel="0" collapsed="false">
      <c r="A17" s="42" t="str">
        <f aca="false">IF($B17="","","QT"&amp;TEXT($B17,"yyyymm")&amp;"-"&amp;TEXT(ROW()-4,"000"))</f>
        <v/>
      </c>
      <c r="B17" s="41"/>
      <c r="C17" s="42" t="str">
        <f aca="false">IF($B17="","",TEXT($B17,"yyyy-mm"))</f>
        <v/>
      </c>
      <c r="D17" s="33"/>
      <c r="E17" s="36"/>
      <c r="F17" s="31"/>
      <c r="G17" s="31"/>
      <c r="H17" s="40"/>
      <c r="I17" s="33"/>
      <c r="J17" s="31"/>
      <c r="K17" s="36"/>
      <c r="L17" s="47" t="str">
        <f aca="false">IF($B17="","",IF(NOT(ISNUMBER($B17)),"日期不是日期格式",IF(YEAR($B17)&lt;&gt;首页!$B$3,"不在会计年度",IF($F17="","未填借方科目",IF($G17="","未填贷方科目",IF(LEFT($M17,1)="⚠","借方科目不存在",IF(LEFT($N17,1)="⚠","贷方科目不存在",IF($F17=$G17,"借贷科目不能相同",IF(NOT(ISNUMBER($H17)),"金额须为数字",IF(N($H17)&lt;=0,"金额须大于0","√"))))))))))</f>
        <v/>
      </c>
      <c r="M17" s="50" t="str">
        <f aca="false">IF($F17="","",IFERROR(INDEX(科目参数!$B$6:$B$125,MATCH($F17,科目参数!$A$6:$A$125,0)),"⚠科目不存在"))</f>
        <v/>
      </c>
      <c r="N17" s="50" t="str">
        <f aca="false">IF($G17="","",IFERROR(INDEX(科目参数!$B$6:$B$125,MATCH($G17,科目参数!$A$6:$A$125,0)),"⚠科目不存在"))</f>
        <v/>
      </c>
    </row>
    <row r="18" customFormat="false" ht="15.75" hidden="false" customHeight="true" outlineLevel="0" collapsed="false">
      <c r="A18" s="42" t="str">
        <f aca="false">IF($B18="","","QT"&amp;TEXT($B18,"yyyymm")&amp;"-"&amp;TEXT(ROW()-4,"000"))</f>
        <v/>
      </c>
      <c r="B18" s="41"/>
      <c r="C18" s="42" t="str">
        <f aca="false">IF($B18="","",TEXT($B18,"yyyy-mm"))</f>
        <v/>
      </c>
      <c r="D18" s="33"/>
      <c r="E18" s="36"/>
      <c r="F18" s="31"/>
      <c r="G18" s="31"/>
      <c r="H18" s="40"/>
      <c r="I18" s="33"/>
      <c r="J18" s="31"/>
      <c r="K18" s="36"/>
      <c r="L18" s="47" t="str">
        <f aca="false">IF($B18="","",IF(NOT(ISNUMBER($B18)),"日期不是日期格式",IF(YEAR($B18)&lt;&gt;首页!$B$3,"不在会计年度",IF($F18="","未填借方科目",IF($G18="","未填贷方科目",IF(LEFT($M18,1)="⚠","借方科目不存在",IF(LEFT($N18,1)="⚠","贷方科目不存在",IF($F18=$G18,"借贷科目不能相同",IF(NOT(ISNUMBER($H18)),"金额须为数字",IF(N($H18)&lt;=0,"金额须大于0","√"))))))))))</f>
        <v/>
      </c>
      <c r="M18" s="50" t="str">
        <f aca="false">IF($F18="","",IFERROR(INDEX(科目参数!$B$6:$B$125,MATCH($F18,科目参数!$A$6:$A$125,0)),"⚠科目不存在"))</f>
        <v/>
      </c>
      <c r="N18" s="50" t="str">
        <f aca="false">IF($G18="","",IFERROR(INDEX(科目参数!$B$6:$B$125,MATCH($G18,科目参数!$A$6:$A$125,0)),"⚠科目不存在"))</f>
        <v/>
      </c>
    </row>
    <row r="19" customFormat="false" ht="15.75" hidden="false" customHeight="true" outlineLevel="0" collapsed="false">
      <c r="A19" s="42" t="str">
        <f aca="false">IF($B19="","","QT"&amp;TEXT($B19,"yyyymm")&amp;"-"&amp;TEXT(ROW()-4,"000"))</f>
        <v/>
      </c>
      <c r="B19" s="41"/>
      <c r="C19" s="42" t="str">
        <f aca="false">IF($B19="","",TEXT($B19,"yyyy-mm"))</f>
        <v/>
      </c>
      <c r="D19" s="33"/>
      <c r="E19" s="36"/>
      <c r="F19" s="31"/>
      <c r="G19" s="31"/>
      <c r="H19" s="40"/>
      <c r="I19" s="33"/>
      <c r="J19" s="31"/>
      <c r="K19" s="36"/>
      <c r="L19" s="47" t="str">
        <f aca="false">IF($B19="","",IF(NOT(ISNUMBER($B19)),"日期不是日期格式",IF(YEAR($B19)&lt;&gt;首页!$B$3,"不在会计年度",IF($F19="","未填借方科目",IF($G19="","未填贷方科目",IF(LEFT($M19,1)="⚠","借方科目不存在",IF(LEFT($N19,1)="⚠","贷方科目不存在",IF($F19=$G19,"借贷科目不能相同",IF(NOT(ISNUMBER($H19)),"金额须为数字",IF(N($H19)&lt;=0,"金额须大于0","√"))))))))))</f>
        <v/>
      </c>
      <c r="M19" s="50" t="str">
        <f aca="false">IF($F19="","",IFERROR(INDEX(科目参数!$B$6:$B$125,MATCH($F19,科目参数!$A$6:$A$125,0)),"⚠科目不存在"))</f>
        <v/>
      </c>
      <c r="N19" s="50" t="str">
        <f aca="false">IF($G19="","",IFERROR(INDEX(科目参数!$B$6:$B$125,MATCH($G19,科目参数!$A$6:$A$125,0)),"⚠科目不存在"))</f>
        <v/>
      </c>
    </row>
    <row r="20" customFormat="false" ht="15.75" hidden="false" customHeight="true" outlineLevel="0" collapsed="false">
      <c r="A20" s="42" t="str">
        <f aca="false">IF($B20="","","QT"&amp;TEXT($B20,"yyyymm")&amp;"-"&amp;TEXT(ROW()-4,"000"))</f>
        <v/>
      </c>
      <c r="B20" s="41"/>
      <c r="C20" s="42" t="str">
        <f aca="false">IF($B20="","",TEXT($B20,"yyyy-mm"))</f>
        <v/>
      </c>
      <c r="D20" s="33"/>
      <c r="E20" s="36"/>
      <c r="F20" s="31"/>
      <c r="G20" s="31"/>
      <c r="H20" s="40"/>
      <c r="I20" s="33"/>
      <c r="J20" s="31"/>
      <c r="K20" s="36"/>
      <c r="L20" s="47" t="str">
        <f aca="false">IF($B20="","",IF(NOT(ISNUMBER($B20)),"日期不是日期格式",IF(YEAR($B20)&lt;&gt;首页!$B$3,"不在会计年度",IF($F20="","未填借方科目",IF($G20="","未填贷方科目",IF(LEFT($M20,1)="⚠","借方科目不存在",IF(LEFT($N20,1)="⚠","贷方科目不存在",IF($F20=$G20,"借贷科目不能相同",IF(NOT(ISNUMBER($H20)),"金额须为数字",IF(N($H20)&lt;=0,"金额须大于0","√"))))))))))</f>
        <v/>
      </c>
      <c r="M20" s="50" t="str">
        <f aca="false">IF($F20="","",IFERROR(INDEX(科目参数!$B$6:$B$125,MATCH($F20,科目参数!$A$6:$A$125,0)),"⚠科目不存在"))</f>
        <v/>
      </c>
      <c r="N20" s="50" t="str">
        <f aca="false">IF($G20="","",IFERROR(INDEX(科目参数!$B$6:$B$125,MATCH($G20,科目参数!$A$6:$A$125,0)),"⚠科目不存在"))</f>
        <v/>
      </c>
    </row>
    <row r="21" customFormat="false" ht="15.75" hidden="false" customHeight="true" outlineLevel="0" collapsed="false">
      <c r="A21" s="42" t="str">
        <f aca="false">IF($B21="","","QT"&amp;TEXT($B21,"yyyymm")&amp;"-"&amp;TEXT(ROW()-4,"000"))</f>
        <v/>
      </c>
      <c r="B21" s="41"/>
      <c r="C21" s="42" t="str">
        <f aca="false">IF($B21="","",TEXT($B21,"yyyy-mm"))</f>
        <v/>
      </c>
      <c r="D21" s="33"/>
      <c r="E21" s="36"/>
      <c r="F21" s="31"/>
      <c r="G21" s="31"/>
      <c r="H21" s="40"/>
      <c r="I21" s="33"/>
      <c r="J21" s="31"/>
      <c r="K21" s="36"/>
      <c r="L21" s="47" t="str">
        <f aca="false">IF($B21="","",IF(NOT(ISNUMBER($B21)),"日期不是日期格式",IF(YEAR($B21)&lt;&gt;首页!$B$3,"不在会计年度",IF($F21="","未填借方科目",IF($G21="","未填贷方科目",IF(LEFT($M21,1)="⚠","借方科目不存在",IF(LEFT($N21,1)="⚠","贷方科目不存在",IF($F21=$G21,"借贷科目不能相同",IF(NOT(ISNUMBER($H21)),"金额须为数字",IF(N($H21)&lt;=0,"金额须大于0","√"))))))))))</f>
        <v/>
      </c>
      <c r="M21" s="50" t="str">
        <f aca="false">IF($F21="","",IFERROR(INDEX(科目参数!$B$6:$B$125,MATCH($F21,科目参数!$A$6:$A$125,0)),"⚠科目不存在"))</f>
        <v/>
      </c>
      <c r="N21" s="50" t="str">
        <f aca="false">IF($G21="","",IFERROR(INDEX(科目参数!$B$6:$B$125,MATCH($G21,科目参数!$A$6:$A$125,0)),"⚠科目不存在"))</f>
        <v/>
      </c>
    </row>
    <row r="22" customFormat="false" ht="15.75" hidden="false" customHeight="true" outlineLevel="0" collapsed="false">
      <c r="A22" s="42" t="str">
        <f aca="false">IF($B22="","","QT"&amp;TEXT($B22,"yyyymm")&amp;"-"&amp;TEXT(ROW()-4,"000"))</f>
        <v/>
      </c>
      <c r="B22" s="41"/>
      <c r="C22" s="42" t="str">
        <f aca="false">IF($B22="","",TEXT($B22,"yyyy-mm"))</f>
        <v/>
      </c>
      <c r="D22" s="33"/>
      <c r="E22" s="36"/>
      <c r="F22" s="31"/>
      <c r="G22" s="31"/>
      <c r="H22" s="40"/>
      <c r="I22" s="33"/>
      <c r="J22" s="31"/>
      <c r="K22" s="36"/>
      <c r="L22" s="47" t="str">
        <f aca="false">IF($B22="","",IF(NOT(ISNUMBER($B22)),"日期不是日期格式",IF(YEAR($B22)&lt;&gt;首页!$B$3,"不在会计年度",IF($F22="","未填借方科目",IF($G22="","未填贷方科目",IF(LEFT($M22,1)="⚠","借方科目不存在",IF(LEFT($N22,1)="⚠","贷方科目不存在",IF($F22=$G22,"借贷科目不能相同",IF(NOT(ISNUMBER($H22)),"金额须为数字",IF(N($H22)&lt;=0,"金额须大于0","√"))))))))))</f>
        <v/>
      </c>
      <c r="M22" s="50" t="str">
        <f aca="false">IF($F22="","",IFERROR(INDEX(科目参数!$B$6:$B$125,MATCH($F22,科目参数!$A$6:$A$125,0)),"⚠科目不存在"))</f>
        <v/>
      </c>
      <c r="N22" s="50" t="str">
        <f aca="false">IF($G22="","",IFERROR(INDEX(科目参数!$B$6:$B$125,MATCH($G22,科目参数!$A$6:$A$125,0)),"⚠科目不存在"))</f>
        <v/>
      </c>
    </row>
    <row r="23" customFormat="false" ht="15.75" hidden="false" customHeight="true" outlineLevel="0" collapsed="false">
      <c r="A23" s="42" t="str">
        <f aca="false">IF($B23="","","QT"&amp;TEXT($B23,"yyyymm")&amp;"-"&amp;TEXT(ROW()-4,"000"))</f>
        <v/>
      </c>
      <c r="B23" s="41"/>
      <c r="C23" s="42" t="str">
        <f aca="false">IF($B23="","",TEXT($B23,"yyyy-mm"))</f>
        <v/>
      </c>
      <c r="D23" s="33"/>
      <c r="E23" s="36"/>
      <c r="F23" s="31"/>
      <c r="G23" s="31"/>
      <c r="H23" s="40"/>
      <c r="I23" s="33"/>
      <c r="J23" s="31"/>
      <c r="K23" s="36"/>
      <c r="L23" s="47" t="str">
        <f aca="false">IF($B23="","",IF(NOT(ISNUMBER($B23)),"日期不是日期格式",IF(YEAR($B23)&lt;&gt;首页!$B$3,"不在会计年度",IF($F23="","未填借方科目",IF($G23="","未填贷方科目",IF(LEFT($M23,1)="⚠","借方科目不存在",IF(LEFT($N23,1)="⚠","贷方科目不存在",IF($F23=$G23,"借贷科目不能相同",IF(NOT(ISNUMBER($H23)),"金额须为数字",IF(N($H23)&lt;=0,"金额须大于0","√"))))))))))</f>
        <v/>
      </c>
      <c r="M23" s="50" t="str">
        <f aca="false">IF($F23="","",IFERROR(INDEX(科目参数!$B$6:$B$125,MATCH($F23,科目参数!$A$6:$A$125,0)),"⚠科目不存在"))</f>
        <v/>
      </c>
      <c r="N23" s="50" t="str">
        <f aca="false">IF($G23="","",IFERROR(INDEX(科目参数!$B$6:$B$125,MATCH($G23,科目参数!$A$6:$A$125,0)),"⚠科目不存在"))</f>
        <v/>
      </c>
    </row>
    <row r="24" customFormat="false" ht="15.75" hidden="false" customHeight="true" outlineLevel="0" collapsed="false">
      <c r="A24" s="42" t="str">
        <f aca="false">IF($B24="","","QT"&amp;TEXT($B24,"yyyymm")&amp;"-"&amp;TEXT(ROW()-4,"000"))</f>
        <v/>
      </c>
      <c r="B24" s="41"/>
      <c r="C24" s="42" t="str">
        <f aca="false">IF($B24="","",TEXT($B24,"yyyy-mm"))</f>
        <v/>
      </c>
      <c r="D24" s="33"/>
      <c r="E24" s="36"/>
      <c r="F24" s="31"/>
      <c r="G24" s="31"/>
      <c r="H24" s="40"/>
      <c r="I24" s="33"/>
      <c r="J24" s="31"/>
      <c r="K24" s="36"/>
      <c r="L24" s="47" t="str">
        <f aca="false">IF($B24="","",IF(NOT(ISNUMBER($B24)),"日期不是日期格式",IF(YEAR($B24)&lt;&gt;首页!$B$3,"不在会计年度",IF($F24="","未填借方科目",IF($G24="","未填贷方科目",IF(LEFT($M24,1)="⚠","借方科目不存在",IF(LEFT($N24,1)="⚠","贷方科目不存在",IF($F24=$G24,"借贷科目不能相同",IF(NOT(ISNUMBER($H24)),"金额须为数字",IF(N($H24)&lt;=0,"金额须大于0","√"))))))))))</f>
        <v/>
      </c>
      <c r="M24" s="50" t="str">
        <f aca="false">IF($F24="","",IFERROR(INDEX(科目参数!$B$6:$B$125,MATCH($F24,科目参数!$A$6:$A$125,0)),"⚠科目不存在"))</f>
        <v/>
      </c>
      <c r="N24" s="50" t="str">
        <f aca="false">IF($G24="","",IFERROR(INDEX(科目参数!$B$6:$B$125,MATCH($G24,科目参数!$A$6:$A$125,0)),"⚠科目不存在"))</f>
        <v/>
      </c>
    </row>
    <row r="25" customFormat="false" ht="15.75" hidden="false" customHeight="true" outlineLevel="0" collapsed="false">
      <c r="A25" s="42" t="str">
        <f aca="false">IF($B25="","","QT"&amp;TEXT($B25,"yyyymm")&amp;"-"&amp;TEXT(ROW()-4,"000"))</f>
        <v/>
      </c>
      <c r="B25" s="41"/>
      <c r="C25" s="42" t="str">
        <f aca="false">IF($B25="","",TEXT($B25,"yyyy-mm"))</f>
        <v/>
      </c>
      <c r="D25" s="33"/>
      <c r="E25" s="36"/>
      <c r="F25" s="31"/>
      <c r="G25" s="31"/>
      <c r="H25" s="40"/>
      <c r="I25" s="33"/>
      <c r="J25" s="31"/>
      <c r="K25" s="36"/>
      <c r="L25" s="47" t="str">
        <f aca="false">IF($B25="","",IF(NOT(ISNUMBER($B25)),"日期不是日期格式",IF(YEAR($B25)&lt;&gt;首页!$B$3,"不在会计年度",IF($F25="","未填借方科目",IF($G25="","未填贷方科目",IF(LEFT($M25,1)="⚠","借方科目不存在",IF(LEFT($N25,1)="⚠","贷方科目不存在",IF($F25=$G25,"借贷科目不能相同",IF(NOT(ISNUMBER($H25)),"金额须为数字",IF(N($H25)&lt;=0,"金额须大于0","√"))))))))))</f>
        <v/>
      </c>
      <c r="M25" s="50" t="str">
        <f aca="false">IF($F25="","",IFERROR(INDEX(科目参数!$B$6:$B$125,MATCH($F25,科目参数!$A$6:$A$125,0)),"⚠科目不存在"))</f>
        <v/>
      </c>
      <c r="N25" s="50" t="str">
        <f aca="false">IF($G25="","",IFERROR(INDEX(科目参数!$B$6:$B$125,MATCH($G25,科目参数!$A$6:$A$125,0)),"⚠科目不存在"))</f>
        <v/>
      </c>
    </row>
    <row r="26" customFormat="false" ht="15.75" hidden="false" customHeight="true" outlineLevel="0" collapsed="false">
      <c r="A26" s="42" t="str">
        <f aca="false">IF($B26="","","QT"&amp;TEXT($B26,"yyyymm")&amp;"-"&amp;TEXT(ROW()-4,"000"))</f>
        <v/>
      </c>
      <c r="B26" s="41"/>
      <c r="C26" s="42" t="str">
        <f aca="false">IF($B26="","",TEXT($B26,"yyyy-mm"))</f>
        <v/>
      </c>
      <c r="D26" s="33"/>
      <c r="E26" s="36"/>
      <c r="F26" s="31"/>
      <c r="G26" s="31"/>
      <c r="H26" s="40"/>
      <c r="I26" s="33"/>
      <c r="J26" s="31"/>
      <c r="K26" s="36"/>
      <c r="L26" s="47" t="str">
        <f aca="false">IF($B26="","",IF(NOT(ISNUMBER($B26)),"日期不是日期格式",IF(YEAR($B26)&lt;&gt;首页!$B$3,"不在会计年度",IF($F26="","未填借方科目",IF($G26="","未填贷方科目",IF(LEFT($M26,1)="⚠","借方科目不存在",IF(LEFT($N26,1)="⚠","贷方科目不存在",IF($F26=$G26,"借贷科目不能相同",IF(NOT(ISNUMBER($H26)),"金额须为数字",IF(N($H26)&lt;=0,"金额须大于0","√"))))))))))</f>
        <v/>
      </c>
      <c r="M26" s="50" t="str">
        <f aca="false">IF($F26="","",IFERROR(INDEX(科目参数!$B$6:$B$125,MATCH($F26,科目参数!$A$6:$A$125,0)),"⚠科目不存在"))</f>
        <v/>
      </c>
      <c r="N26" s="50" t="str">
        <f aca="false">IF($G26="","",IFERROR(INDEX(科目参数!$B$6:$B$125,MATCH($G26,科目参数!$A$6:$A$125,0)),"⚠科目不存在"))</f>
        <v/>
      </c>
    </row>
    <row r="27" customFormat="false" ht="15.75" hidden="false" customHeight="true" outlineLevel="0" collapsed="false">
      <c r="A27" s="42" t="str">
        <f aca="false">IF($B27="","","QT"&amp;TEXT($B27,"yyyymm")&amp;"-"&amp;TEXT(ROW()-4,"000"))</f>
        <v/>
      </c>
      <c r="B27" s="41"/>
      <c r="C27" s="42" t="str">
        <f aca="false">IF($B27="","",TEXT($B27,"yyyy-mm"))</f>
        <v/>
      </c>
      <c r="D27" s="33"/>
      <c r="E27" s="36"/>
      <c r="F27" s="31"/>
      <c r="G27" s="31"/>
      <c r="H27" s="40"/>
      <c r="I27" s="33"/>
      <c r="J27" s="31"/>
      <c r="K27" s="36"/>
      <c r="L27" s="47" t="str">
        <f aca="false">IF($B27="","",IF(NOT(ISNUMBER($B27)),"日期不是日期格式",IF(YEAR($B27)&lt;&gt;首页!$B$3,"不在会计年度",IF($F27="","未填借方科目",IF($G27="","未填贷方科目",IF(LEFT($M27,1)="⚠","借方科目不存在",IF(LEFT($N27,1)="⚠","贷方科目不存在",IF($F27=$G27,"借贷科目不能相同",IF(NOT(ISNUMBER($H27)),"金额须为数字",IF(N($H27)&lt;=0,"金额须大于0","√"))))))))))</f>
        <v/>
      </c>
      <c r="M27" s="50" t="str">
        <f aca="false">IF($F27="","",IFERROR(INDEX(科目参数!$B$6:$B$125,MATCH($F27,科目参数!$A$6:$A$125,0)),"⚠科目不存在"))</f>
        <v/>
      </c>
      <c r="N27" s="50" t="str">
        <f aca="false">IF($G27="","",IFERROR(INDEX(科目参数!$B$6:$B$125,MATCH($G27,科目参数!$A$6:$A$125,0)),"⚠科目不存在"))</f>
        <v/>
      </c>
    </row>
    <row r="28" customFormat="false" ht="15.75" hidden="false" customHeight="true" outlineLevel="0" collapsed="false">
      <c r="A28" s="42" t="str">
        <f aca="false">IF($B28="","","QT"&amp;TEXT($B28,"yyyymm")&amp;"-"&amp;TEXT(ROW()-4,"000"))</f>
        <v/>
      </c>
      <c r="B28" s="41"/>
      <c r="C28" s="42" t="str">
        <f aca="false">IF($B28="","",TEXT($B28,"yyyy-mm"))</f>
        <v/>
      </c>
      <c r="D28" s="33"/>
      <c r="E28" s="36"/>
      <c r="F28" s="31"/>
      <c r="G28" s="31"/>
      <c r="H28" s="40"/>
      <c r="I28" s="33"/>
      <c r="J28" s="31"/>
      <c r="K28" s="36"/>
      <c r="L28" s="47" t="str">
        <f aca="false">IF($B28="","",IF(NOT(ISNUMBER($B28)),"日期不是日期格式",IF(YEAR($B28)&lt;&gt;首页!$B$3,"不在会计年度",IF($F28="","未填借方科目",IF($G28="","未填贷方科目",IF(LEFT($M28,1)="⚠","借方科目不存在",IF(LEFT($N28,1)="⚠","贷方科目不存在",IF($F28=$G28,"借贷科目不能相同",IF(NOT(ISNUMBER($H28)),"金额须为数字",IF(N($H28)&lt;=0,"金额须大于0","√"))))))))))</f>
        <v/>
      </c>
      <c r="M28" s="50" t="str">
        <f aca="false">IF($F28="","",IFERROR(INDEX(科目参数!$B$6:$B$125,MATCH($F28,科目参数!$A$6:$A$125,0)),"⚠科目不存在"))</f>
        <v/>
      </c>
      <c r="N28" s="50" t="str">
        <f aca="false">IF($G28="","",IFERROR(INDEX(科目参数!$B$6:$B$125,MATCH($G28,科目参数!$A$6:$A$125,0)),"⚠科目不存在"))</f>
        <v/>
      </c>
    </row>
    <row r="29" customFormat="false" ht="15.75" hidden="false" customHeight="true" outlineLevel="0" collapsed="false">
      <c r="A29" s="42" t="str">
        <f aca="false">IF($B29="","","QT"&amp;TEXT($B29,"yyyymm")&amp;"-"&amp;TEXT(ROW()-4,"000"))</f>
        <v/>
      </c>
      <c r="B29" s="41"/>
      <c r="C29" s="42" t="str">
        <f aca="false">IF($B29="","",TEXT($B29,"yyyy-mm"))</f>
        <v/>
      </c>
      <c r="D29" s="33"/>
      <c r="E29" s="36"/>
      <c r="F29" s="31"/>
      <c r="G29" s="31"/>
      <c r="H29" s="40"/>
      <c r="I29" s="33"/>
      <c r="J29" s="31"/>
      <c r="K29" s="36"/>
      <c r="L29" s="47" t="str">
        <f aca="false">IF($B29="","",IF(NOT(ISNUMBER($B29)),"日期不是日期格式",IF(YEAR($B29)&lt;&gt;首页!$B$3,"不在会计年度",IF($F29="","未填借方科目",IF($G29="","未填贷方科目",IF(LEFT($M29,1)="⚠","借方科目不存在",IF(LEFT($N29,1)="⚠","贷方科目不存在",IF($F29=$G29,"借贷科目不能相同",IF(NOT(ISNUMBER($H29)),"金额须为数字",IF(N($H29)&lt;=0,"金额须大于0","√"))))))))))</f>
        <v/>
      </c>
      <c r="M29" s="50" t="str">
        <f aca="false">IF($F29="","",IFERROR(INDEX(科目参数!$B$6:$B$125,MATCH($F29,科目参数!$A$6:$A$125,0)),"⚠科目不存在"))</f>
        <v/>
      </c>
      <c r="N29" s="50" t="str">
        <f aca="false">IF($G29="","",IFERROR(INDEX(科目参数!$B$6:$B$125,MATCH($G29,科目参数!$A$6:$A$125,0)),"⚠科目不存在"))</f>
        <v/>
      </c>
    </row>
    <row r="30" customFormat="false" ht="15.75" hidden="false" customHeight="true" outlineLevel="0" collapsed="false">
      <c r="A30" s="42" t="str">
        <f aca="false">IF($B30="","","QT"&amp;TEXT($B30,"yyyymm")&amp;"-"&amp;TEXT(ROW()-4,"000"))</f>
        <v/>
      </c>
      <c r="B30" s="41"/>
      <c r="C30" s="42" t="str">
        <f aca="false">IF($B30="","",TEXT($B30,"yyyy-mm"))</f>
        <v/>
      </c>
      <c r="D30" s="33"/>
      <c r="E30" s="36"/>
      <c r="F30" s="31"/>
      <c r="G30" s="31"/>
      <c r="H30" s="40"/>
      <c r="I30" s="33"/>
      <c r="J30" s="31"/>
      <c r="K30" s="36"/>
      <c r="L30" s="47" t="str">
        <f aca="false">IF($B30="","",IF(NOT(ISNUMBER($B30)),"日期不是日期格式",IF(YEAR($B30)&lt;&gt;首页!$B$3,"不在会计年度",IF($F30="","未填借方科目",IF($G30="","未填贷方科目",IF(LEFT($M30,1)="⚠","借方科目不存在",IF(LEFT($N30,1)="⚠","贷方科目不存在",IF($F30=$G30,"借贷科目不能相同",IF(NOT(ISNUMBER($H30)),"金额须为数字",IF(N($H30)&lt;=0,"金额须大于0","√"))))))))))</f>
        <v/>
      </c>
      <c r="M30" s="50" t="str">
        <f aca="false">IF($F30="","",IFERROR(INDEX(科目参数!$B$6:$B$125,MATCH($F30,科目参数!$A$6:$A$125,0)),"⚠科目不存在"))</f>
        <v/>
      </c>
      <c r="N30" s="50" t="str">
        <f aca="false">IF($G30="","",IFERROR(INDEX(科目参数!$B$6:$B$125,MATCH($G30,科目参数!$A$6:$A$125,0)),"⚠科目不存在"))</f>
        <v/>
      </c>
    </row>
    <row r="31" customFormat="false" ht="15.75" hidden="false" customHeight="true" outlineLevel="0" collapsed="false">
      <c r="A31" s="42" t="str">
        <f aca="false">IF($B31="","","QT"&amp;TEXT($B31,"yyyymm")&amp;"-"&amp;TEXT(ROW()-4,"000"))</f>
        <v/>
      </c>
      <c r="B31" s="41"/>
      <c r="C31" s="42" t="str">
        <f aca="false">IF($B31="","",TEXT($B31,"yyyy-mm"))</f>
        <v/>
      </c>
      <c r="D31" s="33"/>
      <c r="E31" s="36"/>
      <c r="F31" s="31"/>
      <c r="G31" s="31"/>
      <c r="H31" s="40"/>
      <c r="I31" s="33"/>
      <c r="J31" s="31"/>
      <c r="K31" s="36"/>
      <c r="L31" s="47" t="str">
        <f aca="false">IF($B31="","",IF(NOT(ISNUMBER($B31)),"日期不是日期格式",IF(YEAR($B31)&lt;&gt;首页!$B$3,"不在会计年度",IF($F31="","未填借方科目",IF($G31="","未填贷方科目",IF(LEFT($M31,1)="⚠","借方科目不存在",IF(LEFT($N31,1)="⚠","贷方科目不存在",IF($F31=$G31,"借贷科目不能相同",IF(NOT(ISNUMBER($H31)),"金额须为数字",IF(N($H31)&lt;=0,"金额须大于0","√"))))))))))</f>
        <v/>
      </c>
      <c r="M31" s="50" t="str">
        <f aca="false">IF($F31="","",IFERROR(INDEX(科目参数!$B$6:$B$125,MATCH($F31,科目参数!$A$6:$A$125,0)),"⚠科目不存在"))</f>
        <v/>
      </c>
      <c r="N31" s="50" t="str">
        <f aca="false">IF($G31="","",IFERROR(INDEX(科目参数!$B$6:$B$125,MATCH($G31,科目参数!$A$6:$A$125,0)),"⚠科目不存在"))</f>
        <v/>
      </c>
    </row>
    <row r="32" customFormat="false" ht="15.75" hidden="false" customHeight="true" outlineLevel="0" collapsed="false">
      <c r="A32" s="42" t="str">
        <f aca="false">IF($B32="","","QT"&amp;TEXT($B32,"yyyymm")&amp;"-"&amp;TEXT(ROW()-4,"000"))</f>
        <v/>
      </c>
      <c r="B32" s="41"/>
      <c r="C32" s="42" t="str">
        <f aca="false">IF($B32="","",TEXT($B32,"yyyy-mm"))</f>
        <v/>
      </c>
      <c r="D32" s="33"/>
      <c r="E32" s="36"/>
      <c r="F32" s="31"/>
      <c r="G32" s="31"/>
      <c r="H32" s="40"/>
      <c r="I32" s="33"/>
      <c r="J32" s="31"/>
      <c r="K32" s="36"/>
      <c r="L32" s="47" t="str">
        <f aca="false">IF($B32="","",IF(NOT(ISNUMBER($B32)),"日期不是日期格式",IF(YEAR($B32)&lt;&gt;首页!$B$3,"不在会计年度",IF($F32="","未填借方科目",IF($G32="","未填贷方科目",IF(LEFT($M32,1)="⚠","借方科目不存在",IF(LEFT($N32,1)="⚠","贷方科目不存在",IF($F32=$G32,"借贷科目不能相同",IF(NOT(ISNUMBER($H32)),"金额须为数字",IF(N($H32)&lt;=0,"金额须大于0","√"))))))))))</f>
        <v/>
      </c>
      <c r="M32" s="50" t="str">
        <f aca="false">IF($F32="","",IFERROR(INDEX(科目参数!$B$6:$B$125,MATCH($F32,科目参数!$A$6:$A$125,0)),"⚠科目不存在"))</f>
        <v/>
      </c>
      <c r="N32" s="50" t="str">
        <f aca="false">IF($G32="","",IFERROR(INDEX(科目参数!$B$6:$B$125,MATCH($G32,科目参数!$A$6:$A$125,0)),"⚠科目不存在"))</f>
        <v/>
      </c>
    </row>
    <row r="33" customFormat="false" ht="15.75" hidden="false" customHeight="true" outlineLevel="0" collapsed="false">
      <c r="A33" s="42" t="str">
        <f aca="false">IF($B33="","","QT"&amp;TEXT($B33,"yyyymm")&amp;"-"&amp;TEXT(ROW()-4,"000"))</f>
        <v/>
      </c>
      <c r="B33" s="41"/>
      <c r="C33" s="42" t="str">
        <f aca="false">IF($B33="","",TEXT($B33,"yyyy-mm"))</f>
        <v/>
      </c>
      <c r="D33" s="33"/>
      <c r="E33" s="36"/>
      <c r="F33" s="31"/>
      <c r="G33" s="31"/>
      <c r="H33" s="40"/>
      <c r="I33" s="33"/>
      <c r="J33" s="31"/>
      <c r="K33" s="36"/>
      <c r="L33" s="47" t="str">
        <f aca="false">IF($B33="","",IF(NOT(ISNUMBER($B33)),"日期不是日期格式",IF(YEAR($B33)&lt;&gt;首页!$B$3,"不在会计年度",IF($F33="","未填借方科目",IF($G33="","未填贷方科目",IF(LEFT($M33,1)="⚠","借方科目不存在",IF(LEFT($N33,1)="⚠","贷方科目不存在",IF($F33=$G33,"借贷科目不能相同",IF(NOT(ISNUMBER($H33)),"金额须为数字",IF(N($H33)&lt;=0,"金额须大于0","√"))))))))))</f>
        <v/>
      </c>
      <c r="M33" s="50" t="str">
        <f aca="false">IF($F33="","",IFERROR(INDEX(科目参数!$B$6:$B$125,MATCH($F33,科目参数!$A$6:$A$125,0)),"⚠科目不存在"))</f>
        <v/>
      </c>
      <c r="N33" s="50" t="str">
        <f aca="false">IF($G33="","",IFERROR(INDEX(科目参数!$B$6:$B$125,MATCH($G33,科目参数!$A$6:$A$125,0)),"⚠科目不存在"))</f>
        <v/>
      </c>
    </row>
    <row r="34" customFormat="false" ht="15.75" hidden="false" customHeight="true" outlineLevel="0" collapsed="false">
      <c r="A34" s="42" t="str">
        <f aca="false">IF($B34="","","QT"&amp;TEXT($B34,"yyyymm")&amp;"-"&amp;TEXT(ROW()-4,"000"))</f>
        <v/>
      </c>
      <c r="B34" s="41"/>
      <c r="C34" s="42" t="str">
        <f aca="false">IF($B34="","",TEXT($B34,"yyyy-mm"))</f>
        <v/>
      </c>
      <c r="D34" s="33"/>
      <c r="E34" s="36"/>
      <c r="F34" s="31"/>
      <c r="G34" s="31"/>
      <c r="H34" s="40"/>
      <c r="I34" s="33"/>
      <c r="J34" s="31"/>
      <c r="K34" s="36"/>
      <c r="L34" s="47" t="str">
        <f aca="false">IF($B34="","",IF(NOT(ISNUMBER($B34)),"日期不是日期格式",IF(YEAR($B34)&lt;&gt;首页!$B$3,"不在会计年度",IF($F34="","未填借方科目",IF($G34="","未填贷方科目",IF(LEFT($M34,1)="⚠","借方科目不存在",IF(LEFT($N34,1)="⚠","贷方科目不存在",IF($F34=$G34,"借贷科目不能相同",IF(NOT(ISNUMBER($H34)),"金额须为数字",IF(N($H34)&lt;=0,"金额须大于0","√"))))))))))</f>
        <v/>
      </c>
      <c r="M34" s="50" t="str">
        <f aca="false">IF($F34="","",IFERROR(INDEX(科目参数!$B$6:$B$125,MATCH($F34,科目参数!$A$6:$A$125,0)),"⚠科目不存在"))</f>
        <v/>
      </c>
      <c r="N34" s="50" t="str">
        <f aca="false">IF($G34="","",IFERROR(INDEX(科目参数!$B$6:$B$125,MATCH($G34,科目参数!$A$6:$A$125,0)),"⚠科目不存在"))</f>
        <v/>
      </c>
    </row>
    <row r="35" customFormat="false" ht="15.75" hidden="false" customHeight="true" outlineLevel="0" collapsed="false">
      <c r="A35" s="42" t="str">
        <f aca="false">IF($B35="","","QT"&amp;TEXT($B35,"yyyymm")&amp;"-"&amp;TEXT(ROW()-4,"000"))</f>
        <v/>
      </c>
      <c r="B35" s="41"/>
      <c r="C35" s="42" t="str">
        <f aca="false">IF($B35="","",TEXT($B35,"yyyy-mm"))</f>
        <v/>
      </c>
      <c r="D35" s="33"/>
      <c r="E35" s="36"/>
      <c r="F35" s="31"/>
      <c r="G35" s="31"/>
      <c r="H35" s="40"/>
      <c r="I35" s="33"/>
      <c r="J35" s="31"/>
      <c r="K35" s="36"/>
      <c r="L35" s="47" t="str">
        <f aca="false">IF($B35="","",IF(NOT(ISNUMBER($B35)),"日期不是日期格式",IF(YEAR($B35)&lt;&gt;首页!$B$3,"不在会计年度",IF($F35="","未填借方科目",IF($G35="","未填贷方科目",IF(LEFT($M35,1)="⚠","借方科目不存在",IF(LEFT($N35,1)="⚠","贷方科目不存在",IF($F35=$G35,"借贷科目不能相同",IF(NOT(ISNUMBER($H35)),"金额须为数字",IF(N($H35)&lt;=0,"金额须大于0","√"))))))))))</f>
        <v/>
      </c>
      <c r="M35" s="50" t="str">
        <f aca="false">IF($F35="","",IFERROR(INDEX(科目参数!$B$6:$B$125,MATCH($F35,科目参数!$A$6:$A$125,0)),"⚠科目不存在"))</f>
        <v/>
      </c>
      <c r="N35" s="50" t="str">
        <f aca="false">IF($G35="","",IFERROR(INDEX(科目参数!$B$6:$B$125,MATCH($G35,科目参数!$A$6:$A$125,0)),"⚠科目不存在"))</f>
        <v/>
      </c>
    </row>
    <row r="36" customFormat="false" ht="15.75" hidden="false" customHeight="true" outlineLevel="0" collapsed="false">
      <c r="A36" s="42" t="str">
        <f aca="false">IF($B36="","","QT"&amp;TEXT($B36,"yyyymm")&amp;"-"&amp;TEXT(ROW()-4,"000"))</f>
        <v/>
      </c>
      <c r="B36" s="41"/>
      <c r="C36" s="42" t="str">
        <f aca="false">IF($B36="","",TEXT($B36,"yyyy-mm"))</f>
        <v/>
      </c>
      <c r="D36" s="33"/>
      <c r="E36" s="36"/>
      <c r="F36" s="31"/>
      <c r="G36" s="31"/>
      <c r="H36" s="40"/>
      <c r="I36" s="33"/>
      <c r="J36" s="31"/>
      <c r="K36" s="36"/>
      <c r="L36" s="47" t="str">
        <f aca="false">IF($B36="","",IF(NOT(ISNUMBER($B36)),"日期不是日期格式",IF(YEAR($B36)&lt;&gt;首页!$B$3,"不在会计年度",IF($F36="","未填借方科目",IF($G36="","未填贷方科目",IF(LEFT($M36,1)="⚠","借方科目不存在",IF(LEFT($N36,1)="⚠","贷方科目不存在",IF($F36=$G36,"借贷科目不能相同",IF(NOT(ISNUMBER($H36)),"金额须为数字",IF(N($H36)&lt;=0,"金额须大于0","√"))))))))))</f>
        <v/>
      </c>
      <c r="M36" s="50" t="str">
        <f aca="false">IF($F36="","",IFERROR(INDEX(科目参数!$B$6:$B$125,MATCH($F36,科目参数!$A$6:$A$125,0)),"⚠科目不存在"))</f>
        <v/>
      </c>
      <c r="N36" s="50" t="str">
        <f aca="false">IF($G36="","",IFERROR(INDEX(科目参数!$B$6:$B$125,MATCH($G36,科目参数!$A$6:$A$125,0)),"⚠科目不存在"))</f>
        <v/>
      </c>
    </row>
    <row r="37" customFormat="false" ht="15.75" hidden="false" customHeight="true" outlineLevel="0" collapsed="false">
      <c r="A37" s="42" t="str">
        <f aca="false">IF($B37="","","QT"&amp;TEXT($B37,"yyyymm")&amp;"-"&amp;TEXT(ROW()-4,"000"))</f>
        <v/>
      </c>
      <c r="B37" s="41"/>
      <c r="C37" s="42" t="str">
        <f aca="false">IF($B37="","",TEXT($B37,"yyyy-mm"))</f>
        <v/>
      </c>
      <c r="D37" s="33"/>
      <c r="E37" s="36"/>
      <c r="F37" s="31"/>
      <c r="G37" s="31"/>
      <c r="H37" s="40"/>
      <c r="I37" s="33"/>
      <c r="J37" s="31"/>
      <c r="K37" s="36"/>
      <c r="L37" s="47" t="str">
        <f aca="false">IF($B37="","",IF(NOT(ISNUMBER($B37)),"日期不是日期格式",IF(YEAR($B37)&lt;&gt;首页!$B$3,"不在会计年度",IF($F37="","未填借方科目",IF($G37="","未填贷方科目",IF(LEFT($M37,1)="⚠","借方科目不存在",IF(LEFT($N37,1)="⚠","贷方科目不存在",IF($F37=$G37,"借贷科目不能相同",IF(NOT(ISNUMBER($H37)),"金额须为数字",IF(N($H37)&lt;=0,"金额须大于0","√"))))))))))</f>
        <v/>
      </c>
      <c r="M37" s="50" t="str">
        <f aca="false">IF($F37="","",IFERROR(INDEX(科目参数!$B$6:$B$125,MATCH($F37,科目参数!$A$6:$A$125,0)),"⚠科目不存在"))</f>
        <v/>
      </c>
      <c r="N37" s="50" t="str">
        <f aca="false">IF($G37="","",IFERROR(INDEX(科目参数!$B$6:$B$125,MATCH($G37,科目参数!$A$6:$A$125,0)),"⚠科目不存在"))</f>
        <v/>
      </c>
    </row>
    <row r="38" customFormat="false" ht="15.75" hidden="false" customHeight="true" outlineLevel="0" collapsed="false">
      <c r="A38" s="42" t="str">
        <f aca="false">IF($B38="","","QT"&amp;TEXT($B38,"yyyymm")&amp;"-"&amp;TEXT(ROW()-4,"000"))</f>
        <v/>
      </c>
      <c r="B38" s="41"/>
      <c r="C38" s="42" t="str">
        <f aca="false">IF($B38="","",TEXT($B38,"yyyy-mm"))</f>
        <v/>
      </c>
      <c r="D38" s="33"/>
      <c r="E38" s="36"/>
      <c r="F38" s="31"/>
      <c r="G38" s="31"/>
      <c r="H38" s="40"/>
      <c r="I38" s="33"/>
      <c r="J38" s="31"/>
      <c r="K38" s="36"/>
      <c r="L38" s="47" t="str">
        <f aca="false">IF($B38="","",IF(NOT(ISNUMBER($B38)),"日期不是日期格式",IF(YEAR($B38)&lt;&gt;首页!$B$3,"不在会计年度",IF($F38="","未填借方科目",IF($G38="","未填贷方科目",IF(LEFT($M38,1)="⚠","借方科目不存在",IF(LEFT($N38,1)="⚠","贷方科目不存在",IF($F38=$G38,"借贷科目不能相同",IF(NOT(ISNUMBER($H38)),"金额须为数字",IF(N($H38)&lt;=0,"金额须大于0","√"))))))))))</f>
        <v/>
      </c>
      <c r="M38" s="50" t="str">
        <f aca="false">IF($F38="","",IFERROR(INDEX(科目参数!$B$6:$B$125,MATCH($F38,科目参数!$A$6:$A$125,0)),"⚠科目不存在"))</f>
        <v/>
      </c>
      <c r="N38" s="50" t="str">
        <f aca="false">IF($G38="","",IFERROR(INDEX(科目参数!$B$6:$B$125,MATCH($G38,科目参数!$A$6:$A$125,0)),"⚠科目不存在"))</f>
        <v/>
      </c>
    </row>
    <row r="39" customFormat="false" ht="15.75" hidden="false" customHeight="true" outlineLevel="0" collapsed="false">
      <c r="A39" s="42" t="str">
        <f aca="false">IF($B39="","","QT"&amp;TEXT($B39,"yyyymm")&amp;"-"&amp;TEXT(ROW()-4,"000"))</f>
        <v/>
      </c>
      <c r="B39" s="41"/>
      <c r="C39" s="42" t="str">
        <f aca="false">IF($B39="","",TEXT($B39,"yyyy-mm"))</f>
        <v/>
      </c>
      <c r="D39" s="33"/>
      <c r="E39" s="36"/>
      <c r="F39" s="31"/>
      <c r="G39" s="31"/>
      <c r="H39" s="40"/>
      <c r="I39" s="33"/>
      <c r="J39" s="31"/>
      <c r="K39" s="36"/>
      <c r="L39" s="47" t="str">
        <f aca="false">IF($B39="","",IF(NOT(ISNUMBER($B39)),"日期不是日期格式",IF(YEAR($B39)&lt;&gt;首页!$B$3,"不在会计年度",IF($F39="","未填借方科目",IF($G39="","未填贷方科目",IF(LEFT($M39,1)="⚠","借方科目不存在",IF(LEFT($N39,1)="⚠","贷方科目不存在",IF($F39=$G39,"借贷科目不能相同",IF(NOT(ISNUMBER($H39)),"金额须为数字",IF(N($H39)&lt;=0,"金额须大于0","√"))))))))))</f>
        <v/>
      </c>
      <c r="M39" s="50" t="str">
        <f aca="false">IF($F39="","",IFERROR(INDEX(科目参数!$B$6:$B$125,MATCH($F39,科目参数!$A$6:$A$125,0)),"⚠科目不存在"))</f>
        <v/>
      </c>
      <c r="N39" s="50" t="str">
        <f aca="false">IF($G39="","",IFERROR(INDEX(科目参数!$B$6:$B$125,MATCH($G39,科目参数!$A$6:$A$125,0)),"⚠科目不存在"))</f>
        <v/>
      </c>
    </row>
    <row r="40" customFormat="false" ht="15.75" hidden="false" customHeight="true" outlineLevel="0" collapsed="false">
      <c r="A40" s="42" t="str">
        <f aca="false">IF($B40="","","QT"&amp;TEXT($B40,"yyyymm")&amp;"-"&amp;TEXT(ROW()-4,"000"))</f>
        <v/>
      </c>
      <c r="B40" s="41"/>
      <c r="C40" s="42" t="str">
        <f aca="false">IF($B40="","",TEXT($B40,"yyyy-mm"))</f>
        <v/>
      </c>
      <c r="D40" s="33"/>
      <c r="E40" s="36"/>
      <c r="F40" s="31"/>
      <c r="G40" s="31"/>
      <c r="H40" s="40"/>
      <c r="I40" s="33"/>
      <c r="J40" s="31"/>
      <c r="K40" s="36"/>
      <c r="L40" s="47" t="str">
        <f aca="false">IF($B40="","",IF(NOT(ISNUMBER($B40)),"日期不是日期格式",IF(YEAR($B40)&lt;&gt;首页!$B$3,"不在会计年度",IF($F40="","未填借方科目",IF($G40="","未填贷方科目",IF(LEFT($M40,1)="⚠","借方科目不存在",IF(LEFT($N40,1)="⚠","贷方科目不存在",IF($F40=$G40,"借贷科目不能相同",IF(NOT(ISNUMBER($H40)),"金额须为数字",IF(N($H40)&lt;=0,"金额须大于0","√"))))))))))</f>
        <v/>
      </c>
      <c r="M40" s="50" t="str">
        <f aca="false">IF($F40="","",IFERROR(INDEX(科目参数!$B$6:$B$125,MATCH($F40,科目参数!$A$6:$A$125,0)),"⚠科目不存在"))</f>
        <v/>
      </c>
      <c r="N40" s="50" t="str">
        <f aca="false">IF($G40="","",IFERROR(INDEX(科目参数!$B$6:$B$125,MATCH($G40,科目参数!$A$6:$A$125,0)),"⚠科目不存在"))</f>
        <v/>
      </c>
    </row>
    <row r="41" customFormat="false" ht="15.75" hidden="false" customHeight="true" outlineLevel="0" collapsed="false">
      <c r="A41" s="42" t="str">
        <f aca="false">IF($B41="","","QT"&amp;TEXT($B41,"yyyymm")&amp;"-"&amp;TEXT(ROW()-4,"000"))</f>
        <v/>
      </c>
      <c r="B41" s="41"/>
      <c r="C41" s="42" t="str">
        <f aca="false">IF($B41="","",TEXT($B41,"yyyy-mm"))</f>
        <v/>
      </c>
      <c r="D41" s="33"/>
      <c r="E41" s="36"/>
      <c r="F41" s="31"/>
      <c r="G41" s="31"/>
      <c r="H41" s="40"/>
      <c r="I41" s="33"/>
      <c r="J41" s="31"/>
      <c r="K41" s="36"/>
      <c r="L41" s="47" t="str">
        <f aca="false">IF($B41="","",IF(NOT(ISNUMBER($B41)),"日期不是日期格式",IF(YEAR($B41)&lt;&gt;首页!$B$3,"不在会计年度",IF($F41="","未填借方科目",IF($G41="","未填贷方科目",IF(LEFT($M41,1)="⚠","借方科目不存在",IF(LEFT($N41,1)="⚠","贷方科目不存在",IF($F41=$G41,"借贷科目不能相同",IF(NOT(ISNUMBER($H41)),"金额须为数字",IF(N($H41)&lt;=0,"金额须大于0","√"))))))))))</f>
        <v/>
      </c>
      <c r="M41" s="50" t="str">
        <f aca="false">IF($F41="","",IFERROR(INDEX(科目参数!$B$6:$B$125,MATCH($F41,科目参数!$A$6:$A$125,0)),"⚠科目不存在"))</f>
        <v/>
      </c>
      <c r="N41" s="50" t="str">
        <f aca="false">IF($G41="","",IFERROR(INDEX(科目参数!$B$6:$B$125,MATCH($G41,科目参数!$A$6:$A$125,0)),"⚠科目不存在"))</f>
        <v/>
      </c>
    </row>
    <row r="42" customFormat="false" ht="15.75" hidden="false" customHeight="true" outlineLevel="0" collapsed="false">
      <c r="A42" s="42" t="str">
        <f aca="false">IF($B42="","","QT"&amp;TEXT($B42,"yyyymm")&amp;"-"&amp;TEXT(ROW()-4,"000"))</f>
        <v/>
      </c>
      <c r="B42" s="41"/>
      <c r="C42" s="42" t="str">
        <f aca="false">IF($B42="","",TEXT($B42,"yyyy-mm"))</f>
        <v/>
      </c>
      <c r="D42" s="33"/>
      <c r="E42" s="36"/>
      <c r="F42" s="31"/>
      <c r="G42" s="31"/>
      <c r="H42" s="40"/>
      <c r="I42" s="33"/>
      <c r="J42" s="31"/>
      <c r="K42" s="36"/>
      <c r="L42" s="47" t="str">
        <f aca="false">IF($B42="","",IF(NOT(ISNUMBER($B42)),"日期不是日期格式",IF(YEAR($B42)&lt;&gt;首页!$B$3,"不在会计年度",IF($F42="","未填借方科目",IF($G42="","未填贷方科目",IF(LEFT($M42,1)="⚠","借方科目不存在",IF(LEFT($N42,1)="⚠","贷方科目不存在",IF($F42=$G42,"借贷科目不能相同",IF(NOT(ISNUMBER($H42)),"金额须为数字",IF(N($H42)&lt;=0,"金额须大于0","√"))))))))))</f>
        <v/>
      </c>
      <c r="M42" s="50" t="str">
        <f aca="false">IF($F42="","",IFERROR(INDEX(科目参数!$B$6:$B$125,MATCH($F42,科目参数!$A$6:$A$125,0)),"⚠科目不存在"))</f>
        <v/>
      </c>
      <c r="N42" s="50" t="str">
        <f aca="false">IF($G42="","",IFERROR(INDEX(科目参数!$B$6:$B$125,MATCH($G42,科目参数!$A$6:$A$125,0)),"⚠科目不存在"))</f>
        <v/>
      </c>
    </row>
    <row r="43" customFormat="false" ht="15.75" hidden="false" customHeight="true" outlineLevel="0" collapsed="false">
      <c r="A43" s="42" t="str">
        <f aca="false">IF($B43="","","QT"&amp;TEXT($B43,"yyyymm")&amp;"-"&amp;TEXT(ROW()-4,"000"))</f>
        <v/>
      </c>
      <c r="B43" s="41"/>
      <c r="C43" s="42" t="str">
        <f aca="false">IF($B43="","",TEXT($B43,"yyyy-mm"))</f>
        <v/>
      </c>
      <c r="D43" s="33"/>
      <c r="E43" s="36"/>
      <c r="F43" s="31"/>
      <c r="G43" s="31"/>
      <c r="H43" s="40"/>
      <c r="I43" s="33"/>
      <c r="J43" s="31"/>
      <c r="K43" s="36"/>
      <c r="L43" s="47" t="str">
        <f aca="false">IF($B43="","",IF(NOT(ISNUMBER($B43)),"日期不是日期格式",IF(YEAR($B43)&lt;&gt;首页!$B$3,"不在会计年度",IF($F43="","未填借方科目",IF($G43="","未填贷方科目",IF(LEFT($M43,1)="⚠","借方科目不存在",IF(LEFT($N43,1)="⚠","贷方科目不存在",IF($F43=$G43,"借贷科目不能相同",IF(NOT(ISNUMBER($H43)),"金额须为数字",IF(N($H43)&lt;=0,"金额须大于0","√"))))))))))</f>
        <v/>
      </c>
      <c r="M43" s="50" t="str">
        <f aca="false">IF($F43="","",IFERROR(INDEX(科目参数!$B$6:$B$125,MATCH($F43,科目参数!$A$6:$A$125,0)),"⚠科目不存在"))</f>
        <v/>
      </c>
      <c r="N43" s="50" t="str">
        <f aca="false">IF($G43="","",IFERROR(INDEX(科目参数!$B$6:$B$125,MATCH($G43,科目参数!$A$6:$A$125,0)),"⚠科目不存在"))</f>
        <v/>
      </c>
    </row>
    <row r="44" customFormat="false" ht="15.75" hidden="false" customHeight="true" outlineLevel="0" collapsed="false">
      <c r="A44" s="42" t="str">
        <f aca="false">IF($B44="","","QT"&amp;TEXT($B44,"yyyymm")&amp;"-"&amp;TEXT(ROW()-4,"000"))</f>
        <v/>
      </c>
      <c r="B44" s="41"/>
      <c r="C44" s="42" t="str">
        <f aca="false">IF($B44="","",TEXT($B44,"yyyy-mm"))</f>
        <v/>
      </c>
      <c r="D44" s="33"/>
      <c r="E44" s="36"/>
      <c r="F44" s="31"/>
      <c r="G44" s="31"/>
      <c r="H44" s="40"/>
      <c r="I44" s="33"/>
      <c r="J44" s="31"/>
      <c r="K44" s="36"/>
      <c r="L44" s="47" t="str">
        <f aca="false">IF($B44="","",IF(NOT(ISNUMBER($B44)),"日期不是日期格式",IF(YEAR($B44)&lt;&gt;首页!$B$3,"不在会计年度",IF($F44="","未填借方科目",IF($G44="","未填贷方科目",IF(LEFT($M44,1)="⚠","借方科目不存在",IF(LEFT($N44,1)="⚠","贷方科目不存在",IF($F44=$G44,"借贷科目不能相同",IF(NOT(ISNUMBER($H44)),"金额须为数字",IF(N($H44)&lt;=0,"金额须大于0","√"))))))))))</f>
        <v/>
      </c>
      <c r="M44" s="50" t="str">
        <f aca="false">IF($F44="","",IFERROR(INDEX(科目参数!$B$6:$B$125,MATCH($F44,科目参数!$A$6:$A$125,0)),"⚠科目不存在"))</f>
        <v/>
      </c>
      <c r="N44" s="50" t="str">
        <f aca="false">IF($G44="","",IFERROR(INDEX(科目参数!$B$6:$B$125,MATCH($G44,科目参数!$A$6:$A$125,0)),"⚠科目不存在"))</f>
        <v/>
      </c>
    </row>
    <row r="45" customFormat="false" ht="15.75" hidden="false" customHeight="true" outlineLevel="0" collapsed="false">
      <c r="A45" s="42" t="str">
        <f aca="false">IF($B45="","","QT"&amp;TEXT($B45,"yyyymm")&amp;"-"&amp;TEXT(ROW()-4,"000"))</f>
        <v/>
      </c>
      <c r="B45" s="41"/>
      <c r="C45" s="42" t="str">
        <f aca="false">IF($B45="","",TEXT($B45,"yyyy-mm"))</f>
        <v/>
      </c>
      <c r="D45" s="33"/>
      <c r="E45" s="36"/>
      <c r="F45" s="31"/>
      <c r="G45" s="31"/>
      <c r="H45" s="40"/>
      <c r="I45" s="33"/>
      <c r="J45" s="31"/>
      <c r="K45" s="36"/>
      <c r="L45" s="47" t="str">
        <f aca="false">IF($B45="","",IF(NOT(ISNUMBER($B45)),"日期不是日期格式",IF(YEAR($B45)&lt;&gt;首页!$B$3,"不在会计年度",IF($F45="","未填借方科目",IF($G45="","未填贷方科目",IF(LEFT($M45,1)="⚠","借方科目不存在",IF(LEFT($N45,1)="⚠","贷方科目不存在",IF($F45=$G45,"借贷科目不能相同",IF(NOT(ISNUMBER($H45)),"金额须为数字",IF(N($H45)&lt;=0,"金额须大于0","√"))))))))))</f>
        <v/>
      </c>
      <c r="M45" s="50" t="str">
        <f aca="false">IF($F45="","",IFERROR(INDEX(科目参数!$B$6:$B$125,MATCH($F45,科目参数!$A$6:$A$125,0)),"⚠科目不存在"))</f>
        <v/>
      </c>
      <c r="N45" s="50" t="str">
        <f aca="false">IF($G45="","",IFERROR(INDEX(科目参数!$B$6:$B$125,MATCH($G45,科目参数!$A$6:$A$125,0)),"⚠科目不存在"))</f>
        <v/>
      </c>
    </row>
    <row r="46" customFormat="false" ht="15.75" hidden="false" customHeight="true" outlineLevel="0" collapsed="false">
      <c r="A46" s="42" t="str">
        <f aca="false">IF($B46="","","QT"&amp;TEXT($B46,"yyyymm")&amp;"-"&amp;TEXT(ROW()-4,"000"))</f>
        <v/>
      </c>
      <c r="B46" s="41"/>
      <c r="C46" s="42" t="str">
        <f aca="false">IF($B46="","",TEXT($B46,"yyyy-mm"))</f>
        <v/>
      </c>
      <c r="D46" s="33"/>
      <c r="E46" s="36"/>
      <c r="F46" s="31"/>
      <c r="G46" s="31"/>
      <c r="H46" s="40"/>
      <c r="I46" s="33"/>
      <c r="J46" s="31"/>
      <c r="K46" s="36"/>
      <c r="L46" s="47" t="str">
        <f aca="false">IF($B46="","",IF(NOT(ISNUMBER($B46)),"日期不是日期格式",IF(YEAR($B46)&lt;&gt;首页!$B$3,"不在会计年度",IF($F46="","未填借方科目",IF($G46="","未填贷方科目",IF(LEFT($M46,1)="⚠","借方科目不存在",IF(LEFT($N46,1)="⚠","贷方科目不存在",IF($F46=$G46,"借贷科目不能相同",IF(NOT(ISNUMBER($H46)),"金额须为数字",IF(N($H46)&lt;=0,"金额须大于0","√"))))))))))</f>
        <v/>
      </c>
      <c r="M46" s="50" t="str">
        <f aca="false">IF($F46="","",IFERROR(INDEX(科目参数!$B$6:$B$125,MATCH($F46,科目参数!$A$6:$A$125,0)),"⚠科目不存在"))</f>
        <v/>
      </c>
      <c r="N46" s="50" t="str">
        <f aca="false">IF($G46="","",IFERROR(INDEX(科目参数!$B$6:$B$125,MATCH($G46,科目参数!$A$6:$A$125,0)),"⚠科目不存在"))</f>
        <v/>
      </c>
    </row>
    <row r="47" customFormat="false" ht="15.75" hidden="false" customHeight="true" outlineLevel="0" collapsed="false">
      <c r="A47" s="42" t="str">
        <f aca="false">IF($B47="","","QT"&amp;TEXT($B47,"yyyymm")&amp;"-"&amp;TEXT(ROW()-4,"000"))</f>
        <v/>
      </c>
      <c r="B47" s="41"/>
      <c r="C47" s="42" t="str">
        <f aca="false">IF($B47="","",TEXT($B47,"yyyy-mm"))</f>
        <v/>
      </c>
      <c r="D47" s="33"/>
      <c r="E47" s="36"/>
      <c r="F47" s="31"/>
      <c r="G47" s="31"/>
      <c r="H47" s="40"/>
      <c r="I47" s="33"/>
      <c r="J47" s="31"/>
      <c r="K47" s="36"/>
      <c r="L47" s="47" t="str">
        <f aca="false">IF($B47="","",IF(NOT(ISNUMBER($B47)),"日期不是日期格式",IF(YEAR($B47)&lt;&gt;首页!$B$3,"不在会计年度",IF($F47="","未填借方科目",IF($G47="","未填贷方科目",IF(LEFT($M47,1)="⚠","借方科目不存在",IF(LEFT($N47,1)="⚠","贷方科目不存在",IF($F47=$G47,"借贷科目不能相同",IF(NOT(ISNUMBER($H47)),"金额须为数字",IF(N($H47)&lt;=0,"金额须大于0","√"))))))))))</f>
        <v/>
      </c>
      <c r="M47" s="50" t="str">
        <f aca="false">IF($F47="","",IFERROR(INDEX(科目参数!$B$6:$B$125,MATCH($F47,科目参数!$A$6:$A$125,0)),"⚠科目不存在"))</f>
        <v/>
      </c>
      <c r="N47" s="50" t="str">
        <f aca="false">IF($G47="","",IFERROR(INDEX(科目参数!$B$6:$B$125,MATCH($G47,科目参数!$A$6:$A$125,0)),"⚠科目不存在"))</f>
        <v/>
      </c>
    </row>
    <row r="48" customFormat="false" ht="15.75" hidden="false" customHeight="true" outlineLevel="0" collapsed="false">
      <c r="A48" s="42" t="str">
        <f aca="false">IF($B48="","","QT"&amp;TEXT($B48,"yyyymm")&amp;"-"&amp;TEXT(ROW()-4,"000"))</f>
        <v/>
      </c>
      <c r="B48" s="41"/>
      <c r="C48" s="42" t="str">
        <f aca="false">IF($B48="","",TEXT($B48,"yyyy-mm"))</f>
        <v/>
      </c>
      <c r="D48" s="33"/>
      <c r="E48" s="36"/>
      <c r="F48" s="31"/>
      <c r="G48" s="31"/>
      <c r="H48" s="40"/>
      <c r="I48" s="33"/>
      <c r="J48" s="31"/>
      <c r="K48" s="36"/>
      <c r="L48" s="47" t="str">
        <f aca="false">IF($B48="","",IF(NOT(ISNUMBER($B48)),"日期不是日期格式",IF(YEAR($B48)&lt;&gt;首页!$B$3,"不在会计年度",IF($F48="","未填借方科目",IF($G48="","未填贷方科目",IF(LEFT($M48,1)="⚠","借方科目不存在",IF(LEFT($N48,1)="⚠","贷方科目不存在",IF($F48=$G48,"借贷科目不能相同",IF(NOT(ISNUMBER($H48)),"金额须为数字",IF(N($H48)&lt;=0,"金额须大于0","√"))))))))))</f>
        <v/>
      </c>
      <c r="M48" s="50" t="str">
        <f aca="false">IF($F48="","",IFERROR(INDEX(科目参数!$B$6:$B$125,MATCH($F48,科目参数!$A$6:$A$125,0)),"⚠科目不存在"))</f>
        <v/>
      </c>
      <c r="N48" s="50" t="str">
        <f aca="false">IF($G48="","",IFERROR(INDEX(科目参数!$B$6:$B$125,MATCH($G48,科目参数!$A$6:$A$125,0)),"⚠科目不存在"))</f>
        <v/>
      </c>
    </row>
    <row r="49" customFormat="false" ht="15.75" hidden="false" customHeight="true" outlineLevel="0" collapsed="false">
      <c r="A49" s="42" t="str">
        <f aca="false">IF($B49="","","QT"&amp;TEXT($B49,"yyyymm")&amp;"-"&amp;TEXT(ROW()-4,"000"))</f>
        <v/>
      </c>
      <c r="B49" s="41"/>
      <c r="C49" s="42" t="str">
        <f aca="false">IF($B49="","",TEXT($B49,"yyyy-mm"))</f>
        <v/>
      </c>
      <c r="D49" s="33"/>
      <c r="E49" s="36"/>
      <c r="F49" s="31"/>
      <c r="G49" s="31"/>
      <c r="H49" s="40"/>
      <c r="I49" s="33"/>
      <c r="J49" s="31"/>
      <c r="K49" s="36"/>
      <c r="L49" s="47" t="str">
        <f aca="false">IF($B49="","",IF(NOT(ISNUMBER($B49)),"日期不是日期格式",IF(YEAR($B49)&lt;&gt;首页!$B$3,"不在会计年度",IF($F49="","未填借方科目",IF($G49="","未填贷方科目",IF(LEFT($M49,1)="⚠","借方科目不存在",IF(LEFT($N49,1)="⚠","贷方科目不存在",IF($F49=$G49,"借贷科目不能相同",IF(NOT(ISNUMBER($H49)),"金额须为数字",IF(N($H49)&lt;=0,"金额须大于0","√"))))))))))</f>
        <v/>
      </c>
      <c r="M49" s="50" t="str">
        <f aca="false">IF($F49="","",IFERROR(INDEX(科目参数!$B$6:$B$125,MATCH($F49,科目参数!$A$6:$A$125,0)),"⚠科目不存在"))</f>
        <v/>
      </c>
      <c r="N49" s="50" t="str">
        <f aca="false">IF($G49="","",IFERROR(INDEX(科目参数!$B$6:$B$125,MATCH($G49,科目参数!$A$6:$A$125,0)),"⚠科目不存在"))</f>
        <v/>
      </c>
    </row>
    <row r="50" customFormat="false" ht="15.75" hidden="false" customHeight="true" outlineLevel="0" collapsed="false">
      <c r="A50" s="42" t="str">
        <f aca="false">IF($B50="","","QT"&amp;TEXT($B50,"yyyymm")&amp;"-"&amp;TEXT(ROW()-4,"000"))</f>
        <v/>
      </c>
      <c r="B50" s="41"/>
      <c r="C50" s="42" t="str">
        <f aca="false">IF($B50="","",TEXT($B50,"yyyy-mm"))</f>
        <v/>
      </c>
      <c r="D50" s="33"/>
      <c r="E50" s="36"/>
      <c r="F50" s="31"/>
      <c r="G50" s="31"/>
      <c r="H50" s="40"/>
      <c r="I50" s="33"/>
      <c r="J50" s="31"/>
      <c r="K50" s="36"/>
      <c r="L50" s="47" t="str">
        <f aca="false">IF($B50="","",IF(NOT(ISNUMBER($B50)),"日期不是日期格式",IF(YEAR($B50)&lt;&gt;首页!$B$3,"不在会计年度",IF($F50="","未填借方科目",IF($G50="","未填贷方科目",IF(LEFT($M50,1)="⚠","借方科目不存在",IF(LEFT($N50,1)="⚠","贷方科目不存在",IF($F50=$G50,"借贷科目不能相同",IF(NOT(ISNUMBER($H50)),"金额须为数字",IF(N($H50)&lt;=0,"金额须大于0","√"))))))))))</f>
        <v/>
      </c>
      <c r="M50" s="50" t="str">
        <f aca="false">IF($F50="","",IFERROR(INDEX(科目参数!$B$6:$B$125,MATCH($F50,科目参数!$A$6:$A$125,0)),"⚠科目不存在"))</f>
        <v/>
      </c>
      <c r="N50" s="50" t="str">
        <f aca="false">IF($G50="","",IFERROR(INDEX(科目参数!$B$6:$B$125,MATCH($G50,科目参数!$A$6:$A$125,0)),"⚠科目不存在"))</f>
        <v/>
      </c>
    </row>
    <row r="51" customFormat="false" ht="15.75" hidden="false" customHeight="true" outlineLevel="0" collapsed="false">
      <c r="A51" s="42" t="str">
        <f aca="false">IF($B51="","","QT"&amp;TEXT($B51,"yyyymm")&amp;"-"&amp;TEXT(ROW()-4,"000"))</f>
        <v/>
      </c>
      <c r="B51" s="41"/>
      <c r="C51" s="42" t="str">
        <f aca="false">IF($B51="","",TEXT($B51,"yyyy-mm"))</f>
        <v/>
      </c>
      <c r="D51" s="33"/>
      <c r="E51" s="36"/>
      <c r="F51" s="31"/>
      <c r="G51" s="31"/>
      <c r="H51" s="40"/>
      <c r="I51" s="33"/>
      <c r="J51" s="31"/>
      <c r="K51" s="36"/>
      <c r="L51" s="47" t="str">
        <f aca="false">IF($B51="","",IF(NOT(ISNUMBER($B51)),"日期不是日期格式",IF(YEAR($B51)&lt;&gt;首页!$B$3,"不在会计年度",IF($F51="","未填借方科目",IF($G51="","未填贷方科目",IF(LEFT($M51,1)="⚠","借方科目不存在",IF(LEFT($N51,1)="⚠","贷方科目不存在",IF($F51=$G51,"借贷科目不能相同",IF(NOT(ISNUMBER($H51)),"金额须为数字",IF(N($H51)&lt;=0,"金额须大于0","√"))))))))))</f>
        <v/>
      </c>
      <c r="M51" s="50" t="str">
        <f aca="false">IF($F51="","",IFERROR(INDEX(科目参数!$B$6:$B$125,MATCH($F51,科目参数!$A$6:$A$125,0)),"⚠科目不存在"))</f>
        <v/>
      </c>
      <c r="N51" s="50" t="str">
        <f aca="false">IF($G51="","",IFERROR(INDEX(科目参数!$B$6:$B$125,MATCH($G51,科目参数!$A$6:$A$125,0)),"⚠科目不存在"))</f>
        <v/>
      </c>
    </row>
    <row r="52" customFormat="false" ht="15.75" hidden="false" customHeight="true" outlineLevel="0" collapsed="false">
      <c r="A52" s="42" t="str">
        <f aca="false">IF($B52="","","QT"&amp;TEXT($B52,"yyyymm")&amp;"-"&amp;TEXT(ROW()-4,"000"))</f>
        <v/>
      </c>
      <c r="B52" s="41"/>
      <c r="C52" s="42" t="str">
        <f aca="false">IF($B52="","",TEXT($B52,"yyyy-mm"))</f>
        <v/>
      </c>
      <c r="D52" s="33"/>
      <c r="E52" s="36"/>
      <c r="F52" s="31"/>
      <c r="G52" s="31"/>
      <c r="H52" s="40"/>
      <c r="I52" s="33"/>
      <c r="J52" s="31"/>
      <c r="K52" s="36"/>
      <c r="L52" s="47" t="str">
        <f aca="false">IF($B52="","",IF(NOT(ISNUMBER($B52)),"日期不是日期格式",IF(YEAR($B52)&lt;&gt;首页!$B$3,"不在会计年度",IF($F52="","未填借方科目",IF($G52="","未填贷方科目",IF(LEFT($M52,1)="⚠","借方科目不存在",IF(LEFT($N52,1)="⚠","贷方科目不存在",IF($F52=$G52,"借贷科目不能相同",IF(NOT(ISNUMBER($H52)),"金额须为数字",IF(N($H52)&lt;=0,"金额须大于0","√"))))))))))</f>
        <v/>
      </c>
      <c r="M52" s="50" t="str">
        <f aca="false">IF($F52="","",IFERROR(INDEX(科目参数!$B$6:$B$125,MATCH($F52,科目参数!$A$6:$A$125,0)),"⚠科目不存在"))</f>
        <v/>
      </c>
      <c r="N52" s="50" t="str">
        <f aca="false">IF($G52="","",IFERROR(INDEX(科目参数!$B$6:$B$125,MATCH($G52,科目参数!$A$6:$A$125,0)),"⚠科目不存在"))</f>
        <v/>
      </c>
    </row>
    <row r="53" customFormat="false" ht="15.75" hidden="false" customHeight="true" outlineLevel="0" collapsed="false">
      <c r="A53" s="42" t="str">
        <f aca="false">IF($B53="","","QT"&amp;TEXT($B53,"yyyymm")&amp;"-"&amp;TEXT(ROW()-4,"000"))</f>
        <v/>
      </c>
      <c r="B53" s="41"/>
      <c r="C53" s="42" t="str">
        <f aca="false">IF($B53="","",TEXT($B53,"yyyy-mm"))</f>
        <v/>
      </c>
      <c r="D53" s="33"/>
      <c r="E53" s="36"/>
      <c r="F53" s="31"/>
      <c r="G53" s="31"/>
      <c r="H53" s="40"/>
      <c r="I53" s="33"/>
      <c r="J53" s="31"/>
      <c r="K53" s="36"/>
      <c r="L53" s="47" t="str">
        <f aca="false">IF($B53="","",IF(NOT(ISNUMBER($B53)),"日期不是日期格式",IF(YEAR($B53)&lt;&gt;首页!$B$3,"不在会计年度",IF($F53="","未填借方科目",IF($G53="","未填贷方科目",IF(LEFT($M53,1)="⚠","借方科目不存在",IF(LEFT($N53,1)="⚠","贷方科目不存在",IF($F53=$G53,"借贷科目不能相同",IF(NOT(ISNUMBER($H53)),"金额须为数字",IF(N($H53)&lt;=0,"金额须大于0","√"))))))))))</f>
        <v/>
      </c>
      <c r="M53" s="50" t="str">
        <f aca="false">IF($F53="","",IFERROR(INDEX(科目参数!$B$6:$B$125,MATCH($F53,科目参数!$A$6:$A$125,0)),"⚠科目不存在"))</f>
        <v/>
      </c>
      <c r="N53" s="50" t="str">
        <f aca="false">IF($G53="","",IFERROR(INDEX(科目参数!$B$6:$B$125,MATCH($G53,科目参数!$A$6:$A$125,0)),"⚠科目不存在"))</f>
        <v/>
      </c>
    </row>
    <row r="54" customFormat="false" ht="15.75" hidden="false" customHeight="true" outlineLevel="0" collapsed="false">
      <c r="A54" s="42" t="str">
        <f aca="false">IF($B54="","","QT"&amp;TEXT($B54,"yyyymm")&amp;"-"&amp;TEXT(ROW()-4,"000"))</f>
        <v/>
      </c>
      <c r="B54" s="41"/>
      <c r="C54" s="42" t="str">
        <f aca="false">IF($B54="","",TEXT($B54,"yyyy-mm"))</f>
        <v/>
      </c>
      <c r="D54" s="33"/>
      <c r="E54" s="36"/>
      <c r="F54" s="31"/>
      <c r="G54" s="31"/>
      <c r="H54" s="40"/>
      <c r="I54" s="33"/>
      <c r="J54" s="31"/>
      <c r="K54" s="36"/>
      <c r="L54" s="47" t="str">
        <f aca="false">IF($B54="","",IF(NOT(ISNUMBER($B54)),"日期不是日期格式",IF(YEAR($B54)&lt;&gt;首页!$B$3,"不在会计年度",IF($F54="","未填借方科目",IF($G54="","未填贷方科目",IF(LEFT($M54,1)="⚠","借方科目不存在",IF(LEFT($N54,1)="⚠","贷方科目不存在",IF($F54=$G54,"借贷科目不能相同",IF(NOT(ISNUMBER($H54)),"金额须为数字",IF(N($H54)&lt;=0,"金额须大于0","√"))))))))))</f>
        <v/>
      </c>
      <c r="M54" s="50" t="str">
        <f aca="false">IF($F54="","",IFERROR(INDEX(科目参数!$B$6:$B$125,MATCH($F54,科目参数!$A$6:$A$125,0)),"⚠科目不存在"))</f>
        <v/>
      </c>
      <c r="N54" s="50" t="str">
        <f aca="false">IF($G54="","",IFERROR(INDEX(科目参数!$B$6:$B$125,MATCH($G54,科目参数!$A$6:$A$125,0)),"⚠科目不存在"))</f>
        <v/>
      </c>
    </row>
    <row r="55" customFormat="false" ht="15.75" hidden="false" customHeight="true" outlineLevel="0" collapsed="false">
      <c r="A55" s="42" t="str">
        <f aca="false">IF($B55="","","QT"&amp;TEXT($B55,"yyyymm")&amp;"-"&amp;TEXT(ROW()-4,"000"))</f>
        <v/>
      </c>
      <c r="B55" s="41"/>
      <c r="C55" s="42" t="str">
        <f aca="false">IF($B55="","",TEXT($B55,"yyyy-mm"))</f>
        <v/>
      </c>
      <c r="D55" s="33"/>
      <c r="E55" s="36"/>
      <c r="F55" s="31"/>
      <c r="G55" s="31"/>
      <c r="H55" s="40"/>
      <c r="I55" s="33"/>
      <c r="J55" s="31"/>
      <c r="K55" s="36"/>
      <c r="L55" s="47" t="str">
        <f aca="false">IF($B55="","",IF(NOT(ISNUMBER($B55)),"日期不是日期格式",IF(YEAR($B55)&lt;&gt;首页!$B$3,"不在会计年度",IF($F55="","未填借方科目",IF($G55="","未填贷方科目",IF(LEFT($M55,1)="⚠","借方科目不存在",IF(LEFT($N55,1)="⚠","贷方科目不存在",IF($F55=$G55,"借贷科目不能相同",IF(NOT(ISNUMBER($H55)),"金额须为数字",IF(N($H55)&lt;=0,"金额须大于0","√"))))))))))</f>
        <v/>
      </c>
      <c r="M55" s="50" t="str">
        <f aca="false">IF($F55="","",IFERROR(INDEX(科目参数!$B$6:$B$125,MATCH($F55,科目参数!$A$6:$A$125,0)),"⚠科目不存在"))</f>
        <v/>
      </c>
      <c r="N55" s="50" t="str">
        <f aca="false">IF($G55="","",IFERROR(INDEX(科目参数!$B$6:$B$125,MATCH($G55,科目参数!$A$6:$A$125,0)),"⚠科目不存在"))</f>
        <v/>
      </c>
    </row>
    <row r="56" customFormat="false" ht="15.75" hidden="false" customHeight="true" outlineLevel="0" collapsed="false">
      <c r="A56" s="42" t="str">
        <f aca="false">IF($B56="","","QT"&amp;TEXT($B56,"yyyymm")&amp;"-"&amp;TEXT(ROW()-4,"000"))</f>
        <v/>
      </c>
      <c r="B56" s="41"/>
      <c r="C56" s="42" t="str">
        <f aca="false">IF($B56="","",TEXT($B56,"yyyy-mm"))</f>
        <v/>
      </c>
      <c r="D56" s="33"/>
      <c r="E56" s="36"/>
      <c r="F56" s="31"/>
      <c r="G56" s="31"/>
      <c r="H56" s="40"/>
      <c r="I56" s="33"/>
      <c r="J56" s="31"/>
      <c r="K56" s="36"/>
      <c r="L56" s="47" t="str">
        <f aca="false">IF($B56="","",IF(NOT(ISNUMBER($B56)),"日期不是日期格式",IF(YEAR($B56)&lt;&gt;首页!$B$3,"不在会计年度",IF($F56="","未填借方科目",IF($G56="","未填贷方科目",IF(LEFT($M56,1)="⚠","借方科目不存在",IF(LEFT($N56,1)="⚠","贷方科目不存在",IF($F56=$G56,"借贷科目不能相同",IF(NOT(ISNUMBER($H56)),"金额须为数字",IF(N($H56)&lt;=0,"金额须大于0","√"))))))))))</f>
        <v/>
      </c>
      <c r="M56" s="50" t="str">
        <f aca="false">IF($F56="","",IFERROR(INDEX(科目参数!$B$6:$B$125,MATCH($F56,科目参数!$A$6:$A$125,0)),"⚠科目不存在"))</f>
        <v/>
      </c>
      <c r="N56" s="50" t="str">
        <f aca="false">IF($G56="","",IFERROR(INDEX(科目参数!$B$6:$B$125,MATCH($G56,科目参数!$A$6:$A$125,0)),"⚠科目不存在"))</f>
        <v/>
      </c>
    </row>
    <row r="57" customFormat="false" ht="15.75" hidden="false" customHeight="true" outlineLevel="0" collapsed="false">
      <c r="A57" s="42" t="str">
        <f aca="false">IF($B57="","","QT"&amp;TEXT($B57,"yyyymm")&amp;"-"&amp;TEXT(ROW()-4,"000"))</f>
        <v/>
      </c>
      <c r="B57" s="41"/>
      <c r="C57" s="42" t="str">
        <f aca="false">IF($B57="","",TEXT($B57,"yyyy-mm"))</f>
        <v/>
      </c>
      <c r="D57" s="33"/>
      <c r="E57" s="36"/>
      <c r="F57" s="31"/>
      <c r="G57" s="31"/>
      <c r="H57" s="40"/>
      <c r="I57" s="33"/>
      <c r="J57" s="31"/>
      <c r="K57" s="36"/>
      <c r="L57" s="47" t="str">
        <f aca="false">IF($B57="","",IF(NOT(ISNUMBER($B57)),"日期不是日期格式",IF(YEAR($B57)&lt;&gt;首页!$B$3,"不在会计年度",IF($F57="","未填借方科目",IF($G57="","未填贷方科目",IF(LEFT($M57,1)="⚠","借方科目不存在",IF(LEFT($N57,1)="⚠","贷方科目不存在",IF($F57=$G57,"借贷科目不能相同",IF(NOT(ISNUMBER($H57)),"金额须为数字",IF(N($H57)&lt;=0,"金额须大于0","√"))))))))))</f>
        <v/>
      </c>
      <c r="M57" s="50" t="str">
        <f aca="false">IF($F57="","",IFERROR(INDEX(科目参数!$B$6:$B$125,MATCH($F57,科目参数!$A$6:$A$125,0)),"⚠科目不存在"))</f>
        <v/>
      </c>
      <c r="N57" s="50" t="str">
        <f aca="false">IF($G57="","",IFERROR(INDEX(科目参数!$B$6:$B$125,MATCH($G57,科目参数!$A$6:$A$125,0)),"⚠科目不存在"))</f>
        <v/>
      </c>
    </row>
    <row r="58" customFormat="false" ht="15.75" hidden="false" customHeight="true" outlineLevel="0" collapsed="false">
      <c r="A58" s="42" t="str">
        <f aca="false">IF($B58="","","QT"&amp;TEXT($B58,"yyyymm")&amp;"-"&amp;TEXT(ROW()-4,"000"))</f>
        <v/>
      </c>
      <c r="B58" s="41"/>
      <c r="C58" s="42" t="str">
        <f aca="false">IF($B58="","",TEXT($B58,"yyyy-mm"))</f>
        <v/>
      </c>
      <c r="D58" s="33"/>
      <c r="E58" s="36"/>
      <c r="F58" s="31"/>
      <c r="G58" s="31"/>
      <c r="H58" s="40"/>
      <c r="I58" s="33"/>
      <c r="J58" s="31"/>
      <c r="K58" s="36"/>
      <c r="L58" s="47" t="str">
        <f aca="false">IF($B58="","",IF(NOT(ISNUMBER($B58)),"日期不是日期格式",IF(YEAR($B58)&lt;&gt;首页!$B$3,"不在会计年度",IF($F58="","未填借方科目",IF($G58="","未填贷方科目",IF(LEFT($M58,1)="⚠","借方科目不存在",IF(LEFT($N58,1)="⚠","贷方科目不存在",IF($F58=$G58,"借贷科目不能相同",IF(NOT(ISNUMBER($H58)),"金额须为数字",IF(N($H58)&lt;=0,"金额须大于0","√"))))))))))</f>
        <v/>
      </c>
      <c r="M58" s="50" t="str">
        <f aca="false">IF($F58="","",IFERROR(INDEX(科目参数!$B$6:$B$125,MATCH($F58,科目参数!$A$6:$A$125,0)),"⚠科目不存在"))</f>
        <v/>
      </c>
      <c r="N58" s="50" t="str">
        <f aca="false">IF($G58="","",IFERROR(INDEX(科目参数!$B$6:$B$125,MATCH($G58,科目参数!$A$6:$A$125,0)),"⚠科目不存在"))</f>
        <v/>
      </c>
    </row>
    <row r="59" customFormat="false" ht="15.75" hidden="false" customHeight="true" outlineLevel="0" collapsed="false">
      <c r="A59" s="42" t="str">
        <f aca="false">IF($B59="","","QT"&amp;TEXT($B59,"yyyymm")&amp;"-"&amp;TEXT(ROW()-4,"000"))</f>
        <v/>
      </c>
      <c r="B59" s="41"/>
      <c r="C59" s="42" t="str">
        <f aca="false">IF($B59="","",TEXT($B59,"yyyy-mm"))</f>
        <v/>
      </c>
      <c r="D59" s="33"/>
      <c r="E59" s="36"/>
      <c r="F59" s="31"/>
      <c r="G59" s="31"/>
      <c r="H59" s="40"/>
      <c r="I59" s="33"/>
      <c r="J59" s="31"/>
      <c r="K59" s="36"/>
      <c r="L59" s="47" t="str">
        <f aca="false">IF($B59="","",IF(NOT(ISNUMBER($B59)),"日期不是日期格式",IF(YEAR($B59)&lt;&gt;首页!$B$3,"不在会计年度",IF($F59="","未填借方科目",IF($G59="","未填贷方科目",IF(LEFT($M59,1)="⚠","借方科目不存在",IF(LEFT($N59,1)="⚠","贷方科目不存在",IF($F59=$G59,"借贷科目不能相同",IF(NOT(ISNUMBER($H59)),"金额须为数字",IF(N($H59)&lt;=0,"金额须大于0","√"))))))))))</f>
        <v/>
      </c>
      <c r="M59" s="50" t="str">
        <f aca="false">IF($F59="","",IFERROR(INDEX(科目参数!$B$6:$B$125,MATCH($F59,科目参数!$A$6:$A$125,0)),"⚠科目不存在"))</f>
        <v/>
      </c>
      <c r="N59" s="50" t="str">
        <f aca="false">IF($G59="","",IFERROR(INDEX(科目参数!$B$6:$B$125,MATCH($G59,科目参数!$A$6:$A$125,0)),"⚠科目不存在"))</f>
        <v/>
      </c>
    </row>
    <row r="60" customFormat="false" ht="15.75" hidden="false" customHeight="true" outlineLevel="0" collapsed="false">
      <c r="A60" s="42" t="str">
        <f aca="false">IF($B60="","","QT"&amp;TEXT($B60,"yyyymm")&amp;"-"&amp;TEXT(ROW()-4,"000"))</f>
        <v/>
      </c>
      <c r="B60" s="41"/>
      <c r="C60" s="42" t="str">
        <f aca="false">IF($B60="","",TEXT($B60,"yyyy-mm"))</f>
        <v/>
      </c>
      <c r="D60" s="33"/>
      <c r="E60" s="36"/>
      <c r="F60" s="31"/>
      <c r="G60" s="31"/>
      <c r="H60" s="40"/>
      <c r="I60" s="33"/>
      <c r="J60" s="31"/>
      <c r="K60" s="36"/>
      <c r="L60" s="47" t="str">
        <f aca="false">IF($B60="","",IF(NOT(ISNUMBER($B60)),"日期不是日期格式",IF(YEAR($B60)&lt;&gt;首页!$B$3,"不在会计年度",IF($F60="","未填借方科目",IF($G60="","未填贷方科目",IF(LEFT($M60,1)="⚠","借方科目不存在",IF(LEFT($N60,1)="⚠","贷方科目不存在",IF($F60=$G60,"借贷科目不能相同",IF(NOT(ISNUMBER($H60)),"金额须为数字",IF(N($H60)&lt;=0,"金额须大于0","√"))))))))))</f>
        <v/>
      </c>
      <c r="M60" s="50" t="str">
        <f aca="false">IF($F60="","",IFERROR(INDEX(科目参数!$B$6:$B$125,MATCH($F60,科目参数!$A$6:$A$125,0)),"⚠科目不存在"))</f>
        <v/>
      </c>
      <c r="N60" s="50" t="str">
        <f aca="false">IF($G60="","",IFERROR(INDEX(科目参数!$B$6:$B$125,MATCH($G60,科目参数!$A$6:$A$125,0)),"⚠科目不存在"))</f>
        <v/>
      </c>
    </row>
    <row r="61" customFormat="false" ht="15.75" hidden="false" customHeight="true" outlineLevel="0" collapsed="false">
      <c r="A61" s="42" t="str">
        <f aca="false">IF($B61="","","QT"&amp;TEXT($B61,"yyyymm")&amp;"-"&amp;TEXT(ROW()-4,"000"))</f>
        <v/>
      </c>
      <c r="B61" s="41"/>
      <c r="C61" s="42" t="str">
        <f aca="false">IF($B61="","",TEXT($B61,"yyyy-mm"))</f>
        <v/>
      </c>
      <c r="D61" s="33"/>
      <c r="E61" s="36"/>
      <c r="F61" s="31"/>
      <c r="G61" s="31"/>
      <c r="H61" s="40"/>
      <c r="I61" s="33"/>
      <c r="J61" s="31"/>
      <c r="K61" s="36"/>
      <c r="L61" s="47" t="str">
        <f aca="false">IF($B61="","",IF(NOT(ISNUMBER($B61)),"日期不是日期格式",IF(YEAR($B61)&lt;&gt;首页!$B$3,"不在会计年度",IF($F61="","未填借方科目",IF($G61="","未填贷方科目",IF(LEFT($M61,1)="⚠","借方科目不存在",IF(LEFT($N61,1)="⚠","贷方科目不存在",IF($F61=$G61,"借贷科目不能相同",IF(NOT(ISNUMBER($H61)),"金额须为数字",IF(N($H61)&lt;=0,"金额须大于0","√"))))))))))</f>
        <v/>
      </c>
      <c r="M61" s="50" t="str">
        <f aca="false">IF($F61="","",IFERROR(INDEX(科目参数!$B$6:$B$125,MATCH($F61,科目参数!$A$6:$A$125,0)),"⚠科目不存在"))</f>
        <v/>
      </c>
      <c r="N61" s="50" t="str">
        <f aca="false">IF($G61="","",IFERROR(INDEX(科目参数!$B$6:$B$125,MATCH($G61,科目参数!$A$6:$A$125,0)),"⚠科目不存在"))</f>
        <v/>
      </c>
    </row>
    <row r="62" customFormat="false" ht="15.75" hidden="false" customHeight="true" outlineLevel="0" collapsed="false">
      <c r="A62" s="42" t="str">
        <f aca="false">IF($B62="","","QT"&amp;TEXT($B62,"yyyymm")&amp;"-"&amp;TEXT(ROW()-4,"000"))</f>
        <v/>
      </c>
      <c r="B62" s="41"/>
      <c r="C62" s="42" t="str">
        <f aca="false">IF($B62="","",TEXT($B62,"yyyy-mm"))</f>
        <v/>
      </c>
      <c r="D62" s="33"/>
      <c r="E62" s="36"/>
      <c r="F62" s="31"/>
      <c r="G62" s="31"/>
      <c r="H62" s="40"/>
      <c r="I62" s="33"/>
      <c r="J62" s="31"/>
      <c r="K62" s="36"/>
      <c r="L62" s="47" t="str">
        <f aca="false">IF($B62="","",IF(NOT(ISNUMBER($B62)),"日期不是日期格式",IF(YEAR($B62)&lt;&gt;首页!$B$3,"不在会计年度",IF($F62="","未填借方科目",IF($G62="","未填贷方科目",IF(LEFT($M62,1)="⚠","借方科目不存在",IF(LEFT($N62,1)="⚠","贷方科目不存在",IF($F62=$G62,"借贷科目不能相同",IF(NOT(ISNUMBER($H62)),"金额须为数字",IF(N($H62)&lt;=0,"金额须大于0","√"))))))))))</f>
        <v/>
      </c>
      <c r="M62" s="50" t="str">
        <f aca="false">IF($F62="","",IFERROR(INDEX(科目参数!$B$6:$B$125,MATCH($F62,科目参数!$A$6:$A$125,0)),"⚠科目不存在"))</f>
        <v/>
      </c>
      <c r="N62" s="50" t="str">
        <f aca="false">IF($G62="","",IFERROR(INDEX(科目参数!$B$6:$B$125,MATCH($G62,科目参数!$A$6:$A$125,0)),"⚠科目不存在"))</f>
        <v/>
      </c>
    </row>
    <row r="63" customFormat="false" ht="15.75" hidden="false" customHeight="true" outlineLevel="0" collapsed="false">
      <c r="A63" s="42" t="str">
        <f aca="false">IF($B63="","","QT"&amp;TEXT($B63,"yyyymm")&amp;"-"&amp;TEXT(ROW()-4,"000"))</f>
        <v/>
      </c>
      <c r="B63" s="41"/>
      <c r="C63" s="42" t="str">
        <f aca="false">IF($B63="","",TEXT($B63,"yyyy-mm"))</f>
        <v/>
      </c>
      <c r="D63" s="33"/>
      <c r="E63" s="36"/>
      <c r="F63" s="31"/>
      <c r="G63" s="31"/>
      <c r="H63" s="40"/>
      <c r="I63" s="33"/>
      <c r="J63" s="31"/>
      <c r="K63" s="36"/>
      <c r="L63" s="47" t="str">
        <f aca="false">IF($B63="","",IF(NOT(ISNUMBER($B63)),"日期不是日期格式",IF(YEAR($B63)&lt;&gt;首页!$B$3,"不在会计年度",IF($F63="","未填借方科目",IF($G63="","未填贷方科目",IF(LEFT($M63,1)="⚠","借方科目不存在",IF(LEFT($N63,1)="⚠","贷方科目不存在",IF($F63=$G63,"借贷科目不能相同",IF(NOT(ISNUMBER($H63)),"金额须为数字",IF(N($H63)&lt;=0,"金额须大于0","√"))))))))))</f>
        <v/>
      </c>
      <c r="M63" s="50" t="str">
        <f aca="false">IF($F63="","",IFERROR(INDEX(科目参数!$B$6:$B$125,MATCH($F63,科目参数!$A$6:$A$125,0)),"⚠科目不存在"))</f>
        <v/>
      </c>
      <c r="N63" s="50" t="str">
        <f aca="false">IF($G63="","",IFERROR(INDEX(科目参数!$B$6:$B$125,MATCH($G63,科目参数!$A$6:$A$125,0)),"⚠科目不存在"))</f>
        <v/>
      </c>
    </row>
    <row r="64" customFormat="false" ht="15.75" hidden="false" customHeight="true" outlineLevel="0" collapsed="false">
      <c r="A64" s="42" t="str">
        <f aca="false">IF($B64="","","QT"&amp;TEXT($B64,"yyyymm")&amp;"-"&amp;TEXT(ROW()-4,"000"))</f>
        <v/>
      </c>
      <c r="B64" s="41"/>
      <c r="C64" s="42" t="str">
        <f aca="false">IF($B64="","",TEXT($B64,"yyyy-mm"))</f>
        <v/>
      </c>
      <c r="D64" s="33"/>
      <c r="E64" s="36"/>
      <c r="F64" s="31"/>
      <c r="G64" s="31"/>
      <c r="H64" s="40"/>
      <c r="I64" s="33"/>
      <c r="J64" s="31"/>
      <c r="K64" s="36"/>
      <c r="L64" s="47" t="str">
        <f aca="false">IF($B64="","",IF(NOT(ISNUMBER($B64)),"日期不是日期格式",IF(YEAR($B64)&lt;&gt;首页!$B$3,"不在会计年度",IF($F64="","未填借方科目",IF($G64="","未填贷方科目",IF(LEFT($M64,1)="⚠","借方科目不存在",IF(LEFT($N64,1)="⚠","贷方科目不存在",IF($F64=$G64,"借贷科目不能相同",IF(NOT(ISNUMBER($H64)),"金额须为数字",IF(N($H64)&lt;=0,"金额须大于0","√"))))))))))</f>
        <v/>
      </c>
      <c r="M64" s="50" t="str">
        <f aca="false">IF($F64="","",IFERROR(INDEX(科目参数!$B$6:$B$125,MATCH($F64,科目参数!$A$6:$A$125,0)),"⚠科目不存在"))</f>
        <v/>
      </c>
      <c r="N64" s="50" t="str">
        <f aca="false">IF($G64="","",IFERROR(INDEX(科目参数!$B$6:$B$125,MATCH($G64,科目参数!$A$6:$A$125,0)),"⚠科目不存在"))</f>
        <v/>
      </c>
    </row>
    <row r="65" customFormat="false" ht="15.75" hidden="false" customHeight="true" outlineLevel="0" collapsed="false">
      <c r="A65" s="42" t="str">
        <f aca="false">IF($B65="","","QT"&amp;TEXT($B65,"yyyymm")&amp;"-"&amp;TEXT(ROW()-4,"000"))</f>
        <v/>
      </c>
      <c r="B65" s="41"/>
      <c r="C65" s="42" t="str">
        <f aca="false">IF($B65="","",TEXT($B65,"yyyy-mm"))</f>
        <v/>
      </c>
      <c r="D65" s="33"/>
      <c r="E65" s="36"/>
      <c r="F65" s="31"/>
      <c r="G65" s="31"/>
      <c r="H65" s="40"/>
      <c r="I65" s="33"/>
      <c r="J65" s="31"/>
      <c r="K65" s="36"/>
      <c r="L65" s="47" t="str">
        <f aca="false">IF($B65="","",IF(NOT(ISNUMBER($B65)),"日期不是日期格式",IF(YEAR($B65)&lt;&gt;首页!$B$3,"不在会计年度",IF($F65="","未填借方科目",IF($G65="","未填贷方科目",IF(LEFT($M65,1)="⚠","借方科目不存在",IF(LEFT($N65,1)="⚠","贷方科目不存在",IF($F65=$G65,"借贷科目不能相同",IF(NOT(ISNUMBER($H65)),"金额须为数字",IF(N($H65)&lt;=0,"金额须大于0","√"))))))))))</f>
        <v/>
      </c>
      <c r="M65" s="50" t="str">
        <f aca="false">IF($F65="","",IFERROR(INDEX(科目参数!$B$6:$B$125,MATCH($F65,科目参数!$A$6:$A$125,0)),"⚠科目不存在"))</f>
        <v/>
      </c>
      <c r="N65" s="50" t="str">
        <f aca="false">IF($G65="","",IFERROR(INDEX(科目参数!$B$6:$B$125,MATCH($G65,科目参数!$A$6:$A$125,0)),"⚠科目不存在"))</f>
        <v/>
      </c>
    </row>
    <row r="66" customFormat="false" ht="15.75" hidden="false" customHeight="true" outlineLevel="0" collapsed="false">
      <c r="A66" s="42" t="str">
        <f aca="false">IF($B66="","","QT"&amp;TEXT($B66,"yyyymm")&amp;"-"&amp;TEXT(ROW()-4,"000"))</f>
        <v/>
      </c>
      <c r="B66" s="41"/>
      <c r="C66" s="42" t="str">
        <f aca="false">IF($B66="","",TEXT($B66,"yyyy-mm"))</f>
        <v/>
      </c>
      <c r="D66" s="33"/>
      <c r="E66" s="36"/>
      <c r="F66" s="31"/>
      <c r="G66" s="31"/>
      <c r="H66" s="40"/>
      <c r="I66" s="33"/>
      <c r="J66" s="31"/>
      <c r="K66" s="36"/>
      <c r="L66" s="47" t="str">
        <f aca="false">IF($B66="","",IF(NOT(ISNUMBER($B66)),"日期不是日期格式",IF(YEAR($B66)&lt;&gt;首页!$B$3,"不在会计年度",IF($F66="","未填借方科目",IF($G66="","未填贷方科目",IF(LEFT($M66,1)="⚠","借方科目不存在",IF(LEFT($N66,1)="⚠","贷方科目不存在",IF($F66=$G66,"借贷科目不能相同",IF(NOT(ISNUMBER($H66)),"金额须为数字",IF(N($H66)&lt;=0,"金额须大于0","√"))))))))))</f>
        <v/>
      </c>
      <c r="M66" s="50" t="str">
        <f aca="false">IF($F66="","",IFERROR(INDEX(科目参数!$B$6:$B$125,MATCH($F66,科目参数!$A$6:$A$125,0)),"⚠科目不存在"))</f>
        <v/>
      </c>
      <c r="N66" s="50" t="str">
        <f aca="false">IF($G66="","",IFERROR(INDEX(科目参数!$B$6:$B$125,MATCH($G66,科目参数!$A$6:$A$125,0)),"⚠科目不存在"))</f>
        <v/>
      </c>
    </row>
    <row r="67" customFormat="false" ht="15.75" hidden="false" customHeight="true" outlineLevel="0" collapsed="false">
      <c r="A67" s="42" t="str">
        <f aca="false">IF($B67="","","QT"&amp;TEXT($B67,"yyyymm")&amp;"-"&amp;TEXT(ROW()-4,"000"))</f>
        <v/>
      </c>
      <c r="B67" s="41"/>
      <c r="C67" s="42" t="str">
        <f aca="false">IF($B67="","",TEXT($B67,"yyyy-mm"))</f>
        <v/>
      </c>
      <c r="D67" s="33"/>
      <c r="E67" s="36"/>
      <c r="F67" s="31"/>
      <c r="G67" s="31"/>
      <c r="H67" s="40"/>
      <c r="I67" s="33"/>
      <c r="J67" s="31"/>
      <c r="K67" s="36"/>
      <c r="L67" s="47" t="str">
        <f aca="false">IF($B67="","",IF(NOT(ISNUMBER($B67)),"日期不是日期格式",IF(YEAR($B67)&lt;&gt;首页!$B$3,"不在会计年度",IF($F67="","未填借方科目",IF($G67="","未填贷方科目",IF(LEFT($M67,1)="⚠","借方科目不存在",IF(LEFT($N67,1)="⚠","贷方科目不存在",IF($F67=$G67,"借贷科目不能相同",IF(NOT(ISNUMBER($H67)),"金额须为数字",IF(N($H67)&lt;=0,"金额须大于0","√"))))))))))</f>
        <v/>
      </c>
      <c r="M67" s="50" t="str">
        <f aca="false">IF($F67="","",IFERROR(INDEX(科目参数!$B$6:$B$125,MATCH($F67,科目参数!$A$6:$A$125,0)),"⚠科目不存在"))</f>
        <v/>
      </c>
      <c r="N67" s="50" t="str">
        <f aca="false">IF($G67="","",IFERROR(INDEX(科目参数!$B$6:$B$125,MATCH($G67,科目参数!$A$6:$A$125,0)),"⚠科目不存在"))</f>
        <v/>
      </c>
    </row>
    <row r="68" customFormat="false" ht="15.75" hidden="false" customHeight="true" outlineLevel="0" collapsed="false">
      <c r="A68" s="42" t="str">
        <f aca="false">IF($B68="","","QT"&amp;TEXT($B68,"yyyymm")&amp;"-"&amp;TEXT(ROW()-4,"000"))</f>
        <v/>
      </c>
      <c r="B68" s="41"/>
      <c r="C68" s="42" t="str">
        <f aca="false">IF($B68="","",TEXT($B68,"yyyy-mm"))</f>
        <v/>
      </c>
      <c r="D68" s="33"/>
      <c r="E68" s="36"/>
      <c r="F68" s="31"/>
      <c r="G68" s="31"/>
      <c r="H68" s="40"/>
      <c r="I68" s="33"/>
      <c r="J68" s="31"/>
      <c r="K68" s="36"/>
      <c r="L68" s="47" t="str">
        <f aca="false">IF($B68="","",IF(NOT(ISNUMBER($B68)),"日期不是日期格式",IF(YEAR($B68)&lt;&gt;首页!$B$3,"不在会计年度",IF($F68="","未填借方科目",IF($G68="","未填贷方科目",IF(LEFT($M68,1)="⚠","借方科目不存在",IF(LEFT($N68,1)="⚠","贷方科目不存在",IF($F68=$G68,"借贷科目不能相同",IF(NOT(ISNUMBER($H68)),"金额须为数字",IF(N($H68)&lt;=0,"金额须大于0","√"))))))))))</f>
        <v/>
      </c>
      <c r="M68" s="50" t="str">
        <f aca="false">IF($F68="","",IFERROR(INDEX(科目参数!$B$6:$B$125,MATCH($F68,科目参数!$A$6:$A$125,0)),"⚠科目不存在"))</f>
        <v/>
      </c>
      <c r="N68" s="50" t="str">
        <f aca="false">IF($G68="","",IFERROR(INDEX(科目参数!$B$6:$B$125,MATCH($G68,科目参数!$A$6:$A$125,0)),"⚠科目不存在"))</f>
        <v/>
      </c>
    </row>
    <row r="69" customFormat="false" ht="15.75" hidden="false" customHeight="true" outlineLevel="0" collapsed="false">
      <c r="A69" s="42" t="str">
        <f aca="false">IF($B69="","","QT"&amp;TEXT($B69,"yyyymm")&amp;"-"&amp;TEXT(ROW()-4,"000"))</f>
        <v/>
      </c>
      <c r="B69" s="41"/>
      <c r="C69" s="42" t="str">
        <f aca="false">IF($B69="","",TEXT($B69,"yyyy-mm"))</f>
        <v/>
      </c>
      <c r="D69" s="33"/>
      <c r="E69" s="36"/>
      <c r="F69" s="31"/>
      <c r="G69" s="31"/>
      <c r="H69" s="40"/>
      <c r="I69" s="33"/>
      <c r="J69" s="31"/>
      <c r="K69" s="36"/>
      <c r="L69" s="47" t="str">
        <f aca="false">IF($B69="","",IF(NOT(ISNUMBER($B69)),"日期不是日期格式",IF(YEAR($B69)&lt;&gt;首页!$B$3,"不在会计年度",IF($F69="","未填借方科目",IF($G69="","未填贷方科目",IF(LEFT($M69,1)="⚠","借方科目不存在",IF(LEFT($N69,1)="⚠","贷方科目不存在",IF($F69=$G69,"借贷科目不能相同",IF(NOT(ISNUMBER($H69)),"金额须为数字",IF(N($H69)&lt;=0,"金额须大于0","√"))))))))))</f>
        <v/>
      </c>
      <c r="M69" s="50" t="str">
        <f aca="false">IF($F69="","",IFERROR(INDEX(科目参数!$B$6:$B$125,MATCH($F69,科目参数!$A$6:$A$125,0)),"⚠科目不存在"))</f>
        <v/>
      </c>
      <c r="N69" s="50" t="str">
        <f aca="false">IF($G69="","",IFERROR(INDEX(科目参数!$B$6:$B$125,MATCH($G69,科目参数!$A$6:$A$125,0)),"⚠科目不存在"))</f>
        <v/>
      </c>
    </row>
    <row r="70" customFormat="false" ht="15.75" hidden="false" customHeight="true" outlineLevel="0" collapsed="false">
      <c r="A70" s="42" t="str">
        <f aca="false">IF($B70="","","QT"&amp;TEXT($B70,"yyyymm")&amp;"-"&amp;TEXT(ROW()-4,"000"))</f>
        <v/>
      </c>
      <c r="B70" s="41"/>
      <c r="C70" s="42" t="str">
        <f aca="false">IF($B70="","",TEXT($B70,"yyyy-mm"))</f>
        <v/>
      </c>
      <c r="D70" s="33"/>
      <c r="E70" s="36"/>
      <c r="F70" s="31"/>
      <c r="G70" s="31"/>
      <c r="H70" s="40"/>
      <c r="I70" s="33"/>
      <c r="J70" s="31"/>
      <c r="K70" s="36"/>
      <c r="L70" s="47" t="str">
        <f aca="false">IF($B70="","",IF(NOT(ISNUMBER($B70)),"日期不是日期格式",IF(YEAR($B70)&lt;&gt;首页!$B$3,"不在会计年度",IF($F70="","未填借方科目",IF($G70="","未填贷方科目",IF(LEFT($M70,1)="⚠","借方科目不存在",IF(LEFT($N70,1)="⚠","贷方科目不存在",IF($F70=$G70,"借贷科目不能相同",IF(NOT(ISNUMBER($H70)),"金额须为数字",IF(N($H70)&lt;=0,"金额须大于0","√"))))))))))</f>
        <v/>
      </c>
      <c r="M70" s="50" t="str">
        <f aca="false">IF($F70="","",IFERROR(INDEX(科目参数!$B$6:$B$125,MATCH($F70,科目参数!$A$6:$A$125,0)),"⚠科目不存在"))</f>
        <v/>
      </c>
      <c r="N70" s="50" t="str">
        <f aca="false">IF($G70="","",IFERROR(INDEX(科目参数!$B$6:$B$125,MATCH($G70,科目参数!$A$6:$A$125,0)),"⚠科目不存在"))</f>
        <v/>
      </c>
    </row>
    <row r="71" customFormat="false" ht="15.75" hidden="false" customHeight="true" outlineLevel="0" collapsed="false">
      <c r="A71" s="42" t="str">
        <f aca="false">IF($B71="","","QT"&amp;TEXT($B71,"yyyymm")&amp;"-"&amp;TEXT(ROW()-4,"000"))</f>
        <v/>
      </c>
      <c r="B71" s="41"/>
      <c r="C71" s="42" t="str">
        <f aca="false">IF($B71="","",TEXT($B71,"yyyy-mm"))</f>
        <v/>
      </c>
      <c r="D71" s="33"/>
      <c r="E71" s="36"/>
      <c r="F71" s="31"/>
      <c r="G71" s="31"/>
      <c r="H71" s="40"/>
      <c r="I71" s="33"/>
      <c r="J71" s="31"/>
      <c r="K71" s="36"/>
      <c r="L71" s="47" t="str">
        <f aca="false">IF($B71="","",IF(NOT(ISNUMBER($B71)),"日期不是日期格式",IF(YEAR($B71)&lt;&gt;首页!$B$3,"不在会计年度",IF($F71="","未填借方科目",IF($G71="","未填贷方科目",IF(LEFT($M71,1)="⚠","借方科目不存在",IF(LEFT($N71,1)="⚠","贷方科目不存在",IF($F71=$G71,"借贷科目不能相同",IF(NOT(ISNUMBER($H71)),"金额须为数字",IF(N($H71)&lt;=0,"金额须大于0","√"))))))))))</f>
        <v/>
      </c>
      <c r="M71" s="50" t="str">
        <f aca="false">IF($F71="","",IFERROR(INDEX(科目参数!$B$6:$B$125,MATCH($F71,科目参数!$A$6:$A$125,0)),"⚠科目不存在"))</f>
        <v/>
      </c>
      <c r="N71" s="50" t="str">
        <f aca="false">IF($G71="","",IFERROR(INDEX(科目参数!$B$6:$B$125,MATCH($G71,科目参数!$A$6:$A$125,0)),"⚠科目不存在"))</f>
        <v/>
      </c>
    </row>
    <row r="72" customFormat="false" ht="15.75" hidden="false" customHeight="true" outlineLevel="0" collapsed="false">
      <c r="A72" s="42" t="str">
        <f aca="false">IF($B72="","","QT"&amp;TEXT($B72,"yyyymm")&amp;"-"&amp;TEXT(ROW()-4,"000"))</f>
        <v/>
      </c>
      <c r="B72" s="41"/>
      <c r="C72" s="42" t="str">
        <f aca="false">IF($B72="","",TEXT($B72,"yyyy-mm"))</f>
        <v/>
      </c>
      <c r="D72" s="33"/>
      <c r="E72" s="36"/>
      <c r="F72" s="31"/>
      <c r="G72" s="31"/>
      <c r="H72" s="40"/>
      <c r="I72" s="33"/>
      <c r="J72" s="31"/>
      <c r="K72" s="36"/>
      <c r="L72" s="47" t="str">
        <f aca="false">IF($B72="","",IF(NOT(ISNUMBER($B72)),"日期不是日期格式",IF(YEAR($B72)&lt;&gt;首页!$B$3,"不在会计年度",IF($F72="","未填借方科目",IF($G72="","未填贷方科目",IF(LEFT($M72,1)="⚠","借方科目不存在",IF(LEFT($N72,1)="⚠","贷方科目不存在",IF($F72=$G72,"借贷科目不能相同",IF(NOT(ISNUMBER($H72)),"金额须为数字",IF(N($H72)&lt;=0,"金额须大于0","√"))))))))))</f>
        <v/>
      </c>
      <c r="M72" s="50" t="str">
        <f aca="false">IF($F72="","",IFERROR(INDEX(科目参数!$B$6:$B$125,MATCH($F72,科目参数!$A$6:$A$125,0)),"⚠科目不存在"))</f>
        <v/>
      </c>
      <c r="N72" s="50" t="str">
        <f aca="false">IF($G72="","",IFERROR(INDEX(科目参数!$B$6:$B$125,MATCH($G72,科目参数!$A$6:$A$125,0)),"⚠科目不存在"))</f>
        <v/>
      </c>
    </row>
    <row r="73" customFormat="false" ht="15.75" hidden="false" customHeight="true" outlineLevel="0" collapsed="false">
      <c r="A73" s="42" t="str">
        <f aca="false">IF($B73="","","QT"&amp;TEXT($B73,"yyyymm")&amp;"-"&amp;TEXT(ROW()-4,"000"))</f>
        <v/>
      </c>
      <c r="B73" s="41"/>
      <c r="C73" s="42" t="str">
        <f aca="false">IF($B73="","",TEXT($B73,"yyyy-mm"))</f>
        <v/>
      </c>
      <c r="D73" s="33"/>
      <c r="E73" s="36"/>
      <c r="F73" s="31"/>
      <c r="G73" s="31"/>
      <c r="H73" s="40"/>
      <c r="I73" s="33"/>
      <c r="J73" s="31"/>
      <c r="K73" s="36"/>
      <c r="L73" s="47" t="str">
        <f aca="false">IF($B73="","",IF(NOT(ISNUMBER($B73)),"日期不是日期格式",IF(YEAR($B73)&lt;&gt;首页!$B$3,"不在会计年度",IF($F73="","未填借方科目",IF($G73="","未填贷方科目",IF(LEFT($M73,1)="⚠","借方科目不存在",IF(LEFT($N73,1)="⚠","贷方科目不存在",IF($F73=$G73,"借贷科目不能相同",IF(NOT(ISNUMBER($H73)),"金额须为数字",IF(N($H73)&lt;=0,"金额须大于0","√"))))))))))</f>
        <v/>
      </c>
      <c r="M73" s="50" t="str">
        <f aca="false">IF($F73="","",IFERROR(INDEX(科目参数!$B$6:$B$125,MATCH($F73,科目参数!$A$6:$A$125,0)),"⚠科目不存在"))</f>
        <v/>
      </c>
      <c r="N73" s="50" t="str">
        <f aca="false">IF($G73="","",IFERROR(INDEX(科目参数!$B$6:$B$125,MATCH($G73,科目参数!$A$6:$A$125,0)),"⚠科目不存在"))</f>
        <v/>
      </c>
    </row>
    <row r="74" customFormat="false" ht="15.75" hidden="false" customHeight="true" outlineLevel="0" collapsed="false">
      <c r="A74" s="42" t="str">
        <f aca="false">IF($B74="","","QT"&amp;TEXT($B74,"yyyymm")&amp;"-"&amp;TEXT(ROW()-4,"000"))</f>
        <v/>
      </c>
      <c r="B74" s="41"/>
      <c r="C74" s="42" t="str">
        <f aca="false">IF($B74="","",TEXT($B74,"yyyy-mm"))</f>
        <v/>
      </c>
      <c r="D74" s="33"/>
      <c r="E74" s="36"/>
      <c r="F74" s="31"/>
      <c r="G74" s="31"/>
      <c r="H74" s="40"/>
      <c r="I74" s="33"/>
      <c r="J74" s="31"/>
      <c r="K74" s="36"/>
      <c r="L74" s="47" t="str">
        <f aca="false">IF($B74="","",IF(NOT(ISNUMBER($B74)),"日期不是日期格式",IF(YEAR($B74)&lt;&gt;首页!$B$3,"不在会计年度",IF($F74="","未填借方科目",IF($G74="","未填贷方科目",IF(LEFT($M74,1)="⚠","借方科目不存在",IF(LEFT($N74,1)="⚠","贷方科目不存在",IF($F74=$G74,"借贷科目不能相同",IF(NOT(ISNUMBER($H74)),"金额须为数字",IF(N($H74)&lt;=0,"金额须大于0","√"))))))))))</f>
        <v/>
      </c>
      <c r="M74" s="50" t="str">
        <f aca="false">IF($F74="","",IFERROR(INDEX(科目参数!$B$6:$B$125,MATCH($F74,科目参数!$A$6:$A$125,0)),"⚠科目不存在"))</f>
        <v/>
      </c>
      <c r="N74" s="50" t="str">
        <f aca="false">IF($G74="","",IFERROR(INDEX(科目参数!$B$6:$B$125,MATCH($G74,科目参数!$A$6:$A$125,0)),"⚠科目不存在"))</f>
        <v/>
      </c>
    </row>
    <row r="75" customFormat="false" ht="15.75" hidden="false" customHeight="true" outlineLevel="0" collapsed="false">
      <c r="A75" s="42" t="str">
        <f aca="false">IF($B75="","","QT"&amp;TEXT($B75,"yyyymm")&amp;"-"&amp;TEXT(ROW()-4,"000"))</f>
        <v/>
      </c>
      <c r="B75" s="41"/>
      <c r="C75" s="42" t="str">
        <f aca="false">IF($B75="","",TEXT($B75,"yyyy-mm"))</f>
        <v/>
      </c>
      <c r="D75" s="33"/>
      <c r="E75" s="36"/>
      <c r="F75" s="31"/>
      <c r="G75" s="31"/>
      <c r="H75" s="40"/>
      <c r="I75" s="33"/>
      <c r="J75" s="31"/>
      <c r="K75" s="36"/>
      <c r="L75" s="47" t="str">
        <f aca="false">IF($B75="","",IF(NOT(ISNUMBER($B75)),"日期不是日期格式",IF(YEAR($B75)&lt;&gt;首页!$B$3,"不在会计年度",IF($F75="","未填借方科目",IF($G75="","未填贷方科目",IF(LEFT($M75,1)="⚠","借方科目不存在",IF(LEFT($N75,1)="⚠","贷方科目不存在",IF($F75=$G75,"借贷科目不能相同",IF(NOT(ISNUMBER($H75)),"金额须为数字",IF(N($H75)&lt;=0,"金额须大于0","√"))))))))))</f>
        <v/>
      </c>
      <c r="M75" s="50" t="str">
        <f aca="false">IF($F75="","",IFERROR(INDEX(科目参数!$B$6:$B$125,MATCH($F75,科目参数!$A$6:$A$125,0)),"⚠科目不存在"))</f>
        <v/>
      </c>
      <c r="N75" s="50" t="str">
        <f aca="false">IF($G75="","",IFERROR(INDEX(科目参数!$B$6:$B$125,MATCH($G75,科目参数!$A$6:$A$125,0)),"⚠科目不存在"))</f>
        <v/>
      </c>
    </row>
    <row r="76" customFormat="false" ht="15.75" hidden="false" customHeight="true" outlineLevel="0" collapsed="false">
      <c r="A76" s="42" t="str">
        <f aca="false">IF($B76="","","QT"&amp;TEXT($B76,"yyyymm")&amp;"-"&amp;TEXT(ROW()-4,"000"))</f>
        <v/>
      </c>
      <c r="B76" s="41"/>
      <c r="C76" s="42" t="str">
        <f aca="false">IF($B76="","",TEXT($B76,"yyyy-mm"))</f>
        <v/>
      </c>
      <c r="D76" s="33"/>
      <c r="E76" s="36"/>
      <c r="F76" s="31"/>
      <c r="G76" s="31"/>
      <c r="H76" s="40"/>
      <c r="I76" s="33"/>
      <c r="J76" s="31"/>
      <c r="K76" s="36"/>
      <c r="L76" s="47" t="str">
        <f aca="false">IF($B76="","",IF(NOT(ISNUMBER($B76)),"日期不是日期格式",IF(YEAR($B76)&lt;&gt;首页!$B$3,"不在会计年度",IF($F76="","未填借方科目",IF($G76="","未填贷方科目",IF(LEFT($M76,1)="⚠","借方科目不存在",IF(LEFT($N76,1)="⚠","贷方科目不存在",IF($F76=$G76,"借贷科目不能相同",IF(NOT(ISNUMBER($H76)),"金额须为数字",IF(N($H76)&lt;=0,"金额须大于0","√"))))))))))</f>
        <v/>
      </c>
      <c r="M76" s="50" t="str">
        <f aca="false">IF($F76="","",IFERROR(INDEX(科目参数!$B$6:$B$125,MATCH($F76,科目参数!$A$6:$A$125,0)),"⚠科目不存在"))</f>
        <v/>
      </c>
      <c r="N76" s="50" t="str">
        <f aca="false">IF($G76="","",IFERROR(INDEX(科目参数!$B$6:$B$125,MATCH($G76,科目参数!$A$6:$A$125,0)),"⚠科目不存在"))</f>
        <v/>
      </c>
    </row>
    <row r="77" customFormat="false" ht="15.75" hidden="false" customHeight="true" outlineLevel="0" collapsed="false">
      <c r="A77" s="42" t="str">
        <f aca="false">IF($B77="","","QT"&amp;TEXT($B77,"yyyymm")&amp;"-"&amp;TEXT(ROW()-4,"000"))</f>
        <v/>
      </c>
      <c r="B77" s="41"/>
      <c r="C77" s="42" t="str">
        <f aca="false">IF($B77="","",TEXT($B77,"yyyy-mm"))</f>
        <v/>
      </c>
      <c r="D77" s="33"/>
      <c r="E77" s="36"/>
      <c r="F77" s="31"/>
      <c r="G77" s="31"/>
      <c r="H77" s="40"/>
      <c r="I77" s="33"/>
      <c r="J77" s="31"/>
      <c r="K77" s="36"/>
      <c r="L77" s="47" t="str">
        <f aca="false">IF($B77="","",IF(NOT(ISNUMBER($B77)),"日期不是日期格式",IF(YEAR($B77)&lt;&gt;首页!$B$3,"不在会计年度",IF($F77="","未填借方科目",IF($G77="","未填贷方科目",IF(LEFT($M77,1)="⚠","借方科目不存在",IF(LEFT($N77,1)="⚠","贷方科目不存在",IF($F77=$G77,"借贷科目不能相同",IF(NOT(ISNUMBER($H77)),"金额须为数字",IF(N($H77)&lt;=0,"金额须大于0","√"))))))))))</f>
        <v/>
      </c>
      <c r="M77" s="50" t="str">
        <f aca="false">IF($F77="","",IFERROR(INDEX(科目参数!$B$6:$B$125,MATCH($F77,科目参数!$A$6:$A$125,0)),"⚠科目不存在"))</f>
        <v/>
      </c>
      <c r="N77" s="50" t="str">
        <f aca="false">IF($G77="","",IFERROR(INDEX(科目参数!$B$6:$B$125,MATCH($G77,科目参数!$A$6:$A$125,0)),"⚠科目不存在"))</f>
        <v/>
      </c>
    </row>
    <row r="78" customFormat="false" ht="15.75" hidden="false" customHeight="true" outlineLevel="0" collapsed="false">
      <c r="A78" s="42" t="str">
        <f aca="false">IF($B78="","","QT"&amp;TEXT($B78,"yyyymm")&amp;"-"&amp;TEXT(ROW()-4,"000"))</f>
        <v/>
      </c>
      <c r="B78" s="41"/>
      <c r="C78" s="42" t="str">
        <f aca="false">IF($B78="","",TEXT($B78,"yyyy-mm"))</f>
        <v/>
      </c>
      <c r="D78" s="33"/>
      <c r="E78" s="36"/>
      <c r="F78" s="31"/>
      <c r="G78" s="31"/>
      <c r="H78" s="40"/>
      <c r="I78" s="33"/>
      <c r="J78" s="31"/>
      <c r="K78" s="36"/>
      <c r="L78" s="47" t="str">
        <f aca="false">IF($B78="","",IF(NOT(ISNUMBER($B78)),"日期不是日期格式",IF(YEAR($B78)&lt;&gt;首页!$B$3,"不在会计年度",IF($F78="","未填借方科目",IF($G78="","未填贷方科目",IF(LEFT($M78,1)="⚠","借方科目不存在",IF(LEFT($N78,1)="⚠","贷方科目不存在",IF($F78=$G78,"借贷科目不能相同",IF(NOT(ISNUMBER($H78)),"金额须为数字",IF(N($H78)&lt;=0,"金额须大于0","√"))))))))))</f>
        <v/>
      </c>
      <c r="M78" s="50" t="str">
        <f aca="false">IF($F78="","",IFERROR(INDEX(科目参数!$B$6:$B$125,MATCH($F78,科目参数!$A$6:$A$125,0)),"⚠科目不存在"))</f>
        <v/>
      </c>
      <c r="N78" s="50" t="str">
        <f aca="false">IF($G78="","",IFERROR(INDEX(科目参数!$B$6:$B$125,MATCH($G78,科目参数!$A$6:$A$125,0)),"⚠科目不存在"))</f>
        <v/>
      </c>
    </row>
    <row r="79" customFormat="false" ht="15.75" hidden="false" customHeight="true" outlineLevel="0" collapsed="false">
      <c r="A79" s="42" t="str">
        <f aca="false">IF($B79="","","QT"&amp;TEXT($B79,"yyyymm")&amp;"-"&amp;TEXT(ROW()-4,"000"))</f>
        <v/>
      </c>
      <c r="B79" s="41"/>
      <c r="C79" s="42" t="str">
        <f aca="false">IF($B79="","",TEXT($B79,"yyyy-mm"))</f>
        <v/>
      </c>
      <c r="D79" s="33"/>
      <c r="E79" s="36"/>
      <c r="F79" s="31"/>
      <c r="G79" s="31"/>
      <c r="H79" s="40"/>
      <c r="I79" s="33"/>
      <c r="J79" s="31"/>
      <c r="K79" s="36"/>
      <c r="L79" s="47" t="str">
        <f aca="false">IF($B79="","",IF(NOT(ISNUMBER($B79)),"日期不是日期格式",IF(YEAR($B79)&lt;&gt;首页!$B$3,"不在会计年度",IF($F79="","未填借方科目",IF($G79="","未填贷方科目",IF(LEFT($M79,1)="⚠","借方科目不存在",IF(LEFT($N79,1)="⚠","贷方科目不存在",IF($F79=$G79,"借贷科目不能相同",IF(NOT(ISNUMBER($H79)),"金额须为数字",IF(N($H79)&lt;=0,"金额须大于0","√"))))))))))</f>
        <v/>
      </c>
      <c r="M79" s="50" t="str">
        <f aca="false">IF($F79="","",IFERROR(INDEX(科目参数!$B$6:$B$125,MATCH($F79,科目参数!$A$6:$A$125,0)),"⚠科目不存在"))</f>
        <v/>
      </c>
      <c r="N79" s="50" t="str">
        <f aca="false">IF($G79="","",IFERROR(INDEX(科目参数!$B$6:$B$125,MATCH($G79,科目参数!$A$6:$A$125,0)),"⚠科目不存在"))</f>
        <v/>
      </c>
    </row>
    <row r="80" customFormat="false" ht="15.75" hidden="false" customHeight="true" outlineLevel="0" collapsed="false">
      <c r="A80" s="42" t="str">
        <f aca="false">IF($B80="","","QT"&amp;TEXT($B80,"yyyymm")&amp;"-"&amp;TEXT(ROW()-4,"000"))</f>
        <v/>
      </c>
      <c r="B80" s="41"/>
      <c r="C80" s="42" t="str">
        <f aca="false">IF($B80="","",TEXT($B80,"yyyy-mm"))</f>
        <v/>
      </c>
      <c r="D80" s="33"/>
      <c r="E80" s="36"/>
      <c r="F80" s="31"/>
      <c r="G80" s="31"/>
      <c r="H80" s="40"/>
      <c r="I80" s="33"/>
      <c r="J80" s="31"/>
      <c r="K80" s="36"/>
      <c r="L80" s="47" t="str">
        <f aca="false">IF($B80="","",IF(NOT(ISNUMBER($B80)),"日期不是日期格式",IF(YEAR($B80)&lt;&gt;首页!$B$3,"不在会计年度",IF($F80="","未填借方科目",IF($G80="","未填贷方科目",IF(LEFT($M80,1)="⚠","借方科目不存在",IF(LEFT($N80,1)="⚠","贷方科目不存在",IF($F80=$G80,"借贷科目不能相同",IF(NOT(ISNUMBER($H80)),"金额须为数字",IF(N($H80)&lt;=0,"金额须大于0","√"))))))))))</f>
        <v/>
      </c>
      <c r="M80" s="50" t="str">
        <f aca="false">IF($F80="","",IFERROR(INDEX(科目参数!$B$6:$B$125,MATCH($F80,科目参数!$A$6:$A$125,0)),"⚠科目不存在"))</f>
        <v/>
      </c>
      <c r="N80" s="50" t="str">
        <f aca="false">IF($G80="","",IFERROR(INDEX(科目参数!$B$6:$B$125,MATCH($G80,科目参数!$A$6:$A$125,0)),"⚠科目不存在"))</f>
        <v/>
      </c>
    </row>
    <row r="81" customFormat="false" ht="15.75" hidden="false" customHeight="true" outlineLevel="0" collapsed="false">
      <c r="A81" s="42" t="str">
        <f aca="false">IF($B81="","","QT"&amp;TEXT($B81,"yyyymm")&amp;"-"&amp;TEXT(ROW()-4,"000"))</f>
        <v/>
      </c>
      <c r="B81" s="41"/>
      <c r="C81" s="42" t="str">
        <f aca="false">IF($B81="","",TEXT($B81,"yyyy-mm"))</f>
        <v/>
      </c>
      <c r="D81" s="33"/>
      <c r="E81" s="36"/>
      <c r="F81" s="31"/>
      <c r="G81" s="31"/>
      <c r="H81" s="40"/>
      <c r="I81" s="33"/>
      <c r="J81" s="31"/>
      <c r="K81" s="36"/>
      <c r="L81" s="47" t="str">
        <f aca="false">IF($B81="","",IF(NOT(ISNUMBER($B81)),"日期不是日期格式",IF(YEAR($B81)&lt;&gt;首页!$B$3,"不在会计年度",IF($F81="","未填借方科目",IF($G81="","未填贷方科目",IF(LEFT($M81,1)="⚠","借方科目不存在",IF(LEFT($N81,1)="⚠","贷方科目不存在",IF($F81=$G81,"借贷科目不能相同",IF(NOT(ISNUMBER($H81)),"金额须为数字",IF(N($H81)&lt;=0,"金额须大于0","√"))))))))))</f>
        <v/>
      </c>
      <c r="M81" s="50" t="str">
        <f aca="false">IF($F81="","",IFERROR(INDEX(科目参数!$B$6:$B$125,MATCH($F81,科目参数!$A$6:$A$125,0)),"⚠科目不存在"))</f>
        <v/>
      </c>
      <c r="N81" s="50" t="str">
        <f aca="false">IF($G81="","",IFERROR(INDEX(科目参数!$B$6:$B$125,MATCH($G81,科目参数!$A$6:$A$125,0)),"⚠科目不存在"))</f>
        <v/>
      </c>
    </row>
    <row r="82" customFormat="false" ht="15.75" hidden="false" customHeight="true" outlineLevel="0" collapsed="false">
      <c r="A82" s="42" t="str">
        <f aca="false">IF($B82="","","QT"&amp;TEXT($B82,"yyyymm")&amp;"-"&amp;TEXT(ROW()-4,"000"))</f>
        <v/>
      </c>
      <c r="B82" s="41"/>
      <c r="C82" s="42" t="str">
        <f aca="false">IF($B82="","",TEXT($B82,"yyyy-mm"))</f>
        <v/>
      </c>
      <c r="D82" s="33"/>
      <c r="E82" s="36"/>
      <c r="F82" s="31"/>
      <c r="G82" s="31"/>
      <c r="H82" s="40"/>
      <c r="I82" s="33"/>
      <c r="J82" s="31"/>
      <c r="K82" s="36"/>
      <c r="L82" s="47" t="str">
        <f aca="false">IF($B82="","",IF(NOT(ISNUMBER($B82)),"日期不是日期格式",IF(YEAR($B82)&lt;&gt;首页!$B$3,"不在会计年度",IF($F82="","未填借方科目",IF($G82="","未填贷方科目",IF(LEFT($M82,1)="⚠","借方科目不存在",IF(LEFT($N82,1)="⚠","贷方科目不存在",IF($F82=$G82,"借贷科目不能相同",IF(NOT(ISNUMBER($H82)),"金额须为数字",IF(N($H82)&lt;=0,"金额须大于0","√"))))))))))</f>
        <v/>
      </c>
      <c r="M82" s="50" t="str">
        <f aca="false">IF($F82="","",IFERROR(INDEX(科目参数!$B$6:$B$125,MATCH($F82,科目参数!$A$6:$A$125,0)),"⚠科目不存在"))</f>
        <v/>
      </c>
      <c r="N82" s="50" t="str">
        <f aca="false">IF($G82="","",IFERROR(INDEX(科目参数!$B$6:$B$125,MATCH($G82,科目参数!$A$6:$A$125,0)),"⚠科目不存在"))</f>
        <v/>
      </c>
    </row>
    <row r="83" customFormat="false" ht="15.75" hidden="false" customHeight="true" outlineLevel="0" collapsed="false">
      <c r="A83" s="42" t="str">
        <f aca="false">IF($B83="","","QT"&amp;TEXT($B83,"yyyymm")&amp;"-"&amp;TEXT(ROW()-4,"000"))</f>
        <v/>
      </c>
      <c r="B83" s="41"/>
      <c r="C83" s="42" t="str">
        <f aca="false">IF($B83="","",TEXT($B83,"yyyy-mm"))</f>
        <v/>
      </c>
      <c r="D83" s="33"/>
      <c r="E83" s="36"/>
      <c r="F83" s="31"/>
      <c r="G83" s="31"/>
      <c r="H83" s="40"/>
      <c r="I83" s="33"/>
      <c r="J83" s="31"/>
      <c r="K83" s="36"/>
      <c r="L83" s="47" t="str">
        <f aca="false">IF($B83="","",IF(NOT(ISNUMBER($B83)),"日期不是日期格式",IF(YEAR($B83)&lt;&gt;首页!$B$3,"不在会计年度",IF($F83="","未填借方科目",IF($G83="","未填贷方科目",IF(LEFT($M83,1)="⚠","借方科目不存在",IF(LEFT($N83,1)="⚠","贷方科目不存在",IF($F83=$G83,"借贷科目不能相同",IF(NOT(ISNUMBER($H83)),"金额须为数字",IF(N($H83)&lt;=0,"金额须大于0","√"))))))))))</f>
        <v/>
      </c>
      <c r="M83" s="50" t="str">
        <f aca="false">IF($F83="","",IFERROR(INDEX(科目参数!$B$6:$B$125,MATCH($F83,科目参数!$A$6:$A$125,0)),"⚠科目不存在"))</f>
        <v/>
      </c>
      <c r="N83" s="50" t="str">
        <f aca="false">IF($G83="","",IFERROR(INDEX(科目参数!$B$6:$B$125,MATCH($G83,科目参数!$A$6:$A$125,0)),"⚠科目不存在"))</f>
        <v/>
      </c>
    </row>
    <row r="84" customFormat="false" ht="15.75" hidden="false" customHeight="true" outlineLevel="0" collapsed="false">
      <c r="A84" s="42" t="str">
        <f aca="false">IF($B84="","","QT"&amp;TEXT($B84,"yyyymm")&amp;"-"&amp;TEXT(ROW()-4,"000"))</f>
        <v/>
      </c>
      <c r="B84" s="41"/>
      <c r="C84" s="42" t="str">
        <f aca="false">IF($B84="","",TEXT($B84,"yyyy-mm"))</f>
        <v/>
      </c>
      <c r="D84" s="33"/>
      <c r="E84" s="36"/>
      <c r="F84" s="31"/>
      <c r="G84" s="31"/>
      <c r="H84" s="40"/>
      <c r="I84" s="33"/>
      <c r="J84" s="31"/>
      <c r="K84" s="36"/>
      <c r="L84" s="47" t="str">
        <f aca="false">IF($B84="","",IF(NOT(ISNUMBER($B84)),"日期不是日期格式",IF(YEAR($B84)&lt;&gt;首页!$B$3,"不在会计年度",IF($F84="","未填借方科目",IF($G84="","未填贷方科目",IF(LEFT($M84,1)="⚠","借方科目不存在",IF(LEFT($N84,1)="⚠","贷方科目不存在",IF($F84=$G84,"借贷科目不能相同",IF(NOT(ISNUMBER($H84)),"金额须为数字",IF(N($H84)&lt;=0,"金额须大于0","√"))))))))))</f>
        <v/>
      </c>
      <c r="M84" s="50" t="str">
        <f aca="false">IF($F84="","",IFERROR(INDEX(科目参数!$B$6:$B$125,MATCH($F84,科目参数!$A$6:$A$125,0)),"⚠科目不存在"))</f>
        <v/>
      </c>
      <c r="N84" s="50" t="str">
        <f aca="false">IF($G84="","",IFERROR(INDEX(科目参数!$B$6:$B$125,MATCH($G84,科目参数!$A$6:$A$125,0)),"⚠科目不存在"))</f>
        <v/>
      </c>
    </row>
    <row r="85" customFormat="false" ht="15.75" hidden="false" customHeight="true" outlineLevel="0" collapsed="false">
      <c r="A85" s="42" t="str">
        <f aca="false">IF($B85="","","QT"&amp;TEXT($B85,"yyyymm")&amp;"-"&amp;TEXT(ROW()-4,"000"))</f>
        <v/>
      </c>
      <c r="B85" s="41"/>
      <c r="C85" s="42" t="str">
        <f aca="false">IF($B85="","",TEXT($B85,"yyyy-mm"))</f>
        <v/>
      </c>
      <c r="D85" s="33"/>
      <c r="E85" s="36"/>
      <c r="F85" s="31"/>
      <c r="G85" s="31"/>
      <c r="H85" s="40"/>
      <c r="I85" s="33"/>
      <c r="J85" s="31"/>
      <c r="K85" s="36"/>
      <c r="L85" s="47" t="str">
        <f aca="false">IF($B85="","",IF(NOT(ISNUMBER($B85)),"日期不是日期格式",IF(YEAR($B85)&lt;&gt;首页!$B$3,"不在会计年度",IF($F85="","未填借方科目",IF($G85="","未填贷方科目",IF(LEFT($M85,1)="⚠","借方科目不存在",IF(LEFT($N85,1)="⚠","贷方科目不存在",IF($F85=$G85,"借贷科目不能相同",IF(NOT(ISNUMBER($H85)),"金额须为数字",IF(N($H85)&lt;=0,"金额须大于0","√"))))))))))</f>
        <v/>
      </c>
      <c r="M85" s="50" t="str">
        <f aca="false">IF($F85="","",IFERROR(INDEX(科目参数!$B$6:$B$125,MATCH($F85,科目参数!$A$6:$A$125,0)),"⚠科目不存在"))</f>
        <v/>
      </c>
      <c r="N85" s="50" t="str">
        <f aca="false">IF($G85="","",IFERROR(INDEX(科目参数!$B$6:$B$125,MATCH($G85,科目参数!$A$6:$A$125,0)),"⚠科目不存在"))</f>
        <v/>
      </c>
    </row>
    <row r="86" customFormat="false" ht="15.75" hidden="false" customHeight="true" outlineLevel="0" collapsed="false">
      <c r="A86" s="42" t="str">
        <f aca="false">IF($B86="","","QT"&amp;TEXT($B86,"yyyymm")&amp;"-"&amp;TEXT(ROW()-4,"000"))</f>
        <v/>
      </c>
      <c r="B86" s="41"/>
      <c r="C86" s="42" t="str">
        <f aca="false">IF($B86="","",TEXT($B86,"yyyy-mm"))</f>
        <v/>
      </c>
      <c r="D86" s="33"/>
      <c r="E86" s="36"/>
      <c r="F86" s="31"/>
      <c r="G86" s="31"/>
      <c r="H86" s="40"/>
      <c r="I86" s="33"/>
      <c r="J86" s="31"/>
      <c r="K86" s="36"/>
      <c r="L86" s="47" t="str">
        <f aca="false">IF($B86="","",IF(NOT(ISNUMBER($B86)),"日期不是日期格式",IF(YEAR($B86)&lt;&gt;首页!$B$3,"不在会计年度",IF($F86="","未填借方科目",IF($G86="","未填贷方科目",IF(LEFT($M86,1)="⚠","借方科目不存在",IF(LEFT($N86,1)="⚠","贷方科目不存在",IF($F86=$G86,"借贷科目不能相同",IF(NOT(ISNUMBER($H86)),"金额须为数字",IF(N($H86)&lt;=0,"金额须大于0","√"))))))))))</f>
        <v/>
      </c>
      <c r="M86" s="50" t="str">
        <f aca="false">IF($F86="","",IFERROR(INDEX(科目参数!$B$6:$B$125,MATCH($F86,科目参数!$A$6:$A$125,0)),"⚠科目不存在"))</f>
        <v/>
      </c>
      <c r="N86" s="50" t="str">
        <f aca="false">IF($G86="","",IFERROR(INDEX(科目参数!$B$6:$B$125,MATCH($G86,科目参数!$A$6:$A$125,0)),"⚠科目不存在"))</f>
        <v/>
      </c>
    </row>
    <row r="87" customFormat="false" ht="15.75" hidden="false" customHeight="true" outlineLevel="0" collapsed="false">
      <c r="A87" s="42" t="str">
        <f aca="false">IF($B87="","","QT"&amp;TEXT($B87,"yyyymm")&amp;"-"&amp;TEXT(ROW()-4,"000"))</f>
        <v/>
      </c>
      <c r="B87" s="41"/>
      <c r="C87" s="42" t="str">
        <f aca="false">IF($B87="","",TEXT($B87,"yyyy-mm"))</f>
        <v/>
      </c>
      <c r="D87" s="33"/>
      <c r="E87" s="36"/>
      <c r="F87" s="31"/>
      <c r="G87" s="31"/>
      <c r="H87" s="40"/>
      <c r="I87" s="33"/>
      <c r="J87" s="31"/>
      <c r="K87" s="36"/>
      <c r="L87" s="47" t="str">
        <f aca="false">IF($B87="","",IF(NOT(ISNUMBER($B87)),"日期不是日期格式",IF(YEAR($B87)&lt;&gt;首页!$B$3,"不在会计年度",IF($F87="","未填借方科目",IF($G87="","未填贷方科目",IF(LEFT($M87,1)="⚠","借方科目不存在",IF(LEFT($N87,1)="⚠","贷方科目不存在",IF($F87=$G87,"借贷科目不能相同",IF(NOT(ISNUMBER($H87)),"金额须为数字",IF(N($H87)&lt;=0,"金额须大于0","√"))))))))))</f>
        <v/>
      </c>
      <c r="M87" s="50" t="str">
        <f aca="false">IF($F87="","",IFERROR(INDEX(科目参数!$B$6:$B$125,MATCH($F87,科目参数!$A$6:$A$125,0)),"⚠科目不存在"))</f>
        <v/>
      </c>
      <c r="N87" s="50" t="str">
        <f aca="false">IF($G87="","",IFERROR(INDEX(科目参数!$B$6:$B$125,MATCH($G87,科目参数!$A$6:$A$125,0)),"⚠科目不存在"))</f>
        <v/>
      </c>
    </row>
    <row r="88" customFormat="false" ht="15.75" hidden="false" customHeight="true" outlineLevel="0" collapsed="false">
      <c r="A88" s="42" t="str">
        <f aca="false">IF($B88="","","QT"&amp;TEXT($B88,"yyyymm")&amp;"-"&amp;TEXT(ROW()-4,"000"))</f>
        <v/>
      </c>
      <c r="B88" s="41"/>
      <c r="C88" s="42" t="str">
        <f aca="false">IF($B88="","",TEXT($B88,"yyyy-mm"))</f>
        <v/>
      </c>
      <c r="D88" s="33"/>
      <c r="E88" s="36"/>
      <c r="F88" s="31"/>
      <c r="G88" s="31"/>
      <c r="H88" s="40"/>
      <c r="I88" s="33"/>
      <c r="J88" s="31"/>
      <c r="K88" s="36"/>
      <c r="L88" s="47" t="str">
        <f aca="false">IF($B88="","",IF(NOT(ISNUMBER($B88)),"日期不是日期格式",IF(YEAR($B88)&lt;&gt;首页!$B$3,"不在会计年度",IF($F88="","未填借方科目",IF($G88="","未填贷方科目",IF(LEFT($M88,1)="⚠","借方科目不存在",IF(LEFT($N88,1)="⚠","贷方科目不存在",IF($F88=$G88,"借贷科目不能相同",IF(NOT(ISNUMBER($H88)),"金额须为数字",IF(N($H88)&lt;=0,"金额须大于0","√"))))))))))</f>
        <v/>
      </c>
      <c r="M88" s="50" t="str">
        <f aca="false">IF($F88="","",IFERROR(INDEX(科目参数!$B$6:$B$125,MATCH($F88,科目参数!$A$6:$A$125,0)),"⚠科目不存在"))</f>
        <v/>
      </c>
      <c r="N88" s="50" t="str">
        <f aca="false">IF($G88="","",IFERROR(INDEX(科目参数!$B$6:$B$125,MATCH($G88,科目参数!$A$6:$A$125,0)),"⚠科目不存在"))</f>
        <v/>
      </c>
    </row>
    <row r="89" customFormat="false" ht="15.75" hidden="false" customHeight="true" outlineLevel="0" collapsed="false">
      <c r="A89" s="42" t="str">
        <f aca="false">IF($B89="","","QT"&amp;TEXT($B89,"yyyymm")&amp;"-"&amp;TEXT(ROW()-4,"000"))</f>
        <v/>
      </c>
      <c r="B89" s="41"/>
      <c r="C89" s="42" t="str">
        <f aca="false">IF($B89="","",TEXT($B89,"yyyy-mm"))</f>
        <v/>
      </c>
      <c r="D89" s="33"/>
      <c r="E89" s="36"/>
      <c r="F89" s="31"/>
      <c r="G89" s="31"/>
      <c r="H89" s="40"/>
      <c r="I89" s="33"/>
      <c r="J89" s="31"/>
      <c r="K89" s="36"/>
      <c r="L89" s="47" t="str">
        <f aca="false">IF($B89="","",IF(NOT(ISNUMBER($B89)),"日期不是日期格式",IF(YEAR($B89)&lt;&gt;首页!$B$3,"不在会计年度",IF($F89="","未填借方科目",IF($G89="","未填贷方科目",IF(LEFT($M89,1)="⚠","借方科目不存在",IF(LEFT($N89,1)="⚠","贷方科目不存在",IF($F89=$G89,"借贷科目不能相同",IF(NOT(ISNUMBER($H89)),"金额须为数字",IF(N($H89)&lt;=0,"金额须大于0","√"))))))))))</f>
        <v/>
      </c>
      <c r="M89" s="50" t="str">
        <f aca="false">IF($F89="","",IFERROR(INDEX(科目参数!$B$6:$B$125,MATCH($F89,科目参数!$A$6:$A$125,0)),"⚠科目不存在"))</f>
        <v/>
      </c>
      <c r="N89" s="50" t="str">
        <f aca="false">IF($G89="","",IFERROR(INDEX(科目参数!$B$6:$B$125,MATCH($G89,科目参数!$A$6:$A$125,0)),"⚠科目不存在"))</f>
        <v/>
      </c>
    </row>
    <row r="90" customFormat="false" ht="15.75" hidden="false" customHeight="true" outlineLevel="0" collapsed="false">
      <c r="A90" s="42" t="str">
        <f aca="false">IF($B90="","","QT"&amp;TEXT($B90,"yyyymm")&amp;"-"&amp;TEXT(ROW()-4,"000"))</f>
        <v/>
      </c>
      <c r="B90" s="41"/>
      <c r="C90" s="42" t="str">
        <f aca="false">IF($B90="","",TEXT($B90,"yyyy-mm"))</f>
        <v/>
      </c>
      <c r="D90" s="33"/>
      <c r="E90" s="36"/>
      <c r="F90" s="31"/>
      <c r="G90" s="31"/>
      <c r="H90" s="40"/>
      <c r="I90" s="33"/>
      <c r="J90" s="31"/>
      <c r="K90" s="36"/>
      <c r="L90" s="47" t="str">
        <f aca="false">IF($B90="","",IF(NOT(ISNUMBER($B90)),"日期不是日期格式",IF(YEAR($B90)&lt;&gt;首页!$B$3,"不在会计年度",IF($F90="","未填借方科目",IF($G90="","未填贷方科目",IF(LEFT($M90,1)="⚠","借方科目不存在",IF(LEFT($N90,1)="⚠","贷方科目不存在",IF($F90=$G90,"借贷科目不能相同",IF(NOT(ISNUMBER($H90)),"金额须为数字",IF(N($H90)&lt;=0,"金额须大于0","√"))))))))))</f>
        <v/>
      </c>
      <c r="M90" s="50" t="str">
        <f aca="false">IF($F90="","",IFERROR(INDEX(科目参数!$B$6:$B$125,MATCH($F90,科目参数!$A$6:$A$125,0)),"⚠科目不存在"))</f>
        <v/>
      </c>
      <c r="N90" s="50" t="str">
        <f aca="false">IF($G90="","",IFERROR(INDEX(科目参数!$B$6:$B$125,MATCH($G90,科目参数!$A$6:$A$125,0)),"⚠科目不存在"))</f>
        <v/>
      </c>
    </row>
    <row r="91" customFormat="false" ht="15.75" hidden="false" customHeight="true" outlineLevel="0" collapsed="false">
      <c r="A91" s="42" t="str">
        <f aca="false">IF($B91="","","QT"&amp;TEXT($B91,"yyyymm")&amp;"-"&amp;TEXT(ROW()-4,"000"))</f>
        <v/>
      </c>
      <c r="B91" s="41"/>
      <c r="C91" s="42" t="str">
        <f aca="false">IF($B91="","",TEXT($B91,"yyyy-mm"))</f>
        <v/>
      </c>
      <c r="D91" s="33"/>
      <c r="E91" s="36"/>
      <c r="F91" s="31"/>
      <c r="G91" s="31"/>
      <c r="H91" s="40"/>
      <c r="I91" s="33"/>
      <c r="J91" s="31"/>
      <c r="K91" s="36"/>
      <c r="L91" s="47" t="str">
        <f aca="false">IF($B91="","",IF(NOT(ISNUMBER($B91)),"日期不是日期格式",IF(YEAR($B91)&lt;&gt;首页!$B$3,"不在会计年度",IF($F91="","未填借方科目",IF($G91="","未填贷方科目",IF(LEFT($M91,1)="⚠","借方科目不存在",IF(LEFT($N91,1)="⚠","贷方科目不存在",IF($F91=$G91,"借贷科目不能相同",IF(NOT(ISNUMBER($H91)),"金额须为数字",IF(N($H91)&lt;=0,"金额须大于0","√"))))))))))</f>
        <v/>
      </c>
      <c r="M91" s="50" t="str">
        <f aca="false">IF($F91="","",IFERROR(INDEX(科目参数!$B$6:$B$125,MATCH($F91,科目参数!$A$6:$A$125,0)),"⚠科目不存在"))</f>
        <v/>
      </c>
      <c r="N91" s="50" t="str">
        <f aca="false">IF($G91="","",IFERROR(INDEX(科目参数!$B$6:$B$125,MATCH($G91,科目参数!$A$6:$A$125,0)),"⚠科目不存在"))</f>
        <v/>
      </c>
    </row>
    <row r="92" customFormat="false" ht="15.75" hidden="false" customHeight="true" outlineLevel="0" collapsed="false">
      <c r="A92" s="42" t="str">
        <f aca="false">IF($B92="","","QT"&amp;TEXT($B92,"yyyymm")&amp;"-"&amp;TEXT(ROW()-4,"000"))</f>
        <v/>
      </c>
      <c r="B92" s="41"/>
      <c r="C92" s="42" t="str">
        <f aca="false">IF($B92="","",TEXT($B92,"yyyy-mm"))</f>
        <v/>
      </c>
      <c r="D92" s="33"/>
      <c r="E92" s="36"/>
      <c r="F92" s="31"/>
      <c r="G92" s="31"/>
      <c r="H92" s="40"/>
      <c r="I92" s="33"/>
      <c r="J92" s="31"/>
      <c r="K92" s="36"/>
      <c r="L92" s="47" t="str">
        <f aca="false">IF($B92="","",IF(NOT(ISNUMBER($B92)),"日期不是日期格式",IF(YEAR($B92)&lt;&gt;首页!$B$3,"不在会计年度",IF($F92="","未填借方科目",IF($G92="","未填贷方科目",IF(LEFT($M92,1)="⚠","借方科目不存在",IF(LEFT($N92,1)="⚠","贷方科目不存在",IF($F92=$G92,"借贷科目不能相同",IF(NOT(ISNUMBER($H92)),"金额须为数字",IF(N($H92)&lt;=0,"金额须大于0","√"))))))))))</f>
        <v/>
      </c>
      <c r="M92" s="50" t="str">
        <f aca="false">IF($F92="","",IFERROR(INDEX(科目参数!$B$6:$B$125,MATCH($F92,科目参数!$A$6:$A$125,0)),"⚠科目不存在"))</f>
        <v/>
      </c>
      <c r="N92" s="50" t="str">
        <f aca="false">IF($G92="","",IFERROR(INDEX(科目参数!$B$6:$B$125,MATCH($G92,科目参数!$A$6:$A$125,0)),"⚠科目不存在"))</f>
        <v/>
      </c>
    </row>
    <row r="93" customFormat="false" ht="15.75" hidden="false" customHeight="true" outlineLevel="0" collapsed="false">
      <c r="A93" s="42" t="str">
        <f aca="false">IF($B93="","","QT"&amp;TEXT($B93,"yyyymm")&amp;"-"&amp;TEXT(ROW()-4,"000"))</f>
        <v/>
      </c>
      <c r="B93" s="41"/>
      <c r="C93" s="42" t="str">
        <f aca="false">IF($B93="","",TEXT($B93,"yyyy-mm"))</f>
        <v/>
      </c>
      <c r="D93" s="33"/>
      <c r="E93" s="36"/>
      <c r="F93" s="31"/>
      <c r="G93" s="31"/>
      <c r="H93" s="40"/>
      <c r="I93" s="33"/>
      <c r="J93" s="31"/>
      <c r="K93" s="36"/>
      <c r="L93" s="47" t="str">
        <f aca="false">IF($B93="","",IF(NOT(ISNUMBER($B93)),"日期不是日期格式",IF(YEAR($B93)&lt;&gt;首页!$B$3,"不在会计年度",IF($F93="","未填借方科目",IF($G93="","未填贷方科目",IF(LEFT($M93,1)="⚠","借方科目不存在",IF(LEFT($N93,1)="⚠","贷方科目不存在",IF($F93=$G93,"借贷科目不能相同",IF(NOT(ISNUMBER($H93)),"金额须为数字",IF(N($H93)&lt;=0,"金额须大于0","√"))))))))))</f>
        <v/>
      </c>
      <c r="M93" s="50" t="str">
        <f aca="false">IF($F93="","",IFERROR(INDEX(科目参数!$B$6:$B$125,MATCH($F93,科目参数!$A$6:$A$125,0)),"⚠科目不存在"))</f>
        <v/>
      </c>
      <c r="N93" s="50" t="str">
        <f aca="false">IF($G93="","",IFERROR(INDEX(科目参数!$B$6:$B$125,MATCH($G93,科目参数!$A$6:$A$125,0)),"⚠科目不存在"))</f>
        <v/>
      </c>
    </row>
    <row r="94" customFormat="false" ht="15.75" hidden="false" customHeight="true" outlineLevel="0" collapsed="false">
      <c r="A94" s="42" t="str">
        <f aca="false">IF($B94="","","QT"&amp;TEXT($B94,"yyyymm")&amp;"-"&amp;TEXT(ROW()-4,"000"))</f>
        <v/>
      </c>
      <c r="B94" s="41"/>
      <c r="C94" s="42" t="str">
        <f aca="false">IF($B94="","",TEXT($B94,"yyyy-mm"))</f>
        <v/>
      </c>
      <c r="D94" s="33"/>
      <c r="E94" s="36"/>
      <c r="F94" s="31"/>
      <c r="G94" s="31"/>
      <c r="H94" s="40"/>
      <c r="I94" s="33"/>
      <c r="J94" s="31"/>
      <c r="K94" s="36"/>
      <c r="L94" s="47" t="str">
        <f aca="false">IF($B94="","",IF(NOT(ISNUMBER($B94)),"日期不是日期格式",IF(YEAR($B94)&lt;&gt;首页!$B$3,"不在会计年度",IF($F94="","未填借方科目",IF($G94="","未填贷方科目",IF(LEFT($M94,1)="⚠","借方科目不存在",IF(LEFT($N94,1)="⚠","贷方科目不存在",IF($F94=$G94,"借贷科目不能相同",IF(NOT(ISNUMBER($H94)),"金额须为数字",IF(N($H94)&lt;=0,"金额须大于0","√"))))))))))</f>
        <v/>
      </c>
      <c r="M94" s="50" t="str">
        <f aca="false">IF($F94="","",IFERROR(INDEX(科目参数!$B$6:$B$125,MATCH($F94,科目参数!$A$6:$A$125,0)),"⚠科目不存在"))</f>
        <v/>
      </c>
      <c r="N94" s="50" t="str">
        <f aca="false">IF($G94="","",IFERROR(INDEX(科目参数!$B$6:$B$125,MATCH($G94,科目参数!$A$6:$A$125,0)),"⚠科目不存在"))</f>
        <v/>
      </c>
    </row>
    <row r="95" customFormat="false" ht="15.75" hidden="false" customHeight="true" outlineLevel="0" collapsed="false">
      <c r="A95" s="42" t="str">
        <f aca="false">IF($B95="","","QT"&amp;TEXT($B95,"yyyymm")&amp;"-"&amp;TEXT(ROW()-4,"000"))</f>
        <v/>
      </c>
      <c r="B95" s="41"/>
      <c r="C95" s="42" t="str">
        <f aca="false">IF($B95="","",TEXT($B95,"yyyy-mm"))</f>
        <v/>
      </c>
      <c r="D95" s="33"/>
      <c r="E95" s="36"/>
      <c r="F95" s="31"/>
      <c r="G95" s="31"/>
      <c r="H95" s="40"/>
      <c r="I95" s="33"/>
      <c r="J95" s="31"/>
      <c r="K95" s="36"/>
      <c r="L95" s="47" t="str">
        <f aca="false">IF($B95="","",IF(NOT(ISNUMBER($B95)),"日期不是日期格式",IF(YEAR($B95)&lt;&gt;首页!$B$3,"不在会计年度",IF($F95="","未填借方科目",IF($G95="","未填贷方科目",IF(LEFT($M95,1)="⚠","借方科目不存在",IF(LEFT($N95,1)="⚠","贷方科目不存在",IF($F95=$G95,"借贷科目不能相同",IF(NOT(ISNUMBER($H95)),"金额须为数字",IF(N($H95)&lt;=0,"金额须大于0","√"))))))))))</f>
        <v/>
      </c>
      <c r="M95" s="50" t="str">
        <f aca="false">IF($F95="","",IFERROR(INDEX(科目参数!$B$6:$B$125,MATCH($F95,科目参数!$A$6:$A$125,0)),"⚠科目不存在"))</f>
        <v/>
      </c>
      <c r="N95" s="50" t="str">
        <f aca="false">IF($G95="","",IFERROR(INDEX(科目参数!$B$6:$B$125,MATCH($G95,科目参数!$A$6:$A$125,0)),"⚠科目不存在"))</f>
        <v/>
      </c>
    </row>
    <row r="96" customFormat="false" ht="15.75" hidden="false" customHeight="true" outlineLevel="0" collapsed="false">
      <c r="A96" s="42" t="str">
        <f aca="false">IF($B96="","","QT"&amp;TEXT($B96,"yyyymm")&amp;"-"&amp;TEXT(ROW()-4,"000"))</f>
        <v/>
      </c>
      <c r="B96" s="41"/>
      <c r="C96" s="42" t="str">
        <f aca="false">IF($B96="","",TEXT($B96,"yyyy-mm"))</f>
        <v/>
      </c>
      <c r="D96" s="33"/>
      <c r="E96" s="36"/>
      <c r="F96" s="31"/>
      <c r="G96" s="31"/>
      <c r="H96" s="40"/>
      <c r="I96" s="33"/>
      <c r="J96" s="31"/>
      <c r="K96" s="36"/>
      <c r="L96" s="47" t="str">
        <f aca="false">IF($B96="","",IF(NOT(ISNUMBER($B96)),"日期不是日期格式",IF(YEAR($B96)&lt;&gt;首页!$B$3,"不在会计年度",IF($F96="","未填借方科目",IF($G96="","未填贷方科目",IF(LEFT($M96,1)="⚠","借方科目不存在",IF(LEFT($N96,1)="⚠","贷方科目不存在",IF($F96=$G96,"借贷科目不能相同",IF(NOT(ISNUMBER($H96)),"金额须为数字",IF(N($H96)&lt;=0,"金额须大于0","√"))))))))))</f>
        <v/>
      </c>
      <c r="M96" s="50" t="str">
        <f aca="false">IF($F96="","",IFERROR(INDEX(科目参数!$B$6:$B$125,MATCH($F96,科目参数!$A$6:$A$125,0)),"⚠科目不存在"))</f>
        <v/>
      </c>
      <c r="N96" s="50" t="str">
        <f aca="false">IF($G96="","",IFERROR(INDEX(科目参数!$B$6:$B$125,MATCH($G96,科目参数!$A$6:$A$125,0)),"⚠科目不存在"))</f>
        <v/>
      </c>
    </row>
    <row r="97" customFormat="false" ht="15.75" hidden="false" customHeight="true" outlineLevel="0" collapsed="false">
      <c r="A97" s="42" t="str">
        <f aca="false">IF($B97="","","QT"&amp;TEXT($B97,"yyyymm")&amp;"-"&amp;TEXT(ROW()-4,"000"))</f>
        <v/>
      </c>
      <c r="B97" s="41"/>
      <c r="C97" s="42" t="str">
        <f aca="false">IF($B97="","",TEXT($B97,"yyyy-mm"))</f>
        <v/>
      </c>
      <c r="D97" s="33"/>
      <c r="E97" s="36"/>
      <c r="F97" s="31"/>
      <c r="G97" s="31"/>
      <c r="H97" s="40"/>
      <c r="I97" s="33"/>
      <c r="J97" s="31"/>
      <c r="K97" s="36"/>
      <c r="L97" s="47" t="str">
        <f aca="false">IF($B97="","",IF(NOT(ISNUMBER($B97)),"日期不是日期格式",IF(YEAR($B97)&lt;&gt;首页!$B$3,"不在会计年度",IF($F97="","未填借方科目",IF($G97="","未填贷方科目",IF(LEFT($M97,1)="⚠","借方科目不存在",IF(LEFT($N97,1)="⚠","贷方科目不存在",IF($F97=$G97,"借贷科目不能相同",IF(NOT(ISNUMBER($H97)),"金额须为数字",IF(N($H97)&lt;=0,"金额须大于0","√"))))))))))</f>
        <v/>
      </c>
      <c r="M97" s="50" t="str">
        <f aca="false">IF($F97="","",IFERROR(INDEX(科目参数!$B$6:$B$125,MATCH($F97,科目参数!$A$6:$A$125,0)),"⚠科目不存在"))</f>
        <v/>
      </c>
      <c r="N97" s="50" t="str">
        <f aca="false">IF($G97="","",IFERROR(INDEX(科目参数!$B$6:$B$125,MATCH($G97,科目参数!$A$6:$A$125,0)),"⚠科目不存在"))</f>
        <v/>
      </c>
    </row>
    <row r="98" customFormat="false" ht="15.75" hidden="false" customHeight="true" outlineLevel="0" collapsed="false">
      <c r="A98" s="42" t="str">
        <f aca="false">IF($B98="","","QT"&amp;TEXT($B98,"yyyymm")&amp;"-"&amp;TEXT(ROW()-4,"000"))</f>
        <v/>
      </c>
      <c r="B98" s="41"/>
      <c r="C98" s="42" t="str">
        <f aca="false">IF($B98="","",TEXT($B98,"yyyy-mm"))</f>
        <v/>
      </c>
      <c r="D98" s="33"/>
      <c r="E98" s="36"/>
      <c r="F98" s="31"/>
      <c r="G98" s="31"/>
      <c r="H98" s="40"/>
      <c r="I98" s="33"/>
      <c r="J98" s="31"/>
      <c r="K98" s="36"/>
      <c r="L98" s="47" t="str">
        <f aca="false">IF($B98="","",IF(NOT(ISNUMBER($B98)),"日期不是日期格式",IF(YEAR($B98)&lt;&gt;首页!$B$3,"不在会计年度",IF($F98="","未填借方科目",IF($G98="","未填贷方科目",IF(LEFT($M98,1)="⚠","借方科目不存在",IF(LEFT($N98,1)="⚠","贷方科目不存在",IF($F98=$G98,"借贷科目不能相同",IF(NOT(ISNUMBER($H98)),"金额须为数字",IF(N($H98)&lt;=0,"金额须大于0","√"))))))))))</f>
        <v/>
      </c>
      <c r="M98" s="50" t="str">
        <f aca="false">IF($F98="","",IFERROR(INDEX(科目参数!$B$6:$B$125,MATCH($F98,科目参数!$A$6:$A$125,0)),"⚠科目不存在"))</f>
        <v/>
      </c>
      <c r="N98" s="50" t="str">
        <f aca="false">IF($G98="","",IFERROR(INDEX(科目参数!$B$6:$B$125,MATCH($G98,科目参数!$A$6:$A$125,0)),"⚠科目不存在"))</f>
        <v/>
      </c>
    </row>
    <row r="99" customFormat="false" ht="15.75" hidden="false" customHeight="true" outlineLevel="0" collapsed="false">
      <c r="A99" s="42" t="str">
        <f aca="false">IF($B99="","","QT"&amp;TEXT($B99,"yyyymm")&amp;"-"&amp;TEXT(ROW()-4,"000"))</f>
        <v/>
      </c>
      <c r="B99" s="41"/>
      <c r="C99" s="42" t="str">
        <f aca="false">IF($B99="","",TEXT($B99,"yyyy-mm"))</f>
        <v/>
      </c>
      <c r="D99" s="33"/>
      <c r="E99" s="36"/>
      <c r="F99" s="31"/>
      <c r="G99" s="31"/>
      <c r="H99" s="40"/>
      <c r="I99" s="33"/>
      <c r="J99" s="31"/>
      <c r="K99" s="36"/>
      <c r="L99" s="47" t="str">
        <f aca="false">IF($B99="","",IF(NOT(ISNUMBER($B99)),"日期不是日期格式",IF(YEAR($B99)&lt;&gt;首页!$B$3,"不在会计年度",IF($F99="","未填借方科目",IF($G99="","未填贷方科目",IF(LEFT($M99,1)="⚠","借方科目不存在",IF(LEFT($N99,1)="⚠","贷方科目不存在",IF($F99=$G99,"借贷科目不能相同",IF(NOT(ISNUMBER($H99)),"金额须为数字",IF(N($H99)&lt;=0,"金额须大于0","√"))))))))))</f>
        <v/>
      </c>
      <c r="M99" s="50" t="str">
        <f aca="false">IF($F99="","",IFERROR(INDEX(科目参数!$B$6:$B$125,MATCH($F99,科目参数!$A$6:$A$125,0)),"⚠科目不存在"))</f>
        <v/>
      </c>
      <c r="N99" s="50" t="str">
        <f aca="false">IF($G99="","",IFERROR(INDEX(科目参数!$B$6:$B$125,MATCH($G99,科目参数!$A$6:$A$125,0)),"⚠科目不存在"))</f>
        <v/>
      </c>
    </row>
    <row r="100" customFormat="false" ht="15.75" hidden="false" customHeight="true" outlineLevel="0" collapsed="false">
      <c r="A100" s="42" t="str">
        <f aca="false">IF($B100="","","QT"&amp;TEXT($B100,"yyyymm")&amp;"-"&amp;TEXT(ROW()-4,"000"))</f>
        <v/>
      </c>
      <c r="B100" s="41"/>
      <c r="C100" s="42" t="str">
        <f aca="false">IF($B100="","",TEXT($B100,"yyyy-mm"))</f>
        <v/>
      </c>
      <c r="D100" s="33"/>
      <c r="E100" s="36"/>
      <c r="F100" s="31"/>
      <c r="G100" s="31"/>
      <c r="H100" s="40"/>
      <c r="I100" s="33"/>
      <c r="J100" s="31"/>
      <c r="K100" s="36"/>
      <c r="L100" s="47" t="str">
        <f aca="false">IF($B100="","",IF(NOT(ISNUMBER($B100)),"日期不是日期格式",IF(YEAR($B100)&lt;&gt;首页!$B$3,"不在会计年度",IF($F100="","未填借方科目",IF($G100="","未填贷方科目",IF(LEFT($M100,1)="⚠","借方科目不存在",IF(LEFT($N100,1)="⚠","贷方科目不存在",IF($F100=$G100,"借贷科目不能相同",IF(NOT(ISNUMBER($H100)),"金额须为数字",IF(N($H100)&lt;=0,"金额须大于0","√"))))))))))</f>
        <v/>
      </c>
      <c r="M100" s="50" t="str">
        <f aca="false">IF($F100="","",IFERROR(INDEX(科目参数!$B$6:$B$125,MATCH($F100,科目参数!$A$6:$A$125,0)),"⚠科目不存在"))</f>
        <v/>
      </c>
      <c r="N100" s="50" t="str">
        <f aca="false">IF($G100="","",IFERROR(INDEX(科目参数!$B$6:$B$125,MATCH($G100,科目参数!$A$6:$A$125,0)),"⚠科目不存在"))</f>
        <v/>
      </c>
    </row>
    <row r="101" customFormat="false" ht="15.75" hidden="false" customHeight="true" outlineLevel="0" collapsed="false">
      <c r="A101" s="42" t="str">
        <f aca="false">IF($B101="","","QT"&amp;TEXT($B101,"yyyymm")&amp;"-"&amp;TEXT(ROW()-4,"000"))</f>
        <v/>
      </c>
      <c r="B101" s="41"/>
      <c r="C101" s="42" t="str">
        <f aca="false">IF($B101="","",TEXT($B101,"yyyy-mm"))</f>
        <v/>
      </c>
      <c r="D101" s="33"/>
      <c r="E101" s="36"/>
      <c r="F101" s="31"/>
      <c r="G101" s="31"/>
      <c r="H101" s="40"/>
      <c r="I101" s="33"/>
      <c r="J101" s="31"/>
      <c r="K101" s="36"/>
      <c r="L101" s="47" t="str">
        <f aca="false">IF($B101="","",IF(NOT(ISNUMBER($B101)),"日期不是日期格式",IF(YEAR($B101)&lt;&gt;首页!$B$3,"不在会计年度",IF($F101="","未填借方科目",IF($G101="","未填贷方科目",IF(LEFT($M101,1)="⚠","借方科目不存在",IF(LEFT($N101,1)="⚠","贷方科目不存在",IF($F101=$G101,"借贷科目不能相同",IF(NOT(ISNUMBER($H101)),"金额须为数字",IF(N($H101)&lt;=0,"金额须大于0","√"))))))))))</f>
        <v/>
      </c>
      <c r="M101" s="50" t="str">
        <f aca="false">IF($F101="","",IFERROR(INDEX(科目参数!$B$6:$B$125,MATCH($F101,科目参数!$A$6:$A$125,0)),"⚠科目不存在"))</f>
        <v/>
      </c>
      <c r="N101" s="50" t="str">
        <f aca="false">IF($G101="","",IFERROR(INDEX(科目参数!$B$6:$B$125,MATCH($G101,科目参数!$A$6:$A$125,0)),"⚠科目不存在"))</f>
        <v/>
      </c>
    </row>
    <row r="102" customFormat="false" ht="15.75" hidden="false" customHeight="true" outlineLevel="0" collapsed="false">
      <c r="A102" s="42" t="str">
        <f aca="false">IF($B102="","","QT"&amp;TEXT($B102,"yyyymm")&amp;"-"&amp;TEXT(ROW()-4,"000"))</f>
        <v/>
      </c>
      <c r="B102" s="41"/>
      <c r="C102" s="42" t="str">
        <f aca="false">IF($B102="","",TEXT($B102,"yyyy-mm"))</f>
        <v/>
      </c>
      <c r="D102" s="33"/>
      <c r="E102" s="36"/>
      <c r="F102" s="31"/>
      <c r="G102" s="31"/>
      <c r="H102" s="40"/>
      <c r="I102" s="33"/>
      <c r="J102" s="31"/>
      <c r="K102" s="36"/>
      <c r="L102" s="47" t="str">
        <f aca="false">IF($B102="","",IF(NOT(ISNUMBER($B102)),"日期不是日期格式",IF(YEAR($B102)&lt;&gt;首页!$B$3,"不在会计年度",IF($F102="","未填借方科目",IF($G102="","未填贷方科目",IF(LEFT($M102,1)="⚠","借方科目不存在",IF(LEFT($N102,1)="⚠","贷方科目不存在",IF($F102=$G102,"借贷科目不能相同",IF(NOT(ISNUMBER($H102)),"金额须为数字",IF(N($H102)&lt;=0,"金额须大于0","√"))))))))))</f>
        <v/>
      </c>
      <c r="M102" s="50" t="str">
        <f aca="false">IF($F102="","",IFERROR(INDEX(科目参数!$B$6:$B$125,MATCH($F102,科目参数!$A$6:$A$125,0)),"⚠科目不存在"))</f>
        <v/>
      </c>
      <c r="N102" s="50" t="str">
        <f aca="false">IF($G102="","",IFERROR(INDEX(科目参数!$B$6:$B$125,MATCH($G102,科目参数!$A$6:$A$125,0)),"⚠科目不存在"))</f>
        <v/>
      </c>
    </row>
    <row r="103" customFormat="false" ht="15.75" hidden="false" customHeight="true" outlineLevel="0" collapsed="false">
      <c r="A103" s="42" t="str">
        <f aca="false">IF($B103="","","QT"&amp;TEXT($B103,"yyyymm")&amp;"-"&amp;TEXT(ROW()-4,"000"))</f>
        <v/>
      </c>
      <c r="B103" s="41"/>
      <c r="C103" s="42" t="str">
        <f aca="false">IF($B103="","",TEXT($B103,"yyyy-mm"))</f>
        <v/>
      </c>
      <c r="D103" s="33"/>
      <c r="E103" s="36"/>
      <c r="F103" s="31"/>
      <c r="G103" s="31"/>
      <c r="H103" s="40"/>
      <c r="I103" s="33"/>
      <c r="J103" s="31"/>
      <c r="K103" s="36"/>
      <c r="L103" s="47" t="str">
        <f aca="false">IF($B103="","",IF(NOT(ISNUMBER($B103)),"日期不是日期格式",IF(YEAR($B103)&lt;&gt;首页!$B$3,"不在会计年度",IF($F103="","未填借方科目",IF($G103="","未填贷方科目",IF(LEFT($M103,1)="⚠","借方科目不存在",IF(LEFT($N103,1)="⚠","贷方科目不存在",IF($F103=$G103,"借贷科目不能相同",IF(NOT(ISNUMBER($H103)),"金额须为数字",IF(N($H103)&lt;=0,"金额须大于0","√"))))))))))</f>
        <v/>
      </c>
      <c r="M103" s="50" t="str">
        <f aca="false">IF($F103="","",IFERROR(INDEX(科目参数!$B$6:$B$125,MATCH($F103,科目参数!$A$6:$A$125,0)),"⚠科目不存在"))</f>
        <v/>
      </c>
      <c r="N103" s="50" t="str">
        <f aca="false">IF($G103="","",IFERROR(INDEX(科目参数!$B$6:$B$125,MATCH($G103,科目参数!$A$6:$A$125,0)),"⚠科目不存在"))</f>
        <v/>
      </c>
    </row>
    <row r="104" customFormat="false" ht="15.75" hidden="false" customHeight="true" outlineLevel="0" collapsed="false">
      <c r="A104" s="42" t="str">
        <f aca="false">IF($B104="","","QT"&amp;TEXT($B104,"yyyymm")&amp;"-"&amp;TEXT(ROW()-4,"000"))</f>
        <v/>
      </c>
      <c r="B104" s="41"/>
      <c r="C104" s="42" t="str">
        <f aca="false">IF($B104="","",TEXT($B104,"yyyy-mm"))</f>
        <v/>
      </c>
      <c r="D104" s="33"/>
      <c r="E104" s="36"/>
      <c r="F104" s="31"/>
      <c r="G104" s="31"/>
      <c r="H104" s="40"/>
      <c r="I104" s="33"/>
      <c r="J104" s="31"/>
      <c r="K104" s="36"/>
      <c r="L104" s="47" t="str">
        <f aca="false">IF($B104="","",IF(NOT(ISNUMBER($B104)),"日期不是日期格式",IF(YEAR($B104)&lt;&gt;首页!$B$3,"不在会计年度",IF($F104="","未填借方科目",IF($G104="","未填贷方科目",IF(LEFT($M104,1)="⚠","借方科目不存在",IF(LEFT($N104,1)="⚠","贷方科目不存在",IF($F104=$G104,"借贷科目不能相同",IF(NOT(ISNUMBER($H104)),"金额须为数字",IF(N($H104)&lt;=0,"金额须大于0","√"))))))))))</f>
        <v/>
      </c>
      <c r="M104" s="50" t="str">
        <f aca="false">IF($F104="","",IFERROR(INDEX(科目参数!$B$6:$B$125,MATCH($F104,科目参数!$A$6:$A$125,0)),"⚠科目不存在"))</f>
        <v/>
      </c>
      <c r="N104" s="50" t="str">
        <f aca="false">IF($G104="","",IFERROR(INDEX(科目参数!$B$6:$B$125,MATCH($G104,科目参数!$A$6:$A$125,0)),"⚠科目不存在"))</f>
        <v/>
      </c>
    </row>
    <row r="105" customFormat="false" ht="15.75" hidden="false" customHeight="true" outlineLevel="0" collapsed="false">
      <c r="A105" s="42" t="str">
        <f aca="false">IF($B105="","","QT"&amp;TEXT($B105,"yyyymm")&amp;"-"&amp;TEXT(ROW()-4,"000"))</f>
        <v/>
      </c>
      <c r="B105" s="41"/>
      <c r="C105" s="42" t="str">
        <f aca="false">IF($B105="","",TEXT($B105,"yyyy-mm"))</f>
        <v/>
      </c>
      <c r="D105" s="33"/>
      <c r="E105" s="36"/>
      <c r="F105" s="31"/>
      <c r="G105" s="31"/>
      <c r="H105" s="40"/>
      <c r="I105" s="33"/>
      <c r="J105" s="31"/>
      <c r="K105" s="36"/>
      <c r="L105" s="47" t="str">
        <f aca="false">IF($B105="","",IF(NOT(ISNUMBER($B105)),"日期不是日期格式",IF(YEAR($B105)&lt;&gt;首页!$B$3,"不在会计年度",IF($F105="","未填借方科目",IF($G105="","未填贷方科目",IF(LEFT($M105,1)="⚠","借方科目不存在",IF(LEFT($N105,1)="⚠","贷方科目不存在",IF($F105=$G105,"借贷科目不能相同",IF(NOT(ISNUMBER($H105)),"金额须为数字",IF(N($H105)&lt;=0,"金额须大于0","√"))))))))))</f>
        <v/>
      </c>
      <c r="M105" s="50" t="str">
        <f aca="false">IF($F105="","",IFERROR(INDEX(科目参数!$B$6:$B$125,MATCH($F105,科目参数!$A$6:$A$125,0)),"⚠科目不存在"))</f>
        <v/>
      </c>
      <c r="N105" s="50" t="str">
        <f aca="false">IF($G105="","",IFERROR(INDEX(科目参数!$B$6:$B$125,MATCH($G105,科目参数!$A$6:$A$125,0)),"⚠科目不存在"))</f>
        <v/>
      </c>
    </row>
    <row r="106" customFormat="false" ht="15.75" hidden="false" customHeight="true" outlineLevel="0" collapsed="false">
      <c r="A106" s="42" t="str">
        <f aca="false">IF($B106="","","QT"&amp;TEXT($B106,"yyyymm")&amp;"-"&amp;TEXT(ROW()-4,"000"))</f>
        <v/>
      </c>
      <c r="B106" s="41"/>
      <c r="C106" s="42" t="str">
        <f aca="false">IF($B106="","",TEXT($B106,"yyyy-mm"))</f>
        <v/>
      </c>
      <c r="D106" s="33"/>
      <c r="E106" s="36"/>
      <c r="F106" s="31"/>
      <c r="G106" s="31"/>
      <c r="H106" s="40"/>
      <c r="I106" s="33"/>
      <c r="J106" s="31"/>
      <c r="K106" s="36"/>
      <c r="L106" s="47" t="str">
        <f aca="false">IF($B106="","",IF(NOT(ISNUMBER($B106)),"日期不是日期格式",IF(YEAR($B106)&lt;&gt;首页!$B$3,"不在会计年度",IF($F106="","未填借方科目",IF($G106="","未填贷方科目",IF(LEFT($M106,1)="⚠","借方科目不存在",IF(LEFT($N106,1)="⚠","贷方科目不存在",IF($F106=$G106,"借贷科目不能相同",IF(NOT(ISNUMBER($H106)),"金额须为数字",IF(N($H106)&lt;=0,"金额须大于0","√"))))))))))</f>
        <v/>
      </c>
      <c r="M106" s="50" t="str">
        <f aca="false">IF($F106="","",IFERROR(INDEX(科目参数!$B$6:$B$125,MATCH($F106,科目参数!$A$6:$A$125,0)),"⚠科目不存在"))</f>
        <v/>
      </c>
      <c r="N106" s="50" t="str">
        <f aca="false">IF($G106="","",IFERROR(INDEX(科目参数!$B$6:$B$125,MATCH($G106,科目参数!$A$6:$A$125,0)),"⚠科目不存在"))</f>
        <v/>
      </c>
    </row>
    <row r="107" customFormat="false" ht="15.75" hidden="false" customHeight="true" outlineLevel="0" collapsed="false">
      <c r="A107" s="42" t="str">
        <f aca="false">IF($B107="","","QT"&amp;TEXT($B107,"yyyymm")&amp;"-"&amp;TEXT(ROW()-4,"000"))</f>
        <v/>
      </c>
      <c r="B107" s="41"/>
      <c r="C107" s="42" t="str">
        <f aca="false">IF($B107="","",TEXT($B107,"yyyy-mm"))</f>
        <v/>
      </c>
      <c r="D107" s="33"/>
      <c r="E107" s="36"/>
      <c r="F107" s="31"/>
      <c r="G107" s="31"/>
      <c r="H107" s="40"/>
      <c r="I107" s="33"/>
      <c r="J107" s="31"/>
      <c r="K107" s="36"/>
      <c r="L107" s="47" t="str">
        <f aca="false">IF($B107="","",IF(NOT(ISNUMBER($B107)),"日期不是日期格式",IF(YEAR($B107)&lt;&gt;首页!$B$3,"不在会计年度",IF($F107="","未填借方科目",IF($G107="","未填贷方科目",IF(LEFT($M107,1)="⚠","借方科目不存在",IF(LEFT($N107,1)="⚠","贷方科目不存在",IF($F107=$G107,"借贷科目不能相同",IF(NOT(ISNUMBER($H107)),"金额须为数字",IF(N($H107)&lt;=0,"金额须大于0","√"))))))))))</f>
        <v/>
      </c>
      <c r="M107" s="50" t="str">
        <f aca="false">IF($F107="","",IFERROR(INDEX(科目参数!$B$6:$B$125,MATCH($F107,科目参数!$A$6:$A$125,0)),"⚠科目不存在"))</f>
        <v/>
      </c>
      <c r="N107" s="50" t="str">
        <f aca="false">IF($G107="","",IFERROR(INDEX(科目参数!$B$6:$B$125,MATCH($G107,科目参数!$A$6:$A$125,0)),"⚠科目不存在"))</f>
        <v/>
      </c>
    </row>
    <row r="108" customFormat="false" ht="15.75" hidden="false" customHeight="true" outlineLevel="0" collapsed="false">
      <c r="A108" s="42" t="str">
        <f aca="false">IF($B108="","","QT"&amp;TEXT($B108,"yyyymm")&amp;"-"&amp;TEXT(ROW()-4,"000"))</f>
        <v/>
      </c>
      <c r="B108" s="41"/>
      <c r="C108" s="42" t="str">
        <f aca="false">IF($B108="","",TEXT($B108,"yyyy-mm"))</f>
        <v/>
      </c>
      <c r="D108" s="33"/>
      <c r="E108" s="36"/>
      <c r="F108" s="31"/>
      <c r="G108" s="31"/>
      <c r="H108" s="40"/>
      <c r="I108" s="33"/>
      <c r="J108" s="31"/>
      <c r="K108" s="36"/>
      <c r="L108" s="47" t="str">
        <f aca="false">IF($B108="","",IF(NOT(ISNUMBER($B108)),"日期不是日期格式",IF(YEAR($B108)&lt;&gt;首页!$B$3,"不在会计年度",IF($F108="","未填借方科目",IF($G108="","未填贷方科目",IF(LEFT($M108,1)="⚠","借方科目不存在",IF(LEFT($N108,1)="⚠","贷方科目不存在",IF($F108=$G108,"借贷科目不能相同",IF(NOT(ISNUMBER($H108)),"金额须为数字",IF(N($H108)&lt;=0,"金额须大于0","√"))))))))))</f>
        <v/>
      </c>
      <c r="M108" s="50" t="str">
        <f aca="false">IF($F108="","",IFERROR(INDEX(科目参数!$B$6:$B$125,MATCH($F108,科目参数!$A$6:$A$125,0)),"⚠科目不存在"))</f>
        <v/>
      </c>
      <c r="N108" s="50" t="str">
        <f aca="false">IF($G108="","",IFERROR(INDEX(科目参数!$B$6:$B$125,MATCH($G108,科目参数!$A$6:$A$125,0)),"⚠科目不存在"))</f>
        <v/>
      </c>
    </row>
    <row r="109" customFormat="false" ht="15.75" hidden="false" customHeight="true" outlineLevel="0" collapsed="false">
      <c r="A109" s="42" t="str">
        <f aca="false">IF($B109="","","QT"&amp;TEXT($B109,"yyyymm")&amp;"-"&amp;TEXT(ROW()-4,"000"))</f>
        <v/>
      </c>
      <c r="B109" s="41"/>
      <c r="C109" s="42" t="str">
        <f aca="false">IF($B109="","",TEXT($B109,"yyyy-mm"))</f>
        <v/>
      </c>
      <c r="D109" s="33"/>
      <c r="E109" s="36"/>
      <c r="F109" s="31"/>
      <c r="G109" s="31"/>
      <c r="H109" s="40"/>
      <c r="I109" s="33"/>
      <c r="J109" s="31"/>
      <c r="K109" s="36"/>
      <c r="L109" s="47" t="str">
        <f aca="false">IF($B109="","",IF(NOT(ISNUMBER($B109)),"日期不是日期格式",IF(YEAR($B109)&lt;&gt;首页!$B$3,"不在会计年度",IF($F109="","未填借方科目",IF($G109="","未填贷方科目",IF(LEFT($M109,1)="⚠","借方科目不存在",IF(LEFT($N109,1)="⚠","贷方科目不存在",IF($F109=$G109,"借贷科目不能相同",IF(NOT(ISNUMBER($H109)),"金额须为数字",IF(N($H109)&lt;=0,"金额须大于0","√"))))))))))</f>
        <v/>
      </c>
      <c r="M109" s="50" t="str">
        <f aca="false">IF($F109="","",IFERROR(INDEX(科目参数!$B$6:$B$125,MATCH($F109,科目参数!$A$6:$A$125,0)),"⚠科目不存在"))</f>
        <v/>
      </c>
      <c r="N109" s="50" t="str">
        <f aca="false">IF($G109="","",IFERROR(INDEX(科目参数!$B$6:$B$125,MATCH($G109,科目参数!$A$6:$A$125,0)),"⚠科目不存在"))</f>
        <v/>
      </c>
    </row>
    <row r="110" customFormat="false" ht="15.75" hidden="false" customHeight="true" outlineLevel="0" collapsed="false">
      <c r="A110" s="42" t="str">
        <f aca="false">IF($B110="","","QT"&amp;TEXT($B110,"yyyymm")&amp;"-"&amp;TEXT(ROW()-4,"000"))</f>
        <v/>
      </c>
      <c r="B110" s="41"/>
      <c r="C110" s="42" t="str">
        <f aca="false">IF($B110="","",TEXT($B110,"yyyy-mm"))</f>
        <v/>
      </c>
      <c r="D110" s="33"/>
      <c r="E110" s="36"/>
      <c r="F110" s="31"/>
      <c r="G110" s="31"/>
      <c r="H110" s="40"/>
      <c r="I110" s="33"/>
      <c r="J110" s="31"/>
      <c r="K110" s="36"/>
      <c r="L110" s="47" t="str">
        <f aca="false">IF($B110="","",IF(NOT(ISNUMBER($B110)),"日期不是日期格式",IF(YEAR($B110)&lt;&gt;首页!$B$3,"不在会计年度",IF($F110="","未填借方科目",IF($G110="","未填贷方科目",IF(LEFT($M110,1)="⚠","借方科目不存在",IF(LEFT($N110,1)="⚠","贷方科目不存在",IF($F110=$G110,"借贷科目不能相同",IF(NOT(ISNUMBER($H110)),"金额须为数字",IF(N($H110)&lt;=0,"金额须大于0","√"))))))))))</f>
        <v/>
      </c>
      <c r="M110" s="50" t="str">
        <f aca="false">IF($F110="","",IFERROR(INDEX(科目参数!$B$6:$B$125,MATCH($F110,科目参数!$A$6:$A$125,0)),"⚠科目不存在"))</f>
        <v/>
      </c>
      <c r="N110" s="50" t="str">
        <f aca="false">IF($G110="","",IFERROR(INDEX(科目参数!$B$6:$B$125,MATCH($G110,科目参数!$A$6:$A$125,0)),"⚠科目不存在"))</f>
        <v/>
      </c>
    </row>
    <row r="111" customFormat="false" ht="15.75" hidden="false" customHeight="true" outlineLevel="0" collapsed="false">
      <c r="A111" s="42" t="str">
        <f aca="false">IF($B111="","","QT"&amp;TEXT($B111,"yyyymm")&amp;"-"&amp;TEXT(ROW()-4,"000"))</f>
        <v/>
      </c>
      <c r="B111" s="41"/>
      <c r="C111" s="42" t="str">
        <f aca="false">IF($B111="","",TEXT($B111,"yyyy-mm"))</f>
        <v/>
      </c>
      <c r="D111" s="33"/>
      <c r="E111" s="36"/>
      <c r="F111" s="31"/>
      <c r="G111" s="31"/>
      <c r="H111" s="40"/>
      <c r="I111" s="33"/>
      <c r="J111" s="31"/>
      <c r="K111" s="36"/>
      <c r="L111" s="47" t="str">
        <f aca="false">IF($B111="","",IF(NOT(ISNUMBER($B111)),"日期不是日期格式",IF(YEAR($B111)&lt;&gt;首页!$B$3,"不在会计年度",IF($F111="","未填借方科目",IF($G111="","未填贷方科目",IF(LEFT($M111,1)="⚠","借方科目不存在",IF(LEFT($N111,1)="⚠","贷方科目不存在",IF($F111=$G111,"借贷科目不能相同",IF(NOT(ISNUMBER($H111)),"金额须为数字",IF(N($H111)&lt;=0,"金额须大于0","√"))))))))))</f>
        <v/>
      </c>
      <c r="M111" s="50" t="str">
        <f aca="false">IF($F111="","",IFERROR(INDEX(科目参数!$B$6:$B$125,MATCH($F111,科目参数!$A$6:$A$125,0)),"⚠科目不存在"))</f>
        <v/>
      </c>
      <c r="N111" s="50" t="str">
        <f aca="false">IF($G111="","",IFERROR(INDEX(科目参数!$B$6:$B$125,MATCH($G111,科目参数!$A$6:$A$125,0)),"⚠科目不存在"))</f>
        <v/>
      </c>
    </row>
    <row r="112" customFormat="false" ht="15.75" hidden="false" customHeight="true" outlineLevel="0" collapsed="false">
      <c r="A112" s="42" t="str">
        <f aca="false">IF($B112="","","QT"&amp;TEXT($B112,"yyyymm")&amp;"-"&amp;TEXT(ROW()-4,"000"))</f>
        <v/>
      </c>
      <c r="B112" s="41"/>
      <c r="C112" s="42" t="str">
        <f aca="false">IF($B112="","",TEXT($B112,"yyyy-mm"))</f>
        <v/>
      </c>
      <c r="D112" s="33"/>
      <c r="E112" s="36"/>
      <c r="F112" s="31"/>
      <c r="G112" s="31"/>
      <c r="H112" s="40"/>
      <c r="I112" s="33"/>
      <c r="J112" s="31"/>
      <c r="K112" s="36"/>
      <c r="L112" s="47" t="str">
        <f aca="false">IF($B112="","",IF(NOT(ISNUMBER($B112)),"日期不是日期格式",IF(YEAR($B112)&lt;&gt;首页!$B$3,"不在会计年度",IF($F112="","未填借方科目",IF($G112="","未填贷方科目",IF(LEFT($M112,1)="⚠","借方科目不存在",IF(LEFT($N112,1)="⚠","贷方科目不存在",IF($F112=$G112,"借贷科目不能相同",IF(NOT(ISNUMBER($H112)),"金额须为数字",IF(N($H112)&lt;=0,"金额须大于0","√"))))))))))</f>
        <v/>
      </c>
      <c r="M112" s="50" t="str">
        <f aca="false">IF($F112="","",IFERROR(INDEX(科目参数!$B$6:$B$125,MATCH($F112,科目参数!$A$6:$A$125,0)),"⚠科目不存在"))</f>
        <v/>
      </c>
      <c r="N112" s="50" t="str">
        <f aca="false">IF($G112="","",IFERROR(INDEX(科目参数!$B$6:$B$125,MATCH($G112,科目参数!$A$6:$A$125,0)),"⚠科目不存在"))</f>
        <v/>
      </c>
    </row>
    <row r="113" customFormat="false" ht="15.75" hidden="false" customHeight="true" outlineLevel="0" collapsed="false">
      <c r="A113" s="42" t="str">
        <f aca="false">IF($B113="","","QT"&amp;TEXT($B113,"yyyymm")&amp;"-"&amp;TEXT(ROW()-4,"000"))</f>
        <v/>
      </c>
      <c r="B113" s="41"/>
      <c r="C113" s="42" t="str">
        <f aca="false">IF($B113="","",TEXT($B113,"yyyy-mm"))</f>
        <v/>
      </c>
      <c r="D113" s="33"/>
      <c r="E113" s="36"/>
      <c r="F113" s="31"/>
      <c r="G113" s="31"/>
      <c r="H113" s="40"/>
      <c r="I113" s="33"/>
      <c r="J113" s="31"/>
      <c r="K113" s="36"/>
      <c r="L113" s="47" t="str">
        <f aca="false">IF($B113="","",IF(NOT(ISNUMBER($B113)),"日期不是日期格式",IF(YEAR($B113)&lt;&gt;首页!$B$3,"不在会计年度",IF($F113="","未填借方科目",IF($G113="","未填贷方科目",IF(LEFT($M113,1)="⚠","借方科目不存在",IF(LEFT($N113,1)="⚠","贷方科目不存在",IF($F113=$G113,"借贷科目不能相同",IF(NOT(ISNUMBER($H113)),"金额须为数字",IF(N($H113)&lt;=0,"金额须大于0","√"))))))))))</f>
        <v/>
      </c>
      <c r="M113" s="50" t="str">
        <f aca="false">IF($F113="","",IFERROR(INDEX(科目参数!$B$6:$B$125,MATCH($F113,科目参数!$A$6:$A$125,0)),"⚠科目不存在"))</f>
        <v/>
      </c>
      <c r="N113" s="50" t="str">
        <f aca="false">IF($G113="","",IFERROR(INDEX(科目参数!$B$6:$B$125,MATCH($G113,科目参数!$A$6:$A$125,0)),"⚠科目不存在"))</f>
        <v/>
      </c>
    </row>
    <row r="114" customFormat="false" ht="15.75" hidden="false" customHeight="true" outlineLevel="0" collapsed="false">
      <c r="A114" s="42" t="str">
        <f aca="false">IF($B114="","","QT"&amp;TEXT($B114,"yyyymm")&amp;"-"&amp;TEXT(ROW()-4,"000"))</f>
        <v/>
      </c>
      <c r="B114" s="41"/>
      <c r="C114" s="42" t="str">
        <f aca="false">IF($B114="","",TEXT($B114,"yyyy-mm"))</f>
        <v/>
      </c>
      <c r="D114" s="33"/>
      <c r="E114" s="36"/>
      <c r="F114" s="31"/>
      <c r="G114" s="31"/>
      <c r="H114" s="40"/>
      <c r="I114" s="33"/>
      <c r="J114" s="31"/>
      <c r="K114" s="36"/>
      <c r="L114" s="47" t="str">
        <f aca="false">IF($B114="","",IF(NOT(ISNUMBER($B114)),"日期不是日期格式",IF(YEAR($B114)&lt;&gt;首页!$B$3,"不在会计年度",IF($F114="","未填借方科目",IF($G114="","未填贷方科目",IF(LEFT($M114,1)="⚠","借方科目不存在",IF(LEFT($N114,1)="⚠","贷方科目不存在",IF($F114=$G114,"借贷科目不能相同",IF(NOT(ISNUMBER($H114)),"金额须为数字",IF(N($H114)&lt;=0,"金额须大于0","√"))))))))))</f>
        <v/>
      </c>
      <c r="M114" s="50" t="str">
        <f aca="false">IF($F114="","",IFERROR(INDEX(科目参数!$B$6:$B$125,MATCH($F114,科目参数!$A$6:$A$125,0)),"⚠科目不存在"))</f>
        <v/>
      </c>
      <c r="N114" s="50" t="str">
        <f aca="false">IF($G114="","",IFERROR(INDEX(科目参数!$B$6:$B$125,MATCH($G114,科目参数!$A$6:$A$125,0)),"⚠科目不存在"))</f>
        <v/>
      </c>
    </row>
    <row r="115" customFormat="false" ht="15.75" hidden="false" customHeight="true" outlineLevel="0" collapsed="false">
      <c r="A115" s="42" t="str">
        <f aca="false">IF($B115="","","QT"&amp;TEXT($B115,"yyyymm")&amp;"-"&amp;TEXT(ROW()-4,"000"))</f>
        <v/>
      </c>
      <c r="B115" s="41"/>
      <c r="C115" s="42" t="str">
        <f aca="false">IF($B115="","",TEXT($B115,"yyyy-mm"))</f>
        <v/>
      </c>
      <c r="D115" s="33"/>
      <c r="E115" s="36"/>
      <c r="F115" s="31"/>
      <c r="G115" s="31"/>
      <c r="H115" s="40"/>
      <c r="I115" s="33"/>
      <c r="J115" s="31"/>
      <c r="K115" s="36"/>
      <c r="L115" s="47" t="str">
        <f aca="false">IF($B115="","",IF(NOT(ISNUMBER($B115)),"日期不是日期格式",IF(YEAR($B115)&lt;&gt;首页!$B$3,"不在会计年度",IF($F115="","未填借方科目",IF($G115="","未填贷方科目",IF(LEFT($M115,1)="⚠","借方科目不存在",IF(LEFT($N115,1)="⚠","贷方科目不存在",IF($F115=$G115,"借贷科目不能相同",IF(NOT(ISNUMBER($H115)),"金额须为数字",IF(N($H115)&lt;=0,"金额须大于0","√"))))))))))</f>
        <v/>
      </c>
      <c r="M115" s="50" t="str">
        <f aca="false">IF($F115="","",IFERROR(INDEX(科目参数!$B$6:$B$125,MATCH($F115,科目参数!$A$6:$A$125,0)),"⚠科目不存在"))</f>
        <v/>
      </c>
      <c r="N115" s="50" t="str">
        <f aca="false">IF($G115="","",IFERROR(INDEX(科目参数!$B$6:$B$125,MATCH($G115,科目参数!$A$6:$A$125,0)),"⚠科目不存在"))</f>
        <v/>
      </c>
    </row>
    <row r="116" customFormat="false" ht="15.75" hidden="false" customHeight="true" outlineLevel="0" collapsed="false">
      <c r="A116" s="42" t="str">
        <f aca="false">IF($B116="","","QT"&amp;TEXT($B116,"yyyymm")&amp;"-"&amp;TEXT(ROW()-4,"000"))</f>
        <v/>
      </c>
      <c r="B116" s="41"/>
      <c r="C116" s="42" t="str">
        <f aca="false">IF($B116="","",TEXT($B116,"yyyy-mm"))</f>
        <v/>
      </c>
      <c r="D116" s="33"/>
      <c r="E116" s="36"/>
      <c r="F116" s="31"/>
      <c r="G116" s="31"/>
      <c r="H116" s="40"/>
      <c r="I116" s="33"/>
      <c r="J116" s="31"/>
      <c r="K116" s="36"/>
      <c r="L116" s="47" t="str">
        <f aca="false">IF($B116="","",IF(NOT(ISNUMBER($B116)),"日期不是日期格式",IF(YEAR($B116)&lt;&gt;首页!$B$3,"不在会计年度",IF($F116="","未填借方科目",IF($G116="","未填贷方科目",IF(LEFT($M116,1)="⚠","借方科目不存在",IF(LEFT($N116,1)="⚠","贷方科目不存在",IF($F116=$G116,"借贷科目不能相同",IF(NOT(ISNUMBER($H116)),"金额须为数字",IF(N($H116)&lt;=0,"金额须大于0","√"))))))))))</f>
        <v/>
      </c>
      <c r="M116" s="50" t="str">
        <f aca="false">IF($F116="","",IFERROR(INDEX(科目参数!$B$6:$B$125,MATCH($F116,科目参数!$A$6:$A$125,0)),"⚠科目不存在"))</f>
        <v/>
      </c>
      <c r="N116" s="50" t="str">
        <f aca="false">IF($G116="","",IFERROR(INDEX(科目参数!$B$6:$B$125,MATCH($G116,科目参数!$A$6:$A$125,0)),"⚠科目不存在"))</f>
        <v/>
      </c>
    </row>
    <row r="117" customFormat="false" ht="15.75" hidden="false" customHeight="true" outlineLevel="0" collapsed="false">
      <c r="A117" s="42" t="str">
        <f aca="false">IF($B117="","","QT"&amp;TEXT($B117,"yyyymm")&amp;"-"&amp;TEXT(ROW()-4,"000"))</f>
        <v/>
      </c>
      <c r="B117" s="41"/>
      <c r="C117" s="42" t="str">
        <f aca="false">IF($B117="","",TEXT($B117,"yyyy-mm"))</f>
        <v/>
      </c>
      <c r="D117" s="33"/>
      <c r="E117" s="36"/>
      <c r="F117" s="31"/>
      <c r="G117" s="31"/>
      <c r="H117" s="40"/>
      <c r="I117" s="33"/>
      <c r="J117" s="31"/>
      <c r="K117" s="36"/>
      <c r="L117" s="47" t="str">
        <f aca="false">IF($B117="","",IF(NOT(ISNUMBER($B117)),"日期不是日期格式",IF(YEAR($B117)&lt;&gt;首页!$B$3,"不在会计年度",IF($F117="","未填借方科目",IF($G117="","未填贷方科目",IF(LEFT($M117,1)="⚠","借方科目不存在",IF(LEFT($N117,1)="⚠","贷方科目不存在",IF($F117=$G117,"借贷科目不能相同",IF(NOT(ISNUMBER($H117)),"金额须为数字",IF(N($H117)&lt;=0,"金额须大于0","√"))))))))))</f>
        <v/>
      </c>
      <c r="M117" s="50" t="str">
        <f aca="false">IF($F117="","",IFERROR(INDEX(科目参数!$B$6:$B$125,MATCH($F117,科目参数!$A$6:$A$125,0)),"⚠科目不存在"))</f>
        <v/>
      </c>
      <c r="N117" s="50" t="str">
        <f aca="false">IF($G117="","",IFERROR(INDEX(科目参数!$B$6:$B$125,MATCH($G117,科目参数!$A$6:$A$125,0)),"⚠科目不存在"))</f>
        <v/>
      </c>
    </row>
    <row r="118" customFormat="false" ht="15.75" hidden="false" customHeight="true" outlineLevel="0" collapsed="false">
      <c r="A118" s="42" t="str">
        <f aca="false">IF($B118="","","QT"&amp;TEXT($B118,"yyyymm")&amp;"-"&amp;TEXT(ROW()-4,"000"))</f>
        <v/>
      </c>
      <c r="B118" s="41"/>
      <c r="C118" s="42" t="str">
        <f aca="false">IF($B118="","",TEXT($B118,"yyyy-mm"))</f>
        <v/>
      </c>
      <c r="D118" s="33"/>
      <c r="E118" s="36"/>
      <c r="F118" s="31"/>
      <c r="G118" s="31"/>
      <c r="H118" s="40"/>
      <c r="I118" s="33"/>
      <c r="J118" s="31"/>
      <c r="K118" s="36"/>
      <c r="L118" s="47" t="str">
        <f aca="false">IF($B118="","",IF(NOT(ISNUMBER($B118)),"日期不是日期格式",IF(YEAR($B118)&lt;&gt;首页!$B$3,"不在会计年度",IF($F118="","未填借方科目",IF($G118="","未填贷方科目",IF(LEFT($M118,1)="⚠","借方科目不存在",IF(LEFT($N118,1)="⚠","贷方科目不存在",IF($F118=$G118,"借贷科目不能相同",IF(NOT(ISNUMBER($H118)),"金额须为数字",IF(N($H118)&lt;=0,"金额须大于0","√"))))))))))</f>
        <v/>
      </c>
      <c r="M118" s="50" t="str">
        <f aca="false">IF($F118="","",IFERROR(INDEX(科目参数!$B$6:$B$125,MATCH($F118,科目参数!$A$6:$A$125,0)),"⚠科目不存在"))</f>
        <v/>
      </c>
      <c r="N118" s="50" t="str">
        <f aca="false">IF($G118="","",IFERROR(INDEX(科目参数!$B$6:$B$125,MATCH($G118,科目参数!$A$6:$A$125,0)),"⚠科目不存在"))</f>
        <v/>
      </c>
    </row>
    <row r="119" customFormat="false" ht="15.75" hidden="false" customHeight="true" outlineLevel="0" collapsed="false">
      <c r="A119" s="42" t="str">
        <f aca="false">IF($B119="","","QT"&amp;TEXT($B119,"yyyymm")&amp;"-"&amp;TEXT(ROW()-4,"000"))</f>
        <v/>
      </c>
      <c r="B119" s="41"/>
      <c r="C119" s="42" t="str">
        <f aca="false">IF($B119="","",TEXT($B119,"yyyy-mm"))</f>
        <v/>
      </c>
      <c r="D119" s="33"/>
      <c r="E119" s="36"/>
      <c r="F119" s="31"/>
      <c r="G119" s="31"/>
      <c r="H119" s="40"/>
      <c r="I119" s="33"/>
      <c r="J119" s="31"/>
      <c r="K119" s="36"/>
      <c r="L119" s="47" t="str">
        <f aca="false">IF($B119="","",IF(NOT(ISNUMBER($B119)),"日期不是日期格式",IF(YEAR($B119)&lt;&gt;首页!$B$3,"不在会计年度",IF($F119="","未填借方科目",IF($G119="","未填贷方科目",IF(LEFT($M119,1)="⚠","借方科目不存在",IF(LEFT($N119,1)="⚠","贷方科目不存在",IF($F119=$G119,"借贷科目不能相同",IF(NOT(ISNUMBER($H119)),"金额须为数字",IF(N($H119)&lt;=0,"金额须大于0","√"))))))))))</f>
        <v/>
      </c>
      <c r="M119" s="50" t="str">
        <f aca="false">IF($F119="","",IFERROR(INDEX(科目参数!$B$6:$B$125,MATCH($F119,科目参数!$A$6:$A$125,0)),"⚠科目不存在"))</f>
        <v/>
      </c>
      <c r="N119" s="50" t="str">
        <f aca="false">IF($G119="","",IFERROR(INDEX(科目参数!$B$6:$B$125,MATCH($G119,科目参数!$A$6:$A$125,0)),"⚠科目不存在"))</f>
        <v/>
      </c>
    </row>
    <row r="120" customFormat="false" ht="15.75" hidden="false" customHeight="true" outlineLevel="0" collapsed="false">
      <c r="A120" s="42" t="str">
        <f aca="false">IF($B120="","","QT"&amp;TEXT($B120,"yyyymm")&amp;"-"&amp;TEXT(ROW()-4,"000"))</f>
        <v/>
      </c>
      <c r="B120" s="41"/>
      <c r="C120" s="42" t="str">
        <f aca="false">IF($B120="","",TEXT($B120,"yyyy-mm"))</f>
        <v/>
      </c>
      <c r="D120" s="33"/>
      <c r="E120" s="36"/>
      <c r="F120" s="31"/>
      <c r="G120" s="31"/>
      <c r="H120" s="40"/>
      <c r="I120" s="33"/>
      <c r="J120" s="31"/>
      <c r="K120" s="36"/>
      <c r="L120" s="47" t="str">
        <f aca="false">IF($B120="","",IF(NOT(ISNUMBER($B120)),"日期不是日期格式",IF(YEAR($B120)&lt;&gt;首页!$B$3,"不在会计年度",IF($F120="","未填借方科目",IF($G120="","未填贷方科目",IF(LEFT($M120,1)="⚠","借方科目不存在",IF(LEFT($N120,1)="⚠","贷方科目不存在",IF($F120=$G120,"借贷科目不能相同",IF(NOT(ISNUMBER($H120)),"金额须为数字",IF(N($H120)&lt;=0,"金额须大于0","√"))))))))))</f>
        <v/>
      </c>
      <c r="M120" s="50" t="str">
        <f aca="false">IF($F120="","",IFERROR(INDEX(科目参数!$B$6:$B$125,MATCH($F120,科目参数!$A$6:$A$125,0)),"⚠科目不存在"))</f>
        <v/>
      </c>
      <c r="N120" s="50" t="str">
        <f aca="false">IF($G120="","",IFERROR(INDEX(科目参数!$B$6:$B$125,MATCH($G120,科目参数!$A$6:$A$125,0)),"⚠科目不存在"))</f>
        <v/>
      </c>
    </row>
    <row r="121" customFormat="false" ht="15.75" hidden="false" customHeight="true" outlineLevel="0" collapsed="false">
      <c r="A121" s="42" t="str">
        <f aca="false">IF($B121="","","QT"&amp;TEXT($B121,"yyyymm")&amp;"-"&amp;TEXT(ROW()-4,"000"))</f>
        <v/>
      </c>
      <c r="B121" s="41"/>
      <c r="C121" s="42" t="str">
        <f aca="false">IF($B121="","",TEXT($B121,"yyyy-mm"))</f>
        <v/>
      </c>
      <c r="D121" s="33"/>
      <c r="E121" s="36"/>
      <c r="F121" s="31"/>
      <c r="G121" s="31"/>
      <c r="H121" s="40"/>
      <c r="I121" s="33"/>
      <c r="J121" s="31"/>
      <c r="K121" s="36"/>
      <c r="L121" s="47" t="str">
        <f aca="false">IF($B121="","",IF(NOT(ISNUMBER($B121)),"日期不是日期格式",IF(YEAR($B121)&lt;&gt;首页!$B$3,"不在会计年度",IF($F121="","未填借方科目",IF($G121="","未填贷方科目",IF(LEFT($M121,1)="⚠","借方科目不存在",IF(LEFT($N121,1)="⚠","贷方科目不存在",IF($F121=$G121,"借贷科目不能相同",IF(NOT(ISNUMBER($H121)),"金额须为数字",IF(N($H121)&lt;=0,"金额须大于0","√"))))))))))</f>
        <v/>
      </c>
      <c r="M121" s="50" t="str">
        <f aca="false">IF($F121="","",IFERROR(INDEX(科目参数!$B$6:$B$125,MATCH($F121,科目参数!$A$6:$A$125,0)),"⚠科目不存在"))</f>
        <v/>
      </c>
      <c r="N121" s="50" t="str">
        <f aca="false">IF($G121="","",IFERROR(INDEX(科目参数!$B$6:$B$125,MATCH($G121,科目参数!$A$6:$A$125,0)),"⚠科目不存在"))</f>
        <v/>
      </c>
    </row>
    <row r="122" customFormat="false" ht="15.75" hidden="false" customHeight="true" outlineLevel="0" collapsed="false">
      <c r="A122" s="42" t="str">
        <f aca="false">IF($B122="","","QT"&amp;TEXT($B122,"yyyymm")&amp;"-"&amp;TEXT(ROW()-4,"000"))</f>
        <v/>
      </c>
      <c r="B122" s="41"/>
      <c r="C122" s="42" t="str">
        <f aca="false">IF($B122="","",TEXT($B122,"yyyy-mm"))</f>
        <v/>
      </c>
      <c r="D122" s="33"/>
      <c r="E122" s="36"/>
      <c r="F122" s="31"/>
      <c r="G122" s="31"/>
      <c r="H122" s="40"/>
      <c r="I122" s="33"/>
      <c r="J122" s="31"/>
      <c r="K122" s="36"/>
      <c r="L122" s="47" t="str">
        <f aca="false">IF($B122="","",IF(NOT(ISNUMBER($B122)),"日期不是日期格式",IF(YEAR($B122)&lt;&gt;首页!$B$3,"不在会计年度",IF($F122="","未填借方科目",IF($G122="","未填贷方科目",IF(LEFT($M122,1)="⚠","借方科目不存在",IF(LEFT($N122,1)="⚠","贷方科目不存在",IF($F122=$G122,"借贷科目不能相同",IF(NOT(ISNUMBER($H122)),"金额须为数字",IF(N($H122)&lt;=0,"金额须大于0","√"))))))))))</f>
        <v/>
      </c>
      <c r="M122" s="50" t="str">
        <f aca="false">IF($F122="","",IFERROR(INDEX(科目参数!$B$6:$B$125,MATCH($F122,科目参数!$A$6:$A$125,0)),"⚠科目不存在"))</f>
        <v/>
      </c>
      <c r="N122" s="50" t="str">
        <f aca="false">IF($G122="","",IFERROR(INDEX(科目参数!$B$6:$B$125,MATCH($G122,科目参数!$A$6:$A$125,0)),"⚠科目不存在"))</f>
        <v/>
      </c>
    </row>
    <row r="123" customFormat="false" ht="15.75" hidden="false" customHeight="true" outlineLevel="0" collapsed="false">
      <c r="A123" s="42" t="str">
        <f aca="false">IF($B123="","","QT"&amp;TEXT($B123,"yyyymm")&amp;"-"&amp;TEXT(ROW()-4,"000"))</f>
        <v/>
      </c>
      <c r="B123" s="41"/>
      <c r="C123" s="42" t="str">
        <f aca="false">IF($B123="","",TEXT($B123,"yyyy-mm"))</f>
        <v/>
      </c>
      <c r="D123" s="33"/>
      <c r="E123" s="36"/>
      <c r="F123" s="31"/>
      <c r="G123" s="31"/>
      <c r="H123" s="40"/>
      <c r="I123" s="33"/>
      <c r="J123" s="31"/>
      <c r="K123" s="36"/>
      <c r="L123" s="47" t="str">
        <f aca="false">IF($B123="","",IF(NOT(ISNUMBER($B123)),"日期不是日期格式",IF(YEAR($B123)&lt;&gt;首页!$B$3,"不在会计年度",IF($F123="","未填借方科目",IF($G123="","未填贷方科目",IF(LEFT($M123,1)="⚠","借方科目不存在",IF(LEFT($N123,1)="⚠","贷方科目不存在",IF($F123=$G123,"借贷科目不能相同",IF(NOT(ISNUMBER($H123)),"金额须为数字",IF(N($H123)&lt;=0,"金额须大于0","√"))))))))))</f>
        <v/>
      </c>
      <c r="M123" s="50" t="str">
        <f aca="false">IF($F123="","",IFERROR(INDEX(科目参数!$B$6:$B$125,MATCH($F123,科目参数!$A$6:$A$125,0)),"⚠科目不存在"))</f>
        <v/>
      </c>
      <c r="N123" s="50" t="str">
        <f aca="false">IF($G123="","",IFERROR(INDEX(科目参数!$B$6:$B$125,MATCH($G123,科目参数!$A$6:$A$125,0)),"⚠科目不存在"))</f>
        <v/>
      </c>
    </row>
    <row r="124" customFormat="false" ht="15.75" hidden="false" customHeight="true" outlineLevel="0" collapsed="false">
      <c r="A124" s="42" t="str">
        <f aca="false">IF($B124="","","QT"&amp;TEXT($B124,"yyyymm")&amp;"-"&amp;TEXT(ROW()-4,"000"))</f>
        <v/>
      </c>
      <c r="B124" s="41"/>
      <c r="C124" s="42" t="str">
        <f aca="false">IF($B124="","",TEXT($B124,"yyyy-mm"))</f>
        <v/>
      </c>
      <c r="D124" s="33"/>
      <c r="E124" s="36"/>
      <c r="F124" s="31"/>
      <c r="G124" s="31"/>
      <c r="H124" s="40"/>
      <c r="I124" s="33"/>
      <c r="J124" s="31"/>
      <c r="K124" s="36"/>
      <c r="L124" s="47" t="str">
        <f aca="false">IF($B124="","",IF(NOT(ISNUMBER($B124)),"日期不是日期格式",IF(YEAR($B124)&lt;&gt;首页!$B$3,"不在会计年度",IF($F124="","未填借方科目",IF($G124="","未填贷方科目",IF(LEFT($M124,1)="⚠","借方科目不存在",IF(LEFT($N124,1)="⚠","贷方科目不存在",IF($F124=$G124,"借贷科目不能相同",IF(NOT(ISNUMBER($H124)),"金额须为数字",IF(N($H124)&lt;=0,"金额须大于0","√"))))))))))</f>
        <v/>
      </c>
      <c r="M124" s="50" t="str">
        <f aca="false">IF($F124="","",IFERROR(INDEX(科目参数!$B$6:$B$125,MATCH($F124,科目参数!$A$6:$A$125,0)),"⚠科目不存在"))</f>
        <v/>
      </c>
      <c r="N124" s="50" t="str">
        <f aca="false">IF($G124="","",IFERROR(INDEX(科目参数!$B$6:$B$125,MATCH($G124,科目参数!$A$6:$A$125,0)),"⚠科目不存在"))</f>
        <v/>
      </c>
    </row>
    <row r="125" customFormat="false" ht="15.75" hidden="false" customHeight="true" outlineLevel="0" collapsed="false">
      <c r="A125" s="42" t="str">
        <f aca="false">IF($B125="","","QT"&amp;TEXT($B125,"yyyymm")&amp;"-"&amp;TEXT(ROW()-4,"000"))</f>
        <v/>
      </c>
      <c r="B125" s="41"/>
      <c r="C125" s="42" t="str">
        <f aca="false">IF($B125="","",TEXT($B125,"yyyy-mm"))</f>
        <v/>
      </c>
      <c r="D125" s="33"/>
      <c r="E125" s="36"/>
      <c r="F125" s="31"/>
      <c r="G125" s="31"/>
      <c r="H125" s="40"/>
      <c r="I125" s="33"/>
      <c r="J125" s="31"/>
      <c r="K125" s="36"/>
      <c r="L125" s="47" t="str">
        <f aca="false">IF($B125="","",IF(NOT(ISNUMBER($B125)),"日期不是日期格式",IF(YEAR($B125)&lt;&gt;首页!$B$3,"不在会计年度",IF($F125="","未填借方科目",IF($G125="","未填贷方科目",IF(LEFT($M125,1)="⚠","借方科目不存在",IF(LEFT($N125,1)="⚠","贷方科目不存在",IF($F125=$G125,"借贷科目不能相同",IF(NOT(ISNUMBER($H125)),"金额须为数字",IF(N($H125)&lt;=0,"金额须大于0","√"))))))))))</f>
        <v/>
      </c>
      <c r="M125" s="50" t="str">
        <f aca="false">IF($F125="","",IFERROR(INDEX(科目参数!$B$6:$B$125,MATCH($F125,科目参数!$A$6:$A$125,0)),"⚠科目不存在"))</f>
        <v/>
      </c>
      <c r="N125" s="50" t="str">
        <f aca="false">IF($G125="","",IFERROR(INDEX(科目参数!$B$6:$B$125,MATCH($G125,科目参数!$A$6:$A$125,0)),"⚠科目不存在"))</f>
        <v/>
      </c>
    </row>
    <row r="126" customFormat="false" ht="15.75" hidden="false" customHeight="true" outlineLevel="0" collapsed="false">
      <c r="A126" s="42" t="str">
        <f aca="false">IF($B126="","","QT"&amp;TEXT($B126,"yyyymm")&amp;"-"&amp;TEXT(ROW()-4,"000"))</f>
        <v/>
      </c>
      <c r="B126" s="41"/>
      <c r="C126" s="42" t="str">
        <f aca="false">IF($B126="","",TEXT($B126,"yyyy-mm"))</f>
        <v/>
      </c>
      <c r="D126" s="33"/>
      <c r="E126" s="36"/>
      <c r="F126" s="31"/>
      <c r="G126" s="31"/>
      <c r="H126" s="40"/>
      <c r="I126" s="33"/>
      <c r="J126" s="31"/>
      <c r="K126" s="36"/>
      <c r="L126" s="47" t="str">
        <f aca="false">IF($B126="","",IF(NOT(ISNUMBER($B126)),"日期不是日期格式",IF(YEAR($B126)&lt;&gt;首页!$B$3,"不在会计年度",IF($F126="","未填借方科目",IF($G126="","未填贷方科目",IF(LEFT($M126,1)="⚠","借方科目不存在",IF(LEFT($N126,1)="⚠","贷方科目不存在",IF($F126=$G126,"借贷科目不能相同",IF(NOT(ISNUMBER($H126)),"金额须为数字",IF(N($H126)&lt;=0,"金额须大于0","√"))))))))))</f>
        <v/>
      </c>
      <c r="M126" s="50" t="str">
        <f aca="false">IF($F126="","",IFERROR(INDEX(科目参数!$B$6:$B$125,MATCH($F126,科目参数!$A$6:$A$125,0)),"⚠科目不存在"))</f>
        <v/>
      </c>
      <c r="N126" s="50" t="str">
        <f aca="false">IF($G126="","",IFERROR(INDEX(科目参数!$B$6:$B$125,MATCH($G126,科目参数!$A$6:$A$125,0)),"⚠科目不存在"))</f>
        <v/>
      </c>
    </row>
    <row r="127" customFormat="false" ht="15.75" hidden="false" customHeight="true" outlineLevel="0" collapsed="false">
      <c r="A127" s="42" t="str">
        <f aca="false">IF($B127="","","QT"&amp;TEXT($B127,"yyyymm")&amp;"-"&amp;TEXT(ROW()-4,"000"))</f>
        <v/>
      </c>
      <c r="B127" s="41"/>
      <c r="C127" s="42" t="str">
        <f aca="false">IF($B127="","",TEXT($B127,"yyyy-mm"))</f>
        <v/>
      </c>
      <c r="D127" s="33"/>
      <c r="E127" s="36"/>
      <c r="F127" s="31"/>
      <c r="G127" s="31"/>
      <c r="H127" s="40"/>
      <c r="I127" s="33"/>
      <c r="J127" s="31"/>
      <c r="K127" s="36"/>
      <c r="L127" s="47" t="str">
        <f aca="false">IF($B127="","",IF(NOT(ISNUMBER($B127)),"日期不是日期格式",IF(YEAR($B127)&lt;&gt;首页!$B$3,"不在会计年度",IF($F127="","未填借方科目",IF($G127="","未填贷方科目",IF(LEFT($M127,1)="⚠","借方科目不存在",IF(LEFT($N127,1)="⚠","贷方科目不存在",IF($F127=$G127,"借贷科目不能相同",IF(NOT(ISNUMBER($H127)),"金额须为数字",IF(N($H127)&lt;=0,"金额须大于0","√"))))))))))</f>
        <v/>
      </c>
      <c r="M127" s="50" t="str">
        <f aca="false">IF($F127="","",IFERROR(INDEX(科目参数!$B$6:$B$125,MATCH($F127,科目参数!$A$6:$A$125,0)),"⚠科目不存在"))</f>
        <v/>
      </c>
      <c r="N127" s="50" t="str">
        <f aca="false">IF($G127="","",IFERROR(INDEX(科目参数!$B$6:$B$125,MATCH($G127,科目参数!$A$6:$A$125,0)),"⚠科目不存在"))</f>
        <v/>
      </c>
    </row>
    <row r="128" customFormat="false" ht="15.75" hidden="false" customHeight="true" outlineLevel="0" collapsed="false">
      <c r="A128" s="42" t="str">
        <f aca="false">IF($B128="","","QT"&amp;TEXT($B128,"yyyymm")&amp;"-"&amp;TEXT(ROW()-4,"000"))</f>
        <v/>
      </c>
      <c r="B128" s="41"/>
      <c r="C128" s="42" t="str">
        <f aca="false">IF($B128="","",TEXT($B128,"yyyy-mm"))</f>
        <v/>
      </c>
      <c r="D128" s="33"/>
      <c r="E128" s="36"/>
      <c r="F128" s="31"/>
      <c r="G128" s="31"/>
      <c r="H128" s="40"/>
      <c r="I128" s="33"/>
      <c r="J128" s="31"/>
      <c r="K128" s="36"/>
      <c r="L128" s="47" t="str">
        <f aca="false">IF($B128="","",IF(NOT(ISNUMBER($B128)),"日期不是日期格式",IF(YEAR($B128)&lt;&gt;首页!$B$3,"不在会计年度",IF($F128="","未填借方科目",IF($G128="","未填贷方科目",IF(LEFT($M128,1)="⚠","借方科目不存在",IF(LEFT($N128,1)="⚠","贷方科目不存在",IF($F128=$G128,"借贷科目不能相同",IF(NOT(ISNUMBER($H128)),"金额须为数字",IF(N($H128)&lt;=0,"金额须大于0","√"))))))))))</f>
        <v/>
      </c>
      <c r="M128" s="50" t="str">
        <f aca="false">IF($F128="","",IFERROR(INDEX(科目参数!$B$6:$B$125,MATCH($F128,科目参数!$A$6:$A$125,0)),"⚠科目不存在"))</f>
        <v/>
      </c>
      <c r="N128" s="50" t="str">
        <f aca="false">IF($G128="","",IFERROR(INDEX(科目参数!$B$6:$B$125,MATCH($G128,科目参数!$A$6:$A$125,0)),"⚠科目不存在"))</f>
        <v/>
      </c>
    </row>
    <row r="129" customFormat="false" ht="15.75" hidden="false" customHeight="true" outlineLevel="0" collapsed="false">
      <c r="A129" s="42" t="str">
        <f aca="false">IF($B129="","","QT"&amp;TEXT($B129,"yyyymm")&amp;"-"&amp;TEXT(ROW()-4,"000"))</f>
        <v/>
      </c>
      <c r="B129" s="41"/>
      <c r="C129" s="42" t="str">
        <f aca="false">IF($B129="","",TEXT($B129,"yyyy-mm"))</f>
        <v/>
      </c>
      <c r="D129" s="33"/>
      <c r="E129" s="36"/>
      <c r="F129" s="31"/>
      <c r="G129" s="31"/>
      <c r="H129" s="40"/>
      <c r="I129" s="33"/>
      <c r="J129" s="31"/>
      <c r="K129" s="36"/>
      <c r="L129" s="47" t="str">
        <f aca="false">IF($B129="","",IF(NOT(ISNUMBER($B129)),"日期不是日期格式",IF(YEAR($B129)&lt;&gt;首页!$B$3,"不在会计年度",IF($F129="","未填借方科目",IF($G129="","未填贷方科目",IF(LEFT($M129,1)="⚠","借方科目不存在",IF(LEFT($N129,1)="⚠","贷方科目不存在",IF($F129=$G129,"借贷科目不能相同",IF(NOT(ISNUMBER($H129)),"金额须为数字",IF(N($H129)&lt;=0,"金额须大于0","√"))))))))))</f>
        <v/>
      </c>
      <c r="M129" s="50" t="str">
        <f aca="false">IF($F129="","",IFERROR(INDEX(科目参数!$B$6:$B$125,MATCH($F129,科目参数!$A$6:$A$125,0)),"⚠科目不存在"))</f>
        <v/>
      </c>
      <c r="N129" s="50" t="str">
        <f aca="false">IF($G129="","",IFERROR(INDEX(科目参数!$B$6:$B$125,MATCH($G129,科目参数!$A$6:$A$125,0)),"⚠科目不存在"))</f>
        <v/>
      </c>
    </row>
    <row r="130" customFormat="false" ht="15.75" hidden="false" customHeight="true" outlineLevel="0" collapsed="false">
      <c r="A130" s="42" t="str">
        <f aca="false">IF($B130="","","QT"&amp;TEXT($B130,"yyyymm")&amp;"-"&amp;TEXT(ROW()-4,"000"))</f>
        <v/>
      </c>
      <c r="B130" s="41"/>
      <c r="C130" s="42" t="str">
        <f aca="false">IF($B130="","",TEXT($B130,"yyyy-mm"))</f>
        <v/>
      </c>
      <c r="D130" s="33"/>
      <c r="E130" s="36"/>
      <c r="F130" s="31"/>
      <c r="G130" s="31"/>
      <c r="H130" s="40"/>
      <c r="I130" s="33"/>
      <c r="J130" s="31"/>
      <c r="K130" s="36"/>
      <c r="L130" s="47" t="str">
        <f aca="false">IF($B130="","",IF(NOT(ISNUMBER($B130)),"日期不是日期格式",IF(YEAR($B130)&lt;&gt;首页!$B$3,"不在会计年度",IF($F130="","未填借方科目",IF($G130="","未填贷方科目",IF(LEFT($M130,1)="⚠","借方科目不存在",IF(LEFT($N130,1)="⚠","贷方科目不存在",IF($F130=$G130,"借贷科目不能相同",IF(NOT(ISNUMBER($H130)),"金额须为数字",IF(N($H130)&lt;=0,"金额须大于0","√"))))))))))</f>
        <v/>
      </c>
      <c r="M130" s="50" t="str">
        <f aca="false">IF($F130="","",IFERROR(INDEX(科目参数!$B$6:$B$125,MATCH($F130,科目参数!$A$6:$A$125,0)),"⚠科目不存在"))</f>
        <v/>
      </c>
      <c r="N130" s="50" t="str">
        <f aca="false">IF($G130="","",IFERROR(INDEX(科目参数!$B$6:$B$125,MATCH($G130,科目参数!$A$6:$A$125,0)),"⚠科目不存在"))</f>
        <v/>
      </c>
    </row>
    <row r="131" customFormat="false" ht="15.75" hidden="false" customHeight="true" outlineLevel="0" collapsed="false">
      <c r="A131" s="42" t="str">
        <f aca="false">IF($B131="","","QT"&amp;TEXT($B131,"yyyymm")&amp;"-"&amp;TEXT(ROW()-4,"000"))</f>
        <v/>
      </c>
      <c r="B131" s="41"/>
      <c r="C131" s="42" t="str">
        <f aca="false">IF($B131="","",TEXT($B131,"yyyy-mm"))</f>
        <v/>
      </c>
      <c r="D131" s="33"/>
      <c r="E131" s="36"/>
      <c r="F131" s="31"/>
      <c r="G131" s="31"/>
      <c r="H131" s="40"/>
      <c r="I131" s="33"/>
      <c r="J131" s="31"/>
      <c r="K131" s="36"/>
      <c r="L131" s="47" t="str">
        <f aca="false">IF($B131="","",IF(NOT(ISNUMBER($B131)),"日期不是日期格式",IF(YEAR($B131)&lt;&gt;首页!$B$3,"不在会计年度",IF($F131="","未填借方科目",IF($G131="","未填贷方科目",IF(LEFT($M131,1)="⚠","借方科目不存在",IF(LEFT($N131,1)="⚠","贷方科目不存在",IF($F131=$G131,"借贷科目不能相同",IF(NOT(ISNUMBER($H131)),"金额须为数字",IF(N($H131)&lt;=0,"金额须大于0","√"))))))))))</f>
        <v/>
      </c>
      <c r="M131" s="50" t="str">
        <f aca="false">IF($F131="","",IFERROR(INDEX(科目参数!$B$6:$B$125,MATCH($F131,科目参数!$A$6:$A$125,0)),"⚠科目不存在"))</f>
        <v/>
      </c>
      <c r="N131" s="50" t="str">
        <f aca="false">IF($G131="","",IFERROR(INDEX(科目参数!$B$6:$B$125,MATCH($G131,科目参数!$A$6:$A$125,0)),"⚠科目不存在"))</f>
        <v/>
      </c>
    </row>
    <row r="132" customFormat="false" ht="15.75" hidden="false" customHeight="true" outlineLevel="0" collapsed="false">
      <c r="A132" s="42" t="str">
        <f aca="false">IF($B132="","","QT"&amp;TEXT($B132,"yyyymm")&amp;"-"&amp;TEXT(ROW()-4,"000"))</f>
        <v/>
      </c>
      <c r="B132" s="41"/>
      <c r="C132" s="42" t="str">
        <f aca="false">IF($B132="","",TEXT($B132,"yyyy-mm"))</f>
        <v/>
      </c>
      <c r="D132" s="33"/>
      <c r="E132" s="36"/>
      <c r="F132" s="31"/>
      <c r="G132" s="31"/>
      <c r="H132" s="40"/>
      <c r="I132" s="33"/>
      <c r="J132" s="31"/>
      <c r="K132" s="36"/>
      <c r="L132" s="47" t="str">
        <f aca="false">IF($B132="","",IF(NOT(ISNUMBER($B132)),"日期不是日期格式",IF(YEAR($B132)&lt;&gt;首页!$B$3,"不在会计年度",IF($F132="","未填借方科目",IF($G132="","未填贷方科目",IF(LEFT($M132,1)="⚠","借方科目不存在",IF(LEFT($N132,1)="⚠","贷方科目不存在",IF($F132=$G132,"借贷科目不能相同",IF(NOT(ISNUMBER($H132)),"金额须为数字",IF(N($H132)&lt;=0,"金额须大于0","√"))))))))))</f>
        <v/>
      </c>
      <c r="M132" s="50" t="str">
        <f aca="false">IF($F132="","",IFERROR(INDEX(科目参数!$B$6:$B$125,MATCH($F132,科目参数!$A$6:$A$125,0)),"⚠科目不存在"))</f>
        <v/>
      </c>
      <c r="N132" s="50" t="str">
        <f aca="false">IF($G132="","",IFERROR(INDEX(科目参数!$B$6:$B$125,MATCH($G132,科目参数!$A$6:$A$125,0)),"⚠科目不存在"))</f>
        <v/>
      </c>
    </row>
    <row r="133" customFormat="false" ht="15.75" hidden="false" customHeight="true" outlineLevel="0" collapsed="false">
      <c r="A133" s="42" t="str">
        <f aca="false">IF($B133="","","QT"&amp;TEXT($B133,"yyyymm")&amp;"-"&amp;TEXT(ROW()-4,"000"))</f>
        <v/>
      </c>
      <c r="B133" s="41"/>
      <c r="C133" s="42" t="str">
        <f aca="false">IF($B133="","",TEXT($B133,"yyyy-mm"))</f>
        <v/>
      </c>
      <c r="D133" s="33"/>
      <c r="E133" s="36"/>
      <c r="F133" s="31"/>
      <c r="G133" s="31"/>
      <c r="H133" s="40"/>
      <c r="I133" s="33"/>
      <c r="J133" s="31"/>
      <c r="K133" s="36"/>
      <c r="L133" s="47" t="str">
        <f aca="false">IF($B133="","",IF(NOT(ISNUMBER($B133)),"日期不是日期格式",IF(YEAR($B133)&lt;&gt;首页!$B$3,"不在会计年度",IF($F133="","未填借方科目",IF($G133="","未填贷方科目",IF(LEFT($M133,1)="⚠","借方科目不存在",IF(LEFT($N133,1)="⚠","贷方科目不存在",IF($F133=$G133,"借贷科目不能相同",IF(NOT(ISNUMBER($H133)),"金额须为数字",IF(N($H133)&lt;=0,"金额须大于0","√"))))))))))</f>
        <v/>
      </c>
      <c r="M133" s="50" t="str">
        <f aca="false">IF($F133="","",IFERROR(INDEX(科目参数!$B$6:$B$125,MATCH($F133,科目参数!$A$6:$A$125,0)),"⚠科目不存在"))</f>
        <v/>
      </c>
      <c r="N133" s="50" t="str">
        <f aca="false">IF($G133="","",IFERROR(INDEX(科目参数!$B$6:$B$125,MATCH($G133,科目参数!$A$6:$A$125,0)),"⚠科目不存在"))</f>
        <v/>
      </c>
    </row>
    <row r="134" customFormat="false" ht="15.75" hidden="false" customHeight="true" outlineLevel="0" collapsed="false">
      <c r="A134" s="42" t="str">
        <f aca="false">IF($B134="","","QT"&amp;TEXT($B134,"yyyymm")&amp;"-"&amp;TEXT(ROW()-4,"000"))</f>
        <v/>
      </c>
      <c r="B134" s="41"/>
      <c r="C134" s="42" t="str">
        <f aca="false">IF($B134="","",TEXT($B134,"yyyy-mm"))</f>
        <v/>
      </c>
      <c r="D134" s="33"/>
      <c r="E134" s="36"/>
      <c r="F134" s="31"/>
      <c r="G134" s="31"/>
      <c r="H134" s="40"/>
      <c r="I134" s="33"/>
      <c r="J134" s="31"/>
      <c r="K134" s="36"/>
      <c r="L134" s="47" t="str">
        <f aca="false">IF($B134="","",IF(NOT(ISNUMBER($B134)),"日期不是日期格式",IF(YEAR($B134)&lt;&gt;首页!$B$3,"不在会计年度",IF($F134="","未填借方科目",IF($G134="","未填贷方科目",IF(LEFT($M134,1)="⚠","借方科目不存在",IF(LEFT($N134,1)="⚠","贷方科目不存在",IF($F134=$G134,"借贷科目不能相同",IF(NOT(ISNUMBER($H134)),"金额须为数字",IF(N($H134)&lt;=0,"金额须大于0","√"))))))))))</f>
        <v/>
      </c>
      <c r="M134" s="50" t="str">
        <f aca="false">IF($F134="","",IFERROR(INDEX(科目参数!$B$6:$B$125,MATCH($F134,科目参数!$A$6:$A$125,0)),"⚠科目不存在"))</f>
        <v/>
      </c>
      <c r="N134" s="50" t="str">
        <f aca="false">IF($G134="","",IFERROR(INDEX(科目参数!$B$6:$B$125,MATCH($G134,科目参数!$A$6:$A$125,0)),"⚠科目不存在"))</f>
        <v/>
      </c>
    </row>
    <row r="135" customFormat="false" ht="15.75" hidden="false" customHeight="true" outlineLevel="0" collapsed="false">
      <c r="A135" s="42" t="str">
        <f aca="false">IF($B135="","","QT"&amp;TEXT($B135,"yyyymm")&amp;"-"&amp;TEXT(ROW()-4,"000"))</f>
        <v/>
      </c>
      <c r="B135" s="41"/>
      <c r="C135" s="42" t="str">
        <f aca="false">IF($B135="","",TEXT($B135,"yyyy-mm"))</f>
        <v/>
      </c>
      <c r="D135" s="33"/>
      <c r="E135" s="36"/>
      <c r="F135" s="31"/>
      <c r="G135" s="31"/>
      <c r="H135" s="40"/>
      <c r="I135" s="33"/>
      <c r="J135" s="31"/>
      <c r="K135" s="36"/>
      <c r="L135" s="47" t="str">
        <f aca="false">IF($B135="","",IF(NOT(ISNUMBER($B135)),"日期不是日期格式",IF(YEAR($B135)&lt;&gt;首页!$B$3,"不在会计年度",IF($F135="","未填借方科目",IF($G135="","未填贷方科目",IF(LEFT($M135,1)="⚠","借方科目不存在",IF(LEFT($N135,1)="⚠","贷方科目不存在",IF($F135=$G135,"借贷科目不能相同",IF(NOT(ISNUMBER($H135)),"金额须为数字",IF(N($H135)&lt;=0,"金额须大于0","√"))))))))))</f>
        <v/>
      </c>
      <c r="M135" s="50" t="str">
        <f aca="false">IF($F135="","",IFERROR(INDEX(科目参数!$B$6:$B$125,MATCH($F135,科目参数!$A$6:$A$125,0)),"⚠科目不存在"))</f>
        <v/>
      </c>
      <c r="N135" s="50" t="str">
        <f aca="false">IF($G135="","",IFERROR(INDEX(科目参数!$B$6:$B$125,MATCH($G135,科目参数!$A$6:$A$125,0)),"⚠科目不存在"))</f>
        <v/>
      </c>
    </row>
    <row r="136" customFormat="false" ht="15.75" hidden="false" customHeight="true" outlineLevel="0" collapsed="false">
      <c r="A136" s="42" t="str">
        <f aca="false">IF($B136="","","QT"&amp;TEXT($B136,"yyyymm")&amp;"-"&amp;TEXT(ROW()-4,"000"))</f>
        <v/>
      </c>
      <c r="B136" s="41"/>
      <c r="C136" s="42" t="str">
        <f aca="false">IF($B136="","",TEXT($B136,"yyyy-mm"))</f>
        <v/>
      </c>
      <c r="D136" s="33"/>
      <c r="E136" s="36"/>
      <c r="F136" s="31"/>
      <c r="G136" s="31"/>
      <c r="H136" s="40"/>
      <c r="I136" s="33"/>
      <c r="J136" s="31"/>
      <c r="K136" s="36"/>
      <c r="L136" s="47" t="str">
        <f aca="false">IF($B136="","",IF(NOT(ISNUMBER($B136)),"日期不是日期格式",IF(YEAR($B136)&lt;&gt;首页!$B$3,"不在会计年度",IF($F136="","未填借方科目",IF($G136="","未填贷方科目",IF(LEFT($M136,1)="⚠","借方科目不存在",IF(LEFT($N136,1)="⚠","贷方科目不存在",IF($F136=$G136,"借贷科目不能相同",IF(NOT(ISNUMBER($H136)),"金额须为数字",IF(N($H136)&lt;=0,"金额须大于0","√"))))))))))</f>
        <v/>
      </c>
      <c r="M136" s="50" t="str">
        <f aca="false">IF($F136="","",IFERROR(INDEX(科目参数!$B$6:$B$125,MATCH($F136,科目参数!$A$6:$A$125,0)),"⚠科目不存在"))</f>
        <v/>
      </c>
      <c r="N136" s="50" t="str">
        <f aca="false">IF($G136="","",IFERROR(INDEX(科目参数!$B$6:$B$125,MATCH($G136,科目参数!$A$6:$A$125,0)),"⚠科目不存在"))</f>
        <v/>
      </c>
    </row>
    <row r="137" customFormat="false" ht="15.75" hidden="false" customHeight="true" outlineLevel="0" collapsed="false">
      <c r="A137" s="42" t="str">
        <f aca="false">IF($B137="","","QT"&amp;TEXT($B137,"yyyymm")&amp;"-"&amp;TEXT(ROW()-4,"000"))</f>
        <v/>
      </c>
      <c r="B137" s="41"/>
      <c r="C137" s="42" t="str">
        <f aca="false">IF($B137="","",TEXT($B137,"yyyy-mm"))</f>
        <v/>
      </c>
      <c r="D137" s="33"/>
      <c r="E137" s="36"/>
      <c r="F137" s="31"/>
      <c r="G137" s="31"/>
      <c r="H137" s="40"/>
      <c r="I137" s="33"/>
      <c r="J137" s="31"/>
      <c r="K137" s="36"/>
      <c r="L137" s="47" t="str">
        <f aca="false">IF($B137="","",IF(NOT(ISNUMBER($B137)),"日期不是日期格式",IF(YEAR($B137)&lt;&gt;首页!$B$3,"不在会计年度",IF($F137="","未填借方科目",IF($G137="","未填贷方科目",IF(LEFT($M137,1)="⚠","借方科目不存在",IF(LEFT($N137,1)="⚠","贷方科目不存在",IF($F137=$G137,"借贷科目不能相同",IF(NOT(ISNUMBER($H137)),"金额须为数字",IF(N($H137)&lt;=0,"金额须大于0","√"))))))))))</f>
        <v/>
      </c>
      <c r="M137" s="50" t="str">
        <f aca="false">IF($F137="","",IFERROR(INDEX(科目参数!$B$6:$B$125,MATCH($F137,科目参数!$A$6:$A$125,0)),"⚠科目不存在"))</f>
        <v/>
      </c>
      <c r="N137" s="50" t="str">
        <f aca="false">IF($G137="","",IFERROR(INDEX(科目参数!$B$6:$B$125,MATCH($G137,科目参数!$A$6:$A$125,0)),"⚠科目不存在"))</f>
        <v/>
      </c>
    </row>
    <row r="138" customFormat="false" ht="15.75" hidden="false" customHeight="true" outlineLevel="0" collapsed="false">
      <c r="A138" s="42" t="str">
        <f aca="false">IF($B138="","","QT"&amp;TEXT($B138,"yyyymm")&amp;"-"&amp;TEXT(ROW()-4,"000"))</f>
        <v/>
      </c>
      <c r="B138" s="41"/>
      <c r="C138" s="42" t="str">
        <f aca="false">IF($B138="","",TEXT($B138,"yyyy-mm"))</f>
        <v/>
      </c>
      <c r="D138" s="33"/>
      <c r="E138" s="36"/>
      <c r="F138" s="31"/>
      <c r="G138" s="31"/>
      <c r="H138" s="40"/>
      <c r="I138" s="33"/>
      <c r="J138" s="31"/>
      <c r="K138" s="36"/>
      <c r="L138" s="47" t="str">
        <f aca="false">IF($B138="","",IF(NOT(ISNUMBER($B138)),"日期不是日期格式",IF(YEAR($B138)&lt;&gt;首页!$B$3,"不在会计年度",IF($F138="","未填借方科目",IF($G138="","未填贷方科目",IF(LEFT($M138,1)="⚠","借方科目不存在",IF(LEFT($N138,1)="⚠","贷方科目不存在",IF($F138=$G138,"借贷科目不能相同",IF(NOT(ISNUMBER($H138)),"金额须为数字",IF(N($H138)&lt;=0,"金额须大于0","√"))))))))))</f>
        <v/>
      </c>
      <c r="M138" s="50" t="str">
        <f aca="false">IF($F138="","",IFERROR(INDEX(科目参数!$B$6:$B$125,MATCH($F138,科目参数!$A$6:$A$125,0)),"⚠科目不存在"))</f>
        <v/>
      </c>
      <c r="N138" s="50" t="str">
        <f aca="false">IF($G138="","",IFERROR(INDEX(科目参数!$B$6:$B$125,MATCH($G138,科目参数!$A$6:$A$125,0)),"⚠科目不存在"))</f>
        <v/>
      </c>
    </row>
    <row r="139" customFormat="false" ht="15.75" hidden="false" customHeight="true" outlineLevel="0" collapsed="false">
      <c r="A139" s="42" t="str">
        <f aca="false">IF($B139="","","QT"&amp;TEXT($B139,"yyyymm")&amp;"-"&amp;TEXT(ROW()-4,"000"))</f>
        <v/>
      </c>
      <c r="B139" s="41"/>
      <c r="C139" s="42" t="str">
        <f aca="false">IF($B139="","",TEXT($B139,"yyyy-mm"))</f>
        <v/>
      </c>
      <c r="D139" s="33"/>
      <c r="E139" s="36"/>
      <c r="F139" s="31"/>
      <c r="G139" s="31"/>
      <c r="H139" s="40"/>
      <c r="I139" s="33"/>
      <c r="J139" s="31"/>
      <c r="K139" s="36"/>
      <c r="L139" s="47" t="str">
        <f aca="false">IF($B139="","",IF(NOT(ISNUMBER($B139)),"日期不是日期格式",IF(YEAR($B139)&lt;&gt;首页!$B$3,"不在会计年度",IF($F139="","未填借方科目",IF($G139="","未填贷方科目",IF(LEFT($M139,1)="⚠","借方科目不存在",IF(LEFT($N139,1)="⚠","贷方科目不存在",IF($F139=$G139,"借贷科目不能相同",IF(NOT(ISNUMBER($H139)),"金额须为数字",IF(N($H139)&lt;=0,"金额须大于0","√"))))))))))</f>
        <v/>
      </c>
      <c r="M139" s="50" t="str">
        <f aca="false">IF($F139="","",IFERROR(INDEX(科目参数!$B$6:$B$125,MATCH($F139,科目参数!$A$6:$A$125,0)),"⚠科目不存在"))</f>
        <v/>
      </c>
      <c r="N139" s="50" t="str">
        <f aca="false">IF($G139="","",IFERROR(INDEX(科目参数!$B$6:$B$125,MATCH($G139,科目参数!$A$6:$A$125,0)),"⚠科目不存在"))</f>
        <v/>
      </c>
    </row>
    <row r="140" customFormat="false" ht="15.75" hidden="false" customHeight="true" outlineLevel="0" collapsed="false">
      <c r="A140" s="42" t="str">
        <f aca="false">IF($B140="","","QT"&amp;TEXT($B140,"yyyymm")&amp;"-"&amp;TEXT(ROW()-4,"000"))</f>
        <v/>
      </c>
      <c r="B140" s="41"/>
      <c r="C140" s="42" t="str">
        <f aca="false">IF($B140="","",TEXT($B140,"yyyy-mm"))</f>
        <v/>
      </c>
      <c r="D140" s="33"/>
      <c r="E140" s="36"/>
      <c r="F140" s="31"/>
      <c r="G140" s="31"/>
      <c r="H140" s="40"/>
      <c r="I140" s="33"/>
      <c r="J140" s="31"/>
      <c r="K140" s="36"/>
      <c r="L140" s="47" t="str">
        <f aca="false">IF($B140="","",IF(NOT(ISNUMBER($B140)),"日期不是日期格式",IF(YEAR($B140)&lt;&gt;首页!$B$3,"不在会计年度",IF($F140="","未填借方科目",IF($G140="","未填贷方科目",IF(LEFT($M140,1)="⚠","借方科目不存在",IF(LEFT($N140,1)="⚠","贷方科目不存在",IF($F140=$G140,"借贷科目不能相同",IF(NOT(ISNUMBER($H140)),"金额须为数字",IF(N($H140)&lt;=0,"金额须大于0","√"))))))))))</f>
        <v/>
      </c>
      <c r="M140" s="50" t="str">
        <f aca="false">IF($F140="","",IFERROR(INDEX(科目参数!$B$6:$B$125,MATCH($F140,科目参数!$A$6:$A$125,0)),"⚠科目不存在"))</f>
        <v/>
      </c>
      <c r="N140" s="50" t="str">
        <f aca="false">IF($G140="","",IFERROR(INDEX(科目参数!$B$6:$B$125,MATCH($G140,科目参数!$A$6:$A$125,0)),"⚠科目不存在"))</f>
        <v/>
      </c>
    </row>
    <row r="141" customFormat="false" ht="15.75" hidden="false" customHeight="true" outlineLevel="0" collapsed="false">
      <c r="A141" s="42" t="str">
        <f aca="false">IF($B141="","","QT"&amp;TEXT($B141,"yyyymm")&amp;"-"&amp;TEXT(ROW()-4,"000"))</f>
        <v/>
      </c>
      <c r="B141" s="41"/>
      <c r="C141" s="42" t="str">
        <f aca="false">IF($B141="","",TEXT($B141,"yyyy-mm"))</f>
        <v/>
      </c>
      <c r="D141" s="33"/>
      <c r="E141" s="36"/>
      <c r="F141" s="31"/>
      <c r="G141" s="31"/>
      <c r="H141" s="40"/>
      <c r="I141" s="33"/>
      <c r="J141" s="31"/>
      <c r="K141" s="36"/>
      <c r="L141" s="47" t="str">
        <f aca="false">IF($B141="","",IF(NOT(ISNUMBER($B141)),"日期不是日期格式",IF(YEAR($B141)&lt;&gt;首页!$B$3,"不在会计年度",IF($F141="","未填借方科目",IF($G141="","未填贷方科目",IF(LEFT($M141,1)="⚠","借方科目不存在",IF(LEFT($N141,1)="⚠","贷方科目不存在",IF($F141=$G141,"借贷科目不能相同",IF(NOT(ISNUMBER($H141)),"金额须为数字",IF(N($H141)&lt;=0,"金额须大于0","√"))))))))))</f>
        <v/>
      </c>
      <c r="M141" s="50" t="str">
        <f aca="false">IF($F141="","",IFERROR(INDEX(科目参数!$B$6:$B$125,MATCH($F141,科目参数!$A$6:$A$125,0)),"⚠科目不存在"))</f>
        <v/>
      </c>
      <c r="N141" s="50" t="str">
        <f aca="false">IF($G141="","",IFERROR(INDEX(科目参数!$B$6:$B$125,MATCH($G141,科目参数!$A$6:$A$125,0)),"⚠科目不存在"))</f>
        <v/>
      </c>
    </row>
    <row r="142" customFormat="false" ht="15.75" hidden="false" customHeight="true" outlineLevel="0" collapsed="false">
      <c r="A142" s="42" t="str">
        <f aca="false">IF($B142="","","QT"&amp;TEXT($B142,"yyyymm")&amp;"-"&amp;TEXT(ROW()-4,"000"))</f>
        <v/>
      </c>
      <c r="B142" s="41"/>
      <c r="C142" s="42" t="str">
        <f aca="false">IF($B142="","",TEXT($B142,"yyyy-mm"))</f>
        <v/>
      </c>
      <c r="D142" s="33"/>
      <c r="E142" s="36"/>
      <c r="F142" s="31"/>
      <c r="G142" s="31"/>
      <c r="H142" s="40"/>
      <c r="I142" s="33"/>
      <c r="J142" s="31"/>
      <c r="K142" s="36"/>
      <c r="L142" s="47" t="str">
        <f aca="false">IF($B142="","",IF(NOT(ISNUMBER($B142)),"日期不是日期格式",IF(YEAR($B142)&lt;&gt;首页!$B$3,"不在会计年度",IF($F142="","未填借方科目",IF($G142="","未填贷方科目",IF(LEFT($M142,1)="⚠","借方科目不存在",IF(LEFT($N142,1)="⚠","贷方科目不存在",IF($F142=$G142,"借贷科目不能相同",IF(NOT(ISNUMBER($H142)),"金额须为数字",IF(N($H142)&lt;=0,"金额须大于0","√"))))))))))</f>
        <v/>
      </c>
      <c r="M142" s="50" t="str">
        <f aca="false">IF($F142="","",IFERROR(INDEX(科目参数!$B$6:$B$125,MATCH($F142,科目参数!$A$6:$A$125,0)),"⚠科目不存在"))</f>
        <v/>
      </c>
      <c r="N142" s="50" t="str">
        <f aca="false">IF($G142="","",IFERROR(INDEX(科目参数!$B$6:$B$125,MATCH($G142,科目参数!$A$6:$A$125,0)),"⚠科目不存在"))</f>
        <v/>
      </c>
    </row>
    <row r="143" customFormat="false" ht="15.75" hidden="false" customHeight="true" outlineLevel="0" collapsed="false">
      <c r="A143" s="42" t="str">
        <f aca="false">IF($B143="","","QT"&amp;TEXT($B143,"yyyymm")&amp;"-"&amp;TEXT(ROW()-4,"000"))</f>
        <v/>
      </c>
      <c r="B143" s="41"/>
      <c r="C143" s="42" t="str">
        <f aca="false">IF($B143="","",TEXT($B143,"yyyy-mm"))</f>
        <v/>
      </c>
      <c r="D143" s="33"/>
      <c r="E143" s="36"/>
      <c r="F143" s="31"/>
      <c r="G143" s="31"/>
      <c r="H143" s="40"/>
      <c r="I143" s="33"/>
      <c r="J143" s="31"/>
      <c r="K143" s="36"/>
      <c r="L143" s="47" t="str">
        <f aca="false">IF($B143="","",IF(NOT(ISNUMBER($B143)),"日期不是日期格式",IF(YEAR($B143)&lt;&gt;首页!$B$3,"不在会计年度",IF($F143="","未填借方科目",IF($G143="","未填贷方科目",IF(LEFT($M143,1)="⚠","借方科目不存在",IF(LEFT($N143,1)="⚠","贷方科目不存在",IF($F143=$G143,"借贷科目不能相同",IF(NOT(ISNUMBER($H143)),"金额须为数字",IF(N($H143)&lt;=0,"金额须大于0","√"))))))))))</f>
        <v/>
      </c>
      <c r="M143" s="50" t="str">
        <f aca="false">IF($F143="","",IFERROR(INDEX(科目参数!$B$6:$B$125,MATCH($F143,科目参数!$A$6:$A$125,0)),"⚠科目不存在"))</f>
        <v/>
      </c>
      <c r="N143" s="50" t="str">
        <f aca="false">IF($G143="","",IFERROR(INDEX(科目参数!$B$6:$B$125,MATCH($G143,科目参数!$A$6:$A$125,0)),"⚠科目不存在"))</f>
        <v/>
      </c>
    </row>
    <row r="144" customFormat="false" ht="15.75" hidden="false" customHeight="true" outlineLevel="0" collapsed="false">
      <c r="A144" s="42" t="str">
        <f aca="false">IF($B144="","","QT"&amp;TEXT($B144,"yyyymm")&amp;"-"&amp;TEXT(ROW()-4,"000"))</f>
        <v/>
      </c>
      <c r="B144" s="41"/>
      <c r="C144" s="42" t="str">
        <f aca="false">IF($B144="","",TEXT($B144,"yyyy-mm"))</f>
        <v/>
      </c>
      <c r="D144" s="33"/>
      <c r="E144" s="36"/>
      <c r="F144" s="31"/>
      <c r="G144" s="31"/>
      <c r="H144" s="40"/>
      <c r="I144" s="33"/>
      <c r="J144" s="31"/>
      <c r="K144" s="36"/>
      <c r="L144" s="47" t="str">
        <f aca="false">IF($B144="","",IF(NOT(ISNUMBER($B144)),"日期不是日期格式",IF(YEAR($B144)&lt;&gt;首页!$B$3,"不在会计年度",IF($F144="","未填借方科目",IF($G144="","未填贷方科目",IF(LEFT($M144,1)="⚠","借方科目不存在",IF(LEFT($N144,1)="⚠","贷方科目不存在",IF($F144=$G144,"借贷科目不能相同",IF(NOT(ISNUMBER($H144)),"金额须为数字",IF(N($H144)&lt;=0,"金额须大于0","√"))))))))))</f>
        <v/>
      </c>
      <c r="M144" s="50" t="str">
        <f aca="false">IF($F144="","",IFERROR(INDEX(科目参数!$B$6:$B$125,MATCH($F144,科目参数!$A$6:$A$125,0)),"⚠科目不存在"))</f>
        <v/>
      </c>
      <c r="N144" s="50" t="str">
        <f aca="false">IF($G144="","",IFERROR(INDEX(科目参数!$B$6:$B$125,MATCH($G144,科目参数!$A$6:$A$125,0)),"⚠科目不存在"))</f>
        <v/>
      </c>
    </row>
    <row r="145" customFormat="false" ht="15.75" hidden="false" customHeight="true" outlineLevel="0" collapsed="false">
      <c r="A145" s="42" t="str">
        <f aca="false">IF($B145="","","QT"&amp;TEXT($B145,"yyyymm")&amp;"-"&amp;TEXT(ROW()-4,"000"))</f>
        <v/>
      </c>
      <c r="B145" s="41"/>
      <c r="C145" s="42" t="str">
        <f aca="false">IF($B145="","",TEXT($B145,"yyyy-mm"))</f>
        <v/>
      </c>
      <c r="D145" s="33"/>
      <c r="E145" s="36"/>
      <c r="F145" s="31"/>
      <c r="G145" s="31"/>
      <c r="H145" s="40"/>
      <c r="I145" s="33"/>
      <c r="J145" s="31"/>
      <c r="K145" s="36"/>
      <c r="L145" s="47" t="str">
        <f aca="false">IF($B145="","",IF(NOT(ISNUMBER($B145)),"日期不是日期格式",IF(YEAR($B145)&lt;&gt;首页!$B$3,"不在会计年度",IF($F145="","未填借方科目",IF($G145="","未填贷方科目",IF(LEFT($M145,1)="⚠","借方科目不存在",IF(LEFT($N145,1)="⚠","贷方科目不存在",IF($F145=$G145,"借贷科目不能相同",IF(NOT(ISNUMBER($H145)),"金额须为数字",IF(N($H145)&lt;=0,"金额须大于0","√"))))))))))</f>
        <v/>
      </c>
      <c r="M145" s="50" t="str">
        <f aca="false">IF($F145="","",IFERROR(INDEX(科目参数!$B$6:$B$125,MATCH($F145,科目参数!$A$6:$A$125,0)),"⚠科目不存在"))</f>
        <v/>
      </c>
      <c r="N145" s="50" t="str">
        <f aca="false">IF($G145="","",IFERROR(INDEX(科目参数!$B$6:$B$125,MATCH($G145,科目参数!$A$6:$A$125,0)),"⚠科目不存在"))</f>
        <v/>
      </c>
    </row>
    <row r="146" customFormat="false" ht="15.75" hidden="false" customHeight="true" outlineLevel="0" collapsed="false">
      <c r="A146" s="42" t="str">
        <f aca="false">IF($B146="","","QT"&amp;TEXT($B146,"yyyymm")&amp;"-"&amp;TEXT(ROW()-4,"000"))</f>
        <v/>
      </c>
      <c r="B146" s="41"/>
      <c r="C146" s="42" t="str">
        <f aca="false">IF($B146="","",TEXT($B146,"yyyy-mm"))</f>
        <v/>
      </c>
      <c r="D146" s="33"/>
      <c r="E146" s="36"/>
      <c r="F146" s="31"/>
      <c r="G146" s="31"/>
      <c r="H146" s="40"/>
      <c r="I146" s="33"/>
      <c r="J146" s="31"/>
      <c r="K146" s="36"/>
      <c r="L146" s="47" t="str">
        <f aca="false">IF($B146="","",IF(NOT(ISNUMBER($B146)),"日期不是日期格式",IF(YEAR($B146)&lt;&gt;首页!$B$3,"不在会计年度",IF($F146="","未填借方科目",IF($G146="","未填贷方科目",IF(LEFT($M146,1)="⚠","借方科目不存在",IF(LEFT($N146,1)="⚠","贷方科目不存在",IF($F146=$G146,"借贷科目不能相同",IF(NOT(ISNUMBER($H146)),"金额须为数字",IF(N($H146)&lt;=0,"金额须大于0","√"))))))))))</f>
        <v/>
      </c>
      <c r="M146" s="50" t="str">
        <f aca="false">IF($F146="","",IFERROR(INDEX(科目参数!$B$6:$B$125,MATCH($F146,科目参数!$A$6:$A$125,0)),"⚠科目不存在"))</f>
        <v/>
      </c>
      <c r="N146" s="50" t="str">
        <f aca="false">IF($G146="","",IFERROR(INDEX(科目参数!$B$6:$B$125,MATCH($G146,科目参数!$A$6:$A$125,0)),"⚠科目不存在"))</f>
        <v/>
      </c>
    </row>
    <row r="147" customFormat="false" ht="15.75" hidden="false" customHeight="true" outlineLevel="0" collapsed="false">
      <c r="A147" s="42" t="str">
        <f aca="false">IF($B147="","","QT"&amp;TEXT($B147,"yyyymm")&amp;"-"&amp;TEXT(ROW()-4,"000"))</f>
        <v/>
      </c>
      <c r="B147" s="41"/>
      <c r="C147" s="42" t="str">
        <f aca="false">IF($B147="","",TEXT($B147,"yyyy-mm"))</f>
        <v/>
      </c>
      <c r="D147" s="33"/>
      <c r="E147" s="36"/>
      <c r="F147" s="31"/>
      <c r="G147" s="31"/>
      <c r="H147" s="40"/>
      <c r="I147" s="33"/>
      <c r="J147" s="31"/>
      <c r="K147" s="36"/>
      <c r="L147" s="47" t="str">
        <f aca="false">IF($B147="","",IF(NOT(ISNUMBER($B147)),"日期不是日期格式",IF(YEAR($B147)&lt;&gt;首页!$B$3,"不在会计年度",IF($F147="","未填借方科目",IF($G147="","未填贷方科目",IF(LEFT($M147,1)="⚠","借方科目不存在",IF(LEFT($N147,1)="⚠","贷方科目不存在",IF($F147=$G147,"借贷科目不能相同",IF(NOT(ISNUMBER($H147)),"金额须为数字",IF(N($H147)&lt;=0,"金额须大于0","√"))))))))))</f>
        <v/>
      </c>
      <c r="M147" s="50" t="str">
        <f aca="false">IF($F147="","",IFERROR(INDEX(科目参数!$B$6:$B$125,MATCH($F147,科目参数!$A$6:$A$125,0)),"⚠科目不存在"))</f>
        <v/>
      </c>
      <c r="N147" s="50" t="str">
        <f aca="false">IF($G147="","",IFERROR(INDEX(科目参数!$B$6:$B$125,MATCH($G147,科目参数!$A$6:$A$125,0)),"⚠科目不存在"))</f>
        <v/>
      </c>
    </row>
    <row r="148" customFormat="false" ht="15.75" hidden="false" customHeight="true" outlineLevel="0" collapsed="false">
      <c r="A148" s="42" t="str">
        <f aca="false">IF($B148="","","QT"&amp;TEXT($B148,"yyyymm")&amp;"-"&amp;TEXT(ROW()-4,"000"))</f>
        <v/>
      </c>
      <c r="B148" s="41"/>
      <c r="C148" s="42" t="str">
        <f aca="false">IF($B148="","",TEXT($B148,"yyyy-mm"))</f>
        <v/>
      </c>
      <c r="D148" s="33"/>
      <c r="E148" s="36"/>
      <c r="F148" s="31"/>
      <c r="G148" s="31"/>
      <c r="H148" s="40"/>
      <c r="I148" s="33"/>
      <c r="J148" s="31"/>
      <c r="K148" s="36"/>
      <c r="L148" s="47" t="str">
        <f aca="false">IF($B148="","",IF(NOT(ISNUMBER($B148)),"日期不是日期格式",IF(YEAR($B148)&lt;&gt;首页!$B$3,"不在会计年度",IF($F148="","未填借方科目",IF($G148="","未填贷方科目",IF(LEFT($M148,1)="⚠","借方科目不存在",IF(LEFT($N148,1)="⚠","贷方科目不存在",IF($F148=$G148,"借贷科目不能相同",IF(NOT(ISNUMBER($H148)),"金额须为数字",IF(N($H148)&lt;=0,"金额须大于0","√"))))))))))</f>
        <v/>
      </c>
      <c r="M148" s="50" t="str">
        <f aca="false">IF($F148="","",IFERROR(INDEX(科目参数!$B$6:$B$125,MATCH($F148,科目参数!$A$6:$A$125,0)),"⚠科目不存在"))</f>
        <v/>
      </c>
      <c r="N148" s="50" t="str">
        <f aca="false">IF($G148="","",IFERROR(INDEX(科目参数!$B$6:$B$125,MATCH($G148,科目参数!$A$6:$A$125,0)),"⚠科目不存在"))</f>
        <v/>
      </c>
    </row>
    <row r="149" customFormat="false" ht="15.75" hidden="false" customHeight="true" outlineLevel="0" collapsed="false">
      <c r="A149" s="42" t="str">
        <f aca="false">IF($B149="","","QT"&amp;TEXT($B149,"yyyymm")&amp;"-"&amp;TEXT(ROW()-4,"000"))</f>
        <v/>
      </c>
      <c r="B149" s="41"/>
      <c r="C149" s="42" t="str">
        <f aca="false">IF($B149="","",TEXT($B149,"yyyy-mm"))</f>
        <v/>
      </c>
      <c r="D149" s="33"/>
      <c r="E149" s="36"/>
      <c r="F149" s="31"/>
      <c r="G149" s="31"/>
      <c r="H149" s="40"/>
      <c r="I149" s="33"/>
      <c r="J149" s="31"/>
      <c r="K149" s="36"/>
      <c r="L149" s="47" t="str">
        <f aca="false">IF($B149="","",IF(NOT(ISNUMBER($B149)),"日期不是日期格式",IF(YEAR($B149)&lt;&gt;首页!$B$3,"不在会计年度",IF($F149="","未填借方科目",IF($G149="","未填贷方科目",IF(LEFT($M149,1)="⚠","借方科目不存在",IF(LEFT($N149,1)="⚠","贷方科目不存在",IF($F149=$G149,"借贷科目不能相同",IF(NOT(ISNUMBER($H149)),"金额须为数字",IF(N($H149)&lt;=0,"金额须大于0","√"))))))))))</f>
        <v/>
      </c>
      <c r="M149" s="50" t="str">
        <f aca="false">IF($F149="","",IFERROR(INDEX(科目参数!$B$6:$B$125,MATCH($F149,科目参数!$A$6:$A$125,0)),"⚠科目不存在"))</f>
        <v/>
      </c>
      <c r="N149" s="50" t="str">
        <f aca="false">IF($G149="","",IFERROR(INDEX(科目参数!$B$6:$B$125,MATCH($G149,科目参数!$A$6:$A$125,0)),"⚠科目不存在"))</f>
        <v/>
      </c>
    </row>
    <row r="150" customFormat="false" ht="15.75" hidden="false" customHeight="true" outlineLevel="0" collapsed="false">
      <c r="A150" s="42" t="str">
        <f aca="false">IF($B150="","","QT"&amp;TEXT($B150,"yyyymm")&amp;"-"&amp;TEXT(ROW()-4,"000"))</f>
        <v/>
      </c>
      <c r="B150" s="41"/>
      <c r="C150" s="42" t="str">
        <f aca="false">IF($B150="","",TEXT($B150,"yyyy-mm"))</f>
        <v/>
      </c>
      <c r="D150" s="33"/>
      <c r="E150" s="36"/>
      <c r="F150" s="31"/>
      <c r="G150" s="31"/>
      <c r="H150" s="40"/>
      <c r="I150" s="33"/>
      <c r="J150" s="31"/>
      <c r="K150" s="36"/>
      <c r="L150" s="47" t="str">
        <f aca="false">IF($B150="","",IF(NOT(ISNUMBER($B150)),"日期不是日期格式",IF(YEAR($B150)&lt;&gt;首页!$B$3,"不在会计年度",IF($F150="","未填借方科目",IF($G150="","未填贷方科目",IF(LEFT($M150,1)="⚠","借方科目不存在",IF(LEFT($N150,1)="⚠","贷方科目不存在",IF($F150=$G150,"借贷科目不能相同",IF(NOT(ISNUMBER($H150)),"金额须为数字",IF(N($H150)&lt;=0,"金额须大于0","√"))))))))))</f>
        <v/>
      </c>
      <c r="M150" s="50" t="str">
        <f aca="false">IF($F150="","",IFERROR(INDEX(科目参数!$B$6:$B$125,MATCH($F150,科目参数!$A$6:$A$125,0)),"⚠科目不存在"))</f>
        <v/>
      </c>
      <c r="N150" s="50" t="str">
        <f aca="false">IF($G150="","",IFERROR(INDEX(科目参数!$B$6:$B$125,MATCH($G150,科目参数!$A$6:$A$125,0)),"⚠科目不存在"))</f>
        <v/>
      </c>
    </row>
    <row r="151" customFormat="false" ht="15.75" hidden="false" customHeight="true" outlineLevel="0" collapsed="false">
      <c r="A151" s="42" t="str">
        <f aca="false">IF($B151="","","QT"&amp;TEXT($B151,"yyyymm")&amp;"-"&amp;TEXT(ROW()-4,"000"))</f>
        <v/>
      </c>
      <c r="B151" s="41"/>
      <c r="C151" s="42" t="str">
        <f aca="false">IF($B151="","",TEXT($B151,"yyyy-mm"))</f>
        <v/>
      </c>
      <c r="D151" s="33"/>
      <c r="E151" s="36"/>
      <c r="F151" s="31"/>
      <c r="G151" s="31"/>
      <c r="H151" s="40"/>
      <c r="I151" s="33"/>
      <c r="J151" s="31"/>
      <c r="K151" s="36"/>
      <c r="L151" s="47" t="str">
        <f aca="false">IF($B151="","",IF(NOT(ISNUMBER($B151)),"日期不是日期格式",IF(YEAR($B151)&lt;&gt;首页!$B$3,"不在会计年度",IF($F151="","未填借方科目",IF($G151="","未填贷方科目",IF(LEFT($M151,1)="⚠","借方科目不存在",IF(LEFT($N151,1)="⚠","贷方科目不存在",IF($F151=$G151,"借贷科目不能相同",IF(NOT(ISNUMBER($H151)),"金额须为数字",IF(N($H151)&lt;=0,"金额须大于0","√"))))))))))</f>
        <v/>
      </c>
      <c r="M151" s="50" t="str">
        <f aca="false">IF($F151="","",IFERROR(INDEX(科目参数!$B$6:$B$125,MATCH($F151,科目参数!$A$6:$A$125,0)),"⚠科目不存在"))</f>
        <v/>
      </c>
      <c r="N151" s="50" t="str">
        <f aca="false">IF($G151="","",IFERROR(INDEX(科目参数!$B$6:$B$125,MATCH($G151,科目参数!$A$6:$A$125,0)),"⚠科目不存在"))</f>
        <v/>
      </c>
    </row>
    <row r="152" customFormat="false" ht="15.75" hidden="false" customHeight="true" outlineLevel="0" collapsed="false">
      <c r="A152" s="42" t="str">
        <f aca="false">IF($B152="","","QT"&amp;TEXT($B152,"yyyymm")&amp;"-"&amp;TEXT(ROW()-4,"000"))</f>
        <v/>
      </c>
      <c r="B152" s="41"/>
      <c r="C152" s="42" t="str">
        <f aca="false">IF($B152="","",TEXT($B152,"yyyy-mm"))</f>
        <v/>
      </c>
      <c r="D152" s="33"/>
      <c r="E152" s="36"/>
      <c r="F152" s="31"/>
      <c r="G152" s="31"/>
      <c r="H152" s="40"/>
      <c r="I152" s="33"/>
      <c r="J152" s="31"/>
      <c r="K152" s="36"/>
      <c r="L152" s="47" t="str">
        <f aca="false">IF($B152="","",IF(NOT(ISNUMBER($B152)),"日期不是日期格式",IF(YEAR($B152)&lt;&gt;首页!$B$3,"不在会计年度",IF($F152="","未填借方科目",IF($G152="","未填贷方科目",IF(LEFT($M152,1)="⚠","借方科目不存在",IF(LEFT($N152,1)="⚠","贷方科目不存在",IF($F152=$G152,"借贷科目不能相同",IF(NOT(ISNUMBER($H152)),"金额须为数字",IF(N($H152)&lt;=0,"金额须大于0","√"))))))))))</f>
        <v/>
      </c>
      <c r="M152" s="50" t="str">
        <f aca="false">IF($F152="","",IFERROR(INDEX(科目参数!$B$6:$B$125,MATCH($F152,科目参数!$A$6:$A$125,0)),"⚠科目不存在"))</f>
        <v/>
      </c>
      <c r="N152" s="50" t="str">
        <f aca="false">IF($G152="","",IFERROR(INDEX(科目参数!$B$6:$B$125,MATCH($G152,科目参数!$A$6:$A$125,0)),"⚠科目不存在"))</f>
        <v/>
      </c>
    </row>
    <row r="153" customFormat="false" ht="15.75" hidden="false" customHeight="true" outlineLevel="0" collapsed="false">
      <c r="A153" s="42" t="str">
        <f aca="false">IF($B153="","","QT"&amp;TEXT($B153,"yyyymm")&amp;"-"&amp;TEXT(ROW()-4,"000"))</f>
        <v/>
      </c>
      <c r="B153" s="41"/>
      <c r="C153" s="42" t="str">
        <f aca="false">IF($B153="","",TEXT($B153,"yyyy-mm"))</f>
        <v/>
      </c>
      <c r="D153" s="33"/>
      <c r="E153" s="36"/>
      <c r="F153" s="31"/>
      <c r="G153" s="31"/>
      <c r="H153" s="40"/>
      <c r="I153" s="33"/>
      <c r="J153" s="31"/>
      <c r="K153" s="36"/>
      <c r="L153" s="47" t="str">
        <f aca="false">IF($B153="","",IF(NOT(ISNUMBER($B153)),"日期不是日期格式",IF(YEAR($B153)&lt;&gt;首页!$B$3,"不在会计年度",IF($F153="","未填借方科目",IF($G153="","未填贷方科目",IF(LEFT($M153,1)="⚠","借方科目不存在",IF(LEFT($N153,1)="⚠","贷方科目不存在",IF($F153=$G153,"借贷科目不能相同",IF(NOT(ISNUMBER($H153)),"金额须为数字",IF(N($H153)&lt;=0,"金额须大于0","√"))))))))))</f>
        <v/>
      </c>
      <c r="M153" s="50" t="str">
        <f aca="false">IF($F153="","",IFERROR(INDEX(科目参数!$B$6:$B$125,MATCH($F153,科目参数!$A$6:$A$125,0)),"⚠科目不存在"))</f>
        <v/>
      </c>
      <c r="N153" s="50" t="str">
        <f aca="false">IF($G153="","",IFERROR(INDEX(科目参数!$B$6:$B$125,MATCH($G153,科目参数!$A$6:$A$125,0)),"⚠科目不存在"))</f>
        <v/>
      </c>
    </row>
    <row r="154" customFormat="false" ht="15.75" hidden="false" customHeight="true" outlineLevel="0" collapsed="false">
      <c r="A154" s="42" t="str">
        <f aca="false">IF($B154="","","QT"&amp;TEXT($B154,"yyyymm")&amp;"-"&amp;TEXT(ROW()-4,"000"))</f>
        <v/>
      </c>
      <c r="B154" s="41"/>
      <c r="C154" s="42" t="str">
        <f aca="false">IF($B154="","",TEXT($B154,"yyyy-mm"))</f>
        <v/>
      </c>
      <c r="D154" s="33"/>
      <c r="E154" s="36"/>
      <c r="F154" s="31"/>
      <c r="G154" s="31"/>
      <c r="H154" s="40"/>
      <c r="I154" s="33"/>
      <c r="J154" s="31"/>
      <c r="K154" s="36"/>
      <c r="L154" s="47" t="str">
        <f aca="false">IF($B154="","",IF(NOT(ISNUMBER($B154)),"日期不是日期格式",IF(YEAR($B154)&lt;&gt;首页!$B$3,"不在会计年度",IF($F154="","未填借方科目",IF($G154="","未填贷方科目",IF(LEFT($M154,1)="⚠","借方科目不存在",IF(LEFT($N154,1)="⚠","贷方科目不存在",IF($F154=$G154,"借贷科目不能相同",IF(NOT(ISNUMBER($H154)),"金额须为数字",IF(N($H154)&lt;=0,"金额须大于0","√"))))))))))</f>
        <v/>
      </c>
      <c r="M154" s="50" t="str">
        <f aca="false">IF($F154="","",IFERROR(INDEX(科目参数!$B$6:$B$125,MATCH($F154,科目参数!$A$6:$A$125,0)),"⚠科目不存在"))</f>
        <v/>
      </c>
      <c r="N154" s="50" t="str">
        <f aca="false">IF($G154="","",IFERROR(INDEX(科目参数!$B$6:$B$125,MATCH($G154,科目参数!$A$6:$A$125,0)),"⚠科目不存在"))</f>
        <v/>
      </c>
    </row>
    <row r="155" customFormat="false" ht="15.75" hidden="false" customHeight="true" outlineLevel="0" collapsed="false">
      <c r="A155" s="42" t="str">
        <f aca="false">IF($B155="","","QT"&amp;TEXT($B155,"yyyymm")&amp;"-"&amp;TEXT(ROW()-4,"000"))</f>
        <v/>
      </c>
      <c r="B155" s="41"/>
      <c r="C155" s="42" t="str">
        <f aca="false">IF($B155="","",TEXT($B155,"yyyy-mm"))</f>
        <v/>
      </c>
      <c r="D155" s="33"/>
      <c r="E155" s="36"/>
      <c r="F155" s="31"/>
      <c r="G155" s="31"/>
      <c r="H155" s="40"/>
      <c r="I155" s="33"/>
      <c r="J155" s="31"/>
      <c r="K155" s="36"/>
      <c r="L155" s="47" t="str">
        <f aca="false">IF($B155="","",IF(NOT(ISNUMBER($B155)),"日期不是日期格式",IF(YEAR($B155)&lt;&gt;首页!$B$3,"不在会计年度",IF($F155="","未填借方科目",IF($G155="","未填贷方科目",IF(LEFT($M155,1)="⚠","借方科目不存在",IF(LEFT($N155,1)="⚠","贷方科目不存在",IF($F155=$G155,"借贷科目不能相同",IF(NOT(ISNUMBER($H155)),"金额须为数字",IF(N($H155)&lt;=0,"金额须大于0","√"))))))))))</f>
        <v/>
      </c>
      <c r="M155" s="50" t="str">
        <f aca="false">IF($F155="","",IFERROR(INDEX(科目参数!$B$6:$B$125,MATCH($F155,科目参数!$A$6:$A$125,0)),"⚠科目不存在"))</f>
        <v/>
      </c>
      <c r="N155" s="50" t="str">
        <f aca="false">IF($G155="","",IFERROR(INDEX(科目参数!$B$6:$B$125,MATCH($G155,科目参数!$A$6:$A$125,0)),"⚠科目不存在"))</f>
        <v/>
      </c>
    </row>
    <row r="156" customFormat="false" ht="15.75" hidden="false" customHeight="true" outlineLevel="0" collapsed="false">
      <c r="A156" s="42" t="str">
        <f aca="false">IF($B156="","","QT"&amp;TEXT($B156,"yyyymm")&amp;"-"&amp;TEXT(ROW()-4,"000"))</f>
        <v/>
      </c>
      <c r="B156" s="41"/>
      <c r="C156" s="42" t="str">
        <f aca="false">IF($B156="","",TEXT($B156,"yyyy-mm"))</f>
        <v/>
      </c>
      <c r="D156" s="33"/>
      <c r="E156" s="36"/>
      <c r="F156" s="31"/>
      <c r="G156" s="31"/>
      <c r="H156" s="40"/>
      <c r="I156" s="33"/>
      <c r="J156" s="31"/>
      <c r="K156" s="36"/>
      <c r="L156" s="47" t="str">
        <f aca="false">IF($B156="","",IF(NOT(ISNUMBER($B156)),"日期不是日期格式",IF(YEAR($B156)&lt;&gt;首页!$B$3,"不在会计年度",IF($F156="","未填借方科目",IF($G156="","未填贷方科目",IF(LEFT($M156,1)="⚠","借方科目不存在",IF(LEFT($N156,1)="⚠","贷方科目不存在",IF($F156=$G156,"借贷科目不能相同",IF(NOT(ISNUMBER($H156)),"金额须为数字",IF(N($H156)&lt;=0,"金额须大于0","√"))))))))))</f>
        <v/>
      </c>
      <c r="M156" s="50" t="str">
        <f aca="false">IF($F156="","",IFERROR(INDEX(科目参数!$B$6:$B$125,MATCH($F156,科目参数!$A$6:$A$125,0)),"⚠科目不存在"))</f>
        <v/>
      </c>
      <c r="N156" s="50" t="str">
        <f aca="false">IF($G156="","",IFERROR(INDEX(科目参数!$B$6:$B$125,MATCH($G156,科目参数!$A$6:$A$125,0)),"⚠科目不存在"))</f>
        <v/>
      </c>
    </row>
    <row r="157" customFormat="false" ht="15.75" hidden="false" customHeight="true" outlineLevel="0" collapsed="false">
      <c r="A157" s="42" t="str">
        <f aca="false">IF($B157="","","QT"&amp;TEXT($B157,"yyyymm")&amp;"-"&amp;TEXT(ROW()-4,"000"))</f>
        <v/>
      </c>
      <c r="B157" s="41"/>
      <c r="C157" s="42" t="str">
        <f aca="false">IF($B157="","",TEXT($B157,"yyyy-mm"))</f>
        <v/>
      </c>
      <c r="D157" s="33"/>
      <c r="E157" s="36"/>
      <c r="F157" s="31"/>
      <c r="G157" s="31"/>
      <c r="H157" s="40"/>
      <c r="I157" s="33"/>
      <c r="J157" s="31"/>
      <c r="K157" s="36"/>
      <c r="L157" s="47" t="str">
        <f aca="false">IF($B157="","",IF(NOT(ISNUMBER($B157)),"日期不是日期格式",IF(YEAR($B157)&lt;&gt;首页!$B$3,"不在会计年度",IF($F157="","未填借方科目",IF($G157="","未填贷方科目",IF(LEFT($M157,1)="⚠","借方科目不存在",IF(LEFT($N157,1)="⚠","贷方科目不存在",IF($F157=$G157,"借贷科目不能相同",IF(NOT(ISNUMBER($H157)),"金额须为数字",IF(N($H157)&lt;=0,"金额须大于0","√"))))))))))</f>
        <v/>
      </c>
      <c r="M157" s="50" t="str">
        <f aca="false">IF($F157="","",IFERROR(INDEX(科目参数!$B$6:$B$125,MATCH($F157,科目参数!$A$6:$A$125,0)),"⚠科目不存在"))</f>
        <v/>
      </c>
      <c r="N157" s="50" t="str">
        <f aca="false">IF($G157="","",IFERROR(INDEX(科目参数!$B$6:$B$125,MATCH($G157,科目参数!$A$6:$A$125,0)),"⚠科目不存在"))</f>
        <v/>
      </c>
    </row>
    <row r="158" customFormat="false" ht="15.75" hidden="false" customHeight="true" outlineLevel="0" collapsed="false">
      <c r="A158" s="42" t="str">
        <f aca="false">IF($B158="","","QT"&amp;TEXT($B158,"yyyymm")&amp;"-"&amp;TEXT(ROW()-4,"000"))</f>
        <v/>
      </c>
      <c r="B158" s="41"/>
      <c r="C158" s="42" t="str">
        <f aca="false">IF($B158="","",TEXT($B158,"yyyy-mm"))</f>
        <v/>
      </c>
      <c r="D158" s="33"/>
      <c r="E158" s="36"/>
      <c r="F158" s="31"/>
      <c r="G158" s="31"/>
      <c r="H158" s="40"/>
      <c r="I158" s="33"/>
      <c r="J158" s="31"/>
      <c r="K158" s="36"/>
      <c r="L158" s="47" t="str">
        <f aca="false">IF($B158="","",IF(NOT(ISNUMBER($B158)),"日期不是日期格式",IF(YEAR($B158)&lt;&gt;首页!$B$3,"不在会计年度",IF($F158="","未填借方科目",IF($G158="","未填贷方科目",IF(LEFT($M158,1)="⚠","借方科目不存在",IF(LEFT($N158,1)="⚠","贷方科目不存在",IF($F158=$G158,"借贷科目不能相同",IF(NOT(ISNUMBER($H158)),"金额须为数字",IF(N($H158)&lt;=0,"金额须大于0","√"))))))))))</f>
        <v/>
      </c>
      <c r="M158" s="50" t="str">
        <f aca="false">IF($F158="","",IFERROR(INDEX(科目参数!$B$6:$B$125,MATCH($F158,科目参数!$A$6:$A$125,0)),"⚠科目不存在"))</f>
        <v/>
      </c>
      <c r="N158" s="50" t="str">
        <f aca="false">IF($G158="","",IFERROR(INDEX(科目参数!$B$6:$B$125,MATCH($G158,科目参数!$A$6:$A$125,0)),"⚠科目不存在"))</f>
        <v/>
      </c>
    </row>
    <row r="159" customFormat="false" ht="15.75" hidden="false" customHeight="true" outlineLevel="0" collapsed="false">
      <c r="A159" s="42" t="str">
        <f aca="false">IF($B159="","","QT"&amp;TEXT($B159,"yyyymm")&amp;"-"&amp;TEXT(ROW()-4,"000"))</f>
        <v/>
      </c>
      <c r="B159" s="41"/>
      <c r="C159" s="42" t="str">
        <f aca="false">IF($B159="","",TEXT($B159,"yyyy-mm"))</f>
        <v/>
      </c>
      <c r="D159" s="33"/>
      <c r="E159" s="36"/>
      <c r="F159" s="31"/>
      <c r="G159" s="31"/>
      <c r="H159" s="40"/>
      <c r="I159" s="33"/>
      <c r="J159" s="31"/>
      <c r="K159" s="36"/>
      <c r="L159" s="47" t="str">
        <f aca="false">IF($B159="","",IF(NOT(ISNUMBER($B159)),"日期不是日期格式",IF(YEAR($B159)&lt;&gt;首页!$B$3,"不在会计年度",IF($F159="","未填借方科目",IF($G159="","未填贷方科目",IF(LEFT($M159,1)="⚠","借方科目不存在",IF(LEFT($N159,1)="⚠","贷方科目不存在",IF($F159=$G159,"借贷科目不能相同",IF(NOT(ISNUMBER($H159)),"金额须为数字",IF(N($H159)&lt;=0,"金额须大于0","√"))))))))))</f>
        <v/>
      </c>
      <c r="M159" s="50" t="str">
        <f aca="false">IF($F159="","",IFERROR(INDEX(科目参数!$B$6:$B$125,MATCH($F159,科目参数!$A$6:$A$125,0)),"⚠科目不存在"))</f>
        <v/>
      </c>
      <c r="N159" s="50" t="str">
        <f aca="false">IF($G159="","",IFERROR(INDEX(科目参数!$B$6:$B$125,MATCH($G159,科目参数!$A$6:$A$125,0)),"⚠科目不存在"))</f>
        <v/>
      </c>
    </row>
    <row r="160" customFormat="false" ht="15.75" hidden="false" customHeight="true" outlineLevel="0" collapsed="false">
      <c r="A160" s="42" t="str">
        <f aca="false">IF($B160="","","QT"&amp;TEXT($B160,"yyyymm")&amp;"-"&amp;TEXT(ROW()-4,"000"))</f>
        <v/>
      </c>
      <c r="B160" s="41"/>
      <c r="C160" s="42" t="str">
        <f aca="false">IF($B160="","",TEXT($B160,"yyyy-mm"))</f>
        <v/>
      </c>
      <c r="D160" s="33"/>
      <c r="E160" s="36"/>
      <c r="F160" s="31"/>
      <c r="G160" s="31"/>
      <c r="H160" s="40"/>
      <c r="I160" s="33"/>
      <c r="J160" s="31"/>
      <c r="K160" s="36"/>
      <c r="L160" s="47" t="str">
        <f aca="false">IF($B160="","",IF(NOT(ISNUMBER($B160)),"日期不是日期格式",IF(YEAR($B160)&lt;&gt;首页!$B$3,"不在会计年度",IF($F160="","未填借方科目",IF($G160="","未填贷方科目",IF(LEFT($M160,1)="⚠","借方科目不存在",IF(LEFT($N160,1)="⚠","贷方科目不存在",IF($F160=$G160,"借贷科目不能相同",IF(NOT(ISNUMBER($H160)),"金额须为数字",IF(N($H160)&lt;=0,"金额须大于0","√"))))))))))</f>
        <v/>
      </c>
      <c r="M160" s="50" t="str">
        <f aca="false">IF($F160="","",IFERROR(INDEX(科目参数!$B$6:$B$125,MATCH($F160,科目参数!$A$6:$A$125,0)),"⚠科目不存在"))</f>
        <v/>
      </c>
      <c r="N160" s="50" t="str">
        <f aca="false">IF($G160="","",IFERROR(INDEX(科目参数!$B$6:$B$125,MATCH($G160,科目参数!$A$6:$A$125,0)),"⚠科目不存在"))</f>
        <v/>
      </c>
    </row>
    <row r="161" customFormat="false" ht="15.75" hidden="false" customHeight="true" outlineLevel="0" collapsed="false">
      <c r="A161" s="42" t="str">
        <f aca="false">IF($B161="","","QT"&amp;TEXT($B161,"yyyymm")&amp;"-"&amp;TEXT(ROW()-4,"000"))</f>
        <v/>
      </c>
      <c r="B161" s="41"/>
      <c r="C161" s="42" t="str">
        <f aca="false">IF($B161="","",TEXT($B161,"yyyy-mm"))</f>
        <v/>
      </c>
      <c r="D161" s="33"/>
      <c r="E161" s="36"/>
      <c r="F161" s="31"/>
      <c r="G161" s="31"/>
      <c r="H161" s="40"/>
      <c r="I161" s="33"/>
      <c r="J161" s="31"/>
      <c r="K161" s="36"/>
      <c r="L161" s="47" t="str">
        <f aca="false">IF($B161="","",IF(NOT(ISNUMBER($B161)),"日期不是日期格式",IF(YEAR($B161)&lt;&gt;首页!$B$3,"不在会计年度",IF($F161="","未填借方科目",IF($G161="","未填贷方科目",IF(LEFT($M161,1)="⚠","借方科目不存在",IF(LEFT($N161,1)="⚠","贷方科目不存在",IF($F161=$G161,"借贷科目不能相同",IF(NOT(ISNUMBER($H161)),"金额须为数字",IF(N($H161)&lt;=0,"金额须大于0","√"))))))))))</f>
        <v/>
      </c>
      <c r="M161" s="50" t="str">
        <f aca="false">IF($F161="","",IFERROR(INDEX(科目参数!$B$6:$B$125,MATCH($F161,科目参数!$A$6:$A$125,0)),"⚠科目不存在"))</f>
        <v/>
      </c>
      <c r="N161" s="50" t="str">
        <f aca="false">IF($G161="","",IFERROR(INDEX(科目参数!$B$6:$B$125,MATCH($G161,科目参数!$A$6:$A$125,0)),"⚠科目不存在"))</f>
        <v/>
      </c>
    </row>
    <row r="162" customFormat="false" ht="15.75" hidden="false" customHeight="true" outlineLevel="0" collapsed="false">
      <c r="A162" s="42" t="str">
        <f aca="false">IF($B162="","","QT"&amp;TEXT($B162,"yyyymm")&amp;"-"&amp;TEXT(ROW()-4,"000"))</f>
        <v/>
      </c>
      <c r="B162" s="41"/>
      <c r="C162" s="42" t="str">
        <f aca="false">IF($B162="","",TEXT($B162,"yyyy-mm"))</f>
        <v/>
      </c>
      <c r="D162" s="33"/>
      <c r="E162" s="36"/>
      <c r="F162" s="31"/>
      <c r="G162" s="31"/>
      <c r="H162" s="40"/>
      <c r="I162" s="33"/>
      <c r="J162" s="31"/>
      <c r="K162" s="36"/>
      <c r="L162" s="47" t="str">
        <f aca="false">IF($B162="","",IF(NOT(ISNUMBER($B162)),"日期不是日期格式",IF(YEAR($B162)&lt;&gt;首页!$B$3,"不在会计年度",IF($F162="","未填借方科目",IF($G162="","未填贷方科目",IF(LEFT($M162,1)="⚠","借方科目不存在",IF(LEFT($N162,1)="⚠","贷方科目不存在",IF($F162=$G162,"借贷科目不能相同",IF(NOT(ISNUMBER($H162)),"金额须为数字",IF(N($H162)&lt;=0,"金额须大于0","√"))))))))))</f>
        <v/>
      </c>
      <c r="M162" s="50" t="str">
        <f aca="false">IF($F162="","",IFERROR(INDEX(科目参数!$B$6:$B$125,MATCH($F162,科目参数!$A$6:$A$125,0)),"⚠科目不存在"))</f>
        <v/>
      </c>
      <c r="N162" s="50" t="str">
        <f aca="false">IF($G162="","",IFERROR(INDEX(科目参数!$B$6:$B$125,MATCH($G162,科目参数!$A$6:$A$125,0)),"⚠科目不存在"))</f>
        <v/>
      </c>
    </row>
    <row r="163" customFormat="false" ht="15.75" hidden="false" customHeight="true" outlineLevel="0" collapsed="false">
      <c r="A163" s="42" t="str">
        <f aca="false">IF($B163="","","QT"&amp;TEXT($B163,"yyyymm")&amp;"-"&amp;TEXT(ROW()-4,"000"))</f>
        <v/>
      </c>
      <c r="B163" s="41"/>
      <c r="C163" s="42" t="str">
        <f aca="false">IF($B163="","",TEXT($B163,"yyyy-mm"))</f>
        <v/>
      </c>
      <c r="D163" s="33"/>
      <c r="E163" s="36"/>
      <c r="F163" s="31"/>
      <c r="G163" s="31"/>
      <c r="H163" s="40"/>
      <c r="I163" s="33"/>
      <c r="J163" s="31"/>
      <c r="K163" s="36"/>
      <c r="L163" s="47" t="str">
        <f aca="false">IF($B163="","",IF(NOT(ISNUMBER($B163)),"日期不是日期格式",IF(YEAR($B163)&lt;&gt;首页!$B$3,"不在会计年度",IF($F163="","未填借方科目",IF($G163="","未填贷方科目",IF(LEFT($M163,1)="⚠","借方科目不存在",IF(LEFT($N163,1)="⚠","贷方科目不存在",IF($F163=$G163,"借贷科目不能相同",IF(NOT(ISNUMBER($H163)),"金额须为数字",IF(N($H163)&lt;=0,"金额须大于0","√"))))))))))</f>
        <v/>
      </c>
      <c r="M163" s="50" t="str">
        <f aca="false">IF($F163="","",IFERROR(INDEX(科目参数!$B$6:$B$125,MATCH($F163,科目参数!$A$6:$A$125,0)),"⚠科目不存在"))</f>
        <v/>
      </c>
      <c r="N163" s="50" t="str">
        <f aca="false">IF($G163="","",IFERROR(INDEX(科目参数!$B$6:$B$125,MATCH($G163,科目参数!$A$6:$A$125,0)),"⚠科目不存在"))</f>
        <v/>
      </c>
    </row>
    <row r="164" customFormat="false" ht="15.75" hidden="false" customHeight="true" outlineLevel="0" collapsed="false">
      <c r="A164" s="42" t="str">
        <f aca="false">IF($B164="","","QT"&amp;TEXT($B164,"yyyymm")&amp;"-"&amp;TEXT(ROW()-4,"000"))</f>
        <v/>
      </c>
      <c r="B164" s="41"/>
      <c r="C164" s="42" t="str">
        <f aca="false">IF($B164="","",TEXT($B164,"yyyy-mm"))</f>
        <v/>
      </c>
      <c r="D164" s="33"/>
      <c r="E164" s="36"/>
      <c r="F164" s="31"/>
      <c r="G164" s="31"/>
      <c r="H164" s="40"/>
      <c r="I164" s="33"/>
      <c r="J164" s="31"/>
      <c r="K164" s="36"/>
      <c r="L164" s="47" t="str">
        <f aca="false">IF($B164="","",IF(NOT(ISNUMBER($B164)),"日期不是日期格式",IF(YEAR($B164)&lt;&gt;首页!$B$3,"不在会计年度",IF($F164="","未填借方科目",IF($G164="","未填贷方科目",IF(LEFT($M164,1)="⚠","借方科目不存在",IF(LEFT($N164,1)="⚠","贷方科目不存在",IF($F164=$G164,"借贷科目不能相同",IF(NOT(ISNUMBER($H164)),"金额须为数字",IF(N($H164)&lt;=0,"金额须大于0","√"))))))))))</f>
        <v/>
      </c>
      <c r="M164" s="50" t="str">
        <f aca="false">IF($F164="","",IFERROR(INDEX(科目参数!$B$6:$B$125,MATCH($F164,科目参数!$A$6:$A$125,0)),"⚠科目不存在"))</f>
        <v/>
      </c>
      <c r="N164" s="50" t="str">
        <f aca="false">IF($G164="","",IFERROR(INDEX(科目参数!$B$6:$B$125,MATCH($G164,科目参数!$A$6:$A$125,0)),"⚠科目不存在"))</f>
        <v/>
      </c>
    </row>
    <row r="165" customFormat="false" ht="15.75" hidden="false" customHeight="true" outlineLevel="0" collapsed="false">
      <c r="A165" s="42" t="str">
        <f aca="false">IF($B165="","","QT"&amp;TEXT($B165,"yyyymm")&amp;"-"&amp;TEXT(ROW()-4,"000"))</f>
        <v/>
      </c>
      <c r="B165" s="41"/>
      <c r="C165" s="42" t="str">
        <f aca="false">IF($B165="","",TEXT($B165,"yyyy-mm"))</f>
        <v/>
      </c>
      <c r="D165" s="33"/>
      <c r="E165" s="36"/>
      <c r="F165" s="31"/>
      <c r="G165" s="31"/>
      <c r="H165" s="40"/>
      <c r="I165" s="33"/>
      <c r="J165" s="31"/>
      <c r="K165" s="36"/>
      <c r="L165" s="47" t="str">
        <f aca="false">IF($B165="","",IF(NOT(ISNUMBER($B165)),"日期不是日期格式",IF(YEAR($B165)&lt;&gt;首页!$B$3,"不在会计年度",IF($F165="","未填借方科目",IF($G165="","未填贷方科目",IF(LEFT($M165,1)="⚠","借方科目不存在",IF(LEFT($N165,1)="⚠","贷方科目不存在",IF($F165=$G165,"借贷科目不能相同",IF(NOT(ISNUMBER($H165)),"金额须为数字",IF(N($H165)&lt;=0,"金额须大于0","√"))))))))))</f>
        <v/>
      </c>
      <c r="M165" s="50" t="str">
        <f aca="false">IF($F165="","",IFERROR(INDEX(科目参数!$B$6:$B$125,MATCH($F165,科目参数!$A$6:$A$125,0)),"⚠科目不存在"))</f>
        <v/>
      </c>
      <c r="N165" s="50" t="str">
        <f aca="false">IF($G165="","",IFERROR(INDEX(科目参数!$B$6:$B$125,MATCH($G165,科目参数!$A$6:$A$125,0)),"⚠科目不存在"))</f>
        <v/>
      </c>
    </row>
    <row r="166" customFormat="false" ht="15.75" hidden="false" customHeight="true" outlineLevel="0" collapsed="false">
      <c r="A166" s="42" t="str">
        <f aca="false">IF($B166="","","QT"&amp;TEXT($B166,"yyyymm")&amp;"-"&amp;TEXT(ROW()-4,"000"))</f>
        <v/>
      </c>
      <c r="B166" s="41"/>
      <c r="C166" s="42" t="str">
        <f aca="false">IF($B166="","",TEXT($B166,"yyyy-mm"))</f>
        <v/>
      </c>
      <c r="D166" s="33"/>
      <c r="E166" s="36"/>
      <c r="F166" s="31"/>
      <c r="G166" s="31"/>
      <c r="H166" s="40"/>
      <c r="I166" s="33"/>
      <c r="J166" s="31"/>
      <c r="K166" s="36"/>
      <c r="L166" s="47" t="str">
        <f aca="false">IF($B166="","",IF(NOT(ISNUMBER($B166)),"日期不是日期格式",IF(YEAR($B166)&lt;&gt;首页!$B$3,"不在会计年度",IF($F166="","未填借方科目",IF($G166="","未填贷方科目",IF(LEFT($M166,1)="⚠","借方科目不存在",IF(LEFT($N166,1)="⚠","贷方科目不存在",IF($F166=$G166,"借贷科目不能相同",IF(NOT(ISNUMBER($H166)),"金额须为数字",IF(N($H166)&lt;=0,"金额须大于0","√"))))))))))</f>
        <v/>
      </c>
      <c r="M166" s="50" t="str">
        <f aca="false">IF($F166="","",IFERROR(INDEX(科目参数!$B$6:$B$125,MATCH($F166,科目参数!$A$6:$A$125,0)),"⚠科目不存在"))</f>
        <v/>
      </c>
      <c r="N166" s="50" t="str">
        <f aca="false">IF($G166="","",IFERROR(INDEX(科目参数!$B$6:$B$125,MATCH($G166,科目参数!$A$6:$A$125,0)),"⚠科目不存在"))</f>
        <v/>
      </c>
    </row>
    <row r="167" customFormat="false" ht="15.75" hidden="false" customHeight="true" outlineLevel="0" collapsed="false">
      <c r="A167" s="42" t="str">
        <f aca="false">IF($B167="","","QT"&amp;TEXT($B167,"yyyymm")&amp;"-"&amp;TEXT(ROW()-4,"000"))</f>
        <v/>
      </c>
      <c r="B167" s="41"/>
      <c r="C167" s="42" t="str">
        <f aca="false">IF($B167="","",TEXT($B167,"yyyy-mm"))</f>
        <v/>
      </c>
      <c r="D167" s="33"/>
      <c r="E167" s="36"/>
      <c r="F167" s="31"/>
      <c r="G167" s="31"/>
      <c r="H167" s="40"/>
      <c r="I167" s="33"/>
      <c r="J167" s="31"/>
      <c r="K167" s="36"/>
      <c r="L167" s="47" t="str">
        <f aca="false">IF($B167="","",IF(NOT(ISNUMBER($B167)),"日期不是日期格式",IF(YEAR($B167)&lt;&gt;首页!$B$3,"不在会计年度",IF($F167="","未填借方科目",IF($G167="","未填贷方科目",IF(LEFT($M167,1)="⚠","借方科目不存在",IF(LEFT($N167,1)="⚠","贷方科目不存在",IF($F167=$G167,"借贷科目不能相同",IF(NOT(ISNUMBER($H167)),"金额须为数字",IF(N($H167)&lt;=0,"金额须大于0","√"))))))))))</f>
        <v/>
      </c>
      <c r="M167" s="50" t="str">
        <f aca="false">IF($F167="","",IFERROR(INDEX(科目参数!$B$6:$B$125,MATCH($F167,科目参数!$A$6:$A$125,0)),"⚠科目不存在"))</f>
        <v/>
      </c>
      <c r="N167" s="50" t="str">
        <f aca="false">IF($G167="","",IFERROR(INDEX(科目参数!$B$6:$B$125,MATCH($G167,科目参数!$A$6:$A$125,0)),"⚠科目不存在"))</f>
        <v/>
      </c>
    </row>
    <row r="168" customFormat="false" ht="15.75" hidden="false" customHeight="true" outlineLevel="0" collapsed="false">
      <c r="A168" s="42" t="str">
        <f aca="false">IF($B168="","","QT"&amp;TEXT($B168,"yyyymm")&amp;"-"&amp;TEXT(ROW()-4,"000"))</f>
        <v/>
      </c>
      <c r="B168" s="41"/>
      <c r="C168" s="42" t="str">
        <f aca="false">IF($B168="","",TEXT($B168,"yyyy-mm"))</f>
        <v/>
      </c>
      <c r="D168" s="33"/>
      <c r="E168" s="36"/>
      <c r="F168" s="31"/>
      <c r="G168" s="31"/>
      <c r="H168" s="40"/>
      <c r="I168" s="33"/>
      <c r="J168" s="31"/>
      <c r="K168" s="36"/>
      <c r="L168" s="47" t="str">
        <f aca="false">IF($B168="","",IF(NOT(ISNUMBER($B168)),"日期不是日期格式",IF(YEAR($B168)&lt;&gt;首页!$B$3,"不在会计年度",IF($F168="","未填借方科目",IF($G168="","未填贷方科目",IF(LEFT($M168,1)="⚠","借方科目不存在",IF(LEFT($N168,1)="⚠","贷方科目不存在",IF($F168=$G168,"借贷科目不能相同",IF(NOT(ISNUMBER($H168)),"金额须为数字",IF(N($H168)&lt;=0,"金额须大于0","√"))))))))))</f>
        <v/>
      </c>
      <c r="M168" s="50" t="str">
        <f aca="false">IF($F168="","",IFERROR(INDEX(科目参数!$B$6:$B$125,MATCH($F168,科目参数!$A$6:$A$125,0)),"⚠科目不存在"))</f>
        <v/>
      </c>
      <c r="N168" s="50" t="str">
        <f aca="false">IF($G168="","",IFERROR(INDEX(科目参数!$B$6:$B$125,MATCH($G168,科目参数!$A$6:$A$125,0)),"⚠科目不存在"))</f>
        <v/>
      </c>
    </row>
    <row r="169" customFormat="false" ht="15.75" hidden="false" customHeight="true" outlineLevel="0" collapsed="false">
      <c r="A169" s="42" t="str">
        <f aca="false">IF($B169="","","QT"&amp;TEXT($B169,"yyyymm")&amp;"-"&amp;TEXT(ROW()-4,"000"))</f>
        <v/>
      </c>
      <c r="B169" s="41"/>
      <c r="C169" s="42" t="str">
        <f aca="false">IF($B169="","",TEXT($B169,"yyyy-mm"))</f>
        <v/>
      </c>
      <c r="D169" s="33"/>
      <c r="E169" s="36"/>
      <c r="F169" s="31"/>
      <c r="G169" s="31"/>
      <c r="H169" s="40"/>
      <c r="I169" s="33"/>
      <c r="J169" s="31"/>
      <c r="K169" s="36"/>
      <c r="L169" s="47" t="str">
        <f aca="false">IF($B169="","",IF(NOT(ISNUMBER($B169)),"日期不是日期格式",IF(YEAR($B169)&lt;&gt;首页!$B$3,"不在会计年度",IF($F169="","未填借方科目",IF($G169="","未填贷方科目",IF(LEFT($M169,1)="⚠","借方科目不存在",IF(LEFT($N169,1)="⚠","贷方科目不存在",IF($F169=$G169,"借贷科目不能相同",IF(NOT(ISNUMBER($H169)),"金额须为数字",IF(N($H169)&lt;=0,"金额须大于0","√"))))))))))</f>
        <v/>
      </c>
      <c r="M169" s="50" t="str">
        <f aca="false">IF($F169="","",IFERROR(INDEX(科目参数!$B$6:$B$125,MATCH($F169,科目参数!$A$6:$A$125,0)),"⚠科目不存在"))</f>
        <v/>
      </c>
      <c r="N169" s="50" t="str">
        <f aca="false">IF($G169="","",IFERROR(INDEX(科目参数!$B$6:$B$125,MATCH($G169,科目参数!$A$6:$A$125,0)),"⚠科目不存在"))</f>
        <v/>
      </c>
    </row>
    <row r="170" customFormat="false" ht="15.75" hidden="false" customHeight="true" outlineLevel="0" collapsed="false">
      <c r="A170" s="42" t="str">
        <f aca="false">IF($B170="","","QT"&amp;TEXT($B170,"yyyymm")&amp;"-"&amp;TEXT(ROW()-4,"000"))</f>
        <v/>
      </c>
      <c r="B170" s="41"/>
      <c r="C170" s="42" t="str">
        <f aca="false">IF($B170="","",TEXT($B170,"yyyy-mm"))</f>
        <v/>
      </c>
      <c r="D170" s="33"/>
      <c r="E170" s="36"/>
      <c r="F170" s="31"/>
      <c r="G170" s="31"/>
      <c r="H170" s="40"/>
      <c r="I170" s="33"/>
      <c r="J170" s="31"/>
      <c r="K170" s="36"/>
      <c r="L170" s="47" t="str">
        <f aca="false">IF($B170="","",IF(NOT(ISNUMBER($B170)),"日期不是日期格式",IF(YEAR($B170)&lt;&gt;首页!$B$3,"不在会计年度",IF($F170="","未填借方科目",IF($G170="","未填贷方科目",IF(LEFT($M170,1)="⚠","借方科目不存在",IF(LEFT($N170,1)="⚠","贷方科目不存在",IF($F170=$G170,"借贷科目不能相同",IF(NOT(ISNUMBER($H170)),"金额须为数字",IF(N($H170)&lt;=0,"金额须大于0","√"))))))))))</f>
        <v/>
      </c>
      <c r="M170" s="50" t="str">
        <f aca="false">IF($F170="","",IFERROR(INDEX(科目参数!$B$6:$B$125,MATCH($F170,科目参数!$A$6:$A$125,0)),"⚠科目不存在"))</f>
        <v/>
      </c>
      <c r="N170" s="50" t="str">
        <f aca="false">IF($G170="","",IFERROR(INDEX(科目参数!$B$6:$B$125,MATCH($G170,科目参数!$A$6:$A$125,0)),"⚠科目不存在"))</f>
        <v/>
      </c>
    </row>
    <row r="171" customFormat="false" ht="15.75" hidden="false" customHeight="true" outlineLevel="0" collapsed="false">
      <c r="A171" s="42" t="str">
        <f aca="false">IF($B171="","","QT"&amp;TEXT($B171,"yyyymm")&amp;"-"&amp;TEXT(ROW()-4,"000"))</f>
        <v/>
      </c>
      <c r="B171" s="41"/>
      <c r="C171" s="42" t="str">
        <f aca="false">IF($B171="","",TEXT($B171,"yyyy-mm"))</f>
        <v/>
      </c>
      <c r="D171" s="33"/>
      <c r="E171" s="36"/>
      <c r="F171" s="31"/>
      <c r="G171" s="31"/>
      <c r="H171" s="40"/>
      <c r="I171" s="33"/>
      <c r="J171" s="31"/>
      <c r="K171" s="36"/>
      <c r="L171" s="47" t="str">
        <f aca="false">IF($B171="","",IF(NOT(ISNUMBER($B171)),"日期不是日期格式",IF(YEAR($B171)&lt;&gt;首页!$B$3,"不在会计年度",IF($F171="","未填借方科目",IF($G171="","未填贷方科目",IF(LEFT($M171,1)="⚠","借方科目不存在",IF(LEFT($N171,1)="⚠","贷方科目不存在",IF($F171=$G171,"借贷科目不能相同",IF(NOT(ISNUMBER($H171)),"金额须为数字",IF(N($H171)&lt;=0,"金额须大于0","√"))))))))))</f>
        <v/>
      </c>
      <c r="M171" s="50" t="str">
        <f aca="false">IF($F171="","",IFERROR(INDEX(科目参数!$B$6:$B$125,MATCH($F171,科目参数!$A$6:$A$125,0)),"⚠科目不存在"))</f>
        <v/>
      </c>
      <c r="N171" s="50" t="str">
        <f aca="false">IF($G171="","",IFERROR(INDEX(科目参数!$B$6:$B$125,MATCH($G171,科目参数!$A$6:$A$125,0)),"⚠科目不存在"))</f>
        <v/>
      </c>
    </row>
    <row r="172" customFormat="false" ht="15.75" hidden="false" customHeight="true" outlineLevel="0" collapsed="false">
      <c r="A172" s="42" t="str">
        <f aca="false">IF($B172="","","QT"&amp;TEXT($B172,"yyyymm")&amp;"-"&amp;TEXT(ROW()-4,"000"))</f>
        <v/>
      </c>
      <c r="B172" s="41"/>
      <c r="C172" s="42" t="str">
        <f aca="false">IF($B172="","",TEXT($B172,"yyyy-mm"))</f>
        <v/>
      </c>
      <c r="D172" s="33"/>
      <c r="E172" s="36"/>
      <c r="F172" s="31"/>
      <c r="G172" s="31"/>
      <c r="H172" s="40"/>
      <c r="I172" s="33"/>
      <c r="J172" s="31"/>
      <c r="K172" s="36"/>
      <c r="L172" s="47" t="str">
        <f aca="false">IF($B172="","",IF(NOT(ISNUMBER($B172)),"日期不是日期格式",IF(YEAR($B172)&lt;&gt;首页!$B$3,"不在会计年度",IF($F172="","未填借方科目",IF($G172="","未填贷方科目",IF(LEFT($M172,1)="⚠","借方科目不存在",IF(LEFT($N172,1)="⚠","贷方科目不存在",IF($F172=$G172,"借贷科目不能相同",IF(NOT(ISNUMBER($H172)),"金额须为数字",IF(N($H172)&lt;=0,"金额须大于0","√"))))))))))</f>
        <v/>
      </c>
      <c r="M172" s="50" t="str">
        <f aca="false">IF($F172="","",IFERROR(INDEX(科目参数!$B$6:$B$125,MATCH($F172,科目参数!$A$6:$A$125,0)),"⚠科目不存在"))</f>
        <v/>
      </c>
      <c r="N172" s="50" t="str">
        <f aca="false">IF($G172="","",IFERROR(INDEX(科目参数!$B$6:$B$125,MATCH($G172,科目参数!$A$6:$A$125,0)),"⚠科目不存在"))</f>
        <v/>
      </c>
    </row>
    <row r="173" customFormat="false" ht="15.75" hidden="false" customHeight="true" outlineLevel="0" collapsed="false">
      <c r="A173" s="42" t="str">
        <f aca="false">IF($B173="","","QT"&amp;TEXT($B173,"yyyymm")&amp;"-"&amp;TEXT(ROW()-4,"000"))</f>
        <v/>
      </c>
      <c r="B173" s="41"/>
      <c r="C173" s="42" t="str">
        <f aca="false">IF($B173="","",TEXT($B173,"yyyy-mm"))</f>
        <v/>
      </c>
      <c r="D173" s="33"/>
      <c r="E173" s="36"/>
      <c r="F173" s="31"/>
      <c r="G173" s="31"/>
      <c r="H173" s="40"/>
      <c r="I173" s="33"/>
      <c r="J173" s="31"/>
      <c r="K173" s="36"/>
      <c r="L173" s="47" t="str">
        <f aca="false">IF($B173="","",IF(NOT(ISNUMBER($B173)),"日期不是日期格式",IF(YEAR($B173)&lt;&gt;首页!$B$3,"不在会计年度",IF($F173="","未填借方科目",IF($G173="","未填贷方科目",IF(LEFT($M173,1)="⚠","借方科目不存在",IF(LEFT($N173,1)="⚠","贷方科目不存在",IF($F173=$G173,"借贷科目不能相同",IF(NOT(ISNUMBER($H173)),"金额须为数字",IF(N($H173)&lt;=0,"金额须大于0","√"))))))))))</f>
        <v/>
      </c>
      <c r="M173" s="50" t="str">
        <f aca="false">IF($F173="","",IFERROR(INDEX(科目参数!$B$6:$B$125,MATCH($F173,科目参数!$A$6:$A$125,0)),"⚠科目不存在"))</f>
        <v/>
      </c>
      <c r="N173" s="50" t="str">
        <f aca="false">IF($G173="","",IFERROR(INDEX(科目参数!$B$6:$B$125,MATCH($G173,科目参数!$A$6:$A$125,0)),"⚠科目不存在"))</f>
        <v/>
      </c>
    </row>
    <row r="174" customFormat="false" ht="15.75" hidden="false" customHeight="true" outlineLevel="0" collapsed="false">
      <c r="A174" s="42" t="str">
        <f aca="false">IF($B174="","","QT"&amp;TEXT($B174,"yyyymm")&amp;"-"&amp;TEXT(ROW()-4,"000"))</f>
        <v/>
      </c>
      <c r="B174" s="41"/>
      <c r="C174" s="42" t="str">
        <f aca="false">IF($B174="","",TEXT($B174,"yyyy-mm"))</f>
        <v/>
      </c>
      <c r="D174" s="33"/>
      <c r="E174" s="36"/>
      <c r="F174" s="31"/>
      <c r="G174" s="31"/>
      <c r="H174" s="40"/>
      <c r="I174" s="33"/>
      <c r="J174" s="31"/>
      <c r="K174" s="36"/>
      <c r="L174" s="47" t="str">
        <f aca="false">IF($B174="","",IF(NOT(ISNUMBER($B174)),"日期不是日期格式",IF(YEAR($B174)&lt;&gt;首页!$B$3,"不在会计年度",IF($F174="","未填借方科目",IF($G174="","未填贷方科目",IF(LEFT($M174,1)="⚠","借方科目不存在",IF(LEFT($N174,1)="⚠","贷方科目不存在",IF($F174=$G174,"借贷科目不能相同",IF(NOT(ISNUMBER($H174)),"金额须为数字",IF(N($H174)&lt;=0,"金额须大于0","√"))))))))))</f>
        <v/>
      </c>
      <c r="M174" s="50" t="str">
        <f aca="false">IF($F174="","",IFERROR(INDEX(科目参数!$B$6:$B$125,MATCH($F174,科目参数!$A$6:$A$125,0)),"⚠科目不存在"))</f>
        <v/>
      </c>
      <c r="N174" s="50" t="str">
        <f aca="false">IF($G174="","",IFERROR(INDEX(科目参数!$B$6:$B$125,MATCH($G174,科目参数!$A$6:$A$125,0)),"⚠科目不存在"))</f>
        <v/>
      </c>
    </row>
    <row r="175" customFormat="false" ht="15.75" hidden="false" customHeight="true" outlineLevel="0" collapsed="false">
      <c r="A175" s="42" t="str">
        <f aca="false">IF($B175="","","QT"&amp;TEXT($B175,"yyyymm")&amp;"-"&amp;TEXT(ROW()-4,"000"))</f>
        <v/>
      </c>
      <c r="B175" s="41"/>
      <c r="C175" s="42" t="str">
        <f aca="false">IF($B175="","",TEXT($B175,"yyyy-mm"))</f>
        <v/>
      </c>
      <c r="D175" s="33"/>
      <c r="E175" s="36"/>
      <c r="F175" s="31"/>
      <c r="G175" s="31"/>
      <c r="H175" s="40"/>
      <c r="I175" s="33"/>
      <c r="J175" s="31"/>
      <c r="K175" s="36"/>
      <c r="L175" s="47" t="str">
        <f aca="false">IF($B175="","",IF(NOT(ISNUMBER($B175)),"日期不是日期格式",IF(YEAR($B175)&lt;&gt;首页!$B$3,"不在会计年度",IF($F175="","未填借方科目",IF($G175="","未填贷方科目",IF(LEFT($M175,1)="⚠","借方科目不存在",IF(LEFT($N175,1)="⚠","贷方科目不存在",IF($F175=$G175,"借贷科目不能相同",IF(NOT(ISNUMBER($H175)),"金额须为数字",IF(N($H175)&lt;=0,"金额须大于0","√"))))))))))</f>
        <v/>
      </c>
      <c r="M175" s="50" t="str">
        <f aca="false">IF($F175="","",IFERROR(INDEX(科目参数!$B$6:$B$125,MATCH($F175,科目参数!$A$6:$A$125,0)),"⚠科目不存在"))</f>
        <v/>
      </c>
      <c r="N175" s="50" t="str">
        <f aca="false">IF($G175="","",IFERROR(INDEX(科目参数!$B$6:$B$125,MATCH($G175,科目参数!$A$6:$A$125,0)),"⚠科目不存在"))</f>
        <v/>
      </c>
    </row>
    <row r="176" customFormat="false" ht="15.75" hidden="false" customHeight="true" outlineLevel="0" collapsed="false">
      <c r="A176" s="42" t="str">
        <f aca="false">IF($B176="","","QT"&amp;TEXT($B176,"yyyymm")&amp;"-"&amp;TEXT(ROW()-4,"000"))</f>
        <v/>
      </c>
      <c r="B176" s="41"/>
      <c r="C176" s="42" t="str">
        <f aca="false">IF($B176="","",TEXT($B176,"yyyy-mm"))</f>
        <v/>
      </c>
      <c r="D176" s="33"/>
      <c r="E176" s="36"/>
      <c r="F176" s="31"/>
      <c r="G176" s="31"/>
      <c r="H176" s="40"/>
      <c r="I176" s="33"/>
      <c r="J176" s="31"/>
      <c r="K176" s="36"/>
      <c r="L176" s="47" t="str">
        <f aca="false">IF($B176="","",IF(NOT(ISNUMBER($B176)),"日期不是日期格式",IF(YEAR($B176)&lt;&gt;首页!$B$3,"不在会计年度",IF($F176="","未填借方科目",IF($G176="","未填贷方科目",IF(LEFT($M176,1)="⚠","借方科目不存在",IF(LEFT($N176,1)="⚠","贷方科目不存在",IF($F176=$G176,"借贷科目不能相同",IF(NOT(ISNUMBER($H176)),"金额须为数字",IF(N($H176)&lt;=0,"金额须大于0","√"))))))))))</f>
        <v/>
      </c>
      <c r="M176" s="50" t="str">
        <f aca="false">IF($F176="","",IFERROR(INDEX(科目参数!$B$6:$B$125,MATCH($F176,科目参数!$A$6:$A$125,0)),"⚠科目不存在"))</f>
        <v/>
      </c>
      <c r="N176" s="50" t="str">
        <f aca="false">IF($G176="","",IFERROR(INDEX(科目参数!$B$6:$B$125,MATCH($G176,科目参数!$A$6:$A$125,0)),"⚠科目不存在"))</f>
        <v/>
      </c>
    </row>
    <row r="177" customFormat="false" ht="15.75" hidden="false" customHeight="true" outlineLevel="0" collapsed="false">
      <c r="A177" s="42" t="str">
        <f aca="false">IF($B177="","","QT"&amp;TEXT($B177,"yyyymm")&amp;"-"&amp;TEXT(ROW()-4,"000"))</f>
        <v/>
      </c>
      <c r="B177" s="41"/>
      <c r="C177" s="42" t="str">
        <f aca="false">IF($B177="","",TEXT($B177,"yyyy-mm"))</f>
        <v/>
      </c>
      <c r="D177" s="33"/>
      <c r="E177" s="36"/>
      <c r="F177" s="31"/>
      <c r="G177" s="31"/>
      <c r="H177" s="40"/>
      <c r="I177" s="33"/>
      <c r="J177" s="31"/>
      <c r="K177" s="36"/>
      <c r="L177" s="47" t="str">
        <f aca="false">IF($B177="","",IF(NOT(ISNUMBER($B177)),"日期不是日期格式",IF(YEAR($B177)&lt;&gt;首页!$B$3,"不在会计年度",IF($F177="","未填借方科目",IF($G177="","未填贷方科目",IF(LEFT($M177,1)="⚠","借方科目不存在",IF(LEFT($N177,1)="⚠","贷方科目不存在",IF($F177=$G177,"借贷科目不能相同",IF(NOT(ISNUMBER($H177)),"金额须为数字",IF(N($H177)&lt;=0,"金额须大于0","√"))))))))))</f>
        <v/>
      </c>
      <c r="M177" s="50" t="str">
        <f aca="false">IF($F177="","",IFERROR(INDEX(科目参数!$B$6:$B$125,MATCH($F177,科目参数!$A$6:$A$125,0)),"⚠科目不存在"))</f>
        <v/>
      </c>
      <c r="N177" s="50" t="str">
        <f aca="false">IF($G177="","",IFERROR(INDEX(科目参数!$B$6:$B$125,MATCH($G177,科目参数!$A$6:$A$125,0)),"⚠科目不存在"))</f>
        <v/>
      </c>
    </row>
    <row r="178" customFormat="false" ht="15.75" hidden="false" customHeight="true" outlineLevel="0" collapsed="false">
      <c r="A178" s="42" t="str">
        <f aca="false">IF($B178="","","QT"&amp;TEXT($B178,"yyyymm")&amp;"-"&amp;TEXT(ROW()-4,"000"))</f>
        <v/>
      </c>
      <c r="B178" s="41"/>
      <c r="C178" s="42" t="str">
        <f aca="false">IF($B178="","",TEXT($B178,"yyyy-mm"))</f>
        <v/>
      </c>
      <c r="D178" s="33"/>
      <c r="E178" s="36"/>
      <c r="F178" s="31"/>
      <c r="G178" s="31"/>
      <c r="H178" s="40"/>
      <c r="I178" s="33"/>
      <c r="J178" s="31"/>
      <c r="K178" s="36"/>
      <c r="L178" s="47" t="str">
        <f aca="false">IF($B178="","",IF(NOT(ISNUMBER($B178)),"日期不是日期格式",IF(YEAR($B178)&lt;&gt;首页!$B$3,"不在会计年度",IF($F178="","未填借方科目",IF($G178="","未填贷方科目",IF(LEFT($M178,1)="⚠","借方科目不存在",IF(LEFT($N178,1)="⚠","贷方科目不存在",IF($F178=$G178,"借贷科目不能相同",IF(NOT(ISNUMBER($H178)),"金额须为数字",IF(N($H178)&lt;=0,"金额须大于0","√"))))))))))</f>
        <v/>
      </c>
      <c r="M178" s="50" t="str">
        <f aca="false">IF($F178="","",IFERROR(INDEX(科目参数!$B$6:$B$125,MATCH($F178,科目参数!$A$6:$A$125,0)),"⚠科目不存在"))</f>
        <v/>
      </c>
      <c r="N178" s="50" t="str">
        <f aca="false">IF($G178="","",IFERROR(INDEX(科目参数!$B$6:$B$125,MATCH($G178,科目参数!$A$6:$A$125,0)),"⚠科目不存在"))</f>
        <v/>
      </c>
    </row>
    <row r="179" customFormat="false" ht="15.75" hidden="false" customHeight="true" outlineLevel="0" collapsed="false">
      <c r="A179" s="42" t="str">
        <f aca="false">IF($B179="","","QT"&amp;TEXT($B179,"yyyymm")&amp;"-"&amp;TEXT(ROW()-4,"000"))</f>
        <v/>
      </c>
      <c r="B179" s="41"/>
      <c r="C179" s="42" t="str">
        <f aca="false">IF($B179="","",TEXT($B179,"yyyy-mm"))</f>
        <v/>
      </c>
      <c r="D179" s="33"/>
      <c r="E179" s="36"/>
      <c r="F179" s="31"/>
      <c r="G179" s="31"/>
      <c r="H179" s="40"/>
      <c r="I179" s="33"/>
      <c r="J179" s="31"/>
      <c r="K179" s="36"/>
      <c r="L179" s="47" t="str">
        <f aca="false">IF($B179="","",IF(NOT(ISNUMBER($B179)),"日期不是日期格式",IF(YEAR($B179)&lt;&gt;首页!$B$3,"不在会计年度",IF($F179="","未填借方科目",IF($G179="","未填贷方科目",IF(LEFT($M179,1)="⚠","借方科目不存在",IF(LEFT($N179,1)="⚠","贷方科目不存在",IF($F179=$G179,"借贷科目不能相同",IF(NOT(ISNUMBER($H179)),"金额须为数字",IF(N($H179)&lt;=0,"金额须大于0","√"))))))))))</f>
        <v/>
      </c>
      <c r="M179" s="50" t="str">
        <f aca="false">IF($F179="","",IFERROR(INDEX(科目参数!$B$6:$B$125,MATCH($F179,科目参数!$A$6:$A$125,0)),"⚠科目不存在"))</f>
        <v/>
      </c>
      <c r="N179" s="50" t="str">
        <f aca="false">IF($G179="","",IFERROR(INDEX(科目参数!$B$6:$B$125,MATCH($G179,科目参数!$A$6:$A$125,0)),"⚠科目不存在"))</f>
        <v/>
      </c>
    </row>
    <row r="180" customFormat="false" ht="15.75" hidden="false" customHeight="true" outlineLevel="0" collapsed="false">
      <c r="A180" s="42" t="str">
        <f aca="false">IF($B180="","","QT"&amp;TEXT($B180,"yyyymm")&amp;"-"&amp;TEXT(ROW()-4,"000"))</f>
        <v/>
      </c>
      <c r="B180" s="41"/>
      <c r="C180" s="42" t="str">
        <f aca="false">IF($B180="","",TEXT($B180,"yyyy-mm"))</f>
        <v/>
      </c>
      <c r="D180" s="33"/>
      <c r="E180" s="36"/>
      <c r="F180" s="31"/>
      <c r="G180" s="31"/>
      <c r="H180" s="40"/>
      <c r="I180" s="33"/>
      <c r="J180" s="31"/>
      <c r="K180" s="36"/>
      <c r="L180" s="47" t="str">
        <f aca="false">IF($B180="","",IF(NOT(ISNUMBER($B180)),"日期不是日期格式",IF(YEAR($B180)&lt;&gt;首页!$B$3,"不在会计年度",IF($F180="","未填借方科目",IF($G180="","未填贷方科目",IF(LEFT($M180,1)="⚠","借方科目不存在",IF(LEFT($N180,1)="⚠","贷方科目不存在",IF($F180=$G180,"借贷科目不能相同",IF(NOT(ISNUMBER($H180)),"金额须为数字",IF(N($H180)&lt;=0,"金额须大于0","√"))))))))))</f>
        <v/>
      </c>
      <c r="M180" s="50" t="str">
        <f aca="false">IF($F180="","",IFERROR(INDEX(科目参数!$B$6:$B$125,MATCH($F180,科目参数!$A$6:$A$125,0)),"⚠科目不存在"))</f>
        <v/>
      </c>
      <c r="N180" s="50" t="str">
        <f aca="false">IF($G180="","",IFERROR(INDEX(科目参数!$B$6:$B$125,MATCH($G180,科目参数!$A$6:$A$125,0)),"⚠科目不存在"))</f>
        <v/>
      </c>
    </row>
    <row r="181" customFormat="false" ht="15.75" hidden="false" customHeight="true" outlineLevel="0" collapsed="false">
      <c r="A181" s="42" t="str">
        <f aca="false">IF($B181="","","QT"&amp;TEXT($B181,"yyyymm")&amp;"-"&amp;TEXT(ROW()-4,"000"))</f>
        <v/>
      </c>
      <c r="B181" s="41"/>
      <c r="C181" s="42" t="str">
        <f aca="false">IF($B181="","",TEXT($B181,"yyyy-mm"))</f>
        <v/>
      </c>
      <c r="D181" s="33"/>
      <c r="E181" s="36"/>
      <c r="F181" s="31"/>
      <c r="G181" s="31"/>
      <c r="H181" s="40"/>
      <c r="I181" s="33"/>
      <c r="J181" s="31"/>
      <c r="K181" s="36"/>
      <c r="L181" s="47" t="str">
        <f aca="false">IF($B181="","",IF(NOT(ISNUMBER($B181)),"日期不是日期格式",IF(YEAR($B181)&lt;&gt;首页!$B$3,"不在会计年度",IF($F181="","未填借方科目",IF($G181="","未填贷方科目",IF(LEFT($M181,1)="⚠","借方科目不存在",IF(LEFT($N181,1)="⚠","贷方科目不存在",IF($F181=$G181,"借贷科目不能相同",IF(NOT(ISNUMBER($H181)),"金额须为数字",IF(N($H181)&lt;=0,"金额须大于0","√"))))))))))</f>
        <v/>
      </c>
      <c r="M181" s="50" t="str">
        <f aca="false">IF($F181="","",IFERROR(INDEX(科目参数!$B$6:$B$125,MATCH($F181,科目参数!$A$6:$A$125,0)),"⚠科目不存在"))</f>
        <v/>
      </c>
      <c r="N181" s="50" t="str">
        <f aca="false">IF($G181="","",IFERROR(INDEX(科目参数!$B$6:$B$125,MATCH($G181,科目参数!$A$6:$A$125,0)),"⚠科目不存在"))</f>
        <v/>
      </c>
    </row>
    <row r="182" customFormat="false" ht="15.75" hidden="false" customHeight="true" outlineLevel="0" collapsed="false">
      <c r="A182" s="42" t="str">
        <f aca="false">IF($B182="","","QT"&amp;TEXT($B182,"yyyymm")&amp;"-"&amp;TEXT(ROW()-4,"000"))</f>
        <v/>
      </c>
      <c r="B182" s="41"/>
      <c r="C182" s="42" t="str">
        <f aca="false">IF($B182="","",TEXT($B182,"yyyy-mm"))</f>
        <v/>
      </c>
      <c r="D182" s="33"/>
      <c r="E182" s="36"/>
      <c r="F182" s="31"/>
      <c r="G182" s="31"/>
      <c r="H182" s="40"/>
      <c r="I182" s="33"/>
      <c r="J182" s="31"/>
      <c r="K182" s="36"/>
      <c r="L182" s="47" t="str">
        <f aca="false">IF($B182="","",IF(NOT(ISNUMBER($B182)),"日期不是日期格式",IF(YEAR($B182)&lt;&gt;首页!$B$3,"不在会计年度",IF($F182="","未填借方科目",IF($G182="","未填贷方科目",IF(LEFT($M182,1)="⚠","借方科目不存在",IF(LEFT($N182,1)="⚠","贷方科目不存在",IF($F182=$G182,"借贷科目不能相同",IF(NOT(ISNUMBER($H182)),"金额须为数字",IF(N($H182)&lt;=0,"金额须大于0","√"))))))))))</f>
        <v/>
      </c>
      <c r="M182" s="50" t="str">
        <f aca="false">IF($F182="","",IFERROR(INDEX(科目参数!$B$6:$B$125,MATCH($F182,科目参数!$A$6:$A$125,0)),"⚠科目不存在"))</f>
        <v/>
      </c>
      <c r="N182" s="50" t="str">
        <f aca="false">IF($G182="","",IFERROR(INDEX(科目参数!$B$6:$B$125,MATCH($G182,科目参数!$A$6:$A$125,0)),"⚠科目不存在"))</f>
        <v/>
      </c>
    </row>
    <row r="183" customFormat="false" ht="15.75" hidden="false" customHeight="true" outlineLevel="0" collapsed="false">
      <c r="A183" s="42" t="str">
        <f aca="false">IF($B183="","","QT"&amp;TEXT($B183,"yyyymm")&amp;"-"&amp;TEXT(ROW()-4,"000"))</f>
        <v/>
      </c>
      <c r="B183" s="41"/>
      <c r="C183" s="42" t="str">
        <f aca="false">IF($B183="","",TEXT($B183,"yyyy-mm"))</f>
        <v/>
      </c>
      <c r="D183" s="33"/>
      <c r="E183" s="36"/>
      <c r="F183" s="31"/>
      <c r="G183" s="31"/>
      <c r="H183" s="40"/>
      <c r="I183" s="33"/>
      <c r="J183" s="31"/>
      <c r="K183" s="36"/>
      <c r="L183" s="47" t="str">
        <f aca="false">IF($B183="","",IF(NOT(ISNUMBER($B183)),"日期不是日期格式",IF(YEAR($B183)&lt;&gt;首页!$B$3,"不在会计年度",IF($F183="","未填借方科目",IF($G183="","未填贷方科目",IF(LEFT($M183,1)="⚠","借方科目不存在",IF(LEFT($N183,1)="⚠","贷方科目不存在",IF($F183=$G183,"借贷科目不能相同",IF(NOT(ISNUMBER($H183)),"金额须为数字",IF(N($H183)&lt;=0,"金额须大于0","√"))))))))))</f>
        <v/>
      </c>
      <c r="M183" s="50" t="str">
        <f aca="false">IF($F183="","",IFERROR(INDEX(科目参数!$B$6:$B$125,MATCH($F183,科目参数!$A$6:$A$125,0)),"⚠科目不存在"))</f>
        <v/>
      </c>
      <c r="N183" s="50" t="str">
        <f aca="false">IF($G183="","",IFERROR(INDEX(科目参数!$B$6:$B$125,MATCH($G183,科目参数!$A$6:$A$125,0)),"⚠科目不存在"))</f>
        <v/>
      </c>
    </row>
    <row r="184" customFormat="false" ht="15.75" hidden="false" customHeight="true" outlineLevel="0" collapsed="false">
      <c r="A184" s="42" t="str">
        <f aca="false">IF($B184="","","QT"&amp;TEXT($B184,"yyyymm")&amp;"-"&amp;TEXT(ROW()-4,"000"))</f>
        <v/>
      </c>
      <c r="B184" s="41"/>
      <c r="C184" s="42" t="str">
        <f aca="false">IF($B184="","",TEXT($B184,"yyyy-mm"))</f>
        <v/>
      </c>
      <c r="D184" s="33"/>
      <c r="E184" s="36"/>
      <c r="F184" s="31"/>
      <c r="G184" s="31"/>
      <c r="H184" s="40"/>
      <c r="I184" s="33"/>
      <c r="J184" s="31"/>
      <c r="K184" s="36"/>
      <c r="L184" s="47" t="str">
        <f aca="false">IF($B184="","",IF(NOT(ISNUMBER($B184)),"日期不是日期格式",IF(YEAR($B184)&lt;&gt;首页!$B$3,"不在会计年度",IF($F184="","未填借方科目",IF($G184="","未填贷方科目",IF(LEFT($M184,1)="⚠","借方科目不存在",IF(LEFT($N184,1)="⚠","贷方科目不存在",IF($F184=$G184,"借贷科目不能相同",IF(NOT(ISNUMBER($H184)),"金额须为数字",IF(N($H184)&lt;=0,"金额须大于0","√"))))))))))</f>
        <v/>
      </c>
      <c r="M184" s="50" t="str">
        <f aca="false">IF($F184="","",IFERROR(INDEX(科目参数!$B$6:$B$125,MATCH($F184,科目参数!$A$6:$A$125,0)),"⚠科目不存在"))</f>
        <v/>
      </c>
      <c r="N184" s="50" t="str">
        <f aca="false">IF($G184="","",IFERROR(INDEX(科目参数!$B$6:$B$125,MATCH($G184,科目参数!$A$6:$A$125,0)),"⚠科目不存在"))</f>
        <v/>
      </c>
    </row>
    <row r="185" customFormat="false" ht="15.75" hidden="false" customHeight="true" outlineLevel="0" collapsed="false">
      <c r="A185" s="42" t="str">
        <f aca="false">IF($B185="","","QT"&amp;TEXT($B185,"yyyymm")&amp;"-"&amp;TEXT(ROW()-4,"000"))</f>
        <v/>
      </c>
      <c r="B185" s="41"/>
      <c r="C185" s="42" t="str">
        <f aca="false">IF($B185="","",TEXT($B185,"yyyy-mm"))</f>
        <v/>
      </c>
      <c r="D185" s="33"/>
      <c r="E185" s="36"/>
      <c r="F185" s="31"/>
      <c r="G185" s="31"/>
      <c r="H185" s="40"/>
      <c r="I185" s="33"/>
      <c r="J185" s="31"/>
      <c r="K185" s="36"/>
      <c r="L185" s="47" t="str">
        <f aca="false">IF($B185="","",IF(NOT(ISNUMBER($B185)),"日期不是日期格式",IF(YEAR($B185)&lt;&gt;首页!$B$3,"不在会计年度",IF($F185="","未填借方科目",IF($G185="","未填贷方科目",IF(LEFT($M185,1)="⚠","借方科目不存在",IF(LEFT($N185,1)="⚠","贷方科目不存在",IF($F185=$G185,"借贷科目不能相同",IF(NOT(ISNUMBER($H185)),"金额须为数字",IF(N($H185)&lt;=0,"金额须大于0","√"))))))))))</f>
        <v/>
      </c>
      <c r="M185" s="50" t="str">
        <f aca="false">IF($F185="","",IFERROR(INDEX(科目参数!$B$6:$B$125,MATCH($F185,科目参数!$A$6:$A$125,0)),"⚠科目不存在"))</f>
        <v/>
      </c>
      <c r="N185" s="50" t="str">
        <f aca="false">IF($G185="","",IFERROR(INDEX(科目参数!$B$6:$B$125,MATCH($G185,科目参数!$A$6:$A$125,0)),"⚠科目不存在"))</f>
        <v/>
      </c>
    </row>
    <row r="186" customFormat="false" ht="15.75" hidden="false" customHeight="true" outlineLevel="0" collapsed="false">
      <c r="A186" s="42" t="str">
        <f aca="false">IF($B186="","","QT"&amp;TEXT($B186,"yyyymm")&amp;"-"&amp;TEXT(ROW()-4,"000"))</f>
        <v/>
      </c>
      <c r="B186" s="41"/>
      <c r="C186" s="42" t="str">
        <f aca="false">IF($B186="","",TEXT($B186,"yyyy-mm"))</f>
        <v/>
      </c>
      <c r="D186" s="33"/>
      <c r="E186" s="36"/>
      <c r="F186" s="31"/>
      <c r="G186" s="31"/>
      <c r="H186" s="40"/>
      <c r="I186" s="33"/>
      <c r="J186" s="31"/>
      <c r="K186" s="36"/>
      <c r="L186" s="47" t="str">
        <f aca="false">IF($B186="","",IF(NOT(ISNUMBER($B186)),"日期不是日期格式",IF(YEAR($B186)&lt;&gt;首页!$B$3,"不在会计年度",IF($F186="","未填借方科目",IF($G186="","未填贷方科目",IF(LEFT($M186,1)="⚠","借方科目不存在",IF(LEFT($N186,1)="⚠","贷方科目不存在",IF($F186=$G186,"借贷科目不能相同",IF(NOT(ISNUMBER($H186)),"金额须为数字",IF(N($H186)&lt;=0,"金额须大于0","√"))))))))))</f>
        <v/>
      </c>
      <c r="M186" s="50" t="str">
        <f aca="false">IF($F186="","",IFERROR(INDEX(科目参数!$B$6:$B$125,MATCH($F186,科目参数!$A$6:$A$125,0)),"⚠科目不存在"))</f>
        <v/>
      </c>
      <c r="N186" s="50" t="str">
        <f aca="false">IF($G186="","",IFERROR(INDEX(科目参数!$B$6:$B$125,MATCH($G186,科目参数!$A$6:$A$125,0)),"⚠科目不存在"))</f>
        <v/>
      </c>
    </row>
    <row r="187" customFormat="false" ht="15.75" hidden="false" customHeight="true" outlineLevel="0" collapsed="false">
      <c r="A187" s="42" t="str">
        <f aca="false">IF($B187="","","QT"&amp;TEXT($B187,"yyyymm")&amp;"-"&amp;TEXT(ROW()-4,"000"))</f>
        <v/>
      </c>
      <c r="B187" s="41"/>
      <c r="C187" s="42" t="str">
        <f aca="false">IF($B187="","",TEXT($B187,"yyyy-mm"))</f>
        <v/>
      </c>
      <c r="D187" s="33"/>
      <c r="E187" s="36"/>
      <c r="F187" s="31"/>
      <c r="G187" s="31"/>
      <c r="H187" s="40"/>
      <c r="I187" s="33"/>
      <c r="J187" s="31"/>
      <c r="K187" s="36"/>
      <c r="L187" s="47" t="str">
        <f aca="false">IF($B187="","",IF(NOT(ISNUMBER($B187)),"日期不是日期格式",IF(YEAR($B187)&lt;&gt;首页!$B$3,"不在会计年度",IF($F187="","未填借方科目",IF($G187="","未填贷方科目",IF(LEFT($M187,1)="⚠","借方科目不存在",IF(LEFT($N187,1)="⚠","贷方科目不存在",IF($F187=$G187,"借贷科目不能相同",IF(NOT(ISNUMBER($H187)),"金额须为数字",IF(N($H187)&lt;=0,"金额须大于0","√"))))))))))</f>
        <v/>
      </c>
      <c r="M187" s="50" t="str">
        <f aca="false">IF($F187="","",IFERROR(INDEX(科目参数!$B$6:$B$125,MATCH($F187,科目参数!$A$6:$A$125,0)),"⚠科目不存在"))</f>
        <v/>
      </c>
      <c r="N187" s="50" t="str">
        <f aca="false">IF($G187="","",IFERROR(INDEX(科目参数!$B$6:$B$125,MATCH($G187,科目参数!$A$6:$A$125,0)),"⚠科目不存在"))</f>
        <v/>
      </c>
    </row>
    <row r="188" customFormat="false" ht="15.75" hidden="false" customHeight="true" outlineLevel="0" collapsed="false">
      <c r="A188" s="42" t="str">
        <f aca="false">IF($B188="","","QT"&amp;TEXT($B188,"yyyymm")&amp;"-"&amp;TEXT(ROW()-4,"000"))</f>
        <v/>
      </c>
      <c r="B188" s="41"/>
      <c r="C188" s="42" t="str">
        <f aca="false">IF($B188="","",TEXT($B188,"yyyy-mm"))</f>
        <v/>
      </c>
      <c r="D188" s="33"/>
      <c r="E188" s="36"/>
      <c r="F188" s="31"/>
      <c r="G188" s="31"/>
      <c r="H188" s="40"/>
      <c r="I188" s="33"/>
      <c r="J188" s="31"/>
      <c r="K188" s="36"/>
      <c r="L188" s="47" t="str">
        <f aca="false">IF($B188="","",IF(NOT(ISNUMBER($B188)),"日期不是日期格式",IF(YEAR($B188)&lt;&gt;首页!$B$3,"不在会计年度",IF($F188="","未填借方科目",IF($G188="","未填贷方科目",IF(LEFT($M188,1)="⚠","借方科目不存在",IF(LEFT($N188,1)="⚠","贷方科目不存在",IF($F188=$G188,"借贷科目不能相同",IF(NOT(ISNUMBER($H188)),"金额须为数字",IF(N($H188)&lt;=0,"金额须大于0","√"))))))))))</f>
        <v/>
      </c>
      <c r="M188" s="50" t="str">
        <f aca="false">IF($F188="","",IFERROR(INDEX(科目参数!$B$6:$B$125,MATCH($F188,科目参数!$A$6:$A$125,0)),"⚠科目不存在"))</f>
        <v/>
      </c>
      <c r="N188" s="50" t="str">
        <f aca="false">IF($G188="","",IFERROR(INDEX(科目参数!$B$6:$B$125,MATCH($G188,科目参数!$A$6:$A$125,0)),"⚠科目不存在"))</f>
        <v/>
      </c>
    </row>
    <row r="189" customFormat="false" ht="15.75" hidden="false" customHeight="true" outlineLevel="0" collapsed="false">
      <c r="A189" s="42" t="str">
        <f aca="false">IF($B189="","","QT"&amp;TEXT($B189,"yyyymm")&amp;"-"&amp;TEXT(ROW()-4,"000"))</f>
        <v/>
      </c>
      <c r="B189" s="41"/>
      <c r="C189" s="42" t="str">
        <f aca="false">IF($B189="","",TEXT($B189,"yyyy-mm"))</f>
        <v/>
      </c>
      <c r="D189" s="33"/>
      <c r="E189" s="36"/>
      <c r="F189" s="31"/>
      <c r="G189" s="31"/>
      <c r="H189" s="40"/>
      <c r="I189" s="33"/>
      <c r="J189" s="31"/>
      <c r="K189" s="36"/>
      <c r="L189" s="47" t="str">
        <f aca="false">IF($B189="","",IF(NOT(ISNUMBER($B189)),"日期不是日期格式",IF(YEAR($B189)&lt;&gt;首页!$B$3,"不在会计年度",IF($F189="","未填借方科目",IF($G189="","未填贷方科目",IF(LEFT($M189,1)="⚠","借方科目不存在",IF(LEFT($N189,1)="⚠","贷方科目不存在",IF($F189=$G189,"借贷科目不能相同",IF(NOT(ISNUMBER($H189)),"金额须为数字",IF(N($H189)&lt;=0,"金额须大于0","√"))))))))))</f>
        <v/>
      </c>
      <c r="M189" s="50" t="str">
        <f aca="false">IF($F189="","",IFERROR(INDEX(科目参数!$B$6:$B$125,MATCH($F189,科目参数!$A$6:$A$125,0)),"⚠科目不存在"))</f>
        <v/>
      </c>
      <c r="N189" s="50" t="str">
        <f aca="false">IF($G189="","",IFERROR(INDEX(科目参数!$B$6:$B$125,MATCH($G189,科目参数!$A$6:$A$125,0)),"⚠科目不存在"))</f>
        <v/>
      </c>
    </row>
    <row r="190" customFormat="false" ht="15.75" hidden="false" customHeight="true" outlineLevel="0" collapsed="false">
      <c r="A190" s="42" t="str">
        <f aca="false">IF($B190="","","QT"&amp;TEXT($B190,"yyyymm")&amp;"-"&amp;TEXT(ROW()-4,"000"))</f>
        <v/>
      </c>
      <c r="B190" s="41"/>
      <c r="C190" s="42" t="str">
        <f aca="false">IF($B190="","",TEXT($B190,"yyyy-mm"))</f>
        <v/>
      </c>
      <c r="D190" s="33"/>
      <c r="E190" s="36"/>
      <c r="F190" s="31"/>
      <c r="G190" s="31"/>
      <c r="H190" s="40"/>
      <c r="I190" s="33"/>
      <c r="J190" s="31"/>
      <c r="K190" s="36"/>
      <c r="L190" s="47" t="str">
        <f aca="false">IF($B190="","",IF(NOT(ISNUMBER($B190)),"日期不是日期格式",IF(YEAR($B190)&lt;&gt;首页!$B$3,"不在会计年度",IF($F190="","未填借方科目",IF($G190="","未填贷方科目",IF(LEFT($M190,1)="⚠","借方科目不存在",IF(LEFT($N190,1)="⚠","贷方科目不存在",IF($F190=$G190,"借贷科目不能相同",IF(NOT(ISNUMBER($H190)),"金额须为数字",IF(N($H190)&lt;=0,"金额须大于0","√"))))))))))</f>
        <v/>
      </c>
      <c r="M190" s="50" t="str">
        <f aca="false">IF($F190="","",IFERROR(INDEX(科目参数!$B$6:$B$125,MATCH($F190,科目参数!$A$6:$A$125,0)),"⚠科目不存在"))</f>
        <v/>
      </c>
      <c r="N190" s="50" t="str">
        <f aca="false">IF($G190="","",IFERROR(INDEX(科目参数!$B$6:$B$125,MATCH($G190,科目参数!$A$6:$A$125,0)),"⚠科目不存在"))</f>
        <v/>
      </c>
    </row>
    <row r="191" customFormat="false" ht="15.75" hidden="false" customHeight="true" outlineLevel="0" collapsed="false">
      <c r="A191" s="42" t="str">
        <f aca="false">IF($B191="","","QT"&amp;TEXT($B191,"yyyymm")&amp;"-"&amp;TEXT(ROW()-4,"000"))</f>
        <v/>
      </c>
      <c r="B191" s="41"/>
      <c r="C191" s="42" t="str">
        <f aca="false">IF($B191="","",TEXT($B191,"yyyy-mm"))</f>
        <v/>
      </c>
      <c r="D191" s="33"/>
      <c r="E191" s="36"/>
      <c r="F191" s="31"/>
      <c r="G191" s="31"/>
      <c r="H191" s="40"/>
      <c r="I191" s="33"/>
      <c r="J191" s="31"/>
      <c r="K191" s="36"/>
      <c r="L191" s="47" t="str">
        <f aca="false">IF($B191="","",IF(NOT(ISNUMBER($B191)),"日期不是日期格式",IF(YEAR($B191)&lt;&gt;首页!$B$3,"不在会计年度",IF($F191="","未填借方科目",IF($G191="","未填贷方科目",IF(LEFT($M191,1)="⚠","借方科目不存在",IF(LEFT($N191,1)="⚠","贷方科目不存在",IF($F191=$G191,"借贷科目不能相同",IF(NOT(ISNUMBER($H191)),"金额须为数字",IF(N($H191)&lt;=0,"金额须大于0","√"))))))))))</f>
        <v/>
      </c>
      <c r="M191" s="50" t="str">
        <f aca="false">IF($F191="","",IFERROR(INDEX(科目参数!$B$6:$B$125,MATCH($F191,科目参数!$A$6:$A$125,0)),"⚠科目不存在"))</f>
        <v/>
      </c>
      <c r="N191" s="50" t="str">
        <f aca="false">IF($G191="","",IFERROR(INDEX(科目参数!$B$6:$B$125,MATCH($G191,科目参数!$A$6:$A$125,0)),"⚠科目不存在"))</f>
        <v/>
      </c>
    </row>
    <row r="192" customFormat="false" ht="15.75" hidden="false" customHeight="true" outlineLevel="0" collapsed="false">
      <c r="A192" s="42" t="str">
        <f aca="false">IF($B192="","","QT"&amp;TEXT($B192,"yyyymm")&amp;"-"&amp;TEXT(ROW()-4,"000"))</f>
        <v/>
      </c>
      <c r="B192" s="41"/>
      <c r="C192" s="42" t="str">
        <f aca="false">IF($B192="","",TEXT($B192,"yyyy-mm"))</f>
        <v/>
      </c>
      <c r="D192" s="33"/>
      <c r="E192" s="36"/>
      <c r="F192" s="31"/>
      <c r="G192" s="31"/>
      <c r="H192" s="40"/>
      <c r="I192" s="33"/>
      <c r="J192" s="31"/>
      <c r="K192" s="36"/>
      <c r="L192" s="47" t="str">
        <f aca="false">IF($B192="","",IF(NOT(ISNUMBER($B192)),"日期不是日期格式",IF(YEAR($B192)&lt;&gt;首页!$B$3,"不在会计年度",IF($F192="","未填借方科目",IF($G192="","未填贷方科目",IF(LEFT($M192,1)="⚠","借方科目不存在",IF(LEFT($N192,1)="⚠","贷方科目不存在",IF($F192=$G192,"借贷科目不能相同",IF(NOT(ISNUMBER($H192)),"金额须为数字",IF(N($H192)&lt;=0,"金额须大于0","√"))))))))))</f>
        <v/>
      </c>
      <c r="M192" s="50" t="str">
        <f aca="false">IF($F192="","",IFERROR(INDEX(科目参数!$B$6:$B$125,MATCH($F192,科目参数!$A$6:$A$125,0)),"⚠科目不存在"))</f>
        <v/>
      </c>
      <c r="N192" s="50" t="str">
        <f aca="false">IF($G192="","",IFERROR(INDEX(科目参数!$B$6:$B$125,MATCH($G192,科目参数!$A$6:$A$125,0)),"⚠科目不存在"))</f>
        <v/>
      </c>
    </row>
    <row r="193" customFormat="false" ht="15.75" hidden="false" customHeight="true" outlineLevel="0" collapsed="false">
      <c r="A193" s="42" t="str">
        <f aca="false">IF($B193="","","QT"&amp;TEXT($B193,"yyyymm")&amp;"-"&amp;TEXT(ROW()-4,"000"))</f>
        <v/>
      </c>
      <c r="B193" s="41"/>
      <c r="C193" s="42" t="str">
        <f aca="false">IF($B193="","",TEXT($B193,"yyyy-mm"))</f>
        <v/>
      </c>
      <c r="D193" s="33"/>
      <c r="E193" s="36"/>
      <c r="F193" s="31"/>
      <c r="G193" s="31"/>
      <c r="H193" s="40"/>
      <c r="I193" s="33"/>
      <c r="J193" s="31"/>
      <c r="K193" s="36"/>
      <c r="L193" s="47" t="str">
        <f aca="false">IF($B193="","",IF(NOT(ISNUMBER($B193)),"日期不是日期格式",IF(YEAR($B193)&lt;&gt;首页!$B$3,"不在会计年度",IF($F193="","未填借方科目",IF($G193="","未填贷方科目",IF(LEFT($M193,1)="⚠","借方科目不存在",IF(LEFT($N193,1)="⚠","贷方科目不存在",IF($F193=$G193,"借贷科目不能相同",IF(NOT(ISNUMBER($H193)),"金额须为数字",IF(N($H193)&lt;=0,"金额须大于0","√"))))))))))</f>
        <v/>
      </c>
      <c r="M193" s="50" t="str">
        <f aca="false">IF($F193="","",IFERROR(INDEX(科目参数!$B$6:$B$125,MATCH($F193,科目参数!$A$6:$A$125,0)),"⚠科目不存在"))</f>
        <v/>
      </c>
      <c r="N193" s="50" t="str">
        <f aca="false">IF($G193="","",IFERROR(INDEX(科目参数!$B$6:$B$125,MATCH($G193,科目参数!$A$6:$A$125,0)),"⚠科目不存在"))</f>
        <v/>
      </c>
    </row>
    <row r="194" customFormat="false" ht="15.75" hidden="false" customHeight="true" outlineLevel="0" collapsed="false">
      <c r="A194" s="42" t="str">
        <f aca="false">IF($B194="","","QT"&amp;TEXT($B194,"yyyymm")&amp;"-"&amp;TEXT(ROW()-4,"000"))</f>
        <v/>
      </c>
      <c r="B194" s="41"/>
      <c r="C194" s="42" t="str">
        <f aca="false">IF($B194="","",TEXT($B194,"yyyy-mm"))</f>
        <v/>
      </c>
      <c r="D194" s="33"/>
      <c r="E194" s="36"/>
      <c r="F194" s="31"/>
      <c r="G194" s="31"/>
      <c r="H194" s="40"/>
      <c r="I194" s="33"/>
      <c r="J194" s="31"/>
      <c r="K194" s="36"/>
      <c r="L194" s="47" t="str">
        <f aca="false">IF($B194="","",IF(NOT(ISNUMBER($B194)),"日期不是日期格式",IF(YEAR($B194)&lt;&gt;首页!$B$3,"不在会计年度",IF($F194="","未填借方科目",IF($G194="","未填贷方科目",IF(LEFT($M194,1)="⚠","借方科目不存在",IF(LEFT($N194,1)="⚠","贷方科目不存在",IF($F194=$G194,"借贷科目不能相同",IF(NOT(ISNUMBER($H194)),"金额须为数字",IF(N($H194)&lt;=0,"金额须大于0","√"))))))))))</f>
        <v/>
      </c>
      <c r="M194" s="50" t="str">
        <f aca="false">IF($F194="","",IFERROR(INDEX(科目参数!$B$6:$B$125,MATCH($F194,科目参数!$A$6:$A$125,0)),"⚠科目不存在"))</f>
        <v/>
      </c>
      <c r="N194" s="50" t="str">
        <f aca="false">IF($G194="","",IFERROR(INDEX(科目参数!$B$6:$B$125,MATCH($G194,科目参数!$A$6:$A$125,0)),"⚠科目不存在"))</f>
        <v/>
      </c>
    </row>
    <row r="195" customFormat="false" ht="15.75" hidden="false" customHeight="true" outlineLevel="0" collapsed="false">
      <c r="A195" s="42" t="str">
        <f aca="false">IF($B195="","","QT"&amp;TEXT($B195,"yyyymm")&amp;"-"&amp;TEXT(ROW()-4,"000"))</f>
        <v/>
      </c>
      <c r="B195" s="41"/>
      <c r="C195" s="42" t="str">
        <f aca="false">IF($B195="","",TEXT($B195,"yyyy-mm"))</f>
        <v/>
      </c>
      <c r="D195" s="33"/>
      <c r="E195" s="36"/>
      <c r="F195" s="31"/>
      <c r="G195" s="31"/>
      <c r="H195" s="40"/>
      <c r="I195" s="33"/>
      <c r="J195" s="31"/>
      <c r="K195" s="36"/>
      <c r="L195" s="47" t="str">
        <f aca="false">IF($B195="","",IF(NOT(ISNUMBER($B195)),"日期不是日期格式",IF(YEAR($B195)&lt;&gt;首页!$B$3,"不在会计年度",IF($F195="","未填借方科目",IF($G195="","未填贷方科目",IF(LEFT($M195,1)="⚠","借方科目不存在",IF(LEFT($N195,1)="⚠","贷方科目不存在",IF($F195=$G195,"借贷科目不能相同",IF(NOT(ISNUMBER($H195)),"金额须为数字",IF(N($H195)&lt;=0,"金额须大于0","√"))))))))))</f>
        <v/>
      </c>
      <c r="M195" s="50" t="str">
        <f aca="false">IF($F195="","",IFERROR(INDEX(科目参数!$B$6:$B$125,MATCH($F195,科目参数!$A$6:$A$125,0)),"⚠科目不存在"))</f>
        <v/>
      </c>
      <c r="N195" s="50" t="str">
        <f aca="false">IF($G195="","",IFERROR(INDEX(科目参数!$B$6:$B$125,MATCH($G195,科目参数!$A$6:$A$125,0)),"⚠科目不存在"))</f>
        <v/>
      </c>
    </row>
    <row r="196" customFormat="false" ht="15.75" hidden="false" customHeight="true" outlineLevel="0" collapsed="false">
      <c r="A196" s="42" t="str">
        <f aca="false">IF($B196="","","QT"&amp;TEXT($B196,"yyyymm")&amp;"-"&amp;TEXT(ROW()-4,"000"))</f>
        <v/>
      </c>
      <c r="B196" s="41"/>
      <c r="C196" s="42" t="str">
        <f aca="false">IF($B196="","",TEXT($B196,"yyyy-mm"))</f>
        <v/>
      </c>
      <c r="D196" s="33"/>
      <c r="E196" s="36"/>
      <c r="F196" s="31"/>
      <c r="G196" s="31"/>
      <c r="H196" s="40"/>
      <c r="I196" s="33"/>
      <c r="J196" s="31"/>
      <c r="K196" s="36"/>
      <c r="L196" s="47" t="str">
        <f aca="false">IF($B196="","",IF(NOT(ISNUMBER($B196)),"日期不是日期格式",IF(YEAR($B196)&lt;&gt;首页!$B$3,"不在会计年度",IF($F196="","未填借方科目",IF($G196="","未填贷方科目",IF(LEFT($M196,1)="⚠","借方科目不存在",IF(LEFT($N196,1)="⚠","贷方科目不存在",IF($F196=$G196,"借贷科目不能相同",IF(NOT(ISNUMBER($H196)),"金额须为数字",IF(N($H196)&lt;=0,"金额须大于0","√"))))))))))</f>
        <v/>
      </c>
      <c r="M196" s="50" t="str">
        <f aca="false">IF($F196="","",IFERROR(INDEX(科目参数!$B$6:$B$125,MATCH($F196,科目参数!$A$6:$A$125,0)),"⚠科目不存在"))</f>
        <v/>
      </c>
      <c r="N196" s="50" t="str">
        <f aca="false">IF($G196="","",IFERROR(INDEX(科目参数!$B$6:$B$125,MATCH($G196,科目参数!$A$6:$A$125,0)),"⚠科目不存在"))</f>
        <v/>
      </c>
    </row>
    <row r="197" customFormat="false" ht="15.75" hidden="false" customHeight="true" outlineLevel="0" collapsed="false">
      <c r="A197" s="42" t="str">
        <f aca="false">IF($B197="","","QT"&amp;TEXT($B197,"yyyymm")&amp;"-"&amp;TEXT(ROW()-4,"000"))</f>
        <v/>
      </c>
      <c r="B197" s="41"/>
      <c r="C197" s="42" t="str">
        <f aca="false">IF($B197="","",TEXT($B197,"yyyy-mm"))</f>
        <v/>
      </c>
      <c r="D197" s="33"/>
      <c r="E197" s="36"/>
      <c r="F197" s="31"/>
      <c r="G197" s="31"/>
      <c r="H197" s="40"/>
      <c r="I197" s="33"/>
      <c r="J197" s="31"/>
      <c r="K197" s="36"/>
      <c r="L197" s="47" t="str">
        <f aca="false">IF($B197="","",IF(NOT(ISNUMBER($B197)),"日期不是日期格式",IF(YEAR($B197)&lt;&gt;首页!$B$3,"不在会计年度",IF($F197="","未填借方科目",IF($G197="","未填贷方科目",IF(LEFT($M197,1)="⚠","借方科目不存在",IF(LEFT($N197,1)="⚠","贷方科目不存在",IF($F197=$G197,"借贷科目不能相同",IF(NOT(ISNUMBER($H197)),"金额须为数字",IF(N($H197)&lt;=0,"金额须大于0","√"))))))))))</f>
        <v/>
      </c>
      <c r="M197" s="50" t="str">
        <f aca="false">IF($F197="","",IFERROR(INDEX(科目参数!$B$6:$B$125,MATCH($F197,科目参数!$A$6:$A$125,0)),"⚠科目不存在"))</f>
        <v/>
      </c>
      <c r="N197" s="50" t="str">
        <f aca="false">IF($G197="","",IFERROR(INDEX(科目参数!$B$6:$B$125,MATCH($G197,科目参数!$A$6:$A$125,0)),"⚠科目不存在"))</f>
        <v/>
      </c>
    </row>
    <row r="198" customFormat="false" ht="15.75" hidden="false" customHeight="true" outlineLevel="0" collapsed="false">
      <c r="A198" s="42" t="str">
        <f aca="false">IF($B198="","","QT"&amp;TEXT($B198,"yyyymm")&amp;"-"&amp;TEXT(ROW()-4,"000"))</f>
        <v/>
      </c>
      <c r="B198" s="41"/>
      <c r="C198" s="42" t="str">
        <f aca="false">IF($B198="","",TEXT($B198,"yyyy-mm"))</f>
        <v/>
      </c>
      <c r="D198" s="33"/>
      <c r="E198" s="36"/>
      <c r="F198" s="31"/>
      <c r="G198" s="31"/>
      <c r="H198" s="40"/>
      <c r="I198" s="33"/>
      <c r="J198" s="31"/>
      <c r="K198" s="36"/>
      <c r="L198" s="47" t="str">
        <f aca="false">IF($B198="","",IF(NOT(ISNUMBER($B198)),"日期不是日期格式",IF(YEAR($B198)&lt;&gt;首页!$B$3,"不在会计年度",IF($F198="","未填借方科目",IF($G198="","未填贷方科目",IF(LEFT($M198,1)="⚠","借方科目不存在",IF(LEFT($N198,1)="⚠","贷方科目不存在",IF($F198=$G198,"借贷科目不能相同",IF(NOT(ISNUMBER($H198)),"金额须为数字",IF(N($H198)&lt;=0,"金额须大于0","√"))))))))))</f>
        <v/>
      </c>
      <c r="M198" s="50" t="str">
        <f aca="false">IF($F198="","",IFERROR(INDEX(科目参数!$B$6:$B$125,MATCH($F198,科目参数!$A$6:$A$125,0)),"⚠科目不存在"))</f>
        <v/>
      </c>
      <c r="N198" s="50" t="str">
        <f aca="false">IF($G198="","",IFERROR(INDEX(科目参数!$B$6:$B$125,MATCH($G198,科目参数!$A$6:$A$125,0)),"⚠科目不存在"))</f>
        <v/>
      </c>
    </row>
    <row r="199" customFormat="false" ht="15.75" hidden="false" customHeight="true" outlineLevel="0" collapsed="false">
      <c r="A199" s="42" t="str">
        <f aca="false">IF($B199="","","QT"&amp;TEXT($B199,"yyyymm")&amp;"-"&amp;TEXT(ROW()-4,"000"))</f>
        <v/>
      </c>
      <c r="B199" s="41"/>
      <c r="C199" s="42" t="str">
        <f aca="false">IF($B199="","",TEXT($B199,"yyyy-mm"))</f>
        <v/>
      </c>
      <c r="D199" s="33"/>
      <c r="E199" s="36"/>
      <c r="F199" s="31"/>
      <c r="G199" s="31"/>
      <c r="H199" s="40"/>
      <c r="I199" s="33"/>
      <c r="J199" s="31"/>
      <c r="K199" s="36"/>
      <c r="L199" s="47" t="str">
        <f aca="false">IF($B199="","",IF(NOT(ISNUMBER($B199)),"日期不是日期格式",IF(YEAR($B199)&lt;&gt;首页!$B$3,"不在会计年度",IF($F199="","未填借方科目",IF($G199="","未填贷方科目",IF(LEFT($M199,1)="⚠","借方科目不存在",IF(LEFT($N199,1)="⚠","贷方科目不存在",IF($F199=$G199,"借贷科目不能相同",IF(NOT(ISNUMBER($H199)),"金额须为数字",IF(N($H199)&lt;=0,"金额须大于0","√"))))))))))</f>
        <v/>
      </c>
      <c r="M199" s="50" t="str">
        <f aca="false">IF($F199="","",IFERROR(INDEX(科目参数!$B$6:$B$125,MATCH($F199,科目参数!$A$6:$A$125,0)),"⚠科目不存在"))</f>
        <v/>
      </c>
      <c r="N199" s="50" t="str">
        <f aca="false">IF($G199="","",IFERROR(INDEX(科目参数!$B$6:$B$125,MATCH($G199,科目参数!$A$6:$A$125,0)),"⚠科目不存在"))</f>
        <v/>
      </c>
    </row>
    <row r="200" customFormat="false" ht="15.75" hidden="false" customHeight="true" outlineLevel="0" collapsed="false">
      <c r="A200" s="42" t="str">
        <f aca="false">IF($B200="","","QT"&amp;TEXT($B200,"yyyymm")&amp;"-"&amp;TEXT(ROW()-4,"000"))</f>
        <v/>
      </c>
      <c r="B200" s="41"/>
      <c r="C200" s="42" t="str">
        <f aca="false">IF($B200="","",TEXT($B200,"yyyy-mm"))</f>
        <v/>
      </c>
      <c r="D200" s="33"/>
      <c r="E200" s="36"/>
      <c r="F200" s="31"/>
      <c r="G200" s="31"/>
      <c r="H200" s="40"/>
      <c r="I200" s="33"/>
      <c r="J200" s="31"/>
      <c r="K200" s="36"/>
      <c r="L200" s="47" t="str">
        <f aca="false">IF($B200="","",IF(NOT(ISNUMBER($B200)),"日期不是日期格式",IF(YEAR($B200)&lt;&gt;首页!$B$3,"不在会计年度",IF($F200="","未填借方科目",IF($G200="","未填贷方科目",IF(LEFT($M200,1)="⚠","借方科目不存在",IF(LEFT($N200,1)="⚠","贷方科目不存在",IF($F200=$G200,"借贷科目不能相同",IF(NOT(ISNUMBER($H200)),"金额须为数字",IF(N($H200)&lt;=0,"金额须大于0","√"))))))))))</f>
        <v/>
      </c>
      <c r="M200" s="50" t="str">
        <f aca="false">IF($F200="","",IFERROR(INDEX(科目参数!$B$6:$B$125,MATCH($F200,科目参数!$A$6:$A$125,0)),"⚠科目不存在"))</f>
        <v/>
      </c>
      <c r="N200" s="50" t="str">
        <f aca="false">IF($G200="","",IFERROR(INDEX(科目参数!$B$6:$B$125,MATCH($G200,科目参数!$A$6:$A$125,0)),"⚠科目不存在"))</f>
        <v/>
      </c>
    </row>
    <row r="201" customFormat="false" ht="15.75" hidden="false" customHeight="true" outlineLevel="0" collapsed="false">
      <c r="A201" s="42" t="str">
        <f aca="false">IF($B201="","","QT"&amp;TEXT($B201,"yyyymm")&amp;"-"&amp;TEXT(ROW()-4,"000"))</f>
        <v/>
      </c>
      <c r="B201" s="41"/>
      <c r="C201" s="42" t="str">
        <f aca="false">IF($B201="","",TEXT($B201,"yyyy-mm"))</f>
        <v/>
      </c>
      <c r="D201" s="33"/>
      <c r="E201" s="36"/>
      <c r="F201" s="31"/>
      <c r="G201" s="31"/>
      <c r="H201" s="40"/>
      <c r="I201" s="33"/>
      <c r="J201" s="31"/>
      <c r="K201" s="36"/>
      <c r="L201" s="47" t="str">
        <f aca="false">IF($B201="","",IF(NOT(ISNUMBER($B201)),"日期不是日期格式",IF(YEAR($B201)&lt;&gt;首页!$B$3,"不在会计年度",IF($F201="","未填借方科目",IF($G201="","未填贷方科目",IF(LEFT($M201,1)="⚠","借方科目不存在",IF(LEFT($N201,1)="⚠","贷方科目不存在",IF($F201=$G201,"借贷科目不能相同",IF(NOT(ISNUMBER($H201)),"金额须为数字",IF(N($H201)&lt;=0,"金额须大于0","√"))))))))))</f>
        <v/>
      </c>
      <c r="M201" s="50" t="str">
        <f aca="false">IF($F201="","",IFERROR(INDEX(科目参数!$B$6:$B$125,MATCH($F201,科目参数!$A$6:$A$125,0)),"⚠科目不存在"))</f>
        <v/>
      </c>
      <c r="N201" s="50" t="str">
        <f aca="false">IF($G201="","",IFERROR(INDEX(科目参数!$B$6:$B$125,MATCH($G201,科目参数!$A$6:$A$125,0)),"⚠科目不存在"))</f>
        <v/>
      </c>
    </row>
    <row r="202" customFormat="false" ht="15.75" hidden="false" customHeight="true" outlineLevel="0" collapsed="false">
      <c r="A202" s="42" t="str">
        <f aca="false">IF($B202="","","QT"&amp;TEXT($B202,"yyyymm")&amp;"-"&amp;TEXT(ROW()-4,"000"))</f>
        <v/>
      </c>
      <c r="B202" s="41"/>
      <c r="C202" s="42" t="str">
        <f aca="false">IF($B202="","",TEXT($B202,"yyyy-mm"))</f>
        <v/>
      </c>
      <c r="D202" s="33"/>
      <c r="E202" s="36"/>
      <c r="F202" s="31"/>
      <c r="G202" s="31"/>
      <c r="H202" s="40"/>
      <c r="I202" s="33"/>
      <c r="J202" s="31"/>
      <c r="K202" s="36"/>
      <c r="L202" s="47" t="str">
        <f aca="false">IF($B202="","",IF(NOT(ISNUMBER($B202)),"日期不是日期格式",IF(YEAR($B202)&lt;&gt;首页!$B$3,"不在会计年度",IF($F202="","未填借方科目",IF($G202="","未填贷方科目",IF(LEFT($M202,1)="⚠","借方科目不存在",IF(LEFT($N202,1)="⚠","贷方科目不存在",IF($F202=$G202,"借贷科目不能相同",IF(NOT(ISNUMBER($H202)),"金额须为数字",IF(N($H202)&lt;=0,"金额须大于0","√"))))))))))</f>
        <v/>
      </c>
      <c r="M202" s="50" t="str">
        <f aca="false">IF($F202="","",IFERROR(INDEX(科目参数!$B$6:$B$125,MATCH($F202,科目参数!$A$6:$A$125,0)),"⚠科目不存在"))</f>
        <v/>
      </c>
      <c r="N202" s="50" t="str">
        <f aca="false">IF($G202="","",IFERROR(INDEX(科目参数!$B$6:$B$125,MATCH($G202,科目参数!$A$6:$A$125,0)),"⚠科目不存在"))</f>
        <v/>
      </c>
    </row>
    <row r="203" customFormat="false" ht="15.75" hidden="false" customHeight="true" outlineLevel="0" collapsed="false">
      <c r="A203" s="42" t="str">
        <f aca="false">IF($B203="","","QT"&amp;TEXT($B203,"yyyymm")&amp;"-"&amp;TEXT(ROW()-4,"000"))</f>
        <v/>
      </c>
      <c r="B203" s="41"/>
      <c r="C203" s="42" t="str">
        <f aca="false">IF($B203="","",TEXT($B203,"yyyy-mm"))</f>
        <v/>
      </c>
      <c r="D203" s="33"/>
      <c r="E203" s="36"/>
      <c r="F203" s="31"/>
      <c r="G203" s="31"/>
      <c r="H203" s="40"/>
      <c r="I203" s="33"/>
      <c r="J203" s="31"/>
      <c r="K203" s="36"/>
      <c r="L203" s="47" t="str">
        <f aca="false">IF($B203="","",IF(NOT(ISNUMBER($B203)),"日期不是日期格式",IF(YEAR($B203)&lt;&gt;首页!$B$3,"不在会计年度",IF($F203="","未填借方科目",IF($G203="","未填贷方科目",IF(LEFT($M203,1)="⚠","借方科目不存在",IF(LEFT($N203,1)="⚠","贷方科目不存在",IF($F203=$G203,"借贷科目不能相同",IF(NOT(ISNUMBER($H203)),"金额须为数字",IF(N($H203)&lt;=0,"金额须大于0","√"))))))))))</f>
        <v/>
      </c>
      <c r="M203" s="50" t="str">
        <f aca="false">IF($F203="","",IFERROR(INDEX(科目参数!$B$6:$B$125,MATCH($F203,科目参数!$A$6:$A$125,0)),"⚠科目不存在"))</f>
        <v/>
      </c>
      <c r="N203" s="50" t="str">
        <f aca="false">IF($G203="","",IFERROR(INDEX(科目参数!$B$6:$B$125,MATCH($G203,科目参数!$A$6:$A$125,0)),"⚠科目不存在"))</f>
        <v/>
      </c>
    </row>
    <row r="204" customFormat="false" ht="15.75" hidden="false" customHeight="true" outlineLevel="0" collapsed="false">
      <c r="A204" s="42" t="str">
        <f aca="false">IF($B204="","","QT"&amp;TEXT($B204,"yyyymm")&amp;"-"&amp;TEXT(ROW()-4,"000"))</f>
        <v/>
      </c>
      <c r="B204" s="41"/>
      <c r="C204" s="42" t="str">
        <f aca="false">IF($B204="","",TEXT($B204,"yyyy-mm"))</f>
        <v/>
      </c>
      <c r="D204" s="33"/>
      <c r="E204" s="36"/>
      <c r="F204" s="31"/>
      <c r="G204" s="31"/>
      <c r="H204" s="40"/>
      <c r="I204" s="33"/>
      <c r="J204" s="31"/>
      <c r="K204" s="36"/>
      <c r="L204" s="47" t="str">
        <f aca="false">IF($B204="","",IF(NOT(ISNUMBER($B204)),"日期不是日期格式",IF(YEAR($B204)&lt;&gt;首页!$B$3,"不在会计年度",IF($F204="","未填借方科目",IF($G204="","未填贷方科目",IF(LEFT($M204,1)="⚠","借方科目不存在",IF(LEFT($N204,1)="⚠","贷方科目不存在",IF($F204=$G204,"借贷科目不能相同",IF(NOT(ISNUMBER($H204)),"金额须为数字",IF(N($H204)&lt;=0,"金额须大于0","√"))))))))))</f>
        <v/>
      </c>
      <c r="M204" s="50" t="str">
        <f aca="false">IF($F204="","",IFERROR(INDEX(科目参数!$B$6:$B$125,MATCH($F204,科目参数!$A$6:$A$125,0)),"⚠科目不存在"))</f>
        <v/>
      </c>
      <c r="N204" s="50" t="str">
        <f aca="false">IF($G204="","",IFERROR(INDEX(科目参数!$B$6:$B$125,MATCH($G204,科目参数!$A$6:$A$125,0)),"⚠科目不存在"))</f>
        <v/>
      </c>
    </row>
    <row r="205" customFormat="false" ht="15.75" hidden="false" customHeight="true" outlineLevel="0" collapsed="false">
      <c r="A205" s="42" t="str">
        <f aca="false">IF($B205="","","QT"&amp;TEXT($B205,"yyyymm")&amp;"-"&amp;TEXT(ROW()-4,"000"))</f>
        <v/>
      </c>
      <c r="B205" s="41"/>
      <c r="C205" s="42" t="str">
        <f aca="false">IF($B205="","",TEXT($B205,"yyyy-mm"))</f>
        <v/>
      </c>
      <c r="D205" s="33"/>
      <c r="E205" s="36"/>
      <c r="F205" s="31"/>
      <c r="G205" s="31"/>
      <c r="H205" s="40"/>
      <c r="I205" s="33"/>
      <c r="J205" s="31"/>
      <c r="K205" s="36"/>
      <c r="L205" s="47" t="str">
        <f aca="false">IF($B205="","",IF(NOT(ISNUMBER($B205)),"日期不是日期格式",IF(YEAR($B205)&lt;&gt;首页!$B$3,"不在会计年度",IF($F205="","未填借方科目",IF($G205="","未填贷方科目",IF(LEFT($M205,1)="⚠","借方科目不存在",IF(LEFT($N205,1)="⚠","贷方科目不存在",IF($F205=$G205,"借贷科目不能相同",IF(NOT(ISNUMBER($H205)),"金额须为数字",IF(N($H205)&lt;=0,"金额须大于0","√"))))))))))</f>
        <v/>
      </c>
      <c r="M205" s="50" t="str">
        <f aca="false">IF($F205="","",IFERROR(INDEX(科目参数!$B$6:$B$125,MATCH($F205,科目参数!$A$6:$A$125,0)),"⚠科目不存在"))</f>
        <v/>
      </c>
      <c r="N205" s="50" t="str">
        <f aca="false">IF($G205="","",IFERROR(INDEX(科目参数!$B$6:$B$125,MATCH($G205,科目参数!$A$6:$A$125,0)),"⚠科目不存在"))</f>
        <v/>
      </c>
    </row>
    <row r="206" customFormat="false" ht="15.75" hidden="false" customHeight="true" outlineLevel="0" collapsed="false">
      <c r="A206" s="42" t="str">
        <f aca="false">IF($B206="","","QT"&amp;TEXT($B206,"yyyymm")&amp;"-"&amp;TEXT(ROW()-4,"000"))</f>
        <v/>
      </c>
      <c r="B206" s="41"/>
      <c r="C206" s="42" t="str">
        <f aca="false">IF($B206="","",TEXT($B206,"yyyy-mm"))</f>
        <v/>
      </c>
      <c r="D206" s="33"/>
      <c r="E206" s="36"/>
      <c r="F206" s="31"/>
      <c r="G206" s="31"/>
      <c r="H206" s="40"/>
      <c r="I206" s="33"/>
      <c r="J206" s="31"/>
      <c r="K206" s="36"/>
      <c r="L206" s="47" t="str">
        <f aca="false">IF($B206="","",IF(NOT(ISNUMBER($B206)),"日期不是日期格式",IF(YEAR($B206)&lt;&gt;首页!$B$3,"不在会计年度",IF($F206="","未填借方科目",IF($G206="","未填贷方科目",IF(LEFT($M206,1)="⚠","借方科目不存在",IF(LEFT($N206,1)="⚠","贷方科目不存在",IF($F206=$G206,"借贷科目不能相同",IF(NOT(ISNUMBER($H206)),"金额须为数字",IF(N($H206)&lt;=0,"金额须大于0","√"))))))))))</f>
        <v/>
      </c>
      <c r="M206" s="50" t="str">
        <f aca="false">IF($F206="","",IFERROR(INDEX(科目参数!$B$6:$B$125,MATCH($F206,科目参数!$A$6:$A$125,0)),"⚠科目不存在"))</f>
        <v/>
      </c>
      <c r="N206" s="50" t="str">
        <f aca="false">IF($G206="","",IFERROR(INDEX(科目参数!$B$6:$B$125,MATCH($G206,科目参数!$A$6:$A$125,0)),"⚠科目不存在"))</f>
        <v/>
      </c>
    </row>
    <row r="207" customFormat="false" ht="15.75" hidden="false" customHeight="true" outlineLevel="0" collapsed="false">
      <c r="A207" s="42" t="str">
        <f aca="false">IF($B207="","","QT"&amp;TEXT($B207,"yyyymm")&amp;"-"&amp;TEXT(ROW()-4,"000"))</f>
        <v/>
      </c>
      <c r="B207" s="41"/>
      <c r="C207" s="42" t="str">
        <f aca="false">IF($B207="","",TEXT($B207,"yyyy-mm"))</f>
        <v/>
      </c>
      <c r="D207" s="33"/>
      <c r="E207" s="36"/>
      <c r="F207" s="31"/>
      <c r="G207" s="31"/>
      <c r="H207" s="40"/>
      <c r="I207" s="33"/>
      <c r="J207" s="31"/>
      <c r="K207" s="36"/>
      <c r="L207" s="47" t="str">
        <f aca="false">IF($B207="","",IF(NOT(ISNUMBER($B207)),"日期不是日期格式",IF(YEAR($B207)&lt;&gt;首页!$B$3,"不在会计年度",IF($F207="","未填借方科目",IF($G207="","未填贷方科目",IF(LEFT($M207,1)="⚠","借方科目不存在",IF(LEFT($N207,1)="⚠","贷方科目不存在",IF($F207=$G207,"借贷科目不能相同",IF(NOT(ISNUMBER($H207)),"金额须为数字",IF(N($H207)&lt;=0,"金额须大于0","√"))))))))))</f>
        <v/>
      </c>
      <c r="M207" s="50" t="str">
        <f aca="false">IF($F207="","",IFERROR(INDEX(科目参数!$B$6:$B$125,MATCH($F207,科目参数!$A$6:$A$125,0)),"⚠科目不存在"))</f>
        <v/>
      </c>
      <c r="N207" s="50" t="str">
        <f aca="false">IF($G207="","",IFERROR(INDEX(科目参数!$B$6:$B$125,MATCH($G207,科目参数!$A$6:$A$125,0)),"⚠科目不存在"))</f>
        <v/>
      </c>
    </row>
    <row r="208" customFormat="false" ht="15.75" hidden="false" customHeight="true" outlineLevel="0" collapsed="false">
      <c r="A208" s="42" t="str">
        <f aca="false">IF($B208="","","QT"&amp;TEXT($B208,"yyyymm")&amp;"-"&amp;TEXT(ROW()-4,"000"))</f>
        <v/>
      </c>
      <c r="B208" s="41"/>
      <c r="C208" s="42" t="str">
        <f aca="false">IF($B208="","",TEXT($B208,"yyyy-mm"))</f>
        <v/>
      </c>
      <c r="D208" s="33"/>
      <c r="E208" s="36"/>
      <c r="F208" s="31"/>
      <c r="G208" s="31"/>
      <c r="H208" s="40"/>
      <c r="I208" s="33"/>
      <c r="J208" s="31"/>
      <c r="K208" s="36"/>
      <c r="L208" s="47" t="str">
        <f aca="false">IF($B208="","",IF(NOT(ISNUMBER($B208)),"日期不是日期格式",IF(YEAR($B208)&lt;&gt;首页!$B$3,"不在会计年度",IF($F208="","未填借方科目",IF($G208="","未填贷方科目",IF(LEFT($M208,1)="⚠","借方科目不存在",IF(LEFT($N208,1)="⚠","贷方科目不存在",IF($F208=$G208,"借贷科目不能相同",IF(NOT(ISNUMBER($H208)),"金额须为数字",IF(N($H208)&lt;=0,"金额须大于0","√"))))))))))</f>
        <v/>
      </c>
      <c r="M208" s="50" t="str">
        <f aca="false">IF($F208="","",IFERROR(INDEX(科目参数!$B$6:$B$125,MATCH($F208,科目参数!$A$6:$A$125,0)),"⚠科目不存在"))</f>
        <v/>
      </c>
      <c r="N208" s="50" t="str">
        <f aca="false">IF($G208="","",IFERROR(INDEX(科目参数!$B$6:$B$125,MATCH($G208,科目参数!$A$6:$A$125,0)),"⚠科目不存在"))</f>
        <v/>
      </c>
    </row>
    <row r="209" customFormat="false" ht="15.75" hidden="false" customHeight="true" outlineLevel="0" collapsed="false">
      <c r="A209" s="42" t="str">
        <f aca="false">IF($B209="","","QT"&amp;TEXT($B209,"yyyymm")&amp;"-"&amp;TEXT(ROW()-4,"000"))</f>
        <v/>
      </c>
      <c r="B209" s="41"/>
      <c r="C209" s="42" t="str">
        <f aca="false">IF($B209="","",TEXT($B209,"yyyy-mm"))</f>
        <v/>
      </c>
      <c r="D209" s="33"/>
      <c r="E209" s="36"/>
      <c r="F209" s="31"/>
      <c r="G209" s="31"/>
      <c r="H209" s="40"/>
      <c r="I209" s="33"/>
      <c r="J209" s="31"/>
      <c r="K209" s="36"/>
      <c r="L209" s="47" t="str">
        <f aca="false">IF($B209="","",IF(NOT(ISNUMBER($B209)),"日期不是日期格式",IF(YEAR($B209)&lt;&gt;首页!$B$3,"不在会计年度",IF($F209="","未填借方科目",IF($G209="","未填贷方科目",IF(LEFT($M209,1)="⚠","借方科目不存在",IF(LEFT($N209,1)="⚠","贷方科目不存在",IF($F209=$G209,"借贷科目不能相同",IF(NOT(ISNUMBER($H209)),"金额须为数字",IF(N($H209)&lt;=0,"金额须大于0","√"))))))))))</f>
        <v/>
      </c>
      <c r="M209" s="50" t="str">
        <f aca="false">IF($F209="","",IFERROR(INDEX(科目参数!$B$6:$B$125,MATCH($F209,科目参数!$A$6:$A$125,0)),"⚠科目不存在"))</f>
        <v/>
      </c>
      <c r="N209" s="50" t="str">
        <f aca="false">IF($G209="","",IFERROR(INDEX(科目参数!$B$6:$B$125,MATCH($G209,科目参数!$A$6:$A$125,0)),"⚠科目不存在"))</f>
        <v/>
      </c>
    </row>
    <row r="210" customFormat="false" ht="15.75" hidden="false" customHeight="true" outlineLevel="0" collapsed="false">
      <c r="A210" s="42" t="str">
        <f aca="false">IF($B210="","","QT"&amp;TEXT($B210,"yyyymm")&amp;"-"&amp;TEXT(ROW()-4,"000"))</f>
        <v/>
      </c>
      <c r="B210" s="41"/>
      <c r="C210" s="42" t="str">
        <f aca="false">IF($B210="","",TEXT($B210,"yyyy-mm"))</f>
        <v/>
      </c>
      <c r="D210" s="33"/>
      <c r="E210" s="36"/>
      <c r="F210" s="31"/>
      <c r="G210" s="31"/>
      <c r="H210" s="40"/>
      <c r="I210" s="33"/>
      <c r="J210" s="31"/>
      <c r="K210" s="36"/>
      <c r="L210" s="47" t="str">
        <f aca="false">IF($B210="","",IF(NOT(ISNUMBER($B210)),"日期不是日期格式",IF(YEAR($B210)&lt;&gt;首页!$B$3,"不在会计年度",IF($F210="","未填借方科目",IF($G210="","未填贷方科目",IF(LEFT($M210,1)="⚠","借方科目不存在",IF(LEFT($N210,1)="⚠","贷方科目不存在",IF($F210=$G210,"借贷科目不能相同",IF(NOT(ISNUMBER($H210)),"金额须为数字",IF(N($H210)&lt;=0,"金额须大于0","√"))))))))))</f>
        <v/>
      </c>
      <c r="M210" s="50" t="str">
        <f aca="false">IF($F210="","",IFERROR(INDEX(科目参数!$B$6:$B$125,MATCH($F210,科目参数!$A$6:$A$125,0)),"⚠科目不存在"))</f>
        <v/>
      </c>
      <c r="N210" s="50" t="str">
        <f aca="false">IF($G210="","",IFERROR(INDEX(科目参数!$B$6:$B$125,MATCH($G210,科目参数!$A$6:$A$125,0)),"⚠科目不存在"))</f>
        <v/>
      </c>
    </row>
    <row r="211" customFormat="false" ht="15.75" hidden="false" customHeight="true" outlineLevel="0" collapsed="false">
      <c r="A211" s="42" t="str">
        <f aca="false">IF($B211="","","QT"&amp;TEXT($B211,"yyyymm")&amp;"-"&amp;TEXT(ROW()-4,"000"))</f>
        <v/>
      </c>
      <c r="B211" s="41"/>
      <c r="C211" s="42" t="str">
        <f aca="false">IF($B211="","",TEXT($B211,"yyyy-mm"))</f>
        <v/>
      </c>
      <c r="D211" s="33"/>
      <c r="E211" s="36"/>
      <c r="F211" s="31"/>
      <c r="G211" s="31"/>
      <c r="H211" s="40"/>
      <c r="I211" s="33"/>
      <c r="J211" s="31"/>
      <c r="K211" s="36"/>
      <c r="L211" s="47" t="str">
        <f aca="false">IF($B211="","",IF(NOT(ISNUMBER($B211)),"日期不是日期格式",IF(YEAR($B211)&lt;&gt;首页!$B$3,"不在会计年度",IF($F211="","未填借方科目",IF($G211="","未填贷方科目",IF(LEFT($M211,1)="⚠","借方科目不存在",IF(LEFT($N211,1)="⚠","贷方科目不存在",IF($F211=$G211,"借贷科目不能相同",IF(NOT(ISNUMBER($H211)),"金额须为数字",IF(N($H211)&lt;=0,"金额须大于0","√"))))))))))</f>
        <v/>
      </c>
      <c r="M211" s="50" t="str">
        <f aca="false">IF($F211="","",IFERROR(INDEX(科目参数!$B$6:$B$125,MATCH($F211,科目参数!$A$6:$A$125,0)),"⚠科目不存在"))</f>
        <v/>
      </c>
      <c r="N211" s="50" t="str">
        <f aca="false">IF($G211="","",IFERROR(INDEX(科目参数!$B$6:$B$125,MATCH($G211,科目参数!$A$6:$A$125,0)),"⚠科目不存在"))</f>
        <v/>
      </c>
    </row>
    <row r="212" customFormat="false" ht="15.75" hidden="false" customHeight="true" outlineLevel="0" collapsed="false">
      <c r="A212" s="42" t="str">
        <f aca="false">IF($B212="","","QT"&amp;TEXT($B212,"yyyymm")&amp;"-"&amp;TEXT(ROW()-4,"000"))</f>
        <v/>
      </c>
      <c r="B212" s="41"/>
      <c r="C212" s="42" t="str">
        <f aca="false">IF($B212="","",TEXT($B212,"yyyy-mm"))</f>
        <v/>
      </c>
      <c r="D212" s="33"/>
      <c r="E212" s="36"/>
      <c r="F212" s="31"/>
      <c r="G212" s="31"/>
      <c r="H212" s="40"/>
      <c r="I212" s="33"/>
      <c r="J212" s="31"/>
      <c r="K212" s="36"/>
      <c r="L212" s="47" t="str">
        <f aca="false">IF($B212="","",IF(NOT(ISNUMBER($B212)),"日期不是日期格式",IF(YEAR($B212)&lt;&gt;首页!$B$3,"不在会计年度",IF($F212="","未填借方科目",IF($G212="","未填贷方科目",IF(LEFT($M212,1)="⚠","借方科目不存在",IF(LEFT($N212,1)="⚠","贷方科目不存在",IF($F212=$G212,"借贷科目不能相同",IF(NOT(ISNUMBER($H212)),"金额须为数字",IF(N($H212)&lt;=0,"金额须大于0","√"))))))))))</f>
        <v/>
      </c>
      <c r="M212" s="50" t="str">
        <f aca="false">IF($F212="","",IFERROR(INDEX(科目参数!$B$6:$B$125,MATCH($F212,科目参数!$A$6:$A$125,0)),"⚠科目不存在"))</f>
        <v/>
      </c>
      <c r="N212" s="50" t="str">
        <f aca="false">IF($G212="","",IFERROR(INDEX(科目参数!$B$6:$B$125,MATCH($G212,科目参数!$A$6:$A$125,0)),"⚠科目不存在"))</f>
        <v/>
      </c>
    </row>
    <row r="213" customFormat="false" ht="15.75" hidden="false" customHeight="true" outlineLevel="0" collapsed="false">
      <c r="A213" s="42" t="str">
        <f aca="false">IF($B213="","","QT"&amp;TEXT($B213,"yyyymm")&amp;"-"&amp;TEXT(ROW()-4,"000"))</f>
        <v/>
      </c>
      <c r="B213" s="41"/>
      <c r="C213" s="42" t="str">
        <f aca="false">IF($B213="","",TEXT($B213,"yyyy-mm"))</f>
        <v/>
      </c>
      <c r="D213" s="33"/>
      <c r="E213" s="36"/>
      <c r="F213" s="31"/>
      <c r="G213" s="31"/>
      <c r="H213" s="40"/>
      <c r="I213" s="33"/>
      <c r="J213" s="31"/>
      <c r="K213" s="36"/>
      <c r="L213" s="47" t="str">
        <f aca="false">IF($B213="","",IF(NOT(ISNUMBER($B213)),"日期不是日期格式",IF(YEAR($B213)&lt;&gt;首页!$B$3,"不在会计年度",IF($F213="","未填借方科目",IF($G213="","未填贷方科目",IF(LEFT($M213,1)="⚠","借方科目不存在",IF(LEFT($N213,1)="⚠","贷方科目不存在",IF($F213=$G213,"借贷科目不能相同",IF(NOT(ISNUMBER($H213)),"金额须为数字",IF(N($H213)&lt;=0,"金额须大于0","√"))))))))))</f>
        <v/>
      </c>
      <c r="M213" s="50" t="str">
        <f aca="false">IF($F213="","",IFERROR(INDEX(科目参数!$B$6:$B$125,MATCH($F213,科目参数!$A$6:$A$125,0)),"⚠科目不存在"))</f>
        <v/>
      </c>
      <c r="N213" s="50" t="str">
        <f aca="false">IF($G213="","",IFERROR(INDEX(科目参数!$B$6:$B$125,MATCH($G213,科目参数!$A$6:$A$125,0)),"⚠科目不存在"))</f>
        <v/>
      </c>
    </row>
    <row r="214" customFormat="false" ht="15.75" hidden="false" customHeight="true" outlineLevel="0" collapsed="false">
      <c r="A214" s="42" t="str">
        <f aca="false">IF($B214="","","QT"&amp;TEXT($B214,"yyyymm")&amp;"-"&amp;TEXT(ROW()-4,"000"))</f>
        <v/>
      </c>
      <c r="B214" s="41"/>
      <c r="C214" s="42" t="str">
        <f aca="false">IF($B214="","",TEXT($B214,"yyyy-mm"))</f>
        <v/>
      </c>
      <c r="D214" s="33"/>
      <c r="E214" s="36"/>
      <c r="F214" s="31"/>
      <c r="G214" s="31"/>
      <c r="H214" s="40"/>
      <c r="I214" s="33"/>
      <c r="J214" s="31"/>
      <c r="K214" s="36"/>
      <c r="L214" s="47" t="str">
        <f aca="false">IF($B214="","",IF(NOT(ISNUMBER($B214)),"日期不是日期格式",IF(YEAR($B214)&lt;&gt;首页!$B$3,"不在会计年度",IF($F214="","未填借方科目",IF($G214="","未填贷方科目",IF(LEFT($M214,1)="⚠","借方科目不存在",IF(LEFT($N214,1)="⚠","贷方科目不存在",IF($F214=$G214,"借贷科目不能相同",IF(NOT(ISNUMBER($H214)),"金额须为数字",IF(N($H214)&lt;=0,"金额须大于0","√"))))))))))</f>
        <v/>
      </c>
      <c r="M214" s="50" t="str">
        <f aca="false">IF($F214="","",IFERROR(INDEX(科目参数!$B$6:$B$125,MATCH($F214,科目参数!$A$6:$A$125,0)),"⚠科目不存在"))</f>
        <v/>
      </c>
      <c r="N214" s="50" t="str">
        <f aca="false">IF($G214="","",IFERROR(INDEX(科目参数!$B$6:$B$125,MATCH($G214,科目参数!$A$6:$A$125,0)),"⚠科目不存在"))</f>
        <v/>
      </c>
    </row>
    <row r="215" customFormat="false" ht="15.75" hidden="false" customHeight="true" outlineLevel="0" collapsed="false">
      <c r="A215" s="42" t="str">
        <f aca="false">IF($B215="","","QT"&amp;TEXT($B215,"yyyymm")&amp;"-"&amp;TEXT(ROW()-4,"000"))</f>
        <v/>
      </c>
      <c r="B215" s="41"/>
      <c r="C215" s="42" t="str">
        <f aca="false">IF($B215="","",TEXT($B215,"yyyy-mm"))</f>
        <v/>
      </c>
      <c r="D215" s="33"/>
      <c r="E215" s="36"/>
      <c r="F215" s="31"/>
      <c r="G215" s="31"/>
      <c r="H215" s="40"/>
      <c r="I215" s="33"/>
      <c r="J215" s="31"/>
      <c r="K215" s="36"/>
      <c r="L215" s="47" t="str">
        <f aca="false">IF($B215="","",IF(NOT(ISNUMBER($B215)),"日期不是日期格式",IF(YEAR($B215)&lt;&gt;首页!$B$3,"不在会计年度",IF($F215="","未填借方科目",IF($G215="","未填贷方科目",IF(LEFT($M215,1)="⚠","借方科目不存在",IF(LEFT($N215,1)="⚠","贷方科目不存在",IF($F215=$G215,"借贷科目不能相同",IF(NOT(ISNUMBER($H215)),"金额须为数字",IF(N($H215)&lt;=0,"金额须大于0","√"))))))))))</f>
        <v/>
      </c>
      <c r="M215" s="50" t="str">
        <f aca="false">IF($F215="","",IFERROR(INDEX(科目参数!$B$6:$B$125,MATCH($F215,科目参数!$A$6:$A$125,0)),"⚠科目不存在"))</f>
        <v/>
      </c>
      <c r="N215" s="50" t="str">
        <f aca="false">IF($G215="","",IFERROR(INDEX(科目参数!$B$6:$B$125,MATCH($G215,科目参数!$A$6:$A$125,0)),"⚠科目不存在"))</f>
        <v/>
      </c>
    </row>
    <row r="216" customFormat="false" ht="15.75" hidden="false" customHeight="true" outlineLevel="0" collapsed="false">
      <c r="A216" s="42" t="str">
        <f aca="false">IF($B216="","","QT"&amp;TEXT($B216,"yyyymm")&amp;"-"&amp;TEXT(ROW()-4,"000"))</f>
        <v/>
      </c>
      <c r="B216" s="41"/>
      <c r="C216" s="42" t="str">
        <f aca="false">IF($B216="","",TEXT($B216,"yyyy-mm"))</f>
        <v/>
      </c>
      <c r="D216" s="33"/>
      <c r="E216" s="36"/>
      <c r="F216" s="31"/>
      <c r="G216" s="31"/>
      <c r="H216" s="40"/>
      <c r="I216" s="33"/>
      <c r="J216" s="31"/>
      <c r="K216" s="36"/>
      <c r="L216" s="47" t="str">
        <f aca="false">IF($B216="","",IF(NOT(ISNUMBER($B216)),"日期不是日期格式",IF(YEAR($B216)&lt;&gt;首页!$B$3,"不在会计年度",IF($F216="","未填借方科目",IF($G216="","未填贷方科目",IF(LEFT($M216,1)="⚠","借方科目不存在",IF(LEFT($N216,1)="⚠","贷方科目不存在",IF($F216=$G216,"借贷科目不能相同",IF(NOT(ISNUMBER($H216)),"金额须为数字",IF(N($H216)&lt;=0,"金额须大于0","√"))))))))))</f>
        <v/>
      </c>
      <c r="M216" s="50" t="str">
        <f aca="false">IF($F216="","",IFERROR(INDEX(科目参数!$B$6:$B$125,MATCH($F216,科目参数!$A$6:$A$125,0)),"⚠科目不存在"))</f>
        <v/>
      </c>
      <c r="N216" s="50" t="str">
        <f aca="false">IF($G216="","",IFERROR(INDEX(科目参数!$B$6:$B$125,MATCH($G216,科目参数!$A$6:$A$125,0)),"⚠科目不存在"))</f>
        <v/>
      </c>
    </row>
    <row r="217" customFormat="false" ht="15.75" hidden="false" customHeight="true" outlineLevel="0" collapsed="false">
      <c r="A217" s="42" t="str">
        <f aca="false">IF($B217="","","QT"&amp;TEXT($B217,"yyyymm")&amp;"-"&amp;TEXT(ROW()-4,"000"))</f>
        <v/>
      </c>
      <c r="B217" s="41"/>
      <c r="C217" s="42" t="str">
        <f aca="false">IF($B217="","",TEXT($B217,"yyyy-mm"))</f>
        <v/>
      </c>
      <c r="D217" s="33"/>
      <c r="E217" s="36"/>
      <c r="F217" s="31"/>
      <c r="G217" s="31"/>
      <c r="H217" s="40"/>
      <c r="I217" s="33"/>
      <c r="J217" s="31"/>
      <c r="K217" s="36"/>
      <c r="L217" s="47" t="str">
        <f aca="false">IF($B217="","",IF(NOT(ISNUMBER($B217)),"日期不是日期格式",IF(YEAR($B217)&lt;&gt;首页!$B$3,"不在会计年度",IF($F217="","未填借方科目",IF($G217="","未填贷方科目",IF(LEFT($M217,1)="⚠","借方科目不存在",IF(LEFT($N217,1)="⚠","贷方科目不存在",IF($F217=$G217,"借贷科目不能相同",IF(NOT(ISNUMBER($H217)),"金额须为数字",IF(N($H217)&lt;=0,"金额须大于0","√"))))))))))</f>
        <v/>
      </c>
      <c r="M217" s="50" t="str">
        <f aca="false">IF($F217="","",IFERROR(INDEX(科目参数!$B$6:$B$125,MATCH($F217,科目参数!$A$6:$A$125,0)),"⚠科目不存在"))</f>
        <v/>
      </c>
      <c r="N217" s="50" t="str">
        <f aca="false">IF($G217="","",IFERROR(INDEX(科目参数!$B$6:$B$125,MATCH($G217,科目参数!$A$6:$A$125,0)),"⚠科目不存在"))</f>
        <v/>
      </c>
    </row>
    <row r="218" customFormat="false" ht="15.75" hidden="false" customHeight="true" outlineLevel="0" collapsed="false">
      <c r="A218" s="42" t="str">
        <f aca="false">IF($B218="","","QT"&amp;TEXT($B218,"yyyymm")&amp;"-"&amp;TEXT(ROW()-4,"000"))</f>
        <v/>
      </c>
      <c r="B218" s="41"/>
      <c r="C218" s="42" t="str">
        <f aca="false">IF($B218="","",TEXT($B218,"yyyy-mm"))</f>
        <v/>
      </c>
      <c r="D218" s="33"/>
      <c r="E218" s="36"/>
      <c r="F218" s="31"/>
      <c r="G218" s="31"/>
      <c r="H218" s="40"/>
      <c r="I218" s="33"/>
      <c r="J218" s="31"/>
      <c r="K218" s="36"/>
      <c r="L218" s="47" t="str">
        <f aca="false">IF($B218="","",IF(NOT(ISNUMBER($B218)),"日期不是日期格式",IF(YEAR($B218)&lt;&gt;首页!$B$3,"不在会计年度",IF($F218="","未填借方科目",IF($G218="","未填贷方科目",IF(LEFT($M218,1)="⚠","借方科目不存在",IF(LEFT($N218,1)="⚠","贷方科目不存在",IF($F218=$G218,"借贷科目不能相同",IF(NOT(ISNUMBER($H218)),"金额须为数字",IF(N($H218)&lt;=0,"金额须大于0","√"))))))))))</f>
        <v/>
      </c>
      <c r="M218" s="50" t="str">
        <f aca="false">IF($F218="","",IFERROR(INDEX(科目参数!$B$6:$B$125,MATCH($F218,科目参数!$A$6:$A$125,0)),"⚠科目不存在"))</f>
        <v/>
      </c>
      <c r="N218" s="50" t="str">
        <f aca="false">IF($G218="","",IFERROR(INDEX(科目参数!$B$6:$B$125,MATCH($G218,科目参数!$A$6:$A$125,0)),"⚠科目不存在"))</f>
        <v/>
      </c>
    </row>
    <row r="219" customFormat="false" ht="15.75" hidden="false" customHeight="true" outlineLevel="0" collapsed="false">
      <c r="A219" s="42" t="str">
        <f aca="false">IF($B219="","","QT"&amp;TEXT($B219,"yyyymm")&amp;"-"&amp;TEXT(ROW()-4,"000"))</f>
        <v/>
      </c>
      <c r="B219" s="41"/>
      <c r="C219" s="42" t="str">
        <f aca="false">IF($B219="","",TEXT($B219,"yyyy-mm"))</f>
        <v/>
      </c>
      <c r="D219" s="33"/>
      <c r="E219" s="36"/>
      <c r="F219" s="31"/>
      <c r="G219" s="31"/>
      <c r="H219" s="40"/>
      <c r="I219" s="33"/>
      <c r="J219" s="31"/>
      <c r="K219" s="36"/>
      <c r="L219" s="47" t="str">
        <f aca="false">IF($B219="","",IF(NOT(ISNUMBER($B219)),"日期不是日期格式",IF(YEAR($B219)&lt;&gt;首页!$B$3,"不在会计年度",IF($F219="","未填借方科目",IF($G219="","未填贷方科目",IF(LEFT($M219,1)="⚠","借方科目不存在",IF(LEFT($N219,1)="⚠","贷方科目不存在",IF($F219=$G219,"借贷科目不能相同",IF(NOT(ISNUMBER($H219)),"金额须为数字",IF(N($H219)&lt;=0,"金额须大于0","√"))))))))))</f>
        <v/>
      </c>
      <c r="M219" s="50" t="str">
        <f aca="false">IF($F219="","",IFERROR(INDEX(科目参数!$B$6:$B$125,MATCH($F219,科目参数!$A$6:$A$125,0)),"⚠科目不存在"))</f>
        <v/>
      </c>
      <c r="N219" s="50" t="str">
        <f aca="false">IF($G219="","",IFERROR(INDEX(科目参数!$B$6:$B$125,MATCH($G219,科目参数!$A$6:$A$125,0)),"⚠科目不存在"))</f>
        <v/>
      </c>
    </row>
    <row r="220" customFormat="false" ht="15.75" hidden="false" customHeight="true" outlineLevel="0" collapsed="false">
      <c r="A220" s="42" t="str">
        <f aca="false">IF($B220="","","QT"&amp;TEXT($B220,"yyyymm")&amp;"-"&amp;TEXT(ROW()-4,"000"))</f>
        <v/>
      </c>
      <c r="B220" s="41"/>
      <c r="C220" s="42" t="str">
        <f aca="false">IF($B220="","",TEXT($B220,"yyyy-mm"))</f>
        <v/>
      </c>
      <c r="D220" s="33"/>
      <c r="E220" s="36"/>
      <c r="F220" s="31"/>
      <c r="G220" s="31"/>
      <c r="H220" s="40"/>
      <c r="I220" s="33"/>
      <c r="J220" s="31"/>
      <c r="K220" s="36"/>
      <c r="L220" s="47" t="str">
        <f aca="false">IF($B220="","",IF(NOT(ISNUMBER($B220)),"日期不是日期格式",IF(YEAR($B220)&lt;&gt;首页!$B$3,"不在会计年度",IF($F220="","未填借方科目",IF($G220="","未填贷方科目",IF(LEFT($M220,1)="⚠","借方科目不存在",IF(LEFT($N220,1)="⚠","贷方科目不存在",IF($F220=$G220,"借贷科目不能相同",IF(NOT(ISNUMBER($H220)),"金额须为数字",IF(N($H220)&lt;=0,"金额须大于0","√"))))))))))</f>
        <v/>
      </c>
      <c r="M220" s="50" t="str">
        <f aca="false">IF($F220="","",IFERROR(INDEX(科目参数!$B$6:$B$125,MATCH($F220,科目参数!$A$6:$A$125,0)),"⚠科目不存在"))</f>
        <v/>
      </c>
      <c r="N220" s="50" t="str">
        <f aca="false">IF($G220="","",IFERROR(INDEX(科目参数!$B$6:$B$125,MATCH($G220,科目参数!$A$6:$A$125,0)),"⚠科目不存在"))</f>
        <v/>
      </c>
    </row>
    <row r="221" customFormat="false" ht="15.75" hidden="false" customHeight="true" outlineLevel="0" collapsed="false">
      <c r="A221" s="42" t="str">
        <f aca="false">IF($B221="","","QT"&amp;TEXT($B221,"yyyymm")&amp;"-"&amp;TEXT(ROW()-4,"000"))</f>
        <v/>
      </c>
      <c r="B221" s="41"/>
      <c r="C221" s="42" t="str">
        <f aca="false">IF($B221="","",TEXT($B221,"yyyy-mm"))</f>
        <v/>
      </c>
      <c r="D221" s="33"/>
      <c r="E221" s="36"/>
      <c r="F221" s="31"/>
      <c r="G221" s="31"/>
      <c r="H221" s="40"/>
      <c r="I221" s="33"/>
      <c r="J221" s="31"/>
      <c r="K221" s="36"/>
      <c r="L221" s="47" t="str">
        <f aca="false">IF($B221="","",IF(NOT(ISNUMBER($B221)),"日期不是日期格式",IF(YEAR($B221)&lt;&gt;首页!$B$3,"不在会计年度",IF($F221="","未填借方科目",IF($G221="","未填贷方科目",IF(LEFT($M221,1)="⚠","借方科目不存在",IF(LEFT($N221,1)="⚠","贷方科目不存在",IF($F221=$G221,"借贷科目不能相同",IF(NOT(ISNUMBER($H221)),"金额须为数字",IF(N($H221)&lt;=0,"金额须大于0","√"))))))))))</f>
        <v/>
      </c>
      <c r="M221" s="50" t="str">
        <f aca="false">IF($F221="","",IFERROR(INDEX(科目参数!$B$6:$B$125,MATCH($F221,科目参数!$A$6:$A$125,0)),"⚠科目不存在"))</f>
        <v/>
      </c>
      <c r="N221" s="50" t="str">
        <f aca="false">IF($G221="","",IFERROR(INDEX(科目参数!$B$6:$B$125,MATCH($G221,科目参数!$A$6:$A$125,0)),"⚠科目不存在"))</f>
        <v/>
      </c>
    </row>
    <row r="222" customFormat="false" ht="15.75" hidden="false" customHeight="true" outlineLevel="0" collapsed="false">
      <c r="A222" s="42" t="str">
        <f aca="false">IF($B222="","","QT"&amp;TEXT($B222,"yyyymm")&amp;"-"&amp;TEXT(ROW()-4,"000"))</f>
        <v/>
      </c>
      <c r="B222" s="41"/>
      <c r="C222" s="42" t="str">
        <f aca="false">IF($B222="","",TEXT($B222,"yyyy-mm"))</f>
        <v/>
      </c>
      <c r="D222" s="33"/>
      <c r="E222" s="36"/>
      <c r="F222" s="31"/>
      <c r="G222" s="31"/>
      <c r="H222" s="40"/>
      <c r="I222" s="33"/>
      <c r="J222" s="31"/>
      <c r="K222" s="36"/>
      <c r="L222" s="47" t="str">
        <f aca="false">IF($B222="","",IF(NOT(ISNUMBER($B222)),"日期不是日期格式",IF(YEAR($B222)&lt;&gt;首页!$B$3,"不在会计年度",IF($F222="","未填借方科目",IF($G222="","未填贷方科目",IF(LEFT($M222,1)="⚠","借方科目不存在",IF(LEFT($N222,1)="⚠","贷方科目不存在",IF($F222=$G222,"借贷科目不能相同",IF(NOT(ISNUMBER($H222)),"金额须为数字",IF(N($H222)&lt;=0,"金额须大于0","√"))))))))))</f>
        <v/>
      </c>
      <c r="M222" s="50" t="str">
        <f aca="false">IF($F222="","",IFERROR(INDEX(科目参数!$B$6:$B$125,MATCH($F222,科目参数!$A$6:$A$125,0)),"⚠科目不存在"))</f>
        <v/>
      </c>
      <c r="N222" s="50" t="str">
        <f aca="false">IF($G222="","",IFERROR(INDEX(科目参数!$B$6:$B$125,MATCH($G222,科目参数!$A$6:$A$125,0)),"⚠科目不存在"))</f>
        <v/>
      </c>
    </row>
    <row r="223" customFormat="false" ht="15.75" hidden="false" customHeight="true" outlineLevel="0" collapsed="false">
      <c r="A223" s="42" t="str">
        <f aca="false">IF($B223="","","QT"&amp;TEXT($B223,"yyyymm")&amp;"-"&amp;TEXT(ROW()-4,"000"))</f>
        <v/>
      </c>
      <c r="B223" s="41"/>
      <c r="C223" s="42" t="str">
        <f aca="false">IF($B223="","",TEXT($B223,"yyyy-mm"))</f>
        <v/>
      </c>
      <c r="D223" s="33"/>
      <c r="E223" s="36"/>
      <c r="F223" s="31"/>
      <c r="G223" s="31"/>
      <c r="H223" s="40"/>
      <c r="I223" s="33"/>
      <c r="J223" s="31"/>
      <c r="K223" s="36"/>
      <c r="L223" s="47" t="str">
        <f aca="false">IF($B223="","",IF(NOT(ISNUMBER($B223)),"日期不是日期格式",IF(YEAR($B223)&lt;&gt;首页!$B$3,"不在会计年度",IF($F223="","未填借方科目",IF($G223="","未填贷方科目",IF(LEFT($M223,1)="⚠","借方科目不存在",IF(LEFT($N223,1)="⚠","贷方科目不存在",IF($F223=$G223,"借贷科目不能相同",IF(NOT(ISNUMBER($H223)),"金额须为数字",IF(N($H223)&lt;=0,"金额须大于0","√"))))))))))</f>
        <v/>
      </c>
      <c r="M223" s="50" t="str">
        <f aca="false">IF($F223="","",IFERROR(INDEX(科目参数!$B$6:$B$125,MATCH($F223,科目参数!$A$6:$A$125,0)),"⚠科目不存在"))</f>
        <v/>
      </c>
      <c r="N223" s="50" t="str">
        <f aca="false">IF($G223="","",IFERROR(INDEX(科目参数!$B$6:$B$125,MATCH($G223,科目参数!$A$6:$A$125,0)),"⚠科目不存在"))</f>
        <v/>
      </c>
    </row>
    <row r="224" customFormat="false" ht="15.75" hidden="false" customHeight="true" outlineLevel="0" collapsed="false">
      <c r="A224" s="42" t="str">
        <f aca="false">IF($B224="","","QT"&amp;TEXT($B224,"yyyymm")&amp;"-"&amp;TEXT(ROW()-4,"000"))</f>
        <v/>
      </c>
      <c r="B224" s="41"/>
      <c r="C224" s="42" t="str">
        <f aca="false">IF($B224="","",TEXT($B224,"yyyy-mm"))</f>
        <v/>
      </c>
      <c r="D224" s="33"/>
      <c r="E224" s="36"/>
      <c r="F224" s="31"/>
      <c r="G224" s="31"/>
      <c r="H224" s="40"/>
      <c r="I224" s="33"/>
      <c r="J224" s="31"/>
      <c r="K224" s="36"/>
      <c r="L224" s="47" t="str">
        <f aca="false">IF($B224="","",IF(NOT(ISNUMBER($B224)),"日期不是日期格式",IF(YEAR($B224)&lt;&gt;首页!$B$3,"不在会计年度",IF($F224="","未填借方科目",IF($G224="","未填贷方科目",IF(LEFT($M224,1)="⚠","借方科目不存在",IF(LEFT($N224,1)="⚠","贷方科目不存在",IF($F224=$G224,"借贷科目不能相同",IF(NOT(ISNUMBER($H224)),"金额须为数字",IF(N($H224)&lt;=0,"金额须大于0","√"))))))))))</f>
        <v/>
      </c>
      <c r="M224" s="50" t="str">
        <f aca="false">IF($F224="","",IFERROR(INDEX(科目参数!$B$6:$B$125,MATCH($F224,科目参数!$A$6:$A$125,0)),"⚠科目不存在"))</f>
        <v/>
      </c>
      <c r="N224" s="50" t="str">
        <f aca="false">IF($G224="","",IFERROR(INDEX(科目参数!$B$6:$B$125,MATCH($G224,科目参数!$A$6:$A$125,0)),"⚠科目不存在"))</f>
        <v/>
      </c>
    </row>
    <row r="225" customFormat="false" ht="15.75" hidden="false" customHeight="true" outlineLevel="0" collapsed="false">
      <c r="A225" s="42" t="str">
        <f aca="false">IF($B225="","","QT"&amp;TEXT($B225,"yyyymm")&amp;"-"&amp;TEXT(ROW()-4,"000"))</f>
        <v/>
      </c>
      <c r="B225" s="41"/>
      <c r="C225" s="42" t="str">
        <f aca="false">IF($B225="","",TEXT($B225,"yyyy-mm"))</f>
        <v/>
      </c>
      <c r="D225" s="33"/>
      <c r="E225" s="36"/>
      <c r="F225" s="31"/>
      <c r="G225" s="31"/>
      <c r="H225" s="40"/>
      <c r="I225" s="33"/>
      <c r="J225" s="31"/>
      <c r="K225" s="36"/>
      <c r="L225" s="47" t="str">
        <f aca="false">IF($B225="","",IF(NOT(ISNUMBER($B225)),"日期不是日期格式",IF(YEAR($B225)&lt;&gt;首页!$B$3,"不在会计年度",IF($F225="","未填借方科目",IF($G225="","未填贷方科目",IF(LEFT($M225,1)="⚠","借方科目不存在",IF(LEFT($N225,1)="⚠","贷方科目不存在",IF($F225=$G225,"借贷科目不能相同",IF(NOT(ISNUMBER($H225)),"金额须为数字",IF(N($H225)&lt;=0,"金额须大于0","√"))))))))))</f>
        <v/>
      </c>
      <c r="M225" s="50" t="str">
        <f aca="false">IF($F225="","",IFERROR(INDEX(科目参数!$B$6:$B$125,MATCH($F225,科目参数!$A$6:$A$125,0)),"⚠科目不存在"))</f>
        <v/>
      </c>
      <c r="N225" s="50" t="str">
        <f aca="false">IF($G225="","",IFERROR(INDEX(科目参数!$B$6:$B$125,MATCH($G225,科目参数!$A$6:$A$125,0)),"⚠科目不存在"))</f>
        <v/>
      </c>
    </row>
    <row r="226" customFormat="false" ht="15.75" hidden="false" customHeight="true" outlineLevel="0" collapsed="false">
      <c r="A226" s="42" t="str">
        <f aca="false">IF($B226="","","QT"&amp;TEXT($B226,"yyyymm")&amp;"-"&amp;TEXT(ROW()-4,"000"))</f>
        <v/>
      </c>
      <c r="B226" s="41"/>
      <c r="C226" s="42" t="str">
        <f aca="false">IF($B226="","",TEXT($B226,"yyyy-mm"))</f>
        <v/>
      </c>
      <c r="D226" s="33"/>
      <c r="E226" s="36"/>
      <c r="F226" s="31"/>
      <c r="G226" s="31"/>
      <c r="H226" s="40"/>
      <c r="I226" s="33"/>
      <c r="J226" s="31"/>
      <c r="K226" s="36"/>
      <c r="L226" s="47" t="str">
        <f aca="false">IF($B226="","",IF(NOT(ISNUMBER($B226)),"日期不是日期格式",IF(YEAR($B226)&lt;&gt;首页!$B$3,"不在会计年度",IF($F226="","未填借方科目",IF($G226="","未填贷方科目",IF(LEFT($M226,1)="⚠","借方科目不存在",IF(LEFT($N226,1)="⚠","贷方科目不存在",IF($F226=$G226,"借贷科目不能相同",IF(NOT(ISNUMBER($H226)),"金额须为数字",IF(N($H226)&lt;=0,"金额须大于0","√"))))))))))</f>
        <v/>
      </c>
      <c r="M226" s="50" t="str">
        <f aca="false">IF($F226="","",IFERROR(INDEX(科目参数!$B$6:$B$125,MATCH($F226,科目参数!$A$6:$A$125,0)),"⚠科目不存在"))</f>
        <v/>
      </c>
      <c r="N226" s="50" t="str">
        <f aca="false">IF($G226="","",IFERROR(INDEX(科目参数!$B$6:$B$125,MATCH($G226,科目参数!$A$6:$A$125,0)),"⚠科目不存在"))</f>
        <v/>
      </c>
    </row>
    <row r="227" customFormat="false" ht="15.75" hidden="false" customHeight="true" outlineLevel="0" collapsed="false">
      <c r="A227" s="42" t="str">
        <f aca="false">IF($B227="","","QT"&amp;TEXT($B227,"yyyymm")&amp;"-"&amp;TEXT(ROW()-4,"000"))</f>
        <v/>
      </c>
      <c r="B227" s="41"/>
      <c r="C227" s="42" t="str">
        <f aca="false">IF($B227="","",TEXT($B227,"yyyy-mm"))</f>
        <v/>
      </c>
      <c r="D227" s="33"/>
      <c r="E227" s="36"/>
      <c r="F227" s="31"/>
      <c r="G227" s="31"/>
      <c r="H227" s="40"/>
      <c r="I227" s="33"/>
      <c r="J227" s="31"/>
      <c r="K227" s="36"/>
      <c r="L227" s="47" t="str">
        <f aca="false">IF($B227="","",IF(NOT(ISNUMBER($B227)),"日期不是日期格式",IF(YEAR($B227)&lt;&gt;首页!$B$3,"不在会计年度",IF($F227="","未填借方科目",IF($G227="","未填贷方科目",IF(LEFT($M227,1)="⚠","借方科目不存在",IF(LEFT($N227,1)="⚠","贷方科目不存在",IF($F227=$G227,"借贷科目不能相同",IF(NOT(ISNUMBER($H227)),"金额须为数字",IF(N($H227)&lt;=0,"金额须大于0","√"))))))))))</f>
        <v/>
      </c>
      <c r="M227" s="50" t="str">
        <f aca="false">IF($F227="","",IFERROR(INDEX(科目参数!$B$6:$B$125,MATCH($F227,科目参数!$A$6:$A$125,0)),"⚠科目不存在"))</f>
        <v/>
      </c>
      <c r="N227" s="50" t="str">
        <f aca="false">IF($G227="","",IFERROR(INDEX(科目参数!$B$6:$B$125,MATCH($G227,科目参数!$A$6:$A$125,0)),"⚠科目不存在"))</f>
        <v/>
      </c>
    </row>
    <row r="228" customFormat="false" ht="15.75" hidden="false" customHeight="true" outlineLevel="0" collapsed="false">
      <c r="A228" s="42" t="str">
        <f aca="false">IF($B228="","","QT"&amp;TEXT($B228,"yyyymm")&amp;"-"&amp;TEXT(ROW()-4,"000"))</f>
        <v/>
      </c>
      <c r="B228" s="41"/>
      <c r="C228" s="42" t="str">
        <f aca="false">IF($B228="","",TEXT($B228,"yyyy-mm"))</f>
        <v/>
      </c>
      <c r="D228" s="33"/>
      <c r="E228" s="36"/>
      <c r="F228" s="31"/>
      <c r="G228" s="31"/>
      <c r="H228" s="40"/>
      <c r="I228" s="33"/>
      <c r="J228" s="31"/>
      <c r="K228" s="36"/>
      <c r="L228" s="47" t="str">
        <f aca="false">IF($B228="","",IF(NOT(ISNUMBER($B228)),"日期不是日期格式",IF(YEAR($B228)&lt;&gt;首页!$B$3,"不在会计年度",IF($F228="","未填借方科目",IF($G228="","未填贷方科目",IF(LEFT($M228,1)="⚠","借方科目不存在",IF(LEFT($N228,1)="⚠","贷方科目不存在",IF($F228=$G228,"借贷科目不能相同",IF(NOT(ISNUMBER($H228)),"金额须为数字",IF(N($H228)&lt;=0,"金额须大于0","√"))))))))))</f>
        <v/>
      </c>
      <c r="M228" s="50" t="str">
        <f aca="false">IF($F228="","",IFERROR(INDEX(科目参数!$B$6:$B$125,MATCH($F228,科目参数!$A$6:$A$125,0)),"⚠科目不存在"))</f>
        <v/>
      </c>
      <c r="N228" s="50" t="str">
        <f aca="false">IF($G228="","",IFERROR(INDEX(科目参数!$B$6:$B$125,MATCH($G228,科目参数!$A$6:$A$125,0)),"⚠科目不存在"))</f>
        <v/>
      </c>
    </row>
    <row r="229" customFormat="false" ht="15.75" hidden="false" customHeight="true" outlineLevel="0" collapsed="false">
      <c r="A229" s="42" t="str">
        <f aca="false">IF($B229="","","QT"&amp;TEXT($B229,"yyyymm")&amp;"-"&amp;TEXT(ROW()-4,"000"))</f>
        <v/>
      </c>
      <c r="B229" s="41"/>
      <c r="C229" s="42" t="str">
        <f aca="false">IF($B229="","",TEXT($B229,"yyyy-mm"))</f>
        <v/>
      </c>
      <c r="D229" s="33"/>
      <c r="E229" s="36"/>
      <c r="F229" s="31"/>
      <c r="G229" s="31"/>
      <c r="H229" s="40"/>
      <c r="I229" s="33"/>
      <c r="J229" s="31"/>
      <c r="K229" s="36"/>
      <c r="L229" s="47" t="str">
        <f aca="false">IF($B229="","",IF(NOT(ISNUMBER($B229)),"日期不是日期格式",IF(YEAR($B229)&lt;&gt;首页!$B$3,"不在会计年度",IF($F229="","未填借方科目",IF($G229="","未填贷方科目",IF(LEFT($M229,1)="⚠","借方科目不存在",IF(LEFT($N229,1)="⚠","贷方科目不存在",IF($F229=$G229,"借贷科目不能相同",IF(NOT(ISNUMBER($H229)),"金额须为数字",IF(N($H229)&lt;=0,"金额须大于0","√"))))))))))</f>
        <v/>
      </c>
      <c r="M229" s="50" t="str">
        <f aca="false">IF($F229="","",IFERROR(INDEX(科目参数!$B$6:$B$125,MATCH($F229,科目参数!$A$6:$A$125,0)),"⚠科目不存在"))</f>
        <v/>
      </c>
      <c r="N229" s="50" t="str">
        <f aca="false">IF($G229="","",IFERROR(INDEX(科目参数!$B$6:$B$125,MATCH($G229,科目参数!$A$6:$A$125,0)),"⚠科目不存在"))</f>
        <v/>
      </c>
    </row>
    <row r="230" customFormat="false" ht="15.75" hidden="false" customHeight="true" outlineLevel="0" collapsed="false">
      <c r="A230" s="42" t="str">
        <f aca="false">IF($B230="","","QT"&amp;TEXT($B230,"yyyymm")&amp;"-"&amp;TEXT(ROW()-4,"000"))</f>
        <v/>
      </c>
      <c r="B230" s="41"/>
      <c r="C230" s="42" t="str">
        <f aca="false">IF($B230="","",TEXT($B230,"yyyy-mm"))</f>
        <v/>
      </c>
      <c r="D230" s="33"/>
      <c r="E230" s="36"/>
      <c r="F230" s="31"/>
      <c r="G230" s="31"/>
      <c r="H230" s="40"/>
      <c r="I230" s="33"/>
      <c r="J230" s="31"/>
      <c r="K230" s="36"/>
      <c r="L230" s="47" t="str">
        <f aca="false">IF($B230="","",IF(NOT(ISNUMBER($B230)),"日期不是日期格式",IF(YEAR($B230)&lt;&gt;首页!$B$3,"不在会计年度",IF($F230="","未填借方科目",IF($G230="","未填贷方科目",IF(LEFT($M230,1)="⚠","借方科目不存在",IF(LEFT($N230,1)="⚠","贷方科目不存在",IF($F230=$G230,"借贷科目不能相同",IF(NOT(ISNUMBER($H230)),"金额须为数字",IF(N($H230)&lt;=0,"金额须大于0","√"))))))))))</f>
        <v/>
      </c>
      <c r="M230" s="50" t="str">
        <f aca="false">IF($F230="","",IFERROR(INDEX(科目参数!$B$6:$B$125,MATCH($F230,科目参数!$A$6:$A$125,0)),"⚠科目不存在"))</f>
        <v/>
      </c>
      <c r="N230" s="50" t="str">
        <f aca="false">IF($G230="","",IFERROR(INDEX(科目参数!$B$6:$B$125,MATCH($G230,科目参数!$A$6:$A$125,0)),"⚠科目不存在"))</f>
        <v/>
      </c>
    </row>
    <row r="231" customFormat="false" ht="15.75" hidden="false" customHeight="true" outlineLevel="0" collapsed="false">
      <c r="A231" s="42" t="str">
        <f aca="false">IF($B231="","","QT"&amp;TEXT($B231,"yyyymm")&amp;"-"&amp;TEXT(ROW()-4,"000"))</f>
        <v/>
      </c>
      <c r="B231" s="41"/>
      <c r="C231" s="42" t="str">
        <f aca="false">IF($B231="","",TEXT($B231,"yyyy-mm"))</f>
        <v/>
      </c>
      <c r="D231" s="33"/>
      <c r="E231" s="36"/>
      <c r="F231" s="31"/>
      <c r="G231" s="31"/>
      <c r="H231" s="40"/>
      <c r="I231" s="33"/>
      <c r="J231" s="31"/>
      <c r="K231" s="36"/>
      <c r="L231" s="47" t="str">
        <f aca="false">IF($B231="","",IF(NOT(ISNUMBER($B231)),"日期不是日期格式",IF(YEAR($B231)&lt;&gt;首页!$B$3,"不在会计年度",IF($F231="","未填借方科目",IF($G231="","未填贷方科目",IF(LEFT($M231,1)="⚠","借方科目不存在",IF(LEFT($N231,1)="⚠","贷方科目不存在",IF($F231=$G231,"借贷科目不能相同",IF(NOT(ISNUMBER($H231)),"金额须为数字",IF(N($H231)&lt;=0,"金额须大于0","√"))))))))))</f>
        <v/>
      </c>
      <c r="M231" s="50" t="str">
        <f aca="false">IF($F231="","",IFERROR(INDEX(科目参数!$B$6:$B$125,MATCH($F231,科目参数!$A$6:$A$125,0)),"⚠科目不存在"))</f>
        <v/>
      </c>
      <c r="N231" s="50" t="str">
        <f aca="false">IF($G231="","",IFERROR(INDEX(科目参数!$B$6:$B$125,MATCH($G231,科目参数!$A$6:$A$125,0)),"⚠科目不存在"))</f>
        <v/>
      </c>
    </row>
    <row r="232" customFormat="false" ht="15.75" hidden="false" customHeight="true" outlineLevel="0" collapsed="false">
      <c r="A232" s="42" t="str">
        <f aca="false">IF($B232="","","QT"&amp;TEXT($B232,"yyyymm")&amp;"-"&amp;TEXT(ROW()-4,"000"))</f>
        <v/>
      </c>
      <c r="B232" s="41"/>
      <c r="C232" s="42" t="str">
        <f aca="false">IF($B232="","",TEXT($B232,"yyyy-mm"))</f>
        <v/>
      </c>
      <c r="D232" s="33"/>
      <c r="E232" s="36"/>
      <c r="F232" s="31"/>
      <c r="G232" s="31"/>
      <c r="H232" s="40"/>
      <c r="I232" s="33"/>
      <c r="J232" s="31"/>
      <c r="K232" s="36"/>
      <c r="L232" s="47" t="str">
        <f aca="false">IF($B232="","",IF(NOT(ISNUMBER($B232)),"日期不是日期格式",IF(YEAR($B232)&lt;&gt;首页!$B$3,"不在会计年度",IF($F232="","未填借方科目",IF($G232="","未填贷方科目",IF(LEFT($M232,1)="⚠","借方科目不存在",IF(LEFT($N232,1)="⚠","贷方科目不存在",IF($F232=$G232,"借贷科目不能相同",IF(NOT(ISNUMBER($H232)),"金额须为数字",IF(N($H232)&lt;=0,"金额须大于0","√"))))))))))</f>
        <v/>
      </c>
      <c r="M232" s="50" t="str">
        <f aca="false">IF($F232="","",IFERROR(INDEX(科目参数!$B$6:$B$125,MATCH($F232,科目参数!$A$6:$A$125,0)),"⚠科目不存在"))</f>
        <v/>
      </c>
      <c r="N232" s="50" t="str">
        <f aca="false">IF($G232="","",IFERROR(INDEX(科目参数!$B$6:$B$125,MATCH($G232,科目参数!$A$6:$A$125,0)),"⚠科目不存在"))</f>
        <v/>
      </c>
    </row>
    <row r="233" customFormat="false" ht="15.75" hidden="false" customHeight="true" outlineLevel="0" collapsed="false">
      <c r="A233" s="42" t="str">
        <f aca="false">IF($B233="","","QT"&amp;TEXT($B233,"yyyymm")&amp;"-"&amp;TEXT(ROW()-4,"000"))</f>
        <v/>
      </c>
      <c r="B233" s="41"/>
      <c r="C233" s="42" t="str">
        <f aca="false">IF($B233="","",TEXT($B233,"yyyy-mm"))</f>
        <v/>
      </c>
      <c r="D233" s="33"/>
      <c r="E233" s="36"/>
      <c r="F233" s="31"/>
      <c r="G233" s="31"/>
      <c r="H233" s="40"/>
      <c r="I233" s="33"/>
      <c r="J233" s="31"/>
      <c r="K233" s="36"/>
      <c r="L233" s="47" t="str">
        <f aca="false">IF($B233="","",IF(NOT(ISNUMBER($B233)),"日期不是日期格式",IF(YEAR($B233)&lt;&gt;首页!$B$3,"不在会计年度",IF($F233="","未填借方科目",IF($G233="","未填贷方科目",IF(LEFT($M233,1)="⚠","借方科目不存在",IF(LEFT($N233,1)="⚠","贷方科目不存在",IF($F233=$G233,"借贷科目不能相同",IF(NOT(ISNUMBER($H233)),"金额须为数字",IF(N($H233)&lt;=0,"金额须大于0","√"))))))))))</f>
        <v/>
      </c>
      <c r="M233" s="50" t="str">
        <f aca="false">IF($F233="","",IFERROR(INDEX(科目参数!$B$6:$B$125,MATCH($F233,科目参数!$A$6:$A$125,0)),"⚠科目不存在"))</f>
        <v/>
      </c>
      <c r="N233" s="50" t="str">
        <f aca="false">IF($G233="","",IFERROR(INDEX(科目参数!$B$6:$B$125,MATCH($G233,科目参数!$A$6:$A$125,0)),"⚠科目不存在"))</f>
        <v/>
      </c>
    </row>
    <row r="234" customFormat="false" ht="15.75" hidden="false" customHeight="true" outlineLevel="0" collapsed="false">
      <c r="A234" s="42" t="str">
        <f aca="false">IF($B234="","","QT"&amp;TEXT($B234,"yyyymm")&amp;"-"&amp;TEXT(ROW()-4,"000"))</f>
        <v/>
      </c>
      <c r="B234" s="41"/>
      <c r="C234" s="42" t="str">
        <f aca="false">IF($B234="","",TEXT($B234,"yyyy-mm"))</f>
        <v/>
      </c>
      <c r="D234" s="33"/>
      <c r="E234" s="36"/>
      <c r="F234" s="31"/>
      <c r="G234" s="31"/>
      <c r="H234" s="40"/>
      <c r="I234" s="33"/>
      <c r="J234" s="31"/>
      <c r="K234" s="36"/>
      <c r="L234" s="47" t="str">
        <f aca="false">IF($B234="","",IF(NOT(ISNUMBER($B234)),"日期不是日期格式",IF(YEAR($B234)&lt;&gt;首页!$B$3,"不在会计年度",IF($F234="","未填借方科目",IF($G234="","未填贷方科目",IF(LEFT($M234,1)="⚠","借方科目不存在",IF(LEFT($N234,1)="⚠","贷方科目不存在",IF($F234=$G234,"借贷科目不能相同",IF(NOT(ISNUMBER($H234)),"金额须为数字",IF(N($H234)&lt;=0,"金额须大于0","√"))))))))))</f>
        <v/>
      </c>
      <c r="M234" s="50" t="str">
        <f aca="false">IF($F234="","",IFERROR(INDEX(科目参数!$B$6:$B$125,MATCH($F234,科目参数!$A$6:$A$125,0)),"⚠科目不存在"))</f>
        <v/>
      </c>
      <c r="N234" s="50" t="str">
        <f aca="false">IF($G234="","",IFERROR(INDEX(科目参数!$B$6:$B$125,MATCH($G234,科目参数!$A$6:$A$125,0)),"⚠科目不存在"))</f>
        <v/>
      </c>
    </row>
    <row r="235" customFormat="false" ht="15.75" hidden="false" customHeight="true" outlineLevel="0" collapsed="false">
      <c r="A235" s="42" t="str">
        <f aca="false">IF($B235="","","QT"&amp;TEXT($B235,"yyyymm")&amp;"-"&amp;TEXT(ROW()-4,"000"))</f>
        <v/>
      </c>
      <c r="B235" s="41"/>
      <c r="C235" s="42" t="str">
        <f aca="false">IF($B235="","",TEXT($B235,"yyyy-mm"))</f>
        <v/>
      </c>
      <c r="D235" s="33"/>
      <c r="E235" s="36"/>
      <c r="F235" s="31"/>
      <c r="G235" s="31"/>
      <c r="H235" s="40"/>
      <c r="I235" s="33"/>
      <c r="J235" s="31"/>
      <c r="K235" s="36"/>
      <c r="L235" s="47" t="str">
        <f aca="false">IF($B235="","",IF(NOT(ISNUMBER($B235)),"日期不是日期格式",IF(YEAR($B235)&lt;&gt;首页!$B$3,"不在会计年度",IF($F235="","未填借方科目",IF($G235="","未填贷方科目",IF(LEFT($M235,1)="⚠","借方科目不存在",IF(LEFT($N235,1)="⚠","贷方科目不存在",IF($F235=$G235,"借贷科目不能相同",IF(NOT(ISNUMBER($H235)),"金额须为数字",IF(N($H235)&lt;=0,"金额须大于0","√"))))))))))</f>
        <v/>
      </c>
      <c r="M235" s="50" t="str">
        <f aca="false">IF($F235="","",IFERROR(INDEX(科目参数!$B$6:$B$125,MATCH($F235,科目参数!$A$6:$A$125,0)),"⚠科目不存在"))</f>
        <v/>
      </c>
      <c r="N235" s="50" t="str">
        <f aca="false">IF($G235="","",IFERROR(INDEX(科目参数!$B$6:$B$125,MATCH($G235,科目参数!$A$6:$A$125,0)),"⚠科目不存在"))</f>
        <v/>
      </c>
    </row>
    <row r="236" customFormat="false" ht="15.75" hidden="false" customHeight="true" outlineLevel="0" collapsed="false">
      <c r="A236" s="42" t="str">
        <f aca="false">IF($B236="","","QT"&amp;TEXT($B236,"yyyymm")&amp;"-"&amp;TEXT(ROW()-4,"000"))</f>
        <v/>
      </c>
      <c r="B236" s="41"/>
      <c r="C236" s="42" t="str">
        <f aca="false">IF($B236="","",TEXT($B236,"yyyy-mm"))</f>
        <v/>
      </c>
      <c r="D236" s="33"/>
      <c r="E236" s="36"/>
      <c r="F236" s="31"/>
      <c r="G236" s="31"/>
      <c r="H236" s="40"/>
      <c r="I236" s="33"/>
      <c r="J236" s="31"/>
      <c r="K236" s="36"/>
      <c r="L236" s="47" t="str">
        <f aca="false">IF($B236="","",IF(NOT(ISNUMBER($B236)),"日期不是日期格式",IF(YEAR($B236)&lt;&gt;首页!$B$3,"不在会计年度",IF($F236="","未填借方科目",IF($G236="","未填贷方科目",IF(LEFT($M236,1)="⚠","借方科目不存在",IF(LEFT($N236,1)="⚠","贷方科目不存在",IF($F236=$G236,"借贷科目不能相同",IF(NOT(ISNUMBER($H236)),"金额须为数字",IF(N($H236)&lt;=0,"金额须大于0","√"))))))))))</f>
        <v/>
      </c>
      <c r="M236" s="50" t="str">
        <f aca="false">IF($F236="","",IFERROR(INDEX(科目参数!$B$6:$B$125,MATCH($F236,科目参数!$A$6:$A$125,0)),"⚠科目不存在"))</f>
        <v/>
      </c>
      <c r="N236" s="50" t="str">
        <f aca="false">IF($G236="","",IFERROR(INDEX(科目参数!$B$6:$B$125,MATCH($G236,科目参数!$A$6:$A$125,0)),"⚠科目不存在"))</f>
        <v/>
      </c>
    </row>
    <row r="237" customFormat="false" ht="15.75" hidden="false" customHeight="true" outlineLevel="0" collapsed="false">
      <c r="A237" s="42" t="str">
        <f aca="false">IF($B237="","","QT"&amp;TEXT($B237,"yyyymm")&amp;"-"&amp;TEXT(ROW()-4,"000"))</f>
        <v/>
      </c>
      <c r="B237" s="41"/>
      <c r="C237" s="42" t="str">
        <f aca="false">IF($B237="","",TEXT($B237,"yyyy-mm"))</f>
        <v/>
      </c>
      <c r="D237" s="33"/>
      <c r="E237" s="36"/>
      <c r="F237" s="31"/>
      <c r="G237" s="31"/>
      <c r="H237" s="40"/>
      <c r="I237" s="33"/>
      <c r="J237" s="31"/>
      <c r="K237" s="36"/>
      <c r="L237" s="47" t="str">
        <f aca="false">IF($B237="","",IF(NOT(ISNUMBER($B237)),"日期不是日期格式",IF(YEAR($B237)&lt;&gt;首页!$B$3,"不在会计年度",IF($F237="","未填借方科目",IF($G237="","未填贷方科目",IF(LEFT($M237,1)="⚠","借方科目不存在",IF(LEFT($N237,1)="⚠","贷方科目不存在",IF($F237=$G237,"借贷科目不能相同",IF(NOT(ISNUMBER($H237)),"金额须为数字",IF(N($H237)&lt;=0,"金额须大于0","√"))))))))))</f>
        <v/>
      </c>
      <c r="M237" s="50" t="str">
        <f aca="false">IF($F237="","",IFERROR(INDEX(科目参数!$B$6:$B$125,MATCH($F237,科目参数!$A$6:$A$125,0)),"⚠科目不存在"))</f>
        <v/>
      </c>
      <c r="N237" s="50" t="str">
        <f aca="false">IF($G237="","",IFERROR(INDEX(科目参数!$B$6:$B$125,MATCH($G237,科目参数!$A$6:$A$125,0)),"⚠科目不存在"))</f>
        <v/>
      </c>
    </row>
    <row r="238" customFormat="false" ht="15.75" hidden="false" customHeight="true" outlineLevel="0" collapsed="false">
      <c r="A238" s="42" t="str">
        <f aca="false">IF($B238="","","QT"&amp;TEXT($B238,"yyyymm")&amp;"-"&amp;TEXT(ROW()-4,"000"))</f>
        <v/>
      </c>
      <c r="B238" s="41"/>
      <c r="C238" s="42" t="str">
        <f aca="false">IF($B238="","",TEXT($B238,"yyyy-mm"))</f>
        <v/>
      </c>
      <c r="D238" s="33"/>
      <c r="E238" s="36"/>
      <c r="F238" s="31"/>
      <c r="G238" s="31"/>
      <c r="H238" s="40"/>
      <c r="I238" s="33"/>
      <c r="J238" s="31"/>
      <c r="K238" s="36"/>
      <c r="L238" s="47" t="str">
        <f aca="false">IF($B238="","",IF(NOT(ISNUMBER($B238)),"日期不是日期格式",IF(YEAR($B238)&lt;&gt;首页!$B$3,"不在会计年度",IF($F238="","未填借方科目",IF($G238="","未填贷方科目",IF(LEFT($M238,1)="⚠","借方科目不存在",IF(LEFT($N238,1)="⚠","贷方科目不存在",IF($F238=$G238,"借贷科目不能相同",IF(NOT(ISNUMBER($H238)),"金额须为数字",IF(N($H238)&lt;=0,"金额须大于0","√"))))))))))</f>
        <v/>
      </c>
      <c r="M238" s="50" t="str">
        <f aca="false">IF($F238="","",IFERROR(INDEX(科目参数!$B$6:$B$125,MATCH($F238,科目参数!$A$6:$A$125,0)),"⚠科目不存在"))</f>
        <v/>
      </c>
      <c r="N238" s="50" t="str">
        <f aca="false">IF($G238="","",IFERROR(INDEX(科目参数!$B$6:$B$125,MATCH($G238,科目参数!$A$6:$A$125,0)),"⚠科目不存在"))</f>
        <v/>
      </c>
    </row>
    <row r="239" customFormat="false" ht="15.75" hidden="false" customHeight="true" outlineLevel="0" collapsed="false">
      <c r="A239" s="42" t="str">
        <f aca="false">IF($B239="","","QT"&amp;TEXT($B239,"yyyymm")&amp;"-"&amp;TEXT(ROW()-4,"000"))</f>
        <v/>
      </c>
      <c r="B239" s="41"/>
      <c r="C239" s="42" t="str">
        <f aca="false">IF($B239="","",TEXT($B239,"yyyy-mm"))</f>
        <v/>
      </c>
      <c r="D239" s="33"/>
      <c r="E239" s="36"/>
      <c r="F239" s="31"/>
      <c r="G239" s="31"/>
      <c r="H239" s="40"/>
      <c r="I239" s="33"/>
      <c r="J239" s="31"/>
      <c r="K239" s="36"/>
      <c r="L239" s="47" t="str">
        <f aca="false">IF($B239="","",IF(NOT(ISNUMBER($B239)),"日期不是日期格式",IF(YEAR($B239)&lt;&gt;首页!$B$3,"不在会计年度",IF($F239="","未填借方科目",IF($G239="","未填贷方科目",IF(LEFT($M239,1)="⚠","借方科目不存在",IF(LEFT($N239,1)="⚠","贷方科目不存在",IF($F239=$G239,"借贷科目不能相同",IF(NOT(ISNUMBER($H239)),"金额须为数字",IF(N($H239)&lt;=0,"金额须大于0","√"))))))))))</f>
        <v/>
      </c>
      <c r="M239" s="50" t="str">
        <f aca="false">IF($F239="","",IFERROR(INDEX(科目参数!$B$6:$B$125,MATCH($F239,科目参数!$A$6:$A$125,0)),"⚠科目不存在"))</f>
        <v/>
      </c>
      <c r="N239" s="50" t="str">
        <f aca="false">IF($G239="","",IFERROR(INDEX(科目参数!$B$6:$B$125,MATCH($G239,科目参数!$A$6:$A$125,0)),"⚠科目不存在"))</f>
        <v/>
      </c>
    </row>
    <row r="240" customFormat="false" ht="15.75" hidden="false" customHeight="true" outlineLevel="0" collapsed="false">
      <c r="A240" s="42" t="str">
        <f aca="false">IF($B240="","","QT"&amp;TEXT($B240,"yyyymm")&amp;"-"&amp;TEXT(ROW()-4,"000"))</f>
        <v/>
      </c>
      <c r="B240" s="41"/>
      <c r="C240" s="42" t="str">
        <f aca="false">IF($B240="","",TEXT($B240,"yyyy-mm"))</f>
        <v/>
      </c>
      <c r="D240" s="33"/>
      <c r="E240" s="36"/>
      <c r="F240" s="31"/>
      <c r="G240" s="31"/>
      <c r="H240" s="40"/>
      <c r="I240" s="33"/>
      <c r="J240" s="31"/>
      <c r="K240" s="36"/>
      <c r="L240" s="47" t="str">
        <f aca="false">IF($B240="","",IF(NOT(ISNUMBER($B240)),"日期不是日期格式",IF(YEAR($B240)&lt;&gt;首页!$B$3,"不在会计年度",IF($F240="","未填借方科目",IF($G240="","未填贷方科目",IF(LEFT($M240,1)="⚠","借方科目不存在",IF(LEFT($N240,1)="⚠","贷方科目不存在",IF($F240=$G240,"借贷科目不能相同",IF(NOT(ISNUMBER($H240)),"金额须为数字",IF(N($H240)&lt;=0,"金额须大于0","√"))))))))))</f>
        <v/>
      </c>
      <c r="M240" s="50" t="str">
        <f aca="false">IF($F240="","",IFERROR(INDEX(科目参数!$B$6:$B$125,MATCH($F240,科目参数!$A$6:$A$125,0)),"⚠科目不存在"))</f>
        <v/>
      </c>
      <c r="N240" s="50" t="str">
        <f aca="false">IF($G240="","",IFERROR(INDEX(科目参数!$B$6:$B$125,MATCH($G240,科目参数!$A$6:$A$125,0)),"⚠科目不存在"))</f>
        <v/>
      </c>
    </row>
    <row r="241" customFormat="false" ht="15.75" hidden="false" customHeight="true" outlineLevel="0" collapsed="false">
      <c r="A241" s="42" t="str">
        <f aca="false">IF($B241="","","QT"&amp;TEXT($B241,"yyyymm")&amp;"-"&amp;TEXT(ROW()-4,"000"))</f>
        <v/>
      </c>
      <c r="B241" s="41"/>
      <c r="C241" s="42" t="str">
        <f aca="false">IF($B241="","",TEXT($B241,"yyyy-mm"))</f>
        <v/>
      </c>
      <c r="D241" s="33"/>
      <c r="E241" s="36"/>
      <c r="F241" s="31"/>
      <c r="G241" s="31"/>
      <c r="H241" s="40"/>
      <c r="I241" s="33"/>
      <c r="J241" s="31"/>
      <c r="K241" s="36"/>
      <c r="L241" s="47" t="str">
        <f aca="false">IF($B241="","",IF(NOT(ISNUMBER($B241)),"日期不是日期格式",IF(YEAR($B241)&lt;&gt;首页!$B$3,"不在会计年度",IF($F241="","未填借方科目",IF($G241="","未填贷方科目",IF(LEFT($M241,1)="⚠","借方科目不存在",IF(LEFT($N241,1)="⚠","贷方科目不存在",IF($F241=$G241,"借贷科目不能相同",IF(NOT(ISNUMBER($H241)),"金额须为数字",IF(N($H241)&lt;=0,"金额须大于0","√"))))))))))</f>
        <v/>
      </c>
      <c r="M241" s="50" t="str">
        <f aca="false">IF($F241="","",IFERROR(INDEX(科目参数!$B$6:$B$125,MATCH($F241,科目参数!$A$6:$A$125,0)),"⚠科目不存在"))</f>
        <v/>
      </c>
      <c r="N241" s="50" t="str">
        <f aca="false">IF($G241="","",IFERROR(INDEX(科目参数!$B$6:$B$125,MATCH($G241,科目参数!$A$6:$A$125,0)),"⚠科目不存在"))</f>
        <v/>
      </c>
    </row>
    <row r="242" customFormat="false" ht="15.75" hidden="false" customHeight="true" outlineLevel="0" collapsed="false">
      <c r="A242" s="42" t="str">
        <f aca="false">IF($B242="","","QT"&amp;TEXT($B242,"yyyymm")&amp;"-"&amp;TEXT(ROW()-4,"000"))</f>
        <v/>
      </c>
      <c r="B242" s="41"/>
      <c r="C242" s="42" t="str">
        <f aca="false">IF($B242="","",TEXT($B242,"yyyy-mm"))</f>
        <v/>
      </c>
      <c r="D242" s="33"/>
      <c r="E242" s="36"/>
      <c r="F242" s="31"/>
      <c r="G242" s="31"/>
      <c r="H242" s="40"/>
      <c r="I242" s="33"/>
      <c r="J242" s="31"/>
      <c r="K242" s="36"/>
      <c r="L242" s="47" t="str">
        <f aca="false">IF($B242="","",IF(NOT(ISNUMBER($B242)),"日期不是日期格式",IF(YEAR($B242)&lt;&gt;首页!$B$3,"不在会计年度",IF($F242="","未填借方科目",IF($G242="","未填贷方科目",IF(LEFT($M242,1)="⚠","借方科目不存在",IF(LEFT($N242,1)="⚠","贷方科目不存在",IF($F242=$G242,"借贷科目不能相同",IF(NOT(ISNUMBER($H242)),"金额须为数字",IF(N($H242)&lt;=0,"金额须大于0","√"))))))))))</f>
        <v/>
      </c>
      <c r="M242" s="50" t="str">
        <f aca="false">IF($F242="","",IFERROR(INDEX(科目参数!$B$6:$B$125,MATCH($F242,科目参数!$A$6:$A$125,0)),"⚠科目不存在"))</f>
        <v/>
      </c>
      <c r="N242" s="50" t="str">
        <f aca="false">IF($G242="","",IFERROR(INDEX(科目参数!$B$6:$B$125,MATCH($G242,科目参数!$A$6:$A$125,0)),"⚠科目不存在"))</f>
        <v/>
      </c>
    </row>
    <row r="243" customFormat="false" ht="15.75" hidden="false" customHeight="true" outlineLevel="0" collapsed="false">
      <c r="A243" s="42" t="str">
        <f aca="false">IF($B243="","","QT"&amp;TEXT($B243,"yyyymm")&amp;"-"&amp;TEXT(ROW()-4,"000"))</f>
        <v/>
      </c>
      <c r="B243" s="41"/>
      <c r="C243" s="42" t="str">
        <f aca="false">IF($B243="","",TEXT($B243,"yyyy-mm"))</f>
        <v/>
      </c>
      <c r="D243" s="33"/>
      <c r="E243" s="36"/>
      <c r="F243" s="31"/>
      <c r="G243" s="31"/>
      <c r="H243" s="40"/>
      <c r="I243" s="33"/>
      <c r="J243" s="31"/>
      <c r="K243" s="36"/>
      <c r="L243" s="47" t="str">
        <f aca="false">IF($B243="","",IF(NOT(ISNUMBER($B243)),"日期不是日期格式",IF(YEAR($B243)&lt;&gt;首页!$B$3,"不在会计年度",IF($F243="","未填借方科目",IF($G243="","未填贷方科目",IF(LEFT($M243,1)="⚠","借方科目不存在",IF(LEFT($N243,1)="⚠","贷方科目不存在",IF($F243=$G243,"借贷科目不能相同",IF(NOT(ISNUMBER($H243)),"金额须为数字",IF(N($H243)&lt;=0,"金额须大于0","√"))))))))))</f>
        <v/>
      </c>
      <c r="M243" s="50" t="str">
        <f aca="false">IF($F243="","",IFERROR(INDEX(科目参数!$B$6:$B$125,MATCH($F243,科目参数!$A$6:$A$125,0)),"⚠科目不存在"))</f>
        <v/>
      </c>
      <c r="N243" s="50" t="str">
        <f aca="false">IF($G243="","",IFERROR(INDEX(科目参数!$B$6:$B$125,MATCH($G243,科目参数!$A$6:$A$125,0)),"⚠科目不存在"))</f>
        <v/>
      </c>
    </row>
    <row r="244" customFormat="false" ht="15.75" hidden="false" customHeight="true" outlineLevel="0" collapsed="false">
      <c r="A244" s="42" t="str">
        <f aca="false">IF($B244="","","QT"&amp;TEXT($B244,"yyyymm")&amp;"-"&amp;TEXT(ROW()-4,"000"))</f>
        <v/>
      </c>
      <c r="B244" s="41"/>
      <c r="C244" s="42" t="str">
        <f aca="false">IF($B244="","",TEXT($B244,"yyyy-mm"))</f>
        <v/>
      </c>
      <c r="D244" s="33"/>
      <c r="E244" s="36"/>
      <c r="F244" s="31"/>
      <c r="G244" s="31"/>
      <c r="H244" s="40"/>
      <c r="I244" s="33"/>
      <c r="J244" s="31"/>
      <c r="K244" s="36"/>
      <c r="L244" s="47" t="str">
        <f aca="false">IF($B244="","",IF(NOT(ISNUMBER($B244)),"日期不是日期格式",IF(YEAR($B244)&lt;&gt;首页!$B$3,"不在会计年度",IF($F244="","未填借方科目",IF($G244="","未填贷方科目",IF(LEFT($M244,1)="⚠","借方科目不存在",IF(LEFT($N244,1)="⚠","贷方科目不存在",IF($F244=$G244,"借贷科目不能相同",IF(NOT(ISNUMBER($H244)),"金额须为数字",IF(N($H244)&lt;=0,"金额须大于0","√"))))))))))</f>
        <v/>
      </c>
      <c r="M244" s="50" t="str">
        <f aca="false">IF($F244="","",IFERROR(INDEX(科目参数!$B$6:$B$125,MATCH($F244,科目参数!$A$6:$A$125,0)),"⚠科目不存在"))</f>
        <v/>
      </c>
      <c r="N244" s="50" t="str">
        <f aca="false">IF($G244="","",IFERROR(INDEX(科目参数!$B$6:$B$125,MATCH($G244,科目参数!$A$6:$A$125,0)),"⚠科目不存在"))</f>
        <v/>
      </c>
    </row>
    <row r="245" customFormat="false" ht="15.75" hidden="false" customHeight="true" outlineLevel="0" collapsed="false">
      <c r="A245" s="42" t="str">
        <f aca="false">IF($B245="","","QT"&amp;TEXT($B245,"yyyymm")&amp;"-"&amp;TEXT(ROW()-4,"000"))</f>
        <v/>
      </c>
      <c r="B245" s="41"/>
      <c r="C245" s="42" t="str">
        <f aca="false">IF($B245="","",TEXT($B245,"yyyy-mm"))</f>
        <v/>
      </c>
      <c r="D245" s="33"/>
      <c r="E245" s="36"/>
      <c r="F245" s="31"/>
      <c r="G245" s="31"/>
      <c r="H245" s="40"/>
      <c r="I245" s="33"/>
      <c r="J245" s="31"/>
      <c r="K245" s="36"/>
      <c r="L245" s="47" t="str">
        <f aca="false">IF($B245="","",IF(NOT(ISNUMBER($B245)),"日期不是日期格式",IF(YEAR($B245)&lt;&gt;首页!$B$3,"不在会计年度",IF($F245="","未填借方科目",IF($G245="","未填贷方科目",IF(LEFT($M245,1)="⚠","借方科目不存在",IF(LEFT($N245,1)="⚠","贷方科目不存在",IF($F245=$G245,"借贷科目不能相同",IF(NOT(ISNUMBER($H245)),"金额须为数字",IF(N($H245)&lt;=0,"金额须大于0","√"))))))))))</f>
        <v/>
      </c>
      <c r="M245" s="50" t="str">
        <f aca="false">IF($F245="","",IFERROR(INDEX(科目参数!$B$6:$B$125,MATCH($F245,科目参数!$A$6:$A$125,0)),"⚠科目不存在"))</f>
        <v/>
      </c>
      <c r="N245" s="50" t="str">
        <f aca="false">IF($G245="","",IFERROR(INDEX(科目参数!$B$6:$B$125,MATCH($G245,科目参数!$A$6:$A$125,0)),"⚠科目不存在"))</f>
        <v/>
      </c>
    </row>
    <row r="246" customFormat="false" ht="15.75" hidden="false" customHeight="true" outlineLevel="0" collapsed="false">
      <c r="A246" s="42" t="str">
        <f aca="false">IF($B246="","","QT"&amp;TEXT($B246,"yyyymm")&amp;"-"&amp;TEXT(ROW()-4,"000"))</f>
        <v/>
      </c>
      <c r="B246" s="41"/>
      <c r="C246" s="42" t="str">
        <f aca="false">IF($B246="","",TEXT($B246,"yyyy-mm"))</f>
        <v/>
      </c>
      <c r="D246" s="33"/>
      <c r="E246" s="36"/>
      <c r="F246" s="31"/>
      <c r="G246" s="31"/>
      <c r="H246" s="40"/>
      <c r="I246" s="33"/>
      <c r="J246" s="31"/>
      <c r="K246" s="36"/>
      <c r="L246" s="47" t="str">
        <f aca="false">IF($B246="","",IF(NOT(ISNUMBER($B246)),"日期不是日期格式",IF(YEAR($B246)&lt;&gt;首页!$B$3,"不在会计年度",IF($F246="","未填借方科目",IF($G246="","未填贷方科目",IF(LEFT($M246,1)="⚠","借方科目不存在",IF(LEFT($N246,1)="⚠","贷方科目不存在",IF($F246=$G246,"借贷科目不能相同",IF(NOT(ISNUMBER($H246)),"金额须为数字",IF(N($H246)&lt;=0,"金额须大于0","√"))))))))))</f>
        <v/>
      </c>
      <c r="M246" s="50" t="str">
        <f aca="false">IF($F246="","",IFERROR(INDEX(科目参数!$B$6:$B$125,MATCH($F246,科目参数!$A$6:$A$125,0)),"⚠科目不存在"))</f>
        <v/>
      </c>
      <c r="N246" s="50" t="str">
        <f aca="false">IF($G246="","",IFERROR(INDEX(科目参数!$B$6:$B$125,MATCH($G246,科目参数!$A$6:$A$125,0)),"⚠科目不存在"))</f>
        <v/>
      </c>
    </row>
    <row r="247" customFormat="false" ht="15.75" hidden="false" customHeight="true" outlineLevel="0" collapsed="false">
      <c r="A247" s="42" t="str">
        <f aca="false">IF($B247="","","QT"&amp;TEXT($B247,"yyyymm")&amp;"-"&amp;TEXT(ROW()-4,"000"))</f>
        <v/>
      </c>
      <c r="B247" s="41"/>
      <c r="C247" s="42" t="str">
        <f aca="false">IF($B247="","",TEXT($B247,"yyyy-mm"))</f>
        <v/>
      </c>
      <c r="D247" s="33"/>
      <c r="E247" s="36"/>
      <c r="F247" s="31"/>
      <c r="G247" s="31"/>
      <c r="H247" s="40"/>
      <c r="I247" s="33"/>
      <c r="J247" s="31"/>
      <c r="K247" s="36"/>
      <c r="L247" s="47" t="str">
        <f aca="false">IF($B247="","",IF(NOT(ISNUMBER($B247)),"日期不是日期格式",IF(YEAR($B247)&lt;&gt;首页!$B$3,"不在会计年度",IF($F247="","未填借方科目",IF($G247="","未填贷方科目",IF(LEFT($M247,1)="⚠","借方科目不存在",IF(LEFT($N247,1)="⚠","贷方科目不存在",IF($F247=$G247,"借贷科目不能相同",IF(NOT(ISNUMBER($H247)),"金额须为数字",IF(N($H247)&lt;=0,"金额须大于0","√"))))))))))</f>
        <v/>
      </c>
      <c r="M247" s="50" t="str">
        <f aca="false">IF($F247="","",IFERROR(INDEX(科目参数!$B$6:$B$125,MATCH($F247,科目参数!$A$6:$A$125,0)),"⚠科目不存在"))</f>
        <v/>
      </c>
      <c r="N247" s="50" t="str">
        <f aca="false">IF($G247="","",IFERROR(INDEX(科目参数!$B$6:$B$125,MATCH($G247,科目参数!$A$6:$A$125,0)),"⚠科目不存在"))</f>
        <v/>
      </c>
    </row>
    <row r="248" customFormat="false" ht="15.75" hidden="false" customHeight="true" outlineLevel="0" collapsed="false">
      <c r="A248" s="42" t="str">
        <f aca="false">IF($B248="","","QT"&amp;TEXT($B248,"yyyymm")&amp;"-"&amp;TEXT(ROW()-4,"000"))</f>
        <v/>
      </c>
      <c r="B248" s="41"/>
      <c r="C248" s="42" t="str">
        <f aca="false">IF($B248="","",TEXT($B248,"yyyy-mm"))</f>
        <v/>
      </c>
      <c r="D248" s="33"/>
      <c r="E248" s="36"/>
      <c r="F248" s="31"/>
      <c r="G248" s="31"/>
      <c r="H248" s="40"/>
      <c r="I248" s="33"/>
      <c r="J248" s="31"/>
      <c r="K248" s="36"/>
      <c r="L248" s="47" t="str">
        <f aca="false">IF($B248="","",IF(NOT(ISNUMBER($B248)),"日期不是日期格式",IF(YEAR($B248)&lt;&gt;首页!$B$3,"不在会计年度",IF($F248="","未填借方科目",IF($G248="","未填贷方科目",IF(LEFT($M248,1)="⚠","借方科目不存在",IF(LEFT($N248,1)="⚠","贷方科目不存在",IF($F248=$G248,"借贷科目不能相同",IF(NOT(ISNUMBER($H248)),"金额须为数字",IF(N($H248)&lt;=0,"金额须大于0","√"))))))))))</f>
        <v/>
      </c>
      <c r="M248" s="50" t="str">
        <f aca="false">IF($F248="","",IFERROR(INDEX(科目参数!$B$6:$B$125,MATCH($F248,科目参数!$A$6:$A$125,0)),"⚠科目不存在"))</f>
        <v/>
      </c>
      <c r="N248" s="50" t="str">
        <f aca="false">IF($G248="","",IFERROR(INDEX(科目参数!$B$6:$B$125,MATCH($G248,科目参数!$A$6:$A$125,0)),"⚠科目不存在"))</f>
        <v/>
      </c>
    </row>
    <row r="249" customFormat="false" ht="15.75" hidden="false" customHeight="true" outlineLevel="0" collapsed="false">
      <c r="A249" s="42" t="str">
        <f aca="false">IF($B249="","","QT"&amp;TEXT($B249,"yyyymm")&amp;"-"&amp;TEXT(ROW()-4,"000"))</f>
        <v/>
      </c>
      <c r="B249" s="41"/>
      <c r="C249" s="42" t="str">
        <f aca="false">IF($B249="","",TEXT($B249,"yyyy-mm"))</f>
        <v/>
      </c>
      <c r="D249" s="33"/>
      <c r="E249" s="36"/>
      <c r="F249" s="31"/>
      <c r="G249" s="31"/>
      <c r="H249" s="40"/>
      <c r="I249" s="33"/>
      <c r="J249" s="31"/>
      <c r="K249" s="36"/>
      <c r="L249" s="47" t="str">
        <f aca="false">IF($B249="","",IF(NOT(ISNUMBER($B249)),"日期不是日期格式",IF(YEAR($B249)&lt;&gt;首页!$B$3,"不在会计年度",IF($F249="","未填借方科目",IF($G249="","未填贷方科目",IF(LEFT($M249,1)="⚠","借方科目不存在",IF(LEFT($N249,1)="⚠","贷方科目不存在",IF($F249=$G249,"借贷科目不能相同",IF(NOT(ISNUMBER($H249)),"金额须为数字",IF(N($H249)&lt;=0,"金额须大于0","√"))))))))))</f>
        <v/>
      </c>
      <c r="M249" s="50" t="str">
        <f aca="false">IF($F249="","",IFERROR(INDEX(科目参数!$B$6:$B$125,MATCH($F249,科目参数!$A$6:$A$125,0)),"⚠科目不存在"))</f>
        <v/>
      </c>
      <c r="N249" s="50" t="str">
        <f aca="false">IF($G249="","",IFERROR(INDEX(科目参数!$B$6:$B$125,MATCH($G249,科目参数!$A$6:$A$125,0)),"⚠科目不存在"))</f>
        <v/>
      </c>
    </row>
    <row r="250" customFormat="false" ht="15.75" hidden="false" customHeight="true" outlineLevel="0" collapsed="false">
      <c r="A250" s="42" t="str">
        <f aca="false">IF($B250="","","QT"&amp;TEXT($B250,"yyyymm")&amp;"-"&amp;TEXT(ROW()-4,"000"))</f>
        <v/>
      </c>
      <c r="B250" s="41"/>
      <c r="C250" s="42" t="str">
        <f aca="false">IF($B250="","",TEXT($B250,"yyyy-mm"))</f>
        <v/>
      </c>
      <c r="D250" s="33"/>
      <c r="E250" s="36"/>
      <c r="F250" s="31"/>
      <c r="G250" s="31"/>
      <c r="H250" s="40"/>
      <c r="I250" s="33"/>
      <c r="J250" s="31"/>
      <c r="K250" s="36"/>
      <c r="L250" s="47" t="str">
        <f aca="false">IF($B250="","",IF(NOT(ISNUMBER($B250)),"日期不是日期格式",IF(YEAR($B250)&lt;&gt;首页!$B$3,"不在会计年度",IF($F250="","未填借方科目",IF($G250="","未填贷方科目",IF(LEFT($M250,1)="⚠","借方科目不存在",IF(LEFT($N250,1)="⚠","贷方科目不存在",IF($F250=$G250,"借贷科目不能相同",IF(NOT(ISNUMBER($H250)),"金额须为数字",IF(N($H250)&lt;=0,"金额须大于0","√"))))))))))</f>
        <v/>
      </c>
      <c r="M250" s="50" t="str">
        <f aca="false">IF($F250="","",IFERROR(INDEX(科目参数!$B$6:$B$125,MATCH($F250,科目参数!$A$6:$A$125,0)),"⚠科目不存在"))</f>
        <v/>
      </c>
      <c r="N250" s="50" t="str">
        <f aca="false">IF($G250="","",IFERROR(INDEX(科目参数!$B$6:$B$125,MATCH($G250,科目参数!$A$6:$A$125,0)),"⚠科目不存在"))</f>
        <v/>
      </c>
    </row>
    <row r="251" customFormat="false" ht="15.75" hidden="false" customHeight="true" outlineLevel="0" collapsed="false">
      <c r="A251" s="42" t="str">
        <f aca="false">IF($B251="","","QT"&amp;TEXT($B251,"yyyymm")&amp;"-"&amp;TEXT(ROW()-4,"000"))</f>
        <v/>
      </c>
      <c r="B251" s="41"/>
      <c r="C251" s="42" t="str">
        <f aca="false">IF($B251="","",TEXT($B251,"yyyy-mm"))</f>
        <v/>
      </c>
      <c r="D251" s="33"/>
      <c r="E251" s="36"/>
      <c r="F251" s="31"/>
      <c r="G251" s="31"/>
      <c r="H251" s="40"/>
      <c r="I251" s="33"/>
      <c r="J251" s="31"/>
      <c r="K251" s="36"/>
      <c r="L251" s="47" t="str">
        <f aca="false">IF($B251="","",IF(NOT(ISNUMBER($B251)),"日期不是日期格式",IF(YEAR($B251)&lt;&gt;首页!$B$3,"不在会计年度",IF($F251="","未填借方科目",IF($G251="","未填贷方科目",IF(LEFT($M251,1)="⚠","借方科目不存在",IF(LEFT($N251,1)="⚠","贷方科目不存在",IF($F251=$G251,"借贷科目不能相同",IF(NOT(ISNUMBER($H251)),"金额须为数字",IF(N($H251)&lt;=0,"金额须大于0","√"))))))))))</f>
        <v/>
      </c>
      <c r="M251" s="50" t="str">
        <f aca="false">IF($F251="","",IFERROR(INDEX(科目参数!$B$6:$B$125,MATCH($F251,科目参数!$A$6:$A$125,0)),"⚠科目不存在"))</f>
        <v/>
      </c>
      <c r="N251" s="50" t="str">
        <f aca="false">IF($G251="","",IFERROR(INDEX(科目参数!$B$6:$B$125,MATCH($G251,科目参数!$A$6:$A$125,0)),"⚠科目不存在"))</f>
        <v/>
      </c>
    </row>
    <row r="252" customFormat="false" ht="15.75" hidden="false" customHeight="true" outlineLevel="0" collapsed="false">
      <c r="A252" s="42" t="str">
        <f aca="false">IF($B252="","","QT"&amp;TEXT($B252,"yyyymm")&amp;"-"&amp;TEXT(ROW()-4,"000"))</f>
        <v/>
      </c>
      <c r="B252" s="41"/>
      <c r="C252" s="42" t="str">
        <f aca="false">IF($B252="","",TEXT($B252,"yyyy-mm"))</f>
        <v/>
      </c>
      <c r="D252" s="33"/>
      <c r="E252" s="36"/>
      <c r="F252" s="31"/>
      <c r="G252" s="31"/>
      <c r="H252" s="40"/>
      <c r="I252" s="33"/>
      <c r="J252" s="31"/>
      <c r="K252" s="36"/>
      <c r="L252" s="47" t="str">
        <f aca="false">IF($B252="","",IF(NOT(ISNUMBER($B252)),"日期不是日期格式",IF(YEAR($B252)&lt;&gt;首页!$B$3,"不在会计年度",IF($F252="","未填借方科目",IF($G252="","未填贷方科目",IF(LEFT($M252,1)="⚠","借方科目不存在",IF(LEFT($N252,1)="⚠","贷方科目不存在",IF($F252=$G252,"借贷科目不能相同",IF(NOT(ISNUMBER($H252)),"金额须为数字",IF(N($H252)&lt;=0,"金额须大于0","√"))))))))))</f>
        <v/>
      </c>
      <c r="M252" s="50" t="str">
        <f aca="false">IF($F252="","",IFERROR(INDEX(科目参数!$B$6:$B$125,MATCH($F252,科目参数!$A$6:$A$125,0)),"⚠科目不存在"))</f>
        <v/>
      </c>
      <c r="N252" s="50" t="str">
        <f aca="false">IF($G252="","",IFERROR(INDEX(科目参数!$B$6:$B$125,MATCH($G252,科目参数!$A$6:$A$125,0)),"⚠科目不存在"))</f>
        <v/>
      </c>
    </row>
    <row r="253" customFormat="false" ht="15.75" hidden="false" customHeight="true" outlineLevel="0" collapsed="false">
      <c r="A253" s="42" t="str">
        <f aca="false">IF($B253="","","QT"&amp;TEXT($B253,"yyyymm")&amp;"-"&amp;TEXT(ROW()-4,"000"))</f>
        <v/>
      </c>
      <c r="B253" s="41"/>
      <c r="C253" s="42" t="str">
        <f aca="false">IF($B253="","",TEXT($B253,"yyyy-mm"))</f>
        <v/>
      </c>
      <c r="D253" s="33"/>
      <c r="E253" s="36"/>
      <c r="F253" s="31"/>
      <c r="G253" s="31"/>
      <c r="H253" s="40"/>
      <c r="I253" s="33"/>
      <c r="J253" s="31"/>
      <c r="K253" s="36"/>
      <c r="L253" s="47" t="str">
        <f aca="false">IF($B253="","",IF(NOT(ISNUMBER($B253)),"日期不是日期格式",IF(YEAR($B253)&lt;&gt;首页!$B$3,"不在会计年度",IF($F253="","未填借方科目",IF($G253="","未填贷方科目",IF(LEFT($M253,1)="⚠","借方科目不存在",IF(LEFT($N253,1)="⚠","贷方科目不存在",IF($F253=$G253,"借贷科目不能相同",IF(NOT(ISNUMBER($H253)),"金额须为数字",IF(N($H253)&lt;=0,"金额须大于0","√"))))))))))</f>
        <v/>
      </c>
      <c r="M253" s="50" t="str">
        <f aca="false">IF($F253="","",IFERROR(INDEX(科目参数!$B$6:$B$125,MATCH($F253,科目参数!$A$6:$A$125,0)),"⚠科目不存在"))</f>
        <v/>
      </c>
      <c r="N253" s="50" t="str">
        <f aca="false">IF($G253="","",IFERROR(INDEX(科目参数!$B$6:$B$125,MATCH($G253,科目参数!$A$6:$A$125,0)),"⚠科目不存在"))</f>
        <v/>
      </c>
    </row>
    <row r="254" customFormat="false" ht="15.75" hidden="false" customHeight="true" outlineLevel="0" collapsed="false">
      <c r="A254" s="42" t="str">
        <f aca="false">IF($B254="","","QT"&amp;TEXT($B254,"yyyymm")&amp;"-"&amp;TEXT(ROW()-4,"000"))</f>
        <v/>
      </c>
      <c r="B254" s="41"/>
      <c r="C254" s="42" t="str">
        <f aca="false">IF($B254="","",TEXT($B254,"yyyy-mm"))</f>
        <v/>
      </c>
      <c r="D254" s="33"/>
      <c r="E254" s="36"/>
      <c r="F254" s="31"/>
      <c r="G254" s="31"/>
      <c r="H254" s="40"/>
      <c r="I254" s="33"/>
      <c r="J254" s="31"/>
      <c r="K254" s="36"/>
      <c r="L254" s="47" t="str">
        <f aca="false">IF($B254="","",IF(NOT(ISNUMBER($B254)),"日期不是日期格式",IF(YEAR($B254)&lt;&gt;首页!$B$3,"不在会计年度",IF($F254="","未填借方科目",IF($G254="","未填贷方科目",IF(LEFT($M254,1)="⚠","借方科目不存在",IF(LEFT($N254,1)="⚠","贷方科目不存在",IF($F254=$G254,"借贷科目不能相同",IF(NOT(ISNUMBER($H254)),"金额须为数字",IF(N($H254)&lt;=0,"金额须大于0","√"))))))))))</f>
        <v/>
      </c>
      <c r="M254" s="50" t="str">
        <f aca="false">IF($F254="","",IFERROR(INDEX(科目参数!$B$6:$B$125,MATCH($F254,科目参数!$A$6:$A$125,0)),"⚠科目不存在"))</f>
        <v/>
      </c>
      <c r="N254" s="50" t="str">
        <f aca="false">IF($G254="","",IFERROR(INDEX(科目参数!$B$6:$B$125,MATCH($G254,科目参数!$A$6:$A$125,0)),"⚠科目不存在"))</f>
        <v/>
      </c>
    </row>
    <row r="255" customFormat="false" ht="15.75" hidden="false" customHeight="true" outlineLevel="0" collapsed="false">
      <c r="A255" s="42" t="str">
        <f aca="false">IF($B255="","","QT"&amp;TEXT($B255,"yyyymm")&amp;"-"&amp;TEXT(ROW()-4,"000"))</f>
        <v/>
      </c>
      <c r="B255" s="41"/>
      <c r="C255" s="42" t="str">
        <f aca="false">IF($B255="","",TEXT($B255,"yyyy-mm"))</f>
        <v/>
      </c>
      <c r="D255" s="33"/>
      <c r="E255" s="36"/>
      <c r="F255" s="31"/>
      <c r="G255" s="31"/>
      <c r="H255" s="40"/>
      <c r="I255" s="33"/>
      <c r="J255" s="31"/>
      <c r="K255" s="36"/>
      <c r="L255" s="47" t="str">
        <f aca="false">IF($B255="","",IF(NOT(ISNUMBER($B255)),"日期不是日期格式",IF(YEAR($B255)&lt;&gt;首页!$B$3,"不在会计年度",IF($F255="","未填借方科目",IF($G255="","未填贷方科目",IF(LEFT($M255,1)="⚠","借方科目不存在",IF(LEFT($N255,1)="⚠","贷方科目不存在",IF($F255=$G255,"借贷科目不能相同",IF(NOT(ISNUMBER($H255)),"金额须为数字",IF(N($H255)&lt;=0,"金额须大于0","√"))))))))))</f>
        <v/>
      </c>
      <c r="M255" s="50" t="str">
        <f aca="false">IF($F255="","",IFERROR(INDEX(科目参数!$B$6:$B$125,MATCH($F255,科目参数!$A$6:$A$125,0)),"⚠科目不存在"))</f>
        <v/>
      </c>
      <c r="N255" s="50" t="str">
        <f aca="false">IF($G255="","",IFERROR(INDEX(科目参数!$B$6:$B$125,MATCH($G255,科目参数!$A$6:$A$125,0)),"⚠科目不存在"))</f>
        <v/>
      </c>
    </row>
    <row r="256" customFormat="false" ht="15.75" hidden="false" customHeight="true" outlineLevel="0" collapsed="false">
      <c r="A256" s="42" t="str">
        <f aca="false">IF($B256="","","QT"&amp;TEXT($B256,"yyyymm")&amp;"-"&amp;TEXT(ROW()-4,"000"))</f>
        <v/>
      </c>
      <c r="B256" s="41"/>
      <c r="C256" s="42" t="str">
        <f aca="false">IF($B256="","",TEXT($B256,"yyyy-mm"))</f>
        <v/>
      </c>
      <c r="D256" s="33"/>
      <c r="E256" s="36"/>
      <c r="F256" s="31"/>
      <c r="G256" s="31"/>
      <c r="H256" s="40"/>
      <c r="I256" s="33"/>
      <c r="J256" s="31"/>
      <c r="K256" s="36"/>
      <c r="L256" s="47" t="str">
        <f aca="false">IF($B256="","",IF(NOT(ISNUMBER($B256)),"日期不是日期格式",IF(YEAR($B256)&lt;&gt;首页!$B$3,"不在会计年度",IF($F256="","未填借方科目",IF($G256="","未填贷方科目",IF(LEFT($M256,1)="⚠","借方科目不存在",IF(LEFT($N256,1)="⚠","贷方科目不存在",IF($F256=$G256,"借贷科目不能相同",IF(NOT(ISNUMBER($H256)),"金额须为数字",IF(N($H256)&lt;=0,"金额须大于0","√"))))))))))</f>
        <v/>
      </c>
      <c r="M256" s="50" t="str">
        <f aca="false">IF($F256="","",IFERROR(INDEX(科目参数!$B$6:$B$125,MATCH($F256,科目参数!$A$6:$A$125,0)),"⚠科目不存在"))</f>
        <v/>
      </c>
      <c r="N256" s="50" t="str">
        <f aca="false">IF($G256="","",IFERROR(INDEX(科目参数!$B$6:$B$125,MATCH($G256,科目参数!$A$6:$A$125,0)),"⚠科目不存在"))</f>
        <v/>
      </c>
    </row>
    <row r="257" customFormat="false" ht="15.75" hidden="false" customHeight="true" outlineLevel="0" collapsed="false">
      <c r="A257" s="42" t="str">
        <f aca="false">IF($B257="","","QT"&amp;TEXT($B257,"yyyymm")&amp;"-"&amp;TEXT(ROW()-4,"000"))</f>
        <v/>
      </c>
      <c r="B257" s="41"/>
      <c r="C257" s="42" t="str">
        <f aca="false">IF($B257="","",TEXT($B257,"yyyy-mm"))</f>
        <v/>
      </c>
      <c r="D257" s="33"/>
      <c r="E257" s="36"/>
      <c r="F257" s="31"/>
      <c r="G257" s="31"/>
      <c r="H257" s="40"/>
      <c r="I257" s="33"/>
      <c r="J257" s="31"/>
      <c r="K257" s="36"/>
      <c r="L257" s="47" t="str">
        <f aca="false">IF($B257="","",IF(NOT(ISNUMBER($B257)),"日期不是日期格式",IF(YEAR($B257)&lt;&gt;首页!$B$3,"不在会计年度",IF($F257="","未填借方科目",IF($G257="","未填贷方科目",IF(LEFT($M257,1)="⚠","借方科目不存在",IF(LEFT($N257,1)="⚠","贷方科目不存在",IF($F257=$G257,"借贷科目不能相同",IF(NOT(ISNUMBER($H257)),"金额须为数字",IF(N($H257)&lt;=0,"金额须大于0","√"))))))))))</f>
        <v/>
      </c>
      <c r="M257" s="50" t="str">
        <f aca="false">IF($F257="","",IFERROR(INDEX(科目参数!$B$6:$B$125,MATCH($F257,科目参数!$A$6:$A$125,0)),"⚠科目不存在"))</f>
        <v/>
      </c>
      <c r="N257" s="50" t="str">
        <f aca="false">IF($G257="","",IFERROR(INDEX(科目参数!$B$6:$B$125,MATCH($G257,科目参数!$A$6:$A$125,0)),"⚠科目不存在"))</f>
        <v/>
      </c>
    </row>
    <row r="258" customFormat="false" ht="15.75" hidden="false" customHeight="true" outlineLevel="0" collapsed="false">
      <c r="A258" s="42" t="str">
        <f aca="false">IF($B258="","","QT"&amp;TEXT($B258,"yyyymm")&amp;"-"&amp;TEXT(ROW()-4,"000"))</f>
        <v/>
      </c>
      <c r="B258" s="41"/>
      <c r="C258" s="42" t="str">
        <f aca="false">IF($B258="","",TEXT($B258,"yyyy-mm"))</f>
        <v/>
      </c>
      <c r="D258" s="33"/>
      <c r="E258" s="36"/>
      <c r="F258" s="31"/>
      <c r="G258" s="31"/>
      <c r="H258" s="40"/>
      <c r="I258" s="33"/>
      <c r="J258" s="31"/>
      <c r="K258" s="36"/>
      <c r="L258" s="47" t="str">
        <f aca="false">IF($B258="","",IF(NOT(ISNUMBER($B258)),"日期不是日期格式",IF(YEAR($B258)&lt;&gt;首页!$B$3,"不在会计年度",IF($F258="","未填借方科目",IF($G258="","未填贷方科目",IF(LEFT($M258,1)="⚠","借方科目不存在",IF(LEFT($N258,1)="⚠","贷方科目不存在",IF($F258=$G258,"借贷科目不能相同",IF(NOT(ISNUMBER($H258)),"金额须为数字",IF(N($H258)&lt;=0,"金额须大于0","√"))))))))))</f>
        <v/>
      </c>
      <c r="M258" s="50" t="str">
        <f aca="false">IF($F258="","",IFERROR(INDEX(科目参数!$B$6:$B$125,MATCH($F258,科目参数!$A$6:$A$125,0)),"⚠科目不存在"))</f>
        <v/>
      </c>
      <c r="N258" s="50" t="str">
        <f aca="false">IF($G258="","",IFERROR(INDEX(科目参数!$B$6:$B$125,MATCH($G258,科目参数!$A$6:$A$125,0)),"⚠科目不存在"))</f>
        <v/>
      </c>
    </row>
    <row r="259" customFormat="false" ht="15.75" hidden="false" customHeight="true" outlineLevel="0" collapsed="false">
      <c r="A259" s="42" t="str">
        <f aca="false">IF($B259="","","QT"&amp;TEXT($B259,"yyyymm")&amp;"-"&amp;TEXT(ROW()-4,"000"))</f>
        <v/>
      </c>
      <c r="B259" s="41"/>
      <c r="C259" s="42" t="str">
        <f aca="false">IF($B259="","",TEXT($B259,"yyyy-mm"))</f>
        <v/>
      </c>
      <c r="D259" s="33"/>
      <c r="E259" s="36"/>
      <c r="F259" s="31"/>
      <c r="G259" s="31"/>
      <c r="H259" s="40"/>
      <c r="I259" s="33"/>
      <c r="J259" s="31"/>
      <c r="K259" s="36"/>
      <c r="L259" s="47" t="str">
        <f aca="false">IF($B259="","",IF(NOT(ISNUMBER($B259)),"日期不是日期格式",IF(YEAR($B259)&lt;&gt;首页!$B$3,"不在会计年度",IF($F259="","未填借方科目",IF($G259="","未填贷方科目",IF(LEFT($M259,1)="⚠","借方科目不存在",IF(LEFT($N259,1)="⚠","贷方科目不存在",IF($F259=$G259,"借贷科目不能相同",IF(NOT(ISNUMBER($H259)),"金额须为数字",IF(N($H259)&lt;=0,"金额须大于0","√"))))))))))</f>
        <v/>
      </c>
      <c r="M259" s="50" t="str">
        <f aca="false">IF($F259="","",IFERROR(INDEX(科目参数!$B$6:$B$125,MATCH($F259,科目参数!$A$6:$A$125,0)),"⚠科目不存在"))</f>
        <v/>
      </c>
      <c r="N259" s="50" t="str">
        <f aca="false">IF($G259="","",IFERROR(INDEX(科目参数!$B$6:$B$125,MATCH($G259,科目参数!$A$6:$A$125,0)),"⚠科目不存在"))</f>
        <v/>
      </c>
    </row>
    <row r="260" customFormat="false" ht="15.75" hidden="false" customHeight="true" outlineLevel="0" collapsed="false">
      <c r="A260" s="42" t="str">
        <f aca="false">IF($B260="","","QT"&amp;TEXT($B260,"yyyymm")&amp;"-"&amp;TEXT(ROW()-4,"000"))</f>
        <v/>
      </c>
      <c r="B260" s="41"/>
      <c r="C260" s="42" t="str">
        <f aca="false">IF($B260="","",TEXT($B260,"yyyy-mm"))</f>
        <v/>
      </c>
      <c r="D260" s="33"/>
      <c r="E260" s="36"/>
      <c r="F260" s="31"/>
      <c r="G260" s="31"/>
      <c r="H260" s="40"/>
      <c r="I260" s="33"/>
      <c r="J260" s="31"/>
      <c r="K260" s="36"/>
      <c r="L260" s="47" t="str">
        <f aca="false">IF($B260="","",IF(NOT(ISNUMBER($B260)),"日期不是日期格式",IF(YEAR($B260)&lt;&gt;首页!$B$3,"不在会计年度",IF($F260="","未填借方科目",IF($G260="","未填贷方科目",IF(LEFT($M260,1)="⚠","借方科目不存在",IF(LEFT($N260,1)="⚠","贷方科目不存在",IF($F260=$G260,"借贷科目不能相同",IF(NOT(ISNUMBER($H260)),"金额须为数字",IF(N($H260)&lt;=0,"金额须大于0","√"))))))))))</f>
        <v/>
      </c>
      <c r="M260" s="50" t="str">
        <f aca="false">IF($F260="","",IFERROR(INDEX(科目参数!$B$6:$B$125,MATCH($F260,科目参数!$A$6:$A$125,0)),"⚠科目不存在"))</f>
        <v/>
      </c>
      <c r="N260" s="50" t="str">
        <f aca="false">IF($G260="","",IFERROR(INDEX(科目参数!$B$6:$B$125,MATCH($G260,科目参数!$A$6:$A$125,0)),"⚠科目不存在"))</f>
        <v/>
      </c>
    </row>
    <row r="261" customFormat="false" ht="15.75" hidden="false" customHeight="true" outlineLevel="0" collapsed="false">
      <c r="A261" s="42" t="str">
        <f aca="false">IF($B261="","","QT"&amp;TEXT($B261,"yyyymm")&amp;"-"&amp;TEXT(ROW()-4,"000"))</f>
        <v/>
      </c>
      <c r="B261" s="41"/>
      <c r="C261" s="42" t="str">
        <f aca="false">IF($B261="","",TEXT($B261,"yyyy-mm"))</f>
        <v/>
      </c>
      <c r="D261" s="33"/>
      <c r="E261" s="36"/>
      <c r="F261" s="31"/>
      <c r="G261" s="31"/>
      <c r="H261" s="40"/>
      <c r="I261" s="33"/>
      <c r="J261" s="31"/>
      <c r="K261" s="36"/>
      <c r="L261" s="47" t="str">
        <f aca="false">IF($B261="","",IF(NOT(ISNUMBER($B261)),"日期不是日期格式",IF(YEAR($B261)&lt;&gt;首页!$B$3,"不在会计年度",IF($F261="","未填借方科目",IF($G261="","未填贷方科目",IF(LEFT($M261,1)="⚠","借方科目不存在",IF(LEFT($N261,1)="⚠","贷方科目不存在",IF($F261=$G261,"借贷科目不能相同",IF(NOT(ISNUMBER($H261)),"金额须为数字",IF(N($H261)&lt;=0,"金额须大于0","√"))))))))))</f>
        <v/>
      </c>
      <c r="M261" s="50" t="str">
        <f aca="false">IF($F261="","",IFERROR(INDEX(科目参数!$B$6:$B$125,MATCH($F261,科目参数!$A$6:$A$125,0)),"⚠科目不存在"))</f>
        <v/>
      </c>
      <c r="N261" s="50" t="str">
        <f aca="false">IF($G261="","",IFERROR(INDEX(科目参数!$B$6:$B$125,MATCH($G261,科目参数!$A$6:$A$125,0)),"⚠科目不存在"))</f>
        <v/>
      </c>
    </row>
    <row r="262" customFormat="false" ht="15.75" hidden="false" customHeight="true" outlineLevel="0" collapsed="false">
      <c r="A262" s="42" t="str">
        <f aca="false">IF($B262="","","QT"&amp;TEXT($B262,"yyyymm")&amp;"-"&amp;TEXT(ROW()-4,"000"))</f>
        <v/>
      </c>
      <c r="B262" s="41"/>
      <c r="C262" s="42" t="str">
        <f aca="false">IF($B262="","",TEXT($B262,"yyyy-mm"))</f>
        <v/>
      </c>
      <c r="D262" s="33"/>
      <c r="E262" s="36"/>
      <c r="F262" s="31"/>
      <c r="G262" s="31"/>
      <c r="H262" s="40"/>
      <c r="I262" s="33"/>
      <c r="J262" s="31"/>
      <c r="K262" s="36"/>
      <c r="L262" s="47" t="str">
        <f aca="false">IF($B262="","",IF(NOT(ISNUMBER($B262)),"日期不是日期格式",IF(YEAR($B262)&lt;&gt;首页!$B$3,"不在会计年度",IF($F262="","未填借方科目",IF($G262="","未填贷方科目",IF(LEFT($M262,1)="⚠","借方科目不存在",IF(LEFT($N262,1)="⚠","贷方科目不存在",IF($F262=$G262,"借贷科目不能相同",IF(NOT(ISNUMBER($H262)),"金额须为数字",IF(N($H262)&lt;=0,"金额须大于0","√"))))))))))</f>
        <v/>
      </c>
      <c r="M262" s="50" t="str">
        <f aca="false">IF($F262="","",IFERROR(INDEX(科目参数!$B$6:$B$125,MATCH($F262,科目参数!$A$6:$A$125,0)),"⚠科目不存在"))</f>
        <v/>
      </c>
      <c r="N262" s="50" t="str">
        <f aca="false">IF($G262="","",IFERROR(INDEX(科目参数!$B$6:$B$125,MATCH($G262,科目参数!$A$6:$A$125,0)),"⚠科目不存在"))</f>
        <v/>
      </c>
    </row>
    <row r="263" customFormat="false" ht="15.75" hidden="false" customHeight="true" outlineLevel="0" collapsed="false">
      <c r="A263" s="42" t="str">
        <f aca="false">IF($B263="","","QT"&amp;TEXT($B263,"yyyymm")&amp;"-"&amp;TEXT(ROW()-4,"000"))</f>
        <v/>
      </c>
      <c r="B263" s="41"/>
      <c r="C263" s="42" t="str">
        <f aca="false">IF($B263="","",TEXT($B263,"yyyy-mm"))</f>
        <v/>
      </c>
      <c r="D263" s="33"/>
      <c r="E263" s="36"/>
      <c r="F263" s="31"/>
      <c r="G263" s="31"/>
      <c r="H263" s="40"/>
      <c r="I263" s="33"/>
      <c r="J263" s="31"/>
      <c r="K263" s="36"/>
      <c r="L263" s="47" t="str">
        <f aca="false">IF($B263="","",IF(NOT(ISNUMBER($B263)),"日期不是日期格式",IF(YEAR($B263)&lt;&gt;首页!$B$3,"不在会计年度",IF($F263="","未填借方科目",IF($G263="","未填贷方科目",IF(LEFT($M263,1)="⚠","借方科目不存在",IF(LEFT($N263,1)="⚠","贷方科目不存在",IF($F263=$G263,"借贷科目不能相同",IF(NOT(ISNUMBER($H263)),"金额须为数字",IF(N($H263)&lt;=0,"金额须大于0","√"))))))))))</f>
        <v/>
      </c>
      <c r="M263" s="50" t="str">
        <f aca="false">IF($F263="","",IFERROR(INDEX(科目参数!$B$6:$B$125,MATCH($F263,科目参数!$A$6:$A$125,0)),"⚠科目不存在"))</f>
        <v/>
      </c>
      <c r="N263" s="50" t="str">
        <f aca="false">IF($G263="","",IFERROR(INDEX(科目参数!$B$6:$B$125,MATCH($G263,科目参数!$A$6:$A$125,0)),"⚠科目不存在"))</f>
        <v/>
      </c>
    </row>
    <row r="264" customFormat="false" ht="15.75" hidden="false" customHeight="true" outlineLevel="0" collapsed="false">
      <c r="A264" s="42" t="str">
        <f aca="false">IF($B264="","","QT"&amp;TEXT($B264,"yyyymm")&amp;"-"&amp;TEXT(ROW()-4,"000"))</f>
        <v/>
      </c>
      <c r="B264" s="41"/>
      <c r="C264" s="42" t="str">
        <f aca="false">IF($B264="","",TEXT($B264,"yyyy-mm"))</f>
        <v/>
      </c>
      <c r="D264" s="33"/>
      <c r="E264" s="36"/>
      <c r="F264" s="31"/>
      <c r="G264" s="31"/>
      <c r="H264" s="40"/>
      <c r="I264" s="33"/>
      <c r="J264" s="31"/>
      <c r="K264" s="36"/>
      <c r="L264" s="47" t="str">
        <f aca="false">IF($B264="","",IF(NOT(ISNUMBER($B264)),"日期不是日期格式",IF(YEAR($B264)&lt;&gt;首页!$B$3,"不在会计年度",IF($F264="","未填借方科目",IF($G264="","未填贷方科目",IF(LEFT($M264,1)="⚠","借方科目不存在",IF(LEFT($N264,1)="⚠","贷方科目不存在",IF($F264=$G264,"借贷科目不能相同",IF(NOT(ISNUMBER($H264)),"金额须为数字",IF(N($H264)&lt;=0,"金额须大于0","√"))))))))))</f>
        <v/>
      </c>
      <c r="M264" s="50" t="str">
        <f aca="false">IF($F264="","",IFERROR(INDEX(科目参数!$B$6:$B$125,MATCH($F264,科目参数!$A$6:$A$125,0)),"⚠科目不存在"))</f>
        <v/>
      </c>
      <c r="N264" s="50" t="str">
        <f aca="false">IF($G264="","",IFERROR(INDEX(科目参数!$B$6:$B$125,MATCH($G264,科目参数!$A$6:$A$125,0)),"⚠科目不存在"))</f>
        <v/>
      </c>
    </row>
    <row r="265" customFormat="false" ht="15.75" hidden="false" customHeight="true" outlineLevel="0" collapsed="false">
      <c r="A265" s="42" t="str">
        <f aca="false">IF($B265="","","QT"&amp;TEXT($B265,"yyyymm")&amp;"-"&amp;TEXT(ROW()-4,"000"))</f>
        <v/>
      </c>
      <c r="B265" s="41"/>
      <c r="C265" s="42" t="str">
        <f aca="false">IF($B265="","",TEXT($B265,"yyyy-mm"))</f>
        <v/>
      </c>
      <c r="D265" s="33"/>
      <c r="E265" s="36"/>
      <c r="F265" s="31"/>
      <c r="G265" s="31"/>
      <c r="H265" s="40"/>
      <c r="I265" s="33"/>
      <c r="J265" s="31"/>
      <c r="K265" s="36"/>
      <c r="L265" s="47" t="str">
        <f aca="false">IF($B265="","",IF(NOT(ISNUMBER($B265)),"日期不是日期格式",IF(YEAR($B265)&lt;&gt;首页!$B$3,"不在会计年度",IF($F265="","未填借方科目",IF($G265="","未填贷方科目",IF(LEFT($M265,1)="⚠","借方科目不存在",IF(LEFT($N265,1)="⚠","贷方科目不存在",IF($F265=$G265,"借贷科目不能相同",IF(NOT(ISNUMBER($H265)),"金额须为数字",IF(N($H265)&lt;=0,"金额须大于0","√"))))))))))</f>
        <v/>
      </c>
      <c r="M265" s="50" t="str">
        <f aca="false">IF($F265="","",IFERROR(INDEX(科目参数!$B$6:$B$125,MATCH($F265,科目参数!$A$6:$A$125,0)),"⚠科目不存在"))</f>
        <v/>
      </c>
      <c r="N265" s="50" t="str">
        <f aca="false">IF($G265="","",IFERROR(INDEX(科目参数!$B$6:$B$125,MATCH($G265,科目参数!$A$6:$A$125,0)),"⚠科目不存在"))</f>
        <v/>
      </c>
    </row>
    <row r="266" customFormat="false" ht="15.75" hidden="false" customHeight="true" outlineLevel="0" collapsed="false">
      <c r="A266" s="42" t="str">
        <f aca="false">IF($B266="","","QT"&amp;TEXT($B266,"yyyymm")&amp;"-"&amp;TEXT(ROW()-4,"000"))</f>
        <v/>
      </c>
      <c r="B266" s="41"/>
      <c r="C266" s="42" t="str">
        <f aca="false">IF($B266="","",TEXT($B266,"yyyy-mm"))</f>
        <v/>
      </c>
      <c r="D266" s="33"/>
      <c r="E266" s="36"/>
      <c r="F266" s="31"/>
      <c r="G266" s="31"/>
      <c r="H266" s="40"/>
      <c r="I266" s="33"/>
      <c r="J266" s="31"/>
      <c r="K266" s="36"/>
      <c r="L266" s="47" t="str">
        <f aca="false">IF($B266="","",IF(NOT(ISNUMBER($B266)),"日期不是日期格式",IF(YEAR($B266)&lt;&gt;首页!$B$3,"不在会计年度",IF($F266="","未填借方科目",IF($G266="","未填贷方科目",IF(LEFT($M266,1)="⚠","借方科目不存在",IF(LEFT($N266,1)="⚠","贷方科目不存在",IF($F266=$G266,"借贷科目不能相同",IF(NOT(ISNUMBER($H266)),"金额须为数字",IF(N($H266)&lt;=0,"金额须大于0","√"))))))))))</f>
        <v/>
      </c>
      <c r="M266" s="50" t="str">
        <f aca="false">IF($F266="","",IFERROR(INDEX(科目参数!$B$6:$B$125,MATCH($F266,科目参数!$A$6:$A$125,0)),"⚠科目不存在"))</f>
        <v/>
      </c>
      <c r="N266" s="50" t="str">
        <f aca="false">IF($G266="","",IFERROR(INDEX(科目参数!$B$6:$B$125,MATCH($G266,科目参数!$A$6:$A$125,0)),"⚠科目不存在"))</f>
        <v/>
      </c>
    </row>
    <row r="267" customFormat="false" ht="15.75" hidden="false" customHeight="true" outlineLevel="0" collapsed="false">
      <c r="A267" s="42" t="str">
        <f aca="false">IF($B267="","","QT"&amp;TEXT($B267,"yyyymm")&amp;"-"&amp;TEXT(ROW()-4,"000"))</f>
        <v/>
      </c>
      <c r="B267" s="41"/>
      <c r="C267" s="42" t="str">
        <f aca="false">IF($B267="","",TEXT($B267,"yyyy-mm"))</f>
        <v/>
      </c>
      <c r="D267" s="33"/>
      <c r="E267" s="36"/>
      <c r="F267" s="31"/>
      <c r="G267" s="31"/>
      <c r="H267" s="40"/>
      <c r="I267" s="33"/>
      <c r="J267" s="31"/>
      <c r="K267" s="36"/>
      <c r="L267" s="47" t="str">
        <f aca="false">IF($B267="","",IF(NOT(ISNUMBER($B267)),"日期不是日期格式",IF(YEAR($B267)&lt;&gt;首页!$B$3,"不在会计年度",IF($F267="","未填借方科目",IF($G267="","未填贷方科目",IF(LEFT($M267,1)="⚠","借方科目不存在",IF(LEFT($N267,1)="⚠","贷方科目不存在",IF($F267=$G267,"借贷科目不能相同",IF(NOT(ISNUMBER($H267)),"金额须为数字",IF(N($H267)&lt;=0,"金额须大于0","√"))))))))))</f>
        <v/>
      </c>
      <c r="M267" s="50" t="str">
        <f aca="false">IF($F267="","",IFERROR(INDEX(科目参数!$B$6:$B$125,MATCH($F267,科目参数!$A$6:$A$125,0)),"⚠科目不存在"))</f>
        <v/>
      </c>
      <c r="N267" s="50" t="str">
        <f aca="false">IF($G267="","",IFERROR(INDEX(科目参数!$B$6:$B$125,MATCH($G267,科目参数!$A$6:$A$125,0)),"⚠科目不存在"))</f>
        <v/>
      </c>
    </row>
    <row r="268" customFormat="false" ht="15.75" hidden="false" customHeight="true" outlineLevel="0" collapsed="false">
      <c r="A268" s="42" t="str">
        <f aca="false">IF($B268="","","QT"&amp;TEXT($B268,"yyyymm")&amp;"-"&amp;TEXT(ROW()-4,"000"))</f>
        <v/>
      </c>
      <c r="B268" s="41"/>
      <c r="C268" s="42" t="str">
        <f aca="false">IF($B268="","",TEXT($B268,"yyyy-mm"))</f>
        <v/>
      </c>
      <c r="D268" s="33"/>
      <c r="E268" s="36"/>
      <c r="F268" s="31"/>
      <c r="G268" s="31"/>
      <c r="H268" s="40"/>
      <c r="I268" s="33"/>
      <c r="J268" s="31"/>
      <c r="K268" s="36"/>
      <c r="L268" s="47" t="str">
        <f aca="false">IF($B268="","",IF(NOT(ISNUMBER($B268)),"日期不是日期格式",IF(YEAR($B268)&lt;&gt;首页!$B$3,"不在会计年度",IF($F268="","未填借方科目",IF($G268="","未填贷方科目",IF(LEFT($M268,1)="⚠","借方科目不存在",IF(LEFT($N268,1)="⚠","贷方科目不存在",IF($F268=$G268,"借贷科目不能相同",IF(NOT(ISNUMBER($H268)),"金额须为数字",IF(N($H268)&lt;=0,"金额须大于0","√"))))))))))</f>
        <v/>
      </c>
      <c r="M268" s="50" t="str">
        <f aca="false">IF($F268="","",IFERROR(INDEX(科目参数!$B$6:$B$125,MATCH($F268,科目参数!$A$6:$A$125,0)),"⚠科目不存在"))</f>
        <v/>
      </c>
      <c r="N268" s="50" t="str">
        <f aca="false">IF($G268="","",IFERROR(INDEX(科目参数!$B$6:$B$125,MATCH($G268,科目参数!$A$6:$A$125,0)),"⚠科目不存在"))</f>
        <v/>
      </c>
    </row>
    <row r="269" customFormat="false" ht="15.75" hidden="false" customHeight="true" outlineLevel="0" collapsed="false">
      <c r="A269" s="42" t="str">
        <f aca="false">IF($B269="","","QT"&amp;TEXT($B269,"yyyymm")&amp;"-"&amp;TEXT(ROW()-4,"000"))</f>
        <v/>
      </c>
      <c r="B269" s="41"/>
      <c r="C269" s="42" t="str">
        <f aca="false">IF($B269="","",TEXT($B269,"yyyy-mm"))</f>
        <v/>
      </c>
      <c r="D269" s="33"/>
      <c r="E269" s="36"/>
      <c r="F269" s="31"/>
      <c r="G269" s="31"/>
      <c r="H269" s="40"/>
      <c r="I269" s="33"/>
      <c r="J269" s="31"/>
      <c r="K269" s="36"/>
      <c r="L269" s="47" t="str">
        <f aca="false">IF($B269="","",IF(NOT(ISNUMBER($B269)),"日期不是日期格式",IF(YEAR($B269)&lt;&gt;首页!$B$3,"不在会计年度",IF($F269="","未填借方科目",IF($G269="","未填贷方科目",IF(LEFT($M269,1)="⚠","借方科目不存在",IF(LEFT($N269,1)="⚠","贷方科目不存在",IF($F269=$G269,"借贷科目不能相同",IF(NOT(ISNUMBER($H269)),"金额须为数字",IF(N($H269)&lt;=0,"金额须大于0","√"))))))))))</f>
        <v/>
      </c>
      <c r="M269" s="50" t="str">
        <f aca="false">IF($F269="","",IFERROR(INDEX(科目参数!$B$6:$B$125,MATCH($F269,科目参数!$A$6:$A$125,0)),"⚠科目不存在"))</f>
        <v/>
      </c>
      <c r="N269" s="50" t="str">
        <f aca="false">IF($G269="","",IFERROR(INDEX(科目参数!$B$6:$B$125,MATCH($G269,科目参数!$A$6:$A$125,0)),"⚠科目不存在"))</f>
        <v/>
      </c>
    </row>
    <row r="270" customFormat="false" ht="15.75" hidden="false" customHeight="true" outlineLevel="0" collapsed="false">
      <c r="A270" s="42" t="str">
        <f aca="false">IF($B270="","","QT"&amp;TEXT($B270,"yyyymm")&amp;"-"&amp;TEXT(ROW()-4,"000"))</f>
        <v/>
      </c>
      <c r="B270" s="41"/>
      <c r="C270" s="42" t="str">
        <f aca="false">IF($B270="","",TEXT($B270,"yyyy-mm"))</f>
        <v/>
      </c>
      <c r="D270" s="33"/>
      <c r="E270" s="36"/>
      <c r="F270" s="31"/>
      <c r="G270" s="31"/>
      <c r="H270" s="40"/>
      <c r="I270" s="33"/>
      <c r="J270" s="31"/>
      <c r="K270" s="36"/>
      <c r="L270" s="47" t="str">
        <f aca="false">IF($B270="","",IF(NOT(ISNUMBER($B270)),"日期不是日期格式",IF(YEAR($B270)&lt;&gt;首页!$B$3,"不在会计年度",IF($F270="","未填借方科目",IF($G270="","未填贷方科目",IF(LEFT($M270,1)="⚠","借方科目不存在",IF(LEFT($N270,1)="⚠","贷方科目不存在",IF($F270=$G270,"借贷科目不能相同",IF(NOT(ISNUMBER($H270)),"金额须为数字",IF(N($H270)&lt;=0,"金额须大于0","√"))))))))))</f>
        <v/>
      </c>
      <c r="M270" s="50" t="str">
        <f aca="false">IF($F270="","",IFERROR(INDEX(科目参数!$B$6:$B$125,MATCH($F270,科目参数!$A$6:$A$125,0)),"⚠科目不存在"))</f>
        <v/>
      </c>
      <c r="N270" s="50" t="str">
        <f aca="false">IF($G270="","",IFERROR(INDEX(科目参数!$B$6:$B$125,MATCH($G270,科目参数!$A$6:$A$125,0)),"⚠科目不存在"))</f>
        <v/>
      </c>
    </row>
    <row r="271" customFormat="false" ht="15.75" hidden="false" customHeight="true" outlineLevel="0" collapsed="false">
      <c r="A271" s="42" t="str">
        <f aca="false">IF($B271="","","QT"&amp;TEXT($B271,"yyyymm")&amp;"-"&amp;TEXT(ROW()-4,"000"))</f>
        <v/>
      </c>
      <c r="B271" s="41"/>
      <c r="C271" s="42" t="str">
        <f aca="false">IF($B271="","",TEXT($B271,"yyyy-mm"))</f>
        <v/>
      </c>
      <c r="D271" s="33"/>
      <c r="E271" s="36"/>
      <c r="F271" s="31"/>
      <c r="G271" s="31"/>
      <c r="H271" s="40"/>
      <c r="I271" s="33"/>
      <c r="J271" s="31"/>
      <c r="K271" s="36"/>
      <c r="L271" s="47" t="str">
        <f aca="false">IF($B271="","",IF(NOT(ISNUMBER($B271)),"日期不是日期格式",IF(YEAR($B271)&lt;&gt;首页!$B$3,"不在会计年度",IF($F271="","未填借方科目",IF($G271="","未填贷方科目",IF(LEFT($M271,1)="⚠","借方科目不存在",IF(LEFT($N271,1)="⚠","贷方科目不存在",IF($F271=$G271,"借贷科目不能相同",IF(NOT(ISNUMBER($H271)),"金额须为数字",IF(N($H271)&lt;=0,"金额须大于0","√"))))))))))</f>
        <v/>
      </c>
      <c r="M271" s="50" t="str">
        <f aca="false">IF($F271="","",IFERROR(INDEX(科目参数!$B$6:$B$125,MATCH($F271,科目参数!$A$6:$A$125,0)),"⚠科目不存在"))</f>
        <v/>
      </c>
      <c r="N271" s="50" t="str">
        <f aca="false">IF($G271="","",IFERROR(INDEX(科目参数!$B$6:$B$125,MATCH($G271,科目参数!$A$6:$A$125,0)),"⚠科目不存在"))</f>
        <v/>
      </c>
    </row>
    <row r="272" customFormat="false" ht="15.75" hidden="false" customHeight="true" outlineLevel="0" collapsed="false">
      <c r="A272" s="42" t="str">
        <f aca="false">IF($B272="","","QT"&amp;TEXT($B272,"yyyymm")&amp;"-"&amp;TEXT(ROW()-4,"000"))</f>
        <v/>
      </c>
      <c r="B272" s="41"/>
      <c r="C272" s="42" t="str">
        <f aca="false">IF($B272="","",TEXT($B272,"yyyy-mm"))</f>
        <v/>
      </c>
      <c r="D272" s="33"/>
      <c r="E272" s="36"/>
      <c r="F272" s="31"/>
      <c r="G272" s="31"/>
      <c r="H272" s="40"/>
      <c r="I272" s="33"/>
      <c r="J272" s="31"/>
      <c r="K272" s="36"/>
      <c r="L272" s="47" t="str">
        <f aca="false">IF($B272="","",IF(NOT(ISNUMBER($B272)),"日期不是日期格式",IF(YEAR($B272)&lt;&gt;首页!$B$3,"不在会计年度",IF($F272="","未填借方科目",IF($G272="","未填贷方科目",IF(LEFT($M272,1)="⚠","借方科目不存在",IF(LEFT($N272,1)="⚠","贷方科目不存在",IF($F272=$G272,"借贷科目不能相同",IF(NOT(ISNUMBER($H272)),"金额须为数字",IF(N($H272)&lt;=0,"金额须大于0","√"))))))))))</f>
        <v/>
      </c>
      <c r="M272" s="50" t="str">
        <f aca="false">IF($F272="","",IFERROR(INDEX(科目参数!$B$6:$B$125,MATCH($F272,科目参数!$A$6:$A$125,0)),"⚠科目不存在"))</f>
        <v/>
      </c>
      <c r="N272" s="50" t="str">
        <f aca="false">IF($G272="","",IFERROR(INDEX(科目参数!$B$6:$B$125,MATCH($G272,科目参数!$A$6:$A$125,0)),"⚠科目不存在"))</f>
        <v/>
      </c>
    </row>
    <row r="273" customFormat="false" ht="15.75" hidden="false" customHeight="true" outlineLevel="0" collapsed="false">
      <c r="A273" s="42" t="str">
        <f aca="false">IF($B273="","","QT"&amp;TEXT($B273,"yyyymm")&amp;"-"&amp;TEXT(ROW()-4,"000"))</f>
        <v/>
      </c>
      <c r="B273" s="41"/>
      <c r="C273" s="42" t="str">
        <f aca="false">IF($B273="","",TEXT($B273,"yyyy-mm"))</f>
        <v/>
      </c>
      <c r="D273" s="33"/>
      <c r="E273" s="36"/>
      <c r="F273" s="31"/>
      <c r="G273" s="31"/>
      <c r="H273" s="40"/>
      <c r="I273" s="33"/>
      <c r="J273" s="31"/>
      <c r="K273" s="36"/>
      <c r="L273" s="47" t="str">
        <f aca="false">IF($B273="","",IF(NOT(ISNUMBER($B273)),"日期不是日期格式",IF(YEAR($B273)&lt;&gt;首页!$B$3,"不在会计年度",IF($F273="","未填借方科目",IF($G273="","未填贷方科目",IF(LEFT($M273,1)="⚠","借方科目不存在",IF(LEFT($N273,1)="⚠","贷方科目不存在",IF($F273=$G273,"借贷科目不能相同",IF(NOT(ISNUMBER($H273)),"金额须为数字",IF(N($H273)&lt;=0,"金额须大于0","√"))))))))))</f>
        <v/>
      </c>
      <c r="M273" s="50" t="str">
        <f aca="false">IF($F273="","",IFERROR(INDEX(科目参数!$B$6:$B$125,MATCH($F273,科目参数!$A$6:$A$125,0)),"⚠科目不存在"))</f>
        <v/>
      </c>
      <c r="N273" s="50" t="str">
        <f aca="false">IF($G273="","",IFERROR(INDEX(科目参数!$B$6:$B$125,MATCH($G273,科目参数!$A$6:$A$125,0)),"⚠科目不存在"))</f>
        <v/>
      </c>
    </row>
    <row r="274" customFormat="false" ht="15.75" hidden="false" customHeight="true" outlineLevel="0" collapsed="false">
      <c r="A274" s="42" t="str">
        <f aca="false">IF($B274="","","QT"&amp;TEXT($B274,"yyyymm")&amp;"-"&amp;TEXT(ROW()-4,"000"))</f>
        <v/>
      </c>
      <c r="B274" s="41"/>
      <c r="C274" s="42" t="str">
        <f aca="false">IF($B274="","",TEXT($B274,"yyyy-mm"))</f>
        <v/>
      </c>
      <c r="D274" s="33"/>
      <c r="E274" s="36"/>
      <c r="F274" s="31"/>
      <c r="G274" s="31"/>
      <c r="H274" s="40"/>
      <c r="I274" s="33"/>
      <c r="J274" s="31"/>
      <c r="K274" s="36"/>
      <c r="L274" s="47" t="str">
        <f aca="false">IF($B274="","",IF(NOT(ISNUMBER($B274)),"日期不是日期格式",IF(YEAR($B274)&lt;&gt;首页!$B$3,"不在会计年度",IF($F274="","未填借方科目",IF($G274="","未填贷方科目",IF(LEFT($M274,1)="⚠","借方科目不存在",IF(LEFT($N274,1)="⚠","贷方科目不存在",IF($F274=$G274,"借贷科目不能相同",IF(NOT(ISNUMBER($H274)),"金额须为数字",IF(N($H274)&lt;=0,"金额须大于0","√"))))))))))</f>
        <v/>
      </c>
      <c r="M274" s="50" t="str">
        <f aca="false">IF($F274="","",IFERROR(INDEX(科目参数!$B$6:$B$125,MATCH($F274,科目参数!$A$6:$A$125,0)),"⚠科目不存在"))</f>
        <v/>
      </c>
      <c r="N274" s="50" t="str">
        <f aca="false">IF($G274="","",IFERROR(INDEX(科目参数!$B$6:$B$125,MATCH($G274,科目参数!$A$6:$A$125,0)),"⚠科目不存在"))</f>
        <v/>
      </c>
    </row>
    <row r="275" customFormat="false" ht="15.75" hidden="false" customHeight="true" outlineLevel="0" collapsed="false">
      <c r="A275" s="42" t="str">
        <f aca="false">IF($B275="","","QT"&amp;TEXT($B275,"yyyymm")&amp;"-"&amp;TEXT(ROW()-4,"000"))</f>
        <v/>
      </c>
      <c r="B275" s="41"/>
      <c r="C275" s="42" t="str">
        <f aca="false">IF($B275="","",TEXT($B275,"yyyy-mm"))</f>
        <v/>
      </c>
      <c r="D275" s="33"/>
      <c r="E275" s="36"/>
      <c r="F275" s="31"/>
      <c r="G275" s="31"/>
      <c r="H275" s="40"/>
      <c r="I275" s="33"/>
      <c r="J275" s="31"/>
      <c r="K275" s="36"/>
      <c r="L275" s="47" t="str">
        <f aca="false">IF($B275="","",IF(NOT(ISNUMBER($B275)),"日期不是日期格式",IF(YEAR($B275)&lt;&gt;首页!$B$3,"不在会计年度",IF($F275="","未填借方科目",IF($G275="","未填贷方科目",IF(LEFT($M275,1)="⚠","借方科目不存在",IF(LEFT($N275,1)="⚠","贷方科目不存在",IF($F275=$G275,"借贷科目不能相同",IF(NOT(ISNUMBER($H275)),"金额须为数字",IF(N($H275)&lt;=0,"金额须大于0","√"))))))))))</f>
        <v/>
      </c>
      <c r="M275" s="50" t="str">
        <f aca="false">IF($F275="","",IFERROR(INDEX(科目参数!$B$6:$B$125,MATCH($F275,科目参数!$A$6:$A$125,0)),"⚠科目不存在"))</f>
        <v/>
      </c>
      <c r="N275" s="50" t="str">
        <f aca="false">IF($G275="","",IFERROR(INDEX(科目参数!$B$6:$B$125,MATCH($G275,科目参数!$A$6:$A$125,0)),"⚠科目不存在"))</f>
        <v/>
      </c>
    </row>
    <row r="276" customFormat="false" ht="15.75" hidden="false" customHeight="true" outlineLevel="0" collapsed="false">
      <c r="A276" s="42" t="str">
        <f aca="false">IF($B276="","","QT"&amp;TEXT($B276,"yyyymm")&amp;"-"&amp;TEXT(ROW()-4,"000"))</f>
        <v/>
      </c>
      <c r="B276" s="41"/>
      <c r="C276" s="42" t="str">
        <f aca="false">IF($B276="","",TEXT($B276,"yyyy-mm"))</f>
        <v/>
      </c>
      <c r="D276" s="33"/>
      <c r="E276" s="36"/>
      <c r="F276" s="31"/>
      <c r="G276" s="31"/>
      <c r="H276" s="40"/>
      <c r="I276" s="33"/>
      <c r="J276" s="31"/>
      <c r="K276" s="36"/>
      <c r="L276" s="47" t="str">
        <f aca="false">IF($B276="","",IF(NOT(ISNUMBER($B276)),"日期不是日期格式",IF(YEAR($B276)&lt;&gt;首页!$B$3,"不在会计年度",IF($F276="","未填借方科目",IF($G276="","未填贷方科目",IF(LEFT($M276,1)="⚠","借方科目不存在",IF(LEFT($N276,1)="⚠","贷方科目不存在",IF($F276=$G276,"借贷科目不能相同",IF(NOT(ISNUMBER($H276)),"金额须为数字",IF(N($H276)&lt;=0,"金额须大于0","√"))))))))))</f>
        <v/>
      </c>
      <c r="M276" s="50" t="str">
        <f aca="false">IF($F276="","",IFERROR(INDEX(科目参数!$B$6:$B$125,MATCH($F276,科目参数!$A$6:$A$125,0)),"⚠科目不存在"))</f>
        <v/>
      </c>
      <c r="N276" s="50" t="str">
        <f aca="false">IF($G276="","",IFERROR(INDEX(科目参数!$B$6:$B$125,MATCH($G276,科目参数!$A$6:$A$125,0)),"⚠科目不存在"))</f>
        <v/>
      </c>
    </row>
    <row r="277" customFormat="false" ht="15.75" hidden="false" customHeight="true" outlineLevel="0" collapsed="false">
      <c r="A277" s="42" t="str">
        <f aca="false">IF($B277="","","QT"&amp;TEXT($B277,"yyyymm")&amp;"-"&amp;TEXT(ROW()-4,"000"))</f>
        <v/>
      </c>
      <c r="B277" s="41"/>
      <c r="C277" s="42" t="str">
        <f aca="false">IF($B277="","",TEXT($B277,"yyyy-mm"))</f>
        <v/>
      </c>
      <c r="D277" s="33"/>
      <c r="E277" s="36"/>
      <c r="F277" s="31"/>
      <c r="G277" s="31"/>
      <c r="H277" s="40"/>
      <c r="I277" s="33"/>
      <c r="J277" s="31"/>
      <c r="K277" s="36"/>
      <c r="L277" s="47" t="str">
        <f aca="false">IF($B277="","",IF(NOT(ISNUMBER($B277)),"日期不是日期格式",IF(YEAR($B277)&lt;&gt;首页!$B$3,"不在会计年度",IF($F277="","未填借方科目",IF($G277="","未填贷方科目",IF(LEFT($M277,1)="⚠","借方科目不存在",IF(LEFT($N277,1)="⚠","贷方科目不存在",IF($F277=$G277,"借贷科目不能相同",IF(NOT(ISNUMBER($H277)),"金额须为数字",IF(N($H277)&lt;=0,"金额须大于0","√"))))))))))</f>
        <v/>
      </c>
      <c r="M277" s="50" t="str">
        <f aca="false">IF($F277="","",IFERROR(INDEX(科目参数!$B$6:$B$125,MATCH($F277,科目参数!$A$6:$A$125,0)),"⚠科目不存在"))</f>
        <v/>
      </c>
      <c r="N277" s="50" t="str">
        <f aca="false">IF($G277="","",IFERROR(INDEX(科目参数!$B$6:$B$125,MATCH($G277,科目参数!$A$6:$A$125,0)),"⚠科目不存在"))</f>
        <v/>
      </c>
    </row>
    <row r="278" customFormat="false" ht="15.75" hidden="false" customHeight="true" outlineLevel="0" collapsed="false">
      <c r="A278" s="42" t="str">
        <f aca="false">IF($B278="","","QT"&amp;TEXT($B278,"yyyymm")&amp;"-"&amp;TEXT(ROW()-4,"000"))</f>
        <v/>
      </c>
      <c r="B278" s="41"/>
      <c r="C278" s="42" t="str">
        <f aca="false">IF($B278="","",TEXT($B278,"yyyy-mm"))</f>
        <v/>
      </c>
      <c r="D278" s="33"/>
      <c r="E278" s="36"/>
      <c r="F278" s="31"/>
      <c r="G278" s="31"/>
      <c r="H278" s="40"/>
      <c r="I278" s="33"/>
      <c r="J278" s="31"/>
      <c r="K278" s="36"/>
      <c r="L278" s="47" t="str">
        <f aca="false">IF($B278="","",IF(NOT(ISNUMBER($B278)),"日期不是日期格式",IF(YEAR($B278)&lt;&gt;首页!$B$3,"不在会计年度",IF($F278="","未填借方科目",IF($G278="","未填贷方科目",IF(LEFT($M278,1)="⚠","借方科目不存在",IF(LEFT($N278,1)="⚠","贷方科目不存在",IF($F278=$G278,"借贷科目不能相同",IF(NOT(ISNUMBER($H278)),"金额须为数字",IF(N($H278)&lt;=0,"金额须大于0","√"))))))))))</f>
        <v/>
      </c>
      <c r="M278" s="50" t="str">
        <f aca="false">IF($F278="","",IFERROR(INDEX(科目参数!$B$6:$B$125,MATCH($F278,科目参数!$A$6:$A$125,0)),"⚠科目不存在"))</f>
        <v/>
      </c>
      <c r="N278" s="50" t="str">
        <f aca="false">IF($G278="","",IFERROR(INDEX(科目参数!$B$6:$B$125,MATCH($G278,科目参数!$A$6:$A$125,0)),"⚠科目不存在"))</f>
        <v/>
      </c>
    </row>
    <row r="279" customFormat="false" ht="15.75" hidden="false" customHeight="true" outlineLevel="0" collapsed="false">
      <c r="A279" s="42" t="str">
        <f aca="false">IF($B279="","","QT"&amp;TEXT($B279,"yyyymm")&amp;"-"&amp;TEXT(ROW()-4,"000"))</f>
        <v/>
      </c>
      <c r="B279" s="41"/>
      <c r="C279" s="42" t="str">
        <f aca="false">IF($B279="","",TEXT($B279,"yyyy-mm"))</f>
        <v/>
      </c>
      <c r="D279" s="33"/>
      <c r="E279" s="36"/>
      <c r="F279" s="31"/>
      <c r="G279" s="31"/>
      <c r="H279" s="40"/>
      <c r="I279" s="33"/>
      <c r="J279" s="31"/>
      <c r="K279" s="36"/>
      <c r="L279" s="47" t="str">
        <f aca="false">IF($B279="","",IF(NOT(ISNUMBER($B279)),"日期不是日期格式",IF(YEAR($B279)&lt;&gt;首页!$B$3,"不在会计年度",IF($F279="","未填借方科目",IF($G279="","未填贷方科目",IF(LEFT($M279,1)="⚠","借方科目不存在",IF(LEFT($N279,1)="⚠","贷方科目不存在",IF($F279=$G279,"借贷科目不能相同",IF(NOT(ISNUMBER($H279)),"金额须为数字",IF(N($H279)&lt;=0,"金额须大于0","√"))))))))))</f>
        <v/>
      </c>
      <c r="M279" s="50" t="str">
        <f aca="false">IF($F279="","",IFERROR(INDEX(科目参数!$B$6:$B$125,MATCH($F279,科目参数!$A$6:$A$125,0)),"⚠科目不存在"))</f>
        <v/>
      </c>
      <c r="N279" s="50" t="str">
        <f aca="false">IF($G279="","",IFERROR(INDEX(科目参数!$B$6:$B$125,MATCH($G279,科目参数!$A$6:$A$125,0)),"⚠科目不存在"))</f>
        <v/>
      </c>
    </row>
    <row r="280" customFormat="false" ht="15.75" hidden="false" customHeight="true" outlineLevel="0" collapsed="false">
      <c r="A280" s="42" t="str">
        <f aca="false">IF($B280="","","QT"&amp;TEXT($B280,"yyyymm")&amp;"-"&amp;TEXT(ROW()-4,"000"))</f>
        <v/>
      </c>
      <c r="B280" s="41"/>
      <c r="C280" s="42" t="str">
        <f aca="false">IF($B280="","",TEXT($B280,"yyyy-mm"))</f>
        <v/>
      </c>
      <c r="D280" s="33"/>
      <c r="E280" s="36"/>
      <c r="F280" s="31"/>
      <c r="G280" s="31"/>
      <c r="H280" s="40"/>
      <c r="I280" s="33"/>
      <c r="J280" s="31"/>
      <c r="K280" s="36"/>
      <c r="L280" s="47" t="str">
        <f aca="false">IF($B280="","",IF(NOT(ISNUMBER($B280)),"日期不是日期格式",IF(YEAR($B280)&lt;&gt;首页!$B$3,"不在会计年度",IF($F280="","未填借方科目",IF($G280="","未填贷方科目",IF(LEFT($M280,1)="⚠","借方科目不存在",IF(LEFT($N280,1)="⚠","贷方科目不存在",IF($F280=$G280,"借贷科目不能相同",IF(NOT(ISNUMBER($H280)),"金额须为数字",IF(N($H280)&lt;=0,"金额须大于0","√"))))))))))</f>
        <v/>
      </c>
      <c r="M280" s="50" t="str">
        <f aca="false">IF($F280="","",IFERROR(INDEX(科目参数!$B$6:$B$125,MATCH($F280,科目参数!$A$6:$A$125,0)),"⚠科目不存在"))</f>
        <v/>
      </c>
      <c r="N280" s="50" t="str">
        <f aca="false">IF($G280="","",IFERROR(INDEX(科目参数!$B$6:$B$125,MATCH($G280,科目参数!$A$6:$A$125,0)),"⚠科目不存在"))</f>
        <v/>
      </c>
    </row>
    <row r="281" customFormat="false" ht="15.75" hidden="false" customHeight="true" outlineLevel="0" collapsed="false">
      <c r="A281" s="42" t="str">
        <f aca="false">IF($B281="","","QT"&amp;TEXT($B281,"yyyymm")&amp;"-"&amp;TEXT(ROW()-4,"000"))</f>
        <v/>
      </c>
      <c r="B281" s="41"/>
      <c r="C281" s="42" t="str">
        <f aca="false">IF($B281="","",TEXT($B281,"yyyy-mm"))</f>
        <v/>
      </c>
      <c r="D281" s="33"/>
      <c r="E281" s="36"/>
      <c r="F281" s="31"/>
      <c r="G281" s="31"/>
      <c r="H281" s="40"/>
      <c r="I281" s="33"/>
      <c r="J281" s="31"/>
      <c r="K281" s="36"/>
      <c r="L281" s="47" t="str">
        <f aca="false">IF($B281="","",IF(NOT(ISNUMBER($B281)),"日期不是日期格式",IF(YEAR($B281)&lt;&gt;首页!$B$3,"不在会计年度",IF($F281="","未填借方科目",IF($G281="","未填贷方科目",IF(LEFT($M281,1)="⚠","借方科目不存在",IF(LEFT($N281,1)="⚠","贷方科目不存在",IF($F281=$G281,"借贷科目不能相同",IF(NOT(ISNUMBER($H281)),"金额须为数字",IF(N($H281)&lt;=0,"金额须大于0","√"))))))))))</f>
        <v/>
      </c>
      <c r="M281" s="50" t="str">
        <f aca="false">IF($F281="","",IFERROR(INDEX(科目参数!$B$6:$B$125,MATCH($F281,科目参数!$A$6:$A$125,0)),"⚠科目不存在"))</f>
        <v/>
      </c>
      <c r="N281" s="50" t="str">
        <f aca="false">IF($G281="","",IFERROR(INDEX(科目参数!$B$6:$B$125,MATCH($G281,科目参数!$A$6:$A$125,0)),"⚠科目不存在"))</f>
        <v/>
      </c>
    </row>
    <row r="282" customFormat="false" ht="15.75" hidden="false" customHeight="true" outlineLevel="0" collapsed="false">
      <c r="A282" s="42" t="str">
        <f aca="false">IF($B282="","","QT"&amp;TEXT($B282,"yyyymm")&amp;"-"&amp;TEXT(ROW()-4,"000"))</f>
        <v/>
      </c>
      <c r="B282" s="41"/>
      <c r="C282" s="42" t="str">
        <f aca="false">IF($B282="","",TEXT($B282,"yyyy-mm"))</f>
        <v/>
      </c>
      <c r="D282" s="33"/>
      <c r="E282" s="36"/>
      <c r="F282" s="31"/>
      <c r="G282" s="31"/>
      <c r="H282" s="40"/>
      <c r="I282" s="33"/>
      <c r="J282" s="31"/>
      <c r="K282" s="36"/>
      <c r="L282" s="47" t="str">
        <f aca="false">IF($B282="","",IF(NOT(ISNUMBER($B282)),"日期不是日期格式",IF(YEAR($B282)&lt;&gt;首页!$B$3,"不在会计年度",IF($F282="","未填借方科目",IF($G282="","未填贷方科目",IF(LEFT($M282,1)="⚠","借方科目不存在",IF(LEFT($N282,1)="⚠","贷方科目不存在",IF($F282=$G282,"借贷科目不能相同",IF(NOT(ISNUMBER($H282)),"金额须为数字",IF(N($H282)&lt;=0,"金额须大于0","√"))))))))))</f>
        <v/>
      </c>
      <c r="M282" s="50" t="str">
        <f aca="false">IF($F282="","",IFERROR(INDEX(科目参数!$B$6:$B$125,MATCH($F282,科目参数!$A$6:$A$125,0)),"⚠科目不存在"))</f>
        <v/>
      </c>
      <c r="N282" s="50" t="str">
        <f aca="false">IF($G282="","",IFERROR(INDEX(科目参数!$B$6:$B$125,MATCH($G282,科目参数!$A$6:$A$125,0)),"⚠科目不存在"))</f>
        <v/>
      </c>
    </row>
    <row r="283" customFormat="false" ht="15.75" hidden="false" customHeight="true" outlineLevel="0" collapsed="false">
      <c r="A283" s="42" t="str">
        <f aca="false">IF($B283="","","QT"&amp;TEXT($B283,"yyyymm")&amp;"-"&amp;TEXT(ROW()-4,"000"))</f>
        <v/>
      </c>
      <c r="B283" s="41"/>
      <c r="C283" s="42" t="str">
        <f aca="false">IF($B283="","",TEXT($B283,"yyyy-mm"))</f>
        <v/>
      </c>
      <c r="D283" s="33"/>
      <c r="E283" s="36"/>
      <c r="F283" s="31"/>
      <c r="G283" s="31"/>
      <c r="H283" s="40"/>
      <c r="I283" s="33"/>
      <c r="J283" s="31"/>
      <c r="K283" s="36"/>
      <c r="L283" s="47" t="str">
        <f aca="false">IF($B283="","",IF(NOT(ISNUMBER($B283)),"日期不是日期格式",IF(YEAR($B283)&lt;&gt;首页!$B$3,"不在会计年度",IF($F283="","未填借方科目",IF($G283="","未填贷方科目",IF(LEFT($M283,1)="⚠","借方科目不存在",IF(LEFT($N283,1)="⚠","贷方科目不存在",IF($F283=$G283,"借贷科目不能相同",IF(NOT(ISNUMBER($H283)),"金额须为数字",IF(N($H283)&lt;=0,"金额须大于0","√"))))))))))</f>
        <v/>
      </c>
      <c r="M283" s="50" t="str">
        <f aca="false">IF($F283="","",IFERROR(INDEX(科目参数!$B$6:$B$125,MATCH($F283,科目参数!$A$6:$A$125,0)),"⚠科目不存在"))</f>
        <v/>
      </c>
      <c r="N283" s="50" t="str">
        <f aca="false">IF($G283="","",IFERROR(INDEX(科目参数!$B$6:$B$125,MATCH($G283,科目参数!$A$6:$A$125,0)),"⚠科目不存在"))</f>
        <v/>
      </c>
    </row>
    <row r="284" customFormat="false" ht="15.75" hidden="false" customHeight="true" outlineLevel="0" collapsed="false">
      <c r="A284" s="42" t="str">
        <f aca="false">IF($B284="","","QT"&amp;TEXT($B284,"yyyymm")&amp;"-"&amp;TEXT(ROW()-4,"000"))</f>
        <v/>
      </c>
      <c r="B284" s="41"/>
      <c r="C284" s="42" t="str">
        <f aca="false">IF($B284="","",TEXT($B284,"yyyy-mm"))</f>
        <v/>
      </c>
      <c r="D284" s="33"/>
      <c r="E284" s="36"/>
      <c r="F284" s="31"/>
      <c r="G284" s="31"/>
      <c r="H284" s="40"/>
      <c r="I284" s="33"/>
      <c r="J284" s="31"/>
      <c r="K284" s="36"/>
      <c r="L284" s="47" t="str">
        <f aca="false">IF($B284="","",IF(NOT(ISNUMBER($B284)),"日期不是日期格式",IF(YEAR($B284)&lt;&gt;首页!$B$3,"不在会计年度",IF($F284="","未填借方科目",IF($G284="","未填贷方科目",IF(LEFT($M284,1)="⚠","借方科目不存在",IF(LEFT($N284,1)="⚠","贷方科目不存在",IF($F284=$G284,"借贷科目不能相同",IF(NOT(ISNUMBER($H284)),"金额须为数字",IF(N($H284)&lt;=0,"金额须大于0","√"))))))))))</f>
        <v/>
      </c>
      <c r="M284" s="50" t="str">
        <f aca="false">IF($F284="","",IFERROR(INDEX(科目参数!$B$6:$B$125,MATCH($F284,科目参数!$A$6:$A$125,0)),"⚠科目不存在"))</f>
        <v/>
      </c>
      <c r="N284" s="50" t="str">
        <f aca="false">IF($G284="","",IFERROR(INDEX(科目参数!$B$6:$B$125,MATCH($G284,科目参数!$A$6:$A$125,0)),"⚠科目不存在"))</f>
        <v/>
      </c>
    </row>
    <row r="285" customFormat="false" ht="15.75" hidden="false" customHeight="true" outlineLevel="0" collapsed="false">
      <c r="A285" s="42" t="str">
        <f aca="false">IF($B285="","","QT"&amp;TEXT($B285,"yyyymm")&amp;"-"&amp;TEXT(ROW()-4,"000"))</f>
        <v/>
      </c>
      <c r="B285" s="41"/>
      <c r="C285" s="42" t="str">
        <f aca="false">IF($B285="","",TEXT($B285,"yyyy-mm"))</f>
        <v/>
      </c>
      <c r="D285" s="33"/>
      <c r="E285" s="36"/>
      <c r="F285" s="31"/>
      <c r="G285" s="31"/>
      <c r="H285" s="40"/>
      <c r="I285" s="33"/>
      <c r="J285" s="31"/>
      <c r="K285" s="36"/>
      <c r="L285" s="47" t="str">
        <f aca="false">IF($B285="","",IF(NOT(ISNUMBER($B285)),"日期不是日期格式",IF(YEAR($B285)&lt;&gt;首页!$B$3,"不在会计年度",IF($F285="","未填借方科目",IF($G285="","未填贷方科目",IF(LEFT($M285,1)="⚠","借方科目不存在",IF(LEFT($N285,1)="⚠","贷方科目不存在",IF($F285=$G285,"借贷科目不能相同",IF(NOT(ISNUMBER($H285)),"金额须为数字",IF(N($H285)&lt;=0,"金额须大于0","√"))))))))))</f>
        <v/>
      </c>
      <c r="M285" s="50" t="str">
        <f aca="false">IF($F285="","",IFERROR(INDEX(科目参数!$B$6:$B$125,MATCH($F285,科目参数!$A$6:$A$125,0)),"⚠科目不存在"))</f>
        <v/>
      </c>
      <c r="N285" s="50" t="str">
        <f aca="false">IF($G285="","",IFERROR(INDEX(科目参数!$B$6:$B$125,MATCH($G285,科目参数!$A$6:$A$125,0)),"⚠科目不存在"))</f>
        <v/>
      </c>
    </row>
    <row r="286" customFormat="false" ht="15.75" hidden="false" customHeight="true" outlineLevel="0" collapsed="false">
      <c r="A286" s="42" t="str">
        <f aca="false">IF($B286="","","QT"&amp;TEXT($B286,"yyyymm")&amp;"-"&amp;TEXT(ROW()-4,"000"))</f>
        <v/>
      </c>
      <c r="B286" s="41"/>
      <c r="C286" s="42" t="str">
        <f aca="false">IF($B286="","",TEXT($B286,"yyyy-mm"))</f>
        <v/>
      </c>
      <c r="D286" s="33"/>
      <c r="E286" s="36"/>
      <c r="F286" s="31"/>
      <c r="G286" s="31"/>
      <c r="H286" s="40"/>
      <c r="I286" s="33"/>
      <c r="J286" s="31"/>
      <c r="K286" s="36"/>
      <c r="L286" s="47" t="str">
        <f aca="false">IF($B286="","",IF(NOT(ISNUMBER($B286)),"日期不是日期格式",IF(YEAR($B286)&lt;&gt;首页!$B$3,"不在会计年度",IF($F286="","未填借方科目",IF($G286="","未填贷方科目",IF(LEFT($M286,1)="⚠","借方科目不存在",IF(LEFT($N286,1)="⚠","贷方科目不存在",IF($F286=$G286,"借贷科目不能相同",IF(NOT(ISNUMBER($H286)),"金额须为数字",IF(N($H286)&lt;=0,"金额须大于0","√"))))))))))</f>
        <v/>
      </c>
      <c r="M286" s="50" t="str">
        <f aca="false">IF($F286="","",IFERROR(INDEX(科目参数!$B$6:$B$125,MATCH($F286,科目参数!$A$6:$A$125,0)),"⚠科目不存在"))</f>
        <v/>
      </c>
      <c r="N286" s="50" t="str">
        <f aca="false">IF($G286="","",IFERROR(INDEX(科目参数!$B$6:$B$125,MATCH($G286,科目参数!$A$6:$A$125,0)),"⚠科目不存在"))</f>
        <v/>
      </c>
    </row>
    <row r="287" customFormat="false" ht="15.75" hidden="false" customHeight="true" outlineLevel="0" collapsed="false">
      <c r="A287" s="42" t="str">
        <f aca="false">IF($B287="","","QT"&amp;TEXT($B287,"yyyymm")&amp;"-"&amp;TEXT(ROW()-4,"000"))</f>
        <v/>
      </c>
      <c r="B287" s="41"/>
      <c r="C287" s="42" t="str">
        <f aca="false">IF($B287="","",TEXT($B287,"yyyy-mm"))</f>
        <v/>
      </c>
      <c r="D287" s="33"/>
      <c r="E287" s="36"/>
      <c r="F287" s="31"/>
      <c r="G287" s="31"/>
      <c r="H287" s="40"/>
      <c r="I287" s="33"/>
      <c r="J287" s="31"/>
      <c r="K287" s="36"/>
      <c r="L287" s="47" t="str">
        <f aca="false">IF($B287="","",IF(NOT(ISNUMBER($B287)),"日期不是日期格式",IF(YEAR($B287)&lt;&gt;首页!$B$3,"不在会计年度",IF($F287="","未填借方科目",IF($G287="","未填贷方科目",IF(LEFT($M287,1)="⚠","借方科目不存在",IF(LEFT($N287,1)="⚠","贷方科目不存在",IF($F287=$G287,"借贷科目不能相同",IF(NOT(ISNUMBER($H287)),"金额须为数字",IF(N($H287)&lt;=0,"金额须大于0","√"))))))))))</f>
        <v/>
      </c>
      <c r="M287" s="50" t="str">
        <f aca="false">IF($F287="","",IFERROR(INDEX(科目参数!$B$6:$B$125,MATCH($F287,科目参数!$A$6:$A$125,0)),"⚠科目不存在"))</f>
        <v/>
      </c>
      <c r="N287" s="50" t="str">
        <f aca="false">IF($G287="","",IFERROR(INDEX(科目参数!$B$6:$B$125,MATCH($G287,科目参数!$A$6:$A$125,0)),"⚠科目不存在"))</f>
        <v/>
      </c>
    </row>
    <row r="288" customFormat="false" ht="15.75" hidden="false" customHeight="true" outlineLevel="0" collapsed="false">
      <c r="A288" s="42" t="str">
        <f aca="false">IF($B288="","","QT"&amp;TEXT($B288,"yyyymm")&amp;"-"&amp;TEXT(ROW()-4,"000"))</f>
        <v/>
      </c>
      <c r="B288" s="41"/>
      <c r="C288" s="42" t="str">
        <f aca="false">IF($B288="","",TEXT($B288,"yyyy-mm"))</f>
        <v/>
      </c>
      <c r="D288" s="33"/>
      <c r="E288" s="36"/>
      <c r="F288" s="31"/>
      <c r="G288" s="31"/>
      <c r="H288" s="40"/>
      <c r="I288" s="33"/>
      <c r="J288" s="31"/>
      <c r="K288" s="36"/>
      <c r="L288" s="47" t="str">
        <f aca="false">IF($B288="","",IF(NOT(ISNUMBER($B288)),"日期不是日期格式",IF(YEAR($B288)&lt;&gt;首页!$B$3,"不在会计年度",IF($F288="","未填借方科目",IF($G288="","未填贷方科目",IF(LEFT($M288,1)="⚠","借方科目不存在",IF(LEFT($N288,1)="⚠","贷方科目不存在",IF($F288=$G288,"借贷科目不能相同",IF(NOT(ISNUMBER($H288)),"金额须为数字",IF(N($H288)&lt;=0,"金额须大于0","√"))))))))))</f>
        <v/>
      </c>
      <c r="M288" s="50" t="str">
        <f aca="false">IF($F288="","",IFERROR(INDEX(科目参数!$B$6:$B$125,MATCH($F288,科目参数!$A$6:$A$125,0)),"⚠科目不存在"))</f>
        <v/>
      </c>
      <c r="N288" s="50" t="str">
        <f aca="false">IF($G288="","",IFERROR(INDEX(科目参数!$B$6:$B$125,MATCH($G288,科目参数!$A$6:$A$125,0)),"⚠科目不存在"))</f>
        <v/>
      </c>
    </row>
    <row r="289" customFormat="false" ht="15.75" hidden="false" customHeight="true" outlineLevel="0" collapsed="false">
      <c r="A289" s="42" t="str">
        <f aca="false">IF($B289="","","QT"&amp;TEXT($B289,"yyyymm")&amp;"-"&amp;TEXT(ROW()-4,"000"))</f>
        <v/>
      </c>
      <c r="B289" s="41"/>
      <c r="C289" s="42" t="str">
        <f aca="false">IF($B289="","",TEXT($B289,"yyyy-mm"))</f>
        <v/>
      </c>
      <c r="D289" s="33"/>
      <c r="E289" s="36"/>
      <c r="F289" s="31"/>
      <c r="G289" s="31"/>
      <c r="H289" s="40"/>
      <c r="I289" s="33"/>
      <c r="J289" s="31"/>
      <c r="K289" s="36"/>
      <c r="L289" s="47" t="str">
        <f aca="false">IF($B289="","",IF(NOT(ISNUMBER($B289)),"日期不是日期格式",IF(YEAR($B289)&lt;&gt;首页!$B$3,"不在会计年度",IF($F289="","未填借方科目",IF($G289="","未填贷方科目",IF(LEFT($M289,1)="⚠","借方科目不存在",IF(LEFT($N289,1)="⚠","贷方科目不存在",IF($F289=$G289,"借贷科目不能相同",IF(NOT(ISNUMBER($H289)),"金额须为数字",IF(N($H289)&lt;=0,"金额须大于0","√"))))))))))</f>
        <v/>
      </c>
      <c r="M289" s="50" t="str">
        <f aca="false">IF($F289="","",IFERROR(INDEX(科目参数!$B$6:$B$125,MATCH($F289,科目参数!$A$6:$A$125,0)),"⚠科目不存在"))</f>
        <v/>
      </c>
      <c r="N289" s="50" t="str">
        <f aca="false">IF($G289="","",IFERROR(INDEX(科目参数!$B$6:$B$125,MATCH($G289,科目参数!$A$6:$A$125,0)),"⚠科目不存在"))</f>
        <v/>
      </c>
    </row>
    <row r="290" customFormat="false" ht="15.75" hidden="false" customHeight="true" outlineLevel="0" collapsed="false">
      <c r="A290" s="42" t="str">
        <f aca="false">IF($B290="","","QT"&amp;TEXT($B290,"yyyymm")&amp;"-"&amp;TEXT(ROW()-4,"000"))</f>
        <v/>
      </c>
      <c r="B290" s="41"/>
      <c r="C290" s="42" t="str">
        <f aca="false">IF($B290="","",TEXT($B290,"yyyy-mm"))</f>
        <v/>
      </c>
      <c r="D290" s="33"/>
      <c r="E290" s="36"/>
      <c r="F290" s="31"/>
      <c r="G290" s="31"/>
      <c r="H290" s="40"/>
      <c r="I290" s="33"/>
      <c r="J290" s="31"/>
      <c r="K290" s="36"/>
      <c r="L290" s="47" t="str">
        <f aca="false">IF($B290="","",IF(NOT(ISNUMBER($B290)),"日期不是日期格式",IF(YEAR($B290)&lt;&gt;首页!$B$3,"不在会计年度",IF($F290="","未填借方科目",IF($G290="","未填贷方科目",IF(LEFT($M290,1)="⚠","借方科目不存在",IF(LEFT($N290,1)="⚠","贷方科目不存在",IF($F290=$G290,"借贷科目不能相同",IF(NOT(ISNUMBER($H290)),"金额须为数字",IF(N($H290)&lt;=0,"金额须大于0","√"))))))))))</f>
        <v/>
      </c>
      <c r="M290" s="50" t="str">
        <f aca="false">IF($F290="","",IFERROR(INDEX(科目参数!$B$6:$B$125,MATCH($F290,科目参数!$A$6:$A$125,0)),"⚠科目不存在"))</f>
        <v/>
      </c>
      <c r="N290" s="50" t="str">
        <f aca="false">IF($G290="","",IFERROR(INDEX(科目参数!$B$6:$B$125,MATCH($G290,科目参数!$A$6:$A$125,0)),"⚠科目不存在"))</f>
        <v/>
      </c>
    </row>
    <row r="291" customFormat="false" ht="15.75" hidden="false" customHeight="true" outlineLevel="0" collapsed="false">
      <c r="A291" s="42" t="str">
        <f aca="false">IF($B291="","","QT"&amp;TEXT($B291,"yyyymm")&amp;"-"&amp;TEXT(ROW()-4,"000"))</f>
        <v/>
      </c>
      <c r="B291" s="41"/>
      <c r="C291" s="42" t="str">
        <f aca="false">IF($B291="","",TEXT($B291,"yyyy-mm"))</f>
        <v/>
      </c>
      <c r="D291" s="33"/>
      <c r="E291" s="36"/>
      <c r="F291" s="31"/>
      <c r="G291" s="31"/>
      <c r="H291" s="40"/>
      <c r="I291" s="33"/>
      <c r="J291" s="31"/>
      <c r="K291" s="36"/>
      <c r="L291" s="47" t="str">
        <f aca="false">IF($B291="","",IF(NOT(ISNUMBER($B291)),"日期不是日期格式",IF(YEAR($B291)&lt;&gt;首页!$B$3,"不在会计年度",IF($F291="","未填借方科目",IF($G291="","未填贷方科目",IF(LEFT($M291,1)="⚠","借方科目不存在",IF(LEFT($N291,1)="⚠","贷方科目不存在",IF($F291=$G291,"借贷科目不能相同",IF(NOT(ISNUMBER($H291)),"金额须为数字",IF(N($H291)&lt;=0,"金额须大于0","√"))))))))))</f>
        <v/>
      </c>
      <c r="M291" s="50" t="str">
        <f aca="false">IF($F291="","",IFERROR(INDEX(科目参数!$B$6:$B$125,MATCH($F291,科目参数!$A$6:$A$125,0)),"⚠科目不存在"))</f>
        <v/>
      </c>
      <c r="N291" s="50" t="str">
        <f aca="false">IF($G291="","",IFERROR(INDEX(科目参数!$B$6:$B$125,MATCH($G291,科目参数!$A$6:$A$125,0)),"⚠科目不存在"))</f>
        <v/>
      </c>
    </row>
    <row r="292" customFormat="false" ht="15.75" hidden="false" customHeight="true" outlineLevel="0" collapsed="false">
      <c r="A292" s="42" t="str">
        <f aca="false">IF($B292="","","QT"&amp;TEXT($B292,"yyyymm")&amp;"-"&amp;TEXT(ROW()-4,"000"))</f>
        <v/>
      </c>
      <c r="B292" s="41"/>
      <c r="C292" s="42" t="str">
        <f aca="false">IF($B292="","",TEXT($B292,"yyyy-mm"))</f>
        <v/>
      </c>
      <c r="D292" s="33"/>
      <c r="E292" s="36"/>
      <c r="F292" s="31"/>
      <c r="G292" s="31"/>
      <c r="H292" s="40"/>
      <c r="I292" s="33"/>
      <c r="J292" s="31"/>
      <c r="K292" s="36"/>
      <c r="L292" s="47" t="str">
        <f aca="false">IF($B292="","",IF(NOT(ISNUMBER($B292)),"日期不是日期格式",IF(YEAR($B292)&lt;&gt;首页!$B$3,"不在会计年度",IF($F292="","未填借方科目",IF($G292="","未填贷方科目",IF(LEFT($M292,1)="⚠","借方科目不存在",IF(LEFT($N292,1)="⚠","贷方科目不存在",IF($F292=$G292,"借贷科目不能相同",IF(NOT(ISNUMBER($H292)),"金额须为数字",IF(N($H292)&lt;=0,"金额须大于0","√"))))))))))</f>
        <v/>
      </c>
      <c r="M292" s="50" t="str">
        <f aca="false">IF($F292="","",IFERROR(INDEX(科目参数!$B$6:$B$125,MATCH($F292,科目参数!$A$6:$A$125,0)),"⚠科目不存在"))</f>
        <v/>
      </c>
      <c r="N292" s="50" t="str">
        <f aca="false">IF($G292="","",IFERROR(INDEX(科目参数!$B$6:$B$125,MATCH($G292,科目参数!$A$6:$A$125,0)),"⚠科目不存在"))</f>
        <v/>
      </c>
    </row>
    <row r="293" customFormat="false" ht="15.75" hidden="false" customHeight="true" outlineLevel="0" collapsed="false">
      <c r="A293" s="42" t="str">
        <f aca="false">IF($B293="","","QT"&amp;TEXT($B293,"yyyymm")&amp;"-"&amp;TEXT(ROW()-4,"000"))</f>
        <v/>
      </c>
      <c r="B293" s="41"/>
      <c r="C293" s="42" t="str">
        <f aca="false">IF($B293="","",TEXT($B293,"yyyy-mm"))</f>
        <v/>
      </c>
      <c r="D293" s="33"/>
      <c r="E293" s="36"/>
      <c r="F293" s="31"/>
      <c r="G293" s="31"/>
      <c r="H293" s="40"/>
      <c r="I293" s="33"/>
      <c r="J293" s="31"/>
      <c r="K293" s="36"/>
      <c r="L293" s="47" t="str">
        <f aca="false">IF($B293="","",IF(NOT(ISNUMBER($B293)),"日期不是日期格式",IF(YEAR($B293)&lt;&gt;首页!$B$3,"不在会计年度",IF($F293="","未填借方科目",IF($G293="","未填贷方科目",IF(LEFT($M293,1)="⚠","借方科目不存在",IF(LEFT($N293,1)="⚠","贷方科目不存在",IF($F293=$G293,"借贷科目不能相同",IF(NOT(ISNUMBER($H293)),"金额须为数字",IF(N($H293)&lt;=0,"金额须大于0","√"))))))))))</f>
        <v/>
      </c>
      <c r="M293" s="50" t="str">
        <f aca="false">IF($F293="","",IFERROR(INDEX(科目参数!$B$6:$B$125,MATCH($F293,科目参数!$A$6:$A$125,0)),"⚠科目不存在"))</f>
        <v/>
      </c>
      <c r="N293" s="50" t="str">
        <f aca="false">IF($G293="","",IFERROR(INDEX(科目参数!$B$6:$B$125,MATCH($G293,科目参数!$A$6:$A$125,0)),"⚠科目不存在"))</f>
        <v/>
      </c>
    </row>
    <row r="294" customFormat="false" ht="15.75" hidden="false" customHeight="true" outlineLevel="0" collapsed="false">
      <c r="A294" s="42" t="str">
        <f aca="false">IF($B294="","","QT"&amp;TEXT($B294,"yyyymm")&amp;"-"&amp;TEXT(ROW()-4,"000"))</f>
        <v/>
      </c>
      <c r="B294" s="41"/>
      <c r="C294" s="42" t="str">
        <f aca="false">IF($B294="","",TEXT($B294,"yyyy-mm"))</f>
        <v/>
      </c>
      <c r="D294" s="33"/>
      <c r="E294" s="36"/>
      <c r="F294" s="31"/>
      <c r="G294" s="31"/>
      <c r="H294" s="40"/>
      <c r="I294" s="33"/>
      <c r="J294" s="31"/>
      <c r="K294" s="36"/>
      <c r="L294" s="47" t="str">
        <f aca="false">IF($B294="","",IF(NOT(ISNUMBER($B294)),"日期不是日期格式",IF(YEAR($B294)&lt;&gt;首页!$B$3,"不在会计年度",IF($F294="","未填借方科目",IF($G294="","未填贷方科目",IF(LEFT($M294,1)="⚠","借方科目不存在",IF(LEFT($N294,1)="⚠","贷方科目不存在",IF($F294=$G294,"借贷科目不能相同",IF(NOT(ISNUMBER($H294)),"金额须为数字",IF(N($H294)&lt;=0,"金额须大于0","√"))))))))))</f>
        <v/>
      </c>
      <c r="M294" s="50" t="str">
        <f aca="false">IF($F294="","",IFERROR(INDEX(科目参数!$B$6:$B$125,MATCH($F294,科目参数!$A$6:$A$125,0)),"⚠科目不存在"))</f>
        <v/>
      </c>
      <c r="N294" s="50" t="str">
        <f aca="false">IF($G294="","",IFERROR(INDEX(科目参数!$B$6:$B$125,MATCH($G294,科目参数!$A$6:$A$125,0)),"⚠科目不存在"))</f>
        <v/>
      </c>
    </row>
    <row r="295" customFormat="false" ht="15.75" hidden="false" customHeight="true" outlineLevel="0" collapsed="false">
      <c r="A295" s="42" t="str">
        <f aca="false">IF($B295="","","QT"&amp;TEXT($B295,"yyyymm")&amp;"-"&amp;TEXT(ROW()-4,"000"))</f>
        <v/>
      </c>
      <c r="B295" s="41"/>
      <c r="C295" s="42" t="str">
        <f aca="false">IF($B295="","",TEXT($B295,"yyyy-mm"))</f>
        <v/>
      </c>
      <c r="D295" s="33"/>
      <c r="E295" s="36"/>
      <c r="F295" s="31"/>
      <c r="G295" s="31"/>
      <c r="H295" s="40"/>
      <c r="I295" s="33"/>
      <c r="J295" s="31"/>
      <c r="K295" s="36"/>
      <c r="L295" s="47" t="str">
        <f aca="false">IF($B295="","",IF(NOT(ISNUMBER($B295)),"日期不是日期格式",IF(YEAR($B295)&lt;&gt;首页!$B$3,"不在会计年度",IF($F295="","未填借方科目",IF($G295="","未填贷方科目",IF(LEFT($M295,1)="⚠","借方科目不存在",IF(LEFT($N295,1)="⚠","贷方科目不存在",IF($F295=$G295,"借贷科目不能相同",IF(NOT(ISNUMBER($H295)),"金额须为数字",IF(N($H295)&lt;=0,"金额须大于0","√"))))))))))</f>
        <v/>
      </c>
      <c r="M295" s="50" t="str">
        <f aca="false">IF($F295="","",IFERROR(INDEX(科目参数!$B$6:$B$125,MATCH($F295,科目参数!$A$6:$A$125,0)),"⚠科目不存在"))</f>
        <v/>
      </c>
      <c r="N295" s="50" t="str">
        <f aca="false">IF($G295="","",IFERROR(INDEX(科目参数!$B$6:$B$125,MATCH($G295,科目参数!$A$6:$A$125,0)),"⚠科目不存在"))</f>
        <v/>
      </c>
    </row>
    <row r="296" customFormat="false" ht="15.75" hidden="false" customHeight="true" outlineLevel="0" collapsed="false">
      <c r="A296" s="42" t="str">
        <f aca="false">IF($B296="","","QT"&amp;TEXT($B296,"yyyymm")&amp;"-"&amp;TEXT(ROW()-4,"000"))</f>
        <v/>
      </c>
      <c r="B296" s="41"/>
      <c r="C296" s="42" t="str">
        <f aca="false">IF($B296="","",TEXT($B296,"yyyy-mm"))</f>
        <v/>
      </c>
      <c r="D296" s="33"/>
      <c r="E296" s="36"/>
      <c r="F296" s="31"/>
      <c r="G296" s="31"/>
      <c r="H296" s="40"/>
      <c r="I296" s="33"/>
      <c r="J296" s="31"/>
      <c r="K296" s="36"/>
      <c r="L296" s="47" t="str">
        <f aca="false">IF($B296="","",IF(NOT(ISNUMBER($B296)),"日期不是日期格式",IF(YEAR($B296)&lt;&gt;首页!$B$3,"不在会计年度",IF($F296="","未填借方科目",IF($G296="","未填贷方科目",IF(LEFT($M296,1)="⚠","借方科目不存在",IF(LEFT($N296,1)="⚠","贷方科目不存在",IF($F296=$G296,"借贷科目不能相同",IF(NOT(ISNUMBER($H296)),"金额须为数字",IF(N($H296)&lt;=0,"金额须大于0","√"))))))))))</f>
        <v/>
      </c>
      <c r="M296" s="50" t="str">
        <f aca="false">IF($F296="","",IFERROR(INDEX(科目参数!$B$6:$B$125,MATCH($F296,科目参数!$A$6:$A$125,0)),"⚠科目不存在"))</f>
        <v/>
      </c>
      <c r="N296" s="50" t="str">
        <f aca="false">IF($G296="","",IFERROR(INDEX(科目参数!$B$6:$B$125,MATCH($G296,科目参数!$A$6:$A$125,0)),"⚠科目不存在"))</f>
        <v/>
      </c>
    </row>
    <row r="297" customFormat="false" ht="15.75" hidden="false" customHeight="true" outlineLevel="0" collapsed="false">
      <c r="A297" s="42" t="str">
        <f aca="false">IF($B297="","","QT"&amp;TEXT($B297,"yyyymm")&amp;"-"&amp;TEXT(ROW()-4,"000"))</f>
        <v/>
      </c>
      <c r="B297" s="41"/>
      <c r="C297" s="42" t="str">
        <f aca="false">IF($B297="","",TEXT($B297,"yyyy-mm"))</f>
        <v/>
      </c>
      <c r="D297" s="33"/>
      <c r="E297" s="36"/>
      <c r="F297" s="31"/>
      <c r="G297" s="31"/>
      <c r="H297" s="40"/>
      <c r="I297" s="33"/>
      <c r="J297" s="31"/>
      <c r="K297" s="36"/>
      <c r="L297" s="47" t="str">
        <f aca="false">IF($B297="","",IF(NOT(ISNUMBER($B297)),"日期不是日期格式",IF(YEAR($B297)&lt;&gt;首页!$B$3,"不在会计年度",IF($F297="","未填借方科目",IF($G297="","未填贷方科目",IF(LEFT($M297,1)="⚠","借方科目不存在",IF(LEFT($N297,1)="⚠","贷方科目不存在",IF($F297=$G297,"借贷科目不能相同",IF(NOT(ISNUMBER($H297)),"金额须为数字",IF(N($H297)&lt;=0,"金额须大于0","√"))))))))))</f>
        <v/>
      </c>
      <c r="M297" s="50" t="str">
        <f aca="false">IF($F297="","",IFERROR(INDEX(科目参数!$B$6:$B$125,MATCH($F297,科目参数!$A$6:$A$125,0)),"⚠科目不存在"))</f>
        <v/>
      </c>
      <c r="N297" s="50" t="str">
        <f aca="false">IF($G297="","",IFERROR(INDEX(科目参数!$B$6:$B$125,MATCH($G297,科目参数!$A$6:$A$125,0)),"⚠科目不存在"))</f>
        <v/>
      </c>
    </row>
    <row r="298" customFormat="false" ht="15.75" hidden="false" customHeight="true" outlineLevel="0" collapsed="false">
      <c r="A298" s="42" t="str">
        <f aca="false">IF($B298="","","QT"&amp;TEXT($B298,"yyyymm")&amp;"-"&amp;TEXT(ROW()-4,"000"))</f>
        <v/>
      </c>
      <c r="B298" s="41"/>
      <c r="C298" s="42" t="str">
        <f aca="false">IF($B298="","",TEXT($B298,"yyyy-mm"))</f>
        <v/>
      </c>
      <c r="D298" s="33"/>
      <c r="E298" s="36"/>
      <c r="F298" s="31"/>
      <c r="G298" s="31"/>
      <c r="H298" s="40"/>
      <c r="I298" s="33"/>
      <c r="J298" s="31"/>
      <c r="K298" s="36"/>
      <c r="L298" s="47" t="str">
        <f aca="false">IF($B298="","",IF(NOT(ISNUMBER($B298)),"日期不是日期格式",IF(YEAR($B298)&lt;&gt;首页!$B$3,"不在会计年度",IF($F298="","未填借方科目",IF($G298="","未填贷方科目",IF(LEFT($M298,1)="⚠","借方科目不存在",IF(LEFT($N298,1)="⚠","贷方科目不存在",IF($F298=$G298,"借贷科目不能相同",IF(NOT(ISNUMBER($H298)),"金额须为数字",IF(N($H298)&lt;=0,"金额须大于0","√"))))))))))</f>
        <v/>
      </c>
      <c r="M298" s="50" t="str">
        <f aca="false">IF($F298="","",IFERROR(INDEX(科目参数!$B$6:$B$125,MATCH($F298,科目参数!$A$6:$A$125,0)),"⚠科目不存在"))</f>
        <v/>
      </c>
      <c r="N298" s="50" t="str">
        <f aca="false">IF($G298="","",IFERROR(INDEX(科目参数!$B$6:$B$125,MATCH($G298,科目参数!$A$6:$A$125,0)),"⚠科目不存在"))</f>
        <v/>
      </c>
    </row>
    <row r="299" customFormat="false" ht="15.75" hidden="false" customHeight="true" outlineLevel="0" collapsed="false">
      <c r="A299" s="42" t="str">
        <f aca="false">IF($B299="","","QT"&amp;TEXT($B299,"yyyymm")&amp;"-"&amp;TEXT(ROW()-4,"000"))</f>
        <v/>
      </c>
      <c r="B299" s="41"/>
      <c r="C299" s="42" t="str">
        <f aca="false">IF($B299="","",TEXT($B299,"yyyy-mm"))</f>
        <v/>
      </c>
      <c r="D299" s="33"/>
      <c r="E299" s="36"/>
      <c r="F299" s="31"/>
      <c r="G299" s="31"/>
      <c r="H299" s="40"/>
      <c r="I299" s="33"/>
      <c r="J299" s="31"/>
      <c r="K299" s="36"/>
      <c r="L299" s="47" t="str">
        <f aca="false">IF($B299="","",IF(NOT(ISNUMBER($B299)),"日期不是日期格式",IF(YEAR($B299)&lt;&gt;首页!$B$3,"不在会计年度",IF($F299="","未填借方科目",IF($G299="","未填贷方科目",IF(LEFT($M299,1)="⚠","借方科目不存在",IF(LEFT($N299,1)="⚠","贷方科目不存在",IF($F299=$G299,"借贷科目不能相同",IF(NOT(ISNUMBER($H299)),"金额须为数字",IF(N($H299)&lt;=0,"金额须大于0","√"))))))))))</f>
        <v/>
      </c>
      <c r="M299" s="50" t="str">
        <f aca="false">IF($F299="","",IFERROR(INDEX(科目参数!$B$6:$B$125,MATCH($F299,科目参数!$A$6:$A$125,0)),"⚠科目不存在"))</f>
        <v/>
      </c>
      <c r="N299" s="50" t="str">
        <f aca="false">IF($G299="","",IFERROR(INDEX(科目参数!$B$6:$B$125,MATCH($G299,科目参数!$A$6:$A$125,0)),"⚠科目不存在"))</f>
        <v/>
      </c>
    </row>
    <row r="300" customFormat="false" ht="15.75" hidden="false" customHeight="true" outlineLevel="0" collapsed="false">
      <c r="A300" s="42" t="str">
        <f aca="false">IF($B300="","","QT"&amp;TEXT($B300,"yyyymm")&amp;"-"&amp;TEXT(ROW()-4,"000"))</f>
        <v/>
      </c>
      <c r="B300" s="41"/>
      <c r="C300" s="42" t="str">
        <f aca="false">IF($B300="","",TEXT($B300,"yyyy-mm"))</f>
        <v/>
      </c>
      <c r="D300" s="33"/>
      <c r="E300" s="36"/>
      <c r="F300" s="31"/>
      <c r="G300" s="31"/>
      <c r="H300" s="40"/>
      <c r="I300" s="33"/>
      <c r="J300" s="31"/>
      <c r="K300" s="36"/>
      <c r="L300" s="47" t="str">
        <f aca="false">IF($B300="","",IF(NOT(ISNUMBER($B300)),"日期不是日期格式",IF(YEAR($B300)&lt;&gt;首页!$B$3,"不在会计年度",IF($F300="","未填借方科目",IF($G300="","未填贷方科目",IF(LEFT($M300,1)="⚠","借方科目不存在",IF(LEFT($N300,1)="⚠","贷方科目不存在",IF($F300=$G300,"借贷科目不能相同",IF(NOT(ISNUMBER($H300)),"金额须为数字",IF(N($H300)&lt;=0,"金额须大于0","√"))))))))))</f>
        <v/>
      </c>
      <c r="M300" s="50" t="str">
        <f aca="false">IF($F300="","",IFERROR(INDEX(科目参数!$B$6:$B$125,MATCH($F300,科目参数!$A$6:$A$125,0)),"⚠科目不存在"))</f>
        <v/>
      </c>
      <c r="N300" s="50" t="str">
        <f aca="false">IF($G300="","",IFERROR(INDEX(科目参数!$B$6:$B$125,MATCH($G300,科目参数!$A$6:$A$125,0)),"⚠科目不存在"))</f>
        <v/>
      </c>
    </row>
    <row r="301" customFormat="false" ht="15.75" hidden="false" customHeight="true" outlineLevel="0" collapsed="false">
      <c r="A301" s="42" t="str">
        <f aca="false">IF($B301="","","QT"&amp;TEXT($B301,"yyyymm")&amp;"-"&amp;TEXT(ROW()-4,"000"))</f>
        <v/>
      </c>
      <c r="B301" s="41"/>
      <c r="C301" s="42" t="str">
        <f aca="false">IF($B301="","",TEXT($B301,"yyyy-mm"))</f>
        <v/>
      </c>
      <c r="D301" s="33"/>
      <c r="E301" s="36"/>
      <c r="F301" s="31"/>
      <c r="G301" s="31"/>
      <c r="H301" s="40"/>
      <c r="I301" s="33"/>
      <c r="J301" s="31"/>
      <c r="K301" s="36"/>
      <c r="L301" s="47" t="str">
        <f aca="false">IF($B301="","",IF(NOT(ISNUMBER($B301)),"日期不是日期格式",IF(YEAR($B301)&lt;&gt;首页!$B$3,"不在会计年度",IF($F301="","未填借方科目",IF($G301="","未填贷方科目",IF(LEFT($M301,1)="⚠","借方科目不存在",IF(LEFT($N301,1)="⚠","贷方科目不存在",IF($F301=$G301,"借贷科目不能相同",IF(NOT(ISNUMBER($H301)),"金额须为数字",IF(N($H301)&lt;=0,"金额须大于0","√"))))))))))</f>
        <v/>
      </c>
      <c r="M301" s="50" t="str">
        <f aca="false">IF($F301="","",IFERROR(INDEX(科目参数!$B$6:$B$125,MATCH($F301,科目参数!$A$6:$A$125,0)),"⚠科目不存在"))</f>
        <v/>
      </c>
      <c r="N301" s="50" t="str">
        <f aca="false">IF($G301="","",IFERROR(INDEX(科目参数!$B$6:$B$125,MATCH($G301,科目参数!$A$6:$A$125,0)),"⚠科目不存在"))</f>
        <v/>
      </c>
    </row>
    <row r="302" customFormat="false" ht="15.75" hidden="false" customHeight="true" outlineLevel="0" collapsed="false">
      <c r="A302" s="42" t="str">
        <f aca="false">IF($B302="","","QT"&amp;TEXT($B302,"yyyymm")&amp;"-"&amp;TEXT(ROW()-4,"000"))</f>
        <v/>
      </c>
      <c r="B302" s="41"/>
      <c r="C302" s="42" t="str">
        <f aca="false">IF($B302="","",TEXT($B302,"yyyy-mm"))</f>
        <v/>
      </c>
      <c r="D302" s="33"/>
      <c r="E302" s="36"/>
      <c r="F302" s="31"/>
      <c r="G302" s="31"/>
      <c r="H302" s="40"/>
      <c r="I302" s="33"/>
      <c r="J302" s="31"/>
      <c r="K302" s="36"/>
      <c r="L302" s="47" t="str">
        <f aca="false">IF($B302="","",IF(NOT(ISNUMBER($B302)),"日期不是日期格式",IF(YEAR($B302)&lt;&gt;首页!$B$3,"不在会计年度",IF($F302="","未填借方科目",IF($G302="","未填贷方科目",IF(LEFT($M302,1)="⚠","借方科目不存在",IF(LEFT($N302,1)="⚠","贷方科目不存在",IF($F302=$G302,"借贷科目不能相同",IF(NOT(ISNUMBER($H302)),"金额须为数字",IF(N($H302)&lt;=0,"金额须大于0","√"))))))))))</f>
        <v/>
      </c>
      <c r="M302" s="50" t="str">
        <f aca="false">IF($F302="","",IFERROR(INDEX(科目参数!$B$6:$B$125,MATCH($F302,科目参数!$A$6:$A$125,0)),"⚠科目不存在"))</f>
        <v/>
      </c>
      <c r="N302" s="50" t="str">
        <f aca="false">IF($G302="","",IFERROR(INDEX(科目参数!$B$6:$B$125,MATCH($G302,科目参数!$A$6:$A$125,0)),"⚠科目不存在"))</f>
        <v/>
      </c>
    </row>
    <row r="303" customFormat="false" ht="15.75" hidden="false" customHeight="true" outlineLevel="0" collapsed="false">
      <c r="A303" s="42" t="str">
        <f aca="false">IF($B303="","","QT"&amp;TEXT($B303,"yyyymm")&amp;"-"&amp;TEXT(ROW()-4,"000"))</f>
        <v/>
      </c>
      <c r="B303" s="41"/>
      <c r="C303" s="42" t="str">
        <f aca="false">IF($B303="","",TEXT($B303,"yyyy-mm"))</f>
        <v/>
      </c>
      <c r="D303" s="33"/>
      <c r="E303" s="36"/>
      <c r="F303" s="31"/>
      <c r="G303" s="31"/>
      <c r="H303" s="40"/>
      <c r="I303" s="33"/>
      <c r="J303" s="31"/>
      <c r="K303" s="36"/>
      <c r="L303" s="47" t="str">
        <f aca="false">IF($B303="","",IF(NOT(ISNUMBER($B303)),"日期不是日期格式",IF(YEAR($B303)&lt;&gt;首页!$B$3,"不在会计年度",IF($F303="","未填借方科目",IF($G303="","未填贷方科目",IF(LEFT($M303,1)="⚠","借方科目不存在",IF(LEFT($N303,1)="⚠","贷方科目不存在",IF($F303=$G303,"借贷科目不能相同",IF(NOT(ISNUMBER($H303)),"金额须为数字",IF(N($H303)&lt;=0,"金额须大于0","√"))))))))))</f>
        <v/>
      </c>
      <c r="M303" s="50" t="str">
        <f aca="false">IF($F303="","",IFERROR(INDEX(科目参数!$B$6:$B$125,MATCH($F303,科目参数!$A$6:$A$125,0)),"⚠科目不存在"))</f>
        <v/>
      </c>
      <c r="N303" s="50" t="str">
        <f aca="false">IF($G303="","",IFERROR(INDEX(科目参数!$B$6:$B$125,MATCH($G303,科目参数!$A$6:$A$125,0)),"⚠科目不存在"))</f>
        <v/>
      </c>
    </row>
    <row r="304" customFormat="false" ht="15.75" hidden="false" customHeight="true" outlineLevel="0" collapsed="false">
      <c r="A304" s="42" t="str">
        <f aca="false">IF($B304="","","QT"&amp;TEXT($B304,"yyyymm")&amp;"-"&amp;TEXT(ROW()-4,"000"))</f>
        <v/>
      </c>
      <c r="B304" s="41"/>
      <c r="C304" s="42" t="str">
        <f aca="false">IF($B304="","",TEXT($B304,"yyyy-mm"))</f>
        <v/>
      </c>
      <c r="D304" s="33"/>
      <c r="E304" s="36"/>
      <c r="F304" s="31"/>
      <c r="G304" s="31"/>
      <c r="H304" s="40"/>
      <c r="I304" s="33"/>
      <c r="J304" s="31"/>
      <c r="K304" s="36"/>
      <c r="L304" s="47" t="str">
        <f aca="false">IF($B304="","",IF(NOT(ISNUMBER($B304)),"日期不是日期格式",IF(YEAR($B304)&lt;&gt;首页!$B$3,"不在会计年度",IF($F304="","未填借方科目",IF($G304="","未填贷方科目",IF(LEFT($M304,1)="⚠","借方科目不存在",IF(LEFT($N304,1)="⚠","贷方科目不存在",IF($F304=$G304,"借贷科目不能相同",IF(NOT(ISNUMBER($H304)),"金额须为数字",IF(N($H304)&lt;=0,"金额须大于0","√"))))))))))</f>
        <v/>
      </c>
      <c r="M304" s="50" t="str">
        <f aca="false">IF($F304="","",IFERROR(INDEX(科目参数!$B$6:$B$125,MATCH($F304,科目参数!$A$6:$A$125,0)),"⚠科目不存在"))</f>
        <v/>
      </c>
      <c r="N304" s="50" t="str">
        <f aca="false">IF($G304="","",IFERROR(INDEX(科目参数!$B$6:$B$125,MATCH($G304,科目参数!$A$6:$A$125,0)),"⚠科目不存在"))</f>
        <v/>
      </c>
    </row>
    <row r="306" customFormat="false" ht="74.6" hidden="false" customHeight="false" outlineLevel="0" collapsed="false">
      <c r="A306" s="37" t="s">
        <v>403</v>
      </c>
    </row>
  </sheetData>
  <autoFilter ref="A4:N304"/>
  <mergeCells count="4">
    <mergeCell ref="A1:N1"/>
    <mergeCell ref="A2:N2"/>
    <mergeCell ref="A3:L3"/>
    <mergeCell ref="M3:N3"/>
  </mergeCells>
  <conditionalFormatting sqref="L5:L304">
    <cfRule type="expression" priority="2" aboveAverage="0" equalAverage="0" bottom="0" percent="0" rank="0" text="" dxfId="9">
      <formula>AND($L5&lt;&gt;"",$L5&lt;&gt;"√")</formula>
    </cfRule>
  </conditionalFormatting>
  <dataValidations count="7">
    <dataValidation allowBlank="true" error="必须选择下拉中已维护的值，手工输入会导致取数错位" errorStyle="stop" errorTitle="请从下拉中选择" operator="between" showDropDown="false" showErrorMessage="true" showInputMessage="false" sqref="D5:D304" type="list">
      <formula1>"工资计提,社保公积金计提,折旧计提,无形资产摊销,长期待摊费用摊销,税金计提,坏账计提,存货跌价,结转损益,年初建账,往来重分类,其他调整"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F5:F304" type="list">
      <formula1>科目参数!$A$6:$A$125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G5:G304" type="list">
      <formula1>科目参数!$A$6:$A$125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I5:I304" type="list">
      <formula1>基础资料!$G$6:$G$25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J5:J304" type="list">
      <formula1>基础资料!$K$6:$K$65</formula1>
      <formula2>0</formula2>
    </dataValidation>
    <dataValidation allowBlank="true" error="本列必须是数字，填成文本会让整笔业务被静默丢弃" errorStyle="stop" errorTitle="只能填数字" operator="greaterThan" showDropDown="false" showErrorMessage="true" showInputMessage="false" sqref="H5:H304" type="decimal">
      <formula1>0</formula1>
      <formula2>0</formula2>
    </dataValidation>
    <dataValidation allowBlank="true" error="日期必须落在首页设定的会计年度内，否则该笔业务不会进入任何报表" errorStyle="stop" errorTitle="日期超出会计年度" operator="between" showDropDown="false" showErrorMessage="true" showInputMessage="false" sqref="B5:B304" type="date">
      <formula1>DATE(首页!$B$3,1,1)</formula1>
      <formula2>DATE(首页!$B$3,12,31)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12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10" min="5" style="0" width="14"/>
    <col collapsed="false" customWidth="true" hidden="false" outlineLevel="0" max="11" min="11" style="0" width="15"/>
    <col collapsed="false" customWidth="true" hidden="false" outlineLevel="0" max="13" min="12" style="0" width="14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6" min="16" style="0" width="11"/>
  </cols>
  <sheetData>
    <row r="1" customFormat="false" ht="25.5" hidden="false" customHeight="true" outlineLevel="0" collapsed="false">
      <c r="A1" s="23" t="s">
        <v>581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customFormat="false" ht="15" hidden="false" customHeight="true" outlineLevel="0" collapsed="false">
      <c r="A2" s="6" t="s">
        <v>582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customFormat="false" ht="15" hidden="false" customHeight="false" outlineLevel="0" collapsed="false">
      <c r="A3" s="38" t="s">
        <v>3</v>
      </c>
      <c r="B3" s="53" t="str">
        <f aca="false">首页!$B$5</f>
        <v>2026-01</v>
      </c>
      <c r="D3" s="7" t="s">
        <v>583</v>
      </c>
      <c r="E3" s="39" t="n">
        <f aca="false">SUM($G$6:$G$125)</f>
        <v>213701</v>
      </c>
      <c r="F3" s="7" t="s">
        <v>584</v>
      </c>
      <c r="G3" s="39" t="n">
        <f aca="false">SUM($H$6:$H$125)</f>
        <v>213701</v>
      </c>
      <c r="H3" s="7" t="s">
        <v>585</v>
      </c>
      <c r="I3" s="19" t="str">
        <f aca="false">IF(ABS($E$3-$G$3)&lt;0.01,"✓ 借贷平衡","✗ 差 "&amp;TEXT($E$3-$G$3,"#,##0.00"))</f>
        <v>✓ 借贷平衡</v>
      </c>
      <c r="J3" s="19"/>
      <c r="K3" s="19"/>
    </row>
    <row r="5" customFormat="false" ht="30" hidden="false" customHeight="true" outlineLevel="0" collapsed="false">
      <c r="A5" s="30" t="s">
        <v>153</v>
      </c>
      <c r="B5" s="30" t="s">
        <v>154</v>
      </c>
      <c r="C5" s="30" t="s">
        <v>155</v>
      </c>
      <c r="D5" s="30" t="s">
        <v>156</v>
      </c>
      <c r="E5" s="30" t="s">
        <v>504</v>
      </c>
      <c r="F5" s="30" t="s">
        <v>505</v>
      </c>
      <c r="G5" s="30" t="s">
        <v>586</v>
      </c>
      <c r="H5" s="30" t="s">
        <v>587</v>
      </c>
      <c r="I5" s="30" t="s">
        <v>588</v>
      </c>
      <c r="J5" s="30" t="s">
        <v>589</v>
      </c>
      <c r="K5" s="30" t="s">
        <v>590</v>
      </c>
      <c r="L5" s="30" t="s">
        <v>591</v>
      </c>
      <c r="M5" s="30" t="s">
        <v>592</v>
      </c>
      <c r="N5" s="30" t="s">
        <v>158</v>
      </c>
      <c r="O5" s="30" t="s">
        <v>159</v>
      </c>
      <c r="P5" s="30" t="s">
        <v>160</v>
      </c>
    </row>
    <row r="6" customFormat="false" ht="15.75" hidden="false" customHeight="true" outlineLevel="0" collapsed="false">
      <c r="A6" s="42" t="str">
        <f aca="false">IF(科目参数!$A6="","",科目参数!$A6)</f>
        <v>1001</v>
      </c>
      <c r="B6" s="35" t="str">
        <f aca="false">IF($A6="","",科目参数!$B6)</f>
        <v>库存现金</v>
      </c>
      <c r="C6" s="42" t="str">
        <f aca="false">IF($A6="","",科目参数!$C6)</f>
        <v>资产</v>
      </c>
      <c r="D6" s="42" t="str">
        <f aca="false">IF($A6="","",科目参数!$D6)</f>
        <v>借</v>
      </c>
      <c r="E6" s="54" t="n">
        <f aca="false">IF($A6="","",SUMIFS(期初数据!$Z$6:$Z$125,期初数据!$W$6:$W$125,$A6))</f>
        <v>20000</v>
      </c>
      <c r="F6" s="54" t="n">
        <f aca="false">IF($A6="","",SUMIFS(期初数据!$AA$6:$AA$125,期初数据!$W$6:$W$125,$A6))</f>
        <v>0</v>
      </c>
      <c r="G6" s="54" t="n">
        <f aca="false">IF($A6="","",SUMIFS(资金流水!$N$5:$N$504,资金流水!$O$5:$O$504,$A6,资金流水!$C$5:$C$504,首页!$B$5)+SUMIFS(销售录入!$X$5:$X$404,销售录入!$V$5:$V$404,$A6,销售录入!$C$5:$C$404,首页!$B$5)+SUMIFS(销售录入!$AA$5:$AA$404,销售录入!$Y$5:$Y$404,$A6,销售录入!$C$5:$C$404,首页!$B$5)+SUMIFS(销售录入!$AD$5:$AD$404,销售录入!$AB$5:$AB$404,$A6,销售录入!$C$5:$C$404,首页!$B$5)+SUMIFS(采购录入!$W$5:$W$404,采购录入!$U$5:$U$404,$A6,采购录入!$C$5:$C$404,首页!$B$5)+SUMIFS(采购录入!$Z$5:$Z$404,采购录入!$X$5:$X$404,$A6,采购录入!$C$5:$C$404,首页!$B$5)+SUMIFS(其他凭证!$H$5:$H$304,其他凭证!$F$5:$F$304,$A6,其他凭证!$C$5:$C$304,首页!$B$5))</f>
        <v>5000</v>
      </c>
      <c r="H6" s="54" t="n">
        <f aca="false">IF($A6="","",SUMIFS(资金流水!$N$5:$N$504,资金流水!$P$5:$P$504,$A6,资金流水!$C$5:$C$504,首页!$B$5)+SUMIFS(销售录入!$X$5:$X$404,销售录入!$W$5:$W$404,$A6,销售录入!$C$5:$C$404,首页!$B$5)+SUMIFS(销售录入!$AA$5:$AA$404,销售录入!$Z$5:$Z$404,$A6,销售录入!$C$5:$C$404,首页!$B$5)+SUMIFS(销售录入!$AD$5:$AD$404,销售录入!$AC$5:$AC$404,$A6,销售录入!$C$5:$C$404,首页!$B$5)+SUMIFS(采购录入!$W$5:$W$404,采购录入!$V$5:$V$404,$A6,采购录入!$C$5:$C$404,首页!$B$5)+SUMIFS(采购录入!$Z$5:$Z$404,采购录入!$Y$5:$Y$404,$A6,采购录入!$C$5:$C$404,首页!$B$5)+SUMIFS(其他凭证!$H$5:$H$304,其他凭证!$G$5:$G$304,$A6,其他凭证!$C$5:$C$304,首页!$B$5))</f>
        <v>800</v>
      </c>
      <c r="I6" s="54" t="n">
        <f aca="false">IF($A6="","",SUMIFS(资金流水!$N$5:$N$504,资金流水!$O$5:$O$504,$A6,资金流水!$B$5:$B$504,"&lt;="&amp;首页!$B$7)+SUMIFS(销售录入!$X$5:$X$404,销售录入!$V$5:$V$404,$A6,销售录入!$B$5:$B$404,"&lt;="&amp;首页!$B$7)+SUMIFS(销售录入!$AA$5:$AA$404,销售录入!$Y$5:$Y$404,$A6,销售录入!$B$5:$B$404,"&lt;="&amp;首页!$B$7)+SUMIFS(销售录入!$AD$5:$AD$404,销售录入!$AB$5:$AB$404,$A6,销售录入!$B$5:$B$404,"&lt;="&amp;首页!$B$7)+SUMIFS(采购录入!$W$5:$W$404,采购录入!$U$5:$U$404,$A6,采购录入!$B$5:$B$404,"&lt;="&amp;首页!$B$7)+SUMIFS(采购录入!$Z$5:$Z$404,采购录入!$X$5:$X$404,$A6,采购录入!$B$5:$B$404,"&lt;="&amp;首页!$B$7)+SUMIFS(其他凭证!$H$5:$H$304,其他凭证!$F$5:$F$304,$A6,其他凭证!$B$5:$B$304,"&lt;="&amp;首页!$B$7))</f>
        <v>5000</v>
      </c>
      <c r="J6" s="54" t="n">
        <f aca="false">IF($A6="","",SUMIFS(资金流水!$N$5:$N$504,资金流水!$P$5:$P$504,$A6,资金流水!$B$5:$B$504,"&lt;="&amp;首页!$B$7)+SUMIFS(销售录入!$X$5:$X$404,销售录入!$W$5:$W$404,$A6,销售录入!$B$5:$B$404,"&lt;="&amp;首页!$B$7)+SUMIFS(销售录入!$AA$5:$AA$404,销售录入!$Z$5:$Z$404,$A6,销售录入!$B$5:$B$404,"&lt;="&amp;首页!$B$7)+SUMIFS(销售录入!$AD$5:$AD$404,销售录入!$AC$5:$AC$404,$A6,销售录入!$B$5:$B$404,"&lt;="&amp;首页!$B$7)+SUMIFS(采购录入!$W$5:$W$404,采购录入!$V$5:$V$404,$A6,采购录入!$B$5:$B$404,"&lt;="&amp;首页!$B$7)+SUMIFS(采购录入!$Z$5:$Z$404,采购录入!$Y$5:$Y$404,$A6,采购录入!$B$5:$B$404,"&lt;="&amp;首页!$B$7)+SUMIFS(其他凭证!$H$5:$H$304,其他凭证!$G$5:$G$304,$A6,其他凭证!$B$5:$B$304,"&lt;="&amp;首页!$B$7))</f>
        <v>800</v>
      </c>
      <c r="K6" s="44" t="n">
        <f aca="false">IF($A6="","",($E6+$I6)-($F6+$J6))</f>
        <v>24200</v>
      </c>
      <c r="L6" s="44" t="n">
        <f aca="false">IF($A6="","",IF($K6&gt;=0,$K6,0))</f>
        <v>24200</v>
      </c>
      <c r="M6" s="44" t="n">
        <f aca="false">IF($A6="","",IF($K6&lt;0,-$K6,0))</f>
        <v>0</v>
      </c>
      <c r="N6" s="35" t="str">
        <f aca="false">IF($A6="","",科目参数!$F6)</f>
        <v>货币资金</v>
      </c>
      <c r="O6" s="35" t="n">
        <f aca="false">IF($A6="","",科目参数!$G6)</f>
        <v>0</v>
      </c>
      <c r="P6" s="42" t="str">
        <f aca="false">IF($A6="","",科目参数!$H6)</f>
        <v>现金类</v>
      </c>
    </row>
    <row r="7" customFormat="false" ht="15.75" hidden="false" customHeight="true" outlineLevel="0" collapsed="false">
      <c r="A7" s="42" t="str">
        <f aca="false">IF(科目参数!$A7="","",科目参数!$A7)</f>
        <v>1002</v>
      </c>
      <c r="B7" s="35" t="str">
        <f aca="false">IF($A7="","",科目参数!$B7)</f>
        <v>银行存款</v>
      </c>
      <c r="C7" s="42" t="str">
        <f aca="false">IF($A7="","",科目参数!$C7)</f>
        <v>资产</v>
      </c>
      <c r="D7" s="42" t="str">
        <f aca="false">IF($A7="","",科目参数!$D7)</f>
        <v>借</v>
      </c>
      <c r="E7" s="54" t="n">
        <f aca="false">IF($A7="","",SUMIFS(期初数据!$Z$6:$Z$125,期初数据!$W$6:$W$125,$A7))</f>
        <v>300000</v>
      </c>
      <c r="F7" s="54" t="n">
        <f aca="false">IF($A7="","",SUMIFS(期初数据!$AA$6:$AA$125,期初数据!$W$6:$W$125,$A7))</f>
        <v>0</v>
      </c>
      <c r="G7" s="54" t="n">
        <f aca="false">IF($A7="","",SUMIFS(资金流水!$N$5:$N$504,资金流水!$O$5:$O$504,$A7,资金流水!$C$5:$C$504,首页!$B$5)+SUMIFS(销售录入!$X$5:$X$404,销售录入!$V$5:$V$404,$A7,销售录入!$C$5:$C$404,首页!$B$5)+SUMIFS(销售录入!$AA$5:$AA$404,销售录入!$Y$5:$Y$404,$A7,销售录入!$C$5:$C$404,首页!$B$5)+SUMIFS(销售录入!$AD$5:$AD$404,销售录入!$AB$5:$AB$404,$A7,销售录入!$C$5:$C$404,首页!$B$5)+SUMIFS(采购录入!$W$5:$W$404,采购录入!$U$5:$U$404,$A7,采购录入!$C$5:$C$404,首页!$B$5)+SUMIFS(采购录入!$Z$5:$Z$404,采购录入!$X$5:$X$404,$A7,采购录入!$C$5:$C$404,首页!$B$5)+SUMIFS(其他凭证!$H$5:$H$304,其他凭证!$F$5:$F$304,$A7,其他凭证!$C$5:$C$304,首页!$B$5))</f>
        <v>50000</v>
      </c>
      <c r="H7" s="54" t="n">
        <f aca="false">IF($A7="","",SUMIFS(资金流水!$N$5:$N$504,资金流水!$P$5:$P$504,$A7,资金流水!$C$5:$C$504,首页!$B$5)+SUMIFS(销售录入!$X$5:$X$404,销售录入!$W$5:$W$404,$A7,销售录入!$C$5:$C$404,首页!$B$5)+SUMIFS(销售录入!$AA$5:$AA$404,销售录入!$Z$5:$Z$404,$A7,销售录入!$C$5:$C$404,首页!$B$5)+SUMIFS(销售录入!$AD$5:$AD$404,销售录入!$AC$5:$AC$404,$A7,销售录入!$C$5:$C$404,首页!$B$5)+SUMIFS(采购录入!$W$5:$W$404,采购录入!$V$5:$V$404,$A7,采购录入!$C$5:$C$404,首页!$B$5)+SUMIFS(采购录入!$Z$5:$Z$404,采购录入!$Y$5:$Y$404,$A7,采购录入!$C$5:$C$404,首页!$B$5)+SUMIFS(其他凭证!$H$5:$H$304,其他凭证!$G$5:$G$304,$A7,其他凭证!$C$5:$C$304,首页!$B$5))</f>
        <v>68000</v>
      </c>
      <c r="I7" s="54" t="n">
        <f aca="false">IF($A7="","",SUMIFS(资金流水!$N$5:$N$504,资金流水!$O$5:$O$504,$A7,资金流水!$B$5:$B$504,"&lt;="&amp;首页!$B$7)+SUMIFS(销售录入!$X$5:$X$404,销售录入!$V$5:$V$404,$A7,销售录入!$B$5:$B$404,"&lt;="&amp;首页!$B$7)+SUMIFS(销售录入!$AA$5:$AA$404,销售录入!$Y$5:$Y$404,$A7,销售录入!$B$5:$B$404,"&lt;="&amp;首页!$B$7)+SUMIFS(销售录入!$AD$5:$AD$404,销售录入!$AB$5:$AB$404,$A7,销售录入!$B$5:$B$404,"&lt;="&amp;首页!$B$7)+SUMIFS(采购录入!$W$5:$W$404,采购录入!$U$5:$U$404,$A7,采购录入!$B$5:$B$404,"&lt;="&amp;首页!$B$7)+SUMIFS(采购录入!$Z$5:$Z$404,采购录入!$X$5:$X$404,$A7,采购录入!$B$5:$B$404,"&lt;="&amp;首页!$B$7)+SUMIFS(其他凭证!$H$5:$H$304,其他凭证!$F$5:$F$304,$A7,其他凭证!$B$5:$B$304,"&lt;="&amp;首页!$B$7))</f>
        <v>50000</v>
      </c>
      <c r="J7" s="54" t="n">
        <f aca="false">IF($A7="","",SUMIFS(资金流水!$N$5:$N$504,资金流水!$P$5:$P$504,$A7,资金流水!$B$5:$B$504,"&lt;="&amp;首页!$B$7)+SUMIFS(销售录入!$X$5:$X$404,销售录入!$W$5:$W$404,$A7,销售录入!$B$5:$B$404,"&lt;="&amp;首页!$B$7)+SUMIFS(销售录入!$AA$5:$AA$404,销售录入!$Z$5:$Z$404,$A7,销售录入!$B$5:$B$404,"&lt;="&amp;首页!$B$7)+SUMIFS(销售录入!$AD$5:$AD$404,销售录入!$AC$5:$AC$404,$A7,销售录入!$B$5:$B$404,"&lt;="&amp;首页!$B$7)+SUMIFS(采购录入!$W$5:$W$404,采购录入!$V$5:$V$404,$A7,采购录入!$B$5:$B$404,"&lt;="&amp;首页!$B$7)+SUMIFS(采购录入!$Z$5:$Z$404,采购录入!$Y$5:$Y$404,$A7,采购录入!$B$5:$B$404,"&lt;="&amp;首页!$B$7)+SUMIFS(其他凭证!$H$5:$H$304,其他凭证!$G$5:$G$304,$A7,其他凭证!$B$5:$B$304,"&lt;="&amp;首页!$B$7))</f>
        <v>68000</v>
      </c>
      <c r="K7" s="44" t="n">
        <f aca="false">IF($A7="","",($E7+$I7)-($F7+$J7))</f>
        <v>282000</v>
      </c>
      <c r="L7" s="44" t="n">
        <f aca="false">IF($A7="","",IF($K7&gt;=0,$K7,0))</f>
        <v>282000</v>
      </c>
      <c r="M7" s="44" t="n">
        <f aca="false">IF($A7="","",IF($K7&lt;0,-$K7,0))</f>
        <v>0</v>
      </c>
      <c r="N7" s="35" t="str">
        <f aca="false">IF($A7="","",科目参数!$F7)</f>
        <v>货币资金</v>
      </c>
      <c r="O7" s="35" t="n">
        <f aca="false">IF($A7="","",科目参数!$G7)</f>
        <v>0</v>
      </c>
      <c r="P7" s="42" t="str">
        <f aca="false">IF($A7="","",科目参数!$H7)</f>
        <v>现金类</v>
      </c>
    </row>
    <row r="8" customFormat="false" ht="15.75" hidden="false" customHeight="true" outlineLevel="0" collapsed="false">
      <c r="A8" s="42" t="str">
        <f aca="false">IF(科目参数!$A8="","",科目参数!$A8)</f>
        <v>1012</v>
      </c>
      <c r="B8" s="35" t="str">
        <f aca="false">IF($A8="","",科目参数!$B8)</f>
        <v>其他货币资金</v>
      </c>
      <c r="C8" s="42" t="str">
        <f aca="false">IF($A8="","",科目参数!$C8)</f>
        <v>资产</v>
      </c>
      <c r="D8" s="42" t="str">
        <f aca="false">IF($A8="","",科目参数!$D8)</f>
        <v>借</v>
      </c>
      <c r="E8" s="54" t="n">
        <f aca="false">IF($A8="","",SUMIFS(期初数据!$Z$6:$Z$125,期初数据!$W$6:$W$125,$A8))</f>
        <v>15000</v>
      </c>
      <c r="F8" s="54" t="n">
        <f aca="false">IF($A8="","",SUMIFS(期初数据!$AA$6:$AA$125,期初数据!$W$6:$W$125,$A8))</f>
        <v>0</v>
      </c>
      <c r="G8" s="54" t="n">
        <f aca="false">IF($A8="","",SUMIFS(资金流水!$N$5:$N$504,资金流水!$O$5:$O$504,$A8,资金流水!$C$5:$C$504,首页!$B$5)+SUMIFS(销售录入!$X$5:$X$404,销售录入!$V$5:$V$404,$A8,销售录入!$C$5:$C$404,首页!$B$5)+SUMIFS(销售录入!$AA$5:$AA$404,销售录入!$Y$5:$Y$404,$A8,销售录入!$C$5:$C$404,首页!$B$5)+SUMIFS(销售录入!$AD$5:$AD$404,销售录入!$AB$5:$AB$404,$A8,销售录入!$C$5:$C$404,首页!$B$5)+SUMIFS(采购录入!$W$5:$W$404,采购录入!$U$5:$U$404,$A8,采购录入!$C$5:$C$404,首页!$B$5)+SUMIFS(采购录入!$Z$5:$Z$404,采购录入!$X$5:$X$404,$A8,采购录入!$C$5:$C$404,首页!$B$5)+SUMIFS(其他凭证!$H$5:$H$304,其他凭证!$F$5:$F$304,$A8,其他凭证!$C$5:$C$304,首页!$B$5))</f>
        <v>11000</v>
      </c>
      <c r="H8" s="54" t="n">
        <f aca="false">IF($A8="","",SUMIFS(资金流水!$N$5:$N$504,资金流水!$P$5:$P$504,$A8,资金流水!$C$5:$C$504,首页!$B$5)+SUMIFS(销售录入!$X$5:$X$404,销售录入!$W$5:$W$404,$A8,销售录入!$C$5:$C$404,首页!$B$5)+SUMIFS(销售录入!$AA$5:$AA$404,销售录入!$Z$5:$Z$404,$A8,销售录入!$C$5:$C$404,首页!$B$5)+SUMIFS(销售录入!$AD$5:$AD$404,销售录入!$AC$5:$AC$404,$A8,销售录入!$C$5:$C$404,首页!$B$5)+SUMIFS(采购录入!$W$5:$W$404,采购录入!$V$5:$V$404,$A8,采购录入!$C$5:$C$404,首页!$B$5)+SUMIFS(采购录入!$Z$5:$Z$404,采购录入!$Y$5:$Y$404,$A8,采购录入!$C$5:$C$404,首页!$B$5)+SUMIFS(其他凭证!$H$5:$H$304,其他凭证!$G$5:$G$304,$A8,其他凭证!$C$5:$C$304,首页!$B$5))</f>
        <v>0</v>
      </c>
      <c r="I8" s="54" t="n">
        <f aca="false">IF($A8="","",SUMIFS(资金流水!$N$5:$N$504,资金流水!$O$5:$O$504,$A8,资金流水!$B$5:$B$504,"&lt;="&amp;首页!$B$7)+SUMIFS(销售录入!$X$5:$X$404,销售录入!$V$5:$V$404,$A8,销售录入!$B$5:$B$404,"&lt;="&amp;首页!$B$7)+SUMIFS(销售录入!$AA$5:$AA$404,销售录入!$Y$5:$Y$404,$A8,销售录入!$B$5:$B$404,"&lt;="&amp;首页!$B$7)+SUMIFS(销售录入!$AD$5:$AD$404,销售录入!$AB$5:$AB$404,$A8,销售录入!$B$5:$B$404,"&lt;="&amp;首页!$B$7)+SUMIFS(采购录入!$W$5:$W$404,采购录入!$U$5:$U$404,$A8,采购录入!$B$5:$B$404,"&lt;="&amp;首页!$B$7)+SUMIFS(采购录入!$Z$5:$Z$404,采购录入!$X$5:$X$404,$A8,采购录入!$B$5:$B$404,"&lt;="&amp;首页!$B$7)+SUMIFS(其他凭证!$H$5:$H$304,其他凭证!$F$5:$F$304,$A8,其他凭证!$B$5:$B$304,"&lt;="&amp;首页!$B$7))</f>
        <v>11000</v>
      </c>
      <c r="J8" s="54" t="n">
        <f aca="false">IF($A8="","",SUMIFS(资金流水!$N$5:$N$504,资金流水!$P$5:$P$504,$A8,资金流水!$B$5:$B$504,"&lt;="&amp;首页!$B$7)+SUMIFS(销售录入!$X$5:$X$404,销售录入!$W$5:$W$404,$A8,销售录入!$B$5:$B$404,"&lt;="&amp;首页!$B$7)+SUMIFS(销售录入!$AA$5:$AA$404,销售录入!$Z$5:$Z$404,$A8,销售录入!$B$5:$B$404,"&lt;="&amp;首页!$B$7)+SUMIFS(销售录入!$AD$5:$AD$404,销售录入!$AC$5:$AC$404,$A8,销售录入!$B$5:$B$404,"&lt;="&amp;首页!$B$7)+SUMIFS(采购录入!$W$5:$W$404,采购录入!$V$5:$V$404,$A8,采购录入!$B$5:$B$404,"&lt;="&amp;首页!$B$7)+SUMIFS(采购录入!$Z$5:$Z$404,采购录入!$Y$5:$Y$404,$A8,采购录入!$B$5:$B$404,"&lt;="&amp;首页!$B$7)+SUMIFS(其他凭证!$H$5:$H$304,其他凭证!$G$5:$G$304,$A8,其他凭证!$B$5:$B$304,"&lt;="&amp;首页!$B$7))</f>
        <v>0</v>
      </c>
      <c r="K8" s="44" t="n">
        <f aca="false">IF($A8="","",($E8+$I8)-($F8+$J8))</f>
        <v>26000</v>
      </c>
      <c r="L8" s="44" t="n">
        <f aca="false">IF($A8="","",IF($K8&gt;=0,$K8,0))</f>
        <v>26000</v>
      </c>
      <c r="M8" s="44" t="n">
        <f aca="false">IF($A8="","",IF($K8&lt;0,-$K8,0))</f>
        <v>0</v>
      </c>
      <c r="N8" s="35" t="str">
        <f aca="false">IF($A8="","",科目参数!$F8)</f>
        <v>货币资金</v>
      </c>
      <c r="O8" s="35" t="n">
        <f aca="false">IF($A8="","",科目参数!$G8)</f>
        <v>0</v>
      </c>
      <c r="P8" s="42" t="str">
        <f aca="false">IF($A8="","",科目参数!$H8)</f>
        <v>现金类</v>
      </c>
    </row>
    <row r="9" customFormat="false" ht="15.75" hidden="false" customHeight="true" outlineLevel="0" collapsed="false">
      <c r="A9" s="42" t="str">
        <f aca="false">IF(科目参数!$A9="","",科目参数!$A9)</f>
        <v>1101</v>
      </c>
      <c r="B9" s="35" t="str">
        <f aca="false">IF($A9="","",科目参数!$B9)</f>
        <v>交易性金融资产</v>
      </c>
      <c r="C9" s="42" t="str">
        <f aca="false">IF($A9="","",科目参数!$C9)</f>
        <v>资产</v>
      </c>
      <c r="D9" s="42" t="str">
        <f aca="false">IF($A9="","",科目参数!$D9)</f>
        <v>借</v>
      </c>
      <c r="E9" s="54" t="n">
        <f aca="false">IF($A9="","",SUMIFS(期初数据!$Z$6:$Z$125,期初数据!$W$6:$W$125,$A9))</f>
        <v>0</v>
      </c>
      <c r="F9" s="54" t="n">
        <f aca="false">IF($A9="","",SUMIFS(期初数据!$AA$6:$AA$125,期初数据!$W$6:$W$125,$A9))</f>
        <v>0</v>
      </c>
      <c r="G9" s="54" t="n">
        <f aca="false">IF($A9="","",SUMIFS(资金流水!$N$5:$N$504,资金流水!$O$5:$O$504,$A9,资金流水!$C$5:$C$504,首页!$B$5)+SUMIFS(销售录入!$X$5:$X$404,销售录入!$V$5:$V$404,$A9,销售录入!$C$5:$C$404,首页!$B$5)+SUMIFS(销售录入!$AA$5:$AA$404,销售录入!$Y$5:$Y$404,$A9,销售录入!$C$5:$C$404,首页!$B$5)+SUMIFS(销售录入!$AD$5:$AD$404,销售录入!$AB$5:$AB$404,$A9,销售录入!$C$5:$C$404,首页!$B$5)+SUMIFS(采购录入!$W$5:$W$404,采购录入!$U$5:$U$404,$A9,采购录入!$C$5:$C$404,首页!$B$5)+SUMIFS(采购录入!$Z$5:$Z$404,采购录入!$X$5:$X$404,$A9,采购录入!$C$5:$C$404,首页!$B$5)+SUMIFS(其他凭证!$H$5:$H$304,其他凭证!$F$5:$F$304,$A9,其他凭证!$C$5:$C$304,首页!$B$5))</f>
        <v>0</v>
      </c>
      <c r="H9" s="54" t="n">
        <f aca="false">IF($A9="","",SUMIFS(资金流水!$N$5:$N$504,资金流水!$P$5:$P$504,$A9,资金流水!$C$5:$C$504,首页!$B$5)+SUMIFS(销售录入!$X$5:$X$404,销售录入!$W$5:$W$404,$A9,销售录入!$C$5:$C$404,首页!$B$5)+SUMIFS(销售录入!$AA$5:$AA$404,销售录入!$Z$5:$Z$404,$A9,销售录入!$C$5:$C$404,首页!$B$5)+SUMIFS(销售录入!$AD$5:$AD$404,销售录入!$AC$5:$AC$404,$A9,销售录入!$C$5:$C$404,首页!$B$5)+SUMIFS(采购录入!$W$5:$W$404,采购录入!$V$5:$V$404,$A9,采购录入!$C$5:$C$404,首页!$B$5)+SUMIFS(采购录入!$Z$5:$Z$404,采购录入!$Y$5:$Y$404,$A9,采购录入!$C$5:$C$404,首页!$B$5)+SUMIFS(其他凭证!$H$5:$H$304,其他凭证!$G$5:$G$304,$A9,其他凭证!$C$5:$C$304,首页!$B$5))</f>
        <v>0</v>
      </c>
      <c r="I9" s="54" t="n">
        <f aca="false">IF($A9="","",SUMIFS(资金流水!$N$5:$N$504,资金流水!$O$5:$O$504,$A9,资金流水!$B$5:$B$504,"&lt;="&amp;首页!$B$7)+SUMIFS(销售录入!$X$5:$X$404,销售录入!$V$5:$V$404,$A9,销售录入!$B$5:$B$404,"&lt;="&amp;首页!$B$7)+SUMIFS(销售录入!$AA$5:$AA$404,销售录入!$Y$5:$Y$404,$A9,销售录入!$B$5:$B$404,"&lt;="&amp;首页!$B$7)+SUMIFS(销售录入!$AD$5:$AD$404,销售录入!$AB$5:$AB$404,$A9,销售录入!$B$5:$B$404,"&lt;="&amp;首页!$B$7)+SUMIFS(采购录入!$W$5:$W$404,采购录入!$U$5:$U$404,$A9,采购录入!$B$5:$B$404,"&lt;="&amp;首页!$B$7)+SUMIFS(采购录入!$Z$5:$Z$404,采购录入!$X$5:$X$404,$A9,采购录入!$B$5:$B$404,"&lt;="&amp;首页!$B$7)+SUMIFS(其他凭证!$H$5:$H$304,其他凭证!$F$5:$F$304,$A9,其他凭证!$B$5:$B$304,"&lt;="&amp;首页!$B$7))</f>
        <v>0</v>
      </c>
      <c r="J9" s="54" t="n">
        <f aca="false">IF($A9="","",SUMIFS(资金流水!$N$5:$N$504,资金流水!$P$5:$P$504,$A9,资金流水!$B$5:$B$504,"&lt;="&amp;首页!$B$7)+SUMIFS(销售录入!$X$5:$X$404,销售录入!$W$5:$W$404,$A9,销售录入!$B$5:$B$404,"&lt;="&amp;首页!$B$7)+SUMIFS(销售录入!$AA$5:$AA$404,销售录入!$Z$5:$Z$404,$A9,销售录入!$B$5:$B$404,"&lt;="&amp;首页!$B$7)+SUMIFS(销售录入!$AD$5:$AD$404,销售录入!$AC$5:$AC$404,$A9,销售录入!$B$5:$B$404,"&lt;="&amp;首页!$B$7)+SUMIFS(采购录入!$W$5:$W$404,采购录入!$V$5:$V$404,$A9,采购录入!$B$5:$B$404,"&lt;="&amp;首页!$B$7)+SUMIFS(采购录入!$Z$5:$Z$404,采购录入!$Y$5:$Y$404,$A9,采购录入!$B$5:$B$404,"&lt;="&amp;首页!$B$7)+SUMIFS(其他凭证!$H$5:$H$304,其他凭证!$G$5:$G$304,$A9,其他凭证!$B$5:$B$304,"&lt;="&amp;首页!$B$7))</f>
        <v>0</v>
      </c>
      <c r="K9" s="44" t="n">
        <f aca="false">IF($A9="","",($E9+$I9)-($F9+$J9))</f>
        <v>0</v>
      </c>
      <c r="L9" s="44" t="n">
        <f aca="false">IF($A9="","",IF($K9&gt;=0,$K9,0))</f>
        <v>0</v>
      </c>
      <c r="M9" s="44" t="n">
        <f aca="false">IF($A9="","",IF($K9&lt;0,-$K9,0))</f>
        <v>0</v>
      </c>
      <c r="N9" s="35" t="str">
        <f aca="false">IF($A9="","",科目参数!$F9)</f>
        <v>交易性金融资产</v>
      </c>
      <c r="O9" s="35" t="n">
        <f aca="false">IF($A9="","",科目参数!$G9)</f>
        <v>0</v>
      </c>
      <c r="P9" s="42" t="str">
        <f aca="false">IF($A9="","",科目参数!$H9)</f>
        <v>投资活动</v>
      </c>
    </row>
    <row r="10" customFormat="false" ht="15.75" hidden="false" customHeight="true" outlineLevel="0" collapsed="false">
      <c r="A10" s="42" t="str">
        <f aca="false">IF(科目参数!$A10="","",科目参数!$A10)</f>
        <v>1121</v>
      </c>
      <c r="B10" s="35" t="str">
        <f aca="false">IF($A10="","",科目参数!$B10)</f>
        <v>应收票据</v>
      </c>
      <c r="C10" s="42" t="str">
        <f aca="false">IF($A10="","",科目参数!$C10)</f>
        <v>资产</v>
      </c>
      <c r="D10" s="42" t="str">
        <f aca="false">IF($A10="","",科目参数!$D10)</f>
        <v>借</v>
      </c>
      <c r="E10" s="54" t="n">
        <f aca="false">IF($A10="","",SUMIFS(期初数据!$Z$6:$Z$125,期初数据!$W$6:$W$125,$A10))</f>
        <v>0</v>
      </c>
      <c r="F10" s="54" t="n">
        <f aca="false">IF($A10="","",SUMIFS(期初数据!$AA$6:$AA$125,期初数据!$W$6:$W$125,$A10))</f>
        <v>0</v>
      </c>
      <c r="G10" s="54" t="n">
        <f aca="false">IF($A10="","",SUMIFS(资金流水!$N$5:$N$504,资金流水!$O$5:$O$504,$A10,资金流水!$C$5:$C$504,首页!$B$5)+SUMIFS(销售录入!$X$5:$X$404,销售录入!$V$5:$V$404,$A10,销售录入!$C$5:$C$404,首页!$B$5)+SUMIFS(销售录入!$AA$5:$AA$404,销售录入!$Y$5:$Y$404,$A10,销售录入!$C$5:$C$404,首页!$B$5)+SUMIFS(销售录入!$AD$5:$AD$404,销售录入!$AB$5:$AB$404,$A10,销售录入!$C$5:$C$404,首页!$B$5)+SUMIFS(采购录入!$W$5:$W$404,采购录入!$U$5:$U$404,$A10,采购录入!$C$5:$C$404,首页!$B$5)+SUMIFS(采购录入!$Z$5:$Z$404,采购录入!$X$5:$X$404,$A10,采购录入!$C$5:$C$404,首页!$B$5)+SUMIFS(其他凭证!$H$5:$H$304,其他凭证!$F$5:$F$304,$A10,其他凭证!$C$5:$C$304,首页!$B$5))</f>
        <v>0</v>
      </c>
      <c r="H10" s="54" t="n">
        <f aca="false">IF($A10="","",SUMIFS(资金流水!$N$5:$N$504,资金流水!$P$5:$P$504,$A10,资金流水!$C$5:$C$504,首页!$B$5)+SUMIFS(销售录入!$X$5:$X$404,销售录入!$W$5:$W$404,$A10,销售录入!$C$5:$C$404,首页!$B$5)+SUMIFS(销售录入!$AA$5:$AA$404,销售录入!$Z$5:$Z$404,$A10,销售录入!$C$5:$C$404,首页!$B$5)+SUMIFS(销售录入!$AD$5:$AD$404,销售录入!$AC$5:$AC$404,$A10,销售录入!$C$5:$C$404,首页!$B$5)+SUMIFS(采购录入!$W$5:$W$404,采购录入!$V$5:$V$404,$A10,采购录入!$C$5:$C$404,首页!$B$5)+SUMIFS(采购录入!$Z$5:$Z$404,采购录入!$Y$5:$Y$404,$A10,采购录入!$C$5:$C$404,首页!$B$5)+SUMIFS(其他凭证!$H$5:$H$304,其他凭证!$G$5:$G$304,$A10,其他凭证!$C$5:$C$304,首页!$B$5))</f>
        <v>0</v>
      </c>
      <c r="I10" s="54" t="n">
        <f aca="false">IF($A10="","",SUMIFS(资金流水!$N$5:$N$504,资金流水!$O$5:$O$504,$A10,资金流水!$B$5:$B$504,"&lt;="&amp;首页!$B$7)+SUMIFS(销售录入!$X$5:$X$404,销售录入!$V$5:$V$404,$A10,销售录入!$B$5:$B$404,"&lt;="&amp;首页!$B$7)+SUMIFS(销售录入!$AA$5:$AA$404,销售录入!$Y$5:$Y$404,$A10,销售录入!$B$5:$B$404,"&lt;="&amp;首页!$B$7)+SUMIFS(销售录入!$AD$5:$AD$404,销售录入!$AB$5:$AB$404,$A10,销售录入!$B$5:$B$404,"&lt;="&amp;首页!$B$7)+SUMIFS(采购录入!$W$5:$W$404,采购录入!$U$5:$U$404,$A10,采购录入!$B$5:$B$404,"&lt;="&amp;首页!$B$7)+SUMIFS(采购录入!$Z$5:$Z$404,采购录入!$X$5:$X$404,$A10,采购录入!$B$5:$B$404,"&lt;="&amp;首页!$B$7)+SUMIFS(其他凭证!$H$5:$H$304,其他凭证!$F$5:$F$304,$A10,其他凭证!$B$5:$B$304,"&lt;="&amp;首页!$B$7))</f>
        <v>0</v>
      </c>
      <c r="J10" s="54" t="n">
        <f aca="false">IF($A10="","",SUMIFS(资金流水!$N$5:$N$504,资金流水!$P$5:$P$504,$A10,资金流水!$B$5:$B$504,"&lt;="&amp;首页!$B$7)+SUMIFS(销售录入!$X$5:$X$404,销售录入!$W$5:$W$404,$A10,销售录入!$B$5:$B$404,"&lt;="&amp;首页!$B$7)+SUMIFS(销售录入!$AA$5:$AA$404,销售录入!$Z$5:$Z$404,$A10,销售录入!$B$5:$B$404,"&lt;="&amp;首页!$B$7)+SUMIFS(销售录入!$AD$5:$AD$404,销售录入!$AC$5:$AC$404,$A10,销售录入!$B$5:$B$404,"&lt;="&amp;首页!$B$7)+SUMIFS(采购录入!$W$5:$W$404,采购录入!$V$5:$V$404,$A10,采购录入!$B$5:$B$404,"&lt;="&amp;首页!$B$7)+SUMIFS(采购录入!$Z$5:$Z$404,采购录入!$Y$5:$Y$404,$A10,采购录入!$B$5:$B$404,"&lt;="&amp;首页!$B$7)+SUMIFS(其他凭证!$H$5:$H$304,其他凭证!$G$5:$G$304,$A10,其他凭证!$B$5:$B$304,"&lt;="&amp;首页!$B$7))</f>
        <v>0</v>
      </c>
      <c r="K10" s="44" t="n">
        <f aca="false">IF($A10="","",($E10+$I10)-($F10+$J10))</f>
        <v>0</v>
      </c>
      <c r="L10" s="44" t="n">
        <f aca="false">IF($A10="","",IF($K10&gt;=0,$K10,0))</f>
        <v>0</v>
      </c>
      <c r="M10" s="44" t="n">
        <f aca="false">IF($A10="","",IF($K10&lt;0,-$K10,0))</f>
        <v>0</v>
      </c>
      <c r="N10" s="35" t="str">
        <f aca="false">IF($A10="","",科目参数!$F10)</f>
        <v>应收票据</v>
      </c>
      <c r="O10" s="35" t="n">
        <f aca="false">IF($A10="","",科目参数!$G10)</f>
        <v>0</v>
      </c>
      <c r="P10" s="42" t="str">
        <f aca="false">IF($A10="","",科目参数!$H10)</f>
        <v>经营活动</v>
      </c>
    </row>
    <row r="11" customFormat="false" ht="15.75" hidden="false" customHeight="true" outlineLevel="0" collapsed="false">
      <c r="A11" s="42" t="str">
        <f aca="false">IF(科目参数!$A11="","",科目参数!$A11)</f>
        <v>1122</v>
      </c>
      <c r="B11" s="35" t="str">
        <f aca="false">IF($A11="","",科目参数!$B11)</f>
        <v>应收账款</v>
      </c>
      <c r="C11" s="42" t="str">
        <f aca="false">IF($A11="","",科目参数!$C11)</f>
        <v>资产</v>
      </c>
      <c r="D11" s="42" t="str">
        <f aca="false">IF($A11="","",科目参数!$D11)</f>
        <v>借</v>
      </c>
      <c r="E11" s="54" t="n">
        <f aca="false">IF($A11="","",SUMIFS(期初数据!$Z$6:$Z$125,期初数据!$W$6:$W$125,$A11))</f>
        <v>80000</v>
      </c>
      <c r="F11" s="54" t="n">
        <f aca="false">IF($A11="","",SUMIFS(期初数据!$AA$6:$AA$125,期初数据!$W$6:$W$125,$A11))</f>
        <v>0</v>
      </c>
      <c r="G11" s="54" t="n">
        <f aca="false">IF($A11="","",SUMIFS(资金流水!$N$5:$N$504,资金流水!$O$5:$O$504,$A11,资金流水!$C$5:$C$504,首页!$B$5)+SUMIFS(销售录入!$X$5:$X$404,销售录入!$V$5:$V$404,$A11,销售录入!$C$5:$C$404,首页!$B$5)+SUMIFS(销售录入!$AA$5:$AA$404,销售录入!$Y$5:$Y$404,$A11,销售录入!$C$5:$C$404,首页!$B$5)+SUMIFS(销售录入!$AD$5:$AD$404,销售录入!$AB$5:$AB$404,$A11,销售录入!$C$5:$C$404,首页!$B$5)+SUMIFS(采购录入!$W$5:$W$404,采购录入!$U$5:$U$404,$A11,采购录入!$C$5:$C$404,首页!$B$5)+SUMIFS(采购录入!$Z$5:$Z$404,采购录入!$X$5:$X$404,$A11,采购录入!$C$5:$C$404,首页!$B$5)+SUMIFS(其他凭证!$H$5:$H$304,其他凭证!$F$5:$F$304,$A11,其他凭证!$C$5:$C$304,首页!$B$5))</f>
        <v>27686</v>
      </c>
      <c r="H11" s="54" t="n">
        <f aca="false">IF($A11="","",SUMIFS(资金流水!$N$5:$N$504,资金流水!$P$5:$P$504,$A11,资金流水!$C$5:$C$504,首页!$B$5)+SUMIFS(销售录入!$X$5:$X$404,销售录入!$W$5:$W$404,$A11,销售录入!$C$5:$C$404,首页!$B$5)+SUMIFS(销售录入!$AA$5:$AA$404,销售录入!$Z$5:$Z$404,$A11,销售录入!$C$5:$C$404,首页!$B$5)+SUMIFS(销售录入!$AD$5:$AD$404,销售录入!$AC$5:$AC$404,$A11,销售录入!$C$5:$C$404,首页!$B$5)+SUMIFS(采购录入!$W$5:$W$404,采购录入!$V$5:$V$404,$A11,采购录入!$C$5:$C$404,首页!$B$5)+SUMIFS(采购录入!$Z$5:$Z$404,采购录入!$Y$5:$Y$404,$A11,采购录入!$C$5:$C$404,首页!$B$5)+SUMIFS(其他凭证!$H$5:$H$304,其他凭证!$G$5:$G$304,$A11,其他凭证!$C$5:$C$304,首页!$B$5))</f>
        <v>61000</v>
      </c>
      <c r="I11" s="54" t="n">
        <f aca="false">IF($A11="","",SUMIFS(资金流水!$N$5:$N$504,资金流水!$O$5:$O$504,$A11,资金流水!$B$5:$B$504,"&lt;="&amp;首页!$B$7)+SUMIFS(销售录入!$X$5:$X$404,销售录入!$V$5:$V$404,$A11,销售录入!$B$5:$B$404,"&lt;="&amp;首页!$B$7)+SUMIFS(销售录入!$AA$5:$AA$404,销售录入!$Y$5:$Y$404,$A11,销售录入!$B$5:$B$404,"&lt;="&amp;首页!$B$7)+SUMIFS(销售录入!$AD$5:$AD$404,销售录入!$AB$5:$AB$404,$A11,销售录入!$B$5:$B$404,"&lt;="&amp;首页!$B$7)+SUMIFS(采购录入!$W$5:$W$404,采购录入!$U$5:$U$404,$A11,采购录入!$B$5:$B$404,"&lt;="&amp;首页!$B$7)+SUMIFS(采购录入!$Z$5:$Z$404,采购录入!$X$5:$X$404,$A11,采购录入!$B$5:$B$404,"&lt;="&amp;首页!$B$7)+SUMIFS(其他凭证!$H$5:$H$304,其他凭证!$F$5:$F$304,$A11,其他凭证!$B$5:$B$304,"&lt;="&amp;首页!$B$7))</f>
        <v>27686</v>
      </c>
      <c r="J11" s="54" t="n">
        <f aca="false">IF($A11="","",SUMIFS(资金流水!$N$5:$N$504,资金流水!$P$5:$P$504,$A11,资金流水!$B$5:$B$504,"&lt;="&amp;首页!$B$7)+SUMIFS(销售录入!$X$5:$X$404,销售录入!$W$5:$W$404,$A11,销售录入!$B$5:$B$404,"&lt;="&amp;首页!$B$7)+SUMIFS(销售录入!$AA$5:$AA$404,销售录入!$Z$5:$Z$404,$A11,销售录入!$B$5:$B$404,"&lt;="&amp;首页!$B$7)+SUMIFS(销售录入!$AD$5:$AD$404,销售录入!$AC$5:$AC$404,$A11,销售录入!$B$5:$B$404,"&lt;="&amp;首页!$B$7)+SUMIFS(采购录入!$W$5:$W$404,采购录入!$V$5:$V$404,$A11,采购录入!$B$5:$B$404,"&lt;="&amp;首页!$B$7)+SUMIFS(采购录入!$Z$5:$Z$404,采购录入!$Y$5:$Y$404,$A11,采购录入!$B$5:$B$404,"&lt;="&amp;首页!$B$7)+SUMIFS(其他凭证!$H$5:$H$304,其他凭证!$G$5:$G$304,$A11,其他凭证!$B$5:$B$304,"&lt;="&amp;首页!$B$7))</f>
        <v>61000</v>
      </c>
      <c r="K11" s="44" t="n">
        <f aca="false">IF($A11="","",($E11+$I11)-($F11+$J11))</f>
        <v>46686</v>
      </c>
      <c r="L11" s="44" t="n">
        <f aca="false">IF($A11="","",IF($K11&gt;=0,$K11,0))</f>
        <v>46686</v>
      </c>
      <c r="M11" s="44" t="n">
        <f aca="false">IF($A11="","",IF($K11&lt;0,-$K11,0))</f>
        <v>0</v>
      </c>
      <c r="N11" s="35" t="str">
        <f aca="false">IF($A11="","",科目参数!$F11)</f>
        <v>应收账款</v>
      </c>
      <c r="O11" s="35" t="n">
        <f aca="false">IF($A11="","",科目参数!$G11)</f>
        <v>0</v>
      </c>
      <c r="P11" s="42" t="str">
        <f aca="false">IF($A11="","",科目参数!$H11)</f>
        <v>经营活动</v>
      </c>
    </row>
    <row r="12" customFormat="false" ht="15.75" hidden="false" customHeight="true" outlineLevel="0" collapsed="false">
      <c r="A12" s="42" t="str">
        <f aca="false">IF(科目参数!$A12="","",科目参数!$A12)</f>
        <v>1123</v>
      </c>
      <c r="B12" s="35" t="str">
        <f aca="false">IF($A12="","",科目参数!$B12)</f>
        <v>预付账款</v>
      </c>
      <c r="C12" s="42" t="str">
        <f aca="false">IF($A12="","",科目参数!$C12)</f>
        <v>资产</v>
      </c>
      <c r="D12" s="42" t="str">
        <f aca="false">IF($A12="","",科目参数!$D12)</f>
        <v>借</v>
      </c>
      <c r="E12" s="54" t="n">
        <f aca="false">IF($A12="","",SUMIFS(期初数据!$Z$6:$Z$125,期初数据!$W$6:$W$125,$A12))</f>
        <v>0</v>
      </c>
      <c r="F12" s="54" t="n">
        <f aca="false">IF($A12="","",SUMIFS(期初数据!$AA$6:$AA$125,期初数据!$W$6:$W$125,$A12))</f>
        <v>0</v>
      </c>
      <c r="G12" s="54" t="n">
        <f aca="false">IF($A12="","",SUMIFS(资金流水!$N$5:$N$504,资金流水!$O$5:$O$504,$A12,资金流水!$C$5:$C$504,首页!$B$5)+SUMIFS(销售录入!$X$5:$X$404,销售录入!$V$5:$V$404,$A12,销售录入!$C$5:$C$404,首页!$B$5)+SUMIFS(销售录入!$AA$5:$AA$404,销售录入!$Y$5:$Y$404,$A12,销售录入!$C$5:$C$404,首页!$B$5)+SUMIFS(销售录入!$AD$5:$AD$404,销售录入!$AB$5:$AB$404,$A12,销售录入!$C$5:$C$404,首页!$B$5)+SUMIFS(采购录入!$W$5:$W$404,采购录入!$U$5:$U$404,$A12,采购录入!$C$5:$C$404,首页!$B$5)+SUMIFS(采购录入!$Z$5:$Z$404,采购录入!$X$5:$X$404,$A12,采购录入!$C$5:$C$404,首页!$B$5)+SUMIFS(其他凭证!$H$5:$H$304,其他凭证!$F$5:$F$304,$A12,其他凭证!$C$5:$C$304,首页!$B$5))</f>
        <v>0</v>
      </c>
      <c r="H12" s="54" t="n">
        <f aca="false">IF($A12="","",SUMIFS(资金流水!$N$5:$N$504,资金流水!$P$5:$P$504,$A12,资金流水!$C$5:$C$504,首页!$B$5)+SUMIFS(销售录入!$X$5:$X$404,销售录入!$W$5:$W$404,$A12,销售录入!$C$5:$C$404,首页!$B$5)+SUMIFS(销售录入!$AA$5:$AA$404,销售录入!$Z$5:$Z$404,$A12,销售录入!$C$5:$C$404,首页!$B$5)+SUMIFS(销售录入!$AD$5:$AD$404,销售录入!$AC$5:$AC$404,$A12,销售录入!$C$5:$C$404,首页!$B$5)+SUMIFS(采购录入!$W$5:$W$404,采购录入!$V$5:$V$404,$A12,采购录入!$C$5:$C$404,首页!$B$5)+SUMIFS(采购录入!$Z$5:$Z$404,采购录入!$Y$5:$Y$404,$A12,采购录入!$C$5:$C$404,首页!$B$5)+SUMIFS(其他凭证!$H$5:$H$304,其他凭证!$G$5:$G$304,$A12,其他凭证!$C$5:$C$304,首页!$B$5))</f>
        <v>0</v>
      </c>
      <c r="I12" s="54" t="n">
        <f aca="false">IF($A12="","",SUMIFS(资金流水!$N$5:$N$504,资金流水!$O$5:$O$504,$A12,资金流水!$B$5:$B$504,"&lt;="&amp;首页!$B$7)+SUMIFS(销售录入!$X$5:$X$404,销售录入!$V$5:$V$404,$A12,销售录入!$B$5:$B$404,"&lt;="&amp;首页!$B$7)+SUMIFS(销售录入!$AA$5:$AA$404,销售录入!$Y$5:$Y$404,$A12,销售录入!$B$5:$B$404,"&lt;="&amp;首页!$B$7)+SUMIFS(销售录入!$AD$5:$AD$404,销售录入!$AB$5:$AB$404,$A12,销售录入!$B$5:$B$404,"&lt;="&amp;首页!$B$7)+SUMIFS(采购录入!$W$5:$W$404,采购录入!$U$5:$U$404,$A12,采购录入!$B$5:$B$404,"&lt;="&amp;首页!$B$7)+SUMIFS(采购录入!$Z$5:$Z$404,采购录入!$X$5:$X$404,$A12,采购录入!$B$5:$B$404,"&lt;="&amp;首页!$B$7)+SUMIFS(其他凭证!$H$5:$H$304,其他凭证!$F$5:$F$304,$A12,其他凭证!$B$5:$B$304,"&lt;="&amp;首页!$B$7))</f>
        <v>0</v>
      </c>
      <c r="J12" s="54" t="n">
        <f aca="false">IF($A12="","",SUMIFS(资金流水!$N$5:$N$504,资金流水!$P$5:$P$504,$A12,资金流水!$B$5:$B$504,"&lt;="&amp;首页!$B$7)+SUMIFS(销售录入!$X$5:$X$404,销售录入!$W$5:$W$404,$A12,销售录入!$B$5:$B$404,"&lt;="&amp;首页!$B$7)+SUMIFS(销售录入!$AA$5:$AA$404,销售录入!$Z$5:$Z$404,$A12,销售录入!$B$5:$B$404,"&lt;="&amp;首页!$B$7)+SUMIFS(销售录入!$AD$5:$AD$404,销售录入!$AC$5:$AC$404,$A12,销售录入!$B$5:$B$404,"&lt;="&amp;首页!$B$7)+SUMIFS(采购录入!$W$5:$W$404,采购录入!$V$5:$V$404,$A12,采购录入!$B$5:$B$404,"&lt;="&amp;首页!$B$7)+SUMIFS(采购录入!$Z$5:$Z$404,采购录入!$Y$5:$Y$404,$A12,采购录入!$B$5:$B$404,"&lt;="&amp;首页!$B$7)+SUMIFS(其他凭证!$H$5:$H$304,其他凭证!$G$5:$G$304,$A12,其他凭证!$B$5:$B$304,"&lt;="&amp;首页!$B$7))</f>
        <v>0</v>
      </c>
      <c r="K12" s="44" t="n">
        <f aca="false">IF($A12="","",($E12+$I12)-($F12+$J12))</f>
        <v>0</v>
      </c>
      <c r="L12" s="44" t="n">
        <f aca="false">IF($A12="","",IF($K12&gt;=0,$K12,0))</f>
        <v>0</v>
      </c>
      <c r="M12" s="44" t="n">
        <f aca="false">IF($A12="","",IF($K12&lt;0,-$K12,0))</f>
        <v>0</v>
      </c>
      <c r="N12" s="35" t="str">
        <f aca="false">IF($A12="","",科目参数!$F12)</f>
        <v>预付款项</v>
      </c>
      <c r="O12" s="35" t="n">
        <f aca="false">IF($A12="","",科目参数!$G12)</f>
        <v>0</v>
      </c>
      <c r="P12" s="42" t="str">
        <f aca="false">IF($A12="","",科目参数!$H12)</f>
        <v>经营活动</v>
      </c>
    </row>
    <row r="13" customFormat="false" ht="15.75" hidden="false" customHeight="true" outlineLevel="0" collapsed="false">
      <c r="A13" s="42" t="str">
        <f aca="false">IF(科目参数!$A13="","",科目参数!$A13)</f>
        <v>1131</v>
      </c>
      <c r="B13" s="35" t="str">
        <f aca="false">IF($A13="","",科目参数!$B13)</f>
        <v>应收股利</v>
      </c>
      <c r="C13" s="42" t="str">
        <f aca="false">IF($A13="","",科目参数!$C13)</f>
        <v>资产</v>
      </c>
      <c r="D13" s="42" t="str">
        <f aca="false">IF($A13="","",科目参数!$D13)</f>
        <v>借</v>
      </c>
      <c r="E13" s="54" t="n">
        <f aca="false">IF($A13="","",SUMIFS(期初数据!$Z$6:$Z$125,期初数据!$W$6:$W$125,$A13))</f>
        <v>0</v>
      </c>
      <c r="F13" s="54" t="n">
        <f aca="false">IF($A13="","",SUMIFS(期初数据!$AA$6:$AA$125,期初数据!$W$6:$W$125,$A13))</f>
        <v>0</v>
      </c>
      <c r="G13" s="54" t="n">
        <f aca="false">IF($A13="","",SUMIFS(资金流水!$N$5:$N$504,资金流水!$O$5:$O$504,$A13,资金流水!$C$5:$C$504,首页!$B$5)+SUMIFS(销售录入!$X$5:$X$404,销售录入!$V$5:$V$404,$A13,销售录入!$C$5:$C$404,首页!$B$5)+SUMIFS(销售录入!$AA$5:$AA$404,销售录入!$Y$5:$Y$404,$A13,销售录入!$C$5:$C$404,首页!$B$5)+SUMIFS(销售录入!$AD$5:$AD$404,销售录入!$AB$5:$AB$404,$A13,销售录入!$C$5:$C$404,首页!$B$5)+SUMIFS(采购录入!$W$5:$W$404,采购录入!$U$5:$U$404,$A13,采购录入!$C$5:$C$404,首页!$B$5)+SUMIFS(采购录入!$Z$5:$Z$404,采购录入!$X$5:$X$404,$A13,采购录入!$C$5:$C$404,首页!$B$5)+SUMIFS(其他凭证!$H$5:$H$304,其他凭证!$F$5:$F$304,$A13,其他凭证!$C$5:$C$304,首页!$B$5))</f>
        <v>0</v>
      </c>
      <c r="H13" s="54" t="n">
        <f aca="false">IF($A13="","",SUMIFS(资金流水!$N$5:$N$504,资金流水!$P$5:$P$504,$A13,资金流水!$C$5:$C$504,首页!$B$5)+SUMIFS(销售录入!$X$5:$X$404,销售录入!$W$5:$W$404,$A13,销售录入!$C$5:$C$404,首页!$B$5)+SUMIFS(销售录入!$AA$5:$AA$404,销售录入!$Z$5:$Z$404,$A13,销售录入!$C$5:$C$404,首页!$B$5)+SUMIFS(销售录入!$AD$5:$AD$404,销售录入!$AC$5:$AC$404,$A13,销售录入!$C$5:$C$404,首页!$B$5)+SUMIFS(采购录入!$W$5:$W$404,采购录入!$V$5:$V$404,$A13,采购录入!$C$5:$C$404,首页!$B$5)+SUMIFS(采购录入!$Z$5:$Z$404,采购录入!$Y$5:$Y$404,$A13,采购录入!$C$5:$C$404,首页!$B$5)+SUMIFS(其他凭证!$H$5:$H$304,其他凭证!$G$5:$G$304,$A13,其他凭证!$C$5:$C$304,首页!$B$5))</f>
        <v>0</v>
      </c>
      <c r="I13" s="54" t="n">
        <f aca="false">IF($A13="","",SUMIFS(资金流水!$N$5:$N$504,资金流水!$O$5:$O$504,$A13,资金流水!$B$5:$B$504,"&lt;="&amp;首页!$B$7)+SUMIFS(销售录入!$X$5:$X$404,销售录入!$V$5:$V$404,$A13,销售录入!$B$5:$B$404,"&lt;="&amp;首页!$B$7)+SUMIFS(销售录入!$AA$5:$AA$404,销售录入!$Y$5:$Y$404,$A13,销售录入!$B$5:$B$404,"&lt;="&amp;首页!$B$7)+SUMIFS(销售录入!$AD$5:$AD$404,销售录入!$AB$5:$AB$404,$A13,销售录入!$B$5:$B$404,"&lt;="&amp;首页!$B$7)+SUMIFS(采购录入!$W$5:$W$404,采购录入!$U$5:$U$404,$A13,采购录入!$B$5:$B$404,"&lt;="&amp;首页!$B$7)+SUMIFS(采购录入!$Z$5:$Z$404,采购录入!$X$5:$X$404,$A13,采购录入!$B$5:$B$404,"&lt;="&amp;首页!$B$7)+SUMIFS(其他凭证!$H$5:$H$304,其他凭证!$F$5:$F$304,$A13,其他凭证!$B$5:$B$304,"&lt;="&amp;首页!$B$7))</f>
        <v>0</v>
      </c>
      <c r="J13" s="54" t="n">
        <f aca="false">IF($A13="","",SUMIFS(资金流水!$N$5:$N$504,资金流水!$P$5:$P$504,$A13,资金流水!$B$5:$B$504,"&lt;="&amp;首页!$B$7)+SUMIFS(销售录入!$X$5:$X$404,销售录入!$W$5:$W$404,$A13,销售录入!$B$5:$B$404,"&lt;="&amp;首页!$B$7)+SUMIFS(销售录入!$AA$5:$AA$404,销售录入!$Z$5:$Z$404,$A13,销售录入!$B$5:$B$404,"&lt;="&amp;首页!$B$7)+SUMIFS(销售录入!$AD$5:$AD$404,销售录入!$AC$5:$AC$404,$A13,销售录入!$B$5:$B$404,"&lt;="&amp;首页!$B$7)+SUMIFS(采购录入!$W$5:$W$404,采购录入!$V$5:$V$404,$A13,采购录入!$B$5:$B$404,"&lt;="&amp;首页!$B$7)+SUMIFS(采购录入!$Z$5:$Z$404,采购录入!$Y$5:$Y$404,$A13,采购录入!$B$5:$B$404,"&lt;="&amp;首页!$B$7)+SUMIFS(其他凭证!$H$5:$H$304,其他凭证!$G$5:$G$304,$A13,其他凭证!$B$5:$B$304,"&lt;="&amp;首页!$B$7))</f>
        <v>0</v>
      </c>
      <c r="K13" s="44" t="n">
        <f aca="false">IF($A13="","",($E13+$I13)-($F13+$J13))</f>
        <v>0</v>
      </c>
      <c r="L13" s="44" t="n">
        <f aca="false">IF($A13="","",IF($K13&gt;=0,$K13,0))</f>
        <v>0</v>
      </c>
      <c r="M13" s="44" t="n">
        <f aca="false">IF($A13="","",IF($K13&lt;0,-$K13,0))</f>
        <v>0</v>
      </c>
      <c r="N13" s="35" t="str">
        <f aca="false">IF($A13="","",科目参数!$F13)</f>
        <v>其他应收款</v>
      </c>
      <c r="O13" s="35" t="n">
        <f aca="false">IF($A13="","",科目参数!$G13)</f>
        <v>0</v>
      </c>
      <c r="P13" s="42" t="str">
        <f aca="false">IF($A13="","",科目参数!$H13)</f>
        <v>投资活动</v>
      </c>
    </row>
    <row r="14" customFormat="false" ht="15.75" hidden="false" customHeight="true" outlineLevel="0" collapsed="false">
      <c r="A14" s="42" t="str">
        <f aca="false">IF(科目参数!$A14="","",科目参数!$A14)</f>
        <v>1132</v>
      </c>
      <c r="B14" s="35" t="str">
        <f aca="false">IF($A14="","",科目参数!$B14)</f>
        <v>应收利息</v>
      </c>
      <c r="C14" s="42" t="str">
        <f aca="false">IF($A14="","",科目参数!$C14)</f>
        <v>资产</v>
      </c>
      <c r="D14" s="42" t="str">
        <f aca="false">IF($A14="","",科目参数!$D14)</f>
        <v>借</v>
      </c>
      <c r="E14" s="54" t="n">
        <f aca="false">IF($A14="","",SUMIFS(期初数据!$Z$6:$Z$125,期初数据!$W$6:$W$125,$A14))</f>
        <v>0</v>
      </c>
      <c r="F14" s="54" t="n">
        <f aca="false">IF($A14="","",SUMIFS(期初数据!$AA$6:$AA$125,期初数据!$W$6:$W$125,$A14))</f>
        <v>0</v>
      </c>
      <c r="G14" s="54" t="n">
        <f aca="false">IF($A14="","",SUMIFS(资金流水!$N$5:$N$504,资金流水!$O$5:$O$504,$A14,资金流水!$C$5:$C$504,首页!$B$5)+SUMIFS(销售录入!$X$5:$X$404,销售录入!$V$5:$V$404,$A14,销售录入!$C$5:$C$404,首页!$B$5)+SUMIFS(销售录入!$AA$5:$AA$404,销售录入!$Y$5:$Y$404,$A14,销售录入!$C$5:$C$404,首页!$B$5)+SUMIFS(销售录入!$AD$5:$AD$404,销售录入!$AB$5:$AB$404,$A14,销售录入!$C$5:$C$404,首页!$B$5)+SUMIFS(采购录入!$W$5:$W$404,采购录入!$U$5:$U$404,$A14,采购录入!$C$5:$C$404,首页!$B$5)+SUMIFS(采购录入!$Z$5:$Z$404,采购录入!$X$5:$X$404,$A14,采购录入!$C$5:$C$404,首页!$B$5)+SUMIFS(其他凭证!$H$5:$H$304,其他凭证!$F$5:$F$304,$A14,其他凭证!$C$5:$C$304,首页!$B$5))</f>
        <v>0</v>
      </c>
      <c r="H14" s="54" t="n">
        <f aca="false">IF($A14="","",SUMIFS(资金流水!$N$5:$N$504,资金流水!$P$5:$P$504,$A14,资金流水!$C$5:$C$504,首页!$B$5)+SUMIFS(销售录入!$X$5:$X$404,销售录入!$W$5:$W$404,$A14,销售录入!$C$5:$C$404,首页!$B$5)+SUMIFS(销售录入!$AA$5:$AA$404,销售录入!$Z$5:$Z$404,$A14,销售录入!$C$5:$C$404,首页!$B$5)+SUMIFS(销售录入!$AD$5:$AD$404,销售录入!$AC$5:$AC$404,$A14,销售录入!$C$5:$C$404,首页!$B$5)+SUMIFS(采购录入!$W$5:$W$404,采购录入!$V$5:$V$404,$A14,采购录入!$C$5:$C$404,首页!$B$5)+SUMIFS(采购录入!$Z$5:$Z$404,采购录入!$Y$5:$Y$404,$A14,采购录入!$C$5:$C$404,首页!$B$5)+SUMIFS(其他凭证!$H$5:$H$304,其他凭证!$G$5:$G$304,$A14,其他凭证!$C$5:$C$304,首页!$B$5))</f>
        <v>0</v>
      </c>
      <c r="I14" s="54" t="n">
        <f aca="false">IF($A14="","",SUMIFS(资金流水!$N$5:$N$504,资金流水!$O$5:$O$504,$A14,资金流水!$B$5:$B$504,"&lt;="&amp;首页!$B$7)+SUMIFS(销售录入!$X$5:$X$404,销售录入!$V$5:$V$404,$A14,销售录入!$B$5:$B$404,"&lt;="&amp;首页!$B$7)+SUMIFS(销售录入!$AA$5:$AA$404,销售录入!$Y$5:$Y$404,$A14,销售录入!$B$5:$B$404,"&lt;="&amp;首页!$B$7)+SUMIFS(销售录入!$AD$5:$AD$404,销售录入!$AB$5:$AB$404,$A14,销售录入!$B$5:$B$404,"&lt;="&amp;首页!$B$7)+SUMIFS(采购录入!$W$5:$W$404,采购录入!$U$5:$U$404,$A14,采购录入!$B$5:$B$404,"&lt;="&amp;首页!$B$7)+SUMIFS(采购录入!$Z$5:$Z$404,采购录入!$X$5:$X$404,$A14,采购录入!$B$5:$B$404,"&lt;="&amp;首页!$B$7)+SUMIFS(其他凭证!$H$5:$H$304,其他凭证!$F$5:$F$304,$A14,其他凭证!$B$5:$B$304,"&lt;="&amp;首页!$B$7))</f>
        <v>0</v>
      </c>
      <c r="J14" s="54" t="n">
        <f aca="false">IF($A14="","",SUMIFS(资金流水!$N$5:$N$504,资金流水!$P$5:$P$504,$A14,资金流水!$B$5:$B$504,"&lt;="&amp;首页!$B$7)+SUMIFS(销售录入!$X$5:$X$404,销售录入!$W$5:$W$404,$A14,销售录入!$B$5:$B$404,"&lt;="&amp;首页!$B$7)+SUMIFS(销售录入!$AA$5:$AA$404,销售录入!$Z$5:$Z$404,$A14,销售录入!$B$5:$B$404,"&lt;="&amp;首页!$B$7)+SUMIFS(销售录入!$AD$5:$AD$404,销售录入!$AC$5:$AC$404,$A14,销售录入!$B$5:$B$404,"&lt;="&amp;首页!$B$7)+SUMIFS(采购录入!$W$5:$W$404,采购录入!$V$5:$V$404,$A14,采购录入!$B$5:$B$404,"&lt;="&amp;首页!$B$7)+SUMIFS(采购录入!$Z$5:$Z$404,采购录入!$Y$5:$Y$404,$A14,采购录入!$B$5:$B$404,"&lt;="&amp;首页!$B$7)+SUMIFS(其他凭证!$H$5:$H$304,其他凭证!$G$5:$G$304,$A14,其他凭证!$B$5:$B$304,"&lt;="&amp;首页!$B$7))</f>
        <v>0</v>
      </c>
      <c r="K14" s="44" t="n">
        <f aca="false">IF($A14="","",($E14+$I14)-($F14+$J14))</f>
        <v>0</v>
      </c>
      <c r="L14" s="44" t="n">
        <f aca="false">IF($A14="","",IF($K14&gt;=0,$K14,0))</f>
        <v>0</v>
      </c>
      <c r="M14" s="44" t="n">
        <f aca="false">IF($A14="","",IF($K14&lt;0,-$K14,0))</f>
        <v>0</v>
      </c>
      <c r="N14" s="35" t="str">
        <f aca="false">IF($A14="","",科目参数!$F14)</f>
        <v>其他应收款</v>
      </c>
      <c r="O14" s="35" t="n">
        <f aca="false">IF($A14="","",科目参数!$G14)</f>
        <v>0</v>
      </c>
      <c r="P14" s="42" t="str">
        <f aca="false">IF($A14="","",科目参数!$H14)</f>
        <v>投资活动</v>
      </c>
    </row>
    <row r="15" customFormat="false" ht="15.75" hidden="false" customHeight="true" outlineLevel="0" collapsed="false">
      <c r="A15" s="42" t="str">
        <f aca="false">IF(科目参数!$A15="","",科目参数!$A15)</f>
        <v>1221</v>
      </c>
      <c r="B15" s="35" t="str">
        <f aca="false">IF($A15="","",科目参数!$B15)</f>
        <v>其他应收款</v>
      </c>
      <c r="C15" s="42" t="str">
        <f aca="false">IF($A15="","",科目参数!$C15)</f>
        <v>资产</v>
      </c>
      <c r="D15" s="42" t="str">
        <f aca="false">IF($A15="","",科目参数!$D15)</f>
        <v>借</v>
      </c>
      <c r="E15" s="54" t="n">
        <f aca="false">IF($A15="","",SUMIFS(期初数据!$Z$6:$Z$125,期初数据!$W$6:$W$125,$A15))</f>
        <v>0</v>
      </c>
      <c r="F15" s="54" t="n">
        <f aca="false">IF($A15="","",SUMIFS(期初数据!$AA$6:$AA$125,期初数据!$W$6:$W$125,$A15))</f>
        <v>0</v>
      </c>
      <c r="G15" s="54" t="n">
        <f aca="false">IF($A15="","",SUMIFS(资金流水!$N$5:$N$504,资金流水!$O$5:$O$504,$A15,资金流水!$C$5:$C$504,首页!$B$5)+SUMIFS(销售录入!$X$5:$X$404,销售录入!$V$5:$V$404,$A15,销售录入!$C$5:$C$404,首页!$B$5)+SUMIFS(销售录入!$AA$5:$AA$404,销售录入!$Y$5:$Y$404,$A15,销售录入!$C$5:$C$404,首页!$B$5)+SUMIFS(销售录入!$AD$5:$AD$404,销售录入!$AB$5:$AB$404,$A15,销售录入!$C$5:$C$404,首页!$B$5)+SUMIFS(采购录入!$W$5:$W$404,采购录入!$U$5:$U$404,$A15,采购录入!$C$5:$C$404,首页!$B$5)+SUMIFS(采购录入!$Z$5:$Z$404,采购录入!$X$5:$X$404,$A15,采购录入!$C$5:$C$404,首页!$B$5)+SUMIFS(其他凭证!$H$5:$H$304,其他凭证!$F$5:$F$304,$A15,其他凭证!$C$5:$C$304,首页!$B$5))</f>
        <v>0</v>
      </c>
      <c r="H15" s="54" t="n">
        <f aca="false">IF($A15="","",SUMIFS(资金流水!$N$5:$N$504,资金流水!$P$5:$P$504,$A15,资金流水!$C$5:$C$504,首页!$B$5)+SUMIFS(销售录入!$X$5:$X$404,销售录入!$W$5:$W$404,$A15,销售录入!$C$5:$C$404,首页!$B$5)+SUMIFS(销售录入!$AA$5:$AA$404,销售录入!$Z$5:$Z$404,$A15,销售录入!$C$5:$C$404,首页!$B$5)+SUMIFS(销售录入!$AD$5:$AD$404,销售录入!$AC$5:$AC$404,$A15,销售录入!$C$5:$C$404,首页!$B$5)+SUMIFS(采购录入!$W$5:$W$404,采购录入!$V$5:$V$404,$A15,采购录入!$C$5:$C$404,首页!$B$5)+SUMIFS(采购录入!$Z$5:$Z$404,采购录入!$Y$5:$Y$404,$A15,采购录入!$C$5:$C$404,首页!$B$5)+SUMIFS(其他凭证!$H$5:$H$304,其他凭证!$G$5:$G$304,$A15,其他凭证!$C$5:$C$304,首页!$B$5))</f>
        <v>0</v>
      </c>
      <c r="I15" s="54" t="n">
        <f aca="false">IF($A15="","",SUMIFS(资金流水!$N$5:$N$504,资金流水!$O$5:$O$504,$A15,资金流水!$B$5:$B$504,"&lt;="&amp;首页!$B$7)+SUMIFS(销售录入!$X$5:$X$404,销售录入!$V$5:$V$404,$A15,销售录入!$B$5:$B$404,"&lt;="&amp;首页!$B$7)+SUMIFS(销售录入!$AA$5:$AA$404,销售录入!$Y$5:$Y$404,$A15,销售录入!$B$5:$B$404,"&lt;="&amp;首页!$B$7)+SUMIFS(销售录入!$AD$5:$AD$404,销售录入!$AB$5:$AB$404,$A15,销售录入!$B$5:$B$404,"&lt;="&amp;首页!$B$7)+SUMIFS(采购录入!$W$5:$W$404,采购录入!$U$5:$U$404,$A15,采购录入!$B$5:$B$404,"&lt;="&amp;首页!$B$7)+SUMIFS(采购录入!$Z$5:$Z$404,采购录入!$X$5:$X$404,$A15,采购录入!$B$5:$B$404,"&lt;="&amp;首页!$B$7)+SUMIFS(其他凭证!$H$5:$H$304,其他凭证!$F$5:$F$304,$A15,其他凭证!$B$5:$B$304,"&lt;="&amp;首页!$B$7))</f>
        <v>0</v>
      </c>
      <c r="J15" s="54" t="n">
        <f aca="false">IF($A15="","",SUMIFS(资金流水!$N$5:$N$504,资金流水!$P$5:$P$504,$A15,资金流水!$B$5:$B$504,"&lt;="&amp;首页!$B$7)+SUMIFS(销售录入!$X$5:$X$404,销售录入!$W$5:$W$404,$A15,销售录入!$B$5:$B$404,"&lt;="&amp;首页!$B$7)+SUMIFS(销售录入!$AA$5:$AA$404,销售录入!$Z$5:$Z$404,$A15,销售录入!$B$5:$B$404,"&lt;="&amp;首页!$B$7)+SUMIFS(销售录入!$AD$5:$AD$404,销售录入!$AC$5:$AC$404,$A15,销售录入!$B$5:$B$404,"&lt;="&amp;首页!$B$7)+SUMIFS(采购录入!$W$5:$W$404,采购录入!$V$5:$V$404,$A15,采购录入!$B$5:$B$404,"&lt;="&amp;首页!$B$7)+SUMIFS(采购录入!$Z$5:$Z$404,采购录入!$Y$5:$Y$404,$A15,采购录入!$B$5:$B$404,"&lt;="&amp;首页!$B$7)+SUMIFS(其他凭证!$H$5:$H$304,其他凭证!$G$5:$G$304,$A15,其他凭证!$B$5:$B$304,"&lt;="&amp;首页!$B$7))</f>
        <v>0</v>
      </c>
      <c r="K15" s="44" t="n">
        <f aca="false">IF($A15="","",($E15+$I15)-($F15+$J15))</f>
        <v>0</v>
      </c>
      <c r="L15" s="44" t="n">
        <f aca="false">IF($A15="","",IF($K15&gt;=0,$K15,0))</f>
        <v>0</v>
      </c>
      <c r="M15" s="44" t="n">
        <f aca="false">IF($A15="","",IF($K15&lt;0,-$K15,0))</f>
        <v>0</v>
      </c>
      <c r="N15" s="35" t="str">
        <f aca="false">IF($A15="","",科目参数!$F15)</f>
        <v>其他应收款</v>
      </c>
      <c r="O15" s="35" t="n">
        <f aca="false">IF($A15="","",科目参数!$G15)</f>
        <v>0</v>
      </c>
      <c r="P15" s="42" t="str">
        <f aca="false">IF($A15="","",科目参数!$H15)</f>
        <v>经营活动</v>
      </c>
    </row>
    <row r="16" customFormat="false" ht="15.75" hidden="false" customHeight="true" outlineLevel="0" collapsed="false">
      <c r="A16" s="42" t="str">
        <f aca="false">IF(科目参数!$A16="","",科目参数!$A16)</f>
        <v>1231</v>
      </c>
      <c r="B16" s="35" t="str">
        <f aca="false">IF($A16="","",科目参数!$B16)</f>
        <v>坏账准备</v>
      </c>
      <c r="C16" s="42" t="str">
        <f aca="false">IF($A16="","",科目参数!$C16)</f>
        <v>资产</v>
      </c>
      <c r="D16" s="42" t="str">
        <f aca="false">IF($A16="","",科目参数!$D16)</f>
        <v>贷</v>
      </c>
      <c r="E16" s="54" t="n">
        <f aca="false">IF($A16="","",SUMIFS(期初数据!$Z$6:$Z$125,期初数据!$W$6:$W$125,$A16))</f>
        <v>0</v>
      </c>
      <c r="F16" s="54" t="n">
        <f aca="false">IF($A16="","",SUMIFS(期初数据!$AA$6:$AA$125,期初数据!$W$6:$W$125,$A16))</f>
        <v>0</v>
      </c>
      <c r="G16" s="54" t="n">
        <f aca="false">IF($A16="","",SUMIFS(资金流水!$N$5:$N$504,资金流水!$O$5:$O$504,$A16,资金流水!$C$5:$C$504,首页!$B$5)+SUMIFS(销售录入!$X$5:$X$404,销售录入!$V$5:$V$404,$A16,销售录入!$C$5:$C$404,首页!$B$5)+SUMIFS(销售录入!$AA$5:$AA$404,销售录入!$Y$5:$Y$404,$A16,销售录入!$C$5:$C$404,首页!$B$5)+SUMIFS(销售录入!$AD$5:$AD$404,销售录入!$AB$5:$AB$404,$A16,销售录入!$C$5:$C$404,首页!$B$5)+SUMIFS(采购录入!$W$5:$W$404,采购录入!$U$5:$U$404,$A16,采购录入!$C$5:$C$404,首页!$B$5)+SUMIFS(采购录入!$Z$5:$Z$404,采购录入!$X$5:$X$404,$A16,采购录入!$C$5:$C$404,首页!$B$5)+SUMIFS(其他凭证!$H$5:$H$304,其他凭证!$F$5:$F$304,$A16,其他凭证!$C$5:$C$304,首页!$B$5))</f>
        <v>0</v>
      </c>
      <c r="H16" s="54" t="n">
        <f aca="false">IF($A16="","",SUMIFS(资金流水!$N$5:$N$504,资金流水!$P$5:$P$504,$A16,资金流水!$C$5:$C$504,首页!$B$5)+SUMIFS(销售录入!$X$5:$X$404,销售录入!$W$5:$W$404,$A16,销售录入!$C$5:$C$404,首页!$B$5)+SUMIFS(销售录入!$AA$5:$AA$404,销售录入!$Z$5:$Z$404,$A16,销售录入!$C$5:$C$404,首页!$B$5)+SUMIFS(销售录入!$AD$5:$AD$404,销售录入!$AC$5:$AC$404,$A16,销售录入!$C$5:$C$404,首页!$B$5)+SUMIFS(采购录入!$W$5:$W$404,采购录入!$V$5:$V$404,$A16,采购录入!$C$5:$C$404,首页!$B$5)+SUMIFS(采购录入!$Z$5:$Z$404,采购录入!$Y$5:$Y$404,$A16,采购录入!$C$5:$C$404,首页!$B$5)+SUMIFS(其他凭证!$H$5:$H$304,其他凭证!$G$5:$G$304,$A16,其他凭证!$C$5:$C$304,首页!$B$5))</f>
        <v>0</v>
      </c>
      <c r="I16" s="54" t="n">
        <f aca="false">IF($A16="","",SUMIFS(资金流水!$N$5:$N$504,资金流水!$O$5:$O$504,$A16,资金流水!$B$5:$B$504,"&lt;="&amp;首页!$B$7)+SUMIFS(销售录入!$X$5:$X$404,销售录入!$V$5:$V$404,$A16,销售录入!$B$5:$B$404,"&lt;="&amp;首页!$B$7)+SUMIFS(销售录入!$AA$5:$AA$404,销售录入!$Y$5:$Y$404,$A16,销售录入!$B$5:$B$404,"&lt;="&amp;首页!$B$7)+SUMIFS(销售录入!$AD$5:$AD$404,销售录入!$AB$5:$AB$404,$A16,销售录入!$B$5:$B$404,"&lt;="&amp;首页!$B$7)+SUMIFS(采购录入!$W$5:$W$404,采购录入!$U$5:$U$404,$A16,采购录入!$B$5:$B$404,"&lt;="&amp;首页!$B$7)+SUMIFS(采购录入!$Z$5:$Z$404,采购录入!$X$5:$X$404,$A16,采购录入!$B$5:$B$404,"&lt;="&amp;首页!$B$7)+SUMIFS(其他凭证!$H$5:$H$304,其他凭证!$F$5:$F$304,$A16,其他凭证!$B$5:$B$304,"&lt;="&amp;首页!$B$7))</f>
        <v>0</v>
      </c>
      <c r="J16" s="54" t="n">
        <f aca="false">IF($A16="","",SUMIFS(资金流水!$N$5:$N$504,资金流水!$P$5:$P$504,$A16,资金流水!$B$5:$B$504,"&lt;="&amp;首页!$B$7)+SUMIFS(销售录入!$X$5:$X$404,销售录入!$W$5:$W$404,$A16,销售录入!$B$5:$B$404,"&lt;="&amp;首页!$B$7)+SUMIFS(销售录入!$AA$5:$AA$404,销售录入!$Z$5:$Z$404,$A16,销售录入!$B$5:$B$404,"&lt;="&amp;首页!$B$7)+SUMIFS(销售录入!$AD$5:$AD$404,销售录入!$AC$5:$AC$404,$A16,销售录入!$B$5:$B$404,"&lt;="&amp;首页!$B$7)+SUMIFS(采购录入!$W$5:$W$404,采购录入!$V$5:$V$404,$A16,采购录入!$B$5:$B$404,"&lt;="&amp;首页!$B$7)+SUMIFS(采购录入!$Z$5:$Z$404,采购录入!$Y$5:$Y$404,$A16,采购录入!$B$5:$B$404,"&lt;="&amp;首页!$B$7)+SUMIFS(其他凭证!$H$5:$H$304,其他凭证!$G$5:$G$304,$A16,其他凭证!$B$5:$B$304,"&lt;="&amp;首页!$B$7))</f>
        <v>0</v>
      </c>
      <c r="K16" s="44" t="n">
        <f aca="false">IF($A16="","",($E16+$I16)-($F16+$J16))</f>
        <v>0</v>
      </c>
      <c r="L16" s="44" t="n">
        <f aca="false">IF($A16="","",IF($K16&gt;=0,$K16,0))</f>
        <v>0</v>
      </c>
      <c r="M16" s="44" t="n">
        <f aca="false">IF($A16="","",IF($K16&lt;0,-$K16,0))</f>
        <v>0</v>
      </c>
      <c r="N16" s="35" t="str">
        <f aca="false">IF($A16="","",科目参数!$F16)</f>
        <v>应收账款</v>
      </c>
      <c r="O16" s="35" t="n">
        <f aca="false">IF($A16="","",科目参数!$G16)</f>
        <v>0</v>
      </c>
      <c r="P16" s="42" t="str">
        <f aca="false">IF($A16="","",科目参数!$H16)</f>
        <v>非现金</v>
      </c>
    </row>
    <row r="17" customFormat="false" ht="15.75" hidden="false" customHeight="true" outlineLevel="0" collapsed="false">
      <c r="A17" s="42" t="str">
        <f aca="false">IF(科目参数!$A17="","",科目参数!$A17)</f>
        <v>1401</v>
      </c>
      <c r="B17" s="35" t="str">
        <f aca="false">IF($A17="","",科目参数!$B17)</f>
        <v>材料采购</v>
      </c>
      <c r="C17" s="42" t="str">
        <f aca="false">IF($A17="","",科目参数!$C17)</f>
        <v>资产</v>
      </c>
      <c r="D17" s="42" t="str">
        <f aca="false">IF($A17="","",科目参数!$D17)</f>
        <v>借</v>
      </c>
      <c r="E17" s="54" t="n">
        <f aca="false">IF($A17="","",SUMIFS(期初数据!$Z$6:$Z$125,期初数据!$W$6:$W$125,$A17))</f>
        <v>0</v>
      </c>
      <c r="F17" s="54" t="n">
        <f aca="false">IF($A17="","",SUMIFS(期初数据!$AA$6:$AA$125,期初数据!$W$6:$W$125,$A17))</f>
        <v>0</v>
      </c>
      <c r="G17" s="54" t="n">
        <f aca="false">IF($A17="","",SUMIFS(资金流水!$N$5:$N$504,资金流水!$O$5:$O$504,$A17,资金流水!$C$5:$C$504,首页!$B$5)+SUMIFS(销售录入!$X$5:$X$404,销售录入!$V$5:$V$404,$A17,销售录入!$C$5:$C$404,首页!$B$5)+SUMIFS(销售录入!$AA$5:$AA$404,销售录入!$Y$5:$Y$404,$A17,销售录入!$C$5:$C$404,首页!$B$5)+SUMIFS(销售录入!$AD$5:$AD$404,销售录入!$AB$5:$AB$404,$A17,销售录入!$C$5:$C$404,首页!$B$5)+SUMIFS(采购录入!$W$5:$W$404,采购录入!$U$5:$U$404,$A17,采购录入!$C$5:$C$404,首页!$B$5)+SUMIFS(采购录入!$Z$5:$Z$404,采购录入!$X$5:$X$404,$A17,采购录入!$C$5:$C$404,首页!$B$5)+SUMIFS(其他凭证!$H$5:$H$304,其他凭证!$F$5:$F$304,$A17,其他凭证!$C$5:$C$304,首页!$B$5))</f>
        <v>0</v>
      </c>
      <c r="H17" s="54" t="n">
        <f aca="false">IF($A17="","",SUMIFS(资金流水!$N$5:$N$504,资金流水!$P$5:$P$504,$A17,资金流水!$C$5:$C$504,首页!$B$5)+SUMIFS(销售录入!$X$5:$X$404,销售录入!$W$5:$W$404,$A17,销售录入!$C$5:$C$404,首页!$B$5)+SUMIFS(销售录入!$AA$5:$AA$404,销售录入!$Z$5:$Z$404,$A17,销售录入!$C$5:$C$404,首页!$B$5)+SUMIFS(销售录入!$AD$5:$AD$404,销售录入!$AC$5:$AC$404,$A17,销售录入!$C$5:$C$404,首页!$B$5)+SUMIFS(采购录入!$W$5:$W$404,采购录入!$V$5:$V$404,$A17,采购录入!$C$5:$C$404,首页!$B$5)+SUMIFS(采购录入!$Z$5:$Z$404,采购录入!$Y$5:$Y$404,$A17,采购录入!$C$5:$C$404,首页!$B$5)+SUMIFS(其他凭证!$H$5:$H$304,其他凭证!$G$5:$G$304,$A17,其他凭证!$C$5:$C$304,首页!$B$5))</f>
        <v>0</v>
      </c>
      <c r="I17" s="54" t="n">
        <f aca="false">IF($A17="","",SUMIFS(资金流水!$N$5:$N$504,资金流水!$O$5:$O$504,$A17,资金流水!$B$5:$B$504,"&lt;="&amp;首页!$B$7)+SUMIFS(销售录入!$X$5:$X$404,销售录入!$V$5:$V$404,$A17,销售录入!$B$5:$B$404,"&lt;="&amp;首页!$B$7)+SUMIFS(销售录入!$AA$5:$AA$404,销售录入!$Y$5:$Y$404,$A17,销售录入!$B$5:$B$404,"&lt;="&amp;首页!$B$7)+SUMIFS(销售录入!$AD$5:$AD$404,销售录入!$AB$5:$AB$404,$A17,销售录入!$B$5:$B$404,"&lt;="&amp;首页!$B$7)+SUMIFS(采购录入!$W$5:$W$404,采购录入!$U$5:$U$404,$A17,采购录入!$B$5:$B$404,"&lt;="&amp;首页!$B$7)+SUMIFS(采购录入!$Z$5:$Z$404,采购录入!$X$5:$X$404,$A17,采购录入!$B$5:$B$404,"&lt;="&amp;首页!$B$7)+SUMIFS(其他凭证!$H$5:$H$304,其他凭证!$F$5:$F$304,$A17,其他凭证!$B$5:$B$304,"&lt;="&amp;首页!$B$7))</f>
        <v>0</v>
      </c>
      <c r="J17" s="54" t="n">
        <f aca="false">IF($A17="","",SUMIFS(资金流水!$N$5:$N$504,资金流水!$P$5:$P$504,$A17,资金流水!$B$5:$B$504,"&lt;="&amp;首页!$B$7)+SUMIFS(销售录入!$X$5:$X$404,销售录入!$W$5:$W$404,$A17,销售录入!$B$5:$B$404,"&lt;="&amp;首页!$B$7)+SUMIFS(销售录入!$AA$5:$AA$404,销售录入!$Z$5:$Z$404,$A17,销售录入!$B$5:$B$404,"&lt;="&amp;首页!$B$7)+SUMIFS(销售录入!$AD$5:$AD$404,销售录入!$AC$5:$AC$404,$A17,销售录入!$B$5:$B$404,"&lt;="&amp;首页!$B$7)+SUMIFS(采购录入!$W$5:$W$404,采购录入!$V$5:$V$404,$A17,采购录入!$B$5:$B$404,"&lt;="&amp;首页!$B$7)+SUMIFS(采购录入!$Z$5:$Z$404,采购录入!$Y$5:$Y$404,$A17,采购录入!$B$5:$B$404,"&lt;="&amp;首页!$B$7)+SUMIFS(其他凭证!$H$5:$H$304,其他凭证!$G$5:$G$304,$A17,其他凭证!$B$5:$B$304,"&lt;="&amp;首页!$B$7))</f>
        <v>0</v>
      </c>
      <c r="K17" s="44" t="n">
        <f aca="false">IF($A17="","",($E17+$I17)-($F17+$J17))</f>
        <v>0</v>
      </c>
      <c r="L17" s="44" t="n">
        <f aca="false">IF($A17="","",IF($K17&gt;=0,$K17,0))</f>
        <v>0</v>
      </c>
      <c r="M17" s="44" t="n">
        <f aca="false">IF($A17="","",IF($K17&lt;0,-$K17,0))</f>
        <v>0</v>
      </c>
      <c r="N17" s="35" t="str">
        <f aca="false">IF($A17="","",科目参数!$F17)</f>
        <v>存货</v>
      </c>
      <c r="O17" s="35" t="n">
        <f aca="false">IF($A17="","",科目参数!$G17)</f>
        <v>0</v>
      </c>
      <c r="P17" s="42" t="str">
        <f aca="false">IF($A17="","",科目参数!$H17)</f>
        <v>经营活动</v>
      </c>
    </row>
    <row r="18" customFormat="false" ht="15.75" hidden="false" customHeight="true" outlineLevel="0" collapsed="false">
      <c r="A18" s="42" t="str">
        <f aca="false">IF(科目参数!$A18="","",科目参数!$A18)</f>
        <v>1402</v>
      </c>
      <c r="B18" s="35" t="str">
        <f aca="false">IF($A18="","",科目参数!$B18)</f>
        <v>在途物资</v>
      </c>
      <c r="C18" s="42" t="str">
        <f aca="false">IF($A18="","",科目参数!$C18)</f>
        <v>资产</v>
      </c>
      <c r="D18" s="42" t="str">
        <f aca="false">IF($A18="","",科目参数!$D18)</f>
        <v>借</v>
      </c>
      <c r="E18" s="54" t="n">
        <f aca="false">IF($A18="","",SUMIFS(期初数据!$Z$6:$Z$125,期初数据!$W$6:$W$125,$A18))</f>
        <v>0</v>
      </c>
      <c r="F18" s="54" t="n">
        <f aca="false">IF($A18="","",SUMIFS(期初数据!$AA$6:$AA$125,期初数据!$W$6:$W$125,$A18))</f>
        <v>0</v>
      </c>
      <c r="G18" s="54" t="n">
        <f aca="false">IF($A18="","",SUMIFS(资金流水!$N$5:$N$504,资金流水!$O$5:$O$504,$A18,资金流水!$C$5:$C$504,首页!$B$5)+SUMIFS(销售录入!$X$5:$X$404,销售录入!$V$5:$V$404,$A18,销售录入!$C$5:$C$404,首页!$B$5)+SUMIFS(销售录入!$AA$5:$AA$404,销售录入!$Y$5:$Y$404,$A18,销售录入!$C$5:$C$404,首页!$B$5)+SUMIFS(销售录入!$AD$5:$AD$404,销售录入!$AB$5:$AB$404,$A18,销售录入!$C$5:$C$404,首页!$B$5)+SUMIFS(采购录入!$W$5:$W$404,采购录入!$U$5:$U$404,$A18,采购录入!$C$5:$C$404,首页!$B$5)+SUMIFS(采购录入!$Z$5:$Z$404,采购录入!$X$5:$X$404,$A18,采购录入!$C$5:$C$404,首页!$B$5)+SUMIFS(其他凭证!$H$5:$H$304,其他凭证!$F$5:$F$304,$A18,其他凭证!$C$5:$C$304,首页!$B$5))</f>
        <v>0</v>
      </c>
      <c r="H18" s="54" t="n">
        <f aca="false">IF($A18="","",SUMIFS(资金流水!$N$5:$N$504,资金流水!$P$5:$P$504,$A18,资金流水!$C$5:$C$504,首页!$B$5)+SUMIFS(销售录入!$X$5:$X$404,销售录入!$W$5:$W$404,$A18,销售录入!$C$5:$C$404,首页!$B$5)+SUMIFS(销售录入!$AA$5:$AA$404,销售录入!$Z$5:$Z$404,$A18,销售录入!$C$5:$C$404,首页!$B$5)+SUMIFS(销售录入!$AD$5:$AD$404,销售录入!$AC$5:$AC$404,$A18,销售录入!$C$5:$C$404,首页!$B$5)+SUMIFS(采购录入!$W$5:$W$404,采购录入!$V$5:$V$404,$A18,采购录入!$C$5:$C$404,首页!$B$5)+SUMIFS(采购录入!$Z$5:$Z$404,采购录入!$Y$5:$Y$404,$A18,采购录入!$C$5:$C$404,首页!$B$5)+SUMIFS(其他凭证!$H$5:$H$304,其他凭证!$G$5:$G$304,$A18,其他凭证!$C$5:$C$304,首页!$B$5))</f>
        <v>0</v>
      </c>
      <c r="I18" s="54" t="n">
        <f aca="false">IF($A18="","",SUMIFS(资金流水!$N$5:$N$504,资金流水!$O$5:$O$504,$A18,资金流水!$B$5:$B$504,"&lt;="&amp;首页!$B$7)+SUMIFS(销售录入!$X$5:$X$404,销售录入!$V$5:$V$404,$A18,销售录入!$B$5:$B$404,"&lt;="&amp;首页!$B$7)+SUMIFS(销售录入!$AA$5:$AA$404,销售录入!$Y$5:$Y$404,$A18,销售录入!$B$5:$B$404,"&lt;="&amp;首页!$B$7)+SUMIFS(销售录入!$AD$5:$AD$404,销售录入!$AB$5:$AB$404,$A18,销售录入!$B$5:$B$404,"&lt;="&amp;首页!$B$7)+SUMIFS(采购录入!$W$5:$W$404,采购录入!$U$5:$U$404,$A18,采购录入!$B$5:$B$404,"&lt;="&amp;首页!$B$7)+SUMIFS(采购录入!$Z$5:$Z$404,采购录入!$X$5:$X$404,$A18,采购录入!$B$5:$B$404,"&lt;="&amp;首页!$B$7)+SUMIFS(其他凭证!$H$5:$H$304,其他凭证!$F$5:$F$304,$A18,其他凭证!$B$5:$B$304,"&lt;="&amp;首页!$B$7))</f>
        <v>0</v>
      </c>
      <c r="J18" s="54" t="n">
        <f aca="false">IF($A18="","",SUMIFS(资金流水!$N$5:$N$504,资金流水!$P$5:$P$504,$A18,资金流水!$B$5:$B$504,"&lt;="&amp;首页!$B$7)+SUMIFS(销售录入!$X$5:$X$404,销售录入!$W$5:$W$404,$A18,销售录入!$B$5:$B$404,"&lt;="&amp;首页!$B$7)+SUMIFS(销售录入!$AA$5:$AA$404,销售录入!$Z$5:$Z$404,$A18,销售录入!$B$5:$B$404,"&lt;="&amp;首页!$B$7)+SUMIFS(销售录入!$AD$5:$AD$404,销售录入!$AC$5:$AC$404,$A18,销售录入!$B$5:$B$404,"&lt;="&amp;首页!$B$7)+SUMIFS(采购录入!$W$5:$W$404,采购录入!$V$5:$V$404,$A18,采购录入!$B$5:$B$404,"&lt;="&amp;首页!$B$7)+SUMIFS(采购录入!$Z$5:$Z$404,采购录入!$Y$5:$Y$404,$A18,采购录入!$B$5:$B$404,"&lt;="&amp;首页!$B$7)+SUMIFS(其他凭证!$H$5:$H$304,其他凭证!$G$5:$G$304,$A18,其他凭证!$B$5:$B$304,"&lt;="&amp;首页!$B$7))</f>
        <v>0</v>
      </c>
      <c r="K18" s="44" t="n">
        <f aca="false">IF($A18="","",($E18+$I18)-($F18+$J18))</f>
        <v>0</v>
      </c>
      <c r="L18" s="44" t="n">
        <f aca="false">IF($A18="","",IF($K18&gt;=0,$K18,0))</f>
        <v>0</v>
      </c>
      <c r="M18" s="44" t="n">
        <f aca="false">IF($A18="","",IF($K18&lt;0,-$K18,0))</f>
        <v>0</v>
      </c>
      <c r="N18" s="35" t="str">
        <f aca="false">IF($A18="","",科目参数!$F18)</f>
        <v>存货</v>
      </c>
      <c r="O18" s="35" t="n">
        <f aca="false">IF($A18="","",科目参数!$G18)</f>
        <v>0</v>
      </c>
      <c r="P18" s="42" t="str">
        <f aca="false">IF($A18="","",科目参数!$H18)</f>
        <v>经营活动</v>
      </c>
    </row>
    <row r="19" customFormat="false" ht="15.75" hidden="false" customHeight="true" outlineLevel="0" collapsed="false">
      <c r="A19" s="42" t="str">
        <f aca="false">IF(科目参数!$A19="","",科目参数!$A19)</f>
        <v>1403</v>
      </c>
      <c r="B19" s="35" t="str">
        <f aca="false">IF($A19="","",科目参数!$B19)</f>
        <v>原材料</v>
      </c>
      <c r="C19" s="42" t="str">
        <f aca="false">IF($A19="","",科目参数!$C19)</f>
        <v>资产</v>
      </c>
      <c r="D19" s="42" t="str">
        <f aca="false">IF($A19="","",科目参数!$D19)</f>
        <v>借</v>
      </c>
      <c r="E19" s="54" t="n">
        <f aca="false">IF($A19="","",SUMIFS(期初数据!$Z$6:$Z$125,期初数据!$W$6:$W$125,$A19))</f>
        <v>0</v>
      </c>
      <c r="F19" s="54" t="n">
        <f aca="false">IF($A19="","",SUMIFS(期初数据!$AA$6:$AA$125,期初数据!$W$6:$W$125,$A19))</f>
        <v>0</v>
      </c>
      <c r="G19" s="54" t="n">
        <f aca="false">IF($A19="","",SUMIFS(资金流水!$N$5:$N$504,资金流水!$O$5:$O$504,$A19,资金流水!$C$5:$C$504,首页!$B$5)+SUMIFS(销售录入!$X$5:$X$404,销售录入!$V$5:$V$404,$A19,销售录入!$C$5:$C$404,首页!$B$5)+SUMIFS(销售录入!$AA$5:$AA$404,销售录入!$Y$5:$Y$404,$A19,销售录入!$C$5:$C$404,首页!$B$5)+SUMIFS(销售录入!$AD$5:$AD$404,销售录入!$AB$5:$AB$404,$A19,销售录入!$C$5:$C$404,首页!$B$5)+SUMIFS(采购录入!$W$5:$W$404,采购录入!$U$5:$U$404,$A19,采购录入!$C$5:$C$404,首页!$B$5)+SUMIFS(采购录入!$Z$5:$Z$404,采购录入!$X$5:$X$404,$A19,采购录入!$C$5:$C$404,首页!$B$5)+SUMIFS(其他凭证!$H$5:$H$304,其他凭证!$F$5:$F$304,$A19,其他凭证!$C$5:$C$304,首页!$B$5))</f>
        <v>0</v>
      </c>
      <c r="H19" s="54" t="n">
        <f aca="false">IF($A19="","",SUMIFS(资金流水!$N$5:$N$504,资金流水!$P$5:$P$504,$A19,资金流水!$C$5:$C$504,首页!$B$5)+SUMIFS(销售录入!$X$5:$X$404,销售录入!$W$5:$W$404,$A19,销售录入!$C$5:$C$404,首页!$B$5)+SUMIFS(销售录入!$AA$5:$AA$404,销售录入!$Z$5:$Z$404,$A19,销售录入!$C$5:$C$404,首页!$B$5)+SUMIFS(销售录入!$AD$5:$AD$404,销售录入!$AC$5:$AC$404,$A19,销售录入!$C$5:$C$404,首页!$B$5)+SUMIFS(采购录入!$W$5:$W$404,采购录入!$V$5:$V$404,$A19,采购录入!$C$5:$C$404,首页!$B$5)+SUMIFS(采购录入!$Z$5:$Z$404,采购录入!$Y$5:$Y$404,$A19,采购录入!$C$5:$C$404,首页!$B$5)+SUMIFS(其他凭证!$H$5:$H$304,其他凭证!$G$5:$G$304,$A19,其他凭证!$C$5:$C$304,首页!$B$5))</f>
        <v>0</v>
      </c>
      <c r="I19" s="54" t="n">
        <f aca="false">IF($A19="","",SUMIFS(资金流水!$N$5:$N$504,资金流水!$O$5:$O$504,$A19,资金流水!$B$5:$B$504,"&lt;="&amp;首页!$B$7)+SUMIFS(销售录入!$X$5:$X$404,销售录入!$V$5:$V$404,$A19,销售录入!$B$5:$B$404,"&lt;="&amp;首页!$B$7)+SUMIFS(销售录入!$AA$5:$AA$404,销售录入!$Y$5:$Y$404,$A19,销售录入!$B$5:$B$404,"&lt;="&amp;首页!$B$7)+SUMIFS(销售录入!$AD$5:$AD$404,销售录入!$AB$5:$AB$404,$A19,销售录入!$B$5:$B$404,"&lt;="&amp;首页!$B$7)+SUMIFS(采购录入!$W$5:$W$404,采购录入!$U$5:$U$404,$A19,采购录入!$B$5:$B$404,"&lt;="&amp;首页!$B$7)+SUMIFS(采购录入!$Z$5:$Z$404,采购录入!$X$5:$X$404,$A19,采购录入!$B$5:$B$404,"&lt;="&amp;首页!$B$7)+SUMIFS(其他凭证!$H$5:$H$304,其他凭证!$F$5:$F$304,$A19,其他凭证!$B$5:$B$304,"&lt;="&amp;首页!$B$7))</f>
        <v>0</v>
      </c>
      <c r="J19" s="54" t="n">
        <f aca="false">IF($A19="","",SUMIFS(资金流水!$N$5:$N$504,资金流水!$P$5:$P$504,$A19,资金流水!$B$5:$B$504,"&lt;="&amp;首页!$B$7)+SUMIFS(销售录入!$X$5:$X$404,销售录入!$W$5:$W$404,$A19,销售录入!$B$5:$B$404,"&lt;="&amp;首页!$B$7)+SUMIFS(销售录入!$AA$5:$AA$404,销售录入!$Z$5:$Z$404,$A19,销售录入!$B$5:$B$404,"&lt;="&amp;首页!$B$7)+SUMIFS(销售录入!$AD$5:$AD$404,销售录入!$AC$5:$AC$404,$A19,销售录入!$B$5:$B$404,"&lt;="&amp;首页!$B$7)+SUMIFS(采购录入!$W$5:$W$404,采购录入!$V$5:$V$404,$A19,采购录入!$B$5:$B$404,"&lt;="&amp;首页!$B$7)+SUMIFS(采购录入!$Z$5:$Z$404,采购录入!$Y$5:$Y$404,$A19,采购录入!$B$5:$B$404,"&lt;="&amp;首页!$B$7)+SUMIFS(其他凭证!$H$5:$H$304,其他凭证!$G$5:$G$304,$A19,其他凭证!$B$5:$B$304,"&lt;="&amp;首页!$B$7))</f>
        <v>0</v>
      </c>
      <c r="K19" s="44" t="n">
        <f aca="false">IF($A19="","",($E19+$I19)-($F19+$J19))</f>
        <v>0</v>
      </c>
      <c r="L19" s="44" t="n">
        <f aca="false">IF($A19="","",IF($K19&gt;=0,$K19,0))</f>
        <v>0</v>
      </c>
      <c r="M19" s="44" t="n">
        <f aca="false">IF($A19="","",IF($K19&lt;0,-$K19,0))</f>
        <v>0</v>
      </c>
      <c r="N19" s="35" t="str">
        <f aca="false">IF($A19="","",科目参数!$F19)</f>
        <v>存货</v>
      </c>
      <c r="O19" s="35" t="n">
        <f aca="false">IF($A19="","",科目参数!$G19)</f>
        <v>0</v>
      </c>
      <c r="P19" s="42" t="str">
        <f aca="false">IF($A19="","",科目参数!$H19)</f>
        <v>经营活动</v>
      </c>
    </row>
    <row r="20" customFormat="false" ht="15.75" hidden="false" customHeight="true" outlineLevel="0" collapsed="false">
      <c r="A20" s="42" t="str">
        <f aca="false">IF(科目参数!$A20="","",科目参数!$A20)</f>
        <v>1405</v>
      </c>
      <c r="B20" s="35" t="str">
        <f aca="false">IF($A20="","",科目参数!$B20)</f>
        <v>库存商品</v>
      </c>
      <c r="C20" s="42" t="str">
        <f aca="false">IF($A20="","",科目参数!$C20)</f>
        <v>资产</v>
      </c>
      <c r="D20" s="42" t="str">
        <f aca="false">IF($A20="","",科目参数!$D20)</f>
        <v>借</v>
      </c>
      <c r="E20" s="54" t="n">
        <f aca="false">IF($A20="","",SUMIFS(期初数据!$Z$6:$Z$125,期初数据!$W$6:$W$125,$A20))</f>
        <v>36600</v>
      </c>
      <c r="F20" s="54" t="n">
        <f aca="false">IF($A20="","",SUMIFS(期初数据!$AA$6:$AA$125,期初数据!$W$6:$W$125,$A20))</f>
        <v>0</v>
      </c>
      <c r="G20" s="54" t="n">
        <f aca="false">IF($A20="","",SUMIFS(资金流水!$N$5:$N$504,资金流水!$O$5:$O$504,$A20,资金流水!$C$5:$C$504,首页!$B$5)+SUMIFS(销售录入!$X$5:$X$404,销售录入!$V$5:$V$404,$A20,销售录入!$C$5:$C$404,首页!$B$5)+SUMIFS(销售录入!$AA$5:$AA$404,销售录入!$Y$5:$Y$404,$A20,销售录入!$C$5:$C$404,首页!$B$5)+SUMIFS(销售录入!$AD$5:$AD$404,销售录入!$AB$5:$AB$404,$A20,销售录入!$C$5:$C$404,首页!$B$5)+SUMIFS(采购录入!$W$5:$W$404,采购录入!$U$5:$U$404,$A20,采购录入!$C$5:$C$404,首页!$B$5)+SUMIFS(采购录入!$Z$5:$Z$404,采购录入!$X$5:$X$404,$A20,采购录入!$C$5:$C$404,首页!$B$5)+SUMIFS(其他凭证!$H$5:$H$304,其他凭证!$F$5:$F$304,$A20,其他凭证!$C$5:$C$304,首页!$B$5))</f>
        <v>17250</v>
      </c>
      <c r="H20" s="54" t="n">
        <f aca="false">IF($A20="","",SUMIFS(资金流水!$N$5:$N$504,资金流水!$P$5:$P$504,$A20,资金流水!$C$5:$C$504,首页!$B$5)+SUMIFS(销售录入!$X$5:$X$404,销售录入!$W$5:$W$404,$A20,销售录入!$C$5:$C$404,首页!$B$5)+SUMIFS(销售录入!$AA$5:$AA$404,销售录入!$Z$5:$Z$404,$A20,销售录入!$C$5:$C$404,首页!$B$5)+SUMIFS(销售录入!$AD$5:$AD$404,销售录入!$AC$5:$AC$404,$A20,销售录入!$C$5:$C$404,首页!$B$5)+SUMIFS(采购录入!$W$5:$W$404,采购录入!$V$5:$V$404,$A20,采购录入!$C$5:$C$404,首页!$B$5)+SUMIFS(采购录入!$Z$5:$Z$404,采购录入!$Y$5:$Y$404,$A20,采购录入!$C$5:$C$404,首页!$B$5)+SUMIFS(其他凭证!$H$5:$H$304,其他凭证!$G$5:$G$304,$A20,其他凭证!$C$5:$C$304,首页!$B$5))</f>
        <v>13462.5</v>
      </c>
      <c r="I20" s="54" t="n">
        <f aca="false">IF($A20="","",SUMIFS(资金流水!$N$5:$N$504,资金流水!$O$5:$O$504,$A20,资金流水!$B$5:$B$504,"&lt;="&amp;首页!$B$7)+SUMIFS(销售录入!$X$5:$X$404,销售录入!$V$5:$V$404,$A20,销售录入!$B$5:$B$404,"&lt;="&amp;首页!$B$7)+SUMIFS(销售录入!$AA$5:$AA$404,销售录入!$Y$5:$Y$404,$A20,销售录入!$B$5:$B$404,"&lt;="&amp;首页!$B$7)+SUMIFS(销售录入!$AD$5:$AD$404,销售录入!$AB$5:$AB$404,$A20,销售录入!$B$5:$B$404,"&lt;="&amp;首页!$B$7)+SUMIFS(采购录入!$W$5:$W$404,采购录入!$U$5:$U$404,$A20,采购录入!$B$5:$B$404,"&lt;="&amp;首页!$B$7)+SUMIFS(采购录入!$Z$5:$Z$404,采购录入!$X$5:$X$404,$A20,采购录入!$B$5:$B$404,"&lt;="&amp;首页!$B$7)+SUMIFS(其他凭证!$H$5:$H$304,其他凭证!$F$5:$F$304,$A20,其他凭证!$B$5:$B$304,"&lt;="&amp;首页!$B$7))</f>
        <v>17250</v>
      </c>
      <c r="J20" s="54" t="n">
        <f aca="false">IF($A20="","",SUMIFS(资金流水!$N$5:$N$504,资金流水!$P$5:$P$504,$A20,资金流水!$B$5:$B$504,"&lt;="&amp;首页!$B$7)+SUMIFS(销售录入!$X$5:$X$404,销售录入!$W$5:$W$404,$A20,销售录入!$B$5:$B$404,"&lt;="&amp;首页!$B$7)+SUMIFS(销售录入!$AA$5:$AA$404,销售录入!$Z$5:$Z$404,$A20,销售录入!$B$5:$B$404,"&lt;="&amp;首页!$B$7)+SUMIFS(销售录入!$AD$5:$AD$404,销售录入!$AC$5:$AC$404,$A20,销售录入!$B$5:$B$404,"&lt;="&amp;首页!$B$7)+SUMIFS(采购录入!$W$5:$W$404,采购录入!$V$5:$V$404,$A20,采购录入!$B$5:$B$404,"&lt;="&amp;首页!$B$7)+SUMIFS(采购录入!$Z$5:$Z$404,采购录入!$Y$5:$Y$404,$A20,采购录入!$B$5:$B$404,"&lt;="&amp;首页!$B$7)+SUMIFS(其他凭证!$H$5:$H$304,其他凭证!$G$5:$G$304,$A20,其他凭证!$B$5:$B$304,"&lt;="&amp;首页!$B$7))</f>
        <v>13462.5</v>
      </c>
      <c r="K20" s="44" t="n">
        <f aca="false">IF($A20="","",($E20+$I20)-($F20+$J20))</f>
        <v>40387.5</v>
      </c>
      <c r="L20" s="44" t="n">
        <f aca="false">IF($A20="","",IF($K20&gt;=0,$K20,0))</f>
        <v>40387.5</v>
      </c>
      <c r="M20" s="44" t="n">
        <f aca="false">IF($A20="","",IF($K20&lt;0,-$K20,0))</f>
        <v>0</v>
      </c>
      <c r="N20" s="35" t="str">
        <f aca="false">IF($A20="","",科目参数!$F20)</f>
        <v>存货</v>
      </c>
      <c r="O20" s="35" t="n">
        <f aca="false">IF($A20="","",科目参数!$G20)</f>
        <v>0</v>
      </c>
      <c r="P20" s="42" t="str">
        <f aca="false">IF($A20="","",科目参数!$H20)</f>
        <v>经营活动</v>
      </c>
    </row>
    <row r="21" customFormat="false" ht="15.75" hidden="false" customHeight="true" outlineLevel="0" collapsed="false">
      <c r="A21" s="42" t="str">
        <f aca="false">IF(科目参数!$A21="","",科目参数!$A21)</f>
        <v>1406</v>
      </c>
      <c r="B21" s="35" t="str">
        <f aca="false">IF($A21="","",科目参数!$B21)</f>
        <v>发出商品</v>
      </c>
      <c r="C21" s="42" t="str">
        <f aca="false">IF($A21="","",科目参数!$C21)</f>
        <v>资产</v>
      </c>
      <c r="D21" s="42" t="str">
        <f aca="false">IF($A21="","",科目参数!$D21)</f>
        <v>借</v>
      </c>
      <c r="E21" s="54" t="n">
        <f aca="false">IF($A21="","",SUMIFS(期初数据!$Z$6:$Z$125,期初数据!$W$6:$W$125,$A21))</f>
        <v>0</v>
      </c>
      <c r="F21" s="54" t="n">
        <f aca="false">IF($A21="","",SUMIFS(期初数据!$AA$6:$AA$125,期初数据!$W$6:$W$125,$A21))</f>
        <v>0</v>
      </c>
      <c r="G21" s="54" t="n">
        <f aca="false">IF($A21="","",SUMIFS(资金流水!$N$5:$N$504,资金流水!$O$5:$O$504,$A21,资金流水!$C$5:$C$504,首页!$B$5)+SUMIFS(销售录入!$X$5:$X$404,销售录入!$V$5:$V$404,$A21,销售录入!$C$5:$C$404,首页!$B$5)+SUMIFS(销售录入!$AA$5:$AA$404,销售录入!$Y$5:$Y$404,$A21,销售录入!$C$5:$C$404,首页!$B$5)+SUMIFS(销售录入!$AD$5:$AD$404,销售录入!$AB$5:$AB$404,$A21,销售录入!$C$5:$C$404,首页!$B$5)+SUMIFS(采购录入!$W$5:$W$404,采购录入!$U$5:$U$404,$A21,采购录入!$C$5:$C$404,首页!$B$5)+SUMIFS(采购录入!$Z$5:$Z$404,采购录入!$X$5:$X$404,$A21,采购录入!$C$5:$C$404,首页!$B$5)+SUMIFS(其他凭证!$H$5:$H$304,其他凭证!$F$5:$F$304,$A21,其他凭证!$C$5:$C$304,首页!$B$5))</f>
        <v>0</v>
      </c>
      <c r="H21" s="54" t="n">
        <f aca="false">IF($A21="","",SUMIFS(资金流水!$N$5:$N$504,资金流水!$P$5:$P$504,$A21,资金流水!$C$5:$C$504,首页!$B$5)+SUMIFS(销售录入!$X$5:$X$404,销售录入!$W$5:$W$404,$A21,销售录入!$C$5:$C$404,首页!$B$5)+SUMIFS(销售录入!$AA$5:$AA$404,销售录入!$Z$5:$Z$404,$A21,销售录入!$C$5:$C$404,首页!$B$5)+SUMIFS(销售录入!$AD$5:$AD$404,销售录入!$AC$5:$AC$404,$A21,销售录入!$C$5:$C$404,首页!$B$5)+SUMIFS(采购录入!$W$5:$W$404,采购录入!$V$5:$V$404,$A21,采购录入!$C$5:$C$404,首页!$B$5)+SUMIFS(采购录入!$Z$5:$Z$404,采购录入!$Y$5:$Y$404,$A21,采购录入!$C$5:$C$404,首页!$B$5)+SUMIFS(其他凭证!$H$5:$H$304,其他凭证!$G$5:$G$304,$A21,其他凭证!$C$5:$C$304,首页!$B$5))</f>
        <v>0</v>
      </c>
      <c r="I21" s="54" t="n">
        <f aca="false">IF($A21="","",SUMIFS(资金流水!$N$5:$N$504,资金流水!$O$5:$O$504,$A21,资金流水!$B$5:$B$504,"&lt;="&amp;首页!$B$7)+SUMIFS(销售录入!$X$5:$X$404,销售录入!$V$5:$V$404,$A21,销售录入!$B$5:$B$404,"&lt;="&amp;首页!$B$7)+SUMIFS(销售录入!$AA$5:$AA$404,销售录入!$Y$5:$Y$404,$A21,销售录入!$B$5:$B$404,"&lt;="&amp;首页!$B$7)+SUMIFS(销售录入!$AD$5:$AD$404,销售录入!$AB$5:$AB$404,$A21,销售录入!$B$5:$B$404,"&lt;="&amp;首页!$B$7)+SUMIFS(采购录入!$W$5:$W$404,采购录入!$U$5:$U$404,$A21,采购录入!$B$5:$B$404,"&lt;="&amp;首页!$B$7)+SUMIFS(采购录入!$Z$5:$Z$404,采购录入!$X$5:$X$404,$A21,采购录入!$B$5:$B$404,"&lt;="&amp;首页!$B$7)+SUMIFS(其他凭证!$H$5:$H$304,其他凭证!$F$5:$F$304,$A21,其他凭证!$B$5:$B$304,"&lt;="&amp;首页!$B$7))</f>
        <v>0</v>
      </c>
      <c r="J21" s="54" t="n">
        <f aca="false">IF($A21="","",SUMIFS(资金流水!$N$5:$N$504,资金流水!$P$5:$P$504,$A21,资金流水!$B$5:$B$504,"&lt;="&amp;首页!$B$7)+SUMIFS(销售录入!$X$5:$X$404,销售录入!$W$5:$W$404,$A21,销售录入!$B$5:$B$404,"&lt;="&amp;首页!$B$7)+SUMIFS(销售录入!$AA$5:$AA$404,销售录入!$Z$5:$Z$404,$A21,销售录入!$B$5:$B$404,"&lt;="&amp;首页!$B$7)+SUMIFS(销售录入!$AD$5:$AD$404,销售录入!$AC$5:$AC$404,$A21,销售录入!$B$5:$B$404,"&lt;="&amp;首页!$B$7)+SUMIFS(采购录入!$W$5:$W$404,采购录入!$V$5:$V$404,$A21,采购录入!$B$5:$B$404,"&lt;="&amp;首页!$B$7)+SUMIFS(采购录入!$Z$5:$Z$404,采购录入!$Y$5:$Y$404,$A21,采购录入!$B$5:$B$404,"&lt;="&amp;首页!$B$7)+SUMIFS(其他凭证!$H$5:$H$304,其他凭证!$G$5:$G$304,$A21,其他凭证!$B$5:$B$304,"&lt;="&amp;首页!$B$7))</f>
        <v>0</v>
      </c>
      <c r="K21" s="44" t="n">
        <f aca="false">IF($A21="","",($E21+$I21)-($F21+$J21))</f>
        <v>0</v>
      </c>
      <c r="L21" s="44" t="n">
        <f aca="false">IF($A21="","",IF($K21&gt;=0,$K21,0))</f>
        <v>0</v>
      </c>
      <c r="M21" s="44" t="n">
        <f aca="false">IF($A21="","",IF($K21&lt;0,-$K21,0))</f>
        <v>0</v>
      </c>
      <c r="N21" s="35" t="str">
        <f aca="false">IF($A21="","",科目参数!$F21)</f>
        <v>存货</v>
      </c>
      <c r="O21" s="35" t="n">
        <f aca="false">IF($A21="","",科目参数!$G21)</f>
        <v>0</v>
      </c>
      <c r="P21" s="42" t="str">
        <f aca="false">IF($A21="","",科目参数!$H21)</f>
        <v>经营活动</v>
      </c>
    </row>
    <row r="22" customFormat="false" ht="15.75" hidden="false" customHeight="true" outlineLevel="0" collapsed="false">
      <c r="A22" s="42" t="str">
        <f aca="false">IF(科目参数!$A22="","",科目参数!$A22)</f>
        <v>1408</v>
      </c>
      <c r="B22" s="35" t="str">
        <f aca="false">IF($A22="","",科目参数!$B22)</f>
        <v>委托加工物资</v>
      </c>
      <c r="C22" s="42" t="str">
        <f aca="false">IF($A22="","",科目参数!$C22)</f>
        <v>资产</v>
      </c>
      <c r="D22" s="42" t="str">
        <f aca="false">IF($A22="","",科目参数!$D22)</f>
        <v>借</v>
      </c>
      <c r="E22" s="54" t="n">
        <f aca="false">IF($A22="","",SUMIFS(期初数据!$Z$6:$Z$125,期初数据!$W$6:$W$125,$A22))</f>
        <v>0</v>
      </c>
      <c r="F22" s="54" t="n">
        <f aca="false">IF($A22="","",SUMIFS(期初数据!$AA$6:$AA$125,期初数据!$W$6:$W$125,$A22))</f>
        <v>0</v>
      </c>
      <c r="G22" s="54" t="n">
        <f aca="false">IF($A22="","",SUMIFS(资金流水!$N$5:$N$504,资金流水!$O$5:$O$504,$A22,资金流水!$C$5:$C$504,首页!$B$5)+SUMIFS(销售录入!$X$5:$X$404,销售录入!$V$5:$V$404,$A22,销售录入!$C$5:$C$404,首页!$B$5)+SUMIFS(销售录入!$AA$5:$AA$404,销售录入!$Y$5:$Y$404,$A22,销售录入!$C$5:$C$404,首页!$B$5)+SUMIFS(销售录入!$AD$5:$AD$404,销售录入!$AB$5:$AB$404,$A22,销售录入!$C$5:$C$404,首页!$B$5)+SUMIFS(采购录入!$W$5:$W$404,采购录入!$U$5:$U$404,$A22,采购录入!$C$5:$C$404,首页!$B$5)+SUMIFS(采购录入!$Z$5:$Z$404,采购录入!$X$5:$X$404,$A22,采购录入!$C$5:$C$404,首页!$B$5)+SUMIFS(其他凭证!$H$5:$H$304,其他凭证!$F$5:$F$304,$A22,其他凭证!$C$5:$C$304,首页!$B$5))</f>
        <v>0</v>
      </c>
      <c r="H22" s="54" t="n">
        <f aca="false">IF($A22="","",SUMIFS(资金流水!$N$5:$N$504,资金流水!$P$5:$P$504,$A22,资金流水!$C$5:$C$504,首页!$B$5)+SUMIFS(销售录入!$X$5:$X$404,销售录入!$W$5:$W$404,$A22,销售录入!$C$5:$C$404,首页!$B$5)+SUMIFS(销售录入!$AA$5:$AA$404,销售录入!$Z$5:$Z$404,$A22,销售录入!$C$5:$C$404,首页!$B$5)+SUMIFS(销售录入!$AD$5:$AD$404,销售录入!$AC$5:$AC$404,$A22,销售录入!$C$5:$C$404,首页!$B$5)+SUMIFS(采购录入!$W$5:$W$404,采购录入!$V$5:$V$404,$A22,采购录入!$C$5:$C$404,首页!$B$5)+SUMIFS(采购录入!$Z$5:$Z$404,采购录入!$Y$5:$Y$404,$A22,采购录入!$C$5:$C$404,首页!$B$5)+SUMIFS(其他凭证!$H$5:$H$304,其他凭证!$G$5:$G$304,$A22,其他凭证!$C$5:$C$304,首页!$B$5))</f>
        <v>0</v>
      </c>
      <c r="I22" s="54" t="n">
        <f aca="false">IF($A22="","",SUMIFS(资金流水!$N$5:$N$504,资金流水!$O$5:$O$504,$A22,资金流水!$B$5:$B$504,"&lt;="&amp;首页!$B$7)+SUMIFS(销售录入!$X$5:$X$404,销售录入!$V$5:$V$404,$A22,销售录入!$B$5:$B$404,"&lt;="&amp;首页!$B$7)+SUMIFS(销售录入!$AA$5:$AA$404,销售录入!$Y$5:$Y$404,$A22,销售录入!$B$5:$B$404,"&lt;="&amp;首页!$B$7)+SUMIFS(销售录入!$AD$5:$AD$404,销售录入!$AB$5:$AB$404,$A22,销售录入!$B$5:$B$404,"&lt;="&amp;首页!$B$7)+SUMIFS(采购录入!$W$5:$W$404,采购录入!$U$5:$U$404,$A22,采购录入!$B$5:$B$404,"&lt;="&amp;首页!$B$7)+SUMIFS(采购录入!$Z$5:$Z$404,采购录入!$X$5:$X$404,$A22,采购录入!$B$5:$B$404,"&lt;="&amp;首页!$B$7)+SUMIFS(其他凭证!$H$5:$H$304,其他凭证!$F$5:$F$304,$A22,其他凭证!$B$5:$B$304,"&lt;="&amp;首页!$B$7))</f>
        <v>0</v>
      </c>
      <c r="J22" s="54" t="n">
        <f aca="false">IF($A22="","",SUMIFS(资金流水!$N$5:$N$504,资金流水!$P$5:$P$504,$A22,资金流水!$B$5:$B$504,"&lt;="&amp;首页!$B$7)+SUMIFS(销售录入!$X$5:$X$404,销售录入!$W$5:$W$404,$A22,销售录入!$B$5:$B$404,"&lt;="&amp;首页!$B$7)+SUMIFS(销售录入!$AA$5:$AA$404,销售录入!$Z$5:$Z$404,$A22,销售录入!$B$5:$B$404,"&lt;="&amp;首页!$B$7)+SUMIFS(销售录入!$AD$5:$AD$404,销售录入!$AC$5:$AC$404,$A22,销售录入!$B$5:$B$404,"&lt;="&amp;首页!$B$7)+SUMIFS(采购录入!$W$5:$W$404,采购录入!$V$5:$V$404,$A22,采购录入!$B$5:$B$404,"&lt;="&amp;首页!$B$7)+SUMIFS(采购录入!$Z$5:$Z$404,采购录入!$Y$5:$Y$404,$A22,采购录入!$B$5:$B$404,"&lt;="&amp;首页!$B$7)+SUMIFS(其他凭证!$H$5:$H$304,其他凭证!$G$5:$G$304,$A22,其他凭证!$B$5:$B$304,"&lt;="&amp;首页!$B$7))</f>
        <v>0</v>
      </c>
      <c r="K22" s="44" t="n">
        <f aca="false">IF($A22="","",($E22+$I22)-($F22+$J22))</f>
        <v>0</v>
      </c>
      <c r="L22" s="44" t="n">
        <f aca="false">IF($A22="","",IF($K22&gt;=0,$K22,0))</f>
        <v>0</v>
      </c>
      <c r="M22" s="44" t="n">
        <f aca="false">IF($A22="","",IF($K22&lt;0,-$K22,0))</f>
        <v>0</v>
      </c>
      <c r="N22" s="35" t="str">
        <f aca="false">IF($A22="","",科目参数!$F22)</f>
        <v>存货</v>
      </c>
      <c r="O22" s="35" t="n">
        <f aca="false">IF($A22="","",科目参数!$G22)</f>
        <v>0</v>
      </c>
      <c r="P22" s="42" t="str">
        <f aca="false">IF($A22="","",科目参数!$H22)</f>
        <v>经营活动</v>
      </c>
    </row>
    <row r="23" customFormat="false" ht="15.75" hidden="false" customHeight="true" outlineLevel="0" collapsed="false">
      <c r="A23" s="42" t="str">
        <f aca="false">IF(科目参数!$A23="","",科目参数!$A23)</f>
        <v>1411</v>
      </c>
      <c r="B23" s="35" t="str">
        <f aca="false">IF($A23="","",科目参数!$B23)</f>
        <v>周转材料</v>
      </c>
      <c r="C23" s="42" t="str">
        <f aca="false">IF($A23="","",科目参数!$C23)</f>
        <v>资产</v>
      </c>
      <c r="D23" s="42" t="str">
        <f aca="false">IF($A23="","",科目参数!$D23)</f>
        <v>借</v>
      </c>
      <c r="E23" s="54" t="n">
        <f aca="false">IF($A23="","",SUMIFS(期初数据!$Z$6:$Z$125,期初数据!$W$6:$W$125,$A23))</f>
        <v>0</v>
      </c>
      <c r="F23" s="54" t="n">
        <f aca="false">IF($A23="","",SUMIFS(期初数据!$AA$6:$AA$125,期初数据!$W$6:$W$125,$A23))</f>
        <v>0</v>
      </c>
      <c r="G23" s="54" t="n">
        <f aca="false">IF($A23="","",SUMIFS(资金流水!$N$5:$N$504,资金流水!$O$5:$O$504,$A23,资金流水!$C$5:$C$504,首页!$B$5)+SUMIFS(销售录入!$X$5:$X$404,销售录入!$V$5:$V$404,$A23,销售录入!$C$5:$C$404,首页!$B$5)+SUMIFS(销售录入!$AA$5:$AA$404,销售录入!$Y$5:$Y$404,$A23,销售录入!$C$5:$C$404,首页!$B$5)+SUMIFS(销售录入!$AD$5:$AD$404,销售录入!$AB$5:$AB$404,$A23,销售录入!$C$5:$C$404,首页!$B$5)+SUMIFS(采购录入!$W$5:$W$404,采购录入!$U$5:$U$404,$A23,采购录入!$C$5:$C$404,首页!$B$5)+SUMIFS(采购录入!$Z$5:$Z$404,采购录入!$X$5:$X$404,$A23,采购录入!$C$5:$C$404,首页!$B$5)+SUMIFS(其他凭证!$H$5:$H$304,其他凭证!$F$5:$F$304,$A23,其他凭证!$C$5:$C$304,首页!$B$5))</f>
        <v>0</v>
      </c>
      <c r="H23" s="54" t="n">
        <f aca="false">IF($A23="","",SUMIFS(资金流水!$N$5:$N$504,资金流水!$P$5:$P$504,$A23,资金流水!$C$5:$C$504,首页!$B$5)+SUMIFS(销售录入!$X$5:$X$404,销售录入!$W$5:$W$404,$A23,销售录入!$C$5:$C$404,首页!$B$5)+SUMIFS(销售录入!$AA$5:$AA$404,销售录入!$Z$5:$Z$404,$A23,销售录入!$C$5:$C$404,首页!$B$5)+SUMIFS(销售录入!$AD$5:$AD$404,销售录入!$AC$5:$AC$404,$A23,销售录入!$C$5:$C$404,首页!$B$5)+SUMIFS(采购录入!$W$5:$W$404,采购录入!$V$5:$V$404,$A23,采购录入!$C$5:$C$404,首页!$B$5)+SUMIFS(采购录入!$Z$5:$Z$404,采购录入!$Y$5:$Y$404,$A23,采购录入!$C$5:$C$404,首页!$B$5)+SUMIFS(其他凭证!$H$5:$H$304,其他凭证!$G$5:$G$304,$A23,其他凭证!$C$5:$C$304,首页!$B$5))</f>
        <v>0</v>
      </c>
      <c r="I23" s="54" t="n">
        <f aca="false">IF($A23="","",SUMIFS(资金流水!$N$5:$N$504,资金流水!$O$5:$O$504,$A23,资金流水!$B$5:$B$504,"&lt;="&amp;首页!$B$7)+SUMIFS(销售录入!$X$5:$X$404,销售录入!$V$5:$V$404,$A23,销售录入!$B$5:$B$404,"&lt;="&amp;首页!$B$7)+SUMIFS(销售录入!$AA$5:$AA$404,销售录入!$Y$5:$Y$404,$A23,销售录入!$B$5:$B$404,"&lt;="&amp;首页!$B$7)+SUMIFS(销售录入!$AD$5:$AD$404,销售录入!$AB$5:$AB$404,$A23,销售录入!$B$5:$B$404,"&lt;="&amp;首页!$B$7)+SUMIFS(采购录入!$W$5:$W$404,采购录入!$U$5:$U$404,$A23,采购录入!$B$5:$B$404,"&lt;="&amp;首页!$B$7)+SUMIFS(采购录入!$Z$5:$Z$404,采购录入!$X$5:$X$404,$A23,采购录入!$B$5:$B$404,"&lt;="&amp;首页!$B$7)+SUMIFS(其他凭证!$H$5:$H$304,其他凭证!$F$5:$F$304,$A23,其他凭证!$B$5:$B$304,"&lt;="&amp;首页!$B$7))</f>
        <v>0</v>
      </c>
      <c r="J23" s="54" t="n">
        <f aca="false">IF($A23="","",SUMIFS(资金流水!$N$5:$N$504,资金流水!$P$5:$P$504,$A23,资金流水!$B$5:$B$504,"&lt;="&amp;首页!$B$7)+SUMIFS(销售录入!$X$5:$X$404,销售录入!$W$5:$W$404,$A23,销售录入!$B$5:$B$404,"&lt;="&amp;首页!$B$7)+SUMIFS(销售录入!$AA$5:$AA$404,销售录入!$Z$5:$Z$404,$A23,销售录入!$B$5:$B$404,"&lt;="&amp;首页!$B$7)+SUMIFS(销售录入!$AD$5:$AD$404,销售录入!$AC$5:$AC$404,$A23,销售录入!$B$5:$B$404,"&lt;="&amp;首页!$B$7)+SUMIFS(采购录入!$W$5:$W$404,采购录入!$V$5:$V$404,$A23,采购录入!$B$5:$B$404,"&lt;="&amp;首页!$B$7)+SUMIFS(采购录入!$Z$5:$Z$404,采购录入!$Y$5:$Y$404,$A23,采购录入!$B$5:$B$404,"&lt;="&amp;首页!$B$7)+SUMIFS(其他凭证!$H$5:$H$304,其他凭证!$G$5:$G$304,$A23,其他凭证!$B$5:$B$304,"&lt;="&amp;首页!$B$7))</f>
        <v>0</v>
      </c>
      <c r="K23" s="44" t="n">
        <f aca="false">IF($A23="","",($E23+$I23)-($F23+$J23))</f>
        <v>0</v>
      </c>
      <c r="L23" s="44" t="n">
        <f aca="false">IF($A23="","",IF($K23&gt;=0,$K23,0))</f>
        <v>0</v>
      </c>
      <c r="M23" s="44" t="n">
        <f aca="false">IF($A23="","",IF($K23&lt;0,-$K23,0))</f>
        <v>0</v>
      </c>
      <c r="N23" s="35" t="str">
        <f aca="false">IF($A23="","",科目参数!$F23)</f>
        <v>存货</v>
      </c>
      <c r="O23" s="35" t="n">
        <f aca="false">IF($A23="","",科目参数!$G23)</f>
        <v>0</v>
      </c>
      <c r="P23" s="42" t="str">
        <f aca="false">IF($A23="","",科目参数!$H23)</f>
        <v>经营活动</v>
      </c>
    </row>
    <row r="24" customFormat="false" ht="15.75" hidden="false" customHeight="true" outlineLevel="0" collapsed="false">
      <c r="A24" s="42" t="str">
        <f aca="false">IF(科目参数!$A24="","",科目参数!$A24)</f>
        <v>1471</v>
      </c>
      <c r="B24" s="35" t="str">
        <f aca="false">IF($A24="","",科目参数!$B24)</f>
        <v>存货跌价准备</v>
      </c>
      <c r="C24" s="42" t="str">
        <f aca="false">IF($A24="","",科目参数!$C24)</f>
        <v>资产</v>
      </c>
      <c r="D24" s="42" t="str">
        <f aca="false">IF($A24="","",科目参数!$D24)</f>
        <v>贷</v>
      </c>
      <c r="E24" s="54" t="n">
        <f aca="false">IF($A24="","",SUMIFS(期初数据!$Z$6:$Z$125,期初数据!$W$6:$W$125,$A24))</f>
        <v>0</v>
      </c>
      <c r="F24" s="54" t="n">
        <f aca="false">IF($A24="","",SUMIFS(期初数据!$AA$6:$AA$125,期初数据!$W$6:$W$125,$A24))</f>
        <v>0</v>
      </c>
      <c r="G24" s="54" t="n">
        <f aca="false">IF($A24="","",SUMIFS(资金流水!$N$5:$N$504,资金流水!$O$5:$O$504,$A24,资金流水!$C$5:$C$504,首页!$B$5)+SUMIFS(销售录入!$X$5:$X$404,销售录入!$V$5:$V$404,$A24,销售录入!$C$5:$C$404,首页!$B$5)+SUMIFS(销售录入!$AA$5:$AA$404,销售录入!$Y$5:$Y$404,$A24,销售录入!$C$5:$C$404,首页!$B$5)+SUMIFS(销售录入!$AD$5:$AD$404,销售录入!$AB$5:$AB$404,$A24,销售录入!$C$5:$C$404,首页!$B$5)+SUMIFS(采购录入!$W$5:$W$404,采购录入!$U$5:$U$404,$A24,采购录入!$C$5:$C$404,首页!$B$5)+SUMIFS(采购录入!$Z$5:$Z$404,采购录入!$X$5:$X$404,$A24,采购录入!$C$5:$C$404,首页!$B$5)+SUMIFS(其他凭证!$H$5:$H$304,其他凭证!$F$5:$F$304,$A24,其他凭证!$C$5:$C$304,首页!$B$5))</f>
        <v>0</v>
      </c>
      <c r="H24" s="54" t="n">
        <f aca="false">IF($A24="","",SUMIFS(资金流水!$N$5:$N$504,资金流水!$P$5:$P$504,$A24,资金流水!$C$5:$C$504,首页!$B$5)+SUMIFS(销售录入!$X$5:$X$404,销售录入!$W$5:$W$404,$A24,销售录入!$C$5:$C$404,首页!$B$5)+SUMIFS(销售录入!$AA$5:$AA$404,销售录入!$Z$5:$Z$404,$A24,销售录入!$C$5:$C$404,首页!$B$5)+SUMIFS(销售录入!$AD$5:$AD$404,销售录入!$AC$5:$AC$404,$A24,销售录入!$C$5:$C$404,首页!$B$5)+SUMIFS(采购录入!$W$5:$W$404,采购录入!$V$5:$V$404,$A24,采购录入!$C$5:$C$404,首页!$B$5)+SUMIFS(采购录入!$Z$5:$Z$404,采购录入!$Y$5:$Y$404,$A24,采购录入!$C$5:$C$404,首页!$B$5)+SUMIFS(其他凭证!$H$5:$H$304,其他凭证!$G$5:$G$304,$A24,其他凭证!$C$5:$C$304,首页!$B$5))</f>
        <v>0</v>
      </c>
      <c r="I24" s="54" t="n">
        <f aca="false">IF($A24="","",SUMIFS(资金流水!$N$5:$N$504,资金流水!$O$5:$O$504,$A24,资金流水!$B$5:$B$504,"&lt;="&amp;首页!$B$7)+SUMIFS(销售录入!$X$5:$X$404,销售录入!$V$5:$V$404,$A24,销售录入!$B$5:$B$404,"&lt;="&amp;首页!$B$7)+SUMIFS(销售录入!$AA$5:$AA$404,销售录入!$Y$5:$Y$404,$A24,销售录入!$B$5:$B$404,"&lt;="&amp;首页!$B$7)+SUMIFS(销售录入!$AD$5:$AD$404,销售录入!$AB$5:$AB$404,$A24,销售录入!$B$5:$B$404,"&lt;="&amp;首页!$B$7)+SUMIFS(采购录入!$W$5:$W$404,采购录入!$U$5:$U$404,$A24,采购录入!$B$5:$B$404,"&lt;="&amp;首页!$B$7)+SUMIFS(采购录入!$Z$5:$Z$404,采购录入!$X$5:$X$404,$A24,采购录入!$B$5:$B$404,"&lt;="&amp;首页!$B$7)+SUMIFS(其他凭证!$H$5:$H$304,其他凭证!$F$5:$F$304,$A24,其他凭证!$B$5:$B$304,"&lt;="&amp;首页!$B$7))</f>
        <v>0</v>
      </c>
      <c r="J24" s="54" t="n">
        <f aca="false">IF($A24="","",SUMIFS(资金流水!$N$5:$N$504,资金流水!$P$5:$P$504,$A24,资金流水!$B$5:$B$504,"&lt;="&amp;首页!$B$7)+SUMIFS(销售录入!$X$5:$X$404,销售录入!$W$5:$W$404,$A24,销售录入!$B$5:$B$404,"&lt;="&amp;首页!$B$7)+SUMIFS(销售录入!$AA$5:$AA$404,销售录入!$Z$5:$Z$404,$A24,销售录入!$B$5:$B$404,"&lt;="&amp;首页!$B$7)+SUMIFS(销售录入!$AD$5:$AD$404,销售录入!$AC$5:$AC$404,$A24,销售录入!$B$5:$B$404,"&lt;="&amp;首页!$B$7)+SUMIFS(采购录入!$W$5:$W$404,采购录入!$V$5:$V$404,$A24,采购录入!$B$5:$B$404,"&lt;="&amp;首页!$B$7)+SUMIFS(采购录入!$Z$5:$Z$404,采购录入!$Y$5:$Y$404,$A24,采购录入!$B$5:$B$404,"&lt;="&amp;首页!$B$7)+SUMIFS(其他凭证!$H$5:$H$304,其他凭证!$G$5:$G$304,$A24,其他凭证!$B$5:$B$304,"&lt;="&amp;首页!$B$7))</f>
        <v>0</v>
      </c>
      <c r="K24" s="44" t="n">
        <f aca="false">IF($A24="","",($E24+$I24)-($F24+$J24))</f>
        <v>0</v>
      </c>
      <c r="L24" s="44" t="n">
        <f aca="false">IF($A24="","",IF($K24&gt;=0,$K24,0))</f>
        <v>0</v>
      </c>
      <c r="M24" s="44" t="n">
        <f aca="false">IF($A24="","",IF($K24&lt;0,-$K24,0))</f>
        <v>0</v>
      </c>
      <c r="N24" s="35" t="str">
        <f aca="false">IF($A24="","",科目参数!$F24)</f>
        <v>存货</v>
      </c>
      <c r="O24" s="35" t="n">
        <f aca="false">IF($A24="","",科目参数!$G24)</f>
        <v>0</v>
      </c>
      <c r="P24" s="42" t="str">
        <f aca="false">IF($A24="","",科目参数!$H24)</f>
        <v>非现金</v>
      </c>
    </row>
    <row r="25" customFormat="false" ht="15.75" hidden="false" customHeight="true" outlineLevel="0" collapsed="false">
      <c r="A25" s="42" t="str">
        <f aca="false">IF(科目参数!$A25="","",科目参数!$A25)</f>
        <v>1501</v>
      </c>
      <c r="B25" s="35" t="str">
        <f aca="false">IF($A25="","",科目参数!$B25)</f>
        <v>债权投资</v>
      </c>
      <c r="C25" s="42" t="str">
        <f aca="false">IF($A25="","",科目参数!$C25)</f>
        <v>资产</v>
      </c>
      <c r="D25" s="42" t="str">
        <f aca="false">IF($A25="","",科目参数!$D25)</f>
        <v>借</v>
      </c>
      <c r="E25" s="54" t="n">
        <f aca="false">IF($A25="","",SUMIFS(期初数据!$Z$6:$Z$125,期初数据!$W$6:$W$125,$A25))</f>
        <v>0</v>
      </c>
      <c r="F25" s="54" t="n">
        <f aca="false">IF($A25="","",SUMIFS(期初数据!$AA$6:$AA$125,期初数据!$W$6:$W$125,$A25))</f>
        <v>0</v>
      </c>
      <c r="G25" s="54" t="n">
        <f aca="false">IF($A25="","",SUMIFS(资金流水!$N$5:$N$504,资金流水!$O$5:$O$504,$A25,资金流水!$C$5:$C$504,首页!$B$5)+SUMIFS(销售录入!$X$5:$X$404,销售录入!$V$5:$V$404,$A25,销售录入!$C$5:$C$404,首页!$B$5)+SUMIFS(销售录入!$AA$5:$AA$404,销售录入!$Y$5:$Y$404,$A25,销售录入!$C$5:$C$404,首页!$B$5)+SUMIFS(销售录入!$AD$5:$AD$404,销售录入!$AB$5:$AB$404,$A25,销售录入!$C$5:$C$404,首页!$B$5)+SUMIFS(采购录入!$W$5:$W$404,采购录入!$U$5:$U$404,$A25,采购录入!$C$5:$C$404,首页!$B$5)+SUMIFS(采购录入!$Z$5:$Z$404,采购录入!$X$5:$X$404,$A25,采购录入!$C$5:$C$404,首页!$B$5)+SUMIFS(其他凭证!$H$5:$H$304,其他凭证!$F$5:$F$304,$A25,其他凭证!$C$5:$C$304,首页!$B$5))</f>
        <v>0</v>
      </c>
      <c r="H25" s="54" t="n">
        <f aca="false">IF($A25="","",SUMIFS(资金流水!$N$5:$N$504,资金流水!$P$5:$P$504,$A25,资金流水!$C$5:$C$504,首页!$B$5)+SUMIFS(销售录入!$X$5:$X$404,销售录入!$W$5:$W$404,$A25,销售录入!$C$5:$C$404,首页!$B$5)+SUMIFS(销售录入!$AA$5:$AA$404,销售录入!$Z$5:$Z$404,$A25,销售录入!$C$5:$C$404,首页!$B$5)+SUMIFS(销售录入!$AD$5:$AD$404,销售录入!$AC$5:$AC$404,$A25,销售录入!$C$5:$C$404,首页!$B$5)+SUMIFS(采购录入!$W$5:$W$404,采购录入!$V$5:$V$404,$A25,采购录入!$C$5:$C$404,首页!$B$5)+SUMIFS(采购录入!$Z$5:$Z$404,采购录入!$Y$5:$Y$404,$A25,采购录入!$C$5:$C$404,首页!$B$5)+SUMIFS(其他凭证!$H$5:$H$304,其他凭证!$G$5:$G$304,$A25,其他凭证!$C$5:$C$304,首页!$B$5))</f>
        <v>0</v>
      </c>
      <c r="I25" s="54" t="n">
        <f aca="false">IF($A25="","",SUMIFS(资金流水!$N$5:$N$504,资金流水!$O$5:$O$504,$A25,资金流水!$B$5:$B$504,"&lt;="&amp;首页!$B$7)+SUMIFS(销售录入!$X$5:$X$404,销售录入!$V$5:$V$404,$A25,销售录入!$B$5:$B$404,"&lt;="&amp;首页!$B$7)+SUMIFS(销售录入!$AA$5:$AA$404,销售录入!$Y$5:$Y$404,$A25,销售录入!$B$5:$B$404,"&lt;="&amp;首页!$B$7)+SUMIFS(销售录入!$AD$5:$AD$404,销售录入!$AB$5:$AB$404,$A25,销售录入!$B$5:$B$404,"&lt;="&amp;首页!$B$7)+SUMIFS(采购录入!$W$5:$W$404,采购录入!$U$5:$U$404,$A25,采购录入!$B$5:$B$404,"&lt;="&amp;首页!$B$7)+SUMIFS(采购录入!$Z$5:$Z$404,采购录入!$X$5:$X$404,$A25,采购录入!$B$5:$B$404,"&lt;="&amp;首页!$B$7)+SUMIFS(其他凭证!$H$5:$H$304,其他凭证!$F$5:$F$304,$A25,其他凭证!$B$5:$B$304,"&lt;="&amp;首页!$B$7))</f>
        <v>0</v>
      </c>
      <c r="J25" s="54" t="n">
        <f aca="false">IF($A25="","",SUMIFS(资金流水!$N$5:$N$504,资金流水!$P$5:$P$504,$A25,资金流水!$B$5:$B$504,"&lt;="&amp;首页!$B$7)+SUMIFS(销售录入!$X$5:$X$404,销售录入!$W$5:$W$404,$A25,销售录入!$B$5:$B$404,"&lt;="&amp;首页!$B$7)+SUMIFS(销售录入!$AA$5:$AA$404,销售录入!$Z$5:$Z$404,$A25,销售录入!$B$5:$B$404,"&lt;="&amp;首页!$B$7)+SUMIFS(销售录入!$AD$5:$AD$404,销售录入!$AC$5:$AC$404,$A25,销售录入!$B$5:$B$404,"&lt;="&amp;首页!$B$7)+SUMIFS(采购录入!$W$5:$W$404,采购录入!$V$5:$V$404,$A25,采购录入!$B$5:$B$404,"&lt;="&amp;首页!$B$7)+SUMIFS(采购录入!$Z$5:$Z$404,采购录入!$Y$5:$Y$404,$A25,采购录入!$B$5:$B$404,"&lt;="&amp;首页!$B$7)+SUMIFS(其他凭证!$H$5:$H$304,其他凭证!$G$5:$G$304,$A25,其他凭证!$B$5:$B$304,"&lt;="&amp;首页!$B$7))</f>
        <v>0</v>
      </c>
      <c r="K25" s="44" t="n">
        <f aca="false">IF($A25="","",($E25+$I25)-($F25+$J25))</f>
        <v>0</v>
      </c>
      <c r="L25" s="44" t="n">
        <f aca="false">IF($A25="","",IF($K25&gt;=0,$K25,0))</f>
        <v>0</v>
      </c>
      <c r="M25" s="44" t="n">
        <f aca="false">IF($A25="","",IF($K25&lt;0,-$K25,0))</f>
        <v>0</v>
      </c>
      <c r="N25" s="35" t="str">
        <f aca="false">IF($A25="","",科目参数!$F25)</f>
        <v>债权投资</v>
      </c>
      <c r="O25" s="35" t="n">
        <f aca="false">IF($A25="","",科目参数!$G25)</f>
        <v>0</v>
      </c>
      <c r="P25" s="42" t="str">
        <f aca="false">IF($A25="","",科目参数!$H25)</f>
        <v>投资活动</v>
      </c>
    </row>
    <row r="26" customFormat="false" ht="15.75" hidden="false" customHeight="true" outlineLevel="0" collapsed="false">
      <c r="A26" s="42" t="str">
        <f aca="false">IF(科目参数!$A26="","",科目参数!$A26)</f>
        <v>1511</v>
      </c>
      <c r="B26" s="35" t="str">
        <f aca="false">IF($A26="","",科目参数!$B26)</f>
        <v>长期股权投资</v>
      </c>
      <c r="C26" s="42" t="str">
        <f aca="false">IF($A26="","",科目参数!$C26)</f>
        <v>资产</v>
      </c>
      <c r="D26" s="42" t="str">
        <f aca="false">IF($A26="","",科目参数!$D26)</f>
        <v>借</v>
      </c>
      <c r="E26" s="54" t="n">
        <f aca="false">IF($A26="","",SUMIFS(期初数据!$Z$6:$Z$125,期初数据!$W$6:$W$125,$A26))</f>
        <v>0</v>
      </c>
      <c r="F26" s="54" t="n">
        <f aca="false">IF($A26="","",SUMIFS(期初数据!$AA$6:$AA$125,期初数据!$W$6:$W$125,$A26))</f>
        <v>0</v>
      </c>
      <c r="G26" s="54" t="n">
        <f aca="false">IF($A26="","",SUMIFS(资金流水!$N$5:$N$504,资金流水!$O$5:$O$504,$A26,资金流水!$C$5:$C$504,首页!$B$5)+SUMIFS(销售录入!$X$5:$X$404,销售录入!$V$5:$V$404,$A26,销售录入!$C$5:$C$404,首页!$B$5)+SUMIFS(销售录入!$AA$5:$AA$404,销售录入!$Y$5:$Y$404,$A26,销售录入!$C$5:$C$404,首页!$B$5)+SUMIFS(销售录入!$AD$5:$AD$404,销售录入!$AB$5:$AB$404,$A26,销售录入!$C$5:$C$404,首页!$B$5)+SUMIFS(采购录入!$W$5:$W$404,采购录入!$U$5:$U$404,$A26,采购录入!$C$5:$C$404,首页!$B$5)+SUMIFS(采购录入!$Z$5:$Z$404,采购录入!$X$5:$X$404,$A26,采购录入!$C$5:$C$404,首页!$B$5)+SUMIFS(其他凭证!$H$5:$H$304,其他凭证!$F$5:$F$304,$A26,其他凭证!$C$5:$C$304,首页!$B$5))</f>
        <v>0</v>
      </c>
      <c r="H26" s="54" t="n">
        <f aca="false">IF($A26="","",SUMIFS(资金流水!$N$5:$N$504,资金流水!$P$5:$P$504,$A26,资金流水!$C$5:$C$504,首页!$B$5)+SUMIFS(销售录入!$X$5:$X$404,销售录入!$W$5:$W$404,$A26,销售录入!$C$5:$C$404,首页!$B$5)+SUMIFS(销售录入!$AA$5:$AA$404,销售录入!$Z$5:$Z$404,$A26,销售录入!$C$5:$C$404,首页!$B$5)+SUMIFS(销售录入!$AD$5:$AD$404,销售录入!$AC$5:$AC$404,$A26,销售录入!$C$5:$C$404,首页!$B$5)+SUMIFS(采购录入!$W$5:$W$404,采购录入!$V$5:$V$404,$A26,采购录入!$C$5:$C$404,首页!$B$5)+SUMIFS(采购录入!$Z$5:$Z$404,采购录入!$Y$5:$Y$404,$A26,采购录入!$C$5:$C$404,首页!$B$5)+SUMIFS(其他凭证!$H$5:$H$304,其他凭证!$G$5:$G$304,$A26,其他凭证!$C$5:$C$304,首页!$B$5))</f>
        <v>0</v>
      </c>
      <c r="I26" s="54" t="n">
        <f aca="false">IF($A26="","",SUMIFS(资金流水!$N$5:$N$504,资金流水!$O$5:$O$504,$A26,资金流水!$B$5:$B$504,"&lt;="&amp;首页!$B$7)+SUMIFS(销售录入!$X$5:$X$404,销售录入!$V$5:$V$404,$A26,销售录入!$B$5:$B$404,"&lt;="&amp;首页!$B$7)+SUMIFS(销售录入!$AA$5:$AA$404,销售录入!$Y$5:$Y$404,$A26,销售录入!$B$5:$B$404,"&lt;="&amp;首页!$B$7)+SUMIFS(销售录入!$AD$5:$AD$404,销售录入!$AB$5:$AB$404,$A26,销售录入!$B$5:$B$404,"&lt;="&amp;首页!$B$7)+SUMIFS(采购录入!$W$5:$W$404,采购录入!$U$5:$U$404,$A26,采购录入!$B$5:$B$404,"&lt;="&amp;首页!$B$7)+SUMIFS(采购录入!$Z$5:$Z$404,采购录入!$X$5:$X$404,$A26,采购录入!$B$5:$B$404,"&lt;="&amp;首页!$B$7)+SUMIFS(其他凭证!$H$5:$H$304,其他凭证!$F$5:$F$304,$A26,其他凭证!$B$5:$B$304,"&lt;="&amp;首页!$B$7))</f>
        <v>0</v>
      </c>
      <c r="J26" s="54" t="n">
        <f aca="false">IF($A26="","",SUMIFS(资金流水!$N$5:$N$504,资金流水!$P$5:$P$504,$A26,资金流水!$B$5:$B$504,"&lt;="&amp;首页!$B$7)+SUMIFS(销售录入!$X$5:$X$404,销售录入!$W$5:$W$404,$A26,销售录入!$B$5:$B$404,"&lt;="&amp;首页!$B$7)+SUMIFS(销售录入!$AA$5:$AA$404,销售录入!$Z$5:$Z$404,$A26,销售录入!$B$5:$B$404,"&lt;="&amp;首页!$B$7)+SUMIFS(销售录入!$AD$5:$AD$404,销售录入!$AC$5:$AC$404,$A26,销售录入!$B$5:$B$404,"&lt;="&amp;首页!$B$7)+SUMIFS(采购录入!$W$5:$W$404,采购录入!$V$5:$V$404,$A26,采购录入!$B$5:$B$404,"&lt;="&amp;首页!$B$7)+SUMIFS(采购录入!$Z$5:$Z$404,采购录入!$Y$5:$Y$404,$A26,采购录入!$B$5:$B$404,"&lt;="&amp;首页!$B$7)+SUMIFS(其他凭证!$H$5:$H$304,其他凭证!$G$5:$G$304,$A26,其他凭证!$B$5:$B$304,"&lt;="&amp;首页!$B$7))</f>
        <v>0</v>
      </c>
      <c r="K26" s="44" t="n">
        <f aca="false">IF($A26="","",($E26+$I26)-($F26+$J26))</f>
        <v>0</v>
      </c>
      <c r="L26" s="44" t="n">
        <f aca="false">IF($A26="","",IF($K26&gt;=0,$K26,0))</f>
        <v>0</v>
      </c>
      <c r="M26" s="44" t="n">
        <f aca="false">IF($A26="","",IF($K26&lt;0,-$K26,0))</f>
        <v>0</v>
      </c>
      <c r="N26" s="35" t="str">
        <f aca="false">IF($A26="","",科目参数!$F26)</f>
        <v>长期股权投资</v>
      </c>
      <c r="O26" s="35" t="n">
        <f aca="false">IF($A26="","",科目参数!$G26)</f>
        <v>0</v>
      </c>
      <c r="P26" s="42" t="str">
        <f aca="false">IF($A26="","",科目参数!$H26)</f>
        <v>投资活动</v>
      </c>
    </row>
    <row r="27" customFormat="false" ht="15.75" hidden="false" customHeight="true" outlineLevel="0" collapsed="false">
      <c r="A27" s="42" t="str">
        <f aca="false">IF(科目参数!$A27="","",科目参数!$A27)</f>
        <v>1521</v>
      </c>
      <c r="B27" s="35" t="str">
        <f aca="false">IF($A27="","",科目参数!$B27)</f>
        <v>投资性房地产</v>
      </c>
      <c r="C27" s="42" t="str">
        <f aca="false">IF($A27="","",科目参数!$C27)</f>
        <v>资产</v>
      </c>
      <c r="D27" s="42" t="str">
        <f aca="false">IF($A27="","",科目参数!$D27)</f>
        <v>借</v>
      </c>
      <c r="E27" s="54" t="n">
        <f aca="false">IF($A27="","",SUMIFS(期初数据!$Z$6:$Z$125,期初数据!$W$6:$W$125,$A27))</f>
        <v>0</v>
      </c>
      <c r="F27" s="54" t="n">
        <f aca="false">IF($A27="","",SUMIFS(期初数据!$AA$6:$AA$125,期初数据!$W$6:$W$125,$A27))</f>
        <v>0</v>
      </c>
      <c r="G27" s="54" t="n">
        <f aca="false">IF($A27="","",SUMIFS(资金流水!$N$5:$N$504,资金流水!$O$5:$O$504,$A27,资金流水!$C$5:$C$504,首页!$B$5)+SUMIFS(销售录入!$X$5:$X$404,销售录入!$V$5:$V$404,$A27,销售录入!$C$5:$C$404,首页!$B$5)+SUMIFS(销售录入!$AA$5:$AA$404,销售录入!$Y$5:$Y$404,$A27,销售录入!$C$5:$C$404,首页!$B$5)+SUMIFS(销售录入!$AD$5:$AD$404,销售录入!$AB$5:$AB$404,$A27,销售录入!$C$5:$C$404,首页!$B$5)+SUMIFS(采购录入!$W$5:$W$404,采购录入!$U$5:$U$404,$A27,采购录入!$C$5:$C$404,首页!$B$5)+SUMIFS(采购录入!$Z$5:$Z$404,采购录入!$X$5:$X$404,$A27,采购录入!$C$5:$C$404,首页!$B$5)+SUMIFS(其他凭证!$H$5:$H$304,其他凭证!$F$5:$F$304,$A27,其他凭证!$C$5:$C$304,首页!$B$5))</f>
        <v>0</v>
      </c>
      <c r="H27" s="54" t="n">
        <f aca="false">IF($A27="","",SUMIFS(资金流水!$N$5:$N$504,资金流水!$P$5:$P$504,$A27,资金流水!$C$5:$C$504,首页!$B$5)+SUMIFS(销售录入!$X$5:$X$404,销售录入!$W$5:$W$404,$A27,销售录入!$C$5:$C$404,首页!$B$5)+SUMIFS(销售录入!$AA$5:$AA$404,销售录入!$Z$5:$Z$404,$A27,销售录入!$C$5:$C$404,首页!$B$5)+SUMIFS(销售录入!$AD$5:$AD$404,销售录入!$AC$5:$AC$404,$A27,销售录入!$C$5:$C$404,首页!$B$5)+SUMIFS(采购录入!$W$5:$W$404,采购录入!$V$5:$V$404,$A27,采购录入!$C$5:$C$404,首页!$B$5)+SUMIFS(采购录入!$Z$5:$Z$404,采购录入!$Y$5:$Y$404,$A27,采购录入!$C$5:$C$404,首页!$B$5)+SUMIFS(其他凭证!$H$5:$H$304,其他凭证!$G$5:$G$304,$A27,其他凭证!$C$5:$C$304,首页!$B$5))</f>
        <v>0</v>
      </c>
      <c r="I27" s="54" t="n">
        <f aca="false">IF($A27="","",SUMIFS(资金流水!$N$5:$N$504,资金流水!$O$5:$O$504,$A27,资金流水!$B$5:$B$504,"&lt;="&amp;首页!$B$7)+SUMIFS(销售录入!$X$5:$X$404,销售录入!$V$5:$V$404,$A27,销售录入!$B$5:$B$404,"&lt;="&amp;首页!$B$7)+SUMIFS(销售录入!$AA$5:$AA$404,销售录入!$Y$5:$Y$404,$A27,销售录入!$B$5:$B$404,"&lt;="&amp;首页!$B$7)+SUMIFS(销售录入!$AD$5:$AD$404,销售录入!$AB$5:$AB$404,$A27,销售录入!$B$5:$B$404,"&lt;="&amp;首页!$B$7)+SUMIFS(采购录入!$W$5:$W$404,采购录入!$U$5:$U$404,$A27,采购录入!$B$5:$B$404,"&lt;="&amp;首页!$B$7)+SUMIFS(采购录入!$Z$5:$Z$404,采购录入!$X$5:$X$404,$A27,采购录入!$B$5:$B$404,"&lt;="&amp;首页!$B$7)+SUMIFS(其他凭证!$H$5:$H$304,其他凭证!$F$5:$F$304,$A27,其他凭证!$B$5:$B$304,"&lt;="&amp;首页!$B$7))</f>
        <v>0</v>
      </c>
      <c r="J27" s="54" t="n">
        <f aca="false">IF($A27="","",SUMIFS(资金流水!$N$5:$N$504,资金流水!$P$5:$P$504,$A27,资金流水!$B$5:$B$504,"&lt;="&amp;首页!$B$7)+SUMIFS(销售录入!$X$5:$X$404,销售录入!$W$5:$W$404,$A27,销售录入!$B$5:$B$404,"&lt;="&amp;首页!$B$7)+SUMIFS(销售录入!$AA$5:$AA$404,销售录入!$Z$5:$Z$404,$A27,销售录入!$B$5:$B$404,"&lt;="&amp;首页!$B$7)+SUMIFS(销售录入!$AD$5:$AD$404,销售录入!$AC$5:$AC$404,$A27,销售录入!$B$5:$B$404,"&lt;="&amp;首页!$B$7)+SUMIFS(采购录入!$W$5:$W$404,采购录入!$V$5:$V$404,$A27,采购录入!$B$5:$B$404,"&lt;="&amp;首页!$B$7)+SUMIFS(采购录入!$Z$5:$Z$404,采购录入!$Y$5:$Y$404,$A27,采购录入!$B$5:$B$404,"&lt;="&amp;首页!$B$7)+SUMIFS(其他凭证!$H$5:$H$304,其他凭证!$G$5:$G$304,$A27,其他凭证!$B$5:$B$304,"&lt;="&amp;首页!$B$7))</f>
        <v>0</v>
      </c>
      <c r="K27" s="44" t="n">
        <f aca="false">IF($A27="","",($E27+$I27)-($F27+$J27))</f>
        <v>0</v>
      </c>
      <c r="L27" s="44" t="n">
        <f aca="false">IF($A27="","",IF($K27&gt;=0,$K27,0))</f>
        <v>0</v>
      </c>
      <c r="M27" s="44" t="n">
        <f aca="false">IF($A27="","",IF($K27&lt;0,-$K27,0))</f>
        <v>0</v>
      </c>
      <c r="N27" s="35" t="str">
        <f aca="false">IF($A27="","",科目参数!$F27)</f>
        <v>投资性房地产</v>
      </c>
      <c r="O27" s="35" t="n">
        <f aca="false">IF($A27="","",科目参数!$G27)</f>
        <v>0</v>
      </c>
      <c r="P27" s="42" t="str">
        <f aca="false">IF($A27="","",科目参数!$H27)</f>
        <v>投资活动</v>
      </c>
    </row>
    <row r="28" customFormat="false" ht="15.75" hidden="false" customHeight="true" outlineLevel="0" collapsed="false">
      <c r="A28" s="42" t="str">
        <f aca="false">IF(科目参数!$A28="","",科目参数!$A28)</f>
        <v>1601</v>
      </c>
      <c r="B28" s="35" t="str">
        <f aca="false">IF($A28="","",科目参数!$B28)</f>
        <v>固定资产</v>
      </c>
      <c r="C28" s="42" t="str">
        <f aca="false">IF($A28="","",科目参数!$C28)</f>
        <v>资产</v>
      </c>
      <c r="D28" s="42" t="str">
        <f aca="false">IF($A28="","",科目参数!$D28)</f>
        <v>借</v>
      </c>
      <c r="E28" s="54" t="n">
        <f aca="false">IF($A28="","",SUMIFS(期初数据!$Z$6:$Z$125,期初数据!$W$6:$W$125,$A28))</f>
        <v>120000</v>
      </c>
      <c r="F28" s="54" t="n">
        <f aca="false">IF($A28="","",SUMIFS(期初数据!$AA$6:$AA$125,期初数据!$W$6:$W$125,$A28))</f>
        <v>0</v>
      </c>
      <c r="G28" s="54" t="n">
        <f aca="false">IF($A28="","",SUMIFS(资金流水!$N$5:$N$504,资金流水!$O$5:$O$504,$A28,资金流水!$C$5:$C$504,首页!$B$5)+SUMIFS(销售录入!$X$5:$X$404,销售录入!$V$5:$V$404,$A28,销售录入!$C$5:$C$404,首页!$B$5)+SUMIFS(销售录入!$AA$5:$AA$404,销售录入!$Y$5:$Y$404,$A28,销售录入!$C$5:$C$404,首页!$B$5)+SUMIFS(销售录入!$AD$5:$AD$404,销售录入!$AB$5:$AB$404,$A28,销售录入!$C$5:$C$404,首页!$B$5)+SUMIFS(采购录入!$W$5:$W$404,采购录入!$U$5:$U$404,$A28,采购录入!$C$5:$C$404,首页!$B$5)+SUMIFS(采购录入!$Z$5:$Z$404,采购录入!$X$5:$X$404,$A28,采购录入!$C$5:$C$404,首页!$B$5)+SUMIFS(其他凭证!$H$5:$H$304,其他凭证!$F$5:$F$304,$A28,其他凭证!$C$5:$C$304,首页!$B$5))</f>
        <v>0</v>
      </c>
      <c r="H28" s="54" t="n">
        <f aca="false">IF($A28="","",SUMIFS(资金流水!$N$5:$N$504,资金流水!$P$5:$P$504,$A28,资金流水!$C$5:$C$504,首页!$B$5)+SUMIFS(销售录入!$X$5:$X$404,销售录入!$W$5:$W$404,$A28,销售录入!$C$5:$C$404,首页!$B$5)+SUMIFS(销售录入!$AA$5:$AA$404,销售录入!$Z$5:$Z$404,$A28,销售录入!$C$5:$C$404,首页!$B$5)+SUMIFS(销售录入!$AD$5:$AD$404,销售录入!$AC$5:$AC$404,$A28,销售录入!$C$5:$C$404,首页!$B$5)+SUMIFS(采购录入!$W$5:$W$404,采购录入!$V$5:$V$404,$A28,采购录入!$C$5:$C$404,首页!$B$5)+SUMIFS(采购录入!$Z$5:$Z$404,采购录入!$Y$5:$Y$404,$A28,采购录入!$C$5:$C$404,首页!$B$5)+SUMIFS(其他凭证!$H$5:$H$304,其他凭证!$G$5:$G$304,$A28,其他凭证!$C$5:$C$304,首页!$B$5))</f>
        <v>0</v>
      </c>
      <c r="I28" s="54" t="n">
        <f aca="false">IF($A28="","",SUMIFS(资金流水!$N$5:$N$504,资金流水!$O$5:$O$504,$A28,资金流水!$B$5:$B$504,"&lt;="&amp;首页!$B$7)+SUMIFS(销售录入!$X$5:$X$404,销售录入!$V$5:$V$404,$A28,销售录入!$B$5:$B$404,"&lt;="&amp;首页!$B$7)+SUMIFS(销售录入!$AA$5:$AA$404,销售录入!$Y$5:$Y$404,$A28,销售录入!$B$5:$B$404,"&lt;="&amp;首页!$B$7)+SUMIFS(销售录入!$AD$5:$AD$404,销售录入!$AB$5:$AB$404,$A28,销售录入!$B$5:$B$404,"&lt;="&amp;首页!$B$7)+SUMIFS(采购录入!$W$5:$W$404,采购录入!$U$5:$U$404,$A28,采购录入!$B$5:$B$404,"&lt;="&amp;首页!$B$7)+SUMIFS(采购录入!$Z$5:$Z$404,采购录入!$X$5:$X$404,$A28,采购录入!$B$5:$B$404,"&lt;="&amp;首页!$B$7)+SUMIFS(其他凭证!$H$5:$H$304,其他凭证!$F$5:$F$304,$A28,其他凭证!$B$5:$B$304,"&lt;="&amp;首页!$B$7))</f>
        <v>0</v>
      </c>
      <c r="J28" s="54" t="n">
        <f aca="false">IF($A28="","",SUMIFS(资金流水!$N$5:$N$504,资金流水!$P$5:$P$504,$A28,资金流水!$B$5:$B$504,"&lt;="&amp;首页!$B$7)+SUMIFS(销售录入!$X$5:$X$404,销售录入!$W$5:$W$404,$A28,销售录入!$B$5:$B$404,"&lt;="&amp;首页!$B$7)+SUMIFS(销售录入!$AA$5:$AA$404,销售录入!$Z$5:$Z$404,$A28,销售录入!$B$5:$B$404,"&lt;="&amp;首页!$B$7)+SUMIFS(销售录入!$AD$5:$AD$404,销售录入!$AC$5:$AC$404,$A28,销售录入!$B$5:$B$404,"&lt;="&amp;首页!$B$7)+SUMIFS(采购录入!$W$5:$W$404,采购录入!$V$5:$V$404,$A28,采购录入!$B$5:$B$404,"&lt;="&amp;首页!$B$7)+SUMIFS(采购录入!$Z$5:$Z$404,采购录入!$Y$5:$Y$404,$A28,采购录入!$B$5:$B$404,"&lt;="&amp;首页!$B$7)+SUMIFS(其他凭证!$H$5:$H$304,其他凭证!$G$5:$G$304,$A28,其他凭证!$B$5:$B$304,"&lt;="&amp;首页!$B$7))</f>
        <v>0</v>
      </c>
      <c r="K28" s="44" t="n">
        <f aca="false">IF($A28="","",($E28+$I28)-($F28+$J28))</f>
        <v>120000</v>
      </c>
      <c r="L28" s="44" t="n">
        <f aca="false">IF($A28="","",IF($K28&gt;=0,$K28,0))</f>
        <v>120000</v>
      </c>
      <c r="M28" s="44" t="n">
        <f aca="false">IF($A28="","",IF($K28&lt;0,-$K28,0))</f>
        <v>0</v>
      </c>
      <c r="N28" s="35" t="str">
        <f aca="false">IF($A28="","",科目参数!$F28)</f>
        <v>固定资产</v>
      </c>
      <c r="O28" s="35" t="n">
        <f aca="false">IF($A28="","",科目参数!$G28)</f>
        <v>0</v>
      </c>
      <c r="P28" s="42" t="str">
        <f aca="false">IF($A28="","",科目参数!$H28)</f>
        <v>投资活动</v>
      </c>
    </row>
    <row r="29" customFormat="false" ht="15.75" hidden="false" customHeight="true" outlineLevel="0" collapsed="false">
      <c r="A29" s="42" t="str">
        <f aca="false">IF(科目参数!$A29="","",科目参数!$A29)</f>
        <v>1602</v>
      </c>
      <c r="B29" s="35" t="str">
        <f aca="false">IF($A29="","",科目参数!$B29)</f>
        <v>累计折旧</v>
      </c>
      <c r="C29" s="42" t="str">
        <f aca="false">IF($A29="","",科目参数!$C29)</f>
        <v>资产</v>
      </c>
      <c r="D29" s="42" t="str">
        <f aca="false">IF($A29="","",科目参数!$D29)</f>
        <v>贷</v>
      </c>
      <c r="E29" s="54" t="n">
        <f aca="false">IF($A29="","",SUMIFS(期初数据!$Z$6:$Z$125,期初数据!$W$6:$W$125,$A29))</f>
        <v>0</v>
      </c>
      <c r="F29" s="54" t="n">
        <f aca="false">IF($A29="","",SUMIFS(期初数据!$AA$6:$AA$125,期初数据!$W$6:$W$125,$A29))</f>
        <v>30000</v>
      </c>
      <c r="G29" s="54" t="n">
        <f aca="false">IF($A29="","",SUMIFS(资金流水!$N$5:$N$504,资金流水!$O$5:$O$504,$A29,资金流水!$C$5:$C$504,首页!$B$5)+SUMIFS(销售录入!$X$5:$X$404,销售录入!$V$5:$V$404,$A29,销售录入!$C$5:$C$404,首页!$B$5)+SUMIFS(销售录入!$AA$5:$AA$404,销售录入!$Y$5:$Y$404,$A29,销售录入!$C$5:$C$404,首页!$B$5)+SUMIFS(销售录入!$AD$5:$AD$404,销售录入!$AB$5:$AB$404,$A29,销售录入!$C$5:$C$404,首页!$B$5)+SUMIFS(采购录入!$W$5:$W$404,采购录入!$U$5:$U$404,$A29,采购录入!$C$5:$C$404,首页!$B$5)+SUMIFS(采购录入!$Z$5:$Z$404,采购录入!$X$5:$X$404,$A29,采购录入!$C$5:$C$404,首页!$B$5)+SUMIFS(其他凭证!$H$5:$H$304,其他凭证!$F$5:$F$304,$A29,其他凭证!$C$5:$C$304,首页!$B$5))</f>
        <v>0</v>
      </c>
      <c r="H29" s="54" t="n">
        <f aca="false">IF($A29="","",SUMIFS(资金流水!$N$5:$N$504,资金流水!$P$5:$P$504,$A29,资金流水!$C$5:$C$504,首页!$B$5)+SUMIFS(销售录入!$X$5:$X$404,销售录入!$W$5:$W$404,$A29,销售录入!$C$5:$C$404,首页!$B$5)+SUMIFS(销售录入!$AA$5:$AA$404,销售录入!$Z$5:$Z$404,$A29,销售录入!$C$5:$C$404,首页!$B$5)+SUMIFS(销售录入!$AD$5:$AD$404,销售录入!$AC$5:$AC$404,$A29,销售录入!$C$5:$C$404,首页!$B$5)+SUMIFS(采购录入!$W$5:$W$404,采购录入!$V$5:$V$404,$A29,采购录入!$C$5:$C$404,首页!$B$5)+SUMIFS(采购录入!$Z$5:$Z$404,采购录入!$Y$5:$Y$404,$A29,采购录入!$C$5:$C$404,首页!$B$5)+SUMIFS(其他凭证!$H$5:$H$304,其他凭证!$G$5:$G$304,$A29,其他凭证!$C$5:$C$304,首页!$B$5))</f>
        <v>2500</v>
      </c>
      <c r="I29" s="54" t="n">
        <f aca="false">IF($A29="","",SUMIFS(资金流水!$N$5:$N$504,资金流水!$O$5:$O$504,$A29,资金流水!$B$5:$B$504,"&lt;="&amp;首页!$B$7)+SUMIFS(销售录入!$X$5:$X$404,销售录入!$V$5:$V$404,$A29,销售录入!$B$5:$B$404,"&lt;="&amp;首页!$B$7)+SUMIFS(销售录入!$AA$5:$AA$404,销售录入!$Y$5:$Y$404,$A29,销售录入!$B$5:$B$404,"&lt;="&amp;首页!$B$7)+SUMIFS(销售录入!$AD$5:$AD$404,销售录入!$AB$5:$AB$404,$A29,销售录入!$B$5:$B$404,"&lt;="&amp;首页!$B$7)+SUMIFS(采购录入!$W$5:$W$404,采购录入!$U$5:$U$404,$A29,采购录入!$B$5:$B$404,"&lt;="&amp;首页!$B$7)+SUMIFS(采购录入!$Z$5:$Z$404,采购录入!$X$5:$X$404,$A29,采购录入!$B$5:$B$404,"&lt;="&amp;首页!$B$7)+SUMIFS(其他凭证!$H$5:$H$304,其他凭证!$F$5:$F$304,$A29,其他凭证!$B$5:$B$304,"&lt;="&amp;首页!$B$7))</f>
        <v>0</v>
      </c>
      <c r="J29" s="54" t="n">
        <f aca="false">IF($A29="","",SUMIFS(资金流水!$N$5:$N$504,资金流水!$P$5:$P$504,$A29,资金流水!$B$5:$B$504,"&lt;="&amp;首页!$B$7)+SUMIFS(销售录入!$X$5:$X$404,销售录入!$W$5:$W$404,$A29,销售录入!$B$5:$B$404,"&lt;="&amp;首页!$B$7)+SUMIFS(销售录入!$AA$5:$AA$404,销售录入!$Z$5:$Z$404,$A29,销售录入!$B$5:$B$404,"&lt;="&amp;首页!$B$7)+SUMIFS(销售录入!$AD$5:$AD$404,销售录入!$AC$5:$AC$404,$A29,销售录入!$B$5:$B$404,"&lt;="&amp;首页!$B$7)+SUMIFS(采购录入!$W$5:$W$404,采购录入!$V$5:$V$404,$A29,采购录入!$B$5:$B$404,"&lt;="&amp;首页!$B$7)+SUMIFS(采购录入!$Z$5:$Z$404,采购录入!$Y$5:$Y$404,$A29,采购录入!$B$5:$B$404,"&lt;="&amp;首页!$B$7)+SUMIFS(其他凭证!$H$5:$H$304,其他凭证!$G$5:$G$304,$A29,其他凭证!$B$5:$B$304,"&lt;="&amp;首页!$B$7))</f>
        <v>2500</v>
      </c>
      <c r="K29" s="44" t="n">
        <f aca="false">IF($A29="","",($E29+$I29)-($F29+$J29))</f>
        <v>-32500</v>
      </c>
      <c r="L29" s="44" t="n">
        <f aca="false">IF($A29="","",IF($K29&gt;=0,$K29,0))</f>
        <v>0</v>
      </c>
      <c r="M29" s="44" t="n">
        <f aca="false">IF($A29="","",IF($K29&lt;0,-$K29,0))</f>
        <v>32500</v>
      </c>
      <c r="N29" s="35" t="str">
        <f aca="false">IF($A29="","",科目参数!$F29)</f>
        <v>固定资产</v>
      </c>
      <c r="O29" s="35" t="n">
        <f aca="false">IF($A29="","",科目参数!$G29)</f>
        <v>0</v>
      </c>
      <c r="P29" s="42" t="str">
        <f aca="false">IF($A29="","",科目参数!$H29)</f>
        <v>非现金</v>
      </c>
    </row>
    <row r="30" customFormat="false" ht="15.75" hidden="false" customHeight="true" outlineLevel="0" collapsed="false">
      <c r="A30" s="42" t="str">
        <f aca="false">IF(科目参数!$A30="","",科目参数!$A30)</f>
        <v>1604</v>
      </c>
      <c r="B30" s="35" t="str">
        <f aca="false">IF($A30="","",科目参数!$B30)</f>
        <v>在建工程</v>
      </c>
      <c r="C30" s="42" t="str">
        <f aca="false">IF($A30="","",科目参数!$C30)</f>
        <v>资产</v>
      </c>
      <c r="D30" s="42" t="str">
        <f aca="false">IF($A30="","",科目参数!$D30)</f>
        <v>借</v>
      </c>
      <c r="E30" s="54" t="n">
        <f aca="false">IF($A30="","",SUMIFS(期初数据!$Z$6:$Z$125,期初数据!$W$6:$W$125,$A30))</f>
        <v>0</v>
      </c>
      <c r="F30" s="54" t="n">
        <f aca="false">IF($A30="","",SUMIFS(期初数据!$AA$6:$AA$125,期初数据!$W$6:$W$125,$A30))</f>
        <v>0</v>
      </c>
      <c r="G30" s="54" t="n">
        <f aca="false">IF($A30="","",SUMIFS(资金流水!$N$5:$N$504,资金流水!$O$5:$O$504,$A30,资金流水!$C$5:$C$504,首页!$B$5)+SUMIFS(销售录入!$X$5:$X$404,销售录入!$V$5:$V$404,$A30,销售录入!$C$5:$C$404,首页!$B$5)+SUMIFS(销售录入!$AA$5:$AA$404,销售录入!$Y$5:$Y$404,$A30,销售录入!$C$5:$C$404,首页!$B$5)+SUMIFS(销售录入!$AD$5:$AD$404,销售录入!$AB$5:$AB$404,$A30,销售录入!$C$5:$C$404,首页!$B$5)+SUMIFS(采购录入!$W$5:$W$404,采购录入!$U$5:$U$404,$A30,采购录入!$C$5:$C$404,首页!$B$5)+SUMIFS(采购录入!$Z$5:$Z$404,采购录入!$X$5:$X$404,$A30,采购录入!$C$5:$C$404,首页!$B$5)+SUMIFS(其他凭证!$H$5:$H$304,其他凭证!$F$5:$F$304,$A30,其他凭证!$C$5:$C$304,首页!$B$5))</f>
        <v>0</v>
      </c>
      <c r="H30" s="54" t="n">
        <f aca="false">IF($A30="","",SUMIFS(资金流水!$N$5:$N$504,资金流水!$P$5:$P$504,$A30,资金流水!$C$5:$C$504,首页!$B$5)+SUMIFS(销售录入!$X$5:$X$404,销售录入!$W$5:$W$404,$A30,销售录入!$C$5:$C$404,首页!$B$5)+SUMIFS(销售录入!$AA$5:$AA$404,销售录入!$Z$5:$Z$404,$A30,销售录入!$C$5:$C$404,首页!$B$5)+SUMIFS(销售录入!$AD$5:$AD$404,销售录入!$AC$5:$AC$404,$A30,销售录入!$C$5:$C$404,首页!$B$5)+SUMIFS(采购录入!$W$5:$W$404,采购录入!$V$5:$V$404,$A30,采购录入!$C$5:$C$404,首页!$B$5)+SUMIFS(采购录入!$Z$5:$Z$404,采购录入!$Y$5:$Y$404,$A30,采购录入!$C$5:$C$404,首页!$B$5)+SUMIFS(其他凭证!$H$5:$H$304,其他凭证!$G$5:$G$304,$A30,其他凭证!$C$5:$C$304,首页!$B$5))</f>
        <v>0</v>
      </c>
      <c r="I30" s="54" t="n">
        <f aca="false">IF($A30="","",SUMIFS(资金流水!$N$5:$N$504,资金流水!$O$5:$O$504,$A30,资金流水!$B$5:$B$504,"&lt;="&amp;首页!$B$7)+SUMIFS(销售录入!$X$5:$X$404,销售录入!$V$5:$V$404,$A30,销售录入!$B$5:$B$404,"&lt;="&amp;首页!$B$7)+SUMIFS(销售录入!$AA$5:$AA$404,销售录入!$Y$5:$Y$404,$A30,销售录入!$B$5:$B$404,"&lt;="&amp;首页!$B$7)+SUMIFS(销售录入!$AD$5:$AD$404,销售录入!$AB$5:$AB$404,$A30,销售录入!$B$5:$B$404,"&lt;="&amp;首页!$B$7)+SUMIFS(采购录入!$W$5:$W$404,采购录入!$U$5:$U$404,$A30,采购录入!$B$5:$B$404,"&lt;="&amp;首页!$B$7)+SUMIFS(采购录入!$Z$5:$Z$404,采购录入!$X$5:$X$404,$A30,采购录入!$B$5:$B$404,"&lt;="&amp;首页!$B$7)+SUMIFS(其他凭证!$H$5:$H$304,其他凭证!$F$5:$F$304,$A30,其他凭证!$B$5:$B$304,"&lt;="&amp;首页!$B$7))</f>
        <v>0</v>
      </c>
      <c r="J30" s="54" t="n">
        <f aca="false">IF($A30="","",SUMIFS(资金流水!$N$5:$N$504,资金流水!$P$5:$P$504,$A30,资金流水!$B$5:$B$504,"&lt;="&amp;首页!$B$7)+SUMIFS(销售录入!$X$5:$X$404,销售录入!$W$5:$W$404,$A30,销售录入!$B$5:$B$404,"&lt;="&amp;首页!$B$7)+SUMIFS(销售录入!$AA$5:$AA$404,销售录入!$Z$5:$Z$404,$A30,销售录入!$B$5:$B$404,"&lt;="&amp;首页!$B$7)+SUMIFS(销售录入!$AD$5:$AD$404,销售录入!$AC$5:$AC$404,$A30,销售录入!$B$5:$B$404,"&lt;="&amp;首页!$B$7)+SUMIFS(采购录入!$W$5:$W$404,采购录入!$V$5:$V$404,$A30,采购录入!$B$5:$B$404,"&lt;="&amp;首页!$B$7)+SUMIFS(采购录入!$Z$5:$Z$404,采购录入!$Y$5:$Y$404,$A30,采购录入!$B$5:$B$404,"&lt;="&amp;首页!$B$7)+SUMIFS(其他凭证!$H$5:$H$304,其他凭证!$G$5:$G$304,$A30,其他凭证!$B$5:$B$304,"&lt;="&amp;首页!$B$7))</f>
        <v>0</v>
      </c>
      <c r="K30" s="44" t="n">
        <f aca="false">IF($A30="","",($E30+$I30)-($F30+$J30))</f>
        <v>0</v>
      </c>
      <c r="L30" s="44" t="n">
        <f aca="false">IF($A30="","",IF($K30&gt;=0,$K30,0))</f>
        <v>0</v>
      </c>
      <c r="M30" s="44" t="n">
        <f aca="false">IF($A30="","",IF($K30&lt;0,-$K30,0))</f>
        <v>0</v>
      </c>
      <c r="N30" s="35" t="str">
        <f aca="false">IF($A30="","",科目参数!$F30)</f>
        <v>在建工程</v>
      </c>
      <c r="O30" s="35" t="n">
        <f aca="false">IF($A30="","",科目参数!$G30)</f>
        <v>0</v>
      </c>
      <c r="P30" s="42" t="str">
        <f aca="false">IF($A30="","",科目参数!$H30)</f>
        <v>投资活动</v>
      </c>
    </row>
    <row r="31" customFormat="false" ht="15.75" hidden="false" customHeight="true" outlineLevel="0" collapsed="false">
      <c r="A31" s="42" t="str">
        <f aca="false">IF(科目参数!$A31="","",科目参数!$A31)</f>
        <v>1606</v>
      </c>
      <c r="B31" s="35" t="str">
        <f aca="false">IF($A31="","",科目参数!$B31)</f>
        <v>固定资产清理</v>
      </c>
      <c r="C31" s="42" t="str">
        <f aca="false">IF($A31="","",科目参数!$C31)</f>
        <v>资产</v>
      </c>
      <c r="D31" s="42" t="str">
        <f aca="false">IF($A31="","",科目参数!$D31)</f>
        <v>借</v>
      </c>
      <c r="E31" s="54" t="n">
        <f aca="false">IF($A31="","",SUMIFS(期初数据!$Z$6:$Z$125,期初数据!$W$6:$W$125,$A31))</f>
        <v>0</v>
      </c>
      <c r="F31" s="54" t="n">
        <f aca="false">IF($A31="","",SUMIFS(期初数据!$AA$6:$AA$125,期初数据!$W$6:$W$125,$A31))</f>
        <v>0</v>
      </c>
      <c r="G31" s="54" t="n">
        <f aca="false">IF($A31="","",SUMIFS(资金流水!$N$5:$N$504,资金流水!$O$5:$O$504,$A31,资金流水!$C$5:$C$504,首页!$B$5)+SUMIFS(销售录入!$X$5:$X$404,销售录入!$V$5:$V$404,$A31,销售录入!$C$5:$C$404,首页!$B$5)+SUMIFS(销售录入!$AA$5:$AA$404,销售录入!$Y$5:$Y$404,$A31,销售录入!$C$5:$C$404,首页!$B$5)+SUMIFS(销售录入!$AD$5:$AD$404,销售录入!$AB$5:$AB$404,$A31,销售录入!$C$5:$C$404,首页!$B$5)+SUMIFS(采购录入!$W$5:$W$404,采购录入!$U$5:$U$404,$A31,采购录入!$C$5:$C$404,首页!$B$5)+SUMIFS(采购录入!$Z$5:$Z$404,采购录入!$X$5:$X$404,$A31,采购录入!$C$5:$C$404,首页!$B$5)+SUMIFS(其他凭证!$H$5:$H$304,其他凭证!$F$5:$F$304,$A31,其他凭证!$C$5:$C$304,首页!$B$5))</f>
        <v>0</v>
      </c>
      <c r="H31" s="54" t="n">
        <f aca="false">IF($A31="","",SUMIFS(资金流水!$N$5:$N$504,资金流水!$P$5:$P$504,$A31,资金流水!$C$5:$C$504,首页!$B$5)+SUMIFS(销售录入!$X$5:$X$404,销售录入!$W$5:$W$404,$A31,销售录入!$C$5:$C$404,首页!$B$5)+SUMIFS(销售录入!$AA$5:$AA$404,销售录入!$Z$5:$Z$404,$A31,销售录入!$C$5:$C$404,首页!$B$5)+SUMIFS(销售录入!$AD$5:$AD$404,销售录入!$AC$5:$AC$404,$A31,销售录入!$C$5:$C$404,首页!$B$5)+SUMIFS(采购录入!$W$5:$W$404,采购录入!$V$5:$V$404,$A31,采购录入!$C$5:$C$404,首页!$B$5)+SUMIFS(采购录入!$Z$5:$Z$404,采购录入!$Y$5:$Y$404,$A31,采购录入!$C$5:$C$404,首页!$B$5)+SUMIFS(其他凭证!$H$5:$H$304,其他凭证!$G$5:$G$304,$A31,其他凭证!$C$5:$C$304,首页!$B$5))</f>
        <v>0</v>
      </c>
      <c r="I31" s="54" t="n">
        <f aca="false">IF($A31="","",SUMIFS(资金流水!$N$5:$N$504,资金流水!$O$5:$O$504,$A31,资金流水!$B$5:$B$504,"&lt;="&amp;首页!$B$7)+SUMIFS(销售录入!$X$5:$X$404,销售录入!$V$5:$V$404,$A31,销售录入!$B$5:$B$404,"&lt;="&amp;首页!$B$7)+SUMIFS(销售录入!$AA$5:$AA$404,销售录入!$Y$5:$Y$404,$A31,销售录入!$B$5:$B$404,"&lt;="&amp;首页!$B$7)+SUMIFS(销售录入!$AD$5:$AD$404,销售录入!$AB$5:$AB$404,$A31,销售录入!$B$5:$B$404,"&lt;="&amp;首页!$B$7)+SUMIFS(采购录入!$W$5:$W$404,采购录入!$U$5:$U$404,$A31,采购录入!$B$5:$B$404,"&lt;="&amp;首页!$B$7)+SUMIFS(采购录入!$Z$5:$Z$404,采购录入!$X$5:$X$404,$A31,采购录入!$B$5:$B$404,"&lt;="&amp;首页!$B$7)+SUMIFS(其他凭证!$H$5:$H$304,其他凭证!$F$5:$F$304,$A31,其他凭证!$B$5:$B$304,"&lt;="&amp;首页!$B$7))</f>
        <v>0</v>
      </c>
      <c r="J31" s="54" t="n">
        <f aca="false">IF($A31="","",SUMIFS(资金流水!$N$5:$N$504,资金流水!$P$5:$P$504,$A31,资金流水!$B$5:$B$504,"&lt;="&amp;首页!$B$7)+SUMIFS(销售录入!$X$5:$X$404,销售录入!$W$5:$W$404,$A31,销售录入!$B$5:$B$404,"&lt;="&amp;首页!$B$7)+SUMIFS(销售录入!$AA$5:$AA$404,销售录入!$Z$5:$Z$404,$A31,销售录入!$B$5:$B$404,"&lt;="&amp;首页!$B$7)+SUMIFS(销售录入!$AD$5:$AD$404,销售录入!$AC$5:$AC$404,$A31,销售录入!$B$5:$B$404,"&lt;="&amp;首页!$B$7)+SUMIFS(采购录入!$W$5:$W$404,采购录入!$V$5:$V$404,$A31,采购录入!$B$5:$B$404,"&lt;="&amp;首页!$B$7)+SUMIFS(采购录入!$Z$5:$Z$404,采购录入!$Y$5:$Y$404,$A31,采购录入!$B$5:$B$404,"&lt;="&amp;首页!$B$7)+SUMIFS(其他凭证!$H$5:$H$304,其他凭证!$G$5:$G$304,$A31,其他凭证!$B$5:$B$304,"&lt;="&amp;首页!$B$7))</f>
        <v>0</v>
      </c>
      <c r="K31" s="44" t="n">
        <f aca="false">IF($A31="","",($E31+$I31)-($F31+$J31))</f>
        <v>0</v>
      </c>
      <c r="L31" s="44" t="n">
        <f aca="false">IF($A31="","",IF($K31&gt;=0,$K31,0))</f>
        <v>0</v>
      </c>
      <c r="M31" s="44" t="n">
        <f aca="false">IF($A31="","",IF($K31&lt;0,-$K31,0))</f>
        <v>0</v>
      </c>
      <c r="N31" s="35" t="str">
        <f aca="false">IF($A31="","",科目参数!$F31)</f>
        <v>固定资产</v>
      </c>
      <c r="O31" s="35" t="n">
        <f aca="false">IF($A31="","",科目参数!$G31)</f>
        <v>0</v>
      </c>
      <c r="P31" s="42" t="str">
        <f aca="false">IF($A31="","",科目参数!$H31)</f>
        <v>投资活动</v>
      </c>
    </row>
    <row r="32" customFormat="false" ht="15.75" hidden="false" customHeight="true" outlineLevel="0" collapsed="false">
      <c r="A32" s="42" t="str">
        <f aca="false">IF(科目参数!$A32="","",科目参数!$A32)</f>
        <v>1701</v>
      </c>
      <c r="B32" s="35" t="str">
        <f aca="false">IF($A32="","",科目参数!$B32)</f>
        <v>无形资产</v>
      </c>
      <c r="C32" s="42" t="str">
        <f aca="false">IF($A32="","",科目参数!$C32)</f>
        <v>资产</v>
      </c>
      <c r="D32" s="42" t="str">
        <f aca="false">IF($A32="","",科目参数!$D32)</f>
        <v>借</v>
      </c>
      <c r="E32" s="54" t="n">
        <f aca="false">IF($A32="","",SUMIFS(期初数据!$Z$6:$Z$125,期初数据!$W$6:$W$125,$A32))</f>
        <v>0</v>
      </c>
      <c r="F32" s="54" t="n">
        <f aca="false">IF($A32="","",SUMIFS(期初数据!$AA$6:$AA$125,期初数据!$W$6:$W$125,$A32))</f>
        <v>0</v>
      </c>
      <c r="G32" s="54" t="n">
        <f aca="false">IF($A32="","",SUMIFS(资金流水!$N$5:$N$504,资金流水!$O$5:$O$504,$A32,资金流水!$C$5:$C$504,首页!$B$5)+SUMIFS(销售录入!$X$5:$X$404,销售录入!$V$5:$V$404,$A32,销售录入!$C$5:$C$404,首页!$B$5)+SUMIFS(销售录入!$AA$5:$AA$404,销售录入!$Y$5:$Y$404,$A32,销售录入!$C$5:$C$404,首页!$B$5)+SUMIFS(销售录入!$AD$5:$AD$404,销售录入!$AB$5:$AB$404,$A32,销售录入!$C$5:$C$404,首页!$B$5)+SUMIFS(采购录入!$W$5:$W$404,采购录入!$U$5:$U$404,$A32,采购录入!$C$5:$C$404,首页!$B$5)+SUMIFS(采购录入!$Z$5:$Z$404,采购录入!$X$5:$X$404,$A32,采购录入!$C$5:$C$404,首页!$B$5)+SUMIFS(其他凭证!$H$5:$H$304,其他凭证!$F$5:$F$304,$A32,其他凭证!$C$5:$C$304,首页!$B$5))</f>
        <v>0</v>
      </c>
      <c r="H32" s="54" t="n">
        <f aca="false">IF($A32="","",SUMIFS(资金流水!$N$5:$N$504,资金流水!$P$5:$P$504,$A32,资金流水!$C$5:$C$504,首页!$B$5)+SUMIFS(销售录入!$X$5:$X$404,销售录入!$W$5:$W$404,$A32,销售录入!$C$5:$C$404,首页!$B$5)+SUMIFS(销售录入!$AA$5:$AA$404,销售录入!$Z$5:$Z$404,$A32,销售录入!$C$5:$C$404,首页!$B$5)+SUMIFS(销售录入!$AD$5:$AD$404,销售录入!$AC$5:$AC$404,$A32,销售录入!$C$5:$C$404,首页!$B$5)+SUMIFS(采购录入!$W$5:$W$404,采购录入!$V$5:$V$404,$A32,采购录入!$C$5:$C$404,首页!$B$5)+SUMIFS(采购录入!$Z$5:$Z$404,采购录入!$Y$5:$Y$404,$A32,采购录入!$C$5:$C$404,首页!$B$5)+SUMIFS(其他凭证!$H$5:$H$304,其他凭证!$G$5:$G$304,$A32,其他凭证!$C$5:$C$304,首页!$B$5))</f>
        <v>0</v>
      </c>
      <c r="I32" s="54" t="n">
        <f aca="false">IF($A32="","",SUMIFS(资金流水!$N$5:$N$504,资金流水!$O$5:$O$504,$A32,资金流水!$B$5:$B$504,"&lt;="&amp;首页!$B$7)+SUMIFS(销售录入!$X$5:$X$404,销售录入!$V$5:$V$404,$A32,销售录入!$B$5:$B$404,"&lt;="&amp;首页!$B$7)+SUMIFS(销售录入!$AA$5:$AA$404,销售录入!$Y$5:$Y$404,$A32,销售录入!$B$5:$B$404,"&lt;="&amp;首页!$B$7)+SUMIFS(销售录入!$AD$5:$AD$404,销售录入!$AB$5:$AB$404,$A32,销售录入!$B$5:$B$404,"&lt;="&amp;首页!$B$7)+SUMIFS(采购录入!$W$5:$W$404,采购录入!$U$5:$U$404,$A32,采购录入!$B$5:$B$404,"&lt;="&amp;首页!$B$7)+SUMIFS(采购录入!$Z$5:$Z$404,采购录入!$X$5:$X$404,$A32,采购录入!$B$5:$B$404,"&lt;="&amp;首页!$B$7)+SUMIFS(其他凭证!$H$5:$H$304,其他凭证!$F$5:$F$304,$A32,其他凭证!$B$5:$B$304,"&lt;="&amp;首页!$B$7))</f>
        <v>0</v>
      </c>
      <c r="J32" s="54" t="n">
        <f aca="false">IF($A32="","",SUMIFS(资金流水!$N$5:$N$504,资金流水!$P$5:$P$504,$A32,资金流水!$B$5:$B$504,"&lt;="&amp;首页!$B$7)+SUMIFS(销售录入!$X$5:$X$404,销售录入!$W$5:$W$404,$A32,销售录入!$B$5:$B$404,"&lt;="&amp;首页!$B$7)+SUMIFS(销售录入!$AA$5:$AA$404,销售录入!$Z$5:$Z$404,$A32,销售录入!$B$5:$B$404,"&lt;="&amp;首页!$B$7)+SUMIFS(销售录入!$AD$5:$AD$404,销售录入!$AC$5:$AC$404,$A32,销售录入!$B$5:$B$404,"&lt;="&amp;首页!$B$7)+SUMIFS(采购录入!$W$5:$W$404,采购录入!$V$5:$V$404,$A32,采购录入!$B$5:$B$404,"&lt;="&amp;首页!$B$7)+SUMIFS(采购录入!$Z$5:$Z$404,采购录入!$Y$5:$Y$404,$A32,采购录入!$B$5:$B$404,"&lt;="&amp;首页!$B$7)+SUMIFS(其他凭证!$H$5:$H$304,其他凭证!$G$5:$G$304,$A32,其他凭证!$B$5:$B$304,"&lt;="&amp;首页!$B$7))</f>
        <v>0</v>
      </c>
      <c r="K32" s="44" t="n">
        <f aca="false">IF($A32="","",($E32+$I32)-($F32+$J32))</f>
        <v>0</v>
      </c>
      <c r="L32" s="44" t="n">
        <f aca="false">IF($A32="","",IF($K32&gt;=0,$K32,0))</f>
        <v>0</v>
      </c>
      <c r="M32" s="44" t="n">
        <f aca="false">IF($A32="","",IF($K32&lt;0,-$K32,0))</f>
        <v>0</v>
      </c>
      <c r="N32" s="35" t="str">
        <f aca="false">IF($A32="","",科目参数!$F32)</f>
        <v>无形资产</v>
      </c>
      <c r="O32" s="35" t="n">
        <f aca="false">IF($A32="","",科目参数!$G32)</f>
        <v>0</v>
      </c>
      <c r="P32" s="42" t="str">
        <f aca="false">IF($A32="","",科目参数!$H32)</f>
        <v>投资活动</v>
      </c>
    </row>
    <row r="33" customFormat="false" ht="15.75" hidden="false" customHeight="true" outlineLevel="0" collapsed="false">
      <c r="A33" s="42" t="str">
        <f aca="false">IF(科目参数!$A33="","",科目参数!$A33)</f>
        <v>1702</v>
      </c>
      <c r="B33" s="35" t="str">
        <f aca="false">IF($A33="","",科目参数!$B33)</f>
        <v>累计摊销</v>
      </c>
      <c r="C33" s="42" t="str">
        <f aca="false">IF($A33="","",科目参数!$C33)</f>
        <v>资产</v>
      </c>
      <c r="D33" s="42" t="str">
        <f aca="false">IF($A33="","",科目参数!$D33)</f>
        <v>贷</v>
      </c>
      <c r="E33" s="54" t="n">
        <f aca="false">IF($A33="","",SUMIFS(期初数据!$Z$6:$Z$125,期初数据!$W$6:$W$125,$A33))</f>
        <v>0</v>
      </c>
      <c r="F33" s="54" t="n">
        <f aca="false">IF($A33="","",SUMIFS(期初数据!$AA$6:$AA$125,期初数据!$W$6:$W$125,$A33))</f>
        <v>0</v>
      </c>
      <c r="G33" s="54" t="n">
        <f aca="false">IF($A33="","",SUMIFS(资金流水!$N$5:$N$504,资金流水!$O$5:$O$504,$A33,资金流水!$C$5:$C$504,首页!$B$5)+SUMIFS(销售录入!$X$5:$X$404,销售录入!$V$5:$V$404,$A33,销售录入!$C$5:$C$404,首页!$B$5)+SUMIFS(销售录入!$AA$5:$AA$404,销售录入!$Y$5:$Y$404,$A33,销售录入!$C$5:$C$404,首页!$B$5)+SUMIFS(销售录入!$AD$5:$AD$404,销售录入!$AB$5:$AB$404,$A33,销售录入!$C$5:$C$404,首页!$B$5)+SUMIFS(采购录入!$W$5:$W$404,采购录入!$U$5:$U$404,$A33,采购录入!$C$5:$C$404,首页!$B$5)+SUMIFS(采购录入!$Z$5:$Z$404,采购录入!$X$5:$X$404,$A33,采购录入!$C$5:$C$404,首页!$B$5)+SUMIFS(其他凭证!$H$5:$H$304,其他凭证!$F$5:$F$304,$A33,其他凭证!$C$5:$C$304,首页!$B$5))</f>
        <v>0</v>
      </c>
      <c r="H33" s="54" t="n">
        <f aca="false">IF($A33="","",SUMIFS(资金流水!$N$5:$N$504,资金流水!$P$5:$P$504,$A33,资金流水!$C$5:$C$504,首页!$B$5)+SUMIFS(销售录入!$X$5:$X$404,销售录入!$W$5:$W$404,$A33,销售录入!$C$5:$C$404,首页!$B$5)+SUMIFS(销售录入!$AA$5:$AA$404,销售录入!$Z$5:$Z$404,$A33,销售录入!$C$5:$C$404,首页!$B$5)+SUMIFS(销售录入!$AD$5:$AD$404,销售录入!$AC$5:$AC$404,$A33,销售录入!$C$5:$C$404,首页!$B$5)+SUMIFS(采购录入!$W$5:$W$404,采购录入!$V$5:$V$404,$A33,采购录入!$C$5:$C$404,首页!$B$5)+SUMIFS(采购录入!$Z$5:$Z$404,采购录入!$Y$5:$Y$404,$A33,采购录入!$C$5:$C$404,首页!$B$5)+SUMIFS(其他凭证!$H$5:$H$304,其他凭证!$G$5:$G$304,$A33,其他凭证!$C$5:$C$304,首页!$B$5))</f>
        <v>0</v>
      </c>
      <c r="I33" s="54" t="n">
        <f aca="false">IF($A33="","",SUMIFS(资金流水!$N$5:$N$504,资金流水!$O$5:$O$504,$A33,资金流水!$B$5:$B$504,"&lt;="&amp;首页!$B$7)+SUMIFS(销售录入!$X$5:$X$404,销售录入!$V$5:$V$404,$A33,销售录入!$B$5:$B$404,"&lt;="&amp;首页!$B$7)+SUMIFS(销售录入!$AA$5:$AA$404,销售录入!$Y$5:$Y$404,$A33,销售录入!$B$5:$B$404,"&lt;="&amp;首页!$B$7)+SUMIFS(销售录入!$AD$5:$AD$404,销售录入!$AB$5:$AB$404,$A33,销售录入!$B$5:$B$404,"&lt;="&amp;首页!$B$7)+SUMIFS(采购录入!$W$5:$W$404,采购录入!$U$5:$U$404,$A33,采购录入!$B$5:$B$404,"&lt;="&amp;首页!$B$7)+SUMIFS(采购录入!$Z$5:$Z$404,采购录入!$X$5:$X$404,$A33,采购录入!$B$5:$B$404,"&lt;="&amp;首页!$B$7)+SUMIFS(其他凭证!$H$5:$H$304,其他凭证!$F$5:$F$304,$A33,其他凭证!$B$5:$B$304,"&lt;="&amp;首页!$B$7))</f>
        <v>0</v>
      </c>
      <c r="J33" s="54" t="n">
        <f aca="false">IF($A33="","",SUMIFS(资金流水!$N$5:$N$504,资金流水!$P$5:$P$504,$A33,资金流水!$B$5:$B$504,"&lt;="&amp;首页!$B$7)+SUMIFS(销售录入!$X$5:$X$404,销售录入!$W$5:$W$404,$A33,销售录入!$B$5:$B$404,"&lt;="&amp;首页!$B$7)+SUMIFS(销售录入!$AA$5:$AA$404,销售录入!$Z$5:$Z$404,$A33,销售录入!$B$5:$B$404,"&lt;="&amp;首页!$B$7)+SUMIFS(销售录入!$AD$5:$AD$404,销售录入!$AC$5:$AC$404,$A33,销售录入!$B$5:$B$404,"&lt;="&amp;首页!$B$7)+SUMIFS(采购录入!$W$5:$W$404,采购录入!$V$5:$V$404,$A33,采购录入!$B$5:$B$404,"&lt;="&amp;首页!$B$7)+SUMIFS(采购录入!$Z$5:$Z$404,采购录入!$Y$5:$Y$404,$A33,采购录入!$B$5:$B$404,"&lt;="&amp;首页!$B$7)+SUMIFS(其他凭证!$H$5:$H$304,其他凭证!$G$5:$G$304,$A33,其他凭证!$B$5:$B$304,"&lt;="&amp;首页!$B$7))</f>
        <v>0</v>
      </c>
      <c r="K33" s="44" t="n">
        <f aca="false">IF($A33="","",($E33+$I33)-($F33+$J33))</f>
        <v>0</v>
      </c>
      <c r="L33" s="44" t="n">
        <f aca="false">IF($A33="","",IF($K33&gt;=0,$K33,0))</f>
        <v>0</v>
      </c>
      <c r="M33" s="44" t="n">
        <f aca="false">IF($A33="","",IF($K33&lt;0,-$K33,0))</f>
        <v>0</v>
      </c>
      <c r="N33" s="35" t="str">
        <f aca="false">IF($A33="","",科目参数!$F33)</f>
        <v>无形资产</v>
      </c>
      <c r="O33" s="35" t="n">
        <f aca="false">IF($A33="","",科目参数!$G33)</f>
        <v>0</v>
      </c>
      <c r="P33" s="42" t="str">
        <f aca="false">IF($A33="","",科目参数!$H33)</f>
        <v>非现金</v>
      </c>
    </row>
    <row r="34" customFormat="false" ht="15.75" hidden="false" customHeight="true" outlineLevel="0" collapsed="false">
      <c r="A34" s="42" t="str">
        <f aca="false">IF(科目参数!$A34="","",科目参数!$A34)</f>
        <v>1801</v>
      </c>
      <c r="B34" s="35" t="str">
        <f aca="false">IF($A34="","",科目参数!$B34)</f>
        <v>长期待摊费用</v>
      </c>
      <c r="C34" s="42" t="str">
        <f aca="false">IF($A34="","",科目参数!$C34)</f>
        <v>资产</v>
      </c>
      <c r="D34" s="42" t="str">
        <f aca="false">IF($A34="","",科目参数!$D34)</f>
        <v>借</v>
      </c>
      <c r="E34" s="54" t="n">
        <f aca="false">IF($A34="","",SUMIFS(期初数据!$Z$6:$Z$125,期初数据!$W$6:$W$125,$A34))</f>
        <v>0</v>
      </c>
      <c r="F34" s="54" t="n">
        <f aca="false">IF($A34="","",SUMIFS(期初数据!$AA$6:$AA$125,期初数据!$W$6:$W$125,$A34))</f>
        <v>0</v>
      </c>
      <c r="G34" s="54" t="n">
        <f aca="false">IF($A34="","",SUMIFS(资金流水!$N$5:$N$504,资金流水!$O$5:$O$504,$A34,资金流水!$C$5:$C$504,首页!$B$5)+SUMIFS(销售录入!$X$5:$X$404,销售录入!$V$5:$V$404,$A34,销售录入!$C$5:$C$404,首页!$B$5)+SUMIFS(销售录入!$AA$5:$AA$404,销售录入!$Y$5:$Y$404,$A34,销售录入!$C$5:$C$404,首页!$B$5)+SUMIFS(销售录入!$AD$5:$AD$404,销售录入!$AB$5:$AB$404,$A34,销售录入!$C$5:$C$404,首页!$B$5)+SUMIFS(采购录入!$W$5:$W$404,采购录入!$U$5:$U$404,$A34,采购录入!$C$5:$C$404,首页!$B$5)+SUMIFS(采购录入!$Z$5:$Z$404,采购录入!$X$5:$X$404,$A34,采购录入!$C$5:$C$404,首页!$B$5)+SUMIFS(其他凭证!$H$5:$H$304,其他凭证!$F$5:$F$304,$A34,其他凭证!$C$5:$C$304,首页!$B$5))</f>
        <v>0</v>
      </c>
      <c r="H34" s="54" t="n">
        <f aca="false">IF($A34="","",SUMIFS(资金流水!$N$5:$N$504,资金流水!$P$5:$P$504,$A34,资金流水!$C$5:$C$504,首页!$B$5)+SUMIFS(销售录入!$X$5:$X$404,销售录入!$W$5:$W$404,$A34,销售录入!$C$5:$C$404,首页!$B$5)+SUMIFS(销售录入!$AA$5:$AA$404,销售录入!$Z$5:$Z$404,$A34,销售录入!$C$5:$C$404,首页!$B$5)+SUMIFS(销售录入!$AD$5:$AD$404,销售录入!$AC$5:$AC$404,$A34,销售录入!$C$5:$C$404,首页!$B$5)+SUMIFS(采购录入!$W$5:$W$404,采购录入!$V$5:$V$404,$A34,采购录入!$C$5:$C$404,首页!$B$5)+SUMIFS(采购录入!$Z$5:$Z$404,采购录入!$Y$5:$Y$404,$A34,采购录入!$C$5:$C$404,首页!$B$5)+SUMIFS(其他凭证!$H$5:$H$304,其他凭证!$G$5:$G$304,$A34,其他凭证!$C$5:$C$304,首页!$B$5))</f>
        <v>0</v>
      </c>
      <c r="I34" s="54" t="n">
        <f aca="false">IF($A34="","",SUMIFS(资金流水!$N$5:$N$504,资金流水!$O$5:$O$504,$A34,资金流水!$B$5:$B$504,"&lt;="&amp;首页!$B$7)+SUMIFS(销售录入!$X$5:$X$404,销售录入!$V$5:$V$404,$A34,销售录入!$B$5:$B$404,"&lt;="&amp;首页!$B$7)+SUMIFS(销售录入!$AA$5:$AA$404,销售录入!$Y$5:$Y$404,$A34,销售录入!$B$5:$B$404,"&lt;="&amp;首页!$B$7)+SUMIFS(销售录入!$AD$5:$AD$404,销售录入!$AB$5:$AB$404,$A34,销售录入!$B$5:$B$404,"&lt;="&amp;首页!$B$7)+SUMIFS(采购录入!$W$5:$W$404,采购录入!$U$5:$U$404,$A34,采购录入!$B$5:$B$404,"&lt;="&amp;首页!$B$7)+SUMIFS(采购录入!$Z$5:$Z$404,采购录入!$X$5:$X$404,$A34,采购录入!$B$5:$B$404,"&lt;="&amp;首页!$B$7)+SUMIFS(其他凭证!$H$5:$H$304,其他凭证!$F$5:$F$304,$A34,其他凭证!$B$5:$B$304,"&lt;="&amp;首页!$B$7))</f>
        <v>0</v>
      </c>
      <c r="J34" s="54" t="n">
        <f aca="false">IF($A34="","",SUMIFS(资金流水!$N$5:$N$504,资金流水!$P$5:$P$504,$A34,资金流水!$B$5:$B$504,"&lt;="&amp;首页!$B$7)+SUMIFS(销售录入!$X$5:$X$404,销售录入!$W$5:$W$404,$A34,销售录入!$B$5:$B$404,"&lt;="&amp;首页!$B$7)+SUMIFS(销售录入!$AA$5:$AA$404,销售录入!$Z$5:$Z$404,$A34,销售录入!$B$5:$B$404,"&lt;="&amp;首页!$B$7)+SUMIFS(销售录入!$AD$5:$AD$404,销售录入!$AC$5:$AC$404,$A34,销售录入!$B$5:$B$404,"&lt;="&amp;首页!$B$7)+SUMIFS(采购录入!$W$5:$W$404,采购录入!$V$5:$V$404,$A34,采购录入!$B$5:$B$404,"&lt;="&amp;首页!$B$7)+SUMIFS(采购录入!$Z$5:$Z$404,采购录入!$Y$5:$Y$404,$A34,采购录入!$B$5:$B$404,"&lt;="&amp;首页!$B$7)+SUMIFS(其他凭证!$H$5:$H$304,其他凭证!$G$5:$G$304,$A34,其他凭证!$B$5:$B$304,"&lt;="&amp;首页!$B$7))</f>
        <v>0</v>
      </c>
      <c r="K34" s="44" t="n">
        <f aca="false">IF($A34="","",($E34+$I34)-($F34+$J34))</f>
        <v>0</v>
      </c>
      <c r="L34" s="44" t="n">
        <f aca="false">IF($A34="","",IF($K34&gt;=0,$K34,0))</f>
        <v>0</v>
      </c>
      <c r="M34" s="44" t="n">
        <f aca="false">IF($A34="","",IF($K34&lt;0,-$K34,0))</f>
        <v>0</v>
      </c>
      <c r="N34" s="35" t="str">
        <f aca="false">IF($A34="","",科目参数!$F34)</f>
        <v>长期待摊费用</v>
      </c>
      <c r="O34" s="35" t="n">
        <f aca="false">IF($A34="","",科目参数!$G34)</f>
        <v>0</v>
      </c>
      <c r="P34" s="42" t="str">
        <f aca="false">IF($A34="","",科目参数!$H34)</f>
        <v>投资活动</v>
      </c>
    </row>
    <row r="35" customFormat="false" ht="15.75" hidden="false" customHeight="true" outlineLevel="0" collapsed="false">
      <c r="A35" s="42" t="str">
        <f aca="false">IF(科目参数!$A35="","",科目参数!$A35)</f>
        <v>1811</v>
      </c>
      <c r="B35" s="35" t="str">
        <f aca="false">IF($A35="","",科目参数!$B35)</f>
        <v>递延所得税资产</v>
      </c>
      <c r="C35" s="42" t="str">
        <f aca="false">IF($A35="","",科目参数!$C35)</f>
        <v>资产</v>
      </c>
      <c r="D35" s="42" t="str">
        <f aca="false">IF($A35="","",科目参数!$D35)</f>
        <v>借</v>
      </c>
      <c r="E35" s="54" t="n">
        <f aca="false">IF($A35="","",SUMIFS(期初数据!$Z$6:$Z$125,期初数据!$W$6:$W$125,$A35))</f>
        <v>0</v>
      </c>
      <c r="F35" s="54" t="n">
        <f aca="false">IF($A35="","",SUMIFS(期初数据!$AA$6:$AA$125,期初数据!$W$6:$W$125,$A35))</f>
        <v>0</v>
      </c>
      <c r="G35" s="54" t="n">
        <f aca="false">IF($A35="","",SUMIFS(资金流水!$N$5:$N$504,资金流水!$O$5:$O$504,$A35,资金流水!$C$5:$C$504,首页!$B$5)+SUMIFS(销售录入!$X$5:$X$404,销售录入!$V$5:$V$404,$A35,销售录入!$C$5:$C$404,首页!$B$5)+SUMIFS(销售录入!$AA$5:$AA$404,销售录入!$Y$5:$Y$404,$A35,销售录入!$C$5:$C$404,首页!$B$5)+SUMIFS(销售录入!$AD$5:$AD$404,销售录入!$AB$5:$AB$404,$A35,销售录入!$C$5:$C$404,首页!$B$5)+SUMIFS(采购录入!$W$5:$W$404,采购录入!$U$5:$U$404,$A35,采购录入!$C$5:$C$404,首页!$B$5)+SUMIFS(采购录入!$Z$5:$Z$404,采购录入!$X$5:$X$404,$A35,采购录入!$C$5:$C$404,首页!$B$5)+SUMIFS(其他凭证!$H$5:$H$304,其他凭证!$F$5:$F$304,$A35,其他凭证!$C$5:$C$304,首页!$B$5))</f>
        <v>0</v>
      </c>
      <c r="H35" s="54" t="n">
        <f aca="false">IF($A35="","",SUMIFS(资金流水!$N$5:$N$504,资金流水!$P$5:$P$504,$A35,资金流水!$C$5:$C$504,首页!$B$5)+SUMIFS(销售录入!$X$5:$X$404,销售录入!$W$5:$W$404,$A35,销售录入!$C$5:$C$404,首页!$B$5)+SUMIFS(销售录入!$AA$5:$AA$404,销售录入!$Z$5:$Z$404,$A35,销售录入!$C$5:$C$404,首页!$B$5)+SUMIFS(销售录入!$AD$5:$AD$404,销售录入!$AC$5:$AC$404,$A35,销售录入!$C$5:$C$404,首页!$B$5)+SUMIFS(采购录入!$W$5:$W$404,采购录入!$V$5:$V$404,$A35,采购录入!$C$5:$C$404,首页!$B$5)+SUMIFS(采购录入!$Z$5:$Z$404,采购录入!$Y$5:$Y$404,$A35,采购录入!$C$5:$C$404,首页!$B$5)+SUMIFS(其他凭证!$H$5:$H$304,其他凭证!$G$5:$G$304,$A35,其他凭证!$C$5:$C$304,首页!$B$5))</f>
        <v>0</v>
      </c>
      <c r="I35" s="54" t="n">
        <f aca="false">IF($A35="","",SUMIFS(资金流水!$N$5:$N$504,资金流水!$O$5:$O$504,$A35,资金流水!$B$5:$B$504,"&lt;="&amp;首页!$B$7)+SUMIFS(销售录入!$X$5:$X$404,销售录入!$V$5:$V$404,$A35,销售录入!$B$5:$B$404,"&lt;="&amp;首页!$B$7)+SUMIFS(销售录入!$AA$5:$AA$404,销售录入!$Y$5:$Y$404,$A35,销售录入!$B$5:$B$404,"&lt;="&amp;首页!$B$7)+SUMIFS(销售录入!$AD$5:$AD$404,销售录入!$AB$5:$AB$404,$A35,销售录入!$B$5:$B$404,"&lt;="&amp;首页!$B$7)+SUMIFS(采购录入!$W$5:$W$404,采购录入!$U$5:$U$404,$A35,采购录入!$B$5:$B$404,"&lt;="&amp;首页!$B$7)+SUMIFS(采购录入!$Z$5:$Z$404,采购录入!$X$5:$X$404,$A35,采购录入!$B$5:$B$404,"&lt;="&amp;首页!$B$7)+SUMIFS(其他凭证!$H$5:$H$304,其他凭证!$F$5:$F$304,$A35,其他凭证!$B$5:$B$304,"&lt;="&amp;首页!$B$7))</f>
        <v>0</v>
      </c>
      <c r="J35" s="54" t="n">
        <f aca="false">IF($A35="","",SUMIFS(资金流水!$N$5:$N$504,资金流水!$P$5:$P$504,$A35,资金流水!$B$5:$B$504,"&lt;="&amp;首页!$B$7)+SUMIFS(销售录入!$X$5:$X$404,销售录入!$W$5:$W$404,$A35,销售录入!$B$5:$B$404,"&lt;="&amp;首页!$B$7)+SUMIFS(销售录入!$AA$5:$AA$404,销售录入!$Z$5:$Z$404,$A35,销售录入!$B$5:$B$404,"&lt;="&amp;首页!$B$7)+SUMIFS(销售录入!$AD$5:$AD$404,销售录入!$AC$5:$AC$404,$A35,销售录入!$B$5:$B$404,"&lt;="&amp;首页!$B$7)+SUMIFS(采购录入!$W$5:$W$404,采购录入!$V$5:$V$404,$A35,采购录入!$B$5:$B$404,"&lt;="&amp;首页!$B$7)+SUMIFS(采购录入!$Z$5:$Z$404,采购录入!$Y$5:$Y$404,$A35,采购录入!$B$5:$B$404,"&lt;="&amp;首页!$B$7)+SUMIFS(其他凭证!$H$5:$H$304,其他凭证!$G$5:$G$304,$A35,其他凭证!$B$5:$B$304,"&lt;="&amp;首页!$B$7))</f>
        <v>0</v>
      </c>
      <c r="K35" s="44" t="n">
        <f aca="false">IF($A35="","",($E35+$I35)-($F35+$J35))</f>
        <v>0</v>
      </c>
      <c r="L35" s="44" t="n">
        <f aca="false">IF($A35="","",IF($K35&gt;=0,$K35,0))</f>
        <v>0</v>
      </c>
      <c r="M35" s="44" t="n">
        <f aca="false">IF($A35="","",IF($K35&lt;0,-$K35,0))</f>
        <v>0</v>
      </c>
      <c r="N35" s="35" t="str">
        <f aca="false">IF($A35="","",科目参数!$F35)</f>
        <v>递延所得税资产</v>
      </c>
      <c r="O35" s="35" t="n">
        <f aca="false">IF($A35="","",科目参数!$G35)</f>
        <v>0</v>
      </c>
      <c r="P35" s="42" t="str">
        <f aca="false">IF($A35="","",科目参数!$H35)</f>
        <v>非现金</v>
      </c>
    </row>
    <row r="36" customFormat="false" ht="15.75" hidden="false" customHeight="true" outlineLevel="0" collapsed="false">
      <c r="A36" s="42" t="str">
        <f aca="false">IF(科目参数!$A36="","",科目参数!$A36)</f>
        <v>1901</v>
      </c>
      <c r="B36" s="35" t="str">
        <f aca="false">IF($A36="","",科目参数!$B36)</f>
        <v>待处理财产损溢</v>
      </c>
      <c r="C36" s="42" t="str">
        <f aca="false">IF($A36="","",科目参数!$C36)</f>
        <v>资产</v>
      </c>
      <c r="D36" s="42" t="str">
        <f aca="false">IF($A36="","",科目参数!$D36)</f>
        <v>借</v>
      </c>
      <c r="E36" s="54" t="n">
        <f aca="false">IF($A36="","",SUMIFS(期初数据!$Z$6:$Z$125,期初数据!$W$6:$W$125,$A36))</f>
        <v>0</v>
      </c>
      <c r="F36" s="54" t="n">
        <f aca="false">IF($A36="","",SUMIFS(期初数据!$AA$6:$AA$125,期初数据!$W$6:$W$125,$A36))</f>
        <v>0</v>
      </c>
      <c r="G36" s="54" t="n">
        <f aca="false">IF($A36="","",SUMIFS(资金流水!$N$5:$N$504,资金流水!$O$5:$O$504,$A36,资金流水!$C$5:$C$504,首页!$B$5)+SUMIFS(销售录入!$X$5:$X$404,销售录入!$V$5:$V$404,$A36,销售录入!$C$5:$C$404,首页!$B$5)+SUMIFS(销售录入!$AA$5:$AA$404,销售录入!$Y$5:$Y$404,$A36,销售录入!$C$5:$C$404,首页!$B$5)+SUMIFS(销售录入!$AD$5:$AD$404,销售录入!$AB$5:$AB$404,$A36,销售录入!$C$5:$C$404,首页!$B$5)+SUMIFS(采购录入!$W$5:$W$404,采购录入!$U$5:$U$404,$A36,采购录入!$C$5:$C$404,首页!$B$5)+SUMIFS(采购录入!$Z$5:$Z$404,采购录入!$X$5:$X$404,$A36,采购录入!$C$5:$C$404,首页!$B$5)+SUMIFS(其他凭证!$H$5:$H$304,其他凭证!$F$5:$F$304,$A36,其他凭证!$C$5:$C$304,首页!$B$5))</f>
        <v>0</v>
      </c>
      <c r="H36" s="54" t="n">
        <f aca="false">IF($A36="","",SUMIFS(资金流水!$N$5:$N$504,资金流水!$P$5:$P$504,$A36,资金流水!$C$5:$C$504,首页!$B$5)+SUMIFS(销售录入!$X$5:$X$404,销售录入!$W$5:$W$404,$A36,销售录入!$C$5:$C$404,首页!$B$5)+SUMIFS(销售录入!$AA$5:$AA$404,销售录入!$Z$5:$Z$404,$A36,销售录入!$C$5:$C$404,首页!$B$5)+SUMIFS(销售录入!$AD$5:$AD$404,销售录入!$AC$5:$AC$404,$A36,销售录入!$C$5:$C$404,首页!$B$5)+SUMIFS(采购录入!$W$5:$W$404,采购录入!$V$5:$V$404,$A36,采购录入!$C$5:$C$404,首页!$B$5)+SUMIFS(采购录入!$Z$5:$Z$404,采购录入!$Y$5:$Y$404,$A36,采购录入!$C$5:$C$404,首页!$B$5)+SUMIFS(其他凭证!$H$5:$H$304,其他凭证!$G$5:$G$304,$A36,其他凭证!$C$5:$C$304,首页!$B$5))</f>
        <v>0</v>
      </c>
      <c r="I36" s="54" t="n">
        <f aca="false">IF($A36="","",SUMIFS(资金流水!$N$5:$N$504,资金流水!$O$5:$O$504,$A36,资金流水!$B$5:$B$504,"&lt;="&amp;首页!$B$7)+SUMIFS(销售录入!$X$5:$X$404,销售录入!$V$5:$V$404,$A36,销售录入!$B$5:$B$404,"&lt;="&amp;首页!$B$7)+SUMIFS(销售录入!$AA$5:$AA$404,销售录入!$Y$5:$Y$404,$A36,销售录入!$B$5:$B$404,"&lt;="&amp;首页!$B$7)+SUMIFS(销售录入!$AD$5:$AD$404,销售录入!$AB$5:$AB$404,$A36,销售录入!$B$5:$B$404,"&lt;="&amp;首页!$B$7)+SUMIFS(采购录入!$W$5:$W$404,采购录入!$U$5:$U$404,$A36,采购录入!$B$5:$B$404,"&lt;="&amp;首页!$B$7)+SUMIFS(采购录入!$Z$5:$Z$404,采购录入!$X$5:$X$404,$A36,采购录入!$B$5:$B$404,"&lt;="&amp;首页!$B$7)+SUMIFS(其他凭证!$H$5:$H$304,其他凭证!$F$5:$F$304,$A36,其他凭证!$B$5:$B$304,"&lt;="&amp;首页!$B$7))</f>
        <v>0</v>
      </c>
      <c r="J36" s="54" t="n">
        <f aca="false">IF($A36="","",SUMIFS(资金流水!$N$5:$N$504,资金流水!$P$5:$P$504,$A36,资金流水!$B$5:$B$504,"&lt;="&amp;首页!$B$7)+SUMIFS(销售录入!$X$5:$X$404,销售录入!$W$5:$W$404,$A36,销售录入!$B$5:$B$404,"&lt;="&amp;首页!$B$7)+SUMIFS(销售录入!$AA$5:$AA$404,销售录入!$Z$5:$Z$404,$A36,销售录入!$B$5:$B$404,"&lt;="&amp;首页!$B$7)+SUMIFS(销售录入!$AD$5:$AD$404,销售录入!$AC$5:$AC$404,$A36,销售录入!$B$5:$B$404,"&lt;="&amp;首页!$B$7)+SUMIFS(采购录入!$W$5:$W$404,采购录入!$V$5:$V$404,$A36,采购录入!$B$5:$B$404,"&lt;="&amp;首页!$B$7)+SUMIFS(采购录入!$Z$5:$Z$404,采购录入!$Y$5:$Y$404,$A36,采购录入!$B$5:$B$404,"&lt;="&amp;首页!$B$7)+SUMIFS(其他凭证!$H$5:$H$304,其他凭证!$G$5:$G$304,$A36,其他凭证!$B$5:$B$304,"&lt;="&amp;首页!$B$7))</f>
        <v>0</v>
      </c>
      <c r="K36" s="44" t="n">
        <f aca="false">IF($A36="","",($E36+$I36)-($F36+$J36))</f>
        <v>0</v>
      </c>
      <c r="L36" s="44" t="n">
        <f aca="false">IF($A36="","",IF($K36&gt;=0,$K36,0))</f>
        <v>0</v>
      </c>
      <c r="M36" s="44" t="n">
        <f aca="false">IF($A36="","",IF($K36&lt;0,-$K36,0))</f>
        <v>0</v>
      </c>
      <c r="N36" s="35" t="str">
        <f aca="false">IF($A36="","",科目参数!$F36)</f>
        <v>其他流动资产</v>
      </c>
      <c r="O36" s="35" t="n">
        <f aca="false">IF($A36="","",科目参数!$G36)</f>
        <v>0</v>
      </c>
      <c r="P36" s="42" t="str">
        <f aca="false">IF($A36="","",科目参数!$H36)</f>
        <v>非现金</v>
      </c>
    </row>
    <row r="37" customFormat="false" ht="15.75" hidden="false" customHeight="true" outlineLevel="0" collapsed="false">
      <c r="A37" s="42" t="str">
        <f aca="false">IF(科目参数!$A37="","",科目参数!$A37)</f>
        <v>1905</v>
      </c>
      <c r="B37" s="35" t="str">
        <f aca="false">IF($A37="","",科目参数!$B37)</f>
        <v>其他流动资产</v>
      </c>
      <c r="C37" s="42" t="str">
        <f aca="false">IF($A37="","",科目参数!$C37)</f>
        <v>资产</v>
      </c>
      <c r="D37" s="42" t="str">
        <f aca="false">IF($A37="","",科目参数!$D37)</f>
        <v>借</v>
      </c>
      <c r="E37" s="54" t="n">
        <f aca="false">IF($A37="","",SUMIFS(期初数据!$Z$6:$Z$125,期初数据!$W$6:$W$125,$A37))</f>
        <v>0</v>
      </c>
      <c r="F37" s="54" t="n">
        <f aca="false">IF($A37="","",SUMIFS(期初数据!$AA$6:$AA$125,期初数据!$W$6:$W$125,$A37))</f>
        <v>0</v>
      </c>
      <c r="G37" s="54" t="n">
        <f aca="false">IF($A37="","",SUMIFS(资金流水!$N$5:$N$504,资金流水!$O$5:$O$504,$A37,资金流水!$C$5:$C$504,首页!$B$5)+SUMIFS(销售录入!$X$5:$X$404,销售录入!$V$5:$V$404,$A37,销售录入!$C$5:$C$404,首页!$B$5)+SUMIFS(销售录入!$AA$5:$AA$404,销售录入!$Y$5:$Y$404,$A37,销售录入!$C$5:$C$404,首页!$B$5)+SUMIFS(销售录入!$AD$5:$AD$404,销售录入!$AB$5:$AB$404,$A37,销售录入!$C$5:$C$404,首页!$B$5)+SUMIFS(采购录入!$W$5:$W$404,采购录入!$U$5:$U$404,$A37,采购录入!$C$5:$C$404,首页!$B$5)+SUMIFS(采购录入!$Z$5:$Z$404,采购录入!$X$5:$X$404,$A37,采购录入!$C$5:$C$404,首页!$B$5)+SUMIFS(其他凭证!$H$5:$H$304,其他凭证!$F$5:$F$304,$A37,其他凭证!$C$5:$C$304,首页!$B$5))</f>
        <v>0</v>
      </c>
      <c r="H37" s="54" t="n">
        <f aca="false">IF($A37="","",SUMIFS(资金流水!$N$5:$N$504,资金流水!$P$5:$P$504,$A37,资金流水!$C$5:$C$504,首页!$B$5)+SUMIFS(销售录入!$X$5:$X$404,销售录入!$W$5:$W$404,$A37,销售录入!$C$5:$C$404,首页!$B$5)+SUMIFS(销售录入!$AA$5:$AA$404,销售录入!$Z$5:$Z$404,$A37,销售录入!$C$5:$C$404,首页!$B$5)+SUMIFS(销售录入!$AD$5:$AD$404,销售录入!$AC$5:$AC$404,$A37,销售录入!$C$5:$C$404,首页!$B$5)+SUMIFS(采购录入!$W$5:$W$404,采购录入!$V$5:$V$404,$A37,采购录入!$C$5:$C$404,首页!$B$5)+SUMIFS(采购录入!$Z$5:$Z$404,采购录入!$Y$5:$Y$404,$A37,采购录入!$C$5:$C$404,首页!$B$5)+SUMIFS(其他凭证!$H$5:$H$304,其他凭证!$G$5:$G$304,$A37,其他凭证!$C$5:$C$304,首页!$B$5))</f>
        <v>0</v>
      </c>
      <c r="I37" s="54" t="n">
        <f aca="false">IF($A37="","",SUMIFS(资金流水!$N$5:$N$504,资金流水!$O$5:$O$504,$A37,资金流水!$B$5:$B$504,"&lt;="&amp;首页!$B$7)+SUMIFS(销售录入!$X$5:$X$404,销售录入!$V$5:$V$404,$A37,销售录入!$B$5:$B$404,"&lt;="&amp;首页!$B$7)+SUMIFS(销售录入!$AA$5:$AA$404,销售录入!$Y$5:$Y$404,$A37,销售录入!$B$5:$B$404,"&lt;="&amp;首页!$B$7)+SUMIFS(销售录入!$AD$5:$AD$404,销售录入!$AB$5:$AB$404,$A37,销售录入!$B$5:$B$404,"&lt;="&amp;首页!$B$7)+SUMIFS(采购录入!$W$5:$W$404,采购录入!$U$5:$U$404,$A37,采购录入!$B$5:$B$404,"&lt;="&amp;首页!$B$7)+SUMIFS(采购录入!$Z$5:$Z$404,采购录入!$X$5:$X$404,$A37,采购录入!$B$5:$B$404,"&lt;="&amp;首页!$B$7)+SUMIFS(其他凭证!$H$5:$H$304,其他凭证!$F$5:$F$304,$A37,其他凭证!$B$5:$B$304,"&lt;="&amp;首页!$B$7))</f>
        <v>0</v>
      </c>
      <c r="J37" s="54" t="n">
        <f aca="false">IF($A37="","",SUMIFS(资金流水!$N$5:$N$504,资金流水!$P$5:$P$504,$A37,资金流水!$B$5:$B$504,"&lt;="&amp;首页!$B$7)+SUMIFS(销售录入!$X$5:$X$404,销售录入!$W$5:$W$404,$A37,销售录入!$B$5:$B$404,"&lt;="&amp;首页!$B$7)+SUMIFS(销售录入!$AA$5:$AA$404,销售录入!$Z$5:$Z$404,$A37,销售录入!$B$5:$B$404,"&lt;="&amp;首页!$B$7)+SUMIFS(销售录入!$AD$5:$AD$404,销售录入!$AC$5:$AC$404,$A37,销售录入!$B$5:$B$404,"&lt;="&amp;首页!$B$7)+SUMIFS(采购录入!$W$5:$W$404,采购录入!$V$5:$V$404,$A37,采购录入!$B$5:$B$404,"&lt;="&amp;首页!$B$7)+SUMIFS(采购录入!$Z$5:$Z$404,采购录入!$Y$5:$Y$404,$A37,采购录入!$B$5:$B$404,"&lt;="&amp;首页!$B$7)+SUMIFS(其他凭证!$H$5:$H$304,其他凭证!$G$5:$G$304,$A37,其他凭证!$B$5:$B$304,"&lt;="&amp;首页!$B$7))</f>
        <v>0</v>
      </c>
      <c r="K37" s="44" t="n">
        <f aca="false">IF($A37="","",($E37+$I37)-($F37+$J37))</f>
        <v>0</v>
      </c>
      <c r="L37" s="44" t="n">
        <f aca="false">IF($A37="","",IF($K37&gt;=0,$K37,0))</f>
        <v>0</v>
      </c>
      <c r="M37" s="44" t="n">
        <f aca="false">IF($A37="","",IF($K37&lt;0,-$K37,0))</f>
        <v>0</v>
      </c>
      <c r="N37" s="35" t="str">
        <f aca="false">IF($A37="","",科目参数!$F37)</f>
        <v>其他流动资产</v>
      </c>
      <c r="O37" s="35" t="n">
        <f aca="false">IF($A37="","",科目参数!$G37)</f>
        <v>0</v>
      </c>
      <c r="P37" s="42" t="str">
        <f aca="false">IF($A37="","",科目参数!$H37)</f>
        <v>经营活动</v>
      </c>
    </row>
    <row r="38" customFormat="false" ht="15.75" hidden="false" customHeight="true" outlineLevel="0" collapsed="false">
      <c r="A38" s="42" t="str">
        <f aca="false">IF(科目参数!$A38="","",科目参数!$A38)</f>
        <v>2001</v>
      </c>
      <c r="B38" s="35" t="str">
        <f aca="false">IF($A38="","",科目参数!$B38)</f>
        <v>短期借款</v>
      </c>
      <c r="C38" s="42" t="str">
        <f aca="false">IF($A38="","",科目参数!$C38)</f>
        <v>负债</v>
      </c>
      <c r="D38" s="42" t="str">
        <f aca="false">IF($A38="","",科目参数!$D38)</f>
        <v>贷</v>
      </c>
      <c r="E38" s="54" t="n">
        <f aca="false">IF($A38="","",SUMIFS(期初数据!$Z$6:$Z$125,期初数据!$W$6:$W$125,$A38))</f>
        <v>0</v>
      </c>
      <c r="F38" s="54" t="n">
        <f aca="false">IF($A38="","",SUMIFS(期初数据!$AA$6:$AA$125,期初数据!$W$6:$W$125,$A38))</f>
        <v>0</v>
      </c>
      <c r="G38" s="54" t="n">
        <f aca="false">IF($A38="","",SUMIFS(资金流水!$N$5:$N$504,资金流水!$O$5:$O$504,$A38,资金流水!$C$5:$C$504,首页!$B$5)+SUMIFS(销售录入!$X$5:$X$404,销售录入!$V$5:$V$404,$A38,销售录入!$C$5:$C$404,首页!$B$5)+SUMIFS(销售录入!$AA$5:$AA$404,销售录入!$Y$5:$Y$404,$A38,销售录入!$C$5:$C$404,首页!$B$5)+SUMIFS(销售录入!$AD$5:$AD$404,销售录入!$AB$5:$AB$404,$A38,销售录入!$C$5:$C$404,首页!$B$5)+SUMIFS(采购录入!$W$5:$W$404,采购录入!$U$5:$U$404,$A38,采购录入!$C$5:$C$404,首页!$B$5)+SUMIFS(采购录入!$Z$5:$Z$404,采购录入!$X$5:$X$404,$A38,采购录入!$C$5:$C$404,首页!$B$5)+SUMIFS(其他凭证!$H$5:$H$304,其他凭证!$F$5:$F$304,$A38,其他凭证!$C$5:$C$304,首页!$B$5))</f>
        <v>0</v>
      </c>
      <c r="H38" s="54" t="n">
        <f aca="false">IF($A38="","",SUMIFS(资金流水!$N$5:$N$504,资金流水!$P$5:$P$504,$A38,资金流水!$C$5:$C$504,首页!$B$5)+SUMIFS(销售录入!$X$5:$X$404,销售录入!$W$5:$W$404,$A38,销售录入!$C$5:$C$404,首页!$B$5)+SUMIFS(销售录入!$AA$5:$AA$404,销售录入!$Z$5:$Z$404,$A38,销售录入!$C$5:$C$404,首页!$B$5)+SUMIFS(销售录入!$AD$5:$AD$404,销售录入!$AC$5:$AC$404,$A38,销售录入!$C$5:$C$404,首页!$B$5)+SUMIFS(采购录入!$W$5:$W$404,采购录入!$V$5:$V$404,$A38,采购录入!$C$5:$C$404,首页!$B$5)+SUMIFS(采购录入!$Z$5:$Z$404,采购录入!$Y$5:$Y$404,$A38,采购录入!$C$5:$C$404,首页!$B$5)+SUMIFS(其他凭证!$H$5:$H$304,其他凭证!$G$5:$G$304,$A38,其他凭证!$C$5:$C$304,首页!$B$5))</f>
        <v>0</v>
      </c>
      <c r="I38" s="54" t="n">
        <f aca="false">IF($A38="","",SUMIFS(资金流水!$N$5:$N$504,资金流水!$O$5:$O$504,$A38,资金流水!$B$5:$B$504,"&lt;="&amp;首页!$B$7)+SUMIFS(销售录入!$X$5:$X$404,销售录入!$V$5:$V$404,$A38,销售录入!$B$5:$B$404,"&lt;="&amp;首页!$B$7)+SUMIFS(销售录入!$AA$5:$AA$404,销售录入!$Y$5:$Y$404,$A38,销售录入!$B$5:$B$404,"&lt;="&amp;首页!$B$7)+SUMIFS(销售录入!$AD$5:$AD$404,销售录入!$AB$5:$AB$404,$A38,销售录入!$B$5:$B$404,"&lt;="&amp;首页!$B$7)+SUMIFS(采购录入!$W$5:$W$404,采购录入!$U$5:$U$404,$A38,采购录入!$B$5:$B$404,"&lt;="&amp;首页!$B$7)+SUMIFS(采购录入!$Z$5:$Z$404,采购录入!$X$5:$X$404,$A38,采购录入!$B$5:$B$404,"&lt;="&amp;首页!$B$7)+SUMIFS(其他凭证!$H$5:$H$304,其他凭证!$F$5:$F$304,$A38,其他凭证!$B$5:$B$304,"&lt;="&amp;首页!$B$7))</f>
        <v>0</v>
      </c>
      <c r="J38" s="54" t="n">
        <f aca="false">IF($A38="","",SUMIFS(资金流水!$N$5:$N$504,资金流水!$P$5:$P$504,$A38,资金流水!$B$5:$B$504,"&lt;="&amp;首页!$B$7)+SUMIFS(销售录入!$X$5:$X$404,销售录入!$W$5:$W$404,$A38,销售录入!$B$5:$B$404,"&lt;="&amp;首页!$B$7)+SUMIFS(销售录入!$AA$5:$AA$404,销售录入!$Z$5:$Z$404,$A38,销售录入!$B$5:$B$404,"&lt;="&amp;首页!$B$7)+SUMIFS(销售录入!$AD$5:$AD$404,销售录入!$AC$5:$AC$404,$A38,销售录入!$B$5:$B$404,"&lt;="&amp;首页!$B$7)+SUMIFS(采购录入!$W$5:$W$404,采购录入!$V$5:$V$404,$A38,采购录入!$B$5:$B$404,"&lt;="&amp;首页!$B$7)+SUMIFS(采购录入!$Z$5:$Z$404,采购录入!$Y$5:$Y$404,$A38,采购录入!$B$5:$B$404,"&lt;="&amp;首页!$B$7)+SUMIFS(其他凭证!$H$5:$H$304,其他凭证!$G$5:$G$304,$A38,其他凭证!$B$5:$B$304,"&lt;="&amp;首页!$B$7))</f>
        <v>0</v>
      </c>
      <c r="K38" s="44" t="n">
        <f aca="false">IF($A38="","",($E38+$I38)-($F38+$J38))</f>
        <v>0</v>
      </c>
      <c r="L38" s="44" t="n">
        <f aca="false">IF($A38="","",IF($K38&gt;=0,$K38,0))</f>
        <v>0</v>
      </c>
      <c r="M38" s="44" t="n">
        <f aca="false">IF($A38="","",IF($K38&lt;0,-$K38,0))</f>
        <v>0</v>
      </c>
      <c r="N38" s="35" t="str">
        <f aca="false">IF($A38="","",科目参数!$F38)</f>
        <v>短期借款</v>
      </c>
      <c r="O38" s="35" t="n">
        <f aca="false">IF($A38="","",科目参数!$G38)</f>
        <v>0</v>
      </c>
      <c r="P38" s="42" t="str">
        <f aca="false">IF($A38="","",科目参数!$H38)</f>
        <v>筹资活动</v>
      </c>
    </row>
    <row r="39" customFormat="false" ht="15.75" hidden="false" customHeight="true" outlineLevel="0" collapsed="false">
      <c r="A39" s="42" t="str">
        <f aca="false">IF(科目参数!$A39="","",科目参数!$A39)</f>
        <v>2201</v>
      </c>
      <c r="B39" s="35" t="str">
        <f aca="false">IF($A39="","",科目参数!$B39)</f>
        <v>应付票据</v>
      </c>
      <c r="C39" s="42" t="str">
        <f aca="false">IF($A39="","",科目参数!$C39)</f>
        <v>负债</v>
      </c>
      <c r="D39" s="42" t="str">
        <f aca="false">IF($A39="","",科目参数!$D39)</f>
        <v>贷</v>
      </c>
      <c r="E39" s="54" t="n">
        <f aca="false">IF($A39="","",SUMIFS(期初数据!$Z$6:$Z$125,期初数据!$W$6:$W$125,$A39))</f>
        <v>0</v>
      </c>
      <c r="F39" s="54" t="n">
        <f aca="false">IF($A39="","",SUMIFS(期初数据!$AA$6:$AA$125,期初数据!$W$6:$W$125,$A39))</f>
        <v>0</v>
      </c>
      <c r="G39" s="54" t="n">
        <f aca="false">IF($A39="","",SUMIFS(资金流水!$N$5:$N$504,资金流水!$O$5:$O$504,$A39,资金流水!$C$5:$C$504,首页!$B$5)+SUMIFS(销售录入!$X$5:$X$404,销售录入!$V$5:$V$404,$A39,销售录入!$C$5:$C$404,首页!$B$5)+SUMIFS(销售录入!$AA$5:$AA$404,销售录入!$Y$5:$Y$404,$A39,销售录入!$C$5:$C$404,首页!$B$5)+SUMIFS(销售录入!$AD$5:$AD$404,销售录入!$AB$5:$AB$404,$A39,销售录入!$C$5:$C$404,首页!$B$5)+SUMIFS(采购录入!$W$5:$W$404,采购录入!$U$5:$U$404,$A39,采购录入!$C$5:$C$404,首页!$B$5)+SUMIFS(采购录入!$Z$5:$Z$404,采购录入!$X$5:$X$404,$A39,采购录入!$C$5:$C$404,首页!$B$5)+SUMIFS(其他凭证!$H$5:$H$304,其他凭证!$F$5:$F$304,$A39,其他凭证!$C$5:$C$304,首页!$B$5))</f>
        <v>0</v>
      </c>
      <c r="H39" s="54" t="n">
        <f aca="false">IF($A39="","",SUMIFS(资金流水!$N$5:$N$504,资金流水!$P$5:$P$504,$A39,资金流水!$C$5:$C$504,首页!$B$5)+SUMIFS(销售录入!$X$5:$X$404,销售录入!$W$5:$W$404,$A39,销售录入!$C$5:$C$404,首页!$B$5)+SUMIFS(销售录入!$AA$5:$AA$404,销售录入!$Z$5:$Z$404,$A39,销售录入!$C$5:$C$404,首页!$B$5)+SUMIFS(销售录入!$AD$5:$AD$404,销售录入!$AC$5:$AC$404,$A39,销售录入!$C$5:$C$404,首页!$B$5)+SUMIFS(采购录入!$W$5:$W$404,采购录入!$V$5:$V$404,$A39,采购录入!$C$5:$C$404,首页!$B$5)+SUMIFS(采购录入!$Z$5:$Z$404,采购录入!$Y$5:$Y$404,$A39,采购录入!$C$5:$C$404,首页!$B$5)+SUMIFS(其他凭证!$H$5:$H$304,其他凭证!$G$5:$G$304,$A39,其他凭证!$C$5:$C$304,首页!$B$5))</f>
        <v>0</v>
      </c>
      <c r="I39" s="54" t="n">
        <f aca="false">IF($A39="","",SUMIFS(资金流水!$N$5:$N$504,资金流水!$O$5:$O$504,$A39,资金流水!$B$5:$B$504,"&lt;="&amp;首页!$B$7)+SUMIFS(销售录入!$X$5:$X$404,销售录入!$V$5:$V$404,$A39,销售录入!$B$5:$B$404,"&lt;="&amp;首页!$B$7)+SUMIFS(销售录入!$AA$5:$AA$404,销售录入!$Y$5:$Y$404,$A39,销售录入!$B$5:$B$404,"&lt;="&amp;首页!$B$7)+SUMIFS(销售录入!$AD$5:$AD$404,销售录入!$AB$5:$AB$404,$A39,销售录入!$B$5:$B$404,"&lt;="&amp;首页!$B$7)+SUMIFS(采购录入!$W$5:$W$404,采购录入!$U$5:$U$404,$A39,采购录入!$B$5:$B$404,"&lt;="&amp;首页!$B$7)+SUMIFS(采购录入!$Z$5:$Z$404,采购录入!$X$5:$X$404,$A39,采购录入!$B$5:$B$404,"&lt;="&amp;首页!$B$7)+SUMIFS(其他凭证!$H$5:$H$304,其他凭证!$F$5:$F$304,$A39,其他凭证!$B$5:$B$304,"&lt;="&amp;首页!$B$7))</f>
        <v>0</v>
      </c>
      <c r="J39" s="54" t="n">
        <f aca="false">IF($A39="","",SUMIFS(资金流水!$N$5:$N$504,资金流水!$P$5:$P$504,$A39,资金流水!$B$5:$B$504,"&lt;="&amp;首页!$B$7)+SUMIFS(销售录入!$X$5:$X$404,销售录入!$W$5:$W$404,$A39,销售录入!$B$5:$B$404,"&lt;="&amp;首页!$B$7)+SUMIFS(销售录入!$AA$5:$AA$404,销售录入!$Z$5:$Z$404,$A39,销售录入!$B$5:$B$404,"&lt;="&amp;首页!$B$7)+SUMIFS(销售录入!$AD$5:$AD$404,销售录入!$AC$5:$AC$404,$A39,销售录入!$B$5:$B$404,"&lt;="&amp;首页!$B$7)+SUMIFS(采购录入!$W$5:$W$404,采购录入!$V$5:$V$404,$A39,采购录入!$B$5:$B$404,"&lt;="&amp;首页!$B$7)+SUMIFS(采购录入!$Z$5:$Z$404,采购录入!$Y$5:$Y$404,$A39,采购录入!$B$5:$B$404,"&lt;="&amp;首页!$B$7)+SUMIFS(其他凭证!$H$5:$H$304,其他凭证!$G$5:$G$304,$A39,其他凭证!$B$5:$B$304,"&lt;="&amp;首页!$B$7))</f>
        <v>0</v>
      </c>
      <c r="K39" s="44" t="n">
        <f aca="false">IF($A39="","",($E39+$I39)-($F39+$J39))</f>
        <v>0</v>
      </c>
      <c r="L39" s="44" t="n">
        <f aca="false">IF($A39="","",IF($K39&gt;=0,$K39,0))</f>
        <v>0</v>
      </c>
      <c r="M39" s="44" t="n">
        <f aca="false">IF($A39="","",IF($K39&lt;0,-$K39,0))</f>
        <v>0</v>
      </c>
      <c r="N39" s="35" t="str">
        <f aca="false">IF($A39="","",科目参数!$F39)</f>
        <v>应付票据</v>
      </c>
      <c r="O39" s="35" t="n">
        <f aca="false">IF($A39="","",科目参数!$G39)</f>
        <v>0</v>
      </c>
      <c r="P39" s="42" t="str">
        <f aca="false">IF($A39="","",科目参数!$H39)</f>
        <v>经营活动</v>
      </c>
    </row>
    <row r="40" customFormat="false" ht="15.75" hidden="false" customHeight="true" outlineLevel="0" collapsed="false">
      <c r="A40" s="42" t="str">
        <f aca="false">IF(科目参数!$A40="","",科目参数!$A40)</f>
        <v>2202</v>
      </c>
      <c r="B40" s="35" t="str">
        <f aca="false">IF($A40="","",科目参数!$B40)</f>
        <v>应付账款</v>
      </c>
      <c r="C40" s="42" t="str">
        <f aca="false">IF($A40="","",科目参数!$C40)</f>
        <v>负债</v>
      </c>
      <c r="D40" s="42" t="str">
        <f aca="false">IF($A40="","",科目参数!$D40)</f>
        <v>贷</v>
      </c>
      <c r="E40" s="54" t="n">
        <f aca="false">IF($A40="","",SUMIFS(期初数据!$Z$6:$Z$125,期初数据!$W$6:$W$125,$A40))</f>
        <v>0</v>
      </c>
      <c r="F40" s="54" t="n">
        <f aca="false">IF($A40="","",SUMIFS(期初数据!$AA$6:$AA$125,期初数据!$W$6:$W$125,$A40))</f>
        <v>40000</v>
      </c>
      <c r="G40" s="54" t="n">
        <f aca="false">IF($A40="","",SUMIFS(资金流水!$N$5:$N$504,资金流水!$O$5:$O$504,$A40,资金流水!$C$5:$C$504,首页!$B$5)+SUMIFS(销售录入!$X$5:$X$404,销售录入!$V$5:$V$404,$A40,销售录入!$C$5:$C$404,首页!$B$5)+SUMIFS(销售录入!$AA$5:$AA$404,销售录入!$Y$5:$Y$404,$A40,销售录入!$C$5:$C$404,首页!$B$5)+SUMIFS(销售录入!$AD$5:$AD$404,销售录入!$AB$5:$AB$404,$A40,销售录入!$C$5:$C$404,首页!$B$5)+SUMIFS(采购录入!$W$5:$W$404,采购录入!$U$5:$U$404,$A40,采购录入!$C$5:$C$404,首页!$B$5)+SUMIFS(采购录入!$Z$5:$Z$404,采购录入!$X$5:$X$404,$A40,采购录入!$C$5:$C$404,首页!$B$5)+SUMIFS(其他凭证!$H$5:$H$304,其他凭证!$F$5:$F$304,$A40,其他凭证!$C$5:$C$304,首页!$B$5))</f>
        <v>40000</v>
      </c>
      <c r="H40" s="54" t="n">
        <f aca="false">IF($A40="","",SUMIFS(资金流水!$N$5:$N$504,资金流水!$P$5:$P$504,$A40,资金流水!$C$5:$C$504,首页!$B$5)+SUMIFS(销售录入!$X$5:$X$404,销售录入!$W$5:$W$404,$A40,销售录入!$C$5:$C$404,首页!$B$5)+SUMIFS(销售录入!$AA$5:$AA$404,销售录入!$Z$5:$Z$404,$A40,销售录入!$C$5:$C$404,首页!$B$5)+SUMIFS(销售录入!$AD$5:$AD$404,销售录入!$AC$5:$AC$404,$A40,销售录入!$C$5:$C$404,首页!$B$5)+SUMIFS(采购录入!$W$5:$W$404,采购录入!$V$5:$V$404,$A40,采购录入!$C$5:$C$404,首页!$B$5)+SUMIFS(采购录入!$Z$5:$Z$404,采购录入!$Y$5:$Y$404,$A40,采购录入!$C$5:$C$404,首页!$B$5)+SUMIFS(其他凭证!$H$5:$H$304,其他凭证!$G$5:$G$304,$A40,其他凭证!$C$5:$C$304,首页!$B$5))</f>
        <v>21752.5</v>
      </c>
      <c r="I40" s="54" t="n">
        <f aca="false">IF($A40="","",SUMIFS(资金流水!$N$5:$N$504,资金流水!$O$5:$O$504,$A40,资金流水!$B$5:$B$504,"&lt;="&amp;首页!$B$7)+SUMIFS(销售录入!$X$5:$X$404,销售录入!$V$5:$V$404,$A40,销售录入!$B$5:$B$404,"&lt;="&amp;首页!$B$7)+SUMIFS(销售录入!$AA$5:$AA$404,销售录入!$Y$5:$Y$404,$A40,销售录入!$B$5:$B$404,"&lt;="&amp;首页!$B$7)+SUMIFS(销售录入!$AD$5:$AD$404,销售录入!$AB$5:$AB$404,$A40,销售录入!$B$5:$B$404,"&lt;="&amp;首页!$B$7)+SUMIFS(采购录入!$W$5:$W$404,采购录入!$U$5:$U$404,$A40,采购录入!$B$5:$B$404,"&lt;="&amp;首页!$B$7)+SUMIFS(采购录入!$Z$5:$Z$404,采购录入!$X$5:$X$404,$A40,采购录入!$B$5:$B$404,"&lt;="&amp;首页!$B$7)+SUMIFS(其他凭证!$H$5:$H$304,其他凭证!$F$5:$F$304,$A40,其他凭证!$B$5:$B$304,"&lt;="&amp;首页!$B$7))</f>
        <v>40000</v>
      </c>
      <c r="J40" s="54" t="n">
        <f aca="false">IF($A40="","",SUMIFS(资金流水!$N$5:$N$504,资金流水!$P$5:$P$504,$A40,资金流水!$B$5:$B$504,"&lt;="&amp;首页!$B$7)+SUMIFS(销售录入!$X$5:$X$404,销售录入!$W$5:$W$404,$A40,销售录入!$B$5:$B$404,"&lt;="&amp;首页!$B$7)+SUMIFS(销售录入!$AA$5:$AA$404,销售录入!$Z$5:$Z$404,$A40,销售录入!$B$5:$B$404,"&lt;="&amp;首页!$B$7)+SUMIFS(销售录入!$AD$5:$AD$404,销售录入!$AC$5:$AC$404,$A40,销售录入!$B$5:$B$404,"&lt;="&amp;首页!$B$7)+SUMIFS(采购录入!$W$5:$W$404,采购录入!$V$5:$V$404,$A40,采购录入!$B$5:$B$404,"&lt;="&amp;首页!$B$7)+SUMIFS(采购录入!$Z$5:$Z$404,采购录入!$Y$5:$Y$404,$A40,采购录入!$B$5:$B$404,"&lt;="&amp;首页!$B$7)+SUMIFS(其他凭证!$H$5:$H$304,其他凭证!$G$5:$G$304,$A40,其他凭证!$B$5:$B$304,"&lt;="&amp;首页!$B$7))</f>
        <v>21752.5</v>
      </c>
      <c r="K40" s="44" t="n">
        <f aca="false">IF($A40="","",($E40+$I40)-($F40+$J40))</f>
        <v>-21752.5</v>
      </c>
      <c r="L40" s="44" t="n">
        <f aca="false">IF($A40="","",IF($K40&gt;=0,$K40,0))</f>
        <v>0</v>
      </c>
      <c r="M40" s="44" t="n">
        <f aca="false">IF($A40="","",IF($K40&lt;0,-$K40,0))</f>
        <v>21752.5</v>
      </c>
      <c r="N40" s="35" t="str">
        <f aca="false">IF($A40="","",科目参数!$F40)</f>
        <v>应付账款</v>
      </c>
      <c r="O40" s="35" t="n">
        <f aca="false">IF($A40="","",科目参数!$G40)</f>
        <v>0</v>
      </c>
      <c r="P40" s="42" t="str">
        <f aca="false">IF($A40="","",科目参数!$H40)</f>
        <v>经营活动</v>
      </c>
    </row>
    <row r="41" customFormat="false" ht="15.75" hidden="false" customHeight="true" outlineLevel="0" collapsed="false">
      <c r="A41" s="42" t="str">
        <f aca="false">IF(科目参数!$A41="","",科目参数!$A41)</f>
        <v>2203</v>
      </c>
      <c r="B41" s="35" t="str">
        <f aca="false">IF($A41="","",科目参数!$B41)</f>
        <v>预收账款</v>
      </c>
      <c r="C41" s="42" t="str">
        <f aca="false">IF($A41="","",科目参数!$C41)</f>
        <v>负债</v>
      </c>
      <c r="D41" s="42" t="str">
        <f aca="false">IF($A41="","",科目参数!$D41)</f>
        <v>贷</v>
      </c>
      <c r="E41" s="54" t="n">
        <f aca="false">IF($A41="","",SUMIFS(期初数据!$Z$6:$Z$125,期初数据!$W$6:$W$125,$A41))</f>
        <v>0</v>
      </c>
      <c r="F41" s="54" t="n">
        <f aca="false">IF($A41="","",SUMIFS(期初数据!$AA$6:$AA$125,期初数据!$W$6:$W$125,$A41))</f>
        <v>0</v>
      </c>
      <c r="G41" s="54" t="n">
        <f aca="false">IF($A41="","",SUMIFS(资金流水!$N$5:$N$504,资金流水!$O$5:$O$504,$A41,资金流水!$C$5:$C$504,首页!$B$5)+SUMIFS(销售录入!$X$5:$X$404,销售录入!$V$5:$V$404,$A41,销售录入!$C$5:$C$404,首页!$B$5)+SUMIFS(销售录入!$AA$5:$AA$404,销售录入!$Y$5:$Y$404,$A41,销售录入!$C$5:$C$404,首页!$B$5)+SUMIFS(销售录入!$AD$5:$AD$404,销售录入!$AB$5:$AB$404,$A41,销售录入!$C$5:$C$404,首页!$B$5)+SUMIFS(采购录入!$W$5:$W$404,采购录入!$U$5:$U$404,$A41,采购录入!$C$5:$C$404,首页!$B$5)+SUMIFS(采购录入!$Z$5:$Z$404,采购录入!$X$5:$X$404,$A41,采购录入!$C$5:$C$404,首页!$B$5)+SUMIFS(其他凭证!$H$5:$H$304,其他凭证!$F$5:$F$304,$A41,其他凭证!$C$5:$C$304,首页!$B$5))</f>
        <v>0</v>
      </c>
      <c r="H41" s="54" t="n">
        <f aca="false">IF($A41="","",SUMIFS(资金流水!$N$5:$N$504,资金流水!$P$5:$P$504,$A41,资金流水!$C$5:$C$504,首页!$B$5)+SUMIFS(销售录入!$X$5:$X$404,销售录入!$W$5:$W$404,$A41,销售录入!$C$5:$C$404,首页!$B$5)+SUMIFS(销售录入!$AA$5:$AA$404,销售录入!$Z$5:$Z$404,$A41,销售录入!$C$5:$C$404,首页!$B$5)+SUMIFS(销售录入!$AD$5:$AD$404,销售录入!$AC$5:$AC$404,$A41,销售录入!$C$5:$C$404,首页!$B$5)+SUMIFS(采购录入!$W$5:$W$404,采购录入!$V$5:$V$404,$A41,采购录入!$C$5:$C$404,首页!$B$5)+SUMIFS(采购录入!$Z$5:$Z$404,采购录入!$Y$5:$Y$404,$A41,采购录入!$C$5:$C$404,首页!$B$5)+SUMIFS(其他凭证!$H$5:$H$304,其他凭证!$G$5:$G$304,$A41,其他凭证!$C$5:$C$304,首页!$B$5))</f>
        <v>0</v>
      </c>
      <c r="I41" s="54" t="n">
        <f aca="false">IF($A41="","",SUMIFS(资金流水!$N$5:$N$504,资金流水!$O$5:$O$504,$A41,资金流水!$B$5:$B$504,"&lt;="&amp;首页!$B$7)+SUMIFS(销售录入!$X$5:$X$404,销售录入!$V$5:$V$404,$A41,销售录入!$B$5:$B$404,"&lt;="&amp;首页!$B$7)+SUMIFS(销售录入!$AA$5:$AA$404,销售录入!$Y$5:$Y$404,$A41,销售录入!$B$5:$B$404,"&lt;="&amp;首页!$B$7)+SUMIFS(销售录入!$AD$5:$AD$404,销售录入!$AB$5:$AB$404,$A41,销售录入!$B$5:$B$404,"&lt;="&amp;首页!$B$7)+SUMIFS(采购录入!$W$5:$W$404,采购录入!$U$5:$U$404,$A41,采购录入!$B$5:$B$404,"&lt;="&amp;首页!$B$7)+SUMIFS(采购录入!$Z$5:$Z$404,采购录入!$X$5:$X$404,$A41,采购录入!$B$5:$B$404,"&lt;="&amp;首页!$B$7)+SUMIFS(其他凭证!$H$5:$H$304,其他凭证!$F$5:$F$304,$A41,其他凭证!$B$5:$B$304,"&lt;="&amp;首页!$B$7))</f>
        <v>0</v>
      </c>
      <c r="J41" s="54" t="n">
        <f aca="false">IF($A41="","",SUMIFS(资金流水!$N$5:$N$504,资金流水!$P$5:$P$504,$A41,资金流水!$B$5:$B$504,"&lt;="&amp;首页!$B$7)+SUMIFS(销售录入!$X$5:$X$404,销售录入!$W$5:$W$404,$A41,销售录入!$B$5:$B$404,"&lt;="&amp;首页!$B$7)+SUMIFS(销售录入!$AA$5:$AA$404,销售录入!$Z$5:$Z$404,$A41,销售录入!$B$5:$B$404,"&lt;="&amp;首页!$B$7)+SUMIFS(销售录入!$AD$5:$AD$404,销售录入!$AC$5:$AC$404,$A41,销售录入!$B$5:$B$404,"&lt;="&amp;首页!$B$7)+SUMIFS(采购录入!$W$5:$W$404,采购录入!$V$5:$V$404,$A41,采购录入!$B$5:$B$404,"&lt;="&amp;首页!$B$7)+SUMIFS(采购录入!$Z$5:$Z$404,采购录入!$Y$5:$Y$404,$A41,采购录入!$B$5:$B$404,"&lt;="&amp;首页!$B$7)+SUMIFS(其他凭证!$H$5:$H$304,其他凭证!$G$5:$G$304,$A41,其他凭证!$B$5:$B$304,"&lt;="&amp;首页!$B$7))</f>
        <v>0</v>
      </c>
      <c r="K41" s="44" t="n">
        <f aca="false">IF($A41="","",($E41+$I41)-($F41+$J41))</f>
        <v>0</v>
      </c>
      <c r="L41" s="44" t="n">
        <f aca="false">IF($A41="","",IF($K41&gt;=0,$K41,0))</f>
        <v>0</v>
      </c>
      <c r="M41" s="44" t="n">
        <f aca="false">IF($A41="","",IF($K41&lt;0,-$K41,0))</f>
        <v>0</v>
      </c>
      <c r="N41" s="35" t="str">
        <f aca="false">IF($A41="","",科目参数!$F41)</f>
        <v>预收款项</v>
      </c>
      <c r="O41" s="35" t="n">
        <f aca="false">IF($A41="","",科目参数!$G41)</f>
        <v>0</v>
      </c>
      <c r="P41" s="42" t="str">
        <f aca="false">IF($A41="","",科目参数!$H41)</f>
        <v>经营活动</v>
      </c>
    </row>
    <row r="42" customFormat="false" ht="15.75" hidden="false" customHeight="true" outlineLevel="0" collapsed="false">
      <c r="A42" s="42" t="str">
        <f aca="false">IF(科目参数!$A42="","",科目参数!$A42)</f>
        <v>2211</v>
      </c>
      <c r="B42" s="35" t="str">
        <f aca="false">IF($A42="","",科目参数!$B42)</f>
        <v>应付职工薪酬</v>
      </c>
      <c r="C42" s="42" t="str">
        <f aca="false">IF($A42="","",科目参数!$C42)</f>
        <v>负债</v>
      </c>
      <c r="D42" s="42" t="str">
        <f aca="false">IF($A42="","",科目参数!$D42)</f>
        <v>贷</v>
      </c>
      <c r="E42" s="54" t="n">
        <f aca="false">IF($A42="","",SUMIFS(期初数据!$Z$6:$Z$125,期初数据!$W$6:$W$125,$A42))</f>
        <v>0</v>
      </c>
      <c r="F42" s="54" t="n">
        <f aca="false">IF($A42="","",SUMIFS(期初数据!$AA$6:$AA$125,期初数据!$W$6:$W$125,$A42))</f>
        <v>15000</v>
      </c>
      <c r="G42" s="54" t="n">
        <f aca="false">IF($A42="","",SUMIFS(资金流水!$N$5:$N$504,资金流水!$O$5:$O$504,$A42,资金流水!$C$5:$C$504,首页!$B$5)+SUMIFS(销售录入!$X$5:$X$404,销售录入!$V$5:$V$404,$A42,销售录入!$C$5:$C$404,首页!$B$5)+SUMIFS(销售录入!$AA$5:$AA$404,销售录入!$Y$5:$Y$404,$A42,销售录入!$C$5:$C$404,首页!$B$5)+SUMIFS(销售录入!$AD$5:$AD$404,销售录入!$AB$5:$AB$404,$A42,销售录入!$C$5:$C$404,首页!$B$5)+SUMIFS(采购录入!$W$5:$W$404,采购录入!$U$5:$U$404,$A42,采购录入!$C$5:$C$404,首页!$B$5)+SUMIFS(采购录入!$Z$5:$Z$404,采购录入!$X$5:$X$404,$A42,采购录入!$C$5:$C$404,首页!$B$5)+SUMIFS(其他凭证!$H$5:$H$304,其他凭证!$F$5:$F$304,$A42,其他凭证!$C$5:$C$304,首页!$B$5))</f>
        <v>15000</v>
      </c>
      <c r="H42" s="54" t="n">
        <f aca="false">IF($A42="","",SUMIFS(资金流水!$N$5:$N$504,资金流水!$P$5:$P$504,$A42,资金流水!$C$5:$C$504,首页!$B$5)+SUMIFS(销售录入!$X$5:$X$404,销售录入!$W$5:$W$404,$A42,销售录入!$C$5:$C$404,首页!$B$5)+SUMIFS(销售录入!$AA$5:$AA$404,销售录入!$Z$5:$Z$404,$A42,销售录入!$C$5:$C$404,首页!$B$5)+SUMIFS(销售录入!$AD$5:$AD$404,销售录入!$AC$5:$AC$404,$A42,销售录入!$C$5:$C$404,首页!$B$5)+SUMIFS(采购录入!$W$5:$W$404,采购录入!$V$5:$V$404,$A42,采购录入!$C$5:$C$404,首页!$B$5)+SUMIFS(采购录入!$Z$5:$Z$404,采购录入!$Y$5:$Y$404,$A42,采购录入!$C$5:$C$404,首页!$B$5)+SUMIFS(其他凭证!$H$5:$H$304,其他凭证!$G$5:$G$304,$A42,其他凭证!$C$5:$C$304,首页!$B$5))</f>
        <v>18000</v>
      </c>
      <c r="I42" s="54" t="n">
        <f aca="false">IF($A42="","",SUMIFS(资金流水!$N$5:$N$504,资金流水!$O$5:$O$504,$A42,资金流水!$B$5:$B$504,"&lt;="&amp;首页!$B$7)+SUMIFS(销售录入!$X$5:$X$404,销售录入!$V$5:$V$404,$A42,销售录入!$B$5:$B$404,"&lt;="&amp;首页!$B$7)+SUMIFS(销售录入!$AA$5:$AA$404,销售录入!$Y$5:$Y$404,$A42,销售录入!$B$5:$B$404,"&lt;="&amp;首页!$B$7)+SUMIFS(销售录入!$AD$5:$AD$404,销售录入!$AB$5:$AB$404,$A42,销售录入!$B$5:$B$404,"&lt;="&amp;首页!$B$7)+SUMIFS(采购录入!$W$5:$W$404,采购录入!$U$5:$U$404,$A42,采购录入!$B$5:$B$404,"&lt;="&amp;首页!$B$7)+SUMIFS(采购录入!$Z$5:$Z$404,采购录入!$X$5:$X$404,$A42,采购录入!$B$5:$B$404,"&lt;="&amp;首页!$B$7)+SUMIFS(其他凭证!$H$5:$H$304,其他凭证!$F$5:$F$304,$A42,其他凭证!$B$5:$B$304,"&lt;="&amp;首页!$B$7))</f>
        <v>15000</v>
      </c>
      <c r="J42" s="54" t="n">
        <f aca="false">IF($A42="","",SUMIFS(资金流水!$N$5:$N$504,资金流水!$P$5:$P$504,$A42,资金流水!$B$5:$B$504,"&lt;="&amp;首页!$B$7)+SUMIFS(销售录入!$X$5:$X$404,销售录入!$W$5:$W$404,$A42,销售录入!$B$5:$B$404,"&lt;="&amp;首页!$B$7)+SUMIFS(销售录入!$AA$5:$AA$404,销售录入!$Z$5:$Z$404,$A42,销售录入!$B$5:$B$404,"&lt;="&amp;首页!$B$7)+SUMIFS(销售录入!$AD$5:$AD$404,销售录入!$AC$5:$AC$404,$A42,销售录入!$B$5:$B$404,"&lt;="&amp;首页!$B$7)+SUMIFS(采购录入!$W$5:$W$404,采购录入!$V$5:$V$404,$A42,采购录入!$B$5:$B$404,"&lt;="&amp;首页!$B$7)+SUMIFS(采购录入!$Z$5:$Z$404,采购录入!$Y$5:$Y$404,$A42,采购录入!$B$5:$B$404,"&lt;="&amp;首页!$B$7)+SUMIFS(其他凭证!$H$5:$H$304,其他凭证!$G$5:$G$304,$A42,其他凭证!$B$5:$B$304,"&lt;="&amp;首页!$B$7))</f>
        <v>18000</v>
      </c>
      <c r="K42" s="44" t="n">
        <f aca="false">IF($A42="","",($E42+$I42)-($F42+$J42))</f>
        <v>-18000</v>
      </c>
      <c r="L42" s="44" t="n">
        <f aca="false">IF($A42="","",IF($K42&gt;=0,$K42,0))</f>
        <v>0</v>
      </c>
      <c r="M42" s="44" t="n">
        <f aca="false">IF($A42="","",IF($K42&lt;0,-$K42,0))</f>
        <v>18000</v>
      </c>
      <c r="N42" s="35" t="str">
        <f aca="false">IF($A42="","",科目参数!$F42)</f>
        <v>应付职工薪酬</v>
      </c>
      <c r="O42" s="35" t="n">
        <f aca="false">IF($A42="","",科目参数!$G42)</f>
        <v>0</v>
      </c>
      <c r="P42" s="42" t="str">
        <f aca="false">IF($A42="","",科目参数!$H42)</f>
        <v>经营活动</v>
      </c>
    </row>
    <row r="43" customFormat="false" ht="15.75" hidden="false" customHeight="true" outlineLevel="0" collapsed="false">
      <c r="A43" s="42" t="str">
        <f aca="false">IF(科目参数!$A43="","",科目参数!$A43)</f>
        <v>2221</v>
      </c>
      <c r="B43" s="35" t="str">
        <f aca="false">IF($A43="","",科目参数!$B43)</f>
        <v>应交税费</v>
      </c>
      <c r="C43" s="42" t="str">
        <f aca="false">IF($A43="","",科目参数!$C43)</f>
        <v>负债</v>
      </c>
      <c r="D43" s="42" t="str">
        <f aca="false">IF($A43="","",科目参数!$D43)</f>
        <v>贷</v>
      </c>
      <c r="E43" s="54" t="n">
        <f aca="false">IF($A43="","",SUMIFS(期初数据!$Z$6:$Z$125,期初数据!$W$6:$W$125,$A43))</f>
        <v>0</v>
      </c>
      <c r="F43" s="54" t="n">
        <f aca="false">IF($A43="","",SUMIFS(期初数据!$AA$6:$AA$125,期初数据!$W$6:$W$125,$A43))</f>
        <v>8000</v>
      </c>
      <c r="G43" s="54" t="n">
        <f aca="false">IF($A43="","",SUMIFS(资金流水!$N$5:$N$504,资金流水!$O$5:$O$504,$A43,资金流水!$C$5:$C$504,首页!$B$5)+SUMIFS(销售录入!$X$5:$X$404,销售录入!$V$5:$V$404,$A43,销售录入!$C$5:$C$404,首页!$B$5)+SUMIFS(销售录入!$AA$5:$AA$404,销售录入!$Y$5:$Y$404,$A43,销售录入!$C$5:$C$404,首页!$B$5)+SUMIFS(销售录入!$AD$5:$AD$404,销售录入!$AB$5:$AB$404,$A43,销售录入!$C$5:$C$404,首页!$B$5)+SUMIFS(采购录入!$W$5:$W$404,采购录入!$U$5:$U$404,$A43,采购录入!$C$5:$C$404,首页!$B$5)+SUMIFS(采购录入!$Z$5:$Z$404,采购录入!$X$5:$X$404,$A43,采购录入!$C$5:$C$404,首页!$B$5)+SUMIFS(其他凭证!$H$5:$H$304,其他凭证!$F$5:$F$304,$A43,其他凭证!$C$5:$C$304,首页!$B$5))</f>
        <v>2502.5</v>
      </c>
      <c r="H43" s="54" t="n">
        <f aca="false">IF($A43="","",SUMIFS(资金流水!$N$5:$N$504,资金流水!$P$5:$P$504,$A43,资金流水!$C$5:$C$504,首页!$B$5)+SUMIFS(销售录入!$X$5:$X$404,销售录入!$W$5:$W$404,$A43,销售录入!$C$5:$C$404,首页!$B$5)+SUMIFS(销售录入!$AA$5:$AA$404,销售录入!$Z$5:$Z$404,$A43,销售录入!$C$5:$C$404,首页!$B$5)+SUMIFS(销售录入!$AD$5:$AD$404,销售录入!$AC$5:$AC$404,$A43,销售录入!$C$5:$C$404,首页!$B$5)+SUMIFS(采购录入!$W$5:$W$404,采购录入!$V$5:$V$404,$A43,采购录入!$C$5:$C$404,首页!$B$5)+SUMIFS(采购录入!$Z$5:$Z$404,采购录入!$Y$5:$Y$404,$A43,采购录入!$C$5:$C$404,首页!$B$5)+SUMIFS(其他凭证!$H$5:$H$304,其他凭证!$G$5:$G$304,$A43,其他凭证!$C$5:$C$304,首页!$B$5))</f>
        <v>3586</v>
      </c>
      <c r="I43" s="54" t="n">
        <f aca="false">IF($A43="","",SUMIFS(资金流水!$N$5:$N$504,资金流水!$O$5:$O$504,$A43,资金流水!$B$5:$B$504,"&lt;="&amp;首页!$B$7)+SUMIFS(销售录入!$X$5:$X$404,销售录入!$V$5:$V$404,$A43,销售录入!$B$5:$B$404,"&lt;="&amp;首页!$B$7)+SUMIFS(销售录入!$AA$5:$AA$404,销售录入!$Y$5:$Y$404,$A43,销售录入!$B$5:$B$404,"&lt;="&amp;首页!$B$7)+SUMIFS(销售录入!$AD$5:$AD$404,销售录入!$AB$5:$AB$404,$A43,销售录入!$B$5:$B$404,"&lt;="&amp;首页!$B$7)+SUMIFS(采购录入!$W$5:$W$404,采购录入!$U$5:$U$404,$A43,采购录入!$B$5:$B$404,"&lt;="&amp;首页!$B$7)+SUMIFS(采购录入!$Z$5:$Z$404,采购录入!$X$5:$X$404,$A43,采购录入!$B$5:$B$404,"&lt;="&amp;首页!$B$7)+SUMIFS(其他凭证!$H$5:$H$304,其他凭证!$F$5:$F$304,$A43,其他凭证!$B$5:$B$304,"&lt;="&amp;首页!$B$7))</f>
        <v>2502.5</v>
      </c>
      <c r="J43" s="54" t="n">
        <f aca="false">IF($A43="","",SUMIFS(资金流水!$N$5:$N$504,资金流水!$P$5:$P$504,$A43,资金流水!$B$5:$B$504,"&lt;="&amp;首页!$B$7)+SUMIFS(销售录入!$X$5:$X$404,销售录入!$W$5:$W$404,$A43,销售录入!$B$5:$B$404,"&lt;="&amp;首页!$B$7)+SUMIFS(销售录入!$AA$5:$AA$404,销售录入!$Z$5:$Z$404,$A43,销售录入!$B$5:$B$404,"&lt;="&amp;首页!$B$7)+SUMIFS(销售录入!$AD$5:$AD$404,销售录入!$AC$5:$AC$404,$A43,销售录入!$B$5:$B$404,"&lt;="&amp;首页!$B$7)+SUMIFS(采购录入!$W$5:$W$404,采购录入!$V$5:$V$404,$A43,采购录入!$B$5:$B$404,"&lt;="&amp;首页!$B$7)+SUMIFS(采购录入!$Z$5:$Z$404,采购录入!$Y$5:$Y$404,$A43,采购录入!$B$5:$B$404,"&lt;="&amp;首页!$B$7)+SUMIFS(其他凭证!$H$5:$H$304,其他凭证!$G$5:$G$304,$A43,其他凭证!$B$5:$B$304,"&lt;="&amp;首页!$B$7))</f>
        <v>3586</v>
      </c>
      <c r="K43" s="44" t="n">
        <f aca="false">IF($A43="","",($E43+$I43)-($F43+$J43))</f>
        <v>-9083.5</v>
      </c>
      <c r="L43" s="44" t="n">
        <f aca="false">IF($A43="","",IF($K43&gt;=0,$K43,0))</f>
        <v>0</v>
      </c>
      <c r="M43" s="44" t="n">
        <f aca="false">IF($A43="","",IF($K43&lt;0,-$K43,0))</f>
        <v>9083.5</v>
      </c>
      <c r="N43" s="35" t="str">
        <f aca="false">IF($A43="","",科目参数!$F43)</f>
        <v>应交税费</v>
      </c>
      <c r="O43" s="35" t="n">
        <f aca="false">IF($A43="","",科目参数!$G43)</f>
        <v>0</v>
      </c>
      <c r="P43" s="42" t="str">
        <f aca="false">IF($A43="","",科目参数!$H43)</f>
        <v>经营活动</v>
      </c>
    </row>
    <row r="44" customFormat="false" ht="15.75" hidden="false" customHeight="true" outlineLevel="0" collapsed="false">
      <c r="A44" s="42" t="str">
        <f aca="false">IF(科目参数!$A44="","",科目参数!$A44)</f>
        <v>2231</v>
      </c>
      <c r="B44" s="35" t="str">
        <f aca="false">IF($A44="","",科目参数!$B44)</f>
        <v>应付利息</v>
      </c>
      <c r="C44" s="42" t="str">
        <f aca="false">IF($A44="","",科目参数!$C44)</f>
        <v>负债</v>
      </c>
      <c r="D44" s="42" t="str">
        <f aca="false">IF($A44="","",科目参数!$D44)</f>
        <v>贷</v>
      </c>
      <c r="E44" s="54" t="n">
        <f aca="false">IF($A44="","",SUMIFS(期初数据!$Z$6:$Z$125,期初数据!$W$6:$W$125,$A44))</f>
        <v>0</v>
      </c>
      <c r="F44" s="54" t="n">
        <f aca="false">IF($A44="","",SUMIFS(期初数据!$AA$6:$AA$125,期初数据!$W$6:$W$125,$A44))</f>
        <v>0</v>
      </c>
      <c r="G44" s="54" t="n">
        <f aca="false">IF($A44="","",SUMIFS(资金流水!$N$5:$N$504,资金流水!$O$5:$O$504,$A44,资金流水!$C$5:$C$504,首页!$B$5)+SUMIFS(销售录入!$X$5:$X$404,销售录入!$V$5:$V$404,$A44,销售录入!$C$5:$C$404,首页!$B$5)+SUMIFS(销售录入!$AA$5:$AA$404,销售录入!$Y$5:$Y$404,$A44,销售录入!$C$5:$C$404,首页!$B$5)+SUMIFS(销售录入!$AD$5:$AD$404,销售录入!$AB$5:$AB$404,$A44,销售录入!$C$5:$C$404,首页!$B$5)+SUMIFS(采购录入!$W$5:$W$404,采购录入!$U$5:$U$404,$A44,采购录入!$C$5:$C$404,首页!$B$5)+SUMIFS(采购录入!$Z$5:$Z$404,采购录入!$X$5:$X$404,$A44,采购录入!$C$5:$C$404,首页!$B$5)+SUMIFS(其他凭证!$H$5:$H$304,其他凭证!$F$5:$F$304,$A44,其他凭证!$C$5:$C$304,首页!$B$5))</f>
        <v>0</v>
      </c>
      <c r="H44" s="54" t="n">
        <f aca="false">IF($A44="","",SUMIFS(资金流水!$N$5:$N$504,资金流水!$P$5:$P$504,$A44,资金流水!$C$5:$C$504,首页!$B$5)+SUMIFS(销售录入!$X$5:$X$404,销售录入!$W$5:$W$404,$A44,销售录入!$C$5:$C$404,首页!$B$5)+SUMIFS(销售录入!$AA$5:$AA$404,销售录入!$Z$5:$Z$404,$A44,销售录入!$C$5:$C$404,首页!$B$5)+SUMIFS(销售录入!$AD$5:$AD$404,销售录入!$AC$5:$AC$404,$A44,销售录入!$C$5:$C$404,首页!$B$5)+SUMIFS(采购录入!$W$5:$W$404,采购录入!$V$5:$V$404,$A44,采购录入!$C$5:$C$404,首页!$B$5)+SUMIFS(采购录入!$Z$5:$Z$404,采购录入!$Y$5:$Y$404,$A44,采购录入!$C$5:$C$404,首页!$B$5)+SUMIFS(其他凭证!$H$5:$H$304,其他凭证!$G$5:$G$304,$A44,其他凭证!$C$5:$C$304,首页!$B$5))</f>
        <v>0</v>
      </c>
      <c r="I44" s="54" t="n">
        <f aca="false">IF($A44="","",SUMIFS(资金流水!$N$5:$N$504,资金流水!$O$5:$O$504,$A44,资金流水!$B$5:$B$504,"&lt;="&amp;首页!$B$7)+SUMIFS(销售录入!$X$5:$X$404,销售录入!$V$5:$V$404,$A44,销售录入!$B$5:$B$404,"&lt;="&amp;首页!$B$7)+SUMIFS(销售录入!$AA$5:$AA$404,销售录入!$Y$5:$Y$404,$A44,销售录入!$B$5:$B$404,"&lt;="&amp;首页!$B$7)+SUMIFS(销售录入!$AD$5:$AD$404,销售录入!$AB$5:$AB$404,$A44,销售录入!$B$5:$B$404,"&lt;="&amp;首页!$B$7)+SUMIFS(采购录入!$W$5:$W$404,采购录入!$U$5:$U$404,$A44,采购录入!$B$5:$B$404,"&lt;="&amp;首页!$B$7)+SUMIFS(采购录入!$Z$5:$Z$404,采购录入!$X$5:$X$404,$A44,采购录入!$B$5:$B$404,"&lt;="&amp;首页!$B$7)+SUMIFS(其他凭证!$H$5:$H$304,其他凭证!$F$5:$F$304,$A44,其他凭证!$B$5:$B$304,"&lt;="&amp;首页!$B$7))</f>
        <v>0</v>
      </c>
      <c r="J44" s="54" t="n">
        <f aca="false">IF($A44="","",SUMIFS(资金流水!$N$5:$N$504,资金流水!$P$5:$P$504,$A44,资金流水!$B$5:$B$504,"&lt;="&amp;首页!$B$7)+SUMIFS(销售录入!$X$5:$X$404,销售录入!$W$5:$W$404,$A44,销售录入!$B$5:$B$404,"&lt;="&amp;首页!$B$7)+SUMIFS(销售录入!$AA$5:$AA$404,销售录入!$Z$5:$Z$404,$A44,销售录入!$B$5:$B$404,"&lt;="&amp;首页!$B$7)+SUMIFS(销售录入!$AD$5:$AD$404,销售录入!$AC$5:$AC$404,$A44,销售录入!$B$5:$B$404,"&lt;="&amp;首页!$B$7)+SUMIFS(采购录入!$W$5:$W$404,采购录入!$V$5:$V$404,$A44,采购录入!$B$5:$B$404,"&lt;="&amp;首页!$B$7)+SUMIFS(采购录入!$Z$5:$Z$404,采购录入!$Y$5:$Y$404,$A44,采购录入!$B$5:$B$404,"&lt;="&amp;首页!$B$7)+SUMIFS(其他凭证!$H$5:$H$304,其他凭证!$G$5:$G$304,$A44,其他凭证!$B$5:$B$304,"&lt;="&amp;首页!$B$7))</f>
        <v>0</v>
      </c>
      <c r="K44" s="44" t="n">
        <f aca="false">IF($A44="","",($E44+$I44)-($F44+$J44))</f>
        <v>0</v>
      </c>
      <c r="L44" s="44" t="n">
        <f aca="false">IF($A44="","",IF($K44&gt;=0,$K44,0))</f>
        <v>0</v>
      </c>
      <c r="M44" s="44" t="n">
        <f aca="false">IF($A44="","",IF($K44&lt;0,-$K44,0))</f>
        <v>0</v>
      </c>
      <c r="N44" s="35" t="str">
        <f aca="false">IF($A44="","",科目参数!$F44)</f>
        <v>其他应付款</v>
      </c>
      <c r="O44" s="35" t="n">
        <f aca="false">IF($A44="","",科目参数!$G44)</f>
        <v>0</v>
      </c>
      <c r="P44" s="42" t="str">
        <f aca="false">IF($A44="","",科目参数!$H44)</f>
        <v>筹资活动</v>
      </c>
    </row>
    <row r="45" customFormat="false" ht="15.75" hidden="false" customHeight="true" outlineLevel="0" collapsed="false">
      <c r="A45" s="42" t="str">
        <f aca="false">IF(科目参数!$A45="","",科目参数!$A45)</f>
        <v>2232</v>
      </c>
      <c r="B45" s="35" t="str">
        <f aca="false">IF($A45="","",科目参数!$B45)</f>
        <v>应付股利</v>
      </c>
      <c r="C45" s="42" t="str">
        <f aca="false">IF($A45="","",科目参数!$C45)</f>
        <v>负债</v>
      </c>
      <c r="D45" s="42" t="str">
        <f aca="false">IF($A45="","",科目参数!$D45)</f>
        <v>贷</v>
      </c>
      <c r="E45" s="54" t="n">
        <f aca="false">IF($A45="","",SUMIFS(期初数据!$Z$6:$Z$125,期初数据!$W$6:$W$125,$A45))</f>
        <v>0</v>
      </c>
      <c r="F45" s="54" t="n">
        <f aca="false">IF($A45="","",SUMIFS(期初数据!$AA$6:$AA$125,期初数据!$W$6:$W$125,$A45))</f>
        <v>0</v>
      </c>
      <c r="G45" s="54" t="n">
        <f aca="false">IF($A45="","",SUMIFS(资金流水!$N$5:$N$504,资金流水!$O$5:$O$504,$A45,资金流水!$C$5:$C$504,首页!$B$5)+SUMIFS(销售录入!$X$5:$X$404,销售录入!$V$5:$V$404,$A45,销售录入!$C$5:$C$404,首页!$B$5)+SUMIFS(销售录入!$AA$5:$AA$404,销售录入!$Y$5:$Y$404,$A45,销售录入!$C$5:$C$404,首页!$B$5)+SUMIFS(销售录入!$AD$5:$AD$404,销售录入!$AB$5:$AB$404,$A45,销售录入!$C$5:$C$404,首页!$B$5)+SUMIFS(采购录入!$W$5:$W$404,采购录入!$U$5:$U$404,$A45,采购录入!$C$5:$C$404,首页!$B$5)+SUMIFS(采购录入!$Z$5:$Z$404,采购录入!$X$5:$X$404,$A45,采购录入!$C$5:$C$404,首页!$B$5)+SUMIFS(其他凭证!$H$5:$H$304,其他凭证!$F$5:$F$304,$A45,其他凭证!$C$5:$C$304,首页!$B$5))</f>
        <v>0</v>
      </c>
      <c r="H45" s="54" t="n">
        <f aca="false">IF($A45="","",SUMIFS(资金流水!$N$5:$N$504,资金流水!$P$5:$P$504,$A45,资金流水!$C$5:$C$504,首页!$B$5)+SUMIFS(销售录入!$X$5:$X$404,销售录入!$W$5:$W$404,$A45,销售录入!$C$5:$C$404,首页!$B$5)+SUMIFS(销售录入!$AA$5:$AA$404,销售录入!$Z$5:$Z$404,$A45,销售录入!$C$5:$C$404,首页!$B$5)+SUMIFS(销售录入!$AD$5:$AD$404,销售录入!$AC$5:$AC$404,$A45,销售录入!$C$5:$C$404,首页!$B$5)+SUMIFS(采购录入!$W$5:$W$404,采购录入!$V$5:$V$404,$A45,采购录入!$C$5:$C$404,首页!$B$5)+SUMIFS(采购录入!$Z$5:$Z$404,采购录入!$Y$5:$Y$404,$A45,采购录入!$C$5:$C$404,首页!$B$5)+SUMIFS(其他凭证!$H$5:$H$304,其他凭证!$G$5:$G$304,$A45,其他凭证!$C$5:$C$304,首页!$B$5))</f>
        <v>0</v>
      </c>
      <c r="I45" s="54" t="n">
        <f aca="false">IF($A45="","",SUMIFS(资金流水!$N$5:$N$504,资金流水!$O$5:$O$504,$A45,资金流水!$B$5:$B$504,"&lt;="&amp;首页!$B$7)+SUMIFS(销售录入!$X$5:$X$404,销售录入!$V$5:$V$404,$A45,销售录入!$B$5:$B$404,"&lt;="&amp;首页!$B$7)+SUMIFS(销售录入!$AA$5:$AA$404,销售录入!$Y$5:$Y$404,$A45,销售录入!$B$5:$B$404,"&lt;="&amp;首页!$B$7)+SUMIFS(销售录入!$AD$5:$AD$404,销售录入!$AB$5:$AB$404,$A45,销售录入!$B$5:$B$404,"&lt;="&amp;首页!$B$7)+SUMIFS(采购录入!$W$5:$W$404,采购录入!$U$5:$U$404,$A45,采购录入!$B$5:$B$404,"&lt;="&amp;首页!$B$7)+SUMIFS(采购录入!$Z$5:$Z$404,采购录入!$X$5:$X$404,$A45,采购录入!$B$5:$B$404,"&lt;="&amp;首页!$B$7)+SUMIFS(其他凭证!$H$5:$H$304,其他凭证!$F$5:$F$304,$A45,其他凭证!$B$5:$B$304,"&lt;="&amp;首页!$B$7))</f>
        <v>0</v>
      </c>
      <c r="J45" s="54" t="n">
        <f aca="false">IF($A45="","",SUMIFS(资金流水!$N$5:$N$504,资金流水!$P$5:$P$504,$A45,资金流水!$B$5:$B$504,"&lt;="&amp;首页!$B$7)+SUMIFS(销售录入!$X$5:$X$404,销售录入!$W$5:$W$404,$A45,销售录入!$B$5:$B$404,"&lt;="&amp;首页!$B$7)+SUMIFS(销售录入!$AA$5:$AA$404,销售录入!$Z$5:$Z$404,$A45,销售录入!$B$5:$B$404,"&lt;="&amp;首页!$B$7)+SUMIFS(销售录入!$AD$5:$AD$404,销售录入!$AC$5:$AC$404,$A45,销售录入!$B$5:$B$404,"&lt;="&amp;首页!$B$7)+SUMIFS(采购录入!$W$5:$W$404,采购录入!$V$5:$V$404,$A45,采购录入!$B$5:$B$404,"&lt;="&amp;首页!$B$7)+SUMIFS(采购录入!$Z$5:$Z$404,采购录入!$Y$5:$Y$404,$A45,采购录入!$B$5:$B$404,"&lt;="&amp;首页!$B$7)+SUMIFS(其他凭证!$H$5:$H$304,其他凭证!$G$5:$G$304,$A45,其他凭证!$B$5:$B$304,"&lt;="&amp;首页!$B$7))</f>
        <v>0</v>
      </c>
      <c r="K45" s="44" t="n">
        <f aca="false">IF($A45="","",($E45+$I45)-($F45+$J45))</f>
        <v>0</v>
      </c>
      <c r="L45" s="44" t="n">
        <f aca="false">IF($A45="","",IF($K45&gt;=0,$K45,0))</f>
        <v>0</v>
      </c>
      <c r="M45" s="44" t="n">
        <f aca="false">IF($A45="","",IF($K45&lt;0,-$K45,0))</f>
        <v>0</v>
      </c>
      <c r="N45" s="35" t="str">
        <f aca="false">IF($A45="","",科目参数!$F45)</f>
        <v>其他应付款</v>
      </c>
      <c r="O45" s="35" t="n">
        <f aca="false">IF($A45="","",科目参数!$G45)</f>
        <v>0</v>
      </c>
      <c r="P45" s="42" t="str">
        <f aca="false">IF($A45="","",科目参数!$H45)</f>
        <v>筹资活动</v>
      </c>
    </row>
    <row r="46" customFormat="false" ht="15.75" hidden="false" customHeight="true" outlineLevel="0" collapsed="false">
      <c r="A46" s="42" t="str">
        <f aca="false">IF(科目参数!$A46="","",科目参数!$A46)</f>
        <v>2241</v>
      </c>
      <c r="B46" s="35" t="str">
        <f aca="false">IF($A46="","",科目参数!$B46)</f>
        <v>其他应付款</v>
      </c>
      <c r="C46" s="42" t="str">
        <f aca="false">IF($A46="","",科目参数!$C46)</f>
        <v>负债</v>
      </c>
      <c r="D46" s="42" t="str">
        <f aca="false">IF($A46="","",科目参数!$D46)</f>
        <v>贷</v>
      </c>
      <c r="E46" s="54" t="n">
        <f aca="false">IF($A46="","",SUMIFS(期初数据!$Z$6:$Z$125,期初数据!$W$6:$W$125,$A46))</f>
        <v>0</v>
      </c>
      <c r="F46" s="54" t="n">
        <f aca="false">IF($A46="","",SUMIFS(期初数据!$AA$6:$AA$125,期初数据!$W$6:$W$125,$A46))</f>
        <v>0</v>
      </c>
      <c r="G46" s="54" t="n">
        <f aca="false">IF($A46="","",SUMIFS(资金流水!$N$5:$N$504,资金流水!$O$5:$O$504,$A46,资金流水!$C$5:$C$504,首页!$B$5)+SUMIFS(销售录入!$X$5:$X$404,销售录入!$V$5:$V$404,$A46,销售录入!$C$5:$C$404,首页!$B$5)+SUMIFS(销售录入!$AA$5:$AA$404,销售录入!$Y$5:$Y$404,$A46,销售录入!$C$5:$C$404,首页!$B$5)+SUMIFS(销售录入!$AD$5:$AD$404,销售录入!$AB$5:$AB$404,$A46,销售录入!$C$5:$C$404,首页!$B$5)+SUMIFS(采购录入!$W$5:$W$404,采购录入!$U$5:$U$404,$A46,采购录入!$C$5:$C$404,首页!$B$5)+SUMIFS(采购录入!$Z$5:$Z$404,采购录入!$X$5:$X$404,$A46,采购录入!$C$5:$C$404,首页!$B$5)+SUMIFS(其他凭证!$H$5:$H$304,其他凭证!$F$5:$F$304,$A46,其他凭证!$C$5:$C$304,首页!$B$5))</f>
        <v>0</v>
      </c>
      <c r="H46" s="54" t="n">
        <f aca="false">IF($A46="","",SUMIFS(资金流水!$N$5:$N$504,资金流水!$P$5:$P$504,$A46,资金流水!$C$5:$C$504,首页!$B$5)+SUMIFS(销售录入!$X$5:$X$404,销售录入!$W$5:$W$404,$A46,销售录入!$C$5:$C$404,首页!$B$5)+SUMIFS(销售录入!$AA$5:$AA$404,销售录入!$Z$5:$Z$404,$A46,销售录入!$C$5:$C$404,首页!$B$5)+SUMIFS(销售录入!$AD$5:$AD$404,销售录入!$AC$5:$AC$404,$A46,销售录入!$C$5:$C$404,首页!$B$5)+SUMIFS(采购录入!$W$5:$W$404,采购录入!$V$5:$V$404,$A46,采购录入!$C$5:$C$404,首页!$B$5)+SUMIFS(采购录入!$Z$5:$Z$404,采购录入!$Y$5:$Y$404,$A46,采购录入!$C$5:$C$404,首页!$B$5)+SUMIFS(其他凭证!$H$5:$H$304,其他凭证!$G$5:$G$304,$A46,其他凭证!$C$5:$C$304,首页!$B$5))</f>
        <v>0</v>
      </c>
      <c r="I46" s="54" t="n">
        <f aca="false">IF($A46="","",SUMIFS(资金流水!$N$5:$N$504,资金流水!$O$5:$O$504,$A46,资金流水!$B$5:$B$504,"&lt;="&amp;首页!$B$7)+SUMIFS(销售录入!$X$5:$X$404,销售录入!$V$5:$V$404,$A46,销售录入!$B$5:$B$404,"&lt;="&amp;首页!$B$7)+SUMIFS(销售录入!$AA$5:$AA$404,销售录入!$Y$5:$Y$404,$A46,销售录入!$B$5:$B$404,"&lt;="&amp;首页!$B$7)+SUMIFS(销售录入!$AD$5:$AD$404,销售录入!$AB$5:$AB$404,$A46,销售录入!$B$5:$B$404,"&lt;="&amp;首页!$B$7)+SUMIFS(采购录入!$W$5:$W$404,采购录入!$U$5:$U$404,$A46,采购录入!$B$5:$B$404,"&lt;="&amp;首页!$B$7)+SUMIFS(采购录入!$Z$5:$Z$404,采购录入!$X$5:$X$404,$A46,采购录入!$B$5:$B$404,"&lt;="&amp;首页!$B$7)+SUMIFS(其他凭证!$H$5:$H$304,其他凭证!$F$5:$F$304,$A46,其他凭证!$B$5:$B$304,"&lt;="&amp;首页!$B$7))</f>
        <v>0</v>
      </c>
      <c r="J46" s="54" t="n">
        <f aca="false">IF($A46="","",SUMIFS(资金流水!$N$5:$N$504,资金流水!$P$5:$P$504,$A46,资金流水!$B$5:$B$504,"&lt;="&amp;首页!$B$7)+SUMIFS(销售录入!$X$5:$X$404,销售录入!$W$5:$W$404,$A46,销售录入!$B$5:$B$404,"&lt;="&amp;首页!$B$7)+SUMIFS(销售录入!$AA$5:$AA$404,销售录入!$Z$5:$Z$404,$A46,销售录入!$B$5:$B$404,"&lt;="&amp;首页!$B$7)+SUMIFS(销售录入!$AD$5:$AD$404,销售录入!$AC$5:$AC$404,$A46,销售录入!$B$5:$B$404,"&lt;="&amp;首页!$B$7)+SUMIFS(采购录入!$W$5:$W$404,采购录入!$V$5:$V$404,$A46,采购录入!$B$5:$B$404,"&lt;="&amp;首页!$B$7)+SUMIFS(采购录入!$Z$5:$Z$404,采购录入!$Y$5:$Y$404,$A46,采购录入!$B$5:$B$404,"&lt;="&amp;首页!$B$7)+SUMIFS(其他凭证!$H$5:$H$304,其他凭证!$G$5:$G$304,$A46,其他凭证!$B$5:$B$304,"&lt;="&amp;首页!$B$7))</f>
        <v>0</v>
      </c>
      <c r="K46" s="44" t="n">
        <f aca="false">IF($A46="","",($E46+$I46)-($F46+$J46))</f>
        <v>0</v>
      </c>
      <c r="L46" s="44" t="n">
        <f aca="false">IF($A46="","",IF($K46&gt;=0,$K46,0))</f>
        <v>0</v>
      </c>
      <c r="M46" s="44" t="n">
        <f aca="false">IF($A46="","",IF($K46&lt;0,-$K46,0))</f>
        <v>0</v>
      </c>
      <c r="N46" s="35" t="str">
        <f aca="false">IF($A46="","",科目参数!$F46)</f>
        <v>其他应付款</v>
      </c>
      <c r="O46" s="35" t="n">
        <f aca="false">IF($A46="","",科目参数!$G46)</f>
        <v>0</v>
      </c>
      <c r="P46" s="42" t="str">
        <f aca="false">IF($A46="","",科目参数!$H46)</f>
        <v>经营活动</v>
      </c>
    </row>
    <row r="47" customFormat="false" ht="15.75" hidden="false" customHeight="true" outlineLevel="0" collapsed="false">
      <c r="A47" s="42" t="str">
        <f aca="false">IF(科目参数!$A47="","",科目参数!$A47)</f>
        <v>2301</v>
      </c>
      <c r="B47" s="35" t="str">
        <f aca="false">IF($A47="","",科目参数!$B47)</f>
        <v>一年内到期的非流动负债</v>
      </c>
      <c r="C47" s="42" t="str">
        <f aca="false">IF($A47="","",科目参数!$C47)</f>
        <v>负债</v>
      </c>
      <c r="D47" s="42" t="str">
        <f aca="false">IF($A47="","",科目参数!$D47)</f>
        <v>贷</v>
      </c>
      <c r="E47" s="54" t="n">
        <f aca="false">IF($A47="","",SUMIFS(期初数据!$Z$6:$Z$125,期初数据!$W$6:$W$125,$A47))</f>
        <v>0</v>
      </c>
      <c r="F47" s="54" t="n">
        <f aca="false">IF($A47="","",SUMIFS(期初数据!$AA$6:$AA$125,期初数据!$W$6:$W$125,$A47))</f>
        <v>0</v>
      </c>
      <c r="G47" s="54" t="n">
        <f aca="false">IF($A47="","",SUMIFS(资金流水!$N$5:$N$504,资金流水!$O$5:$O$504,$A47,资金流水!$C$5:$C$504,首页!$B$5)+SUMIFS(销售录入!$X$5:$X$404,销售录入!$V$5:$V$404,$A47,销售录入!$C$5:$C$404,首页!$B$5)+SUMIFS(销售录入!$AA$5:$AA$404,销售录入!$Y$5:$Y$404,$A47,销售录入!$C$5:$C$404,首页!$B$5)+SUMIFS(销售录入!$AD$5:$AD$404,销售录入!$AB$5:$AB$404,$A47,销售录入!$C$5:$C$404,首页!$B$5)+SUMIFS(采购录入!$W$5:$W$404,采购录入!$U$5:$U$404,$A47,采购录入!$C$5:$C$404,首页!$B$5)+SUMIFS(采购录入!$Z$5:$Z$404,采购录入!$X$5:$X$404,$A47,采购录入!$C$5:$C$404,首页!$B$5)+SUMIFS(其他凭证!$H$5:$H$304,其他凭证!$F$5:$F$304,$A47,其他凭证!$C$5:$C$304,首页!$B$5))</f>
        <v>0</v>
      </c>
      <c r="H47" s="54" t="n">
        <f aca="false">IF($A47="","",SUMIFS(资金流水!$N$5:$N$504,资金流水!$P$5:$P$504,$A47,资金流水!$C$5:$C$504,首页!$B$5)+SUMIFS(销售录入!$X$5:$X$404,销售录入!$W$5:$W$404,$A47,销售录入!$C$5:$C$404,首页!$B$5)+SUMIFS(销售录入!$AA$5:$AA$404,销售录入!$Z$5:$Z$404,$A47,销售录入!$C$5:$C$404,首页!$B$5)+SUMIFS(销售录入!$AD$5:$AD$404,销售录入!$AC$5:$AC$404,$A47,销售录入!$C$5:$C$404,首页!$B$5)+SUMIFS(采购录入!$W$5:$W$404,采购录入!$V$5:$V$404,$A47,采购录入!$C$5:$C$404,首页!$B$5)+SUMIFS(采购录入!$Z$5:$Z$404,采购录入!$Y$5:$Y$404,$A47,采购录入!$C$5:$C$404,首页!$B$5)+SUMIFS(其他凭证!$H$5:$H$304,其他凭证!$G$5:$G$304,$A47,其他凭证!$C$5:$C$304,首页!$B$5))</f>
        <v>0</v>
      </c>
      <c r="I47" s="54" t="n">
        <f aca="false">IF($A47="","",SUMIFS(资金流水!$N$5:$N$504,资金流水!$O$5:$O$504,$A47,资金流水!$B$5:$B$504,"&lt;="&amp;首页!$B$7)+SUMIFS(销售录入!$X$5:$X$404,销售录入!$V$5:$V$404,$A47,销售录入!$B$5:$B$404,"&lt;="&amp;首页!$B$7)+SUMIFS(销售录入!$AA$5:$AA$404,销售录入!$Y$5:$Y$404,$A47,销售录入!$B$5:$B$404,"&lt;="&amp;首页!$B$7)+SUMIFS(销售录入!$AD$5:$AD$404,销售录入!$AB$5:$AB$404,$A47,销售录入!$B$5:$B$404,"&lt;="&amp;首页!$B$7)+SUMIFS(采购录入!$W$5:$W$404,采购录入!$U$5:$U$404,$A47,采购录入!$B$5:$B$404,"&lt;="&amp;首页!$B$7)+SUMIFS(采购录入!$Z$5:$Z$404,采购录入!$X$5:$X$404,$A47,采购录入!$B$5:$B$404,"&lt;="&amp;首页!$B$7)+SUMIFS(其他凭证!$H$5:$H$304,其他凭证!$F$5:$F$304,$A47,其他凭证!$B$5:$B$304,"&lt;="&amp;首页!$B$7))</f>
        <v>0</v>
      </c>
      <c r="J47" s="54" t="n">
        <f aca="false">IF($A47="","",SUMIFS(资金流水!$N$5:$N$504,资金流水!$P$5:$P$504,$A47,资金流水!$B$5:$B$504,"&lt;="&amp;首页!$B$7)+SUMIFS(销售录入!$X$5:$X$404,销售录入!$W$5:$W$404,$A47,销售录入!$B$5:$B$404,"&lt;="&amp;首页!$B$7)+SUMIFS(销售录入!$AA$5:$AA$404,销售录入!$Z$5:$Z$404,$A47,销售录入!$B$5:$B$404,"&lt;="&amp;首页!$B$7)+SUMIFS(销售录入!$AD$5:$AD$404,销售录入!$AC$5:$AC$404,$A47,销售录入!$B$5:$B$404,"&lt;="&amp;首页!$B$7)+SUMIFS(采购录入!$W$5:$W$404,采购录入!$V$5:$V$404,$A47,采购录入!$B$5:$B$404,"&lt;="&amp;首页!$B$7)+SUMIFS(采购录入!$Z$5:$Z$404,采购录入!$Y$5:$Y$404,$A47,采购录入!$B$5:$B$404,"&lt;="&amp;首页!$B$7)+SUMIFS(其他凭证!$H$5:$H$304,其他凭证!$G$5:$G$304,$A47,其他凭证!$B$5:$B$304,"&lt;="&amp;首页!$B$7))</f>
        <v>0</v>
      </c>
      <c r="K47" s="44" t="n">
        <f aca="false">IF($A47="","",($E47+$I47)-($F47+$J47))</f>
        <v>0</v>
      </c>
      <c r="L47" s="44" t="n">
        <f aca="false">IF($A47="","",IF($K47&gt;=0,$K47,0))</f>
        <v>0</v>
      </c>
      <c r="M47" s="44" t="n">
        <f aca="false">IF($A47="","",IF($K47&lt;0,-$K47,0))</f>
        <v>0</v>
      </c>
      <c r="N47" s="35" t="str">
        <f aca="false">IF($A47="","",科目参数!$F47)</f>
        <v>一年内到期的非流动负债</v>
      </c>
      <c r="O47" s="35" t="n">
        <f aca="false">IF($A47="","",科目参数!$G47)</f>
        <v>0</v>
      </c>
      <c r="P47" s="42" t="str">
        <f aca="false">IF($A47="","",科目参数!$H47)</f>
        <v>筹资活动</v>
      </c>
    </row>
    <row r="48" customFormat="false" ht="15.75" hidden="false" customHeight="true" outlineLevel="0" collapsed="false">
      <c r="A48" s="42" t="str">
        <f aca="false">IF(科目参数!$A48="","",科目参数!$A48)</f>
        <v>2401</v>
      </c>
      <c r="B48" s="35" t="str">
        <f aca="false">IF($A48="","",科目参数!$B48)</f>
        <v>递延收益</v>
      </c>
      <c r="C48" s="42" t="str">
        <f aca="false">IF($A48="","",科目参数!$C48)</f>
        <v>负债</v>
      </c>
      <c r="D48" s="42" t="str">
        <f aca="false">IF($A48="","",科目参数!$D48)</f>
        <v>贷</v>
      </c>
      <c r="E48" s="54" t="n">
        <f aca="false">IF($A48="","",SUMIFS(期初数据!$Z$6:$Z$125,期初数据!$W$6:$W$125,$A48))</f>
        <v>0</v>
      </c>
      <c r="F48" s="54" t="n">
        <f aca="false">IF($A48="","",SUMIFS(期初数据!$AA$6:$AA$125,期初数据!$W$6:$W$125,$A48))</f>
        <v>0</v>
      </c>
      <c r="G48" s="54" t="n">
        <f aca="false">IF($A48="","",SUMIFS(资金流水!$N$5:$N$504,资金流水!$O$5:$O$504,$A48,资金流水!$C$5:$C$504,首页!$B$5)+SUMIFS(销售录入!$X$5:$X$404,销售录入!$V$5:$V$404,$A48,销售录入!$C$5:$C$404,首页!$B$5)+SUMIFS(销售录入!$AA$5:$AA$404,销售录入!$Y$5:$Y$404,$A48,销售录入!$C$5:$C$404,首页!$B$5)+SUMIFS(销售录入!$AD$5:$AD$404,销售录入!$AB$5:$AB$404,$A48,销售录入!$C$5:$C$404,首页!$B$5)+SUMIFS(采购录入!$W$5:$W$404,采购录入!$U$5:$U$404,$A48,采购录入!$C$5:$C$404,首页!$B$5)+SUMIFS(采购录入!$Z$5:$Z$404,采购录入!$X$5:$X$404,$A48,采购录入!$C$5:$C$404,首页!$B$5)+SUMIFS(其他凭证!$H$5:$H$304,其他凭证!$F$5:$F$304,$A48,其他凭证!$C$5:$C$304,首页!$B$5))</f>
        <v>0</v>
      </c>
      <c r="H48" s="54" t="n">
        <f aca="false">IF($A48="","",SUMIFS(资金流水!$N$5:$N$504,资金流水!$P$5:$P$504,$A48,资金流水!$C$5:$C$504,首页!$B$5)+SUMIFS(销售录入!$X$5:$X$404,销售录入!$W$5:$W$404,$A48,销售录入!$C$5:$C$404,首页!$B$5)+SUMIFS(销售录入!$AA$5:$AA$404,销售录入!$Z$5:$Z$404,$A48,销售录入!$C$5:$C$404,首页!$B$5)+SUMIFS(销售录入!$AD$5:$AD$404,销售录入!$AC$5:$AC$404,$A48,销售录入!$C$5:$C$404,首页!$B$5)+SUMIFS(采购录入!$W$5:$W$404,采购录入!$V$5:$V$404,$A48,采购录入!$C$5:$C$404,首页!$B$5)+SUMIFS(采购录入!$Z$5:$Z$404,采购录入!$Y$5:$Y$404,$A48,采购录入!$C$5:$C$404,首页!$B$5)+SUMIFS(其他凭证!$H$5:$H$304,其他凭证!$G$5:$G$304,$A48,其他凭证!$C$5:$C$304,首页!$B$5))</f>
        <v>0</v>
      </c>
      <c r="I48" s="54" t="n">
        <f aca="false">IF($A48="","",SUMIFS(资金流水!$N$5:$N$504,资金流水!$O$5:$O$504,$A48,资金流水!$B$5:$B$504,"&lt;="&amp;首页!$B$7)+SUMIFS(销售录入!$X$5:$X$404,销售录入!$V$5:$V$404,$A48,销售录入!$B$5:$B$404,"&lt;="&amp;首页!$B$7)+SUMIFS(销售录入!$AA$5:$AA$404,销售录入!$Y$5:$Y$404,$A48,销售录入!$B$5:$B$404,"&lt;="&amp;首页!$B$7)+SUMIFS(销售录入!$AD$5:$AD$404,销售录入!$AB$5:$AB$404,$A48,销售录入!$B$5:$B$404,"&lt;="&amp;首页!$B$7)+SUMIFS(采购录入!$W$5:$W$404,采购录入!$U$5:$U$404,$A48,采购录入!$B$5:$B$404,"&lt;="&amp;首页!$B$7)+SUMIFS(采购录入!$Z$5:$Z$404,采购录入!$X$5:$X$404,$A48,采购录入!$B$5:$B$404,"&lt;="&amp;首页!$B$7)+SUMIFS(其他凭证!$H$5:$H$304,其他凭证!$F$5:$F$304,$A48,其他凭证!$B$5:$B$304,"&lt;="&amp;首页!$B$7))</f>
        <v>0</v>
      </c>
      <c r="J48" s="54" t="n">
        <f aca="false">IF($A48="","",SUMIFS(资金流水!$N$5:$N$504,资金流水!$P$5:$P$504,$A48,资金流水!$B$5:$B$504,"&lt;="&amp;首页!$B$7)+SUMIFS(销售录入!$X$5:$X$404,销售录入!$W$5:$W$404,$A48,销售录入!$B$5:$B$404,"&lt;="&amp;首页!$B$7)+SUMIFS(销售录入!$AA$5:$AA$404,销售录入!$Z$5:$Z$404,$A48,销售录入!$B$5:$B$404,"&lt;="&amp;首页!$B$7)+SUMIFS(销售录入!$AD$5:$AD$404,销售录入!$AC$5:$AC$404,$A48,销售录入!$B$5:$B$404,"&lt;="&amp;首页!$B$7)+SUMIFS(采购录入!$W$5:$W$404,采购录入!$V$5:$V$404,$A48,采购录入!$B$5:$B$404,"&lt;="&amp;首页!$B$7)+SUMIFS(采购录入!$Z$5:$Z$404,采购录入!$Y$5:$Y$404,$A48,采购录入!$B$5:$B$404,"&lt;="&amp;首页!$B$7)+SUMIFS(其他凭证!$H$5:$H$304,其他凭证!$G$5:$G$304,$A48,其他凭证!$B$5:$B$304,"&lt;="&amp;首页!$B$7))</f>
        <v>0</v>
      </c>
      <c r="K48" s="44" t="n">
        <f aca="false">IF($A48="","",($E48+$I48)-($F48+$J48))</f>
        <v>0</v>
      </c>
      <c r="L48" s="44" t="n">
        <f aca="false">IF($A48="","",IF($K48&gt;=0,$K48,0))</f>
        <v>0</v>
      </c>
      <c r="M48" s="44" t="n">
        <f aca="false">IF($A48="","",IF($K48&lt;0,-$K48,0))</f>
        <v>0</v>
      </c>
      <c r="N48" s="35" t="str">
        <f aca="false">IF($A48="","",科目参数!$F48)</f>
        <v>递延收益</v>
      </c>
      <c r="O48" s="35" t="n">
        <f aca="false">IF($A48="","",科目参数!$G48)</f>
        <v>0</v>
      </c>
      <c r="P48" s="42" t="str">
        <f aca="false">IF($A48="","",科目参数!$H48)</f>
        <v>非现金</v>
      </c>
    </row>
    <row r="49" customFormat="false" ht="15.75" hidden="false" customHeight="true" outlineLevel="0" collapsed="false">
      <c r="A49" s="42" t="str">
        <f aca="false">IF(科目参数!$A49="","",科目参数!$A49)</f>
        <v>2501</v>
      </c>
      <c r="B49" s="35" t="str">
        <f aca="false">IF($A49="","",科目参数!$B49)</f>
        <v>长期借款</v>
      </c>
      <c r="C49" s="42" t="str">
        <f aca="false">IF($A49="","",科目参数!$C49)</f>
        <v>负债</v>
      </c>
      <c r="D49" s="42" t="str">
        <f aca="false">IF($A49="","",科目参数!$D49)</f>
        <v>贷</v>
      </c>
      <c r="E49" s="54" t="n">
        <f aca="false">IF($A49="","",SUMIFS(期初数据!$Z$6:$Z$125,期初数据!$W$6:$W$125,$A49))</f>
        <v>0</v>
      </c>
      <c r="F49" s="54" t="n">
        <f aca="false">IF($A49="","",SUMIFS(期初数据!$AA$6:$AA$125,期初数据!$W$6:$W$125,$A49))</f>
        <v>0</v>
      </c>
      <c r="G49" s="54" t="n">
        <f aca="false">IF($A49="","",SUMIFS(资金流水!$N$5:$N$504,资金流水!$O$5:$O$504,$A49,资金流水!$C$5:$C$504,首页!$B$5)+SUMIFS(销售录入!$X$5:$X$404,销售录入!$V$5:$V$404,$A49,销售录入!$C$5:$C$404,首页!$B$5)+SUMIFS(销售录入!$AA$5:$AA$404,销售录入!$Y$5:$Y$404,$A49,销售录入!$C$5:$C$404,首页!$B$5)+SUMIFS(销售录入!$AD$5:$AD$404,销售录入!$AB$5:$AB$404,$A49,销售录入!$C$5:$C$404,首页!$B$5)+SUMIFS(采购录入!$W$5:$W$404,采购录入!$U$5:$U$404,$A49,采购录入!$C$5:$C$404,首页!$B$5)+SUMIFS(采购录入!$Z$5:$Z$404,采购录入!$X$5:$X$404,$A49,采购录入!$C$5:$C$404,首页!$B$5)+SUMIFS(其他凭证!$H$5:$H$304,其他凭证!$F$5:$F$304,$A49,其他凭证!$C$5:$C$304,首页!$B$5))</f>
        <v>0</v>
      </c>
      <c r="H49" s="54" t="n">
        <f aca="false">IF($A49="","",SUMIFS(资金流水!$N$5:$N$504,资金流水!$P$5:$P$504,$A49,资金流水!$C$5:$C$504,首页!$B$5)+SUMIFS(销售录入!$X$5:$X$404,销售录入!$W$5:$W$404,$A49,销售录入!$C$5:$C$404,首页!$B$5)+SUMIFS(销售录入!$AA$5:$AA$404,销售录入!$Z$5:$Z$404,$A49,销售录入!$C$5:$C$404,首页!$B$5)+SUMIFS(销售录入!$AD$5:$AD$404,销售录入!$AC$5:$AC$404,$A49,销售录入!$C$5:$C$404,首页!$B$5)+SUMIFS(采购录入!$W$5:$W$404,采购录入!$V$5:$V$404,$A49,采购录入!$C$5:$C$404,首页!$B$5)+SUMIFS(采购录入!$Z$5:$Z$404,采购录入!$Y$5:$Y$404,$A49,采购录入!$C$5:$C$404,首页!$B$5)+SUMIFS(其他凭证!$H$5:$H$304,其他凭证!$G$5:$G$304,$A49,其他凭证!$C$5:$C$304,首页!$B$5))</f>
        <v>0</v>
      </c>
      <c r="I49" s="54" t="n">
        <f aca="false">IF($A49="","",SUMIFS(资金流水!$N$5:$N$504,资金流水!$O$5:$O$504,$A49,资金流水!$B$5:$B$504,"&lt;="&amp;首页!$B$7)+SUMIFS(销售录入!$X$5:$X$404,销售录入!$V$5:$V$404,$A49,销售录入!$B$5:$B$404,"&lt;="&amp;首页!$B$7)+SUMIFS(销售录入!$AA$5:$AA$404,销售录入!$Y$5:$Y$404,$A49,销售录入!$B$5:$B$404,"&lt;="&amp;首页!$B$7)+SUMIFS(销售录入!$AD$5:$AD$404,销售录入!$AB$5:$AB$404,$A49,销售录入!$B$5:$B$404,"&lt;="&amp;首页!$B$7)+SUMIFS(采购录入!$W$5:$W$404,采购录入!$U$5:$U$404,$A49,采购录入!$B$5:$B$404,"&lt;="&amp;首页!$B$7)+SUMIFS(采购录入!$Z$5:$Z$404,采购录入!$X$5:$X$404,$A49,采购录入!$B$5:$B$404,"&lt;="&amp;首页!$B$7)+SUMIFS(其他凭证!$H$5:$H$304,其他凭证!$F$5:$F$304,$A49,其他凭证!$B$5:$B$304,"&lt;="&amp;首页!$B$7))</f>
        <v>0</v>
      </c>
      <c r="J49" s="54" t="n">
        <f aca="false">IF($A49="","",SUMIFS(资金流水!$N$5:$N$504,资金流水!$P$5:$P$504,$A49,资金流水!$B$5:$B$504,"&lt;="&amp;首页!$B$7)+SUMIFS(销售录入!$X$5:$X$404,销售录入!$W$5:$W$404,$A49,销售录入!$B$5:$B$404,"&lt;="&amp;首页!$B$7)+SUMIFS(销售录入!$AA$5:$AA$404,销售录入!$Z$5:$Z$404,$A49,销售录入!$B$5:$B$404,"&lt;="&amp;首页!$B$7)+SUMIFS(销售录入!$AD$5:$AD$404,销售录入!$AC$5:$AC$404,$A49,销售录入!$B$5:$B$404,"&lt;="&amp;首页!$B$7)+SUMIFS(采购录入!$W$5:$W$404,采购录入!$V$5:$V$404,$A49,采购录入!$B$5:$B$404,"&lt;="&amp;首页!$B$7)+SUMIFS(采购录入!$Z$5:$Z$404,采购录入!$Y$5:$Y$404,$A49,采购录入!$B$5:$B$404,"&lt;="&amp;首页!$B$7)+SUMIFS(其他凭证!$H$5:$H$304,其他凭证!$G$5:$G$304,$A49,其他凭证!$B$5:$B$304,"&lt;="&amp;首页!$B$7))</f>
        <v>0</v>
      </c>
      <c r="K49" s="44" t="n">
        <f aca="false">IF($A49="","",($E49+$I49)-($F49+$J49))</f>
        <v>0</v>
      </c>
      <c r="L49" s="44" t="n">
        <f aca="false">IF($A49="","",IF($K49&gt;=0,$K49,0))</f>
        <v>0</v>
      </c>
      <c r="M49" s="44" t="n">
        <f aca="false">IF($A49="","",IF($K49&lt;0,-$K49,0))</f>
        <v>0</v>
      </c>
      <c r="N49" s="35" t="str">
        <f aca="false">IF($A49="","",科目参数!$F49)</f>
        <v>长期借款</v>
      </c>
      <c r="O49" s="35" t="n">
        <f aca="false">IF($A49="","",科目参数!$G49)</f>
        <v>0</v>
      </c>
      <c r="P49" s="42" t="str">
        <f aca="false">IF($A49="","",科目参数!$H49)</f>
        <v>筹资活动</v>
      </c>
    </row>
    <row r="50" customFormat="false" ht="15.75" hidden="false" customHeight="true" outlineLevel="0" collapsed="false">
      <c r="A50" s="42" t="str">
        <f aca="false">IF(科目参数!$A50="","",科目参数!$A50)</f>
        <v>2701</v>
      </c>
      <c r="B50" s="35" t="str">
        <f aca="false">IF($A50="","",科目参数!$B50)</f>
        <v>长期应付款</v>
      </c>
      <c r="C50" s="42" t="str">
        <f aca="false">IF($A50="","",科目参数!$C50)</f>
        <v>负债</v>
      </c>
      <c r="D50" s="42" t="str">
        <f aca="false">IF($A50="","",科目参数!$D50)</f>
        <v>贷</v>
      </c>
      <c r="E50" s="54" t="n">
        <f aca="false">IF($A50="","",SUMIFS(期初数据!$Z$6:$Z$125,期初数据!$W$6:$W$125,$A50))</f>
        <v>0</v>
      </c>
      <c r="F50" s="54" t="n">
        <f aca="false">IF($A50="","",SUMIFS(期初数据!$AA$6:$AA$125,期初数据!$W$6:$W$125,$A50))</f>
        <v>0</v>
      </c>
      <c r="G50" s="54" t="n">
        <f aca="false">IF($A50="","",SUMIFS(资金流水!$N$5:$N$504,资金流水!$O$5:$O$504,$A50,资金流水!$C$5:$C$504,首页!$B$5)+SUMIFS(销售录入!$X$5:$X$404,销售录入!$V$5:$V$404,$A50,销售录入!$C$5:$C$404,首页!$B$5)+SUMIFS(销售录入!$AA$5:$AA$404,销售录入!$Y$5:$Y$404,$A50,销售录入!$C$5:$C$404,首页!$B$5)+SUMIFS(销售录入!$AD$5:$AD$404,销售录入!$AB$5:$AB$404,$A50,销售录入!$C$5:$C$404,首页!$B$5)+SUMIFS(采购录入!$W$5:$W$404,采购录入!$U$5:$U$404,$A50,采购录入!$C$5:$C$404,首页!$B$5)+SUMIFS(采购录入!$Z$5:$Z$404,采购录入!$X$5:$X$404,$A50,采购录入!$C$5:$C$404,首页!$B$5)+SUMIFS(其他凭证!$H$5:$H$304,其他凭证!$F$5:$F$304,$A50,其他凭证!$C$5:$C$304,首页!$B$5))</f>
        <v>0</v>
      </c>
      <c r="H50" s="54" t="n">
        <f aca="false">IF($A50="","",SUMIFS(资金流水!$N$5:$N$504,资金流水!$P$5:$P$504,$A50,资金流水!$C$5:$C$504,首页!$B$5)+SUMIFS(销售录入!$X$5:$X$404,销售录入!$W$5:$W$404,$A50,销售录入!$C$5:$C$404,首页!$B$5)+SUMIFS(销售录入!$AA$5:$AA$404,销售录入!$Z$5:$Z$404,$A50,销售录入!$C$5:$C$404,首页!$B$5)+SUMIFS(销售录入!$AD$5:$AD$404,销售录入!$AC$5:$AC$404,$A50,销售录入!$C$5:$C$404,首页!$B$5)+SUMIFS(采购录入!$W$5:$W$404,采购录入!$V$5:$V$404,$A50,采购录入!$C$5:$C$404,首页!$B$5)+SUMIFS(采购录入!$Z$5:$Z$404,采购录入!$Y$5:$Y$404,$A50,采购录入!$C$5:$C$404,首页!$B$5)+SUMIFS(其他凭证!$H$5:$H$304,其他凭证!$G$5:$G$304,$A50,其他凭证!$C$5:$C$304,首页!$B$5))</f>
        <v>0</v>
      </c>
      <c r="I50" s="54" t="n">
        <f aca="false">IF($A50="","",SUMIFS(资金流水!$N$5:$N$504,资金流水!$O$5:$O$504,$A50,资金流水!$B$5:$B$504,"&lt;="&amp;首页!$B$7)+SUMIFS(销售录入!$X$5:$X$404,销售录入!$V$5:$V$404,$A50,销售录入!$B$5:$B$404,"&lt;="&amp;首页!$B$7)+SUMIFS(销售录入!$AA$5:$AA$404,销售录入!$Y$5:$Y$404,$A50,销售录入!$B$5:$B$404,"&lt;="&amp;首页!$B$7)+SUMIFS(销售录入!$AD$5:$AD$404,销售录入!$AB$5:$AB$404,$A50,销售录入!$B$5:$B$404,"&lt;="&amp;首页!$B$7)+SUMIFS(采购录入!$W$5:$W$404,采购录入!$U$5:$U$404,$A50,采购录入!$B$5:$B$404,"&lt;="&amp;首页!$B$7)+SUMIFS(采购录入!$Z$5:$Z$404,采购录入!$X$5:$X$404,$A50,采购录入!$B$5:$B$404,"&lt;="&amp;首页!$B$7)+SUMIFS(其他凭证!$H$5:$H$304,其他凭证!$F$5:$F$304,$A50,其他凭证!$B$5:$B$304,"&lt;="&amp;首页!$B$7))</f>
        <v>0</v>
      </c>
      <c r="J50" s="54" t="n">
        <f aca="false">IF($A50="","",SUMIFS(资金流水!$N$5:$N$504,资金流水!$P$5:$P$504,$A50,资金流水!$B$5:$B$504,"&lt;="&amp;首页!$B$7)+SUMIFS(销售录入!$X$5:$X$404,销售录入!$W$5:$W$404,$A50,销售录入!$B$5:$B$404,"&lt;="&amp;首页!$B$7)+SUMIFS(销售录入!$AA$5:$AA$404,销售录入!$Z$5:$Z$404,$A50,销售录入!$B$5:$B$404,"&lt;="&amp;首页!$B$7)+SUMIFS(销售录入!$AD$5:$AD$404,销售录入!$AC$5:$AC$404,$A50,销售录入!$B$5:$B$404,"&lt;="&amp;首页!$B$7)+SUMIFS(采购录入!$W$5:$W$404,采购录入!$V$5:$V$404,$A50,采购录入!$B$5:$B$404,"&lt;="&amp;首页!$B$7)+SUMIFS(采购录入!$Z$5:$Z$404,采购录入!$Y$5:$Y$404,$A50,采购录入!$B$5:$B$404,"&lt;="&amp;首页!$B$7)+SUMIFS(其他凭证!$H$5:$H$304,其他凭证!$G$5:$G$304,$A50,其他凭证!$B$5:$B$304,"&lt;="&amp;首页!$B$7))</f>
        <v>0</v>
      </c>
      <c r="K50" s="44" t="n">
        <f aca="false">IF($A50="","",($E50+$I50)-($F50+$J50))</f>
        <v>0</v>
      </c>
      <c r="L50" s="44" t="n">
        <f aca="false">IF($A50="","",IF($K50&gt;=0,$K50,0))</f>
        <v>0</v>
      </c>
      <c r="M50" s="44" t="n">
        <f aca="false">IF($A50="","",IF($K50&lt;0,-$K50,0))</f>
        <v>0</v>
      </c>
      <c r="N50" s="35" t="str">
        <f aca="false">IF($A50="","",科目参数!$F50)</f>
        <v>长期应付款</v>
      </c>
      <c r="O50" s="35" t="n">
        <f aca="false">IF($A50="","",科目参数!$G50)</f>
        <v>0</v>
      </c>
      <c r="P50" s="42" t="str">
        <f aca="false">IF($A50="","",科目参数!$H50)</f>
        <v>筹资活动</v>
      </c>
    </row>
    <row r="51" customFormat="false" ht="15.75" hidden="false" customHeight="true" outlineLevel="0" collapsed="false">
      <c r="A51" s="42" t="str">
        <f aca="false">IF(科目参数!$A51="","",科目参数!$A51)</f>
        <v>2901</v>
      </c>
      <c r="B51" s="35" t="str">
        <f aca="false">IF($A51="","",科目参数!$B51)</f>
        <v>递延所得税负债</v>
      </c>
      <c r="C51" s="42" t="str">
        <f aca="false">IF($A51="","",科目参数!$C51)</f>
        <v>负债</v>
      </c>
      <c r="D51" s="42" t="str">
        <f aca="false">IF($A51="","",科目参数!$D51)</f>
        <v>贷</v>
      </c>
      <c r="E51" s="54" t="n">
        <f aca="false">IF($A51="","",SUMIFS(期初数据!$Z$6:$Z$125,期初数据!$W$6:$W$125,$A51))</f>
        <v>0</v>
      </c>
      <c r="F51" s="54" t="n">
        <f aca="false">IF($A51="","",SUMIFS(期初数据!$AA$6:$AA$125,期初数据!$W$6:$W$125,$A51))</f>
        <v>0</v>
      </c>
      <c r="G51" s="54" t="n">
        <f aca="false">IF($A51="","",SUMIFS(资金流水!$N$5:$N$504,资金流水!$O$5:$O$504,$A51,资金流水!$C$5:$C$504,首页!$B$5)+SUMIFS(销售录入!$X$5:$X$404,销售录入!$V$5:$V$404,$A51,销售录入!$C$5:$C$404,首页!$B$5)+SUMIFS(销售录入!$AA$5:$AA$404,销售录入!$Y$5:$Y$404,$A51,销售录入!$C$5:$C$404,首页!$B$5)+SUMIFS(销售录入!$AD$5:$AD$404,销售录入!$AB$5:$AB$404,$A51,销售录入!$C$5:$C$404,首页!$B$5)+SUMIFS(采购录入!$W$5:$W$404,采购录入!$U$5:$U$404,$A51,采购录入!$C$5:$C$404,首页!$B$5)+SUMIFS(采购录入!$Z$5:$Z$404,采购录入!$X$5:$X$404,$A51,采购录入!$C$5:$C$404,首页!$B$5)+SUMIFS(其他凭证!$H$5:$H$304,其他凭证!$F$5:$F$304,$A51,其他凭证!$C$5:$C$304,首页!$B$5))</f>
        <v>0</v>
      </c>
      <c r="H51" s="54" t="n">
        <f aca="false">IF($A51="","",SUMIFS(资金流水!$N$5:$N$504,资金流水!$P$5:$P$504,$A51,资金流水!$C$5:$C$504,首页!$B$5)+SUMIFS(销售录入!$X$5:$X$404,销售录入!$W$5:$W$404,$A51,销售录入!$C$5:$C$404,首页!$B$5)+SUMIFS(销售录入!$AA$5:$AA$404,销售录入!$Z$5:$Z$404,$A51,销售录入!$C$5:$C$404,首页!$B$5)+SUMIFS(销售录入!$AD$5:$AD$404,销售录入!$AC$5:$AC$404,$A51,销售录入!$C$5:$C$404,首页!$B$5)+SUMIFS(采购录入!$W$5:$W$404,采购录入!$V$5:$V$404,$A51,采购录入!$C$5:$C$404,首页!$B$5)+SUMIFS(采购录入!$Z$5:$Z$404,采购录入!$Y$5:$Y$404,$A51,采购录入!$C$5:$C$404,首页!$B$5)+SUMIFS(其他凭证!$H$5:$H$304,其他凭证!$G$5:$G$304,$A51,其他凭证!$C$5:$C$304,首页!$B$5))</f>
        <v>0</v>
      </c>
      <c r="I51" s="54" t="n">
        <f aca="false">IF($A51="","",SUMIFS(资金流水!$N$5:$N$504,资金流水!$O$5:$O$504,$A51,资金流水!$B$5:$B$504,"&lt;="&amp;首页!$B$7)+SUMIFS(销售录入!$X$5:$X$404,销售录入!$V$5:$V$404,$A51,销售录入!$B$5:$B$404,"&lt;="&amp;首页!$B$7)+SUMIFS(销售录入!$AA$5:$AA$404,销售录入!$Y$5:$Y$404,$A51,销售录入!$B$5:$B$404,"&lt;="&amp;首页!$B$7)+SUMIFS(销售录入!$AD$5:$AD$404,销售录入!$AB$5:$AB$404,$A51,销售录入!$B$5:$B$404,"&lt;="&amp;首页!$B$7)+SUMIFS(采购录入!$W$5:$W$404,采购录入!$U$5:$U$404,$A51,采购录入!$B$5:$B$404,"&lt;="&amp;首页!$B$7)+SUMIFS(采购录入!$Z$5:$Z$404,采购录入!$X$5:$X$404,$A51,采购录入!$B$5:$B$404,"&lt;="&amp;首页!$B$7)+SUMIFS(其他凭证!$H$5:$H$304,其他凭证!$F$5:$F$304,$A51,其他凭证!$B$5:$B$304,"&lt;="&amp;首页!$B$7))</f>
        <v>0</v>
      </c>
      <c r="J51" s="54" t="n">
        <f aca="false">IF($A51="","",SUMIFS(资金流水!$N$5:$N$504,资金流水!$P$5:$P$504,$A51,资金流水!$B$5:$B$504,"&lt;="&amp;首页!$B$7)+SUMIFS(销售录入!$X$5:$X$404,销售录入!$W$5:$W$404,$A51,销售录入!$B$5:$B$404,"&lt;="&amp;首页!$B$7)+SUMIFS(销售录入!$AA$5:$AA$404,销售录入!$Z$5:$Z$404,$A51,销售录入!$B$5:$B$404,"&lt;="&amp;首页!$B$7)+SUMIFS(销售录入!$AD$5:$AD$404,销售录入!$AC$5:$AC$404,$A51,销售录入!$B$5:$B$404,"&lt;="&amp;首页!$B$7)+SUMIFS(采购录入!$W$5:$W$404,采购录入!$V$5:$V$404,$A51,采购录入!$B$5:$B$404,"&lt;="&amp;首页!$B$7)+SUMIFS(采购录入!$Z$5:$Z$404,采购录入!$Y$5:$Y$404,$A51,采购录入!$B$5:$B$404,"&lt;="&amp;首页!$B$7)+SUMIFS(其他凭证!$H$5:$H$304,其他凭证!$G$5:$G$304,$A51,其他凭证!$B$5:$B$304,"&lt;="&amp;首页!$B$7))</f>
        <v>0</v>
      </c>
      <c r="K51" s="44" t="n">
        <f aca="false">IF($A51="","",($E51+$I51)-($F51+$J51))</f>
        <v>0</v>
      </c>
      <c r="L51" s="44" t="n">
        <f aca="false">IF($A51="","",IF($K51&gt;=0,$K51,0))</f>
        <v>0</v>
      </c>
      <c r="M51" s="44" t="n">
        <f aca="false">IF($A51="","",IF($K51&lt;0,-$K51,0))</f>
        <v>0</v>
      </c>
      <c r="N51" s="35" t="str">
        <f aca="false">IF($A51="","",科目参数!$F51)</f>
        <v>递延所得税负债</v>
      </c>
      <c r="O51" s="35" t="n">
        <f aca="false">IF($A51="","",科目参数!$G51)</f>
        <v>0</v>
      </c>
      <c r="P51" s="42" t="str">
        <f aca="false">IF($A51="","",科目参数!$H51)</f>
        <v>非现金</v>
      </c>
    </row>
    <row r="52" customFormat="false" ht="15.75" hidden="false" customHeight="true" outlineLevel="0" collapsed="false">
      <c r="A52" s="42" t="str">
        <f aca="false">IF(科目参数!$A52="","",科目参数!$A52)</f>
        <v>4001</v>
      </c>
      <c r="B52" s="35" t="str">
        <f aca="false">IF($A52="","",科目参数!$B52)</f>
        <v>实收资本</v>
      </c>
      <c r="C52" s="42" t="str">
        <f aca="false">IF($A52="","",科目参数!$C52)</f>
        <v>权益</v>
      </c>
      <c r="D52" s="42" t="str">
        <f aca="false">IF($A52="","",科目参数!$D52)</f>
        <v>贷</v>
      </c>
      <c r="E52" s="54" t="n">
        <f aca="false">IF($A52="","",SUMIFS(期初数据!$Z$6:$Z$125,期初数据!$W$6:$W$125,$A52))</f>
        <v>0</v>
      </c>
      <c r="F52" s="54" t="n">
        <f aca="false">IF($A52="","",SUMIFS(期初数据!$AA$6:$AA$125,期初数据!$W$6:$W$125,$A52))</f>
        <v>400000</v>
      </c>
      <c r="G52" s="54" t="n">
        <f aca="false">IF($A52="","",SUMIFS(资金流水!$N$5:$N$504,资金流水!$O$5:$O$504,$A52,资金流水!$C$5:$C$504,首页!$B$5)+SUMIFS(销售录入!$X$5:$X$404,销售录入!$V$5:$V$404,$A52,销售录入!$C$5:$C$404,首页!$B$5)+SUMIFS(销售录入!$AA$5:$AA$404,销售录入!$Y$5:$Y$404,$A52,销售录入!$C$5:$C$404,首页!$B$5)+SUMIFS(销售录入!$AD$5:$AD$404,销售录入!$AB$5:$AB$404,$A52,销售录入!$C$5:$C$404,首页!$B$5)+SUMIFS(采购录入!$W$5:$W$404,采购录入!$U$5:$U$404,$A52,采购录入!$C$5:$C$404,首页!$B$5)+SUMIFS(采购录入!$Z$5:$Z$404,采购录入!$X$5:$X$404,$A52,采购录入!$C$5:$C$404,首页!$B$5)+SUMIFS(其他凭证!$H$5:$H$304,其他凭证!$F$5:$F$304,$A52,其他凭证!$C$5:$C$304,首页!$B$5))</f>
        <v>0</v>
      </c>
      <c r="H52" s="54" t="n">
        <f aca="false">IF($A52="","",SUMIFS(资金流水!$N$5:$N$504,资金流水!$P$5:$P$504,$A52,资金流水!$C$5:$C$504,首页!$B$5)+SUMIFS(销售录入!$X$5:$X$404,销售录入!$W$5:$W$404,$A52,销售录入!$C$5:$C$404,首页!$B$5)+SUMIFS(销售录入!$AA$5:$AA$404,销售录入!$Z$5:$Z$404,$A52,销售录入!$C$5:$C$404,首页!$B$5)+SUMIFS(销售录入!$AD$5:$AD$404,销售录入!$AC$5:$AC$404,$A52,销售录入!$C$5:$C$404,首页!$B$5)+SUMIFS(采购录入!$W$5:$W$404,采购录入!$V$5:$V$404,$A52,采购录入!$C$5:$C$404,首页!$B$5)+SUMIFS(采购录入!$Z$5:$Z$404,采购录入!$Y$5:$Y$404,$A52,采购录入!$C$5:$C$404,首页!$B$5)+SUMIFS(其他凭证!$H$5:$H$304,其他凭证!$G$5:$G$304,$A52,其他凭证!$C$5:$C$304,首页!$B$5))</f>
        <v>0</v>
      </c>
      <c r="I52" s="54" t="n">
        <f aca="false">IF($A52="","",SUMIFS(资金流水!$N$5:$N$504,资金流水!$O$5:$O$504,$A52,资金流水!$B$5:$B$504,"&lt;="&amp;首页!$B$7)+SUMIFS(销售录入!$X$5:$X$404,销售录入!$V$5:$V$404,$A52,销售录入!$B$5:$B$404,"&lt;="&amp;首页!$B$7)+SUMIFS(销售录入!$AA$5:$AA$404,销售录入!$Y$5:$Y$404,$A52,销售录入!$B$5:$B$404,"&lt;="&amp;首页!$B$7)+SUMIFS(销售录入!$AD$5:$AD$404,销售录入!$AB$5:$AB$404,$A52,销售录入!$B$5:$B$404,"&lt;="&amp;首页!$B$7)+SUMIFS(采购录入!$W$5:$W$404,采购录入!$U$5:$U$404,$A52,采购录入!$B$5:$B$404,"&lt;="&amp;首页!$B$7)+SUMIFS(采购录入!$Z$5:$Z$404,采购录入!$X$5:$X$404,$A52,采购录入!$B$5:$B$404,"&lt;="&amp;首页!$B$7)+SUMIFS(其他凭证!$H$5:$H$304,其他凭证!$F$5:$F$304,$A52,其他凭证!$B$5:$B$304,"&lt;="&amp;首页!$B$7))</f>
        <v>0</v>
      </c>
      <c r="J52" s="54" t="n">
        <f aca="false">IF($A52="","",SUMIFS(资金流水!$N$5:$N$504,资金流水!$P$5:$P$504,$A52,资金流水!$B$5:$B$504,"&lt;="&amp;首页!$B$7)+SUMIFS(销售录入!$X$5:$X$404,销售录入!$W$5:$W$404,$A52,销售录入!$B$5:$B$404,"&lt;="&amp;首页!$B$7)+SUMIFS(销售录入!$AA$5:$AA$404,销售录入!$Z$5:$Z$404,$A52,销售录入!$B$5:$B$404,"&lt;="&amp;首页!$B$7)+SUMIFS(销售录入!$AD$5:$AD$404,销售录入!$AC$5:$AC$404,$A52,销售录入!$B$5:$B$404,"&lt;="&amp;首页!$B$7)+SUMIFS(采购录入!$W$5:$W$404,采购录入!$V$5:$V$404,$A52,采购录入!$B$5:$B$404,"&lt;="&amp;首页!$B$7)+SUMIFS(采购录入!$Z$5:$Z$404,采购录入!$Y$5:$Y$404,$A52,采购录入!$B$5:$B$404,"&lt;="&amp;首页!$B$7)+SUMIFS(其他凭证!$H$5:$H$304,其他凭证!$G$5:$G$304,$A52,其他凭证!$B$5:$B$304,"&lt;="&amp;首页!$B$7))</f>
        <v>0</v>
      </c>
      <c r="K52" s="44" t="n">
        <f aca="false">IF($A52="","",($E52+$I52)-($F52+$J52))</f>
        <v>-400000</v>
      </c>
      <c r="L52" s="44" t="n">
        <f aca="false">IF($A52="","",IF($K52&gt;=0,$K52,0))</f>
        <v>0</v>
      </c>
      <c r="M52" s="44" t="n">
        <f aca="false">IF($A52="","",IF($K52&lt;0,-$K52,0))</f>
        <v>400000</v>
      </c>
      <c r="N52" s="35" t="str">
        <f aca="false">IF($A52="","",科目参数!$F52)</f>
        <v>实收资本</v>
      </c>
      <c r="O52" s="35" t="n">
        <f aca="false">IF($A52="","",科目参数!$G52)</f>
        <v>0</v>
      </c>
      <c r="P52" s="42" t="str">
        <f aca="false">IF($A52="","",科目参数!$H52)</f>
        <v>筹资活动</v>
      </c>
    </row>
    <row r="53" customFormat="false" ht="15.75" hidden="false" customHeight="true" outlineLevel="0" collapsed="false">
      <c r="A53" s="42" t="str">
        <f aca="false">IF(科目参数!$A53="","",科目参数!$A53)</f>
        <v>4002</v>
      </c>
      <c r="B53" s="35" t="str">
        <f aca="false">IF($A53="","",科目参数!$B53)</f>
        <v>资本公积</v>
      </c>
      <c r="C53" s="42" t="str">
        <f aca="false">IF($A53="","",科目参数!$C53)</f>
        <v>权益</v>
      </c>
      <c r="D53" s="42" t="str">
        <f aca="false">IF($A53="","",科目参数!$D53)</f>
        <v>贷</v>
      </c>
      <c r="E53" s="54" t="n">
        <f aca="false">IF($A53="","",SUMIFS(期初数据!$Z$6:$Z$125,期初数据!$W$6:$W$125,$A53))</f>
        <v>0</v>
      </c>
      <c r="F53" s="54" t="n">
        <f aca="false">IF($A53="","",SUMIFS(期初数据!$AA$6:$AA$125,期初数据!$W$6:$W$125,$A53))</f>
        <v>0</v>
      </c>
      <c r="G53" s="54" t="n">
        <f aca="false">IF($A53="","",SUMIFS(资金流水!$N$5:$N$504,资金流水!$O$5:$O$504,$A53,资金流水!$C$5:$C$504,首页!$B$5)+SUMIFS(销售录入!$X$5:$X$404,销售录入!$V$5:$V$404,$A53,销售录入!$C$5:$C$404,首页!$B$5)+SUMIFS(销售录入!$AA$5:$AA$404,销售录入!$Y$5:$Y$404,$A53,销售录入!$C$5:$C$404,首页!$B$5)+SUMIFS(销售录入!$AD$5:$AD$404,销售录入!$AB$5:$AB$404,$A53,销售录入!$C$5:$C$404,首页!$B$5)+SUMIFS(采购录入!$W$5:$W$404,采购录入!$U$5:$U$404,$A53,采购录入!$C$5:$C$404,首页!$B$5)+SUMIFS(采购录入!$Z$5:$Z$404,采购录入!$X$5:$X$404,$A53,采购录入!$C$5:$C$404,首页!$B$5)+SUMIFS(其他凭证!$H$5:$H$304,其他凭证!$F$5:$F$304,$A53,其他凭证!$C$5:$C$304,首页!$B$5))</f>
        <v>0</v>
      </c>
      <c r="H53" s="54" t="n">
        <f aca="false">IF($A53="","",SUMIFS(资金流水!$N$5:$N$504,资金流水!$P$5:$P$504,$A53,资金流水!$C$5:$C$504,首页!$B$5)+SUMIFS(销售录入!$X$5:$X$404,销售录入!$W$5:$W$404,$A53,销售录入!$C$5:$C$404,首页!$B$5)+SUMIFS(销售录入!$AA$5:$AA$404,销售录入!$Z$5:$Z$404,$A53,销售录入!$C$5:$C$404,首页!$B$5)+SUMIFS(销售录入!$AD$5:$AD$404,销售录入!$AC$5:$AC$404,$A53,销售录入!$C$5:$C$404,首页!$B$5)+SUMIFS(采购录入!$W$5:$W$404,采购录入!$V$5:$V$404,$A53,采购录入!$C$5:$C$404,首页!$B$5)+SUMIFS(采购录入!$Z$5:$Z$404,采购录入!$Y$5:$Y$404,$A53,采购录入!$C$5:$C$404,首页!$B$5)+SUMIFS(其他凭证!$H$5:$H$304,其他凭证!$G$5:$G$304,$A53,其他凭证!$C$5:$C$304,首页!$B$5))</f>
        <v>0</v>
      </c>
      <c r="I53" s="54" t="n">
        <f aca="false">IF($A53="","",SUMIFS(资金流水!$N$5:$N$504,资金流水!$O$5:$O$504,$A53,资金流水!$B$5:$B$504,"&lt;="&amp;首页!$B$7)+SUMIFS(销售录入!$X$5:$X$404,销售录入!$V$5:$V$404,$A53,销售录入!$B$5:$B$404,"&lt;="&amp;首页!$B$7)+SUMIFS(销售录入!$AA$5:$AA$404,销售录入!$Y$5:$Y$404,$A53,销售录入!$B$5:$B$404,"&lt;="&amp;首页!$B$7)+SUMIFS(销售录入!$AD$5:$AD$404,销售录入!$AB$5:$AB$404,$A53,销售录入!$B$5:$B$404,"&lt;="&amp;首页!$B$7)+SUMIFS(采购录入!$W$5:$W$404,采购录入!$U$5:$U$404,$A53,采购录入!$B$5:$B$404,"&lt;="&amp;首页!$B$7)+SUMIFS(采购录入!$Z$5:$Z$404,采购录入!$X$5:$X$404,$A53,采购录入!$B$5:$B$404,"&lt;="&amp;首页!$B$7)+SUMIFS(其他凭证!$H$5:$H$304,其他凭证!$F$5:$F$304,$A53,其他凭证!$B$5:$B$304,"&lt;="&amp;首页!$B$7))</f>
        <v>0</v>
      </c>
      <c r="J53" s="54" t="n">
        <f aca="false">IF($A53="","",SUMIFS(资金流水!$N$5:$N$504,资金流水!$P$5:$P$504,$A53,资金流水!$B$5:$B$504,"&lt;="&amp;首页!$B$7)+SUMIFS(销售录入!$X$5:$X$404,销售录入!$W$5:$W$404,$A53,销售录入!$B$5:$B$404,"&lt;="&amp;首页!$B$7)+SUMIFS(销售录入!$AA$5:$AA$404,销售录入!$Z$5:$Z$404,$A53,销售录入!$B$5:$B$404,"&lt;="&amp;首页!$B$7)+SUMIFS(销售录入!$AD$5:$AD$404,销售录入!$AC$5:$AC$404,$A53,销售录入!$B$5:$B$404,"&lt;="&amp;首页!$B$7)+SUMIFS(采购录入!$W$5:$W$404,采购录入!$V$5:$V$404,$A53,采购录入!$B$5:$B$404,"&lt;="&amp;首页!$B$7)+SUMIFS(采购录入!$Z$5:$Z$404,采购录入!$Y$5:$Y$404,$A53,采购录入!$B$5:$B$404,"&lt;="&amp;首页!$B$7)+SUMIFS(其他凭证!$H$5:$H$304,其他凭证!$G$5:$G$304,$A53,其他凭证!$B$5:$B$304,"&lt;="&amp;首页!$B$7))</f>
        <v>0</v>
      </c>
      <c r="K53" s="44" t="n">
        <f aca="false">IF($A53="","",($E53+$I53)-($F53+$J53))</f>
        <v>0</v>
      </c>
      <c r="L53" s="44" t="n">
        <f aca="false">IF($A53="","",IF($K53&gt;=0,$K53,0))</f>
        <v>0</v>
      </c>
      <c r="M53" s="44" t="n">
        <f aca="false">IF($A53="","",IF($K53&lt;0,-$K53,0))</f>
        <v>0</v>
      </c>
      <c r="N53" s="35" t="str">
        <f aca="false">IF($A53="","",科目参数!$F53)</f>
        <v>资本公积</v>
      </c>
      <c r="O53" s="35" t="n">
        <f aca="false">IF($A53="","",科目参数!$G53)</f>
        <v>0</v>
      </c>
      <c r="P53" s="42" t="str">
        <f aca="false">IF($A53="","",科目参数!$H53)</f>
        <v>筹资活动</v>
      </c>
    </row>
    <row r="54" customFormat="false" ht="15.75" hidden="false" customHeight="true" outlineLevel="0" collapsed="false">
      <c r="A54" s="42" t="str">
        <f aca="false">IF(科目参数!$A54="","",科目参数!$A54)</f>
        <v>4101</v>
      </c>
      <c r="B54" s="35" t="str">
        <f aca="false">IF($A54="","",科目参数!$B54)</f>
        <v>盈余公积</v>
      </c>
      <c r="C54" s="42" t="str">
        <f aca="false">IF($A54="","",科目参数!$C54)</f>
        <v>权益</v>
      </c>
      <c r="D54" s="42" t="str">
        <f aca="false">IF($A54="","",科目参数!$D54)</f>
        <v>贷</v>
      </c>
      <c r="E54" s="54" t="n">
        <f aca="false">IF($A54="","",SUMIFS(期初数据!$Z$6:$Z$125,期初数据!$W$6:$W$125,$A54))</f>
        <v>0</v>
      </c>
      <c r="F54" s="54" t="n">
        <f aca="false">IF($A54="","",SUMIFS(期初数据!$AA$6:$AA$125,期初数据!$W$6:$W$125,$A54))</f>
        <v>0</v>
      </c>
      <c r="G54" s="54" t="n">
        <f aca="false">IF($A54="","",SUMIFS(资金流水!$N$5:$N$504,资金流水!$O$5:$O$504,$A54,资金流水!$C$5:$C$504,首页!$B$5)+SUMIFS(销售录入!$X$5:$X$404,销售录入!$V$5:$V$404,$A54,销售录入!$C$5:$C$404,首页!$B$5)+SUMIFS(销售录入!$AA$5:$AA$404,销售录入!$Y$5:$Y$404,$A54,销售录入!$C$5:$C$404,首页!$B$5)+SUMIFS(销售录入!$AD$5:$AD$404,销售录入!$AB$5:$AB$404,$A54,销售录入!$C$5:$C$404,首页!$B$5)+SUMIFS(采购录入!$W$5:$W$404,采购录入!$U$5:$U$404,$A54,采购录入!$C$5:$C$404,首页!$B$5)+SUMIFS(采购录入!$Z$5:$Z$404,采购录入!$X$5:$X$404,$A54,采购录入!$C$5:$C$404,首页!$B$5)+SUMIFS(其他凭证!$H$5:$H$304,其他凭证!$F$5:$F$304,$A54,其他凭证!$C$5:$C$304,首页!$B$5))</f>
        <v>0</v>
      </c>
      <c r="H54" s="54" t="n">
        <f aca="false">IF($A54="","",SUMIFS(资金流水!$N$5:$N$504,资金流水!$P$5:$P$504,$A54,资金流水!$C$5:$C$504,首页!$B$5)+SUMIFS(销售录入!$X$5:$X$404,销售录入!$W$5:$W$404,$A54,销售录入!$C$5:$C$404,首页!$B$5)+SUMIFS(销售录入!$AA$5:$AA$404,销售录入!$Z$5:$Z$404,$A54,销售录入!$C$5:$C$404,首页!$B$5)+SUMIFS(销售录入!$AD$5:$AD$404,销售录入!$AC$5:$AC$404,$A54,销售录入!$C$5:$C$404,首页!$B$5)+SUMIFS(采购录入!$W$5:$W$404,采购录入!$V$5:$V$404,$A54,采购录入!$C$5:$C$404,首页!$B$5)+SUMIFS(采购录入!$Z$5:$Z$404,采购录入!$Y$5:$Y$404,$A54,采购录入!$C$5:$C$404,首页!$B$5)+SUMIFS(其他凭证!$H$5:$H$304,其他凭证!$G$5:$G$304,$A54,其他凭证!$C$5:$C$304,首页!$B$5))</f>
        <v>0</v>
      </c>
      <c r="I54" s="54" t="n">
        <f aca="false">IF($A54="","",SUMIFS(资金流水!$N$5:$N$504,资金流水!$O$5:$O$504,$A54,资金流水!$B$5:$B$504,"&lt;="&amp;首页!$B$7)+SUMIFS(销售录入!$X$5:$X$404,销售录入!$V$5:$V$404,$A54,销售录入!$B$5:$B$404,"&lt;="&amp;首页!$B$7)+SUMIFS(销售录入!$AA$5:$AA$404,销售录入!$Y$5:$Y$404,$A54,销售录入!$B$5:$B$404,"&lt;="&amp;首页!$B$7)+SUMIFS(销售录入!$AD$5:$AD$404,销售录入!$AB$5:$AB$404,$A54,销售录入!$B$5:$B$404,"&lt;="&amp;首页!$B$7)+SUMIFS(采购录入!$W$5:$W$404,采购录入!$U$5:$U$404,$A54,采购录入!$B$5:$B$404,"&lt;="&amp;首页!$B$7)+SUMIFS(采购录入!$Z$5:$Z$404,采购录入!$X$5:$X$404,$A54,采购录入!$B$5:$B$404,"&lt;="&amp;首页!$B$7)+SUMIFS(其他凭证!$H$5:$H$304,其他凭证!$F$5:$F$304,$A54,其他凭证!$B$5:$B$304,"&lt;="&amp;首页!$B$7))</f>
        <v>0</v>
      </c>
      <c r="J54" s="54" t="n">
        <f aca="false">IF($A54="","",SUMIFS(资金流水!$N$5:$N$504,资金流水!$P$5:$P$504,$A54,资金流水!$B$5:$B$504,"&lt;="&amp;首页!$B$7)+SUMIFS(销售录入!$X$5:$X$404,销售录入!$W$5:$W$404,$A54,销售录入!$B$5:$B$404,"&lt;="&amp;首页!$B$7)+SUMIFS(销售录入!$AA$5:$AA$404,销售录入!$Z$5:$Z$404,$A54,销售录入!$B$5:$B$404,"&lt;="&amp;首页!$B$7)+SUMIFS(销售录入!$AD$5:$AD$404,销售录入!$AC$5:$AC$404,$A54,销售录入!$B$5:$B$404,"&lt;="&amp;首页!$B$7)+SUMIFS(采购录入!$W$5:$W$404,采购录入!$V$5:$V$404,$A54,采购录入!$B$5:$B$404,"&lt;="&amp;首页!$B$7)+SUMIFS(采购录入!$Z$5:$Z$404,采购录入!$Y$5:$Y$404,$A54,采购录入!$B$5:$B$404,"&lt;="&amp;首页!$B$7)+SUMIFS(其他凭证!$H$5:$H$304,其他凭证!$G$5:$G$304,$A54,其他凭证!$B$5:$B$304,"&lt;="&amp;首页!$B$7))</f>
        <v>0</v>
      </c>
      <c r="K54" s="44" t="n">
        <f aca="false">IF($A54="","",($E54+$I54)-($F54+$J54))</f>
        <v>0</v>
      </c>
      <c r="L54" s="44" t="n">
        <f aca="false">IF($A54="","",IF($K54&gt;=0,$K54,0))</f>
        <v>0</v>
      </c>
      <c r="M54" s="44" t="n">
        <f aca="false">IF($A54="","",IF($K54&lt;0,-$K54,0))</f>
        <v>0</v>
      </c>
      <c r="N54" s="35" t="str">
        <f aca="false">IF($A54="","",科目参数!$F54)</f>
        <v>盈余公积</v>
      </c>
      <c r="O54" s="35" t="n">
        <f aca="false">IF($A54="","",科目参数!$G54)</f>
        <v>0</v>
      </c>
      <c r="P54" s="42" t="str">
        <f aca="false">IF($A54="","",科目参数!$H54)</f>
        <v>非现金</v>
      </c>
    </row>
    <row r="55" customFormat="false" ht="15.75" hidden="false" customHeight="true" outlineLevel="0" collapsed="false">
      <c r="A55" s="42" t="str">
        <f aca="false">IF(科目参数!$A55="","",科目参数!$A55)</f>
        <v>4103</v>
      </c>
      <c r="B55" s="35" t="str">
        <f aca="false">IF($A55="","",科目参数!$B55)</f>
        <v>本年利润</v>
      </c>
      <c r="C55" s="42" t="str">
        <f aca="false">IF($A55="","",科目参数!$C55)</f>
        <v>权益</v>
      </c>
      <c r="D55" s="42" t="str">
        <f aca="false">IF($A55="","",科目参数!$D55)</f>
        <v>贷</v>
      </c>
      <c r="E55" s="54" t="n">
        <f aca="false">IF($A55="","",SUMIFS(期初数据!$Z$6:$Z$125,期初数据!$W$6:$W$125,$A55))</f>
        <v>0</v>
      </c>
      <c r="F55" s="54" t="n">
        <f aca="false">IF($A55="","",SUMIFS(期初数据!$AA$6:$AA$125,期初数据!$W$6:$W$125,$A55))</f>
        <v>0</v>
      </c>
      <c r="G55" s="54" t="n">
        <f aca="false">IF($A55="","",SUMIFS(资金流水!$N$5:$N$504,资金流水!$O$5:$O$504,$A55,资金流水!$C$5:$C$504,首页!$B$5)+SUMIFS(销售录入!$X$5:$X$404,销售录入!$V$5:$V$404,$A55,销售录入!$C$5:$C$404,首页!$B$5)+SUMIFS(销售录入!$AA$5:$AA$404,销售录入!$Y$5:$Y$404,$A55,销售录入!$C$5:$C$404,首页!$B$5)+SUMIFS(销售录入!$AD$5:$AD$404,销售录入!$AB$5:$AB$404,$A55,销售录入!$C$5:$C$404,首页!$B$5)+SUMIFS(采购录入!$W$5:$W$404,采购录入!$U$5:$U$404,$A55,采购录入!$C$5:$C$404,首页!$B$5)+SUMIFS(采购录入!$Z$5:$Z$404,采购录入!$X$5:$X$404,$A55,采购录入!$C$5:$C$404,首页!$B$5)+SUMIFS(其他凭证!$H$5:$H$304,其他凭证!$F$5:$F$304,$A55,其他凭证!$C$5:$C$304,首页!$B$5))</f>
        <v>0</v>
      </c>
      <c r="H55" s="54" t="n">
        <f aca="false">IF($A55="","",SUMIFS(资金流水!$N$5:$N$504,资金流水!$P$5:$P$504,$A55,资金流水!$C$5:$C$504,首页!$B$5)+SUMIFS(销售录入!$X$5:$X$404,销售录入!$W$5:$W$404,$A55,销售录入!$C$5:$C$404,首页!$B$5)+SUMIFS(销售录入!$AA$5:$AA$404,销售录入!$Z$5:$Z$404,$A55,销售录入!$C$5:$C$404,首页!$B$5)+SUMIFS(销售录入!$AD$5:$AD$404,销售录入!$AC$5:$AC$404,$A55,销售录入!$C$5:$C$404,首页!$B$5)+SUMIFS(采购录入!$W$5:$W$404,采购录入!$V$5:$V$404,$A55,采购录入!$C$5:$C$404,首页!$B$5)+SUMIFS(采购录入!$Z$5:$Z$404,采购录入!$Y$5:$Y$404,$A55,采购录入!$C$5:$C$404,首页!$B$5)+SUMIFS(其他凭证!$H$5:$H$304,其他凭证!$G$5:$G$304,$A55,其他凭证!$C$5:$C$304,首页!$B$5))</f>
        <v>0</v>
      </c>
      <c r="I55" s="54" t="n">
        <f aca="false">IF($A55="","",SUMIFS(资金流水!$N$5:$N$504,资金流水!$O$5:$O$504,$A55,资金流水!$B$5:$B$504,"&lt;="&amp;首页!$B$7)+SUMIFS(销售录入!$X$5:$X$404,销售录入!$V$5:$V$404,$A55,销售录入!$B$5:$B$404,"&lt;="&amp;首页!$B$7)+SUMIFS(销售录入!$AA$5:$AA$404,销售录入!$Y$5:$Y$404,$A55,销售录入!$B$5:$B$404,"&lt;="&amp;首页!$B$7)+SUMIFS(销售录入!$AD$5:$AD$404,销售录入!$AB$5:$AB$404,$A55,销售录入!$B$5:$B$404,"&lt;="&amp;首页!$B$7)+SUMIFS(采购录入!$W$5:$W$404,采购录入!$U$5:$U$404,$A55,采购录入!$B$5:$B$404,"&lt;="&amp;首页!$B$7)+SUMIFS(采购录入!$Z$5:$Z$404,采购录入!$X$5:$X$404,$A55,采购录入!$B$5:$B$404,"&lt;="&amp;首页!$B$7)+SUMIFS(其他凭证!$H$5:$H$304,其他凭证!$F$5:$F$304,$A55,其他凭证!$B$5:$B$304,"&lt;="&amp;首页!$B$7))</f>
        <v>0</v>
      </c>
      <c r="J55" s="54" t="n">
        <f aca="false">IF($A55="","",SUMIFS(资金流水!$N$5:$N$504,资金流水!$P$5:$P$504,$A55,资金流水!$B$5:$B$504,"&lt;="&amp;首页!$B$7)+SUMIFS(销售录入!$X$5:$X$404,销售录入!$W$5:$W$404,$A55,销售录入!$B$5:$B$404,"&lt;="&amp;首页!$B$7)+SUMIFS(销售录入!$AA$5:$AA$404,销售录入!$Z$5:$Z$404,$A55,销售录入!$B$5:$B$404,"&lt;="&amp;首页!$B$7)+SUMIFS(销售录入!$AD$5:$AD$404,销售录入!$AC$5:$AC$404,$A55,销售录入!$B$5:$B$404,"&lt;="&amp;首页!$B$7)+SUMIFS(采购录入!$W$5:$W$404,采购录入!$V$5:$V$404,$A55,采购录入!$B$5:$B$404,"&lt;="&amp;首页!$B$7)+SUMIFS(采购录入!$Z$5:$Z$404,采购录入!$Y$5:$Y$404,$A55,采购录入!$B$5:$B$404,"&lt;="&amp;首页!$B$7)+SUMIFS(其他凭证!$H$5:$H$304,其他凭证!$G$5:$G$304,$A55,其他凭证!$B$5:$B$304,"&lt;="&amp;首页!$B$7))</f>
        <v>0</v>
      </c>
      <c r="K55" s="44" t="n">
        <f aca="false">IF($A55="","",($E55+$I55)-($F55+$J55))</f>
        <v>0</v>
      </c>
      <c r="L55" s="44" t="n">
        <f aca="false">IF($A55="","",IF($K55&gt;=0,$K55,0))</f>
        <v>0</v>
      </c>
      <c r="M55" s="44" t="n">
        <f aca="false">IF($A55="","",IF($K55&lt;0,-$K55,0))</f>
        <v>0</v>
      </c>
      <c r="N55" s="35" t="str">
        <f aca="false">IF($A55="","",科目参数!$F55)</f>
        <v>未分配利润</v>
      </c>
      <c r="O55" s="35" t="n">
        <f aca="false">IF($A55="","",科目参数!$G55)</f>
        <v>0</v>
      </c>
      <c r="P55" s="42" t="str">
        <f aca="false">IF($A55="","",科目参数!$H55)</f>
        <v>非现金</v>
      </c>
    </row>
    <row r="56" customFormat="false" ht="15.75" hidden="false" customHeight="true" outlineLevel="0" collapsed="false">
      <c r="A56" s="42" t="str">
        <f aca="false">IF(科目参数!$A56="","",科目参数!$A56)</f>
        <v>4104</v>
      </c>
      <c r="B56" s="35" t="str">
        <f aca="false">IF($A56="","",科目参数!$B56)</f>
        <v>利润分配</v>
      </c>
      <c r="C56" s="42" t="str">
        <f aca="false">IF($A56="","",科目参数!$C56)</f>
        <v>权益</v>
      </c>
      <c r="D56" s="42" t="str">
        <f aca="false">IF($A56="","",科目参数!$D56)</f>
        <v>贷</v>
      </c>
      <c r="E56" s="54" t="n">
        <f aca="false">IF($A56="","",SUMIFS(期初数据!$Z$6:$Z$125,期初数据!$W$6:$W$125,$A56))</f>
        <v>0</v>
      </c>
      <c r="F56" s="54" t="n">
        <f aca="false">IF($A56="","",SUMIFS(期初数据!$AA$6:$AA$125,期初数据!$W$6:$W$125,$A56))</f>
        <v>78600</v>
      </c>
      <c r="G56" s="54" t="n">
        <f aca="false">IF($A56="","",SUMIFS(资金流水!$N$5:$N$504,资金流水!$O$5:$O$504,$A56,资金流水!$C$5:$C$504,首页!$B$5)+SUMIFS(销售录入!$X$5:$X$404,销售录入!$V$5:$V$404,$A56,销售录入!$C$5:$C$404,首页!$B$5)+SUMIFS(销售录入!$AA$5:$AA$404,销售录入!$Y$5:$Y$404,$A56,销售录入!$C$5:$C$404,首页!$B$5)+SUMIFS(销售录入!$AD$5:$AD$404,销售录入!$AB$5:$AB$404,$A56,销售录入!$C$5:$C$404,首页!$B$5)+SUMIFS(采购录入!$W$5:$W$404,采购录入!$U$5:$U$404,$A56,采购录入!$C$5:$C$404,首页!$B$5)+SUMIFS(采购录入!$Z$5:$Z$404,采购录入!$X$5:$X$404,$A56,采购录入!$C$5:$C$404,首页!$B$5)+SUMIFS(其他凭证!$H$5:$H$304,其他凭证!$F$5:$F$304,$A56,其他凭证!$C$5:$C$304,首页!$B$5))</f>
        <v>0</v>
      </c>
      <c r="H56" s="54" t="n">
        <f aca="false">IF($A56="","",SUMIFS(资金流水!$N$5:$N$504,资金流水!$P$5:$P$504,$A56,资金流水!$C$5:$C$504,首页!$B$5)+SUMIFS(销售录入!$X$5:$X$404,销售录入!$W$5:$W$404,$A56,销售录入!$C$5:$C$404,首页!$B$5)+SUMIFS(销售录入!$AA$5:$AA$404,销售录入!$Z$5:$Z$404,$A56,销售录入!$C$5:$C$404,首页!$B$5)+SUMIFS(销售录入!$AD$5:$AD$404,销售录入!$AC$5:$AC$404,$A56,销售录入!$C$5:$C$404,首页!$B$5)+SUMIFS(采购录入!$W$5:$W$404,采购录入!$V$5:$V$404,$A56,采购录入!$C$5:$C$404,首页!$B$5)+SUMIFS(采购录入!$Z$5:$Z$404,采购录入!$Y$5:$Y$404,$A56,采购录入!$C$5:$C$404,首页!$B$5)+SUMIFS(其他凭证!$H$5:$H$304,其他凭证!$G$5:$G$304,$A56,其他凭证!$C$5:$C$304,首页!$B$5))</f>
        <v>0</v>
      </c>
      <c r="I56" s="54" t="n">
        <f aca="false">IF($A56="","",SUMIFS(资金流水!$N$5:$N$504,资金流水!$O$5:$O$504,$A56,资金流水!$B$5:$B$504,"&lt;="&amp;首页!$B$7)+SUMIFS(销售录入!$X$5:$X$404,销售录入!$V$5:$V$404,$A56,销售录入!$B$5:$B$404,"&lt;="&amp;首页!$B$7)+SUMIFS(销售录入!$AA$5:$AA$404,销售录入!$Y$5:$Y$404,$A56,销售录入!$B$5:$B$404,"&lt;="&amp;首页!$B$7)+SUMIFS(销售录入!$AD$5:$AD$404,销售录入!$AB$5:$AB$404,$A56,销售录入!$B$5:$B$404,"&lt;="&amp;首页!$B$7)+SUMIFS(采购录入!$W$5:$W$404,采购录入!$U$5:$U$404,$A56,采购录入!$B$5:$B$404,"&lt;="&amp;首页!$B$7)+SUMIFS(采购录入!$Z$5:$Z$404,采购录入!$X$5:$X$404,$A56,采购录入!$B$5:$B$404,"&lt;="&amp;首页!$B$7)+SUMIFS(其他凭证!$H$5:$H$304,其他凭证!$F$5:$F$304,$A56,其他凭证!$B$5:$B$304,"&lt;="&amp;首页!$B$7))</f>
        <v>0</v>
      </c>
      <c r="J56" s="54" t="n">
        <f aca="false">IF($A56="","",SUMIFS(资金流水!$N$5:$N$504,资金流水!$P$5:$P$504,$A56,资金流水!$B$5:$B$504,"&lt;="&amp;首页!$B$7)+SUMIFS(销售录入!$X$5:$X$404,销售录入!$W$5:$W$404,$A56,销售录入!$B$5:$B$404,"&lt;="&amp;首页!$B$7)+SUMIFS(销售录入!$AA$5:$AA$404,销售录入!$Z$5:$Z$404,$A56,销售录入!$B$5:$B$404,"&lt;="&amp;首页!$B$7)+SUMIFS(销售录入!$AD$5:$AD$404,销售录入!$AC$5:$AC$404,$A56,销售录入!$B$5:$B$404,"&lt;="&amp;首页!$B$7)+SUMIFS(采购录入!$W$5:$W$404,采购录入!$V$5:$V$404,$A56,采购录入!$B$5:$B$404,"&lt;="&amp;首页!$B$7)+SUMIFS(采购录入!$Z$5:$Z$404,采购录入!$Y$5:$Y$404,$A56,采购录入!$B$5:$B$404,"&lt;="&amp;首页!$B$7)+SUMIFS(其他凭证!$H$5:$H$304,其他凭证!$G$5:$G$304,$A56,其他凭证!$B$5:$B$304,"&lt;="&amp;首页!$B$7))</f>
        <v>0</v>
      </c>
      <c r="K56" s="44" t="n">
        <f aca="false">IF($A56="","",($E56+$I56)-($F56+$J56))</f>
        <v>-78600</v>
      </c>
      <c r="L56" s="44" t="n">
        <f aca="false">IF($A56="","",IF($K56&gt;=0,$K56,0))</f>
        <v>0</v>
      </c>
      <c r="M56" s="44" t="n">
        <f aca="false">IF($A56="","",IF($K56&lt;0,-$K56,0))</f>
        <v>78600</v>
      </c>
      <c r="N56" s="35" t="str">
        <f aca="false">IF($A56="","",科目参数!$F56)</f>
        <v>未分配利润</v>
      </c>
      <c r="O56" s="35" t="n">
        <f aca="false">IF($A56="","",科目参数!$G56)</f>
        <v>0</v>
      </c>
      <c r="P56" s="42" t="str">
        <f aca="false">IF($A56="","",科目参数!$H56)</f>
        <v>筹资活动</v>
      </c>
    </row>
    <row r="57" customFormat="false" ht="15.75" hidden="false" customHeight="true" outlineLevel="0" collapsed="false">
      <c r="A57" s="42" t="str">
        <f aca="false">IF(科目参数!$A57="","",科目参数!$A57)</f>
        <v>5001</v>
      </c>
      <c r="B57" s="35" t="str">
        <f aca="false">IF($A57="","",科目参数!$B57)</f>
        <v>生产成本</v>
      </c>
      <c r="C57" s="42" t="str">
        <f aca="false">IF($A57="","",科目参数!$C57)</f>
        <v>成本</v>
      </c>
      <c r="D57" s="42" t="str">
        <f aca="false">IF($A57="","",科目参数!$D57)</f>
        <v>借</v>
      </c>
      <c r="E57" s="54" t="n">
        <f aca="false">IF($A57="","",SUMIFS(期初数据!$Z$6:$Z$125,期初数据!$W$6:$W$125,$A57))</f>
        <v>0</v>
      </c>
      <c r="F57" s="54" t="n">
        <f aca="false">IF($A57="","",SUMIFS(期初数据!$AA$6:$AA$125,期初数据!$W$6:$W$125,$A57))</f>
        <v>0</v>
      </c>
      <c r="G57" s="54" t="n">
        <f aca="false">IF($A57="","",SUMIFS(资金流水!$N$5:$N$504,资金流水!$O$5:$O$504,$A57,资金流水!$C$5:$C$504,首页!$B$5)+SUMIFS(销售录入!$X$5:$X$404,销售录入!$V$5:$V$404,$A57,销售录入!$C$5:$C$404,首页!$B$5)+SUMIFS(销售录入!$AA$5:$AA$404,销售录入!$Y$5:$Y$404,$A57,销售录入!$C$5:$C$404,首页!$B$5)+SUMIFS(销售录入!$AD$5:$AD$404,销售录入!$AB$5:$AB$404,$A57,销售录入!$C$5:$C$404,首页!$B$5)+SUMIFS(采购录入!$W$5:$W$404,采购录入!$U$5:$U$404,$A57,采购录入!$C$5:$C$404,首页!$B$5)+SUMIFS(采购录入!$Z$5:$Z$404,采购录入!$X$5:$X$404,$A57,采购录入!$C$5:$C$404,首页!$B$5)+SUMIFS(其他凭证!$H$5:$H$304,其他凭证!$F$5:$F$304,$A57,其他凭证!$C$5:$C$304,首页!$B$5))</f>
        <v>0</v>
      </c>
      <c r="H57" s="54" t="n">
        <f aca="false">IF($A57="","",SUMIFS(资金流水!$N$5:$N$504,资金流水!$P$5:$P$504,$A57,资金流水!$C$5:$C$504,首页!$B$5)+SUMIFS(销售录入!$X$5:$X$404,销售录入!$W$5:$W$404,$A57,销售录入!$C$5:$C$404,首页!$B$5)+SUMIFS(销售录入!$AA$5:$AA$404,销售录入!$Z$5:$Z$404,$A57,销售录入!$C$5:$C$404,首页!$B$5)+SUMIFS(销售录入!$AD$5:$AD$404,销售录入!$AC$5:$AC$404,$A57,销售录入!$C$5:$C$404,首页!$B$5)+SUMIFS(采购录入!$W$5:$W$404,采购录入!$V$5:$V$404,$A57,采购录入!$C$5:$C$404,首页!$B$5)+SUMIFS(采购录入!$Z$5:$Z$404,采购录入!$Y$5:$Y$404,$A57,采购录入!$C$5:$C$404,首页!$B$5)+SUMIFS(其他凭证!$H$5:$H$304,其他凭证!$G$5:$G$304,$A57,其他凭证!$C$5:$C$304,首页!$B$5))</f>
        <v>0</v>
      </c>
      <c r="I57" s="54" t="n">
        <f aca="false">IF($A57="","",SUMIFS(资金流水!$N$5:$N$504,资金流水!$O$5:$O$504,$A57,资金流水!$B$5:$B$504,"&lt;="&amp;首页!$B$7)+SUMIFS(销售录入!$X$5:$X$404,销售录入!$V$5:$V$404,$A57,销售录入!$B$5:$B$404,"&lt;="&amp;首页!$B$7)+SUMIFS(销售录入!$AA$5:$AA$404,销售录入!$Y$5:$Y$404,$A57,销售录入!$B$5:$B$404,"&lt;="&amp;首页!$B$7)+SUMIFS(销售录入!$AD$5:$AD$404,销售录入!$AB$5:$AB$404,$A57,销售录入!$B$5:$B$404,"&lt;="&amp;首页!$B$7)+SUMIFS(采购录入!$W$5:$W$404,采购录入!$U$5:$U$404,$A57,采购录入!$B$5:$B$404,"&lt;="&amp;首页!$B$7)+SUMIFS(采购录入!$Z$5:$Z$404,采购录入!$X$5:$X$404,$A57,采购录入!$B$5:$B$404,"&lt;="&amp;首页!$B$7)+SUMIFS(其他凭证!$H$5:$H$304,其他凭证!$F$5:$F$304,$A57,其他凭证!$B$5:$B$304,"&lt;="&amp;首页!$B$7))</f>
        <v>0</v>
      </c>
      <c r="J57" s="54" t="n">
        <f aca="false">IF($A57="","",SUMIFS(资金流水!$N$5:$N$504,资金流水!$P$5:$P$504,$A57,资金流水!$B$5:$B$504,"&lt;="&amp;首页!$B$7)+SUMIFS(销售录入!$X$5:$X$404,销售录入!$W$5:$W$404,$A57,销售录入!$B$5:$B$404,"&lt;="&amp;首页!$B$7)+SUMIFS(销售录入!$AA$5:$AA$404,销售录入!$Z$5:$Z$404,$A57,销售录入!$B$5:$B$404,"&lt;="&amp;首页!$B$7)+SUMIFS(销售录入!$AD$5:$AD$404,销售录入!$AC$5:$AC$404,$A57,销售录入!$B$5:$B$404,"&lt;="&amp;首页!$B$7)+SUMIFS(采购录入!$W$5:$W$404,采购录入!$V$5:$V$404,$A57,采购录入!$B$5:$B$404,"&lt;="&amp;首页!$B$7)+SUMIFS(采购录入!$Z$5:$Z$404,采购录入!$Y$5:$Y$404,$A57,采购录入!$B$5:$B$404,"&lt;="&amp;首页!$B$7)+SUMIFS(其他凭证!$H$5:$H$304,其他凭证!$G$5:$G$304,$A57,其他凭证!$B$5:$B$304,"&lt;="&amp;首页!$B$7))</f>
        <v>0</v>
      </c>
      <c r="K57" s="44" t="n">
        <f aca="false">IF($A57="","",($E57+$I57)-($F57+$J57))</f>
        <v>0</v>
      </c>
      <c r="L57" s="44" t="n">
        <f aca="false">IF($A57="","",IF($K57&gt;=0,$K57,0))</f>
        <v>0</v>
      </c>
      <c r="M57" s="44" t="n">
        <f aca="false">IF($A57="","",IF($K57&lt;0,-$K57,0))</f>
        <v>0</v>
      </c>
      <c r="N57" s="35" t="str">
        <f aca="false">IF($A57="","",科目参数!$F57)</f>
        <v>存货</v>
      </c>
      <c r="O57" s="35" t="n">
        <f aca="false">IF($A57="","",科目参数!$G57)</f>
        <v>0</v>
      </c>
      <c r="P57" s="42" t="str">
        <f aca="false">IF($A57="","",科目参数!$H57)</f>
        <v>经营活动</v>
      </c>
    </row>
    <row r="58" customFormat="false" ht="15.75" hidden="false" customHeight="true" outlineLevel="0" collapsed="false">
      <c r="A58" s="42" t="str">
        <f aca="false">IF(科目参数!$A58="","",科目参数!$A58)</f>
        <v>5101</v>
      </c>
      <c r="B58" s="35" t="str">
        <f aca="false">IF($A58="","",科目参数!$B58)</f>
        <v>制造费用</v>
      </c>
      <c r="C58" s="42" t="str">
        <f aca="false">IF($A58="","",科目参数!$C58)</f>
        <v>成本</v>
      </c>
      <c r="D58" s="42" t="str">
        <f aca="false">IF($A58="","",科目参数!$D58)</f>
        <v>借</v>
      </c>
      <c r="E58" s="54" t="n">
        <f aca="false">IF($A58="","",SUMIFS(期初数据!$Z$6:$Z$125,期初数据!$W$6:$W$125,$A58))</f>
        <v>0</v>
      </c>
      <c r="F58" s="54" t="n">
        <f aca="false">IF($A58="","",SUMIFS(期初数据!$AA$6:$AA$125,期初数据!$W$6:$W$125,$A58))</f>
        <v>0</v>
      </c>
      <c r="G58" s="54" t="n">
        <f aca="false">IF($A58="","",SUMIFS(资金流水!$N$5:$N$504,资金流水!$O$5:$O$504,$A58,资金流水!$C$5:$C$504,首页!$B$5)+SUMIFS(销售录入!$X$5:$X$404,销售录入!$V$5:$V$404,$A58,销售录入!$C$5:$C$404,首页!$B$5)+SUMIFS(销售录入!$AA$5:$AA$404,销售录入!$Y$5:$Y$404,$A58,销售录入!$C$5:$C$404,首页!$B$5)+SUMIFS(销售录入!$AD$5:$AD$404,销售录入!$AB$5:$AB$404,$A58,销售录入!$C$5:$C$404,首页!$B$5)+SUMIFS(采购录入!$W$5:$W$404,采购录入!$U$5:$U$404,$A58,采购录入!$C$5:$C$404,首页!$B$5)+SUMIFS(采购录入!$Z$5:$Z$404,采购录入!$X$5:$X$404,$A58,采购录入!$C$5:$C$404,首页!$B$5)+SUMIFS(其他凭证!$H$5:$H$304,其他凭证!$F$5:$F$304,$A58,其他凭证!$C$5:$C$304,首页!$B$5))</f>
        <v>0</v>
      </c>
      <c r="H58" s="54" t="n">
        <f aca="false">IF($A58="","",SUMIFS(资金流水!$N$5:$N$504,资金流水!$P$5:$P$504,$A58,资金流水!$C$5:$C$504,首页!$B$5)+SUMIFS(销售录入!$X$5:$X$404,销售录入!$W$5:$W$404,$A58,销售录入!$C$5:$C$404,首页!$B$5)+SUMIFS(销售录入!$AA$5:$AA$404,销售录入!$Z$5:$Z$404,$A58,销售录入!$C$5:$C$404,首页!$B$5)+SUMIFS(销售录入!$AD$5:$AD$404,销售录入!$AC$5:$AC$404,$A58,销售录入!$C$5:$C$404,首页!$B$5)+SUMIFS(采购录入!$W$5:$W$404,采购录入!$V$5:$V$404,$A58,采购录入!$C$5:$C$404,首页!$B$5)+SUMIFS(采购录入!$Z$5:$Z$404,采购录入!$Y$5:$Y$404,$A58,采购录入!$C$5:$C$404,首页!$B$5)+SUMIFS(其他凭证!$H$5:$H$304,其他凭证!$G$5:$G$304,$A58,其他凭证!$C$5:$C$304,首页!$B$5))</f>
        <v>0</v>
      </c>
      <c r="I58" s="54" t="n">
        <f aca="false">IF($A58="","",SUMIFS(资金流水!$N$5:$N$504,资金流水!$O$5:$O$504,$A58,资金流水!$B$5:$B$504,"&lt;="&amp;首页!$B$7)+SUMIFS(销售录入!$X$5:$X$404,销售录入!$V$5:$V$404,$A58,销售录入!$B$5:$B$404,"&lt;="&amp;首页!$B$7)+SUMIFS(销售录入!$AA$5:$AA$404,销售录入!$Y$5:$Y$404,$A58,销售录入!$B$5:$B$404,"&lt;="&amp;首页!$B$7)+SUMIFS(销售录入!$AD$5:$AD$404,销售录入!$AB$5:$AB$404,$A58,销售录入!$B$5:$B$404,"&lt;="&amp;首页!$B$7)+SUMIFS(采购录入!$W$5:$W$404,采购录入!$U$5:$U$404,$A58,采购录入!$B$5:$B$404,"&lt;="&amp;首页!$B$7)+SUMIFS(采购录入!$Z$5:$Z$404,采购录入!$X$5:$X$404,$A58,采购录入!$B$5:$B$404,"&lt;="&amp;首页!$B$7)+SUMIFS(其他凭证!$H$5:$H$304,其他凭证!$F$5:$F$304,$A58,其他凭证!$B$5:$B$304,"&lt;="&amp;首页!$B$7))</f>
        <v>0</v>
      </c>
      <c r="J58" s="54" t="n">
        <f aca="false">IF($A58="","",SUMIFS(资金流水!$N$5:$N$504,资金流水!$P$5:$P$504,$A58,资金流水!$B$5:$B$504,"&lt;="&amp;首页!$B$7)+SUMIFS(销售录入!$X$5:$X$404,销售录入!$W$5:$W$404,$A58,销售录入!$B$5:$B$404,"&lt;="&amp;首页!$B$7)+SUMIFS(销售录入!$AA$5:$AA$404,销售录入!$Z$5:$Z$404,$A58,销售录入!$B$5:$B$404,"&lt;="&amp;首页!$B$7)+SUMIFS(销售录入!$AD$5:$AD$404,销售录入!$AC$5:$AC$404,$A58,销售录入!$B$5:$B$404,"&lt;="&amp;首页!$B$7)+SUMIFS(采购录入!$W$5:$W$404,采购录入!$V$5:$V$404,$A58,采购录入!$B$5:$B$404,"&lt;="&amp;首页!$B$7)+SUMIFS(采购录入!$Z$5:$Z$404,采购录入!$Y$5:$Y$404,$A58,采购录入!$B$5:$B$404,"&lt;="&amp;首页!$B$7)+SUMIFS(其他凭证!$H$5:$H$304,其他凭证!$G$5:$G$304,$A58,其他凭证!$B$5:$B$304,"&lt;="&amp;首页!$B$7))</f>
        <v>0</v>
      </c>
      <c r="K58" s="44" t="n">
        <f aca="false">IF($A58="","",($E58+$I58)-($F58+$J58))</f>
        <v>0</v>
      </c>
      <c r="L58" s="44" t="n">
        <f aca="false">IF($A58="","",IF($K58&gt;=0,$K58,0))</f>
        <v>0</v>
      </c>
      <c r="M58" s="44" t="n">
        <f aca="false">IF($A58="","",IF($K58&lt;0,-$K58,0))</f>
        <v>0</v>
      </c>
      <c r="N58" s="35" t="str">
        <f aca="false">IF($A58="","",科目参数!$F58)</f>
        <v>存货</v>
      </c>
      <c r="O58" s="35" t="n">
        <f aca="false">IF($A58="","",科目参数!$G58)</f>
        <v>0</v>
      </c>
      <c r="P58" s="42" t="str">
        <f aca="false">IF($A58="","",科目参数!$H58)</f>
        <v>经营活动</v>
      </c>
    </row>
    <row r="59" customFormat="false" ht="15.75" hidden="false" customHeight="true" outlineLevel="0" collapsed="false">
      <c r="A59" s="42" t="str">
        <f aca="false">IF(科目参数!$A59="","",科目参数!$A59)</f>
        <v>5201</v>
      </c>
      <c r="B59" s="35" t="str">
        <f aca="false">IF($A59="","",科目参数!$B59)</f>
        <v>劳务成本</v>
      </c>
      <c r="C59" s="42" t="str">
        <f aca="false">IF($A59="","",科目参数!$C59)</f>
        <v>成本</v>
      </c>
      <c r="D59" s="42" t="str">
        <f aca="false">IF($A59="","",科目参数!$D59)</f>
        <v>借</v>
      </c>
      <c r="E59" s="54" t="n">
        <f aca="false">IF($A59="","",SUMIFS(期初数据!$Z$6:$Z$125,期初数据!$W$6:$W$125,$A59))</f>
        <v>0</v>
      </c>
      <c r="F59" s="54" t="n">
        <f aca="false">IF($A59="","",SUMIFS(期初数据!$AA$6:$AA$125,期初数据!$W$6:$W$125,$A59))</f>
        <v>0</v>
      </c>
      <c r="G59" s="54" t="n">
        <f aca="false">IF($A59="","",SUMIFS(资金流水!$N$5:$N$504,资金流水!$O$5:$O$504,$A59,资金流水!$C$5:$C$504,首页!$B$5)+SUMIFS(销售录入!$X$5:$X$404,销售录入!$V$5:$V$404,$A59,销售录入!$C$5:$C$404,首页!$B$5)+SUMIFS(销售录入!$AA$5:$AA$404,销售录入!$Y$5:$Y$404,$A59,销售录入!$C$5:$C$404,首页!$B$5)+SUMIFS(销售录入!$AD$5:$AD$404,销售录入!$AB$5:$AB$404,$A59,销售录入!$C$5:$C$404,首页!$B$5)+SUMIFS(采购录入!$W$5:$W$404,采购录入!$U$5:$U$404,$A59,采购录入!$C$5:$C$404,首页!$B$5)+SUMIFS(采购录入!$Z$5:$Z$404,采购录入!$X$5:$X$404,$A59,采购录入!$C$5:$C$404,首页!$B$5)+SUMIFS(其他凭证!$H$5:$H$304,其他凭证!$F$5:$F$304,$A59,其他凭证!$C$5:$C$304,首页!$B$5))</f>
        <v>0</v>
      </c>
      <c r="H59" s="54" t="n">
        <f aca="false">IF($A59="","",SUMIFS(资金流水!$N$5:$N$504,资金流水!$P$5:$P$504,$A59,资金流水!$C$5:$C$504,首页!$B$5)+SUMIFS(销售录入!$X$5:$X$404,销售录入!$W$5:$W$404,$A59,销售录入!$C$5:$C$404,首页!$B$5)+SUMIFS(销售录入!$AA$5:$AA$404,销售录入!$Z$5:$Z$404,$A59,销售录入!$C$5:$C$404,首页!$B$5)+SUMIFS(销售录入!$AD$5:$AD$404,销售录入!$AC$5:$AC$404,$A59,销售录入!$C$5:$C$404,首页!$B$5)+SUMIFS(采购录入!$W$5:$W$404,采购录入!$V$5:$V$404,$A59,采购录入!$C$5:$C$404,首页!$B$5)+SUMIFS(采购录入!$Z$5:$Z$404,采购录入!$Y$5:$Y$404,$A59,采购录入!$C$5:$C$404,首页!$B$5)+SUMIFS(其他凭证!$H$5:$H$304,其他凭证!$G$5:$G$304,$A59,其他凭证!$C$5:$C$304,首页!$B$5))</f>
        <v>0</v>
      </c>
      <c r="I59" s="54" t="n">
        <f aca="false">IF($A59="","",SUMIFS(资金流水!$N$5:$N$504,资金流水!$O$5:$O$504,$A59,资金流水!$B$5:$B$504,"&lt;="&amp;首页!$B$7)+SUMIFS(销售录入!$X$5:$X$404,销售录入!$V$5:$V$404,$A59,销售录入!$B$5:$B$404,"&lt;="&amp;首页!$B$7)+SUMIFS(销售录入!$AA$5:$AA$404,销售录入!$Y$5:$Y$404,$A59,销售录入!$B$5:$B$404,"&lt;="&amp;首页!$B$7)+SUMIFS(销售录入!$AD$5:$AD$404,销售录入!$AB$5:$AB$404,$A59,销售录入!$B$5:$B$404,"&lt;="&amp;首页!$B$7)+SUMIFS(采购录入!$W$5:$W$404,采购录入!$U$5:$U$404,$A59,采购录入!$B$5:$B$404,"&lt;="&amp;首页!$B$7)+SUMIFS(采购录入!$Z$5:$Z$404,采购录入!$X$5:$X$404,$A59,采购录入!$B$5:$B$404,"&lt;="&amp;首页!$B$7)+SUMIFS(其他凭证!$H$5:$H$304,其他凭证!$F$5:$F$304,$A59,其他凭证!$B$5:$B$304,"&lt;="&amp;首页!$B$7))</f>
        <v>0</v>
      </c>
      <c r="J59" s="54" t="n">
        <f aca="false">IF($A59="","",SUMIFS(资金流水!$N$5:$N$504,资金流水!$P$5:$P$504,$A59,资金流水!$B$5:$B$504,"&lt;="&amp;首页!$B$7)+SUMIFS(销售录入!$X$5:$X$404,销售录入!$W$5:$W$404,$A59,销售录入!$B$5:$B$404,"&lt;="&amp;首页!$B$7)+SUMIFS(销售录入!$AA$5:$AA$404,销售录入!$Z$5:$Z$404,$A59,销售录入!$B$5:$B$404,"&lt;="&amp;首页!$B$7)+SUMIFS(销售录入!$AD$5:$AD$404,销售录入!$AC$5:$AC$404,$A59,销售录入!$B$5:$B$404,"&lt;="&amp;首页!$B$7)+SUMIFS(采购录入!$W$5:$W$404,采购录入!$V$5:$V$404,$A59,采购录入!$B$5:$B$404,"&lt;="&amp;首页!$B$7)+SUMIFS(采购录入!$Z$5:$Z$404,采购录入!$Y$5:$Y$404,$A59,采购录入!$B$5:$B$404,"&lt;="&amp;首页!$B$7)+SUMIFS(其他凭证!$H$5:$H$304,其他凭证!$G$5:$G$304,$A59,其他凭证!$B$5:$B$304,"&lt;="&amp;首页!$B$7))</f>
        <v>0</v>
      </c>
      <c r="K59" s="44" t="n">
        <f aca="false">IF($A59="","",($E59+$I59)-($F59+$J59))</f>
        <v>0</v>
      </c>
      <c r="L59" s="44" t="n">
        <f aca="false">IF($A59="","",IF($K59&gt;=0,$K59,0))</f>
        <v>0</v>
      </c>
      <c r="M59" s="44" t="n">
        <f aca="false">IF($A59="","",IF($K59&lt;0,-$K59,0))</f>
        <v>0</v>
      </c>
      <c r="N59" s="35" t="str">
        <f aca="false">IF($A59="","",科目参数!$F59)</f>
        <v>存货</v>
      </c>
      <c r="O59" s="35" t="n">
        <f aca="false">IF($A59="","",科目参数!$G59)</f>
        <v>0</v>
      </c>
      <c r="P59" s="42" t="str">
        <f aca="false">IF($A59="","",科目参数!$H59)</f>
        <v>经营活动</v>
      </c>
    </row>
    <row r="60" customFormat="false" ht="15.75" hidden="false" customHeight="true" outlineLevel="0" collapsed="false">
      <c r="A60" s="42" t="str">
        <f aca="false">IF(科目参数!$A60="","",科目参数!$A60)</f>
        <v>6001</v>
      </c>
      <c r="B60" s="35" t="str">
        <f aca="false">IF($A60="","",科目参数!$B60)</f>
        <v>主营业务收入</v>
      </c>
      <c r="C60" s="42" t="str">
        <f aca="false">IF($A60="","",科目参数!$C60)</f>
        <v>收入</v>
      </c>
      <c r="D60" s="42" t="str">
        <f aca="false">IF($A60="","",科目参数!$D60)</f>
        <v>贷</v>
      </c>
      <c r="E60" s="54" t="n">
        <f aca="false">IF($A60="","",SUMIFS(期初数据!$Z$6:$Z$125,期初数据!$W$6:$W$125,$A60))</f>
        <v>0</v>
      </c>
      <c r="F60" s="54" t="n">
        <f aca="false">IF($A60="","",SUMIFS(期初数据!$AA$6:$AA$125,期初数据!$W$6:$W$125,$A60))</f>
        <v>0</v>
      </c>
      <c r="G60" s="54" t="n">
        <f aca="false">IF($A60="","",SUMIFS(资金流水!$N$5:$N$504,资金流水!$O$5:$O$504,$A60,资金流水!$C$5:$C$504,首页!$B$5)+SUMIFS(销售录入!$X$5:$X$404,销售录入!$V$5:$V$404,$A60,销售录入!$C$5:$C$404,首页!$B$5)+SUMIFS(销售录入!$AA$5:$AA$404,销售录入!$Y$5:$Y$404,$A60,销售录入!$C$5:$C$404,首页!$B$5)+SUMIFS(销售录入!$AD$5:$AD$404,销售录入!$AB$5:$AB$404,$A60,销售录入!$C$5:$C$404,首页!$B$5)+SUMIFS(采购录入!$W$5:$W$404,采购录入!$U$5:$U$404,$A60,采购录入!$C$5:$C$404,首页!$B$5)+SUMIFS(采购录入!$Z$5:$Z$404,采购录入!$X$5:$X$404,$A60,采购录入!$C$5:$C$404,首页!$B$5)+SUMIFS(其他凭证!$H$5:$H$304,其他凭证!$F$5:$F$304,$A60,其他凭证!$C$5:$C$304,首页!$B$5))</f>
        <v>0</v>
      </c>
      <c r="H60" s="54" t="n">
        <f aca="false">IF($A60="","",SUMIFS(资金流水!$N$5:$N$504,资金流水!$P$5:$P$504,$A60,资金流水!$C$5:$C$504,首页!$B$5)+SUMIFS(销售录入!$X$5:$X$404,销售录入!$W$5:$W$404,$A60,销售录入!$C$5:$C$404,首页!$B$5)+SUMIFS(销售录入!$AA$5:$AA$404,销售录入!$Z$5:$Z$404,$A60,销售录入!$C$5:$C$404,首页!$B$5)+SUMIFS(销售录入!$AD$5:$AD$404,销售录入!$AC$5:$AC$404,$A60,销售录入!$C$5:$C$404,首页!$B$5)+SUMIFS(采购录入!$W$5:$W$404,采购录入!$V$5:$V$404,$A60,采购录入!$C$5:$C$404,首页!$B$5)+SUMIFS(采购录入!$Z$5:$Z$404,采购录入!$Y$5:$Y$404,$A60,采购录入!$C$5:$C$404,首页!$B$5)+SUMIFS(其他凭证!$H$5:$H$304,其他凭证!$G$5:$G$304,$A60,其他凭证!$C$5:$C$304,首页!$B$5))</f>
        <v>24600</v>
      </c>
      <c r="I60" s="54" t="n">
        <f aca="false">IF($A60="","",SUMIFS(资金流水!$N$5:$N$504,资金流水!$O$5:$O$504,$A60,资金流水!$B$5:$B$504,"&lt;="&amp;首页!$B$7)+SUMIFS(销售录入!$X$5:$X$404,销售录入!$V$5:$V$404,$A60,销售录入!$B$5:$B$404,"&lt;="&amp;首页!$B$7)+SUMIFS(销售录入!$AA$5:$AA$404,销售录入!$Y$5:$Y$404,$A60,销售录入!$B$5:$B$404,"&lt;="&amp;首页!$B$7)+SUMIFS(销售录入!$AD$5:$AD$404,销售录入!$AB$5:$AB$404,$A60,销售录入!$B$5:$B$404,"&lt;="&amp;首页!$B$7)+SUMIFS(采购录入!$W$5:$W$404,采购录入!$U$5:$U$404,$A60,采购录入!$B$5:$B$404,"&lt;="&amp;首页!$B$7)+SUMIFS(采购录入!$Z$5:$Z$404,采购录入!$X$5:$X$404,$A60,采购录入!$B$5:$B$404,"&lt;="&amp;首页!$B$7)+SUMIFS(其他凭证!$H$5:$H$304,其他凭证!$F$5:$F$304,$A60,其他凭证!$B$5:$B$304,"&lt;="&amp;首页!$B$7))</f>
        <v>0</v>
      </c>
      <c r="J60" s="54" t="n">
        <f aca="false">IF($A60="","",SUMIFS(资金流水!$N$5:$N$504,资金流水!$P$5:$P$504,$A60,资金流水!$B$5:$B$504,"&lt;="&amp;首页!$B$7)+SUMIFS(销售录入!$X$5:$X$404,销售录入!$W$5:$W$404,$A60,销售录入!$B$5:$B$404,"&lt;="&amp;首页!$B$7)+SUMIFS(销售录入!$AA$5:$AA$404,销售录入!$Z$5:$Z$404,$A60,销售录入!$B$5:$B$404,"&lt;="&amp;首页!$B$7)+SUMIFS(销售录入!$AD$5:$AD$404,销售录入!$AC$5:$AC$404,$A60,销售录入!$B$5:$B$404,"&lt;="&amp;首页!$B$7)+SUMIFS(采购录入!$W$5:$W$404,采购录入!$V$5:$V$404,$A60,采购录入!$B$5:$B$404,"&lt;="&amp;首页!$B$7)+SUMIFS(采购录入!$Z$5:$Z$404,采购录入!$Y$5:$Y$404,$A60,采购录入!$B$5:$B$404,"&lt;="&amp;首页!$B$7)+SUMIFS(其他凭证!$H$5:$H$304,其他凭证!$G$5:$G$304,$A60,其他凭证!$B$5:$B$304,"&lt;="&amp;首页!$B$7))</f>
        <v>24600</v>
      </c>
      <c r="K60" s="44" t="n">
        <f aca="false">IF($A60="","",($E60+$I60)-($F60+$J60))</f>
        <v>-24600</v>
      </c>
      <c r="L60" s="44" t="n">
        <f aca="false">IF($A60="","",IF($K60&gt;=0,$K60,0))</f>
        <v>0</v>
      </c>
      <c r="M60" s="44" t="n">
        <f aca="false">IF($A60="","",IF($K60&lt;0,-$K60,0))</f>
        <v>24600</v>
      </c>
      <c r="N60" s="35" t="n">
        <f aca="false">IF($A60="","",科目参数!$F60)</f>
        <v>0</v>
      </c>
      <c r="O60" s="35" t="str">
        <f aca="false">IF($A60="","",科目参数!$G60)</f>
        <v>主营业务收入</v>
      </c>
      <c r="P60" s="42" t="str">
        <f aca="false">IF($A60="","",科目参数!$H60)</f>
        <v>经营活动</v>
      </c>
    </row>
    <row r="61" customFormat="false" ht="15.75" hidden="false" customHeight="true" outlineLevel="0" collapsed="false">
      <c r="A61" s="42" t="str">
        <f aca="false">IF(科目参数!$A61="","",科目参数!$A61)</f>
        <v>6051</v>
      </c>
      <c r="B61" s="35" t="str">
        <f aca="false">IF($A61="","",科目参数!$B61)</f>
        <v>其他业务收入</v>
      </c>
      <c r="C61" s="42" t="str">
        <f aca="false">IF($A61="","",科目参数!$C61)</f>
        <v>收入</v>
      </c>
      <c r="D61" s="42" t="str">
        <f aca="false">IF($A61="","",科目参数!$D61)</f>
        <v>贷</v>
      </c>
      <c r="E61" s="54" t="n">
        <f aca="false">IF($A61="","",SUMIFS(期初数据!$Z$6:$Z$125,期初数据!$W$6:$W$125,$A61))</f>
        <v>0</v>
      </c>
      <c r="F61" s="54" t="n">
        <f aca="false">IF($A61="","",SUMIFS(期初数据!$AA$6:$AA$125,期初数据!$W$6:$W$125,$A61))</f>
        <v>0</v>
      </c>
      <c r="G61" s="54" t="n">
        <f aca="false">IF($A61="","",SUMIFS(资金流水!$N$5:$N$504,资金流水!$O$5:$O$504,$A61,资金流水!$C$5:$C$504,首页!$B$5)+SUMIFS(销售录入!$X$5:$X$404,销售录入!$V$5:$V$404,$A61,销售录入!$C$5:$C$404,首页!$B$5)+SUMIFS(销售录入!$AA$5:$AA$404,销售录入!$Y$5:$Y$404,$A61,销售录入!$C$5:$C$404,首页!$B$5)+SUMIFS(销售录入!$AD$5:$AD$404,销售录入!$AB$5:$AB$404,$A61,销售录入!$C$5:$C$404,首页!$B$5)+SUMIFS(采购录入!$W$5:$W$404,采购录入!$U$5:$U$404,$A61,采购录入!$C$5:$C$404,首页!$B$5)+SUMIFS(采购录入!$Z$5:$Z$404,采购录入!$X$5:$X$404,$A61,采购录入!$C$5:$C$404,首页!$B$5)+SUMIFS(其他凭证!$H$5:$H$304,其他凭证!$F$5:$F$304,$A61,其他凭证!$C$5:$C$304,首页!$B$5))</f>
        <v>0</v>
      </c>
      <c r="H61" s="54" t="n">
        <f aca="false">IF($A61="","",SUMIFS(资金流水!$N$5:$N$504,资金流水!$P$5:$P$504,$A61,资金流水!$C$5:$C$504,首页!$B$5)+SUMIFS(销售录入!$X$5:$X$404,销售录入!$W$5:$W$404,$A61,销售录入!$C$5:$C$404,首页!$B$5)+SUMIFS(销售录入!$AA$5:$AA$404,销售录入!$Z$5:$Z$404,$A61,销售录入!$C$5:$C$404,首页!$B$5)+SUMIFS(销售录入!$AD$5:$AD$404,销售录入!$AC$5:$AC$404,$A61,销售录入!$C$5:$C$404,首页!$B$5)+SUMIFS(采购录入!$W$5:$W$404,采购录入!$V$5:$V$404,$A61,采购录入!$C$5:$C$404,首页!$B$5)+SUMIFS(采购录入!$Z$5:$Z$404,采购录入!$Y$5:$Y$404,$A61,采购录入!$C$5:$C$404,首页!$B$5)+SUMIFS(其他凭证!$H$5:$H$304,其他凭证!$G$5:$G$304,$A61,其他凭证!$C$5:$C$304,首页!$B$5))</f>
        <v>0</v>
      </c>
      <c r="I61" s="54" t="n">
        <f aca="false">IF($A61="","",SUMIFS(资金流水!$N$5:$N$504,资金流水!$O$5:$O$504,$A61,资金流水!$B$5:$B$504,"&lt;="&amp;首页!$B$7)+SUMIFS(销售录入!$X$5:$X$404,销售录入!$V$5:$V$404,$A61,销售录入!$B$5:$B$404,"&lt;="&amp;首页!$B$7)+SUMIFS(销售录入!$AA$5:$AA$404,销售录入!$Y$5:$Y$404,$A61,销售录入!$B$5:$B$404,"&lt;="&amp;首页!$B$7)+SUMIFS(销售录入!$AD$5:$AD$404,销售录入!$AB$5:$AB$404,$A61,销售录入!$B$5:$B$404,"&lt;="&amp;首页!$B$7)+SUMIFS(采购录入!$W$5:$W$404,采购录入!$U$5:$U$404,$A61,采购录入!$B$5:$B$404,"&lt;="&amp;首页!$B$7)+SUMIFS(采购录入!$Z$5:$Z$404,采购录入!$X$5:$X$404,$A61,采购录入!$B$5:$B$404,"&lt;="&amp;首页!$B$7)+SUMIFS(其他凭证!$H$5:$H$304,其他凭证!$F$5:$F$304,$A61,其他凭证!$B$5:$B$304,"&lt;="&amp;首页!$B$7))</f>
        <v>0</v>
      </c>
      <c r="J61" s="54" t="n">
        <f aca="false">IF($A61="","",SUMIFS(资金流水!$N$5:$N$504,资金流水!$P$5:$P$504,$A61,资金流水!$B$5:$B$504,"&lt;="&amp;首页!$B$7)+SUMIFS(销售录入!$X$5:$X$404,销售录入!$W$5:$W$404,$A61,销售录入!$B$5:$B$404,"&lt;="&amp;首页!$B$7)+SUMIFS(销售录入!$AA$5:$AA$404,销售录入!$Z$5:$Z$404,$A61,销售录入!$B$5:$B$404,"&lt;="&amp;首页!$B$7)+SUMIFS(销售录入!$AD$5:$AD$404,销售录入!$AC$5:$AC$404,$A61,销售录入!$B$5:$B$404,"&lt;="&amp;首页!$B$7)+SUMIFS(采购录入!$W$5:$W$404,采购录入!$V$5:$V$404,$A61,采购录入!$B$5:$B$404,"&lt;="&amp;首页!$B$7)+SUMIFS(采购录入!$Z$5:$Z$404,采购录入!$Y$5:$Y$404,$A61,采购录入!$B$5:$B$404,"&lt;="&amp;首页!$B$7)+SUMIFS(其他凭证!$H$5:$H$304,其他凭证!$G$5:$G$304,$A61,其他凭证!$B$5:$B$304,"&lt;="&amp;首页!$B$7))</f>
        <v>0</v>
      </c>
      <c r="K61" s="44" t="n">
        <f aca="false">IF($A61="","",($E61+$I61)-($F61+$J61))</f>
        <v>0</v>
      </c>
      <c r="L61" s="44" t="n">
        <f aca="false">IF($A61="","",IF($K61&gt;=0,$K61,0))</f>
        <v>0</v>
      </c>
      <c r="M61" s="44" t="n">
        <f aca="false">IF($A61="","",IF($K61&lt;0,-$K61,0))</f>
        <v>0</v>
      </c>
      <c r="N61" s="35" t="n">
        <f aca="false">IF($A61="","",科目参数!$F61)</f>
        <v>0</v>
      </c>
      <c r="O61" s="35" t="str">
        <f aca="false">IF($A61="","",科目参数!$G61)</f>
        <v>其他业务收入</v>
      </c>
      <c r="P61" s="42" t="str">
        <f aca="false">IF($A61="","",科目参数!$H61)</f>
        <v>经营活动</v>
      </c>
    </row>
    <row r="62" customFormat="false" ht="15.75" hidden="false" customHeight="true" outlineLevel="0" collapsed="false">
      <c r="A62" s="42" t="str">
        <f aca="false">IF(科目参数!$A62="","",科目参数!$A62)</f>
        <v>6111</v>
      </c>
      <c r="B62" s="35" t="str">
        <f aca="false">IF($A62="","",科目参数!$B62)</f>
        <v>投资收益</v>
      </c>
      <c r="C62" s="42" t="str">
        <f aca="false">IF($A62="","",科目参数!$C62)</f>
        <v>收入</v>
      </c>
      <c r="D62" s="42" t="str">
        <f aca="false">IF($A62="","",科目参数!$D62)</f>
        <v>贷</v>
      </c>
      <c r="E62" s="54" t="n">
        <f aca="false">IF($A62="","",SUMIFS(期初数据!$Z$6:$Z$125,期初数据!$W$6:$W$125,$A62))</f>
        <v>0</v>
      </c>
      <c r="F62" s="54" t="n">
        <f aca="false">IF($A62="","",SUMIFS(期初数据!$AA$6:$AA$125,期初数据!$W$6:$W$125,$A62))</f>
        <v>0</v>
      </c>
      <c r="G62" s="54" t="n">
        <f aca="false">IF($A62="","",SUMIFS(资金流水!$N$5:$N$504,资金流水!$O$5:$O$504,$A62,资金流水!$C$5:$C$504,首页!$B$5)+SUMIFS(销售录入!$X$5:$X$404,销售录入!$V$5:$V$404,$A62,销售录入!$C$5:$C$404,首页!$B$5)+SUMIFS(销售录入!$AA$5:$AA$404,销售录入!$Y$5:$Y$404,$A62,销售录入!$C$5:$C$404,首页!$B$5)+SUMIFS(销售录入!$AD$5:$AD$404,销售录入!$AB$5:$AB$404,$A62,销售录入!$C$5:$C$404,首页!$B$5)+SUMIFS(采购录入!$W$5:$W$404,采购录入!$U$5:$U$404,$A62,采购录入!$C$5:$C$404,首页!$B$5)+SUMIFS(采购录入!$Z$5:$Z$404,采购录入!$X$5:$X$404,$A62,采购录入!$C$5:$C$404,首页!$B$5)+SUMIFS(其他凭证!$H$5:$H$304,其他凭证!$F$5:$F$304,$A62,其他凭证!$C$5:$C$304,首页!$B$5))</f>
        <v>0</v>
      </c>
      <c r="H62" s="54" t="n">
        <f aca="false">IF($A62="","",SUMIFS(资金流水!$N$5:$N$504,资金流水!$P$5:$P$504,$A62,资金流水!$C$5:$C$504,首页!$B$5)+SUMIFS(销售录入!$X$5:$X$404,销售录入!$W$5:$W$404,$A62,销售录入!$C$5:$C$404,首页!$B$5)+SUMIFS(销售录入!$AA$5:$AA$404,销售录入!$Z$5:$Z$404,$A62,销售录入!$C$5:$C$404,首页!$B$5)+SUMIFS(销售录入!$AD$5:$AD$404,销售录入!$AC$5:$AC$404,$A62,销售录入!$C$5:$C$404,首页!$B$5)+SUMIFS(采购录入!$W$5:$W$404,采购录入!$V$5:$V$404,$A62,采购录入!$C$5:$C$404,首页!$B$5)+SUMIFS(采购录入!$Z$5:$Z$404,采购录入!$Y$5:$Y$404,$A62,采购录入!$C$5:$C$404,首页!$B$5)+SUMIFS(其他凭证!$H$5:$H$304,其他凭证!$G$5:$G$304,$A62,其他凭证!$C$5:$C$304,首页!$B$5))</f>
        <v>0</v>
      </c>
      <c r="I62" s="54" t="n">
        <f aca="false">IF($A62="","",SUMIFS(资金流水!$N$5:$N$504,资金流水!$O$5:$O$504,$A62,资金流水!$B$5:$B$504,"&lt;="&amp;首页!$B$7)+SUMIFS(销售录入!$X$5:$X$404,销售录入!$V$5:$V$404,$A62,销售录入!$B$5:$B$404,"&lt;="&amp;首页!$B$7)+SUMIFS(销售录入!$AA$5:$AA$404,销售录入!$Y$5:$Y$404,$A62,销售录入!$B$5:$B$404,"&lt;="&amp;首页!$B$7)+SUMIFS(销售录入!$AD$5:$AD$404,销售录入!$AB$5:$AB$404,$A62,销售录入!$B$5:$B$404,"&lt;="&amp;首页!$B$7)+SUMIFS(采购录入!$W$5:$W$404,采购录入!$U$5:$U$404,$A62,采购录入!$B$5:$B$404,"&lt;="&amp;首页!$B$7)+SUMIFS(采购录入!$Z$5:$Z$404,采购录入!$X$5:$X$404,$A62,采购录入!$B$5:$B$404,"&lt;="&amp;首页!$B$7)+SUMIFS(其他凭证!$H$5:$H$304,其他凭证!$F$5:$F$304,$A62,其他凭证!$B$5:$B$304,"&lt;="&amp;首页!$B$7))</f>
        <v>0</v>
      </c>
      <c r="J62" s="54" t="n">
        <f aca="false">IF($A62="","",SUMIFS(资金流水!$N$5:$N$504,资金流水!$P$5:$P$504,$A62,资金流水!$B$5:$B$504,"&lt;="&amp;首页!$B$7)+SUMIFS(销售录入!$X$5:$X$404,销售录入!$W$5:$W$404,$A62,销售录入!$B$5:$B$404,"&lt;="&amp;首页!$B$7)+SUMIFS(销售录入!$AA$5:$AA$404,销售录入!$Z$5:$Z$404,$A62,销售录入!$B$5:$B$404,"&lt;="&amp;首页!$B$7)+SUMIFS(销售录入!$AD$5:$AD$404,销售录入!$AC$5:$AC$404,$A62,销售录入!$B$5:$B$404,"&lt;="&amp;首页!$B$7)+SUMIFS(采购录入!$W$5:$W$404,采购录入!$V$5:$V$404,$A62,采购录入!$B$5:$B$404,"&lt;="&amp;首页!$B$7)+SUMIFS(采购录入!$Z$5:$Z$404,采购录入!$Y$5:$Y$404,$A62,采购录入!$B$5:$B$404,"&lt;="&amp;首页!$B$7)+SUMIFS(其他凭证!$H$5:$H$304,其他凭证!$G$5:$G$304,$A62,其他凭证!$B$5:$B$304,"&lt;="&amp;首页!$B$7))</f>
        <v>0</v>
      </c>
      <c r="K62" s="44" t="n">
        <f aca="false">IF($A62="","",($E62+$I62)-($F62+$J62))</f>
        <v>0</v>
      </c>
      <c r="L62" s="44" t="n">
        <f aca="false">IF($A62="","",IF($K62&gt;=0,$K62,0))</f>
        <v>0</v>
      </c>
      <c r="M62" s="44" t="n">
        <f aca="false">IF($A62="","",IF($K62&lt;0,-$K62,0))</f>
        <v>0</v>
      </c>
      <c r="N62" s="35" t="n">
        <f aca="false">IF($A62="","",科目参数!$F62)</f>
        <v>0</v>
      </c>
      <c r="O62" s="35" t="str">
        <f aca="false">IF($A62="","",科目参数!$G62)</f>
        <v>投资收益</v>
      </c>
      <c r="P62" s="42" t="str">
        <f aca="false">IF($A62="","",科目参数!$H62)</f>
        <v>投资活动</v>
      </c>
    </row>
    <row r="63" customFormat="false" ht="15.75" hidden="false" customHeight="true" outlineLevel="0" collapsed="false">
      <c r="A63" s="42" t="str">
        <f aca="false">IF(科目参数!$A63="","",科目参数!$A63)</f>
        <v>6115</v>
      </c>
      <c r="B63" s="35" t="str">
        <f aca="false">IF($A63="","",科目参数!$B63)</f>
        <v>资产处置收益</v>
      </c>
      <c r="C63" s="42" t="str">
        <f aca="false">IF($A63="","",科目参数!$C63)</f>
        <v>收入</v>
      </c>
      <c r="D63" s="42" t="str">
        <f aca="false">IF($A63="","",科目参数!$D63)</f>
        <v>贷</v>
      </c>
      <c r="E63" s="54" t="n">
        <f aca="false">IF($A63="","",SUMIFS(期初数据!$Z$6:$Z$125,期初数据!$W$6:$W$125,$A63))</f>
        <v>0</v>
      </c>
      <c r="F63" s="54" t="n">
        <f aca="false">IF($A63="","",SUMIFS(期初数据!$AA$6:$AA$125,期初数据!$W$6:$W$125,$A63))</f>
        <v>0</v>
      </c>
      <c r="G63" s="54" t="n">
        <f aca="false">IF($A63="","",SUMIFS(资金流水!$N$5:$N$504,资金流水!$O$5:$O$504,$A63,资金流水!$C$5:$C$504,首页!$B$5)+SUMIFS(销售录入!$X$5:$X$404,销售录入!$V$5:$V$404,$A63,销售录入!$C$5:$C$404,首页!$B$5)+SUMIFS(销售录入!$AA$5:$AA$404,销售录入!$Y$5:$Y$404,$A63,销售录入!$C$5:$C$404,首页!$B$5)+SUMIFS(销售录入!$AD$5:$AD$404,销售录入!$AB$5:$AB$404,$A63,销售录入!$C$5:$C$404,首页!$B$5)+SUMIFS(采购录入!$W$5:$W$404,采购录入!$U$5:$U$404,$A63,采购录入!$C$5:$C$404,首页!$B$5)+SUMIFS(采购录入!$Z$5:$Z$404,采购录入!$X$5:$X$404,$A63,采购录入!$C$5:$C$404,首页!$B$5)+SUMIFS(其他凭证!$H$5:$H$304,其他凭证!$F$5:$F$304,$A63,其他凭证!$C$5:$C$304,首页!$B$5))</f>
        <v>0</v>
      </c>
      <c r="H63" s="54" t="n">
        <f aca="false">IF($A63="","",SUMIFS(资金流水!$N$5:$N$504,资金流水!$P$5:$P$504,$A63,资金流水!$C$5:$C$504,首页!$B$5)+SUMIFS(销售录入!$X$5:$X$404,销售录入!$W$5:$W$404,$A63,销售录入!$C$5:$C$404,首页!$B$5)+SUMIFS(销售录入!$AA$5:$AA$404,销售录入!$Z$5:$Z$404,$A63,销售录入!$C$5:$C$404,首页!$B$5)+SUMIFS(销售录入!$AD$5:$AD$404,销售录入!$AC$5:$AC$404,$A63,销售录入!$C$5:$C$404,首页!$B$5)+SUMIFS(采购录入!$W$5:$W$404,采购录入!$V$5:$V$404,$A63,采购录入!$C$5:$C$404,首页!$B$5)+SUMIFS(采购录入!$Z$5:$Z$404,采购录入!$Y$5:$Y$404,$A63,采购录入!$C$5:$C$404,首页!$B$5)+SUMIFS(其他凭证!$H$5:$H$304,其他凭证!$G$5:$G$304,$A63,其他凭证!$C$5:$C$304,首页!$B$5))</f>
        <v>0</v>
      </c>
      <c r="I63" s="54" t="n">
        <f aca="false">IF($A63="","",SUMIFS(资金流水!$N$5:$N$504,资金流水!$O$5:$O$504,$A63,资金流水!$B$5:$B$504,"&lt;="&amp;首页!$B$7)+SUMIFS(销售录入!$X$5:$X$404,销售录入!$V$5:$V$404,$A63,销售录入!$B$5:$B$404,"&lt;="&amp;首页!$B$7)+SUMIFS(销售录入!$AA$5:$AA$404,销售录入!$Y$5:$Y$404,$A63,销售录入!$B$5:$B$404,"&lt;="&amp;首页!$B$7)+SUMIFS(销售录入!$AD$5:$AD$404,销售录入!$AB$5:$AB$404,$A63,销售录入!$B$5:$B$404,"&lt;="&amp;首页!$B$7)+SUMIFS(采购录入!$W$5:$W$404,采购录入!$U$5:$U$404,$A63,采购录入!$B$5:$B$404,"&lt;="&amp;首页!$B$7)+SUMIFS(采购录入!$Z$5:$Z$404,采购录入!$X$5:$X$404,$A63,采购录入!$B$5:$B$404,"&lt;="&amp;首页!$B$7)+SUMIFS(其他凭证!$H$5:$H$304,其他凭证!$F$5:$F$304,$A63,其他凭证!$B$5:$B$304,"&lt;="&amp;首页!$B$7))</f>
        <v>0</v>
      </c>
      <c r="J63" s="54" t="n">
        <f aca="false">IF($A63="","",SUMIFS(资金流水!$N$5:$N$504,资金流水!$P$5:$P$504,$A63,资金流水!$B$5:$B$504,"&lt;="&amp;首页!$B$7)+SUMIFS(销售录入!$X$5:$X$404,销售录入!$W$5:$W$404,$A63,销售录入!$B$5:$B$404,"&lt;="&amp;首页!$B$7)+SUMIFS(销售录入!$AA$5:$AA$404,销售录入!$Z$5:$Z$404,$A63,销售录入!$B$5:$B$404,"&lt;="&amp;首页!$B$7)+SUMIFS(销售录入!$AD$5:$AD$404,销售录入!$AC$5:$AC$404,$A63,销售录入!$B$5:$B$404,"&lt;="&amp;首页!$B$7)+SUMIFS(采购录入!$W$5:$W$404,采购录入!$V$5:$V$404,$A63,采购录入!$B$5:$B$404,"&lt;="&amp;首页!$B$7)+SUMIFS(采购录入!$Z$5:$Z$404,采购录入!$Y$5:$Y$404,$A63,采购录入!$B$5:$B$404,"&lt;="&amp;首页!$B$7)+SUMIFS(其他凭证!$H$5:$H$304,其他凭证!$G$5:$G$304,$A63,其他凭证!$B$5:$B$304,"&lt;="&amp;首页!$B$7))</f>
        <v>0</v>
      </c>
      <c r="K63" s="44" t="n">
        <f aca="false">IF($A63="","",($E63+$I63)-($F63+$J63))</f>
        <v>0</v>
      </c>
      <c r="L63" s="44" t="n">
        <f aca="false">IF($A63="","",IF($K63&gt;=0,$K63,0))</f>
        <v>0</v>
      </c>
      <c r="M63" s="44" t="n">
        <f aca="false">IF($A63="","",IF($K63&lt;0,-$K63,0))</f>
        <v>0</v>
      </c>
      <c r="N63" s="35" t="n">
        <f aca="false">IF($A63="","",科目参数!$F63)</f>
        <v>0</v>
      </c>
      <c r="O63" s="35" t="str">
        <f aca="false">IF($A63="","",科目参数!$G63)</f>
        <v>资产处置收益</v>
      </c>
      <c r="P63" s="42" t="str">
        <f aca="false">IF($A63="","",科目参数!$H63)</f>
        <v>投资活动</v>
      </c>
    </row>
    <row r="64" customFormat="false" ht="15.75" hidden="false" customHeight="true" outlineLevel="0" collapsed="false">
      <c r="A64" s="42" t="str">
        <f aca="false">IF(科目参数!$A64="","",科目参数!$A64)</f>
        <v>6117</v>
      </c>
      <c r="B64" s="35" t="str">
        <f aca="false">IF($A64="","",科目参数!$B64)</f>
        <v>其他收益</v>
      </c>
      <c r="C64" s="42" t="str">
        <f aca="false">IF($A64="","",科目参数!$C64)</f>
        <v>收入</v>
      </c>
      <c r="D64" s="42" t="str">
        <f aca="false">IF($A64="","",科目参数!$D64)</f>
        <v>贷</v>
      </c>
      <c r="E64" s="54" t="n">
        <f aca="false">IF($A64="","",SUMIFS(期初数据!$Z$6:$Z$125,期初数据!$W$6:$W$125,$A64))</f>
        <v>0</v>
      </c>
      <c r="F64" s="54" t="n">
        <f aca="false">IF($A64="","",SUMIFS(期初数据!$AA$6:$AA$125,期初数据!$W$6:$W$125,$A64))</f>
        <v>0</v>
      </c>
      <c r="G64" s="54" t="n">
        <f aca="false">IF($A64="","",SUMIFS(资金流水!$N$5:$N$504,资金流水!$O$5:$O$504,$A64,资金流水!$C$5:$C$504,首页!$B$5)+SUMIFS(销售录入!$X$5:$X$404,销售录入!$V$5:$V$404,$A64,销售录入!$C$5:$C$404,首页!$B$5)+SUMIFS(销售录入!$AA$5:$AA$404,销售录入!$Y$5:$Y$404,$A64,销售录入!$C$5:$C$404,首页!$B$5)+SUMIFS(销售录入!$AD$5:$AD$404,销售录入!$AB$5:$AB$404,$A64,销售录入!$C$5:$C$404,首页!$B$5)+SUMIFS(采购录入!$W$5:$W$404,采购录入!$U$5:$U$404,$A64,采购录入!$C$5:$C$404,首页!$B$5)+SUMIFS(采购录入!$Z$5:$Z$404,采购录入!$X$5:$X$404,$A64,采购录入!$C$5:$C$404,首页!$B$5)+SUMIFS(其他凭证!$H$5:$H$304,其他凭证!$F$5:$F$304,$A64,其他凭证!$C$5:$C$304,首页!$B$5))</f>
        <v>0</v>
      </c>
      <c r="H64" s="54" t="n">
        <f aca="false">IF($A64="","",SUMIFS(资金流水!$N$5:$N$504,资金流水!$P$5:$P$504,$A64,资金流水!$C$5:$C$504,首页!$B$5)+SUMIFS(销售录入!$X$5:$X$404,销售录入!$W$5:$W$404,$A64,销售录入!$C$5:$C$404,首页!$B$5)+SUMIFS(销售录入!$AA$5:$AA$404,销售录入!$Z$5:$Z$404,$A64,销售录入!$C$5:$C$404,首页!$B$5)+SUMIFS(销售录入!$AD$5:$AD$404,销售录入!$AC$5:$AC$404,$A64,销售录入!$C$5:$C$404,首页!$B$5)+SUMIFS(采购录入!$W$5:$W$404,采购录入!$V$5:$V$404,$A64,采购录入!$C$5:$C$404,首页!$B$5)+SUMIFS(采购录入!$Z$5:$Z$404,采购录入!$Y$5:$Y$404,$A64,采购录入!$C$5:$C$404,首页!$B$5)+SUMIFS(其他凭证!$H$5:$H$304,其他凭证!$G$5:$G$304,$A64,其他凭证!$C$5:$C$304,首页!$B$5))</f>
        <v>0</v>
      </c>
      <c r="I64" s="54" t="n">
        <f aca="false">IF($A64="","",SUMIFS(资金流水!$N$5:$N$504,资金流水!$O$5:$O$504,$A64,资金流水!$B$5:$B$504,"&lt;="&amp;首页!$B$7)+SUMIFS(销售录入!$X$5:$X$404,销售录入!$V$5:$V$404,$A64,销售录入!$B$5:$B$404,"&lt;="&amp;首页!$B$7)+SUMIFS(销售录入!$AA$5:$AA$404,销售录入!$Y$5:$Y$404,$A64,销售录入!$B$5:$B$404,"&lt;="&amp;首页!$B$7)+SUMIFS(销售录入!$AD$5:$AD$404,销售录入!$AB$5:$AB$404,$A64,销售录入!$B$5:$B$404,"&lt;="&amp;首页!$B$7)+SUMIFS(采购录入!$W$5:$W$404,采购录入!$U$5:$U$404,$A64,采购录入!$B$5:$B$404,"&lt;="&amp;首页!$B$7)+SUMIFS(采购录入!$Z$5:$Z$404,采购录入!$X$5:$X$404,$A64,采购录入!$B$5:$B$404,"&lt;="&amp;首页!$B$7)+SUMIFS(其他凭证!$H$5:$H$304,其他凭证!$F$5:$F$304,$A64,其他凭证!$B$5:$B$304,"&lt;="&amp;首页!$B$7))</f>
        <v>0</v>
      </c>
      <c r="J64" s="54" t="n">
        <f aca="false">IF($A64="","",SUMIFS(资金流水!$N$5:$N$504,资金流水!$P$5:$P$504,$A64,资金流水!$B$5:$B$504,"&lt;="&amp;首页!$B$7)+SUMIFS(销售录入!$X$5:$X$404,销售录入!$W$5:$W$404,$A64,销售录入!$B$5:$B$404,"&lt;="&amp;首页!$B$7)+SUMIFS(销售录入!$AA$5:$AA$404,销售录入!$Z$5:$Z$404,$A64,销售录入!$B$5:$B$404,"&lt;="&amp;首页!$B$7)+SUMIFS(销售录入!$AD$5:$AD$404,销售录入!$AC$5:$AC$404,$A64,销售录入!$B$5:$B$404,"&lt;="&amp;首页!$B$7)+SUMIFS(采购录入!$W$5:$W$404,采购录入!$V$5:$V$404,$A64,采购录入!$B$5:$B$404,"&lt;="&amp;首页!$B$7)+SUMIFS(采购录入!$Z$5:$Z$404,采购录入!$Y$5:$Y$404,$A64,采购录入!$B$5:$B$404,"&lt;="&amp;首页!$B$7)+SUMIFS(其他凭证!$H$5:$H$304,其他凭证!$G$5:$G$304,$A64,其他凭证!$B$5:$B$304,"&lt;="&amp;首页!$B$7))</f>
        <v>0</v>
      </c>
      <c r="K64" s="44" t="n">
        <f aca="false">IF($A64="","",($E64+$I64)-($F64+$J64))</f>
        <v>0</v>
      </c>
      <c r="L64" s="44" t="n">
        <f aca="false">IF($A64="","",IF($K64&gt;=0,$K64,0))</f>
        <v>0</v>
      </c>
      <c r="M64" s="44" t="n">
        <f aca="false">IF($A64="","",IF($K64&lt;0,-$K64,0))</f>
        <v>0</v>
      </c>
      <c r="N64" s="35" t="n">
        <f aca="false">IF($A64="","",科目参数!$F64)</f>
        <v>0</v>
      </c>
      <c r="O64" s="35" t="str">
        <f aca="false">IF($A64="","",科目参数!$G64)</f>
        <v>其他收益</v>
      </c>
      <c r="P64" s="42" t="str">
        <f aca="false">IF($A64="","",科目参数!$H64)</f>
        <v>经营活动</v>
      </c>
    </row>
    <row r="65" customFormat="false" ht="15.75" hidden="false" customHeight="true" outlineLevel="0" collapsed="false">
      <c r="A65" s="42" t="str">
        <f aca="false">IF(科目参数!$A65="","",科目参数!$A65)</f>
        <v>6301</v>
      </c>
      <c r="B65" s="35" t="str">
        <f aca="false">IF($A65="","",科目参数!$B65)</f>
        <v>营业外收入</v>
      </c>
      <c r="C65" s="42" t="str">
        <f aca="false">IF($A65="","",科目参数!$C65)</f>
        <v>收入</v>
      </c>
      <c r="D65" s="42" t="str">
        <f aca="false">IF($A65="","",科目参数!$D65)</f>
        <v>贷</v>
      </c>
      <c r="E65" s="54" t="n">
        <f aca="false">IF($A65="","",SUMIFS(期初数据!$Z$6:$Z$125,期初数据!$W$6:$W$125,$A65))</f>
        <v>0</v>
      </c>
      <c r="F65" s="54" t="n">
        <f aca="false">IF($A65="","",SUMIFS(期初数据!$AA$6:$AA$125,期初数据!$W$6:$W$125,$A65))</f>
        <v>0</v>
      </c>
      <c r="G65" s="54" t="n">
        <f aca="false">IF($A65="","",SUMIFS(资金流水!$N$5:$N$504,资金流水!$O$5:$O$504,$A65,资金流水!$C$5:$C$504,首页!$B$5)+SUMIFS(销售录入!$X$5:$X$404,销售录入!$V$5:$V$404,$A65,销售录入!$C$5:$C$404,首页!$B$5)+SUMIFS(销售录入!$AA$5:$AA$404,销售录入!$Y$5:$Y$404,$A65,销售录入!$C$5:$C$404,首页!$B$5)+SUMIFS(销售录入!$AD$5:$AD$404,销售录入!$AB$5:$AB$404,$A65,销售录入!$C$5:$C$404,首页!$B$5)+SUMIFS(采购录入!$W$5:$W$404,采购录入!$U$5:$U$404,$A65,采购录入!$C$5:$C$404,首页!$B$5)+SUMIFS(采购录入!$Z$5:$Z$404,采购录入!$X$5:$X$404,$A65,采购录入!$C$5:$C$404,首页!$B$5)+SUMIFS(其他凭证!$H$5:$H$304,其他凭证!$F$5:$F$304,$A65,其他凭证!$C$5:$C$304,首页!$B$5))</f>
        <v>0</v>
      </c>
      <c r="H65" s="54" t="n">
        <f aca="false">IF($A65="","",SUMIFS(资金流水!$N$5:$N$504,资金流水!$P$5:$P$504,$A65,资金流水!$C$5:$C$504,首页!$B$5)+SUMIFS(销售录入!$X$5:$X$404,销售录入!$W$5:$W$404,$A65,销售录入!$C$5:$C$404,首页!$B$5)+SUMIFS(销售录入!$AA$5:$AA$404,销售录入!$Z$5:$Z$404,$A65,销售录入!$C$5:$C$404,首页!$B$5)+SUMIFS(销售录入!$AD$5:$AD$404,销售录入!$AC$5:$AC$404,$A65,销售录入!$C$5:$C$404,首页!$B$5)+SUMIFS(采购录入!$W$5:$W$404,采购录入!$V$5:$V$404,$A65,采购录入!$C$5:$C$404,首页!$B$5)+SUMIFS(采购录入!$Z$5:$Z$404,采购录入!$Y$5:$Y$404,$A65,采购录入!$C$5:$C$404,首页!$B$5)+SUMIFS(其他凭证!$H$5:$H$304,其他凭证!$G$5:$G$304,$A65,其他凭证!$C$5:$C$304,首页!$B$5))</f>
        <v>0</v>
      </c>
      <c r="I65" s="54" t="n">
        <f aca="false">IF($A65="","",SUMIFS(资金流水!$N$5:$N$504,资金流水!$O$5:$O$504,$A65,资金流水!$B$5:$B$504,"&lt;="&amp;首页!$B$7)+SUMIFS(销售录入!$X$5:$X$404,销售录入!$V$5:$V$404,$A65,销售录入!$B$5:$B$404,"&lt;="&amp;首页!$B$7)+SUMIFS(销售录入!$AA$5:$AA$404,销售录入!$Y$5:$Y$404,$A65,销售录入!$B$5:$B$404,"&lt;="&amp;首页!$B$7)+SUMIFS(销售录入!$AD$5:$AD$404,销售录入!$AB$5:$AB$404,$A65,销售录入!$B$5:$B$404,"&lt;="&amp;首页!$B$7)+SUMIFS(采购录入!$W$5:$W$404,采购录入!$U$5:$U$404,$A65,采购录入!$B$5:$B$404,"&lt;="&amp;首页!$B$7)+SUMIFS(采购录入!$Z$5:$Z$404,采购录入!$X$5:$X$404,$A65,采购录入!$B$5:$B$404,"&lt;="&amp;首页!$B$7)+SUMIFS(其他凭证!$H$5:$H$304,其他凭证!$F$5:$F$304,$A65,其他凭证!$B$5:$B$304,"&lt;="&amp;首页!$B$7))</f>
        <v>0</v>
      </c>
      <c r="J65" s="54" t="n">
        <f aca="false">IF($A65="","",SUMIFS(资金流水!$N$5:$N$504,资金流水!$P$5:$P$504,$A65,资金流水!$B$5:$B$504,"&lt;="&amp;首页!$B$7)+SUMIFS(销售录入!$X$5:$X$404,销售录入!$W$5:$W$404,$A65,销售录入!$B$5:$B$404,"&lt;="&amp;首页!$B$7)+SUMIFS(销售录入!$AA$5:$AA$404,销售录入!$Z$5:$Z$404,$A65,销售录入!$B$5:$B$404,"&lt;="&amp;首页!$B$7)+SUMIFS(销售录入!$AD$5:$AD$404,销售录入!$AC$5:$AC$404,$A65,销售录入!$B$5:$B$404,"&lt;="&amp;首页!$B$7)+SUMIFS(采购录入!$W$5:$W$404,采购录入!$V$5:$V$404,$A65,采购录入!$B$5:$B$404,"&lt;="&amp;首页!$B$7)+SUMIFS(采购录入!$Z$5:$Z$404,采购录入!$Y$5:$Y$404,$A65,采购录入!$B$5:$B$404,"&lt;="&amp;首页!$B$7)+SUMIFS(其他凭证!$H$5:$H$304,其他凭证!$G$5:$G$304,$A65,其他凭证!$B$5:$B$304,"&lt;="&amp;首页!$B$7))</f>
        <v>0</v>
      </c>
      <c r="K65" s="44" t="n">
        <f aca="false">IF($A65="","",($E65+$I65)-($F65+$J65))</f>
        <v>0</v>
      </c>
      <c r="L65" s="44" t="n">
        <f aca="false">IF($A65="","",IF($K65&gt;=0,$K65,0))</f>
        <v>0</v>
      </c>
      <c r="M65" s="44" t="n">
        <f aca="false">IF($A65="","",IF($K65&lt;0,-$K65,0))</f>
        <v>0</v>
      </c>
      <c r="N65" s="35" t="n">
        <f aca="false">IF($A65="","",科目参数!$F65)</f>
        <v>0</v>
      </c>
      <c r="O65" s="35" t="str">
        <f aca="false">IF($A65="","",科目参数!$G65)</f>
        <v>营业外收入</v>
      </c>
      <c r="P65" s="42" t="str">
        <f aca="false">IF($A65="","",科目参数!$H65)</f>
        <v>经营活动</v>
      </c>
    </row>
    <row r="66" customFormat="false" ht="15.75" hidden="false" customHeight="true" outlineLevel="0" collapsed="false">
      <c r="A66" s="42" t="str">
        <f aca="false">IF(科目参数!$A66="","",科目参数!$A66)</f>
        <v>6401</v>
      </c>
      <c r="B66" s="35" t="str">
        <f aca="false">IF($A66="","",科目参数!$B66)</f>
        <v>主营业务成本</v>
      </c>
      <c r="C66" s="42" t="str">
        <f aca="false">IF($A66="","",科目参数!$C66)</f>
        <v>费用</v>
      </c>
      <c r="D66" s="42" t="str">
        <f aca="false">IF($A66="","",科目参数!$D66)</f>
        <v>借</v>
      </c>
      <c r="E66" s="54" t="n">
        <f aca="false">IF($A66="","",SUMIFS(期初数据!$Z$6:$Z$125,期初数据!$W$6:$W$125,$A66))</f>
        <v>0</v>
      </c>
      <c r="F66" s="54" t="n">
        <f aca="false">IF($A66="","",SUMIFS(期初数据!$AA$6:$AA$125,期初数据!$W$6:$W$125,$A66))</f>
        <v>0</v>
      </c>
      <c r="G66" s="54" t="n">
        <f aca="false">IF($A66="","",SUMIFS(资金流水!$N$5:$N$504,资金流水!$O$5:$O$504,$A66,资金流水!$C$5:$C$504,首页!$B$5)+SUMIFS(销售录入!$X$5:$X$404,销售录入!$V$5:$V$404,$A66,销售录入!$C$5:$C$404,首页!$B$5)+SUMIFS(销售录入!$AA$5:$AA$404,销售录入!$Y$5:$Y$404,$A66,销售录入!$C$5:$C$404,首页!$B$5)+SUMIFS(销售录入!$AD$5:$AD$404,销售录入!$AB$5:$AB$404,$A66,销售录入!$C$5:$C$404,首页!$B$5)+SUMIFS(采购录入!$W$5:$W$404,采购录入!$U$5:$U$404,$A66,采购录入!$C$5:$C$404,首页!$B$5)+SUMIFS(采购录入!$Z$5:$Z$404,采购录入!$X$5:$X$404,$A66,采购录入!$C$5:$C$404,首页!$B$5)+SUMIFS(其他凭证!$H$5:$H$304,其他凭证!$F$5:$F$304,$A66,其他凭证!$C$5:$C$304,首页!$B$5))</f>
        <v>13462.5</v>
      </c>
      <c r="H66" s="54" t="n">
        <f aca="false">IF($A66="","",SUMIFS(资金流水!$N$5:$N$504,资金流水!$P$5:$P$504,$A66,资金流水!$C$5:$C$504,首页!$B$5)+SUMIFS(销售录入!$X$5:$X$404,销售录入!$W$5:$W$404,$A66,销售录入!$C$5:$C$404,首页!$B$5)+SUMIFS(销售录入!$AA$5:$AA$404,销售录入!$Z$5:$Z$404,$A66,销售录入!$C$5:$C$404,首页!$B$5)+SUMIFS(销售录入!$AD$5:$AD$404,销售录入!$AC$5:$AC$404,$A66,销售录入!$C$5:$C$404,首页!$B$5)+SUMIFS(采购录入!$W$5:$W$404,采购录入!$V$5:$V$404,$A66,采购录入!$C$5:$C$404,首页!$B$5)+SUMIFS(采购录入!$Z$5:$Z$404,采购录入!$Y$5:$Y$404,$A66,采购录入!$C$5:$C$404,首页!$B$5)+SUMIFS(其他凭证!$H$5:$H$304,其他凭证!$G$5:$G$304,$A66,其他凭证!$C$5:$C$304,首页!$B$5))</f>
        <v>0</v>
      </c>
      <c r="I66" s="54" t="n">
        <f aca="false">IF($A66="","",SUMIFS(资金流水!$N$5:$N$504,资金流水!$O$5:$O$504,$A66,资金流水!$B$5:$B$504,"&lt;="&amp;首页!$B$7)+SUMIFS(销售录入!$X$5:$X$404,销售录入!$V$5:$V$404,$A66,销售录入!$B$5:$B$404,"&lt;="&amp;首页!$B$7)+SUMIFS(销售录入!$AA$5:$AA$404,销售录入!$Y$5:$Y$404,$A66,销售录入!$B$5:$B$404,"&lt;="&amp;首页!$B$7)+SUMIFS(销售录入!$AD$5:$AD$404,销售录入!$AB$5:$AB$404,$A66,销售录入!$B$5:$B$404,"&lt;="&amp;首页!$B$7)+SUMIFS(采购录入!$W$5:$W$404,采购录入!$U$5:$U$404,$A66,采购录入!$B$5:$B$404,"&lt;="&amp;首页!$B$7)+SUMIFS(采购录入!$Z$5:$Z$404,采购录入!$X$5:$X$404,$A66,采购录入!$B$5:$B$404,"&lt;="&amp;首页!$B$7)+SUMIFS(其他凭证!$H$5:$H$304,其他凭证!$F$5:$F$304,$A66,其他凭证!$B$5:$B$304,"&lt;="&amp;首页!$B$7))</f>
        <v>13462.5</v>
      </c>
      <c r="J66" s="54" t="n">
        <f aca="false">IF($A66="","",SUMIFS(资金流水!$N$5:$N$504,资金流水!$P$5:$P$504,$A66,资金流水!$B$5:$B$504,"&lt;="&amp;首页!$B$7)+SUMIFS(销售录入!$X$5:$X$404,销售录入!$W$5:$W$404,$A66,销售录入!$B$5:$B$404,"&lt;="&amp;首页!$B$7)+SUMIFS(销售录入!$AA$5:$AA$404,销售录入!$Z$5:$Z$404,$A66,销售录入!$B$5:$B$404,"&lt;="&amp;首页!$B$7)+SUMIFS(销售录入!$AD$5:$AD$404,销售录入!$AC$5:$AC$404,$A66,销售录入!$B$5:$B$404,"&lt;="&amp;首页!$B$7)+SUMIFS(采购录入!$W$5:$W$404,采购录入!$V$5:$V$404,$A66,采购录入!$B$5:$B$404,"&lt;="&amp;首页!$B$7)+SUMIFS(采购录入!$Z$5:$Z$404,采购录入!$Y$5:$Y$404,$A66,采购录入!$B$5:$B$404,"&lt;="&amp;首页!$B$7)+SUMIFS(其他凭证!$H$5:$H$304,其他凭证!$G$5:$G$304,$A66,其他凭证!$B$5:$B$304,"&lt;="&amp;首页!$B$7))</f>
        <v>0</v>
      </c>
      <c r="K66" s="44" t="n">
        <f aca="false">IF($A66="","",($E66+$I66)-($F66+$J66))</f>
        <v>13462.5</v>
      </c>
      <c r="L66" s="44" t="n">
        <f aca="false">IF($A66="","",IF($K66&gt;=0,$K66,0))</f>
        <v>13462.5</v>
      </c>
      <c r="M66" s="44" t="n">
        <f aca="false">IF($A66="","",IF($K66&lt;0,-$K66,0))</f>
        <v>0</v>
      </c>
      <c r="N66" s="35" t="n">
        <f aca="false">IF($A66="","",科目参数!$F66)</f>
        <v>0</v>
      </c>
      <c r="O66" s="35" t="str">
        <f aca="false">IF($A66="","",科目参数!$G66)</f>
        <v>主营业务成本</v>
      </c>
      <c r="P66" s="42" t="str">
        <f aca="false">IF($A66="","",科目参数!$H66)</f>
        <v>经营活动</v>
      </c>
    </row>
    <row r="67" customFormat="false" ht="15.75" hidden="false" customHeight="true" outlineLevel="0" collapsed="false">
      <c r="A67" s="42" t="str">
        <f aca="false">IF(科目参数!$A67="","",科目参数!$A67)</f>
        <v>6402</v>
      </c>
      <c r="B67" s="35" t="str">
        <f aca="false">IF($A67="","",科目参数!$B67)</f>
        <v>其他业务成本</v>
      </c>
      <c r="C67" s="42" t="str">
        <f aca="false">IF($A67="","",科目参数!$C67)</f>
        <v>费用</v>
      </c>
      <c r="D67" s="42" t="str">
        <f aca="false">IF($A67="","",科目参数!$D67)</f>
        <v>借</v>
      </c>
      <c r="E67" s="54" t="n">
        <f aca="false">IF($A67="","",SUMIFS(期初数据!$Z$6:$Z$125,期初数据!$W$6:$W$125,$A67))</f>
        <v>0</v>
      </c>
      <c r="F67" s="54" t="n">
        <f aca="false">IF($A67="","",SUMIFS(期初数据!$AA$6:$AA$125,期初数据!$W$6:$W$125,$A67))</f>
        <v>0</v>
      </c>
      <c r="G67" s="54" t="n">
        <f aca="false">IF($A67="","",SUMIFS(资金流水!$N$5:$N$504,资金流水!$O$5:$O$504,$A67,资金流水!$C$5:$C$504,首页!$B$5)+SUMIFS(销售录入!$X$5:$X$404,销售录入!$V$5:$V$404,$A67,销售录入!$C$5:$C$404,首页!$B$5)+SUMIFS(销售录入!$AA$5:$AA$404,销售录入!$Y$5:$Y$404,$A67,销售录入!$C$5:$C$404,首页!$B$5)+SUMIFS(销售录入!$AD$5:$AD$404,销售录入!$AB$5:$AB$404,$A67,销售录入!$C$5:$C$404,首页!$B$5)+SUMIFS(采购录入!$W$5:$W$404,采购录入!$U$5:$U$404,$A67,采购录入!$C$5:$C$404,首页!$B$5)+SUMIFS(采购录入!$Z$5:$Z$404,采购录入!$X$5:$X$404,$A67,采购录入!$C$5:$C$404,首页!$B$5)+SUMIFS(其他凭证!$H$5:$H$304,其他凭证!$F$5:$F$304,$A67,其他凭证!$C$5:$C$304,首页!$B$5))</f>
        <v>0</v>
      </c>
      <c r="H67" s="54" t="n">
        <f aca="false">IF($A67="","",SUMIFS(资金流水!$N$5:$N$504,资金流水!$P$5:$P$504,$A67,资金流水!$C$5:$C$504,首页!$B$5)+SUMIFS(销售录入!$X$5:$X$404,销售录入!$W$5:$W$404,$A67,销售录入!$C$5:$C$404,首页!$B$5)+SUMIFS(销售录入!$AA$5:$AA$404,销售录入!$Z$5:$Z$404,$A67,销售录入!$C$5:$C$404,首页!$B$5)+SUMIFS(销售录入!$AD$5:$AD$404,销售录入!$AC$5:$AC$404,$A67,销售录入!$C$5:$C$404,首页!$B$5)+SUMIFS(采购录入!$W$5:$W$404,采购录入!$V$5:$V$404,$A67,采购录入!$C$5:$C$404,首页!$B$5)+SUMIFS(采购录入!$Z$5:$Z$404,采购录入!$Y$5:$Y$404,$A67,采购录入!$C$5:$C$404,首页!$B$5)+SUMIFS(其他凭证!$H$5:$H$304,其他凭证!$G$5:$G$304,$A67,其他凭证!$C$5:$C$304,首页!$B$5))</f>
        <v>0</v>
      </c>
      <c r="I67" s="54" t="n">
        <f aca="false">IF($A67="","",SUMIFS(资金流水!$N$5:$N$504,资金流水!$O$5:$O$504,$A67,资金流水!$B$5:$B$504,"&lt;="&amp;首页!$B$7)+SUMIFS(销售录入!$X$5:$X$404,销售录入!$V$5:$V$404,$A67,销售录入!$B$5:$B$404,"&lt;="&amp;首页!$B$7)+SUMIFS(销售录入!$AA$5:$AA$404,销售录入!$Y$5:$Y$404,$A67,销售录入!$B$5:$B$404,"&lt;="&amp;首页!$B$7)+SUMIFS(销售录入!$AD$5:$AD$404,销售录入!$AB$5:$AB$404,$A67,销售录入!$B$5:$B$404,"&lt;="&amp;首页!$B$7)+SUMIFS(采购录入!$W$5:$W$404,采购录入!$U$5:$U$404,$A67,采购录入!$B$5:$B$404,"&lt;="&amp;首页!$B$7)+SUMIFS(采购录入!$Z$5:$Z$404,采购录入!$X$5:$X$404,$A67,采购录入!$B$5:$B$404,"&lt;="&amp;首页!$B$7)+SUMIFS(其他凭证!$H$5:$H$304,其他凭证!$F$5:$F$304,$A67,其他凭证!$B$5:$B$304,"&lt;="&amp;首页!$B$7))</f>
        <v>0</v>
      </c>
      <c r="J67" s="54" t="n">
        <f aca="false">IF($A67="","",SUMIFS(资金流水!$N$5:$N$504,资金流水!$P$5:$P$504,$A67,资金流水!$B$5:$B$504,"&lt;="&amp;首页!$B$7)+SUMIFS(销售录入!$X$5:$X$404,销售录入!$W$5:$W$404,$A67,销售录入!$B$5:$B$404,"&lt;="&amp;首页!$B$7)+SUMIFS(销售录入!$AA$5:$AA$404,销售录入!$Z$5:$Z$404,$A67,销售录入!$B$5:$B$404,"&lt;="&amp;首页!$B$7)+SUMIFS(销售录入!$AD$5:$AD$404,销售录入!$AC$5:$AC$404,$A67,销售录入!$B$5:$B$404,"&lt;="&amp;首页!$B$7)+SUMIFS(采购录入!$W$5:$W$404,采购录入!$V$5:$V$404,$A67,采购录入!$B$5:$B$404,"&lt;="&amp;首页!$B$7)+SUMIFS(采购录入!$Z$5:$Z$404,采购录入!$Y$5:$Y$404,$A67,采购录入!$B$5:$B$404,"&lt;="&amp;首页!$B$7)+SUMIFS(其他凭证!$H$5:$H$304,其他凭证!$G$5:$G$304,$A67,其他凭证!$B$5:$B$304,"&lt;="&amp;首页!$B$7))</f>
        <v>0</v>
      </c>
      <c r="K67" s="44" t="n">
        <f aca="false">IF($A67="","",($E67+$I67)-($F67+$J67))</f>
        <v>0</v>
      </c>
      <c r="L67" s="44" t="n">
        <f aca="false">IF($A67="","",IF($K67&gt;=0,$K67,0))</f>
        <v>0</v>
      </c>
      <c r="M67" s="44" t="n">
        <f aca="false">IF($A67="","",IF($K67&lt;0,-$K67,0))</f>
        <v>0</v>
      </c>
      <c r="N67" s="35" t="n">
        <f aca="false">IF($A67="","",科目参数!$F67)</f>
        <v>0</v>
      </c>
      <c r="O67" s="35" t="str">
        <f aca="false">IF($A67="","",科目参数!$G67)</f>
        <v>其他业务成本</v>
      </c>
      <c r="P67" s="42" t="str">
        <f aca="false">IF($A67="","",科目参数!$H67)</f>
        <v>经营活动</v>
      </c>
    </row>
    <row r="68" customFormat="false" ht="15.75" hidden="false" customHeight="true" outlineLevel="0" collapsed="false">
      <c r="A68" s="42" t="str">
        <f aca="false">IF(科目参数!$A68="","",科目参数!$A68)</f>
        <v>6403</v>
      </c>
      <c r="B68" s="35" t="str">
        <f aca="false">IF($A68="","",科目参数!$B68)</f>
        <v>税金及附加</v>
      </c>
      <c r="C68" s="42" t="str">
        <f aca="false">IF($A68="","",科目参数!$C68)</f>
        <v>费用</v>
      </c>
      <c r="D68" s="42" t="str">
        <f aca="false">IF($A68="","",科目参数!$D68)</f>
        <v>借</v>
      </c>
      <c r="E68" s="54" t="n">
        <f aca="false">IF($A68="","",SUMIFS(期初数据!$Z$6:$Z$125,期初数据!$W$6:$W$125,$A68))</f>
        <v>0</v>
      </c>
      <c r="F68" s="54" t="n">
        <f aca="false">IF($A68="","",SUMIFS(期初数据!$AA$6:$AA$125,期初数据!$W$6:$W$125,$A68))</f>
        <v>0</v>
      </c>
      <c r="G68" s="54" t="n">
        <f aca="false">IF($A68="","",SUMIFS(资金流水!$N$5:$N$504,资金流水!$O$5:$O$504,$A68,资金流水!$C$5:$C$504,首页!$B$5)+SUMIFS(销售录入!$X$5:$X$404,销售录入!$V$5:$V$404,$A68,销售录入!$C$5:$C$404,首页!$B$5)+SUMIFS(销售录入!$AA$5:$AA$404,销售录入!$Y$5:$Y$404,$A68,销售录入!$C$5:$C$404,首页!$B$5)+SUMIFS(销售录入!$AD$5:$AD$404,销售录入!$AB$5:$AB$404,$A68,销售录入!$C$5:$C$404,首页!$B$5)+SUMIFS(采购录入!$W$5:$W$404,采购录入!$U$5:$U$404,$A68,采购录入!$C$5:$C$404,首页!$B$5)+SUMIFS(采购录入!$Z$5:$Z$404,采购录入!$X$5:$X$404,$A68,采购录入!$C$5:$C$404,首页!$B$5)+SUMIFS(其他凭证!$H$5:$H$304,其他凭证!$F$5:$F$304,$A68,其他凭证!$C$5:$C$304,首页!$B$5))</f>
        <v>500</v>
      </c>
      <c r="H68" s="54" t="n">
        <f aca="false">IF($A68="","",SUMIFS(资金流水!$N$5:$N$504,资金流水!$P$5:$P$504,$A68,资金流水!$C$5:$C$504,首页!$B$5)+SUMIFS(销售录入!$X$5:$X$404,销售录入!$W$5:$W$404,$A68,销售录入!$C$5:$C$404,首页!$B$5)+SUMIFS(销售录入!$AA$5:$AA$404,销售录入!$Z$5:$Z$404,$A68,销售录入!$C$5:$C$404,首页!$B$5)+SUMIFS(销售录入!$AD$5:$AD$404,销售录入!$AC$5:$AC$404,$A68,销售录入!$C$5:$C$404,首页!$B$5)+SUMIFS(采购录入!$W$5:$W$404,采购录入!$V$5:$V$404,$A68,采购录入!$C$5:$C$404,首页!$B$5)+SUMIFS(采购录入!$Z$5:$Z$404,采购录入!$Y$5:$Y$404,$A68,采购录入!$C$5:$C$404,首页!$B$5)+SUMIFS(其他凭证!$H$5:$H$304,其他凭证!$G$5:$G$304,$A68,其他凭证!$C$5:$C$304,首页!$B$5))</f>
        <v>0</v>
      </c>
      <c r="I68" s="54" t="n">
        <f aca="false">IF($A68="","",SUMIFS(资金流水!$N$5:$N$504,资金流水!$O$5:$O$504,$A68,资金流水!$B$5:$B$504,"&lt;="&amp;首页!$B$7)+SUMIFS(销售录入!$X$5:$X$404,销售录入!$V$5:$V$404,$A68,销售录入!$B$5:$B$404,"&lt;="&amp;首页!$B$7)+SUMIFS(销售录入!$AA$5:$AA$404,销售录入!$Y$5:$Y$404,$A68,销售录入!$B$5:$B$404,"&lt;="&amp;首页!$B$7)+SUMIFS(销售录入!$AD$5:$AD$404,销售录入!$AB$5:$AB$404,$A68,销售录入!$B$5:$B$404,"&lt;="&amp;首页!$B$7)+SUMIFS(采购录入!$W$5:$W$404,采购录入!$U$5:$U$404,$A68,采购录入!$B$5:$B$404,"&lt;="&amp;首页!$B$7)+SUMIFS(采购录入!$Z$5:$Z$404,采购录入!$X$5:$X$404,$A68,采购录入!$B$5:$B$404,"&lt;="&amp;首页!$B$7)+SUMIFS(其他凭证!$H$5:$H$304,其他凭证!$F$5:$F$304,$A68,其他凭证!$B$5:$B$304,"&lt;="&amp;首页!$B$7))</f>
        <v>500</v>
      </c>
      <c r="J68" s="54" t="n">
        <f aca="false">IF($A68="","",SUMIFS(资金流水!$N$5:$N$504,资金流水!$P$5:$P$504,$A68,资金流水!$B$5:$B$504,"&lt;="&amp;首页!$B$7)+SUMIFS(销售录入!$X$5:$X$404,销售录入!$W$5:$W$404,$A68,销售录入!$B$5:$B$404,"&lt;="&amp;首页!$B$7)+SUMIFS(销售录入!$AA$5:$AA$404,销售录入!$Z$5:$Z$404,$A68,销售录入!$B$5:$B$404,"&lt;="&amp;首页!$B$7)+SUMIFS(销售录入!$AD$5:$AD$404,销售录入!$AC$5:$AC$404,$A68,销售录入!$B$5:$B$404,"&lt;="&amp;首页!$B$7)+SUMIFS(采购录入!$W$5:$W$404,采购录入!$V$5:$V$404,$A68,采购录入!$B$5:$B$404,"&lt;="&amp;首页!$B$7)+SUMIFS(采购录入!$Z$5:$Z$404,采购录入!$Y$5:$Y$404,$A68,采购录入!$B$5:$B$404,"&lt;="&amp;首页!$B$7)+SUMIFS(其他凭证!$H$5:$H$304,其他凭证!$G$5:$G$304,$A68,其他凭证!$B$5:$B$304,"&lt;="&amp;首页!$B$7))</f>
        <v>0</v>
      </c>
      <c r="K68" s="44" t="n">
        <f aca="false">IF($A68="","",($E68+$I68)-($F68+$J68))</f>
        <v>500</v>
      </c>
      <c r="L68" s="44" t="n">
        <f aca="false">IF($A68="","",IF($K68&gt;=0,$K68,0))</f>
        <v>500</v>
      </c>
      <c r="M68" s="44" t="n">
        <f aca="false">IF($A68="","",IF($K68&lt;0,-$K68,0))</f>
        <v>0</v>
      </c>
      <c r="N68" s="35" t="n">
        <f aca="false">IF($A68="","",科目参数!$F68)</f>
        <v>0</v>
      </c>
      <c r="O68" s="35" t="str">
        <f aca="false">IF($A68="","",科目参数!$G68)</f>
        <v>税金及附加</v>
      </c>
      <c r="P68" s="42" t="str">
        <f aca="false">IF($A68="","",科目参数!$H68)</f>
        <v>经营活动</v>
      </c>
    </row>
    <row r="69" customFormat="false" ht="15.75" hidden="false" customHeight="true" outlineLevel="0" collapsed="false">
      <c r="A69" s="42" t="str">
        <f aca="false">IF(科目参数!$A69="","",科目参数!$A69)</f>
        <v>6601</v>
      </c>
      <c r="B69" s="35" t="str">
        <f aca="false">IF($A69="","",科目参数!$B69)</f>
        <v>销售费用</v>
      </c>
      <c r="C69" s="42" t="str">
        <f aca="false">IF($A69="","",科目参数!$C69)</f>
        <v>费用</v>
      </c>
      <c r="D69" s="42" t="str">
        <f aca="false">IF($A69="","",科目参数!$D69)</f>
        <v>借</v>
      </c>
      <c r="E69" s="54" t="n">
        <f aca="false">IF($A69="","",SUMIFS(期初数据!$Z$6:$Z$125,期初数据!$W$6:$W$125,$A69))</f>
        <v>0</v>
      </c>
      <c r="F69" s="54" t="n">
        <f aca="false">IF($A69="","",SUMIFS(期初数据!$AA$6:$AA$125,期初数据!$W$6:$W$125,$A69))</f>
        <v>0</v>
      </c>
      <c r="G69" s="54" t="n">
        <f aca="false">IF($A69="","",SUMIFS(资金流水!$N$5:$N$504,资金流水!$O$5:$O$504,$A69,资金流水!$C$5:$C$504,首页!$B$5)+SUMIFS(销售录入!$X$5:$X$404,销售录入!$V$5:$V$404,$A69,销售录入!$C$5:$C$404,首页!$B$5)+SUMIFS(销售录入!$AA$5:$AA$404,销售录入!$Y$5:$Y$404,$A69,销售录入!$C$5:$C$404,首页!$B$5)+SUMIFS(销售录入!$AD$5:$AD$404,销售录入!$AB$5:$AB$404,$A69,销售录入!$C$5:$C$404,首页!$B$5)+SUMIFS(采购录入!$W$5:$W$404,采购录入!$U$5:$U$404,$A69,采购录入!$C$5:$C$404,首页!$B$5)+SUMIFS(采购录入!$Z$5:$Z$404,采购录入!$X$5:$X$404,$A69,采购录入!$C$5:$C$404,首页!$B$5)+SUMIFS(其他凭证!$H$5:$H$304,其他凭证!$F$5:$F$304,$A69,其他凭证!$C$5:$C$304,首页!$B$5))</f>
        <v>0</v>
      </c>
      <c r="H69" s="54" t="n">
        <f aca="false">IF($A69="","",SUMIFS(资金流水!$N$5:$N$504,资金流水!$P$5:$P$504,$A69,资金流水!$C$5:$C$504,首页!$B$5)+SUMIFS(销售录入!$X$5:$X$404,销售录入!$W$5:$W$404,$A69,销售录入!$C$5:$C$404,首页!$B$5)+SUMIFS(销售录入!$AA$5:$AA$404,销售录入!$Z$5:$Z$404,$A69,销售录入!$C$5:$C$404,首页!$B$5)+SUMIFS(销售录入!$AD$5:$AD$404,销售录入!$AC$5:$AC$404,$A69,销售录入!$C$5:$C$404,首页!$B$5)+SUMIFS(采购录入!$W$5:$W$404,采购录入!$V$5:$V$404,$A69,采购录入!$C$5:$C$404,首页!$B$5)+SUMIFS(采购录入!$Z$5:$Z$404,采购录入!$Y$5:$Y$404,$A69,采购录入!$C$5:$C$404,首页!$B$5)+SUMIFS(其他凭证!$H$5:$H$304,其他凭证!$G$5:$G$304,$A69,其他凭证!$C$5:$C$304,首页!$B$5))</f>
        <v>0</v>
      </c>
      <c r="I69" s="54" t="n">
        <f aca="false">IF($A69="","",SUMIFS(资金流水!$N$5:$N$504,资金流水!$O$5:$O$504,$A69,资金流水!$B$5:$B$504,"&lt;="&amp;首页!$B$7)+SUMIFS(销售录入!$X$5:$X$404,销售录入!$V$5:$V$404,$A69,销售录入!$B$5:$B$404,"&lt;="&amp;首页!$B$7)+SUMIFS(销售录入!$AA$5:$AA$404,销售录入!$Y$5:$Y$404,$A69,销售录入!$B$5:$B$404,"&lt;="&amp;首页!$B$7)+SUMIFS(销售录入!$AD$5:$AD$404,销售录入!$AB$5:$AB$404,$A69,销售录入!$B$5:$B$404,"&lt;="&amp;首页!$B$7)+SUMIFS(采购录入!$W$5:$W$404,采购录入!$U$5:$U$404,$A69,采购录入!$B$5:$B$404,"&lt;="&amp;首页!$B$7)+SUMIFS(采购录入!$Z$5:$Z$404,采购录入!$X$5:$X$404,$A69,采购录入!$B$5:$B$404,"&lt;="&amp;首页!$B$7)+SUMIFS(其他凭证!$H$5:$H$304,其他凭证!$F$5:$F$304,$A69,其他凭证!$B$5:$B$304,"&lt;="&amp;首页!$B$7))</f>
        <v>0</v>
      </c>
      <c r="J69" s="54" t="n">
        <f aca="false">IF($A69="","",SUMIFS(资金流水!$N$5:$N$504,资金流水!$P$5:$P$504,$A69,资金流水!$B$5:$B$504,"&lt;="&amp;首页!$B$7)+SUMIFS(销售录入!$X$5:$X$404,销售录入!$W$5:$W$404,$A69,销售录入!$B$5:$B$404,"&lt;="&amp;首页!$B$7)+SUMIFS(销售录入!$AA$5:$AA$404,销售录入!$Z$5:$Z$404,$A69,销售录入!$B$5:$B$404,"&lt;="&amp;首页!$B$7)+SUMIFS(销售录入!$AD$5:$AD$404,销售录入!$AC$5:$AC$404,$A69,销售录入!$B$5:$B$404,"&lt;="&amp;首页!$B$7)+SUMIFS(采购录入!$W$5:$W$404,采购录入!$V$5:$V$404,$A69,采购录入!$B$5:$B$404,"&lt;="&amp;首页!$B$7)+SUMIFS(采购录入!$Z$5:$Z$404,采购录入!$Y$5:$Y$404,$A69,采购录入!$B$5:$B$404,"&lt;="&amp;首页!$B$7)+SUMIFS(其他凭证!$H$5:$H$304,其他凭证!$G$5:$G$304,$A69,其他凭证!$B$5:$B$304,"&lt;="&amp;首页!$B$7))</f>
        <v>0</v>
      </c>
      <c r="K69" s="44" t="n">
        <f aca="false">IF($A69="","",($E69+$I69)-($F69+$J69))</f>
        <v>0</v>
      </c>
      <c r="L69" s="44" t="n">
        <f aca="false">IF($A69="","",IF($K69&gt;=0,$K69,0))</f>
        <v>0</v>
      </c>
      <c r="M69" s="44" t="n">
        <f aca="false">IF($A69="","",IF($K69&lt;0,-$K69,0))</f>
        <v>0</v>
      </c>
      <c r="N69" s="35" t="n">
        <f aca="false">IF($A69="","",科目参数!$F69)</f>
        <v>0</v>
      </c>
      <c r="O69" s="35" t="str">
        <f aca="false">IF($A69="","",科目参数!$G69)</f>
        <v>销售费用</v>
      </c>
      <c r="P69" s="42" t="str">
        <f aca="false">IF($A69="","",科目参数!$H69)</f>
        <v>经营活动</v>
      </c>
    </row>
    <row r="70" customFormat="false" ht="15.75" hidden="false" customHeight="true" outlineLevel="0" collapsed="false">
      <c r="A70" s="42" t="str">
        <f aca="false">IF(科目参数!$A70="","",科目参数!$A70)</f>
        <v>6602</v>
      </c>
      <c r="B70" s="35" t="str">
        <f aca="false">IF($A70="","",科目参数!$B70)</f>
        <v>管理费用</v>
      </c>
      <c r="C70" s="42" t="str">
        <f aca="false">IF($A70="","",科目参数!$C70)</f>
        <v>费用</v>
      </c>
      <c r="D70" s="42" t="str">
        <f aca="false">IF($A70="","",科目参数!$D70)</f>
        <v>借</v>
      </c>
      <c r="E70" s="54" t="n">
        <f aca="false">IF($A70="","",SUMIFS(期初数据!$Z$6:$Z$125,期初数据!$W$6:$W$125,$A70))</f>
        <v>0</v>
      </c>
      <c r="F70" s="54" t="n">
        <f aca="false">IF($A70="","",SUMIFS(期初数据!$AA$6:$AA$125,期初数据!$W$6:$W$125,$A70))</f>
        <v>0</v>
      </c>
      <c r="G70" s="54" t="n">
        <f aca="false">IF($A70="","",SUMIFS(资金流水!$N$5:$N$504,资金流水!$O$5:$O$504,$A70,资金流水!$C$5:$C$504,首页!$B$5)+SUMIFS(销售录入!$X$5:$X$404,销售录入!$V$5:$V$404,$A70,销售录入!$C$5:$C$404,首页!$B$5)+SUMIFS(销售录入!$AA$5:$AA$404,销售录入!$Y$5:$Y$404,$A70,销售录入!$C$5:$C$404,首页!$B$5)+SUMIFS(销售录入!$AD$5:$AD$404,销售录入!$AB$5:$AB$404,$A70,销售录入!$C$5:$C$404,首页!$B$5)+SUMIFS(采购录入!$W$5:$W$404,采购录入!$U$5:$U$404,$A70,采购录入!$C$5:$C$404,首页!$B$5)+SUMIFS(采购录入!$Z$5:$Z$404,采购录入!$X$5:$X$404,$A70,采购录入!$C$5:$C$404,首页!$B$5)+SUMIFS(其他凭证!$H$5:$H$304,其他凭证!$F$5:$F$304,$A70,其他凭证!$C$5:$C$304,首页!$B$5))</f>
        <v>31300</v>
      </c>
      <c r="H70" s="54" t="n">
        <f aca="false">IF($A70="","",SUMIFS(资金流水!$N$5:$N$504,资金流水!$P$5:$P$504,$A70,资金流水!$C$5:$C$504,首页!$B$5)+SUMIFS(销售录入!$X$5:$X$404,销售录入!$W$5:$W$404,$A70,销售录入!$C$5:$C$404,首页!$B$5)+SUMIFS(销售录入!$AA$5:$AA$404,销售录入!$Z$5:$Z$404,$A70,销售录入!$C$5:$C$404,首页!$B$5)+SUMIFS(销售录入!$AD$5:$AD$404,销售录入!$AC$5:$AC$404,$A70,销售录入!$C$5:$C$404,首页!$B$5)+SUMIFS(采购录入!$W$5:$W$404,采购录入!$V$5:$V$404,$A70,采购录入!$C$5:$C$404,首页!$B$5)+SUMIFS(采购录入!$Z$5:$Z$404,采购录入!$Y$5:$Y$404,$A70,采购录入!$C$5:$C$404,首页!$B$5)+SUMIFS(其他凭证!$H$5:$H$304,其他凭证!$G$5:$G$304,$A70,其他凭证!$C$5:$C$304,首页!$B$5))</f>
        <v>0</v>
      </c>
      <c r="I70" s="54" t="n">
        <f aca="false">IF($A70="","",SUMIFS(资金流水!$N$5:$N$504,资金流水!$O$5:$O$504,$A70,资金流水!$B$5:$B$504,"&lt;="&amp;首页!$B$7)+SUMIFS(销售录入!$X$5:$X$404,销售录入!$V$5:$V$404,$A70,销售录入!$B$5:$B$404,"&lt;="&amp;首页!$B$7)+SUMIFS(销售录入!$AA$5:$AA$404,销售录入!$Y$5:$Y$404,$A70,销售录入!$B$5:$B$404,"&lt;="&amp;首页!$B$7)+SUMIFS(销售录入!$AD$5:$AD$404,销售录入!$AB$5:$AB$404,$A70,销售录入!$B$5:$B$404,"&lt;="&amp;首页!$B$7)+SUMIFS(采购录入!$W$5:$W$404,采购录入!$U$5:$U$404,$A70,采购录入!$B$5:$B$404,"&lt;="&amp;首页!$B$7)+SUMIFS(采购录入!$Z$5:$Z$404,采购录入!$X$5:$X$404,$A70,采购录入!$B$5:$B$404,"&lt;="&amp;首页!$B$7)+SUMIFS(其他凭证!$H$5:$H$304,其他凭证!$F$5:$F$304,$A70,其他凭证!$B$5:$B$304,"&lt;="&amp;首页!$B$7))</f>
        <v>31300</v>
      </c>
      <c r="J70" s="54" t="n">
        <f aca="false">IF($A70="","",SUMIFS(资金流水!$N$5:$N$504,资金流水!$P$5:$P$504,$A70,资金流水!$B$5:$B$504,"&lt;="&amp;首页!$B$7)+SUMIFS(销售录入!$X$5:$X$404,销售录入!$W$5:$W$404,$A70,销售录入!$B$5:$B$404,"&lt;="&amp;首页!$B$7)+SUMIFS(销售录入!$AA$5:$AA$404,销售录入!$Z$5:$Z$404,$A70,销售录入!$B$5:$B$404,"&lt;="&amp;首页!$B$7)+SUMIFS(销售录入!$AD$5:$AD$404,销售录入!$AC$5:$AC$404,$A70,销售录入!$B$5:$B$404,"&lt;="&amp;首页!$B$7)+SUMIFS(采购录入!$W$5:$W$404,采购录入!$V$5:$V$404,$A70,采购录入!$B$5:$B$404,"&lt;="&amp;首页!$B$7)+SUMIFS(采购录入!$Z$5:$Z$404,采购录入!$Y$5:$Y$404,$A70,采购录入!$B$5:$B$404,"&lt;="&amp;首页!$B$7)+SUMIFS(其他凭证!$H$5:$H$304,其他凭证!$G$5:$G$304,$A70,其他凭证!$B$5:$B$304,"&lt;="&amp;首页!$B$7))</f>
        <v>0</v>
      </c>
      <c r="K70" s="44" t="n">
        <f aca="false">IF($A70="","",($E70+$I70)-($F70+$J70))</f>
        <v>31300</v>
      </c>
      <c r="L70" s="44" t="n">
        <f aca="false">IF($A70="","",IF($K70&gt;=0,$K70,0))</f>
        <v>31300</v>
      </c>
      <c r="M70" s="44" t="n">
        <f aca="false">IF($A70="","",IF($K70&lt;0,-$K70,0))</f>
        <v>0</v>
      </c>
      <c r="N70" s="35" t="n">
        <f aca="false">IF($A70="","",科目参数!$F70)</f>
        <v>0</v>
      </c>
      <c r="O70" s="35" t="str">
        <f aca="false">IF($A70="","",科目参数!$G70)</f>
        <v>管理费用</v>
      </c>
      <c r="P70" s="42" t="str">
        <f aca="false">IF($A70="","",科目参数!$H70)</f>
        <v>经营活动</v>
      </c>
    </row>
    <row r="71" customFormat="false" ht="15.75" hidden="false" customHeight="true" outlineLevel="0" collapsed="false">
      <c r="A71" s="42" t="str">
        <f aca="false">IF(科目参数!$A71="","",科目参数!$A71)</f>
        <v>6603</v>
      </c>
      <c r="B71" s="35" t="str">
        <f aca="false">IF($A71="","",科目参数!$B71)</f>
        <v>财务费用</v>
      </c>
      <c r="C71" s="42" t="str">
        <f aca="false">IF($A71="","",科目参数!$C71)</f>
        <v>费用</v>
      </c>
      <c r="D71" s="42" t="str">
        <f aca="false">IF($A71="","",科目参数!$D71)</f>
        <v>借</v>
      </c>
      <c r="E71" s="54" t="n">
        <f aca="false">IF($A71="","",SUMIFS(期初数据!$Z$6:$Z$125,期初数据!$W$6:$W$125,$A71))</f>
        <v>0</v>
      </c>
      <c r="F71" s="54" t="n">
        <f aca="false">IF($A71="","",SUMIFS(期初数据!$AA$6:$AA$125,期初数据!$W$6:$W$125,$A71))</f>
        <v>0</v>
      </c>
      <c r="G71" s="54" t="n">
        <f aca="false">IF($A71="","",SUMIFS(资金流水!$N$5:$N$504,资金流水!$O$5:$O$504,$A71,资金流水!$C$5:$C$504,首页!$B$5)+SUMIFS(销售录入!$X$5:$X$404,销售录入!$V$5:$V$404,$A71,销售录入!$C$5:$C$404,首页!$B$5)+SUMIFS(销售录入!$AA$5:$AA$404,销售录入!$Y$5:$Y$404,$A71,销售录入!$C$5:$C$404,首页!$B$5)+SUMIFS(销售录入!$AD$5:$AD$404,销售录入!$AB$5:$AB$404,$A71,销售录入!$C$5:$C$404,首页!$B$5)+SUMIFS(采购录入!$W$5:$W$404,采购录入!$U$5:$U$404,$A71,采购录入!$C$5:$C$404,首页!$B$5)+SUMIFS(采购录入!$Z$5:$Z$404,采购录入!$X$5:$X$404,$A71,采购录入!$C$5:$C$404,首页!$B$5)+SUMIFS(其他凭证!$H$5:$H$304,其他凭证!$F$5:$F$304,$A71,其他凭证!$C$5:$C$304,首页!$B$5))</f>
        <v>0</v>
      </c>
      <c r="H71" s="54" t="n">
        <f aca="false">IF($A71="","",SUMIFS(资金流水!$N$5:$N$504,资金流水!$P$5:$P$504,$A71,资金流水!$C$5:$C$504,首页!$B$5)+SUMIFS(销售录入!$X$5:$X$404,销售录入!$W$5:$W$404,$A71,销售录入!$C$5:$C$404,首页!$B$5)+SUMIFS(销售录入!$AA$5:$AA$404,销售录入!$Z$5:$Z$404,$A71,销售录入!$C$5:$C$404,首页!$B$5)+SUMIFS(销售录入!$AD$5:$AD$404,销售录入!$AC$5:$AC$404,$A71,销售录入!$C$5:$C$404,首页!$B$5)+SUMIFS(采购录入!$W$5:$W$404,采购录入!$V$5:$V$404,$A71,采购录入!$C$5:$C$404,首页!$B$5)+SUMIFS(采购录入!$Z$5:$Z$404,采购录入!$Y$5:$Y$404,$A71,采购录入!$C$5:$C$404,首页!$B$5)+SUMIFS(其他凭证!$H$5:$H$304,其他凭证!$G$5:$G$304,$A71,其他凭证!$C$5:$C$304,首页!$B$5))</f>
        <v>0</v>
      </c>
      <c r="I71" s="54" t="n">
        <f aca="false">IF($A71="","",SUMIFS(资金流水!$N$5:$N$504,资金流水!$O$5:$O$504,$A71,资金流水!$B$5:$B$504,"&lt;="&amp;首页!$B$7)+SUMIFS(销售录入!$X$5:$X$404,销售录入!$V$5:$V$404,$A71,销售录入!$B$5:$B$404,"&lt;="&amp;首页!$B$7)+SUMIFS(销售录入!$AA$5:$AA$404,销售录入!$Y$5:$Y$404,$A71,销售录入!$B$5:$B$404,"&lt;="&amp;首页!$B$7)+SUMIFS(销售录入!$AD$5:$AD$404,销售录入!$AB$5:$AB$404,$A71,销售录入!$B$5:$B$404,"&lt;="&amp;首页!$B$7)+SUMIFS(采购录入!$W$5:$W$404,采购录入!$U$5:$U$404,$A71,采购录入!$B$5:$B$404,"&lt;="&amp;首页!$B$7)+SUMIFS(采购录入!$Z$5:$Z$404,采购录入!$X$5:$X$404,$A71,采购录入!$B$5:$B$404,"&lt;="&amp;首页!$B$7)+SUMIFS(其他凭证!$H$5:$H$304,其他凭证!$F$5:$F$304,$A71,其他凭证!$B$5:$B$304,"&lt;="&amp;首页!$B$7))</f>
        <v>0</v>
      </c>
      <c r="J71" s="54" t="n">
        <f aca="false">IF($A71="","",SUMIFS(资金流水!$N$5:$N$504,资金流水!$P$5:$P$504,$A71,资金流水!$B$5:$B$504,"&lt;="&amp;首页!$B$7)+SUMIFS(销售录入!$X$5:$X$404,销售录入!$W$5:$W$404,$A71,销售录入!$B$5:$B$404,"&lt;="&amp;首页!$B$7)+SUMIFS(销售录入!$AA$5:$AA$404,销售录入!$Z$5:$Z$404,$A71,销售录入!$B$5:$B$404,"&lt;="&amp;首页!$B$7)+SUMIFS(销售录入!$AD$5:$AD$404,销售录入!$AC$5:$AC$404,$A71,销售录入!$B$5:$B$404,"&lt;="&amp;首页!$B$7)+SUMIFS(采购录入!$W$5:$W$404,采购录入!$V$5:$V$404,$A71,采购录入!$B$5:$B$404,"&lt;="&amp;首页!$B$7)+SUMIFS(采购录入!$Z$5:$Z$404,采购录入!$Y$5:$Y$404,$A71,采购录入!$B$5:$B$404,"&lt;="&amp;首页!$B$7)+SUMIFS(其他凭证!$H$5:$H$304,其他凭证!$G$5:$G$304,$A71,其他凭证!$B$5:$B$304,"&lt;="&amp;首页!$B$7))</f>
        <v>0</v>
      </c>
      <c r="K71" s="44" t="n">
        <f aca="false">IF($A71="","",($E71+$I71)-($F71+$J71))</f>
        <v>0</v>
      </c>
      <c r="L71" s="44" t="n">
        <f aca="false">IF($A71="","",IF($K71&gt;=0,$K71,0))</f>
        <v>0</v>
      </c>
      <c r="M71" s="44" t="n">
        <f aca="false">IF($A71="","",IF($K71&lt;0,-$K71,0))</f>
        <v>0</v>
      </c>
      <c r="N71" s="35" t="n">
        <f aca="false">IF($A71="","",科目参数!$F71)</f>
        <v>0</v>
      </c>
      <c r="O71" s="35" t="str">
        <f aca="false">IF($A71="","",科目参数!$G71)</f>
        <v>财务费用</v>
      </c>
      <c r="P71" s="42" t="str">
        <f aca="false">IF($A71="","",科目参数!$H71)</f>
        <v>经营活动</v>
      </c>
    </row>
    <row r="72" customFormat="false" ht="15.75" hidden="false" customHeight="true" outlineLevel="0" collapsed="false">
      <c r="A72" s="42" t="str">
        <f aca="false">IF(科目参数!$A72="","",科目参数!$A72)</f>
        <v>6604</v>
      </c>
      <c r="B72" s="35" t="str">
        <f aca="false">IF($A72="","",科目参数!$B72)</f>
        <v>研发费用</v>
      </c>
      <c r="C72" s="42" t="str">
        <f aca="false">IF($A72="","",科目参数!$C72)</f>
        <v>费用</v>
      </c>
      <c r="D72" s="42" t="str">
        <f aca="false">IF($A72="","",科目参数!$D72)</f>
        <v>借</v>
      </c>
      <c r="E72" s="54" t="n">
        <f aca="false">IF($A72="","",SUMIFS(期初数据!$Z$6:$Z$125,期初数据!$W$6:$W$125,$A72))</f>
        <v>0</v>
      </c>
      <c r="F72" s="54" t="n">
        <f aca="false">IF($A72="","",SUMIFS(期初数据!$AA$6:$AA$125,期初数据!$W$6:$W$125,$A72))</f>
        <v>0</v>
      </c>
      <c r="G72" s="54" t="n">
        <f aca="false">IF($A72="","",SUMIFS(资金流水!$N$5:$N$504,资金流水!$O$5:$O$504,$A72,资金流水!$C$5:$C$504,首页!$B$5)+SUMIFS(销售录入!$X$5:$X$404,销售录入!$V$5:$V$404,$A72,销售录入!$C$5:$C$404,首页!$B$5)+SUMIFS(销售录入!$AA$5:$AA$404,销售录入!$Y$5:$Y$404,$A72,销售录入!$C$5:$C$404,首页!$B$5)+SUMIFS(销售录入!$AD$5:$AD$404,销售录入!$AB$5:$AB$404,$A72,销售录入!$C$5:$C$404,首页!$B$5)+SUMIFS(采购录入!$W$5:$W$404,采购录入!$U$5:$U$404,$A72,采购录入!$C$5:$C$404,首页!$B$5)+SUMIFS(采购录入!$Z$5:$Z$404,采购录入!$X$5:$X$404,$A72,采购录入!$C$5:$C$404,首页!$B$5)+SUMIFS(其他凭证!$H$5:$H$304,其他凭证!$F$5:$F$304,$A72,其他凭证!$C$5:$C$304,首页!$B$5))</f>
        <v>0</v>
      </c>
      <c r="H72" s="54" t="n">
        <f aca="false">IF($A72="","",SUMIFS(资金流水!$N$5:$N$504,资金流水!$P$5:$P$504,$A72,资金流水!$C$5:$C$504,首页!$B$5)+SUMIFS(销售录入!$X$5:$X$404,销售录入!$W$5:$W$404,$A72,销售录入!$C$5:$C$404,首页!$B$5)+SUMIFS(销售录入!$AA$5:$AA$404,销售录入!$Z$5:$Z$404,$A72,销售录入!$C$5:$C$404,首页!$B$5)+SUMIFS(销售录入!$AD$5:$AD$404,销售录入!$AC$5:$AC$404,$A72,销售录入!$C$5:$C$404,首页!$B$5)+SUMIFS(采购录入!$W$5:$W$404,采购录入!$V$5:$V$404,$A72,采购录入!$C$5:$C$404,首页!$B$5)+SUMIFS(采购录入!$Z$5:$Z$404,采购录入!$Y$5:$Y$404,$A72,采购录入!$C$5:$C$404,首页!$B$5)+SUMIFS(其他凭证!$H$5:$H$304,其他凭证!$G$5:$G$304,$A72,其他凭证!$C$5:$C$304,首页!$B$5))</f>
        <v>0</v>
      </c>
      <c r="I72" s="54" t="n">
        <f aca="false">IF($A72="","",SUMIFS(资金流水!$N$5:$N$504,资金流水!$O$5:$O$504,$A72,资金流水!$B$5:$B$504,"&lt;="&amp;首页!$B$7)+SUMIFS(销售录入!$X$5:$X$404,销售录入!$V$5:$V$404,$A72,销售录入!$B$5:$B$404,"&lt;="&amp;首页!$B$7)+SUMIFS(销售录入!$AA$5:$AA$404,销售录入!$Y$5:$Y$404,$A72,销售录入!$B$5:$B$404,"&lt;="&amp;首页!$B$7)+SUMIFS(销售录入!$AD$5:$AD$404,销售录入!$AB$5:$AB$404,$A72,销售录入!$B$5:$B$404,"&lt;="&amp;首页!$B$7)+SUMIFS(采购录入!$W$5:$W$404,采购录入!$U$5:$U$404,$A72,采购录入!$B$5:$B$404,"&lt;="&amp;首页!$B$7)+SUMIFS(采购录入!$Z$5:$Z$404,采购录入!$X$5:$X$404,$A72,采购录入!$B$5:$B$404,"&lt;="&amp;首页!$B$7)+SUMIFS(其他凭证!$H$5:$H$304,其他凭证!$F$5:$F$304,$A72,其他凭证!$B$5:$B$304,"&lt;="&amp;首页!$B$7))</f>
        <v>0</v>
      </c>
      <c r="J72" s="54" t="n">
        <f aca="false">IF($A72="","",SUMIFS(资金流水!$N$5:$N$504,资金流水!$P$5:$P$504,$A72,资金流水!$B$5:$B$504,"&lt;="&amp;首页!$B$7)+SUMIFS(销售录入!$X$5:$X$404,销售录入!$W$5:$W$404,$A72,销售录入!$B$5:$B$404,"&lt;="&amp;首页!$B$7)+SUMIFS(销售录入!$AA$5:$AA$404,销售录入!$Z$5:$Z$404,$A72,销售录入!$B$5:$B$404,"&lt;="&amp;首页!$B$7)+SUMIFS(销售录入!$AD$5:$AD$404,销售录入!$AC$5:$AC$404,$A72,销售录入!$B$5:$B$404,"&lt;="&amp;首页!$B$7)+SUMIFS(采购录入!$W$5:$W$404,采购录入!$V$5:$V$404,$A72,采购录入!$B$5:$B$404,"&lt;="&amp;首页!$B$7)+SUMIFS(采购录入!$Z$5:$Z$404,采购录入!$Y$5:$Y$404,$A72,采购录入!$B$5:$B$404,"&lt;="&amp;首页!$B$7)+SUMIFS(其他凭证!$H$5:$H$304,其他凭证!$G$5:$G$304,$A72,其他凭证!$B$5:$B$304,"&lt;="&amp;首页!$B$7))</f>
        <v>0</v>
      </c>
      <c r="K72" s="44" t="n">
        <f aca="false">IF($A72="","",($E72+$I72)-($F72+$J72))</f>
        <v>0</v>
      </c>
      <c r="L72" s="44" t="n">
        <f aca="false">IF($A72="","",IF($K72&gt;=0,$K72,0))</f>
        <v>0</v>
      </c>
      <c r="M72" s="44" t="n">
        <f aca="false">IF($A72="","",IF($K72&lt;0,-$K72,0))</f>
        <v>0</v>
      </c>
      <c r="N72" s="35" t="n">
        <f aca="false">IF($A72="","",科目参数!$F72)</f>
        <v>0</v>
      </c>
      <c r="O72" s="35" t="str">
        <f aca="false">IF($A72="","",科目参数!$G72)</f>
        <v>研发费用</v>
      </c>
      <c r="P72" s="42" t="str">
        <f aca="false">IF($A72="","",科目参数!$H72)</f>
        <v>经营活动</v>
      </c>
    </row>
    <row r="73" customFormat="false" ht="15.75" hidden="false" customHeight="true" outlineLevel="0" collapsed="false">
      <c r="A73" s="42" t="str">
        <f aca="false">IF(科目参数!$A73="","",科目参数!$A73)</f>
        <v>6701</v>
      </c>
      <c r="B73" s="35" t="str">
        <f aca="false">IF($A73="","",科目参数!$B73)</f>
        <v>资产减值损失</v>
      </c>
      <c r="C73" s="42" t="str">
        <f aca="false">IF($A73="","",科目参数!$C73)</f>
        <v>费用</v>
      </c>
      <c r="D73" s="42" t="str">
        <f aca="false">IF($A73="","",科目参数!$D73)</f>
        <v>借</v>
      </c>
      <c r="E73" s="54" t="n">
        <f aca="false">IF($A73="","",SUMIFS(期初数据!$Z$6:$Z$125,期初数据!$W$6:$W$125,$A73))</f>
        <v>0</v>
      </c>
      <c r="F73" s="54" t="n">
        <f aca="false">IF($A73="","",SUMIFS(期初数据!$AA$6:$AA$125,期初数据!$W$6:$W$125,$A73))</f>
        <v>0</v>
      </c>
      <c r="G73" s="54" t="n">
        <f aca="false">IF($A73="","",SUMIFS(资金流水!$N$5:$N$504,资金流水!$O$5:$O$504,$A73,资金流水!$C$5:$C$504,首页!$B$5)+SUMIFS(销售录入!$X$5:$X$404,销售录入!$V$5:$V$404,$A73,销售录入!$C$5:$C$404,首页!$B$5)+SUMIFS(销售录入!$AA$5:$AA$404,销售录入!$Y$5:$Y$404,$A73,销售录入!$C$5:$C$404,首页!$B$5)+SUMIFS(销售录入!$AD$5:$AD$404,销售录入!$AB$5:$AB$404,$A73,销售录入!$C$5:$C$404,首页!$B$5)+SUMIFS(采购录入!$W$5:$W$404,采购录入!$U$5:$U$404,$A73,采购录入!$C$5:$C$404,首页!$B$5)+SUMIFS(采购录入!$Z$5:$Z$404,采购录入!$X$5:$X$404,$A73,采购录入!$C$5:$C$404,首页!$B$5)+SUMIFS(其他凭证!$H$5:$H$304,其他凭证!$F$5:$F$304,$A73,其他凭证!$C$5:$C$304,首页!$B$5))</f>
        <v>0</v>
      </c>
      <c r="H73" s="54" t="n">
        <f aca="false">IF($A73="","",SUMIFS(资金流水!$N$5:$N$504,资金流水!$P$5:$P$504,$A73,资金流水!$C$5:$C$504,首页!$B$5)+SUMIFS(销售录入!$X$5:$X$404,销售录入!$W$5:$W$404,$A73,销售录入!$C$5:$C$404,首页!$B$5)+SUMIFS(销售录入!$AA$5:$AA$404,销售录入!$Z$5:$Z$404,$A73,销售录入!$C$5:$C$404,首页!$B$5)+SUMIFS(销售录入!$AD$5:$AD$404,销售录入!$AC$5:$AC$404,$A73,销售录入!$C$5:$C$404,首页!$B$5)+SUMIFS(采购录入!$W$5:$W$404,采购录入!$V$5:$V$404,$A73,采购录入!$C$5:$C$404,首页!$B$5)+SUMIFS(采购录入!$Z$5:$Z$404,采购录入!$Y$5:$Y$404,$A73,采购录入!$C$5:$C$404,首页!$B$5)+SUMIFS(其他凭证!$H$5:$H$304,其他凭证!$G$5:$G$304,$A73,其他凭证!$C$5:$C$304,首页!$B$5))</f>
        <v>0</v>
      </c>
      <c r="I73" s="54" t="n">
        <f aca="false">IF($A73="","",SUMIFS(资金流水!$N$5:$N$504,资金流水!$O$5:$O$504,$A73,资金流水!$B$5:$B$504,"&lt;="&amp;首页!$B$7)+SUMIFS(销售录入!$X$5:$X$404,销售录入!$V$5:$V$404,$A73,销售录入!$B$5:$B$404,"&lt;="&amp;首页!$B$7)+SUMIFS(销售录入!$AA$5:$AA$404,销售录入!$Y$5:$Y$404,$A73,销售录入!$B$5:$B$404,"&lt;="&amp;首页!$B$7)+SUMIFS(销售录入!$AD$5:$AD$404,销售录入!$AB$5:$AB$404,$A73,销售录入!$B$5:$B$404,"&lt;="&amp;首页!$B$7)+SUMIFS(采购录入!$W$5:$W$404,采购录入!$U$5:$U$404,$A73,采购录入!$B$5:$B$404,"&lt;="&amp;首页!$B$7)+SUMIFS(采购录入!$Z$5:$Z$404,采购录入!$X$5:$X$404,$A73,采购录入!$B$5:$B$404,"&lt;="&amp;首页!$B$7)+SUMIFS(其他凭证!$H$5:$H$304,其他凭证!$F$5:$F$304,$A73,其他凭证!$B$5:$B$304,"&lt;="&amp;首页!$B$7))</f>
        <v>0</v>
      </c>
      <c r="J73" s="54" t="n">
        <f aca="false">IF($A73="","",SUMIFS(资金流水!$N$5:$N$504,资金流水!$P$5:$P$504,$A73,资金流水!$B$5:$B$504,"&lt;="&amp;首页!$B$7)+SUMIFS(销售录入!$X$5:$X$404,销售录入!$W$5:$W$404,$A73,销售录入!$B$5:$B$404,"&lt;="&amp;首页!$B$7)+SUMIFS(销售录入!$AA$5:$AA$404,销售录入!$Z$5:$Z$404,$A73,销售录入!$B$5:$B$404,"&lt;="&amp;首页!$B$7)+SUMIFS(销售录入!$AD$5:$AD$404,销售录入!$AC$5:$AC$404,$A73,销售录入!$B$5:$B$404,"&lt;="&amp;首页!$B$7)+SUMIFS(采购录入!$W$5:$W$404,采购录入!$V$5:$V$404,$A73,采购录入!$B$5:$B$404,"&lt;="&amp;首页!$B$7)+SUMIFS(采购录入!$Z$5:$Z$404,采购录入!$Y$5:$Y$404,$A73,采购录入!$B$5:$B$404,"&lt;="&amp;首页!$B$7)+SUMIFS(其他凭证!$H$5:$H$304,其他凭证!$G$5:$G$304,$A73,其他凭证!$B$5:$B$304,"&lt;="&amp;首页!$B$7))</f>
        <v>0</v>
      </c>
      <c r="K73" s="44" t="n">
        <f aca="false">IF($A73="","",($E73+$I73)-($F73+$J73))</f>
        <v>0</v>
      </c>
      <c r="L73" s="44" t="n">
        <f aca="false">IF($A73="","",IF($K73&gt;=0,$K73,0))</f>
        <v>0</v>
      </c>
      <c r="M73" s="44" t="n">
        <f aca="false">IF($A73="","",IF($K73&lt;0,-$K73,0))</f>
        <v>0</v>
      </c>
      <c r="N73" s="35" t="n">
        <f aca="false">IF($A73="","",科目参数!$F73)</f>
        <v>0</v>
      </c>
      <c r="O73" s="35" t="str">
        <f aca="false">IF($A73="","",科目参数!$G73)</f>
        <v>资产减值损失</v>
      </c>
      <c r="P73" s="42" t="str">
        <f aca="false">IF($A73="","",科目参数!$H73)</f>
        <v>非现金</v>
      </c>
    </row>
    <row r="74" customFormat="false" ht="15.75" hidden="false" customHeight="true" outlineLevel="0" collapsed="false">
      <c r="A74" s="42" t="str">
        <f aca="false">IF(科目参数!$A74="","",科目参数!$A74)</f>
        <v>6702</v>
      </c>
      <c r="B74" s="35" t="str">
        <f aca="false">IF($A74="","",科目参数!$B74)</f>
        <v>信用减值损失</v>
      </c>
      <c r="C74" s="42" t="str">
        <f aca="false">IF($A74="","",科目参数!$C74)</f>
        <v>费用</v>
      </c>
      <c r="D74" s="42" t="str">
        <f aca="false">IF($A74="","",科目参数!$D74)</f>
        <v>借</v>
      </c>
      <c r="E74" s="54" t="n">
        <f aca="false">IF($A74="","",SUMIFS(期初数据!$Z$6:$Z$125,期初数据!$W$6:$W$125,$A74))</f>
        <v>0</v>
      </c>
      <c r="F74" s="54" t="n">
        <f aca="false">IF($A74="","",SUMIFS(期初数据!$AA$6:$AA$125,期初数据!$W$6:$W$125,$A74))</f>
        <v>0</v>
      </c>
      <c r="G74" s="54" t="n">
        <f aca="false">IF($A74="","",SUMIFS(资金流水!$N$5:$N$504,资金流水!$O$5:$O$504,$A74,资金流水!$C$5:$C$504,首页!$B$5)+SUMIFS(销售录入!$X$5:$X$404,销售录入!$V$5:$V$404,$A74,销售录入!$C$5:$C$404,首页!$B$5)+SUMIFS(销售录入!$AA$5:$AA$404,销售录入!$Y$5:$Y$404,$A74,销售录入!$C$5:$C$404,首页!$B$5)+SUMIFS(销售录入!$AD$5:$AD$404,销售录入!$AB$5:$AB$404,$A74,销售录入!$C$5:$C$404,首页!$B$5)+SUMIFS(采购录入!$W$5:$W$404,采购录入!$U$5:$U$404,$A74,采购录入!$C$5:$C$404,首页!$B$5)+SUMIFS(采购录入!$Z$5:$Z$404,采购录入!$X$5:$X$404,$A74,采购录入!$C$5:$C$404,首页!$B$5)+SUMIFS(其他凭证!$H$5:$H$304,其他凭证!$F$5:$F$304,$A74,其他凭证!$C$5:$C$304,首页!$B$5))</f>
        <v>0</v>
      </c>
      <c r="H74" s="54" t="n">
        <f aca="false">IF($A74="","",SUMIFS(资金流水!$N$5:$N$504,资金流水!$P$5:$P$504,$A74,资金流水!$C$5:$C$504,首页!$B$5)+SUMIFS(销售录入!$X$5:$X$404,销售录入!$W$5:$W$404,$A74,销售录入!$C$5:$C$404,首页!$B$5)+SUMIFS(销售录入!$AA$5:$AA$404,销售录入!$Z$5:$Z$404,$A74,销售录入!$C$5:$C$404,首页!$B$5)+SUMIFS(销售录入!$AD$5:$AD$404,销售录入!$AC$5:$AC$404,$A74,销售录入!$C$5:$C$404,首页!$B$5)+SUMIFS(采购录入!$W$5:$W$404,采购录入!$V$5:$V$404,$A74,采购录入!$C$5:$C$404,首页!$B$5)+SUMIFS(采购录入!$Z$5:$Z$404,采购录入!$Y$5:$Y$404,$A74,采购录入!$C$5:$C$404,首页!$B$5)+SUMIFS(其他凭证!$H$5:$H$304,其他凭证!$G$5:$G$304,$A74,其他凭证!$C$5:$C$304,首页!$B$5))</f>
        <v>0</v>
      </c>
      <c r="I74" s="54" t="n">
        <f aca="false">IF($A74="","",SUMIFS(资金流水!$N$5:$N$504,资金流水!$O$5:$O$504,$A74,资金流水!$B$5:$B$504,"&lt;="&amp;首页!$B$7)+SUMIFS(销售录入!$X$5:$X$404,销售录入!$V$5:$V$404,$A74,销售录入!$B$5:$B$404,"&lt;="&amp;首页!$B$7)+SUMIFS(销售录入!$AA$5:$AA$404,销售录入!$Y$5:$Y$404,$A74,销售录入!$B$5:$B$404,"&lt;="&amp;首页!$B$7)+SUMIFS(销售录入!$AD$5:$AD$404,销售录入!$AB$5:$AB$404,$A74,销售录入!$B$5:$B$404,"&lt;="&amp;首页!$B$7)+SUMIFS(采购录入!$W$5:$W$404,采购录入!$U$5:$U$404,$A74,采购录入!$B$5:$B$404,"&lt;="&amp;首页!$B$7)+SUMIFS(采购录入!$Z$5:$Z$404,采购录入!$X$5:$X$404,$A74,采购录入!$B$5:$B$404,"&lt;="&amp;首页!$B$7)+SUMIFS(其他凭证!$H$5:$H$304,其他凭证!$F$5:$F$304,$A74,其他凭证!$B$5:$B$304,"&lt;="&amp;首页!$B$7))</f>
        <v>0</v>
      </c>
      <c r="J74" s="54" t="n">
        <f aca="false">IF($A74="","",SUMIFS(资金流水!$N$5:$N$504,资金流水!$P$5:$P$504,$A74,资金流水!$B$5:$B$504,"&lt;="&amp;首页!$B$7)+SUMIFS(销售录入!$X$5:$X$404,销售录入!$W$5:$W$404,$A74,销售录入!$B$5:$B$404,"&lt;="&amp;首页!$B$7)+SUMIFS(销售录入!$AA$5:$AA$404,销售录入!$Z$5:$Z$404,$A74,销售录入!$B$5:$B$404,"&lt;="&amp;首页!$B$7)+SUMIFS(销售录入!$AD$5:$AD$404,销售录入!$AC$5:$AC$404,$A74,销售录入!$B$5:$B$404,"&lt;="&amp;首页!$B$7)+SUMIFS(采购录入!$W$5:$W$404,采购录入!$V$5:$V$404,$A74,采购录入!$B$5:$B$404,"&lt;="&amp;首页!$B$7)+SUMIFS(采购录入!$Z$5:$Z$404,采购录入!$Y$5:$Y$404,$A74,采购录入!$B$5:$B$404,"&lt;="&amp;首页!$B$7)+SUMIFS(其他凭证!$H$5:$H$304,其他凭证!$G$5:$G$304,$A74,其他凭证!$B$5:$B$304,"&lt;="&amp;首页!$B$7))</f>
        <v>0</v>
      </c>
      <c r="K74" s="44" t="n">
        <f aca="false">IF($A74="","",($E74+$I74)-($F74+$J74))</f>
        <v>0</v>
      </c>
      <c r="L74" s="44" t="n">
        <f aca="false">IF($A74="","",IF($K74&gt;=0,$K74,0))</f>
        <v>0</v>
      </c>
      <c r="M74" s="44" t="n">
        <f aca="false">IF($A74="","",IF($K74&lt;0,-$K74,0))</f>
        <v>0</v>
      </c>
      <c r="N74" s="35" t="n">
        <f aca="false">IF($A74="","",科目参数!$F74)</f>
        <v>0</v>
      </c>
      <c r="O74" s="35" t="str">
        <f aca="false">IF($A74="","",科目参数!$G74)</f>
        <v>信用减值损失</v>
      </c>
      <c r="P74" s="42" t="str">
        <f aca="false">IF($A74="","",科目参数!$H74)</f>
        <v>非现金</v>
      </c>
    </row>
    <row r="75" customFormat="false" ht="15.75" hidden="false" customHeight="true" outlineLevel="0" collapsed="false">
      <c r="A75" s="42" t="str">
        <f aca="false">IF(科目参数!$A75="","",科目参数!$A75)</f>
        <v>6711</v>
      </c>
      <c r="B75" s="35" t="str">
        <f aca="false">IF($A75="","",科目参数!$B75)</f>
        <v>营业外支出</v>
      </c>
      <c r="C75" s="42" t="str">
        <f aca="false">IF($A75="","",科目参数!$C75)</f>
        <v>费用</v>
      </c>
      <c r="D75" s="42" t="str">
        <f aca="false">IF($A75="","",科目参数!$D75)</f>
        <v>借</v>
      </c>
      <c r="E75" s="54" t="n">
        <f aca="false">IF($A75="","",SUMIFS(期初数据!$Z$6:$Z$125,期初数据!$W$6:$W$125,$A75))</f>
        <v>0</v>
      </c>
      <c r="F75" s="54" t="n">
        <f aca="false">IF($A75="","",SUMIFS(期初数据!$AA$6:$AA$125,期初数据!$W$6:$W$125,$A75))</f>
        <v>0</v>
      </c>
      <c r="G75" s="54" t="n">
        <f aca="false">IF($A75="","",SUMIFS(资金流水!$N$5:$N$504,资金流水!$O$5:$O$504,$A75,资金流水!$C$5:$C$504,首页!$B$5)+SUMIFS(销售录入!$X$5:$X$404,销售录入!$V$5:$V$404,$A75,销售录入!$C$5:$C$404,首页!$B$5)+SUMIFS(销售录入!$AA$5:$AA$404,销售录入!$Y$5:$Y$404,$A75,销售录入!$C$5:$C$404,首页!$B$5)+SUMIFS(销售录入!$AD$5:$AD$404,销售录入!$AB$5:$AB$404,$A75,销售录入!$C$5:$C$404,首页!$B$5)+SUMIFS(采购录入!$W$5:$W$404,采购录入!$U$5:$U$404,$A75,采购录入!$C$5:$C$404,首页!$B$5)+SUMIFS(采购录入!$Z$5:$Z$404,采购录入!$X$5:$X$404,$A75,采购录入!$C$5:$C$404,首页!$B$5)+SUMIFS(其他凭证!$H$5:$H$304,其他凭证!$F$5:$F$304,$A75,其他凭证!$C$5:$C$304,首页!$B$5))</f>
        <v>0</v>
      </c>
      <c r="H75" s="54" t="n">
        <f aca="false">IF($A75="","",SUMIFS(资金流水!$N$5:$N$504,资金流水!$P$5:$P$504,$A75,资金流水!$C$5:$C$504,首页!$B$5)+SUMIFS(销售录入!$X$5:$X$404,销售录入!$W$5:$W$404,$A75,销售录入!$C$5:$C$404,首页!$B$5)+SUMIFS(销售录入!$AA$5:$AA$404,销售录入!$Z$5:$Z$404,$A75,销售录入!$C$5:$C$404,首页!$B$5)+SUMIFS(销售录入!$AD$5:$AD$404,销售录入!$AC$5:$AC$404,$A75,销售录入!$C$5:$C$404,首页!$B$5)+SUMIFS(采购录入!$W$5:$W$404,采购录入!$V$5:$V$404,$A75,采购录入!$C$5:$C$404,首页!$B$5)+SUMIFS(采购录入!$Z$5:$Z$404,采购录入!$Y$5:$Y$404,$A75,采购录入!$C$5:$C$404,首页!$B$5)+SUMIFS(其他凭证!$H$5:$H$304,其他凭证!$G$5:$G$304,$A75,其他凭证!$C$5:$C$304,首页!$B$5))</f>
        <v>0</v>
      </c>
      <c r="I75" s="54" t="n">
        <f aca="false">IF($A75="","",SUMIFS(资金流水!$N$5:$N$504,资金流水!$O$5:$O$504,$A75,资金流水!$B$5:$B$504,"&lt;="&amp;首页!$B$7)+SUMIFS(销售录入!$X$5:$X$404,销售录入!$V$5:$V$404,$A75,销售录入!$B$5:$B$404,"&lt;="&amp;首页!$B$7)+SUMIFS(销售录入!$AA$5:$AA$404,销售录入!$Y$5:$Y$404,$A75,销售录入!$B$5:$B$404,"&lt;="&amp;首页!$B$7)+SUMIFS(销售录入!$AD$5:$AD$404,销售录入!$AB$5:$AB$404,$A75,销售录入!$B$5:$B$404,"&lt;="&amp;首页!$B$7)+SUMIFS(采购录入!$W$5:$W$404,采购录入!$U$5:$U$404,$A75,采购录入!$B$5:$B$404,"&lt;="&amp;首页!$B$7)+SUMIFS(采购录入!$Z$5:$Z$404,采购录入!$X$5:$X$404,$A75,采购录入!$B$5:$B$404,"&lt;="&amp;首页!$B$7)+SUMIFS(其他凭证!$H$5:$H$304,其他凭证!$F$5:$F$304,$A75,其他凭证!$B$5:$B$304,"&lt;="&amp;首页!$B$7))</f>
        <v>0</v>
      </c>
      <c r="J75" s="54" t="n">
        <f aca="false">IF($A75="","",SUMIFS(资金流水!$N$5:$N$504,资金流水!$P$5:$P$504,$A75,资金流水!$B$5:$B$504,"&lt;="&amp;首页!$B$7)+SUMIFS(销售录入!$X$5:$X$404,销售录入!$W$5:$W$404,$A75,销售录入!$B$5:$B$404,"&lt;="&amp;首页!$B$7)+SUMIFS(销售录入!$AA$5:$AA$404,销售录入!$Z$5:$Z$404,$A75,销售录入!$B$5:$B$404,"&lt;="&amp;首页!$B$7)+SUMIFS(销售录入!$AD$5:$AD$404,销售录入!$AC$5:$AC$404,$A75,销售录入!$B$5:$B$404,"&lt;="&amp;首页!$B$7)+SUMIFS(采购录入!$W$5:$W$404,采购录入!$V$5:$V$404,$A75,采购录入!$B$5:$B$404,"&lt;="&amp;首页!$B$7)+SUMIFS(采购录入!$Z$5:$Z$404,采购录入!$Y$5:$Y$404,$A75,采购录入!$B$5:$B$404,"&lt;="&amp;首页!$B$7)+SUMIFS(其他凭证!$H$5:$H$304,其他凭证!$G$5:$G$304,$A75,其他凭证!$B$5:$B$304,"&lt;="&amp;首页!$B$7))</f>
        <v>0</v>
      </c>
      <c r="K75" s="44" t="n">
        <f aca="false">IF($A75="","",($E75+$I75)-($F75+$J75))</f>
        <v>0</v>
      </c>
      <c r="L75" s="44" t="n">
        <f aca="false">IF($A75="","",IF($K75&gt;=0,$K75,0))</f>
        <v>0</v>
      </c>
      <c r="M75" s="44" t="n">
        <f aca="false">IF($A75="","",IF($K75&lt;0,-$K75,0))</f>
        <v>0</v>
      </c>
      <c r="N75" s="35" t="n">
        <f aca="false">IF($A75="","",科目参数!$F75)</f>
        <v>0</v>
      </c>
      <c r="O75" s="35" t="str">
        <f aca="false">IF($A75="","",科目参数!$G75)</f>
        <v>营业外支出</v>
      </c>
      <c r="P75" s="42" t="str">
        <f aca="false">IF($A75="","",科目参数!$H75)</f>
        <v>经营活动</v>
      </c>
    </row>
    <row r="76" customFormat="false" ht="15.75" hidden="false" customHeight="true" outlineLevel="0" collapsed="false">
      <c r="A76" s="42" t="str">
        <f aca="false">IF(科目参数!$A76="","",科目参数!$A76)</f>
        <v>6801</v>
      </c>
      <c r="B76" s="35" t="str">
        <f aca="false">IF($A76="","",科目参数!$B76)</f>
        <v>所得税费用</v>
      </c>
      <c r="C76" s="42" t="str">
        <f aca="false">IF($A76="","",科目参数!$C76)</f>
        <v>费用</v>
      </c>
      <c r="D76" s="42" t="str">
        <f aca="false">IF($A76="","",科目参数!$D76)</f>
        <v>借</v>
      </c>
      <c r="E76" s="54" t="n">
        <f aca="false">IF($A76="","",SUMIFS(期初数据!$Z$6:$Z$125,期初数据!$W$6:$W$125,$A76))</f>
        <v>0</v>
      </c>
      <c r="F76" s="54" t="n">
        <f aca="false">IF($A76="","",SUMIFS(期初数据!$AA$6:$AA$125,期初数据!$W$6:$W$125,$A76))</f>
        <v>0</v>
      </c>
      <c r="G76" s="54" t="n">
        <f aca="false">IF($A76="","",SUMIFS(资金流水!$N$5:$N$504,资金流水!$O$5:$O$504,$A76,资金流水!$C$5:$C$504,首页!$B$5)+SUMIFS(销售录入!$X$5:$X$404,销售录入!$V$5:$V$404,$A76,销售录入!$C$5:$C$404,首页!$B$5)+SUMIFS(销售录入!$AA$5:$AA$404,销售录入!$Y$5:$Y$404,$A76,销售录入!$C$5:$C$404,首页!$B$5)+SUMIFS(销售录入!$AD$5:$AD$404,销售录入!$AB$5:$AB$404,$A76,销售录入!$C$5:$C$404,首页!$B$5)+SUMIFS(采购录入!$W$5:$W$404,采购录入!$U$5:$U$404,$A76,采购录入!$C$5:$C$404,首页!$B$5)+SUMIFS(采购录入!$Z$5:$Z$404,采购录入!$X$5:$X$404,$A76,采购录入!$C$5:$C$404,首页!$B$5)+SUMIFS(其他凭证!$H$5:$H$304,其他凭证!$F$5:$F$304,$A76,其他凭证!$C$5:$C$304,首页!$B$5))</f>
        <v>0</v>
      </c>
      <c r="H76" s="54" t="n">
        <f aca="false">IF($A76="","",SUMIFS(资金流水!$N$5:$N$504,资金流水!$P$5:$P$504,$A76,资金流水!$C$5:$C$504,首页!$B$5)+SUMIFS(销售录入!$X$5:$X$404,销售录入!$W$5:$W$404,$A76,销售录入!$C$5:$C$404,首页!$B$5)+SUMIFS(销售录入!$AA$5:$AA$404,销售录入!$Z$5:$Z$404,$A76,销售录入!$C$5:$C$404,首页!$B$5)+SUMIFS(销售录入!$AD$5:$AD$404,销售录入!$AC$5:$AC$404,$A76,销售录入!$C$5:$C$404,首页!$B$5)+SUMIFS(采购录入!$W$5:$W$404,采购录入!$V$5:$V$404,$A76,采购录入!$C$5:$C$404,首页!$B$5)+SUMIFS(采购录入!$Z$5:$Z$404,采购录入!$Y$5:$Y$404,$A76,采购录入!$C$5:$C$404,首页!$B$5)+SUMIFS(其他凭证!$H$5:$H$304,其他凭证!$G$5:$G$304,$A76,其他凭证!$C$5:$C$304,首页!$B$5))</f>
        <v>0</v>
      </c>
      <c r="I76" s="54" t="n">
        <f aca="false">IF($A76="","",SUMIFS(资金流水!$N$5:$N$504,资金流水!$O$5:$O$504,$A76,资金流水!$B$5:$B$504,"&lt;="&amp;首页!$B$7)+SUMIFS(销售录入!$X$5:$X$404,销售录入!$V$5:$V$404,$A76,销售录入!$B$5:$B$404,"&lt;="&amp;首页!$B$7)+SUMIFS(销售录入!$AA$5:$AA$404,销售录入!$Y$5:$Y$404,$A76,销售录入!$B$5:$B$404,"&lt;="&amp;首页!$B$7)+SUMIFS(销售录入!$AD$5:$AD$404,销售录入!$AB$5:$AB$404,$A76,销售录入!$B$5:$B$404,"&lt;="&amp;首页!$B$7)+SUMIFS(采购录入!$W$5:$W$404,采购录入!$U$5:$U$404,$A76,采购录入!$B$5:$B$404,"&lt;="&amp;首页!$B$7)+SUMIFS(采购录入!$Z$5:$Z$404,采购录入!$X$5:$X$404,$A76,采购录入!$B$5:$B$404,"&lt;="&amp;首页!$B$7)+SUMIFS(其他凭证!$H$5:$H$304,其他凭证!$F$5:$F$304,$A76,其他凭证!$B$5:$B$304,"&lt;="&amp;首页!$B$7))</f>
        <v>0</v>
      </c>
      <c r="J76" s="54" t="n">
        <f aca="false">IF($A76="","",SUMIFS(资金流水!$N$5:$N$504,资金流水!$P$5:$P$504,$A76,资金流水!$B$5:$B$504,"&lt;="&amp;首页!$B$7)+SUMIFS(销售录入!$X$5:$X$404,销售录入!$W$5:$W$404,$A76,销售录入!$B$5:$B$404,"&lt;="&amp;首页!$B$7)+SUMIFS(销售录入!$AA$5:$AA$404,销售录入!$Z$5:$Z$404,$A76,销售录入!$B$5:$B$404,"&lt;="&amp;首页!$B$7)+SUMIFS(销售录入!$AD$5:$AD$404,销售录入!$AC$5:$AC$404,$A76,销售录入!$B$5:$B$404,"&lt;="&amp;首页!$B$7)+SUMIFS(采购录入!$W$5:$W$404,采购录入!$V$5:$V$404,$A76,采购录入!$B$5:$B$404,"&lt;="&amp;首页!$B$7)+SUMIFS(采购录入!$Z$5:$Z$404,采购录入!$Y$5:$Y$404,$A76,采购录入!$B$5:$B$404,"&lt;="&amp;首页!$B$7)+SUMIFS(其他凭证!$H$5:$H$304,其他凭证!$G$5:$G$304,$A76,其他凭证!$B$5:$B$304,"&lt;="&amp;首页!$B$7))</f>
        <v>0</v>
      </c>
      <c r="K76" s="44" t="n">
        <f aca="false">IF($A76="","",($E76+$I76)-($F76+$J76))</f>
        <v>0</v>
      </c>
      <c r="L76" s="44" t="n">
        <f aca="false">IF($A76="","",IF($K76&gt;=0,$K76,0))</f>
        <v>0</v>
      </c>
      <c r="M76" s="44" t="n">
        <f aca="false">IF($A76="","",IF($K76&lt;0,-$K76,0))</f>
        <v>0</v>
      </c>
      <c r="N76" s="35" t="n">
        <f aca="false">IF($A76="","",科目参数!$F76)</f>
        <v>0</v>
      </c>
      <c r="O76" s="35" t="str">
        <f aca="false">IF($A76="","",科目参数!$G76)</f>
        <v>所得税费用</v>
      </c>
      <c r="P76" s="42" t="str">
        <f aca="false">IF($A76="","",科目参数!$H76)</f>
        <v>经营活动</v>
      </c>
    </row>
    <row r="77" customFormat="false" ht="15.75" hidden="false" customHeight="true" outlineLevel="0" collapsed="false">
      <c r="A77" s="42" t="str">
        <f aca="false">IF(科目参数!$A77="","",科目参数!$A77)</f>
        <v/>
      </c>
      <c r="B77" s="35" t="str">
        <f aca="false">IF($A77="","",科目参数!$B77)</f>
        <v/>
      </c>
      <c r="C77" s="42" t="str">
        <f aca="false">IF($A77="","",科目参数!$C77)</f>
        <v/>
      </c>
      <c r="D77" s="42" t="str">
        <f aca="false">IF($A77="","",科目参数!$D77)</f>
        <v/>
      </c>
      <c r="E77" s="54" t="str">
        <f aca="false">IF($A77="","",SUMIFS(期初数据!$Z$6:$Z$125,期初数据!$W$6:$W$125,$A77))</f>
        <v/>
      </c>
      <c r="F77" s="54" t="str">
        <f aca="false">IF($A77="","",SUMIFS(期初数据!$AA$6:$AA$125,期初数据!$W$6:$W$125,$A77))</f>
        <v/>
      </c>
      <c r="G77" s="54" t="str">
        <f aca="false">IF($A77="","",SUMIFS(资金流水!$N$5:$N$504,资金流水!$O$5:$O$504,$A77,资金流水!$C$5:$C$504,首页!$B$5)+SUMIFS(销售录入!$X$5:$X$404,销售录入!$V$5:$V$404,$A77,销售录入!$C$5:$C$404,首页!$B$5)+SUMIFS(销售录入!$AA$5:$AA$404,销售录入!$Y$5:$Y$404,$A77,销售录入!$C$5:$C$404,首页!$B$5)+SUMIFS(销售录入!$AD$5:$AD$404,销售录入!$AB$5:$AB$404,$A77,销售录入!$C$5:$C$404,首页!$B$5)+SUMIFS(采购录入!$W$5:$W$404,采购录入!$U$5:$U$404,$A77,采购录入!$C$5:$C$404,首页!$B$5)+SUMIFS(采购录入!$Z$5:$Z$404,采购录入!$X$5:$X$404,$A77,采购录入!$C$5:$C$404,首页!$B$5)+SUMIFS(其他凭证!$H$5:$H$304,其他凭证!$F$5:$F$304,$A77,其他凭证!$C$5:$C$304,首页!$B$5))</f>
        <v/>
      </c>
      <c r="H77" s="54" t="str">
        <f aca="false">IF($A77="","",SUMIFS(资金流水!$N$5:$N$504,资金流水!$P$5:$P$504,$A77,资金流水!$C$5:$C$504,首页!$B$5)+SUMIFS(销售录入!$X$5:$X$404,销售录入!$W$5:$W$404,$A77,销售录入!$C$5:$C$404,首页!$B$5)+SUMIFS(销售录入!$AA$5:$AA$404,销售录入!$Z$5:$Z$404,$A77,销售录入!$C$5:$C$404,首页!$B$5)+SUMIFS(销售录入!$AD$5:$AD$404,销售录入!$AC$5:$AC$404,$A77,销售录入!$C$5:$C$404,首页!$B$5)+SUMIFS(采购录入!$W$5:$W$404,采购录入!$V$5:$V$404,$A77,采购录入!$C$5:$C$404,首页!$B$5)+SUMIFS(采购录入!$Z$5:$Z$404,采购录入!$Y$5:$Y$404,$A77,采购录入!$C$5:$C$404,首页!$B$5)+SUMIFS(其他凭证!$H$5:$H$304,其他凭证!$G$5:$G$304,$A77,其他凭证!$C$5:$C$304,首页!$B$5))</f>
        <v/>
      </c>
      <c r="I77" s="54" t="str">
        <f aca="false">IF($A77="","",SUMIFS(资金流水!$N$5:$N$504,资金流水!$O$5:$O$504,$A77,资金流水!$B$5:$B$504,"&lt;="&amp;首页!$B$7)+SUMIFS(销售录入!$X$5:$X$404,销售录入!$V$5:$V$404,$A77,销售录入!$B$5:$B$404,"&lt;="&amp;首页!$B$7)+SUMIFS(销售录入!$AA$5:$AA$404,销售录入!$Y$5:$Y$404,$A77,销售录入!$B$5:$B$404,"&lt;="&amp;首页!$B$7)+SUMIFS(销售录入!$AD$5:$AD$404,销售录入!$AB$5:$AB$404,$A77,销售录入!$B$5:$B$404,"&lt;="&amp;首页!$B$7)+SUMIFS(采购录入!$W$5:$W$404,采购录入!$U$5:$U$404,$A77,采购录入!$B$5:$B$404,"&lt;="&amp;首页!$B$7)+SUMIFS(采购录入!$Z$5:$Z$404,采购录入!$X$5:$X$404,$A77,采购录入!$B$5:$B$404,"&lt;="&amp;首页!$B$7)+SUMIFS(其他凭证!$H$5:$H$304,其他凭证!$F$5:$F$304,$A77,其他凭证!$B$5:$B$304,"&lt;="&amp;首页!$B$7))</f>
        <v/>
      </c>
      <c r="J77" s="54" t="str">
        <f aca="false">IF($A77="","",SUMIFS(资金流水!$N$5:$N$504,资金流水!$P$5:$P$504,$A77,资金流水!$B$5:$B$504,"&lt;="&amp;首页!$B$7)+SUMIFS(销售录入!$X$5:$X$404,销售录入!$W$5:$W$404,$A77,销售录入!$B$5:$B$404,"&lt;="&amp;首页!$B$7)+SUMIFS(销售录入!$AA$5:$AA$404,销售录入!$Z$5:$Z$404,$A77,销售录入!$B$5:$B$404,"&lt;="&amp;首页!$B$7)+SUMIFS(销售录入!$AD$5:$AD$404,销售录入!$AC$5:$AC$404,$A77,销售录入!$B$5:$B$404,"&lt;="&amp;首页!$B$7)+SUMIFS(采购录入!$W$5:$W$404,采购录入!$V$5:$V$404,$A77,采购录入!$B$5:$B$404,"&lt;="&amp;首页!$B$7)+SUMIFS(采购录入!$Z$5:$Z$404,采购录入!$Y$5:$Y$404,$A77,采购录入!$B$5:$B$404,"&lt;="&amp;首页!$B$7)+SUMIFS(其他凭证!$H$5:$H$304,其他凭证!$G$5:$G$304,$A77,其他凭证!$B$5:$B$304,"&lt;="&amp;首页!$B$7))</f>
        <v/>
      </c>
      <c r="K77" s="44" t="str">
        <f aca="false">IF($A77="","",($E77+$I77)-($F77+$J77))</f>
        <v/>
      </c>
      <c r="L77" s="44" t="str">
        <f aca="false">IF($A77="","",IF($K77&gt;=0,$K77,0))</f>
        <v/>
      </c>
      <c r="M77" s="44" t="str">
        <f aca="false">IF($A77="","",IF($K77&lt;0,-$K77,0))</f>
        <v/>
      </c>
      <c r="N77" s="35" t="str">
        <f aca="false">IF($A77="","",科目参数!$F77)</f>
        <v/>
      </c>
      <c r="O77" s="35" t="str">
        <f aca="false">IF($A77="","",科目参数!$G77)</f>
        <v/>
      </c>
      <c r="P77" s="42" t="str">
        <f aca="false">IF($A77="","",科目参数!$H77)</f>
        <v/>
      </c>
    </row>
    <row r="78" customFormat="false" ht="15.75" hidden="false" customHeight="true" outlineLevel="0" collapsed="false">
      <c r="A78" s="42" t="str">
        <f aca="false">IF(科目参数!$A78="","",科目参数!$A78)</f>
        <v/>
      </c>
      <c r="B78" s="35" t="str">
        <f aca="false">IF($A78="","",科目参数!$B78)</f>
        <v/>
      </c>
      <c r="C78" s="42" t="str">
        <f aca="false">IF($A78="","",科目参数!$C78)</f>
        <v/>
      </c>
      <c r="D78" s="42" t="str">
        <f aca="false">IF($A78="","",科目参数!$D78)</f>
        <v/>
      </c>
      <c r="E78" s="54" t="str">
        <f aca="false">IF($A78="","",SUMIFS(期初数据!$Z$6:$Z$125,期初数据!$W$6:$W$125,$A78))</f>
        <v/>
      </c>
      <c r="F78" s="54" t="str">
        <f aca="false">IF($A78="","",SUMIFS(期初数据!$AA$6:$AA$125,期初数据!$W$6:$W$125,$A78))</f>
        <v/>
      </c>
      <c r="G78" s="54" t="str">
        <f aca="false">IF($A78="","",SUMIFS(资金流水!$N$5:$N$504,资金流水!$O$5:$O$504,$A78,资金流水!$C$5:$C$504,首页!$B$5)+SUMIFS(销售录入!$X$5:$X$404,销售录入!$V$5:$V$404,$A78,销售录入!$C$5:$C$404,首页!$B$5)+SUMIFS(销售录入!$AA$5:$AA$404,销售录入!$Y$5:$Y$404,$A78,销售录入!$C$5:$C$404,首页!$B$5)+SUMIFS(销售录入!$AD$5:$AD$404,销售录入!$AB$5:$AB$404,$A78,销售录入!$C$5:$C$404,首页!$B$5)+SUMIFS(采购录入!$W$5:$W$404,采购录入!$U$5:$U$404,$A78,采购录入!$C$5:$C$404,首页!$B$5)+SUMIFS(采购录入!$Z$5:$Z$404,采购录入!$X$5:$X$404,$A78,采购录入!$C$5:$C$404,首页!$B$5)+SUMIFS(其他凭证!$H$5:$H$304,其他凭证!$F$5:$F$304,$A78,其他凭证!$C$5:$C$304,首页!$B$5))</f>
        <v/>
      </c>
      <c r="H78" s="54" t="str">
        <f aca="false">IF($A78="","",SUMIFS(资金流水!$N$5:$N$504,资金流水!$P$5:$P$504,$A78,资金流水!$C$5:$C$504,首页!$B$5)+SUMIFS(销售录入!$X$5:$X$404,销售录入!$W$5:$W$404,$A78,销售录入!$C$5:$C$404,首页!$B$5)+SUMIFS(销售录入!$AA$5:$AA$404,销售录入!$Z$5:$Z$404,$A78,销售录入!$C$5:$C$404,首页!$B$5)+SUMIFS(销售录入!$AD$5:$AD$404,销售录入!$AC$5:$AC$404,$A78,销售录入!$C$5:$C$404,首页!$B$5)+SUMIFS(采购录入!$W$5:$W$404,采购录入!$V$5:$V$404,$A78,采购录入!$C$5:$C$404,首页!$B$5)+SUMIFS(采购录入!$Z$5:$Z$404,采购录入!$Y$5:$Y$404,$A78,采购录入!$C$5:$C$404,首页!$B$5)+SUMIFS(其他凭证!$H$5:$H$304,其他凭证!$G$5:$G$304,$A78,其他凭证!$C$5:$C$304,首页!$B$5))</f>
        <v/>
      </c>
      <c r="I78" s="54" t="str">
        <f aca="false">IF($A78="","",SUMIFS(资金流水!$N$5:$N$504,资金流水!$O$5:$O$504,$A78,资金流水!$B$5:$B$504,"&lt;="&amp;首页!$B$7)+SUMIFS(销售录入!$X$5:$X$404,销售录入!$V$5:$V$404,$A78,销售录入!$B$5:$B$404,"&lt;="&amp;首页!$B$7)+SUMIFS(销售录入!$AA$5:$AA$404,销售录入!$Y$5:$Y$404,$A78,销售录入!$B$5:$B$404,"&lt;="&amp;首页!$B$7)+SUMIFS(销售录入!$AD$5:$AD$404,销售录入!$AB$5:$AB$404,$A78,销售录入!$B$5:$B$404,"&lt;="&amp;首页!$B$7)+SUMIFS(采购录入!$W$5:$W$404,采购录入!$U$5:$U$404,$A78,采购录入!$B$5:$B$404,"&lt;="&amp;首页!$B$7)+SUMIFS(采购录入!$Z$5:$Z$404,采购录入!$X$5:$X$404,$A78,采购录入!$B$5:$B$404,"&lt;="&amp;首页!$B$7)+SUMIFS(其他凭证!$H$5:$H$304,其他凭证!$F$5:$F$304,$A78,其他凭证!$B$5:$B$304,"&lt;="&amp;首页!$B$7))</f>
        <v/>
      </c>
      <c r="J78" s="54" t="str">
        <f aca="false">IF($A78="","",SUMIFS(资金流水!$N$5:$N$504,资金流水!$P$5:$P$504,$A78,资金流水!$B$5:$B$504,"&lt;="&amp;首页!$B$7)+SUMIFS(销售录入!$X$5:$X$404,销售录入!$W$5:$W$404,$A78,销售录入!$B$5:$B$404,"&lt;="&amp;首页!$B$7)+SUMIFS(销售录入!$AA$5:$AA$404,销售录入!$Z$5:$Z$404,$A78,销售录入!$B$5:$B$404,"&lt;="&amp;首页!$B$7)+SUMIFS(销售录入!$AD$5:$AD$404,销售录入!$AC$5:$AC$404,$A78,销售录入!$B$5:$B$404,"&lt;="&amp;首页!$B$7)+SUMIFS(采购录入!$W$5:$W$404,采购录入!$V$5:$V$404,$A78,采购录入!$B$5:$B$404,"&lt;="&amp;首页!$B$7)+SUMIFS(采购录入!$Z$5:$Z$404,采购录入!$Y$5:$Y$404,$A78,采购录入!$B$5:$B$404,"&lt;="&amp;首页!$B$7)+SUMIFS(其他凭证!$H$5:$H$304,其他凭证!$G$5:$G$304,$A78,其他凭证!$B$5:$B$304,"&lt;="&amp;首页!$B$7))</f>
        <v/>
      </c>
      <c r="K78" s="44" t="str">
        <f aca="false">IF($A78="","",($E78+$I78)-($F78+$J78))</f>
        <v/>
      </c>
      <c r="L78" s="44" t="str">
        <f aca="false">IF($A78="","",IF($K78&gt;=0,$K78,0))</f>
        <v/>
      </c>
      <c r="M78" s="44" t="str">
        <f aca="false">IF($A78="","",IF($K78&lt;0,-$K78,0))</f>
        <v/>
      </c>
      <c r="N78" s="35" t="str">
        <f aca="false">IF($A78="","",科目参数!$F78)</f>
        <v/>
      </c>
      <c r="O78" s="35" t="str">
        <f aca="false">IF($A78="","",科目参数!$G78)</f>
        <v/>
      </c>
      <c r="P78" s="42" t="str">
        <f aca="false">IF($A78="","",科目参数!$H78)</f>
        <v/>
      </c>
    </row>
    <row r="79" customFormat="false" ht="15.75" hidden="false" customHeight="true" outlineLevel="0" collapsed="false">
      <c r="A79" s="42" t="str">
        <f aca="false">IF(科目参数!$A79="","",科目参数!$A79)</f>
        <v/>
      </c>
      <c r="B79" s="35" t="str">
        <f aca="false">IF($A79="","",科目参数!$B79)</f>
        <v/>
      </c>
      <c r="C79" s="42" t="str">
        <f aca="false">IF($A79="","",科目参数!$C79)</f>
        <v/>
      </c>
      <c r="D79" s="42" t="str">
        <f aca="false">IF($A79="","",科目参数!$D79)</f>
        <v/>
      </c>
      <c r="E79" s="54" t="str">
        <f aca="false">IF($A79="","",SUMIFS(期初数据!$Z$6:$Z$125,期初数据!$W$6:$W$125,$A79))</f>
        <v/>
      </c>
      <c r="F79" s="54" t="str">
        <f aca="false">IF($A79="","",SUMIFS(期初数据!$AA$6:$AA$125,期初数据!$W$6:$W$125,$A79))</f>
        <v/>
      </c>
      <c r="G79" s="54" t="str">
        <f aca="false">IF($A79="","",SUMIFS(资金流水!$N$5:$N$504,资金流水!$O$5:$O$504,$A79,资金流水!$C$5:$C$504,首页!$B$5)+SUMIFS(销售录入!$X$5:$X$404,销售录入!$V$5:$V$404,$A79,销售录入!$C$5:$C$404,首页!$B$5)+SUMIFS(销售录入!$AA$5:$AA$404,销售录入!$Y$5:$Y$404,$A79,销售录入!$C$5:$C$404,首页!$B$5)+SUMIFS(销售录入!$AD$5:$AD$404,销售录入!$AB$5:$AB$404,$A79,销售录入!$C$5:$C$404,首页!$B$5)+SUMIFS(采购录入!$W$5:$W$404,采购录入!$U$5:$U$404,$A79,采购录入!$C$5:$C$404,首页!$B$5)+SUMIFS(采购录入!$Z$5:$Z$404,采购录入!$X$5:$X$404,$A79,采购录入!$C$5:$C$404,首页!$B$5)+SUMIFS(其他凭证!$H$5:$H$304,其他凭证!$F$5:$F$304,$A79,其他凭证!$C$5:$C$304,首页!$B$5))</f>
        <v/>
      </c>
      <c r="H79" s="54" t="str">
        <f aca="false">IF($A79="","",SUMIFS(资金流水!$N$5:$N$504,资金流水!$P$5:$P$504,$A79,资金流水!$C$5:$C$504,首页!$B$5)+SUMIFS(销售录入!$X$5:$X$404,销售录入!$W$5:$W$404,$A79,销售录入!$C$5:$C$404,首页!$B$5)+SUMIFS(销售录入!$AA$5:$AA$404,销售录入!$Z$5:$Z$404,$A79,销售录入!$C$5:$C$404,首页!$B$5)+SUMIFS(销售录入!$AD$5:$AD$404,销售录入!$AC$5:$AC$404,$A79,销售录入!$C$5:$C$404,首页!$B$5)+SUMIFS(采购录入!$W$5:$W$404,采购录入!$V$5:$V$404,$A79,采购录入!$C$5:$C$404,首页!$B$5)+SUMIFS(采购录入!$Z$5:$Z$404,采购录入!$Y$5:$Y$404,$A79,采购录入!$C$5:$C$404,首页!$B$5)+SUMIFS(其他凭证!$H$5:$H$304,其他凭证!$G$5:$G$304,$A79,其他凭证!$C$5:$C$304,首页!$B$5))</f>
        <v/>
      </c>
      <c r="I79" s="54" t="str">
        <f aca="false">IF($A79="","",SUMIFS(资金流水!$N$5:$N$504,资金流水!$O$5:$O$504,$A79,资金流水!$B$5:$B$504,"&lt;="&amp;首页!$B$7)+SUMIFS(销售录入!$X$5:$X$404,销售录入!$V$5:$V$404,$A79,销售录入!$B$5:$B$404,"&lt;="&amp;首页!$B$7)+SUMIFS(销售录入!$AA$5:$AA$404,销售录入!$Y$5:$Y$404,$A79,销售录入!$B$5:$B$404,"&lt;="&amp;首页!$B$7)+SUMIFS(销售录入!$AD$5:$AD$404,销售录入!$AB$5:$AB$404,$A79,销售录入!$B$5:$B$404,"&lt;="&amp;首页!$B$7)+SUMIFS(采购录入!$W$5:$W$404,采购录入!$U$5:$U$404,$A79,采购录入!$B$5:$B$404,"&lt;="&amp;首页!$B$7)+SUMIFS(采购录入!$Z$5:$Z$404,采购录入!$X$5:$X$404,$A79,采购录入!$B$5:$B$404,"&lt;="&amp;首页!$B$7)+SUMIFS(其他凭证!$H$5:$H$304,其他凭证!$F$5:$F$304,$A79,其他凭证!$B$5:$B$304,"&lt;="&amp;首页!$B$7))</f>
        <v/>
      </c>
      <c r="J79" s="54" t="str">
        <f aca="false">IF($A79="","",SUMIFS(资金流水!$N$5:$N$504,资金流水!$P$5:$P$504,$A79,资金流水!$B$5:$B$504,"&lt;="&amp;首页!$B$7)+SUMIFS(销售录入!$X$5:$X$404,销售录入!$W$5:$W$404,$A79,销售录入!$B$5:$B$404,"&lt;="&amp;首页!$B$7)+SUMIFS(销售录入!$AA$5:$AA$404,销售录入!$Z$5:$Z$404,$A79,销售录入!$B$5:$B$404,"&lt;="&amp;首页!$B$7)+SUMIFS(销售录入!$AD$5:$AD$404,销售录入!$AC$5:$AC$404,$A79,销售录入!$B$5:$B$404,"&lt;="&amp;首页!$B$7)+SUMIFS(采购录入!$W$5:$W$404,采购录入!$V$5:$V$404,$A79,采购录入!$B$5:$B$404,"&lt;="&amp;首页!$B$7)+SUMIFS(采购录入!$Z$5:$Z$404,采购录入!$Y$5:$Y$404,$A79,采购录入!$B$5:$B$404,"&lt;="&amp;首页!$B$7)+SUMIFS(其他凭证!$H$5:$H$304,其他凭证!$G$5:$G$304,$A79,其他凭证!$B$5:$B$304,"&lt;="&amp;首页!$B$7))</f>
        <v/>
      </c>
      <c r="K79" s="44" t="str">
        <f aca="false">IF($A79="","",($E79+$I79)-($F79+$J79))</f>
        <v/>
      </c>
      <c r="L79" s="44" t="str">
        <f aca="false">IF($A79="","",IF($K79&gt;=0,$K79,0))</f>
        <v/>
      </c>
      <c r="M79" s="44" t="str">
        <f aca="false">IF($A79="","",IF($K79&lt;0,-$K79,0))</f>
        <v/>
      </c>
      <c r="N79" s="35" t="str">
        <f aca="false">IF($A79="","",科目参数!$F79)</f>
        <v/>
      </c>
      <c r="O79" s="35" t="str">
        <f aca="false">IF($A79="","",科目参数!$G79)</f>
        <v/>
      </c>
      <c r="P79" s="42" t="str">
        <f aca="false">IF($A79="","",科目参数!$H79)</f>
        <v/>
      </c>
    </row>
    <row r="80" customFormat="false" ht="15.75" hidden="false" customHeight="true" outlineLevel="0" collapsed="false">
      <c r="A80" s="42" t="str">
        <f aca="false">IF(科目参数!$A80="","",科目参数!$A80)</f>
        <v/>
      </c>
      <c r="B80" s="35" t="str">
        <f aca="false">IF($A80="","",科目参数!$B80)</f>
        <v/>
      </c>
      <c r="C80" s="42" t="str">
        <f aca="false">IF($A80="","",科目参数!$C80)</f>
        <v/>
      </c>
      <c r="D80" s="42" t="str">
        <f aca="false">IF($A80="","",科目参数!$D80)</f>
        <v/>
      </c>
      <c r="E80" s="54" t="str">
        <f aca="false">IF($A80="","",SUMIFS(期初数据!$Z$6:$Z$125,期初数据!$W$6:$W$125,$A80))</f>
        <v/>
      </c>
      <c r="F80" s="54" t="str">
        <f aca="false">IF($A80="","",SUMIFS(期初数据!$AA$6:$AA$125,期初数据!$W$6:$W$125,$A80))</f>
        <v/>
      </c>
      <c r="G80" s="54" t="str">
        <f aca="false">IF($A80="","",SUMIFS(资金流水!$N$5:$N$504,资金流水!$O$5:$O$504,$A80,资金流水!$C$5:$C$504,首页!$B$5)+SUMIFS(销售录入!$X$5:$X$404,销售录入!$V$5:$V$404,$A80,销售录入!$C$5:$C$404,首页!$B$5)+SUMIFS(销售录入!$AA$5:$AA$404,销售录入!$Y$5:$Y$404,$A80,销售录入!$C$5:$C$404,首页!$B$5)+SUMIFS(销售录入!$AD$5:$AD$404,销售录入!$AB$5:$AB$404,$A80,销售录入!$C$5:$C$404,首页!$B$5)+SUMIFS(采购录入!$W$5:$W$404,采购录入!$U$5:$U$404,$A80,采购录入!$C$5:$C$404,首页!$B$5)+SUMIFS(采购录入!$Z$5:$Z$404,采购录入!$X$5:$X$404,$A80,采购录入!$C$5:$C$404,首页!$B$5)+SUMIFS(其他凭证!$H$5:$H$304,其他凭证!$F$5:$F$304,$A80,其他凭证!$C$5:$C$304,首页!$B$5))</f>
        <v/>
      </c>
      <c r="H80" s="54" t="str">
        <f aca="false">IF($A80="","",SUMIFS(资金流水!$N$5:$N$504,资金流水!$P$5:$P$504,$A80,资金流水!$C$5:$C$504,首页!$B$5)+SUMIFS(销售录入!$X$5:$X$404,销售录入!$W$5:$W$404,$A80,销售录入!$C$5:$C$404,首页!$B$5)+SUMIFS(销售录入!$AA$5:$AA$404,销售录入!$Z$5:$Z$404,$A80,销售录入!$C$5:$C$404,首页!$B$5)+SUMIFS(销售录入!$AD$5:$AD$404,销售录入!$AC$5:$AC$404,$A80,销售录入!$C$5:$C$404,首页!$B$5)+SUMIFS(采购录入!$W$5:$W$404,采购录入!$V$5:$V$404,$A80,采购录入!$C$5:$C$404,首页!$B$5)+SUMIFS(采购录入!$Z$5:$Z$404,采购录入!$Y$5:$Y$404,$A80,采购录入!$C$5:$C$404,首页!$B$5)+SUMIFS(其他凭证!$H$5:$H$304,其他凭证!$G$5:$G$304,$A80,其他凭证!$C$5:$C$304,首页!$B$5))</f>
        <v/>
      </c>
      <c r="I80" s="54" t="str">
        <f aca="false">IF($A80="","",SUMIFS(资金流水!$N$5:$N$504,资金流水!$O$5:$O$504,$A80,资金流水!$B$5:$B$504,"&lt;="&amp;首页!$B$7)+SUMIFS(销售录入!$X$5:$X$404,销售录入!$V$5:$V$404,$A80,销售录入!$B$5:$B$404,"&lt;="&amp;首页!$B$7)+SUMIFS(销售录入!$AA$5:$AA$404,销售录入!$Y$5:$Y$404,$A80,销售录入!$B$5:$B$404,"&lt;="&amp;首页!$B$7)+SUMIFS(销售录入!$AD$5:$AD$404,销售录入!$AB$5:$AB$404,$A80,销售录入!$B$5:$B$404,"&lt;="&amp;首页!$B$7)+SUMIFS(采购录入!$W$5:$W$404,采购录入!$U$5:$U$404,$A80,采购录入!$B$5:$B$404,"&lt;="&amp;首页!$B$7)+SUMIFS(采购录入!$Z$5:$Z$404,采购录入!$X$5:$X$404,$A80,采购录入!$B$5:$B$404,"&lt;="&amp;首页!$B$7)+SUMIFS(其他凭证!$H$5:$H$304,其他凭证!$F$5:$F$304,$A80,其他凭证!$B$5:$B$304,"&lt;="&amp;首页!$B$7))</f>
        <v/>
      </c>
      <c r="J80" s="54" t="str">
        <f aca="false">IF($A80="","",SUMIFS(资金流水!$N$5:$N$504,资金流水!$P$5:$P$504,$A80,资金流水!$B$5:$B$504,"&lt;="&amp;首页!$B$7)+SUMIFS(销售录入!$X$5:$X$404,销售录入!$W$5:$W$404,$A80,销售录入!$B$5:$B$404,"&lt;="&amp;首页!$B$7)+SUMIFS(销售录入!$AA$5:$AA$404,销售录入!$Z$5:$Z$404,$A80,销售录入!$B$5:$B$404,"&lt;="&amp;首页!$B$7)+SUMIFS(销售录入!$AD$5:$AD$404,销售录入!$AC$5:$AC$404,$A80,销售录入!$B$5:$B$404,"&lt;="&amp;首页!$B$7)+SUMIFS(采购录入!$W$5:$W$404,采购录入!$V$5:$V$404,$A80,采购录入!$B$5:$B$404,"&lt;="&amp;首页!$B$7)+SUMIFS(采购录入!$Z$5:$Z$404,采购录入!$Y$5:$Y$404,$A80,采购录入!$B$5:$B$404,"&lt;="&amp;首页!$B$7)+SUMIFS(其他凭证!$H$5:$H$304,其他凭证!$G$5:$G$304,$A80,其他凭证!$B$5:$B$304,"&lt;="&amp;首页!$B$7))</f>
        <v/>
      </c>
      <c r="K80" s="44" t="str">
        <f aca="false">IF($A80="","",($E80+$I80)-($F80+$J80))</f>
        <v/>
      </c>
      <c r="L80" s="44" t="str">
        <f aca="false">IF($A80="","",IF($K80&gt;=0,$K80,0))</f>
        <v/>
      </c>
      <c r="M80" s="44" t="str">
        <f aca="false">IF($A80="","",IF($K80&lt;0,-$K80,0))</f>
        <v/>
      </c>
      <c r="N80" s="35" t="str">
        <f aca="false">IF($A80="","",科目参数!$F80)</f>
        <v/>
      </c>
      <c r="O80" s="35" t="str">
        <f aca="false">IF($A80="","",科目参数!$G80)</f>
        <v/>
      </c>
      <c r="P80" s="42" t="str">
        <f aca="false">IF($A80="","",科目参数!$H80)</f>
        <v/>
      </c>
    </row>
    <row r="81" customFormat="false" ht="15.75" hidden="false" customHeight="true" outlineLevel="0" collapsed="false">
      <c r="A81" s="42" t="str">
        <f aca="false">IF(科目参数!$A81="","",科目参数!$A81)</f>
        <v/>
      </c>
      <c r="B81" s="35" t="str">
        <f aca="false">IF($A81="","",科目参数!$B81)</f>
        <v/>
      </c>
      <c r="C81" s="42" t="str">
        <f aca="false">IF($A81="","",科目参数!$C81)</f>
        <v/>
      </c>
      <c r="D81" s="42" t="str">
        <f aca="false">IF($A81="","",科目参数!$D81)</f>
        <v/>
      </c>
      <c r="E81" s="54" t="str">
        <f aca="false">IF($A81="","",SUMIFS(期初数据!$Z$6:$Z$125,期初数据!$W$6:$W$125,$A81))</f>
        <v/>
      </c>
      <c r="F81" s="54" t="str">
        <f aca="false">IF($A81="","",SUMIFS(期初数据!$AA$6:$AA$125,期初数据!$W$6:$W$125,$A81))</f>
        <v/>
      </c>
      <c r="G81" s="54" t="str">
        <f aca="false">IF($A81="","",SUMIFS(资金流水!$N$5:$N$504,资金流水!$O$5:$O$504,$A81,资金流水!$C$5:$C$504,首页!$B$5)+SUMIFS(销售录入!$X$5:$X$404,销售录入!$V$5:$V$404,$A81,销售录入!$C$5:$C$404,首页!$B$5)+SUMIFS(销售录入!$AA$5:$AA$404,销售录入!$Y$5:$Y$404,$A81,销售录入!$C$5:$C$404,首页!$B$5)+SUMIFS(销售录入!$AD$5:$AD$404,销售录入!$AB$5:$AB$404,$A81,销售录入!$C$5:$C$404,首页!$B$5)+SUMIFS(采购录入!$W$5:$W$404,采购录入!$U$5:$U$404,$A81,采购录入!$C$5:$C$404,首页!$B$5)+SUMIFS(采购录入!$Z$5:$Z$404,采购录入!$X$5:$X$404,$A81,采购录入!$C$5:$C$404,首页!$B$5)+SUMIFS(其他凭证!$H$5:$H$304,其他凭证!$F$5:$F$304,$A81,其他凭证!$C$5:$C$304,首页!$B$5))</f>
        <v/>
      </c>
      <c r="H81" s="54" t="str">
        <f aca="false">IF($A81="","",SUMIFS(资金流水!$N$5:$N$504,资金流水!$P$5:$P$504,$A81,资金流水!$C$5:$C$504,首页!$B$5)+SUMIFS(销售录入!$X$5:$X$404,销售录入!$W$5:$W$404,$A81,销售录入!$C$5:$C$404,首页!$B$5)+SUMIFS(销售录入!$AA$5:$AA$404,销售录入!$Z$5:$Z$404,$A81,销售录入!$C$5:$C$404,首页!$B$5)+SUMIFS(销售录入!$AD$5:$AD$404,销售录入!$AC$5:$AC$404,$A81,销售录入!$C$5:$C$404,首页!$B$5)+SUMIFS(采购录入!$W$5:$W$404,采购录入!$V$5:$V$404,$A81,采购录入!$C$5:$C$404,首页!$B$5)+SUMIFS(采购录入!$Z$5:$Z$404,采购录入!$Y$5:$Y$404,$A81,采购录入!$C$5:$C$404,首页!$B$5)+SUMIFS(其他凭证!$H$5:$H$304,其他凭证!$G$5:$G$304,$A81,其他凭证!$C$5:$C$304,首页!$B$5))</f>
        <v/>
      </c>
      <c r="I81" s="54" t="str">
        <f aca="false">IF($A81="","",SUMIFS(资金流水!$N$5:$N$504,资金流水!$O$5:$O$504,$A81,资金流水!$B$5:$B$504,"&lt;="&amp;首页!$B$7)+SUMIFS(销售录入!$X$5:$X$404,销售录入!$V$5:$V$404,$A81,销售录入!$B$5:$B$404,"&lt;="&amp;首页!$B$7)+SUMIFS(销售录入!$AA$5:$AA$404,销售录入!$Y$5:$Y$404,$A81,销售录入!$B$5:$B$404,"&lt;="&amp;首页!$B$7)+SUMIFS(销售录入!$AD$5:$AD$404,销售录入!$AB$5:$AB$404,$A81,销售录入!$B$5:$B$404,"&lt;="&amp;首页!$B$7)+SUMIFS(采购录入!$W$5:$W$404,采购录入!$U$5:$U$404,$A81,采购录入!$B$5:$B$404,"&lt;="&amp;首页!$B$7)+SUMIFS(采购录入!$Z$5:$Z$404,采购录入!$X$5:$X$404,$A81,采购录入!$B$5:$B$404,"&lt;="&amp;首页!$B$7)+SUMIFS(其他凭证!$H$5:$H$304,其他凭证!$F$5:$F$304,$A81,其他凭证!$B$5:$B$304,"&lt;="&amp;首页!$B$7))</f>
        <v/>
      </c>
      <c r="J81" s="54" t="str">
        <f aca="false">IF($A81="","",SUMIFS(资金流水!$N$5:$N$504,资金流水!$P$5:$P$504,$A81,资金流水!$B$5:$B$504,"&lt;="&amp;首页!$B$7)+SUMIFS(销售录入!$X$5:$X$404,销售录入!$W$5:$W$404,$A81,销售录入!$B$5:$B$404,"&lt;="&amp;首页!$B$7)+SUMIFS(销售录入!$AA$5:$AA$404,销售录入!$Z$5:$Z$404,$A81,销售录入!$B$5:$B$404,"&lt;="&amp;首页!$B$7)+SUMIFS(销售录入!$AD$5:$AD$404,销售录入!$AC$5:$AC$404,$A81,销售录入!$B$5:$B$404,"&lt;="&amp;首页!$B$7)+SUMIFS(采购录入!$W$5:$W$404,采购录入!$V$5:$V$404,$A81,采购录入!$B$5:$B$404,"&lt;="&amp;首页!$B$7)+SUMIFS(采购录入!$Z$5:$Z$404,采购录入!$Y$5:$Y$404,$A81,采购录入!$B$5:$B$404,"&lt;="&amp;首页!$B$7)+SUMIFS(其他凭证!$H$5:$H$304,其他凭证!$G$5:$G$304,$A81,其他凭证!$B$5:$B$304,"&lt;="&amp;首页!$B$7))</f>
        <v/>
      </c>
      <c r="K81" s="44" t="str">
        <f aca="false">IF($A81="","",($E81+$I81)-($F81+$J81))</f>
        <v/>
      </c>
      <c r="L81" s="44" t="str">
        <f aca="false">IF($A81="","",IF($K81&gt;=0,$K81,0))</f>
        <v/>
      </c>
      <c r="M81" s="44" t="str">
        <f aca="false">IF($A81="","",IF($K81&lt;0,-$K81,0))</f>
        <v/>
      </c>
      <c r="N81" s="35" t="str">
        <f aca="false">IF($A81="","",科目参数!$F81)</f>
        <v/>
      </c>
      <c r="O81" s="35" t="str">
        <f aca="false">IF($A81="","",科目参数!$G81)</f>
        <v/>
      </c>
      <c r="P81" s="42" t="str">
        <f aca="false">IF($A81="","",科目参数!$H81)</f>
        <v/>
      </c>
    </row>
    <row r="82" customFormat="false" ht="15.75" hidden="false" customHeight="true" outlineLevel="0" collapsed="false">
      <c r="A82" s="42" t="str">
        <f aca="false">IF(科目参数!$A82="","",科目参数!$A82)</f>
        <v/>
      </c>
      <c r="B82" s="35" t="str">
        <f aca="false">IF($A82="","",科目参数!$B82)</f>
        <v/>
      </c>
      <c r="C82" s="42" t="str">
        <f aca="false">IF($A82="","",科目参数!$C82)</f>
        <v/>
      </c>
      <c r="D82" s="42" t="str">
        <f aca="false">IF($A82="","",科目参数!$D82)</f>
        <v/>
      </c>
      <c r="E82" s="54" t="str">
        <f aca="false">IF($A82="","",SUMIFS(期初数据!$Z$6:$Z$125,期初数据!$W$6:$W$125,$A82))</f>
        <v/>
      </c>
      <c r="F82" s="54" t="str">
        <f aca="false">IF($A82="","",SUMIFS(期初数据!$AA$6:$AA$125,期初数据!$W$6:$W$125,$A82))</f>
        <v/>
      </c>
      <c r="G82" s="54" t="str">
        <f aca="false">IF($A82="","",SUMIFS(资金流水!$N$5:$N$504,资金流水!$O$5:$O$504,$A82,资金流水!$C$5:$C$504,首页!$B$5)+SUMIFS(销售录入!$X$5:$X$404,销售录入!$V$5:$V$404,$A82,销售录入!$C$5:$C$404,首页!$B$5)+SUMIFS(销售录入!$AA$5:$AA$404,销售录入!$Y$5:$Y$404,$A82,销售录入!$C$5:$C$404,首页!$B$5)+SUMIFS(销售录入!$AD$5:$AD$404,销售录入!$AB$5:$AB$404,$A82,销售录入!$C$5:$C$404,首页!$B$5)+SUMIFS(采购录入!$W$5:$W$404,采购录入!$U$5:$U$404,$A82,采购录入!$C$5:$C$404,首页!$B$5)+SUMIFS(采购录入!$Z$5:$Z$404,采购录入!$X$5:$X$404,$A82,采购录入!$C$5:$C$404,首页!$B$5)+SUMIFS(其他凭证!$H$5:$H$304,其他凭证!$F$5:$F$304,$A82,其他凭证!$C$5:$C$304,首页!$B$5))</f>
        <v/>
      </c>
      <c r="H82" s="54" t="str">
        <f aca="false">IF($A82="","",SUMIFS(资金流水!$N$5:$N$504,资金流水!$P$5:$P$504,$A82,资金流水!$C$5:$C$504,首页!$B$5)+SUMIFS(销售录入!$X$5:$X$404,销售录入!$W$5:$W$404,$A82,销售录入!$C$5:$C$404,首页!$B$5)+SUMIFS(销售录入!$AA$5:$AA$404,销售录入!$Z$5:$Z$404,$A82,销售录入!$C$5:$C$404,首页!$B$5)+SUMIFS(销售录入!$AD$5:$AD$404,销售录入!$AC$5:$AC$404,$A82,销售录入!$C$5:$C$404,首页!$B$5)+SUMIFS(采购录入!$W$5:$W$404,采购录入!$V$5:$V$404,$A82,采购录入!$C$5:$C$404,首页!$B$5)+SUMIFS(采购录入!$Z$5:$Z$404,采购录入!$Y$5:$Y$404,$A82,采购录入!$C$5:$C$404,首页!$B$5)+SUMIFS(其他凭证!$H$5:$H$304,其他凭证!$G$5:$G$304,$A82,其他凭证!$C$5:$C$304,首页!$B$5))</f>
        <v/>
      </c>
      <c r="I82" s="54" t="str">
        <f aca="false">IF($A82="","",SUMIFS(资金流水!$N$5:$N$504,资金流水!$O$5:$O$504,$A82,资金流水!$B$5:$B$504,"&lt;="&amp;首页!$B$7)+SUMIFS(销售录入!$X$5:$X$404,销售录入!$V$5:$V$404,$A82,销售录入!$B$5:$B$404,"&lt;="&amp;首页!$B$7)+SUMIFS(销售录入!$AA$5:$AA$404,销售录入!$Y$5:$Y$404,$A82,销售录入!$B$5:$B$404,"&lt;="&amp;首页!$B$7)+SUMIFS(销售录入!$AD$5:$AD$404,销售录入!$AB$5:$AB$404,$A82,销售录入!$B$5:$B$404,"&lt;="&amp;首页!$B$7)+SUMIFS(采购录入!$W$5:$W$404,采购录入!$U$5:$U$404,$A82,采购录入!$B$5:$B$404,"&lt;="&amp;首页!$B$7)+SUMIFS(采购录入!$Z$5:$Z$404,采购录入!$X$5:$X$404,$A82,采购录入!$B$5:$B$404,"&lt;="&amp;首页!$B$7)+SUMIFS(其他凭证!$H$5:$H$304,其他凭证!$F$5:$F$304,$A82,其他凭证!$B$5:$B$304,"&lt;="&amp;首页!$B$7))</f>
        <v/>
      </c>
      <c r="J82" s="54" t="str">
        <f aca="false">IF($A82="","",SUMIFS(资金流水!$N$5:$N$504,资金流水!$P$5:$P$504,$A82,资金流水!$B$5:$B$504,"&lt;="&amp;首页!$B$7)+SUMIFS(销售录入!$X$5:$X$404,销售录入!$W$5:$W$404,$A82,销售录入!$B$5:$B$404,"&lt;="&amp;首页!$B$7)+SUMIFS(销售录入!$AA$5:$AA$404,销售录入!$Z$5:$Z$404,$A82,销售录入!$B$5:$B$404,"&lt;="&amp;首页!$B$7)+SUMIFS(销售录入!$AD$5:$AD$404,销售录入!$AC$5:$AC$404,$A82,销售录入!$B$5:$B$404,"&lt;="&amp;首页!$B$7)+SUMIFS(采购录入!$W$5:$W$404,采购录入!$V$5:$V$404,$A82,采购录入!$B$5:$B$404,"&lt;="&amp;首页!$B$7)+SUMIFS(采购录入!$Z$5:$Z$404,采购录入!$Y$5:$Y$404,$A82,采购录入!$B$5:$B$404,"&lt;="&amp;首页!$B$7)+SUMIFS(其他凭证!$H$5:$H$304,其他凭证!$G$5:$G$304,$A82,其他凭证!$B$5:$B$304,"&lt;="&amp;首页!$B$7))</f>
        <v/>
      </c>
      <c r="K82" s="44" t="str">
        <f aca="false">IF($A82="","",($E82+$I82)-($F82+$J82))</f>
        <v/>
      </c>
      <c r="L82" s="44" t="str">
        <f aca="false">IF($A82="","",IF($K82&gt;=0,$K82,0))</f>
        <v/>
      </c>
      <c r="M82" s="44" t="str">
        <f aca="false">IF($A82="","",IF($K82&lt;0,-$K82,0))</f>
        <v/>
      </c>
      <c r="N82" s="35" t="str">
        <f aca="false">IF($A82="","",科目参数!$F82)</f>
        <v/>
      </c>
      <c r="O82" s="35" t="str">
        <f aca="false">IF($A82="","",科目参数!$G82)</f>
        <v/>
      </c>
      <c r="P82" s="42" t="str">
        <f aca="false">IF($A82="","",科目参数!$H82)</f>
        <v/>
      </c>
    </row>
    <row r="83" customFormat="false" ht="15.75" hidden="false" customHeight="true" outlineLevel="0" collapsed="false">
      <c r="A83" s="42" t="str">
        <f aca="false">IF(科目参数!$A83="","",科目参数!$A83)</f>
        <v/>
      </c>
      <c r="B83" s="35" t="str">
        <f aca="false">IF($A83="","",科目参数!$B83)</f>
        <v/>
      </c>
      <c r="C83" s="42" t="str">
        <f aca="false">IF($A83="","",科目参数!$C83)</f>
        <v/>
      </c>
      <c r="D83" s="42" t="str">
        <f aca="false">IF($A83="","",科目参数!$D83)</f>
        <v/>
      </c>
      <c r="E83" s="54" t="str">
        <f aca="false">IF($A83="","",SUMIFS(期初数据!$Z$6:$Z$125,期初数据!$W$6:$W$125,$A83))</f>
        <v/>
      </c>
      <c r="F83" s="54" t="str">
        <f aca="false">IF($A83="","",SUMIFS(期初数据!$AA$6:$AA$125,期初数据!$W$6:$W$125,$A83))</f>
        <v/>
      </c>
      <c r="G83" s="54" t="str">
        <f aca="false">IF($A83="","",SUMIFS(资金流水!$N$5:$N$504,资金流水!$O$5:$O$504,$A83,资金流水!$C$5:$C$504,首页!$B$5)+SUMIFS(销售录入!$X$5:$X$404,销售录入!$V$5:$V$404,$A83,销售录入!$C$5:$C$404,首页!$B$5)+SUMIFS(销售录入!$AA$5:$AA$404,销售录入!$Y$5:$Y$404,$A83,销售录入!$C$5:$C$404,首页!$B$5)+SUMIFS(销售录入!$AD$5:$AD$404,销售录入!$AB$5:$AB$404,$A83,销售录入!$C$5:$C$404,首页!$B$5)+SUMIFS(采购录入!$W$5:$W$404,采购录入!$U$5:$U$404,$A83,采购录入!$C$5:$C$404,首页!$B$5)+SUMIFS(采购录入!$Z$5:$Z$404,采购录入!$X$5:$X$404,$A83,采购录入!$C$5:$C$404,首页!$B$5)+SUMIFS(其他凭证!$H$5:$H$304,其他凭证!$F$5:$F$304,$A83,其他凭证!$C$5:$C$304,首页!$B$5))</f>
        <v/>
      </c>
      <c r="H83" s="54" t="str">
        <f aca="false">IF($A83="","",SUMIFS(资金流水!$N$5:$N$504,资金流水!$P$5:$P$504,$A83,资金流水!$C$5:$C$504,首页!$B$5)+SUMIFS(销售录入!$X$5:$X$404,销售录入!$W$5:$W$404,$A83,销售录入!$C$5:$C$404,首页!$B$5)+SUMIFS(销售录入!$AA$5:$AA$404,销售录入!$Z$5:$Z$404,$A83,销售录入!$C$5:$C$404,首页!$B$5)+SUMIFS(销售录入!$AD$5:$AD$404,销售录入!$AC$5:$AC$404,$A83,销售录入!$C$5:$C$404,首页!$B$5)+SUMIFS(采购录入!$W$5:$W$404,采购录入!$V$5:$V$404,$A83,采购录入!$C$5:$C$404,首页!$B$5)+SUMIFS(采购录入!$Z$5:$Z$404,采购录入!$Y$5:$Y$404,$A83,采购录入!$C$5:$C$404,首页!$B$5)+SUMIFS(其他凭证!$H$5:$H$304,其他凭证!$G$5:$G$304,$A83,其他凭证!$C$5:$C$304,首页!$B$5))</f>
        <v/>
      </c>
      <c r="I83" s="54" t="str">
        <f aca="false">IF($A83="","",SUMIFS(资金流水!$N$5:$N$504,资金流水!$O$5:$O$504,$A83,资金流水!$B$5:$B$504,"&lt;="&amp;首页!$B$7)+SUMIFS(销售录入!$X$5:$X$404,销售录入!$V$5:$V$404,$A83,销售录入!$B$5:$B$404,"&lt;="&amp;首页!$B$7)+SUMIFS(销售录入!$AA$5:$AA$404,销售录入!$Y$5:$Y$404,$A83,销售录入!$B$5:$B$404,"&lt;="&amp;首页!$B$7)+SUMIFS(销售录入!$AD$5:$AD$404,销售录入!$AB$5:$AB$404,$A83,销售录入!$B$5:$B$404,"&lt;="&amp;首页!$B$7)+SUMIFS(采购录入!$W$5:$W$404,采购录入!$U$5:$U$404,$A83,采购录入!$B$5:$B$404,"&lt;="&amp;首页!$B$7)+SUMIFS(采购录入!$Z$5:$Z$404,采购录入!$X$5:$X$404,$A83,采购录入!$B$5:$B$404,"&lt;="&amp;首页!$B$7)+SUMIFS(其他凭证!$H$5:$H$304,其他凭证!$F$5:$F$304,$A83,其他凭证!$B$5:$B$304,"&lt;="&amp;首页!$B$7))</f>
        <v/>
      </c>
      <c r="J83" s="54" t="str">
        <f aca="false">IF($A83="","",SUMIFS(资金流水!$N$5:$N$504,资金流水!$P$5:$P$504,$A83,资金流水!$B$5:$B$504,"&lt;="&amp;首页!$B$7)+SUMIFS(销售录入!$X$5:$X$404,销售录入!$W$5:$W$404,$A83,销售录入!$B$5:$B$404,"&lt;="&amp;首页!$B$7)+SUMIFS(销售录入!$AA$5:$AA$404,销售录入!$Z$5:$Z$404,$A83,销售录入!$B$5:$B$404,"&lt;="&amp;首页!$B$7)+SUMIFS(销售录入!$AD$5:$AD$404,销售录入!$AC$5:$AC$404,$A83,销售录入!$B$5:$B$404,"&lt;="&amp;首页!$B$7)+SUMIFS(采购录入!$W$5:$W$404,采购录入!$V$5:$V$404,$A83,采购录入!$B$5:$B$404,"&lt;="&amp;首页!$B$7)+SUMIFS(采购录入!$Z$5:$Z$404,采购录入!$Y$5:$Y$404,$A83,采购录入!$B$5:$B$404,"&lt;="&amp;首页!$B$7)+SUMIFS(其他凭证!$H$5:$H$304,其他凭证!$G$5:$G$304,$A83,其他凭证!$B$5:$B$304,"&lt;="&amp;首页!$B$7))</f>
        <v/>
      </c>
      <c r="K83" s="44" t="str">
        <f aca="false">IF($A83="","",($E83+$I83)-($F83+$J83))</f>
        <v/>
      </c>
      <c r="L83" s="44" t="str">
        <f aca="false">IF($A83="","",IF($K83&gt;=0,$K83,0))</f>
        <v/>
      </c>
      <c r="M83" s="44" t="str">
        <f aca="false">IF($A83="","",IF($K83&lt;0,-$K83,0))</f>
        <v/>
      </c>
      <c r="N83" s="35" t="str">
        <f aca="false">IF($A83="","",科目参数!$F83)</f>
        <v/>
      </c>
      <c r="O83" s="35" t="str">
        <f aca="false">IF($A83="","",科目参数!$G83)</f>
        <v/>
      </c>
      <c r="P83" s="42" t="str">
        <f aca="false">IF($A83="","",科目参数!$H83)</f>
        <v/>
      </c>
    </row>
    <row r="84" customFormat="false" ht="15.75" hidden="false" customHeight="true" outlineLevel="0" collapsed="false">
      <c r="A84" s="42" t="str">
        <f aca="false">IF(科目参数!$A84="","",科目参数!$A84)</f>
        <v/>
      </c>
      <c r="B84" s="35" t="str">
        <f aca="false">IF($A84="","",科目参数!$B84)</f>
        <v/>
      </c>
      <c r="C84" s="42" t="str">
        <f aca="false">IF($A84="","",科目参数!$C84)</f>
        <v/>
      </c>
      <c r="D84" s="42" t="str">
        <f aca="false">IF($A84="","",科目参数!$D84)</f>
        <v/>
      </c>
      <c r="E84" s="54" t="str">
        <f aca="false">IF($A84="","",SUMIFS(期初数据!$Z$6:$Z$125,期初数据!$W$6:$W$125,$A84))</f>
        <v/>
      </c>
      <c r="F84" s="54" t="str">
        <f aca="false">IF($A84="","",SUMIFS(期初数据!$AA$6:$AA$125,期初数据!$W$6:$W$125,$A84))</f>
        <v/>
      </c>
      <c r="G84" s="54" t="str">
        <f aca="false">IF($A84="","",SUMIFS(资金流水!$N$5:$N$504,资金流水!$O$5:$O$504,$A84,资金流水!$C$5:$C$504,首页!$B$5)+SUMIFS(销售录入!$X$5:$X$404,销售录入!$V$5:$V$404,$A84,销售录入!$C$5:$C$404,首页!$B$5)+SUMIFS(销售录入!$AA$5:$AA$404,销售录入!$Y$5:$Y$404,$A84,销售录入!$C$5:$C$404,首页!$B$5)+SUMIFS(销售录入!$AD$5:$AD$404,销售录入!$AB$5:$AB$404,$A84,销售录入!$C$5:$C$404,首页!$B$5)+SUMIFS(采购录入!$W$5:$W$404,采购录入!$U$5:$U$404,$A84,采购录入!$C$5:$C$404,首页!$B$5)+SUMIFS(采购录入!$Z$5:$Z$404,采购录入!$X$5:$X$404,$A84,采购录入!$C$5:$C$404,首页!$B$5)+SUMIFS(其他凭证!$H$5:$H$304,其他凭证!$F$5:$F$304,$A84,其他凭证!$C$5:$C$304,首页!$B$5))</f>
        <v/>
      </c>
      <c r="H84" s="54" t="str">
        <f aca="false">IF($A84="","",SUMIFS(资金流水!$N$5:$N$504,资金流水!$P$5:$P$504,$A84,资金流水!$C$5:$C$504,首页!$B$5)+SUMIFS(销售录入!$X$5:$X$404,销售录入!$W$5:$W$404,$A84,销售录入!$C$5:$C$404,首页!$B$5)+SUMIFS(销售录入!$AA$5:$AA$404,销售录入!$Z$5:$Z$404,$A84,销售录入!$C$5:$C$404,首页!$B$5)+SUMIFS(销售录入!$AD$5:$AD$404,销售录入!$AC$5:$AC$404,$A84,销售录入!$C$5:$C$404,首页!$B$5)+SUMIFS(采购录入!$W$5:$W$404,采购录入!$V$5:$V$404,$A84,采购录入!$C$5:$C$404,首页!$B$5)+SUMIFS(采购录入!$Z$5:$Z$404,采购录入!$Y$5:$Y$404,$A84,采购录入!$C$5:$C$404,首页!$B$5)+SUMIFS(其他凭证!$H$5:$H$304,其他凭证!$G$5:$G$304,$A84,其他凭证!$C$5:$C$304,首页!$B$5))</f>
        <v/>
      </c>
      <c r="I84" s="54" t="str">
        <f aca="false">IF($A84="","",SUMIFS(资金流水!$N$5:$N$504,资金流水!$O$5:$O$504,$A84,资金流水!$B$5:$B$504,"&lt;="&amp;首页!$B$7)+SUMIFS(销售录入!$X$5:$X$404,销售录入!$V$5:$V$404,$A84,销售录入!$B$5:$B$404,"&lt;="&amp;首页!$B$7)+SUMIFS(销售录入!$AA$5:$AA$404,销售录入!$Y$5:$Y$404,$A84,销售录入!$B$5:$B$404,"&lt;="&amp;首页!$B$7)+SUMIFS(销售录入!$AD$5:$AD$404,销售录入!$AB$5:$AB$404,$A84,销售录入!$B$5:$B$404,"&lt;="&amp;首页!$B$7)+SUMIFS(采购录入!$W$5:$W$404,采购录入!$U$5:$U$404,$A84,采购录入!$B$5:$B$404,"&lt;="&amp;首页!$B$7)+SUMIFS(采购录入!$Z$5:$Z$404,采购录入!$X$5:$X$404,$A84,采购录入!$B$5:$B$404,"&lt;="&amp;首页!$B$7)+SUMIFS(其他凭证!$H$5:$H$304,其他凭证!$F$5:$F$304,$A84,其他凭证!$B$5:$B$304,"&lt;="&amp;首页!$B$7))</f>
        <v/>
      </c>
      <c r="J84" s="54" t="str">
        <f aca="false">IF($A84="","",SUMIFS(资金流水!$N$5:$N$504,资金流水!$P$5:$P$504,$A84,资金流水!$B$5:$B$504,"&lt;="&amp;首页!$B$7)+SUMIFS(销售录入!$X$5:$X$404,销售录入!$W$5:$W$404,$A84,销售录入!$B$5:$B$404,"&lt;="&amp;首页!$B$7)+SUMIFS(销售录入!$AA$5:$AA$404,销售录入!$Z$5:$Z$404,$A84,销售录入!$B$5:$B$404,"&lt;="&amp;首页!$B$7)+SUMIFS(销售录入!$AD$5:$AD$404,销售录入!$AC$5:$AC$404,$A84,销售录入!$B$5:$B$404,"&lt;="&amp;首页!$B$7)+SUMIFS(采购录入!$W$5:$W$404,采购录入!$V$5:$V$404,$A84,采购录入!$B$5:$B$404,"&lt;="&amp;首页!$B$7)+SUMIFS(采购录入!$Z$5:$Z$404,采购录入!$Y$5:$Y$404,$A84,采购录入!$B$5:$B$404,"&lt;="&amp;首页!$B$7)+SUMIFS(其他凭证!$H$5:$H$304,其他凭证!$G$5:$G$304,$A84,其他凭证!$B$5:$B$304,"&lt;="&amp;首页!$B$7))</f>
        <v/>
      </c>
      <c r="K84" s="44" t="str">
        <f aca="false">IF($A84="","",($E84+$I84)-($F84+$J84))</f>
        <v/>
      </c>
      <c r="L84" s="44" t="str">
        <f aca="false">IF($A84="","",IF($K84&gt;=0,$K84,0))</f>
        <v/>
      </c>
      <c r="M84" s="44" t="str">
        <f aca="false">IF($A84="","",IF($K84&lt;0,-$K84,0))</f>
        <v/>
      </c>
      <c r="N84" s="35" t="str">
        <f aca="false">IF($A84="","",科目参数!$F84)</f>
        <v/>
      </c>
      <c r="O84" s="35" t="str">
        <f aca="false">IF($A84="","",科目参数!$G84)</f>
        <v/>
      </c>
      <c r="P84" s="42" t="str">
        <f aca="false">IF($A84="","",科目参数!$H84)</f>
        <v/>
      </c>
    </row>
    <row r="85" customFormat="false" ht="15.75" hidden="false" customHeight="true" outlineLevel="0" collapsed="false">
      <c r="A85" s="42" t="str">
        <f aca="false">IF(科目参数!$A85="","",科目参数!$A85)</f>
        <v/>
      </c>
      <c r="B85" s="35" t="str">
        <f aca="false">IF($A85="","",科目参数!$B85)</f>
        <v/>
      </c>
      <c r="C85" s="42" t="str">
        <f aca="false">IF($A85="","",科目参数!$C85)</f>
        <v/>
      </c>
      <c r="D85" s="42" t="str">
        <f aca="false">IF($A85="","",科目参数!$D85)</f>
        <v/>
      </c>
      <c r="E85" s="54" t="str">
        <f aca="false">IF($A85="","",SUMIFS(期初数据!$Z$6:$Z$125,期初数据!$W$6:$W$125,$A85))</f>
        <v/>
      </c>
      <c r="F85" s="54" t="str">
        <f aca="false">IF($A85="","",SUMIFS(期初数据!$AA$6:$AA$125,期初数据!$W$6:$W$125,$A85))</f>
        <v/>
      </c>
      <c r="G85" s="54" t="str">
        <f aca="false">IF($A85="","",SUMIFS(资金流水!$N$5:$N$504,资金流水!$O$5:$O$504,$A85,资金流水!$C$5:$C$504,首页!$B$5)+SUMIFS(销售录入!$X$5:$X$404,销售录入!$V$5:$V$404,$A85,销售录入!$C$5:$C$404,首页!$B$5)+SUMIFS(销售录入!$AA$5:$AA$404,销售录入!$Y$5:$Y$404,$A85,销售录入!$C$5:$C$404,首页!$B$5)+SUMIFS(销售录入!$AD$5:$AD$404,销售录入!$AB$5:$AB$404,$A85,销售录入!$C$5:$C$404,首页!$B$5)+SUMIFS(采购录入!$W$5:$W$404,采购录入!$U$5:$U$404,$A85,采购录入!$C$5:$C$404,首页!$B$5)+SUMIFS(采购录入!$Z$5:$Z$404,采购录入!$X$5:$X$404,$A85,采购录入!$C$5:$C$404,首页!$B$5)+SUMIFS(其他凭证!$H$5:$H$304,其他凭证!$F$5:$F$304,$A85,其他凭证!$C$5:$C$304,首页!$B$5))</f>
        <v/>
      </c>
      <c r="H85" s="54" t="str">
        <f aca="false">IF($A85="","",SUMIFS(资金流水!$N$5:$N$504,资金流水!$P$5:$P$504,$A85,资金流水!$C$5:$C$504,首页!$B$5)+SUMIFS(销售录入!$X$5:$X$404,销售录入!$W$5:$W$404,$A85,销售录入!$C$5:$C$404,首页!$B$5)+SUMIFS(销售录入!$AA$5:$AA$404,销售录入!$Z$5:$Z$404,$A85,销售录入!$C$5:$C$404,首页!$B$5)+SUMIFS(销售录入!$AD$5:$AD$404,销售录入!$AC$5:$AC$404,$A85,销售录入!$C$5:$C$404,首页!$B$5)+SUMIFS(采购录入!$W$5:$W$404,采购录入!$V$5:$V$404,$A85,采购录入!$C$5:$C$404,首页!$B$5)+SUMIFS(采购录入!$Z$5:$Z$404,采购录入!$Y$5:$Y$404,$A85,采购录入!$C$5:$C$404,首页!$B$5)+SUMIFS(其他凭证!$H$5:$H$304,其他凭证!$G$5:$G$304,$A85,其他凭证!$C$5:$C$304,首页!$B$5))</f>
        <v/>
      </c>
      <c r="I85" s="54" t="str">
        <f aca="false">IF($A85="","",SUMIFS(资金流水!$N$5:$N$504,资金流水!$O$5:$O$504,$A85,资金流水!$B$5:$B$504,"&lt;="&amp;首页!$B$7)+SUMIFS(销售录入!$X$5:$X$404,销售录入!$V$5:$V$404,$A85,销售录入!$B$5:$B$404,"&lt;="&amp;首页!$B$7)+SUMIFS(销售录入!$AA$5:$AA$404,销售录入!$Y$5:$Y$404,$A85,销售录入!$B$5:$B$404,"&lt;="&amp;首页!$B$7)+SUMIFS(销售录入!$AD$5:$AD$404,销售录入!$AB$5:$AB$404,$A85,销售录入!$B$5:$B$404,"&lt;="&amp;首页!$B$7)+SUMIFS(采购录入!$W$5:$W$404,采购录入!$U$5:$U$404,$A85,采购录入!$B$5:$B$404,"&lt;="&amp;首页!$B$7)+SUMIFS(采购录入!$Z$5:$Z$404,采购录入!$X$5:$X$404,$A85,采购录入!$B$5:$B$404,"&lt;="&amp;首页!$B$7)+SUMIFS(其他凭证!$H$5:$H$304,其他凭证!$F$5:$F$304,$A85,其他凭证!$B$5:$B$304,"&lt;="&amp;首页!$B$7))</f>
        <v/>
      </c>
      <c r="J85" s="54" t="str">
        <f aca="false">IF($A85="","",SUMIFS(资金流水!$N$5:$N$504,资金流水!$P$5:$P$504,$A85,资金流水!$B$5:$B$504,"&lt;="&amp;首页!$B$7)+SUMIFS(销售录入!$X$5:$X$404,销售录入!$W$5:$W$404,$A85,销售录入!$B$5:$B$404,"&lt;="&amp;首页!$B$7)+SUMIFS(销售录入!$AA$5:$AA$404,销售录入!$Z$5:$Z$404,$A85,销售录入!$B$5:$B$404,"&lt;="&amp;首页!$B$7)+SUMIFS(销售录入!$AD$5:$AD$404,销售录入!$AC$5:$AC$404,$A85,销售录入!$B$5:$B$404,"&lt;="&amp;首页!$B$7)+SUMIFS(采购录入!$W$5:$W$404,采购录入!$V$5:$V$404,$A85,采购录入!$B$5:$B$404,"&lt;="&amp;首页!$B$7)+SUMIFS(采购录入!$Z$5:$Z$404,采购录入!$Y$5:$Y$404,$A85,采购录入!$B$5:$B$404,"&lt;="&amp;首页!$B$7)+SUMIFS(其他凭证!$H$5:$H$304,其他凭证!$G$5:$G$304,$A85,其他凭证!$B$5:$B$304,"&lt;="&amp;首页!$B$7))</f>
        <v/>
      </c>
      <c r="K85" s="44" t="str">
        <f aca="false">IF($A85="","",($E85+$I85)-($F85+$J85))</f>
        <v/>
      </c>
      <c r="L85" s="44" t="str">
        <f aca="false">IF($A85="","",IF($K85&gt;=0,$K85,0))</f>
        <v/>
      </c>
      <c r="M85" s="44" t="str">
        <f aca="false">IF($A85="","",IF($K85&lt;0,-$K85,0))</f>
        <v/>
      </c>
      <c r="N85" s="35" t="str">
        <f aca="false">IF($A85="","",科目参数!$F85)</f>
        <v/>
      </c>
      <c r="O85" s="35" t="str">
        <f aca="false">IF($A85="","",科目参数!$G85)</f>
        <v/>
      </c>
      <c r="P85" s="42" t="str">
        <f aca="false">IF($A85="","",科目参数!$H85)</f>
        <v/>
      </c>
    </row>
    <row r="86" customFormat="false" ht="15.75" hidden="false" customHeight="true" outlineLevel="0" collapsed="false">
      <c r="A86" s="42" t="str">
        <f aca="false">IF(科目参数!$A86="","",科目参数!$A86)</f>
        <v/>
      </c>
      <c r="B86" s="35" t="str">
        <f aca="false">IF($A86="","",科目参数!$B86)</f>
        <v/>
      </c>
      <c r="C86" s="42" t="str">
        <f aca="false">IF($A86="","",科目参数!$C86)</f>
        <v/>
      </c>
      <c r="D86" s="42" t="str">
        <f aca="false">IF($A86="","",科目参数!$D86)</f>
        <v/>
      </c>
      <c r="E86" s="54" t="str">
        <f aca="false">IF($A86="","",SUMIFS(期初数据!$Z$6:$Z$125,期初数据!$W$6:$W$125,$A86))</f>
        <v/>
      </c>
      <c r="F86" s="54" t="str">
        <f aca="false">IF($A86="","",SUMIFS(期初数据!$AA$6:$AA$125,期初数据!$W$6:$W$125,$A86))</f>
        <v/>
      </c>
      <c r="G86" s="54" t="str">
        <f aca="false">IF($A86="","",SUMIFS(资金流水!$N$5:$N$504,资金流水!$O$5:$O$504,$A86,资金流水!$C$5:$C$504,首页!$B$5)+SUMIFS(销售录入!$X$5:$X$404,销售录入!$V$5:$V$404,$A86,销售录入!$C$5:$C$404,首页!$B$5)+SUMIFS(销售录入!$AA$5:$AA$404,销售录入!$Y$5:$Y$404,$A86,销售录入!$C$5:$C$404,首页!$B$5)+SUMIFS(销售录入!$AD$5:$AD$404,销售录入!$AB$5:$AB$404,$A86,销售录入!$C$5:$C$404,首页!$B$5)+SUMIFS(采购录入!$W$5:$W$404,采购录入!$U$5:$U$404,$A86,采购录入!$C$5:$C$404,首页!$B$5)+SUMIFS(采购录入!$Z$5:$Z$404,采购录入!$X$5:$X$404,$A86,采购录入!$C$5:$C$404,首页!$B$5)+SUMIFS(其他凭证!$H$5:$H$304,其他凭证!$F$5:$F$304,$A86,其他凭证!$C$5:$C$304,首页!$B$5))</f>
        <v/>
      </c>
      <c r="H86" s="54" t="str">
        <f aca="false">IF($A86="","",SUMIFS(资金流水!$N$5:$N$504,资金流水!$P$5:$P$504,$A86,资金流水!$C$5:$C$504,首页!$B$5)+SUMIFS(销售录入!$X$5:$X$404,销售录入!$W$5:$W$404,$A86,销售录入!$C$5:$C$404,首页!$B$5)+SUMIFS(销售录入!$AA$5:$AA$404,销售录入!$Z$5:$Z$404,$A86,销售录入!$C$5:$C$404,首页!$B$5)+SUMIFS(销售录入!$AD$5:$AD$404,销售录入!$AC$5:$AC$404,$A86,销售录入!$C$5:$C$404,首页!$B$5)+SUMIFS(采购录入!$W$5:$W$404,采购录入!$V$5:$V$404,$A86,采购录入!$C$5:$C$404,首页!$B$5)+SUMIFS(采购录入!$Z$5:$Z$404,采购录入!$Y$5:$Y$404,$A86,采购录入!$C$5:$C$404,首页!$B$5)+SUMIFS(其他凭证!$H$5:$H$304,其他凭证!$G$5:$G$304,$A86,其他凭证!$C$5:$C$304,首页!$B$5))</f>
        <v/>
      </c>
      <c r="I86" s="54" t="str">
        <f aca="false">IF($A86="","",SUMIFS(资金流水!$N$5:$N$504,资金流水!$O$5:$O$504,$A86,资金流水!$B$5:$B$504,"&lt;="&amp;首页!$B$7)+SUMIFS(销售录入!$X$5:$X$404,销售录入!$V$5:$V$404,$A86,销售录入!$B$5:$B$404,"&lt;="&amp;首页!$B$7)+SUMIFS(销售录入!$AA$5:$AA$404,销售录入!$Y$5:$Y$404,$A86,销售录入!$B$5:$B$404,"&lt;="&amp;首页!$B$7)+SUMIFS(销售录入!$AD$5:$AD$404,销售录入!$AB$5:$AB$404,$A86,销售录入!$B$5:$B$404,"&lt;="&amp;首页!$B$7)+SUMIFS(采购录入!$W$5:$W$404,采购录入!$U$5:$U$404,$A86,采购录入!$B$5:$B$404,"&lt;="&amp;首页!$B$7)+SUMIFS(采购录入!$Z$5:$Z$404,采购录入!$X$5:$X$404,$A86,采购录入!$B$5:$B$404,"&lt;="&amp;首页!$B$7)+SUMIFS(其他凭证!$H$5:$H$304,其他凭证!$F$5:$F$304,$A86,其他凭证!$B$5:$B$304,"&lt;="&amp;首页!$B$7))</f>
        <v/>
      </c>
      <c r="J86" s="54" t="str">
        <f aca="false">IF($A86="","",SUMIFS(资金流水!$N$5:$N$504,资金流水!$P$5:$P$504,$A86,资金流水!$B$5:$B$504,"&lt;="&amp;首页!$B$7)+SUMIFS(销售录入!$X$5:$X$404,销售录入!$W$5:$W$404,$A86,销售录入!$B$5:$B$404,"&lt;="&amp;首页!$B$7)+SUMIFS(销售录入!$AA$5:$AA$404,销售录入!$Z$5:$Z$404,$A86,销售录入!$B$5:$B$404,"&lt;="&amp;首页!$B$7)+SUMIFS(销售录入!$AD$5:$AD$404,销售录入!$AC$5:$AC$404,$A86,销售录入!$B$5:$B$404,"&lt;="&amp;首页!$B$7)+SUMIFS(采购录入!$W$5:$W$404,采购录入!$V$5:$V$404,$A86,采购录入!$B$5:$B$404,"&lt;="&amp;首页!$B$7)+SUMIFS(采购录入!$Z$5:$Z$404,采购录入!$Y$5:$Y$404,$A86,采购录入!$B$5:$B$404,"&lt;="&amp;首页!$B$7)+SUMIFS(其他凭证!$H$5:$H$304,其他凭证!$G$5:$G$304,$A86,其他凭证!$B$5:$B$304,"&lt;="&amp;首页!$B$7))</f>
        <v/>
      </c>
      <c r="K86" s="44" t="str">
        <f aca="false">IF($A86="","",($E86+$I86)-($F86+$J86))</f>
        <v/>
      </c>
      <c r="L86" s="44" t="str">
        <f aca="false">IF($A86="","",IF($K86&gt;=0,$K86,0))</f>
        <v/>
      </c>
      <c r="M86" s="44" t="str">
        <f aca="false">IF($A86="","",IF($K86&lt;0,-$K86,0))</f>
        <v/>
      </c>
      <c r="N86" s="35" t="str">
        <f aca="false">IF($A86="","",科目参数!$F86)</f>
        <v/>
      </c>
      <c r="O86" s="35" t="str">
        <f aca="false">IF($A86="","",科目参数!$G86)</f>
        <v/>
      </c>
      <c r="P86" s="42" t="str">
        <f aca="false">IF($A86="","",科目参数!$H86)</f>
        <v/>
      </c>
    </row>
    <row r="87" customFormat="false" ht="15.75" hidden="false" customHeight="true" outlineLevel="0" collapsed="false">
      <c r="A87" s="42" t="str">
        <f aca="false">IF(科目参数!$A87="","",科目参数!$A87)</f>
        <v/>
      </c>
      <c r="B87" s="35" t="str">
        <f aca="false">IF($A87="","",科目参数!$B87)</f>
        <v/>
      </c>
      <c r="C87" s="42" t="str">
        <f aca="false">IF($A87="","",科目参数!$C87)</f>
        <v/>
      </c>
      <c r="D87" s="42" t="str">
        <f aca="false">IF($A87="","",科目参数!$D87)</f>
        <v/>
      </c>
      <c r="E87" s="54" t="str">
        <f aca="false">IF($A87="","",SUMIFS(期初数据!$Z$6:$Z$125,期初数据!$W$6:$W$125,$A87))</f>
        <v/>
      </c>
      <c r="F87" s="54" t="str">
        <f aca="false">IF($A87="","",SUMIFS(期初数据!$AA$6:$AA$125,期初数据!$W$6:$W$125,$A87))</f>
        <v/>
      </c>
      <c r="G87" s="54" t="str">
        <f aca="false">IF($A87="","",SUMIFS(资金流水!$N$5:$N$504,资金流水!$O$5:$O$504,$A87,资金流水!$C$5:$C$504,首页!$B$5)+SUMIFS(销售录入!$X$5:$X$404,销售录入!$V$5:$V$404,$A87,销售录入!$C$5:$C$404,首页!$B$5)+SUMIFS(销售录入!$AA$5:$AA$404,销售录入!$Y$5:$Y$404,$A87,销售录入!$C$5:$C$404,首页!$B$5)+SUMIFS(销售录入!$AD$5:$AD$404,销售录入!$AB$5:$AB$404,$A87,销售录入!$C$5:$C$404,首页!$B$5)+SUMIFS(采购录入!$W$5:$W$404,采购录入!$U$5:$U$404,$A87,采购录入!$C$5:$C$404,首页!$B$5)+SUMIFS(采购录入!$Z$5:$Z$404,采购录入!$X$5:$X$404,$A87,采购录入!$C$5:$C$404,首页!$B$5)+SUMIFS(其他凭证!$H$5:$H$304,其他凭证!$F$5:$F$304,$A87,其他凭证!$C$5:$C$304,首页!$B$5))</f>
        <v/>
      </c>
      <c r="H87" s="54" t="str">
        <f aca="false">IF($A87="","",SUMIFS(资金流水!$N$5:$N$504,资金流水!$P$5:$P$504,$A87,资金流水!$C$5:$C$504,首页!$B$5)+SUMIFS(销售录入!$X$5:$X$404,销售录入!$W$5:$W$404,$A87,销售录入!$C$5:$C$404,首页!$B$5)+SUMIFS(销售录入!$AA$5:$AA$404,销售录入!$Z$5:$Z$404,$A87,销售录入!$C$5:$C$404,首页!$B$5)+SUMIFS(销售录入!$AD$5:$AD$404,销售录入!$AC$5:$AC$404,$A87,销售录入!$C$5:$C$404,首页!$B$5)+SUMIFS(采购录入!$W$5:$W$404,采购录入!$V$5:$V$404,$A87,采购录入!$C$5:$C$404,首页!$B$5)+SUMIFS(采购录入!$Z$5:$Z$404,采购录入!$Y$5:$Y$404,$A87,采购录入!$C$5:$C$404,首页!$B$5)+SUMIFS(其他凭证!$H$5:$H$304,其他凭证!$G$5:$G$304,$A87,其他凭证!$C$5:$C$304,首页!$B$5))</f>
        <v/>
      </c>
      <c r="I87" s="54" t="str">
        <f aca="false">IF($A87="","",SUMIFS(资金流水!$N$5:$N$504,资金流水!$O$5:$O$504,$A87,资金流水!$B$5:$B$504,"&lt;="&amp;首页!$B$7)+SUMIFS(销售录入!$X$5:$X$404,销售录入!$V$5:$V$404,$A87,销售录入!$B$5:$B$404,"&lt;="&amp;首页!$B$7)+SUMIFS(销售录入!$AA$5:$AA$404,销售录入!$Y$5:$Y$404,$A87,销售录入!$B$5:$B$404,"&lt;="&amp;首页!$B$7)+SUMIFS(销售录入!$AD$5:$AD$404,销售录入!$AB$5:$AB$404,$A87,销售录入!$B$5:$B$404,"&lt;="&amp;首页!$B$7)+SUMIFS(采购录入!$W$5:$W$404,采购录入!$U$5:$U$404,$A87,采购录入!$B$5:$B$404,"&lt;="&amp;首页!$B$7)+SUMIFS(采购录入!$Z$5:$Z$404,采购录入!$X$5:$X$404,$A87,采购录入!$B$5:$B$404,"&lt;="&amp;首页!$B$7)+SUMIFS(其他凭证!$H$5:$H$304,其他凭证!$F$5:$F$304,$A87,其他凭证!$B$5:$B$304,"&lt;="&amp;首页!$B$7))</f>
        <v/>
      </c>
      <c r="J87" s="54" t="str">
        <f aca="false">IF($A87="","",SUMIFS(资金流水!$N$5:$N$504,资金流水!$P$5:$P$504,$A87,资金流水!$B$5:$B$504,"&lt;="&amp;首页!$B$7)+SUMIFS(销售录入!$X$5:$X$404,销售录入!$W$5:$W$404,$A87,销售录入!$B$5:$B$404,"&lt;="&amp;首页!$B$7)+SUMIFS(销售录入!$AA$5:$AA$404,销售录入!$Z$5:$Z$404,$A87,销售录入!$B$5:$B$404,"&lt;="&amp;首页!$B$7)+SUMIFS(销售录入!$AD$5:$AD$404,销售录入!$AC$5:$AC$404,$A87,销售录入!$B$5:$B$404,"&lt;="&amp;首页!$B$7)+SUMIFS(采购录入!$W$5:$W$404,采购录入!$V$5:$V$404,$A87,采购录入!$B$5:$B$404,"&lt;="&amp;首页!$B$7)+SUMIFS(采购录入!$Z$5:$Z$404,采购录入!$Y$5:$Y$404,$A87,采购录入!$B$5:$B$404,"&lt;="&amp;首页!$B$7)+SUMIFS(其他凭证!$H$5:$H$304,其他凭证!$G$5:$G$304,$A87,其他凭证!$B$5:$B$304,"&lt;="&amp;首页!$B$7))</f>
        <v/>
      </c>
      <c r="K87" s="44" t="str">
        <f aca="false">IF($A87="","",($E87+$I87)-($F87+$J87))</f>
        <v/>
      </c>
      <c r="L87" s="44" t="str">
        <f aca="false">IF($A87="","",IF($K87&gt;=0,$K87,0))</f>
        <v/>
      </c>
      <c r="M87" s="44" t="str">
        <f aca="false">IF($A87="","",IF($K87&lt;0,-$K87,0))</f>
        <v/>
      </c>
      <c r="N87" s="35" t="str">
        <f aca="false">IF($A87="","",科目参数!$F87)</f>
        <v/>
      </c>
      <c r="O87" s="35" t="str">
        <f aca="false">IF($A87="","",科目参数!$G87)</f>
        <v/>
      </c>
      <c r="P87" s="42" t="str">
        <f aca="false">IF($A87="","",科目参数!$H87)</f>
        <v/>
      </c>
    </row>
    <row r="88" customFormat="false" ht="15.75" hidden="false" customHeight="true" outlineLevel="0" collapsed="false">
      <c r="A88" s="42" t="str">
        <f aca="false">IF(科目参数!$A88="","",科目参数!$A88)</f>
        <v/>
      </c>
      <c r="B88" s="35" t="str">
        <f aca="false">IF($A88="","",科目参数!$B88)</f>
        <v/>
      </c>
      <c r="C88" s="42" t="str">
        <f aca="false">IF($A88="","",科目参数!$C88)</f>
        <v/>
      </c>
      <c r="D88" s="42" t="str">
        <f aca="false">IF($A88="","",科目参数!$D88)</f>
        <v/>
      </c>
      <c r="E88" s="54" t="str">
        <f aca="false">IF($A88="","",SUMIFS(期初数据!$Z$6:$Z$125,期初数据!$W$6:$W$125,$A88))</f>
        <v/>
      </c>
      <c r="F88" s="54" t="str">
        <f aca="false">IF($A88="","",SUMIFS(期初数据!$AA$6:$AA$125,期初数据!$W$6:$W$125,$A88))</f>
        <v/>
      </c>
      <c r="G88" s="54" t="str">
        <f aca="false">IF($A88="","",SUMIFS(资金流水!$N$5:$N$504,资金流水!$O$5:$O$504,$A88,资金流水!$C$5:$C$504,首页!$B$5)+SUMIFS(销售录入!$X$5:$X$404,销售录入!$V$5:$V$404,$A88,销售录入!$C$5:$C$404,首页!$B$5)+SUMIFS(销售录入!$AA$5:$AA$404,销售录入!$Y$5:$Y$404,$A88,销售录入!$C$5:$C$404,首页!$B$5)+SUMIFS(销售录入!$AD$5:$AD$404,销售录入!$AB$5:$AB$404,$A88,销售录入!$C$5:$C$404,首页!$B$5)+SUMIFS(采购录入!$W$5:$W$404,采购录入!$U$5:$U$404,$A88,采购录入!$C$5:$C$404,首页!$B$5)+SUMIFS(采购录入!$Z$5:$Z$404,采购录入!$X$5:$X$404,$A88,采购录入!$C$5:$C$404,首页!$B$5)+SUMIFS(其他凭证!$H$5:$H$304,其他凭证!$F$5:$F$304,$A88,其他凭证!$C$5:$C$304,首页!$B$5))</f>
        <v/>
      </c>
      <c r="H88" s="54" t="str">
        <f aca="false">IF($A88="","",SUMIFS(资金流水!$N$5:$N$504,资金流水!$P$5:$P$504,$A88,资金流水!$C$5:$C$504,首页!$B$5)+SUMIFS(销售录入!$X$5:$X$404,销售录入!$W$5:$W$404,$A88,销售录入!$C$5:$C$404,首页!$B$5)+SUMIFS(销售录入!$AA$5:$AA$404,销售录入!$Z$5:$Z$404,$A88,销售录入!$C$5:$C$404,首页!$B$5)+SUMIFS(销售录入!$AD$5:$AD$404,销售录入!$AC$5:$AC$404,$A88,销售录入!$C$5:$C$404,首页!$B$5)+SUMIFS(采购录入!$W$5:$W$404,采购录入!$V$5:$V$404,$A88,采购录入!$C$5:$C$404,首页!$B$5)+SUMIFS(采购录入!$Z$5:$Z$404,采购录入!$Y$5:$Y$404,$A88,采购录入!$C$5:$C$404,首页!$B$5)+SUMIFS(其他凭证!$H$5:$H$304,其他凭证!$G$5:$G$304,$A88,其他凭证!$C$5:$C$304,首页!$B$5))</f>
        <v/>
      </c>
      <c r="I88" s="54" t="str">
        <f aca="false">IF($A88="","",SUMIFS(资金流水!$N$5:$N$504,资金流水!$O$5:$O$504,$A88,资金流水!$B$5:$B$504,"&lt;="&amp;首页!$B$7)+SUMIFS(销售录入!$X$5:$X$404,销售录入!$V$5:$V$404,$A88,销售录入!$B$5:$B$404,"&lt;="&amp;首页!$B$7)+SUMIFS(销售录入!$AA$5:$AA$404,销售录入!$Y$5:$Y$404,$A88,销售录入!$B$5:$B$404,"&lt;="&amp;首页!$B$7)+SUMIFS(销售录入!$AD$5:$AD$404,销售录入!$AB$5:$AB$404,$A88,销售录入!$B$5:$B$404,"&lt;="&amp;首页!$B$7)+SUMIFS(采购录入!$W$5:$W$404,采购录入!$U$5:$U$404,$A88,采购录入!$B$5:$B$404,"&lt;="&amp;首页!$B$7)+SUMIFS(采购录入!$Z$5:$Z$404,采购录入!$X$5:$X$404,$A88,采购录入!$B$5:$B$404,"&lt;="&amp;首页!$B$7)+SUMIFS(其他凭证!$H$5:$H$304,其他凭证!$F$5:$F$304,$A88,其他凭证!$B$5:$B$304,"&lt;="&amp;首页!$B$7))</f>
        <v/>
      </c>
      <c r="J88" s="54" t="str">
        <f aca="false">IF($A88="","",SUMIFS(资金流水!$N$5:$N$504,资金流水!$P$5:$P$504,$A88,资金流水!$B$5:$B$504,"&lt;="&amp;首页!$B$7)+SUMIFS(销售录入!$X$5:$X$404,销售录入!$W$5:$W$404,$A88,销售录入!$B$5:$B$404,"&lt;="&amp;首页!$B$7)+SUMIFS(销售录入!$AA$5:$AA$404,销售录入!$Z$5:$Z$404,$A88,销售录入!$B$5:$B$404,"&lt;="&amp;首页!$B$7)+SUMIFS(销售录入!$AD$5:$AD$404,销售录入!$AC$5:$AC$404,$A88,销售录入!$B$5:$B$404,"&lt;="&amp;首页!$B$7)+SUMIFS(采购录入!$W$5:$W$404,采购录入!$V$5:$V$404,$A88,采购录入!$B$5:$B$404,"&lt;="&amp;首页!$B$7)+SUMIFS(采购录入!$Z$5:$Z$404,采购录入!$Y$5:$Y$404,$A88,采购录入!$B$5:$B$404,"&lt;="&amp;首页!$B$7)+SUMIFS(其他凭证!$H$5:$H$304,其他凭证!$G$5:$G$304,$A88,其他凭证!$B$5:$B$304,"&lt;="&amp;首页!$B$7))</f>
        <v/>
      </c>
      <c r="K88" s="44" t="str">
        <f aca="false">IF($A88="","",($E88+$I88)-($F88+$J88))</f>
        <v/>
      </c>
      <c r="L88" s="44" t="str">
        <f aca="false">IF($A88="","",IF($K88&gt;=0,$K88,0))</f>
        <v/>
      </c>
      <c r="M88" s="44" t="str">
        <f aca="false">IF($A88="","",IF($K88&lt;0,-$K88,0))</f>
        <v/>
      </c>
      <c r="N88" s="35" t="str">
        <f aca="false">IF($A88="","",科目参数!$F88)</f>
        <v/>
      </c>
      <c r="O88" s="35" t="str">
        <f aca="false">IF($A88="","",科目参数!$G88)</f>
        <v/>
      </c>
      <c r="P88" s="42" t="str">
        <f aca="false">IF($A88="","",科目参数!$H88)</f>
        <v/>
      </c>
    </row>
    <row r="89" customFormat="false" ht="15.75" hidden="false" customHeight="true" outlineLevel="0" collapsed="false">
      <c r="A89" s="42" t="str">
        <f aca="false">IF(科目参数!$A89="","",科目参数!$A89)</f>
        <v/>
      </c>
      <c r="B89" s="35" t="str">
        <f aca="false">IF($A89="","",科目参数!$B89)</f>
        <v/>
      </c>
      <c r="C89" s="42" t="str">
        <f aca="false">IF($A89="","",科目参数!$C89)</f>
        <v/>
      </c>
      <c r="D89" s="42" t="str">
        <f aca="false">IF($A89="","",科目参数!$D89)</f>
        <v/>
      </c>
      <c r="E89" s="54" t="str">
        <f aca="false">IF($A89="","",SUMIFS(期初数据!$Z$6:$Z$125,期初数据!$W$6:$W$125,$A89))</f>
        <v/>
      </c>
      <c r="F89" s="54" t="str">
        <f aca="false">IF($A89="","",SUMIFS(期初数据!$AA$6:$AA$125,期初数据!$W$6:$W$125,$A89))</f>
        <v/>
      </c>
      <c r="G89" s="54" t="str">
        <f aca="false">IF($A89="","",SUMIFS(资金流水!$N$5:$N$504,资金流水!$O$5:$O$504,$A89,资金流水!$C$5:$C$504,首页!$B$5)+SUMIFS(销售录入!$X$5:$X$404,销售录入!$V$5:$V$404,$A89,销售录入!$C$5:$C$404,首页!$B$5)+SUMIFS(销售录入!$AA$5:$AA$404,销售录入!$Y$5:$Y$404,$A89,销售录入!$C$5:$C$404,首页!$B$5)+SUMIFS(销售录入!$AD$5:$AD$404,销售录入!$AB$5:$AB$404,$A89,销售录入!$C$5:$C$404,首页!$B$5)+SUMIFS(采购录入!$W$5:$W$404,采购录入!$U$5:$U$404,$A89,采购录入!$C$5:$C$404,首页!$B$5)+SUMIFS(采购录入!$Z$5:$Z$404,采购录入!$X$5:$X$404,$A89,采购录入!$C$5:$C$404,首页!$B$5)+SUMIFS(其他凭证!$H$5:$H$304,其他凭证!$F$5:$F$304,$A89,其他凭证!$C$5:$C$304,首页!$B$5))</f>
        <v/>
      </c>
      <c r="H89" s="54" t="str">
        <f aca="false">IF($A89="","",SUMIFS(资金流水!$N$5:$N$504,资金流水!$P$5:$P$504,$A89,资金流水!$C$5:$C$504,首页!$B$5)+SUMIFS(销售录入!$X$5:$X$404,销售录入!$W$5:$W$404,$A89,销售录入!$C$5:$C$404,首页!$B$5)+SUMIFS(销售录入!$AA$5:$AA$404,销售录入!$Z$5:$Z$404,$A89,销售录入!$C$5:$C$404,首页!$B$5)+SUMIFS(销售录入!$AD$5:$AD$404,销售录入!$AC$5:$AC$404,$A89,销售录入!$C$5:$C$404,首页!$B$5)+SUMIFS(采购录入!$W$5:$W$404,采购录入!$V$5:$V$404,$A89,采购录入!$C$5:$C$404,首页!$B$5)+SUMIFS(采购录入!$Z$5:$Z$404,采购录入!$Y$5:$Y$404,$A89,采购录入!$C$5:$C$404,首页!$B$5)+SUMIFS(其他凭证!$H$5:$H$304,其他凭证!$G$5:$G$304,$A89,其他凭证!$C$5:$C$304,首页!$B$5))</f>
        <v/>
      </c>
      <c r="I89" s="54" t="str">
        <f aca="false">IF($A89="","",SUMIFS(资金流水!$N$5:$N$504,资金流水!$O$5:$O$504,$A89,资金流水!$B$5:$B$504,"&lt;="&amp;首页!$B$7)+SUMIFS(销售录入!$X$5:$X$404,销售录入!$V$5:$V$404,$A89,销售录入!$B$5:$B$404,"&lt;="&amp;首页!$B$7)+SUMIFS(销售录入!$AA$5:$AA$404,销售录入!$Y$5:$Y$404,$A89,销售录入!$B$5:$B$404,"&lt;="&amp;首页!$B$7)+SUMIFS(销售录入!$AD$5:$AD$404,销售录入!$AB$5:$AB$404,$A89,销售录入!$B$5:$B$404,"&lt;="&amp;首页!$B$7)+SUMIFS(采购录入!$W$5:$W$404,采购录入!$U$5:$U$404,$A89,采购录入!$B$5:$B$404,"&lt;="&amp;首页!$B$7)+SUMIFS(采购录入!$Z$5:$Z$404,采购录入!$X$5:$X$404,$A89,采购录入!$B$5:$B$404,"&lt;="&amp;首页!$B$7)+SUMIFS(其他凭证!$H$5:$H$304,其他凭证!$F$5:$F$304,$A89,其他凭证!$B$5:$B$304,"&lt;="&amp;首页!$B$7))</f>
        <v/>
      </c>
      <c r="J89" s="54" t="str">
        <f aca="false">IF($A89="","",SUMIFS(资金流水!$N$5:$N$504,资金流水!$P$5:$P$504,$A89,资金流水!$B$5:$B$504,"&lt;="&amp;首页!$B$7)+SUMIFS(销售录入!$X$5:$X$404,销售录入!$W$5:$W$404,$A89,销售录入!$B$5:$B$404,"&lt;="&amp;首页!$B$7)+SUMIFS(销售录入!$AA$5:$AA$404,销售录入!$Z$5:$Z$404,$A89,销售录入!$B$5:$B$404,"&lt;="&amp;首页!$B$7)+SUMIFS(销售录入!$AD$5:$AD$404,销售录入!$AC$5:$AC$404,$A89,销售录入!$B$5:$B$404,"&lt;="&amp;首页!$B$7)+SUMIFS(采购录入!$W$5:$W$404,采购录入!$V$5:$V$404,$A89,采购录入!$B$5:$B$404,"&lt;="&amp;首页!$B$7)+SUMIFS(采购录入!$Z$5:$Z$404,采购录入!$Y$5:$Y$404,$A89,采购录入!$B$5:$B$404,"&lt;="&amp;首页!$B$7)+SUMIFS(其他凭证!$H$5:$H$304,其他凭证!$G$5:$G$304,$A89,其他凭证!$B$5:$B$304,"&lt;="&amp;首页!$B$7))</f>
        <v/>
      </c>
      <c r="K89" s="44" t="str">
        <f aca="false">IF($A89="","",($E89+$I89)-($F89+$J89))</f>
        <v/>
      </c>
      <c r="L89" s="44" t="str">
        <f aca="false">IF($A89="","",IF($K89&gt;=0,$K89,0))</f>
        <v/>
      </c>
      <c r="M89" s="44" t="str">
        <f aca="false">IF($A89="","",IF($K89&lt;0,-$K89,0))</f>
        <v/>
      </c>
      <c r="N89" s="35" t="str">
        <f aca="false">IF($A89="","",科目参数!$F89)</f>
        <v/>
      </c>
      <c r="O89" s="35" t="str">
        <f aca="false">IF($A89="","",科目参数!$G89)</f>
        <v/>
      </c>
      <c r="P89" s="42" t="str">
        <f aca="false">IF($A89="","",科目参数!$H89)</f>
        <v/>
      </c>
    </row>
    <row r="90" customFormat="false" ht="15.75" hidden="false" customHeight="true" outlineLevel="0" collapsed="false">
      <c r="A90" s="42" t="str">
        <f aca="false">IF(科目参数!$A90="","",科目参数!$A90)</f>
        <v/>
      </c>
      <c r="B90" s="35" t="str">
        <f aca="false">IF($A90="","",科目参数!$B90)</f>
        <v/>
      </c>
      <c r="C90" s="42" t="str">
        <f aca="false">IF($A90="","",科目参数!$C90)</f>
        <v/>
      </c>
      <c r="D90" s="42" t="str">
        <f aca="false">IF($A90="","",科目参数!$D90)</f>
        <v/>
      </c>
      <c r="E90" s="54" t="str">
        <f aca="false">IF($A90="","",SUMIFS(期初数据!$Z$6:$Z$125,期初数据!$W$6:$W$125,$A90))</f>
        <v/>
      </c>
      <c r="F90" s="54" t="str">
        <f aca="false">IF($A90="","",SUMIFS(期初数据!$AA$6:$AA$125,期初数据!$W$6:$W$125,$A90))</f>
        <v/>
      </c>
      <c r="G90" s="54" t="str">
        <f aca="false">IF($A90="","",SUMIFS(资金流水!$N$5:$N$504,资金流水!$O$5:$O$504,$A90,资金流水!$C$5:$C$504,首页!$B$5)+SUMIFS(销售录入!$X$5:$X$404,销售录入!$V$5:$V$404,$A90,销售录入!$C$5:$C$404,首页!$B$5)+SUMIFS(销售录入!$AA$5:$AA$404,销售录入!$Y$5:$Y$404,$A90,销售录入!$C$5:$C$404,首页!$B$5)+SUMIFS(销售录入!$AD$5:$AD$404,销售录入!$AB$5:$AB$404,$A90,销售录入!$C$5:$C$404,首页!$B$5)+SUMIFS(采购录入!$W$5:$W$404,采购录入!$U$5:$U$404,$A90,采购录入!$C$5:$C$404,首页!$B$5)+SUMIFS(采购录入!$Z$5:$Z$404,采购录入!$X$5:$X$404,$A90,采购录入!$C$5:$C$404,首页!$B$5)+SUMIFS(其他凭证!$H$5:$H$304,其他凭证!$F$5:$F$304,$A90,其他凭证!$C$5:$C$304,首页!$B$5))</f>
        <v/>
      </c>
      <c r="H90" s="54" t="str">
        <f aca="false">IF($A90="","",SUMIFS(资金流水!$N$5:$N$504,资金流水!$P$5:$P$504,$A90,资金流水!$C$5:$C$504,首页!$B$5)+SUMIFS(销售录入!$X$5:$X$404,销售录入!$W$5:$W$404,$A90,销售录入!$C$5:$C$404,首页!$B$5)+SUMIFS(销售录入!$AA$5:$AA$404,销售录入!$Z$5:$Z$404,$A90,销售录入!$C$5:$C$404,首页!$B$5)+SUMIFS(销售录入!$AD$5:$AD$404,销售录入!$AC$5:$AC$404,$A90,销售录入!$C$5:$C$404,首页!$B$5)+SUMIFS(采购录入!$W$5:$W$404,采购录入!$V$5:$V$404,$A90,采购录入!$C$5:$C$404,首页!$B$5)+SUMIFS(采购录入!$Z$5:$Z$404,采购录入!$Y$5:$Y$404,$A90,采购录入!$C$5:$C$404,首页!$B$5)+SUMIFS(其他凭证!$H$5:$H$304,其他凭证!$G$5:$G$304,$A90,其他凭证!$C$5:$C$304,首页!$B$5))</f>
        <v/>
      </c>
      <c r="I90" s="54" t="str">
        <f aca="false">IF($A90="","",SUMIFS(资金流水!$N$5:$N$504,资金流水!$O$5:$O$504,$A90,资金流水!$B$5:$B$504,"&lt;="&amp;首页!$B$7)+SUMIFS(销售录入!$X$5:$X$404,销售录入!$V$5:$V$404,$A90,销售录入!$B$5:$B$404,"&lt;="&amp;首页!$B$7)+SUMIFS(销售录入!$AA$5:$AA$404,销售录入!$Y$5:$Y$404,$A90,销售录入!$B$5:$B$404,"&lt;="&amp;首页!$B$7)+SUMIFS(销售录入!$AD$5:$AD$404,销售录入!$AB$5:$AB$404,$A90,销售录入!$B$5:$B$404,"&lt;="&amp;首页!$B$7)+SUMIFS(采购录入!$W$5:$W$404,采购录入!$U$5:$U$404,$A90,采购录入!$B$5:$B$404,"&lt;="&amp;首页!$B$7)+SUMIFS(采购录入!$Z$5:$Z$404,采购录入!$X$5:$X$404,$A90,采购录入!$B$5:$B$404,"&lt;="&amp;首页!$B$7)+SUMIFS(其他凭证!$H$5:$H$304,其他凭证!$F$5:$F$304,$A90,其他凭证!$B$5:$B$304,"&lt;="&amp;首页!$B$7))</f>
        <v/>
      </c>
      <c r="J90" s="54" t="str">
        <f aca="false">IF($A90="","",SUMIFS(资金流水!$N$5:$N$504,资金流水!$P$5:$P$504,$A90,资金流水!$B$5:$B$504,"&lt;="&amp;首页!$B$7)+SUMIFS(销售录入!$X$5:$X$404,销售录入!$W$5:$W$404,$A90,销售录入!$B$5:$B$404,"&lt;="&amp;首页!$B$7)+SUMIFS(销售录入!$AA$5:$AA$404,销售录入!$Z$5:$Z$404,$A90,销售录入!$B$5:$B$404,"&lt;="&amp;首页!$B$7)+SUMIFS(销售录入!$AD$5:$AD$404,销售录入!$AC$5:$AC$404,$A90,销售录入!$B$5:$B$404,"&lt;="&amp;首页!$B$7)+SUMIFS(采购录入!$W$5:$W$404,采购录入!$V$5:$V$404,$A90,采购录入!$B$5:$B$404,"&lt;="&amp;首页!$B$7)+SUMIFS(采购录入!$Z$5:$Z$404,采购录入!$Y$5:$Y$404,$A90,采购录入!$B$5:$B$404,"&lt;="&amp;首页!$B$7)+SUMIFS(其他凭证!$H$5:$H$304,其他凭证!$G$5:$G$304,$A90,其他凭证!$B$5:$B$304,"&lt;="&amp;首页!$B$7))</f>
        <v/>
      </c>
      <c r="K90" s="44" t="str">
        <f aca="false">IF($A90="","",($E90+$I90)-($F90+$J90))</f>
        <v/>
      </c>
      <c r="L90" s="44" t="str">
        <f aca="false">IF($A90="","",IF($K90&gt;=0,$K90,0))</f>
        <v/>
      </c>
      <c r="M90" s="44" t="str">
        <f aca="false">IF($A90="","",IF($K90&lt;0,-$K90,0))</f>
        <v/>
      </c>
      <c r="N90" s="35" t="str">
        <f aca="false">IF($A90="","",科目参数!$F90)</f>
        <v/>
      </c>
      <c r="O90" s="35" t="str">
        <f aca="false">IF($A90="","",科目参数!$G90)</f>
        <v/>
      </c>
      <c r="P90" s="42" t="str">
        <f aca="false">IF($A90="","",科目参数!$H90)</f>
        <v/>
      </c>
    </row>
    <row r="91" customFormat="false" ht="15.75" hidden="false" customHeight="true" outlineLevel="0" collapsed="false">
      <c r="A91" s="42" t="str">
        <f aca="false">IF(科目参数!$A91="","",科目参数!$A91)</f>
        <v/>
      </c>
      <c r="B91" s="35" t="str">
        <f aca="false">IF($A91="","",科目参数!$B91)</f>
        <v/>
      </c>
      <c r="C91" s="42" t="str">
        <f aca="false">IF($A91="","",科目参数!$C91)</f>
        <v/>
      </c>
      <c r="D91" s="42" t="str">
        <f aca="false">IF($A91="","",科目参数!$D91)</f>
        <v/>
      </c>
      <c r="E91" s="54" t="str">
        <f aca="false">IF($A91="","",SUMIFS(期初数据!$Z$6:$Z$125,期初数据!$W$6:$W$125,$A91))</f>
        <v/>
      </c>
      <c r="F91" s="54" t="str">
        <f aca="false">IF($A91="","",SUMIFS(期初数据!$AA$6:$AA$125,期初数据!$W$6:$W$125,$A91))</f>
        <v/>
      </c>
      <c r="G91" s="54" t="str">
        <f aca="false">IF($A91="","",SUMIFS(资金流水!$N$5:$N$504,资金流水!$O$5:$O$504,$A91,资金流水!$C$5:$C$504,首页!$B$5)+SUMIFS(销售录入!$X$5:$X$404,销售录入!$V$5:$V$404,$A91,销售录入!$C$5:$C$404,首页!$B$5)+SUMIFS(销售录入!$AA$5:$AA$404,销售录入!$Y$5:$Y$404,$A91,销售录入!$C$5:$C$404,首页!$B$5)+SUMIFS(销售录入!$AD$5:$AD$404,销售录入!$AB$5:$AB$404,$A91,销售录入!$C$5:$C$404,首页!$B$5)+SUMIFS(采购录入!$W$5:$W$404,采购录入!$U$5:$U$404,$A91,采购录入!$C$5:$C$404,首页!$B$5)+SUMIFS(采购录入!$Z$5:$Z$404,采购录入!$X$5:$X$404,$A91,采购录入!$C$5:$C$404,首页!$B$5)+SUMIFS(其他凭证!$H$5:$H$304,其他凭证!$F$5:$F$304,$A91,其他凭证!$C$5:$C$304,首页!$B$5))</f>
        <v/>
      </c>
      <c r="H91" s="54" t="str">
        <f aca="false">IF($A91="","",SUMIFS(资金流水!$N$5:$N$504,资金流水!$P$5:$P$504,$A91,资金流水!$C$5:$C$504,首页!$B$5)+SUMIFS(销售录入!$X$5:$X$404,销售录入!$W$5:$W$404,$A91,销售录入!$C$5:$C$404,首页!$B$5)+SUMIFS(销售录入!$AA$5:$AA$404,销售录入!$Z$5:$Z$404,$A91,销售录入!$C$5:$C$404,首页!$B$5)+SUMIFS(销售录入!$AD$5:$AD$404,销售录入!$AC$5:$AC$404,$A91,销售录入!$C$5:$C$404,首页!$B$5)+SUMIFS(采购录入!$W$5:$W$404,采购录入!$V$5:$V$404,$A91,采购录入!$C$5:$C$404,首页!$B$5)+SUMIFS(采购录入!$Z$5:$Z$404,采购录入!$Y$5:$Y$404,$A91,采购录入!$C$5:$C$404,首页!$B$5)+SUMIFS(其他凭证!$H$5:$H$304,其他凭证!$G$5:$G$304,$A91,其他凭证!$C$5:$C$304,首页!$B$5))</f>
        <v/>
      </c>
      <c r="I91" s="54" t="str">
        <f aca="false">IF($A91="","",SUMIFS(资金流水!$N$5:$N$504,资金流水!$O$5:$O$504,$A91,资金流水!$B$5:$B$504,"&lt;="&amp;首页!$B$7)+SUMIFS(销售录入!$X$5:$X$404,销售录入!$V$5:$V$404,$A91,销售录入!$B$5:$B$404,"&lt;="&amp;首页!$B$7)+SUMIFS(销售录入!$AA$5:$AA$404,销售录入!$Y$5:$Y$404,$A91,销售录入!$B$5:$B$404,"&lt;="&amp;首页!$B$7)+SUMIFS(销售录入!$AD$5:$AD$404,销售录入!$AB$5:$AB$404,$A91,销售录入!$B$5:$B$404,"&lt;="&amp;首页!$B$7)+SUMIFS(采购录入!$W$5:$W$404,采购录入!$U$5:$U$404,$A91,采购录入!$B$5:$B$404,"&lt;="&amp;首页!$B$7)+SUMIFS(采购录入!$Z$5:$Z$404,采购录入!$X$5:$X$404,$A91,采购录入!$B$5:$B$404,"&lt;="&amp;首页!$B$7)+SUMIFS(其他凭证!$H$5:$H$304,其他凭证!$F$5:$F$304,$A91,其他凭证!$B$5:$B$304,"&lt;="&amp;首页!$B$7))</f>
        <v/>
      </c>
      <c r="J91" s="54" t="str">
        <f aca="false">IF($A91="","",SUMIFS(资金流水!$N$5:$N$504,资金流水!$P$5:$P$504,$A91,资金流水!$B$5:$B$504,"&lt;="&amp;首页!$B$7)+SUMIFS(销售录入!$X$5:$X$404,销售录入!$W$5:$W$404,$A91,销售录入!$B$5:$B$404,"&lt;="&amp;首页!$B$7)+SUMIFS(销售录入!$AA$5:$AA$404,销售录入!$Z$5:$Z$404,$A91,销售录入!$B$5:$B$404,"&lt;="&amp;首页!$B$7)+SUMIFS(销售录入!$AD$5:$AD$404,销售录入!$AC$5:$AC$404,$A91,销售录入!$B$5:$B$404,"&lt;="&amp;首页!$B$7)+SUMIFS(采购录入!$W$5:$W$404,采购录入!$V$5:$V$404,$A91,采购录入!$B$5:$B$404,"&lt;="&amp;首页!$B$7)+SUMIFS(采购录入!$Z$5:$Z$404,采购录入!$Y$5:$Y$404,$A91,采购录入!$B$5:$B$404,"&lt;="&amp;首页!$B$7)+SUMIFS(其他凭证!$H$5:$H$304,其他凭证!$G$5:$G$304,$A91,其他凭证!$B$5:$B$304,"&lt;="&amp;首页!$B$7))</f>
        <v/>
      </c>
      <c r="K91" s="44" t="str">
        <f aca="false">IF($A91="","",($E91+$I91)-($F91+$J91))</f>
        <v/>
      </c>
      <c r="L91" s="44" t="str">
        <f aca="false">IF($A91="","",IF($K91&gt;=0,$K91,0))</f>
        <v/>
      </c>
      <c r="M91" s="44" t="str">
        <f aca="false">IF($A91="","",IF($K91&lt;0,-$K91,0))</f>
        <v/>
      </c>
      <c r="N91" s="35" t="str">
        <f aca="false">IF($A91="","",科目参数!$F91)</f>
        <v/>
      </c>
      <c r="O91" s="35" t="str">
        <f aca="false">IF($A91="","",科目参数!$G91)</f>
        <v/>
      </c>
      <c r="P91" s="42" t="str">
        <f aca="false">IF($A91="","",科目参数!$H91)</f>
        <v/>
      </c>
    </row>
    <row r="92" customFormat="false" ht="15.75" hidden="false" customHeight="true" outlineLevel="0" collapsed="false">
      <c r="A92" s="42" t="str">
        <f aca="false">IF(科目参数!$A92="","",科目参数!$A92)</f>
        <v/>
      </c>
      <c r="B92" s="35" t="str">
        <f aca="false">IF($A92="","",科目参数!$B92)</f>
        <v/>
      </c>
      <c r="C92" s="42" t="str">
        <f aca="false">IF($A92="","",科目参数!$C92)</f>
        <v/>
      </c>
      <c r="D92" s="42" t="str">
        <f aca="false">IF($A92="","",科目参数!$D92)</f>
        <v/>
      </c>
      <c r="E92" s="54" t="str">
        <f aca="false">IF($A92="","",SUMIFS(期初数据!$Z$6:$Z$125,期初数据!$W$6:$W$125,$A92))</f>
        <v/>
      </c>
      <c r="F92" s="54" t="str">
        <f aca="false">IF($A92="","",SUMIFS(期初数据!$AA$6:$AA$125,期初数据!$W$6:$W$125,$A92))</f>
        <v/>
      </c>
      <c r="G92" s="54" t="str">
        <f aca="false">IF($A92="","",SUMIFS(资金流水!$N$5:$N$504,资金流水!$O$5:$O$504,$A92,资金流水!$C$5:$C$504,首页!$B$5)+SUMIFS(销售录入!$X$5:$X$404,销售录入!$V$5:$V$404,$A92,销售录入!$C$5:$C$404,首页!$B$5)+SUMIFS(销售录入!$AA$5:$AA$404,销售录入!$Y$5:$Y$404,$A92,销售录入!$C$5:$C$404,首页!$B$5)+SUMIFS(销售录入!$AD$5:$AD$404,销售录入!$AB$5:$AB$404,$A92,销售录入!$C$5:$C$404,首页!$B$5)+SUMIFS(采购录入!$W$5:$W$404,采购录入!$U$5:$U$404,$A92,采购录入!$C$5:$C$404,首页!$B$5)+SUMIFS(采购录入!$Z$5:$Z$404,采购录入!$X$5:$X$404,$A92,采购录入!$C$5:$C$404,首页!$B$5)+SUMIFS(其他凭证!$H$5:$H$304,其他凭证!$F$5:$F$304,$A92,其他凭证!$C$5:$C$304,首页!$B$5))</f>
        <v/>
      </c>
      <c r="H92" s="54" t="str">
        <f aca="false">IF($A92="","",SUMIFS(资金流水!$N$5:$N$504,资金流水!$P$5:$P$504,$A92,资金流水!$C$5:$C$504,首页!$B$5)+SUMIFS(销售录入!$X$5:$X$404,销售录入!$W$5:$W$404,$A92,销售录入!$C$5:$C$404,首页!$B$5)+SUMIFS(销售录入!$AA$5:$AA$404,销售录入!$Z$5:$Z$404,$A92,销售录入!$C$5:$C$404,首页!$B$5)+SUMIFS(销售录入!$AD$5:$AD$404,销售录入!$AC$5:$AC$404,$A92,销售录入!$C$5:$C$404,首页!$B$5)+SUMIFS(采购录入!$W$5:$W$404,采购录入!$V$5:$V$404,$A92,采购录入!$C$5:$C$404,首页!$B$5)+SUMIFS(采购录入!$Z$5:$Z$404,采购录入!$Y$5:$Y$404,$A92,采购录入!$C$5:$C$404,首页!$B$5)+SUMIFS(其他凭证!$H$5:$H$304,其他凭证!$G$5:$G$304,$A92,其他凭证!$C$5:$C$304,首页!$B$5))</f>
        <v/>
      </c>
      <c r="I92" s="54" t="str">
        <f aca="false">IF($A92="","",SUMIFS(资金流水!$N$5:$N$504,资金流水!$O$5:$O$504,$A92,资金流水!$B$5:$B$504,"&lt;="&amp;首页!$B$7)+SUMIFS(销售录入!$X$5:$X$404,销售录入!$V$5:$V$404,$A92,销售录入!$B$5:$B$404,"&lt;="&amp;首页!$B$7)+SUMIFS(销售录入!$AA$5:$AA$404,销售录入!$Y$5:$Y$404,$A92,销售录入!$B$5:$B$404,"&lt;="&amp;首页!$B$7)+SUMIFS(销售录入!$AD$5:$AD$404,销售录入!$AB$5:$AB$404,$A92,销售录入!$B$5:$B$404,"&lt;="&amp;首页!$B$7)+SUMIFS(采购录入!$W$5:$W$404,采购录入!$U$5:$U$404,$A92,采购录入!$B$5:$B$404,"&lt;="&amp;首页!$B$7)+SUMIFS(采购录入!$Z$5:$Z$404,采购录入!$X$5:$X$404,$A92,采购录入!$B$5:$B$404,"&lt;="&amp;首页!$B$7)+SUMIFS(其他凭证!$H$5:$H$304,其他凭证!$F$5:$F$304,$A92,其他凭证!$B$5:$B$304,"&lt;="&amp;首页!$B$7))</f>
        <v/>
      </c>
      <c r="J92" s="54" t="str">
        <f aca="false">IF($A92="","",SUMIFS(资金流水!$N$5:$N$504,资金流水!$P$5:$P$504,$A92,资金流水!$B$5:$B$504,"&lt;="&amp;首页!$B$7)+SUMIFS(销售录入!$X$5:$X$404,销售录入!$W$5:$W$404,$A92,销售录入!$B$5:$B$404,"&lt;="&amp;首页!$B$7)+SUMIFS(销售录入!$AA$5:$AA$404,销售录入!$Z$5:$Z$404,$A92,销售录入!$B$5:$B$404,"&lt;="&amp;首页!$B$7)+SUMIFS(销售录入!$AD$5:$AD$404,销售录入!$AC$5:$AC$404,$A92,销售录入!$B$5:$B$404,"&lt;="&amp;首页!$B$7)+SUMIFS(采购录入!$W$5:$W$404,采购录入!$V$5:$V$404,$A92,采购录入!$B$5:$B$404,"&lt;="&amp;首页!$B$7)+SUMIFS(采购录入!$Z$5:$Z$404,采购录入!$Y$5:$Y$404,$A92,采购录入!$B$5:$B$404,"&lt;="&amp;首页!$B$7)+SUMIFS(其他凭证!$H$5:$H$304,其他凭证!$G$5:$G$304,$A92,其他凭证!$B$5:$B$304,"&lt;="&amp;首页!$B$7))</f>
        <v/>
      </c>
      <c r="K92" s="44" t="str">
        <f aca="false">IF($A92="","",($E92+$I92)-($F92+$J92))</f>
        <v/>
      </c>
      <c r="L92" s="44" t="str">
        <f aca="false">IF($A92="","",IF($K92&gt;=0,$K92,0))</f>
        <v/>
      </c>
      <c r="M92" s="44" t="str">
        <f aca="false">IF($A92="","",IF($K92&lt;0,-$K92,0))</f>
        <v/>
      </c>
      <c r="N92" s="35" t="str">
        <f aca="false">IF($A92="","",科目参数!$F92)</f>
        <v/>
      </c>
      <c r="O92" s="35" t="str">
        <f aca="false">IF($A92="","",科目参数!$G92)</f>
        <v/>
      </c>
      <c r="P92" s="42" t="str">
        <f aca="false">IF($A92="","",科目参数!$H92)</f>
        <v/>
      </c>
    </row>
    <row r="93" customFormat="false" ht="15.75" hidden="false" customHeight="true" outlineLevel="0" collapsed="false">
      <c r="A93" s="42" t="str">
        <f aca="false">IF(科目参数!$A93="","",科目参数!$A93)</f>
        <v/>
      </c>
      <c r="B93" s="35" t="str">
        <f aca="false">IF($A93="","",科目参数!$B93)</f>
        <v/>
      </c>
      <c r="C93" s="42" t="str">
        <f aca="false">IF($A93="","",科目参数!$C93)</f>
        <v/>
      </c>
      <c r="D93" s="42" t="str">
        <f aca="false">IF($A93="","",科目参数!$D93)</f>
        <v/>
      </c>
      <c r="E93" s="54" t="str">
        <f aca="false">IF($A93="","",SUMIFS(期初数据!$Z$6:$Z$125,期初数据!$W$6:$W$125,$A93))</f>
        <v/>
      </c>
      <c r="F93" s="54" t="str">
        <f aca="false">IF($A93="","",SUMIFS(期初数据!$AA$6:$AA$125,期初数据!$W$6:$W$125,$A93))</f>
        <v/>
      </c>
      <c r="G93" s="54" t="str">
        <f aca="false">IF($A93="","",SUMIFS(资金流水!$N$5:$N$504,资金流水!$O$5:$O$504,$A93,资金流水!$C$5:$C$504,首页!$B$5)+SUMIFS(销售录入!$X$5:$X$404,销售录入!$V$5:$V$404,$A93,销售录入!$C$5:$C$404,首页!$B$5)+SUMIFS(销售录入!$AA$5:$AA$404,销售录入!$Y$5:$Y$404,$A93,销售录入!$C$5:$C$404,首页!$B$5)+SUMIFS(销售录入!$AD$5:$AD$404,销售录入!$AB$5:$AB$404,$A93,销售录入!$C$5:$C$404,首页!$B$5)+SUMIFS(采购录入!$W$5:$W$404,采购录入!$U$5:$U$404,$A93,采购录入!$C$5:$C$404,首页!$B$5)+SUMIFS(采购录入!$Z$5:$Z$404,采购录入!$X$5:$X$404,$A93,采购录入!$C$5:$C$404,首页!$B$5)+SUMIFS(其他凭证!$H$5:$H$304,其他凭证!$F$5:$F$304,$A93,其他凭证!$C$5:$C$304,首页!$B$5))</f>
        <v/>
      </c>
      <c r="H93" s="54" t="str">
        <f aca="false">IF($A93="","",SUMIFS(资金流水!$N$5:$N$504,资金流水!$P$5:$P$504,$A93,资金流水!$C$5:$C$504,首页!$B$5)+SUMIFS(销售录入!$X$5:$X$404,销售录入!$W$5:$W$404,$A93,销售录入!$C$5:$C$404,首页!$B$5)+SUMIFS(销售录入!$AA$5:$AA$404,销售录入!$Z$5:$Z$404,$A93,销售录入!$C$5:$C$404,首页!$B$5)+SUMIFS(销售录入!$AD$5:$AD$404,销售录入!$AC$5:$AC$404,$A93,销售录入!$C$5:$C$404,首页!$B$5)+SUMIFS(采购录入!$W$5:$W$404,采购录入!$V$5:$V$404,$A93,采购录入!$C$5:$C$404,首页!$B$5)+SUMIFS(采购录入!$Z$5:$Z$404,采购录入!$Y$5:$Y$404,$A93,采购录入!$C$5:$C$404,首页!$B$5)+SUMIFS(其他凭证!$H$5:$H$304,其他凭证!$G$5:$G$304,$A93,其他凭证!$C$5:$C$304,首页!$B$5))</f>
        <v/>
      </c>
      <c r="I93" s="54" t="str">
        <f aca="false">IF($A93="","",SUMIFS(资金流水!$N$5:$N$504,资金流水!$O$5:$O$504,$A93,资金流水!$B$5:$B$504,"&lt;="&amp;首页!$B$7)+SUMIFS(销售录入!$X$5:$X$404,销售录入!$V$5:$V$404,$A93,销售录入!$B$5:$B$404,"&lt;="&amp;首页!$B$7)+SUMIFS(销售录入!$AA$5:$AA$404,销售录入!$Y$5:$Y$404,$A93,销售录入!$B$5:$B$404,"&lt;="&amp;首页!$B$7)+SUMIFS(销售录入!$AD$5:$AD$404,销售录入!$AB$5:$AB$404,$A93,销售录入!$B$5:$B$404,"&lt;="&amp;首页!$B$7)+SUMIFS(采购录入!$W$5:$W$404,采购录入!$U$5:$U$404,$A93,采购录入!$B$5:$B$404,"&lt;="&amp;首页!$B$7)+SUMIFS(采购录入!$Z$5:$Z$404,采购录入!$X$5:$X$404,$A93,采购录入!$B$5:$B$404,"&lt;="&amp;首页!$B$7)+SUMIFS(其他凭证!$H$5:$H$304,其他凭证!$F$5:$F$304,$A93,其他凭证!$B$5:$B$304,"&lt;="&amp;首页!$B$7))</f>
        <v/>
      </c>
      <c r="J93" s="54" t="str">
        <f aca="false">IF($A93="","",SUMIFS(资金流水!$N$5:$N$504,资金流水!$P$5:$P$504,$A93,资金流水!$B$5:$B$504,"&lt;="&amp;首页!$B$7)+SUMIFS(销售录入!$X$5:$X$404,销售录入!$W$5:$W$404,$A93,销售录入!$B$5:$B$404,"&lt;="&amp;首页!$B$7)+SUMIFS(销售录入!$AA$5:$AA$404,销售录入!$Z$5:$Z$404,$A93,销售录入!$B$5:$B$404,"&lt;="&amp;首页!$B$7)+SUMIFS(销售录入!$AD$5:$AD$404,销售录入!$AC$5:$AC$404,$A93,销售录入!$B$5:$B$404,"&lt;="&amp;首页!$B$7)+SUMIFS(采购录入!$W$5:$W$404,采购录入!$V$5:$V$404,$A93,采购录入!$B$5:$B$404,"&lt;="&amp;首页!$B$7)+SUMIFS(采购录入!$Z$5:$Z$404,采购录入!$Y$5:$Y$404,$A93,采购录入!$B$5:$B$404,"&lt;="&amp;首页!$B$7)+SUMIFS(其他凭证!$H$5:$H$304,其他凭证!$G$5:$G$304,$A93,其他凭证!$B$5:$B$304,"&lt;="&amp;首页!$B$7))</f>
        <v/>
      </c>
      <c r="K93" s="44" t="str">
        <f aca="false">IF($A93="","",($E93+$I93)-($F93+$J93))</f>
        <v/>
      </c>
      <c r="L93" s="44" t="str">
        <f aca="false">IF($A93="","",IF($K93&gt;=0,$K93,0))</f>
        <v/>
      </c>
      <c r="M93" s="44" t="str">
        <f aca="false">IF($A93="","",IF($K93&lt;0,-$K93,0))</f>
        <v/>
      </c>
      <c r="N93" s="35" t="str">
        <f aca="false">IF($A93="","",科目参数!$F93)</f>
        <v/>
      </c>
      <c r="O93" s="35" t="str">
        <f aca="false">IF($A93="","",科目参数!$G93)</f>
        <v/>
      </c>
      <c r="P93" s="42" t="str">
        <f aca="false">IF($A93="","",科目参数!$H93)</f>
        <v/>
      </c>
    </row>
    <row r="94" customFormat="false" ht="15.75" hidden="false" customHeight="true" outlineLevel="0" collapsed="false">
      <c r="A94" s="42" t="str">
        <f aca="false">IF(科目参数!$A94="","",科目参数!$A94)</f>
        <v/>
      </c>
      <c r="B94" s="35" t="str">
        <f aca="false">IF($A94="","",科目参数!$B94)</f>
        <v/>
      </c>
      <c r="C94" s="42" t="str">
        <f aca="false">IF($A94="","",科目参数!$C94)</f>
        <v/>
      </c>
      <c r="D94" s="42" t="str">
        <f aca="false">IF($A94="","",科目参数!$D94)</f>
        <v/>
      </c>
      <c r="E94" s="54" t="str">
        <f aca="false">IF($A94="","",SUMIFS(期初数据!$Z$6:$Z$125,期初数据!$W$6:$W$125,$A94))</f>
        <v/>
      </c>
      <c r="F94" s="54" t="str">
        <f aca="false">IF($A94="","",SUMIFS(期初数据!$AA$6:$AA$125,期初数据!$W$6:$W$125,$A94))</f>
        <v/>
      </c>
      <c r="G94" s="54" t="str">
        <f aca="false">IF($A94="","",SUMIFS(资金流水!$N$5:$N$504,资金流水!$O$5:$O$504,$A94,资金流水!$C$5:$C$504,首页!$B$5)+SUMIFS(销售录入!$X$5:$X$404,销售录入!$V$5:$V$404,$A94,销售录入!$C$5:$C$404,首页!$B$5)+SUMIFS(销售录入!$AA$5:$AA$404,销售录入!$Y$5:$Y$404,$A94,销售录入!$C$5:$C$404,首页!$B$5)+SUMIFS(销售录入!$AD$5:$AD$404,销售录入!$AB$5:$AB$404,$A94,销售录入!$C$5:$C$404,首页!$B$5)+SUMIFS(采购录入!$W$5:$W$404,采购录入!$U$5:$U$404,$A94,采购录入!$C$5:$C$404,首页!$B$5)+SUMIFS(采购录入!$Z$5:$Z$404,采购录入!$X$5:$X$404,$A94,采购录入!$C$5:$C$404,首页!$B$5)+SUMIFS(其他凭证!$H$5:$H$304,其他凭证!$F$5:$F$304,$A94,其他凭证!$C$5:$C$304,首页!$B$5))</f>
        <v/>
      </c>
      <c r="H94" s="54" t="str">
        <f aca="false">IF($A94="","",SUMIFS(资金流水!$N$5:$N$504,资金流水!$P$5:$P$504,$A94,资金流水!$C$5:$C$504,首页!$B$5)+SUMIFS(销售录入!$X$5:$X$404,销售录入!$W$5:$W$404,$A94,销售录入!$C$5:$C$404,首页!$B$5)+SUMIFS(销售录入!$AA$5:$AA$404,销售录入!$Z$5:$Z$404,$A94,销售录入!$C$5:$C$404,首页!$B$5)+SUMIFS(销售录入!$AD$5:$AD$404,销售录入!$AC$5:$AC$404,$A94,销售录入!$C$5:$C$404,首页!$B$5)+SUMIFS(采购录入!$W$5:$W$404,采购录入!$V$5:$V$404,$A94,采购录入!$C$5:$C$404,首页!$B$5)+SUMIFS(采购录入!$Z$5:$Z$404,采购录入!$Y$5:$Y$404,$A94,采购录入!$C$5:$C$404,首页!$B$5)+SUMIFS(其他凭证!$H$5:$H$304,其他凭证!$G$5:$G$304,$A94,其他凭证!$C$5:$C$304,首页!$B$5))</f>
        <v/>
      </c>
      <c r="I94" s="54" t="str">
        <f aca="false">IF($A94="","",SUMIFS(资金流水!$N$5:$N$504,资金流水!$O$5:$O$504,$A94,资金流水!$B$5:$B$504,"&lt;="&amp;首页!$B$7)+SUMIFS(销售录入!$X$5:$X$404,销售录入!$V$5:$V$404,$A94,销售录入!$B$5:$B$404,"&lt;="&amp;首页!$B$7)+SUMIFS(销售录入!$AA$5:$AA$404,销售录入!$Y$5:$Y$404,$A94,销售录入!$B$5:$B$404,"&lt;="&amp;首页!$B$7)+SUMIFS(销售录入!$AD$5:$AD$404,销售录入!$AB$5:$AB$404,$A94,销售录入!$B$5:$B$404,"&lt;="&amp;首页!$B$7)+SUMIFS(采购录入!$W$5:$W$404,采购录入!$U$5:$U$404,$A94,采购录入!$B$5:$B$404,"&lt;="&amp;首页!$B$7)+SUMIFS(采购录入!$Z$5:$Z$404,采购录入!$X$5:$X$404,$A94,采购录入!$B$5:$B$404,"&lt;="&amp;首页!$B$7)+SUMIFS(其他凭证!$H$5:$H$304,其他凭证!$F$5:$F$304,$A94,其他凭证!$B$5:$B$304,"&lt;="&amp;首页!$B$7))</f>
        <v/>
      </c>
      <c r="J94" s="54" t="str">
        <f aca="false">IF($A94="","",SUMIFS(资金流水!$N$5:$N$504,资金流水!$P$5:$P$504,$A94,资金流水!$B$5:$B$504,"&lt;="&amp;首页!$B$7)+SUMIFS(销售录入!$X$5:$X$404,销售录入!$W$5:$W$404,$A94,销售录入!$B$5:$B$404,"&lt;="&amp;首页!$B$7)+SUMIFS(销售录入!$AA$5:$AA$404,销售录入!$Z$5:$Z$404,$A94,销售录入!$B$5:$B$404,"&lt;="&amp;首页!$B$7)+SUMIFS(销售录入!$AD$5:$AD$404,销售录入!$AC$5:$AC$404,$A94,销售录入!$B$5:$B$404,"&lt;="&amp;首页!$B$7)+SUMIFS(采购录入!$W$5:$W$404,采购录入!$V$5:$V$404,$A94,采购录入!$B$5:$B$404,"&lt;="&amp;首页!$B$7)+SUMIFS(采购录入!$Z$5:$Z$404,采购录入!$Y$5:$Y$404,$A94,采购录入!$B$5:$B$404,"&lt;="&amp;首页!$B$7)+SUMIFS(其他凭证!$H$5:$H$304,其他凭证!$G$5:$G$304,$A94,其他凭证!$B$5:$B$304,"&lt;="&amp;首页!$B$7))</f>
        <v/>
      </c>
      <c r="K94" s="44" t="str">
        <f aca="false">IF($A94="","",($E94+$I94)-($F94+$J94))</f>
        <v/>
      </c>
      <c r="L94" s="44" t="str">
        <f aca="false">IF($A94="","",IF($K94&gt;=0,$K94,0))</f>
        <v/>
      </c>
      <c r="M94" s="44" t="str">
        <f aca="false">IF($A94="","",IF($K94&lt;0,-$K94,0))</f>
        <v/>
      </c>
      <c r="N94" s="35" t="str">
        <f aca="false">IF($A94="","",科目参数!$F94)</f>
        <v/>
      </c>
      <c r="O94" s="35" t="str">
        <f aca="false">IF($A94="","",科目参数!$G94)</f>
        <v/>
      </c>
      <c r="P94" s="42" t="str">
        <f aca="false">IF($A94="","",科目参数!$H94)</f>
        <v/>
      </c>
    </row>
    <row r="95" customFormat="false" ht="15.75" hidden="false" customHeight="true" outlineLevel="0" collapsed="false">
      <c r="A95" s="42" t="str">
        <f aca="false">IF(科目参数!$A95="","",科目参数!$A95)</f>
        <v/>
      </c>
      <c r="B95" s="35" t="str">
        <f aca="false">IF($A95="","",科目参数!$B95)</f>
        <v/>
      </c>
      <c r="C95" s="42" t="str">
        <f aca="false">IF($A95="","",科目参数!$C95)</f>
        <v/>
      </c>
      <c r="D95" s="42" t="str">
        <f aca="false">IF($A95="","",科目参数!$D95)</f>
        <v/>
      </c>
      <c r="E95" s="54" t="str">
        <f aca="false">IF($A95="","",SUMIFS(期初数据!$Z$6:$Z$125,期初数据!$W$6:$W$125,$A95))</f>
        <v/>
      </c>
      <c r="F95" s="54" t="str">
        <f aca="false">IF($A95="","",SUMIFS(期初数据!$AA$6:$AA$125,期初数据!$W$6:$W$125,$A95))</f>
        <v/>
      </c>
      <c r="G95" s="54" t="str">
        <f aca="false">IF($A95="","",SUMIFS(资金流水!$N$5:$N$504,资金流水!$O$5:$O$504,$A95,资金流水!$C$5:$C$504,首页!$B$5)+SUMIFS(销售录入!$X$5:$X$404,销售录入!$V$5:$V$404,$A95,销售录入!$C$5:$C$404,首页!$B$5)+SUMIFS(销售录入!$AA$5:$AA$404,销售录入!$Y$5:$Y$404,$A95,销售录入!$C$5:$C$404,首页!$B$5)+SUMIFS(销售录入!$AD$5:$AD$404,销售录入!$AB$5:$AB$404,$A95,销售录入!$C$5:$C$404,首页!$B$5)+SUMIFS(采购录入!$W$5:$W$404,采购录入!$U$5:$U$404,$A95,采购录入!$C$5:$C$404,首页!$B$5)+SUMIFS(采购录入!$Z$5:$Z$404,采购录入!$X$5:$X$404,$A95,采购录入!$C$5:$C$404,首页!$B$5)+SUMIFS(其他凭证!$H$5:$H$304,其他凭证!$F$5:$F$304,$A95,其他凭证!$C$5:$C$304,首页!$B$5))</f>
        <v/>
      </c>
      <c r="H95" s="54" t="str">
        <f aca="false">IF($A95="","",SUMIFS(资金流水!$N$5:$N$504,资金流水!$P$5:$P$504,$A95,资金流水!$C$5:$C$504,首页!$B$5)+SUMIFS(销售录入!$X$5:$X$404,销售录入!$W$5:$W$404,$A95,销售录入!$C$5:$C$404,首页!$B$5)+SUMIFS(销售录入!$AA$5:$AA$404,销售录入!$Z$5:$Z$404,$A95,销售录入!$C$5:$C$404,首页!$B$5)+SUMIFS(销售录入!$AD$5:$AD$404,销售录入!$AC$5:$AC$404,$A95,销售录入!$C$5:$C$404,首页!$B$5)+SUMIFS(采购录入!$W$5:$W$404,采购录入!$V$5:$V$404,$A95,采购录入!$C$5:$C$404,首页!$B$5)+SUMIFS(采购录入!$Z$5:$Z$404,采购录入!$Y$5:$Y$404,$A95,采购录入!$C$5:$C$404,首页!$B$5)+SUMIFS(其他凭证!$H$5:$H$304,其他凭证!$G$5:$G$304,$A95,其他凭证!$C$5:$C$304,首页!$B$5))</f>
        <v/>
      </c>
      <c r="I95" s="54" t="str">
        <f aca="false">IF($A95="","",SUMIFS(资金流水!$N$5:$N$504,资金流水!$O$5:$O$504,$A95,资金流水!$B$5:$B$504,"&lt;="&amp;首页!$B$7)+SUMIFS(销售录入!$X$5:$X$404,销售录入!$V$5:$V$404,$A95,销售录入!$B$5:$B$404,"&lt;="&amp;首页!$B$7)+SUMIFS(销售录入!$AA$5:$AA$404,销售录入!$Y$5:$Y$404,$A95,销售录入!$B$5:$B$404,"&lt;="&amp;首页!$B$7)+SUMIFS(销售录入!$AD$5:$AD$404,销售录入!$AB$5:$AB$404,$A95,销售录入!$B$5:$B$404,"&lt;="&amp;首页!$B$7)+SUMIFS(采购录入!$W$5:$W$404,采购录入!$U$5:$U$404,$A95,采购录入!$B$5:$B$404,"&lt;="&amp;首页!$B$7)+SUMIFS(采购录入!$Z$5:$Z$404,采购录入!$X$5:$X$404,$A95,采购录入!$B$5:$B$404,"&lt;="&amp;首页!$B$7)+SUMIFS(其他凭证!$H$5:$H$304,其他凭证!$F$5:$F$304,$A95,其他凭证!$B$5:$B$304,"&lt;="&amp;首页!$B$7))</f>
        <v/>
      </c>
      <c r="J95" s="54" t="str">
        <f aca="false">IF($A95="","",SUMIFS(资金流水!$N$5:$N$504,资金流水!$P$5:$P$504,$A95,资金流水!$B$5:$B$504,"&lt;="&amp;首页!$B$7)+SUMIFS(销售录入!$X$5:$X$404,销售录入!$W$5:$W$404,$A95,销售录入!$B$5:$B$404,"&lt;="&amp;首页!$B$7)+SUMIFS(销售录入!$AA$5:$AA$404,销售录入!$Z$5:$Z$404,$A95,销售录入!$B$5:$B$404,"&lt;="&amp;首页!$B$7)+SUMIFS(销售录入!$AD$5:$AD$404,销售录入!$AC$5:$AC$404,$A95,销售录入!$B$5:$B$404,"&lt;="&amp;首页!$B$7)+SUMIFS(采购录入!$W$5:$W$404,采购录入!$V$5:$V$404,$A95,采购录入!$B$5:$B$404,"&lt;="&amp;首页!$B$7)+SUMIFS(采购录入!$Z$5:$Z$404,采购录入!$Y$5:$Y$404,$A95,采购录入!$B$5:$B$404,"&lt;="&amp;首页!$B$7)+SUMIFS(其他凭证!$H$5:$H$304,其他凭证!$G$5:$G$304,$A95,其他凭证!$B$5:$B$304,"&lt;="&amp;首页!$B$7))</f>
        <v/>
      </c>
      <c r="K95" s="44" t="str">
        <f aca="false">IF($A95="","",($E95+$I95)-($F95+$J95))</f>
        <v/>
      </c>
      <c r="L95" s="44" t="str">
        <f aca="false">IF($A95="","",IF($K95&gt;=0,$K95,0))</f>
        <v/>
      </c>
      <c r="M95" s="44" t="str">
        <f aca="false">IF($A95="","",IF($K95&lt;0,-$K95,0))</f>
        <v/>
      </c>
      <c r="N95" s="35" t="str">
        <f aca="false">IF($A95="","",科目参数!$F95)</f>
        <v/>
      </c>
      <c r="O95" s="35" t="str">
        <f aca="false">IF($A95="","",科目参数!$G95)</f>
        <v/>
      </c>
      <c r="P95" s="42" t="str">
        <f aca="false">IF($A95="","",科目参数!$H95)</f>
        <v/>
      </c>
    </row>
    <row r="96" customFormat="false" ht="15.75" hidden="false" customHeight="true" outlineLevel="0" collapsed="false">
      <c r="A96" s="42" t="str">
        <f aca="false">IF(科目参数!$A96="","",科目参数!$A96)</f>
        <v/>
      </c>
      <c r="B96" s="35" t="str">
        <f aca="false">IF($A96="","",科目参数!$B96)</f>
        <v/>
      </c>
      <c r="C96" s="42" t="str">
        <f aca="false">IF($A96="","",科目参数!$C96)</f>
        <v/>
      </c>
      <c r="D96" s="42" t="str">
        <f aca="false">IF($A96="","",科目参数!$D96)</f>
        <v/>
      </c>
      <c r="E96" s="54" t="str">
        <f aca="false">IF($A96="","",SUMIFS(期初数据!$Z$6:$Z$125,期初数据!$W$6:$W$125,$A96))</f>
        <v/>
      </c>
      <c r="F96" s="54" t="str">
        <f aca="false">IF($A96="","",SUMIFS(期初数据!$AA$6:$AA$125,期初数据!$W$6:$W$125,$A96))</f>
        <v/>
      </c>
      <c r="G96" s="54" t="str">
        <f aca="false">IF($A96="","",SUMIFS(资金流水!$N$5:$N$504,资金流水!$O$5:$O$504,$A96,资金流水!$C$5:$C$504,首页!$B$5)+SUMIFS(销售录入!$X$5:$X$404,销售录入!$V$5:$V$404,$A96,销售录入!$C$5:$C$404,首页!$B$5)+SUMIFS(销售录入!$AA$5:$AA$404,销售录入!$Y$5:$Y$404,$A96,销售录入!$C$5:$C$404,首页!$B$5)+SUMIFS(销售录入!$AD$5:$AD$404,销售录入!$AB$5:$AB$404,$A96,销售录入!$C$5:$C$404,首页!$B$5)+SUMIFS(采购录入!$W$5:$W$404,采购录入!$U$5:$U$404,$A96,采购录入!$C$5:$C$404,首页!$B$5)+SUMIFS(采购录入!$Z$5:$Z$404,采购录入!$X$5:$X$404,$A96,采购录入!$C$5:$C$404,首页!$B$5)+SUMIFS(其他凭证!$H$5:$H$304,其他凭证!$F$5:$F$304,$A96,其他凭证!$C$5:$C$304,首页!$B$5))</f>
        <v/>
      </c>
      <c r="H96" s="54" t="str">
        <f aca="false">IF($A96="","",SUMIFS(资金流水!$N$5:$N$504,资金流水!$P$5:$P$504,$A96,资金流水!$C$5:$C$504,首页!$B$5)+SUMIFS(销售录入!$X$5:$X$404,销售录入!$W$5:$W$404,$A96,销售录入!$C$5:$C$404,首页!$B$5)+SUMIFS(销售录入!$AA$5:$AA$404,销售录入!$Z$5:$Z$404,$A96,销售录入!$C$5:$C$404,首页!$B$5)+SUMIFS(销售录入!$AD$5:$AD$404,销售录入!$AC$5:$AC$404,$A96,销售录入!$C$5:$C$404,首页!$B$5)+SUMIFS(采购录入!$W$5:$W$404,采购录入!$V$5:$V$404,$A96,采购录入!$C$5:$C$404,首页!$B$5)+SUMIFS(采购录入!$Z$5:$Z$404,采购录入!$Y$5:$Y$404,$A96,采购录入!$C$5:$C$404,首页!$B$5)+SUMIFS(其他凭证!$H$5:$H$304,其他凭证!$G$5:$G$304,$A96,其他凭证!$C$5:$C$304,首页!$B$5))</f>
        <v/>
      </c>
      <c r="I96" s="54" t="str">
        <f aca="false">IF($A96="","",SUMIFS(资金流水!$N$5:$N$504,资金流水!$O$5:$O$504,$A96,资金流水!$B$5:$B$504,"&lt;="&amp;首页!$B$7)+SUMIFS(销售录入!$X$5:$X$404,销售录入!$V$5:$V$404,$A96,销售录入!$B$5:$B$404,"&lt;="&amp;首页!$B$7)+SUMIFS(销售录入!$AA$5:$AA$404,销售录入!$Y$5:$Y$404,$A96,销售录入!$B$5:$B$404,"&lt;="&amp;首页!$B$7)+SUMIFS(销售录入!$AD$5:$AD$404,销售录入!$AB$5:$AB$404,$A96,销售录入!$B$5:$B$404,"&lt;="&amp;首页!$B$7)+SUMIFS(采购录入!$W$5:$W$404,采购录入!$U$5:$U$404,$A96,采购录入!$B$5:$B$404,"&lt;="&amp;首页!$B$7)+SUMIFS(采购录入!$Z$5:$Z$404,采购录入!$X$5:$X$404,$A96,采购录入!$B$5:$B$404,"&lt;="&amp;首页!$B$7)+SUMIFS(其他凭证!$H$5:$H$304,其他凭证!$F$5:$F$304,$A96,其他凭证!$B$5:$B$304,"&lt;="&amp;首页!$B$7))</f>
        <v/>
      </c>
      <c r="J96" s="54" t="str">
        <f aca="false">IF($A96="","",SUMIFS(资金流水!$N$5:$N$504,资金流水!$P$5:$P$504,$A96,资金流水!$B$5:$B$504,"&lt;="&amp;首页!$B$7)+SUMIFS(销售录入!$X$5:$X$404,销售录入!$W$5:$W$404,$A96,销售录入!$B$5:$B$404,"&lt;="&amp;首页!$B$7)+SUMIFS(销售录入!$AA$5:$AA$404,销售录入!$Z$5:$Z$404,$A96,销售录入!$B$5:$B$404,"&lt;="&amp;首页!$B$7)+SUMIFS(销售录入!$AD$5:$AD$404,销售录入!$AC$5:$AC$404,$A96,销售录入!$B$5:$B$404,"&lt;="&amp;首页!$B$7)+SUMIFS(采购录入!$W$5:$W$404,采购录入!$V$5:$V$404,$A96,采购录入!$B$5:$B$404,"&lt;="&amp;首页!$B$7)+SUMIFS(采购录入!$Z$5:$Z$404,采购录入!$Y$5:$Y$404,$A96,采购录入!$B$5:$B$404,"&lt;="&amp;首页!$B$7)+SUMIFS(其他凭证!$H$5:$H$304,其他凭证!$G$5:$G$304,$A96,其他凭证!$B$5:$B$304,"&lt;="&amp;首页!$B$7))</f>
        <v/>
      </c>
      <c r="K96" s="44" t="str">
        <f aca="false">IF($A96="","",($E96+$I96)-($F96+$J96))</f>
        <v/>
      </c>
      <c r="L96" s="44" t="str">
        <f aca="false">IF($A96="","",IF($K96&gt;=0,$K96,0))</f>
        <v/>
      </c>
      <c r="M96" s="44" t="str">
        <f aca="false">IF($A96="","",IF($K96&lt;0,-$K96,0))</f>
        <v/>
      </c>
      <c r="N96" s="35" t="str">
        <f aca="false">IF($A96="","",科目参数!$F96)</f>
        <v/>
      </c>
      <c r="O96" s="35" t="str">
        <f aca="false">IF($A96="","",科目参数!$G96)</f>
        <v/>
      </c>
      <c r="P96" s="42" t="str">
        <f aca="false">IF($A96="","",科目参数!$H96)</f>
        <v/>
      </c>
    </row>
    <row r="97" customFormat="false" ht="15.75" hidden="false" customHeight="true" outlineLevel="0" collapsed="false">
      <c r="A97" s="42" t="str">
        <f aca="false">IF(科目参数!$A97="","",科目参数!$A97)</f>
        <v/>
      </c>
      <c r="B97" s="35" t="str">
        <f aca="false">IF($A97="","",科目参数!$B97)</f>
        <v/>
      </c>
      <c r="C97" s="42" t="str">
        <f aca="false">IF($A97="","",科目参数!$C97)</f>
        <v/>
      </c>
      <c r="D97" s="42" t="str">
        <f aca="false">IF($A97="","",科目参数!$D97)</f>
        <v/>
      </c>
      <c r="E97" s="54" t="str">
        <f aca="false">IF($A97="","",SUMIFS(期初数据!$Z$6:$Z$125,期初数据!$W$6:$W$125,$A97))</f>
        <v/>
      </c>
      <c r="F97" s="54" t="str">
        <f aca="false">IF($A97="","",SUMIFS(期初数据!$AA$6:$AA$125,期初数据!$W$6:$W$125,$A97))</f>
        <v/>
      </c>
      <c r="G97" s="54" t="str">
        <f aca="false">IF($A97="","",SUMIFS(资金流水!$N$5:$N$504,资金流水!$O$5:$O$504,$A97,资金流水!$C$5:$C$504,首页!$B$5)+SUMIFS(销售录入!$X$5:$X$404,销售录入!$V$5:$V$404,$A97,销售录入!$C$5:$C$404,首页!$B$5)+SUMIFS(销售录入!$AA$5:$AA$404,销售录入!$Y$5:$Y$404,$A97,销售录入!$C$5:$C$404,首页!$B$5)+SUMIFS(销售录入!$AD$5:$AD$404,销售录入!$AB$5:$AB$404,$A97,销售录入!$C$5:$C$404,首页!$B$5)+SUMIFS(采购录入!$W$5:$W$404,采购录入!$U$5:$U$404,$A97,采购录入!$C$5:$C$404,首页!$B$5)+SUMIFS(采购录入!$Z$5:$Z$404,采购录入!$X$5:$X$404,$A97,采购录入!$C$5:$C$404,首页!$B$5)+SUMIFS(其他凭证!$H$5:$H$304,其他凭证!$F$5:$F$304,$A97,其他凭证!$C$5:$C$304,首页!$B$5))</f>
        <v/>
      </c>
      <c r="H97" s="54" t="str">
        <f aca="false">IF($A97="","",SUMIFS(资金流水!$N$5:$N$504,资金流水!$P$5:$P$504,$A97,资金流水!$C$5:$C$504,首页!$B$5)+SUMIFS(销售录入!$X$5:$X$404,销售录入!$W$5:$W$404,$A97,销售录入!$C$5:$C$404,首页!$B$5)+SUMIFS(销售录入!$AA$5:$AA$404,销售录入!$Z$5:$Z$404,$A97,销售录入!$C$5:$C$404,首页!$B$5)+SUMIFS(销售录入!$AD$5:$AD$404,销售录入!$AC$5:$AC$404,$A97,销售录入!$C$5:$C$404,首页!$B$5)+SUMIFS(采购录入!$W$5:$W$404,采购录入!$V$5:$V$404,$A97,采购录入!$C$5:$C$404,首页!$B$5)+SUMIFS(采购录入!$Z$5:$Z$404,采购录入!$Y$5:$Y$404,$A97,采购录入!$C$5:$C$404,首页!$B$5)+SUMIFS(其他凭证!$H$5:$H$304,其他凭证!$G$5:$G$304,$A97,其他凭证!$C$5:$C$304,首页!$B$5))</f>
        <v/>
      </c>
      <c r="I97" s="54" t="str">
        <f aca="false">IF($A97="","",SUMIFS(资金流水!$N$5:$N$504,资金流水!$O$5:$O$504,$A97,资金流水!$B$5:$B$504,"&lt;="&amp;首页!$B$7)+SUMIFS(销售录入!$X$5:$X$404,销售录入!$V$5:$V$404,$A97,销售录入!$B$5:$B$404,"&lt;="&amp;首页!$B$7)+SUMIFS(销售录入!$AA$5:$AA$404,销售录入!$Y$5:$Y$404,$A97,销售录入!$B$5:$B$404,"&lt;="&amp;首页!$B$7)+SUMIFS(销售录入!$AD$5:$AD$404,销售录入!$AB$5:$AB$404,$A97,销售录入!$B$5:$B$404,"&lt;="&amp;首页!$B$7)+SUMIFS(采购录入!$W$5:$W$404,采购录入!$U$5:$U$404,$A97,采购录入!$B$5:$B$404,"&lt;="&amp;首页!$B$7)+SUMIFS(采购录入!$Z$5:$Z$404,采购录入!$X$5:$X$404,$A97,采购录入!$B$5:$B$404,"&lt;="&amp;首页!$B$7)+SUMIFS(其他凭证!$H$5:$H$304,其他凭证!$F$5:$F$304,$A97,其他凭证!$B$5:$B$304,"&lt;="&amp;首页!$B$7))</f>
        <v/>
      </c>
      <c r="J97" s="54" t="str">
        <f aca="false">IF($A97="","",SUMIFS(资金流水!$N$5:$N$504,资金流水!$P$5:$P$504,$A97,资金流水!$B$5:$B$504,"&lt;="&amp;首页!$B$7)+SUMIFS(销售录入!$X$5:$X$404,销售录入!$W$5:$W$404,$A97,销售录入!$B$5:$B$404,"&lt;="&amp;首页!$B$7)+SUMIFS(销售录入!$AA$5:$AA$404,销售录入!$Z$5:$Z$404,$A97,销售录入!$B$5:$B$404,"&lt;="&amp;首页!$B$7)+SUMIFS(销售录入!$AD$5:$AD$404,销售录入!$AC$5:$AC$404,$A97,销售录入!$B$5:$B$404,"&lt;="&amp;首页!$B$7)+SUMIFS(采购录入!$W$5:$W$404,采购录入!$V$5:$V$404,$A97,采购录入!$B$5:$B$404,"&lt;="&amp;首页!$B$7)+SUMIFS(采购录入!$Z$5:$Z$404,采购录入!$Y$5:$Y$404,$A97,采购录入!$B$5:$B$404,"&lt;="&amp;首页!$B$7)+SUMIFS(其他凭证!$H$5:$H$304,其他凭证!$G$5:$G$304,$A97,其他凭证!$B$5:$B$304,"&lt;="&amp;首页!$B$7))</f>
        <v/>
      </c>
      <c r="K97" s="44" t="str">
        <f aca="false">IF($A97="","",($E97+$I97)-($F97+$J97))</f>
        <v/>
      </c>
      <c r="L97" s="44" t="str">
        <f aca="false">IF($A97="","",IF($K97&gt;=0,$K97,0))</f>
        <v/>
      </c>
      <c r="M97" s="44" t="str">
        <f aca="false">IF($A97="","",IF($K97&lt;0,-$K97,0))</f>
        <v/>
      </c>
      <c r="N97" s="35" t="str">
        <f aca="false">IF($A97="","",科目参数!$F97)</f>
        <v/>
      </c>
      <c r="O97" s="35" t="str">
        <f aca="false">IF($A97="","",科目参数!$G97)</f>
        <v/>
      </c>
      <c r="P97" s="42" t="str">
        <f aca="false">IF($A97="","",科目参数!$H97)</f>
        <v/>
      </c>
    </row>
    <row r="98" customFormat="false" ht="15.75" hidden="false" customHeight="true" outlineLevel="0" collapsed="false">
      <c r="A98" s="42" t="str">
        <f aca="false">IF(科目参数!$A98="","",科目参数!$A98)</f>
        <v/>
      </c>
      <c r="B98" s="35" t="str">
        <f aca="false">IF($A98="","",科目参数!$B98)</f>
        <v/>
      </c>
      <c r="C98" s="42" t="str">
        <f aca="false">IF($A98="","",科目参数!$C98)</f>
        <v/>
      </c>
      <c r="D98" s="42" t="str">
        <f aca="false">IF($A98="","",科目参数!$D98)</f>
        <v/>
      </c>
      <c r="E98" s="54" t="str">
        <f aca="false">IF($A98="","",SUMIFS(期初数据!$Z$6:$Z$125,期初数据!$W$6:$W$125,$A98))</f>
        <v/>
      </c>
      <c r="F98" s="54" t="str">
        <f aca="false">IF($A98="","",SUMIFS(期初数据!$AA$6:$AA$125,期初数据!$W$6:$W$125,$A98))</f>
        <v/>
      </c>
      <c r="G98" s="54" t="str">
        <f aca="false">IF($A98="","",SUMIFS(资金流水!$N$5:$N$504,资金流水!$O$5:$O$504,$A98,资金流水!$C$5:$C$504,首页!$B$5)+SUMIFS(销售录入!$X$5:$X$404,销售录入!$V$5:$V$404,$A98,销售录入!$C$5:$C$404,首页!$B$5)+SUMIFS(销售录入!$AA$5:$AA$404,销售录入!$Y$5:$Y$404,$A98,销售录入!$C$5:$C$404,首页!$B$5)+SUMIFS(销售录入!$AD$5:$AD$404,销售录入!$AB$5:$AB$404,$A98,销售录入!$C$5:$C$404,首页!$B$5)+SUMIFS(采购录入!$W$5:$W$404,采购录入!$U$5:$U$404,$A98,采购录入!$C$5:$C$404,首页!$B$5)+SUMIFS(采购录入!$Z$5:$Z$404,采购录入!$X$5:$X$404,$A98,采购录入!$C$5:$C$404,首页!$B$5)+SUMIFS(其他凭证!$H$5:$H$304,其他凭证!$F$5:$F$304,$A98,其他凭证!$C$5:$C$304,首页!$B$5))</f>
        <v/>
      </c>
      <c r="H98" s="54" t="str">
        <f aca="false">IF($A98="","",SUMIFS(资金流水!$N$5:$N$504,资金流水!$P$5:$P$504,$A98,资金流水!$C$5:$C$504,首页!$B$5)+SUMIFS(销售录入!$X$5:$X$404,销售录入!$W$5:$W$404,$A98,销售录入!$C$5:$C$404,首页!$B$5)+SUMIFS(销售录入!$AA$5:$AA$404,销售录入!$Z$5:$Z$404,$A98,销售录入!$C$5:$C$404,首页!$B$5)+SUMIFS(销售录入!$AD$5:$AD$404,销售录入!$AC$5:$AC$404,$A98,销售录入!$C$5:$C$404,首页!$B$5)+SUMIFS(采购录入!$W$5:$W$404,采购录入!$V$5:$V$404,$A98,采购录入!$C$5:$C$404,首页!$B$5)+SUMIFS(采购录入!$Z$5:$Z$404,采购录入!$Y$5:$Y$404,$A98,采购录入!$C$5:$C$404,首页!$B$5)+SUMIFS(其他凭证!$H$5:$H$304,其他凭证!$G$5:$G$304,$A98,其他凭证!$C$5:$C$304,首页!$B$5))</f>
        <v/>
      </c>
      <c r="I98" s="54" t="str">
        <f aca="false">IF($A98="","",SUMIFS(资金流水!$N$5:$N$504,资金流水!$O$5:$O$504,$A98,资金流水!$B$5:$B$504,"&lt;="&amp;首页!$B$7)+SUMIFS(销售录入!$X$5:$X$404,销售录入!$V$5:$V$404,$A98,销售录入!$B$5:$B$404,"&lt;="&amp;首页!$B$7)+SUMIFS(销售录入!$AA$5:$AA$404,销售录入!$Y$5:$Y$404,$A98,销售录入!$B$5:$B$404,"&lt;="&amp;首页!$B$7)+SUMIFS(销售录入!$AD$5:$AD$404,销售录入!$AB$5:$AB$404,$A98,销售录入!$B$5:$B$404,"&lt;="&amp;首页!$B$7)+SUMIFS(采购录入!$W$5:$W$404,采购录入!$U$5:$U$404,$A98,采购录入!$B$5:$B$404,"&lt;="&amp;首页!$B$7)+SUMIFS(采购录入!$Z$5:$Z$404,采购录入!$X$5:$X$404,$A98,采购录入!$B$5:$B$404,"&lt;="&amp;首页!$B$7)+SUMIFS(其他凭证!$H$5:$H$304,其他凭证!$F$5:$F$304,$A98,其他凭证!$B$5:$B$304,"&lt;="&amp;首页!$B$7))</f>
        <v/>
      </c>
      <c r="J98" s="54" t="str">
        <f aca="false">IF($A98="","",SUMIFS(资金流水!$N$5:$N$504,资金流水!$P$5:$P$504,$A98,资金流水!$B$5:$B$504,"&lt;="&amp;首页!$B$7)+SUMIFS(销售录入!$X$5:$X$404,销售录入!$W$5:$W$404,$A98,销售录入!$B$5:$B$404,"&lt;="&amp;首页!$B$7)+SUMIFS(销售录入!$AA$5:$AA$404,销售录入!$Z$5:$Z$404,$A98,销售录入!$B$5:$B$404,"&lt;="&amp;首页!$B$7)+SUMIFS(销售录入!$AD$5:$AD$404,销售录入!$AC$5:$AC$404,$A98,销售录入!$B$5:$B$404,"&lt;="&amp;首页!$B$7)+SUMIFS(采购录入!$W$5:$W$404,采购录入!$V$5:$V$404,$A98,采购录入!$B$5:$B$404,"&lt;="&amp;首页!$B$7)+SUMIFS(采购录入!$Z$5:$Z$404,采购录入!$Y$5:$Y$404,$A98,采购录入!$B$5:$B$404,"&lt;="&amp;首页!$B$7)+SUMIFS(其他凭证!$H$5:$H$304,其他凭证!$G$5:$G$304,$A98,其他凭证!$B$5:$B$304,"&lt;="&amp;首页!$B$7))</f>
        <v/>
      </c>
      <c r="K98" s="44" t="str">
        <f aca="false">IF($A98="","",($E98+$I98)-($F98+$J98))</f>
        <v/>
      </c>
      <c r="L98" s="44" t="str">
        <f aca="false">IF($A98="","",IF($K98&gt;=0,$K98,0))</f>
        <v/>
      </c>
      <c r="M98" s="44" t="str">
        <f aca="false">IF($A98="","",IF($K98&lt;0,-$K98,0))</f>
        <v/>
      </c>
      <c r="N98" s="35" t="str">
        <f aca="false">IF($A98="","",科目参数!$F98)</f>
        <v/>
      </c>
      <c r="O98" s="35" t="str">
        <f aca="false">IF($A98="","",科目参数!$G98)</f>
        <v/>
      </c>
      <c r="P98" s="42" t="str">
        <f aca="false">IF($A98="","",科目参数!$H98)</f>
        <v/>
      </c>
    </row>
    <row r="99" customFormat="false" ht="15.75" hidden="false" customHeight="true" outlineLevel="0" collapsed="false">
      <c r="A99" s="42" t="str">
        <f aca="false">IF(科目参数!$A99="","",科目参数!$A99)</f>
        <v/>
      </c>
      <c r="B99" s="35" t="str">
        <f aca="false">IF($A99="","",科目参数!$B99)</f>
        <v/>
      </c>
      <c r="C99" s="42" t="str">
        <f aca="false">IF($A99="","",科目参数!$C99)</f>
        <v/>
      </c>
      <c r="D99" s="42" t="str">
        <f aca="false">IF($A99="","",科目参数!$D99)</f>
        <v/>
      </c>
      <c r="E99" s="54" t="str">
        <f aca="false">IF($A99="","",SUMIFS(期初数据!$Z$6:$Z$125,期初数据!$W$6:$W$125,$A99))</f>
        <v/>
      </c>
      <c r="F99" s="54" t="str">
        <f aca="false">IF($A99="","",SUMIFS(期初数据!$AA$6:$AA$125,期初数据!$W$6:$W$125,$A99))</f>
        <v/>
      </c>
      <c r="G99" s="54" t="str">
        <f aca="false">IF($A99="","",SUMIFS(资金流水!$N$5:$N$504,资金流水!$O$5:$O$504,$A99,资金流水!$C$5:$C$504,首页!$B$5)+SUMIFS(销售录入!$X$5:$X$404,销售录入!$V$5:$V$404,$A99,销售录入!$C$5:$C$404,首页!$B$5)+SUMIFS(销售录入!$AA$5:$AA$404,销售录入!$Y$5:$Y$404,$A99,销售录入!$C$5:$C$404,首页!$B$5)+SUMIFS(销售录入!$AD$5:$AD$404,销售录入!$AB$5:$AB$404,$A99,销售录入!$C$5:$C$404,首页!$B$5)+SUMIFS(采购录入!$W$5:$W$404,采购录入!$U$5:$U$404,$A99,采购录入!$C$5:$C$404,首页!$B$5)+SUMIFS(采购录入!$Z$5:$Z$404,采购录入!$X$5:$X$404,$A99,采购录入!$C$5:$C$404,首页!$B$5)+SUMIFS(其他凭证!$H$5:$H$304,其他凭证!$F$5:$F$304,$A99,其他凭证!$C$5:$C$304,首页!$B$5))</f>
        <v/>
      </c>
      <c r="H99" s="54" t="str">
        <f aca="false">IF($A99="","",SUMIFS(资金流水!$N$5:$N$504,资金流水!$P$5:$P$504,$A99,资金流水!$C$5:$C$504,首页!$B$5)+SUMIFS(销售录入!$X$5:$X$404,销售录入!$W$5:$W$404,$A99,销售录入!$C$5:$C$404,首页!$B$5)+SUMIFS(销售录入!$AA$5:$AA$404,销售录入!$Z$5:$Z$404,$A99,销售录入!$C$5:$C$404,首页!$B$5)+SUMIFS(销售录入!$AD$5:$AD$404,销售录入!$AC$5:$AC$404,$A99,销售录入!$C$5:$C$404,首页!$B$5)+SUMIFS(采购录入!$W$5:$W$404,采购录入!$V$5:$V$404,$A99,采购录入!$C$5:$C$404,首页!$B$5)+SUMIFS(采购录入!$Z$5:$Z$404,采购录入!$Y$5:$Y$404,$A99,采购录入!$C$5:$C$404,首页!$B$5)+SUMIFS(其他凭证!$H$5:$H$304,其他凭证!$G$5:$G$304,$A99,其他凭证!$C$5:$C$304,首页!$B$5))</f>
        <v/>
      </c>
      <c r="I99" s="54" t="str">
        <f aca="false">IF($A99="","",SUMIFS(资金流水!$N$5:$N$504,资金流水!$O$5:$O$504,$A99,资金流水!$B$5:$B$504,"&lt;="&amp;首页!$B$7)+SUMIFS(销售录入!$X$5:$X$404,销售录入!$V$5:$V$404,$A99,销售录入!$B$5:$B$404,"&lt;="&amp;首页!$B$7)+SUMIFS(销售录入!$AA$5:$AA$404,销售录入!$Y$5:$Y$404,$A99,销售录入!$B$5:$B$404,"&lt;="&amp;首页!$B$7)+SUMIFS(销售录入!$AD$5:$AD$404,销售录入!$AB$5:$AB$404,$A99,销售录入!$B$5:$B$404,"&lt;="&amp;首页!$B$7)+SUMIFS(采购录入!$W$5:$W$404,采购录入!$U$5:$U$404,$A99,采购录入!$B$5:$B$404,"&lt;="&amp;首页!$B$7)+SUMIFS(采购录入!$Z$5:$Z$404,采购录入!$X$5:$X$404,$A99,采购录入!$B$5:$B$404,"&lt;="&amp;首页!$B$7)+SUMIFS(其他凭证!$H$5:$H$304,其他凭证!$F$5:$F$304,$A99,其他凭证!$B$5:$B$304,"&lt;="&amp;首页!$B$7))</f>
        <v/>
      </c>
      <c r="J99" s="54" t="str">
        <f aca="false">IF($A99="","",SUMIFS(资金流水!$N$5:$N$504,资金流水!$P$5:$P$504,$A99,资金流水!$B$5:$B$504,"&lt;="&amp;首页!$B$7)+SUMIFS(销售录入!$X$5:$X$404,销售录入!$W$5:$W$404,$A99,销售录入!$B$5:$B$404,"&lt;="&amp;首页!$B$7)+SUMIFS(销售录入!$AA$5:$AA$404,销售录入!$Z$5:$Z$404,$A99,销售录入!$B$5:$B$404,"&lt;="&amp;首页!$B$7)+SUMIFS(销售录入!$AD$5:$AD$404,销售录入!$AC$5:$AC$404,$A99,销售录入!$B$5:$B$404,"&lt;="&amp;首页!$B$7)+SUMIFS(采购录入!$W$5:$W$404,采购录入!$V$5:$V$404,$A99,采购录入!$B$5:$B$404,"&lt;="&amp;首页!$B$7)+SUMIFS(采购录入!$Z$5:$Z$404,采购录入!$Y$5:$Y$404,$A99,采购录入!$B$5:$B$404,"&lt;="&amp;首页!$B$7)+SUMIFS(其他凭证!$H$5:$H$304,其他凭证!$G$5:$G$304,$A99,其他凭证!$B$5:$B$304,"&lt;="&amp;首页!$B$7))</f>
        <v/>
      </c>
      <c r="K99" s="44" t="str">
        <f aca="false">IF($A99="","",($E99+$I99)-($F99+$J99))</f>
        <v/>
      </c>
      <c r="L99" s="44" t="str">
        <f aca="false">IF($A99="","",IF($K99&gt;=0,$K99,0))</f>
        <v/>
      </c>
      <c r="M99" s="44" t="str">
        <f aca="false">IF($A99="","",IF($K99&lt;0,-$K99,0))</f>
        <v/>
      </c>
      <c r="N99" s="35" t="str">
        <f aca="false">IF($A99="","",科目参数!$F99)</f>
        <v/>
      </c>
      <c r="O99" s="35" t="str">
        <f aca="false">IF($A99="","",科目参数!$G99)</f>
        <v/>
      </c>
      <c r="P99" s="42" t="str">
        <f aca="false">IF($A99="","",科目参数!$H99)</f>
        <v/>
      </c>
    </row>
    <row r="100" customFormat="false" ht="15.75" hidden="false" customHeight="true" outlineLevel="0" collapsed="false">
      <c r="A100" s="42" t="str">
        <f aca="false">IF(科目参数!$A100="","",科目参数!$A100)</f>
        <v/>
      </c>
      <c r="B100" s="35" t="str">
        <f aca="false">IF($A100="","",科目参数!$B100)</f>
        <v/>
      </c>
      <c r="C100" s="42" t="str">
        <f aca="false">IF($A100="","",科目参数!$C100)</f>
        <v/>
      </c>
      <c r="D100" s="42" t="str">
        <f aca="false">IF($A100="","",科目参数!$D100)</f>
        <v/>
      </c>
      <c r="E100" s="54" t="str">
        <f aca="false">IF($A100="","",SUMIFS(期初数据!$Z$6:$Z$125,期初数据!$W$6:$W$125,$A100))</f>
        <v/>
      </c>
      <c r="F100" s="54" t="str">
        <f aca="false">IF($A100="","",SUMIFS(期初数据!$AA$6:$AA$125,期初数据!$W$6:$W$125,$A100))</f>
        <v/>
      </c>
      <c r="G100" s="54" t="str">
        <f aca="false">IF($A100="","",SUMIFS(资金流水!$N$5:$N$504,资金流水!$O$5:$O$504,$A100,资金流水!$C$5:$C$504,首页!$B$5)+SUMIFS(销售录入!$X$5:$X$404,销售录入!$V$5:$V$404,$A100,销售录入!$C$5:$C$404,首页!$B$5)+SUMIFS(销售录入!$AA$5:$AA$404,销售录入!$Y$5:$Y$404,$A100,销售录入!$C$5:$C$404,首页!$B$5)+SUMIFS(销售录入!$AD$5:$AD$404,销售录入!$AB$5:$AB$404,$A100,销售录入!$C$5:$C$404,首页!$B$5)+SUMIFS(采购录入!$W$5:$W$404,采购录入!$U$5:$U$404,$A100,采购录入!$C$5:$C$404,首页!$B$5)+SUMIFS(采购录入!$Z$5:$Z$404,采购录入!$X$5:$X$404,$A100,采购录入!$C$5:$C$404,首页!$B$5)+SUMIFS(其他凭证!$H$5:$H$304,其他凭证!$F$5:$F$304,$A100,其他凭证!$C$5:$C$304,首页!$B$5))</f>
        <v/>
      </c>
      <c r="H100" s="54" t="str">
        <f aca="false">IF($A100="","",SUMIFS(资金流水!$N$5:$N$504,资金流水!$P$5:$P$504,$A100,资金流水!$C$5:$C$504,首页!$B$5)+SUMIFS(销售录入!$X$5:$X$404,销售录入!$W$5:$W$404,$A100,销售录入!$C$5:$C$404,首页!$B$5)+SUMIFS(销售录入!$AA$5:$AA$404,销售录入!$Z$5:$Z$404,$A100,销售录入!$C$5:$C$404,首页!$B$5)+SUMIFS(销售录入!$AD$5:$AD$404,销售录入!$AC$5:$AC$404,$A100,销售录入!$C$5:$C$404,首页!$B$5)+SUMIFS(采购录入!$W$5:$W$404,采购录入!$V$5:$V$404,$A100,采购录入!$C$5:$C$404,首页!$B$5)+SUMIFS(采购录入!$Z$5:$Z$404,采购录入!$Y$5:$Y$404,$A100,采购录入!$C$5:$C$404,首页!$B$5)+SUMIFS(其他凭证!$H$5:$H$304,其他凭证!$G$5:$G$304,$A100,其他凭证!$C$5:$C$304,首页!$B$5))</f>
        <v/>
      </c>
      <c r="I100" s="54" t="str">
        <f aca="false">IF($A100="","",SUMIFS(资金流水!$N$5:$N$504,资金流水!$O$5:$O$504,$A100,资金流水!$B$5:$B$504,"&lt;="&amp;首页!$B$7)+SUMIFS(销售录入!$X$5:$X$404,销售录入!$V$5:$V$404,$A100,销售录入!$B$5:$B$404,"&lt;="&amp;首页!$B$7)+SUMIFS(销售录入!$AA$5:$AA$404,销售录入!$Y$5:$Y$404,$A100,销售录入!$B$5:$B$404,"&lt;="&amp;首页!$B$7)+SUMIFS(销售录入!$AD$5:$AD$404,销售录入!$AB$5:$AB$404,$A100,销售录入!$B$5:$B$404,"&lt;="&amp;首页!$B$7)+SUMIFS(采购录入!$W$5:$W$404,采购录入!$U$5:$U$404,$A100,采购录入!$B$5:$B$404,"&lt;="&amp;首页!$B$7)+SUMIFS(采购录入!$Z$5:$Z$404,采购录入!$X$5:$X$404,$A100,采购录入!$B$5:$B$404,"&lt;="&amp;首页!$B$7)+SUMIFS(其他凭证!$H$5:$H$304,其他凭证!$F$5:$F$304,$A100,其他凭证!$B$5:$B$304,"&lt;="&amp;首页!$B$7))</f>
        <v/>
      </c>
      <c r="J100" s="54" t="str">
        <f aca="false">IF($A100="","",SUMIFS(资金流水!$N$5:$N$504,资金流水!$P$5:$P$504,$A100,资金流水!$B$5:$B$504,"&lt;="&amp;首页!$B$7)+SUMIFS(销售录入!$X$5:$X$404,销售录入!$W$5:$W$404,$A100,销售录入!$B$5:$B$404,"&lt;="&amp;首页!$B$7)+SUMIFS(销售录入!$AA$5:$AA$404,销售录入!$Z$5:$Z$404,$A100,销售录入!$B$5:$B$404,"&lt;="&amp;首页!$B$7)+SUMIFS(销售录入!$AD$5:$AD$404,销售录入!$AC$5:$AC$404,$A100,销售录入!$B$5:$B$404,"&lt;="&amp;首页!$B$7)+SUMIFS(采购录入!$W$5:$W$404,采购录入!$V$5:$V$404,$A100,采购录入!$B$5:$B$404,"&lt;="&amp;首页!$B$7)+SUMIFS(采购录入!$Z$5:$Z$404,采购录入!$Y$5:$Y$404,$A100,采购录入!$B$5:$B$404,"&lt;="&amp;首页!$B$7)+SUMIFS(其他凭证!$H$5:$H$304,其他凭证!$G$5:$G$304,$A100,其他凭证!$B$5:$B$304,"&lt;="&amp;首页!$B$7))</f>
        <v/>
      </c>
      <c r="K100" s="44" t="str">
        <f aca="false">IF($A100="","",($E100+$I100)-($F100+$J100))</f>
        <v/>
      </c>
      <c r="L100" s="44" t="str">
        <f aca="false">IF($A100="","",IF($K100&gt;=0,$K100,0))</f>
        <v/>
      </c>
      <c r="M100" s="44" t="str">
        <f aca="false">IF($A100="","",IF($K100&lt;0,-$K100,0))</f>
        <v/>
      </c>
      <c r="N100" s="35" t="str">
        <f aca="false">IF($A100="","",科目参数!$F100)</f>
        <v/>
      </c>
      <c r="O100" s="35" t="str">
        <f aca="false">IF($A100="","",科目参数!$G100)</f>
        <v/>
      </c>
      <c r="P100" s="42" t="str">
        <f aca="false">IF($A100="","",科目参数!$H100)</f>
        <v/>
      </c>
    </row>
    <row r="101" customFormat="false" ht="15.75" hidden="false" customHeight="true" outlineLevel="0" collapsed="false">
      <c r="A101" s="42" t="str">
        <f aca="false">IF(科目参数!$A101="","",科目参数!$A101)</f>
        <v/>
      </c>
      <c r="B101" s="35" t="str">
        <f aca="false">IF($A101="","",科目参数!$B101)</f>
        <v/>
      </c>
      <c r="C101" s="42" t="str">
        <f aca="false">IF($A101="","",科目参数!$C101)</f>
        <v/>
      </c>
      <c r="D101" s="42" t="str">
        <f aca="false">IF($A101="","",科目参数!$D101)</f>
        <v/>
      </c>
      <c r="E101" s="54" t="str">
        <f aca="false">IF($A101="","",SUMIFS(期初数据!$Z$6:$Z$125,期初数据!$W$6:$W$125,$A101))</f>
        <v/>
      </c>
      <c r="F101" s="54" t="str">
        <f aca="false">IF($A101="","",SUMIFS(期初数据!$AA$6:$AA$125,期初数据!$W$6:$W$125,$A101))</f>
        <v/>
      </c>
      <c r="G101" s="54" t="str">
        <f aca="false">IF($A101="","",SUMIFS(资金流水!$N$5:$N$504,资金流水!$O$5:$O$504,$A101,资金流水!$C$5:$C$504,首页!$B$5)+SUMIFS(销售录入!$X$5:$X$404,销售录入!$V$5:$V$404,$A101,销售录入!$C$5:$C$404,首页!$B$5)+SUMIFS(销售录入!$AA$5:$AA$404,销售录入!$Y$5:$Y$404,$A101,销售录入!$C$5:$C$404,首页!$B$5)+SUMIFS(销售录入!$AD$5:$AD$404,销售录入!$AB$5:$AB$404,$A101,销售录入!$C$5:$C$404,首页!$B$5)+SUMIFS(采购录入!$W$5:$W$404,采购录入!$U$5:$U$404,$A101,采购录入!$C$5:$C$404,首页!$B$5)+SUMIFS(采购录入!$Z$5:$Z$404,采购录入!$X$5:$X$404,$A101,采购录入!$C$5:$C$404,首页!$B$5)+SUMIFS(其他凭证!$H$5:$H$304,其他凭证!$F$5:$F$304,$A101,其他凭证!$C$5:$C$304,首页!$B$5))</f>
        <v/>
      </c>
      <c r="H101" s="54" t="str">
        <f aca="false">IF($A101="","",SUMIFS(资金流水!$N$5:$N$504,资金流水!$P$5:$P$504,$A101,资金流水!$C$5:$C$504,首页!$B$5)+SUMIFS(销售录入!$X$5:$X$404,销售录入!$W$5:$W$404,$A101,销售录入!$C$5:$C$404,首页!$B$5)+SUMIFS(销售录入!$AA$5:$AA$404,销售录入!$Z$5:$Z$404,$A101,销售录入!$C$5:$C$404,首页!$B$5)+SUMIFS(销售录入!$AD$5:$AD$404,销售录入!$AC$5:$AC$404,$A101,销售录入!$C$5:$C$404,首页!$B$5)+SUMIFS(采购录入!$W$5:$W$404,采购录入!$V$5:$V$404,$A101,采购录入!$C$5:$C$404,首页!$B$5)+SUMIFS(采购录入!$Z$5:$Z$404,采购录入!$Y$5:$Y$404,$A101,采购录入!$C$5:$C$404,首页!$B$5)+SUMIFS(其他凭证!$H$5:$H$304,其他凭证!$G$5:$G$304,$A101,其他凭证!$C$5:$C$304,首页!$B$5))</f>
        <v/>
      </c>
      <c r="I101" s="54" t="str">
        <f aca="false">IF($A101="","",SUMIFS(资金流水!$N$5:$N$504,资金流水!$O$5:$O$504,$A101,资金流水!$B$5:$B$504,"&lt;="&amp;首页!$B$7)+SUMIFS(销售录入!$X$5:$X$404,销售录入!$V$5:$V$404,$A101,销售录入!$B$5:$B$404,"&lt;="&amp;首页!$B$7)+SUMIFS(销售录入!$AA$5:$AA$404,销售录入!$Y$5:$Y$404,$A101,销售录入!$B$5:$B$404,"&lt;="&amp;首页!$B$7)+SUMIFS(销售录入!$AD$5:$AD$404,销售录入!$AB$5:$AB$404,$A101,销售录入!$B$5:$B$404,"&lt;="&amp;首页!$B$7)+SUMIFS(采购录入!$W$5:$W$404,采购录入!$U$5:$U$404,$A101,采购录入!$B$5:$B$404,"&lt;="&amp;首页!$B$7)+SUMIFS(采购录入!$Z$5:$Z$404,采购录入!$X$5:$X$404,$A101,采购录入!$B$5:$B$404,"&lt;="&amp;首页!$B$7)+SUMIFS(其他凭证!$H$5:$H$304,其他凭证!$F$5:$F$304,$A101,其他凭证!$B$5:$B$304,"&lt;="&amp;首页!$B$7))</f>
        <v/>
      </c>
      <c r="J101" s="54" t="str">
        <f aca="false">IF($A101="","",SUMIFS(资金流水!$N$5:$N$504,资金流水!$P$5:$P$504,$A101,资金流水!$B$5:$B$504,"&lt;="&amp;首页!$B$7)+SUMIFS(销售录入!$X$5:$X$404,销售录入!$W$5:$W$404,$A101,销售录入!$B$5:$B$404,"&lt;="&amp;首页!$B$7)+SUMIFS(销售录入!$AA$5:$AA$404,销售录入!$Z$5:$Z$404,$A101,销售录入!$B$5:$B$404,"&lt;="&amp;首页!$B$7)+SUMIFS(销售录入!$AD$5:$AD$404,销售录入!$AC$5:$AC$404,$A101,销售录入!$B$5:$B$404,"&lt;="&amp;首页!$B$7)+SUMIFS(采购录入!$W$5:$W$404,采购录入!$V$5:$V$404,$A101,采购录入!$B$5:$B$404,"&lt;="&amp;首页!$B$7)+SUMIFS(采购录入!$Z$5:$Z$404,采购录入!$Y$5:$Y$404,$A101,采购录入!$B$5:$B$404,"&lt;="&amp;首页!$B$7)+SUMIFS(其他凭证!$H$5:$H$304,其他凭证!$G$5:$G$304,$A101,其他凭证!$B$5:$B$304,"&lt;="&amp;首页!$B$7))</f>
        <v/>
      </c>
      <c r="K101" s="44" t="str">
        <f aca="false">IF($A101="","",($E101+$I101)-($F101+$J101))</f>
        <v/>
      </c>
      <c r="L101" s="44" t="str">
        <f aca="false">IF($A101="","",IF($K101&gt;=0,$K101,0))</f>
        <v/>
      </c>
      <c r="M101" s="44" t="str">
        <f aca="false">IF($A101="","",IF($K101&lt;0,-$K101,0))</f>
        <v/>
      </c>
      <c r="N101" s="35" t="str">
        <f aca="false">IF($A101="","",科目参数!$F101)</f>
        <v/>
      </c>
      <c r="O101" s="35" t="str">
        <f aca="false">IF($A101="","",科目参数!$G101)</f>
        <v/>
      </c>
      <c r="P101" s="42" t="str">
        <f aca="false">IF($A101="","",科目参数!$H101)</f>
        <v/>
      </c>
    </row>
    <row r="102" customFormat="false" ht="15.75" hidden="false" customHeight="true" outlineLevel="0" collapsed="false">
      <c r="A102" s="42" t="str">
        <f aca="false">IF(科目参数!$A102="","",科目参数!$A102)</f>
        <v/>
      </c>
      <c r="B102" s="35" t="str">
        <f aca="false">IF($A102="","",科目参数!$B102)</f>
        <v/>
      </c>
      <c r="C102" s="42" t="str">
        <f aca="false">IF($A102="","",科目参数!$C102)</f>
        <v/>
      </c>
      <c r="D102" s="42" t="str">
        <f aca="false">IF($A102="","",科目参数!$D102)</f>
        <v/>
      </c>
      <c r="E102" s="54" t="str">
        <f aca="false">IF($A102="","",SUMIFS(期初数据!$Z$6:$Z$125,期初数据!$W$6:$W$125,$A102))</f>
        <v/>
      </c>
      <c r="F102" s="54" t="str">
        <f aca="false">IF($A102="","",SUMIFS(期初数据!$AA$6:$AA$125,期初数据!$W$6:$W$125,$A102))</f>
        <v/>
      </c>
      <c r="G102" s="54" t="str">
        <f aca="false">IF($A102="","",SUMIFS(资金流水!$N$5:$N$504,资金流水!$O$5:$O$504,$A102,资金流水!$C$5:$C$504,首页!$B$5)+SUMIFS(销售录入!$X$5:$X$404,销售录入!$V$5:$V$404,$A102,销售录入!$C$5:$C$404,首页!$B$5)+SUMIFS(销售录入!$AA$5:$AA$404,销售录入!$Y$5:$Y$404,$A102,销售录入!$C$5:$C$404,首页!$B$5)+SUMIFS(销售录入!$AD$5:$AD$404,销售录入!$AB$5:$AB$404,$A102,销售录入!$C$5:$C$404,首页!$B$5)+SUMIFS(采购录入!$W$5:$W$404,采购录入!$U$5:$U$404,$A102,采购录入!$C$5:$C$404,首页!$B$5)+SUMIFS(采购录入!$Z$5:$Z$404,采购录入!$X$5:$X$404,$A102,采购录入!$C$5:$C$404,首页!$B$5)+SUMIFS(其他凭证!$H$5:$H$304,其他凭证!$F$5:$F$304,$A102,其他凭证!$C$5:$C$304,首页!$B$5))</f>
        <v/>
      </c>
      <c r="H102" s="54" t="str">
        <f aca="false">IF($A102="","",SUMIFS(资金流水!$N$5:$N$504,资金流水!$P$5:$P$504,$A102,资金流水!$C$5:$C$504,首页!$B$5)+SUMIFS(销售录入!$X$5:$X$404,销售录入!$W$5:$W$404,$A102,销售录入!$C$5:$C$404,首页!$B$5)+SUMIFS(销售录入!$AA$5:$AA$404,销售录入!$Z$5:$Z$404,$A102,销售录入!$C$5:$C$404,首页!$B$5)+SUMIFS(销售录入!$AD$5:$AD$404,销售录入!$AC$5:$AC$404,$A102,销售录入!$C$5:$C$404,首页!$B$5)+SUMIFS(采购录入!$W$5:$W$404,采购录入!$V$5:$V$404,$A102,采购录入!$C$5:$C$404,首页!$B$5)+SUMIFS(采购录入!$Z$5:$Z$404,采购录入!$Y$5:$Y$404,$A102,采购录入!$C$5:$C$404,首页!$B$5)+SUMIFS(其他凭证!$H$5:$H$304,其他凭证!$G$5:$G$304,$A102,其他凭证!$C$5:$C$304,首页!$B$5))</f>
        <v/>
      </c>
      <c r="I102" s="54" t="str">
        <f aca="false">IF($A102="","",SUMIFS(资金流水!$N$5:$N$504,资金流水!$O$5:$O$504,$A102,资金流水!$B$5:$B$504,"&lt;="&amp;首页!$B$7)+SUMIFS(销售录入!$X$5:$X$404,销售录入!$V$5:$V$404,$A102,销售录入!$B$5:$B$404,"&lt;="&amp;首页!$B$7)+SUMIFS(销售录入!$AA$5:$AA$404,销售录入!$Y$5:$Y$404,$A102,销售录入!$B$5:$B$404,"&lt;="&amp;首页!$B$7)+SUMIFS(销售录入!$AD$5:$AD$404,销售录入!$AB$5:$AB$404,$A102,销售录入!$B$5:$B$404,"&lt;="&amp;首页!$B$7)+SUMIFS(采购录入!$W$5:$W$404,采购录入!$U$5:$U$404,$A102,采购录入!$B$5:$B$404,"&lt;="&amp;首页!$B$7)+SUMIFS(采购录入!$Z$5:$Z$404,采购录入!$X$5:$X$404,$A102,采购录入!$B$5:$B$404,"&lt;="&amp;首页!$B$7)+SUMIFS(其他凭证!$H$5:$H$304,其他凭证!$F$5:$F$304,$A102,其他凭证!$B$5:$B$304,"&lt;="&amp;首页!$B$7))</f>
        <v/>
      </c>
      <c r="J102" s="54" t="str">
        <f aca="false">IF($A102="","",SUMIFS(资金流水!$N$5:$N$504,资金流水!$P$5:$P$504,$A102,资金流水!$B$5:$B$504,"&lt;="&amp;首页!$B$7)+SUMIFS(销售录入!$X$5:$X$404,销售录入!$W$5:$W$404,$A102,销售录入!$B$5:$B$404,"&lt;="&amp;首页!$B$7)+SUMIFS(销售录入!$AA$5:$AA$404,销售录入!$Z$5:$Z$404,$A102,销售录入!$B$5:$B$404,"&lt;="&amp;首页!$B$7)+SUMIFS(销售录入!$AD$5:$AD$404,销售录入!$AC$5:$AC$404,$A102,销售录入!$B$5:$B$404,"&lt;="&amp;首页!$B$7)+SUMIFS(采购录入!$W$5:$W$404,采购录入!$V$5:$V$404,$A102,采购录入!$B$5:$B$404,"&lt;="&amp;首页!$B$7)+SUMIFS(采购录入!$Z$5:$Z$404,采购录入!$Y$5:$Y$404,$A102,采购录入!$B$5:$B$404,"&lt;="&amp;首页!$B$7)+SUMIFS(其他凭证!$H$5:$H$304,其他凭证!$G$5:$G$304,$A102,其他凭证!$B$5:$B$304,"&lt;="&amp;首页!$B$7))</f>
        <v/>
      </c>
      <c r="K102" s="44" t="str">
        <f aca="false">IF($A102="","",($E102+$I102)-($F102+$J102))</f>
        <v/>
      </c>
      <c r="L102" s="44" t="str">
        <f aca="false">IF($A102="","",IF($K102&gt;=0,$K102,0))</f>
        <v/>
      </c>
      <c r="M102" s="44" t="str">
        <f aca="false">IF($A102="","",IF($K102&lt;0,-$K102,0))</f>
        <v/>
      </c>
      <c r="N102" s="35" t="str">
        <f aca="false">IF($A102="","",科目参数!$F102)</f>
        <v/>
      </c>
      <c r="O102" s="35" t="str">
        <f aca="false">IF($A102="","",科目参数!$G102)</f>
        <v/>
      </c>
      <c r="P102" s="42" t="str">
        <f aca="false">IF($A102="","",科目参数!$H102)</f>
        <v/>
      </c>
    </row>
    <row r="103" customFormat="false" ht="15.75" hidden="false" customHeight="true" outlineLevel="0" collapsed="false">
      <c r="A103" s="42" t="str">
        <f aca="false">IF(科目参数!$A103="","",科目参数!$A103)</f>
        <v/>
      </c>
      <c r="B103" s="35" t="str">
        <f aca="false">IF($A103="","",科目参数!$B103)</f>
        <v/>
      </c>
      <c r="C103" s="42" t="str">
        <f aca="false">IF($A103="","",科目参数!$C103)</f>
        <v/>
      </c>
      <c r="D103" s="42" t="str">
        <f aca="false">IF($A103="","",科目参数!$D103)</f>
        <v/>
      </c>
      <c r="E103" s="54" t="str">
        <f aca="false">IF($A103="","",SUMIFS(期初数据!$Z$6:$Z$125,期初数据!$W$6:$W$125,$A103))</f>
        <v/>
      </c>
      <c r="F103" s="54" t="str">
        <f aca="false">IF($A103="","",SUMIFS(期初数据!$AA$6:$AA$125,期初数据!$W$6:$W$125,$A103))</f>
        <v/>
      </c>
      <c r="G103" s="54" t="str">
        <f aca="false">IF($A103="","",SUMIFS(资金流水!$N$5:$N$504,资金流水!$O$5:$O$504,$A103,资金流水!$C$5:$C$504,首页!$B$5)+SUMIFS(销售录入!$X$5:$X$404,销售录入!$V$5:$V$404,$A103,销售录入!$C$5:$C$404,首页!$B$5)+SUMIFS(销售录入!$AA$5:$AA$404,销售录入!$Y$5:$Y$404,$A103,销售录入!$C$5:$C$404,首页!$B$5)+SUMIFS(销售录入!$AD$5:$AD$404,销售录入!$AB$5:$AB$404,$A103,销售录入!$C$5:$C$404,首页!$B$5)+SUMIFS(采购录入!$W$5:$W$404,采购录入!$U$5:$U$404,$A103,采购录入!$C$5:$C$404,首页!$B$5)+SUMIFS(采购录入!$Z$5:$Z$404,采购录入!$X$5:$X$404,$A103,采购录入!$C$5:$C$404,首页!$B$5)+SUMIFS(其他凭证!$H$5:$H$304,其他凭证!$F$5:$F$304,$A103,其他凭证!$C$5:$C$304,首页!$B$5))</f>
        <v/>
      </c>
      <c r="H103" s="54" t="str">
        <f aca="false">IF($A103="","",SUMIFS(资金流水!$N$5:$N$504,资金流水!$P$5:$P$504,$A103,资金流水!$C$5:$C$504,首页!$B$5)+SUMIFS(销售录入!$X$5:$X$404,销售录入!$W$5:$W$404,$A103,销售录入!$C$5:$C$404,首页!$B$5)+SUMIFS(销售录入!$AA$5:$AA$404,销售录入!$Z$5:$Z$404,$A103,销售录入!$C$5:$C$404,首页!$B$5)+SUMIFS(销售录入!$AD$5:$AD$404,销售录入!$AC$5:$AC$404,$A103,销售录入!$C$5:$C$404,首页!$B$5)+SUMIFS(采购录入!$W$5:$W$404,采购录入!$V$5:$V$404,$A103,采购录入!$C$5:$C$404,首页!$B$5)+SUMIFS(采购录入!$Z$5:$Z$404,采购录入!$Y$5:$Y$404,$A103,采购录入!$C$5:$C$404,首页!$B$5)+SUMIFS(其他凭证!$H$5:$H$304,其他凭证!$G$5:$G$304,$A103,其他凭证!$C$5:$C$304,首页!$B$5))</f>
        <v/>
      </c>
      <c r="I103" s="54" t="str">
        <f aca="false">IF($A103="","",SUMIFS(资金流水!$N$5:$N$504,资金流水!$O$5:$O$504,$A103,资金流水!$B$5:$B$504,"&lt;="&amp;首页!$B$7)+SUMIFS(销售录入!$X$5:$X$404,销售录入!$V$5:$V$404,$A103,销售录入!$B$5:$B$404,"&lt;="&amp;首页!$B$7)+SUMIFS(销售录入!$AA$5:$AA$404,销售录入!$Y$5:$Y$404,$A103,销售录入!$B$5:$B$404,"&lt;="&amp;首页!$B$7)+SUMIFS(销售录入!$AD$5:$AD$404,销售录入!$AB$5:$AB$404,$A103,销售录入!$B$5:$B$404,"&lt;="&amp;首页!$B$7)+SUMIFS(采购录入!$W$5:$W$404,采购录入!$U$5:$U$404,$A103,采购录入!$B$5:$B$404,"&lt;="&amp;首页!$B$7)+SUMIFS(采购录入!$Z$5:$Z$404,采购录入!$X$5:$X$404,$A103,采购录入!$B$5:$B$404,"&lt;="&amp;首页!$B$7)+SUMIFS(其他凭证!$H$5:$H$304,其他凭证!$F$5:$F$304,$A103,其他凭证!$B$5:$B$304,"&lt;="&amp;首页!$B$7))</f>
        <v/>
      </c>
      <c r="J103" s="54" t="str">
        <f aca="false">IF($A103="","",SUMIFS(资金流水!$N$5:$N$504,资金流水!$P$5:$P$504,$A103,资金流水!$B$5:$B$504,"&lt;="&amp;首页!$B$7)+SUMIFS(销售录入!$X$5:$X$404,销售录入!$W$5:$W$404,$A103,销售录入!$B$5:$B$404,"&lt;="&amp;首页!$B$7)+SUMIFS(销售录入!$AA$5:$AA$404,销售录入!$Z$5:$Z$404,$A103,销售录入!$B$5:$B$404,"&lt;="&amp;首页!$B$7)+SUMIFS(销售录入!$AD$5:$AD$404,销售录入!$AC$5:$AC$404,$A103,销售录入!$B$5:$B$404,"&lt;="&amp;首页!$B$7)+SUMIFS(采购录入!$W$5:$W$404,采购录入!$V$5:$V$404,$A103,采购录入!$B$5:$B$404,"&lt;="&amp;首页!$B$7)+SUMIFS(采购录入!$Z$5:$Z$404,采购录入!$Y$5:$Y$404,$A103,采购录入!$B$5:$B$404,"&lt;="&amp;首页!$B$7)+SUMIFS(其他凭证!$H$5:$H$304,其他凭证!$G$5:$G$304,$A103,其他凭证!$B$5:$B$304,"&lt;="&amp;首页!$B$7))</f>
        <v/>
      </c>
      <c r="K103" s="44" t="str">
        <f aca="false">IF($A103="","",($E103+$I103)-($F103+$J103))</f>
        <v/>
      </c>
      <c r="L103" s="44" t="str">
        <f aca="false">IF($A103="","",IF($K103&gt;=0,$K103,0))</f>
        <v/>
      </c>
      <c r="M103" s="44" t="str">
        <f aca="false">IF($A103="","",IF($K103&lt;0,-$K103,0))</f>
        <v/>
      </c>
      <c r="N103" s="35" t="str">
        <f aca="false">IF($A103="","",科目参数!$F103)</f>
        <v/>
      </c>
      <c r="O103" s="35" t="str">
        <f aca="false">IF($A103="","",科目参数!$G103)</f>
        <v/>
      </c>
      <c r="P103" s="42" t="str">
        <f aca="false">IF($A103="","",科目参数!$H103)</f>
        <v/>
      </c>
    </row>
    <row r="104" customFormat="false" ht="15.75" hidden="false" customHeight="true" outlineLevel="0" collapsed="false">
      <c r="A104" s="42" t="str">
        <f aca="false">IF(科目参数!$A104="","",科目参数!$A104)</f>
        <v/>
      </c>
      <c r="B104" s="35" t="str">
        <f aca="false">IF($A104="","",科目参数!$B104)</f>
        <v/>
      </c>
      <c r="C104" s="42" t="str">
        <f aca="false">IF($A104="","",科目参数!$C104)</f>
        <v/>
      </c>
      <c r="D104" s="42" t="str">
        <f aca="false">IF($A104="","",科目参数!$D104)</f>
        <v/>
      </c>
      <c r="E104" s="54" t="str">
        <f aca="false">IF($A104="","",SUMIFS(期初数据!$Z$6:$Z$125,期初数据!$W$6:$W$125,$A104))</f>
        <v/>
      </c>
      <c r="F104" s="54" t="str">
        <f aca="false">IF($A104="","",SUMIFS(期初数据!$AA$6:$AA$125,期初数据!$W$6:$W$125,$A104))</f>
        <v/>
      </c>
      <c r="G104" s="54" t="str">
        <f aca="false">IF($A104="","",SUMIFS(资金流水!$N$5:$N$504,资金流水!$O$5:$O$504,$A104,资金流水!$C$5:$C$504,首页!$B$5)+SUMIFS(销售录入!$X$5:$X$404,销售录入!$V$5:$V$404,$A104,销售录入!$C$5:$C$404,首页!$B$5)+SUMIFS(销售录入!$AA$5:$AA$404,销售录入!$Y$5:$Y$404,$A104,销售录入!$C$5:$C$404,首页!$B$5)+SUMIFS(销售录入!$AD$5:$AD$404,销售录入!$AB$5:$AB$404,$A104,销售录入!$C$5:$C$404,首页!$B$5)+SUMIFS(采购录入!$W$5:$W$404,采购录入!$U$5:$U$404,$A104,采购录入!$C$5:$C$404,首页!$B$5)+SUMIFS(采购录入!$Z$5:$Z$404,采购录入!$X$5:$X$404,$A104,采购录入!$C$5:$C$404,首页!$B$5)+SUMIFS(其他凭证!$H$5:$H$304,其他凭证!$F$5:$F$304,$A104,其他凭证!$C$5:$C$304,首页!$B$5))</f>
        <v/>
      </c>
      <c r="H104" s="54" t="str">
        <f aca="false">IF($A104="","",SUMIFS(资金流水!$N$5:$N$504,资金流水!$P$5:$P$504,$A104,资金流水!$C$5:$C$504,首页!$B$5)+SUMIFS(销售录入!$X$5:$X$404,销售录入!$W$5:$W$404,$A104,销售录入!$C$5:$C$404,首页!$B$5)+SUMIFS(销售录入!$AA$5:$AA$404,销售录入!$Z$5:$Z$404,$A104,销售录入!$C$5:$C$404,首页!$B$5)+SUMIFS(销售录入!$AD$5:$AD$404,销售录入!$AC$5:$AC$404,$A104,销售录入!$C$5:$C$404,首页!$B$5)+SUMIFS(采购录入!$W$5:$W$404,采购录入!$V$5:$V$404,$A104,采购录入!$C$5:$C$404,首页!$B$5)+SUMIFS(采购录入!$Z$5:$Z$404,采购录入!$Y$5:$Y$404,$A104,采购录入!$C$5:$C$404,首页!$B$5)+SUMIFS(其他凭证!$H$5:$H$304,其他凭证!$G$5:$G$304,$A104,其他凭证!$C$5:$C$304,首页!$B$5))</f>
        <v/>
      </c>
      <c r="I104" s="54" t="str">
        <f aca="false">IF($A104="","",SUMIFS(资金流水!$N$5:$N$504,资金流水!$O$5:$O$504,$A104,资金流水!$B$5:$B$504,"&lt;="&amp;首页!$B$7)+SUMIFS(销售录入!$X$5:$X$404,销售录入!$V$5:$V$404,$A104,销售录入!$B$5:$B$404,"&lt;="&amp;首页!$B$7)+SUMIFS(销售录入!$AA$5:$AA$404,销售录入!$Y$5:$Y$404,$A104,销售录入!$B$5:$B$404,"&lt;="&amp;首页!$B$7)+SUMIFS(销售录入!$AD$5:$AD$404,销售录入!$AB$5:$AB$404,$A104,销售录入!$B$5:$B$404,"&lt;="&amp;首页!$B$7)+SUMIFS(采购录入!$W$5:$W$404,采购录入!$U$5:$U$404,$A104,采购录入!$B$5:$B$404,"&lt;="&amp;首页!$B$7)+SUMIFS(采购录入!$Z$5:$Z$404,采购录入!$X$5:$X$404,$A104,采购录入!$B$5:$B$404,"&lt;="&amp;首页!$B$7)+SUMIFS(其他凭证!$H$5:$H$304,其他凭证!$F$5:$F$304,$A104,其他凭证!$B$5:$B$304,"&lt;="&amp;首页!$B$7))</f>
        <v/>
      </c>
      <c r="J104" s="54" t="str">
        <f aca="false">IF($A104="","",SUMIFS(资金流水!$N$5:$N$504,资金流水!$P$5:$P$504,$A104,资金流水!$B$5:$B$504,"&lt;="&amp;首页!$B$7)+SUMIFS(销售录入!$X$5:$X$404,销售录入!$W$5:$W$404,$A104,销售录入!$B$5:$B$404,"&lt;="&amp;首页!$B$7)+SUMIFS(销售录入!$AA$5:$AA$404,销售录入!$Z$5:$Z$404,$A104,销售录入!$B$5:$B$404,"&lt;="&amp;首页!$B$7)+SUMIFS(销售录入!$AD$5:$AD$404,销售录入!$AC$5:$AC$404,$A104,销售录入!$B$5:$B$404,"&lt;="&amp;首页!$B$7)+SUMIFS(采购录入!$W$5:$W$404,采购录入!$V$5:$V$404,$A104,采购录入!$B$5:$B$404,"&lt;="&amp;首页!$B$7)+SUMIFS(采购录入!$Z$5:$Z$404,采购录入!$Y$5:$Y$404,$A104,采购录入!$B$5:$B$404,"&lt;="&amp;首页!$B$7)+SUMIFS(其他凭证!$H$5:$H$304,其他凭证!$G$5:$G$304,$A104,其他凭证!$B$5:$B$304,"&lt;="&amp;首页!$B$7))</f>
        <v/>
      </c>
      <c r="K104" s="44" t="str">
        <f aca="false">IF($A104="","",($E104+$I104)-($F104+$J104))</f>
        <v/>
      </c>
      <c r="L104" s="44" t="str">
        <f aca="false">IF($A104="","",IF($K104&gt;=0,$K104,0))</f>
        <v/>
      </c>
      <c r="M104" s="44" t="str">
        <f aca="false">IF($A104="","",IF($K104&lt;0,-$K104,0))</f>
        <v/>
      </c>
      <c r="N104" s="35" t="str">
        <f aca="false">IF($A104="","",科目参数!$F104)</f>
        <v/>
      </c>
      <c r="O104" s="35" t="str">
        <f aca="false">IF($A104="","",科目参数!$G104)</f>
        <v/>
      </c>
      <c r="P104" s="42" t="str">
        <f aca="false">IF($A104="","",科目参数!$H104)</f>
        <v/>
      </c>
    </row>
    <row r="105" customFormat="false" ht="15.75" hidden="false" customHeight="true" outlineLevel="0" collapsed="false">
      <c r="A105" s="42" t="str">
        <f aca="false">IF(科目参数!$A105="","",科目参数!$A105)</f>
        <v/>
      </c>
      <c r="B105" s="35" t="str">
        <f aca="false">IF($A105="","",科目参数!$B105)</f>
        <v/>
      </c>
      <c r="C105" s="42" t="str">
        <f aca="false">IF($A105="","",科目参数!$C105)</f>
        <v/>
      </c>
      <c r="D105" s="42" t="str">
        <f aca="false">IF($A105="","",科目参数!$D105)</f>
        <v/>
      </c>
      <c r="E105" s="54" t="str">
        <f aca="false">IF($A105="","",SUMIFS(期初数据!$Z$6:$Z$125,期初数据!$W$6:$W$125,$A105))</f>
        <v/>
      </c>
      <c r="F105" s="54" t="str">
        <f aca="false">IF($A105="","",SUMIFS(期初数据!$AA$6:$AA$125,期初数据!$W$6:$W$125,$A105))</f>
        <v/>
      </c>
      <c r="G105" s="54" t="str">
        <f aca="false">IF($A105="","",SUMIFS(资金流水!$N$5:$N$504,资金流水!$O$5:$O$504,$A105,资金流水!$C$5:$C$504,首页!$B$5)+SUMIFS(销售录入!$X$5:$X$404,销售录入!$V$5:$V$404,$A105,销售录入!$C$5:$C$404,首页!$B$5)+SUMIFS(销售录入!$AA$5:$AA$404,销售录入!$Y$5:$Y$404,$A105,销售录入!$C$5:$C$404,首页!$B$5)+SUMIFS(销售录入!$AD$5:$AD$404,销售录入!$AB$5:$AB$404,$A105,销售录入!$C$5:$C$404,首页!$B$5)+SUMIFS(采购录入!$W$5:$W$404,采购录入!$U$5:$U$404,$A105,采购录入!$C$5:$C$404,首页!$B$5)+SUMIFS(采购录入!$Z$5:$Z$404,采购录入!$X$5:$X$404,$A105,采购录入!$C$5:$C$404,首页!$B$5)+SUMIFS(其他凭证!$H$5:$H$304,其他凭证!$F$5:$F$304,$A105,其他凭证!$C$5:$C$304,首页!$B$5))</f>
        <v/>
      </c>
      <c r="H105" s="54" t="str">
        <f aca="false">IF($A105="","",SUMIFS(资金流水!$N$5:$N$504,资金流水!$P$5:$P$504,$A105,资金流水!$C$5:$C$504,首页!$B$5)+SUMIFS(销售录入!$X$5:$X$404,销售录入!$W$5:$W$404,$A105,销售录入!$C$5:$C$404,首页!$B$5)+SUMIFS(销售录入!$AA$5:$AA$404,销售录入!$Z$5:$Z$404,$A105,销售录入!$C$5:$C$404,首页!$B$5)+SUMIFS(销售录入!$AD$5:$AD$404,销售录入!$AC$5:$AC$404,$A105,销售录入!$C$5:$C$404,首页!$B$5)+SUMIFS(采购录入!$W$5:$W$404,采购录入!$V$5:$V$404,$A105,采购录入!$C$5:$C$404,首页!$B$5)+SUMIFS(采购录入!$Z$5:$Z$404,采购录入!$Y$5:$Y$404,$A105,采购录入!$C$5:$C$404,首页!$B$5)+SUMIFS(其他凭证!$H$5:$H$304,其他凭证!$G$5:$G$304,$A105,其他凭证!$C$5:$C$304,首页!$B$5))</f>
        <v/>
      </c>
      <c r="I105" s="54" t="str">
        <f aca="false">IF($A105="","",SUMIFS(资金流水!$N$5:$N$504,资金流水!$O$5:$O$504,$A105,资金流水!$B$5:$B$504,"&lt;="&amp;首页!$B$7)+SUMIFS(销售录入!$X$5:$X$404,销售录入!$V$5:$V$404,$A105,销售录入!$B$5:$B$404,"&lt;="&amp;首页!$B$7)+SUMIFS(销售录入!$AA$5:$AA$404,销售录入!$Y$5:$Y$404,$A105,销售录入!$B$5:$B$404,"&lt;="&amp;首页!$B$7)+SUMIFS(销售录入!$AD$5:$AD$404,销售录入!$AB$5:$AB$404,$A105,销售录入!$B$5:$B$404,"&lt;="&amp;首页!$B$7)+SUMIFS(采购录入!$W$5:$W$404,采购录入!$U$5:$U$404,$A105,采购录入!$B$5:$B$404,"&lt;="&amp;首页!$B$7)+SUMIFS(采购录入!$Z$5:$Z$404,采购录入!$X$5:$X$404,$A105,采购录入!$B$5:$B$404,"&lt;="&amp;首页!$B$7)+SUMIFS(其他凭证!$H$5:$H$304,其他凭证!$F$5:$F$304,$A105,其他凭证!$B$5:$B$304,"&lt;="&amp;首页!$B$7))</f>
        <v/>
      </c>
      <c r="J105" s="54" t="str">
        <f aca="false">IF($A105="","",SUMIFS(资金流水!$N$5:$N$504,资金流水!$P$5:$P$504,$A105,资金流水!$B$5:$B$504,"&lt;="&amp;首页!$B$7)+SUMIFS(销售录入!$X$5:$X$404,销售录入!$W$5:$W$404,$A105,销售录入!$B$5:$B$404,"&lt;="&amp;首页!$B$7)+SUMIFS(销售录入!$AA$5:$AA$404,销售录入!$Z$5:$Z$404,$A105,销售录入!$B$5:$B$404,"&lt;="&amp;首页!$B$7)+SUMIFS(销售录入!$AD$5:$AD$404,销售录入!$AC$5:$AC$404,$A105,销售录入!$B$5:$B$404,"&lt;="&amp;首页!$B$7)+SUMIFS(采购录入!$W$5:$W$404,采购录入!$V$5:$V$404,$A105,采购录入!$B$5:$B$404,"&lt;="&amp;首页!$B$7)+SUMIFS(采购录入!$Z$5:$Z$404,采购录入!$Y$5:$Y$404,$A105,采购录入!$B$5:$B$404,"&lt;="&amp;首页!$B$7)+SUMIFS(其他凭证!$H$5:$H$304,其他凭证!$G$5:$G$304,$A105,其他凭证!$B$5:$B$304,"&lt;="&amp;首页!$B$7))</f>
        <v/>
      </c>
      <c r="K105" s="44" t="str">
        <f aca="false">IF($A105="","",($E105+$I105)-($F105+$J105))</f>
        <v/>
      </c>
      <c r="L105" s="44" t="str">
        <f aca="false">IF($A105="","",IF($K105&gt;=0,$K105,0))</f>
        <v/>
      </c>
      <c r="M105" s="44" t="str">
        <f aca="false">IF($A105="","",IF($K105&lt;0,-$K105,0))</f>
        <v/>
      </c>
      <c r="N105" s="35" t="str">
        <f aca="false">IF($A105="","",科目参数!$F105)</f>
        <v/>
      </c>
      <c r="O105" s="35" t="str">
        <f aca="false">IF($A105="","",科目参数!$G105)</f>
        <v/>
      </c>
      <c r="P105" s="42" t="str">
        <f aca="false">IF($A105="","",科目参数!$H105)</f>
        <v/>
      </c>
    </row>
    <row r="106" customFormat="false" ht="15.75" hidden="false" customHeight="true" outlineLevel="0" collapsed="false">
      <c r="A106" s="42" t="str">
        <f aca="false">IF(科目参数!$A106="","",科目参数!$A106)</f>
        <v/>
      </c>
      <c r="B106" s="35" t="str">
        <f aca="false">IF($A106="","",科目参数!$B106)</f>
        <v/>
      </c>
      <c r="C106" s="42" t="str">
        <f aca="false">IF($A106="","",科目参数!$C106)</f>
        <v/>
      </c>
      <c r="D106" s="42" t="str">
        <f aca="false">IF($A106="","",科目参数!$D106)</f>
        <v/>
      </c>
      <c r="E106" s="54" t="str">
        <f aca="false">IF($A106="","",SUMIFS(期初数据!$Z$6:$Z$125,期初数据!$W$6:$W$125,$A106))</f>
        <v/>
      </c>
      <c r="F106" s="54" t="str">
        <f aca="false">IF($A106="","",SUMIFS(期初数据!$AA$6:$AA$125,期初数据!$W$6:$W$125,$A106))</f>
        <v/>
      </c>
      <c r="G106" s="54" t="str">
        <f aca="false">IF($A106="","",SUMIFS(资金流水!$N$5:$N$504,资金流水!$O$5:$O$504,$A106,资金流水!$C$5:$C$504,首页!$B$5)+SUMIFS(销售录入!$X$5:$X$404,销售录入!$V$5:$V$404,$A106,销售录入!$C$5:$C$404,首页!$B$5)+SUMIFS(销售录入!$AA$5:$AA$404,销售录入!$Y$5:$Y$404,$A106,销售录入!$C$5:$C$404,首页!$B$5)+SUMIFS(销售录入!$AD$5:$AD$404,销售录入!$AB$5:$AB$404,$A106,销售录入!$C$5:$C$404,首页!$B$5)+SUMIFS(采购录入!$W$5:$W$404,采购录入!$U$5:$U$404,$A106,采购录入!$C$5:$C$404,首页!$B$5)+SUMIFS(采购录入!$Z$5:$Z$404,采购录入!$X$5:$X$404,$A106,采购录入!$C$5:$C$404,首页!$B$5)+SUMIFS(其他凭证!$H$5:$H$304,其他凭证!$F$5:$F$304,$A106,其他凭证!$C$5:$C$304,首页!$B$5))</f>
        <v/>
      </c>
      <c r="H106" s="54" t="str">
        <f aca="false">IF($A106="","",SUMIFS(资金流水!$N$5:$N$504,资金流水!$P$5:$P$504,$A106,资金流水!$C$5:$C$504,首页!$B$5)+SUMIFS(销售录入!$X$5:$X$404,销售录入!$W$5:$W$404,$A106,销售录入!$C$5:$C$404,首页!$B$5)+SUMIFS(销售录入!$AA$5:$AA$404,销售录入!$Z$5:$Z$404,$A106,销售录入!$C$5:$C$404,首页!$B$5)+SUMIFS(销售录入!$AD$5:$AD$404,销售录入!$AC$5:$AC$404,$A106,销售录入!$C$5:$C$404,首页!$B$5)+SUMIFS(采购录入!$W$5:$W$404,采购录入!$V$5:$V$404,$A106,采购录入!$C$5:$C$404,首页!$B$5)+SUMIFS(采购录入!$Z$5:$Z$404,采购录入!$Y$5:$Y$404,$A106,采购录入!$C$5:$C$404,首页!$B$5)+SUMIFS(其他凭证!$H$5:$H$304,其他凭证!$G$5:$G$304,$A106,其他凭证!$C$5:$C$304,首页!$B$5))</f>
        <v/>
      </c>
      <c r="I106" s="54" t="str">
        <f aca="false">IF($A106="","",SUMIFS(资金流水!$N$5:$N$504,资金流水!$O$5:$O$504,$A106,资金流水!$B$5:$B$504,"&lt;="&amp;首页!$B$7)+SUMIFS(销售录入!$X$5:$X$404,销售录入!$V$5:$V$404,$A106,销售录入!$B$5:$B$404,"&lt;="&amp;首页!$B$7)+SUMIFS(销售录入!$AA$5:$AA$404,销售录入!$Y$5:$Y$404,$A106,销售录入!$B$5:$B$404,"&lt;="&amp;首页!$B$7)+SUMIFS(销售录入!$AD$5:$AD$404,销售录入!$AB$5:$AB$404,$A106,销售录入!$B$5:$B$404,"&lt;="&amp;首页!$B$7)+SUMIFS(采购录入!$W$5:$W$404,采购录入!$U$5:$U$404,$A106,采购录入!$B$5:$B$404,"&lt;="&amp;首页!$B$7)+SUMIFS(采购录入!$Z$5:$Z$404,采购录入!$X$5:$X$404,$A106,采购录入!$B$5:$B$404,"&lt;="&amp;首页!$B$7)+SUMIFS(其他凭证!$H$5:$H$304,其他凭证!$F$5:$F$304,$A106,其他凭证!$B$5:$B$304,"&lt;="&amp;首页!$B$7))</f>
        <v/>
      </c>
      <c r="J106" s="54" t="str">
        <f aca="false">IF($A106="","",SUMIFS(资金流水!$N$5:$N$504,资金流水!$P$5:$P$504,$A106,资金流水!$B$5:$B$504,"&lt;="&amp;首页!$B$7)+SUMIFS(销售录入!$X$5:$X$404,销售录入!$W$5:$W$404,$A106,销售录入!$B$5:$B$404,"&lt;="&amp;首页!$B$7)+SUMIFS(销售录入!$AA$5:$AA$404,销售录入!$Z$5:$Z$404,$A106,销售录入!$B$5:$B$404,"&lt;="&amp;首页!$B$7)+SUMIFS(销售录入!$AD$5:$AD$404,销售录入!$AC$5:$AC$404,$A106,销售录入!$B$5:$B$404,"&lt;="&amp;首页!$B$7)+SUMIFS(采购录入!$W$5:$W$404,采购录入!$V$5:$V$404,$A106,采购录入!$B$5:$B$404,"&lt;="&amp;首页!$B$7)+SUMIFS(采购录入!$Z$5:$Z$404,采购录入!$Y$5:$Y$404,$A106,采购录入!$B$5:$B$404,"&lt;="&amp;首页!$B$7)+SUMIFS(其他凭证!$H$5:$H$304,其他凭证!$G$5:$G$304,$A106,其他凭证!$B$5:$B$304,"&lt;="&amp;首页!$B$7))</f>
        <v/>
      </c>
      <c r="K106" s="44" t="str">
        <f aca="false">IF($A106="","",($E106+$I106)-($F106+$J106))</f>
        <v/>
      </c>
      <c r="L106" s="44" t="str">
        <f aca="false">IF($A106="","",IF($K106&gt;=0,$K106,0))</f>
        <v/>
      </c>
      <c r="M106" s="44" t="str">
        <f aca="false">IF($A106="","",IF($K106&lt;0,-$K106,0))</f>
        <v/>
      </c>
      <c r="N106" s="35" t="str">
        <f aca="false">IF($A106="","",科目参数!$F106)</f>
        <v/>
      </c>
      <c r="O106" s="35" t="str">
        <f aca="false">IF($A106="","",科目参数!$G106)</f>
        <v/>
      </c>
      <c r="P106" s="42" t="str">
        <f aca="false">IF($A106="","",科目参数!$H106)</f>
        <v/>
      </c>
    </row>
    <row r="107" customFormat="false" ht="15.75" hidden="false" customHeight="true" outlineLevel="0" collapsed="false">
      <c r="A107" s="42" t="str">
        <f aca="false">IF(科目参数!$A107="","",科目参数!$A107)</f>
        <v/>
      </c>
      <c r="B107" s="35" t="str">
        <f aca="false">IF($A107="","",科目参数!$B107)</f>
        <v/>
      </c>
      <c r="C107" s="42" t="str">
        <f aca="false">IF($A107="","",科目参数!$C107)</f>
        <v/>
      </c>
      <c r="D107" s="42" t="str">
        <f aca="false">IF($A107="","",科目参数!$D107)</f>
        <v/>
      </c>
      <c r="E107" s="54" t="str">
        <f aca="false">IF($A107="","",SUMIFS(期初数据!$Z$6:$Z$125,期初数据!$W$6:$W$125,$A107))</f>
        <v/>
      </c>
      <c r="F107" s="54" t="str">
        <f aca="false">IF($A107="","",SUMIFS(期初数据!$AA$6:$AA$125,期初数据!$W$6:$W$125,$A107))</f>
        <v/>
      </c>
      <c r="G107" s="54" t="str">
        <f aca="false">IF($A107="","",SUMIFS(资金流水!$N$5:$N$504,资金流水!$O$5:$O$504,$A107,资金流水!$C$5:$C$504,首页!$B$5)+SUMIFS(销售录入!$X$5:$X$404,销售录入!$V$5:$V$404,$A107,销售录入!$C$5:$C$404,首页!$B$5)+SUMIFS(销售录入!$AA$5:$AA$404,销售录入!$Y$5:$Y$404,$A107,销售录入!$C$5:$C$404,首页!$B$5)+SUMIFS(销售录入!$AD$5:$AD$404,销售录入!$AB$5:$AB$404,$A107,销售录入!$C$5:$C$404,首页!$B$5)+SUMIFS(采购录入!$W$5:$W$404,采购录入!$U$5:$U$404,$A107,采购录入!$C$5:$C$404,首页!$B$5)+SUMIFS(采购录入!$Z$5:$Z$404,采购录入!$X$5:$X$404,$A107,采购录入!$C$5:$C$404,首页!$B$5)+SUMIFS(其他凭证!$H$5:$H$304,其他凭证!$F$5:$F$304,$A107,其他凭证!$C$5:$C$304,首页!$B$5))</f>
        <v/>
      </c>
      <c r="H107" s="54" t="str">
        <f aca="false">IF($A107="","",SUMIFS(资金流水!$N$5:$N$504,资金流水!$P$5:$P$504,$A107,资金流水!$C$5:$C$504,首页!$B$5)+SUMIFS(销售录入!$X$5:$X$404,销售录入!$W$5:$W$404,$A107,销售录入!$C$5:$C$404,首页!$B$5)+SUMIFS(销售录入!$AA$5:$AA$404,销售录入!$Z$5:$Z$404,$A107,销售录入!$C$5:$C$404,首页!$B$5)+SUMIFS(销售录入!$AD$5:$AD$404,销售录入!$AC$5:$AC$404,$A107,销售录入!$C$5:$C$404,首页!$B$5)+SUMIFS(采购录入!$W$5:$W$404,采购录入!$V$5:$V$404,$A107,采购录入!$C$5:$C$404,首页!$B$5)+SUMIFS(采购录入!$Z$5:$Z$404,采购录入!$Y$5:$Y$404,$A107,采购录入!$C$5:$C$404,首页!$B$5)+SUMIFS(其他凭证!$H$5:$H$304,其他凭证!$G$5:$G$304,$A107,其他凭证!$C$5:$C$304,首页!$B$5))</f>
        <v/>
      </c>
      <c r="I107" s="54" t="str">
        <f aca="false">IF($A107="","",SUMIFS(资金流水!$N$5:$N$504,资金流水!$O$5:$O$504,$A107,资金流水!$B$5:$B$504,"&lt;="&amp;首页!$B$7)+SUMIFS(销售录入!$X$5:$X$404,销售录入!$V$5:$V$404,$A107,销售录入!$B$5:$B$404,"&lt;="&amp;首页!$B$7)+SUMIFS(销售录入!$AA$5:$AA$404,销售录入!$Y$5:$Y$404,$A107,销售录入!$B$5:$B$404,"&lt;="&amp;首页!$B$7)+SUMIFS(销售录入!$AD$5:$AD$404,销售录入!$AB$5:$AB$404,$A107,销售录入!$B$5:$B$404,"&lt;="&amp;首页!$B$7)+SUMIFS(采购录入!$W$5:$W$404,采购录入!$U$5:$U$404,$A107,采购录入!$B$5:$B$404,"&lt;="&amp;首页!$B$7)+SUMIFS(采购录入!$Z$5:$Z$404,采购录入!$X$5:$X$404,$A107,采购录入!$B$5:$B$404,"&lt;="&amp;首页!$B$7)+SUMIFS(其他凭证!$H$5:$H$304,其他凭证!$F$5:$F$304,$A107,其他凭证!$B$5:$B$304,"&lt;="&amp;首页!$B$7))</f>
        <v/>
      </c>
      <c r="J107" s="54" t="str">
        <f aca="false">IF($A107="","",SUMIFS(资金流水!$N$5:$N$504,资金流水!$P$5:$P$504,$A107,资金流水!$B$5:$B$504,"&lt;="&amp;首页!$B$7)+SUMIFS(销售录入!$X$5:$X$404,销售录入!$W$5:$W$404,$A107,销售录入!$B$5:$B$404,"&lt;="&amp;首页!$B$7)+SUMIFS(销售录入!$AA$5:$AA$404,销售录入!$Z$5:$Z$404,$A107,销售录入!$B$5:$B$404,"&lt;="&amp;首页!$B$7)+SUMIFS(销售录入!$AD$5:$AD$404,销售录入!$AC$5:$AC$404,$A107,销售录入!$B$5:$B$404,"&lt;="&amp;首页!$B$7)+SUMIFS(采购录入!$W$5:$W$404,采购录入!$V$5:$V$404,$A107,采购录入!$B$5:$B$404,"&lt;="&amp;首页!$B$7)+SUMIFS(采购录入!$Z$5:$Z$404,采购录入!$Y$5:$Y$404,$A107,采购录入!$B$5:$B$404,"&lt;="&amp;首页!$B$7)+SUMIFS(其他凭证!$H$5:$H$304,其他凭证!$G$5:$G$304,$A107,其他凭证!$B$5:$B$304,"&lt;="&amp;首页!$B$7))</f>
        <v/>
      </c>
      <c r="K107" s="44" t="str">
        <f aca="false">IF($A107="","",($E107+$I107)-($F107+$J107))</f>
        <v/>
      </c>
      <c r="L107" s="44" t="str">
        <f aca="false">IF($A107="","",IF($K107&gt;=0,$K107,0))</f>
        <v/>
      </c>
      <c r="M107" s="44" t="str">
        <f aca="false">IF($A107="","",IF($K107&lt;0,-$K107,0))</f>
        <v/>
      </c>
      <c r="N107" s="35" t="str">
        <f aca="false">IF($A107="","",科目参数!$F107)</f>
        <v/>
      </c>
      <c r="O107" s="35" t="str">
        <f aca="false">IF($A107="","",科目参数!$G107)</f>
        <v/>
      </c>
      <c r="P107" s="42" t="str">
        <f aca="false">IF($A107="","",科目参数!$H107)</f>
        <v/>
      </c>
    </row>
    <row r="108" customFormat="false" ht="15.75" hidden="false" customHeight="true" outlineLevel="0" collapsed="false">
      <c r="A108" s="42" t="str">
        <f aca="false">IF(科目参数!$A108="","",科目参数!$A108)</f>
        <v/>
      </c>
      <c r="B108" s="35" t="str">
        <f aca="false">IF($A108="","",科目参数!$B108)</f>
        <v/>
      </c>
      <c r="C108" s="42" t="str">
        <f aca="false">IF($A108="","",科目参数!$C108)</f>
        <v/>
      </c>
      <c r="D108" s="42" t="str">
        <f aca="false">IF($A108="","",科目参数!$D108)</f>
        <v/>
      </c>
      <c r="E108" s="54" t="str">
        <f aca="false">IF($A108="","",SUMIFS(期初数据!$Z$6:$Z$125,期初数据!$W$6:$W$125,$A108))</f>
        <v/>
      </c>
      <c r="F108" s="54" t="str">
        <f aca="false">IF($A108="","",SUMIFS(期初数据!$AA$6:$AA$125,期初数据!$W$6:$W$125,$A108))</f>
        <v/>
      </c>
      <c r="G108" s="54" t="str">
        <f aca="false">IF($A108="","",SUMIFS(资金流水!$N$5:$N$504,资金流水!$O$5:$O$504,$A108,资金流水!$C$5:$C$504,首页!$B$5)+SUMIFS(销售录入!$X$5:$X$404,销售录入!$V$5:$V$404,$A108,销售录入!$C$5:$C$404,首页!$B$5)+SUMIFS(销售录入!$AA$5:$AA$404,销售录入!$Y$5:$Y$404,$A108,销售录入!$C$5:$C$404,首页!$B$5)+SUMIFS(销售录入!$AD$5:$AD$404,销售录入!$AB$5:$AB$404,$A108,销售录入!$C$5:$C$404,首页!$B$5)+SUMIFS(采购录入!$W$5:$W$404,采购录入!$U$5:$U$404,$A108,采购录入!$C$5:$C$404,首页!$B$5)+SUMIFS(采购录入!$Z$5:$Z$404,采购录入!$X$5:$X$404,$A108,采购录入!$C$5:$C$404,首页!$B$5)+SUMIFS(其他凭证!$H$5:$H$304,其他凭证!$F$5:$F$304,$A108,其他凭证!$C$5:$C$304,首页!$B$5))</f>
        <v/>
      </c>
      <c r="H108" s="54" t="str">
        <f aca="false">IF($A108="","",SUMIFS(资金流水!$N$5:$N$504,资金流水!$P$5:$P$504,$A108,资金流水!$C$5:$C$504,首页!$B$5)+SUMIFS(销售录入!$X$5:$X$404,销售录入!$W$5:$W$404,$A108,销售录入!$C$5:$C$404,首页!$B$5)+SUMIFS(销售录入!$AA$5:$AA$404,销售录入!$Z$5:$Z$404,$A108,销售录入!$C$5:$C$404,首页!$B$5)+SUMIFS(销售录入!$AD$5:$AD$404,销售录入!$AC$5:$AC$404,$A108,销售录入!$C$5:$C$404,首页!$B$5)+SUMIFS(采购录入!$W$5:$W$404,采购录入!$V$5:$V$404,$A108,采购录入!$C$5:$C$404,首页!$B$5)+SUMIFS(采购录入!$Z$5:$Z$404,采购录入!$Y$5:$Y$404,$A108,采购录入!$C$5:$C$404,首页!$B$5)+SUMIFS(其他凭证!$H$5:$H$304,其他凭证!$G$5:$G$304,$A108,其他凭证!$C$5:$C$304,首页!$B$5))</f>
        <v/>
      </c>
      <c r="I108" s="54" t="str">
        <f aca="false">IF($A108="","",SUMIFS(资金流水!$N$5:$N$504,资金流水!$O$5:$O$504,$A108,资金流水!$B$5:$B$504,"&lt;="&amp;首页!$B$7)+SUMIFS(销售录入!$X$5:$X$404,销售录入!$V$5:$V$404,$A108,销售录入!$B$5:$B$404,"&lt;="&amp;首页!$B$7)+SUMIFS(销售录入!$AA$5:$AA$404,销售录入!$Y$5:$Y$404,$A108,销售录入!$B$5:$B$404,"&lt;="&amp;首页!$B$7)+SUMIFS(销售录入!$AD$5:$AD$404,销售录入!$AB$5:$AB$404,$A108,销售录入!$B$5:$B$404,"&lt;="&amp;首页!$B$7)+SUMIFS(采购录入!$W$5:$W$404,采购录入!$U$5:$U$404,$A108,采购录入!$B$5:$B$404,"&lt;="&amp;首页!$B$7)+SUMIFS(采购录入!$Z$5:$Z$404,采购录入!$X$5:$X$404,$A108,采购录入!$B$5:$B$404,"&lt;="&amp;首页!$B$7)+SUMIFS(其他凭证!$H$5:$H$304,其他凭证!$F$5:$F$304,$A108,其他凭证!$B$5:$B$304,"&lt;="&amp;首页!$B$7))</f>
        <v/>
      </c>
      <c r="J108" s="54" t="str">
        <f aca="false">IF($A108="","",SUMIFS(资金流水!$N$5:$N$504,资金流水!$P$5:$P$504,$A108,资金流水!$B$5:$B$504,"&lt;="&amp;首页!$B$7)+SUMIFS(销售录入!$X$5:$X$404,销售录入!$W$5:$W$404,$A108,销售录入!$B$5:$B$404,"&lt;="&amp;首页!$B$7)+SUMIFS(销售录入!$AA$5:$AA$404,销售录入!$Z$5:$Z$404,$A108,销售录入!$B$5:$B$404,"&lt;="&amp;首页!$B$7)+SUMIFS(销售录入!$AD$5:$AD$404,销售录入!$AC$5:$AC$404,$A108,销售录入!$B$5:$B$404,"&lt;="&amp;首页!$B$7)+SUMIFS(采购录入!$W$5:$W$404,采购录入!$V$5:$V$404,$A108,采购录入!$B$5:$B$404,"&lt;="&amp;首页!$B$7)+SUMIFS(采购录入!$Z$5:$Z$404,采购录入!$Y$5:$Y$404,$A108,采购录入!$B$5:$B$404,"&lt;="&amp;首页!$B$7)+SUMIFS(其他凭证!$H$5:$H$304,其他凭证!$G$5:$G$304,$A108,其他凭证!$B$5:$B$304,"&lt;="&amp;首页!$B$7))</f>
        <v/>
      </c>
      <c r="K108" s="44" t="str">
        <f aca="false">IF($A108="","",($E108+$I108)-($F108+$J108))</f>
        <v/>
      </c>
      <c r="L108" s="44" t="str">
        <f aca="false">IF($A108="","",IF($K108&gt;=0,$K108,0))</f>
        <v/>
      </c>
      <c r="M108" s="44" t="str">
        <f aca="false">IF($A108="","",IF($K108&lt;0,-$K108,0))</f>
        <v/>
      </c>
      <c r="N108" s="35" t="str">
        <f aca="false">IF($A108="","",科目参数!$F108)</f>
        <v/>
      </c>
      <c r="O108" s="35" t="str">
        <f aca="false">IF($A108="","",科目参数!$G108)</f>
        <v/>
      </c>
      <c r="P108" s="42" t="str">
        <f aca="false">IF($A108="","",科目参数!$H108)</f>
        <v/>
      </c>
    </row>
    <row r="109" customFormat="false" ht="15.75" hidden="false" customHeight="true" outlineLevel="0" collapsed="false">
      <c r="A109" s="42" t="str">
        <f aca="false">IF(科目参数!$A109="","",科目参数!$A109)</f>
        <v/>
      </c>
      <c r="B109" s="35" t="str">
        <f aca="false">IF($A109="","",科目参数!$B109)</f>
        <v/>
      </c>
      <c r="C109" s="42" t="str">
        <f aca="false">IF($A109="","",科目参数!$C109)</f>
        <v/>
      </c>
      <c r="D109" s="42" t="str">
        <f aca="false">IF($A109="","",科目参数!$D109)</f>
        <v/>
      </c>
      <c r="E109" s="54" t="str">
        <f aca="false">IF($A109="","",SUMIFS(期初数据!$Z$6:$Z$125,期初数据!$W$6:$W$125,$A109))</f>
        <v/>
      </c>
      <c r="F109" s="54" t="str">
        <f aca="false">IF($A109="","",SUMIFS(期初数据!$AA$6:$AA$125,期初数据!$W$6:$W$125,$A109))</f>
        <v/>
      </c>
      <c r="G109" s="54" t="str">
        <f aca="false">IF($A109="","",SUMIFS(资金流水!$N$5:$N$504,资金流水!$O$5:$O$504,$A109,资金流水!$C$5:$C$504,首页!$B$5)+SUMIFS(销售录入!$X$5:$X$404,销售录入!$V$5:$V$404,$A109,销售录入!$C$5:$C$404,首页!$B$5)+SUMIFS(销售录入!$AA$5:$AA$404,销售录入!$Y$5:$Y$404,$A109,销售录入!$C$5:$C$404,首页!$B$5)+SUMIFS(销售录入!$AD$5:$AD$404,销售录入!$AB$5:$AB$404,$A109,销售录入!$C$5:$C$404,首页!$B$5)+SUMIFS(采购录入!$W$5:$W$404,采购录入!$U$5:$U$404,$A109,采购录入!$C$5:$C$404,首页!$B$5)+SUMIFS(采购录入!$Z$5:$Z$404,采购录入!$X$5:$X$404,$A109,采购录入!$C$5:$C$404,首页!$B$5)+SUMIFS(其他凭证!$H$5:$H$304,其他凭证!$F$5:$F$304,$A109,其他凭证!$C$5:$C$304,首页!$B$5))</f>
        <v/>
      </c>
      <c r="H109" s="54" t="str">
        <f aca="false">IF($A109="","",SUMIFS(资金流水!$N$5:$N$504,资金流水!$P$5:$P$504,$A109,资金流水!$C$5:$C$504,首页!$B$5)+SUMIFS(销售录入!$X$5:$X$404,销售录入!$W$5:$W$404,$A109,销售录入!$C$5:$C$404,首页!$B$5)+SUMIFS(销售录入!$AA$5:$AA$404,销售录入!$Z$5:$Z$404,$A109,销售录入!$C$5:$C$404,首页!$B$5)+SUMIFS(销售录入!$AD$5:$AD$404,销售录入!$AC$5:$AC$404,$A109,销售录入!$C$5:$C$404,首页!$B$5)+SUMIFS(采购录入!$W$5:$W$404,采购录入!$V$5:$V$404,$A109,采购录入!$C$5:$C$404,首页!$B$5)+SUMIFS(采购录入!$Z$5:$Z$404,采购录入!$Y$5:$Y$404,$A109,采购录入!$C$5:$C$404,首页!$B$5)+SUMIFS(其他凭证!$H$5:$H$304,其他凭证!$G$5:$G$304,$A109,其他凭证!$C$5:$C$304,首页!$B$5))</f>
        <v/>
      </c>
      <c r="I109" s="54" t="str">
        <f aca="false">IF($A109="","",SUMIFS(资金流水!$N$5:$N$504,资金流水!$O$5:$O$504,$A109,资金流水!$B$5:$B$504,"&lt;="&amp;首页!$B$7)+SUMIFS(销售录入!$X$5:$X$404,销售录入!$V$5:$V$404,$A109,销售录入!$B$5:$B$404,"&lt;="&amp;首页!$B$7)+SUMIFS(销售录入!$AA$5:$AA$404,销售录入!$Y$5:$Y$404,$A109,销售录入!$B$5:$B$404,"&lt;="&amp;首页!$B$7)+SUMIFS(销售录入!$AD$5:$AD$404,销售录入!$AB$5:$AB$404,$A109,销售录入!$B$5:$B$404,"&lt;="&amp;首页!$B$7)+SUMIFS(采购录入!$W$5:$W$404,采购录入!$U$5:$U$404,$A109,采购录入!$B$5:$B$404,"&lt;="&amp;首页!$B$7)+SUMIFS(采购录入!$Z$5:$Z$404,采购录入!$X$5:$X$404,$A109,采购录入!$B$5:$B$404,"&lt;="&amp;首页!$B$7)+SUMIFS(其他凭证!$H$5:$H$304,其他凭证!$F$5:$F$304,$A109,其他凭证!$B$5:$B$304,"&lt;="&amp;首页!$B$7))</f>
        <v/>
      </c>
      <c r="J109" s="54" t="str">
        <f aca="false">IF($A109="","",SUMIFS(资金流水!$N$5:$N$504,资金流水!$P$5:$P$504,$A109,资金流水!$B$5:$B$504,"&lt;="&amp;首页!$B$7)+SUMIFS(销售录入!$X$5:$X$404,销售录入!$W$5:$W$404,$A109,销售录入!$B$5:$B$404,"&lt;="&amp;首页!$B$7)+SUMIFS(销售录入!$AA$5:$AA$404,销售录入!$Z$5:$Z$404,$A109,销售录入!$B$5:$B$404,"&lt;="&amp;首页!$B$7)+SUMIFS(销售录入!$AD$5:$AD$404,销售录入!$AC$5:$AC$404,$A109,销售录入!$B$5:$B$404,"&lt;="&amp;首页!$B$7)+SUMIFS(采购录入!$W$5:$W$404,采购录入!$V$5:$V$404,$A109,采购录入!$B$5:$B$404,"&lt;="&amp;首页!$B$7)+SUMIFS(采购录入!$Z$5:$Z$404,采购录入!$Y$5:$Y$404,$A109,采购录入!$B$5:$B$404,"&lt;="&amp;首页!$B$7)+SUMIFS(其他凭证!$H$5:$H$304,其他凭证!$G$5:$G$304,$A109,其他凭证!$B$5:$B$304,"&lt;="&amp;首页!$B$7))</f>
        <v/>
      </c>
      <c r="K109" s="44" t="str">
        <f aca="false">IF($A109="","",($E109+$I109)-($F109+$J109))</f>
        <v/>
      </c>
      <c r="L109" s="44" t="str">
        <f aca="false">IF($A109="","",IF($K109&gt;=0,$K109,0))</f>
        <v/>
      </c>
      <c r="M109" s="44" t="str">
        <f aca="false">IF($A109="","",IF($K109&lt;0,-$K109,0))</f>
        <v/>
      </c>
      <c r="N109" s="35" t="str">
        <f aca="false">IF($A109="","",科目参数!$F109)</f>
        <v/>
      </c>
      <c r="O109" s="35" t="str">
        <f aca="false">IF($A109="","",科目参数!$G109)</f>
        <v/>
      </c>
      <c r="P109" s="42" t="str">
        <f aca="false">IF($A109="","",科目参数!$H109)</f>
        <v/>
      </c>
    </row>
    <row r="110" customFormat="false" ht="15.75" hidden="false" customHeight="true" outlineLevel="0" collapsed="false">
      <c r="A110" s="42" t="str">
        <f aca="false">IF(科目参数!$A110="","",科目参数!$A110)</f>
        <v/>
      </c>
      <c r="B110" s="35" t="str">
        <f aca="false">IF($A110="","",科目参数!$B110)</f>
        <v/>
      </c>
      <c r="C110" s="42" t="str">
        <f aca="false">IF($A110="","",科目参数!$C110)</f>
        <v/>
      </c>
      <c r="D110" s="42" t="str">
        <f aca="false">IF($A110="","",科目参数!$D110)</f>
        <v/>
      </c>
      <c r="E110" s="54" t="str">
        <f aca="false">IF($A110="","",SUMIFS(期初数据!$Z$6:$Z$125,期初数据!$W$6:$W$125,$A110))</f>
        <v/>
      </c>
      <c r="F110" s="54" t="str">
        <f aca="false">IF($A110="","",SUMIFS(期初数据!$AA$6:$AA$125,期初数据!$W$6:$W$125,$A110))</f>
        <v/>
      </c>
      <c r="G110" s="54" t="str">
        <f aca="false">IF($A110="","",SUMIFS(资金流水!$N$5:$N$504,资金流水!$O$5:$O$504,$A110,资金流水!$C$5:$C$504,首页!$B$5)+SUMIFS(销售录入!$X$5:$X$404,销售录入!$V$5:$V$404,$A110,销售录入!$C$5:$C$404,首页!$B$5)+SUMIFS(销售录入!$AA$5:$AA$404,销售录入!$Y$5:$Y$404,$A110,销售录入!$C$5:$C$404,首页!$B$5)+SUMIFS(销售录入!$AD$5:$AD$404,销售录入!$AB$5:$AB$404,$A110,销售录入!$C$5:$C$404,首页!$B$5)+SUMIFS(采购录入!$W$5:$W$404,采购录入!$U$5:$U$404,$A110,采购录入!$C$5:$C$404,首页!$B$5)+SUMIFS(采购录入!$Z$5:$Z$404,采购录入!$X$5:$X$404,$A110,采购录入!$C$5:$C$404,首页!$B$5)+SUMIFS(其他凭证!$H$5:$H$304,其他凭证!$F$5:$F$304,$A110,其他凭证!$C$5:$C$304,首页!$B$5))</f>
        <v/>
      </c>
      <c r="H110" s="54" t="str">
        <f aca="false">IF($A110="","",SUMIFS(资金流水!$N$5:$N$504,资金流水!$P$5:$P$504,$A110,资金流水!$C$5:$C$504,首页!$B$5)+SUMIFS(销售录入!$X$5:$X$404,销售录入!$W$5:$W$404,$A110,销售录入!$C$5:$C$404,首页!$B$5)+SUMIFS(销售录入!$AA$5:$AA$404,销售录入!$Z$5:$Z$404,$A110,销售录入!$C$5:$C$404,首页!$B$5)+SUMIFS(销售录入!$AD$5:$AD$404,销售录入!$AC$5:$AC$404,$A110,销售录入!$C$5:$C$404,首页!$B$5)+SUMIFS(采购录入!$W$5:$W$404,采购录入!$V$5:$V$404,$A110,采购录入!$C$5:$C$404,首页!$B$5)+SUMIFS(采购录入!$Z$5:$Z$404,采购录入!$Y$5:$Y$404,$A110,采购录入!$C$5:$C$404,首页!$B$5)+SUMIFS(其他凭证!$H$5:$H$304,其他凭证!$G$5:$G$304,$A110,其他凭证!$C$5:$C$304,首页!$B$5))</f>
        <v/>
      </c>
      <c r="I110" s="54" t="str">
        <f aca="false">IF($A110="","",SUMIFS(资金流水!$N$5:$N$504,资金流水!$O$5:$O$504,$A110,资金流水!$B$5:$B$504,"&lt;="&amp;首页!$B$7)+SUMIFS(销售录入!$X$5:$X$404,销售录入!$V$5:$V$404,$A110,销售录入!$B$5:$B$404,"&lt;="&amp;首页!$B$7)+SUMIFS(销售录入!$AA$5:$AA$404,销售录入!$Y$5:$Y$404,$A110,销售录入!$B$5:$B$404,"&lt;="&amp;首页!$B$7)+SUMIFS(销售录入!$AD$5:$AD$404,销售录入!$AB$5:$AB$404,$A110,销售录入!$B$5:$B$404,"&lt;="&amp;首页!$B$7)+SUMIFS(采购录入!$W$5:$W$404,采购录入!$U$5:$U$404,$A110,采购录入!$B$5:$B$404,"&lt;="&amp;首页!$B$7)+SUMIFS(采购录入!$Z$5:$Z$404,采购录入!$X$5:$X$404,$A110,采购录入!$B$5:$B$404,"&lt;="&amp;首页!$B$7)+SUMIFS(其他凭证!$H$5:$H$304,其他凭证!$F$5:$F$304,$A110,其他凭证!$B$5:$B$304,"&lt;="&amp;首页!$B$7))</f>
        <v/>
      </c>
      <c r="J110" s="54" t="str">
        <f aca="false">IF($A110="","",SUMIFS(资金流水!$N$5:$N$504,资金流水!$P$5:$P$504,$A110,资金流水!$B$5:$B$504,"&lt;="&amp;首页!$B$7)+SUMIFS(销售录入!$X$5:$X$404,销售录入!$W$5:$W$404,$A110,销售录入!$B$5:$B$404,"&lt;="&amp;首页!$B$7)+SUMIFS(销售录入!$AA$5:$AA$404,销售录入!$Z$5:$Z$404,$A110,销售录入!$B$5:$B$404,"&lt;="&amp;首页!$B$7)+SUMIFS(销售录入!$AD$5:$AD$404,销售录入!$AC$5:$AC$404,$A110,销售录入!$B$5:$B$404,"&lt;="&amp;首页!$B$7)+SUMIFS(采购录入!$W$5:$W$404,采购录入!$V$5:$V$404,$A110,采购录入!$B$5:$B$404,"&lt;="&amp;首页!$B$7)+SUMIFS(采购录入!$Z$5:$Z$404,采购录入!$Y$5:$Y$404,$A110,采购录入!$B$5:$B$404,"&lt;="&amp;首页!$B$7)+SUMIFS(其他凭证!$H$5:$H$304,其他凭证!$G$5:$G$304,$A110,其他凭证!$B$5:$B$304,"&lt;="&amp;首页!$B$7))</f>
        <v/>
      </c>
      <c r="K110" s="44" t="str">
        <f aca="false">IF($A110="","",($E110+$I110)-($F110+$J110))</f>
        <v/>
      </c>
      <c r="L110" s="44" t="str">
        <f aca="false">IF($A110="","",IF($K110&gt;=0,$K110,0))</f>
        <v/>
      </c>
      <c r="M110" s="44" t="str">
        <f aca="false">IF($A110="","",IF($K110&lt;0,-$K110,0))</f>
        <v/>
      </c>
      <c r="N110" s="35" t="str">
        <f aca="false">IF($A110="","",科目参数!$F110)</f>
        <v/>
      </c>
      <c r="O110" s="35" t="str">
        <f aca="false">IF($A110="","",科目参数!$G110)</f>
        <v/>
      </c>
      <c r="P110" s="42" t="str">
        <f aca="false">IF($A110="","",科目参数!$H110)</f>
        <v/>
      </c>
    </row>
    <row r="111" customFormat="false" ht="15.75" hidden="false" customHeight="true" outlineLevel="0" collapsed="false">
      <c r="A111" s="42" t="str">
        <f aca="false">IF(科目参数!$A111="","",科目参数!$A111)</f>
        <v/>
      </c>
      <c r="B111" s="35" t="str">
        <f aca="false">IF($A111="","",科目参数!$B111)</f>
        <v/>
      </c>
      <c r="C111" s="42" t="str">
        <f aca="false">IF($A111="","",科目参数!$C111)</f>
        <v/>
      </c>
      <c r="D111" s="42" t="str">
        <f aca="false">IF($A111="","",科目参数!$D111)</f>
        <v/>
      </c>
      <c r="E111" s="54" t="str">
        <f aca="false">IF($A111="","",SUMIFS(期初数据!$Z$6:$Z$125,期初数据!$W$6:$W$125,$A111))</f>
        <v/>
      </c>
      <c r="F111" s="54" t="str">
        <f aca="false">IF($A111="","",SUMIFS(期初数据!$AA$6:$AA$125,期初数据!$W$6:$W$125,$A111))</f>
        <v/>
      </c>
      <c r="G111" s="54" t="str">
        <f aca="false">IF($A111="","",SUMIFS(资金流水!$N$5:$N$504,资金流水!$O$5:$O$504,$A111,资金流水!$C$5:$C$504,首页!$B$5)+SUMIFS(销售录入!$X$5:$X$404,销售录入!$V$5:$V$404,$A111,销售录入!$C$5:$C$404,首页!$B$5)+SUMIFS(销售录入!$AA$5:$AA$404,销售录入!$Y$5:$Y$404,$A111,销售录入!$C$5:$C$404,首页!$B$5)+SUMIFS(销售录入!$AD$5:$AD$404,销售录入!$AB$5:$AB$404,$A111,销售录入!$C$5:$C$404,首页!$B$5)+SUMIFS(采购录入!$W$5:$W$404,采购录入!$U$5:$U$404,$A111,采购录入!$C$5:$C$404,首页!$B$5)+SUMIFS(采购录入!$Z$5:$Z$404,采购录入!$X$5:$X$404,$A111,采购录入!$C$5:$C$404,首页!$B$5)+SUMIFS(其他凭证!$H$5:$H$304,其他凭证!$F$5:$F$304,$A111,其他凭证!$C$5:$C$304,首页!$B$5))</f>
        <v/>
      </c>
      <c r="H111" s="54" t="str">
        <f aca="false">IF($A111="","",SUMIFS(资金流水!$N$5:$N$504,资金流水!$P$5:$P$504,$A111,资金流水!$C$5:$C$504,首页!$B$5)+SUMIFS(销售录入!$X$5:$X$404,销售录入!$W$5:$W$404,$A111,销售录入!$C$5:$C$404,首页!$B$5)+SUMIFS(销售录入!$AA$5:$AA$404,销售录入!$Z$5:$Z$404,$A111,销售录入!$C$5:$C$404,首页!$B$5)+SUMIFS(销售录入!$AD$5:$AD$404,销售录入!$AC$5:$AC$404,$A111,销售录入!$C$5:$C$404,首页!$B$5)+SUMIFS(采购录入!$W$5:$W$404,采购录入!$V$5:$V$404,$A111,采购录入!$C$5:$C$404,首页!$B$5)+SUMIFS(采购录入!$Z$5:$Z$404,采购录入!$Y$5:$Y$404,$A111,采购录入!$C$5:$C$404,首页!$B$5)+SUMIFS(其他凭证!$H$5:$H$304,其他凭证!$G$5:$G$304,$A111,其他凭证!$C$5:$C$304,首页!$B$5))</f>
        <v/>
      </c>
      <c r="I111" s="54" t="str">
        <f aca="false">IF($A111="","",SUMIFS(资金流水!$N$5:$N$504,资金流水!$O$5:$O$504,$A111,资金流水!$B$5:$B$504,"&lt;="&amp;首页!$B$7)+SUMIFS(销售录入!$X$5:$X$404,销售录入!$V$5:$V$404,$A111,销售录入!$B$5:$B$404,"&lt;="&amp;首页!$B$7)+SUMIFS(销售录入!$AA$5:$AA$404,销售录入!$Y$5:$Y$404,$A111,销售录入!$B$5:$B$404,"&lt;="&amp;首页!$B$7)+SUMIFS(销售录入!$AD$5:$AD$404,销售录入!$AB$5:$AB$404,$A111,销售录入!$B$5:$B$404,"&lt;="&amp;首页!$B$7)+SUMIFS(采购录入!$W$5:$W$404,采购录入!$U$5:$U$404,$A111,采购录入!$B$5:$B$404,"&lt;="&amp;首页!$B$7)+SUMIFS(采购录入!$Z$5:$Z$404,采购录入!$X$5:$X$404,$A111,采购录入!$B$5:$B$404,"&lt;="&amp;首页!$B$7)+SUMIFS(其他凭证!$H$5:$H$304,其他凭证!$F$5:$F$304,$A111,其他凭证!$B$5:$B$304,"&lt;="&amp;首页!$B$7))</f>
        <v/>
      </c>
      <c r="J111" s="54" t="str">
        <f aca="false">IF($A111="","",SUMIFS(资金流水!$N$5:$N$504,资金流水!$P$5:$P$504,$A111,资金流水!$B$5:$B$504,"&lt;="&amp;首页!$B$7)+SUMIFS(销售录入!$X$5:$X$404,销售录入!$W$5:$W$404,$A111,销售录入!$B$5:$B$404,"&lt;="&amp;首页!$B$7)+SUMIFS(销售录入!$AA$5:$AA$404,销售录入!$Z$5:$Z$404,$A111,销售录入!$B$5:$B$404,"&lt;="&amp;首页!$B$7)+SUMIFS(销售录入!$AD$5:$AD$404,销售录入!$AC$5:$AC$404,$A111,销售录入!$B$5:$B$404,"&lt;="&amp;首页!$B$7)+SUMIFS(采购录入!$W$5:$W$404,采购录入!$V$5:$V$404,$A111,采购录入!$B$5:$B$404,"&lt;="&amp;首页!$B$7)+SUMIFS(采购录入!$Z$5:$Z$404,采购录入!$Y$5:$Y$404,$A111,采购录入!$B$5:$B$404,"&lt;="&amp;首页!$B$7)+SUMIFS(其他凭证!$H$5:$H$304,其他凭证!$G$5:$G$304,$A111,其他凭证!$B$5:$B$304,"&lt;="&amp;首页!$B$7))</f>
        <v/>
      </c>
      <c r="K111" s="44" t="str">
        <f aca="false">IF($A111="","",($E111+$I111)-($F111+$J111))</f>
        <v/>
      </c>
      <c r="L111" s="44" t="str">
        <f aca="false">IF($A111="","",IF($K111&gt;=0,$K111,0))</f>
        <v/>
      </c>
      <c r="M111" s="44" t="str">
        <f aca="false">IF($A111="","",IF($K111&lt;0,-$K111,0))</f>
        <v/>
      </c>
      <c r="N111" s="35" t="str">
        <f aca="false">IF($A111="","",科目参数!$F111)</f>
        <v/>
      </c>
      <c r="O111" s="35" t="str">
        <f aca="false">IF($A111="","",科目参数!$G111)</f>
        <v/>
      </c>
      <c r="P111" s="42" t="str">
        <f aca="false">IF($A111="","",科目参数!$H111)</f>
        <v/>
      </c>
    </row>
    <row r="112" customFormat="false" ht="15.75" hidden="false" customHeight="true" outlineLevel="0" collapsed="false">
      <c r="A112" s="42" t="str">
        <f aca="false">IF(科目参数!$A112="","",科目参数!$A112)</f>
        <v/>
      </c>
      <c r="B112" s="35" t="str">
        <f aca="false">IF($A112="","",科目参数!$B112)</f>
        <v/>
      </c>
      <c r="C112" s="42" t="str">
        <f aca="false">IF($A112="","",科目参数!$C112)</f>
        <v/>
      </c>
      <c r="D112" s="42" t="str">
        <f aca="false">IF($A112="","",科目参数!$D112)</f>
        <v/>
      </c>
      <c r="E112" s="54" t="str">
        <f aca="false">IF($A112="","",SUMIFS(期初数据!$Z$6:$Z$125,期初数据!$W$6:$W$125,$A112))</f>
        <v/>
      </c>
      <c r="F112" s="54" t="str">
        <f aca="false">IF($A112="","",SUMIFS(期初数据!$AA$6:$AA$125,期初数据!$W$6:$W$125,$A112))</f>
        <v/>
      </c>
      <c r="G112" s="54" t="str">
        <f aca="false">IF($A112="","",SUMIFS(资金流水!$N$5:$N$504,资金流水!$O$5:$O$504,$A112,资金流水!$C$5:$C$504,首页!$B$5)+SUMIFS(销售录入!$X$5:$X$404,销售录入!$V$5:$V$404,$A112,销售录入!$C$5:$C$404,首页!$B$5)+SUMIFS(销售录入!$AA$5:$AA$404,销售录入!$Y$5:$Y$404,$A112,销售录入!$C$5:$C$404,首页!$B$5)+SUMIFS(销售录入!$AD$5:$AD$404,销售录入!$AB$5:$AB$404,$A112,销售录入!$C$5:$C$404,首页!$B$5)+SUMIFS(采购录入!$W$5:$W$404,采购录入!$U$5:$U$404,$A112,采购录入!$C$5:$C$404,首页!$B$5)+SUMIFS(采购录入!$Z$5:$Z$404,采购录入!$X$5:$X$404,$A112,采购录入!$C$5:$C$404,首页!$B$5)+SUMIFS(其他凭证!$H$5:$H$304,其他凭证!$F$5:$F$304,$A112,其他凭证!$C$5:$C$304,首页!$B$5))</f>
        <v/>
      </c>
      <c r="H112" s="54" t="str">
        <f aca="false">IF($A112="","",SUMIFS(资金流水!$N$5:$N$504,资金流水!$P$5:$P$504,$A112,资金流水!$C$5:$C$504,首页!$B$5)+SUMIFS(销售录入!$X$5:$X$404,销售录入!$W$5:$W$404,$A112,销售录入!$C$5:$C$404,首页!$B$5)+SUMIFS(销售录入!$AA$5:$AA$404,销售录入!$Z$5:$Z$404,$A112,销售录入!$C$5:$C$404,首页!$B$5)+SUMIFS(销售录入!$AD$5:$AD$404,销售录入!$AC$5:$AC$404,$A112,销售录入!$C$5:$C$404,首页!$B$5)+SUMIFS(采购录入!$W$5:$W$404,采购录入!$V$5:$V$404,$A112,采购录入!$C$5:$C$404,首页!$B$5)+SUMIFS(采购录入!$Z$5:$Z$404,采购录入!$Y$5:$Y$404,$A112,采购录入!$C$5:$C$404,首页!$B$5)+SUMIFS(其他凭证!$H$5:$H$304,其他凭证!$G$5:$G$304,$A112,其他凭证!$C$5:$C$304,首页!$B$5))</f>
        <v/>
      </c>
      <c r="I112" s="54" t="str">
        <f aca="false">IF($A112="","",SUMIFS(资金流水!$N$5:$N$504,资金流水!$O$5:$O$504,$A112,资金流水!$B$5:$B$504,"&lt;="&amp;首页!$B$7)+SUMIFS(销售录入!$X$5:$X$404,销售录入!$V$5:$V$404,$A112,销售录入!$B$5:$B$404,"&lt;="&amp;首页!$B$7)+SUMIFS(销售录入!$AA$5:$AA$404,销售录入!$Y$5:$Y$404,$A112,销售录入!$B$5:$B$404,"&lt;="&amp;首页!$B$7)+SUMIFS(销售录入!$AD$5:$AD$404,销售录入!$AB$5:$AB$404,$A112,销售录入!$B$5:$B$404,"&lt;="&amp;首页!$B$7)+SUMIFS(采购录入!$W$5:$W$404,采购录入!$U$5:$U$404,$A112,采购录入!$B$5:$B$404,"&lt;="&amp;首页!$B$7)+SUMIFS(采购录入!$Z$5:$Z$404,采购录入!$X$5:$X$404,$A112,采购录入!$B$5:$B$404,"&lt;="&amp;首页!$B$7)+SUMIFS(其他凭证!$H$5:$H$304,其他凭证!$F$5:$F$304,$A112,其他凭证!$B$5:$B$304,"&lt;="&amp;首页!$B$7))</f>
        <v/>
      </c>
      <c r="J112" s="54" t="str">
        <f aca="false">IF($A112="","",SUMIFS(资金流水!$N$5:$N$504,资金流水!$P$5:$P$504,$A112,资金流水!$B$5:$B$504,"&lt;="&amp;首页!$B$7)+SUMIFS(销售录入!$X$5:$X$404,销售录入!$W$5:$W$404,$A112,销售录入!$B$5:$B$404,"&lt;="&amp;首页!$B$7)+SUMIFS(销售录入!$AA$5:$AA$404,销售录入!$Z$5:$Z$404,$A112,销售录入!$B$5:$B$404,"&lt;="&amp;首页!$B$7)+SUMIFS(销售录入!$AD$5:$AD$404,销售录入!$AC$5:$AC$404,$A112,销售录入!$B$5:$B$404,"&lt;="&amp;首页!$B$7)+SUMIFS(采购录入!$W$5:$W$404,采购录入!$V$5:$V$404,$A112,采购录入!$B$5:$B$404,"&lt;="&amp;首页!$B$7)+SUMIFS(采购录入!$Z$5:$Z$404,采购录入!$Y$5:$Y$404,$A112,采购录入!$B$5:$B$404,"&lt;="&amp;首页!$B$7)+SUMIFS(其他凭证!$H$5:$H$304,其他凭证!$G$5:$G$304,$A112,其他凭证!$B$5:$B$304,"&lt;="&amp;首页!$B$7))</f>
        <v/>
      </c>
      <c r="K112" s="44" t="str">
        <f aca="false">IF($A112="","",($E112+$I112)-($F112+$J112))</f>
        <v/>
      </c>
      <c r="L112" s="44" t="str">
        <f aca="false">IF($A112="","",IF($K112&gt;=0,$K112,0))</f>
        <v/>
      </c>
      <c r="M112" s="44" t="str">
        <f aca="false">IF($A112="","",IF($K112&lt;0,-$K112,0))</f>
        <v/>
      </c>
      <c r="N112" s="35" t="str">
        <f aca="false">IF($A112="","",科目参数!$F112)</f>
        <v/>
      </c>
      <c r="O112" s="35" t="str">
        <f aca="false">IF($A112="","",科目参数!$G112)</f>
        <v/>
      </c>
      <c r="P112" s="42" t="str">
        <f aca="false">IF($A112="","",科目参数!$H112)</f>
        <v/>
      </c>
    </row>
    <row r="113" customFormat="false" ht="15.75" hidden="false" customHeight="true" outlineLevel="0" collapsed="false">
      <c r="A113" s="42" t="str">
        <f aca="false">IF(科目参数!$A113="","",科目参数!$A113)</f>
        <v/>
      </c>
      <c r="B113" s="35" t="str">
        <f aca="false">IF($A113="","",科目参数!$B113)</f>
        <v/>
      </c>
      <c r="C113" s="42" t="str">
        <f aca="false">IF($A113="","",科目参数!$C113)</f>
        <v/>
      </c>
      <c r="D113" s="42" t="str">
        <f aca="false">IF($A113="","",科目参数!$D113)</f>
        <v/>
      </c>
      <c r="E113" s="54" t="str">
        <f aca="false">IF($A113="","",SUMIFS(期初数据!$Z$6:$Z$125,期初数据!$W$6:$W$125,$A113))</f>
        <v/>
      </c>
      <c r="F113" s="54" t="str">
        <f aca="false">IF($A113="","",SUMIFS(期初数据!$AA$6:$AA$125,期初数据!$W$6:$W$125,$A113))</f>
        <v/>
      </c>
      <c r="G113" s="54" t="str">
        <f aca="false">IF($A113="","",SUMIFS(资金流水!$N$5:$N$504,资金流水!$O$5:$O$504,$A113,资金流水!$C$5:$C$504,首页!$B$5)+SUMIFS(销售录入!$X$5:$X$404,销售录入!$V$5:$V$404,$A113,销售录入!$C$5:$C$404,首页!$B$5)+SUMIFS(销售录入!$AA$5:$AA$404,销售录入!$Y$5:$Y$404,$A113,销售录入!$C$5:$C$404,首页!$B$5)+SUMIFS(销售录入!$AD$5:$AD$404,销售录入!$AB$5:$AB$404,$A113,销售录入!$C$5:$C$404,首页!$B$5)+SUMIFS(采购录入!$W$5:$W$404,采购录入!$U$5:$U$404,$A113,采购录入!$C$5:$C$404,首页!$B$5)+SUMIFS(采购录入!$Z$5:$Z$404,采购录入!$X$5:$X$404,$A113,采购录入!$C$5:$C$404,首页!$B$5)+SUMIFS(其他凭证!$H$5:$H$304,其他凭证!$F$5:$F$304,$A113,其他凭证!$C$5:$C$304,首页!$B$5))</f>
        <v/>
      </c>
      <c r="H113" s="54" t="str">
        <f aca="false">IF($A113="","",SUMIFS(资金流水!$N$5:$N$504,资金流水!$P$5:$P$504,$A113,资金流水!$C$5:$C$504,首页!$B$5)+SUMIFS(销售录入!$X$5:$X$404,销售录入!$W$5:$W$404,$A113,销售录入!$C$5:$C$404,首页!$B$5)+SUMIFS(销售录入!$AA$5:$AA$404,销售录入!$Z$5:$Z$404,$A113,销售录入!$C$5:$C$404,首页!$B$5)+SUMIFS(销售录入!$AD$5:$AD$404,销售录入!$AC$5:$AC$404,$A113,销售录入!$C$5:$C$404,首页!$B$5)+SUMIFS(采购录入!$W$5:$W$404,采购录入!$V$5:$V$404,$A113,采购录入!$C$5:$C$404,首页!$B$5)+SUMIFS(采购录入!$Z$5:$Z$404,采购录入!$Y$5:$Y$404,$A113,采购录入!$C$5:$C$404,首页!$B$5)+SUMIFS(其他凭证!$H$5:$H$304,其他凭证!$G$5:$G$304,$A113,其他凭证!$C$5:$C$304,首页!$B$5))</f>
        <v/>
      </c>
      <c r="I113" s="54" t="str">
        <f aca="false">IF($A113="","",SUMIFS(资金流水!$N$5:$N$504,资金流水!$O$5:$O$504,$A113,资金流水!$B$5:$B$504,"&lt;="&amp;首页!$B$7)+SUMIFS(销售录入!$X$5:$X$404,销售录入!$V$5:$V$404,$A113,销售录入!$B$5:$B$404,"&lt;="&amp;首页!$B$7)+SUMIFS(销售录入!$AA$5:$AA$404,销售录入!$Y$5:$Y$404,$A113,销售录入!$B$5:$B$404,"&lt;="&amp;首页!$B$7)+SUMIFS(销售录入!$AD$5:$AD$404,销售录入!$AB$5:$AB$404,$A113,销售录入!$B$5:$B$404,"&lt;="&amp;首页!$B$7)+SUMIFS(采购录入!$W$5:$W$404,采购录入!$U$5:$U$404,$A113,采购录入!$B$5:$B$404,"&lt;="&amp;首页!$B$7)+SUMIFS(采购录入!$Z$5:$Z$404,采购录入!$X$5:$X$404,$A113,采购录入!$B$5:$B$404,"&lt;="&amp;首页!$B$7)+SUMIFS(其他凭证!$H$5:$H$304,其他凭证!$F$5:$F$304,$A113,其他凭证!$B$5:$B$304,"&lt;="&amp;首页!$B$7))</f>
        <v/>
      </c>
      <c r="J113" s="54" t="str">
        <f aca="false">IF($A113="","",SUMIFS(资金流水!$N$5:$N$504,资金流水!$P$5:$P$504,$A113,资金流水!$B$5:$B$504,"&lt;="&amp;首页!$B$7)+SUMIFS(销售录入!$X$5:$X$404,销售录入!$W$5:$W$404,$A113,销售录入!$B$5:$B$404,"&lt;="&amp;首页!$B$7)+SUMIFS(销售录入!$AA$5:$AA$404,销售录入!$Z$5:$Z$404,$A113,销售录入!$B$5:$B$404,"&lt;="&amp;首页!$B$7)+SUMIFS(销售录入!$AD$5:$AD$404,销售录入!$AC$5:$AC$404,$A113,销售录入!$B$5:$B$404,"&lt;="&amp;首页!$B$7)+SUMIFS(采购录入!$W$5:$W$404,采购录入!$V$5:$V$404,$A113,采购录入!$B$5:$B$404,"&lt;="&amp;首页!$B$7)+SUMIFS(采购录入!$Z$5:$Z$404,采购录入!$Y$5:$Y$404,$A113,采购录入!$B$5:$B$404,"&lt;="&amp;首页!$B$7)+SUMIFS(其他凭证!$H$5:$H$304,其他凭证!$G$5:$G$304,$A113,其他凭证!$B$5:$B$304,"&lt;="&amp;首页!$B$7))</f>
        <v/>
      </c>
      <c r="K113" s="44" t="str">
        <f aca="false">IF($A113="","",($E113+$I113)-($F113+$J113))</f>
        <v/>
      </c>
      <c r="L113" s="44" t="str">
        <f aca="false">IF($A113="","",IF($K113&gt;=0,$K113,0))</f>
        <v/>
      </c>
      <c r="M113" s="44" t="str">
        <f aca="false">IF($A113="","",IF($K113&lt;0,-$K113,0))</f>
        <v/>
      </c>
      <c r="N113" s="35" t="str">
        <f aca="false">IF($A113="","",科目参数!$F113)</f>
        <v/>
      </c>
      <c r="O113" s="35" t="str">
        <f aca="false">IF($A113="","",科目参数!$G113)</f>
        <v/>
      </c>
      <c r="P113" s="42" t="str">
        <f aca="false">IF($A113="","",科目参数!$H113)</f>
        <v/>
      </c>
    </row>
    <row r="114" customFormat="false" ht="15.75" hidden="false" customHeight="true" outlineLevel="0" collapsed="false">
      <c r="A114" s="42" t="str">
        <f aca="false">IF(科目参数!$A114="","",科目参数!$A114)</f>
        <v/>
      </c>
      <c r="B114" s="35" t="str">
        <f aca="false">IF($A114="","",科目参数!$B114)</f>
        <v/>
      </c>
      <c r="C114" s="42" t="str">
        <f aca="false">IF($A114="","",科目参数!$C114)</f>
        <v/>
      </c>
      <c r="D114" s="42" t="str">
        <f aca="false">IF($A114="","",科目参数!$D114)</f>
        <v/>
      </c>
      <c r="E114" s="54" t="str">
        <f aca="false">IF($A114="","",SUMIFS(期初数据!$Z$6:$Z$125,期初数据!$W$6:$W$125,$A114))</f>
        <v/>
      </c>
      <c r="F114" s="54" t="str">
        <f aca="false">IF($A114="","",SUMIFS(期初数据!$AA$6:$AA$125,期初数据!$W$6:$W$125,$A114))</f>
        <v/>
      </c>
      <c r="G114" s="54" t="str">
        <f aca="false">IF($A114="","",SUMIFS(资金流水!$N$5:$N$504,资金流水!$O$5:$O$504,$A114,资金流水!$C$5:$C$504,首页!$B$5)+SUMIFS(销售录入!$X$5:$X$404,销售录入!$V$5:$V$404,$A114,销售录入!$C$5:$C$404,首页!$B$5)+SUMIFS(销售录入!$AA$5:$AA$404,销售录入!$Y$5:$Y$404,$A114,销售录入!$C$5:$C$404,首页!$B$5)+SUMIFS(销售录入!$AD$5:$AD$404,销售录入!$AB$5:$AB$404,$A114,销售录入!$C$5:$C$404,首页!$B$5)+SUMIFS(采购录入!$W$5:$W$404,采购录入!$U$5:$U$404,$A114,采购录入!$C$5:$C$404,首页!$B$5)+SUMIFS(采购录入!$Z$5:$Z$404,采购录入!$X$5:$X$404,$A114,采购录入!$C$5:$C$404,首页!$B$5)+SUMIFS(其他凭证!$H$5:$H$304,其他凭证!$F$5:$F$304,$A114,其他凭证!$C$5:$C$304,首页!$B$5))</f>
        <v/>
      </c>
      <c r="H114" s="54" t="str">
        <f aca="false">IF($A114="","",SUMIFS(资金流水!$N$5:$N$504,资金流水!$P$5:$P$504,$A114,资金流水!$C$5:$C$504,首页!$B$5)+SUMIFS(销售录入!$X$5:$X$404,销售录入!$W$5:$W$404,$A114,销售录入!$C$5:$C$404,首页!$B$5)+SUMIFS(销售录入!$AA$5:$AA$404,销售录入!$Z$5:$Z$404,$A114,销售录入!$C$5:$C$404,首页!$B$5)+SUMIFS(销售录入!$AD$5:$AD$404,销售录入!$AC$5:$AC$404,$A114,销售录入!$C$5:$C$404,首页!$B$5)+SUMIFS(采购录入!$W$5:$W$404,采购录入!$V$5:$V$404,$A114,采购录入!$C$5:$C$404,首页!$B$5)+SUMIFS(采购录入!$Z$5:$Z$404,采购录入!$Y$5:$Y$404,$A114,采购录入!$C$5:$C$404,首页!$B$5)+SUMIFS(其他凭证!$H$5:$H$304,其他凭证!$G$5:$G$304,$A114,其他凭证!$C$5:$C$304,首页!$B$5))</f>
        <v/>
      </c>
      <c r="I114" s="54" t="str">
        <f aca="false">IF($A114="","",SUMIFS(资金流水!$N$5:$N$504,资金流水!$O$5:$O$504,$A114,资金流水!$B$5:$B$504,"&lt;="&amp;首页!$B$7)+SUMIFS(销售录入!$X$5:$X$404,销售录入!$V$5:$V$404,$A114,销售录入!$B$5:$B$404,"&lt;="&amp;首页!$B$7)+SUMIFS(销售录入!$AA$5:$AA$404,销售录入!$Y$5:$Y$404,$A114,销售录入!$B$5:$B$404,"&lt;="&amp;首页!$B$7)+SUMIFS(销售录入!$AD$5:$AD$404,销售录入!$AB$5:$AB$404,$A114,销售录入!$B$5:$B$404,"&lt;="&amp;首页!$B$7)+SUMIFS(采购录入!$W$5:$W$404,采购录入!$U$5:$U$404,$A114,采购录入!$B$5:$B$404,"&lt;="&amp;首页!$B$7)+SUMIFS(采购录入!$Z$5:$Z$404,采购录入!$X$5:$X$404,$A114,采购录入!$B$5:$B$404,"&lt;="&amp;首页!$B$7)+SUMIFS(其他凭证!$H$5:$H$304,其他凭证!$F$5:$F$304,$A114,其他凭证!$B$5:$B$304,"&lt;="&amp;首页!$B$7))</f>
        <v/>
      </c>
      <c r="J114" s="54" t="str">
        <f aca="false">IF($A114="","",SUMIFS(资金流水!$N$5:$N$504,资金流水!$P$5:$P$504,$A114,资金流水!$B$5:$B$504,"&lt;="&amp;首页!$B$7)+SUMIFS(销售录入!$X$5:$X$404,销售录入!$W$5:$W$404,$A114,销售录入!$B$5:$B$404,"&lt;="&amp;首页!$B$7)+SUMIFS(销售录入!$AA$5:$AA$404,销售录入!$Z$5:$Z$404,$A114,销售录入!$B$5:$B$404,"&lt;="&amp;首页!$B$7)+SUMIFS(销售录入!$AD$5:$AD$404,销售录入!$AC$5:$AC$404,$A114,销售录入!$B$5:$B$404,"&lt;="&amp;首页!$B$7)+SUMIFS(采购录入!$W$5:$W$404,采购录入!$V$5:$V$404,$A114,采购录入!$B$5:$B$404,"&lt;="&amp;首页!$B$7)+SUMIFS(采购录入!$Z$5:$Z$404,采购录入!$Y$5:$Y$404,$A114,采购录入!$B$5:$B$404,"&lt;="&amp;首页!$B$7)+SUMIFS(其他凭证!$H$5:$H$304,其他凭证!$G$5:$G$304,$A114,其他凭证!$B$5:$B$304,"&lt;="&amp;首页!$B$7))</f>
        <v/>
      </c>
      <c r="K114" s="44" t="str">
        <f aca="false">IF($A114="","",($E114+$I114)-($F114+$J114))</f>
        <v/>
      </c>
      <c r="L114" s="44" t="str">
        <f aca="false">IF($A114="","",IF($K114&gt;=0,$K114,0))</f>
        <v/>
      </c>
      <c r="M114" s="44" t="str">
        <f aca="false">IF($A114="","",IF($K114&lt;0,-$K114,0))</f>
        <v/>
      </c>
      <c r="N114" s="35" t="str">
        <f aca="false">IF($A114="","",科目参数!$F114)</f>
        <v/>
      </c>
      <c r="O114" s="35" t="str">
        <f aca="false">IF($A114="","",科目参数!$G114)</f>
        <v/>
      </c>
      <c r="P114" s="42" t="str">
        <f aca="false">IF($A114="","",科目参数!$H114)</f>
        <v/>
      </c>
    </row>
    <row r="115" customFormat="false" ht="15.75" hidden="false" customHeight="true" outlineLevel="0" collapsed="false">
      <c r="A115" s="42" t="str">
        <f aca="false">IF(科目参数!$A115="","",科目参数!$A115)</f>
        <v/>
      </c>
      <c r="B115" s="35" t="str">
        <f aca="false">IF($A115="","",科目参数!$B115)</f>
        <v/>
      </c>
      <c r="C115" s="42" t="str">
        <f aca="false">IF($A115="","",科目参数!$C115)</f>
        <v/>
      </c>
      <c r="D115" s="42" t="str">
        <f aca="false">IF($A115="","",科目参数!$D115)</f>
        <v/>
      </c>
      <c r="E115" s="54" t="str">
        <f aca="false">IF($A115="","",SUMIFS(期初数据!$Z$6:$Z$125,期初数据!$W$6:$W$125,$A115))</f>
        <v/>
      </c>
      <c r="F115" s="54" t="str">
        <f aca="false">IF($A115="","",SUMIFS(期初数据!$AA$6:$AA$125,期初数据!$W$6:$W$125,$A115))</f>
        <v/>
      </c>
      <c r="G115" s="54" t="str">
        <f aca="false">IF($A115="","",SUMIFS(资金流水!$N$5:$N$504,资金流水!$O$5:$O$504,$A115,资金流水!$C$5:$C$504,首页!$B$5)+SUMIFS(销售录入!$X$5:$X$404,销售录入!$V$5:$V$404,$A115,销售录入!$C$5:$C$404,首页!$B$5)+SUMIFS(销售录入!$AA$5:$AA$404,销售录入!$Y$5:$Y$404,$A115,销售录入!$C$5:$C$404,首页!$B$5)+SUMIFS(销售录入!$AD$5:$AD$404,销售录入!$AB$5:$AB$404,$A115,销售录入!$C$5:$C$404,首页!$B$5)+SUMIFS(采购录入!$W$5:$W$404,采购录入!$U$5:$U$404,$A115,采购录入!$C$5:$C$404,首页!$B$5)+SUMIFS(采购录入!$Z$5:$Z$404,采购录入!$X$5:$X$404,$A115,采购录入!$C$5:$C$404,首页!$B$5)+SUMIFS(其他凭证!$H$5:$H$304,其他凭证!$F$5:$F$304,$A115,其他凭证!$C$5:$C$304,首页!$B$5))</f>
        <v/>
      </c>
      <c r="H115" s="54" t="str">
        <f aca="false">IF($A115="","",SUMIFS(资金流水!$N$5:$N$504,资金流水!$P$5:$P$504,$A115,资金流水!$C$5:$C$504,首页!$B$5)+SUMIFS(销售录入!$X$5:$X$404,销售录入!$W$5:$W$404,$A115,销售录入!$C$5:$C$404,首页!$B$5)+SUMIFS(销售录入!$AA$5:$AA$404,销售录入!$Z$5:$Z$404,$A115,销售录入!$C$5:$C$404,首页!$B$5)+SUMIFS(销售录入!$AD$5:$AD$404,销售录入!$AC$5:$AC$404,$A115,销售录入!$C$5:$C$404,首页!$B$5)+SUMIFS(采购录入!$W$5:$W$404,采购录入!$V$5:$V$404,$A115,采购录入!$C$5:$C$404,首页!$B$5)+SUMIFS(采购录入!$Z$5:$Z$404,采购录入!$Y$5:$Y$404,$A115,采购录入!$C$5:$C$404,首页!$B$5)+SUMIFS(其他凭证!$H$5:$H$304,其他凭证!$G$5:$G$304,$A115,其他凭证!$C$5:$C$304,首页!$B$5))</f>
        <v/>
      </c>
      <c r="I115" s="54" t="str">
        <f aca="false">IF($A115="","",SUMIFS(资金流水!$N$5:$N$504,资金流水!$O$5:$O$504,$A115,资金流水!$B$5:$B$504,"&lt;="&amp;首页!$B$7)+SUMIFS(销售录入!$X$5:$X$404,销售录入!$V$5:$V$404,$A115,销售录入!$B$5:$B$404,"&lt;="&amp;首页!$B$7)+SUMIFS(销售录入!$AA$5:$AA$404,销售录入!$Y$5:$Y$404,$A115,销售录入!$B$5:$B$404,"&lt;="&amp;首页!$B$7)+SUMIFS(销售录入!$AD$5:$AD$404,销售录入!$AB$5:$AB$404,$A115,销售录入!$B$5:$B$404,"&lt;="&amp;首页!$B$7)+SUMIFS(采购录入!$W$5:$W$404,采购录入!$U$5:$U$404,$A115,采购录入!$B$5:$B$404,"&lt;="&amp;首页!$B$7)+SUMIFS(采购录入!$Z$5:$Z$404,采购录入!$X$5:$X$404,$A115,采购录入!$B$5:$B$404,"&lt;="&amp;首页!$B$7)+SUMIFS(其他凭证!$H$5:$H$304,其他凭证!$F$5:$F$304,$A115,其他凭证!$B$5:$B$304,"&lt;="&amp;首页!$B$7))</f>
        <v/>
      </c>
      <c r="J115" s="54" t="str">
        <f aca="false">IF($A115="","",SUMIFS(资金流水!$N$5:$N$504,资金流水!$P$5:$P$504,$A115,资金流水!$B$5:$B$504,"&lt;="&amp;首页!$B$7)+SUMIFS(销售录入!$X$5:$X$404,销售录入!$W$5:$W$404,$A115,销售录入!$B$5:$B$404,"&lt;="&amp;首页!$B$7)+SUMIFS(销售录入!$AA$5:$AA$404,销售录入!$Z$5:$Z$404,$A115,销售录入!$B$5:$B$404,"&lt;="&amp;首页!$B$7)+SUMIFS(销售录入!$AD$5:$AD$404,销售录入!$AC$5:$AC$404,$A115,销售录入!$B$5:$B$404,"&lt;="&amp;首页!$B$7)+SUMIFS(采购录入!$W$5:$W$404,采购录入!$V$5:$V$404,$A115,采购录入!$B$5:$B$404,"&lt;="&amp;首页!$B$7)+SUMIFS(采购录入!$Z$5:$Z$404,采购录入!$Y$5:$Y$404,$A115,采购录入!$B$5:$B$404,"&lt;="&amp;首页!$B$7)+SUMIFS(其他凭证!$H$5:$H$304,其他凭证!$G$5:$G$304,$A115,其他凭证!$B$5:$B$304,"&lt;="&amp;首页!$B$7))</f>
        <v/>
      </c>
      <c r="K115" s="44" t="str">
        <f aca="false">IF($A115="","",($E115+$I115)-($F115+$J115))</f>
        <v/>
      </c>
      <c r="L115" s="44" t="str">
        <f aca="false">IF($A115="","",IF($K115&gt;=0,$K115,0))</f>
        <v/>
      </c>
      <c r="M115" s="44" t="str">
        <f aca="false">IF($A115="","",IF($K115&lt;0,-$K115,0))</f>
        <v/>
      </c>
      <c r="N115" s="35" t="str">
        <f aca="false">IF($A115="","",科目参数!$F115)</f>
        <v/>
      </c>
      <c r="O115" s="35" t="str">
        <f aca="false">IF($A115="","",科目参数!$G115)</f>
        <v/>
      </c>
      <c r="P115" s="42" t="str">
        <f aca="false">IF($A115="","",科目参数!$H115)</f>
        <v/>
      </c>
    </row>
    <row r="116" customFormat="false" ht="15.75" hidden="false" customHeight="true" outlineLevel="0" collapsed="false">
      <c r="A116" s="42" t="str">
        <f aca="false">IF(科目参数!$A116="","",科目参数!$A116)</f>
        <v/>
      </c>
      <c r="B116" s="35" t="str">
        <f aca="false">IF($A116="","",科目参数!$B116)</f>
        <v/>
      </c>
      <c r="C116" s="42" t="str">
        <f aca="false">IF($A116="","",科目参数!$C116)</f>
        <v/>
      </c>
      <c r="D116" s="42" t="str">
        <f aca="false">IF($A116="","",科目参数!$D116)</f>
        <v/>
      </c>
      <c r="E116" s="54" t="str">
        <f aca="false">IF($A116="","",SUMIFS(期初数据!$Z$6:$Z$125,期初数据!$W$6:$W$125,$A116))</f>
        <v/>
      </c>
      <c r="F116" s="54" t="str">
        <f aca="false">IF($A116="","",SUMIFS(期初数据!$AA$6:$AA$125,期初数据!$W$6:$W$125,$A116))</f>
        <v/>
      </c>
      <c r="G116" s="54" t="str">
        <f aca="false">IF($A116="","",SUMIFS(资金流水!$N$5:$N$504,资金流水!$O$5:$O$504,$A116,资金流水!$C$5:$C$504,首页!$B$5)+SUMIFS(销售录入!$X$5:$X$404,销售录入!$V$5:$V$404,$A116,销售录入!$C$5:$C$404,首页!$B$5)+SUMIFS(销售录入!$AA$5:$AA$404,销售录入!$Y$5:$Y$404,$A116,销售录入!$C$5:$C$404,首页!$B$5)+SUMIFS(销售录入!$AD$5:$AD$404,销售录入!$AB$5:$AB$404,$A116,销售录入!$C$5:$C$404,首页!$B$5)+SUMIFS(采购录入!$W$5:$W$404,采购录入!$U$5:$U$404,$A116,采购录入!$C$5:$C$404,首页!$B$5)+SUMIFS(采购录入!$Z$5:$Z$404,采购录入!$X$5:$X$404,$A116,采购录入!$C$5:$C$404,首页!$B$5)+SUMIFS(其他凭证!$H$5:$H$304,其他凭证!$F$5:$F$304,$A116,其他凭证!$C$5:$C$304,首页!$B$5))</f>
        <v/>
      </c>
      <c r="H116" s="54" t="str">
        <f aca="false">IF($A116="","",SUMIFS(资金流水!$N$5:$N$504,资金流水!$P$5:$P$504,$A116,资金流水!$C$5:$C$504,首页!$B$5)+SUMIFS(销售录入!$X$5:$X$404,销售录入!$W$5:$W$404,$A116,销售录入!$C$5:$C$404,首页!$B$5)+SUMIFS(销售录入!$AA$5:$AA$404,销售录入!$Z$5:$Z$404,$A116,销售录入!$C$5:$C$404,首页!$B$5)+SUMIFS(销售录入!$AD$5:$AD$404,销售录入!$AC$5:$AC$404,$A116,销售录入!$C$5:$C$404,首页!$B$5)+SUMIFS(采购录入!$W$5:$W$404,采购录入!$V$5:$V$404,$A116,采购录入!$C$5:$C$404,首页!$B$5)+SUMIFS(采购录入!$Z$5:$Z$404,采购录入!$Y$5:$Y$404,$A116,采购录入!$C$5:$C$404,首页!$B$5)+SUMIFS(其他凭证!$H$5:$H$304,其他凭证!$G$5:$G$304,$A116,其他凭证!$C$5:$C$304,首页!$B$5))</f>
        <v/>
      </c>
      <c r="I116" s="54" t="str">
        <f aca="false">IF($A116="","",SUMIFS(资金流水!$N$5:$N$504,资金流水!$O$5:$O$504,$A116,资金流水!$B$5:$B$504,"&lt;="&amp;首页!$B$7)+SUMIFS(销售录入!$X$5:$X$404,销售录入!$V$5:$V$404,$A116,销售录入!$B$5:$B$404,"&lt;="&amp;首页!$B$7)+SUMIFS(销售录入!$AA$5:$AA$404,销售录入!$Y$5:$Y$404,$A116,销售录入!$B$5:$B$404,"&lt;="&amp;首页!$B$7)+SUMIFS(销售录入!$AD$5:$AD$404,销售录入!$AB$5:$AB$404,$A116,销售录入!$B$5:$B$404,"&lt;="&amp;首页!$B$7)+SUMIFS(采购录入!$W$5:$W$404,采购录入!$U$5:$U$404,$A116,采购录入!$B$5:$B$404,"&lt;="&amp;首页!$B$7)+SUMIFS(采购录入!$Z$5:$Z$404,采购录入!$X$5:$X$404,$A116,采购录入!$B$5:$B$404,"&lt;="&amp;首页!$B$7)+SUMIFS(其他凭证!$H$5:$H$304,其他凭证!$F$5:$F$304,$A116,其他凭证!$B$5:$B$304,"&lt;="&amp;首页!$B$7))</f>
        <v/>
      </c>
      <c r="J116" s="54" t="str">
        <f aca="false">IF($A116="","",SUMIFS(资金流水!$N$5:$N$504,资金流水!$P$5:$P$504,$A116,资金流水!$B$5:$B$504,"&lt;="&amp;首页!$B$7)+SUMIFS(销售录入!$X$5:$X$404,销售录入!$W$5:$W$404,$A116,销售录入!$B$5:$B$404,"&lt;="&amp;首页!$B$7)+SUMIFS(销售录入!$AA$5:$AA$404,销售录入!$Z$5:$Z$404,$A116,销售录入!$B$5:$B$404,"&lt;="&amp;首页!$B$7)+SUMIFS(销售录入!$AD$5:$AD$404,销售录入!$AC$5:$AC$404,$A116,销售录入!$B$5:$B$404,"&lt;="&amp;首页!$B$7)+SUMIFS(采购录入!$W$5:$W$404,采购录入!$V$5:$V$404,$A116,采购录入!$B$5:$B$404,"&lt;="&amp;首页!$B$7)+SUMIFS(采购录入!$Z$5:$Z$404,采购录入!$Y$5:$Y$404,$A116,采购录入!$B$5:$B$404,"&lt;="&amp;首页!$B$7)+SUMIFS(其他凭证!$H$5:$H$304,其他凭证!$G$5:$G$304,$A116,其他凭证!$B$5:$B$304,"&lt;="&amp;首页!$B$7))</f>
        <v/>
      </c>
      <c r="K116" s="44" t="str">
        <f aca="false">IF($A116="","",($E116+$I116)-($F116+$J116))</f>
        <v/>
      </c>
      <c r="L116" s="44" t="str">
        <f aca="false">IF($A116="","",IF($K116&gt;=0,$K116,0))</f>
        <v/>
      </c>
      <c r="M116" s="44" t="str">
        <f aca="false">IF($A116="","",IF($K116&lt;0,-$K116,0))</f>
        <v/>
      </c>
      <c r="N116" s="35" t="str">
        <f aca="false">IF($A116="","",科目参数!$F116)</f>
        <v/>
      </c>
      <c r="O116" s="35" t="str">
        <f aca="false">IF($A116="","",科目参数!$G116)</f>
        <v/>
      </c>
      <c r="P116" s="42" t="str">
        <f aca="false">IF($A116="","",科目参数!$H116)</f>
        <v/>
      </c>
    </row>
    <row r="117" customFormat="false" ht="15.75" hidden="false" customHeight="true" outlineLevel="0" collapsed="false">
      <c r="A117" s="42" t="str">
        <f aca="false">IF(科目参数!$A117="","",科目参数!$A117)</f>
        <v/>
      </c>
      <c r="B117" s="35" t="str">
        <f aca="false">IF($A117="","",科目参数!$B117)</f>
        <v/>
      </c>
      <c r="C117" s="42" t="str">
        <f aca="false">IF($A117="","",科目参数!$C117)</f>
        <v/>
      </c>
      <c r="D117" s="42" t="str">
        <f aca="false">IF($A117="","",科目参数!$D117)</f>
        <v/>
      </c>
      <c r="E117" s="54" t="str">
        <f aca="false">IF($A117="","",SUMIFS(期初数据!$Z$6:$Z$125,期初数据!$W$6:$W$125,$A117))</f>
        <v/>
      </c>
      <c r="F117" s="54" t="str">
        <f aca="false">IF($A117="","",SUMIFS(期初数据!$AA$6:$AA$125,期初数据!$W$6:$W$125,$A117))</f>
        <v/>
      </c>
      <c r="G117" s="54" t="str">
        <f aca="false">IF($A117="","",SUMIFS(资金流水!$N$5:$N$504,资金流水!$O$5:$O$504,$A117,资金流水!$C$5:$C$504,首页!$B$5)+SUMIFS(销售录入!$X$5:$X$404,销售录入!$V$5:$V$404,$A117,销售录入!$C$5:$C$404,首页!$B$5)+SUMIFS(销售录入!$AA$5:$AA$404,销售录入!$Y$5:$Y$404,$A117,销售录入!$C$5:$C$404,首页!$B$5)+SUMIFS(销售录入!$AD$5:$AD$404,销售录入!$AB$5:$AB$404,$A117,销售录入!$C$5:$C$404,首页!$B$5)+SUMIFS(采购录入!$W$5:$W$404,采购录入!$U$5:$U$404,$A117,采购录入!$C$5:$C$404,首页!$B$5)+SUMIFS(采购录入!$Z$5:$Z$404,采购录入!$X$5:$X$404,$A117,采购录入!$C$5:$C$404,首页!$B$5)+SUMIFS(其他凭证!$H$5:$H$304,其他凭证!$F$5:$F$304,$A117,其他凭证!$C$5:$C$304,首页!$B$5))</f>
        <v/>
      </c>
      <c r="H117" s="54" t="str">
        <f aca="false">IF($A117="","",SUMIFS(资金流水!$N$5:$N$504,资金流水!$P$5:$P$504,$A117,资金流水!$C$5:$C$504,首页!$B$5)+SUMIFS(销售录入!$X$5:$X$404,销售录入!$W$5:$W$404,$A117,销售录入!$C$5:$C$404,首页!$B$5)+SUMIFS(销售录入!$AA$5:$AA$404,销售录入!$Z$5:$Z$404,$A117,销售录入!$C$5:$C$404,首页!$B$5)+SUMIFS(销售录入!$AD$5:$AD$404,销售录入!$AC$5:$AC$404,$A117,销售录入!$C$5:$C$404,首页!$B$5)+SUMIFS(采购录入!$W$5:$W$404,采购录入!$V$5:$V$404,$A117,采购录入!$C$5:$C$404,首页!$B$5)+SUMIFS(采购录入!$Z$5:$Z$404,采购录入!$Y$5:$Y$404,$A117,采购录入!$C$5:$C$404,首页!$B$5)+SUMIFS(其他凭证!$H$5:$H$304,其他凭证!$G$5:$G$304,$A117,其他凭证!$C$5:$C$304,首页!$B$5))</f>
        <v/>
      </c>
      <c r="I117" s="54" t="str">
        <f aca="false">IF($A117="","",SUMIFS(资金流水!$N$5:$N$504,资金流水!$O$5:$O$504,$A117,资金流水!$B$5:$B$504,"&lt;="&amp;首页!$B$7)+SUMIFS(销售录入!$X$5:$X$404,销售录入!$V$5:$V$404,$A117,销售录入!$B$5:$B$404,"&lt;="&amp;首页!$B$7)+SUMIFS(销售录入!$AA$5:$AA$404,销售录入!$Y$5:$Y$404,$A117,销售录入!$B$5:$B$404,"&lt;="&amp;首页!$B$7)+SUMIFS(销售录入!$AD$5:$AD$404,销售录入!$AB$5:$AB$404,$A117,销售录入!$B$5:$B$404,"&lt;="&amp;首页!$B$7)+SUMIFS(采购录入!$W$5:$W$404,采购录入!$U$5:$U$404,$A117,采购录入!$B$5:$B$404,"&lt;="&amp;首页!$B$7)+SUMIFS(采购录入!$Z$5:$Z$404,采购录入!$X$5:$X$404,$A117,采购录入!$B$5:$B$404,"&lt;="&amp;首页!$B$7)+SUMIFS(其他凭证!$H$5:$H$304,其他凭证!$F$5:$F$304,$A117,其他凭证!$B$5:$B$304,"&lt;="&amp;首页!$B$7))</f>
        <v/>
      </c>
      <c r="J117" s="54" t="str">
        <f aca="false">IF($A117="","",SUMIFS(资金流水!$N$5:$N$504,资金流水!$P$5:$P$504,$A117,资金流水!$B$5:$B$504,"&lt;="&amp;首页!$B$7)+SUMIFS(销售录入!$X$5:$X$404,销售录入!$W$5:$W$404,$A117,销售录入!$B$5:$B$404,"&lt;="&amp;首页!$B$7)+SUMIFS(销售录入!$AA$5:$AA$404,销售录入!$Z$5:$Z$404,$A117,销售录入!$B$5:$B$404,"&lt;="&amp;首页!$B$7)+SUMIFS(销售录入!$AD$5:$AD$404,销售录入!$AC$5:$AC$404,$A117,销售录入!$B$5:$B$404,"&lt;="&amp;首页!$B$7)+SUMIFS(采购录入!$W$5:$W$404,采购录入!$V$5:$V$404,$A117,采购录入!$B$5:$B$404,"&lt;="&amp;首页!$B$7)+SUMIFS(采购录入!$Z$5:$Z$404,采购录入!$Y$5:$Y$404,$A117,采购录入!$B$5:$B$404,"&lt;="&amp;首页!$B$7)+SUMIFS(其他凭证!$H$5:$H$304,其他凭证!$G$5:$G$304,$A117,其他凭证!$B$5:$B$304,"&lt;="&amp;首页!$B$7))</f>
        <v/>
      </c>
      <c r="K117" s="44" t="str">
        <f aca="false">IF($A117="","",($E117+$I117)-($F117+$J117))</f>
        <v/>
      </c>
      <c r="L117" s="44" t="str">
        <f aca="false">IF($A117="","",IF($K117&gt;=0,$K117,0))</f>
        <v/>
      </c>
      <c r="M117" s="44" t="str">
        <f aca="false">IF($A117="","",IF($K117&lt;0,-$K117,0))</f>
        <v/>
      </c>
      <c r="N117" s="35" t="str">
        <f aca="false">IF($A117="","",科目参数!$F117)</f>
        <v/>
      </c>
      <c r="O117" s="35" t="str">
        <f aca="false">IF($A117="","",科目参数!$G117)</f>
        <v/>
      </c>
      <c r="P117" s="42" t="str">
        <f aca="false">IF($A117="","",科目参数!$H117)</f>
        <v/>
      </c>
    </row>
    <row r="118" customFormat="false" ht="15.75" hidden="false" customHeight="true" outlineLevel="0" collapsed="false">
      <c r="A118" s="42" t="str">
        <f aca="false">IF(科目参数!$A118="","",科目参数!$A118)</f>
        <v/>
      </c>
      <c r="B118" s="35" t="str">
        <f aca="false">IF($A118="","",科目参数!$B118)</f>
        <v/>
      </c>
      <c r="C118" s="42" t="str">
        <f aca="false">IF($A118="","",科目参数!$C118)</f>
        <v/>
      </c>
      <c r="D118" s="42" t="str">
        <f aca="false">IF($A118="","",科目参数!$D118)</f>
        <v/>
      </c>
      <c r="E118" s="54" t="str">
        <f aca="false">IF($A118="","",SUMIFS(期初数据!$Z$6:$Z$125,期初数据!$W$6:$W$125,$A118))</f>
        <v/>
      </c>
      <c r="F118" s="54" t="str">
        <f aca="false">IF($A118="","",SUMIFS(期初数据!$AA$6:$AA$125,期初数据!$W$6:$W$125,$A118))</f>
        <v/>
      </c>
      <c r="G118" s="54" t="str">
        <f aca="false">IF($A118="","",SUMIFS(资金流水!$N$5:$N$504,资金流水!$O$5:$O$504,$A118,资金流水!$C$5:$C$504,首页!$B$5)+SUMIFS(销售录入!$X$5:$X$404,销售录入!$V$5:$V$404,$A118,销售录入!$C$5:$C$404,首页!$B$5)+SUMIFS(销售录入!$AA$5:$AA$404,销售录入!$Y$5:$Y$404,$A118,销售录入!$C$5:$C$404,首页!$B$5)+SUMIFS(销售录入!$AD$5:$AD$404,销售录入!$AB$5:$AB$404,$A118,销售录入!$C$5:$C$404,首页!$B$5)+SUMIFS(采购录入!$W$5:$W$404,采购录入!$U$5:$U$404,$A118,采购录入!$C$5:$C$404,首页!$B$5)+SUMIFS(采购录入!$Z$5:$Z$404,采购录入!$X$5:$X$404,$A118,采购录入!$C$5:$C$404,首页!$B$5)+SUMIFS(其他凭证!$H$5:$H$304,其他凭证!$F$5:$F$304,$A118,其他凭证!$C$5:$C$304,首页!$B$5))</f>
        <v/>
      </c>
      <c r="H118" s="54" t="str">
        <f aca="false">IF($A118="","",SUMIFS(资金流水!$N$5:$N$504,资金流水!$P$5:$P$504,$A118,资金流水!$C$5:$C$504,首页!$B$5)+SUMIFS(销售录入!$X$5:$X$404,销售录入!$W$5:$W$404,$A118,销售录入!$C$5:$C$404,首页!$B$5)+SUMIFS(销售录入!$AA$5:$AA$404,销售录入!$Z$5:$Z$404,$A118,销售录入!$C$5:$C$404,首页!$B$5)+SUMIFS(销售录入!$AD$5:$AD$404,销售录入!$AC$5:$AC$404,$A118,销售录入!$C$5:$C$404,首页!$B$5)+SUMIFS(采购录入!$W$5:$W$404,采购录入!$V$5:$V$404,$A118,采购录入!$C$5:$C$404,首页!$B$5)+SUMIFS(采购录入!$Z$5:$Z$404,采购录入!$Y$5:$Y$404,$A118,采购录入!$C$5:$C$404,首页!$B$5)+SUMIFS(其他凭证!$H$5:$H$304,其他凭证!$G$5:$G$304,$A118,其他凭证!$C$5:$C$304,首页!$B$5))</f>
        <v/>
      </c>
      <c r="I118" s="54" t="str">
        <f aca="false">IF($A118="","",SUMIFS(资金流水!$N$5:$N$504,资金流水!$O$5:$O$504,$A118,资金流水!$B$5:$B$504,"&lt;="&amp;首页!$B$7)+SUMIFS(销售录入!$X$5:$X$404,销售录入!$V$5:$V$404,$A118,销售录入!$B$5:$B$404,"&lt;="&amp;首页!$B$7)+SUMIFS(销售录入!$AA$5:$AA$404,销售录入!$Y$5:$Y$404,$A118,销售录入!$B$5:$B$404,"&lt;="&amp;首页!$B$7)+SUMIFS(销售录入!$AD$5:$AD$404,销售录入!$AB$5:$AB$404,$A118,销售录入!$B$5:$B$404,"&lt;="&amp;首页!$B$7)+SUMIFS(采购录入!$W$5:$W$404,采购录入!$U$5:$U$404,$A118,采购录入!$B$5:$B$404,"&lt;="&amp;首页!$B$7)+SUMIFS(采购录入!$Z$5:$Z$404,采购录入!$X$5:$X$404,$A118,采购录入!$B$5:$B$404,"&lt;="&amp;首页!$B$7)+SUMIFS(其他凭证!$H$5:$H$304,其他凭证!$F$5:$F$304,$A118,其他凭证!$B$5:$B$304,"&lt;="&amp;首页!$B$7))</f>
        <v/>
      </c>
      <c r="J118" s="54" t="str">
        <f aca="false">IF($A118="","",SUMIFS(资金流水!$N$5:$N$504,资金流水!$P$5:$P$504,$A118,资金流水!$B$5:$B$504,"&lt;="&amp;首页!$B$7)+SUMIFS(销售录入!$X$5:$X$404,销售录入!$W$5:$W$404,$A118,销售录入!$B$5:$B$404,"&lt;="&amp;首页!$B$7)+SUMIFS(销售录入!$AA$5:$AA$404,销售录入!$Z$5:$Z$404,$A118,销售录入!$B$5:$B$404,"&lt;="&amp;首页!$B$7)+SUMIFS(销售录入!$AD$5:$AD$404,销售录入!$AC$5:$AC$404,$A118,销售录入!$B$5:$B$404,"&lt;="&amp;首页!$B$7)+SUMIFS(采购录入!$W$5:$W$404,采购录入!$V$5:$V$404,$A118,采购录入!$B$5:$B$404,"&lt;="&amp;首页!$B$7)+SUMIFS(采购录入!$Z$5:$Z$404,采购录入!$Y$5:$Y$404,$A118,采购录入!$B$5:$B$404,"&lt;="&amp;首页!$B$7)+SUMIFS(其他凭证!$H$5:$H$304,其他凭证!$G$5:$G$304,$A118,其他凭证!$B$5:$B$304,"&lt;="&amp;首页!$B$7))</f>
        <v/>
      </c>
      <c r="K118" s="44" t="str">
        <f aca="false">IF($A118="","",($E118+$I118)-($F118+$J118))</f>
        <v/>
      </c>
      <c r="L118" s="44" t="str">
        <f aca="false">IF($A118="","",IF($K118&gt;=0,$K118,0))</f>
        <v/>
      </c>
      <c r="M118" s="44" t="str">
        <f aca="false">IF($A118="","",IF($K118&lt;0,-$K118,0))</f>
        <v/>
      </c>
      <c r="N118" s="35" t="str">
        <f aca="false">IF($A118="","",科目参数!$F118)</f>
        <v/>
      </c>
      <c r="O118" s="35" t="str">
        <f aca="false">IF($A118="","",科目参数!$G118)</f>
        <v/>
      </c>
      <c r="P118" s="42" t="str">
        <f aca="false">IF($A118="","",科目参数!$H118)</f>
        <v/>
      </c>
    </row>
    <row r="119" customFormat="false" ht="15.75" hidden="false" customHeight="true" outlineLevel="0" collapsed="false">
      <c r="A119" s="42" t="str">
        <f aca="false">IF(科目参数!$A119="","",科目参数!$A119)</f>
        <v/>
      </c>
      <c r="B119" s="35" t="str">
        <f aca="false">IF($A119="","",科目参数!$B119)</f>
        <v/>
      </c>
      <c r="C119" s="42" t="str">
        <f aca="false">IF($A119="","",科目参数!$C119)</f>
        <v/>
      </c>
      <c r="D119" s="42" t="str">
        <f aca="false">IF($A119="","",科目参数!$D119)</f>
        <v/>
      </c>
      <c r="E119" s="54" t="str">
        <f aca="false">IF($A119="","",SUMIFS(期初数据!$Z$6:$Z$125,期初数据!$W$6:$W$125,$A119))</f>
        <v/>
      </c>
      <c r="F119" s="54" t="str">
        <f aca="false">IF($A119="","",SUMIFS(期初数据!$AA$6:$AA$125,期初数据!$W$6:$W$125,$A119))</f>
        <v/>
      </c>
      <c r="G119" s="54" t="str">
        <f aca="false">IF($A119="","",SUMIFS(资金流水!$N$5:$N$504,资金流水!$O$5:$O$504,$A119,资金流水!$C$5:$C$504,首页!$B$5)+SUMIFS(销售录入!$X$5:$X$404,销售录入!$V$5:$V$404,$A119,销售录入!$C$5:$C$404,首页!$B$5)+SUMIFS(销售录入!$AA$5:$AA$404,销售录入!$Y$5:$Y$404,$A119,销售录入!$C$5:$C$404,首页!$B$5)+SUMIFS(销售录入!$AD$5:$AD$404,销售录入!$AB$5:$AB$404,$A119,销售录入!$C$5:$C$404,首页!$B$5)+SUMIFS(采购录入!$W$5:$W$404,采购录入!$U$5:$U$404,$A119,采购录入!$C$5:$C$404,首页!$B$5)+SUMIFS(采购录入!$Z$5:$Z$404,采购录入!$X$5:$X$404,$A119,采购录入!$C$5:$C$404,首页!$B$5)+SUMIFS(其他凭证!$H$5:$H$304,其他凭证!$F$5:$F$304,$A119,其他凭证!$C$5:$C$304,首页!$B$5))</f>
        <v/>
      </c>
      <c r="H119" s="54" t="str">
        <f aca="false">IF($A119="","",SUMIFS(资金流水!$N$5:$N$504,资金流水!$P$5:$P$504,$A119,资金流水!$C$5:$C$504,首页!$B$5)+SUMIFS(销售录入!$X$5:$X$404,销售录入!$W$5:$W$404,$A119,销售录入!$C$5:$C$404,首页!$B$5)+SUMIFS(销售录入!$AA$5:$AA$404,销售录入!$Z$5:$Z$404,$A119,销售录入!$C$5:$C$404,首页!$B$5)+SUMIFS(销售录入!$AD$5:$AD$404,销售录入!$AC$5:$AC$404,$A119,销售录入!$C$5:$C$404,首页!$B$5)+SUMIFS(采购录入!$W$5:$W$404,采购录入!$V$5:$V$404,$A119,采购录入!$C$5:$C$404,首页!$B$5)+SUMIFS(采购录入!$Z$5:$Z$404,采购录入!$Y$5:$Y$404,$A119,采购录入!$C$5:$C$404,首页!$B$5)+SUMIFS(其他凭证!$H$5:$H$304,其他凭证!$G$5:$G$304,$A119,其他凭证!$C$5:$C$304,首页!$B$5))</f>
        <v/>
      </c>
      <c r="I119" s="54" t="str">
        <f aca="false">IF($A119="","",SUMIFS(资金流水!$N$5:$N$504,资金流水!$O$5:$O$504,$A119,资金流水!$B$5:$B$504,"&lt;="&amp;首页!$B$7)+SUMIFS(销售录入!$X$5:$X$404,销售录入!$V$5:$V$404,$A119,销售录入!$B$5:$B$404,"&lt;="&amp;首页!$B$7)+SUMIFS(销售录入!$AA$5:$AA$404,销售录入!$Y$5:$Y$404,$A119,销售录入!$B$5:$B$404,"&lt;="&amp;首页!$B$7)+SUMIFS(销售录入!$AD$5:$AD$404,销售录入!$AB$5:$AB$404,$A119,销售录入!$B$5:$B$404,"&lt;="&amp;首页!$B$7)+SUMIFS(采购录入!$W$5:$W$404,采购录入!$U$5:$U$404,$A119,采购录入!$B$5:$B$404,"&lt;="&amp;首页!$B$7)+SUMIFS(采购录入!$Z$5:$Z$404,采购录入!$X$5:$X$404,$A119,采购录入!$B$5:$B$404,"&lt;="&amp;首页!$B$7)+SUMIFS(其他凭证!$H$5:$H$304,其他凭证!$F$5:$F$304,$A119,其他凭证!$B$5:$B$304,"&lt;="&amp;首页!$B$7))</f>
        <v/>
      </c>
      <c r="J119" s="54" t="str">
        <f aca="false">IF($A119="","",SUMIFS(资金流水!$N$5:$N$504,资金流水!$P$5:$P$504,$A119,资金流水!$B$5:$B$504,"&lt;="&amp;首页!$B$7)+SUMIFS(销售录入!$X$5:$X$404,销售录入!$W$5:$W$404,$A119,销售录入!$B$5:$B$404,"&lt;="&amp;首页!$B$7)+SUMIFS(销售录入!$AA$5:$AA$404,销售录入!$Z$5:$Z$404,$A119,销售录入!$B$5:$B$404,"&lt;="&amp;首页!$B$7)+SUMIFS(销售录入!$AD$5:$AD$404,销售录入!$AC$5:$AC$404,$A119,销售录入!$B$5:$B$404,"&lt;="&amp;首页!$B$7)+SUMIFS(采购录入!$W$5:$W$404,采购录入!$V$5:$V$404,$A119,采购录入!$B$5:$B$404,"&lt;="&amp;首页!$B$7)+SUMIFS(采购录入!$Z$5:$Z$404,采购录入!$Y$5:$Y$404,$A119,采购录入!$B$5:$B$404,"&lt;="&amp;首页!$B$7)+SUMIFS(其他凭证!$H$5:$H$304,其他凭证!$G$5:$G$304,$A119,其他凭证!$B$5:$B$304,"&lt;="&amp;首页!$B$7))</f>
        <v/>
      </c>
      <c r="K119" s="44" t="str">
        <f aca="false">IF($A119="","",($E119+$I119)-($F119+$J119))</f>
        <v/>
      </c>
      <c r="L119" s="44" t="str">
        <f aca="false">IF($A119="","",IF($K119&gt;=0,$K119,0))</f>
        <v/>
      </c>
      <c r="M119" s="44" t="str">
        <f aca="false">IF($A119="","",IF($K119&lt;0,-$K119,0))</f>
        <v/>
      </c>
      <c r="N119" s="35" t="str">
        <f aca="false">IF($A119="","",科目参数!$F119)</f>
        <v/>
      </c>
      <c r="O119" s="35" t="str">
        <f aca="false">IF($A119="","",科目参数!$G119)</f>
        <v/>
      </c>
      <c r="P119" s="42" t="str">
        <f aca="false">IF($A119="","",科目参数!$H119)</f>
        <v/>
      </c>
    </row>
    <row r="120" customFormat="false" ht="15.75" hidden="false" customHeight="true" outlineLevel="0" collapsed="false">
      <c r="A120" s="42" t="str">
        <f aca="false">IF(科目参数!$A120="","",科目参数!$A120)</f>
        <v/>
      </c>
      <c r="B120" s="35" t="str">
        <f aca="false">IF($A120="","",科目参数!$B120)</f>
        <v/>
      </c>
      <c r="C120" s="42" t="str">
        <f aca="false">IF($A120="","",科目参数!$C120)</f>
        <v/>
      </c>
      <c r="D120" s="42" t="str">
        <f aca="false">IF($A120="","",科目参数!$D120)</f>
        <v/>
      </c>
      <c r="E120" s="54" t="str">
        <f aca="false">IF($A120="","",SUMIFS(期初数据!$Z$6:$Z$125,期初数据!$W$6:$W$125,$A120))</f>
        <v/>
      </c>
      <c r="F120" s="54" t="str">
        <f aca="false">IF($A120="","",SUMIFS(期初数据!$AA$6:$AA$125,期初数据!$W$6:$W$125,$A120))</f>
        <v/>
      </c>
      <c r="G120" s="54" t="str">
        <f aca="false">IF($A120="","",SUMIFS(资金流水!$N$5:$N$504,资金流水!$O$5:$O$504,$A120,资金流水!$C$5:$C$504,首页!$B$5)+SUMIFS(销售录入!$X$5:$X$404,销售录入!$V$5:$V$404,$A120,销售录入!$C$5:$C$404,首页!$B$5)+SUMIFS(销售录入!$AA$5:$AA$404,销售录入!$Y$5:$Y$404,$A120,销售录入!$C$5:$C$404,首页!$B$5)+SUMIFS(销售录入!$AD$5:$AD$404,销售录入!$AB$5:$AB$404,$A120,销售录入!$C$5:$C$404,首页!$B$5)+SUMIFS(采购录入!$W$5:$W$404,采购录入!$U$5:$U$404,$A120,采购录入!$C$5:$C$404,首页!$B$5)+SUMIFS(采购录入!$Z$5:$Z$404,采购录入!$X$5:$X$404,$A120,采购录入!$C$5:$C$404,首页!$B$5)+SUMIFS(其他凭证!$H$5:$H$304,其他凭证!$F$5:$F$304,$A120,其他凭证!$C$5:$C$304,首页!$B$5))</f>
        <v/>
      </c>
      <c r="H120" s="54" t="str">
        <f aca="false">IF($A120="","",SUMIFS(资金流水!$N$5:$N$504,资金流水!$P$5:$P$504,$A120,资金流水!$C$5:$C$504,首页!$B$5)+SUMIFS(销售录入!$X$5:$X$404,销售录入!$W$5:$W$404,$A120,销售录入!$C$5:$C$404,首页!$B$5)+SUMIFS(销售录入!$AA$5:$AA$404,销售录入!$Z$5:$Z$404,$A120,销售录入!$C$5:$C$404,首页!$B$5)+SUMIFS(销售录入!$AD$5:$AD$404,销售录入!$AC$5:$AC$404,$A120,销售录入!$C$5:$C$404,首页!$B$5)+SUMIFS(采购录入!$W$5:$W$404,采购录入!$V$5:$V$404,$A120,采购录入!$C$5:$C$404,首页!$B$5)+SUMIFS(采购录入!$Z$5:$Z$404,采购录入!$Y$5:$Y$404,$A120,采购录入!$C$5:$C$404,首页!$B$5)+SUMIFS(其他凭证!$H$5:$H$304,其他凭证!$G$5:$G$304,$A120,其他凭证!$C$5:$C$304,首页!$B$5))</f>
        <v/>
      </c>
      <c r="I120" s="54" t="str">
        <f aca="false">IF($A120="","",SUMIFS(资金流水!$N$5:$N$504,资金流水!$O$5:$O$504,$A120,资金流水!$B$5:$B$504,"&lt;="&amp;首页!$B$7)+SUMIFS(销售录入!$X$5:$X$404,销售录入!$V$5:$V$404,$A120,销售录入!$B$5:$B$404,"&lt;="&amp;首页!$B$7)+SUMIFS(销售录入!$AA$5:$AA$404,销售录入!$Y$5:$Y$404,$A120,销售录入!$B$5:$B$404,"&lt;="&amp;首页!$B$7)+SUMIFS(销售录入!$AD$5:$AD$404,销售录入!$AB$5:$AB$404,$A120,销售录入!$B$5:$B$404,"&lt;="&amp;首页!$B$7)+SUMIFS(采购录入!$W$5:$W$404,采购录入!$U$5:$U$404,$A120,采购录入!$B$5:$B$404,"&lt;="&amp;首页!$B$7)+SUMIFS(采购录入!$Z$5:$Z$404,采购录入!$X$5:$X$404,$A120,采购录入!$B$5:$B$404,"&lt;="&amp;首页!$B$7)+SUMIFS(其他凭证!$H$5:$H$304,其他凭证!$F$5:$F$304,$A120,其他凭证!$B$5:$B$304,"&lt;="&amp;首页!$B$7))</f>
        <v/>
      </c>
      <c r="J120" s="54" t="str">
        <f aca="false">IF($A120="","",SUMIFS(资金流水!$N$5:$N$504,资金流水!$P$5:$P$504,$A120,资金流水!$B$5:$B$504,"&lt;="&amp;首页!$B$7)+SUMIFS(销售录入!$X$5:$X$404,销售录入!$W$5:$W$404,$A120,销售录入!$B$5:$B$404,"&lt;="&amp;首页!$B$7)+SUMIFS(销售录入!$AA$5:$AA$404,销售录入!$Z$5:$Z$404,$A120,销售录入!$B$5:$B$404,"&lt;="&amp;首页!$B$7)+SUMIFS(销售录入!$AD$5:$AD$404,销售录入!$AC$5:$AC$404,$A120,销售录入!$B$5:$B$404,"&lt;="&amp;首页!$B$7)+SUMIFS(采购录入!$W$5:$W$404,采购录入!$V$5:$V$404,$A120,采购录入!$B$5:$B$404,"&lt;="&amp;首页!$B$7)+SUMIFS(采购录入!$Z$5:$Z$404,采购录入!$Y$5:$Y$404,$A120,采购录入!$B$5:$B$404,"&lt;="&amp;首页!$B$7)+SUMIFS(其他凭证!$H$5:$H$304,其他凭证!$G$5:$G$304,$A120,其他凭证!$B$5:$B$304,"&lt;="&amp;首页!$B$7))</f>
        <v/>
      </c>
      <c r="K120" s="44" t="str">
        <f aca="false">IF($A120="","",($E120+$I120)-($F120+$J120))</f>
        <v/>
      </c>
      <c r="L120" s="44" t="str">
        <f aca="false">IF($A120="","",IF($K120&gt;=0,$K120,0))</f>
        <v/>
      </c>
      <c r="M120" s="44" t="str">
        <f aca="false">IF($A120="","",IF($K120&lt;0,-$K120,0))</f>
        <v/>
      </c>
      <c r="N120" s="35" t="str">
        <f aca="false">IF($A120="","",科目参数!$F120)</f>
        <v/>
      </c>
      <c r="O120" s="35" t="str">
        <f aca="false">IF($A120="","",科目参数!$G120)</f>
        <v/>
      </c>
      <c r="P120" s="42" t="str">
        <f aca="false">IF($A120="","",科目参数!$H120)</f>
        <v/>
      </c>
    </row>
    <row r="121" customFormat="false" ht="15.75" hidden="false" customHeight="true" outlineLevel="0" collapsed="false">
      <c r="A121" s="42" t="str">
        <f aca="false">IF(科目参数!$A121="","",科目参数!$A121)</f>
        <v/>
      </c>
      <c r="B121" s="35" t="str">
        <f aca="false">IF($A121="","",科目参数!$B121)</f>
        <v/>
      </c>
      <c r="C121" s="42" t="str">
        <f aca="false">IF($A121="","",科目参数!$C121)</f>
        <v/>
      </c>
      <c r="D121" s="42" t="str">
        <f aca="false">IF($A121="","",科目参数!$D121)</f>
        <v/>
      </c>
      <c r="E121" s="54" t="str">
        <f aca="false">IF($A121="","",SUMIFS(期初数据!$Z$6:$Z$125,期初数据!$W$6:$W$125,$A121))</f>
        <v/>
      </c>
      <c r="F121" s="54" t="str">
        <f aca="false">IF($A121="","",SUMIFS(期初数据!$AA$6:$AA$125,期初数据!$W$6:$W$125,$A121))</f>
        <v/>
      </c>
      <c r="G121" s="54" t="str">
        <f aca="false">IF($A121="","",SUMIFS(资金流水!$N$5:$N$504,资金流水!$O$5:$O$504,$A121,资金流水!$C$5:$C$504,首页!$B$5)+SUMIFS(销售录入!$X$5:$X$404,销售录入!$V$5:$V$404,$A121,销售录入!$C$5:$C$404,首页!$B$5)+SUMIFS(销售录入!$AA$5:$AA$404,销售录入!$Y$5:$Y$404,$A121,销售录入!$C$5:$C$404,首页!$B$5)+SUMIFS(销售录入!$AD$5:$AD$404,销售录入!$AB$5:$AB$404,$A121,销售录入!$C$5:$C$404,首页!$B$5)+SUMIFS(采购录入!$W$5:$W$404,采购录入!$U$5:$U$404,$A121,采购录入!$C$5:$C$404,首页!$B$5)+SUMIFS(采购录入!$Z$5:$Z$404,采购录入!$X$5:$X$404,$A121,采购录入!$C$5:$C$404,首页!$B$5)+SUMIFS(其他凭证!$H$5:$H$304,其他凭证!$F$5:$F$304,$A121,其他凭证!$C$5:$C$304,首页!$B$5))</f>
        <v/>
      </c>
      <c r="H121" s="54" t="str">
        <f aca="false">IF($A121="","",SUMIFS(资金流水!$N$5:$N$504,资金流水!$P$5:$P$504,$A121,资金流水!$C$5:$C$504,首页!$B$5)+SUMIFS(销售录入!$X$5:$X$404,销售录入!$W$5:$W$404,$A121,销售录入!$C$5:$C$404,首页!$B$5)+SUMIFS(销售录入!$AA$5:$AA$404,销售录入!$Z$5:$Z$404,$A121,销售录入!$C$5:$C$404,首页!$B$5)+SUMIFS(销售录入!$AD$5:$AD$404,销售录入!$AC$5:$AC$404,$A121,销售录入!$C$5:$C$404,首页!$B$5)+SUMIFS(采购录入!$W$5:$W$404,采购录入!$V$5:$V$404,$A121,采购录入!$C$5:$C$404,首页!$B$5)+SUMIFS(采购录入!$Z$5:$Z$404,采购录入!$Y$5:$Y$404,$A121,采购录入!$C$5:$C$404,首页!$B$5)+SUMIFS(其他凭证!$H$5:$H$304,其他凭证!$G$5:$G$304,$A121,其他凭证!$C$5:$C$304,首页!$B$5))</f>
        <v/>
      </c>
      <c r="I121" s="54" t="str">
        <f aca="false">IF($A121="","",SUMIFS(资金流水!$N$5:$N$504,资金流水!$O$5:$O$504,$A121,资金流水!$B$5:$B$504,"&lt;="&amp;首页!$B$7)+SUMIFS(销售录入!$X$5:$X$404,销售录入!$V$5:$V$404,$A121,销售录入!$B$5:$B$404,"&lt;="&amp;首页!$B$7)+SUMIFS(销售录入!$AA$5:$AA$404,销售录入!$Y$5:$Y$404,$A121,销售录入!$B$5:$B$404,"&lt;="&amp;首页!$B$7)+SUMIFS(销售录入!$AD$5:$AD$404,销售录入!$AB$5:$AB$404,$A121,销售录入!$B$5:$B$404,"&lt;="&amp;首页!$B$7)+SUMIFS(采购录入!$W$5:$W$404,采购录入!$U$5:$U$404,$A121,采购录入!$B$5:$B$404,"&lt;="&amp;首页!$B$7)+SUMIFS(采购录入!$Z$5:$Z$404,采购录入!$X$5:$X$404,$A121,采购录入!$B$5:$B$404,"&lt;="&amp;首页!$B$7)+SUMIFS(其他凭证!$H$5:$H$304,其他凭证!$F$5:$F$304,$A121,其他凭证!$B$5:$B$304,"&lt;="&amp;首页!$B$7))</f>
        <v/>
      </c>
      <c r="J121" s="54" t="str">
        <f aca="false">IF($A121="","",SUMIFS(资金流水!$N$5:$N$504,资金流水!$P$5:$P$504,$A121,资金流水!$B$5:$B$504,"&lt;="&amp;首页!$B$7)+SUMIFS(销售录入!$X$5:$X$404,销售录入!$W$5:$W$404,$A121,销售录入!$B$5:$B$404,"&lt;="&amp;首页!$B$7)+SUMIFS(销售录入!$AA$5:$AA$404,销售录入!$Z$5:$Z$404,$A121,销售录入!$B$5:$B$404,"&lt;="&amp;首页!$B$7)+SUMIFS(销售录入!$AD$5:$AD$404,销售录入!$AC$5:$AC$404,$A121,销售录入!$B$5:$B$404,"&lt;="&amp;首页!$B$7)+SUMIFS(采购录入!$W$5:$W$404,采购录入!$V$5:$V$404,$A121,采购录入!$B$5:$B$404,"&lt;="&amp;首页!$B$7)+SUMIFS(采购录入!$Z$5:$Z$404,采购录入!$Y$5:$Y$404,$A121,采购录入!$B$5:$B$404,"&lt;="&amp;首页!$B$7)+SUMIFS(其他凭证!$H$5:$H$304,其他凭证!$G$5:$G$304,$A121,其他凭证!$B$5:$B$304,"&lt;="&amp;首页!$B$7))</f>
        <v/>
      </c>
      <c r="K121" s="44" t="str">
        <f aca="false">IF($A121="","",($E121+$I121)-($F121+$J121))</f>
        <v/>
      </c>
      <c r="L121" s="44" t="str">
        <f aca="false">IF($A121="","",IF($K121&gt;=0,$K121,0))</f>
        <v/>
      </c>
      <c r="M121" s="44" t="str">
        <f aca="false">IF($A121="","",IF($K121&lt;0,-$K121,0))</f>
        <v/>
      </c>
      <c r="N121" s="35" t="str">
        <f aca="false">IF($A121="","",科目参数!$F121)</f>
        <v/>
      </c>
      <c r="O121" s="35" t="str">
        <f aca="false">IF($A121="","",科目参数!$G121)</f>
        <v/>
      </c>
      <c r="P121" s="42" t="str">
        <f aca="false">IF($A121="","",科目参数!$H121)</f>
        <v/>
      </c>
    </row>
    <row r="122" customFormat="false" ht="15.75" hidden="false" customHeight="true" outlineLevel="0" collapsed="false">
      <c r="A122" s="42" t="str">
        <f aca="false">IF(科目参数!$A122="","",科目参数!$A122)</f>
        <v/>
      </c>
      <c r="B122" s="35" t="str">
        <f aca="false">IF($A122="","",科目参数!$B122)</f>
        <v/>
      </c>
      <c r="C122" s="42" t="str">
        <f aca="false">IF($A122="","",科目参数!$C122)</f>
        <v/>
      </c>
      <c r="D122" s="42" t="str">
        <f aca="false">IF($A122="","",科目参数!$D122)</f>
        <v/>
      </c>
      <c r="E122" s="54" t="str">
        <f aca="false">IF($A122="","",SUMIFS(期初数据!$Z$6:$Z$125,期初数据!$W$6:$W$125,$A122))</f>
        <v/>
      </c>
      <c r="F122" s="54" t="str">
        <f aca="false">IF($A122="","",SUMIFS(期初数据!$AA$6:$AA$125,期初数据!$W$6:$W$125,$A122))</f>
        <v/>
      </c>
      <c r="G122" s="54" t="str">
        <f aca="false">IF($A122="","",SUMIFS(资金流水!$N$5:$N$504,资金流水!$O$5:$O$504,$A122,资金流水!$C$5:$C$504,首页!$B$5)+SUMIFS(销售录入!$X$5:$X$404,销售录入!$V$5:$V$404,$A122,销售录入!$C$5:$C$404,首页!$B$5)+SUMIFS(销售录入!$AA$5:$AA$404,销售录入!$Y$5:$Y$404,$A122,销售录入!$C$5:$C$404,首页!$B$5)+SUMIFS(销售录入!$AD$5:$AD$404,销售录入!$AB$5:$AB$404,$A122,销售录入!$C$5:$C$404,首页!$B$5)+SUMIFS(采购录入!$W$5:$W$404,采购录入!$U$5:$U$404,$A122,采购录入!$C$5:$C$404,首页!$B$5)+SUMIFS(采购录入!$Z$5:$Z$404,采购录入!$X$5:$X$404,$A122,采购录入!$C$5:$C$404,首页!$B$5)+SUMIFS(其他凭证!$H$5:$H$304,其他凭证!$F$5:$F$304,$A122,其他凭证!$C$5:$C$304,首页!$B$5))</f>
        <v/>
      </c>
      <c r="H122" s="54" t="str">
        <f aca="false">IF($A122="","",SUMIFS(资金流水!$N$5:$N$504,资金流水!$P$5:$P$504,$A122,资金流水!$C$5:$C$504,首页!$B$5)+SUMIFS(销售录入!$X$5:$X$404,销售录入!$W$5:$W$404,$A122,销售录入!$C$5:$C$404,首页!$B$5)+SUMIFS(销售录入!$AA$5:$AA$404,销售录入!$Z$5:$Z$404,$A122,销售录入!$C$5:$C$404,首页!$B$5)+SUMIFS(销售录入!$AD$5:$AD$404,销售录入!$AC$5:$AC$404,$A122,销售录入!$C$5:$C$404,首页!$B$5)+SUMIFS(采购录入!$W$5:$W$404,采购录入!$V$5:$V$404,$A122,采购录入!$C$5:$C$404,首页!$B$5)+SUMIFS(采购录入!$Z$5:$Z$404,采购录入!$Y$5:$Y$404,$A122,采购录入!$C$5:$C$404,首页!$B$5)+SUMIFS(其他凭证!$H$5:$H$304,其他凭证!$G$5:$G$304,$A122,其他凭证!$C$5:$C$304,首页!$B$5))</f>
        <v/>
      </c>
      <c r="I122" s="54" t="str">
        <f aca="false">IF($A122="","",SUMIFS(资金流水!$N$5:$N$504,资金流水!$O$5:$O$504,$A122,资金流水!$B$5:$B$504,"&lt;="&amp;首页!$B$7)+SUMIFS(销售录入!$X$5:$X$404,销售录入!$V$5:$V$404,$A122,销售录入!$B$5:$B$404,"&lt;="&amp;首页!$B$7)+SUMIFS(销售录入!$AA$5:$AA$404,销售录入!$Y$5:$Y$404,$A122,销售录入!$B$5:$B$404,"&lt;="&amp;首页!$B$7)+SUMIFS(销售录入!$AD$5:$AD$404,销售录入!$AB$5:$AB$404,$A122,销售录入!$B$5:$B$404,"&lt;="&amp;首页!$B$7)+SUMIFS(采购录入!$W$5:$W$404,采购录入!$U$5:$U$404,$A122,采购录入!$B$5:$B$404,"&lt;="&amp;首页!$B$7)+SUMIFS(采购录入!$Z$5:$Z$404,采购录入!$X$5:$X$404,$A122,采购录入!$B$5:$B$404,"&lt;="&amp;首页!$B$7)+SUMIFS(其他凭证!$H$5:$H$304,其他凭证!$F$5:$F$304,$A122,其他凭证!$B$5:$B$304,"&lt;="&amp;首页!$B$7))</f>
        <v/>
      </c>
      <c r="J122" s="54" t="str">
        <f aca="false">IF($A122="","",SUMIFS(资金流水!$N$5:$N$504,资金流水!$P$5:$P$504,$A122,资金流水!$B$5:$B$504,"&lt;="&amp;首页!$B$7)+SUMIFS(销售录入!$X$5:$X$404,销售录入!$W$5:$W$404,$A122,销售录入!$B$5:$B$404,"&lt;="&amp;首页!$B$7)+SUMIFS(销售录入!$AA$5:$AA$404,销售录入!$Z$5:$Z$404,$A122,销售录入!$B$5:$B$404,"&lt;="&amp;首页!$B$7)+SUMIFS(销售录入!$AD$5:$AD$404,销售录入!$AC$5:$AC$404,$A122,销售录入!$B$5:$B$404,"&lt;="&amp;首页!$B$7)+SUMIFS(采购录入!$W$5:$W$404,采购录入!$V$5:$V$404,$A122,采购录入!$B$5:$B$404,"&lt;="&amp;首页!$B$7)+SUMIFS(采购录入!$Z$5:$Z$404,采购录入!$Y$5:$Y$404,$A122,采购录入!$B$5:$B$404,"&lt;="&amp;首页!$B$7)+SUMIFS(其他凭证!$H$5:$H$304,其他凭证!$G$5:$G$304,$A122,其他凭证!$B$5:$B$304,"&lt;="&amp;首页!$B$7))</f>
        <v/>
      </c>
      <c r="K122" s="44" t="str">
        <f aca="false">IF($A122="","",($E122+$I122)-($F122+$J122))</f>
        <v/>
      </c>
      <c r="L122" s="44" t="str">
        <f aca="false">IF($A122="","",IF($K122&gt;=0,$K122,0))</f>
        <v/>
      </c>
      <c r="M122" s="44" t="str">
        <f aca="false">IF($A122="","",IF($K122&lt;0,-$K122,0))</f>
        <v/>
      </c>
      <c r="N122" s="35" t="str">
        <f aca="false">IF($A122="","",科目参数!$F122)</f>
        <v/>
      </c>
      <c r="O122" s="35" t="str">
        <f aca="false">IF($A122="","",科目参数!$G122)</f>
        <v/>
      </c>
      <c r="P122" s="42" t="str">
        <f aca="false">IF($A122="","",科目参数!$H122)</f>
        <v/>
      </c>
    </row>
    <row r="123" customFormat="false" ht="15.75" hidden="false" customHeight="true" outlineLevel="0" collapsed="false">
      <c r="A123" s="42" t="str">
        <f aca="false">IF(科目参数!$A123="","",科目参数!$A123)</f>
        <v/>
      </c>
      <c r="B123" s="35" t="str">
        <f aca="false">IF($A123="","",科目参数!$B123)</f>
        <v/>
      </c>
      <c r="C123" s="42" t="str">
        <f aca="false">IF($A123="","",科目参数!$C123)</f>
        <v/>
      </c>
      <c r="D123" s="42" t="str">
        <f aca="false">IF($A123="","",科目参数!$D123)</f>
        <v/>
      </c>
      <c r="E123" s="54" t="str">
        <f aca="false">IF($A123="","",SUMIFS(期初数据!$Z$6:$Z$125,期初数据!$W$6:$W$125,$A123))</f>
        <v/>
      </c>
      <c r="F123" s="54" t="str">
        <f aca="false">IF($A123="","",SUMIFS(期初数据!$AA$6:$AA$125,期初数据!$W$6:$W$125,$A123))</f>
        <v/>
      </c>
      <c r="G123" s="54" t="str">
        <f aca="false">IF($A123="","",SUMIFS(资金流水!$N$5:$N$504,资金流水!$O$5:$O$504,$A123,资金流水!$C$5:$C$504,首页!$B$5)+SUMIFS(销售录入!$X$5:$X$404,销售录入!$V$5:$V$404,$A123,销售录入!$C$5:$C$404,首页!$B$5)+SUMIFS(销售录入!$AA$5:$AA$404,销售录入!$Y$5:$Y$404,$A123,销售录入!$C$5:$C$404,首页!$B$5)+SUMIFS(销售录入!$AD$5:$AD$404,销售录入!$AB$5:$AB$404,$A123,销售录入!$C$5:$C$404,首页!$B$5)+SUMIFS(采购录入!$W$5:$W$404,采购录入!$U$5:$U$404,$A123,采购录入!$C$5:$C$404,首页!$B$5)+SUMIFS(采购录入!$Z$5:$Z$404,采购录入!$X$5:$X$404,$A123,采购录入!$C$5:$C$404,首页!$B$5)+SUMIFS(其他凭证!$H$5:$H$304,其他凭证!$F$5:$F$304,$A123,其他凭证!$C$5:$C$304,首页!$B$5))</f>
        <v/>
      </c>
      <c r="H123" s="54" t="str">
        <f aca="false">IF($A123="","",SUMIFS(资金流水!$N$5:$N$504,资金流水!$P$5:$P$504,$A123,资金流水!$C$5:$C$504,首页!$B$5)+SUMIFS(销售录入!$X$5:$X$404,销售录入!$W$5:$W$404,$A123,销售录入!$C$5:$C$404,首页!$B$5)+SUMIFS(销售录入!$AA$5:$AA$404,销售录入!$Z$5:$Z$404,$A123,销售录入!$C$5:$C$404,首页!$B$5)+SUMIFS(销售录入!$AD$5:$AD$404,销售录入!$AC$5:$AC$404,$A123,销售录入!$C$5:$C$404,首页!$B$5)+SUMIFS(采购录入!$W$5:$W$404,采购录入!$V$5:$V$404,$A123,采购录入!$C$5:$C$404,首页!$B$5)+SUMIFS(采购录入!$Z$5:$Z$404,采购录入!$Y$5:$Y$404,$A123,采购录入!$C$5:$C$404,首页!$B$5)+SUMIFS(其他凭证!$H$5:$H$304,其他凭证!$G$5:$G$304,$A123,其他凭证!$C$5:$C$304,首页!$B$5))</f>
        <v/>
      </c>
      <c r="I123" s="54" t="str">
        <f aca="false">IF($A123="","",SUMIFS(资金流水!$N$5:$N$504,资金流水!$O$5:$O$504,$A123,资金流水!$B$5:$B$504,"&lt;="&amp;首页!$B$7)+SUMIFS(销售录入!$X$5:$X$404,销售录入!$V$5:$V$404,$A123,销售录入!$B$5:$B$404,"&lt;="&amp;首页!$B$7)+SUMIFS(销售录入!$AA$5:$AA$404,销售录入!$Y$5:$Y$404,$A123,销售录入!$B$5:$B$404,"&lt;="&amp;首页!$B$7)+SUMIFS(销售录入!$AD$5:$AD$404,销售录入!$AB$5:$AB$404,$A123,销售录入!$B$5:$B$404,"&lt;="&amp;首页!$B$7)+SUMIFS(采购录入!$W$5:$W$404,采购录入!$U$5:$U$404,$A123,采购录入!$B$5:$B$404,"&lt;="&amp;首页!$B$7)+SUMIFS(采购录入!$Z$5:$Z$404,采购录入!$X$5:$X$404,$A123,采购录入!$B$5:$B$404,"&lt;="&amp;首页!$B$7)+SUMIFS(其他凭证!$H$5:$H$304,其他凭证!$F$5:$F$304,$A123,其他凭证!$B$5:$B$304,"&lt;="&amp;首页!$B$7))</f>
        <v/>
      </c>
      <c r="J123" s="54" t="str">
        <f aca="false">IF($A123="","",SUMIFS(资金流水!$N$5:$N$504,资金流水!$P$5:$P$504,$A123,资金流水!$B$5:$B$504,"&lt;="&amp;首页!$B$7)+SUMIFS(销售录入!$X$5:$X$404,销售录入!$W$5:$W$404,$A123,销售录入!$B$5:$B$404,"&lt;="&amp;首页!$B$7)+SUMIFS(销售录入!$AA$5:$AA$404,销售录入!$Z$5:$Z$404,$A123,销售录入!$B$5:$B$404,"&lt;="&amp;首页!$B$7)+SUMIFS(销售录入!$AD$5:$AD$404,销售录入!$AC$5:$AC$404,$A123,销售录入!$B$5:$B$404,"&lt;="&amp;首页!$B$7)+SUMIFS(采购录入!$W$5:$W$404,采购录入!$V$5:$V$404,$A123,采购录入!$B$5:$B$404,"&lt;="&amp;首页!$B$7)+SUMIFS(采购录入!$Z$5:$Z$404,采购录入!$Y$5:$Y$404,$A123,采购录入!$B$5:$B$404,"&lt;="&amp;首页!$B$7)+SUMIFS(其他凭证!$H$5:$H$304,其他凭证!$G$5:$G$304,$A123,其他凭证!$B$5:$B$304,"&lt;="&amp;首页!$B$7))</f>
        <v/>
      </c>
      <c r="K123" s="44" t="str">
        <f aca="false">IF($A123="","",($E123+$I123)-($F123+$J123))</f>
        <v/>
      </c>
      <c r="L123" s="44" t="str">
        <f aca="false">IF($A123="","",IF($K123&gt;=0,$K123,0))</f>
        <v/>
      </c>
      <c r="M123" s="44" t="str">
        <f aca="false">IF($A123="","",IF($K123&lt;0,-$K123,0))</f>
        <v/>
      </c>
      <c r="N123" s="35" t="str">
        <f aca="false">IF($A123="","",科目参数!$F123)</f>
        <v/>
      </c>
      <c r="O123" s="35" t="str">
        <f aca="false">IF($A123="","",科目参数!$G123)</f>
        <v/>
      </c>
      <c r="P123" s="42" t="str">
        <f aca="false">IF($A123="","",科目参数!$H123)</f>
        <v/>
      </c>
    </row>
    <row r="124" customFormat="false" ht="15.75" hidden="false" customHeight="true" outlineLevel="0" collapsed="false">
      <c r="A124" s="42" t="str">
        <f aca="false">IF(科目参数!$A124="","",科目参数!$A124)</f>
        <v/>
      </c>
      <c r="B124" s="35" t="str">
        <f aca="false">IF($A124="","",科目参数!$B124)</f>
        <v/>
      </c>
      <c r="C124" s="42" t="str">
        <f aca="false">IF($A124="","",科目参数!$C124)</f>
        <v/>
      </c>
      <c r="D124" s="42" t="str">
        <f aca="false">IF($A124="","",科目参数!$D124)</f>
        <v/>
      </c>
      <c r="E124" s="54" t="str">
        <f aca="false">IF($A124="","",SUMIFS(期初数据!$Z$6:$Z$125,期初数据!$W$6:$W$125,$A124))</f>
        <v/>
      </c>
      <c r="F124" s="54" t="str">
        <f aca="false">IF($A124="","",SUMIFS(期初数据!$AA$6:$AA$125,期初数据!$W$6:$W$125,$A124))</f>
        <v/>
      </c>
      <c r="G124" s="54" t="str">
        <f aca="false">IF($A124="","",SUMIFS(资金流水!$N$5:$N$504,资金流水!$O$5:$O$504,$A124,资金流水!$C$5:$C$504,首页!$B$5)+SUMIFS(销售录入!$X$5:$X$404,销售录入!$V$5:$V$404,$A124,销售录入!$C$5:$C$404,首页!$B$5)+SUMIFS(销售录入!$AA$5:$AA$404,销售录入!$Y$5:$Y$404,$A124,销售录入!$C$5:$C$404,首页!$B$5)+SUMIFS(销售录入!$AD$5:$AD$404,销售录入!$AB$5:$AB$404,$A124,销售录入!$C$5:$C$404,首页!$B$5)+SUMIFS(采购录入!$W$5:$W$404,采购录入!$U$5:$U$404,$A124,采购录入!$C$5:$C$404,首页!$B$5)+SUMIFS(采购录入!$Z$5:$Z$404,采购录入!$X$5:$X$404,$A124,采购录入!$C$5:$C$404,首页!$B$5)+SUMIFS(其他凭证!$H$5:$H$304,其他凭证!$F$5:$F$304,$A124,其他凭证!$C$5:$C$304,首页!$B$5))</f>
        <v/>
      </c>
      <c r="H124" s="54" t="str">
        <f aca="false">IF($A124="","",SUMIFS(资金流水!$N$5:$N$504,资金流水!$P$5:$P$504,$A124,资金流水!$C$5:$C$504,首页!$B$5)+SUMIFS(销售录入!$X$5:$X$404,销售录入!$W$5:$W$404,$A124,销售录入!$C$5:$C$404,首页!$B$5)+SUMIFS(销售录入!$AA$5:$AA$404,销售录入!$Z$5:$Z$404,$A124,销售录入!$C$5:$C$404,首页!$B$5)+SUMIFS(销售录入!$AD$5:$AD$404,销售录入!$AC$5:$AC$404,$A124,销售录入!$C$5:$C$404,首页!$B$5)+SUMIFS(采购录入!$W$5:$W$404,采购录入!$V$5:$V$404,$A124,采购录入!$C$5:$C$404,首页!$B$5)+SUMIFS(采购录入!$Z$5:$Z$404,采购录入!$Y$5:$Y$404,$A124,采购录入!$C$5:$C$404,首页!$B$5)+SUMIFS(其他凭证!$H$5:$H$304,其他凭证!$G$5:$G$304,$A124,其他凭证!$C$5:$C$304,首页!$B$5))</f>
        <v/>
      </c>
      <c r="I124" s="54" t="str">
        <f aca="false">IF($A124="","",SUMIFS(资金流水!$N$5:$N$504,资金流水!$O$5:$O$504,$A124,资金流水!$B$5:$B$504,"&lt;="&amp;首页!$B$7)+SUMIFS(销售录入!$X$5:$X$404,销售录入!$V$5:$V$404,$A124,销售录入!$B$5:$B$404,"&lt;="&amp;首页!$B$7)+SUMIFS(销售录入!$AA$5:$AA$404,销售录入!$Y$5:$Y$404,$A124,销售录入!$B$5:$B$404,"&lt;="&amp;首页!$B$7)+SUMIFS(销售录入!$AD$5:$AD$404,销售录入!$AB$5:$AB$404,$A124,销售录入!$B$5:$B$404,"&lt;="&amp;首页!$B$7)+SUMIFS(采购录入!$W$5:$W$404,采购录入!$U$5:$U$404,$A124,采购录入!$B$5:$B$404,"&lt;="&amp;首页!$B$7)+SUMIFS(采购录入!$Z$5:$Z$404,采购录入!$X$5:$X$404,$A124,采购录入!$B$5:$B$404,"&lt;="&amp;首页!$B$7)+SUMIFS(其他凭证!$H$5:$H$304,其他凭证!$F$5:$F$304,$A124,其他凭证!$B$5:$B$304,"&lt;="&amp;首页!$B$7))</f>
        <v/>
      </c>
      <c r="J124" s="54" t="str">
        <f aca="false">IF($A124="","",SUMIFS(资金流水!$N$5:$N$504,资金流水!$P$5:$P$504,$A124,资金流水!$B$5:$B$504,"&lt;="&amp;首页!$B$7)+SUMIFS(销售录入!$X$5:$X$404,销售录入!$W$5:$W$404,$A124,销售录入!$B$5:$B$404,"&lt;="&amp;首页!$B$7)+SUMIFS(销售录入!$AA$5:$AA$404,销售录入!$Z$5:$Z$404,$A124,销售录入!$B$5:$B$404,"&lt;="&amp;首页!$B$7)+SUMIFS(销售录入!$AD$5:$AD$404,销售录入!$AC$5:$AC$404,$A124,销售录入!$B$5:$B$404,"&lt;="&amp;首页!$B$7)+SUMIFS(采购录入!$W$5:$W$404,采购录入!$V$5:$V$404,$A124,采购录入!$B$5:$B$404,"&lt;="&amp;首页!$B$7)+SUMIFS(采购录入!$Z$5:$Z$404,采购录入!$Y$5:$Y$404,$A124,采购录入!$B$5:$B$404,"&lt;="&amp;首页!$B$7)+SUMIFS(其他凭证!$H$5:$H$304,其他凭证!$G$5:$G$304,$A124,其他凭证!$B$5:$B$304,"&lt;="&amp;首页!$B$7))</f>
        <v/>
      </c>
      <c r="K124" s="44" t="str">
        <f aca="false">IF($A124="","",($E124+$I124)-($F124+$J124))</f>
        <v/>
      </c>
      <c r="L124" s="44" t="str">
        <f aca="false">IF($A124="","",IF($K124&gt;=0,$K124,0))</f>
        <v/>
      </c>
      <c r="M124" s="44" t="str">
        <f aca="false">IF($A124="","",IF($K124&lt;0,-$K124,0))</f>
        <v/>
      </c>
      <c r="N124" s="35" t="str">
        <f aca="false">IF($A124="","",科目参数!$F124)</f>
        <v/>
      </c>
      <c r="O124" s="35" t="str">
        <f aca="false">IF($A124="","",科目参数!$G124)</f>
        <v/>
      </c>
      <c r="P124" s="42" t="str">
        <f aca="false">IF($A124="","",科目参数!$H124)</f>
        <v/>
      </c>
    </row>
    <row r="125" customFormat="false" ht="15.75" hidden="false" customHeight="true" outlineLevel="0" collapsed="false">
      <c r="A125" s="42" t="str">
        <f aca="false">IF(科目参数!$A125="","",科目参数!$A125)</f>
        <v/>
      </c>
      <c r="B125" s="35" t="str">
        <f aca="false">IF($A125="","",科目参数!$B125)</f>
        <v/>
      </c>
      <c r="C125" s="42" t="str">
        <f aca="false">IF($A125="","",科目参数!$C125)</f>
        <v/>
      </c>
      <c r="D125" s="42" t="str">
        <f aca="false">IF($A125="","",科目参数!$D125)</f>
        <v/>
      </c>
      <c r="E125" s="54" t="str">
        <f aca="false">IF($A125="","",SUMIFS(期初数据!$Z$6:$Z$125,期初数据!$W$6:$W$125,$A125))</f>
        <v/>
      </c>
      <c r="F125" s="54" t="str">
        <f aca="false">IF($A125="","",SUMIFS(期初数据!$AA$6:$AA$125,期初数据!$W$6:$W$125,$A125))</f>
        <v/>
      </c>
      <c r="G125" s="54" t="str">
        <f aca="false">IF($A125="","",SUMIFS(资金流水!$N$5:$N$504,资金流水!$O$5:$O$504,$A125,资金流水!$C$5:$C$504,首页!$B$5)+SUMIFS(销售录入!$X$5:$X$404,销售录入!$V$5:$V$404,$A125,销售录入!$C$5:$C$404,首页!$B$5)+SUMIFS(销售录入!$AA$5:$AA$404,销售录入!$Y$5:$Y$404,$A125,销售录入!$C$5:$C$404,首页!$B$5)+SUMIFS(销售录入!$AD$5:$AD$404,销售录入!$AB$5:$AB$404,$A125,销售录入!$C$5:$C$404,首页!$B$5)+SUMIFS(采购录入!$W$5:$W$404,采购录入!$U$5:$U$404,$A125,采购录入!$C$5:$C$404,首页!$B$5)+SUMIFS(采购录入!$Z$5:$Z$404,采购录入!$X$5:$X$404,$A125,采购录入!$C$5:$C$404,首页!$B$5)+SUMIFS(其他凭证!$H$5:$H$304,其他凭证!$F$5:$F$304,$A125,其他凭证!$C$5:$C$304,首页!$B$5))</f>
        <v/>
      </c>
      <c r="H125" s="54" t="str">
        <f aca="false">IF($A125="","",SUMIFS(资金流水!$N$5:$N$504,资金流水!$P$5:$P$504,$A125,资金流水!$C$5:$C$504,首页!$B$5)+SUMIFS(销售录入!$X$5:$X$404,销售录入!$W$5:$W$404,$A125,销售录入!$C$5:$C$404,首页!$B$5)+SUMIFS(销售录入!$AA$5:$AA$404,销售录入!$Z$5:$Z$404,$A125,销售录入!$C$5:$C$404,首页!$B$5)+SUMIFS(销售录入!$AD$5:$AD$404,销售录入!$AC$5:$AC$404,$A125,销售录入!$C$5:$C$404,首页!$B$5)+SUMIFS(采购录入!$W$5:$W$404,采购录入!$V$5:$V$404,$A125,采购录入!$C$5:$C$404,首页!$B$5)+SUMIFS(采购录入!$Z$5:$Z$404,采购录入!$Y$5:$Y$404,$A125,采购录入!$C$5:$C$404,首页!$B$5)+SUMIFS(其他凭证!$H$5:$H$304,其他凭证!$G$5:$G$304,$A125,其他凭证!$C$5:$C$304,首页!$B$5))</f>
        <v/>
      </c>
      <c r="I125" s="54" t="str">
        <f aca="false">IF($A125="","",SUMIFS(资金流水!$N$5:$N$504,资金流水!$O$5:$O$504,$A125,资金流水!$B$5:$B$504,"&lt;="&amp;首页!$B$7)+SUMIFS(销售录入!$X$5:$X$404,销售录入!$V$5:$V$404,$A125,销售录入!$B$5:$B$404,"&lt;="&amp;首页!$B$7)+SUMIFS(销售录入!$AA$5:$AA$404,销售录入!$Y$5:$Y$404,$A125,销售录入!$B$5:$B$404,"&lt;="&amp;首页!$B$7)+SUMIFS(销售录入!$AD$5:$AD$404,销售录入!$AB$5:$AB$404,$A125,销售录入!$B$5:$B$404,"&lt;="&amp;首页!$B$7)+SUMIFS(采购录入!$W$5:$W$404,采购录入!$U$5:$U$404,$A125,采购录入!$B$5:$B$404,"&lt;="&amp;首页!$B$7)+SUMIFS(采购录入!$Z$5:$Z$404,采购录入!$X$5:$X$404,$A125,采购录入!$B$5:$B$404,"&lt;="&amp;首页!$B$7)+SUMIFS(其他凭证!$H$5:$H$304,其他凭证!$F$5:$F$304,$A125,其他凭证!$B$5:$B$304,"&lt;="&amp;首页!$B$7))</f>
        <v/>
      </c>
      <c r="J125" s="54" t="str">
        <f aca="false">IF($A125="","",SUMIFS(资金流水!$N$5:$N$504,资金流水!$P$5:$P$504,$A125,资金流水!$B$5:$B$504,"&lt;="&amp;首页!$B$7)+SUMIFS(销售录入!$X$5:$X$404,销售录入!$W$5:$W$404,$A125,销售录入!$B$5:$B$404,"&lt;="&amp;首页!$B$7)+SUMIFS(销售录入!$AA$5:$AA$404,销售录入!$Z$5:$Z$404,$A125,销售录入!$B$5:$B$404,"&lt;="&amp;首页!$B$7)+SUMIFS(销售录入!$AD$5:$AD$404,销售录入!$AC$5:$AC$404,$A125,销售录入!$B$5:$B$404,"&lt;="&amp;首页!$B$7)+SUMIFS(采购录入!$W$5:$W$404,采购录入!$V$5:$V$404,$A125,采购录入!$B$5:$B$404,"&lt;="&amp;首页!$B$7)+SUMIFS(采购录入!$Z$5:$Z$404,采购录入!$Y$5:$Y$404,$A125,采购录入!$B$5:$B$404,"&lt;="&amp;首页!$B$7)+SUMIFS(其他凭证!$H$5:$H$304,其他凭证!$G$5:$G$304,$A125,其他凭证!$B$5:$B$304,"&lt;="&amp;首页!$B$7))</f>
        <v/>
      </c>
      <c r="K125" s="44" t="str">
        <f aca="false">IF($A125="","",($E125+$I125)-($F125+$J125))</f>
        <v/>
      </c>
      <c r="L125" s="44" t="str">
        <f aca="false">IF($A125="","",IF($K125&gt;=0,$K125,0))</f>
        <v/>
      </c>
      <c r="M125" s="44" t="str">
        <f aca="false">IF($A125="","",IF($K125&lt;0,-$K125,0))</f>
        <v/>
      </c>
      <c r="N125" s="35" t="str">
        <f aca="false">IF($A125="","",科目参数!$F125)</f>
        <v/>
      </c>
      <c r="O125" s="35" t="str">
        <f aca="false">IF($A125="","",科目参数!$G125)</f>
        <v/>
      </c>
      <c r="P125" s="42" t="str">
        <f aca="false">IF($A125="","",科目参数!$H125)</f>
        <v/>
      </c>
    </row>
    <row r="126" customFormat="false" ht="15" hidden="false" customHeight="false" outlineLevel="0" collapsed="false">
      <c r="A126" s="55" t="s">
        <v>593</v>
      </c>
      <c r="B126" s="55"/>
      <c r="C126" s="55"/>
      <c r="D126" s="55"/>
      <c r="E126" s="39" t="n">
        <f aca="false">SUM(E6:E125)</f>
        <v>571600</v>
      </c>
      <c r="F126" s="39" t="n">
        <f aca="false">SUM(F6:F125)</f>
        <v>571600</v>
      </c>
      <c r="G126" s="39" t="n">
        <f aca="false">SUM(G6:G125)</f>
        <v>213701</v>
      </c>
      <c r="H126" s="39" t="n">
        <f aca="false">SUM(H6:H125)</f>
        <v>213701</v>
      </c>
      <c r="I126" s="39" t="n">
        <f aca="false">SUM(I6:I125)</f>
        <v>213701</v>
      </c>
      <c r="J126" s="39" t="n">
        <f aca="false">SUM(J6:J125)</f>
        <v>213701</v>
      </c>
      <c r="K126" s="39" t="n">
        <f aca="false">SUM(K6:K125)</f>
        <v>0</v>
      </c>
      <c r="L126" s="39" t="n">
        <f aca="false">SUM(L6:L125)</f>
        <v>584536</v>
      </c>
      <c r="M126" s="39" t="n">
        <f aca="false">SUM(M6:M125)</f>
        <v>584536</v>
      </c>
      <c r="N126" s="55"/>
      <c r="O126" s="55"/>
      <c r="P126" s="55"/>
    </row>
  </sheetData>
  <autoFilter ref="A5:P125"/>
  <mergeCells count="3">
    <mergeCell ref="A1:P1"/>
    <mergeCell ref="A2:P2"/>
    <mergeCell ref="I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F12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7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23" t="s">
        <v>594</v>
      </c>
      <c r="B1" s="23"/>
      <c r="C1" s="23"/>
      <c r="D1" s="23"/>
      <c r="E1" s="23"/>
      <c r="F1" s="23"/>
    </row>
    <row r="2" customFormat="false" ht="15" hidden="false" customHeight="true" outlineLevel="0" collapsed="false">
      <c r="A2" s="6" t="s">
        <v>595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3" t="s">
        <v>596</v>
      </c>
      <c r="B3" s="56" t="s">
        <v>178</v>
      </c>
      <c r="C3" s="57" t="str">
        <f aca="false">IFERROR(INDEX(科目参数!$B$6:$B$125,MATCH($B$3,科目参数!$A$6:$A$125,0)),"⚠ 科目不存在")</f>
        <v>应收账款</v>
      </c>
      <c r="D3" s="7" t="s">
        <v>3</v>
      </c>
      <c r="E3" s="55" t="str">
        <f aca="false">首页!$B$5</f>
        <v>2026-01</v>
      </c>
    </row>
    <row r="5" customFormat="false" ht="30" hidden="false" customHeight="true" outlineLevel="0" collapsed="false">
      <c r="A5" s="30" t="s">
        <v>523</v>
      </c>
      <c r="B5" s="30" t="s">
        <v>166</v>
      </c>
      <c r="C5" s="30" t="s">
        <v>597</v>
      </c>
      <c r="D5" s="30" t="s">
        <v>598</v>
      </c>
      <c r="E5" s="30" t="s">
        <v>599</v>
      </c>
      <c r="F5" s="30" t="s">
        <v>168</v>
      </c>
    </row>
    <row r="6" customFormat="false" ht="15.75" hidden="false" customHeight="true" outlineLevel="0" collapsed="false">
      <c r="A6" s="42" t="str">
        <f aca="false">IF(科目参数!$A6="","",科目参数!$A6)</f>
        <v>1001</v>
      </c>
      <c r="B6" s="35" t="str">
        <f aca="false">IF($A6="","",科目参数!$B6)</f>
        <v>库存现金</v>
      </c>
      <c r="C6" s="54" t="n">
        <f aca="false">IF($A6="","",SUMIFS(资金流水!$N$5:$N$504,资金流水!$O$5:$O$504,$B$3,资金流水!$P$5:$P$504,$A6,资金流水!$C$5:$C$504,首页!$B$5)+SUMIFS(销售录入!$X$5:$X$404,销售录入!$V$5:$V$404,$B$3,销售录入!$W$5:$W$404,$A6,销售录入!$C$5:$C$404,首页!$B$5)+SUMIFS(销售录入!$AA$5:$AA$404,销售录入!$Y$5:$Y$404,$B$3,销售录入!$Z$5:$Z$404,$A6,销售录入!$C$5:$C$404,首页!$B$5)+SUMIFS(销售录入!$AD$5:$AD$404,销售录入!$AB$5:$AB$404,$B$3,销售录入!$AC$5:$AC$404,$A6,销售录入!$C$5:$C$404,首页!$B$5)+SUMIFS(采购录入!$W$5:$W$404,采购录入!$U$5:$U$404,$B$3,采购录入!$V$5:$V$404,$A6,采购录入!$C$5:$C$404,首页!$B$5)+SUMIFS(采购录入!$Z$5:$Z$404,采购录入!$X$5:$X$404,$B$3,采购录入!$Y$5:$Y$404,$A6,采购录入!$C$5:$C$404,首页!$B$5)+SUMIFS(其他凭证!$H$5:$H$304,其他凭证!$F$5:$F$304,$B$3,其他凭证!$G$5:$G$304,$A6,其他凭证!$C$5:$C$304,首页!$B$5))</f>
        <v>0</v>
      </c>
      <c r="D6" s="54" t="n">
        <f aca="false">IF($A6="","",SUMIFS(资金流水!$N$5:$N$504,资金流水!$P$5:$P$504,$B$3,资金流水!$O$5:$O$504,$A6,资金流水!$C$5:$C$504,首页!$B$5)+SUMIFS(销售录入!$X$5:$X$404,销售录入!$W$5:$W$404,$B$3,销售录入!$V$5:$V$404,$A6,销售录入!$C$5:$C$404,首页!$B$5)+SUMIFS(销售录入!$AA$5:$AA$404,销售录入!$Z$5:$Z$404,$B$3,销售录入!$Y$5:$Y$404,$A6,销售录入!$C$5:$C$404,首页!$B$5)+SUMIFS(销售录入!$AD$5:$AD$404,销售录入!$AC$5:$AC$404,$B$3,销售录入!$AB$5:$AB$404,$A6,销售录入!$C$5:$C$404,首页!$B$5)+SUMIFS(采购录入!$W$5:$W$404,采购录入!$V$5:$V$404,$B$3,采购录入!$U$5:$U$404,$A6,采购录入!$C$5:$C$404,首页!$B$5)+SUMIFS(采购录入!$Z$5:$Z$404,采购录入!$Y$5:$Y$404,$B$3,采购录入!$X$5:$X$404,$A6,采购录入!$C$5:$C$404,首页!$B$5)+SUMIFS(其他凭证!$H$5:$H$304,其他凭证!$G$5:$G$304,$B$3,其他凭证!$F$5:$F$304,$A6,其他凭证!$C$5:$C$304,首页!$B$5))</f>
        <v>0</v>
      </c>
      <c r="E6" s="44" t="n">
        <f aca="false">IF($A6="","",$C6-$D6)</f>
        <v>0</v>
      </c>
      <c r="F6" s="22" t="str">
        <f aca="false">IF(OR($A6="",AND($C6=0,$D6=0)),"",IF($C6&gt;0,"借 "&amp;$C$3&amp;" / 贷 "&amp;$B6,"")&amp;IF(AND($C6&gt;0,$D6&gt;0)," ；","")&amp;IF($D6&gt;0,"借 "&amp;$B6&amp;" / 贷 "&amp;$C$3,""))</f>
        <v/>
      </c>
    </row>
    <row r="7" customFormat="false" ht="15.75" hidden="false" customHeight="true" outlineLevel="0" collapsed="false">
      <c r="A7" s="42" t="str">
        <f aca="false">IF(科目参数!$A7="","",科目参数!$A7)</f>
        <v>1002</v>
      </c>
      <c r="B7" s="35" t="str">
        <f aca="false">IF($A7="","",科目参数!$B7)</f>
        <v>银行存款</v>
      </c>
      <c r="C7" s="54" t="n">
        <f aca="false">IF($A7="","",SUMIFS(资金流水!$N$5:$N$504,资金流水!$O$5:$O$504,$B$3,资金流水!$P$5:$P$504,$A7,资金流水!$C$5:$C$504,首页!$B$5)+SUMIFS(销售录入!$X$5:$X$404,销售录入!$V$5:$V$404,$B$3,销售录入!$W$5:$W$404,$A7,销售录入!$C$5:$C$404,首页!$B$5)+SUMIFS(销售录入!$AA$5:$AA$404,销售录入!$Y$5:$Y$404,$B$3,销售录入!$Z$5:$Z$404,$A7,销售录入!$C$5:$C$404,首页!$B$5)+SUMIFS(销售录入!$AD$5:$AD$404,销售录入!$AB$5:$AB$404,$B$3,销售录入!$AC$5:$AC$404,$A7,销售录入!$C$5:$C$404,首页!$B$5)+SUMIFS(采购录入!$W$5:$W$404,采购录入!$U$5:$U$404,$B$3,采购录入!$V$5:$V$404,$A7,采购录入!$C$5:$C$404,首页!$B$5)+SUMIFS(采购录入!$Z$5:$Z$404,采购录入!$X$5:$X$404,$B$3,采购录入!$Y$5:$Y$404,$A7,采购录入!$C$5:$C$404,首页!$B$5)+SUMIFS(其他凭证!$H$5:$H$304,其他凭证!$F$5:$F$304,$B$3,其他凭证!$G$5:$G$304,$A7,其他凭证!$C$5:$C$304,首页!$B$5))</f>
        <v>0</v>
      </c>
      <c r="D7" s="54" t="n">
        <f aca="false">IF($A7="","",SUMIFS(资金流水!$N$5:$N$504,资金流水!$P$5:$P$504,$B$3,资金流水!$O$5:$O$504,$A7,资金流水!$C$5:$C$504,首页!$B$5)+SUMIFS(销售录入!$X$5:$X$404,销售录入!$W$5:$W$404,$B$3,销售录入!$V$5:$V$404,$A7,销售录入!$C$5:$C$404,首页!$B$5)+SUMIFS(销售录入!$AA$5:$AA$404,销售录入!$Z$5:$Z$404,$B$3,销售录入!$Y$5:$Y$404,$A7,销售录入!$C$5:$C$404,首页!$B$5)+SUMIFS(销售录入!$AD$5:$AD$404,销售录入!$AC$5:$AC$404,$B$3,销售录入!$AB$5:$AB$404,$A7,销售录入!$C$5:$C$404,首页!$B$5)+SUMIFS(采购录入!$W$5:$W$404,采购录入!$V$5:$V$404,$B$3,采购录入!$U$5:$U$404,$A7,采购录入!$C$5:$C$404,首页!$B$5)+SUMIFS(采购录入!$Z$5:$Z$404,采购录入!$Y$5:$Y$404,$B$3,采购录入!$X$5:$X$404,$A7,采购录入!$C$5:$C$404,首页!$B$5)+SUMIFS(其他凭证!$H$5:$H$304,其他凭证!$G$5:$G$304,$B$3,其他凭证!$F$5:$F$304,$A7,其他凭证!$C$5:$C$304,首页!$B$5))</f>
        <v>50000</v>
      </c>
      <c r="E7" s="44" t="n">
        <f aca="false">IF($A7="","",$C7-$D7)</f>
        <v>-50000</v>
      </c>
      <c r="F7" s="22" t="str">
        <f aca="false">IF(OR($A7="",AND($C7=0,$D7=0)),"",IF($C7&gt;0,"借 "&amp;$C$3&amp;" / 贷 "&amp;$B7,"")&amp;IF(AND($C7&gt;0,$D7&gt;0)," ；","")&amp;IF($D7&gt;0,"借 "&amp;$B7&amp;" / 贷 "&amp;$C$3,""))</f>
        <v>借 银行存款 / 贷 应收账款</v>
      </c>
    </row>
    <row r="8" customFormat="false" ht="15.75" hidden="false" customHeight="true" outlineLevel="0" collapsed="false">
      <c r="A8" s="42" t="str">
        <f aca="false">IF(科目参数!$A8="","",科目参数!$A8)</f>
        <v>1012</v>
      </c>
      <c r="B8" s="35" t="str">
        <f aca="false">IF($A8="","",科目参数!$B8)</f>
        <v>其他货币资金</v>
      </c>
      <c r="C8" s="54" t="n">
        <f aca="false">IF($A8="","",SUMIFS(资金流水!$N$5:$N$504,资金流水!$O$5:$O$504,$B$3,资金流水!$P$5:$P$504,$A8,资金流水!$C$5:$C$504,首页!$B$5)+SUMIFS(销售录入!$X$5:$X$404,销售录入!$V$5:$V$404,$B$3,销售录入!$W$5:$W$404,$A8,销售录入!$C$5:$C$404,首页!$B$5)+SUMIFS(销售录入!$AA$5:$AA$404,销售录入!$Y$5:$Y$404,$B$3,销售录入!$Z$5:$Z$404,$A8,销售录入!$C$5:$C$404,首页!$B$5)+SUMIFS(销售录入!$AD$5:$AD$404,销售录入!$AB$5:$AB$404,$B$3,销售录入!$AC$5:$AC$404,$A8,销售录入!$C$5:$C$404,首页!$B$5)+SUMIFS(采购录入!$W$5:$W$404,采购录入!$U$5:$U$404,$B$3,采购录入!$V$5:$V$404,$A8,采购录入!$C$5:$C$404,首页!$B$5)+SUMIFS(采购录入!$Z$5:$Z$404,采购录入!$X$5:$X$404,$B$3,采购录入!$Y$5:$Y$404,$A8,采购录入!$C$5:$C$404,首页!$B$5)+SUMIFS(其他凭证!$H$5:$H$304,其他凭证!$F$5:$F$304,$B$3,其他凭证!$G$5:$G$304,$A8,其他凭证!$C$5:$C$304,首页!$B$5))</f>
        <v>0</v>
      </c>
      <c r="D8" s="54" t="n">
        <f aca="false">IF($A8="","",SUMIFS(资金流水!$N$5:$N$504,资金流水!$P$5:$P$504,$B$3,资金流水!$O$5:$O$504,$A8,资金流水!$C$5:$C$504,首页!$B$5)+SUMIFS(销售录入!$X$5:$X$404,销售录入!$W$5:$W$404,$B$3,销售录入!$V$5:$V$404,$A8,销售录入!$C$5:$C$404,首页!$B$5)+SUMIFS(销售录入!$AA$5:$AA$404,销售录入!$Z$5:$Z$404,$B$3,销售录入!$Y$5:$Y$404,$A8,销售录入!$C$5:$C$404,首页!$B$5)+SUMIFS(销售录入!$AD$5:$AD$404,销售录入!$AC$5:$AC$404,$B$3,销售录入!$AB$5:$AB$404,$A8,销售录入!$C$5:$C$404,首页!$B$5)+SUMIFS(采购录入!$W$5:$W$404,采购录入!$V$5:$V$404,$B$3,采购录入!$U$5:$U$404,$A8,采购录入!$C$5:$C$404,首页!$B$5)+SUMIFS(采购录入!$Z$5:$Z$404,采购录入!$Y$5:$Y$404,$B$3,采购录入!$X$5:$X$404,$A8,采购录入!$C$5:$C$404,首页!$B$5)+SUMIFS(其他凭证!$H$5:$H$304,其他凭证!$G$5:$G$304,$B$3,其他凭证!$F$5:$F$304,$A8,其他凭证!$C$5:$C$304,首页!$B$5))</f>
        <v>11000</v>
      </c>
      <c r="E8" s="44" t="n">
        <f aca="false">IF($A8="","",$C8-$D8)</f>
        <v>-11000</v>
      </c>
      <c r="F8" s="22" t="str">
        <f aca="false">IF(OR($A8="",AND($C8=0,$D8=0)),"",IF($C8&gt;0,"借 "&amp;$C$3&amp;" / 贷 "&amp;$B8,"")&amp;IF(AND($C8&gt;0,$D8&gt;0)," ；","")&amp;IF($D8&gt;0,"借 "&amp;$B8&amp;" / 贷 "&amp;$C$3,""))</f>
        <v>借 其他货币资金 / 贷 应收账款</v>
      </c>
    </row>
    <row r="9" customFormat="false" ht="15.75" hidden="false" customHeight="true" outlineLevel="0" collapsed="false">
      <c r="A9" s="42" t="str">
        <f aca="false">IF(科目参数!$A9="","",科目参数!$A9)</f>
        <v>1101</v>
      </c>
      <c r="B9" s="35" t="str">
        <f aca="false">IF($A9="","",科目参数!$B9)</f>
        <v>交易性金融资产</v>
      </c>
      <c r="C9" s="54" t="n">
        <f aca="false">IF($A9="","",SUMIFS(资金流水!$N$5:$N$504,资金流水!$O$5:$O$504,$B$3,资金流水!$P$5:$P$504,$A9,资金流水!$C$5:$C$504,首页!$B$5)+SUMIFS(销售录入!$X$5:$X$404,销售录入!$V$5:$V$404,$B$3,销售录入!$W$5:$W$404,$A9,销售录入!$C$5:$C$404,首页!$B$5)+SUMIFS(销售录入!$AA$5:$AA$404,销售录入!$Y$5:$Y$404,$B$3,销售录入!$Z$5:$Z$404,$A9,销售录入!$C$5:$C$404,首页!$B$5)+SUMIFS(销售录入!$AD$5:$AD$404,销售录入!$AB$5:$AB$404,$B$3,销售录入!$AC$5:$AC$404,$A9,销售录入!$C$5:$C$404,首页!$B$5)+SUMIFS(采购录入!$W$5:$W$404,采购录入!$U$5:$U$404,$B$3,采购录入!$V$5:$V$404,$A9,采购录入!$C$5:$C$404,首页!$B$5)+SUMIFS(采购录入!$Z$5:$Z$404,采购录入!$X$5:$X$404,$B$3,采购录入!$Y$5:$Y$404,$A9,采购录入!$C$5:$C$404,首页!$B$5)+SUMIFS(其他凭证!$H$5:$H$304,其他凭证!$F$5:$F$304,$B$3,其他凭证!$G$5:$G$304,$A9,其他凭证!$C$5:$C$304,首页!$B$5))</f>
        <v>0</v>
      </c>
      <c r="D9" s="54" t="n">
        <f aca="false">IF($A9="","",SUMIFS(资金流水!$N$5:$N$504,资金流水!$P$5:$P$504,$B$3,资金流水!$O$5:$O$504,$A9,资金流水!$C$5:$C$504,首页!$B$5)+SUMIFS(销售录入!$X$5:$X$404,销售录入!$W$5:$W$404,$B$3,销售录入!$V$5:$V$404,$A9,销售录入!$C$5:$C$404,首页!$B$5)+SUMIFS(销售录入!$AA$5:$AA$404,销售录入!$Z$5:$Z$404,$B$3,销售录入!$Y$5:$Y$404,$A9,销售录入!$C$5:$C$404,首页!$B$5)+SUMIFS(销售录入!$AD$5:$AD$404,销售录入!$AC$5:$AC$404,$B$3,销售录入!$AB$5:$AB$404,$A9,销售录入!$C$5:$C$404,首页!$B$5)+SUMIFS(采购录入!$W$5:$W$404,采购录入!$V$5:$V$404,$B$3,采购录入!$U$5:$U$404,$A9,采购录入!$C$5:$C$404,首页!$B$5)+SUMIFS(采购录入!$Z$5:$Z$404,采购录入!$Y$5:$Y$404,$B$3,采购录入!$X$5:$X$404,$A9,采购录入!$C$5:$C$404,首页!$B$5)+SUMIFS(其他凭证!$H$5:$H$304,其他凭证!$G$5:$G$304,$B$3,其他凭证!$F$5:$F$304,$A9,其他凭证!$C$5:$C$304,首页!$B$5))</f>
        <v>0</v>
      </c>
      <c r="E9" s="44" t="n">
        <f aca="false">IF($A9="","",$C9-$D9)</f>
        <v>0</v>
      </c>
      <c r="F9" s="22" t="str">
        <f aca="false">IF(OR($A9="",AND($C9=0,$D9=0)),"",IF($C9&gt;0,"借 "&amp;$C$3&amp;" / 贷 "&amp;$B9,"")&amp;IF(AND($C9&gt;0,$D9&gt;0)," ；","")&amp;IF($D9&gt;0,"借 "&amp;$B9&amp;" / 贷 "&amp;$C$3,""))</f>
        <v/>
      </c>
    </row>
    <row r="10" customFormat="false" ht="15.75" hidden="false" customHeight="true" outlineLevel="0" collapsed="false">
      <c r="A10" s="42" t="str">
        <f aca="false">IF(科目参数!$A10="","",科目参数!$A10)</f>
        <v>1121</v>
      </c>
      <c r="B10" s="35" t="str">
        <f aca="false">IF($A10="","",科目参数!$B10)</f>
        <v>应收票据</v>
      </c>
      <c r="C10" s="54" t="n">
        <f aca="false">IF($A10="","",SUMIFS(资金流水!$N$5:$N$504,资金流水!$O$5:$O$504,$B$3,资金流水!$P$5:$P$504,$A10,资金流水!$C$5:$C$504,首页!$B$5)+SUMIFS(销售录入!$X$5:$X$404,销售录入!$V$5:$V$404,$B$3,销售录入!$W$5:$W$404,$A10,销售录入!$C$5:$C$404,首页!$B$5)+SUMIFS(销售录入!$AA$5:$AA$404,销售录入!$Y$5:$Y$404,$B$3,销售录入!$Z$5:$Z$404,$A10,销售录入!$C$5:$C$404,首页!$B$5)+SUMIFS(销售录入!$AD$5:$AD$404,销售录入!$AB$5:$AB$404,$B$3,销售录入!$AC$5:$AC$404,$A10,销售录入!$C$5:$C$404,首页!$B$5)+SUMIFS(采购录入!$W$5:$W$404,采购录入!$U$5:$U$404,$B$3,采购录入!$V$5:$V$404,$A10,采购录入!$C$5:$C$404,首页!$B$5)+SUMIFS(采购录入!$Z$5:$Z$404,采购录入!$X$5:$X$404,$B$3,采购录入!$Y$5:$Y$404,$A10,采购录入!$C$5:$C$404,首页!$B$5)+SUMIFS(其他凭证!$H$5:$H$304,其他凭证!$F$5:$F$304,$B$3,其他凭证!$G$5:$G$304,$A10,其他凭证!$C$5:$C$304,首页!$B$5))</f>
        <v>0</v>
      </c>
      <c r="D10" s="54" t="n">
        <f aca="false">IF($A10="","",SUMIFS(资金流水!$N$5:$N$504,资金流水!$P$5:$P$504,$B$3,资金流水!$O$5:$O$504,$A10,资金流水!$C$5:$C$504,首页!$B$5)+SUMIFS(销售录入!$X$5:$X$404,销售录入!$W$5:$W$404,$B$3,销售录入!$V$5:$V$404,$A10,销售录入!$C$5:$C$404,首页!$B$5)+SUMIFS(销售录入!$AA$5:$AA$404,销售录入!$Z$5:$Z$404,$B$3,销售录入!$Y$5:$Y$404,$A10,销售录入!$C$5:$C$404,首页!$B$5)+SUMIFS(销售录入!$AD$5:$AD$404,销售录入!$AC$5:$AC$404,$B$3,销售录入!$AB$5:$AB$404,$A10,销售录入!$C$5:$C$404,首页!$B$5)+SUMIFS(采购录入!$W$5:$W$404,采购录入!$V$5:$V$404,$B$3,采购录入!$U$5:$U$404,$A10,采购录入!$C$5:$C$404,首页!$B$5)+SUMIFS(采购录入!$Z$5:$Z$404,采购录入!$Y$5:$Y$404,$B$3,采购录入!$X$5:$X$404,$A10,采购录入!$C$5:$C$404,首页!$B$5)+SUMIFS(其他凭证!$H$5:$H$304,其他凭证!$G$5:$G$304,$B$3,其他凭证!$F$5:$F$304,$A10,其他凭证!$C$5:$C$304,首页!$B$5))</f>
        <v>0</v>
      </c>
      <c r="E10" s="44" t="n">
        <f aca="false">IF($A10="","",$C10-$D10)</f>
        <v>0</v>
      </c>
      <c r="F10" s="22" t="str">
        <f aca="false">IF(OR($A10="",AND($C10=0,$D10=0)),"",IF($C10&gt;0,"借 "&amp;$C$3&amp;" / 贷 "&amp;$B10,"")&amp;IF(AND($C10&gt;0,$D10&gt;0)," ；","")&amp;IF($D10&gt;0,"借 "&amp;$B10&amp;" / 贷 "&amp;$C$3,""))</f>
        <v/>
      </c>
    </row>
    <row r="11" customFormat="false" ht="15.75" hidden="false" customHeight="true" outlineLevel="0" collapsed="false">
      <c r="A11" s="42" t="str">
        <f aca="false">IF(科目参数!$A11="","",科目参数!$A11)</f>
        <v>1122</v>
      </c>
      <c r="B11" s="35" t="str">
        <f aca="false">IF($A11="","",科目参数!$B11)</f>
        <v>应收账款</v>
      </c>
      <c r="C11" s="54" t="n">
        <f aca="false">IF($A11="","",SUMIFS(资金流水!$N$5:$N$504,资金流水!$O$5:$O$504,$B$3,资金流水!$P$5:$P$504,$A11,资金流水!$C$5:$C$504,首页!$B$5)+SUMIFS(销售录入!$X$5:$X$404,销售录入!$V$5:$V$404,$B$3,销售录入!$W$5:$W$404,$A11,销售录入!$C$5:$C$404,首页!$B$5)+SUMIFS(销售录入!$AA$5:$AA$404,销售录入!$Y$5:$Y$404,$B$3,销售录入!$Z$5:$Z$404,$A11,销售录入!$C$5:$C$404,首页!$B$5)+SUMIFS(销售录入!$AD$5:$AD$404,销售录入!$AB$5:$AB$404,$B$3,销售录入!$AC$5:$AC$404,$A11,销售录入!$C$5:$C$404,首页!$B$5)+SUMIFS(采购录入!$W$5:$W$404,采购录入!$U$5:$U$404,$B$3,采购录入!$V$5:$V$404,$A11,采购录入!$C$5:$C$404,首页!$B$5)+SUMIFS(采购录入!$Z$5:$Z$404,采购录入!$X$5:$X$404,$B$3,采购录入!$Y$5:$Y$404,$A11,采购录入!$C$5:$C$404,首页!$B$5)+SUMIFS(其他凭证!$H$5:$H$304,其他凭证!$F$5:$F$304,$B$3,其他凭证!$G$5:$G$304,$A11,其他凭证!$C$5:$C$304,首页!$B$5))</f>
        <v>0</v>
      </c>
      <c r="D11" s="54" t="n">
        <f aca="false">IF($A11="","",SUMIFS(资金流水!$N$5:$N$504,资金流水!$P$5:$P$504,$B$3,资金流水!$O$5:$O$504,$A11,资金流水!$C$5:$C$504,首页!$B$5)+SUMIFS(销售录入!$X$5:$X$404,销售录入!$W$5:$W$404,$B$3,销售录入!$V$5:$V$404,$A11,销售录入!$C$5:$C$404,首页!$B$5)+SUMIFS(销售录入!$AA$5:$AA$404,销售录入!$Z$5:$Z$404,$B$3,销售录入!$Y$5:$Y$404,$A11,销售录入!$C$5:$C$404,首页!$B$5)+SUMIFS(销售录入!$AD$5:$AD$404,销售录入!$AC$5:$AC$404,$B$3,销售录入!$AB$5:$AB$404,$A11,销售录入!$C$5:$C$404,首页!$B$5)+SUMIFS(采购录入!$W$5:$W$404,采购录入!$V$5:$V$404,$B$3,采购录入!$U$5:$U$404,$A11,采购录入!$C$5:$C$404,首页!$B$5)+SUMIFS(采购录入!$Z$5:$Z$404,采购录入!$Y$5:$Y$404,$B$3,采购录入!$X$5:$X$404,$A11,采购录入!$C$5:$C$404,首页!$B$5)+SUMIFS(其他凭证!$H$5:$H$304,其他凭证!$G$5:$G$304,$B$3,其他凭证!$F$5:$F$304,$A11,其他凭证!$C$5:$C$304,首页!$B$5))</f>
        <v>0</v>
      </c>
      <c r="E11" s="44" t="n">
        <f aca="false">IF($A11="","",$C11-$D11)</f>
        <v>0</v>
      </c>
      <c r="F11" s="22" t="str">
        <f aca="false">IF(OR($A11="",AND($C11=0,$D11=0)),"",IF($C11&gt;0,"借 "&amp;$C$3&amp;" / 贷 "&amp;$B11,"")&amp;IF(AND($C11&gt;0,$D11&gt;0)," ；","")&amp;IF($D11&gt;0,"借 "&amp;$B11&amp;" / 贷 "&amp;$C$3,""))</f>
        <v/>
      </c>
    </row>
    <row r="12" customFormat="false" ht="15.75" hidden="false" customHeight="true" outlineLevel="0" collapsed="false">
      <c r="A12" s="42" t="str">
        <f aca="false">IF(科目参数!$A12="","",科目参数!$A12)</f>
        <v>1123</v>
      </c>
      <c r="B12" s="35" t="str">
        <f aca="false">IF($A12="","",科目参数!$B12)</f>
        <v>预付账款</v>
      </c>
      <c r="C12" s="54" t="n">
        <f aca="false">IF($A12="","",SUMIFS(资金流水!$N$5:$N$504,资金流水!$O$5:$O$504,$B$3,资金流水!$P$5:$P$504,$A12,资金流水!$C$5:$C$504,首页!$B$5)+SUMIFS(销售录入!$X$5:$X$404,销售录入!$V$5:$V$404,$B$3,销售录入!$W$5:$W$404,$A12,销售录入!$C$5:$C$404,首页!$B$5)+SUMIFS(销售录入!$AA$5:$AA$404,销售录入!$Y$5:$Y$404,$B$3,销售录入!$Z$5:$Z$404,$A12,销售录入!$C$5:$C$404,首页!$B$5)+SUMIFS(销售录入!$AD$5:$AD$404,销售录入!$AB$5:$AB$404,$B$3,销售录入!$AC$5:$AC$404,$A12,销售录入!$C$5:$C$404,首页!$B$5)+SUMIFS(采购录入!$W$5:$W$404,采购录入!$U$5:$U$404,$B$3,采购录入!$V$5:$V$404,$A12,采购录入!$C$5:$C$404,首页!$B$5)+SUMIFS(采购录入!$Z$5:$Z$404,采购录入!$X$5:$X$404,$B$3,采购录入!$Y$5:$Y$404,$A12,采购录入!$C$5:$C$404,首页!$B$5)+SUMIFS(其他凭证!$H$5:$H$304,其他凭证!$F$5:$F$304,$B$3,其他凭证!$G$5:$G$304,$A12,其他凭证!$C$5:$C$304,首页!$B$5))</f>
        <v>0</v>
      </c>
      <c r="D12" s="54" t="n">
        <f aca="false">IF($A12="","",SUMIFS(资金流水!$N$5:$N$504,资金流水!$P$5:$P$504,$B$3,资金流水!$O$5:$O$504,$A12,资金流水!$C$5:$C$504,首页!$B$5)+SUMIFS(销售录入!$X$5:$X$404,销售录入!$W$5:$W$404,$B$3,销售录入!$V$5:$V$404,$A12,销售录入!$C$5:$C$404,首页!$B$5)+SUMIFS(销售录入!$AA$5:$AA$404,销售录入!$Z$5:$Z$404,$B$3,销售录入!$Y$5:$Y$404,$A12,销售录入!$C$5:$C$404,首页!$B$5)+SUMIFS(销售录入!$AD$5:$AD$404,销售录入!$AC$5:$AC$404,$B$3,销售录入!$AB$5:$AB$404,$A12,销售录入!$C$5:$C$404,首页!$B$5)+SUMIFS(采购录入!$W$5:$W$404,采购录入!$V$5:$V$404,$B$3,采购录入!$U$5:$U$404,$A12,采购录入!$C$5:$C$404,首页!$B$5)+SUMIFS(采购录入!$Z$5:$Z$404,采购录入!$Y$5:$Y$404,$B$3,采购录入!$X$5:$X$404,$A12,采购录入!$C$5:$C$404,首页!$B$5)+SUMIFS(其他凭证!$H$5:$H$304,其他凭证!$G$5:$G$304,$B$3,其他凭证!$F$5:$F$304,$A12,其他凭证!$C$5:$C$304,首页!$B$5))</f>
        <v>0</v>
      </c>
      <c r="E12" s="44" t="n">
        <f aca="false">IF($A12="","",$C12-$D12)</f>
        <v>0</v>
      </c>
      <c r="F12" s="22" t="str">
        <f aca="false">IF(OR($A12="",AND($C12=0,$D12=0)),"",IF($C12&gt;0,"借 "&amp;$C$3&amp;" / 贷 "&amp;$B12,"")&amp;IF(AND($C12&gt;0,$D12&gt;0)," ；","")&amp;IF($D12&gt;0,"借 "&amp;$B12&amp;" / 贷 "&amp;$C$3,""))</f>
        <v/>
      </c>
    </row>
    <row r="13" customFormat="false" ht="15.75" hidden="false" customHeight="true" outlineLevel="0" collapsed="false">
      <c r="A13" s="42" t="str">
        <f aca="false">IF(科目参数!$A13="","",科目参数!$A13)</f>
        <v>1131</v>
      </c>
      <c r="B13" s="35" t="str">
        <f aca="false">IF($A13="","",科目参数!$B13)</f>
        <v>应收股利</v>
      </c>
      <c r="C13" s="54" t="n">
        <f aca="false">IF($A13="","",SUMIFS(资金流水!$N$5:$N$504,资金流水!$O$5:$O$504,$B$3,资金流水!$P$5:$P$504,$A13,资金流水!$C$5:$C$504,首页!$B$5)+SUMIFS(销售录入!$X$5:$X$404,销售录入!$V$5:$V$404,$B$3,销售录入!$W$5:$W$404,$A13,销售录入!$C$5:$C$404,首页!$B$5)+SUMIFS(销售录入!$AA$5:$AA$404,销售录入!$Y$5:$Y$404,$B$3,销售录入!$Z$5:$Z$404,$A13,销售录入!$C$5:$C$404,首页!$B$5)+SUMIFS(销售录入!$AD$5:$AD$404,销售录入!$AB$5:$AB$404,$B$3,销售录入!$AC$5:$AC$404,$A13,销售录入!$C$5:$C$404,首页!$B$5)+SUMIFS(采购录入!$W$5:$W$404,采购录入!$U$5:$U$404,$B$3,采购录入!$V$5:$V$404,$A13,采购录入!$C$5:$C$404,首页!$B$5)+SUMIFS(采购录入!$Z$5:$Z$404,采购录入!$X$5:$X$404,$B$3,采购录入!$Y$5:$Y$404,$A13,采购录入!$C$5:$C$404,首页!$B$5)+SUMIFS(其他凭证!$H$5:$H$304,其他凭证!$F$5:$F$304,$B$3,其他凭证!$G$5:$G$304,$A13,其他凭证!$C$5:$C$304,首页!$B$5))</f>
        <v>0</v>
      </c>
      <c r="D13" s="54" t="n">
        <f aca="false">IF($A13="","",SUMIFS(资金流水!$N$5:$N$504,资金流水!$P$5:$P$504,$B$3,资金流水!$O$5:$O$504,$A13,资金流水!$C$5:$C$504,首页!$B$5)+SUMIFS(销售录入!$X$5:$X$404,销售录入!$W$5:$W$404,$B$3,销售录入!$V$5:$V$404,$A13,销售录入!$C$5:$C$404,首页!$B$5)+SUMIFS(销售录入!$AA$5:$AA$404,销售录入!$Z$5:$Z$404,$B$3,销售录入!$Y$5:$Y$404,$A13,销售录入!$C$5:$C$404,首页!$B$5)+SUMIFS(销售录入!$AD$5:$AD$404,销售录入!$AC$5:$AC$404,$B$3,销售录入!$AB$5:$AB$404,$A13,销售录入!$C$5:$C$404,首页!$B$5)+SUMIFS(采购录入!$W$5:$W$404,采购录入!$V$5:$V$404,$B$3,采购录入!$U$5:$U$404,$A13,采购录入!$C$5:$C$404,首页!$B$5)+SUMIFS(采购录入!$Z$5:$Z$404,采购录入!$Y$5:$Y$404,$B$3,采购录入!$X$5:$X$404,$A13,采购录入!$C$5:$C$404,首页!$B$5)+SUMIFS(其他凭证!$H$5:$H$304,其他凭证!$G$5:$G$304,$B$3,其他凭证!$F$5:$F$304,$A13,其他凭证!$C$5:$C$304,首页!$B$5))</f>
        <v>0</v>
      </c>
      <c r="E13" s="44" t="n">
        <f aca="false">IF($A13="","",$C13-$D13)</f>
        <v>0</v>
      </c>
      <c r="F13" s="22" t="str">
        <f aca="false">IF(OR($A13="",AND($C13=0,$D13=0)),"",IF($C13&gt;0,"借 "&amp;$C$3&amp;" / 贷 "&amp;$B13,"")&amp;IF(AND($C13&gt;0,$D13&gt;0)," ；","")&amp;IF($D13&gt;0,"借 "&amp;$B13&amp;" / 贷 "&amp;$C$3,""))</f>
        <v/>
      </c>
    </row>
    <row r="14" customFormat="false" ht="15.75" hidden="false" customHeight="true" outlineLevel="0" collapsed="false">
      <c r="A14" s="42" t="str">
        <f aca="false">IF(科目参数!$A14="","",科目参数!$A14)</f>
        <v>1132</v>
      </c>
      <c r="B14" s="35" t="str">
        <f aca="false">IF($A14="","",科目参数!$B14)</f>
        <v>应收利息</v>
      </c>
      <c r="C14" s="54" t="n">
        <f aca="false">IF($A14="","",SUMIFS(资金流水!$N$5:$N$504,资金流水!$O$5:$O$504,$B$3,资金流水!$P$5:$P$504,$A14,资金流水!$C$5:$C$504,首页!$B$5)+SUMIFS(销售录入!$X$5:$X$404,销售录入!$V$5:$V$404,$B$3,销售录入!$W$5:$W$404,$A14,销售录入!$C$5:$C$404,首页!$B$5)+SUMIFS(销售录入!$AA$5:$AA$404,销售录入!$Y$5:$Y$404,$B$3,销售录入!$Z$5:$Z$404,$A14,销售录入!$C$5:$C$404,首页!$B$5)+SUMIFS(销售录入!$AD$5:$AD$404,销售录入!$AB$5:$AB$404,$B$3,销售录入!$AC$5:$AC$404,$A14,销售录入!$C$5:$C$404,首页!$B$5)+SUMIFS(采购录入!$W$5:$W$404,采购录入!$U$5:$U$404,$B$3,采购录入!$V$5:$V$404,$A14,采购录入!$C$5:$C$404,首页!$B$5)+SUMIFS(采购录入!$Z$5:$Z$404,采购录入!$X$5:$X$404,$B$3,采购录入!$Y$5:$Y$404,$A14,采购录入!$C$5:$C$404,首页!$B$5)+SUMIFS(其他凭证!$H$5:$H$304,其他凭证!$F$5:$F$304,$B$3,其他凭证!$G$5:$G$304,$A14,其他凭证!$C$5:$C$304,首页!$B$5))</f>
        <v>0</v>
      </c>
      <c r="D14" s="54" t="n">
        <f aca="false">IF($A14="","",SUMIFS(资金流水!$N$5:$N$504,资金流水!$P$5:$P$504,$B$3,资金流水!$O$5:$O$504,$A14,资金流水!$C$5:$C$504,首页!$B$5)+SUMIFS(销售录入!$X$5:$X$404,销售录入!$W$5:$W$404,$B$3,销售录入!$V$5:$V$404,$A14,销售录入!$C$5:$C$404,首页!$B$5)+SUMIFS(销售录入!$AA$5:$AA$404,销售录入!$Z$5:$Z$404,$B$3,销售录入!$Y$5:$Y$404,$A14,销售录入!$C$5:$C$404,首页!$B$5)+SUMIFS(销售录入!$AD$5:$AD$404,销售录入!$AC$5:$AC$404,$B$3,销售录入!$AB$5:$AB$404,$A14,销售录入!$C$5:$C$404,首页!$B$5)+SUMIFS(采购录入!$W$5:$W$404,采购录入!$V$5:$V$404,$B$3,采购录入!$U$5:$U$404,$A14,采购录入!$C$5:$C$404,首页!$B$5)+SUMIFS(采购录入!$Z$5:$Z$404,采购录入!$Y$5:$Y$404,$B$3,采购录入!$X$5:$X$404,$A14,采购录入!$C$5:$C$404,首页!$B$5)+SUMIFS(其他凭证!$H$5:$H$304,其他凭证!$G$5:$G$304,$B$3,其他凭证!$F$5:$F$304,$A14,其他凭证!$C$5:$C$304,首页!$B$5))</f>
        <v>0</v>
      </c>
      <c r="E14" s="44" t="n">
        <f aca="false">IF($A14="","",$C14-$D14)</f>
        <v>0</v>
      </c>
      <c r="F14" s="22" t="str">
        <f aca="false">IF(OR($A14="",AND($C14=0,$D14=0)),"",IF($C14&gt;0,"借 "&amp;$C$3&amp;" / 贷 "&amp;$B14,"")&amp;IF(AND($C14&gt;0,$D14&gt;0)," ；","")&amp;IF($D14&gt;0,"借 "&amp;$B14&amp;" / 贷 "&amp;$C$3,""))</f>
        <v/>
      </c>
    </row>
    <row r="15" customFormat="false" ht="15.75" hidden="false" customHeight="true" outlineLevel="0" collapsed="false">
      <c r="A15" s="42" t="str">
        <f aca="false">IF(科目参数!$A15="","",科目参数!$A15)</f>
        <v>1221</v>
      </c>
      <c r="B15" s="35" t="str">
        <f aca="false">IF($A15="","",科目参数!$B15)</f>
        <v>其他应收款</v>
      </c>
      <c r="C15" s="54" t="n">
        <f aca="false">IF($A15="","",SUMIFS(资金流水!$N$5:$N$504,资金流水!$O$5:$O$504,$B$3,资金流水!$P$5:$P$504,$A15,资金流水!$C$5:$C$504,首页!$B$5)+SUMIFS(销售录入!$X$5:$X$404,销售录入!$V$5:$V$404,$B$3,销售录入!$W$5:$W$404,$A15,销售录入!$C$5:$C$404,首页!$B$5)+SUMIFS(销售录入!$AA$5:$AA$404,销售录入!$Y$5:$Y$404,$B$3,销售录入!$Z$5:$Z$404,$A15,销售录入!$C$5:$C$404,首页!$B$5)+SUMIFS(销售录入!$AD$5:$AD$404,销售录入!$AB$5:$AB$404,$B$3,销售录入!$AC$5:$AC$404,$A15,销售录入!$C$5:$C$404,首页!$B$5)+SUMIFS(采购录入!$W$5:$W$404,采购录入!$U$5:$U$404,$B$3,采购录入!$V$5:$V$404,$A15,采购录入!$C$5:$C$404,首页!$B$5)+SUMIFS(采购录入!$Z$5:$Z$404,采购录入!$X$5:$X$404,$B$3,采购录入!$Y$5:$Y$404,$A15,采购录入!$C$5:$C$404,首页!$B$5)+SUMIFS(其他凭证!$H$5:$H$304,其他凭证!$F$5:$F$304,$B$3,其他凭证!$G$5:$G$304,$A15,其他凭证!$C$5:$C$304,首页!$B$5))</f>
        <v>0</v>
      </c>
      <c r="D15" s="54" t="n">
        <f aca="false">IF($A15="","",SUMIFS(资金流水!$N$5:$N$504,资金流水!$P$5:$P$504,$B$3,资金流水!$O$5:$O$504,$A15,资金流水!$C$5:$C$504,首页!$B$5)+SUMIFS(销售录入!$X$5:$X$404,销售录入!$W$5:$W$404,$B$3,销售录入!$V$5:$V$404,$A15,销售录入!$C$5:$C$404,首页!$B$5)+SUMIFS(销售录入!$AA$5:$AA$404,销售录入!$Z$5:$Z$404,$B$3,销售录入!$Y$5:$Y$404,$A15,销售录入!$C$5:$C$404,首页!$B$5)+SUMIFS(销售录入!$AD$5:$AD$404,销售录入!$AC$5:$AC$404,$B$3,销售录入!$AB$5:$AB$404,$A15,销售录入!$C$5:$C$404,首页!$B$5)+SUMIFS(采购录入!$W$5:$W$404,采购录入!$V$5:$V$404,$B$3,采购录入!$U$5:$U$404,$A15,采购录入!$C$5:$C$404,首页!$B$5)+SUMIFS(采购录入!$Z$5:$Z$404,采购录入!$Y$5:$Y$404,$B$3,采购录入!$X$5:$X$404,$A15,采购录入!$C$5:$C$404,首页!$B$5)+SUMIFS(其他凭证!$H$5:$H$304,其他凭证!$G$5:$G$304,$B$3,其他凭证!$F$5:$F$304,$A15,其他凭证!$C$5:$C$304,首页!$B$5))</f>
        <v>0</v>
      </c>
      <c r="E15" s="44" t="n">
        <f aca="false">IF($A15="","",$C15-$D15)</f>
        <v>0</v>
      </c>
      <c r="F15" s="22" t="str">
        <f aca="false">IF(OR($A15="",AND($C15=0,$D15=0)),"",IF($C15&gt;0,"借 "&amp;$C$3&amp;" / 贷 "&amp;$B15,"")&amp;IF(AND($C15&gt;0,$D15&gt;0)," ；","")&amp;IF($D15&gt;0,"借 "&amp;$B15&amp;" / 贷 "&amp;$C$3,""))</f>
        <v/>
      </c>
    </row>
    <row r="16" customFormat="false" ht="15.75" hidden="false" customHeight="true" outlineLevel="0" collapsed="false">
      <c r="A16" s="42" t="str">
        <f aca="false">IF(科目参数!$A16="","",科目参数!$A16)</f>
        <v>1231</v>
      </c>
      <c r="B16" s="35" t="str">
        <f aca="false">IF($A16="","",科目参数!$B16)</f>
        <v>坏账准备</v>
      </c>
      <c r="C16" s="54" t="n">
        <f aca="false">IF($A16="","",SUMIFS(资金流水!$N$5:$N$504,资金流水!$O$5:$O$504,$B$3,资金流水!$P$5:$P$504,$A16,资金流水!$C$5:$C$504,首页!$B$5)+SUMIFS(销售录入!$X$5:$X$404,销售录入!$V$5:$V$404,$B$3,销售录入!$W$5:$W$404,$A16,销售录入!$C$5:$C$404,首页!$B$5)+SUMIFS(销售录入!$AA$5:$AA$404,销售录入!$Y$5:$Y$404,$B$3,销售录入!$Z$5:$Z$404,$A16,销售录入!$C$5:$C$404,首页!$B$5)+SUMIFS(销售录入!$AD$5:$AD$404,销售录入!$AB$5:$AB$404,$B$3,销售录入!$AC$5:$AC$404,$A16,销售录入!$C$5:$C$404,首页!$B$5)+SUMIFS(采购录入!$W$5:$W$404,采购录入!$U$5:$U$404,$B$3,采购录入!$V$5:$V$404,$A16,采购录入!$C$5:$C$404,首页!$B$5)+SUMIFS(采购录入!$Z$5:$Z$404,采购录入!$X$5:$X$404,$B$3,采购录入!$Y$5:$Y$404,$A16,采购录入!$C$5:$C$404,首页!$B$5)+SUMIFS(其他凭证!$H$5:$H$304,其他凭证!$F$5:$F$304,$B$3,其他凭证!$G$5:$G$304,$A16,其他凭证!$C$5:$C$304,首页!$B$5))</f>
        <v>0</v>
      </c>
      <c r="D16" s="54" t="n">
        <f aca="false">IF($A16="","",SUMIFS(资金流水!$N$5:$N$504,资金流水!$P$5:$P$504,$B$3,资金流水!$O$5:$O$504,$A16,资金流水!$C$5:$C$504,首页!$B$5)+SUMIFS(销售录入!$X$5:$X$404,销售录入!$W$5:$W$404,$B$3,销售录入!$V$5:$V$404,$A16,销售录入!$C$5:$C$404,首页!$B$5)+SUMIFS(销售录入!$AA$5:$AA$404,销售录入!$Z$5:$Z$404,$B$3,销售录入!$Y$5:$Y$404,$A16,销售录入!$C$5:$C$404,首页!$B$5)+SUMIFS(销售录入!$AD$5:$AD$404,销售录入!$AC$5:$AC$404,$B$3,销售录入!$AB$5:$AB$404,$A16,销售录入!$C$5:$C$404,首页!$B$5)+SUMIFS(采购录入!$W$5:$W$404,采购录入!$V$5:$V$404,$B$3,采购录入!$U$5:$U$404,$A16,采购录入!$C$5:$C$404,首页!$B$5)+SUMIFS(采购录入!$Z$5:$Z$404,采购录入!$Y$5:$Y$404,$B$3,采购录入!$X$5:$X$404,$A16,采购录入!$C$5:$C$404,首页!$B$5)+SUMIFS(其他凭证!$H$5:$H$304,其他凭证!$G$5:$G$304,$B$3,其他凭证!$F$5:$F$304,$A16,其他凭证!$C$5:$C$304,首页!$B$5))</f>
        <v>0</v>
      </c>
      <c r="E16" s="44" t="n">
        <f aca="false">IF($A16="","",$C16-$D16)</f>
        <v>0</v>
      </c>
      <c r="F16" s="22" t="str">
        <f aca="false">IF(OR($A16="",AND($C16=0,$D16=0)),"",IF($C16&gt;0,"借 "&amp;$C$3&amp;" / 贷 "&amp;$B16,"")&amp;IF(AND($C16&gt;0,$D16&gt;0)," ；","")&amp;IF($D16&gt;0,"借 "&amp;$B16&amp;" / 贷 "&amp;$C$3,""))</f>
        <v/>
      </c>
    </row>
    <row r="17" customFormat="false" ht="15.75" hidden="false" customHeight="true" outlineLevel="0" collapsed="false">
      <c r="A17" s="42" t="str">
        <f aca="false">IF(科目参数!$A17="","",科目参数!$A17)</f>
        <v>1401</v>
      </c>
      <c r="B17" s="35" t="str">
        <f aca="false">IF($A17="","",科目参数!$B17)</f>
        <v>材料采购</v>
      </c>
      <c r="C17" s="54" t="n">
        <f aca="false">IF($A17="","",SUMIFS(资金流水!$N$5:$N$504,资金流水!$O$5:$O$504,$B$3,资金流水!$P$5:$P$504,$A17,资金流水!$C$5:$C$504,首页!$B$5)+SUMIFS(销售录入!$X$5:$X$404,销售录入!$V$5:$V$404,$B$3,销售录入!$W$5:$W$404,$A17,销售录入!$C$5:$C$404,首页!$B$5)+SUMIFS(销售录入!$AA$5:$AA$404,销售录入!$Y$5:$Y$404,$B$3,销售录入!$Z$5:$Z$404,$A17,销售录入!$C$5:$C$404,首页!$B$5)+SUMIFS(销售录入!$AD$5:$AD$404,销售录入!$AB$5:$AB$404,$B$3,销售录入!$AC$5:$AC$404,$A17,销售录入!$C$5:$C$404,首页!$B$5)+SUMIFS(采购录入!$W$5:$W$404,采购录入!$U$5:$U$404,$B$3,采购录入!$V$5:$V$404,$A17,采购录入!$C$5:$C$404,首页!$B$5)+SUMIFS(采购录入!$Z$5:$Z$404,采购录入!$X$5:$X$404,$B$3,采购录入!$Y$5:$Y$404,$A17,采购录入!$C$5:$C$404,首页!$B$5)+SUMIFS(其他凭证!$H$5:$H$304,其他凭证!$F$5:$F$304,$B$3,其他凭证!$G$5:$G$304,$A17,其他凭证!$C$5:$C$304,首页!$B$5))</f>
        <v>0</v>
      </c>
      <c r="D17" s="54" t="n">
        <f aca="false">IF($A17="","",SUMIFS(资金流水!$N$5:$N$504,资金流水!$P$5:$P$504,$B$3,资金流水!$O$5:$O$504,$A17,资金流水!$C$5:$C$504,首页!$B$5)+SUMIFS(销售录入!$X$5:$X$404,销售录入!$W$5:$W$404,$B$3,销售录入!$V$5:$V$404,$A17,销售录入!$C$5:$C$404,首页!$B$5)+SUMIFS(销售录入!$AA$5:$AA$404,销售录入!$Z$5:$Z$404,$B$3,销售录入!$Y$5:$Y$404,$A17,销售录入!$C$5:$C$404,首页!$B$5)+SUMIFS(销售录入!$AD$5:$AD$404,销售录入!$AC$5:$AC$404,$B$3,销售录入!$AB$5:$AB$404,$A17,销售录入!$C$5:$C$404,首页!$B$5)+SUMIFS(采购录入!$W$5:$W$404,采购录入!$V$5:$V$404,$B$3,采购录入!$U$5:$U$404,$A17,采购录入!$C$5:$C$404,首页!$B$5)+SUMIFS(采购录入!$Z$5:$Z$404,采购录入!$Y$5:$Y$404,$B$3,采购录入!$X$5:$X$404,$A17,采购录入!$C$5:$C$404,首页!$B$5)+SUMIFS(其他凭证!$H$5:$H$304,其他凭证!$G$5:$G$304,$B$3,其他凭证!$F$5:$F$304,$A17,其他凭证!$C$5:$C$304,首页!$B$5))</f>
        <v>0</v>
      </c>
      <c r="E17" s="44" t="n">
        <f aca="false">IF($A17="","",$C17-$D17)</f>
        <v>0</v>
      </c>
      <c r="F17" s="22" t="str">
        <f aca="false">IF(OR($A17="",AND($C17=0,$D17=0)),"",IF($C17&gt;0,"借 "&amp;$C$3&amp;" / 贷 "&amp;$B17,"")&amp;IF(AND($C17&gt;0,$D17&gt;0)," ；","")&amp;IF($D17&gt;0,"借 "&amp;$B17&amp;" / 贷 "&amp;$C$3,""))</f>
        <v/>
      </c>
    </row>
    <row r="18" customFormat="false" ht="15.75" hidden="false" customHeight="true" outlineLevel="0" collapsed="false">
      <c r="A18" s="42" t="str">
        <f aca="false">IF(科目参数!$A18="","",科目参数!$A18)</f>
        <v>1402</v>
      </c>
      <c r="B18" s="35" t="str">
        <f aca="false">IF($A18="","",科目参数!$B18)</f>
        <v>在途物资</v>
      </c>
      <c r="C18" s="54" t="n">
        <f aca="false">IF($A18="","",SUMIFS(资金流水!$N$5:$N$504,资金流水!$O$5:$O$504,$B$3,资金流水!$P$5:$P$504,$A18,资金流水!$C$5:$C$504,首页!$B$5)+SUMIFS(销售录入!$X$5:$X$404,销售录入!$V$5:$V$404,$B$3,销售录入!$W$5:$W$404,$A18,销售录入!$C$5:$C$404,首页!$B$5)+SUMIFS(销售录入!$AA$5:$AA$404,销售录入!$Y$5:$Y$404,$B$3,销售录入!$Z$5:$Z$404,$A18,销售录入!$C$5:$C$404,首页!$B$5)+SUMIFS(销售录入!$AD$5:$AD$404,销售录入!$AB$5:$AB$404,$B$3,销售录入!$AC$5:$AC$404,$A18,销售录入!$C$5:$C$404,首页!$B$5)+SUMIFS(采购录入!$W$5:$W$404,采购录入!$U$5:$U$404,$B$3,采购录入!$V$5:$V$404,$A18,采购录入!$C$5:$C$404,首页!$B$5)+SUMIFS(采购录入!$Z$5:$Z$404,采购录入!$X$5:$X$404,$B$3,采购录入!$Y$5:$Y$404,$A18,采购录入!$C$5:$C$404,首页!$B$5)+SUMIFS(其他凭证!$H$5:$H$304,其他凭证!$F$5:$F$304,$B$3,其他凭证!$G$5:$G$304,$A18,其他凭证!$C$5:$C$304,首页!$B$5))</f>
        <v>0</v>
      </c>
      <c r="D18" s="54" t="n">
        <f aca="false">IF($A18="","",SUMIFS(资金流水!$N$5:$N$504,资金流水!$P$5:$P$504,$B$3,资金流水!$O$5:$O$504,$A18,资金流水!$C$5:$C$504,首页!$B$5)+SUMIFS(销售录入!$X$5:$X$404,销售录入!$W$5:$W$404,$B$3,销售录入!$V$5:$V$404,$A18,销售录入!$C$5:$C$404,首页!$B$5)+SUMIFS(销售录入!$AA$5:$AA$404,销售录入!$Z$5:$Z$404,$B$3,销售录入!$Y$5:$Y$404,$A18,销售录入!$C$5:$C$404,首页!$B$5)+SUMIFS(销售录入!$AD$5:$AD$404,销售录入!$AC$5:$AC$404,$B$3,销售录入!$AB$5:$AB$404,$A18,销售录入!$C$5:$C$404,首页!$B$5)+SUMIFS(采购录入!$W$5:$W$404,采购录入!$V$5:$V$404,$B$3,采购录入!$U$5:$U$404,$A18,采购录入!$C$5:$C$404,首页!$B$5)+SUMIFS(采购录入!$Z$5:$Z$404,采购录入!$Y$5:$Y$404,$B$3,采购录入!$X$5:$X$404,$A18,采购录入!$C$5:$C$404,首页!$B$5)+SUMIFS(其他凭证!$H$5:$H$304,其他凭证!$G$5:$G$304,$B$3,其他凭证!$F$5:$F$304,$A18,其他凭证!$C$5:$C$304,首页!$B$5))</f>
        <v>0</v>
      </c>
      <c r="E18" s="44" t="n">
        <f aca="false">IF($A18="","",$C18-$D18)</f>
        <v>0</v>
      </c>
      <c r="F18" s="22" t="str">
        <f aca="false">IF(OR($A18="",AND($C18=0,$D18=0)),"",IF($C18&gt;0,"借 "&amp;$C$3&amp;" / 贷 "&amp;$B18,"")&amp;IF(AND($C18&gt;0,$D18&gt;0)," ；","")&amp;IF($D18&gt;0,"借 "&amp;$B18&amp;" / 贷 "&amp;$C$3,""))</f>
        <v/>
      </c>
    </row>
    <row r="19" customFormat="false" ht="15.75" hidden="false" customHeight="true" outlineLevel="0" collapsed="false">
      <c r="A19" s="42" t="str">
        <f aca="false">IF(科目参数!$A19="","",科目参数!$A19)</f>
        <v>1403</v>
      </c>
      <c r="B19" s="35" t="str">
        <f aca="false">IF($A19="","",科目参数!$B19)</f>
        <v>原材料</v>
      </c>
      <c r="C19" s="54" t="n">
        <f aca="false">IF($A19="","",SUMIFS(资金流水!$N$5:$N$504,资金流水!$O$5:$O$504,$B$3,资金流水!$P$5:$P$504,$A19,资金流水!$C$5:$C$504,首页!$B$5)+SUMIFS(销售录入!$X$5:$X$404,销售录入!$V$5:$V$404,$B$3,销售录入!$W$5:$W$404,$A19,销售录入!$C$5:$C$404,首页!$B$5)+SUMIFS(销售录入!$AA$5:$AA$404,销售录入!$Y$5:$Y$404,$B$3,销售录入!$Z$5:$Z$404,$A19,销售录入!$C$5:$C$404,首页!$B$5)+SUMIFS(销售录入!$AD$5:$AD$404,销售录入!$AB$5:$AB$404,$B$3,销售录入!$AC$5:$AC$404,$A19,销售录入!$C$5:$C$404,首页!$B$5)+SUMIFS(采购录入!$W$5:$W$404,采购录入!$U$5:$U$404,$B$3,采购录入!$V$5:$V$404,$A19,采购录入!$C$5:$C$404,首页!$B$5)+SUMIFS(采购录入!$Z$5:$Z$404,采购录入!$X$5:$X$404,$B$3,采购录入!$Y$5:$Y$404,$A19,采购录入!$C$5:$C$404,首页!$B$5)+SUMIFS(其他凭证!$H$5:$H$304,其他凭证!$F$5:$F$304,$B$3,其他凭证!$G$5:$G$304,$A19,其他凭证!$C$5:$C$304,首页!$B$5))</f>
        <v>0</v>
      </c>
      <c r="D19" s="54" t="n">
        <f aca="false">IF($A19="","",SUMIFS(资金流水!$N$5:$N$504,资金流水!$P$5:$P$504,$B$3,资金流水!$O$5:$O$504,$A19,资金流水!$C$5:$C$504,首页!$B$5)+SUMIFS(销售录入!$X$5:$X$404,销售录入!$W$5:$W$404,$B$3,销售录入!$V$5:$V$404,$A19,销售录入!$C$5:$C$404,首页!$B$5)+SUMIFS(销售录入!$AA$5:$AA$404,销售录入!$Z$5:$Z$404,$B$3,销售录入!$Y$5:$Y$404,$A19,销售录入!$C$5:$C$404,首页!$B$5)+SUMIFS(销售录入!$AD$5:$AD$404,销售录入!$AC$5:$AC$404,$B$3,销售录入!$AB$5:$AB$404,$A19,销售录入!$C$5:$C$404,首页!$B$5)+SUMIFS(采购录入!$W$5:$W$404,采购录入!$V$5:$V$404,$B$3,采购录入!$U$5:$U$404,$A19,采购录入!$C$5:$C$404,首页!$B$5)+SUMIFS(采购录入!$Z$5:$Z$404,采购录入!$Y$5:$Y$404,$B$3,采购录入!$X$5:$X$404,$A19,采购录入!$C$5:$C$404,首页!$B$5)+SUMIFS(其他凭证!$H$5:$H$304,其他凭证!$G$5:$G$304,$B$3,其他凭证!$F$5:$F$304,$A19,其他凭证!$C$5:$C$304,首页!$B$5))</f>
        <v>0</v>
      </c>
      <c r="E19" s="44" t="n">
        <f aca="false">IF($A19="","",$C19-$D19)</f>
        <v>0</v>
      </c>
      <c r="F19" s="22" t="str">
        <f aca="false">IF(OR($A19="",AND($C19=0,$D19=0)),"",IF($C19&gt;0,"借 "&amp;$C$3&amp;" / 贷 "&amp;$B19,"")&amp;IF(AND($C19&gt;0,$D19&gt;0)," ；","")&amp;IF($D19&gt;0,"借 "&amp;$B19&amp;" / 贷 "&amp;$C$3,""))</f>
        <v/>
      </c>
    </row>
    <row r="20" customFormat="false" ht="15.75" hidden="false" customHeight="true" outlineLevel="0" collapsed="false">
      <c r="A20" s="42" t="str">
        <f aca="false">IF(科目参数!$A20="","",科目参数!$A20)</f>
        <v>1405</v>
      </c>
      <c r="B20" s="35" t="str">
        <f aca="false">IF($A20="","",科目参数!$B20)</f>
        <v>库存商品</v>
      </c>
      <c r="C20" s="54" t="n">
        <f aca="false">IF($A20="","",SUMIFS(资金流水!$N$5:$N$504,资金流水!$O$5:$O$504,$B$3,资金流水!$P$5:$P$504,$A20,资金流水!$C$5:$C$504,首页!$B$5)+SUMIFS(销售录入!$X$5:$X$404,销售录入!$V$5:$V$404,$B$3,销售录入!$W$5:$W$404,$A20,销售录入!$C$5:$C$404,首页!$B$5)+SUMIFS(销售录入!$AA$5:$AA$404,销售录入!$Y$5:$Y$404,$B$3,销售录入!$Z$5:$Z$404,$A20,销售录入!$C$5:$C$404,首页!$B$5)+SUMIFS(销售录入!$AD$5:$AD$404,销售录入!$AB$5:$AB$404,$B$3,销售录入!$AC$5:$AC$404,$A20,销售录入!$C$5:$C$404,首页!$B$5)+SUMIFS(采购录入!$W$5:$W$404,采购录入!$U$5:$U$404,$B$3,采购录入!$V$5:$V$404,$A20,采购录入!$C$5:$C$404,首页!$B$5)+SUMIFS(采购录入!$Z$5:$Z$404,采购录入!$X$5:$X$404,$B$3,采购录入!$Y$5:$Y$404,$A20,采购录入!$C$5:$C$404,首页!$B$5)+SUMIFS(其他凭证!$H$5:$H$304,其他凭证!$F$5:$F$304,$B$3,其他凭证!$G$5:$G$304,$A20,其他凭证!$C$5:$C$304,首页!$B$5))</f>
        <v>0</v>
      </c>
      <c r="D20" s="54" t="n">
        <f aca="false">IF($A20="","",SUMIFS(资金流水!$N$5:$N$504,资金流水!$P$5:$P$504,$B$3,资金流水!$O$5:$O$504,$A20,资金流水!$C$5:$C$504,首页!$B$5)+SUMIFS(销售录入!$X$5:$X$404,销售录入!$W$5:$W$404,$B$3,销售录入!$V$5:$V$404,$A20,销售录入!$C$5:$C$404,首页!$B$5)+SUMIFS(销售录入!$AA$5:$AA$404,销售录入!$Z$5:$Z$404,$B$3,销售录入!$Y$5:$Y$404,$A20,销售录入!$C$5:$C$404,首页!$B$5)+SUMIFS(销售录入!$AD$5:$AD$404,销售录入!$AC$5:$AC$404,$B$3,销售录入!$AB$5:$AB$404,$A20,销售录入!$C$5:$C$404,首页!$B$5)+SUMIFS(采购录入!$W$5:$W$404,采购录入!$V$5:$V$404,$B$3,采购录入!$U$5:$U$404,$A20,采购录入!$C$5:$C$404,首页!$B$5)+SUMIFS(采购录入!$Z$5:$Z$404,采购录入!$Y$5:$Y$404,$B$3,采购录入!$X$5:$X$404,$A20,采购录入!$C$5:$C$404,首页!$B$5)+SUMIFS(其他凭证!$H$5:$H$304,其他凭证!$G$5:$G$304,$B$3,其他凭证!$F$5:$F$304,$A20,其他凭证!$C$5:$C$304,首页!$B$5))</f>
        <v>0</v>
      </c>
      <c r="E20" s="44" t="n">
        <f aca="false">IF($A20="","",$C20-$D20)</f>
        <v>0</v>
      </c>
      <c r="F20" s="22" t="str">
        <f aca="false">IF(OR($A20="",AND($C20=0,$D20=0)),"",IF($C20&gt;0,"借 "&amp;$C$3&amp;" / 贷 "&amp;$B20,"")&amp;IF(AND($C20&gt;0,$D20&gt;0)," ；","")&amp;IF($D20&gt;0,"借 "&amp;$B20&amp;" / 贷 "&amp;$C$3,""))</f>
        <v/>
      </c>
    </row>
    <row r="21" customFormat="false" ht="15.75" hidden="false" customHeight="true" outlineLevel="0" collapsed="false">
      <c r="A21" s="42" t="str">
        <f aca="false">IF(科目参数!$A21="","",科目参数!$A21)</f>
        <v>1406</v>
      </c>
      <c r="B21" s="35" t="str">
        <f aca="false">IF($A21="","",科目参数!$B21)</f>
        <v>发出商品</v>
      </c>
      <c r="C21" s="54" t="n">
        <f aca="false">IF($A21="","",SUMIFS(资金流水!$N$5:$N$504,资金流水!$O$5:$O$504,$B$3,资金流水!$P$5:$P$504,$A21,资金流水!$C$5:$C$504,首页!$B$5)+SUMIFS(销售录入!$X$5:$X$404,销售录入!$V$5:$V$404,$B$3,销售录入!$W$5:$W$404,$A21,销售录入!$C$5:$C$404,首页!$B$5)+SUMIFS(销售录入!$AA$5:$AA$404,销售录入!$Y$5:$Y$404,$B$3,销售录入!$Z$5:$Z$404,$A21,销售录入!$C$5:$C$404,首页!$B$5)+SUMIFS(销售录入!$AD$5:$AD$404,销售录入!$AB$5:$AB$404,$B$3,销售录入!$AC$5:$AC$404,$A21,销售录入!$C$5:$C$404,首页!$B$5)+SUMIFS(采购录入!$W$5:$W$404,采购录入!$U$5:$U$404,$B$3,采购录入!$V$5:$V$404,$A21,采购录入!$C$5:$C$404,首页!$B$5)+SUMIFS(采购录入!$Z$5:$Z$404,采购录入!$X$5:$X$404,$B$3,采购录入!$Y$5:$Y$404,$A21,采购录入!$C$5:$C$404,首页!$B$5)+SUMIFS(其他凭证!$H$5:$H$304,其他凭证!$F$5:$F$304,$B$3,其他凭证!$G$5:$G$304,$A21,其他凭证!$C$5:$C$304,首页!$B$5))</f>
        <v>0</v>
      </c>
      <c r="D21" s="54" t="n">
        <f aca="false">IF($A21="","",SUMIFS(资金流水!$N$5:$N$504,资金流水!$P$5:$P$504,$B$3,资金流水!$O$5:$O$504,$A21,资金流水!$C$5:$C$504,首页!$B$5)+SUMIFS(销售录入!$X$5:$X$404,销售录入!$W$5:$W$404,$B$3,销售录入!$V$5:$V$404,$A21,销售录入!$C$5:$C$404,首页!$B$5)+SUMIFS(销售录入!$AA$5:$AA$404,销售录入!$Z$5:$Z$404,$B$3,销售录入!$Y$5:$Y$404,$A21,销售录入!$C$5:$C$404,首页!$B$5)+SUMIFS(销售录入!$AD$5:$AD$404,销售录入!$AC$5:$AC$404,$B$3,销售录入!$AB$5:$AB$404,$A21,销售录入!$C$5:$C$404,首页!$B$5)+SUMIFS(采购录入!$W$5:$W$404,采购录入!$V$5:$V$404,$B$3,采购录入!$U$5:$U$404,$A21,采购录入!$C$5:$C$404,首页!$B$5)+SUMIFS(采购录入!$Z$5:$Z$404,采购录入!$Y$5:$Y$404,$B$3,采购录入!$X$5:$X$404,$A21,采购录入!$C$5:$C$404,首页!$B$5)+SUMIFS(其他凭证!$H$5:$H$304,其他凭证!$G$5:$G$304,$B$3,其他凭证!$F$5:$F$304,$A21,其他凭证!$C$5:$C$304,首页!$B$5))</f>
        <v>0</v>
      </c>
      <c r="E21" s="44" t="n">
        <f aca="false">IF($A21="","",$C21-$D21)</f>
        <v>0</v>
      </c>
      <c r="F21" s="22" t="str">
        <f aca="false">IF(OR($A21="",AND($C21=0,$D21=0)),"",IF($C21&gt;0,"借 "&amp;$C$3&amp;" / 贷 "&amp;$B21,"")&amp;IF(AND($C21&gt;0,$D21&gt;0)," ；","")&amp;IF($D21&gt;0,"借 "&amp;$B21&amp;" / 贷 "&amp;$C$3,""))</f>
        <v/>
      </c>
    </row>
    <row r="22" customFormat="false" ht="15.75" hidden="false" customHeight="true" outlineLevel="0" collapsed="false">
      <c r="A22" s="42" t="str">
        <f aca="false">IF(科目参数!$A22="","",科目参数!$A22)</f>
        <v>1408</v>
      </c>
      <c r="B22" s="35" t="str">
        <f aca="false">IF($A22="","",科目参数!$B22)</f>
        <v>委托加工物资</v>
      </c>
      <c r="C22" s="54" t="n">
        <f aca="false">IF($A22="","",SUMIFS(资金流水!$N$5:$N$504,资金流水!$O$5:$O$504,$B$3,资金流水!$P$5:$P$504,$A22,资金流水!$C$5:$C$504,首页!$B$5)+SUMIFS(销售录入!$X$5:$X$404,销售录入!$V$5:$V$404,$B$3,销售录入!$W$5:$W$404,$A22,销售录入!$C$5:$C$404,首页!$B$5)+SUMIFS(销售录入!$AA$5:$AA$404,销售录入!$Y$5:$Y$404,$B$3,销售录入!$Z$5:$Z$404,$A22,销售录入!$C$5:$C$404,首页!$B$5)+SUMIFS(销售录入!$AD$5:$AD$404,销售录入!$AB$5:$AB$404,$B$3,销售录入!$AC$5:$AC$404,$A22,销售录入!$C$5:$C$404,首页!$B$5)+SUMIFS(采购录入!$W$5:$W$404,采购录入!$U$5:$U$404,$B$3,采购录入!$V$5:$V$404,$A22,采购录入!$C$5:$C$404,首页!$B$5)+SUMIFS(采购录入!$Z$5:$Z$404,采购录入!$X$5:$X$404,$B$3,采购录入!$Y$5:$Y$404,$A22,采购录入!$C$5:$C$404,首页!$B$5)+SUMIFS(其他凭证!$H$5:$H$304,其他凭证!$F$5:$F$304,$B$3,其他凭证!$G$5:$G$304,$A22,其他凭证!$C$5:$C$304,首页!$B$5))</f>
        <v>0</v>
      </c>
      <c r="D22" s="54" t="n">
        <f aca="false">IF($A22="","",SUMIFS(资金流水!$N$5:$N$504,资金流水!$P$5:$P$504,$B$3,资金流水!$O$5:$O$504,$A22,资金流水!$C$5:$C$504,首页!$B$5)+SUMIFS(销售录入!$X$5:$X$404,销售录入!$W$5:$W$404,$B$3,销售录入!$V$5:$V$404,$A22,销售录入!$C$5:$C$404,首页!$B$5)+SUMIFS(销售录入!$AA$5:$AA$404,销售录入!$Z$5:$Z$404,$B$3,销售录入!$Y$5:$Y$404,$A22,销售录入!$C$5:$C$404,首页!$B$5)+SUMIFS(销售录入!$AD$5:$AD$404,销售录入!$AC$5:$AC$404,$B$3,销售录入!$AB$5:$AB$404,$A22,销售录入!$C$5:$C$404,首页!$B$5)+SUMIFS(采购录入!$W$5:$W$404,采购录入!$V$5:$V$404,$B$3,采购录入!$U$5:$U$404,$A22,采购录入!$C$5:$C$404,首页!$B$5)+SUMIFS(采购录入!$Z$5:$Z$404,采购录入!$Y$5:$Y$404,$B$3,采购录入!$X$5:$X$404,$A22,采购录入!$C$5:$C$404,首页!$B$5)+SUMIFS(其他凭证!$H$5:$H$304,其他凭证!$G$5:$G$304,$B$3,其他凭证!$F$5:$F$304,$A22,其他凭证!$C$5:$C$304,首页!$B$5))</f>
        <v>0</v>
      </c>
      <c r="E22" s="44" t="n">
        <f aca="false">IF($A22="","",$C22-$D22)</f>
        <v>0</v>
      </c>
      <c r="F22" s="22" t="str">
        <f aca="false">IF(OR($A22="",AND($C22=0,$D22=0)),"",IF($C22&gt;0,"借 "&amp;$C$3&amp;" / 贷 "&amp;$B22,"")&amp;IF(AND($C22&gt;0,$D22&gt;0)," ；","")&amp;IF($D22&gt;0,"借 "&amp;$B22&amp;" / 贷 "&amp;$C$3,""))</f>
        <v/>
      </c>
    </row>
    <row r="23" customFormat="false" ht="15.75" hidden="false" customHeight="true" outlineLevel="0" collapsed="false">
      <c r="A23" s="42" t="str">
        <f aca="false">IF(科目参数!$A23="","",科目参数!$A23)</f>
        <v>1411</v>
      </c>
      <c r="B23" s="35" t="str">
        <f aca="false">IF($A23="","",科目参数!$B23)</f>
        <v>周转材料</v>
      </c>
      <c r="C23" s="54" t="n">
        <f aca="false">IF($A23="","",SUMIFS(资金流水!$N$5:$N$504,资金流水!$O$5:$O$504,$B$3,资金流水!$P$5:$P$504,$A23,资金流水!$C$5:$C$504,首页!$B$5)+SUMIFS(销售录入!$X$5:$X$404,销售录入!$V$5:$V$404,$B$3,销售录入!$W$5:$W$404,$A23,销售录入!$C$5:$C$404,首页!$B$5)+SUMIFS(销售录入!$AA$5:$AA$404,销售录入!$Y$5:$Y$404,$B$3,销售录入!$Z$5:$Z$404,$A23,销售录入!$C$5:$C$404,首页!$B$5)+SUMIFS(销售录入!$AD$5:$AD$404,销售录入!$AB$5:$AB$404,$B$3,销售录入!$AC$5:$AC$404,$A23,销售录入!$C$5:$C$404,首页!$B$5)+SUMIFS(采购录入!$W$5:$W$404,采购录入!$U$5:$U$404,$B$3,采购录入!$V$5:$V$404,$A23,采购录入!$C$5:$C$404,首页!$B$5)+SUMIFS(采购录入!$Z$5:$Z$404,采购录入!$X$5:$X$404,$B$3,采购录入!$Y$5:$Y$404,$A23,采购录入!$C$5:$C$404,首页!$B$5)+SUMIFS(其他凭证!$H$5:$H$304,其他凭证!$F$5:$F$304,$B$3,其他凭证!$G$5:$G$304,$A23,其他凭证!$C$5:$C$304,首页!$B$5))</f>
        <v>0</v>
      </c>
      <c r="D23" s="54" t="n">
        <f aca="false">IF($A23="","",SUMIFS(资金流水!$N$5:$N$504,资金流水!$P$5:$P$504,$B$3,资金流水!$O$5:$O$504,$A23,资金流水!$C$5:$C$504,首页!$B$5)+SUMIFS(销售录入!$X$5:$X$404,销售录入!$W$5:$W$404,$B$3,销售录入!$V$5:$V$404,$A23,销售录入!$C$5:$C$404,首页!$B$5)+SUMIFS(销售录入!$AA$5:$AA$404,销售录入!$Z$5:$Z$404,$B$3,销售录入!$Y$5:$Y$404,$A23,销售录入!$C$5:$C$404,首页!$B$5)+SUMIFS(销售录入!$AD$5:$AD$404,销售录入!$AC$5:$AC$404,$B$3,销售录入!$AB$5:$AB$404,$A23,销售录入!$C$5:$C$404,首页!$B$5)+SUMIFS(采购录入!$W$5:$W$404,采购录入!$V$5:$V$404,$B$3,采购录入!$U$5:$U$404,$A23,采购录入!$C$5:$C$404,首页!$B$5)+SUMIFS(采购录入!$Z$5:$Z$404,采购录入!$Y$5:$Y$404,$B$3,采购录入!$X$5:$X$404,$A23,采购录入!$C$5:$C$404,首页!$B$5)+SUMIFS(其他凭证!$H$5:$H$304,其他凭证!$G$5:$G$304,$B$3,其他凭证!$F$5:$F$304,$A23,其他凭证!$C$5:$C$304,首页!$B$5))</f>
        <v>0</v>
      </c>
      <c r="E23" s="44" t="n">
        <f aca="false">IF($A23="","",$C23-$D23)</f>
        <v>0</v>
      </c>
      <c r="F23" s="22" t="str">
        <f aca="false">IF(OR($A23="",AND($C23=0,$D23=0)),"",IF($C23&gt;0,"借 "&amp;$C$3&amp;" / 贷 "&amp;$B23,"")&amp;IF(AND($C23&gt;0,$D23&gt;0)," ；","")&amp;IF($D23&gt;0,"借 "&amp;$B23&amp;" / 贷 "&amp;$C$3,""))</f>
        <v/>
      </c>
    </row>
    <row r="24" customFormat="false" ht="15.75" hidden="false" customHeight="true" outlineLevel="0" collapsed="false">
      <c r="A24" s="42" t="str">
        <f aca="false">IF(科目参数!$A24="","",科目参数!$A24)</f>
        <v>1471</v>
      </c>
      <c r="B24" s="35" t="str">
        <f aca="false">IF($A24="","",科目参数!$B24)</f>
        <v>存货跌价准备</v>
      </c>
      <c r="C24" s="54" t="n">
        <f aca="false">IF($A24="","",SUMIFS(资金流水!$N$5:$N$504,资金流水!$O$5:$O$504,$B$3,资金流水!$P$5:$P$504,$A24,资金流水!$C$5:$C$504,首页!$B$5)+SUMIFS(销售录入!$X$5:$X$404,销售录入!$V$5:$V$404,$B$3,销售录入!$W$5:$W$404,$A24,销售录入!$C$5:$C$404,首页!$B$5)+SUMIFS(销售录入!$AA$5:$AA$404,销售录入!$Y$5:$Y$404,$B$3,销售录入!$Z$5:$Z$404,$A24,销售录入!$C$5:$C$404,首页!$B$5)+SUMIFS(销售录入!$AD$5:$AD$404,销售录入!$AB$5:$AB$404,$B$3,销售录入!$AC$5:$AC$404,$A24,销售录入!$C$5:$C$404,首页!$B$5)+SUMIFS(采购录入!$W$5:$W$404,采购录入!$U$5:$U$404,$B$3,采购录入!$V$5:$V$404,$A24,采购录入!$C$5:$C$404,首页!$B$5)+SUMIFS(采购录入!$Z$5:$Z$404,采购录入!$X$5:$X$404,$B$3,采购录入!$Y$5:$Y$404,$A24,采购录入!$C$5:$C$404,首页!$B$5)+SUMIFS(其他凭证!$H$5:$H$304,其他凭证!$F$5:$F$304,$B$3,其他凭证!$G$5:$G$304,$A24,其他凭证!$C$5:$C$304,首页!$B$5))</f>
        <v>0</v>
      </c>
      <c r="D24" s="54" t="n">
        <f aca="false">IF($A24="","",SUMIFS(资金流水!$N$5:$N$504,资金流水!$P$5:$P$504,$B$3,资金流水!$O$5:$O$504,$A24,资金流水!$C$5:$C$504,首页!$B$5)+SUMIFS(销售录入!$X$5:$X$404,销售录入!$W$5:$W$404,$B$3,销售录入!$V$5:$V$404,$A24,销售录入!$C$5:$C$404,首页!$B$5)+SUMIFS(销售录入!$AA$5:$AA$404,销售录入!$Z$5:$Z$404,$B$3,销售录入!$Y$5:$Y$404,$A24,销售录入!$C$5:$C$404,首页!$B$5)+SUMIFS(销售录入!$AD$5:$AD$404,销售录入!$AC$5:$AC$404,$B$3,销售录入!$AB$5:$AB$404,$A24,销售录入!$C$5:$C$404,首页!$B$5)+SUMIFS(采购录入!$W$5:$W$404,采购录入!$V$5:$V$404,$B$3,采购录入!$U$5:$U$404,$A24,采购录入!$C$5:$C$404,首页!$B$5)+SUMIFS(采购录入!$Z$5:$Z$404,采购录入!$Y$5:$Y$404,$B$3,采购录入!$X$5:$X$404,$A24,采购录入!$C$5:$C$404,首页!$B$5)+SUMIFS(其他凭证!$H$5:$H$304,其他凭证!$G$5:$G$304,$B$3,其他凭证!$F$5:$F$304,$A24,其他凭证!$C$5:$C$304,首页!$B$5))</f>
        <v>0</v>
      </c>
      <c r="E24" s="44" t="n">
        <f aca="false">IF($A24="","",$C24-$D24)</f>
        <v>0</v>
      </c>
      <c r="F24" s="22" t="str">
        <f aca="false">IF(OR($A24="",AND($C24=0,$D24=0)),"",IF($C24&gt;0,"借 "&amp;$C$3&amp;" / 贷 "&amp;$B24,"")&amp;IF(AND($C24&gt;0,$D24&gt;0)," ；","")&amp;IF($D24&gt;0,"借 "&amp;$B24&amp;" / 贷 "&amp;$C$3,""))</f>
        <v/>
      </c>
    </row>
    <row r="25" customFormat="false" ht="15.75" hidden="false" customHeight="true" outlineLevel="0" collapsed="false">
      <c r="A25" s="42" t="str">
        <f aca="false">IF(科目参数!$A25="","",科目参数!$A25)</f>
        <v>1501</v>
      </c>
      <c r="B25" s="35" t="str">
        <f aca="false">IF($A25="","",科目参数!$B25)</f>
        <v>债权投资</v>
      </c>
      <c r="C25" s="54" t="n">
        <f aca="false">IF($A25="","",SUMIFS(资金流水!$N$5:$N$504,资金流水!$O$5:$O$504,$B$3,资金流水!$P$5:$P$504,$A25,资金流水!$C$5:$C$504,首页!$B$5)+SUMIFS(销售录入!$X$5:$X$404,销售录入!$V$5:$V$404,$B$3,销售录入!$W$5:$W$404,$A25,销售录入!$C$5:$C$404,首页!$B$5)+SUMIFS(销售录入!$AA$5:$AA$404,销售录入!$Y$5:$Y$404,$B$3,销售录入!$Z$5:$Z$404,$A25,销售录入!$C$5:$C$404,首页!$B$5)+SUMIFS(销售录入!$AD$5:$AD$404,销售录入!$AB$5:$AB$404,$B$3,销售录入!$AC$5:$AC$404,$A25,销售录入!$C$5:$C$404,首页!$B$5)+SUMIFS(采购录入!$W$5:$W$404,采购录入!$U$5:$U$404,$B$3,采购录入!$V$5:$V$404,$A25,采购录入!$C$5:$C$404,首页!$B$5)+SUMIFS(采购录入!$Z$5:$Z$404,采购录入!$X$5:$X$404,$B$3,采购录入!$Y$5:$Y$404,$A25,采购录入!$C$5:$C$404,首页!$B$5)+SUMIFS(其他凭证!$H$5:$H$304,其他凭证!$F$5:$F$304,$B$3,其他凭证!$G$5:$G$304,$A25,其他凭证!$C$5:$C$304,首页!$B$5))</f>
        <v>0</v>
      </c>
      <c r="D25" s="54" t="n">
        <f aca="false">IF($A25="","",SUMIFS(资金流水!$N$5:$N$504,资金流水!$P$5:$P$504,$B$3,资金流水!$O$5:$O$504,$A25,资金流水!$C$5:$C$504,首页!$B$5)+SUMIFS(销售录入!$X$5:$X$404,销售录入!$W$5:$W$404,$B$3,销售录入!$V$5:$V$404,$A25,销售录入!$C$5:$C$404,首页!$B$5)+SUMIFS(销售录入!$AA$5:$AA$404,销售录入!$Z$5:$Z$404,$B$3,销售录入!$Y$5:$Y$404,$A25,销售录入!$C$5:$C$404,首页!$B$5)+SUMIFS(销售录入!$AD$5:$AD$404,销售录入!$AC$5:$AC$404,$B$3,销售录入!$AB$5:$AB$404,$A25,销售录入!$C$5:$C$404,首页!$B$5)+SUMIFS(采购录入!$W$5:$W$404,采购录入!$V$5:$V$404,$B$3,采购录入!$U$5:$U$404,$A25,采购录入!$C$5:$C$404,首页!$B$5)+SUMIFS(采购录入!$Z$5:$Z$404,采购录入!$Y$5:$Y$404,$B$3,采购录入!$X$5:$X$404,$A25,采购录入!$C$5:$C$404,首页!$B$5)+SUMIFS(其他凭证!$H$5:$H$304,其他凭证!$G$5:$G$304,$B$3,其他凭证!$F$5:$F$304,$A25,其他凭证!$C$5:$C$304,首页!$B$5))</f>
        <v>0</v>
      </c>
      <c r="E25" s="44" t="n">
        <f aca="false">IF($A25="","",$C25-$D25)</f>
        <v>0</v>
      </c>
      <c r="F25" s="22" t="str">
        <f aca="false">IF(OR($A25="",AND($C25=0,$D25=0)),"",IF($C25&gt;0,"借 "&amp;$C$3&amp;" / 贷 "&amp;$B25,"")&amp;IF(AND($C25&gt;0,$D25&gt;0)," ；","")&amp;IF($D25&gt;0,"借 "&amp;$B25&amp;" / 贷 "&amp;$C$3,""))</f>
        <v/>
      </c>
    </row>
    <row r="26" customFormat="false" ht="15.75" hidden="false" customHeight="true" outlineLevel="0" collapsed="false">
      <c r="A26" s="42" t="str">
        <f aca="false">IF(科目参数!$A26="","",科目参数!$A26)</f>
        <v>1511</v>
      </c>
      <c r="B26" s="35" t="str">
        <f aca="false">IF($A26="","",科目参数!$B26)</f>
        <v>长期股权投资</v>
      </c>
      <c r="C26" s="54" t="n">
        <f aca="false">IF($A26="","",SUMIFS(资金流水!$N$5:$N$504,资金流水!$O$5:$O$504,$B$3,资金流水!$P$5:$P$504,$A26,资金流水!$C$5:$C$504,首页!$B$5)+SUMIFS(销售录入!$X$5:$X$404,销售录入!$V$5:$V$404,$B$3,销售录入!$W$5:$W$404,$A26,销售录入!$C$5:$C$404,首页!$B$5)+SUMIFS(销售录入!$AA$5:$AA$404,销售录入!$Y$5:$Y$404,$B$3,销售录入!$Z$5:$Z$404,$A26,销售录入!$C$5:$C$404,首页!$B$5)+SUMIFS(销售录入!$AD$5:$AD$404,销售录入!$AB$5:$AB$404,$B$3,销售录入!$AC$5:$AC$404,$A26,销售录入!$C$5:$C$404,首页!$B$5)+SUMIFS(采购录入!$W$5:$W$404,采购录入!$U$5:$U$404,$B$3,采购录入!$V$5:$V$404,$A26,采购录入!$C$5:$C$404,首页!$B$5)+SUMIFS(采购录入!$Z$5:$Z$404,采购录入!$X$5:$X$404,$B$3,采购录入!$Y$5:$Y$404,$A26,采购录入!$C$5:$C$404,首页!$B$5)+SUMIFS(其他凭证!$H$5:$H$304,其他凭证!$F$5:$F$304,$B$3,其他凭证!$G$5:$G$304,$A26,其他凭证!$C$5:$C$304,首页!$B$5))</f>
        <v>0</v>
      </c>
      <c r="D26" s="54" t="n">
        <f aca="false">IF($A26="","",SUMIFS(资金流水!$N$5:$N$504,资金流水!$P$5:$P$504,$B$3,资金流水!$O$5:$O$504,$A26,资金流水!$C$5:$C$504,首页!$B$5)+SUMIFS(销售录入!$X$5:$X$404,销售录入!$W$5:$W$404,$B$3,销售录入!$V$5:$V$404,$A26,销售录入!$C$5:$C$404,首页!$B$5)+SUMIFS(销售录入!$AA$5:$AA$404,销售录入!$Z$5:$Z$404,$B$3,销售录入!$Y$5:$Y$404,$A26,销售录入!$C$5:$C$404,首页!$B$5)+SUMIFS(销售录入!$AD$5:$AD$404,销售录入!$AC$5:$AC$404,$B$3,销售录入!$AB$5:$AB$404,$A26,销售录入!$C$5:$C$404,首页!$B$5)+SUMIFS(采购录入!$W$5:$W$404,采购录入!$V$5:$V$404,$B$3,采购录入!$U$5:$U$404,$A26,采购录入!$C$5:$C$404,首页!$B$5)+SUMIFS(采购录入!$Z$5:$Z$404,采购录入!$Y$5:$Y$404,$B$3,采购录入!$X$5:$X$404,$A26,采购录入!$C$5:$C$404,首页!$B$5)+SUMIFS(其他凭证!$H$5:$H$304,其他凭证!$G$5:$G$304,$B$3,其他凭证!$F$5:$F$304,$A26,其他凭证!$C$5:$C$304,首页!$B$5))</f>
        <v>0</v>
      </c>
      <c r="E26" s="44" t="n">
        <f aca="false">IF($A26="","",$C26-$D26)</f>
        <v>0</v>
      </c>
      <c r="F26" s="22" t="str">
        <f aca="false">IF(OR($A26="",AND($C26=0,$D26=0)),"",IF($C26&gt;0,"借 "&amp;$C$3&amp;" / 贷 "&amp;$B26,"")&amp;IF(AND($C26&gt;0,$D26&gt;0)," ；","")&amp;IF($D26&gt;0,"借 "&amp;$B26&amp;" / 贷 "&amp;$C$3,""))</f>
        <v/>
      </c>
    </row>
    <row r="27" customFormat="false" ht="15.75" hidden="false" customHeight="true" outlineLevel="0" collapsed="false">
      <c r="A27" s="42" t="str">
        <f aca="false">IF(科目参数!$A27="","",科目参数!$A27)</f>
        <v>1521</v>
      </c>
      <c r="B27" s="35" t="str">
        <f aca="false">IF($A27="","",科目参数!$B27)</f>
        <v>投资性房地产</v>
      </c>
      <c r="C27" s="54" t="n">
        <f aca="false">IF($A27="","",SUMIFS(资金流水!$N$5:$N$504,资金流水!$O$5:$O$504,$B$3,资金流水!$P$5:$P$504,$A27,资金流水!$C$5:$C$504,首页!$B$5)+SUMIFS(销售录入!$X$5:$X$404,销售录入!$V$5:$V$404,$B$3,销售录入!$W$5:$W$404,$A27,销售录入!$C$5:$C$404,首页!$B$5)+SUMIFS(销售录入!$AA$5:$AA$404,销售录入!$Y$5:$Y$404,$B$3,销售录入!$Z$5:$Z$404,$A27,销售录入!$C$5:$C$404,首页!$B$5)+SUMIFS(销售录入!$AD$5:$AD$404,销售录入!$AB$5:$AB$404,$B$3,销售录入!$AC$5:$AC$404,$A27,销售录入!$C$5:$C$404,首页!$B$5)+SUMIFS(采购录入!$W$5:$W$404,采购录入!$U$5:$U$404,$B$3,采购录入!$V$5:$V$404,$A27,采购录入!$C$5:$C$404,首页!$B$5)+SUMIFS(采购录入!$Z$5:$Z$404,采购录入!$X$5:$X$404,$B$3,采购录入!$Y$5:$Y$404,$A27,采购录入!$C$5:$C$404,首页!$B$5)+SUMIFS(其他凭证!$H$5:$H$304,其他凭证!$F$5:$F$304,$B$3,其他凭证!$G$5:$G$304,$A27,其他凭证!$C$5:$C$304,首页!$B$5))</f>
        <v>0</v>
      </c>
      <c r="D27" s="54" t="n">
        <f aca="false">IF($A27="","",SUMIFS(资金流水!$N$5:$N$504,资金流水!$P$5:$P$504,$B$3,资金流水!$O$5:$O$504,$A27,资金流水!$C$5:$C$504,首页!$B$5)+SUMIFS(销售录入!$X$5:$X$404,销售录入!$W$5:$W$404,$B$3,销售录入!$V$5:$V$404,$A27,销售录入!$C$5:$C$404,首页!$B$5)+SUMIFS(销售录入!$AA$5:$AA$404,销售录入!$Z$5:$Z$404,$B$3,销售录入!$Y$5:$Y$404,$A27,销售录入!$C$5:$C$404,首页!$B$5)+SUMIFS(销售录入!$AD$5:$AD$404,销售录入!$AC$5:$AC$404,$B$3,销售录入!$AB$5:$AB$404,$A27,销售录入!$C$5:$C$404,首页!$B$5)+SUMIFS(采购录入!$W$5:$W$404,采购录入!$V$5:$V$404,$B$3,采购录入!$U$5:$U$404,$A27,采购录入!$C$5:$C$404,首页!$B$5)+SUMIFS(采购录入!$Z$5:$Z$404,采购录入!$Y$5:$Y$404,$B$3,采购录入!$X$5:$X$404,$A27,采购录入!$C$5:$C$404,首页!$B$5)+SUMIFS(其他凭证!$H$5:$H$304,其他凭证!$G$5:$G$304,$B$3,其他凭证!$F$5:$F$304,$A27,其他凭证!$C$5:$C$304,首页!$B$5))</f>
        <v>0</v>
      </c>
      <c r="E27" s="44" t="n">
        <f aca="false">IF($A27="","",$C27-$D27)</f>
        <v>0</v>
      </c>
      <c r="F27" s="22" t="str">
        <f aca="false">IF(OR($A27="",AND($C27=0,$D27=0)),"",IF($C27&gt;0,"借 "&amp;$C$3&amp;" / 贷 "&amp;$B27,"")&amp;IF(AND($C27&gt;0,$D27&gt;0)," ；","")&amp;IF($D27&gt;0,"借 "&amp;$B27&amp;" / 贷 "&amp;$C$3,""))</f>
        <v/>
      </c>
    </row>
    <row r="28" customFormat="false" ht="15.75" hidden="false" customHeight="true" outlineLevel="0" collapsed="false">
      <c r="A28" s="42" t="str">
        <f aca="false">IF(科目参数!$A28="","",科目参数!$A28)</f>
        <v>1601</v>
      </c>
      <c r="B28" s="35" t="str">
        <f aca="false">IF($A28="","",科目参数!$B28)</f>
        <v>固定资产</v>
      </c>
      <c r="C28" s="54" t="n">
        <f aca="false">IF($A28="","",SUMIFS(资金流水!$N$5:$N$504,资金流水!$O$5:$O$504,$B$3,资金流水!$P$5:$P$504,$A28,资金流水!$C$5:$C$504,首页!$B$5)+SUMIFS(销售录入!$X$5:$X$404,销售录入!$V$5:$V$404,$B$3,销售录入!$W$5:$W$404,$A28,销售录入!$C$5:$C$404,首页!$B$5)+SUMIFS(销售录入!$AA$5:$AA$404,销售录入!$Y$5:$Y$404,$B$3,销售录入!$Z$5:$Z$404,$A28,销售录入!$C$5:$C$404,首页!$B$5)+SUMIFS(销售录入!$AD$5:$AD$404,销售录入!$AB$5:$AB$404,$B$3,销售录入!$AC$5:$AC$404,$A28,销售录入!$C$5:$C$404,首页!$B$5)+SUMIFS(采购录入!$W$5:$W$404,采购录入!$U$5:$U$404,$B$3,采购录入!$V$5:$V$404,$A28,采购录入!$C$5:$C$404,首页!$B$5)+SUMIFS(采购录入!$Z$5:$Z$404,采购录入!$X$5:$X$404,$B$3,采购录入!$Y$5:$Y$404,$A28,采购录入!$C$5:$C$404,首页!$B$5)+SUMIFS(其他凭证!$H$5:$H$304,其他凭证!$F$5:$F$304,$B$3,其他凭证!$G$5:$G$304,$A28,其他凭证!$C$5:$C$304,首页!$B$5))</f>
        <v>0</v>
      </c>
      <c r="D28" s="54" t="n">
        <f aca="false">IF($A28="","",SUMIFS(资金流水!$N$5:$N$504,资金流水!$P$5:$P$504,$B$3,资金流水!$O$5:$O$504,$A28,资金流水!$C$5:$C$504,首页!$B$5)+SUMIFS(销售录入!$X$5:$X$404,销售录入!$W$5:$W$404,$B$3,销售录入!$V$5:$V$404,$A28,销售录入!$C$5:$C$404,首页!$B$5)+SUMIFS(销售录入!$AA$5:$AA$404,销售录入!$Z$5:$Z$404,$B$3,销售录入!$Y$5:$Y$404,$A28,销售录入!$C$5:$C$404,首页!$B$5)+SUMIFS(销售录入!$AD$5:$AD$404,销售录入!$AC$5:$AC$404,$B$3,销售录入!$AB$5:$AB$404,$A28,销售录入!$C$5:$C$404,首页!$B$5)+SUMIFS(采购录入!$W$5:$W$404,采购录入!$V$5:$V$404,$B$3,采购录入!$U$5:$U$404,$A28,采购录入!$C$5:$C$404,首页!$B$5)+SUMIFS(采购录入!$Z$5:$Z$404,采购录入!$Y$5:$Y$404,$B$3,采购录入!$X$5:$X$404,$A28,采购录入!$C$5:$C$404,首页!$B$5)+SUMIFS(其他凭证!$H$5:$H$304,其他凭证!$G$5:$G$304,$B$3,其他凭证!$F$5:$F$304,$A28,其他凭证!$C$5:$C$304,首页!$B$5))</f>
        <v>0</v>
      </c>
      <c r="E28" s="44" t="n">
        <f aca="false">IF($A28="","",$C28-$D28)</f>
        <v>0</v>
      </c>
      <c r="F28" s="22" t="str">
        <f aca="false">IF(OR($A28="",AND($C28=0,$D28=0)),"",IF($C28&gt;0,"借 "&amp;$C$3&amp;" / 贷 "&amp;$B28,"")&amp;IF(AND($C28&gt;0,$D28&gt;0)," ；","")&amp;IF($D28&gt;0,"借 "&amp;$B28&amp;" / 贷 "&amp;$C$3,""))</f>
        <v/>
      </c>
    </row>
    <row r="29" customFormat="false" ht="15.75" hidden="false" customHeight="true" outlineLevel="0" collapsed="false">
      <c r="A29" s="42" t="str">
        <f aca="false">IF(科目参数!$A29="","",科目参数!$A29)</f>
        <v>1602</v>
      </c>
      <c r="B29" s="35" t="str">
        <f aca="false">IF($A29="","",科目参数!$B29)</f>
        <v>累计折旧</v>
      </c>
      <c r="C29" s="54" t="n">
        <f aca="false">IF($A29="","",SUMIFS(资金流水!$N$5:$N$504,资金流水!$O$5:$O$504,$B$3,资金流水!$P$5:$P$504,$A29,资金流水!$C$5:$C$504,首页!$B$5)+SUMIFS(销售录入!$X$5:$X$404,销售录入!$V$5:$V$404,$B$3,销售录入!$W$5:$W$404,$A29,销售录入!$C$5:$C$404,首页!$B$5)+SUMIFS(销售录入!$AA$5:$AA$404,销售录入!$Y$5:$Y$404,$B$3,销售录入!$Z$5:$Z$404,$A29,销售录入!$C$5:$C$404,首页!$B$5)+SUMIFS(销售录入!$AD$5:$AD$404,销售录入!$AB$5:$AB$404,$B$3,销售录入!$AC$5:$AC$404,$A29,销售录入!$C$5:$C$404,首页!$B$5)+SUMIFS(采购录入!$W$5:$W$404,采购录入!$U$5:$U$404,$B$3,采购录入!$V$5:$V$404,$A29,采购录入!$C$5:$C$404,首页!$B$5)+SUMIFS(采购录入!$Z$5:$Z$404,采购录入!$X$5:$X$404,$B$3,采购录入!$Y$5:$Y$404,$A29,采购录入!$C$5:$C$404,首页!$B$5)+SUMIFS(其他凭证!$H$5:$H$304,其他凭证!$F$5:$F$304,$B$3,其他凭证!$G$5:$G$304,$A29,其他凭证!$C$5:$C$304,首页!$B$5))</f>
        <v>0</v>
      </c>
      <c r="D29" s="54" t="n">
        <f aca="false">IF($A29="","",SUMIFS(资金流水!$N$5:$N$504,资金流水!$P$5:$P$504,$B$3,资金流水!$O$5:$O$504,$A29,资金流水!$C$5:$C$504,首页!$B$5)+SUMIFS(销售录入!$X$5:$X$404,销售录入!$W$5:$W$404,$B$3,销售录入!$V$5:$V$404,$A29,销售录入!$C$5:$C$404,首页!$B$5)+SUMIFS(销售录入!$AA$5:$AA$404,销售录入!$Z$5:$Z$404,$B$3,销售录入!$Y$5:$Y$404,$A29,销售录入!$C$5:$C$404,首页!$B$5)+SUMIFS(销售录入!$AD$5:$AD$404,销售录入!$AC$5:$AC$404,$B$3,销售录入!$AB$5:$AB$404,$A29,销售录入!$C$5:$C$404,首页!$B$5)+SUMIFS(采购录入!$W$5:$W$404,采购录入!$V$5:$V$404,$B$3,采购录入!$U$5:$U$404,$A29,采购录入!$C$5:$C$404,首页!$B$5)+SUMIFS(采购录入!$Z$5:$Z$404,采购录入!$Y$5:$Y$404,$B$3,采购录入!$X$5:$X$404,$A29,采购录入!$C$5:$C$404,首页!$B$5)+SUMIFS(其他凭证!$H$5:$H$304,其他凭证!$G$5:$G$304,$B$3,其他凭证!$F$5:$F$304,$A29,其他凭证!$C$5:$C$304,首页!$B$5))</f>
        <v>0</v>
      </c>
      <c r="E29" s="44" t="n">
        <f aca="false">IF($A29="","",$C29-$D29)</f>
        <v>0</v>
      </c>
      <c r="F29" s="22" t="str">
        <f aca="false">IF(OR($A29="",AND($C29=0,$D29=0)),"",IF($C29&gt;0,"借 "&amp;$C$3&amp;" / 贷 "&amp;$B29,"")&amp;IF(AND($C29&gt;0,$D29&gt;0)," ；","")&amp;IF($D29&gt;0,"借 "&amp;$B29&amp;" / 贷 "&amp;$C$3,""))</f>
        <v/>
      </c>
    </row>
    <row r="30" customFormat="false" ht="15.75" hidden="false" customHeight="true" outlineLevel="0" collapsed="false">
      <c r="A30" s="42" t="str">
        <f aca="false">IF(科目参数!$A30="","",科目参数!$A30)</f>
        <v>1604</v>
      </c>
      <c r="B30" s="35" t="str">
        <f aca="false">IF($A30="","",科目参数!$B30)</f>
        <v>在建工程</v>
      </c>
      <c r="C30" s="54" t="n">
        <f aca="false">IF($A30="","",SUMIFS(资金流水!$N$5:$N$504,资金流水!$O$5:$O$504,$B$3,资金流水!$P$5:$P$504,$A30,资金流水!$C$5:$C$504,首页!$B$5)+SUMIFS(销售录入!$X$5:$X$404,销售录入!$V$5:$V$404,$B$3,销售录入!$W$5:$W$404,$A30,销售录入!$C$5:$C$404,首页!$B$5)+SUMIFS(销售录入!$AA$5:$AA$404,销售录入!$Y$5:$Y$404,$B$3,销售录入!$Z$5:$Z$404,$A30,销售录入!$C$5:$C$404,首页!$B$5)+SUMIFS(销售录入!$AD$5:$AD$404,销售录入!$AB$5:$AB$404,$B$3,销售录入!$AC$5:$AC$404,$A30,销售录入!$C$5:$C$404,首页!$B$5)+SUMIFS(采购录入!$W$5:$W$404,采购录入!$U$5:$U$404,$B$3,采购录入!$V$5:$V$404,$A30,采购录入!$C$5:$C$404,首页!$B$5)+SUMIFS(采购录入!$Z$5:$Z$404,采购录入!$X$5:$X$404,$B$3,采购录入!$Y$5:$Y$404,$A30,采购录入!$C$5:$C$404,首页!$B$5)+SUMIFS(其他凭证!$H$5:$H$304,其他凭证!$F$5:$F$304,$B$3,其他凭证!$G$5:$G$304,$A30,其他凭证!$C$5:$C$304,首页!$B$5))</f>
        <v>0</v>
      </c>
      <c r="D30" s="54" t="n">
        <f aca="false">IF($A30="","",SUMIFS(资金流水!$N$5:$N$504,资金流水!$P$5:$P$504,$B$3,资金流水!$O$5:$O$504,$A30,资金流水!$C$5:$C$504,首页!$B$5)+SUMIFS(销售录入!$X$5:$X$404,销售录入!$W$5:$W$404,$B$3,销售录入!$V$5:$V$404,$A30,销售录入!$C$5:$C$404,首页!$B$5)+SUMIFS(销售录入!$AA$5:$AA$404,销售录入!$Z$5:$Z$404,$B$3,销售录入!$Y$5:$Y$404,$A30,销售录入!$C$5:$C$404,首页!$B$5)+SUMIFS(销售录入!$AD$5:$AD$404,销售录入!$AC$5:$AC$404,$B$3,销售录入!$AB$5:$AB$404,$A30,销售录入!$C$5:$C$404,首页!$B$5)+SUMIFS(采购录入!$W$5:$W$404,采购录入!$V$5:$V$404,$B$3,采购录入!$U$5:$U$404,$A30,采购录入!$C$5:$C$404,首页!$B$5)+SUMIFS(采购录入!$Z$5:$Z$404,采购录入!$Y$5:$Y$404,$B$3,采购录入!$X$5:$X$404,$A30,采购录入!$C$5:$C$404,首页!$B$5)+SUMIFS(其他凭证!$H$5:$H$304,其他凭证!$G$5:$G$304,$B$3,其他凭证!$F$5:$F$304,$A30,其他凭证!$C$5:$C$304,首页!$B$5))</f>
        <v>0</v>
      </c>
      <c r="E30" s="44" t="n">
        <f aca="false">IF($A30="","",$C30-$D30)</f>
        <v>0</v>
      </c>
      <c r="F30" s="22" t="str">
        <f aca="false">IF(OR($A30="",AND($C30=0,$D30=0)),"",IF($C30&gt;0,"借 "&amp;$C$3&amp;" / 贷 "&amp;$B30,"")&amp;IF(AND($C30&gt;0,$D30&gt;0)," ；","")&amp;IF($D30&gt;0,"借 "&amp;$B30&amp;" / 贷 "&amp;$C$3,""))</f>
        <v/>
      </c>
    </row>
    <row r="31" customFormat="false" ht="15.75" hidden="false" customHeight="true" outlineLevel="0" collapsed="false">
      <c r="A31" s="42" t="str">
        <f aca="false">IF(科目参数!$A31="","",科目参数!$A31)</f>
        <v>1606</v>
      </c>
      <c r="B31" s="35" t="str">
        <f aca="false">IF($A31="","",科目参数!$B31)</f>
        <v>固定资产清理</v>
      </c>
      <c r="C31" s="54" t="n">
        <f aca="false">IF($A31="","",SUMIFS(资金流水!$N$5:$N$504,资金流水!$O$5:$O$504,$B$3,资金流水!$P$5:$P$504,$A31,资金流水!$C$5:$C$504,首页!$B$5)+SUMIFS(销售录入!$X$5:$X$404,销售录入!$V$5:$V$404,$B$3,销售录入!$W$5:$W$404,$A31,销售录入!$C$5:$C$404,首页!$B$5)+SUMIFS(销售录入!$AA$5:$AA$404,销售录入!$Y$5:$Y$404,$B$3,销售录入!$Z$5:$Z$404,$A31,销售录入!$C$5:$C$404,首页!$B$5)+SUMIFS(销售录入!$AD$5:$AD$404,销售录入!$AB$5:$AB$404,$B$3,销售录入!$AC$5:$AC$404,$A31,销售录入!$C$5:$C$404,首页!$B$5)+SUMIFS(采购录入!$W$5:$W$404,采购录入!$U$5:$U$404,$B$3,采购录入!$V$5:$V$404,$A31,采购录入!$C$5:$C$404,首页!$B$5)+SUMIFS(采购录入!$Z$5:$Z$404,采购录入!$X$5:$X$404,$B$3,采购录入!$Y$5:$Y$404,$A31,采购录入!$C$5:$C$404,首页!$B$5)+SUMIFS(其他凭证!$H$5:$H$304,其他凭证!$F$5:$F$304,$B$3,其他凭证!$G$5:$G$304,$A31,其他凭证!$C$5:$C$304,首页!$B$5))</f>
        <v>0</v>
      </c>
      <c r="D31" s="54" t="n">
        <f aca="false">IF($A31="","",SUMIFS(资金流水!$N$5:$N$504,资金流水!$P$5:$P$504,$B$3,资金流水!$O$5:$O$504,$A31,资金流水!$C$5:$C$504,首页!$B$5)+SUMIFS(销售录入!$X$5:$X$404,销售录入!$W$5:$W$404,$B$3,销售录入!$V$5:$V$404,$A31,销售录入!$C$5:$C$404,首页!$B$5)+SUMIFS(销售录入!$AA$5:$AA$404,销售录入!$Z$5:$Z$404,$B$3,销售录入!$Y$5:$Y$404,$A31,销售录入!$C$5:$C$404,首页!$B$5)+SUMIFS(销售录入!$AD$5:$AD$404,销售录入!$AC$5:$AC$404,$B$3,销售录入!$AB$5:$AB$404,$A31,销售录入!$C$5:$C$404,首页!$B$5)+SUMIFS(采购录入!$W$5:$W$404,采购录入!$V$5:$V$404,$B$3,采购录入!$U$5:$U$404,$A31,采购录入!$C$5:$C$404,首页!$B$5)+SUMIFS(采购录入!$Z$5:$Z$404,采购录入!$Y$5:$Y$404,$B$3,采购录入!$X$5:$X$404,$A31,采购录入!$C$5:$C$404,首页!$B$5)+SUMIFS(其他凭证!$H$5:$H$304,其他凭证!$G$5:$G$304,$B$3,其他凭证!$F$5:$F$304,$A31,其他凭证!$C$5:$C$304,首页!$B$5))</f>
        <v>0</v>
      </c>
      <c r="E31" s="44" t="n">
        <f aca="false">IF($A31="","",$C31-$D31)</f>
        <v>0</v>
      </c>
      <c r="F31" s="22" t="str">
        <f aca="false">IF(OR($A31="",AND($C31=0,$D31=0)),"",IF($C31&gt;0,"借 "&amp;$C$3&amp;" / 贷 "&amp;$B31,"")&amp;IF(AND($C31&gt;0,$D31&gt;0)," ；","")&amp;IF($D31&gt;0,"借 "&amp;$B31&amp;" / 贷 "&amp;$C$3,""))</f>
        <v/>
      </c>
    </row>
    <row r="32" customFormat="false" ht="15.75" hidden="false" customHeight="true" outlineLevel="0" collapsed="false">
      <c r="A32" s="42" t="str">
        <f aca="false">IF(科目参数!$A32="","",科目参数!$A32)</f>
        <v>1701</v>
      </c>
      <c r="B32" s="35" t="str">
        <f aca="false">IF($A32="","",科目参数!$B32)</f>
        <v>无形资产</v>
      </c>
      <c r="C32" s="54" t="n">
        <f aca="false">IF($A32="","",SUMIFS(资金流水!$N$5:$N$504,资金流水!$O$5:$O$504,$B$3,资金流水!$P$5:$P$504,$A32,资金流水!$C$5:$C$504,首页!$B$5)+SUMIFS(销售录入!$X$5:$X$404,销售录入!$V$5:$V$404,$B$3,销售录入!$W$5:$W$404,$A32,销售录入!$C$5:$C$404,首页!$B$5)+SUMIFS(销售录入!$AA$5:$AA$404,销售录入!$Y$5:$Y$404,$B$3,销售录入!$Z$5:$Z$404,$A32,销售录入!$C$5:$C$404,首页!$B$5)+SUMIFS(销售录入!$AD$5:$AD$404,销售录入!$AB$5:$AB$404,$B$3,销售录入!$AC$5:$AC$404,$A32,销售录入!$C$5:$C$404,首页!$B$5)+SUMIFS(采购录入!$W$5:$W$404,采购录入!$U$5:$U$404,$B$3,采购录入!$V$5:$V$404,$A32,采购录入!$C$5:$C$404,首页!$B$5)+SUMIFS(采购录入!$Z$5:$Z$404,采购录入!$X$5:$X$404,$B$3,采购录入!$Y$5:$Y$404,$A32,采购录入!$C$5:$C$404,首页!$B$5)+SUMIFS(其他凭证!$H$5:$H$304,其他凭证!$F$5:$F$304,$B$3,其他凭证!$G$5:$G$304,$A32,其他凭证!$C$5:$C$304,首页!$B$5))</f>
        <v>0</v>
      </c>
      <c r="D32" s="54" t="n">
        <f aca="false">IF($A32="","",SUMIFS(资金流水!$N$5:$N$504,资金流水!$P$5:$P$504,$B$3,资金流水!$O$5:$O$504,$A32,资金流水!$C$5:$C$504,首页!$B$5)+SUMIFS(销售录入!$X$5:$X$404,销售录入!$W$5:$W$404,$B$3,销售录入!$V$5:$V$404,$A32,销售录入!$C$5:$C$404,首页!$B$5)+SUMIFS(销售录入!$AA$5:$AA$404,销售录入!$Z$5:$Z$404,$B$3,销售录入!$Y$5:$Y$404,$A32,销售录入!$C$5:$C$404,首页!$B$5)+SUMIFS(销售录入!$AD$5:$AD$404,销售录入!$AC$5:$AC$404,$B$3,销售录入!$AB$5:$AB$404,$A32,销售录入!$C$5:$C$404,首页!$B$5)+SUMIFS(采购录入!$W$5:$W$404,采购录入!$V$5:$V$404,$B$3,采购录入!$U$5:$U$404,$A32,采购录入!$C$5:$C$404,首页!$B$5)+SUMIFS(采购录入!$Z$5:$Z$404,采购录入!$Y$5:$Y$404,$B$3,采购录入!$X$5:$X$404,$A32,采购录入!$C$5:$C$404,首页!$B$5)+SUMIFS(其他凭证!$H$5:$H$304,其他凭证!$G$5:$G$304,$B$3,其他凭证!$F$5:$F$304,$A32,其他凭证!$C$5:$C$304,首页!$B$5))</f>
        <v>0</v>
      </c>
      <c r="E32" s="44" t="n">
        <f aca="false">IF($A32="","",$C32-$D32)</f>
        <v>0</v>
      </c>
      <c r="F32" s="22" t="str">
        <f aca="false">IF(OR($A32="",AND($C32=0,$D32=0)),"",IF($C32&gt;0,"借 "&amp;$C$3&amp;" / 贷 "&amp;$B32,"")&amp;IF(AND($C32&gt;0,$D32&gt;0)," ；","")&amp;IF($D32&gt;0,"借 "&amp;$B32&amp;" / 贷 "&amp;$C$3,""))</f>
        <v/>
      </c>
    </row>
    <row r="33" customFormat="false" ht="15.75" hidden="false" customHeight="true" outlineLevel="0" collapsed="false">
      <c r="A33" s="42" t="str">
        <f aca="false">IF(科目参数!$A33="","",科目参数!$A33)</f>
        <v>1702</v>
      </c>
      <c r="B33" s="35" t="str">
        <f aca="false">IF($A33="","",科目参数!$B33)</f>
        <v>累计摊销</v>
      </c>
      <c r="C33" s="54" t="n">
        <f aca="false">IF($A33="","",SUMIFS(资金流水!$N$5:$N$504,资金流水!$O$5:$O$504,$B$3,资金流水!$P$5:$P$504,$A33,资金流水!$C$5:$C$504,首页!$B$5)+SUMIFS(销售录入!$X$5:$X$404,销售录入!$V$5:$V$404,$B$3,销售录入!$W$5:$W$404,$A33,销售录入!$C$5:$C$404,首页!$B$5)+SUMIFS(销售录入!$AA$5:$AA$404,销售录入!$Y$5:$Y$404,$B$3,销售录入!$Z$5:$Z$404,$A33,销售录入!$C$5:$C$404,首页!$B$5)+SUMIFS(销售录入!$AD$5:$AD$404,销售录入!$AB$5:$AB$404,$B$3,销售录入!$AC$5:$AC$404,$A33,销售录入!$C$5:$C$404,首页!$B$5)+SUMIFS(采购录入!$W$5:$W$404,采购录入!$U$5:$U$404,$B$3,采购录入!$V$5:$V$404,$A33,采购录入!$C$5:$C$404,首页!$B$5)+SUMIFS(采购录入!$Z$5:$Z$404,采购录入!$X$5:$X$404,$B$3,采购录入!$Y$5:$Y$404,$A33,采购录入!$C$5:$C$404,首页!$B$5)+SUMIFS(其他凭证!$H$5:$H$304,其他凭证!$F$5:$F$304,$B$3,其他凭证!$G$5:$G$304,$A33,其他凭证!$C$5:$C$304,首页!$B$5))</f>
        <v>0</v>
      </c>
      <c r="D33" s="54" t="n">
        <f aca="false">IF($A33="","",SUMIFS(资金流水!$N$5:$N$504,资金流水!$P$5:$P$504,$B$3,资金流水!$O$5:$O$504,$A33,资金流水!$C$5:$C$504,首页!$B$5)+SUMIFS(销售录入!$X$5:$X$404,销售录入!$W$5:$W$404,$B$3,销售录入!$V$5:$V$404,$A33,销售录入!$C$5:$C$404,首页!$B$5)+SUMIFS(销售录入!$AA$5:$AA$404,销售录入!$Z$5:$Z$404,$B$3,销售录入!$Y$5:$Y$404,$A33,销售录入!$C$5:$C$404,首页!$B$5)+SUMIFS(销售录入!$AD$5:$AD$404,销售录入!$AC$5:$AC$404,$B$3,销售录入!$AB$5:$AB$404,$A33,销售录入!$C$5:$C$404,首页!$B$5)+SUMIFS(采购录入!$W$5:$W$404,采购录入!$V$5:$V$404,$B$3,采购录入!$U$5:$U$404,$A33,采购录入!$C$5:$C$404,首页!$B$5)+SUMIFS(采购录入!$Z$5:$Z$404,采购录入!$Y$5:$Y$404,$B$3,采购录入!$X$5:$X$404,$A33,采购录入!$C$5:$C$404,首页!$B$5)+SUMIFS(其他凭证!$H$5:$H$304,其他凭证!$G$5:$G$304,$B$3,其他凭证!$F$5:$F$304,$A33,其他凭证!$C$5:$C$304,首页!$B$5))</f>
        <v>0</v>
      </c>
      <c r="E33" s="44" t="n">
        <f aca="false">IF($A33="","",$C33-$D33)</f>
        <v>0</v>
      </c>
      <c r="F33" s="22" t="str">
        <f aca="false">IF(OR($A33="",AND($C33=0,$D33=0)),"",IF($C33&gt;0,"借 "&amp;$C$3&amp;" / 贷 "&amp;$B33,"")&amp;IF(AND($C33&gt;0,$D33&gt;0)," ；","")&amp;IF($D33&gt;0,"借 "&amp;$B33&amp;" / 贷 "&amp;$C$3,""))</f>
        <v/>
      </c>
    </row>
    <row r="34" customFormat="false" ht="15.75" hidden="false" customHeight="true" outlineLevel="0" collapsed="false">
      <c r="A34" s="42" t="str">
        <f aca="false">IF(科目参数!$A34="","",科目参数!$A34)</f>
        <v>1801</v>
      </c>
      <c r="B34" s="35" t="str">
        <f aca="false">IF($A34="","",科目参数!$B34)</f>
        <v>长期待摊费用</v>
      </c>
      <c r="C34" s="54" t="n">
        <f aca="false">IF($A34="","",SUMIFS(资金流水!$N$5:$N$504,资金流水!$O$5:$O$504,$B$3,资金流水!$P$5:$P$504,$A34,资金流水!$C$5:$C$504,首页!$B$5)+SUMIFS(销售录入!$X$5:$X$404,销售录入!$V$5:$V$404,$B$3,销售录入!$W$5:$W$404,$A34,销售录入!$C$5:$C$404,首页!$B$5)+SUMIFS(销售录入!$AA$5:$AA$404,销售录入!$Y$5:$Y$404,$B$3,销售录入!$Z$5:$Z$404,$A34,销售录入!$C$5:$C$404,首页!$B$5)+SUMIFS(销售录入!$AD$5:$AD$404,销售录入!$AB$5:$AB$404,$B$3,销售录入!$AC$5:$AC$404,$A34,销售录入!$C$5:$C$404,首页!$B$5)+SUMIFS(采购录入!$W$5:$W$404,采购录入!$U$5:$U$404,$B$3,采购录入!$V$5:$V$404,$A34,采购录入!$C$5:$C$404,首页!$B$5)+SUMIFS(采购录入!$Z$5:$Z$404,采购录入!$X$5:$X$404,$B$3,采购录入!$Y$5:$Y$404,$A34,采购录入!$C$5:$C$404,首页!$B$5)+SUMIFS(其他凭证!$H$5:$H$304,其他凭证!$F$5:$F$304,$B$3,其他凭证!$G$5:$G$304,$A34,其他凭证!$C$5:$C$304,首页!$B$5))</f>
        <v>0</v>
      </c>
      <c r="D34" s="54" t="n">
        <f aca="false">IF($A34="","",SUMIFS(资金流水!$N$5:$N$504,资金流水!$P$5:$P$504,$B$3,资金流水!$O$5:$O$504,$A34,资金流水!$C$5:$C$504,首页!$B$5)+SUMIFS(销售录入!$X$5:$X$404,销售录入!$W$5:$W$404,$B$3,销售录入!$V$5:$V$404,$A34,销售录入!$C$5:$C$404,首页!$B$5)+SUMIFS(销售录入!$AA$5:$AA$404,销售录入!$Z$5:$Z$404,$B$3,销售录入!$Y$5:$Y$404,$A34,销售录入!$C$5:$C$404,首页!$B$5)+SUMIFS(销售录入!$AD$5:$AD$404,销售录入!$AC$5:$AC$404,$B$3,销售录入!$AB$5:$AB$404,$A34,销售录入!$C$5:$C$404,首页!$B$5)+SUMIFS(采购录入!$W$5:$W$404,采购录入!$V$5:$V$404,$B$3,采购录入!$U$5:$U$404,$A34,采购录入!$C$5:$C$404,首页!$B$5)+SUMIFS(采购录入!$Z$5:$Z$404,采购录入!$Y$5:$Y$404,$B$3,采购录入!$X$5:$X$404,$A34,采购录入!$C$5:$C$404,首页!$B$5)+SUMIFS(其他凭证!$H$5:$H$304,其他凭证!$G$5:$G$304,$B$3,其他凭证!$F$5:$F$304,$A34,其他凭证!$C$5:$C$304,首页!$B$5))</f>
        <v>0</v>
      </c>
      <c r="E34" s="44" t="n">
        <f aca="false">IF($A34="","",$C34-$D34)</f>
        <v>0</v>
      </c>
      <c r="F34" s="22" t="str">
        <f aca="false">IF(OR($A34="",AND($C34=0,$D34=0)),"",IF($C34&gt;0,"借 "&amp;$C$3&amp;" / 贷 "&amp;$B34,"")&amp;IF(AND($C34&gt;0,$D34&gt;0)," ；","")&amp;IF($D34&gt;0,"借 "&amp;$B34&amp;" / 贷 "&amp;$C$3,""))</f>
        <v/>
      </c>
    </row>
    <row r="35" customFormat="false" ht="15.75" hidden="false" customHeight="true" outlineLevel="0" collapsed="false">
      <c r="A35" s="42" t="str">
        <f aca="false">IF(科目参数!$A35="","",科目参数!$A35)</f>
        <v>1811</v>
      </c>
      <c r="B35" s="35" t="str">
        <f aca="false">IF($A35="","",科目参数!$B35)</f>
        <v>递延所得税资产</v>
      </c>
      <c r="C35" s="54" t="n">
        <f aca="false">IF($A35="","",SUMIFS(资金流水!$N$5:$N$504,资金流水!$O$5:$O$504,$B$3,资金流水!$P$5:$P$504,$A35,资金流水!$C$5:$C$504,首页!$B$5)+SUMIFS(销售录入!$X$5:$X$404,销售录入!$V$5:$V$404,$B$3,销售录入!$W$5:$W$404,$A35,销售录入!$C$5:$C$404,首页!$B$5)+SUMIFS(销售录入!$AA$5:$AA$404,销售录入!$Y$5:$Y$404,$B$3,销售录入!$Z$5:$Z$404,$A35,销售录入!$C$5:$C$404,首页!$B$5)+SUMIFS(销售录入!$AD$5:$AD$404,销售录入!$AB$5:$AB$404,$B$3,销售录入!$AC$5:$AC$404,$A35,销售录入!$C$5:$C$404,首页!$B$5)+SUMIFS(采购录入!$W$5:$W$404,采购录入!$U$5:$U$404,$B$3,采购录入!$V$5:$V$404,$A35,采购录入!$C$5:$C$404,首页!$B$5)+SUMIFS(采购录入!$Z$5:$Z$404,采购录入!$X$5:$X$404,$B$3,采购录入!$Y$5:$Y$404,$A35,采购录入!$C$5:$C$404,首页!$B$5)+SUMIFS(其他凭证!$H$5:$H$304,其他凭证!$F$5:$F$304,$B$3,其他凭证!$G$5:$G$304,$A35,其他凭证!$C$5:$C$304,首页!$B$5))</f>
        <v>0</v>
      </c>
      <c r="D35" s="54" t="n">
        <f aca="false">IF($A35="","",SUMIFS(资金流水!$N$5:$N$504,资金流水!$P$5:$P$504,$B$3,资金流水!$O$5:$O$504,$A35,资金流水!$C$5:$C$504,首页!$B$5)+SUMIFS(销售录入!$X$5:$X$404,销售录入!$W$5:$W$404,$B$3,销售录入!$V$5:$V$404,$A35,销售录入!$C$5:$C$404,首页!$B$5)+SUMIFS(销售录入!$AA$5:$AA$404,销售录入!$Z$5:$Z$404,$B$3,销售录入!$Y$5:$Y$404,$A35,销售录入!$C$5:$C$404,首页!$B$5)+SUMIFS(销售录入!$AD$5:$AD$404,销售录入!$AC$5:$AC$404,$B$3,销售录入!$AB$5:$AB$404,$A35,销售录入!$C$5:$C$404,首页!$B$5)+SUMIFS(采购录入!$W$5:$W$404,采购录入!$V$5:$V$404,$B$3,采购录入!$U$5:$U$404,$A35,采购录入!$C$5:$C$404,首页!$B$5)+SUMIFS(采购录入!$Z$5:$Z$404,采购录入!$Y$5:$Y$404,$B$3,采购录入!$X$5:$X$404,$A35,采购录入!$C$5:$C$404,首页!$B$5)+SUMIFS(其他凭证!$H$5:$H$304,其他凭证!$G$5:$G$304,$B$3,其他凭证!$F$5:$F$304,$A35,其他凭证!$C$5:$C$304,首页!$B$5))</f>
        <v>0</v>
      </c>
      <c r="E35" s="44" t="n">
        <f aca="false">IF($A35="","",$C35-$D35)</f>
        <v>0</v>
      </c>
      <c r="F35" s="22" t="str">
        <f aca="false">IF(OR($A35="",AND($C35=0,$D35=0)),"",IF($C35&gt;0,"借 "&amp;$C$3&amp;" / 贷 "&amp;$B35,"")&amp;IF(AND($C35&gt;0,$D35&gt;0)," ；","")&amp;IF($D35&gt;0,"借 "&amp;$B35&amp;" / 贷 "&amp;$C$3,""))</f>
        <v/>
      </c>
    </row>
    <row r="36" customFormat="false" ht="15.75" hidden="false" customHeight="true" outlineLevel="0" collapsed="false">
      <c r="A36" s="42" t="str">
        <f aca="false">IF(科目参数!$A36="","",科目参数!$A36)</f>
        <v>1901</v>
      </c>
      <c r="B36" s="35" t="str">
        <f aca="false">IF($A36="","",科目参数!$B36)</f>
        <v>待处理财产损溢</v>
      </c>
      <c r="C36" s="54" t="n">
        <f aca="false">IF($A36="","",SUMIFS(资金流水!$N$5:$N$504,资金流水!$O$5:$O$504,$B$3,资金流水!$P$5:$P$504,$A36,资金流水!$C$5:$C$504,首页!$B$5)+SUMIFS(销售录入!$X$5:$X$404,销售录入!$V$5:$V$404,$B$3,销售录入!$W$5:$W$404,$A36,销售录入!$C$5:$C$404,首页!$B$5)+SUMIFS(销售录入!$AA$5:$AA$404,销售录入!$Y$5:$Y$404,$B$3,销售录入!$Z$5:$Z$404,$A36,销售录入!$C$5:$C$404,首页!$B$5)+SUMIFS(销售录入!$AD$5:$AD$404,销售录入!$AB$5:$AB$404,$B$3,销售录入!$AC$5:$AC$404,$A36,销售录入!$C$5:$C$404,首页!$B$5)+SUMIFS(采购录入!$W$5:$W$404,采购录入!$U$5:$U$404,$B$3,采购录入!$V$5:$V$404,$A36,采购录入!$C$5:$C$404,首页!$B$5)+SUMIFS(采购录入!$Z$5:$Z$404,采购录入!$X$5:$X$404,$B$3,采购录入!$Y$5:$Y$404,$A36,采购录入!$C$5:$C$404,首页!$B$5)+SUMIFS(其他凭证!$H$5:$H$304,其他凭证!$F$5:$F$304,$B$3,其他凭证!$G$5:$G$304,$A36,其他凭证!$C$5:$C$304,首页!$B$5))</f>
        <v>0</v>
      </c>
      <c r="D36" s="54" t="n">
        <f aca="false">IF($A36="","",SUMIFS(资金流水!$N$5:$N$504,资金流水!$P$5:$P$504,$B$3,资金流水!$O$5:$O$504,$A36,资金流水!$C$5:$C$504,首页!$B$5)+SUMIFS(销售录入!$X$5:$X$404,销售录入!$W$5:$W$404,$B$3,销售录入!$V$5:$V$404,$A36,销售录入!$C$5:$C$404,首页!$B$5)+SUMIFS(销售录入!$AA$5:$AA$404,销售录入!$Z$5:$Z$404,$B$3,销售录入!$Y$5:$Y$404,$A36,销售录入!$C$5:$C$404,首页!$B$5)+SUMIFS(销售录入!$AD$5:$AD$404,销售录入!$AC$5:$AC$404,$B$3,销售录入!$AB$5:$AB$404,$A36,销售录入!$C$5:$C$404,首页!$B$5)+SUMIFS(采购录入!$W$5:$W$404,采购录入!$V$5:$V$404,$B$3,采购录入!$U$5:$U$404,$A36,采购录入!$C$5:$C$404,首页!$B$5)+SUMIFS(采购录入!$Z$5:$Z$404,采购录入!$Y$5:$Y$404,$B$3,采购录入!$X$5:$X$404,$A36,采购录入!$C$5:$C$404,首页!$B$5)+SUMIFS(其他凭证!$H$5:$H$304,其他凭证!$G$5:$G$304,$B$3,其他凭证!$F$5:$F$304,$A36,其他凭证!$C$5:$C$304,首页!$B$5))</f>
        <v>0</v>
      </c>
      <c r="E36" s="44" t="n">
        <f aca="false">IF($A36="","",$C36-$D36)</f>
        <v>0</v>
      </c>
      <c r="F36" s="22" t="str">
        <f aca="false">IF(OR($A36="",AND($C36=0,$D36=0)),"",IF($C36&gt;0,"借 "&amp;$C$3&amp;" / 贷 "&amp;$B36,"")&amp;IF(AND($C36&gt;0,$D36&gt;0)," ；","")&amp;IF($D36&gt;0,"借 "&amp;$B36&amp;" / 贷 "&amp;$C$3,""))</f>
        <v/>
      </c>
    </row>
    <row r="37" customFormat="false" ht="15.75" hidden="false" customHeight="true" outlineLevel="0" collapsed="false">
      <c r="A37" s="42" t="str">
        <f aca="false">IF(科目参数!$A37="","",科目参数!$A37)</f>
        <v>1905</v>
      </c>
      <c r="B37" s="35" t="str">
        <f aca="false">IF($A37="","",科目参数!$B37)</f>
        <v>其他流动资产</v>
      </c>
      <c r="C37" s="54" t="n">
        <f aca="false">IF($A37="","",SUMIFS(资金流水!$N$5:$N$504,资金流水!$O$5:$O$504,$B$3,资金流水!$P$5:$P$504,$A37,资金流水!$C$5:$C$504,首页!$B$5)+SUMIFS(销售录入!$X$5:$X$404,销售录入!$V$5:$V$404,$B$3,销售录入!$W$5:$W$404,$A37,销售录入!$C$5:$C$404,首页!$B$5)+SUMIFS(销售录入!$AA$5:$AA$404,销售录入!$Y$5:$Y$404,$B$3,销售录入!$Z$5:$Z$404,$A37,销售录入!$C$5:$C$404,首页!$B$5)+SUMIFS(销售录入!$AD$5:$AD$404,销售录入!$AB$5:$AB$404,$B$3,销售录入!$AC$5:$AC$404,$A37,销售录入!$C$5:$C$404,首页!$B$5)+SUMIFS(采购录入!$W$5:$W$404,采购录入!$U$5:$U$404,$B$3,采购录入!$V$5:$V$404,$A37,采购录入!$C$5:$C$404,首页!$B$5)+SUMIFS(采购录入!$Z$5:$Z$404,采购录入!$X$5:$X$404,$B$3,采购录入!$Y$5:$Y$404,$A37,采购录入!$C$5:$C$404,首页!$B$5)+SUMIFS(其他凭证!$H$5:$H$304,其他凭证!$F$5:$F$304,$B$3,其他凭证!$G$5:$G$304,$A37,其他凭证!$C$5:$C$304,首页!$B$5))</f>
        <v>0</v>
      </c>
      <c r="D37" s="54" t="n">
        <f aca="false">IF($A37="","",SUMIFS(资金流水!$N$5:$N$504,资金流水!$P$5:$P$504,$B$3,资金流水!$O$5:$O$504,$A37,资金流水!$C$5:$C$504,首页!$B$5)+SUMIFS(销售录入!$X$5:$X$404,销售录入!$W$5:$W$404,$B$3,销售录入!$V$5:$V$404,$A37,销售录入!$C$5:$C$404,首页!$B$5)+SUMIFS(销售录入!$AA$5:$AA$404,销售录入!$Z$5:$Z$404,$B$3,销售录入!$Y$5:$Y$404,$A37,销售录入!$C$5:$C$404,首页!$B$5)+SUMIFS(销售录入!$AD$5:$AD$404,销售录入!$AC$5:$AC$404,$B$3,销售录入!$AB$5:$AB$404,$A37,销售录入!$C$5:$C$404,首页!$B$5)+SUMIFS(采购录入!$W$5:$W$404,采购录入!$V$5:$V$404,$B$3,采购录入!$U$5:$U$404,$A37,采购录入!$C$5:$C$404,首页!$B$5)+SUMIFS(采购录入!$Z$5:$Z$404,采购录入!$Y$5:$Y$404,$B$3,采购录入!$X$5:$X$404,$A37,采购录入!$C$5:$C$404,首页!$B$5)+SUMIFS(其他凭证!$H$5:$H$304,其他凭证!$G$5:$G$304,$B$3,其他凭证!$F$5:$F$304,$A37,其他凭证!$C$5:$C$304,首页!$B$5))</f>
        <v>0</v>
      </c>
      <c r="E37" s="44" t="n">
        <f aca="false">IF($A37="","",$C37-$D37)</f>
        <v>0</v>
      </c>
      <c r="F37" s="22" t="str">
        <f aca="false">IF(OR($A37="",AND($C37=0,$D37=0)),"",IF($C37&gt;0,"借 "&amp;$C$3&amp;" / 贷 "&amp;$B37,"")&amp;IF(AND($C37&gt;0,$D37&gt;0)," ；","")&amp;IF($D37&gt;0,"借 "&amp;$B37&amp;" / 贷 "&amp;$C$3,""))</f>
        <v/>
      </c>
    </row>
    <row r="38" customFormat="false" ht="15.75" hidden="false" customHeight="true" outlineLevel="0" collapsed="false">
      <c r="A38" s="42" t="str">
        <f aca="false">IF(科目参数!$A38="","",科目参数!$A38)</f>
        <v>2001</v>
      </c>
      <c r="B38" s="35" t="str">
        <f aca="false">IF($A38="","",科目参数!$B38)</f>
        <v>短期借款</v>
      </c>
      <c r="C38" s="54" t="n">
        <f aca="false">IF($A38="","",SUMIFS(资金流水!$N$5:$N$504,资金流水!$O$5:$O$504,$B$3,资金流水!$P$5:$P$504,$A38,资金流水!$C$5:$C$504,首页!$B$5)+SUMIFS(销售录入!$X$5:$X$404,销售录入!$V$5:$V$404,$B$3,销售录入!$W$5:$W$404,$A38,销售录入!$C$5:$C$404,首页!$B$5)+SUMIFS(销售录入!$AA$5:$AA$404,销售录入!$Y$5:$Y$404,$B$3,销售录入!$Z$5:$Z$404,$A38,销售录入!$C$5:$C$404,首页!$B$5)+SUMIFS(销售录入!$AD$5:$AD$404,销售录入!$AB$5:$AB$404,$B$3,销售录入!$AC$5:$AC$404,$A38,销售录入!$C$5:$C$404,首页!$B$5)+SUMIFS(采购录入!$W$5:$W$404,采购录入!$U$5:$U$404,$B$3,采购录入!$V$5:$V$404,$A38,采购录入!$C$5:$C$404,首页!$B$5)+SUMIFS(采购录入!$Z$5:$Z$404,采购录入!$X$5:$X$404,$B$3,采购录入!$Y$5:$Y$404,$A38,采购录入!$C$5:$C$404,首页!$B$5)+SUMIFS(其他凭证!$H$5:$H$304,其他凭证!$F$5:$F$304,$B$3,其他凭证!$G$5:$G$304,$A38,其他凭证!$C$5:$C$304,首页!$B$5))</f>
        <v>0</v>
      </c>
      <c r="D38" s="54" t="n">
        <f aca="false">IF($A38="","",SUMIFS(资金流水!$N$5:$N$504,资金流水!$P$5:$P$504,$B$3,资金流水!$O$5:$O$504,$A38,资金流水!$C$5:$C$504,首页!$B$5)+SUMIFS(销售录入!$X$5:$X$404,销售录入!$W$5:$W$404,$B$3,销售录入!$V$5:$V$404,$A38,销售录入!$C$5:$C$404,首页!$B$5)+SUMIFS(销售录入!$AA$5:$AA$404,销售录入!$Z$5:$Z$404,$B$3,销售录入!$Y$5:$Y$404,$A38,销售录入!$C$5:$C$404,首页!$B$5)+SUMIFS(销售录入!$AD$5:$AD$404,销售录入!$AC$5:$AC$404,$B$3,销售录入!$AB$5:$AB$404,$A38,销售录入!$C$5:$C$404,首页!$B$5)+SUMIFS(采购录入!$W$5:$W$404,采购录入!$V$5:$V$404,$B$3,采购录入!$U$5:$U$404,$A38,采购录入!$C$5:$C$404,首页!$B$5)+SUMIFS(采购录入!$Z$5:$Z$404,采购录入!$Y$5:$Y$404,$B$3,采购录入!$X$5:$X$404,$A38,采购录入!$C$5:$C$404,首页!$B$5)+SUMIFS(其他凭证!$H$5:$H$304,其他凭证!$G$5:$G$304,$B$3,其他凭证!$F$5:$F$304,$A38,其他凭证!$C$5:$C$304,首页!$B$5))</f>
        <v>0</v>
      </c>
      <c r="E38" s="44" t="n">
        <f aca="false">IF($A38="","",$C38-$D38)</f>
        <v>0</v>
      </c>
      <c r="F38" s="22" t="str">
        <f aca="false">IF(OR($A38="",AND($C38=0,$D38=0)),"",IF($C38&gt;0,"借 "&amp;$C$3&amp;" / 贷 "&amp;$B38,"")&amp;IF(AND($C38&gt;0,$D38&gt;0)," ；","")&amp;IF($D38&gt;0,"借 "&amp;$B38&amp;" / 贷 "&amp;$C$3,""))</f>
        <v/>
      </c>
    </row>
    <row r="39" customFormat="false" ht="15.75" hidden="false" customHeight="true" outlineLevel="0" collapsed="false">
      <c r="A39" s="42" t="str">
        <f aca="false">IF(科目参数!$A39="","",科目参数!$A39)</f>
        <v>2201</v>
      </c>
      <c r="B39" s="35" t="str">
        <f aca="false">IF($A39="","",科目参数!$B39)</f>
        <v>应付票据</v>
      </c>
      <c r="C39" s="54" t="n">
        <f aca="false">IF($A39="","",SUMIFS(资金流水!$N$5:$N$504,资金流水!$O$5:$O$504,$B$3,资金流水!$P$5:$P$504,$A39,资金流水!$C$5:$C$504,首页!$B$5)+SUMIFS(销售录入!$X$5:$X$404,销售录入!$V$5:$V$404,$B$3,销售录入!$W$5:$W$404,$A39,销售录入!$C$5:$C$404,首页!$B$5)+SUMIFS(销售录入!$AA$5:$AA$404,销售录入!$Y$5:$Y$404,$B$3,销售录入!$Z$5:$Z$404,$A39,销售录入!$C$5:$C$404,首页!$B$5)+SUMIFS(销售录入!$AD$5:$AD$404,销售录入!$AB$5:$AB$404,$B$3,销售录入!$AC$5:$AC$404,$A39,销售录入!$C$5:$C$404,首页!$B$5)+SUMIFS(采购录入!$W$5:$W$404,采购录入!$U$5:$U$404,$B$3,采购录入!$V$5:$V$404,$A39,采购录入!$C$5:$C$404,首页!$B$5)+SUMIFS(采购录入!$Z$5:$Z$404,采购录入!$X$5:$X$404,$B$3,采购录入!$Y$5:$Y$404,$A39,采购录入!$C$5:$C$404,首页!$B$5)+SUMIFS(其他凭证!$H$5:$H$304,其他凭证!$F$5:$F$304,$B$3,其他凭证!$G$5:$G$304,$A39,其他凭证!$C$5:$C$304,首页!$B$5))</f>
        <v>0</v>
      </c>
      <c r="D39" s="54" t="n">
        <f aca="false">IF($A39="","",SUMIFS(资金流水!$N$5:$N$504,资金流水!$P$5:$P$504,$B$3,资金流水!$O$5:$O$504,$A39,资金流水!$C$5:$C$504,首页!$B$5)+SUMIFS(销售录入!$X$5:$X$404,销售录入!$W$5:$W$404,$B$3,销售录入!$V$5:$V$404,$A39,销售录入!$C$5:$C$404,首页!$B$5)+SUMIFS(销售录入!$AA$5:$AA$404,销售录入!$Z$5:$Z$404,$B$3,销售录入!$Y$5:$Y$404,$A39,销售录入!$C$5:$C$404,首页!$B$5)+SUMIFS(销售录入!$AD$5:$AD$404,销售录入!$AC$5:$AC$404,$B$3,销售录入!$AB$5:$AB$404,$A39,销售录入!$C$5:$C$404,首页!$B$5)+SUMIFS(采购录入!$W$5:$W$404,采购录入!$V$5:$V$404,$B$3,采购录入!$U$5:$U$404,$A39,采购录入!$C$5:$C$404,首页!$B$5)+SUMIFS(采购录入!$Z$5:$Z$404,采购录入!$Y$5:$Y$404,$B$3,采购录入!$X$5:$X$404,$A39,采购录入!$C$5:$C$404,首页!$B$5)+SUMIFS(其他凭证!$H$5:$H$304,其他凭证!$G$5:$G$304,$B$3,其他凭证!$F$5:$F$304,$A39,其他凭证!$C$5:$C$304,首页!$B$5))</f>
        <v>0</v>
      </c>
      <c r="E39" s="44" t="n">
        <f aca="false">IF($A39="","",$C39-$D39)</f>
        <v>0</v>
      </c>
      <c r="F39" s="22" t="str">
        <f aca="false">IF(OR($A39="",AND($C39=0,$D39=0)),"",IF($C39&gt;0,"借 "&amp;$C$3&amp;" / 贷 "&amp;$B39,"")&amp;IF(AND($C39&gt;0,$D39&gt;0)," ；","")&amp;IF($D39&gt;0,"借 "&amp;$B39&amp;" / 贷 "&amp;$C$3,""))</f>
        <v/>
      </c>
    </row>
    <row r="40" customFormat="false" ht="15.75" hidden="false" customHeight="true" outlineLevel="0" collapsed="false">
      <c r="A40" s="42" t="str">
        <f aca="false">IF(科目参数!$A40="","",科目参数!$A40)</f>
        <v>2202</v>
      </c>
      <c r="B40" s="35" t="str">
        <f aca="false">IF($A40="","",科目参数!$B40)</f>
        <v>应付账款</v>
      </c>
      <c r="C40" s="54" t="n">
        <f aca="false">IF($A40="","",SUMIFS(资金流水!$N$5:$N$504,资金流水!$O$5:$O$504,$B$3,资金流水!$P$5:$P$504,$A40,资金流水!$C$5:$C$504,首页!$B$5)+SUMIFS(销售录入!$X$5:$X$404,销售录入!$V$5:$V$404,$B$3,销售录入!$W$5:$W$404,$A40,销售录入!$C$5:$C$404,首页!$B$5)+SUMIFS(销售录入!$AA$5:$AA$404,销售录入!$Y$5:$Y$404,$B$3,销售录入!$Z$5:$Z$404,$A40,销售录入!$C$5:$C$404,首页!$B$5)+SUMIFS(销售录入!$AD$5:$AD$404,销售录入!$AB$5:$AB$404,$B$3,销售录入!$AC$5:$AC$404,$A40,销售录入!$C$5:$C$404,首页!$B$5)+SUMIFS(采购录入!$W$5:$W$404,采购录入!$U$5:$U$404,$B$3,采购录入!$V$5:$V$404,$A40,采购录入!$C$5:$C$404,首页!$B$5)+SUMIFS(采购录入!$Z$5:$Z$404,采购录入!$X$5:$X$404,$B$3,采购录入!$Y$5:$Y$404,$A40,采购录入!$C$5:$C$404,首页!$B$5)+SUMIFS(其他凭证!$H$5:$H$304,其他凭证!$F$5:$F$304,$B$3,其他凭证!$G$5:$G$304,$A40,其他凭证!$C$5:$C$304,首页!$B$5))</f>
        <v>0</v>
      </c>
      <c r="D40" s="54" t="n">
        <f aca="false">IF($A40="","",SUMIFS(资金流水!$N$5:$N$504,资金流水!$P$5:$P$504,$B$3,资金流水!$O$5:$O$504,$A40,资金流水!$C$5:$C$504,首页!$B$5)+SUMIFS(销售录入!$X$5:$X$404,销售录入!$W$5:$W$404,$B$3,销售录入!$V$5:$V$404,$A40,销售录入!$C$5:$C$404,首页!$B$5)+SUMIFS(销售录入!$AA$5:$AA$404,销售录入!$Z$5:$Z$404,$B$3,销售录入!$Y$5:$Y$404,$A40,销售录入!$C$5:$C$404,首页!$B$5)+SUMIFS(销售录入!$AD$5:$AD$404,销售录入!$AC$5:$AC$404,$B$3,销售录入!$AB$5:$AB$404,$A40,销售录入!$C$5:$C$404,首页!$B$5)+SUMIFS(采购录入!$W$5:$W$404,采购录入!$V$5:$V$404,$B$3,采购录入!$U$5:$U$404,$A40,采购录入!$C$5:$C$404,首页!$B$5)+SUMIFS(采购录入!$Z$5:$Z$404,采购录入!$Y$5:$Y$404,$B$3,采购录入!$X$5:$X$404,$A40,采购录入!$C$5:$C$404,首页!$B$5)+SUMIFS(其他凭证!$H$5:$H$304,其他凭证!$G$5:$G$304,$B$3,其他凭证!$F$5:$F$304,$A40,其他凭证!$C$5:$C$304,首页!$B$5))</f>
        <v>0</v>
      </c>
      <c r="E40" s="44" t="n">
        <f aca="false">IF($A40="","",$C40-$D40)</f>
        <v>0</v>
      </c>
      <c r="F40" s="22" t="str">
        <f aca="false">IF(OR($A40="",AND($C40=0,$D40=0)),"",IF($C40&gt;0,"借 "&amp;$C$3&amp;" / 贷 "&amp;$B40,"")&amp;IF(AND($C40&gt;0,$D40&gt;0)," ；","")&amp;IF($D40&gt;0,"借 "&amp;$B40&amp;" / 贷 "&amp;$C$3,""))</f>
        <v/>
      </c>
    </row>
    <row r="41" customFormat="false" ht="15.75" hidden="false" customHeight="true" outlineLevel="0" collapsed="false">
      <c r="A41" s="42" t="str">
        <f aca="false">IF(科目参数!$A41="","",科目参数!$A41)</f>
        <v>2203</v>
      </c>
      <c r="B41" s="35" t="str">
        <f aca="false">IF($A41="","",科目参数!$B41)</f>
        <v>预收账款</v>
      </c>
      <c r="C41" s="54" t="n">
        <f aca="false">IF($A41="","",SUMIFS(资金流水!$N$5:$N$504,资金流水!$O$5:$O$504,$B$3,资金流水!$P$5:$P$504,$A41,资金流水!$C$5:$C$504,首页!$B$5)+SUMIFS(销售录入!$X$5:$X$404,销售录入!$V$5:$V$404,$B$3,销售录入!$W$5:$W$404,$A41,销售录入!$C$5:$C$404,首页!$B$5)+SUMIFS(销售录入!$AA$5:$AA$404,销售录入!$Y$5:$Y$404,$B$3,销售录入!$Z$5:$Z$404,$A41,销售录入!$C$5:$C$404,首页!$B$5)+SUMIFS(销售录入!$AD$5:$AD$404,销售录入!$AB$5:$AB$404,$B$3,销售录入!$AC$5:$AC$404,$A41,销售录入!$C$5:$C$404,首页!$B$5)+SUMIFS(采购录入!$W$5:$W$404,采购录入!$U$5:$U$404,$B$3,采购录入!$V$5:$V$404,$A41,采购录入!$C$5:$C$404,首页!$B$5)+SUMIFS(采购录入!$Z$5:$Z$404,采购录入!$X$5:$X$404,$B$3,采购录入!$Y$5:$Y$404,$A41,采购录入!$C$5:$C$404,首页!$B$5)+SUMIFS(其他凭证!$H$5:$H$304,其他凭证!$F$5:$F$304,$B$3,其他凭证!$G$5:$G$304,$A41,其他凭证!$C$5:$C$304,首页!$B$5))</f>
        <v>0</v>
      </c>
      <c r="D41" s="54" t="n">
        <f aca="false">IF($A41="","",SUMIFS(资金流水!$N$5:$N$504,资金流水!$P$5:$P$504,$B$3,资金流水!$O$5:$O$504,$A41,资金流水!$C$5:$C$504,首页!$B$5)+SUMIFS(销售录入!$X$5:$X$404,销售录入!$W$5:$W$404,$B$3,销售录入!$V$5:$V$404,$A41,销售录入!$C$5:$C$404,首页!$B$5)+SUMIFS(销售录入!$AA$5:$AA$404,销售录入!$Z$5:$Z$404,$B$3,销售录入!$Y$5:$Y$404,$A41,销售录入!$C$5:$C$404,首页!$B$5)+SUMIFS(销售录入!$AD$5:$AD$404,销售录入!$AC$5:$AC$404,$B$3,销售录入!$AB$5:$AB$404,$A41,销售录入!$C$5:$C$404,首页!$B$5)+SUMIFS(采购录入!$W$5:$W$404,采购录入!$V$5:$V$404,$B$3,采购录入!$U$5:$U$404,$A41,采购录入!$C$5:$C$404,首页!$B$5)+SUMIFS(采购录入!$Z$5:$Z$404,采购录入!$Y$5:$Y$404,$B$3,采购录入!$X$5:$X$404,$A41,采购录入!$C$5:$C$404,首页!$B$5)+SUMIFS(其他凭证!$H$5:$H$304,其他凭证!$G$5:$G$304,$B$3,其他凭证!$F$5:$F$304,$A41,其他凭证!$C$5:$C$304,首页!$B$5))</f>
        <v>0</v>
      </c>
      <c r="E41" s="44" t="n">
        <f aca="false">IF($A41="","",$C41-$D41)</f>
        <v>0</v>
      </c>
      <c r="F41" s="22" t="str">
        <f aca="false">IF(OR($A41="",AND($C41=0,$D41=0)),"",IF($C41&gt;0,"借 "&amp;$C$3&amp;" / 贷 "&amp;$B41,"")&amp;IF(AND($C41&gt;0,$D41&gt;0)," ；","")&amp;IF($D41&gt;0,"借 "&amp;$B41&amp;" / 贷 "&amp;$C$3,""))</f>
        <v/>
      </c>
    </row>
    <row r="42" customFormat="false" ht="15.75" hidden="false" customHeight="true" outlineLevel="0" collapsed="false">
      <c r="A42" s="42" t="str">
        <f aca="false">IF(科目参数!$A42="","",科目参数!$A42)</f>
        <v>2211</v>
      </c>
      <c r="B42" s="35" t="str">
        <f aca="false">IF($A42="","",科目参数!$B42)</f>
        <v>应付职工薪酬</v>
      </c>
      <c r="C42" s="54" t="n">
        <f aca="false">IF($A42="","",SUMIFS(资金流水!$N$5:$N$504,资金流水!$O$5:$O$504,$B$3,资金流水!$P$5:$P$504,$A42,资金流水!$C$5:$C$504,首页!$B$5)+SUMIFS(销售录入!$X$5:$X$404,销售录入!$V$5:$V$404,$B$3,销售录入!$W$5:$W$404,$A42,销售录入!$C$5:$C$404,首页!$B$5)+SUMIFS(销售录入!$AA$5:$AA$404,销售录入!$Y$5:$Y$404,$B$3,销售录入!$Z$5:$Z$404,$A42,销售录入!$C$5:$C$404,首页!$B$5)+SUMIFS(销售录入!$AD$5:$AD$404,销售录入!$AB$5:$AB$404,$B$3,销售录入!$AC$5:$AC$404,$A42,销售录入!$C$5:$C$404,首页!$B$5)+SUMIFS(采购录入!$W$5:$W$404,采购录入!$U$5:$U$404,$B$3,采购录入!$V$5:$V$404,$A42,采购录入!$C$5:$C$404,首页!$B$5)+SUMIFS(采购录入!$Z$5:$Z$404,采购录入!$X$5:$X$404,$B$3,采购录入!$Y$5:$Y$404,$A42,采购录入!$C$5:$C$404,首页!$B$5)+SUMIFS(其他凭证!$H$5:$H$304,其他凭证!$F$5:$F$304,$B$3,其他凭证!$G$5:$G$304,$A42,其他凭证!$C$5:$C$304,首页!$B$5))</f>
        <v>0</v>
      </c>
      <c r="D42" s="54" t="n">
        <f aca="false">IF($A42="","",SUMIFS(资金流水!$N$5:$N$504,资金流水!$P$5:$P$504,$B$3,资金流水!$O$5:$O$504,$A42,资金流水!$C$5:$C$504,首页!$B$5)+SUMIFS(销售录入!$X$5:$X$404,销售录入!$W$5:$W$404,$B$3,销售录入!$V$5:$V$404,$A42,销售录入!$C$5:$C$404,首页!$B$5)+SUMIFS(销售录入!$AA$5:$AA$404,销售录入!$Z$5:$Z$404,$B$3,销售录入!$Y$5:$Y$404,$A42,销售录入!$C$5:$C$404,首页!$B$5)+SUMIFS(销售录入!$AD$5:$AD$404,销售录入!$AC$5:$AC$404,$B$3,销售录入!$AB$5:$AB$404,$A42,销售录入!$C$5:$C$404,首页!$B$5)+SUMIFS(采购录入!$W$5:$W$404,采购录入!$V$5:$V$404,$B$3,采购录入!$U$5:$U$404,$A42,采购录入!$C$5:$C$404,首页!$B$5)+SUMIFS(采购录入!$Z$5:$Z$404,采购录入!$Y$5:$Y$404,$B$3,采购录入!$X$5:$X$404,$A42,采购录入!$C$5:$C$404,首页!$B$5)+SUMIFS(其他凭证!$H$5:$H$304,其他凭证!$G$5:$G$304,$B$3,其他凭证!$F$5:$F$304,$A42,其他凭证!$C$5:$C$304,首页!$B$5))</f>
        <v>0</v>
      </c>
      <c r="E42" s="44" t="n">
        <f aca="false">IF($A42="","",$C42-$D42)</f>
        <v>0</v>
      </c>
      <c r="F42" s="22" t="str">
        <f aca="false">IF(OR($A42="",AND($C42=0,$D42=0)),"",IF($C42&gt;0,"借 "&amp;$C$3&amp;" / 贷 "&amp;$B42,"")&amp;IF(AND($C42&gt;0,$D42&gt;0)," ；","")&amp;IF($D42&gt;0,"借 "&amp;$B42&amp;" / 贷 "&amp;$C$3,""))</f>
        <v/>
      </c>
    </row>
    <row r="43" customFormat="false" ht="15.75" hidden="false" customHeight="true" outlineLevel="0" collapsed="false">
      <c r="A43" s="42" t="str">
        <f aca="false">IF(科目参数!$A43="","",科目参数!$A43)</f>
        <v>2221</v>
      </c>
      <c r="B43" s="35" t="str">
        <f aca="false">IF($A43="","",科目参数!$B43)</f>
        <v>应交税费</v>
      </c>
      <c r="C43" s="54" t="n">
        <f aca="false">IF($A43="","",SUMIFS(资金流水!$N$5:$N$504,资金流水!$O$5:$O$504,$B$3,资金流水!$P$5:$P$504,$A43,资金流水!$C$5:$C$504,首页!$B$5)+SUMIFS(销售录入!$X$5:$X$404,销售录入!$V$5:$V$404,$B$3,销售录入!$W$5:$W$404,$A43,销售录入!$C$5:$C$404,首页!$B$5)+SUMIFS(销售录入!$AA$5:$AA$404,销售录入!$Y$5:$Y$404,$B$3,销售录入!$Z$5:$Z$404,$A43,销售录入!$C$5:$C$404,首页!$B$5)+SUMIFS(销售录入!$AD$5:$AD$404,销售录入!$AB$5:$AB$404,$B$3,销售录入!$AC$5:$AC$404,$A43,销售录入!$C$5:$C$404,首页!$B$5)+SUMIFS(采购录入!$W$5:$W$404,采购录入!$U$5:$U$404,$B$3,采购录入!$V$5:$V$404,$A43,采购录入!$C$5:$C$404,首页!$B$5)+SUMIFS(采购录入!$Z$5:$Z$404,采购录入!$X$5:$X$404,$B$3,采购录入!$Y$5:$Y$404,$A43,采购录入!$C$5:$C$404,首页!$B$5)+SUMIFS(其他凭证!$H$5:$H$304,其他凭证!$F$5:$F$304,$B$3,其他凭证!$G$5:$G$304,$A43,其他凭证!$C$5:$C$304,首页!$B$5))</f>
        <v>3086</v>
      </c>
      <c r="D43" s="54" t="n">
        <f aca="false">IF($A43="","",SUMIFS(资金流水!$N$5:$N$504,资金流水!$P$5:$P$504,$B$3,资金流水!$O$5:$O$504,$A43,资金流水!$C$5:$C$504,首页!$B$5)+SUMIFS(销售录入!$X$5:$X$404,销售录入!$W$5:$W$404,$B$3,销售录入!$V$5:$V$404,$A43,销售录入!$C$5:$C$404,首页!$B$5)+SUMIFS(销售录入!$AA$5:$AA$404,销售录入!$Z$5:$Z$404,$B$3,销售录入!$Y$5:$Y$404,$A43,销售录入!$C$5:$C$404,首页!$B$5)+SUMIFS(销售录入!$AD$5:$AD$404,销售录入!$AC$5:$AC$404,$B$3,销售录入!$AB$5:$AB$404,$A43,销售录入!$C$5:$C$404,首页!$B$5)+SUMIFS(采购录入!$W$5:$W$404,采购录入!$V$5:$V$404,$B$3,采购录入!$U$5:$U$404,$A43,采购录入!$C$5:$C$404,首页!$B$5)+SUMIFS(采购录入!$Z$5:$Z$404,采购录入!$Y$5:$Y$404,$B$3,采购录入!$X$5:$X$404,$A43,采购录入!$C$5:$C$404,首页!$B$5)+SUMIFS(其他凭证!$H$5:$H$304,其他凭证!$G$5:$G$304,$B$3,其他凭证!$F$5:$F$304,$A43,其他凭证!$C$5:$C$304,首页!$B$5))</f>
        <v>0</v>
      </c>
      <c r="E43" s="44" t="n">
        <f aca="false">IF($A43="","",$C43-$D43)</f>
        <v>3086</v>
      </c>
      <c r="F43" s="22" t="str">
        <f aca="false">IF(OR($A43="",AND($C43=0,$D43=0)),"",IF($C43&gt;0,"借 "&amp;$C$3&amp;" / 贷 "&amp;$B43,"")&amp;IF(AND($C43&gt;0,$D43&gt;0)," ；","")&amp;IF($D43&gt;0,"借 "&amp;$B43&amp;" / 贷 "&amp;$C$3,""))</f>
        <v>借 应收账款 / 贷 应交税费</v>
      </c>
    </row>
    <row r="44" customFormat="false" ht="15.75" hidden="false" customHeight="true" outlineLevel="0" collapsed="false">
      <c r="A44" s="42" t="str">
        <f aca="false">IF(科目参数!$A44="","",科目参数!$A44)</f>
        <v>2231</v>
      </c>
      <c r="B44" s="35" t="str">
        <f aca="false">IF($A44="","",科目参数!$B44)</f>
        <v>应付利息</v>
      </c>
      <c r="C44" s="54" t="n">
        <f aca="false">IF($A44="","",SUMIFS(资金流水!$N$5:$N$504,资金流水!$O$5:$O$504,$B$3,资金流水!$P$5:$P$504,$A44,资金流水!$C$5:$C$504,首页!$B$5)+SUMIFS(销售录入!$X$5:$X$404,销售录入!$V$5:$V$404,$B$3,销售录入!$W$5:$W$404,$A44,销售录入!$C$5:$C$404,首页!$B$5)+SUMIFS(销售录入!$AA$5:$AA$404,销售录入!$Y$5:$Y$404,$B$3,销售录入!$Z$5:$Z$404,$A44,销售录入!$C$5:$C$404,首页!$B$5)+SUMIFS(销售录入!$AD$5:$AD$404,销售录入!$AB$5:$AB$404,$B$3,销售录入!$AC$5:$AC$404,$A44,销售录入!$C$5:$C$404,首页!$B$5)+SUMIFS(采购录入!$W$5:$W$404,采购录入!$U$5:$U$404,$B$3,采购录入!$V$5:$V$404,$A44,采购录入!$C$5:$C$404,首页!$B$5)+SUMIFS(采购录入!$Z$5:$Z$404,采购录入!$X$5:$X$404,$B$3,采购录入!$Y$5:$Y$404,$A44,采购录入!$C$5:$C$404,首页!$B$5)+SUMIFS(其他凭证!$H$5:$H$304,其他凭证!$F$5:$F$304,$B$3,其他凭证!$G$5:$G$304,$A44,其他凭证!$C$5:$C$304,首页!$B$5))</f>
        <v>0</v>
      </c>
      <c r="D44" s="54" t="n">
        <f aca="false">IF($A44="","",SUMIFS(资金流水!$N$5:$N$504,资金流水!$P$5:$P$504,$B$3,资金流水!$O$5:$O$504,$A44,资金流水!$C$5:$C$504,首页!$B$5)+SUMIFS(销售录入!$X$5:$X$404,销售录入!$W$5:$W$404,$B$3,销售录入!$V$5:$V$404,$A44,销售录入!$C$5:$C$404,首页!$B$5)+SUMIFS(销售录入!$AA$5:$AA$404,销售录入!$Z$5:$Z$404,$B$3,销售录入!$Y$5:$Y$404,$A44,销售录入!$C$5:$C$404,首页!$B$5)+SUMIFS(销售录入!$AD$5:$AD$404,销售录入!$AC$5:$AC$404,$B$3,销售录入!$AB$5:$AB$404,$A44,销售录入!$C$5:$C$404,首页!$B$5)+SUMIFS(采购录入!$W$5:$W$404,采购录入!$V$5:$V$404,$B$3,采购录入!$U$5:$U$404,$A44,采购录入!$C$5:$C$404,首页!$B$5)+SUMIFS(采购录入!$Z$5:$Z$404,采购录入!$Y$5:$Y$404,$B$3,采购录入!$X$5:$X$404,$A44,采购录入!$C$5:$C$404,首页!$B$5)+SUMIFS(其他凭证!$H$5:$H$304,其他凭证!$G$5:$G$304,$B$3,其他凭证!$F$5:$F$304,$A44,其他凭证!$C$5:$C$304,首页!$B$5))</f>
        <v>0</v>
      </c>
      <c r="E44" s="44" t="n">
        <f aca="false">IF($A44="","",$C44-$D44)</f>
        <v>0</v>
      </c>
      <c r="F44" s="22" t="str">
        <f aca="false">IF(OR($A44="",AND($C44=0,$D44=0)),"",IF($C44&gt;0,"借 "&amp;$C$3&amp;" / 贷 "&amp;$B44,"")&amp;IF(AND($C44&gt;0,$D44&gt;0)," ；","")&amp;IF($D44&gt;0,"借 "&amp;$B44&amp;" / 贷 "&amp;$C$3,""))</f>
        <v/>
      </c>
    </row>
    <row r="45" customFormat="false" ht="15.75" hidden="false" customHeight="true" outlineLevel="0" collapsed="false">
      <c r="A45" s="42" t="str">
        <f aca="false">IF(科目参数!$A45="","",科目参数!$A45)</f>
        <v>2232</v>
      </c>
      <c r="B45" s="35" t="str">
        <f aca="false">IF($A45="","",科目参数!$B45)</f>
        <v>应付股利</v>
      </c>
      <c r="C45" s="54" t="n">
        <f aca="false">IF($A45="","",SUMIFS(资金流水!$N$5:$N$504,资金流水!$O$5:$O$504,$B$3,资金流水!$P$5:$P$504,$A45,资金流水!$C$5:$C$504,首页!$B$5)+SUMIFS(销售录入!$X$5:$X$404,销售录入!$V$5:$V$404,$B$3,销售录入!$W$5:$W$404,$A45,销售录入!$C$5:$C$404,首页!$B$5)+SUMIFS(销售录入!$AA$5:$AA$404,销售录入!$Y$5:$Y$404,$B$3,销售录入!$Z$5:$Z$404,$A45,销售录入!$C$5:$C$404,首页!$B$5)+SUMIFS(销售录入!$AD$5:$AD$404,销售录入!$AB$5:$AB$404,$B$3,销售录入!$AC$5:$AC$404,$A45,销售录入!$C$5:$C$404,首页!$B$5)+SUMIFS(采购录入!$W$5:$W$404,采购录入!$U$5:$U$404,$B$3,采购录入!$V$5:$V$404,$A45,采购录入!$C$5:$C$404,首页!$B$5)+SUMIFS(采购录入!$Z$5:$Z$404,采购录入!$X$5:$X$404,$B$3,采购录入!$Y$5:$Y$404,$A45,采购录入!$C$5:$C$404,首页!$B$5)+SUMIFS(其他凭证!$H$5:$H$304,其他凭证!$F$5:$F$304,$B$3,其他凭证!$G$5:$G$304,$A45,其他凭证!$C$5:$C$304,首页!$B$5))</f>
        <v>0</v>
      </c>
      <c r="D45" s="54" t="n">
        <f aca="false">IF($A45="","",SUMIFS(资金流水!$N$5:$N$504,资金流水!$P$5:$P$504,$B$3,资金流水!$O$5:$O$504,$A45,资金流水!$C$5:$C$504,首页!$B$5)+SUMIFS(销售录入!$X$5:$X$404,销售录入!$W$5:$W$404,$B$3,销售录入!$V$5:$V$404,$A45,销售录入!$C$5:$C$404,首页!$B$5)+SUMIFS(销售录入!$AA$5:$AA$404,销售录入!$Z$5:$Z$404,$B$3,销售录入!$Y$5:$Y$404,$A45,销售录入!$C$5:$C$404,首页!$B$5)+SUMIFS(销售录入!$AD$5:$AD$404,销售录入!$AC$5:$AC$404,$B$3,销售录入!$AB$5:$AB$404,$A45,销售录入!$C$5:$C$404,首页!$B$5)+SUMIFS(采购录入!$W$5:$W$404,采购录入!$V$5:$V$404,$B$3,采购录入!$U$5:$U$404,$A45,采购录入!$C$5:$C$404,首页!$B$5)+SUMIFS(采购录入!$Z$5:$Z$404,采购录入!$Y$5:$Y$404,$B$3,采购录入!$X$5:$X$404,$A45,采购录入!$C$5:$C$404,首页!$B$5)+SUMIFS(其他凭证!$H$5:$H$304,其他凭证!$G$5:$G$304,$B$3,其他凭证!$F$5:$F$304,$A45,其他凭证!$C$5:$C$304,首页!$B$5))</f>
        <v>0</v>
      </c>
      <c r="E45" s="44" t="n">
        <f aca="false">IF($A45="","",$C45-$D45)</f>
        <v>0</v>
      </c>
      <c r="F45" s="22" t="str">
        <f aca="false">IF(OR($A45="",AND($C45=0,$D45=0)),"",IF($C45&gt;0,"借 "&amp;$C$3&amp;" / 贷 "&amp;$B45,"")&amp;IF(AND($C45&gt;0,$D45&gt;0)," ；","")&amp;IF($D45&gt;0,"借 "&amp;$B45&amp;" / 贷 "&amp;$C$3,""))</f>
        <v/>
      </c>
    </row>
    <row r="46" customFormat="false" ht="15.75" hidden="false" customHeight="true" outlineLevel="0" collapsed="false">
      <c r="A46" s="42" t="str">
        <f aca="false">IF(科目参数!$A46="","",科目参数!$A46)</f>
        <v>2241</v>
      </c>
      <c r="B46" s="35" t="str">
        <f aca="false">IF($A46="","",科目参数!$B46)</f>
        <v>其他应付款</v>
      </c>
      <c r="C46" s="54" t="n">
        <f aca="false">IF($A46="","",SUMIFS(资金流水!$N$5:$N$504,资金流水!$O$5:$O$504,$B$3,资金流水!$P$5:$P$504,$A46,资金流水!$C$5:$C$504,首页!$B$5)+SUMIFS(销售录入!$X$5:$X$404,销售录入!$V$5:$V$404,$B$3,销售录入!$W$5:$W$404,$A46,销售录入!$C$5:$C$404,首页!$B$5)+SUMIFS(销售录入!$AA$5:$AA$404,销售录入!$Y$5:$Y$404,$B$3,销售录入!$Z$5:$Z$404,$A46,销售录入!$C$5:$C$404,首页!$B$5)+SUMIFS(销售录入!$AD$5:$AD$404,销售录入!$AB$5:$AB$404,$B$3,销售录入!$AC$5:$AC$404,$A46,销售录入!$C$5:$C$404,首页!$B$5)+SUMIFS(采购录入!$W$5:$W$404,采购录入!$U$5:$U$404,$B$3,采购录入!$V$5:$V$404,$A46,采购录入!$C$5:$C$404,首页!$B$5)+SUMIFS(采购录入!$Z$5:$Z$404,采购录入!$X$5:$X$404,$B$3,采购录入!$Y$5:$Y$404,$A46,采购录入!$C$5:$C$404,首页!$B$5)+SUMIFS(其他凭证!$H$5:$H$304,其他凭证!$F$5:$F$304,$B$3,其他凭证!$G$5:$G$304,$A46,其他凭证!$C$5:$C$304,首页!$B$5))</f>
        <v>0</v>
      </c>
      <c r="D46" s="54" t="n">
        <f aca="false">IF($A46="","",SUMIFS(资金流水!$N$5:$N$504,资金流水!$P$5:$P$504,$B$3,资金流水!$O$5:$O$504,$A46,资金流水!$C$5:$C$504,首页!$B$5)+SUMIFS(销售录入!$X$5:$X$404,销售录入!$W$5:$W$404,$B$3,销售录入!$V$5:$V$404,$A46,销售录入!$C$5:$C$404,首页!$B$5)+SUMIFS(销售录入!$AA$5:$AA$404,销售录入!$Z$5:$Z$404,$B$3,销售录入!$Y$5:$Y$404,$A46,销售录入!$C$5:$C$404,首页!$B$5)+SUMIFS(销售录入!$AD$5:$AD$404,销售录入!$AC$5:$AC$404,$B$3,销售录入!$AB$5:$AB$404,$A46,销售录入!$C$5:$C$404,首页!$B$5)+SUMIFS(采购录入!$W$5:$W$404,采购录入!$V$5:$V$404,$B$3,采购录入!$U$5:$U$404,$A46,采购录入!$C$5:$C$404,首页!$B$5)+SUMIFS(采购录入!$Z$5:$Z$404,采购录入!$Y$5:$Y$404,$B$3,采购录入!$X$5:$X$404,$A46,采购录入!$C$5:$C$404,首页!$B$5)+SUMIFS(其他凭证!$H$5:$H$304,其他凭证!$G$5:$G$304,$B$3,其他凭证!$F$5:$F$304,$A46,其他凭证!$C$5:$C$304,首页!$B$5))</f>
        <v>0</v>
      </c>
      <c r="E46" s="44" t="n">
        <f aca="false">IF($A46="","",$C46-$D46)</f>
        <v>0</v>
      </c>
      <c r="F46" s="22" t="str">
        <f aca="false">IF(OR($A46="",AND($C46=0,$D46=0)),"",IF($C46&gt;0,"借 "&amp;$C$3&amp;" / 贷 "&amp;$B46,"")&amp;IF(AND($C46&gt;0,$D46&gt;0)," ；","")&amp;IF($D46&gt;0,"借 "&amp;$B46&amp;" / 贷 "&amp;$C$3,""))</f>
        <v/>
      </c>
    </row>
    <row r="47" customFormat="false" ht="15.75" hidden="false" customHeight="true" outlineLevel="0" collapsed="false">
      <c r="A47" s="42" t="str">
        <f aca="false">IF(科目参数!$A47="","",科目参数!$A47)</f>
        <v>2301</v>
      </c>
      <c r="B47" s="35" t="str">
        <f aca="false">IF($A47="","",科目参数!$B47)</f>
        <v>一年内到期的非流动负债</v>
      </c>
      <c r="C47" s="54" t="n">
        <f aca="false">IF($A47="","",SUMIFS(资金流水!$N$5:$N$504,资金流水!$O$5:$O$504,$B$3,资金流水!$P$5:$P$504,$A47,资金流水!$C$5:$C$504,首页!$B$5)+SUMIFS(销售录入!$X$5:$X$404,销售录入!$V$5:$V$404,$B$3,销售录入!$W$5:$W$404,$A47,销售录入!$C$5:$C$404,首页!$B$5)+SUMIFS(销售录入!$AA$5:$AA$404,销售录入!$Y$5:$Y$404,$B$3,销售录入!$Z$5:$Z$404,$A47,销售录入!$C$5:$C$404,首页!$B$5)+SUMIFS(销售录入!$AD$5:$AD$404,销售录入!$AB$5:$AB$404,$B$3,销售录入!$AC$5:$AC$404,$A47,销售录入!$C$5:$C$404,首页!$B$5)+SUMIFS(采购录入!$W$5:$W$404,采购录入!$U$5:$U$404,$B$3,采购录入!$V$5:$V$404,$A47,采购录入!$C$5:$C$404,首页!$B$5)+SUMIFS(采购录入!$Z$5:$Z$404,采购录入!$X$5:$X$404,$B$3,采购录入!$Y$5:$Y$404,$A47,采购录入!$C$5:$C$404,首页!$B$5)+SUMIFS(其他凭证!$H$5:$H$304,其他凭证!$F$5:$F$304,$B$3,其他凭证!$G$5:$G$304,$A47,其他凭证!$C$5:$C$304,首页!$B$5))</f>
        <v>0</v>
      </c>
      <c r="D47" s="54" t="n">
        <f aca="false">IF($A47="","",SUMIFS(资金流水!$N$5:$N$504,资金流水!$P$5:$P$504,$B$3,资金流水!$O$5:$O$504,$A47,资金流水!$C$5:$C$504,首页!$B$5)+SUMIFS(销售录入!$X$5:$X$404,销售录入!$W$5:$W$404,$B$3,销售录入!$V$5:$V$404,$A47,销售录入!$C$5:$C$404,首页!$B$5)+SUMIFS(销售录入!$AA$5:$AA$404,销售录入!$Z$5:$Z$404,$B$3,销售录入!$Y$5:$Y$404,$A47,销售录入!$C$5:$C$404,首页!$B$5)+SUMIFS(销售录入!$AD$5:$AD$404,销售录入!$AC$5:$AC$404,$B$3,销售录入!$AB$5:$AB$404,$A47,销售录入!$C$5:$C$404,首页!$B$5)+SUMIFS(采购录入!$W$5:$W$404,采购录入!$V$5:$V$404,$B$3,采购录入!$U$5:$U$404,$A47,采购录入!$C$5:$C$404,首页!$B$5)+SUMIFS(采购录入!$Z$5:$Z$404,采购录入!$Y$5:$Y$404,$B$3,采购录入!$X$5:$X$404,$A47,采购录入!$C$5:$C$404,首页!$B$5)+SUMIFS(其他凭证!$H$5:$H$304,其他凭证!$G$5:$G$304,$B$3,其他凭证!$F$5:$F$304,$A47,其他凭证!$C$5:$C$304,首页!$B$5))</f>
        <v>0</v>
      </c>
      <c r="E47" s="44" t="n">
        <f aca="false">IF($A47="","",$C47-$D47)</f>
        <v>0</v>
      </c>
      <c r="F47" s="22" t="str">
        <f aca="false">IF(OR($A47="",AND($C47=0,$D47=0)),"",IF($C47&gt;0,"借 "&amp;$C$3&amp;" / 贷 "&amp;$B47,"")&amp;IF(AND($C47&gt;0,$D47&gt;0)," ；","")&amp;IF($D47&gt;0,"借 "&amp;$B47&amp;" / 贷 "&amp;$C$3,""))</f>
        <v/>
      </c>
    </row>
    <row r="48" customFormat="false" ht="15.75" hidden="false" customHeight="true" outlineLevel="0" collapsed="false">
      <c r="A48" s="42" t="str">
        <f aca="false">IF(科目参数!$A48="","",科目参数!$A48)</f>
        <v>2401</v>
      </c>
      <c r="B48" s="35" t="str">
        <f aca="false">IF($A48="","",科目参数!$B48)</f>
        <v>递延收益</v>
      </c>
      <c r="C48" s="54" t="n">
        <f aca="false">IF($A48="","",SUMIFS(资金流水!$N$5:$N$504,资金流水!$O$5:$O$504,$B$3,资金流水!$P$5:$P$504,$A48,资金流水!$C$5:$C$504,首页!$B$5)+SUMIFS(销售录入!$X$5:$X$404,销售录入!$V$5:$V$404,$B$3,销售录入!$W$5:$W$404,$A48,销售录入!$C$5:$C$404,首页!$B$5)+SUMIFS(销售录入!$AA$5:$AA$404,销售录入!$Y$5:$Y$404,$B$3,销售录入!$Z$5:$Z$404,$A48,销售录入!$C$5:$C$404,首页!$B$5)+SUMIFS(销售录入!$AD$5:$AD$404,销售录入!$AB$5:$AB$404,$B$3,销售录入!$AC$5:$AC$404,$A48,销售录入!$C$5:$C$404,首页!$B$5)+SUMIFS(采购录入!$W$5:$W$404,采购录入!$U$5:$U$404,$B$3,采购录入!$V$5:$V$404,$A48,采购录入!$C$5:$C$404,首页!$B$5)+SUMIFS(采购录入!$Z$5:$Z$404,采购录入!$X$5:$X$404,$B$3,采购录入!$Y$5:$Y$404,$A48,采购录入!$C$5:$C$404,首页!$B$5)+SUMIFS(其他凭证!$H$5:$H$304,其他凭证!$F$5:$F$304,$B$3,其他凭证!$G$5:$G$304,$A48,其他凭证!$C$5:$C$304,首页!$B$5))</f>
        <v>0</v>
      </c>
      <c r="D48" s="54" t="n">
        <f aca="false">IF($A48="","",SUMIFS(资金流水!$N$5:$N$504,资金流水!$P$5:$P$504,$B$3,资金流水!$O$5:$O$504,$A48,资金流水!$C$5:$C$504,首页!$B$5)+SUMIFS(销售录入!$X$5:$X$404,销售录入!$W$5:$W$404,$B$3,销售录入!$V$5:$V$404,$A48,销售录入!$C$5:$C$404,首页!$B$5)+SUMIFS(销售录入!$AA$5:$AA$404,销售录入!$Z$5:$Z$404,$B$3,销售录入!$Y$5:$Y$404,$A48,销售录入!$C$5:$C$404,首页!$B$5)+SUMIFS(销售录入!$AD$5:$AD$404,销售录入!$AC$5:$AC$404,$B$3,销售录入!$AB$5:$AB$404,$A48,销售录入!$C$5:$C$404,首页!$B$5)+SUMIFS(采购录入!$W$5:$W$404,采购录入!$V$5:$V$404,$B$3,采购录入!$U$5:$U$404,$A48,采购录入!$C$5:$C$404,首页!$B$5)+SUMIFS(采购录入!$Z$5:$Z$404,采购录入!$Y$5:$Y$404,$B$3,采购录入!$X$5:$X$404,$A48,采购录入!$C$5:$C$404,首页!$B$5)+SUMIFS(其他凭证!$H$5:$H$304,其他凭证!$G$5:$G$304,$B$3,其他凭证!$F$5:$F$304,$A48,其他凭证!$C$5:$C$304,首页!$B$5))</f>
        <v>0</v>
      </c>
      <c r="E48" s="44" t="n">
        <f aca="false">IF($A48="","",$C48-$D48)</f>
        <v>0</v>
      </c>
      <c r="F48" s="22" t="str">
        <f aca="false">IF(OR($A48="",AND($C48=0,$D48=0)),"",IF($C48&gt;0,"借 "&amp;$C$3&amp;" / 贷 "&amp;$B48,"")&amp;IF(AND($C48&gt;0,$D48&gt;0)," ；","")&amp;IF($D48&gt;0,"借 "&amp;$B48&amp;" / 贷 "&amp;$C$3,""))</f>
        <v/>
      </c>
    </row>
    <row r="49" customFormat="false" ht="15.75" hidden="false" customHeight="true" outlineLevel="0" collapsed="false">
      <c r="A49" s="42" t="str">
        <f aca="false">IF(科目参数!$A49="","",科目参数!$A49)</f>
        <v>2501</v>
      </c>
      <c r="B49" s="35" t="str">
        <f aca="false">IF($A49="","",科目参数!$B49)</f>
        <v>长期借款</v>
      </c>
      <c r="C49" s="54" t="n">
        <f aca="false">IF($A49="","",SUMIFS(资金流水!$N$5:$N$504,资金流水!$O$5:$O$504,$B$3,资金流水!$P$5:$P$504,$A49,资金流水!$C$5:$C$504,首页!$B$5)+SUMIFS(销售录入!$X$5:$X$404,销售录入!$V$5:$V$404,$B$3,销售录入!$W$5:$W$404,$A49,销售录入!$C$5:$C$404,首页!$B$5)+SUMIFS(销售录入!$AA$5:$AA$404,销售录入!$Y$5:$Y$404,$B$3,销售录入!$Z$5:$Z$404,$A49,销售录入!$C$5:$C$404,首页!$B$5)+SUMIFS(销售录入!$AD$5:$AD$404,销售录入!$AB$5:$AB$404,$B$3,销售录入!$AC$5:$AC$404,$A49,销售录入!$C$5:$C$404,首页!$B$5)+SUMIFS(采购录入!$W$5:$W$404,采购录入!$U$5:$U$404,$B$3,采购录入!$V$5:$V$404,$A49,采购录入!$C$5:$C$404,首页!$B$5)+SUMIFS(采购录入!$Z$5:$Z$404,采购录入!$X$5:$X$404,$B$3,采购录入!$Y$5:$Y$404,$A49,采购录入!$C$5:$C$404,首页!$B$5)+SUMIFS(其他凭证!$H$5:$H$304,其他凭证!$F$5:$F$304,$B$3,其他凭证!$G$5:$G$304,$A49,其他凭证!$C$5:$C$304,首页!$B$5))</f>
        <v>0</v>
      </c>
      <c r="D49" s="54" t="n">
        <f aca="false">IF($A49="","",SUMIFS(资金流水!$N$5:$N$504,资金流水!$P$5:$P$504,$B$3,资金流水!$O$5:$O$504,$A49,资金流水!$C$5:$C$504,首页!$B$5)+SUMIFS(销售录入!$X$5:$X$404,销售录入!$W$5:$W$404,$B$3,销售录入!$V$5:$V$404,$A49,销售录入!$C$5:$C$404,首页!$B$5)+SUMIFS(销售录入!$AA$5:$AA$404,销售录入!$Z$5:$Z$404,$B$3,销售录入!$Y$5:$Y$404,$A49,销售录入!$C$5:$C$404,首页!$B$5)+SUMIFS(销售录入!$AD$5:$AD$404,销售录入!$AC$5:$AC$404,$B$3,销售录入!$AB$5:$AB$404,$A49,销售录入!$C$5:$C$404,首页!$B$5)+SUMIFS(采购录入!$W$5:$W$404,采购录入!$V$5:$V$404,$B$3,采购录入!$U$5:$U$404,$A49,采购录入!$C$5:$C$404,首页!$B$5)+SUMIFS(采购录入!$Z$5:$Z$404,采购录入!$Y$5:$Y$404,$B$3,采购录入!$X$5:$X$404,$A49,采购录入!$C$5:$C$404,首页!$B$5)+SUMIFS(其他凭证!$H$5:$H$304,其他凭证!$G$5:$G$304,$B$3,其他凭证!$F$5:$F$304,$A49,其他凭证!$C$5:$C$304,首页!$B$5))</f>
        <v>0</v>
      </c>
      <c r="E49" s="44" t="n">
        <f aca="false">IF($A49="","",$C49-$D49)</f>
        <v>0</v>
      </c>
      <c r="F49" s="22" t="str">
        <f aca="false">IF(OR($A49="",AND($C49=0,$D49=0)),"",IF($C49&gt;0,"借 "&amp;$C$3&amp;" / 贷 "&amp;$B49,"")&amp;IF(AND($C49&gt;0,$D49&gt;0)," ；","")&amp;IF($D49&gt;0,"借 "&amp;$B49&amp;" / 贷 "&amp;$C$3,""))</f>
        <v/>
      </c>
    </row>
    <row r="50" customFormat="false" ht="15.75" hidden="false" customHeight="true" outlineLevel="0" collapsed="false">
      <c r="A50" s="42" t="str">
        <f aca="false">IF(科目参数!$A50="","",科目参数!$A50)</f>
        <v>2701</v>
      </c>
      <c r="B50" s="35" t="str">
        <f aca="false">IF($A50="","",科目参数!$B50)</f>
        <v>长期应付款</v>
      </c>
      <c r="C50" s="54" t="n">
        <f aca="false">IF($A50="","",SUMIFS(资金流水!$N$5:$N$504,资金流水!$O$5:$O$504,$B$3,资金流水!$P$5:$P$504,$A50,资金流水!$C$5:$C$504,首页!$B$5)+SUMIFS(销售录入!$X$5:$X$404,销售录入!$V$5:$V$404,$B$3,销售录入!$W$5:$W$404,$A50,销售录入!$C$5:$C$404,首页!$B$5)+SUMIFS(销售录入!$AA$5:$AA$404,销售录入!$Y$5:$Y$404,$B$3,销售录入!$Z$5:$Z$404,$A50,销售录入!$C$5:$C$404,首页!$B$5)+SUMIFS(销售录入!$AD$5:$AD$404,销售录入!$AB$5:$AB$404,$B$3,销售录入!$AC$5:$AC$404,$A50,销售录入!$C$5:$C$404,首页!$B$5)+SUMIFS(采购录入!$W$5:$W$404,采购录入!$U$5:$U$404,$B$3,采购录入!$V$5:$V$404,$A50,采购录入!$C$5:$C$404,首页!$B$5)+SUMIFS(采购录入!$Z$5:$Z$404,采购录入!$X$5:$X$404,$B$3,采购录入!$Y$5:$Y$404,$A50,采购录入!$C$5:$C$404,首页!$B$5)+SUMIFS(其他凭证!$H$5:$H$304,其他凭证!$F$5:$F$304,$B$3,其他凭证!$G$5:$G$304,$A50,其他凭证!$C$5:$C$304,首页!$B$5))</f>
        <v>0</v>
      </c>
      <c r="D50" s="54" t="n">
        <f aca="false">IF($A50="","",SUMIFS(资金流水!$N$5:$N$504,资金流水!$P$5:$P$504,$B$3,资金流水!$O$5:$O$504,$A50,资金流水!$C$5:$C$504,首页!$B$5)+SUMIFS(销售录入!$X$5:$X$404,销售录入!$W$5:$W$404,$B$3,销售录入!$V$5:$V$404,$A50,销售录入!$C$5:$C$404,首页!$B$5)+SUMIFS(销售录入!$AA$5:$AA$404,销售录入!$Z$5:$Z$404,$B$3,销售录入!$Y$5:$Y$404,$A50,销售录入!$C$5:$C$404,首页!$B$5)+SUMIFS(销售录入!$AD$5:$AD$404,销售录入!$AC$5:$AC$404,$B$3,销售录入!$AB$5:$AB$404,$A50,销售录入!$C$5:$C$404,首页!$B$5)+SUMIFS(采购录入!$W$5:$W$404,采购录入!$V$5:$V$404,$B$3,采购录入!$U$5:$U$404,$A50,采购录入!$C$5:$C$404,首页!$B$5)+SUMIFS(采购录入!$Z$5:$Z$404,采购录入!$Y$5:$Y$404,$B$3,采购录入!$X$5:$X$404,$A50,采购录入!$C$5:$C$404,首页!$B$5)+SUMIFS(其他凭证!$H$5:$H$304,其他凭证!$G$5:$G$304,$B$3,其他凭证!$F$5:$F$304,$A50,其他凭证!$C$5:$C$304,首页!$B$5))</f>
        <v>0</v>
      </c>
      <c r="E50" s="44" t="n">
        <f aca="false">IF($A50="","",$C50-$D50)</f>
        <v>0</v>
      </c>
      <c r="F50" s="22" t="str">
        <f aca="false">IF(OR($A50="",AND($C50=0,$D50=0)),"",IF($C50&gt;0,"借 "&amp;$C$3&amp;" / 贷 "&amp;$B50,"")&amp;IF(AND($C50&gt;0,$D50&gt;0)," ；","")&amp;IF($D50&gt;0,"借 "&amp;$B50&amp;" / 贷 "&amp;$C$3,""))</f>
        <v/>
      </c>
    </row>
    <row r="51" customFormat="false" ht="15.75" hidden="false" customHeight="true" outlineLevel="0" collapsed="false">
      <c r="A51" s="42" t="str">
        <f aca="false">IF(科目参数!$A51="","",科目参数!$A51)</f>
        <v>2901</v>
      </c>
      <c r="B51" s="35" t="str">
        <f aca="false">IF($A51="","",科目参数!$B51)</f>
        <v>递延所得税负债</v>
      </c>
      <c r="C51" s="54" t="n">
        <f aca="false">IF($A51="","",SUMIFS(资金流水!$N$5:$N$504,资金流水!$O$5:$O$504,$B$3,资金流水!$P$5:$P$504,$A51,资金流水!$C$5:$C$504,首页!$B$5)+SUMIFS(销售录入!$X$5:$X$404,销售录入!$V$5:$V$404,$B$3,销售录入!$W$5:$W$404,$A51,销售录入!$C$5:$C$404,首页!$B$5)+SUMIFS(销售录入!$AA$5:$AA$404,销售录入!$Y$5:$Y$404,$B$3,销售录入!$Z$5:$Z$404,$A51,销售录入!$C$5:$C$404,首页!$B$5)+SUMIFS(销售录入!$AD$5:$AD$404,销售录入!$AB$5:$AB$404,$B$3,销售录入!$AC$5:$AC$404,$A51,销售录入!$C$5:$C$404,首页!$B$5)+SUMIFS(采购录入!$W$5:$W$404,采购录入!$U$5:$U$404,$B$3,采购录入!$V$5:$V$404,$A51,采购录入!$C$5:$C$404,首页!$B$5)+SUMIFS(采购录入!$Z$5:$Z$404,采购录入!$X$5:$X$404,$B$3,采购录入!$Y$5:$Y$404,$A51,采购录入!$C$5:$C$404,首页!$B$5)+SUMIFS(其他凭证!$H$5:$H$304,其他凭证!$F$5:$F$304,$B$3,其他凭证!$G$5:$G$304,$A51,其他凭证!$C$5:$C$304,首页!$B$5))</f>
        <v>0</v>
      </c>
      <c r="D51" s="54" t="n">
        <f aca="false">IF($A51="","",SUMIFS(资金流水!$N$5:$N$504,资金流水!$P$5:$P$504,$B$3,资金流水!$O$5:$O$504,$A51,资金流水!$C$5:$C$504,首页!$B$5)+SUMIFS(销售录入!$X$5:$X$404,销售录入!$W$5:$W$404,$B$3,销售录入!$V$5:$V$404,$A51,销售录入!$C$5:$C$404,首页!$B$5)+SUMIFS(销售录入!$AA$5:$AA$404,销售录入!$Z$5:$Z$404,$B$3,销售录入!$Y$5:$Y$404,$A51,销售录入!$C$5:$C$404,首页!$B$5)+SUMIFS(销售录入!$AD$5:$AD$404,销售录入!$AC$5:$AC$404,$B$3,销售录入!$AB$5:$AB$404,$A51,销售录入!$C$5:$C$404,首页!$B$5)+SUMIFS(采购录入!$W$5:$W$404,采购录入!$V$5:$V$404,$B$3,采购录入!$U$5:$U$404,$A51,采购录入!$C$5:$C$404,首页!$B$5)+SUMIFS(采购录入!$Z$5:$Z$404,采购录入!$Y$5:$Y$404,$B$3,采购录入!$X$5:$X$404,$A51,采购录入!$C$5:$C$404,首页!$B$5)+SUMIFS(其他凭证!$H$5:$H$304,其他凭证!$G$5:$G$304,$B$3,其他凭证!$F$5:$F$304,$A51,其他凭证!$C$5:$C$304,首页!$B$5))</f>
        <v>0</v>
      </c>
      <c r="E51" s="44" t="n">
        <f aca="false">IF($A51="","",$C51-$D51)</f>
        <v>0</v>
      </c>
      <c r="F51" s="22" t="str">
        <f aca="false">IF(OR($A51="",AND($C51=0,$D51=0)),"",IF($C51&gt;0,"借 "&amp;$C$3&amp;" / 贷 "&amp;$B51,"")&amp;IF(AND($C51&gt;0,$D51&gt;0)," ；","")&amp;IF($D51&gt;0,"借 "&amp;$B51&amp;" / 贷 "&amp;$C$3,""))</f>
        <v/>
      </c>
    </row>
    <row r="52" customFormat="false" ht="15.75" hidden="false" customHeight="true" outlineLevel="0" collapsed="false">
      <c r="A52" s="42" t="str">
        <f aca="false">IF(科目参数!$A52="","",科目参数!$A52)</f>
        <v>4001</v>
      </c>
      <c r="B52" s="35" t="str">
        <f aca="false">IF($A52="","",科目参数!$B52)</f>
        <v>实收资本</v>
      </c>
      <c r="C52" s="54" t="n">
        <f aca="false">IF($A52="","",SUMIFS(资金流水!$N$5:$N$504,资金流水!$O$5:$O$504,$B$3,资金流水!$P$5:$P$504,$A52,资金流水!$C$5:$C$504,首页!$B$5)+SUMIFS(销售录入!$X$5:$X$404,销售录入!$V$5:$V$404,$B$3,销售录入!$W$5:$W$404,$A52,销售录入!$C$5:$C$404,首页!$B$5)+SUMIFS(销售录入!$AA$5:$AA$404,销售录入!$Y$5:$Y$404,$B$3,销售录入!$Z$5:$Z$404,$A52,销售录入!$C$5:$C$404,首页!$B$5)+SUMIFS(销售录入!$AD$5:$AD$404,销售录入!$AB$5:$AB$404,$B$3,销售录入!$AC$5:$AC$404,$A52,销售录入!$C$5:$C$404,首页!$B$5)+SUMIFS(采购录入!$W$5:$W$404,采购录入!$U$5:$U$404,$B$3,采购录入!$V$5:$V$404,$A52,采购录入!$C$5:$C$404,首页!$B$5)+SUMIFS(采购录入!$Z$5:$Z$404,采购录入!$X$5:$X$404,$B$3,采购录入!$Y$5:$Y$404,$A52,采购录入!$C$5:$C$404,首页!$B$5)+SUMIFS(其他凭证!$H$5:$H$304,其他凭证!$F$5:$F$304,$B$3,其他凭证!$G$5:$G$304,$A52,其他凭证!$C$5:$C$304,首页!$B$5))</f>
        <v>0</v>
      </c>
      <c r="D52" s="54" t="n">
        <f aca="false">IF($A52="","",SUMIFS(资金流水!$N$5:$N$504,资金流水!$P$5:$P$504,$B$3,资金流水!$O$5:$O$504,$A52,资金流水!$C$5:$C$504,首页!$B$5)+SUMIFS(销售录入!$X$5:$X$404,销售录入!$W$5:$W$404,$B$3,销售录入!$V$5:$V$404,$A52,销售录入!$C$5:$C$404,首页!$B$5)+SUMIFS(销售录入!$AA$5:$AA$404,销售录入!$Z$5:$Z$404,$B$3,销售录入!$Y$5:$Y$404,$A52,销售录入!$C$5:$C$404,首页!$B$5)+SUMIFS(销售录入!$AD$5:$AD$404,销售录入!$AC$5:$AC$404,$B$3,销售录入!$AB$5:$AB$404,$A52,销售录入!$C$5:$C$404,首页!$B$5)+SUMIFS(采购录入!$W$5:$W$404,采购录入!$V$5:$V$404,$B$3,采购录入!$U$5:$U$404,$A52,采购录入!$C$5:$C$404,首页!$B$5)+SUMIFS(采购录入!$Z$5:$Z$404,采购录入!$Y$5:$Y$404,$B$3,采购录入!$X$5:$X$404,$A52,采购录入!$C$5:$C$404,首页!$B$5)+SUMIFS(其他凭证!$H$5:$H$304,其他凭证!$G$5:$G$304,$B$3,其他凭证!$F$5:$F$304,$A52,其他凭证!$C$5:$C$304,首页!$B$5))</f>
        <v>0</v>
      </c>
      <c r="E52" s="44" t="n">
        <f aca="false">IF($A52="","",$C52-$D52)</f>
        <v>0</v>
      </c>
      <c r="F52" s="22" t="str">
        <f aca="false">IF(OR($A52="",AND($C52=0,$D52=0)),"",IF($C52&gt;0,"借 "&amp;$C$3&amp;" / 贷 "&amp;$B52,"")&amp;IF(AND($C52&gt;0,$D52&gt;0)," ；","")&amp;IF($D52&gt;0,"借 "&amp;$B52&amp;" / 贷 "&amp;$C$3,""))</f>
        <v/>
      </c>
    </row>
    <row r="53" customFormat="false" ht="15.75" hidden="false" customHeight="true" outlineLevel="0" collapsed="false">
      <c r="A53" s="42" t="str">
        <f aca="false">IF(科目参数!$A53="","",科目参数!$A53)</f>
        <v>4002</v>
      </c>
      <c r="B53" s="35" t="str">
        <f aca="false">IF($A53="","",科目参数!$B53)</f>
        <v>资本公积</v>
      </c>
      <c r="C53" s="54" t="n">
        <f aca="false">IF($A53="","",SUMIFS(资金流水!$N$5:$N$504,资金流水!$O$5:$O$504,$B$3,资金流水!$P$5:$P$504,$A53,资金流水!$C$5:$C$504,首页!$B$5)+SUMIFS(销售录入!$X$5:$X$404,销售录入!$V$5:$V$404,$B$3,销售录入!$W$5:$W$404,$A53,销售录入!$C$5:$C$404,首页!$B$5)+SUMIFS(销售录入!$AA$5:$AA$404,销售录入!$Y$5:$Y$404,$B$3,销售录入!$Z$5:$Z$404,$A53,销售录入!$C$5:$C$404,首页!$B$5)+SUMIFS(销售录入!$AD$5:$AD$404,销售录入!$AB$5:$AB$404,$B$3,销售录入!$AC$5:$AC$404,$A53,销售录入!$C$5:$C$404,首页!$B$5)+SUMIFS(采购录入!$W$5:$W$404,采购录入!$U$5:$U$404,$B$3,采购录入!$V$5:$V$404,$A53,采购录入!$C$5:$C$404,首页!$B$5)+SUMIFS(采购录入!$Z$5:$Z$404,采购录入!$X$5:$X$404,$B$3,采购录入!$Y$5:$Y$404,$A53,采购录入!$C$5:$C$404,首页!$B$5)+SUMIFS(其他凭证!$H$5:$H$304,其他凭证!$F$5:$F$304,$B$3,其他凭证!$G$5:$G$304,$A53,其他凭证!$C$5:$C$304,首页!$B$5))</f>
        <v>0</v>
      </c>
      <c r="D53" s="54" t="n">
        <f aca="false">IF($A53="","",SUMIFS(资金流水!$N$5:$N$504,资金流水!$P$5:$P$504,$B$3,资金流水!$O$5:$O$504,$A53,资金流水!$C$5:$C$504,首页!$B$5)+SUMIFS(销售录入!$X$5:$X$404,销售录入!$W$5:$W$404,$B$3,销售录入!$V$5:$V$404,$A53,销售录入!$C$5:$C$404,首页!$B$5)+SUMIFS(销售录入!$AA$5:$AA$404,销售录入!$Z$5:$Z$404,$B$3,销售录入!$Y$5:$Y$404,$A53,销售录入!$C$5:$C$404,首页!$B$5)+SUMIFS(销售录入!$AD$5:$AD$404,销售录入!$AC$5:$AC$404,$B$3,销售录入!$AB$5:$AB$404,$A53,销售录入!$C$5:$C$404,首页!$B$5)+SUMIFS(采购录入!$W$5:$W$404,采购录入!$V$5:$V$404,$B$3,采购录入!$U$5:$U$404,$A53,采购录入!$C$5:$C$404,首页!$B$5)+SUMIFS(采购录入!$Z$5:$Z$404,采购录入!$Y$5:$Y$404,$B$3,采购录入!$X$5:$X$404,$A53,采购录入!$C$5:$C$404,首页!$B$5)+SUMIFS(其他凭证!$H$5:$H$304,其他凭证!$G$5:$G$304,$B$3,其他凭证!$F$5:$F$304,$A53,其他凭证!$C$5:$C$304,首页!$B$5))</f>
        <v>0</v>
      </c>
      <c r="E53" s="44" t="n">
        <f aca="false">IF($A53="","",$C53-$D53)</f>
        <v>0</v>
      </c>
      <c r="F53" s="22" t="str">
        <f aca="false">IF(OR($A53="",AND($C53=0,$D53=0)),"",IF($C53&gt;0,"借 "&amp;$C$3&amp;" / 贷 "&amp;$B53,"")&amp;IF(AND($C53&gt;0,$D53&gt;0)," ；","")&amp;IF($D53&gt;0,"借 "&amp;$B53&amp;" / 贷 "&amp;$C$3,""))</f>
        <v/>
      </c>
    </row>
    <row r="54" customFormat="false" ht="15.75" hidden="false" customHeight="true" outlineLevel="0" collapsed="false">
      <c r="A54" s="42" t="str">
        <f aca="false">IF(科目参数!$A54="","",科目参数!$A54)</f>
        <v>4101</v>
      </c>
      <c r="B54" s="35" t="str">
        <f aca="false">IF($A54="","",科目参数!$B54)</f>
        <v>盈余公积</v>
      </c>
      <c r="C54" s="54" t="n">
        <f aca="false">IF($A54="","",SUMIFS(资金流水!$N$5:$N$504,资金流水!$O$5:$O$504,$B$3,资金流水!$P$5:$P$504,$A54,资金流水!$C$5:$C$504,首页!$B$5)+SUMIFS(销售录入!$X$5:$X$404,销售录入!$V$5:$V$404,$B$3,销售录入!$W$5:$W$404,$A54,销售录入!$C$5:$C$404,首页!$B$5)+SUMIFS(销售录入!$AA$5:$AA$404,销售录入!$Y$5:$Y$404,$B$3,销售录入!$Z$5:$Z$404,$A54,销售录入!$C$5:$C$404,首页!$B$5)+SUMIFS(销售录入!$AD$5:$AD$404,销售录入!$AB$5:$AB$404,$B$3,销售录入!$AC$5:$AC$404,$A54,销售录入!$C$5:$C$404,首页!$B$5)+SUMIFS(采购录入!$W$5:$W$404,采购录入!$U$5:$U$404,$B$3,采购录入!$V$5:$V$404,$A54,采购录入!$C$5:$C$404,首页!$B$5)+SUMIFS(采购录入!$Z$5:$Z$404,采购录入!$X$5:$X$404,$B$3,采购录入!$Y$5:$Y$404,$A54,采购录入!$C$5:$C$404,首页!$B$5)+SUMIFS(其他凭证!$H$5:$H$304,其他凭证!$F$5:$F$304,$B$3,其他凭证!$G$5:$G$304,$A54,其他凭证!$C$5:$C$304,首页!$B$5))</f>
        <v>0</v>
      </c>
      <c r="D54" s="54" t="n">
        <f aca="false">IF($A54="","",SUMIFS(资金流水!$N$5:$N$504,资金流水!$P$5:$P$504,$B$3,资金流水!$O$5:$O$504,$A54,资金流水!$C$5:$C$504,首页!$B$5)+SUMIFS(销售录入!$X$5:$X$404,销售录入!$W$5:$W$404,$B$3,销售录入!$V$5:$V$404,$A54,销售录入!$C$5:$C$404,首页!$B$5)+SUMIFS(销售录入!$AA$5:$AA$404,销售录入!$Z$5:$Z$404,$B$3,销售录入!$Y$5:$Y$404,$A54,销售录入!$C$5:$C$404,首页!$B$5)+SUMIFS(销售录入!$AD$5:$AD$404,销售录入!$AC$5:$AC$404,$B$3,销售录入!$AB$5:$AB$404,$A54,销售录入!$C$5:$C$404,首页!$B$5)+SUMIFS(采购录入!$W$5:$W$404,采购录入!$V$5:$V$404,$B$3,采购录入!$U$5:$U$404,$A54,采购录入!$C$5:$C$404,首页!$B$5)+SUMIFS(采购录入!$Z$5:$Z$404,采购录入!$Y$5:$Y$404,$B$3,采购录入!$X$5:$X$404,$A54,采购录入!$C$5:$C$404,首页!$B$5)+SUMIFS(其他凭证!$H$5:$H$304,其他凭证!$G$5:$G$304,$B$3,其他凭证!$F$5:$F$304,$A54,其他凭证!$C$5:$C$304,首页!$B$5))</f>
        <v>0</v>
      </c>
      <c r="E54" s="44" t="n">
        <f aca="false">IF($A54="","",$C54-$D54)</f>
        <v>0</v>
      </c>
      <c r="F54" s="22" t="str">
        <f aca="false">IF(OR($A54="",AND($C54=0,$D54=0)),"",IF($C54&gt;0,"借 "&amp;$C$3&amp;" / 贷 "&amp;$B54,"")&amp;IF(AND($C54&gt;0,$D54&gt;0)," ；","")&amp;IF($D54&gt;0,"借 "&amp;$B54&amp;" / 贷 "&amp;$C$3,""))</f>
        <v/>
      </c>
    </row>
    <row r="55" customFormat="false" ht="15.75" hidden="false" customHeight="true" outlineLevel="0" collapsed="false">
      <c r="A55" s="42" t="str">
        <f aca="false">IF(科目参数!$A55="","",科目参数!$A55)</f>
        <v>4103</v>
      </c>
      <c r="B55" s="35" t="str">
        <f aca="false">IF($A55="","",科目参数!$B55)</f>
        <v>本年利润</v>
      </c>
      <c r="C55" s="54" t="n">
        <f aca="false">IF($A55="","",SUMIFS(资金流水!$N$5:$N$504,资金流水!$O$5:$O$504,$B$3,资金流水!$P$5:$P$504,$A55,资金流水!$C$5:$C$504,首页!$B$5)+SUMIFS(销售录入!$X$5:$X$404,销售录入!$V$5:$V$404,$B$3,销售录入!$W$5:$W$404,$A55,销售录入!$C$5:$C$404,首页!$B$5)+SUMIFS(销售录入!$AA$5:$AA$404,销售录入!$Y$5:$Y$404,$B$3,销售录入!$Z$5:$Z$404,$A55,销售录入!$C$5:$C$404,首页!$B$5)+SUMIFS(销售录入!$AD$5:$AD$404,销售录入!$AB$5:$AB$404,$B$3,销售录入!$AC$5:$AC$404,$A55,销售录入!$C$5:$C$404,首页!$B$5)+SUMIFS(采购录入!$W$5:$W$404,采购录入!$U$5:$U$404,$B$3,采购录入!$V$5:$V$404,$A55,采购录入!$C$5:$C$404,首页!$B$5)+SUMIFS(采购录入!$Z$5:$Z$404,采购录入!$X$5:$X$404,$B$3,采购录入!$Y$5:$Y$404,$A55,采购录入!$C$5:$C$404,首页!$B$5)+SUMIFS(其他凭证!$H$5:$H$304,其他凭证!$F$5:$F$304,$B$3,其他凭证!$G$5:$G$304,$A55,其他凭证!$C$5:$C$304,首页!$B$5))</f>
        <v>0</v>
      </c>
      <c r="D55" s="54" t="n">
        <f aca="false">IF($A55="","",SUMIFS(资金流水!$N$5:$N$504,资金流水!$P$5:$P$504,$B$3,资金流水!$O$5:$O$504,$A55,资金流水!$C$5:$C$504,首页!$B$5)+SUMIFS(销售录入!$X$5:$X$404,销售录入!$W$5:$W$404,$B$3,销售录入!$V$5:$V$404,$A55,销售录入!$C$5:$C$404,首页!$B$5)+SUMIFS(销售录入!$AA$5:$AA$404,销售录入!$Z$5:$Z$404,$B$3,销售录入!$Y$5:$Y$404,$A55,销售录入!$C$5:$C$404,首页!$B$5)+SUMIFS(销售录入!$AD$5:$AD$404,销售录入!$AC$5:$AC$404,$B$3,销售录入!$AB$5:$AB$404,$A55,销售录入!$C$5:$C$404,首页!$B$5)+SUMIFS(采购录入!$W$5:$W$404,采购录入!$V$5:$V$404,$B$3,采购录入!$U$5:$U$404,$A55,采购录入!$C$5:$C$404,首页!$B$5)+SUMIFS(采购录入!$Z$5:$Z$404,采购录入!$Y$5:$Y$404,$B$3,采购录入!$X$5:$X$404,$A55,采购录入!$C$5:$C$404,首页!$B$5)+SUMIFS(其他凭证!$H$5:$H$304,其他凭证!$G$5:$G$304,$B$3,其他凭证!$F$5:$F$304,$A55,其他凭证!$C$5:$C$304,首页!$B$5))</f>
        <v>0</v>
      </c>
      <c r="E55" s="44" t="n">
        <f aca="false">IF($A55="","",$C55-$D55)</f>
        <v>0</v>
      </c>
      <c r="F55" s="22" t="str">
        <f aca="false">IF(OR($A55="",AND($C55=0,$D55=0)),"",IF($C55&gt;0,"借 "&amp;$C$3&amp;" / 贷 "&amp;$B55,"")&amp;IF(AND($C55&gt;0,$D55&gt;0)," ；","")&amp;IF($D55&gt;0,"借 "&amp;$B55&amp;" / 贷 "&amp;$C$3,""))</f>
        <v/>
      </c>
    </row>
    <row r="56" customFormat="false" ht="15.75" hidden="false" customHeight="true" outlineLevel="0" collapsed="false">
      <c r="A56" s="42" t="str">
        <f aca="false">IF(科目参数!$A56="","",科目参数!$A56)</f>
        <v>4104</v>
      </c>
      <c r="B56" s="35" t="str">
        <f aca="false">IF($A56="","",科目参数!$B56)</f>
        <v>利润分配</v>
      </c>
      <c r="C56" s="54" t="n">
        <f aca="false">IF($A56="","",SUMIFS(资金流水!$N$5:$N$504,资金流水!$O$5:$O$504,$B$3,资金流水!$P$5:$P$504,$A56,资金流水!$C$5:$C$504,首页!$B$5)+SUMIFS(销售录入!$X$5:$X$404,销售录入!$V$5:$V$404,$B$3,销售录入!$W$5:$W$404,$A56,销售录入!$C$5:$C$404,首页!$B$5)+SUMIFS(销售录入!$AA$5:$AA$404,销售录入!$Y$5:$Y$404,$B$3,销售录入!$Z$5:$Z$404,$A56,销售录入!$C$5:$C$404,首页!$B$5)+SUMIFS(销售录入!$AD$5:$AD$404,销售录入!$AB$5:$AB$404,$B$3,销售录入!$AC$5:$AC$404,$A56,销售录入!$C$5:$C$404,首页!$B$5)+SUMIFS(采购录入!$W$5:$W$404,采购录入!$U$5:$U$404,$B$3,采购录入!$V$5:$V$404,$A56,采购录入!$C$5:$C$404,首页!$B$5)+SUMIFS(采购录入!$Z$5:$Z$404,采购录入!$X$5:$X$404,$B$3,采购录入!$Y$5:$Y$404,$A56,采购录入!$C$5:$C$404,首页!$B$5)+SUMIFS(其他凭证!$H$5:$H$304,其他凭证!$F$5:$F$304,$B$3,其他凭证!$G$5:$G$304,$A56,其他凭证!$C$5:$C$304,首页!$B$5))</f>
        <v>0</v>
      </c>
      <c r="D56" s="54" t="n">
        <f aca="false">IF($A56="","",SUMIFS(资金流水!$N$5:$N$504,资金流水!$P$5:$P$504,$B$3,资金流水!$O$5:$O$504,$A56,资金流水!$C$5:$C$504,首页!$B$5)+SUMIFS(销售录入!$X$5:$X$404,销售录入!$W$5:$W$404,$B$3,销售录入!$V$5:$V$404,$A56,销售录入!$C$5:$C$404,首页!$B$5)+SUMIFS(销售录入!$AA$5:$AA$404,销售录入!$Z$5:$Z$404,$B$3,销售录入!$Y$5:$Y$404,$A56,销售录入!$C$5:$C$404,首页!$B$5)+SUMIFS(销售录入!$AD$5:$AD$404,销售录入!$AC$5:$AC$404,$B$3,销售录入!$AB$5:$AB$404,$A56,销售录入!$C$5:$C$404,首页!$B$5)+SUMIFS(采购录入!$W$5:$W$404,采购录入!$V$5:$V$404,$B$3,采购录入!$U$5:$U$404,$A56,采购录入!$C$5:$C$404,首页!$B$5)+SUMIFS(采购录入!$Z$5:$Z$404,采购录入!$Y$5:$Y$404,$B$3,采购录入!$X$5:$X$404,$A56,采购录入!$C$5:$C$404,首页!$B$5)+SUMIFS(其他凭证!$H$5:$H$304,其他凭证!$G$5:$G$304,$B$3,其他凭证!$F$5:$F$304,$A56,其他凭证!$C$5:$C$304,首页!$B$5))</f>
        <v>0</v>
      </c>
      <c r="E56" s="44" t="n">
        <f aca="false">IF($A56="","",$C56-$D56)</f>
        <v>0</v>
      </c>
      <c r="F56" s="22" t="str">
        <f aca="false">IF(OR($A56="",AND($C56=0,$D56=0)),"",IF($C56&gt;0,"借 "&amp;$C$3&amp;" / 贷 "&amp;$B56,"")&amp;IF(AND($C56&gt;0,$D56&gt;0)," ；","")&amp;IF($D56&gt;0,"借 "&amp;$B56&amp;" / 贷 "&amp;$C$3,""))</f>
        <v/>
      </c>
    </row>
    <row r="57" customFormat="false" ht="15.75" hidden="false" customHeight="true" outlineLevel="0" collapsed="false">
      <c r="A57" s="42" t="str">
        <f aca="false">IF(科目参数!$A57="","",科目参数!$A57)</f>
        <v>5001</v>
      </c>
      <c r="B57" s="35" t="str">
        <f aca="false">IF($A57="","",科目参数!$B57)</f>
        <v>生产成本</v>
      </c>
      <c r="C57" s="54" t="n">
        <f aca="false">IF($A57="","",SUMIFS(资金流水!$N$5:$N$504,资金流水!$O$5:$O$504,$B$3,资金流水!$P$5:$P$504,$A57,资金流水!$C$5:$C$504,首页!$B$5)+SUMIFS(销售录入!$X$5:$X$404,销售录入!$V$5:$V$404,$B$3,销售录入!$W$5:$W$404,$A57,销售录入!$C$5:$C$404,首页!$B$5)+SUMIFS(销售录入!$AA$5:$AA$404,销售录入!$Y$5:$Y$404,$B$3,销售录入!$Z$5:$Z$404,$A57,销售录入!$C$5:$C$404,首页!$B$5)+SUMIFS(销售录入!$AD$5:$AD$404,销售录入!$AB$5:$AB$404,$B$3,销售录入!$AC$5:$AC$404,$A57,销售录入!$C$5:$C$404,首页!$B$5)+SUMIFS(采购录入!$W$5:$W$404,采购录入!$U$5:$U$404,$B$3,采购录入!$V$5:$V$404,$A57,采购录入!$C$5:$C$404,首页!$B$5)+SUMIFS(采购录入!$Z$5:$Z$404,采购录入!$X$5:$X$404,$B$3,采购录入!$Y$5:$Y$404,$A57,采购录入!$C$5:$C$404,首页!$B$5)+SUMIFS(其他凭证!$H$5:$H$304,其他凭证!$F$5:$F$304,$B$3,其他凭证!$G$5:$G$304,$A57,其他凭证!$C$5:$C$304,首页!$B$5))</f>
        <v>0</v>
      </c>
      <c r="D57" s="54" t="n">
        <f aca="false">IF($A57="","",SUMIFS(资金流水!$N$5:$N$504,资金流水!$P$5:$P$504,$B$3,资金流水!$O$5:$O$504,$A57,资金流水!$C$5:$C$504,首页!$B$5)+SUMIFS(销售录入!$X$5:$X$404,销售录入!$W$5:$W$404,$B$3,销售录入!$V$5:$V$404,$A57,销售录入!$C$5:$C$404,首页!$B$5)+SUMIFS(销售录入!$AA$5:$AA$404,销售录入!$Z$5:$Z$404,$B$3,销售录入!$Y$5:$Y$404,$A57,销售录入!$C$5:$C$404,首页!$B$5)+SUMIFS(销售录入!$AD$5:$AD$404,销售录入!$AC$5:$AC$404,$B$3,销售录入!$AB$5:$AB$404,$A57,销售录入!$C$5:$C$404,首页!$B$5)+SUMIFS(采购录入!$W$5:$W$404,采购录入!$V$5:$V$404,$B$3,采购录入!$U$5:$U$404,$A57,采购录入!$C$5:$C$404,首页!$B$5)+SUMIFS(采购录入!$Z$5:$Z$404,采购录入!$Y$5:$Y$404,$B$3,采购录入!$X$5:$X$404,$A57,采购录入!$C$5:$C$404,首页!$B$5)+SUMIFS(其他凭证!$H$5:$H$304,其他凭证!$G$5:$G$304,$B$3,其他凭证!$F$5:$F$304,$A57,其他凭证!$C$5:$C$304,首页!$B$5))</f>
        <v>0</v>
      </c>
      <c r="E57" s="44" t="n">
        <f aca="false">IF($A57="","",$C57-$D57)</f>
        <v>0</v>
      </c>
      <c r="F57" s="22" t="str">
        <f aca="false">IF(OR($A57="",AND($C57=0,$D57=0)),"",IF($C57&gt;0,"借 "&amp;$C$3&amp;" / 贷 "&amp;$B57,"")&amp;IF(AND($C57&gt;0,$D57&gt;0)," ；","")&amp;IF($D57&gt;0,"借 "&amp;$B57&amp;" / 贷 "&amp;$C$3,""))</f>
        <v/>
      </c>
    </row>
    <row r="58" customFormat="false" ht="15.75" hidden="false" customHeight="true" outlineLevel="0" collapsed="false">
      <c r="A58" s="42" t="str">
        <f aca="false">IF(科目参数!$A58="","",科目参数!$A58)</f>
        <v>5101</v>
      </c>
      <c r="B58" s="35" t="str">
        <f aca="false">IF($A58="","",科目参数!$B58)</f>
        <v>制造费用</v>
      </c>
      <c r="C58" s="54" t="n">
        <f aca="false">IF($A58="","",SUMIFS(资金流水!$N$5:$N$504,资金流水!$O$5:$O$504,$B$3,资金流水!$P$5:$P$504,$A58,资金流水!$C$5:$C$504,首页!$B$5)+SUMIFS(销售录入!$X$5:$X$404,销售录入!$V$5:$V$404,$B$3,销售录入!$W$5:$W$404,$A58,销售录入!$C$5:$C$404,首页!$B$5)+SUMIFS(销售录入!$AA$5:$AA$404,销售录入!$Y$5:$Y$404,$B$3,销售录入!$Z$5:$Z$404,$A58,销售录入!$C$5:$C$404,首页!$B$5)+SUMIFS(销售录入!$AD$5:$AD$404,销售录入!$AB$5:$AB$404,$B$3,销售录入!$AC$5:$AC$404,$A58,销售录入!$C$5:$C$404,首页!$B$5)+SUMIFS(采购录入!$W$5:$W$404,采购录入!$U$5:$U$404,$B$3,采购录入!$V$5:$V$404,$A58,采购录入!$C$5:$C$404,首页!$B$5)+SUMIFS(采购录入!$Z$5:$Z$404,采购录入!$X$5:$X$404,$B$3,采购录入!$Y$5:$Y$404,$A58,采购录入!$C$5:$C$404,首页!$B$5)+SUMIFS(其他凭证!$H$5:$H$304,其他凭证!$F$5:$F$304,$B$3,其他凭证!$G$5:$G$304,$A58,其他凭证!$C$5:$C$304,首页!$B$5))</f>
        <v>0</v>
      </c>
      <c r="D58" s="54" t="n">
        <f aca="false">IF($A58="","",SUMIFS(资金流水!$N$5:$N$504,资金流水!$P$5:$P$504,$B$3,资金流水!$O$5:$O$504,$A58,资金流水!$C$5:$C$504,首页!$B$5)+SUMIFS(销售录入!$X$5:$X$404,销售录入!$W$5:$W$404,$B$3,销售录入!$V$5:$V$404,$A58,销售录入!$C$5:$C$404,首页!$B$5)+SUMIFS(销售录入!$AA$5:$AA$404,销售录入!$Z$5:$Z$404,$B$3,销售录入!$Y$5:$Y$404,$A58,销售录入!$C$5:$C$404,首页!$B$5)+SUMIFS(销售录入!$AD$5:$AD$404,销售录入!$AC$5:$AC$404,$B$3,销售录入!$AB$5:$AB$404,$A58,销售录入!$C$5:$C$404,首页!$B$5)+SUMIFS(采购录入!$W$5:$W$404,采购录入!$V$5:$V$404,$B$3,采购录入!$U$5:$U$404,$A58,采购录入!$C$5:$C$404,首页!$B$5)+SUMIFS(采购录入!$Z$5:$Z$404,采购录入!$Y$5:$Y$404,$B$3,采购录入!$X$5:$X$404,$A58,采购录入!$C$5:$C$404,首页!$B$5)+SUMIFS(其他凭证!$H$5:$H$304,其他凭证!$G$5:$G$304,$B$3,其他凭证!$F$5:$F$304,$A58,其他凭证!$C$5:$C$304,首页!$B$5))</f>
        <v>0</v>
      </c>
      <c r="E58" s="44" t="n">
        <f aca="false">IF($A58="","",$C58-$D58)</f>
        <v>0</v>
      </c>
      <c r="F58" s="22" t="str">
        <f aca="false">IF(OR($A58="",AND($C58=0,$D58=0)),"",IF($C58&gt;0,"借 "&amp;$C$3&amp;" / 贷 "&amp;$B58,"")&amp;IF(AND($C58&gt;0,$D58&gt;0)," ；","")&amp;IF($D58&gt;0,"借 "&amp;$B58&amp;" / 贷 "&amp;$C$3,""))</f>
        <v/>
      </c>
    </row>
    <row r="59" customFormat="false" ht="15.75" hidden="false" customHeight="true" outlineLevel="0" collapsed="false">
      <c r="A59" s="42" t="str">
        <f aca="false">IF(科目参数!$A59="","",科目参数!$A59)</f>
        <v>5201</v>
      </c>
      <c r="B59" s="35" t="str">
        <f aca="false">IF($A59="","",科目参数!$B59)</f>
        <v>劳务成本</v>
      </c>
      <c r="C59" s="54" t="n">
        <f aca="false">IF($A59="","",SUMIFS(资金流水!$N$5:$N$504,资金流水!$O$5:$O$504,$B$3,资金流水!$P$5:$P$504,$A59,资金流水!$C$5:$C$504,首页!$B$5)+SUMIFS(销售录入!$X$5:$X$404,销售录入!$V$5:$V$404,$B$3,销售录入!$W$5:$W$404,$A59,销售录入!$C$5:$C$404,首页!$B$5)+SUMIFS(销售录入!$AA$5:$AA$404,销售录入!$Y$5:$Y$404,$B$3,销售录入!$Z$5:$Z$404,$A59,销售录入!$C$5:$C$404,首页!$B$5)+SUMIFS(销售录入!$AD$5:$AD$404,销售录入!$AB$5:$AB$404,$B$3,销售录入!$AC$5:$AC$404,$A59,销售录入!$C$5:$C$404,首页!$B$5)+SUMIFS(采购录入!$W$5:$W$404,采购录入!$U$5:$U$404,$B$3,采购录入!$V$5:$V$404,$A59,采购录入!$C$5:$C$404,首页!$B$5)+SUMIFS(采购录入!$Z$5:$Z$404,采购录入!$X$5:$X$404,$B$3,采购录入!$Y$5:$Y$404,$A59,采购录入!$C$5:$C$404,首页!$B$5)+SUMIFS(其他凭证!$H$5:$H$304,其他凭证!$F$5:$F$304,$B$3,其他凭证!$G$5:$G$304,$A59,其他凭证!$C$5:$C$304,首页!$B$5))</f>
        <v>0</v>
      </c>
      <c r="D59" s="54" t="n">
        <f aca="false">IF($A59="","",SUMIFS(资金流水!$N$5:$N$504,资金流水!$P$5:$P$504,$B$3,资金流水!$O$5:$O$504,$A59,资金流水!$C$5:$C$504,首页!$B$5)+SUMIFS(销售录入!$X$5:$X$404,销售录入!$W$5:$W$404,$B$3,销售录入!$V$5:$V$404,$A59,销售录入!$C$5:$C$404,首页!$B$5)+SUMIFS(销售录入!$AA$5:$AA$404,销售录入!$Z$5:$Z$404,$B$3,销售录入!$Y$5:$Y$404,$A59,销售录入!$C$5:$C$404,首页!$B$5)+SUMIFS(销售录入!$AD$5:$AD$404,销售录入!$AC$5:$AC$404,$B$3,销售录入!$AB$5:$AB$404,$A59,销售录入!$C$5:$C$404,首页!$B$5)+SUMIFS(采购录入!$W$5:$W$404,采购录入!$V$5:$V$404,$B$3,采购录入!$U$5:$U$404,$A59,采购录入!$C$5:$C$404,首页!$B$5)+SUMIFS(采购录入!$Z$5:$Z$404,采购录入!$Y$5:$Y$404,$B$3,采购录入!$X$5:$X$404,$A59,采购录入!$C$5:$C$404,首页!$B$5)+SUMIFS(其他凭证!$H$5:$H$304,其他凭证!$G$5:$G$304,$B$3,其他凭证!$F$5:$F$304,$A59,其他凭证!$C$5:$C$304,首页!$B$5))</f>
        <v>0</v>
      </c>
      <c r="E59" s="44" t="n">
        <f aca="false">IF($A59="","",$C59-$D59)</f>
        <v>0</v>
      </c>
      <c r="F59" s="22" t="str">
        <f aca="false">IF(OR($A59="",AND($C59=0,$D59=0)),"",IF($C59&gt;0,"借 "&amp;$C$3&amp;" / 贷 "&amp;$B59,"")&amp;IF(AND($C59&gt;0,$D59&gt;0)," ；","")&amp;IF($D59&gt;0,"借 "&amp;$B59&amp;" / 贷 "&amp;$C$3,""))</f>
        <v/>
      </c>
    </row>
    <row r="60" customFormat="false" ht="15.75" hidden="false" customHeight="true" outlineLevel="0" collapsed="false">
      <c r="A60" s="42" t="str">
        <f aca="false">IF(科目参数!$A60="","",科目参数!$A60)</f>
        <v>6001</v>
      </c>
      <c r="B60" s="35" t="str">
        <f aca="false">IF($A60="","",科目参数!$B60)</f>
        <v>主营业务收入</v>
      </c>
      <c r="C60" s="54" t="n">
        <f aca="false">IF($A60="","",SUMIFS(资金流水!$N$5:$N$504,资金流水!$O$5:$O$504,$B$3,资金流水!$P$5:$P$504,$A60,资金流水!$C$5:$C$504,首页!$B$5)+SUMIFS(销售录入!$X$5:$X$404,销售录入!$V$5:$V$404,$B$3,销售录入!$W$5:$W$404,$A60,销售录入!$C$5:$C$404,首页!$B$5)+SUMIFS(销售录入!$AA$5:$AA$404,销售录入!$Y$5:$Y$404,$B$3,销售录入!$Z$5:$Z$404,$A60,销售录入!$C$5:$C$404,首页!$B$5)+SUMIFS(销售录入!$AD$5:$AD$404,销售录入!$AB$5:$AB$404,$B$3,销售录入!$AC$5:$AC$404,$A60,销售录入!$C$5:$C$404,首页!$B$5)+SUMIFS(采购录入!$W$5:$W$404,采购录入!$U$5:$U$404,$B$3,采购录入!$V$5:$V$404,$A60,采购录入!$C$5:$C$404,首页!$B$5)+SUMIFS(采购录入!$Z$5:$Z$404,采购录入!$X$5:$X$404,$B$3,采购录入!$Y$5:$Y$404,$A60,采购录入!$C$5:$C$404,首页!$B$5)+SUMIFS(其他凭证!$H$5:$H$304,其他凭证!$F$5:$F$304,$B$3,其他凭证!$G$5:$G$304,$A60,其他凭证!$C$5:$C$304,首页!$B$5))</f>
        <v>24600</v>
      </c>
      <c r="D60" s="54" t="n">
        <f aca="false">IF($A60="","",SUMIFS(资金流水!$N$5:$N$504,资金流水!$P$5:$P$504,$B$3,资金流水!$O$5:$O$504,$A60,资金流水!$C$5:$C$504,首页!$B$5)+SUMIFS(销售录入!$X$5:$X$404,销售录入!$W$5:$W$404,$B$3,销售录入!$V$5:$V$404,$A60,销售录入!$C$5:$C$404,首页!$B$5)+SUMIFS(销售录入!$AA$5:$AA$404,销售录入!$Z$5:$Z$404,$B$3,销售录入!$Y$5:$Y$404,$A60,销售录入!$C$5:$C$404,首页!$B$5)+SUMIFS(销售录入!$AD$5:$AD$404,销售录入!$AC$5:$AC$404,$B$3,销售录入!$AB$5:$AB$404,$A60,销售录入!$C$5:$C$404,首页!$B$5)+SUMIFS(采购录入!$W$5:$W$404,采购录入!$V$5:$V$404,$B$3,采购录入!$U$5:$U$404,$A60,采购录入!$C$5:$C$404,首页!$B$5)+SUMIFS(采购录入!$Z$5:$Z$404,采购录入!$Y$5:$Y$404,$B$3,采购录入!$X$5:$X$404,$A60,采购录入!$C$5:$C$404,首页!$B$5)+SUMIFS(其他凭证!$H$5:$H$304,其他凭证!$G$5:$G$304,$B$3,其他凭证!$F$5:$F$304,$A60,其他凭证!$C$5:$C$304,首页!$B$5))</f>
        <v>0</v>
      </c>
      <c r="E60" s="44" t="n">
        <f aca="false">IF($A60="","",$C60-$D60)</f>
        <v>24600</v>
      </c>
      <c r="F60" s="22" t="str">
        <f aca="false">IF(OR($A60="",AND($C60=0,$D60=0)),"",IF($C60&gt;0,"借 "&amp;$C$3&amp;" / 贷 "&amp;$B60,"")&amp;IF(AND($C60&gt;0,$D60&gt;0)," ；","")&amp;IF($D60&gt;0,"借 "&amp;$B60&amp;" / 贷 "&amp;$C$3,""))</f>
        <v>借 应收账款 / 贷 主营业务收入</v>
      </c>
    </row>
    <row r="61" customFormat="false" ht="15.75" hidden="false" customHeight="true" outlineLevel="0" collapsed="false">
      <c r="A61" s="42" t="str">
        <f aca="false">IF(科目参数!$A61="","",科目参数!$A61)</f>
        <v>6051</v>
      </c>
      <c r="B61" s="35" t="str">
        <f aca="false">IF($A61="","",科目参数!$B61)</f>
        <v>其他业务收入</v>
      </c>
      <c r="C61" s="54" t="n">
        <f aca="false">IF($A61="","",SUMIFS(资金流水!$N$5:$N$504,资金流水!$O$5:$O$504,$B$3,资金流水!$P$5:$P$504,$A61,资金流水!$C$5:$C$504,首页!$B$5)+SUMIFS(销售录入!$X$5:$X$404,销售录入!$V$5:$V$404,$B$3,销售录入!$W$5:$W$404,$A61,销售录入!$C$5:$C$404,首页!$B$5)+SUMIFS(销售录入!$AA$5:$AA$404,销售录入!$Y$5:$Y$404,$B$3,销售录入!$Z$5:$Z$404,$A61,销售录入!$C$5:$C$404,首页!$B$5)+SUMIFS(销售录入!$AD$5:$AD$404,销售录入!$AB$5:$AB$404,$B$3,销售录入!$AC$5:$AC$404,$A61,销售录入!$C$5:$C$404,首页!$B$5)+SUMIFS(采购录入!$W$5:$W$404,采购录入!$U$5:$U$404,$B$3,采购录入!$V$5:$V$404,$A61,采购录入!$C$5:$C$404,首页!$B$5)+SUMIFS(采购录入!$Z$5:$Z$404,采购录入!$X$5:$X$404,$B$3,采购录入!$Y$5:$Y$404,$A61,采购录入!$C$5:$C$404,首页!$B$5)+SUMIFS(其他凭证!$H$5:$H$304,其他凭证!$F$5:$F$304,$B$3,其他凭证!$G$5:$G$304,$A61,其他凭证!$C$5:$C$304,首页!$B$5))</f>
        <v>0</v>
      </c>
      <c r="D61" s="54" t="n">
        <f aca="false">IF($A61="","",SUMIFS(资金流水!$N$5:$N$504,资金流水!$P$5:$P$504,$B$3,资金流水!$O$5:$O$504,$A61,资金流水!$C$5:$C$504,首页!$B$5)+SUMIFS(销售录入!$X$5:$X$404,销售录入!$W$5:$W$404,$B$3,销售录入!$V$5:$V$404,$A61,销售录入!$C$5:$C$404,首页!$B$5)+SUMIFS(销售录入!$AA$5:$AA$404,销售录入!$Z$5:$Z$404,$B$3,销售录入!$Y$5:$Y$404,$A61,销售录入!$C$5:$C$404,首页!$B$5)+SUMIFS(销售录入!$AD$5:$AD$404,销售录入!$AC$5:$AC$404,$B$3,销售录入!$AB$5:$AB$404,$A61,销售录入!$C$5:$C$404,首页!$B$5)+SUMIFS(采购录入!$W$5:$W$404,采购录入!$V$5:$V$404,$B$3,采购录入!$U$5:$U$404,$A61,采购录入!$C$5:$C$404,首页!$B$5)+SUMIFS(采购录入!$Z$5:$Z$404,采购录入!$Y$5:$Y$404,$B$3,采购录入!$X$5:$X$404,$A61,采购录入!$C$5:$C$404,首页!$B$5)+SUMIFS(其他凭证!$H$5:$H$304,其他凭证!$G$5:$G$304,$B$3,其他凭证!$F$5:$F$304,$A61,其他凭证!$C$5:$C$304,首页!$B$5))</f>
        <v>0</v>
      </c>
      <c r="E61" s="44" t="n">
        <f aca="false">IF($A61="","",$C61-$D61)</f>
        <v>0</v>
      </c>
      <c r="F61" s="22" t="str">
        <f aca="false">IF(OR($A61="",AND($C61=0,$D61=0)),"",IF($C61&gt;0,"借 "&amp;$C$3&amp;" / 贷 "&amp;$B61,"")&amp;IF(AND($C61&gt;0,$D61&gt;0)," ；","")&amp;IF($D61&gt;0,"借 "&amp;$B61&amp;" / 贷 "&amp;$C$3,""))</f>
        <v/>
      </c>
    </row>
    <row r="62" customFormat="false" ht="15.75" hidden="false" customHeight="true" outlineLevel="0" collapsed="false">
      <c r="A62" s="42" t="str">
        <f aca="false">IF(科目参数!$A62="","",科目参数!$A62)</f>
        <v>6111</v>
      </c>
      <c r="B62" s="35" t="str">
        <f aca="false">IF($A62="","",科目参数!$B62)</f>
        <v>投资收益</v>
      </c>
      <c r="C62" s="54" t="n">
        <f aca="false">IF($A62="","",SUMIFS(资金流水!$N$5:$N$504,资金流水!$O$5:$O$504,$B$3,资金流水!$P$5:$P$504,$A62,资金流水!$C$5:$C$504,首页!$B$5)+SUMIFS(销售录入!$X$5:$X$404,销售录入!$V$5:$V$404,$B$3,销售录入!$W$5:$W$404,$A62,销售录入!$C$5:$C$404,首页!$B$5)+SUMIFS(销售录入!$AA$5:$AA$404,销售录入!$Y$5:$Y$404,$B$3,销售录入!$Z$5:$Z$404,$A62,销售录入!$C$5:$C$404,首页!$B$5)+SUMIFS(销售录入!$AD$5:$AD$404,销售录入!$AB$5:$AB$404,$B$3,销售录入!$AC$5:$AC$404,$A62,销售录入!$C$5:$C$404,首页!$B$5)+SUMIFS(采购录入!$W$5:$W$404,采购录入!$U$5:$U$404,$B$3,采购录入!$V$5:$V$404,$A62,采购录入!$C$5:$C$404,首页!$B$5)+SUMIFS(采购录入!$Z$5:$Z$404,采购录入!$X$5:$X$404,$B$3,采购录入!$Y$5:$Y$404,$A62,采购录入!$C$5:$C$404,首页!$B$5)+SUMIFS(其他凭证!$H$5:$H$304,其他凭证!$F$5:$F$304,$B$3,其他凭证!$G$5:$G$304,$A62,其他凭证!$C$5:$C$304,首页!$B$5))</f>
        <v>0</v>
      </c>
      <c r="D62" s="54" t="n">
        <f aca="false">IF($A62="","",SUMIFS(资金流水!$N$5:$N$504,资金流水!$P$5:$P$504,$B$3,资金流水!$O$5:$O$504,$A62,资金流水!$C$5:$C$504,首页!$B$5)+SUMIFS(销售录入!$X$5:$X$404,销售录入!$W$5:$W$404,$B$3,销售录入!$V$5:$V$404,$A62,销售录入!$C$5:$C$404,首页!$B$5)+SUMIFS(销售录入!$AA$5:$AA$404,销售录入!$Z$5:$Z$404,$B$3,销售录入!$Y$5:$Y$404,$A62,销售录入!$C$5:$C$404,首页!$B$5)+SUMIFS(销售录入!$AD$5:$AD$404,销售录入!$AC$5:$AC$404,$B$3,销售录入!$AB$5:$AB$404,$A62,销售录入!$C$5:$C$404,首页!$B$5)+SUMIFS(采购录入!$W$5:$W$404,采购录入!$V$5:$V$404,$B$3,采购录入!$U$5:$U$404,$A62,采购录入!$C$5:$C$404,首页!$B$5)+SUMIFS(采购录入!$Z$5:$Z$404,采购录入!$Y$5:$Y$404,$B$3,采购录入!$X$5:$X$404,$A62,采购录入!$C$5:$C$404,首页!$B$5)+SUMIFS(其他凭证!$H$5:$H$304,其他凭证!$G$5:$G$304,$B$3,其他凭证!$F$5:$F$304,$A62,其他凭证!$C$5:$C$304,首页!$B$5))</f>
        <v>0</v>
      </c>
      <c r="E62" s="44" t="n">
        <f aca="false">IF($A62="","",$C62-$D62)</f>
        <v>0</v>
      </c>
      <c r="F62" s="22" t="str">
        <f aca="false">IF(OR($A62="",AND($C62=0,$D62=0)),"",IF($C62&gt;0,"借 "&amp;$C$3&amp;" / 贷 "&amp;$B62,"")&amp;IF(AND($C62&gt;0,$D62&gt;0)," ；","")&amp;IF($D62&gt;0,"借 "&amp;$B62&amp;" / 贷 "&amp;$C$3,""))</f>
        <v/>
      </c>
    </row>
    <row r="63" customFormat="false" ht="15.75" hidden="false" customHeight="true" outlineLevel="0" collapsed="false">
      <c r="A63" s="42" t="str">
        <f aca="false">IF(科目参数!$A63="","",科目参数!$A63)</f>
        <v>6115</v>
      </c>
      <c r="B63" s="35" t="str">
        <f aca="false">IF($A63="","",科目参数!$B63)</f>
        <v>资产处置收益</v>
      </c>
      <c r="C63" s="54" t="n">
        <f aca="false">IF($A63="","",SUMIFS(资金流水!$N$5:$N$504,资金流水!$O$5:$O$504,$B$3,资金流水!$P$5:$P$504,$A63,资金流水!$C$5:$C$504,首页!$B$5)+SUMIFS(销售录入!$X$5:$X$404,销售录入!$V$5:$V$404,$B$3,销售录入!$W$5:$W$404,$A63,销售录入!$C$5:$C$404,首页!$B$5)+SUMIFS(销售录入!$AA$5:$AA$404,销售录入!$Y$5:$Y$404,$B$3,销售录入!$Z$5:$Z$404,$A63,销售录入!$C$5:$C$404,首页!$B$5)+SUMIFS(销售录入!$AD$5:$AD$404,销售录入!$AB$5:$AB$404,$B$3,销售录入!$AC$5:$AC$404,$A63,销售录入!$C$5:$C$404,首页!$B$5)+SUMIFS(采购录入!$W$5:$W$404,采购录入!$U$5:$U$404,$B$3,采购录入!$V$5:$V$404,$A63,采购录入!$C$5:$C$404,首页!$B$5)+SUMIFS(采购录入!$Z$5:$Z$404,采购录入!$X$5:$X$404,$B$3,采购录入!$Y$5:$Y$404,$A63,采购录入!$C$5:$C$404,首页!$B$5)+SUMIFS(其他凭证!$H$5:$H$304,其他凭证!$F$5:$F$304,$B$3,其他凭证!$G$5:$G$304,$A63,其他凭证!$C$5:$C$304,首页!$B$5))</f>
        <v>0</v>
      </c>
      <c r="D63" s="54" t="n">
        <f aca="false">IF($A63="","",SUMIFS(资金流水!$N$5:$N$504,资金流水!$P$5:$P$504,$B$3,资金流水!$O$5:$O$504,$A63,资金流水!$C$5:$C$504,首页!$B$5)+SUMIFS(销售录入!$X$5:$X$404,销售录入!$W$5:$W$404,$B$3,销售录入!$V$5:$V$404,$A63,销售录入!$C$5:$C$404,首页!$B$5)+SUMIFS(销售录入!$AA$5:$AA$404,销售录入!$Z$5:$Z$404,$B$3,销售录入!$Y$5:$Y$404,$A63,销售录入!$C$5:$C$404,首页!$B$5)+SUMIFS(销售录入!$AD$5:$AD$404,销售录入!$AC$5:$AC$404,$B$3,销售录入!$AB$5:$AB$404,$A63,销售录入!$C$5:$C$404,首页!$B$5)+SUMIFS(采购录入!$W$5:$W$404,采购录入!$V$5:$V$404,$B$3,采购录入!$U$5:$U$404,$A63,采购录入!$C$5:$C$404,首页!$B$5)+SUMIFS(采购录入!$Z$5:$Z$404,采购录入!$Y$5:$Y$404,$B$3,采购录入!$X$5:$X$404,$A63,采购录入!$C$5:$C$404,首页!$B$5)+SUMIFS(其他凭证!$H$5:$H$304,其他凭证!$G$5:$G$304,$B$3,其他凭证!$F$5:$F$304,$A63,其他凭证!$C$5:$C$304,首页!$B$5))</f>
        <v>0</v>
      </c>
      <c r="E63" s="44" t="n">
        <f aca="false">IF($A63="","",$C63-$D63)</f>
        <v>0</v>
      </c>
      <c r="F63" s="22" t="str">
        <f aca="false">IF(OR($A63="",AND($C63=0,$D63=0)),"",IF($C63&gt;0,"借 "&amp;$C$3&amp;" / 贷 "&amp;$B63,"")&amp;IF(AND($C63&gt;0,$D63&gt;0)," ；","")&amp;IF($D63&gt;0,"借 "&amp;$B63&amp;" / 贷 "&amp;$C$3,""))</f>
        <v/>
      </c>
    </row>
    <row r="64" customFormat="false" ht="15.75" hidden="false" customHeight="true" outlineLevel="0" collapsed="false">
      <c r="A64" s="42" t="str">
        <f aca="false">IF(科目参数!$A64="","",科目参数!$A64)</f>
        <v>6117</v>
      </c>
      <c r="B64" s="35" t="str">
        <f aca="false">IF($A64="","",科目参数!$B64)</f>
        <v>其他收益</v>
      </c>
      <c r="C64" s="54" t="n">
        <f aca="false">IF($A64="","",SUMIFS(资金流水!$N$5:$N$504,资金流水!$O$5:$O$504,$B$3,资金流水!$P$5:$P$504,$A64,资金流水!$C$5:$C$504,首页!$B$5)+SUMIFS(销售录入!$X$5:$X$404,销售录入!$V$5:$V$404,$B$3,销售录入!$W$5:$W$404,$A64,销售录入!$C$5:$C$404,首页!$B$5)+SUMIFS(销售录入!$AA$5:$AA$404,销售录入!$Y$5:$Y$404,$B$3,销售录入!$Z$5:$Z$404,$A64,销售录入!$C$5:$C$404,首页!$B$5)+SUMIFS(销售录入!$AD$5:$AD$404,销售录入!$AB$5:$AB$404,$B$3,销售录入!$AC$5:$AC$404,$A64,销售录入!$C$5:$C$404,首页!$B$5)+SUMIFS(采购录入!$W$5:$W$404,采购录入!$U$5:$U$404,$B$3,采购录入!$V$5:$V$404,$A64,采购录入!$C$5:$C$404,首页!$B$5)+SUMIFS(采购录入!$Z$5:$Z$404,采购录入!$X$5:$X$404,$B$3,采购录入!$Y$5:$Y$404,$A64,采购录入!$C$5:$C$404,首页!$B$5)+SUMIFS(其他凭证!$H$5:$H$304,其他凭证!$F$5:$F$304,$B$3,其他凭证!$G$5:$G$304,$A64,其他凭证!$C$5:$C$304,首页!$B$5))</f>
        <v>0</v>
      </c>
      <c r="D64" s="54" t="n">
        <f aca="false">IF($A64="","",SUMIFS(资金流水!$N$5:$N$504,资金流水!$P$5:$P$504,$B$3,资金流水!$O$5:$O$504,$A64,资金流水!$C$5:$C$504,首页!$B$5)+SUMIFS(销售录入!$X$5:$X$404,销售录入!$W$5:$W$404,$B$3,销售录入!$V$5:$V$404,$A64,销售录入!$C$5:$C$404,首页!$B$5)+SUMIFS(销售录入!$AA$5:$AA$404,销售录入!$Z$5:$Z$404,$B$3,销售录入!$Y$5:$Y$404,$A64,销售录入!$C$5:$C$404,首页!$B$5)+SUMIFS(销售录入!$AD$5:$AD$404,销售录入!$AC$5:$AC$404,$B$3,销售录入!$AB$5:$AB$404,$A64,销售录入!$C$5:$C$404,首页!$B$5)+SUMIFS(采购录入!$W$5:$W$404,采购录入!$V$5:$V$404,$B$3,采购录入!$U$5:$U$404,$A64,采购录入!$C$5:$C$404,首页!$B$5)+SUMIFS(采购录入!$Z$5:$Z$404,采购录入!$Y$5:$Y$404,$B$3,采购录入!$X$5:$X$404,$A64,采购录入!$C$5:$C$404,首页!$B$5)+SUMIFS(其他凭证!$H$5:$H$304,其他凭证!$G$5:$G$304,$B$3,其他凭证!$F$5:$F$304,$A64,其他凭证!$C$5:$C$304,首页!$B$5))</f>
        <v>0</v>
      </c>
      <c r="E64" s="44" t="n">
        <f aca="false">IF($A64="","",$C64-$D64)</f>
        <v>0</v>
      </c>
      <c r="F64" s="22" t="str">
        <f aca="false">IF(OR($A64="",AND($C64=0,$D64=0)),"",IF($C64&gt;0,"借 "&amp;$C$3&amp;" / 贷 "&amp;$B64,"")&amp;IF(AND($C64&gt;0,$D64&gt;0)," ；","")&amp;IF($D64&gt;0,"借 "&amp;$B64&amp;" / 贷 "&amp;$C$3,""))</f>
        <v/>
      </c>
    </row>
    <row r="65" customFormat="false" ht="15.75" hidden="false" customHeight="true" outlineLevel="0" collapsed="false">
      <c r="A65" s="42" t="str">
        <f aca="false">IF(科目参数!$A65="","",科目参数!$A65)</f>
        <v>6301</v>
      </c>
      <c r="B65" s="35" t="str">
        <f aca="false">IF($A65="","",科目参数!$B65)</f>
        <v>营业外收入</v>
      </c>
      <c r="C65" s="54" t="n">
        <f aca="false">IF($A65="","",SUMIFS(资金流水!$N$5:$N$504,资金流水!$O$5:$O$504,$B$3,资金流水!$P$5:$P$504,$A65,资金流水!$C$5:$C$504,首页!$B$5)+SUMIFS(销售录入!$X$5:$X$404,销售录入!$V$5:$V$404,$B$3,销售录入!$W$5:$W$404,$A65,销售录入!$C$5:$C$404,首页!$B$5)+SUMIFS(销售录入!$AA$5:$AA$404,销售录入!$Y$5:$Y$404,$B$3,销售录入!$Z$5:$Z$404,$A65,销售录入!$C$5:$C$404,首页!$B$5)+SUMIFS(销售录入!$AD$5:$AD$404,销售录入!$AB$5:$AB$404,$B$3,销售录入!$AC$5:$AC$404,$A65,销售录入!$C$5:$C$404,首页!$B$5)+SUMIFS(采购录入!$W$5:$W$404,采购录入!$U$5:$U$404,$B$3,采购录入!$V$5:$V$404,$A65,采购录入!$C$5:$C$404,首页!$B$5)+SUMIFS(采购录入!$Z$5:$Z$404,采购录入!$X$5:$X$404,$B$3,采购录入!$Y$5:$Y$404,$A65,采购录入!$C$5:$C$404,首页!$B$5)+SUMIFS(其他凭证!$H$5:$H$304,其他凭证!$F$5:$F$304,$B$3,其他凭证!$G$5:$G$304,$A65,其他凭证!$C$5:$C$304,首页!$B$5))</f>
        <v>0</v>
      </c>
      <c r="D65" s="54" t="n">
        <f aca="false">IF($A65="","",SUMIFS(资金流水!$N$5:$N$504,资金流水!$P$5:$P$504,$B$3,资金流水!$O$5:$O$504,$A65,资金流水!$C$5:$C$504,首页!$B$5)+SUMIFS(销售录入!$X$5:$X$404,销售录入!$W$5:$W$404,$B$3,销售录入!$V$5:$V$404,$A65,销售录入!$C$5:$C$404,首页!$B$5)+SUMIFS(销售录入!$AA$5:$AA$404,销售录入!$Z$5:$Z$404,$B$3,销售录入!$Y$5:$Y$404,$A65,销售录入!$C$5:$C$404,首页!$B$5)+SUMIFS(销售录入!$AD$5:$AD$404,销售录入!$AC$5:$AC$404,$B$3,销售录入!$AB$5:$AB$404,$A65,销售录入!$C$5:$C$404,首页!$B$5)+SUMIFS(采购录入!$W$5:$W$404,采购录入!$V$5:$V$404,$B$3,采购录入!$U$5:$U$404,$A65,采购录入!$C$5:$C$404,首页!$B$5)+SUMIFS(采购录入!$Z$5:$Z$404,采购录入!$Y$5:$Y$404,$B$3,采购录入!$X$5:$X$404,$A65,采购录入!$C$5:$C$404,首页!$B$5)+SUMIFS(其他凭证!$H$5:$H$304,其他凭证!$G$5:$G$304,$B$3,其他凭证!$F$5:$F$304,$A65,其他凭证!$C$5:$C$304,首页!$B$5))</f>
        <v>0</v>
      </c>
      <c r="E65" s="44" t="n">
        <f aca="false">IF($A65="","",$C65-$D65)</f>
        <v>0</v>
      </c>
      <c r="F65" s="22" t="str">
        <f aca="false">IF(OR($A65="",AND($C65=0,$D65=0)),"",IF($C65&gt;0,"借 "&amp;$C$3&amp;" / 贷 "&amp;$B65,"")&amp;IF(AND($C65&gt;0,$D65&gt;0)," ；","")&amp;IF($D65&gt;0,"借 "&amp;$B65&amp;" / 贷 "&amp;$C$3,""))</f>
        <v/>
      </c>
    </row>
    <row r="66" customFormat="false" ht="15.75" hidden="false" customHeight="true" outlineLevel="0" collapsed="false">
      <c r="A66" s="42" t="str">
        <f aca="false">IF(科目参数!$A66="","",科目参数!$A66)</f>
        <v>6401</v>
      </c>
      <c r="B66" s="35" t="str">
        <f aca="false">IF($A66="","",科目参数!$B66)</f>
        <v>主营业务成本</v>
      </c>
      <c r="C66" s="54" t="n">
        <f aca="false">IF($A66="","",SUMIFS(资金流水!$N$5:$N$504,资金流水!$O$5:$O$504,$B$3,资金流水!$P$5:$P$504,$A66,资金流水!$C$5:$C$504,首页!$B$5)+SUMIFS(销售录入!$X$5:$X$404,销售录入!$V$5:$V$404,$B$3,销售录入!$W$5:$W$404,$A66,销售录入!$C$5:$C$404,首页!$B$5)+SUMIFS(销售录入!$AA$5:$AA$404,销售录入!$Y$5:$Y$404,$B$3,销售录入!$Z$5:$Z$404,$A66,销售录入!$C$5:$C$404,首页!$B$5)+SUMIFS(销售录入!$AD$5:$AD$404,销售录入!$AB$5:$AB$404,$B$3,销售录入!$AC$5:$AC$404,$A66,销售录入!$C$5:$C$404,首页!$B$5)+SUMIFS(采购录入!$W$5:$W$404,采购录入!$U$5:$U$404,$B$3,采购录入!$V$5:$V$404,$A66,采购录入!$C$5:$C$404,首页!$B$5)+SUMIFS(采购录入!$Z$5:$Z$404,采购录入!$X$5:$X$404,$B$3,采购录入!$Y$5:$Y$404,$A66,采购录入!$C$5:$C$404,首页!$B$5)+SUMIFS(其他凭证!$H$5:$H$304,其他凭证!$F$5:$F$304,$B$3,其他凭证!$G$5:$G$304,$A66,其他凭证!$C$5:$C$304,首页!$B$5))</f>
        <v>0</v>
      </c>
      <c r="D66" s="54" t="n">
        <f aca="false">IF($A66="","",SUMIFS(资金流水!$N$5:$N$504,资金流水!$P$5:$P$504,$B$3,资金流水!$O$5:$O$504,$A66,资金流水!$C$5:$C$504,首页!$B$5)+SUMIFS(销售录入!$X$5:$X$404,销售录入!$W$5:$W$404,$B$3,销售录入!$V$5:$V$404,$A66,销售录入!$C$5:$C$404,首页!$B$5)+SUMIFS(销售录入!$AA$5:$AA$404,销售录入!$Z$5:$Z$404,$B$3,销售录入!$Y$5:$Y$404,$A66,销售录入!$C$5:$C$404,首页!$B$5)+SUMIFS(销售录入!$AD$5:$AD$404,销售录入!$AC$5:$AC$404,$B$3,销售录入!$AB$5:$AB$404,$A66,销售录入!$C$5:$C$404,首页!$B$5)+SUMIFS(采购录入!$W$5:$W$404,采购录入!$V$5:$V$404,$B$3,采购录入!$U$5:$U$404,$A66,采购录入!$C$5:$C$404,首页!$B$5)+SUMIFS(采购录入!$Z$5:$Z$404,采购录入!$Y$5:$Y$404,$B$3,采购录入!$X$5:$X$404,$A66,采购录入!$C$5:$C$404,首页!$B$5)+SUMIFS(其他凭证!$H$5:$H$304,其他凭证!$G$5:$G$304,$B$3,其他凭证!$F$5:$F$304,$A66,其他凭证!$C$5:$C$304,首页!$B$5))</f>
        <v>0</v>
      </c>
      <c r="E66" s="44" t="n">
        <f aca="false">IF($A66="","",$C66-$D66)</f>
        <v>0</v>
      </c>
      <c r="F66" s="22" t="str">
        <f aca="false">IF(OR($A66="",AND($C66=0,$D66=0)),"",IF($C66&gt;0,"借 "&amp;$C$3&amp;" / 贷 "&amp;$B66,"")&amp;IF(AND($C66&gt;0,$D66&gt;0)," ；","")&amp;IF($D66&gt;0,"借 "&amp;$B66&amp;" / 贷 "&amp;$C$3,""))</f>
        <v/>
      </c>
    </row>
    <row r="67" customFormat="false" ht="15.75" hidden="false" customHeight="true" outlineLevel="0" collapsed="false">
      <c r="A67" s="42" t="str">
        <f aca="false">IF(科目参数!$A67="","",科目参数!$A67)</f>
        <v>6402</v>
      </c>
      <c r="B67" s="35" t="str">
        <f aca="false">IF($A67="","",科目参数!$B67)</f>
        <v>其他业务成本</v>
      </c>
      <c r="C67" s="54" t="n">
        <f aca="false">IF($A67="","",SUMIFS(资金流水!$N$5:$N$504,资金流水!$O$5:$O$504,$B$3,资金流水!$P$5:$P$504,$A67,资金流水!$C$5:$C$504,首页!$B$5)+SUMIFS(销售录入!$X$5:$X$404,销售录入!$V$5:$V$404,$B$3,销售录入!$W$5:$W$404,$A67,销售录入!$C$5:$C$404,首页!$B$5)+SUMIFS(销售录入!$AA$5:$AA$404,销售录入!$Y$5:$Y$404,$B$3,销售录入!$Z$5:$Z$404,$A67,销售录入!$C$5:$C$404,首页!$B$5)+SUMIFS(销售录入!$AD$5:$AD$404,销售录入!$AB$5:$AB$404,$B$3,销售录入!$AC$5:$AC$404,$A67,销售录入!$C$5:$C$404,首页!$B$5)+SUMIFS(采购录入!$W$5:$W$404,采购录入!$U$5:$U$404,$B$3,采购录入!$V$5:$V$404,$A67,采购录入!$C$5:$C$404,首页!$B$5)+SUMIFS(采购录入!$Z$5:$Z$404,采购录入!$X$5:$X$404,$B$3,采购录入!$Y$5:$Y$404,$A67,采购录入!$C$5:$C$404,首页!$B$5)+SUMIFS(其他凭证!$H$5:$H$304,其他凭证!$F$5:$F$304,$B$3,其他凭证!$G$5:$G$304,$A67,其他凭证!$C$5:$C$304,首页!$B$5))</f>
        <v>0</v>
      </c>
      <c r="D67" s="54" t="n">
        <f aca="false">IF($A67="","",SUMIFS(资金流水!$N$5:$N$504,资金流水!$P$5:$P$504,$B$3,资金流水!$O$5:$O$504,$A67,资金流水!$C$5:$C$504,首页!$B$5)+SUMIFS(销售录入!$X$5:$X$404,销售录入!$W$5:$W$404,$B$3,销售录入!$V$5:$V$404,$A67,销售录入!$C$5:$C$404,首页!$B$5)+SUMIFS(销售录入!$AA$5:$AA$404,销售录入!$Z$5:$Z$404,$B$3,销售录入!$Y$5:$Y$404,$A67,销售录入!$C$5:$C$404,首页!$B$5)+SUMIFS(销售录入!$AD$5:$AD$404,销售录入!$AC$5:$AC$404,$B$3,销售录入!$AB$5:$AB$404,$A67,销售录入!$C$5:$C$404,首页!$B$5)+SUMIFS(采购录入!$W$5:$W$404,采购录入!$V$5:$V$404,$B$3,采购录入!$U$5:$U$404,$A67,采购录入!$C$5:$C$404,首页!$B$5)+SUMIFS(采购录入!$Z$5:$Z$404,采购录入!$Y$5:$Y$404,$B$3,采购录入!$X$5:$X$404,$A67,采购录入!$C$5:$C$404,首页!$B$5)+SUMIFS(其他凭证!$H$5:$H$304,其他凭证!$G$5:$G$304,$B$3,其他凭证!$F$5:$F$304,$A67,其他凭证!$C$5:$C$304,首页!$B$5))</f>
        <v>0</v>
      </c>
      <c r="E67" s="44" t="n">
        <f aca="false">IF($A67="","",$C67-$D67)</f>
        <v>0</v>
      </c>
      <c r="F67" s="22" t="str">
        <f aca="false">IF(OR($A67="",AND($C67=0,$D67=0)),"",IF($C67&gt;0,"借 "&amp;$C$3&amp;" / 贷 "&amp;$B67,"")&amp;IF(AND($C67&gt;0,$D67&gt;0)," ；","")&amp;IF($D67&gt;0,"借 "&amp;$B67&amp;" / 贷 "&amp;$C$3,""))</f>
        <v/>
      </c>
    </row>
    <row r="68" customFormat="false" ht="15.75" hidden="false" customHeight="true" outlineLevel="0" collapsed="false">
      <c r="A68" s="42" t="str">
        <f aca="false">IF(科目参数!$A68="","",科目参数!$A68)</f>
        <v>6403</v>
      </c>
      <c r="B68" s="35" t="str">
        <f aca="false">IF($A68="","",科目参数!$B68)</f>
        <v>税金及附加</v>
      </c>
      <c r="C68" s="54" t="n">
        <f aca="false">IF($A68="","",SUMIFS(资金流水!$N$5:$N$504,资金流水!$O$5:$O$504,$B$3,资金流水!$P$5:$P$504,$A68,资金流水!$C$5:$C$504,首页!$B$5)+SUMIFS(销售录入!$X$5:$X$404,销售录入!$V$5:$V$404,$B$3,销售录入!$W$5:$W$404,$A68,销售录入!$C$5:$C$404,首页!$B$5)+SUMIFS(销售录入!$AA$5:$AA$404,销售录入!$Y$5:$Y$404,$B$3,销售录入!$Z$5:$Z$404,$A68,销售录入!$C$5:$C$404,首页!$B$5)+SUMIFS(销售录入!$AD$5:$AD$404,销售录入!$AB$5:$AB$404,$B$3,销售录入!$AC$5:$AC$404,$A68,销售录入!$C$5:$C$404,首页!$B$5)+SUMIFS(采购录入!$W$5:$W$404,采购录入!$U$5:$U$404,$B$3,采购录入!$V$5:$V$404,$A68,采购录入!$C$5:$C$404,首页!$B$5)+SUMIFS(采购录入!$Z$5:$Z$404,采购录入!$X$5:$X$404,$B$3,采购录入!$Y$5:$Y$404,$A68,采购录入!$C$5:$C$404,首页!$B$5)+SUMIFS(其他凭证!$H$5:$H$304,其他凭证!$F$5:$F$304,$B$3,其他凭证!$G$5:$G$304,$A68,其他凭证!$C$5:$C$304,首页!$B$5))</f>
        <v>0</v>
      </c>
      <c r="D68" s="54" t="n">
        <f aca="false">IF($A68="","",SUMIFS(资金流水!$N$5:$N$504,资金流水!$P$5:$P$504,$B$3,资金流水!$O$5:$O$504,$A68,资金流水!$C$5:$C$504,首页!$B$5)+SUMIFS(销售录入!$X$5:$X$404,销售录入!$W$5:$W$404,$B$3,销售录入!$V$5:$V$404,$A68,销售录入!$C$5:$C$404,首页!$B$5)+SUMIFS(销售录入!$AA$5:$AA$404,销售录入!$Z$5:$Z$404,$B$3,销售录入!$Y$5:$Y$404,$A68,销售录入!$C$5:$C$404,首页!$B$5)+SUMIFS(销售录入!$AD$5:$AD$404,销售录入!$AC$5:$AC$404,$B$3,销售录入!$AB$5:$AB$404,$A68,销售录入!$C$5:$C$404,首页!$B$5)+SUMIFS(采购录入!$W$5:$W$404,采购录入!$V$5:$V$404,$B$3,采购录入!$U$5:$U$404,$A68,采购录入!$C$5:$C$404,首页!$B$5)+SUMIFS(采购录入!$Z$5:$Z$404,采购录入!$Y$5:$Y$404,$B$3,采购录入!$X$5:$X$404,$A68,采购录入!$C$5:$C$404,首页!$B$5)+SUMIFS(其他凭证!$H$5:$H$304,其他凭证!$G$5:$G$304,$B$3,其他凭证!$F$5:$F$304,$A68,其他凭证!$C$5:$C$304,首页!$B$5))</f>
        <v>0</v>
      </c>
      <c r="E68" s="44" t="n">
        <f aca="false">IF($A68="","",$C68-$D68)</f>
        <v>0</v>
      </c>
      <c r="F68" s="22" t="str">
        <f aca="false">IF(OR($A68="",AND($C68=0,$D68=0)),"",IF($C68&gt;0,"借 "&amp;$C$3&amp;" / 贷 "&amp;$B68,"")&amp;IF(AND($C68&gt;0,$D68&gt;0)," ；","")&amp;IF($D68&gt;0,"借 "&amp;$B68&amp;" / 贷 "&amp;$C$3,""))</f>
        <v/>
      </c>
    </row>
    <row r="69" customFormat="false" ht="15.75" hidden="false" customHeight="true" outlineLevel="0" collapsed="false">
      <c r="A69" s="42" t="str">
        <f aca="false">IF(科目参数!$A69="","",科目参数!$A69)</f>
        <v>6601</v>
      </c>
      <c r="B69" s="35" t="str">
        <f aca="false">IF($A69="","",科目参数!$B69)</f>
        <v>销售费用</v>
      </c>
      <c r="C69" s="54" t="n">
        <f aca="false">IF($A69="","",SUMIFS(资金流水!$N$5:$N$504,资金流水!$O$5:$O$504,$B$3,资金流水!$P$5:$P$504,$A69,资金流水!$C$5:$C$504,首页!$B$5)+SUMIFS(销售录入!$X$5:$X$404,销售录入!$V$5:$V$404,$B$3,销售录入!$W$5:$W$404,$A69,销售录入!$C$5:$C$404,首页!$B$5)+SUMIFS(销售录入!$AA$5:$AA$404,销售录入!$Y$5:$Y$404,$B$3,销售录入!$Z$5:$Z$404,$A69,销售录入!$C$5:$C$404,首页!$B$5)+SUMIFS(销售录入!$AD$5:$AD$404,销售录入!$AB$5:$AB$404,$B$3,销售录入!$AC$5:$AC$404,$A69,销售录入!$C$5:$C$404,首页!$B$5)+SUMIFS(采购录入!$W$5:$W$404,采购录入!$U$5:$U$404,$B$3,采购录入!$V$5:$V$404,$A69,采购录入!$C$5:$C$404,首页!$B$5)+SUMIFS(采购录入!$Z$5:$Z$404,采购录入!$X$5:$X$404,$B$3,采购录入!$Y$5:$Y$404,$A69,采购录入!$C$5:$C$404,首页!$B$5)+SUMIFS(其他凭证!$H$5:$H$304,其他凭证!$F$5:$F$304,$B$3,其他凭证!$G$5:$G$304,$A69,其他凭证!$C$5:$C$304,首页!$B$5))</f>
        <v>0</v>
      </c>
      <c r="D69" s="54" t="n">
        <f aca="false">IF($A69="","",SUMIFS(资金流水!$N$5:$N$504,资金流水!$P$5:$P$504,$B$3,资金流水!$O$5:$O$504,$A69,资金流水!$C$5:$C$504,首页!$B$5)+SUMIFS(销售录入!$X$5:$X$404,销售录入!$W$5:$W$404,$B$3,销售录入!$V$5:$V$404,$A69,销售录入!$C$5:$C$404,首页!$B$5)+SUMIFS(销售录入!$AA$5:$AA$404,销售录入!$Z$5:$Z$404,$B$3,销售录入!$Y$5:$Y$404,$A69,销售录入!$C$5:$C$404,首页!$B$5)+SUMIFS(销售录入!$AD$5:$AD$404,销售录入!$AC$5:$AC$404,$B$3,销售录入!$AB$5:$AB$404,$A69,销售录入!$C$5:$C$404,首页!$B$5)+SUMIFS(采购录入!$W$5:$W$404,采购录入!$V$5:$V$404,$B$3,采购录入!$U$5:$U$404,$A69,采购录入!$C$5:$C$404,首页!$B$5)+SUMIFS(采购录入!$Z$5:$Z$404,采购录入!$Y$5:$Y$404,$B$3,采购录入!$X$5:$X$404,$A69,采购录入!$C$5:$C$404,首页!$B$5)+SUMIFS(其他凭证!$H$5:$H$304,其他凭证!$G$5:$G$304,$B$3,其他凭证!$F$5:$F$304,$A69,其他凭证!$C$5:$C$304,首页!$B$5))</f>
        <v>0</v>
      </c>
      <c r="E69" s="44" t="n">
        <f aca="false">IF($A69="","",$C69-$D69)</f>
        <v>0</v>
      </c>
      <c r="F69" s="22" t="str">
        <f aca="false">IF(OR($A69="",AND($C69=0,$D69=0)),"",IF($C69&gt;0,"借 "&amp;$C$3&amp;" / 贷 "&amp;$B69,"")&amp;IF(AND($C69&gt;0,$D69&gt;0)," ；","")&amp;IF($D69&gt;0,"借 "&amp;$B69&amp;" / 贷 "&amp;$C$3,""))</f>
        <v/>
      </c>
    </row>
    <row r="70" customFormat="false" ht="15.75" hidden="false" customHeight="true" outlineLevel="0" collapsed="false">
      <c r="A70" s="42" t="str">
        <f aca="false">IF(科目参数!$A70="","",科目参数!$A70)</f>
        <v>6602</v>
      </c>
      <c r="B70" s="35" t="str">
        <f aca="false">IF($A70="","",科目参数!$B70)</f>
        <v>管理费用</v>
      </c>
      <c r="C70" s="54" t="n">
        <f aca="false">IF($A70="","",SUMIFS(资金流水!$N$5:$N$504,资金流水!$O$5:$O$504,$B$3,资金流水!$P$5:$P$504,$A70,资金流水!$C$5:$C$504,首页!$B$5)+SUMIFS(销售录入!$X$5:$X$404,销售录入!$V$5:$V$404,$B$3,销售录入!$W$5:$W$404,$A70,销售录入!$C$5:$C$404,首页!$B$5)+SUMIFS(销售录入!$AA$5:$AA$404,销售录入!$Y$5:$Y$404,$B$3,销售录入!$Z$5:$Z$404,$A70,销售录入!$C$5:$C$404,首页!$B$5)+SUMIFS(销售录入!$AD$5:$AD$404,销售录入!$AB$5:$AB$404,$B$3,销售录入!$AC$5:$AC$404,$A70,销售录入!$C$5:$C$404,首页!$B$5)+SUMIFS(采购录入!$W$5:$W$404,采购录入!$U$5:$U$404,$B$3,采购录入!$V$5:$V$404,$A70,采购录入!$C$5:$C$404,首页!$B$5)+SUMIFS(采购录入!$Z$5:$Z$404,采购录入!$X$5:$X$404,$B$3,采购录入!$Y$5:$Y$404,$A70,采购录入!$C$5:$C$404,首页!$B$5)+SUMIFS(其他凭证!$H$5:$H$304,其他凭证!$F$5:$F$304,$B$3,其他凭证!$G$5:$G$304,$A70,其他凭证!$C$5:$C$304,首页!$B$5))</f>
        <v>0</v>
      </c>
      <c r="D70" s="54" t="n">
        <f aca="false">IF($A70="","",SUMIFS(资金流水!$N$5:$N$504,资金流水!$P$5:$P$504,$B$3,资金流水!$O$5:$O$504,$A70,资金流水!$C$5:$C$504,首页!$B$5)+SUMIFS(销售录入!$X$5:$X$404,销售录入!$W$5:$W$404,$B$3,销售录入!$V$5:$V$404,$A70,销售录入!$C$5:$C$404,首页!$B$5)+SUMIFS(销售录入!$AA$5:$AA$404,销售录入!$Z$5:$Z$404,$B$3,销售录入!$Y$5:$Y$404,$A70,销售录入!$C$5:$C$404,首页!$B$5)+SUMIFS(销售录入!$AD$5:$AD$404,销售录入!$AC$5:$AC$404,$B$3,销售录入!$AB$5:$AB$404,$A70,销售录入!$C$5:$C$404,首页!$B$5)+SUMIFS(采购录入!$W$5:$W$404,采购录入!$V$5:$V$404,$B$3,采购录入!$U$5:$U$404,$A70,采购录入!$C$5:$C$404,首页!$B$5)+SUMIFS(采购录入!$Z$5:$Z$404,采购录入!$Y$5:$Y$404,$B$3,采购录入!$X$5:$X$404,$A70,采购录入!$C$5:$C$404,首页!$B$5)+SUMIFS(其他凭证!$H$5:$H$304,其他凭证!$G$5:$G$304,$B$3,其他凭证!$F$5:$F$304,$A70,其他凭证!$C$5:$C$304,首页!$B$5))</f>
        <v>0</v>
      </c>
      <c r="E70" s="44" t="n">
        <f aca="false">IF($A70="","",$C70-$D70)</f>
        <v>0</v>
      </c>
      <c r="F70" s="22" t="str">
        <f aca="false">IF(OR($A70="",AND($C70=0,$D70=0)),"",IF($C70&gt;0,"借 "&amp;$C$3&amp;" / 贷 "&amp;$B70,"")&amp;IF(AND($C70&gt;0,$D70&gt;0)," ；","")&amp;IF($D70&gt;0,"借 "&amp;$B70&amp;" / 贷 "&amp;$C$3,""))</f>
        <v/>
      </c>
    </row>
    <row r="71" customFormat="false" ht="15.75" hidden="false" customHeight="true" outlineLevel="0" collapsed="false">
      <c r="A71" s="42" t="str">
        <f aca="false">IF(科目参数!$A71="","",科目参数!$A71)</f>
        <v>6603</v>
      </c>
      <c r="B71" s="35" t="str">
        <f aca="false">IF($A71="","",科目参数!$B71)</f>
        <v>财务费用</v>
      </c>
      <c r="C71" s="54" t="n">
        <f aca="false">IF($A71="","",SUMIFS(资金流水!$N$5:$N$504,资金流水!$O$5:$O$504,$B$3,资金流水!$P$5:$P$504,$A71,资金流水!$C$5:$C$504,首页!$B$5)+SUMIFS(销售录入!$X$5:$X$404,销售录入!$V$5:$V$404,$B$3,销售录入!$W$5:$W$404,$A71,销售录入!$C$5:$C$404,首页!$B$5)+SUMIFS(销售录入!$AA$5:$AA$404,销售录入!$Y$5:$Y$404,$B$3,销售录入!$Z$5:$Z$404,$A71,销售录入!$C$5:$C$404,首页!$B$5)+SUMIFS(销售录入!$AD$5:$AD$404,销售录入!$AB$5:$AB$404,$B$3,销售录入!$AC$5:$AC$404,$A71,销售录入!$C$5:$C$404,首页!$B$5)+SUMIFS(采购录入!$W$5:$W$404,采购录入!$U$5:$U$404,$B$3,采购录入!$V$5:$V$404,$A71,采购录入!$C$5:$C$404,首页!$B$5)+SUMIFS(采购录入!$Z$5:$Z$404,采购录入!$X$5:$X$404,$B$3,采购录入!$Y$5:$Y$404,$A71,采购录入!$C$5:$C$404,首页!$B$5)+SUMIFS(其他凭证!$H$5:$H$304,其他凭证!$F$5:$F$304,$B$3,其他凭证!$G$5:$G$304,$A71,其他凭证!$C$5:$C$304,首页!$B$5))</f>
        <v>0</v>
      </c>
      <c r="D71" s="54" t="n">
        <f aca="false">IF($A71="","",SUMIFS(资金流水!$N$5:$N$504,资金流水!$P$5:$P$504,$B$3,资金流水!$O$5:$O$504,$A71,资金流水!$C$5:$C$504,首页!$B$5)+SUMIFS(销售录入!$X$5:$X$404,销售录入!$W$5:$W$404,$B$3,销售录入!$V$5:$V$404,$A71,销售录入!$C$5:$C$404,首页!$B$5)+SUMIFS(销售录入!$AA$5:$AA$404,销售录入!$Z$5:$Z$404,$B$3,销售录入!$Y$5:$Y$404,$A71,销售录入!$C$5:$C$404,首页!$B$5)+SUMIFS(销售录入!$AD$5:$AD$404,销售录入!$AC$5:$AC$404,$B$3,销售录入!$AB$5:$AB$404,$A71,销售录入!$C$5:$C$404,首页!$B$5)+SUMIFS(采购录入!$W$5:$W$404,采购录入!$V$5:$V$404,$B$3,采购录入!$U$5:$U$404,$A71,采购录入!$C$5:$C$404,首页!$B$5)+SUMIFS(采购录入!$Z$5:$Z$404,采购录入!$Y$5:$Y$404,$B$3,采购录入!$X$5:$X$404,$A71,采购录入!$C$5:$C$404,首页!$B$5)+SUMIFS(其他凭证!$H$5:$H$304,其他凭证!$G$5:$G$304,$B$3,其他凭证!$F$5:$F$304,$A71,其他凭证!$C$5:$C$304,首页!$B$5))</f>
        <v>0</v>
      </c>
      <c r="E71" s="44" t="n">
        <f aca="false">IF($A71="","",$C71-$D71)</f>
        <v>0</v>
      </c>
      <c r="F71" s="22" t="str">
        <f aca="false">IF(OR($A71="",AND($C71=0,$D71=0)),"",IF($C71&gt;0,"借 "&amp;$C$3&amp;" / 贷 "&amp;$B71,"")&amp;IF(AND($C71&gt;0,$D71&gt;0)," ；","")&amp;IF($D71&gt;0,"借 "&amp;$B71&amp;" / 贷 "&amp;$C$3,""))</f>
        <v/>
      </c>
    </row>
    <row r="72" customFormat="false" ht="15.75" hidden="false" customHeight="true" outlineLevel="0" collapsed="false">
      <c r="A72" s="42" t="str">
        <f aca="false">IF(科目参数!$A72="","",科目参数!$A72)</f>
        <v>6604</v>
      </c>
      <c r="B72" s="35" t="str">
        <f aca="false">IF($A72="","",科目参数!$B72)</f>
        <v>研发费用</v>
      </c>
      <c r="C72" s="54" t="n">
        <f aca="false">IF($A72="","",SUMIFS(资金流水!$N$5:$N$504,资金流水!$O$5:$O$504,$B$3,资金流水!$P$5:$P$504,$A72,资金流水!$C$5:$C$504,首页!$B$5)+SUMIFS(销售录入!$X$5:$X$404,销售录入!$V$5:$V$404,$B$3,销售录入!$W$5:$W$404,$A72,销售录入!$C$5:$C$404,首页!$B$5)+SUMIFS(销售录入!$AA$5:$AA$404,销售录入!$Y$5:$Y$404,$B$3,销售录入!$Z$5:$Z$404,$A72,销售录入!$C$5:$C$404,首页!$B$5)+SUMIFS(销售录入!$AD$5:$AD$404,销售录入!$AB$5:$AB$404,$B$3,销售录入!$AC$5:$AC$404,$A72,销售录入!$C$5:$C$404,首页!$B$5)+SUMIFS(采购录入!$W$5:$W$404,采购录入!$U$5:$U$404,$B$3,采购录入!$V$5:$V$404,$A72,采购录入!$C$5:$C$404,首页!$B$5)+SUMIFS(采购录入!$Z$5:$Z$404,采购录入!$X$5:$X$404,$B$3,采购录入!$Y$5:$Y$404,$A72,采购录入!$C$5:$C$404,首页!$B$5)+SUMIFS(其他凭证!$H$5:$H$304,其他凭证!$F$5:$F$304,$B$3,其他凭证!$G$5:$G$304,$A72,其他凭证!$C$5:$C$304,首页!$B$5))</f>
        <v>0</v>
      </c>
      <c r="D72" s="54" t="n">
        <f aca="false">IF($A72="","",SUMIFS(资金流水!$N$5:$N$504,资金流水!$P$5:$P$504,$B$3,资金流水!$O$5:$O$504,$A72,资金流水!$C$5:$C$504,首页!$B$5)+SUMIFS(销售录入!$X$5:$X$404,销售录入!$W$5:$W$404,$B$3,销售录入!$V$5:$V$404,$A72,销售录入!$C$5:$C$404,首页!$B$5)+SUMIFS(销售录入!$AA$5:$AA$404,销售录入!$Z$5:$Z$404,$B$3,销售录入!$Y$5:$Y$404,$A72,销售录入!$C$5:$C$404,首页!$B$5)+SUMIFS(销售录入!$AD$5:$AD$404,销售录入!$AC$5:$AC$404,$B$3,销售录入!$AB$5:$AB$404,$A72,销售录入!$C$5:$C$404,首页!$B$5)+SUMIFS(采购录入!$W$5:$W$404,采购录入!$V$5:$V$404,$B$3,采购录入!$U$5:$U$404,$A72,采购录入!$C$5:$C$404,首页!$B$5)+SUMIFS(采购录入!$Z$5:$Z$404,采购录入!$Y$5:$Y$404,$B$3,采购录入!$X$5:$X$404,$A72,采购录入!$C$5:$C$404,首页!$B$5)+SUMIFS(其他凭证!$H$5:$H$304,其他凭证!$G$5:$G$304,$B$3,其他凭证!$F$5:$F$304,$A72,其他凭证!$C$5:$C$304,首页!$B$5))</f>
        <v>0</v>
      </c>
      <c r="E72" s="44" t="n">
        <f aca="false">IF($A72="","",$C72-$D72)</f>
        <v>0</v>
      </c>
      <c r="F72" s="22" t="str">
        <f aca="false">IF(OR($A72="",AND($C72=0,$D72=0)),"",IF($C72&gt;0,"借 "&amp;$C$3&amp;" / 贷 "&amp;$B72,"")&amp;IF(AND($C72&gt;0,$D72&gt;0)," ；","")&amp;IF($D72&gt;0,"借 "&amp;$B72&amp;" / 贷 "&amp;$C$3,""))</f>
        <v/>
      </c>
    </row>
    <row r="73" customFormat="false" ht="15.75" hidden="false" customHeight="true" outlineLevel="0" collapsed="false">
      <c r="A73" s="42" t="str">
        <f aca="false">IF(科目参数!$A73="","",科目参数!$A73)</f>
        <v>6701</v>
      </c>
      <c r="B73" s="35" t="str">
        <f aca="false">IF($A73="","",科目参数!$B73)</f>
        <v>资产减值损失</v>
      </c>
      <c r="C73" s="54" t="n">
        <f aca="false">IF($A73="","",SUMIFS(资金流水!$N$5:$N$504,资金流水!$O$5:$O$504,$B$3,资金流水!$P$5:$P$504,$A73,资金流水!$C$5:$C$504,首页!$B$5)+SUMIFS(销售录入!$X$5:$X$404,销售录入!$V$5:$V$404,$B$3,销售录入!$W$5:$W$404,$A73,销售录入!$C$5:$C$404,首页!$B$5)+SUMIFS(销售录入!$AA$5:$AA$404,销售录入!$Y$5:$Y$404,$B$3,销售录入!$Z$5:$Z$404,$A73,销售录入!$C$5:$C$404,首页!$B$5)+SUMIFS(销售录入!$AD$5:$AD$404,销售录入!$AB$5:$AB$404,$B$3,销售录入!$AC$5:$AC$404,$A73,销售录入!$C$5:$C$404,首页!$B$5)+SUMIFS(采购录入!$W$5:$W$404,采购录入!$U$5:$U$404,$B$3,采购录入!$V$5:$V$404,$A73,采购录入!$C$5:$C$404,首页!$B$5)+SUMIFS(采购录入!$Z$5:$Z$404,采购录入!$X$5:$X$404,$B$3,采购录入!$Y$5:$Y$404,$A73,采购录入!$C$5:$C$404,首页!$B$5)+SUMIFS(其他凭证!$H$5:$H$304,其他凭证!$F$5:$F$304,$B$3,其他凭证!$G$5:$G$304,$A73,其他凭证!$C$5:$C$304,首页!$B$5))</f>
        <v>0</v>
      </c>
      <c r="D73" s="54" t="n">
        <f aca="false">IF($A73="","",SUMIFS(资金流水!$N$5:$N$504,资金流水!$P$5:$P$504,$B$3,资金流水!$O$5:$O$504,$A73,资金流水!$C$5:$C$504,首页!$B$5)+SUMIFS(销售录入!$X$5:$X$404,销售录入!$W$5:$W$404,$B$3,销售录入!$V$5:$V$404,$A73,销售录入!$C$5:$C$404,首页!$B$5)+SUMIFS(销售录入!$AA$5:$AA$404,销售录入!$Z$5:$Z$404,$B$3,销售录入!$Y$5:$Y$404,$A73,销售录入!$C$5:$C$404,首页!$B$5)+SUMIFS(销售录入!$AD$5:$AD$404,销售录入!$AC$5:$AC$404,$B$3,销售录入!$AB$5:$AB$404,$A73,销售录入!$C$5:$C$404,首页!$B$5)+SUMIFS(采购录入!$W$5:$W$404,采购录入!$V$5:$V$404,$B$3,采购录入!$U$5:$U$404,$A73,采购录入!$C$5:$C$404,首页!$B$5)+SUMIFS(采购录入!$Z$5:$Z$404,采购录入!$Y$5:$Y$404,$B$3,采购录入!$X$5:$X$404,$A73,采购录入!$C$5:$C$404,首页!$B$5)+SUMIFS(其他凭证!$H$5:$H$304,其他凭证!$G$5:$G$304,$B$3,其他凭证!$F$5:$F$304,$A73,其他凭证!$C$5:$C$304,首页!$B$5))</f>
        <v>0</v>
      </c>
      <c r="E73" s="44" t="n">
        <f aca="false">IF($A73="","",$C73-$D73)</f>
        <v>0</v>
      </c>
      <c r="F73" s="22" t="str">
        <f aca="false">IF(OR($A73="",AND($C73=0,$D73=0)),"",IF($C73&gt;0,"借 "&amp;$C$3&amp;" / 贷 "&amp;$B73,"")&amp;IF(AND($C73&gt;0,$D73&gt;0)," ；","")&amp;IF($D73&gt;0,"借 "&amp;$B73&amp;" / 贷 "&amp;$C$3,""))</f>
        <v/>
      </c>
    </row>
    <row r="74" customFormat="false" ht="15.75" hidden="false" customHeight="true" outlineLevel="0" collapsed="false">
      <c r="A74" s="42" t="str">
        <f aca="false">IF(科目参数!$A74="","",科目参数!$A74)</f>
        <v>6702</v>
      </c>
      <c r="B74" s="35" t="str">
        <f aca="false">IF($A74="","",科目参数!$B74)</f>
        <v>信用减值损失</v>
      </c>
      <c r="C74" s="54" t="n">
        <f aca="false">IF($A74="","",SUMIFS(资金流水!$N$5:$N$504,资金流水!$O$5:$O$504,$B$3,资金流水!$P$5:$P$504,$A74,资金流水!$C$5:$C$504,首页!$B$5)+SUMIFS(销售录入!$X$5:$X$404,销售录入!$V$5:$V$404,$B$3,销售录入!$W$5:$W$404,$A74,销售录入!$C$5:$C$404,首页!$B$5)+SUMIFS(销售录入!$AA$5:$AA$404,销售录入!$Y$5:$Y$404,$B$3,销售录入!$Z$5:$Z$404,$A74,销售录入!$C$5:$C$404,首页!$B$5)+SUMIFS(销售录入!$AD$5:$AD$404,销售录入!$AB$5:$AB$404,$B$3,销售录入!$AC$5:$AC$404,$A74,销售录入!$C$5:$C$404,首页!$B$5)+SUMIFS(采购录入!$W$5:$W$404,采购录入!$U$5:$U$404,$B$3,采购录入!$V$5:$V$404,$A74,采购录入!$C$5:$C$404,首页!$B$5)+SUMIFS(采购录入!$Z$5:$Z$404,采购录入!$X$5:$X$404,$B$3,采购录入!$Y$5:$Y$404,$A74,采购录入!$C$5:$C$404,首页!$B$5)+SUMIFS(其他凭证!$H$5:$H$304,其他凭证!$F$5:$F$304,$B$3,其他凭证!$G$5:$G$304,$A74,其他凭证!$C$5:$C$304,首页!$B$5))</f>
        <v>0</v>
      </c>
      <c r="D74" s="54" t="n">
        <f aca="false">IF($A74="","",SUMIFS(资金流水!$N$5:$N$504,资金流水!$P$5:$P$504,$B$3,资金流水!$O$5:$O$504,$A74,资金流水!$C$5:$C$504,首页!$B$5)+SUMIFS(销售录入!$X$5:$X$404,销售录入!$W$5:$W$404,$B$3,销售录入!$V$5:$V$404,$A74,销售录入!$C$5:$C$404,首页!$B$5)+SUMIFS(销售录入!$AA$5:$AA$404,销售录入!$Z$5:$Z$404,$B$3,销售录入!$Y$5:$Y$404,$A74,销售录入!$C$5:$C$404,首页!$B$5)+SUMIFS(销售录入!$AD$5:$AD$404,销售录入!$AC$5:$AC$404,$B$3,销售录入!$AB$5:$AB$404,$A74,销售录入!$C$5:$C$404,首页!$B$5)+SUMIFS(采购录入!$W$5:$W$404,采购录入!$V$5:$V$404,$B$3,采购录入!$U$5:$U$404,$A74,采购录入!$C$5:$C$404,首页!$B$5)+SUMIFS(采购录入!$Z$5:$Z$404,采购录入!$Y$5:$Y$404,$B$3,采购录入!$X$5:$X$404,$A74,采购录入!$C$5:$C$404,首页!$B$5)+SUMIFS(其他凭证!$H$5:$H$304,其他凭证!$G$5:$G$304,$B$3,其他凭证!$F$5:$F$304,$A74,其他凭证!$C$5:$C$304,首页!$B$5))</f>
        <v>0</v>
      </c>
      <c r="E74" s="44" t="n">
        <f aca="false">IF($A74="","",$C74-$D74)</f>
        <v>0</v>
      </c>
      <c r="F74" s="22" t="str">
        <f aca="false">IF(OR($A74="",AND($C74=0,$D74=0)),"",IF($C74&gt;0,"借 "&amp;$C$3&amp;" / 贷 "&amp;$B74,"")&amp;IF(AND($C74&gt;0,$D74&gt;0)," ；","")&amp;IF($D74&gt;0,"借 "&amp;$B74&amp;" / 贷 "&amp;$C$3,""))</f>
        <v/>
      </c>
    </row>
    <row r="75" customFormat="false" ht="15.75" hidden="false" customHeight="true" outlineLevel="0" collapsed="false">
      <c r="A75" s="42" t="str">
        <f aca="false">IF(科目参数!$A75="","",科目参数!$A75)</f>
        <v>6711</v>
      </c>
      <c r="B75" s="35" t="str">
        <f aca="false">IF($A75="","",科目参数!$B75)</f>
        <v>营业外支出</v>
      </c>
      <c r="C75" s="54" t="n">
        <f aca="false">IF($A75="","",SUMIFS(资金流水!$N$5:$N$504,资金流水!$O$5:$O$504,$B$3,资金流水!$P$5:$P$504,$A75,资金流水!$C$5:$C$504,首页!$B$5)+SUMIFS(销售录入!$X$5:$X$404,销售录入!$V$5:$V$404,$B$3,销售录入!$W$5:$W$404,$A75,销售录入!$C$5:$C$404,首页!$B$5)+SUMIFS(销售录入!$AA$5:$AA$404,销售录入!$Y$5:$Y$404,$B$3,销售录入!$Z$5:$Z$404,$A75,销售录入!$C$5:$C$404,首页!$B$5)+SUMIFS(销售录入!$AD$5:$AD$404,销售录入!$AB$5:$AB$404,$B$3,销售录入!$AC$5:$AC$404,$A75,销售录入!$C$5:$C$404,首页!$B$5)+SUMIFS(采购录入!$W$5:$W$404,采购录入!$U$5:$U$404,$B$3,采购录入!$V$5:$V$404,$A75,采购录入!$C$5:$C$404,首页!$B$5)+SUMIFS(采购录入!$Z$5:$Z$404,采购录入!$X$5:$X$404,$B$3,采购录入!$Y$5:$Y$404,$A75,采购录入!$C$5:$C$404,首页!$B$5)+SUMIFS(其他凭证!$H$5:$H$304,其他凭证!$F$5:$F$304,$B$3,其他凭证!$G$5:$G$304,$A75,其他凭证!$C$5:$C$304,首页!$B$5))</f>
        <v>0</v>
      </c>
      <c r="D75" s="54" t="n">
        <f aca="false">IF($A75="","",SUMIFS(资金流水!$N$5:$N$504,资金流水!$P$5:$P$504,$B$3,资金流水!$O$5:$O$504,$A75,资金流水!$C$5:$C$504,首页!$B$5)+SUMIFS(销售录入!$X$5:$X$404,销售录入!$W$5:$W$404,$B$3,销售录入!$V$5:$V$404,$A75,销售录入!$C$5:$C$404,首页!$B$5)+SUMIFS(销售录入!$AA$5:$AA$404,销售录入!$Z$5:$Z$404,$B$3,销售录入!$Y$5:$Y$404,$A75,销售录入!$C$5:$C$404,首页!$B$5)+SUMIFS(销售录入!$AD$5:$AD$404,销售录入!$AC$5:$AC$404,$B$3,销售录入!$AB$5:$AB$404,$A75,销售录入!$C$5:$C$404,首页!$B$5)+SUMIFS(采购录入!$W$5:$W$404,采购录入!$V$5:$V$404,$B$3,采购录入!$U$5:$U$404,$A75,采购录入!$C$5:$C$404,首页!$B$5)+SUMIFS(采购录入!$Z$5:$Z$404,采购录入!$Y$5:$Y$404,$B$3,采购录入!$X$5:$X$404,$A75,采购录入!$C$5:$C$404,首页!$B$5)+SUMIFS(其他凭证!$H$5:$H$304,其他凭证!$G$5:$G$304,$B$3,其他凭证!$F$5:$F$304,$A75,其他凭证!$C$5:$C$304,首页!$B$5))</f>
        <v>0</v>
      </c>
      <c r="E75" s="44" t="n">
        <f aca="false">IF($A75="","",$C75-$D75)</f>
        <v>0</v>
      </c>
      <c r="F75" s="22" t="str">
        <f aca="false">IF(OR($A75="",AND($C75=0,$D75=0)),"",IF($C75&gt;0,"借 "&amp;$C$3&amp;" / 贷 "&amp;$B75,"")&amp;IF(AND($C75&gt;0,$D75&gt;0)," ；","")&amp;IF($D75&gt;0,"借 "&amp;$B75&amp;" / 贷 "&amp;$C$3,""))</f>
        <v/>
      </c>
    </row>
    <row r="76" customFormat="false" ht="15.75" hidden="false" customHeight="true" outlineLevel="0" collapsed="false">
      <c r="A76" s="42" t="str">
        <f aca="false">IF(科目参数!$A76="","",科目参数!$A76)</f>
        <v>6801</v>
      </c>
      <c r="B76" s="35" t="str">
        <f aca="false">IF($A76="","",科目参数!$B76)</f>
        <v>所得税费用</v>
      </c>
      <c r="C76" s="54" t="n">
        <f aca="false">IF($A76="","",SUMIFS(资金流水!$N$5:$N$504,资金流水!$O$5:$O$504,$B$3,资金流水!$P$5:$P$504,$A76,资金流水!$C$5:$C$504,首页!$B$5)+SUMIFS(销售录入!$X$5:$X$404,销售录入!$V$5:$V$404,$B$3,销售录入!$W$5:$W$404,$A76,销售录入!$C$5:$C$404,首页!$B$5)+SUMIFS(销售录入!$AA$5:$AA$404,销售录入!$Y$5:$Y$404,$B$3,销售录入!$Z$5:$Z$404,$A76,销售录入!$C$5:$C$404,首页!$B$5)+SUMIFS(销售录入!$AD$5:$AD$404,销售录入!$AB$5:$AB$404,$B$3,销售录入!$AC$5:$AC$404,$A76,销售录入!$C$5:$C$404,首页!$B$5)+SUMIFS(采购录入!$W$5:$W$404,采购录入!$U$5:$U$404,$B$3,采购录入!$V$5:$V$404,$A76,采购录入!$C$5:$C$404,首页!$B$5)+SUMIFS(采购录入!$Z$5:$Z$404,采购录入!$X$5:$X$404,$B$3,采购录入!$Y$5:$Y$404,$A76,采购录入!$C$5:$C$404,首页!$B$5)+SUMIFS(其他凭证!$H$5:$H$304,其他凭证!$F$5:$F$304,$B$3,其他凭证!$G$5:$G$304,$A76,其他凭证!$C$5:$C$304,首页!$B$5))</f>
        <v>0</v>
      </c>
      <c r="D76" s="54" t="n">
        <f aca="false">IF($A76="","",SUMIFS(资金流水!$N$5:$N$504,资金流水!$P$5:$P$504,$B$3,资金流水!$O$5:$O$504,$A76,资金流水!$C$5:$C$504,首页!$B$5)+SUMIFS(销售录入!$X$5:$X$404,销售录入!$W$5:$W$404,$B$3,销售录入!$V$5:$V$404,$A76,销售录入!$C$5:$C$404,首页!$B$5)+SUMIFS(销售录入!$AA$5:$AA$404,销售录入!$Z$5:$Z$404,$B$3,销售录入!$Y$5:$Y$404,$A76,销售录入!$C$5:$C$404,首页!$B$5)+SUMIFS(销售录入!$AD$5:$AD$404,销售录入!$AC$5:$AC$404,$B$3,销售录入!$AB$5:$AB$404,$A76,销售录入!$C$5:$C$404,首页!$B$5)+SUMIFS(采购录入!$W$5:$W$404,采购录入!$V$5:$V$404,$B$3,采购录入!$U$5:$U$404,$A76,采购录入!$C$5:$C$404,首页!$B$5)+SUMIFS(采购录入!$Z$5:$Z$404,采购录入!$Y$5:$Y$404,$B$3,采购录入!$X$5:$X$404,$A76,采购录入!$C$5:$C$404,首页!$B$5)+SUMIFS(其他凭证!$H$5:$H$304,其他凭证!$G$5:$G$304,$B$3,其他凭证!$F$5:$F$304,$A76,其他凭证!$C$5:$C$304,首页!$B$5))</f>
        <v>0</v>
      </c>
      <c r="E76" s="44" t="n">
        <f aca="false">IF($A76="","",$C76-$D76)</f>
        <v>0</v>
      </c>
      <c r="F76" s="22" t="str">
        <f aca="false">IF(OR($A76="",AND($C76=0,$D76=0)),"",IF($C76&gt;0,"借 "&amp;$C$3&amp;" / 贷 "&amp;$B76,"")&amp;IF(AND($C76&gt;0,$D76&gt;0)," ；","")&amp;IF($D76&gt;0,"借 "&amp;$B76&amp;" / 贷 "&amp;$C$3,""))</f>
        <v/>
      </c>
    </row>
    <row r="77" customFormat="false" ht="15.75" hidden="false" customHeight="true" outlineLevel="0" collapsed="false">
      <c r="A77" s="42" t="str">
        <f aca="false">IF(科目参数!$A77="","",科目参数!$A77)</f>
        <v/>
      </c>
      <c r="B77" s="35" t="str">
        <f aca="false">IF($A77="","",科目参数!$B77)</f>
        <v/>
      </c>
      <c r="C77" s="54" t="str">
        <f aca="false">IF($A77="","",SUMIFS(资金流水!$N$5:$N$504,资金流水!$O$5:$O$504,$B$3,资金流水!$P$5:$P$504,$A77,资金流水!$C$5:$C$504,首页!$B$5)+SUMIFS(销售录入!$X$5:$X$404,销售录入!$V$5:$V$404,$B$3,销售录入!$W$5:$W$404,$A77,销售录入!$C$5:$C$404,首页!$B$5)+SUMIFS(销售录入!$AA$5:$AA$404,销售录入!$Y$5:$Y$404,$B$3,销售录入!$Z$5:$Z$404,$A77,销售录入!$C$5:$C$404,首页!$B$5)+SUMIFS(销售录入!$AD$5:$AD$404,销售录入!$AB$5:$AB$404,$B$3,销售录入!$AC$5:$AC$404,$A77,销售录入!$C$5:$C$404,首页!$B$5)+SUMIFS(采购录入!$W$5:$W$404,采购录入!$U$5:$U$404,$B$3,采购录入!$V$5:$V$404,$A77,采购录入!$C$5:$C$404,首页!$B$5)+SUMIFS(采购录入!$Z$5:$Z$404,采购录入!$X$5:$X$404,$B$3,采购录入!$Y$5:$Y$404,$A77,采购录入!$C$5:$C$404,首页!$B$5)+SUMIFS(其他凭证!$H$5:$H$304,其他凭证!$F$5:$F$304,$B$3,其他凭证!$G$5:$G$304,$A77,其他凭证!$C$5:$C$304,首页!$B$5))</f>
        <v/>
      </c>
      <c r="D77" s="54" t="str">
        <f aca="false">IF($A77="","",SUMIFS(资金流水!$N$5:$N$504,资金流水!$P$5:$P$504,$B$3,资金流水!$O$5:$O$504,$A77,资金流水!$C$5:$C$504,首页!$B$5)+SUMIFS(销售录入!$X$5:$X$404,销售录入!$W$5:$W$404,$B$3,销售录入!$V$5:$V$404,$A77,销售录入!$C$5:$C$404,首页!$B$5)+SUMIFS(销售录入!$AA$5:$AA$404,销售录入!$Z$5:$Z$404,$B$3,销售录入!$Y$5:$Y$404,$A77,销售录入!$C$5:$C$404,首页!$B$5)+SUMIFS(销售录入!$AD$5:$AD$404,销售录入!$AC$5:$AC$404,$B$3,销售录入!$AB$5:$AB$404,$A77,销售录入!$C$5:$C$404,首页!$B$5)+SUMIFS(采购录入!$W$5:$W$404,采购录入!$V$5:$V$404,$B$3,采购录入!$U$5:$U$404,$A77,采购录入!$C$5:$C$404,首页!$B$5)+SUMIFS(采购录入!$Z$5:$Z$404,采购录入!$Y$5:$Y$404,$B$3,采购录入!$X$5:$X$404,$A77,采购录入!$C$5:$C$404,首页!$B$5)+SUMIFS(其他凭证!$H$5:$H$304,其他凭证!$G$5:$G$304,$B$3,其他凭证!$F$5:$F$304,$A77,其他凭证!$C$5:$C$304,首页!$B$5))</f>
        <v/>
      </c>
      <c r="E77" s="44" t="str">
        <f aca="false">IF($A77="","",$C77-$D77)</f>
        <v/>
      </c>
      <c r="F77" s="22" t="str">
        <f aca="false">IF(OR($A77="",AND($C77=0,$D77=0)),"",IF($C77&gt;0,"借 "&amp;$C$3&amp;" / 贷 "&amp;$B77,"")&amp;IF(AND($C77&gt;0,$D77&gt;0)," ；","")&amp;IF($D77&gt;0,"借 "&amp;$B77&amp;" / 贷 "&amp;$C$3,""))</f>
        <v/>
      </c>
    </row>
    <row r="78" customFormat="false" ht="15.75" hidden="false" customHeight="true" outlineLevel="0" collapsed="false">
      <c r="A78" s="42" t="str">
        <f aca="false">IF(科目参数!$A78="","",科目参数!$A78)</f>
        <v/>
      </c>
      <c r="B78" s="35" t="str">
        <f aca="false">IF($A78="","",科目参数!$B78)</f>
        <v/>
      </c>
      <c r="C78" s="54" t="str">
        <f aca="false">IF($A78="","",SUMIFS(资金流水!$N$5:$N$504,资金流水!$O$5:$O$504,$B$3,资金流水!$P$5:$P$504,$A78,资金流水!$C$5:$C$504,首页!$B$5)+SUMIFS(销售录入!$X$5:$X$404,销售录入!$V$5:$V$404,$B$3,销售录入!$W$5:$W$404,$A78,销售录入!$C$5:$C$404,首页!$B$5)+SUMIFS(销售录入!$AA$5:$AA$404,销售录入!$Y$5:$Y$404,$B$3,销售录入!$Z$5:$Z$404,$A78,销售录入!$C$5:$C$404,首页!$B$5)+SUMIFS(销售录入!$AD$5:$AD$404,销售录入!$AB$5:$AB$404,$B$3,销售录入!$AC$5:$AC$404,$A78,销售录入!$C$5:$C$404,首页!$B$5)+SUMIFS(采购录入!$W$5:$W$404,采购录入!$U$5:$U$404,$B$3,采购录入!$V$5:$V$404,$A78,采购录入!$C$5:$C$404,首页!$B$5)+SUMIFS(采购录入!$Z$5:$Z$404,采购录入!$X$5:$X$404,$B$3,采购录入!$Y$5:$Y$404,$A78,采购录入!$C$5:$C$404,首页!$B$5)+SUMIFS(其他凭证!$H$5:$H$304,其他凭证!$F$5:$F$304,$B$3,其他凭证!$G$5:$G$304,$A78,其他凭证!$C$5:$C$304,首页!$B$5))</f>
        <v/>
      </c>
      <c r="D78" s="54" t="str">
        <f aca="false">IF($A78="","",SUMIFS(资金流水!$N$5:$N$504,资金流水!$P$5:$P$504,$B$3,资金流水!$O$5:$O$504,$A78,资金流水!$C$5:$C$504,首页!$B$5)+SUMIFS(销售录入!$X$5:$X$404,销售录入!$W$5:$W$404,$B$3,销售录入!$V$5:$V$404,$A78,销售录入!$C$5:$C$404,首页!$B$5)+SUMIFS(销售录入!$AA$5:$AA$404,销售录入!$Z$5:$Z$404,$B$3,销售录入!$Y$5:$Y$404,$A78,销售录入!$C$5:$C$404,首页!$B$5)+SUMIFS(销售录入!$AD$5:$AD$404,销售录入!$AC$5:$AC$404,$B$3,销售录入!$AB$5:$AB$404,$A78,销售录入!$C$5:$C$404,首页!$B$5)+SUMIFS(采购录入!$W$5:$W$404,采购录入!$V$5:$V$404,$B$3,采购录入!$U$5:$U$404,$A78,采购录入!$C$5:$C$404,首页!$B$5)+SUMIFS(采购录入!$Z$5:$Z$404,采购录入!$Y$5:$Y$404,$B$3,采购录入!$X$5:$X$404,$A78,采购录入!$C$5:$C$404,首页!$B$5)+SUMIFS(其他凭证!$H$5:$H$304,其他凭证!$G$5:$G$304,$B$3,其他凭证!$F$5:$F$304,$A78,其他凭证!$C$5:$C$304,首页!$B$5))</f>
        <v/>
      </c>
      <c r="E78" s="44" t="str">
        <f aca="false">IF($A78="","",$C78-$D78)</f>
        <v/>
      </c>
      <c r="F78" s="22" t="str">
        <f aca="false">IF(OR($A78="",AND($C78=0,$D78=0)),"",IF($C78&gt;0,"借 "&amp;$C$3&amp;" / 贷 "&amp;$B78,"")&amp;IF(AND($C78&gt;0,$D78&gt;0)," ；","")&amp;IF($D78&gt;0,"借 "&amp;$B78&amp;" / 贷 "&amp;$C$3,""))</f>
        <v/>
      </c>
    </row>
    <row r="79" customFormat="false" ht="15.75" hidden="false" customHeight="true" outlineLevel="0" collapsed="false">
      <c r="A79" s="42" t="str">
        <f aca="false">IF(科目参数!$A79="","",科目参数!$A79)</f>
        <v/>
      </c>
      <c r="B79" s="35" t="str">
        <f aca="false">IF($A79="","",科目参数!$B79)</f>
        <v/>
      </c>
      <c r="C79" s="54" t="str">
        <f aca="false">IF($A79="","",SUMIFS(资金流水!$N$5:$N$504,资金流水!$O$5:$O$504,$B$3,资金流水!$P$5:$P$504,$A79,资金流水!$C$5:$C$504,首页!$B$5)+SUMIFS(销售录入!$X$5:$X$404,销售录入!$V$5:$V$404,$B$3,销售录入!$W$5:$W$404,$A79,销售录入!$C$5:$C$404,首页!$B$5)+SUMIFS(销售录入!$AA$5:$AA$404,销售录入!$Y$5:$Y$404,$B$3,销售录入!$Z$5:$Z$404,$A79,销售录入!$C$5:$C$404,首页!$B$5)+SUMIFS(销售录入!$AD$5:$AD$404,销售录入!$AB$5:$AB$404,$B$3,销售录入!$AC$5:$AC$404,$A79,销售录入!$C$5:$C$404,首页!$B$5)+SUMIFS(采购录入!$W$5:$W$404,采购录入!$U$5:$U$404,$B$3,采购录入!$V$5:$V$404,$A79,采购录入!$C$5:$C$404,首页!$B$5)+SUMIFS(采购录入!$Z$5:$Z$404,采购录入!$X$5:$X$404,$B$3,采购录入!$Y$5:$Y$404,$A79,采购录入!$C$5:$C$404,首页!$B$5)+SUMIFS(其他凭证!$H$5:$H$304,其他凭证!$F$5:$F$304,$B$3,其他凭证!$G$5:$G$304,$A79,其他凭证!$C$5:$C$304,首页!$B$5))</f>
        <v/>
      </c>
      <c r="D79" s="54" t="str">
        <f aca="false">IF($A79="","",SUMIFS(资金流水!$N$5:$N$504,资金流水!$P$5:$P$504,$B$3,资金流水!$O$5:$O$504,$A79,资金流水!$C$5:$C$504,首页!$B$5)+SUMIFS(销售录入!$X$5:$X$404,销售录入!$W$5:$W$404,$B$3,销售录入!$V$5:$V$404,$A79,销售录入!$C$5:$C$404,首页!$B$5)+SUMIFS(销售录入!$AA$5:$AA$404,销售录入!$Z$5:$Z$404,$B$3,销售录入!$Y$5:$Y$404,$A79,销售录入!$C$5:$C$404,首页!$B$5)+SUMIFS(销售录入!$AD$5:$AD$404,销售录入!$AC$5:$AC$404,$B$3,销售录入!$AB$5:$AB$404,$A79,销售录入!$C$5:$C$404,首页!$B$5)+SUMIFS(采购录入!$W$5:$W$404,采购录入!$V$5:$V$404,$B$3,采购录入!$U$5:$U$404,$A79,采购录入!$C$5:$C$404,首页!$B$5)+SUMIFS(采购录入!$Z$5:$Z$404,采购录入!$Y$5:$Y$404,$B$3,采购录入!$X$5:$X$404,$A79,采购录入!$C$5:$C$404,首页!$B$5)+SUMIFS(其他凭证!$H$5:$H$304,其他凭证!$G$5:$G$304,$B$3,其他凭证!$F$5:$F$304,$A79,其他凭证!$C$5:$C$304,首页!$B$5))</f>
        <v/>
      </c>
      <c r="E79" s="44" t="str">
        <f aca="false">IF($A79="","",$C79-$D79)</f>
        <v/>
      </c>
      <c r="F79" s="22" t="str">
        <f aca="false">IF(OR($A79="",AND($C79=0,$D79=0)),"",IF($C79&gt;0,"借 "&amp;$C$3&amp;" / 贷 "&amp;$B79,"")&amp;IF(AND($C79&gt;0,$D79&gt;0)," ；","")&amp;IF($D79&gt;0,"借 "&amp;$B79&amp;" / 贷 "&amp;$C$3,""))</f>
        <v/>
      </c>
    </row>
    <row r="80" customFormat="false" ht="15.75" hidden="false" customHeight="true" outlineLevel="0" collapsed="false">
      <c r="A80" s="42" t="str">
        <f aca="false">IF(科目参数!$A80="","",科目参数!$A80)</f>
        <v/>
      </c>
      <c r="B80" s="35" t="str">
        <f aca="false">IF($A80="","",科目参数!$B80)</f>
        <v/>
      </c>
      <c r="C80" s="54" t="str">
        <f aca="false">IF($A80="","",SUMIFS(资金流水!$N$5:$N$504,资金流水!$O$5:$O$504,$B$3,资金流水!$P$5:$P$504,$A80,资金流水!$C$5:$C$504,首页!$B$5)+SUMIFS(销售录入!$X$5:$X$404,销售录入!$V$5:$V$404,$B$3,销售录入!$W$5:$W$404,$A80,销售录入!$C$5:$C$404,首页!$B$5)+SUMIFS(销售录入!$AA$5:$AA$404,销售录入!$Y$5:$Y$404,$B$3,销售录入!$Z$5:$Z$404,$A80,销售录入!$C$5:$C$404,首页!$B$5)+SUMIFS(销售录入!$AD$5:$AD$404,销售录入!$AB$5:$AB$404,$B$3,销售录入!$AC$5:$AC$404,$A80,销售录入!$C$5:$C$404,首页!$B$5)+SUMIFS(采购录入!$W$5:$W$404,采购录入!$U$5:$U$404,$B$3,采购录入!$V$5:$V$404,$A80,采购录入!$C$5:$C$404,首页!$B$5)+SUMIFS(采购录入!$Z$5:$Z$404,采购录入!$X$5:$X$404,$B$3,采购录入!$Y$5:$Y$404,$A80,采购录入!$C$5:$C$404,首页!$B$5)+SUMIFS(其他凭证!$H$5:$H$304,其他凭证!$F$5:$F$304,$B$3,其他凭证!$G$5:$G$304,$A80,其他凭证!$C$5:$C$304,首页!$B$5))</f>
        <v/>
      </c>
      <c r="D80" s="54" t="str">
        <f aca="false">IF($A80="","",SUMIFS(资金流水!$N$5:$N$504,资金流水!$P$5:$P$504,$B$3,资金流水!$O$5:$O$504,$A80,资金流水!$C$5:$C$504,首页!$B$5)+SUMIFS(销售录入!$X$5:$X$404,销售录入!$W$5:$W$404,$B$3,销售录入!$V$5:$V$404,$A80,销售录入!$C$5:$C$404,首页!$B$5)+SUMIFS(销售录入!$AA$5:$AA$404,销售录入!$Z$5:$Z$404,$B$3,销售录入!$Y$5:$Y$404,$A80,销售录入!$C$5:$C$404,首页!$B$5)+SUMIFS(销售录入!$AD$5:$AD$404,销售录入!$AC$5:$AC$404,$B$3,销售录入!$AB$5:$AB$404,$A80,销售录入!$C$5:$C$404,首页!$B$5)+SUMIFS(采购录入!$W$5:$W$404,采购录入!$V$5:$V$404,$B$3,采购录入!$U$5:$U$404,$A80,采购录入!$C$5:$C$404,首页!$B$5)+SUMIFS(采购录入!$Z$5:$Z$404,采购录入!$Y$5:$Y$404,$B$3,采购录入!$X$5:$X$404,$A80,采购录入!$C$5:$C$404,首页!$B$5)+SUMIFS(其他凭证!$H$5:$H$304,其他凭证!$G$5:$G$304,$B$3,其他凭证!$F$5:$F$304,$A80,其他凭证!$C$5:$C$304,首页!$B$5))</f>
        <v/>
      </c>
      <c r="E80" s="44" t="str">
        <f aca="false">IF($A80="","",$C80-$D80)</f>
        <v/>
      </c>
      <c r="F80" s="22" t="str">
        <f aca="false">IF(OR($A80="",AND($C80=0,$D80=0)),"",IF($C80&gt;0,"借 "&amp;$C$3&amp;" / 贷 "&amp;$B80,"")&amp;IF(AND($C80&gt;0,$D80&gt;0)," ；","")&amp;IF($D80&gt;0,"借 "&amp;$B80&amp;" / 贷 "&amp;$C$3,""))</f>
        <v/>
      </c>
    </row>
    <row r="81" customFormat="false" ht="15.75" hidden="false" customHeight="true" outlineLevel="0" collapsed="false">
      <c r="A81" s="42" t="str">
        <f aca="false">IF(科目参数!$A81="","",科目参数!$A81)</f>
        <v/>
      </c>
      <c r="B81" s="35" t="str">
        <f aca="false">IF($A81="","",科目参数!$B81)</f>
        <v/>
      </c>
      <c r="C81" s="54" t="str">
        <f aca="false">IF($A81="","",SUMIFS(资金流水!$N$5:$N$504,资金流水!$O$5:$O$504,$B$3,资金流水!$P$5:$P$504,$A81,资金流水!$C$5:$C$504,首页!$B$5)+SUMIFS(销售录入!$X$5:$X$404,销售录入!$V$5:$V$404,$B$3,销售录入!$W$5:$W$404,$A81,销售录入!$C$5:$C$404,首页!$B$5)+SUMIFS(销售录入!$AA$5:$AA$404,销售录入!$Y$5:$Y$404,$B$3,销售录入!$Z$5:$Z$404,$A81,销售录入!$C$5:$C$404,首页!$B$5)+SUMIFS(销售录入!$AD$5:$AD$404,销售录入!$AB$5:$AB$404,$B$3,销售录入!$AC$5:$AC$404,$A81,销售录入!$C$5:$C$404,首页!$B$5)+SUMIFS(采购录入!$W$5:$W$404,采购录入!$U$5:$U$404,$B$3,采购录入!$V$5:$V$404,$A81,采购录入!$C$5:$C$404,首页!$B$5)+SUMIFS(采购录入!$Z$5:$Z$404,采购录入!$X$5:$X$404,$B$3,采购录入!$Y$5:$Y$404,$A81,采购录入!$C$5:$C$404,首页!$B$5)+SUMIFS(其他凭证!$H$5:$H$304,其他凭证!$F$5:$F$304,$B$3,其他凭证!$G$5:$G$304,$A81,其他凭证!$C$5:$C$304,首页!$B$5))</f>
        <v/>
      </c>
      <c r="D81" s="54" t="str">
        <f aca="false">IF($A81="","",SUMIFS(资金流水!$N$5:$N$504,资金流水!$P$5:$P$504,$B$3,资金流水!$O$5:$O$504,$A81,资金流水!$C$5:$C$504,首页!$B$5)+SUMIFS(销售录入!$X$5:$X$404,销售录入!$W$5:$W$404,$B$3,销售录入!$V$5:$V$404,$A81,销售录入!$C$5:$C$404,首页!$B$5)+SUMIFS(销售录入!$AA$5:$AA$404,销售录入!$Z$5:$Z$404,$B$3,销售录入!$Y$5:$Y$404,$A81,销售录入!$C$5:$C$404,首页!$B$5)+SUMIFS(销售录入!$AD$5:$AD$404,销售录入!$AC$5:$AC$404,$B$3,销售录入!$AB$5:$AB$404,$A81,销售录入!$C$5:$C$404,首页!$B$5)+SUMIFS(采购录入!$W$5:$W$404,采购录入!$V$5:$V$404,$B$3,采购录入!$U$5:$U$404,$A81,采购录入!$C$5:$C$404,首页!$B$5)+SUMIFS(采购录入!$Z$5:$Z$404,采购录入!$Y$5:$Y$404,$B$3,采购录入!$X$5:$X$404,$A81,采购录入!$C$5:$C$404,首页!$B$5)+SUMIFS(其他凭证!$H$5:$H$304,其他凭证!$G$5:$G$304,$B$3,其他凭证!$F$5:$F$304,$A81,其他凭证!$C$5:$C$304,首页!$B$5))</f>
        <v/>
      </c>
      <c r="E81" s="44" t="str">
        <f aca="false">IF($A81="","",$C81-$D81)</f>
        <v/>
      </c>
      <c r="F81" s="22" t="str">
        <f aca="false">IF(OR($A81="",AND($C81=0,$D81=0)),"",IF($C81&gt;0,"借 "&amp;$C$3&amp;" / 贷 "&amp;$B81,"")&amp;IF(AND($C81&gt;0,$D81&gt;0)," ；","")&amp;IF($D81&gt;0,"借 "&amp;$B81&amp;" / 贷 "&amp;$C$3,""))</f>
        <v/>
      </c>
    </row>
    <row r="82" customFormat="false" ht="15.75" hidden="false" customHeight="true" outlineLevel="0" collapsed="false">
      <c r="A82" s="42" t="str">
        <f aca="false">IF(科目参数!$A82="","",科目参数!$A82)</f>
        <v/>
      </c>
      <c r="B82" s="35" t="str">
        <f aca="false">IF($A82="","",科目参数!$B82)</f>
        <v/>
      </c>
      <c r="C82" s="54" t="str">
        <f aca="false">IF($A82="","",SUMIFS(资金流水!$N$5:$N$504,资金流水!$O$5:$O$504,$B$3,资金流水!$P$5:$P$504,$A82,资金流水!$C$5:$C$504,首页!$B$5)+SUMIFS(销售录入!$X$5:$X$404,销售录入!$V$5:$V$404,$B$3,销售录入!$W$5:$W$404,$A82,销售录入!$C$5:$C$404,首页!$B$5)+SUMIFS(销售录入!$AA$5:$AA$404,销售录入!$Y$5:$Y$404,$B$3,销售录入!$Z$5:$Z$404,$A82,销售录入!$C$5:$C$404,首页!$B$5)+SUMIFS(销售录入!$AD$5:$AD$404,销售录入!$AB$5:$AB$404,$B$3,销售录入!$AC$5:$AC$404,$A82,销售录入!$C$5:$C$404,首页!$B$5)+SUMIFS(采购录入!$W$5:$W$404,采购录入!$U$5:$U$404,$B$3,采购录入!$V$5:$V$404,$A82,采购录入!$C$5:$C$404,首页!$B$5)+SUMIFS(采购录入!$Z$5:$Z$404,采购录入!$X$5:$X$404,$B$3,采购录入!$Y$5:$Y$404,$A82,采购录入!$C$5:$C$404,首页!$B$5)+SUMIFS(其他凭证!$H$5:$H$304,其他凭证!$F$5:$F$304,$B$3,其他凭证!$G$5:$G$304,$A82,其他凭证!$C$5:$C$304,首页!$B$5))</f>
        <v/>
      </c>
      <c r="D82" s="54" t="str">
        <f aca="false">IF($A82="","",SUMIFS(资金流水!$N$5:$N$504,资金流水!$P$5:$P$504,$B$3,资金流水!$O$5:$O$504,$A82,资金流水!$C$5:$C$504,首页!$B$5)+SUMIFS(销售录入!$X$5:$X$404,销售录入!$W$5:$W$404,$B$3,销售录入!$V$5:$V$404,$A82,销售录入!$C$5:$C$404,首页!$B$5)+SUMIFS(销售录入!$AA$5:$AA$404,销售录入!$Z$5:$Z$404,$B$3,销售录入!$Y$5:$Y$404,$A82,销售录入!$C$5:$C$404,首页!$B$5)+SUMIFS(销售录入!$AD$5:$AD$404,销售录入!$AC$5:$AC$404,$B$3,销售录入!$AB$5:$AB$404,$A82,销售录入!$C$5:$C$404,首页!$B$5)+SUMIFS(采购录入!$W$5:$W$404,采购录入!$V$5:$V$404,$B$3,采购录入!$U$5:$U$404,$A82,采购录入!$C$5:$C$404,首页!$B$5)+SUMIFS(采购录入!$Z$5:$Z$404,采购录入!$Y$5:$Y$404,$B$3,采购录入!$X$5:$X$404,$A82,采购录入!$C$5:$C$404,首页!$B$5)+SUMIFS(其他凭证!$H$5:$H$304,其他凭证!$G$5:$G$304,$B$3,其他凭证!$F$5:$F$304,$A82,其他凭证!$C$5:$C$304,首页!$B$5))</f>
        <v/>
      </c>
      <c r="E82" s="44" t="str">
        <f aca="false">IF($A82="","",$C82-$D82)</f>
        <v/>
      </c>
      <c r="F82" s="22" t="str">
        <f aca="false">IF(OR($A82="",AND($C82=0,$D82=0)),"",IF($C82&gt;0,"借 "&amp;$C$3&amp;" / 贷 "&amp;$B82,"")&amp;IF(AND($C82&gt;0,$D82&gt;0)," ；","")&amp;IF($D82&gt;0,"借 "&amp;$B82&amp;" / 贷 "&amp;$C$3,""))</f>
        <v/>
      </c>
    </row>
    <row r="83" customFormat="false" ht="15.75" hidden="false" customHeight="true" outlineLevel="0" collapsed="false">
      <c r="A83" s="42" t="str">
        <f aca="false">IF(科目参数!$A83="","",科目参数!$A83)</f>
        <v/>
      </c>
      <c r="B83" s="35" t="str">
        <f aca="false">IF($A83="","",科目参数!$B83)</f>
        <v/>
      </c>
      <c r="C83" s="54" t="str">
        <f aca="false">IF($A83="","",SUMIFS(资金流水!$N$5:$N$504,资金流水!$O$5:$O$504,$B$3,资金流水!$P$5:$P$504,$A83,资金流水!$C$5:$C$504,首页!$B$5)+SUMIFS(销售录入!$X$5:$X$404,销售录入!$V$5:$V$404,$B$3,销售录入!$W$5:$W$404,$A83,销售录入!$C$5:$C$404,首页!$B$5)+SUMIFS(销售录入!$AA$5:$AA$404,销售录入!$Y$5:$Y$404,$B$3,销售录入!$Z$5:$Z$404,$A83,销售录入!$C$5:$C$404,首页!$B$5)+SUMIFS(销售录入!$AD$5:$AD$404,销售录入!$AB$5:$AB$404,$B$3,销售录入!$AC$5:$AC$404,$A83,销售录入!$C$5:$C$404,首页!$B$5)+SUMIFS(采购录入!$W$5:$W$404,采购录入!$U$5:$U$404,$B$3,采购录入!$V$5:$V$404,$A83,采购录入!$C$5:$C$404,首页!$B$5)+SUMIFS(采购录入!$Z$5:$Z$404,采购录入!$X$5:$X$404,$B$3,采购录入!$Y$5:$Y$404,$A83,采购录入!$C$5:$C$404,首页!$B$5)+SUMIFS(其他凭证!$H$5:$H$304,其他凭证!$F$5:$F$304,$B$3,其他凭证!$G$5:$G$304,$A83,其他凭证!$C$5:$C$304,首页!$B$5))</f>
        <v/>
      </c>
      <c r="D83" s="54" t="str">
        <f aca="false">IF($A83="","",SUMIFS(资金流水!$N$5:$N$504,资金流水!$P$5:$P$504,$B$3,资金流水!$O$5:$O$504,$A83,资金流水!$C$5:$C$504,首页!$B$5)+SUMIFS(销售录入!$X$5:$X$404,销售录入!$W$5:$W$404,$B$3,销售录入!$V$5:$V$404,$A83,销售录入!$C$5:$C$404,首页!$B$5)+SUMIFS(销售录入!$AA$5:$AA$404,销售录入!$Z$5:$Z$404,$B$3,销售录入!$Y$5:$Y$404,$A83,销售录入!$C$5:$C$404,首页!$B$5)+SUMIFS(销售录入!$AD$5:$AD$404,销售录入!$AC$5:$AC$404,$B$3,销售录入!$AB$5:$AB$404,$A83,销售录入!$C$5:$C$404,首页!$B$5)+SUMIFS(采购录入!$W$5:$W$404,采购录入!$V$5:$V$404,$B$3,采购录入!$U$5:$U$404,$A83,采购录入!$C$5:$C$404,首页!$B$5)+SUMIFS(采购录入!$Z$5:$Z$404,采购录入!$Y$5:$Y$404,$B$3,采购录入!$X$5:$X$404,$A83,采购录入!$C$5:$C$404,首页!$B$5)+SUMIFS(其他凭证!$H$5:$H$304,其他凭证!$G$5:$G$304,$B$3,其他凭证!$F$5:$F$304,$A83,其他凭证!$C$5:$C$304,首页!$B$5))</f>
        <v/>
      </c>
      <c r="E83" s="44" t="str">
        <f aca="false">IF($A83="","",$C83-$D83)</f>
        <v/>
      </c>
      <c r="F83" s="22" t="str">
        <f aca="false">IF(OR($A83="",AND($C83=0,$D83=0)),"",IF($C83&gt;0,"借 "&amp;$C$3&amp;" / 贷 "&amp;$B83,"")&amp;IF(AND($C83&gt;0,$D83&gt;0)," ；","")&amp;IF($D83&gt;0,"借 "&amp;$B83&amp;" / 贷 "&amp;$C$3,""))</f>
        <v/>
      </c>
    </row>
    <row r="84" customFormat="false" ht="15.75" hidden="false" customHeight="true" outlineLevel="0" collapsed="false">
      <c r="A84" s="42" t="str">
        <f aca="false">IF(科目参数!$A84="","",科目参数!$A84)</f>
        <v/>
      </c>
      <c r="B84" s="35" t="str">
        <f aca="false">IF($A84="","",科目参数!$B84)</f>
        <v/>
      </c>
      <c r="C84" s="54" t="str">
        <f aca="false">IF($A84="","",SUMIFS(资金流水!$N$5:$N$504,资金流水!$O$5:$O$504,$B$3,资金流水!$P$5:$P$504,$A84,资金流水!$C$5:$C$504,首页!$B$5)+SUMIFS(销售录入!$X$5:$X$404,销售录入!$V$5:$V$404,$B$3,销售录入!$W$5:$W$404,$A84,销售录入!$C$5:$C$404,首页!$B$5)+SUMIFS(销售录入!$AA$5:$AA$404,销售录入!$Y$5:$Y$404,$B$3,销售录入!$Z$5:$Z$404,$A84,销售录入!$C$5:$C$404,首页!$B$5)+SUMIFS(销售录入!$AD$5:$AD$404,销售录入!$AB$5:$AB$404,$B$3,销售录入!$AC$5:$AC$404,$A84,销售录入!$C$5:$C$404,首页!$B$5)+SUMIFS(采购录入!$W$5:$W$404,采购录入!$U$5:$U$404,$B$3,采购录入!$V$5:$V$404,$A84,采购录入!$C$5:$C$404,首页!$B$5)+SUMIFS(采购录入!$Z$5:$Z$404,采购录入!$X$5:$X$404,$B$3,采购录入!$Y$5:$Y$404,$A84,采购录入!$C$5:$C$404,首页!$B$5)+SUMIFS(其他凭证!$H$5:$H$304,其他凭证!$F$5:$F$304,$B$3,其他凭证!$G$5:$G$304,$A84,其他凭证!$C$5:$C$304,首页!$B$5))</f>
        <v/>
      </c>
      <c r="D84" s="54" t="str">
        <f aca="false">IF($A84="","",SUMIFS(资金流水!$N$5:$N$504,资金流水!$P$5:$P$504,$B$3,资金流水!$O$5:$O$504,$A84,资金流水!$C$5:$C$504,首页!$B$5)+SUMIFS(销售录入!$X$5:$X$404,销售录入!$W$5:$W$404,$B$3,销售录入!$V$5:$V$404,$A84,销售录入!$C$5:$C$404,首页!$B$5)+SUMIFS(销售录入!$AA$5:$AA$404,销售录入!$Z$5:$Z$404,$B$3,销售录入!$Y$5:$Y$404,$A84,销售录入!$C$5:$C$404,首页!$B$5)+SUMIFS(销售录入!$AD$5:$AD$404,销售录入!$AC$5:$AC$404,$B$3,销售录入!$AB$5:$AB$404,$A84,销售录入!$C$5:$C$404,首页!$B$5)+SUMIFS(采购录入!$W$5:$W$404,采购录入!$V$5:$V$404,$B$3,采购录入!$U$5:$U$404,$A84,采购录入!$C$5:$C$404,首页!$B$5)+SUMIFS(采购录入!$Z$5:$Z$404,采购录入!$Y$5:$Y$404,$B$3,采购录入!$X$5:$X$404,$A84,采购录入!$C$5:$C$404,首页!$B$5)+SUMIFS(其他凭证!$H$5:$H$304,其他凭证!$G$5:$G$304,$B$3,其他凭证!$F$5:$F$304,$A84,其他凭证!$C$5:$C$304,首页!$B$5))</f>
        <v/>
      </c>
      <c r="E84" s="44" t="str">
        <f aca="false">IF($A84="","",$C84-$D84)</f>
        <v/>
      </c>
      <c r="F84" s="22" t="str">
        <f aca="false">IF(OR($A84="",AND($C84=0,$D84=0)),"",IF($C84&gt;0,"借 "&amp;$C$3&amp;" / 贷 "&amp;$B84,"")&amp;IF(AND($C84&gt;0,$D84&gt;0)," ；","")&amp;IF($D84&gt;0,"借 "&amp;$B84&amp;" / 贷 "&amp;$C$3,""))</f>
        <v/>
      </c>
    </row>
    <row r="85" customFormat="false" ht="15.75" hidden="false" customHeight="true" outlineLevel="0" collapsed="false">
      <c r="A85" s="42" t="str">
        <f aca="false">IF(科目参数!$A85="","",科目参数!$A85)</f>
        <v/>
      </c>
      <c r="B85" s="35" t="str">
        <f aca="false">IF($A85="","",科目参数!$B85)</f>
        <v/>
      </c>
      <c r="C85" s="54" t="str">
        <f aca="false">IF($A85="","",SUMIFS(资金流水!$N$5:$N$504,资金流水!$O$5:$O$504,$B$3,资金流水!$P$5:$P$504,$A85,资金流水!$C$5:$C$504,首页!$B$5)+SUMIFS(销售录入!$X$5:$X$404,销售录入!$V$5:$V$404,$B$3,销售录入!$W$5:$W$404,$A85,销售录入!$C$5:$C$404,首页!$B$5)+SUMIFS(销售录入!$AA$5:$AA$404,销售录入!$Y$5:$Y$404,$B$3,销售录入!$Z$5:$Z$404,$A85,销售录入!$C$5:$C$404,首页!$B$5)+SUMIFS(销售录入!$AD$5:$AD$404,销售录入!$AB$5:$AB$404,$B$3,销售录入!$AC$5:$AC$404,$A85,销售录入!$C$5:$C$404,首页!$B$5)+SUMIFS(采购录入!$W$5:$W$404,采购录入!$U$5:$U$404,$B$3,采购录入!$V$5:$V$404,$A85,采购录入!$C$5:$C$404,首页!$B$5)+SUMIFS(采购录入!$Z$5:$Z$404,采购录入!$X$5:$X$404,$B$3,采购录入!$Y$5:$Y$404,$A85,采购录入!$C$5:$C$404,首页!$B$5)+SUMIFS(其他凭证!$H$5:$H$304,其他凭证!$F$5:$F$304,$B$3,其他凭证!$G$5:$G$304,$A85,其他凭证!$C$5:$C$304,首页!$B$5))</f>
        <v/>
      </c>
      <c r="D85" s="54" t="str">
        <f aca="false">IF($A85="","",SUMIFS(资金流水!$N$5:$N$504,资金流水!$P$5:$P$504,$B$3,资金流水!$O$5:$O$504,$A85,资金流水!$C$5:$C$504,首页!$B$5)+SUMIFS(销售录入!$X$5:$X$404,销售录入!$W$5:$W$404,$B$3,销售录入!$V$5:$V$404,$A85,销售录入!$C$5:$C$404,首页!$B$5)+SUMIFS(销售录入!$AA$5:$AA$404,销售录入!$Z$5:$Z$404,$B$3,销售录入!$Y$5:$Y$404,$A85,销售录入!$C$5:$C$404,首页!$B$5)+SUMIFS(销售录入!$AD$5:$AD$404,销售录入!$AC$5:$AC$404,$B$3,销售录入!$AB$5:$AB$404,$A85,销售录入!$C$5:$C$404,首页!$B$5)+SUMIFS(采购录入!$W$5:$W$404,采购录入!$V$5:$V$404,$B$3,采购录入!$U$5:$U$404,$A85,采购录入!$C$5:$C$404,首页!$B$5)+SUMIFS(采购录入!$Z$5:$Z$404,采购录入!$Y$5:$Y$404,$B$3,采购录入!$X$5:$X$404,$A85,采购录入!$C$5:$C$404,首页!$B$5)+SUMIFS(其他凭证!$H$5:$H$304,其他凭证!$G$5:$G$304,$B$3,其他凭证!$F$5:$F$304,$A85,其他凭证!$C$5:$C$304,首页!$B$5))</f>
        <v/>
      </c>
      <c r="E85" s="44" t="str">
        <f aca="false">IF($A85="","",$C85-$D85)</f>
        <v/>
      </c>
      <c r="F85" s="22" t="str">
        <f aca="false">IF(OR($A85="",AND($C85=0,$D85=0)),"",IF($C85&gt;0,"借 "&amp;$C$3&amp;" / 贷 "&amp;$B85,"")&amp;IF(AND($C85&gt;0,$D85&gt;0)," ；","")&amp;IF($D85&gt;0,"借 "&amp;$B85&amp;" / 贷 "&amp;$C$3,""))</f>
        <v/>
      </c>
    </row>
    <row r="86" customFormat="false" ht="15.75" hidden="false" customHeight="true" outlineLevel="0" collapsed="false">
      <c r="A86" s="42" t="str">
        <f aca="false">IF(科目参数!$A86="","",科目参数!$A86)</f>
        <v/>
      </c>
      <c r="B86" s="35" t="str">
        <f aca="false">IF($A86="","",科目参数!$B86)</f>
        <v/>
      </c>
      <c r="C86" s="54" t="str">
        <f aca="false">IF($A86="","",SUMIFS(资金流水!$N$5:$N$504,资金流水!$O$5:$O$504,$B$3,资金流水!$P$5:$P$504,$A86,资金流水!$C$5:$C$504,首页!$B$5)+SUMIFS(销售录入!$X$5:$X$404,销售录入!$V$5:$V$404,$B$3,销售录入!$W$5:$W$404,$A86,销售录入!$C$5:$C$404,首页!$B$5)+SUMIFS(销售录入!$AA$5:$AA$404,销售录入!$Y$5:$Y$404,$B$3,销售录入!$Z$5:$Z$404,$A86,销售录入!$C$5:$C$404,首页!$B$5)+SUMIFS(销售录入!$AD$5:$AD$404,销售录入!$AB$5:$AB$404,$B$3,销售录入!$AC$5:$AC$404,$A86,销售录入!$C$5:$C$404,首页!$B$5)+SUMIFS(采购录入!$W$5:$W$404,采购录入!$U$5:$U$404,$B$3,采购录入!$V$5:$V$404,$A86,采购录入!$C$5:$C$404,首页!$B$5)+SUMIFS(采购录入!$Z$5:$Z$404,采购录入!$X$5:$X$404,$B$3,采购录入!$Y$5:$Y$404,$A86,采购录入!$C$5:$C$404,首页!$B$5)+SUMIFS(其他凭证!$H$5:$H$304,其他凭证!$F$5:$F$304,$B$3,其他凭证!$G$5:$G$304,$A86,其他凭证!$C$5:$C$304,首页!$B$5))</f>
        <v/>
      </c>
      <c r="D86" s="54" t="str">
        <f aca="false">IF($A86="","",SUMIFS(资金流水!$N$5:$N$504,资金流水!$P$5:$P$504,$B$3,资金流水!$O$5:$O$504,$A86,资金流水!$C$5:$C$504,首页!$B$5)+SUMIFS(销售录入!$X$5:$X$404,销售录入!$W$5:$W$404,$B$3,销售录入!$V$5:$V$404,$A86,销售录入!$C$5:$C$404,首页!$B$5)+SUMIFS(销售录入!$AA$5:$AA$404,销售录入!$Z$5:$Z$404,$B$3,销售录入!$Y$5:$Y$404,$A86,销售录入!$C$5:$C$404,首页!$B$5)+SUMIFS(销售录入!$AD$5:$AD$404,销售录入!$AC$5:$AC$404,$B$3,销售录入!$AB$5:$AB$404,$A86,销售录入!$C$5:$C$404,首页!$B$5)+SUMIFS(采购录入!$W$5:$W$404,采购录入!$V$5:$V$404,$B$3,采购录入!$U$5:$U$404,$A86,采购录入!$C$5:$C$404,首页!$B$5)+SUMIFS(采购录入!$Z$5:$Z$404,采购录入!$Y$5:$Y$404,$B$3,采购录入!$X$5:$X$404,$A86,采购录入!$C$5:$C$404,首页!$B$5)+SUMIFS(其他凭证!$H$5:$H$304,其他凭证!$G$5:$G$304,$B$3,其他凭证!$F$5:$F$304,$A86,其他凭证!$C$5:$C$304,首页!$B$5))</f>
        <v/>
      </c>
      <c r="E86" s="44" t="str">
        <f aca="false">IF($A86="","",$C86-$D86)</f>
        <v/>
      </c>
      <c r="F86" s="22" t="str">
        <f aca="false">IF(OR($A86="",AND($C86=0,$D86=0)),"",IF($C86&gt;0,"借 "&amp;$C$3&amp;" / 贷 "&amp;$B86,"")&amp;IF(AND($C86&gt;0,$D86&gt;0)," ；","")&amp;IF($D86&gt;0,"借 "&amp;$B86&amp;" / 贷 "&amp;$C$3,""))</f>
        <v/>
      </c>
    </row>
    <row r="87" customFormat="false" ht="15.75" hidden="false" customHeight="true" outlineLevel="0" collapsed="false">
      <c r="A87" s="42" t="str">
        <f aca="false">IF(科目参数!$A87="","",科目参数!$A87)</f>
        <v/>
      </c>
      <c r="B87" s="35" t="str">
        <f aca="false">IF($A87="","",科目参数!$B87)</f>
        <v/>
      </c>
      <c r="C87" s="54" t="str">
        <f aca="false">IF($A87="","",SUMIFS(资金流水!$N$5:$N$504,资金流水!$O$5:$O$504,$B$3,资金流水!$P$5:$P$504,$A87,资金流水!$C$5:$C$504,首页!$B$5)+SUMIFS(销售录入!$X$5:$X$404,销售录入!$V$5:$V$404,$B$3,销售录入!$W$5:$W$404,$A87,销售录入!$C$5:$C$404,首页!$B$5)+SUMIFS(销售录入!$AA$5:$AA$404,销售录入!$Y$5:$Y$404,$B$3,销售录入!$Z$5:$Z$404,$A87,销售录入!$C$5:$C$404,首页!$B$5)+SUMIFS(销售录入!$AD$5:$AD$404,销售录入!$AB$5:$AB$404,$B$3,销售录入!$AC$5:$AC$404,$A87,销售录入!$C$5:$C$404,首页!$B$5)+SUMIFS(采购录入!$W$5:$W$404,采购录入!$U$5:$U$404,$B$3,采购录入!$V$5:$V$404,$A87,采购录入!$C$5:$C$404,首页!$B$5)+SUMIFS(采购录入!$Z$5:$Z$404,采购录入!$X$5:$X$404,$B$3,采购录入!$Y$5:$Y$404,$A87,采购录入!$C$5:$C$404,首页!$B$5)+SUMIFS(其他凭证!$H$5:$H$304,其他凭证!$F$5:$F$304,$B$3,其他凭证!$G$5:$G$304,$A87,其他凭证!$C$5:$C$304,首页!$B$5))</f>
        <v/>
      </c>
      <c r="D87" s="54" t="str">
        <f aca="false">IF($A87="","",SUMIFS(资金流水!$N$5:$N$504,资金流水!$P$5:$P$504,$B$3,资金流水!$O$5:$O$504,$A87,资金流水!$C$5:$C$504,首页!$B$5)+SUMIFS(销售录入!$X$5:$X$404,销售录入!$W$5:$W$404,$B$3,销售录入!$V$5:$V$404,$A87,销售录入!$C$5:$C$404,首页!$B$5)+SUMIFS(销售录入!$AA$5:$AA$404,销售录入!$Z$5:$Z$404,$B$3,销售录入!$Y$5:$Y$404,$A87,销售录入!$C$5:$C$404,首页!$B$5)+SUMIFS(销售录入!$AD$5:$AD$404,销售录入!$AC$5:$AC$404,$B$3,销售录入!$AB$5:$AB$404,$A87,销售录入!$C$5:$C$404,首页!$B$5)+SUMIFS(采购录入!$W$5:$W$404,采购录入!$V$5:$V$404,$B$3,采购录入!$U$5:$U$404,$A87,采购录入!$C$5:$C$404,首页!$B$5)+SUMIFS(采购录入!$Z$5:$Z$404,采购录入!$Y$5:$Y$404,$B$3,采购录入!$X$5:$X$404,$A87,采购录入!$C$5:$C$404,首页!$B$5)+SUMIFS(其他凭证!$H$5:$H$304,其他凭证!$G$5:$G$304,$B$3,其他凭证!$F$5:$F$304,$A87,其他凭证!$C$5:$C$304,首页!$B$5))</f>
        <v/>
      </c>
      <c r="E87" s="44" t="str">
        <f aca="false">IF($A87="","",$C87-$D87)</f>
        <v/>
      </c>
      <c r="F87" s="22" t="str">
        <f aca="false">IF(OR($A87="",AND($C87=0,$D87=0)),"",IF($C87&gt;0,"借 "&amp;$C$3&amp;" / 贷 "&amp;$B87,"")&amp;IF(AND($C87&gt;0,$D87&gt;0)," ；","")&amp;IF($D87&gt;0,"借 "&amp;$B87&amp;" / 贷 "&amp;$C$3,""))</f>
        <v/>
      </c>
    </row>
    <row r="88" customFormat="false" ht="15.75" hidden="false" customHeight="true" outlineLevel="0" collapsed="false">
      <c r="A88" s="42" t="str">
        <f aca="false">IF(科目参数!$A88="","",科目参数!$A88)</f>
        <v/>
      </c>
      <c r="B88" s="35" t="str">
        <f aca="false">IF($A88="","",科目参数!$B88)</f>
        <v/>
      </c>
      <c r="C88" s="54" t="str">
        <f aca="false">IF($A88="","",SUMIFS(资金流水!$N$5:$N$504,资金流水!$O$5:$O$504,$B$3,资金流水!$P$5:$P$504,$A88,资金流水!$C$5:$C$504,首页!$B$5)+SUMIFS(销售录入!$X$5:$X$404,销售录入!$V$5:$V$404,$B$3,销售录入!$W$5:$W$404,$A88,销售录入!$C$5:$C$404,首页!$B$5)+SUMIFS(销售录入!$AA$5:$AA$404,销售录入!$Y$5:$Y$404,$B$3,销售录入!$Z$5:$Z$404,$A88,销售录入!$C$5:$C$404,首页!$B$5)+SUMIFS(销售录入!$AD$5:$AD$404,销售录入!$AB$5:$AB$404,$B$3,销售录入!$AC$5:$AC$404,$A88,销售录入!$C$5:$C$404,首页!$B$5)+SUMIFS(采购录入!$W$5:$W$404,采购录入!$U$5:$U$404,$B$3,采购录入!$V$5:$V$404,$A88,采购录入!$C$5:$C$404,首页!$B$5)+SUMIFS(采购录入!$Z$5:$Z$404,采购录入!$X$5:$X$404,$B$3,采购录入!$Y$5:$Y$404,$A88,采购录入!$C$5:$C$404,首页!$B$5)+SUMIFS(其他凭证!$H$5:$H$304,其他凭证!$F$5:$F$304,$B$3,其他凭证!$G$5:$G$304,$A88,其他凭证!$C$5:$C$304,首页!$B$5))</f>
        <v/>
      </c>
      <c r="D88" s="54" t="str">
        <f aca="false">IF($A88="","",SUMIFS(资金流水!$N$5:$N$504,资金流水!$P$5:$P$504,$B$3,资金流水!$O$5:$O$504,$A88,资金流水!$C$5:$C$504,首页!$B$5)+SUMIFS(销售录入!$X$5:$X$404,销售录入!$W$5:$W$404,$B$3,销售录入!$V$5:$V$404,$A88,销售录入!$C$5:$C$404,首页!$B$5)+SUMIFS(销售录入!$AA$5:$AA$404,销售录入!$Z$5:$Z$404,$B$3,销售录入!$Y$5:$Y$404,$A88,销售录入!$C$5:$C$404,首页!$B$5)+SUMIFS(销售录入!$AD$5:$AD$404,销售录入!$AC$5:$AC$404,$B$3,销售录入!$AB$5:$AB$404,$A88,销售录入!$C$5:$C$404,首页!$B$5)+SUMIFS(采购录入!$W$5:$W$404,采购录入!$V$5:$V$404,$B$3,采购录入!$U$5:$U$404,$A88,采购录入!$C$5:$C$404,首页!$B$5)+SUMIFS(采购录入!$Z$5:$Z$404,采购录入!$Y$5:$Y$404,$B$3,采购录入!$X$5:$X$404,$A88,采购录入!$C$5:$C$404,首页!$B$5)+SUMIFS(其他凭证!$H$5:$H$304,其他凭证!$G$5:$G$304,$B$3,其他凭证!$F$5:$F$304,$A88,其他凭证!$C$5:$C$304,首页!$B$5))</f>
        <v/>
      </c>
      <c r="E88" s="44" t="str">
        <f aca="false">IF($A88="","",$C88-$D88)</f>
        <v/>
      </c>
      <c r="F88" s="22" t="str">
        <f aca="false">IF(OR($A88="",AND($C88=0,$D88=0)),"",IF($C88&gt;0,"借 "&amp;$C$3&amp;" / 贷 "&amp;$B88,"")&amp;IF(AND($C88&gt;0,$D88&gt;0)," ；","")&amp;IF($D88&gt;0,"借 "&amp;$B88&amp;" / 贷 "&amp;$C$3,""))</f>
        <v/>
      </c>
    </row>
    <row r="89" customFormat="false" ht="15.75" hidden="false" customHeight="true" outlineLevel="0" collapsed="false">
      <c r="A89" s="42" t="str">
        <f aca="false">IF(科目参数!$A89="","",科目参数!$A89)</f>
        <v/>
      </c>
      <c r="B89" s="35" t="str">
        <f aca="false">IF($A89="","",科目参数!$B89)</f>
        <v/>
      </c>
      <c r="C89" s="54" t="str">
        <f aca="false">IF($A89="","",SUMIFS(资金流水!$N$5:$N$504,资金流水!$O$5:$O$504,$B$3,资金流水!$P$5:$P$504,$A89,资金流水!$C$5:$C$504,首页!$B$5)+SUMIFS(销售录入!$X$5:$X$404,销售录入!$V$5:$V$404,$B$3,销售录入!$W$5:$W$404,$A89,销售录入!$C$5:$C$404,首页!$B$5)+SUMIFS(销售录入!$AA$5:$AA$404,销售录入!$Y$5:$Y$404,$B$3,销售录入!$Z$5:$Z$404,$A89,销售录入!$C$5:$C$404,首页!$B$5)+SUMIFS(销售录入!$AD$5:$AD$404,销售录入!$AB$5:$AB$404,$B$3,销售录入!$AC$5:$AC$404,$A89,销售录入!$C$5:$C$404,首页!$B$5)+SUMIFS(采购录入!$W$5:$W$404,采购录入!$U$5:$U$404,$B$3,采购录入!$V$5:$V$404,$A89,采购录入!$C$5:$C$404,首页!$B$5)+SUMIFS(采购录入!$Z$5:$Z$404,采购录入!$X$5:$X$404,$B$3,采购录入!$Y$5:$Y$404,$A89,采购录入!$C$5:$C$404,首页!$B$5)+SUMIFS(其他凭证!$H$5:$H$304,其他凭证!$F$5:$F$304,$B$3,其他凭证!$G$5:$G$304,$A89,其他凭证!$C$5:$C$304,首页!$B$5))</f>
        <v/>
      </c>
      <c r="D89" s="54" t="str">
        <f aca="false">IF($A89="","",SUMIFS(资金流水!$N$5:$N$504,资金流水!$P$5:$P$504,$B$3,资金流水!$O$5:$O$504,$A89,资金流水!$C$5:$C$504,首页!$B$5)+SUMIFS(销售录入!$X$5:$X$404,销售录入!$W$5:$W$404,$B$3,销售录入!$V$5:$V$404,$A89,销售录入!$C$5:$C$404,首页!$B$5)+SUMIFS(销售录入!$AA$5:$AA$404,销售录入!$Z$5:$Z$404,$B$3,销售录入!$Y$5:$Y$404,$A89,销售录入!$C$5:$C$404,首页!$B$5)+SUMIFS(销售录入!$AD$5:$AD$404,销售录入!$AC$5:$AC$404,$B$3,销售录入!$AB$5:$AB$404,$A89,销售录入!$C$5:$C$404,首页!$B$5)+SUMIFS(采购录入!$W$5:$W$404,采购录入!$V$5:$V$404,$B$3,采购录入!$U$5:$U$404,$A89,采购录入!$C$5:$C$404,首页!$B$5)+SUMIFS(采购录入!$Z$5:$Z$404,采购录入!$Y$5:$Y$404,$B$3,采购录入!$X$5:$X$404,$A89,采购录入!$C$5:$C$404,首页!$B$5)+SUMIFS(其他凭证!$H$5:$H$304,其他凭证!$G$5:$G$304,$B$3,其他凭证!$F$5:$F$304,$A89,其他凭证!$C$5:$C$304,首页!$B$5))</f>
        <v/>
      </c>
      <c r="E89" s="44" t="str">
        <f aca="false">IF($A89="","",$C89-$D89)</f>
        <v/>
      </c>
      <c r="F89" s="22" t="str">
        <f aca="false">IF(OR($A89="",AND($C89=0,$D89=0)),"",IF($C89&gt;0,"借 "&amp;$C$3&amp;" / 贷 "&amp;$B89,"")&amp;IF(AND($C89&gt;0,$D89&gt;0)," ；","")&amp;IF($D89&gt;0,"借 "&amp;$B89&amp;" / 贷 "&amp;$C$3,""))</f>
        <v/>
      </c>
    </row>
    <row r="90" customFormat="false" ht="15.75" hidden="false" customHeight="true" outlineLevel="0" collapsed="false">
      <c r="A90" s="42" t="str">
        <f aca="false">IF(科目参数!$A90="","",科目参数!$A90)</f>
        <v/>
      </c>
      <c r="B90" s="35" t="str">
        <f aca="false">IF($A90="","",科目参数!$B90)</f>
        <v/>
      </c>
      <c r="C90" s="54" t="str">
        <f aca="false">IF($A90="","",SUMIFS(资金流水!$N$5:$N$504,资金流水!$O$5:$O$504,$B$3,资金流水!$P$5:$P$504,$A90,资金流水!$C$5:$C$504,首页!$B$5)+SUMIFS(销售录入!$X$5:$X$404,销售录入!$V$5:$V$404,$B$3,销售录入!$W$5:$W$404,$A90,销售录入!$C$5:$C$404,首页!$B$5)+SUMIFS(销售录入!$AA$5:$AA$404,销售录入!$Y$5:$Y$404,$B$3,销售录入!$Z$5:$Z$404,$A90,销售录入!$C$5:$C$404,首页!$B$5)+SUMIFS(销售录入!$AD$5:$AD$404,销售录入!$AB$5:$AB$404,$B$3,销售录入!$AC$5:$AC$404,$A90,销售录入!$C$5:$C$404,首页!$B$5)+SUMIFS(采购录入!$W$5:$W$404,采购录入!$U$5:$U$404,$B$3,采购录入!$V$5:$V$404,$A90,采购录入!$C$5:$C$404,首页!$B$5)+SUMIFS(采购录入!$Z$5:$Z$404,采购录入!$X$5:$X$404,$B$3,采购录入!$Y$5:$Y$404,$A90,采购录入!$C$5:$C$404,首页!$B$5)+SUMIFS(其他凭证!$H$5:$H$304,其他凭证!$F$5:$F$304,$B$3,其他凭证!$G$5:$G$304,$A90,其他凭证!$C$5:$C$304,首页!$B$5))</f>
        <v/>
      </c>
      <c r="D90" s="54" t="str">
        <f aca="false">IF($A90="","",SUMIFS(资金流水!$N$5:$N$504,资金流水!$P$5:$P$504,$B$3,资金流水!$O$5:$O$504,$A90,资金流水!$C$5:$C$504,首页!$B$5)+SUMIFS(销售录入!$X$5:$X$404,销售录入!$W$5:$W$404,$B$3,销售录入!$V$5:$V$404,$A90,销售录入!$C$5:$C$404,首页!$B$5)+SUMIFS(销售录入!$AA$5:$AA$404,销售录入!$Z$5:$Z$404,$B$3,销售录入!$Y$5:$Y$404,$A90,销售录入!$C$5:$C$404,首页!$B$5)+SUMIFS(销售录入!$AD$5:$AD$404,销售录入!$AC$5:$AC$404,$B$3,销售录入!$AB$5:$AB$404,$A90,销售录入!$C$5:$C$404,首页!$B$5)+SUMIFS(采购录入!$W$5:$W$404,采购录入!$V$5:$V$404,$B$3,采购录入!$U$5:$U$404,$A90,采购录入!$C$5:$C$404,首页!$B$5)+SUMIFS(采购录入!$Z$5:$Z$404,采购录入!$Y$5:$Y$404,$B$3,采购录入!$X$5:$X$404,$A90,采购录入!$C$5:$C$404,首页!$B$5)+SUMIFS(其他凭证!$H$5:$H$304,其他凭证!$G$5:$G$304,$B$3,其他凭证!$F$5:$F$304,$A90,其他凭证!$C$5:$C$304,首页!$B$5))</f>
        <v/>
      </c>
      <c r="E90" s="44" t="str">
        <f aca="false">IF($A90="","",$C90-$D90)</f>
        <v/>
      </c>
      <c r="F90" s="22" t="str">
        <f aca="false">IF(OR($A90="",AND($C90=0,$D90=0)),"",IF($C90&gt;0,"借 "&amp;$C$3&amp;" / 贷 "&amp;$B90,"")&amp;IF(AND($C90&gt;0,$D90&gt;0)," ；","")&amp;IF($D90&gt;0,"借 "&amp;$B90&amp;" / 贷 "&amp;$C$3,""))</f>
        <v/>
      </c>
    </row>
    <row r="91" customFormat="false" ht="15.75" hidden="false" customHeight="true" outlineLevel="0" collapsed="false">
      <c r="A91" s="42" t="str">
        <f aca="false">IF(科目参数!$A91="","",科目参数!$A91)</f>
        <v/>
      </c>
      <c r="B91" s="35" t="str">
        <f aca="false">IF($A91="","",科目参数!$B91)</f>
        <v/>
      </c>
      <c r="C91" s="54" t="str">
        <f aca="false">IF($A91="","",SUMIFS(资金流水!$N$5:$N$504,资金流水!$O$5:$O$504,$B$3,资金流水!$P$5:$P$504,$A91,资金流水!$C$5:$C$504,首页!$B$5)+SUMIFS(销售录入!$X$5:$X$404,销售录入!$V$5:$V$404,$B$3,销售录入!$W$5:$W$404,$A91,销售录入!$C$5:$C$404,首页!$B$5)+SUMIFS(销售录入!$AA$5:$AA$404,销售录入!$Y$5:$Y$404,$B$3,销售录入!$Z$5:$Z$404,$A91,销售录入!$C$5:$C$404,首页!$B$5)+SUMIFS(销售录入!$AD$5:$AD$404,销售录入!$AB$5:$AB$404,$B$3,销售录入!$AC$5:$AC$404,$A91,销售录入!$C$5:$C$404,首页!$B$5)+SUMIFS(采购录入!$W$5:$W$404,采购录入!$U$5:$U$404,$B$3,采购录入!$V$5:$V$404,$A91,采购录入!$C$5:$C$404,首页!$B$5)+SUMIFS(采购录入!$Z$5:$Z$404,采购录入!$X$5:$X$404,$B$3,采购录入!$Y$5:$Y$404,$A91,采购录入!$C$5:$C$404,首页!$B$5)+SUMIFS(其他凭证!$H$5:$H$304,其他凭证!$F$5:$F$304,$B$3,其他凭证!$G$5:$G$304,$A91,其他凭证!$C$5:$C$304,首页!$B$5))</f>
        <v/>
      </c>
      <c r="D91" s="54" t="str">
        <f aca="false">IF($A91="","",SUMIFS(资金流水!$N$5:$N$504,资金流水!$P$5:$P$504,$B$3,资金流水!$O$5:$O$504,$A91,资金流水!$C$5:$C$504,首页!$B$5)+SUMIFS(销售录入!$X$5:$X$404,销售录入!$W$5:$W$404,$B$3,销售录入!$V$5:$V$404,$A91,销售录入!$C$5:$C$404,首页!$B$5)+SUMIFS(销售录入!$AA$5:$AA$404,销售录入!$Z$5:$Z$404,$B$3,销售录入!$Y$5:$Y$404,$A91,销售录入!$C$5:$C$404,首页!$B$5)+SUMIFS(销售录入!$AD$5:$AD$404,销售录入!$AC$5:$AC$404,$B$3,销售录入!$AB$5:$AB$404,$A91,销售录入!$C$5:$C$404,首页!$B$5)+SUMIFS(采购录入!$W$5:$W$404,采购录入!$V$5:$V$404,$B$3,采购录入!$U$5:$U$404,$A91,采购录入!$C$5:$C$404,首页!$B$5)+SUMIFS(采购录入!$Z$5:$Z$404,采购录入!$Y$5:$Y$404,$B$3,采购录入!$X$5:$X$404,$A91,采购录入!$C$5:$C$404,首页!$B$5)+SUMIFS(其他凭证!$H$5:$H$304,其他凭证!$G$5:$G$304,$B$3,其他凭证!$F$5:$F$304,$A91,其他凭证!$C$5:$C$304,首页!$B$5))</f>
        <v/>
      </c>
      <c r="E91" s="44" t="str">
        <f aca="false">IF($A91="","",$C91-$D91)</f>
        <v/>
      </c>
      <c r="F91" s="22" t="str">
        <f aca="false">IF(OR($A91="",AND($C91=0,$D91=0)),"",IF($C91&gt;0,"借 "&amp;$C$3&amp;" / 贷 "&amp;$B91,"")&amp;IF(AND($C91&gt;0,$D91&gt;0)," ；","")&amp;IF($D91&gt;0,"借 "&amp;$B91&amp;" / 贷 "&amp;$C$3,""))</f>
        <v/>
      </c>
    </row>
    <row r="92" customFormat="false" ht="15.75" hidden="false" customHeight="true" outlineLevel="0" collapsed="false">
      <c r="A92" s="42" t="str">
        <f aca="false">IF(科目参数!$A92="","",科目参数!$A92)</f>
        <v/>
      </c>
      <c r="B92" s="35" t="str">
        <f aca="false">IF($A92="","",科目参数!$B92)</f>
        <v/>
      </c>
      <c r="C92" s="54" t="str">
        <f aca="false">IF($A92="","",SUMIFS(资金流水!$N$5:$N$504,资金流水!$O$5:$O$504,$B$3,资金流水!$P$5:$P$504,$A92,资金流水!$C$5:$C$504,首页!$B$5)+SUMIFS(销售录入!$X$5:$X$404,销售录入!$V$5:$V$404,$B$3,销售录入!$W$5:$W$404,$A92,销售录入!$C$5:$C$404,首页!$B$5)+SUMIFS(销售录入!$AA$5:$AA$404,销售录入!$Y$5:$Y$404,$B$3,销售录入!$Z$5:$Z$404,$A92,销售录入!$C$5:$C$404,首页!$B$5)+SUMIFS(销售录入!$AD$5:$AD$404,销售录入!$AB$5:$AB$404,$B$3,销售录入!$AC$5:$AC$404,$A92,销售录入!$C$5:$C$404,首页!$B$5)+SUMIFS(采购录入!$W$5:$W$404,采购录入!$U$5:$U$404,$B$3,采购录入!$V$5:$V$404,$A92,采购录入!$C$5:$C$404,首页!$B$5)+SUMIFS(采购录入!$Z$5:$Z$404,采购录入!$X$5:$X$404,$B$3,采购录入!$Y$5:$Y$404,$A92,采购录入!$C$5:$C$404,首页!$B$5)+SUMIFS(其他凭证!$H$5:$H$304,其他凭证!$F$5:$F$304,$B$3,其他凭证!$G$5:$G$304,$A92,其他凭证!$C$5:$C$304,首页!$B$5))</f>
        <v/>
      </c>
      <c r="D92" s="54" t="str">
        <f aca="false">IF($A92="","",SUMIFS(资金流水!$N$5:$N$504,资金流水!$P$5:$P$504,$B$3,资金流水!$O$5:$O$504,$A92,资金流水!$C$5:$C$504,首页!$B$5)+SUMIFS(销售录入!$X$5:$X$404,销售录入!$W$5:$W$404,$B$3,销售录入!$V$5:$V$404,$A92,销售录入!$C$5:$C$404,首页!$B$5)+SUMIFS(销售录入!$AA$5:$AA$404,销售录入!$Z$5:$Z$404,$B$3,销售录入!$Y$5:$Y$404,$A92,销售录入!$C$5:$C$404,首页!$B$5)+SUMIFS(销售录入!$AD$5:$AD$404,销售录入!$AC$5:$AC$404,$B$3,销售录入!$AB$5:$AB$404,$A92,销售录入!$C$5:$C$404,首页!$B$5)+SUMIFS(采购录入!$W$5:$W$404,采购录入!$V$5:$V$404,$B$3,采购录入!$U$5:$U$404,$A92,采购录入!$C$5:$C$404,首页!$B$5)+SUMIFS(采购录入!$Z$5:$Z$404,采购录入!$Y$5:$Y$404,$B$3,采购录入!$X$5:$X$404,$A92,采购录入!$C$5:$C$404,首页!$B$5)+SUMIFS(其他凭证!$H$5:$H$304,其他凭证!$G$5:$G$304,$B$3,其他凭证!$F$5:$F$304,$A92,其他凭证!$C$5:$C$304,首页!$B$5))</f>
        <v/>
      </c>
      <c r="E92" s="44" t="str">
        <f aca="false">IF($A92="","",$C92-$D92)</f>
        <v/>
      </c>
      <c r="F92" s="22" t="str">
        <f aca="false">IF(OR($A92="",AND($C92=0,$D92=0)),"",IF($C92&gt;0,"借 "&amp;$C$3&amp;" / 贷 "&amp;$B92,"")&amp;IF(AND($C92&gt;0,$D92&gt;0)," ；","")&amp;IF($D92&gt;0,"借 "&amp;$B92&amp;" / 贷 "&amp;$C$3,""))</f>
        <v/>
      </c>
    </row>
    <row r="93" customFormat="false" ht="15.75" hidden="false" customHeight="true" outlineLevel="0" collapsed="false">
      <c r="A93" s="42" t="str">
        <f aca="false">IF(科目参数!$A93="","",科目参数!$A93)</f>
        <v/>
      </c>
      <c r="B93" s="35" t="str">
        <f aca="false">IF($A93="","",科目参数!$B93)</f>
        <v/>
      </c>
      <c r="C93" s="54" t="str">
        <f aca="false">IF($A93="","",SUMIFS(资金流水!$N$5:$N$504,资金流水!$O$5:$O$504,$B$3,资金流水!$P$5:$P$504,$A93,资金流水!$C$5:$C$504,首页!$B$5)+SUMIFS(销售录入!$X$5:$X$404,销售录入!$V$5:$V$404,$B$3,销售录入!$W$5:$W$404,$A93,销售录入!$C$5:$C$404,首页!$B$5)+SUMIFS(销售录入!$AA$5:$AA$404,销售录入!$Y$5:$Y$404,$B$3,销售录入!$Z$5:$Z$404,$A93,销售录入!$C$5:$C$404,首页!$B$5)+SUMIFS(销售录入!$AD$5:$AD$404,销售录入!$AB$5:$AB$404,$B$3,销售录入!$AC$5:$AC$404,$A93,销售录入!$C$5:$C$404,首页!$B$5)+SUMIFS(采购录入!$W$5:$W$404,采购录入!$U$5:$U$404,$B$3,采购录入!$V$5:$V$404,$A93,采购录入!$C$5:$C$404,首页!$B$5)+SUMIFS(采购录入!$Z$5:$Z$404,采购录入!$X$5:$X$404,$B$3,采购录入!$Y$5:$Y$404,$A93,采购录入!$C$5:$C$404,首页!$B$5)+SUMIFS(其他凭证!$H$5:$H$304,其他凭证!$F$5:$F$304,$B$3,其他凭证!$G$5:$G$304,$A93,其他凭证!$C$5:$C$304,首页!$B$5))</f>
        <v/>
      </c>
      <c r="D93" s="54" t="str">
        <f aca="false">IF($A93="","",SUMIFS(资金流水!$N$5:$N$504,资金流水!$P$5:$P$504,$B$3,资金流水!$O$5:$O$504,$A93,资金流水!$C$5:$C$504,首页!$B$5)+SUMIFS(销售录入!$X$5:$X$404,销售录入!$W$5:$W$404,$B$3,销售录入!$V$5:$V$404,$A93,销售录入!$C$5:$C$404,首页!$B$5)+SUMIFS(销售录入!$AA$5:$AA$404,销售录入!$Z$5:$Z$404,$B$3,销售录入!$Y$5:$Y$404,$A93,销售录入!$C$5:$C$404,首页!$B$5)+SUMIFS(销售录入!$AD$5:$AD$404,销售录入!$AC$5:$AC$404,$B$3,销售录入!$AB$5:$AB$404,$A93,销售录入!$C$5:$C$404,首页!$B$5)+SUMIFS(采购录入!$W$5:$W$404,采购录入!$V$5:$V$404,$B$3,采购录入!$U$5:$U$404,$A93,采购录入!$C$5:$C$404,首页!$B$5)+SUMIFS(采购录入!$Z$5:$Z$404,采购录入!$Y$5:$Y$404,$B$3,采购录入!$X$5:$X$404,$A93,采购录入!$C$5:$C$404,首页!$B$5)+SUMIFS(其他凭证!$H$5:$H$304,其他凭证!$G$5:$G$304,$B$3,其他凭证!$F$5:$F$304,$A93,其他凭证!$C$5:$C$304,首页!$B$5))</f>
        <v/>
      </c>
      <c r="E93" s="44" t="str">
        <f aca="false">IF($A93="","",$C93-$D93)</f>
        <v/>
      </c>
      <c r="F93" s="22" t="str">
        <f aca="false">IF(OR($A93="",AND($C93=0,$D93=0)),"",IF($C93&gt;0,"借 "&amp;$C$3&amp;" / 贷 "&amp;$B93,"")&amp;IF(AND($C93&gt;0,$D93&gt;0)," ；","")&amp;IF($D93&gt;0,"借 "&amp;$B93&amp;" / 贷 "&amp;$C$3,""))</f>
        <v/>
      </c>
    </row>
    <row r="94" customFormat="false" ht="15.75" hidden="false" customHeight="true" outlineLevel="0" collapsed="false">
      <c r="A94" s="42" t="str">
        <f aca="false">IF(科目参数!$A94="","",科目参数!$A94)</f>
        <v/>
      </c>
      <c r="B94" s="35" t="str">
        <f aca="false">IF($A94="","",科目参数!$B94)</f>
        <v/>
      </c>
      <c r="C94" s="54" t="str">
        <f aca="false">IF($A94="","",SUMIFS(资金流水!$N$5:$N$504,资金流水!$O$5:$O$504,$B$3,资金流水!$P$5:$P$504,$A94,资金流水!$C$5:$C$504,首页!$B$5)+SUMIFS(销售录入!$X$5:$X$404,销售录入!$V$5:$V$404,$B$3,销售录入!$W$5:$W$404,$A94,销售录入!$C$5:$C$404,首页!$B$5)+SUMIFS(销售录入!$AA$5:$AA$404,销售录入!$Y$5:$Y$404,$B$3,销售录入!$Z$5:$Z$404,$A94,销售录入!$C$5:$C$404,首页!$B$5)+SUMIFS(销售录入!$AD$5:$AD$404,销售录入!$AB$5:$AB$404,$B$3,销售录入!$AC$5:$AC$404,$A94,销售录入!$C$5:$C$404,首页!$B$5)+SUMIFS(采购录入!$W$5:$W$404,采购录入!$U$5:$U$404,$B$3,采购录入!$V$5:$V$404,$A94,采购录入!$C$5:$C$404,首页!$B$5)+SUMIFS(采购录入!$Z$5:$Z$404,采购录入!$X$5:$X$404,$B$3,采购录入!$Y$5:$Y$404,$A94,采购录入!$C$5:$C$404,首页!$B$5)+SUMIFS(其他凭证!$H$5:$H$304,其他凭证!$F$5:$F$304,$B$3,其他凭证!$G$5:$G$304,$A94,其他凭证!$C$5:$C$304,首页!$B$5))</f>
        <v/>
      </c>
      <c r="D94" s="54" t="str">
        <f aca="false">IF($A94="","",SUMIFS(资金流水!$N$5:$N$504,资金流水!$P$5:$P$504,$B$3,资金流水!$O$5:$O$504,$A94,资金流水!$C$5:$C$504,首页!$B$5)+SUMIFS(销售录入!$X$5:$X$404,销售录入!$W$5:$W$404,$B$3,销售录入!$V$5:$V$404,$A94,销售录入!$C$5:$C$404,首页!$B$5)+SUMIFS(销售录入!$AA$5:$AA$404,销售录入!$Z$5:$Z$404,$B$3,销售录入!$Y$5:$Y$404,$A94,销售录入!$C$5:$C$404,首页!$B$5)+SUMIFS(销售录入!$AD$5:$AD$404,销售录入!$AC$5:$AC$404,$B$3,销售录入!$AB$5:$AB$404,$A94,销售录入!$C$5:$C$404,首页!$B$5)+SUMIFS(采购录入!$W$5:$W$404,采购录入!$V$5:$V$404,$B$3,采购录入!$U$5:$U$404,$A94,采购录入!$C$5:$C$404,首页!$B$5)+SUMIFS(采购录入!$Z$5:$Z$404,采购录入!$Y$5:$Y$404,$B$3,采购录入!$X$5:$X$404,$A94,采购录入!$C$5:$C$404,首页!$B$5)+SUMIFS(其他凭证!$H$5:$H$304,其他凭证!$G$5:$G$304,$B$3,其他凭证!$F$5:$F$304,$A94,其他凭证!$C$5:$C$304,首页!$B$5))</f>
        <v/>
      </c>
      <c r="E94" s="44" t="str">
        <f aca="false">IF($A94="","",$C94-$D94)</f>
        <v/>
      </c>
      <c r="F94" s="22" t="str">
        <f aca="false">IF(OR($A94="",AND($C94=0,$D94=0)),"",IF($C94&gt;0,"借 "&amp;$C$3&amp;" / 贷 "&amp;$B94,"")&amp;IF(AND($C94&gt;0,$D94&gt;0)," ；","")&amp;IF($D94&gt;0,"借 "&amp;$B94&amp;" / 贷 "&amp;$C$3,""))</f>
        <v/>
      </c>
    </row>
    <row r="95" customFormat="false" ht="15.75" hidden="false" customHeight="true" outlineLevel="0" collapsed="false">
      <c r="A95" s="42" t="str">
        <f aca="false">IF(科目参数!$A95="","",科目参数!$A95)</f>
        <v/>
      </c>
      <c r="B95" s="35" t="str">
        <f aca="false">IF($A95="","",科目参数!$B95)</f>
        <v/>
      </c>
      <c r="C95" s="54" t="str">
        <f aca="false">IF($A95="","",SUMIFS(资金流水!$N$5:$N$504,资金流水!$O$5:$O$504,$B$3,资金流水!$P$5:$P$504,$A95,资金流水!$C$5:$C$504,首页!$B$5)+SUMIFS(销售录入!$X$5:$X$404,销售录入!$V$5:$V$404,$B$3,销售录入!$W$5:$W$404,$A95,销售录入!$C$5:$C$404,首页!$B$5)+SUMIFS(销售录入!$AA$5:$AA$404,销售录入!$Y$5:$Y$404,$B$3,销售录入!$Z$5:$Z$404,$A95,销售录入!$C$5:$C$404,首页!$B$5)+SUMIFS(销售录入!$AD$5:$AD$404,销售录入!$AB$5:$AB$404,$B$3,销售录入!$AC$5:$AC$404,$A95,销售录入!$C$5:$C$404,首页!$B$5)+SUMIFS(采购录入!$W$5:$W$404,采购录入!$U$5:$U$404,$B$3,采购录入!$V$5:$V$404,$A95,采购录入!$C$5:$C$404,首页!$B$5)+SUMIFS(采购录入!$Z$5:$Z$404,采购录入!$X$5:$X$404,$B$3,采购录入!$Y$5:$Y$404,$A95,采购录入!$C$5:$C$404,首页!$B$5)+SUMIFS(其他凭证!$H$5:$H$304,其他凭证!$F$5:$F$304,$B$3,其他凭证!$G$5:$G$304,$A95,其他凭证!$C$5:$C$304,首页!$B$5))</f>
        <v/>
      </c>
      <c r="D95" s="54" t="str">
        <f aca="false">IF($A95="","",SUMIFS(资金流水!$N$5:$N$504,资金流水!$P$5:$P$504,$B$3,资金流水!$O$5:$O$504,$A95,资金流水!$C$5:$C$504,首页!$B$5)+SUMIFS(销售录入!$X$5:$X$404,销售录入!$W$5:$W$404,$B$3,销售录入!$V$5:$V$404,$A95,销售录入!$C$5:$C$404,首页!$B$5)+SUMIFS(销售录入!$AA$5:$AA$404,销售录入!$Z$5:$Z$404,$B$3,销售录入!$Y$5:$Y$404,$A95,销售录入!$C$5:$C$404,首页!$B$5)+SUMIFS(销售录入!$AD$5:$AD$404,销售录入!$AC$5:$AC$404,$B$3,销售录入!$AB$5:$AB$404,$A95,销售录入!$C$5:$C$404,首页!$B$5)+SUMIFS(采购录入!$W$5:$W$404,采购录入!$V$5:$V$404,$B$3,采购录入!$U$5:$U$404,$A95,采购录入!$C$5:$C$404,首页!$B$5)+SUMIFS(采购录入!$Z$5:$Z$404,采购录入!$Y$5:$Y$404,$B$3,采购录入!$X$5:$X$404,$A95,采购录入!$C$5:$C$404,首页!$B$5)+SUMIFS(其他凭证!$H$5:$H$304,其他凭证!$G$5:$G$304,$B$3,其他凭证!$F$5:$F$304,$A95,其他凭证!$C$5:$C$304,首页!$B$5))</f>
        <v/>
      </c>
      <c r="E95" s="44" t="str">
        <f aca="false">IF($A95="","",$C95-$D95)</f>
        <v/>
      </c>
      <c r="F95" s="22" t="str">
        <f aca="false">IF(OR($A95="",AND($C95=0,$D95=0)),"",IF($C95&gt;0,"借 "&amp;$C$3&amp;" / 贷 "&amp;$B95,"")&amp;IF(AND($C95&gt;0,$D95&gt;0)," ；","")&amp;IF($D95&gt;0,"借 "&amp;$B95&amp;" / 贷 "&amp;$C$3,""))</f>
        <v/>
      </c>
    </row>
    <row r="96" customFormat="false" ht="15.75" hidden="false" customHeight="true" outlineLevel="0" collapsed="false">
      <c r="A96" s="42" t="str">
        <f aca="false">IF(科目参数!$A96="","",科目参数!$A96)</f>
        <v/>
      </c>
      <c r="B96" s="35" t="str">
        <f aca="false">IF($A96="","",科目参数!$B96)</f>
        <v/>
      </c>
      <c r="C96" s="54" t="str">
        <f aca="false">IF($A96="","",SUMIFS(资金流水!$N$5:$N$504,资金流水!$O$5:$O$504,$B$3,资金流水!$P$5:$P$504,$A96,资金流水!$C$5:$C$504,首页!$B$5)+SUMIFS(销售录入!$X$5:$X$404,销售录入!$V$5:$V$404,$B$3,销售录入!$W$5:$W$404,$A96,销售录入!$C$5:$C$404,首页!$B$5)+SUMIFS(销售录入!$AA$5:$AA$404,销售录入!$Y$5:$Y$404,$B$3,销售录入!$Z$5:$Z$404,$A96,销售录入!$C$5:$C$404,首页!$B$5)+SUMIFS(销售录入!$AD$5:$AD$404,销售录入!$AB$5:$AB$404,$B$3,销售录入!$AC$5:$AC$404,$A96,销售录入!$C$5:$C$404,首页!$B$5)+SUMIFS(采购录入!$W$5:$W$404,采购录入!$U$5:$U$404,$B$3,采购录入!$V$5:$V$404,$A96,采购录入!$C$5:$C$404,首页!$B$5)+SUMIFS(采购录入!$Z$5:$Z$404,采购录入!$X$5:$X$404,$B$3,采购录入!$Y$5:$Y$404,$A96,采购录入!$C$5:$C$404,首页!$B$5)+SUMIFS(其他凭证!$H$5:$H$304,其他凭证!$F$5:$F$304,$B$3,其他凭证!$G$5:$G$304,$A96,其他凭证!$C$5:$C$304,首页!$B$5))</f>
        <v/>
      </c>
      <c r="D96" s="54" t="str">
        <f aca="false">IF($A96="","",SUMIFS(资金流水!$N$5:$N$504,资金流水!$P$5:$P$504,$B$3,资金流水!$O$5:$O$504,$A96,资金流水!$C$5:$C$504,首页!$B$5)+SUMIFS(销售录入!$X$5:$X$404,销售录入!$W$5:$W$404,$B$3,销售录入!$V$5:$V$404,$A96,销售录入!$C$5:$C$404,首页!$B$5)+SUMIFS(销售录入!$AA$5:$AA$404,销售录入!$Z$5:$Z$404,$B$3,销售录入!$Y$5:$Y$404,$A96,销售录入!$C$5:$C$404,首页!$B$5)+SUMIFS(销售录入!$AD$5:$AD$404,销售录入!$AC$5:$AC$404,$B$3,销售录入!$AB$5:$AB$404,$A96,销售录入!$C$5:$C$404,首页!$B$5)+SUMIFS(采购录入!$W$5:$W$404,采购录入!$V$5:$V$404,$B$3,采购录入!$U$5:$U$404,$A96,采购录入!$C$5:$C$404,首页!$B$5)+SUMIFS(采购录入!$Z$5:$Z$404,采购录入!$Y$5:$Y$404,$B$3,采购录入!$X$5:$X$404,$A96,采购录入!$C$5:$C$404,首页!$B$5)+SUMIFS(其他凭证!$H$5:$H$304,其他凭证!$G$5:$G$304,$B$3,其他凭证!$F$5:$F$304,$A96,其他凭证!$C$5:$C$304,首页!$B$5))</f>
        <v/>
      </c>
      <c r="E96" s="44" t="str">
        <f aca="false">IF($A96="","",$C96-$D96)</f>
        <v/>
      </c>
      <c r="F96" s="22" t="str">
        <f aca="false">IF(OR($A96="",AND($C96=0,$D96=0)),"",IF($C96&gt;0,"借 "&amp;$C$3&amp;" / 贷 "&amp;$B96,"")&amp;IF(AND($C96&gt;0,$D96&gt;0)," ；","")&amp;IF($D96&gt;0,"借 "&amp;$B96&amp;" / 贷 "&amp;$C$3,""))</f>
        <v/>
      </c>
    </row>
    <row r="97" customFormat="false" ht="15.75" hidden="false" customHeight="true" outlineLevel="0" collapsed="false">
      <c r="A97" s="42" t="str">
        <f aca="false">IF(科目参数!$A97="","",科目参数!$A97)</f>
        <v/>
      </c>
      <c r="B97" s="35" t="str">
        <f aca="false">IF($A97="","",科目参数!$B97)</f>
        <v/>
      </c>
      <c r="C97" s="54" t="str">
        <f aca="false">IF($A97="","",SUMIFS(资金流水!$N$5:$N$504,资金流水!$O$5:$O$504,$B$3,资金流水!$P$5:$P$504,$A97,资金流水!$C$5:$C$504,首页!$B$5)+SUMIFS(销售录入!$X$5:$X$404,销售录入!$V$5:$V$404,$B$3,销售录入!$W$5:$W$404,$A97,销售录入!$C$5:$C$404,首页!$B$5)+SUMIFS(销售录入!$AA$5:$AA$404,销售录入!$Y$5:$Y$404,$B$3,销售录入!$Z$5:$Z$404,$A97,销售录入!$C$5:$C$404,首页!$B$5)+SUMIFS(销售录入!$AD$5:$AD$404,销售录入!$AB$5:$AB$404,$B$3,销售录入!$AC$5:$AC$404,$A97,销售录入!$C$5:$C$404,首页!$B$5)+SUMIFS(采购录入!$W$5:$W$404,采购录入!$U$5:$U$404,$B$3,采购录入!$V$5:$V$404,$A97,采购录入!$C$5:$C$404,首页!$B$5)+SUMIFS(采购录入!$Z$5:$Z$404,采购录入!$X$5:$X$404,$B$3,采购录入!$Y$5:$Y$404,$A97,采购录入!$C$5:$C$404,首页!$B$5)+SUMIFS(其他凭证!$H$5:$H$304,其他凭证!$F$5:$F$304,$B$3,其他凭证!$G$5:$G$304,$A97,其他凭证!$C$5:$C$304,首页!$B$5))</f>
        <v/>
      </c>
      <c r="D97" s="54" t="str">
        <f aca="false">IF($A97="","",SUMIFS(资金流水!$N$5:$N$504,资金流水!$P$5:$P$504,$B$3,资金流水!$O$5:$O$504,$A97,资金流水!$C$5:$C$504,首页!$B$5)+SUMIFS(销售录入!$X$5:$X$404,销售录入!$W$5:$W$404,$B$3,销售录入!$V$5:$V$404,$A97,销售录入!$C$5:$C$404,首页!$B$5)+SUMIFS(销售录入!$AA$5:$AA$404,销售录入!$Z$5:$Z$404,$B$3,销售录入!$Y$5:$Y$404,$A97,销售录入!$C$5:$C$404,首页!$B$5)+SUMIFS(销售录入!$AD$5:$AD$404,销售录入!$AC$5:$AC$404,$B$3,销售录入!$AB$5:$AB$404,$A97,销售录入!$C$5:$C$404,首页!$B$5)+SUMIFS(采购录入!$W$5:$W$404,采购录入!$V$5:$V$404,$B$3,采购录入!$U$5:$U$404,$A97,采购录入!$C$5:$C$404,首页!$B$5)+SUMIFS(采购录入!$Z$5:$Z$404,采购录入!$Y$5:$Y$404,$B$3,采购录入!$X$5:$X$404,$A97,采购录入!$C$5:$C$404,首页!$B$5)+SUMIFS(其他凭证!$H$5:$H$304,其他凭证!$G$5:$G$304,$B$3,其他凭证!$F$5:$F$304,$A97,其他凭证!$C$5:$C$304,首页!$B$5))</f>
        <v/>
      </c>
      <c r="E97" s="44" t="str">
        <f aca="false">IF($A97="","",$C97-$D97)</f>
        <v/>
      </c>
      <c r="F97" s="22" t="str">
        <f aca="false">IF(OR($A97="",AND($C97=0,$D97=0)),"",IF($C97&gt;0,"借 "&amp;$C$3&amp;" / 贷 "&amp;$B97,"")&amp;IF(AND($C97&gt;0,$D97&gt;0)," ；","")&amp;IF($D97&gt;0,"借 "&amp;$B97&amp;" / 贷 "&amp;$C$3,""))</f>
        <v/>
      </c>
    </row>
    <row r="98" customFormat="false" ht="15.75" hidden="false" customHeight="true" outlineLevel="0" collapsed="false">
      <c r="A98" s="42" t="str">
        <f aca="false">IF(科目参数!$A98="","",科目参数!$A98)</f>
        <v/>
      </c>
      <c r="B98" s="35" t="str">
        <f aca="false">IF($A98="","",科目参数!$B98)</f>
        <v/>
      </c>
      <c r="C98" s="54" t="str">
        <f aca="false">IF($A98="","",SUMIFS(资金流水!$N$5:$N$504,资金流水!$O$5:$O$504,$B$3,资金流水!$P$5:$P$504,$A98,资金流水!$C$5:$C$504,首页!$B$5)+SUMIFS(销售录入!$X$5:$X$404,销售录入!$V$5:$V$404,$B$3,销售录入!$W$5:$W$404,$A98,销售录入!$C$5:$C$404,首页!$B$5)+SUMIFS(销售录入!$AA$5:$AA$404,销售录入!$Y$5:$Y$404,$B$3,销售录入!$Z$5:$Z$404,$A98,销售录入!$C$5:$C$404,首页!$B$5)+SUMIFS(销售录入!$AD$5:$AD$404,销售录入!$AB$5:$AB$404,$B$3,销售录入!$AC$5:$AC$404,$A98,销售录入!$C$5:$C$404,首页!$B$5)+SUMIFS(采购录入!$W$5:$W$404,采购录入!$U$5:$U$404,$B$3,采购录入!$V$5:$V$404,$A98,采购录入!$C$5:$C$404,首页!$B$5)+SUMIFS(采购录入!$Z$5:$Z$404,采购录入!$X$5:$X$404,$B$3,采购录入!$Y$5:$Y$404,$A98,采购录入!$C$5:$C$404,首页!$B$5)+SUMIFS(其他凭证!$H$5:$H$304,其他凭证!$F$5:$F$304,$B$3,其他凭证!$G$5:$G$304,$A98,其他凭证!$C$5:$C$304,首页!$B$5))</f>
        <v/>
      </c>
      <c r="D98" s="54" t="str">
        <f aca="false">IF($A98="","",SUMIFS(资金流水!$N$5:$N$504,资金流水!$P$5:$P$504,$B$3,资金流水!$O$5:$O$504,$A98,资金流水!$C$5:$C$504,首页!$B$5)+SUMIFS(销售录入!$X$5:$X$404,销售录入!$W$5:$W$404,$B$3,销售录入!$V$5:$V$404,$A98,销售录入!$C$5:$C$404,首页!$B$5)+SUMIFS(销售录入!$AA$5:$AA$404,销售录入!$Z$5:$Z$404,$B$3,销售录入!$Y$5:$Y$404,$A98,销售录入!$C$5:$C$404,首页!$B$5)+SUMIFS(销售录入!$AD$5:$AD$404,销售录入!$AC$5:$AC$404,$B$3,销售录入!$AB$5:$AB$404,$A98,销售录入!$C$5:$C$404,首页!$B$5)+SUMIFS(采购录入!$W$5:$W$404,采购录入!$V$5:$V$404,$B$3,采购录入!$U$5:$U$404,$A98,采购录入!$C$5:$C$404,首页!$B$5)+SUMIFS(采购录入!$Z$5:$Z$404,采购录入!$Y$5:$Y$404,$B$3,采购录入!$X$5:$X$404,$A98,采购录入!$C$5:$C$404,首页!$B$5)+SUMIFS(其他凭证!$H$5:$H$304,其他凭证!$G$5:$G$304,$B$3,其他凭证!$F$5:$F$304,$A98,其他凭证!$C$5:$C$304,首页!$B$5))</f>
        <v/>
      </c>
      <c r="E98" s="44" t="str">
        <f aca="false">IF($A98="","",$C98-$D98)</f>
        <v/>
      </c>
      <c r="F98" s="22" t="str">
        <f aca="false">IF(OR($A98="",AND($C98=0,$D98=0)),"",IF($C98&gt;0,"借 "&amp;$C$3&amp;" / 贷 "&amp;$B98,"")&amp;IF(AND($C98&gt;0,$D98&gt;0)," ；","")&amp;IF($D98&gt;0,"借 "&amp;$B98&amp;" / 贷 "&amp;$C$3,""))</f>
        <v/>
      </c>
    </row>
    <row r="99" customFormat="false" ht="15.75" hidden="false" customHeight="true" outlineLevel="0" collapsed="false">
      <c r="A99" s="42" t="str">
        <f aca="false">IF(科目参数!$A99="","",科目参数!$A99)</f>
        <v/>
      </c>
      <c r="B99" s="35" t="str">
        <f aca="false">IF($A99="","",科目参数!$B99)</f>
        <v/>
      </c>
      <c r="C99" s="54" t="str">
        <f aca="false">IF($A99="","",SUMIFS(资金流水!$N$5:$N$504,资金流水!$O$5:$O$504,$B$3,资金流水!$P$5:$P$504,$A99,资金流水!$C$5:$C$504,首页!$B$5)+SUMIFS(销售录入!$X$5:$X$404,销售录入!$V$5:$V$404,$B$3,销售录入!$W$5:$W$404,$A99,销售录入!$C$5:$C$404,首页!$B$5)+SUMIFS(销售录入!$AA$5:$AA$404,销售录入!$Y$5:$Y$404,$B$3,销售录入!$Z$5:$Z$404,$A99,销售录入!$C$5:$C$404,首页!$B$5)+SUMIFS(销售录入!$AD$5:$AD$404,销售录入!$AB$5:$AB$404,$B$3,销售录入!$AC$5:$AC$404,$A99,销售录入!$C$5:$C$404,首页!$B$5)+SUMIFS(采购录入!$W$5:$W$404,采购录入!$U$5:$U$404,$B$3,采购录入!$V$5:$V$404,$A99,采购录入!$C$5:$C$404,首页!$B$5)+SUMIFS(采购录入!$Z$5:$Z$404,采购录入!$X$5:$X$404,$B$3,采购录入!$Y$5:$Y$404,$A99,采购录入!$C$5:$C$404,首页!$B$5)+SUMIFS(其他凭证!$H$5:$H$304,其他凭证!$F$5:$F$304,$B$3,其他凭证!$G$5:$G$304,$A99,其他凭证!$C$5:$C$304,首页!$B$5))</f>
        <v/>
      </c>
      <c r="D99" s="54" t="str">
        <f aca="false">IF($A99="","",SUMIFS(资金流水!$N$5:$N$504,资金流水!$P$5:$P$504,$B$3,资金流水!$O$5:$O$504,$A99,资金流水!$C$5:$C$504,首页!$B$5)+SUMIFS(销售录入!$X$5:$X$404,销售录入!$W$5:$W$404,$B$3,销售录入!$V$5:$V$404,$A99,销售录入!$C$5:$C$404,首页!$B$5)+SUMIFS(销售录入!$AA$5:$AA$404,销售录入!$Z$5:$Z$404,$B$3,销售录入!$Y$5:$Y$404,$A99,销售录入!$C$5:$C$404,首页!$B$5)+SUMIFS(销售录入!$AD$5:$AD$404,销售录入!$AC$5:$AC$404,$B$3,销售录入!$AB$5:$AB$404,$A99,销售录入!$C$5:$C$404,首页!$B$5)+SUMIFS(采购录入!$W$5:$W$404,采购录入!$V$5:$V$404,$B$3,采购录入!$U$5:$U$404,$A99,采购录入!$C$5:$C$404,首页!$B$5)+SUMIFS(采购录入!$Z$5:$Z$404,采购录入!$Y$5:$Y$404,$B$3,采购录入!$X$5:$X$404,$A99,采购录入!$C$5:$C$404,首页!$B$5)+SUMIFS(其他凭证!$H$5:$H$304,其他凭证!$G$5:$G$304,$B$3,其他凭证!$F$5:$F$304,$A99,其他凭证!$C$5:$C$304,首页!$B$5))</f>
        <v/>
      </c>
      <c r="E99" s="44" t="str">
        <f aca="false">IF($A99="","",$C99-$D99)</f>
        <v/>
      </c>
      <c r="F99" s="22" t="str">
        <f aca="false">IF(OR($A99="",AND($C99=0,$D99=0)),"",IF($C99&gt;0,"借 "&amp;$C$3&amp;" / 贷 "&amp;$B99,"")&amp;IF(AND($C99&gt;0,$D99&gt;0)," ；","")&amp;IF($D99&gt;0,"借 "&amp;$B99&amp;" / 贷 "&amp;$C$3,""))</f>
        <v/>
      </c>
    </row>
    <row r="100" customFormat="false" ht="15.75" hidden="false" customHeight="true" outlineLevel="0" collapsed="false">
      <c r="A100" s="42" t="str">
        <f aca="false">IF(科目参数!$A100="","",科目参数!$A100)</f>
        <v/>
      </c>
      <c r="B100" s="35" t="str">
        <f aca="false">IF($A100="","",科目参数!$B100)</f>
        <v/>
      </c>
      <c r="C100" s="54" t="str">
        <f aca="false">IF($A100="","",SUMIFS(资金流水!$N$5:$N$504,资金流水!$O$5:$O$504,$B$3,资金流水!$P$5:$P$504,$A100,资金流水!$C$5:$C$504,首页!$B$5)+SUMIFS(销售录入!$X$5:$X$404,销售录入!$V$5:$V$404,$B$3,销售录入!$W$5:$W$404,$A100,销售录入!$C$5:$C$404,首页!$B$5)+SUMIFS(销售录入!$AA$5:$AA$404,销售录入!$Y$5:$Y$404,$B$3,销售录入!$Z$5:$Z$404,$A100,销售录入!$C$5:$C$404,首页!$B$5)+SUMIFS(销售录入!$AD$5:$AD$404,销售录入!$AB$5:$AB$404,$B$3,销售录入!$AC$5:$AC$404,$A100,销售录入!$C$5:$C$404,首页!$B$5)+SUMIFS(采购录入!$W$5:$W$404,采购录入!$U$5:$U$404,$B$3,采购录入!$V$5:$V$404,$A100,采购录入!$C$5:$C$404,首页!$B$5)+SUMIFS(采购录入!$Z$5:$Z$404,采购录入!$X$5:$X$404,$B$3,采购录入!$Y$5:$Y$404,$A100,采购录入!$C$5:$C$404,首页!$B$5)+SUMIFS(其他凭证!$H$5:$H$304,其他凭证!$F$5:$F$304,$B$3,其他凭证!$G$5:$G$304,$A100,其他凭证!$C$5:$C$304,首页!$B$5))</f>
        <v/>
      </c>
      <c r="D100" s="54" t="str">
        <f aca="false">IF($A100="","",SUMIFS(资金流水!$N$5:$N$504,资金流水!$P$5:$P$504,$B$3,资金流水!$O$5:$O$504,$A100,资金流水!$C$5:$C$504,首页!$B$5)+SUMIFS(销售录入!$X$5:$X$404,销售录入!$W$5:$W$404,$B$3,销售录入!$V$5:$V$404,$A100,销售录入!$C$5:$C$404,首页!$B$5)+SUMIFS(销售录入!$AA$5:$AA$404,销售录入!$Z$5:$Z$404,$B$3,销售录入!$Y$5:$Y$404,$A100,销售录入!$C$5:$C$404,首页!$B$5)+SUMIFS(销售录入!$AD$5:$AD$404,销售录入!$AC$5:$AC$404,$B$3,销售录入!$AB$5:$AB$404,$A100,销售录入!$C$5:$C$404,首页!$B$5)+SUMIFS(采购录入!$W$5:$W$404,采购录入!$V$5:$V$404,$B$3,采购录入!$U$5:$U$404,$A100,采购录入!$C$5:$C$404,首页!$B$5)+SUMIFS(采购录入!$Z$5:$Z$404,采购录入!$Y$5:$Y$404,$B$3,采购录入!$X$5:$X$404,$A100,采购录入!$C$5:$C$404,首页!$B$5)+SUMIFS(其他凭证!$H$5:$H$304,其他凭证!$G$5:$G$304,$B$3,其他凭证!$F$5:$F$304,$A100,其他凭证!$C$5:$C$304,首页!$B$5))</f>
        <v/>
      </c>
      <c r="E100" s="44" t="str">
        <f aca="false">IF($A100="","",$C100-$D100)</f>
        <v/>
      </c>
      <c r="F100" s="22" t="str">
        <f aca="false">IF(OR($A100="",AND($C100=0,$D100=0)),"",IF($C100&gt;0,"借 "&amp;$C$3&amp;" / 贷 "&amp;$B100,"")&amp;IF(AND($C100&gt;0,$D100&gt;0)," ；","")&amp;IF($D100&gt;0,"借 "&amp;$B100&amp;" / 贷 "&amp;$C$3,""))</f>
        <v/>
      </c>
    </row>
    <row r="101" customFormat="false" ht="15.75" hidden="false" customHeight="true" outlineLevel="0" collapsed="false">
      <c r="A101" s="42" t="str">
        <f aca="false">IF(科目参数!$A101="","",科目参数!$A101)</f>
        <v/>
      </c>
      <c r="B101" s="35" t="str">
        <f aca="false">IF($A101="","",科目参数!$B101)</f>
        <v/>
      </c>
      <c r="C101" s="54" t="str">
        <f aca="false">IF($A101="","",SUMIFS(资金流水!$N$5:$N$504,资金流水!$O$5:$O$504,$B$3,资金流水!$P$5:$P$504,$A101,资金流水!$C$5:$C$504,首页!$B$5)+SUMIFS(销售录入!$X$5:$X$404,销售录入!$V$5:$V$404,$B$3,销售录入!$W$5:$W$404,$A101,销售录入!$C$5:$C$404,首页!$B$5)+SUMIFS(销售录入!$AA$5:$AA$404,销售录入!$Y$5:$Y$404,$B$3,销售录入!$Z$5:$Z$404,$A101,销售录入!$C$5:$C$404,首页!$B$5)+SUMIFS(销售录入!$AD$5:$AD$404,销售录入!$AB$5:$AB$404,$B$3,销售录入!$AC$5:$AC$404,$A101,销售录入!$C$5:$C$404,首页!$B$5)+SUMIFS(采购录入!$W$5:$W$404,采购录入!$U$5:$U$404,$B$3,采购录入!$V$5:$V$404,$A101,采购录入!$C$5:$C$404,首页!$B$5)+SUMIFS(采购录入!$Z$5:$Z$404,采购录入!$X$5:$X$404,$B$3,采购录入!$Y$5:$Y$404,$A101,采购录入!$C$5:$C$404,首页!$B$5)+SUMIFS(其他凭证!$H$5:$H$304,其他凭证!$F$5:$F$304,$B$3,其他凭证!$G$5:$G$304,$A101,其他凭证!$C$5:$C$304,首页!$B$5))</f>
        <v/>
      </c>
      <c r="D101" s="54" t="str">
        <f aca="false">IF($A101="","",SUMIFS(资金流水!$N$5:$N$504,资金流水!$P$5:$P$504,$B$3,资金流水!$O$5:$O$504,$A101,资金流水!$C$5:$C$504,首页!$B$5)+SUMIFS(销售录入!$X$5:$X$404,销售录入!$W$5:$W$404,$B$3,销售录入!$V$5:$V$404,$A101,销售录入!$C$5:$C$404,首页!$B$5)+SUMIFS(销售录入!$AA$5:$AA$404,销售录入!$Z$5:$Z$404,$B$3,销售录入!$Y$5:$Y$404,$A101,销售录入!$C$5:$C$404,首页!$B$5)+SUMIFS(销售录入!$AD$5:$AD$404,销售录入!$AC$5:$AC$404,$B$3,销售录入!$AB$5:$AB$404,$A101,销售录入!$C$5:$C$404,首页!$B$5)+SUMIFS(采购录入!$W$5:$W$404,采购录入!$V$5:$V$404,$B$3,采购录入!$U$5:$U$404,$A101,采购录入!$C$5:$C$404,首页!$B$5)+SUMIFS(采购录入!$Z$5:$Z$404,采购录入!$Y$5:$Y$404,$B$3,采购录入!$X$5:$X$404,$A101,采购录入!$C$5:$C$404,首页!$B$5)+SUMIFS(其他凭证!$H$5:$H$304,其他凭证!$G$5:$G$304,$B$3,其他凭证!$F$5:$F$304,$A101,其他凭证!$C$5:$C$304,首页!$B$5))</f>
        <v/>
      </c>
      <c r="E101" s="44" t="str">
        <f aca="false">IF($A101="","",$C101-$D101)</f>
        <v/>
      </c>
      <c r="F101" s="22" t="str">
        <f aca="false">IF(OR($A101="",AND($C101=0,$D101=0)),"",IF($C101&gt;0,"借 "&amp;$C$3&amp;" / 贷 "&amp;$B101,"")&amp;IF(AND($C101&gt;0,$D101&gt;0)," ；","")&amp;IF($D101&gt;0,"借 "&amp;$B101&amp;" / 贷 "&amp;$C$3,""))</f>
        <v/>
      </c>
    </row>
    <row r="102" customFormat="false" ht="15.75" hidden="false" customHeight="true" outlineLevel="0" collapsed="false">
      <c r="A102" s="42" t="str">
        <f aca="false">IF(科目参数!$A102="","",科目参数!$A102)</f>
        <v/>
      </c>
      <c r="B102" s="35" t="str">
        <f aca="false">IF($A102="","",科目参数!$B102)</f>
        <v/>
      </c>
      <c r="C102" s="54" t="str">
        <f aca="false">IF($A102="","",SUMIFS(资金流水!$N$5:$N$504,资金流水!$O$5:$O$504,$B$3,资金流水!$P$5:$P$504,$A102,资金流水!$C$5:$C$504,首页!$B$5)+SUMIFS(销售录入!$X$5:$X$404,销售录入!$V$5:$V$404,$B$3,销售录入!$W$5:$W$404,$A102,销售录入!$C$5:$C$404,首页!$B$5)+SUMIFS(销售录入!$AA$5:$AA$404,销售录入!$Y$5:$Y$404,$B$3,销售录入!$Z$5:$Z$404,$A102,销售录入!$C$5:$C$404,首页!$B$5)+SUMIFS(销售录入!$AD$5:$AD$404,销售录入!$AB$5:$AB$404,$B$3,销售录入!$AC$5:$AC$404,$A102,销售录入!$C$5:$C$404,首页!$B$5)+SUMIFS(采购录入!$W$5:$W$404,采购录入!$U$5:$U$404,$B$3,采购录入!$V$5:$V$404,$A102,采购录入!$C$5:$C$404,首页!$B$5)+SUMIFS(采购录入!$Z$5:$Z$404,采购录入!$X$5:$X$404,$B$3,采购录入!$Y$5:$Y$404,$A102,采购录入!$C$5:$C$404,首页!$B$5)+SUMIFS(其他凭证!$H$5:$H$304,其他凭证!$F$5:$F$304,$B$3,其他凭证!$G$5:$G$304,$A102,其他凭证!$C$5:$C$304,首页!$B$5))</f>
        <v/>
      </c>
      <c r="D102" s="54" t="str">
        <f aca="false">IF($A102="","",SUMIFS(资金流水!$N$5:$N$504,资金流水!$P$5:$P$504,$B$3,资金流水!$O$5:$O$504,$A102,资金流水!$C$5:$C$504,首页!$B$5)+SUMIFS(销售录入!$X$5:$X$404,销售录入!$W$5:$W$404,$B$3,销售录入!$V$5:$V$404,$A102,销售录入!$C$5:$C$404,首页!$B$5)+SUMIFS(销售录入!$AA$5:$AA$404,销售录入!$Z$5:$Z$404,$B$3,销售录入!$Y$5:$Y$404,$A102,销售录入!$C$5:$C$404,首页!$B$5)+SUMIFS(销售录入!$AD$5:$AD$404,销售录入!$AC$5:$AC$404,$B$3,销售录入!$AB$5:$AB$404,$A102,销售录入!$C$5:$C$404,首页!$B$5)+SUMIFS(采购录入!$W$5:$W$404,采购录入!$V$5:$V$404,$B$3,采购录入!$U$5:$U$404,$A102,采购录入!$C$5:$C$404,首页!$B$5)+SUMIFS(采购录入!$Z$5:$Z$404,采购录入!$Y$5:$Y$404,$B$3,采购录入!$X$5:$X$404,$A102,采购录入!$C$5:$C$404,首页!$B$5)+SUMIFS(其他凭证!$H$5:$H$304,其他凭证!$G$5:$G$304,$B$3,其他凭证!$F$5:$F$304,$A102,其他凭证!$C$5:$C$304,首页!$B$5))</f>
        <v/>
      </c>
      <c r="E102" s="44" t="str">
        <f aca="false">IF($A102="","",$C102-$D102)</f>
        <v/>
      </c>
      <c r="F102" s="22" t="str">
        <f aca="false">IF(OR($A102="",AND($C102=0,$D102=0)),"",IF($C102&gt;0,"借 "&amp;$C$3&amp;" / 贷 "&amp;$B102,"")&amp;IF(AND($C102&gt;0,$D102&gt;0)," ；","")&amp;IF($D102&gt;0,"借 "&amp;$B102&amp;" / 贷 "&amp;$C$3,""))</f>
        <v/>
      </c>
    </row>
    <row r="103" customFormat="false" ht="15.75" hidden="false" customHeight="true" outlineLevel="0" collapsed="false">
      <c r="A103" s="42" t="str">
        <f aca="false">IF(科目参数!$A103="","",科目参数!$A103)</f>
        <v/>
      </c>
      <c r="B103" s="35" t="str">
        <f aca="false">IF($A103="","",科目参数!$B103)</f>
        <v/>
      </c>
      <c r="C103" s="54" t="str">
        <f aca="false">IF($A103="","",SUMIFS(资金流水!$N$5:$N$504,资金流水!$O$5:$O$504,$B$3,资金流水!$P$5:$P$504,$A103,资金流水!$C$5:$C$504,首页!$B$5)+SUMIFS(销售录入!$X$5:$X$404,销售录入!$V$5:$V$404,$B$3,销售录入!$W$5:$W$404,$A103,销售录入!$C$5:$C$404,首页!$B$5)+SUMIFS(销售录入!$AA$5:$AA$404,销售录入!$Y$5:$Y$404,$B$3,销售录入!$Z$5:$Z$404,$A103,销售录入!$C$5:$C$404,首页!$B$5)+SUMIFS(销售录入!$AD$5:$AD$404,销售录入!$AB$5:$AB$404,$B$3,销售录入!$AC$5:$AC$404,$A103,销售录入!$C$5:$C$404,首页!$B$5)+SUMIFS(采购录入!$W$5:$W$404,采购录入!$U$5:$U$404,$B$3,采购录入!$V$5:$V$404,$A103,采购录入!$C$5:$C$404,首页!$B$5)+SUMIFS(采购录入!$Z$5:$Z$404,采购录入!$X$5:$X$404,$B$3,采购录入!$Y$5:$Y$404,$A103,采购录入!$C$5:$C$404,首页!$B$5)+SUMIFS(其他凭证!$H$5:$H$304,其他凭证!$F$5:$F$304,$B$3,其他凭证!$G$5:$G$304,$A103,其他凭证!$C$5:$C$304,首页!$B$5))</f>
        <v/>
      </c>
      <c r="D103" s="54" t="str">
        <f aca="false">IF($A103="","",SUMIFS(资金流水!$N$5:$N$504,资金流水!$P$5:$P$504,$B$3,资金流水!$O$5:$O$504,$A103,资金流水!$C$5:$C$504,首页!$B$5)+SUMIFS(销售录入!$X$5:$X$404,销售录入!$W$5:$W$404,$B$3,销售录入!$V$5:$V$404,$A103,销售录入!$C$5:$C$404,首页!$B$5)+SUMIFS(销售录入!$AA$5:$AA$404,销售录入!$Z$5:$Z$404,$B$3,销售录入!$Y$5:$Y$404,$A103,销售录入!$C$5:$C$404,首页!$B$5)+SUMIFS(销售录入!$AD$5:$AD$404,销售录入!$AC$5:$AC$404,$B$3,销售录入!$AB$5:$AB$404,$A103,销售录入!$C$5:$C$404,首页!$B$5)+SUMIFS(采购录入!$W$5:$W$404,采购录入!$V$5:$V$404,$B$3,采购录入!$U$5:$U$404,$A103,采购录入!$C$5:$C$404,首页!$B$5)+SUMIFS(采购录入!$Z$5:$Z$404,采购录入!$Y$5:$Y$404,$B$3,采购录入!$X$5:$X$404,$A103,采购录入!$C$5:$C$404,首页!$B$5)+SUMIFS(其他凭证!$H$5:$H$304,其他凭证!$G$5:$G$304,$B$3,其他凭证!$F$5:$F$304,$A103,其他凭证!$C$5:$C$304,首页!$B$5))</f>
        <v/>
      </c>
      <c r="E103" s="44" t="str">
        <f aca="false">IF($A103="","",$C103-$D103)</f>
        <v/>
      </c>
      <c r="F103" s="22" t="str">
        <f aca="false">IF(OR($A103="",AND($C103=0,$D103=0)),"",IF($C103&gt;0,"借 "&amp;$C$3&amp;" / 贷 "&amp;$B103,"")&amp;IF(AND($C103&gt;0,$D103&gt;0)," ；","")&amp;IF($D103&gt;0,"借 "&amp;$B103&amp;" / 贷 "&amp;$C$3,""))</f>
        <v/>
      </c>
    </row>
    <row r="104" customFormat="false" ht="15.75" hidden="false" customHeight="true" outlineLevel="0" collapsed="false">
      <c r="A104" s="42" t="str">
        <f aca="false">IF(科目参数!$A104="","",科目参数!$A104)</f>
        <v/>
      </c>
      <c r="B104" s="35" t="str">
        <f aca="false">IF($A104="","",科目参数!$B104)</f>
        <v/>
      </c>
      <c r="C104" s="54" t="str">
        <f aca="false">IF($A104="","",SUMIFS(资金流水!$N$5:$N$504,资金流水!$O$5:$O$504,$B$3,资金流水!$P$5:$P$504,$A104,资金流水!$C$5:$C$504,首页!$B$5)+SUMIFS(销售录入!$X$5:$X$404,销售录入!$V$5:$V$404,$B$3,销售录入!$W$5:$W$404,$A104,销售录入!$C$5:$C$404,首页!$B$5)+SUMIFS(销售录入!$AA$5:$AA$404,销售录入!$Y$5:$Y$404,$B$3,销售录入!$Z$5:$Z$404,$A104,销售录入!$C$5:$C$404,首页!$B$5)+SUMIFS(销售录入!$AD$5:$AD$404,销售录入!$AB$5:$AB$404,$B$3,销售录入!$AC$5:$AC$404,$A104,销售录入!$C$5:$C$404,首页!$B$5)+SUMIFS(采购录入!$W$5:$W$404,采购录入!$U$5:$U$404,$B$3,采购录入!$V$5:$V$404,$A104,采购录入!$C$5:$C$404,首页!$B$5)+SUMIFS(采购录入!$Z$5:$Z$404,采购录入!$X$5:$X$404,$B$3,采购录入!$Y$5:$Y$404,$A104,采购录入!$C$5:$C$404,首页!$B$5)+SUMIFS(其他凭证!$H$5:$H$304,其他凭证!$F$5:$F$304,$B$3,其他凭证!$G$5:$G$304,$A104,其他凭证!$C$5:$C$304,首页!$B$5))</f>
        <v/>
      </c>
      <c r="D104" s="54" t="str">
        <f aca="false">IF($A104="","",SUMIFS(资金流水!$N$5:$N$504,资金流水!$P$5:$P$504,$B$3,资金流水!$O$5:$O$504,$A104,资金流水!$C$5:$C$504,首页!$B$5)+SUMIFS(销售录入!$X$5:$X$404,销售录入!$W$5:$W$404,$B$3,销售录入!$V$5:$V$404,$A104,销售录入!$C$5:$C$404,首页!$B$5)+SUMIFS(销售录入!$AA$5:$AA$404,销售录入!$Z$5:$Z$404,$B$3,销售录入!$Y$5:$Y$404,$A104,销售录入!$C$5:$C$404,首页!$B$5)+SUMIFS(销售录入!$AD$5:$AD$404,销售录入!$AC$5:$AC$404,$B$3,销售录入!$AB$5:$AB$404,$A104,销售录入!$C$5:$C$404,首页!$B$5)+SUMIFS(采购录入!$W$5:$W$404,采购录入!$V$5:$V$404,$B$3,采购录入!$U$5:$U$404,$A104,采购录入!$C$5:$C$404,首页!$B$5)+SUMIFS(采购录入!$Z$5:$Z$404,采购录入!$Y$5:$Y$404,$B$3,采购录入!$X$5:$X$404,$A104,采购录入!$C$5:$C$404,首页!$B$5)+SUMIFS(其他凭证!$H$5:$H$304,其他凭证!$G$5:$G$304,$B$3,其他凭证!$F$5:$F$304,$A104,其他凭证!$C$5:$C$304,首页!$B$5))</f>
        <v/>
      </c>
      <c r="E104" s="44" t="str">
        <f aca="false">IF($A104="","",$C104-$D104)</f>
        <v/>
      </c>
      <c r="F104" s="22" t="str">
        <f aca="false">IF(OR($A104="",AND($C104=0,$D104=0)),"",IF($C104&gt;0,"借 "&amp;$C$3&amp;" / 贷 "&amp;$B104,"")&amp;IF(AND($C104&gt;0,$D104&gt;0)," ；","")&amp;IF($D104&gt;0,"借 "&amp;$B104&amp;" / 贷 "&amp;$C$3,""))</f>
        <v/>
      </c>
    </row>
    <row r="105" customFormat="false" ht="15.75" hidden="false" customHeight="true" outlineLevel="0" collapsed="false">
      <c r="A105" s="42" t="str">
        <f aca="false">IF(科目参数!$A105="","",科目参数!$A105)</f>
        <v/>
      </c>
      <c r="B105" s="35" t="str">
        <f aca="false">IF($A105="","",科目参数!$B105)</f>
        <v/>
      </c>
      <c r="C105" s="54" t="str">
        <f aca="false">IF($A105="","",SUMIFS(资金流水!$N$5:$N$504,资金流水!$O$5:$O$504,$B$3,资金流水!$P$5:$P$504,$A105,资金流水!$C$5:$C$504,首页!$B$5)+SUMIFS(销售录入!$X$5:$X$404,销售录入!$V$5:$V$404,$B$3,销售录入!$W$5:$W$404,$A105,销售录入!$C$5:$C$404,首页!$B$5)+SUMIFS(销售录入!$AA$5:$AA$404,销售录入!$Y$5:$Y$404,$B$3,销售录入!$Z$5:$Z$404,$A105,销售录入!$C$5:$C$404,首页!$B$5)+SUMIFS(销售录入!$AD$5:$AD$404,销售录入!$AB$5:$AB$404,$B$3,销售录入!$AC$5:$AC$404,$A105,销售录入!$C$5:$C$404,首页!$B$5)+SUMIFS(采购录入!$W$5:$W$404,采购录入!$U$5:$U$404,$B$3,采购录入!$V$5:$V$404,$A105,采购录入!$C$5:$C$404,首页!$B$5)+SUMIFS(采购录入!$Z$5:$Z$404,采购录入!$X$5:$X$404,$B$3,采购录入!$Y$5:$Y$404,$A105,采购录入!$C$5:$C$404,首页!$B$5)+SUMIFS(其他凭证!$H$5:$H$304,其他凭证!$F$5:$F$304,$B$3,其他凭证!$G$5:$G$304,$A105,其他凭证!$C$5:$C$304,首页!$B$5))</f>
        <v/>
      </c>
      <c r="D105" s="54" t="str">
        <f aca="false">IF($A105="","",SUMIFS(资金流水!$N$5:$N$504,资金流水!$P$5:$P$504,$B$3,资金流水!$O$5:$O$504,$A105,资金流水!$C$5:$C$504,首页!$B$5)+SUMIFS(销售录入!$X$5:$X$404,销售录入!$W$5:$W$404,$B$3,销售录入!$V$5:$V$404,$A105,销售录入!$C$5:$C$404,首页!$B$5)+SUMIFS(销售录入!$AA$5:$AA$404,销售录入!$Z$5:$Z$404,$B$3,销售录入!$Y$5:$Y$404,$A105,销售录入!$C$5:$C$404,首页!$B$5)+SUMIFS(销售录入!$AD$5:$AD$404,销售录入!$AC$5:$AC$404,$B$3,销售录入!$AB$5:$AB$404,$A105,销售录入!$C$5:$C$404,首页!$B$5)+SUMIFS(采购录入!$W$5:$W$404,采购录入!$V$5:$V$404,$B$3,采购录入!$U$5:$U$404,$A105,采购录入!$C$5:$C$404,首页!$B$5)+SUMIFS(采购录入!$Z$5:$Z$404,采购录入!$Y$5:$Y$404,$B$3,采购录入!$X$5:$X$404,$A105,采购录入!$C$5:$C$404,首页!$B$5)+SUMIFS(其他凭证!$H$5:$H$304,其他凭证!$G$5:$G$304,$B$3,其他凭证!$F$5:$F$304,$A105,其他凭证!$C$5:$C$304,首页!$B$5))</f>
        <v/>
      </c>
      <c r="E105" s="44" t="str">
        <f aca="false">IF($A105="","",$C105-$D105)</f>
        <v/>
      </c>
      <c r="F105" s="22" t="str">
        <f aca="false">IF(OR($A105="",AND($C105=0,$D105=0)),"",IF($C105&gt;0,"借 "&amp;$C$3&amp;" / 贷 "&amp;$B105,"")&amp;IF(AND($C105&gt;0,$D105&gt;0)," ；","")&amp;IF($D105&gt;0,"借 "&amp;$B105&amp;" / 贷 "&amp;$C$3,""))</f>
        <v/>
      </c>
    </row>
    <row r="106" customFormat="false" ht="15.75" hidden="false" customHeight="true" outlineLevel="0" collapsed="false">
      <c r="A106" s="42" t="str">
        <f aca="false">IF(科目参数!$A106="","",科目参数!$A106)</f>
        <v/>
      </c>
      <c r="B106" s="35" t="str">
        <f aca="false">IF($A106="","",科目参数!$B106)</f>
        <v/>
      </c>
      <c r="C106" s="54" t="str">
        <f aca="false">IF($A106="","",SUMIFS(资金流水!$N$5:$N$504,资金流水!$O$5:$O$504,$B$3,资金流水!$P$5:$P$504,$A106,资金流水!$C$5:$C$504,首页!$B$5)+SUMIFS(销售录入!$X$5:$X$404,销售录入!$V$5:$V$404,$B$3,销售录入!$W$5:$W$404,$A106,销售录入!$C$5:$C$404,首页!$B$5)+SUMIFS(销售录入!$AA$5:$AA$404,销售录入!$Y$5:$Y$404,$B$3,销售录入!$Z$5:$Z$404,$A106,销售录入!$C$5:$C$404,首页!$B$5)+SUMIFS(销售录入!$AD$5:$AD$404,销售录入!$AB$5:$AB$404,$B$3,销售录入!$AC$5:$AC$404,$A106,销售录入!$C$5:$C$404,首页!$B$5)+SUMIFS(采购录入!$W$5:$W$404,采购录入!$U$5:$U$404,$B$3,采购录入!$V$5:$V$404,$A106,采购录入!$C$5:$C$404,首页!$B$5)+SUMIFS(采购录入!$Z$5:$Z$404,采购录入!$X$5:$X$404,$B$3,采购录入!$Y$5:$Y$404,$A106,采购录入!$C$5:$C$404,首页!$B$5)+SUMIFS(其他凭证!$H$5:$H$304,其他凭证!$F$5:$F$304,$B$3,其他凭证!$G$5:$G$304,$A106,其他凭证!$C$5:$C$304,首页!$B$5))</f>
        <v/>
      </c>
      <c r="D106" s="54" t="str">
        <f aca="false">IF($A106="","",SUMIFS(资金流水!$N$5:$N$504,资金流水!$P$5:$P$504,$B$3,资金流水!$O$5:$O$504,$A106,资金流水!$C$5:$C$504,首页!$B$5)+SUMIFS(销售录入!$X$5:$X$404,销售录入!$W$5:$W$404,$B$3,销售录入!$V$5:$V$404,$A106,销售录入!$C$5:$C$404,首页!$B$5)+SUMIFS(销售录入!$AA$5:$AA$404,销售录入!$Z$5:$Z$404,$B$3,销售录入!$Y$5:$Y$404,$A106,销售录入!$C$5:$C$404,首页!$B$5)+SUMIFS(销售录入!$AD$5:$AD$404,销售录入!$AC$5:$AC$404,$B$3,销售录入!$AB$5:$AB$404,$A106,销售录入!$C$5:$C$404,首页!$B$5)+SUMIFS(采购录入!$W$5:$W$404,采购录入!$V$5:$V$404,$B$3,采购录入!$U$5:$U$404,$A106,采购录入!$C$5:$C$404,首页!$B$5)+SUMIFS(采购录入!$Z$5:$Z$404,采购录入!$Y$5:$Y$404,$B$3,采购录入!$X$5:$X$404,$A106,采购录入!$C$5:$C$404,首页!$B$5)+SUMIFS(其他凭证!$H$5:$H$304,其他凭证!$G$5:$G$304,$B$3,其他凭证!$F$5:$F$304,$A106,其他凭证!$C$5:$C$304,首页!$B$5))</f>
        <v/>
      </c>
      <c r="E106" s="44" t="str">
        <f aca="false">IF($A106="","",$C106-$D106)</f>
        <v/>
      </c>
      <c r="F106" s="22" t="str">
        <f aca="false">IF(OR($A106="",AND($C106=0,$D106=0)),"",IF($C106&gt;0,"借 "&amp;$C$3&amp;" / 贷 "&amp;$B106,"")&amp;IF(AND($C106&gt;0,$D106&gt;0)," ；","")&amp;IF($D106&gt;0,"借 "&amp;$B106&amp;" / 贷 "&amp;$C$3,""))</f>
        <v/>
      </c>
    </row>
    <row r="107" customFormat="false" ht="15.75" hidden="false" customHeight="true" outlineLevel="0" collapsed="false">
      <c r="A107" s="42" t="str">
        <f aca="false">IF(科目参数!$A107="","",科目参数!$A107)</f>
        <v/>
      </c>
      <c r="B107" s="35" t="str">
        <f aca="false">IF($A107="","",科目参数!$B107)</f>
        <v/>
      </c>
      <c r="C107" s="54" t="str">
        <f aca="false">IF($A107="","",SUMIFS(资金流水!$N$5:$N$504,资金流水!$O$5:$O$504,$B$3,资金流水!$P$5:$P$504,$A107,资金流水!$C$5:$C$504,首页!$B$5)+SUMIFS(销售录入!$X$5:$X$404,销售录入!$V$5:$V$404,$B$3,销售录入!$W$5:$W$404,$A107,销售录入!$C$5:$C$404,首页!$B$5)+SUMIFS(销售录入!$AA$5:$AA$404,销售录入!$Y$5:$Y$404,$B$3,销售录入!$Z$5:$Z$404,$A107,销售录入!$C$5:$C$404,首页!$B$5)+SUMIFS(销售录入!$AD$5:$AD$404,销售录入!$AB$5:$AB$404,$B$3,销售录入!$AC$5:$AC$404,$A107,销售录入!$C$5:$C$404,首页!$B$5)+SUMIFS(采购录入!$W$5:$W$404,采购录入!$U$5:$U$404,$B$3,采购录入!$V$5:$V$404,$A107,采购录入!$C$5:$C$404,首页!$B$5)+SUMIFS(采购录入!$Z$5:$Z$404,采购录入!$X$5:$X$404,$B$3,采购录入!$Y$5:$Y$404,$A107,采购录入!$C$5:$C$404,首页!$B$5)+SUMIFS(其他凭证!$H$5:$H$304,其他凭证!$F$5:$F$304,$B$3,其他凭证!$G$5:$G$304,$A107,其他凭证!$C$5:$C$304,首页!$B$5))</f>
        <v/>
      </c>
      <c r="D107" s="54" t="str">
        <f aca="false">IF($A107="","",SUMIFS(资金流水!$N$5:$N$504,资金流水!$P$5:$P$504,$B$3,资金流水!$O$5:$O$504,$A107,资金流水!$C$5:$C$504,首页!$B$5)+SUMIFS(销售录入!$X$5:$X$404,销售录入!$W$5:$W$404,$B$3,销售录入!$V$5:$V$404,$A107,销售录入!$C$5:$C$404,首页!$B$5)+SUMIFS(销售录入!$AA$5:$AA$404,销售录入!$Z$5:$Z$404,$B$3,销售录入!$Y$5:$Y$404,$A107,销售录入!$C$5:$C$404,首页!$B$5)+SUMIFS(销售录入!$AD$5:$AD$404,销售录入!$AC$5:$AC$404,$B$3,销售录入!$AB$5:$AB$404,$A107,销售录入!$C$5:$C$404,首页!$B$5)+SUMIFS(采购录入!$W$5:$W$404,采购录入!$V$5:$V$404,$B$3,采购录入!$U$5:$U$404,$A107,采购录入!$C$5:$C$404,首页!$B$5)+SUMIFS(采购录入!$Z$5:$Z$404,采购录入!$Y$5:$Y$404,$B$3,采购录入!$X$5:$X$404,$A107,采购录入!$C$5:$C$404,首页!$B$5)+SUMIFS(其他凭证!$H$5:$H$304,其他凭证!$G$5:$G$304,$B$3,其他凭证!$F$5:$F$304,$A107,其他凭证!$C$5:$C$304,首页!$B$5))</f>
        <v/>
      </c>
      <c r="E107" s="44" t="str">
        <f aca="false">IF($A107="","",$C107-$D107)</f>
        <v/>
      </c>
      <c r="F107" s="22" t="str">
        <f aca="false">IF(OR($A107="",AND($C107=0,$D107=0)),"",IF($C107&gt;0,"借 "&amp;$C$3&amp;" / 贷 "&amp;$B107,"")&amp;IF(AND($C107&gt;0,$D107&gt;0)," ；","")&amp;IF($D107&gt;0,"借 "&amp;$B107&amp;" / 贷 "&amp;$C$3,""))</f>
        <v/>
      </c>
    </row>
    <row r="108" customFormat="false" ht="15.75" hidden="false" customHeight="true" outlineLevel="0" collapsed="false">
      <c r="A108" s="42" t="str">
        <f aca="false">IF(科目参数!$A108="","",科目参数!$A108)</f>
        <v/>
      </c>
      <c r="B108" s="35" t="str">
        <f aca="false">IF($A108="","",科目参数!$B108)</f>
        <v/>
      </c>
      <c r="C108" s="54" t="str">
        <f aca="false">IF($A108="","",SUMIFS(资金流水!$N$5:$N$504,资金流水!$O$5:$O$504,$B$3,资金流水!$P$5:$P$504,$A108,资金流水!$C$5:$C$504,首页!$B$5)+SUMIFS(销售录入!$X$5:$X$404,销售录入!$V$5:$V$404,$B$3,销售录入!$W$5:$W$404,$A108,销售录入!$C$5:$C$404,首页!$B$5)+SUMIFS(销售录入!$AA$5:$AA$404,销售录入!$Y$5:$Y$404,$B$3,销售录入!$Z$5:$Z$404,$A108,销售录入!$C$5:$C$404,首页!$B$5)+SUMIFS(销售录入!$AD$5:$AD$404,销售录入!$AB$5:$AB$404,$B$3,销售录入!$AC$5:$AC$404,$A108,销售录入!$C$5:$C$404,首页!$B$5)+SUMIFS(采购录入!$W$5:$W$404,采购录入!$U$5:$U$404,$B$3,采购录入!$V$5:$V$404,$A108,采购录入!$C$5:$C$404,首页!$B$5)+SUMIFS(采购录入!$Z$5:$Z$404,采购录入!$X$5:$X$404,$B$3,采购录入!$Y$5:$Y$404,$A108,采购录入!$C$5:$C$404,首页!$B$5)+SUMIFS(其他凭证!$H$5:$H$304,其他凭证!$F$5:$F$304,$B$3,其他凭证!$G$5:$G$304,$A108,其他凭证!$C$5:$C$304,首页!$B$5))</f>
        <v/>
      </c>
      <c r="D108" s="54" t="str">
        <f aca="false">IF($A108="","",SUMIFS(资金流水!$N$5:$N$504,资金流水!$P$5:$P$504,$B$3,资金流水!$O$5:$O$504,$A108,资金流水!$C$5:$C$504,首页!$B$5)+SUMIFS(销售录入!$X$5:$X$404,销售录入!$W$5:$W$404,$B$3,销售录入!$V$5:$V$404,$A108,销售录入!$C$5:$C$404,首页!$B$5)+SUMIFS(销售录入!$AA$5:$AA$404,销售录入!$Z$5:$Z$404,$B$3,销售录入!$Y$5:$Y$404,$A108,销售录入!$C$5:$C$404,首页!$B$5)+SUMIFS(销售录入!$AD$5:$AD$404,销售录入!$AC$5:$AC$404,$B$3,销售录入!$AB$5:$AB$404,$A108,销售录入!$C$5:$C$404,首页!$B$5)+SUMIFS(采购录入!$W$5:$W$404,采购录入!$V$5:$V$404,$B$3,采购录入!$U$5:$U$404,$A108,采购录入!$C$5:$C$404,首页!$B$5)+SUMIFS(采购录入!$Z$5:$Z$404,采购录入!$Y$5:$Y$404,$B$3,采购录入!$X$5:$X$404,$A108,采购录入!$C$5:$C$404,首页!$B$5)+SUMIFS(其他凭证!$H$5:$H$304,其他凭证!$G$5:$G$304,$B$3,其他凭证!$F$5:$F$304,$A108,其他凭证!$C$5:$C$304,首页!$B$5))</f>
        <v/>
      </c>
      <c r="E108" s="44" t="str">
        <f aca="false">IF($A108="","",$C108-$D108)</f>
        <v/>
      </c>
      <c r="F108" s="22" t="str">
        <f aca="false">IF(OR($A108="",AND($C108=0,$D108=0)),"",IF($C108&gt;0,"借 "&amp;$C$3&amp;" / 贷 "&amp;$B108,"")&amp;IF(AND($C108&gt;0,$D108&gt;0)," ；","")&amp;IF($D108&gt;0,"借 "&amp;$B108&amp;" / 贷 "&amp;$C$3,""))</f>
        <v/>
      </c>
    </row>
    <row r="109" customFormat="false" ht="15.75" hidden="false" customHeight="true" outlineLevel="0" collapsed="false">
      <c r="A109" s="42" t="str">
        <f aca="false">IF(科目参数!$A109="","",科目参数!$A109)</f>
        <v/>
      </c>
      <c r="B109" s="35" t="str">
        <f aca="false">IF($A109="","",科目参数!$B109)</f>
        <v/>
      </c>
      <c r="C109" s="54" t="str">
        <f aca="false">IF($A109="","",SUMIFS(资金流水!$N$5:$N$504,资金流水!$O$5:$O$504,$B$3,资金流水!$P$5:$P$504,$A109,资金流水!$C$5:$C$504,首页!$B$5)+SUMIFS(销售录入!$X$5:$X$404,销售录入!$V$5:$V$404,$B$3,销售录入!$W$5:$W$404,$A109,销售录入!$C$5:$C$404,首页!$B$5)+SUMIFS(销售录入!$AA$5:$AA$404,销售录入!$Y$5:$Y$404,$B$3,销售录入!$Z$5:$Z$404,$A109,销售录入!$C$5:$C$404,首页!$B$5)+SUMIFS(销售录入!$AD$5:$AD$404,销售录入!$AB$5:$AB$404,$B$3,销售录入!$AC$5:$AC$404,$A109,销售录入!$C$5:$C$404,首页!$B$5)+SUMIFS(采购录入!$W$5:$W$404,采购录入!$U$5:$U$404,$B$3,采购录入!$V$5:$V$404,$A109,采购录入!$C$5:$C$404,首页!$B$5)+SUMIFS(采购录入!$Z$5:$Z$404,采购录入!$X$5:$X$404,$B$3,采购录入!$Y$5:$Y$404,$A109,采购录入!$C$5:$C$404,首页!$B$5)+SUMIFS(其他凭证!$H$5:$H$304,其他凭证!$F$5:$F$304,$B$3,其他凭证!$G$5:$G$304,$A109,其他凭证!$C$5:$C$304,首页!$B$5))</f>
        <v/>
      </c>
      <c r="D109" s="54" t="str">
        <f aca="false">IF($A109="","",SUMIFS(资金流水!$N$5:$N$504,资金流水!$P$5:$P$504,$B$3,资金流水!$O$5:$O$504,$A109,资金流水!$C$5:$C$504,首页!$B$5)+SUMIFS(销售录入!$X$5:$X$404,销售录入!$W$5:$W$404,$B$3,销售录入!$V$5:$V$404,$A109,销售录入!$C$5:$C$404,首页!$B$5)+SUMIFS(销售录入!$AA$5:$AA$404,销售录入!$Z$5:$Z$404,$B$3,销售录入!$Y$5:$Y$404,$A109,销售录入!$C$5:$C$404,首页!$B$5)+SUMIFS(销售录入!$AD$5:$AD$404,销售录入!$AC$5:$AC$404,$B$3,销售录入!$AB$5:$AB$404,$A109,销售录入!$C$5:$C$404,首页!$B$5)+SUMIFS(采购录入!$W$5:$W$404,采购录入!$V$5:$V$404,$B$3,采购录入!$U$5:$U$404,$A109,采购录入!$C$5:$C$404,首页!$B$5)+SUMIFS(采购录入!$Z$5:$Z$404,采购录入!$Y$5:$Y$404,$B$3,采购录入!$X$5:$X$404,$A109,采购录入!$C$5:$C$404,首页!$B$5)+SUMIFS(其他凭证!$H$5:$H$304,其他凭证!$G$5:$G$304,$B$3,其他凭证!$F$5:$F$304,$A109,其他凭证!$C$5:$C$304,首页!$B$5))</f>
        <v/>
      </c>
      <c r="E109" s="44" t="str">
        <f aca="false">IF($A109="","",$C109-$D109)</f>
        <v/>
      </c>
      <c r="F109" s="22" t="str">
        <f aca="false">IF(OR($A109="",AND($C109=0,$D109=0)),"",IF($C109&gt;0,"借 "&amp;$C$3&amp;" / 贷 "&amp;$B109,"")&amp;IF(AND($C109&gt;0,$D109&gt;0)," ；","")&amp;IF($D109&gt;0,"借 "&amp;$B109&amp;" / 贷 "&amp;$C$3,""))</f>
        <v/>
      </c>
    </row>
    <row r="110" customFormat="false" ht="15.75" hidden="false" customHeight="true" outlineLevel="0" collapsed="false">
      <c r="A110" s="42" t="str">
        <f aca="false">IF(科目参数!$A110="","",科目参数!$A110)</f>
        <v/>
      </c>
      <c r="B110" s="35" t="str">
        <f aca="false">IF($A110="","",科目参数!$B110)</f>
        <v/>
      </c>
      <c r="C110" s="54" t="str">
        <f aca="false">IF($A110="","",SUMIFS(资金流水!$N$5:$N$504,资金流水!$O$5:$O$504,$B$3,资金流水!$P$5:$P$504,$A110,资金流水!$C$5:$C$504,首页!$B$5)+SUMIFS(销售录入!$X$5:$X$404,销售录入!$V$5:$V$404,$B$3,销售录入!$W$5:$W$404,$A110,销售录入!$C$5:$C$404,首页!$B$5)+SUMIFS(销售录入!$AA$5:$AA$404,销售录入!$Y$5:$Y$404,$B$3,销售录入!$Z$5:$Z$404,$A110,销售录入!$C$5:$C$404,首页!$B$5)+SUMIFS(销售录入!$AD$5:$AD$404,销售录入!$AB$5:$AB$404,$B$3,销售录入!$AC$5:$AC$404,$A110,销售录入!$C$5:$C$404,首页!$B$5)+SUMIFS(采购录入!$W$5:$W$404,采购录入!$U$5:$U$404,$B$3,采购录入!$V$5:$V$404,$A110,采购录入!$C$5:$C$404,首页!$B$5)+SUMIFS(采购录入!$Z$5:$Z$404,采购录入!$X$5:$X$404,$B$3,采购录入!$Y$5:$Y$404,$A110,采购录入!$C$5:$C$404,首页!$B$5)+SUMIFS(其他凭证!$H$5:$H$304,其他凭证!$F$5:$F$304,$B$3,其他凭证!$G$5:$G$304,$A110,其他凭证!$C$5:$C$304,首页!$B$5))</f>
        <v/>
      </c>
      <c r="D110" s="54" t="str">
        <f aca="false">IF($A110="","",SUMIFS(资金流水!$N$5:$N$504,资金流水!$P$5:$P$504,$B$3,资金流水!$O$5:$O$504,$A110,资金流水!$C$5:$C$504,首页!$B$5)+SUMIFS(销售录入!$X$5:$X$404,销售录入!$W$5:$W$404,$B$3,销售录入!$V$5:$V$404,$A110,销售录入!$C$5:$C$404,首页!$B$5)+SUMIFS(销售录入!$AA$5:$AA$404,销售录入!$Z$5:$Z$404,$B$3,销售录入!$Y$5:$Y$404,$A110,销售录入!$C$5:$C$404,首页!$B$5)+SUMIFS(销售录入!$AD$5:$AD$404,销售录入!$AC$5:$AC$404,$B$3,销售录入!$AB$5:$AB$404,$A110,销售录入!$C$5:$C$404,首页!$B$5)+SUMIFS(采购录入!$W$5:$W$404,采购录入!$V$5:$V$404,$B$3,采购录入!$U$5:$U$404,$A110,采购录入!$C$5:$C$404,首页!$B$5)+SUMIFS(采购录入!$Z$5:$Z$404,采购录入!$Y$5:$Y$404,$B$3,采购录入!$X$5:$X$404,$A110,采购录入!$C$5:$C$404,首页!$B$5)+SUMIFS(其他凭证!$H$5:$H$304,其他凭证!$G$5:$G$304,$B$3,其他凭证!$F$5:$F$304,$A110,其他凭证!$C$5:$C$304,首页!$B$5))</f>
        <v/>
      </c>
      <c r="E110" s="44" t="str">
        <f aca="false">IF($A110="","",$C110-$D110)</f>
        <v/>
      </c>
      <c r="F110" s="22" t="str">
        <f aca="false">IF(OR($A110="",AND($C110=0,$D110=0)),"",IF($C110&gt;0,"借 "&amp;$C$3&amp;" / 贷 "&amp;$B110,"")&amp;IF(AND($C110&gt;0,$D110&gt;0)," ；","")&amp;IF($D110&gt;0,"借 "&amp;$B110&amp;" / 贷 "&amp;$C$3,""))</f>
        <v/>
      </c>
    </row>
    <row r="111" customFormat="false" ht="15.75" hidden="false" customHeight="true" outlineLevel="0" collapsed="false">
      <c r="A111" s="42" t="str">
        <f aca="false">IF(科目参数!$A111="","",科目参数!$A111)</f>
        <v/>
      </c>
      <c r="B111" s="35" t="str">
        <f aca="false">IF($A111="","",科目参数!$B111)</f>
        <v/>
      </c>
      <c r="C111" s="54" t="str">
        <f aca="false">IF($A111="","",SUMIFS(资金流水!$N$5:$N$504,资金流水!$O$5:$O$504,$B$3,资金流水!$P$5:$P$504,$A111,资金流水!$C$5:$C$504,首页!$B$5)+SUMIFS(销售录入!$X$5:$X$404,销售录入!$V$5:$V$404,$B$3,销售录入!$W$5:$W$404,$A111,销售录入!$C$5:$C$404,首页!$B$5)+SUMIFS(销售录入!$AA$5:$AA$404,销售录入!$Y$5:$Y$404,$B$3,销售录入!$Z$5:$Z$404,$A111,销售录入!$C$5:$C$404,首页!$B$5)+SUMIFS(销售录入!$AD$5:$AD$404,销售录入!$AB$5:$AB$404,$B$3,销售录入!$AC$5:$AC$404,$A111,销售录入!$C$5:$C$404,首页!$B$5)+SUMIFS(采购录入!$W$5:$W$404,采购录入!$U$5:$U$404,$B$3,采购录入!$V$5:$V$404,$A111,采购录入!$C$5:$C$404,首页!$B$5)+SUMIFS(采购录入!$Z$5:$Z$404,采购录入!$X$5:$X$404,$B$3,采购录入!$Y$5:$Y$404,$A111,采购录入!$C$5:$C$404,首页!$B$5)+SUMIFS(其他凭证!$H$5:$H$304,其他凭证!$F$5:$F$304,$B$3,其他凭证!$G$5:$G$304,$A111,其他凭证!$C$5:$C$304,首页!$B$5))</f>
        <v/>
      </c>
      <c r="D111" s="54" t="str">
        <f aca="false">IF($A111="","",SUMIFS(资金流水!$N$5:$N$504,资金流水!$P$5:$P$504,$B$3,资金流水!$O$5:$O$504,$A111,资金流水!$C$5:$C$504,首页!$B$5)+SUMIFS(销售录入!$X$5:$X$404,销售录入!$W$5:$W$404,$B$3,销售录入!$V$5:$V$404,$A111,销售录入!$C$5:$C$404,首页!$B$5)+SUMIFS(销售录入!$AA$5:$AA$404,销售录入!$Z$5:$Z$404,$B$3,销售录入!$Y$5:$Y$404,$A111,销售录入!$C$5:$C$404,首页!$B$5)+SUMIFS(销售录入!$AD$5:$AD$404,销售录入!$AC$5:$AC$404,$B$3,销售录入!$AB$5:$AB$404,$A111,销售录入!$C$5:$C$404,首页!$B$5)+SUMIFS(采购录入!$W$5:$W$404,采购录入!$V$5:$V$404,$B$3,采购录入!$U$5:$U$404,$A111,采购录入!$C$5:$C$404,首页!$B$5)+SUMIFS(采购录入!$Z$5:$Z$404,采购录入!$Y$5:$Y$404,$B$3,采购录入!$X$5:$X$404,$A111,采购录入!$C$5:$C$404,首页!$B$5)+SUMIFS(其他凭证!$H$5:$H$304,其他凭证!$G$5:$G$304,$B$3,其他凭证!$F$5:$F$304,$A111,其他凭证!$C$5:$C$304,首页!$B$5))</f>
        <v/>
      </c>
      <c r="E111" s="44" t="str">
        <f aca="false">IF($A111="","",$C111-$D111)</f>
        <v/>
      </c>
      <c r="F111" s="22" t="str">
        <f aca="false">IF(OR($A111="",AND($C111=0,$D111=0)),"",IF($C111&gt;0,"借 "&amp;$C$3&amp;" / 贷 "&amp;$B111,"")&amp;IF(AND($C111&gt;0,$D111&gt;0)," ；","")&amp;IF($D111&gt;0,"借 "&amp;$B111&amp;" / 贷 "&amp;$C$3,""))</f>
        <v/>
      </c>
    </row>
    <row r="112" customFormat="false" ht="15.75" hidden="false" customHeight="true" outlineLevel="0" collapsed="false">
      <c r="A112" s="42" t="str">
        <f aca="false">IF(科目参数!$A112="","",科目参数!$A112)</f>
        <v/>
      </c>
      <c r="B112" s="35" t="str">
        <f aca="false">IF($A112="","",科目参数!$B112)</f>
        <v/>
      </c>
      <c r="C112" s="54" t="str">
        <f aca="false">IF($A112="","",SUMIFS(资金流水!$N$5:$N$504,资金流水!$O$5:$O$504,$B$3,资金流水!$P$5:$P$504,$A112,资金流水!$C$5:$C$504,首页!$B$5)+SUMIFS(销售录入!$X$5:$X$404,销售录入!$V$5:$V$404,$B$3,销售录入!$W$5:$W$404,$A112,销售录入!$C$5:$C$404,首页!$B$5)+SUMIFS(销售录入!$AA$5:$AA$404,销售录入!$Y$5:$Y$404,$B$3,销售录入!$Z$5:$Z$404,$A112,销售录入!$C$5:$C$404,首页!$B$5)+SUMIFS(销售录入!$AD$5:$AD$404,销售录入!$AB$5:$AB$404,$B$3,销售录入!$AC$5:$AC$404,$A112,销售录入!$C$5:$C$404,首页!$B$5)+SUMIFS(采购录入!$W$5:$W$404,采购录入!$U$5:$U$404,$B$3,采购录入!$V$5:$V$404,$A112,采购录入!$C$5:$C$404,首页!$B$5)+SUMIFS(采购录入!$Z$5:$Z$404,采购录入!$X$5:$X$404,$B$3,采购录入!$Y$5:$Y$404,$A112,采购录入!$C$5:$C$404,首页!$B$5)+SUMIFS(其他凭证!$H$5:$H$304,其他凭证!$F$5:$F$304,$B$3,其他凭证!$G$5:$G$304,$A112,其他凭证!$C$5:$C$304,首页!$B$5))</f>
        <v/>
      </c>
      <c r="D112" s="54" t="str">
        <f aca="false">IF($A112="","",SUMIFS(资金流水!$N$5:$N$504,资金流水!$P$5:$P$504,$B$3,资金流水!$O$5:$O$504,$A112,资金流水!$C$5:$C$504,首页!$B$5)+SUMIFS(销售录入!$X$5:$X$404,销售录入!$W$5:$W$404,$B$3,销售录入!$V$5:$V$404,$A112,销售录入!$C$5:$C$404,首页!$B$5)+SUMIFS(销售录入!$AA$5:$AA$404,销售录入!$Z$5:$Z$404,$B$3,销售录入!$Y$5:$Y$404,$A112,销售录入!$C$5:$C$404,首页!$B$5)+SUMIFS(销售录入!$AD$5:$AD$404,销售录入!$AC$5:$AC$404,$B$3,销售录入!$AB$5:$AB$404,$A112,销售录入!$C$5:$C$404,首页!$B$5)+SUMIFS(采购录入!$W$5:$W$404,采购录入!$V$5:$V$404,$B$3,采购录入!$U$5:$U$404,$A112,采购录入!$C$5:$C$404,首页!$B$5)+SUMIFS(采购录入!$Z$5:$Z$404,采购录入!$Y$5:$Y$404,$B$3,采购录入!$X$5:$X$404,$A112,采购录入!$C$5:$C$404,首页!$B$5)+SUMIFS(其他凭证!$H$5:$H$304,其他凭证!$G$5:$G$304,$B$3,其他凭证!$F$5:$F$304,$A112,其他凭证!$C$5:$C$304,首页!$B$5))</f>
        <v/>
      </c>
      <c r="E112" s="44" t="str">
        <f aca="false">IF($A112="","",$C112-$D112)</f>
        <v/>
      </c>
      <c r="F112" s="22" t="str">
        <f aca="false">IF(OR($A112="",AND($C112=0,$D112=0)),"",IF($C112&gt;0,"借 "&amp;$C$3&amp;" / 贷 "&amp;$B112,"")&amp;IF(AND($C112&gt;0,$D112&gt;0)," ；","")&amp;IF($D112&gt;0,"借 "&amp;$B112&amp;" / 贷 "&amp;$C$3,""))</f>
        <v/>
      </c>
    </row>
    <row r="113" customFormat="false" ht="15.75" hidden="false" customHeight="true" outlineLevel="0" collapsed="false">
      <c r="A113" s="42" t="str">
        <f aca="false">IF(科目参数!$A113="","",科目参数!$A113)</f>
        <v/>
      </c>
      <c r="B113" s="35" t="str">
        <f aca="false">IF($A113="","",科目参数!$B113)</f>
        <v/>
      </c>
      <c r="C113" s="54" t="str">
        <f aca="false">IF($A113="","",SUMIFS(资金流水!$N$5:$N$504,资金流水!$O$5:$O$504,$B$3,资金流水!$P$5:$P$504,$A113,资金流水!$C$5:$C$504,首页!$B$5)+SUMIFS(销售录入!$X$5:$X$404,销售录入!$V$5:$V$404,$B$3,销售录入!$W$5:$W$404,$A113,销售录入!$C$5:$C$404,首页!$B$5)+SUMIFS(销售录入!$AA$5:$AA$404,销售录入!$Y$5:$Y$404,$B$3,销售录入!$Z$5:$Z$404,$A113,销售录入!$C$5:$C$404,首页!$B$5)+SUMIFS(销售录入!$AD$5:$AD$404,销售录入!$AB$5:$AB$404,$B$3,销售录入!$AC$5:$AC$404,$A113,销售录入!$C$5:$C$404,首页!$B$5)+SUMIFS(采购录入!$W$5:$W$404,采购录入!$U$5:$U$404,$B$3,采购录入!$V$5:$V$404,$A113,采购录入!$C$5:$C$404,首页!$B$5)+SUMIFS(采购录入!$Z$5:$Z$404,采购录入!$X$5:$X$404,$B$3,采购录入!$Y$5:$Y$404,$A113,采购录入!$C$5:$C$404,首页!$B$5)+SUMIFS(其他凭证!$H$5:$H$304,其他凭证!$F$5:$F$304,$B$3,其他凭证!$G$5:$G$304,$A113,其他凭证!$C$5:$C$304,首页!$B$5))</f>
        <v/>
      </c>
      <c r="D113" s="54" t="str">
        <f aca="false">IF($A113="","",SUMIFS(资金流水!$N$5:$N$504,资金流水!$P$5:$P$504,$B$3,资金流水!$O$5:$O$504,$A113,资金流水!$C$5:$C$504,首页!$B$5)+SUMIFS(销售录入!$X$5:$X$404,销售录入!$W$5:$W$404,$B$3,销售录入!$V$5:$V$404,$A113,销售录入!$C$5:$C$404,首页!$B$5)+SUMIFS(销售录入!$AA$5:$AA$404,销售录入!$Z$5:$Z$404,$B$3,销售录入!$Y$5:$Y$404,$A113,销售录入!$C$5:$C$404,首页!$B$5)+SUMIFS(销售录入!$AD$5:$AD$404,销售录入!$AC$5:$AC$404,$B$3,销售录入!$AB$5:$AB$404,$A113,销售录入!$C$5:$C$404,首页!$B$5)+SUMIFS(采购录入!$W$5:$W$404,采购录入!$V$5:$V$404,$B$3,采购录入!$U$5:$U$404,$A113,采购录入!$C$5:$C$404,首页!$B$5)+SUMIFS(采购录入!$Z$5:$Z$404,采购录入!$Y$5:$Y$404,$B$3,采购录入!$X$5:$X$404,$A113,采购录入!$C$5:$C$404,首页!$B$5)+SUMIFS(其他凭证!$H$5:$H$304,其他凭证!$G$5:$G$304,$B$3,其他凭证!$F$5:$F$304,$A113,其他凭证!$C$5:$C$304,首页!$B$5))</f>
        <v/>
      </c>
      <c r="E113" s="44" t="str">
        <f aca="false">IF($A113="","",$C113-$D113)</f>
        <v/>
      </c>
      <c r="F113" s="22" t="str">
        <f aca="false">IF(OR($A113="",AND($C113=0,$D113=0)),"",IF($C113&gt;0,"借 "&amp;$C$3&amp;" / 贷 "&amp;$B113,"")&amp;IF(AND($C113&gt;0,$D113&gt;0)," ；","")&amp;IF($D113&gt;0,"借 "&amp;$B113&amp;" / 贷 "&amp;$C$3,""))</f>
        <v/>
      </c>
    </row>
    <row r="114" customFormat="false" ht="15.75" hidden="false" customHeight="true" outlineLevel="0" collapsed="false">
      <c r="A114" s="42" t="str">
        <f aca="false">IF(科目参数!$A114="","",科目参数!$A114)</f>
        <v/>
      </c>
      <c r="B114" s="35" t="str">
        <f aca="false">IF($A114="","",科目参数!$B114)</f>
        <v/>
      </c>
      <c r="C114" s="54" t="str">
        <f aca="false">IF($A114="","",SUMIFS(资金流水!$N$5:$N$504,资金流水!$O$5:$O$504,$B$3,资金流水!$P$5:$P$504,$A114,资金流水!$C$5:$C$504,首页!$B$5)+SUMIFS(销售录入!$X$5:$X$404,销售录入!$V$5:$V$404,$B$3,销售录入!$W$5:$W$404,$A114,销售录入!$C$5:$C$404,首页!$B$5)+SUMIFS(销售录入!$AA$5:$AA$404,销售录入!$Y$5:$Y$404,$B$3,销售录入!$Z$5:$Z$404,$A114,销售录入!$C$5:$C$404,首页!$B$5)+SUMIFS(销售录入!$AD$5:$AD$404,销售录入!$AB$5:$AB$404,$B$3,销售录入!$AC$5:$AC$404,$A114,销售录入!$C$5:$C$404,首页!$B$5)+SUMIFS(采购录入!$W$5:$W$404,采购录入!$U$5:$U$404,$B$3,采购录入!$V$5:$V$404,$A114,采购录入!$C$5:$C$404,首页!$B$5)+SUMIFS(采购录入!$Z$5:$Z$404,采购录入!$X$5:$X$404,$B$3,采购录入!$Y$5:$Y$404,$A114,采购录入!$C$5:$C$404,首页!$B$5)+SUMIFS(其他凭证!$H$5:$H$304,其他凭证!$F$5:$F$304,$B$3,其他凭证!$G$5:$G$304,$A114,其他凭证!$C$5:$C$304,首页!$B$5))</f>
        <v/>
      </c>
      <c r="D114" s="54" t="str">
        <f aca="false">IF($A114="","",SUMIFS(资金流水!$N$5:$N$504,资金流水!$P$5:$P$504,$B$3,资金流水!$O$5:$O$504,$A114,资金流水!$C$5:$C$504,首页!$B$5)+SUMIFS(销售录入!$X$5:$X$404,销售录入!$W$5:$W$404,$B$3,销售录入!$V$5:$V$404,$A114,销售录入!$C$5:$C$404,首页!$B$5)+SUMIFS(销售录入!$AA$5:$AA$404,销售录入!$Z$5:$Z$404,$B$3,销售录入!$Y$5:$Y$404,$A114,销售录入!$C$5:$C$404,首页!$B$5)+SUMIFS(销售录入!$AD$5:$AD$404,销售录入!$AC$5:$AC$404,$B$3,销售录入!$AB$5:$AB$404,$A114,销售录入!$C$5:$C$404,首页!$B$5)+SUMIFS(采购录入!$W$5:$W$404,采购录入!$V$5:$V$404,$B$3,采购录入!$U$5:$U$404,$A114,采购录入!$C$5:$C$404,首页!$B$5)+SUMIFS(采购录入!$Z$5:$Z$404,采购录入!$Y$5:$Y$404,$B$3,采购录入!$X$5:$X$404,$A114,采购录入!$C$5:$C$404,首页!$B$5)+SUMIFS(其他凭证!$H$5:$H$304,其他凭证!$G$5:$G$304,$B$3,其他凭证!$F$5:$F$304,$A114,其他凭证!$C$5:$C$304,首页!$B$5))</f>
        <v/>
      </c>
      <c r="E114" s="44" t="str">
        <f aca="false">IF($A114="","",$C114-$D114)</f>
        <v/>
      </c>
      <c r="F114" s="22" t="str">
        <f aca="false">IF(OR($A114="",AND($C114=0,$D114=0)),"",IF($C114&gt;0,"借 "&amp;$C$3&amp;" / 贷 "&amp;$B114,"")&amp;IF(AND($C114&gt;0,$D114&gt;0)," ；","")&amp;IF($D114&gt;0,"借 "&amp;$B114&amp;" / 贷 "&amp;$C$3,""))</f>
        <v/>
      </c>
    </row>
    <row r="115" customFormat="false" ht="15.75" hidden="false" customHeight="true" outlineLevel="0" collapsed="false">
      <c r="A115" s="42" t="str">
        <f aca="false">IF(科目参数!$A115="","",科目参数!$A115)</f>
        <v/>
      </c>
      <c r="B115" s="35" t="str">
        <f aca="false">IF($A115="","",科目参数!$B115)</f>
        <v/>
      </c>
      <c r="C115" s="54" t="str">
        <f aca="false">IF($A115="","",SUMIFS(资金流水!$N$5:$N$504,资金流水!$O$5:$O$504,$B$3,资金流水!$P$5:$P$504,$A115,资金流水!$C$5:$C$504,首页!$B$5)+SUMIFS(销售录入!$X$5:$X$404,销售录入!$V$5:$V$404,$B$3,销售录入!$W$5:$W$404,$A115,销售录入!$C$5:$C$404,首页!$B$5)+SUMIFS(销售录入!$AA$5:$AA$404,销售录入!$Y$5:$Y$404,$B$3,销售录入!$Z$5:$Z$404,$A115,销售录入!$C$5:$C$404,首页!$B$5)+SUMIFS(销售录入!$AD$5:$AD$404,销售录入!$AB$5:$AB$404,$B$3,销售录入!$AC$5:$AC$404,$A115,销售录入!$C$5:$C$404,首页!$B$5)+SUMIFS(采购录入!$W$5:$W$404,采购录入!$U$5:$U$404,$B$3,采购录入!$V$5:$V$404,$A115,采购录入!$C$5:$C$404,首页!$B$5)+SUMIFS(采购录入!$Z$5:$Z$404,采购录入!$X$5:$X$404,$B$3,采购录入!$Y$5:$Y$404,$A115,采购录入!$C$5:$C$404,首页!$B$5)+SUMIFS(其他凭证!$H$5:$H$304,其他凭证!$F$5:$F$304,$B$3,其他凭证!$G$5:$G$304,$A115,其他凭证!$C$5:$C$304,首页!$B$5))</f>
        <v/>
      </c>
      <c r="D115" s="54" t="str">
        <f aca="false">IF($A115="","",SUMIFS(资金流水!$N$5:$N$504,资金流水!$P$5:$P$504,$B$3,资金流水!$O$5:$O$504,$A115,资金流水!$C$5:$C$504,首页!$B$5)+SUMIFS(销售录入!$X$5:$X$404,销售录入!$W$5:$W$404,$B$3,销售录入!$V$5:$V$404,$A115,销售录入!$C$5:$C$404,首页!$B$5)+SUMIFS(销售录入!$AA$5:$AA$404,销售录入!$Z$5:$Z$404,$B$3,销售录入!$Y$5:$Y$404,$A115,销售录入!$C$5:$C$404,首页!$B$5)+SUMIFS(销售录入!$AD$5:$AD$404,销售录入!$AC$5:$AC$404,$B$3,销售录入!$AB$5:$AB$404,$A115,销售录入!$C$5:$C$404,首页!$B$5)+SUMIFS(采购录入!$W$5:$W$404,采购录入!$V$5:$V$404,$B$3,采购录入!$U$5:$U$404,$A115,采购录入!$C$5:$C$404,首页!$B$5)+SUMIFS(采购录入!$Z$5:$Z$404,采购录入!$Y$5:$Y$404,$B$3,采购录入!$X$5:$X$404,$A115,采购录入!$C$5:$C$404,首页!$B$5)+SUMIFS(其他凭证!$H$5:$H$304,其他凭证!$G$5:$G$304,$B$3,其他凭证!$F$5:$F$304,$A115,其他凭证!$C$5:$C$304,首页!$B$5))</f>
        <v/>
      </c>
      <c r="E115" s="44" t="str">
        <f aca="false">IF($A115="","",$C115-$D115)</f>
        <v/>
      </c>
      <c r="F115" s="22" t="str">
        <f aca="false">IF(OR($A115="",AND($C115=0,$D115=0)),"",IF($C115&gt;0,"借 "&amp;$C$3&amp;" / 贷 "&amp;$B115,"")&amp;IF(AND($C115&gt;0,$D115&gt;0)," ；","")&amp;IF($D115&gt;0,"借 "&amp;$B115&amp;" / 贷 "&amp;$C$3,""))</f>
        <v/>
      </c>
    </row>
    <row r="116" customFormat="false" ht="15.75" hidden="false" customHeight="true" outlineLevel="0" collapsed="false">
      <c r="A116" s="42" t="str">
        <f aca="false">IF(科目参数!$A116="","",科目参数!$A116)</f>
        <v/>
      </c>
      <c r="B116" s="35" t="str">
        <f aca="false">IF($A116="","",科目参数!$B116)</f>
        <v/>
      </c>
      <c r="C116" s="54" t="str">
        <f aca="false">IF($A116="","",SUMIFS(资金流水!$N$5:$N$504,资金流水!$O$5:$O$504,$B$3,资金流水!$P$5:$P$504,$A116,资金流水!$C$5:$C$504,首页!$B$5)+SUMIFS(销售录入!$X$5:$X$404,销售录入!$V$5:$V$404,$B$3,销售录入!$W$5:$W$404,$A116,销售录入!$C$5:$C$404,首页!$B$5)+SUMIFS(销售录入!$AA$5:$AA$404,销售录入!$Y$5:$Y$404,$B$3,销售录入!$Z$5:$Z$404,$A116,销售录入!$C$5:$C$404,首页!$B$5)+SUMIFS(销售录入!$AD$5:$AD$404,销售录入!$AB$5:$AB$404,$B$3,销售录入!$AC$5:$AC$404,$A116,销售录入!$C$5:$C$404,首页!$B$5)+SUMIFS(采购录入!$W$5:$W$404,采购录入!$U$5:$U$404,$B$3,采购录入!$V$5:$V$404,$A116,采购录入!$C$5:$C$404,首页!$B$5)+SUMIFS(采购录入!$Z$5:$Z$404,采购录入!$X$5:$X$404,$B$3,采购录入!$Y$5:$Y$404,$A116,采购录入!$C$5:$C$404,首页!$B$5)+SUMIFS(其他凭证!$H$5:$H$304,其他凭证!$F$5:$F$304,$B$3,其他凭证!$G$5:$G$304,$A116,其他凭证!$C$5:$C$304,首页!$B$5))</f>
        <v/>
      </c>
      <c r="D116" s="54" t="str">
        <f aca="false">IF($A116="","",SUMIFS(资金流水!$N$5:$N$504,资金流水!$P$5:$P$504,$B$3,资金流水!$O$5:$O$504,$A116,资金流水!$C$5:$C$504,首页!$B$5)+SUMIFS(销售录入!$X$5:$X$404,销售录入!$W$5:$W$404,$B$3,销售录入!$V$5:$V$404,$A116,销售录入!$C$5:$C$404,首页!$B$5)+SUMIFS(销售录入!$AA$5:$AA$404,销售录入!$Z$5:$Z$404,$B$3,销售录入!$Y$5:$Y$404,$A116,销售录入!$C$5:$C$404,首页!$B$5)+SUMIFS(销售录入!$AD$5:$AD$404,销售录入!$AC$5:$AC$404,$B$3,销售录入!$AB$5:$AB$404,$A116,销售录入!$C$5:$C$404,首页!$B$5)+SUMIFS(采购录入!$W$5:$W$404,采购录入!$V$5:$V$404,$B$3,采购录入!$U$5:$U$404,$A116,采购录入!$C$5:$C$404,首页!$B$5)+SUMIFS(采购录入!$Z$5:$Z$404,采购录入!$Y$5:$Y$404,$B$3,采购录入!$X$5:$X$404,$A116,采购录入!$C$5:$C$404,首页!$B$5)+SUMIFS(其他凭证!$H$5:$H$304,其他凭证!$G$5:$G$304,$B$3,其他凭证!$F$5:$F$304,$A116,其他凭证!$C$5:$C$304,首页!$B$5))</f>
        <v/>
      </c>
      <c r="E116" s="44" t="str">
        <f aca="false">IF($A116="","",$C116-$D116)</f>
        <v/>
      </c>
      <c r="F116" s="22" t="str">
        <f aca="false">IF(OR($A116="",AND($C116=0,$D116=0)),"",IF($C116&gt;0,"借 "&amp;$C$3&amp;" / 贷 "&amp;$B116,"")&amp;IF(AND($C116&gt;0,$D116&gt;0)," ；","")&amp;IF($D116&gt;0,"借 "&amp;$B116&amp;" / 贷 "&amp;$C$3,""))</f>
        <v/>
      </c>
    </row>
    <row r="117" customFormat="false" ht="15.75" hidden="false" customHeight="true" outlineLevel="0" collapsed="false">
      <c r="A117" s="42" t="str">
        <f aca="false">IF(科目参数!$A117="","",科目参数!$A117)</f>
        <v/>
      </c>
      <c r="B117" s="35" t="str">
        <f aca="false">IF($A117="","",科目参数!$B117)</f>
        <v/>
      </c>
      <c r="C117" s="54" t="str">
        <f aca="false">IF($A117="","",SUMIFS(资金流水!$N$5:$N$504,资金流水!$O$5:$O$504,$B$3,资金流水!$P$5:$P$504,$A117,资金流水!$C$5:$C$504,首页!$B$5)+SUMIFS(销售录入!$X$5:$X$404,销售录入!$V$5:$V$404,$B$3,销售录入!$W$5:$W$404,$A117,销售录入!$C$5:$C$404,首页!$B$5)+SUMIFS(销售录入!$AA$5:$AA$404,销售录入!$Y$5:$Y$404,$B$3,销售录入!$Z$5:$Z$404,$A117,销售录入!$C$5:$C$404,首页!$B$5)+SUMIFS(销售录入!$AD$5:$AD$404,销售录入!$AB$5:$AB$404,$B$3,销售录入!$AC$5:$AC$404,$A117,销售录入!$C$5:$C$404,首页!$B$5)+SUMIFS(采购录入!$W$5:$W$404,采购录入!$U$5:$U$404,$B$3,采购录入!$V$5:$V$404,$A117,采购录入!$C$5:$C$404,首页!$B$5)+SUMIFS(采购录入!$Z$5:$Z$404,采购录入!$X$5:$X$404,$B$3,采购录入!$Y$5:$Y$404,$A117,采购录入!$C$5:$C$404,首页!$B$5)+SUMIFS(其他凭证!$H$5:$H$304,其他凭证!$F$5:$F$304,$B$3,其他凭证!$G$5:$G$304,$A117,其他凭证!$C$5:$C$304,首页!$B$5))</f>
        <v/>
      </c>
      <c r="D117" s="54" t="str">
        <f aca="false">IF($A117="","",SUMIFS(资金流水!$N$5:$N$504,资金流水!$P$5:$P$504,$B$3,资金流水!$O$5:$O$504,$A117,资金流水!$C$5:$C$504,首页!$B$5)+SUMIFS(销售录入!$X$5:$X$404,销售录入!$W$5:$W$404,$B$3,销售录入!$V$5:$V$404,$A117,销售录入!$C$5:$C$404,首页!$B$5)+SUMIFS(销售录入!$AA$5:$AA$404,销售录入!$Z$5:$Z$404,$B$3,销售录入!$Y$5:$Y$404,$A117,销售录入!$C$5:$C$404,首页!$B$5)+SUMIFS(销售录入!$AD$5:$AD$404,销售录入!$AC$5:$AC$404,$B$3,销售录入!$AB$5:$AB$404,$A117,销售录入!$C$5:$C$404,首页!$B$5)+SUMIFS(采购录入!$W$5:$W$404,采购录入!$V$5:$V$404,$B$3,采购录入!$U$5:$U$404,$A117,采购录入!$C$5:$C$404,首页!$B$5)+SUMIFS(采购录入!$Z$5:$Z$404,采购录入!$Y$5:$Y$404,$B$3,采购录入!$X$5:$X$404,$A117,采购录入!$C$5:$C$404,首页!$B$5)+SUMIFS(其他凭证!$H$5:$H$304,其他凭证!$G$5:$G$304,$B$3,其他凭证!$F$5:$F$304,$A117,其他凭证!$C$5:$C$304,首页!$B$5))</f>
        <v/>
      </c>
      <c r="E117" s="44" t="str">
        <f aca="false">IF($A117="","",$C117-$D117)</f>
        <v/>
      </c>
      <c r="F117" s="22" t="str">
        <f aca="false">IF(OR($A117="",AND($C117=0,$D117=0)),"",IF($C117&gt;0,"借 "&amp;$C$3&amp;" / 贷 "&amp;$B117,"")&amp;IF(AND($C117&gt;0,$D117&gt;0)," ；","")&amp;IF($D117&gt;0,"借 "&amp;$B117&amp;" / 贷 "&amp;$C$3,""))</f>
        <v/>
      </c>
    </row>
    <row r="118" customFormat="false" ht="15.75" hidden="false" customHeight="true" outlineLevel="0" collapsed="false">
      <c r="A118" s="42" t="str">
        <f aca="false">IF(科目参数!$A118="","",科目参数!$A118)</f>
        <v/>
      </c>
      <c r="B118" s="35" t="str">
        <f aca="false">IF($A118="","",科目参数!$B118)</f>
        <v/>
      </c>
      <c r="C118" s="54" t="str">
        <f aca="false">IF($A118="","",SUMIFS(资金流水!$N$5:$N$504,资金流水!$O$5:$O$504,$B$3,资金流水!$P$5:$P$504,$A118,资金流水!$C$5:$C$504,首页!$B$5)+SUMIFS(销售录入!$X$5:$X$404,销售录入!$V$5:$V$404,$B$3,销售录入!$W$5:$W$404,$A118,销售录入!$C$5:$C$404,首页!$B$5)+SUMIFS(销售录入!$AA$5:$AA$404,销售录入!$Y$5:$Y$404,$B$3,销售录入!$Z$5:$Z$404,$A118,销售录入!$C$5:$C$404,首页!$B$5)+SUMIFS(销售录入!$AD$5:$AD$404,销售录入!$AB$5:$AB$404,$B$3,销售录入!$AC$5:$AC$404,$A118,销售录入!$C$5:$C$404,首页!$B$5)+SUMIFS(采购录入!$W$5:$W$404,采购录入!$U$5:$U$404,$B$3,采购录入!$V$5:$V$404,$A118,采购录入!$C$5:$C$404,首页!$B$5)+SUMIFS(采购录入!$Z$5:$Z$404,采购录入!$X$5:$X$404,$B$3,采购录入!$Y$5:$Y$404,$A118,采购录入!$C$5:$C$404,首页!$B$5)+SUMIFS(其他凭证!$H$5:$H$304,其他凭证!$F$5:$F$304,$B$3,其他凭证!$G$5:$G$304,$A118,其他凭证!$C$5:$C$304,首页!$B$5))</f>
        <v/>
      </c>
      <c r="D118" s="54" t="str">
        <f aca="false">IF($A118="","",SUMIFS(资金流水!$N$5:$N$504,资金流水!$P$5:$P$504,$B$3,资金流水!$O$5:$O$504,$A118,资金流水!$C$5:$C$504,首页!$B$5)+SUMIFS(销售录入!$X$5:$X$404,销售录入!$W$5:$W$404,$B$3,销售录入!$V$5:$V$404,$A118,销售录入!$C$5:$C$404,首页!$B$5)+SUMIFS(销售录入!$AA$5:$AA$404,销售录入!$Z$5:$Z$404,$B$3,销售录入!$Y$5:$Y$404,$A118,销售录入!$C$5:$C$404,首页!$B$5)+SUMIFS(销售录入!$AD$5:$AD$404,销售录入!$AC$5:$AC$404,$B$3,销售录入!$AB$5:$AB$404,$A118,销售录入!$C$5:$C$404,首页!$B$5)+SUMIFS(采购录入!$W$5:$W$404,采购录入!$V$5:$V$404,$B$3,采购录入!$U$5:$U$404,$A118,采购录入!$C$5:$C$404,首页!$B$5)+SUMIFS(采购录入!$Z$5:$Z$404,采购录入!$Y$5:$Y$404,$B$3,采购录入!$X$5:$X$404,$A118,采购录入!$C$5:$C$404,首页!$B$5)+SUMIFS(其他凭证!$H$5:$H$304,其他凭证!$G$5:$G$304,$B$3,其他凭证!$F$5:$F$304,$A118,其他凭证!$C$5:$C$304,首页!$B$5))</f>
        <v/>
      </c>
      <c r="E118" s="44" t="str">
        <f aca="false">IF($A118="","",$C118-$D118)</f>
        <v/>
      </c>
      <c r="F118" s="22" t="str">
        <f aca="false">IF(OR($A118="",AND($C118=0,$D118=0)),"",IF($C118&gt;0,"借 "&amp;$C$3&amp;" / 贷 "&amp;$B118,"")&amp;IF(AND($C118&gt;0,$D118&gt;0)," ；","")&amp;IF($D118&gt;0,"借 "&amp;$B118&amp;" / 贷 "&amp;$C$3,""))</f>
        <v/>
      </c>
    </row>
    <row r="119" customFormat="false" ht="15.75" hidden="false" customHeight="true" outlineLevel="0" collapsed="false">
      <c r="A119" s="42" t="str">
        <f aca="false">IF(科目参数!$A119="","",科目参数!$A119)</f>
        <v/>
      </c>
      <c r="B119" s="35" t="str">
        <f aca="false">IF($A119="","",科目参数!$B119)</f>
        <v/>
      </c>
      <c r="C119" s="54" t="str">
        <f aca="false">IF($A119="","",SUMIFS(资金流水!$N$5:$N$504,资金流水!$O$5:$O$504,$B$3,资金流水!$P$5:$P$504,$A119,资金流水!$C$5:$C$504,首页!$B$5)+SUMIFS(销售录入!$X$5:$X$404,销售录入!$V$5:$V$404,$B$3,销售录入!$W$5:$W$404,$A119,销售录入!$C$5:$C$404,首页!$B$5)+SUMIFS(销售录入!$AA$5:$AA$404,销售录入!$Y$5:$Y$404,$B$3,销售录入!$Z$5:$Z$404,$A119,销售录入!$C$5:$C$404,首页!$B$5)+SUMIFS(销售录入!$AD$5:$AD$404,销售录入!$AB$5:$AB$404,$B$3,销售录入!$AC$5:$AC$404,$A119,销售录入!$C$5:$C$404,首页!$B$5)+SUMIFS(采购录入!$W$5:$W$404,采购录入!$U$5:$U$404,$B$3,采购录入!$V$5:$V$404,$A119,采购录入!$C$5:$C$404,首页!$B$5)+SUMIFS(采购录入!$Z$5:$Z$404,采购录入!$X$5:$X$404,$B$3,采购录入!$Y$5:$Y$404,$A119,采购录入!$C$5:$C$404,首页!$B$5)+SUMIFS(其他凭证!$H$5:$H$304,其他凭证!$F$5:$F$304,$B$3,其他凭证!$G$5:$G$304,$A119,其他凭证!$C$5:$C$304,首页!$B$5))</f>
        <v/>
      </c>
      <c r="D119" s="54" t="str">
        <f aca="false">IF($A119="","",SUMIFS(资金流水!$N$5:$N$504,资金流水!$P$5:$P$504,$B$3,资金流水!$O$5:$O$504,$A119,资金流水!$C$5:$C$504,首页!$B$5)+SUMIFS(销售录入!$X$5:$X$404,销售录入!$W$5:$W$404,$B$3,销售录入!$V$5:$V$404,$A119,销售录入!$C$5:$C$404,首页!$B$5)+SUMIFS(销售录入!$AA$5:$AA$404,销售录入!$Z$5:$Z$404,$B$3,销售录入!$Y$5:$Y$404,$A119,销售录入!$C$5:$C$404,首页!$B$5)+SUMIFS(销售录入!$AD$5:$AD$404,销售录入!$AC$5:$AC$404,$B$3,销售录入!$AB$5:$AB$404,$A119,销售录入!$C$5:$C$404,首页!$B$5)+SUMIFS(采购录入!$W$5:$W$404,采购录入!$V$5:$V$404,$B$3,采购录入!$U$5:$U$404,$A119,采购录入!$C$5:$C$404,首页!$B$5)+SUMIFS(采购录入!$Z$5:$Z$404,采购录入!$Y$5:$Y$404,$B$3,采购录入!$X$5:$X$404,$A119,采购录入!$C$5:$C$404,首页!$B$5)+SUMIFS(其他凭证!$H$5:$H$304,其他凭证!$G$5:$G$304,$B$3,其他凭证!$F$5:$F$304,$A119,其他凭证!$C$5:$C$304,首页!$B$5))</f>
        <v/>
      </c>
      <c r="E119" s="44" t="str">
        <f aca="false">IF($A119="","",$C119-$D119)</f>
        <v/>
      </c>
      <c r="F119" s="22" t="str">
        <f aca="false">IF(OR($A119="",AND($C119=0,$D119=0)),"",IF($C119&gt;0,"借 "&amp;$C$3&amp;" / 贷 "&amp;$B119,"")&amp;IF(AND($C119&gt;0,$D119&gt;0)," ；","")&amp;IF($D119&gt;0,"借 "&amp;$B119&amp;" / 贷 "&amp;$C$3,""))</f>
        <v/>
      </c>
    </row>
    <row r="120" customFormat="false" ht="15.75" hidden="false" customHeight="true" outlineLevel="0" collapsed="false">
      <c r="A120" s="42" t="str">
        <f aca="false">IF(科目参数!$A120="","",科目参数!$A120)</f>
        <v/>
      </c>
      <c r="B120" s="35" t="str">
        <f aca="false">IF($A120="","",科目参数!$B120)</f>
        <v/>
      </c>
      <c r="C120" s="54" t="str">
        <f aca="false">IF($A120="","",SUMIFS(资金流水!$N$5:$N$504,资金流水!$O$5:$O$504,$B$3,资金流水!$P$5:$P$504,$A120,资金流水!$C$5:$C$504,首页!$B$5)+SUMIFS(销售录入!$X$5:$X$404,销售录入!$V$5:$V$404,$B$3,销售录入!$W$5:$W$404,$A120,销售录入!$C$5:$C$404,首页!$B$5)+SUMIFS(销售录入!$AA$5:$AA$404,销售录入!$Y$5:$Y$404,$B$3,销售录入!$Z$5:$Z$404,$A120,销售录入!$C$5:$C$404,首页!$B$5)+SUMIFS(销售录入!$AD$5:$AD$404,销售录入!$AB$5:$AB$404,$B$3,销售录入!$AC$5:$AC$404,$A120,销售录入!$C$5:$C$404,首页!$B$5)+SUMIFS(采购录入!$W$5:$W$404,采购录入!$U$5:$U$404,$B$3,采购录入!$V$5:$V$404,$A120,采购录入!$C$5:$C$404,首页!$B$5)+SUMIFS(采购录入!$Z$5:$Z$404,采购录入!$X$5:$X$404,$B$3,采购录入!$Y$5:$Y$404,$A120,采购录入!$C$5:$C$404,首页!$B$5)+SUMIFS(其他凭证!$H$5:$H$304,其他凭证!$F$5:$F$304,$B$3,其他凭证!$G$5:$G$304,$A120,其他凭证!$C$5:$C$304,首页!$B$5))</f>
        <v/>
      </c>
      <c r="D120" s="54" t="str">
        <f aca="false">IF($A120="","",SUMIFS(资金流水!$N$5:$N$504,资金流水!$P$5:$P$504,$B$3,资金流水!$O$5:$O$504,$A120,资金流水!$C$5:$C$504,首页!$B$5)+SUMIFS(销售录入!$X$5:$X$404,销售录入!$W$5:$W$404,$B$3,销售录入!$V$5:$V$404,$A120,销售录入!$C$5:$C$404,首页!$B$5)+SUMIFS(销售录入!$AA$5:$AA$404,销售录入!$Z$5:$Z$404,$B$3,销售录入!$Y$5:$Y$404,$A120,销售录入!$C$5:$C$404,首页!$B$5)+SUMIFS(销售录入!$AD$5:$AD$404,销售录入!$AC$5:$AC$404,$B$3,销售录入!$AB$5:$AB$404,$A120,销售录入!$C$5:$C$404,首页!$B$5)+SUMIFS(采购录入!$W$5:$W$404,采购录入!$V$5:$V$404,$B$3,采购录入!$U$5:$U$404,$A120,采购录入!$C$5:$C$404,首页!$B$5)+SUMIFS(采购录入!$Z$5:$Z$404,采购录入!$Y$5:$Y$404,$B$3,采购录入!$X$5:$X$404,$A120,采购录入!$C$5:$C$404,首页!$B$5)+SUMIFS(其他凭证!$H$5:$H$304,其他凭证!$G$5:$G$304,$B$3,其他凭证!$F$5:$F$304,$A120,其他凭证!$C$5:$C$304,首页!$B$5))</f>
        <v/>
      </c>
      <c r="E120" s="44" t="str">
        <f aca="false">IF($A120="","",$C120-$D120)</f>
        <v/>
      </c>
      <c r="F120" s="22" t="str">
        <f aca="false">IF(OR($A120="",AND($C120=0,$D120=0)),"",IF($C120&gt;0,"借 "&amp;$C$3&amp;" / 贷 "&amp;$B120,"")&amp;IF(AND($C120&gt;0,$D120&gt;0)," ；","")&amp;IF($D120&gt;0,"借 "&amp;$B120&amp;" / 贷 "&amp;$C$3,""))</f>
        <v/>
      </c>
    </row>
    <row r="121" customFormat="false" ht="15.75" hidden="false" customHeight="true" outlineLevel="0" collapsed="false">
      <c r="A121" s="42" t="str">
        <f aca="false">IF(科目参数!$A121="","",科目参数!$A121)</f>
        <v/>
      </c>
      <c r="B121" s="35" t="str">
        <f aca="false">IF($A121="","",科目参数!$B121)</f>
        <v/>
      </c>
      <c r="C121" s="54" t="str">
        <f aca="false">IF($A121="","",SUMIFS(资金流水!$N$5:$N$504,资金流水!$O$5:$O$504,$B$3,资金流水!$P$5:$P$504,$A121,资金流水!$C$5:$C$504,首页!$B$5)+SUMIFS(销售录入!$X$5:$X$404,销售录入!$V$5:$V$404,$B$3,销售录入!$W$5:$W$404,$A121,销售录入!$C$5:$C$404,首页!$B$5)+SUMIFS(销售录入!$AA$5:$AA$404,销售录入!$Y$5:$Y$404,$B$3,销售录入!$Z$5:$Z$404,$A121,销售录入!$C$5:$C$404,首页!$B$5)+SUMIFS(销售录入!$AD$5:$AD$404,销售录入!$AB$5:$AB$404,$B$3,销售录入!$AC$5:$AC$404,$A121,销售录入!$C$5:$C$404,首页!$B$5)+SUMIFS(采购录入!$W$5:$W$404,采购录入!$U$5:$U$404,$B$3,采购录入!$V$5:$V$404,$A121,采购录入!$C$5:$C$404,首页!$B$5)+SUMIFS(采购录入!$Z$5:$Z$404,采购录入!$X$5:$X$404,$B$3,采购录入!$Y$5:$Y$404,$A121,采购录入!$C$5:$C$404,首页!$B$5)+SUMIFS(其他凭证!$H$5:$H$304,其他凭证!$F$5:$F$304,$B$3,其他凭证!$G$5:$G$304,$A121,其他凭证!$C$5:$C$304,首页!$B$5))</f>
        <v/>
      </c>
      <c r="D121" s="54" t="str">
        <f aca="false">IF($A121="","",SUMIFS(资金流水!$N$5:$N$504,资金流水!$P$5:$P$504,$B$3,资金流水!$O$5:$O$504,$A121,资金流水!$C$5:$C$504,首页!$B$5)+SUMIFS(销售录入!$X$5:$X$404,销售录入!$W$5:$W$404,$B$3,销售录入!$V$5:$V$404,$A121,销售录入!$C$5:$C$404,首页!$B$5)+SUMIFS(销售录入!$AA$5:$AA$404,销售录入!$Z$5:$Z$404,$B$3,销售录入!$Y$5:$Y$404,$A121,销售录入!$C$5:$C$404,首页!$B$5)+SUMIFS(销售录入!$AD$5:$AD$404,销售录入!$AC$5:$AC$404,$B$3,销售录入!$AB$5:$AB$404,$A121,销售录入!$C$5:$C$404,首页!$B$5)+SUMIFS(采购录入!$W$5:$W$404,采购录入!$V$5:$V$404,$B$3,采购录入!$U$5:$U$404,$A121,采购录入!$C$5:$C$404,首页!$B$5)+SUMIFS(采购录入!$Z$5:$Z$404,采购录入!$Y$5:$Y$404,$B$3,采购录入!$X$5:$X$404,$A121,采购录入!$C$5:$C$404,首页!$B$5)+SUMIFS(其他凭证!$H$5:$H$304,其他凭证!$G$5:$G$304,$B$3,其他凭证!$F$5:$F$304,$A121,其他凭证!$C$5:$C$304,首页!$B$5))</f>
        <v/>
      </c>
      <c r="E121" s="44" t="str">
        <f aca="false">IF($A121="","",$C121-$D121)</f>
        <v/>
      </c>
      <c r="F121" s="22" t="str">
        <f aca="false">IF(OR($A121="",AND($C121=0,$D121=0)),"",IF($C121&gt;0,"借 "&amp;$C$3&amp;" / 贷 "&amp;$B121,"")&amp;IF(AND($C121&gt;0,$D121&gt;0)," ；","")&amp;IF($D121&gt;0,"借 "&amp;$B121&amp;" / 贷 "&amp;$C$3,""))</f>
        <v/>
      </c>
    </row>
    <row r="122" customFormat="false" ht="15.75" hidden="false" customHeight="true" outlineLevel="0" collapsed="false">
      <c r="A122" s="42" t="str">
        <f aca="false">IF(科目参数!$A122="","",科目参数!$A122)</f>
        <v/>
      </c>
      <c r="B122" s="35" t="str">
        <f aca="false">IF($A122="","",科目参数!$B122)</f>
        <v/>
      </c>
      <c r="C122" s="54" t="str">
        <f aca="false">IF($A122="","",SUMIFS(资金流水!$N$5:$N$504,资金流水!$O$5:$O$504,$B$3,资金流水!$P$5:$P$504,$A122,资金流水!$C$5:$C$504,首页!$B$5)+SUMIFS(销售录入!$X$5:$X$404,销售录入!$V$5:$V$404,$B$3,销售录入!$W$5:$W$404,$A122,销售录入!$C$5:$C$404,首页!$B$5)+SUMIFS(销售录入!$AA$5:$AA$404,销售录入!$Y$5:$Y$404,$B$3,销售录入!$Z$5:$Z$404,$A122,销售录入!$C$5:$C$404,首页!$B$5)+SUMIFS(销售录入!$AD$5:$AD$404,销售录入!$AB$5:$AB$404,$B$3,销售录入!$AC$5:$AC$404,$A122,销售录入!$C$5:$C$404,首页!$B$5)+SUMIFS(采购录入!$W$5:$W$404,采购录入!$U$5:$U$404,$B$3,采购录入!$V$5:$V$404,$A122,采购录入!$C$5:$C$404,首页!$B$5)+SUMIFS(采购录入!$Z$5:$Z$404,采购录入!$X$5:$X$404,$B$3,采购录入!$Y$5:$Y$404,$A122,采购录入!$C$5:$C$404,首页!$B$5)+SUMIFS(其他凭证!$H$5:$H$304,其他凭证!$F$5:$F$304,$B$3,其他凭证!$G$5:$G$304,$A122,其他凭证!$C$5:$C$304,首页!$B$5))</f>
        <v/>
      </c>
      <c r="D122" s="54" t="str">
        <f aca="false">IF($A122="","",SUMIFS(资金流水!$N$5:$N$504,资金流水!$P$5:$P$504,$B$3,资金流水!$O$5:$O$504,$A122,资金流水!$C$5:$C$504,首页!$B$5)+SUMIFS(销售录入!$X$5:$X$404,销售录入!$W$5:$W$404,$B$3,销售录入!$V$5:$V$404,$A122,销售录入!$C$5:$C$404,首页!$B$5)+SUMIFS(销售录入!$AA$5:$AA$404,销售录入!$Z$5:$Z$404,$B$3,销售录入!$Y$5:$Y$404,$A122,销售录入!$C$5:$C$404,首页!$B$5)+SUMIFS(销售录入!$AD$5:$AD$404,销售录入!$AC$5:$AC$404,$B$3,销售录入!$AB$5:$AB$404,$A122,销售录入!$C$5:$C$404,首页!$B$5)+SUMIFS(采购录入!$W$5:$W$404,采购录入!$V$5:$V$404,$B$3,采购录入!$U$5:$U$404,$A122,采购录入!$C$5:$C$404,首页!$B$5)+SUMIFS(采购录入!$Z$5:$Z$404,采购录入!$Y$5:$Y$404,$B$3,采购录入!$X$5:$X$404,$A122,采购录入!$C$5:$C$404,首页!$B$5)+SUMIFS(其他凭证!$H$5:$H$304,其他凭证!$G$5:$G$304,$B$3,其他凭证!$F$5:$F$304,$A122,其他凭证!$C$5:$C$304,首页!$B$5))</f>
        <v/>
      </c>
      <c r="E122" s="44" t="str">
        <f aca="false">IF($A122="","",$C122-$D122)</f>
        <v/>
      </c>
      <c r="F122" s="22" t="str">
        <f aca="false">IF(OR($A122="",AND($C122=0,$D122=0)),"",IF($C122&gt;0,"借 "&amp;$C$3&amp;" / 贷 "&amp;$B122,"")&amp;IF(AND($C122&gt;0,$D122&gt;0)," ；","")&amp;IF($D122&gt;0,"借 "&amp;$B122&amp;" / 贷 "&amp;$C$3,""))</f>
        <v/>
      </c>
    </row>
    <row r="123" customFormat="false" ht="15.75" hidden="false" customHeight="true" outlineLevel="0" collapsed="false">
      <c r="A123" s="42" t="str">
        <f aca="false">IF(科目参数!$A123="","",科目参数!$A123)</f>
        <v/>
      </c>
      <c r="B123" s="35" t="str">
        <f aca="false">IF($A123="","",科目参数!$B123)</f>
        <v/>
      </c>
      <c r="C123" s="54" t="str">
        <f aca="false">IF($A123="","",SUMIFS(资金流水!$N$5:$N$504,资金流水!$O$5:$O$504,$B$3,资金流水!$P$5:$P$504,$A123,资金流水!$C$5:$C$504,首页!$B$5)+SUMIFS(销售录入!$X$5:$X$404,销售录入!$V$5:$V$404,$B$3,销售录入!$W$5:$W$404,$A123,销售录入!$C$5:$C$404,首页!$B$5)+SUMIFS(销售录入!$AA$5:$AA$404,销售录入!$Y$5:$Y$404,$B$3,销售录入!$Z$5:$Z$404,$A123,销售录入!$C$5:$C$404,首页!$B$5)+SUMIFS(销售录入!$AD$5:$AD$404,销售录入!$AB$5:$AB$404,$B$3,销售录入!$AC$5:$AC$404,$A123,销售录入!$C$5:$C$404,首页!$B$5)+SUMIFS(采购录入!$W$5:$W$404,采购录入!$U$5:$U$404,$B$3,采购录入!$V$5:$V$404,$A123,采购录入!$C$5:$C$404,首页!$B$5)+SUMIFS(采购录入!$Z$5:$Z$404,采购录入!$X$5:$X$404,$B$3,采购录入!$Y$5:$Y$404,$A123,采购录入!$C$5:$C$404,首页!$B$5)+SUMIFS(其他凭证!$H$5:$H$304,其他凭证!$F$5:$F$304,$B$3,其他凭证!$G$5:$G$304,$A123,其他凭证!$C$5:$C$304,首页!$B$5))</f>
        <v/>
      </c>
      <c r="D123" s="54" t="str">
        <f aca="false">IF($A123="","",SUMIFS(资金流水!$N$5:$N$504,资金流水!$P$5:$P$504,$B$3,资金流水!$O$5:$O$504,$A123,资金流水!$C$5:$C$504,首页!$B$5)+SUMIFS(销售录入!$X$5:$X$404,销售录入!$W$5:$W$404,$B$3,销售录入!$V$5:$V$404,$A123,销售录入!$C$5:$C$404,首页!$B$5)+SUMIFS(销售录入!$AA$5:$AA$404,销售录入!$Z$5:$Z$404,$B$3,销售录入!$Y$5:$Y$404,$A123,销售录入!$C$5:$C$404,首页!$B$5)+SUMIFS(销售录入!$AD$5:$AD$404,销售录入!$AC$5:$AC$404,$B$3,销售录入!$AB$5:$AB$404,$A123,销售录入!$C$5:$C$404,首页!$B$5)+SUMIFS(采购录入!$W$5:$W$404,采购录入!$V$5:$V$404,$B$3,采购录入!$U$5:$U$404,$A123,采购录入!$C$5:$C$404,首页!$B$5)+SUMIFS(采购录入!$Z$5:$Z$404,采购录入!$Y$5:$Y$404,$B$3,采购录入!$X$5:$X$404,$A123,采购录入!$C$5:$C$404,首页!$B$5)+SUMIFS(其他凭证!$H$5:$H$304,其他凭证!$G$5:$G$304,$B$3,其他凭证!$F$5:$F$304,$A123,其他凭证!$C$5:$C$304,首页!$B$5))</f>
        <v/>
      </c>
      <c r="E123" s="44" t="str">
        <f aca="false">IF($A123="","",$C123-$D123)</f>
        <v/>
      </c>
      <c r="F123" s="22" t="str">
        <f aca="false">IF(OR($A123="",AND($C123=0,$D123=0)),"",IF($C123&gt;0,"借 "&amp;$C$3&amp;" / 贷 "&amp;$B123,"")&amp;IF(AND($C123&gt;0,$D123&gt;0)," ；","")&amp;IF($D123&gt;0,"借 "&amp;$B123&amp;" / 贷 "&amp;$C$3,""))</f>
        <v/>
      </c>
    </row>
    <row r="124" customFormat="false" ht="15.75" hidden="false" customHeight="true" outlineLevel="0" collapsed="false">
      <c r="A124" s="42" t="str">
        <f aca="false">IF(科目参数!$A124="","",科目参数!$A124)</f>
        <v/>
      </c>
      <c r="B124" s="35" t="str">
        <f aca="false">IF($A124="","",科目参数!$B124)</f>
        <v/>
      </c>
      <c r="C124" s="54" t="str">
        <f aca="false">IF($A124="","",SUMIFS(资金流水!$N$5:$N$504,资金流水!$O$5:$O$504,$B$3,资金流水!$P$5:$P$504,$A124,资金流水!$C$5:$C$504,首页!$B$5)+SUMIFS(销售录入!$X$5:$X$404,销售录入!$V$5:$V$404,$B$3,销售录入!$W$5:$W$404,$A124,销售录入!$C$5:$C$404,首页!$B$5)+SUMIFS(销售录入!$AA$5:$AA$404,销售录入!$Y$5:$Y$404,$B$3,销售录入!$Z$5:$Z$404,$A124,销售录入!$C$5:$C$404,首页!$B$5)+SUMIFS(销售录入!$AD$5:$AD$404,销售录入!$AB$5:$AB$404,$B$3,销售录入!$AC$5:$AC$404,$A124,销售录入!$C$5:$C$404,首页!$B$5)+SUMIFS(采购录入!$W$5:$W$404,采购录入!$U$5:$U$404,$B$3,采购录入!$V$5:$V$404,$A124,采购录入!$C$5:$C$404,首页!$B$5)+SUMIFS(采购录入!$Z$5:$Z$404,采购录入!$X$5:$X$404,$B$3,采购录入!$Y$5:$Y$404,$A124,采购录入!$C$5:$C$404,首页!$B$5)+SUMIFS(其他凭证!$H$5:$H$304,其他凭证!$F$5:$F$304,$B$3,其他凭证!$G$5:$G$304,$A124,其他凭证!$C$5:$C$304,首页!$B$5))</f>
        <v/>
      </c>
      <c r="D124" s="54" t="str">
        <f aca="false">IF($A124="","",SUMIFS(资金流水!$N$5:$N$504,资金流水!$P$5:$P$504,$B$3,资金流水!$O$5:$O$504,$A124,资金流水!$C$5:$C$504,首页!$B$5)+SUMIFS(销售录入!$X$5:$X$404,销售录入!$W$5:$W$404,$B$3,销售录入!$V$5:$V$404,$A124,销售录入!$C$5:$C$404,首页!$B$5)+SUMIFS(销售录入!$AA$5:$AA$404,销售录入!$Z$5:$Z$404,$B$3,销售录入!$Y$5:$Y$404,$A124,销售录入!$C$5:$C$404,首页!$B$5)+SUMIFS(销售录入!$AD$5:$AD$404,销售录入!$AC$5:$AC$404,$B$3,销售录入!$AB$5:$AB$404,$A124,销售录入!$C$5:$C$404,首页!$B$5)+SUMIFS(采购录入!$W$5:$W$404,采购录入!$V$5:$V$404,$B$3,采购录入!$U$5:$U$404,$A124,采购录入!$C$5:$C$404,首页!$B$5)+SUMIFS(采购录入!$Z$5:$Z$404,采购录入!$Y$5:$Y$404,$B$3,采购录入!$X$5:$X$404,$A124,采购录入!$C$5:$C$404,首页!$B$5)+SUMIFS(其他凭证!$H$5:$H$304,其他凭证!$G$5:$G$304,$B$3,其他凭证!$F$5:$F$304,$A124,其他凭证!$C$5:$C$304,首页!$B$5))</f>
        <v/>
      </c>
      <c r="E124" s="44" t="str">
        <f aca="false">IF($A124="","",$C124-$D124)</f>
        <v/>
      </c>
      <c r="F124" s="22" t="str">
        <f aca="false">IF(OR($A124="",AND($C124=0,$D124=0)),"",IF($C124&gt;0,"借 "&amp;$C$3&amp;" / 贷 "&amp;$B124,"")&amp;IF(AND($C124&gt;0,$D124&gt;0)," ；","")&amp;IF($D124&gt;0,"借 "&amp;$B124&amp;" / 贷 "&amp;$C$3,""))</f>
        <v/>
      </c>
    </row>
    <row r="125" customFormat="false" ht="15.75" hidden="false" customHeight="true" outlineLevel="0" collapsed="false">
      <c r="A125" s="42" t="str">
        <f aca="false">IF(科目参数!$A125="","",科目参数!$A125)</f>
        <v/>
      </c>
      <c r="B125" s="35" t="str">
        <f aca="false">IF($A125="","",科目参数!$B125)</f>
        <v/>
      </c>
      <c r="C125" s="54" t="str">
        <f aca="false">IF($A125="","",SUMIFS(资金流水!$N$5:$N$504,资金流水!$O$5:$O$504,$B$3,资金流水!$P$5:$P$504,$A125,资金流水!$C$5:$C$504,首页!$B$5)+SUMIFS(销售录入!$X$5:$X$404,销售录入!$V$5:$V$404,$B$3,销售录入!$W$5:$W$404,$A125,销售录入!$C$5:$C$404,首页!$B$5)+SUMIFS(销售录入!$AA$5:$AA$404,销售录入!$Y$5:$Y$404,$B$3,销售录入!$Z$5:$Z$404,$A125,销售录入!$C$5:$C$404,首页!$B$5)+SUMIFS(销售录入!$AD$5:$AD$404,销售录入!$AB$5:$AB$404,$B$3,销售录入!$AC$5:$AC$404,$A125,销售录入!$C$5:$C$404,首页!$B$5)+SUMIFS(采购录入!$W$5:$W$404,采购录入!$U$5:$U$404,$B$3,采购录入!$V$5:$V$404,$A125,采购录入!$C$5:$C$404,首页!$B$5)+SUMIFS(采购录入!$Z$5:$Z$404,采购录入!$X$5:$X$404,$B$3,采购录入!$Y$5:$Y$404,$A125,采购录入!$C$5:$C$404,首页!$B$5)+SUMIFS(其他凭证!$H$5:$H$304,其他凭证!$F$5:$F$304,$B$3,其他凭证!$G$5:$G$304,$A125,其他凭证!$C$5:$C$304,首页!$B$5))</f>
        <v/>
      </c>
      <c r="D125" s="54" t="str">
        <f aca="false">IF($A125="","",SUMIFS(资金流水!$N$5:$N$504,资金流水!$P$5:$P$504,$B$3,资金流水!$O$5:$O$504,$A125,资金流水!$C$5:$C$504,首页!$B$5)+SUMIFS(销售录入!$X$5:$X$404,销售录入!$W$5:$W$404,$B$3,销售录入!$V$5:$V$404,$A125,销售录入!$C$5:$C$404,首页!$B$5)+SUMIFS(销售录入!$AA$5:$AA$404,销售录入!$Z$5:$Z$404,$B$3,销售录入!$Y$5:$Y$404,$A125,销售录入!$C$5:$C$404,首页!$B$5)+SUMIFS(销售录入!$AD$5:$AD$404,销售录入!$AC$5:$AC$404,$B$3,销售录入!$AB$5:$AB$404,$A125,销售录入!$C$5:$C$404,首页!$B$5)+SUMIFS(采购录入!$W$5:$W$404,采购录入!$V$5:$V$404,$B$3,采购录入!$U$5:$U$404,$A125,采购录入!$C$5:$C$404,首页!$B$5)+SUMIFS(采购录入!$Z$5:$Z$404,采购录入!$Y$5:$Y$404,$B$3,采购录入!$X$5:$X$404,$A125,采购录入!$C$5:$C$404,首页!$B$5)+SUMIFS(其他凭证!$H$5:$H$304,其他凭证!$G$5:$G$304,$B$3,其他凭证!$F$5:$F$304,$A125,其他凭证!$C$5:$C$304,首页!$B$5))</f>
        <v/>
      </c>
      <c r="E125" s="44" t="str">
        <f aca="false">IF($A125="","",$C125-$D125)</f>
        <v/>
      </c>
      <c r="F125" s="22" t="str">
        <f aca="false">IF(OR($A125="",AND($C125=0,$D125=0)),"",IF($C125&gt;0,"借 "&amp;$C$3&amp;" / 贷 "&amp;$B125,"")&amp;IF(AND($C125&gt;0,$D125&gt;0)," ；","")&amp;IF($D125&gt;0,"借 "&amp;$B125&amp;" / 贷 "&amp;$C$3,""))</f>
        <v/>
      </c>
    </row>
    <row r="126" customFormat="false" ht="15" hidden="false" customHeight="false" outlineLevel="0" collapsed="false">
      <c r="A126" s="55" t="s">
        <v>593</v>
      </c>
      <c r="B126" s="55"/>
      <c r="C126" s="39" t="n">
        <f aca="false">SUM(C6:C125)</f>
        <v>27686</v>
      </c>
      <c r="D126" s="39" t="n">
        <f aca="false">SUM(D6:D125)</f>
        <v>61000</v>
      </c>
      <c r="E126" s="39" t="n">
        <f aca="false">SUM(E6:E125)</f>
        <v>-33314</v>
      </c>
      <c r="F126" s="55"/>
    </row>
  </sheetData>
  <mergeCells count="2">
    <mergeCell ref="A1:F1"/>
    <mergeCell ref="A2:F2"/>
  </mergeCells>
  <dataValidations count="1">
    <dataValidation allowBlank="true" error="必须选择下拉中已维护的值，手工输入会导致取数错位" errorStyle="stop" errorTitle="请从下拉中选择" operator="between" showDropDown="false" showErrorMessage="true" showInputMessage="false" sqref="B3" type="list">
      <formula1>科目参数!$A$6:$A$125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D27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"/>
    <col collapsed="false" customWidth="true" hidden="false" outlineLevel="0" max="4" min="3" style="0" width="17"/>
  </cols>
  <sheetData>
    <row r="1" customFormat="false" ht="25.5" hidden="false" customHeight="true" outlineLevel="0" collapsed="false">
      <c r="A1" s="23" t="s">
        <v>600</v>
      </c>
      <c r="B1" s="23"/>
      <c r="C1" s="23"/>
      <c r="D1" s="23"/>
    </row>
    <row r="2" customFormat="false" ht="15" hidden="false" customHeight="true" outlineLevel="0" collapsed="false">
      <c r="A2" s="6" t="s">
        <v>601</v>
      </c>
      <c r="B2" s="6"/>
      <c r="C2" s="6"/>
      <c r="D2" s="6"/>
    </row>
    <row r="3" customFormat="false" ht="15" hidden="false" customHeight="false" outlineLevel="0" collapsed="false">
      <c r="A3" s="38" t="s">
        <v>3</v>
      </c>
      <c r="B3" s="53" t="str">
        <f aca="false">首页!$B$5</f>
        <v>2026-01</v>
      </c>
      <c r="C3" s="53"/>
    </row>
    <row r="5" customFormat="false" ht="30" hidden="false" customHeight="true" outlineLevel="0" collapsed="false">
      <c r="A5" s="30" t="s">
        <v>602</v>
      </c>
      <c r="B5" s="30" t="s">
        <v>603</v>
      </c>
      <c r="C5" s="30" t="s">
        <v>604</v>
      </c>
      <c r="D5" s="30" t="s">
        <v>605</v>
      </c>
    </row>
    <row r="6" customFormat="false" ht="18" hidden="false" customHeight="true" outlineLevel="0" collapsed="false">
      <c r="A6" s="57" t="s">
        <v>606</v>
      </c>
      <c r="B6" s="58" t="n">
        <v>1</v>
      </c>
      <c r="C6" s="59" t="n">
        <f aca="false">(SUMIFS(科目余额表!$H$6:$H$125,科目余额表!$O$6:$O$125,"主营业务收入")-SUMIFS(科目余额表!$G$6:$G$125,科目余额表!$O$6:$O$125,"主营业务收入"))+(SUMIFS(科目余额表!$H$6:$H$125,科目余额表!$O$6:$O$125,"其他业务收入")-SUMIFS(科目余额表!$G$6:$G$125,科目余额表!$O$6:$O$125,"其他业务收入"))</f>
        <v>24600</v>
      </c>
      <c r="D6" s="59" t="n">
        <f aca="false">(SUMIFS(科目余额表!$J$6:$J$125,科目余额表!$O$6:$O$125,"主营业务收入")-SUMIFS(科目余额表!$I$6:$I$125,科目余额表!$O$6:$O$125,"主营业务收入"))+(SUMIFS(科目余额表!$J$6:$J$125,科目余额表!$O$6:$O$125,"其他业务收入")-SUMIFS(科目余额表!$I$6:$I$125,科目余额表!$O$6:$O$125,"其他业务收入"))</f>
        <v>24600</v>
      </c>
    </row>
    <row r="7" customFormat="false" ht="18" hidden="false" customHeight="true" outlineLevel="0" collapsed="false">
      <c r="A7" s="22" t="s">
        <v>607</v>
      </c>
      <c r="B7" s="34" t="n">
        <v>2</v>
      </c>
      <c r="C7" s="44" t="n">
        <f aca="false">SUMIFS(科目余额表!$H$6:$H$125,科目余额表!$O$6:$O$125,"主营业务收入")-SUMIFS(科目余额表!$G$6:$G$125,科目余额表!$O$6:$O$125,"主营业务收入")</f>
        <v>24600</v>
      </c>
      <c r="D7" s="44" t="n">
        <f aca="false">SUMIFS(科目余额表!$J$6:$J$125,科目余额表!$O$6:$O$125,"主营业务收入")-SUMIFS(科目余额表!$I$6:$I$125,科目余额表!$O$6:$O$125,"主营业务收入")</f>
        <v>24600</v>
      </c>
    </row>
    <row r="8" customFormat="false" ht="18" hidden="false" customHeight="true" outlineLevel="0" collapsed="false">
      <c r="A8" s="22" t="s">
        <v>608</v>
      </c>
      <c r="B8" s="34" t="n">
        <v>3</v>
      </c>
      <c r="C8" s="44" t="n">
        <f aca="false">SUMIFS(科目余额表!$H$6:$H$125,科目余额表!$O$6:$O$125,"其他业务收入")-SUMIFS(科目余额表!$G$6:$G$125,科目余额表!$O$6:$O$125,"其他业务收入")</f>
        <v>0</v>
      </c>
      <c r="D8" s="44" t="n">
        <f aca="false">SUMIFS(科目余额表!$J$6:$J$125,科目余额表!$O$6:$O$125,"其他业务收入")-SUMIFS(科目余额表!$I$6:$I$125,科目余额表!$O$6:$O$125,"其他业务收入")</f>
        <v>0</v>
      </c>
    </row>
    <row r="9" customFormat="false" ht="18" hidden="false" customHeight="true" outlineLevel="0" collapsed="false">
      <c r="A9" s="22" t="s">
        <v>609</v>
      </c>
      <c r="B9" s="34" t="n">
        <v>4</v>
      </c>
      <c r="C9" s="44" t="n">
        <f aca="false">(SUMIFS(科目余额表!$G$6:$G$125,科目余额表!$O$6:$O$125,"主营业务成本")-SUMIFS(科目余额表!$H$6:$H$125,科目余额表!$O$6:$O$125,"主营业务成本"))+(SUMIFS(科目余额表!$G$6:$G$125,科目余额表!$O$6:$O$125,"其他业务成本")-SUMIFS(科目余额表!$H$6:$H$125,科目余额表!$O$6:$O$125,"其他业务成本"))</f>
        <v>13462.5</v>
      </c>
      <c r="D9" s="44" t="n">
        <f aca="false">(SUMIFS(科目余额表!$I$6:$I$125,科目余额表!$O$6:$O$125,"主营业务成本")-SUMIFS(科目余额表!$J$6:$J$125,科目余额表!$O$6:$O$125,"主营业务成本"))+(SUMIFS(科目余额表!$I$6:$I$125,科目余额表!$O$6:$O$125,"其他业务成本")-SUMIFS(科目余额表!$J$6:$J$125,科目余额表!$O$6:$O$125,"其他业务成本"))</f>
        <v>13462.5</v>
      </c>
    </row>
    <row r="10" customFormat="false" ht="18" hidden="false" customHeight="true" outlineLevel="0" collapsed="false">
      <c r="A10" s="22" t="s">
        <v>610</v>
      </c>
      <c r="B10" s="34" t="n">
        <v>5</v>
      </c>
      <c r="C10" s="44" t="n">
        <f aca="false">SUMIFS(科目余额表!$G$6:$G$125,科目余额表!$O$6:$O$125,"主营业务成本")-SUMIFS(科目余额表!$H$6:$H$125,科目余额表!$O$6:$O$125,"主营业务成本")</f>
        <v>13462.5</v>
      </c>
      <c r="D10" s="44" t="n">
        <f aca="false">SUMIFS(科目余额表!$I$6:$I$125,科目余额表!$O$6:$O$125,"主营业务成本")-SUMIFS(科目余额表!$J$6:$J$125,科目余额表!$O$6:$O$125,"主营业务成本")</f>
        <v>13462.5</v>
      </c>
    </row>
    <row r="11" customFormat="false" ht="18" hidden="false" customHeight="true" outlineLevel="0" collapsed="false">
      <c r="A11" s="22" t="s">
        <v>611</v>
      </c>
      <c r="B11" s="34" t="n">
        <v>6</v>
      </c>
      <c r="C11" s="44" t="n">
        <f aca="false">SUMIFS(科目余额表!$G$6:$G$125,科目余额表!$O$6:$O$125,"其他业务成本")-SUMIFS(科目余额表!$H$6:$H$125,科目余额表!$O$6:$O$125,"其他业务成本")</f>
        <v>0</v>
      </c>
      <c r="D11" s="44" t="n">
        <f aca="false">SUMIFS(科目余额表!$I$6:$I$125,科目余额表!$O$6:$O$125,"其他业务成本")-SUMIFS(科目余额表!$J$6:$J$125,科目余额表!$O$6:$O$125,"其他业务成本")</f>
        <v>0</v>
      </c>
    </row>
    <row r="12" customFormat="false" ht="18" hidden="false" customHeight="true" outlineLevel="0" collapsed="false">
      <c r="A12" s="22" t="s">
        <v>612</v>
      </c>
      <c r="B12" s="34" t="n">
        <v>7</v>
      </c>
      <c r="C12" s="44" t="n">
        <f aca="false">SUMIFS(科目余额表!$G$6:$G$125,科目余额表!$O$6:$O$125,"税金及附加")-SUMIFS(科目余额表!$H$6:$H$125,科目余额表!$O$6:$O$125,"税金及附加")</f>
        <v>500</v>
      </c>
      <c r="D12" s="44" t="n">
        <f aca="false">SUMIFS(科目余额表!$I$6:$I$125,科目余额表!$O$6:$O$125,"税金及附加")-SUMIFS(科目余额表!$J$6:$J$125,科目余额表!$O$6:$O$125,"税金及附加")</f>
        <v>500</v>
      </c>
    </row>
    <row r="13" customFormat="false" ht="18" hidden="false" customHeight="true" outlineLevel="0" collapsed="false">
      <c r="A13" s="22" t="s">
        <v>613</v>
      </c>
      <c r="B13" s="34" t="n">
        <v>8</v>
      </c>
      <c r="C13" s="44" t="n">
        <f aca="false">SUMIFS(科目余额表!$G$6:$G$125,科目余额表!$O$6:$O$125,"销售费用")-SUMIFS(科目余额表!$H$6:$H$125,科目余额表!$O$6:$O$125,"销售费用")</f>
        <v>0</v>
      </c>
      <c r="D13" s="44" t="n">
        <f aca="false">SUMIFS(科目余额表!$I$6:$I$125,科目余额表!$O$6:$O$125,"销售费用")-SUMIFS(科目余额表!$J$6:$J$125,科目余额表!$O$6:$O$125,"销售费用")</f>
        <v>0</v>
      </c>
    </row>
    <row r="14" customFormat="false" ht="18" hidden="false" customHeight="true" outlineLevel="0" collapsed="false">
      <c r="A14" s="22" t="s">
        <v>614</v>
      </c>
      <c r="B14" s="34" t="n">
        <v>9</v>
      </c>
      <c r="C14" s="44" t="n">
        <f aca="false">SUMIFS(科目余额表!$G$6:$G$125,科目余额表!$O$6:$O$125,"管理费用")-SUMIFS(科目余额表!$H$6:$H$125,科目余额表!$O$6:$O$125,"管理费用")</f>
        <v>31300</v>
      </c>
      <c r="D14" s="44" t="n">
        <f aca="false">SUMIFS(科目余额表!$I$6:$I$125,科目余额表!$O$6:$O$125,"管理费用")-SUMIFS(科目余额表!$J$6:$J$125,科目余额表!$O$6:$O$125,"管理费用")</f>
        <v>31300</v>
      </c>
    </row>
    <row r="15" customFormat="false" ht="18" hidden="false" customHeight="true" outlineLevel="0" collapsed="false">
      <c r="A15" s="22" t="s">
        <v>615</v>
      </c>
      <c r="B15" s="34" t="n">
        <v>10</v>
      </c>
      <c r="C15" s="44" t="n">
        <f aca="false">SUMIFS(科目余额表!$G$6:$G$125,科目余额表!$O$6:$O$125,"研发费用")-SUMIFS(科目余额表!$H$6:$H$125,科目余额表!$O$6:$O$125,"研发费用")</f>
        <v>0</v>
      </c>
      <c r="D15" s="44" t="n">
        <f aca="false">SUMIFS(科目余额表!$I$6:$I$125,科目余额表!$O$6:$O$125,"研发费用")-SUMIFS(科目余额表!$J$6:$J$125,科目余额表!$O$6:$O$125,"研发费用")</f>
        <v>0</v>
      </c>
    </row>
    <row r="16" customFormat="false" ht="18" hidden="false" customHeight="true" outlineLevel="0" collapsed="false">
      <c r="A16" s="22" t="s">
        <v>616</v>
      </c>
      <c r="B16" s="34" t="n">
        <v>11</v>
      </c>
      <c r="C16" s="44" t="n">
        <f aca="false">SUMIFS(科目余额表!$G$6:$G$125,科目余额表!$O$6:$O$125,"财务费用")-SUMIFS(科目余额表!$H$6:$H$125,科目余额表!$O$6:$O$125,"财务费用")</f>
        <v>0</v>
      </c>
      <c r="D16" s="44" t="n">
        <f aca="false">SUMIFS(科目余额表!$I$6:$I$125,科目余额表!$O$6:$O$125,"财务费用")-SUMIFS(科目余额表!$J$6:$J$125,科目余额表!$O$6:$O$125,"财务费用")</f>
        <v>0</v>
      </c>
    </row>
    <row r="17" customFormat="false" ht="18" hidden="false" customHeight="true" outlineLevel="0" collapsed="false">
      <c r="A17" s="22" t="s">
        <v>617</v>
      </c>
      <c r="B17" s="34" t="n">
        <v>12</v>
      </c>
      <c r="C17" s="44" t="n">
        <f aca="false">SUMIFS(科目余额表!$G$6:$G$125,科目余额表!$O$6:$O$125,"资产减值损失")-SUMIFS(科目余额表!$H$6:$H$125,科目余额表!$O$6:$O$125,"资产减值损失")</f>
        <v>0</v>
      </c>
      <c r="D17" s="44" t="n">
        <f aca="false">SUMIFS(科目余额表!$I$6:$I$125,科目余额表!$O$6:$O$125,"资产减值损失")-SUMIFS(科目余额表!$J$6:$J$125,科目余额表!$O$6:$O$125,"资产减值损失")</f>
        <v>0</v>
      </c>
    </row>
    <row r="18" customFormat="false" ht="18" hidden="false" customHeight="true" outlineLevel="0" collapsed="false">
      <c r="A18" s="22" t="s">
        <v>618</v>
      </c>
      <c r="B18" s="34" t="n">
        <v>13</v>
      </c>
      <c r="C18" s="44" t="n">
        <f aca="false">SUMIFS(科目余额表!$G$6:$G$125,科目余额表!$O$6:$O$125,"信用减值损失")-SUMIFS(科目余额表!$H$6:$H$125,科目余额表!$O$6:$O$125,"信用减值损失")</f>
        <v>0</v>
      </c>
      <c r="D18" s="44" t="n">
        <f aca="false">SUMIFS(科目余额表!$I$6:$I$125,科目余额表!$O$6:$O$125,"信用减值损失")-SUMIFS(科目余额表!$J$6:$J$125,科目余额表!$O$6:$O$125,"信用减值损失")</f>
        <v>0</v>
      </c>
    </row>
    <row r="19" customFormat="false" ht="18" hidden="false" customHeight="true" outlineLevel="0" collapsed="false">
      <c r="A19" s="22" t="s">
        <v>619</v>
      </c>
      <c r="B19" s="34" t="n">
        <v>14</v>
      </c>
      <c r="C19" s="44" t="n">
        <f aca="false">SUMIFS(科目余额表!$H$6:$H$125,科目余额表!$O$6:$O$125,"其他收益")-SUMIFS(科目余额表!$G$6:$G$125,科目余额表!$O$6:$O$125,"其他收益")</f>
        <v>0</v>
      </c>
      <c r="D19" s="44" t="n">
        <f aca="false">SUMIFS(科目余额表!$J$6:$J$125,科目余额表!$O$6:$O$125,"其他收益")-SUMIFS(科目余额表!$I$6:$I$125,科目余额表!$O$6:$O$125,"其他收益")</f>
        <v>0</v>
      </c>
    </row>
    <row r="20" customFormat="false" ht="18" hidden="false" customHeight="true" outlineLevel="0" collapsed="false">
      <c r="A20" s="22" t="s">
        <v>620</v>
      </c>
      <c r="B20" s="34" t="n">
        <v>15</v>
      </c>
      <c r="C20" s="44" t="n">
        <f aca="false">SUMIFS(科目余额表!$H$6:$H$125,科目余额表!$O$6:$O$125,"投资收益")-SUMIFS(科目余额表!$G$6:$G$125,科目余额表!$O$6:$O$125,"投资收益")</f>
        <v>0</v>
      </c>
      <c r="D20" s="44" t="n">
        <f aca="false">SUMIFS(科目余额表!$J$6:$J$125,科目余额表!$O$6:$O$125,"投资收益")-SUMIFS(科目余额表!$I$6:$I$125,科目余额表!$O$6:$O$125,"投资收益")</f>
        <v>0</v>
      </c>
    </row>
    <row r="21" customFormat="false" ht="18" hidden="false" customHeight="true" outlineLevel="0" collapsed="false">
      <c r="A21" s="22" t="s">
        <v>621</v>
      </c>
      <c r="B21" s="34" t="n">
        <v>16</v>
      </c>
      <c r="C21" s="44" t="n">
        <f aca="false">SUMIFS(科目余额表!$H$6:$H$125,科目余额表!$O$6:$O$125,"资产处置收益")-SUMIFS(科目余额表!$G$6:$G$125,科目余额表!$O$6:$O$125,"资产处置收益")</f>
        <v>0</v>
      </c>
      <c r="D21" s="44" t="n">
        <f aca="false">SUMIFS(科目余额表!$J$6:$J$125,科目余额表!$O$6:$O$125,"资产处置收益")-SUMIFS(科目余额表!$I$6:$I$125,科目余额表!$O$6:$O$125,"资产处置收益")</f>
        <v>0</v>
      </c>
    </row>
    <row r="22" customFormat="false" ht="18" hidden="false" customHeight="true" outlineLevel="0" collapsed="false">
      <c r="A22" s="57" t="s">
        <v>622</v>
      </c>
      <c r="B22" s="58" t="n">
        <v>17</v>
      </c>
      <c r="C22" s="39" t="n">
        <f aca="false">C6+C19+C20+C21-C9-C12-C13-C14-C15-C16-C17-C18</f>
        <v>-20662.5</v>
      </c>
      <c r="D22" s="39" t="n">
        <f aca="false">D6+D19+D20+D21-D9-D12-D13-D14-D15-D16-D17-D18</f>
        <v>-20662.5</v>
      </c>
    </row>
    <row r="23" customFormat="false" ht="18" hidden="false" customHeight="true" outlineLevel="0" collapsed="false">
      <c r="A23" s="22" t="s">
        <v>623</v>
      </c>
      <c r="B23" s="34" t="n">
        <v>18</v>
      </c>
      <c r="C23" s="44" t="n">
        <f aca="false">SUMIFS(科目余额表!$H$6:$H$125,科目余额表!$O$6:$O$125,"营业外收入")-SUMIFS(科目余额表!$G$6:$G$125,科目余额表!$O$6:$O$125,"营业外收入")</f>
        <v>0</v>
      </c>
      <c r="D23" s="44" t="n">
        <f aca="false">SUMIFS(科目余额表!$J$6:$J$125,科目余额表!$O$6:$O$125,"营业外收入")-SUMIFS(科目余额表!$I$6:$I$125,科目余额表!$O$6:$O$125,"营业外收入")</f>
        <v>0</v>
      </c>
    </row>
    <row r="24" customFormat="false" ht="18" hidden="false" customHeight="true" outlineLevel="0" collapsed="false">
      <c r="A24" s="22" t="s">
        <v>624</v>
      </c>
      <c r="B24" s="34" t="n">
        <v>19</v>
      </c>
      <c r="C24" s="44" t="n">
        <f aca="false">SUMIFS(科目余额表!$G$6:$G$125,科目余额表!$O$6:$O$125,"营业外支出")-SUMIFS(科目余额表!$H$6:$H$125,科目余额表!$O$6:$O$125,"营业外支出")</f>
        <v>0</v>
      </c>
      <c r="D24" s="44" t="n">
        <f aca="false">SUMIFS(科目余额表!$I$6:$I$125,科目余额表!$O$6:$O$125,"营业外支出")-SUMIFS(科目余额表!$J$6:$J$125,科目余额表!$O$6:$O$125,"营业外支出")</f>
        <v>0</v>
      </c>
    </row>
    <row r="25" customFormat="false" ht="18" hidden="false" customHeight="true" outlineLevel="0" collapsed="false">
      <c r="A25" s="57" t="s">
        <v>625</v>
      </c>
      <c r="B25" s="58" t="n">
        <v>20</v>
      </c>
      <c r="C25" s="39" t="n">
        <f aca="false">C22+C23-C24</f>
        <v>-20662.5</v>
      </c>
      <c r="D25" s="39" t="n">
        <f aca="false">D22+D23-D24</f>
        <v>-20662.5</v>
      </c>
    </row>
    <row r="26" customFormat="false" ht="18" hidden="false" customHeight="true" outlineLevel="0" collapsed="false">
      <c r="A26" s="22" t="s">
        <v>626</v>
      </c>
      <c r="B26" s="34" t="n">
        <v>21</v>
      </c>
      <c r="C26" s="44" t="n">
        <f aca="false">SUMIFS(科目余额表!$G$6:$G$125,科目余额表!$O$6:$O$125,"所得税费用")-SUMIFS(科目余额表!$H$6:$H$125,科目余额表!$O$6:$O$125,"所得税费用")</f>
        <v>0</v>
      </c>
      <c r="D26" s="44" t="n">
        <f aca="false">SUMIFS(科目余额表!$I$6:$I$125,科目余额表!$O$6:$O$125,"所得税费用")-SUMIFS(科目余额表!$J$6:$J$125,科目余额表!$O$6:$O$125,"所得税费用")</f>
        <v>0</v>
      </c>
    </row>
    <row r="27" customFormat="false" ht="18" hidden="false" customHeight="true" outlineLevel="0" collapsed="false">
      <c r="A27" s="57" t="s">
        <v>627</v>
      </c>
      <c r="B27" s="58" t="n">
        <v>22</v>
      </c>
      <c r="C27" s="39" t="n">
        <f aca="false">C25-C26</f>
        <v>-20662.5</v>
      </c>
      <c r="D27" s="39" t="n">
        <f aca="false">D25-D26</f>
        <v>-20662.5</v>
      </c>
    </row>
  </sheetData>
  <mergeCells count="3">
    <mergeCell ref="A1:D1"/>
    <mergeCell ref="A2:D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H31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8" min="7" style="0" width="16"/>
  </cols>
  <sheetData>
    <row r="1" customFormat="false" ht="25.5" hidden="false" customHeight="true" outlineLevel="0" collapsed="false">
      <c r="A1" s="23" t="s">
        <v>628</v>
      </c>
      <c r="B1" s="23"/>
      <c r="C1" s="23"/>
      <c r="D1" s="23"/>
      <c r="E1" s="23"/>
      <c r="F1" s="23"/>
      <c r="G1" s="23"/>
      <c r="H1" s="23"/>
    </row>
    <row r="2" customFormat="false" ht="15" hidden="false" customHeight="true" outlineLevel="0" collapsed="false">
      <c r="A2" s="6" t="s">
        <v>629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38" t="s">
        <v>3</v>
      </c>
      <c r="B3" s="53" t="str">
        <f aca="false">首页!$B$5</f>
        <v>2026-01</v>
      </c>
      <c r="C3" s="53"/>
    </row>
    <row r="5" customFormat="false" ht="30" hidden="false" customHeight="true" outlineLevel="0" collapsed="false">
      <c r="A5" s="30" t="s">
        <v>630</v>
      </c>
      <c r="B5" s="30" t="s">
        <v>603</v>
      </c>
      <c r="C5" s="30" t="s">
        <v>631</v>
      </c>
      <c r="D5" s="30" t="s">
        <v>632</v>
      </c>
      <c r="E5" s="30" t="s">
        <v>633</v>
      </c>
      <c r="F5" s="30" t="s">
        <v>603</v>
      </c>
      <c r="G5" s="30" t="s">
        <v>631</v>
      </c>
      <c r="H5" s="30" t="s">
        <v>632</v>
      </c>
    </row>
    <row r="6" customFormat="false" ht="18" hidden="false" customHeight="true" outlineLevel="0" collapsed="false">
      <c r="A6" s="22" t="s">
        <v>634</v>
      </c>
      <c r="B6" s="34" t="n">
        <v>1</v>
      </c>
      <c r="C6" s="44" t="n">
        <f aca="false">SUMIFS(科目余额表!$K$6:$K$125,科目余额表!$N$6:$N$125,"货币资金")</f>
        <v>332200</v>
      </c>
      <c r="D6" s="44" t="n">
        <f aca="false">SUMIFS(科目余额表!$E$6:$E$125,科目余额表!$N$6:$N$125,"货币资金")-SUMIFS(科目余额表!$F$6:$F$125,科目余额表!$N$6:$N$125,"货币资金")</f>
        <v>335000</v>
      </c>
      <c r="E6" s="22" t="s">
        <v>635</v>
      </c>
      <c r="F6" s="34" t="n">
        <v>1</v>
      </c>
      <c r="G6" s="44" t="n">
        <f aca="false">-(SUMIFS(科目余额表!$K$6:$K$125,科目余额表!$N$6:$N$125,"短期借款"))</f>
        <v>-0</v>
      </c>
      <c r="H6" s="44" t="n">
        <f aca="false">-(SUMIFS(科目余额表!$E$6:$E$125,科目余额表!$N$6:$N$125,"短期借款")-SUMIFS(科目余额表!$F$6:$F$125,科目余额表!$N$6:$N$125,"短期借款"))</f>
        <v>-0</v>
      </c>
    </row>
    <row r="7" customFormat="false" ht="18" hidden="false" customHeight="true" outlineLevel="0" collapsed="false">
      <c r="A7" s="22" t="s">
        <v>636</v>
      </c>
      <c r="B7" s="34" t="n">
        <v>2</v>
      </c>
      <c r="C7" s="44" t="n">
        <f aca="false">SUMIFS(科目余额表!$K$6:$K$125,科目余额表!$N$6:$N$125,"交易性金融资产")</f>
        <v>0</v>
      </c>
      <c r="D7" s="44" t="n">
        <f aca="false">SUMIFS(科目余额表!$E$6:$E$125,科目余额表!$N$6:$N$125,"交易性金融资产")-SUMIFS(科目余额表!$F$6:$F$125,科目余额表!$N$6:$N$125,"交易性金融资产")</f>
        <v>0</v>
      </c>
      <c r="E7" s="22" t="s">
        <v>637</v>
      </c>
      <c r="F7" s="34" t="n">
        <v>2</v>
      </c>
      <c r="G7" s="44" t="n">
        <f aca="false">-(SUMIFS(科目余额表!$K$6:$K$125,科目余额表!$N$6:$N$125,"应付票据"))</f>
        <v>-0</v>
      </c>
      <c r="H7" s="44" t="n">
        <f aca="false">-(SUMIFS(科目余额表!$E$6:$E$125,科目余额表!$N$6:$N$125,"应付票据")-SUMIFS(科目余额表!$F$6:$F$125,科目余额表!$N$6:$N$125,"应付票据"))</f>
        <v>-0</v>
      </c>
    </row>
    <row r="8" customFormat="false" ht="18" hidden="false" customHeight="true" outlineLevel="0" collapsed="false">
      <c r="A8" s="22" t="s">
        <v>638</v>
      </c>
      <c r="B8" s="34" t="n">
        <v>3</v>
      </c>
      <c r="C8" s="44" t="n">
        <f aca="false">SUMIFS(科目余额表!$K$6:$K$125,科目余额表!$N$6:$N$125,"应收票据")</f>
        <v>0</v>
      </c>
      <c r="D8" s="44" t="n">
        <f aca="false">SUMIFS(科目余额表!$E$6:$E$125,科目余额表!$N$6:$N$125,"应收票据")-SUMIFS(科目余额表!$F$6:$F$125,科目余额表!$N$6:$N$125,"应收票据")</f>
        <v>0</v>
      </c>
      <c r="E8" s="22" t="s">
        <v>639</v>
      </c>
      <c r="F8" s="34" t="n">
        <v>3</v>
      </c>
      <c r="G8" s="44" t="n">
        <f aca="false">-(SUMIFS(科目余额表!$K$6:$K$125,科目余额表!$N$6:$N$125,"应付账款"))</f>
        <v>21752.5</v>
      </c>
      <c r="H8" s="44" t="n">
        <f aca="false">-(SUMIFS(科目余额表!$E$6:$E$125,科目余额表!$N$6:$N$125,"应付账款")-SUMIFS(科目余额表!$F$6:$F$125,科目余额表!$N$6:$N$125,"应付账款"))</f>
        <v>40000</v>
      </c>
    </row>
    <row r="9" customFormat="false" ht="18" hidden="false" customHeight="true" outlineLevel="0" collapsed="false">
      <c r="A9" s="22" t="s">
        <v>640</v>
      </c>
      <c r="B9" s="34" t="n">
        <v>4</v>
      </c>
      <c r="C9" s="44" t="n">
        <f aca="false">SUMIFS(科目余额表!$K$6:$K$125,科目余额表!$N$6:$N$125,"应收账款")</f>
        <v>46686</v>
      </c>
      <c r="D9" s="44" t="n">
        <f aca="false">SUMIFS(科目余额表!$E$6:$E$125,科目余额表!$N$6:$N$125,"应收账款")-SUMIFS(科目余额表!$F$6:$F$125,科目余额表!$N$6:$N$125,"应收账款")</f>
        <v>80000</v>
      </c>
      <c r="E9" s="22" t="s">
        <v>641</v>
      </c>
      <c r="F9" s="34" t="n">
        <v>4</v>
      </c>
      <c r="G9" s="44" t="n">
        <f aca="false">-(SUMIFS(科目余额表!$K$6:$K$125,科目余额表!$N$6:$N$125,"预收款项"))</f>
        <v>-0</v>
      </c>
      <c r="H9" s="44" t="n">
        <f aca="false">-(SUMIFS(科目余额表!$E$6:$E$125,科目余额表!$N$6:$N$125,"预收款项")-SUMIFS(科目余额表!$F$6:$F$125,科目余额表!$N$6:$N$125,"预收款项"))</f>
        <v>-0</v>
      </c>
    </row>
    <row r="10" customFormat="false" ht="18" hidden="false" customHeight="true" outlineLevel="0" collapsed="false">
      <c r="A10" s="22" t="s">
        <v>642</v>
      </c>
      <c r="B10" s="34" t="n">
        <v>5</v>
      </c>
      <c r="C10" s="44" t="n">
        <f aca="false">SUMIFS(科目余额表!$K$6:$K$125,科目余额表!$N$6:$N$125,"预付款项")</f>
        <v>0</v>
      </c>
      <c r="D10" s="44" t="n">
        <f aca="false">SUMIFS(科目余额表!$E$6:$E$125,科目余额表!$N$6:$N$125,"预付款项")-SUMIFS(科目余额表!$F$6:$F$125,科目余额表!$N$6:$N$125,"预付款项")</f>
        <v>0</v>
      </c>
      <c r="E10" s="22" t="s">
        <v>643</v>
      </c>
      <c r="F10" s="34" t="n">
        <v>5</v>
      </c>
      <c r="G10" s="44" t="n">
        <f aca="false">-(SUMIFS(科目余额表!$K$6:$K$125,科目余额表!$N$6:$N$125,"应付职工薪酬"))</f>
        <v>18000</v>
      </c>
      <c r="H10" s="44" t="n">
        <f aca="false">-(SUMIFS(科目余额表!$E$6:$E$125,科目余额表!$N$6:$N$125,"应付职工薪酬")-SUMIFS(科目余额表!$F$6:$F$125,科目余额表!$N$6:$N$125,"应付职工薪酬"))</f>
        <v>15000</v>
      </c>
    </row>
    <row r="11" customFormat="false" ht="18" hidden="false" customHeight="true" outlineLevel="0" collapsed="false">
      <c r="A11" s="22" t="s">
        <v>644</v>
      </c>
      <c r="B11" s="34" t="n">
        <v>6</v>
      </c>
      <c r="C11" s="44" t="n">
        <f aca="false">SUMIFS(科目余额表!$K$6:$K$125,科目余额表!$N$6:$N$125,"其他应收款")</f>
        <v>0</v>
      </c>
      <c r="D11" s="44" t="n">
        <f aca="false">SUMIFS(科目余额表!$E$6:$E$125,科目余额表!$N$6:$N$125,"其他应收款")-SUMIFS(科目余额表!$F$6:$F$125,科目余额表!$N$6:$N$125,"其他应收款")</f>
        <v>0</v>
      </c>
      <c r="E11" s="22" t="s">
        <v>645</v>
      </c>
      <c r="F11" s="34" t="n">
        <v>6</v>
      </c>
      <c r="G11" s="44" t="n">
        <f aca="false">-(SUMIFS(科目余额表!$K$6:$K$125,科目余额表!$N$6:$N$125,"应交税费"))</f>
        <v>9083.5</v>
      </c>
      <c r="H11" s="44" t="n">
        <f aca="false">-(SUMIFS(科目余额表!$E$6:$E$125,科目余额表!$N$6:$N$125,"应交税费")-SUMIFS(科目余额表!$F$6:$F$125,科目余额表!$N$6:$N$125,"应交税费"))</f>
        <v>8000</v>
      </c>
    </row>
    <row r="12" customFormat="false" ht="18" hidden="false" customHeight="true" outlineLevel="0" collapsed="false">
      <c r="A12" s="22" t="s">
        <v>646</v>
      </c>
      <c r="B12" s="34" t="n">
        <v>7</v>
      </c>
      <c r="C12" s="44" t="n">
        <f aca="false">SUMIFS(科目余额表!$K$6:$K$125,科目余额表!$N$6:$N$125,"存货")</f>
        <v>40387.5</v>
      </c>
      <c r="D12" s="44" t="n">
        <f aca="false">SUMIFS(科目余额表!$E$6:$E$125,科目余额表!$N$6:$N$125,"存货")-SUMIFS(科目余额表!$F$6:$F$125,科目余额表!$N$6:$N$125,"存货")</f>
        <v>36600</v>
      </c>
      <c r="E12" s="22" t="s">
        <v>647</v>
      </c>
      <c r="F12" s="34" t="n">
        <v>7</v>
      </c>
      <c r="G12" s="44" t="n">
        <f aca="false">-(SUMIFS(科目余额表!$K$6:$K$125,科目余额表!$N$6:$N$125,"其他应付款"))</f>
        <v>-0</v>
      </c>
      <c r="H12" s="44" t="n">
        <f aca="false">-(SUMIFS(科目余额表!$E$6:$E$125,科目余额表!$N$6:$N$125,"其他应付款")-SUMIFS(科目余额表!$F$6:$F$125,科目余额表!$N$6:$N$125,"其他应付款"))</f>
        <v>-0</v>
      </c>
    </row>
    <row r="13" customFormat="false" ht="18" hidden="false" customHeight="true" outlineLevel="0" collapsed="false">
      <c r="A13" s="22" t="s">
        <v>648</v>
      </c>
      <c r="B13" s="34" t="n">
        <v>8</v>
      </c>
      <c r="C13" s="44" t="n">
        <f aca="false">SUMIFS(科目余额表!$K$6:$K$125,科目余额表!$N$6:$N$125,"其他流动资产")</f>
        <v>0</v>
      </c>
      <c r="D13" s="44" t="n">
        <f aca="false">SUMIFS(科目余额表!$E$6:$E$125,科目余额表!$N$6:$N$125,"其他流动资产")-SUMIFS(科目余额表!$F$6:$F$125,科目余额表!$N$6:$N$125,"其他流动资产")</f>
        <v>0</v>
      </c>
      <c r="E13" s="22" t="s">
        <v>649</v>
      </c>
      <c r="F13" s="34" t="n">
        <v>8</v>
      </c>
      <c r="G13" s="44" t="n">
        <f aca="false">-(SUMIFS(科目余额表!$K$6:$K$125,科目余额表!$N$6:$N$125,"一年内到期的非流动负债"))</f>
        <v>-0</v>
      </c>
      <c r="H13" s="44" t="n">
        <f aca="false">-(SUMIFS(科目余额表!$E$6:$E$125,科目余额表!$N$6:$N$125,"一年内到期的非流动负债")-SUMIFS(科目余额表!$F$6:$F$125,科目余额表!$N$6:$N$125,"一年内到期的非流动负债"))</f>
        <v>-0</v>
      </c>
    </row>
    <row r="14" customFormat="false" ht="18" hidden="false" customHeight="true" outlineLevel="0" collapsed="false">
      <c r="A14" s="57" t="s">
        <v>650</v>
      </c>
      <c r="B14" s="58" t="n">
        <v>9</v>
      </c>
      <c r="C14" s="39" t="n">
        <f aca="false">SUM(C6:C13)</f>
        <v>419273.5</v>
      </c>
      <c r="D14" s="39" t="n">
        <f aca="false">SUM(D6:D13)</f>
        <v>451600</v>
      </c>
      <c r="E14" s="22" t="s">
        <v>651</v>
      </c>
      <c r="F14" s="34" t="n">
        <v>9</v>
      </c>
      <c r="G14" s="44" t="n">
        <f aca="false">-(SUMIFS(科目余额表!$K$6:$K$125,科目余额表!$N$6:$N$125,"其他流动负债"))</f>
        <v>-0</v>
      </c>
      <c r="H14" s="44" t="n">
        <f aca="false">-(SUMIFS(科目余额表!$E$6:$E$125,科目余额表!$N$6:$N$125,"其他流动负债")-SUMIFS(科目余额表!$F$6:$F$125,科目余额表!$N$6:$N$125,"其他流动负债"))</f>
        <v>-0</v>
      </c>
    </row>
    <row r="15" customFormat="false" ht="18" hidden="false" customHeight="true" outlineLevel="0" collapsed="false">
      <c r="A15" s="22" t="s">
        <v>652</v>
      </c>
      <c r="B15" s="34" t="n">
        <v>10</v>
      </c>
      <c r="C15" s="44" t="n">
        <f aca="false">SUMIFS(科目余额表!$K$6:$K$125,科目余额表!$N$6:$N$125,"债权投资")</f>
        <v>0</v>
      </c>
      <c r="D15" s="44" t="n">
        <f aca="false">SUMIFS(科目余额表!$E$6:$E$125,科目余额表!$N$6:$N$125,"债权投资")-SUMIFS(科目余额表!$F$6:$F$125,科目余额表!$N$6:$N$125,"债权投资")</f>
        <v>0</v>
      </c>
      <c r="E15" s="57" t="s">
        <v>653</v>
      </c>
      <c r="F15" s="58" t="n">
        <v>10</v>
      </c>
      <c r="G15" s="39" t="n">
        <f aca="false">SUM(G6:G14)</f>
        <v>48836</v>
      </c>
      <c r="H15" s="39" t="n">
        <f aca="false">SUM(H6:H14)</f>
        <v>63000</v>
      </c>
    </row>
    <row r="16" customFormat="false" ht="18" hidden="false" customHeight="true" outlineLevel="0" collapsed="false">
      <c r="A16" s="22" t="s">
        <v>654</v>
      </c>
      <c r="B16" s="34" t="n">
        <v>11</v>
      </c>
      <c r="C16" s="44" t="n">
        <f aca="false">SUMIFS(科目余额表!$K$6:$K$125,科目余额表!$N$6:$N$125,"长期股权投资")</f>
        <v>0</v>
      </c>
      <c r="D16" s="44" t="n">
        <f aca="false">SUMIFS(科目余额表!$E$6:$E$125,科目余额表!$N$6:$N$125,"长期股权投资")-SUMIFS(科目余额表!$F$6:$F$125,科目余额表!$N$6:$N$125,"长期股权投资")</f>
        <v>0</v>
      </c>
      <c r="E16" s="22" t="s">
        <v>655</v>
      </c>
      <c r="F16" s="34" t="n">
        <v>11</v>
      </c>
      <c r="G16" s="44" t="n">
        <f aca="false">-(SUMIFS(科目余额表!$K$6:$K$125,科目余额表!$N$6:$N$125,"长期借款"))</f>
        <v>-0</v>
      </c>
      <c r="H16" s="44" t="n">
        <f aca="false">-(SUMIFS(科目余额表!$E$6:$E$125,科目余额表!$N$6:$N$125,"长期借款")-SUMIFS(科目余额表!$F$6:$F$125,科目余额表!$N$6:$N$125,"长期借款"))</f>
        <v>-0</v>
      </c>
    </row>
    <row r="17" customFormat="false" ht="18" hidden="false" customHeight="true" outlineLevel="0" collapsed="false">
      <c r="A17" s="22" t="s">
        <v>656</v>
      </c>
      <c r="B17" s="34" t="n">
        <v>12</v>
      </c>
      <c r="C17" s="44" t="n">
        <f aca="false">SUMIFS(科目余额表!$K$6:$K$125,科目余额表!$N$6:$N$125,"投资性房地产")</f>
        <v>0</v>
      </c>
      <c r="D17" s="44" t="n">
        <f aca="false">SUMIFS(科目余额表!$E$6:$E$125,科目余额表!$N$6:$N$125,"投资性房地产")-SUMIFS(科目余额表!$F$6:$F$125,科目余额表!$N$6:$N$125,"投资性房地产")</f>
        <v>0</v>
      </c>
      <c r="E17" s="22" t="s">
        <v>657</v>
      </c>
      <c r="F17" s="34" t="n">
        <v>12</v>
      </c>
      <c r="G17" s="44" t="n">
        <f aca="false">-(SUMIFS(科目余额表!$K$6:$K$125,科目余额表!$N$6:$N$125,"长期应付款"))</f>
        <v>-0</v>
      </c>
      <c r="H17" s="44" t="n">
        <f aca="false">-(SUMIFS(科目余额表!$E$6:$E$125,科目余额表!$N$6:$N$125,"长期应付款")-SUMIFS(科目余额表!$F$6:$F$125,科目余额表!$N$6:$N$125,"长期应付款"))</f>
        <v>-0</v>
      </c>
    </row>
    <row r="18" customFormat="false" ht="18" hidden="false" customHeight="true" outlineLevel="0" collapsed="false">
      <c r="A18" s="22" t="s">
        <v>658</v>
      </c>
      <c r="B18" s="34" t="n">
        <v>13</v>
      </c>
      <c r="C18" s="44" t="n">
        <f aca="false">SUMIFS(科目余额表!$K$6:$K$125,科目余额表!$N$6:$N$125,"固定资产")</f>
        <v>87500</v>
      </c>
      <c r="D18" s="44" t="n">
        <f aca="false">SUMIFS(科目余额表!$E$6:$E$125,科目余额表!$N$6:$N$125,"固定资产")-SUMIFS(科目余额表!$F$6:$F$125,科目余额表!$N$6:$N$125,"固定资产")</f>
        <v>90000</v>
      </c>
      <c r="E18" s="22" t="s">
        <v>659</v>
      </c>
      <c r="F18" s="34" t="n">
        <v>13</v>
      </c>
      <c r="G18" s="44" t="n">
        <f aca="false">-(SUMIFS(科目余额表!$K$6:$K$125,科目余额表!$N$6:$N$125,"递延收益"))</f>
        <v>-0</v>
      </c>
      <c r="H18" s="44" t="n">
        <f aca="false">-(SUMIFS(科目余额表!$E$6:$E$125,科目余额表!$N$6:$N$125,"递延收益")-SUMIFS(科目余额表!$F$6:$F$125,科目余额表!$N$6:$N$125,"递延收益"))</f>
        <v>-0</v>
      </c>
    </row>
    <row r="19" customFormat="false" ht="18" hidden="false" customHeight="true" outlineLevel="0" collapsed="false">
      <c r="A19" s="22" t="s">
        <v>660</v>
      </c>
      <c r="B19" s="34" t="n">
        <v>14</v>
      </c>
      <c r="C19" s="44" t="n">
        <f aca="false">SUMIFS(科目余额表!$K$6:$K$125,科目余额表!$N$6:$N$125,"在建工程")</f>
        <v>0</v>
      </c>
      <c r="D19" s="44" t="n">
        <f aca="false">SUMIFS(科目余额表!$E$6:$E$125,科目余额表!$N$6:$N$125,"在建工程")-SUMIFS(科目余额表!$F$6:$F$125,科目余额表!$N$6:$N$125,"在建工程")</f>
        <v>0</v>
      </c>
      <c r="E19" s="22" t="s">
        <v>661</v>
      </c>
      <c r="F19" s="34" t="n">
        <v>14</v>
      </c>
      <c r="G19" s="44" t="n">
        <f aca="false">-(SUMIFS(科目余额表!$K$6:$K$125,科目余额表!$N$6:$N$125,"递延所得税负债"))</f>
        <v>-0</v>
      </c>
      <c r="H19" s="44" t="n">
        <f aca="false">-(SUMIFS(科目余额表!$E$6:$E$125,科目余额表!$N$6:$N$125,"递延所得税负债")-SUMIFS(科目余额表!$F$6:$F$125,科目余额表!$N$6:$N$125,"递延所得税负债"))</f>
        <v>-0</v>
      </c>
    </row>
    <row r="20" customFormat="false" ht="18" hidden="false" customHeight="true" outlineLevel="0" collapsed="false">
      <c r="A20" s="22" t="s">
        <v>662</v>
      </c>
      <c r="B20" s="34" t="n">
        <v>15</v>
      </c>
      <c r="C20" s="44" t="n">
        <f aca="false">SUMIFS(科目余额表!$K$6:$K$125,科目余额表!$N$6:$N$125,"无形资产")</f>
        <v>0</v>
      </c>
      <c r="D20" s="44" t="n">
        <f aca="false">SUMIFS(科目余额表!$E$6:$E$125,科目余额表!$N$6:$N$125,"无形资产")-SUMIFS(科目余额表!$F$6:$F$125,科目余额表!$N$6:$N$125,"无形资产")</f>
        <v>0</v>
      </c>
      <c r="E20" s="22" t="s">
        <v>663</v>
      </c>
      <c r="F20" s="34" t="n">
        <v>15</v>
      </c>
      <c r="G20" s="44" t="n">
        <f aca="false">-(SUMIFS(科目余额表!$K$6:$K$125,科目余额表!$N$6:$N$125,"其他非流动负债"))</f>
        <v>-0</v>
      </c>
      <c r="H20" s="44" t="n">
        <f aca="false">-(SUMIFS(科目余额表!$E$6:$E$125,科目余额表!$N$6:$N$125,"其他非流动负债")-SUMIFS(科目余额表!$F$6:$F$125,科目余额表!$N$6:$N$125,"其他非流动负债"))</f>
        <v>-0</v>
      </c>
    </row>
    <row r="21" customFormat="false" ht="18" hidden="false" customHeight="true" outlineLevel="0" collapsed="false">
      <c r="A21" s="22" t="s">
        <v>664</v>
      </c>
      <c r="B21" s="34" t="n">
        <v>16</v>
      </c>
      <c r="C21" s="44" t="n">
        <f aca="false">SUMIFS(科目余额表!$K$6:$K$125,科目余额表!$N$6:$N$125,"长期待摊费用")</f>
        <v>0</v>
      </c>
      <c r="D21" s="44" t="n">
        <f aca="false">SUMIFS(科目余额表!$E$6:$E$125,科目余额表!$N$6:$N$125,"长期待摊费用")-SUMIFS(科目余额表!$F$6:$F$125,科目余额表!$N$6:$N$125,"长期待摊费用")</f>
        <v>0</v>
      </c>
      <c r="E21" s="57" t="s">
        <v>665</v>
      </c>
      <c r="F21" s="58" t="n">
        <v>16</v>
      </c>
      <c r="G21" s="39" t="n">
        <f aca="false">SUM(G16:G20)</f>
        <v>0</v>
      </c>
      <c r="H21" s="39" t="n">
        <f aca="false">SUM(H16:H20)</f>
        <v>0</v>
      </c>
    </row>
    <row r="22" customFormat="false" ht="18" hidden="false" customHeight="true" outlineLevel="0" collapsed="false">
      <c r="A22" s="22" t="s">
        <v>666</v>
      </c>
      <c r="B22" s="34" t="n">
        <v>17</v>
      </c>
      <c r="C22" s="44" t="n">
        <f aca="false">SUMIFS(科目余额表!$K$6:$K$125,科目余额表!$N$6:$N$125,"递延所得税资产")</f>
        <v>0</v>
      </c>
      <c r="D22" s="44" t="n">
        <f aca="false">SUMIFS(科目余额表!$E$6:$E$125,科目余额表!$N$6:$N$125,"递延所得税资产")-SUMIFS(科目余额表!$F$6:$F$125,科目余额表!$N$6:$N$125,"递延所得税资产")</f>
        <v>0</v>
      </c>
      <c r="E22" s="57" t="s">
        <v>667</v>
      </c>
      <c r="F22" s="58" t="n">
        <v>17</v>
      </c>
      <c r="G22" s="39" t="n">
        <f aca="false">G15+G21</f>
        <v>48836</v>
      </c>
      <c r="H22" s="39" t="n">
        <f aca="false">H15+H21</f>
        <v>63000</v>
      </c>
    </row>
    <row r="23" customFormat="false" ht="18" hidden="false" customHeight="true" outlineLevel="0" collapsed="false">
      <c r="A23" s="22" t="s">
        <v>668</v>
      </c>
      <c r="B23" s="34" t="n">
        <v>18</v>
      </c>
      <c r="C23" s="44" t="n">
        <f aca="false">SUMIFS(科目余额表!$K$6:$K$125,科目余额表!$N$6:$N$125,"其他非流动资产")</f>
        <v>0</v>
      </c>
      <c r="D23" s="44" t="n">
        <f aca="false">SUMIFS(科目余额表!$E$6:$E$125,科目余额表!$N$6:$N$125,"其他非流动资产")-SUMIFS(科目余额表!$F$6:$F$125,科目余额表!$N$6:$N$125,"其他非流动资产")</f>
        <v>0</v>
      </c>
      <c r="E23" s="60"/>
      <c r="F23" s="60"/>
      <c r="G23" s="60"/>
      <c r="H23" s="60"/>
    </row>
    <row r="24" customFormat="false" ht="18" hidden="false" customHeight="true" outlineLevel="0" collapsed="false">
      <c r="A24" s="57" t="s">
        <v>669</v>
      </c>
      <c r="B24" s="58" t="n">
        <v>19</v>
      </c>
      <c r="C24" s="39" t="n">
        <f aca="false">SUM(C15:C23)</f>
        <v>87500</v>
      </c>
      <c r="D24" s="39" t="n">
        <f aca="false">SUM(D15:D23)</f>
        <v>90000</v>
      </c>
      <c r="E24" s="22" t="s">
        <v>670</v>
      </c>
      <c r="F24" s="34" t="n">
        <v>19</v>
      </c>
      <c r="G24" s="44" t="n">
        <f aca="false">-(SUMIFS(科目余额表!$K$6:$K$125,科目余额表!$N$6:$N$125,"实收资本"))</f>
        <v>400000</v>
      </c>
      <c r="H24" s="44" t="n">
        <f aca="false">-(SUMIFS(科目余额表!$E$6:$E$125,科目余额表!$N$6:$N$125,"实收资本")-SUMIFS(科目余额表!$F$6:$F$125,科目余额表!$N$6:$N$125,"实收资本"))</f>
        <v>400000</v>
      </c>
    </row>
    <row r="25" customFormat="false" ht="18" hidden="false" customHeight="true" outlineLevel="0" collapsed="false">
      <c r="A25" s="57" t="s">
        <v>18</v>
      </c>
      <c r="B25" s="58" t="n">
        <v>20</v>
      </c>
      <c r="C25" s="39" t="n">
        <f aca="false">C14+C24</f>
        <v>506773.5</v>
      </c>
      <c r="D25" s="39" t="n">
        <f aca="false">D14+D24</f>
        <v>541600</v>
      </c>
      <c r="E25" s="22" t="s">
        <v>671</v>
      </c>
      <c r="F25" s="34" t="n">
        <v>20</v>
      </c>
      <c r="G25" s="44" t="n">
        <f aca="false">-(SUMIFS(科目余额表!$K$6:$K$125,科目余额表!$N$6:$N$125,"资本公积"))</f>
        <v>-0</v>
      </c>
      <c r="H25" s="44" t="n">
        <f aca="false">-(SUMIFS(科目余额表!$E$6:$E$125,科目余额表!$N$6:$N$125,"资本公积")-SUMIFS(科目余额表!$F$6:$F$125,科目余额表!$N$6:$N$125,"资本公积"))</f>
        <v>-0</v>
      </c>
    </row>
    <row r="26" customFormat="false" ht="18" hidden="false" customHeight="true" outlineLevel="0" collapsed="false">
      <c r="E26" s="22" t="s">
        <v>672</v>
      </c>
      <c r="F26" s="34" t="n">
        <v>21</v>
      </c>
      <c r="G26" s="44" t="n">
        <f aca="false">-(SUMIFS(科目余额表!$K$6:$K$125,科目余额表!$N$6:$N$125,"盈余公积"))</f>
        <v>-0</v>
      </c>
      <c r="H26" s="44" t="n">
        <f aca="false">-(SUMIFS(科目余额表!$E$6:$E$125,科目余额表!$N$6:$N$125,"盈余公积")-SUMIFS(科目余额表!$F$6:$F$125,科目余额表!$N$6:$N$125,"盈余公积"))</f>
        <v>-0</v>
      </c>
    </row>
    <row r="27" customFormat="false" ht="18" hidden="false" customHeight="true" outlineLevel="0" collapsed="false">
      <c r="E27" s="22" t="s">
        <v>673</v>
      </c>
      <c r="F27" s="34" t="n">
        <v>22</v>
      </c>
      <c r="G27" s="44" t="n">
        <f aca="false">-(SUMIFS(科目余额表!$K$6:$K$125,科目余额表!$N$6:$N$125,"未分配利润"))+利润表!$D$27</f>
        <v>57937.5</v>
      </c>
      <c r="H27" s="44" t="n">
        <f aca="false">-(SUMIFS(科目余额表!$E$6:$E$125,科目余额表!$N$6:$N$125,"未分配利润")-SUMIFS(科目余额表!$F$6:$F$125,科目余额表!$N$6:$N$125,"未分配利润"))</f>
        <v>78600</v>
      </c>
    </row>
    <row r="28" customFormat="false" ht="18" hidden="false" customHeight="true" outlineLevel="0" collapsed="false">
      <c r="E28" s="57" t="s">
        <v>674</v>
      </c>
      <c r="F28" s="58" t="n">
        <v>23</v>
      </c>
      <c r="G28" s="39" t="n">
        <f aca="false">SUM(G24:G27)</f>
        <v>457937.5</v>
      </c>
      <c r="H28" s="39" t="n">
        <f aca="false">SUM(H24:H27)</f>
        <v>478600</v>
      </c>
    </row>
    <row r="29" customFormat="false" ht="18" hidden="false" customHeight="true" outlineLevel="0" collapsed="false">
      <c r="E29" s="57" t="s">
        <v>675</v>
      </c>
      <c r="F29" s="58" t="n">
        <v>24</v>
      </c>
      <c r="G29" s="39" t="n">
        <f aca="false">G22+G28</f>
        <v>506773.5</v>
      </c>
      <c r="H29" s="39" t="n">
        <f aca="false">H22+H28</f>
        <v>541600</v>
      </c>
    </row>
    <row r="31" customFormat="false" ht="15" hidden="false" customHeight="true" outlineLevel="0" collapsed="false">
      <c r="A31" s="61" t="s">
        <v>676</v>
      </c>
      <c r="B31" s="61"/>
      <c r="C31" s="19" t="str">
        <f aca="false">IF(ABS($C$25-$G$29)&lt;0.01,"✓ 平衡","✗ 差 "&amp;TEXT($C$25-$G$29,"#,##0.00"))</f>
        <v>✓ 平衡</v>
      </c>
      <c r="D31" s="19"/>
      <c r="E31" s="19"/>
      <c r="F31" s="61" t="s">
        <v>677</v>
      </c>
      <c r="G31" s="19" t="str">
        <f aca="false">IF(ABS($D$25-$H$29)&lt;0.01,"✓ 平衡","✗ 差 "&amp;TEXT($D$25-$H$29,"#,##0.00"))</f>
        <v>✓ 平衡</v>
      </c>
      <c r="H31" s="19"/>
    </row>
  </sheetData>
  <mergeCells count="6">
    <mergeCell ref="A1:H1"/>
    <mergeCell ref="A2:H2"/>
    <mergeCell ref="B3:C3"/>
    <mergeCell ref="A31:B31"/>
    <mergeCell ref="C31:E31"/>
    <mergeCell ref="G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D37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"/>
    <col collapsed="false" customWidth="true" hidden="false" outlineLevel="0" max="4" min="3" style="0" width="17"/>
  </cols>
  <sheetData>
    <row r="1" customFormat="false" ht="25.5" hidden="false" customHeight="true" outlineLevel="0" collapsed="false">
      <c r="A1" s="23" t="s">
        <v>133</v>
      </c>
      <c r="B1" s="23"/>
      <c r="C1" s="23"/>
      <c r="D1" s="23"/>
    </row>
    <row r="2" customFormat="false" ht="15" hidden="false" customHeight="true" outlineLevel="0" collapsed="false">
      <c r="A2" s="6" t="s">
        <v>678</v>
      </c>
      <c r="B2" s="6"/>
      <c r="C2" s="6"/>
      <c r="D2" s="6"/>
    </row>
    <row r="3" customFormat="false" ht="15" hidden="false" customHeight="false" outlineLevel="0" collapsed="false">
      <c r="A3" s="38" t="s">
        <v>3</v>
      </c>
      <c r="B3" s="53" t="str">
        <f aca="false">首页!$B$5</f>
        <v>2026-01</v>
      </c>
      <c r="C3" s="53"/>
    </row>
    <row r="5" customFormat="false" ht="30" hidden="false" customHeight="true" outlineLevel="0" collapsed="false">
      <c r="A5" s="30" t="s">
        <v>602</v>
      </c>
      <c r="B5" s="30" t="s">
        <v>603</v>
      </c>
      <c r="C5" s="30" t="s">
        <v>604</v>
      </c>
      <c r="D5" s="30" t="s">
        <v>605</v>
      </c>
    </row>
    <row r="6" customFormat="false" ht="18" hidden="false" customHeight="true" outlineLevel="0" collapsed="false">
      <c r="A6" s="57" t="s">
        <v>679</v>
      </c>
      <c r="B6" s="58"/>
      <c r="C6" s="39"/>
      <c r="D6" s="39"/>
    </row>
    <row r="7" customFormat="false" ht="18" hidden="false" customHeight="true" outlineLevel="0" collapsed="false">
      <c r="A7" s="22" t="s">
        <v>680</v>
      </c>
      <c r="B7" s="34" t="n">
        <v>1</v>
      </c>
      <c r="C7" s="44" t="n">
        <f aca="false">SUMIFS(资金流水!$N$5:$N$504,资金流水!$Q$5:$Q$504,"销售商品、提供劳务收到的现金",资金流水!$D$5:$D$504,"收入",资金流水!$C$5:$C$504,首页!$B$5)</f>
        <v>61000</v>
      </c>
      <c r="D7" s="44" t="n">
        <f aca="false">SUMIFS(资金流水!$N$5:$N$504,资金流水!$Q$5:$Q$504,"销售商品、提供劳务收到的现金",资金流水!$D$5:$D$504,"收入",资金流水!$B$5:$B$504,"&lt;="&amp;首页!$B$7)</f>
        <v>61000</v>
      </c>
    </row>
    <row r="8" customFormat="false" ht="18" hidden="false" customHeight="true" outlineLevel="0" collapsed="false">
      <c r="A8" s="22" t="s">
        <v>681</v>
      </c>
      <c r="B8" s="34" t="n">
        <v>2</v>
      </c>
      <c r="C8" s="44" t="n">
        <f aca="false">SUMIFS(资金流水!$N$5:$N$504,资金流水!$Q$5:$Q$504,"收到的其他与经营活动有关的现金",资金流水!$D$5:$D$504,"收入",资金流水!$C$5:$C$504,首页!$B$5)</f>
        <v>0</v>
      </c>
      <c r="D8" s="44" t="n">
        <f aca="false">SUMIFS(资金流水!$N$5:$N$504,资金流水!$Q$5:$Q$504,"收到的其他与经营活动有关的现金",资金流水!$D$5:$D$504,"收入",资金流水!$B$5:$B$504,"&lt;="&amp;首页!$B$7)</f>
        <v>0</v>
      </c>
    </row>
    <row r="9" customFormat="false" ht="18" hidden="false" customHeight="true" outlineLevel="0" collapsed="false">
      <c r="A9" s="22" t="s">
        <v>682</v>
      </c>
      <c r="B9" s="34" t="n">
        <v>3</v>
      </c>
      <c r="C9" s="44" t="n">
        <f aca="false">C7+C8</f>
        <v>61000</v>
      </c>
      <c r="D9" s="44" t="n">
        <f aca="false">D7+D8</f>
        <v>61000</v>
      </c>
    </row>
    <row r="10" customFormat="false" ht="18" hidden="false" customHeight="true" outlineLevel="0" collapsed="false">
      <c r="A10" s="22" t="s">
        <v>683</v>
      </c>
      <c r="B10" s="34" t="n">
        <v>4</v>
      </c>
      <c r="C10" s="44" t="n">
        <f aca="false">SUMIFS(资金流水!$N$5:$N$504,资金流水!$Q$5:$Q$504,"购买商品、接受劳务支付的现金",资金流水!$D$5:$D$504,"支出",资金流水!$C$5:$C$504,首页!$B$5)</f>
        <v>40000</v>
      </c>
      <c r="D10" s="44" t="n">
        <f aca="false">SUMIFS(资金流水!$N$5:$N$504,资金流水!$Q$5:$Q$504,"购买商品、接受劳务支付的现金",资金流水!$D$5:$D$504,"支出",资金流水!$B$5:$B$504,"&lt;="&amp;首页!$B$7)</f>
        <v>40000</v>
      </c>
    </row>
    <row r="11" customFormat="false" ht="18" hidden="false" customHeight="true" outlineLevel="0" collapsed="false">
      <c r="A11" s="22" t="s">
        <v>684</v>
      </c>
      <c r="B11" s="34" t="n">
        <v>5</v>
      </c>
      <c r="C11" s="44" t="n">
        <f aca="false">SUMIFS(资金流水!$N$5:$N$504,资金流水!$Q$5:$Q$504,"支付给职工以及为职工支付的现金",资金流水!$D$5:$D$504,"支出",资金流水!$C$5:$C$504,首页!$B$5)</f>
        <v>15000</v>
      </c>
      <c r="D11" s="44" t="n">
        <f aca="false">SUMIFS(资金流水!$N$5:$N$504,资金流水!$Q$5:$Q$504,"支付给职工以及为职工支付的现金",资金流水!$D$5:$D$504,"支出",资金流水!$B$5:$B$504,"&lt;="&amp;首页!$B$7)</f>
        <v>15000</v>
      </c>
    </row>
    <row r="12" customFormat="false" ht="18" hidden="false" customHeight="true" outlineLevel="0" collapsed="false">
      <c r="A12" s="22" t="s">
        <v>685</v>
      </c>
      <c r="B12" s="34" t="n">
        <v>6</v>
      </c>
      <c r="C12" s="44" t="n">
        <f aca="false">SUMIFS(资金流水!$N$5:$N$504,资金流水!$Q$5:$Q$504,"支付的各项税费",资金流水!$D$5:$D$504,"支出",资金流水!$C$5:$C$504,首页!$B$5)</f>
        <v>0</v>
      </c>
      <c r="D12" s="44" t="n">
        <f aca="false">SUMIFS(资金流水!$N$5:$N$504,资金流水!$Q$5:$Q$504,"支付的各项税费",资金流水!$D$5:$D$504,"支出",资金流水!$B$5:$B$504,"&lt;="&amp;首页!$B$7)</f>
        <v>0</v>
      </c>
    </row>
    <row r="13" customFormat="false" ht="18" hidden="false" customHeight="true" outlineLevel="0" collapsed="false">
      <c r="A13" s="22" t="s">
        <v>686</v>
      </c>
      <c r="B13" s="34" t="n">
        <v>7</v>
      </c>
      <c r="C13" s="44" t="n">
        <f aca="false">SUMIFS(资金流水!$N$5:$N$504,资金流水!$Q$5:$Q$504,"支付的其他与经营活动有关的现金",资金流水!$D$5:$D$504,"支出",资金流水!$C$5:$C$504,首页!$B$5)</f>
        <v>8800</v>
      </c>
      <c r="D13" s="44" t="n">
        <f aca="false">SUMIFS(资金流水!$N$5:$N$504,资金流水!$Q$5:$Q$504,"支付的其他与经营活动有关的现金",资金流水!$D$5:$D$504,"支出",资金流水!$B$5:$B$504,"&lt;="&amp;首页!$B$7)</f>
        <v>8800</v>
      </c>
    </row>
    <row r="14" customFormat="false" ht="18" hidden="false" customHeight="true" outlineLevel="0" collapsed="false">
      <c r="A14" s="22" t="s">
        <v>687</v>
      </c>
      <c r="B14" s="34" t="n">
        <v>8</v>
      </c>
      <c r="C14" s="44" t="n">
        <f aca="false">C10+C11+C12+C13</f>
        <v>63800</v>
      </c>
      <c r="D14" s="44" t="n">
        <f aca="false">D10+D11+D12+D13</f>
        <v>63800</v>
      </c>
    </row>
    <row r="15" customFormat="false" ht="18" hidden="false" customHeight="true" outlineLevel="0" collapsed="false">
      <c r="A15" s="57" t="s">
        <v>688</v>
      </c>
      <c r="B15" s="58" t="n">
        <v>9</v>
      </c>
      <c r="C15" s="39" t="n">
        <f aca="false">C9-C14</f>
        <v>-2800</v>
      </c>
      <c r="D15" s="39" t="n">
        <f aca="false">D9-D14</f>
        <v>-2800</v>
      </c>
    </row>
    <row r="16" customFormat="false" ht="18" hidden="false" customHeight="true" outlineLevel="0" collapsed="false">
      <c r="A16" s="57" t="s">
        <v>689</v>
      </c>
      <c r="B16" s="58"/>
      <c r="C16" s="39"/>
      <c r="D16" s="39"/>
    </row>
    <row r="17" customFormat="false" ht="18" hidden="false" customHeight="true" outlineLevel="0" collapsed="false">
      <c r="A17" s="22" t="s">
        <v>690</v>
      </c>
      <c r="B17" s="34" t="n">
        <v>10</v>
      </c>
      <c r="C17" s="44" t="n">
        <f aca="false">SUMIFS(资金流水!$N$5:$N$504,资金流水!$Q$5:$Q$504,"处置固定资产收回的现金净额",资金流水!$D$5:$D$504,"收入",资金流水!$C$5:$C$504,首页!$B$5)</f>
        <v>0</v>
      </c>
      <c r="D17" s="44" t="n">
        <f aca="false">SUMIFS(资金流水!$N$5:$N$504,资金流水!$Q$5:$Q$504,"处置固定资产收回的现金净额",资金流水!$D$5:$D$504,"收入",资金流水!$B$5:$B$504,"&lt;="&amp;首页!$B$7)</f>
        <v>0</v>
      </c>
    </row>
    <row r="18" customFormat="false" ht="18" hidden="false" customHeight="true" outlineLevel="0" collapsed="false">
      <c r="A18" s="22" t="s">
        <v>691</v>
      </c>
      <c r="B18" s="34" t="n">
        <v>11</v>
      </c>
      <c r="C18" s="44" t="n">
        <f aca="false">SUMIFS(资金流水!$N$5:$N$504,资金流水!$Q$5:$Q$504,"取得投资收益收到的现金",资金流水!$D$5:$D$504,"收入",资金流水!$C$5:$C$504,首页!$B$5)</f>
        <v>0</v>
      </c>
      <c r="D18" s="44" t="n">
        <f aca="false">SUMIFS(资金流水!$N$5:$N$504,资金流水!$Q$5:$Q$504,"取得投资收益收到的现金",资金流水!$D$5:$D$504,"收入",资金流水!$B$5:$B$504,"&lt;="&amp;首页!$B$7)</f>
        <v>0</v>
      </c>
    </row>
    <row r="19" customFormat="false" ht="18" hidden="false" customHeight="true" outlineLevel="0" collapsed="false">
      <c r="A19" s="22" t="s">
        <v>692</v>
      </c>
      <c r="B19" s="34" t="n">
        <v>12</v>
      </c>
      <c r="C19" s="44" t="n">
        <f aca="false">C17+C18</f>
        <v>0</v>
      </c>
      <c r="D19" s="44" t="n">
        <f aca="false">D17+D18</f>
        <v>0</v>
      </c>
    </row>
    <row r="20" customFormat="false" ht="18" hidden="false" customHeight="true" outlineLevel="0" collapsed="false">
      <c r="A20" s="22" t="s">
        <v>693</v>
      </c>
      <c r="B20" s="34" t="n">
        <v>13</v>
      </c>
      <c r="C20" s="44" t="n">
        <f aca="false">SUMIFS(资金流水!$N$5:$N$504,资金流水!$Q$5:$Q$504,"购建固定资产支付的现金",资金流水!$D$5:$D$504,"支出",资金流水!$C$5:$C$504,首页!$B$5)</f>
        <v>0</v>
      </c>
      <c r="D20" s="44" t="n">
        <f aca="false">SUMIFS(资金流水!$N$5:$N$504,资金流水!$Q$5:$Q$504,"购建固定资产支付的现金",资金流水!$D$5:$D$504,"支出",资金流水!$B$5:$B$504,"&lt;="&amp;首页!$B$7)</f>
        <v>0</v>
      </c>
    </row>
    <row r="21" customFormat="false" ht="18" hidden="false" customHeight="true" outlineLevel="0" collapsed="false">
      <c r="A21" s="22" t="s">
        <v>694</v>
      </c>
      <c r="B21" s="34" t="n">
        <v>14</v>
      </c>
      <c r="C21" s="44" t="n">
        <f aca="false">SUMIFS(资金流水!$N$5:$N$504,资金流水!$Q$5:$Q$504,"购建无形资产支付的现金",资金流水!$D$5:$D$504,"支出",资金流水!$C$5:$C$504,首页!$B$5)</f>
        <v>0</v>
      </c>
      <c r="D21" s="44" t="n">
        <f aca="false">SUMIFS(资金流水!$N$5:$N$504,资金流水!$Q$5:$Q$504,"购建无形资产支付的现金",资金流水!$D$5:$D$504,"支出",资金流水!$B$5:$B$504,"&lt;="&amp;首页!$B$7)</f>
        <v>0</v>
      </c>
    </row>
    <row r="22" customFormat="false" ht="18" hidden="false" customHeight="true" outlineLevel="0" collapsed="false">
      <c r="A22" s="22" t="s">
        <v>695</v>
      </c>
      <c r="B22" s="34" t="n">
        <v>15</v>
      </c>
      <c r="C22" s="44" t="n">
        <f aca="false">SUMIFS(资金流水!$N$5:$N$504,资金流水!$Q$5:$Q$504,"投资支付的现金",资金流水!$D$5:$D$504,"支出",资金流水!$C$5:$C$504,首页!$B$5)</f>
        <v>0</v>
      </c>
      <c r="D22" s="44" t="n">
        <f aca="false">SUMIFS(资金流水!$N$5:$N$504,资金流水!$Q$5:$Q$504,"投资支付的现金",资金流水!$D$5:$D$504,"支出",资金流水!$B$5:$B$504,"&lt;="&amp;首页!$B$7)</f>
        <v>0</v>
      </c>
    </row>
    <row r="23" customFormat="false" ht="18" hidden="false" customHeight="true" outlineLevel="0" collapsed="false">
      <c r="A23" s="22" t="s">
        <v>696</v>
      </c>
      <c r="B23" s="34" t="n">
        <v>16</v>
      </c>
      <c r="C23" s="44" t="n">
        <f aca="false">C20+C21+C22</f>
        <v>0</v>
      </c>
      <c r="D23" s="44" t="n">
        <f aca="false">D20+D21+D22</f>
        <v>0</v>
      </c>
    </row>
    <row r="24" customFormat="false" ht="18" hidden="false" customHeight="true" outlineLevel="0" collapsed="false">
      <c r="A24" s="57" t="s">
        <v>697</v>
      </c>
      <c r="B24" s="58" t="n">
        <v>17</v>
      </c>
      <c r="C24" s="39" t="n">
        <f aca="false">C19-C23</f>
        <v>0</v>
      </c>
      <c r="D24" s="39" t="n">
        <f aca="false">D19-D23</f>
        <v>0</v>
      </c>
    </row>
    <row r="25" customFormat="false" ht="18" hidden="false" customHeight="true" outlineLevel="0" collapsed="false">
      <c r="A25" s="57" t="s">
        <v>698</v>
      </c>
      <c r="B25" s="58"/>
      <c r="C25" s="39"/>
      <c r="D25" s="39"/>
    </row>
    <row r="26" customFormat="false" ht="18" hidden="false" customHeight="true" outlineLevel="0" collapsed="false">
      <c r="A26" s="22" t="s">
        <v>699</v>
      </c>
      <c r="B26" s="34" t="n">
        <v>18</v>
      </c>
      <c r="C26" s="44" t="n">
        <f aca="false">SUMIFS(资金流水!$N$5:$N$504,资金流水!$Q$5:$Q$504,"吸收投资收到的现金",资金流水!$D$5:$D$504,"收入",资金流水!$C$5:$C$504,首页!$B$5)</f>
        <v>0</v>
      </c>
      <c r="D26" s="44" t="n">
        <f aca="false">SUMIFS(资金流水!$N$5:$N$504,资金流水!$Q$5:$Q$504,"吸收投资收到的现金",资金流水!$D$5:$D$504,"收入",资金流水!$B$5:$B$504,"&lt;="&amp;首页!$B$7)</f>
        <v>0</v>
      </c>
    </row>
    <row r="27" customFormat="false" ht="18" hidden="false" customHeight="true" outlineLevel="0" collapsed="false">
      <c r="A27" s="22" t="s">
        <v>700</v>
      </c>
      <c r="B27" s="34" t="n">
        <v>19</v>
      </c>
      <c r="C27" s="44" t="n">
        <f aca="false">SUMIFS(资金流水!$N$5:$N$504,资金流水!$Q$5:$Q$504,"取得借款收到的现金",资金流水!$D$5:$D$504,"收入",资金流水!$C$5:$C$504,首页!$B$5)</f>
        <v>0</v>
      </c>
      <c r="D27" s="44" t="n">
        <f aca="false">SUMIFS(资金流水!$N$5:$N$504,资金流水!$Q$5:$Q$504,"取得借款收到的现金",资金流水!$D$5:$D$504,"收入",资金流水!$B$5:$B$504,"&lt;="&amp;首页!$B$7)</f>
        <v>0</v>
      </c>
    </row>
    <row r="28" customFormat="false" ht="18" hidden="false" customHeight="true" outlineLevel="0" collapsed="false">
      <c r="A28" s="22" t="s">
        <v>701</v>
      </c>
      <c r="B28" s="34" t="n">
        <v>20</v>
      </c>
      <c r="C28" s="44" t="n">
        <f aca="false">C26+C27</f>
        <v>0</v>
      </c>
      <c r="D28" s="44" t="n">
        <f aca="false">D26+D27</f>
        <v>0</v>
      </c>
    </row>
    <row r="29" customFormat="false" ht="18" hidden="false" customHeight="true" outlineLevel="0" collapsed="false">
      <c r="A29" s="22" t="s">
        <v>702</v>
      </c>
      <c r="B29" s="34" t="n">
        <v>21</v>
      </c>
      <c r="C29" s="44" t="n">
        <f aca="false">SUMIFS(资金流水!$N$5:$N$504,资金流水!$Q$5:$Q$504,"偿还债务支付的现金",资金流水!$D$5:$D$504,"支出",资金流水!$C$5:$C$504,首页!$B$5)</f>
        <v>0</v>
      </c>
      <c r="D29" s="44" t="n">
        <f aca="false">SUMIFS(资金流水!$N$5:$N$504,资金流水!$Q$5:$Q$504,"偿还债务支付的现金",资金流水!$D$5:$D$504,"支出",资金流水!$B$5:$B$504,"&lt;="&amp;首页!$B$7)</f>
        <v>0</v>
      </c>
    </row>
    <row r="30" customFormat="false" ht="18" hidden="false" customHeight="true" outlineLevel="0" collapsed="false">
      <c r="A30" s="22" t="s">
        <v>703</v>
      </c>
      <c r="B30" s="34" t="n">
        <v>22</v>
      </c>
      <c r="C30" s="44" t="n">
        <f aca="false">SUMIFS(资金流水!$N$5:$N$504,资金流水!$Q$5:$Q$504,"分配股利、利润或偿付利息支付的现金",资金流水!$D$5:$D$504,"支出",资金流水!$C$5:$C$504,首页!$B$5)</f>
        <v>0</v>
      </c>
      <c r="D30" s="44" t="n">
        <f aca="false">SUMIFS(资金流水!$N$5:$N$504,资金流水!$Q$5:$Q$504,"分配股利、利润或偿付利息支付的现金",资金流水!$D$5:$D$504,"支出",资金流水!$B$5:$B$504,"&lt;="&amp;首页!$B$7)</f>
        <v>0</v>
      </c>
    </row>
    <row r="31" customFormat="false" ht="18" hidden="false" customHeight="true" outlineLevel="0" collapsed="false">
      <c r="A31" s="22" t="s">
        <v>704</v>
      </c>
      <c r="B31" s="34" t="n">
        <v>23</v>
      </c>
      <c r="C31" s="44" t="n">
        <f aca="false">C29+C30</f>
        <v>0</v>
      </c>
      <c r="D31" s="44" t="n">
        <f aca="false">D29+D30</f>
        <v>0</v>
      </c>
    </row>
    <row r="32" customFormat="false" ht="18" hidden="false" customHeight="true" outlineLevel="0" collapsed="false">
      <c r="A32" s="57" t="s">
        <v>705</v>
      </c>
      <c r="B32" s="58" t="n">
        <v>24</v>
      </c>
      <c r="C32" s="39" t="n">
        <f aca="false">C28-C31</f>
        <v>0</v>
      </c>
      <c r="D32" s="39" t="n">
        <f aca="false">D28-D31</f>
        <v>0</v>
      </c>
    </row>
    <row r="33" customFormat="false" ht="18" hidden="false" customHeight="true" outlineLevel="0" collapsed="false">
      <c r="A33" s="57" t="s">
        <v>706</v>
      </c>
      <c r="B33" s="58" t="n">
        <v>25</v>
      </c>
      <c r="C33" s="39" t="n">
        <f aca="false">C15+C24+C32</f>
        <v>-2800</v>
      </c>
      <c r="D33" s="39" t="n">
        <f aca="false">D15+D24+D32</f>
        <v>-2800</v>
      </c>
    </row>
    <row r="34" customFormat="false" ht="18" hidden="false" customHeight="true" outlineLevel="0" collapsed="false">
      <c r="A34" s="22" t="s">
        <v>707</v>
      </c>
      <c r="B34" s="34" t="n">
        <v>26</v>
      </c>
      <c r="C34" s="44" t="n">
        <f aca="false">$D34+SUMIFS(资金流水!$N$5:$N$504,资金流水!$D$5:$D$504,"收入",资金流水!$B$5:$B$504,"&lt;"&amp;首页!$B$6)-SUMIFS(资金流水!$N$5:$N$504,资金流水!$D$5:$D$504,"支出",资金流水!$B$5:$B$504,"&lt;"&amp;首页!$B$6)</f>
        <v>335000</v>
      </c>
      <c r="D34" s="44" t="n">
        <f aca="false">SUM(期初数据!$B$6:$B$35)</f>
        <v>335000</v>
      </c>
    </row>
    <row r="35" customFormat="false" ht="18" hidden="false" customHeight="true" outlineLevel="0" collapsed="false">
      <c r="A35" s="57" t="s">
        <v>708</v>
      </c>
      <c r="B35" s="58" t="n">
        <v>27</v>
      </c>
      <c r="C35" s="39" t="n">
        <f aca="false">C33+C34</f>
        <v>332200</v>
      </c>
      <c r="D35" s="39" t="n">
        <f aca="false">D33+D34</f>
        <v>332200</v>
      </c>
    </row>
    <row r="37" customFormat="false" ht="22.35" hidden="false" customHeight="true" outlineLevel="0" collapsed="false">
      <c r="A37" s="6" t="s">
        <v>709</v>
      </c>
      <c r="B37" s="6"/>
      <c r="C37" s="6"/>
      <c r="D37" s="6"/>
    </row>
  </sheetData>
  <mergeCells count="4">
    <mergeCell ref="A1:D1"/>
    <mergeCell ref="A2:D2"/>
    <mergeCell ref="B3:C3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3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7" min="4" style="0" width="15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23" t="s">
        <v>710</v>
      </c>
      <c r="B1" s="23"/>
      <c r="C1" s="23"/>
      <c r="D1" s="23"/>
      <c r="E1" s="23"/>
      <c r="F1" s="23"/>
      <c r="G1" s="23"/>
      <c r="H1" s="23"/>
      <c r="I1" s="23"/>
    </row>
    <row r="2" customFormat="false" ht="15" hidden="false" customHeight="true" outlineLevel="0" collapsed="false">
      <c r="A2" s="6" t="s">
        <v>711</v>
      </c>
      <c r="B2" s="6"/>
      <c r="C2" s="6"/>
      <c r="D2" s="6"/>
      <c r="E2" s="6"/>
      <c r="F2" s="6"/>
      <c r="G2" s="6"/>
      <c r="H2" s="6"/>
      <c r="I2" s="6"/>
    </row>
    <row r="3" customFormat="false" ht="15" hidden="false" customHeight="false" outlineLevel="0" collapsed="false">
      <c r="A3" s="38" t="s">
        <v>3</v>
      </c>
      <c r="B3" s="55" t="str">
        <f aca="false">首页!$B$5</f>
        <v>2026-01</v>
      </c>
    </row>
    <row r="5" customFormat="false" ht="30" hidden="false" customHeight="true" outlineLevel="0" collapsed="false">
      <c r="A5" s="30" t="s">
        <v>494</v>
      </c>
      <c r="B5" s="30" t="s">
        <v>712</v>
      </c>
      <c r="C5" s="30" t="s">
        <v>495</v>
      </c>
      <c r="D5" s="30" t="s">
        <v>713</v>
      </c>
      <c r="E5" s="30" t="s">
        <v>714</v>
      </c>
      <c r="F5" s="30" t="s">
        <v>715</v>
      </c>
      <c r="G5" s="30" t="s">
        <v>716</v>
      </c>
      <c r="H5" s="30" t="s">
        <v>631</v>
      </c>
      <c r="I5" s="30" t="s">
        <v>717</v>
      </c>
    </row>
    <row r="6" customFormat="false" ht="16.5" hidden="false" customHeight="true" outlineLevel="0" collapsed="false">
      <c r="A6" s="42" t="str">
        <f aca="false">IF(基础资料!$A6="","",基础资料!$A6)</f>
        <v>库存现金</v>
      </c>
      <c r="B6" s="42" t="str">
        <f aca="false">IF($A6="","",基础资料!$B6)</f>
        <v>现金</v>
      </c>
      <c r="C6" s="54" t="n">
        <f aca="false">IF($A6="","",SUMIFS(期初数据!$B$6:$B$35,期初数据!$A$6:$A$35,$A6))</f>
        <v>20000</v>
      </c>
      <c r="D6" s="54" t="n">
        <f aca="false">IF($A6="","",SUMIFS(资金流水!$N$5:$N$504,资金流水!$F$5:$F$504,$A6,资金流水!$D$5:$D$504,"收入",资金流水!$C$5:$C$504,首页!$B$5)+SUMIFS(资金流水!$N$5:$N$504,资金流水!$G$5:$G$504,$A6,资金流水!$D$5:$D$504,"转账",资金流水!$C$5:$C$504,首页!$B$5))</f>
        <v>5000</v>
      </c>
      <c r="E6" s="54" t="n">
        <f aca="false">IF($A6="","",SUMIFS(资金流水!$N$5:$N$504,资金流水!$F$5:$F$504,$A6,资金流水!$D$5:$D$504,"支出",资金流水!$C$5:$C$504,首页!$B$5)+SUMIFS(资金流水!$N$5:$N$504,资金流水!$F$5:$F$504,$A6,资金流水!$D$5:$D$504,"转账",资金流水!$C$5:$C$504,首页!$B$5))</f>
        <v>800</v>
      </c>
      <c r="F6" s="54" t="n">
        <f aca="false">IF($A6="","",SUMIFS(资金流水!$N$5:$N$504,资金流水!$F$5:$F$504,$A6,资金流水!$D$5:$D$504,"收入",资金流水!$B$5:$B$504,"&lt;="&amp;首页!$B$7)+SUMIFS(资金流水!$N$5:$N$504,资金流水!$G$5:$G$504,$A6,资金流水!$D$5:$D$504,"转账",资金流水!$B$5:$B$504,"&lt;="&amp;首页!$B$7))</f>
        <v>5000</v>
      </c>
      <c r="G6" s="54" t="n">
        <f aca="false">IF($A6="","",SUMIFS(资金流水!$N$5:$N$504,资金流水!$F$5:$F$504,$A6,资金流水!$D$5:$D$504,"支出",资金流水!$B$5:$B$504,"&lt;="&amp;首页!$B$7)+SUMIFS(资金流水!$N$5:$N$504,资金流水!$F$5:$F$504,$A6,资金流水!$D$5:$D$504,"转账",资金流水!$B$5:$B$504,"&lt;="&amp;首页!$B$7))</f>
        <v>800</v>
      </c>
      <c r="H6" s="62" t="n">
        <f aca="false">IF($A6="","",$C6+$F6-$G6)</f>
        <v>24200</v>
      </c>
      <c r="I6" s="63" t="n">
        <f aca="false">IF(OR($A6="",$H$36=0),"",$H6/$H$36)</f>
        <v>0.0728476821192053</v>
      </c>
    </row>
    <row r="7" customFormat="false" ht="16.5" hidden="false" customHeight="true" outlineLevel="0" collapsed="false">
      <c r="A7" s="42" t="str">
        <f aca="false">IF(基础资料!$A7="","",基础资料!$A7)</f>
        <v>工商银行</v>
      </c>
      <c r="B7" s="42" t="str">
        <f aca="false">IF($A7="","",基础资料!$B7)</f>
        <v>银行</v>
      </c>
      <c r="C7" s="54" t="n">
        <f aca="false">IF($A7="","",SUMIFS(期初数据!$B$6:$B$35,期初数据!$A$6:$A$35,$A7))</f>
        <v>300000</v>
      </c>
      <c r="D7" s="54" t="n">
        <f aca="false">IF($A7="","",SUMIFS(资金流水!$N$5:$N$504,资金流水!$F$5:$F$504,$A7,资金流水!$D$5:$D$504,"收入",资金流水!$C$5:$C$504,首页!$B$5)+SUMIFS(资金流水!$N$5:$N$504,资金流水!$G$5:$G$504,$A7,资金流水!$D$5:$D$504,"转账",资金流水!$C$5:$C$504,首页!$B$5))</f>
        <v>50000</v>
      </c>
      <c r="E7" s="54" t="n">
        <f aca="false">IF($A7="","",SUMIFS(资金流水!$N$5:$N$504,资金流水!$F$5:$F$504,$A7,资金流水!$D$5:$D$504,"支出",资金流水!$C$5:$C$504,首页!$B$5)+SUMIFS(资金流水!$N$5:$N$504,资金流水!$F$5:$F$504,$A7,资金流水!$D$5:$D$504,"转账",资金流水!$C$5:$C$504,首页!$B$5))</f>
        <v>68000</v>
      </c>
      <c r="F7" s="54" t="n">
        <f aca="false">IF($A7="","",SUMIFS(资金流水!$N$5:$N$504,资金流水!$F$5:$F$504,$A7,资金流水!$D$5:$D$504,"收入",资金流水!$B$5:$B$504,"&lt;="&amp;首页!$B$7)+SUMIFS(资金流水!$N$5:$N$504,资金流水!$G$5:$G$504,$A7,资金流水!$D$5:$D$504,"转账",资金流水!$B$5:$B$504,"&lt;="&amp;首页!$B$7))</f>
        <v>50000</v>
      </c>
      <c r="G7" s="54" t="n">
        <f aca="false">IF($A7="","",SUMIFS(资金流水!$N$5:$N$504,资金流水!$F$5:$F$504,$A7,资金流水!$D$5:$D$504,"支出",资金流水!$B$5:$B$504,"&lt;="&amp;首页!$B$7)+SUMIFS(资金流水!$N$5:$N$504,资金流水!$F$5:$F$504,$A7,资金流水!$D$5:$D$504,"转账",资金流水!$B$5:$B$504,"&lt;="&amp;首页!$B$7))</f>
        <v>68000</v>
      </c>
      <c r="H7" s="62" t="n">
        <f aca="false">IF($A7="","",$C7+$F7-$G7)</f>
        <v>282000</v>
      </c>
      <c r="I7" s="63" t="n">
        <f aca="false">IF(OR($A7="",$H$36=0),"",$H7/$H$36)</f>
        <v>0.848886213124624</v>
      </c>
    </row>
    <row r="8" customFormat="false" ht="16.5" hidden="false" customHeight="true" outlineLevel="0" collapsed="false">
      <c r="A8" s="42" t="str">
        <f aca="false">IF(基础资料!$A8="","",基础资料!$A8)</f>
        <v>支付宝</v>
      </c>
      <c r="B8" s="42" t="str">
        <f aca="false">IF($A8="","",基础资料!$B8)</f>
        <v>第三方</v>
      </c>
      <c r="C8" s="54" t="n">
        <f aca="false">IF($A8="","",SUMIFS(期初数据!$B$6:$B$35,期初数据!$A$6:$A$35,$A8))</f>
        <v>15000</v>
      </c>
      <c r="D8" s="54" t="n">
        <f aca="false">IF($A8="","",SUMIFS(资金流水!$N$5:$N$504,资金流水!$F$5:$F$504,$A8,资金流水!$D$5:$D$504,"收入",资金流水!$C$5:$C$504,首页!$B$5)+SUMIFS(资金流水!$N$5:$N$504,资金流水!$G$5:$G$504,$A8,资金流水!$D$5:$D$504,"转账",资金流水!$C$5:$C$504,首页!$B$5))</f>
        <v>11000</v>
      </c>
      <c r="E8" s="54" t="n">
        <f aca="false">IF($A8="","",SUMIFS(资金流水!$N$5:$N$504,资金流水!$F$5:$F$504,$A8,资金流水!$D$5:$D$504,"支出",资金流水!$C$5:$C$504,首页!$B$5)+SUMIFS(资金流水!$N$5:$N$504,资金流水!$F$5:$F$504,$A8,资金流水!$D$5:$D$504,"转账",资金流水!$C$5:$C$504,首页!$B$5))</f>
        <v>0</v>
      </c>
      <c r="F8" s="54" t="n">
        <f aca="false">IF($A8="","",SUMIFS(资金流水!$N$5:$N$504,资金流水!$F$5:$F$504,$A8,资金流水!$D$5:$D$504,"收入",资金流水!$B$5:$B$504,"&lt;="&amp;首页!$B$7)+SUMIFS(资金流水!$N$5:$N$504,资金流水!$G$5:$G$504,$A8,资金流水!$D$5:$D$504,"转账",资金流水!$B$5:$B$504,"&lt;="&amp;首页!$B$7))</f>
        <v>11000</v>
      </c>
      <c r="G8" s="54" t="n">
        <f aca="false">IF($A8="","",SUMIFS(资金流水!$N$5:$N$504,资金流水!$F$5:$F$504,$A8,资金流水!$D$5:$D$504,"支出",资金流水!$B$5:$B$504,"&lt;="&amp;首页!$B$7)+SUMIFS(资金流水!$N$5:$N$504,资金流水!$F$5:$F$504,$A8,资金流水!$D$5:$D$504,"转账",资金流水!$B$5:$B$504,"&lt;="&amp;首页!$B$7))</f>
        <v>0</v>
      </c>
      <c r="H8" s="62" t="n">
        <f aca="false">IF($A8="","",$C8+$F8-$G8)</f>
        <v>26000</v>
      </c>
      <c r="I8" s="63" t="n">
        <f aca="false">IF(OR($A8="",$H$36=0),"",$H8/$H$36)</f>
        <v>0.078266104756171</v>
      </c>
    </row>
    <row r="9" customFormat="false" ht="16.5" hidden="false" customHeight="true" outlineLevel="0" collapsed="false">
      <c r="A9" s="42" t="str">
        <f aca="false">IF(基础资料!$A9="","",基础资料!$A9)</f>
        <v>微信</v>
      </c>
      <c r="B9" s="42" t="str">
        <f aca="false">IF($A9="","",基础资料!$B9)</f>
        <v>第三方</v>
      </c>
      <c r="C9" s="54" t="n">
        <f aca="false">IF($A9="","",SUMIFS(期初数据!$B$6:$B$35,期初数据!$A$6:$A$35,$A9))</f>
        <v>0</v>
      </c>
      <c r="D9" s="54" t="n">
        <f aca="false">IF($A9="","",SUMIFS(资金流水!$N$5:$N$504,资金流水!$F$5:$F$504,$A9,资金流水!$D$5:$D$504,"收入",资金流水!$C$5:$C$504,首页!$B$5)+SUMIFS(资金流水!$N$5:$N$504,资金流水!$G$5:$G$504,$A9,资金流水!$D$5:$D$504,"转账",资金流水!$C$5:$C$504,首页!$B$5))</f>
        <v>0</v>
      </c>
      <c r="E9" s="54" t="n">
        <f aca="false">IF($A9="","",SUMIFS(资金流水!$N$5:$N$504,资金流水!$F$5:$F$504,$A9,资金流水!$D$5:$D$504,"支出",资金流水!$C$5:$C$504,首页!$B$5)+SUMIFS(资金流水!$N$5:$N$504,资金流水!$F$5:$F$504,$A9,资金流水!$D$5:$D$504,"转账",资金流水!$C$5:$C$504,首页!$B$5))</f>
        <v>0</v>
      </c>
      <c r="F9" s="54" t="n">
        <f aca="false">IF($A9="","",SUMIFS(资金流水!$N$5:$N$504,资金流水!$F$5:$F$504,$A9,资金流水!$D$5:$D$504,"收入",资金流水!$B$5:$B$504,"&lt;="&amp;首页!$B$7)+SUMIFS(资金流水!$N$5:$N$504,资金流水!$G$5:$G$504,$A9,资金流水!$D$5:$D$504,"转账",资金流水!$B$5:$B$504,"&lt;="&amp;首页!$B$7))</f>
        <v>0</v>
      </c>
      <c r="G9" s="54" t="n">
        <f aca="false">IF($A9="","",SUMIFS(资金流水!$N$5:$N$504,资金流水!$F$5:$F$504,$A9,资金流水!$D$5:$D$504,"支出",资金流水!$B$5:$B$504,"&lt;="&amp;首页!$B$7)+SUMIFS(资金流水!$N$5:$N$504,资金流水!$F$5:$F$504,$A9,资金流水!$D$5:$D$504,"转账",资金流水!$B$5:$B$504,"&lt;="&amp;首页!$B$7))</f>
        <v>0</v>
      </c>
      <c r="H9" s="62" t="n">
        <f aca="false">IF($A9="","",$C9+$F9-$G9)</f>
        <v>0</v>
      </c>
      <c r="I9" s="63" t="n">
        <f aca="false">IF(OR($A9="",$H$36=0),"",$H9/$H$36)</f>
        <v>0</v>
      </c>
    </row>
    <row r="10" customFormat="false" ht="16.5" hidden="false" customHeight="true" outlineLevel="0" collapsed="false">
      <c r="A10" s="42" t="str">
        <f aca="false">IF(基础资料!$A10="","",基础资料!$A10)</f>
        <v/>
      </c>
      <c r="B10" s="42" t="str">
        <f aca="false">IF($A10="","",基础资料!$B10)</f>
        <v/>
      </c>
      <c r="C10" s="54" t="str">
        <f aca="false">IF($A10="","",SUMIFS(期初数据!$B$6:$B$35,期初数据!$A$6:$A$35,$A10))</f>
        <v/>
      </c>
      <c r="D10" s="54" t="str">
        <f aca="false">IF($A10="","",SUMIFS(资金流水!$N$5:$N$504,资金流水!$F$5:$F$504,$A10,资金流水!$D$5:$D$504,"收入",资金流水!$C$5:$C$504,首页!$B$5)+SUMIFS(资金流水!$N$5:$N$504,资金流水!$G$5:$G$504,$A10,资金流水!$D$5:$D$504,"转账",资金流水!$C$5:$C$504,首页!$B$5))</f>
        <v/>
      </c>
      <c r="E10" s="54" t="str">
        <f aca="false">IF($A10="","",SUMIFS(资金流水!$N$5:$N$504,资金流水!$F$5:$F$504,$A10,资金流水!$D$5:$D$504,"支出",资金流水!$C$5:$C$504,首页!$B$5)+SUMIFS(资金流水!$N$5:$N$504,资金流水!$F$5:$F$504,$A10,资金流水!$D$5:$D$504,"转账",资金流水!$C$5:$C$504,首页!$B$5))</f>
        <v/>
      </c>
      <c r="F10" s="54" t="str">
        <f aca="false">IF($A10="","",SUMIFS(资金流水!$N$5:$N$504,资金流水!$F$5:$F$504,$A10,资金流水!$D$5:$D$504,"收入",资金流水!$B$5:$B$504,"&lt;="&amp;首页!$B$7)+SUMIFS(资金流水!$N$5:$N$504,资金流水!$G$5:$G$504,$A10,资金流水!$D$5:$D$504,"转账",资金流水!$B$5:$B$504,"&lt;="&amp;首页!$B$7))</f>
        <v/>
      </c>
      <c r="G10" s="54" t="str">
        <f aca="false">IF($A10="","",SUMIFS(资金流水!$N$5:$N$504,资金流水!$F$5:$F$504,$A10,资金流水!$D$5:$D$504,"支出",资金流水!$B$5:$B$504,"&lt;="&amp;首页!$B$7)+SUMIFS(资金流水!$N$5:$N$504,资金流水!$F$5:$F$504,$A10,资金流水!$D$5:$D$504,"转账",资金流水!$B$5:$B$504,"&lt;="&amp;首页!$B$7))</f>
        <v/>
      </c>
      <c r="H10" s="62" t="str">
        <f aca="false">IF($A10="","",$C10+$F10-$G10)</f>
        <v/>
      </c>
      <c r="I10" s="63" t="str">
        <f aca="false">IF(OR($A10="",$H$36=0),"",$H10/$H$36)</f>
        <v/>
      </c>
    </row>
    <row r="11" customFormat="false" ht="16.5" hidden="false" customHeight="true" outlineLevel="0" collapsed="false">
      <c r="A11" s="42" t="str">
        <f aca="false">IF(基础资料!$A11="","",基础资料!$A11)</f>
        <v/>
      </c>
      <c r="B11" s="42" t="str">
        <f aca="false">IF($A11="","",基础资料!$B11)</f>
        <v/>
      </c>
      <c r="C11" s="54" t="str">
        <f aca="false">IF($A11="","",SUMIFS(期初数据!$B$6:$B$35,期初数据!$A$6:$A$35,$A11))</f>
        <v/>
      </c>
      <c r="D11" s="54" t="str">
        <f aca="false">IF($A11="","",SUMIFS(资金流水!$N$5:$N$504,资金流水!$F$5:$F$504,$A11,资金流水!$D$5:$D$504,"收入",资金流水!$C$5:$C$504,首页!$B$5)+SUMIFS(资金流水!$N$5:$N$504,资金流水!$G$5:$G$504,$A11,资金流水!$D$5:$D$504,"转账",资金流水!$C$5:$C$504,首页!$B$5))</f>
        <v/>
      </c>
      <c r="E11" s="54" t="str">
        <f aca="false">IF($A11="","",SUMIFS(资金流水!$N$5:$N$504,资金流水!$F$5:$F$504,$A11,资金流水!$D$5:$D$504,"支出",资金流水!$C$5:$C$504,首页!$B$5)+SUMIFS(资金流水!$N$5:$N$504,资金流水!$F$5:$F$504,$A11,资金流水!$D$5:$D$504,"转账",资金流水!$C$5:$C$504,首页!$B$5))</f>
        <v/>
      </c>
      <c r="F11" s="54" t="str">
        <f aca="false">IF($A11="","",SUMIFS(资金流水!$N$5:$N$504,资金流水!$F$5:$F$504,$A11,资金流水!$D$5:$D$504,"收入",资金流水!$B$5:$B$504,"&lt;="&amp;首页!$B$7)+SUMIFS(资金流水!$N$5:$N$504,资金流水!$G$5:$G$504,$A11,资金流水!$D$5:$D$504,"转账",资金流水!$B$5:$B$504,"&lt;="&amp;首页!$B$7))</f>
        <v/>
      </c>
      <c r="G11" s="54" t="str">
        <f aca="false">IF($A11="","",SUMIFS(资金流水!$N$5:$N$504,资金流水!$F$5:$F$504,$A11,资金流水!$D$5:$D$504,"支出",资金流水!$B$5:$B$504,"&lt;="&amp;首页!$B$7)+SUMIFS(资金流水!$N$5:$N$504,资金流水!$F$5:$F$504,$A11,资金流水!$D$5:$D$504,"转账",资金流水!$B$5:$B$504,"&lt;="&amp;首页!$B$7))</f>
        <v/>
      </c>
      <c r="H11" s="62" t="str">
        <f aca="false">IF($A11="","",$C11+$F11-$G11)</f>
        <v/>
      </c>
      <c r="I11" s="63" t="str">
        <f aca="false">IF(OR($A11="",$H$36=0),"",$H11/$H$36)</f>
        <v/>
      </c>
    </row>
    <row r="12" customFormat="false" ht="16.5" hidden="false" customHeight="true" outlineLevel="0" collapsed="false">
      <c r="A12" s="42" t="str">
        <f aca="false">IF(基础资料!$A12="","",基础资料!$A12)</f>
        <v/>
      </c>
      <c r="B12" s="42" t="str">
        <f aca="false">IF($A12="","",基础资料!$B12)</f>
        <v/>
      </c>
      <c r="C12" s="54" t="str">
        <f aca="false">IF($A12="","",SUMIFS(期初数据!$B$6:$B$35,期初数据!$A$6:$A$35,$A12))</f>
        <v/>
      </c>
      <c r="D12" s="54" t="str">
        <f aca="false">IF($A12="","",SUMIFS(资金流水!$N$5:$N$504,资金流水!$F$5:$F$504,$A12,资金流水!$D$5:$D$504,"收入",资金流水!$C$5:$C$504,首页!$B$5)+SUMIFS(资金流水!$N$5:$N$504,资金流水!$G$5:$G$504,$A12,资金流水!$D$5:$D$504,"转账",资金流水!$C$5:$C$504,首页!$B$5))</f>
        <v/>
      </c>
      <c r="E12" s="54" t="str">
        <f aca="false">IF($A12="","",SUMIFS(资金流水!$N$5:$N$504,资金流水!$F$5:$F$504,$A12,资金流水!$D$5:$D$504,"支出",资金流水!$C$5:$C$504,首页!$B$5)+SUMIFS(资金流水!$N$5:$N$504,资金流水!$F$5:$F$504,$A12,资金流水!$D$5:$D$504,"转账",资金流水!$C$5:$C$504,首页!$B$5))</f>
        <v/>
      </c>
      <c r="F12" s="54" t="str">
        <f aca="false">IF($A12="","",SUMIFS(资金流水!$N$5:$N$504,资金流水!$F$5:$F$504,$A12,资金流水!$D$5:$D$504,"收入",资金流水!$B$5:$B$504,"&lt;="&amp;首页!$B$7)+SUMIFS(资金流水!$N$5:$N$504,资金流水!$G$5:$G$504,$A12,资金流水!$D$5:$D$504,"转账",资金流水!$B$5:$B$504,"&lt;="&amp;首页!$B$7))</f>
        <v/>
      </c>
      <c r="G12" s="54" t="str">
        <f aca="false">IF($A12="","",SUMIFS(资金流水!$N$5:$N$504,资金流水!$F$5:$F$504,$A12,资金流水!$D$5:$D$504,"支出",资金流水!$B$5:$B$504,"&lt;="&amp;首页!$B$7)+SUMIFS(资金流水!$N$5:$N$504,资金流水!$F$5:$F$504,$A12,资金流水!$D$5:$D$504,"转账",资金流水!$B$5:$B$504,"&lt;="&amp;首页!$B$7))</f>
        <v/>
      </c>
      <c r="H12" s="62" t="str">
        <f aca="false">IF($A12="","",$C12+$F12-$G12)</f>
        <v/>
      </c>
      <c r="I12" s="63" t="str">
        <f aca="false">IF(OR($A12="",$H$36=0),"",$H12/$H$36)</f>
        <v/>
      </c>
    </row>
    <row r="13" customFormat="false" ht="16.5" hidden="false" customHeight="true" outlineLevel="0" collapsed="false">
      <c r="A13" s="42" t="str">
        <f aca="false">IF(基础资料!$A13="","",基础资料!$A13)</f>
        <v/>
      </c>
      <c r="B13" s="42" t="str">
        <f aca="false">IF($A13="","",基础资料!$B13)</f>
        <v/>
      </c>
      <c r="C13" s="54" t="str">
        <f aca="false">IF($A13="","",SUMIFS(期初数据!$B$6:$B$35,期初数据!$A$6:$A$35,$A13))</f>
        <v/>
      </c>
      <c r="D13" s="54" t="str">
        <f aca="false">IF($A13="","",SUMIFS(资金流水!$N$5:$N$504,资金流水!$F$5:$F$504,$A13,资金流水!$D$5:$D$504,"收入",资金流水!$C$5:$C$504,首页!$B$5)+SUMIFS(资金流水!$N$5:$N$504,资金流水!$G$5:$G$504,$A13,资金流水!$D$5:$D$504,"转账",资金流水!$C$5:$C$504,首页!$B$5))</f>
        <v/>
      </c>
      <c r="E13" s="54" t="str">
        <f aca="false">IF($A13="","",SUMIFS(资金流水!$N$5:$N$504,资金流水!$F$5:$F$504,$A13,资金流水!$D$5:$D$504,"支出",资金流水!$C$5:$C$504,首页!$B$5)+SUMIFS(资金流水!$N$5:$N$504,资金流水!$F$5:$F$504,$A13,资金流水!$D$5:$D$504,"转账",资金流水!$C$5:$C$504,首页!$B$5))</f>
        <v/>
      </c>
      <c r="F13" s="54" t="str">
        <f aca="false">IF($A13="","",SUMIFS(资金流水!$N$5:$N$504,资金流水!$F$5:$F$504,$A13,资金流水!$D$5:$D$504,"收入",资金流水!$B$5:$B$504,"&lt;="&amp;首页!$B$7)+SUMIFS(资金流水!$N$5:$N$504,资金流水!$G$5:$G$504,$A13,资金流水!$D$5:$D$504,"转账",资金流水!$B$5:$B$504,"&lt;="&amp;首页!$B$7))</f>
        <v/>
      </c>
      <c r="G13" s="54" t="str">
        <f aca="false">IF($A13="","",SUMIFS(资金流水!$N$5:$N$504,资金流水!$F$5:$F$504,$A13,资金流水!$D$5:$D$504,"支出",资金流水!$B$5:$B$504,"&lt;="&amp;首页!$B$7)+SUMIFS(资金流水!$N$5:$N$504,资金流水!$F$5:$F$504,$A13,资金流水!$D$5:$D$504,"转账",资金流水!$B$5:$B$504,"&lt;="&amp;首页!$B$7))</f>
        <v/>
      </c>
      <c r="H13" s="62" t="str">
        <f aca="false">IF($A13="","",$C13+$F13-$G13)</f>
        <v/>
      </c>
      <c r="I13" s="63" t="str">
        <f aca="false">IF(OR($A13="",$H$36=0),"",$H13/$H$36)</f>
        <v/>
      </c>
    </row>
    <row r="14" customFormat="false" ht="16.5" hidden="false" customHeight="true" outlineLevel="0" collapsed="false">
      <c r="A14" s="42" t="str">
        <f aca="false">IF(基础资料!$A14="","",基础资料!$A14)</f>
        <v/>
      </c>
      <c r="B14" s="42" t="str">
        <f aca="false">IF($A14="","",基础资料!$B14)</f>
        <v/>
      </c>
      <c r="C14" s="54" t="str">
        <f aca="false">IF($A14="","",SUMIFS(期初数据!$B$6:$B$35,期初数据!$A$6:$A$35,$A14))</f>
        <v/>
      </c>
      <c r="D14" s="54" t="str">
        <f aca="false">IF($A14="","",SUMIFS(资金流水!$N$5:$N$504,资金流水!$F$5:$F$504,$A14,资金流水!$D$5:$D$504,"收入",资金流水!$C$5:$C$504,首页!$B$5)+SUMIFS(资金流水!$N$5:$N$504,资金流水!$G$5:$G$504,$A14,资金流水!$D$5:$D$504,"转账",资金流水!$C$5:$C$504,首页!$B$5))</f>
        <v/>
      </c>
      <c r="E14" s="54" t="str">
        <f aca="false">IF($A14="","",SUMIFS(资金流水!$N$5:$N$504,资金流水!$F$5:$F$504,$A14,资金流水!$D$5:$D$504,"支出",资金流水!$C$5:$C$504,首页!$B$5)+SUMIFS(资金流水!$N$5:$N$504,资金流水!$F$5:$F$504,$A14,资金流水!$D$5:$D$504,"转账",资金流水!$C$5:$C$504,首页!$B$5))</f>
        <v/>
      </c>
      <c r="F14" s="54" t="str">
        <f aca="false">IF($A14="","",SUMIFS(资金流水!$N$5:$N$504,资金流水!$F$5:$F$504,$A14,资金流水!$D$5:$D$504,"收入",资金流水!$B$5:$B$504,"&lt;="&amp;首页!$B$7)+SUMIFS(资金流水!$N$5:$N$504,资金流水!$G$5:$G$504,$A14,资金流水!$D$5:$D$504,"转账",资金流水!$B$5:$B$504,"&lt;="&amp;首页!$B$7))</f>
        <v/>
      </c>
      <c r="G14" s="54" t="str">
        <f aca="false">IF($A14="","",SUMIFS(资金流水!$N$5:$N$504,资金流水!$F$5:$F$504,$A14,资金流水!$D$5:$D$504,"支出",资金流水!$B$5:$B$504,"&lt;="&amp;首页!$B$7)+SUMIFS(资金流水!$N$5:$N$504,资金流水!$F$5:$F$504,$A14,资金流水!$D$5:$D$504,"转账",资金流水!$B$5:$B$504,"&lt;="&amp;首页!$B$7))</f>
        <v/>
      </c>
      <c r="H14" s="62" t="str">
        <f aca="false">IF($A14="","",$C14+$F14-$G14)</f>
        <v/>
      </c>
      <c r="I14" s="63" t="str">
        <f aca="false">IF(OR($A14="",$H$36=0),"",$H14/$H$36)</f>
        <v/>
      </c>
    </row>
    <row r="15" customFormat="false" ht="16.5" hidden="false" customHeight="true" outlineLevel="0" collapsed="false">
      <c r="A15" s="42" t="str">
        <f aca="false">IF(基础资料!$A15="","",基础资料!$A15)</f>
        <v/>
      </c>
      <c r="B15" s="42" t="str">
        <f aca="false">IF($A15="","",基础资料!$B15)</f>
        <v/>
      </c>
      <c r="C15" s="54" t="str">
        <f aca="false">IF($A15="","",SUMIFS(期初数据!$B$6:$B$35,期初数据!$A$6:$A$35,$A15))</f>
        <v/>
      </c>
      <c r="D15" s="54" t="str">
        <f aca="false">IF($A15="","",SUMIFS(资金流水!$N$5:$N$504,资金流水!$F$5:$F$504,$A15,资金流水!$D$5:$D$504,"收入",资金流水!$C$5:$C$504,首页!$B$5)+SUMIFS(资金流水!$N$5:$N$504,资金流水!$G$5:$G$504,$A15,资金流水!$D$5:$D$504,"转账",资金流水!$C$5:$C$504,首页!$B$5))</f>
        <v/>
      </c>
      <c r="E15" s="54" t="str">
        <f aca="false">IF($A15="","",SUMIFS(资金流水!$N$5:$N$504,资金流水!$F$5:$F$504,$A15,资金流水!$D$5:$D$504,"支出",资金流水!$C$5:$C$504,首页!$B$5)+SUMIFS(资金流水!$N$5:$N$504,资金流水!$F$5:$F$504,$A15,资金流水!$D$5:$D$504,"转账",资金流水!$C$5:$C$504,首页!$B$5))</f>
        <v/>
      </c>
      <c r="F15" s="54" t="str">
        <f aca="false">IF($A15="","",SUMIFS(资金流水!$N$5:$N$504,资金流水!$F$5:$F$504,$A15,资金流水!$D$5:$D$504,"收入",资金流水!$B$5:$B$504,"&lt;="&amp;首页!$B$7)+SUMIFS(资金流水!$N$5:$N$504,资金流水!$G$5:$G$504,$A15,资金流水!$D$5:$D$504,"转账",资金流水!$B$5:$B$504,"&lt;="&amp;首页!$B$7))</f>
        <v/>
      </c>
      <c r="G15" s="54" t="str">
        <f aca="false">IF($A15="","",SUMIFS(资金流水!$N$5:$N$504,资金流水!$F$5:$F$504,$A15,资金流水!$D$5:$D$504,"支出",资金流水!$B$5:$B$504,"&lt;="&amp;首页!$B$7)+SUMIFS(资金流水!$N$5:$N$504,资金流水!$F$5:$F$504,$A15,资金流水!$D$5:$D$504,"转账",资金流水!$B$5:$B$504,"&lt;="&amp;首页!$B$7))</f>
        <v/>
      </c>
      <c r="H15" s="62" t="str">
        <f aca="false">IF($A15="","",$C15+$F15-$G15)</f>
        <v/>
      </c>
      <c r="I15" s="63" t="str">
        <f aca="false">IF(OR($A15="",$H$36=0),"",$H15/$H$36)</f>
        <v/>
      </c>
    </row>
    <row r="16" customFormat="false" ht="16.5" hidden="false" customHeight="true" outlineLevel="0" collapsed="false">
      <c r="A16" s="42" t="str">
        <f aca="false">IF(基础资料!$A16="","",基础资料!$A16)</f>
        <v/>
      </c>
      <c r="B16" s="42" t="str">
        <f aca="false">IF($A16="","",基础资料!$B16)</f>
        <v/>
      </c>
      <c r="C16" s="54" t="str">
        <f aca="false">IF($A16="","",SUMIFS(期初数据!$B$6:$B$35,期初数据!$A$6:$A$35,$A16))</f>
        <v/>
      </c>
      <c r="D16" s="54" t="str">
        <f aca="false">IF($A16="","",SUMIFS(资金流水!$N$5:$N$504,资金流水!$F$5:$F$504,$A16,资金流水!$D$5:$D$504,"收入",资金流水!$C$5:$C$504,首页!$B$5)+SUMIFS(资金流水!$N$5:$N$504,资金流水!$G$5:$G$504,$A16,资金流水!$D$5:$D$504,"转账",资金流水!$C$5:$C$504,首页!$B$5))</f>
        <v/>
      </c>
      <c r="E16" s="54" t="str">
        <f aca="false">IF($A16="","",SUMIFS(资金流水!$N$5:$N$504,资金流水!$F$5:$F$504,$A16,资金流水!$D$5:$D$504,"支出",资金流水!$C$5:$C$504,首页!$B$5)+SUMIFS(资金流水!$N$5:$N$504,资金流水!$F$5:$F$504,$A16,资金流水!$D$5:$D$504,"转账",资金流水!$C$5:$C$504,首页!$B$5))</f>
        <v/>
      </c>
      <c r="F16" s="54" t="str">
        <f aca="false">IF($A16="","",SUMIFS(资金流水!$N$5:$N$504,资金流水!$F$5:$F$504,$A16,资金流水!$D$5:$D$504,"收入",资金流水!$B$5:$B$504,"&lt;="&amp;首页!$B$7)+SUMIFS(资金流水!$N$5:$N$504,资金流水!$G$5:$G$504,$A16,资金流水!$D$5:$D$504,"转账",资金流水!$B$5:$B$504,"&lt;="&amp;首页!$B$7))</f>
        <v/>
      </c>
      <c r="G16" s="54" t="str">
        <f aca="false">IF($A16="","",SUMIFS(资金流水!$N$5:$N$504,资金流水!$F$5:$F$504,$A16,资金流水!$D$5:$D$504,"支出",资金流水!$B$5:$B$504,"&lt;="&amp;首页!$B$7)+SUMIFS(资金流水!$N$5:$N$504,资金流水!$F$5:$F$504,$A16,资金流水!$D$5:$D$504,"转账",资金流水!$B$5:$B$504,"&lt;="&amp;首页!$B$7))</f>
        <v/>
      </c>
      <c r="H16" s="62" t="str">
        <f aca="false">IF($A16="","",$C16+$F16-$G16)</f>
        <v/>
      </c>
      <c r="I16" s="63" t="str">
        <f aca="false">IF(OR($A16="",$H$36=0),"",$H16/$H$36)</f>
        <v/>
      </c>
    </row>
    <row r="17" customFormat="false" ht="16.5" hidden="false" customHeight="true" outlineLevel="0" collapsed="false">
      <c r="A17" s="42" t="str">
        <f aca="false">IF(基础资料!$A17="","",基础资料!$A17)</f>
        <v/>
      </c>
      <c r="B17" s="42" t="str">
        <f aca="false">IF($A17="","",基础资料!$B17)</f>
        <v/>
      </c>
      <c r="C17" s="54" t="str">
        <f aca="false">IF($A17="","",SUMIFS(期初数据!$B$6:$B$35,期初数据!$A$6:$A$35,$A17))</f>
        <v/>
      </c>
      <c r="D17" s="54" t="str">
        <f aca="false">IF($A17="","",SUMIFS(资金流水!$N$5:$N$504,资金流水!$F$5:$F$504,$A17,资金流水!$D$5:$D$504,"收入",资金流水!$C$5:$C$504,首页!$B$5)+SUMIFS(资金流水!$N$5:$N$504,资金流水!$G$5:$G$504,$A17,资金流水!$D$5:$D$504,"转账",资金流水!$C$5:$C$504,首页!$B$5))</f>
        <v/>
      </c>
      <c r="E17" s="54" t="str">
        <f aca="false">IF($A17="","",SUMIFS(资金流水!$N$5:$N$504,资金流水!$F$5:$F$504,$A17,资金流水!$D$5:$D$504,"支出",资金流水!$C$5:$C$504,首页!$B$5)+SUMIFS(资金流水!$N$5:$N$504,资金流水!$F$5:$F$504,$A17,资金流水!$D$5:$D$504,"转账",资金流水!$C$5:$C$504,首页!$B$5))</f>
        <v/>
      </c>
      <c r="F17" s="54" t="str">
        <f aca="false">IF($A17="","",SUMIFS(资金流水!$N$5:$N$504,资金流水!$F$5:$F$504,$A17,资金流水!$D$5:$D$504,"收入",资金流水!$B$5:$B$504,"&lt;="&amp;首页!$B$7)+SUMIFS(资金流水!$N$5:$N$504,资金流水!$G$5:$G$504,$A17,资金流水!$D$5:$D$504,"转账",资金流水!$B$5:$B$504,"&lt;="&amp;首页!$B$7))</f>
        <v/>
      </c>
      <c r="G17" s="54" t="str">
        <f aca="false">IF($A17="","",SUMIFS(资金流水!$N$5:$N$504,资金流水!$F$5:$F$504,$A17,资金流水!$D$5:$D$504,"支出",资金流水!$B$5:$B$504,"&lt;="&amp;首页!$B$7)+SUMIFS(资金流水!$N$5:$N$504,资金流水!$F$5:$F$504,$A17,资金流水!$D$5:$D$504,"转账",资金流水!$B$5:$B$504,"&lt;="&amp;首页!$B$7))</f>
        <v/>
      </c>
      <c r="H17" s="62" t="str">
        <f aca="false">IF($A17="","",$C17+$F17-$G17)</f>
        <v/>
      </c>
      <c r="I17" s="63" t="str">
        <f aca="false">IF(OR($A17="",$H$36=0),"",$H17/$H$36)</f>
        <v/>
      </c>
    </row>
    <row r="18" customFormat="false" ht="16.5" hidden="false" customHeight="true" outlineLevel="0" collapsed="false">
      <c r="A18" s="42" t="str">
        <f aca="false">IF(基础资料!$A18="","",基础资料!$A18)</f>
        <v/>
      </c>
      <c r="B18" s="42" t="str">
        <f aca="false">IF($A18="","",基础资料!$B18)</f>
        <v/>
      </c>
      <c r="C18" s="54" t="str">
        <f aca="false">IF($A18="","",SUMIFS(期初数据!$B$6:$B$35,期初数据!$A$6:$A$35,$A18))</f>
        <v/>
      </c>
      <c r="D18" s="54" t="str">
        <f aca="false">IF($A18="","",SUMIFS(资金流水!$N$5:$N$504,资金流水!$F$5:$F$504,$A18,资金流水!$D$5:$D$504,"收入",资金流水!$C$5:$C$504,首页!$B$5)+SUMIFS(资金流水!$N$5:$N$504,资金流水!$G$5:$G$504,$A18,资金流水!$D$5:$D$504,"转账",资金流水!$C$5:$C$504,首页!$B$5))</f>
        <v/>
      </c>
      <c r="E18" s="54" t="str">
        <f aca="false">IF($A18="","",SUMIFS(资金流水!$N$5:$N$504,资金流水!$F$5:$F$504,$A18,资金流水!$D$5:$D$504,"支出",资金流水!$C$5:$C$504,首页!$B$5)+SUMIFS(资金流水!$N$5:$N$504,资金流水!$F$5:$F$504,$A18,资金流水!$D$5:$D$504,"转账",资金流水!$C$5:$C$504,首页!$B$5))</f>
        <v/>
      </c>
      <c r="F18" s="54" t="str">
        <f aca="false">IF($A18="","",SUMIFS(资金流水!$N$5:$N$504,资金流水!$F$5:$F$504,$A18,资金流水!$D$5:$D$504,"收入",资金流水!$B$5:$B$504,"&lt;="&amp;首页!$B$7)+SUMIFS(资金流水!$N$5:$N$504,资金流水!$G$5:$G$504,$A18,资金流水!$D$5:$D$504,"转账",资金流水!$B$5:$B$504,"&lt;="&amp;首页!$B$7))</f>
        <v/>
      </c>
      <c r="G18" s="54" t="str">
        <f aca="false">IF($A18="","",SUMIFS(资金流水!$N$5:$N$504,资金流水!$F$5:$F$504,$A18,资金流水!$D$5:$D$504,"支出",资金流水!$B$5:$B$504,"&lt;="&amp;首页!$B$7)+SUMIFS(资金流水!$N$5:$N$504,资金流水!$F$5:$F$504,$A18,资金流水!$D$5:$D$504,"转账",资金流水!$B$5:$B$504,"&lt;="&amp;首页!$B$7))</f>
        <v/>
      </c>
      <c r="H18" s="62" t="str">
        <f aca="false">IF($A18="","",$C18+$F18-$G18)</f>
        <v/>
      </c>
      <c r="I18" s="63" t="str">
        <f aca="false">IF(OR($A18="",$H$36=0),"",$H18/$H$36)</f>
        <v/>
      </c>
    </row>
    <row r="19" customFormat="false" ht="16.5" hidden="false" customHeight="true" outlineLevel="0" collapsed="false">
      <c r="A19" s="42" t="str">
        <f aca="false">IF(基础资料!$A19="","",基础资料!$A19)</f>
        <v/>
      </c>
      <c r="B19" s="42" t="str">
        <f aca="false">IF($A19="","",基础资料!$B19)</f>
        <v/>
      </c>
      <c r="C19" s="54" t="str">
        <f aca="false">IF($A19="","",SUMIFS(期初数据!$B$6:$B$35,期初数据!$A$6:$A$35,$A19))</f>
        <v/>
      </c>
      <c r="D19" s="54" t="str">
        <f aca="false">IF($A19="","",SUMIFS(资金流水!$N$5:$N$504,资金流水!$F$5:$F$504,$A19,资金流水!$D$5:$D$504,"收入",资金流水!$C$5:$C$504,首页!$B$5)+SUMIFS(资金流水!$N$5:$N$504,资金流水!$G$5:$G$504,$A19,资金流水!$D$5:$D$504,"转账",资金流水!$C$5:$C$504,首页!$B$5))</f>
        <v/>
      </c>
      <c r="E19" s="54" t="str">
        <f aca="false">IF($A19="","",SUMIFS(资金流水!$N$5:$N$504,资金流水!$F$5:$F$504,$A19,资金流水!$D$5:$D$504,"支出",资金流水!$C$5:$C$504,首页!$B$5)+SUMIFS(资金流水!$N$5:$N$504,资金流水!$F$5:$F$504,$A19,资金流水!$D$5:$D$504,"转账",资金流水!$C$5:$C$504,首页!$B$5))</f>
        <v/>
      </c>
      <c r="F19" s="54" t="str">
        <f aca="false">IF($A19="","",SUMIFS(资金流水!$N$5:$N$504,资金流水!$F$5:$F$504,$A19,资金流水!$D$5:$D$504,"收入",资金流水!$B$5:$B$504,"&lt;="&amp;首页!$B$7)+SUMIFS(资金流水!$N$5:$N$504,资金流水!$G$5:$G$504,$A19,资金流水!$D$5:$D$504,"转账",资金流水!$B$5:$B$504,"&lt;="&amp;首页!$B$7))</f>
        <v/>
      </c>
      <c r="G19" s="54" t="str">
        <f aca="false">IF($A19="","",SUMIFS(资金流水!$N$5:$N$504,资金流水!$F$5:$F$504,$A19,资金流水!$D$5:$D$504,"支出",资金流水!$B$5:$B$504,"&lt;="&amp;首页!$B$7)+SUMIFS(资金流水!$N$5:$N$504,资金流水!$F$5:$F$504,$A19,资金流水!$D$5:$D$504,"转账",资金流水!$B$5:$B$504,"&lt;="&amp;首页!$B$7))</f>
        <v/>
      </c>
      <c r="H19" s="62" t="str">
        <f aca="false">IF($A19="","",$C19+$F19-$G19)</f>
        <v/>
      </c>
      <c r="I19" s="63" t="str">
        <f aca="false">IF(OR($A19="",$H$36=0),"",$H19/$H$36)</f>
        <v/>
      </c>
    </row>
    <row r="20" customFormat="false" ht="16.5" hidden="false" customHeight="true" outlineLevel="0" collapsed="false">
      <c r="A20" s="42" t="str">
        <f aca="false">IF(基础资料!$A20="","",基础资料!$A20)</f>
        <v/>
      </c>
      <c r="B20" s="42" t="str">
        <f aca="false">IF($A20="","",基础资料!$B20)</f>
        <v/>
      </c>
      <c r="C20" s="54" t="str">
        <f aca="false">IF($A20="","",SUMIFS(期初数据!$B$6:$B$35,期初数据!$A$6:$A$35,$A20))</f>
        <v/>
      </c>
      <c r="D20" s="54" t="str">
        <f aca="false">IF($A20="","",SUMIFS(资金流水!$N$5:$N$504,资金流水!$F$5:$F$504,$A20,资金流水!$D$5:$D$504,"收入",资金流水!$C$5:$C$504,首页!$B$5)+SUMIFS(资金流水!$N$5:$N$504,资金流水!$G$5:$G$504,$A20,资金流水!$D$5:$D$504,"转账",资金流水!$C$5:$C$504,首页!$B$5))</f>
        <v/>
      </c>
      <c r="E20" s="54" t="str">
        <f aca="false">IF($A20="","",SUMIFS(资金流水!$N$5:$N$504,资金流水!$F$5:$F$504,$A20,资金流水!$D$5:$D$504,"支出",资金流水!$C$5:$C$504,首页!$B$5)+SUMIFS(资金流水!$N$5:$N$504,资金流水!$F$5:$F$504,$A20,资金流水!$D$5:$D$504,"转账",资金流水!$C$5:$C$504,首页!$B$5))</f>
        <v/>
      </c>
      <c r="F20" s="54" t="str">
        <f aca="false">IF($A20="","",SUMIFS(资金流水!$N$5:$N$504,资金流水!$F$5:$F$504,$A20,资金流水!$D$5:$D$504,"收入",资金流水!$B$5:$B$504,"&lt;="&amp;首页!$B$7)+SUMIFS(资金流水!$N$5:$N$504,资金流水!$G$5:$G$504,$A20,资金流水!$D$5:$D$504,"转账",资金流水!$B$5:$B$504,"&lt;="&amp;首页!$B$7))</f>
        <v/>
      </c>
      <c r="G20" s="54" t="str">
        <f aca="false">IF($A20="","",SUMIFS(资金流水!$N$5:$N$504,资金流水!$F$5:$F$504,$A20,资金流水!$D$5:$D$504,"支出",资金流水!$B$5:$B$504,"&lt;="&amp;首页!$B$7)+SUMIFS(资金流水!$N$5:$N$504,资金流水!$F$5:$F$504,$A20,资金流水!$D$5:$D$504,"转账",资金流水!$B$5:$B$504,"&lt;="&amp;首页!$B$7))</f>
        <v/>
      </c>
      <c r="H20" s="62" t="str">
        <f aca="false">IF($A20="","",$C20+$F20-$G20)</f>
        <v/>
      </c>
      <c r="I20" s="63" t="str">
        <f aca="false">IF(OR($A20="",$H$36=0),"",$H20/$H$36)</f>
        <v/>
      </c>
    </row>
    <row r="21" customFormat="false" ht="16.5" hidden="false" customHeight="true" outlineLevel="0" collapsed="false">
      <c r="A21" s="42" t="str">
        <f aca="false">IF(基础资料!$A21="","",基础资料!$A21)</f>
        <v/>
      </c>
      <c r="B21" s="42" t="str">
        <f aca="false">IF($A21="","",基础资料!$B21)</f>
        <v/>
      </c>
      <c r="C21" s="54" t="str">
        <f aca="false">IF($A21="","",SUMIFS(期初数据!$B$6:$B$35,期初数据!$A$6:$A$35,$A21))</f>
        <v/>
      </c>
      <c r="D21" s="54" t="str">
        <f aca="false">IF($A21="","",SUMIFS(资金流水!$N$5:$N$504,资金流水!$F$5:$F$504,$A21,资金流水!$D$5:$D$504,"收入",资金流水!$C$5:$C$504,首页!$B$5)+SUMIFS(资金流水!$N$5:$N$504,资金流水!$G$5:$G$504,$A21,资金流水!$D$5:$D$504,"转账",资金流水!$C$5:$C$504,首页!$B$5))</f>
        <v/>
      </c>
      <c r="E21" s="54" t="str">
        <f aca="false">IF($A21="","",SUMIFS(资金流水!$N$5:$N$504,资金流水!$F$5:$F$504,$A21,资金流水!$D$5:$D$504,"支出",资金流水!$C$5:$C$504,首页!$B$5)+SUMIFS(资金流水!$N$5:$N$504,资金流水!$F$5:$F$504,$A21,资金流水!$D$5:$D$504,"转账",资金流水!$C$5:$C$504,首页!$B$5))</f>
        <v/>
      </c>
      <c r="F21" s="54" t="str">
        <f aca="false">IF($A21="","",SUMIFS(资金流水!$N$5:$N$504,资金流水!$F$5:$F$504,$A21,资金流水!$D$5:$D$504,"收入",资金流水!$B$5:$B$504,"&lt;="&amp;首页!$B$7)+SUMIFS(资金流水!$N$5:$N$504,资金流水!$G$5:$G$504,$A21,资金流水!$D$5:$D$504,"转账",资金流水!$B$5:$B$504,"&lt;="&amp;首页!$B$7))</f>
        <v/>
      </c>
      <c r="G21" s="54" t="str">
        <f aca="false">IF($A21="","",SUMIFS(资金流水!$N$5:$N$504,资金流水!$F$5:$F$504,$A21,资金流水!$D$5:$D$504,"支出",资金流水!$B$5:$B$504,"&lt;="&amp;首页!$B$7)+SUMIFS(资金流水!$N$5:$N$504,资金流水!$F$5:$F$504,$A21,资金流水!$D$5:$D$504,"转账",资金流水!$B$5:$B$504,"&lt;="&amp;首页!$B$7))</f>
        <v/>
      </c>
      <c r="H21" s="62" t="str">
        <f aca="false">IF($A21="","",$C21+$F21-$G21)</f>
        <v/>
      </c>
      <c r="I21" s="63" t="str">
        <f aca="false">IF(OR($A21="",$H$36=0),"",$H21/$H$36)</f>
        <v/>
      </c>
    </row>
    <row r="22" customFormat="false" ht="16.5" hidden="false" customHeight="true" outlineLevel="0" collapsed="false">
      <c r="A22" s="42" t="str">
        <f aca="false">IF(基础资料!$A22="","",基础资料!$A22)</f>
        <v/>
      </c>
      <c r="B22" s="42" t="str">
        <f aca="false">IF($A22="","",基础资料!$B22)</f>
        <v/>
      </c>
      <c r="C22" s="54" t="str">
        <f aca="false">IF($A22="","",SUMIFS(期初数据!$B$6:$B$35,期初数据!$A$6:$A$35,$A22))</f>
        <v/>
      </c>
      <c r="D22" s="54" t="str">
        <f aca="false">IF($A22="","",SUMIFS(资金流水!$N$5:$N$504,资金流水!$F$5:$F$504,$A22,资金流水!$D$5:$D$504,"收入",资金流水!$C$5:$C$504,首页!$B$5)+SUMIFS(资金流水!$N$5:$N$504,资金流水!$G$5:$G$504,$A22,资金流水!$D$5:$D$504,"转账",资金流水!$C$5:$C$504,首页!$B$5))</f>
        <v/>
      </c>
      <c r="E22" s="54" t="str">
        <f aca="false">IF($A22="","",SUMIFS(资金流水!$N$5:$N$504,资金流水!$F$5:$F$504,$A22,资金流水!$D$5:$D$504,"支出",资金流水!$C$5:$C$504,首页!$B$5)+SUMIFS(资金流水!$N$5:$N$504,资金流水!$F$5:$F$504,$A22,资金流水!$D$5:$D$504,"转账",资金流水!$C$5:$C$504,首页!$B$5))</f>
        <v/>
      </c>
      <c r="F22" s="54" t="str">
        <f aca="false">IF($A22="","",SUMIFS(资金流水!$N$5:$N$504,资金流水!$F$5:$F$504,$A22,资金流水!$D$5:$D$504,"收入",资金流水!$B$5:$B$504,"&lt;="&amp;首页!$B$7)+SUMIFS(资金流水!$N$5:$N$504,资金流水!$G$5:$G$504,$A22,资金流水!$D$5:$D$504,"转账",资金流水!$B$5:$B$504,"&lt;="&amp;首页!$B$7))</f>
        <v/>
      </c>
      <c r="G22" s="54" t="str">
        <f aca="false">IF($A22="","",SUMIFS(资金流水!$N$5:$N$504,资金流水!$F$5:$F$504,$A22,资金流水!$D$5:$D$504,"支出",资金流水!$B$5:$B$504,"&lt;="&amp;首页!$B$7)+SUMIFS(资金流水!$N$5:$N$504,资金流水!$F$5:$F$504,$A22,资金流水!$D$5:$D$504,"转账",资金流水!$B$5:$B$504,"&lt;="&amp;首页!$B$7))</f>
        <v/>
      </c>
      <c r="H22" s="62" t="str">
        <f aca="false">IF($A22="","",$C22+$F22-$G22)</f>
        <v/>
      </c>
      <c r="I22" s="63" t="str">
        <f aca="false">IF(OR($A22="",$H$36=0),"",$H22/$H$36)</f>
        <v/>
      </c>
    </row>
    <row r="23" customFormat="false" ht="16.5" hidden="false" customHeight="true" outlineLevel="0" collapsed="false">
      <c r="A23" s="42" t="str">
        <f aca="false">IF(基础资料!$A23="","",基础资料!$A23)</f>
        <v/>
      </c>
      <c r="B23" s="42" t="str">
        <f aca="false">IF($A23="","",基础资料!$B23)</f>
        <v/>
      </c>
      <c r="C23" s="54" t="str">
        <f aca="false">IF($A23="","",SUMIFS(期初数据!$B$6:$B$35,期初数据!$A$6:$A$35,$A23))</f>
        <v/>
      </c>
      <c r="D23" s="54" t="str">
        <f aca="false">IF($A23="","",SUMIFS(资金流水!$N$5:$N$504,资金流水!$F$5:$F$504,$A23,资金流水!$D$5:$D$504,"收入",资金流水!$C$5:$C$504,首页!$B$5)+SUMIFS(资金流水!$N$5:$N$504,资金流水!$G$5:$G$504,$A23,资金流水!$D$5:$D$504,"转账",资金流水!$C$5:$C$504,首页!$B$5))</f>
        <v/>
      </c>
      <c r="E23" s="54" t="str">
        <f aca="false">IF($A23="","",SUMIFS(资金流水!$N$5:$N$504,资金流水!$F$5:$F$504,$A23,资金流水!$D$5:$D$504,"支出",资金流水!$C$5:$C$504,首页!$B$5)+SUMIFS(资金流水!$N$5:$N$504,资金流水!$F$5:$F$504,$A23,资金流水!$D$5:$D$504,"转账",资金流水!$C$5:$C$504,首页!$B$5))</f>
        <v/>
      </c>
      <c r="F23" s="54" t="str">
        <f aca="false">IF($A23="","",SUMIFS(资金流水!$N$5:$N$504,资金流水!$F$5:$F$504,$A23,资金流水!$D$5:$D$504,"收入",资金流水!$B$5:$B$504,"&lt;="&amp;首页!$B$7)+SUMIFS(资金流水!$N$5:$N$504,资金流水!$G$5:$G$504,$A23,资金流水!$D$5:$D$504,"转账",资金流水!$B$5:$B$504,"&lt;="&amp;首页!$B$7))</f>
        <v/>
      </c>
      <c r="G23" s="54" t="str">
        <f aca="false">IF($A23="","",SUMIFS(资金流水!$N$5:$N$504,资金流水!$F$5:$F$504,$A23,资金流水!$D$5:$D$504,"支出",资金流水!$B$5:$B$504,"&lt;="&amp;首页!$B$7)+SUMIFS(资金流水!$N$5:$N$504,资金流水!$F$5:$F$504,$A23,资金流水!$D$5:$D$504,"转账",资金流水!$B$5:$B$504,"&lt;="&amp;首页!$B$7))</f>
        <v/>
      </c>
      <c r="H23" s="62" t="str">
        <f aca="false">IF($A23="","",$C23+$F23-$G23)</f>
        <v/>
      </c>
      <c r="I23" s="63" t="str">
        <f aca="false">IF(OR($A23="",$H$36=0),"",$H23/$H$36)</f>
        <v/>
      </c>
    </row>
    <row r="24" customFormat="false" ht="16.5" hidden="false" customHeight="true" outlineLevel="0" collapsed="false">
      <c r="A24" s="42" t="str">
        <f aca="false">IF(基础资料!$A24="","",基础资料!$A24)</f>
        <v/>
      </c>
      <c r="B24" s="42" t="str">
        <f aca="false">IF($A24="","",基础资料!$B24)</f>
        <v/>
      </c>
      <c r="C24" s="54" t="str">
        <f aca="false">IF($A24="","",SUMIFS(期初数据!$B$6:$B$35,期初数据!$A$6:$A$35,$A24))</f>
        <v/>
      </c>
      <c r="D24" s="54" t="str">
        <f aca="false">IF($A24="","",SUMIFS(资金流水!$N$5:$N$504,资金流水!$F$5:$F$504,$A24,资金流水!$D$5:$D$504,"收入",资金流水!$C$5:$C$504,首页!$B$5)+SUMIFS(资金流水!$N$5:$N$504,资金流水!$G$5:$G$504,$A24,资金流水!$D$5:$D$504,"转账",资金流水!$C$5:$C$504,首页!$B$5))</f>
        <v/>
      </c>
      <c r="E24" s="54" t="str">
        <f aca="false">IF($A24="","",SUMIFS(资金流水!$N$5:$N$504,资金流水!$F$5:$F$504,$A24,资金流水!$D$5:$D$504,"支出",资金流水!$C$5:$C$504,首页!$B$5)+SUMIFS(资金流水!$N$5:$N$504,资金流水!$F$5:$F$504,$A24,资金流水!$D$5:$D$504,"转账",资金流水!$C$5:$C$504,首页!$B$5))</f>
        <v/>
      </c>
      <c r="F24" s="54" t="str">
        <f aca="false">IF($A24="","",SUMIFS(资金流水!$N$5:$N$504,资金流水!$F$5:$F$504,$A24,资金流水!$D$5:$D$504,"收入",资金流水!$B$5:$B$504,"&lt;="&amp;首页!$B$7)+SUMIFS(资金流水!$N$5:$N$504,资金流水!$G$5:$G$504,$A24,资金流水!$D$5:$D$504,"转账",资金流水!$B$5:$B$504,"&lt;="&amp;首页!$B$7))</f>
        <v/>
      </c>
      <c r="G24" s="54" t="str">
        <f aca="false">IF($A24="","",SUMIFS(资金流水!$N$5:$N$504,资金流水!$F$5:$F$504,$A24,资金流水!$D$5:$D$504,"支出",资金流水!$B$5:$B$504,"&lt;="&amp;首页!$B$7)+SUMIFS(资金流水!$N$5:$N$504,资金流水!$F$5:$F$504,$A24,资金流水!$D$5:$D$504,"转账",资金流水!$B$5:$B$504,"&lt;="&amp;首页!$B$7))</f>
        <v/>
      </c>
      <c r="H24" s="62" t="str">
        <f aca="false">IF($A24="","",$C24+$F24-$G24)</f>
        <v/>
      </c>
      <c r="I24" s="63" t="str">
        <f aca="false">IF(OR($A24="",$H$36=0),"",$H24/$H$36)</f>
        <v/>
      </c>
    </row>
    <row r="25" customFormat="false" ht="16.5" hidden="false" customHeight="true" outlineLevel="0" collapsed="false">
      <c r="A25" s="42" t="str">
        <f aca="false">IF(基础资料!$A25="","",基础资料!$A25)</f>
        <v/>
      </c>
      <c r="B25" s="42" t="str">
        <f aca="false">IF($A25="","",基础资料!$B25)</f>
        <v/>
      </c>
      <c r="C25" s="54" t="str">
        <f aca="false">IF($A25="","",SUMIFS(期初数据!$B$6:$B$35,期初数据!$A$6:$A$35,$A25))</f>
        <v/>
      </c>
      <c r="D25" s="54" t="str">
        <f aca="false">IF($A25="","",SUMIFS(资金流水!$N$5:$N$504,资金流水!$F$5:$F$504,$A25,资金流水!$D$5:$D$504,"收入",资金流水!$C$5:$C$504,首页!$B$5)+SUMIFS(资金流水!$N$5:$N$504,资金流水!$G$5:$G$504,$A25,资金流水!$D$5:$D$504,"转账",资金流水!$C$5:$C$504,首页!$B$5))</f>
        <v/>
      </c>
      <c r="E25" s="54" t="str">
        <f aca="false">IF($A25="","",SUMIFS(资金流水!$N$5:$N$504,资金流水!$F$5:$F$504,$A25,资金流水!$D$5:$D$504,"支出",资金流水!$C$5:$C$504,首页!$B$5)+SUMIFS(资金流水!$N$5:$N$504,资金流水!$F$5:$F$504,$A25,资金流水!$D$5:$D$504,"转账",资金流水!$C$5:$C$504,首页!$B$5))</f>
        <v/>
      </c>
      <c r="F25" s="54" t="str">
        <f aca="false">IF($A25="","",SUMIFS(资金流水!$N$5:$N$504,资金流水!$F$5:$F$504,$A25,资金流水!$D$5:$D$504,"收入",资金流水!$B$5:$B$504,"&lt;="&amp;首页!$B$7)+SUMIFS(资金流水!$N$5:$N$504,资金流水!$G$5:$G$504,$A25,资金流水!$D$5:$D$504,"转账",资金流水!$B$5:$B$504,"&lt;="&amp;首页!$B$7))</f>
        <v/>
      </c>
      <c r="G25" s="54" t="str">
        <f aca="false">IF($A25="","",SUMIFS(资金流水!$N$5:$N$504,资金流水!$F$5:$F$504,$A25,资金流水!$D$5:$D$504,"支出",资金流水!$B$5:$B$504,"&lt;="&amp;首页!$B$7)+SUMIFS(资金流水!$N$5:$N$504,资金流水!$F$5:$F$504,$A25,资金流水!$D$5:$D$504,"转账",资金流水!$B$5:$B$504,"&lt;="&amp;首页!$B$7))</f>
        <v/>
      </c>
      <c r="H25" s="62" t="str">
        <f aca="false">IF($A25="","",$C25+$F25-$G25)</f>
        <v/>
      </c>
      <c r="I25" s="63" t="str">
        <f aca="false">IF(OR($A25="",$H$36=0),"",$H25/$H$36)</f>
        <v/>
      </c>
    </row>
    <row r="26" customFormat="false" ht="16.5" hidden="false" customHeight="true" outlineLevel="0" collapsed="false">
      <c r="A26" s="42" t="str">
        <f aca="false">IF(基础资料!$A26="","",基础资料!$A26)</f>
        <v/>
      </c>
      <c r="B26" s="42" t="str">
        <f aca="false">IF($A26="","",基础资料!$B26)</f>
        <v/>
      </c>
      <c r="C26" s="54" t="str">
        <f aca="false">IF($A26="","",SUMIFS(期初数据!$B$6:$B$35,期初数据!$A$6:$A$35,$A26))</f>
        <v/>
      </c>
      <c r="D26" s="54" t="str">
        <f aca="false">IF($A26="","",SUMIFS(资金流水!$N$5:$N$504,资金流水!$F$5:$F$504,$A26,资金流水!$D$5:$D$504,"收入",资金流水!$C$5:$C$504,首页!$B$5)+SUMIFS(资金流水!$N$5:$N$504,资金流水!$G$5:$G$504,$A26,资金流水!$D$5:$D$504,"转账",资金流水!$C$5:$C$504,首页!$B$5))</f>
        <v/>
      </c>
      <c r="E26" s="54" t="str">
        <f aca="false">IF($A26="","",SUMIFS(资金流水!$N$5:$N$504,资金流水!$F$5:$F$504,$A26,资金流水!$D$5:$D$504,"支出",资金流水!$C$5:$C$504,首页!$B$5)+SUMIFS(资金流水!$N$5:$N$504,资金流水!$F$5:$F$504,$A26,资金流水!$D$5:$D$504,"转账",资金流水!$C$5:$C$504,首页!$B$5))</f>
        <v/>
      </c>
      <c r="F26" s="54" t="str">
        <f aca="false">IF($A26="","",SUMIFS(资金流水!$N$5:$N$504,资金流水!$F$5:$F$504,$A26,资金流水!$D$5:$D$504,"收入",资金流水!$B$5:$B$504,"&lt;="&amp;首页!$B$7)+SUMIFS(资金流水!$N$5:$N$504,资金流水!$G$5:$G$504,$A26,资金流水!$D$5:$D$504,"转账",资金流水!$B$5:$B$504,"&lt;="&amp;首页!$B$7))</f>
        <v/>
      </c>
      <c r="G26" s="54" t="str">
        <f aca="false">IF($A26="","",SUMIFS(资金流水!$N$5:$N$504,资金流水!$F$5:$F$504,$A26,资金流水!$D$5:$D$504,"支出",资金流水!$B$5:$B$504,"&lt;="&amp;首页!$B$7)+SUMIFS(资金流水!$N$5:$N$504,资金流水!$F$5:$F$504,$A26,资金流水!$D$5:$D$504,"转账",资金流水!$B$5:$B$504,"&lt;="&amp;首页!$B$7))</f>
        <v/>
      </c>
      <c r="H26" s="62" t="str">
        <f aca="false">IF($A26="","",$C26+$F26-$G26)</f>
        <v/>
      </c>
      <c r="I26" s="63" t="str">
        <f aca="false">IF(OR($A26="",$H$36=0),"",$H26/$H$36)</f>
        <v/>
      </c>
    </row>
    <row r="27" customFormat="false" ht="16.5" hidden="false" customHeight="true" outlineLevel="0" collapsed="false">
      <c r="A27" s="42" t="str">
        <f aca="false">IF(基础资料!$A27="","",基础资料!$A27)</f>
        <v/>
      </c>
      <c r="B27" s="42" t="str">
        <f aca="false">IF($A27="","",基础资料!$B27)</f>
        <v/>
      </c>
      <c r="C27" s="54" t="str">
        <f aca="false">IF($A27="","",SUMIFS(期初数据!$B$6:$B$35,期初数据!$A$6:$A$35,$A27))</f>
        <v/>
      </c>
      <c r="D27" s="54" t="str">
        <f aca="false">IF($A27="","",SUMIFS(资金流水!$N$5:$N$504,资金流水!$F$5:$F$504,$A27,资金流水!$D$5:$D$504,"收入",资金流水!$C$5:$C$504,首页!$B$5)+SUMIFS(资金流水!$N$5:$N$504,资金流水!$G$5:$G$504,$A27,资金流水!$D$5:$D$504,"转账",资金流水!$C$5:$C$504,首页!$B$5))</f>
        <v/>
      </c>
      <c r="E27" s="54" t="str">
        <f aca="false">IF($A27="","",SUMIFS(资金流水!$N$5:$N$504,资金流水!$F$5:$F$504,$A27,资金流水!$D$5:$D$504,"支出",资金流水!$C$5:$C$504,首页!$B$5)+SUMIFS(资金流水!$N$5:$N$504,资金流水!$F$5:$F$504,$A27,资金流水!$D$5:$D$504,"转账",资金流水!$C$5:$C$504,首页!$B$5))</f>
        <v/>
      </c>
      <c r="F27" s="54" t="str">
        <f aca="false">IF($A27="","",SUMIFS(资金流水!$N$5:$N$504,资金流水!$F$5:$F$504,$A27,资金流水!$D$5:$D$504,"收入",资金流水!$B$5:$B$504,"&lt;="&amp;首页!$B$7)+SUMIFS(资金流水!$N$5:$N$504,资金流水!$G$5:$G$504,$A27,资金流水!$D$5:$D$504,"转账",资金流水!$B$5:$B$504,"&lt;="&amp;首页!$B$7))</f>
        <v/>
      </c>
      <c r="G27" s="54" t="str">
        <f aca="false">IF($A27="","",SUMIFS(资金流水!$N$5:$N$504,资金流水!$F$5:$F$504,$A27,资金流水!$D$5:$D$504,"支出",资金流水!$B$5:$B$504,"&lt;="&amp;首页!$B$7)+SUMIFS(资金流水!$N$5:$N$504,资金流水!$F$5:$F$504,$A27,资金流水!$D$5:$D$504,"转账",资金流水!$B$5:$B$504,"&lt;="&amp;首页!$B$7))</f>
        <v/>
      </c>
      <c r="H27" s="62" t="str">
        <f aca="false">IF($A27="","",$C27+$F27-$G27)</f>
        <v/>
      </c>
      <c r="I27" s="63" t="str">
        <f aca="false">IF(OR($A27="",$H$36=0),"",$H27/$H$36)</f>
        <v/>
      </c>
    </row>
    <row r="28" customFormat="false" ht="16.5" hidden="false" customHeight="true" outlineLevel="0" collapsed="false">
      <c r="A28" s="42" t="str">
        <f aca="false">IF(基础资料!$A28="","",基础资料!$A28)</f>
        <v/>
      </c>
      <c r="B28" s="42" t="str">
        <f aca="false">IF($A28="","",基础资料!$B28)</f>
        <v/>
      </c>
      <c r="C28" s="54" t="str">
        <f aca="false">IF($A28="","",SUMIFS(期初数据!$B$6:$B$35,期初数据!$A$6:$A$35,$A28))</f>
        <v/>
      </c>
      <c r="D28" s="54" t="str">
        <f aca="false">IF($A28="","",SUMIFS(资金流水!$N$5:$N$504,资金流水!$F$5:$F$504,$A28,资金流水!$D$5:$D$504,"收入",资金流水!$C$5:$C$504,首页!$B$5)+SUMIFS(资金流水!$N$5:$N$504,资金流水!$G$5:$G$504,$A28,资金流水!$D$5:$D$504,"转账",资金流水!$C$5:$C$504,首页!$B$5))</f>
        <v/>
      </c>
      <c r="E28" s="54" t="str">
        <f aca="false">IF($A28="","",SUMIFS(资金流水!$N$5:$N$504,资金流水!$F$5:$F$504,$A28,资金流水!$D$5:$D$504,"支出",资金流水!$C$5:$C$504,首页!$B$5)+SUMIFS(资金流水!$N$5:$N$504,资金流水!$F$5:$F$504,$A28,资金流水!$D$5:$D$504,"转账",资金流水!$C$5:$C$504,首页!$B$5))</f>
        <v/>
      </c>
      <c r="F28" s="54" t="str">
        <f aca="false">IF($A28="","",SUMIFS(资金流水!$N$5:$N$504,资金流水!$F$5:$F$504,$A28,资金流水!$D$5:$D$504,"收入",资金流水!$B$5:$B$504,"&lt;="&amp;首页!$B$7)+SUMIFS(资金流水!$N$5:$N$504,资金流水!$G$5:$G$504,$A28,资金流水!$D$5:$D$504,"转账",资金流水!$B$5:$B$504,"&lt;="&amp;首页!$B$7))</f>
        <v/>
      </c>
      <c r="G28" s="54" t="str">
        <f aca="false">IF($A28="","",SUMIFS(资金流水!$N$5:$N$504,资金流水!$F$5:$F$504,$A28,资金流水!$D$5:$D$504,"支出",资金流水!$B$5:$B$504,"&lt;="&amp;首页!$B$7)+SUMIFS(资金流水!$N$5:$N$504,资金流水!$F$5:$F$504,$A28,资金流水!$D$5:$D$504,"转账",资金流水!$B$5:$B$504,"&lt;="&amp;首页!$B$7))</f>
        <v/>
      </c>
      <c r="H28" s="62" t="str">
        <f aca="false">IF($A28="","",$C28+$F28-$G28)</f>
        <v/>
      </c>
      <c r="I28" s="63" t="str">
        <f aca="false">IF(OR($A28="",$H$36=0),"",$H28/$H$36)</f>
        <v/>
      </c>
    </row>
    <row r="29" customFormat="false" ht="16.5" hidden="false" customHeight="true" outlineLevel="0" collapsed="false">
      <c r="A29" s="42" t="str">
        <f aca="false">IF(基础资料!$A29="","",基础资料!$A29)</f>
        <v/>
      </c>
      <c r="B29" s="42" t="str">
        <f aca="false">IF($A29="","",基础资料!$B29)</f>
        <v/>
      </c>
      <c r="C29" s="54" t="str">
        <f aca="false">IF($A29="","",SUMIFS(期初数据!$B$6:$B$35,期初数据!$A$6:$A$35,$A29))</f>
        <v/>
      </c>
      <c r="D29" s="54" t="str">
        <f aca="false">IF($A29="","",SUMIFS(资金流水!$N$5:$N$504,资金流水!$F$5:$F$504,$A29,资金流水!$D$5:$D$504,"收入",资金流水!$C$5:$C$504,首页!$B$5)+SUMIFS(资金流水!$N$5:$N$504,资金流水!$G$5:$G$504,$A29,资金流水!$D$5:$D$504,"转账",资金流水!$C$5:$C$504,首页!$B$5))</f>
        <v/>
      </c>
      <c r="E29" s="54" t="str">
        <f aca="false">IF($A29="","",SUMIFS(资金流水!$N$5:$N$504,资金流水!$F$5:$F$504,$A29,资金流水!$D$5:$D$504,"支出",资金流水!$C$5:$C$504,首页!$B$5)+SUMIFS(资金流水!$N$5:$N$504,资金流水!$F$5:$F$504,$A29,资金流水!$D$5:$D$504,"转账",资金流水!$C$5:$C$504,首页!$B$5))</f>
        <v/>
      </c>
      <c r="F29" s="54" t="str">
        <f aca="false">IF($A29="","",SUMIFS(资金流水!$N$5:$N$504,资金流水!$F$5:$F$504,$A29,资金流水!$D$5:$D$504,"收入",资金流水!$B$5:$B$504,"&lt;="&amp;首页!$B$7)+SUMIFS(资金流水!$N$5:$N$504,资金流水!$G$5:$G$504,$A29,资金流水!$D$5:$D$504,"转账",资金流水!$B$5:$B$504,"&lt;="&amp;首页!$B$7))</f>
        <v/>
      </c>
      <c r="G29" s="54" t="str">
        <f aca="false">IF($A29="","",SUMIFS(资金流水!$N$5:$N$504,资金流水!$F$5:$F$504,$A29,资金流水!$D$5:$D$504,"支出",资金流水!$B$5:$B$504,"&lt;="&amp;首页!$B$7)+SUMIFS(资金流水!$N$5:$N$504,资金流水!$F$5:$F$504,$A29,资金流水!$D$5:$D$504,"转账",资金流水!$B$5:$B$504,"&lt;="&amp;首页!$B$7))</f>
        <v/>
      </c>
      <c r="H29" s="62" t="str">
        <f aca="false">IF($A29="","",$C29+$F29-$G29)</f>
        <v/>
      </c>
      <c r="I29" s="63" t="str">
        <f aca="false">IF(OR($A29="",$H$36=0),"",$H29/$H$36)</f>
        <v/>
      </c>
    </row>
    <row r="30" customFormat="false" ht="16.5" hidden="false" customHeight="true" outlineLevel="0" collapsed="false">
      <c r="A30" s="42" t="str">
        <f aca="false">IF(基础资料!$A30="","",基础资料!$A30)</f>
        <v/>
      </c>
      <c r="B30" s="42" t="str">
        <f aca="false">IF($A30="","",基础资料!$B30)</f>
        <v/>
      </c>
      <c r="C30" s="54" t="str">
        <f aca="false">IF($A30="","",SUMIFS(期初数据!$B$6:$B$35,期初数据!$A$6:$A$35,$A30))</f>
        <v/>
      </c>
      <c r="D30" s="54" t="str">
        <f aca="false">IF($A30="","",SUMIFS(资金流水!$N$5:$N$504,资金流水!$F$5:$F$504,$A30,资金流水!$D$5:$D$504,"收入",资金流水!$C$5:$C$504,首页!$B$5)+SUMIFS(资金流水!$N$5:$N$504,资金流水!$G$5:$G$504,$A30,资金流水!$D$5:$D$504,"转账",资金流水!$C$5:$C$504,首页!$B$5))</f>
        <v/>
      </c>
      <c r="E30" s="54" t="str">
        <f aca="false">IF($A30="","",SUMIFS(资金流水!$N$5:$N$504,资金流水!$F$5:$F$504,$A30,资金流水!$D$5:$D$504,"支出",资金流水!$C$5:$C$504,首页!$B$5)+SUMIFS(资金流水!$N$5:$N$504,资金流水!$F$5:$F$504,$A30,资金流水!$D$5:$D$504,"转账",资金流水!$C$5:$C$504,首页!$B$5))</f>
        <v/>
      </c>
      <c r="F30" s="54" t="str">
        <f aca="false">IF($A30="","",SUMIFS(资金流水!$N$5:$N$504,资金流水!$F$5:$F$504,$A30,资金流水!$D$5:$D$504,"收入",资金流水!$B$5:$B$504,"&lt;="&amp;首页!$B$7)+SUMIFS(资金流水!$N$5:$N$504,资金流水!$G$5:$G$504,$A30,资金流水!$D$5:$D$504,"转账",资金流水!$B$5:$B$504,"&lt;="&amp;首页!$B$7))</f>
        <v/>
      </c>
      <c r="G30" s="54" t="str">
        <f aca="false">IF($A30="","",SUMIFS(资金流水!$N$5:$N$504,资金流水!$F$5:$F$504,$A30,资金流水!$D$5:$D$504,"支出",资金流水!$B$5:$B$504,"&lt;="&amp;首页!$B$7)+SUMIFS(资金流水!$N$5:$N$504,资金流水!$F$5:$F$504,$A30,资金流水!$D$5:$D$504,"转账",资金流水!$B$5:$B$504,"&lt;="&amp;首页!$B$7))</f>
        <v/>
      </c>
      <c r="H30" s="62" t="str">
        <f aca="false">IF($A30="","",$C30+$F30-$G30)</f>
        <v/>
      </c>
      <c r="I30" s="63" t="str">
        <f aca="false">IF(OR($A30="",$H$36=0),"",$H30/$H$36)</f>
        <v/>
      </c>
    </row>
    <row r="31" customFormat="false" ht="16.5" hidden="false" customHeight="true" outlineLevel="0" collapsed="false">
      <c r="A31" s="42" t="str">
        <f aca="false">IF(基础资料!$A31="","",基础资料!$A31)</f>
        <v/>
      </c>
      <c r="B31" s="42" t="str">
        <f aca="false">IF($A31="","",基础资料!$B31)</f>
        <v/>
      </c>
      <c r="C31" s="54" t="str">
        <f aca="false">IF($A31="","",SUMIFS(期初数据!$B$6:$B$35,期初数据!$A$6:$A$35,$A31))</f>
        <v/>
      </c>
      <c r="D31" s="54" t="str">
        <f aca="false">IF($A31="","",SUMIFS(资金流水!$N$5:$N$504,资金流水!$F$5:$F$504,$A31,资金流水!$D$5:$D$504,"收入",资金流水!$C$5:$C$504,首页!$B$5)+SUMIFS(资金流水!$N$5:$N$504,资金流水!$G$5:$G$504,$A31,资金流水!$D$5:$D$504,"转账",资金流水!$C$5:$C$504,首页!$B$5))</f>
        <v/>
      </c>
      <c r="E31" s="54" t="str">
        <f aca="false">IF($A31="","",SUMIFS(资金流水!$N$5:$N$504,资金流水!$F$5:$F$504,$A31,资金流水!$D$5:$D$504,"支出",资金流水!$C$5:$C$504,首页!$B$5)+SUMIFS(资金流水!$N$5:$N$504,资金流水!$F$5:$F$504,$A31,资金流水!$D$5:$D$504,"转账",资金流水!$C$5:$C$504,首页!$B$5))</f>
        <v/>
      </c>
      <c r="F31" s="54" t="str">
        <f aca="false">IF($A31="","",SUMIFS(资金流水!$N$5:$N$504,资金流水!$F$5:$F$504,$A31,资金流水!$D$5:$D$504,"收入",资金流水!$B$5:$B$504,"&lt;="&amp;首页!$B$7)+SUMIFS(资金流水!$N$5:$N$504,资金流水!$G$5:$G$504,$A31,资金流水!$D$5:$D$504,"转账",资金流水!$B$5:$B$504,"&lt;="&amp;首页!$B$7))</f>
        <v/>
      </c>
      <c r="G31" s="54" t="str">
        <f aca="false">IF($A31="","",SUMIFS(资金流水!$N$5:$N$504,资金流水!$F$5:$F$504,$A31,资金流水!$D$5:$D$504,"支出",资金流水!$B$5:$B$504,"&lt;="&amp;首页!$B$7)+SUMIFS(资金流水!$N$5:$N$504,资金流水!$F$5:$F$504,$A31,资金流水!$D$5:$D$504,"转账",资金流水!$B$5:$B$504,"&lt;="&amp;首页!$B$7))</f>
        <v/>
      </c>
      <c r="H31" s="62" t="str">
        <f aca="false">IF($A31="","",$C31+$F31-$G31)</f>
        <v/>
      </c>
      <c r="I31" s="63" t="str">
        <f aca="false">IF(OR($A31="",$H$36=0),"",$H31/$H$36)</f>
        <v/>
      </c>
    </row>
    <row r="32" customFormat="false" ht="16.5" hidden="false" customHeight="true" outlineLevel="0" collapsed="false">
      <c r="A32" s="42" t="str">
        <f aca="false">IF(基础资料!$A32="","",基础资料!$A32)</f>
        <v/>
      </c>
      <c r="B32" s="42" t="str">
        <f aca="false">IF($A32="","",基础资料!$B32)</f>
        <v/>
      </c>
      <c r="C32" s="54" t="str">
        <f aca="false">IF($A32="","",SUMIFS(期初数据!$B$6:$B$35,期初数据!$A$6:$A$35,$A32))</f>
        <v/>
      </c>
      <c r="D32" s="54" t="str">
        <f aca="false">IF($A32="","",SUMIFS(资金流水!$N$5:$N$504,资金流水!$F$5:$F$504,$A32,资金流水!$D$5:$D$504,"收入",资金流水!$C$5:$C$504,首页!$B$5)+SUMIFS(资金流水!$N$5:$N$504,资金流水!$G$5:$G$504,$A32,资金流水!$D$5:$D$504,"转账",资金流水!$C$5:$C$504,首页!$B$5))</f>
        <v/>
      </c>
      <c r="E32" s="54" t="str">
        <f aca="false">IF($A32="","",SUMIFS(资金流水!$N$5:$N$504,资金流水!$F$5:$F$504,$A32,资金流水!$D$5:$D$504,"支出",资金流水!$C$5:$C$504,首页!$B$5)+SUMIFS(资金流水!$N$5:$N$504,资金流水!$F$5:$F$504,$A32,资金流水!$D$5:$D$504,"转账",资金流水!$C$5:$C$504,首页!$B$5))</f>
        <v/>
      </c>
      <c r="F32" s="54" t="str">
        <f aca="false">IF($A32="","",SUMIFS(资金流水!$N$5:$N$504,资金流水!$F$5:$F$504,$A32,资金流水!$D$5:$D$504,"收入",资金流水!$B$5:$B$504,"&lt;="&amp;首页!$B$7)+SUMIFS(资金流水!$N$5:$N$504,资金流水!$G$5:$G$504,$A32,资金流水!$D$5:$D$504,"转账",资金流水!$B$5:$B$504,"&lt;="&amp;首页!$B$7))</f>
        <v/>
      </c>
      <c r="G32" s="54" t="str">
        <f aca="false">IF($A32="","",SUMIFS(资金流水!$N$5:$N$504,资金流水!$F$5:$F$504,$A32,资金流水!$D$5:$D$504,"支出",资金流水!$B$5:$B$504,"&lt;="&amp;首页!$B$7)+SUMIFS(资金流水!$N$5:$N$504,资金流水!$F$5:$F$504,$A32,资金流水!$D$5:$D$504,"转账",资金流水!$B$5:$B$504,"&lt;="&amp;首页!$B$7))</f>
        <v/>
      </c>
      <c r="H32" s="62" t="str">
        <f aca="false">IF($A32="","",$C32+$F32-$G32)</f>
        <v/>
      </c>
      <c r="I32" s="63" t="str">
        <f aca="false">IF(OR($A32="",$H$36=0),"",$H32/$H$36)</f>
        <v/>
      </c>
    </row>
    <row r="33" customFormat="false" ht="16.5" hidden="false" customHeight="true" outlineLevel="0" collapsed="false">
      <c r="A33" s="42" t="str">
        <f aca="false">IF(基础资料!$A33="","",基础资料!$A33)</f>
        <v/>
      </c>
      <c r="B33" s="42" t="str">
        <f aca="false">IF($A33="","",基础资料!$B33)</f>
        <v/>
      </c>
      <c r="C33" s="54" t="str">
        <f aca="false">IF($A33="","",SUMIFS(期初数据!$B$6:$B$35,期初数据!$A$6:$A$35,$A33))</f>
        <v/>
      </c>
      <c r="D33" s="54" t="str">
        <f aca="false">IF($A33="","",SUMIFS(资金流水!$N$5:$N$504,资金流水!$F$5:$F$504,$A33,资金流水!$D$5:$D$504,"收入",资金流水!$C$5:$C$504,首页!$B$5)+SUMIFS(资金流水!$N$5:$N$504,资金流水!$G$5:$G$504,$A33,资金流水!$D$5:$D$504,"转账",资金流水!$C$5:$C$504,首页!$B$5))</f>
        <v/>
      </c>
      <c r="E33" s="54" t="str">
        <f aca="false">IF($A33="","",SUMIFS(资金流水!$N$5:$N$504,资金流水!$F$5:$F$504,$A33,资金流水!$D$5:$D$504,"支出",资金流水!$C$5:$C$504,首页!$B$5)+SUMIFS(资金流水!$N$5:$N$504,资金流水!$F$5:$F$504,$A33,资金流水!$D$5:$D$504,"转账",资金流水!$C$5:$C$504,首页!$B$5))</f>
        <v/>
      </c>
      <c r="F33" s="54" t="str">
        <f aca="false">IF($A33="","",SUMIFS(资金流水!$N$5:$N$504,资金流水!$F$5:$F$504,$A33,资金流水!$D$5:$D$504,"收入",资金流水!$B$5:$B$504,"&lt;="&amp;首页!$B$7)+SUMIFS(资金流水!$N$5:$N$504,资金流水!$G$5:$G$504,$A33,资金流水!$D$5:$D$504,"转账",资金流水!$B$5:$B$504,"&lt;="&amp;首页!$B$7))</f>
        <v/>
      </c>
      <c r="G33" s="54" t="str">
        <f aca="false">IF($A33="","",SUMIFS(资金流水!$N$5:$N$504,资金流水!$F$5:$F$504,$A33,资金流水!$D$5:$D$504,"支出",资金流水!$B$5:$B$504,"&lt;="&amp;首页!$B$7)+SUMIFS(资金流水!$N$5:$N$504,资金流水!$F$5:$F$504,$A33,资金流水!$D$5:$D$504,"转账",资金流水!$B$5:$B$504,"&lt;="&amp;首页!$B$7))</f>
        <v/>
      </c>
      <c r="H33" s="62" t="str">
        <f aca="false">IF($A33="","",$C33+$F33-$G33)</f>
        <v/>
      </c>
      <c r="I33" s="63" t="str">
        <f aca="false">IF(OR($A33="",$H$36=0),"",$H33/$H$36)</f>
        <v/>
      </c>
    </row>
    <row r="34" customFormat="false" ht="16.5" hidden="false" customHeight="true" outlineLevel="0" collapsed="false">
      <c r="A34" s="42" t="str">
        <f aca="false">IF(基础资料!$A34="","",基础资料!$A34)</f>
        <v/>
      </c>
      <c r="B34" s="42" t="str">
        <f aca="false">IF($A34="","",基础资料!$B34)</f>
        <v/>
      </c>
      <c r="C34" s="54" t="str">
        <f aca="false">IF($A34="","",SUMIFS(期初数据!$B$6:$B$35,期初数据!$A$6:$A$35,$A34))</f>
        <v/>
      </c>
      <c r="D34" s="54" t="str">
        <f aca="false">IF($A34="","",SUMIFS(资金流水!$N$5:$N$504,资金流水!$F$5:$F$504,$A34,资金流水!$D$5:$D$504,"收入",资金流水!$C$5:$C$504,首页!$B$5)+SUMIFS(资金流水!$N$5:$N$504,资金流水!$G$5:$G$504,$A34,资金流水!$D$5:$D$504,"转账",资金流水!$C$5:$C$504,首页!$B$5))</f>
        <v/>
      </c>
      <c r="E34" s="54" t="str">
        <f aca="false">IF($A34="","",SUMIFS(资金流水!$N$5:$N$504,资金流水!$F$5:$F$504,$A34,资金流水!$D$5:$D$504,"支出",资金流水!$C$5:$C$504,首页!$B$5)+SUMIFS(资金流水!$N$5:$N$504,资金流水!$F$5:$F$504,$A34,资金流水!$D$5:$D$504,"转账",资金流水!$C$5:$C$504,首页!$B$5))</f>
        <v/>
      </c>
      <c r="F34" s="54" t="str">
        <f aca="false">IF($A34="","",SUMIFS(资金流水!$N$5:$N$504,资金流水!$F$5:$F$504,$A34,资金流水!$D$5:$D$504,"收入",资金流水!$B$5:$B$504,"&lt;="&amp;首页!$B$7)+SUMIFS(资金流水!$N$5:$N$504,资金流水!$G$5:$G$504,$A34,资金流水!$D$5:$D$504,"转账",资金流水!$B$5:$B$504,"&lt;="&amp;首页!$B$7))</f>
        <v/>
      </c>
      <c r="G34" s="54" t="str">
        <f aca="false">IF($A34="","",SUMIFS(资金流水!$N$5:$N$504,资金流水!$F$5:$F$504,$A34,资金流水!$D$5:$D$504,"支出",资金流水!$B$5:$B$504,"&lt;="&amp;首页!$B$7)+SUMIFS(资金流水!$N$5:$N$504,资金流水!$F$5:$F$504,$A34,资金流水!$D$5:$D$504,"转账",资金流水!$B$5:$B$504,"&lt;="&amp;首页!$B$7))</f>
        <v/>
      </c>
      <c r="H34" s="62" t="str">
        <f aca="false">IF($A34="","",$C34+$F34-$G34)</f>
        <v/>
      </c>
      <c r="I34" s="63" t="str">
        <f aca="false">IF(OR($A34="",$H$36=0),"",$H34/$H$36)</f>
        <v/>
      </c>
    </row>
    <row r="35" customFormat="false" ht="16.5" hidden="false" customHeight="true" outlineLevel="0" collapsed="false">
      <c r="A35" s="42" t="str">
        <f aca="false">IF(基础资料!$A35="","",基础资料!$A35)</f>
        <v/>
      </c>
      <c r="B35" s="42" t="str">
        <f aca="false">IF($A35="","",基础资料!$B35)</f>
        <v/>
      </c>
      <c r="C35" s="54" t="str">
        <f aca="false">IF($A35="","",SUMIFS(期初数据!$B$6:$B$35,期初数据!$A$6:$A$35,$A35))</f>
        <v/>
      </c>
      <c r="D35" s="54" t="str">
        <f aca="false">IF($A35="","",SUMIFS(资金流水!$N$5:$N$504,资金流水!$F$5:$F$504,$A35,资金流水!$D$5:$D$504,"收入",资金流水!$C$5:$C$504,首页!$B$5)+SUMIFS(资金流水!$N$5:$N$504,资金流水!$G$5:$G$504,$A35,资金流水!$D$5:$D$504,"转账",资金流水!$C$5:$C$504,首页!$B$5))</f>
        <v/>
      </c>
      <c r="E35" s="54" t="str">
        <f aca="false">IF($A35="","",SUMIFS(资金流水!$N$5:$N$504,资金流水!$F$5:$F$504,$A35,资金流水!$D$5:$D$504,"支出",资金流水!$C$5:$C$504,首页!$B$5)+SUMIFS(资金流水!$N$5:$N$504,资金流水!$F$5:$F$504,$A35,资金流水!$D$5:$D$504,"转账",资金流水!$C$5:$C$504,首页!$B$5))</f>
        <v/>
      </c>
      <c r="F35" s="54" t="str">
        <f aca="false">IF($A35="","",SUMIFS(资金流水!$N$5:$N$504,资金流水!$F$5:$F$504,$A35,资金流水!$D$5:$D$504,"收入",资金流水!$B$5:$B$504,"&lt;="&amp;首页!$B$7)+SUMIFS(资金流水!$N$5:$N$504,资金流水!$G$5:$G$504,$A35,资金流水!$D$5:$D$504,"转账",资金流水!$B$5:$B$504,"&lt;="&amp;首页!$B$7))</f>
        <v/>
      </c>
      <c r="G35" s="54" t="str">
        <f aca="false">IF($A35="","",SUMIFS(资金流水!$N$5:$N$504,资金流水!$F$5:$F$504,$A35,资金流水!$D$5:$D$504,"支出",资金流水!$B$5:$B$504,"&lt;="&amp;首页!$B$7)+SUMIFS(资金流水!$N$5:$N$504,资金流水!$F$5:$F$504,$A35,资金流水!$D$5:$D$504,"转账",资金流水!$B$5:$B$504,"&lt;="&amp;首页!$B$7))</f>
        <v/>
      </c>
      <c r="H35" s="62" t="str">
        <f aca="false">IF($A35="","",$C35+$F35-$G35)</f>
        <v/>
      </c>
      <c r="I35" s="63" t="str">
        <f aca="false">IF(OR($A35="",$H$36=0),"",$H35/$H$36)</f>
        <v/>
      </c>
    </row>
    <row r="36" customFormat="false" ht="15" hidden="false" customHeight="false" outlineLevel="0" collapsed="false">
      <c r="A36" s="55" t="s">
        <v>593</v>
      </c>
      <c r="B36" s="55"/>
      <c r="C36" s="39" t="n">
        <f aca="false">SUM(C6:C35)</f>
        <v>335000</v>
      </c>
      <c r="D36" s="39" t="n">
        <f aca="false">SUM(D6:D35)</f>
        <v>66000</v>
      </c>
      <c r="E36" s="39" t="n">
        <f aca="false">SUM(E6:E35)</f>
        <v>68800</v>
      </c>
      <c r="F36" s="39" t="n">
        <f aca="false">SUM(F6:F35)</f>
        <v>66000</v>
      </c>
      <c r="G36" s="39" t="n">
        <f aca="false">SUM(G6:G35)</f>
        <v>68800</v>
      </c>
      <c r="H36" s="39" t="n">
        <f aca="false">SUM(H6:H35)</f>
        <v>332200</v>
      </c>
      <c r="I36" s="55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P20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4" min="13" style="0" width="14"/>
    <col collapsed="false" customWidth="true" hidden="false" outlineLevel="0" max="15" min="15" style="0" width="9"/>
    <col collapsed="false" customWidth="true" hidden="false" outlineLevel="0" max="16" min="16" style="0" width="15"/>
  </cols>
  <sheetData>
    <row r="1" customFormat="false" ht="25.5" hidden="false" customHeight="true" outlineLevel="0" collapsed="false">
      <c r="A1" s="23" t="s">
        <v>718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customFormat="false" ht="15" hidden="false" customHeight="true" outlineLevel="0" collapsed="false">
      <c r="A2" s="6" t="s">
        <v>719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customFormat="false" ht="15" hidden="false" customHeight="false" outlineLevel="0" collapsed="false">
      <c r="A3" s="38" t="s">
        <v>3</v>
      </c>
      <c r="B3" s="55" t="str">
        <f aca="false">首页!$B$5</f>
        <v>2026-01</v>
      </c>
    </row>
    <row r="5" customFormat="false" ht="30" hidden="false" customHeight="true" outlineLevel="0" collapsed="false">
      <c r="A5" s="30" t="s">
        <v>237</v>
      </c>
      <c r="B5" s="30" t="s">
        <v>499</v>
      </c>
      <c r="C5" s="30" t="s">
        <v>424</v>
      </c>
      <c r="D5" s="30" t="s">
        <v>720</v>
      </c>
      <c r="E5" s="30" t="s">
        <v>721</v>
      </c>
      <c r="F5" s="30" t="s">
        <v>722</v>
      </c>
      <c r="G5" s="30" t="s">
        <v>723</v>
      </c>
      <c r="H5" s="30" t="s">
        <v>724</v>
      </c>
      <c r="I5" s="30" t="s">
        <v>725</v>
      </c>
      <c r="J5" s="30" t="s">
        <v>726</v>
      </c>
      <c r="K5" s="30" t="s">
        <v>727</v>
      </c>
      <c r="L5" s="30" t="s">
        <v>728</v>
      </c>
      <c r="M5" s="30" t="s">
        <v>729</v>
      </c>
      <c r="N5" s="30" t="s">
        <v>9</v>
      </c>
      <c r="O5" s="30" t="s">
        <v>730</v>
      </c>
      <c r="P5" s="30" t="s">
        <v>731</v>
      </c>
    </row>
    <row r="6" customFormat="false" ht="15.75" hidden="false" customHeight="true" outlineLevel="0" collapsed="false">
      <c r="A6" s="35" t="str">
        <f aca="false">IF(基础资料!$Q6="","",基础资料!$Q6)</f>
        <v>A型配件</v>
      </c>
      <c r="B6" s="42" t="str">
        <f aca="false">IF($A6="","",基础资料!$R6)</f>
        <v>A-01</v>
      </c>
      <c r="C6" s="42" t="str">
        <f aca="false">IF($A6="","",基础资料!$S6)</f>
        <v>个</v>
      </c>
      <c r="D6" s="64" t="n">
        <f aca="false">IF($A6="","",SUMIFS(期初数据!$R$6:$R$205,期初数据!$O$6:$O$205,$A6)+SUMIFS(采购录入!$F$5:$F$404,采购录入!$E$5:$E$404,$A6,采购录入!$I$5:$I$404,"是",采购录入!$B$5:$B$404,"&lt;"&amp;首页!$B$6)-SUMIFS(销售录入!$F$5:$F$404,销售录入!$E$5:$E$404,$A6,销售录入!$B$5:$B$404,"&lt;"&amp;首页!$B$6))</f>
        <v>100</v>
      </c>
      <c r="E6" s="54" t="n">
        <f aca="false">IF($A6="","",SUMIFS(期初数据!$T$6:$T$205,期初数据!$O$6:$O$205,$A6)+SUMIFS(采购录入!$Q$5:$Q$404,采购录入!$E$5:$E$404,$A6,采购录入!$I$5:$I$404,"是",采购录入!$B$5:$B$404,"&lt;"&amp;首页!$B$6)-SUMIFS(销售录入!$S$5:$S$404,销售录入!$E$5:$E$404,$A6,销售录入!$B$5:$B$404,"&lt;"&amp;首页!$B$6))</f>
        <v>10000</v>
      </c>
      <c r="F6" s="64" t="n">
        <f aca="false">IF($A6="","",SUMIFS(采购录入!$F$5:$F$404,采购录入!$E$5:$E$404,$A6,采购录入!$I$5:$I$404,"是",采购录入!$C$5:$C$404,首页!$B$5))</f>
        <v>100</v>
      </c>
      <c r="G6" s="54" t="n">
        <f aca="false">IF($A6="","",SUMIFS(采购录入!$Q$5:$Q$404,采购录入!$E$5:$E$404,$A6,采购录入!$I$5:$I$404,"是",采购录入!$C$5:$C$404,首页!$B$5))</f>
        <v>10500</v>
      </c>
      <c r="H6" s="64" t="n">
        <f aca="false">IF($A6="","",SUMIFS(销售录入!$F$5:$F$404,销售录入!$E$5:$E$404,$A6,销售录入!$C$5:$C$404,首页!$B$5))</f>
        <v>50</v>
      </c>
      <c r="I6" s="54" t="n">
        <f aca="false">IF($A6="","",SUMIFS(销售录入!$S$5:$S$404,销售录入!$E$5:$E$404,$A6,销售录入!$C$5:$C$404,首页!$B$5))</f>
        <v>5125</v>
      </c>
      <c r="J6" s="65" t="n">
        <f aca="false">IF($A6="","",$D6+$F6-$H6)</f>
        <v>150</v>
      </c>
      <c r="K6" s="44" t="n">
        <f aca="false">IF($A6="","",$E6+$G6-$I6)</f>
        <v>15375</v>
      </c>
      <c r="L6" s="44" t="n">
        <f aca="false">IF(OR($A6="",$J6=0),"",$K6/$J6)</f>
        <v>102.5</v>
      </c>
      <c r="M6" s="54" t="n">
        <f aca="false">IF($A6="","",SUMIFS(销售录入!$O$5:$O$404,销售录入!$E$5:$E$404,$A6,销售录入!$C$5:$C$404,首页!$B$5))</f>
        <v>10000</v>
      </c>
      <c r="N6" s="44" t="n">
        <f aca="false">IF($A6="","",$M6-$I6)</f>
        <v>4875</v>
      </c>
      <c r="O6" s="63" t="n">
        <f aca="false">IF(OR($A6="",$M6=0),"",$N6/$M6)</f>
        <v>0.4875</v>
      </c>
      <c r="P6" s="47" t="str">
        <f aca="false">IF($A6="","",IF($J6&lt;0,"⚠ 负库存",IF(AND($J6=0,ABS($K6)&gt;0.01),"⚠ 有金额无数量",IF(AND($J6&gt;0,$K6&lt;0),"⚠ 金额为负",IF($N6&lt;0,"⚠ 毛利为负","正常")))))</f>
        <v>正常</v>
      </c>
    </row>
    <row r="7" customFormat="false" ht="15.75" hidden="false" customHeight="true" outlineLevel="0" collapsed="false">
      <c r="A7" s="35" t="str">
        <f aca="false">IF(基础资料!$Q7="","",基础资料!$Q7)</f>
        <v>B型配件</v>
      </c>
      <c r="B7" s="42" t="str">
        <f aca="false">IF($A7="","",基础资料!$R7)</f>
        <v>B-02</v>
      </c>
      <c r="C7" s="42" t="str">
        <f aca="false">IF($A7="","",基础资料!$S7)</f>
        <v>个</v>
      </c>
      <c r="D7" s="64" t="n">
        <f aca="false">IF($A7="","",SUMIFS(期初数据!$R$6:$R$205,期初数据!$O$6:$O$205,$A7)+SUMIFS(采购录入!$F$5:$F$404,采购录入!$E$5:$E$404,$A7,采购录入!$I$5:$I$404,"是",采购录入!$B$5:$B$404,"&lt;"&amp;首页!$B$6)-SUMIFS(销售录入!$F$5:$F$404,销售录入!$E$5:$E$404,$A7,销售录入!$B$5:$B$404,"&lt;"&amp;首页!$B$6))</f>
        <v>50</v>
      </c>
      <c r="E7" s="54" t="n">
        <f aca="false">IF($A7="","",SUMIFS(期初数据!$T$6:$T$205,期初数据!$O$6:$O$205,$A7)+SUMIFS(采购录入!$Q$5:$Q$404,采购录入!$E$5:$E$404,$A7,采购录入!$I$5:$I$404,"是",采购录入!$B$5:$B$404,"&lt;"&amp;首页!$B$6)-SUMIFS(销售录入!$S$5:$S$404,销售录入!$E$5:$E$404,$A7,销售录入!$B$5:$B$404,"&lt;"&amp;首页!$B$6))</f>
        <v>11000</v>
      </c>
      <c r="F7" s="64" t="n">
        <f aca="false">IF($A7="","",SUMIFS(采购录入!$F$5:$F$404,采购录入!$E$5:$E$404,$A7,采购录入!$I$5:$I$404,"是",采购录入!$C$5:$C$404,首页!$B$5))</f>
        <v>30</v>
      </c>
      <c r="G7" s="54" t="n">
        <f aca="false">IF($A7="","",SUMIFS(采购录入!$Q$5:$Q$404,采购录入!$E$5:$E$404,$A7,采购录入!$I$5:$I$404,"是",采购录入!$C$5:$C$404,首页!$B$5))</f>
        <v>6750</v>
      </c>
      <c r="H7" s="64" t="n">
        <f aca="false">IF($A7="","",SUMIFS(销售录入!$F$5:$F$404,销售录入!$E$5:$E$404,$A7,销售录入!$C$5:$C$404,首页!$B$5))</f>
        <v>20</v>
      </c>
      <c r="I7" s="54" t="n">
        <f aca="false">IF($A7="","",SUMIFS(销售录入!$S$5:$S$404,销售录入!$E$5:$E$404,$A7,销售录入!$C$5:$C$404,首页!$B$5))</f>
        <v>4437.5</v>
      </c>
      <c r="J7" s="65" t="n">
        <f aca="false">IF($A7="","",$D7+$F7-$H7)</f>
        <v>60</v>
      </c>
      <c r="K7" s="44" t="n">
        <f aca="false">IF($A7="","",$E7+$G7-$I7)</f>
        <v>13312.5</v>
      </c>
      <c r="L7" s="44" t="n">
        <f aca="false">IF(OR($A7="",$J7=0),"",$K7/$J7)</f>
        <v>221.875</v>
      </c>
      <c r="M7" s="54" t="n">
        <f aca="false">IF($A7="","",SUMIFS(销售录入!$O$5:$O$404,销售录入!$E$5:$E$404,$A7,销售录入!$C$5:$C$404,首页!$B$5))</f>
        <v>7000</v>
      </c>
      <c r="N7" s="44" t="n">
        <f aca="false">IF($A7="","",$M7-$I7)</f>
        <v>2562.5</v>
      </c>
      <c r="O7" s="63" t="n">
        <f aca="false">IF(OR($A7="",$M7=0),"",$N7/$M7)</f>
        <v>0.366071428571429</v>
      </c>
      <c r="P7" s="47" t="str">
        <f aca="false">IF($A7="","",IF($J7&lt;0,"⚠ 负库存",IF(AND($J7=0,ABS($K7)&gt;0.01),"⚠ 有金额无数量",IF(AND($J7&gt;0,$K7&lt;0),"⚠ 金额为负",IF($N7&lt;0,"⚠ 毛利为负","正常")))))</f>
        <v>正常</v>
      </c>
    </row>
    <row r="8" customFormat="false" ht="15.75" hidden="false" customHeight="true" outlineLevel="0" collapsed="false">
      <c r="A8" s="35" t="str">
        <f aca="false">IF(基础资料!$Q8="","",基础资料!$Q8)</f>
        <v>C型组件</v>
      </c>
      <c r="B8" s="42" t="str">
        <f aca="false">IF($A8="","",基础资料!$R8)</f>
        <v>C-10</v>
      </c>
      <c r="C8" s="42" t="str">
        <f aca="false">IF($A8="","",基础资料!$S8)</f>
        <v>套</v>
      </c>
      <c r="D8" s="64" t="n">
        <f aca="false">IF($A8="","",SUMIFS(期初数据!$R$6:$R$205,期初数据!$O$6:$O$205,$A8)+SUMIFS(采购录入!$F$5:$F$404,采购录入!$E$5:$E$404,$A8,采购录入!$I$5:$I$404,"是",采购录入!$B$5:$B$404,"&lt;"&amp;首页!$B$6)-SUMIFS(销售录入!$F$5:$F$404,销售录入!$E$5:$E$404,$A8,销售录入!$B$5:$B$404,"&lt;"&amp;首页!$B$6))</f>
        <v>20</v>
      </c>
      <c r="E8" s="54" t="n">
        <f aca="false">IF($A8="","",SUMIFS(期初数据!$T$6:$T$205,期初数据!$O$6:$O$205,$A8)+SUMIFS(采购录入!$Q$5:$Q$404,采购录入!$E$5:$E$404,$A8,采购录入!$I$5:$I$404,"是",采购录入!$B$5:$B$404,"&lt;"&amp;首页!$B$6)-SUMIFS(销售录入!$S$5:$S$404,销售录入!$E$5:$E$404,$A8,销售录入!$B$5:$B$404,"&lt;"&amp;首页!$B$6))</f>
        <v>15600</v>
      </c>
      <c r="F8" s="64" t="n">
        <f aca="false">IF($A8="","",SUMIFS(采购录入!$F$5:$F$404,采购录入!$E$5:$E$404,$A8,采购录入!$I$5:$I$404,"是",采购录入!$C$5:$C$404,首页!$B$5))</f>
        <v>0</v>
      </c>
      <c r="G8" s="54" t="n">
        <f aca="false">IF($A8="","",SUMIFS(采购录入!$Q$5:$Q$404,采购录入!$E$5:$E$404,$A8,采购录入!$I$5:$I$404,"是",采购录入!$C$5:$C$404,首页!$B$5))</f>
        <v>0</v>
      </c>
      <c r="H8" s="64" t="n">
        <f aca="false">IF($A8="","",SUMIFS(销售录入!$F$5:$F$404,销售录入!$E$5:$E$404,$A8,销售录入!$C$5:$C$404,首页!$B$5))</f>
        <v>5</v>
      </c>
      <c r="I8" s="54" t="n">
        <f aca="false">IF($A8="","",SUMIFS(销售录入!$S$5:$S$404,销售录入!$E$5:$E$404,$A8,销售录入!$C$5:$C$404,首页!$B$5))</f>
        <v>3900</v>
      </c>
      <c r="J8" s="65" t="n">
        <f aca="false">IF($A8="","",$D8+$F8-$H8)</f>
        <v>15</v>
      </c>
      <c r="K8" s="44" t="n">
        <f aca="false">IF($A8="","",$E8+$G8-$I8)</f>
        <v>11700</v>
      </c>
      <c r="L8" s="44" t="n">
        <f aca="false">IF(OR($A8="",$J8=0),"",$K8/$J8)</f>
        <v>780</v>
      </c>
      <c r="M8" s="54" t="n">
        <f aca="false">IF($A8="","",SUMIFS(销售录入!$O$5:$O$404,销售录入!$E$5:$E$404,$A8,销售录入!$C$5:$C$404,首页!$B$5))</f>
        <v>6000</v>
      </c>
      <c r="N8" s="44" t="n">
        <f aca="false">IF($A8="","",$M8-$I8)</f>
        <v>2100</v>
      </c>
      <c r="O8" s="63" t="n">
        <f aca="false">IF(OR($A8="",$M8=0),"",$N8/$M8)</f>
        <v>0.35</v>
      </c>
      <c r="P8" s="47" t="str">
        <f aca="false">IF($A8="","",IF($J8&lt;0,"⚠ 负库存",IF(AND($J8=0,ABS($K8)&gt;0.01),"⚠ 有金额无数量",IF(AND($J8&gt;0,$K8&lt;0),"⚠ 金额为负",IF($N8&lt;0,"⚠ 毛利为负","正常")))))</f>
        <v>正常</v>
      </c>
    </row>
    <row r="9" customFormat="false" ht="15.75" hidden="false" customHeight="true" outlineLevel="0" collapsed="false">
      <c r="A9" s="35" t="str">
        <f aca="false">IF(基础资料!$Q9="","",基础资料!$Q9)</f>
        <v>安装服务</v>
      </c>
      <c r="B9" s="42" t="str">
        <f aca="false">IF($A9="","",基础资料!$R9)</f>
        <v>—</v>
      </c>
      <c r="C9" s="42" t="str">
        <f aca="false">IF($A9="","",基础资料!$S9)</f>
        <v>次</v>
      </c>
      <c r="D9" s="64" t="n">
        <f aca="false">IF($A9="","",SUMIFS(期初数据!$R$6:$R$205,期初数据!$O$6:$O$205,$A9)+SUMIFS(采购录入!$F$5:$F$404,采购录入!$E$5:$E$404,$A9,采购录入!$I$5:$I$404,"是",采购录入!$B$5:$B$404,"&lt;"&amp;首页!$B$6)-SUMIFS(销售录入!$F$5:$F$404,销售录入!$E$5:$E$404,$A9,销售录入!$B$5:$B$404,"&lt;"&amp;首页!$B$6))</f>
        <v>0</v>
      </c>
      <c r="E9" s="54" t="n">
        <f aca="false">IF($A9="","",SUMIFS(期初数据!$T$6:$T$205,期初数据!$O$6:$O$205,$A9)+SUMIFS(采购录入!$Q$5:$Q$404,采购录入!$E$5:$E$404,$A9,采购录入!$I$5:$I$404,"是",采购录入!$B$5:$B$404,"&lt;"&amp;首页!$B$6)-SUMIFS(销售录入!$S$5:$S$404,销售录入!$E$5:$E$404,$A9,销售录入!$B$5:$B$404,"&lt;"&amp;首页!$B$6))</f>
        <v>0</v>
      </c>
      <c r="F9" s="64" t="n">
        <f aca="false">IF($A9="","",SUMIFS(采购录入!$F$5:$F$404,采购录入!$E$5:$E$404,$A9,采购录入!$I$5:$I$404,"是",采购录入!$C$5:$C$404,首页!$B$5))</f>
        <v>0</v>
      </c>
      <c r="G9" s="54" t="n">
        <f aca="false">IF($A9="","",SUMIFS(采购录入!$Q$5:$Q$404,采购录入!$E$5:$E$404,$A9,采购录入!$I$5:$I$404,"是",采购录入!$C$5:$C$404,首页!$B$5))</f>
        <v>0</v>
      </c>
      <c r="H9" s="64" t="n">
        <f aca="false">IF($A9="","",SUMIFS(销售录入!$F$5:$F$404,销售录入!$E$5:$E$404,$A9,销售录入!$C$5:$C$404,首页!$B$5))</f>
        <v>2</v>
      </c>
      <c r="I9" s="54" t="n">
        <f aca="false">IF($A9="","",SUMIFS(销售录入!$S$5:$S$404,销售录入!$E$5:$E$404,$A9,销售录入!$C$5:$C$404,首页!$B$5))</f>
        <v>0</v>
      </c>
      <c r="J9" s="65" t="n">
        <f aca="false">IF($A9="","",$D9+$F9-$H9)</f>
        <v>-2</v>
      </c>
      <c r="K9" s="44" t="n">
        <f aca="false">IF($A9="","",$E9+$G9-$I9)</f>
        <v>0</v>
      </c>
      <c r="L9" s="44" t="n">
        <f aca="false">IF(OR($A9="",$J9=0),"",$K9/$J9)</f>
        <v>-0</v>
      </c>
      <c r="M9" s="54" t="n">
        <f aca="false">IF($A9="","",SUMIFS(销售录入!$O$5:$O$404,销售录入!$E$5:$E$404,$A9,销售录入!$C$5:$C$404,首页!$B$5))</f>
        <v>1600</v>
      </c>
      <c r="N9" s="44" t="n">
        <f aca="false">IF($A9="","",$M9-$I9)</f>
        <v>1600</v>
      </c>
      <c r="O9" s="63" t="n">
        <f aca="false">IF(OR($A9="",$M9=0),"",$N9/$M9)</f>
        <v>1</v>
      </c>
      <c r="P9" s="47" t="str">
        <f aca="false">IF($A9="","",IF($J9&lt;0,"⚠ 负库存",IF(AND($J9=0,ABS($K9)&gt;0.01),"⚠ 有金额无数量",IF(AND($J9&gt;0,$K9&lt;0),"⚠ 金额为负",IF($N9&lt;0,"⚠ 毛利为负","正常")))))</f>
        <v>⚠ 负库存</v>
      </c>
    </row>
    <row r="10" customFormat="false" ht="15.75" hidden="false" customHeight="true" outlineLevel="0" collapsed="false">
      <c r="A10" s="35" t="str">
        <f aca="false">IF(基础资料!$Q10="","",基础资料!$Q10)</f>
        <v/>
      </c>
      <c r="B10" s="42" t="str">
        <f aca="false">IF($A10="","",基础资料!$R10)</f>
        <v/>
      </c>
      <c r="C10" s="42" t="str">
        <f aca="false">IF($A10="","",基础资料!$S10)</f>
        <v/>
      </c>
      <c r="D10" s="64" t="str">
        <f aca="false">IF($A10="","",SUMIFS(期初数据!$R$6:$R$205,期初数据!$O$6:$O$205,$A10)+SUMIFS(采购录入!$F$5:$F$404,采购录入!$E$5:$E$404,$A10,采购录入!$I$5:$I$404,"是",采购录入!$B$5:$B$404,"&lt;"&amp;首页!$B$6)-SUMIFS(销售录入!$F$5:$F$404,销售录入!$E$5:$E$404,$A10,销售录入!$B$5:$B$404,"&lt;"&amp;首页!$B$6))</f>
        <v/>
      </c>
      <c r="E10" s="54" t="str">
        <f aca="false">IF($A10="","",SUMIFS(期初数据!$T$6:$T$205,期初数据!$O$6:$O$205,$A10)+SUMIFS(采购录入!$Q$5:$Q$404,采购录入!$E$5:$E$404,$A10,采购录入!$I$5:$I$404,"是",采购录入!$B$5:$B$404,"&lt;"&amp;首页!$B$6)-SUMIFS(销售录入!$S$5:$S$404,销售录入!$E$5:$E$404,$A10,销售录入!$B$5:$B$404,"&lt;"&amp;首页!$B$6))</f>
        <v/>
      </c>
      <c r="F10" s="64" t="str">
        <f aca="false">IF($A10="","",SUMIFS(采购录入!$F$5:$F$404,采购录入!$E$5:$E$404,$A10,采购录入!$I$5:$I$404,"是",采购录入!$C$5:$C$404,首页!$B$5))</f>
        <v/>
      </c>
      <c r="G10" s="54" t="str">
        <f aca="false">IF($A10="","",SUMIFS(采购录入!$Q$5:$Q$404,采购录入!$E$5:$E$404,$A10,采购录入!$I$5:$I$404,"是",采购录入!$C$5:$C$404,首页!$B$5))</f>
        <v/>
      </c>
      <c r="H10" s="64" t="str">
        <f aca="false">IF($A10="","",SUMIFS(销售录入!$F$5:$F$404,销售录入!$E$5:$E$404,$A10,销售录入!$C$5:$C$404,首页!$B$5))</f>
        <v/>
      </c>
      <c r="I10" s="54" t="str">
        <f aca="false">IF($A10="","",SUMIFS(销售录入!$S$5:$S$404,销售录入!$E$5:$E$404,$A10,销售录入!$C$5:$C$404,首页!$B$5))</f>
        <v/>
      </c>
      <c r="J10" s="65" t="str">
        <f aca="false">IF($A10="","",$D10+$F10-$H10)</f>
        <v/>
      </c>
      <c r="K10" s="44" t="str">
        <f aca="false">IF($A10="","",$E10+$G10-$I10)</f>
        <v/>
      </c>
      <c r="L10" s="44" t="str">
        <f aca="false">IF(OR($A10="",$J10=0),"",$K10/$J10)</f>
        <v/>
      </c>
      <c r="M10" s="54" t="str">
        <f aca="false">IF($A10="","",SUMIFS(销售录入!$O$5:$O$404,销售录入!$E$5:$E$404,$A10,销售录入!$C$5:$C$404,首页!$B$5))</f>
        <v/>
      </c>
      <c r="N10" s="44" t="str">
        <f aca="false">IF($A10="","",$M10-$I10)</f>
        <v/>
      </c>
      <c r="O10" s="63" t="str">
        <f aca="false">IF(OR($A10="",$M10=0),"",$N10/$M10)</f>
        <v/>
      </c>
      <c r="P10" s="47" t="str">
        <f aca="false">IF($A10="","",IF($J10&lt;0,"⚠ 负库存",IF(AND($J10=0,ABS($K10)&gt;0.01),"⚠ 有金额无数量",IF(AND($J10&gt;0,$K10&lt;0),"⚠ 金额为负",IF($N10&lt;0,"⚠ 毛利为负","正常")))))</f>
        <v/>
      </c>
    </row>
    <row r="11" customFormat="false" ht="15.75" hidden="false" customHeight="true" outlineLevel="0" collapsed="false">
      <c r="A11" s="35" t="str">
        <f aca="false">IF(基础资料!$Q11="","",基础资料!$Q11)</f>
        <v/>
      </c>
      <c r="B11" s="42" t="str">
        <f aca="false">IF($A11="","",基础资料!$R11)</f>
        <v/>
      </c>
      <c r="C11" s="42" t="str">
        <f aca="false">IF($A11="","",基础资料!$S11)</f>
        <v/>
      </c>
      <c r="D11" s="64" t="str">
        <f aca="false">IF($A11="","",SUMIFS(期初数据!$R$6:$R$205,期初数据!$O$6:$O$205,$A11)+SUMIFS(采购录入!$F$5:$F$404,采购录入!$E$5:$E$404,$A11,采购录入!$I$5:$I$404,"是",采购录入!$B$5:$B$404,"&lt;"&amp;首页!$B$6)-SUMIFS(销售录入!$F$5:$F$404,销售录入!$E$5:$E$404,$A11,销售录入!$B$5:$B$404,"&lt;"&amp;首页!$B$6))</f>
        <v/>
      </c>
      <c r="E11" s="54" t="str">
        <f aca="false">IF($A11="","",SUMIFS(期初数据!$T$6:$T$205,期初数据!$O$6:$O$205,$A11)+SUMIFS(采购录入!$Q$5:$Q$404,采购录入!$E$5:$E$404,$A11,采购录入!$I$5:$I$404,"是",采购录入!$B$5:$B$404,"&lt;"&amp;首页!$B$6)-SUMIFS(销售录入!$S$5:$S$404,销售录入!$E$5:$E$404,$A11,销售录入!$B$5:$B$404,"&lt;"&amp;首页!$B$6))</f>
        <v/>
      </c>
      <c r="F11" s="64" t="str">
        <f aca="false">IF($A11="","",SUMIFS(采购录入!$F$5:$F$404,采购录入!$E$5:$E$404,$A11,采购录入!$I$5:$I$404,"是",采购录入!$C$5:$C$404,首页!$B$5))</f>
        <v/>
      </c>
      <c r="G11" s="54" t="str">
        <f aca="false">IF($A11="","",SUMIFS(采购录入!$Q$5:$Q$404,采购录入!$E$5:$E$404,$A11,采购录入!$I$5:$I$404,"是",采购录入!$C$5:$C$404,首页!$B$5))</f>
        <v/>
      </c>
      <c r="H11" s="64" t="str">
        <f aca="false">IF($A11="","",SUMIFS(销售录入!$F$5:$F$404,销售录入!$E$5:$E$404,$A11,销售录入!$C$5:$C$404,首页!$B$5))</f>
        <v/>
      </c>
      <c r="I11" s="54" t="str">
        <f aca="false">IF($A11="","",SUMIFS(销售录入!$S$5:$S$404,销售录入!$E$5:$E$404,$A11,销售录入!$C$5:$C$404,首页!$B$5))</f>
        <v/>
      </c>
      <c r="J11" s="65" t="str">
        <f aca="false">IF($A11="","",$D11+$F11-$H11)</f>
        <v/>
      </c>
      <c r="K11" s="44" t="str">
        <f aca="false">IF($A11="","",$E11+$G11-$I11)</f>
        <v/>
      </c>
      <c r="L11" s="44" t="str">
        <f aca="false">IF(OR($A11="",$J11=0),"",$K11/$J11)</f>
        <v/>
      </c>
      <c r="M11" s="54" t="str">
        <f aca="false">IF($A11="","",SUMIFS(销售录入!$O$5:$O$404,销售录入!$E$5:$E$404,$A11,销售录入!$C$5:$C$404,首页!$B$5))</f>
        <v/>
      </c>
      <c r="N11" s="44" t="str">
        <f aca="false">IF($A11="","",$M11-$I11)</f>
        <v/>
      </c>
      <c r="O11" s="63" t="str">
        <f aca="false">IF(OR($A11="",$M11=0),"",$N11/$M11)</f>
        <v/>
      </c>
      <c r="P11" s="47" t="str">
        <f aca="false">IF($A11="","",IF($J11&lt;0,"⚠ 负库存",IF(AND($J11=0,ABS($K11)&gt;0.01),"⚠ 有金额无数量",IF(AND($J11&gt;0,$K11&lt;0),"⚠ 金额为负",IF($N11&lt;0,"⚠ 毛利为负","正常")))))</f>
        <v/>
      </c>
    </row>
    <row r="12" customFormat="false" ht="15.75" hidden="false" customHeight="true" outlineLevel="0" collapsed="false">
      <c r="A12" s="35" t="str">
        <f aca="false">IF(基础资料!$Q12="","",基础资料!$Q12)</f>
        <v/>
      </c>
      <c r="B12" s="42" t="str">
        <f aca="false">IF($A12="","",基础资料!$R12)</f>
        <v/>
      </c>
      <c r="C12" s="42" t="str">
        <f aca="false">IF($A12="","",基础资料!$S12)</f>
        <v/>
      </c>
      <c r="D12" s="64" t="str">
        <f aca="false">IF($A12="","",SUMIFS(期初数据!$R$6:$R$205,期初数据!$O$6:$O$205,$A12)+SUMIFS(采购录入!$F$5:$F$404,采购录入!$E$5:$E$404,$A12,采购录入!$I$5:$I$404,"是",采购录入!$B$5:$B$404,"&lt;"&amp;首页!$B$6)-SUMIFS(销售录入!$F$5:$F$404,销售录入!$E$5:$E$404,$A12,销售录入!$B$5:$B$404,"&lt;"&amp;首页!$B$6))</f>
        <v/>
      </c>
      <c r="E12" s="54" t="str">
        <f aca="false">IF($A12="","",SUMIFS(期初数据!$T$6:$T$205,期初数据!$O$6:$O$205,$A12)+SUMIFS(采购录入!$Q$5:$Q$404,采购录入!$E$5:$E$404,$A12,采购录入!$I$5:$I$404,"是",采购录入!$B$5:$B$404,"&lt;"&amp;首页!$B$6)-SUMIFS(销售录入!$S$5:$S$404,销售录入!$E$5:$E$404,$A12,销售录入!$B$5:$B$404,"&lt;"&amp;首页!$B$6))</f>
        <v/>
      </c>
      <c r="F12" s="64" t="str">
        <f aca="false">IF($A12="","",SUMIFS(采购录入!$F$5:$F$404,采购录入!$E$5:$E$404,$A12,采购录入!$I$5:$I$404,"是",采购录入!$C$5:$C$404,首页!$B$5))</f>
        <v/>
      </c>
      <c r="G12" s="54" t="str">
        <f aca="false">IF($A12="","",SUMIFS(采购录入!$Q$5:$Q$404,采购录入!$E$5:$E$404,$A12,采购录入!$I$5:$I$404,"是",采购录入!$C$5:$C$404,首页!$B$5))</f>
        <v/>
      </c>
      <c r="H12" s="64" t="str">
        <f aca="false">IF($A12="","",SUMIFS(销售录入!$F$5:$F$404,销售录入!$E$5:$E$404,$A12,销售录入!$C$5:$C$404,首页!$B$5))</f>
        <v/>
      </c>
      <c r="I12" s="54" t="str">
        <f aca="false">IF($A12="","",SUMIFS(销售录入!$S$5:$S$404,销售录入!$E$5:$E$404,$A12,销售录入!$C$5:$C$404,首页!$B$5))</f>
        <v/>
      </c>
      <c r="J12" s="65" t="str">
        <f aca="false">IF($A12="","",$D12+$F12-$H12)</f>
        <v/>
      </c>
      <c r="K12" s="44" t="str">
        <f aca="false">IF($A12="","",$E12+$G12-$I12)</f>
        <v/>
      </c>
      <c r="L12" s="44" t="str">
        <f aca="false">IF(OR($A12="",$J12=0),"",$K12/$J12)</f>
        <v/>
      </c>
      <c r="M12" s="54" t="str">
        <f aca="false">IF($A12="","",SUMIFS(销售录入!$O$5:$O$404,销售录入!$E$5:$E$404,$A12,销售录入!$C$5:$C$404,首页!$B$5))</f>
        <v/>
      </c>
      <c r="N12" s="44" t="str">
        <f aca="false">IF($A12="","",$M12-$I12)</f>
        <v/>
      </c>
      <c r="O12" s="63" t="str">
        <f aca="false">IF(OR($A12="",$M12=0),"",$N12/$M12)</f>
        <v/>
      </c>
      <c r="P12" s="47" t="str">
        <f aca="false">IF($A12="","",IF($J12&lt;0,"⚠ 负库存",IF(AND($J12=0,ABS($K12)&gt;0.01),"⚠ 有金额无数量",IF(AND($J12&gt;0,$K12&lt;0),"⚠ 金额为负",IF($N12&lt;0,"⚠ 毛利为负","正常")))))</f>
        <v/>
      </c>
    </row>
    <row r="13" customFormat="false" ht="15.75" hidden="false" customHeight="true" outlineLevel="0" collapsed="false">
      <c r="A13" s="35" t="str">
        <f aca="false">IF(基础资料!$Q13="","",基础资料!$Q13)</f>
        <v/>
      </c>
      <c r="B13" s="42" t="str">
        <f aca="false">IF($A13="","",基础资料!$R13)</f>
        <v/>
      </c>
      <c r="C13" s="42" t="str">
        <f aca="false">IF($A13="","",基础资料!$S13)</f>
        <v/>
      </c>
      <c r="D13" s="64" t="str">
        <f aca="false">IF($A13="","",SUMIFS(期初数据!$R$6:$R$205,期初数据!$O$6:$O$205,$A13)+SUMIFS(采购录入!$F$5:$F$404,采购录入!$E$5:$E$404,$A13,采购录入!$I$5:$I$404,"是",采购录入!$B$5:$B$404,"&lt;"&amp;首页!$B$6)-SUMIFS(销售录入!$F$5:$F$404,销售录入!$E$5:$E$404,$A13,销售录入!$B$5:$B$404,"&lt;"&amp;首页!$B$6))</f>
        <v/>
      </c>
      <c r="E13" s="54" t="str">
        <f aca="false">IF($A13="","",SUMIFS(期初数据!$T$6:$T$205,期初数据!$O$6:$O$205,$A13)+SUMIFS(采购录入!$Q$5:$Q$404,采购录入!$E$5:$E$404,$A13,采购录入!$I$5:$I$404,"是",采购录入!$B$5:$B$404,"&lt;"&amp;首页!$B$6)-SUMIFS(销售录入!$S$5:$S$404,销售录入!$E$5:$E$404,$A13,销售录入!$B$5:$B$404,"&lt;"&amp;首页!$B$6))</f>
        <v/>
      </c>
      <c r="F13" s="64" t="str">
        <f aca="false">IF($A13="","",SUMIFS(采购录入!$F$5:$F$404,采购录入!$E$5:$E$404,$A13,采购录入!$I$5:$I$404,"是",采购录入!$C$5:$C$404,首页!$B$5))</f>
        <v/>
      </c>
      <c r="G13" s="54" t="str">
        <f aca="false">IF($A13="","",SUMIFS(采购录入!$Q$5:$Q$404,采购录入!$E$5:$E$404,$A13,采购录入!$I$5:$I$404,"是",采购录入!$C$5:$C$404,首页!$B$5))</f>
        <v/>
      </c>
      <c r="H13" s="64" t="str">
        <f aca="false">IF($A13="","",SUMIFS(销售录入!$F$5:$F$404,销售录入!$E$5:$E$404,$A13,销售录入!$C$5:$C$404,首页!$B$5))</f>
        <v/>
      </c>
      <c r="I13" s="54" t="str">
        <f aca="false">IF($A13="","",SUMIFS(销售录入!$S$5:$S$404,销售录入!$E$5:$E$404,$A13,销售录入!$C$5:$C$404,首页!$B$5))</f>
        <v/>
      </c>
      <c r="J13" s="65" t="str">
        <f aca="false">IF($A13="","",$D13+$F13-$H13)</f>
        <v/>
      </c>
      <c r="K13" s="44" t="str">
        <f aca="false">IF($A13="","",$E13+$G13-$I13)</f>
        <v/>
      </c>
      <c r="L13" s="44" t="str">
        <f aca="false">IF(OR($A13="",$J13=0),"",$K13/$J13)</f>
        <v/>
      </c>
      <c r="M13" s="54" t="str">
        <f aca="false">IF($A13="","",SUMIFS(销售录入!$O$5:$O$404,销售录入!$E$5:$E$404,$A13,销售录入!$C$5:$C$404,首页!$B$5))</f>
        <v/>
      </c>
      <c r="N13" s="44" t="str">
        <f aca="false">IF($A13="","",$M13-$I13)</f>
        <v/>
      </c>
      <c r="O13" s="63" t="str">
        <f aca="false">IF(OR($A13="",$M13=0),"",$N13/$M13)</f>
        <v/>
      </c>
      <c r="P13" s="47" t="str">
        <f aca="false">IF($A13="","",IF($J13&lt;0,"⚠ 负库存",IF(AND($J13=0,ABS($K13)&gt;0.01),"⚠ 有金额无数量",IF(AND($J13&gt;0,$K13&lt;0),"⚠ 金额为负",IF($N13&lt;0,"⚠ 毛利为负","正常")))))</f>
        <v/>
      </c>
    </row>
    <row r="14" customFormat="false" ht="15.75" hidden="false" customHeight="true" outlineLevel="0" collapsed="false">
      <c r="A14" s="35" t="str">
        <f aca="false">IF(基础资料!$Q14="","",基础资料!$Q14)</f>
        <v/>
      </c>
      <c r="B14" s="42" t="str">
        <f aca="false">IF($A14="","",基础资料!$R14)</f>
        <v/>
      </c>
      <c r="C14" s="42" t="str">
        <f aca="false">IF($A14="","",基础资料!$S14)</f>
        <v/>
      </c>
      <c r="D14" s="64" t="str">
        <f aca="false">IF($A14="","",SUMIFS(期初数据!$R$6:$R$205,期初数据!$O$6:$O$205,$A14)+SUMIFS(采购录入!$F$5:$F$404,采购录入!$E$5:$E$404,$A14,采购录入!$I$5:$I$404,"是",采购录入!$B$5:$B$404,"&lt;"&amp;首页!$B$6)-SUMIFS(销售录入!$F$5:$F$404,销售录入!$E$5:$E$404,$A14,销售录入!$B$5:$B$404,"&lt;"&amp;首页!$B$6))</f>
        <v/>
      </c>
      <c r="E14" s="54" t="str">
        <f aca="false">IF($A14="","",SUMIFS(期初数据!$T$6:$T$205,期初数据!$O$6:$O$205,$A14)+SUMIFS(采购录入!$Q$5:$Q$404,采购录入!$E$5:$E$404,$A14,采购录入!$I$5:$I$404,"是",采购录入!$B$5:$B$404,"&lt;"&amp;首页!$B$6)-SUMIFS(销售录入!$S$5:$S$404,销售录入!$E$5:$E$404,$A14,销售录入!$B$5:$B$404,"&lt;"&amp;首页!$B$6))</f>
        <v/>
      </c>
      <c r="F14" s="64" t="str">
        <f aca="false">IF($A14="","",SUMIFS(采购录入!$F$5:$F$404,采购录入!$E$5:$E$404,$A14,采购录入!$I$5:$I$404,"是",采购录入!$C$5:$C$404,首页!$B$5))</f>
        <v/>
      </c>
      <c r="G14" s="54" t="str">
        <f aca="false">IF($A14="","",SUMIFS(采购录入!$Q$5:$Q$404,采购录入!$E$5:$E$404,$A14,采购录入!$I$5:$I$404,"是",采购录入!$C$5:$C$404,首页!$B$5))</f>
        <v/>
      </c>
      <c r="H14" s="64" t="str">
        <f aca="false">IF($A14="","",SUMIFS(销售录入!$F$5:$F$404,销售录入!$E$5:$E$404,$A14,销售录入!$C$5:$C$404,首页!$B$5))</f>
        <v/>
      </c>
      <c r="I14" s="54" t="str">
        <f aca="false">IF($A14="","",SUMIFS(销售录入!$S$5:$S$404,销售录入!$E$5:$E$404,$A14,销售录入!$C$5:$C$404,首页!$B$5))</f>
        <v/>
      </c>
      <c r="J14" s="65" t="str">
        <f aca="false">IF($A14="","",$D14+$F14-$H14)</f>
        <v/>
      </c>
      <c r="K14" s="44" t="str">
        <f aca="false">IF($A14="","",$E14+$G14-$I14)</f>
        <v/>
      </c>
      <c r="L14" s="44" t="str">
        <f aca="false">IF(OR($A14="",$J14=0),"",$K14/$J14)</f>
        <v/>
      </c>
      <c r="M14" s="54" t="str">
        <f aca="false">IF($A14="","",SUMIFS(销售录入!$O$5:$O$404,销售录入!$E$5:$E$404,$A14,销售录入!$C$5:$C$404,首页!$B$5))</f>
        <v/>
      </c>
      <c r="N14" s="44" t="str">
        <f aca="false">IF($A14="","",$M14-$I14)</f>
        <v/>
      </c>
      <c r="O14" s="63" t="str">
        <f aca="false">IF(OR($A14="",$M14=0),"",$N14/$M14)</f>
        <v/>
      </c>
      <c r="P14" s="47" t="str">
        <f aca="false">IF($A14="","",IF($J14&lt;0,"⚠ 负库存",IF(AND($J14=0,ABS($K14)&gt;0.01),"⚠ 有金额无数量",IF(AND($J14&gt;0,$K14&lt;0),"⚠ 金额为负",IF($N14&lt;0,"⚠ 毛利为负","正常")))))</f>
        <v/>
      </c>
    </row>
    <row r="15" customFormat="false" ht="15.75" hidden="false" customHeight="true" outlineLevel="0" collapsed="false">
      <c r="A15" s="35" t="str">
        <f aca="false">IF(基础资料!$Q15="","",基础资料!$Q15)</f>
        <v/>
      </c>
      <c r="B15" s="42" t="str">
        <f aca="false">IF($A15="","",基础资料!$R15)</f>
        <v/>
      </c>
      <c r="C15" s="42" t="str">
        <f aca="false">IF($A15="","",基础资料!$S15)</f>
        <v/>
      </c>
      <c r="D15" s="64" t="str">
        <f aca="false">IF($A15="","",SUMIFS(期初数据!$R$6:$R$205,期初数据!$O$6:$O$205,$A15)+SUMIFS(采购录入!$F$5:$F$404,采购录入!$E$5:$E$404,$A15,采购录入!$I$5:$I$404,"是",采购录入!$B$5:$B$404,"&lt;"&amp;首页!$B$6)-SUMIFS(销售录入!$F$5:$F$404,销售录入!$E$5:$E$404,$A15,销售录入!$B$5:$B$404,"&lt;"&amp;首页!$B$6))</f>
        <v/>
      </c>
      <c r="E15" s="54" t="str">
        <f aca="false">IF($A15="","",SUMIFS(期初数据!$T$6:$T$205,期初数据!$O$6:$O$205,$A15)+SUMIFS(采购录入!$Q$5:$Q$404,采购录入!$E$5:$E$404,$A15,采购录入!$I$5:$I$404,"是",采购录入!$B$5:$B$404,"&lt;"&amp;首页!$B$6)-SUMIFS(销售录入!$S$5:$S$404,销售录入!$E$5:$E$404,$A15,销售录入!$B$5:$B$404,"&lt;"&amp;首页!$B$6))</f>
        <v/>
      </c>
      <c r="F15" s="64" t="str">
        <f aca="false">IF($A15="","",SUMIFS(采购录入!$F$5:$F$404,采购录入!$E$5:$E$404,$A15,采购录入!$I$5:$I$404,"是",采购录入!$C$5:$C$404,首页!$B$5))</f>
        <v/>
      </c>
      <c r="G15" s="54" t="str">
        <f aca="false">IF($A15="","",SUMIFS(采购录入!$Q$5:$Q$404,采购录入!$E$5:$E$404,$A15,采购录入!$I$5:$I$404,"是",采购录入!$C$5:$C$404,首页!$B$5))</f>
        <v/>
      </c>
      <c r="H15" s="64" t="str">
        <f aca="false">IF($A15="","",SUMIFS(销售录入!$F$5:$F$404,销售录入!$E$5:$E$404,$A15,销售录入!$C$5:$C$404,首页!$B$5))</f>
        <v/>
      </c>
      <c r="I15" s="54" t="str">
        <f aca="false">IF($A15="","",SUMIFS(销售录入!$S$5:$S$404,销售录入!$E$5:$E$404,$A15,销售录入!$C$5:$C$404,首页!$B$5))</f>
        <v/>
      </c>
      <c r="J15" s="65" t="str">
        <f aca="false">IF($A15="","",$D15+$F15-$H15)</f>
        <v/>
      </c>
      <c r="K15" s="44" t="str">
        <f aca="false">IF($A15="","",$E15+$G15-$I15)</f>
        <v/>
      </c>
      <c r="L15" s="44" t="str">
        <f aca="false">IF(OR($A15="",$J15=0),"",$K15/$J15)</f>
        <v/>
      </c>
      <c r="M15" s="54" t="str">
        <f aca="false">IF($A15="","",SUMIFS(销售录入!$O$5:$O$404,销售录入!$E$5:$E$404,$A15,销售录入!$C$5:$C$404,首页!$B$5))</f>
        <v/>
      </c>
      <c r="N15" s="44" t="str">
        <f aca="false">IF($A15="","",$M15-$I15)</f>
        <v/>
      </c>
      <c r="O15" s="63" t="str">
        <f aca="false">IF(OR($A15="",$M15=0),"",$N15/$M15)</f>
        <v/>
      </c>
      <c r="P15" s="47" t="str">
        <f aca="false">IF($A15="","",IF($J15&lt;0,"⚠ 负库存",IF(AND($J15=0,ABS($K15)&gt;0.01),"⚠ 有金额无数量",IF(AND($J15&gt;0,$K15&lt;0),"⚠ 金额为负",IF($N15&lt;0,"⚠ 毛利为负","正常")))))</f>
        <v/>
      </c>
    </row>
    <row r="16" customFormat="false" ht="15.75" hidden="false" customHeight="true" outlineLevel="0" collapsed="false">
      <c r="A16" s="35" t="str">
        <f aca="false">IF(基础资料!$Q16="","",基础资料!$Q16)</f>
        <v/>
      </c>
      <c r="B16" s="42" t="str">
        <f aca="false">IF($A16="","",基础资料!$R16)</f>
        <v/>
      </c>
      <c r="C16" s="42" t="str">
        <f aca="false">IF($A16="","",基础资料!$S16)</f>
        <v/>
      </c>
      <c r="D16" s="64" t="str">
        <f aca="false">IF($A16="","",SUMIFS(期初数据!$R$6:$R$205,期初数据!$O$6:$O$205,$A16)+SUMIFS(采购录入!$F$5:$F$404,采购录入!$E$5:$E$404,$A16,采购录入!$I$5:$I$404,"是",采购录入!$B$5:$B$404,"&lt;"&amp;首页!$B$6)-SUMIFS(销售录入!$F$5:$F$404,销售录入!$E$5:$E$404,$A16,销售录入!$B$5:$B$404,"&lt;"&amp;首页!$B$6))</f>
        <v/>
      </c>
      <c r="E16" s="54" t="str">
        <f aca="false">IF($A16="","",SUMIFS(期初数据!$T$6:$T$205,期初数据!$O$6:$O$205,$A16)+SUMIFS(采购录入!$Q$5:$Q$404,采购录入!$E$5:$E$404,$A16,采购录入!$I$5:$I$404,"是",采购录入!$B$5:$B$404,"&lt;"&amp;首页!$B$6)-SUMIFS(销售录入!$S$5:$S$404,销售录入!$E$5:$E$404,$A16,销售录入!$B$5:$B$404,"&lt;"&amp;首页!$B$6))</f>
        <v/>
      </c>
      <c r="F16" s="64" t="str">
        <f aca="false">IF($A16="","",SUMIFS(采购录入!$F$5:$F$404,采购录入!$E$5:$E$404,$A16,采购录入!$I$5:$I$404,"是",采购录入!$C$5:$C$404,首页!$B$5))</f>
        <v/>
      </c>
      <c r="G16" s="54" t="str">
        <f aca="false">IF($A16="","",SUMIFS(采购录入!$Q$5:$Q$404,采购录入!$E$5:$E$404,$A16,采购录入!$I$5:$I$404,"是",采购录入!$C$5:$C$404,首页!$B$5))</f>
        <v/>
      </c>
      <c r="H16" s="64" t="str">
        <f aca="false">IF($A16="","",SUMIFS(销售录入!$F$5:$F$404,销售录入!$E$5:$E$404,$A16,销售录入!$C$5:$C$404,首页!$B$5))</f>
        <v/>
      </c>
      <c r="I16" s="54" t="str">
        <f aca="false">IF($A16="","",SUMIFS(销售录入!$S$5:$S$404,销售录入!$E$5:$E$404,$A16,销售录入!$C$5:$C$404,首页!$B$5))</f>
        <v/>
      </c>
      <c r="J16" s="65" t="str">
        <f aca="false">IF($A16="","",$D16+$F16-$H16)</f>
        <v/>
      </c>
      <c r="K16" s="44" t="str">
        <f aca="false">IF($A16="","",$E16+$G16-$I16)</f>
        <v/>
      </c>
      <c r="L16" s="44" t="str">
        <f aca="false">IF(OR($A16="",$J16=0),"",$K16/$J16)</f>
        <v/>
      </c>
      <c r="M16" s="54" t="str">
        <f aca="false">IF($A16="","",SUMIFS(销售录入!$O$5:$O$404,销售录入!$E$5:$E$404,$A16,销售录入!$C$5:$C$404,首页!$B$5))</f>
        <v/>
      </c>
      <c r="N16" s="44" t="str">
        <f aca="false">IF($A16="","",$M16-$I16)</f>
        <v/>
      </c>
      <c r="O16" s="63" t="str">
        <f aca="false">IF(OR($A16="",$M16=0),"",$N16/$M16)</f>
        <v/>
      </c>
      <c r="P16" s="47" t="str">
        <f aca="false">IF($A16="","",IF($J16&lt;0,"⚠ 负库存",IF(AND($J16=0,ABS($K16)&gt;0.01),"⚠ 有金额无数量",IF(AND($J16&gt;0,$K16&lt;0),"⚠ 金额为负",IF($N16&lt;0,"⚠ 毛利为负","正常")))))</f>
        <v/>
      </c>
    </row>
    <row r="17" customFormat="false" ht="15.75" hidden="false" customHeight="true" outlineLevel="0" collapsed="false">
      <c r="A17" s="35" t="str">
        <f aca="false">IF(基础资料!$Q17="","",基础资料!$Q17)</f>
        <v/>
      </c>
      <c r="B17" s="42" t="str">
        <f aca="false">IF($A17="","",基础资料!$R17)</f>
        <v/>
      </c>
      <c r="C17" s="42" t="str">
        <f aca="false">IF($A17="","",基础资料!$S17)</f>
        <v/>
      </c>
      <c r="D17" s="64" t="str">
        <f aca="false">IF($A17="","",SUMIFS(期初数据!$R$6:$R$205,期初数据!$O$6:$O$205,$A17)+SUMIFS(采购录入!$F$5:$F$404,采购录入!$E$5:$E$404,$A17,采购录入!$I$5:$I$404,"是",采购录入!$B$5:$B$404,"&lt;"&amp;首页!$B$6)-SUMIFS(销售录入!$F$5:$F$404,销售录入!$E$5:$E$404,$A17,销售录入!$B$5:$B$404,"&lt;"&amp;首页!$B$6))</f>
        <v/>
      </c>
      <c r="E17" s="54" t="str">
        <f aca="false">IF($A17="","",SUMIFS(期初数据!$T$6:$T$205,期初数据!$O$6:$O$205,$A17)+SUMIFS(采购录入!$Q$5:$Q$404,采购录入!$E$5:$E$404,$A17,采购录入!$I$5:$I$404,"是",采购录入!$B$5:$B$404,"&lt;"&amp;首页!$B$6)-SUMIFS(销售录入!$S$5:$S$404,销售录入!$E$5:$E$404,$A17,销售录入!$B$5:$B$404,"&lt;"&amp;首页!$B$6))</f>
        <v/>
      </c>
      <c r="F17" s="64" t="str">
        <f aca="false">IF($A17="","",SUMIFS(采购录入!$F$5:$F$404,采购录入!$E$5:$E$404,$A17,采购录入!$I$5:$I$404,"是",采购录入!$C$5:$C$404,首页!$B$5))</f>
        <v/>
      </c>
      <c r="G17" s="54" t="str">
        <f aca="false">IF($A17="","",SUMIFS(采购录入!$Q$5:$Q$404,采购录入!$E$5:$E$404,$A17,采购录入!$I$5:$I$404,"是",采购录入!$C$5:$C$404,首页!$B$5))</f>
        <v/>
      </c>
      <c r="H17" s="64" t="str">
        <f aca="false">IF($A17="","",SUMIFS(销售录入!$F$5:$F$404,销售录入!$E$5:$E$404,$A17,销售录入!$C$5:$C$404,首页!$B$5))</f>
        <v/>
      </c>
      <c r="I17" s="54" t="str">
        <f aca="false">IF($A17="","",SUMIFS(销售录入!$S$5:$S$404,销售录入!$E$5:$E$404,$A17,销售录入!$C$5:$C$404,首页!$B$5))</f>
        <v/>
      </c>
      <c r="J17" s="65" t="str">
        <f aca="false">IF($A17="","",$D17+$F17-$H17)</f>
        <v/>
      </c>
      <c r="K17" s="44" t="str">
        <f aca="false">IF($A17="","",$E17+$G17-$I17)</f>
        <v/>
      </c>
      <c r="L17" s="44" t="str">
        <f aca="false">IF(OR($A17="",$J17=0),"",$K17/$J17)</f>
        <v/>
      </c>
      <c r="M17" s="54" t="str">
        <f aca="false">IF($A17="","",SUMIFS(销售录入!$O$5:$O$404,销售录入!$E$5:$E$404,$A17,销售录入!$C$5:$C$404,首页!$B$5))</f>
        <v/>
      </c>
      <c r="N17" s="44" t="str">
        <f aca="false">IF($A17="","",$M17-$I17)</f>
        <v/>
      </c>
      <c r="O17" s="63" t="str">
        <f aca="false">IF(OR($A17="",$M17=0),"",$N17/$M17)</f>
        <v/>
      </c>
      <c r="P17" s="47" t="str">
        <f aca="false">IF($A17="","",IF($J17&lt;0,"⚠ 负库存",IF(AND($J17=0,ABS($K17)&gt;0.01),"⚠ 有金额无数量",IF(AND($J17&gt;0,$K17&lt;0),"⚠ 金额为负",IF($N17&lt;0,"⚠ 毛利为负","正常")))))</f>
        <v/>
      </c>
    </row>
    <row r="18" customFormat="false" ht="15.75" hidden="false" customHeight="true" outlineLevel="0" collapsed="false">
      <c r="A18" s="35" t="str">
        <f aca="false">IF(基础资料!$Q18="","",基础资料!$Q18)</f>
        <v/>
      </c>
      <c r="B18" s="42" t="str">
        <f aca="false">IF($A18="","",基础资料!$R18)</f>
        <v/>
      </c>
      <c r="C18" s="42" t="str">
        <f aca="false">IF($A18="","",基础资料!$S18)</f>
        <v/>
      </c>
      <c r="D18" s="64" t="str">
        <f aca="false">IF($A18="","",SUMIFS(期初数据!$R$6:$R$205,期初数据!$O$6:$O$205,$A18)+SUMIFS(采购录入!$F$5:$F$404,采购录入!$E$5:$E$404,$A18,采购录入!$I$5:$I$404,"是",采购录入!$B$5:$B$404,"&lt;"&amp;首页!$B$6)-SUMIFS(销售录入!$F$5:$F$404,销售录入!$E$5:$E$404,$A18,销售录入!$B$5:$B$404,"&lt;"&amp;首页!$B$6))</f>
        <v/>
      </c>
      <c r="E18" s="54" t="str">
        <f aca="false">IF($A18="","",SUMIFS(期初数据!$T$6:$T$205,期初数据!$O$6:$O$205,$A18)+SUMIFS(采购录入!$Q$5:$Q$404,采购录入!$E$5:$E$404,$A18,采购录入!$I$5:$I$404,"是",采购录入!$B$5:$B$404,"&lt;"&amp;首页!$B$6)-SUMIFS(销售录入!$S$5:$S$404,销售录入!$E$5:$E$404,$A18,销售录入!$B$5:$B$404,"&lt;"&amp;首页!$B$6))</f>
        <v/>
      </c>
      <c r="F18" s="64" t="str">
        <f aca="false">IF($A18="","",SUMIFS(采购录入!$F$5:$F$404,采购录入!$E$5:$E$404,$A18,采购录入!$I$5:$I$404,"是",采购录入!$C$5:$C$404,首页!$B$5))</f>
        <v/>
      </c>
      <c r="G18" s="54" t="str">
        <f aca="false">IF($A18="","",SUMIFS(采购录入!$Q$5:$Q$404,采购录入!$E$5:$E$404,$A18,采购录入!$I$5:$I$404,"是",采购录入!$C$5:$C$404,首页!$B$5))</f>
        <v/>
      </c>
      <c r="H18" s="64" t="str">
        <f aca="false">IF($A18="","",SUMIFS(销售录入!$F$5:$F$404,销售录入!$E$5:$E$404,$A18,销售录入!$C$5:$C$404,首页!$B$5))</f>
        <v/>
      </c>
      <c r="I18" s="54" t="str">
        <f aca="false">IF($A18="","",SUMIFS(销售录入!$S$5:$S$404,销售录入!$E$5:$E$404,$A18,销售录入!$C$5:$C$404,首页!$B$5))</f>
        <v/>
      </c>
      <c r="J18" s="65" t="str">
        <f aca="false">IF($A18="","",$D18+$F18-$H18)</f>
        <v/>
      </c>
      <c r="K18" s="44" t="str">
        <f aca="false">IF($A18="","",$E18+$G18-$I18)</f>
        <v/>
      </c>
      <c r="L18" s="44" t="str">
        <f aca="false">IF(OR($A18="",$J18=0),"",$K18/$J18)</f>
        <v/>
      </c>
      <c r="M18" s="54" t="str">
        <f aca="false">IF($A18="","",SUMIFS(销售录入!$O$5:$O$404,销售录入!$E$5:$E$404,$A18,销售录入!$C$5:$C$404,首页!$B$5))</f>
        <v/>
      </c>
      <c r="N18" s="44" t="str">
        <f aca="false">IF($A18="","",$M18-$I18)</f>
        <v/>
      </c>
      <c r="O18" s="63" t="str">
        <f aca="false">IF(OR($A18="",$M18=0),"",$N18/$M18)</f>
        <v/>
      </c>
      <c r="P18" s="47" t="str">
        <f aca="false">IF($A18="","",IF($J18&lt;0,"⚠ 负库存",IF(AND($J18=0,ABS($K18)&gt;0.01),"⚠ 有金额无数量",IF(AND($J18&gt;0,$K18&lt;0),"⚠ 金额为负",IF($N18&lt;0,"⚠ 毛利为负","正常")))))</f>
        <v/>
      </c>
    </row>
    <row r="19" customFormat="false" ht="15.75" hidden="false" customHeight="true" outlineLevel="0" collapsed="false">
      <c r="A19" s="35" t="str">
        <f aca="false">IF(基础资料!$Q19="","",基础资料!$Q19)</f>
        <v/>
      </c>
      <c r="B19" s="42" t="str">
        <f aca="false">IF($A19="","",基础资料!$R19)</f>
        <v/>
      </c>
      <c r="C19" s="42" t="str">
        <f aca="false">IF($A19="","",基础资料!$S19)</f>
        <v/>
      </c>
      <c r="D19" s="64" t="str">
        <f aca="false">IF($A19="","",SUMIFS(期初数据!$R$6:$R$205,期初数据!$O$6:$O$205,$A19)+SUMIFS(采购录入!$F$5:$F$404,采购录入!$E$5:$E$404,$A19,采购录入!$I$5:$I$404,"是",采购录入!$B$5:$B$404,"&lt;"&amp;首页!$B$6)-SUMIFS(销售录入!$F$5:$F$404,销售录入!$E$5:$E$404,$A19,销售录入!$B$5:$B$404,"&lt;"&amp;首页!$B$6))</f>
        <v/>
      </c>
      <c r="E19" s="54" t="str">
        <f aca="false">IF($A19="","",SUMIFS(期初数据!$T$6:$T$205,期初数据!$O$6:$O$205,$A19)+SUMIFS(采购录入!$Q$5:$Q$404,采购录入!$E$5:$E$404,$A19,采购录入!$I$5:$I$404,"是",采购录入!$B$5:$B$404,"&lt;"&amp;首页!$B$6)-SUMIFS(销售录入!$S$5:$S$404,销售录入!$E$5:$E$404,$A19,销售录入!$B$5:$B$404,"&lt;"&amp;首页!$B$6))</f>
        <v/>
      </c>
      <c r="F19" s="64" t="str">
        <f aca="false">IF($A19="","",SUMIFS(采购录入!$F$5:$F$404,采购录入!$E$5:$E$404,$A19,采购录入!$I$5:$I$404,"是",采购录入!$C$5:$C$404,首页!$B$5))</f>
        <v/>
      </c>
      <c r="G19" s="54" t="str">
        <f aca="false">IF($A19="","",SUMIFS(采购录入!$Q$5:$Q$404,采购录入!$E$5:$E$404,$A19,采购录入!$I$5:$I$404,"是",采购录入!$C$5:$C$404,首页!$B$5))</f>
        <v/>
      </c>
      <c r="H19" s="64" t="str">
        <f aca="false">IF($A19="","",SUMIFS(销售录入!$F$5:$F$404,销售录入!$E$5:$E$404,$A19,销售录入!$C$5:$C$404,首页!$B$5))</f>
        <v/>
      </c>
      <c r="I19" s="54" t="str">
        <f aca="false">IF($A19="","",SUMIFS(销售录入!$S$5:$S$404,销售录入!$E$5:$E$404,$A19,销售录入!$C$5:$C$404,首页!$B$5))</f>
        <v/>
      </c>
      <c r="J19" s="65" t="str">
        <f aca="false">IF($A19="","",$D19+$F19-$H19)</f>
        <v/>
      </c>
      <c r="K19" s="44" t="str">
        <f aca="false">IF($A19="","",$E19+$G19-$I19)</f>
        <v/>
      </c>
      <c r="L19" s="44" t="str">
        <f aca="false">IF(OR($A19="",$J19=0),"",$K19/$J19)</f>
        <v/>
      </c>
      <c r="M19" s="54" t="str">
        <f aca="false">IF($A19="","",SUMIFS(销售录入!$O$5:$O$404,销售录入!$E$5:$E$404,$A19,销售录入!$C$5:$C$404,首页!$B$5))</f>
        <v/>
      </c>
      <c r="N19" s="44" t="str">
        <f aca="false">IF($A19="","",$M19-$I19)</f>
        <v/>
      </c>
      <c r="O19" s="63" t="str">
        <f aca="false">IF(OR($A19="",$M19=0),"",$N19/$M19)</f>
        <v/>
      </c>
      <c r="P19" s="47" t="str">
        <f aca="false">IF($A19="","",IF($J19&lt;0,"⚠ 负库存",IF(AND($J19=0,ABS($K19)&gt;0.01),"⚠ 有金额无数量",IF(AND($J19&gt;0,$K19&lt;0),"⚠ 金额为负",IF($N19&lt;0,"⚠ 毛利为负","正常")))))</f>
        <v/>
      </c>
    </row>
    <row r="20" customFormat="false" ht="15.75" hidden="false" customHeight="true" outlineLevel="0" collapsed="false">
      <c r="A20" s="35" t="str">
        <f aca="false">IF(基础资料!$Q20="","",基础资料!$Q20)</f>
        <v/>
      </c>
      <c r="B20" s="42" t="str">
        <f aca="false">IF($A20="","",基础资料!$R20)</f>
        <v/>
      </c>
      <c r="C20" s="42" t="str">
        <f aca="false">IF($A20="","",基础资料!$S20)</f>
        <v/>
      </c>
      <c r="D20" s="64" t="str">
        <f aca="false">IF($A20="","",SUMIFS(期初数据!$R$6:$R$205,期初数据!$O$6:$O$205,$A20)+SUMIFS(采购录入!$F$5:$F$404,采购录入!$E$5:$E$404,$A20,采购录入!$I$5:$I$404,"是",采购录入!$B$5:$B$404,"&lt;"&amp;首页!$B$6)-SUMIFS(销售录入!$F$5:$F$404,销售录入!$E$5:$E$404,$A20,销售录入!$B$5:$B$404,"&lt;"&amp;首页!$B$6))</f>
        <v/>
      </c>
      <c r="E20" s="54" t="str">
        <f aca="false">IF($A20="","",SUMIFS(期初数据!$T$6:$T$205,期初数据!$O$6:$O$205,$A20)+SUMIFS(采购录入!$Q$5:$Q$404,采购录入!$E$5:$E$404,$A20,采购录入!$I$5:$I$404,"是",采购录入!$B$5:$B$404,"&lt;"&amp;首页!$B$6)-SUMIFS(销售录入!$S$5:$S$404,销售录入!$E$5:$E$404,$A20,销售录入!$B$5:$B$404,"&lt;"&amp;首页!$B$6))</f>
        <v/>
      </c>
      <c r="F20" s="64" t="str">
        <f aca="false">IF($A20="","",SUMIFS(采购录入!$F$5:$F$404,采购录入!$E$5:$E$404,$A20,采购录入!$I$5:$I$404,"是",采购录入!$C$5:$C$404,首页!$B$5))</f>
        <v/>
      </c>
      <c r="G20" s="54" t="str">
        <f aca="false">IF($A20="","",SUMIFS(采购录入!$Q$5:$Q$404,采购录入!$E$5:$E$404,$A20,采购录入!$I$5:$I$404,"是",采购录入!$C$5:$C$404,首页!$B$5))</f>
        <v/>
      </c>
      <c r="H20" s="64" t="str">
        <f aca="false">IF($A20="","",SUMIFS(销售录入!$F$5:$F$404,销售录入!$E$5:$E$404,$A20,销售录入!$C$5:$C$404,首页!$B$5))</f>
        <v/>
      </c>
      <c r="I20" s="54" t="str">
        <f aca="false">IF($A20="","",SUMIFS(销售录入!$S$5:$S$404,销售录入!$E$5:$E$404,$A20,销售录入!$C$5:$C$404,首页!$B$5))</f>
        <v/>
      </c>
      <c r="J20" s="65" t="str">
        <f aca="false">IF($A20="","",$D20+$F20-$H20)</f>
        <v/>
      </c>
      <c r="K20" s="44" t="str">
        <f aca="false">IF($A20="","",$E20+$G20-$I20)</f>
        <v/>
      </c>
      <c r="L20" s="44" t="str">
        <f aca="false">IF(OR($A20="",$J20=0),"",$K20/$J20)</f>
        <v/>
      </c>
      <c r="M20" s="54" t="str">
        <f aca="false">IF($A20="","",SUMIFS(销售录入!$O$5:$O$404,销售录入!$E$5:$E$404,$A20,销售录入!$C$5:$C$404,首页!$B$5))</f>
        <v/>
      </c>
      <c r="N20" s="44" t="str">
        <f aca="false">IF($A20="","",$M20-$I20)</f>
        <v/>
      </c>
      <c r="O20" s="63" t="str">
        <f aca="false">IF(OR($A20="",$M20=0),"",$N20/$M20)</f>
        <v/>
      </c>
      <c r="P20" s="47" t="str">
        <f aca="false">IF($A20="","",IF($J20&lt;0,"⚠ 负库存",IF(AND($J20=0,ABS($K20)&gt;0.01),"⚠ 有金额无数量",IF(AND($J20&gt;0,$K20&lt;0),"⚠ 金额为负",IF($N20&lt;0,"⚠ 毛利为负","正常")))))</f>
        <v/>
      </c>
    </row>
    <row r="21" customFormat="false" ht="15.75" hidden="false" customHeight="true" outlineLevel="0" collapsed="false">
      <c r="A21" s="35" t="str">
        <f aca="false">IF(基础资料!$Q21="","",基础资料!$Q21)</f>
        <v/>
      </c>
      <c r="B21" s="42" t="str">
        <f aca="false">IF($A21="","",基础资料!$R21)</f>
        <v/>
      </c>
      <c r="C21" s="42" t="str">
        <f aca="false">IF($A21="","",基础资料!$S21)</f>
        <v/>
      </c>
      <c r="D21" s="64" t="str">
        <f aca="false">IF($A21="","",SUMIFS(期初数据!$R$6:$R$205,期初数据!$O$6:$O$205,$A21)+SUMIFS(采购录入!$F$5:$F$404,采购录入!$E$5:$E$404,$A21,采购录入!$I$5:$I$404,"是",采购录入!$B$5:$B$404,"&lt;"&amp;首页!$B$6)-SUMIFS(销售录入!$F$5:$F$404,销售录入!$E$5:$E$404,$A21,销售录入!$B$5:$B$404,"&lt;"&amp;首页!$B$6))</f>
        <v/>
      </c>
      <c r="E21" s="54" t="str">
        <f aca="false">IF($A21="","",SUMIFS(期初数据!$T$6:$T$205,期初数据!$O$6:$O$205,$A21)+SUMIFS(采购录入!$Q$5:$Q$404,采购录入!$E$5:$E$404,$A21,采购录入!$I$5:$I$404,"是",采购录入!$B$5:$B$404,"&lt;"&amp;首页!$B$6)-SUMIFS(销售录入!$S$5:$S$404,销售录入!$E$5:$E$404,$A21,销售录入!$B$5:$B$404,"&lt;"&amp;首页!$B$6))</f>
        <v/>
      </c>
      <c r="F21" s="64" t="str">
        <f aca="false">IF($A21="","",SUMIFS(采购录入!$F$5:$F$404,采购录入!$E$5:$E$404,$A21,采购录入!$I$5:$I$404,"是",采购录入!$C$5:$C$404,首页!$B$5))</f>
        <v/>
      </c>
      <c r="G21" s="54" t="str">
        <f aca="false">IF($A21="","",SUMIFS(采购录入!$Q$5:$Q$404,采购录入!$E$5:$E$404,$A21,采购录入!$I$5:$I$404,"是",采购录入!$C$5:$C$404,首页!$B$5))</f>
        <v/>
      </c>
      <c r="H21" s="64" t="str">
        <f aca="false">IF($A21="","",SUMIFS(销售录入!$F$5:$F$404,销售录入!$E$5:$E$404,$A21,销售录入!$C$5:$C$404,首页!$B$5))</f>
        <v/>
      </c>
      <c r="I21" s="54" t="str">
        <f aca="false">IF($A21="","",SUMIFS(销售录入!$S$5:$S$404,销售录入!$E$5:$E$404,$A21,销售录入!$C$5:$C$404,首页!$B$5))</f>
        <v/>
      </c>
      <c r="J21" s="65" t="str">
        <f aca="false">IF($A21="","",$D21+$F21-$H21)</f>
        <v/>
      </c>
      <c r="K21" s="44" t="str">
        <f aca="false">IF($A21="","",$E21+$G21-$I21)</f>
        <v/>
      </c>
      <c r="L21" s="44" t="str">
        <f aca="false">IF(OR($A21="",$J21=0),"",$K21/$J21)</f>
        <v/>
      </c>
      <c r="M21" s="54" t="str">
        <f aca="false">IF($A21="","",SUMIFS(销售录入!$O$5:$O$404,销售录入!$E$5:$E$404,$A21,销售录入!$C$5:$C$404,首页!$B$5))</f>
        <v/>
      </c>
      <c r="N21" s="44" t="str">
        <f aca="false">IF($A21="","",$M21-$I21)</f>
        <v/>
      </c>
      <c r="O21" s="63" t="str">
        <f aca="false">IF(OR($A21="",$M21=0),"",$N21/$M21)</f>
        <v/>
      </c>
      <c r="P21" s="47" t="str">
        <f aca="false">IF($A21="","",IF($J21&lt;0,"⚠ 负库存",IF(AND($J21=0,ABS($K21)&gt;0.01),"⚠ 有金额无数量",IF(AND($J21&gt;0,$K21&lt;0),"⚠ 金额为负",IF($N21&lt;0,"⚠ 毛利为负","正常")))))</f>
        <v/>
      </c>
    </row>
    <row r="22" customFormat="false" ht="15.75" hidden="false" customHeight="true" outlineLevel="0" collapsed="false">
      <c r="A22" s="35" t="str">
        <f aca="false">IF(基础资料!$Q22="","",基础资料!$Q22)</f>
        <v/>
      </c>
      <c r="B22" s="42" t="str">
        <f aca="false">IF($A22="","",基础资料!$R22)</f>
        <v/>
      </c>
      <c r="C22" s="42" t="str">
        <f aca="false">IF($A22="","",基础资料!$S22)</f>
        <v/>
      </c>
      <c r="D22" s="64" t="str">
        <f aca="false">IF($A22="","",SUMIFS(期初数据!$R$6:$R$205,期初数据!$O$6:$O$205,$A22)+SUMIFS(采购录入!$F$5:$F$404,采购录入!$E$5:$E$404,$A22,采购录入!$I$5:$I$404,"是",采购录入!$B$5:$B$404,"&lt;"&amp;首页!$B$6)-SUMIFS(销售录入!$F$5:$F$404,销售录入!$E$5:$E$404,$A22,销售录入!$B$5:$B$404,"&lt;"&amp;首页!$B$6))</f>
        <v/>
      </c>
      <c r="E22" s="54" t="str">
        <f aca="false">IF($A22="","",SUMIFS(期初数据!$T$6:$T$205,期初数据!$O$6:$O$205,$A22)+SUMIFS(采购录入!$Q$5:$Q$404,采购录入!$E$5:$E$404,$A22,采购录入!$I$5:$I$404,"是",采购录入!$B$5:$B$404,"&lt;"&amp;首页!$B$6)-SUMIFS(销售录入!$S$5:$S$404,销售录入!$E$5:$E$404,$A22,销售录入!$B$5:$B$404,"&lt;"&amp;首页!$B$6))</f>
        <v/>
      </c>
      <c r="F22" s="64" t="str">
        <f aca="false">IF($A22="","",SUMIFS(采购录入!$F$5:$F$404,采购录入!$E$5:$E$404,$A22,采购录入!$I$5:$I$404,"是",采购录入!$C$5:$C$404,首页!$B$5))</f>
        <v/>
      </c>
      <c r="G22" s="54" t="str">
        <f aca="false">IF($A22="","",SUMIFS(采购录入!$Q$5:$Q$404,采购录入!$E$5:$E$404,$A22,采购录入!$I$5:$I$404,"是",采购录入!$C$5:$C$404,首页!$B$5))</f>
        <v/>
      </c>
      <c r="H22" s="64" t="str">
        <f aca="false">IF($A22="","",SUMIFS(销售录入!$F$5:$F$404,销售录入!$E$5:$E$404,$A22,销售录入!$C$5:$C$404,首页!$B$5))</f>
        <v/>
      </c>
      <c r="I22" s="54" t="str">
        <f aca="false">IF($A22="","",SUMIFS(销售录入!$S$5:$S$404,销售录入!$E$5:$E$404,$A22,销售录入!$C$5:$C$404,首页!$B$5))</f>
        <v/>
      </c>
      <c r="J22" s="65" t="str">
        <f aca="false">IF($A22="","",$D22+$F22-$H22)</f>
        <v/>
      </c>
      <c r="K22" s="44" t="str">
        <f aca="false">IF($A22="","",$E22+$G22-$I22)</f>
        <v/>
      </c>
      <c r="L22" s="44" t="str">
        <f aca="false">IF(OR($A22="",$J22=0),"",$K22/$J22)</f>
        <v/>
      </c>
      <c r="M22" s="54" t="str">
        <f aca="false">IF($A22="","",SUMIFS(销售录入!$O$5:$O$404,销售录入!$E$5:$E$404,$A22,销售录入!$C$5:$C$404,首页!$B$5))</f>
        <v/>
      </c>
      <c r="N22" s="44" t="str">
        <f aca="false">IF($A22="","",$M22-$I22)</f>
        <v/>
      </c>
      <c r="O22" s="63" t="str">
        <f aca="false">IF(OR($A22="",$M22=0),"",$N22/$M22)</f>
        <v/>
      </c>
      <c r="P22" s="47" t="str">
        <f aca="false">IF($A22="","",IF($J22&lt;0,"⚠ 负库存",IF(AND($J22=0,ABS($K22)&gt;0.01),"⚠ 有金额无数量",IF(AND($J22&gt;0,$K22&lt;0),"⚠ 金额为负",IF($N22&lt;0,"⚠ 毛利为负","正常")))))</f>
        <v/>
      </c>
    </row>
    <row r="23" customFormat="false" ht="15.75" hidden="false" customHeight="true" outlineLevel="0" collapsed="false">
      <c r="A23" s="35" t="str">
        <f aca="false">IF(基础资料!$Q23="","",基础资料!$Q23)</f>
        <v/>
      </c>
      <c r="B23" s="42" t="str">
        <f aca="false">IF($A23="","",基础资料!$R23)</f>
        <v/>
      </c>
      <c r="C23" s="42" t="str">
        <f aca="false">IF($A23="","",基础资料!$S23)</f>
        <v/>
      </c>
      <c r="D23" s="64" t="str">
        <f aca="false">IF($A23="","",SUMIFS(期初数据!$R$6:$R$205,期初数据!$O$6:$O$205,$A23)+SUMIFS(采购录入!$F$5:$F$404,采购录入!$E$5:$E$404,$A23,采购录入!$I$5:$I$404,"是",采购录入!$B$5:$B$404,"&lt;"&amp;首页!$B$6)-SUMIFS(销售录入!$F$5:$F$404,销售录入!$E$5:$E$404,$A23,销售录入!$B$5:$B$404,"&lt;"&amp;首页!$B$6))</f>
        <v/>
      </c>
      <c r="E23" s="54" t="str">
        <f aca="false">IF($A23="","",SUMIFS(期初数据!$T$6:$T$205,期初数据!$O$6:$O$205,$A23)+SUMIFS(采购录入!$Q$5:$Q$404,采购录入!$E$5:$E$404,$A23,采购录入!$I$5:$I$404,"是",采购录入!$B$5:$B$404,"&lt;"&amp;首页!$B$6)-SUMIFS(销售录入!$S$5:$S$404,销售录入!$E$5:$E$404,$A23,销售录入!$B$5:$B$404,"&lt;"&amp;首页!$B$6))</f>
        <v/>
      </c>
      <c r="F23" s="64" t="str">
        <f aca="false">IF($A23="","",SUMIFS(采购录入!$F$5:$F$404,采购录入!$E$5:$E$404,$A23,采购录入!$I$5:$I$404,"是",采购录入!$C$5:$C$404,首页!$B$5))</f>
        <v/>
      </c>
      <c r="G23" s="54" t="str">
        <f aca="false">IF($A23="","",SUMIFS(采购录入!$Q$5:$Q$404,采购录入!$E$5:$E$404,$A23,采购录入!$I$5:$I$404,"是",采购录入!$C$5:$C$404,首页!$B$5))</f>
        <v/>
      </c>
      <c r="H23" s="64" t="str">
        <f aca="false">IF($A23="","",SUMIFS(销售录入!$F$5:$F$404,销售录入!$E$5:$E$404,$A23,销售录入!$C$5:$C$404,首页!$B$5))</f>
        <v/>
      </c>
      <c r="I23" s="54" t="str">
        <f aca="false">IF($A23="","",SUMIFS(销售录入!$S$5:$S$404,销售录入!$E$5:$E$404,$A23,销售录入!$C$5:$C$404,首页!$B$5))</f>
        <v/>
      </c>
      <c r="J23" s="65" t="str">
        <f aca="false">IF($A23="","",$D23+$F23-$H23)</f>
        <v/>
      </c>
      <c r="K23" s="44" t="str">
        <f aca="false">IF($A23="","",$E23+$G23-$I23)</f>
        <v/>
      </c>
      <c r="L23" s="44" t="str">
        <f aca="false">IF(OR($A23="",$J23=0),"",$K23/$J23)</f>
        <v/>
      </c>
      <c r="M23" s="54" t="str">
        <f aca="false">IF($A23="","",SUMIFS(销售录入!$O$5:$O$404,销售录入!$E$5:$E$404,$A23,销售录入!$C$5:$C$404,首页!$B$5))</f>
        <v/>
      </c>
      <c r="N23" s="44" t="str">
        <f aca="false">IF($A23="","",$M23-$I23)</f>
        <v/>
      </c>
      <c r="O23" s="63" t="str">
        <f aca="false">IF(OR($A23="",$M23=0),"",$N23/$M23)</f>
        <v/>
      </c>
      <c r="P23" s="47" t="str">
        <f aca="false">IF($A23="","",IF($J23&lt;0,"⚠ 负库存",IF(AND($J23=0,ABS($K23)&gt;0.01),"⚠ 有金额无数量",IF(AND($J23&gt;0,$K23&lt;0),"⚠ 金额为负",IF($N23&lt;0,"⚠ 毛利为负","正常")))))</f>
        <v/>
      </c>
    </row>
    <row r="24" customFormat="false" ht="15.75" hidden="false" customHeight="true" outlineLevel="0" collapsed="false">
      <c r="A24" s="35" t="str">
        <f aca="false">IF(基础资料!$Q24="","",基础资料!$Q24)</f>
        <v/>
      </c>
      <c r="B24" s="42" t="str">
        <f aca="false">IF($A24="","",基础资料!$R24)</f>
        <v/>
      </c>
      <c r="C24" s="42" t="str">
        <f aca="false">IF($A24="","",基础资料!$S24)</f>
        <v/>
      </c>
      <c r="D24" s="64" t="str">
        <f aca="false">IF($A24="","",SUMIFS(期初数据!$R$6:$R$205,期初数据!$O$6:$O$205,$A24)+SUMIFS(采购录入!$F$5:$F$404,采购录入!$E$5:$E$404,$A24,采购录入!$I$5:$I$404,"是",采购录入!$B$5:$B$404,"&lt;"&amp;首页!$B$6)-SUMIFS(销售录入!$F$5:$F$404,销售录入!$E$5:$E$404,$A24,销售录入!$B$5:$B$404,"&lt;"&amp;首页!$B$6))</f>
        <v/>
      </c>
      <c r="E24" s="54" t="str">
        <f aca="false">IF($A24="","",SUMIFS(期初数据!$T$6:$T$205,期初数据!$O$6:$O$205,$A24)+SUMIFS(采购录入!$Q$5:$Q$404,采购录入!$E$5:$E$404,$A24,采购录入!$I$5:$I$404,"是",采购录入!$B$5:$B$404,"&lt;"&amp;首页!$B$6)-SUMIFS(销售录入!$S$5:$S$404,销售录入!$E$5:$E$404,$A24,销售录入!$B$5:$B$404,"&lt;"&amp;首页!$B$6))</f>
        <v/>
      </c>
      <c r="F24" s="64" t="str">
        <f aca="false">IF($A24="","",SUMIFS(采购录入!$F$5:$F$404,采购录入!$E$5:$E$404,$A24,采购录入!$I$5:$I$404,"是",采购录入!$C$5:$C$404,首页!$B$5))</f>
        <v/>
      </c>
      <c r="G24" s="54" t="str">
        <f aca="false">IF($A24="","",SUMIFS(采购录入!$Q$5:$Q$404,采购录入!$E$5:$E$404,$A24,采购录入!$I$5:$I$404,"是",采购录入!$C$5:$C$404,首页!$B$5))</f>
        <v/>
      </c>
      <c r="H24" s="64" t="str">
        <f aca="false">IF($A24="","",SUMIFS(销售录入!$F$5:$F$404,销售录入!$E$5:$E$404,$A24,销售录入!$C$5:$C$404,首页!$B$5))</f>
        <v/>
      </c>
      <c r="I24" s="54" t="str">
        <f aca="false">IF($A24="","",SUMIFS(销售录入!$S$5:$S$404,销售录入!$E$5:$E$404,$A24,销售录入!$C$5:$C$404,首页!$B$5))</f>
        <v/>
      </c>
      <c r="J24" s="65" t="str">
        <f aca="false">IF($A24="","",$D24+$F24-$H24)</f>
        <v/>
      </c>
      <c r="K24" s="44" t="str">
        <f aca="false">IF($A24="","",$E24+$G24-$I24)</f>
        <v/>
      </c>
      <c r="L24" s="44" t="str">
        <f aca="false">IF(OR($A24="",$J24=0),"",$K24/$J24)</f>
        <v/>
      </c>
      <c r="M24" s="54" t="str">
        <f aca="false">IF($A24="","",SUMIFS(销售录入!$O$5:$O$404,销售录入!$E$5:$E$404,$A24,销售录入!$C$5:$C$404,首页!$B$5))</f>
        <v/>
      </c>
      <c r="N24" s="44" t="str">
        <f aca="false">IF($A24="","",$M24-$I24)</f>
        <v/>
      </c>
      <c r="O24" s="63" t="str">
        <f aca="false">IF(OR($A24="",$M24=0),"",$N24/$M24)</f>
        <v/>
      </c>
      <c r="P24" s="47" t="str">
        <f aca="false">IF($A24="","",IF($J24&lt;0,"⚠ 负库存",IF(AND($J24=0,ABS($K24)&gt;0.01),"⚠ 有金额无数量",IF(AND($J24&gt;0,$K24&lt;0),"⚠ 金额为负",IF($N24&lt;0,"⚠ 毛利为负","正常")))))</f>
        <v/>
      </c>
    </row>
    <row r="25" customFormat="false" ht="15.75" hidden="false" customHeight="true" outlineLevel="0" collapsed="false">
      <c r="A25" s="35" t="str">
        <f aca="false">IF(基础资料!$Q25="","",基础资料!$Q25)</f>
        <v/>
      </c>
      <c r="B25" s="42" t="str">
        <f aca="false">IF($A25="","",基础资料!$R25)</f>
        <v/>
      </c>
      <c r="C25" s="42" t="str">
        <f aca="false">IF($A25="","",基础资料!$S25)</f>
        <v/>
      </c>
      <c r="D25" s="64" t="str">
        <f aca="false">IF($A25="","",SUMIFS(期初数据!$R$6:$R$205,期初数据!$O$6:$O$205,$A25)+SUMIFS(采购录入!$F$5:$F$404,采购录入!$E$5:$E$404,$A25,采购录入!$I$5:$I$404,"是",采购录入!$B$5:$B$404,"&lt;"&amp;首页!$B$6)-SUMIFS(销售录入!$F$5:$F$404,销售录入!$E$5:$E$404,$A25,销售录入!$B$5:$B$404,"&lt;"&amp;首页!$B$6))</f>
        <v/>
      </c>
      <c r="E25" s="54" t="str">
        <f aca="false">IF($A25="","",SUMIFS(期初数据!$T$6:$T$205,期初数据!$O$6:$O$205,$A25)+SUMIFS(采购录入!$Q$5:$Q$404,采购录入!$E$5:$E$404,$A25,采购录入!$I$5:$I$404,"是",采购录入!$B$5:$B$404,"&lt;"&amp;首页!$B$6)-SUMIFS(销售录入!$S$5:$S$404,销售录入!$E$5:$E$404,$A25,销售录入!$B$5:$B$404,"&lt;"&amp;首页!$B$6))</f>
        <v/>
      </c>
      <c r="F25" s="64" t="str">
        <f aca="false">IF($A25="","",SUMIFS(采购录入!$F$5:$F$404,采购录入!$E$5:$E$404,$A25,采购录入!$I$5:$I$404,"是",采购录入!$C$5:$C$404,首页!$B$5))</f>
        <v/>
      </c>
      <c r="G25" s="54" t="str">
        <f aca="false">IF($A25="","",SUMIFS(采购录入!$Q$5:$Q$404,采购录入!$E$5:$E$404,$A25,采购录入!$I$5:$I$404,"是",采购录入!$C$5:$C$404,首页!$B$5))</f>
        <v/>
      </c>
      <c r="H25" s="64" t="str">
        <f aca="false">IF($A25="","",SUMIFS(销售录入!$F$5:$F$404,销售录入!$E$5:$E$404,$A25,销售录入!$C$5:$C$404,首页!$B$5))</f>
        <v/>
      </c>
      <c r="I25" s="54" t="str">
        <f aca="false">IF($A25="","",SUMIFS(销售录入!$S$5:$S$404,销售录入!$E$5:$E$404,$A25,销售录入!$C$5:$C$404,首页!$B$5))</f>
        <v/>
      </c>
      <c r="J25" s="65" t="str">
        <f aca="false">IF($A25="","",$D25+$F25-$H25)</f>
        <v/>
      </c>
      <c r="K25" s="44" t="str">
        <f aca="false">IF($A25="","",$E25+$G25-$I25)</f>
        <v/>
      </c>
      <c r="L25" s="44" t="str">
        <f aca="false">IF(OR($A25="",$J25=0),"",$K25/$J25)</f>
        <v/>
      </c>
      <c r="M25" s="54" t="str">
        <f aca="false">IF($A25="","",SUMIFS(销售录入!$O$5:$O$404,销售录入!$E$5:$E$404,$A25,销售录入!$C$5:$C$404,首页!$B$5))</f>
        <v/>
      </c>
      <c r="N25" s="44" t="str">
        <f aca="false">IF($A25="","",$M25-$I25)</f>
        <v/>
      </c>
      <c r="O25" s="63" t="str">
        <f aca="false">IF(OR($A25="",$M25=0),"",$N25/$M25)</f>
        <v/>
      </c>
      <c r="P25" s="47" t="str">
        <f aca="false">IF($A25="","",IF($J25&lt;0,"⚠ 负库存",IF(AND($J25=0,ABS($K25)&gt;0.01),"⚠ 有金额无数量",IF(AND($J25&gt;0,$K25&lt;0),"⚠ 金额为负",IF($N25&lt;0,"⚠ 毛利为负","正常")))))</f>
        <v/>
      </c>
    </row>
    <row r="26" customFormat="false" ht="15.75" hidden="false" customHeight="true" outlineLevel="0" collapsed="false">
      <c r="A26" s="35" t="str">
        <f aca="false">IF(基础资料!$Q26="","",基础资料!$Q26)</f>
        <v/>
      </c>
      <c r="B26" s="42" t="str">
        <f aca="false">IF($A26="","",基础资料!$R26)</f>
        <v/>
      </c>
      <c r="C26" s="42" t="str">
        <f aca="false">IF($A26="","",基础资料!$S26)</f>
        <v/>
      </c>
      <c r="D26" s="64" t="str">
        <f aca="false">IF($A26="","",SUMIFS(期初数据!$R$6:$R$205,期初数据!$O$6:$O$205,$A26)+SUMIFS(采购录入!$F$5:$F$404,采购录入!$E$5:$E$404,$A26,采购录入!$I$5:$I$404,"是",采购录入!$B$5:$B$404,"&lt;"&amp;首页!$B$6)-SUMIFS(销售录入!$F$5:$F$404,销售录入!$E$5:$E$404,$A26,销售录入!$B$5:$B$404,"&lt;"&amp;首页!$B$6))</f>
        <v/>
      </c>
      <c r="E26" s="54" t="str">
        <f aca="false">IF($A26="","",SUMIFS(期初数据!$T$6:$T$205,期初数据!$O$6:$O$205,$A26)+SUMIFS(采购录入!$Q$5:$Q$404,采购录入!$E$5:$E$404,$A26,采购录入!$I$5:$I$404,"是",采购录入!$B$5:$B$404,"&lt;"&amp;首页!$B$6)-SUMIFS(销售录入!$S$5:$S$404,销售录入!$E$5:$E$404,$A26,销售录入!$B$5:$B$404,"&lt;"&amp;首页!$B$6))</f>
        <v/>
      </c>
      <c r="F26" s="64" t="str">
        <f aca="false">IF($A26="","",SUMIFS(采购录入!$F$5:$F$404,采购录入!$E$5:$E$404,$A26,采购录入!$I$5:$I$404,"是",采购录入!$C$5:$C$404,首页!$B$5))</f>
        <v/>
      </c>
      <c r="G26" s="54" t="str">
        <f aca="false">IF($A26="","",SUMIFS(采购录入!$Q$5:$Q$404,采购录入!$E$5:$E$404,$A26,采购录入!$I$5:$I$404,"是",采购录入!$C$5:$C$404,首页!$B$5))</f>
        <v/>
      </c>
      <c r="H26" s="64" t="str">
        <f aca="false">IF($A26="","",SUMIFS(销售录入!$F$5:$F$404,销售录入!$E$5:$E$404,$A26,销售录入!$C$5:$C$404,首页!$B$5))</f>
        <v/>
      </c>
      <c r="I26" s="54" t="str">
        <f aca="false">IF($A26="","",SUMIFS(销售录入!$S$5:$S$404,销售录入!$E$5:$E$404,$A26,销售录入!$C$5:$C$404,首页!$B$5))</f>
        <v/>
      </c>
      <c r="J26" s="65" t="str">
        <f aca="false">IF($A26="","",$D26+$F26-$H26)</f>
        <v/>
      </c>
      <c r="K26" s="44" t="str">
        <f aca="false">IF($A26="","",$E26+$G26-$I26)</f>
        <v/>
      </c>
      <c r="L26" s="44" t="str">
        <f aca="false">IF(OR($A26="",$J26=0),"",$K26/$J26)</f>
        <v/>
      </c>
      <c r="M26" s="54" t="str">
        <f aca="false">IF($A26="","",SUMIFS(销售录入!$O$5:$O$404,销售录入!$E$5:$E$404,$A26,销售录入!$C$5:$C$404,首页!$B$5))</f>
        <v/>
      </c>
      <c r="N26" s="44" t="str">
        <f aca="false">IF($A26="","",$M26-$I26)</f>
        <v/>
      </c>
      <c r="O26" s="63" t="str">
        <f aca="false">IF(OR($A26="",$M26=0),"",$N26/$M26)</f>
        <v/>
      </c>
      <c r="P26" s="47" t="str">
        <f aca="false">IF($A26="","",IF($J26&lt;0,"⚠ 负库存",IF(AND($J26=0,ABS($K26)&gt;0.01),"⚠ 有金额无数量",IF(AND($J26&gt;0,$K26&lt;0),"⚠ 金额为负",IF($N26&lt;0,"⚠ 毛利为负","正常")))))</f>
        <v/>
      </c>
    </row>
    <row r="27" customFormat="false" ht="15.75" hidden="false" customHeight="true" outlineLevel="0" collapsed="false">
      <c r="A27" s="35" t="str">
        <f aca="false">IF(基础资料!$Q27="","",基础资料!$Q27)</f>
        <v/>
      </c>
      <c r="B27" s="42" t="str">
        <f aca="false">IF($A27="","",基础资料!$R27)</f>
        <v/>
      </c>
      <c r="C27" s="42" t="str">
        <f aca="false">IF($A27="","",基础资料!$S27)</f>
        <v/>
      </c>
      <c r="D27" s="64" t="str">
        <f aca="false">IF($A27="","",SUMIFS(期初数据!$R$6:$R$205,期初数据!$O$6:$O$205,$A27)+SUMIFS(采购录入!$F$5:$F$404,采购录入!$E$5:$E$404,$A27,采购录入!$I$5:$I$404,"是",采购录入!$B$5:$B$404,"&lt;"&amp;首页!$B$6)-SUMIFS(销售录入!$F$5:$F$404,销售录入!$E$5:$E$404,$A27,销售录入!$B$5:$B$404,"&lt;"&amp;首页!$B$6))</f>
        <v/>
      </c>
      <c r="E27" s="54" t="str">
        <f aca="false">IF($A27="","",SUMIFS(期初数据!$T$6:$T$205,期初数据!$O$6:$O$205,$A27)+SUMIFS(采购录入!$Q$5:$Q$404,采购录入!$E$5:$E$404,$A27,采购录入!$I$5:$I$404,"是",采购录入!$B$5:$B$404,"&lt;"&amp;首页!$B$6)-SUMIFS(销售录入!$S$5:$S$404,销售录入!$E$5:$E$404,$A27,销售录入!$B$5:$B$404,"&lt;"&amp;首页!$B$6))</f>
        <v/>
      </c>
      <c r="F27" s="64" t="str">
        <f aca="false">IF($A27="","",SUMIFS(采购录入!$F$5:$F$404,采购录入!$E$5:$E$404,$A27,采购录入!$I$5:$I$404,"是",采购录入!$C$5:$C$404,首页!$B$5))</f>
        <v/>
      </c>
      <c r="G27" s="54" t="str">
        <f aca="false">IF($A27="","",SUMIFS(采购录入!$Q$5:$Q$404,采购录入!$E$5:$E$404,$A27,采购录入!$I$5:$I$404,"是",采购录入!$C$5:$C$404,首页!$B$5))</f>
        <v/>
      </c>
      <c r="H27" s="64" t="str">
        <f aca="false">IF($A27="","",SUMIFS(销售录入!$F$5:$F$404,销售录入!$E$5:$E$404,$A27,销售录入!$C$5:$C$404,首页!$B$5))</f>
        <v/>
      </c>
      <c r="I27" s="54" t="str">
        <f aca="false">IF($A27="","",SUMIFS(销售录入!$S$5:$S$404,销售录入!$E$5:$E$404,$A27,销售录入!$C$5:$C$404,首页!$B$5))</f>
        <v/>
      </c>
      <c r="J27" s="65" t="str">
        <f aca="false">IF($A27="","",$D27+$F27-$H27)</f>
        <v/>
      </c>
      <c r="K27" s="44" t="str">
        <f aca="false">IF($A27="","",$E27+$G27-$I27)</f>
        <v/>
      </c>
      <c r="L27" s="44" t="str">
        <f aca="false">IF(OR($A27="",$J27=0),"",$K27/$J27)</f>
        <v/>
      </c>
      <c r="M27" s="54" t="str">
        <f aca="false">IF($A27="","",SUMIFS(销售录入!$O$5:$O$404,销售录入!$E$5:$E$404,$A27,销售录入!$C$5:$C$404,首页!$B$5))</f>
        <v/>
      </c>
      <c r="N27" s="44" t="str">
        <f aca="false">IF($A27="","",$M27-$I27)</f>
        <v/>
      </c>
      <c r="O27" s="63" t="str">
        <f aca="false">IF(OR($A27="",$M27=0),"",$N27/$M27)</f>
        <v/>
      </c>
      <c r="P27" s="47" t="str">
        <f aca="false">IF($A27="","",IF($J27&lt;0,"⚠ 负库存",IF(AND($J27=0,ABS($K27)&gt;0.01),"⚠ 有金额无数量",IF(AND($J27&gt;0,$K27&lt;0),"⚠ 金额为负",IF($N27&lt;0,"⚠ 毛利为负","正常")))))</f>
        <v/>
      </c>
    </row>
    <row r="28" customFormat="false" ht="15.75" hidden="false" customHeight="true" outlineLevel="0" collapsed="false">
      <c r="A28" s="35" t="str">
        <f aca="false">IF(基础资料!$Q28="","",基础资料!$Q28)</f>
        <v/>
      </c>
      <c r="B28" s="42" t="str">
        <f aca="false">IF($A28="","",基础资料!$R28)</f>
        <v/>
      </c>
      <c r="C28" s="42" t="str">
        <f aca="false">IF($A28="","",基础资料!$S28)</f>
        <v/>
      </c>
      <c r="D28" s="64" t="str">
        <f aca="false">IF($A28="","",SUMIFS(期初数据!$R$6:$R$205,期初数据!$O$6:$O$205,$A28)+SUMIFS(采购录入!$F$5:$F$404,采购录入!$E$5:$E$404,$A28,采购录入!$I$5:$I$404,"是",采购录入!$B$5:$B$404,"&lt;"&amp;首页!$B$6)-SUMIFS(销售录入!$F$5:$F$404,销售录入!$E$5:$E$404,$A28,销售录入!$B$5:$B$404,"&lt;"&amp;首页!$B$6))</f>
        <v/>
      </c>
      <c r="E28" s="54" t="str">
        <f aca="false">IF($A28="","",SUMIFS(期初数据!$T$6:$T$205,期初数据!$O$6:$O$205,$A28)+SUMIFS(采购录入!$Q$5:$Q$404,采购录入!$E$5:$E$404,$A28,采购录入!$I$5:$I$404,"是",采购录入!$B$5:$B$404,"&lt;"&amp;首页!$B$6)-SUMIFS(销售录入!$S$5:$S$404,销售录入!$E$5:$E$404,$A28,销售录入!$B$5:$B$404,"&lt;"&amp;首页!$B$6))</f>
        <v/>
      </c>
      <c r="F28" s="64" t="str">
        <f aca="false">IF($A28="","",SUMIFS(采购录入!$F$5:$F$404,采购录入!$E$5:$E$404,$A28,采购录入!$I$5:$I$404,"是",采购录入!$C$5:$C$404,首页!$B$5))</f>
        <v/>
      </c>
      <c r="G28" s="54" t="str">
        <f aca="false">IF($A28="","",SUMIFS(采购录入!$Q$5:$Q$404,采购录入!$E$5:$E$404,$A28,采购录入!$I$5:$I$404,"是",采购录入!$C$5:$C$404,首页!$B$5))</f>
        <v/>
      </c>
      <c r="H28" s="64" t="str">
        <f aca="false">IF($A28="","",SUMIFS(销售录入!$F$5:$F$404,销售录入!$E$5:$E$404,$A28,销售录入!$C$5:$C$404,首页!$B$5))</f>
        <v/>
      </c>
      <c r="I28" s="54" t="str">
        <f aca="false">IF($A28="","",SUMIFS(销售录入!$S$5:$S$404,销售录入!$E$5:$E$404,$A28,销售录入!$C$5:$C$404,首页!$B$5))</f>
        <v/>
      </c>
      <c r="J28" s="65" t="str">
        <f aca="false">IF($A28="","",$D28+$F28-$H28)</f>
        <v/>
      </c>
      <c r="K28" s="44" t="str">
        <f aca="false">IF($A28="","",$E28+$G28-$I28)</f>
        <v/>
      </c>
      <c r="L28" s="44" t="str">
        <f aca="false">IF(OR($A28="",$J28=0),"",$K28/$J28)</f>
        <v/>
      </c>
      <c r="M28" s="54" t="str">
        <f aca="false">IF($A28="","",SUMIFS(销售录入!$O$5:$O$404,销售录入!$E$5:$E$404,$A28,销售录入!$C$5:$C$404,首页!$B$5))</f>
        <v/>
      </c>
      <c r="N28" s="44" t="str">
        <f aca="false">IF($A28="","",$M28-$I28)</f>
        <v/>
      </c>
      <c r="O28" s="63" t="str">
        <f aca="false">IF(OR($A28="",$M28=0),"",$N28/$M28)</f>
        <v/>
      </c>
      <c r="P28" s="47" t="str">
        <f aca="false">IF($A28="","",IF($J28&lt;0,"⚠ 负库存",IF(AND($J28=0,ABS($K28)&gt;0.01),"⚠ 有金额无数量",IF(AND($J28&gt;0,$K28&lt;0),"⚠ 金额为负",IF($N28&lt;0,"⚠ 毛利为负","正常")))))</f>
        <v/>
      </c>
    </row>
    <row r="29" customFormat="false" ht="15.75" hidden="false" customHeight="true" outlineLevel="0" collapsed="false">
      <c r="A29" s="35" t="str">
        <f aca="false">IF(基础资料!$Q29="","",基础资料!$Q29)</f>
        <v/>
      </c>
      <c r="B29" s="42" t="str">
        <f aca="false">IF($A29="","",基础资料!$R29)</f>
        <v/>
      </c>
      <c r="C29" s="42" t="str">
        <f aca="false">IF($A29="","",基础资料!$S29)</f>
        <v/>
      </c>
      <c r="D29" s="64" t="str">
        <f aca="false">IF($A29="","",SUMIFS(期初数据!$R$6:$R$205,期初数据!$O$6:$O$205,$A29)+SUMIFS(采购录入!$F$5:$F$404,采购录入!$E$5:$E$404,$A29,采购录入!$I$5:$I$404,"是",采购录入!$B$5:$B$404,"&lt;"&amp;首页!$B$6)-SUMIFS(销售录入!$F$5:$F$404,销售录入!$E$5:$E$404,$A29,销售录入!$B$5:$B$404,"&lt;"&amp;首页!$B$6))</f>
        <v/>
      </c>
      <c r="E29" s="54" t="str">
        <f aca="false">IF($A29="","",SUMIFS(期初数据!$T$6:$T$205,期初数据!$O$6:$O$205,$A29)+SUMIFS(采购录入!$Q$5:$Q$404,采购录入!$E$5:$E$404,$A29,采购录入!$I$5:$I$404,"是",采购录入!$B$5:$B$404,"&lt;"&amp;首页!$B$6)-SUMIFS(销售录入!$S$5:$S$404,销售录入!$E$5:$E$404,$A29,销售录入!$B$5:$B$404,"&lt;"&amp;首页!$B$6))</f>
        <v/>
      </c>
      <c r="F29" s="64" t="str">
        <f aca="false">IF($A29="","",SUMIFS(采购录入!$F$5:$F$404,采购录入!$E$5:$E$404,$A29,采购录入!$I$5:$I$404,"是",采购录入!$C$5:$C$404,首页!$B$5))</f>
        <v/>
      </c>
      <c r="G29" s="54" t="str">
        <f aca="false">IF($A29="","",SUMIFS(采购录入!$Q$5:$Q$404,采购录入!$E$5:$E$404,$A29,采购录入!$I$5:$I$404,"是",采购录入!$C$5:$C$404,首页!$B$5))</f>
        <v/>
      </c>
      <c r="H29" s="64" t="str">
        <f aca="false">IF($A29="","",SUMIFS(销售录入!$F$5:$F$404,销售录入!$E$5:$E$404,$A29,销售录入!$C$5:$C$404,首页!$B$5))</f>
        <v/>
      </c>
      <c r="I29" s="54" t="str">
        <f aca="false">IF($A29="","",SUMIFS(销售录入!$S$5:$S$404,销售录入!$E$5:$E$404,$A29,销售录入!$C$5:$C$404,首页!$B$5))</f>
        <v/>
      </c>
      <c r="J29" s="65" t="str">
        <f aca="false">IF($A29="","",$D29+$F29-$H29)</f>
        <v/>
      </c>
      <c r="K29" s="44" t="str">
        <f aca="false">IF($A29="","",$E29+$G29-$I29)</f>
        <v/>
      </c>
      <c r="L29" s="44" t="str">
        <f aca="false">IF(OR($A29="",$J29=0),"",$K29/$J29)</f>
        <v/>
      </c>
      <c r="M29" s="54" t="str">
        <f aca="false">IF($A29="","",SUMIFS(销售录入!$O$5:$O$404,销售录入!$E$5:$E$404,$A29,销售录入!$C$5:$C$404,首页!$B$5))</f>
        <v/>
      </c>
      <c r="N29" s="44" t="str">
        <f aca="false">IF($A29="","",$M29-$I29)</f>
        <v/>
      </c>
      <c r="O29" s="63" t="str">
        <f aca="false">IF(OR($A29="",$M29=0),"",$N29/$M29)</f>
        <v/>
      </c>
      <c r="P29" s="47" t="str">
        <f aca="false">IF($A29="","",IF($J29&lt;0,"⚠ 负库存",IF(AND($J29=0,ABS($K29)&gt;0.01),"⚠ 有金额无数量",IF(AND($J29&gt;0,$K29&lt;0),"⚠ 金额为负",IF($N29&lt;0,"⚠ 毛利为负","正常")))))</f>
        <v/>
      </c>
    </row>
    <row r="30" customFormat="false" ht="15.75" hidden="false" customHeight="true" outlineLevel="0" collapsed="false">
      <c r="A30" s="35" t="str">
        <f aca="false">IF(基础资料!$Q30="","",基础资料!$Q30)</f>
        <v/>
      </c>
      <c r="B30" s="42" t="str">
        <f aca="false">IF($A30="","",基础资料!$R30)</f>
        <v/>
      </c>
      <c r="C30" s="42" t="str">
        <f aca="false">IF($A30="","",基础资料!$S30)</f>
        <v/>
      </c>
      <c r="D30" s="64" t="str">
        <f aca="false">IF($A30="","",SUMIFS(期初数据!$R$6:$R$205,期初数据!$O$6:$O$205,$A30)+SUMIFS(采购录入!$F$5:$F$404,采购录入!$E$5:$E$404,$A30,采购录入!$I$5:$I$404,"是",采购录入!$B$5:$B$404,"&lt;"&amp;首页!$B$6)-SUMIFS(销售录入!$F$5:$F$404,销售录入!$E$5:$E$404,$A30,销售录入!$B$5:$B$404,"&lt;"&amp;首页!$B$6))</f>
        <v/>
      </c>
      <c r="E30" s="54" t="str">
        <f aca="false">IF($A30="","",SUMIFS(期初数据!$T$6:$T$205,期初数据!$O$6:$O$205,$A30)+SUMIFS(采购录入!$Q$5:$Q$404,采购录入!$E$5:$E$404,$A30,采购录入!$I$5:$I$404,"是",采购录入!$B$5:$B$404,"&lt;"&amp;首页!$B$6)-SUMIFS(销售录入!$S$5:$S$404,销售录入!$E$5:$E$404,$A30,销售录入!$B$5:$B$404,"&lt;"&amp;首页!$B$6))</f>
        <v/>
      </c>
      <c r="F30" s="64" t="str">
        <f aca="false">IF($A30="","",SUMIFS(采购录入!$F$5:$F$404,采购录入!$E$5:$E$404,$A30,采购录入!$I$5:$I$404,"是",采购录入!$C$5:$C$404,首页!$B$5))</f>
        <v/>
      </c>
      <c r="G30" s="54" t="str">
        <f aca="false">IF($A30="","",SUMIFS(采购录入!$Q$5:$Q$404,采购录入!$E$5:$E$404,$A30,采购录入!$I$5:$I$404,"是",采购录入!$C$5:$C$404,首页!$B$5))</f>
        <v/>
      </c>
      <c r="H30" s="64" t="str">
        <f aca="false">IF($A30="","",SUMIFS(销售录入!$F$5:$F$404,销售录入!$E$5:$E$404,$A30,销售录入!$C$5:$C$404,首页!$B$5))</f>
        <v/>
      </c>
      <c r="I30" s="54" t="str">
        <f aca="false">IF($A30="","",SUMIFS(销售录入!$S$5:$S$404,销售录入!$E$5:$E$404,$A30,销售录入!$C$5:$C$404,首页!$B$5))</f>
        <v/>
      </c>
      <c r="J30" s="65" t="str">
        <f aca="false">IF($A30="","",$D30+$F30-$H30)</f>
        <v/>
      </c>
      <c r="K30" s="44" t="str">
        <f aca="false">IF($A30="","",$E30+$G30-$I30)</f>
        <v/>
      </c>
      <c r="L30" s="44" t="str">
        <f aca="false">IF(OR($A30="",$J30=0),"",$K30/$J30)</f>
        <v/>
      </c>
      <c r="M30" s="54" t="str">
        <f aca="false">IF($A30="","",SUMIFS(销售录入!$O$5:$O$404,销售录入!$E$5:$E$404,$A30,销售录入!$C$5:$C$404,首页!$B$5))</f>
        <v/>
      </c>
      <c r="N30" s="44" t="str">
        <f aca="false">IF($A30="","",$M30-$I30)</f>
        <v/>
      </c>
      <c r="O30" s="63" t="str">
        <f aca="false">IF(OR($A30="",$M30=0),"",$N30/$M30)</f>
        <v/>
      </c>
      <c r="P30" s="47" t="str">
        <f aca="false">IF($A30="","",IF($J30&lt;0,"⚠ 负库存",IF(AND($J30=0,ABS($K30)&gt;0.01),"⚠ 有金额无数量",IF(AND($J30&gt;0,$K30&lt;0),"⚠ 金额为负",IF($N30&lt;0,"⚠ 毛利为负","正常")))))</f>
        <v/>
      </c>
    </row>
    <row r="31" customFormat="false" ht="15.75" hidden="false" customHeight="true" outlineLevel="0" collapsed="false">
      <c r="A31" s="35" t="str">
        <f aca="false">IF(基础资料!$Q31="","",基础资料!$Q31)</f>
        <v/>
      </c>
      <c r="B31" s="42" t="str">
        <f aca="false">IF($A31="","",基础资料!$R31)</f>
        <v/>
      </c>
      <c r="C31" s="42" t="str">
        <f aca="false">IF($A31="","",基础资料!$S31)</f>
        <v/>
      </c>
      <c r="D31" s="64" t="str">
        <f aca="false">IF($A31="","",SUMIFS(期初数据!$R$6:$R$205,期初数据!$O$6:$O$205,$A31)+SUMIFS(采购录入!$F$5:$F$404,采购录入!$E$5:$E$404,$A31,采购录入!$I$5:$I$404,"是",采购录入!$B$5:$B$404,"&lt;"&amp;首页!$B$6)-SUMIFS(销售录入!$F$5:$F$404,销售录入!$E$5:$E$404,$A31,销售录入!$B$5:$B$404,"&lt;"&amp;首页!$B$6))</f>
        <v/>
      </c>
      <c r="E31" s="54" t="str">
        <f aca="false">IF($A31="","",SUMIFS(期初数据!$T$6:$T$205,期初数据!$O$6:$O$205,$A31)+SUMIFS(采购录入!$Q$5:$Q$404,采购录入!$E$5:$E$404,$A31,采购录入!$I$5:$I$404,"是",采购录入!$B$5:$B$404,"&lt;"&amp;首页!$B$6)-SUMIFS(销售录入!$S$5:$S$404,销售录入!$E$5:$E$404,$A31,销售录入!$B$5:$B$404,"&lt;"&amp;首页!$B$6))</f>
        <v/>
      </c>
      <c r="F31" s="64" t="str">
        <f aca="false">IF($A31="","",SUMIFS(采购录入!$F$5:$F$404,采购录入!$E$5:$E$404,$A31,采购录入!$I$5:$I$404,"是",采购录入!$C$5:$C$404,首页!$B$5))</f>
        <v/>
      </c>
      <c r="G31" s="54" t="str">
        <f aca="false">IF($A31="","",SUMIFS(采购录入!$Q$5:$Q$404,采购录入!$E$5:$E$404,$A31,采购录入!$I$5:$I$404,"是",采购录入!$C$5:$C$404,首页!$B$5))</f>
        <v/>
      </c>
      <c r="H31" s="64" t="str">
        <f aca="false">IF($A31="","",SUMIFS(销售录入!$F$5:$F$404,销售录入!$E$5:$E$404,$A31,销售录入!$C$5:$C$404,首页!$B$5))</f>
        <v/>
      </c>
      <c r="I31" s="54" t="str">
        <f aca="false">IF($A31="","",SUMIFS(销售录入!$S$5:$S$404,销售录入!$E$5:$E$404,$A31,销售录入!$C$5:$C$404,首页!$B$5))</f>
        <v/>
      </c>
      <c r="J31" s="65" t="str">
        <f aca="false">IF($A31="","",$D31+$F31-$H31)</f>
        <v/>
      </c>
      <c r="K31" s="44" t="str">
        <f aca="false">IF($A31="","",$E31+$G31-$I31)</f>
        <v/>
      </c>
      <c r="L31" s="44" t="str">
        <f aca="false">IF(OR($A31="",$J31=0),"",$K31/$J31)</f>
        <v/>
      </c>
      <c r="M31" s="54" t="str">
        <f aca="false">IF($A31="","",SUMIFS(销售录入!$O$5:$O$404,销售录入!$E$5:$E$404,$A31,销售录入!$C$5:$C$404,首页!$B$5))</f>
        <v/>
      </c>
      <c r="N31" s="44" t="str">
        <f aca="false">IF($A31="","",$M31-$I31)</f>
        <v/>
      </c>
      <c r="O31" s="63" t="str">
        <f aca="false">IF(OR($A31="",$M31=0),"",$N31/$M31)</f>
        <v/>
      </c>
      <c r="P31" s="47" t="str">
        <f aca="false">IF($A31="","",IF($J31&lt;0,"⚠ 负库存",IF(AND($J31=0,ABS($K31)&gt;0.01),"⚠ 有金额无数量",IF(AND($J31&gt;0,$K31&lt;0),"⚠ 金额为负",IF($N31&lt;0,"⚠ 毛利为负","正常")))))</f>
        <v/>
      </c>
    </row>
    <row r="32" customFormat="false" ht="15.75" hidden="false" customHeight="true" outlineLevel="0" collapsed="false">
      <c r="A32" s="35" t="str">
        <f aca="false">IF(基础资料!$Q32="","",基础资料!$Q32)</f>
        <v/>
      </c>
      <c r="B32" s="42" t="str">
        <f aca="false">IF($A32="","",基础资料!$R32)</f>
        <v/>
      </c>
      <c r="C32" s="42" t="str">
        <f aca="false">IF($A32="","",基础资料!$S32)</f>
        <v/>
      </c>
      <c r="D32" s="64" t="str">
        <f aca="false">IF($A32="","",SUMIFS(期初数据!$R$6:$R$205,期初数据!$O$6:$O$205,$A32)+SUMIFS(采购录入!$F$5:$F$404,采购录入!$E$5:$E$404,$A32,采购录入!$I$5:$I$404,"是",采购录入!$B$5:$B$404,"&lt;"&amp;首页!$B$6)-SUMIFS(销售录入!$F$5:$F$404,销售录入!$E$5:$E$404,$A32,销售录入!$B$5:$B$404,"&lt;"&amp;首页!$B$6))</f>
        <v/>
      </c>
      <c r="E32" s="54" t="str">
        <f aca="false">IF($A32="","",SUMIFS(期初数据!$T$6:$T$205,期初数据!$O$6:$O$205,$A32)+SUMIFS(采购录入!$Q$5:$Q$404,采购录入!$E$5:$E$404,$A32,采购录入!$I$5:$I$404,"是",采购录入!$B$5:$B$404,"&lt;"&amp;首页!$B$6)-SUMIFS(销售录入!$S$5:$S$404,销售录入!$E$5:$E$404,$A32,销售录入!$B$5:$B$404,"&lt;"&amp;首页!$B$6))</f>
        <v/>
      </c>
      <c r="F32" s="64" t="str">
        <f aca="false">IF($A32="","",SUMIFS(采购录入!$F$5:$F$404,采购录入!$E$5:$E$404,$A32,采购录入!$I$5:$I$404,"是",采购录入!$C$5:$C$404,首页!$B$5))</f>
        <v/>
      </c>
      <c r="G32" s="54" t="str">
        <f aca="false">IF($A32="","",SUMIFS(采购录入!$Q$5:$Q$404,采购录入!$E$5:$E$404,$A32,采购录入!$I$5:$I$404,"是",采购录入!$C$5:$C$404,首页!$B$5))</f>
        <v/>
      </c>
      <c r="H32" s="64" t="str">
        <f aca="false">IF($A32="","",SUMIFS(销售录入!$F$5:$F$404,销售录入!$E$5:$E$404,$A32,销售录入!$C$5:$C$404,首页!$B$5))</f>
        <v/>
      </c>
      <c r="I32" s="54" t="str">
        <f aca="false">IF($A32="","",SUMIFS(销售录入!$S$5:$S$404,销售录入!$E$5:$E$404,$A32,销售录入!$C$5:$C$404,首页!$B$5))</f>
        <v/>
      </c>
      <c r="J32" s="65" t="str">
        <f aca="false">IF($A32="","",$D32+$F32-$H32)</f>
        <v/>
      </c>
      <c r="K32" s="44" t="str">
        <f aca="false">IF($A32="","",$E32+$G32-$I32)</f>
        <v/>
      </c>
      <c r="L32" s="44" t="str">
        <f aca="false">IF(OR($A32="",$J32=0),"",$K32/$J32)</f>
        <v/>
      </c>
      <c r="M32" s="54" t="str">
        <f aca="false">IF($A32="","",SUMIFS(销售录入!$O$5:$O$404,销售录入!$E$5:$E$404,$A32,销售录入!$C$5:$C$404,首页!$B$5))</f>
        <v/>
      </c>
      <c r="N32" s="44" t="str">
        <f aca="false">IF($A32="","",$M32-$I32)</f>
        <v/>
      </c>
      <c r="O32" s="63" t="str">
        <f aca="false">IF(OR($A32="",$M32=0),"",$N32/$M32)</f>
        <v/>
      </c>
      <c r="P32" s="47" t="str">
        <f aca="false">IF($A32="","",IF($J32&lt;0,"⚠ 负库存",IF(AND($J32=0,ABS($K32)&gt;0.01),"⚠ 有金额无数量",IF(AND($J32&gt;0,$K32&lt;0),"⚠ 金额为负",IF($N32&lt;0,"⚠ 毛利为负","正常")))))</f>
        <v/>
      </c>
    </row>
    <row r="33" customFormat="false" ht="15.75" hidden="false" customHeight="true" outlineLevel="0" collapsed="false">
      <c r="A33" s="35" t="str">
        <f aca="false">IF(基础资料!$Q33="","",基础资料!$Q33)</f>
        <v/>
      </c>
      <c r="B33" s="42" t="str">
        <f aca="false">IF($A33="","",基础资料!$R33)</f>
        <v/>
      </c>
      <c r="C33" s="42" t="str">
        <f aca="false">IF($A33="","",基础资料!$S33)</f>
        <v/>
      </c>
      <c r="D33" s="64" t="str">
        <f aca="false">IF($A33="","",SUMIFS(期初数据!$R$6:$R$205,期初数据!$O$6:$O$205,$A33)+SUMIFS(采购录入!$F$5:$F$404,采购录入!$E$5:$E$404,$A33,采购录入!$I$5:$I$404,"是",采购录入!$B$5:$B$404,"&lt;"&amp;首页!$B$6)-SUMIFS(销售录入!$F$5:$F$404,销售录入!$E$5:$E$404,$A33,销售录入!$B$5:$B$404,"&lt;"&amp;首页!$B$6))</f>
        <v/>
      </c>
      <c r="E33" s="54" t="str">
        <f aca="false">IF($A33="","",SUMIFS(期初数据!$T$6:$T$205,期初数据!$O$6:$O$205,$A33)+SUMIFS(采购录入!$Q$5:$Q$404,采购录入!$E$5:$E$404,$A33,采购录入!$I$5:$I$404,"是",采购录入!$B$5:$B$404,"&lt;"&amp;首页!$B$6)-SUMIFS(销售录入!$S$5:$S$404,销售录入!$E$5:$E$404,$A33,销售录入!$B$5:$B$404,"&lt;"&amp;首页!$B$6))</f>
        <v/>
      </c>
      <c r="F33" s="64" t="str">
        <f aca="false">IF($A33="","",SUMIFS(采购录入!$F$5:$F$404,采购录入!$E$5:$E$404,$A33,采购录入!$I$5:$I$404,"是",采购录入!$C$5:$C$404,首页!$B$5))</f>
        <v/>
      </c>
      <c r="G33" s="54" t="str">
        <f aca="false">IF($A33="","",SUMIFS(采购录入!$Q$5:$Q$404,采购录入!$E$5:$E$404,$A33,采购录入!$I$5:$I$404,"是",采购录入!$C$5:$C$404,首页!$B$5))</f>
        <v/>
      </c>
      <c r="H33" s="64" t="str">
        <f aca="false">IF($A33="","",SUMIFS(销售录入!$F$5:$F$404,销售录入!$E$5:$E$404,$A33,销售录入!$C$5:$C$404,首页!$B$5))</f>
        <v/>
      </c>
      <c r="I33" s="54" t="str">
        <f aca="false">IF($A33="","",SUMIFS(销售录入!$S$5:$S$404,销售录入!$E$5:$E$404,$A33,销售录入!$C$5:$C$404,首页!$B$5))</f>
        <v/>
      </c>
      <c r="J33" s="65" t="str">
        <f aca="false">IF($A33="","",$D33+$F33-$H33)</f>
        <v/>
      </c>
      <c r="K33" s="44" t="str">
        <f aca="false">IF($A33="","",$E33+$G33-$I33)</f>
        <v/>
      </c>
      <c r="L33" s="44" t="str">
        <f aca="false">IF(OR($A33="",$J33=0),"",$K33/$J33)</f>
        <v/>
      </c>
      <c r="M33" s="54" t="str">
        <f aca="false">IF($A33="","",SUMIFS(销售录入!$O$5:$O$404,销售录入!$E$5:$E$404,$A33,销售录入!$C$5:$C$404,首页!$B$5))</f>
        <v/>
      </c>
      <c r="N33" s="44" t="str">
        <f aca="false">IF($A33="","",$M33-$I33)</f>
        <v/>
      </c>
      <c r="O33" s="63" t="str">
        <f aca="false">IF(OR($A33="",$M33=0),"",$N33/$M33)</f>
        <v/>
      </c>
      <c r="P33" s="47" t="str">
        <f aca="false">IF($A33="","",IF($J33&lt;0,"⚠ 负库存",IF(AND($J33=0,ABS($K33)&gt;0.01),"⚠ 有金额无数量",IF(AND($J33&gt;0,$K33&lt;0),"⚠ 金额为负",IF($N33&lt;0,"⚠ 毛利为负","正常")))))</f>
        <v/>
      </c>
    </row>
    <row r="34" customFormat="false" ht="15.75" hidden="false" customHeight="true" outlineLevel="0" collapsed="false">
      <c r="A34" s="35" t="str">
        <f aca="false">IF(基础资料!$Q34="","",基础资料!$Q34)</f>
        <v/>
      </c>
      <c r="B34" s="42" t="str">
        <f aca="false">IF($A34="","",基础资料!$R34)</f>
        <v/>
      </c>
      <c r="C34" s="42" t="str">
        <f aca="false">IF($A34="","",基础资料!$S34)</f>
        <v/>
      </c>
      <c r="D34" s="64" t="str">
        <f aca="false">IF($A34="","",SUMIFS(期初数据!$R$6:$R$205,期初数据!$O$6:$O$205,$A34)+SUMIFS(采购录入!$F$5:$F$404,采购录入!$E$5:$E$404,$A34,采购录入!$I$5:$I$404,"是",采购录入!$B$5:$B$404,"&lt;"&amp;首页!$B$6)-SUMIFS(销售录入!$F$5:$F$404,销售录入!$E$5:$E$404,$A34,销售录入!$B$5:$B$404,"&lt;"&amp;首页!$B$6))</f>
        <v/>
      </c>
      <c r="E34" s="54" t="str">
        <f aca="false">IF($A34="","",SUMIFS(期初数据!$T$6:$T$205,期初数据!$O$6:$O$205,$A34)+SUMIFS(采购录入!$Q$5:$Q$404,采购录入!$E$5:$E$404,$A34,采购录入!$I$5:$I$404,"是",采购录入!$B$5:$B$404,"&lt;"&amp;首页!$B$6)-SUMIFS(销售录入!$S$5:$S$404,销售录入!$E$5:$E$404,$A34,销售录入!$B$5:$B$404,"&lt;"&amp;首页!$B$6))</f>
        <v/>
      </c>
      <c r="F34" s="64" t="str">
        <f aca="false">IF($A34="","",SUMIFS(采购录入!$F$5:$F$404,采购录入!$E$5:$E$404,$A34,采购录入!$I$5:$I$404,"是",采购录入!$C$5:$C$404,首页!$B$5))</f>
        <v/>
      </c>
      <c r="G34" s="54" t="str">
        <f aca="false">IF($A34="","",SUMIFS(采购录入!$Q$5:$Q$404,采购录入!$E$5:$E$404,$A34,采购录入!$I$5:$I$404,"是",采购录入!$C$5:$C$404,首页!$B$5))</f>
        <v/>
      </c>
      <c r="H34" s="64" t="str">
        <f aca="false">IF($A34="","",SUMIFS(销售录入!$F$5:$F$404,销售录入!$E$5:$E$404,$A34,销售录入!$C$5:$C$404,首页!$B$5))</f>
        <v/>
      </c>
      <c r="I34" s="54" t="str">
        <f aca="false">IF($A34="","",SUMIFS(销售录入!$S$5:$S$404,销售录入!$E$5:$E$404,$A34,销售录入!$C$5:$C$404,首页!$B$5))</f>
        <v/>
      </c>
      <c r="J34" s="65" t="str">
        <f aca="false">IF($A34="","",$D34+$F34-$H34)</f>
        <v/>
      </c>
      <c r="K34" s="44" t="str">
        <f aca="false">IF($A34="","",$E34+$G34-$I34)</f>
        <v/>
      </c>
      <c r="L34" s="44" t="str">
        <f aca="false">IF(OR($A34="",$J34=0),"",$K34/$J34)</f>
        <v/>
      </c>
      <c r="M34" s="54" t="str">
        <f aca="false">IF($A34="","",SUMIFS(销售录入!$O$5:$O$404,销售录入!$E$5:$E$404,$A34,销售录入!$C$5:$C$404,首页!$B$5))</f>
        <v/>
      </c>
      <c r="N34" s="44" t="str">
        <f aca="false">IF($A34="","",$M34-$I34)</f>
        <v/>
      </c>
      <c r="O34" s="63" t="str">
        <f aca="false">IF(OR($A34="",$M34=0),"",$N34/$M34)</f>
        <v/>
      </c>
      <c r="P34" s="47" t="str">
        <f aca="false">IF($A34="","",IF($J34&lt;0,"⚠ 负库存",IF(AND($J34=0,ABS($K34)&gt;0.01),"⚠ 有金额无数量",IF(AND($J34&gt;0,$K34&lt;0),"⚠ 金额为负",IF($N34&lt;0,"⚠ 毛利为负","正常")))))</f>
        <v/>
      </c>
    </row>
    <row r="35" customFormat="false" ht="15.75" hidden="false" customHeight="true" outlineLevel="0" collapsed="false">
      <c r="A35" s="35" t="str">
        <f aca="false">IF(基础资料!$Q35="","",基础资料!$Q35)</f>
        <v/>
      </c>
      <c r="B35" s="42" t="str">
        <f aca="false">IF($A35="","",基础资料!$R35)</f>
        <v/>
      </c>
      <c r="C35" s="42" t="str">
        <f aca="false">IF($A35="","",基础资料!$S35)</f>
        <v/>
      </c>
      <c r="D35" s="64" t="str">
        <f aca="false">IF($A35="","",SUMIFS(期初数据!$R$6:$R$205,期初数据!$O$6:$O$205,$A35)+SUMIFS(采购录入!$F$5:$F$404,采购录入!$E$5:$E$404,$A35,采购录入!$I$5:$I$404,"是",采购录入!$B$5:$B$404,"&lt;"&amp;首页!$B$6)-SUMIFS(销售录入!$F$5:$F$404,销售录入!$E$5:$E$404,$A35,销售录入!$B$5:$B$404,"&lt;"&amp;首页!$B$6))</f>
        <v/>
      </c>
      <c r="E35" s="54" t="str">
        <f aca="false">IF($A35="","",SUMIFS(期初数据!$T$6:$T$205,期初数据!$O$6:$O$205,$A35)+SUMIFS(采购录入!$Q$5:$Q$404,采购录入!$E$5:$E$404,$A35,采购录入!$I$5:$I$404,"是",采购录入!$B$5:$B$404,"&lt;"&amp;首页!$B$6)-SUMIFS(销售录入!$S$5:$S$404,销售录入!$E$5:$E$404,$A35,销售录入!$B$5:$B$404,"&lt;"&amp;首页!$B$6))</f>
        <v/>
      </c>
      <c r="F35" s="64" t="str">
        <f aca="false">IF($A35="","",SUMIFS(采购录入!$F$5:$F$404,采购录入!$E$5:$E$404,$A35,采购录入!$I$5:$I$404,"是",采购录入!$C$5:$C$404,首页!$B$5))</f>
        <v/>
      </c>
      <c r="G35" s="54" t="str">
        <f aca="false">IF($A35="","",SUMIFS(采购录入!$Q$5:$Q$404,采购录入!$E$5:$E$404,$A35,采购录入!$I$5:$I$404,"是",采购录入!$C$5:$C$404,首页!$B$5))</f>
        <v/>
      </c>
      <c r="H35" s="64" t="str">
        <f aca="false">IF($A35="","",SUMIFS(销售录入!$F$5:$F$404,销售录入!$E$5:$E$404,$A35,销售录入!$C$5:$C$404,首页!$B$5))</f>
        <v/>
      </c>
      <c r="I35" s="54" t="str">
        <f aca="false">IF($A35="","",SUMIFS(销售录入!$S$5:$S$404,销售录入!$E$5:$E$404,$A35,销售录入!$C$5:$C$404,首页!$B$5))</f>
        <v/>
      </c>
      <c r="J35" s="65" t="str">
        <f aca="false">IF($A35="","",$D35+$F35-$H35)</f>
        <v/>
      </c>
      <c r="K35" s="44" t="str">
        <f aca="false">IF($A35="","",$E35+$G35-$I35)</f>
        <v/>
      </c>
      <c r="L35" s="44" t="str">
        <f aca="false">IF(OR($A35="",$J35=0),"",$K35/$J35)</f>
        <v/>
      </c>
      <c r="M35" s="54" t="str">
        <f aca="false">IF($A35="","",SUMIFS(销售录入!$O$5:$O$404,销售录入!$E$5:$E$404,$A35,销售录入!$C$5:$C$404,首页!$B$5))</f>
        <v/>
      </c>
      <c r="N35" s="44" t="str">
        <f aca="false">IF($A35="","",$M35-$I35)</f>
        <v/>
      </c>
      <c r="O35" s="63" t="str">
        <f aca="false">IF(OR($A35="",$M35=0),"",$N35/$M35)</f>
        <v/>
      </c>
      <c r="P35" s="47" t="str">
        <f aca="false">IF($A35="","",IF($J35&lt;0,"⚠ 负库存",IF(AND($J35=0,ABS($K35)&gt;0.01),"⚠ 有金额无数量",IF(AND($J35&gt;0,$K35&lt;0),"⚠ 金额为负",IF($N35&lt;0,"⚠ 毛利为负","正常")))))</f>
        <v/>
      </c>
    </row>
    <row r="36" customFormat="false" ht="15.75" hidden="false" customHeight="true" outlineLevel="0" collapsed="false">
      <c r="A36" s="35" t="str">
        <f aca="false">IF(基础资料!$Q36="","",基础资料!$Q36)</f>
        <v/>
      </c>
      <c r="B36" s="42" t="str">
        <f aca="false">IF($A36="","",基础资料!$R36)</f>
        <v/>
      </c>
      <c r="C36" s="42" t="str">
        <f aca="false">IF($A36="","",基础资料!$S36)</f>
        <v/>
      </c>
      <c r="D36" s="64" t="str">
        <f aca="false">IF($A36="","",SUMIFS(期初数据!$R$6:$R$205,期初数据!$O$6:$O$205,$A36)+SUMIFS(采购录入!$F$5:$F$404,采购录入!$E$5:$E$404,$A36,采购录入!$I$5:$I$404,"是",采购录入!$B$5:$B$404,"&lt;"&amp;首页!$B$6)-SUMIFS(销售录入!$F$5:$F$404,销售录入!$E$5:$E$404,$A36,销售录入!$B$5:$B$404,"&lt;"&amp;首页!$B$6))</f>
        <v/>
      </c>
      <c r="E36" s="54" t="str">
        <f aca="false">IF($A36="","",SUMIFS(期初数据!$T$6:$T$205,期初数据!$O$6:$O$205,$A36)+SUMIFS(采购录入!$Q$5:$Q$404,采购录入!$E$5:$E$404,$A36,采购录入!$I$5:$I$404,"是",采购录入!$B$5:$B$404,"&lt;"&amp;首页!$B$6)-SUMIFS(销售录入!$S$5:$S$404,销售录入!$E$5:$E$404,$A36,销售录入!$B$5:$B$404,"&lt;"&amp;首页!$B$6))</f>
        <v/>
      </c>
      <c r="F36" s="64" t="str">
        <f aca="false">IF($A36="","",SUMIFS(采购录入!$F$5:$F$404,采购录入!$E$5:$E$404,$A36,采购录入!$I$5:$I$404,"是",采购录入!$C$5:$C$404,首页!$B$5))</f>
        <v/>
      </c>
      <c r="G36" s="54" t="str">
        <f aca="false">IF($A36="","",SUMIFS(采购录入!$Q$5:$Q$404,采购录入!$E$5:$E$404,$A36,采购录入!$I$5:$I$404,"是",采购录入!$C$5:$C$404,首页!$B$5))</f>
        <v/>
      </c>
      <c r="H36" s="64" t="str">
        <f aca="false">IF($A36="","",SUMIFS(销售录入!$F$5:$F$404,销售录入!$E$5:$E$404,$A36,销售录入!$C$5:$C$404,首页!$B$5))</f>
        <v/>
      </c>
      <c r="I36" s="54" t="str">
        <f aca="false">IF($A36="","",SUMIFS(销售录入!$S$5:$S$404,销售录入!$E$5:$E$404,$A36,销售录入!$C$5:$C$404,首页!$B$5))</f>
        <v/>
      </c>
      <c r="J36" s="65" t="str">
        <f aca="false">IF($A36="","",$D36+$F36-$H36)</f>
        <v/>
      </c>
      <c r="K36" s="44" t="str">
        <f aca="false">IF($A36="","",$E36+$G36-$I36)</f>
        <v/>
      </c>
      <c r="L36" s="44" t="str">
        <f aca="false">IF(OR($A36="",$J36=0),"",$K36/$J36)</f>
        <v/>
      </c>
      <c r="M36" s="54" t="str">
        <f aca="false">IF($A36="","",SUMIFS(销售录入!$O$5:$O$404,销售录入!$E$5:$E$404,$A36,销售录入!$C$5:$C$404,首页!$B$5))</f>
        <v/>
      </c>
      <c r="N36" s="44" t="str">
        <f aca="false">IF($A36="","",$M36-$I36)</f>
        <v/>
      </c>
      <c r="O36" s="63" t="str">
        <f aca="false">IF(OR($A36="",$M36=0),"",$N36/$M36)</f>
        <v/>
      </c>
      <c r="P36" s="47" t="str">
        <f aca="false">IF($A36="","",IF($J36&lt;0,"⚠ 负库存",IF(AND($J36=0,ABS($K36)&gt;0.01),"⚠ 有金额无数量",IF(AND($J36&gt;0,$K36&lt;0),"⚠ 金额为负",IF($N36&lt;0,"⚠ 毛利为负","正常")))))</f>
        <v/>
      </c>
    </row>
    <row r="37" customFormat="false" ht="15.75" hidden="false" customHeight="true" outlineLevel="0" collapsed="false">
      <c r="A37" s="35" t="str">
        <f aca="false">IF(基础资料!$Q37="","",基础资料!$Q37)</f>
        <v/>
      </c>
      <c r="B37" s="42" t="str">
        <f aca="false">IF($A37="","",基础资料!$R37)</f>
        <v/>
      </c>
      <c r="C37" s="42" t="str">
        <f aca="false">IF($A37="","",基础资料!$S37)</f>
        <v/>
      </c>
      <c r="D37" s="64" t="str">
        <f aca="false">IF($A37="","",SUMIFS(期初数据!$R$6:$R$205,期初数据!$O$6:$O$205,$A37)+SUMIFS(采购录入!$F$5:$F$404,采购录入!$E$5:$E$404,$A37,采购录入!$I$5:$I$404,"是",采购录入!$B$5:$B$404,"&lt;"&amp;首页!$B$6)-SUMIFS(销售录入!$F$5:$F$404,销售录入!$E$5:$E$404,$A37,销售录入!$B$5:$B$404,"&lt;"&amp;首页!$B$6))</f>
        <v/>
      </c>
      <c r="E37" s="54" t="str">
        <f aca="false">IF($A37="","",SUMIFS(期初数据!$T$6:$T$205,期初数据!$O$6:$O$205,$A37)+SUMIFS(采购录入!$Q$5:$Q$404,采购录入!$E$5:$E$404,$A37,采购录入!$I$5:$I$404,"是",采购录入!$B$5:$B$404,"&lt;"&amp;首页!$B$6)-SUMIFS(销售录入!$S$5:$S$404,销售录入!$E$5:$E$404,$A37,销售录入!$B$5:$B$404,"&lt;"&amp;首页!$B$6))</f>
        <v/>
      </c>
      <c r="F37" s="64" t="str">
        <f aca="false">IF($A37="","",SUMIFS(采购录入!$F$5:$F$404,采购录入!$E$5:$E$404,$A37,采购录入!$I$5:$I$404,"是",采购录入!$C$5:$C$404,首页!$B$5))</f>
        <v/>
      </c>
      <c r="G37" s="54" t="str">
        <f aca="false">IF($A37="","",SUMIFS(采购录入!$Q$5:$Q$404,采购录入!$E$5:$E$404,$A37,采购录入!$I$5:$I$404,"是",采购录入!$C$5:$C$404,首页!$B$5))</f>
        <v/>
      </c>
      <c r="H37" s="64" t="str">
        <f aca="false">IF($A37="","",SUMIFS(销售录入!$F$5:$F$404,销售录入!$E$5:$E$404,$A37,销售录入!$C$5:$C$404,首页!$B$5))</f>
        <v/>
      </c>
      <c r="I37" s="54" t="str">
        <f aca="false">IF($A37="","",SUMIFS(销售录入!$S$5:$S$404,销售录入!$E$5:$E$404,$A37,销售录入!$C$5:$C$404,首页!$B$5))</f>
        <v/>
      </c>
      <c r="J37" s="65" t="str">
        <f aca="false">IF($A37="","",$D37+$F37-$H37)</f>
        <v/>
      </c>
      <c r="K37" s="44" t="str">
        <f aca="false">IF($A37="","",$E37+$G37-$I37)</f>
        <v/>
      </c>
      <c r="L37" s="44" t="str">
        <f aca="false">IF(OR($A37="",$J37=0),"",$K37/$J37)</f>
        <v/>
      </c>
      <c r="M37" s="54" t="str">
        <f aca="false">IF($A37="","",SUMIFS(销售录入!$O$5:$O$404,销售录入!$E$5:$E$404,$A37,销售录入!$C$5:$C$404,首页!$B$5))</f>
        <v/>
      </c>
      <c r="N37" s="44" t="str">
        <f aca="false">IF($A37="","",$M37-$I37)</f>
        <v/>
      </c>
      <c r="O37" s="63" t="str">
        <f aca="false">IF(OR($A37="",$M37=0),"",$N37/$M37)</f>
        <v/>
      </c>
      <c r="P37" s="47" t="str">
        <f aca="false">IF($A37="","",IF($J37&lt;0,"⚠ 负库存",IF(AND($J37=0,ABS($K37)&gt;0.01),"⚠ 有金额无数量",IF(AND($J37&gt;0,$K37&lt;0),"⚠ 金额为负",IF($N37&lt;0,"⚠ 毛利为负","正常")))))</f>
        <v/>
      </c>
    </row>
    <row r="38" customFormat="false" ht="15.75" hidden="false" customHeight="true" outlineLevel="0" collapsed="false">
      <c r="A38" s="35" t="str">
        <f aca="false">IF(基础资料!$Q38="","",基础资料!$Q38)</f>
        <v/>
      </c>
      <c r="B38" s="42" t="str">
        <f aca="false">IF($A38="","",基础资料!$R38)</f>
        <v/>
      </c>
      <c r="C38" s="42" t="str">
        <f aca="false">IF($A38="","",基础资料!$S38)</f>
        <v/>
      </c>
      <c r="D38" s="64" t="str">
        <f aca="false">IF($A38="","",SUMIFS(期初数据!$R$6:$R$205,期初数据!$O$6:$O$205,$A38)+SUMIFS(采购录入!$F$5:$F$404,采购录入!$E$5:$E$404,$A38,采购录入!$I$5:$I$404,"是",采购录入!$B$5:$B$404,"&lt;"&amp;首页!$B$6)-SUMIFS(销售录入!$F$5:$F$404,销售录入!$E$5:$E$404,$A38,销售录入!$B$5:$B$404,"&lt;"&amp;首页!$B$6))</f>
        <v/>
      </c>
      <c r="E38" s="54" t="str">
        <f aca="false">IF($A38="","",SUMIFS(期初数据!$T$6:$T$205,期初数据!$O$6:$O$205,$A38)+SUMIFS(采购录入!$Q$5:$Q$404,采购录入!$E$5:$E$404,$A38,采购录入!$I$5:$I$404,"是",采购录入!$B$5:$B$404,"&lt;"&amp;首页!$B$6)-SUMIFS(销售录入!$S$5:$S$404,销售录入!$E$5:$E$404,$A38,销售录入!$B$5:$B$404,"&lt;"&amp;首页!$B$6))</f>
        <v/>
      </c>
      <c r="F38" s="64" t="str">
        <f aca="false">IF($A38="","",SUMIFS(采购录入!$F$5:$F$404,采购录入!$E$5:$E$404,$A38,采购录入!$I$5:$I$404,"是",采购录入!$C$5:$C$404,首页!$B$5))</f>
        <v/>
      </c>
      <c r="G38" s="54" t="str">
        <f aca="false">IF($A38="","",SUMIFS(采购录入!$Q$5:$Q$404,采购录入!$E$5:$E$404,$A38,采购录入!$I$5:$I$404,"是",采购录入!$C$5:$C$404,首页!$B$5))</f>
        <v/>
      </c>
      <c r="H38" s="64" t="str">
        <f aca="false">IF($A38="","",SUMIFS(销售录入!$F$5:$F$404,销售录入!$E$5:$E$404,$A38,销售录入!$C$5:$C$404,首页!$B$5))</f>
        <v/>
      </c>
      <c r="I38" s="54" t="str">
        <f aca="false">IF($A38="","",SUMIFS(销售录入!$S$5:$S$404,销售录入!$E$5:$E$404,$A38,销售录入!$C$5:$C$404,首页!$B$5))</f>
        <v/>
      </c>
      <c r="J38" s="65" t="str">
        <f aca="false">IF($A38="","",$D38+$F38-$H38)</f>
        <v/>
      </c>
      <c r="K38" s="44" t="str">
        <f aca="false">IF($A38="","",$E38+$G38-$I38)</f>
        <v/>
      </c>
      <c r="L38" s="44" t="str">
        <f aca="false">IF(OR($A38="",$J38=0),"",$K38/$J38)</f>
        <v/>
      </c>
      <c r="M38" s="54" t="str">
        <f aca="false">IF($A38="","",SUMIFS(销售录入!$O$5:$O$404,销售录入!$E$5:$E$404,$A38,销售录入!$C$5:$C$404,首页!$B$5))</f>
        <v/>
      </c>
      <c r="N38" s="44" t="str">
        <f aca="false">IF($A38="","",$M38-$I38)</f>
        <v/>
      </c>
      <c r="O38" s="63" t="str">
        <f aca="false">IF(OR($A38="",$M38=0),"",$N38/$M38)</f>
        <v/>
      </c>
      <c r="P38" s="47" t="str">
        <f aca="false">IF($A38="","",IF($J38&lt;0,"⚠ 负库存",IF(AND($J38=0,ABS($K38)&gt;0.01),"⚠ 有金额无数量",IF(AND($J38&gt;0,$K38&lt;0),"⚠ 金额为负",IF($N38&lt;0,"⚠ 毛利为负","正常")))))</f>
        <v/>
      </c>
    </row>
    <row r="39" customFormat="false" ht="15.75" hidden="false" customHeight="true" outlineLevel="0" collapsed="false">
      <c r="A39" s="35" t="str">
        <f aca="false">IF(基础资料!$Q39="","",基础资料!$Q39)</f>
        <v/>
      </c>
      <c r="B39" s="42" t="str">
        <f aca="false">IF($A39="","",基础资料!$R39)</f>
        <v/>
      </c>
      <c r="C39" s="42" t="str">
        <f aca="false">IF($A39="","",基础资料!$S39)</f>
        <v/>
      </c>
      <c r="D39" s="64" t="str">
        <f aca="false">IF($A39="","",SUMIFS(期初数据!$R$6:$R$205,期初数据!$O$6:$O$205,$A39)+SUMIFS(采购录入!$F$5:$F$404,采购录入!$E$5:$E$404,$A39,采购录入!$I$5:$I$404,"是",采购录入!$B$5:$B$404,"&lt;"&amp;首页!$B$6)-SUMIFS(销售录入!$F$5:$F$404,销售录入!$E$5:$E$404,$A39,销售录入!$B$5:$B$404,"&lt;"&amp;首页!$B$6))</f>
        <v/>
      </c>
      <c r="E39" s="54" t="str">
        <f aca="false">IF($A39="","",SUMIFS(期初数据!$T$6:$T$205,期初数据!$O$6:$O$205,$A39)+SUMIFS(采购录入!$Q$5:$Q$404,采购录入!$E$5:$E$404,$A39,采购录入!$I$5:$I$404,"是",采购录入!$B$5:$B$404,"&lt;"&amp;首页!$B$6)-SUMIFS(销售录入!$S$5:$S$404,销售录入!$E$5:$E$404,$A39,销售录入!$B$5:$B$404,"&lt;"&amp;首页!$B$6))</f>
        <v/>
      </c>
      <c r="F39" s="64" t="str">
        <f aca="false">IF($A39="","",SUMIFS(采购录入!$F$5:$F$404,采购录入!$E$5:$E$404,$A39,采购录入!$I$5:$I$404,"是",采购录入!$C$5:$C$404,首页!$B$5))</f>
        <v/>
      </c>
      <c r="G39" s="54" t="str">
        <f aca="false">IF($A39="","",SUMIFS(采购录入!$Q$5:$Q$404,采购录入!$E$5:$E$404,$A39,采购录入!$I$5:$I$404,"是",采购录入!$C$5:$C$404,首页!$B$5))</f>
        <v/>
      </c>
      <c r="H39" s="64" t="str">
        <f aca="false">IF($A39="","",SUMIFS(销售录入!$F$5:$F$404,销售录入!$E$5:$E$404,$A39,销售录入!$C$5:$C$404,首页!$B$5))</f>
        <v/>
      </c>
      <c r="I39" s="54" t="str">
        <f aca="false">IF($A39="","",SUMIFS(销售录入!$S$5:$S$404,销售录入!$E$5:$E$404,$A39,销售录入!$C$5:$C$404,首页!$B$5))</f>
        <v/>
      </c>
      <c r="J39" s="65" t="str">
        <f aca="false">IF($A39="","",$D39+$F39-$H39)</f>
        <v/>
      </c>
      <c r="K39" s="44" t="str">
        <f aca="false">IF($A39="","",$E39+$G39-$I39)</f>
        <v/>
      </c>
      <c r="L39" s="44" t="str">
        <f aca="false">IF(OR($A39="",$J39=0),"",$K39/$J39)</f>
        <v/>
      </c>
      <c r="M39" s="54" t="str">
        <f aca="false">IF($A39="","",SUMIFS(销售录入!$O$5:$O$404,销售录入!$E$5:$E$404,$A39,销售录入!$C$5:$C$404,首页!$B$5))</f>
        <v/>
      </c>
      <c r="N39" s="44" t="str">
        <f aca="false">IF($A39="","",$M39-$I39)</f>
        <v/>
      </c>
      <c r="O39" s="63" t="str">
        <f aca="false">IF(OR($A39="",$M39=0),"",$N39/$M39)</f>
        <v/>
      </c>
      <c r="P39" s="47" t="str">
        <f aca="false">IF($A39="","",IF($J39&lt;0,"⚠ 负库存",IF(AND($J39=0,ABS($K39)&gt;0.01),"⚠ 有金额无数量",IF(AND($J39&gt;0,$K39&lt;0),"⚠ 金额为负",IF($N39&lt;0,"⚠ 毛利为负","正常")))))</f>
        <v/>
      </c>
    </row>
    <row r="40" customFormat="false" ht="15.75" hidden="false" customHeight="true" outlineLevel="0" collapsed="false">
      <c r="A40" s="35" t="str">
        <f aca="false">IF(基础资料!$Q40="","",基础资料!$Q40)</f>
        <v/>
      </c>
      <c r="B40" s="42" t="str">
        <f aca="false">IF($A40="","",基础资料!$R40)</f>
        <v/>
      </c>
      <c r="C40" s="42" t="str">
        <f aca="false">IF($A40="","",基础资料!$S40)</f>
        <v/>
      </c>
      <c r="D40" s="64" t="str">
        <f aca="false">IF($A40="","",SUMIFS(期初数据!$R$6:$R$205,期初数据!$O$6:$O$205,$A40)+SUMIFS(采购录入!$F$5:$F$404,采购录入!$E$5:$E$404,$A40,采购录入!$I$5:$I$404,"是",采购录入!$B$5:$B$404,"&lt;"&amp;首页!$B$6)-SUMIFS(销售录入!$F$5:$F$404,销售录入!$E$5:$E$404,$A40,销售录入!$B$5:$B$404,"&lt;"&amp;首页!$B$6))</f>
        <v/>
      </c>
      <c r="E40" s="54" t="str">
        <f aca="false">IF($A40="","",SUMIFS(期初数据!$T$6:$T$205,期初数据!$O$6:$O$205,$A40)+SUMIFS(采购录入!$Q$5:$Q$404,采购录入!$E$5:$E$404,$A40,采购录入!$I$5:$I$404,"是",采购录入!$B$5:$B$404,"&lt;"&amp;首页!$B$6)-SUMIFS(销售录入!$S$5:$S$404,销售录入!$E$5:$E$404,$A40,销售录入!$B$5:$B$404,"&lt;"&amp;首页!$B$6))</f>
        <v/>
      </c>
      <c r="F40" s="64" t="str">
        <f aca="false">IF($A40="","",SUMIFS(采购录入!$F$5:$F$404,采购录入!$E$5:$E$404,$A40,采购录入!$I$5:$I$404,"是",采购录入!$C$5:$C$404,首页!$B$5))</f>
        <v/>
      </c>
      <c r="G40" s="54" t="str">
        <f aca="false">IF($A40="","",SUMIFS(采购录入!$Q$5:$Q$404,采购录入!$E$5:$E$404,$A40,采购录入!$I$5:$I$404,"是",采购录入!$C$5:$C$404,首页!$B$5))</f>
        <v/>
      </c>
      <c r="H40" s="64" t="str">
        <f aca="false">IF($A40="","",SUMIFS(销售录入!$F$5:$F$404,销售录入!$E$5:$E$404,$A40,销售录入!$C$5:$C$404,首页!$B$5))</f>
        <v/>
      </c>
      <c r="I40" s="54" t="str">
        <f aca="false">IF($A40="","",SUMIFS(销售录入!$S$5:$S$404,销售录入!$E$5:$E$404,$A40,销售录入!$C$5:$C$404,首页!$B$5))</f>
        <v/>
      </c>
      <c r="J40" s="65" t="str">
        <f aca="false">IF($A40="","",$D40+$F40-$H40)</f>
        <v/>
      </c>
      <c r="K40" s="44" t="str">
        <f aca="false">IF($A40="","",$E40+$G40-$I40)</f>
        <v/>
      </c>
      <c r="L40" s="44" t="str">
        <f aca="false">IF(OR($A40="",$J40=0),"",$K40/$J40)</f>
        <v/>
      </c>
      <c r="M40" s="54" t="str">
        <f aca="false">IF($A40="","",SUMIFS(销售录入!$O$5:$O$404,销售录入!$E$5:$E$404,$A40,销售录入!$C$5:$C$404,首页!$B$5))</f>
        <v/>
      </c>
      <c r="N40" s="44" t="str">
        <f aca="false">IF($A40="","",$M40-$I40)</f>
        <v/>
      </c>
      <c r="O40" s="63" t="str">
        <f aca="false">IF(OR($A40="",$M40=0),"",$N40/$M40)</f>
        <v/>
      </c>
      <c r="P40" s="47" t="str">
        <f aca="false">IF($A40="","",IF($J40&lt;0,"⚠ 负库存",IF(AND($J40=0,ABS($K40)&gt;0.01),"⚠ 有金额无数量",IF(AND($J40&gt;0,$K40&lt;0),"⚠ 金额为负",IF($N40&lt;0,"⚠ 毛利为负","正常")))))</f>
        <v/>
      </c>
    </row>
    <row r="41" customFormat="false" ht="15.75" hidden="false" customHeight="true" outlineLevel="0" collapsed="false">
      <c r="A41" s="35" t="str">
        <f aca="false">IF(基础资料!$Q41="","",基础资料!$Q41)</f>
        <v/>
      </c>
      <c r="B41" s="42" t="str">
        <f aca="false">IF($A41="","",基础资料!$R41)</f>
        <v/>
      </c>
      <c r="C41" s="42" t="str">
        <f aca="false">IF($A41="","",基础资料!$S41)</f>
        <v/>
      </c>
      <c r="D41" s="64" t="str">
        <f aca="false">IF($A41="","",SUMIFS(期初数据!$R$6:$R$205,期初数据!$O$6:$O$205,$A41)+SUMIFS(采购录入!$F$5:$F$404,采购录入!$E$5:$E$404,$A41,采购录入!$I$5:$I$404,"是",采购录入!$B$5:$B$404,"&lt;"&amp;首页!$B$6)-SUMIFS(销售录入!$F$5:$F$404,销售录入!$E$5:$E$404,$A41,销售录入!$B$5:$B$404,"&lt;"&amp;首页!$B$6))</f>
        <v/>
      </c>
      <c r="E41" s="54" t="str">
        <f aca="false">IF($A41="","",SUMIFS(期初数据!$T$6:$T$205,期初数据!$O$6:$O$205,$A41)+SUMIFS(采购录入!$Q$5:$Q$404,采购录入!$E$5:$E$404,$A41,采购录入!$I$5:$I$404,"是",采购录入!$B$5:$B$404,"&lt;"&amp;首页!$B$6)-SUMIFS(销售录入!$S$5:$S$404,销售录入!$E$5:$E$404,$A41,销售录入!$B$5:$B$404,"&lt;"&amp;首页!$B$6))</f>
        <v/>
      </c>
      <c r="F41" s="64" t="str">
        <f aca="false">IF($A41="","",SUMIFS(采购录入!$F$5:$F$404,采购录入!$E$5:$E$404,$A41,采购录入!$I$5:$I$404,"是",采购录入!$C$5:$C$404,首页!$B$5))</f>
        <v/>
      </c>
      <c r="G41" s="54" t="str">
        <f aca="false">IF($A41="","",SUMIFS(采购录入!$Q$5:$Q$404,采购录入!$E$5:$E$404,$A41,采购录入!$I$5:$I$404,"是",采购录入!$C$5:$C$404,首页!$B$5))</f>
        <v/>
      </c>
      <c r="H41" s="64" t="str">
        <f aca="false">IF($A41="","",SUMIFS(销售录入!$F$5:$F$404,销售录入!$E$5:$E$404,$A41,销售录入!$C$5:$C$404,首页!$B$5))</f>
        <v/>
      </c>
      <c r="I41" s="54" t="str">
        <f aca="false">IF($A41="","",SUMIFS(销售录入!$S$5:$S$404,销售录入!$E$5:$E$404,$A41,销售录入!$C$5:$C$404,首页!$B$5))</f>
        <v/>
      </c>
      <c r="J41" s="65" t="str">
        <f aca="false">IF($A41="","",$D41+$F41-$H41)</f>
        <v/>
      </c>
      <c r="K41" s="44" t="str">
        <f aca="false">IF($A41="","",$E41+$G41-$I41)</f>
        <v/>
      </c>
      <c r="L41" s="44" t="str">
        <f aca="false">IF(OR($A41="",$J41=0),"",$K41/$J41)</f>
        <v/>
      </c>
      <c r="M41" s="54" t="str">
        <f aca="false">IF($A41="","",SUMIFS(销售录入!$O$5:$O$404,销售录入!$E$5:$E$404,$A41,销售录入!$C$5:$C$404,首页!$B$5))</f>
        <v/>
      </c>
      <c r="N41" s="44" t="str">
        <f aca="false">IF($A41="","",$M41-$I41)</f>
        <v/>
      </c>
      <c r="O41" s="63" t="str">
        <f aca="false">IF(OR($A41="",$M41=0),"",$N41/$M41)</f>
        <v/>
      </c>
      <c r="P41" s="47" t="str">
        <f aca="false">IF($A41="","",IF($J41&lt;0,"⚠ 负库存",IF(AND($J41=0,ABS($K41)&gt;0.01),"⚠ 有金额无数量",IF(AND($J41&gt;0,$K41&lt;0),"⚠ 金额为负",IF($N41&lt;0,"⚠ 毛利为负","正常")))))</f>
        <v/>
      </c>
    </row>
    <row r="42" customFormat="false" ht="15.75" hidden="false" customHeight="true" outlineLevel="0" collapsed="false">
      <c r="A42" s="35" t="str">
        <f aca="false">IF(基础资料!$Q42="","",基础资料!$Q42)</f>
        <v/>
      </c>
      <c r="B42" s="42" t="str">
        <f aca="false">IF($A42="","",基础资料!$R42)</f>
        <v/>
      </c>
      <c r="C42" s="42" t="str">
        <f aca="false">IF($A42="","",基础资料!$S42)</f>
        <v/>
      </c>
      <c r="D42" s="64" t="str">
        <f aca="false">IF($A42="","",SUMIFS(期初数据!$R$6:$R$205,期初数据!$O$6:$O$205,$A42)+SUMIFS(采购录入!$F$5:$F$404,采购录入!$E$5:$E$404,$A42,采购录入!$I$5:$I$404,"是",采购录入!$B$5:$B$404,"&lt;"&amp;首页!$B$6)-SUMIFS(销售录入!$F$5:$F$404,销售录入!$E$5:$E$404,$A42,销售录入!$B$5:$B$404,"&lt;"&amp;首页!$B$6))</f>
        <v/>
      </c>
      <c r="E42" s="54" t="str">
        <f aca="false">IF($A42="","",SUMIFS(期初数据!$T$6:$T$205,期初数据!$O$6:$O$205,$A42)+SUMIFS(采购录入!$Q$5:$Q$404,采购录入!$E$5:$E$404,$A42,采购录入!$I$5:$I$404,"是",采购录入!$B$5:$B$404,"&lt;"&amp;首页!$B$6)-SUMIFS(销售录入!$S$5:$S$404,销售录入!$E$5:$E$404,$A42,销售录入!$B$5:$B$404,"&lt;"&amp;首页!$B$6))</f>
        <v/>
      </c>
      <c r="F42" s="64" t="str">
        <f aca="false">IF($A42="","",SUMIFS(采购录入!$F$5:$F$404,采购录入!$E$5:$E$404,$A42,采购录入!$I$5:$I$404,"是",采购录入!$C$5:$C$404,首页!$B$5))</f>
        <v/>
      </c>
      <c r="G42" s="54" t="str">
        <f aca="false">IF($A42="","",SUMIFS(采购录入!$Q$5:$Q$404,采购录入!$E$5:$E$404,$A42,采购录入!$I$5:$I$404,"是",采购录入!$C$5:$C$404,首页!$B$5))</f>
        <v/>
      </c>
      <c r="H42" s="64" t="str">
        <f aca="false">IF($A42="","",SUMIFS(销售录入!$F$5:$F$404,销售录入!$E$5:$E$404,$A42,销售录入!$C$5:$C$404,首页!$B$5))</f>
        <v/>
      </c>
      <c r="I42" s="54" t="str">
        <f aca="false">IF($A42="","",SUMIFS(销售录入!$S$5:$S$404,销售录入!$E$5:$E$404,$A42,销售录入!$C$5:$C$404,首页!$B$5))</f>
        <v/>
      </c>
      <c r="J42" s="65" t="str">
        <f aca="false">IF($A42="","",$D42+$F42-$H42)</f>
        <v/>
      </c>
      <c r="K42" s="44" t="str">
        <f aca="false">IF($A42="","",$E42+$G42-$I42)</f>
        <v/>
      </c>
      <c r="L42" s="44" t="str">
        <f aca="false">IF(OR($A42="",$J42=0),"",$K42/$J42)</f>
        <v/>
      </c>
      <c r="M42" s="54" t="str">
        <f aca="false">IF($A42="","",SUMIFS(销售录入!$O$5:$O$404,销售录入!$E$5:$E$404,$A42,销售录入!$C$5:$C$404,首页!$B$5))</f>
        <v/>
      </c>
      <c r="N42" s="44" t="str">
        <f aca="false">IF($A42="","",$M42-$I42)</f>
        <v/>
      </c>
      <c r="O42" s="63" t="str">
        <f aca="false">IF(OR($A42="",$M42=0),"",$N42/$M42)</f>
        <v/>
      </c>
      <c r="P42" s="47" t="str">
        <f aca="false">IF($A42="","",IF($J42&lt;0,"⚠ 负库存",IF(AND($J42=0,ABS($K42)&gt;0.01),"⚠ 有金额无数量",IF(AND($J42&gt;0,$K42&lt;0),"⚠ 金额为负",IF($N42&lt;0,"⚠ 毛利为负","正常")))))</f>
        <v/>
      </c>
    </row>
    <row r="43" customFormat="false" ht="15.75" hidden="false" customHeight="true" outlineLevel="0" collapsed="false">
      <c r="A43" s="35" t="str">
        <f aca="false">IF(基础资料!$Q43="","",基础资料!$Q43)</f>
        <v/>
      </c>
      <c r="B43" s="42" t="str">
        <f aca="false">IF($A43="","",基础资料!$R43)</f>
        <v/>
      </c>
      <c r="C43" s="42" t="str">
        <f aca="false">IF($A43="","",基础资料!$S43)</f>
        <v/>
      </c>
      <c r="D43" s="64" t="str">
        <f aca="false">IF($A43="","",SUMIFS(期初数据!$R$6:$R$205,期初数据!$O$6:$O$205,$A43)+SUMIFS(采购录入!$F$5:$F$404,采购录入!$E$5:$E$404,$A43,采购录入!$I$5:$I$404,"是",采购录入!$B$5:$B$404,"&lt;"&amp;首页!$B$6)-SUMIFS(销售录入!$F$5:$F$404,销售录入!$E$5:$E$404,$A43,销售录入!$B$5:$B$404,"&lt;"&amp;首页!$B$6))</f>
        <v/>
      </c>
      <c r="E43" s="54" t="str">
        <f aca="false">IF($A43="","",SUMIFS(期初数据!$T$6:$T$205,期初数据!$O$6:$O$205,$A43)+SUMIFS(采购录入!$Q$5:$Q$404,采购录入!$E$5:$E$404,$A43,采购录入!$I$5:$I$404,"是",采购录入!$B$5:$B$404,"&lt;"&amp;首页!$B$6)-SUMIFS(销售录入!$S$5:$S$404,销售录入!$E$5:$E$404,$A43,销售录入!$B$5:$B$404,"&lt;"&amp;首页!$B$6))</f>
        <v/>
      </c>
      <c r="F43" s="64" t="str">
        <f aca="false">IF($A43="","",SUMIFS(采购录入!$F$5:$F$404,采购录入!$E$5:$E$404,$A43,采购录入!$I$5:$I$404,"是",采购录入!$C$5:$C$404,首页!$B$5))</f>
        <v/>
      </c>
      <c r="G43" s="54" t="str">
        <f aca="false">IF($A43="","",SUMIFS(采购录入!$Q$5:$Q$404,采购录入!$E$5:$E$404,$A43,采购录入!$I$5:$I$404,"是",采购录入!$C$5:$C$404,首页!$B$5))</f>
        <v/>
      </c>
      <c r="H43" s="64" t="str">
        <f aca="false">IF($A43="","",SUMIFS(销售录入!$F$5:$F$404,销售录入!$E$5:$E$404,$A43,销售录入!$C$5:$C$404,首页!$B$5))</f>
        <v/>
      </c>
      <c r="I43" s="54" t="str">
        <f aca="false">IF($A43="","",SUMIFS(销售录入!$S$5:$S$404,销售录入!$E$5:$E$404,$A43,销售录入!$C$5:$C$404,首页!$B$5))</f>
        <v/>
      </c>
      <c r="J43" s="65" t="str">
        <f aca="false">IF($A43="","",$D43+$F43-$H43)</f>
        <v/>
      </c>
      <c r="K43" s="44" t="str">
        <f aca="false">IF($A43="","",$E43+$G43-$I43)</f>
        <v/>
      </c>
      <c r="L43" s="44" t="str">
        <f aca="false">IF(OR($A43="",$J43=0),"",$K43/$J43)</f>
        <v/>
      </c>
      <c r="M43" s="54" t="str">
        <f aca="false">IF($A43="","",SUMIFS(销售录入!$O$5:$O$404,销售录入!$E$5:$E$404,$A43,销售录入!$C$5:$C$404,首页!$B$5))</f>
        <v/>
      </c>
      <c r="N43" s="44" t="str">
        <f aca="false">IF($A43="","",$M43-$I43)</f>
        <v/>
      </c>
      <c r="O43" s="63" t="str">
        <f aca="false">IF(OR($A43="",$M43=0),"",$N43/$M43)</f>
        <v/>
      </c>
      <c r="P43" s="47" t="str">
        <f aca="false">IF($A43="","",IF($J43&lt;0,"⚠ 负库存",IF(AND($J43=0,ABS($K43)&gt;0.01),"⚠ 有金额无数量",IF(AND($J43&gt;0,$K43&lt;0),"⚠ 金额为负",IF($N43&lt;0,"⚠ 毛利为负","正常")))))</f>
        <v/>
      </c>
    </row>
    <row r="44" customFormat="false" ht="15.75" hidden="false" customHeight="true" outlineLevel="0" collapsed="false">
      <c r="A44" s="35" t="str">
        <f aca="false">IF(基础资料!$Q44="","",基础资料!$Q44)</f>
        <v/>
      </c>
      <c r="B44" s="42" t="str">
        <f aca="false">IF($A44="","",基础资料!$R44)</f>
        <v/>
      </c>
      <c r="C44" s="42" t="str">
        <f aca="false">IF($A44="","",基础资料!$S44)</f>
        <v/>
      </c>
      <c r="D44" s="64" t="str">
        <f aca="false">IF($A44="","",SUMIFS(期初数据!$R$6:$R$205,期初数据!$O$6:$O$205,$A44)+SUMIFS(采购录入!$F$5:$F$404,采购录入!$E$5:$E$404,$A44,采购录入!$I$5:$I$404,"是",采购录入!$B$5:$B$404,"&lt;"&amp;首页!$B$6)-SUMIFS(销售录入!$F$5:$F$404,销售录入!$E$5:$E$404,$A44,销售录入!$B$5:$B$404,"&lt;"&amp;首页!$B$6))</f>
        <v/>
      </c>
      <c r="E44" s="54" t="str">
        <f aca="false">IF($A44="","",SUMIFS(期初数据!$T$6:$T$205,期初数据!$O$6:$O$205,$A44)+SUMIFS(采购录入!$Q$5:$Q$404,采购录入!$E$5:$E$404,$A44,采购录入!$I$5:$I$404,"是",采购录入!$B$5:$B$404,"&lt;"&amp;首页!$B$6)-SUMIFS(销售录入!$S$5:$S$404,销售录入!$E$5:$E$404,$A44,销售录入!$B$5:$B$404,"&lt;"&amp;首页!$B$6))</f>
        <v/>
      </c>
      <c r="F44" s="64" t="str">
        <f aca="false">IF($A44="","",SUMIFS(采购录入!$F$5:$F$404,采购录入!$E$5:$E$404,$A44,采购录入!$I$5:$I$404,"是",采购录入!$C$5:$C$404,首页!$B$5))</f>
        <v/>
      </c>
      <c r="G44" s="54" t="str">
        <f aca="false">IF($A44="","",SUMIFS(采购录入!$Q$5:$Q$404,采购录入!$E$5:$E$404,$A44,采购录入!$I$5:$I$404,"是",采购录入!$C$5:$C$404,首页!$B$5))</f>
        <v/>
      </c>
      <c r="H44" s="64" t="str">
        <f aca="false">IF($A44="","",SUMIFS(销售录入!$F$5:$F$404,销售录入!$E$5:$E$404,$A44,销售录入!$C$5:$C$404,首页!$B$5))</f>
        <v/>
      </c>
      <c r="I44" s="54" t="str">
        <f aca="false">IF($A44="","",SUMIFS(销售录入!$S$5:$S$404,销售录入!$E$5:$E$404,$A44,销售录入!$C$5:$C$404,首页!$B$5))</f>
        <v/>
      </c>
      <c r="J44" s="65" t="str">
        <f aca="false">IF($A44="","",$D44+$F44-$H44)</f>
        <v/>
      </c>
      <c r="K44" s="44" t="str">
        <f aca="false">IF($A44="","",$E44+$G44-$I44)</f>
        <v/>
      </c>
      <c r="L44" s="44" t="str">
        <f aca="false">IF(OR($A44="",$J44=0),"",$K44/$J44)</f>
        <v/>
      </c>
      <c r="M44" s="54" t="str">
        <f aca="false">IF($A44="","",SUMIFS(销售录入!$O$5:$O$404,销售录入!$E$5:$E$404,$A44,销售录入!$C$5:$C$404,首页!$B$5))</f>
        <v/>
      </c>
      <c r="N44" s="44" t="str">
        <f aca="false">IF($A44="","",$M44-$I44)</f>
        <v/>
      </c>
      <c r="O44" s="63" t="str">
        <f aca="false">IF(OR($A44="",$M44=0),"",$N44/$M44)</f>
        <v/>
      </c>
      <c r="P44" s="47" t="str">
        <f aca="false">IF($A44="","",IF($J44&lt;0,"⚠ 负库存",IF(AND($J44=0,ABS($K44)&gt;0.01),"⚠ 有金额无数量",IF(AND($J44&gt;0,$K44&lt;0),"⚠ 金额为负",IF($N44&lt;0,"⚠ 毛利为负","正常")))))</f>
        <v/>
      </c>
    </row>
    <row r="45" customFormat="false" ht="15.75" hidden="false" customHeight="true" outlineLevel="0" collapsed="false">
      <c r="A45" s="35" t="str">
        <f aca="false">IF(基础资料!$Q45="","",基础资料!$Q45)</f>
        <v/>
      </c>
      <c r="B45" s="42" t="str">
        <f aca="false">IF($A45="","",基础资料!$R45)</f>
        <v/>
      </c>
      <c r="C45" s="42" t="str">
        <f aca="false">IF($A45="","",基础资料!$S45)</f>
        <v/>
      </c>
      <c r="D45" s="64" t="str">
        <f aca="false">IF($A45="","",SUMIFS(期初数据!$R$6:$R$205,期初数据!$O$6:$O$205,$A45)+SUMIFS(采购录入!$F$5:$F$404,采购录入!$E$5:$E$404,$A45,采购录入!$I$5:$I$404,"是",采购录入!$B$5:$B$404,"&lt;"&amp;首页!$B$6)-SUMIFS(销售录入!$F$5:$F$404,销售录入!$E$5:$E$404,$A45,销售录入!$B$5:$B$404,"&lt;"&amp;首页!$B$6))</f>
        <v/>
      </c>
      <c r="E45" s="54" t="str">
        <f aca="false">IF($A45="","",SUMIFS(期初数据!$T$6:$T$205,期初数据!$O$6:$O$205,$A45)+SUMIFS(采购录入!$Q$5:$Q$404,采购录入!$E$5:$E$404,$A45,采购录入!$I$5:$I$404,"是",采购录入!$B$5:$B$404,"&lt;"&amp;首页!$B$6)-SUMIFS(销售录入!$S$5:$S$404,销售录入!$E$5:$E$404,$A45,销售录入!$B$5:$B$404,"&lt;"&amp;首页!$B$6))</f>
        <v/>
      </c>
      <c r="F45" s="64" t="str">
        <f aca="false">IF($A45="","",SUMIFS(采购录入!$F$5:$F$404,采购录入!$E$5:$E$404,$A45,采购录入!$I$5:$I$404,"是",采购录入!$C$5:$C$404,首页!$B$5))</f>
        <v/>
      </c>
      <c r="G45" s="54" t="str">
        <f aca="false">IF($A45="","",SUMIFS(采购录入!$Q$5:$Q$404,采购录入!$E$5:$E$404,$A45,采购录入!$I$5:$I$404,"是",采购录入!$C$5:$C$404,首页!$B$5))</f>
        <v/>
      </c>
      <c r="H45" s="64" t="str">
        <f aca="false">IF($A45="","",SUMIFS(销售录入!$F$5:$F$404,销售录入!$E$5:$E$404,$A45,销售录入!$C$5:$C$404,首页!$B$5))</f>
        <v/>
      </c>
      <c r="I45" s="54" t="str">
        <f aca="false">IF($A45="","",SUMIFS(销售录入!$S$5:$S$404,销售录入!$E$5:$E$404,$A45,销售录入!$C$5:$C$404,首页!$B$5))</f>
        <v/>
      </c>
      <c r="J45" s="65" t="str">
        <f aca="false">IF($A45="","",$D45+$F45-$H45)</f>
        <v/>
      </c>
      <c r="K45" s="44" t="str">
        <f aca="false">IF($A45="","",$E45+$G45-$I45)</f>
        <v/>
      </c>
      <c r="L45" s="44" t="str">
        <f aca="false">IF(OR($A45="",$J45=0),"",$K45/$J45)</f>
        <v/>
      </c>
      <c r="M45" s="54" t="str">
        <f aca="false">IF($A45="","",SUMIFS(销售录入!$O$5:$O$404,销售录入!$E$5:$E$404,$A45,销售录入!$C$5:$C$404,首页!$B$5))</f>
        <v/>
      </c>
      <c r="N45" s="44" t="str">
        <f aca="false">IF($A45="","",$M45-$I45)</f>
        <v/>
      </c>
      <c r="O45" s="63" t="str">
        <f aca="false">IF(OR($A45="",$M45=0),"",$N45/$M45)</f>
        <v/>
      </c>
      <c r="P45" s="47" t="str">
        <f aca="false">IF($A45="","",IF($J45&lt;0,"⚠ 负库存",IF(AND($J45=0,ABS($K45)&gt;0.01),"⚠ 有金额无数量",IF(AND($J45&gt;0,$K45&lt;0),"⚠ 金额为负",IF($N45&lt;0,"⚠ 毛利为负","正常")))))</f>
        <v/>
      </c>
    </row>
    <row r="46" customFormat="false" ht="15.75" hidden="false" customHeight="true" outlineLevel="0" collapsed="false">
      <c r="A46" s="35" t="str">
        <f aca="false">IF(基础资料!$Q46="","",基础资料!$Q46)</f>
        <v/>
      </c>
      <c r="B46" s="42" t="str">
        <f aca="false">IF($A46="","",基础资料!$R46)</f>
        <v/>
      </c>
      <c r="C46" s="42" t="str">
        <f aca="false">IF($A46="","",基础资料!$S46)</f>
        <v/>
      </c>
      <c r="D46" s="64" t="str">
        <f aca="false">IF($A46="","",SUMIFS(期初数据!$R$6:$R$205,期初数据!$O$6:$O$205,$A46)+SUMIFS(采购录入!$F$5:$F$404,采购录入!$E$5:$E$404,$A46,采购录入!$I$5:$I$404,"是",采购录入!$B$5:$B$404,"&lt;"&amp;首页!$B$6)-SUMIFS(销售录入!$F$5:$F$404,销售录入!$E$5:$E$404,$A46,销售录入!$B$5:$B$404,"&lt;"&amp;首页!$B$6))</f>
        <v/>
      </c>
      <c r="E46" s="54" t="str">
        <f aca="false">IF($A46="","",SUMIFS(期初数据!$T$6:$T$205,期初数据!$O$6:$O$205,$A46)+SUMIFS(采购录入!$Q$5:$Q$404,采购录入!$E$5:$E$404,$A46,采购录入!$I$5:$I$404,"是",采购录入!$B$5:$B$404,"&lt;"&amp;首页!$B$6)-SUMIFS(销售录入!$S$5:$S$404,销售录入!$E$5:$E$404,$A46,销售录入!$B$5:$B$404,"&lt;"&amp;首页!$B$6))</f>
        <v/>
      </c>
      <c r="F46" s="64" t="str">
        <f aca="false">IF($A46="","",SUMIFS(采购录入!$F$5:$F$404,采购录入!$E$5:$E$404,$A46,采购录入!$I$5:$I$404,"是",采购录入!$C$5:$C$404,首页!$B$5))</f>
        <v/>
      </c>
      <c r="G46" s="54" t="str">
        <f aca="false">IF($A46="","",SUMIFS(采购录入!$Q$5:$Q$404,采购录入!$E$5:$E$404,$A46,采购录入!$I$5:$I$404,"是",采购录入!$C$5:$C$404,首页!$B$5))</f>
        <v/>
      </c>
      <c r="H46" s="64" t="str">
        <f aca="false">IF($A46="","",SUMIFS(销售录入!$F$5:$F$404,销售录入!$E$5:$E$404,$A46,销售录入!$C$5:$C$404,首页!$B$5))</f>
        <v/>
      </c>
      <c r="I46" s="54" t="str">
        <f aca="false">IF($A46="","",SUMIFS(销售录入!$S$5:$S$404,销售录入!$E$5:$E$404,$A46,销售录入!$C$5:$C$404,首页!$B$5))</f>
        <v/>
      </c>
      <c r="J46" s="65" t="str">
        <f aca="false">IF($A46="","",$D46+$F46-$H46)</f>
        <v/>
      </c>
      <c r="K46" s="44" t="str">
        <f aca="false">IF($A46="","",$E46+$G46-$I46)</f>
        <v/>
      </c>
      <c r="L46" s="44" t="str">
        <f aca="false">IF(OR($A46="",$J46=0),"",$K46/$J46)</f>
        <v/>
      </c>
      <c r="M46" s="54" t="str">
        <f aca="false">IF($A46="","",SUMIFS(销售录入!$O$5:$O$404,销售录入!$E$5:$E$404,$A46,销售录入!$C$5:$C$404,首页!$B$5))</f>
        <v/>
      </c>
      <c r="N46" s="44" t="str">
        <f aca="false">IF($A46="","",$M46-$I46)</f>
        <v/>
      </c>
      <c r="O46" s="63" t="str">
        <f aca="false">IF(OR($A46="",$M46=0),"",$N46/$M46)</f>
        <v/>
      </c>
      <c r="P46" s="47" t="str">
        <f aca="false">IF($A46="","",IF($J46&lt;0,"⚠ 负库存",IF(AND($J46=0,ABS($K46)&gt;0.01),"⚠ 有金额无数量",IF(AND($J46&gt;0,$K46&lt;0),"⚠ 金额为负",IF($N46&lt;0,"⚠ 毛利为负","正常")))))</f>
        <v/>
      </c>
    </row>
    <row r="47" customFormat="false" ht="15.75" hidden="false" customHeight="true" outlineLevel="0" collapsed="false">
      <c r="A47" s="35" t="str">
        <f aca="false">IF(基础资料!$Q47="","",基础资料!$Q47)</f>
        <v/>
      </c>
      <c r="B47" s="42" t="str">
        <f aca="false">IF($A47="","",基础资料!$R47)</f>
        <v/>
      </c>
      <c r="C47" s="42" t="str">
        <f aca="false">IF($A47="","",基础资料!$S47)</f>
        <v/>
      </c>
      <c r="D47" s="64" t="str">
        <f aca="false">IF($A47="","",SUMIFS(期初数据!$R$6:$R$205,期初数据!$O$6:$O$205,$A47)+SUMIFS(采购录入!$F$5:$F$404,采购录入!$E$5:$E$404,$A47,采购录入!$I$5:$I$404,"是",采购录入!$B$5:$B$404,"&lt;"&amp;首页!$B$6)-SUMIFS(销售录入!$F$5:$F$404,销售录入!$E$5:$E$404,$A47,销售录入!$B$5:$B$404,"&lt;"&amp;首页!$B$6))</f>
        <v/>
      </c>
      <c r="E47" s="54" t="str">
        <f aca="false">IF($A47="","",SUMIFS(期初数据!$T$6:$T$205,期初数据!$O$6:$O$205,$A47)+SUMIFS(采购录入!$Q$5:$Q$404,采购录入!$E$5:$E$404,$A47,采购录入!$I$5:$I$404,"是",采购录入!$B$5:$B$404,"&lt;"&amp;首页!$B$6)-SUMIFS(销售录入!$S$5:$S$404,销售录入!$E$5:$E$404,$A47,销售录入!$B$5:$B$404,"&lt;"&amp;首页!$B$6))</f>
        <v/>
      </c>
      <c r="F47" s="64" t="str">
        <f aca="false">IF($A47="","",SUMIFS(采购录入!$F$5:$F$404,采购录入!$E$5:$E$404,$A47,采购录入!$I$5:$I$404,"是",采购录入!$C$5:$C$404,首页!$B$5))</f>
        <v/>
      </c>
      <c r="G47" s="54" t="str">
        <f aca="false">IF($A47="","",SUMIFS(采购录入!$Q$5:$Q$404,采购录入!$E$5:$E$404,$A47,采购录入!$I$5:$I$404,"是",采购录入!$C$5:$C$404,首页!$B$5))</f>
        <v/>
      </c>
      <c r="H47" s="64" t="str">
        <f aca="false">IF($A47="","",SUMIFS(销售录入!$F$5:$F$404,销售录入!$E$5:$E$404,$A47,销售录入!$C$5:$C$404,首页!$B$5))</f>
        <v/>
      </c>
      <c r="I47" s="54" t="str">
        <f aca="false">IF($A47="","",SUMIFS(销售录入!$S$5:$S$404,销售录入!$E$5:$E$404,$A47,销售录入!$C$5:$C$404,首页!$B$5))</f>
        <v/>
      </c>
      <c r="J47" s="65" t="str">
        <f aca="false">IF($A47="","",$D47+$F47-$H47)</f>
        <v/>
      </c>
      <c r="K47" s="44" t="str">
        <f aca="false">IF($A47="","",$E47+$G47-$I47)</f>
        <v/>
      </c>
      <c r="L47" s="44" t="str">
        <f aca="false">IF(OR($A47="",$J47=0),"",$K47/$J47)</f>
        <v/>
      </c>
      <c r="M47" s="54" t="str">
        <f aca="false">IF($A47="","",SUMIFS(销售录入!$O$5:$O$404,销售录入!$E$5:$E$404,$A47,销售录入!$C$5:$C$404,首页!$B$5))</f>
        <v/>
      </c>
      <c r="N47" s="44" t="str">
        <f aca="false">IF($A47="","",$M47-$I47)</f>
        <v/>
      </c>
      <c r="O47" s="63" t="str">
        <f aca="false">IF(OR($A47="",$M47=0),"",$N47/$M47)</f>
        <v/>
      </c>
      <c r="P47" s="47" t="str">
        <f aca="false">IF($A47="","",IF($J47&lt;0,"⚠ 负库存",IF(AND($J47=0,ABS($K47)&gt;0.01),"⚠ 有金额无数量",IF(AND($J47&gt;0,$K47&lt;0),"⚠ 金额为负",IF($N47&lt;0,"⚠ 毛利为负","正常")))))</f>
        <v/>
      </c>
    </row>
    <row r="48" customFormat="false" ht="15.75" hidden="false" customHeight="true" outlineLevel="0" collapsed="false">
      <c r="A48" s="35" t="str">
        <f aca="false">IF(基础资料!$Q48="","",基础资料!$Q48)</f>
        <v/>
      </c>
      <c r="B48" s="42" t="str">
        <f aca="false">IF($A48="","",基础资料!$R48)</f>
        <v/>
      </c>
      <c r="C48" s="42" t="str">
        <f aca="false">IF($A48="","",基础资料!$S48)</f>
        <v/>
      </c>
      <c r="D48" s="64" t="str">
        <f aca="false">IF($A48="","",SUMIFS(期初数据!$R$6:$R$205,期初数据!$O$6:$O$205,$A48)+SUMIFS(采购录入!$F$5:$F$404,采购录入!$E$5:$E$404,$A48,采购录入!$I$5:$I$404,"是",采购录入!$B$5:$B$404,"&lt;"&amp;首页!$B$6)-SUMIFS(销售录入!$F$5:$F$404,销售录入!$E$5:$E$404,$A48,销售录入!$B$5:$B$404,"&lt;"&amp;首页!$B$6))</f>
        <v/>
      </c>
      <c r="E48" s="54" t="str">
        <f aca="false">IF($A48="","",SUMIFS(期初数据!$T$6:$T$205,期初数据!$O$6:$O$205,$A48)+SUMIFS(采购录入!$Q$5:$Q$404,采购录入!$E$5:$E$404,$A48,采购录入!$I$5:$I$404,"是",采购录入!$B$5:$B$404,"&lt;"&amp;首页!$B$6)-SUMIFS(销售录入!$S$5:$S$404,销售录入!$E$5:$E$404,$A48,销售录入!$B$5:$B$404,"&lt;"&amp;首页!$B$6))</f>
        <v/>
      </c>
      <c r="F48" s="64" t="str">
        <f aca="false">IF($A48="","",SUMIFS(采购录入!$F$5:$F$404,采购录入!$E$5:$E$404,$A48,采购录入!$I$5:$I$404,"是",采购录入!$C$5:$C$404,首页!$B$5))</f>
        <v/>
      </c>
      <c r="G48" s="54" t="str">
        <f aca="false">IF($A48="","",SUMIFS(采购录入!$Q$5:$Q$404,采购录入!$E$5:$E$404,$A48,采购录入!$I$5:$I$404,"是",采购录入!$C$5:$C$404,首页!$B$5))</f>
        <v/>
      </c>
      <c r="H48" s="64" t="str">
        <f aca="false">IF($A48="","",SUMIFS(销售录入!$F$5:$F$404,销售录入!$E$5:$E$404,$A48,销售录入!$C$5:$C$404,首页!$B$5))</f>
        <v/>
      </c>
      <c r="I48" s="54" t="str">
        <f aca="false">IF($A48="","",SUMIFS(销售录入!$S$5:$S$404,销售录入!$E$5:$E$404,$A48,销售录入!$C$5:$C$404,首页!$B$5))</f>
        <v/>
      </c>
      <c r="J48" s="65" t="str">
        <f aca="false">IF($A48="","",$D48+$F48-$H48)</f>
        <v/>
      </c>
      <c r="K48" s="44" t="str">
        <f aca="false">IF($A48="","",$E48+$G48-$I48)</f>
        <v/>
      </c>
      <c r="L48" s="44" t="str">
        <f aca="false">IF(OR($A48="",$J48=0),"",$K48/$J48)</f>
        <v/>
      </c>
      <c r="M48" s="54" t="str">
        <f aca="false">IF($A48="","",SUMIFS(销售录入!$O$5:$O$404,销售录入!$E$5:$E$404,$A48,销售录入!$C$5:$C$404,首页!$B$5))</f>
        <v/>
      </c>
      <c r="N48" s="44" t="str">
        <f aca="false">IF($A48="","",$M48-$I48)</f>
        <v/>
      </c>
      <c r="O48" s="63" t="str">
        <f aca="false">IF(OR($A48="",$M48=0),"",$N48/$M48)</f>
        <v/>
      </c>
      <c r="P48" s="47" t="str">
        <f aca="false">IF($A48="","",IF($J48&lt;0,"⚠ 负库存",IF(AND($J48=0,ABS($K48)&gt;0.01),"⚠ 有金额无数量",IF(AND($J48&gt;0,$K48&lt;0),"⚠ 金额为负",IF($N48&lt;0,"⚠ 毛利为负","正常")))))</f>
        <v/>
      </c>
    </row>
    <row r="49" customFormat="false" ht="15.75" hidden="false" customHeight="true" outlineLevel="0" collapsed="false">
      <c r="A49" s="35" t="str">
        <f aca="false">IF(基础资料!$Q49="","",基础资料!$Q49)</f>
        <v/>
      </c>
      <c r="B49" s="42" t="str">
        <f aca="false">IF($A49="","",基础资料!$R49)</f>
        <v/>
      </c>
      <c r="C49" s="42" t="str">
        <f aca="false">IF($A49="","",基础资料!$S49)</f>
        <v/>
      </c>
      <c r="D49" s="64" t="str">
        <f aca="false">IF($A49="","",SUMIFS(期初数据!$R$6:$R$205,期初数据!$O$6:$O$205,$A49)+SUMIFS(采购录入!$F$5:$F$404,采购录入!$E$5:$E$404,$A49,采购录入!$I$5:$I$404,"是",采购录入!$B$5:$B$404,"&lt;"&amp;首页!$B$6)-SUMIFS(销售录入!$F$5:$F$404,销售录入!$E$5:$E$404,$A49,销售录入!$B$5:$B$404,"&lt;"&amp;首页!$B$6))</f>
        <v/>
      </c>
      <c r="E49" s="54" t="str">
        <f aca="false">IF($A49="","",SUMIFS(期初数据!$T$6:$T$205,期初数据!$O$6:$O$205,$A49)+SUMIFS(采购录入!$Q$5:$Q$404,采购录入!$E$5:$E$404,$A49,采购录入!$I$5:$I$404,"是",采购录入!$B$5:$B$404,"&lt;"&amp;首页!$B$6)-SUMIFS(销售录入!$S$5:$S$404,销售录入!$E$5:$E$404,$A49,销售录入!$B$5:$B$404,"&lt;"&amp;首页!$B$6))</f>
        <v/>
      </c>
      <c r="F49" s="64" t="str">
        <f aca="false">IF($A49="","",SUMIFS(采购录入!$F$5:$F$404,采购录入!$E$5:$E$404,$A49,采购录入!$I$5:$I$404,"是",采购录入!$C$5:$C$404,首页!$B$5))</f>
        <v/>
      </c>
      <c r="G49" s="54" t="str">
        <f aca="false">IF($A49="","",SUMIFS(采购录入!$Q$5:$Q$404,采购录入!$E$5:$E$404,$A49,采购录入!$I$5:$I$404,"是",采购录入!$C$5:$C$404,首页!$B$5))</f>
        <v/>
      </c>
      <c r="H49" s="64" t="str">
        <f aca="false">IF($A49="","",SUMIFS(销售录入!$F$5:$F$404,销售录入!$E$5:$E$404,$A49,销售录入!$C$5:$C$404,首页!$B$5))</f>
        <v/>
      </c>
      <c r="I49" s="54" t="str">
        <f aca="false">IF($A49="","",SUMIFS(销售录入!$S$5:$S$404,销售录入!$E$5:$E$404,$A49,销售录入!$C$5:$C$404,首页!$B$5))</f>
        <v/>
      </c>
      <c r="J49" s="65" t="str">
        <f aca="false">IF($A49="","",$D49+$F49-$H49)</f>
        <v/>
      </c>
      <c r="K49" s="44" t="str">
        <f aca="false">IF($A49="","",$E49+$G49-$I49)</f>
        <v/>
      </c>
      <c r="L49" s="44" t="str">
        <f aca="false">IF(OR($A49="",$J49=0),"",$K49/$J49)</f>
        <v/>
      </c>
      <c r="M49" s="54" t="str">
        <f aca="false">IF($A49="","",SUMIFS(销售录入!$O$5:$O$404,销售录入!$E$5:$E$404,$A49,销售录入!$C$5:$C$404,首页!$B$5))</f>
        <v/>
      </c>
      <c r="N49" s="44" t="str">
        <f aca="false">IF($A49="","",$M49-$I49)</f>
        <v/>
      </c>
      <c r="O49" s="63" t="str">
        <f aca="false">IF(OR($A49="",$M49=0),"",$N49/$M49)</f>
        <v/>
      </c>
      <c r="P49" s="47" t="str">
        <f aca="false">IF($A49="","",IF($J49&lt;0,"⚠ 负库存",IF(AND($J49=0,ABS($K49)&gt;0.01),"⚠ 有金额无数量",IF(AND($J49&gt;0,$K49&lt;0),"⚠ 金额为负",IF($N49&lt;0,"⚠ 毛利为负","正常")))))</f>
        <v/>
      </c>
    </row>
    <row r="50" customFormat="false" ht="15.75" hidden="false" customHeight="true" outlineLevel="0" collapsed="false">
      <c r="A50" s="35" t="str">
        <f aca="false">IF(基础资料!$Q50="","",基础资料!$Q50)</f>
        <v/>
      </c>
      <c r="B50" s="42" t="str">
        <f aca="false">IF($A50="","",基础资料!$R50)</f>
        <v/>
      </c>
      <c r="C50" s="42" t="str">
        <f aca="false">IF($A50="","",基础资料!$S50)</f>
        <v/>
      </c>
      <c r="D50" s="64" t="str">
        <f aca="false">IF($A50="","",SUMIFS(期初数据!$R$6:$R$205,期初数据!$O$6:$O$205,$A50)+SUMIFS(采购录入!$F$5:$F$404,采购录入!$E$5:$E$404,$A50,采购录入!$I$5:$I$404,"是",采购录入!$B$5:$B$404,"&lt;"&amp;首页!$B$6)-SUMIFS(销售录入!$F$5:$F$404,销售录入!$E$5:$E$404,$A50,销售录入!$B$5:$B$404,"&lt;"&amp;首页!$B$6))</f>
        <v/>
      </c>
      <c r="E50" s="54" t="str">
        <f aca="false">IF($A50="","",SUMIFS(期初数据!$T$6:$T$205,期初数据!$O$6:$O$205,$A50)+SUMIFS(采购录入!$Q$5:$Q$404,采购录入!$E$5:$E$404,$A50,采购录入!$I$5:$I$404,"是",采购录入!$B$5:$B$404,"&lt;"&amp;首页!$B$6)-SUMIFS(销售录入!$S$5:$S$404,销售录入!$E$5:$E$404,$A50,销售录入!$B$5:$B$404,"&lt;"&amp;首页!$B$6))</f>
        <v/>
      </c>
      <c r="F50" s="64" t="str">
        <f aca="false">IF($A50="","",SUMIFS(采购录入!$F$5:$F$404,采购录入!$E$5:$E$404,$A50,采购录入!$I$5:$I$404,"是",采购录入!$C$5:$C$404,首页!$B$5))</f>
        <v/>
      </c>
      <c r="G50" s="54" t="str">
        <f aca="false">IF($A50="","",SUMIFS(采购录入!$Q$5:$Q$404,采购录入!$E$5:$E$404,$A50,采购录入!$I$5:$I$404,"是",采购录入!$C$5:$C$404,首页!$B$5))</f>
        <v/>
      </c>
      <c r="H50" s="64" t="str">
        <f aca="false">IF($A50="","",SUMIFS(销售录入!$F$5:$F$404,销售录入!$E$5:$E$404,$A50,销售录入!$C$5:$C$404,首页!$B$5))</f>
        <v/>
      </c>
      <c r="I50" s="54" t="str">
        <f aca="false">IF($A50="","",SUMIFS(销售录入!$S$5:$S$404,销售录入!$E$5:$E$404,$A50,销售录入!$C$5:$C$404,首页!$B$5))</f>
        <v/>
      </c>
      <c r="J50" s="65" t="str">
        <f aca="false">IF($A50="","",$D50+$F50-$H50)</f>
        <v/>
      </c>
      <c r="K50" s="44" t="str">
        <f aca="false">IF($A50="","",$E50+$G50-$I50)</f>
        <v/>
      </c>
      <c r="L50" s="44" t="str">
        <f aca="false">IF(OR($A50="",$J50=0),"",$K50/$J50)</f>
        <v/>
      </c>
      <c r="M50" s="54" t="str">
        <f aca="false">IF($A50="","",SUMIFS(销售录入!$O$5:$O$404,销售录入!$E$5:$E$404,$A50,销售录入!$C$5:$C$404,首页!$B$5))</f>
        <v/>
      </c>
      <c r="N50" s="44" t="str">
        <f aca="false">IF($A50="","",$M50-$I50)</f>
        <v/>
      </c>
      <c r="O50" s="63" t="str">
        <f aca="false">IF(OR($A50="",$M50=0),"",$N50/$M50)</f>
        <v/>
      </c>
      <c r="P50" s="47" t="str">
        <f aca="false">IF($A50="","",IF($J50&lt;0,"⚠ 负库存",IF(AND($J50=0,ABS($K50)&gt;0.01),"⚠ 有金额无数量",IF(AND($J50&gt;0,$K50&lt;0),"⚠ 金额为负",IF($N50&lt;0,"⚠ 毛利为负","正常")))))</f>
        <v/>
      </c>
    </row>
    <row r="51" customFormat="false" ht="15.75" hidden="false" customHeight="true" outlineLevel="0" collapsed="false">
      <c r="A51" s="35" t="str">
        <f aca="false">IF(基础资料!$Q51="","",基础资料!$Q51)</f>
        <v/>
      </c>
      <c r="B51" s="42" t="str">
        <f aca="false">IF($A51="","",基础资料!$R51)</f>
        <v/>
      </c>
      <c r="C51" s="42" t="str">
        <f aca="false">IF($A51="","",基础资料!$S51)</f>
        <v/>
      </c>
      <c r="D51" s="64" t="str">
        <f aca="false">IF($A51="","",SUMIFS(期初数据!$R$6:$R$205,期初数据!$O$6:$O$205,$A51)+SUMIFS(采购录入!$F$5:$F$404,采购录入!$E$5:$E$404,$A51,采购录入!$I$5:$I$404,"是",采购录入!$B$5:$B$404,"&lt;"&amp;首页!$B$6)-SUMIFS(销售录入!$F$5:$F$404,销售录入!$E$5:$E$404,$A51,销售录入!$B$5:$B$404,"&lt;"&amp;首页!$B$6))</f>
        <v/>
      </c>
      <c r="E51" s="54" t="str">
        <f aca="false">IF($A51="","",SUMIFS(期初数据!$T$6:$T$205,期初数据!$O$6:$O$205,$A51)+SUMIFS(采购录入!$Q$5:$Q$404,采购录入!$E$5:$E$404,$A51,采购录入!$I$5:$I$404,"是",采购录入!$B$5:$B$404,"&lt;"&amp;首页!$B$6)-SUMIFS(销售录入!$S$5:$S$404,销售录入!$E$5:$E$404,$A51,销售录入!$B$5:$B$404,"&lt;"&amp;首页!$B$6))</f>
        <v/>
      </c>
      <c r="F51" s="64" t="str">
        <f aca="false">IF($A51="","",SUMIFS(采购录入!$F$5:$F$404,采购录入!$E$5:$E$404,$A51,采购录入!$I$5:$I$404,"是",采购录入!$C$5:$C$404,首页!$B$5))</f>
        <v/>
      </c>
      <c r="G51" s="54" t="str">
        <f aca="false">IF($A51="","",SUMIFS(采购录入!$Q$5:$Q$404,采购录入!$E$5:$E$404,$A51,采购录入!$I$5:$I$404,"是",采购录入!$C$5:$C$404,首页!$B$5))</f>
        <v/>
      </c>
      <c r="H51" s="64" t="str">
        <f aca="false">IF($A51="","",SUMIFS(销售录入!$F$5:$F$404,销售录入!$E$5:$E$404,$A51,销售录入!$C$5:$C$404,首页!$B$5))</f>
        <v/>
      </c>
      <c r="I51" s="54" t="str">
        <f aca="false">IF($A51="","",SUMIFS(销售录入!$S$5:$S$404,销售录入!$E$5:$E$404,$A51,销售录入!$C$5:$C$404,首页!$B$5))</f>
        <v/>
      </c>
      <c r="J51" s="65" t="str">
        <f aca="false">IF($A51="","",$D51+$F51-$H51)</f>
        <v/>
      </c>
      <c r="K51" s="44" t="str">
        <f aca="false">IF($A51="","",$E51+$G51-$I51)</f>
        <v/>
      </c>
      <c r="L51" s="44" t="str">
        <f aca="false">IF(OR($A51="",$J51=0),"",$K51/$J51)</f>
        <v/>
      </c>
      <c r="M51" s="54" t="str">
        <f aca="false">IF($A51="","",SUMIFS(销售录入!$O$5:$O$404,销售录入!$E$5:$E$404,$A51,销售录入!$C$5:$C$404,首页!$B$5))</f>
        <v/>
      </c>
      <c r="N51" s="44" t="str">
        <f aca="false">IF($A51="","",$M51-$I51)</f>
        <v/>
      </c>
      <c r="O51" s="63" t="str">
        <f aca="false">IF(OR($A51="",$M51=0),"",$N51/$M51)</f>
        <v/>
      </c>
      <c r="P51" s="47" t="str">
        <f aca="false">IF($A51="","",IF($J51&lt;0,"⚠ 负库存",IF(AND($J51=0,ABS($K51)&gt;0.01),"⚠ 有金额无数量",IF(AND($J51&gt;0,$K51&lt;0),"⚠ 金额为负",IF($N51&lt;0,"⚠ 毛利为负","正常")))))</f>
        <v/>
      </c>
    </row>
    <row r="52" customFormat="false" ht="15.75" hidden="false" customHeight="true" outlineLevel="0" collapsed="false">
      <c r="A52" s="35" t="str">
        <f aca="false">IF(基础资料!$Q52="","",基础资料!$Q52)</f>
        <v/>
      </c>
      <c r="B52" s="42" t="str">
        <f aca="false">IF($A52="","",基础资料!$R52)</f>
        <v/>
      </c>
      <c r="C52" s="42" t="str">
        <f aca="false">IF($A52="","",基础资料!$S52)</f>
        <v/>
      </c>
      <c r="D52" s="64" t="str">
        <f aca="false">IF($A52="","",SUMIFS(期初数据!$R$6:$R$205,期初数据!$O$6:$O$205,$A52)+SUMIFS(采购录入!$F$5:$F$404,采购录入!$E$5:$E$404,$A52,采购录入!$I$5:$I$404,"是",采购录入!$B$5:$B$404,"&lt;"&amp;首页!$B$6)-SUMIFS(销售录入!$F$5:$F$404,销售录入!$E$5:$E$404,$A52,销售录入!$B$5:$B$404,"&lt;"&amp;首页!$B$6))</f>
        <v/>
      </c>
      <c r="E52" s="54" t="str">
        <f aca="false">IF($A52="","",SUMIFS(期初数据!$T$6:$T$205,期初数据!$O$6:$O$205,$A52)+SUMIFS(采购录入!$Q$5:$Q$404,采购录入!$E$5:$E$404,$A52,采购录入!$I$5:$I$404,"是",采购录入!$B$5:$B$404,"&lt;"&amp;首页!$B$6)-SUMIFS(销售录入!$S$5:$S$404,销售录入!$E$5:$E$404,$A52,销售录入!$B$5:$B$404,"&lt;"&amp;首页!$B$6))</f>
        <v/>
      </c>
      <c r="F52" s="64" t="str">
        <f aca="false">IF($A52="","",SUMIFS(采购录入!$F$5:$F$404,采购录入!$E$5:$E$404,$A52,采购录入!$I$5:$I$404,"是",采购录入!$C$5:$C$404,首页!$B$5))</f>
        <v/>
      </c>
      <c r="G52" s="54" t="str">
        <f aca="false">IF($A52="","",SUMIFS(采购录入!$Q$5:$Q$404,采购录入!$E$5:$E$404,$A52,采购录入!$I$5:$I$404,"是",采购录入!$C$5:$C$404,首页!$B$5))</f>
        <v/>
      </c>
      <c r="H52" s="64" t="str">
        <f aca="false">IF($A52="","",SUMIFS(销售录入!$F$5:$F$404,销售录入!$E$5:$E$404,$A52,销售录入!$C$5:$C$404,首页!$B$5))</f>
        <v/>
      </c>
      <c r="I52" s="54" t="str">
        <f aca="false">IF($A52="","",SUMIFS(销售录入!$S$5:$S$404,销售录入!$E$5:$E$404,$A52,销售录入!$C$5:$C$404,首页!$B$5))</f>
        <v/>
      </c>
      <c r="J52" s="65" t="str">
        <f aca="false">IF($A52="","",$D52+$F52-$H52)</f>
        <v/>
      </c>
      <c r="K52" s="44" t="str">
        <f aca="false">IF($A52="","",$E52+$G52-$I52)</f>
        <v/>
      </c>
      <c r="L52" s="44" t="str">
        <f aca="false">IF(OR($A52="",$J52=0),"",$K52/$J52)</f>
        <v/>
      </c>
      <c r="M52" s="54" t="str">
        <f aca="false">IF($A52="","",SUMIFS(销售录入!$O$5:$O$404,销售录入!$E$5:$E$404,$A52,销售录入!$C$5:$C$404,首页!$B$5))</f>
        <v/>
      </c>
      <c r="N52" s="44" t="str">
        <f aca="false">IF($A52="","",$M52-$I52)</f>
        <v/>
      </c>
      <c r="O52" s="63" t="str">
        <f aca="false">IF(OR($A52="",$M52=0),"",$N52/$M52)</f>
        <v/>
      </c>
      <c r="P52" s="47" t="str">
        <f aca="false">IF($A52="","",IF($J52&lt;0,"⚠ 负库存",IF(AND($J52=0,ABS($K52)&gt;0.01),"⚠ 有金额无数量",IF(AND($J52&gt;0,$K52&lt;0),"⚠ 金额为负",IF($N52&lt;0,"⚠ 毛利为负","正常")))))</f>
        <v/>
      </c>
    </row>
    <row r="53" customFormat="false" ht="15.75" hidden="false" customHeight="true" outlineLevel="0" collapsed="false">
      <c r="A53" s="35" t="str">
        <f aca="false">IF(基础资料!$Q53="","",基础资料!$Q53)</f>
        <v/>
      </c>
      <c r="B53" s="42" t="str">
        <f aca="false">IF($A53="","",基础资料!$R53)</f>
        <v/>
      </c>
      <c r="C53" s="42" t="str">
        <f aca="false">IF($A53="","",基础资料!$S53)</f>
        <v/>
      </c>
      <c r="D53" s="64" t="str">
        <f aca="false">IF($A53="","",SUMIFS(期初数据!$R$6:$R$205,期初数据!$O$6:$O$205,$A53)+SUMIFS(采购录入!$F$5:$F$404,采购录入!$E$5:$E$404,$A53,采购录入!$I$5:$I$404,"是",采购录入!$B$5:$B$404,"&lt;"&amp;首页!$B$6)-SUMIFS(销售录入!$F$5:$F$404,销售录入!$E$5:$E$404,$A53,销售录入!$B$5:$B$404,"&lt;"&amp;首页!$B$6))</f>
        <v/>
      </c>
      <c r="E53" s="54" t="str">
        <f aca="false">IF($A53="","",SUMIFS(期初数据!$T$6:$T$205,期初数据!$O$6:$O$205,$A53)+SUMIFS(采购录入!$Q$5:$Q$404,采购录入!$E$5:$E$404,$A53,采购录入!$I$5:$I$404,"是",采购录入!$B$5:$B$404,"&lt;"&amp;首页!$B$6)-SUMIFS(销售录入!$S$5:$S$404,销售录入!$E$5:$E$404,$A53,销售录入!$B$5:$B$404,"&lt;"&amp;首页!$B$6))</f>
        <v/>
      </c>
      <c r="F53" s="64" t="str">
        <f aca="false">IF($A53="","",SUMIFS(采购录入!$F$5:$F$404,采购录入!$E$5:$E$404,$A53,采购录入!$I$5:$I$404,"是",采购录入!$C$5:$C$404,首页!$B$5))</f>
        <v/>
      </c>
      <c r="G53" s="54" t="str">
        <f aca="false">IF($A53="","",SUMIFS(采购录入!$Q$5:$Q$404,采购录入!$E$5:$E$404,$A53,采购录入!$I$5:$I$404,"是",采购录入!$C$5:$C$404,首页!$B$5))</f>
        <v/>
      </c>
      <c r="H53" s="64" t="str">
        <f aca="false">IF($A53="","",SUMIFS(销售录入!$F$5:$F$404,销售录入!$E$5:$E$404,$A53,销售录入!$C$5:$C$404,首页!$B$5))</f>
        <v/>
      </c>
      <c r="I53" s="54" t="str">
        <f aca="false">IF($A53="","",SUMIFS(销售录入!$S$5:$S$404,销售录入!$E$5:$E$404,$A53,销售录入!$C$5:$C$404,首页!$B$5))</f>
        <v/>
      </c>
      <c r="J53" s="65" t="str">
        <f aca="false">IF($A53="","",$D53+$F53-$H53)</f>
        <v/>
      </c>
      <c r="K53" s="44" t="str">
        <f aca="false">IF($A53="","",$E53+$G53-$I53)</f>
        <v/>
      </c>
      <c r="L53" s="44" t="str">
        <f aca="false">IF(OR($A53="",$J53=0),"",$K53/$J53)</f>
        <v/>
      </c>
      <c r="M53" s="54" t="str">
        <f aca="false">IF($A53="","",SUMIFS(销售录入!$O$5:$O$404,销售录入!$E$5:$E$404,$A53,销售录入!$C$5:$C$404,首页!$B$5))</f>
        <v/>
      </c>
      <c r="N53" s="44" t="str">
        <f aca="false">IF($A53="","",$M53-$I53)</f>
        <v/>
      </c>
      <c r="O53" s="63" t="str">
        <f aca="false">IF(OR($A53="",$M53=0),"",$N53/$M53)</f>
        <v/>
      </c>
      <c r="P53" s="47" t="str">
        <f aca="false">IF($A53="","",IF($J53&lt;0,"⚠ 负库存",IF(AND($J53=0,ABS($K53)&gt;0.01),"⚠ 有金额无数量",IF(AND($J53&gt;0,$K53&lt;0),"⚠ 金额为负",IF($N53&lt;0,"⚠ 毛利为负","正常")))))</f>
        <v/>
      </c>
    </row>
    <row r="54" customFormat="false" ht="15.75" hidden="false" customHeight="true" outlineLevel="0" collapsed="false">
      <c r="A54" s="35" t="str">
        <f aca="false">IF(基础资料!$Q54="","",基础资料!$Q54)</f>
        <v/>
      </c>
      <c r="B54" s="42" t="str">
        <f aca="false">IF($A54="","",基础资料!$R54)</f>
        <v/>
      </c>
      <c r="C54" s="42" t="str">
        <f aca="false">IF($A54="","",基础资料!$S54)</f>
        <v/>
      </c>
      <c r="D54" s="64" t="str">
        <f aca="false">IF($A54="","",SUMIFS(期初数据!$R$6:$R$205,期初数据!$O$6:$O$205,$A54)+SUMIFS(采购录入!$F$5:$F$404,采购录入!$E$5:$E$404,$A54,采购录入!$I$5:$I$404,"是",采购录入!$B$5:$B$404,"&lt;"&amp;首页!$B$6)-SUMIFS(销售录入!$F$5:$F$404,销售录入!$E$5:$E$404,$A54,销售录入!$B$5:$B$404,"&lt;"&amp;首页!$B$6))</f>
        <v/>
      </c>
      <c r="E54" s="54" t="str">
        <f aca="false">IF($A54="","",SUMIFS(期初数据!$T$6:$T$205,期初数据!$O$6:$O$205,$A54)+SUMIFS(采购录入!$Q$5:$Q$404,采购录入!$E$5:$E$404,$A54,采购录入!$I$5:$I$404,"是",采购录入!$B$5:$B$404,"&lt;"&amp;首页!$B$6)-SUMIFS(销售录入!$S$5:$S$404,销售录入!$E$5:$E$404,$A54,销售录入!$B$5:$B$404,"&lt;"&amp;首页!$B$6))</f>
        <v/>
      </c>
      <c r="F54" s="64" t="str">
        <f aca="false">IF($A54="","",SUMIFS(采购录入!$F$5:$F$404,采购录入!$E$5:$E$404,$A54,采购录入!$I$5:$I$404,"是",采购录入!$C$5:$C$404,首页!$B$5))</f>
        <v/>
      </c>
      <c r="G54" s="54" t="str">
        <f aca="false">IF($A54="","",SUMIFS(采购录入!$Q$5:$Q$404,采购录入!$E$5:$E$404,$A54,采购录入!$I$5:$I$404,"是",采购录入!$C$5:$C$404,首页!$B$5))</f>
        <v/>
      </c>
      <c r="H54" s="64" t="str">
        <f aca="false">IF($A54="","",SUMIFS(销售录入!$F$5:$F$404,销售录入!$E$5:$E$404,$A54,销售录入!$C$5:$C$404,首页!$B$5))</f>
        <v/>
      </c>
      <c r="I54" s="54" t="str">
        <f aca="false">IF($A54="","",SUMIFS(销售录入!$S$5:$S$404,销售录入!$E$5:$E$404,$A54,销售录入!$C$5:$C$404,首页!$B$5))</f>
        <v/>
      </c>
      <c r="J54" s="65" t="str">
        <f aca="false">IF($A54="","",$D54+$F54-$H54)</f>
        <v/>
      </c>
      <c r="K54" s="44" t="str">
        <f aca="false">IF($A54="","",$E54+$G54-$I54)</f>
        <v/>
      </c>
      <c r="L54" s="44" t="str">
        <f aca="false">IF(OR($A54="",$J54=0),"",$K54/$J54)</f>
        <v/>
      </c>
      <c r="M54" s="54" t="str">
        <f aca="false">IF($A54="","",SUMIFS(销售录入!$O$5:$O$404,销售录入!$E$5:$E$404,$A54,销售录入!$C$5:$C$404,首页!$B$5))</f>
        <v/>
      </c>
      <c r="N54" s="44" t="str">
        <f aca="false">IF($A54="","",$M54-$I54)</f>
        <v/>
      </c>
      <c r="O54" s="63" t="str">
        <f aca="false">IF(OR($A54="",$M54=0),"",$N54/$M54)</f>
        <v/>
      </c>
      <c r="P54" s="47" t="str">
        <f aca="false">IF($A54="","",IF($J54&lt;0,"⚠ 负库存",IF(AND($J54=0,ABS($K54)&gt;0.01),"⚠ 有金额无数量",IF(AND($J54&gt;0,$K54&lt;0),"⚠ 金额为负",IF($N54&lt;0,"⚠ 毛利为负","正常")))))</f>
        <v/>
      </c>
    </row>
    <row r="55" customFormat="false" ht="15.75" hidden="false" customHeight="true" outlineLevel="0" collapsed="false">
      <c r="A55" s="35" t="str">
        <f aca="false">IF(基础资料!$Q55="","",基础资料!$Q55)</f>
        <v/>
      </c>
      <c r="B55" s="42" t="str">
        <f aca="false">IF($A55="","",基础资料!$R55)</f>
        <v/>
      </c>
      <c r="C55" s="42" t="str">
        <f aca="false">IF($A55="","",基础资料!$S55)</f>
        <v/>
      </c>
      <c r="D55" s="64" t="str">
        <f aca="false">IF($A55="","",SUMIFS(期初数据!$R$6:$R$205,期初数据!$O$6:$O$205,$A55)+SUMIFS(采购录入!$F$5:$F$404,采购录入!$E$5:$E$404,$A55,采购录入!$I$5:$I$404,"是",采购录入!$B$5:$B$404,"&lt;"&amp;首页!$B$6)-SUMIFS(销售录入!$F$5:$F$404,销售录入!$E$5:$E$404,$A55,销售录入!$B$5:$B$404,"&lt;"&amp;首页!$B$6))</f>
        <v/>
      </c>
      <c r="E55" s="54" t="str">
        <f aca="false">IF($A55="","",SUMIFS(期初数据!$T$6:$T$205,期初数据!$O$6:$O$205,$A55)+SUMIFS(采购录入!$Q$5:$Q$404,采购录入!$E$5:$E$404,$A55,采购录入!$I$5:$I$404,"是",采购录入!$B$5:$B$404,"&lt;"&amp;首页!$B$6)-SUMIFS(销售录入!$S$5:$S$404,销售录入!$E$5:$E$404,$A55,销售录入!$B$5:$B$404,"&lt;"&amp;首页!$B$6))</f>
        <v/>
      </c>
      <c r="F55" s="64" t="str">
        <f aca="false">IF($A55="","",SUMIFS(采购录入!$F$5:$F$404,采购录入!$E$5:$E$404,$A55,采购录入!$I$5:$I$404,"是",采购录入!$C$5:$C$404,首页!$B$5))</f>
        <v/>
      </c>
      <c r="G55" s="54" t="str">
        <f aca="false">IF($A55="","",SUMIFS(采购录入!$Q$5:$Q$404,采购录入!$E$5:$E$404,$A55,采购录入!$I$5:$I$404,"是",采购录入!$C$5:$C$404,首页!$B$5))</f>
        <v/>
      </c>
      <c r="H55" s="64" t="str">
        <f aca="false">IF($A55="","",SUMIFS(销售录入!$F$5:$F$404,销售录入!$E$5:$E$404,$A55,销售录入!$C$5:$C$404,首页!$B$5))</f>
        <v/>
      </c>
      <c r="I55" s="54" t="str">
        <f aca="false">IF($A55="","",SUMIFS(销售录入!$S$5:$S$404,销售录入!$E$5:$E$404,$A55,销售录入!$C$5:$C$404,首页!$B$5))</f>
        <v/>
      </c>
      <c r="J55" s="65" t="str">
        <f aca="false">IF($A55="","",$D55+$F55-$H55)</f>
        <v/>
      </c>
      <c r="K55" s="44" t="str">
        <f aca="false">IF($A55="","",$E55+$G55-$I55)</f>
        <v/>
      </c>
      <c r="L55" s="44" t="str">
        <f aca="false">IF(OR($A55="",$J55=0),"",$K55/$J55)</f>
        <v/>
      </c>
      <c r="M55" s="54" t="str">
        <f aca="false">IF($A55="","",SUMIFS(销售录入!$O$5:$O$404,销售录入!$E$5:$E$404,$A55,销售录入!$C$5:$C$404,首页!$B$5))</f>
        <v/>
      </c>
      <c r="N55" s="44" t="str">
        <f aca="false">IF($A55="","",$M55-$I55)</f>
        <v/>
      </c>
      <c r="O55" s="63" t="str">
        <f aca="false">IF(OR($A55="",$M55=0),"",$N55/$M55)</f>
        <v/>
      </c>
      <c r="P55" s="47" t="str">
        <f aca="false">IF($A55="","",IF($J55&lt;0,"⚠ 负库存",IF(AND($J55=0,ABS($K55)&gt;0.01),"⚠ 有金额无数量",IF(AND($J55&gt;0,$K55&lt;0),"⚠ 金额为负",IF($N55&lt;0,"⚠ 毛利为负","正常")))))</f>
        <v/>
      </c>
    </row>
    <row r="56" customFormat="false" ht="15.75" hidden="false" customHeight="true" outlineLevel="0" collapsed="false">
      <c r="A56" s="35" t="str">
        <f aca="false">IF(基础资料!$Q56="","",基础资料!$Q56)</f>
        <v/>
      </c>
      <c r="B56" s="42" t="str">
        <f aca="false">IF($A56="","",基础资料!$R56)</f>
        <v/>
      </c>
      <c r="C56" s="42" t="str">
        <f aca="false">IF($A56="","",基础资料!$S56)</f>
        <v/>
      </c>
      <c r="D56" s="64" t="str">
        <f aca="false">IF($A56="","",SUMIFS(期初数据!$R$6:$R$205,期初数据!$O$6:$O$205,$A56)+SUMIFS(采购录入!$F$5:$F$404,采购录入!$E$5:$E$404,$A56,采购录入!$I$5:$I$404,"是",采购录入!$B$5:$B$404,"&lt;"&amp;首页!$B$6)-SUMIFS(销售录入!$F$5:$F$404,销售录入!$E$5:$E$404,$A56,销售录入!$B$5:$B$404,"&lt;"&amp;首页!$B$6))</f>
        <v/>
      </c>
      <c r="E56" s="54" t="str">
        <f aca="false">IF($A56="","",SUMIFS(期初数据!$T$6:$T$205,期初数据!$O$6:$O$205,$A56)+SUMIFS(采购录入!$Q$5:$Q$404,采购录入!$E$5:$E$404,$A56,采购录入!$I$5:$I$404,"是",采购录入!$B$5:$B$404,"&lt;"&amp;首页!$B$6)-SUMIFS(销售录入!$S$5:$S$404,销售录入!$E$5:$E$404,$A56,销售录入!$B$5:$B$404,"&lt;"&amp;首页!$B$6))</f>
        <v/>
      </c>
      <c r="F56" s="64" t="str">
        <f aca="false">IF($A56="","",SUMIFS(采购录入!$F$5:$F$404,采购录入!$E$5:$E$404,$A56,采购录入!$I$5:$I$404,"是",采购录入!$C$5:$C$404,首页!$B$5))</f>
        <v/>
      </c>
      <c r="G56" s="54" t="str">
        <f aca="false">IF($A56="","",SUMIFS(采购录入!$Q$5:$Q$404,采购录入!$E$5:$E$404,$A56,采购录入!$I$5:$I$404,"是",采购录入!$C$5:$C$404,首页!$B$5))</f>
        <v/>
      </c>
      <c r="H56" s="64" t="str">
        <f aca="false">IF($A56="","",SUMIFS(销售录入!$F$5:$F$404,销售录入!$E$5:$E$404,$A56,销售录入!$C$5:$C$404,首页!$B$5))</f>
        <v/>
      </c>
      <c r="I56" s="54" t="str">
        <f aca="false">IF($A56="","",SUMIFS(销售录入!$S$5:$S$404,销售录入!$E$5:$E$404,$A56,销售录入!$C$5:$C$404,首页!$B$5))</f>
        <v/>
      </c>
      <c r="J56" s="65" t="str">
        <f aca="false">IF($A56="","",$D56+$F56-$H56)</f>
        <v/>
      </c>
      <c r="K56" s="44" t="str">
        <f aca="false">IF($A56="","",$E56+$G56-$I56)</f>
        <v/>
      </c>
      <c r="L56" s="44" t="str">
        <f aca="false">IF(OR($A56="",$J56=0),"",$K56/$J56)</f>
        <v/>
      </c>
      <c r="M56" s="54" t="str">
        <f aca="false">IF($A56="","",SUMIFS(销售录入!$O$5:$O$404,销售录入!$E$5:$E$404,$A56,销售录入!$C$5:$C$404,首页!$B$5))</f>
        <v/>
      </c>
      <c r="N56" s="44" t="str">
        <f aca="false">IF($A56="","",$M56-$I56)</f>
        <v/>
      </c>
      <c r="O56" s="63" t="str">
        <f aca="false">IF(OR($A56="",$M56=0),"",$N56/$M56)</f>
        <v/>
      </c>
      <c r="P56" s="47" t="str">
        <f aca="false">IF($A56="","",IF($J56&lt;0,"⚠ 负库存",IF(AND($J56=0,ABS($K56)&gt;0.01),"⚠ 有金额无数量",IF(AND($J56&gt;0,$K56&lt;0),"⚠ 金额为负",IF($N56&lt;0,"⚠ 毛利为负","正常")))))</f>
        <v/>
      </c>
    </row>
    <row r="57" customFormat="false" ht="15.75" hidden="false" customHeight="true" outlineLevel="0" collapsed="false">
      <c r="A57" s="35" t="str">
        <f aca="false">IF(基础资料!$Q57="","",基础资料!$Q57)</f>
        <v/>
      </c>
      <c r="B57" s="42" t="str">
        <f aca="false">IF($A57="","",基础资料!$R57)</f>
        <v/>
      </c>
      <c r="C57" s="42" t="str">
        <f aca="false">IF($A57="","",基础资料!$S57)</f>
        <v/>
      </c>
      <c r="D57" s="64" t="str">
        <f aca="false">IF($A57="","",SUMIFS(期初数据!$R$6:$R$205,期初数据!$O$6:$O$205,$A57)+SUMIFS(采购录入!$F$5:$F$404,采购录入!$E$5:$E$404,$A57,采购录入!$I$5:$I$404,"是",采购录入!$B$5:$B$404,"&lt;"&amp;首页!$B$6)-SUMIFS(销售录入!$F$5:$F$404,销售录入!$E$5:$E$404,$A57,销售录入!$B$5:$B$404,"&lt;"&amp;首页!$B$6))</f>
        <v/>
      </c>
      <c r="E57" s="54" t="str">
        <f aca="false">IF($A57="","",SUMIFS(期初数据!$T$6:$T$205,期初数据!$O$6:$O$205,$A57)+SUMIFS(采购录入!$Q$5:$Q$404,采购录入!$E$5:$E$404,$A57,采购录入!$I$5:$I$404,"是",采购录入!$B$5:$B$404,"&lt;"&amp;首页!$B$6)-SUMIFS(销售录入!$S$5:$S$404,销售录入!$E$5:$E$404,$A57,销售录入!$B$5:$B$404,"&lt;"&amp;首页!$B$6))</f>
        <v/>
      </c>
      <c r="F57" s="64" t="str">
        <f aca="false">IF($A57="","",SUMIFS(采购录入!$F$5:$F$404,采购录入!$E$5:$E$404,$A57,采购录入!$I$5:$I$404,"是",采购录入!$C$5:$C$404,首页!$B$5))</f>
        <v/>
      </c>
      <c r="G57" s="54" t="str">
        <f aca="false">IF($A57="","",SUMIFS(采购录入!$Q$5:$Q$404,采购录入!$E$5:$E$404,$A57,采购录入!$I$5:$I$404,"是",采购录入!$C$5:$C$404,首页!$B$5))</f>
        <v/>
      </c>
      <c r="H57" s="64" t="str">
        <f aca="false">IF($A57="","",SUMIFS(销售录入!$F$5:$F$404,销售录入!$E$5:$E$404,$A57,销售录入!$C$5:$C$404,首页!$B$5))</f>
        <v/>
      </c>
      <c r="I57" s="54" t="str">
        <f aca="false">IF($A57="","",SUMIFS(销售录入!$S$5:$S$404,销售录入!$E$5:$E$404,$A57,销售录入!$C$5:$C$404,首页!$B$5))</f>
        <v/>
      </c>
      <c r="J57" s="65" t="str">
        <f aca="false">IF($A57="","",$D57+$F57-$H57)</f>
        <v/>
      </c>
      <c r="K57" s="44" t="str">
        <f aca="false">IF($A57="","",$E57+$G57-$I57)</f>
        <v/>
      </c>
      <c r="L57" s="44" t="str">
        <f aca="false">IF(OR($A57="",$J57=0),"",$K57/$J57)</f>
        <v/>
      </c>
      <c r="M57" s="54" t="str">
        <f aca="false">IF($A57="","",SUMIFS(销售录入!$O$5:$O$404,销售录入!$E$5:$E$404,$A57,销售录入!$C$5:$C$404,首页!$B$5))</f>
        <v/>
      </c>
      <c r="N57" s="44" t="str">
        <f aca="false">IF($A57="","",$M57-$I57)</f>
        <v/>
      </c>
      <c r="O57" s="63" t="str">
        <f aca="false">IF(OR($A57="",$M57=0),"",$N57/$M57)</f>
        <v/>
      </c>
      <c r="P57" s="47" t="str">
        <f aca="false">IF($A57="","",IF($J57&lt;0,"⚠ 负库存",IF(AND($J57=0,ABS($K57)&gt;0.01),"⚠ 有金额无数量",IF(AND($J57&gt;0,$K57&lt;0),"⚠ 金额为负",IF($N57&lt;0,"⚠ 毛利为负","正常")))))</f>
        <v/>
      </c>
    </row>
    <row r="58" customFormat="false" ht="15.75" hidden="false" customHeight="true" outlineLevel="0" collapsed="false">
      <c r="A58" s="35" t="str">
        <f aca="false">IF(基础资料!$Q58="","",基础资料!$Q58)</f>
        <v/>
      </c>
      <c r="B58" s="42" t="str">
        <f aca="false">IF($A58="","",基础资料!$R58)</f>
        <v/>
      </c>
      <c r="C58" s="42" t="str">
        <f aca="false">IF($A58="","",基础资料!$S58)</f>
        <v/>
      </c>
      <c r="D58" s="64" t="str">
        <f aca="false">IF($A58="","",SUMIFS(期初数据!$R$6:$R$205,期初数据!$O$6:$O$205,$A58)+SUMIFS(采购录入!$F$5:$F$404,采购录入!$E$5:$E$404,$A58,采购录入!$I$5:$I$404,"是",采购录入!$B$5:$B$404,"&lt;"&amp;首页!$B$6)-SUMIFS(销售录入!$F$5:$F$404,销售录入!$E$5:$E$404,$A58,销售录入!$B$5:$B$404,"&lt;"&amp;首页!$B$6))</f>
        <v/>
      </c>
      <c r="E58" s="54" t="str">
        <f aca="false">IF($A58="","",SUMIFS(期初数据!$T$6:$T$205,期初数据!$O$6:$O$205,$A58)+SUMIFS(采购录入!$Q$5:$Q$404,采购录入!$E$5:$E$404,$A58,采购录入!$I$5:$I$404,"是",采购录入!$B$5:$B$404,"&lt;"&amp;首页!$B$6)-SUMIFS(销售录入!$S$5:$S$404,销售录入!$E$5:$E$404,$A58,销售录入!$B$5:$B$404,"&lt;"&amp;首页!$B$6))</f>
        <v/>
      </c>
      <c r="F58" s="64" t="str">
        <f aca="false">IF($A58="","",SUMIFS(采购录入!$F$5:$F$404,采购录入!$E$5:$E$404,$A58,采购录入!$I$5:$I$404,"是",采购录入!$C$5:$C$404,首页!$B$5))</f>
        <v/>
      </c>
      <c r="G58" s="54" t="str">
        <f aca="false">IF($A58="","",SUMIFS(采购录入!$Q$5:$Q$404,采购录入!$E$5:$E$404,$A58,采购录入!$I$5:$I$404,"是",采购录入!$C$5:$C$404,首页!$B$5))</f>
        <v/>
      </c>
      <c r="H58" s="64" t="str">
        <f aca="false">IF($A58="","",SUMIFS(销售录入!$F$5:$F$404,销售录入!$E$5:$E$404,$A58,销售录入!$C$5:$C$404,首页!$B$5))</f>
        <v/>
      </c>
      <c r="I58" s="54" t="str">
        <f aca="false">IF($A58="","",SUMIFS(销售录入!$S$5:$S$404,销售录入!$E$5:$E$404,$A58,销售录入!$C$5:$C$404,首页!$B$5))</f>
        <v/>
      </c>
      <c r="J58" s="65" t="str">
        <f aca="false">IF($A58="","",$D58+$F58-$H58)</f>
        <v/>
      </c>
      <c r="K58" s="44" t="str">
        <f aca="false">IF($A58="","",$E58+$G58-$I58)</f>
        <v/>
      </c>
      <c r="L58" s="44" t="str">
        <f aca="false">IF(OR($A58="",$J58=0),"",$K58/$J58)</f>
        <v/>
      </c>
      <c r="M58" s="54" t="str">
        <f aca="false">IF($A58="","",SUMIFS(销售录入!$O$5:$O$404,销售录入!$E$5:$E$404,$A58,销售录入!$C$5:$C$404,首页!$B$5))</f>
        <v/>
      </c>
      <c r="N58" s="44" t="str">
        <f aca="false">IF($A58="","",$M58-$I58)</f>
        <v/>
      </c>
      <c r="O58" s="63" t="str">
        <f aca="false">IF(OR($A58="",$M58=0),"",$N58/$M58)</f>
        <v/>
      </c>
      <c r="P58" s="47" t="str">
        <f aca="false">IF($A58="","",IF($J58&lt;0,"⚠ 负库存",IF(AND($J58=0,ABS($K58)&gt;0.01),"⚠ 有金额无数量",IF(AND($J58&gt;0,$K58&lt;0),"⚠ 金额为负",IF($N58&lt;0,"⚠ 毛利为负","正常")))))</f>
        <v/>
      </c>
    </row>
    <row r="59" customFormat="false" ht="15.75" hidden="false" customHeight="true" outlineLevel="0" collapsed="false">
      <c r="A59" s="35" t="str">
        <f aca="false">IF(基础资料!$Q59="","",基础资料!$Q59)</f>
        <v/>
      </c>
      <c r="B59" s="42" t="str">
        <f aca="false">IF($A59="","",基础资料!$R59)</f>
        <v/>
      </c>
      <c r="C59" s="42" t="str">
        <f aca="false">IF($A59="","",基础资料!$S59)</f>
        <v/>
      </c>
      <c r="D59" s="64" t="str">
        <f aca="false">IF($A59="","",SUMIFS(期初数据!$R$6:$R$205,期初数据!$O$6:$O$205,$A59)+SUMIFS(采购录入!$F$5:$F$404,采购录入!$E$5:$E$404,$A59,采购录入!$I$5:$I$404,"是",采购录入!$B$5:$B$404,"&lt;"&amp;首页!$B$6)-SUMIFS(销售录入!$F$5:$F$404,销售录入!$E$5:$E$404,$A59,销售录入!$B$5:$B$404,"&lt;"&amp;首页!$B$6))</f>
        <v/>
      </c>
      <c r="E59" s="54" t="str">
        <f aca="false">IF($A59="","",SUMIFS(期初数据!$T$6:$T$205,期初数据!$O$6:$O$205,$A59)+SUMIFS(采购录入!$Q$5:$Q$404,采购录入!$E$5:$E$404,$A59,采购录入!$I$5:$I$404,"是",采购录入!$B$5:$B$404,"&lt;"&amp;首页!$B$6)-SUMIFS(销售录入!$S$5:$S$404,销售录入!$E$5:$E$404,$A59,销售录入!$B$5:$B$404,"&lt;"&amp;首页!$B$6))</f>
        <v/>
      </c>
      <c r="F59" s="64" t="str">
        <f aca="false">IF($A59="","",SUMIFS(采购录入!$F$5:$F$404,采购录入!$E$5:$E$404,$A59,采购录入!$I$5:$I$404,"是",采购录入!$C$5:$C$404,首页!$B$5))</f>
        <v/>
      </c>
      <c r="G59" s="54" t="str">
        <f aca="false">IF($A59="","",SUMIFS(采购录入!$Q$5:$Q$404,采购录入!$E$5:$E$404,$A59,采购录入!$I$5:$I$404,"是",采购录入!$C$5:$C$404,首页!$B$5))</f>
        <v/>
      </c>
      <c r="H59" s="64" t="str">
        <f aca="false">IF($A59="","",SUMIFS(销售录入!$F$5:$F$404,销售录入!$E$5:$E$404,$A59,销售录入!$C$5:$C$404,首页!$B$5))</f>
        <v/>
      </c>
      <c r="I59" s="54" t="str">
        <f aca="false">IF($A59="","",SUMIFS(销售录入!$S$5:$S$404,销售录入!$E$5:$E$404,$A59,销售录入!$C$5:$C$404,首页!$B$5))</f>
        <v/>
      </c>
      <c r="J59" s="65" t="str">
        <f aca="false">IF($A59="","",$D59+$F59-$H59)</f>
        <v/>
      </c>
      <c r="K59" s="44" t="str">
        <f aca="false">IF($A59="","",$E59+$G59-$I59)</f>
        <v/>
      </c>
      <c r="L59" s="44" t="str">
        <f aca="false">IF(OR($A59="",$J59=0),"",$K59/$J59)</f>
        <v/>
      </c>
      <c r="M59" s="54" t="str">
        <f aca="false">IF($A59="","",SUMIFS(销售录入!$O$5:$O$404,销售录入!$E$5:$E$404,$A59,销售录入!$C$5:$C$404,首页!$B$5))</f>
        <v/>
      </c>
      <c r="N59" s="44" t="str">
        <f aca="false">IF($A59="","",$M59-$I59)</f>
        <v/>
      </c>
      <c r="O59" s="63" t="str">
        <f aca="false">IF(OR($A59="",$M59=0),"",$N59/$M59)</f>
        <v/>
      </c>
      <c r="P59" s="47" t="str">
        <f aca="false">IF($A59="","",IF($J59&lt;0,"⚠ 负库存",IF(AND($J59=0,ABS($K59)&gt;0.01),"⚠ 有金额无数量",IF(AND($J59&gt;0,$K59&lt;0),"⚠ 金额为负",IF($N59&lt;0,"⚠ 毛利为负","正常")))))</f>
        <v/>
      </c>
    </row>
    <row r="60" customFormat="false" ht="15.75" hidden="false" customHeight="true" outlineLevel="0" collapsed="false">
      <c r="A60" s="35" t="str">
        <f aca="false">IF(基础资料!$Q60="","",基础资料!$Q60)</f>
        <v/>
      </c>
      <c r="B60" s="42" t="str">
        <f aca="false">IF($A60="","",基础资料!$R60)</f>
        <v/>
      </c>
      <c r="C60" s="42" t="str">
        <f aca="false">IF($A60="","",基础资料!$S60)</f>
        <v/>
      </c>
      <c r="D60" s="64" t="str">
        <f aca="false">IF($A60="","",SUMIFS(期初数据!$R$6:$R$205,期初数据!$O$6:$O$205,$A60)+SUMIFS(采购录入!$F$5:$F$404,采购录入!$E$5:$E$404,$A60,采购录入!$I$5:$I$404,"是",采购录入!$B$5:$B$404,"&lt;"&amp;首页!$B$6)-SUMIFS(销售录入!$F$5:$F$404,销售录入!$E$5:$E$404,$A60,销售录入!$B$5:$B$404,"&lt;"&amp;首页!$B$6))</f>
        <v/>
      </c>
      <c r="E60" s="54" t="str">
        <f aca="false">IF($A60="","",SUMIFS(期初数据!$T$6:$T$205,期初数据!$O$6:$O$205,$A60)+SUMIFS(采购录入!$Q$5:$Q$404,采购录入!$E$5:$E$404,$A60,采购录入!$I$5:$I$404,"是",采购录入!$B$5:$B$404,"&lt;"&amp;首页!$B$6)-SUMIFS(销售录入!$S$5:$S$404,销售录入!$E$5:$E$404,$A60,销售录入!$B$5:$B$404,"&lt;"&amp;首页!$B$6))</f>
        <v/>
      </c>
      <c r="F60" s="64" t="str">
        <f aca="false">IF($A60="","",SUMIFS(采购录入!$F$5:$F$404,采购录入!$E$5:$E$404,$A60,采购录入!$I$5:$I$404,"是",采购录入!$C$5:$C$404,首页!$B$5))</f>
        <v/>
      </c>
      <c r="G60" s="54" t="str">
        <f aca="false">IF($A60="","",SUMIFS(采购录入!$Q$5:$Q$404,采购录入!$E$5:$E$404,$A60,采购录入!$I$5:$I$404,"是",采购录入!$C$5:$C$404,首页!$B$5))</f>
        <v/>
      </c>
      <c r="H60" s="64" t="str">
        <f aca="false">IF($A60="","",SUMIFS(销售录入!$F$5:$F$404,销售录入!$E$5:$E$404,$A60,销售录入!$C$5:$C$404,首页!$B$5))</f>
        <v/>
      </c>
      <c r="I60" s="54" t="str">
        <f aca="false">IF($A60="","",SUMIFS(销售录入!$S$5:$S$404,销售录入!$E$5:$E$404,$A60,销售录入!$C$5:$C$404,首页!$B$5))</f>
        <v/>
      </c>
      <c r="J60" s="65" t="str">
        <f aca="false">IF($A60="","",$D60+$F60-$H60)</f>
        <v/>
      </c>
      <c r="K60" s="44" t="str">
        <f aca="false">IF($A60="","",$E60+$G60-$I60)</f>
        <v/>
      </c>
      <c r="L60" s="44" t="str">
        <f aca="false">IF(OR($A60="",$J60=0),"",$K60/$J60)</f>
        <v/>
      </c>
      <c r="M60" s="54" t="str">
        <f aca="false">IF($A60="","",SUMIFS(销售录入!$O$5:$O$404,销售录入!$E$5:$E$404,$A60,销售录入!$C$5:$C$404,首页!$B$5))</f>
        <v/>
      </c>
      <c r="N60" s="44" t="str">
        <f aca="false">IF($A60="","",$M60-$I60)</f>
        <v/>
      </c>
      <c r="O60" s="63" t="str">
        <f aca="false">IF(OR($A60="",$M60=0),"",$N60/$M60)</f>
        <v/>
      </c>
      <c r="P60" s="47" t="str">
        <f aca="false">IF($A60="","",IF($J60&lt;0,"⚠ 负库存",IF(AND($J60=0,ABS($K60)&gt;0.01),"⚠ 有金额无数量",IF(AND($J60&gt;0,$K60&lt;0),"⚠ 金额为负",IF($N60&lt;0,"⚠ 毛利为负","正常")))))</f>
        <v/>
      </c>
    </row>
    <row r="61" customFormat="false" ht="15.75" hidden="false" customHeight="true" outlineLevel="0" collapsed="false">
      <c r="A61" s="35" t="str">
        <f aca="false">IF(基础资料!$Q61="","",基础资料!$Q61)</f>
        <v/>
      </c>
      <c r="B61" s="42" t="str">
        <f aca="false">IF($A61="","",基础资料!$R61)</f>
        <v/>
      </c>
      <c r="C61" s="42" t="str">
        <f aca="false">IF($A61="","",基础资料!$S61)</f>
        <v/>
      </c>
      <c r="D61" s="64" t="str">
        <f aca="false">IF($A61="","",SUMIFS(期初数据!$R$6:$R$205,期初数据!$O$6:$O$205,$A61)+SUMIFS(采购录入!$F$5:$F$404,采购录入!$E$5:$E$404,$A61,采购录入!$I$5:$I$404,"是",采购录入!$B$5:$B$404,"&lt;"&amp;首页!$B$6)-SUMIFS(销售录入!$F$5:$F$404,销售录入!$E$5:$E$404,$A61,销售录入!$B$5:$B$404,"&lt;"&amp;首页!$B$6))</f>
        <v/>
      </c>
      <c r="E61" s="54" t="str">
        <f aca="false">IF($A61="","",SUMIFS(期初数据!$T$6:$T$205,期初数据!$O$6:$O$205,$A61)+SUMIFS(采购录入!$Q$5:$Q$404,采购录入!$E$5:$E$404,$A61,采购录入!$I$5:$I$404,"是",采购录入!$B$5:$B$404,"&lt;"&amp;首页!$B$6)-SUMIFS(销售录入!$S$5:$S$404,销售录入!$E$5:$E$404,$A61,销售录入!$B$5:$B$404,"&lt;"&amp;首页!$B$6))</f>
        <v/>
      </c>
      <c r="F61" s="64" t="str">
        <f aca="false">IF($A61="","",SUMIFS(采购录入!$F$5:$F$404,采购录入!$E$5:$E$404,$A61,采购录入!$I$5:$I$404,"是",采购录入!$C$5:$C$404,首页!$B$5))</f>
        <v/>
      </c>
      <c r="G61" s="54" t="str">
        <f aca="false">IF($A61="","",SUMIFS(采购录入!$Q$5:$Q$404,采购录入!$E$5:$E$404,$A61,采购录入!$I$5:$I$404,"是",采购录入!$C$5:$C$404,首页!$B$5))</f>
        <v/>
      </c>
      <c r="H61" s="64" t="str">
        <f aca="false">IF($A61="","",SUMIFS(销售录入!$F$5:$F$404,销售录入!$E$5:$E$404,$A61,销售录入!$C$5:$C$404,首页!$B$5))</f>
        <v/>
      </c>
      <c r="I61" s="54" t="str">
        <f aca="false">IF($A61="","",SUMIFS(销售录入!$S$5:$S$404,销售录入!$E$5:$E$404,$A61,销售录入!$C$5:$C$404,首页!$B$5))</f>
        <v/>
      </c>
      <c r="J61" s="65" t="str">
        <f aca="false">IF($A61="","",$D61+$F61-$H61)</f>
        <v/>
      </c>
      <c r="K61" s="44" t="str">
        <f aca="false">IF($A61="","",$E61+$G61-$I61)</f>
        <v/>
      </c>
      <c r="L61" s="44" t="str">
        <f aca="false">IF(OR($A61="",$J61=0),"",$K61/$J61)</f>
        <v/>
      </c>
      <c r="M61" s="54" t="str">
        <f aca="false">IF($A61="","",SUMIFS(销售录入!$O$5:$O$404,销售录入!$E$5:$E$404,$A61,销售录入!$C$5:$C$404,首页!$B$5))</f>
        <v/>
      </c>
      <c r="N61" s="44" t="str">
        <f aca="false">IF($A61="","",$M61-$I61)</f>
        <v/>
      </c>
      <c r="O61" s="63" t="str">
        <f aca="false">IF(OR($A61="",$M61=0),"",$N61/$M61)</f>
        <v/>
      </c>
      <c r="P61" s="47" t="str">
        <f aca="false">IF($A61="","",IF($J61&lt;0,"⚠ 负库存",IF(AND($J61=0,ABS($K61)&gt;0.01),"⚠ 有金额无数量",IF(AND($J61&gt;0,$K61&lt;0),"⚠ 金额为负",IF($N61&lt;0,"⚠ 毛利为负","正常")))))</f>
        <v/>
      </c>
    </row>
    <row r="62" customFormat="false" ht="15.75" hidden="false" customHeight="true" outlineLevel="0" collapsed="false">
      <c r="A62" s="35" t="str">
        <f aca="false">IF(基础资料!$Q62="","",基础资料!$Q62)</f>
        <v/>
      </c>
      <c r="B62" s="42" t="str">
        <f aca="false">IF($A62="","",基础资料!$R62)</f>
        <v/>
      </c>
      <c r="C62" s="42" t="str">
        <f aca="false">IF($A62="","",基础资料!$S62)</f>
        <v/>
      </c>
      <c r="D62" s="64" t="str">
        <f aca="false">IF($A62="","",SUMIFS(期初数据!$R$6:$R$205,期初数据!$O$6:$O$205,$A62)+SUMIFS(采购录入!$F$5:$F$404,采购录入!$E$5:$E$404,$A62,采购录入!$I$5:$I$404,"是",采购录入!$B$5:$B$404,"&lt;"&amp;首页!$B$6)-SUMIFS(销售录入!$F$5:$F$404,销售录入!$E$5:$E$404,$A62,销售录入!$B$5:$B$404,"&lt;"&amp;首页!$B$6))</f>
        <v/>
      </c>
      <c r="E62" s="54" t="str">
        <f aca="false">IF($A62="","",SUMIFS(期初数据!$T$6:$T$205,期初数据!$O$6:$O$205,$A62)+SUMIFS(采购录入!$Q$5:$Q$404,采购录入!$E$5:$E$404,$A62,采购录入!$I$5:$I$404,"是",采购录入!$B$5:$B$404,"&lt;"&amp;首页!$B$6)-SUMIFS(销售录入!$S$5:$S$404,销售录入!$E$5:$E$404,$A62,销售录入!$B$5:$B$404,"&lt;"&amp;首页!$B$6))</f>
        <v/>
      </c>
      <c r="F62" s="64" t="str">
        <f aca="false">IF($A62="","",SUMIFS(采购录入!$F$5:$F$404,采购录入!$E$5:$E$404,$A62,采购录入!$I$5:$I$404,"是",采购录入!$C$5:$C$404,首页!$B$5))</f>
        <v/>
      </c>
      <c r="G62" s="54" t="str">
        <f aca="false">IF($A62="","",SUMIFS(采购录入!$Q$5:$Q$404,采购录入!$E$5:$E$404,$A62,采购录入!$I$5:$I$404,"是",采购录入!$C$5:$C$404,首页!$B$5))</f>
        <v/>
      </c>
      <c r="H62" s="64" t="str">
        <f aca="false">IF($A62="","",SUMIFS(销售录入!$F$5:$F$404,销售录入!$E$5:$E$404,$A62,销售录入!$C$5:$C$404,首页!$B$5))</f>
        <v/>
      </c>
      <c r="I62" s="54" t="str">
        <f aca="false">IF($A62="","",SUMIFS(销售录入!$S$5:$S$404,销售录入!$E$5:$E$404,$A62,销售录入!$C$5:$C$404,首页!$B$5))</f>
        <v/>
      </c>
      <c r="J62" s="65" t="str">
        <f aca="false">IF($A62="","",$D62+$F62-$H62)</f>
        <v/>
      </c>
      <c r="K62" s="44" t="str">
        <f aca="false">IF($A62="","",$E62+$G62-$I62)</f>
        <v/>
      </c>
      <c r="L62" s="44" t="str">
        <f aca="false">IF(OR($A62="",$J62=0),"",$K62/$J62)</f>
        <v/>
      </c>
      <c r="M62" s="54" t="str">
        <f aca="false">IF($A62="","",SUMIFS(销售录入!$O$5:$O$404,销售录入!$E$5:$E$404,$A62,销售录入!$C$5:$C$404,首页!$B$5))</f>
        <v/>
      </c>
      <c r="N62" s="44" t="str">
        <f aca="false">IF($A62="","",$M62-$I62)</f>
        <v/>
      </c>
      <c r="O62" s="63" t="str">
        <f aca="false">IF(OR($A62="",$M62=0),"",$N62/$M62)</f>
        <v/>
      </c>
      <c r="P62" s="47" t="str">
        <f aca="false">IF($A62="","",IF($J62&lt;0,"⚠ 负库存",IF(AND($J62=0,ABS($K62)&gt;0.01),"⚠ 有金额无数量",IF(AND($J62&gt;0,$K62&lt;0),"⚠ 金额为负",IF($N62&lt;0,"⚠ 毛利为负","正常")))))</f>
        <v/>
      </c>
    </row>
    <row r="63" customFormat="false" ht="15.75" hidden="false" customHeight="true" outlineLevel="0" collapsed="false">
      <c r="A63" s="35" t="str">
        <f aca="false">IF(基础资料!$Q63="","",基础资料!$Q63)</f>
        <v/>
      </c>
      <c r="B63" s="42" t="str">
        <f aca="false">IF($A63="","",基础资料!$R63)</f>
        <v/>
      </c>
      <c r="C63" s="42" t="str">
        <f aca="false">IF($A63="","",基础资料!$S63)</f>
        <v/>
      </c>
      <c r="D63" s="64" t="str">
        <f aca="false">IF($A63="","",SUMIFS(期初数据!$R$6:$R$205,期初数据!$O$6:$O$205,$A63)+SUMIFS(采购录入!$F$5:$F$404,采购录入!$E$5:$E$404,$A63,采购录入!$I$5:$I$404,"是",采购录入!$B$5:$B$404,"&lt;"&amp;首页!$B$6)-SUMIFS(销售录入!$F$5:$F$404,销售录入!$E$5:$E$404,$A63,销售录入!$B$5:$B$404,"&lt;"&amp;首页!$B$6))</f>
        <v/>
      </c>
      <c r="E63" s="54" t="str">
        <f aca="false">IF($A63="","",SUMIFS(期初数据!$T$6:$T$205,期初数据!$O$6:$O$205,$A63)+SUMIFS(采购录入!$Q$5:$Q$404,采购录入!$E$5:$E$404,$A63,采购录入!$I$5:$I$404,"是",采购录入!$B$5:$B$404,"&lt;"&amp;首页!$B$6)-SUMIFS(销售录入!$S$5:$S$404,销售录入!$E$5:$E$404,$A63,销售录入!$B$5:$B$404,"&lt;"&amp;首页!$B$6))</f>
        <v/>
      </c>
      <c r="F63" s="64" t="str">
        <f aca="false">IF($A63="","",SUMIFS(采购录入!$F$5:$F$404,采购录入!$E$5:$E$404,$A63,采购录入!$I$5:$I$404,"是",采购录入!$C$5:$C$404,首页!$B$5))</f>
        <v/>
      </c>
      <c r="G63" s="54" t="str">
        <f aca="false">IF($A63="","",SUMIFS(采购录入!$Q$5:$Q$404,采购录入!$E$5:$E$404,$A63,采购录入!$I$5:$I$404,"是",采购录入!$C$5:$C$404,首页!$B$5))</f>
        <v/>
      </c>
      <c r="H63" s="64" t="str">
        <f aca="false">IF($A63="","",SUMIFS(销售录入!$F$5:$F$404,销售录入!$E$5:$E$404,$A63,销售录入!$C$5:$C$404,首页!$B$5))</f>
        <v/>
      </c>
      <c r="I63" s="54" t="str">
        <f aca="false">IF($A63="","",SUMIFS(销售录入!$S$5:$S$404,销售录入!$E$5:$E$404,$A63,销售录入!$C$5:$C$404,首页!$B$5))</f>
        <v/>
      </c>
      <c r="J63" s="65" t="str">
        <f aca="false">IF($A63="","",$D63+$F63-$H63)</f>
        <v/>
      </c>
      <c r="K63" s="44" t="str">
        <f aca="false">IF($A63="","",$E63+$G63-$I63)</f>
        <v/>
      </c>
      <c r="L63" s="44" t="str">
        <f aca="false">IF(OR($A63="",$J63=0),"",$K63/$J63)</f>
        <v/>
      </c>
      <c r="M63" s="54" t="str">
        <f aca="false">IF($A63="","",SUMIFS(销售录入!$O$5:$O$404,销售录入!$E$5:$E$404,$A63,销售录入!$C$5:$C$404,首页!$B$5))</f>
        <v/>
      </c>
      <c r="N63" s="44" t="str">
        <f aca="false">IF($A63="","",$M63-$I63)</f>
        <v/>
      </c>
      <c r="O63" s="63" t="str">
        <f aca="false">IF(OR($A63="",$M63=0),"",$N63/$M63)</f>
        <v/>
      </c>
      <c r="P63" s="47" t="str">
        <f aca="false">IF($A63="","",IF($J63&lt;0,"⚠ 负库存",IF(AND($J63=0,ABS($K63)&gt;0.01),"⚠ 有金额无数量",IF(AND($J63&gt;0,$K63&lt;0),"⚠ 金额为负",IF($N63&lt;0,"⚠ 毛利为负","正常")))))</f>
        <v/>
      </c>
    </row>
    <row r="64" customFormat="false" ht="15.75" hidden="false" customHeight="true" outlineLevel="0" collapsed="false">
      <c r="A64" s="35" t="str">
        <f aca="false">IF(基础资料!$Q64="","",基础资料!$Q64)</f>
        <v/>
      </c>
      <c r="B64" s="42" t="str">
        <f aca="false">IF($A64="","",基础资料!$R64)</f>
        <v/>
      </c>
      <c r="C64" s="42" t="str">
        <f aca="false">IF($A64="","",基础资料!$S64)</f>
        <v/>
      </c>
      <c r="D64" s="64" t="str">
        <f aca="false">IF($A64="","",SUMIFS(期初数据!$R$6:$R$205,期初数据!$O$6:$O$205,$A64)+SUMIFS(采购录入!$F$5:$F$404,采购录入!$E$5:$E$404,$A64,采购录入!$I$5:$I$404,"是",采购录入!$B$5:$B$404,"&lt;"&amp;首页!$B$6)-SUMIFS(销售录入!$F$5:$F$404,销售录入!$E$5:$E$404,$A64,销售录入!$B$5:$B$404,"&lt;"&amp;首页!$B$6))</f>
        <v/>
      </c>
      <c r="E64" s="54" t="str">
        <f aca="false">IF($A64="","",SUMIFS(期初数据!$T$6:$T$205,期初数据!$O$6:$O$205,$A64)+SUMIFS(采购录入!$Q$5:$Q$404,采购录入!$E$5:$E$404,$A64,采购录入!$I$5:$I$404,"是",采购录入!$B$5:$B$404,"&lt;"&amp;首页!$B$6)-SUMIFS(销售录入!$S$5:$S$404,销售录入!$E$5:$E$404,$A64,销售录入!$B$5:$B$404,"&lt;"&amp;首页!$B$6))</f>
        <v/>
      </c>
      <c r="F64" s="64" t="str">
        <f aca="false">IF($A64="","",SUMIFS(采购录入!$F$5:$F$404,采购录入!$E$5:$E$404,$A64,采购录入!$I$5:$I$404,"是",采购录入!$C$5:$C$404,首页!$B$5))</f>
        <v/>
      </c>
      <c r="G64" s="54" t="str">
        <f aca="false">IF($A64="","",SUMIFS(采购录入!$Q$5:$Q$404,采购录入!$E$5:$E$404,$A64,采购录入!$I$5:$I$404,"是",采购录入!$C$5:$C$404,首页!$B$5))</f>
        <v/>
      </c>
      <c r="H64" s="64" t="str">
        <f aca="false">IF($A64="","",SUMIFS(销售录入!$F$5:$F$404,销售录入!$E$5:$E$404,$A64,销售录入!$C$5:$C$404,首页!$B$5))</f>
        <v/>
      </c>
      <c r="I64" s="54" t="str">
        <f aca="false">IF($A64="","",SUMIFS(销售录入!$S$5:$S$404,销售录入!$E$5:$E$404,$A64,销售录入!$C$5:$C$404,首页!$B$5))</f>
        <v/>
      </c>
      <c r="J64" s="65" t="str">
        <f aca="false">IF($A64="","",$D64+$F64-$H64)</f>
        <v/>
      </c>
      <c r="K64" s="44" t="str">
        <f aca="false">IF($A64="","",$E64+$G64-$I64)</f>
        <v/>
      </c>
      <c r="L64" s="44" t="str">
        <f aca="false">IF(OR($A64="",$J64=0),"",$K64/$J64)</f>
        <v/>
      </c>
      <c r="M64" s="54" t="str">
        <f aca="false">IF($A64="","",SUMIFS(销售录入!$O$5:$O$404,销售录入!$E$5:$E$404,$A64,销售录入!$C$5:$C$404,首页!$B$5))</f>
        <v/>
      </c>
      <c r="N64" s="44" t="str">
        <f aca="false">IF($A64="","",$M64-$I64)</f>
        <v/>
      </c>
      <c r="O64" s="63" t="str">
        <f aca="false">IF(OR($A64="",$M64=0),"",$N64/$M64)</f>
        <v/>
      </c>
      <c r="P64" s="47" t="str">
        <f aca="false">IF($A64="","",IF($J64&lt;0,"⚠ 负库存",IF(AND($J64=0,ABS($K64)&gt;0.01),"⚠ 有金额无数量",IF(AND($J64&gt;0,$K64&lt;0),"⚠ 金额为负",IF($N64&lt;0,"⚠ 毛利为负","正常")))))</f>
        <v/>
      </c>
    </row>
    <row r="65" customFormat="false" ht="15.75" hidden="false" customHeight="true" outlineLevel="0" collapsed="false">
      <c r="A65" s="35" t="str">
        <f aca="false">IF(基础资料!$Q65="","",基础资料!$Q65)</f>
        <v/>
      </c>
      <c r="B65" s="42" t="str">
        <f aca="false">IF($A65="","",基础资料!$R65)</f>
        <v/>
      </c>
      <c r="C65" s="42" t="str">
        <f aca="false">IF($A65="","",基础资料!$S65)</f>
        <v/>
      </c>
      <c r="D65" s="64" t="str">
        <f aca="false">IF($A65="","",SUMIFS(期初数据!$R$6:$R$205,期初数据!$O$6:$O$205,$A65)+SUMIFS(采购录入!$F$5:$F$404,采购录入!$E$5:$E$404,$A65,采购录入!$I$5:$I$404,"是",采购录入!$B$5:$B$404,"&lt;"&amp;首页!$B$6)-SUMIFS(销售录入!$F$5:$F$404,销售录入!$E$5:$E$404,$A65,销售录入!$B$5:$B$404,"&lt;"&amp;首页!$B$6))</f>
        <v/>
      </c>
      <c r="E65" s="54" t="str">
        <f aca="false">IF($A65="","",SUMIFS(期初数据!$T$6:$T$205,期初数据!$O$6:$O$205,$A65)+SUMIFS(采购录入!$Q$5:$Q$404,采购录入!$E$5:$E$404,$A65,采购录入!$I$5:$I$404,"是",采购录入!$B$5:$B$404,"&lt;"&amp;首页!$B$6)-SUMIFS(销售录入!$S$5:$S$404,销售录入!$E$5:$E$404,$A65,销售录入!$B$5:$B$404,"&lt;"&amp;首页!$B$6))</f>
        <v/>
      </c>
      <c r="F65" s="64" t="str">
        <f aca="false">IF($A65="","",SUMIFS(采购录入!$F$5:$F$404,采购录入!$E$5:$E$404,$A65,采购录入!$I$5:$I$404,"是",采购录入!$C$5:$C$404,首页!$B$5))</f>
        <v/>
      </c>
      <c r="G65" s="54" t="str">
        <f aca="false">IF($A65="","",SUMIFS(采购录入!$Q$5:$Q$404,采购录入!$E$5:$E$404,$A65,采购录入!$I$5:$I$404,"是",采购录入!$C$5:$C$404,首页!$B$5))</f>
        <v/>
      </c>
      <c r="H65" s="64" t="str">
        <f aca="false">IF($A65="","",SUMIFS(销售录入!$F$5:$F$404,销售录入!$E$5:$E$404,$A65,销售录入!$C$5:$C$404,首页!$B$5))</f>
        <v/>
      </c>
      <c r="I65" s="54" t="str">
        <f aca="false">IF($A65="","",SUMIFS(销售录入!$S$5:$S$404,销售录入!$E$5:$E$404,$A65,销售录入!$C$5:$C$404,首页!$B$5))</f>
        <v/>
      </c>
      <c r="J65" s="65" t="str">
        <f aca="false">IF($A65="","",$D65+$F65-$H65)</f>
        <v/>
      </c>
      <c r="K65" s="44" t="str">
        <f aca="false">IF($A65="","",$E65+$G65-$I65)</f>
        <v/>
      </c>
      <c r="L65" s="44" t="str">
        <f aca="false">IF(OR($A65="",$J65=0),"",$K65/$J65)</f>
        <v/>
      </c>
      <c r="M65" s="54" t="str">
        <f aca="false">IF($A65="","",SUMIFS(销售录入!$O$5:$O$404,销售录入!$E$5:$E$404,$A65,销售录入!$C$5:$C$404,首页!$B$5))</f>
        <v/>
      </c>
      <c r="N65" s="44" t="str">
        <f aca="false">IF($A65="","",$M65-$I65)</f>
        <v/>
      </c>
      <c r="O65" s="63" t="str">
        <f aca="false">IF(OR($A65="",$M65=0),"",$N65/$M65)</f>
        <v/>
      </c>
      <c r="P65" s="47" t="str">
        <f aca="false">IF($A65="","",IF($J65&lt;0,"⚠ 负库存",IF(AND($J65=0,ABS($K65)&gt;0.01),"⚠ 有金额无数量",IF(AND($J65&gt;0,$K65&lt;0),"⚠ 金额为负",IF($N65&lt;0,"⚠ 毛利为负","正常")))))</f>
        <v/>
      </c>
    </row>
    <row r="66" customFormat="false" ht="15.75" hidden="false" customHeight="true" outlineLevel="0" collapsed="false">
      <c r="A66" s="35" t="str">
        <f aca="false">IF(基础资料!$Q66="","",基础资料!$Q66)</f>
        <v/>
      </c>
      <c r="B66" s="42" t="str">
        <f aca="false">IF($A66="","",基础资料!$R66)</f>
        <v/>
      </c>
      <c r="C66" s="42" t="str">
        <f aca="false">IF($A66="","",基础资料!$S66)</f>
        <v/>
      </c>
      <c r="D66" s="64" t="str">
        <f aca="false">IF($A66="","",SUMIFS(期初数据!$R$6:$R$205,期初数据!$O$6:$O$205,$A66)+SUMIFS(采购录入!$F$5:$F$404,采购录入!$E$5:$E$404,$A66,采购录入!$I$5:$I$404,"是",采购录入!$B$5:$B$404,"&lt;"&amp;首页!$B$6)-SUMIFS(销售录入!$F$5:$F$404,销售录入!$E$5:$E$404,$A66,销售录入!$B$5:$B$404,"&lt;"&amp;首页!$B$6))</f>
        <v/>
      </c>
      <c r="E66" s="54" t="str">
        <f aca="false">IF($A66="","",SUMIFS(期初数据!$T$6:$T$205,期初数据!$O$6:$O$205,$A66)+SUMIFS(采购录入!$Q$5:$Q$404,采购录入!$E$5:$E$404,$A66,采购录入!$I$5:$I$404,"是",采购录入!$B$5:$B$404,"&lt;"&amp;首页!$B$6)-SUMIFS(销售录入!$S$5:$S$404,销售录入!$E$5:$E$404,$A66,销售录入!$B$5:$B$404,"&lt;"&amp;首页!$B$6))</f>
        <v/>
      </c>
      <c r="F66" s="64" t="str">
        <f aca="false">IF($A66="","",SUMIFS(采购录入!$F$5:$F$404,采购录入!$E$5:$E$404,$A66,采购录入!$I$5:$I$404,"是",采购录入!$C$5:$C$404,首页!$B$5))</f>
        <v/>
      </c>
      <c r="G66" s="54" t="str">
        <f aca="false">IF($A66="","",SUMIFS(采购录入!$Q$5:$Q$404,采购录入!$E$5:$E$404,$A66,采购录入!$I$5:$I$404,"是",采购录入!$C$5:$C$404,首页!$B$5))</f>
        <v/>
      </c>
      <c r="H66" s="64" t="str">
        <f aca="false">IF($A66="","",SUMIFS(销售录入!$F$5:$F$404,销售录入!$E$5:$E$404,$A66,销售录入!$C$5:$C$404,首页!$B$5))</f>
        <v/>
      </c>
      <c r="I66" s="54" t="str">
        <f aca="false">IF($A66="","",SUMIFS(销售录入!$S$5:$S$404,销售录入!$E$5:$E$404,$A66,销售录入!$C$5:$C$404,首页!$B$5))</f>
        <v/>
      </c>
      <c r="J66" s="65" t="str">
        <f aca="false">IF($A66="","",$D66+$F66-$H66)</f>
        <v/>
      </c>
      <c r="K66" s="44" t="str">
        <f aca="false">IF($A66="","",$E66+$G66-$I66)</f>
        <v/>
      </c>
      <c r="L66" s="44" t="str">
        <f aca="false">IF(OR($A66="",$J66=0),"",$K66/$J66)</f>
        <v/>
      </c>
      <c r="M66" s="54" t="str">
        <f aca="false">IF($A66="","",SUMIFS(销售录入!$O$5:$O$404,销售录入!$E$5:$E$404,$A66,销售录入!$C$5:$C$404,首页!$B$5))</f>
        <v/>
      </c>
      <c r="N66" s="44" t="str">
        <f aca="false">IF($A66="","",$M66-$I66)</f>
        <v/>
      </c>
      <c r="O66" s="63" t="str">
        <f aca="false">IF(OR($A66="",$M66=0),"",$N66/$M66)</f>
        <v/>
      </c>
      <c r="P66" s="47" t="str">
        <f aca="false">IF($A66="","",IF($J66&lt;0,"⚠ 负库存",IF(AND($J66=0,ABS($K66)&gt;0.01),"⚠ 有金额无数量",IF(AND($J66&gt;0,$K66&lt;0),"⚠ 金额为负",IF($N66&lt;0,"⚠ 毛利为负","正常")))))</f>
        <v/>
      </c>
    </row>
    <row r="67" customFormat="false" ht="15.75" hidden="false" customHeight="true" outlineLevel="0" collapsed="false">
      <c r="A67" s="35" t="str">
        <f aca="false">IF(基础资料!$Q67="","",基础资料!$Q67)</f>
        <v/>
      </c>
      <c r="B67" s="42" t="str">
        <f aca="false">IF($A67="","",基础资料!$R67)</f>
        <v/>
      </c>
      <c r="C67" s="42" t="str">
        <f aca="false">IF($A67="","",基础资料!$S67)</f>
        <v/>
      </c>
      <c r="D67" s="64" t="str">
        <f aca="false">IF($A67="","",SUMIFS(期初数据!$R$6:$R$205,期初数据!$O$6:$O$205,$A67)+SUMIFS(采购录入!$F$5:$F$404,采购录入!$E$5:$E$404,$A67,采购录入!$I$5:$I$404,"是",采购录入!$B$5:$B$404,"&lt;"&amp;首页!$B$6)-SUMIFS(销售录入!$F$5:$F$404,销售录入!$E$5:$E$404,$A67,销售录入!$B$5:$B$404,"&lt;"&amp;首页!$B$6))</f>
        <v/>
      </c>
      <c r="E67" s="54" t="str">
        <f aca="false">IF($A67="","",SUMIFS(期初数据!$T$6:$T$205,期初数据!$O$6:$O$205,$A67)+SUMIFS(采购录入!$Q$5:$Q$404,采购录入!$E$5:$E$404,$A67,采购录入!$I$5:$I$404,"是",采购录入!$B$5:$B$404,"&lt;"&amp;首页!$B$6)-SUMIFS(销售录入!$S$5:$S$404,销售录入!$E$5:$E$404,$A67,销售录入!$B$5:$B$404,"&lt;"&amp;首页!$B$6))</f>
        <v/>
      </c>
      <c r="F67" s="64" t="str">
        <f aca="false">IF($A67="","",SUMIFS(采购录入!$F$5:$F$404,采购录入!$E$5:$E$404,$A67,采购录入!$I$5:$I$404,"是",采购录入!$C$5:$C$404,首页!$B$5))</f>
        <v/>
      </c>
      <c r="G67" s="54" t="str">
        <f aca="false">IF($A67="","",SUMIFS(采购录入!$Q$5:$Q$404,采购录入!$E$5:$E$404,$A67,采购录入!$I$5:$I$404,"是",采购录入!$C$5:$C$404,首页!$B$5))</f>
        <v/>
      </c>
      <c r="H67" s="64" t="str">
        <f aca="false">IF($A67="","",SUMIFS(销售录入!$F$5:$F$404,销售录入!$E$5:$E$404,$A67,销售录入!$C$5:$C$404,首页!$B$5))</f>
        <v/>
      </c>
      <c r="I67" s="54" t="str">
        <f aca="false">IF($A67="","",SUMIFS(销售录入!$S$5:$S$404,销售录入!$E$5:$E$404,$A67,销售录入!$C$5:$C$404,首页!$B$5))</f>
        <v/>
      </c>
      <c r="J67" s="65" t="str">
        <f aca="false">IF($A67="","",$D67+$F67-$H67)</f>
        <v/>
      </c>
      <c r="K67" s="44" t="str">
        <f aca="false">IF($A67="","",$E67+$G67-$I67)</f>
        <v/>
      </c>
      <c r="L67" s="44" t="str">
        <f aca="false">IF(OR($A67="",$J67=0),"",$K67/$J67)</f>
        <v/>
      </c>
      <c r="M67" s="54" t="str">
        <f aca="false">IF($A67="","",SUMIFS(销售录入!$O$5:$O$404,销售录入!$E$5:$E$404,$A67,销售录入!$C$5:$C$404,首页!$B$5))</f>
        <v/>
      </c>
      <c r="N67" s="44" t="str">
        <f aca="false">IF($A67="","",$M67-$I67)</f>
        <v/>
      </c>
      <c r="O67" s="63" t="str">
        <f aca="false">IF(OR($A67="",$M67=0),"",$N67/$M67)</f>
        <v/>
      </c>
      <c r="P67" s="47" t="str">
        <f aca="false">IF($A67="","",IF($J67&lt;0,"⚠ 负库存",IF(AND($J67=0,ABS($K67)&gt;0.01),"⚠ 有金额无数量",IF(AND($J67&gt;0,$K67&lt;0),"⚠ 金额为负",IF($N67&lt;0,"⚠ 毛利为负","正常")))))</f>
        <v/>
      </c>
    </row>
    <row r="68" customFormat="false" ht="15.75" hidden="false" customHeight="true" outlineLevel="0" collapsed="false">
      <c r="A68" s="35" t="str">
        <f aca="false">IF(基础资料!$Q68="","",基础资料!$Q68)</f>
        <v/>
      </c>
      <c r="B68" s="42" t="str">
        <f aca="false">IF($A68="","",基础资料!$R68)</f>
        <v/>
      </c>
      <c r="C68" s="42" t="str">
        <f aca="false">IF($A68="","",基础资料!$S68)</f>
        <v/>
      </c>
      <c r="D68" s="64" t="str">
        <f aca="false">IF($A68="","",SUMIFS(期初数据!$R$6:$R$205,期初数据!$O$6:$O$205,$A68)+SUMIFS(采购录入!$F$5:$F$404,采购录入!$E$5:$E$404,$A68,采购录入!$I$5:$I$404,"是",采购录入!$B$5:$B$404,"&lt;"&amp;首页!$B$6)-SUMIFS(销售录入!$F$5:$F$404,销售录入!$E$5:$E$404,$A68,销售录入!$B$5:$B$404,"&lt;"&amp;首页!$B$6))</f>
        <v/>
      </c>
      <c r="E68" s="54" t="str">
        <f aca="false">IF($A68="","",SUMIFS(期初数据!$T$6:$T$205,期初数据!$O$6:$O$205,$A68)+SUMIFS(采购录入!$Q$5:$Q$404,采购录入!$E$5:$E$404,$A68,采购录入!$I$5:$I$404,"是",采购录入!$B$5:$B$404,"&lt;"&amp;首页!$B$6)-SUMIFS(销售录入!$S$5:$S$404,销售录入!$E$5:$E$404,$A68,销售录入!$B$5:$B$404,"&lt;"&amp;首页!$B$6))</f>
        <v/>
      </c>
      <c r="F68" s="64" t="str">
        <f aca="false">IF($A68="","",SUMIFS(采购录入!$F$5:$F$404,采购录入!$E$5:$E$404,$A68,采购录入!$I$5:$I$404,"是",采购录入!$C$5:$C$404,首页!$B$5))</f>
        <v/>
      </c>
      <c r="G68" s="54" t="str">
        <f aca="false">IF($A68="","",SUMIFS(采购录入!$Q$5:$Q$404,采购录入!$E$5:$E$404,$A68,采购录入!$I$5:$I$404,"是",采购录入!$C$5:$C$404,首页!$B$5))</f>
        <v/>
      </c>
      <c r="H68" s="64" t="str">
        <f aca="false">IF($A68="","",SUMIFS(销售录入!$F$5:$F$404,销售录入!$E$5:$E$404,$A68,销售录入!$C$5:$C$404,首页!$B$5))</f>
        <v/>
      </c>
      <c r="I68" s="54" t="str">
        <f aca="false">IF($A68="","",SUMIFS(销售录入!$S$5:$S$404,销售录入!$E$5:$E$404,$A68,销售录入!$C$5:$C$404,首页!$B$5))</f>
        <v/>
      </c>
      <c r="J68" s="65" t="str">
        <f aca="false">IF($A68="","",$D68+$F68-$H68)</f>
        <v/>
      </c>
      <c r="K68" s="44" t="str">
        <f aca="false">IF($A68="","",$E68+$G68-$I68)</f>
        <v/>
      </c>
      <c r="L68" s="44" t="str">
        <f aca="false">IF(OR($A68="",$J68=0),"",$K68/$J68)</f>
        <v/>
      </c>
      <c r="M68" s="54" t="str">
        <f aca="false">IF($A68="","",SUMIFS(销售录入!$O$5:$O$404,销售录入!$E$5:$E$404,$A68,销售录入!$C$5:$C$404,首页!$B$5))</f>
        <v/>
      </c>
      <c r="N68" s="44" t="str">
        <f aca="false">IF($A68="","",$M68-$I68)</f>
        <v/>
      </c>
      <c r="O68" s="63" t="str">
        <f aca="false">IF(OR($A68="",$M68=0),"",$N68/$M68)</f>
        <v/>
      </c>
      <c r="P68" s="47" t="str">
        <f aca="false">IF($A68="","",IF($J68&lt;0,"⚠ 负库存",IF(AND($J68=0,ABS($K68)&gt;0.01),"⚠ 有金额无数量",IF(AND($J68&gt;0,$K68&lt;0),"⚠ 金额为负",IF($N68&lt;0,"⚠ 毛利为负","正常")))))</f>
        <v/>
      </c>
    </row>
    <row r="69" customFormat="false" ht="15.75" hidden="false" customHeight="true" outlineLevel="0" collapsed="false">
      <c r="A69" s="35" t="str">
        <f aca="false">IF(基础资料!$Q69="","",基础资料!$Q69)</f>
        <v/>
      </c>
      <c r="B69" s="42" t="str">
        <f aca="false">IF($A69="","",基础资料!$R69)</f>
        <v/>
      </c>
      <c r="C69" s="42" t="str">
        <f aca="false">IF($A69="","",基础资料!$S69)</f>
        <v/>
      </c>
      <c r="D69" s="64" t="str">
        <f aca="false">IF($A69="","",SUMIFS(期初数据!$R$6:$R$205,期初数据!$O$6:$O$205,$A69)+SUMIFS(采购录入!$F$5:$F$404,采购录入!$E$5:$E$404,$A69,采购录入!$I$5:$I$404,"是",采购录入!$B$5:$B$404,"&lt;"&amp;首页!$B$6)-SUMIFS(销售录入!$F$5:$F$404,销售录入!$E$5:$E$404,$A69,销售录入!$B$5:$B$404,"&lt;"&amp;首页!$B$6))</f>
        <v/>
      </c>
      <c r="E69" s="54" t="str">
        <f aca="false">IF($A69="","",SUMIFS(期初数据!$T$6:$T$205,期初数据!$O$6:$O$205,$A69)+SUMIFS(采购录入!$Q$5:$Q$404,采购录入!$E$5:$E$404,$A69,采购录入!$I$5:$I$404,"是",采购录入!$B$5:$B$404,"&lt;"&amp;首页!$B$6)-SUMIFS(销售录入!$S$5:$S$404,销售录入!$E$5:$E$404,$A69,销售录入!$B$5:$B$404,"&lt;"&amp;首页!$B$6))</f>
        <v/>
      </c>
      <c r="F69" s="64" t="str">
        <f aca="false">IF($A69="","",SUMIFS(采购录入!$F$5:$F$404,采购录入!$E$5:$E$404,$A69,采购录入!$I$5:$I$404,"是",采购录入!$C$5:$C$404,首页!$B$5))</f>
        <v/>
      </c>
      <c r="G69" s="54" t="str">
        <f aca="false">IF($A69="","",SUMIFS(采购录入!$Q$5:$Q$404,采购录入!$E$5:$E$404,$A69,采购录入!$I$5:$I$404,"是",采购录入!$C$5:$C$404,首页!$B$5))</f>
        <v/>
      </c>
      <c r="H69" s="64" t="str">
        <f aca="false">IF($A69="","",SUMIFS(销售录入!$F$5:$F$404,销售录入!$E$5:$E$404,$A69,销售录入!$C$5:$C$404,首页!$B$5))</f>
        <v/>
      </c>
      <c r="I69" s="54" t="str">
        <f aca="false">IF($A69="","",SUMIFS(销售录入!$S$5:$S$404,销售录入!$E$5:$E$404,$A69,销售录入!$C$5:$C$404,首页!$B$5))</f>
        <v/>
      </c>
      <c r="J69" s="65" t="str">
        <f aca="false">IF($A69="","",$D69+$F69-$H69)</f>
        <v/>
      </c>
      <c r="K69" s="44" t="str">
        <f aca="false">IF($A69="","",$E69+$G69-$I69)</f>
        <v/>
      </c>
      <c r="L69" s="44" t="str">
        <f aca="false">IF(OR($A69="",$J69=0),"",$K69/$J69)</f>
        <v/>
      </c>
      <c r="M69" s="54" t="str">
        <f aca="false">IF($A69="","",SUMIFS(销售录入!$O$5:$O$404,销售录入!$E$5:$E$404,$A69,销售录入!$C$5:$C$404,首页!$B$5))</f>
        <v/>
      </c>
      <c r="N69" s="44" t="str">
        <f aca="false">IF($A69="","",$M69-$I69)</f>
        <v/>
      </c>
      <c r="O69" s="63" t="str">
        <f aca="false">IF(OR($A69="",$M69=0),"",$N69/$M69)</f>
        <v/>
      </c>
      <c r="P69" s="47" t="str">
        <f aca="false">IF($A69="","",IF($J69&lt;0,"⚠ 负库存",IF(AND($J69=0,ABS($K69)&gt;0.01),"⚠ 有金额无数量",IF(AND($J69&gt;0,$K69&lt;0),"⚠ 金额为负",IF($N69&lt;0,"⚠ 毛利为负","正常")))))</f>
        <v/>
      </c>
    </row>
    <row r="70" customFormat="false" ht="15.75" hidden="false" customHeight="true" outlineLevel="0" collapsed="false">
      <c r="A70" s="35" t="str">
        <f aca="false">IF(基础资料!$Q70="","",基础资料!$Q70)</f>
        <v/>
      </c>
      <c r="B70" s="42" t="str">
        <f aca="false">IF($A70="","",基础资料!$R70)</f>
        <v/>
      </c>
      <c r="C70" s="42" t="str">
        <f aca="false">IF($A70="","",基础资料!$S70)</f>
        <v/>
      </c>
      <c r="D70" s="64" t="str">
        <f aca="false">IF($A70="","",SUMIFS(期初数据!$R$6:$R$205,期初数据!$O$6:$O$205,$A70)+SUMIFS(采购录入!$F$5:$F$404,采购录入!$E$5:$E$404,$A70,采购录入!$I$5:$I$404,"是",采购录入!$B$5:$B$404,"&lt;"&amp;首页!$B$6)-SUMIFS(销售录入!$F$5:$F$404,销售录入!$E$5:$E$404,$A70,销售录入!$B$5:$B$404,"&lt;"&amp;首页!$B$6))</f>
        <v/>
      </c>
      <c r="E70" s="54" t="str">
        <f aca="false">IF($A70="","",SUMIFS(期初数据!$T$6:$T$205,期初数据!$O$6:$O$205,$A70)+SUMIFS(采购录入!$Q$5:$Q$404,采购录入!$E$5:$E$404,$A70,采购录入!$I$5:$I$404,"是",采购录入!$B$5:$B$404,"&lt;"&amp;首页!$B$6)-SUMIFS(销售录入!$S$5:$S$404,销售录入!$E$5:$E$404,$A70,销售录入!$B$5:$B$404,"&lt;"&amp;首页!$B$6))</f>
        <v/>
      </c>
      <c r="F70" s="64" t="str">
        <f aca="false">IF($A70="","",SUMIFS(采购录入!$F$5:$F$404,采购录入!$E$5:$E$404,$A70,采购录入!$I$5:$I$404,"是",采购录入!$C$5:$C$404,首页!$B$5))</f>
        <v/>
      </c>
      <c r="G70" s="54" t="str">
        <f aca="false">IF($A70="","",SUMIFS(采购录入!$Q$5:$Q$404,采购录入!$E$5:$E$404,$A70,采购录入!$I$5:$I$404,"是",采购录入!$C$5:$C$404,首页!$B$5))</f>
        <v/>
      </c>
      <c r="H70" s="64" t="str">
        <f aca="false">IF($A70="","",SUMIFS(销售录入!$F$5:$F$404,销售录入!$E$5:$E$404,$A70,销售录入!$C$5:$C$404,首页!$B$5))</f>
        <v/>
      </c>
      <c r="I70" s="54" t="str">
        <f aca="false">IF($A70="","",SUMIFS(销售录入!$S$5:$S$404,销售录入!$E$5:$E$404,$A70,销售录入!$C$5:$C$404,首页!$B$5))</f>
        <v/>
      </c>
      <c r="J70" s="65" t="str">
        <f aca="false">IF($A70="","",$D70+$F70-$H70)</f>
        <v/>
      </c>
      <c r="K70" s="44" t="str">
        <f aca="false">IF($A70="","",$E70+$G70-$I70)</f>
        <v/>
      </c>
      <c r="L70" s="44" t="str">
        <f aca="false">IF(OR($A70="",$J70=0),"",$K70/$J70)</f>
        <v/>
      </c>
      <c r="M70" s="54" t="str">
        <f aca="false">IF($A70="","",SUMIFS(销售录入!$O$5:$O$404,销售录入!$E$5:$E$404,$A70,销售录入!$C$5:$C$404,首页!$B$5))</f>
        <v/>
      </c>
      <c r="N70" s="44" t="str">
        <f aca="false">IF($A70="","",$M70-$I70)</f>
        <v/>
      </c>
      <c r="O70" s="63" t="str">
        <f aca="false">IF(OR($A70="",$M70=0),"",$N70/$M70)</f>
        <v/>
      </c>
      <c r="P70" s="47" t="str">
        <f aca="false">IF($A70="","",IF($J70&lt;0,"⚠ 负库存",IF(AND($J70=0,ABS($K70)&gt;0.01),"⚠ 有金额无数量",IF(AND($J70&gt;0,$K70&lt;0),"⚠ 金额为负",IF($N70&lt;0,"⚠ 毛利为负","正常")))))</f>
        <v/>
      </c>
    </row>
    <row r="71" customFormat="false" ht="15.75" hidden="false" customHeight="true" outlineLevel="0" collapsed="false">
      <c r="A71" s="35" t="str">
        <f aca="false">IF(基础资料!$Q71="","",基础资料!$Q71)</f>
        <v/>
      </c>
      <c r="B71" s="42" t="str">
        <f aca="false">IF($A71="","",基础资料!$R71)</f>
        <v/>
      </c>
      <c r="C71" s="42" t="str">
        <f aca="false">IF($A71="","",基础资料!$S71)</f>
        <v/>
      </c>
      <c r="D71" s="64" t="str">
        <f aca="false">IF($A71="","",SUMIFS(期初数据!$R$6:$R$205,期初数据!$O$6:$O$205,$A71)+SUMIFS(采购录入!$F$5:$F$404,采购录入!$E$5:$E$404,$A71,采购录入!$I$5:$I$404,"是",采购录入!$B$5:$B$404,"&lt;"&amp;首页!$B$6)-SUMIFS(销售录入!$F$5:$F$404,销售录入!$E$5:$E$404,$A71,销售录入!$B$5:$B$404,"&lt;"&amp;首页!$B$6))</f>
        <v/>
      </c>
      <c r="E71" s="54" t="str">
        <f aca="false">IF($A71="","",SUMIFS(期初数据!$T$6:$T$205,期初数据!$O$6:$O$205,$A71)+SUMIFS(采购录入!$Q$5:$Q$404,采购录入!$E$5:$E$404,$A71,采购录入!$I$5:$I$404,"是",采购录入!$B$5:$B$404,"&lt;"&amp;首页!$B$6)-SUMIFS(销售录入!$S$5:$S$404,销售录入!$E$5:$E$404,$A71,销售录入!$B$5:$B$404,"&lt;"&amp;首页!$B$6))</f>
        <v/>
      </c>
      <c r="F71" s="64" t="str">
        <f aca="false">IF($A71="","",SUMIFS(采购录入!$F$5:$F$404,采购录入!$E$5:$E$404,$A71,采购录入!$I$5:$I$404,"是",采购录入!$C$5:$C$404,首页!$B$5))</f>
        <v/>
      </c>
      <c r="G71" s="54" t="str">
        <f aca="false">IF($A71="","",SUMIFS(采购录入!$Q$5:$Q$404,采购录入!$E$5:$E$404,$A71,采购录入!$I$5:$I$404,"是",采购录入!$C$5:$C$404,首页!$B$5))</f>
        <v/>
      </c>
      <c r="H71" s="64" t="str">
        <f aca="false">IF($A71="","",SUMIFS(销售录入!$F$5:$F$404,销售录入!$E$5:$E$404,$A71,销售录入!$C$5:$C$404,首页!$B$5))</f>
        <v/>
      </c>
      <c r="I71" s="54" t="str">
        <f aca="false">IF($A71="","",SUMIFS(销售录入!$S$5:$S$404,销售录入!$E$5:$E$404,$A71,销售录入!$C$5:$C$404,首页!$B$5))</f>
        <v/>
      </c>
      <c r="J71" s="65" t="str">
        <f aca="false">IF($A71="","",$D71+$F71-$H71)</f>
        <v/>
      </c>
      <c r="K71" s="44" t="str">
        <f aca="false">IF($A71="","",$E71+$G71-$I71)</f>
        <v/>
      </c>
      <c r="L71" s="44" t="str">
        <f aca="false">IF(OR($A71="",$J71=0),"",$K71/$J71)</f>
        <v/>
      </c>
      <c r="M71" s="54" t="str">
        <f aca="false">IF($A71="","",SUMIFS(销售录入!$O$5:$O$404,销售录入!$E$5:$E$404,$A71,销售录入!$C$5:$C$404,首页!$B$5))</f>
        <v/>
      </c>
      <c r="N71" s="44" t="str">
        <f aca="false">IF($A71="","",$M71-$I71)</f>
        <v/>
      </c>
      <c r="O71" s="63" t="str">
        <f aca="false">IF(OR($A71="",$M71=0),"",$N71/$M71)</f>
        <v/>
      </c>
      <c r="P71" s="47" t="str">
        <f aca="false">IF($A71="","",IF($J71&lt;0,"⚠ 负库存",IF(AND($J71=0,ABS($K71)&gt;0.01),"⚠ 有金额无数量",IF(AND($J71&gt;0,$K71&lt;0),"⚠ 金额为负",IF($N71&lt;0,"⚠ 毛利为负","正常")))))</f>
        <v/>
      </c>
    </row>
    <row r="72" customFormat="false" ht="15.75" hidden="false" customHeight="true" outlineLevel="0" collapsed="false">
      <c r="A72" s="35" t="str">
        <f aca="false">IF(基础资料!$Q72="","",基础资料!$Q72)</f>
        <v/>
      </c>
      <c r="B72" s="42" t="str">
        <f aca="false">IF($A72="","",基础资料!$R72)</f>
        <v/>
      </c>
      <c r="C72" s="42" t="str">
        <f aca="false">IF($A72="","",基础资料!$S72)</f>
        <v/>
      </c>
      <c r="D72" s="64" t="str">
        <f aca="false">IF($A72="","",SUMIFS(期初数据!$R$6:$R$205,期初数据!$O$6:$O$205,$A72)+SUMIFS(采购录入!$F$5:$F$404,采购录入!$E$5:$E$404,$A72,采购录入!$I$5:$I$404,"是",采购录入!$B$5:$B$404,"&lt;"&amp;首页!$B$6)-SUMIFS(销售录入!$F$5:$F$404,销售录入!$E$5:$E$404,$A72,销售录入!$B$5:$B$404,"&lt;"&amp;首页!$B$6))</f>
        <v/>
      </c>
      <c r="E72" s="54" t="str">
        <f aca="false">IF($A72="","",SUMIFS(期初数据!$T$6:$T$205,期初数据!$O$6:$O$205,$A72)+SUMIFS(采购录入!$Q$5:$Q$404,采购录入!$E$5:$E$404,$A72,采购录入!$I$5:$I$404,"是",采购录入!$B$5:$B$404,"&lt;"&amp;首页!$B$6)-SUMIFS(销售录入!$S$5:$S$404,销售录入!$E$5:$E$404,$A72,销售录入!$B$5:$B$404,"&lt;"&amp;首页!$B$6))</f>
        <v/>
      </c>
      <c r="F72" s="64" t="str">
        <f aca="false">IF($A72="","",SUMIFS(采购录入!$F$5:$F$404,采购录入!$E$5:$E$404,$A72,采购录入!$I$5:$I$404,"是",采购录入!$C$5:$C$404,首页!$B$5))</f>
        <v/>
      </c>
      <c r="G72" s="54" t="str">
        <f aca="false">IF($A72="","",SUMIFS(采购录入!$Q$5:$Q$404,采购录入!$E$5:$E$404,$A72,采购录入!$I$5:$I$404,"是",采购录入!$C$5:$C$404,首页!$B$5))</f>
        <v/>
      </c>
      <c r="H72" s="64" t="str">
        <f aca="false">IF($A72="","",SUMIFS(销售录入!$F$5:$F$404,销售录入!$E$5:$E$404,$A72,销售录入!$C$5:$C$404,首页!$B$5))</f>
        <v/>
      </c>
      <c r="I72" s="54" t="str">
        <f aca="false">IF($A72="","",SUMIFS(销售录入!$S$5:$S$404,销售录入!$E$5:$E$404,$A72,销售录入!$C$5:$C$404,首页!$B$5))</f>
        <v/>
      </c>
      <c r="J72" s="65" t="str">
        <f aca="false">IF($A72="","",$D72+$F72-$H72)</f>
        <v/>
      </c>
      <c r="K72" s="44" t="str">
        <f aca="false">IF($A72="","",$E72+$G72-$I72)</f>
        <v/>
      </c>
      <c r="L72" s="44" t="str">
        <f aca="false">IF(OR($A72="",$J72=0),"",$K72/$J72)</f>
        <v/>
      </c>
      <c r="M72" s="54" t="str">
        <f aca="false">IF($A72="","",SUMIFS(销售录入!$O$5:$O$404,销售录入!$E$5:$E$404,$A72,销售录入!$C$5:$C$404,首页!$B$5))</f>
        <v/>
      </c>
      <c r="N72" s="44" t="str">
        <f aca="false">IF($A72="","",$M72-$I72)</f>
        <v/>
      </c>
      <c r="O72" s="63" t="str">
        <f aca="false">IF(OR($A72="",$M72=0),"",$N72/$M72)</f>
        <v/>
      </c>
      <c r="P72" s="47" t="str">
        <f aca="false">IF($A72="","",IF($J72&lt;0,"⚠ 负库存",IF(AND($J72=0,ABS($K72)&gt;0.01),"⚠ 有金额无数量",IF(AND($J72&gt;0,$K72&lt;0),"⚠ 金额为负",IF($N72&lt;0,"⚠ 毛利为负","正常")))))</f>
        <v/>
      </c>
    </row>
    <row r="73" customFormat="false" ht="15.75" hidden="false" customHeight="true" outlineLevel="0" collapsed="false">
      <c r="A73" s="35" t="str">
        <f aca="false">IF(基础资料!$Q73="","",基础资料!$Q73)</f>
        <v/>
      </c>
      <c r="B73" s="42" t="str">
        <f aca="false">IF($A73="","",基础资料!$R73)</f>
        <v/>
      </c>
      <c r="C73" s="42" t="str">
        <f aca="false">IF($A73="","",基础资料!$S73)</f>
        <v/>
      </c>
      <c r="D73" s="64" t="str">
        <f aca="false">IF($A73="","",SUMIFS(期初数据!$R$6:$R$205,期初数据!$O$6:$O$205,$A73)+SUMIFS(采购录入!$F$5:$F$404,采购录入!$E$5:$E$404,$A73,采购录入!$I$5:$I$404,"是",采购录入!$B$5:$B$404,"&lt;"&amp;首页!$B$6)-SUMIFS(销售录入!$F$5:$F$404,销售录入!$E$5:$E$404,$A73,销售录入!$B$5:$B$404,"&lt;"&amp;首页!$B$6))</f>
        <v/>
      </c>
      <c r="E73" s="54" t="str">
        <f aca="false">IF($A73="","",SUMIFS(期初数据!$T$6:$T$205,期初数据!$O$6:$O$205,$A73)+SUMIFS(采购录入!$Q$5:$Q$404,采购录入!$E$5:$E$404,$A73,采购录入!$I$5:$I$404,"是",采购录入!$B$5:$B$404,"&lt;"&amp;首页!$B$6)-SUMIFS(销售录入!$S$5:$S$404,销售录入!$E$5:$E$404,$A73,销售录入!$B$5:$B$404,"&lt;"&amp;首页!$B$6))</f>
        <v/>
      </c>
      <c r="F73" s="64" t="str">
        <f aca="false">IF($A73="","",SUMIFS(采购录入!$F$5:$F$404,采购录入!$E$5:$E$404,$A73,采购录入!$I$5:$I$404,"是",采购录入!$C$5:$C$404,首页!$B$5))</f>
        <v/>
      </c>
      <c r="G73" s="54" t="str">
        <f aca="false">IF($A73="","",SUMIFS(采购录入!$Q$5:$Q$404,采购录入!$E$5:$E$404,$A73,采购录入!$I$5:$I$404,"是",采购录入!$C$5:$C$404,首页!$B$5))</f>
        <v/>
      </c>
      <c r="H73" s="64" t="str">
        <f aca="false">IF($A73="","",SUMIFS(销售录入!$F$5:$F$404,销售录入!$E$5:$E$404,$A73,销售录入!$C$5:$C$404,首页!$B$5))</f>
        <v/>
      </c>
      <c r="I73" s="54" t="str">
        <f aca="false">IF($A73="","",SUMIFS(销售录入!$S$5:$S$404,销售录入!$E$5:$E$404,$A73,销售录入!$C$5:$C$404,首页!$B$5))</f>
        <v/>
      </c>
      <c r="J73" s="65" t="str">
        <f aca="false">IF($A73="","",$D73+$F73-$H73)</f>
        <v/>
      </c>
      <c r="K73" s="44" t="str">
        <f aca="false">IF($A73="","",$E73+$G73-$I73)</f>
        <v/>
      </c>
      <c r="L73" s="44" t="str">
        <f aca="false">IF(OR($A73="",$J73=0),"",$K73/$J73)</f>
        <v/>
      </c>
      <c r="M73" s="54" t="str">
        <f aca="false">IF($A73="","",SUMIFS(销售录入!$O$5:$O$404,销售录入!$E$5:$E$404,$A73,销售录入!$C$5:$C$404,首页!$B$5))</f>
        <v/>
      </c>
      <c r="N73" s="44" t="str">
        <f aca="false">IF($A73="","",$M73-$I73)</f>
        <v/>
      </c>
      <c r="O73" s="63" t="str">
        <f aca="false">IF(OR($A73="",$M73=0),"",$N73/$M73)</f>
        <v/>
      </c>
      <c r="P73" s="47" t="str">
        <f aca="false">IF($A73="","",IF($J73&lt;0,"⚠ 负库存",IF(AND($J73=0,ABS($K73)&gt;0.01),"⚠ 有金额无数量",IF(AND($J73&gt;0,$K73&lt;0),"⚠ 金额为负",IF($N73&lt;0,"⚠ 毛利为负","正常")))))</f>
        <v/>
      </c>
    </row>
    <row r="74" customFormat="false" ht="15.75" hidden="false" customHeight="true" outlineLevel="0" collapsed="false">
      <c r="A74" s="35" t="str">
        <f aca="false">IF(基础资料!$Q74="","",基础资料!$Q74)</f>
        <v/>
      </c>
      <c r="B74" s="42" t="str">
        <f aca="false">IF($A74="","",基础资料!$R74)</f>
        <v/>
      </c>
      <c r="C74" s="42" t="str">
        <f aca="false">IF($A74="","",基础资料!$S74)</f>
        <v/>
      </c>
      <c r="D74" s="64" t="str">
        <f aca="false">IF($A74="","",SUMIFS(期初数据!$R$6:$R$205,期初数据!$O$6:$O$205,$A74)+SUMIFS(采购录入!$F$5:$F$404,采购录入!$E$5:$E$404,$A74,采购录入!$I$5:$I$404,"是",采购录入!$B$5:$B$404,"&lt;"&amp;首页!$B$6)-SUMIFS(销售录入!$F$5:$F$404,销售录入!$E$5:$E$404,$A74,销售录入!$B$5:$B$404,"&lt;"&amp;首页!$B$6))</f>
        <v/>
      </c>
      <c r="E74" s="54" t="str">
        <f aca="false">IF($A74="","",SUMIFS(期初数据!$T$6:$T$205,期初数据!$O$6:$O$205,$A74)+SUMIFS(采购录入!$Q$5:$Q$404,采购录入!$E$5:$E$404,$A74,采购录入!$I$5:$I$404,"是",采购录入!$B$5:$B$404,"&lt;"&amp;首页!$B$6)-SUMIFS(销售录入!$S$5:$S$404,销售录入!$E$5:$E$404,$A74,销售录入!$B$5:$B$404,"&lt;"&amp;首页!$B$6))</f>
        <v/>
      </c>
      <c r="F74" s="64" t="str">
        <f aca="false">IF($A74="","",SUMIFS(采购录入!$F$5:$F$404,采购录入!$E$5:$E$404,$A74,采购录入!$I$5:$I$404,"是",采购录入!$C$5:$C$404,首页!$B$5))</f>
        <v/>
      </c>
      <c r="G74" s="54" t="str">
        <f aca="false">IF($A74="","",SUMIFS(采购录入!$Q$5:$Q$404,采购录入!$E$5:$E$404,$A74,采购录入!$I$5:$I$404,"是",采购录入!$C$5:$C$404,首页!$B$5))</f>
        <v/>
      </c>
      <c r="H74" s="64" t="str">
        <f aca="false">IF($A74="","",SUMIFS(销售录入!$F$5:$F$404,销售录入!$E$5:$E$404,$A74,销售录入!$C$5:$C$404,首页!$B$5))</f>
        <v/>
      </c>
      <c r="I74" s="54" t="str">
        <f aca="false">IF($A74="","",SUMIFS(销售录入!$S$5:$S$404,销售录入!$E$5:$E$404,$A74,销售录入!$C$5:$C$404,首页!$B$5))</f>
        <v/>
      </c>
      <c r="J74" s="65" t="str">
        <f aca="false">IF($A74="","",$D74+$F74-$H74)</f>
        <v/>
      </c>
      <c r="K74" s="44" t="str">
        <f aca="false">IF($A74="","",$E74+$G74-$I74)</f>
        <v/>
      </c>
      <c r="L74" s="44" t="str">
        <f aca="false">IF(OR($A74="",$J74=0),"",$K74/$J74)</f>
        <v/>
      </c>
      <c r="M74" s="54" t="str">
        <f aca="false">IF($A74="","",SUMIFS(销售录入!$O$5:$O$404,销售录入!$E$5:$E$404,$A74,销售录入!$C$5:$C$404,首页!$B$5))</f>
        <v/>
      </c>
      <c r="N74" s="44" t="str">
        <f aca="false">IF($A74="","",$M74-$I74)</f>
        <v/>
      </c>
      <c r="O74" s="63" t="str">
        <f aca="false">IF(OR($A74="",$M74=0),"",$N74/$M74)</f>
        <v/>
      </c>
      <c r="P74" s="47" t="str">
        <f aca="false">IF($A74="","",IF($J74&lt;0,"⚠ 负库存",IF(AND($J74=0,ABS($K74)&gt;0.01),"⚠ 有金额无数量",IF(AND($J74&gt;0,$K74&lt;0),"⚠ 金额为负",IF($N74&lt;0,"⚠ 毛利为负","正常")))))</f>
        <v/>
      </c>
    </row>
    <row r="75" customFormat="false" ht="15.75" hidden="false" customHeight="true" outlineLevel="0" collapsed="false">
      <c r="A75" s="35" t="str">
        <f aca="false">IF(基础资料!$Q75="","",基础资料!$Q75)</f>
        <v/>
      </c>
      <c r="B75" s="42" t="str">
        <f aca="false">IF($A75="","",基础资料!$R75)</f>
        <v/>
      </c>
      <c r="C75" s="42" t="str">
        <f aca="false">IF($A75="","",基础资料!$S75)</f>
        <v/>
      </c>
      <c r="D75" s="64" t="str">
        <f aca="false">IF($A75="","",SUMIFS(期初数据!$R$6:$R$205,期初数据!$O$6:$O$205,$A75)+SUMIFS(采购录入!$F$5:$F$404,采购录入!$E$5:$E$404,$A75,采购录入!$I$5:$I$404,"是",采购录入!$B$5:$B$404,"&lt;"&amp;首页!$B$6)-SUMIFS(销售录入!$F$5:$F$404,销售录入!$E$5:$E$404,$A75,销售录入!$B$5:$B$404,"&lt;"&amp;首页!$B$6))</f>
        <v/>
      </c>
      <c r="E75" s="54" t="str">
        <f aca="false">IF($A75="","",SUMIFS(期初数据!$T$6:$T$205,期初数据!$O$6:$O$205,$A75)+SUMIFS(采购录入!$Q$5:$Q$404,采购录入!$E$5:$E$404,$A75,采购录入!$I$5:$I$404,"是",采购录入!$B$5:$B$404,"&lt;"&amp;首页!$B$6)-SUMIFS(销售录入!$S$5:$S$404,销售录入!$E$5:$E$404,$A75,销售录入!$B$5:$B$404,"&lt;"&amp;首页!$B$6))</f>
        <v/>
      </c>
      <c r="F75" s="64" t="str">
        <f aca="false">IF($A75="","",SUMIFS(采购录入!$F$5:$F$404,采购录入!$E$5:$E$404,$A75,采购录入!$I$5:$I$404,"是",采购录入!$C$5:$C$404,首页!$B$5))</f>
        <v/>
      </c>
      <c r="G75" s="54" t="str">
        <f aca="false">IF($A75="","",SUMIFS(采购录入!$Q$5:$Q$404,采购录入!$E$5:$E$404,$A75,采购录入!$I$5:$I$404,"是",采购录入!$C$5:$C$404,首页!$B$5))</f>
        <v/>
      </c>
      <c r="H75" s="64" t="str">
        <f aca="false">IF($A75="","",SUMIFS(销售录入!$F$5:$F$404,销售录入!$E$5:$E$404,$A75,销售录入!$C$5:$C$404,首页!$B$5))</f>
        <v/>
      </c>
      <c r="I75" s="54" t="str">
        <f aca="false">IF($A75="","",SUMIFS(销售录入!$S$5:$S$404,销售录入!$E$5:$E$404,$A75,销售录入!$C$5:$C$404,首页!$B$5))</f>
        <v/>
      </c>
      <c r="J75" s="65" t="str">
        <f aca="false">IF($A75="","",$D75+$F75-$H75)</f>
        <v/>
      </c>
      <c r="K75" s="44" t="str">
        <f aca="false">IF($A75="","",$E75+$G75-$I75)</f>
        <v/>
      </c>
      <c r="L75" s="44" t="str">
        <f aca="false">IF(OR($A75="",$J75=0),"",$K75/$J75)</f>
        <v/>
      </c>
      <c r="M75" s="54" t="str">
        <f aca="false">IF($A75="","",SUMIFS(销售录入!$O$5:$O$404,销售录入!$E$5:$E$404,$A75,销售录入!$C$5:$C$404,首页!$B$5))</f>
        <v/>
      </c>
      <c r="N75" s="44" t="str">
        <f aca="false">IF($A75="","",$M75-$I75)</f>
        <v/>
      </c>
      <c r="O75" s="63" t="str">
        <f aca="false">IF(OR($A75="",$M75=0),"",$N75/$M75)</f>
        <v/>
      </c>
      <c r="P75" s="47" t="str">
        <f aca="false">IF($A75="","",IF($J75&lt;0,"⚠ 负库存",IF(AND($J75=0,ABS($K75)&gt;0.01),"⚠ 有金额无数量",IF(AND($J75&gt;0,$K75&lt;0),"⚠ 金额为负",IF($N75&lt;0,"⚠ 毛利为负","正常")))))</f>
        <v/>
      </c>
    </row>
    <row r="76" customFormat="false" ht="15.75" hidden="false" customHeight="true" outlineLevel="0" collapsed="false">
      <c r="A76" s="35" t="str">
        <f aca="false">IF(基础资料!$Q76="","",基础资料!$Q76)</f>
        <v/>
      </c>
      <c r="B76" s="42" t="str">
        <f aca="false">IF($A76="","",基础资料!$R76)</f>
        <v/>
      </c>
      <c r="C76" s="42" t="str">
        <f aca="false">IF($A76="","",基础资料!$S76)</f>
        <v/>
      </c>
      <c r="D76" s="64" t="str">
        <f aca="false">IF($A76="","",SUMIFS(期初数据!$R$6:$R$205,期初数据!$O$6:$O$205,$A76)+SUMIFS(采购录入!$F$5:$F$404,采购录入!$E$5:$E$404,$A76,采购录入!$I$5:$I$404,"是",采购录入!$B$5:$B$404,"&lt;"&amp;首页!$B$6)-SUMIFS(销售录入!$F$5:$F$404,销售录入!$E$5:$E$404,$A76,销售录入!$B$5:$B$404,"&lt;"&amp;首页!$B$6))</f>
        <v/>
      </c>
      <c r="E76" s="54" t="str">
        <f aca="false">IF($A76="","",SUMIFS(期初数据!$T$6:$T$205,期初数据!$O$6:$O$205,$A76)+SUMIFS(采购录入!$Q$5:$Q$404,采购录入!$E$5:$E$404,$A76,采购录入!$I$5:$I$404,"是",采购录入!$B$5:$B$404,"&lt;"&amp;首页!$B$6)-SUMIFS(销售录入!$S$5:$S$404,销售录入!$E$5:$E$404,$A76,销售录入!$B$5:$B$404,"&lt;"&amp;首页!$B$6))</f>
        <v/>
      </c>
      <c r="F76" s="64" t="str">
        <f aca="false">IF($A76="","",SUMIFS(采购录入!$F$5:$F$404,采购录入!$E$5:$E$404,$A76,采购录入!$I$5:$I$404,"是",采购录入!$C$5:$C$404,首页!$B$5))</f>
        <v/>
      </c>
      <c r="G76" s="54" t="str">
        <f aca="false">IF($A76="","",SUMIFS(采购录入!$Q$5:$Q$404,采购录入!$E$5:$E$404,$A76,采购录入!$I$5:$I$404,"是",采购录入!$C$5:$C$404,首页!$B$5))</f>
        <v/>
      </c>
      <c r="H76" s="64" t="str">
        <f aca="false">IF($A76="","",SUMIFS(销售录入!$F$5:$F$404,销售录入!$E$5:$E$404,$A76,销售录入!$C$5:$C$404,首页!$B$5))</f>
        <v/>
      </c>
      <c r="I76" s="54" t="str">
        <f aca="false">IF($A76="","",SUMIFS(销售录入!$S$5:$S$404,销售录入!$E$5:$E$404,$A76,销售录入!$C$5:$C$404,首页!$B$5))</f>
        <v/>
      </c>
      <c r="J76" s="65" t="str">
        <f aca="false">IF($A76="","",$D76+$F76-$H76)</f>
        <v/>
      </c>
      <c r="K76" s="44" t="str">
        <f aca="false">IF($A76="","",$E76+$G76-$I76)</f>
        <v/>
      </c>
      <c r="L76" s="44" t="str">
        <f aca="false">IF(OR($A76="",$J76=0),"",$K76/$J76)</f>
        <v/>
      </c>
      <c r="M76" s="54" t="str">
        <f aca="false">IF($A76="","",SUMIFS(销售录入!$O$5:$O$404,销售录入!$E$5:$E$404,$A76,销售录入!$C$5:$C$404,首页!$B$5))</f>
        <v/>
      </c>
      <c r="N76" s="44" t="str">
        <f aca="false">IF($A76="","",$M76-$I76)</f>
        <v/>
      </c>
      <c r="O76" s="63" t="str">
        <f aca="false">IF(OR($A76="",$M76=0),"",$N76/$M76)</f>
        <v/>
      </c>
      <c r="P76" s="47" t="str">
        <f aca="false">IF($A76="","",IF($J76&lt;0,"⚠ 负库存",IF(AND($J76=0,ABS($K76)&gt;0.01),"⚠ 有金额无数量",IF(AND($J76&gt;0,$K76&lt;0),"⚠ 金额为负",IF($N76&lt;0,"⚠ 毛利为负","正常")))))</f>
        <v/>
      </c>
    </row>
    <row r="77" customFormat="false" ht="15.75" hidden="false" customHeight="true" outlineLevel="0" collapsed="false">
      <c r="A77" s="35" t="str">
        <f aca="false">IF(基础资料!$Q77="","",基础资料!$Q77)</f>
        <v/>
      </c>
      <c r="B77" s="42" t="str">
        <f aca="false">IF($A77="","",基础资料!$R77)</f>
        <v/>
      </c>
      <c r="C77" s="42" t="str">
        <f aca="false">IF($A77="","",基础资料!$S77)</f>
        <v/>
      </c>
      <c r="D77" s="64" t="str">
        <f aca="false">IF($A77="","",SUMIFS(期初数据!$R$6:$R$205,期初数据!$O$6:$O$205,$A77)+SUMIFS(采购录入!$F$5:$F$404,采购录入!$E$5:$E$404,$A77,采购录入!$I$5:$I$404,"是",采购录入!$B$5:$B$404,"&lt;"&amp;首页!$B$6)-SUMIFS(销售录入!$F$5:$F$404,销售录入!$E$5:$E$404,$A77,销售录入!$B$5:$B$404,"&lt;"&amp;首页!$B$6))</f>
        <v/>
      </c>
      <c r="E77" s="54" t="str">
        <f aca="false">IF($A77="","",SUMIFS(期初数据!$T$6:$T$205,期初数据!$O$6:$O$205,$A77)+SUMIFS(采购录入!$Q$5:$Q$404,采购录入!$E$5:$E$404,$A77,采购录入!$I$5:$I$404,"是",采购录入!$B$5:$B$404,"&lt;"&amp;首页!$B$6)-SUMIFS(销售录入!$S$5:$S$404,销售录入!$E$5:$E$404,$A77,销售录入!$B$5:$B$404,"&lt;"&amp;首页!$B$6))</f>
        <v/>
      </c>
      <c r="F77" s="64" t="str">
        <f aca="false">IF($A77="","",SUMIFS(采购录入!$F$5:$F$404,采购录入!$E$5:$E$404,$A77,采购录入!$I$5:$I$404,"是",采购录入!$C$5:$C$404,首页!$B$5))</f>
        <v/>
      </c>
      <c r="G77" s="54" t="str">
        <f aca="false">IF($A77="","",SUMIFS(采购录入!$Q$5:$Q$404,采购录入!$E$5:$E$404,$A77,采购录入!$I$5:$I$404,"是",采购录入!$C$5:$C$404,首页!$B$5))</f>
        <v/>
      </c>
      <c r="H77" s="64" t="str">
        <f aca="false">IF($A77="","",SUMIFS(销售录入!$F$5:$F$404,销售录入!$E$5:$E$404,$A77,销售录入!$C$5:$C$404,首页!$B$5))</f>
        <v/>
      </c>
      <c r="I77" s="54" t="str">
        <f aca="false">IF($A77="","",SUMIFS(销售录入!$S$5:$S$404,销售录入!$E$5:$E$404,$A77,销售录入!$C$5:$C$404,首页!$B$5))</f>
        <v/>
      </c>
      <c r="J77" s="65" t="str">
        <f aca="false">IF($A77="","",$D77+$F77-$H77)</f>
        <v/>
      </c>
      <c r="K77" s="44" t="str">
        <f aca="false">IF($A77="","",$E77+$G77-$I77)</f>
        <v/>
      </c>
      <c r="L77" s="44" t="str">
        <f aca="false">IF(OR($A77="",$J77=0),"",$K77/$J77)</f>
        <v/>
      </c>
      <c r="M77" s="54" t="str">
        <f aca="false">IF($A77="","",SUMIFS(销售录入!$O$5:$O$404,销售录入!$E$5:$E$404,$A77,销售录入!$C$5:$C$404,首页!$B$5))</f>
        <v/>
      </c>
      <c r="N77" s="44" t="str">
        <f aca="false">IF($A77="","",$M77-$I77)</f>
        <v/>
      </c>
      <c r="O77" s="63" t="str">
        <f aca="false">IF(OR($A77="",$M77=0),"",$N77/$M77)</f>
        <v/>
      </c>
      <c r="P77" s="47" t="str">
        <f aca="false">IF($A77="","",IF($J77&lt;0,"⚠ 负库存",IF(AND($J77=0,ABS($K77)&gt;0.01),"⚠ 有金额无数量",IF(AND($J77&gt;0,$K77&lt;0),"⚠ 金额为负",IF($N77&lt;0,"⚠ 毛利为负","正常")))))</f>
        <v/>
      </c>
    </row>
    <row r="78" customFormat="false" ht="15.75" hidden="false" customHeight="true" outlineLevel="0" collapsed="false">
      <c r="A78" s="35" t="str">
        <f aca="false">IF(基础资料!$Q78="","",基础资料!$Q78)</f>
        <v/>
      </c>
      <c r="B78" s="42" t="str">
        <f aca="false">IF($A78="","",基础资料!$R78)</f>
        <v/>
      </c>
      <c r="C78" s="42" t="str">
        <f aca="false">IF($A78="","",基础资料!$S78)</f>
        <v/>
      </c>
      <c r="D78" s="64" t="str">
        <f aca="false">IF($A78="","",SUMIFS(期初数据!$R$6:$R$205,期初数据!$O$6:$O$205,$A78)+SUMIFS(采购录入!$F$5:$F$404,采购录入!$E$5:$E$404,$A78,采购录入!$I$5:$I$404,"是",采购录入!$B$5:$B$404,"&lt;"&amp;首页!$B$6)-SUMIFS(销售录入!$F$5:$F$404,销售录入!$E$5:$E$404,$A78,销售录入!$B$5:$B$404,"&lt;"&amp;首页!$B$6))</f>
        <v/>
      </c>
      <c r="E78" s="54" t="str">
        <f aca="false">IF($A78="","",SUMIFS(期初数据!$T$6:$T$205,期初数据!$O$6:$O$205,$A78)+SUMIFS(采购录入!$Q$5:$Q$404,采购录入!$E$5:$E$404,$A78,采购录入!$I$5:$I$404,"是",采购录入!$B$5:$B$404,"&lt;"&amp;首页!$B$6)-SUMIFS(销售录入!$S$5:$S$404,销售录入!$E$5:$E$404,$A78,销售录入!$B$5:$B$404,"&lt;"&amp;首页!$B$6))</f>
        <v/>
      </c>
      <c r="F78" s="64" t="str">
        <f aca="false">IF($A78="","",SUMIFS(采购录入!$F$5:$F$404,采购录入!$E$5:$E$404,$A78,采购录入!$I$5:$I$404,"是",采购录入!$C$5:$C$404,首页!$B$5))</f>
        <v/>
      </c>
      <c r="G78" s="54" t="str">
        <f aca="false">IF($A78="","",SUMIFS(采购录入!$Q$5:$Q$404,采购录入!$E$5:$E$404,$A78,采购录入!$I$5:$I$404,"是",采购录入!$C$5:$C$404,首页!$B$5))</f>
        <v/>
      </c>
      <c r="H78" s="64" t="str">
        <f aca="false">IF($A78="","",SUMIFS(销售录入!$F$5:$F$404,销售录入!$E$5:$E$404,$A78,销售录入!$C$5:$C$404,首页!$B$5))</f>
        <v/>
      </c>
      <c r="I78" s="54" t="str">
        <f aca="false">IF($A78="","",SUMIFS(销售录入!$S$5:$S$404,销售录入!$E$5:$E$404,$A78,销售录入!$C$5:$C$404,首页!$B$5))</f>
        <v/>
      </c>
      <c r="J78" s="65" t="str">
        <f aca="false">IF($A78="","",$D78+$F78-$H78)</f>
        <v/>
      </c>
      <c r="K78" s="44" t="str">
        <f aca="false">IF($A78="","",$E78+$G78-$I78)</f>
        <v/>
      </c>
      <c r="L78" s="44" t="str">
        <f aca="false">IF(OR($A78="",$J78=0),"",$K78/$J78)</f>
        <v/>
      </c>
      <c r="M78" s="54" t="str">
        <f aca="false">IF($A78="","",SUMIFS(销售录入!$O$5:$O$404,销售录入!$E$5:$E$404,$A78,销售录入!$C$5:$C$404,首页!$B$5))</f>
        <v/>
      </c>
      <c r="N78" s="44" t="str">
        <f aca="false">IF($A78="","",$M78-$I78)</f>
        <v/>
      </c>
      <c r="O78" s="63" t="str">
        <f aca="false">IF(OR($A78="",$M78=0),"",$N78/$M78)</f>
        <v/>
      </c>
      <c r="P78" s="47" t="str">
        <f aca="false">IF($A78="","",IF($J78&lt;0,"⚠ 负库存",IF(AND($J78=0,ABS($K78)&gt;0.01),"⚠ 有金额无数量",IF(AND($J78&gt;0,$K78&lt;0),"⚠ 金额为负",IF($N78&lt;0,"⚠ 毛利为负","正常")))))</f>
        <v/>
      </c>
    </row>
    <row r="79" customFormat="false" ht="15.75" hidden="false" customHeight="true" outlineLevel="0" collapsed="false">
      <c r="A79" s="35" t="str">
        <f aca="false">IF(基础资料!$Q79="","",基础资料!$Q79)</f>
        <v/>
      </c>
      <c r="B79" s="42" t="str">
        <f aca="false">IF($A79="","",基础资料!$R79)</f>
        <v/>
      </c>
      <c r="C79" s="42" t="str">
        <f aca="false">IF($A79="","",基础资料!$S79)</f>
        <v/>
      </c>
      <c r="D79" s="64" t="str">
        <f aca="false">IF($A79="","",SUMIFS(期初数据!$R$6:$R$205,期初数据!$O$6:$O$205,$A79)+SUMIFS(采购录入!$F$5:$F$404,采购录入!$E$5:$E$404,$A79,采购录入!$I$5:$I$404,"是",采购录入!$B$5:$B$404,"&lt;"&amp;首页!$B$6)-SUMIFS(销售录入!$F$5:$F$404,销售录入!$E$5:$E$404,$A79,销售录入!$B$5:$B$404,"&lt;"&amp;首页!$B$6))</f>
        <v/>
      </c>
      <c r="E79" s="54" t="str">
        <f aca="false">IF($A79="","",SUMIFS(期初数据!$T$6:$T$205,期初数据!$O$6:$O$205,$A79)+SUMIFS(采购录入!$Q$5:$Q$404,采购录入!$E$5:$E$404,$A79,采购录入!$I$5:$I$404,"是",采购录入!$B$5:$B$404,"&lt;"&amp;首页!$B$6)-SUMIFS(销售录入!$S$5:$S$404,销售录入!$E$5:$E$404,$A79,销售录入!$B$5:$B$404,"&lt;"&amp;首页!$B$6))</f>
        <v/>
      </c>
      <c r="F79" s="64" t="str">
        <f aca="false">IF($A79="","",SUMIFS(采购录入!$F$5:$F$404,采购录入!$E$5:$E$404,$A79,采购录入!$I$5:$I$404,"是",采购录入!$C$5:$C$404,首页!$B$5))</f>
        <v/>
      </c>
      <c r="G79" s="54" t="str">
        <f aca="false">IF($A79="","",SUMIFS(采购录入!$Q$5:$Q$404,采购录入!$E$5:$E$404,$A79,采购录入!$I$5:$I$404,"是",采购录入!$C$5:$C$404,首页!$B$5))</f>
        <v/>
      </c>
      <c r="H79" s="64" t="str">
        <f aca="false">IF($A79="","",SUMIFS(销售录入!$F$5:$F$404,销售录入!$E$5:$E$404,$A79,销售录入!$C$5:$C$404,首页!$B$5))</f>
        <v/>
      </c>
      <c r="I79" s="54" t="str">
        <f aca="false">IF($A79="","",SUMIFS(销售录入!$S$5:$S$404,销售录入!$E$5:$E$404,$A79,销售录入!$C$5:$C$404,首页!$B$5))</f>
        <v/>
      </c>
      <c r="J79" s="65" t="str">
        <f aca="false">IF($A79="","",$D79+$F79-$H79)</f>
        <v/>
      </c>
      <c r="K79" s="44" t="str">
        <f aca="false">IF($A79="","",$E79+$G79-$I79)</f>
        <v/>
      </c>
      <c r="L79" s="44" t="str">
        <f aca="false">IF(OR($A79="",$J79=0),"",$K79/$J79)</f>
        <v/>
      </c>
      <c r="M79" s="54" t="str">
        <f aca="false">IF($A79="","",SUMIFS(销售录入!$O$5:$O$404,销售录入!$E$5:$E$404,$A79,销售录入!$C$5:$C$404,首页!$B$5))</f>
        <v/>
      </c>
      <c r="N79" s="44" t="str">
        <f aca="false">IF($A79="","",$M79-$I79)</f>
        <v/>
      </c>
      <c r="O79" s="63" t="str">
        <f aca="false">IF(OR($A79="",$M79=0),"",$N79/$M79)</f>
        <v/>
      </c>
      <c r="P79" s="47" t="str">
        <f aca="false">IF($A79="","",IF($J79&lt;0,"⚠ 负库存",IF(AND($J79=0,ABS($K79)&gt;0.01),"⚠ 有金额无数量",IF(AND($J79&gt;0,$K79&lt;0),"⚠ 金额为负",IF($N79&lt;0,"⚠ 毛利为负","正常")))))</f>
        <v/>
      </c>
    </row>
    <row r="80" customFormat="false" ht="15.75" hidden="false" customHeight="true" outlineLevel="0" collapsed="false">
      <c r="A80" s="35" t="str">
        <f aca="false">IF(基础资料!$Q80="","",基础资料!$Q80)</f>
        <v/>
      </c>
      <c r="B80" s="42" t="str">
        <f aca="false">IF($A80="","",基础资料!$R80)</f>
        <v/>
      </c>
      <c r="C80" s="42" t="str">
        <f aca="false">IF($A80="","",基础资料!$S80)</f>
        <v/>
      </c>
      <c r="D80" s="64" t="str">
        <f aca="false">IF($A80="","",SUMIFS(期初数据!$R$6:$R$205,期初数据!$O$6:$O$205,$A80)+SUMIFS(采购录入!$F$5:$F$404,采购录入!$E$5:$E$404,$A80,采购录入!$I$5:$I$404,"是",采购录入!$B$5:$B$404,"&lt;"&amp;首页!$B$6)-SUMIFS(销售录入!$F$5:$F$404,销售录入!$E$5:$E$404,$A80,销售录入!$B$5:$B$404,"&lt;"&amp;首页!$B$6))</f>
        <v/>
      </c>
      <c r="E80" s="54" t="str">
        <f aca="false">IF($A80="","",SUMIFS(期初数据!$T$6:$T$205,期初数据!$O$6:$O$205,$A80)+SUMIFS(采购录入!$Q$5:$Q$404,采购录入!$E$5:$E$404,$A80,采购录入!$I$5:$I$404,"是",采购录入!$B$5:$B$404,"&lt;"&amp;首页!$B$6)-SUMIFS(销售录入!$S$5:$S$404,销售录入!$E$5:$E$404,$A80,销售录入!$B$5:$B$404,"&lt;"&amp;首页!$B$6))</f>
        <v/>
      </c>
      <c r="F80" s="64" t="str">
        <f aca="false">IF($A80="","",SUMIFS(采购录入!$F$5:$F$404,采购录入!$E$5:$E$404,$A80,采购录入!$I$5:$I$404,"是",采购录入!$C$5:$C$404,首页!$B$5))</f>
        <v/>
      </c>
      <c r="G80" s="54" t="str">
        <f aca="false">IF($A80="","",SUMIFS(采购录入!$Q$5:$Q$404,采购录入!$E$5:$E$404,$A80,采购录入!$I$5:$I$404,"是",采购录入!$C$5:$C$404,首页!$B$5))</f>
        <v/>
      </c>
      <c r="H80" s="64" t="str">
        <f aca="false">IF($A80="","",SUMIFS(销售录入!$F$5:$F$404,销售录入!$E$5:$E$404,$A80,销售录入!$C$5:$C$404,首页!$B$5))</f>
        <v/>
      </c>
      <c r="I80" s="54" t="str">
        <f aca="false">IF($A80="","",SUMIFS(销售录入!$S$5:$S$404,销售录入!$E$5:$E$404,$A80,销售录入!$C$5:$C$404,首页!$B$5))</f>
        <v/>
      </c>
      <c r="J80" s="65" t="str">
        <f aca="false">IF($A80="","",$D80+$F80-$H80)</f>
        <v/>
      </c>
      <c r="K80" s="44" t="str">
        <f aca="false">IF($A80="","",$E80+$G80-$I80)</f>
        <v/>
      </c>
      <c r="L80" s="44" t="str">
        <f aca="false">IF(OR($A80="",$J80=0),"",$K80/$J80)</f>
        <v/>
      </c>
      <c r="M80" s="54" t="str">
        <f aca="false">IF($A80="","",SUMIFS(销售录入!$O$5:$O$404,销售录入!$E$5:$E$404,$A80,销售录入!$C$5:$C$404,首页!$B$5))</f>
        <v/>
      </c>
      <c r="N80" s="44" t="str">
        <f aca="false">IF($A80="","",$M80-$I80)</f>
        <v/>
      </c>
      <c r="O80" s="63" t="str">
        <f aca="false">IF(OR($A80="",$M80=0),"",$N80/$M80)</f>
        <v/>
      </c>
      <c r="P80" s="47" t="str">
        <f aca="false">IF($A80="","",IF($J80&lt;0,"⚠ 负库存",IF(AND($J80=0,ABS($K80)&gt;0.01),"⚠ 有金额无数量",IF(AND($J80&gt;0,$K80&lt;0),"⚠ 金额为负",IF($N80&lt;0,"⚠ 毛利为负","正常")))))</f>
        <v/>
      </c>
    </row>
    <row r="81" customFormat="false" ht="15.75" hidden="false" customHeight="true" outlineLevel="0" collapsed="false">
      <c r="A81" s="35" t="str">
        <f aca="false">IF(基础资料!$Q81="","",基础资料!$Q81)</f>
        <v/>
      </c>
      <c r="B81" s="42" t="str">
        <f aca="false">IF($A81="","",基础资料!$R81)</f>
        <v/>
      </c>
      <c r="C81" s="42" t="str">
        <f aca="false">IF($A81="","",基础资料!$S81)</f>
        <v/>
      </c>
      <c r="D81" s="64" t="str">
        <f aca="false">IF($A81="","",SUMIFS(期初数据!$R$6:$R$205,期初数据!$O$6:$O$205,$A81)+SUMIFS(采购录入!$F$5:$F$404,采购录入!$E$5:$E$404,$A81,采购录入!$I$5:$I$404,"是",采购录入!$B$5:$B$404,"&lt;"&amp;首页!$B$6)-SUMIFS(销售录入!$F$5:$F$404,销售录入!$E$5:$E$404,$A81,销售录入!$B$5:$B$404,"&lt;"&amp;首页!$B$6))</f>
        <v/>
      </c>
      <c r="E81" s="54" t="str">
        <f aca="false">IF($A81="","",SUMIFS(期初数据!$T$6:$T$205,期初数据!$O$6:$O$205,$A81)+SUMIFS(采购录入!$Q$5:$Q$404,采购录入!$E$5:$E$404,$A81,采购录入!$I$5:$I$404,"是",采购录入!$B$5:$B$404,"&lt;"&amp;首页!$B$6)-SUMIFS(销售录入!$S$5:$S$404,销售录入!$E$5:$E$404,$A81,销售录入!$B$5:$B$404,"&lt;"&amp;首页!$B$6))</f>
        <v/>
      </c>
      <c r="F81" s="64" t="str">
        <f aca="false">IF($A81="","",SUMIFS(采购录入!$F$5:$F$404,采购录入!$E$5:$E$404,$A81,采购录入!$I$5:$I$404,"是",采购录入!$C$5:$C$404,首页!$B$5))</f>
        <v/>
      </c>
      <c r="G81" s="54" t="str">
        <f aca="false">IF($A81="","",SUMIFS(采购录入!$Q$5:$Q$404,采购录入!$E$5:$E$404,$A81,采购录入!$I$5:$I$404,"是",采购录入!$C$5:$C$404,首页!$B$5))</f>
        <v/>
      </c>
      <c r="H81" s="64" t="str">
        <f aca="false">IF($A81="","",SUMIFS(销售录入!$F$5:$F$404,销售录入!$E$5:$E$404,$A81,销售录入!$C$5:$C$404,首页!$B$5))</f>
        <v/>
      </c>
      <c r="I81" s="54" t="str">
        <f aca="false">IF($A81="","",SUMIFS(销售录入!$S$5:$S$404,销售录入!$E$5:$E$404,$A81,销售录入!$C$5:$C$404,首页!$B$5))</f>
        <v/>
      </c>
      <c r="J81" s="65" t="str">
        <f aca="false">IF($A81="","",$D81+$F81-$H81)</f>
        <v/>
      </c>
      <c r="K81" s="44" t="str">
        <f aca="false">IF($A81="","",$E81+$G81-$I81)</f>
        <v/>
      </c>
      <c r="L81" s="44" t="str">
        <f aca="false">IF(OR($A81="",$J81=0),"",$K81/$J81)</f>
        <v/>
      </c>
      <c r="M81" s="54" t="str">
        <f aca="false">IF($A81="","",SUMIFS(销售录入!$O$5:$O$404,销售录入!$E$5:$E$404,$A81,销售录入!$C$5:$C$404,首页!$B$5))</f>
        <v/>
      </c>
      <c r="N81" s="44" t="str">
        <f aca="false">IF($A81="","",$M81-$I81)</f>
        <v/>
      </c>
      <c r="O81" s="63" t="str">
        <f aca="false">IF(OR($A81="",$M81=0),"",$N81/$M81)</f>
        <v/>
      </c>
      <c r="P81" s="47" t="str">
        <f aca="false">IF($A81="","",IF($J81&lt;0,"⚠ 负库存",IF(AND($J81=0,ABS($K81)&gt;0.01),"⚠ 有金额无数量",IF(AND($J81&gt;0,$K81&lt;0),"⚠ 金额为负",IF($N81&lt;0,"⚠ 毛利为负","正常")))))</f>
        <v/>
      </c>
    </row>
    <row r="82" customFormat="false" ht="15.75" hidden="false" customHeight="true" outlineLevel="0" collapsed="false">
      <c r="A82" s="35" t="str">
        <f aca="false">IF(基础资料!$Q82="","",基础资料!$Q82)</f>
        <v/>
      </c>
      <c r="B82" s="42" t="str">
        <f aca="false">IF($A82="","",基础资料!$R82)</f>
        <v/>
      </c>
      <c r="C82" s="42" t="str">
        <f aca="false">IF($A82="","",基础资料!$S82)</f>
        <v/>
      </c>
      <c r="D82" s="64" t="str">
        <f aca="false">IF($A82="","",SUMIFS(期初数据!$R$6:$R$205,期初数据!$O$6:$O$205,$A82)+SUMIFS(采购录入!$F$5:$F$404,采购录入!$E$5:$E$404,$A82,采购录入!$I$5:$I$404,"是",采购录入!$B$5:$B$404,"&lt;"&amp;首页!$B$6)-SUMIFS(销售录入!$F$5:$F$404,销售录入!$E$5:$E$404,$A82,销售录入!$B$5:$B$404,"&lt;"&amp;首页!$B$6))</f>
        <v/>
      </c>
      <c r="E82" s="54" t="str">
        <f aca="false">IF($A82="","",SUMIFS(期初数据!$T$6:$T$205,期初数据!$O$6:$O$205,$A82)+SUMIFS(采购录入!$Q$5:$Q$404,采购录入!$E$5:$E$404,$A82,采购录入!$I$5:$I$404,"是",采购录入!$B$5:$B$404,"&lt;"&amp;首页!$B$6)-SUMIFS(销售录入!$S$5:$S$404,销售录入!$E$5:$E$404,$A82,销售录入!$B$5:$B$404,"&lt;"&amp;首页!$B$6))</f>
        <v/>
      </c>
      <c r="F82" s="64" t="str">
        <f aca="false">IF($A82="","",SUMIFS(采购录入!$F$5:$F$404,采购录入!$E$5:$E$404,$A82,采购录入!$I$5:$I$404,"是",采购录入!$C$5:$C$404,首页!$B$5))</f>
        <v/>
      </c>
      <c r="G82" s="54" t="str">
        <f aca="false">IF($A82="","",SUMIFS(采购录入!$Q$5:$Q$404,采购录入!$E$5:$E$404,$A82,采购录入!$I$5:$I$404,"是",采购录入!$C$5:$C$404,首页!$B$5))</f>
        <v/>
      </c>
      <c r="H82" s="64" t="str">
        <f aca="false">IF($A82="","",SUMIFS(销售录入!$F$5:$F$404,销售录入!$E$5:$E$404,$A82,销售录入!$C$5:$C$404,首页!$B$5))</f>
        <v/>
      </c>
      <c r="I82" s="54" t="str">
        <f aca="false">IF($A82="","",SUMIFS(销售录入!$S$5:$S$404,销售录入!$E$5:$E$404,$A82,销售录入!$C$5:$C$404,首页!$B$5))</f>
        <v/>
      </c>
      <c r="J82" s="65" t="str">
        <f aca="false">IF($A82="","",$D82+$F82-$H82)</f>
        <v/>
      </c>
      <c r="K82" s="44" t="str">
        <f aca="false">IF($A82="","",$E82+$G82-$I82)</f>
        <v/>
      </c>
      <c r="L82" s="44" t="str">
        <f aca="false">IF(OR($A82="",$J82=0),"",$K82/$J82)</f>
        <v/>
      </c>
      <c r="M82" s="54" t="str">
        <f aca="false">IF($A82="","",SUMIFS(销售录入!$O$5:$O$404,销售录入!$E$5:$E$404,$A82,销售录入!$C$5:$C$404,首页!$B$5))</f>
        <v/>
      </c>
      <c r="N82" s="44" t="str">
        <f aca="false">IF($A82="","",$M82-$I82)</f>
        <v/>
      </c>
      <c r="O82" s="63" t="str">
        <f aca="false">IF(OR($A82="",$M82=0),"",$N82/$M82)</f>
        <v/>
      </c>
      <c r="P82" s="47" t="str">
        <f aca="false">IF($A82="","",IF($J82&lt;0,"⚠ 负库存",IF(AND($J82=0,ABS($K82)&gt;0.01),"⚠ 有金额无数量",IF(AND($J82&gt;0,$K82&lt;0),"⚠ 金额为负",IF($N82&lt;0,"⚠ 毛利为负","正常")))))</f>
        <v/>
      </c>
    </row>
    <row r="83" customFormat="false" ht="15.75" hidden="false" customHeight="true" outlineLevel="0" collapsed="false">
      <c r="A83" s="35" t="str">
        <f aca="false">IF(基础资料!$Q83="","",基础资料!$Q83)</f>
        <v/>
      </c>
      <c r="B83" s="42" t="str">
        <f aca="false">IF($A83="","",基础资料!$R83)</f>
        <v/>
      </c>
      <c r="C83" s="42" t="str">
        <f aca="false">IF($A83="","",基础资料!$S83)</f>
        <v/>
      </c>
      <c r="D83" s="64" t="str">
        <f aca="false">IF($A83="","",SUMIFS(期初数据!$R$6:$R$205,期初数据!$O$6:$O$205,$A83)+SUMIFS(采购录入!$F$5:$F$404,采购录入!$E$5:$E$404,$A83,采购录入!$I$5:$I$404,"是",采购录入!$B$5:$B$404,"&lt;"&amp;首页!$B$6)-SUMIFS(销售录入!$F$5:$F$404,销售录入!$E$5:$E$404,$A83,销售录入!$B$5:$B$404,"&lt;"&amp;首页!$B$6))</f>
        <v/>
      </c>
      <c r="E83" s="54" t="str">
        <f aca="false">IF($A83="","",SUMIFS(期初数据!$T$6:$T$205,期初数据!$O$6:$O$205,$A83)+SUMIFS(采购录入!$Q$5:$Q$404,采购录入!$E$5:$E$404,$A83,采购录入!$I$5:$I$404,"是",采购录入!$B$5:$B$404,"&lt;"&amp;首页!$B$6)-SUMIFS(销售录入!$S$5:$S$404,销售录入!$E$5:$E$404,$A83,销售录入!$B$5:$B$404,"&lt;"&amp;首页!$B$6))</f>
        <v/>
      </c>
      <c r="F83" s="64" t="str">
        <f aca="false">IF($A83="","",SUMIFS(采购录入!$F$5:$F$404,采购录入!$E$5:$E$404,$A83,采购录入!$I$5:$I$404,"是",采购录入!$C$5:$C$404,首页!$B$5))</f>
        <v/>
      </c>
      <c r="G83" s="54" t="str">
        <f aca="false">IF($A83="","",SUMIFS(采购录入!$Q$5:$Q$404,采购录入!$E$5:$E$404,$A83,采购录入!$I$5:$I$404,"是",采购录入!$C$5:$C$404,首页!$B$5))</f>
        <v/>
      </c>
      <c r="H83" s="64" t="str">
        <f aca="false">IF($A83="","",SUMIFS(销售录入!$F$5:$F$404,销售录入!$E$5:$E$404,$A83,销售录入!$C$5:$C$404,首页!$B$5))</f>
        <v/>
      </c>
      <c r="I83" s="54" t="str">
        <f aca="false">IF($A83="","",SUMIFS(销售录入!$S$5:$S$404,销售录入!$E$5:$E$404,$A83,销售录入!$C$5:$C$404,首页!$B$5))</f>
        <v/>
      </c>
      <c r="J83" s="65" t="str">
        <f aca="false">IF($A83="","",$D83+$F83-$H83)</f>
        <v/>
      </c>
      <c r="K83" s="44" t="str">
        <f aca="false">IF($A83="","",$E83+$G83-$I83)</f>
        <v/>
      </c>
      <c r="L83" s="44" t="str">
        <f aca="false">IF(OR($A83="",$J83=0),"",$K83/$J83)</f>
        <v/>
      </c>
      <c r="M83" s="54" t="str">
        <f aca="false">IF($A83="","",SUMIFS(销售录入!$O$5:$O$404,销售录入!$E$5:$E$404,$A83,销售录入!$C$5:$C$404,首页!$B$5))</f>
        <v/>
      </c>
      <c r="N83" s="44" t="str">
        <f aca="false">IF($A83="","",$M83-$I83)</f>
        <v/>
      </c>
      <c r="O83" s="63" t="str">
        <f aca="false">IF(OR($A83="",$M83=0),"",$N83/$M83)</f>
        <v/>
      </c>
      <c r="P83" s="47" t="str">
        <f aca="false">IF($A83="","",IF($J83&lt;0,"⚠ 负库存",IF(AND($J83=0,ABS($K83)&gt;0.01),"⚠ 有金额无数量",IF(AND($J83&gt;0,$K83&lt;0),"⚠ 金额为负",IF($N83&lt;0,"⚠ 毛利为负","正常")))))</f>
        <v/>
      </c>
    </row>
    <row r="84" customFormat="false" ht="15.75" hidden="false" customHeight="true" outlineLevel="0" collapsed="false">
      <c r="A84" s="35" t="str">
        <f aca="false">IF(基础资料!$Q84="","",基础资料!$Q84)</f>
        <v/>
      </c>
      <c r="B84" s="42" t="str">
        <f aca="false">IF($A84="","",基础资料!$R84)</f>
        <v/>
      </c>
      <c r="C84" s="42" t="str">
        <f aca="false">IF($A84="","",基础资料!$S84)</f>
        <v/>
      </c>
      <c r="D84" s="64" t="str">
        <f aca="false">IF($A84="","",SUMIFS(期初数据!$R$6:$R$205,期初数据!$O$6:$O$205,$A84)+SUMIFS(采购录入!$F$5:$F$404,采购录入!$E$5:$E$404,$A84,采购录入!$I$5:$I$404,"是",采购录入!$B$5:$B$404,"&lt;"&amp;首页!$B$6)-SUMIFS(销售录入!$F$5:$F$404,销售录入!$E$5:$E$404,$A84,销售录入!$B$5:$B$404,"&lt;"&amp;首页!$B$6))</f>
        <v/>
      </c>
      <c r="E84" s="54" t="str">
        <f aca="false">IF($A84="","",SUMIFS(期初数据!$T$6:$T$205,期初数据!$O$6:$O$205,$A84)+SUMIFS(采购录入!$Q$5:$Q$404,采购录入!$E$5:$E$404,$A84,采购录入!$I$5:$I$404,"是",采购录入!$B$5:$B$404,"&lt;"&amp;首页!$B$6)-SUMIFS(销售录入!$S$5:$S$404,销售录入!$E$5:$E$404,$A84,销售录入!$B$5:$B$404,"&lt;"&amp;首页!$B$6))</f>
        <v/>
      </c>
      <c r="F84" s="64" t="str">
        <f aca="false">IF($A84="","",SUMIFS(采购录入!$F$5:$F$404,采购录入!$E$5:$E$404,$A84,采购录入!$I$5:$I$404,"是",采购录入!$C$5:$C$404,首页!$B$5))</f>
        <v/>
      </c>
      <c r="G84" s="54" t="str">
        <f aca="false">IF($A84="","",SUMIFS(采购录入!$Q$5:$Q$404,采购录入!$E$5:$E$404,$A84,采购录入!$I$5:$I$404,"是",采购录入!$C$5:$C$404,首页!$B$5))</f>
        <v/>
      </c>
      <c r="H84" s="64" t="str">
        <f aca="false">IF($A84="","",SUMIFS(销售录入!$F$5:$F$404,销售录入!$E$5:$E$404,$A84,销售录入!$C$5:$C$404,首页!$B$5))</f>
        <v/>
      </c>
      <c r="I84" s="54" t="str">
        <f aca="false">IF($A84="","",SUMIFS(销售录入!$S$5:$S$404,销售录入!$E$5:$E$404,$A84,销售录入!$C$5:$C$404,首页!$B$5))</f>
        <v/>
      </c>
      <c r="J84" s="65" t="str">
        <f aca="false">IF($A84="","",$D84+$F84-$H84)</f>
        <v/>
      </c>
      <c r="K84" s="44" t="str">
        <f aca="false">IF($A84="","",$E84+$G84-$I84)</f>
        <v/>
      </c>
      <c r="L84" s="44" t="str">
        <f aca="false">IF(OR($A84="",$J84=0),"",$K84/$J84)</f>
        <v/>
      </c>
      <c r="M84" s="54" t="str">
        <f aca="false">IF($A84="","",SUMIFS(销售录入!$O$5:$O$404,销售录入!$E$5:$E$404,$A84,销售录入!$C$5:$C$404,首页!$B$5))</f>
        <v/>
      </c>
      <c r="N84" s="44" t="str">
        <f aca="false">IF($A84="","",$M84-$I84)</f>
        <v/>
      </c>
      <c r="O84" s="63" t="str">
        <f aca="false">IF(OR($A84="",$M84=0),"",$N84/$M84)</f>
        <v/>
      </c>
      <c r="P84" s="47" t="str">
        <f aca="false">IF($A84="","",IF($J84&lt;0,"⚠ 负库存",IF(AND($J84=0,ABS($K84)&gt;0.01),"⚠ 有金额无数量",IF(AND($J84&gt;0,$K84&lt;0),"⚠ 金额为负",IF($N84&lt;0,"⚠ 毛利为负","正常")))))</f>
        <v/>
      </c>
    </row>
    <row r="85" customFormat="false" ht="15.75" hidden="false" customHeight="true" outlineLevel="0" collapsed="false">
      <c r="A85" s="35" t="str">
        <f aca="false">IF(基础资料!$Q85="","",基础资料!$Q85)</f>
        <v/>
      </c>
      <c r="B85" s="42" t="str">
        <f aca="false">IF($A85="","",基础资料!$R85)</f>
        <v/>
      </c>
      <c r="C85" s="42" t="str">
        <f aca="false">IF($A85="","",基础资料!$S85)</f>
        <v/>
      </c>
      <c r="D85" s="64" t="str">
        <f aca="false">IF($A85="","",SUMIFS(期初数据!$R$6:$R$205,期初数据!$O$6:$O$205,$A85)+SUMIFS(采购录入!$F$5:$F$404,采购录入!$E$5:$E$404,$A85,采购录入!$I$5:$I$404,"是",采购录入!$B$5:$B$404,"&lt;"&amp;首页!$B$6)-SUMIFS(销售录入!$F$5:$F$404,销售录入!$E$5:$E$404,$A85,销售录入!$B$5:$B$404,"&lt;"&amp;首页!$B$6))</f>
        <v/>
      </c>
      <c r="E85" s="54" t="str">
        <f aca="false">IF($A85="","",SUMIFS(期初数据!$T$6:$T$205,期初数据!$O$6:$O$205,$A85)+SUMIFS(采购录入!$Q$5:$Q$404,采购录入!$E$5:$E$404,$A85,采购录入!$I$5:$I$404,"是",采购录入!$B$5:$B$404,"&lt;"&amp;首页!$B$6)-SUMIFS(销售录入!$S$5:$S$404,销售录入!$E$5:$E$404,$A85,销售录入!$B$5:$B$404,"&lt;"&amp;首页!$B$6))</f>
        <v/>
      </c>
      <c r="F85" s="64" t="str">
        <f aca="false">IF($A85="","",SUMIFS(采购录入!$F$5:$F$404,采购录入!$E$5:$E$404,$A85,采购录入!$I$5:$I$404,"是",采购录入!$C$5:$C$404,首页!$B$5))</f>
        <v/>
      </c>
      <c r="G85" s="54" t="str">
        <f aca="false">IF($A85="","",SUMIFS(采购录入!$Q$5:$Q$404,采购录入!$E$5:$E$404,$A85,采购录入!$I$5:$I$404,"是",采购录入!$C$5:$C$404,首页!$B$5))</f>
        <v/>
      </c>
      <c r="H85" s="64" t="str">
        <f aca="false">IF($A85="","",SUMIFS(销售录入!$F$5:$F$404,销售录入!$E$5:$E$404,$A85,销售录入!$C$5:$C$404,首页!$B$5))</f>
        <v/>
      </c>
      <c r="I85" s="54" t="str">
        <f aca="false">IF($A85="","",SUMIFS(销售录入!$S$5:$S$404,销售录入!$E$5:$E$404,$A85,销售录入!$C$5:$C$404,首页!$B$5))</f>
        <v/>
      </c>
      <c r="J85" s="65" t="str">
        <f aca="false">IF($A85="","",$D85+$F85-$H85)</f>
        <v/>
      </c>
      <c r="K85" s="44" t="str">
        <f aca="false">IF($A85="","",$E85+$G85-$I85)</f>
        <v/>
      </c>
      <c r="L85" s="44" t="str">
        <f aca="false">IF(OR($A85="",$J85=0),"",$K85/$J85)</f>
        <v/>
      </c>
      <c r="M85" s="54" t="str">
        <f aca="false">IF($A85="","",SUMIFS(销售录入!$O$5:$O$404,销售录入!$E$5:$E$404,$A85,销售录入!$C$5:$C$404,首页!$B$5))</f>
        <v/>
      </c>
      <c r="N85" s="44" t="str">
        <f aca="false">IF($A85="","",$M85-$I85)</f>
        <v/>
      </c>
      <c r="O85" s="63" t="str">
        <f aca="false">IF(OR($A85="",$M85=0),"",$N85/$M85)</f>
        <v/>
      </c>
      <c r="P85" s="47" t="str">
        <f aca="false">IF($A85="","",IF($J85&lt;0,"⚠ 负库存",IF(AND($J85=0,ABS($K85)&gt;0.01),"⚠ 有金额无数量",IF(AND($J85&gt;0,$K85&lt;0),"⚠ 金额为负",IF($N85&lt;0,"⚠ 毛利为负","正常")))))</f>
        <v/>
      </c>
    </row>
    <row r="86" customFormat="false" ht="15.75" hidden="false" customHeight="true" outlineLevel="0" collapsed="false">
      <c r="A86" s="35" t="str">
        <f aca="false">IF(基础资料!$Q86="","",基础资料!$Q86)</f>
        <v/>
      </c>
      <c r="B86" s="42" t="str">
        <f aca="false">IF($A86="","",基础资料!$R86)</f>
        <v/>
      </c>
      <c r="C86" s="42" t="str">
        <f aca="false">IF($A86="","",基础资料!$S86)</f>
        <v/>
      </c>
      <c r="D86" s="64" t="str">
        <f aca="false">IF($A86="","",SUMIFS(期初数据!$R$6:$R$205,期初数据!$O$6:$O$205,$A86)+SUMIFS(采购录入!$F$5:$F$404,采购录入!$E$5:$E$404,$A86,采购录入!$I$5:$I$404,"是",采购录入!$B$5:$B$404,"&lt;"&amp;首页!$B$6)-SUMIFS(销售录入!$F$5:$F$404,销售录入!$E$5:$E$404,$A86,销售录入!$B$5:$B$404,"&lt;"&amp;首页!$B$6))</f>
        <v/>
      </c>
      <c r="E86" s="54" t="str">
        <f aca="false">IF($A86="","",SUMIFS(期初数据!$T$6:$T$205,期初数据!$O$6:$O$205,$A86)+SUMIFS(采购录入!$Q$5:$Q$404,采购录入!$E$5:$E$404,$A86,采购录入!$I$5:$I$404,"是",采购录入!$B$5:$B$404,"&lt;"&amp;首页!$B$6)-SUMIFS(销售录入!$S$5:$S$404,销售录入!$E$5:$E$404,$A86,销售录入!$B$5:$B$404,"&lt;"&amp;首页!$B$6))</f>
        <v/>
      </c>
      <c r="F86" s="64" t="str">
        <f aca="false">IF($A86="","",SUMIFS(采购录入!$F$5:$F$404,采购录入!$E$5:$E$404,$A86,采购录入!$I$5:$I$404,"是",采购录入!$C$5:$C$404,首页!$B$5))</f>
        <v/>
      </c>
      <c r="G86" s="54" t="str">
        <f aca="false">IF($A86="","",SUMIFS(采购录入!$Q$5:$Q$404,采购录入!$E$5:$E$404,$A86,采购录入!$I$5:$I$404,"是",采购录入!$C$5:$C$404,首页!$B$5))</f>
        <v/>
      </c>
      <c r="H86" s="64" t="str">
        <f aca="false">IF($A86="","",SUMIFS(销售录入!$F$5:$F$404,销售录入!$E$5:$E$404,$A86,销售录入!$C$5:$C$404,首页!$B$5))</f>
        <v/>
      </c>
      <c r="I86" s="54" t="str">
        <f aca="false">IF($A86="","",SUMIFS(销售录入!$S$5:$S$404,销售录入!$E$5:$E$404,$A86,销售录入!$C$5:$C$404,首页!$B$5))</f>
        <v/>
      </c>
      <c r="J86" s="65" t="str">
        <f aca="false">IF($A86="","",$D86+$F86-$H86)</f>
        <v/>
      </c>
      <c r="K86" s="44" t="str">
        <f aca="false">IF($A86="","",$E86+$G86-$I86)</f>
        <v/>
      </c>
      <c r="L86" s="44" t="str">
        <f aca="false">IF(OR($A86="",$J86=0),"",$K86/$J86)</f>
        <v/>
      </c>
      <c r="M86" s="54" t="str">
        <f aca="false">IF($A86="","",SUMIFS(销售录入!$O$5:$O$404,销售录入!$E$5:$E$404,$A86,销售录入!$C$5:$C$404,首页!$B$5))</f>
        <v/>
      </c>
      <c r="N86" s="44" t="str">
        <f aca="false">IF($A86="","",$M86-$I86)</f>
        <v/>
      </c>
      <c r="O86" s="63" t="str">
        <f aca="false">IF(OR($A86="",$M86=0),"",$N86/$M86)</f>
        <v/>
      </c>
      <c r="P86" s="47" t="str">
        <f aca="false">IF($A86="","",IF($J86&lt;0,"⚠ 负库存",IF(AND($J86=0,ABS($K86)&gt;0.01),"⚠ 有金额无数量",IF(AND($J86&gt;0,$K86&lt;0),"⚠ 金额为负",IF($N86&lt;0,"⚠ 毛利为负","正常")))))</f>
        <v/>
      </c>
    </row>
    <row r="87" customFormat="false" ht="15.75" hidden="false" customHeight="true" outlineLevel="0" collapsed="false">
      <c r="A87" s="35" t="str">
        <f aca="false">IF(基础资料!$Q87="","",基础资料!$Q87)</f>
        <v/>
      </c>
      <c r="B87" s="42" t="str">
        <f aca="false">IF($A87="","",基础资料!$R87)</f>
        <v/>
      </c>
      <c r="C87" s="42" t="str">
        <f aca="false">IF($A87="","",基础资料!$S87)</f>
        <v/>
      </c>
      <c r="D87" s="64" t="str">
        <f aca="false">IF($A87="","",SUMIFS(期初数据!$R$6:$R$205,期初数据!$O$6:$O$205,$A87)+SUMIFS(采购录入!$F$5:$F$404,采购录入!$E$5:$E$404,$A87,采购录入!$I$5:$I$404,"是",采购录入!$B$5:$B$404,"&lt;"&amp;首页!$B$6)-SUMIFS(销售录入!$F$5:$F$404,销售录入!$E$5:$E$404,$A87,销售录入!$B$5:$B$404,"&lt;"&amp;首页!$B$6))</f>
        <v/>
      </c>
      <c r="E87" s="54" t="str">
        <f aca="false">IF($A87="","",SUMIFS(期初数据!$T$6:$T$205,期初数据!$O$6:$O$205,$A87)+SUMIFS(采购录入!$Q$5:$Q$404,采购录入!$E$5:$E$404,$A87,采购录入!$I$5:$I$404,"是",采购录入!$B$5:$B$404,"&lt;"&amp;首页!$B$6)-SUMIFS(销售录入!$S$5:$S$404,销售录入!$E$5:$E$404,$A87,销售录入!$B$5:$B$404,"&lt;"&amp;首页!$B$6))</f>
        <v/>
      </c>
      <c r="F87" s="64" t="str">
        <f aca="false">IF($A87="","",SUMIFS(采购录入!$F$5:$F$404,采购录入!$E$5:$E$404,$A87,采购录入!$I$5:$I$404,"是",采购录入!$C$5:$C$404,首页!$B$5))</f>
        <v/>
      </c>
      <c r="G87" s="54" t="str">
        <f aca="false">IF($A87="","",SUMIFS(采购录入!$Q$5:$Q$404,采购录入!$E$5:$E$404,$A87,采购录入!$I$5:$I$404,"是",采购录入!$C$5:$C$404,首页!$B$5))</f>
        <v/>
      </c>
      <c r="H87" s="64" t="str">
        <f aca="false">IF($A87="","",SUMIFS(销售录入!$F$5:$F$404,销售录入!$E$5:$E$404,$A87,销售录入!$C$5:$C$404,首页!$B$5))</f>
        <v/>
      </c>
      <c r="I87" s="54" t="str">
        <f aca="false">IF($A87="","",SUMIFS(销售录入!$S$5:$S$404,销售录入!$E$5:$E$404,$A87,销售录入!$C$5:$C$404,首页!$B$5))</f>
        <v/>
      </c>
      <c r="J87" s="65" t="str">
        <f aca="false">IF($A87="","",$D87+$F87-$H87)</f>
        <v/>
      </c>
      <c r="K87" s="44" t="str">
        <f aca="false">IF($A87="","",$E87+$G87-$I87)</f>
        <v/>
      </c>
      <c r="L87" s="44" t="str">
        <f aca="false">IF(OR($A87="",$J87=0),"",$K87/$J87)</f>
        <v/>
      </c>
      <c r="M87" s="54" t="str">
        <f aca="false">IF($A87="","",SUMIFS(销售录入!$O$5:$O$404,销售录入!$E$5:$E$404,$A87,销售录入!$C$5:$C$404,首页!$B$5))</f>
        <v/>
      </c>
      <c r="N87" s="44" t="str">
        <f aca="false">IF($A87="","",$M87-$I87)</f>
        <v/>
      </c>
      <c r="O87" s="63" t="str">
        <f aca="false">IF(OR($A87="",$M87=0),"",$N87/$M87)</f>
        <v/>
      </c>
      <c r="P87" s="47" t="str">
        <f aca="false">IF($A87="","",IF($J87&lt;0,"⚠ 负库存",IF(AND($J87=0,ABS($K87)&gt;0.01),"⚠ 有金额无数量",IF(AND($J87&gt;0,$K87&lt;0),"⚠ 金额为负",IF($N87&lt;0,"⚠ 毛利为负","正常")))))</f>
        <v/>
      </c>
    </row>
    <row r="88" customFormat="false" ht="15.75" hidden="false" customHeight="true" outlineLevel="0" collapsed="false">
      <c r="A88" s="35" t="str">
        <f aca="false">IF(基础资料!$Q88="","",基础资料!$Q88)</f>
        <v/>
      </c>
      <c r="B88" s="42" t="str">
        <f aca="false">IF($A88="","",基础资料!$R88)</f>
        <v/>
      </c>
      <c r="C88" s="42" t="str">
        <f aca="false">IF($A88="","",基础资料!$S88)</f>
        <v/>
      </c>
      <c r="D88" s="64" t="str">
        <f aca="false">IF($A88="","",SUMIFS(期初数据!$R$6:$R$205,期初数据!$O$6:$O$205,$A88)+SUMIFS(采购录入!$F$5:$F$404,采购录入!$E$5:$E$404,$A88,采购录入!$I$5:$I$404,"是",采购录入!$B$5:$B$404,"&lt;"&amp;首页!$B$6)-SUMIFS(销售录入!$F$5:$F$404,销售录入!$E$5:$E$404,$A88,销售录入!$B$5:$B$404,"&lt;"&amp;首页!$B$6))</f>
        <v/>
      </c>
      <c r="E88" s="54" t="str">
        <f aca="false">IF($A88="","",SUMIFS(期初数据!$T$6:$T$205,期初数据!$O$6:$O$205,$A88)+SUMIFS(采购录入!$Q$5:$Q$404,采购录入!$E$5:$E$404,$A88,采购录入!$I$5:$I$404,"是",采购录入!$B$5:$B$404,"&lt;"&amp;首页!$B$6)-SUMIFS(销售录入!$S$5:$S$404,销售录入!$E$5:$E$404,$A88,销售录入!$B$5:$B$404,"&lt;"&amp;首页!$B$6))</f>
        <v/>
      </c>
      <c r="F88" s="64" t="str">
        <f aca="false">IF($A88="","",SUMIFS(采购录入!$F$5:$F$404,采购录入!$E$5:$E$404,$A88,采购录入!$I$5:$I$404,"是",采购录入!$C$5:$C$404,首页!$B$5))</f>
        <v/>
      </c>
      <c r="G88" s="54" t="str">
        <f aca="false">IF($A88="","",SUMIFS(采购录入!$Q$5:$Q$404,采购录入!$E$5:$E$404,$A88,采购录入!$I$5:$I$404,"是",采购录入!$C$5:$C$404,首页!$B$5))</f>
        <v/>
      </c>
      <c r="H88" s="64" t="str">
        <f aca="false">IF($A88="","",SUMIFS(销售录入!$F$5:$F$404,销售录入!$E$5:$E$404,$A88,销售录入!$C$5:$C$404,首页!$B$5))</f>
        <v/>
      </c>
      <c r="I88" s="54" t="str">
        <f aca="false">IF($A88="","",SUMIFS(销售录入!$S$5:$S$404,销售录入!$E$5:$E$404,$A88,销售录入!$C$5:$C$404,首页!$B$5))</f>
        <v/>
      </c>
      <c r="J88" s="65" t="str">
        <f aca="false">IF($A88="","",$D88+$F88-$H88)</f>
        <v/>
      </c>
      <c r="K88" s="44" t="str">
        <f aca="false">IF($A88="","",$E88+$G88-$I88)</f>
        <v/>
      </c>
      <c r="L88" s="44" t="str">
        <f aca="false">IF(OR($A88="",$J88=0),"",$K88/$J88)</f>
        <v/>
      </c>
      <c r="M88" s="54" t="str">
        <f aca="false">IF($A88="","",SUMIFS(销售录入!$O$5:$O$404,销售录入!$E$5:$E$404,$A88,销售录入!$C$5:$C$404,首页!$B$5))</f>
        <v/>
      </c>
      <c r="N88" s="44" t="str">
        <f aca="false">IF($A88="","",$M88-$I88)</f>
        <v/>
      </c>
      <c r="O88" s="63" t="str">
        <f aca="false">IF(OR($A88="",$M88=0),"",$N88/$M88)</f>
        <v/>
      </c>
      <c r="P88" s="47" t="str">
        <f aca="false">IF($A88="","",IF($J88&lt;0,"⚠ 负库存",IF(AND($J88=0,ABS($K88)&gt;0.01),"⚠ 有金额无数量",IF(AND($J88&gt;0,$K88&lt;0),"⚠ 金额为负",IF($N88&lt;0,"⚠ 毛利为负","正常")))))</f>
        <v/>
      </c>
    </row>
    <row r="89" customFormat="false" ht="15.75" hidden="false" customHeight="true" outlineLevel="0" collapsed="false">
      <c r="A89" s="35" t="str">
        <f aca="false">IF(基础资料!$Q89="","",基础资料!$Q89)</f>
        <v/>
      </c>
      <c r="B89" s="42" t="str">
        <f aca="false">IF($A89="","",基础资料!$R89)</f>
        <v/>
      </c>
      <c r="C89" s="42" t="str">
        <f aca="false">IF($A89="","",基础资料!$S89)</f>
        <v/>
      </c>
      <c r="D89" s="64" t="str">
        <f aca="false">IF($A89="","",SUMIFS(期初数据!$R$6:$R$205,期初数据!$O$6:$O$205,$A89)+SUMIFS(采购录入!$F$5:$F$404,采购录入!$E$5:$E$404,$A89,采购录入!$I$5:$I$404,"是",采购录入!$B$5:$B$404,"&lt;"&amp;首页!$B$6)-SUMIFS(销售录入!$F$5:$F$404,销售录入!$E$5:$E$404,$A89,销售录入!$B$5:$B$404,"&lt;"&amp;首页!$B$6))</f>
        <v/>
      </c>
      <c r="E89" s="54" t="str">
        <f aca="false">IF($A89="","",SUMIFS(期初数据!$T$6:$T$205,期初数据!$O$6:$O$205,$A89)+SUMIFS(采购录入!$Q$5:$Q$404,采购录入!$E$5:$E$404,$A89,采购录入!$I$5:$I$404,"是",采购录入!$B$5:$B$404,"&lt;"&amp;首页!$B$6)-SUMIFS(销售录入!$S$5:$S$404,销售录入!$E$5:$E$404,$A89,销售录入!$B$5:$B$404,"&lt;"&amp;首页!$B$6))</f>
        <v/>
      </c>
      <c r="F89" s="64" t="str">
        <f aca="false">IF($A89="","",SUMIFS(采购录入!$F$5:$F$404,采购录入!$E$5:$E$404,$A89,采购录入!$I$5:$I$404,"是",采购录入!$C$5:$C$404,首页!$B$5))</f>
        <v/>
      </c>
      <c r="G89" s="54" t="str">
        <f aca="false">IF($A89="","",SUMIFS(采购录入!$Q$5:$Q$404,采购录入!$E$5:$E$404,$A89,采购录入!$I$5:$I$404,"是",采购录入!$C$5:$C$404,首页!$B$5))</f>
        <v/>
      </c>
      <c r="H89" s="64" t="str">
        <f aca="false">IF($A89="","",SUMIFS(销售录入!$F$5:$F$404,销售录入!$E$5:$E$404,$A89,销售录入!$C$5:$C$404,首页!$B$5))</f>
        <v/>
      </c>
      <c r="I89" s="54" t="str">
        <f aca="false">IF($A89="","",SUMIFS(销售录入!$S$5:$S$404,销售录入!$E$5:$E$404,$A89,销售录入!$C$5:$C$404,首页!$B$5))</f>
        <v/>
      </c>
      <c r="J89" s="65" t="str">
        <f aca="false">IF($A89="","",$D89+$F89-$H89)</f>
        <v/>
      </c>
      <c r="K89" s="44" t="str">
        <f aca="false">IF($A89="","",$E89+$G89-$I89)</f>
        <v/>
      </c>
      <c r="L89" s="44" t="str">
        <f aca="false">IF(OR($A89="",$J89=0),"",$K89/$J89)</f>
        <v/>
      </c>
      <c r="M89" s="54" t="str">
        <f aca="false">IF($A89="","",SUMIFS(销售录入!$O$5:$O$404,销售录入!$E$5:$E$404,$A89,销售录入!$C$5:$C$404,首页!$B$5))</f>
        <v/>
      </c>
      <c r="N89" s="44" t="str">
        <f aca="false">IF($A89="","",$M89-$I89)</f>
        <v/>
      </c>
      <c r="O89" s="63" t="str">
        <f aca="false">IF(OR($A89="",$M89=0),"",$N89/$M89)</f>
        <v/>
      </c>
      <c r="P89" s="47" t="str">
        <f aca="false">IF($A89="","",IF($J89&lt;0,"⚠ 负库存",IF(AND($J89=0,ABS($K89)&gt;0.01),"⚠ 有金额无数量",IF(AND($J89&gt;0,$K89&lt;0),"⚠ 金额为负",IF($N89&lt;0,"⚠ 毛利为负","正常")))))</f>
        <v/>
      </c>
    </row>
    <row r="90" customFormat="false" ht="15.75" hidden="false" customHeight="true" outlineLevel="0" collapsed="false">
      <c r="A90" s="35" t="str">
        <f aca="false">IF(基础资料!$Q90="","",基础资料!$Q90)</f>
        <v/>
      </c>
      <c r="B90" s="42" t="str">
        <f aca="false">IF($A90="","",基础资料!$R90)</f>
        <v/>
      </c>
      <c r="C90" s="42" t="str">
        <f aca="false">IF($A90="","",基础资料!$S90)</f>
        <v/>
      </c>
      <c r="D90" s="64" t="str">
        <f aca="false">IF($A90="","",SUMIFS(期初数据!$R$6:$R$205,期初数据!$O$6:$O$205,$A90)+SUMIFS(采购录入!$F$5:$F$404,采购录入!$E$5:$E$404,$A90,采购录入!$I$5:$I$404,"是",采购录入!$B$5:$B$404,"&lt;"&amp;首页!$B$6)-SUMIFS(销售录入!$F$5:$F$404,销售录入!$E$5:$E$404,$A90,销售录入!$B$5:$B$404,"&lt;"&amp;首页!$B$6))</f>
        <v/>
      </c>
      <c r="E90" s="54" t="str">
        <f aca="false">IF($A90="","",SUMIFS(期初数据!$T$6:$T$205,期初数据!$O$6:$O$205,$A90)+SUMIFS(采购录入!$Q$5:$Q$404,采购录入!$E$5:$E$404,$A90,采购录入!$I$5:$I$404,"是",采购录入!$B$5:$B$404,"&lt;"&amp;首页!$B$6)-SUMIFS(销售录入!$S$5:$S$404,销售录入!$E$5:$E$404,$A90,销售录入!$B$5:$B$404,"&lt;"&amp;首页!$B$6))</f>
        <v/>
      </c>
      <c r="F90" s="64" t="str">
        <f aca="false">IF($A90="","",SUMIFS(采购录入!$F$5:$F$404,采购录入!$E$5:$E$404,$A90,采购录入!$I$5:$I$404,"是",采购录入!$C$5:$C$404,首页!$B$5))</f>
        <v/>
      </c>
      <c r="G90" s="54" t="str">
        <f aca="false">IF($A90="","",SUMIFS(采购录入!$Q$5:$Q$404,采购录入!$E$5:$E$404,$A90,采购录入!$I$5:$I$404,"是",采购录入!$C$5:$C$404,首页!$B$5))</f>
        <v/>
      </c>
      <c r="H90" s="64" t="str">
        <f aca="false">IF($A90="","",SUMIFS(销售录入!$F$5:$F$404,销售录入!$E$5:$E$404,$A90,销售录入!$C$5:$C$404,首页!$B$5))</f>
        <v/>
      </c>
      <c r="I90" s="54" t="str">
        <f aca="false">IF($A90="","",SUMIFS(销售录入!$S$5:$S$404,销售录入!$E$5:$E$404,$A90,销售录入!$C$5:$C$404,首页!$B$5))</f>
        <v/>
      </c>
      <c r="J90" s="65" t="str">
        <f aca="false">IF($A90="","",$D90+$F90-$H90)</f>
        <v/>
      </c>
      <c r="K90" s="44" t="str">
        <f aca="false">IF($A90="","",$E90+$G90-$I90)</f>
        <v/>
      </c>
      <c r="L90" s="44" t="str">
        <f aca="false">IF(OR($A90="",$J90=0),"",$K90/$J90)</f>
        <v/>
      </c>
      <c r="M90" s="54" t="str">
        <f aca="false">IF($A90="","",SUMIFS(销售录入!$O$5:$O$404,销售录入!$E$5:$E$404,$A90,销售录入!$C$5:$C$404,首页!$B$5))</f>
        <v/>
      </c>
      <c r="N90" s="44" t="str">
        <f aca="false">IF($A90="","",$M90-$I90)</f>
        <v/>
      </c>
      <c r="O90" s="63" t="str">
        <f aca="false">IF(OR($A90="",$M90=0),"",$N90/$M90)</f>
        <v/>
      </c>
      <c r="P90" s="47" t="str">
        <f aca="false">IF($A90="","",IF($J90&lt;0,"⚠ 负库存",IF(AND($J90=0,ABS($K90)&gt;0.01),"⚠ 有金额无数量",IF(AND($J90&gt;0,$K90&lt;0),"⚠ 金额为负",IF($N90&lt;0,"⚠ 毛利为负","正常")))))</f>
        <v/>
      </c>
    </row>
    <row r="91" customFormat="false" ht="15.75" hidden="false" customHeight="true" outlineLevel="0" collapsed="false">
      <c r="A91" s="35" t="str">
        <f aca="false">IF(基础资料!$Q91="","",基础资料!$Q91)</f>
        <v/>
      </c>
      <c r="B91" s="42" t="str">
        <f aca="false">IF($A91="","",基础资料!$R91)</f>
        <v/>
      </c>
      <c r="C91" s="42" t="str">
        <f aca="false">IF($A91="","",基础资料!$S91)</f>
        <v/>
      </c>
      <c r="D91" s="64" t="str">
        <f aca="false">IF($A91="","",SUMIFS(期初数据!$R$6:$R$205,期初数据!$O$6:$O$205,$A91)+SUMIFS(采购录入!$F$5:$F$404,采购录入!$E$5:$E$404,$A91,采购录入!$I$5:$I$404,"是",采购录入!$B$5:$B$404,"&lt;"&amp;首页!$B$6)-SUMIFS(销售录入!$F$5:$F$404,销售录入!$E$5:$E$404,$A91,销售录入!$B$5:$B$404,"&lt;"&amp;首页!$B$6))</f>
        <v/>
      </c>
      <c r="E91" s="54" t="str">
        <f aca="false">IF($A91="","",SUMIFS(期初数据!$T$6:$T$205,期初数据!$O$6:$O$205,$A91)+SUMIFS(采购录入!$Q$5:$Q$404,采购录入!$E$5:$E$404,$A91,采购录入!$I$5:$I$404,"是",采购录入!$B$5:$B$404,"&lt;"&amp;首页!$B$6)-SUMIFS(销售录入!$S$5:$S$404,销售录入!$E$5:$E$404,$A91,销售录入!$B$5:$B$404,"&lt;"&amp;首页!$B$6))</f>
        <v/>
      </c>
      <c r="F91" s="64" t="str">
        <f aca="false">IF($A91="","",SUMIFS(采购录入!$F$5:$F$404,采购录入!$E$5:$E$404,$A91,采购录入!$I$5:$I$404,"是",采购录入!$C$5:$C$404,首页!$B$5))</f>
        <v/>
      </c>
      <c r="G91" s="54" t="str">
        <f aca="false">IF($A91="","",SUMIFS(采购录入!$Q$5:$Q$404,采购录入!$E$5:$E$404,$A91,采购录入!$I$5:$I$404,"是",采购录入!$C$5:$C$404,首页!$B$5))</f>
        <v/>
      </c>
      <c r="H91" s="64" t="str">
        <f aca="false">IF($A91="","",SUMIFS(销售录入!$F$5:$F$404,销售录入!$E$5:$E$404,$A91,销售录入!$C$5:$C$404,首页!$B$5))</f>
        <v/>
      </c>
      <c r="I91" s="54" t="str">
        <f aca="false">IF($A91="","",SUMIFS(销售录入!$S$5:$S$404,销售录入!$E$5:$E$404,$A91,销售录入!$C$5:$C$404,首页!$B$5))</f>
        <v/>
      </c>
      <c r="J91" s="65" t="str">
        <f aca="false">IF($A91="","",$D91+$F91-$H91)</f>
        <v/>
      </c>
      <c r="K91" s="44" t="str">
        <f aca="false">IF($A91="","",$E91+$G91-$I91)</f>
        <v/>
      </c>
      <c r="L91" s="44" t="str">
        <f aca="false">IF(OR($A91="",$J91=0),"",$K91/$J91)</f>
        <v/>
      </c>
      <c r="M91" s="54" t="str">
        <f aca="false">IF($A91="","",SUMIFS(销售录入!$O$5:$O$404,销售录入!$E$5:$E$404,$A91,销售录入!$C$5:$C$404,首页!$B$5))</f>
        <v/>
      </c>
      <c r="N91" s="44" t="str">
        <f aca="false">IF($A91="","",$M91-$I91)</f>
        <v/>
      </c>
      <c r="O91" s="63" t="str">
        <f aca="false">IF(OR($A91="",$M91=0),"",$N91/$M91)</f>
        <v/>
      </c>
      <c r="P91" s="47" t="str">
        <f aca="false">IF($A91="","",IF($J91&lt;0,"⚠ 负库存",IF(AND($J91=0,ABS($K91)&gt;0.01),"⚠ 有金额无数量",IF(AND($J91&gt;0,$K91&lt;0),"⚠ 金额为负",IF($N91&lt;0,"⚠ 毛利为负","正常")))))</f>
        <v/>
      </c>
    </row>
    <row r="92" customFormat="false" ht="15.75" hidden="false" customHeight="true" outlineLevel="0" collapsed="false">
      <c r="A92" s="35" t="str">
        <f aca="false">IF(基础资料!$Q92="","",基础资料!$Q92)</f>
        <v/>
      </c>
      <c r="B92" s="42" t="str">
        <f aca="false">IF($A92="","",基础资料!$R92)</f>
        <v/>
      </c>
      <c r="C92" s="42" t="str">
        <f aca="false">IF($A92="","",基础资料!$S92)</f>
        <v/>
      </c>
      <c r="D92" s="64" t="str">
        <f aca="false">IF($A92="","",SUMIFS(期初数据!$R$6:$R$205,期初数据!$O$6:$O$205,$A92)+SUMIFS(采购录入!$F$5:$F$404,采购录入!$E$5:$E$404,$A92,采购录入!$I$5:$I$404,"是",采购录入!$B$5:$B$404,"&lt;"&amp;首页!$B$6)-SUMIFS(销售录入!$F$5:$F$404,销售录入!$E$5:$E$404,$A92,销售录入!$B$5:$B$404,"&lt;"&amp;首页!$B$6))</f>
        <v/>
      </c>
      <c r="E92" s="54" t="str">
        <f aca="false">IF($A92="","",SUMIFS(期初数据!$T$6:$T$205,期初数据!$O$6:$O$205,$A92)+SUMIFS(采购录入!$Q$5:$Q$404,采购录入!$E$5:$E$404,$A92,采购录入!$I$5:$I$404,"是",采购录入!$B$5:$B$404,"&lt;"&amp;首页!$B$6)-SUMIFS(销售录入!$S$5:$S$404,销售录入!$E$5:$E$404,$A92,销售录入!$B$5:$B$404,"&lt;"&amp;首页!$B$6))</f>
        <v/>
      </c>
      <c r="F92" s="64" t="str">
        <f aca="false">IF($A92="","",SUMIFS(采购录入!$F$5:$F$404,采购录入!$E$5:$E$404,$A92,采购录入!$I$5:$I$404,"是",采购录入!$C$5:$C$404,首页!$B$5))</f>
        <v/>
      </c>
      <c r="G92" s="54" t="str">
        <f aca="false">IF($A92="","",SUMIFS(采购录入!$Q$5:$Q$404,采购录入!$E$5:$E$404,$A92,采购录入!$I$5:$I$404,"是",采购录入!$C$5:$C$404,首页!$B$5))</f>
        <v/>
      </c>
      <c r="H92" s="64" t="str">
        <f aca="false">IF($A92="","",SUMIFS(销售录入!$F$5:$F$404,销售录入!$E$5:$E$404,$A92,销售录入!$C$5:$C$404,首页!$B$5))</f>
        <v/>
      </c>
      <c r="I92" s="54" t="str">
        <f aca="false">IF($A92="","",SUMIFS(销售录入!$S$5:$S$404,销售录入!$E$5:$E$404,$A92,销售录入!$C$5:$C$404,首页!$B$5))</f>
        <v/>
      </c>
      <c r="J92" s="65" t="str">
        <f aca="false">IF($A92="","",$D92+$F92-$H92)</f>
        <v/>
      </c>
      <c r="K92" s="44" t="str">
        <f aca="false">IF($A92="","",$E92+$G92-$I92)</f>
        <v/>
      </c>
      <c r="L92" s="44" t="str">
        <f aca="false">IF(OR($A92="",$J92=0),"",$K92/$J92)</f>
        <v/>
      </c>
      <c r="M92" s="54" t="str">
        <f aca="false">IF($A92="","",SUMIFS(销售录入!$O$5:$O$404,销售录入!$E$5:$E$404,$A92,销售录入!$C$5:$C$404,首页!$B$5))</f>
        <v/>
      </c>
      <c r="N92" s="44" t="str">
        <f aca="false">IF($A92="","",$M92-$I92)</f>
        <v/>
      </c>
      <c r="O92" s="63" t="str">
        <f aca="false">IF(OR($A92="",$M92=0),"",$N92/$M92)</f>
        <v/>
      </c>
      <c r="P92" s="47" t="str">
        <f aca="false">IF($A92="","",IF($J92&lt;0,"⚠ 负库存",IF(AND($J92=0,ABS($K92)&gt;0.01),"⚠ 有金额无数量",IF(AND($J92&gt;0,$K92&lt;0),"⚠ 金额为负",IF($N92&lt;0,"⚠ 毛利为负","正常")))))</f>
        <v/>
      </c>
    </row>
    <row r="93" customFormat="false" ht="15.75" hidden="false" customHeight="true" outlineLevel="0" collapsed="false">
      <c r="A93" s="35" t="str">
        <f aca="false">IF(基础资料!$Q93="","",基础资料!$Q93)</f>
        <v/>
      </c>
      <c r="B93" s="42" t="str">
        <f aca="false">IF($A93="","",基础资料!$R93)</f>
        <v/>
      </c>
      <c r="C93" s="42" t="str">
        <f aca="false">IF($A93="","",基础资料!$S93)</f>
        <v/>
      </c>
      <c r="D93" s="64" t="str">
        <f aca="false">IF($A93="","",SUMIFS(期初数据!$R$6:$R$205,期初数据!$O$6:$O$205,$A93)+SUMIFS(采购录入!$F$5:$F$404,采购录入!$E$5:$E$404,$A93,采购录入!$I$5:$I$404,"是",采购录入!$B$5:$B$404,"&lt;"&amp;首页!$B$6)-SUMIFS(销售录入!$F$5:$F$404,销售录入!$E$5:$E$404,$A93,销售录入!$B$5:$B$404,"&lt;"&amp;首页!$B$6))</f>
        <v/>
      </c>
      <c r="E93" s="54" t="str">
        <f aca="false">IF($A93="","",SUMIFS(期初数据!$T$6:$T$205,期初数据!$O$6:$O$205,$A93)+SUMIFS(采购录入!$Q$5:$Q$404,采购录入!$E$5:$E$404,$A93,采购录入!$I$5:$I$404,"是",采购录入!$B$5:$B$404,"&lt;"&amp;首页!$B$6)-SUMIFS(销售录入!$S$5:$S$404,销售录入!$E$5:$E$404,$A93,销售录入!$B$5:$B$404,"&lt;"&amp;首页!$B$6))</f>
        <v/>
      </c>
      <c r="F93" s="64" t="str">
        <f aca="false">IF($A93="","",SUMIFS(采购录入!$F$5:$F$404,采购录入!$E$5:$E$404,$A93,采购录入!$I$5:$I$404,"是",采购录入!$C$5:$C$404,首页!$B$5))</f>
        <v/>
      </c>
      <c r="G93" s="54" t="str">
        <f aca="false">IF($A93="","",SUMIFS(采购录入!$Q$5:$Q$404,采购录入!$E$5:$E$404,$A93,采购录入!$I$5:$I$404,"是",采购录入!$C$5:$C$404,首页!$B$5))</f>
        <v/>
      </c>
      <c r="H93" s="64" t="str">
        <f aca="false">IF($A93="","",SUMIFS(销售录入!$F$5:$F$404,销售录入!$E$5:$E$404,$A93,销售录入!$C$5:$C$404,首页!$B$5))</f>
        <v/>
      </c>
      <c r="I93" s="54" t="str">
        <f aca="false">IF($A93="","",SUMIFS(销售录入!$S$5:$S$404,销售录入!$E$5:$E$404,$A93,销售录入!$C$5:$C$404,首页!$B$5))</f>
        <v/>
      </c>
      <c r="J93" s="65" t="str">
        <f aca="false">IF($A93="","",$D93+$F93-$H93)</f>
        <v/>
      </c>
      <c r="K93" s="44" t="str">
        <f aca="false">IF($A93="","",$E93+$G93-$I93)</f>
        <v/>
      </c>
      <c r="L93" s="44" t="str">
        <f aca="false">IF(OR($A93="",$J93=0),"",$K93/$J93)</f>
        <v/>
      </c>
      <c r="M93" s="54" t="str">
        <f aca="false">IF($A93="","",SUMIFS(销售录入!$O$5:$O$404,销售录入!$E$5:$E$404,$A93,销售录入!$C$5:$C$404,首页!$B$5))</f>
        <v/>
      </c>
      <c r="N93" s="44" t="str">
        <f aca="false">IF($A93="","",$M93-$I93)</f>
        <v/>
      </c>
      <c r="O93" s="63" t="str">
        <f aca="false">IF(OR($A93="",$M93=0),"",$N93/$M93)</f>
        <v/>
      </c>
      <c r="P93" s="47" t="str">
        <f aca="false">IF($A93="","",IF($J93&lt;0,"⚠ 负库存",IF(AND($J93=0,ABS($K93)&gt;0.01),"⚠ 有金额无数量",IF(AND($J93&gt;0,$K93&lt;0),"⚠ 金额为负",IF($N93&lt;0,"⚠ 毛利为负","正常")))))</f>
        <v/>
      </c>
    </row>
    <row r="94" customFormat="false" ht="15.75" hidden="false" customHeight="true" outlineLevel="0" collapsed="false">
      <c r="A94" s="35" t="str">
        <f aca="false">IF(基础资料!$Q94="","",基础资料!$Q94)</f>
        <v/>
      </c>
      <c r="B94" s="42" t="str">
        <f aca="false">IF($A94="","",基础资料!$R94)</f>
        <v/>
      </c>
      <c r="C94" s="42" t="str">
        <f aca="false">IF($A94="","",基础资料!$S94)</f>
        <v/>
      </c>
      <c r="D94" s="64" t="str">
        <f aca="false">IF($A94="","",SUMIFS(期初数据!$R$6:$R$205,期初数据!$O$6:$O$205,$A94)+SUMIFS(采购录入!$F$5:$F$404,采购录入!$E$5:$E$404,$A94,采购录入!$I$5:$I$404,"是",采购录入!$B$5:$B$404,"&lt;"&amp;首页!$B$6)-SUMIFS(销售录入!$F$5:$F$404,销售录入!$E$5:$E$404,$A94,销售录入!$B$5:$B$404,"&lt;"&amp;首页!$B$6))</f>
        <v/>
      </c>
      <c r="E94" s="54" t="str">
        <f aca="false">IF($A94="","",SUMIFS(期初数据!$T$6:$T$205,期初数据!$O$6:$O$205,$A94)+SUMIFS(采购录入!$Q$5:$Q$404,采购录入!$E$5:$E$404,$A94,采购录入!$I$5:$I$404,"是",采购录入!$B$5:$B$404,"&lt;"&amp;首页!$B$6)-SUMIFS(销售录入!$S$5:$S$404,销售录入!$E$5:$E$404,$A94,销售录入!$B$5:$B$404,"&lt;"&amp;首页!$B$6))</f>
        <v/>
      </c>
      <c r="F94" s="64" t="str">
        <f aca="false">IF($A94="","",SUMIFS(采购录入!$F$5:$F$404,采购录入!$E$5:$E$404,$A94,采购录入!$I$5:$I$404,"是",采购录入!$C$5:$C$404,首页!$B$5))</f>
        <v/>
      </c>
      <c r="G94" s="54" t="str">
        <f aca="false">IF($A94="","",SUMIFS(采购录入!$Q$5:$Q$404,采购录入!$E$5:$E$404,$A94,采购录入!$I$5:$I$404,"是",采购录入!$C$5:$C$404,首页!$B$5))</f>
        <v/>
      </c>
      <c r="H94" s="64" t="str">
        <f aca="false">IF($A94="","",SUMIFS(销售录入!$F$5:$F$404,销售录入!$E$5:$E$404,$A94,销售录入!$C$5:$C$404,首页!$B$5))</f>
        <v/>
      </c>
      <c r="I94" s="54" t="str">
        <f aca="false">IF($A94="","",SUMIFS(销售录入!$S$5:$S$404,销售录入!$E$5:$E$404,$A94,销售录入!$C$5:$C$404,首页!$B$5))</f>
        <v/>
      </c>
      <c r="J94" s="65" t="str">
        <f aca="false">IF($A94="","",$D94+$F94-$H94)</f>
        <v/>
      </c>
      <c r="K94" s="44" t="str">
        <f aca="false">IF($A94="","",$E94+$G94-$I94)</f>
        <v/>
      </c>
      <c r="L94" s="44" t="str">
        <f aca="false">IF(OR($A94="",$J94=0),"",$K94/$J94)</f>
        <v/>
      </c>
      <c r="M94" s="54" t="str">
        <f aca="false">IF($A94="","",SUMIFS(销售录入!$O$5:$O$404,销售录入!$E$5:$E$404,$A94,销售录入!$C$5:$C$404,首页!$B$5))</f>
        <v/>
      </c>
      <c r="N94" s="44" t="str">
        <f aca="false">IF($A94="","",$M94-$I94)</f>
        <v/>
      </c>
      <c r="O94" s="63" t="str">
        <f aca="false">IF(OR($A94="",$M94=0),"",$N94/$M94)</f>
        <v/>
      </c>
      <c r="P94" s="47" t="str">
        <f aca="false">IF($A94="","",IF($J94&lt;0,"⚠ 负库存",IF(AND($J94=0,ABS($K94)&gt;0.01),"⚠ 有金额无数量",IF(AND($J94&gt;0,$K94&lt;0),"⚠ 金额为负",IF($N94&lt;0,"⚠ 毛利为负","正常")))))</f>
        <v/>
      </c>
    </row>
    <row r="95" customFormat="false" ht="15.75" hidden="false" customHeight="true" outlineLevel="0" collapsed="false">
      <c r="A95" s="35" t="str">
        <f aca="false">IF(基础资料!$Q95="","",基础资料!$Q95)</f>
        <v/>
      </c>
      <c r="B95" s="42" t="str">
        <f aca="false">IF($A95="","",基础资料!$R95)</f>
        <v/>
      </c>
      <c r="C95" s="42" t="str">
        <f aca="false">IF($A95="","",基础资料!$S95)</f>
        <v/>
      </c>
      <c r="D95" s="64" t="str">
        <f aca="false">IF($A95="","",SUMIFS(期初数据!$R$6:$R$205,期初数据!$O$6:$O$205,$A95)+SUMIFS(采购录入!$F$5:$F$404,采购录入!$E$5:$E$404,$A95,采购录入!$I$5:$I$404,"是",采购录入!$B$5:$B$404,"&lt;"&amp;首页!$B$6)-SUMIFS(销售录入!$F$5:$F$404,销售录入!$E$5:$E$404,$A95,销售录入!$B$5:$B$404,"&lt;"&amp;首页!$B$6))</f>
        <v/>
      </c>
      <c r="E95" s="54" t="str">
        <f aca="false">IF($A95="","",SUMIFS(期初数据!$T$6:$T$205,期初数据!$O$6:$O$205,$A95)+SUMIFS(采购录入!$Q$5:$Q$404,采购录入!$E$5:$E$404,$A95,采购录入!$I$5:$I$404,"是",采购录入!$B$5:$B$404,"&lt;"&amp;首页!$B$6)-SUMIFS(销售录入!$S$5:$S$404,销售录入!$E$5:$E$404,$A95,销售录入!$B$5:$B$404,"&lt;"&amp;首页!$B$6))</f>
        <v/>
      </c>
      <c r="F95" s="64" t="str">
        <f aca="false">IF($A95="","",SUMIFS(采购录入!$F$5:$F$404,采购录入!$E$5:$E$404,$A95,采购录入!$I$5:$I$404,"是",采购录入!$C$5:$C$404,首页!$B$5))</f>
        <v/>
      </c>
      <c r="G95" s="54" t="str">
        <f aca="false">IF($A95="","",SUMIFS(采购录入!$Q$5:$Q$404,采购录入!$E$5:$E$404,$A95,采购录入!$I$5:$I$404,"是",采购录入!$C$5:$C$404,首页!$B$5))</f>
        <v/>
      </c>
      <c r="H95" s="64" t="str">
        <f aca="false">IF($A95="","",SUMIFS(销售录入!$F$5:$F$404,销售录入!$E$5:$E$404,$A95,销售录入!$C$5:$C$404,首页!$B$5))</f>
        <v/>
      </c>
      <c r="I95" s="54" t="str">
        <f aca="false">IF($A95="","",SUMIFS(销售录入!$S$5:$S$404,销售录入!$E$5:$E$404,$A95,销售录入!$C$5:$C$404,首页!$B$5))</f>
        <v/>
      </c>
      <c r="J95" s="65" t="str">
        <f aca="false">IF($A95="","",$D95+$F95-$H95)</f>
        <v/>
      </c>
      <c r="K95" s="44" t="str">
        <f aca="false">IF($A95="","",$E95+$G95-$I95)</f>
        <v/>
      </c>
      <c r="L95" s="44" t="str">
        <f aca="false">IF(OR($A95="",$J95=0),"",$K95/$J95)</f>
        <v/>
      </c>
      <c r="M95" s="54" t="str">
        <f aca="false">IF($A95="","",SUMIFS(销售录入!$O$5:$O$404,销售录入!$E$5:$E$404,$A95,销售录入!$C$5:$C$404,首页!$B$5))</f>
        <v/>
      </c>
      <c r="N95" s="44" t="str">
        <f aca="false">IF($A95="","",$M95-$I95)</f>
        <v/>
      </c>
      <c r="O95" s="63" t="str">
        <f aca="false">IF(OR($A95="",$M95=0),"",$N95/$M95)</f>
        <v/>
      </c>
      <c r="P95" s="47" t="str">
        <f aca="false">IF($A95="","",IF($J95&lt;0,"⚠ 负库存",IF(AND($J95=0,ABS($K95)&gt;0.01),"⚠ 有金额无数量",IF(AND($J95&gt;0,$K95&lt;0),"⚠ 金额为负",IF($N95&lt;0,"⚠ 毛利为负","正常")))))</f>
        <v/>
      </c>
    </row>
    <row r="96" customFormat="false" ht="15.75" hidden="false" customHeight="true" outlineLevel="0" collapsed="false">
      <c r="A96" s="35" t="str">
        <f aca="false">IF(基础资料!$Q96="","",基础资料!$Q96)</f>
        <v/>
      </c>
      <c r="B96" s="42" t="str">
        <f aca="false">IF($A96="","",基础资料!$R96)</f>
        <v/>
      </c>
      <c r="C96" s="42" t="str">
        <f aca="false">IF($A96="","",基础资料!$S96)</f>
        <v/>
      </c>
      <c r="D96" s="64" t="str">
        <f aca="false">IF($A96="","",SUMIFS(期初数据!$R$6:$R$205,期初数据!$O$6:$O$205,$A96)+SUMIFS(采购录入!$F$5:$F$404,采购录入!$E$5:$E$404,$A96,采购录入!$I$5:$I$404,"是",采购录入!$B$5:$B$404,"&lt;"&amp;首页!$B$6)-SUMIFS(销售录入!$F$5:$F$404,销售录入!$E$5:$E$404,$A96,销售录入!$B$5:$B$404,"&lt;"&amp;首页!$B$6))</f>
        <v/>
      </c>
      <c r="E96" s="54" t="str">
        <f aca="false">IF($A96="","",SUMIFS(期初数据!$T$6:$T$205,期初数据!$O$6:$O$205,$A96)+SUMIFS(采购录入!$Q$5:$Q$404,采购录入!$E$5:$E$404,$A96,采购录入!$I$5:$I$404,"是",采购录入!$B$5:$B$404,"&lt;"&amp;首页!$B$6)-SUMIFS(销售录入!$S$5:$S$404,销售录入!$E$5:$E$404,$A96,销售录入!$B$5:$B$404,"&lt;"&amp;首页!$B$6))</f>
        <v/>
      </c>
      <c r="F96" s="64" t="str">
        <f aca="false">IF($A96="","",SUMIFS(采购录入!$F$5:$F$404,采购录入!$E$5:$E$404,$A96,采购录入!$I$5:$I$404,"是",采购录入!$C$5:$C$404,首页!$B$5))</f>
        <v/>
      </c>
      <c r="G96" s="54" t="str">
        <f aca="false">IF($A96="","",SUMIFS(采购录入!$Q$5:$Q$404,采购录入!$E$5:$E$404,$A96,采购录入!$I$5:$I$404,"是",采购录入!$C$5:$C$404,首页!$B$5))</f>
        <v/>
      </c>
      <c r="H96" s="64" t="str">
        <f aca="false">IF($A96="","",SUMIFS(销售录入!$F$5:$F$404,销售录入!$E$5:$E$404,$A96,销售录入!$C$5:$C$404,首页!$B$5))</f>
        <v/>
      </c>
      <c r="I96" s="54" t="str">
        <f aca="false">IF($A96="","",SUMIFS(销售录入!$S$5:$S$404,销售录入!$E$5:$E$404,$A96,销售录入!$C$5:$C$404,首页!$B$5))</f>
        <v/>
      </c>
      <c r="J96" s="65" t="str">
        <f aca="false">IF($A96="","",$D96+$F96-$H96)</f>
        <v/>
      </c>
      <c r="K96" s="44" t="str">
        <f aca="false">IF($A96="","",$E96+$G96-$I96)</f>
        <v/>
      </c>
      <c r="L96" s="44" t="str">
        <f aca="false">IF(OR($A96="",$J96=0),"",$K96/$J96)</f>
        <v/>
      </c>
      <c r="M96" s="54" t="str">
        <f aca="false">IF($A96="","",SUMIFS(销售录入!$O$5:$O$404,销售录入!$E$5:$E$404,$A96,销售录入!$C$5:$C$404,首页!$B$5))</f>
        <v/>
      </c>
      <c r="N96" s="44" t="str">
        <f aca="false">IF($A96="","",$M96-$I96)</f>
        <v/>
      </c>
      <c r="O96" s="63" t="str">
        <f aca="false">IF(OR($A96="",$M96=0),"",$N96/$M96)</f>
        <v/>
      </c>
      <c r="P96" s="47" t="str">
        <f aca="false">IF($A96="","",IF($J96&lt;0,"⚠ 负库存",IF(AND($J96=0,ABS($K96)&gt;0.01),"⚠ 有金额无数量",IF(AND($J96&gt;0,$K96&lt;0),"⚠ 金额为负",IF($N96&lt;0,"⚠ 毛利为负","正常")))))</f>
        <v/>
      </c>
    </row>
    <row r="97" customFormat="false" ht="15.75" hidden="false" customHeight="true" outlineLevel="0" collapsed="false">
      <c r="A97" s="35" t="str">
        <f aca="false">IF(基础资料!$Q97="","",基础资料!$Q97)</f>
        <v/>
      </c>
      <c r="B97" s="42" t="str">
        <f aca="false">IF($A97="","",基础资料!$R97)</f>
        <v/>
      </c>
      <c r="C97" s="42" t="str">
        <f aca="false">IF($A97="","",基础资料!$S97)</f>
        <v/>
      </c>
      <c r="D97" s="64" t="str">
        <f aca="false">IF($A97="","",SUMIFS(期初数据!$R$6:$R$205,期初数据!$O$6:$O$205,$A97)+SUMIFS(采购录入!$F$5:$F$404,采购录入!$E$5:$E$404,$A97,采购录入!$I$5:$I$404,"是",采购录入!$B$5:$B$404,"&lt;"&amp;首页!$B$6)-SUMIFS(销售录入!$F$5:$F$404,销售录入!$E$5:$E$404,$A97,销售录入!$B$5:$B$404,"&lt;"&amp;首页!$B$6))</f>
        <v/>
      </c>
      <c r="E97" s="54" t="str">
        <f aca="false">IF($A97="","",SUMIFS(期初数据!$T$6:$T$205,期初数据!$O$6:$O$205,$A97)+SUMIFS(采购录入!$Q$5:$Q$404,采购录入!$E$5:$E$404,$A97,采购录入!$I$5:$I$404,"是",采购录入!$B$5:$B$404,"&lt;"&amp;首页!$B$6)-SUMIFS(销售录入!$S$5:$S$404,销售录入!$E$5:$E$404,$A97,销售录入!$B$5:$B$404,"&lt;"&amp;首页!$B$6))</f>
        <v/>
      </c>
      <c r="F97" s="64" t="str">
        <f aca="false">IF($A97="","",SUMIFS(采购录入!$F$5:$F$404,采购录入!$E$5:$E$404,$A97,采购录入!$I$5:$I$404,"是",采购录入!$C$5:$C$404,首页!$B$5))</f>
        <v/>
      </c>
      <c r="G97" s="54" t="str">
        <f aca="false">IF($A97="","",SUMIFS(采购录入!$Q$5:$Q$404,采购录入!$E$5:$E$404,$A97,采购录入!$I$5:$I$404,"是",采购录入!$C$5:$C$404,首页!$B$5))</f>
        <v/>
      </c>
      <c r="H97" s="64" t="str">
        <f aca="false">IF($A97="","",SUMIFS(销售录入!$F$5:$F$404,销售录入!$E$5:$E$404,$A97,销售录入!$C$5:$C$404,首页!$B$5))</f>
        <v/>
      </c>
      <c r="I97" s="54" t="str">
        <f aca="false">IF($A97="","",SUMIFS(销售录入!$S$5:$S$404,销售录入!$E$5:$E$404,$A97,销售录入!$C$5:$C$404,首页!$B$5))</f>
        <v/>
      </c>
      <c r="J97" s="65" t="str">
        <f aca="false">IF($A97="","",$D97+$F97-$H97)</f>
        <v/>
      </c>
      <c r="K97" s="44" t="str">
        <f aca="false">IF($A97="","",$E97+$G97-$I97)</f>
        <v/>
      </c>
      <c r="L97" s="44" t="str">
        <f aca="false">IF(OR($A97="",$J97=0),"",$K97/$J97)</f>
        <v/>
      </c>
      <c r="M97" s="54" t="str">
        <f aca="false">IF($A97="","",SUMIFS(销售录入!$O$5:$O$404,销售录入!$E$5:$E$404,$A97,销售录入!$C$5:$C$404,首页!$B$5))</f>
        <v/>
      </c>
      <c r="N97" s="44" t="str">
        <f aca="false">IF($A97="","",$M97-$I97)</f>
        <v/>
      </c>
      <c r="O97" s="63" t="str">
        <f aca="false">IF(OR($A97="",$M97=0),"",$N97/$M97)</f>
        <v/>
      </c>
      <c r="P97" s="47" t="str">
        <f aca="false">IF($A97="","",IF($J97&lt;0,"⚠ 负库存",IF(AND($J97=0,ABS($K97)&gt;0.01),"⚠ 有金额无数量",IF(AND($J97&gt;0,$K97&lt;0),"⚠ 金额为负",IF($N97&lt;0,"⚠ 毛利为负","正常")))))</f>
        <v/>
      </c>
    </row>
    <row r="98" customFormat="false" ht="15.75" hidden="false" customHeight="true" outlineLevel="0" collapsed="false">
      <c r="A98" s="35" t="str">
        <f aca="false">IF(基础资料!$Q98="","",基础资料!$Q98)</f>
        <v/>
      </c>
      <c r="B98" s="42" t="str">
        <f aca="false">IF($A98="","",基础资料!$R98)</f>
        <v/>
      </c>
      <c r="C98" s="42" t="str">
        <f aca="false">IF($A98="","",基础资料!$S98)</f>
        <v/>
      </c>
      <c r="D98" s="64" t="str">
        <f aca="false">IF($A98="","",SUMIFS(期初数据!$R$6:$R$205,期初数据!$O$6:$O$205,$A98)+SUMIFS(采购录入!$F$5:$F$404,采购录入!$E$5:$E$404,$A98,采购录入!$I$5:$I$404,"是",采购录入!$B$5:$B$404,"&lt;"&amp;首页!$B$6)-SUMIFS(销售录入!$F$5:$F$404,销售录入!$E$5:$E$404,$A98,销售录入!$B$5:$B$404,"&lt;"&amp;首页!$B$6))</f>
        <v/>
      </c>
      <c r="E98" s="54" t="str">
        <f aca="false">IF($A98="","",SUMIFS(期初数据!$T$6:$T$205,期初数据!$O$6:$O$205,$A98)+SUMIFS(采购录入!$Q$5:$Q$404,采购录入!$E$5:$E$404,$A98,采购录入!$I$5:$I$404,"是",采购录入!$B$5:$B$404,"&lt;"&amp;首页!$B$6)-SUMIFS(销售录入!$S$5:$S$404,销售录入!$E$5:$E$404,$A98,销售录入!$B$5:$B$404,"&lt;"&amp;首页!$B$6))</f>
        <v/>
      </c>
      <c r="F98" s="64" t="str">
        <f aca="false">IF($A98="","",SUMIFS(采购录入!$F$5:$F$404,采购录入!$E$5:$E$404,$A98,采购录入!$I$5:$I$404,"是",采购录入!$C$5:$C$404,首页!$B$5))</f>
        <v/>
      </c>
      <c r="G98" s="54" t="str">
        <f aca="false">IF($A98="","",SUMIFS(采购录入!$Q$5:$Q$404,采购录入!$E$5:$E$404,$A98,采购录入!$I$5:$I$404,"是",采购录入!$C$5:$C$404,首页!$B$5))</f>
        <v/>
      </c>
      <c r="H98" s="64" t="str">
        <f aca="false">IF($A98="","",SUMIFS(销售录入!$F$5:$F$404,销售录入!$E$5:$E$404,$A98,销售录入!$C$5:$C$404,首页!$B$5))</f>
        <v/>
      </c>
      <c r="I98" s="54" t="str">
        <f aca="false">IF($A98="","",SUMIFS(销售录入!$S$5:$S$404,销售录入!$E$5:$E$404,$A98,销售录入!$C$5:$C$404,首页!$B$5))</f>
        <v/>
      </c>
      <c r="J98" s="65" t="str">
        <f aca="false">IF($A98="","",$D98+$F98-$H98)</f>
        <v/>
      </c>
      <c r="K98" s="44" t="str">
        <f aca="false">IF($A98="","",$E98+$G98-$I98)</f>
        <v/>
      </c>
      <c r="L98" s="44" t="str">
        <f aca="false">IF(OR($A98="",$J98=0),"",$K98/$J98)</f>
        <v/>
      </c>
      <c r="M98" s="54" t="str">
        <f aca="false">IF($A98="","",SUMIFS(销售录入!$O$5:$O$404,销售录入!$E$5:$E$404,$A98,销售录入!$C$5:$C$404,首页!$B$5))</f>
        <v/>
      </c>
      <c r="N98" s="44" t="str">
        <f aca="false">IF($A98="","",$M98-$I98)</f>
        <v/>
      </c>
      <c r="O98" s="63" t="str">
        <f aca="false">IF(OR($A98="",$M98=0),"",$N98/$M98)</f>
        <v/>
      </c>
      <c r="P98" s="47" t="str">
        <f aca="false">IF($A98="","",IF($J98&lt;0,"⚠ 负库存",IF(AND($J98=0,ABS($K98)&gt;0.01),"⚠ 有金额无数量",IF(AND($J98&gt;0,$K98&lt;0),"⚠ 金额为负",IF($N98&lt;0,"⚠ 毛利为负","正常")))))</f>
        <v/>
      </c>
    </row>
    <row r="99" customFormat="false" ht="15.75" hidden="false" customHeight="true" outlineLevel="0" collapsed="false">
      <c r="A99" s="35" t="str">
        <f aca="false">IF(基础资料!$Q99="","",基础资料!$Q99)</f>
        <v/>
      </c>
      <c r="B99" s="42" t="str">
        <f aca="false">IF($A99="","",基础资料!$R99)</f>
        <v/>
      </c>
      <c r="C99" s="42" t="str">
        <f aca="false">IF($A99="","",基础资料!$S99)</f>
        <v/>
      </c>
      <c r="D99" s="64" t="str">
        <f aca="false">IF($A99="","",SUMIFS(期初数据!$R$6:$R$205,期初数据!$O$6:$O$205,$A99)+SUMIFS(采购录入!$F$5:$F$404,采购录入!$E$5:$E$404,$A99,采购录入!$I$5:$I$404,"是",采购录入!$B$5:$B$404,"&lt;"&amp;首页!$B$6)-SUMIFS(销售录入!$F$5:$F$404,销售录入!$E$5:$E$404,$A99,销售录入!$B$5:$B$404,"&lt;"&amp;首页!$B$6))</f>
        <v/>
      </c>
      <c r="E99" s="54" t="str">
        <f aca="false">IF($A99="","",SUMIFS(期初数据!$T$6:$T$205,期初数据!$O$6:$O$205,$A99)+SUMIFS(采购录入!$Q$5:$Q$404,采购录入!$E$5:$E$404,$A99,采购录入!$I$5:$I$404,"是",采购录入!$B$5:$B$404,"&lt;"&amp;首页!$B$6)-SUMIFS(销售录入!$S$5:$S$404,销售录入!$E$5:$E$404,$A99,销售录入!$B$5:$B$404,"&lt;"&amp;首页!$B$6))</f>
        <v/>
      </c>
      <c r="F99" s="64" t="str">
        <f aca="false">IF($A99="","",SUMIFS(采购录入!$F$5:$F$404,采购录入!$E$5:$E$404,$A99,采购录入!$I$5:$I$404,"是",采购录入!$C$5:$C$404,首页!$B$5))</f>
        <v/>
      </c>
      <c r="G99" s="54" t="str">
        <f aca="false">IF($A99="","",SUMIFS(采购录入!$Q$5:$Q$404,采购录入!$E$5:$E$404,$A99,采购录入!$I$5:$I$404,"是",采购录入!$C$5:$C$404,首页!$B$5))</f>
        <v/>
      </c>
      <c r="H99" s="64" t="str">
        <f aca="false">IF($A99="","",SUMIFS(销售录入!$F$5:$F$404,销售录入!$E$5:$E$404,$A99,销售录入!$C$5:$C$404,首页!$B$5))</f>
        <v/>
      </c>
      <c r="I99" s="54" t="str">
        <f aca="false">IF($A99="","",SUMIFS(销售录入!$S$5:$S$404,销售录入!$E$5:$E$404,$A99,销售录入!$C$5:$C$404,首页!$B$5))</f>
        <v/>
      </c>
      <c r="J99" s="65" t="str">
        <f aca="false">IF($A99="","",$D99+$F99-$H99)</f>
        <v/>
      </c>
      <c r="K99" s="44" t="str">
        <f aca="false">IF($A99="","",$E99+$G99-$I99)</f>
        <v/>
      </c>
      <c r="L99" s="44" t="str">
        <f aca="false">IF(OR($A99="",$J99=0),"",$K99/$J99)</f>
        <v/>
      </c>
      <c r="M99" s="54" t="str">
        <f aca="false">IF($A99="","",SUMIFS(销售录入!$O$5:$O$404,销售录入!$E$5:$E$404,$A99,销售录入!$C$5:$C$404,首页!$B$5))</f>
        <v/>
      </c>
      <c r="N99" s="44" t="str">
        <f aca="false">IF($A99="","",$M99-$I99)</f>
        <v/>
      </c>
      <c r="O99" s="63" t="str">
        <f aca="false">IF(OR($A99="",$M99=0),"",$N99/$M99)</f>
        <v/>
      </c>
      <c r="P99" s="47" t="str">
        <f aca="false">IF($A99="","",IF($J99&lt;0,"⚠ 负库存",IF(AND($J99=0,ABS($K99)&gt;0.01),"⚠ 有金额无数量",IF(AND($J99&gt;0,$K99&lt;0),"⚠ 金额为负",IF($N99&lt;0,"⚠ 毛利为负","正常")))))</f>
        <v/>
      </c>
    </row>
    <row r="100" customFormat="false" ht="15.75" hidden="false" customHeight="true" outlineLevel="0" collapsed="false">
      <c r="A100" s="35" t="str">
        <f aca="false">IF(基础资料!$Q100="","",基础资料!$Q100)</f>
        <v/>
      </c>
      <c r="B100" s="42" t="str">
        <f aca="false">IF($A100="","",基础资料!$R100)</f>
        <v/>
      </c>
      <c r="C100" s="42" t="str">
        <f aca="false">IF($A100="","",基础资料!$S100)</f>
        <v/>
      </c>
      <c r="D100" s="64" t="str">
        <f aca="false">IF($A100="","",SUMIFS(期初数据!$R$6:$R$205,期初数据!$O$6:$O$205,$A100)+SUMIFS(采购录入!$F$5:$F$404,采购录入!$E$5:$E$404,$A100,采购录入!$I$5:$I$404,"是",采购录入!$B$5:$B$404,"&lt;"&amp;首页!$B$6)-SUMIFS(销售录入!$F$5:$F$404,销售录入!$E$5:$E$404,$A100,销售录入!$B$5:$B$404,"&lt;"&amp;首页!$B$6))</f>
        <v/>
      </c>
      <c r="E100" s="54" t="str">
        <f aca="false">IF($A100="","",SUMIFS(期初数据!$T$6:$T$205,期初数据!$O$6:$O$205,$A100)+SUMIFS(采购录入!$Q$5:$Q$404,采购录入!$E$5:$E$404,$A100,采购录入!$I$5:$I$404,"是",采购录入!$B$5:$B$404,"&lt;"&amp;首页!$B$6)-SUMIFS(销售录入!$S$5:$S$404,销售录入!$E$5:$E$404,$A100,销售录入!$B$5:$B$404,"&lt;"&amp;首页!$B$6))</f>
        <v/>
      </c>
      <c r="F100" s="64" t="str">
        <f aca="false">IF($A100="","",SUMIFS(采购录入!$F$5:$F$404,采购录入!$E$5:$E$404,$A100,采购录入!$I$5:$I$404,"是",采购录入!$C$5:$C$404,首页!$B$5))</f>
        <v/>
      </c>
      <c r="G100" s="54" t="str">
        <f aca="false">IF($A100="","",SUMIFS(采购录入!$Q$5:$Q$404,采购录入!$E$5:$E$404,$A100,采购录入!$I$5:$I$404,"是",采购录入!$C$5:$C$404,首页!$B$5))</f>
        <v/>
      </c>
      <c r="H100" s="64" t="str">
        <f aca="false">IF($A100="","",SUMIFS(销售录入!$F$5:$F$404,销售录入!$E$5:$E$404,$A100,销售录入!$C$5:$C$404,首页!$B$5))</f>
        <v/>
      </c>
      <c r="I100" s="54" t="str">
        <f aca="false">IF($A100="","",SUMIFS(销售录入!$S$5:$S$404,销售录入!$E$5:$E$404,$A100,销售录入!$C$5:$C$404,首页!$B$5))</f>
        <v/>
      </c>
      <c r="J100" s="65" t="str">
        <f aca="false">IF($A100="","",$D100+$F100-$H100)</f>
        <v/>
      </c>
      <c r="K100" s="44" t="str">
        <f aca="false">IF($A100="","",$E100+$G100-$I100)</f>
        <v/>
      </c>
      <c r="L100" s="44" t="str">
        <f aca="false">IF(OR($A100="",$J100=0),"",$K100/$J100)</f>
        <v/>
      </c>
      <c r="M100" s="54" t="str">
        <f aca="false">IF($A100="","",SUMIFS(销售录入!$O$5:$O$404,销售录入!$E$5:$E$404,$A100,销售录入!$C$5:$C$404,首页!$B$5))</f>
        <v/>
      </c>
      <c r="N100" s="44" t="str">
        <f aca="false">IF($A100="","",$M100-$I100)</f>
        <v/>
      </c>
      <c r="O100" s="63" t="str">
        <f aca="false">IF(OR($A100="",$M100=0),"",$N100/$M100)</f>
        <v/>
      </c>
      <c r="P100" s="47" t="str">
        <f aca="false">IF($A100="","",IF($J100&lt;0,"⚠ 负库存",IF(AND($J100=0,ABS($K100)&gt;0.01),"⚠ 有金额无数量",IF(AND($J100&gt;0,$K100&lt;0),"⚠ 金额为负",IF($N100&lt;0,"⚠ 毛利为负","正常")))))</f>
        <v/>
      </c>
    </row>
    <row r="101" customFormat="false" ht="15.75" hidden="false" customHeight="true" outlineLevel="0" collapsed="false">
      <c r="A101" s="35" t="str">
        <f aca="false">IF(基础资料!$Q101="","",基础资料!$Q101)</f>
        <v/>
      </c>
      <c r="B101" s="42" t="str">
        <f aca="false">IF($A101="","",基础资料!$R101)</f>
        <v/>
      </c>
      <c r="C101" s="42" t="str">
        <f aca="false">IF($A101="","",基础资料!$S101)</f>
        <v/>
      </c>
      <c r="D101" s="64" t="str">
        <f aca="false">IF($A101="","",SUMIFS(期初数据!$R$6:$R$205,期初数据!$O$6:$O$205,$A101)+SUMIFS(采购录入!$F$5:$F$404,采购录入!$E$5:$E$404,$A101,采购录入!$I$5:$I$404,"是",采购录入!$B$5:$B$404,"&lt;"&amp;首页!$B$6)-SUMIFS(销售录入!$F$5:$F$404,销售录入!$E$5:$E$404,$A101,销售录入!$B$5:$B$404,"&lt;"&amp;首页!$B$6))</f>
        <v/>
      </c>
      <c r="E101" s="54" t="str">
        <f aca="false">IF($A101="","",SUMIFS(期初数据!$T$6:$T$205,期初数据!$O$6:$O$205,$A101)+SUMIFS(采购录入!$Q$5:$Q$404,采购录入!$E$5:$E$404,$A101,采购录入!$I$5:$I$404,"是",采购录入!$B$5:$B$404,"&lt;"&amp;首页!$B$6)-SUMIFS(销售录入!$S$5:$S$404,销售录入!$E$5:$E$404,$A101,销售录入!$B$5:$B$404,"&lt;"&amp;首页!$B$6))</f>
        <v/>
      </c>
      <c r="F101" s="64" t="str">
        <f aca="false">IF($A101="","",SUMIFS(采购录入!$F$5:$F$404,采购录入!$E$5:$E$404,$A101,采购录入!$I$5:$I$404,"是",采购录入!$C$5:$C$404,首页!$B$5))</f>
        <v/>
      </c>
      <c r="G101" s="54" t="str">
        <f aca="false">IF($A101="","",SUMIFS(采购录入!$Q$5:$Q$404,采购录入!$E$5:$E$404,$A101,采购录入!$I$5:$I$404,"是",采购录入!$C$5:$C$404,首页!$B$5))</f>
        <v/>
      </c>
      <c r="H101" s="64" t="str">
        <f aca="false">IF($A101="","",SUMIFS(销售录入!$F$5:$F$404,销售录入!$E$5:$E$404,$A101,销售录入!$C$5:$C$404,首页!$B$5))</f>
        <v/>
      </c>
      <c r="I101" s="54" t="str">
        <f aca="false">IF($A101="","",SUMIFS(销售录入!$S$5:$S$404,销售录入!$E$5:$E$404,$A101,销售录入!$C$5:$C$404,首页!$B$5))</f>
        <v/>
      </c>
      <c r="J101" s="65" t="str">
        <f aca="false">IF($A101="","",$D101+$F101-$H101)</f>
        <v/>
      </c>
      <c r="K101" s="44" t="str">
        <f aca="false">IF($A101="","",$E101+$G101-$I101)</f>
        <v/>
      </c>
      <c r="L101" s="44" t="str">
        <f aca="false">IF(OR($A101="",$J101=0),"",$K101/$J101)</f>
        <v/>
      </c>
      <c r="M101" s="54" t="str">
        <f aca="false">IF($A101="","",SUMIFS(销售录入!$O$5:$O$404,销售录入!$E$5:$E$404,$A101,销售录入!$C$5:$C$404,首页!$B$5))</f>
        <v/>
      </c>
      <c r="N101" s="44" t="str">
        <f aca="false">IF($A101="","",$M101-$I101)</f>
        <v/>
      </c>
      <c r="O101" s="63" t="str">
        <f aca="false">IF(OR($A101="",$M101=0),"",$N101/$M101)</f>
        <v/>
      </c>
      <c r="P101" s="47" t="str">
        <f aca="false">IF($A101="","",IF($J101&lt;0,"⚠ 负库存",IF(AND($J101=0,ABS($K101)&gt;0.01),"⚠ 有金额无数量",IF(AND($J101&gt;0,$K101&lt;0),"⚠ 金额为负",IF($N101&lt;0,"⚠ 毛利为负","正常")))))</f>
        <v/>
      </c>
    </row>
    <row r="102" customFormat="false" ht="15.75" hidden="false" customHeight="true" outlineLevel="0" collapsed="false">
      <c r="A102" s="35" t="str">
        <f aca="false">IF(基础资料!$Q102="","",基础资料!$Q102)</f>
        <v/>
      </c>
      <c r="B102" s="42" t="str">
        <f aca="false">IF($A102="","",基础资料!$R102)</f>
        <v/>
      </c>
      <c r="C102" s="42" t="str">
        <f aca="false">IF($A102="","",基础资料!$S102)</f>
        <v/>
      </c>
      <c r="D102" s="64" t="str">
        <f aca="false">IF($A102="","",SUMIFS(期初数据!$R$6:$R$205,期初数据!$O$6:$O$205,$A102)+SUMIFS(采购录入!$F$5:$F$404,采购录入!$E$5:$E$404,$A102,采购录入!$I$5:$I$404,"是",采购录入!$B$5:$B$404,"&lt;"&amp;首页!$B$6)-SUMIFS(销售录入!$F$5:$F$404,销售录入!$E$5:$E$404,$A102,销售录入!$B$5:$B$404,"&lt;"&amp;首页!$B$6))</f>
        <v/>
      </c>
      <c r="E102" s="54" t="str">
        <f aca="false">IF($A102="","",SUMIFS(期初数据!$T$6:$T$205,期初数据!$O$6:$O$205,$A102)+SUMIFS(采购录入!$Q$5:$Q$404,采购录入!$E$5:$E$404,$A102,采购录入!$I$5:$I$404,"是",采购录入!$B$5:$B$404,"&lt;"&amp;首页!$B$6)-SUMIFS(销售录入!$S$5:$S$404,销售录入!$E$5:$E$404,$A102,销售录入!$B$5:$B$404,"&lt;"&amp;首页!$B$6))</f>
        <v/>
      </c>
      <c r="F102" s="64" t="str">
        <f aca="false">IF($A102="","",SUMIFS(采购录入!$F$5:$F$404,采购录入!$E$5:$E$404,$A102,采购录入!$I$5:$I$404,"是",采购录入!$C$5:$C$404,首页!$B$5))</f>
        <v/>
      </c>
      <c r="G102" s="54" t="str">
        <f aca="false">IF($A102="","",SUMIFS(采购录入!$Q$5:$Q$404,采购录入!$E$5:$E$404,$A102,采购录入!$I$5:$I$404,"是",采购录入!$C$5:$C$404,首页!$B$5))</f>
        <v/>
      </c>
      <c r="H102" s="64" t="str">
        <f aca="false">IF($A102="","",SUMIFS(销售录入!$F$5:$F$404,销售录入!$E$5:$E$404,$A102,销售录入!$C$5:$C$404,首页!$B$5))</f>
        <v/>
      </c>
      <c r="I102" s="54" t="str">
        <f aca="false">IF($A102="","",SUMIFS(销售录入!$S$5:$S$404,销售录入!$E$5:$E$404,$A102,销售录入!$C$5:$C$404,首页!$B$5))</f>
        <v/>
      </c>
      <c r="J102" s="65" t="str">
        <f aca="false">IF($A102="","",$D102+$F102-$H102)</f>
        <v/>
      </c>
      <c r="K102" s="44" t="str">
        <f aca="false">IF($A102="","",$E102+$G102-$I102)</f>
        <v/>
      </c>
      <c r="L102" s="44" t="str">
        <f aca="false">IF(OR($A102="",$J102=0),"",$K102/$J102)</f>
        <v/>
      </c>
      <c r="M102" s="54" t="str">
        <f aca="false">IF($A102="","",SUMIFS(销售录入!$O$5:$O$404,销售录入!$E$5:$E$404,$A102,销售录入!$C$5:$C$404,首页!$B$5))</f>
        <v/>
      </c>
      <c r="N102" s="44" t="str">
        <f aca="false">IF($A102="","",$M102-$I102)</f>
        <v/>
      </c>
      <c r="O102" s="63" t="str">
        <f aca="false">IF(OR($A102="",$M102=0),"",$N102/$M102)</f>
        <v/>
      </c>
      <c r="P102" s="47" t="str">
        <f aca="false">IF($A102="","",IF($J102&lt;0,"⚠ 负库存",IF(AND($J102=0,ABS($K102)&gt;0.01),"⚠ 有金额无数量",IF(AND($J102&gt;0,$K102&lt;0),"⚠ 金额为负",IF($N102&lt;0,"⚠ 毛利为负","正常")))))</f>
        <v/>
      </c>
    </row>
    <row r="103" customFormat="false" ht="15.75" hidden="false" customHeight="true" outlineLevel="0" collapsed="false">
      <c r="A103" s="35" t="str">
        <f aca="false">IF(基础资料!$Q103="","",基础资料!$Q103)</f>
        <v/>
      </c>
      <c r="B103" s="42" t="str">
        <f aca="false">IF($A103="","",基础资料!$R103)</f>
        <v/>
      </c>
      <c r="C103" s="42" t="str">
        <f aca="false">IF($A103="","",基础资料!$S103)</f>
        <v/>
      </c>
      <c r="D103" s="64" t="str">
        <f aca="false">IF($A103="","",SUMIFS(期初数据!$R$6:$R$205,期初数据!$O$6:$O$205,$A103)+SUMIFS(采购录入!$F$5:$F$404,采购录入!$E$5:$E$404,$A103,采购录入!$I$5:$I$404,"是",采购录入!$B$5:$B$404,"&lt;"&amp;首页!$B$6)-SUMIFS(销售录入!$F$5:$F$404,销售录入!$E$5:$E$404,$A103,销售录入!$B$5:$B$404,"&lt;"&amp;首页!$B$6))</f>
        <v/>
      </c>
      <c r="E103" s="54" t="str">
        <f aca="false">IF($A103="","",SUMIFS(期初数据!$T$6:$T$205,期初数据!$O$6:$O$205,$A103)+SUMIFS(采购录入!$Q$5:$Q$404,采购录入!$E$5:$E$404,$A103,采购录入!$I$5:$I$404,"是",采购录入!$B$5:$B$404,"&lt;"&amp;首页!$B$6)-SUMIFS(销售录入!$S$5:$S$404,销售录入!$E$5:$E$404,$A103,销售录入!$B$5:$B$404,"&lt;"&amp;首页!$B$6))</f>
        <v/>
      </c>
      <c r="F103" s="64" t="str">
        <f aca="false">IF($A103="","",SUMIFS(采购录入!$F$5:$F$404,采购录入!$E$5:$E$404,$A103,采购录入!$I$5:$I$404,"是",采购录入!$C$5:$C$404,首页!$B$5))</f>
        <v/>
      </c>
      <c r="G103" s="54" t="str">
        <f aca="false">IF($A103="","",SUMIFS(采购录入!$Q$5:$Q$404,采购录入!$E$5:$E$404,$A103,采购录入!$I$5:$I$404,"是",采购录入!$C$5:$C$404,首页!$B$5))</f>
        <v/>
      </c>
      <c r="H103" s="64" t="str">
        <f aca="false">IF($A103="","",SUMIFS(销售录入!$F$5:$F$404,销售录入!$E$5:$E$404,$A103,销售录入!$C$5:$C$404,首页!$B$5))</f>
        <v/>
      </c>
      <c r="I103" s="54" t="str">
        <f aca="false">IF($A103="","",SUMIFS(销售录入!$S$5:$S$404,销售录入!$E$5:$E$404,$A103,销售录入!$C$5:$C$404,首页!$B$5))</f>
        <v/>
      </c>
      <c r="J103" s="65" t="str">
        <f aca="false">IF($A103="","",$D103+$F103-$H103)</f>
        <v/>
      </c>
      <c r="K103" s="44" t="str">
        <f aca="false">IF($A103="","",$E103+$G103-$I103)</f>
        <v/>
      </c>
      <c r="L103" s="44" t="str">
        <f aca="false">IF(OR($A103="",$J103=0),"",$K103/$J103)</f>
        <v/>
      </c>
      <c r="M103" s="54" t="str">
        <f aca="false">IF($A103="","",SUMIFS(销售录入!$O$5:$O$404,销售录入!$E$5:$E$404,$A103,销售录入!$C$5:$C$404,首页!$B$5))</f>
        <v/>
      </c>
      <c r="N103" s="44" t="str">
        <f aca="false">IF($A103="","",$M103-$I103)</f>
        <v/>
      </c>
      <c r="O103" s="63" t="str">
        <f aca="false">IF(OR($A103="",$M103=0),"",$N103/$M103)</f>
        <v/>
      </c>
      <c r="P103" s="47" t="str">
        <f aca="false">IF($A103="","",IF($J103&lt;0,"⚠ 负库存",IF(AND($J103=0,ABS($K103)&gt;0.01),"⚠ 有金额无数量",IF(AND($J103&gt;0,$K103&lt;0),"⚠ 金额为负",IF($N103&lt;0,"⚠ 毛利为负","正常")))))</f>
        <v/>
      </c>
    </row>
    <row r="104" customFormat="false" ht="15.75" hidden="false" customHeight="true" outlineLevel="0" collapsed="false">
      <c r="A104" s="35" t="str">
        <f aca="false">IF(基础资料!$Q104="","",基础资料!$Q104)</f>
        <v/>
      </c>
      <c r="B104" s="42" t="str">
        <f aca="false">IF($A104="","",基础资料!$R104)</f>
        <v/>
      </c>
      <c r="C104" s="42" t="str">
        <f aca="false">IF($A104="","",基础资料!$S104)</f>
        <v/>
      </c>
      <c r="D104" s="64" t="str">
        <f aca="false">IF($A104="","",SUMIFS(期初数据!$R$6:$R$205,期初数据!$O$6:$O$205,$A104)+SUMIFS(采购录入!$F$5:$F$404,采购录入!$E$5:$E$404,$A104,采购录入!$I$5:$I$404,"是",采购录入!$B$5:$B$404,"&lt;"&amp;首页!$B$6)-SUMIFS(销售录入!$F$5:$F$404,销售录入!$E$5:$E$404,$A104,销售录入!$B$5:$B$404,"&lt;"&amp;首页!$B$6))</f>
        <v/>
      </c>
      <c r="E104" s="54" t="str">
        <f aca="false">IF($A104="","",SUMIFS(期初数据!$T$6:$T$205,期初数据!$O$6:$O$205,$A104)+SUMIFS(采购录入!$Q$5:$Q$404,采购录入!$E$5:$E$404,$A104,采购录入!$I$5:$I$404,"是",采购录入!$B$5:$B$404,"&lt;"&amp;首页!$B$6)-SUMIFS(销售录入!$S$5:$S$404,销售录入!$E$5:$E$404,$A104,销售录入!$B$5:$B$404,"&lt;"&amp;首页!$B$6))</f>
        <v/>
      </c>
      <c r="F104" s="64" t="str">
        <f aca="false">IF($A104="","",SUMIFS(采购录入!$F$5:$F$404,采购录入!$E$5:$E$404,$A104,采购录入!$I$5:$I$404,"是",采购录入!$C$5:$C$404,首页!$B$5))</f>
        <v/>
      </c>
      <c r="G104" s="54" t="str">
        <f aca="false">IF($A104="","",SUMIFS(采购录入!$Q$5:$Q$404,采购录入!$E$5:$E$404,$A104,采购录入!$I$5:$I$404,"是",采购录入!$C$5:$C$404,首页!$B$5))</f>
        <v/>
      </c>
      <c r="H104" s="64" t="str">
        <f aca="false">IF($A104="","",SUMIFS(销售录入!$F$5:$F$404,销售录入!$E$5:$E$404,$A104,销售录入!$C$5:$C$404,首页!$B$5))</f>
        <v/>
      </c>
      <c r="I104" s="54" t="str">
        <f aca="false">IF($A104="","",SUMIFS(销售录入!$S$5:$S$404,销售录入!$E$5:$E$404,$A104,销售录入!$C$5:$C$404,首页!$B$5))</f>
        <v/>
      </c>
      <c r="J104" s="65" t="str">
        <f aca="false">IF($A104="","",$D104+$F104-$H104)</f>
        <v/>
      </c>
      <c r="K104" s="44" t="str">
        <f aca="false">IF($A104="","",$E104+$G104-$I104)</f>
        <v/>
      </c>
      <c r="L104" s="44" t="str">
        <f aca="false">IF(OR($A104="",$J104=0),"",$K104/$J104)</f>
        <v/>
      </c>
      <c r="M104" s="54" t="str">
        <f aca="false">IF($A104="","",SUMIFS(销售录入!$O$5:$O$404,销售录入!$E$5:$E$404,$A104,销售录入!$C$5:$C$404,首页!$B$5))</f>
        <v/>
      </c>
      <c r="N104" s="44" t="str">
        <f aca="false">IF($A104="","",$M104-$I104)</f>
        <v/>
      </c>
      <c r="O104" s="63" t="str">
        <f aca="false">IF(OR($A104="",$M104=0),"",$N104/$M104)</f>
        <v/>
      </c>
      <c r="P104" s="47" t="str">
        <f aca="false">IF($A104="","",IF($J104&lt;0,"⚠ 负库存",IF(AND($J104=0,ABS($K104)&gt;0.01),"⚠ 有金额无数量",IF(AND($J104&gt;0,$K104&lt;0),"⚠ 金额为负",IF($N104&lt;0,"⚠ 毛利为负","正常")))))</f>
        <v/>
      </c>
    </row>
    <row r="105" customFormat="false" ht="15.75" hidden="false" customHeight="true" outlineLevel="0" collapsed="false">
      <c r="A105" s="35" t="str">
        <f aca="false">IF(基础资料!$Q105="","",基础资料!$Q105)</f>
        <v/>
      </c>
      <c r="B105" s="42" t="str">
        <f aca="false">IF($A105="","",基础资料!$R105)</f>
        <v/>
      </c>
      <c r="C105" s="42" t="str">
        <f aca="false">IF($A105="","",基础资料!$S105)</f>
        <v/>
      </c>
      <c r="D105" s="64" t="str">
        <f aca="false">IF($A105="","",SUMIFS(期初数据!$R$6:$R$205,期初数据!$O$6:$O$205,$A105)+SUMIFS(采购录入!$F$5:$F$404,采购录入!$E$5:$E$404,$A105,采购录入!$I$5:$I$404,"是",采购录入!$B$5:$B$404,"&lt;"&amp;首页!$B$6)-SUMIFS(销售录入!$F$5:$F$404,销售录入!$E$5:$E$404,$A105,销售录入!$B$5:$B$404,"&lt;"&amp;首页!$B$6))</f>
        <v/>
      </c>
      <c r="E105" s="54" t="str">
        <f aca="false">IF($A105="","",SUMIFS(期初数据!$T$6:$T$205,期初数据!$O$6:$O$205,$A105)+SUMIFS(采购录入!$Q$5:$Q$404,采购录入!$E$5:$E$404,$A105,采购录入!$I$5:$I$404,"是",采购录入!$B$5:$B$404,"&lt;"&amp;首页!$B$6)-SUMIFS(销售录入!$S$5:$S$404,销售录入!$E$5:$E$404,$A105,销售录入!$B$5:$B$404,"&lt;"&amp;首页!$B$6))</f>
        <v/>
      </c>
      <c r="F105" s="64" t="str">
        <f aca="false">IF($A105="","",SUMIFS(采购录入!$F$5:$F$404,采购录入!$E$5:$E$404,$A105,采购录入!$I$5:$I$404,"是",采购录入!$C$5:$C$404,首页!$B$5))</f>
        <v/>
      </c>
      <c r="G105" s="54" t="str">
        <f aca="false">IF($A105="","",SUMIFS(采购录入!$Q$5:$Q$404,采购录入!$E$5:$E$404,$A105,采购录入!$I$5:$I$404,"是",采购录入!$C$5:$C$404,首页!$B$5))</f>
        <v/>
      </c>
      <c r="H105" s="64" t="str">
        <f aca="false">IF($A105="","",SUMIFS(销售录入!$F$5:$F$404,销售录入!$E$5:$E$404,$A105,销售录入!$C$5:$C$404,首页!$B$5))</f>
        <v/>
      </c>
      <c r="I105" s="54" t="str">
        <f aca="false">IF($A105="","",SUMIFS(销售录入!$S$5:$S$404,销售录入!$E$5:$E$404,$A105,销售录入!$C$5:$C$404,首页!$B$5))</f>
        <v/>
      </c>
      <c r="J105" s="65" t="str">
        <f aca="false">IF($A105="","",$D105+$F105-$H105)</f>
        <v/>
      </c>
      <c r="K105" s="44" t="str">
        <f aca="false">IF($A105="","",$E105+$G105-$I105)</f>
        <v/>
      </c>
      <c r="L105" s="44" t="str">
        <f aca="false">IF(OR($A105="",$J105=0),"",$K105/$J105)</f>
        <v/>
      </c>
      <c r="M105" s="54" t="str">
        <f aca="false">IF($A105="","",SUMIFS(销售录入!$O$5:$O$404,销售录入!$E$5:$E$404,$A105,销售录入!$C$5:$C$404,首页!$B$5))</f>
        <v/>
      </c>
      <c r="N105" s="44" t="str">
        <f aca="false">IF($A105="","",$M105-$I105)</f>
        <v/>
      </c>
      <c r="O105" s="63" t="str">
        <f aca="false">IF(OR($A105="",$M105=0),"",$N105/$M105)</f>
        <v/>
      </c>
      <c r="P105" s="47" t="str">
        <f aca="false">IF($A105="","",IF($J105&lt;0,"⚠ 负库存",IF(AND($J105=0,ABS($K105)&gt;0.01),"⚠ 有金额无数量",IF(AND($J105&gt;0,$K105&lt;0),"⚠ 金额为负",IF($N105&lt;0,"⚠ 毛利为负","正常")))))</f>
        <v/>
      </c>
    </row>
    <row r="106" customFormat="false" ht="15.75" hidden="false" customHeight="true" outlineLevel="0" collapsed="false">
      <c r="A106" s="35" t="str">
        <f aca="false">IF(基础资料!$Q106="","",基础资料!$Q106)</f>
        <v/>
      </c>
      <c r="B106" s="42" t="str">
        <f aca="false">IF($A106="","",基础资料!$R106)</f>
        <v/>
      </c>
      <c r="C106" s="42" t="str">
        <f aca="false">IF($A106="","",基础资料!$S106)</f>
        <v/>
      </c>
      <c r="D106" s="64" t="str">
        <f aca="false">IF($A106="","",SUMIFS(期初数据!$R$6:$R$205,期初数据!$O$6:$O$205,$A106)+SUMIFS(采购录入!$F$5:$F$404,采购录入!$E$5:$E$404,$A106,采购录入!$I$5:$I$404,"是",采购录入!$B$5:$B$404,"&lt;"&amp;首页!$B$6)-SUMIFS(销售录入!$F$5:$F$404,销售录入!$E$5:$E$404,$A106,销售录入!$B$5:$B$404,"&lt;"&amp;首页!$B$6))</f>
        <v/>
      </c>
      <c r="E106" s="54" t="str">
        <f aca="false">IF($A106="","",SUMIFS(期初数据!$T$6:$T$205,期初数据!$O$6:$O$205,$A106)+SUMIFS(采购录入!$Q$5:$Q$404,采购录入!$E$5:$E$404,$A106,采购录入!$I$5:$I$404,"是",采购录入!$B$5:$B$404,"&lt;"&amp;首页!$B$6)-SUMIFS(销售录入!$S$5:$S$404,销售录入!$E$5:$E$404,$A106,销售录入!$B$5:$B$404,"&lt;"&amp;首页!$B$6))</f>
        <v/>
      </c>
      <c r="F106" s="64" t="str">
        <f aca="false">IF($A106="","",SUMIFS(采购录入!$F$5:$F$404,采购录入!$E$5:$E$404,$A106,采购录入!$I$5:$I$404,"是",采购录入!$C$5:$C$404,首页!$B$5))</f>
        <v/>
      </c>
      <c r="G106" s="54" t="str">
        <f aca="false">IF($A106="","",SUMIFS(采购录入!$Q$5:$Q$404,采购录入!$E$5:$E$404,$A106,采购录入!$I$5:$I$404,"是",采购录入!$C$5:$C$404,首页!$B$5))</f>
        <v/>
      </c>
      <c r="H106" s="64" t="str">
        <f aca="false">IF($A106="","",SUMIFS(销售录入!$F$5:$F$404,销售录入!$E$5:$E$404,$A106,销售录入!$C$5:$C$404,首页!$B$5))</f>
        <v/>
      </c>
      <c r="I106" s="54" t="str">
        <f aca="false">IF($A106="","",SUMIFS(销售录入!$S$5:$S$404,销售录入!$E$5:$E$404,$A106,销售录入!$C$5:$C$404,首页!$B$5))</f>
        <v/>
      </c>
      <c r="J106" s="65" t="str">
        <f aca="false">IF($A106="","",$D106+$F106-$H106)</f>
        <v/>
      </c>
      <c r="K106" s="44" t="str">
        <f aca="false">IF($A106="","",$E106+$G106-$I106)</f>
        <v/>
      </c>
      <c r="L106" s="44" t="str">
        <f aca="false">IF(OR($A106="",$J106=0),"",$K106/$J106)</f>
        <v/>
      </c>
      <c r="M106" s="54" t="str">
        <f aca="false">IF($A106="","",SUMIFS(销售录入!$O$5:$O$404,销售录入!$E$5:$E$404,$A106,销售录入!$C$5:$C$404,首页!$B$5))</f>
        <v/>
      </c>
      <c r="N106" s="44" t="str">
        <f aca="false">IF($A106="","",$M106-$I106)</f>
        <v/>
      </c>
      <c r="O106" s="63" t="str">
        <f aca="false">IF(OR($A106="",$M106=0),"",$N106/$M106)</f>
        <v/>
      </c>
      <c r="P106" s="47" t="str">
        <f aca="false">IF($A106="","",IF($J106&lt;0,"⚠ 负库存",IF(AND($J106=0,ABS($K106)&gt;0.01),"⚠ 有金额无数量",IF(AND($J106&gt;0,$K106&lt;0),"⚠ 金额为负",IF($N106&lt;0,"⚠ 毛利为负","正常")))))</f>
        <v/>
      </c>
    </row>
    <row r="107" customFormat="false" ht="15.75" hidden="false" customHeight="true" outlineLevel="0" collapsed="false">
      <c r="A107" s="35" t="str">
        <f aca="false">IF(基础资料!$Q107="","",基础资料!$Q107)</f>
        <v/>
      </c>
      <c r="B107" s="42" t="str">
        <f aca="false">IF($A107="","",基础资料!$R107)</f>
        <v/>
      </c>
      <c r="C107" s="42" t="str">
        <f aca="false">IF($A107="","",基础资料!$S107)</f>
        <v/>
      </c>
      <c r="D107" s="64" t="str">
        <f aca="false">IF($A107="","",SUMIFS(期初数据!$R$6:$R$205,期初数据!$O$6:$O$205,$A107)+SUMIFS(采购录入!$F$5:$F$404,采购录入!$E$5:$E$404,$A107,采购录入!$I$5:$I$404,"是",采购录入!$B$5:$B$404,"&lt;"&amp;首页!$B$6)-SUMIFS(销售录入!$F$5:$F$404,销售录入!$E$5:$E$404,$A107,销售录入!$B$5:$B$404,"&lt;"&amp;首页!$B$6))</f>
        <v/>
      </c>
      <c r="E107" s="54" t="str">
        <f aca="false">IF($A107="","",SUMIFS(期初数据!$T$6:$T$205,期初数据!$O$6:$O$205,$A107)+SUMIFS(采购录入!$Q$5:$Q$404,采购录入!$E$5:$E$404,$A107,采购录入!$I$5:$I$404,"是",采购录入!$B$5:$B$404,"&lt;"&amp;首页!$B$6)-SUMIFS(销售录入!$S$5:$S$404,销售录入!$E$5:$E$404,$A107,销售录入!$B$5:$B$404,"&lt;"&amp;首页!$B$6))</f>
        <v/>
      </c>
      <c r="F107" s="64" t="str">
        <f aca="false">IF($A107="","",SUMIFS(采购录入!$F$5:$F$404,采购录入!$E$5:$E$404,$A107,采购录入!$I$5:$I$404,"是",采购录入!$C$5:$C$404,首页!$B$5))</f>
        <v/>
      </c>
      <c r="G107" s="54" t="str">
        <f aca="false">IF($A107="","",SUMIFS(采购录入!$Q$5:$Q$404,采购录入!$E$5:$E$404,$A107,采购录入!$I$5:$I$404,"是",采购录入!$C$5:$C$404,首页!$B$5))</f>
        <v/>
      </c>
      <c r="H107" s="64" t="str">
        <f aca="false">IF($A107="","",SUMIFS(销售录入!$F$5:$F$404,销售录入!$E$5:$E$404,$A107,销售录入!$C$5:$C$404,首页!$B$5))</f>
        <v/>
      </c>
      <c r="I107" s="54" t="str">
        <f aca="false">IF($A107="","",SUMIFS(销售录入!$S$5:$S$404,销售录入!$E$5:$E$404,$A107,销售录入!$C$5:$C$404,首页!$B$5))</f>
        <v/>
      </c>
      <c r="J107" s="65" t="str">
        <f aca="false">IF($A107="","",$D107+$F107-$H107)</f>
        <v/>
      </c>
      <c r="K107" s="44" t="str">
        <f aca="false">IF($A107="","",$E107+$G107-$I107)</f>
        <v/>
      </c>
      <c r="L107" s="44" t="str">
        <f aca="false">IF(OR($A107="",$J107=0),"",$K107/$J107)</f>
        <v/>
      </c>
      <c r="M107" s="54" t="str">
        <f aca="false">IF($A107="","",SUMIFS(销售录入!$O$5:$O$404,销售录入!$E$5:$E$404,$A107,销售录入!$C$5:$C$404,首页!$B$5))</f>
        <v/>
      </c>
      <c r="N107" s="44" t="str">
        <f aca="false">IF($A107="","",$M107-$I107)</f>
        <v/>
      </c>
      <c r="O107" s="63" t="str">
        <f aca="false">IF(OR($A107="",$M107=0),"",$N107/$M107)</f>
        <v/>
      </c>
      <c r="P107" s="47" t="str">
        <f aca="false">IF($A107="","",IF($J107&lt;0,"⚠ 负库存",IF(AND($J107=0,ABS($K107)&gt;0.01),"⚠ 有金额无数量",IF(AND($J107&gt;0,$K107&lt;0),"⚠ 金额为负",IF($N107&lt;0,"⚠ 毛利为负","正常")))))</f>
        <v/>
      </c>
    </row>
    <row r="108" customFormat="false" ht="15.75" hidden="false" customHeight="true" outlineLevel="0" collapsed="false">
      <c r="A108" s="35" t="str">
        <f aca="false">IF(基础资料!$Q108="","",基础资料!$Q108)</f>
        <v/>
      </c>
      <c r="B108" s="42" t="str">
        <f aca="false">IF($A108="","",基础资料!$R108)</f>
        <v/>
      </c>
      <c r="C108" s="42" t="str">
        <f aca="false">IF($A108="","",基础资料!$S108)</f>
        <v/>
      </c>
      <c r="D108" s="64" t="str">
        <f aca="false">IF($A108="","",SUMIFS(期初数据!$R$6:$R$205,期初数据!$O$6:$O$205,$A108)+SUMIFS(采购录入!$F$5:$F$404,采购录入!$E$5:$E$404,$A108,采购录入!$I$5:$I$404,"是",采购录入!$B$5:$B$404,"&lt;"&amp;首页!$B$6)-SUMIFS(销售录入!$F$5:$F$404,销售录入!$E$5:$E$404,$A108,销售录入!$B$5:$B$404,"&lt;"&amp;首页!$B$6))</f>
        <v/>
      </c>
      <c r="E108" s="54" t="str">
        <f aca="false">IF($A108="","",SUMIFS(期初数据!$T$6:$T$205,期初数据!$O$6:$O$205,$A108)+SUMIFS(采购录入!$Q$5:$Q$404,采购录入!$E$5:$E$404,$A108,采购录入!$I$5:$I$404,"是",采购录入!$B$5:$B$404,"&lt;"&amp;首页!$B$6)-SUMIFS(销售录入!$S$5:$S$404,销售录入!$E$5:$E$404,$A108,销售录入!$B$5:$B$404,"&lt;"&amp;首页!$B$6))</f>
        <v/>
      </c>
      <c r="F108" s="64" t="str">
        <f aca="false">IF($A108="","",SUMIFS(采购录入!$F$5:$F$404,采购录入!$E$5:$E$404,$A108,采购录入!$I$5:$I$404,"是",采购录入!$C$5:$C$404,首页!$B$5))</f>
        <v/>
      </c>
      <c r="G108" s="54" t="str">
        <f aca="false">IF($A108="","",SUMIFS(采购录入!$Q$5:$Q$404,采购录入!$E$5:$E$404,$A108,采购录入!$I$5:$I$404,"是",采购录入!$C$5:$C$404,首页!$B$5))</f>
        <v/>
      </c>
      <c r="H108" s="64" t="str">
        <f aca="false">IF($A108="","",SUMIFS(销售录入!$F$5:$F$404,销售录入!$E$5:$E$404,$A108,销售录入!$C$5:$C$404,首页!$B$5))</f>
        <v/>
      </c>
      <c r="I108" s="54" t="str">
        <f aca="false">IF($A108="","",SUMIFS(销售录入!$S$5:$S$404,销售录入!$E$5:$E$404,$A108,销售录入!$C$5:$C$404,首页!$B$5))</f>
        <v/>
      </c>
      <c r="J108" s="65" t="str">
        <f aca="false">IF($A108="","",$D108+$F108-$H108)</f>
        <v/>
      </c>
      <c r="K108" s="44" t="str">
        <f aca="false">IF($A108="","",$E108+$G108-$I108)</f>
        <v/>
      </c>
      <c r="L108" s="44" t="str">
        <f aca="false">IF(OR($A108="",$J108=0),"",$K108/$J108)</f>
        <v/>
      </c>
      <c r="M108" s="54" t="str">
        <f aca="false">IF($A108="","",SUMIFS(销售录入!$O$5:$O$404,销售录入!$E$5:$E$404,$A108,销售录入!$C$5:$C$404,首页!$B$5))</f>
        <v/>
      </c>
      <c r="N108" s="44" t="str">
        <f aca="false">IF($A108="","",$M108-$I108)</f>
        <v/>
      </c>
      <c r="O108" s="63" t="str">
        <f aca="false">IF(OR($A108="",$M108=0),"",$N108/$M108)</f>
        <v/>
      </c>
      <c r="P108" s="47" t="str">
        <f aca="false">IF($A108="","",IF($J108&lt;0,"⚠ 负库存",IF(AND($J108=0,ABS($K108)&gt;0.01),"⚠ 有金额无数量",IF(AND($J108&gt;0,$K108&lt;0),"⚠ 金额为负",IF($N108&lt;0,"⚠ 毛利为负","正常")))))</f>
        <v/>
      </c>
    </row>
    <row r="109" customFormat="false" ht="15.75" hidden="false" customHeight="true" outlineLevel="0" collapsed="false">
      <c r="A109" s="35" t="str">
        <f aca="false">IF(基础资料!$Q109="","",基础资料!$Q109)</f>
        <v/>
      </c>
      <c r="B109" s="42" t="str">
        <f aca="false">IF($A109="","",基础资料!$R109)</f>
        <v/>
      </c>
      <c r="C109" s="42" t="str">
        <f aca="false">IF($A109="","",基础资料!$S109)</f>
        <v/>
      </c>
      <c r="D109" s="64" t="str">
        <f aca="false">IF($A109="","",SUMIFS(期初数据!$R$6:$R$205,期初数据!$O$6:$O$205,$A109)+SUMIFS(采购录入!$F$5:$F$404,采购录入!$E$5:$E$404,$A109,采购录入!$I$5:$I$404,"是",采购录入!$B$5:$B$404,"&lt;"&amp;首页!$B$6)-SUMIFS(销售录入!$F$5:$F$404,销售录入!$E$5:$E$404,$A109,销售录入!$B$5:$B$404,"&lt;"&amp;首页!$B$6))</f>
        <v/>
      </c>
      <c r="E109" s="54" t="str">
        <f aca="false">IF($A109="","",SUMIFS(期初数据!$T$6:$T$205,期初数据!$O$6:$O$205,$A109)+SUMIFS(采购录入!$Q$5:$Q$404,采购录入!$E$5:$E$404,$A109,采购录入!$I$5:$I$404,"是",采购录入!$B$5:$B$404,"&lt;"&amp;首页!$B$6)-SUMIFS(销售录入!$S$5:$S$404,销售录入!$E$5:$E$404,$A109,销售录入!$B$5:$B$404,"&lt;"&amp;首页!$B$6))</f>
        <v/>
      </c>
      <c r="F109" s="64" t="str">
        <f aca="false">IF($A109="","",SUMIFS(采购录入!$F$5:$F$404,采购录入!$E$5:$E$404,$A109,采购录入!$I$5:$I$404,"是",采购录入!$C$5:$C$404,首页!$B$5))</f>
        <v/>
      </c>
      <c r="G109" s="54" t="str">
        <f aca="false">IF($A109="","",SUMIFS(采购录入!$Q$5:$Q$404,采购录入!$E$5:$E$404,$A109,采购录入!$I$5:$I$404,"是",采购录入!$C$5:$C$404,首页!$B$5))</f>
        <v/>
      </c>
      <c r="H109" s="64" t="str">
        <f aca="false">IF($A109="","",SUMIFS(销售录入!$F$5:$F$404,销售录入!$E$5:$E$404,$A109,销售录入!$C$5:$C$404,首页!$B$5))</f>
        <v/>
      </c>
      <c r="I109" s="54" t="str">
        <f aca="false">IF($A109="","",SUMIFS(销售录入!$S$5:$S$404,销售录入!$E$5:$E$404,$A109,销售录入!$C$5:$C$404,首页!$B$5))</f>
        <v/>
      </c>
      <c r="J109" s="65" t="str">
        <f aca="false">IF($A109="","",$D109+$F109-$H109)</f>
        <v/>
      </c>
      <c r="K109" s="44" t="str">
        <f aca="false">IF($A109="","",$E109+$G109-$I109)</f>
        <v/>
      </c>
      <c r="L109" s="44" t="str">
        <f aca="false">IF(OR($A109="",$J109=0),"",$K109/$J109)</f>
        <v/>
      </c>
      <c r="M109" s="54" t="str">
        <f aca="false">IF($A109="","",SUMIFS(销售录入!$O$5:$O$404,销售录入!$E$5:$E$404,$A109,销售录入!$C$5:$C$404,首页!$B$5))</f>
        <v/>
      </c>
      <c r="N109" s="44" t="str">
        <f aca="false">IF($A109="","",$M109-$I109)</f>
        <v/>
      </c>
      <c r="O109" s="63" t="str">
        <f aca="false">IF(OR($A109="",$M109=0),"",$N109/$M109)</f>
        <v/>
      </c>
      <c r="P109" s="47" t="str">
        <f aca="false">IF($A109="","",IF($J109&lt;0,"⚠ 负库存",IF(AND($J109=0,ABS($K109)&gt;0.01),"⚠ 有金额无数量",IF(AND($J109&gt;0,$K109&lt;0),"⚠ 金额为负",IF($N109&lt;0,"⚠ 毛利为负","正常")))))</f>
        <v/>
      </c>
    </row>
    <row r="110" customFormat="false" ht="15.75" hidden="false" customHeight="true" outlineLevel="0" collapsed="false">
      <c r="A110" s="35" t="str">
        <f aca="false">IF(基础资料!$Q110="","",基础资料!$Q110)</f>
        <v/>
      </c>
      <c r="B110" s="42" t="str">
        <f aca="false">IF($A110="","",基础资料!$R110)</f>
        <v/>
      </c>
      <c r="C110" s="42" t="str">
        <f aca="false">IF($A110="","",基础资料!$S110)</f>
        <v/>
      </c>
      <c r="D110" s="64" t="str">
        <f aca="false">IF($A110="","",SUMIFS(期初数据!$R$6:$R$205,期初数据!$O$6:$O$205,$A110)+SUMIFS(采购录入!$F$5:$F$404,采购录入!$E$5:$E$404,$A110,采购录入!$I$5:$I$404,"是",采购录入!$B$5:$B$404,"&lt;"&amp;首页!$B$6)-SUMIFS(销售录入!$F$5:$F$404,销售录入!$E$5:$E$404,$A110,销售录入!$B$5:$B$404,"&lt;"&amp;首页!$B$6))</f>
        <v/>
      </c>
      <c r="E110" s="54" t="str">
        <f aca="false">IF($A110="","",SUMIFS(期初数据!$T$6:$T$205,期初数据!$O$6:$O$205,$A110)+SUMIFS(采购录入!$Q$5:$Q$404,采购录入!$E$5:$E$404,$A110,采购录入!$I$5:$I$404,"是",采购录入!$B$5:$B$404,"&lt;"&amp;首页!$B$6)-SUMIFS(销售录入!$S$5:$S$404,销售录入!$E$5:$E$404,$A110,销售录入!$B$5:$B$404,"&lt;"&amp;首页!$B$6))</f>
        <v/>
      </c>
      <c r="F110" s="64" t="str">
        <f aca="false">IF($A110="","",SUMIFS(采购录入!$F$5:$F$404,采购录入!$E$5:$E$404,$A110,采购录入!$I$5:$I$404,"是",采购录入!$C$5:$C$404,首页!$B$5))</f>
        <v/>
      </c>
      <c r="G110" s="54" t="str">
        <f aca="false">IF($A110="","",SUMIFS(采购录入!$Q$5:$Q$404,采购录入!$E$5:$E$404,$A110,采购录入!$I$5:$I$404,"是",采购录入!$C$5:$C$404,首页!$B$5))</f>
        <v/>
      </c>
      <c r="H110" s="64" t="str">
        <f aca="false">IF($A110="","",SUMIFS(销售录入!$F$5:$F$404,销售录入!$E$5:$E$404,$A110,销售录入!$C$5:$C$404,首页!$B$5))</f>
        <v/>
      </c>
      <c r="I110" s="54" t="str">
        <f aca="false">IF($A110="","",SUMIFS(销售录入!$S$5:$S$404,销售录入!$E$5:$E$404,$A110,销售录入!$C$5:$C$404,首页!$B$5))</f>
        <v/>
      </c>
      <c r="J110" s="65" t="str">
        <f aca="false">IF($A110="","",$D110+$F110-$H110)</f>
        <v/>
      </c>
      <c r="K110" s="44" t="str">
        <f aca="false">IF($A110="","",$E110+$G110-$I110)</f>
        <v/>
      </c>
      <c r="L110" s="44" t="str">
        <f aca="false">IF(OR($A110="",$J110=0),"",$K110/$J110)</f>
        <v/>
      </c>
      <c r="M110" s="54" t="str">
        <f aca="false">IF($A110="","",SUMIFS(销售录入!$O$5:$O$404,销售录入!$E$5:$E$404,$A110,销售录入!$C$5:$C$404,首页!$B$5))</f>
        <v/>
      </c>
      <c r="N110" s="44" t="str">
        <f aca="false">IF($A110="","",$M110-$I110)</f>
        <v/>
      </c>
      <c r="O110" s="63" t="str">
        <f aca="false">IF(OR($A110="",$M110=0),"",$N110/$M110)</f>
        <v/>
      </c>
      <c r="P110" s="47" t="str">
        <f aca="false">IF($A110="","",IF($J110&lt;0,"⚠ 负库存",IF(AND($J110=0,ABS($K110)&gt;0.01),"⚠ 有金额无数量",IF(AND($J110&gt;0,$K110&lt;0),"⚠ 金额为负",IF($N110&lt;0,"⚠ 毛利为负","正常")))))</f>
        <v/>
      </c>
    </row>
    <row r="111" customFormat="false" ht="15.75" hidden="false" customHeight="true" outlineLevel="0" collapsed="false">
      <c r="A111" s="35" t="str">
        <f aca="false">IF(基础资料!$Q111="","",基础资料!$Q111)</f>
        <v/>
      </c>
      <c r="B111" s="42" t="str">
        <f aca="false">IF($A111="","",基础资料!$R111)</f>
        <v/>
      </c>
      <c r="C111" s="42" t="str">
        <f aca="false">IF($A111="","",基础资料!$S111)</f>
        <v/>
      </c>
      <c r="D111" s="64" t="str">
        <f aca="false">IF($A111="","",SUMIFS(期初数据!$R$6:$R$205,期初数据!$O$6:$O$205,$A111)+SUMIFS(采购录入!$F$5:$F$404,采购录入!$E$5:$E$404,$A111,采购录入!$I$5:$I$404,"是",采购录入!$B$5:$B$404,"&lt;"&amp;首页!$B$6)-SUMIFS(销售录入!$F$5:$F$404,销售录入!$E$5:$E$404,$A111,销售录入!$B$5:$B$404,"&lt;"&amp;首页!$B$6))</f>
        <v/>
      </c>
      <c r="E111" s="54" t="str">
        <f aca="false">IF($A111="","",SUMIFS(期初数据!$T$6:$T$205,期初数据!$O$6:$O$205,$A111)+SUMIFS(采购录入!$Q$5:$Q$404,采购录入!$E$5:$E$404,$A111,采购录入!$I$5:$I$404,"是",采购录入!$B$5:$B$404,"&lt;"&amp;首页!$B$6)-SUMIFS(销售录入!$S$5:$S$404,销售录入!$E$5:$E$404,$A111,销售录入!$B$5:$B$404,"&lt;"&amp;首页!$B$6))</f>
        <v/>
      </c>
      <c r="F111" s="64" t="str">
        <f aca="false">IF($A111="","",SUMIFS(采购录入!$F$5:$F$404,采购录入!$E$5:$E$404,$A111,采购录入!$I$5:$I$404,"是",采购录入!$C$5:$C$404,首页!$B$5))</f>
        <v/>
      </c>
      <c r="G111" s="54" t="str">
        <f aca="false">IF($A111="","",SUMIFS(采购录入!$Q$5:$Q$404,采购录入!$E$5:$E$404,$A111,采购录入!$I$5:$I$404,"是",采购录入!$C$5:$C$404,首页!$B$5))</f>
        <v/>
      </c>
      <c r="H111" s="64" t="str">
        <f aca="false">IF($A111="","",SUMIFS(销售录入!$F$5:$F$404,销售录入!$E$5:$E$404,$A111,销售录入!$C$5:$C$404,首页!$B$5))</f>
        <v/>
      </c>
      <c r="I111" s="54" t="str">
        <f aca="false">IF($A111="","",SUMIFS(销售录入!$S$5:$S$404,销售录入!$E$5:$E$404,$A111,销售录入!$C$5:$C$404,首页!$B$5))</f>
        <v/>
      </c>
      <c r="J111" s="65" t="str">
        <f aca="false">IF($A111="","",$D111+$F111-$H111)</f>
        <v/>
      </c>
      <c r="K111" s="44" t="str">
        <f aca="false">IF($A111="","",$E111+$G111-$I111)</f>
        <v/>
      </c>
      <c r="L111" s="44" t="str">
        <f aca="false">IF(OR($A111="",$J111=0),"",$K111/$J111)</f>
        <v/>
      </c>
      <c r="M111" s="54" t="str">
        <f aca="false">IF($A111="","",SUMIFS(销售录入!$O$5:$O$404,销售录入!$E$5:$E$404,$A111,销售录入!$C$5:$C$404,首页!$B$5))</f>
        <v/>
      </c>
      <c r="N111" s="44" t="str">
        <f aca="false">IF($A111="","",$M111-$I111)</f>
        <v/>
      </c>
      <c r="O111" s="63" t="str">
        <f aca="false">IF(OR($A111="",$M111=0),"",$N111/$M111)</f>
        <v/>
      </c>
      <c r="P111" s="47" t="str">
        <f aca="false">IF($A111="","",IF($J111&lt;0,"⚠ 负库存",IF(AND($J111=0,ABS($K111)&gt;0.01),"⚠ 有金额无数量",IF(AND($J111&gt;0,$K111&lt;0),"⚠ 金额为负",IF($N111&lt;0,"⚠ 毛利为负","正常")))))</f>
        <v/>
      </c>
    </row>
    <row r="112" customFormat="false" ht="15.75" hidden="false" customHeight="true" outlineLevel="0" collapsed="false">
      <c r="A112" s="35" t="str">
        <f aca="false">IF(基础资料!$Q112="","",基础资料!$Q112)</f>
        <v/>
      </c>
      <c r="B112" s="42" t="str">
        <f aca="false">IF($A112="","",基础资料!$R112)</f>
        <v/>
      </c>
      <c r="C112" s="42" t="str">
        <f aca="false">IF($A112="","",基础资料!$S112)</f>
        <v/>
      </c>
      <c r="D112" s="64" t="str">
        <f aca="false">IF($A112="","",SUMIFS(期初数据!$R$6:$R$205,期初数据!$O$6:$O$205,$A112)+SUMIFS(采购录入!$F$5:$F$404,采购录入!$E$5:$E$404,$A112,采购录入!$I$5:$I$404,"是",采购录入!$B$5:$B$404,"&lt;"&amp;首页!$B$6)-SUMIFS(销售录入!$F$5:$F$404,销售录入!$E$5:$E$404,$A112,销售录入!$B$5:$B$404,"&lt;"&amp;首页!$B$6))</f>
        <v/>
      </c>
      <c r="E112" s="54" t="str">
        <f aca="false">IF($A112="","",SUMIFS(期初数据!$T$6:$T$205,期初数据!$O$6:$O$205,$A112)+SUMIFS(采购录入!$Q$5:$Q$404,采购录入!$E$5:$E$404,$A112,采购录入!$I$5:$I$404,"是",采购录入!$B$5:$B$404,"&lt;"&amp;首页!$B$6)-SUMIFS(销售录入!$S$5:$S$404,销售录入!$E$5:$E$404,$A112,销售录入!$B$5:$B$404,"&lt;"&amp;首页!$B$6))</f>
        <v/>
      </c>
      <c r="F112" s="64" t="str">
        <f aca="false">IF($A112="","",SUMIFS(采购录入!$F$5:$F$404,采购录入!$E$5:$E$404,$A112,采购录入!$I$5:$I$404,"是",采购录入!$C$5:$C$404,首页!$B$5))</f>
        <v/>
      </c>
      <c r="G112" s="54" t="str">
        <f aca="false">IF($A112="","",SUMIFS(采购录入!$Q$5:$Q$404,采购录入!$E$5:$E$404,$A112,采购录入!$I$5:$I$404,"是",采购录入!$C$5:$C$404,首页!$B$5))</f>
        <v/>
      </c>
      <c r="H112" s="64" t="str">
        <f aca="false">IF($A112="","",SUMIFS(销售录入!$F$5:$F$404,销售录入!$E$5:$E$404,$A112,销售录入!$C$5:$C$404,首页!$B$5))</f>
        <v/>
      </c>
      <c r="I112" s="54" t="str">
        <f aca="false">IF($A112="","",SUMIFS(销售录入!$S$5:$S$404,销售录入!$E$5:$E$404,$A112,销售录入!$C$5:$C$404,首页!$B$5))</f>
        <v/>
      </c>
      <c r="J112" s="65" t="str">
        <f aca="false">IF($A112="","",$D112+$F112-$H112)</f>
        <v/>
      </c>
      <c r="K112" s="44" t="str">
        <f aca="false">IF($A112="","",$E112+$G112-$I112)</f>
        <v/>
      </c>
      <c r="L112" s="44" t="str">
        <f aca="false">IF(OR($A112="",$J112=0),"",$K112/$J112)</f>
        <v/>
      </c>
      <c r="M112" s="54" t="str">
        <f aca="false">IF($A112="","",SUMIFS(销售录入!$O$5:$O$404,销售录入!$E$5:$E$404,$A112,销售录入!$C$5:$C$404,首页!$B$5))</f>
        <v/>
      </c>
      <c r="N112" s="44" t="str">
        <f aca="false">IF($A112="","",$M112-$I112)</f>
        <v/>
      </c>
      <c r="O112" s="63" t="str">
        <f aca="false">IF(OR($A112="",$M112=0),"",$N112/$M112)</f>
        <v/>
      </c>
      <c r="P112" s="47" t="str">
        <f aca="false">IF($A112="","",IF($J112&lt;0,"⚠ 负库存",IF(AND($J112=0,ABS($K112)&gt;0.01),"⚠ 有金额无数量",IF(AND($J112&gt;0,$K112&lt;0),"⚠ 金额为负",IF($N112&lt;0,"⚠ 毛利为负","正常")))))</f>
        <v/>
      </c>
    </row>
    <row r="113" customFormat="false" ht="15.75" hidden="false" customHeight="true" outlineLevel="0" collapsed="false">
      <c r="A113" s="35" t="str">
        <f aca="false">IF(基础资料!$Q113="","",基础资料!$Q113)</f>
        <v/>
      </c>
      <c r="B113" s="42" t="str">
        <f aca="false">IF($A113="","",基础资料!$R113)</f>
        <v/>
      </c>
      <c r="C113" s="42" t="str">
        <f aca="false">IF($A113="","",基础资料!$S113)</f>
        <v/>
      </c>
      <c r="D113" s="64" t="str">
        <f aca="false">IF($A113="","",SUMIFS(期初数据!$R$6:$R$205,期初数据!$O$6:$O$205,$A113)+SUMIFS(采购录入!$F$5:$F$404,采购录入!$E$5:$E$404,$A113,采购录入!$I$5:$I$404,"是",采购录入!$B$5:$B$404,"&lt;"&amp;首页!$B$6)-SUMIFS(销售录入!$F$5:$F$404,销售录入!$E$5:$E$404,$A113,销售录入!$B$5:$B$404,"&lt;"&amp;首页!$B$6))</f>
        <v/>
      </c>
      <c r="E113" s="54" t="str">
        <f aca="false">IF($A113="","",SUMIFS(期初数据!$T$6:$T$205,期初数据!$O$6:$O$205,$A113)+SUMIFS(采购录入!$Q$5:$Q$404,采购录入!$E$5:$E$404,$A113,采购录入!$I$5:$I$404,"是",采购录入!$B$5:$B$404,"&lt;"&amp;首页!$B$6)-SUMIFS(销售录入!$S$5:$S$404,销售录入!$E$5:$E$404,$A113,销售录入!$B$5:$B$404,"&lt;"&amp;首页!$B$6))</f>
        <v/>
      </c>
      <c r="F113" s="64" t="str">
        <f aca="false">IF($A113="","",SUMIFS(采购录入!$F$5:$F$404,采购录入!$E$5:$E$404,$A113,采购录入!$I$5:$I$404,"是",采购录入!$C$5:$C$404,首页!$B$5))</f>
        <v/>
      </c>
      <c r="G113" s="54" t="str">
        <f aca="false">IF($A113="","",SUMIFS(采购录入!$Q$5:$Q$404,采购录入!$E$5:$E$404,$A113,采购录入!$I$5:$I$404,"是",采购录入!$C$5:$C$404,首页!$B$5))</f>
        <v/>
      </c>
      <c r="H113" s="64" t="str">
        <f aca="false">IF($A113="","",SUMIFS(销售录入!$F$5:$F$404,销售录入!$E$5:$E$404,$A113,销售录入!$C$5:$C$404,首页!$B$5))</f>
        <v/>
      </c>
      <c r="I113" s="54" t="str">
        <f aca="false">IF($A113="","",SUMIFS(销售录入!$S$5:$S$404,销售录入!$E$5:$E$404,$A113,销售录入!$C$5:$C$404,首页!$B$5))</f>
        <v/>
      </c>
      <c r="J113" s="65" t="str">
        <f aca="false">IF($A113="","",$D113+$F113-$H113)</f>
        <v/>
      </c>
      <c r="K113" s="44" t="str">
        <f aca="false">IF($A113="","",$E113+$G113-$I113)</f>
        <v/>
      </c>
      <c r="L113" s="44" t="str">
        <f aca="false">IF(OR($A113="",$J113=0),"",$K113/$J113)</f>
        <v/>
      </c>
      <c r="M113" s="54" t="str">
        <f aca="false">IF($A113="","",SUMIFS(销售录入!$O$5:$O$404,销售录入!$E$5:$E$404,$A113,销售录入!$C$5:$C$404,首页!$B$5))</f>
        <v/>
      </c>
      <c r="N113" s="44" t="str">
        <f aca="false">IF($A113="","",$M113-$I113)</f>
        <v/>
      </c>
      <c r="O113" s="63" t="str">
        <f aca="false">IF(OR($A113="",$M113=0),"",$N113/$M113)</f>
        <v/>
      </c>
      <c r="P113" s="47" t="str">
        <f aca="false">IF($A113="","",IF($J113&lt;0,"⚠ 负库存",IF(AND($J113=0,ABS($K113)&gt;0.01),"⚠ 有金额无数量",IF(AND($J113&gt;0,$K113&lt;0),"⚠ 金额为负",IF($N113&lt;0,"⚠ 毛利为负","正常")))))</f>
        <v/>
      </c>
    </row>
    <row r="114" customFormat="false" ht="15.75" hidden="false" customHeight="true" outlineLevel="0" collapsed="false">
      <c r="A114" s="35" t="str">
        <f aca="false">IF(基础资料!$Q114="","",基础资料!$Q114)</f>
        <v/>
      </c>
      <c r="B114" s="42" t="str">
        <f aca="false">IF($A114="","",基础资料!$R114)</f>
        <v/>
      </c>
      <c r="C114" s="42" t="str">
        <f aca="false">IF($A114="","",基础资料!$S114)</f>
        <v/>
      </c>
      <c r="D114" s="64" t="str">
        <f aca="false">IF($A114="","",SUMIFS(期初数据!$R$6:$R$205,期初数据!$O$6:$O$205,$A114)+SUMIFS(采购录入!$F$5:$F$404,采购录入!$E$5:$E$404,$A114,采购录入!$I$5:$I$404,"是",采购录入!$B$5:$B$404,"&lt;"&amp;首页!$B$6)-SUMIFS(销售录入!$F$5:$F$404,销售录入!$E$5:$E$404,$A114,销售录入!$B$5:$B$404,"&lt;"&amp;首页!$B$6))</f>
        <v/>
      </c>
      <c r="E114" s="54" t="str">
        <f aca="false">IF($A114="","",SUMIFS(期初数据!$T$6:$T$205,期初数据!$O$6:$O$205,$A114)+SUMIFS(采购录入!$Q$5:$Q$404,采购录入!$E$5:$E$404,$A114,采购录入!$I$5:$I$404,"是",采购录入!$B$5:$B$404,"&lt;"&amp;首页!$B$6)-SUMIFS(销售录入!$S$5:$S$404,销售录入!$E$5:$E$404,$A114,销售录入!$B$5:$B$404,"&lt;"&amp;首页!$B$6))</f>
        <v/>
      </c>
      <c r="F114" s="64" t="str">
        <f aca="false">IF($A114="","",SUMIFS(采购录入!$F$5:$F$404,采购录入!$E$5:$E$404,$A114,采购录入!$I$5:$I$404,"是",采购录入!$C$5:$C$404,首页!$B$5))</f>
        <v/>
      </c>
      <c r="G114" s="54" t="str">
        <f aca="false">IF($A114="","",SUMIFS(采购录入!$Q$5:$Q$404,采购录入!$E$5:$E$404,$A114,采购录入!$I$5:$I$404,"是",采购录入!$C$5:$C$404,首页!$B$5))</f>
        <v/>
      </c>
      <c r="H114" s="64" t="str">
        <f aca="false">IF($A114="","",SUMIFS(销售录入!$F$5:$F$404,销售录入!$E$5:$E$404,$A114,销售录入!$C$5:$C$404,首页!$B$5))</f>
        <v/>
      </c>
      <c r="I114" s="54" t="str">
        <f aca="false">IF($A114="","",SUMIFS(销售录入!$S$5:$S$404,销售录入!$E$5:$E$404,$A114,销售录入!$C$5:$C$404,首页!$B$5))</f>
        <v/>
      </c>
      <c r="J114" s="65" t="str">
        <f aca="false">IF($A114="","",$D114+$F114-$H114)</f>
        <v/>
      </c>
      <c r="K114" s="44" t="str">
        <f aca="false">IF($A114="","",$E114+$G114-$I114)</f>
        <v/>
      </c>
      <c r="L114" s="44" t="str">
        <f aca="false">IF(OR($A114="",$J114=0),"",$K114/$J114)</f>
        <v/>
      </c>
      <c r="M114" s="54" t="str">
        <f aca="false">IF($A114="","",SUMIFS(销售录入!$O$5:$O$404,销售录入!$E$5:$E$404,$A114,销售录入!$C$5:$C$404,首页!$B$5))</f>
        <v/>
      </c>
      <c r="N114" s="44" t="str">
        <f aca="false">IF($A114="","",$M114-$I114)</f>
        <v/>
      </c>
      <c r="O114" s="63" t="str">
        <f aca="false">IF(OR($A114="",$M114=0),"",$N114/$M114)</f>
        <v/>
      </c>
      <c r="P114" s="47" t="str">
        <f aca="false">IF($A114="","",IF($J114&lt;0,"⚠ 负库存",IF(AND($J114=0,ABS($K114)&gt;0.01),"⚠ 有金额无数量",IF(AND($J114&gt;0,$K114&lt;0),"⚠ 金额为负",IF($N114&lt;0,"⚠ 毛利为负","正常")))))</f>
        <v/>
      </c>
    </row>
    <row r="115" customFormat="false" ht="15.75" hidden="false" customHeight="true" outlineLevel="0" collapsed="false">
      <c r="A115" s="35" t="str">
        <f aca="false">IF(基础资料!$Q115="","",基础资料!$Q115)</f>
        <v/>
      </c>
      <c r="B115" s="42" t="str">
        <f aca="false">IF($A115="","",基础资料!$R115)</f>
        <v/>
      </c>
      <c r="C115" s="42" t="str">
        <f aca="false">IF($A115="","",基础资料!$S115)</f>
        <v/>
      </c>
      <c r="D115" s="64" t="str">
        <f aca="false">IF($A115="","",SUMIFS(期初数据!$R$6:$R$205,期初数据!$O$6:$O$205,$A115)+SUMIFS(采购录入!$F$5:$F$404,采购录入!$E$5:$E$404,$A115,采购录入!$I$5:$I$404,"是",采购录入!$B$5:$B$404,"&lt;"&amp;首页!$B$6)-SUMIFS(销售录入!$F$5:$F$404,销售录入!$E$5:$E$404,$A115,销售录入!$B$5:$B$404,"&lt;"&amp;首页!$B$6))</f>
        <v/>
      </c>
      <c r="E115" s="54" t="str">
        <f aca="false">IF($A115="","",SUMIFS(期初数据!$T$6:$T$205,期初数据!$O$6:$O$205,$A115)+SUMIFS(采购录入!$Q$5:$Q$404,采购录入!$E$5:$E$404,$A115,采购录入!$I$5:$I$404,"是",采购录入!$B$5:$B$404,"&lt;"&amp;首页!$B$6)-SUMIFS(销售录入!$S$5:$S$404,销售录入!$E$5:$E$404,$A115,销售录入!$B$5:$B$404,"&lt;"&amp;首页!$B$6))</f>
        <v/>
      </c>
      <c r="F115" s="64" t="str">
        <f aca="false">IF($A115="","",SUMIFS(采购录入!$F$5:$F$404,采购录入!$E$5:$E$404,$A115,采购录入!$I$5:$I$404,"是",采购录入!$C$5:$C$404,首页!$B$5))</f>
        <v/>
      </c>
      <c r="G115" s="54" t="str">
        <f aca="false">IF($A115="","",SUMIFS(采购录入!$Q$5:$Q$404,采购录入!$E$5:$E$404,$A115,采购录入!$I$5:$I$404,"是",采购录入!$C$5:$C$404,首页!$B$5))</f>
        <v/>
      </c>
      <c r="H115" s="64" t="str">
        <f aca="false">IF($A115="","",SUMIFS(销售录入!$F$5:$F$404,销售录入!$E$5:$E$404,$A115,销售录入!$C$5:$C$404,首页!$B$5))</f>
        <v/>
      </c>
      <c r="I115" s="54" t="str">
        <f aca="false">IF($A115="","",SUMIFS(销售录入!$S$5:$S$404,销售录入!$E$5:$E$404,$A115,销售录入!$C$5:$C$404,首页!$B$5))</f>
        <v/>
      </c>
      <c r="J115" s="65" t="str">
        <f aca="false">IF($A115="","",$D115+$F115-$H115)</f>
        <v/>
      </c>
      <c r="K115" s="44" t="str">
        <f aca="false">IF($A115="","",$E115+$G115-$I115)</f>
        <v/>
      </c>
      <c r="L115" s="44" t="str">
        <f aca="false">IF(OR($A115="",$J115=0),"",$K115/$J115)</f>
        <v/>
      </c>
      <c r="M115" s="54" t="str">
        <f aca="false">IF($A115="","",SUMIFS(销售录入!$O$5:$O$404,销售录入!$E$5:$E$404,$A115,销售录入!$C$5:$C$404,首页!$B$5))</f>
        <v/>
      </c>
      <c r="N115" s="44" t="str">
        <f aca="false">IF($A115="","",$M115-$I115)</f>
        <v/>
      </c>
      <c r="O115" s="63" t="str">
        <f aca="false">IF(OR($A115="",$M115=0),"",$N115/$M115)</f>
        <v/>
      </c>
      <c r="P115" s="47" t="str">
        <f aca="false">IF($A115="","",IF($J115&lt;0,"⚠ 负库存",IF(AND($J115=0,ABS($K115)&gt;0.01),"⚠ 有金额无数量",IF(AND($J115&gt;0,$K115&lt;0),"⚠ 金额为负",IF($N115&lt;0,"⚠ 毛利为负","正常")))))</f>
        <v/>
      </c>
    </row>
    <row r="116" customFormat="false" ht="15.75" hidden="false" customHeight="true" outlineLevel="0" collapsed="false">
      <c r="A116" s="35" t="str">
        <f aca="false">IF(基础资料!$Q116="","",基础资料!$Q116)</f>
        <v/>
      </c>
      <c r="B116" s="42" t="str">
        <f aca="false">IF($A116="","",基础资料!$R116)</f>
        <v/>
      </c>
      <c r="C116" s="42" t="str">
        <f aca="false">IF($A116="","",基础资料!$S116)</f>
        <v/>
      </c>
      <c r="D116" s="64" t="str">
        <f aca="false">IF($A116="","",SUMIFS(期初数据!$R$6:$R$205,期初数据!$O$6:$O$205,$A116)+SUMIFS(采购录入!$F$5:$F$404,采购录入!$E$5:$E$404,$A116,采购录入!$I$5:$I$404,"是",采购录入!$B$5:$B$404,"&lt;"&amp;首页!$B$6)-SUMIFS(销售录入!$F$5:$F$404,销售录入!$E$5:$E$404,$A116,销售录入!$B$5:$B$404,"&lt;"&amp;首页!$B$6))</f>
        <v/>
      </c>
      <c r="E116" s="54" t="str">
        <f aca="false">IF($A116="","",SUMIFS(期初数据!$T$6:$T$205,期初数据!$O$6:$O$205,$A116)+SUMIFS(采购录入!$Q$5:$Q$404,采购录入!$E$5:$E$404,$A116,采购录入!$I$5:$I$404,"是",采购录入!$B$5:$B$404,"&lt;"&amp;首页!$B$6)-SUMIFS(销售录入!$S$5:$S$404,销售录入!$E$5:$E$404,$A116,销售录入!$B$5:$B$404,"&lt;"&amp;首页!$B$6))</f>
        <v/>
      </c>
      <c r="F116" s="64" t="str">
        <f aca="false">IF($A116="","",SUMIFS(采购录入!$F$5:$F$404,采购录入!$E$5:$E$404,$A116,采购录入!$I$5:$I$404,"是",采购录入!$C$5:$C$404,首页!$B$5))</f>
        <v/>
      </c>
      <c r="G116" s="54" t="str">
        <f aca="false">IF($A116="","",SUMIFS(采购录入!$Q$5:$Q$404,采购录入!$E$5:$E$404,$A116,采购录入!$I$5:$I$404,"是",采购录入!$C$5:$C$404,首页!$B$5))</f>
        <v/>
      </c>
      <c r="H116" s="64" t="str">
        <f aca="false">IF($A116="","",SUMIFS(销售录入!$F$5:$F$404,销售录入!$E$5:$E$404,$A116,销售录入!$C$5:$C$404,首页!$B$5))</f>
        <v/>
      </c>
      <c r="I116" s="54" t="str">
        <f aca="false">IF($A116="","",SUMIFS(销售录入!$S$5:$S$404,销售录入!$E$5:$E$404,$A116,销售录入!$C$5:$C$404,首页!$B$5))</f>
        <v/>
      </c>
      <c r="J116" s="65" t="str">
        <f aca="false">IF($A116="","",$D116+$F116-$H116)</f>
        <v/>
      </c>
      <c r="K116" s="44" t="str">
        <f aca="false">IF($A116="","",$E116+$G116-$I116)</f>
        <v/>
      </c>
      <c r="L116" s="44" t="str">
        <f aca="false">IF(OR($A116="",$J116=0),"",$K116/$J116)</f>
        <v/>
      </c>
      <c r="M116" s="54" t="str">
        <f aca="false">IF($A116="","",SUMIFS(销售录入!$O$5:$O$404,销售录入!$E$5:$E$404,$A116,销售录入!$C$5:$C$404,首页!$B$5))</f>
        <v/>
      </c>
      <c r="N116" s="44" t="str">
        <f aca="false">IF($A116="","",$M116-$I116)</f>
        <v/>
      </c>
      <c r="O116" s="63" t="str">
        <f aca="false">IF(OR($A116="",$M116=0),"",$N116/$M116)</f>
        <v/>
      </c>
      <c r="P116" s="47" t="str">
        <f aca="false">IF($A116="","",IF($J116&lt;0,"⚠ 负库存",IF(AND($J116=0,ABS($K116)&gt;0.01),"⚠ 有金额无数量",IF(AND($J116&gt;0,$K116&lt;0),"⚠ 金额为负",IF($N116&lt;0,"⚠ 毛利为负","正常")))))</f>
        <v/>
      </c>
    </row>
    <row r="117" customFormat="false" ht="15.75" hidden="false" customHeight="true" outlineLevel="0" collapsed="false">
      <c r="A117" s="35" t="str">
        <f aca="false">IF(基础资料!$Q117="","",基础资料!$Q117)</f>
        <v/>
      </c>
      <c r="B117" s="42" t="str">
        <f aca="false">IF($A117="","",基础资料!$R117)</f>
        <v/>
      </c>
      <c r="C117" s="42" t="str">
        <f aca="false">IF($A117="","",基础资料!$S117)</f>
        <v/>
      </c>
      <c r="D117" s="64" t="str">
        <f aca="false">IF($A117="","",SUMIFS(期初数据!$R$6:$R$205,期初数据!$O$6:$O$205,$A117)+SUMIFS(采购录入!$F$5:$F$404,采购录入!$E$5:$E$404,$A117,采购录入!$I$5:$I$404,"是",采购录入!$B$5:$B$404,"&lt;"&amp;首页!$B$6)-SUMIFS(销售录入!$F$5:$F$404,销售录入!$E$5:$E$404,$A117,销售录入!$B$5:$B$404,"&lt;"&amp;首页!$B$6))</f>
        <v/>
      </c>
      <c r="E117" s="54" t="str">
        <f aca="false">IF($A117="","",SUMIFS(期初数据!$T$6:$T$205,期初数据!$O$6:$O$205,$A117)+SUMIFS(采购录入!$Q$5:$Q$404,采购录入!$E$5:$E$404,$A117,采购录入!$I$5:$I$404,"是",采购录入!$B$5:$B$404,"&lt;"&amp;首页!$B$6)-SUMIFS(销售录入!$S$5:$S$404,销售录入!$E$5:$E$404,$A117,销售录入!$B$5:$B$404,"&lt;"&amp;首页!$B$6))</f>
        <v/>
      </c>
      <c r="F117" s="64" t="str">
        <f aca="false">IF($A117="","",SUMIFS(采购录入!$F$5:$F$404,采购录入!$E$5:$E$404,$A117,采购录入!$I$5:$I$404,"是",采购录入!$C$5:$C$404,首页!$B$5))</f>
        <v/>
      </c>
      <c r="G117" s="54" t="str">
        <f aca="false">IF($A117="","",SUMIFS(采购录入!$Q$5:$Q$404,采购录入!$E$5:$E$404,$A117,采购录入!$I$5:$I$404,"是",采购录入!$C$5:$C$404,首页!$B$5))</f>
        <v/>
      </c>
      <c r="H117" s="64" t="str">
        <f aca="false">IF($A117="","",SUMIFS(销售录入!$F$5:$F$404,销售录入!$E$5:$E$404,$A117,销售录入!$C$5:$C$404,首页!$B$5))</f>
        <v/>
      </c>
      <c r="I117" s="54" t="str">
        <f aca="false">IF($A117="","",SUMIFS(销售录入!$S$5:$S$404,销售录入!$E$5:$E$404,$A117,销售录入!$C$5:$C$404,首页!$B$5))</f>
        <v/>
      </c>
      <c r="J117" s="65" t="str">
        <f aca="false">IF($A117="","",$D117+$F117-$H117)</f>
        <v/>
      </c>
      <c r="K117" s="44" t="str">
        <f aca="false">IF($A117="","",$E117+$G117-$I117)</f>
        <v/>
      </c>
      <c r="L117" s="44" t="str">
        <f aca="false">IF(OR($A117="",$J117=0),"",$K117/$J117)</f>
        <v/>
      </c>
      <c r="M117" s="54" t="str">
        <f aca="false">IF($A117="","",SUMIFS(销售录入!$O$5:$O$404,销售录入!$E$5:$E$404,$A117,销售录入!$C$5:$C$404,首页!$B$5))</f>
        <v/>
      </c>
      <c r="N117" s="44" t="str">
        <f aca="false">IF($A117="","",$M117-$I117)</f>
        <v/>
      </c>
      <c r="O117" s="63" t="str">
        <f aca="false">IF(OR($A117="",$M117=0),"",$N117/$M117)</f>
        <v/>
      </c>
      <c r="P117" s="47" t="str">
        <f aca="false">IF($A117="","",IF($J117&lt;0,"⚠ 负库存",IF(AND($J117=0,ABS($K117)&gt;0.01),"⚠ 有金额无数量",IF(AND($J117&gt;0,$K117&lt;0),"⚠ 金额为负",IF($N117&lt;0,"⚠ 毛利为负","正常")))))</f>
        <v/>
      </c>
    </row>
    <row r="118" customFormat="false" ht="15.75" hidden="false" customHeight="true" outlineLevel="0" collapsed="false">
      <c r="A118" s="35" t="str">
        <f aca="false">IF(基础资料!$Q118="","",基础资料!$Q118)</f>
        <v/>
      </c>
      <c r="B118" s="42" t="str">
        <f aca="false">IF($A118="","",基础资料!$R118)</f>
        <v/>
      </c>
      <c r="C118" s="42" t="str">
        <f aca="false">IF($A118="","",基础资料!$S118)</f>
        <v/>
      </c>
      <c r="D118" s="64" t="str">
        <f aca="false">IF($A118="","",SUMIFS(期初数据!$R$6:$R$205,期初数据!$O$6:$O$205,$A118)+SUMIFS(采购录入!$F$5:$F$404,采购录入!$E$5:$E$404,$A118,采购录入!$I$5:$I$404,"是",采购录入!$B$5:$B$404,"&lt;"&amp;首页!$B$6)-SUMIFS(销售录入!$F$5:$F$404,销售录入!$E$5:$E$404,$A118,销售录入!$B$5:$B$404,"&lt;"&amp;首页!$B$6))</f>
        <v/>
      </c>
      <c r="E118" s="54" t="str">
        <f aca="false">IF($A118="","",SUMIFS(期初数据!$T$6:$T$205,期初数据!$O$6:$O$205,$A118)+SUMIFS(采购录入!$Q$5:$Q$404,采购录入!$E$5:$E$404,$A118,采购录入!$I$5:$I$404,"是",采购录入!$B$5:$B$404,"&lt;"&amp;首页!$B$6)-SUMIFS(销售录入!$S$5:$S$404,销售录入!$E$5:$E$404,$A118,销售录入!$B$5:$B$404,"&lt;"&amp;首页!$B$6))</f>
        <v/>
      </c>
      <c r="F118" s="64" t="str">
        <f aca="false">IF($A118="","",SUMIFS(采购录入!$F$5:$F$404,采购录入!$E$5:$E$404,$A118,采购录入!$I$5:$I$404,"是",采购录入!$C$5:$C$404,首页!$B$5))</f>
        <v/>
      </c>
      <c r="G118" s="54" t="str">
        <f aca="false">IF($A118="","",SUMIFS(采购录入!$Q$5:$Q$404,采购录入!$E$5:$E$404,$A118,采购录入!$I$5:$I$404,"是",采购录入!$C$5:$C$404,首页!$B$5))</f>
        <v/>
      </c>
      <c r="H118" s="64" t="str">
        <f aca="false">IF($A118="","",SUMIFS(销售录入!$F$5:$F$404,销售录入!$E$5:$E$404,$A118,销售录入!$C$5:$C$404,首页!$B$5))</f>
        <v/>
      </c>
      <c r="I118" s="54" t="str">
        <f aca="false">IF($A118="","",SUMIFS(销售录入!$S$5:$S$404,销售录入!$E$5:$E$404,$A118,销售录入!$C$5:$C$404,首页!$B$5))</f>
        <v/>
      </c>
      <c r="J118" s="65" t="str">
        <f aca="false">IF($A118="","",$D118+$F118-$H118)</f>
        <v/>
      </c>
      <c r="K118" s="44" t="str">
        <f aca="false">IF($A118="","",$E118+$G118-$I118)</f>
        <v/>
      </c>
      <c r="L118" s="44" t="str">
        <f aca="false">IF(OR($A118="",$J118=0),"",$K118/$J118)</f>
        <v/>
      </c>
      <c r="M118" s="54" t="str">
        <f aca="false">IF($A118="","",SUMIFS(销售录入!$O$5:$O$404,销售录入!$E$5:$E$404,$A118,销售录入!$C$5:$C$404,首页!$B$5))</f>
        <v/>
      </c>
      <c r="N118" s="44" t="str">
        <f aca="false">IF($A118="","",$M118-$I118)</f>
        <v/>
      </c>
      <c r="O118" s="63" t="str">
        <f aca="false">IF(OR($A118="",$M118=0),"",$N118/$M118)</f>
        <v/>
      </c>
      <c r="P118" s="47" t="str">
        <f aca="false">IF($A118="","",IF($J118&lt;0,"⚠ 负库存",IF(AND($J118=0,ABS($K118)&gt;0.01),"⚠ 有金额无数量",IF(AND($J118&gt;0,$K118&lt;0),"⚠ 金额为负",IF($N118&lt;0,"⚠ 毛利为负","正常")))))</f>
        <v/>
      </c>
    </row>
    <row r="119" customFormat="false" ht="15.75" hidden="false" customHeight="true" outlineLevel="0" collapsed="false">
      <c r="A119" s="35" t="str">
        <f aca="false">IF(基础资料!$Q119="","",基础资料!$Q119)</f>
        <v/>
      </c>
      <c r="B119" s="42" t="str">
        <f aca="false">IF($A119="","",基础资料!$R119)</f>
        <v/>
      </c>
      <c r="C119" s="42" t="str">
        <f aca="false">IF($A119="","",基础资料!$S119)</f>
        <v/>
      </c>
      <c r="D119" s="64" t="str">
        <f aca="false">IF($A119="","",SUMIFS(期初数据!$R$6:$R$205,期初数据!$O$6:$O$205,$A119)+SUMIFS(采购录入!$F$5:$F$404,采购录入!$E$5:$E$404,$A119,采购录入!$I$5:$I$404,"是",采购录入!$B$5:$B$404,"&lt;"&amp;首页!$B$6)-SUMIFS(销售录入!$F$5:$F$404,销售录入!$E$5:$E$404,$A119,销售录入!$B$5:$B$404,"&lt;"&amp;首页!$B$6))</f>
        <v/>
      </c>
      <c r="E119" s="54" t="str">
        <f aca="false">IF($A119="","",SUMIFS(期初数据!$T$6:$T$205,期初数据!$O$6:$O$205,$A119)+SUMIFS(采购录入!$Q$5:$Q$404,采购录入!$E$5:$E$404,$A119,采购录入!$I$5:$I$404,"是",采购录入!$B$5:$B$404,"&lt;"&amp;首页!$B$6)-SUMIFS(销售录入!$S$5:$S$404,销售录入!$E$5:$E$404,$A119,销售录入!$B$5:$B$404,"&lt;"&amp;首页!$B$6))</f>
        <v/>
      </c>
      <c r="F119" s="64" t="str">
        <f aca="false">IF($A119="","",SUMIFS(采购录入!$F$5:$F$404,采购录入!$E$5:$E$404,$A119,采购录入!$I$5:$I$404,"是",采购录入!$C$5:$C$404,首页!$B$5))</f>
        <v/>
      </c>
      <c r="G119" s="54" t="str">
        <f aca="false">IF($A119="","",SUMIFS(采购录入!$Q$5:$Q$404,采购录入!$E$5:$E$404,$A119,采购录入!$I$5:$I$404,"是",采购录入!$C$5:$C$404,首页!$B$5))</f>
        <v/>
      </c>
      <c r="H119" s="64" t="str">
        <f aca="false">IF($A119="","",SUMIFS(销售录入!$F$5:$F$404,销售录入!$E$5:$E$404,$A119,销售录入!$C$5:$C$404,首页!$B$5))</f>
        <v/>
      </c>
      <c r="I119" s="54" t="str">
        <f aca="false">IF($A119="","",SUMIFS(销售录入!$S$5:$S$404,销售录入!$E$5:$E$404,$A119,销售录入!$C$5:$C$404,首页!$B$5))</f>
        <v/>
      </c>
      <c r="J119" s="65" t="str">
        <f aca="false">IF($A119="","",$D119+$F119-$H119)</f>
        <v/>
      </c>
      <c r="K119" s="44" t="str">
        <f aca="false">IF($A119="","",$E119+$G119-$I119)</f>
        <v/>
      </c>
      <c r="L119" s="44" t="str">
        <f aca="false">IF(OR($A119="",$J119=0),"",$K119/$J119)</f>
        <v/>
      </c>
      <c r="M119" s="54" t="str">
        <f aca="false">IF($A119="","",SUMIFS(销售录入!$O$5:$O$404,销售录入!$E$5:$E$404,$A119,销售录入!$C$5:$C$404,首页!$B$5))</f>
        <v/>
      </c>
      <c r="N119" s="44" t="str">
        <f aca="false">IF($A119="","",$M119-$I119)</f>
        <v/>
      </c>
      <c r="O119" s="63" t="str">
        <f aca="false">IF(OR($A119="",$M119=0),"",$N119/$M119)</f>
        <v/>
      </c>
      <c r="P119" s="47" t="str">
        <f aca="false">IF($A119="","",IF($J119&lt;0,"⚠ 负库存",IF(AND($J119=0,ABS($K119)&gt;0.01),"⚠ 有金额无数量",IF(AND($J119&gt;0,$K119&lt;0),"⚠ 金额为负",IF($N119&lt;0,"⚠ 毛利为负","正常")))))</f>
        <v/>
      </c>
    </row>
    <row r="120" customFormat="false" ht="15.75" hidden="false" customHeight="true" outlineLevel="0" collapsed="false">
      <c r="A120" s="35" t="str">
        <f aca="false">IF(基础资料!$Q120="","",基础资料!$Q120)</f>
        <v/>
      </c>
      <c r="B120" s="42" t="str">
        <f aca="false">IF($A120="","",基础资料!$R120)</f>
        <v/>
      </c>
      <c r="C120" s="42" t="str">
        <f aca="false">IF($A120="","",基础资料!$S120)</f>
        <v/>
      </c>
      <c r="D120" s="64" t="str">
        <f aca="false">IF($A120="","",SUMIFS(期初数据!$R$6:$R$205,期初数据!$O$6:$O$205,$A120)+SUMIFS(采购录入!$F$5:$F$404,采购录入!$E$5:$E$404,$A120,采购录入!$I$5:$I$404,"是",采购录入!$B$5:$B$404,"&lt;"&amp;首页!$B$6)-SUMIFS(销售录入!$F$5:$F$404,销售录入!$E$5:$E$404,$A120,销售录入!$B$5:$B$404,"&lt;"&amp;首页!$B$6))</f>
        <v/>
      </c>
      <c r="E120" s="54" t="str">
        <f aca="false">IF($A120="","",SUMIFS(期初数据!$T$6:$T$205,期初数据!$O$6:$O$205,$A120)+SUMIFS(采购录入!$Q$5:$Q$404,采购录入!$E$5:$E$404,$A120,采购录入!$I$5:$I$404,"是",采购录入!$B$5:$B$404,"&lt;"&amp;首页!$B$6)-SUMIFS(销售录入!$S$5:$S$404,销售录入!$E$5:$E$404,$A120,销售录入!$B$5:$B$404,"&lt;"&amp;首页!$B$6))</f>
        <v/>
      </c>
      <c r="F120" s="64" t="str">
        <f aca="false">IF($A120="","",SUMIFS(采购录入!$F$5:$F$404,采购录入!$E$5:$E$404,$A120,采购录入!$I$5:$I$404,"是",采购录入!$C$5:$C$404,首页!$B$5))</f>
        <v/>
      </c>
      <c r="G120" s="54" t="str">
        <f aca="false">IF($A120="","",SUMIFS(采购录入!$Q$5:$Q$404,采购录入!$E$5:$E$404,$A120,采购录入!$I$5:$I$404,"是",采购录入!$C$5:$C$404,首页!$B$5))</f>
        <v/>
      </c>
      <c r="H120" s="64" t="str">
        <f aca="false">IF($A120="","",SUMIFS(销售录入!$F$5:$F$404,销售录入!$E$5:$E$404,$A120,销售录入!$C$5:$C$404,首页!$B$5))</f>
        <v/>
      </c>
      <c r="I120" s="54" t="str">
        <f aca="false">IF($A120="","",SUMIFS(销售录入!$S$5:$S$404,销售录入!$E$5:$E$404,$A120,销售录入!$C$5:$C$404,首页!$B$5))</f>
        <v/>
      </c>
      <c r="J120" s="65" t="str">
        <f aca="false">IF($A120="","",$D120+$F120-$H120)</f>
        <v/>
      </c>
      <c r="K120" s="44" t="str">
        <f aca="false">IF($A120="","",$E120+$G120-$I120)</f>
        <v/>
      </c>
      <c r="L120" s="44" t="str">
        <f aca="false">IF(OR($A120="",$J120=0),"",$K120/$J120)</f>
        <v/>
      </c>
      <c r="M120" s="54" t="str">
        <f aca="false">IF($A120="","",SUMIFS(销售录入!$O$5:$O$404,销售录入!$E$5:$E$404,$A120,销售录入!$C$5:$C$404,首页!$B$5))</f>
        <v/>
      </c>
      <c r="N120" s="44" t="str">
        <f aca="false">IF($A120="","",$M120-$I120)</f>
        <v/>
      </c>
      <c r="O120" s="63" t="str">
        <f aca="false">IF(OR($A120="",$M120=0),"",$N120/$M120)</f>
        <v/>
      </c>
      <c r="P120" s="47" t="str">
        <f aca="false">IF($A120="","",IF($J120&lt;0,"⚠ 负库存",IF(AND($J120=0,ABS($K120)&gt;0.01),"⚠ 有金额无数量",IF(AND($J120&gt;0,$K120&lt;0),"⚠ 金额为负",IF($N120&lt;0,"⚠ 毛利为负","正常")))))</f>
        <v/>
      </c>
    </row>
    <row r="121" customFormat="false" ht="15.75" hidden="false" customHeight="true" outlineLevel="0" collapsed="false">
      <c r="A121" s="35" t="str">
        <f aca="false">IF(基础资料!$Q121="","",基础资料!$Q121)</f>
        <v/>
      </c>
      <c r="B121" s="42" t="str">
        <f aca="false">IF($A121="","",基础资料!$R121)</f>
        <v/>
      </c>
      <c r="C121" s="42" t="str">
        <f aca="false">IF($A121="","",基础资料!$S121)</f>
        <v/>
      </c>
      <c r="D121" s="64" t="str">
        <f aca="false">IF($A121="","",SUMIFS(期初数据!$R$6:$R$205,期初数据!$O$6:$O$205,$A121)+SUMIFS(采购录入!$F$5:$F$404,采购录入!$E$5:$E$404,$A121,采购录入!$I$5:$I$404,"是",采购录入!$B$5:$B$404,"&lt;"&amp;首页!$B$6)-SUMIFS(销售录入!$F$5:$F$404,销售录入!$E$5:$E$404,$A121,销售录入!$B$5:$B$404,"&lt;"&amp;首页!$B$6))</f>
        <v/>
      </c>
      <c r="E121" s="54" t="str">
        <f aca="false">IF($A121="","",SUMIFS(期初数据!$T$6:$T$205,期初数据!$O$6:$O$205,$A121)+SUMIFS(采购录入!$Q$5:$Q$404,采购录入!$E$5:$E$404,$A121,采购录入!$I$5:$I$404,"是",采购录入!$B$5:$B$404,"&lt;"&amp;首页!$B$6)-SUMIFS(销售录入!$S$5:$S$404,销售录入!$E$5:$E$404,$A121,销售录入!$B$5:$B$404,"&lt;"&amp;首页!$B$6))</f>
        <v/>
      </c>
      <c r="F121" s="64" t="str">
        <f aca="false">IF($A121="","",SUMIFS(采购录入!$F$5:$F$404,采购录入!$E$5:$E$404,$A121,采购录入!$I$5:$I$404,"是",采购录入!$C$5:$C$404,首页!$B$5))</f>
        <v/>
      </c>
      <c r="G121" s="54" t="str">
        <f aca="false">IF($A121="","",SUMIFS(采购录入!$Q$5:$Q$404,采购录入!$E$5:$E$404,$A121,采购录入!$I$5:$I$404,"是",采购录入!$C$5:$C$404,首页!$B$5))</f>
        <v/>
      </c>
      <c r="H121" s="64" t="str">
        <f aca="false">IF($A121="","",SUMIFS(销售录入!$F$5:$F$404,销售录入!$E$5:$E$404,$A121,销售录入!$C$5:$C$404,首页!$B$5))</f>
        <v/>
      </c>
      <c r="I121" s="54" t="str">
        <f aca="false">IF($A121="","",SUMIFS(销售录入!$S$5:$S$404,销售录入!$E$5:$E$404,$A121,销售录入!$C$5:$C$404,首页!$B$5))</f>
        <v/>
      </c>
      <c r="J121" s="65" t="str">
        <f aca="false">IF($A121="","",$D121+$F121-$H121)</f>
        <v/>
      </c>
      <c r="K121" s="44" t="str">
        <f aca="false">IF($A121="","",$E121+$G121-$I121)</f>
        <v/>
      </c>
      <c r="L121" s="44" t="str">
        <f aca="false">IF(OR($A121="",$J121=0),"",$K121/$J121)</f>
        <v/>
      </c>
      <c r="M121" s="54" t="str">
        <f aca="false">IF($A121="","",SUMIFS(销售录入!$O$5:$O$404,销售录入!$E$5:$E$404,$A121,销售录入!$C$5:$C$404,首页!$B$5))</f>
        <v/>
      </c>
      <c r="N121" s="44" t="str">
        <f aca="false">IF($A121="","",$M121-$I121)</f>
        <v/>
      </c>
      <c r="O121" s="63" t="str">
        <f aca="false">IF(OR($A121="",$M121=0),"",$N121/$M121)</f>
        <v/>
      </c>
      <c r="P121" s="47" t="str">
        <f aca="false">IF($A121="","",IF($J121&lt;0,"⚠ 负库存",IF(AND($J121=0,ABS($K121)&gt;0.01),"⚠ 有金额无数量",IF(AND($J121&gt;0,$K121&lt;0),"⚠ 金额为负",IF($N121&lt;0,"⚠ 毛利为负","正常")))))</f>
        <v/>
      </c>
    </row>
    <row r="122" customFormat="false" ht="15.75" hidden="false" customHeight="true" outlineLevel="0" collapsed="false">
      <c r="A122" s="35" t="str">
        <f aca="false">IF(基础资料!$Q122="","",基础资料!$Q122)</f>
        <v/>
      </c>
      <c r="B122" s="42" t="str">
        <f aca="false">IF($A122="","",基础资料!$R122)</f>
        <v/>
      </c>
      <c r="C122" s="42" t="str">
        <f aca="false">IF($A122="","",基础资料!$S122)</f>
        <v/>
      </c>
      <c r="D122" s="64" t="str">
        <f aca="false">IF($A122="","",SUMIFS(期初数据!$R$6:$R$205,期初数据!$O$6:$O$205,$A122)+SUMIFS(采购录入!$F$5:$F$404,采购录入!$E$5:$E$404,$A122,采购录入!$I$5:$I$404,"是",采购录入!$B$5:$B$404,"&lt;"&amp;首页!$B$6)-SUMIFS(销售录入!$F$5:$F$404,销售录入!$E$5:$E$404,$A122,销售录入!$B$5:$B$404,"&lt;"&amp;首页!$B$6))</f>
        <v/>
      </c>
      <c r="E122" s="54" t="str">
        <f aca="false">IF($A122="","",SUMIFS(期初数据!$T$6:$T$205,期初数据!$O$6:$O$205,$A122)+SUMIFS(采购录入!$Q$5:$Q$404,采购录入!$E$5:$E$404,$A122,采购录入!$I$5:$I$404,"是",采购录入!$B$5:$B$404,"&lt;"&amp;首页!$B$6)-SUMIFS(销售录入!$S$5:$S$404,销售录入!$E$5:$E$404,$A122,销售录入!$B$5:$B$404,"&lt;"&amp;首页!$B$6))</f>
        <v/>
      </c>
      <c r="F122" s="64" t="str">
        <f aca="false">IF($A122="","",SUMIFS(采购录入!$F$5:$F$404,采购录入!$E$5:$E$404,$A122,采购录入!$I$5:$I$404,"是",采购录入!$C$5:$C$404,首页!$B$5))</f>
        <v/>
      </c>
      <c r="G122" s="54" t="str">
        <f aca="false">IF($A122="","",SUMIFS(采购录入!$Q$5:$Q$404,采购录入!$E$5:$E$404,$A122,采购录入!$I$5:$I$404,"是",采购录入!$C$5:$C$404,首页!$B$5))</f>
        <v/>
      </c>
      <c r="H122" s="64" t="str">
        <f aca="false">IF($A122="","",SUMIFS(销售录入!$F$5:$F$404,销售录入!$E$5:$E$404,$A122,销售录入!$C$5:$C$404,首页!$B$5))</f>
        <v/>
      </c>
      <c r="I122" s="54" t="str">
        <f aca="false">IF($A122="","",SUMIFS(销售录入!$S$5:$S$404,销售录入!$E$5:$E$404,$A122,销售录入!$C$5:$C$404,首页!$B$5))</f>
        <v/>
      </c>
      <c r="J122" s="65" t="str">
        <f aca="false">IF($A122="","",$D122+$F122-$H122)</f>
        <v/>
      </c>
      <c r="K122" s="44" t="str">
        <f aca="false">IF($A122="","",$E122+$G122-$I122)</f>
        <v/>
      </c>
      <c r="L122" s="44" t="str">
        <f aca="false">IF(OR($A122="",$J122=0),"",$K122/$J122)</f>
        <v/>
      </c>
      <c r="M122" s="54" t="str">
        <f aca="false">IF($A122="","",SUMIFS(销售录入!$O$5:$O$404,销售录入!$E$5:$E$404,$A122,销售录入!$C$5:$C$404,首页!$B$5))</f>
        <v/>
      </c>
      <c r="N122" s="44" t="str">
        <f aca="false">IF($A122="","",$M122-$I122)</f>
        <v/>
      </c>
      <c r="O122" s="63" t="str">
        <f aca="false">IF(OR($A122="",$M122=0),"",$N122/$M122)</f>
        <v/>
      </c>
      <c r="P122" s="47" t="str">
        <f aca="false">IF($A122="","",IF($J122&lt;0,"⚠ 负库存",IF(AND($J122=0,ABS($K122)&gt;0.01),"⚠ 有金额无数量",IF(AND($J122&gt;0,$K122&lt;0),"⚠ 金额为负",IF($N122&lt;0,"⚠ 毛利为负","正常")))))</f>
        <v/>
      </c>
    </row>
    <row r="123" customFormat="false" ht="15.75" hidden="false" customHeight="true" outlineLevel="0" collapsed="false">
      <c r="A123" s="35" t="str">
        <f aca="false">IF(基础资料!$Q123="","",基础资料!$Q123)</f>
        <v/>
      </c>
      <c r="B123" s="42" t="str">
        <f aca="false">IF($A123="","",基础资料!$R123)</f>
        <v/>
      </c>
      <c r="C123" s="42" t="str">
        <f aca="false">IF($A123="","",基础资料!$S123)</f>
        <v/>
      </c>
      <c r="D123" s="64" t="str">
        <f aca="false">IF($A123="","",SUMIFS(期初数据!$R$6:$R$205,期初数据!$O$6:$O$205,$A123)+SUMIFS(采购录入!$F$5:$F$404,采购录入!$E$5:$E$404,$A123,采购录入!$I$5:$I$404,"是",采购录入!$B$5:$B$404,"&lt;"&amp;首页!$B$6)-SUMIFS(销售录入!$F$5:$F$404,销售录入!$E$5:$E$404,$A123,销售录入!$B$5:$B$404,"&lt;"&amp;首页!$B$6))</f>
        <v/>
      </c>
      <c r="E123" s="54" t="str">
        <f aca="false">IF($A123="","",SUMIFS(期初数据!$T$6:$T$205,期初数据!$O$6:$O$205,$A123)+SUMIFS(采购录入!$Q$5:$Q$404,采购录入!$E$5:$E$404,$A123,采购录入!$I$5:$I$404,"是",采购录入!$B$5:$B$404,"&lt;"&amp;首页!$B$6)-SUMIFS(销售录入!$S$5:$S$404,销售录入!$E$5:$E$404,$A123,销售录入!$B$5:$B$404,"&lt;"&amp;首页!$B$6))</f>
        <v/>
      </c>
      <c r="F123" s="64" t="str">
        <f aca="false">IF($A123="","",SUMIFS(采购录入!$F$5:$F$404,采购录入!$E$5:$E$404,$A123,采购录入!$I$5:$I$404,"是",采购录入!$C$5:$C$404,首页!$B$5))</f>
        <v/>
      </c>
      <c r="G123" s="54" t="str">
        <f aca="false">IF($A123="","",SUMIFS(采购录入!$Q$5:$Q$404,采购录入!$E$5:$E$404,$A123,采购录入!$I$5:$I$404,"是",采购录入!$C$5:$C$404,首页!$B$5))</f>
        <v/>
      </c>
      <c r="H123" s="64" t="str">
        <f aca="false">IF($A123="","",SUMIFS(销售录入!$F$5:$F$404,销售录入!$E$5:$E$404,$A123,销售录入!$C$5:$C$404,首页!$B$5))</f>
        <v/>
      </c>
      <c r="I123" s="54" t="str">
        <f aca="false">IF($A123="","",SUMIFS(销售录入!$S$5:$S$404,销售录入!$E$5:$E$404,$A123,销售录入!$C$5:$C$404,首页!$B$5))</f>
        <v/>
      </c>
      <c r="J123" s="65" t="str">
        <f aca="false">IF($A123="","",$D123+$F123-$H123)</f>
        <v/>
      </c>
      <c r="K123" s="44" t="str">
        <f aca="false">IF($A123="","",$E123+$G123-$I123)</f>
        <v/>
      </c>
      <c r="L123" s="44" t="str">
        <f aca="false">IF(OR($A123="",$J123=0),"",$K123/$J123)</f>
        <v/>
      </c>
      <c r="M123" s="54" t="str">
        <f aca="false">IF($A123="","",SUMIFS(销售录入!$O$5:$O$404,销售录入!$E$5:$E$404,$A123,销售录入!$C$5:$C$404,首页!$B$5))</f>
        <v/>
      </c>
      <c r="N123" s="44" t="str">
        <f aca="false">IF($A123="","",$M123-$I123)</f>
        <v/>
      </c>
      <c r="O123" s="63" t="str">
        <f aca="false">IF(OR($A123="",$M123=0),"",$N123/$M123)</f>
        <v/>
      </c>
      <c r="P123" s="47" t="str">
        <f aca="false">IF($A123="","",IF($J123&lt;0,"⚠ 负库存",IF(AND($J123=0,ABS($K123)&gt;0.01),"⚠ 有金额无数量",IF(AND($J123&gt;0,$K123&lt;0),"⚠ 金额为负",IF($N123&lt;0,"⚠ 毛利为负","正常")))))</f>
        <v/>
      </c>
    </row>
    <row r="124" customFormat="false" ht="15.75" hidden="false" customHeight="true" outlineLevel="0" collapsed="false">
      <c r="A124" s="35" t="str">
        <f aca="false">IF(基础资料!$Q124="","",基础资料!$Q124)</f>
        <v/>
      </c>
      <c r="B124" s="42" t="str">
        <f aca="false">IF($A124="","",基础资料!$R124)</f>
        <v/>
      </c>
      <c r="C124" s="42" t="str">
        <f aca="false">IF($A124="","",基础资料!$S124)</f>
        <v/>
      </c>
      <c r="D124" s="64" t="str">
        <f aca="false">IF($A124="","",SUMIFS(期初数据!$R$6:$R$205,期初数据!$O$6:$O$205,$A124)+SUMIFS(采购录入!$F$5:$F$404,采购录入!$E$5:$E$404,$A124,采购录入!$I$5:$I$404,"是",采购录入!$B$5:$B$404,"&lt;"&amp;首页!$B$6)-SUMIFS(销售录入!$F$5:$F$404,销售录入!$E$5:$E$404,$A124,销售录入!$B$5:$B$404,"&lt;"&amp;首页!$B$6))</f>
        <v/>
      </c>
      <c r="E124" s="54" t="str">
        <f aca="false">IF($A124="","",SUMIFS(期初数据!$T$6:$T$205,期初数据!$O$6:$O$205,$A124)+SUMIFS(采购录入!$Q$5:$Q$404,采购录入!$E$5:$E$404,$A124,采购录入!$I$5:$I$404,"是",采购录入!$B$5:$B$404,"&lt;"&amp;首页!$B$6)-SUMIFS(销售录入!$S$5:$S$404,销售录入!$E$5:$E$404,$A124,销售录入!$B$5:$B$404,"&lt;"&amp;首页!$B$6))</f>
        <v/>
      </c>
      <c r="F124" s="64" t="str">
        <f aca="false">IF($A124="","",SUMIFS(采购录入!$F$5:$F$404,采购录入!$E$5:$E$404,$A124,采购录入!$I$5:$I$404,"是",采购录入!$C$5:$C$404,首页!$B$5))</f>
        <v/>
      </c>
      <c r="G124" s="54" t="str">
        <f aca="false">IF($A124="","",SUMIFS(采购录入!$Q$5:$Q$404,采购录入!$E$5:$E$404,$A124,采购录入!$I$5:$I$404,"是",采购录入!$C$5:$C$404,首页!$B$5))</f>
        <v/>
      </c>
      <c r="H124" s="64" t="str">
        <f aca="false">IF($A124="","",SUMIFS(销售录入!$F$5:$F$404,销售录入!$E$5:$E$404,$A124,销售录入!$C$5:$C$404,首页!$B$5))</f>
        <v/>
      </c>
      <c r="I124" s="54" t="str">
        <f aca="false">IF($A124="","",SUMIFS(销售录入!$S$5:$S$404,销售录入!$E$5:$E$404,$A124,销售录入!$C$5:$C$404,首页!$B$5))</f>
        <v/>
      </c>
      <c r="J124" s="65" t="str">
        <f aca="false">IF($A124="","",$D124+$F124-$H124)</f>
        <v/>
      </c>
      <c r="K124" s="44" t="str">
        <f aca="false">IF($A124="","",$E124+$G124-$I124)</f>
        <v/>
      </c>
      <c r="L124" s="44" t="str">
        <f aca="false">IF(OR($A124="",$J124=0),"",$K124/$J124)</f>
        <v/>
      </c>
      <c r="M124" s="54" t="str">
        <f aca="false">IF($A124="","",SUMIFS(销售录入!$O$5:$O$404,销售录入!$E$5:$E$404,$A124,销售录入!$C$5:$C$404,首页!$B$5))</f>
        <v/>
      </c>
      <c r="N124" s="44" t="str">
        <f aca="false">IF($A124="","",$M124-$I124)</f>
        <v/>
      </c>
      <c r="O124" s="63" t="str">
        <f aca="false">IF(OR($A124="",$M124=0),"",$N124/$M124)</f>
        <v/>
      </c>
      <c r="P124" s="47" t="str">
        <f aca="false">IF($A124="","",IF($J124&lt;0,"⚠ 负库存",IF(AND($J124=0,ABS($K124)&gt;0.01),"⚠ 有金额无数量",IF(AND($J124&gt;0,$K124&lt;0),"⚠ 金额为负",IF($N124&lt;0,"⚠ 毛利为负","正常")))))</f>
        <v/>
      </c>
    </row>
    <row r="125" customFormat="false" ht="15.75" hidden="false" customHeight="true" outlineLevel="0" collapsed="false">
      <c r="A125" s="35" t="str">
        <f aca="false">IF(基础资料!$Q125="","",基础资料!$Q125)</f>
        <v/>
      </c>
      <c r="B125" s="42" t="str">
        <f aca="false">IF($A125="","",基础资料!$R125)</f>
        <v/>
      </c>
      <c r="C125" s="42" t="str">
        <f aca="false">IF($A125="","",基础资料!$S125)</f>
        <v/>
      </c>
      <c r="D125" s="64" t="str">
        <f aca="false">IF($A125="","",SUMIFS(期初数据!$R$6:$R$205,期初数据!$O$6:$O$205,$A125)+SUMIFS(采购录入!$F$5:$F$404,采购录入!$E$5:$E$404,$A125,采购录入!$I$5:$I$404,"是",采购录入!$B$5:$B$404,"&lt;"&amp;首页!$B$6)-SUMIFS(销售录入!$F$5:$F$404,销售录入!$E$5:$E$404,$A125,销售录入!$B$5:$B$404,"&lt;"&amp;首页!$B$6))</f>
        <v/>
      </c>
      <c r="E125" s="54" t="str">
        <f aca="false">IF($A125="","",SUMIFS(期初数据!$T$6:$T$205,期初数据!$O$6:$O$205,$A125)+SUMIFS(采购录入!$Q$5:$Q$404,采购录入!$E$5:$E$404,$A125,采购录入!$I$5:$I$404,"是",采购录入!$B$5:$B$404,"&lt;"&amp;首页!$B$6)-SUMIFS(销售录入!$S$5:$S$404,销售录入!$E$5:$E$404,$A125,销售录入!$B$5:$B$404,"&lt;"&amp;首页!$B$6))</f>
        <v/>
      </c>
      <c r="F125" s="64" t="str">
        <f aca="false">IF($A125="","",SUMIFS(采购录入!$F$5:$F$404,采购录入!$E$5:$E$404,$A125,采购录入!$I$5:$I$404,"是",采购录入!$C$5:$C$404,首页!$B$5))</f>
        <v/>
      </c>
      <c r="G125" s="54" t="str">
        <f aca="false">IF($A125="","",SUMIFS(采购录入!$Q$5:$Q$404,采购录入!$E$5:$E$404,$A125,采购录入!$I$5:$I$404,"是",采购录入!$C$5:$C$404,首页!$B$5))</f>
        <v/>
      </c>
      <c r="H125" s="64" t="str">
        <f aca="false">IF($A125="","",SUMIFS(销售录入!$F$5:$F$404,销售录入!$E$5:$E$404,$A125,销售录入!$C$5:$C$404,首页!$B$5))</f>
        <v/>
      </c>
      <c r="I125" s="54" t="str">
        <f aca="false">IF($A125="","",SUMIFS(销售录入!$S$5:$S$404,销售录入!$E$5:$E$404,$A125,销售录入!$C$5:$C$404,首页!$B$5))</f>
        <v/>
      </c>
      <c r="J125" s="65" t="str">
        <f aca="false">IF($A125="","",$D125+$F125-$H125)</f>
        <v/>
      </c>
      <c r="K125" s="44" t="str">
        <f aca="false">IF($A125="","",$E125+$G125-$I125)</f>
        <v/>
      </c>
      <c r="L125" s="44" t="str">
        <f aca="false">IF(OR($A125="",$J125=0),"",$K125/$J125)</f>
        <v/>
      </c>
      <c r="M125" s="54" t="str">
        <f aca="false">IF($A125="","",SUMIFS(销售录入!$O$5:$O$404,销售录入!$E$5:$E$404,$A125,销售录入!$C$5:$C$404,首页!$B$5))</f>
        <v/>
      </c>
      <c r="N125" s="44" t="str">
        <f aca="false">IF($A125="","",$M125-$I125)</f>
        <v/>
      </c>
      <c r="O125" s="63" t="str">
        <f aca="false">IF(OR($A125="",$M125=0),"",$N125/$M125)</f>
        <v/>
      </c>
      <c r="P125" s="47" t="str">
        <f aca="false">IF($A125="","",IF($J125&lt;0,"⚠ 负库存",IF(AND($J125=0,ABS($K125)&gt;0.01),"⚠ 有金额无数量",IF(AND($J125&gt;0,$K125&lt;0),"⚠ 金额为负",IF($N125&lt;0,"⚠ 毛利为负","正常")))))</f>
        <v/>
      </c>
    </row>
    <row r="126" customFormat="false" ht="15.75" hidden="false" customHeight="true" outlineLevel="0" collapsed="false">
      <c r="A126" s="35" t="str">
        <f aca="false">IF(基础资料!$Q126="","",基础资料!$Q126)</f>
        <v/>
      </c>
      <c r="B126" s="42" t="str">
        <f aca="false">IF($A126="","",基础资料!$R126)</f>
        <v/>
      </c>
      <c r="C126" s="42" t="str">
        <f aca="false">IF($A126="","",基础资料!$S126)</f>
        <v/>
      </c>
      <c r="D126" s="64" t="str">
        <f aca="false">IF($A126="","",SUMIFS(期初数据!$R$6:$R$205,期初数据!$O$6:$O$205,$A126)+SUMIFS(采购录入!$F$5:$F$404,采购录入!$E$5:$E$404,$A126,采购录入!$I$5:$I$404,"是",采购录入!$B$5:$B$404,"&lt;"&amp;首页!$B$6)-SUMIFS(销售录入!$F$5:$F$404,销售录入!$E$5:$E$404,$A126,销售录入!$B$5:$B$404,"&lt;"&amp;首页!$B$6))</f>
        <v/>
      </c>
      <c r="E126" s="54" t="str">
        <f aca="false">IF($A126="","",SUMIFS(期初数据!$T$6:$T$205,期初数据!$O$6:$O$205,$A126)+SUMIFS(采购录入!$Q$5:$Q$404,采购录入!$E$5:$E$404,$A126,采购录入!$I$5:$I$404,"是",采购录入!$B$5:$B$404,"&lt;"&amp;首页!$B$6)-SUMIFS(销售录入!$S$5:$S$404,销售录入!$E$5:$E$404,$A126,销售录入!$B$5:$B$404,"&lt;"&amp;首页!$B$6))</f>
        <v/>
      </c>
      <c r="F126" s="64" t="str">
        <f aca="false">IF($A126="","",SUMIFS(采购录入!$F$5:$F$404,采购录入!$E$5:$E$404,$A126,采购录入!$I$5:$I$404,"是",采购录入!$C$5:$C$404,首页!$B$5))</f>
        <v/>
      </c>
      <c r="G126" s="54" t="str">
        <f aca="false">IF($A126="","",SUMIFS(采购录入!$Q$5:$Q$404,采购录入!$E$5:$E$404,$A126,采购录入!$I$5:$I$404,"是",采购录入!$C$5:$C$404,首页!$B$5))</f>
        <v/>
      </c>
      <c r="H126" s="64" t="str">
        <f aca="false">IF($A126="","",SUMIFS(销售录入!$F$5:$F$404,销售录入!$E$5:$E$404,$A126,销售录入!$C$5:$C$404,首页!$B$5))</f>
        <v/>
      </c>
      <c r="I126" s="54" t="str">
        <f aca="false">IF($A126="","",SUMIFS(销售录入!$S$5:$S$404,销售录入!$E$5:$E$404,$A126,销售录入!$C$5:$C$404,首页!$B$5))</f>
        <v/>
      </c>
      <c r="J126" s="65" t="str">
        <f aca="false">IF($A126="","",$D126+$F126-$H126)</f>
        <v/>
      </c>
      <c r="K126" s="44" t="str">
        <f aca="false">IF($A126="","",$E126+$G126-$I126)</f>
        <v/>
      </c>
      <c r="L126" s="44" t="str">
        <f aca="false">IF(OR($A126="",$J126=0),"",$K126/$J126)</f>
        <v/>
      </c>
      <c r="M126" s="54" t="str">
        <f aca="false">IF($A126="","",SUMIFS(销售录入!$O$5:$O$404,销售录入!$E$5:$E$404,$A126,销售录入!$C$5:$C$404,首页!$B$5))</f>
        <v/>
      </c>
      <c r="N126" s="44" t="str">
        <f aca="false">IF($A126="","",$M126-$I126)</f>
        <v/>
      </c>
      <c r="O126" s="63" t="str">
        <f aca="false">IF(OR($A126="",$M126=0),"",$N126/$M126)</f>
        <v/>
      </c>
      <c r="P126" s="47" t="str">
        <f aca="false">IF($A126="","",IF($J126&lt;0,"⚠ 负库存",IF(AND($J126=0,ABS($K126)&gt;0.01),"⚠ 有金额无数量",IF(AND($J126&gt;0,$K126&lt;0),"⚠ 金额为负",IF($N126&lt;0,"⚠ 毛利为负","正常")))))</f>
        <v/>
      </c>
    </row>
    <row r="127" customFormat="false" ht="15.75" hidden="false" customHeight="true" outlineLevel="0" collapsed="false">
      <c r="A127" s="35" t="str">
        <f aca="false">IF(基础资料!$Q127="","",基础资料!$Q127)</f>
        <v/>
      </c>
      <c r="B127" s="42" t="str">
        <f aca="false">IF($A127="","",基础资料!$R127)</f>
        <v/>
      </c>
      <c r="C127" s="42" t="str">
        <f aca="false">IF($A127="","",基础资料!$S127)</f>
        <v/>
      </c>
      <c r="D127" s="64" t="str">
        <f aca="false">IF($A127="","",SUMIFS(期初数据!$R$6:$R$205,期初数据!$O$6:$O$205,$A127)+SUMIFS(采购录入!$F$5:$F$404,采购录入!$E$5:$E$404,$A127,采购录入!$I$5:$I$404,"是",采购录入!$B$5:$B$404,"&lt;"&amp;首页!$B$6)-SUMIFS(销售录入!$F$5:$F$404,销售录入!$E$5:$E$404,$A127,销售录入!$B$5:$B$404,"&lt;"&amp;首页!$B$6))</f>
        <v/>
      </c>
      <c r="E127" s="54" t="str">
        <f aca="false">IF($A127="","",SUMIFS(期初数据!$T$6:$T$205,期初数据!$O$6:$O$205,$A127)+SUMIFS(采购录入!$Q$5:$Q$404,采购录入!$E$5:$E$404,$A127,采购录入!$I$5:$I$404,"是",采购录入!$B$5:$B$404,"&lt;"&amp;首页!$B$6)-SUMIFS(销售录入!$S$5:$S$404,销售录入!$E$5:$E$404,$A127,销售录入!$B$5:$B$404,"&lt;"&amp;首页!$B$6))</f>
        <v/>
      </c>
      <c r="F127" s="64" t="str">
        <f aca="false">IF($A127="","",SUMIFS(采购录入!$F$5:$F$404,采购录入!$E$5:$E$404,$A127,采购录入!$I$5:$I$404,"是",采购录入!$C$5:$C$404,首页!$B$5))</f>
        <v/>
      </c>
      <c r="G127" s="54" t="str">
        <f aca="false">IF($A127="","",SUMIFS(采购录入!$Q$5:$Q$404,采购录入!$E$5:$E$404,$A127,采购录入!$I$5:$I$404,"是",采购录入!$C$5:$C$404,首页!$B$5))</f>
        <v/>
      </c>
      <c r="H127" s="64" t="str">
        <f aca="false">IF($A127="","",SUMIFS(销售录入!$F$5:$F$404,销售录入!$E$5:$E$404,$A127,销售录入!$C$5:$C$404,首页!$B$5))</f>
        <v/>
      </c>
      <c r="I127" s="54" t="str">
        <f aca="false">IF($A127="","",SUMIFS(销售录入!$S$5:$S$404,销售录入!$E$5:$E$404,$A127,销售录入!$C$5:$C$404,首页!$B$5))</f>
        <v/>
      </c>
      <c r="J127" s="65" t="str">
        <f aca="false">IF($A127="","",$D127+$F127-$H127)</f>
        <v/>
      </c>
      <c r="K127" s="44" t="str">
        <f aca="false">IF($A127="","",$E127+$G127-$I127)</f>
        <v/>
      </c>
      <c r="L127" s="44" t="str">
        <f aca="false">IF(OR($A127="",$J127=0),"",$K127/$J127)</f>
        <v/>
      </c>
      <c r="M127" s="54" t="str">
        <f aca="false">IF($A127="","",SUMIFS(销售录入!$O$5:$O$404,销售录入!$E$5:$E$404,$A127,销售录入!$C$5:$C$404,首页!$B$5))</f>
        <v/>
      </c>
      <c r="N127" s="44" t="str">
        <f aca="false">IF($A127="","",$M127-$I127)</f>
        <v/>
      </c>
      <c r="O127" s="63" t="str">
        <f aca="false">IF(OR($A127="",$M127=0),"",$N127/$M127)</f>
        <v/>
      </c>
      <c r="P127" s="47" t="str">
        <f aca="false">IF($A127="","",IF($J127&lt;0,"⚠ 负库存",IF(AND($J127=0,ABS($K127)&gt;0.01),"⚠ 有金额无数量",IF(AND($J127&gt;0,$K127&lt;0),"⚠ 金额为负",IF($N127&lt;0,"⚠ 毛利为负","正常")))))</f>
        <v/>
      </c>
    </row>
    <row r="128" customFormat="false" ht="15.75" hidden="false" customHeight="true" outlineLevel="0" collapsed="false">
      <c r="A128" s="35" t="str">
        <f aca="false">IF(基础资料!$Q128="","",基础资料!$Q128)</f>
        <v/>
      </c>
      <c r="B128" s="42" t="str">
        <f aca="false">IF($A128="","",基础资料!$R128)</f>
        <v/>
      </c>
      <c r="C128" s="42" t="str">
        <f aca="false">IF($A128="","",基础资料!$S128)</f>
        <v/>
      </c>
      <c r="D128" s="64" t="str">
        <f aca="false">IF($A128="","",SUMIFS(期初数据!$R$6:$R$205,期初数据!$O$6:$O$205,$A128)+SUMIFS(采购录入!$F$5:$F$404,采购录入!$E$5:$E$404,$A128,采购录入!$I$5:$I$404,"是",采购录入!$B$5:$B$404,"&lt;"&amp;首页!$B$6)-SUMIFS(销售录入!$F$5:$F$404,销售录入!$E$5:$E$404,$A128,销售录入!$B$5:$B$404,"&lt;"&amp;首页!$B$6))</f>
        <v/>
      </c>
      <c r="E128" s="54" t="str">
        <f aca="false">IF($A128="","",SUMIFS(期初数据!$T$6:$T$205,期初数据!$O$6:$O$205,$A128)+SUMIFS(采购录入!$Q$5:$Q$404,采购录入!$E$5:$E$404,$A128,采购录入!$I$5:$I$404,"是",采购录入!$B$5:$B$404,"&lt;"&amp;首页!$B$6)-SUMIFS(销售录入!$S$5:$S$404,销售录入!$E$5:$E$404,$A128,销售录入!$B$5:$B$404,"&lt;"&amp;首页!$B$6))</f>
        <v/>
      </c>
      <c r="F128" s="64" t="str">
        <f aca="false">IF($A128="","",SUMIFS(采购录入!$F$5:$F$404,采购录入!$E$5:$E$404,$A128,采购录入!$I$5:$I$404,"是",采购录入!$C$5:$C$404,首页!$B$5))</f>
        <v/>
      </c>
      <c r="G128" s="54" t="str">
        <f aca="false">IF($A128="","",SUMIFS(采购录入!$Q$5:$Q$404,采购录入!$E$5:$E$404,$A128,采购录入!$I$5:$I$404,"是",采购录入!$C$5:$C$404,首页!$B$5))</f>
        <v/>
      </c>
      <c r="H128" s="64" t="str">
        <f aca="false">IF($A128="","",SUMIFS(销售录入!$F$5:$F$404,销售录入!$E$5:$E$404,$A128,销售录入!$C$5:$C$404,首页!$B$5))</f>
        <v/>
      </c>
      <c r="I128" s="54" t="str">
        <f aca="false">IF($A128="","",SUMIFS(销售录入!$S$5:$S$404,销售录入!$E$5:$E$404,$A128,销售录入!$C$5:$C$404,首页!$B$5))</f>
        <v/>
      </c>
      <c r="J128" s="65" t="str">
        <f aca="false">IF($A128="","",$D128+$F128-$H128)</f>
        <v/>
      </c>
      <c r="K128" s="44" t="str">
        <f aca="false">IF($A128="","",$E128+$G128-$I128)</f>
        <v/>
      </c>
      <c r="L128" s="44" t="str">
        <f aca="false">IF(OR($A128="",$J128=0),"",$K128/$J128)</f>
        <v/>
      </c>
      <c r="M128" s="54" t="str">
        <f aca="false">IF($A128="","",SUMIFS(销售录入!$O$5:$O$404,销售录入!$E$5:$E$404,$A128,销售录入!$C$5:$C$404,首页!$B$5))</f>
        <v/>
      </c>
      <c r="N128" s="44" t="str">
        <f aca="false">IF($A128="","",$M128-$I128)</f>
        <v/>
      </c>
      <c r="O128" s="63" t="str">
        <f aca="false">IF(OR($A128="",$M128=0),"",$N128/$M128)</f>
        <v/>
      </c>
      <c r="P128" s="47" t="str">
        <f aca="false">IF($A128="","",IF($J128&lt;0,"⚠ 负库存",IF(AND($J128=0,ABS($K128)&gt;0.01),"⚠ 有金额无数量",IF(AND($J128&gt;0,$K128&lt;0),"⚠ 金额为负",IF($N128&lt;0,"⚠ 毛利为负","正常")))))</f>
        <v/>
      </c>
    </row>
    <row r="129" customFormat="false" ht="15.75" hidden="false" customHeight="true" outlineLevel="0" collapsed="false">
      <c r="A129" s="35" t="str">
        <f aca="false">IF(基础资料!$Q129="","",基础资料!$Q129)</f>
        <v/>
      </c>
      <c r="B129" s="42" t="str">
        <f aca="false">IF($A129="","",基础资料!$R129)</f>
        <v/>
      </c>
      <c r="C129" s="42" t="str">
        <f aca="false">IF($A129="","",基础资料!$S129)</f>
        <v/>
      </c>
      <c r="D129" s="64" t="str">
        <f aca="false">IF($A129="","",SUMIFS(期初数据!$R$6:$R$205,期初数据!$O$6:$O$205,$A129)+SUMIFS(采购录入!$F$5:$F$404,采购录入!$E$5:$E$404,$A129,采购录入!$I$5:$I$404,"是",采购录入!$B$5:$B$404,"&lt;"&amp;首页!$B$6)-SUMIFS(销售录入!$F$5:$F$404,销售录入!$E$5:$E$404,$A129,销售录入!$B$5:$B$404,"&lt;"&amp;首页!$B$6))</f>
        <v/>
      </c>
      <c r="E129" s="54" t="str">
        <f aca="false">IF($A129="","",SUMIFS(期初数据!$T$6:$T$205,期初数据!$O$6:$O$205,$A129)+SUMIFS(采购录入!$Q$5:$Q$404,采购录入!$E$5:$E$404,$A129,采购录入!$I$5:$I$404,"是",采购录入!$B$5:$B$404,"&lt;"&amp;首页!$B$6)-SUMIFS(销售录入!$S$5:$S$404,销售录入!$E$5:$E$404,$A129,销售录入!$B$5:$B$404,"&lt;"&amp;首页!$B$6))</f>
        <v/>
      </c>
      <c r="F129" s="64" t="str">
        <f aca="false">IF($A129="","",SUMIFS(采购录入!$F$5:$F$404,采购录入!$E$5:$E$404,$A129,采购录入!$I$5:$I$404,"是",采购录入!$C$5:$C$404,首页!$B$5))</f>
        <v/>
      </c>
      <c r="G129" s="54" t="str">
        <f aca="false">IF($A129="","",SUMIFS(采购录入!$Q$5:$Q$404,采购录入!$E$5:$E$404,$A129,采购录入!$I$5:$I$404,"是",采购录入!$C$5:$C$404,首页!$B$5))</f>
        <v/>
      </c>
      <c r="H129" s="64" t="str">
        <f aca="false">IF($A129="","",SUMIFS(销售录入!$F$5:$F$404,销售录入!$E$5:$E$404,$A129,销售录入!$C$5:$C$404,首页!$B$5))</f>
        <v/>
      </c>
      <c r="I129" s="54" t="str">
        <f aca="false">IF($A129="","",SUMIFS(销售录入!$S$5:$S$404,销售录入!$E$5:$E$404,$A129,销售录入!$C$5:$C$404,首页!$B$5))</f>
        <v/>
      </c>
      <c r="J129" s="65" t="str">
        <f aca="false">IF($A129="","",$D129+$F129-$H129)</f>
        <v/>
      </c>
      <c r="K129" s="44" t="str">
        <f aca="false">IF($A129="","",$E129+$G129-$I129)</f>
        <v/>
      </c>
      <c r="L129" s="44" t="str">
        <f aca="false">IF(OR($A129="",$J129=0),"",$K129/$J129)</f>
        <v/>
      </c>
      <c r="M129" s="54" t="str">
        <f aca="false">IF($A129="","",SUMIFS(销售录入!$O$5:$O$404,销售录入!$E$5:$E$404,$A129,销售录入!$C$5:$C$404,首页!$B$5))</f>
        <v/>
      </c>
      <c r="N129" s="44" t="str">
        <f aca="false">IF($A129="","",$M129-$I129)</f>
        <v/>
      </c>
      <c r="O129" s="63" t="str">
        <f aca="false">IF(OR($A129="",$M129=0),"",$N129/$M129)</f>
        <v/>
      </c>
      <c r="P129" s="47" t="str">
        <f aca="false">IF($A129="","",IF($J129&lt;0,"⚠ 负库存",IF(AND($J129=0,ABS($K129)&gt;0.01),"⚠ 有金额无数量",IF(AND($J129&gt;0,$K129&lt;0),"⚠ 金额为负",IF($N129&lt;0,"⚠ 毛利为负","正常")))))</f>
        <v/>
      </c>
    </row>
    <row r="130" customFormat="false" ht="15.75" hidden="false" customHeight="true" outlineLevel="0" collapsed="false">
      <c r="A130" s="35" t="str">
        <f aca="false">IF(基础资料!$Q130="","",基础资料!$Q130)</f>
        <v/>
      </c>
      <c r="B130" s="42" t="str">
        <f aca="false">IF($A130="","",基础资料!$R130)</f>
        <v/>
      </c>
      <c r="C130" s="42" t="str">
        <f aca="false">IF($A130="","",基础资料!$S130)</f>
        <v/>
      </c>
      <c r="D130" s="64" t="str">
        <f aca="false">IF($A130="","",SUMIFS(期初数据!$R$6:$R$205,期初数据!$O$6:$O$205,$A130)+SUMIFS(采购录入!$F$5:$F$404,采购录入!$E$5:$E$404,$A130,采购录入!$I$5:$I$404,"是",采购录入!$B$5:$B$404,"&lt;"&amp;首页!$B$6)-SUMIFS(销售录入!$F$5:$F$404,销售录入!$E$5:$E$404,$A130,销售录入!$B$5:$B$404,"&lt;"&amp;首页!$B$6))</f>
        <v/>
      </c>
      <c r="E130" s="54" t="str">
        <f aca="false">IF($A130="","",SUMIFS(期初数据!$T$6:$T$205,期初数据!$O$6:$O$205,$A130)+SUMIFS(采购录入!$Q$5:$Q$404,采购录入!$E$5:$E$404,$A130,采购录入!$I$5:$I$404,"是",采购录入!$B$5:$B$404,"&lt;"&amp;首页!$B$6)-SUMIFS(销售录入!$S$5:$S$404,销售录入!$E$5:$E$404,$A130,销售录入!$B$5:$B$404,"&lt;"&amp;首页!$B$6))</f>
        <v/>
      </c>
      <c r="F130" s="64" t="str">
        <f aca="false">IF($A130="","",SUMIFS(采购录入!$F$5:$F$404,采购录入!$E$5:$E$404,$A130,采购录入!$I$5:$I$404,"是",采购录入!$C$5:$C$404,首页!$B$5))</f>
        <v/>
      </c>
      <c r="G130" s="54" t="str">
        <f aca="false">IF($A130="","",SUMIFS(采购录入!$Q$5:$Q$404,采购录入!$E$5:$E$404,$A130,采购录入!$I$5:$I$404,"是",采购录入!$C$5:$C$404,首页!$B$5))</f>
        <v/>
      </c>
      <c r="H130" s="64" t="str">
        <f aca="false">IF($A130="","",SUMIFS(销售录入!$F$5:$F$404,销售录入!$E$5:$E$404,$A130,销售录入!$C$5:$C$404,首页!$B$5))</f>
        <v/>
      </c>
      <c r="I130" s="54" t="str">
        <f aca="false">IF($A130="","",SUMIFS(销售录入!$S$5:$S$404,销售录入!$E$5:$E$404,$A130,销售录入!$C$5:$C$404,首页!$B$5))</f>
        <v/>
      </c>
      <c r="J130" s="65" t="str">
        <f aca="false">IF($A130="","",$D130+$F130-$H130)</f>
        <v/>
      </c>
      <c r="K130" s="44" t="str">
        <f aca="false">IF($A130="","",$E130+$G130-$I130)</f>
        <v/>
      </c>
      <c r="L130" s="44" t="str">
        <f aca="false">IF(OR($A130="",$J130=0),"",$K130/$J130)</f>
        <v/>
      </c>
      <c r="M130" s="54" t="str">
        <f aca="false">IF($A130="","",SUMIFS(销售录入!$O$5:$O$404,销售录入!$E$5:$E$404,$A130,销售录入!$C$5:$C$404,首页!$B$5))</f>
        <v/>
      </c>
      <c r="N130" s="44" t="str">
        <f aca="false">IF($A130="","",$M130-$I130)</f>
        <v/>
      </c>
      <c r="O130" s="63" t="str">
        <f aca="false">IF(OR($A130="",$M130=0),"",$N130/$M130)</f>
        <v/>
      </c>
      <c r="P130" s="47" t="str">
        <f aca="false">IF($A130="","",IF($J130&lt;0,"⚠ 负库存",IF(AND($J130=0,ABS($K130)&gt;0.01),"⚠ 有金额无数量",IF(AND($J130&gt;0,$K130&lt;0),"⚠ 金额为负",IF($N130&lt;0,"⚠ 毛利为负","正常")))))</f>
        <v/>
      </c>
    </row>
    <row r="131" customFormat="false" ht="15.75" hidden="false" customHeight="true" outlineLevel="0" collapsed="false">
      <c r="A131" s="35" t="str">
        <f aca="false">IF(基础资料!$Q131="","",基础资料!$Q131)</f>
        <v/>
      </c>
      <c r="B131" s="42" t="str">
        <f aca="false">IF($A131="","",基础资料!$R131)</f>
        <v/>
      </c>
      <c r="C131" s="42" t="str">
        <f aca="false">IF($A131="","",基础资料!$S131)</f>
        <v/>
      </c>
      <c r="D131" s="64" t="str">
        <f aca="false">IF($A131="","",SUMIFS(期初数据!$R$6:$R$205,期初数据!$O$6:$O$205,$A131)+SUMIFS(采购录入!$F$5:$F$404,采购录入!$E$5:$E$404,$A131,采购录入!$I$5:$I$404,"是",采购录入!$B$5:$B$404,"&lt;"&amp;首页!$B$6)-SUMIFS(销售录入!$F$5:$F$404,销售录入!$E$5:$E$404,$A131,销售录入!$B$5:$B$404,"&lt;"&amp;首页!$B$6))</f>
        <v/>
      </c>
      <c r="E131" s="54" t="str">
        <f aca="false">IF($A131="","",SUMIFS(期初数据!$T$6:$T$205,期初数据!$O$6:$O$205,$A131)+SUMIFS(采购录入!$Q$5:$Q$404,采购录入!$E$5:$E$404,$A131,采购录入!$I$5:$I$404,"是",采购录入!$B$5:$B$404,"&lt;"&amp;首页!$B$6)-SUMIFS(销售录入!$S$5:$S$404,销售录入!$E$5:$E$404,$A131,销售录入!$B$5:$B$404,"&lt;"&amp;首页!$B$6))</f>
        <v/>
      </c>
      <c r="F131" s="64" t="str">
        <f aca="false">IF($A131="","",SUMIFS(采购录入!$F$5:$F$404,采购录入!$E$5:$E$404,$A131,采购录入!$I$5:$I$404,"是",采购录入!$C$5:$C$404,首页!$B$5))</f>
        <v/>
      </c>
      <c r="G131" s="54" t="str">
        <f aca="false">IF($A131="","",SUMIFS(采购录入!$Q$5:$Q$404,采购录入!$E$5:$E$404,$A131,采购录入!$I$5:$I$404,"是",采购录入!$C$5:$C$404,首页!$B$5))</f>
        <v/>
      </c>
      <c r="H131" s="64" t="str">
        <f aca="false">IF($A131="","",SUMIFS(销售录入!$F$5:$F$404,销售录入!$E$5:$E$404,$A131,销售录入!$C$5:$C$404,首页!$B$5))</f>
        <v/>
      </c>
      <c r="I131" s="54" t="str">
        <f aca="false">IF($A131="","",SUMIFS(销售录入!$S$5:$S$404,销售录入!$E$5:$E$404,$A131,销售录入!$C$5:$C$404,首页!$B$5))</f>
        <v/>
      </c>
      <c r="J131" s="65" t="str">
        <f aca="false">IF($A131="","",$D131+$F131-$H131)</f>
        <v/>
      </c>
      <c r="K131" s="44" t="str">
        <f aca="false">IF($A131="","",$E131+$G131-$I131)</f>
        <v/>
      </c>
      <c r="L131" s="44" t="str">
        <f aca="false">IF(OR($A131="",$J131=0),"",$K131/$J131)</f>
        <v/>
      </c>
      <c r="M131" s="54" t="str">
        <f aca="false">IF($A131="","",SUMIFS(销售录入!$O$5:$O$404,销售录入!$E$5:$E$404,$A131,销售录入!$C$5:$C$404,首页!$B$5))</f>
        <v/>
      </c>
      <c r="N131" s="44" t="str">
        <f aca="false">IF($A131="","",$M131-$I131)</f>
        <v/>
      </c>
      <c r="O131" s="63" t="str">
        <f aca="false">IF(OR($A131="",$M131=0),"",$N131/$M131)</f>
        <v/>
      </c>
      <c r="P131" s="47" t="str">
        <f aca="false">IF($A131="","",IF($J131&lt;0,"⚠ 负库存",IF(AND($J131=0,ABS($K131)&gt;0.01),"⚠ 有金额无数量",IF(AND($J131&gt;0,$K131&lt;0),"⚠ 金额为负",IF($N131&lt;0,"⚠ 毛利为负","正常")))))</f>
        <v/>
      </c>
    </row>
    <row r="132" customFormat="false" ht="15.75" hidden="false" customHeight="true" outlineLevel="0" collapsed="false">
      <c r="A132" s="35" t="str">
        <f aca="false">IF(基础资料!$Q132="","",基础资料!$Q132)</f>
        <v/>
      </c>
      <c r="B132" s="42" t="str">
        <f aca="false">IF($A132="","",基础资料!$R132)</f>
        <v/>
      </c>
      <c r="C132" s="42" t="str">
        <f aca="false">IF($A132="","",基础资料!$S132)</f>
        <v/>
      </c>
      <c r="D132" s="64" t="str">
        <f aca="false">IF($A132="","",SUMIFS(期初数据!$R$6:$R$205,期初数据!$O$6:$O$205,$A132)+SUMIFS(采购录入!$F$5:$F$404,采购录入!$E$5:$E$404,$A132,采购录入!$I$5:$I$404,"是",采购录入!$B$5:$B$404,"&lt;"&amp;首页!$B$6)-SUMIFS(销售录入!$F$5:$F$404,销售录入!$E$5:$E$404,$A132,销售录入!$B$5:$B$404,"&lt;"&amp;首页!$B$6))</f>
        <v/>
      </c>
      <c r="E132" s="54" t="str">
        <f aca="false">IF($A132="","",SUMIFS(期初数据!$T$6:$T$205,期初数据!$O$6:$O$205,$A132)+SUMIFS(采购录入!$Q$5:$Q$404,采购录入!$E$5:$E$404,$A132,采购录入!$I$5:$I$404,"是",采购录入!$B$5:$B$404,"&lt;"&amp;首页!$B$6)-SUMIFS(销售录入!$S$5:$S$404,销售录入!$E$5:$E$404,$A132,销售录入!$B$5:$B$404,"&lt;"&amp;首页!$B$6))</f>
        <v/>
      </c>
      <c r="F132" s="64" t="str">
        <f aca="false">IF($A132="","",SUMIFS(采购录入!$F$5:$F$404,采购录入!$E$5:$E$404,$A132,采购录入!$I$5:$I$404,"是",采购录入!$C$5:$C$404,首页!$B$5))</f>
        <v/>
      </c>
      <c r="G132" s="54" t="str">
        <f aca="false">IF($A132="","",SUMIFS(采购录入!$Q$5:$Q$404,采购录入!$E$5:$E$404,$A132,采购录入!$I$5:$I$404,"是",采购录入!$C$5:$C$404,首页!$B$5))</f>
        <v/>
      </c>
      <c r="H132" s="64" t="str">
        <f aca="false">IF($A132="","",SUMIFS(销售录入!$F$5:$F$404,销售录入!$E$5:$E$404,$A132,销售录入!$C$5:$C$404,首页!$B$5))</f>
        <v/>
      </c>
      <c r="I132" s="54" t="str">
        <f aca="false">IF($A132="","",SUMIFS(销售录入!$S$5:$S$404,销售录入!$E$5:$E$404,$A132,销售录入!$C$5:$C$404,首页!$B$5))</f>
        <v/>
      </c>
      <c r="J132" s="65" t="str">
        <f aca="false">IF($A132="","",$D132+$F132-$H132)</f>
        <v/>
      </c>
      <c r="K132" s="44" t="str">
        <f aca="false">IF($A132="","",$E132+$G132-$I132)</f>
        <v/>
      </c>
      <c r="L132" s="44" t="str">
        <f aca="false">IF(OR($A132="",$J132=0),"",$K132/$J132)</f>
        <v/>
      </c>
      <c r="M132" s="54" t="str">
        <f aca="false">IF($A132="","",SUMIFS(销售录入!$O$5:$O$404,销售录入!$E$5:$E$404,$A132,销售录入!$C$5:$C$404,首页!$B$5))</f>
        <v/>
      </c>
      <c r="N132" s="44" t="str">
        <f aca="false">IF($A132="","",$M132-$I132)</f>
        <v/>
      </c>
      <c r="O132" s="63" t="str">
        <f aca="false">IF(OR($A132="",$M132=0),"",$N132/$M132)</f>
        <v/>
      </c>
      <c r="P132" s="47" t="str">
        <f aca="false">IF($A132="","",IF($J132&lt;0,"⚠ 负库存",IF(AND($J132=0,ABS($K132)&gt;0.01),"⚠ 有金额无数量",IF(AND($J132&gt;0,$K132&lt;0),"⚠ 金额为负",IF($N132&lt;0,"⚠ 毛利为负","正常")))))</f>
        <v/>
      </c>
    </row>
    <row r="133" customFormat="false" ht="15.75" hidden="false" customHeight="true" outlineLevel="0" collapsed="false">
      <c r="A133" s="35" t="str">
        <f aca="false">IF(基础资料!$Q133="","",基础资料!$Q133)</f>
        <v/>
      </c>
      <c r="B133" s="42" t="str">
        <f aca="false">IF($A133="","",基础资料!$R133)</f>
        <v/>
      </c>
      <c r="C133" s="42" t="str">
        <f aca="false">IF($A133="","",基础资料!$S133)</f>
        <v/>
      </c>
      <c r="D133" s="64" t="str">
        <f aca="false">IF($A133="","",SUMIFS(期初数据!$R$6:$R$205,期初数据!$O$6:$O$205,$A133)+SUMIFS(采购录入!$F$5:$F$404,采购录入!$E$5:$E$404,$A133,采购录入!$I$5:$I$404,"是",采购录入!$B$5:$B$404,"&lt;"&amp;首页!$B$6)-SUMIFS(销售录入!$F$5:$F$404,销售录入!$E$5:$E$404,$A133,销售录入!$B$5:$B$404,"&lt;"&amp;首页!$B$6))</f>
        <v/>
      </c>
      <c r="E133" s="54" t="str">
        <f aca="false">IF($A133="","",SUMIFS(期初数据!$T$6:$T$205,期初数据!$O$6:$O$205,$A133)+SUMIFS(采购录入!$Q$5:$Q$404,采购录入!$E$5:$E$404,$A133,采购录入!$I$5:$I$404,"是",采购录入!$B$5:$B$404,"&lt;"&amp;首页!$B$6)-SUMIFS(销售录入!$S$5:$S$404,销售录入!$E$5:$E$404,$A133,销售录入!$B$5:$B$404,"&lt;"&amp;首页!$B$6))</f>
        <v/>
      </c>
      <c r="F133" s="64" t="str">
        <f aca="false">IF($A133="","",SUMIFS(采购录入!$F$5:$F$404,采购录入!$E$5:$E$404,$A133,采购录入!$I$5:$I$404,"是",采购录入!$C$5:$C$404,首页!$B$5))</f>
        <v/>
      </c>
      <c r="G133" s="54" t="str">
        <f aca="false">IF($A133="","",SUMIFS(采购录入!$Q$5:$Q$404,采购录入!$E$5:$E$404,$A133,采购录入!$I$5:$I$404,"是",采购录入!$C$5:$C$404,首页!$B$5))</f>
        <v/>
      </c>
      <c r="H133" s="64" t="str">
        <f aca="false">IF($A133="","",SUMIFS(销售录入!$F$5:$F$404,销售录入!$E$5:$E$404,$A133,销售录入!$C$5:$C$404,首页!$B$5))</f>
        <v/>
      </c>
      <c r="I133" s="54" t="str">
        <f aca="false">IF($A133="","",SUMIFS(销售录入!$S$5:$S$404,销售录入!$E$5:$E$404,$A133,销售录入!$C$5:$C$404,首页!$B$5))</f>
        <v/>
      </c>
      <c r="J133" s="65" t="str">
        <f aca="false">IF($A133="","",$D133+$F133-$H133)</f>
        <v/>
      </c>
      <c r="K133" s="44" t="str">
        <f aca="false">IF($A133="","",$E133+$G133-$I133)</f>
        <v/>
      </c>
      <c r="L133" s="44" t="str">
        <f aca="false">IF(OR($A133="",$J133=0),"",$K133/$J133)</f>
        <v/>
      </c>
      <c r="M133" s="54" t="str">
        <f aca="false">IF($A133="","",SUMIFS(销售录入!$O$5:$O$404,销售录入!$E$5:$E$404,$A133,销售录入!$C$5:$C$404,首页!$B$5))</f>
        <v/>
      </c>
      <c r="N133" s="44" t="str">
        <f aca="false">IF($A133="","",$M133-$I133)</f>
        <v/>
      </c>
      <c r="O133" s="63" t="str">
        <f aca="false">IF(OR($A133="",$M133=0),"",$N133/$M133)</f>
        <v/>
      </c>
      <c r="P133" s="47" t="str">
        <f aca="false">IF($A133="","",IF($J133&lt;0,"⚠ 负库存",IF(AND($J133=0,ABS($K133)&gt;0.01),"⚠ 有金额无数量",IF(AND($J133&gt;0,$K133&lt;0),"⚠ 金额为负",IF($N133&lt;0,"⚠ 毛利为负","正常")))))</f>
        <v/>
      </c>
    </row>
    <row r="134" customFormat="false" ht="15.75" hidden="false" customHeight="true" outlineLevel="0" collapsed="false">
      <c r="A134" s="35" t="str">
        <f aca="false">IF(基础资料!$Q134="","",基础资料!$Q134)</f>
        <v/>
      </c>
      <c r="B134" s="42" t="str">
        <f aca="false">IF($A134="","",基础资料!$R134)</f>
        <v/>
      </c>
      <c r="C134" s="42" t="str">
        <f aca="false">IF($A134="","",基础资料!$S134)</f>
        <v/>
      </c>
      <c r="D134" s="64" t="str">
        <f aca="false">IF($A134="","",SUMIFS(期初数据!$R$6:$R$205,期初数据!$O$6:$O$205,$A134)+SUMIFS(采购录入!$F$5:$F$404,采购录入!$E$5:$E$404,$A134,采购录入!$I$5:$I$404,"是",采购录入!$B$5:$B$404,"&lt;"&amp;首页!$B$6)-SUMIFS(销售录入!$F$5:$F$404,销售录入!$E$5:$E$404,$A134,销售录入!$B$5:$B$404,"&lt;"&amp;首页!$B$6))</f>
        <v/>
      </c>
      <c r="E134" s="54" t="str">
        <f aca="false">IF($A134="","",SUMIFS(期初数据!$T$6:$T$205,期初数据!$O$6:$O$205,$A134)+SUMIFS(采购录入!$Q$5:$Q$404,采购录入!$E$5:$E$404,$A134,采购录入!$I$5:$I$404,"是",采购录入!$B$5:$B$404,"&lt;"&amp;首页!$B$6)-SUMIFS(销售录入!$S$5:$S$404,销售录入!$E$5:$E$404,$A134,销售录入!$B$5:$B$404,"&lt;"&amp;首页!$B$6))</f>
        <v/>
      </c>
      <c r="F134" s="64" t="str">
        <f aca="false">IF($A134="","",SUMIFS(采购录入!$F$5:$F$404,采购录入!$E$5:$E$404,$A134,采购录入!$I$5:$I$404,"是",采购录入!$C$5:$C$404,首页!$B$5))</f>
        <v/>
      </c>
      <c r="G134" s="54" t="str">
        <f aca="false">IF($A134="","",SUMIFS(采购录入!$Q$5:$Q$404,采购录入!$E$5:$E$404,$A134,采购录入!$I$5:$I$404,"是",采购录入!$C$5:$C$404,首页!$B$5))</f>
        <v/>
      </c>
      <c r="H134" s="64" t="str">
        <f aca="false">IF($A134="","",SUMIFS(销售录入!$F$5:$F$404,销售录入!$E$5:$E$404,$A134,销售录入!$C$5:$C$404,首页!$B$5))</f>
        <v/>
      </c>
      <c r="I134" s="54" t="str">
        <f aca="false">IF($A134="","",SUMIFS(销售录入!$S$5:$S$404,销售录入!$E$5:$E$404,$A134,销售录入!$C$5:$C$404,首页!$B$5))</f>
        <v/>
      </c>
      <c r="J134" s="65" t="str">
        <f aca="false">IF($A134="","",$D134+$F134-$H134)</f>
        <v/>
      </c>
      <c r="K134" s="44" t="str">
        <f aca="false">IF($A134="","",$E134+$G134-$I134)</f>
        <v/>
      </c>
      <c r="L134" s="44" t="str">
        <f aca="false">IF(OR($A134="",$J134=0),"",$K134/$J134)</f>
        <v/>
      </c>
      <c r="M134" s="54" t="str">
        <f aca="false">IF($A134="","",SUMIFS(销售录入!$O$5:$O$404,销售录入!$E$5:$E$404,$A134,销售录入!$C$5:$C$404,首页!$B$5))</f>
        <v/>
      </c>
      <c r="N134" s="44" t="str">
        <f aca="false">IF($A134="","",$M134-$I134)</f>
        <v/>
      </c>
      <c r="O134" s="63" t="str">
        <f aca="false">IF(OR($A134="",$M134=0),"",$N134/$M134)</f>
        <v/>
      </c>
      <c r="P134" s="47" t="str">
        <f aca="false">IF($A134="","",IF($J134&lt;0,"⚠ 负库存",IF(AND($J134=0,ABS($K134)&gt;0.01),"⚠ 有金额无数量",IF(AND($J134&gt;0,$K134&lt;0),"⚠ 金额为负",IF($N134&lt;0,"⚠ 毛利为负","正常")))))</f>
        <v/>
      </c>
    </row>
    <row r="135" customFormat="false" ht="15.75" hidden="false" customHeight="true" outlineLevel="0" collapsed="false">
      <c r="A135" s="35" t="str">
        <f aca="false">IF(基础资料!$Q135="","",基础资料!$Q135)</f>
        <v/>
      </c>
      <c r="B135" s="42" t="str">
        <f aca="false">IF($A135="","",基础资料!$R135)</f>
        <v/>
      </c>
      <c r="C135" s="42" t="str">
        <f aca="false">IF($A135="","",基础资料!$S135)</f>
        <v/>
      </c>
      <c r="D135" s="64" t="str">
        <f aca="false">IF($A135="","",SUMIFS(期初数据!$R$6:$R$205,期初数据!$O$6:$O$205,$A135)+SUMIFS(采购录入!$F$5:$F$404,采购录入!$E$5:$E$404,$A135,采购录入!$I$5:$I$404,"是",采购录入!$B$5:$B$404,"&lt;"&amp;首页!$B$6)-SUMIFS(销售录入!$F$5:$F$404,销售录入!$E$5:$E$404,$A135,销售录入!$B$5:$B$404,"&lt;"&amp;首页!$B$6))</f>
        <v/>
      </c>
      <c r="E135" s="54" t="str">
        <f aca="false">IF($A135="","",SUMIFS(期初数据!$T$6:$T$205,期初数据!$O$6:$O$205,$A135)+SUMIFS(采购录入!$Q$5:$Q$404,采购录入!$E$5:$E$404,$A135,采购录入!$I$5:$I$404,"是",采购录入!$B$5:$B$404,"&lt;"&amp;首页!$B$6)-SUMIFS(销售录入!$S$5:$S$404,销售录入!$E$5:$E$404,$A135,销售录入!$B$5:$B$404,"&lt;"&amp;首页!$B$6))</f>
        <v/>
      </c>
      <c r="F135" s="64" t="str">
        <f aca="false">IF($A135="","",SUMIFS(采购录入!$F$5:$F$404,采购录入!$E$5:$E$404,$A135,采购录入!$I$5:$I$404,"是",采购录入!$C$5:$C$404,首页!$B$5))</f>
        <v/>
      </c>
      <c r="G135" s="54" t="str">
        <f aca="false">IF($A135="","",SUMIFS(采购录入!$Q$5:$Q$404,采购录入!$E$5:$E$404,$A135,采购录入!$I$5:$I$404,"是",采购录入!$C$5:$C$404,首页!$B$5))</f>
        <v/>
      </c>
      <c r="H135" s="64" t="str">
        <f aca="false">IF($A135="","",SUMIFS(销售录入!$F$5:$F$404,销售录入!$E$5:$E$404,$A135,销售录入!$C$5:$C$404,首页!$B$5))</f>
        <v/>
      </c>
      <c r="I135" s="54" t="str">
        <f aca="false">IF($A135="","",SUMIFS(销售录入!$S$5:$S$404,销售录入!$E$5:$E$404,$A135,销售录入!$C$5:$C$404,首页!$B$5))</f>
        <v/>
      </c>
      <c r="J135" s="65" t="str">
        <f aca="false">IF($A135="","",$D135+$F135-$H135)</f>
        <v/>
      </c>
      <c r="K135" s="44" t="str">
        <f aca="false">IF($A135="","",$E135+$G135-$I135)</f>
        <v/>
      </c>
      <c r="L135" s="44" t="str">
        <f aca="false">IF(OR($A135="",$J135=0),"",$K135/$J135)</f>
        <v/>
      </c>
      <c r="M135" s="54" t="str">
        <f aca="false">IF($A135="","",SUMIFS(销售录入!$O$5:$O$404,销售录入!$E$5:$E$404,$A135,销售录入!$C$5:$C$404,首页!$B$5))</f>
        <v/>
      </c>
      <c r="N135" s="44" t="str">
        <f aca="false">IF($A135="","",$M135-$I135)</f>
        <v/>
      </c>
      <c r="O135" s="63" t="str">
        <f aca="false">IF(OR($A135="",$M135=0),"",$N135/$M135)</f>
        <v/>
      </c>
      <c r="P135" s="47" t="str">
        <f aca="false">IF($A135="","",IF($J135&lt;0,"⚠ 负库存",IF(AND($J135=0,ABS($K135)&gt;0.01),"⚠ 有金额无数量",IF(AND($J135&gt;0,$K135&lt;0),"⚠ 金额为负",IF($N135&lt;0,"⚠ 毛利为负","正常")))))</f>
        <v/>
      </c>
    </row>
    <row r="136" customFormat="false" ht="15.75" hidden="false" customHeight="true" outlineLevel="0" collapsed="false">
      <c r="A136" s="35" t="str">
        <f aca="false">IF(基础资料!$Q136="","",基础资料!$Q136)</f>
        <v/>
      </c>
      <c r="B136" s="42" t="str">
        <f aca="false">IF($A136="","",基础资料!$R136)</f>
        <v/>
      </c>
      <c r="C136" s="42" t="str">
        <f aca="false">IF($A136="","",基础资料!$S136)</f>
        <v/>
      </c>
      <c r="D136" s="64" t="str">
        <f aca="false">IF($A136="","",SUMIFS(期初数据!$R$6:$R$205,期初数据!$O$6:$O$205,$A136)+SUMIFS(采购录入!$F$5:$F$404,采购录入!$E$5:$E$404,$A136,采购录入!$I$5:$I$404,"是",采购录入!$B$5:$B$404,"&lt;"&amp;首页!$B$6)-SUMIFS(销售录入!$F$5:$F$404,销售录入!$E$5:$E$404,$A136,销售录入!$B$5:$B$404,"&lt;"&amp;首页!$B$6))</f>
        <v/>
      </c>
      <c r="E136" s="54" t="str">
        <f aca="false">IF($A136="","",SUMIFS(期初数据!$T$6:$T$205,期初数据!$O$6:$O$205,$A136)+SUMIFS(采购录入!$Q$5:$Q$404,采购录入!$E$5:$E$404,$A136,采购录入!$I$5:$I$404,"是",采购录入!$B$5:$B$404,"&lt;"&amp;首页!$B$6)-SUMIFS(销售录入!$S$5:$S$404,销售录入!$E$5:$E$404,$A136,销售录入!$B$5:$B$404,"&lt;"&amp;首页!$B$6))</f>
        <v/>
      </c>
      <c r="F136" s="64" t="str">
        <f aca="false">IF($A136="","",SUMIFS(采购录入!$F$5:$F$404,采购录入!$E$5:$E$404,$A136,采购录入!$I$5:$I$404,"是",采购录入!$C$5:$C$404,首页!$B$5))</f>
        <v/>
      </c>
      <c r="G136" s="54" t="str">
        <f aca="false">IF($A136="","",SUMIFS(采购录入!$Q$5:$Q$404,采购录入!$E$5:$E$404,$A136,采购录入!$I$5:$I$404,"是",采购录入!$C$5:$C$404,首页!$B$5))</f>
        <v/>
      </c>
      <c r="H136" s="64" t="str">
        <f aca="false">IF($A136="","",SUMIFS(销售录入!$F$5:$F$404,销售录入!$E$5:$E$404,$A136,销售录入!$C$5:$C$404,首页!$B$5))</f>
        <v/>
      </c>
      <c r="I136" s="54" t="str">
        <f aca="false">IF($A136="","",SUMIFS(销售录入!$S$5:$S$404,销售录入!$E$5:$E$404,$A136,销售录入!$C$5:$C$404,首页!$B$5))</f>
        <v/>
      </c>
      <c r="J136" s="65" t="str">
        <f aca="false">IF($A136="","",$D136+$F136-$H136)</f>
        <v/>
      </c>
      <c r="K136" s="44" t="str">
        <f aca="false">IF($A136="","",$E136+$G136-$I136)</f>
        <v/>
      </c>
      <c r="L136" s="44" t="str">
        <f aca="false">IF(OR($A136="",$J136=0),"",$K136/$J136)</f>
        <v/>
      </c>
      <c r="M136" s="54" t="str">
        <f aca="false">IF($A136="","",SUMIFS(销售录入!$O$5:$O$404,销售录入!$E$5:$E$404,$A136,销售录入!$C$5:$C$404,首页!$B$5))</f>
        <v/>
      </c>
      <c r="N136" s="44" t="str">
        <f aca="false">IF($A136="","",$M136-$I136)</f>
        <v/>
      </c>
      <c r="O136" s="63" t="str">
        <f aca="false">IF(OR($A136="",$M136=0),"",$N136/$M136)</f>
        <v/>
      </c>
      <c r="P136" s="47" t="str">
        <f aca="false">IF($A136="","",IF($J136&lt;0,"⚠ 负库存",IF(AND($J136=0,ABS($K136)&gt;0.01),"⚠ 有金额无数量",IF(AND($J136&gt;0,$K136&lt;0),"⚠ 金额为负",IF($N136&lt;0,"⚠ 毛利为负","正常")))))</f>
        <v/>
      </c>
    </row>
    <row r="137" customFormat="false" ht="15.75" hidden="false" customHeight="true" outlineLevel="0" collapsed="false">
      <c r="A137" s="35" t="str">
        <f aca="false">IF(基础资料!$Q137="","",基础资料!$Q137)</f>
        <v/>
      </c>
      <c r="B137" s="42" t="str">
        <f aca="false">IF($A137="","",基础资料!$R137)</f>
        <v/>
      </c>
      <c r="C137" s="42" t="str">
        <f aca="false">IF($A137="","",基础资料!$S137)</f>
        <v/>
      </c>
      <c r="D137" s="64" t="str">
        <f aca="false">IF($A137="","",SUMIFS(期初数据!$R$6:$R$205,期初数据!$O$6:$O$205,$A137)+SUMIFS(采购录入!$F$5:$F$404,采购录入!$E$5:$E$404,$A137,采购录入!$I$5:$I$404,"是",采购录入!$B$5:$B$404,"&lt;"&amp;首页!$B$6)-SUMIFS(销售录入!$F$5:$F$404,销售录入!$E$5:$E$404,$A137,销售录入!$B$5:$B$404,"&lt;"&amp;首页!$B$6))</f>
        <v/>
      </c>
      <c r="E137" s="54" t="str">
        <f aca="false">IF($A137="","",SUMIFS(期初数据!$T$6:$T$205,期初数据!$O$6:$O$205,$A137)+SUMIFS(采购录入!$Q$5:$Q$404,采购录入!$E$5:$E$404,$A137,采购录入!$I$5:$I$404,"是",采购录入!$B$5:$B$404,"&lt;"&amp;首页!$B$6)-SUMIFS(销售录入!$S$5:$S$404,销售录入!$E$5:$E$404,$A137,销售录入!$B$5:$B$404,"&lt;"&amp;首页!$B$6))</f>
        <v/>
      </c>
      <c r="F137" s="64" t="str">
        <f aca="false">IF($A137="","",SUMIFS(采购录入!$F$5:$F$404,采购录入!$E$5:$E$404,$A137,采购录入!$I$5:$I$404,"是",采购录入!$C$5:$C$404,首页!$B$5))</f>
        <v/>
      </c>
      <c r="G137" s="54" t="str">
        <f aca="false">IF($A137="","",SUMIFS(采购录入!$Q$5:$Q$404,采购录入!$E$5:$E$404,$A137,采购录入!$I$5:$I$404,"是",采购录入!$C$5:$C$404,首页!$B$5))</f>
        <v/>
      </c>
      <c r="H137" s="64" t="str">
        <f aca="false">IF($A137="","",SUMIFS(销售录入!$F$5:$F$404,销售录入!$E$5:$E$404,$A137,销售录入!$C$5:$C$404,首页!$B$5))</f>
        <v/>
      </c>
      <c r="I137" s="54" t="str">
        <f aca="false">IF($A137="","",SUMIFS(销售录入!$S$5:$S$404,销售录入!$E$5:$E$404,$A137,销售录入!$C$5:$C$404,首页!$B$5))</f>
        <v/>
      </c>
      <c r="J137" s="65" t="str">
        <f aca="false">IF($A137="","",$D137+$F137-$H137)</f>
        <v/>
      </c>
      <c r="K137" s="44" t="str">
        <f aca="false">IF($A137="","",$E137+$G137-$I137)</f>
        <v/>
      </c>
      <c r="L137" s="44" t="str">
        <f aca="false">IF(OR($A137="",$J137=0),"",$K137/$J137)</f>
        <v/>
      </c>
      <c r="M137" s="54" t="str">
        <f aca="false">IF($A137="","",SUMIFS(销售录入!$O$5:$O$404,销售录入!$E$5:$E$404,$A137,销售录入!$C$5:$C$404,首页!$B$5))</f>
        <v/>
      </c>
      <c r="N137" s="44" t="str">
        <f aca="false">IF($A137="","",$M137-$I137)</f>
        <v/>
      </c>
      <c r="O137" s="63" t="str">
        <f aca="false">IF(OR($A137="",$M137=0),"",$N137/$M137)</f>
        <v/>
      </c>
      <c r="P137" s="47" t="str">
        <f aca="false">IF($A137="","",IF($J137&lt;0,"⚠ 负库存",IF(AND($J137=0,ABS($K137)&gt;0.01),"⚠ 有金额无数量",IF(AND($J137&gt;0,$K137&lt;0),"⚠ 金额为负",IF($N137&lt;0,"⚠ 毛利为负","正常")))))</f>
        <v/>
      </c>
    </row>
    <row r="138" customFormat="false" ht="15.75" hidden="false" customHeight="true" outlineLevel="0" collapsed="false">
      <c r="A138" s="35" t="str">
        <f aca="false">IF(基础资料!$Q138="","",基础资料!$Q138)</f>
        <v/>
      </c>
      <c r="B138" s="42" t="str">
        <f aca="false">IF($A138="","",基础资料!$R138)</f>
        <v/>
      </c>
      <c r="C138" s="42" t="str">
        <f aca="false">IF($A138="","",基础资料!$S138)</f>
        <v/>
      </c>
      <c r="D138" s="64" t="str">
        <f aca="false">IF($A138="","",SUMIFS(期初数据!$R$6:$R$205,期初数据!$O$6:$O$205,$A138)+SUMIFS(采购录入!$F$5:$F$404,采购录入!$E$5:$E$404,$A138,采购录入!$I$5:$I$404,"是",采购录入!$B$5:$B$404,"&lt;"&amp;首页!$B$6)-SUMIFS(销售录入!$F$5:$F$404,销售录入!$E$5:$E$404,$A138,销售录入!$B$5:$B$404,"&lt;"&amp;首页!$B$6))</f>
        <v/>
      </c>
      <c r="E138" s="54" t="str">
        <f aca="false">IF($A138="","",SUMIFS(期初数据!$T$6:$T$205,期初数据!$O$6:$O$205,$A138)+SUMIFS(采购录入!$Q$5:$Q$404,采购录入!$E$5:$E$404,$A138,采购录入!$I$5:$I$404,"是",采购录入!$B$5:$B$404,"&lt;"&amp;首页!$B$6)-SUMIFS(销售录入!$S$5:$S$404,销售录入!$E$5:$E$404,$A138,销售录入!$B$5:$B$404,"&lt;"&amp;首页!$B$6))</f>
        <v/>
      </c>
      <c r="F138" s="64" t="str">
        <f aca="false">IF($A138="","",SUMIFS(采购录入!$F$5:$F$404,采购录入!$E$5:$E$404,$A138,采购录入!$I$5:$I$404,"是",采购录入!$C$5:$C$404,首页!$B$5))</f>
        <v/>
      </c>
      <c r="G138" s="54" t="str">
        <f aca="false">IF($A138="","",SUMIFS(采购录入!$Q$5:$Q$404,采购录入!$E$5:$E$404,$A138,采购录入!$I$5:$I$404,"是",采购录入!$C$5:$C$404,首页!$B$5))</f>
        <v/>
      </c>
      <c r="H138" s="64" t="str">
        <f aca="false">IF($A138="","",SUMIFS(销售录入!$F$5:$F$404,销售录入!$E$5:$E$404,$A138,销售录入!$C$5:$C$404,首页!$B$5))</f>
        <v/>
      </c>
      <c r="I138" s="54" t="str">
        <f aca="false">IF($A138="","",SUMIFS(销售录入!$S$5:$S$404,销售录入!$E$5:$E$404,$A138,销售录入!$C$5:$C$404,首页!$B$5))</f>
        <v/>
      </c>
      <c r="J138" s="65" t="str">
        <f aca="false">IF($A138="","",$D138+$F138-$H138)</f>
        <v/>
      </c>
      <c r="K138" s="44" t="str">
        <f aca="false">IF($A138="","",$E138+$G138-$I138)</f>
        <v/>
      </c>
      <c r="L138" s="44" t="str">
        <f aca="false">IF(OR($A138="",$J138=0),"",$K138/$J138)</f>
        <v/>
      </c>
      <c r="M138" s="54" t="str">
        <f aca="false">IF($A138="","",SUMIFS(销售录入!$O$5:$O$404,销售录入!$E$5:$E$404,$A138,销售录入!$C$5:$C$404,首页!$B$5))</f>
        <v/>
      </c>
      <c r="N138" s="44" t="str">
        <f aca="false">IF($A138="","",$M138-$I138)</f>
        <v/>
      </c>
      <c r="O138" s="63" t="str">
        <f aca="false">IF(OR($A138="",$M138=0),"",$N138/$M138)</f>
        <v/>
      </c>
      <c r="P138" s="47" t="str">
        <f aca="false">IF($A138="","",IF($J138&lt;0,"⚠ 负库存",IF(AND($J138=0,ABS($K138)&gt;0.01),"⚠ 有金额无数量",IF(AND($J138&gt;0,$K138&lt;0),"⚠ 金额为负",IF($N138&lt;0,"⚠ 毛利为负","正常")))))</f>
        <v/>
      </c>
    </row>
    <row r="139" customFormat="false" ht="15.75" hidden="false" customHeight="true" outlineLevel="0" collapsed="false">
      <c r="A139" s="35" t="str">
        <f aca="false">IF(基础资料!$Q139="","",基础资料!$Q139)</f>
        <v/>
      </c>
      <c r="B139" s="42" t="str">
        <f aca="false">IF($A139="","",基础资料!$R139)</f>
        <v/>
      </c>
      <c r="C139" s="42" t="str">
        <f aca="false">IF($A139="","",基础资料!$S139)</f>
        <v/>
      </c>
      <c r="D139" s="64" t="str">
        <f aca="false">IF($A139="","",SUMIFS(期初数据!$R$6:$R$205,期初数据!$O$6:$O$205,$A139)+SUMIFS(采购录入!$F$5:$F$404,采购录入!$E$5:$E$404,$A139,采购录入!$I$5:$I$404,"是",采购录入!$B$5:$B$404,"&lt;"&amp;首页!$B$6)-SUMIFS(销售录入!$F$5:$F$404,销售录入!$E$5:$E$404,$A139,销售录入!$B$5:$B$404,"&lt;"&amp;首页!$B$6))</f>
        <v/>
      </c>
      <c r="E139" s="54" t="str">
        <f aca="false">IF($A139="","",SUMIFS(期初数据!$T$6:$T$205,期初数据!$O$6:$O$205,$A139)+SUMIFS(采购录入!$Q$5:$Q$404,采购录入!$E$5:$E$404,$A139,采购录入!$I$5:$I$404,"是",采购录入!$B$5:$B$404,"&lt;"&amp;首页!$B$6)-SUMIFS(销售录入!$S$5:$S$404,销售录入!$E$5:$E$404,$A139,销售录入!$B$5:$B$404,"&lt;"&amp;首页!$B$6))</f>
        <v/>
      </c>
      <c r="F139" s="64" t="str">
        <f aca="false">IF($A139="","",SUMIFS(采购录入!$F$5:$F$404,采购录入!$E$5:$E$404,$A139,采购录入!$I$5:$I$404,"是",采购录入!$C$5:$C$404,首页!$B$5))</f>
        <v/>
      </c>
      <c r="G139" s="54" t="str">
        <f aca="false">IF($A139="","",SUMIFS(采购录入!$Q$5:$Q$404,采购录入!$E$5:$E$404,$A139,采购录入!$I$5:$I$404,"是",采购录入!$C$5:$C$404,首页!$B$5))</f>
        <v/>
      </c>
      <c r="H139" s="64" t="str">
        <f aca="false">IF($A139="","",SUMIFS(销售录入!$F$5:$F$404,销售录入!$E$5:$E$404,$A139,销售录入!$C$5:$C$404,首页!$B$5))</f>
        <v/>
      </c>
      <c r="I139" s="54" t="str">
        <f aca="false">IF($A139="","",SUMIFS(销售录入!$S$5:$S$404,销售录入!$E$5:$E$404,$A139,销售录入!$C$5:$C$404,首页!$B$5))</f>
        <v/>
      </c>
      <c r="J139" s="65" t="str">
        <f aca="false">IF($A139="","",$D139+$F139-$H139)</f>
        <v/>
      </c>
      <c r="K139" s="44" t="str">
        <f aca="false">IF($A139="","",$E139+$G139-$I139)</f>
        <v/>
      </c>
      <c r="L139" s="44" t="str">
        <f aca="false">IF(OR($A139="",$J139=0),"",$K139/$J139)</f>
        <v/>
      </c>
      <c r="M139" s="54" t="str">
        <f aca="false">IF($A139="","",SUMIFS(销售录入!$O$5:$O$404,销售录入!$E$5:$E$404,$A139,销售录入!$C$5:$C$404,首页!$B$5))</f>
        <v/>
      </c>
      <c r="N139" s="44" t="str">
        <f aca="false">IF($A139="","",$M139-$I139)</f>
        <v/>
      </c>
      <c r="O139" s="63" t="str">
        <f aca="false">IF(OR($A139="",$M139=0),"",$N139/$M139)</f>
        <v/>
      </c>
      <c r="P139" s="47" t="str">
        <f aca="false">IF($A139="","",IF($J139&lt;0,"⚠ 负库存",IF(AND($J139=0,ABS($K139)&gt;0.01),"⚠ 有金额无数量",IF(AND($J139&gt;0,$K139&lt;0),"⚠ 金额为负",IF($N139&lt;0,"⚠ 毛利为负","正常")))))</f>
        <v/>
      </c>
    </row>
    <row r="140" customFormat="false" ht="15.75" hidden="false" customHeight="true" outlineLevel="0" collapsed="false">
      <c r="A140" s="35" t="str">
        <f aca="false">IF(基础资料!$Q140="","",基础资料!$Q140)</f>
        <v/>
      </c>
      <c r="B140" s="42" t="str">
        <f aca="false">IF($A140="","",基础资料!$R140)</f>
        <v/>
      </c>
      <c r="C140" s="42" t="str">
        <f aca="false">IF($A140="","",基础资料!$S140)</f>
        <v/>
      </c>
      <c r="D140" s="64" t="str">
        <f aca="false">IF($A140="","",SUMIFS(期初数据!$R$6:$R$205,期初数据!$O$6:$O$205,$A140)+SUMIFS(采购录入!$F$5:$F$404,采购录入!$E$5:$E$404,$A140,采购录入!$I$5:$I$404,"是",采购录入!$B$5:$B$404,"&lt;"&amp;首页!$B$6)-SUMIFS(销售录入!$F$5:$F$404,销售录入!$E$5:$E$404,$A140,销售录入!$B$5:$B$404,"&lt;"&amp;首页!$B$6))</f>
        <v/>
      </c>
      <c r="E140" s="54" t="str">
        <f aca="false">IF($A140="","",SUMIFS(期初数据!$T$6:$T$205,期初数据!$O$6:$O$205,$A140)+SUMIFS(采购录入!$Q$5:$Q$404,采购录入!$E$5:$E$404,$A140,采购录入!$I$5:$I$404,"是",采购录入!$B$5:$B$404,"&lt;"&amp;首页!$B$6)-SUMIFS(销售录入!$S$5:$S$404,销售录入!$E$5:$E$404,$A140,销售录入!$B$5:$B$404,"&lt;"&amp;首页!$B$6))</f>
        <v/>
      </c>
      <c r="F140" s="64" t="str">
        <f aca="false">IF($A140="","",SUMIFS(采购录入!$F$5:$F$404,采购录入!$E$5:$E$404,$A140,采购录入!$I$5:$I$404,"是",采购录入!$C$5:$C$404,首页!$B$5))</f>
        <v/>
      </c>
      <c r="G140" s="54" t="str">
        <f aca="false">IF($A140="","",SUMIFS(采购录入!$Q$5:$Q$404,采购录入!$E$5:$E$404,$A140,采购录入!$I$5:$I$404,"是",采购录入!$C$5:$C$404,首页!$B$5))</f>
        <v/>
      </c>
      <c r="H140" s="64" t="str">
        <f aca="false">IF($A140="","",SUMIFS(销售录入!$F$5:$F$404,销售录入!$E$5:$E$404,$A140,销售录入!$C$5:$C$404,首页!$B$5))</f>
        <v/>
      </c>
      <c r="I140" s="54" t="str">
        <f aca="false">IF($A140="","",SUMIFS(销售录入!$S$5:$S$404,销售录入!$E$5:$E$404,$A140,销售录入!$C$5:$C$404,首页!$B$5))</f>
        <v/>
      </c>
      <c r="J140" s="65" t="str">
        <f aca="false">IF($A140="","",$D140+$F140-$H140)</f>
        <v/>
      </c>
      <c r="K140" s="44" t="str">
        <f aca="false">IF($A140="","",$E140+$G140-$I140)</f>
        <v/>
      </c>
      <c r="L140" s="44" t="str">
        <f aca="false">IF(OR($A140="",$J140=0),"",$K140/$J140)</f>
        <v/>
      </c>
      <c r="M140" s="54" t="str">
        <f aca="false">IF($A140="","",SUMIFS(销售录入!$O$5:$O$404,销售录入!$E$5:$E$404,$A140,销售录入!$C$5:$C$404,首页!$B$5))</f>
        <v/>
      </c>
      <c r="N140" s="44" t="str">
        <f aca="false">IF($A140="","",$M140-$I140)</f>
        <v/>
      </c>
      <c r="O140" s="63" t="str">
        <f aca="false">IF(OR($A140="",$M140=0),"",$N140/$M140)</f>
        <v/>
      </c>
      <c r="P140" s="47" t="str">
        <f aca="false">IF($A140="","",IF($J140&lt;0,"⚠ 负库存",IF(AND($J140=0,ABS($K140)&gt;0.01),"⚠ 有金额无数量",IF(AND($J140&gt;0,$K140&lt;0),"⚠ 金额为负",IF($N140&lt;0,"⚠ 毛利为负","正常")))))</f>
        <v/>
      </c>
    </row>
    <row r="141" customFormat="false" ht="15.75" hidden="false" customHeight="true" outlineLevel="0" collapsed="false">
      <c r="A141" s="35" t="str">
        <f aca="false">IF(基础资料!$Q141="","",基础资料!$Q141)</f>
        <v/>
      </c>
      <c r="B141" s="42" t="str">
        <f aca="false">IF($A141="","",基础资料!$R141)</f>
        <v/>
      </c>
      <c r="C141" s="42" t="str">
        <f aca="false">IF($A141="","",基础资料!$S141)</f>
        <v/>
      </c>
      <c r="D141" s="64" t="str">
        <f aca="false">IF($A141="","",SUMIFS(期初数据!$R$6:$R$205,期初数据!$O$6:$O$205,$A141)+SUMIFS(采购录入!$F$5:$F$404,采购录入!$E$5:$E$404,$A141,采购录入!$I$5:$I$404,"是",采购录入!$B$5:$B$404,"&lt;"&amp;首页!$B$6)-SUMIFS(销售录入!$F$5:$F$404,销售录入!$E$5:$E$404,$A141,销售录入!$B$5:$B$404,"&lt;"&amp;首页!$B$6))</f>
        <v/>
      </c>
      <c r="E141" s="54" t="str">
        <f aca="false">IF($A141="","",SUMIFS(期初数据!$T$6:$T$205,期初数据!$O$6:$O$205,$A141)+SUMIFS(采购录入!$Q$5:$Q$404,采购录入!$E$5:$E$404,$A141,采购录入!$I$5:$I$404,"是",采购录入!$B$5:$B$404,"&lt;"&amp;首页!$B$6)-SUMIFS(销售录入!$S$5:$S$404,销售录入!$E$5:$E$404,$A141,销售录入!$B$5:$B$404,"&lt;"&amp;首页!$B$6))</f>
        <v/>
      </c>
      <c r="F141" s="64" t="str">
        <f aca="false">IF($A141="","",SUMIFS(采购录入!$F$5:$F$404,采购录入!$E$5:$E$404,$A141,采购录入!$I$5:$I$404,"是",采购录入!$C$5:$C$404,首页!$B$5))</f>
        <v/>
      </c>
      <c r="G141" s="54" t="str">
        <f aca="false">IF($A141="","",SUMIFS(采购录入!$Q$5:$Q$404,采购录入!$E$5:$E$404,$A141,采购录入!$I$5:$I$404,"是",采购录入!$C$5:$C$404,首页!$B$5))</f>
        <v/>
      </c>
      <c r="H141" s="64" t="str">
        <f aca="false">IF($A141="","",SUMIFS(销售录入!$F$5:$F$404,销售录入!$E$5:$E$404,$A141,销售录入!$C$5:$C$404,首页!$B$5))</f>
        <v/>
      </c>
      <c r="I141" s="54" t="str">
        <f aca="false">IF($A141="","",SUMIFS(销售录入!$S$5:$S$404,销售录入!$E$5:$E$404,$A141,销售录入!$C$5:$C$404,首页!$B$5))</f>
        <v/>
      </c>
      <c r="J141" s="65" t="str">
        <f aca="false">IF($A141="","",$D141+$F141-$H141)</f>
        <v/>
      </c>
      <c r="K141" s="44" t="str">
        <f aca="false">IF($A141="","",$E141+$G141-$I141)</f>
        <v/>
      </c>
      <c r="L141" s="44" t="str">
        <f aca="false">IF(OR($A141="",$J141=0),"",$K141/$J141)</f>
        <v/>
      </c>
      <c r="M141" s="54" t="str">
        <f aca="false">IF($A141="","",SUMIFS(销售录入!$O$5:$O$404,销售录入!$E$5:$E$404,$A141,销售录入!$C$5:$C$404,首页!$B$5))</f>
        <v/>
      </c>
      <c r="N141" s="44" t="str">
        <f aca="false">IF($A141="","",$M141-$I141)</f>
        <v/>
      </c>
      <c r="O141" s="63" t="str">
        <f aca="false">IF(OR($A141="",$M141=0),"",$N141/$M141)</f>
        <v/>
      </c>
      <c r="P141" s="47" t="str">
        <f aca="false">IF($A141="","",IF($J141&lt;0,"⚠ 负库存",IF(AND($J141=0,ABS($K141)&gt;0.01),"⚠ 有金额无数量",IF(AND($J141&gt;0,$K141&lt;0),"⚠ 金额为负",IF($N141&lt;0,"⚠ 毛利为负","正常")))))</f>
        <v/>
      </c>
    </row>
    <row r="142" customFormat="false" ht="15.75" hidden="false" customHeight="true" outlineLevel="0" collapsed="false">
      <c r="A142" s="35" t="str">
        <f aca="false">IF(基础资料!$Q142="","",基础资料!$Q142)</f>
        <v/>
      </c>
      <c r="B142" s="42" t="str">
        <f aca="false">IF($A142="","",基础资料!$R142)</f>
        <v/>
      </c>
      <c r="C142" s="42" t="str">
        <f aca="false">IF($A142="","",基础资料!$S142)</f>
        <v/>
      </c>
      <c r="D142" s="64" t="str">
        <f aca="false">IF($A142="","",SUMIFS(期初数据!$R$6:$R$205,期初数据!$O$6:$O$205,$A142)+SUMIFS(采购录入!$F$5:$F$404,采购录入!$E$5:$E$404,$A142,采购录入!$I$5:$I$404,"是",采购录入!$B$5:$B$404,"&lt;"&amp;首页!$B$6)-SUMIFS(销售录入!$F$5:$F$404,销售录入!$E$5:$E$404,$A142,销售录入!$B$5:$B$404,"&lt;"&amp;首页!$B$6))</f>
        <v/>
      </c>
      <c r="E142" s="54" t="str">
        <f aca="false">IF($A142="","",SUMIFS(期初数据!$T$6:$T$205,期初数据!$O$6:$O$205,$A142)+SUMIFS(采购录入!$Q$5:$Q$404,采购录入!$E$5:$E$404,$A142,采购录入!$I$5:$I$404,"是",采购录入!$B$5:$B$404,"&lt;"&amp;首页!$B$6)-SUMIFS(销售录入!$S$5:$S$404,销售录入!$E$5:$E$404,$A142,销售录入!$B$5:$B$404,"&lt;"&amp;首页!$B$6))</f>
        <v/>
      </c>
      <c r="F142" s="64" t="str">
        <f aca="false">IF($A142="","",SUMIFS(采购录入!$F$5:$F$404,采购录入!$E$5:$E$404,$A142,采购录入!$I$5:$I$404,"是",采购录入!$C$5:$C$404,首页!$B$5))</f>
        <v/>
      </c>
      <c r="G142" s="54" t="str">
        <f aca="false">IF($A142="","",SUMIFS(采购录入!$Q$5:$Q$404,采购录入!$E$5:$E$404,$A142,采购录入!$I$5:$I$404,"是",采购录入!$C$5:$C$404,首页!$B$5))</f>
        <v/>
      </c>
      <c r="H142" s="64" t="str">
        <f aca="false">IF($A142="","",SUMIFS(销售录入!$F$5:$F$404,销售录入!$E$5:$E$404,$A142,销售录入!$C$5:$C$404,首页!$B$5))</f>
        <v/>
      </c>
      <c r="I142" s="54" t="str">
        <f aca="false">IF($A142="","",SUMIFS(销售录入!$S$5:$S$404,销售录入!$E$5:$E$404,$A142,销售录入!$C$5:$C$404,首页!$B$5))</f>
        <v/>
      </c>
      <c r="J142" s="65" t="str">
        <f aca="false">IF($A142="","",$D142+$F142-$H142)</f>
        <v/>
      </c>
      <c r="K142" s="44" t="str">
        <f aca="false">IF($A142="","",$E142+$G142-$I142)</f>
        <v/>
      </c>
      <c r="L142" s="44" t="str">
        <f aca="false">IF(OR($A142="",$J142=0),"",$K142/$J142)</f>
        <v/>
      </c>
      <c r="M142" s="54" t="str">
        <f aca="false">IF($A142="","",SUMIFS(销售录入!$O$5:$O$404,销售录入!$E$5:$E$404,$A142,销售录入!$C$5:$C$404,首页!$B$5))</f>
        <v/>
      </c>
      <c r="N142" s="44" t="str">
        <f aca="false">IF($A142="","",$M142-$I142)</f>
        <v/>
      </c>
      <c r="O142" s="63" t="str">
        <f aca="false">IF(OR($A142="",$M142=0),"",$N142/$M142)</f>
        <v/>
      </c>
      <c r="P142" s="47" t="str">
        <f aca="false">IF($A142="","",IF($J142&lt;0,"⚠ 负库存",IF(AND($J142=0,ABS($K142)&gt;0.01),"⚠ 有金额无数量",IF(AND($J142&gt;0,$K142&lt;0),"⚠ 金额为负",IF($N142&lt;0,"⚠ 毛利为负","正常")))))</f>
        <v/>
      </c>
    </row>
    <row r="143" customFormat="false" ht="15.75" hidden="false" customHeight="true" outlineLevel="0" collapsed="false">
      <c r="A143" s="35" t="str">
        <f aca="false">IF(基础资料!$Q143="","",基础资料!$Q143)</f>
        <v/>
      </c>
      <c r="B143" s="42" t="str">
        <f aca="false">IF($A143="","",基础资料!$R143)</f>
        <v/>
      </c>
      <c r="C143" s="42" t="str">
        <f aca="false">IF($A143="","",基础资料!$S143)</f>
        <v/>
      </c>
      <c r="D143" s="64" t="str">
        <f aca="false">IF($A143="","",SUMIFS(期初数据!$R$6:$R$205,期初数据!$O$6:$O$205,$A143)+SUMIFS(采购录入!$F$5:$F$404,采购录入!$E$5:$E$404,$A143,采购录入!$I$5:$I$404,"是",采购录入!$B$5:$B$404,"&lt;"&amp;首页!$B$6)-SUMIFS(销售录入!$F$5:$F$404,销售录入!$E$5:$E$404,$A143,销售录入!$B$5:$B$404,"&lt;"&amp;首页!$B$6))</f>
        <v/>
      </c>
      <c r="E143" s="54" t="str">
        <f aca="false">IF($A143="","",SUMIFS(期初数据!$T$6:$T$205,期初数据!$O$6:$O$205,$A143)+SUMIFS(采购录入!$Q$5:$Q$404,采购录入!$E$5:$E$404,$A143,采购录入!$I$5:$I$404,"是",采购录入!$B$5:$B$404,"&lt;"&amp;首页!$B$6)-SUMIFS(销售录入!$S$5:$S$404,销售录入!$E$5:$E$404,$A143,销售录入!$B$5:$B$404,"&lt;"&amp;首页!$B$6))</f>
        <v/>
      </c>
      <c r="F143" s="64" t="str">
        <f aca="false">IF($A143="","",SUMIFS(采购录入!$F$5:$F$404,采购录入!$E$5:$E$404,$A143,采购录入!$I$5:$I$404,"是",采购录入!$C$5:$C$404,首页!$B$5))</f>
        <v/>
      </c>
      <c r="G143" s="54" t="str">
        <f aca="false">IF($A143="","",SUMIFS(采购录入!$Q$5:$Q$404,采购录入!$E$5:$E$404,$A143,采购录入!$I$5:$I$404,"是",采购录入!$C$5:$C$404,首页!$B$5))</f>
        <v/>
      </c>
      <c r="H143" s="64" t="str">
        <f aca="false">IF($A143="","",SUMIFS(销售录入!$F$5:$F$404,销售录入!$E$5:$E$404,$A143,销售录入!$C$5:$C$404,首页!$B$5))</f>
        <v/>
      </c>
      <c r="I143" s="54" t="str">
        <f aca="false">IF($A143="","",SUMIFS(销售录入!$S$5:$S$404,销售录入!$E$5:$E$404,$A143,销售录入!$C$5:$C$404,首页!$B$5))</f>
        <v/>
      </c>
      <c r="J143" s="65" t="str">
        <f aca="false">IF($A143="","",$D143+$F143-$H143)</f>
        <v/>
      </c>
      <c r="K143" s="44" t="str">
        <f aca="false">IF($A143="","",$E143+$G143-$I143)</f>
        <v/>
      </c>
      <c r="L143" s="44" t="str">
        <f aca="false">IF(OR($A143="",$J143=0),"",$K143/$J143)</f>
        <v/>
      </c>
      <c r="M143" s="54" t="str">
        <f aca="false">IF($A143="","",SUMIFS(销售录入!$O$5:$O$404,销售录入!$E$5:$E$404,$A143,销售录入!$C$5:$C$404,首页!$B$5))</f>
        <v/>
      </c>
      <c r="N143" s="44" t="str">
        <f aca="false">IF($A143="","",$M143-$I143)</f>
        <v/>
      </c>
      <c r="O143" s="63" t="str">
        <f aca="false">IF(OR($A143="",$M143=0),"",$N143/$M143)</f>
        <v/>
      </c>
      <c r="P143" s="47" t="str">
        <f aca="false">IF($A143="","",IF($J143&lt;0,"⚠ 负库存",IF(AND($J143=0,ABS($K143)&gt;0.01),"⚠ 有金额无数量",IF(AND($J143&gt;0,$K143&lt;0),"⚠ 金额为负",IF($N143&lt;0,"⚠ 毛利为负","正常")))))</f>
        <v/>
      </c>
    </row>
    <row r="144" customFormat="false" ht="15.75" hidden="false" customHeight="true" outlineLevel="0" collapsed="false">
      <c r="A144" s="35" t="str">
        <f aca="false">IF(基础资料!$Q144="","",基础资料!$Q144)</f>
        <v/>
      </c>
      <c r="B144" s="42" t="str">
        <f aca="false">IF($A144="","",基础资料!$R144)</f>
        <v/>
      </c>
      <c r="C144" s="42" t="str">
        <f aca="false">IF($A144="","",基础资料!$S144)</f>
        <v/>
      </c>
      <c r="D144" s="64" t="str">
        <f aca="false">IF($A144="","",SUMIFS(期初数据!$R$6:$R$205,期初数据!$O$6:$O$205,$A144)+SUMIFS(采购录入!$F$5:$F$404,采购录入!$E$5:$E$404,$A144,采购录入!$I$5:$I$404,"是",采购录入!$B$5:$B$404,"&lt;"&amp;首页!$B$6)-SUMIFS(销售录入!$F$5:$F$404,销售录入!$E$5:$E$404,$A144,销售录入!$B$5:$B$404,"&lt;"&amp;首页!$B$6))</f>
        <v/>
      </c>
      <c r="E144" s="54" t="str">
        <f aca="false">IF($A144="","",SUMIFS(期初数据!$T$6:$T$205,期初数据!$O$6:$O$205,$A144)+SUMIFS(采购录入!$Q$5:$Q$404,采购录入!$E$5:$E$404,$A144,采购录入!$I$5:$I$404,"是",采购录入!$B$5:$B$404,"&lt;"&amp;首页!$B$6)-SUMIFS(销售录入!$S$5:$S$404,销售录入!$E$5:$E$404,$A144,销售录入!$B$5:$B$404,"&lt;"&amp;首页!$B$6))</f>
        <v/>
      </c>
      <c r="F144" s="64" t="str">
        <f aca="false">IF($A144="","",SUMIFS(采购录入!$F$5:$F$404,采购录入!$E$5:$E$404,$A144,采购录入!$I$5:$I$404,"是",采购录入!$C$5:$C$404,首页!$B$5))</f>
        <v/>
      </c>
      <c r="G144" s="54" t="str">
        <f aca="false">IF($A144="","",SUMIFS(采购录入!$Q$5:$Q$404,采购录入!$E$5:$E$404,$A144,采购录入!$I$5:$I$404,"是",采购录入!$C$5:$C$404,首页!$B$5))</f>
        <v/>
      </c>
      <c r="H144" s="64" t="str">
        <f aca="false">IF($A144="","",SUMIFS(销售录入!$F$5:$F$404,销售录入!$E$5:$E$404,$A144,销售录入!$C$5:$C$404,首页!$B$5))</f>
        <v/>
      </c>
      <c r="I144" s="54" t="str">
        <f aca="false">IF($A144="","",SUMIFS(销售录入!$S$5:$S$404,销售录入!$E$5:$E$404,$A144,销售录入!$C$5:$C$404,首页!$B$5))</f>
        <v/>
      </c>
      <c r="J144" s="65" t="str">
        <f aca="false">IF($A144="","",$D144+$F144-$H144)</f>
        <v/>
      </c>
      <c r="K144" s="44" t="str">
        <f aca="false">IF($A144="","",$E144+$G144-$I144)</f>
        <v/>
      </c>
      <c r="L144" s="44" t="str">
        <f aca="false">IF(OR($A144="",$J144=0),"",$K144/$J144)</f>
        <v/>
      </c>
      <c r="M144" s="54" t="str">
        <f aca="false">IF($A144="","",SUMIFS(销售录入!$O$5:$O$404,销售录入!$E$5:$E$404,$A144,销售录入!$C$5:$C$404,首页!$B$5))</f>
        <v/>
      </c>
      <c r="N144" s="44" t="str">
        <f aca="false">IF($A144="","",$M144-$I144)</f>
        <v/>
      </c>
      <c r="O144" s="63" t="str">
        <f aca="false">IF(OR($A144="",$M144=0),"",$N144/$M144)</f>
        <v/>
      </c>
      <c r="P144" s="47" t="str">
        <f aca="false">IF($A144="","",IF($J144&lt;0,"⚠ 负库存",IF(AND($J144=0,ABS($K144)&gt;0.01),"⚠ 有金额无数量",IF(AND($J144&gt;0,$K144&lt;0),"⚠ 金额为负",IF($N144&lt;0,"⚠ 毛利为负","正常")))))</f>
        <v/>
      </c>
    </row>
    <row r="145" customFormat="false" ht="15.75" hidden="false" customHeight="true" outlineLevel="0" collapsed="false">
      <c r="A145" s="35" t="str">
        <f aca="false">IF(基础资料!$Q145="","",基础资料!$Q145)</f>
        <v/>
      </c>
      <c r="B145" s="42" t="str">
        <f aca="false">IF($A145="","",基础资料!$R145)</f>
        <v/>
      </c>
      <c r="C145" s="42" t="str">
        <f aca="false">IF($A145="","",基础资料!$S145)</f>
        <v/>
      </c>
      <c r="D145" s="64" t="str">
        <f aca="false">IF($A145="","",SUMIFS(期初数据!$R$6:$R$205,期初数据!$O$6:$O$205,$A145)+SUMIFS(采购录入!$F$5:$F$404,采购录入!$E$5:$E$404,$A145,采购录入!$I$5:$I$404,"是",采购录入!$B$5:$B$404,"&lt;"&amp;首页!$B$6)-SUMIFS(销售录入!$F$5:$F$404,销售录入!$E$5:$E$404,$A145,销售录入!$B$5:$B$404,"&lt;"&amp;首页!$B$6))</f>
        <v/>
      </c>
      <c r="E145" s="54" t="str">
        <f aca="false">IF($A145="","",SUMIFS(期初数据!$T$6:$T$205,期初数据!$O$6:$O$205,$A145)+SUMIFS(采购录入!$Q$5:$Q$404,采购录入!$E$5:$E$404,$A145,采购录入!$I$5:$I$404,"是",采购录入!$B$5:$B$404,"&lt;"&amp;首页!$B$6)-SUMIFS(销售录入!$S$5:$S$404,销售录入!$E$5:$E$404,$A145,销售录入!$B$5:$B$404,"&lt;"&amp;首页!$B$6))</f>
        <v/>
      </c>
      <c r="F145" s="64" t="str">
        <f aca="false">IF($A145="","",SUMIFS(采购录入!$F$5:$F$404,采购录入!$E$5:$E$404,$A145,采购录入!$I$5:$I$404,"是",采购录入!$C$5:$C$404,首页!$B$5))</f>
        <v/>
      </c>
      <c r="G145" s="54" t="str">
        <f aca="false">IF($A145="","",SUMIFS(采购录入!$Q$5:$Q$404,采购录入!$E$5:$E$404,$A145,采购录入!$I$5:$I$404,"是",采购录入!$C$5:$C$404,首页!$B$5))</f>
        <v/>
      </c>
      <c r="H145" s="64" t="str">
        <f aca="false">IF($A145="","",SUMIFS(销售录入!$F$5:$F$404,销售录入!$E$5:$E$404,$A145,销售录入!$C$5:$C$404,首页!$B$5))</f>
        <v/>
      </c>
      <c r="I145" s="54" t="str">
        <f aca="false">IF($A145="","",SUMIFS(销售录入!$S$5:$S$404,销售录入!$E$5:$E$404,$A145,销售录入!$C$5:$C$404,首页!$B$5))</f>
        <v/>
      </c>
      <c r="J145" s="65" t="str">
        <f aca="false">IF($A145="","",$D145+$F145-$H145)</f>
        <v/>
      </c>
      <c r="K145" s="44" t="str">
        <f aca="false">IF($A145="","",$E145+$G145-$I145)</f>
        <v/>
      </c>
      <c r="L145" s="44" t="str">
        <f aca="false">IF(OR($A145="",$J145=0),"",$K145/$J145)</f>
        <v/>
      </c>
      <c r="M145" s="54" t="str">
        <f aca="false">IF($A145="","",SUMIFS(销售录入!$O$5:$O$404,销售录入!$E$5:$E$404,$A145,销售录入!$C$5:$C$404,首页!$B$5))</f>
        <v/>
      </c>
      <c r="N145" s="44" t="str">
        <f aca="false">IF($A145="","",$M145-$I145)</f>
        <v/>
      </c>
      <c r="O145" s="63" t="str">
        <f aca="false">IF(OR($A145="",$M145=0),"",$N145/$M145)</f>
        <v/>
      </c>
      <c r="P145" s="47" t="str">
        <f aca="false">IF($A145="","",IF($J145&lt;0,"⚠ 负库存",IF(AND($J145=0,ABS($K145)&gt;0.01),"⚠ 有金额无数量",IF(AND($J145&gt;0,$K145&lt;0),"⚠ 金额为负",IF($N145&lt;0,"⚠ 毛利为负","正常")))))</f>
        <v/>
      </c>
    </row>
    <row r="146" customFormat="false" ht="15.75" hidden="false" customHeight="true" outlineLevel="0" collapsed="false">
      <c r="A146" s="35" t="str">
        <f aca="false">IF(基础资料!$Q146="","",基础资料!$Q146)</f>
        <v/>
      </c>
      <c r="B146" s="42" t="str">
        <f aca="false">IF($A146="","",基础资料!$R146)</f>
        <v/>
      </c>
      <c r="C146" s="42" t="str">
        <f aca="false">IF($A146="","",基础资料!$S146)</f>
        <v/>
      </c>
      <c r="D146" s="64" t="str">
        <f aca="false">IF($A146="","",SUMIFS(期初数据!$R$6:$R$205,期初数据!$O$6:$O$205,$A146)+SUMIFS(采购录入!$F$5:$F$404,采购录入!$E$5:$E$404,$A146,采购录入!$I$5:$I$404,"是",采购录入!$B$5:$B$404,"&lt;"&amp;首页!$B$6)-SUMIFS(销售录入!$F$5:$F$404,销售录入!$E$5:$E$404,$A146,销售录入!$B$5:$B$404,"&lt;"&amp;首页!$B$6))</f>
        <v/>
      </c>
      <c r="E146" s="54" t="str">
        <f aca="false">IF($A146="","",SUMIFS(期初数据!$T$6:$T$205,期初数据!$O$6:$O$205,$A146)+SUMIFS(采购录入!$Q$5:$Q$404,采购录入!$E$5:$E$404,$A146,采购录入!$I$5:$I$404,"是",采购录入!$B$5:$B$404,"&lt;"&amp;首页!$B$6)-SUMIFS(销售录入!$S$5:$S$404,销售录入!$E$5:$E$404,$A146,销售录入!$B$5:$B$404,"&lt;"&amp;首页!$B$6))</f>
        <v/>
      </c>
      <c r="F146" s="64" t="str">
        <f aca="false">IF($A146="","",SUMIFS(采购录入!$F$5:$F$404,采购录入!$E$5:$E$404,$A146,采购录入!$I$5:$I$404,"是",采购录入!$C$5:$C$404,首页!$B$5))</f>
        <v/>
      </c>
      <c r="G146" s="54" t="str">
        <f aca="false">IF($A146="","",SUMIFS(采购录入!$Q$5:$Q$404,采购录入!$E$5:$E$404,$A146,采购录入!$I$5:$I$404,"是",采购录入!$C$5:$C$404,首页!$B$5))</f>
        <v/>
      </c>
      <c r="H146" s="64" t="str">
        <f aca="false">IF($A146="","",SUMIFS(销售录入!$F$5:$F$404,销售录入!$E$5:$E$404,$A146,销售录入!$C$5:$C$404,首页!$B$5))</f>
        <v/>
      </c>
      <c r="I146" s="54" t="str">
        <f aca="false">IF($A146="","",SUMIFS(销售录入!$S$5:$S$404,销售录入!$E$5:$E$404,$A146,销售录入!$C$5:$C$404,首页!$B$5))</f>
        <v/>
      </c>
      <c r="J146" s="65" t="str">
        <f aca="false">IF($A146="","",$D146+$F146-$H146)</f>
        <v/>
      </c>
      <c r="K146" s="44" t="str">
        <f aca="false">IF($A146="","",$E146+$G146-$I146)</f>
        <v/>
      </c>
      <c r="L146" s="44" t="str">
        <f aca="false">IF(OR($A146="",$J146=0),"",$K146/$J146)</f>
        <v/>
      </c>
      <c r="M146" s="54" t="str">
        <f aca="false">IF($A146="","",SUMIFS(销售录入!$O$5:$O$404,销售录入!$E$5:$E$404,$A146,销售录入!$C$5:$C$404,首页!$B$5))</f>
        <v/>
      </c>
      <c r="N146" s="44" t="str">
        <f aca="false">IF($A146="","",$M146-$I146)</f>
        <v/>
      </c>
      <c r="O146" s="63" t="str">
        <f aca="false">IF(OR($A146="",$M146=0),"",$N146/$M146)</f>
        <v/>
      </c>
      <c r="P146" s="47" t="str">
        <f aca="false">IF($A146="","",IF($J146&lt;0,"⚠ 负库存",IF(AND($J146=0,ABS($K146)&gt;0.01),"⚠ 有金额无数量",IF(AND($J146&gt;0,$K146&lt;0),"⚠ 金额为负",IF($N146&lt;0,"⚠ 毛利为负","正常")))))</f>
        <v/>
      </c>
    </row>
    <row r="147" customFormat="false" ht="15.75" hidden="false" customHeight="true" outlineLevel="0" collapsed="false">
      <c r="A147" s="35" t="str">
        <f aca="false">IF(基础资料!$Q147="","",基础资料!$Q147)</f>
        <v/>
      </c>
      <c r="B147" s="42" t="str">
        <f aca="false">IF($A147="","",基础资料!$R147)</f>
        <v/>
      </c>
      <c r="C147" s="42" t="str">
        <f aca="false">IF($A147="","",基础资料!$S147)</f>
        <v/>
      </c>
      <c r="D147" s="64" t="str">
        <f aca="false">IF($A147="","",SUMIFS(期初数据!$R$6:$R$205,期初数据!$O$6:$O$205,$A147)+SUMIFS(采购录入!$F$5:$F$404,采购录入!$E$5:$E$404,$A147,采购录入!$I$5:$I$404,"是",采购录入!$B$5:$B$404,"&lt;"&amp;首页!$B$6)-SUMIFS(销售录入!$F$5:$F$404,销售录入!$E$5:$E$404,$A147,销售录入!$B$5:$B$404,"&lt;"&amp;首页!$B$6))</f>
        <v/>
      </c>
      <c r="E147" s="54" t="str">
        <f aca="false">IF($A147="","",SUMIFS(期初数据!$T$6:$T$205,期初数据!$O$6:$O$205,$A147)+SUMIFS(采购录入!$Q$5:$Q$404,采购录入!$E$5:$E$404,$A147,采购录入!$I$5:$I$404,"是",采购录入!$B$5:$B$404,"&lt;"&amp;首页!$B$6)-SUMIFS(销售录入!$S$5:$S$404,销售录入!$E$5:$E$404,$A147,销售录入!$B$5:$B$404,"&lt;"&amp;首页!$B$6))</f>
        <v/>
      </c>
      <c r="F147" s="64" t="str">
        <f aca="false">IF($A147="","",SUMIFS(采购录入!$F$5:$F$404,采购录入!$E$5:$E$404,$A147,采购录入!$I$5:$I$404,"是",采购录入!$C$5:$C$404,首页!$B$5))</f>
        <v/>
      </c>
      <c r="G147" s="54" t="str">
        <f aca="false">IF($A147="","",SUMIFS(采购录入!$Q$5:$Q$404,采购录入!$E$5:$E$404,$A147,采购录入!$I$5:$I$404,"是",采购录入!$C$5:$C$404,首页!$B$5))</f>
        <v/>
      </c>
      <c r="H147" s="64" t="str">
        <f aca="false">IF($A147="","",SUMIFS(销售录入!$F$5:$F$404,销售录入!$E$5:$E$404,$A147,销售录入!$C$5:$C$404,首页!$B$5))</f>
        <v/>
      </c>
      <c r="I147" s="54" t="str">
        <f aca="false">IF($A147="","",SUMIFS(销售录入!$S$5:$S$404,销售录入!$E$5:$E$404,$A147,销售录入!$C$5:$C$404,首页!$B$5))</f>
        <v/>
      </c>
      <c r="J147" s="65" t="str">
        <f aca="false">IF($A147="","",$D147+$F147-$H147)</f>
        <v/>
      </c>
      <c r="K147" s="44" t="str">
        <f aca="false">IF($A147="","",$E147+$G147-$I147)</f>
        <v/>
      </c>
      <c r="L147" s="44" t="str">
        <f aca="false">IF(OR($A147="",$J147=0),"",$K147/$J147)</f>
        <v/>
      </c>
      <c r="M147" s="54" t="str">
        <f aca="false">IF($A147="","",SUMIFS(销售录入!$O$5:$O$404,销售录入!$E$5:$E$404,$A147,销售录入!$C$5:$C$404,首页!$B$5))</f>
        <v/>
      </c>
      <c r="N147" s="44" t="str">
        <f aca="false">IF($A147="","",$M147-$I147)</f>
        <v/>
      </c>
      <c r="O147" s="63" t="str">
        <f aca="false">IF(OR($A147="",$M147=0),"",$N147/$M147)</f>
        <v/>
      </c>
      <c r="P147" s="47" t="str">
        <f aca="false">IF($A147="","",IF($J147&lt;0,"⚠ 负库存",IF(AND($J147=0,ABS($K147)&gt;0.01),"⚠ 有金额无数量",IF(AND($J147&gt;0,$K147&lt;0),"⚠ 金额为负",IF($N147&lt;0,"⚠ 毛利为负","正常")))))</f>
        <v/>
      </c>
    </row>
    <row r="148" customFormat="false" ht="15.75" hidden="false" customHeight="true" outlineLevel="0" collapsed="false">
      <c r="A148" s="35" t="str">
        <f aca="false">IF(基础资料!$Q148="","",基础资料!$Q148)</f>
        <v/>
      </c>
      <c r="B148" s="42" t="str">
        <f aca="false">IF($A148="","",基础资料!$R148)</f>
        <v/>
      </c>
      <c r="C148" s="42" t="str">
        <f aca="false">IF($A148="","",基础资料!$S148)</f>
        <v/>
      </c>
      <c r="D148" s="64" t="str">
        <f aca="false">IF($A148="","",SUMIFS(期初数据!$R$6:$R$205,期初数据!$O$6:$O$205,$A148)+SUMIFS(采购录入!$F$5:$F$404,采购录入!$E$5:$E$404,$A148,采购录入!$I$5:$I$404,"是",采购录入!$B$5:$B$404,"&lt;"&amp;首页!$B$6)-SUMIFS(销售录入!$F$5:$F$404,销售录入!$E$5:$E$404,$A148,销售录入!$B$5:$B$404,"&lt;"&amp;首页!$B$6))</f>
        <v/>
      </c>
      <c r="E148" s="54" t="str">
        <f aca="false">IF($A148="","",SUMIFS(期初数据!$T$6:$T$205,期初数据!$O$6:$O$205,$A148)+SUMIFS(采购录入!$Q$5:$Q$404,采购录入!$E$5:$E$404,$A148,采购录入!$I$5:$I$404,"是",采购录入!$B$5:$B$404,"&lt;"&amp;首页!$B$6)-SUMIFS(销售录入!$S$5:$S$404,销售录入!$E$5:$E$404,$A148,销售录入!$B$5:$B$404,"&lt;"&amp;首页!$B$6))</f>
        <v/>
      </c>
      <c r="F148" s="64" t="str">
        <f aca="false">IF($A148="","",SUMIFS(采购录入!$F$5:$F$404,采购录入!$E$5:$E$404,$A148,采购录入!$I$5:$I$404,"是",采购录入!$C$5:$C$404,首页!$B$5))</f>
        <v/>
      </c>
      <c r="G148" s="54" t="str">
        <f aca="false">IF($A148="","",SUMIFS(采购录入!$Q$5:$Q$404,采购录入!$E$5:$E$404,$A148,采购录入!$I$5:$I$404,"是",采购录入!$C$5:$C$404,首页!$B$5))</f>
        <v/>
      </c>
      <c r="H148" s="64" t="str">
        <f aca="false">IF($A148="","",SUMIFS(销售录入!$F$5:$F$404,销售录入!$E$5:$E$404,$A148,销售录入!$C$5:$C$404,首页!$B$5))</f>
        <v/>
      </c>
      <c r="I148" s="54" t="str">
        <f aca="false">IF($A148="","",SUMIFS(销售录入!$S$5:$S$404,销售录入!$E$5:$E$404,$A148,销售录入!$C$5:$C$404,首页!$B$5))</f>
        <v/>
      </c>
      <c r="J148" s="65" t="str">
        <f aca="false">IF($A148="","",$D148+$F148-$H148)</f>
        <v/>
      </c>
      <c r="K148" s="44" t="str">
        <f aca="false">IF($A148="","",$E148+$G148-$I148)</f>
        <v/>
      </c>
      <c r="L148" s="44" t="str">
        <f aca="false">IF(OR($A148="",$J148=0),"",$K148/$J148)</f>
        <v/>
      </c>
      <c r="M148" s="54" t="str">
        <f aca="false">IF($A148="","",SUMIFS(销售录入!$O$5:$O$404,销售录入!$E$5:$E$404,$A148,销售录入!$C$5:$C$404,首页!$B$5))</f>
        <v/>
      </c>
      <c r="N148" s="44" t="str">
        <f aca="false">IF($A148="","",$M148-$I148)</f>
        <v/>
      </c>
      <c r="O148" s="63" t="str">
        <f aca="false">IF(OR($A148="",$M148=0),"",$N148/$M148)</f>
        <v/>
      </c>
      <c r="P148" s="47" t="str">
        <f aca="false">IF($A148="","",IF($J148&lt;0,"⚠ 负库存",IF(AND($J148=0,ABS($K148)&gt;0.01),"⚠ 有金额无数量",IF(AND($J148&gt;0,$K148&lt;0),"⚠ 金额为负",IF($N148&lt;0,"⚠ 毛利为负","正常")))))</f>
        <v/>
      </c>
    </row>
    <row r="149" customFormat="false" ht="15.75" hidden="false" customHeight="true" outlineLevel="0" collapsed="false">
      <c r="A149" s="35" t="str">
        <f aca="false">IF(基础资料!$Q149="","",基础资料!$Q149)</f>
        <v/>
      </c>
      <c r="B149" s="42" t="str">
        <f aca="false">IF($A149="","",基础资料!$R149)</f>
        <v/>
      </c>
      <c r="C149" s="42" t="str">
        <f aca="false">IF($A149="","",基础资料!$S149)</f>
        <v/>
      </c>
      <c r="D149" s="64" t="str">
        <f aca="false">IF($A149="","",SUMIFS(期初数据!$R$6:$R$205,期初数据!$O$6:$O$205,$A149)+SUMIFS(采购录入!$F$5:$F$404,采购录入!$E$5:$E$404,$A149,采购录入!$I$5:$I$404,"是",采购录入!$B$5:$B$404,"&lt;"&amp;首页!$B$6)-SUMIFS(销售录入!$F$5:$F$404,销售录入!$E$5:$E$404,$A149,销售录入!$B$5:$B$404,"&lt;"&amp;首页!$B$6))</f>
        <v/>
      </c>
      <c r="E149" s="54" t="str">
        <f aca="false">IF($A149="","",SUMIFS(期初数据!$T$6:$T$205,期初数据!$O$6:$O$205,$A149)+SUMIFS(采购录入!$Q$5:$Q$404,采购录入!$E$5:$E$404,$A149,采购录入!$I$5:$I$404,"是",采购录入!$B$5:$B$404,"&lt;"&amp;首页!$B$6)-SUMIFS(销售录入!$S$5:$S$404,销售录入!$E$5:$E$404,$A149,销售录入!$B$5:$B$404,"&lt;"&amp;首页!$B$6))</f>
        <v/>
      </c>
      <c r="F149" s="64" t="str">
        <f aca="false">IF($A149="","",SUMIFS(采购录入!$F$5:$F$404,采购录入!$E$5:$E$404,$A149,采购录入!$I$5:$I$404,"是",采购录入!$C$5:$C$404,首页!$B$5))</f>
        <v/>
      </c>
      <c r="G149" s="54" t="str">
        <f aca="false">IF($A149="","",SUMIFS(采购录入!$Q$5:$Q$404,采购录入!$E$5:$E$404,$A149,采购录入!$I$5:$I$404,"是",采购录入!$C$5:$C$404,首页!$B$5))</f>
        <v/>
      </c>
      <c r="H149" s="64" t="str">
        <f aca="false">IF($A149="","",SUMIFS(销售录入!$F$5:$F$404,销售录入!$E$5:$E$404,$A149,销售录入!$C$5:$C$404,首页!$B$5))</f>
        <v/>
      </c>
      <c r="I149" s="54" t="str">
        <f aca="false">IF($A149="","",SUMIFS(销售录入!$S$5:$S$404,销售录入!$E$5:$E$404,$A149,销售录入!$C$5:$C$404,首页!$B$5))</f>
        <v/>
      </c>
      <c r="J149" s="65" t="str">
        <f aca="false">IF($A149="","",$D149+$F149-$H149)</f>
        <v/>
      </c>
      <c r="K149" s="44" t="str">
        <f aca="false">IF($A149="","",$E149+$G149-$I149)</f>
        <v/>
      </c>
      <c r="L149" s="44" t="str">
        <f aca="false">IF(OR($A149="",$J149=0),"",$K149/$J149)</f>
        <v/>
      </c>
      <c r="M149" s="54" t="str">
        <f aca="false">IF($A149="","",SUMIFS(销售录入!$O$5:$O$404,销售录入!$E$5:$E$404,$A149,销售录入!$C$5:$C$404,首页!$B$5))</f>
        <v/>
      </c>
      <c r="N149" s="44" t="str">
        <f aca="false">IF($A149="","",$M149-$I149)</f>
        <v/>
      </c>
      <c r="O149" s="63" t="str">
        <f aca="false">IF(OR($A149="",$M149=0),"",$N149/$M149)</f>
        <v/>
      </c>
      <c r="P149" s="47" t="str">
        <f aca="false">IF($A149="","",IF($J149&lt;0,"⚠ 负库存",IF(AND($J149=0,ABS($K149)&gt;0.01),"⚠ 有金额无数量",IF(AND($J149&gt;0,$K149&lt;0),"⚠ 金额为负",IF($N149&lt;0,"⚠ 毛利为负","正常")))))</f>
        <v/>
      </c>
    </row>
    <row r="150" customFormat="false" ht="15.75" hidden="false" customHeight="true" outlineLevel="0" collapsed="false">
      <c r="A150" s="35" t="str">
        <f aca="false">IF(基础资料!$Q150="","",基础资料!$Q150)</f>
        <v/>
      </c>
      <c r="B150" s="42" t="str">
        <f aca="false">IF($A150="","",基础资料!$R150)</f>
        <v/>
      </c>
      <c r="C150" s="42" t="str">
        <f aca="false">IF($A150="","",基础资料!$S150)</f>
        <v/>
      </c>
      <c r="D150" s="64" t="str">
        <f aca="false">IF($A150="","",SUMIFS(期初数据!$R$6:$R$205,期初数据!$O$6:$O$205,$A150)+SUMIFS(采购录入!$F$5:$F$404,采购录入!$E$5:$E$404,$A150,采购录入!$I$5:$I$404,"是",采购录入!$B$5:$B$404,"&lt;"&amp;首页!$B$6)-SUMIFS(销售录入!$F$5:$F$404,销售录入!$E$5:$E$404,$A150,销售录入!$B$5:$B$404,"&lt;"&amp;首页!$B$6))</f>
        <v/>
      </c>
      <c r="E150" s="54" t="str">
        <f aca="false">IF($A150="","",SUMIFS(期初数据!$T$6:$T$205,期初数据!$O$6:$O$205,$A150)+SUMIFS(采购录入!$Q$5:$Q$404,采购录入!$E$5:$E$404,$A150,采购录入!$I$5:$I$404,"是",采购录入!$B$5:$B$404,"&lt;"&amp;首页!$B$6)-SUMIFS(销售录入!$S$5:$S$404,销售录入!$E$5:$E$404,$A150,销售录入!$B$5:$B$404,"&lt;"&amp;首页!$B$6))</f>
        <v/>
      </c>
      <c r="F150" s="64" t="str">
        <f aca="false">IF($A150="","",SUMIFS(采购录入!$F$5:$F$404,采购录入!$E$5:$E$404,$A150,采购录入!$I$5:$I$404,"是",采购录入!$C$5:$C$404,首页!$B$5))</f>
        <v/>
      </c>
      <c r="G150" s="54" t="str">
        <f aca="false">IF($A150="","",SUMIFS(采购录入!$Q$5:$Q$404,采购录入!$E$5:$E$404,$A150,采购录入!$I$5:$I$404,"是",采购录入!$C$5:$C$404,首页!$B$5))</f>
        <v/>
      </c>
      <c r="H150" s="64" t="str">
        <f aca="false">IF($A150="","",SUMIFS(销售录入!$F$5:$F$404,销售录入!$E$5:$E$404,$A150,销售录入!$C$5:$C$404,首页!$B$5))</f>
        <v/>
      </c>
      <c r="I150" s="54" t="str">
        <f aca="false">IF($A150="","",SUMIFS(销售录入!$S$5:$S$404,销售录入!$E$5:$E$404,$A150,销售录入!$C$5:$C$404,首页!$B$5))</f>
        <v/>
      </c>
      <c r="J150" s="65" t="str">
        <f aca="false">IF($A150="","",$D150+$F150-$H150)</f>
        <v/>
      </c>
      <c r="K150" s="44" t="str">
        <f aca="false">IF($A150="","",$E150+$G150-$I150)</f>
        <v/>
      </c>
      <c r="L150" s="44" t="str">
        <f aca="false">IF(OR($A150="",$J150=0),"",$K150/$J150)</f>
        <v/>
      </c>
      <c r="M150" s="54" t="str">
        <f aca="false">IF($A150="","",SUMIFS(销售录入!$O$5:$O$404,销售录入!$E$5:$E$404,$A150,销售录入!$C$5:$C$404,首页!$B$5))</f>
        <v/>
      </c>
      <c r="N150" s="44" t="str">
        <f aca="false">IF($A150="","",$M150-$I150)</f>
        <v/>
      </c>
      <c r="O150" s="63" t="str">
        <f aca="false">IF(OR($A150="",$M150=0),"",$N150/$M150)</f>
        <v/>
      </c>
      <c r="P150" s="47" t="str">
        <f aca="false">IF($A150="","",IF($J150&lt;0,"⚠ 负库存",IF(AND($J150=0,ABS($K150)&gt;0.01),"⚠ 有金额无数量",IF(AND($J150&gt;0,$K150&lt;0),"⚠ 金额为负",IF($N150&lt;0,"⚠ 毛利为负","正常")))))</f>
        <v/>
      </c>
    </row>
    <row r="151" customFormat="false" ht="15.75" hidden="false" customHeight="true" outlineLevel="0" collapsed="false">
      <c r="A151" s="35" t="str">
        <f aca="false">IF(基础资料!$Q151="","",基础资料!$Q151)</f>
        <v/>
      </c>
      <c r="B151" s="42" t="str">
        <f aca="false">IF($A151="","",基础资料!$R151)</f>
        <v/>
      </c>
      <c r="C151" s="42" t="str">
        <f aca="false">IF($A151="","",基础资料!$S151)</f>
        <v/>
      </c>
      <c r="D151" s="64" t="str">
        <f aca="false">IF($A151="","",SUMIFS(期初数据!$R$6:$R$205,期初数据!$O$6:$O$205,$A151)+SUMIFS(采购录入!$F$5:$F$404,采购录入!$E$5:$E$404,$A151,采购录入!$I$5:$I$404,"是",采购录入!$B$5:$B$404,"&lt;"&amp;首页!$B$6)-SUMIFS(销售录入!$F$5:$F$404,销售录入!$E$5:$E$404,$A151,销售录入!$B$5:$B$404,"&lt;"&amp;首页!$B$6))</f>
        <v/>
      </c>
      <c r="E151" s="54" t="str">
        <f aca="false">IF($A151="","",SUMIFS(期初数据!$T$6:$T$205,期初数据!$O$6:$O$205,$A151)+SUMIFS(采购录入!$Q$5:$Q$404,采购录入!$E$5:$E$404,$A151,采购录入!$I$5:$I$404,"是",采购录入!$B$5:$B$404,"&lt;"&amp;首页!$B$6)-SUMIFS(销售录入!$S$5:$S$404,销售录入!$E$5:$E$404,$A151,销售录入!$B$5:$B$404,"&lt;"&amp;首页!$B$6))</f>
        <v/>
      </c>
      <c r="F151" s="64" t="str">
        <f aca="false">IF($A151="","",SUMIFS(采购录入!$F$5:$F$404,采购录入!$E$5:$E$404,$A151,采购录入!$I$5:$I$404,"是",采购录入!$C$5:$C$404,首页!$B$5))</f>
        <v/>
      </c>
      <c r="G151" s="54" t="str">
        <f aca="false">IF($A151="","",SUMIFS(采购录入!$Q$5:$Q$404,采购录入!$E$5:$E$404,$A151,采购录入!$I$5:$I$404,"是",采购录入!$C$5:$C$404,首页!$B$5))</f>
        <v/>
      </c>
      <c r="H151" s="64" t="str">
        <f aca="false">IF($A151="","",SUMIFS(销售录入!$F$5:$F$404,销售录入!$E$5:$E$404,$A151,销售录入!$C$5:$C$404,首页!$B$5))</f>
        <v/>
      </c>
      <c r="I151" s="54" t="str">
        <f aca="false">IF($A151="","",SUMIFS(销售录入!$S$5:$S$404,销售录入!$E$5:$E$404,$A151,销售录入!$C$5:$C$404,首页!$B$5))</f>
        <v/>
      </c>
      <c r="J151" s="65" t="str">
        <f aca="false">IF($A151="","",$D151+$F151-$H151)</f>
        <v/>
      </c>
      <c r="K151" s="44" t="str">
        <f aca="false">IF($A151="","",$E151+$G151-$I151)</f>
        <v/>
      </c>
      <c r="L151" s="44" t="str">
        <f aca="false">IF(OR($A151="",$J151=0),"",$K151/$J151)</f>
        <v/>
      </c>
      <c r="M151" s="54" t="str">
        <f aca="false">IF($A151="","",SUMIFS(销售录入!$O$5:$O$404,销售录入!$E$5:$E$404,$A151,销售录入!$C$5:$C$404,首页!$B$5))</f>
        <v/>
      </c>
      <c r="N151" s="44" t="str">
        <f aca="false">IF($A151="","",$M151-$I151)</f>
        <v/>
      </c>
      <c r="O151" s="63" t="str">
        <f aca="false">IF(OR($A151="",$M151=0),"",$N151/$M151)</f>
        <v/>
      </c>
      <c r="P151" s="47" t="str">
        <f aca="false">IF($A151="","",IF($J151&lt;0,"⚠ 负库存",IF(AND($J151=0,ABS($K151)&gt;0.01),"⚠ 有金额无数量",IF(AND($J151&gt;0,$K151&lt;0),"⚠ 金额为负",IF($N151&lt;0,"⚠ 毛利为负","正常")))))</f>
        <v/>
      </c>
    </row>
    <row r="152" customFormat="false" ht="15.75" hidden="false" customHeight="true" outlineLevel="0" collapsed="false">
      <c r="A152" s="35" t="str">
        <f aca="false">IF(基础资料!$Q152="","",基础资料!$Q152)</f>
        <v/>
      </c>
      <c r="B152" s="42" t="str">
        <f aca="false">IF($A152="","",基础资料!$R152)</f>
        <v/>
      </c>
      <c r="C152" s="42" t="str">
        <f aca="false">IF($A152="","",基础资料!$S152)</f>
        <v/>
      </c>
      <c r="D152" s="64" t="str">
        <f aca="false">IF($A152="","",SUMIFS(期初数据!$R$6:$R$205,期初数据!$O$6:$O$205,$A152)+SUMIFS(采购录入!$F$5:$F$404,采购录入!$E$5:$E$404,$A152,采购录入!$I$5:$I$404,"是",采购录入!$B$5:$B$404,"&lt;"&amp;首页!$B$6)-SUMIFS(销售录入!$F$5:$F$404,销售录入!$E$5:$E$404,$A152,销售录入!$B$5:$B$404,"&lt;"&amp;首页!$B$6))</f>
        <v/>
      </c>
      <c r="E152" s="54" t="str">
        <f aca="false">IF($A152="","",SUMIFS(期初数据!$T$6:$T$205,期初数据!$O$6:$O$205,$A152)+SUMIFS(采购录入!$Q$5:$Q$404,采购录入!$E$5:$E$404,$A152,采购录入!$I$5:$I$404,"是",采购录入!$B$5:$B$404,"&lt;"&amp;首页!$B$6)-SUMIFS(销售录入!$S$5:$S$404,销售录入!$E$5:$E$404,$A152,销售录入!$B$5:$B$404,"&lt;"&amp;首页!$B$6))</f>
        <v/>
      </c>
      <c r="F152" s="64" t="str">
        <f aca="false">IF($A152="","",SUMIFS(采购录入!$F$5:$F$404,采购录入!$E$5:$E$404,$A152,采购录入!$I$5:$I$404,"是",采购录入!$C$5:$C$404,首页!$B$5))</f>
        <v/>
      </c>
      <c r="G152" s="54" t="str">
        <f aca="false">IF($A152="","",SUMIFS(采购录入!$Q$5:$Q$404,采购录入!$E$5:$E$404,$A152,采购录入!$I$5:$I$404,"是",采购录入!$C$5:$C$404,首页!$B$5))</f>
        <v/>
      </c>
      <c r="H152" s="64" t="str">
        <f aca="false">IF($A152="","",SUMIFS(销售录入!$F$5:$F$404,销售录入!$E$5:$E$404,$A152,销售录入!$C$5:$C$404,首页!$B$5))</f>
        <v/>
      </c>
      <c r="I152" s="54" t="str">
        <f aca="false">IF($A152="","",SUMIFS(销售录入!$S$5:$S$404,销售录入!$E$5:$E$404,$A152,销售录入!$C$5:$C$404,首页!$B$5))</f>
        <v/>
      </c>
      <c r="J152" s="65" t="str">
        <f aca="false">IF($A152="","",$D152+$F152-$H152)</f>
        <v/>
      </c>
      <c r="K152" s="44" t="str">
        <f aca="false">IF($A152="","",$E152+$G152-$I152)</f>
        <v/>
      </c>
      <c r="L152" s="44" t="str">
        <f aca="false">IF(OR($A152="",$J152=0),"",$K152/$J152)</f>
        <v/>
      </c>
      <c r="M152" s="54" t="str">
        <f aca="false">IF($A152="","",SUMIFS(销售录入!$O$5:$O$404,销售录入!$E$5:$E$404,$A152,销售录入!$C$5:$C$404,首页!$B$5))</f>
        <v/>
      </c>
      <c r="N152" s="44" t="str">
        <f aca="false">IF($A152="","",$M152-$I152)</f>
        <v/>
      </c>
      <c r="O152" s="63" t="str">
        <f aca="false">IF(OR($A152="",$M152=0),"",$N152/$M152)</f>
        <v/>
      </c>
      <c r="P152" s="47" t="str">
        <f aca="false">IF($A152="","",IF($J152&lt;0,"⚠ 负库存",IF(AND($J152=0,ABS($K152)&gt;0.01),"⚠ 有金额无数量",IF(AND($J152&gt;0,$K152&lt;0),"⚠ 金额为负",IF($N152&lt;0,"⚠ 毛利为负","正常")))))</f>
        <v/>
      </c>
    </row>
    <row r="153" customFormat="false" ht="15.75" hidden="false" customHeight="true" outlineLevel="0" collapsed="false">
      <c r="A153" s="35" t="str">
        <f aca="false">IF(基础资料!$Q153="","",基础资料!$Q153)</f>
        <v/>
      </c>
      <c r="B153" s="42" t="str">
        <f aca="false">IF($A153="","",基础资料!$R153)</f>
        <v/>
      </c>
      <c r="C153" s="42" t="str">
        <f aca="false">IF($A153="","",基础资料!$S153)</f>
        <v/>
      </c>
      <c r="D153" s="64" t="str">
        <f aca="false">IF($A153="","",SUMIFS(期初数据!$R$6:$R$205,期初数据!$O$6:$O$205,$A153)+SUMIFS(采购录入!$F$5:$F$404,采购录入!$E$5:$E$404,$A153,采购录入!$I$5:$I$404,"是",采购录入!$B$5:$B$404,"&lt;"&amp;首页!$B$6)-SUMIFS(销售录入!$F$5:$F$404,销售录入!$E$5:$E$404,$A153,销售录入!$B$5:$B$404,"&lt;"&amp;首页!$B$6))</f>
        <v/>
      </c>
      <c r="E153" s="54" t="str">
        <f aca="false">IF($A153="","",SUMIFS(期初数据!$T$6:$T$205,期初数据!$O$6:$O$205,$A153)+SUMIFS(采购录入!$Q$5:$Q$404,采购录入!$E$5:$E$404,$A153,采购录入!$I$5:$I$404,"是",采购录入!$B$5:$B$404,"&lt;"&amp;首页!$B$6)-SUMIFS(销售录入!$S$5:$S$404,销售录入!$E$5:$E$404,$A153,销售录入!$B$5:$B$404,"&lt;"&amp;首页!$B$6))</f>
        <v/>
      </c>
      <c r="F153" s="64" t="str">
        <f aca="false">IF($A153="","",SUMIFS(采购录入!$F$5:$F$404,采购录入!$E$5:$E$404,$A153,采购录入!$I$5:$I$404,"是",采购录入!$C$5:$C$404,首页!$B$5))</f>
        <v/>
      </c>
      <c r="G153" s="54" t="str">
        <f aca="false">IF($A153="","",SUMIFS(采购录入!$Q$5:$Q$404,采购录入!$E$5:$E$404,$A153,采购录入!$I$5:$I$404,"是",采购录入!$C$5:$C$404,首页!$B$5))</f>
        <v/>
      </c>
      <c r="H153" s="64" t="str">
        <f aca="false">IF($A153="","",SUMIFS(销售录入!$F$5:$F$404,销售录入!$E$5:$E$404,$A153,销售录入!$C$5:$C$404,首页!$B$5))</f>
        <v/>
      </c>
      <c r="I153" s="54" t="str">
        <f aca="false">IF($A153="","",SUMIFS(销售录入!$S$5:$S$404,销售录入!$E$5:$E$404,$A153,销售录入!$C$5:$C$404,首页!$B$5))</f>
        <v/>
      </c>
      <c r="J153" s="65" t="str">
        <f aca="false">IF($A153="","",$D153+$F153-$H153)</f>
        <v/>
      </c>
      <c r="K153" s="44" t="str">
        <f aca="false">IF($A153="","",$E153+$G153-$I153)</f>
        <v/>
      </c>
      <c r="L153" s="44" t="str">
        <f aca="false">IF(OR($A153="",$J153=0),"",$K153/$J153)</f>
        <v/>
      </c>
      <c r="M153" s="54" t="str">
        <f aca="false">IF($A153="","",SUMIFS(销售录入!$O$5:$O$404,销售录入!$E$5:$E$404,$A153,销售录入!$C$5:$C$404,首页!$B$5))</f>
        <v/>
      </c>
      <c r="N153" s="44" t="str">
        <f aca="false">IF($A153="","",$M153-$I153)</f>
        <v/>
      </c>
      <c r="O153" s="63" t="str">
        <f aca="false">IF(OR($A153="",$M153=0),"",$N153/$M153)</f>
        <v/>
      </c>
      <c r="P153" s="47" t="str">
        <f aca="false">IF($A153="","",IF($J153&lt;0,"⚠ 负库存",IF(AND($J153=0,ABS($K153)&gt;0.01),"⚠ 有金额无数量",IF(AND($J153&gt;0,$K153&lt;0),"⚠ 金额为负",IF($N153&lt;0,"⚠ 毛利为负","正常")))))</f>
        <v/>
      </c>
    </row>
    <row r="154" customFormat="false" ht="15.75" hidden="false" customHeight="true" outlineLevel="0" collapsed="false">
      <c r="A154" s="35" t="str">
        <f aca="false">IF(基础资料!$Q154="","",基础资料!$Q154)</f>
        <v/>
      </c>
      <c r="B154" s="42" t="str">
        <f aca="false">IF($A154="","",基础资料!$R154)</f>
        <v/>
      </c>
      <c r="C154" s="42" t="str">
        <f aca="false">IF($A154="","",基础资料!$S154)</f>
        <v/>
      </c>
      <c r="D154" s="64" t="str">
        <f aca="false">IF($A154="","",SUMIFS(期初数据!$R$6:$R$205,期初数据!$O$6:$O$205,$A154)+SUMIFS(采购录入!$F$5:$F$404,采购录入!$E$5:$E$404,$A154,采购录入!$I$5:$I$404,"是",采购录入!$B$5:$B$404,"&lt;"&amp;首页!$B$6)-SUMIFS(销售录入!$F$5:$F$404,销售录入!$E$5:$E$404,$A154,销售录入!$B$5:$B$404,"&lt;"&amp;首页!$B$6))</f>
        <v/>
      </c>
      <c r="E154" s="54" t="str">
        <f aca="false">IF($A154="","",SUMIFS(期初数据!$T$6:$T$205,期初数据!$O$6:$O$205,$A154)+SUMIFS(采购录入!$Q$5:$Q$404,采购录入!$E$5:$E$404,$A154,采购录入!$I$5:$I$404,"是",采购录入!$B$5:$B$404,"&lt;"&amp;首页!$B$6)-SUMIFS(销售录入!$S$5:$S$404,销售录入!$E$5:$E$404,$A154,销售录入!$B$5:$B$404,"&lt;"&amp;首页!$B$6))</f>
        <v/>
      </c>
      <c r="F154" s="64" t="str">
        <f aca="false">IF($A154="","",SUMIFS(采购录入!$F$5:$F$404,采购录入!$E$5:$E$404,$A154,采购录入!$I$5:$I$404,"是",采购录入!$C$5:$C$404,首页!$B$5))</f>
        <v/>
      </c>
      <c r="G154" s="54" t="str">
        <f aca="false">IF($A154="","",SUMIFS(采购录入!$Q$5:$Q$404,采购录入!$E$5:$E$404,$A154,采购录入!$I$5:$I$404,"是",采购录入!$C$5:$C$404,首页!$B$5))</f>
        <v/>
      </c>
      <c r="H154" s="64" t="str">
        <f aca="false">IF($A154="","",SUMIFS(销售录入!$F$5:$F$404,销售录入!$E$5:$E$404,$A154,销售录入!$C$5:$C$404,首页!$B$5))</f>
        <v/>
      </c>
      <c r="I154" s="54" t="str">
        <f aca="false">IF($A154="","",SUMIFS(销售录入!$S$5:$S$404,销售录入!$E$5:$E$404,$A154,销售录入!$C$5:$C$404,首页!$B$5))</f>
        <v/>
      </c>
      <c r="J154" s="65" t="str">
        <f aca="false">IF($A154="","",$D154+$F154-$H154)</f>
        <v/>
      </c>
      <c r="K154" s="44" t="str">
        <f aca="false">IF($A154="","",$E154+$G154-$I154)</f>
        <v/>
      </c>
      <c r="L154" s="44" t="str">
        <f aca="false">IF(OR($A154="",$J154=0),"",$K154/$J154)</f>
        <v/>
      </c>
      <c r="M154" s="54" t="str">
        <f aca="false">IF($A154="","",SUMIFS(销售录入!$O$5:$O$404,销售录入!$E$5:$E$404,$A154,销售录入!$C$5:$C$404,首页!$B$5))</f>
        <v/>
      </c>
      <c r="N154" s="44" t="str">
        <f aca="false">IF($A154="","",$M154-$I154)</f>
        <v/>
      </c>
      <c r="O154" s="63" t="str">
        <f aca="false">IF(OR($A154="",$M154=0),"",$N154/$M154)</f>
        <v/>
      </c>
      <c r="P154" s="47" t="str">
        <f aca="false">IF($A154="","",IF($J154&lt;0,"⚠ 负库存",IF(AND($J154=0,ABS($K154)&gt;0.01),"⚠ 有金额无数量",IF(AND($J154&gt;0,$K154&lt;0),"⚠ 金额为负",IF($N154&lt;0,"⚠ 毛利为负","正常")))))</f>
        <v/>
      </c>
    </row>
    <row r="155" customFormat="false" ht="15.75" hidden="false" customHeight="true" outlineLevel="0" collapsed="false">
      <c r="A155" s="35" t="str">
        <f aca="false">IF(基础资料!$Q155="","",基础资料!$Q155)</f>
        <v/>
      </c>
      <c r="B155" s="42" t="str">
        <f aca="false">IF($A155="","",基础资料!$R155)</f>
        <v/>
      </c>
      <c r="C155" s="42" t="str">
        <f aca="false">IF($A155="","",基础资料!$S155)</f>
        <v/>
      </c>
      <c r="D155" s="64" t="str">
        <f aca="false">IF($A155="","",SUMIFS(期初数据!$R$6:$R$205,期初数据!$O$6:$O$205,$A155)+SUMIFS(采购录入!$F$5:$F$404,采购录入!$E$5:$E$404,$A155,采购录入!$I$5:$I$404,"是",采购录入!$B$5:$B$404,"&lt;"&amp;首页!$B$6)-SUMIFS(销售录入!$F$5:$F$404,销售录入!$E$5:$E$404,$A155,销售录入!$B$5:$B$404,"&lt;"&amp;首页!$B$6))</f>
        <v/>
      </c>
      <c r="E155" s="54" t="str">
        <f aca="false">IF($A155="","",SUMIFS(期初数据!$T$6:$T$205,期初数据!$O$6:$O$205,$A155)+SUMIFS(采购录入!$Q$5:$Q$404,采购录入!$E$5:$E$404,$A155,采购录入!$I$5:$I$404,"是",采购录入!$B$5:$B$404,"&lt;"&amp;首页!$B$6)-SUMIFS(销售录入!$S$5:$S$404,销售录入!$E$5:$E$404,$A155,销售录入!$B$5:$B$404,"&lt;"&amp;首页!$B$6))</f>
        <v/>
      </c>
      <c r="F155" s="64" t="str">
        <f aca="false">IF($A155="","",SUMIFS(采购录入!$F$5:$F$404,采购录入!$E$5:$E$404,$A155,采购录入!$I$5:$I$404,"是",采购录入!$C$5:$C$404,首页!$B$5))</f>
        <v/>
      </c>
      <c r="G155" s="54" t="str">
        <f aca="false">IF($A155="","",SUMIFS(采购录入!$Q$5:$Q$404,采购录入!$E$5:$E$404,$A155,采购录入!$I$5:$I$404,"是",采购录入!$C$5:$C$404,首页!$B$5))</f>
        <v/>
      </c>
      <c r="H155" s="64" t="str">
        <f aca="false">IF($A155="","",SUMIFS(销售录入!$F$5:$F$404,销售录入!$E$5:$E$404,$A155,销售录入!$C$5:$C$404,首页!$B$5))</f>
        <v/>
      </c>
      <c r="I155" s="54" t="str">
        <f aca="false">IF($A155="","",SUMIFS(销售录入!$S$5:$S$404,销售录入!$E$5:$E$404,$A155,销售录入!$C$5:$C$404,首页!$B$5))</f>
        <v/>
      </c>
      <c r="J155" s="65" t="str">
        <f aca="false">IF($A155="","",$D155+$F155-$H155)</f>
        <v/>
      </c>
      <c r="K155" s="44" t="str">
        <f aca="false">IF($A155="","",$E155+$G155-$I155)</f>
        <v/>
      </c>
      <c r="L155" s="44" t="str">
        <f aca="false">IF(OR($A155="",$J155=0),"",$K155/$J155)</f>
        <v/>
      </c>
      <c r="M155" s="54" t="str">
        <f aca="false">IF($A155="","",SUMIFS(销售录入!$O$5:$O$404,销售录入!$E$5:$E$404,$A155,销售录入!$C$5:$C$404,首页!$B$5))</f>
        <v/>
      </c>
      <c r="N155" s="44" t="str">
        <f aca="false">IF($A155="","",$M155-$I155)</f>
        <v/>
      </c>
      <c r="O155" s="63" t="str">
        <f aca="false">IF(OR($A155="",$M155=0),"",$N155/$M155)</f>
        <v/>
      </c>
      <c r="P155" s="47" t="str">
        <f aca="false">IF($A155="","",IF($J155&lt;0,"⚠ 负库存",IF(AND($J155=0,ABS($K155)&gt;0.01),"⚠ 有金额无数量",IF(AND($J155&gt;0,$K155&lt;0),"⚠ 金额为负",IF($N155&lt;0,"⚠ 毛利为负","正常")))))</f>
        <v/>
      </c>
    </row>
    <row r="156" customFormat="false" ht="15.75" hidden="false" customHeight="true" outlineLevel="0" collapsed="false">
      <c r="A156" s="35" t="str">
        <f aca="false">IF(基础资料!$Q156="","",基础资料!$Q156)</f>
        <v/>
      </c>
      <c r="B156" s="42" t="str">
        <f aca="false">IF($A156="","",基础资料!$R156)</f>
        <v/>
      </c>
      <c r="C156" s="42" t="str">
        <f aca="false">IF($A156="","",基础资料!$S156)</f>
        <v/>
      </c>
      <c r="D156" s="64" t="str">
        <f aca="false">IF($A156="","",SUMIFS(期初数据!$R$6:$R$205,期初数据!$O$6:$O$205,$A156)+SUMIFS(采购录入!$F$5:$F$404,采购录入!$E$5:$E$404,$A156,采购录入!$I$5:$I$404,"是",采购录入!$B$5:$B$404,"&lt;"&amp;首页!$B$6)-SUMIFS(销售录入!$F$5:$F$404,销售录入!$E$5:$E$404,$A156,销售录入!$B$5:$B$404,"&lt;"&amp;首页!$B$6))</f>
        <v/>
      </c>
      <c r="E156" s="54" t="str">
        <f aca="false">IF($A156="","",SUMIFS(期初数据!$T$6:$T$205,期初数据!$O$6:$O$205,$A156)+SUMIFS(采购录入!$Q$5:$Q$404,采购录入!$E$5:$E$404,$A156,采购录入!$I$5:$I$404,"是",采购录入!$B$5:$B$404,"&lt;"&amp;首页!$B$6)-SUMIFS(销售录入!$S$5:$S$404,销售录入!$E$5:$E$404,$A156,销售录入!$B$5:$B$404,"&lt;"&amp;首页!$B$6))</f>
        <v/>
      </c>
      <c r="F156" s="64" t="str">
        <f aca="false">IF($A156="","",SUMIFS(采购录入!$F$5:$F$404,采购录入!$E$5:$E$404,$A156,采购录入!$I$5:$I$404,"是",采购录入!$C$5:$C$404,首页!$B$5))</f>
        <v/>
      </c>
      <c r="G156" s="54" t="str">
        <f aca="false">IF($A156="","",SUMIFS(采购录入!$Q$5:$Q$404,采购录入!$E$5:$E$404,$A156,采购录入!$I$5:$I$404,"是",采购录入!$C$5:$C$404,首页!$B$5))</f>
        <v/>
      </c>
      <c r="H156" s="64" t="str">
        <f aca="false">IF($A156="","",SUMIFS(销售录入!$F$5:$F$404,销售录入!$E$5:$E$404,$A156,销售录入!$C$5:$C$404,首页!$B$5))</f>
        <v/>
      </c>
      <c r="I156" s="54" t="str">
        <f aca="false">IF($A156="","",SUMIFS(销售录入!$S$5:$S$404,销售录入!$E$5:$E$404,$A156,销售录入!$C$5:$C$404,首页!$B$5))</f>
        <v/>
      </c>
      <c r="J156" s="65" t="str">
        <f aca="false">IF($A156="","",$D156+$F156-$H156)</f>
        <v/>
      </c>
      <c r="K156" s="44" t="str">
        <f aca="false">IF($A156="","",$E156+$G156-$I156)</f>
        <v/>
      </c>
      <c r="L156" s="44" t="str">
        <f aca="false">IF(OR($A156="",$J156=0),"",$K156/$J156)</f>
        <v/>
      </c>
      <c r="M156" s="54" t="str">
        <f aca="false">IF($A156="","",SUMIFS(销售录入!$O$5:$O$404,销售录入!$E$5:$E$404,$A156,销售录入!$C$5:$C$404,首页!$B$5))</f>
        <v/>
      </c>
      <c r="N156" s="44" t="str">
        <f aca="false">IF($A156="","",$M156-$I156)</f>
        <v/>
      </c>
      <c r="O156" s="63" t="str">
        <f aca="false">IF(OR($A156="",$M156=0),"",$N156/$M156)</f>
        <v/>
      </c>
      <c r="P156" s="47" t="str">
        <f aca="false">IF($A156="","",IF($J156&lt;0,"⚠ 负库存",IF(AND($J156=0,ABS($K156)&gt;0.01),"⚠ 有金额无数量",IF(AND($J156&gt;0,$K156&lt;0),"⚠ 金额为负",IF($N156&lt;0,"⚠ 毛利为负","正常")))))</f>
        <v/>
      </c>
    </row>
    <row r="157" customFormat="false" ht="15.75" hidden="false" customHeight="true" outlineLevel="0" collapsed="false">
      <c r="A157" s="35" t="str">
        <f aca="false">IF(基础资料!$Q157="","",基础资料!$Q157)</f>
        <v/>
      </c>
      <c r="B157" s="42" t="str">
        <f aca="false">IF($A157="","",基础资料!$R157)</f>
        <v/>
      </c>
      <c r="C157" s="42" t="str">
        <f aca="false">IF($A157="","",基础资料!$S157)</f>
        <v/>
      </c>
      <c r="D157" s="64" t="str">
        <f aca="false">IF($A157="","",SUMIFS(期初数据!$R$6:$R$205,期初数据!$O$6:$O$205,$A157)+SUMIFS(采购录入!$F$5:$F$404,采购录入!$E$5:$E$404,$A157,采购录入!$I$5:$I$404,"是",采购录入!$B$5:$B$404,"&lt;"&amp;首页!$B$6)-SUMIFS(销售录入!$F$5:$F$404,销售录入!$E$5:$E$404,$A157,销售录入!$B$5:$B$404,"&lt;"&amp;首页!$B$6))</f>
        <v/>
      </c>
      <c r="E157" s="54" t="str">
        <f aca="false">IF($A157="","",SUMIFS(期初数据!$T$6:$T$205,期初数据!$O$6:$O$205,$A157)+SUMIFS(采购录入!$Q$5:$Q$404,采购录入!$E$5:$E$404,$A157,采购录入!$I$5:$I$404,"是",采购录入!$B$5:$B$404,"&lt;"&amp;首页!$B$6)-SUMIFS(销售录入!$S$5:$S$404,销售录入!$E$5:$E$404,$A157,销售录入!$B$5:$B$404,"&lt;"&amp;首页!$B$6))</f>
        <v/>
      </c>
      <c r="F157" s="64" t="str">
        <f aca="false">IF($A157="","",SUMIFS(采购录入!$F$5:$F$404,采购录入!$E$5:$E$404,$A157,采购录入!$I$5:$I$404,"是",采购录入!$C$5:$C$404,首页!$B$5))</f>
        <v/>
      </c>
      <c r="G157" s="54" t="str">
        <f aca="false">IF($A157="","",SUMIFS(采购录入!$Q$5:$Q$404,采购录入!$E$5:$E$404,$A157,采购录入!$I$5:$I$404,"是",采购录入!$C$5:$C$404,首页!$B$5))</f>
        <v/>
      </c>
      <c r="H157" s="64" t="str">
        <f aca="false">IF($A157="","",SUMIFS(销售录入!$F$5:$F$404,销售录入!$E$5:$E$404,$A157,销售录入!$C$5:$C$404,首页!$B$5))</f>
        <v/>
      </c>
      <c r="I157" s="54" t="str">
        <f aca="false">IF($A157="","",SUMIFS(销售录入!$S$5:$S$404,销售录入!$E$5:$E$404,$A157,销售录入!$C$5:$C$404,首页!$B$5))</f>
        <v/>
      </c>
      <c r="J157" s="65" t="str">
        <f aca="false">IF($A157="","",$D157+$F157-$H157)</f>
        <v/>
      </c>
      <c r="K157" s="44" t="str">
        <f aca="false">IF($A157="","",$E157+$G157-$I157)</f>
        <v/>
      </c>
      <c r="L157" s="44" t="str">
        <f aca="false">IF(OR($A157="",$J157=0),"",$K157/$J157)</f>
        <v/>
      </c>
      <c r="M157" s="54" t="str">
        <f aca="false">IF($A157="","",SUMIFS(销售录入!$O$5:$O$404,销售录入!$E$5:$E$404,$A157,销售录入!$C$5:$C$404,首页!$B$5))</f>
        <v/>
      </c>
      <c r="N157" s="44" t="str">
        <f aca="false">IF($A157="","",$M157-$I157)</f>
        <v/>
      </c>
      <c r="O157" s="63" t="str">
        <f aca="false">IF(OR($A157="",$M157=0),"",$N157/$M157)</f>
        <v/>
      </c>
      <c r="P157" s="47" t="str">
        <f aca="false">IF($A157="","",IF($J157&lt;0,"⚠ 负库存",IF(AND($J157=0,ABS($K157)&gt;0.01),"⚠ 有金额无数量",IF(AND($J157&gt;0,$K157&lt;0),"⚠ 金额为负",IF($N157&lt;0,"⚠ 毛利为负","正常")))))</f>
        <v/>
      </c>
    </row>
    <row r="158" customFormat="false" ht="15.75" hidden="false" customHeight="true" outlineLevel="0" collapsed="false">
      <c r="A158" s="35" t="str">
        <f aca="false">IF(基础资料!$Q158="","",基础资料!$Q158)</f>
        <v/>
      </c>
      <c r="B158" s="42" t="str">
        <f aca="false">IF($A158="","",基础资料!$R158)</f>
        <v/>
      </c>
      <c r="C158" s="42" t="str">
        <f aca="false">IF($A158="","",基础资料!$S158)</f>
        <v/>
      </c>
      <c r="D158" s="64" t="str">
        <f aca="false">IF($A158="","",SUMIFS(期初数据!$R$6:$R$205,期初数据!$O$6:$O$205,$A158)+SUMIFS(采购录入!$F$5:$F$404,采购录入!$E$5:$E$404,$A158,采购录入!$I$5:$I$404,"是",采购录入!$B$5:$B$404,"&lt;"&amp;首页!$B$6)-SUMIFS(销售录入!$F$5:$F$404,销售录入!$E$5:$E$404,$A158,销售录入!$B$5:$B$404,"&lt;"&amp;首页!$B$6))</f>
        <v/>
      </c>
      <c r="E158" s="54" t="str">
        <f aca="false">IF($A158="","",SUMIFS(期初数据!$T$6:$T$205,期初数据!$O$6:$O$205,$A158)+SUMIFS(采购录入!$Q$5:$Q$404,采购录入!$E$5:$E$404,$A158,采购录入!$I$5:$I$404,"是",采购录入!$B$5:$B$404,"&lt;"&amp;首页!$B$6)-SUMIFS(销售录入!$S$5:$S$404,销售录入!$E$5:$E$404,$A158,销售录入!$B$5:$B$404,"&lt;"&amp;首页!$B$6))</f>
        <v/>
      </c>
      <c r="F158" s="64" t="str">
        <f aca="false">IF($A158="","",SUMIFS(采购录入!$F$5:$F$404,采购录入!$E$5:$E$404,$A158,采购录入!$I$5:$I$404,"是",采购录入!$C$5:$C$404,首页!$B$5))</f>
        <v/>
      </c>
      <c r="G158" s="54" t="str">
        <f aca="false">IF($A158="","",SUMIFS(采购录入!$Q$5:$Q$404,采购录入!$E$5:$E$404,$A158,采购录入!$I$5:$I$404,"是",采购录入!$C$5:$C$404,首页!$B$5))</f>
        <v/>
      </c>
      <c r="H158" s="64" t="str">
        <f aca="false">IF($A158="","",SUMIFS(销售录入!$F$5:$F$404,销售录入!$E$5:$E$404,$A158,销售录入!$C$5:$C$404,首页!$B$5))</f>
        <v/>
      </c>
      <c r="I158" s="54" t="str">
        <f aca="false">IF($A158="","",SUMIFS(销售录入!$S$5:$S$404,销售录入!$E$5:$E$404,$A158,销售录入!$C$5:$C$404,首页!$B$5))</f>
        <v/>
      </c>
      <c r="J158" s="65" t="str">
        <f aca="false">IF($A158="","",$D158+$F158-$H158)</f>
        <v/>
      </c>
      <c r="K158" s="44" t="str">
        <f aca="false">IF($A158="","",$E158+$G158-$I158)</f>
        <v/>
      </c>
      <c r="L158" s="44" t="str">
        <f aca="false">IF(OR($A158="",$J158=0),"",$K158/$J158)</f>
        <v/>
      </c>
      <c r="M158" s="54" t="str">
        <f aca="false">IF($A158="","",SUMIFS(销售录入!$O$5:$O$404,销售录入!$E$5:$E$404,$A158,销售录入!$C$5:$C$404,首页!$B$5))</f>
        <v/>
      </c>
      <c r="N158" s="44" t="str">
        <f aca="false">IF($A158="","",$M158-$I158)</f>
        <v/>
      </c>
      <c r="O158" s="63" t="str">
        <f aca="false">IF(OR($A158="",$M158=0),"",$N158/$M158)</f>
        <v/>
      </c>
      <c r="P158" s="47" t="str">
        <f aca="false">IF($A158="","",IF($J158&lt;0,"⚠ 负库存",IF(AND($J158=0,ABS($K158)&gt;0.01),"⚠ 有金额无数量",IF(AND($J158&gt;0,$K158&lt;0),"⚠ 金额为负",IF($N158&lt;0,"⚠ 毛利为负","正常")))))</f>
        <v/>
      </c>
    </row>
    <row r="159" customFormat="false" ht="15.75" hidden="false" customHeight="true" outlineLevel="0" collapsed="false">
      <c r="A159" s="35" t="str">
        <f aca="false">IF(基础资料!$Q159="","",基础资料!$Q159)</f>
        <v/>
      </c>
      <c r="B159" s="42" t="str">
        <f aca="false">IF($A159="","",基础资料!$R159)</f>
        <v/>
      </c>
      <c r="C159" s="42" t="str">
        <f aca="false">IF($A159="","",基础资料!$S159)</f>
        <v/>
      </c>
      <c r="D159" s="64" t="str">
        <f aca="false">IF($A159="","",SUMIFS(期初数据!$R$6:$R$205,期初数据!$O$6:$O$205,$A159)+SUMIFS(采购录入!$F$5:$F$404,采购录入!$E$5:$E$404,$A159,采购录入!$I$5:$I$404,"是",采购录入!$B$5:$B$404,"&lt;"&amp;首页!$B$6)-SUMIFS(销售录入!$F$5:$F$404,销售录入!$E$5:$E$404,$A159,销售录入!$B$5:$B$404,"&lt;"&amp;首页!$B$6))</f>
        <v/>
      </c>
      <c r="E159" s="54" t="str">
        <f aca="false">IF($A159="","",SUMIFS(期初数据!$T$6:$T$205,期初数据!$O$6:$O$205,$A159)+SUMIFS(采购录入!$Q$5:$Q$404,采购录入!$E$5:$E$404,$A159,采购录入!$I$5:$I$404,"是",采购录入!$B$5:$B$404,"&lt;"&amp;首页!$B$6)-SUMIFS(销售录入!$S$5:$S$404,销售录入!$E$5:$E$404,$A159,销售录入!$B$5:$B$404,"&lt;"&amp;首页!$B$6))</f>
        <v/>
      </c>
      <c r="F159" s="64" t="str">
        <f aca="false">IF($A159="","",SUMIFS(采购录入!$F$5:$F$404,采购录入!$E$5:$E$404,$A159,采购录入!$I$5:$I$404,"是",采购录入!$C$5:$C$404,首页!$B$5))</f>
        <v/>
      </c>
      <c r="G159" s="54" t="str">
        <f aca="false">IF($A159="","",SUMIFS(采购录入!$Q$5:$Q$404,采购录入!$E$5:$E$404,$A159,采购录入!$I$5:$I$404,"是",采购录入!$C$5:$C$404,首页!$B$5))</f>
        <v/>
      </c>
      <c r="H159" s="64" t="str">
        <f aca="false">IF($A159="","",SUMIFS(销售录入!$F$5:$F$404,销售录入!$E$5:$E$404,$A159,销售录入!$C$5:$C$404,首页!$B$5))</f>
        <v/>
      </c>
      <c r="I159" s="54" t="str">
        <f aca="false">IF($A159="","",SUMIFS(销售录入!$S$5:$S$404,销售录入!$E$5:$E$404,$A159,销售录入!$C$5:$C$404,首页!$B$5))</f>
        <v/>
      </c>
      <c r="J159" s="65" t="str">
        <f aca="false">IF($A159="","",$D159+$F159-$H159)</f>
        <v/>
      </c>
      <c r="K159" s="44" t="str">
        <f aca="false">IF($A159="","",$E159+$G159-$I159)</f>
        <v/>
      </c>
      <c r="L159" s="44" t="str">
        <f aca="false">IF(OR($A159="",$J159=0),"",$K159/$J159)</f>
        <v/>
      </c>
      <c r="M159" s="54" t="str">
        <f aca="false">IF($A159="","",SUMIFS(销售录入!$O$5:$O$404,销售录入!$E$5:$E$404,$A159,销售录入!$C$5:$C$404,首页!$B$5))</f>
        <v/>
      </c>
      <c r="N159" s="44" t="str">
        <f aca="false">IF($A159="","",$M159-$I159)</f>
        <v/>
      </c>
      <c r="O159" s="63" t="str">
        <f aca="false">IF(OR($A159="",$M159=0),"",$N159/$M159)</f>
        <v/>
      </c>
      <c r="P159" s="47" t="str">
        <f aca="false">IF($A159="","",IF($J159&lt;0,"⚠ 负库存",IF(AND($J159=0,ABS($K159)&gt;0.01),"⚠ 有金额无数量",IF(AND($J159&gt;0,$K159&lt;0),"⚠ 金额为负",IF($N159&lt;0,"⚠ 毛利为负","正常")))))</f>
        <v/>
      </c>
    </row>
    <row r="160" customFormat="false" ht="15.75" hidden="false" customHeight="true" outlineLevel="0" collapsed="false">
      <c r="A160" s="35" t="str">
        <f aca="false">IF(基础资料!$Q160="","",基础资料!$Q160)</f>
        <v/>
      </c>
      <c r="B160" s="42" t="str">
        <f aca="false">IF($A160="","",基础资料!$R160)</f>
        <v/>
      </c>
      <c r="C160" s="42" t="str">
        <f aca="false">IF($A160="","",基础资料!$S160)</f>
        <v/>
      </c>
      <c r="D160" s="64" t="str">
        <f aca="false">IF($A160="","",SUMIFS(期初数据!$R$6:$R$205,期初数据!$O$6:$O$205,$A160)+SUMIFS(采购录入!$F$5:$F$404,采购录入!$E$5:$E$404,$A160,采购录入!$I$5:$I$404,"是",采购录入!$B$5:$B$404,"&lt;"&amp;首页!$B$6)-SUMIFS(销售录入!$F$5:$F$404,销售录入!$E$5:$E$404,$A160,销售录入!$B$5:$B$404,"&lt;"&amp;首页!$B$6))</f>
        <v/>
      </c>
      <c r="E160" s="54" t="str">
        <f aca="false">IF($A160="","",SUMIFS(期初数据!$T$6:$T$205,期初数据!$O$6:$O$205,$A160)+SUMIFS(采购录入!$Q$5:$Q$404,采购录入!$E$5:$E$404,$A160,采购录入!$I$5:$I$404,"是",采购录入!$B$5:$B$404,"&lt;"&amp;首页!$B$6)-SUMIFS(销售录入!$S$5:$S$404,销售录入!$E$5:$E$404,$A160,销售录入!$B$5:$B$404,"&lt;"&amp;首页!$B$6))</f>
        <v/>
      </c>
      <c r="F160" s="64" t="str">
        <f aca="false">IF($A160="","",SUMIFS(采购录入!$F$5:$F$404,采购录入!$E$5:$E$404,$A160,采购录入!$I$5:$I$404,"是",采购录入!$C$5:$C$404,首页!$B$5))</f>
        <v/>
      </c>
      <c r="G160" s="54" t="str">
        <f aca="false">IF($A160="","",SUMIFS(采购录入!$Q$5:$Q$404,采购录入!$E$5:$E$404,$A160,采购录入!$I$5:$I$404,"是",采购录入!$C$5:$C$404,首页!$B$5))</f>
        <v/>
      </c>
      <c r="H160" s="64" t="str">
        <f aca="false">IF($A160="","",SUMIFS(销售录入!$F$5:$F$404,销售录入!$E$5:$E$404,$A160,销售录入!$C$5:$C$404,首页!$B$5))</f>
        <v/>
      </c>
      <c r="I160" s="54" t="str">
        <f aca="false">IF($A160="","",SUMIFS(销售录入!$S$5:$S$404,销售录入!$E$5:$E$404,$A160,销售录入!$C$5:$C$404,首页!$B$5))</f>
        <v/>
      </c>
      <c r="J160" s="65" t="str">
        <f aca="false">IF($A160="","",$D160+$F160-$H160)</f>
        <v/>
      </c>
      <c r="K160" s="44" t="str">
        <f aca="false">IF($A160="","",$E160+$G160-$I160)</f>
        <v/>
      </c>
      <c r="L160" s="44" t="str">
        <f aca="false">IF(OR($A160="",$J160=0),"",$K160/$J160)</f>
        <v/>
      </c>
      <c r="M160" s="54" t="str">
        <f aca="false">IF($A160="","",SUMIFS(销售录入!$O$5:$O$404,销售录入!$E$5:$E$404,$A160,销售录入!$C$5:$C$404,首页!$B$5))</f>
        <v/>
      </c>
      <c r="N160" s="44" t="str">
        <f aca="false">IF($A160="","",$M160-$I160)</f>
        <v/>
      </c>
      <c r="O160" s="63" t="str">
        <f aca="false">IF(OR($A160="",$M160=0),"",$N160/$M160)</f>
        <v/>
      </c>
      <c r="P160" s="47" t="str">
        <f aca="false">IF($A160="","",IF($J160&lt;0,"⚠ 负库存",IF(AND($J160=0,ABS($K160)&gt;0.01),"⚠ 有金额无数量",IF(AND($J160&gt;0,$K160&lt;0),"⚠ 金额为负",IF($N160&lt;0,"⚠ 毛利为负","正常")))))</f>
        <v/>
      </c>
    </row>
    <row r="161" customFormat="false" ht="15.75" hidden="false" customHeight="true" outlineLevel="0" collapsed="false">
      <c r="A161" s="35" t="str">
        <f aca="false">IF(基础资料!$Q161="","",基础资料!$Q161)</f>
        <v/>
      </c>
      <c r="B161" s="42" t="str">
        <f aca="false">IF($A161="","",基础资料!$R161)</f>
        <v/>
      </c>
      <c r="C161" s="42" t="str">
        <f aca="false">IF($A161="","",基础资料!$S161)</f>
        <v/>
      </c>
      <c r="D161" s="64" t="str">
        <f aca="false">IF($A161="","",SUMIFS(期初数据!$R$6:$R$205,期初数据!$O$6:$O$205,$A161)+SUMIFS(采购录入!$F$5:$F$404,采购录入!$E$5:$E$404,$A161,采购录入!$I$5:$I$404,"是",采购录入!$B$5:$B$404,"&lt;"&amp;首页!$B$6)-SUMIFS(销售录入!$F$5:$F$404,销售录入!$E$5:$E$404,$A161,销售录入!$B$5:$B$404,"&lt;"&amp;首页!$B$6))</f>
        <v/>
      </c>
      <c r="E161" s="54" t="str">
        <f aca="false">IF($A161="","",SUMIFS(期初数据!$T$6:$T$205,期初数据!$O$6:$O$205,$A161)+SUMIFS(采购录入!$Q$5:$Q$404,采购录入!$E$5:$E$404,$A161,采购录入!$I$5:$I$404,"是",采购录入!$B$5:$B$404,"&lt;"&amp;首页!$B$6)-SUMIFS(销售录入!$S$5:$S$404,销售录入!$E$5:$E$404,$A161,销售录入!$B$5:$B$404,"&lt;"&amp;首页!$B$6))</f>
        <v/>
      </c>
      <c r="F161" s="64" t="str">
        <f aca="false">IF($A161="","",SUMIFS(采购录入!$F$5:$F$404,采购录入!$E$5:$E$404,$A161,采购录入!$I$5:$I$404,"是",采购录入!$C$5:$C$404,首页!$B$5))</f>
        <v/>
      </c>
      <c r="G161" s="54" t="str">
        <f aca="false">IF($A161="","",SUMIFS(采购录入!$Q$5:$Q$404,采购录入!$E$5:$E$404,$A161,采购录入!$I$5:$I$404,"是",采购录入!$C$5:$C$404,首页!$B$5))</f>
        <v/>
      </c>
      <c r="H161" s="64" t="str">
        <f aca="false">IF($A161="","",SUMIFS(销售录入!$F$5:$F$404,销售录入!$E$5:$E$404,$A161,销售录入!$C$5:$C$404,首页!$B$5))</f>
        <v/>
      </c>
      <c r="I161" s="54" t="str">
        <f aca="false">IF($A161="","",SUMIFS(销售录入!$S$5:$S$404,销售录入!$E$5:$E$404,$A161,销售录入!$C$5:$C$404,首页!$B$5))</f>
        <v/>
      </c>
      <c r="J161" s="65" t="str">
        <f aca="false">IF($A161="","",$D161+$F161-$H161)</f>
        <v/>
      </c>
      <c r="K161" s="44" t="str">
        <f aca="false">IF($A161="","",$E161+$G161-$I161)</f>
        <v/>
      </c>
      <c r="L161" s="44" t="str">
        <f aca="false">IF(OR($A161="",$J161=0),"",$K161/$J161)</f>
        <v/>
      </c>
      <c r="M161" s="54" t="str">
        <f aca="false">IF($A161="","",SUMIFS(销售录入!$O$5:$O$404,销售录入!$E$5:$E$404,$A161,销售录入!$C$5:$C$404,首页!$B$5))</f>
        <v/>
      </c>
      <c r="N161" s="44" t="str">
        <f aca="false">IF($A161="","",$M161-$I161)</f>
        <v/>
      </c>
      <c r="O161" s="63" t="str">
        <f aca="false">IF(OR($A161="",$M161=0),"",$N161/$M161)</f>
        <v/>
      </c>
      <c r="P161" s="47" t="str">
        <f aca="false">IF($A161="","",IF($J161&lt;0,"⚠ 负库存",IF(AND($J161=0,ABS($K161)&gt;0.01),"⚠ 有金额无数量",IF(AND($J161&gt;0,$K161&lt;0),"⚠ 金额为负",IF($N161&lt;0,"⚠ 毛利为负","正常")))))</f>
        <v/>
      </c>
    </row>
    <row r="162" customFormat="false" ht="15.75" hidden="false" customHeight="true" outlineLevel="0" collapsed="false">
      <c r="A162" s="35" t="str">
        <f aca="false">IF(基础资料!$Q162="","",基础资料!$Q162)</f>
        <v/>
      </c>
      <c r="B162" s="42" t="str">
        <f aca="false">IF($A162="","",基础资料!$R162)</f>
        <v/>
      </c>
      <c r="C162" s="42" t="str">
        <f aca="false">IF($A162="","",基础资料!$S162)</f>
        <v/>
      </c>
      <c r="D162" s="64" t="str">
        <f aca="false">IF($A162="","",SUMIFS(期初数据!$R$6:$R$205,期初数据!$O$6:$O$205,$A162)+SUMIFS(采购录入!$F$5:$F$404,采购录入!$E$5:$E$404,$A162,采购录入!$I$5:$I$404,"是",采购录入!$B$5:$B$404,"&lt;"&amp;首页!$B$6)-SUMIFS(销售录入!$F$5:$F$404,销售录入!$E$5:$E$404,$A162,销售录入!$B$5:$B$404,"&lt;"&amp;首页!$B$6))</f>
        <v/>
      </c>
      <c r="E162" s="54" t="str">
        <f aca="false">IF($A162="","",SUMIFS(期初数据!$T$6:$T$205,期初数据!$O$6:$O$205,$A162)+SUMIFS(采购录入!$Q$5:$Q$404,采购录入!$E$5:$E$404,$A162,采购录入!$I$5:$I$404,"是",采购录入!$B$5:$B$404,"&lt;"&amp;首页!$B$6)-SUMIFS(销售录入!$S$5:$S$404,销售录入!$E$5:$E$404,$A162,销售录入!$B$5:$B$404,"&lt;"&amp;首页!$B$6))</f>
        <v/>
      </c>
      <c r="F162" s="64" t="str">
        <f aca="false">IF($A162="","",SUMIFS(采购录入!$F$5:$F$404,采购录入!$E$5:$E$404,$A162,采购录入!$I$5:$I$404,"是",采购录入!$C$5:$C$404,首页!$B$5))</f>
        <v/>
      </c>
      <c r="G162" s="54" t="str">
        <f aca="false">IF($A162="","",SUMIFS(采购录入!$Q$5:$Q$404,采购录入!$E$5:$E$404,$A162,采购录入!$I$5:$I$404,"是",采购录入!$C$5:$C$404,首页!$B$5))</f>
        <v/>
      </c>
      <c r="H162" s="64" t="str">
        <f aca="false">IF($A162="","",SUMIFS(销售录入!$F$5:$F$404,销售录入!$E$5:$E$404,$A162,销售录入!$C$5:$C$404,首页!$B$5))</f>
        <v/>
      </c>
      <c r="I162" s="54" t="str">
        <f aca="false">IF($A162="","",SUMIFS(销售录入!$S$5:$S$404,销售录入!$E$5:$E$404,$A162,销售录入!$C$5:$C$404,首页!$B$5))</f>
        <v/>
      </c>
      <c r="J162" s="65" t="str">
        <f aca="false">IF($A162="","",$D162+$F162-$H162)</f>
        <v/>
      </c>
      <c r="K162" s="44" t="str">
        <f aca="false">IF($A162="","",$E162+$G162-$I162)</f>
        <v/>
      </c>
      <c r="L162" s="44" t="str">
        <f aca="false">IF(OR($A162="",$J162=0),"",$K162/$J162)</f>
        <v/>
      </c>
      <c r="M162" s="54" t="str">
        <f aca="false">IF($A162="","",SUMIFS(销售录入!$O$5:$O$404,销售录入!$E$5:$E$404,$A162,销售录入!$C$5:$C$404,首页!$B$5))</f>
        <v/>
      </c>
      <c r="N162" s="44" t="str">
        <f aca="false">IF($A162="","",$M162-$I162)</f>
        <v/>
      </c>
      <c r="O162" s="63" t="str">
        <f aca="false">IF(OR($A162="",$M162=0),"",$N162/$M162)</f>
        <v/>
      </c>
      <c r="P162" s="47" t="str">
        <f aca="false">IF($A162="","",IF($J162&lt;0,"⚠ 负库存",IF(AND($J162=0,ABS($K162)&gt;0.01),"⚠ 有金额无数量",IF(AND($J162&gt;0,$K162&lt;0),"⚠ 金额为负",IF($N162&lt;0,"⚠ 毛利为负","正常")))))</f>
        <v/>
      </c>
    </row>
    <row r="163" customFormat="false" ht="15.75" hidden="false" customHeight="true" outlineLevel="0" collapsed="false">
      <c r="A163" s="35" t="str">
        <f aca="false">IF(基础资料!$Q163="","",基础资料!$Q163)</f>
        <v/>
      </c>
      <c r="B163" s="42" t="str">
        <f aca="false">IF($A163="","",基础资料!$R163)</f>
        <v/>
      </c>
      <c r="C163" s="42" t="str">
        <f aca="false">IF($A163="","",基础资料!$S163)</f>
        <v/>
      </c>
      <c r="D163" s="64" t="str">
        <f aca="false">IF($A163="","",SUMIFS(期初数据!$R$6:$R$205,期初数据!$O$6:$O$205,$A163)+SUMIFS(采购录入!$F$5:$F$404,采购录入!$E$5:$E$404,$A163,采购录入!$I$5:$I$404,"是",采购录入!$B$5:$B$404,"&lt;"&amp;首页!$B$6)-SUMIFS(销售录入!$F$5:$F$404,销售录入!$E$5:$E$404,$A163,销售录入!$B$5:$B$404,"&lt;"&amp;首页!$B$6))</f>
        <v/>
      </c>
      <c r="E163" s="54" t="str">
        <f aca="false">IF($A163="","",SUMIFS(期初数据!$T$6:$T$205,期初数据!$O$6:$O$205,$A163)+SUMIFS(采购录入!$Q$5:$Q$404,采购录入!$E$5:$E$404,$A163,采购录入!$I$5:$I$404,"是",采购录入!$B$5:$B$404,"&lt;"&amp;首页!$B$6)-SUMIFS(销售录入!$S$5:$S$404,销售录入!$E$5:$E$404,$A163,销售录入!$B$5:$B$404,"&lt;"&amp;首页!$B$6))</f>
        <v/>
      </c>
      <c r="F163" s="64" t="str">
        <f aca="false">IF($A163="","",SUMIFS(采购录入!$F$5:$F$404,采购录入!$E$5:$E$404,$A163,采购录入!$I$5:$I$404,"是",采购录入!$C$5:$C$404,首页!$B$5))</f>
        <v/>
      </c>
      <c r="G163" s="54" t="str">
        <f aca="false">IF($A163="","",SUMIFS(采购录入!$Q$5:$Q$404,采购录入!$E$5:$E$404,$A163,采购录入!$I$5:$I$404,"是",采购录入!$C$5:$C$404,首页!$B$5))</f>
        <v/>
      </c>
      <c r="H163" s="64" t="str">
        <f aca="false">IF($A163="","",SUMIFS(销售录入!$F$5:$F$404,销售录入!$E$5:$E$404,$A163,销售录入!$C$5:$C$404,首页!$B$5))</f>
        <v/>
      </c>
      <c r="I163" s="54" t="str">
        <f aca="false">IF($A163="","",SUMIFS(销售录入!$S$5:$S$404,销售录入!$E$5:$E$404,$A163,销售录入!$C$5:$C$404,首页!$B$5))</f>
        <v/>
      </c>
      <c r="J163" s="65" t="str">
        <f aca="false">IF($A163="","",$D163+$F163-$H163)</f>
        <v/>
      </c>
      <c r="K163" s="44" t="str">
        <f aca="false">IF($A163="","",$E163+$G163-$I163)</f>
        <v/>
      </c>
      <c r="L163" s="44" t="str">
        <f aca="false">IF(OR($A163="",$J163=0),"",$K163/$J163)</f>
        <v/>
      </c>
      <c r="M163" s="54" t="str">
        <f aca="false">IF($A163="","",SUMIFS(销售录入!$O$5:$O$404,销售录入!$E$5:$E$404,$A163,销售录入!$C$5:$C$404,首页!$B$5))</f>
        <v/>
      </c>
      <c r="N163" s="44" t="str">
        <f aca="false">IF($A163="","",$M163-$I163)</f>
        <v/>
      </c>
      <c r="O163" s="63" t="str">
        <f aca="false">IF(OR($A163="",$M163=0),"",$N163/$M163)</f>
        <v/>
      </c>
      <c r="P163" s="47" t="str">
        <f aca="false">IF($A163="","",IF($J163&lt;0,"⚠ 负库存",IF(AND($J163=0,ABS($K163)&gt;0.01),"⚠ 有金额无数量",IF(AND($J163&gt;0,$K163&lt;0),"⚠ 金额为负",IF($N163&lt;0,"⚠ 毛利为负","正常")))))</f>
        <v/>
      </c>
    </row>
    <row r="164" customFormat="false" ht="15.75" hidden="false" customHeight="true" outlineLevel="0" collapsed="false">
      <c r="A164" s="35" t="str">
        <f aca="false">IF(基础资料!$Q164="","",基础资料!$Q164)</f>
        <v/>
      </c>
      <c r="B164" s="42" t="str">
        <f aca="false">IF($A164="","",基础资料!$R164)</f>
        <v/>
      </c>
      <c r="C164" s="42" t="str">
        <f aca="false">IF($A164="","",基础资料!$S164)</f>
        <v/>
      </c>
      <c r="D164" s="64" t="str">
        <f aca="false">IF($A164="","",SUMIFS(期初数据!$R$6:$R$205,期初数据!$O$6:$O$205,$A164)+SUMIFS(采购录入!$F$5:$F$404,采购录入!$E$5:$E$404,$A164,采购录入!$I$5:$I$404,"是",采购录入!$B$5:$B$404,"&lt;"&amp;首页!$B$6)-SUMIFS(销售录入!$F$5:$F$404,销售录入!$E$5:$E$404,$A164,销售录入!$B$5:$B$404,"&lt;"&amp;首页!$B$6))</f>
        <v/>
      </c>
      <c r="E164" s="54" t="str">
        <f aca="false">IF($A164="","",SUMIFS(期初数据!$T$6:$T$205,期初数据!$O$6:$O$205,$A164)+SUMIFS(采购录入!$Q$5:$Q$404,采购录入!$E$5:$E$404,$A164,采购录入!$I$5:$I$404,"是",采购录入!$B$5:$B$404,"&lt;"&amp;首页!$B$6)-SUMIFS(销售录入!$S$5:$S$404,销售录入!$E$5:$E$404,$A164,销售录入!$B$5:$B$404,"&lt;"&amp;首页!$B$6))</f>
        <v/>
      </c>
      <c r="F164" s="64" t="str">
        <f aca="false">IF($A164="","",SUMIFS(采购录入!$F$5:$F$404,采购录入!$E$5:$E$404,$A164,采购录入!$I$5:$I$404,"是",采购录入!$C$5:$C$404,首页!$B$5))</f>
        <v/>
      </c>
      <c r="G164" s="54" t="str">
        <f aca="false">IF($A164="","",SUMIFS(采购录入!$Q$5:$Q$404,采购录入!$E$5:$E$404,$A164,采购录入!$I$5:$I$404,"是",采购录入!$C$5:$C$404,首页!$B$5))</f>
        <v/>
      </c>
      <c r="H164" s="64" t="str">
        <f aca="false">IF($A164="","",SUMIFS(销售录入!$F$5:$F$404,销售录入!$E$5:$E$404,$A164,销售录入!$C$5:$C$404,首页!$B$5))</f>
        <v/>
      </c>
      <c r="I164" s="54" t="str">
        <f aca="false">IF($A164="","",SUMIFS(销售录入!$S$5:$S$404,销售录入!$E$5:$E$404,$A164,销售录入!$C$5:$C$404,首页!$B$5))</f>
        <v/>
      </c>
      <c r="J164" s="65" t="str">
        <f aca="false">IF($A164="","",$D164+$F164-$H164)</f>
        <v/>
      </c>
      <c r="K164" s="44" t="str">
        <f aca="false">IF($A164="","",$E164+$G164-$I164)</f>
        <v/>
      </c>
      <c r="L164" s="44" t="str">
        <f aca="false">IF(OR($A164="",$J164=0),"",$K164/$J164)</f>
        <v/>
      </c>
      <c r="M164" s="54" t="str">
        <f aca="false">IF($A164="","",SUMIFS(销售录入!$O$5:$O$404,销售录入!$E$5:$E$404,$A164,销售录入!$C$5:$C$404,首页!$B$5))</f>
        <v/>
      </c>
      <c r="N164" s="44" t="str">
        <f aca="false">IF($A164="","",$M164-$I164)</f>
        <v/>
      </c>
      <c r="O164" s="63" t="str">
        <f aca="false">IF(OR($A164="",$M164=0),"",$N164/$M164)</f>
        <v/>
      </c>
      <c r="P164" s="47" t="str">
        <f aca="false">IF($A164="","",IF($J164&lt;0,"⚠ 负库存",IF(AND($J164=0,ABS($K164)&gt;0.01),"⚠ 有金额无数量",IF(AND($J164&gt;0,$K164&lt;0),"⚠ 金额为负",IF($N164&lt;0,"⚠ 毛利为负","正常")))))</f>
        <v/>
      </c>
    </row>
    <row r="165" customFormat="false" ht="15.75" hidden="false" customHeight="true" outlineLevel="0" collapsed="false">
      <c r="A165" s="35" t="str">
        <f aca="false">IF(基础资料!$Q165="","",基础资料!$Q165)</f>
        <v/>
      </c>
      <c r="B165" s="42" t="str">
        <f aca="false">IF($A165="","",基础资料!$R165)</f>
        <v/>
      </c>
      <c r="C165" s="42" t="str">
        <f aca="false">IF($A165="","",基础资料!$S165)</f>
        <v/>
      </c>
      <c r="D165" s="64" t="str">
        <f aca="false">IF($A165="","",SUMIFS(期初数据!$R$6:$R$205,期初数据!$O$6:$O$205,$A165)+SUMIFS(采购录入!$F$5:$F$404,采购录入!$E$5:$E$404,$A165,采购录入!$I$5:$I$404,"是",采购录入!$B$5:$B$404,"&lt;"&amp;首页!$B$6)-SUMIFS(销售录入!$F$5:$F$404,销售录入!$E$5:$E$404,$A165,销售录入!$B$5:$B$404,"&lt;"&amp;首页!$B$6))</f>
        <v/>
      </c>
      <c r="E165" s="54" t="str">
        <f aca="false">IF($A165="","",SUMIFS(期初数据!$T$6:$T$205,期初数据!$O$6:$O$205,$A165)+SUMIFS(采购录入!$Q$5:$Q$404,采购录入!$E$5:$E$404,$A165,采购录入!$I$5:$I$404,"是",采购录入!$B$5:$B$404,"&lt;"&amp;首页!$B$6)-SUMIFS(销售录入!$S$5:$S$404,销售录入!$E$5:$E$404,$A165,销售录入!$B$5:$B$404,"&lt;"&amp;首页!$B$6))</f>
        <v/>
      </c>
      <c r="F165" s="64" t="str">
        <f aca="false">IF($A165="","",SUMIFS(采购录入!$F$5:$F$404,采购录入!$E$5:$E$404,$A165,采购录入!$I$5:$I$404,"是",采购录入!$C$5:$C$404,首页!$B$5))</f>
        <v/>
      </c>
      <c r="G165" s="54" t="str">
        <f aca="false">IF($A165="","",SUMIFS(采购录入!$Q$5:$Q$404,采购录入!$E$5:$E$404,$A165,采购录入!$I$5:$I$404,"是",采购录入!$C$5:$C$404,首页!$B$5))</f>
        <v/>
      </c>
      <c r="H165" s="64" t="str">
        <f aca="false">IF($A165="","",SUMIFS(销售录入!$F$5:$F$404,销售录入!$E$5:$E$404,$A165,销售录入!$C$5:$C$404,首页!$B$5))</f>
        <v/>
      </c>
      <c r="I165" s="54" t="str">
        <f aca="false">IF($A165="","",SUMIFS(销售录入!$S$5:$S$404,销售录入!$E$5:$E$404,$A165,销售录入!$C$5:$C$404,首页!$B$5))</f>
        <v/>
      </c>
      <c r="J165" s="65" t="str">
        <f aca="false">IF($A165="","",$D165+$F165-$H165)</f>
        <v/>
      </c>
      <c r="K165" s="44" t="str">
        <f aca="false">IF($A165="","",$E165+$G165-$I165)</f>
        <v/>
      </c>
      <c r="L165" s="44" t="str">
        <f aca="false">IF(OR($A165="",$J165=0),"",$K165/$J165)</f>
        <v/>
      </c>
      <c r="M165" s="54" t="str">
        <f aca="false">IF($A165="","",SUMIFS(销售录入!$O$5:$O$404,销售录入!$E$5:$E$404,$A165,销售录入!$C$5:$C$404,首页!$B$5))</f>
        <v/>
      </c>
      <c r="N165" s="44" t="str">
        <f aca="false">IF($A165="","",$M165-$I165)</f>
        <v/>
      </c>
      <c r="O165" s="63" t="str">
        <f aca="false">IF(OR($A165="",$M165=0),"",$N165/$M165)</f>
        <v/>
      </c>
      <c r="P165" s="47" t="str">
        <f aca="false">IF($A165="","",IF($J165&lt;0,"⚠ 负库存",IF(AND($J165=0,ABS($K165)&gt;0.01),"⚠ 有金额无数量",IF(AND($J165&gt;0,$K165&lt;0),"⚠ 金额为负",IF($N165&lt;0,"⚠ 毛利为负","正常")))))</f>
        <v/>
      </c>
    </row>
    <row r="166" customFormat="false" ht="15.75" hidden="false" customHeight="true" outlineLevel="0" collapsed="false">
      <c r="A166" s="35" t="str">
        <f aca="false">IF(基础资料!$Q166="","",基础资料!$Q166)</f>
        <v/>
      </c>
      <c r="B166" s="42" t="str">
        <f aca="false">IF($A166="","",基础资料!$R166)</f>
        <v/>
      </c>
      <c r="C166" s="42" t="str">
        <f aca="false">IF($A166="","",基础资料!$S166)</f>
        <v/>
      </c>
      <c r="D166" s="64" t="str">
        <f aca="false">IF($A166="","",SUMIFS(期初数据!$R$6:$R$205,期初数据!$O$6:$O$205,$A166)+SUMIFS(采购录入!$F$5:$F$404,采购录入!$E$5:$E$404,$A166,采购录入!$I$5:$I$404,"是",采购录入!$B$5:$B$404,"&lt;"&amp;首页!$B$6)-SUMIFS(销售录入!$F$5:$F$404,销售录入!$E$5:$E$404,$A166,销售录入!$B$5:$B$404,"&lt;"&amp;首页!$B$6))</f>
        <v/>
      </c>
      <c r="E166" s="54" t="str">
        <f aca="false">IF($A166="","",SUMIFS(期初数据!$T$6:$T$205,期初数据!$O$6:$O$205,$A166)+SUMIFS(采购录入!$Q$5:$Q$404,采购录入!$E$5:$E$404,$A166,采购录入!$I$5:$I$404,"是",采购录入!$B$5:$B$404,"&lt;"&amp;首页!$B$6)-SUMIFS(销售录入!$S$5:$S$404,销售录入!$E$5:$E$404,$A166,销售录入!$B$5:$B$404,"&lt;"&amp;首页!$B$6))</f>
        <v/>
      </c>
      <c r="F166" s="64" t="str">
        <f aca="false">IF($A166="","",SUMIFS(采购录入!$F$5:$F$404,采购录入!$E$5:$E$404,$A166,采购录入!$I$5:$I$404,"是",采购录入!$C$5:$C$404,首页!$B$5))</f>
        <v/>
      </c>
      <c r="G166" s="54" t="str">
        <f aca="false">IF($A166="","",SUMIFS(采购录入!$Q$5:$Q$404,采购录入!$E$5:$E$404,$A166,采购录入!$I$5:$I$404,"是",采购录入!$C$5:$C$404,首页!$B$5))</f>
        <v/>
      </c>
      <c r="H166" s="64" t="str">
        <f aca="false">IF($A166="","",SUMIFS(销售录入!$F$5:$F$404,销售录入!$E$5:$E$404,$A166,销售录入!$C$5:$C$404,首页!$B$5))</f>
        <v/>
      </c>
      <c r="I166" s="54" t="str">
        <f aca="false">IF($A166="","",SUMIFS(销售录入!$S$5:$S$404,销售录入!$E$5:$E$404,$A166,销售录入!$C$5:$C$404,首页!$B$5))</f>
        <v/>
      </c>
      <c r="J166" s="65" t="str">
        <f aca="false">IF($A166="","",$D166+$F166-$H166)</f>
        <v/>
      </c>
      <c r="K166" s="44" t="str">
        <f aca="false">IF($A166="","",$E166+$G166-$I166)</f>
        <v/>
      </c>
      <c r="L166" s="44" t="str">
        <f aca="false">IF(OR($A166="",$J166=0),"",$K166/$J166)</f>
        <v/>
      </c>
      <c r="M166" s="54" t="str">
        <f aca="false">IF($A166="","",SUMIFS(销售录入!$O$5:$O$404,销售录入!$E$5:$E$404,$A166,销售录入!$C$5:$C$404,首页!$B$5))</f>
        <v/>
      </c>
      <c r="N166" s="44" t="str">
        <f aca="false">IF($A166="","",$M166-$I166)</f>
        <v/>
      </c>
      <c r="O166" s="63" t="str">
        <f aca="false">IF(OR($A166="",$M166=0),"",$N166/$M166)</f>
        <v/>
      </c>
      <c r="P166" s="47" t="str">
        <f aca="false">IF($A166="","",IF($J166&lt;0,"⚠ 负库存",IF(AND($J166=0,ABS($K166)&gt;0.01),"⚠ 有金额无数量",IF(AND($J166&gt;0,$K166&lt;0),"⚠ 金额为负",IF($N166&lt;0,"⚠ 毛利为负","正常")))))</f>
        <v/>
      </c>
    </row>
    <row r="167" customFormat="false" ht="15.75" hidden="false" customHeight="true" outlineLevel="0" collapsed="false">
      <c r="A167" s="35" t="str">
        <f aca="false">IF(基础资料!$Q167="","",基础资料!$Q167)</f>
        <v/>
      </c>
      <c r="B167" s="42" t="str">
        <f aca="false">IF($A167="","",基础资料!$R167)</f>
        <v/>
      </c>
      <c r="C167" s="42" t="str">
        <f aca="false">IF($A167="","",基础资料!$S167)</f>
        <v/>
      </c>
      <c r="D167" s="64" t="str">
        <f aca="false">IF($A167="","",SUMIFS(期初数据!$R$6:$R$205,期初数据!$O$6:$O$205,$A167)+SUMIFS(采购录入!$F$5:$F$404,采购录入!$E$5:$E$404,$A167,采购录入!$I$5:$I$404,"是",采购录入!$B$5:$B$404,"&lt;"&amp;首页!$B$6)-SUMIFS(销售录入!$F$5:$F$404,销售录入!$E$5:$E$404,$A167,销售录入!$B$5:$B$404,"&lt;"&amp;首页!$B$6))</f>
        <v/>
      </c>
      <c r="E167" s="54" t="str">
        <f aca="false">IF($A167="","",SUMIFS(期初数据!$T$6:$T$205,期初数据!$O$6:$O$205,$A167)+SUMIFS(采购录入!$Q$5:$Q$404,采购录入!$E$5:$E$404,$A167,采购录入!$I$5:$I$404,"是",采购录入!$B$5:$B$404,"&lt;"&amp;首页!$B$6)-SUMIFS(销售录入!$S$5:$S$404,销售录入!$E$5:$E$404,$A167,销售录入!$B$5:$B$404,"&lt;"&amp;首页!$B$6))</f>
        <v/>
      </c>
      <c r="F167" s="64" t="str">
        <f aca="false">IF($A167="","",SUMIFS(采购录入!$F$5:$F$404,采购录入!$E$5:$E$404,$A167,采购录入!$I$5:$I$404,"是",采购录入!$C$5:$C$404,首页!$B$5))</f>
        <v/>
      </c>
      <c r="G167" s="54" t="str">
        <f aca="false">IF($A167="","",SUMIFS(采购录入!$Q$5:$Q$404,采购录入!$E$5:$E$404,$A167,采购录入!$I$5:$I$404,"是",采购录入!$C$5:$C$404,首页!$B$5))</f>
        <v/>
      </c>
      <c r="H167" s="64" t="str">
        <f aca="false">IF($A167="","",SUMIFS(销售录入!$F$5:$F$404,销售录入!$E$5:$E$404,$A167,销售录入!$C$5:$C$404,首页!$B$5))</f>
        <v/>
      </c>
      <c r="I167" s="54" t="str">
        <f aca="false">IF($A167="","",SUMIFS(销售录入!$S$5:$S$404,销售录入!$E$5:$E$404,$A167,销售录入!$C$5:$C$404,首页!$B$5))</f>
        <v/>
      </c>
      <c r="J167" s="65" t="str">
        <f aca="false">IF($A167="","",$D167+$F167-$H167)</f>
        <v/>
      </c>
      <c r="K167" s="44" t="str">
        <f aca="false">IF($A167="","",$E167+$G167-$I167)</f>
        <v/>
      </c>
      <c r="L167" s="44" t="str">
        <f aca="false">IF(OR($A167="",$J167=0),"",$K167/$J167)</f>
        <v/>
      </c>
      <c r="M167" s="54" t="str">
        <f aca="false">IF($A167="","",SUMIFS(销售录入!$O$5:$O$404,销售录入!$E$5:$E$404,$A167,销售录入!$C$5:$C$404,首页!$B$5))</f>
        <v/>
      </c>
      <c r="N167" s="44" t="str">
        <f aca="false">IF($A167="","",$M167-$I167)</f>
        <v/>
      </c>
      <c r="O167" s="63" t="str">
        <f aca="false">IF(OR($A167="",$M167=0),"",$N167/$M167)</f>
        <v/>
      </c>
      <c r="P167" s="47" t="str">
        <f aca="false">IF($A167="","",IF($J167&lt;0,"⚠ 负库存",IF(AND($J167=0,ABS($K167)&gt;0.01),"⚠ 有金额无数量",IF(AND($J167&gt;0,$K167&lt;0),"⚠ 金额为负",IF($N167&lt;0,"⚠ 毛利为负","正常")))))</f>
        <v/>
      </c>
    </row>
    <row r="168" customFormat="false" ht="15.75" hidden="false" customHeight="true" outlineLevel="0" collapsed="false">
      <c r="A168" s="35" t="str">
        <f aca="false">IF(基础资料!$Q168="","",基础资料!$Q168)</f>
        <v/>
      </c>
      <c r="B168" s="42" t="str">
        <f aca="false">IF($A168="","",基础资料!$R168)</f>
        <v/>
      </c>
      <c r="C168" s="42" t="str">
        <f aca="false">IF($A168="","",基础资料!$S168)</f>
        <v/>
      </c>
      <c r="D168" s="64" t="str">
        <f aca="false">IF($A168="","",SUMIFS(期初数据!$R$6:$R$205,期初数据!$O$6:$O$205,$A168)+SUMIFS(采购录入!$F$5:$F$404,采购录入!$E$5:$E$404,$A168,采购录入!$I$5:$I$404,"是",采购录入!$B$5:$B$404,"&lt;"&amp;首页!$B$6)-SUMIFS(销售录入!$F$5:$F$404,销售录入!$E$5:$E$404,$A168,销售录入!$B$5:$B$404,"&lt;"&amp;首页!$B$6))</f>
        <v/>
      </c>
      <c r="E168" s="54" t="str">
        <f aca="false">IF($A168="","",SUMIFS(期初数据!$T$6:$T$205,期初数据!$O$6:$O$205,$A168)+SUMIFS(采购录入!$Q$5:$Q$404,采购录入!$E$5:$E$404,$A168,采购录入!$I$5:$I$404,"是",采购录入!$B$5:$B$404,"&lt;"&amp;首页!$B$6)-SUMIFS(销售录入!$S$5:$S$404,销售录入!$E$5:$E$404,$A168,销售录入!$B$5:$B$404,"&lt;"&amp;首页!$B$6))</f>
        <v/>
      </c>
      <c r="F168" s="64" t="str">
        <f aca="false">IF($A168="","",SUMIFS(采购录入!$F$5:$F$404,采购录入!$E$5:$E$404,$A168,采购录入!$I$5:$I$404,"是",采购录入!$C$5:$C$404,首页!$B$5))</f>
        <v/>
      </c>
      <c r="G168" s="54" t="str">
        <f aca="false">IF($A168="","",SUMIFS(采购录入!$Q$5:$Q$404,采购录入!$E$5:$E$404,$A168,采购录入!$I$5:$I$404,"是",采购录入!$C$5:$C$404,首页!$B$5))</f>
        <v/>
      </c>
      <c r="H168" s="64" t="str">
        <f aca="false">IF($A168="","",SUMIFS(销售录入!$F$5:$F$404,销售录入!$E$5:$E$404,$A168,销售录入!$C$5:$C$404,首页!$B$5))</f>
        <v/>
      </c>
      <c r="I168" s="54" t="str">
        <f aca="false">IF($A168="","",SUMIFS(销售录入!$S$5:$S$404,销售录入!$E$5:$E$404,$A168,销售录入!$C$5:$C$404,首页!$B$5))</f>
        <v/>
      </c>
      <c r="J168" s="65" t="str">
        <f aca="false">IF($A168="","",$D168+$F168-$H168)</f>
        <v/>
      </c>
      <c r="K168" s="44" t="str">
        <f aca="false">IF($A168="","",$E168+$G168-$I168)</f>
        <v/>
      </c>
      <c r="L168" s="44" t="str">
        <f aca="false">IF(OR($A168="",$J168=0),"",$K168/$J168)</f>
        <v/>
      </c>
      <c r="M168" s="54" t="str">
        <f aca="false">IF($A168="","",SUMIFS(销售录入!$O$5:$O$404,销售录入!$E$5:$E$404,$A168,销售录入!$C$5:$C$404,首页!$B$5))</f>
        <v/>
      </c>
      <c r="N168" s="44" t="str">
        <f aca="false">IF($A168="","",$M168-$I168)</f>
        <v/>
      </c>
      <c r="O168" s="63" t="str">
        <f aca="false">IF(OR($A168="",$M168=0),"",$N168/$M168)</f>
        <v/>
      </c>
      <c r="P168" s="47" t="str">
        <f aca="false">IF($A168="","",IF($J168&lt;0,"⚠ 负库存",IF(AND($J168=0,ABS($K168)&gt;0.01),"⚠ 有金额无数量",IF(AND($J168&gt;0,$K168&lt;0),"⚠ 金额为负",IF($N168&lt;0,"⚠ 毛利为负","正常")))))</f>
        <v/>
      </c>
    </row>
    <row r="169" customFormat="false" ht="15.75" hidden="false" customHeight="true" outlineLevel="0" collapsed="false">
      <c r="A169" s="35" t="str">
        <f aca="false">IF(基础资料!$Q169="","",基础资料!$Q169)</f>
        <v/>
      </c>
      <c r="B169" s="42" t="str">
        <f aca="false">IF($A169="","",基础资料!$R169)</f>
        <v/>
      </c>
      <c r="C169" s="42" t="str">
        <f aca="false">IF($A169="","",基础资料!$S169)</f>
        <v/>
      </c>
      <c r="D169" s="64" t="str">
        <f aca="false">IF($A169="","",SUMIFS(期初数据!$R$6:$R$205,期初数据!$O$6:$O$205,$A169)+SUMIFS(采购录入!$F$5:$F$404,采购录入!$E$5:$E$404,$A169,采购录入!$I$5:$I$404,"是",采购录入!$B$5:$B$404,"&lt;"&amp;首页!$B$6)-SUMIFS(销售录入!$F$5:$F$404,销售录入!$E$5:$E$404,$A169,销售录入!$B$5:$B$404,"&lt;"&amp;首页!$B$6))</f>
        <v/>
      </c>
      <c r="E169" s="54" t="str">
        <f aca="false">IF($A169="","",SUMIFS(期初数据!$T$6:$T$205,期初数据!$O$6:$O$205,$A169)+SUMIFS(采购录入!$Q$5:$Q$404,采购录入!$E$5:$E$404,$A169,采购录入!$I$5:$I$404,"是",采购录入!$B$5:$B$404,"&lt;"&amp;首页!$B$6)-SUMIFS(销售录入!$S$5:$S$404,销售录入!$E$5:$E$404,$A169,销售录入!$B$5:$B$404,"&lt;"&amp;首页!$B$6))</f>
        <v/>
      </c>
      <c r="F169" s="64" t="str">
        <f aca="false">IF($A169="","",SUMIFS(采购录入!$F$5:$F$404,采购录入!$E$5:$E$404,$A169,采购录入!$I$5:$I$404,"是",采购录入!$C$5:$C$404,首页!$B$5))</f>
        <v/>
      </c>
      <c r="G169" s="54" t="str">
        <f aca="false">IF($A169="","",SUMIFS(采购录入!$Q$5:$Q$404,采购录入!$E$5:$E$404,$A169,采购录入!$I$5:$I$404,"是",采购录入!$C$5:$C$404,首页!$B$5))</f>
        <v/>
      </c>
      <c r="H169" s="64" t="str">
        <f aca="false">IF($A169="","",SUMIFS(销售录入!$F$5:$F$404,销售录入!$E$5:$E$404,$A169,销售录入!$C$5:$C$404,首页!$B$5))</f>
        <v/>
      </c>
      <c r="I169" s="54" t="str">
        <f aca="false">IF($A169="","",SUMIFS(销售录入!$S$5:$S$404,销售录入!$E$5:$E$404,$A169,销售录入!$C$5:$C$404,首页!$B$5))</f>
        <v/>
      </c>
      <c r="J169" s="65" t="str">
        <f aca="false">IF($A169="","",$D169+$F169-$H169)</f>
        <v/>
      </c>
      <c r="K169" s="44" t="str">
        <f aca="false">IF($A169="","",$E169+$G169-$I169)</f>
        <v/>
      </c>
      <c r="L169" s="44" t="str">
        <f aca="false">IF(OR($A169="",$J169=0),"",$K169/$J169)</f>
        <v/>
      </c>
      <c r="M169" s="54" t="str">
        <f aca="false">IF($A169="","",SUMIFS(销售录入!$O$5:$O$404,销售录入!$E$5:$E$404,$A169,销售录入!$C$5:$C$404,首页!$B$5))</f>
        <v/>
      </c>
      <c r="N169" s="44" t="str">
        <f aca="false">IF($A169="","",$M169-$I169)</f>
        <v/>
      </c>
      <c r="O169" s="63" t="str">
        <f aca="false">IF(OR($A169="",$M169=0),"",$N169/$M169)</f>
        <v/>
      </c>
      <c r="P169" s="47" t="str">
        <f aca="false">IF($A169="","",IF($J169&lt;0,"⚠ 负库存",IF(AND($J169=0,ABS($K169)&gt;0.01),"⚠ 有金额无数量",IF(AND($J169&gt;0,$K169&lt;0),"⚠ 金额为负",IF($N169&lt;0,"⚠ 毛利为负","正常")))))</f>
        <v/>
      </c>
    </row>
    <row r="170" customFormat="false" ht="15.75" hidden="false" customHeight="true" outlineLevel="0" collapsed="false">
      <c r="A170" s="35" t="str">
        <f aca="false">IF(基础资料!$Q170="","",基础资料!$Q170)</f>
        <v/>
      </c>
      <c r="B170" s="42" t="str">
        <f aca="false">IF($A170="","",基础资料!$R170)</f>
        <v/>
      </c>
      <c r="C170" s="42" t="str">
        <f aca="false">IF($A170="","",基础资料!$S170)</f>
        <v/>
      </c>
      <c r="D170" s="64" t="str">
        <f aca="false">IF($A170="","",SUMIFS(期初数据!$R$6:$R$205,期初数据!$O$6:$O$205,$A170)+SUMIFS(采购录入!$F$5:$F$404,采购录入!$E$5:$E$404,$A170,采购录入!$I$5:$I$404,"是",采购录入!$B$5:$B$404,"&lt;"&amp;首页!$B$6)-SUMIFS(销售录入!$F$5:$F$404,销售录入!$E$5:$E$404,$A170,销售录入!$B$5:$B$404,"&lt;"&amp;首页!$B$6))</f>
        <v/>
      </c>
      <c r="E170" s="54" t="str">
        <f aca="false">IF($A170="","",SUMIFS(期初数据!$T$6:$T$205,期初数据!$O$6:$O$205,$A170)+SUMIFS(采购录入!$Q$5:$Q$404,采购录入!$E$5:$E$404,$A170,采购录入!$I$5:$I$404,"是",采购录入!$B$5:$B$404,"&lt;"&amp;首页!$B$6)-SUMIFS(销售录入!$S$5:$S$404,销售录入!$E$5:$E$404,$A170,销售录入!$B$5:$B$404,"&lt;"&amp;首页!$B$6))</f>
        <v/>
      </c>
      <c r="F170" s="64" t="str">
        <f aca="false">IF($A170="","",SUMIFS(采购录入!$F$5:$F$404,采购录入!$E$5:$E$404,$A170,采购录入!$I$5:$I$404,"是",采购录入!$C$5:$C$404,首页!$B$5))</f>
        <v/>
      </c>
      <c r="G170" s="54" t="str">
        <f aca="false">IF($A170="","",SUMIFS(采购录入!$Q$5:$Q$404,采购录入!$E$5:$E$404,$A170,采购录入!$I$5:$I$404,"是",采购录入!$C$5:$C$404,首页!$B$5))</f>
        <v/>
      </c>
      <c r="H170" s="64" t="str">
        <f aca="false">IF($A170="","",SUMIFS(销售录入!$F$5:$F$404,销售录入!$E$5:$E$404,$A170,销售录入!$C$5:$C$404,首页!$B$5))</f>
        <v/>
      </c>
      <c r="I170" s="54" t="str">
        <f aca="false">IF($A170="","",SUMIFS(销售录入!$S$5:$S$404,销售录入!$E$5:$E$404,$A170,销售录入!$C$5:$C$404,首页!$B$5))</f>
        <v/>
      </c>
      <c r="J170" s="65" t="str">
        <f aca="false">IF($A170="","",$D170+$F170-$H170)</f>
        <v/>
      </c>
      <c r="K170" s="44" t="str">
        <f aca="false">IF($A170="","",$E170+$G170-$I170)</f>
        <v/>
      </c>
      <c r="L170" s="44" t="str">
        <f aca="false">IF(OR($A170="",$J170=0),"",$K170/$J170)</f>
        <v/>
      </c>
      <c r="M170" s="54" t="str">
        <f aca="false">IF($A170="","",SUMIFS(销售录入!$O$5:$O$404,销售录入!$E$5:$E$404,$A170,销售录入!$C$5:$C$404,首页!$B$5))</f>
        <v/>
      </c>
      <c r="N170" s="44" t="str">
        <f aca="false">IF($A170="","",$M170-$I170)</f>
        <v/>
      </c>
      <c r="O170" s="63" t="str">
        <f aca="false">IF(OR($A170="",$M170=0),"",$N170/$M170)</f>
        <v/>
      </c>
      <c r="P170" s="47" t="str">
        <f aca="false">IF($A170="","",IF($J170&lt;0,"⚠ 负库存",IF(AND($J170=0,ABS($K170)&gt;0.01),"⚠ 有金额无数量",IF(AND($J170&gt;0,$K170&lt;0),"⚠ 金额为负",IF($N170&lt;0,"⚠ 毛利为负","正常")))))</f>
        <v/>
      </c>
    </row>
    <row r="171" customFormat="false" ht="15.75" hidden="false" customHeight="true" outlineLevel="0" collapsed="false">
      <c r="A171" s="35" t="str">
        <f aca="false">IF(基础资料!$Q171="","",基础资料!$Q171)</f>
        <v/>
      </c>
      <c r="B171" s="42" t="str">
        <f aca="false">IF($A171="","",基础资料!$R171)</f>
        <v/>
      </c>
      <c r="C171" s="42" t="str">
        <f aca="false">IF($A171="","",基础资料!$S171)</f>
        <v/>
      </c>
      <c r="D171" s="64" t="str">
        <f aca="false">IF($A171="","",SUMIFS(期初数据!$R$6:$R$205,期初数据!$O$6:$O$205,$A171)+SUMIFS(采购录入!$F$5:$F$404,采购录入!$E$5:$E$404,$A171,采购录入!$I$5:$I$404,"是",采购录入!$B$5:$B$404,"&lt;"&amp;首页!$B$6)-SUMIFS(销售录入!$F$5:$F$404,销售录入!$E$5:$E$404,$A171,销售录入!$B$5:$B$404,"&lt;"&amp;首页!$B$6))</f>
        <v/>
      </c>
      <c r="E171" s="54" t="str">
        <f aca="false">IF($A171="","",SUMIFS(期初数据!$T$6:$T$205,期初数据!$O$6:$O$205,$A171)+SUMIFS(采购录入!$Q$5:$Q$404,采购录入!$E$5:$E$404,$A171,采购录入!$I$5:$I$404,"是",采购录入!$B$5:$B$404,"&lt;"&amp;首页!$B$6)-SUMIFS(销售录入!$S$5:$S$404,销售录入!$E$5:$E$404,$A171,销售录入!$B$5:$B$404,"&lt;"&amp;首页!$B$6))</f>
        <v/>
      </c>
      <c r="F171" s="64" t="str">
        <f aca="false">IF($A171="","",SUMIFS(采购录入!$F$5:$F$404,采购录入!$E$5:$E$404,$A171,采购录入!$I$5:$I$404,"是",采购录入!$C$5:$C$404,首页!$B$5))</f>
        <v/>
      </c>
      <c r="G171" s="54" t="str">
        <f aca="false">IF($A171="","",SUMIFS(采购录入!$Q$5:$Q$404,采购录入!$E$5:$E$404,$A171,采购录入!$I$5:$I$404,"是",采购录入!$C$5:$C$404,首页!$B$5))</f>
        <v/>
      </c>
      <c r="H171" s="64" t="str">
        <f aca="false">IF($A171="","",SUMIFS(销售录入!$F$5:$F$404,销售录入!$E$5:$E$404,$A171,销售录入!$C$5:$C$404,首页!$B$5))</f>
        <v/>
      </c>
      <c r="I171" s="54" t="str">
        <f aca="false">IF($A171="","",SUMIFS(销售录入!$S$5:$S$404,销售录入!$E$5:$E$404,$A171,销售录入!$C$5:$C$404,首页!$B$5))</f>
        <v/>
      </c>
      <c r="J171" s="65" t="str">
        <f aca="false">IF($A171="","",$D171+$F171-$H171)</f>
        <v/>
      </c>
      <c r="K171" s="44" t="str">
        <f aca="false">IF($A171="","",$E171+$G171-$I171)</f>
        <v/>
      </c>
      <c r="L171" s="44" t="str">
        <f aca="false">IF(OR($A171="",$J171=0),"",$K171/$J171)</f>
        <v/>
      </c>
      <c r="M171" s="54" t="str">
        <f aca="false">IF($A171="","",SUMIFS(销售录入!$O$5:$O$404,销售录入!$E$5:$E$404,$A171,销售录入!$C$5:$C$404,首页!$B$5))</f>
        <v/>
      </c>
      <c r="N171" s="44" t="str">
        <f aca="false">IF($A171="","",$M171-$I171)</f>
        <v/>
      </c>
      <c r="O171" s="63" t="str">
        <f aca="false">IF(OR($A171="",$M171=0),"",$N171/$M171)</f>
        <v/>
      </c>
      <c r="P171" s="47" t="str">
        <f aca="false">IF($A171="","",IF($J171&lt;0,"⚠ 负库存",IF(AND($J171=0,ABS($K171)&gt;0.01),"⚠ 有金额无数量",IF(AND($J171&gt;0,$K171&lt;0),"⚠ 金额为负",IF($N171&lt;0,"⚠ 毛利为负","正常")))))</f>
        <v/>
      </c>
    </row>
    <row r="172" customFormat="false" ht="15.75" hidden="false" customHeight="true" outlineLevel="0" collapsed="false">
      <c r="A172" s="35" t="str">
        <f aca="false">IF(基础资料!$Q172="","",基础资料!$Q172)</f>
        <v/>
      </c>
      <c r="B172" s="42" t="str">
        <f aca="false">IF($A172="","",基础资料!$R172)</f>
        <v/>
      </c>
      <c r="C172" s="42" t="str">
        <f aca="false">IF($A172="","",基础资料!$S172)</f>
        <v/>
      </c>
      <c r="D172" s="64" t="str">
        <f aca="false">IF($A172="","",SUMIFS(期初数据!$R$6:$R$205,期初数据!$O$6:$O$205,$A172)+SUMIFS(采购录入!$F$5:$F$404,采购录入!$E$5:$E$404,$A172,采购录入!$I$5:$I$404,"是",采购录入!$B$5:$B$404,"&lt;"&amp;首页!$B$6)-SUMIFS(销售录入!$F$5:$F$404,销售录入!$E$5:$E$404,$A172,销售录入!$B$5:$B$404,"&lt;"&amp;首页!$B$6))</f>
        <v/>
      </c>
      <c r="E172" s="54" t="str">
        <f aca="false">IF($A172="","",SUMIFS(期初数据!$T$6:$T$205,期初数据!$O$6:$O$205,$A172)+SUMIFS(采购录入!$Q$5:$Q$404,采购录入!$E$5:$E$404,$A172,采购录入!$I$5:$I$404,"是",采购录入!$B$5:$B$404,"&lt;"&amp;首页!$B$6)-SUMIFS(销售录入!$S$5:$S$404,销售录入!$E$5:$E$404,$A172,销售录入!$B$5:$B$404,"&lt;"&amp;首页!$B$6))</f>
        <v/>
      </c>
      <c r="F172" s="64" t="str">
        <f aca="false">IF($A172="","",SUMIFS(采购录入!$F$5:$F$404,采购录入!$E$5:$E$404,$A172,采购录入!$I$5:$I$404,"是",采购录入!$C$5:$C$404,首页!$B$5))</f>
        <v/>
      </c>
      <c r="G172" s="54" t="str">
        <f aca="false">IF($A172="","",SUMIFS(采购录入!$Q$5:$Q$404,采购录入!$E$5:$E$404,$A172,采购录入!$I$5:$I$404,"是",采购录入!$C$5:$C$404,首页!$B$5))</f>
        <v/>
      </c>
      <c r="H172" s="64" t="str">
        <f aca="false">IF($A172="","",SUMIFS(销售录入!$F$5:$F$404,销售录入!$E$5:$E$404,$A172,销售录入!$C$5:$C$404,首页!$B$5))</f>
        <v/>
      </c>
      <c r="I172" s="54" t="str">
        <f aca="false">IF($A172="","",SUMIFS(销售录入!$S$5:$S$404,销售录入!$E$5:$E$404,$A172,销售录入!$C$5:$C$404,首页!$B$5))</f>
        <v/>
      </c>
      <c r="J172" s="65" t="str">
        <f aca="false">IF($A172="","",$D172+$F172-$H172)</f>
        <v/>
      </c>
      <c r="K172" s="44" t="str">
        <f aca="false">IF($A172="","",$E172+$G172-$I172)</f>
        <v/>
      </c>
      <c r="L172" s="44" t="str">
        <f aca="false">IF(OR($A172="",$J172=0),"",$K172/$J172)</f>
        <v/>
      </c>
      <c r="M172" s="54" t="str">
        <f aca="false">IF($A172="","",SUMIFS(销售录入!$O$5:$O$404,销售录入!$E$5:$E$404,$A172,销售录入!$C$5:$C$404,首页!$B$5))</f>
        <v/>
      </c>
      <c r="N172" s="44" t="str">
        <f aca="false">IF($A172="","",$M172-$I172)</f>
        <v/>
      </c>
      <c r="O172" s="63" t="str">
        <f aca="false">IF(OR($A172="",$M172=0),"",$N172/$M172)</f>
        <v/>
      </c>
      <c r="P172" s="47" t="str">
        <f aca="false">IF($A172="","",IF($J172&lt;0,"⚠ 负库存",IF(AND($J172=0,ABS($K172)&gt;0.01),"⚠ 有金额无数量",IF(AND($J172&gt;0,$K172&lt;0),"⚠ 金额为负",IF($N172&lt;0,"⚠ 毛利为负","正常")))))</f>
        <v/>
      </c>
    </row>
    <row r="173" customFormat="false" ht="15.75" hidden="false" customHeight="true" outlineLevel="0" collapsed="false">
      <c r="A173" s="35" t="str">
        <f aca="false">IF(基础资料!$Q173="","",基础资料!$Q173)</f>
        <v/>
      </c>
      <c r="B173" s="42" t="str">
        <f aca="false">IF($A173="","",基础资料!$R173)</f>
        <v/>
      </c>
      <c r="C173" s="42" t="str">
        <f aca="false">IF($A173="","",基础资料!$S173)</f>
        <v/>
      </c>
      <c r="D173" s="64" t="str">
        <f aca="false">IF($A173="","",SUMIFS(期初数据!$R$6:$R$205,期初数据!$O$6:$O$205,$A173)+SUMIFS(采购录入!$F$5:$F$404,采购录入!$E$5:$E$404,$A173,采购录入!$I$5:$I$404,"是",采购录入!$B$5:$B$404,"&lt;"&amp;首页!$B$6)-SUMIFS(销售录入!$F$5:$F$404,销售录入!$E$5:$E$404,$A173,销售录入!$B$5:$B$404,"&lt;"&amp;首页!$B$6))</f>
        <v/>
      </c>
      <c r="E173" s="54" t="str">
        <f aca="false">IF($A173="","",SUMIFS(期初数据!$T$6:$T$205,期初数据!$O$6:$O$205,$A173)+SUMIFS(采购录入!$Q$5:$Q$404,采购录入!$E$5:$E$404,$A173,采购录入!$I$5:$I$404,"是",采购录入!$B$5:$B$404,"&lt;"&amp;首页!$B$6)-SUMIFS(销售录入!$S$5:$S$404,销售录入!$E$5:$E$404,$A173,销售录入!$B$5:$B$404,"&lt;"&amp;首页!$B$6))</f>
        <v/>
      </c>
      <c r="F173" s="64" t="str">
        <f aca="false">IF($A173="","",SUMIFS(采购录入!$F$5:$F$404,采购录入!$E$5:$E$404,$A173,采购录入!$I$5:$I$404,"是",采购录入!$C$5:$C$404,首页!$B$5))</f>
        <v/>
      </c>
      <c r="G173" s="54" t="str">
        <f aca="false">IF($A173="","",SUMIFS(采购录入!$Q$5:$Q$404,采购录入!$E$5:$E$404,$A173,采购录入!$I$5:$I$404,"是",采购录入!$C$5:$C$404,首页!$B$5))</f>
        <v/>
      </c>
      <c r="H173" s="64" t="str">
        <f aca="false">IF($A173="","",SUMIFS(销售录入!$F$5:$F$404,销售录入!$E$5:$E$404,$A173,销售录入!$C$5:$C$404,首页!$B$5))</f>
        <v/>
      </c>
      <c r="I173" s="54" t="str">
        <f aca="false">IF($A173="","",SUMIFS(销售录入!$S$5:$S$404,销售录入!$E$5:$E$404,$A173,销售录入!$C$5:$C$404,首页!$B$5))</f>
        <v/>
      </c>
      <c r="J173" s="65" t="str">
        <f aca="false">IF($A173="","",$D173+$F173-$H173)</f>
        <v/>
      </c>
      <c r="K173" s="44" t="str">
        <f aca="false">IF($A173="","",$E173+$G173-$I173)</f>
        <v/>
      </c>
      <c r="L173" s="44" t="str">
        <f aca="false">IF(OR($A173="",$J173=0),"",$K173/$J173)</f>
        <v/>
      </c>
      <c r="M173" s="54" t="str">
        <f aca="false">IF($A173="","",SUMIFS(销售录入!$O$5:$O$404,销售录入!$E$5:$E$404,$A173,销售录入!$C$5:$C$404,首页!$B$5))</f>
        <v/>
      </c>
      <c r="N173" s="44" t="str">
        <f aca="false">IF($A173="","",$M173-$I173)</f>
        <v/>
      </c>
      <c r="O173" s="63" t="str">
        <f aca="false">IF(OR($A173="",$M173=0),"",$N173/$M173)</f>
        <v/>
      </c>
      <c r="P173" s="47" t="str">
        <f aca="false">IF($A173="","",IF($J173&lt;0,"⚠ 负库存",IF(AND($J173=0,ABS($K173)&gt;0.01),"⚠ 有金额无数量",IF(AND($J173&gt;0,$K173&lt;0),"⚠ 金额为负",IF($N173&lt;0,"⚠ 毛利为负","正常")))))</f>
        <v/>
      </c>
    </row>
    <row r="174" customFormat="false" ht="15.75" hidden="false" customHeight="true" outlineLevel="0" collapsed="false">
      <c r="A174" s="35" t="str">
        <f aca="false">IF(基础资料!$Q174="","",基础资料!$Q174)</f>
        <v/>
      </c>
      <c r="B174" s="42" t="str">
        <f aca="false">IF($A174="","",基础资料!$R174)</f>
        <v/>
      </c>
      <c r="C174" s="42" t="str">
        <f aca="false">IF($A174="","",基础资料!$S174)</f>
        <v/>
      </c>
      <c r="D174" s="64" t="str">
        <f aca="false">IF($A174="","",SUMIFS(期初数据!$R$6:$R$205,期初数据!$O$6:$O$205,$A174)+SUMIFS(采购录入!$F$5:$F$404,采购录入!$E$5:$E$404,$A174,采购录入!$I$5:$I$404,"是",采购录入!$B$5:$B$404,"&lt;"&amp;首页!$B$6)-SUMIFS(销售录入!$F$5:$F$404,销售录入!$E$5:$E$404,$A174,销售录入!$B$5:$B$404,"&lt;"&amp;首页!$B$6))</f>
        <v/>
      </c>
      <c r="E174" s="54" t="str">
        <f aca="false">IF($A174="","",SUMIFS(期初数据!$T$6:$T$205,期初数据!$O$6:$O$205,$A174)+SUMIFS(采购录入!$Q$5:$Q$404,采购录入!$E$5:$E$404,$A174,采购录入!$I$5:$I$404,"是",采购录入!$B$5:$B$404,"&lt;"&amp;首页!$B$6)-SUMIFS(销售录入!$S$5:$S$404,销售录入!$E$5:$E$404,$A174,销售录入!$B$5:$B$404,"&lt;"&amp;首页!$B$6))</f>
        <v/>
      </c>
      <c r="F174" s="64" t="str">
        <f aca="false">IF($A174="","",SUMIFS(采购录入!$F$5:$F$404,采购录入!$E$5:$E$404,$A174,采购录入!$I$5:$I$404,"是",采购录入!$C$5:$C$404,首页!$B$5))</f>
        <v/>
      </c>
      <c r="G174" s="54" t="str">
        <f aca="false">IF($A174="","",SUMIFS(采购录入!$Q$5:$Q$404,采购录入!$E$5:$E$404,$A174,采购录入!$I$5:$I$404,"是",采购录入!$C$5:$C$404,首页!$B$5))</f>
        <v/>
      </c>
      <c r="H174" s="64" t="str">
        <f aca="false">IF($A174="","",SUMIFS(销售录入!$F$5:$F$404,销售录入!$E$5:$E$404,$A174,销售录入!$C$5:$C$404,首页!$B$5))</f>
        <v/>
      </c>
      <c r="I174" s="54" t="str">
        <f aca="false">IF($A174="","",SUMIFS(销售录入!$S$5:$S$404,销售录入!$E$5:$E$404,$A174,销售录入!$C$5:$C$404,首页!$B$5))</f>
        <v/>
      </c>
      <c r="J174" s="65" t="str">
        <f aca="false">IF($A174="","",$D174+$F174-$H174)</f>
        <v/>
      </c>
      <c r="K174" s="44" t="str">
        <f aca="false">IF($A174="","",$E174+$G174-$I174)</f>
        <v/>
      </c>
      <c r="L174" s="44" t="str">
        <f aca="false">IF(OR($A174="",$J174=0),"",$K174/$J174)</f>
        <v/>
      </c>
      <c r="M174" s="54" t="str">
        <f aca="false">IF($A174="","",SUMIFS(销售录入!$O$5:$O$404,销售录入!$E$5:$E$404,$A174,销售录入!$C$5:$C$404,首页!$B$5))</f>
        <v/>
      </c>
      <c r="N174" s="44" t="str">
        <f aca="false">IF($A174="","",$M174-$I174)</f>
        <v/>
      </c>
      <c r="O174" s="63" t="str">
        <f aca="false">IF(OR($A174="",$M174=0),"",$N174/$M174)</f>
        <v/>
      </c>
      <c r="P174" s="47" t="str">
        <f aca="false">IF($A174="","",IF($J174&lt;0,"⚠ 负库存",IF(AND($J174=0,ABS($K174)&gt;0.01),"⚠ 有金额无数量",IF(AND($J174&gt;0,$K174&lt;0),"⚠ 金额为负",IF($N174&lt;0,"⚠ 毛利为负","正常")))))</f>
        <v/>
      </c>
    </row>
    <row r="175" customFormat="false" ht="15.75" hidden="false" customHeight="true" outlineLevel="0" collapsed="false">
      <c r="A175" s="35" t="str">
        <f aca="false">IF(基础资料!$Q175="","",基础资料!$Q175)</f>
        <v/>
      </c>
      <c r="B175" s="42" t="str">
        <f aca="false">IF($A175="","",基础资料!$R175)</f>
        <v/>
      </c>
      <c r="C175" s="42" t="str">
        <f aca="false">IF($A175="","",基础资料!$S175)</f>
        <v/>
      </c>
      <c r="D175" s="64" t="str">
        <f aca="false">IF($A175="","",SUMIFS(期初数据!$R$6:$R$205,期初数据!$O$6:$O$205,$A175)+SUMIFS(采购录入!$F$5:$F$404,采购录入!$E$5:$E$404,$A175,采购录入!$I$5:$I$404,"是",采购录入!$B$5:$B$404,"&lt;"&amp;首页!$B$6)-SUMIFS(销售录入!$F$5:$F$404,销售录入!$E$5:$E$404,$A175,销售录入!$B$5:$B$404,"&lt;"&amp;首页!$B$6))</f>
        <v/>
      </c>
      <c r="E175" s="54" t="str">
        <f aca="false">IF($A175="","",SUMIFS(期初数据!$T$6:$T$205,期初数据!$O$6:$O$205,$A175)+SUMIFS(采购录入!$Q$5:$Q$404,采购录入!$E$5:$E$404,$A175,采购录入!$I$5:$I$404,"是",采购录入!$B$5:$B$404,"&lt;"&amp;首页!$B$6)-SUMIFS(销售录入!$S$5:$S$404,销售录入!$E$5:$E$404,$A175,销售录入!$B$5:$B$404,"&lt;"&amp;首页!$B$6))</f>
        <v/>
      </c>
      <c r="F175" s="64" t="str">
        <f aca="false">IF($A175="","",SUMIFS(采购录入!$F$5:$F$404,采购录入!$E$5:$E$404,$A175,采购录入!$I$5:$I$404,"是",采购录入!$C$5:$C$404,首页!$B$5))</f>
        <v/>
      </c>
      <c r="G175" s="54" t="str">
        <f aca="false">IF($A175="","",SUMIFS(采购录入!$Q$5:$Q$404,采购录入!$E$5:$E$404,$A175,采购录入!$I$5:$I$404,"是",采购录入!$C$5:$C$404,首页!$B$5))</f>
        <v/>
      </c>
      <c r="H175" s="64" t="str">
        <f aca="false">IF($A175="","",SUMIFS(销售录入!$F$5:$F$404,销售录入!$E$5:$E$404,$A175,销售录入!$C$5:$C$404,首页!$B$5))</f>
        <v/>
      </c>
      <c r="I175" s="54" t="str">
        <f aca="false">IF($A175="","",SUMIFS(销售录入!$S$5:$S$404,销售录入!$E$5:$E$404,$A175,销售录入!$C$5:$C$404,首页!$B$5))</f>
        <v/>
      </c>
      <c r="J175" s="65" t="str">
        <f aca="false">IF($A175="","",$D175+$F175-$H175)</f>
        <v/>
      </c>
      <c r="K175" s="44" t="str">
        <f aca="false">IF($A175="","",$E175+$G175-$I175)</f>
        <v/>
      </c>
      <c r="L175" s="44" t="str">
        <f aca="false">IF(OR($A175="",$J175=0),"",$K175/$J175)</f>
        <v/>
      </c>
      <c r="M175" s="54" t="str">
        <f aca="false">IF($A175="","",SUMIFS(销售录入!$O$5:$O$404,销售录入!$E$5:$E$404,$A175,销售录入!$C$5:$C$404,首页!$B$5))</f>
        <v/>
      </c>
      <c r="N175" s="44" t="str">
        <f aca="false">IF($A175="","",$M175-$I175)</f>
        <v/>
      </c>
      <c r="O175" s="63" t="str">
        <f aca="false">IF(OR($A175="",$M175=0),"",$N175/$M175)</f>
        <v/>
      </c>
      <c r="P175" s="47" t="str">
        <f aca="false">IF($A175="","",IF($J175&lt;0,"⚠ 负库存",IF(AND($J175=0,ABS($K175)&gt;0.01),"⚠ 有金额无数量",IF(AND($J175&gt;0,$K175&lt;0),"⚠ 金额为负",IF($N175&lt;0,"⚠ 毛利为负","正常")))))</f>
        <v/>
      </c>
    </row>
    <row r="176" customFormat="false" ht="15.75" hidden="false" customHeight="true" outlineLevel="0" collapsed="false">
      <c r="A176" s="35" t="str">
        <f aca="false">IF(基础资料!$Q176="","",基础资料!$Q176)</f>
        <v/>
      </c>
      <c r="B176" s="42" t="str">
        <f aca="false">IF($A176="","",基础资料!$R176)</f>
        <v/>
      </c>
      <c r="C176" s="42" t="str">
        <f aca="false">IF($A176="","",基础资料!$S176)</f>
        <v/>
      </c>
      <c r="D176" s="64" t="str">
        <f aca="false">IF($A176="","",SUMIFS(期初数据!$R$6:$R$205,期初数据!$O$6:$O$205,$A176)+SUMIFS(采购录入!$F$5:$F$404,采购录入!$E$5:$E$404,$A176,采购录入!$I$5:$I$404,"是",采购录入!$B$5:$B$404,"&lt;"&amp;首页!$B$6)-SUMIFS(销售录入!$F$5:$F$404,销售录入!$E$5:$E$404,$A176,销售录入!$B$5:$B$404,"&lt;"&amp;首页!$B$6))</f>
        <v/>
      </c>
      <c r="E176" s="54" t="str">
        <f aca="false">IF($A176="","",SUMIFS(期初数据!$T$6:$T$205,期初数据!$O$6:$O$205,$A176)+SUMIFS(采购录入!$Q$5:$Q$404,采购录入!$E$5:$E$404,$A176,采购录入!$I$5:$I$404,"是",采购录入!$B$5:$B$404,"&lt;"&amp;首页!$B$6)-SUMIFS(销售录入!$S$5:$S$404,销售录入!$E$5:$E$404,$A176,销售录入!$B$5:$B$404,"&lt;"&amp;首页!$B$6))</f>
        <v/>
      </c>
      <c r="F176" s="64" t="str">
        <f aca="false">IF($A176="","",SUMIFS(采购录入!$F$5:$F$404,采购录入!$E$5:$E$404,$A176,采购录入!$I$5:$I$404,"是",采购录入!$C$5:$C$404,首页!$B$5))</f>
        <v/>
      </c>
      <c r="G176" s="54" t="str">
        <f aca="false">IF($A176="","",SUMIFS(采购录入!$Q$5:$Q$404,采购录入!$E$5:$E$404,$A176,采购录入!$I$5:$I$404,"是",采购录入!$C$5:$C$404,首页!$B$5))</f>
        <v/>
      </c>
      <c r="H176" s="64" t="str">
        <f aca="false">IF($A176="","",SUMIFS(销售录入!$F$5:$F$404,销售录入!$E$5:$E$404,$A176,销售录入!$C$5:$C$404,首页!$B$5))</f>
        <v/>
      </c>
      <c r="I176" s="54" t="str">
        <f aca="false">IF($A176="","",SUMIFS(销售录入!$S$5:$S$404,销售录入!$E$5:$E$404,$A176,销售录入!$C$5:$C$404,首页!$B$5))</f>
        <v/>
      </c>
      <c r="J176" s="65" t="str">
        <f aca="false">IF($A176="","",$D176+$F176-$H176)</f>
        <v/>
      </c>
      <c r="K176" s="44" t="str">
        <f aca="false">IF($A176="","",$E176+$G176-$I176)</f>
        <v/>
      </c>
      <c r="L176" s="44" t="str">
        <f aca="false">IF(OR($A176="",$J176=0),"",$K176/$J176)</f>
        <v/>
      </c>
      <c r="M176" s="54" t="str">
        <f aca="false">IF($A176="","",SUMIFS(销售录入!$O$5:$O$404,销售录入!$E$5:$E$404,$A176,销售录入!$C$5:$C$404,首页!$B$5))</f>
        <v/>
      </c>
      <c r="N176" s="44" t="str">
        <f aca="false">IF($A176="","",$M176-$I176)</f>
        <v/>
      </c>
      <c r="O176" s="63" t="str">
        <f aca="false">IF(OR($A176="",$M176=0),"",$N176/$M176)</f>
        <v/>
      </c>
      <c r="P176" s="47" t="str">
        <f aca="false">IF($A176="","",IF($J176&lt;0,"⚠ 负库存",IF(AND($J176=0,ABS($K176)&gt;0.01),"⚠ 有金额无数量",IF(AND($J176&gt;0,$K176&lt;0),"⚠ 金额为负",IF($N176&lt;0,"⚠ 毛利为负","正常")))))</f>
        <v/>
      </c>
    </row>
    <row r="177" customFormat="false" ht="15.75" hidden="false" customHeight="true" outlineLevel="0" collapsed="false">
      <c r="A177" s="35" t="str">
        <f aca="false">IF(基础资料!$Q177="","",基础资料!$Q177)</f>
        <v/>
      </c>
      <c r="B177" s="42" t="str">
        <f aca="false">IF($A177="","",基础资料!$R177)</f>
        <v/>
      </c>
      <c r="C177" s="42" t="str">
        <f aca="false">IF($A177="","",基础资料!$S177)</f>
        <v/>
      </c>
      <c r="D177" s="64" t="str">
        <f aca="false">IF($A177="","",SUMIFS(期初数据!$R$6:$R$205,期初数据!$O$6:$O$205,$A177)+SUMIFS(采购录入!$F$5:$F$404,采购录入!$E$5:$E$404,$A177,采购录入!$I$5:$I$404,"是",采购录入!$B$5:$B$404,"&lt;"&amp;首页!$B$6)-SUMIFS(销售录入!$F$5:$F$404,销售录入!$E$5:$E$404,$A177,销售录入!$B$5:$B$404,"&lt;"&amp;首页!$B$6))</f>
        <v/>
      </c>
      <c r="E177" s="54" t="str">
        <f aca="false">IF($A177="","",SUMIFS(期初数据!$T$6:$T$205,期初数据!$O$6:$O$205,$A177)+SUMIFS(采购录入!$Q$5:$Q$404,采购录入!$E$5:$E$404,$A177,采购录入!$I$5:$I$404,"是",采购录入!$B$5:$B$404,"&lt;"&amp;首页!$B$6)-SUMIFS(销售录入!$S$5:$S$404,销售录入!$E$5:$E$404,$A177,销售录入!$B$5:$B$404,"&lt;"&amp;首页!$B$6))</f>
        <v/>
      </c>
      <c r="F177" s="64" t="str">
        <f aca="false">IF($A177="","",SUMIFS(采购录入!$F$5:$F$404,采购录入!$E$5:$E$404,$A177,采购录入!$I$5:$I$404,"是",采购录入!$C$5:$C$404,首页!$B$5))</f>
        <v/>
      </c>
      <c r="G177" s="54" t="str">
        <f aca="false">IF($A177="","",SUMIFS(采购录入!$Q$5:$Q$404,采购录入!$E$5:$E$404,$A177,采购录入!$I$5:$I$404,"是",采购录入!$C$5:$C$404,首页!$B$5))</f>
        <v/>
      </c>
      <c r="H177" s="64" t="str">
        <f aca="false">IF($A177="","",SUMIFS(销售录入!$F$5:$F$404,销售录入!$E$5:$E$404,$A177,销售录入!$C$5:$C$404,首页!$B$5))</f>
        <v/>
      </c>
      <c r="I177" s="54" t="str">
        <f aca="false">IF($A177="","",SUMIFS(销售录入!$S$5:$S$404,销售录入!$E$5:$E$404,$A177,销售录入!$C$5:$C$404,首页!$B$5))</f>
        <v/>
      </c>
      <c r="J177" s="65" t="str">
        <f aca="false">IF($A177="","",$D177+$F177-$H177)</f>
        <v/>
      </c>
      <c r="K177" s="44" t="str">
        <f aca="false">IF($A177="","",$E177+$G177-$I177)</f>
        <v/>
      </c>
      <c r="L177" s="44" t="str">
        <f aca="false">IF(OR($A177="",$J177=0),"",$K177/$J177)</f>
        <v/>
      </c>
      <c r="M177" s="54" t="str">
        <f aca="false">IF($A177="","",SUMIFS(销售录入!$O$5:$O$404,销售录入!$E$5:$E$404,$A177,销售录入!$C$5:$C$404,首页!$B$5))</f>
        <v/>
      </c>
      <c r="N177" s="44" t="str">
        <f aca="false">IF($A177="","",$M177-$I177)</f>
        <v/>
      </c>
      <c r="O177" s="63" t="str">
        <f aca="false">IF(OR($A177="",$M177=0),"",$N177/$M177)</f>
        <v/>
      </c>
      <c r="P177" s="47" t="str">
        <f aca="false">IF($A177="","",IF($J177&lt;0,"⚠ 负库存",IF(AND($J177=0,ABS($K177)&gt;0.01),"⚠ 有金额无数量",IF(AND($J177&gt;0,$K177&lt;0),"⚠ 金额为负",IF($N177&lt;0,"⚠ 毛利为负","正常")))))</f>
        <v/>
      </c>
    </row>
    <row r="178" customFormat="false" ht="15.75" hidden="false" customHeight="true" outlineLevel="0" collapsed="false">
      <c r="A178" s="35" t="str">
        <f aca="false">IF(基础资料!$Q178="","",基础资料!$Q178)</f>
        <v/>
      </c>
      <c r="B178" s="42" t="str">
        <f aca="false">IF($A178="","",基础资料!$R178)</f>
        <v/>
      </c>
      <c r="C178" s="42" t="str">
        <f aca="false">IF($A178="","",基础资料!$S178)</f>
        <v/>
      </c>
      <c r="D178" s="64" t="str">
        <f aca="false">IF($A178="","",SUMIFS(期初数据!$R$6:$R$205,期初数据!$O$6:$O$205,$A178)+SUMIFS(采购录入!$F$5:$F$404,采购录入!$E$5:$E$404,$A178,采购录入!$I$5:$I$404,"是",采购录入!$B$5:$B$404,"&lt;"&amp;首页!$B$6)-SUMIFS(销售录入!$F$5:$F$404,销售录入!$E$5:$E$404,$A178,销售录入!$B$5:$B$404,"&lt;"&amp;首页!$B$6))</f>
        <v/>
      </c>
      <c r="E178" s="54" t="str">
        <f aca="false">IF($A178="","",SUMIFS(期初数据!$T$6:$T$205,期初数据!$O$6:$O$205,$A178)+SUMIFS(采购录入!$Q$5:$Q$404,采购录入!$E$5:$E$404,$A178,采购录入!$I$5:$I$404,"是",采购录入!$B$5:$B$404,"&lt;"&amp;首页!$B$6)-SUMIFS(销售录入!$S$5:$S$404,销售录入!$E$5:$E$404,$A178,销售录入!$B$5:$B$404,"&lt;"&amp;首页!$B$6))</f>
        <v/>
      </c>
      <c r="F178" s="64" t="str">
        <f aca="false">IF($A178="","",SUMIFS(采购录入!$F$5:$F$404,采购录入!$E$5:$E$404,$A178,采购录入!$I$5:$I$404,"是",采购录入!$C$5:$C$404,首页!$B$5))</f>
        <v/>
      </c>
      <c r="G178" s="54" t="str">
        <f aca="false">IF($A178="","",SUMIFS(采购录入!$Q$5:$Q$404,采购录入!$E$5:$E$404,$A178,采购录入!$I$5:$I$404,"是",采购录入!$C$5:$C$404,首页!$B$5))</f>
        <v/>
      </c>
      <c r="H178" s="64" t="str">
        <f aca="false">IF($A178="","",SUMIFS(销售录入!$F$5:$F$404,销售录入!$E$5:$E$404,$A178,销售录入!$C$5:$C$404,首页!$B$5))</f>
        <v/>
      </c>
      <c r="I178" s="54" t="str">
        <f aca="false">IF($A178="","",SUMIFS(销售录入!$S$5:$S$404,销售录入!$E$5:$E$404,$A178,销售录入!$C$5:$C$404,首页!$B$5))</f>
        <v/>
      </c>
      <c r="J178" s="65" t="str">
        <f aca="false">IF($A178="","",$D178+$F178-$H178)</f>
        <v/>
      </c>
      <c r="K178" s="44" t="str">
        <f aca="false">IF($A178="","",$E178+$G178-$I178)</f>
        <v/>
      </c>
      <c r="L178" s="44" t="str">
        <f aca="false">IF(OR($A178="",$J178=0),"",$K178/$J178)</f>
        <v/>
      </c>
      <c r="M178" s="54" t="str">
        <f aca="false">IF($A178="","",SUMIFS(销售录入!$O$5:$O$404,销售录入!$E$5:$E$404,$A178,销售录入!$C$5:$C$404,首页!$B$5))</f>
        <v/>
      </c>
      <c r="N178" s="44" t="str">
        <f aca="false">IF($A178="","",$M178-$I178)</f>
        <v/>
      </c>
      <c r="O178" s="63" t="str">
        <f aca="false">IF(OR($A178="",$M178=0),"",$N178/$M178)</f>
        <v/>
      </c>
      <c r="P178" s="47" t="str">
        <f aca="false">IF($A178="","",IF($J178&lt;0,"⚠ 负库存",IF(AND($J178=0,ABS($K178)&gt;0.01),"⚠ 有金额无数量",IF(AND($J178&gt;0,$K178&lt;0),"⚠ 金额为负",IF($N178&lt;0,"⚠ 毛利为负","正常")))))</f>
        <v/>
      </c>
    </row>
    <row r="179" customFormat="false" ht="15.75" hidden="false" customHeight="true" outlineLevel="0" collapsed="false">
      <c r="A179" s="35" t="str">
        <f aca="false">IF(基础资料!$Q179="","",基础资料!$Q179)</f>
        <v/>
      </c>
      <c r="B179" s="42" t="str">
        <f aca="false">IF($A179="","",基础资料!$R179)</f>
        <v/>
      </c>
      <c r="C179" s="42" t="str">
        <f aca="false">IF($A179="","",基础资料!$S179)</f>
        <v/>
      </c>
      <c r="D179" s="64" t="str">
        <f aca="false">IF($A179="","",SUMIFS(期初数据!$R$6:$R$205,期初数据!$O$6:$O$205,$A179)+SUMIFS(采购录入!$F$5:$F$404,采购录入!$E$5:$E$404,$A179,采购录入!$I$5:$I$404,"是",采购录入!$B$5:$B$404,"&lt;"&amp;首页!$B$6)-SUMIFS(销售录入!$F$5:$F$404,销售录入!$E$5:$E$404,$A179,销售录入!$B$5:$B$404,"&lt;"&amp;首页!$B$6))</f>
        <v/>
      </c>
      <c r="E179" s="54" t="str">
        <f aca="false">IF($A179="","",SUMIFS(期初数据!$T$6:$T$205,期初数据!$O$6:$O$205,$A179)+SUMIFS(采购录入!$Q$5:$Q$404,采购录入!$E$5:$E$404,$A179,采购录入!$I$5:$I$404,"是",采购录入!$B$5:$B$404,"&lt;"&amp;首页!$B$6)-SUMIFS(销售录入!$S$5:$S$404,销售录入!$E$5:$E$404,$A179,销售录入!$B$5:$B$404,"&lt;"&amp;首页!$B$6))</f>
        <v/>
      </c>
      <c r="F179" s="64" t="str">
        <f aca="false">IF($A179="","",SUMIFS(采购录入!$F$5:$F$404,采购录入!$E$5:$E$404,$A179,采购录入!$I$5:$I$404,"是",采购录入!$C$5:$C$404,首页!$B$5))</f>
        <v/>
      </c>
      <c r="G179" s="54" t="str">
        <f aca="false">IF($A179="","",SUMIFS(采购录入!$Q$5:$Q$404,采购录入!$E$5:$E$404,$A179,采购录入!$I$5:$I$404,"是",采购录入!$C$5:$C$404,首页!$B$5))</f>
        <v/>
      </c>
      <c r="H179" s="64" t="str">
        <f aca="false">IF($A179="","",SUMIFS(销售录入!$F$5:$F$404,销售录入!$E$5:$E$404,$A179,销售录入!$C$5:$C$404,首页!$B$5))</f>
        <v/>
      </c>
      <c r="I179" s="54" t="str">
        <f aca="false">IF($A179="","",SUMIFS(销售录入!$S$5:$S$404,销售录入!$E$5:$E$404,$A179,销售录入!$C$5:$C$404,首页!$B$5))</f>
        <v/>
      </c>
      <c r="J179" s="65" t="str">
        <f aca="false">IF($A179="","",$D179+$F179-$H179)</f>
        <v/>
      </c>
      <c r="K179" s="44" t="str">
        <f aca="false">IF($A179="","",$E179+$G179-$I179)</f>
        <v/>
      </c>
      <c r="L179" s="44" t="str">
        <f aca="false">IF(OR($A179="",$J179=0),"",$K179/$J179)</f>
        <v/>
      </c>
      <c r="M179" s="54" t="str">
        <f aca="false">IF($A179="","",SUMIFS(销售录入!$O$5:$O$404,销售录入!$E$5:$E$404,$A179,销售录入!$C$5:$C$404,首页!$B$5))</f>
        <v/>
      </c>
      <c r="N179" s="44" t="str">
        <f aca="false">IF($A179="","",$M179-$I179)</f>
        <v/>
      </c>
      <c r="O179" s="63" t="str">
        <f aca="false">IF(OR($A179="",$M179=0),"",$N179/$M179)</f>
        <v/>
      </c>
      <c r="P179" s="47" t="str">
        <f aca="false">IF($A179="","",IF($J179&lt;0,"⚠ 负库存",IF(AND($J179=0,ABS($K179)&gt;0.01),"⚠ 有金额无数量",IF(AND($J179&gt;0,$K179&lt;0),"⚠ 金额为负",IF($N179&lt;0,"⚠ 毛利为负","正常")))))</f>
        <v/>
      </c>
    </row>
    <row r="180" customFormat="false" ht="15.75" hidden="false" customHeight="true" outlineLevel="0" collapsed="false">
      <c r="A180" s="35" t="str">
        <f aca="false">IF(基础资料!$Q180="","",基础资料!$Q180)</f>
        <v/>
      </c>
      <c r="B180" s="42" t="str">
        <f aca="false">IF($A180="","",基础资料!$R180)</f>
        <v/>
      </c>
      <c r="C180" s="42" t="str">
        <f aca="false">IF($A180="","",基础资料!$S180)</f>
        <v/>
      </c>
      <c r="D180" s="64" t="str">
        <f aca="false">IF($A180="","",SUMIFS(期初数据!$R$6:$R$205,期初数据!$O$6:$O$205,$A180)+SUMIFS(采购录入!$F$5:$F$404,采购录入!$E$5:$E$404,$A180,采购录入!$I$5:$I$404,"是",采购录入!$B$5:$B$404,"&lt;"&amp;首页!$B$6)-SUMIFS(销售录入!$F$5:$F$404,销售录入!$E$5:$E$404,$A180,销售录入!$B$5:$B$404,"&lt;"&amp;首页!$B$6))</f>
        <v/>
      </c>
      <c r="E180" s="54" t="str">
        <f aca="false">IF($A180="","",SUMIFS(期初数据!$T$6:$T$205,期初数据!$O$6:$O$205,$A180)+SUMIFS(采购录入!$Q$5:$Q$404,采购录入!$E$5:$E$404,$A180,采购录入!$I$5:$I$404,"是",采购录入!$B$5:$B$404,"&lt;"&amp;首页!$B$6)-SUMIFS(销售录入!$S$5:$S$404,销售录入!$E$5:$E$404,$A180,销售录入!$B$5:$B$404,"&lt;"&amp;首页!$B$6))</f>
        <v/>
      </c>
      <c r="F180" s="64" t="str">
        <f aca="false">IF($A180="","",SUMIFS(采购录入!$F$5:$F$404,采购录入!$E$5:$E$404,$A180,采购录入!$I$5:$I$404,"是",采购录入!$C$5:$C$404,首页!$B$5))</f>
        <v/>
      </c>
      <c r="G180" s="54" t="str">
        <f aca="false">IF($A180="","",SUMIFS(采购录入!$Q$5:$Q$404,采购录入!$E$5:$E$404,$A180,采购录入!$I$5:$I$404,"是",采购录入!$C$5:$C$404,首页!$B$5))</f>
        <v/>
      </c>
      <c r="H180" s="64" t="str">
        <f aca="false">IF($A180="","",SUMIFS(销售录入!$F$5:$F$404,销售录入!$E$5:$E$404,$A180,销售录入!$C$5:$C$404,首页!$B$5))</f>
        <v/>
      </c>
      <c r="I180" s="54" t="str">
        <f aca="false">IF($A180="","",SUMIFS(销售录入!$S$5:$S$404,销售录入!$E$5:$E$404,$A180,销售录入!$C$5:$C$404,首页!$B$5))</f>
        <v/>
      </c>
      <c r="J180" s="65" t="str">
        <f aca="false">IF($A180="","",$D180+$F180-$H180)</f>
        <v/>
      </c>
      <c r="K180" s="44" t="str">
        <f aca="false">IF($A180="","",$E180+$G180-$I180)</f>
        <v/>
      </c>
      <c r="L180" s="44" t="str">
        <f aca="false">IF(OR($A180="",$J180=0),"",$K180/$J180)</f>
        <v/>
      </c>
      <c r="M180" s="54" t="str">
        <f aca="false">IF($A180="","",SUMIFS(销售录入!$O$5:$O$404,销售录入!$E$5:$E$404,$A180,销售录入!$C$5:$C$404,首页!$B$5))</f>
        <v/>
      </c>
      <c r="N180" s="44" t="str">
        <f aca="false">IF($A180="","",$M180-$I180)</f>
        <v/>
      </c>
      <c r="O180" s="63" t="str">
        <f aca="false">IF(OR($A180="",$M180=0),"",$N180/$M180)</f>
        <v/>
      </c>
      <c r="P180" s="47" t="str">
        <f aca="false">IF($A180="","",IF($J180&lt;0,"⚠ 负库存",IF(AND($J180=0,ABS($K180)&gt;0.01),"⚠ 有金额无数量",IF(AND($J180&gt;0,$K180&lt;0),"⚠ 金额为负",IF($N180&lt;0,"⚠ 毛利为负","正常")))))</f>
        <v/>
      </c>
    </row>
    <row r="181" customFormat="false" ht="15.75" hidden="false" customHeight="true" outlineLevel="0" collapsed="false">
      <c r="A181" s="35" t="str">
        <f aca="false">IF(基础资料!$Q181="","",基础资料!$Q181)</f>
        <v/>
      </c>
      <c r="B181" s="42" t="str">
        <f aca="false">IF($A181="","",基础资料!$R181)</f>
        <v/>
      </c>
      <c r="C181" s="42" t="str">
        <f aca="false">IF($A181="","",基础资料!$S181)</f>
        <v/>
      </c>
      <c r="D181" s="64" t="str">
        <f aca="false">IF($A181="","",SUMIFS(期初数据!$R$6:$R$205,期初数据!$O$6:$O$205,$A181)+SUMIFS(采购录入!$F$5:$F$404,采购录入!$E$5:$E$404,$A181,采购录入!$I$5:$I$404,"是",采购录入!$B$5:$B$404,"&lt;"&amp;首页!$B$6)-SUMIFS(销售录入!$F$5:$F$404,销售录入!$E$5:$E$404,$A181,销售录入!$B$5:$B$404,"&lt;"&amp;首页!$B$6))</f>
        <v/>
      </c>
      <c r="E181" s="54" t="str">
        <f aca="false">IF($A181="","",SUMIFS(期初数据!$T$6:$T$205,期初数据!$O$6:$O$205,$A181)+SUMIFS(采购录入!$Q$5:$Q$404,采购录入!$E$5:$E$404,$A181,采购录入!$I$5:$I$404,"是",采购录入!$B$5:$B$404,"&lt;"&amp;首页!$B$6)-SUMIFS(销售录入!$S$5:$S$404,销售录入!$E$5:$E$404,$A181,销售录入!$B$5:$B$404,"&lt;"&amp;首页!$B$6))</f>
        <v/>
      </c>
      <c r="F181" s="64" t="str">
        <f aca="false">IF($A181="","",SUMIFS(采购录入!$F$5:$F$404,采购录入!$E$5:$E$404,$A181,采购录入!$I$5:$I$404,"是",采购录入!$C$5:$C$404,首页!$B$5))</f>
        <v/>
      </c>
      <c r="G181" s="54" t="str">
        <f aca="false">IF($A181="","",SUMIFS(采购录入!$Q$5:$Q$404,采购录入!$E$5:$E$404,$A181,采购录入!$I$5:$I$404,"是",采购录入!$C$5:$C$404,首页!$B$5))</f>
        <v/>
      </c>
      <c r="H181" s="64" t="str">
        <f aca="false">IF($A181="","",SUMIFS(销售录入!$F$5:$F$404,销售录入!$E$5:$E$404,$A181,销售录入!$C$5:$C$404,首页!$B$5))</f>
        <v/>
      </c>
      <c r="I181" s="54" t="str">
        <f aca="false">IF($A181="","",SUMIFS(销售录入!$S$5:$S$404,销售录入!$E$5:$E$404,$A181,销售录入!$C$5:$C$404,首页!$B$5))</f>
        <v/>
      </c>
      <c r="J181" s="65" t="str">
        <f aca="false">IF($A181="","",$D181+$F181-$H181)</f>
        <v/>
      </c>
      <c r="K181" s="44" t="str">
        <f aca="false">IF($A181="","",$E181+$G181-$I181)</f>
        <v/>
      </c>
      <c r="L181" s="44" t="str">
        <f aca="false">IF(OR($A181="",$J181=0),"",$K181/$J181)</f>
        <v/>
      </c>
      <c r="M181" s="54" t="str">
        <f aca="false">IF($A181="","",SUMIFS(销售录入!$O$5:$O$404,销售录入!$E$5:$E$404,$A181,销售录入!$C$5:$C$404,首页!$B$5))</f>
        <v/>
      </c>
      <c r="N181" s="44" t="str">
        <f aca="false">IF($A181="","",$M181-$I181)</f>
        <v/>
      </c>
      <c r="O181" s="63" t="str">
        <f aca="false">IF(OR($A181="",$M181=0),"",$N181/$M181)</f>
        <v/>
      </c>
      <c r="P181" s="47" t="str">
        <f aca="false">IF($A181="","",IF($J181&lt;0,"⚠ 负库存",IF(AND($J181=0,ABS($K181)&gt;0.01),"⚠ 有金额无数量",IF(AND($J181&gt;0,$K181&lt;0),"⚠ 金额为负",IF($N181&lt;0,"⚠ 毛利为负","正常")))))</f>
        <v/>
      </c>
    </row>
    <row r="182" customFormat="false" ht="15.75" hidden="false" customHeight="true" outlineLevel="0" collapsed="false">
      <c r="A182" s="35" t="str">
        <f aca="false">IF(基础资料!$Q182="","",基础资料!$Q182)</f>
        <v/>
      </c>
      <c r="B182" s="42" t="str">
        <f aca="false">IF($A182="","",基础资料!$R182)</f>
        <v/>
      </c>
      <c r="C182" s="42" t="str">
        <f aca="false">IF($A182="","",基础资料!$S182)</f>
        <v/>
      </c>
      <c r="D182" s="64" t="str">
        <f aca="false">IF($A182="","",SUMIFS(期初数据!$R$6:$R$205,期初数据!$O$6:$O$205,$A182)+SUMIFS(采购录入!$F$5:$F$404,采购录入!$E$5:$E$404,$A182,采购录入!$I$5:$I$404,"是",采购录入!$B$5:$B$404,"&lt;"&amp;首页!$B$6)-SUMIFS(销售录入!$F$5:$F$404,销售录入!$E$5:$E$404,$A182,销售录入!$B$5:$B$404,"&lt;"&amp;首页!$B$6))</f>
        <v/>
      </c>
      <c r="E182" s="54" t="str">
        <f aca="false">IF($A182="","",SUMIFS(期初数据!$T$6:$T$205,期初数据!$O$6:$O$205,$A182)+SUMIFS(采购录入!$Q$5:$Q$404,采购录入!$E$5:$E$404,$A182,采购录入!$I$5:$I$404,"是",采购录入!$B$5:$B$404,"&lt;"&amp;首页!$B$6)-SUMIFS(销售录入!$S$5:$S$404,销售录入!$E$5:$E$404,$A182,销售录入!$B$5:$B$404,"&lt;"&amp;首页!$B$6))</f>
        <v/>
      </c>
      <c r="F182" s="64" t="str">
        <f aca="false">IF($A182="","",SUMIFS(采购录入!$F$5:$F$404,采购录入!$E$5:$E$404,$A182,采购录入!$I$5:$I$404,"是",采购录入!$C$5:$C$404,首页!$B$5))</f>
        <v/>
      </c>
      <c r="G182" s="54" t="str">
        <f aca="false">IF($A182="","",SUMIFS(采购录入!$Q$5:$Q$404,采购录入!$E$5:$E$404,$A182,采购录入!$I$5:$I$404,"是",采购录入!$C$5:$C$404,首页!$B$5))</f>
        <v/>
      </c>
      <c r="H182" s="64" t="str">
        <f aca="false">IF($A182="","",SUMIFS(销售录入!$F$5:$F$404,销售录入!$E$5:$E$404,$A182,销售录入!$C$5:$C$404,首页!$B$5))</f>
        <v/>
      </c>
      <c r="I182" s="54" t="str">
        <f aca="false">IF($A182="","",SUMIFS(销售录入!$S$5:$S$404,销售录入!$E$5:$E$404,$A182,销售录入!$C$5:$C$404,首页!$B$5))</f>
        <v/>
      </c>
      <c r="J182" s="65" t="str">
        <f aca="false">IF($A182="","",$D182+$F182-$H182)</f>
        <v/>
      </c>
      <c r="K182" s="44" t="str">
        <f aca="false">IF($A182="","",$E182+$G182-$I182)</f>
        <v/>
      </c>
      <c r="L182" s="44" t="str">
        <f aca="false">IF(OR($A182="",$J182=0),"",$K182/$J182)</f>
        <v/>
      </c>
      <c r="M182" s="54" t="str">
        <f aca="false">IF($A182="","",SUMIFS(销售录入!$O$5:$O$404,销售录入!$E$5:$E$404,$A182,销售录入!$C$5:$C$404,首页!$B$5))</f>
        <v/>
      </c>
      <c r="N182" s="44" t="str">
        <f aca="false">IF($A182="","",$M182-$I182)</f>
        <v/>
      </c>
      <c r="O182" s="63" t="str">
        <f aca="false">IF(OR($A182="",$M182=0),"",$N182/$M182)</f>
        <v/>
      </c>
      <c r="P182" s="47" t="str">
        <f aca="false">IF($A182="","",IF($J182&lt;0,"⚠ 负库存",IF(AND($J182=0,ABS($K182)&gt;0.01),"⚠ 有金额无数量",IF(AND($J182&gt;0,$K182&lt;0),"⚠ 金额为负",IF($N182&lt;0,"⚠ 毛利为负","正常")))))</f>
        <v/>
      </c>
    </row>
    <row r="183" customFormat="false" ht="15.75" hidden="false" customHeight="true" outlineLevel="0" collapsed="false">
      <c r="A183" s="35" t="str">
        <f aca="false">IF(基础资料!$Q183="","",基础资料!$Q183)</f>
        <v/>
      </c>
      <c r="B183" s="42" t="str">
        <f aca="false">IF($A183="","",基础资料!$R183)</f>
        <v/>
      </c>
      <c r="C183" s="42" t="str">
        <f aca="false">IF($A183="","",基础资料!$S183)</f>
        <v/>
      </c>
      <c r="D183" s="64" t="str">
        <f aca="false">IF($A183="","",SUMIFS(期初数据!$R$6:$R$205,期初数据!$O$6:$O$205,$A183)+SUMIFS(采购录入!$F$5:$F$404,采购录入!$E$5:$E$404,$A183,采购录入!$I$5:$I$404,"是",采购录入!$B$5:$B$404,"&lt;"&amp;首页!$B$6)-SUMIFS(销售录入!$F$5:$F$404,销售录入!$E$5:$E$404,$A183,销售录入!$B$5:$B$404,"&lt;"&amp;首页!$B$6))</f>
        <v/>
      </c>
      <c r="E183" s="54" t="str">
        <f aca="false">IF($A183="","",SUMIFS(期初数据!$T$6:$T$205,期初数据!$O$6:$O$205,$A183)+SUMIFS(采购录入!$Q$5:$Q$404,采购录入!$E$5:$E$404,$A183,采购录入!$I$5:$I$404,"是",采购录入!$B$5:$B$404,"&lt;"&amp;首页!$B$6)-SUMIFS(销售录入!$S$5:$S$404,销售录入!$E$5:$E$404,$A183,销售录入!$B$5:$B$404,"&lt;"&amp;首页!$B$6))</f>
        <v/>
      </c>
      <c r="F183" s="64" t="str">
        <f aca="false">IF($A183="","",SUMIFS(采购录入!$F$5:$F$404,采购录入!$E$5:$E$404,$A183,采购录入!$I$5:$I$404,"是",采购录入!$C$5:$C$404,首页!$B$5))</f>
        <v/>
      </c>
      <c r="G183" s="54" t="str">
        <f aca="false">IF($A183="","",SUMIFS(采购录入!$Q$5:$Q$404,采购录入!$E$5:$E$404,$A183,采购录入!$I$5:$I$404,"是",采购录入!$C$5:$C$404,首页!$B$5))</f>
        <v/>
      </c>
      <c r="H183" s="64" t="str">
        <f aca="false">IF($A183="","",SUMIFS(销售录入!$F$5:$F$404,销售录入!$E$5:$E$404,$A183,销售录入!$C$5:$C$404,首页!$B$5))</f>
        <v/>
      </c>
      <c r="I183" s="54" t="str">
        <f aca="false">IF($A183="","",SUMIFS(销售录入!$S$5:$S$404,销售录入!$E$5:$E$404,$A183,销售录入!$C$5:$C$404,首页!$B$5))</f>
        <v/>
      </c>
      <c r="J183" s="65" t="str">
        <f aca="false">IF($A183="","",$D183+$F183-$H183)</f>
        <v/>
      </c>
      <c r="K183" s="44" t="str">
        <f aca="false">IF($A183="","",$E183+$G183-$I183)</f>
        <v/>
      </c>
      <c r="L183" s="44" t="str">
        <f aca="false">IF(OR($A183="",$J183=0),"",$K183/$J183)</f>
        <v/>
      </c>
      <c r="M183" s="54" t="str">
        <f aca="false">IF($A183="","",SUMIFS(销售录入!$O$5:$O$404,销售录入!$E$5:$E$404,$A183,销售录入!$C$5:$C$404,首页!$B$5))</f>
        <v/>
      </c>
      <c r="N183" s="44" t="str">
        <f aca="false">IF($A183="","",$M183-$I183)</f>
        <v/>
      </c>
      <c r="O183" s="63" t="str">
        <f aca="false">IF(OR($A183="",$M183=0),"",$N183/$M183)</f>
        <v/>
      </c>
      <c r="P183" s="47" t="str">
        <f aca="false">IF($A183="","",IF($J183&lt;0,"⚠ 负库存",IF(AND($J183=0,ABS($K183)&gt;0.01),"⚠ 有金额无数量",IF(AND($J183&gt;0,$K183&lt;0),"⚠ 金额为负",IF($N183&lt;0,"⚠ 毛利为负","正常")))))</f>
        <v/>
      </c>
    </row>
    <row r="184" customFormat="false" ht="15.75" hidden="false" customHeight="true" outlineLevel="0" collapsed="false">
      <c r="A184" s="35" t="str">
        <f aca="false">IF(基础资料!$Q184="","",基础资料!$Q184)</f>
        <v/>
      </c>
      <c r="B184" s="42" t="str">
        <f aca="false">IF($A184="","",基础资料!$R184)</f>
        <v/>
      </c>
      <c r="C184" s="42" t="str">
        <f aca="false">IF($A184="","",基础资料!$S184)</f>
        <v/>
      </c>
      <c r="D184" s="64" t="str">
        <f aca="false">IF($A184="","",SUMIFS(期初数据!$R$6:$R$205,期初数据!$O$6:$O$205,$A184)+SUMIFS(采购录入!$F$5:$F$404,采购录入!$E$5:$E$404,$A184,采购录入!$I$5:$I$404,"是",采购录入!$B$5:$B$404,"&lt;"&amp;首页!$B$6)-SUMIFS(销售录入!$F$5:$F$404,销售录入!$E$5:$E$404,$A184,销售录入!$B$5:$B$404,"&lt;"&amp;首页!$B$6))</f>
        <v/>
      </c>
      <c r="E184" s="54" t="str">
        <f aca="false">IF($A184="","",SUMIFS(期初数据!$T$6:$T$205,期初数据!$O$6:$O$205,$A184)+SUMIFS(采购录入!$Q$5:$Q$404,采购录入!$E$5:$E$404,$A184,采购录入!$I$5:$I$404,"是",采购录入!$B$5:$B$404,"&lt;"&amp;首页!$B$6)-SUMIFS(销售录入!$S$5:$S$404,销售录入!$E$5:$E$404,$A184,销售录入!$B$5:$B$404,"&lt;"&amp;首页!$B$6))</f>
        <v/>
      </c>
      <c r="F184" s="64" t="str">
        <f aca="false">IF($A184="","",SUMIFS(采购录入!$F$5:$F$404,采购录入!$E$5:$E$404,$A184,采购录入!$I$5:$I$404,"是",采购录入!$C$5:$C$404,首页!$B$5))</f>
        <v/>
      </c>
      <c r="G184" s="54" t="str">
        <f aca="false">IF($A184="","",SUMIFS(采购录入!$Q$5:$Q$404,采购录入!$E$5:$E$404,$A184,采购录入!$I$5:$I$404,"是",采购录入!$C$5:$C$404,首页!$B$5))</f>
        <v/>
      </c>
      <c r="H184" s="64" t="str">
        <f aca="false">IF($A184="","",SUMIFS(销售录入!$F$5:$F$404,销售录入!$E$5:$E$404,$A184,销售录入!$C$5:$C$404,首页!$B$5))</f>
        <v/>
      </c>
      <c r="I184" s="54" t="str">
        <f aca="false">IF($A184="","",SUMIFS(销售录入!$S$5:$S$404,销售录入!$E$5:$E$404,$A184,销售录入!$C$5:$C$404,首页!$B$5))</f>
        <v/>
      </c>
      <c r="J184" s="65" t="str">
        <f aca="false">IF($A184="","",$D184+$F184-$H184)</f>
        <v/>
      </c>
      <c r="K184" s="44" t="str">
        <f aca="false">IF($A184="","",$E184+$G184-$I184)</f>
        <v/>
      </c>
      <c r="L184" s="44" t="str">
        <f aca="false">IF(OR($A184="",$J184=0),"",$K184/$J184)</f>
        <v/>
      </c>
      <c r="M184" s="54" t="str">
        <f aca="false">IF($A184="","",SUMIFS(销售录入!$O$5:$O$404,销售录入!$E$5:$E$404,$A184,销售录入!$C$5:$C$404,首页!$B$5))</f>
        <v/>
      </c>
      <c r="N184" s="44" t="str">
        <f aca="false">IF($A184="","",$M184-$I184)</f>
        <v/>
      </c>
      <c r="O184" s="63" t="str">
        <f aca="false">IF(OR($A184="",$M184=0),"",$N184/$M184)</f>
        <v/>
      </c>
      <c r="P184" s="47" t="str">
        <f aca="false">IF($A184="","",IF($J184&lt;0,"⚠ 负库存",IF(AND($J184=0,ABS($K184)&gt;0.01),"⚠ 有金额无数量",IF(AND($J184&gt;0,$K184&lt;0),"⚠ 金额为负",IF($N184&lt;0,"⚠ 毛利为负","正常")))))</f>
        <v/>
      </c>
    </row>
    <row r="185" customFormat="false" ht="15.75" hidden="false" customHeight="true" outlineLevel="0" collapsed="false">
      <c r="A185" s="35" t="str">
        <f aca="false">IF(基础资料!$Q185="","",基础资料!$Q185)</f>
        <v/>
      </c>
      <c r="B185" s="42" t="str">
        <f aca="false">IF($A185="","",基础资料!$R185)</f>
        <v/>
      </c>
      <c r="C185" s="42" t="str">
        <f aca="false">IF($A185="","",基础资料!$S185)</f>
        <v/>
      </c>
      <c r="D185" s="64" t="str">
        <f aca="false">IF($A185="","",SUMIFS(期初数据!$R$6:$R$205,期初数据!$O$6:$O$205,$A185)+SUMIFS(采购录入!$F$5:$F$404,采购录入!$E$5:$E$404,$A185,采购录入!$I$5:$I$404,"是",采购录入!$B$5:$B$404,"&lt;"&amp;首页!$B$6)-SUMIFS(销售录入!$F$5:$F$404,销售录入!$E$5:$E$404,$A185,销售录入!$B$5:$B$404,"&lt;"&amp;首页!$B$6))</f>
        <v/>
      </c>
      <c r="E185" s="54" t="str">
        <f aca="false">IF($A185="","",SUMIFS(期初数据!$T$6:$T$205,期初数据!$O$6:$O$205,$A185)+SUMIFS(采购录入!$Q$5:$Q$404,采购录入!$E$5:$E$404,$A185,采购录入!$I$5:$I$404,"是",采购录入!$B$5:$B$404,"&lt;"&amp;首页!$B$6)-SUMIFS(销售录入!$S$5:$S$404,销售录入!$E$5:$E$404,$A185,销售录入!$B$5:$B$404,"&lt;"&amp;首页!$B$6))</f>
        <v/>
      </c>
      <c r="F185" s="64" t="str">
        <f aca="false">IF($A185="","",SUMIFS(采购录入!$F$5:$F$404,采购录入!$E$5:$E$404,$A185,采购录入!$I$5:$I$404,"是",采购录入!$C$5:$C$404,首页!$B$5))</f>
        <v/>
      </c>
      <c r="G185" s="54" t="str">
        <f aca="false">IF($A185="","",SUMIFS(采购录入!$Q$5:$Q$404,采购录入!$E$5:$E$404,$A185,采购录入!$I$5:$I$404,"是",采购录入!$C$5:$C$404,首页!$B$5))</f>
        <v/>
      </c>
      <c r="H185" s="64" t="str">
        <f aca="false">IF($A185="","",SUMIFS(销售录入!$F$5:$F$404,销售录入!$E$5:$E$404,$A185,销售录入!$C$5:$C$404,首页!$B$5))</f>
        <v/>
      </c>
      <c r="I185" s="54" t="str">
        <f aca="false">IF($A185="","",SUMIFS(销售录入!$S$5:$S$404,销售录入!$E$5:$E$404,$A185,销售录入!$C$5:$C$404,首页!$B$5))</f>
        <v/>
      </c>
      <c r="J185" s="65" t="str">
        <f aca="false">IF($A185="","",$D185+$F185-$H185)</f>
        <v/>
      </c>
      <c r="K185" s="44" t="str">
        <f aca="false">IF($A185="","",$E185+$G185-$I185)</f>
        <v/>
      </c>
      <c r="L185" s="44" t="str">
        <f aca="false">IF(OR($A185="",$J185=0),"",$K185/$J185)</f>
        <v/>
      </c>
      <c r="M185" s="54" t="str">
        <f aca="false">IF($A185="","",SUMIFS(销售录入!$O$5:$O$404,销售录入!$E$5:$E$404,$A185,销售录入!$C$5:$C$404,首页!$B$5))</f>
        <v/>
      </c>
      <c r="N185" s="44" t="str">
        <f aca="false">IF($A185="","",$M185-$I185)</f>
        <v/>
      </c>
      <c r="O185" s="63" t="str">
        <f aca="false">IF(OR($A185="",$M185=0),"",$N185/$M185)</f>
        <v/>
      </c>
      <c r="P185" s="47" t="str">
        <f aca="false">IF($A185="","",IF($J185&lt;0,"⚠ 负库存",IF(AND($J185=0,ABS($K185)&gt;0.01),"⚠ 有金额无数量",IF(AND($J185&gt;0,$K185&lt;0),"⚠ 金额为负",IF($N185&lt;0,"⚠ 毛利为负","正常")))))</f>
        <v/>
      </c>
    </row>
    <row r="186" customFormat="false" ht="15.75" hidden="false" customHeight="true" outlineLevel="0" collapsed="false">
      <c r="A186" s="35" t="str">
        <f aca="false">IF(基础资料!$Q186="","",基础资料!$Q186)</f>
        <v/>
      </c>
      <c r="B186" s="42" t="str">
        <f aca="false">IF($A186="","",基础资料!$R186)</f>
        <v/>
      </c>
      <c r="C186" s="42" t="str">
        <f aca="false">IF($A186="","",基础资料!$S186)</f>
        <v/>
      </c>
      <c r="D186" s="64" t="str">
        <f aca="false">IF($A186="","",SUMIFS(期初数据!$R$6:$R$205,期初数据!$O$6:$O$205,$A186)+SUMIFS(采购录入!$F$5:$F$404,采购录入!$E$5:$E$404,$A186,采购录入!$I$5:$I$404,"是",采购录入!$B$5:$B$404,"&lt;"&amp;首页!$B$6)-SUMIFS(销售录入!$F$5:$F$404,销售录入!$E$5:$E$404,$A186,销售录入!$B$5:$B$404,"&lt;"&amp;首页!$B$6))</f>
        <v/>
      </c>
      <c r="E186" s="54" t="str">
        <f aca="false">IF($A186="","",SUMIFS(期初数据!$T$6:$T$205,期初数据!$O$6:$O$205,$A186)+SUMIFS(采购录入!$Q$5:$Q$404,采购录入!$E$5:$E$404,$A186,采购录入!$I$5:$I$404,"是",采购录入!$B$5:$B$404,"&lt;"&amp;首页!$B$6)-SUMIFS(销售录入!$S$5:$S$404,销售录入!$E$5:$E$404,$A186,销售录入!$B$5:$B$404,"&lt;"&amp;首页!$B$6))</f>
        <v/>
      </c>
      <c r="F186" s="64" t="str">
        <f aca="false">IF($A186="","",SUMIFS(采购录入!$F$5:$F$404,采购录入!$E$5:$E$404,$A186,采购录入!$I$5:$I$404,"是",采购录入!$C$5:$C$404,首页!$B$5))</f>
        <v/>
      </c>
      <c r="G186" s="54" t="str">
        <f aca="false">IF($A186="","",SUMIFS(采购录入!$Q$5:$Q$404,采购录入!$E$5:$E$404,$A186,采购录入!$I$5:$I$404,"是",采购录入!$C$5:$C$404,首页!$B$5))</f>
        <v/>
      </c>
      <c r="H186" s="64" t="str">
        <f aca="false">IF($A186="","",SUMIFS(销售录入!$F$5:$F$404,销售录入!$E$5:$E$404,$A186,销售录入!$C$5:$C$404,首页!$B$5))</f>
        <v/>
      </c>
      <c r="I186" s="54" t="str">
        <f aca="false">IF($A186="","",SUMIFS(销售录入!$S$5:$S$404,销售录入!$E$5:$E$404,$A186,销售录入!$C$5:$C$404,首页!$B$5))</f>
        <v/>
      </c>
      <c r="J186" s="65" t="str">
        <f aca="false">IF($A186="","",$D186+$F186-$H186)</f>
        <v/>
      </c>
      <c r="K186" s="44" t="str">
        <f aca="false">IF($A186="","",$E186+$G186-$I186)</f>
        <v/>
      </c>
      <c r="L186" s="44" t="str">
        <f aca="false">IF(OR($A186="",$J186=0),"",$K186/$J186)</f>
        <v/>
      </c>
      <c r="M186" s="54" t="str">
        <f aca="false">IF($A186="","",SUMIFS(销售录入!$O$5:$O$404,销售录入!$E$5:$E$404,$A186,销售录入!$C$5:$C$404,首页!$B$5))</f>
        <v/>
      </c>
      <c r="N186" s="44" t="str">
        <f aca="false">IF($A186="","",$M186-$I186)</f>
        <v/>
      </c>
      <c r="O186" s="63" t="str">
        <f aca="false">IF(OR($A186="",$M186=0),"",$N186/$M186)</f>
        <v/>
      </c>
      <c r="P186" s="47" t="str">
        <f aca="false">IF($A186="","",IF($J186&lt;0,"⚠ 负库存",IF(AND($J186=0,ABS($K186)&gt;0.01),"⚠ 有金额无数量",IF(AND($J186&gt;0,$K186&lt;0),"⚠ 金额为负",IF($N186&lt;0,"⚠ 毛利为负","正常")))))</f>
        <v/>
      </c>
    </row>
    <row r="187" customFormat="false" ht="15.75" hidden="false" customHeight="true" outlineLevel="0" collapsed="false">
      <c r="A187" s="35" t="str">
        <f aca="false">IF(基础资料!$Q187="","",基础资料!$Q187)</f>
        <v/>
      </c>
      <c r="B187" s="42" t="str">
        <f aca="false">IF($A187="","",基础资料!$R187)</f>
        <v/>
      </c>
      <c r="C187" s="42" t="str">
        <f aca="false">IF($A187="","",基础资料!$S187)</f>
        <v/>
      </c>
      <c r="D187" s="64" t="str">
        <f aca="false">IF($A187="","",SUMIFS(期初数据!$R$6:$R$205,期初数据!$O$6:$O$205,$A187)+SUMIFS(采购录入!$F$5:$F$404,采购录入!$E$5:$E$404,$A187,采购录入!$I$5:$I$404,"是",采购录入!$B$5:$B$404,"&lt;"&amp;首页!$B$6)-SUMIFS(销售录入!$F$5:$F$404,销售录入!$E$5:$E$404,$A187,销售录入!$B$5:$B$404,"&lt;"&amp;首页!$B$6))</f>
        <v/>
      </c>
      <c r="E187" s="54" t="str">
        <f aca="false">IF($A187="","",SUMIFS(期初数据!$T$6:$T$205,期初数据!$O$6:$O$205,$A187)+SUMIFS(采购录入!$Q$5:$Q$404,采购录入!$E$5:$E$404,$A187,采购录入!$I$5:$I$404,"是",采购录入!$B$5:$B$404,"&lt;"&amp;首页!$B$6)-SUMIFS(销售录入!$S$5:$S$404,销售录入!$E$5:$E$404,$A187,销售录入!$B$5:$B$404,"&lt;"&amp;首页!$B$6))</f>
        <v/>
      </c>
      <c r="F187" s="64" t="str">
        <f aca="false">IF($A187="","",SUMIFS(采购录入!$F$5:$F$404,采购录入!$E$5:$E$404,$A187,采购录入!$I$5:$I$404,"是",采购录入!$C$5:$C$404,首页!$B$5))</f>
        <v/>
      </c>
      <c r="G187" s="54" t="str">
        <f aca="false">IF($A187="","",SUMIFS(采购录入!$Q$5:$Q$404,采购录入!$E$5:$E$404,$A187,采购录入!$I$5:$I$404,"是",采购录入!$C$5:$C$404,首页!$B$5))</f>
        <v/>
      </c>
      <c r="H187" s="64" t="str">
        <f aca="false">IF($A187="","",SUMIFS(销售录入!$F$5:$F$404,销售录入!$E$5:$E$404,$A187,销售录入!$C$5:$C$404,首页!$B$5))</f>
        <v/>
      </c>
      <c r="I187" s="54" t="str">
        <f aca="false">IF($A187="","",SUMIFS(销售录入!$S$5:$S$404,销售录入!$E$5:$E$404,$A187,销售录入!$C$5:$C$404,首页!$B$5))</f>
        <v/>
      </c>
      <c r="J187" s="65" t="str">
        <f aca="false">IF($A187="","",$D187+$F187-$H187)</f>
        <v/>
      </c>
      <c r="K187" s="44" t="str">
        <f aca="false">IF($A187="","",$E187+$G187-$I187)</f>
        <v/>
      </c>
      <c r="L187" s="44" t="str">
        <f aca="false">IF(OR($A187="",$J187=0),"",$K187/$J187)</f>
        <v/>
      </c>
      <c r="M187" s="54" t="str">
        <f aca="false">IF($A187="","",SUMIFS(销售录入!$O$5:$O$404,销售录入!$E$5:$E$404,$A187,销售录入!$C$5:$C$404,首页!$B$5))</f>
        <v/>
      </c>
      <c r="N187" s="44" t="str">
        <f aca="false">IF($A187="","",$M187-$I187)</f>
        <v/>
      </c>
      <c r="O187" s="63" t="str">
        <f aca="false">IF(OR($A187="",$M187=0),"",$N187/$M187)</f>
        <v/>
      </c>
      <c r="P187" s="47" t="str">
        <f aca="false">IF($A187="","",IF($J187&lt;0,"⚠ 负库存",IF(AND($J187=0,ABS($K187)&gt;0.01),"⚠ 有金额无数量",IF(AND($J187&gt;0,$K187&lt;0),"⚠ 金额为负",IF($N187&lt;0,"⚠ 毛利为负","正常")))))</f>
        <v/>
      </c>
    </row>
    <row r="188" customFormat="false" ht="15.75" hidden="false" customHeight="true" outlineLevel="0" collapsed="false">
      <c r="A188" s="35" t="str">
        <f aca="false">IF(基础资料!$Q188="","",基础资料!$Q188)</f>
        <v/>
      </c>
      <c r="B188" s="42" t="str">
        <f aca="false">IF($A188="","",基础资料!$R188)</f>
        <v/>
      </c>
      <c r="C188" s="42" t="str">
        <f aca="false">IF($A188="","",基础资料!$S188)</f>
        <v/>
      </c>
      <c r="D188" s="64" t="str">
        <f aca="false">IF($A188="","",SUMIFS(期初数据!$R$6:$R$205,期初数据!$O$6:$O$205,$A188)+SUMIFS(采购录入!$F$5:$F$404,采购录入!$E$5:$E$404,$A188,采购录入!$I$5:$I$404,"是",采购录入!$B$5:$B$404,"&lt;"&amp;首页!$B$6)-SUMIFS(销售录入!$F$5:$F$404,销售录入!$E$5:$E$404,$A188,销售录入!$B$5:$B$404,"&lt;"&amp;首页!$B$6))</f>
        <v/>
      </c>
      <c r="E188" s="54" t="str">
        <f aca="false">IF($A188="","",SUMIFS(期初数据!$T$6:$T$205,期初数据!$O$6:$O$205,$A188)+SUMIFS(采购录入!$Q$5:$Q$404,采购录入!$E$5:$E$404,$A188,采购录入!$I$5:$I$404,"是",采购录入!$B$5:$B$404,"&lt;"&amp;首页!$B$6)-SUMIFS(销售录入!$S$5:$S$404,销售录入!$E$5:$E$404,$A188,销售录入!$B$5:$B$404,"&lt;"&amp;首页!$B$6))</f>
        <v/>
      </c>
      <c r="F188" s="64" t="str">
        <f aca="false">IF($A188="","",SUMIFS(采购录入!$F$5:$F$404,采购录入!$E$5:$E$404,$A188,采购录入!$I$5:$I$404,"是",采购录入!$C$5:$C$404,首页!$B$5))</f>
        <v/>
      </c>
      <c r="G188" s="54" t="str">
        <f aca="false">IF($A188="","",SUMIFS(采购录入!$Q$5:$Q$404,采购录入!$E$5:$E$404,$A188,采购录入!$I$5:$I$404,"是",采购录入!$C$5:$C$404,首页!$B$5))</f>
        <v/>
      </c>
      <c r="H188" s="64" t="str">
        <f aca="false">IF($A188="","",SUMIFS(销售录入!$F$5:$F$404,销售录入!$E$5:$E$404,$A188,销售录入!$C$5:$C$404,首页!$B$5))</f>
        <v/>
      </c>
      <c r="I188" s="54" t="str">
        <f aca="false">IF($A188="","",SUMIFS(销售录入!$S$5:$S$404,销售录入!$E$5:$E$404,$A188,销售录入!$C$5:$C$404,首页!$B$5))</f>
        <v/>
      </c>
      <c r="J188" s="65" t="str">
        <f aca="false">IF($A188="","",$D188+$F188-$H188)</f>
        <v/>
      </c>
      <c r="K188" s="44" t="str">
        <f aca="false">IF($A188="","",$E188+$G188-$I188)</f>
        <v/>
      </c>
      <c r="L188" s="44" t="str">
        <f aca="false">IF(OR($A188="",$J188=0),"",$K188/$J188)</f>
        <v/>
      </c>
      <c r="M188" s="54" t="str">
        <f aca="false">IF($A188="","",SUMIFS(销售录入!$O$5:$O$404,销售录入!$E$5:$E$404,$A188,销售录入!$C$5:$C$404,首页!$B$5))</f>
        <v/>
      </c>
      <c r="N188" s="44" t="str">
        <f aca="false">IF($A188="","",$M188-$I188)</f>
        <v/>
      </c>
      <c r="O188" s="63" t="str">
        <f aca="false">IF(OR($A188="",$M188=0),"",$N188/$M188)</f>
        <v/>
      </c>
      <c r="P188" s="47" t="str">
        <f aca="false">IF($A188="","",IF($J188&lt;0,"⚠ 负库存",IF(AND($J188=0,ABS($K188)&gt;0.01),"⚠ 有金额无数量",IF(AND($J188&gt;0,$K188&lt;0),"⚠ 金额为负",IF($N188&lt;0,"⚠ 毛利为负","正常")))))</f>
        <v/>
      </c>
    </row>
    <row r="189" customFormat="false" ht="15.75" hidden="false" customHeight="true" outlineLevel="0" collapsed="false">
      <c r="A189" s="35" t="str">
        <f aca="false">IF(基础资料!$Q189="","",基础资料!$Q189)</f>
        <v/>
      </c>
      <c r="B189" s="42" t="str">
        <f aca="false">IF($A189="","",基础资料!$R189)</f>
        <v/>
      </c>
      <c r="C189" s="42" t="str">
        <f aca="false">IF($A189="","",基础资料!$S189)</f>
        <v/>
      </c>
      <c r="D189" s="64" t="str">
        <f aca="false">IF($A189="","",SUMIFS(期初数据!$R$6:$R$205,期初数据!$O$6:$O$205,$A189)+SUMIFS(采购录入!$F$5:$F$404,采购录入!$E$5:$E$404,$A189,采购录入!$I$5:$I$404,"是",采购录入!$B$5:$B$404,"&lt;"&amp;首页!$B$6)-SUMIFS(销售录入!$F$5:$F$404,销售录入!$E$5:$E$404,$A189,销售录入!$B$5:$B$404,"&lt;"&amp;首页!$B$6))</f>
        <v/>
      </c>
      <c r="E189" s="54" t="str">
        <f aca="false">IF($A189="","",SUMIFS(期初数据!$T$6:$T$205,期初数据!$O$6:$O$205,$A189)+SUMIFS(采购录入!$Q$5:$Q$404,采购录入!$E$5:$E$404,$A189,采购录入!$I$5:$I$404,"是",采购录入!$B$5:$B$404,"&lt;"&amp;首页!$B$6)-SUMIFS(销售录入!$S$5:$S$404,销售录入!$E$5:$E$404,$A189,销售录入!$B$5:$B$404,"&lt;"&amp;首页!$B$6))</f>
        <v/>
      </c>
      <c r="F189" s="64" t="str">
        <f aca="false">IF($A189="","",SUMIFS(采购录入!$F$5:$F$404,采购录入!$E$5:$E$404,$A189,采购录入!$I$5:$I$404,"是",采购录入!$C$5:$C$404,首页!$B$5))</f>
        <v/>
      </c>
      <c r="G189" s="54" t="str">
        <f aca="false">IF($A189="","",SUMIFS(采购录入!$Q$5:$Q$404,采购录入!$E$5:$E$404,$A189,采购录入!$I$5:$I$404,"是",采购录入!$C$5:$C$404,首页!$B$5))</f>
        <v/>
      </c>
      <c r="H189" s="64" t="str">
        <f aca="false">IF($A189="","",SUMIFS(销售录入!$F$5:$F$404,销售录入!$E$5:$E$404,$A189,销售录入!$C$5:$C$404,首页!$B$5))</f>
        <v/>
      </c>
      <c r="I189" s="54" t="str">
        <f aca="false">IF($A189="","",SUMIFS(销售录入!$S$5:$S$404,销售录入!$E$5:$E$404,$A189,销售录入!$C$5:$C$404,首页!$B$5))</f>
        <v/>
      </c>
      <c r="J189" s="65" t="str">
        <f aca="false">IF($A189="","",$D189+$F189-$H189)</f>
        <v/>
      </c>
      <c r="K189" s="44" t="str">
        <f aca="false">IF($A189="","",$E189+$G189-$I189)</f>
        <v/>
      </c>
      <c r="L189" s="44" t="str">
        <f aca="false">IF(OR($A189="",$J189=0),"",$K189/$J189)</f>
        <v/>
      </c>
      <c r="M189" s="54" t="str">
        <f aca="false">IF($A189="","",SUMIFS(销售录入!$O$5:$O$404,销售录入!$E$5:$E$404,$A189,销售录入!$C$5:$C$404,首页!$B$5))</f>
        <v/>
      </c>
      <c r="N189" s="44" t="str">
        <f aca="false">IF($A189="","",$M189-$I189)</f>
        <v/>
      </c>
      <c r="O189" s="63" t="str">
        <f aca="false">IF(OR($A189="",$M189=0),"",$N189/$M189)</f>
        <v/>
      </c>
      <c r="P189" s="47" t="str">
        <f aca="false">IF($A189="","",IF($J189&lt;0,"⚠ 负库存",IF(AND($J189=0,ABS($K189)&gt;0.01),"⚠ 有金额无数量",IF(AND($J189&gt;0,$K189&lt;0),"⚠ 金额为负",IF($N189&lt;0,"⚠ 毛利为负","正常")))))</f>
        <v/>
      </c>
    </row>
    <row r="190" customFormat="false" ht="15.75" hidden="false" customHeight="true" outlineLevel="0" collapsed="false">
      <c r="A190" s="35" t="str">
        <f aca="false">IF(基础资料!$Q190="","",基础资料!$Q190)</f>
        <v/>
      </c>
      <c r="B190" s="42" t="str">
        <f aca="false">IF($A190="","",基础资料!$R190)</f>
        <v/>
      </c>
      <c r="C190" s="42" t="str">
        <f aca="false">IF($A190="","",基础资料!$S190)</f>
        <v/>
      </c>
      <c r="D190" s="64" t="str">
        <f aca="false">IF($A190="","",SUMIFS(期初数据!$R$6:$R$205,期初数据!$O$6:$O$205,$A190)+SUMIFS(采购录入!$F$5:$F$404,采购录入!$E$5:$E$404,$A190,采购录入!$I$5:$I$404,"是",采购录入!$B$5:$B$404,"&lt;"&amp;首页!$B$6)-SUMIFS(销售录入!$F$5:$F$404,销售录入!$E$5:$E$404,$A190,销售录入!$B$5:$B$404,"&lt;"&amp;首页!$B$6))</f>
        <v/>
      </c>
      <c r="E190" s="54" t="str">
        <f aca="false">IF($A190="","",SUMIFS(期初数据!$T$6:$T$205,期初数据!$O$6:$O$205,$A190)+SUMIFS(采购录入!$Q$5:$Q$404,采购录入!$E$5:$E$404,$A190,采购录入!$I$5:$I$404,"是",采购录入!$B$5:$B$404,"&lt;"&amp;首页!$B$6)-SUMIFS(销售录入!$S$5:$S$404,销售录入!$E$5:$E$404,$A190,销售录入!$B$5:$B$404,"&lt;"&amp;首页!$B$6))</f>
        <v/>
      </c>
      <c r="F190" s="64" t="str">
        <f aca="false">IF($A190="","",SUMIFS(采购录入!$F$5:$F$404,采购录入!$E$5:$E$404,$A190,采购录入!$I$5:$I$404,"是",采购录入!$C$5:$C$404,首页!$B$5))</f>
        <v/>
      </c>
      <c r="G190" s="54" t="str">
        <f aca="false">IF($A190="","",SUMIFS(采购录入!$Q$5:$Q$404,采购录入!$E$5:$E$404,$A190,采购录入!$I$5:$I$404,"是",采购录入!$C$5:$C$404,首页!$B$5))</f>
        <v/>
      </c>
      <c r="H190" s="64" t="str">
        <f aca="false">IF($A190="","",SUMIFS(销售录入!$F$5:$F$404,销售录入!$E$5:$E$404,$A190,销售录入!$C$5:$C$404,首页!$B$5))</f>
        <v/>
      </c>
      <c r="I190" s="54" t="str">
        <f aca="false">IF($A190="","",SUMIFS(销售录入!$S$5:$S$404,销售录入!$E$5:$E$404,$A190,销售录入!$C$5:$C$404,首页!$B$5))</f>
        <v/>
      </c>
      <c r="J190" s="65" t="str">
        <f aca="false">IF($A190="","",$D190+$F190-$H190)</f>
        <v/>
      </c>
      <c r="K190" s="44" t="str">
        <f aca="false">IF($A190="","",$E190+$G190-$I190)</f>
        <v/>
      </c>
      <c r="L190" s="44" t="str">
        <f aca="false">IF(OR($A190="",$J190=0),"",$K190/$J190)</f>
        <v/>
      </c>
      <c r="M190" s="54" t="str">
        <f aca="false">IF($A190="","",SUMIFS(销售录入!$O$5:$O$404,销售录入!$E$5:$E$404,$A190,销售录入!$C$5:$C$404,首页!$B$5))</f>
        <v/>
      </c>
      <c r="N190" s="44" t="str">
        <f aca="false">IF($A190="","",$M190-$I190)</f>
        <v/>
      </c>
      <c r="O190" s="63" t="str">
        <f aca="false">IF(OR($A190="",$M190=0),"",$N190/$M190)</f>
        <v/>
      </c>
      <c r="P190" s="47" t="str">
        <f aca="false">IF($A190="","",IF($J190&lt;0,"⚠ 负库存",IF(AND($J190=0,ABS($K190)&gt;0.01),"⚠ 有金额无数量",IF(AND($J190&gt;0,$K190&lt;0),"⚠ 金额为负",IF($N190&lt;0,"⚠ 毛利为负","正常")))))</f>
        <v/>
      </c>
    </row>
    <row r="191" customFormat="false" ht="15.75" hidden="false" customHeight="true" outlineLevel="0" collapsed="false">
      <c r="A191" s="35" t="str">
        <f aca="false">IF(基础资料!$Q191="","",基础资料!$Q191)</f>
        <v/>
      </c>
      <c r="B191" s="42" t="str">
        <f aca="false">IF($A191="","",基础资料!$R191)</f>
        <v/>
      </c>
      <c r="C191" s="42" t="str">
        <f aca="false">IF($A191="","",基础资料!$S191)</f>
        <v/>
      </c>
      <c r="D191" s="64" t="str">
        <f aca="false">IF($A191="","",SUMIFS(期初数据!$R$6:$R$205,期初数据!$O$6:$O$205,$A191)+SUMIFS(采购录入!$F$5:$F$404,采购录入!$E$5:$E$404,$A191,采购录入!$I$5:$I$404,"是",采购录入!$B$5:$B$404,"&lt;"&amp;首页!$B$6)-SUMIFS(销售录入!$F$5:$F$404,销售录入!$E$5:$E$404,$A191,销售录入!$B$5:$B$404,"&lt;"&amp;首页!$B$6))</f>
        <v/>
      </c>
      <c r="E191" s="54" t="str">
        <f aca="false">IF($A191="","",SUMIFS(期初数据!$T$6:$T$205,期初数据!$O$6:$O$205,$A191)+SUMIFS(采购录入!$Q$5:$Q$404,采购录入!$E$5:$E$404,$A191,采购录入!$I$5:$I$404,"是",采购录入!$B$5:$B$404,"&lt;"&amp;首页!$B$6)-SUMIFS(销售录入!$S$5:$S$404,销售录入!$E$5:$E$404,$A191,销售录入!$B$5:$B$404,"&lt;"&amp;首页!$B$6))</f>
        <v/>
      </c>
      <c r="F191" s="64" t="str">
        <f aca="false">IF($A191="","",SUMIFS(采购录入!$F$5:$F$404,采购录入!$E$5:$E$404,$A191,采购录入!$I$5:$I$404,"是",采购录入!$C$5:$C$404,首页!$B$5))</f>
        <v/>
      </c>
      <c r="G191" s="54" t="str">
        <f aca="false">IF($A191="","",SUMIFS(采购录入!$Q$5:$Q$404,采购录入!$E$5:$E$404,$A191,采购录入!$I$5:$I$404,"是",采购录入!$C$5:$C$404,首页!$B$5))</f>
        <v/>
      </c>
      <c r="H191" s="64" t="str">
        <f aca="false">IF($A191="","",SUMIFS(销售录入!$F$5:$F$404,销售录入!$E$5:$E$404,$A191,销售录入!$C$5:$C$404,首页!$B$5))</f>
        <v/>
      </c>
      <c r="I191" s="54" t="str">
        <f aca="false">IF($A191="","",SUMIFS(销售录入!$S$5:$S$404,销售录入!$E$5:$E$404,$A191,销售录入!$C$5:$C$404,首页!$B$5))</f>
        <v/>
      </c>
      <c r="J191" s="65" t="str">
        <f aca="false">IF($A191="","",$D191+$F191-$H191)</f>
        <v/>
      </c>
      <c r="K191" s="44" t="str">
        <f aca="false">IF($A191="","",$E191+$G191-$I191)</f>
        <v/>
      </c>
      <c r="L191" s="44" t="str">
        <f aca="false">IF(OR($A191="",$J191=0),"",$K191/$J191)</f>
        <v/>
      </c>
      <c r="M191" s="54" t="str">
        <f aca="false">IF($A191="","",SUMIFS(销售录入!$O$5:$O$404,销售录入!$E$5:$E$404,$A191,销售录入!$C$5:$C$404,首页!$B$5))</f>
        <v/>
      </c>
      <c r="N191" s="44" t="str">
        <f aca="false">IF($A191="","",$M191-$I191)</f>
        <v/>
      </c>
      <c r="O191" s="63" t="str">
        <f aca="false">IF(OR($A191="",$M191=0),"",$N191/$M191)</f>
        <v/>
      </c>
      <c r="P191" s="47" t="str">
        <f aca="false">IF($A191="","",IF($J191&lt;0,"⚠ 负库存",IF(AND($J191=0,ABS($K191)&gt;0.01),"⚠ 有金额无数量",IF(AND($J191&gt;0,$K191&lt;0),"⚠ 金额为负",IF($N191&lt;0,"⚠ 毛利为负","正常")))))</f>
        <v/>
      </c>
    </row>
    <row r="192" customFormat="false" ht="15.75" hidden="false" customHeight="true" outlineLevel="0" collapsed="false">
      <c r="A192" s="35" t="str">
        <f aca="false">IF(基础资料!$Q192="","",基础资料!$Q192)</f>
        <v/>
      </c>
      <c r="B192" s="42" t="str">
        <f aca="false">IF($A192="","",基础资料!$R192)</f>
        <v/>
      </c>
      <c r="C192" s="42" t="str">
        <f aca="false">IF($A192="","",基础资料!$S192)</f>
        <v/>
      </c>
      <c r="D192" s="64" t="str">
        <f aca="false">IF($A192="","",SUMIFS(期初数据!$R$6:$R$205,期初数据!$O$6:$O$205,$A192)+SUMIFS(采购录入!$F$5:$F$404,采购录入!$E$5:$E$404,$A192,采购录入!$I$5:$I$404,"是",采购录入!$B$5:$B$404,"&lt;"&amp;首页!$B$6)-SUMIFS(销售录入!$F$5:$F$404,销售录入!$E$5:$E$404,$A192,销售录入!$B$5:$B$404,"&lt;"&amp;首页!$B$6))</f>
        <v/>
      </c>
      <c r="E192" s="54" t="str">
        <f aca="false">IF($A192="","",SUMIFS(期初数据!$T$6:$T$205,期初数据!$O$6:$O$205,$A192)+SUMIFS(采购录入!$Q$5:$Q$404,采购录入!$E$5:$E$404,$A192,采购录入!$I$5:$I$404,"是",采购录入!$B$5:$B$404,"&lt;"&amp;首页!$B$6)-SUMIFS(销售录入!$S$5:$S$404,销售录入!$E$5:$E$404,$A192,销售录入!$B$5:$B$404,"&lt;"&amp;首页!$B$6))</f>
        <v/>
      </c>
      <c r="F192" s="64" t="str">
        <f aca="false">IF($A192="","",SUMIFS(采购录入!$F$5:$F$404,采购录入!$E$5:$E$404,$A192,采购录入!$I$5:$I$404,"是",采购录入!$C$5:$C$404,首页!$B$5))</f>
        <v/>
      </c>
      <c r="G192" s="54" t="str">
        <f aca="false">IF($A192="","",SUMIFS(采购录入!$Q$5:$Q$404,采购录入!$E$5:$E$404,$A192,采购录入!$I$5:$I$404,"是",采购录入!$C$5:$C$404,首页!$B$5))</f>
        <v/>
      </c>
      <c r="H192" s="64" t="str">
        <f aca="false">IF($A192="","",SUMIFS(销售录入!$F$5:$F$404,销售录入!$E$5:$E$404,$A192,销售录入!$C$5:$C$404,首页!$B$5))</f>
        <v/>
      </c>
      <c r="I192" s="54" t="str">
        <f aca="false">IF($A192="","",SUMIFS(销售录入!$S$5:$S$404,销售录入!$E$5:$E$404,$A192,销售录入!$C$5:$C$404,首页!$B$5))</f>
        <v/>
      </c>
      <c r="J192" s="65" t="str">
        <f aca="false">IF($A192="","",$D192+$F192-$H192)</f>
        <v/>
      </c>
      <c r="K192" s="44" t="str">
        <f aca="false">IF($A192="","",$E192+$G192-$I192)</f>
        <v/>
      </c>
      <c r="L192" s="44" t="str">
        <f aca="false">IF(OR($A192="",$J192=0),"",$K192/$J192)</f>
        <v/>
      </c>
      <c r="M192" s="54" t="str">
        <f aca="false">IF($A192="","",SUMIFS(销售录入!$O$5:$O$404,销售录入!$E$5:$E$404,$A192,销售录入!$C$5:$C$404,首页!$B$5))</f>
        <v/>
      </c>
      <c r="N192" s="44" t="str">
        <f aca="false">IF($A192="","",$M192-$I192)</f>
        <v/>
      </c>
      <c r="O192" s="63" t="str">
        <f aca="false">IF(OR($A192="",$M192=0),"",$N192/$M192)</f>
        <v/>
      </c>
      <c r="P192" s="47" t="str">
        <f aca="false">IF($A192="","",IF($J192&lt;0,"⚠ 负库存",IF(AND($J192=0,ABS($K192)&gt;0.01),"⚠ 有金额无数量",IF(AND($J192&gt;0,$K192&lt;0),"⚠ 金额为负",IF($N192&lt;0,"⚠ 毛利为负","正常")))))</f>
        <v/>
      </c>
    </row>
    <row r="193" customFormat="false" ht="15.75" hidden="false" customHeight="true" outlineLevel="0" collapsed="false">
      <c r="A193" s="35" t="str">
        <f aca="false">IF(基础资料!$Q193="","",基础资料!$Q193)</f>
        <v/>
      </c>
      <c r="B193" s="42" t="str">
        <f aca="false">IF($A193="","",基础资料!$R193)</f>
        <v/>
      </c>
      <c r="C193" s="42" t="str">
        <f aca="false">IF($A193="","",基础资料!$S193)</f>
        <v/>
      </c>
      <c r="D193" s="64" t="str">
        <f aca="false">IF($A193="","",SUMIFS(期初数据!$R$6:$R$205,期初数据!$O$6:$O$205,$A193)+SUMIFS(采购录入!$F$5:$F$404,采购录入!$E$5:$E$404,$A193,采购录入!$I$5:$I$404,"是",采购录入!$B$5:$B$404,"&lt;"&amp;首页!$B$6)-SUMIFS(销售录入!$F$5:$F$404,销售录入!$E$5:$E$404,$A193,销售录入!$B$5:$B$404,"&lt;"&amp;首页!$B$6))</f>
        <v/>
      </c>
      <c r="E193" s="54" t="str">
        <f aca="false">IF($A193="","",SUMIFS(期初数据!$T$6:$T$205,期初数据!$O$6:$O$205,$A193)+SUMIFS(采购录入!$Q$5:$Q$404,采购录入!$E$5:$E$404,$A193,采购录入!$I$5:$I$404,"是",采购录入!$B$5:$B$404,"&lt;"&amp;首页!$B$6)-SUMIFS(销售录入!$S$5:$S$404,销售录入!$E$5:$E$404,$A193,销售录入!$B$5:$B$404,"&lt;"&amp;首页!$B$6))</f>
        <v/>
      </c>
      <c r="F193" s="64" t="str">
        <f aca="false">IF($A193="","",SUMIFS(采购录入!$F$5:$F$404,采购录入!$E$5:$E$404,$A193,采购录入!$I$5:$I$404,"是",采购录入!$C$5:$C$404,首页!$B$5))</f>
        <v/>
      </c>
      <c r="G193" s="54" t="str">
        <f aca="false">IF($A193="","",SUMIFS(采购录入!$Q$5:$Q$404,采购录入!$E$5:$E$404,$A193,采购录入!$I$5:$I$404,"是",采购录入!$C$5:$C$404,首页!$B$5))</f>
        <v/>
      </c>
      <c r="H193" s="64" t="str">
        <f aca="false">IF($A193="","",SUMIFS(销售录入!$F$5:$F$404,销售录入!$E$5:$E$404,$A193,销售录入!$C$5:$C$404,首页!$B$5))</f>
        <v/>
      </c>
      <c r="I193" s="54" t="str">
        <f aca="false">IF($A193="","",SUMIFS(销售录入!$S$5:$S$404,销售录入!$E$5:$E$404,$A193,销售录入!$C$5:$C$404,首页!$B$5))</f>
        <v/>
      </c>
      <c r="J193" s="65" t="str">
        <f aca="false">IF($A193="","",$D193+$F193-$H193)</f>
        <v/>
      </c>
      <c r="K193" s="44" t="str">
        <f aca="false">IF($A193="","",$E193+$G193-$I193)</f>
        <v/>
      </c>
      <c r="L193" s="44" t="str">
        <f aca="false">IF(OR($A193="",$J193=0),"",$K193/$J193)</f>
        <v/>
      </c>
      <c r="M193" s="54" t="str">
        <f aca="false">IF($A193="","",SUMIFS(销售录入!$O$5:$O$404,销售录入!$E$5:$E$404,$A193,销售录入!$C$5:$C$404,首页!$B$5))</f>
        <v/>
      </c>
      <c r="N193" s="44" t="str">
        <f aca="false">IF($A193="","",$M193-$I193)</f>
        <v/>
      </c>
      <c r="O193" s="63" t="str">
        <f aca="false">IF(OR($A193="",$M193=0),"",$N193/$M193)</f>
        <v/>
      </c>
      <c r="P193" s="47" t="str">
        <f aca="false">IF($A193="","",IF($J193&lt;0,"⚠ 负库存",IF(AND($J193=0,ABS($K193)&gt;0.01),"⚠ 有金额无数量",IF(AND($J193&gt;0,$K193&lt;0),"⚠ 金额为负",IF($N193&lt;0,"⚠ 毛利为负","正常")))))</f>
        <v/>
      </c>
    </row>
    <row r="194" customFormat="false" ht="15.75" hidden="false" customHeight="true" outlineLevel="0" collapsed="false">
      <c r="A194" s="35" t="str">
        <f aca="false">IF(基础资料!$Q194="","",基础资料!$Q194)</f>
        <v/>
      </c>
      <c r="B194" s="42" t="str">
        <f aca="false">IF($A194="","",基础资料!$R194)</f>
        <v/>
      </c>
      <c r="C194" s="42" t="str">
        <f aca="false">IF($A194="","",基础资料!$S194)</f>
        <v/>
      </c>
      <c r="D194" s="64" t="str">
        <f aca="false">IF($A194="","",SUMIFS(期初数据!$R$6:$R$205,期初数据!$O$6:$O$205,$A194)+SUMIFS(采购录入!$F$5:$F$404,采购录入!$E$5:$E$404,$A194,采购录入!$I$5:$I$404,"是",采购录入!$B$5:$B$404,"&lt;"&amp;首页!$B$6)-SUMIFS(销售录入!$F$5:$F$404,销售录入!$E$5:$E$404,$A194,销售录入!$B$5:$B$404,"&lt;"&amp;首页!$B$6))</f>
        <v/>
      </c>
      <c r="E194" s="54" t="str">
        <f aca="false">IF($A194="","",SUMIFS(期初数据!$T$6:$T$205,期初数据!$O$6:$O$205,$A194)+SUMIFS(采购录入!$Q$5:$Q$404,采购录入!$E$5:$E$404,$A194,采购录入!$I$5:$I$404,"是",采购录入!$B$5:$B$404,"&lt;"&amp;首页!$B$6)-SUMIFS(销售录入!$S$5:$S$404,销售录入!$E$5:$E$404,$A194,销售录入!$B$5:$B$404,"&lt;"&amp;首页!$B$6))</f>
        <v/>
      </c>
      <c r="F194" s="64" t="str">
        <f aca="false">IF($A194="","",SUMIFS(采购录入!$F$5:$F$404,采购录入!$E$5:$E$404,$A194,采购录入!$I$5:$I$404,"是",采购录入!$C$5:$C$404,首页!$B$5))</f>
        <v/>
      </c>
      <c r="G194" s="54" t="str">
        <f aca="false">IF($A194="","",SUMIFS(采购录入!$Q$5:$Q$404,采购录入!$E$5:$E$404,$A194,采购录入!$I$5:$I$404,"是",采购录入!$C$5:$C$404,首页!$B$5))</f>
        <v/>
      </c>
      <c r="H194" s="64" t="str">
        <f aca="false">IF($A194="","",SUMIFS(销售录入!$F$5:$F$404,销售录入!$E$5:$E$404,$A194,销售录入!$C$5:$C$404,首页!$B$5))</f>
        <v/>
      </c>
      <c r="I194" s="54" t="str">
        <f aca="false">IF($A194="","",SUMIFS(销售录入!$S$5:$S$404,销售录入!$E$5:$E$404,$A194,销售录入!$C$5:$C$404,首页!$B$5))</f>
        <v/>
      </c>
      <c r="J194" s="65" t="str">
        <f aca="false">IF($A194="","",$D194+$F194-$H194)</f>
        <v/>
      </c>
      <c r="K194" s="44" t="str">
        <f aca="false">IF($A194="","",$E194+$G194-$I194)</f>
        <v/>
      </c>
      <c r="L194" s="44" t="str">
        <f aca="false">IF(OR($A194="",$J194=0),"",$K194/$J194)</f>
        <v/>
      </c>
      <c r="M194" s="54" t="str">
        <f aca="false">IF($A194="","",SUMIFS(销售录入!$O$5:$O$404,销售录入!$E$5:$E$404,$A194,销售录入!$C$5:$C$404,首页!$B$5))</f>
        <v/>
      </c>
      <c r="N194" s="44" t="str">
        <f aca="false">IF($A194="","",$M194-$I194)</f>
        <v/>
      </c>
      <c r="O194" s="63" t="str">
        <f aca="false">IF(OR($A194="",$M194=0),"",$N194/$M194)</f>
        <v/>
      </c>
      <c r="P194" s="47" t="str">
        <f aca="false">IF($A194="","",IF($J194&lt;0,"⚠ 负库存",IF(AND($J194=0,ABS($K194)&gt;0.01),"⚠ 有金额无数量",IF(AND($J194&gt;0,$K194&lt;0),"⚠ 金额为负",IF($N194&lt;0,"⚠ 毛利为负","正常")))))</f>
        <v/>
      </c>
    </row>
    <row r="195" customFormat="false" ht="15.75" hidden="false" customHeight="true" outlineLevel="0" collapsed="false">
      <c r="A195" s="35" t="str">
        <f aca="false">IF(基础资料!$Q195="","",基础资料!$Q195)</f>
        <v/>
      </c>
      <c r="B195" s="42" t="str">
        <f aca="false">IF($A195="","",基础资料!$R195)</f>
        <v/>
      </c>
      <c r="C195" s="42" t="str">
        <f aca="false">IF($A195="","",基础资料!$S195)</f>
        <v/>
      </c>
      <c r="D195" s="64" t="str">
        <f aca="false">IF($A195="","",SUMIFS(期初数据!$R$6:$R$205,期初数据!$O$6:$O$205,$A195)+SUMIFS(采购录入!$F$5:$F$404,采购录入!$E$5:$E$404,$A195,采购录入!$I$5:$I$404,"是",采购录入!$B$5:$B$404,"&lt;"&amp;首页!$B$6)-SUMIFS(销售录入!$F$5:$F$404,销售录入!$E$5:$E$404,$A195,销售录入!$B$5:$B$404,"&lt;"&amp;首页!$B$6))</f>
        <v/>
      </c>
      <c r="E195" s="54" t="str">
        <f aca="false">IF($A195="","",SUMIFS(期初数据!$T$6:$T$205,期初数据!$O$6:$O$205,$A195)+SUMIFS(采购录入!$Q$5:$Q$404,采购录入!$E$5:$E$404,$A195,采购录入!$I$5:$I$404,"是",采购录入!$B$5:$B$404,"&lt;"&amp;首页!$B$6)-SUMIFS(销售录入!$S$5:$S$404,销售录入!$E$5:$E$404,$A195,销售录入!$B$5:$B$404,"&lt;"&amp;首页!$B$6))</f>
        <v/>
      </c>
      <c r="F195" s="64" t="str">
        <f aca="false">IF($A195="","",SUMIFS(采购录入!$F$5:$F$404,采购录入!$E$5:$E$404,$A195,采购录入!$I$5:$I$404,"是",采购录入!$C$5:$C$404,首页!$B$5))</f>
        <v/>
      </c>
      <c r="G195" s="54" t="str">
        <f aca="false">IF($A195="","",SUMIFS(采购录入!$Q$5:$Q$404,采购录入!$E$5:$E$404,$A195,采购录入!$I$5:$I$404,"是",采购录入!$C$5:$C$404,首页!$B$5))</f>
        <v/>
      </c>
      <c r="H195" s="64" t="str">
        <f aca="false">IF($A195="","",SUMIFS(销售录入!$F$5:$F$404,销售录入!$E$5:$E$404,$A195,销售录入!$C$5:$C$404,首页!$B$5))</f>
        <v/>
      </c>
      <c r="I195" s="54" t="str">
        <f aca="false">IF($A195="","",SUMIFS(销售录入!$S$5:$S$404,销售录入!$E$5:$E$404,$A195,销售录入!$C$5:$C$404,首页!$B$5))</f>
        <v/>
      </c>
      <c r="J195" s="65" t="str">
        <f aca="false">IF($A195="","",$D195+$F195-$H195)</f>
        <v/>
      </c>
      <c r="K195" s="44" t="str">
        <f aca="false">IF($A195="","",$E195+$G195-$I195)</f>
        <v/>
      </c>
      <c r="L195" s="44" t="str">
        <f aca="false">IF(OR($A195="",$J195=0),"",$K195/$J195)</f>
        <v/>
      </c>
      <c r="M195" s="54" t="str">
        <f aca="false">IF($A195="","",SUMIFS(销售录入!$O$5:$O$404,销售录入!$E$5:$E$404,$A195,销售录入!$C$5:$C$404,首页!$B$5))</f>
        <v/>
      </c>
      <c r="N195" s="44" t="str">
        <f aca="false">IF($A195="","",$M195-$I195)</f>
        <v/>
      </c>
      <c r="O195" s="63" t="str">
        <f aca="false">IF(OR($A195="",$M195=0),"",$N195/$M195)</f>
        <v/>
      </c>
      <c r="P195" s="47" t="str">
        <f aca="false">IF($A195="","",IF($J195&lt;0,"⚠ 负库存",IF(AND($J195=0,ABS($K195)&gt;0.01),"⚠ 有金额无数量",IF(AND($J195&gt;0,$K195&lt;0),"⚠ 金额为负",IF($N195&lt;0,"⚠ 毛利为负","正常")))))</f>
        <v/>
      </c>
    </row>
    <row r="196" customFormat="false" ht="15.75" hidden="false" customHeight="true" outlineLevel="0" collapsed="false">
      <c r="A196" s="35" t="str">
        <f aca="false">IF(基础资料!$Q196="","",基础资料!$Q196)</f>
        <v/>
      </c>
      <c r="B196" s="42" t="str">
        <f aca="false">IF($A196="","",基础资料!$R196)</f>
        <v/>
      </c>
      <c r="C196" s="42" t="str">
        <f aca="false">IF($A196="","",基础资料!$S196)</f>
        <v/>
      </c>
      <c r="D196" s="64" t="str">
        <f aca="false">IF($A196="","",SUMIFS(期初数据!$R$6:$R$205,期初数据!$O$6:$O$205,$A196)+SUMIFS(采购录入!$F$5:$F$404,采购录入!$E$5:$E$404,$A196,采购录入!$I$5:$I$404,"是",采购录入!$B$5:$B$404,"&lt;"&amp;首页!$B$6)-SUMIFS(销售录入!$F$5:$F$404,销售录入!$E$5:$E$404,$A196,销售录入!$B$5:$B$404,"&lt;"&amp;首页!$B$6))</f>
        <v/>
      </c>
      <c r="E196" s="54" t="str">
        <f aca="false">IF($A196="","",SUMIFS(期初数据!$T$6:$T$205,期初数据!$O$6:$O$205,$A196)+SUMIFS(采购录入!$Q$5:$Q$404,采购录入!$E$5:$E$404,$A196,采购录入!$I$5:$I$404,"是",采购录入!$B$5:$B$404,"&lt;"&amp;首页!$B$6)-SUMIFS(销售录入!$S$5:$S$404,销售录入!$E$5:$E$404,$A196,销售录入!$B$5:$B$404,"&lt;"&amp;首页!$B$6))</f>
        <v/>
      </c>
      <c r="F196" s="64" t="str">
        <f aca="false">IF($A196="","",SUMIFS(采购录入!$F$5:$F$404,采购录入!$E$5:$E$404,$A196,采购录入!$I$5:$I$404,"是",采购录入!$C$5:$C$404,首页!$B$5))</f>
        <v/>
      </c>
      <c r="G196" s="54" t="str">
        <f aca="false">IF($A196="","",SUMIFS(采购录入!$Q$5:$Q$404,采购录入!$E$5:$E$404,$A196,采购录入!$I$5:$I$404,"是",采购录入!$C$5:$C$404,首页!$B$5))</f>
        <v/>
      </c>
      <c r="H196" s="64" t="str">
        <f aca="false">IF($A196="","",SUMIFS(销售录入!$F$5:$F$404,销售录入!$E$5:$E$404,$A196,销售录入!$C$5:$C$404,首页!$B$5))</f>
        <v/>
      </c>
      <c r="I196" s="54" t="str">
        <f aca="false">IF($A196="","",SUMIFS(销售录入!$S$5:$S$404,销售录入!$E$5:$E$404,$A196,销售录入!$C$5:$C$404,首页!$B$5))</f>
        <v/>
      </c>
      <c r="J196" s="65" t="str">
        <f aca="false">IF($A196="","",$D196+$F196-$H196)</f>
        <v/>
      </c>
      <c r="K196" s="44" t="str">
        <f aca="false">IF($A196="","",$E196+$G196-$I196)</f>
        <v/>
      </c>
      <c r="L196" s="44" t="str">
        <f aca="false">IF(OR($A196="",$J196=0),"",$K196/$J196)</f>
        <v/>
      </c>
      <c r="M196" s="54" t="str">
        <f aca="false">IF($A196="","",SUMIFS(销售录入!$O$5:$O$404,销售录入!$E$5:$E$404,$A196,销售录入!$C$5:$C$404,首页!$B$5))</f>
        <v/>
      </c>
      <c r="N196" s="44" t="str">
        <f aca="false">IF($A196="","",$M196-$I196)</f>
        <v/>
      </c>
      <c r="O196" s="63" t="str">
        <f aca="false">IF(OR($A196="",$M196=0),"",$N196/$M196)</f>
        <v/>
      </c>
      <c r="P196" s="47" t="str">
        <f aca="false">IF($A196="","",IF($J196&lt;0,"⚠ 负库存",IF(AND($J196=0,ABS($K196)&gt;0.01),"⚠ 有金额无数量",IF(AND($J196&gt;0,$K196&lt;0),"⚠ 金额为负",IF($N196&lt;0,"⚠ 毛利为负","正常")))))</f>
        <v/>
      </c>
    </row>
    <row r="197" customFormat="false" ht="15.75" hidden="false" customHeight="true" outlineLevel="0" collapsed="false">
      <c r="A197" s="35" t="str">
        <f aca="false">IF(基础资料!$Q197="","",基础资料!$Q197)</f>
        <v/>
      </c>
      <c r="B197" s="42" t="str">
        <f aca="false">IF($A197="","",基础资料!$R197)</f>
        <v/>
      </c>
      <c r="C197" s="42" t="str">
        <f aca="false">IF($A197="","",基础资料!$S197)</f>
        <v/>
      </c>
      <c r="D197" s="64" t="str">
        <f aca="false">IF($A197="","",SUMIFS(期初数据!$R$6:$R$205,期初数据!$O$6:$O$205,$A197)+SUMIFS(采购录入!$F$5:$F$404,采购录入!$E$5:$E$404,$A197,采购录入!$I$5:$I$404,"是",采购录入!$B$5:$B$404,"&lt;"&amp;首页!$B$6)-SUMIFS(销售录入!$F$5:$F$404,销售录入!$E$5:$E$404,$A197,销售录入!$B$5:$B$404,"&lt;"&amp;首页!$B$6))</f>
        <v/>
      </c>
      <c r="E197" s="54" t="str">
        <f aca="false">IF($A197="","",SUMIFS(期初数据!$T$6:$T$205,期初数据!$O$6:$O$205,$A197)+SUMIFS(采购录入!$Q$5:$Q$404,采购录入!$E$5:$E$404,$A197,采购录入!$I$5:$I$404,"是",采购录入!$B$5:$B$404,"&lt;"&amp;首页!$B$6)-SUMIFS(销售录入!$S$5:$S$404,销售录入!$E$5:$E$404,$A197,销售录入!$B$5:$B$404,"&lt;"&amp;首页!$B$6))</f>
        <v/>
      </c>
      <c r="F197" s="64" t="str">
        <f aca="false">IF($A197="","",SUMIFS(采购录入!$F$5:$F$404,采购录入!$E$5:$E$404,$A197,采购录入!$I$5:$I$404,"是",采购录入!$C$5:$C$404,首页!$B$5))</f>
        <v/>
      </c>
      <c r="G197" s="54" t="str">
        <f aca="false">IF($A197="","",SUMIFS(采购录入!$Q$5:$Q$404,采购录入!$E$5:$E$404,$A197,采购录入!$I$5:$I$404,"是",采购录入!$C$5:$C$404,首页!$B$5))</f>
        <v/>
      </c>
      <c r="H197" s="64" t="str">
        <f aca="false">IF($A197="","",SUMIFS(销售录入!$F$5:$F$404,销售录入!$E$5:$E$404,$A197,销售录入!$C$5:$C$404,首页!$B$5))</f>
        <v/>
      </c>
      <c r="I197" s="54" t="str">
        <f aca="false">IF($A197="","",SUMIFS(销售录入!$S$5:$S$404,销售录入!$E$5:$E$404,$A197,销售录入!$C$5:$C$404,首页!$B$5))</f>
        <v/>
      </c>
      <c r="J197" s="65" t="str">
        <f aca="false">IF($A197="","",$D197+$F197-$H197)</f>
        <v/>
      </c>
      <c r="K197" s="44" t="str">
        <f aca="false">IF($A197="","",$E197+$G197-$I197)</f>
        <v/>
      </c>
      <c r="L197" s="44" t="str">
        <f aca="false">IF(OR($A197="",$J197=0),"",$K197/$J197)</f>
        <v/>
      </c>
      <c r="M197" s="54" t="str">
        <f aca="false">IF($A197="","",SUMIFS(销售录入!$O$5:$O$404,销售录入!$E$5:$E$404,$A197,销售录入!$C$5:$C$404,首页!$B$5))</f>
        <v/>
      </c>
      <c r="N197" s="44" t="str">
        <f aca="false">IF($A197="","",$M197-$I197)</f>
        <v/>
      </c>
      <c r="O197" s="63" t="str">
        <f aca="false">IF(OR($A197="",$M197=0),"",$N197/$M197)</f>
        <v/>
      </c>
      <c r="P197" s="47" t="str">
        <f aca="false">IF($A197="","",IF($J197&lt;0,"⚠ 负库存",IF(AND($J197=0,ABS($K197)&gt;0.01),"⚠ 有金额无数量",IF(AND($J197&gt;0,$K197&lt;0),"⚠ 金额为负",IF($N197&lt;0,"⚠ 毛利为负","正常")))))</f>
        <v/>
      </c>
    </row>
    <row r="198" customFormat="false" ht="15.75" hidden="false" customHeight="true" outlineLevel="0" collapsed="false">
      <c r="A198" s="35" t="str">
        <f aca="false">IF(基础资料!$Q198="","",基础资料!$Q198)</f>
        <v/>
      </c>
      <c r="B198" s="42" t="str">
        <f aca="false">IF($A198="","",基础资料!$R198)</f>
        <v/>
      </c>
      <c r="C198" s="42" t="str">
        <f aca="false">IF($A198="","",基础资料!$S198)</f>
        <v/>
      </c>
      <c r="D198" s="64" t="str">
        <f aca="false">IF($A198="","",SUMIFS(期初数据!$R$6:$R$205,期初数据!$O$6:$O$205,$A198)+SUMIFS(采购录入!$F$5:$F$404,采购录入!$E$5:$E$404,$A198,采购录入!$I$5:$I$404,"是",采购录入!$B$5:$B$404,"&lt;"&amp;首页!$B$6)-SUMIFS(销售录入!$F$5:$F$404,销售录入!$E$5:$E$404,$A198,销售录入!$B$5:$B$404,"&lt;"&amp;首页!$B$6))</f>
        <v/>
      </c>
      <c r="E198" s="54" t="str">
        <f aca="false">IF($A198="","",SUMIFS(期初数据!$T$6:$T$205,期初数据!$O$6:$O$205,$A198)+SUMIFS(采购录入!$Q$5:$Q$404,采购录入!$E$5:$E$404,$A198,采购录入!$I$5:$I$404,"是",采购录入!$B$5:$B$404,"&lt;"&amp;首页!$B$6)-SUMIFS(销售录入!$S$5:$S$404,销售录入!$E$5:$E$404,$A198,销售录入!$B$5:$B$404,"&lt;"&amp;首页!$B$6))</f>
        <v/>
      </c>
      <c r="F198" s="64" t="str">
        <f aca="false">IF($A198="","",SUMIFS(采购录入!$F$5:$F$404,采购录入!$E$5:$E$404,$A198,采购录入!$I$5:$I$404,"是",采购录入!$C$5:$C$404,首页!$B$5))</f>
        <v/>
      </c>
      <c r="G198" s="54" t="str">
        <f aca="false">IF($A198="","",SUMIFS(采购录入!$Q$5:$Q$404,采购录入!$E$5:$E$404,$A198,采购录入!$I$5:$I$404,"是",采购录入!$C$5:$C$404,首页!$B$5))</f>
        <v/>
      </c>
      <c r="H198" s="64" t="str">
        <f aca="false">IF($A198="","",SUMIFS(销售录入!$F$5:$F$404,销售录入!$E$5:$E$404,$A198,销售录入!$C$5:$C$404,首页!$B$5))</f>
        <v/>
      </c>
      <c r="I198" s="54" t="str">
        <f aca="false">IF($A198="","",SUMIFS(销售录入!$S$5:$S$404,销售录入!$E$5:$E$404,$A198,销售录入!$C$5:$C$404,首页!$B$5))</f>
        <v/>
      </c>
      <c r="J198" s="65" t="str">
        <f aca="false">IF($A198="","",$D198+$F198-$H198)</f>
        <v/>
      </c>
      <c r="K198" s="44" t="str">
        <f aca="false">IF($A198="","",$E198+$G198-$I198)</f>
        <v/>
      </c>
      <c r="L198" s="44" t="str">
        <f aca="false">IF(OR($A198="",$J198=0),"",$K198/$J198)</f>
        <v/>
      </c>
      <c r="M198" s="54" t="str">
        <f aca="false">IF($A198="","",SUMIFS(销售录入!$O$5:$O$404,销售录入!$E$5:$E$404,$A198,销售录入!$C$5:$C$404,首页!$B$5))</f>
        <v/>
      </c>
      <c r="N198" s="44" t="str">
        <f aca="false">IF($A198="","",$M198-$I198)</f>
        <v/>
      </c>
      <c r="O198" s="63" t="str">
        <f aca="false">IF(OR($A198="",$M198=0),"",$N198/$M198)</f>
        <v/>
      </c>
      <c r="P198" s="47" t="str">
        <f aca="false">IF($A198="","",IF($J198&lt;0,"⚠ 负库存",IF(AND($J198=0,ABS($K198)&gt;0.01),"⚠ 有金额无数量",IF(AND($J198&gt;0,$K198&lt;0),"⚠ 金额为负",IF($N198&lt;0,"⚠ 毛利为负","正常")))))</f>
        <v/>
      </c>
    </row>
    <row r="199" customFormat="false" ht="15.75" hidden="false" customHeight="true" outlineLevel="0" collapsed="false">
      <c r="A199" s="35" t="str">
        <f aca="false">IF(基础资料!$Q199="","",基础资料!$Q199)</f>
        <v/>
      </c>
      <c r="B199" s="42" t="str">
        <f aca="false">IF($A199="","",基础资料!$R199)</f>
        <v/>
      </c>
      <c r="C199" s="42" t="str">
        <f aca="false">IF($A199="","",基础资料!$S199)</f>
        <v/>
      </c>
      <c r="D199" s="64" t="str">
        <f aca="false">IF($A199="","",SUMIFS(期初数据!$R$6:$R$205,期初数据!$O$6:$O$205,$A199)+SUMIFS(采购录入!$F$5:$F$404,采购录入!$E$5:$E$404,$A199,采购录入!$I$5:$I$404,"是",采购录入!$B$5:$B$404,"&lt;"&amp;首页!$B$6)-SUMIFS(销售录入!$F$5:$F$404,销售录入!$E$5:$E$404,$A199,销售录入!$B$5:$B$404,"&lt;"&amp;首页!$B$6))</f>
        <v/>
      </c>
      <c r="E199" s="54" t="str">
        <f aca="false">IF($A199="","",SUMIFS(期初数据!$T$6:$T$205,期初数据!$O$6:$O$205,$A199)+SUMIFS(采购录入!$Q$5:$Q$404,采购录入!$E$5:$E$404,$A199,采购录入!$I$5:$I$404,"是",采购录入!$B$5:$B$404,"&lt;"&amp;首页!$B$6)-SUMIFS(销售录入!$S$5:$S$404,销售录入!$E$5:$E$404,$A199,销售录入!$B$5:$B$404,"&lt;"&amp;首页!$B$6))</f>
        <v/>
      </c>
      <c r="F199" s="64" t="str">
        <f aca="false">IF($A199="","",SUMIFS(采购录入!$F$5:$F$404,采购录入!$E$5:$E$404,$A199,采购录入!$I$5:$I$404,"是",采购录入!$C$5:$C$404,首页!$B$5))</f>
        <v/>
      </c>
      <c r="G199" s="54" t="str">
        <f aca="false">IF($A199="","",SUMIFS(采购录入!$Q$5:$Q$404,采购录入!$E$5:$E$404,$A199,采购录入!$I$5:$I$404,"是",采购录入!$C$5:$C$404,首页!$B$5))</f>
        <v/>
      </c>
      <c r="H199" s="64" t="str">
        <f aca="false">IF($A199="","",SUMIFS(销售录入!$F$5:$F$404,销售录入!$E$5:$E$404,$A199,销售录入!$C$5:$C$404,首页!$B$5))</f>
        <v/>
      </c>
      <c r="I199" s="54" t="str">
        <f aca="false">IF($A199="","",SUMIFS(销售录入!$S$5:$S$404,销售录入!$E$5:$E$404,$A199,销售录入!$C$5:$C$404,首页!$B$5))</f>
        <v/>
      </c>
      <c r="J199" s="65" t="str">
        <f aca="false">IF($A199="","",$D199+$F199-$H199)</f>
        <v/>
      </c>
      <c r="K199" s="44" t="str">
        <f aca="false">IF($A199="","",$E199+$G199-$I199)</f>
        <v/>
      </c>
      <c r="L199" s="44" t="str">
        <f aca="false">IF(OR($A199="",$J199=0),"",$K199/$J199)</f>
        <v/>
      </c>
      <c r="M199" s="54" t="str">
        <f aca="false">IF($A199="","",SUMIFS(销售录入!$O$5:$O$404,销售录入!$E$5:$E$404,$A199,销售录入!$C$5:$C$404,首页!$B$5))</f>
        <v/>
      </c>
      <c r="N199" s="44" t="str">
        <f aca="false">IF($A199="","",$M199-$I199)</f>
        <v/>
      </c>
      <c r="O199" s="63" t="str">
        <f aca="false">IF(OR($A199="",$M199=0),"",$N199/$M199)</f>
        <v/>
      </c>
      <c r="P199" s="47" t="str">
        <f aca="false">IF($A199="","",IF($J199&lt;0,"⚠ 负库存",IF(AND($J199=0,ABS($K199)&gt;0.01),"⚠ 有金额无数量",IF(AND($J199&gt;0,$K199&lt;0),"⚠ 金额为负",IF($N199&lt;0,"⚠ 毛利为负","正常")))))</f>
        <v/>
      </c>
    </row>
    <row r="200" customFormat="false" ht="15.75" hidden="false" customHeight="true" outlineLevel="0" collapsed="false">
      <c r="A200" s="35" t="str">
        <f aca="false">IF(基础资料!$Q200="","",基础资料!$Q200)</f>
        <v/>
      </c>
      <c r="B200" s="42" t="str">
        <f aca="false">IF($A200="","",基础资料!$R200)</f>
        <v/>
      </c>
      <c r="C200" s="42" t="str">
        <f aca="false">IF($A200="","",基础资料!$S200)</f>
        <v/>
      </c>
      <c r="D200" s="64" t="str">
        <f aca="false">IF($A200="","",SUMIFS(期初数据!$R$6:$R$205,期初数据!$O$6:$O$205,$A200)+SUMIFS(采购录入!$F$5:$F$404,采购录入!$E$5:$E$404,$A200,采购录入!$I$5:$I$404,"是",采购录入!$B$5:$B$404,"&lt;"&amp;首页!$B$6)-SUMIFS(销售录入!$F$5:$F$404,销售录入!$E$5:$E$404,$A200,销售录入!$B$5:$B$404,"&lt;"&amp;首页!$B$6))</f>
        <v/>
      </c>
      <c r="E200" s="54" t="str">
        <f aca="false">IF($A200="","",SUMIFS(期初数据!$T$6:$T$205,期初数据!$O$6:$O$205,$A200)+SUMIFS(采购录入!$Q$5:$Q$404,采购录入!$E$5:$E$404,$A200,采购录入!$I$5:$I$404,"是",采购录入!$B$5:$B$404,"&lt;"&amp;首页!$B$6)-SUMIFS(销售录入!$S$5:$S$404,销售录入!$E$5:$E$404,$A200,销售录入!$B$5:$B$404,"&lt;"&amp;首页!$B$6))</f>
        <v/>
      </c>
      <c r="F200" s="64" t="str">
        <f aca="false">IF($A200="","",SUMIFS(采购录入!$F$5:$F$404,采购录入!$E$5:$E$404,$A200,采购录入!$I$5:$I$404,"是",采购录入!$C$5:$C$404,首页!$B$5))</f>
        <v/>
      </c>
      <c r="G200" s="54" t="str">
        <f aca="false">IF($A200="","",SUMIFS(采购录入!$Q$5:$Q$404,采购录入!$E$5:$E$404,$A200,采购录入!$I$5:$I$404,"是",采购录入!$C$5:$C$404,首页!$B$5))</f>
        <v/>
      </c>
      <c r="H200" s="64" t="str">
        <f aca="false">IF($A200="","",SUMIFS(销售录入!$F$5:$F$404,销售录入!$E$5:$E$404,$A200,销售录入!$C$5:$C$404,首页!$B$5))</f>
        <v/>
      </c>
      <c r="I200" s="54" t="str">
        <f aca="false">IF($A200="","",SUMIFS(销售录入!$S$5:$S$404,销售录入!$E$5:$E$404,$A200,销售录入!$C$5:$C$404,首页!$B$5))</f>
        <v/>
      </c>
      <c r="J200" s="65" t="str">
        <f aca="false">IF($A200="","",$D200+$F200-$H200)</f>
        <v/>
      </c>
      <c r="K200" s="44" t="str">
        <f aca="false">IF($A200="","",$E200+$G200-$I200)</f>
        <v/>
      </c>
      <c r="L200" s="44" t="str">
        <f aca="false">IF(OR($A200="",$J200=0),"",$K200/$J200)</f>
        <v/>
      </c>
      <c r="M200" s="54" t="str">
        <f aca="false">IF($A200="","",SUMIFS(销售录入!$O$5:$O$404,销售录入!$E$5:$E$404,$A200,销售录入!$C$5:$C$404,首页!$B$5))</f>
        <v/>
      </c>
      <c r="N200" s="44" t="str">
        <f aca="false">IF($A200="","",$M200-$I200)</f>
        <v/>
      </c>
      <c r="O200" s="63" t="str">
        <f aca="false">IF(OR($A200="",$M200=0),"",$N200/$M200)</f>
        <v/>
      </c>
      <c r="P200" s="47" t="str">
        <f aca="false">IF($A200="","",IF($J200&lt;0,"⚠ 负库存",IF(AND($J200=0,ABS($K200)&gt;0.01),"⚠ 有金额无数量",IF(AND($J200&gt;0,$K200&lt;0),"⚠ 金额为负",IF($N200&lt;0,"⚠ 毛利为负","正常")))))</f>
        <v/>
      </c>
    </row>
    <row r="201" customFormat="false" ht="15.75" hidden="false" customHeight="true" outlineLevel="0" collapsed="false">
      <c r="A201" s="35" t="str">
        <f aca="false">IF(基础资料!$Q201="","",基础资料!$Q201)</f>
        <v/>
      </c>
      <c r="B201" s="42" t="str">
        <f aca="false">IF($A201="","",基础资料!$R201)</f>
        <v/>
      </c>
      <c r="C201" s="42" t="str">
        <f aca="false">IF($A201="","",基础资料!$S201)</f>
        <v/>
      </c>
      <c r="D201" s="64" t="str">
        <f aca="false">IF($A201="","",SUMIFS(期初数据!$R$6:$R$205,期初数据!$O$6:$O$205,$A201)+SUMIFS(采购录入!$F$5:$F$404,采购录入!$E$5:$E$404,$A201,采购录入!$I$5:$I$404,"是",采购录入!$B$5:$B$404,"&lt;"&amp;首页!$B$6)-SUMIFS(销售录入!$F$5:$F$404,销售录入!$E$5:$E$404,$A201,销售录入!$B$5:$B$404,"&lt;"&amp;首页!$B$6))</f>
        <v/>
      </c>
      <c r="E201" s="54" t="str">
        <f aca="false">IF($A201="","",SUMIFS(期初数据!$T$6:$T$205,期初数据!$O$6:$O$205,$A201)+SUMIFS(采购录入!$Q$5:$Q$404,采购录入!$E$5:$E$404,$A201,采购录入!$I$5:$I$404,"是",采购录入!$B$5:$B$404,"&lt;"&amp;首页!$B$6)-SUMIFS(销售录入!$S$5:$S$404,销售录入!$E$5:$E$404,$A201,销售录入!$B$5:$B$404,"&lt;"&amp;首页!$B$6))</f>
        <v/>
      </c>
      <c r="F201" s="64" t="str">
        <f aca="false">IF($A201="","",SUMIFS(采购录入!$F$5:$F$404,采购录入!$E$5:$E$404,$A201,采购录入!$I$5:$I$404,"是",采购录入!$C$5:$C$404,首页!$B$5))</f>
        <v/>
      </c>
      <c r="G201" s="54" t="str">
        <f aca="false">IF($A201="","",SUMIFS(采购录入!$Q$5:$Q$404,采购录入!$E$5:$E$404,$A201,采购录入!$I$5:$I$404,"是",采购录入!$C$5:$C$404,首页!$B$5))</f>
        <v/>
      </c>
      <c r="H201" s="64" t="str">
        <f aca="false">IF($A201="","",SUMIFS(销售录入!$F$5:$F$404,销售录入!$E$5:$E$404,$A201,销售录入!$C$5:$C$404,首页!$B$5))</f>
        <v/>
      </c>
      <c r="I201" s="54" t="str">
        <f aca="false">IF($A201="","",SUMIFS(销售录入!$S$5:$S$404,销售录入!$E$5:$E$404,$A201,销售录入!$C$5:$C$404,首页!$B$5))</f>
        <v/>
      </c>
      <c r="J201" s="65" t="str">
        <f aca="false">IF($A201="","",$D201+$F201-$H201)</f>
        <v/>
      </c>
      <c r="K201" s="44" t="str">
        <f aca="false">IF($A201="","",$E201+$G201-$I201)</f>
        <v/>
      </c>
      <c r="L201" s="44" t="str">
        <f aca="false">IF(OR($A201="",$J201=0),"",$K201/$J201)</f>
        <v/>
      </c>
      <c r="M201" s="54" t="str">
        <f aca="false">IF($A201="","",SUMIFS(销售录入!$O$5:$O$404,销售录入!$E$5:$E$404,$A201,销售录入!$C$5:$C$404,首页!$B$5))</f>
        <v/>
      </c>
      <c r="N201" s="44" t="str">
        <f aca="false">IF($A201="","",$M201-$I201)</f>
        <v/>
      </c>
      <c r="O201" s="63" t="str">
        <f aca="false">IF(OR($A201="",$M201=0),"",$N201/$M201)</f>
        <v/>
      </c>
      <c r="P201" s="47" t="str">
        <f aca="false">IF($A201="","",IF($J201&lt;0,"⚠ 负库存",IF(AND($J201=0,ABS($K201)&gt;0.01),"⚠ 有金额无数量",IF(AND($J201&gt;0,$K201&lt;0),"⚠ 金额为负",IF($N201&lt;0,"⚠ 毛利为负","正常")))))</f>
        <v/>
      </c>
    </row>
    <row r="202" customFormat="false" ht="15.75" hidden="false" customHeight="true" outlineLevel="0" collapsed="false">
      <c r="A202" s="35" t="str">
        <f aca="false">IF(基础资料!$Q202="","",基础资料!$Q202)</f>
        <v/>
      </c>
      <c r="B202" s="42" t="str">
        <f aca="false">IF($A202="","",基础资料!$R202)</f>
        <v/>
      </c>
      <c r="C202" s="42" t="str">
        <f aca="false">IF($A202="","",基础资料!$S202)</f>
        <v/>
      </c>
      <c r="D202" s="64" t="str">
        <f aca="false">IF($A202="","",SUMIFS(期初数据!$R$6:$R$205,期初数据!$O$6:$O$205,$A202)+SUMIFS(采购录入!$F$5:$F$404,采购录入!$E$5:$E$404,$A202,采购录入!$I$5:$I$404,"是",采购录入!$B$5:$B$404,"&lt;"&amp;首页!$B$6)-SUMIFS(销售录入!$F$5:$F$404,销售录入!$E$5:$E$404,$A202,销售录入!$B$5:$B$404,"&lt;"&amp;首页!$B$6))</f>
        <v/>
      </c>
      <c r="E202" s="54" t="str">
        <f aca="false">IF($A202="","",SUMIFS(期初数据!$T$6:$T$205,期初数据!$O$6:$O$205,$A202)+SUMIFS(采购录入!$Q$5:$Q$404,采购录入!$E$5:$E$404,$A202,采购录入!$I$5:$I$404,"是",采购录入!$B$5:$B$404,"&lt;"&amp;首页!$B$6)-SUMIFS(销售录入!$S$5:$S$404,销售录入!$E$5:$E$404,$A202,销售录入!$B$5:$B$404,"&lt;"&amp;首页!$B$6))</f>
        <v/>
      </c>
      <c r="F202" s="64" t="str">
        <f aca="false">IF($A202="","",SUMIFS(采购录入!$F$5:$F$404,采购录入!$E$5:$E$404,$A202,采购录入!$I$5:$I$404,"是",采购录入!$C$5:$C$404,首页!$B$5))</f>
        <v/>
      </c>
      <c r="G202" s="54" t="str">
        <f aca="false">IF($A202="","",SUMIFS(采购录入!$Q$5:$Q$404,采购录入!$E$5:$E$404,$A202,采购录入!$I$5:$I$404,"是",采购录入!$C$5:$C$404,首页!$B$5))</f>
        <v/>
      </c>
      <c r="H202" s="64" t="str">
        <f aca="false">IF($A202="","",SUMIFS(销售录入!$F$5:$F$404,销售录入!$E$5:$E$404,$A202,销售录入!$C$5:$C$404,首页!$B$5))</f>
        <v/>
      </c>
      <c r="I202" s="54" t="str">
        <f aca="false">IF($A202="","",SUMIFS(销售录入!$S$5:$S$404,销售录入!$E$5:$E$404,$A202,销售录入!$C$5:$C$404,首页!$B$5))</f>
        <v/>
      </c>
      <c r="J202" s="65" t="str">
        <f aca="false">IF($A202="","",$D202+$F202-$H202)</f>
        <v/>
      </c>
      <c r="K202" s="44" t="str">
        <f aca="false">IF($A202="","",$E202+$G202-$I202)</f>
        <v/>
      </c>
      <c r="L202" s="44" t="str">
        <f aca="false">IF(OR($A202="",$J202=0),"",$K202/$J202)</f>
        <v/>
      </c>
      <c r="M202" s="54" t="str">
        <f aca="false">IF($A202="","",SUMIFS(销售录入!$O$5:$O$404,销售录入!$E$5:$E$404,$A202,销售录入!$C$5:$C$404,首页!$B$5))</f>
        <v/>
      </c>
      <c r="N202" s="44" t="str">
        <f aca="false">IF($A202="","",$M202-$I202)</f>
        <v/>
      </c>
      <c r="O202" s="63" t="str">
        <f aca="false">IF(OR($A202="",$M202=0),"",$N202/$M202)</f>
        <v/>
      </c>
      <c r="P202" s="47" t="str">
        <f aca="false">IF($A202="","",IF($J202&lt;0,"⚠ 负库存",IF(AND($J202=0,ABS($K202)&gt;0.01),"⚠ 有金额无数量",IF(AND($J202&gt;0,$K202&lt;0),"⚠ 金额为负",IF($N202&lt;0,"⚠ 毛利为负","正常")))))</f>
        <v/>
      </c>
    </row>
    <row r="203" customFormat="false" ht="15.75" hidden="false" customHeight="true" outlineLevel="0" collapsed="false">
      <c r="A203" s="35" t="str">
        <f aca="false">IF(基础资料!$Q203="","",基础资料!$Q203)</f>
        <v/>
      </c>
      <c r="B203" s="42" t="str">
        <f aca="false">IF($A203="","",基础资料!$R203)</f>
        <v/>
      </c>
      <c r="C203" s="42" t="str">
        <f aca="false">IF($A203="","",基础资料!$S203)</f>
        <v/>
      </c>
      <c r="D203" s="64" t="str">
        <f aca="false">IF($A203="","",SUMIFS(期初数据!$R$6:$R$205,期初数据!$O$6:$O$205,$A203)+SUMIFS(采购录入!$F$5:$F$404,采购录入!$E$5:$E$404,$A203,采购录入!$I$5:$I$404,"是",采购录入!$B$5:$B$404,"&lt;"&amp;首页!$B$6)-SUMIFS(销售录入!$F$5:$F$404,销售录入!$E$5:$E$404,$A203,销售录入!$B$5:$B$404,"&lt;"&amp;首页!$B$6))</f>
        <v/>
      </c>
      <c r="E203" s="54" t="str">
        <f aca="false">IF($A203="","",SUMIFS(期初数据!$T$6:$T$205,期初数据!$O$6:$O$205,$A203)+SUMIFS(采购录入!$Q$5:$Q$404,采购录入!$E$5:$E$404,$A203,采购录入!$I$5:$I$404,"是",采购录入!$B$5:$B$404,"&lt;"&amp;首页!$B$6)-SUMIFS(销售录入!$S$5:$S$404,销售录入!$E$5:$E$404,$A203,销售录入!$B$5:$B$404,"&lt;"&amp;首页!$B$6))</f>
        <v/>
      </c>
      <c r="F203" s="64" t="str">
        <f aca="false">IF($A203="","",SUMIFS(采购录入!$F$5:$F$404,采购录入!$E$5:$E$404,$A203,采购录入!$I$5:$I$404,"是",采购录入!$C$5:$C$404,首页!$B$5))</f>
        <v/>
      </c>
      <c r="G203" s="54" t="str">
        <f aca="false">IF($A203="","",SUMIFS(采购录入!$Q$5:$Q$404,采购录入!$E$5:$E$404,$A203,采购录入!$I$5:$I$404,"是",采购录入!$C$5:$C$404,首页!$B$5))</f>
        <v/>
      </c>
      <c r="H203" s="64" t="str">
        <f aca="false">IF($A203="","",SUMIFS(销售录入!$F$5:$F$404,销售录入!$E$5:$E$404,$A203,销售录入!$C$5:$C$404,首页!$B$5))</f>
        <v/>
      </c>
      <c r="I203" s="54" t="str">
        <f aca="false">IF($A203="","",SUMIFS(销售录入!$S$5:$S$404,销售录入!$E$5:$E$404,$A203,销售录入!$C$5:$C$404,首页!$B$5))</f>
        <v/>
      </c>
      <c r="J203" s="65" t="str">
        <f aca="false">IF($A203="","",$D203+$F203-$H203)</f>
        <v/>
      </c>
      <c r="K203" s="44" t="str">
        <f aca="false">IF($A203="","",$E203+$G203-$I203)</f>
        <v/>
      </c>
      <c r="L203" s="44" t="str">
        <f aca="false">IF(OR($A203="",$J203=0),"",$K203/$J203)</f>
        <v/>
      </c>
      <c r="M203" s="54" t="str">
        <f aca="false">IF($A203="","",SUMIFS(销售录入!$O$5:$O$404,销售录入!$E$5:$E$404,$A203,销售录入!$C$5:$C$404,首页!$B$5))</f>
        <v/>
      </c>
      <c r="N203" s="44" t="str">
        <f aca="false">IF($A203="","",$M203-$I203)</f>
        <v/>
      </c>
      <c r="O203" s="63" t="str">
        <f aca="false">IF(OR($A203="",$M203=0),"",$N203/$M203)</f>
        <v/>
      </c>
      <c r="P203" s="47" t="str">
        <f aca="false">IF($A203="","",IF($J203&lt;0,"⚠ 负库存",IF(AND($J203=0,ABS($K203)&gt;0.01),"⚠ 有金额无数量",IF(AND($J203&gt;0,$K203&lt;0),"⚠ 金额为负",IF($N203&lt;0,"⚠ 毛利为负","正常")))))</f>
        <v/>
      </c>
    </row>
    <row r="204" customFormat="false" ht="15.75" hidden="false" customHeight="true" outlineLevel="0" collapsed="false">
      <c r="A204" s="35" t="str">
        <f aca="false">IF(基础资料!$Q204="","",基础资料!$Q204)</f>
        <v/>
      </c>
      <c r="B204" s="42" t="str">
        <f aca="false">IF($A204="","",基础资料!$R204)</f>
        <v/>
      </c>
      <c r="C204" s="42" t="str">
        <f aca="false">IF($A204="","",基础资料!$S204)</f>
        <v/>
      </c>
      <c r="D204" s="64" t="str">
        <f aca="false">IF($A204="","",SUMIFS(期初数据!$R$6:$R$205,期初数据!$O$6:$O$205,$A204)+SUMIFS(采购录入!$F$5:$F$404,采购录入!$E$5:$E$404,$A204,采购录入!$I$5:$I$404,"是",采购录入!$B$5:$B$404,"&lt;"&amp;首页!$B$6)-SUMIFS(销售录入!$F$5:$F$404,销售录入!$E$5:$E$404,$A204,销售录入!$B$5:$B$404,"&lt;"&amp;首页!$B$6))</f>
        <v/>
      </c>
      <c r="E204" s="54" t="str">
        <f aca="false">IF($A204="","",SUMIFS(期初数据!$T$6:$T$205,期初数据!$O$6:$O$205,$A204)+SUMIFS(采购录入!$Q$5:$Q$404,采购录入!$E$5:$E$404,$A204,采购录入!$I$5:$I$404,"是",采购录入!$B$5:$B$404,"&lt;"&amp;首页!$B$6)-SUMIFS(销售录入!$S$5:$S$404,销售录入!$E$5:$E$404,$A204,销售录入!$B$5:$B$404,"&lt;"&amp;首页!$B$6))</f>
        <v/>
      </c>
      <c r="F204" s="64" t="str">
        <f aca="false">IF($A204="","",SUMIFS(采购录入!$F$5:$F$404,采购录入!$E$5:$E$404,$A204,采购录入!$I$5:$I$404,"是",采购录入!$C$5:$C$404,首页!$B$5))</f>
        <v/>
      </c>
      <c r="G204" s="54" t="str">
        <f aca="false">IF($A204="","",SUMIFS(采购录入!$Q$5:$Q$404,采购录入!$E$5:$E$404,$A204,采购录入!$I$5:$I$404,"是",采购录入!$C$5:$C$404,首页!$B$5))</f>
        <v/>
      </c>
      <c r="H204" s="64" t="str">
        <f aca="false">IF($A204="","",SUMIFS(销售录入!$F$5:$F$404,销售录入!$E$5:$E$404,$A204,销售录入!$C$5:$C$404,首页!$B$5))</f>
        <v/>
      </c>
      <c r="I204" s="54" t="str">
        <f aca="false">IF($A204="","",SUMIFS(销售录入!$S$5:$S$404,销售录入!$E$5:$E$404,$A204,销售录入!$C$5:$C$404,首页!$B$5))</f>
        <v/>
      </c>
      <c r="J204" s="65" t="str">
        <f aca="false">IF($A204="","",$D204+$F204-$H204)</f>
        <v/>
      </c>
      <c r="K204" s="44" t="str">
        <f aca="false">IF($A204="","",$E204+$G204-$I204)</f>
        <v/>
      </c>
      <c r="L204" s="44" t="str">
        <f aca="false">IF(OR($A204="",$J204=0),"",$K204/$J204)</f>
        <v/>
      </c>
      <c r="M204" s="54" t="str">
        <f aca="false">IF($A204="","",SUMIFS(销售录入!$O$5:$O$404,销售录入!$E$5:$E$404,$A204,销售录入!$C$5:$C$404,首页!$B$5))</f>
        <v/>
      </c>
      <c r="N204" s="44" t="str">
        <f aca="false">IF($A204="","",$M204-$I204)</f>
        <v/>
      </c>
      <c r="O204" s="63" t="str">
        <f aca="false">IF(OR($A204="",$M204=0),"",$N204/$M204)</f>
        <v/>
      </c>
      <c r="P204" s="47" t="str">
        <f aca="false">IF($A204="","",IF($J204&lt;0,"⚠ 负库存",IF(AND($J204=0,ABS($K204)&gt;0.01),"⚠ 有金额无数量",IF(AND($J204&gt;0,$K204&lt;0),"⚠ 金额为负",IF($N204&lt;0,"⚠ 毛利为负","正常")))))</f>
        <v/>
      </c>
    </row>
    <row r="205" customFormat="false" ht="15.75" hidden="false" customHeight="true" outlineLevel="0" collapsed="false">
      <c r="A205" s="35" t="str">
        <f aca="false">IF(基础资料!$Q205="","",基础资料!$Q205)</f>
        <v/>
      </c>
      <c r="B205" s="42" t="str">
        <f aca="false">IF($A205="","",基础资料!$R205)</f>
        <v/>
      </c>
      <c r="C205" s="42" t="str">
        <f aca="false">IF($A205="","",基础资料!$S205)</f>
        <v/>
      </c>
      <c r="D205" s="64" t="str">
        <f aca="false">IF($A205="","",SUMIFS(期初数据!$R$6:$R$205,期初数据!$O$6:$O$205,$A205)+SUMIFS(采购录入!$F$5:$F$404,采购录入!$E$5:$E$404,$A205,采购录入!$I$5:$I$404,"是",采购录入!$B$5:$B$404,"&lt;"&amp;首页!$B$6)-SUMIFS(销售录入!$F$5:$F$404,销售录入!$E$5:$E$404,$A205,销售录入!$B$5:$B$404,"&lt;"&amp;首页!$B$6))</f>
        <v/>
      </c>
      <c r="E205" s="54" t="str">
        <f aca="false">IF($A205="","",SUMIFS(期初数据!$T$6:$T$205,期初数据!$O$6:$O$205,$A205)+SUMIFS(采购录入!$Q$5:$Q$404,采购录入!$E$5:$E$404,$A205,采购录入!$I$5:$I$404,"是",采购录入!$B$5:$B$404,"&lt;"&amp;首页!$B$6)-SUMIFS(销售录入!$S$5:$S$404,销售录入!$E$5:$E$404,$A205,销售录入!$B$5:$B$404,"&lt;"&amp;首页!$B$6))</f>
        <v/>
      </c>
      <c r="F205" s="64" t="str">
        <f aca="false">IF($A205="","",SUMIFS(采购录入!$F$5:$F$404,采购录入!$E$5:$E$404,$A205,采购录入!$I$5:$I$404,"是",采购录入!$C$5:$C$404,首页!$B$5))</f>
        <v/>
      </c>
      <c r="G205" s="54" t="str">
        <f aca="false">IF($A205="","",SUMIFS(采购录入!$Q$5:$Q$404,采购录入!$E$5:$E$404,$A205,采购录入!$I$5:$I$404,"是",采购录入!$C$5:$C$404,首页!$B$5))</f>
        <v/>
      </c>
      <c r="H205" s="64" t="str">
        <f aca="false">IF($A205="","",SUMIFS(销售录入!$F$5:$F$404,销售录入!$E$5:$E$404,$A205,销售录入!$C$5:$C$404,首页!$B$5))</f>
        <v/>
      </c>
      <c r="I205" s="54" t="str">
        <f aca="false">IF($A205="","",SUMIFS(销售录入!$S$5:$S$404,销售录入!$E$5:$E$404,$A205,销售录入!$C$5:$C$404,首页!$B$5))</f>
        <v/>
      </c>
      <c r="J205" s="65" t="str">
        <f aca="false">IF($A205="","",$D205+$F205-$H205)</f>
        <v/>
      </c>
      <c r="K205" s="44" t="str">
        <f aca="false">IF($A205="","",$E205+$G205-$I205)</f>
        <v/>
      </c>
      <c r="L205" s="44" t="str">
        <f aca="false">IF(OR($A205="",$J205=0),"",$K205/$J205)</f>
        <v/>
      </c>
      <c r="M205" s="54" t="str">
        <f aca="false">IF($A205="","",SUMIFS(销售录入!$O$5:$O$404,销售录入!$E$5:$E$404,$A205,销售录入!$C$5:$C$404,首页!$B$5))</f>
        <v/>
      </c>
      <c r="N205" s="44" t="str">
        <f aca="false">IF($A205="","",$M205-$I205)</f>
        <v/>
      </c>
      <c r="O205" s="63" t="str">
        <f aca="false">IF(OR($A205="",$M205=0),"",$N205/$M205)</f>
        <v/>
      </c>
      <c r="P205" s="47" t="str">
        <f aca="false">IF($A205="","",IF($J205&lt;0,"⚠ 负库存",IF(AND($J205=0,ABS($K205)&gt;0.01),"⚠ 有金额无数量",IF(AND($J205&gt;0,$K205&lt;0),"⚠ 金额为负",IF($N205&lt;0,"⚠ 毛利为负","正常")))))</f>
        <v/>
      </c>
    </row>
    <row r="206" customFormat="false" ht="15" hidden="false" customHeight="false" outlineLevel="0" collapsed="false">
      <c r="A206" s="55" t="s">
        <v>593</v>
      </c>
      <c r="B206" s="55"/>
      <c r="C206" s="55"/>
      <c r="D206" s="66" t="n">
        <f aca="false">SUM(D6:D205)</f>
        <v>170</v>
      </c>
      <c r="E206" s="39" t="n">
        <f aca="false">SUM(E6:E205)</f>
        <v>36600</v>
      </c>
      <c r="F206" s="66" t="n">
        <f aca="false">SUM(F6:F205)</f>
        <v>130</v>
      </c>
      <c r="G206" s="39" t="n">
        <f aca="false">SUM(G6:G205)</f>
        <v>17250</v>
      </c>
      <c r="H206" s="66" t="n">
        <f aca="false">SUM(H6:H205)</f>
        <v>77</v>
      </c>
      <c r="I206" s="39" t="n">
        <f aca="false">SUM(I6:I205)</f>
        <v>13462.5</v>
      </c>
      <c r="J206" s="66" t="n">
        <f aca="false">SUM(J6:J205)</f>
        <v>223</v>
      </c>
      <c r="K206" s="39" t="n">
        <f aca="false">SUM(K6:K205)</f>
        <v>40387.5</v>
      </c>
      <c r="L206" s="55"/>
      <c r="M206" s="39" t="n">
        <f aca="false">SUM(M6:M205)</f>
        <v>24600</v>
      </c>
      <c r="N206" s="39" t="n">
        <f aca="false">SUM(N6:N205)</f>
        <v>11137.5</v>
      </c>
      <c r="O206" s="67" t="n">
        <f aca="false">IF($M$206=0,"",$N$206/$M$206)</f>
        <v>0.452743902439024</v>
      </c>
      <c r="P206" s="55"/>
    </row>
  </sheetData>
  <autoFilter ref="A5:P205"/>
  <mergeCells count="2">
    <mergeCell ref="A1:P1"/>
    <mergeCell ref="A2:P2"/>
  </mergeCells>
  <conditionalFormatting sqref="P6:P205">
    <cfRule type="expression" priority="2" aboveAverage="0" equalAverage="0" bottom="0" percent="0" rank="0" text="" dxfId="9">
      <formula>LEFT($P6,1)="⚠"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N15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6" min="6" style="0" width="15"/>
    <col collapsed="false" customWidth="true" hidden="false" outlineLevel="0" max="10" min="7" style="0" width="13"/>
    <col collapsed="false" customWidth="true" hidden="false" outlineLevel="0" max="12" min="11" style="0" width="14"/>
    <col collapsed="false" customWidth="true" hidden="false" outlineLevel="0" max="14" min="13" style="0" width="11"/>
  </cols>
  <sheetData>
    <row r="1" customFormat="false" ht="25.5" hidden="false" customHeight="true" outlineLevel="0" collapsed="false">
      <c r="A1" s="23" t="s">
        <v>732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customFormat="false" ht="15" hidden="false" customHeight="true" outlineLevel="0" collapsed="false">
      <c r="A2" s="6" t="s">
        <v>733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38" t="s">
        <v>3</v>
      </c>
      <c r="B3" s="55" t="str">
        <f aca="false">首页!$B$5</f>
        <v>2026-01</v>
      </c>
      <c r="D3" s="7" t="s">
        <v>734</v>
      </c>
      <c r="E3" s="68" t="n">
        <f aca="false">首页!$B$7</f>
        <v>46053</v>
      </c>
    </row>
    <row r="5" customFormat="false" ht="30" hidden="false" customHeight="true" outlineLevel="0" collapsed="false">
      <c r="A5" s="30" t="s">
        <v>197</v>
      </c>
      <c r="B5" s="30" t="s">
        <v>431</v>
      </c>
      <c r="C5" s="30" t="s">
        <v>735</v>
      </c>
      <c r="D5" s="30" t="s">
        <v>736</v>
      </c>
      <c r="E5" s="30" t="s">
        <v>737</v>
      </c>
      <c r="F5" s="30" t="s">
        <v>738</v>
      </c>
      <c r="G5" s="30" t="s">
        <v>739</v>
      </c>
      <c r="H5" s="30" t="s">
        <v>740</v>
      </c>
      <c r="I5" s="30" t="s">
        <v>741</v>
      </c>
      <c r="J5" s="30" t="s">
        <v>742</v>
      </c>
      <c r="K5" s="30" t="s">
        <v>743</v>
      </c>
      <c r="L5" s="30" t="s">
        <v>744</v>
      </c>
      <c r="M5" s="30" t="s">
        <v>745</v>
      </c>
      <c r="N5" s="30" t="s">
        <v>430</v>
      </c>
    </row>
    <row r="6" customFormat="false" ht="15.75" hidden="false" customHeight="true" outlineLevel="0" collapsed="false">
      <c r="A6" s="35" t="str">
        <f aca="false">IF(基础资料!$Z6="","",基础资料!$Z6)</f>
        <v>示例客户甲</v>
      </c>
      <c r="B6" s="42" t="n">
        <f aca="false">IF($A6="","",N(基础资料!$AB6))</f>
        <v>30</v>
      </c>
      <c r="C6" s="54" t="n">
        <f aca="false">IF($A6="","",SUMIFS(期初数据!$G$6:$G$155,期初数据!$E$6:$E$155,$A6,期初数据!$F$6:$F$155,"&lt;"&amp;首页!$B$6)+SUMIFS(销售录入!$Q$5:$Q$404,销售录入!$D$5:$D$404,$A6,销售录入!$B$5:$B$404,"&lt;"&amp;首页!$B$6)-SUMIFS(资金流水!$N$5:$N$504,资金流水!$G$5:$G$504,$A6,资金流水!$E$5:$E$504,"客户回款",资金流水!$B$5:$B$504,"&lt;"&amp;首页!$B$6))</f>
        <v>50000</v>
      </c>
      <c r="D6" s="54" t="n">
        <f aca="false">IF($A6="","",SUMIFS(销售录入!$Q$5:$Q$404,销售录入!$D$5:$D$404,$A6,销售录入!$C$5:$C$404,首页!$B$5))</f>
        <v>18080</v>
      </c>
      <c r="E6" s="54" t="n">
        <f aca="false">IF($A6="","",SUMIFS(资金流水!$N$5:$N$504,资金流水!$G$5:$G$504,$A6,资金流水!$E$5:$E$504,"客户回款",资金流水!$C$5:$C$504,首页!$B$5))</f>
        <v>50000</v>
      </c>
      <c r="F6" s="62" t="n">
        <f aca="false">IF($A6="","",$C6+$D6-$E6)</f>
        <v>18080</v>
      </c>
      <c r="G6" s="44" t="n">
        <f aca="false">IF($A6="","",$F6-$H6-$I6-$J6-$K6)</f>
        <v>18080</v>
      </c>
      <c r="H6" s="44" t="n">
        <f aca="false">IF($A6="","",MIN($F6,MAX(0,SUMIFS(期初数据!$G$6:$G$155,期初数据!$E$6:$E$155,$A6,期初数据!$F$6:$F$155,"&lt;="&amp;首页!$B$7)+SUMIFS(销售录入!$Q$5:$Q$404,销售录入!$D$5:$D$404,$A6,销售录入!$U$5:$U$404,"&lt;="&amp;首页!$B$7)-SUMIFS(资金流水!$N$5:$N$504,资金流水!$G$5:$G$504,$A6,资金流水!$E$5:$E$504,"客户回款",资金流水!$B$5:$B$504,"&lt;="&amp;首页!$B$7)))-$K6-$J6-$I6)</f>
        <v>0</v>
      </c>
      <c r="I6" s="44" t="n">
        <f aca="false">IF($A6="","",MIN($F6,MAX(0,SUMIFS(期初数据!$G$6:$G$155,期初数据!$E$6:$E$155,$A6,期初数据!$F$6:$F$155,"&lt;="&amp;首页!$B$7-30)+SUMIFS(销售录入!$Q$5:$Q$404,销售录入!$D$5:$D$404,$A6,销售录入!$U$5:$U$404,"&lt;="&amp;首页!$B$7-30)-SUMIFS(资金流水!$N$5:$N$504,资金流水!$G$5:$G$504,$A6,资金流水!$E$5:$E$504,"客户回款",资金流水!$B$5:$B$504,"&lt;="&amp;首页!$B$7)))-$K6-$J6)</f>
        <v>0</v>
      </c>
      <c r="J6" s="44" t="n">
        <f aca="false">IF($A6="","",MIN($F6,MAX(0,SUMIFS(期初数据!$G$6:$G$155,期初数据!$E$6:$E$155,$A6,期初数据!$F$6:$F$155,"&lt;="&amp;首页!$B$7-60)+SUMIFS(销售录入!$Q$5:$Q$404,销售录入!$D$5:$D$404,$A6,销售录入!$U$5:$U$404,"&lt;="&amp;首页!$B$7-60)-SUMIFS(资金流水!$N$5:$N$504,资金流水!$G$5:$G$504,$A6,资金流水!$E$5:$E$504,"客户回款",资金流水!$B$5:$B$504,"&lt;="&amp;首页!$B$7)))-$K6)</f>
        <v>0</v>
      </c>
      <c r="K6" s="44" t="n">
        <f aca="false">IF($A6="","",MIN($F6,MAX(0,SUMIFS(期初数据!$G$6:$G$155,期初数据!$E$6:$E$155,$A6,期初数据!$F$6:$F$155,"&lt;="&amp;首页!$B$7-90)+SUMIFS(销售录入!$Q$5:$Q$404,销售录入!$D$5:$D$404,$A6,销售录入!$U$5:$U$404,"&lt;="&amp;首页!$B$7-90)-SUMIFS(资金流水!$N$5:$N$504,资金流水!$G$5:$G$504,$A6,资金流水!$E$5:$E$504,"客户回款",资金流水!$B$5:$B$504,"&lt;="&amp;首页!$B$7))))</f>
        <v>0</v>
      </c>
      <c r="L6" s="62" t="n">
        <f aca="false">IF($A6="","",$H6+$I6+$J6+$K6)</f>
        <v>0</v>
      </c>
      <c r="M6" s="47" t="str">
        <f aca="false">IF($A6="","",IF($K6&gt;0,"高危",IF($J6&gt;0,"关注",IF($L6&gt;0,"提醒","正常"))))</f>
        <v>正常</v>
      </c>
      <c r="N6" s="42" t="str">
        <f aca="false">IF($A6="","",基础资料!$AA6)</f>
        <v>张伟</v>
      </c>
    </row>
    <row r="7" customFormat="false" ht="15.75" hidden="false" customHeight="true" outlineLevel="0" collapsed="false">
      <c r="A7" s="35" t="str">
        <f aca="false">IF(基础资料!$Z7="","",基础资料!$Z7)</f>
        <v>示例客户乙</v>
      </c>
      <c r="B7" s="42" t="n">
        <f aca="false">IF($A7="","",N(基础资料!$AB7))</f>
        <v>60</v>
      </c>
      <c r="C7" s="54" t="n">
        <f aca="false">IF($A7="","",SUMIFS(期初数据!$G$6:$G$155,期初数据!$E$6:$E$155,$A7,期初数据!$F$6:$F$155,"&lt;"&amp;首页!$B$6)+SUMIFS(销售录入!$Q$5:$Q$404,销售录入!$D$5:$D$404,$A7,销售录入!$B$5:$B$404,"&lt;"&amp;首页!$B$6)-SUMIFS(资金流水!$N$5:$N$504,资金流水!$G$5:$G$504,$A7,资金流水!$E$5:$E$504,"客户回款",资金流水!$B$5:$B$504,"&lt;"&amp;首页!$B$6))</f>
        <v>30000</v>
      </c>
      <c r="D7" s="54" t="n">
        <f aca="false">IF($A7="","",SUMIFS(销售录入!$Q$5:$Q$404,销售录入!$D$5:$D$404,$A7,销售录入!$C$5:$C$404,首页!$B$5))</f>
        <v>7910</v>
      </c>
      <c r="E7" s="54" t="n">
        <f aca="false">IF($A7="","",SUMIFS(资金流水!$N$5:$N$504,资金流水!$G$5:$G$504,$A7,资金流水!$E$5:$E$504,"客户回款",资金流水!$C$5:$C$504,首页!$B$5))</f>
        <v>11000</v>
      </c>
      <c r="F7" s="62" t="n">
        <f aca="false">IF($A7="","",$C7+$D7-$E7)</f>
        <v>26910</v>
      </c>
      <c r="G7" s="44" t="n">
        <f aca="false">IF($A7="","",$F7-$H7-$I7-$J7-$K7)</f>
        <v>7910</v>
      </c>
      <c r="H7" s="44" t="n">
        <f aca="false">IF($A7="","",MIN($F7,MAX(0,SUMIFS(期初数据!$G$6:$G$155,期初数据!$E$6:$E$155,$A7,期初数据!$F$6:$F$155,"&lt;="&amp;首页!$B$7)+SUMIFS(销售录入!$Q$5:$Q$404,销售录入!$D$5:$D$404,$A7,销售录入!$U$5:$U$404,"&lt;="&amp;首页!$B$7)-SUMIFS(资金流水!$N$5:$N$504,资金流水!$G$5:$G$504,$A7,资金流水!$E$5:$E$504,"客户回款",资金流水!$B$5:$B$504,"&lt;="&amp;首页!$B$7)))-$K7-$J7-$I7)</f>
        <v>0</v>
      </c>
      <c r="I7" s="44" t="n">
        <f aca="false">IF($A7="","",MIN($F7,MAX(0,SUMIFS(期初数据!$G$6:$G$155,期初数据!$E$6:$E$155,$A7,期初数据!$F$6:$F$155,"&lt;="&amp;首页!$B$7-30)+SUMIFS(销售录入!$Q$5:$Q$404,销售录入!$D$5:$D$404,$A7,销售录入!$U$5:$U$404,"&lt;="&amp;首页!$B$7-30)-SUMIFS(资金流水!$N$5:$N$504,资金流水!$G$5:$G$504,$A7,资金流水!$E$5:$E$504,"客户回款",资金流水!$B$5:$B$504,"&lt;="&amp;首页!$B$7)))-$K7-$J7)</f>
        <v>0</v>
      </c>
      <c r="J7" s="44" t="n">
        <f aca="false">IF($A7="","",MIN($F7,MAX(0,SUMIFS(期初数据!$G$6:$G$155,期初数据!$E$6:$E$155,$A7,期初数据!$F$6:$F$155,"&lt;="&amp;首页!$B$7-60)+SUMIFS(销售录入!$Q$5:$Q$404,销售录入!$D$5:$D$404,$A7,销售录入!$U$5:$U$404,"&lt;="&amp;首页!$B$7-60)-SUMIFS(资金流水!$N$5:$N$504,资金流水!$G$5:$G$504,$A7,资金流水!$E$5:$E$504,"客户回款",资金流水!$B$5:$B$504,"&lt;="&amp;首页!$B$7)))-$K7)</f>
        <v>19000</v>
      </c>
      <c r="K7" s="44" t="n">
        <f aca="false">IF($A7="","",MIN($F7,MAX(0,SUMIFS(期初数据!$G$6:$G$155,期初数据!$E$6:$E$155,$A7,期初数据!$F$6:$F$155,"&lt;="&amp;首页!$B$7-90)+SUMIFS(销售录入!$Q$5:$Q$404,销售录入!$D$5:$D$404,$A7,销售录入!$U$5:$U$404,"&lt;="&amp;首页!$B$7-90)-SUMIFS(资金流水!$N$5:$N$504,资金流水!$G$5:$G$504,$A7,资金流水!$E$5:$E$504,"客户回款",资金流水!$B$5:$B$504,"&lt;="&amp;首页!$B$7))))</f>
        <v>0</v>
      </c>
      <c r="L7" s="62" t="n">
        <f aca="false">IF($A7="","",$H7+$I7+$J7+$K7)</f>
        <v>19000</v>
      </c>
      <c r="M7" s="47" t="str">
        <f aca="false">IF($A7="","",IF($K7&gt;0,"高危",IF($J7&gt;0,"关注",IF($L7&gt;0,"提醒","正常"))))</f>
        <v>关注</v>
      </c>
      <c r="N7" s="42" t="str">
        <f aca="false">IF($A7="","",基础资料!$AA7)</f>
        <v>张伟</v>
      </c>
    </row>
    <row r="8" customFormat="false" ht="15.75" hidden="false" customHeight="true" outlineLevel="0" collapsed="false">
      <c r="A8" s="35" t="str">
        <f aca="false">IF(基础资料!$Z8="","",基础资料!$Z8)</f>
        <v>示例客户丙</v>
      </c>
      <c r="B8" s="42" t="n">
        <f aca="false">IF($A8="","",N(基础资料!$AB8))</f>
        <v>0</v>
      </c>
      <c r="C8" s="54" t="n">
        <f aca="false">IF($A8="","",SUMIFS(期初数据!$G$6:$G$155,期初数据!$E$6:$E$155,$A8,期初数据!$F$6:$F$155,"&lt;"&amp;首页!$B$6)+SUMIFS(销售录入!$Q$5:$Q$404,销售录入!$D$5:$D$404,$A8,销售录入!$B$5:$B$404,"&lt;"&amp;首页!$B$6)-SUMIFS(资金流水!$N$5:$N$504,资金流水!$G$5:$G$504,$A8,资金流水!$E$5:$E$504,"客户回款",资金流水!$B$5:$B$504,"&lt;"&amp;首页!$B$6))</f>
        <v>0</v>
      </c>
      <c r="D8" s="54" t="n">
        <f aca="false">IF($A8="","",SUMIFS(销售录入!$Q$5:$Q$404,销售录入!$D$5:$D$404,$A8,销售录入!$C$5:$C$404,首页!$B$5))</f>
        <v>1696</v>
      </c>
      <c r="E8" s="54" t="n">
        <f aca="false">IF($A8="","",SUMIFS(资金流水!$N$5:$N$504,资金流水!$G$5:$G$504,$A8,资金流水!$E$5:$E$504,"客户回款",资金流水!$C$5:$C$504,首页!$B$5))</f>
        <v>0</v>
      </c>
      <c r="F8" s="62" t="n">
        <f aca="false">IF($A8="","",$C8+$D8-$E8)</f>
        <v>1696</v>
      </c>
      <c r="G8" s="44" t="n">
        <f aca="false">IF($A8="","",$F8-$H8-$I8-$J8-$K8)</f>
        <v>0</v>
      </c>
      <c r="H8" s="44" t="n">
        <f aca="false">IF($A8="","",MIN($F8,MAX(0,SUMIFS(期初数据!$G$6:$G$155,期初数据!$E$6:$E$155,$A8,期初数据!$F$6:$F$155,"&lt;="&amp;首页!$B$7)+SUMIFS(销售录入!$Q$5:$Q$404,销售录入!$D$5:$D$404,$A8,销售录入!$U$5:$U$404,"&lt;="&amp;首页!$B$7)-SUMIFS(资金流水!$N$5:$N$504,资金流水!$G$5:$G$504,$A8,资金流水!$E$5:$E$504,"客户回款",资金流水!$B$5:$B$504,"&lt;="&amp;首页!$B$7)))-$K8-$J8-$I8)</f>
        <v>1696</v>
      </c>
      <c r="I8" s="44" t="n">
        <f aca="false">IF($A8="","",MIN($F8,MAX(0,SUMIFS(期初数据!$G$6:$G$155,期初数据!$E$6:$E$155,$A8,期初数据!$F$6:$F$155,"&lt;="&amp;首页!$B$7-30)+SUMIFS(销售录入!$Q$5:$Q$404,销售录入!$D$5:$D$404,$A8,销售录入!$U$5:$U$404,"&lt;="&amp;首页!$B$7-30)-SUMIFS(资金流水!$N$5:$N$504,资金流水!$G$5:$G$504,$A8,资金流水!$E$5:$E$504,"客户回款",资金流水!$B$5:$B$504,"&lt;="&amp;首页!$B$7)))-$K8-$J8)</f>
        <v>0</v>
      </c>
      <c r="J8" s="44" t="n">
        <f aca="false">IF($A8="","",MIN($F8,MAX(0,SUMIFS(期初数据!$G$6:$G$155,期初数据!$E$6:$E$155,$A8,期初数据!$F$6:$F$155,"&lt;="&amp;首页!$B$7-60)+SUMIFS(销售录入!$Q$5:$Q$404,销售录入!$D$5:$D$404,$A8,销售录入!$U$5:$U$404,"&lt;="&amp;首页!$B$7-60)-SUMIFS(资金流水!$N$5:$N$504,资金流水!$G$5:$G$504,$A8,资金流水!$E$5:$E$504,"客户回款",资金流水!$B$5:$B$504,"&lt;="&amp;首页!$B$7)))-$K8)</f>
        <v>0</v>
      </c>
      <c r="K8" s="44" t="n">
        <f aca="false">IF($A8="","",MIN($F8,MAX(0,SUMIFS(期初数据!$G$6:$G$155,期初数据!$E$6:$E$155,$A8,期初数据!$F$6:$F$155,"&lt;="&amp;首页!$B$7-90)+SUMIFS(销售录入!$Q$5:$Q$404,销售录入!$D$5:$D$404,$A8,销售录入!$U$5:$U$404,"&lt;="&amp;首页!$B$7-90)-SUMIFS(资金流水!$N$5:$N$504,资金流水!$G$5:$G$504,$A8,资金流水!$E$5:$E$504,"客户回款",资金流水!$B$5:$B$504,"&lt;="&amp;首页!$B$7))))</f>
        <v>0</v>
      </c>
      <c r="L8" s="62" t="n">
        <f aca="false">IF($A8="","",$H8+$I8+$J8+$K8)</f>
        <v>1696</v>
      </c>
      <c r="M8" s="47" t="str">
        <f aca="false">IF($A8="","",IF($K8&gt;0,"高危",IF($J8&gt;0,"关注",IF($L8&gt;0,"提醒","正常"))))</f>
        <v>提醒</v>
      </c>
      <c r="N8" s="42" t="str">
        <f aca="false">IF($A8="","",基础资料!$AA8)</f>
        <v>张伟</v>
      </c>
    </row>
    <row r="9" customFormat="false" ht="15.75" hidden="false" customHeight="true" outlineLevel="0" collapsed="false">
      <c r="A9" s="35" t="str">
        <f aca="false">IF(基础资料!$Z9="","",基础资料!$Z9)</f>
        <v/>
      </c>
      <c r="B9" s="42" t="str">
        <f aca="false">IF($A9="","",N(基础资料!$AB9))</f>
        <v/>
      </c>
      <c r="C9" s="54" t="str">
        <f aca="false">IF($A9="","",SUMIFS(期初数据!$G$6:$G$155,期初数据!$E$6:$E$155,$A9,期初数据!$F$6:$F$155,"&lt;"&amp;首页!$B$6)+SUMIFS(销售录入!$Q$5:$Q$404,销售录入!$D$5:$D$404,$A9,销售录入!$B$5:$B$404,"&lt;"&amp;首页!$B$6)-SUMIFS(资金流水!$N$5:$N$504,资金流水!$G$5:$G$504,$A9,资金流水!$E$5:$E$504,"客户回款",资金流水!$B$5:$B$504,"&lt;"&amp;首页!$B$6))</f>
        <v/>
      </c>
      <c r="D9" s="54" t="str">
        <f aca="false">IF($A9="","",SUMIFS(销售录入!$Q$5:$Q$404,销售录入!$D$5:$D$404,$A9,销售录入!$C$5:$C$404,首页!$B$5))</f>
        <v/>
      </c>
      <c r="E9" s="54" t="str">
        <f aca="false">IF($A9="","",SUMIFS(资金流水!$N$5:$N$504,资金流水!$G$5:$G$504,$A9,资金流水!$E$5:$E$504,"客户回款",资金流水!$C$5:$C$504,首页!$B$5))</f>
        <v/>
      </c>
      <c r="F9" s="62" t="str">
        <f aca="false">IF($A9="","",$C9+$D9-$E9)</f>
        <v/>
      </c>
      <c r="G9" s="44" t="str">
        <f aca="false">IF($A9="","",$F9-$H9-$I9-$J9-$K9)</f>
        <v/>
      </c>
      <c r="H9" s="44" t="str">
        <f aca="false">IF($A9="","",MIN($F9,MAX(0,SUMIFS(期初数据!$G$6:$G$155,期初数据!$E$6:$E$155,$A9,期初数据!$F$6:$F$155,"&lt;="&amp;首页!$B$7)+SUMIFS(销售录入!$Q$5:$Q$404,销售录入!$D$5:$D$404,$A9,销售录入!$U$5:$U$404,"&lt;="&amp;首页!$B$7)-SUMIFS(资金流水!$N$5:$N$504,资金流水!$G$5:$G$504,$A9,资金流水!$E$5:$E$504,"客户回款",资金流水!$B$5:$B$504,"&lt;="&amp;首页!$B$7)))-$K9-$J9-$I9)</f>
        <v/>
      </c>
      <c r="I9" s="44" t="str">
        <f aca="false">IF($A9="","",MIN($F9,MAX(0,SUMIFS(期初数据!$G$6:$G$155,期初数据!$E$6:$E$155,$A9,期初数据!$F$6:$F$155,"&lt;="&amp;首页!$B$7-30)+SUMIFS(销售录入!$Q$5:$Q$404,销售录入!$D$5:$D$404,$A9,销售录入!$U$5:$U$404,"&lt;="&amp;首页!$B$7-30)-SUMIFS(资金流水!$N$5:$N$504,资金流水!$G$5:$G$504,$A9,资金流水!$E$5:$E$504,"客户回款",资金流水!$B$5:$B$504,"&lt;="&amp;首页!$B$7)))-$K9-$J9)</f>
        <v/>
      </c>
      <c r="J9" s="44" t="str">
        <f aca="false">IF($A9="","",MIN($F9,MAX(0,SUMIFS(期初数据!$G$6:$G$155,期初数据!$E$6:$E$155,$A9,期初数据!$F$6:$F$155,"&lt;="&amp;首页!$B$7-60)+SUMIFS(销售录入!$Q$5:$Q$404,销售录入!$D$5:$D$404,$A9,销售录入!$U$5:$U$404,"&lt;="&amp;首页!$B$7-60)-SUMIFS(资金流水!$N$5:$N$504,资金流水!$G$5:$G$504,$A9,资金流水!$E$5:$E$504,"客户回款",资金流水!$B$5:$B$504,"&lt;="&amp;首页!$B$7)))-$K9)</f>
        <v/>
      </c>
      <c r="K9" s="44" t="str">
        <f aca="false">IF($A9="","",MIN($F9,MAX(0,SUMIFS(期初数据!$G$6:$G$155,期初数据!$E$6:$E$155,$A9,期初数据!$F$6:$F$155,"&lt;="&amp;首页!$B$7-90)+SUMIFS(销售录入!$Q$5:$Q$404,销售录入!$D$5:$D$404,$A9,销售录入!$U$5:$U$404,"&lt;="&amp;首页!$B$7-90)-SUMIFS(资金流水!$N$5:$N$504,资金流水!$G$5:$G$504,$A9,资金流水!$E$5:$E$504,"客户回款",资金流水!$B$5:$B$504,"&lt;="&amp;首页!$B$7))))</f>
        <v/>
      </c>
      <c r="L9" s="62" t="str">
        <f aca="false">IF($A9="","",$H9+$I9+$J9+$K9)</f>
        <v/>
      </c>
      <c r="M9" s="47" t="str">
        <f aca="false">IF($A9="","",IF($K9&gt;0,"高危",IF($J9&gt;0,"关注",IF($L9&gt;0,"提醒","正常"))))</f>
        <v/>
      </c>
      <c r="N9" s="42" t="str">
        <f aca="false">IF($A9="","",基础资料!$AA9)</f>
        <v/>
      </c>
    </row>
    <row r="10" customFormat="false" ht="15.75" hidden="false" customHeight="true" outlineLevel="0" collapsed="false">
      <c r="A10" s="35" t="str">
        <f aca="false">IF(基础资料!$Z10="","",基础资料!$Z10)</f>
        <v/>
      </c>
      <c r="B10" s="42" t="str">
        <f aca="false">IF($A10="","",N(基础资料!$AB10))</f>
        <v/>
      </c>
      <c r="C10" s="54" t="str">
        <f aca="false">IF($A10="","",SUMIFS(期初数据!$G$6:$G$155,期初数据!$E$6:$E$155,$A10,期初数据!$F$6:$F$155,"&lt;"&amp;首页!$B$6)+SUMIFS(销售录入!$Q$5:$Q$404,销售录入!$D$5:$D$404,$A10,销售录入!$B$5:$B$404,"&lt;"&amp;首页!$B$6)-SUMIFS(资金流水!$N$5:$N$504,资金流水!$G$5:$G$504,$A10,资金流水!$E$5:$E$504,"客户回款",资金流水!$B$5:$B$504,"&lt;"&amp;首页!$B$6))</f>
        <v/>
      </c>
      <c r="D10" s="54" t="str">
        <f aca="false">IF($A10="","",SUMIFS(销售录入!$Q$5:$Q$404,销售录入!$D$5:$D$404,$A10,销售录入!$C$5:$C$404,首页!$B$5))</f>
        <v/>
      </c>
      <c r="E10" s="54" t="str">
        <f aca="false">IF($A10="","",SUMIFS(资金流水!$N$5:$N$504,资金流水!$G$5:$G$504,$A10,资金流水!$E$5:$E$504,"客户回款",资金流水!$C$5:$C$504,首页!$B$5))</f>
        <v/>
      </c>
      <c r="F10" s="62" t="str">
        <f aca="false">IF($A10="","",$C10+$D10-$E10)</f>
        <v/>
      </c>
      <c r="G10" s="44" t="str">
        <f aca="false">IF($A10="","",$F10-$H10-$I10-$J10-$K10)</f>
        <v/>
      </c>
      <c r="H10" s="44" t="str">
        <f aca="false">IF($A10="","",MIN($F10,MAX(0,SUMIFS(期初数据!$G$6:$G$155,期初数据!$E$6:$E$155,$A10,期初数据!$F$6:$F$155,"&lt;="&amp;首页!$B$7)+SUMIFS(销售录入!$Q$5:$Q$404,销售录入!$D$5:$D$404,$A10,销售录入!$U$5:$U$404,"&lt;="&amp;首页!$B$7)-SUMIFS(资金流水!$N$5:$N$504,资金流水!$G$5:$G$504,$A10,资金流水!$E$5:$E$504,"客户回款",资金流水!$B$5:$B$504,"&lt;="&amp;首页!$B$7)))-$K10-$J10-$I10)</f>
        <v/>
      </c>
      <c r="I10" s="44" t="str">
        <f aca="false">IF($A10="","",MIN($F10,MAX(0,SUMIFS(期初数据!$G$6:$G$155,期初数据!$E$6:$E$155,$A10,期初数据!$F$6:$F$155,"&lt;="&amp;首页!$B$7-30)+SUMIFS(销售录入!$Q$5:$Q$404,销售录入!$D$5:$D$404,$A10,销售录入!$U$5:$U$404,"&lt;="&amp;首页!$B$7-30)-SUMIFS(资金流水!$N$5:$N$504,资金流水!$G$5:$G$504,$A10,资金流水!$E$5:$E$504,"客户回款",资金流水!$B$5:$B$504,"&lt;="&amp;首页!$B$7)))-$K10-$J10)</f>
        <v/>
      </c>
      <c r="J10" s="44" t="str">
        <f aca="false">IF($A10="","",MIN($F10,MAX(0,SUMIFS(期初数据!$G$6:$G$155,期初数据!$E$6:$E$155,$A10,期初数据!$F$6:$F$155,"&lt;="&amp;首页!$B$7-60)+SUMIFS(销售录入!$Q$5:$Q$404,销售录入!$D$5:$D$404,$A10,销售录入!$U$5:$U$404,"&lt;="&amp;首页!$B$7-60)-SUMIFS(资金流水!$N$5:$N$504,资金流水!$G$5:$G$504,$A10,资金流水!$E$5:$E$504,"客户回款",资金流水!$B$5:$B$504,"&lt;="&amp;首页!$B$7)))-$K10)</f>
        <v/>
      </c>
      <c r="K10" s="44" t="str">
        <f aca="false">IF($A10="","",MIN($F10,MAX(0,SUMIFS(期初数据!$G$6:$G$155,期初数据!$E$6:$E$155,$A10,期初数据!$F$6:$F$155,"&lt;="&amp;首页!$B$7-90)+SUMIFS(销售录入!$Q$5:$Q$404,销售录入!$D$5:$D$404,$A10,销售录入!$U$5:$U$404,"&lt;="&amp;首页!$B$7-90)-SUMIFS(资金流水!$N$5:$N$504,资金流水!$G$5:$G$504,$A10,资金流水!$E$5:$E$504,"客户回款",资金流水!$B$5:$B$504,"&lt;="&amp;首页!$B$7))))</f>
        <v/>
      </c>
      <c r="L10" s="62" t="str">
        <f aca="false">IF($A10="","",$H10+$I10+$J10+$K10)</f>
        <v/>
      </c>
      <c r="M10" s="47" t="str">
        <f aca="false">IF($A10="","",IF($K10&gt;0,"高危",IF($J10&gt;0,"关注",IF($L10&gt;0,"提醒","正常"))))</f>
        <v/>
      </c>
      <c r="N10" s="42" t="str">
        <f aca="false">IF($A10="","",基础资料!$AA10)</f>
        <v/>
      </c>
    </row>
    <row r="11" customFormat="false" ht="15.75" hidden="false" customHeight="true" outlineLevel="0" collapsed="false">
      <c r="A11" s="35" t="str">
        <f aca="false">IF(基础资料!$Z11="","",基础资料!$Z11)</f>
        <v/>
      </c>
      <c r="B11" s="42" t="str">
        <f aca="false">IF($A11="","",N(基础资料!$AB11))</f>
        <v/>
      </c>
      <c r="C11" s="54" t="str">
        <f aca="false">IF($A11="","",SUMIFS(期初数据!$G$6:$G$155,期初数据!$E$6:$E$155,$A11,期初数据!$F$6:$F$155,"&lt;"&amp;首页!$B$6)+SUMIFS(销售录入!$Q$5:$Q$404,销售录入!$D$5:$D$404,$A11,销售录入!$B$5:$B$404,"&lt;"&amp;首页!$B$6)-SUMIFS(资金流水!$N$5:$N$504,资金流水!$G$5:$G$504,$A11,资金流水!$E$5:$E$504,"客户回款",资金流水!$B$5:$B$504,"&lt;"&amp;首页!$B$6))</f>
        <v/>
      </c>
      <c r="D11" s="54" t="str">
        <f aca="false">IF($A11="","",SUMIFS(销售录入!$Q$5:$Q$404,销售录入!$D$5:$D$404,$A11,销售录入!$C$5:$C$404,首页!$B$5))</f>
        <v/>
      </c>
      <c r="E11" s="54" t="str">
        <f aca="false">IF($A11="","",SUMIFS(资金流水!$N$5:$N$504,资金流水!$G$5:$G$504,$A11,资金流水!$E$5:$E$504,"客户回款",资金流水!$C$5:$C$504,首页!$B$5))</f>
        <v/>
      </c>
      <c r="F11" s="62" t="str">
        <f aca="false">IF($A11="","",$C11+$D11-$E11)</f>
        <v/>
      </c>
      <c r="G11" s="44" t="str">
        <f aca="false">IF($A11="","",$F11-$H11-$I11-$J11-$K11)</f>
        <v/>
      </c>
      <c r="H11" s="44" t="str">
        <f aca="false">IF($A11="","",MIN($F11,MAX(0,SUMIFS(期初数据!$G$6:$G$155,期初数据!$E$6:$E$155,$A11,期初数据!$F$6:$F$155,"&lt;="&amp;首页!$B$7)+SUMIFS(销售录入!$Q$5:$Q$404,销售录入!$D$5:$D$404,$A11,销售录入!$U$5:$U$404,"&lt;="&amp;首页!$B$7)-SUMIFS(资金流水!$N$5:$N$504,资金流水!$G$5:$G$504,$A11,资金流水!$E$5:$E$504,"客户回款",资金流水!$B$5:$B$504,"&lt;="&amp;首页!$B$7)))-$K11-$J11-$I11)</f>
        <v/>
      </c>
      <c r="I11" s="44" t="str">
        <f aca="false">IF($A11="","",MIN($F11,MAX(0,SUMIFS(期初数据!$G$6:$G$155,期初数据!$E$6:$E$155,$A11,期初数据!$F$6:$F$155,"&lt;="&amp;首页!$B$7-30)+SUMIFS(销售录入!$Q$5:$Q$404,销售录入!$D$5:$D$404,$A11,销售录入!$U$5:$U$404,"&lt;="&amp;首页!$B$7-30)-SUMIFS(资金流水!$N$5:$N$504,资金流水!$G$5:$G$504,$A11,资金流水!$E$5:$E$504,"客户回款",资金流水!$B$5:$B$504,"&lt;="&amp;首页!$B$7)))-$K11-$J11)</f>
        <v/>
      </c>
      <c r="J11" s="44" t="str">
        <f aca="false">IF($A11="","",MIN($F11,MAX(0,SUMIFS(期初数据!$G$6:$G$155,期初数据!$E$6:$E$155,$A11,期初数据!$F$6:$F$155,"&lt;="&amp;首页!$B$7-60)+SUMIFS(销售录入!$Q$5:$Q$404,销售录入!$D$5:$D$404,$A11,销售录入!$U$5:$U$404,"&lt;="&amp;首页!$B$7-60)-SUMIFS(资金流水!$N$5:$N$504,资金流水!$G$5:$G$504,$A11,资金流水!$E$5:$E$504,"客户回款",资金流水!$B$5:$B$504,"&lt;="&amp;首页!$B$7)))-$K11)</f>
        <v/>
      </c>
      <c r="K11" s="44" t="str">
        <f aca="false">IF($A11="","",MIN($F11,MAX(0,SUMIFS(期初数据!$G$6:$G$155,期初数据!$E$6:$E$155,$A11,期初数据!$F$6:$F$155,"&lt;="&amp;首页!$B$7-90)+SUMIFS(销售录入!$Q$5:$Q$404,销售录入!$D$5:$D$404,$A11,销售录入!$U$5:$U$404,"&lt;="&amp;首页!$B$7-90)-SUMIFS(资金流水!$N$5:$N$504,资金流水!$G$5:$G$504,$A11,资金流水!$E$5:$E$504,"客户回款",资金流水!$B$5:$B$504,"&lt;="&amp;首页!$B$7))))</f>
        <v/>
      </c>
      <c r="L11" s="62" t="str">
        <f aca="false">IF($A11="","",$H11+$I11+$J11+$K11)</f>
        <v/>
      </c>
      <c r="M11" s="47" t="str">
        <f aca="false">IF($A11="","",IF($K11&gt;0,"高危",IF($J11&gt;0,"关注",IF($L11&gt;0,"提醒","正常"))))</f>
        <v/>
      </c>
      <c r="N11" s="42" t="str">
        <f aca="false">IF($A11="","",基础资料!$AA11)</f>
        <v/>
      </c>
    </row>
    <row r="12" customFormat="false" ht="15.75" hidden="false" customHeight="true" outlineLevel="0" collapsed="false">
      <c r="A12" s="35" t="str">
        <f aca="false">IF(基础资料!$Z12="","",基础资料!$Z12)</f>
        <v/>
      </c>
      <c r="B12" s="42" t="str">
        <f aca="false">IF($A12="","",N(基础资料!$AB12))</f>
        <v/>
      </c>
      <c r="C12" s="54" t="str">
        <f aca="false">IF($A12="","",SUMIFS(期初数据!$G$6:$G$155,期初数据!$E$6:$E$155,$A12,期初数据!$F$6:$F$155,"&lt;"&amp;首页!$B$6)+SUMIFS(销售录入!$Q$5:$Q$404,销售录入!$D$5:$D$404,$A12,销售录入!$B$5:$B$404,"&lt;"&amp;首页!$B$6)-SUMIFS(资金流水!$N$5:$N$504,资金流水!$G$5:$G$504,$A12,资金流水!$E$5:$E$504,"客户回款",资金流水!$B$5:$B$504,"&lt;"&amp;首页!$B$6))</f>
        <v/>
      </c>
      <c r="D12" s="54" t="str">
        <f aca="false">IF($A12="","",SUMIFS(销售录入!$Q$5:$Q$404,销售录入!$D$5:$D$404,$A12,销售录入!$C$5:$C$404,首页!$B$5))</f>
        <v/>
      </c>
      <c r="E12" s="54" t="str">
        <f aca="false">IF($A12="","",SUMIFS(资金流水!$N$5:$N$504,资金流水!$G$5:$G$504,$A12,资金流水!$E$5:$E$504,"客户回款",资金流水!$C$5:$C$504,首页!$B$5))</f>
        <v/>
      </c>
      <c r="F12" s="62" t="str">
        <f aca="false">IF($A12="","",$C12+$D12-$E12)</f>
        <v/>
      </c>
      <c r="G12" s="44" t="str">
        <f aca="false">IF($A12="","",$F12-$H12-$I12-$J12-$K12)</f>
        <v/>
      </c>
      <c r="H12" s="44" t="str">
        <f aca="false">IF($A12="","",MIN($F12,MAX(0,SUMIFS(期初数据!$G$6:$G$155,期初数据!$E$6:$E$155,$A12,期初数据!$F$6:$F$155,"&lt;="&amp;首页!$B$7)+SUMIFS(销售录入!$Q$5:$Q$404,销售录入!$D$5:$D$404,$A12,销售录入!$U$5:$U$404,"&lt;="&amp;首页!$B$7)-SUMIFS(资金流水!$N$5:$N$504,资金流水!$G$5:$G$504,$A12,资金流水!$E$5:$E$504,"客户回款",资金流水!$B$5:$B$504,"&lt;="&amp;首页!$B$7)))-$K12-$J12-$I12)</f>
        <v/>
      </c>
      <c r="I12" s="44" t="str">
        <f aca="false">IF($A12="","",MIN($F12,MAX(0,SUMIFS(期初数据!$G$6:$G$155,期初数据!$E$6:$E$155,$A12,期初数据!$F$6:$F$155,"&lt;="&amp;首页!$B$7-30)+SUMIFS(销售录入!$Q$5:$Q$404,销售录入!$D$5:$D$404,$A12,销售录入!$U$5:$U$404,"&lt;="&amp;首页!$B$7-30)-SUMIFS(资金流水!$N$5:$N$504,资金流水!$G$5:$G$504,$A12,资金流水!$E$5:$E$504,"客户回款",资金流水!$B$5:$B$504,"&lt;="&amp;首页!$B$7)))-$K12-$J12)</f>
        <v/>
      </c>
      <c r="J12" s="44" t="str">
        <f aca="false">IF($A12="","",MIN($F12,MAX(0,SUMIFS(期初数据!$G$6:$G$155,期初数据!$E$6:$E$155,$A12,期初数据!$F$6:$F$155,"&lt;="&amp;首页!$B$7-60)+SUMIFS(销售录入!$Q$5:$Q$404,销售录入!$D$5:$D$404,$A12,销售录入!$U$5:$U$404,"&lt;="&amp;首页!$B$7-60)-SUMIFS(资金流水!$N$5:$N$504,资金流水!$G$5:$G$504,$A12,资金流水!$E$5:$E$504,"客户回款",资金流水!$B$5:$B$504,"&lt;="&amp;首页!$B$7)))-$K12)</f>
        <v/>
      </c>
      <c r="K12" s="44" t="str">
        <f aca="false">IF($A12="","",MIN($F12,MAX(0,SUMIFS(期初数据!$G$6:$G$155,期初数据!$E$6:$E$155,$A12,期初数据!$F$6:$F$155,"&lt;="&amp;首页!$B$7-90)+SUMIFS(销售录入!$Q$5:$Q$404,销售录入!$D$5:$D$404,$A12,销售录入!$U$5:$U$404,"&lt;="&amp;首页!$B$7-90)-SUMIFS(资金流水!$N$5:$N$504,资金流水!$G$5:$G$504,$A12,资金流水!$E$5:$E$504,"客户回款",资金流水!$B$5:$B$504,"&lt;="&amp;首页!$B$7))))</f>
        <v/>
      </c>
      <c r="L12" s="62" t="str">
        <f aca="false">IF($A12="","",$H12+$I12+$J12+$K12)</f>
        <v/>
      </c>
      <c r="M12" s="47" t="str">
        <f aca="false">IF($A12="","",IF($K12&gt;0,"高危",IF($J12&gt;0,"关注",IF($L12&gt;0,"提醒","正常"))))</f>
        <v/>
      </c>
      <c r="N12" s="42" t="str">
        <f aca="false">IF($A12="","",基础资料!$AA12)</f>
        <v/>
      </c>
    </row>
    <row r="13" customFormat="false" ht="15.75" hidden="false" customHeight="true" outlineLevel="0" collapsed="false">
      <c r="A13" s="35" t="str">
        <f aca="false">IF(基础资料!$Z13="","",基础资料!$Z13)</f>
        <v/>
      </c>
      <c r="B13" s="42" t="str">
        <f aca="false">IF($A13="","",N(基础资料!$AB13))</f>
        <v/>
      </c>
      <c r="C13" s="54" t="str">
        <f aca="false">IF($A13="","",SUMIFS(期初数据!$G$6:$G$155,期初数据!$E$6:$E$155,$A13,期初数据!$F$6:$F$155,"&lt;"&amp;首页!$B$6)+SUMIFS(销售录入!$Q$5:$Q$404,销售录入!$D$5:$D$404,$A13,销售录入!$B$5:$B$404,"&lt;"&amp;首页!$B$6)-SUMIFS(资金流水!$N$5:$N$504,资金流水!$G$5:$G$504,$A13,资金流水!$E$5:$E$504,"客户回款",资金流水!$B$5:$B$504,"&lt;"&amp;首页!$B$6))</f>
        <v/>
      </c>
      <c r="D13" s="54" t="str">
        <f aca="false">IF($A13="","",SUMIFS(销售录入!$Q$5:$Q$404,销售录入!$D$5:$D$404,$A13,销售录入!$C$5:$C$404,首页!$B$5))</f>
        <v/>
      </c>
      <c r="E13" s="54" t="str">
        <f aca="false">IF($A13="","",SUMIFS(资金流水!$N$5:$N$504,资金流水!$G$5:$G$504,$A13,资金流水!$E$5:$E$504,"客户回款",资金流水!$C$5:$C$504,首页!$B$5))</f>
        <v/>
      </c>
      <c r="F13" s="62" t="str">
        <f aca="false">IF($A13="","",$C13+$D13-$E13)</f>
        <v/>
      </c>
      <c r="G13" s="44" t="str">
        <f aca="false">IF($A13="","",$F13-$H13-$I13-$J13-$K13)</f>
        <v/>
      </c>
      <c r="H13" s="44" t="str">
        <f aca="false">IF($A13="","",MIN($F13,MAX(0,SUMIFS(期初数据!$G$6:$G$155,期初数据!$E$6:$E$155,$A13,期初数据!$F$6:$F$155,"&lt;="&amp;首页!$B$7)+SUMIFS(销售录入!$Q$5:$Q$404,销售录入!$D$5:$D$404,$A13,销售录入!$U$5:$U$404,"&lt;="&amp;首页!$B$7)-SUMIFS(资金流水!$N$5:$N$504,资金流水!$G$5:$G$504,$A13,资金流水!$E$5:$E$504,"客户回款",资金流水!$B$5:$B$504,"&lt;="&amp;首页!$B$7)))-$K13-$J13-$I13)</f>
        <v/>
      </c>
      <c r="I13" s="44" t="str">
        <f aca="false">IF($A13="","",MIN($F13,MAX(0,SUMIFS(期初数据!$G$6:$G$155,期初数据!$E$6:$E$155,$A13,期初数据!$F$6:$F$155,"&lt;="&amp;首页!$B$7-30)+SUMIFS(销售录入!$Q$5:$Q$404,销售录入!$D$5:$D$404,$A13,销售录入!$U$5:$U$404,"&lt;="&amp;首页!$B$7-30)-SUMIFS(资金流水!$N$5:$N$504,资金流水!$G$5:$G$504,$A13,资金流水!$E$5:$E$504,"客户回款",资金流水!$B$5:$B$504,"&lt;="&amp;首页!$B$7)))-$K13-$J13)</f>
        <v/>
      </c>
      <c r="J13" s="44" t="str">
        <f aca="false">IF($A13="","",MIN($F13,MAX(0,SUMIFS(期初数据!$G$6:$G$155,期初数据!$E$6:$E$155,$A13,期初数据!$F$6:$F$155,"&lt;="&amp;首页!$B$7-60)+SUMIFS(销售录入!$Q$5:$Q$404,销售录入!$D$5:$D$404,$A13,销售录入!$U$5:$U$404,"&lt;="&amp;首页!$B$7-60)-SUMIFS(资金流水!$N$5:$N$504,资金流水!$G$5:$G$504,$A13,资金流水!$E$5:$E$504,"客户回款",资金流水!$B$5:$B$504,"&lt;="&amp;首页!$B$7)))-$K13)</f>
        <v/>
      </c>
      <c r="K13" s="44" t="str">
        <f aca="false">IF($A13="","",MIN($F13,MAX(0,SUMIFS(期初数据!$G$6:$G$155,期初数据!$E$6:$E$155,$A13,期初数据!$F$6:$F$155,"&lt;="&amp;首页!$B$7-90)+SUMIFS(销售录入!$Q$5:$Q$404,销售录入!$D$5:$D$404,$A13,销售录入!$U$5:$U$404,"&lt;="&amp;首页!$B$7-90)-SUMIFS(资金流水!$N$5:$N$504,资金流水!$G$5:$G$504,$A13,资金流水!$E$5:$E$504,"客户回款",资金流水!$B$5:$B$504,"&lt;="&amp;首页!$B$7))))</f>
        <v/>
      </c>
      <c r="L13" s="62" t="str">
        <f aca="false">IF($A13="","",$H13+$I13+$J13+$K13)</f>
        <v/>
      </c>
      <c r="M13" s="47" t="str">
        <f aca="false">IF($A13="","",IF($K13&gt;0,"高危",IF($J13&gt;0,"关注",IF($L13&gt;0,"提醒","正常"))))</f>
        <v/>
      </c>
      <c r="N13" s="42" t="str">
        <f aca="false">IF($A13="","",基础资料!$AA13)</f>
        <v/>
      </c>
    </row>
    <row r="14" customFormat="false" ht="15.75" hidden="false" customHeight="true" outlineLevel="0" collapsed="false">
      <c r="A14" s="35" t="str">
        <f aca="false">IF(基础资料!$Z14="","",基础资料!$Z14)</f>
        <v/>
      </c>
      <c r="B14" s="42" t="str">
        <f aca="false">IF($A14="","",N(基础资料!$AB14))</f>
        <v/>
      </c>
      <c r="C14" s="54" t="str">
        <f aca="false">IF($A14="","",SUMIFS(期初数据!$G$6:$G$155,期初数据!$E$6:$E$155,$A14,期初数据!$F$6:$F$155,"&lt;"&amp;首页!$B$6)+SUMIFS(销售录入!$Q$5:$Q$404,销售录入!$D$5:$D$404,$A14,销售录入!$B$5:$B$404,"&lt;"&amp;首页!$B$6)-SUMIFS(资金流水!$N$5:$N$504,资金流水!$G$5:$G$504,$A14,资金流水!$E$5:$E$504,"客户回款",资金流水!$B$5:$B$504,"&lt;"&amp;首页!$B$6))</f>
        <v/>
      </c>
      <c r="D14" s="54" t="str">
        <f aca="false">IF($A14="","",SUMIFS(销售录入!$Q$5:$Q$404,销售录入!$D$5:$D$404,$A14,销售录入!$C$5:$C$404,首页!$B$5))</f>
        <v/>
      </c>
      <c r="E14" s="54" t="str">
        <f aca="false">IF($A14="","",SUMIFS(资金流水!$N$5:$N$504,资金流水!$G$5:$G$504,$A14,资金流水!$E$5:$E$504,"客户回款",资金流水!$C$5:$C$504,首页!$B$5))</f>
        <v/>
      </c>
      <c r="F14" s="62" t="str">
        <f aca="false">IF($A14="","",$C14+$D14-$E14)</f>
        <v/>
      </c>
      <c r="G14" s="44" t="str">
        <f aca="false">IF($A14="","",$F14-$H14-$I14-$J14-$K14)</f>
        <v/>
      </c>
      <c r="H14" s="44" t="str">
        <f aca="false">IF($A14="","",MIN($F14,MAX(0,SUMIFS(期初数据!$G$6:$G$155,期初数据!$E$6:$E$155,$A14,期初数据!$F$6:$F$155,"&lt;="&amp;首页!$B$7)+SUMIFS(销售录入!$Q$5:$Q$404,销售录入!$D$5:$D$404,$A14,销售录入!$U$5:$U$404,"&lt;="&amp;首页!$B$7)-SUMIFS(资金流水!$N$5:$N$504,资金流水!$G$5:$G$504,$A14,资金流水!$E$5:$E$504,"客户回款",资金流水!$B$5:$B$504,"&lt;="&amp;首页!$B$7)))-$K14-$J14-$I14)</f>
        <v/>
      </c>
      <c r="I14" s="44" t="str">
        <f aca="false">IF($A14="","",MIN($F14,MAX(0,SUMIFS(期初数据!$G$6:$G$155,期初数据!$E$6:$E$155,$A14,期初数据!$F$6:$F$155,"&lt;="&amp;首页!$B$7-30)+SUMIFS(销售录入!$Q$5:$Q$404,销售录入!$D$5:$D$404,$A14,销售录入!$U$5:$U$404,"&lt;="&amp;首页!$B$7-30)-SUMIFS(资金流水!$N$5:$N$504,资金流水!$G$5:$G$504,$A14,资金流水!$E$5:$E$504,"客户回款",资金流水!$B$5:$B$504,"&lt;="&amp;首页!$B$7)))-$K14-$J14)</f>
        <v/>
      </c>
      <c r="J14" s="44" t="str">
        <f aca="false">IF($A14="","",MIN($F14,MAX(0,SUMIFS(期初数据!$G$6:$G$155,期初数据!$E$6:$E$155,$A14,期初数据!$F$6:$F$155,"&lt;="&amp;首页!$B$7-60)+SUMIFS(销售录入!$Q$5:$Q$404,销售录入!$D$5:$D$404,$A14,销售录入!$U$5:$U$404,"&lt;="&amp;首页!$B$7-60)-SUMIFS(资金流水!$N$5:$N$504,资金流水!$G$5:$G$504,$A14,资金流水!$E$5:$E$504,"客户回款",资金流水!$B$5:$B$504,"&lt;="&amp;首页!$B$7)))-$K14)</f>
        <v/>
      </c>
      <c r="K14" s="44" t="str">
        <f aca="false">IF($A14="","",MIN($F14,MAX(0,SUMIFS(期初数据!$G$6:$G$155,期初数据!$E$6:$E$155,$A14,期初数据!$F$6:$F$155,"&lt;="&amp;首页!$B$7-90)+SUMIFS(销售录入!$Q$5:$Q$404,销售录入!$D$5:$D$404,$A14,销售录入!$U$5:$U$404,"&lt;="&amp;首页!$B$7-90)-SUMIFS(资金流水!$N$5:$N$504,资金流水!$G$5:$G$504,$A14,资金流水!$E$5:$E$504,"客户回款",资金流水!$B$5:$B$504,"&lt;="&amp;首页!$B$7))))</f>
        <v/>
      </c>
      <c r="L14" s="62" t="str">
        <f aca="false">IF($A14="","",$H14+$I14+$J14+$K14)</f>
        <v/>
      </c>
      <c r="M14" s="47" t="str">
        <f aca="false">IF($A14="","",IF($K14&gt;0,"高危",IF($J14&gt;0,"关注",IF($L14&gt;0,"提醒","正常"))))</f>
        <v/>
      </c>
      <c r="N14" s="42" t="str">
        <f aca="false">IF($A14="","",基础资料!$AA14)</f>
        <v/>
      </c>
    </row>
    <row r="15" customFormat="false" ht="15.75" hidden="false" customHeight="true" outlineLevel="0" collapsed="false">
      <c r="A15" s="35" t="str">
        <f aca="false">IF(基础资料!$Z15="","",基础资料!$Z15)</f>
        <v/>
      </c>
      <c r="B15" s="42" t="str">
        <f aca="false">IF($A15="","",N(基础资料!$AB15))</f>
        <v/>
      </c>
      <c r="C15" s="54" t="str">
        <f aca="false">IF($A15="","",SUMIFS(期初数据!$G$6:$G$155,期初数据!$E$6:$E$155,$A15,期初数据!$F$6:$F$155,"&lt;"&amp;首页!$B$6)+SUMIFS(销售录入!$Q$5:$Q$404,销售录入!$D$5:$D$404,$A15,销售录入!$B$5:$B$404,"&lt;"&amp;首页!$B$6)-SUMIFS(资金流水!$N$5:$N$504,资金流水!$G$5:$G$504,$A15,资金流水!$E$5:$E$504,"客户回款",资金流水!$B$5:$B$504,"&lt;"&amp;首页!$B$6))</f>
        <v/>
      </c>
      <c r="D15" s="54" t="str">
        <f aca="false">IF($A15="","",SUMIFS(销售录入!$Q$5:$Q$404,销售录入!$D$5:$D$404,$A15,销售录入!$C$5:$C$404,首页!$B$5))</f>
        <v/>
      </c>
      <c r="E15" s="54" t="str">
        <f aca="false">IF($A15="","",SUMIFS(资金流水!$N$5:$N$504,资金流水!$G$5:$G$504,$A15,资金流水!$E$5:$E$504,"客户回款",资金流水!$C$5:$C$504,首页!$B$5))</f>
        <v/>
      </c>
      <c r="F15" s="62" t="str">
        <f aca="false">IF($A15="","",$C15+$D15-$E15)</f>
        <v/>
      </c>
      <c r="G15" s="44" t="str">
        <f aca="false">IF($A15="","",$F15-$H15-$I15-$J15-$K15)</f>
        <v/>
      </c>
      <c r="H15" s="44" t="str">
        <f aca="false">IF($A15="","",MIN($F15,MAX(0,SUMIFS(期初数据!$G$6:$G$155,期初数据!$E$6:$E$155,$A15,期初数据!$F$6:$F$155,"&lt;="&amp;首页!$B$7)+SUMIFS(销售录入!$Q$5:$Q$404,销售录入!$D$5:$D$404,$A15,销售录入!$U$5:$U$404,"&lt;="&amp;首页!$B$7)-SUMIFS(资金流水!$N$5:$N$504,资金流水!$G$5:$G$504,$A15,资金流水!$E$5:$E$504,"客户回款",资金流水!$B$5:$B$504,"&lt;="&amp;首页!$B$7)))-$K15-$J15-$I15)</f>
        <v/>
      </c>
      <c r="I15" s="44" t="str">
        <f aca="false">IF($A15="","",MIN($F15,MAX(0,SUMIFS(期初数据!$G$6:$G$155,期初数据!$E$6:$E$155,$A15,期初数据!$F$6:$F$155,"&lt;="&amp;首页!$B$7-30)+SUMIFS(销售录入!$Q$5:$Q$404,销售录入!$D$5:$D$404,$A15,销售录入!$U$5:$U$404,"&lt;="&amp;首页!$B$7-30)-SUMIFS(资金流水!$N$5:$N$504,资金流水!$G$5:$G$504,$A15,资金流水!$E$5:$E$504,"客户回款",资金流水!$B$5:$B$504,"&lt;="&amp;首页!$B$7)))-$K15-$J15)</f>
        <v/>
      </c>
      <c r="J15" s="44" t="str">
        <f aca="false">IF($A15="","",MIN($F15,MAX(0,SUMIFS(期初数据!$G$6:$G$155,期初数据!$E$6:$E$155,$A15,期初数据!$F$6:$F$155,"&lt;="&amp;首页!$B$7-60)+SUMIFS(销售录入!$Q$5:$Q$404,销售录入!$D$5:$D$404,$A15,销售录入!$U$5:$U$404,"&lt;="&amp;首页!$B$7-60)-SUMIFS(资金流水!$N$5:$N$504,资金流水!$G$5:$G$504,$A15,资金流水!$E$5:$E$504,"客户回款",资金流水!$B$5:$B$504,"&lt;="&amp;首页!$B$7)))-$K15)</f>
        <v/>
      </c>
      <c r="K15" s="44" t="str">
        <f aca="false">IF($A15="","",MIN($F15,MAX(0,SUMIFS(期初数据!$G$6:$G$155,期初数据!$E$6:$E$155,$A15,期初数据!$F$6:$F$155,"&lt;="&amp;首页!$B$7-90)+SUMIFS(销售录入!$Q$5:$Q$404,销售录入!$D$5:$D$404,$A15,销售录入!$U$5:$U$404,"&lt;="&amp;首页!$B$7-90)-SUMIFS(资金流水!$N$5:$N$504,资金流水!$G$5:$G$504,$A15,资金流水!$E$5:$E$504,"客户回款",资金流水!$B$5:$B$504,"&lt;="&amp;首页!$B$7))))</f>
        <v/>
      </c>
      <c r="L15" s="62" t="str">
        <f aca="false">IF($A15="","",$H15+$I15+$J15+$K15)</f>
        <v/>
      </c>
      <c r="M15" s="47" t="str">
        <f aca="false">IF($A15="","",IF($K15&gt;0,"高危",IF($J15&gt;0,"关注",IF($L15&gt;0,"提醒","正常"))))</f>
        <v/>
      </c>
      <c r="N15" s="42" t="str">
        <f aca="false">IF($A15="","",基础资料!$AA15)</f>
        <v/>
      </c>
    </row>
    <row r="16" customFormat="false" ht="15.75" hidden="false" customHeight="true" outlineLevel="0" collapsed="false">
      <c r="A16" s="35" t="str">
        <f aca="false">IF(基础资料!$Z16="","",基础资料!$Z16)</f>
        <v/>
      </c>
      <c r="B16" s="42" t="str">
        <f aca="false">IF($A16="","",N(基础资料!$AB16))</f>
        <v/>
      </c>
      <c r="C16" s="54" t="str">
        <f aca="false">IF($A16="","",SUMIFS(期初数据!$G$6:$G$155,期初数据!$E$6:$E$155,$A16,期初数据!$F$6:$F$155,"&lt;"&amp;首页!$B$6)+SUMIFS(销售录入!$Q$5:$Q$404,销售录入!$D$5:$D$404,$A16,销售录入!$B$5:$B$404,"&lt;"&amp;首页!$B$6)-SUMIFS(资金流水!$N$5:$N$504,资金流水!$G$5:$G$504,$A16,资金流水!$E$5:$E$504,"客户回款",资金流水!$B$5:$B$504,"&lt;"&amp;首页!$B$6))</f>
        <v/>
      </c>
      <c r="D16" s="54" t="str">
        <f aca="false">IF($A16="","",SUMIFS(销售录入!$Q$5:$Q$404,销售录入!$D$5:$D$404,$A16,销售录入!$C$5:$C$404,首页!$B$5))</f>
        <v/>
      </c>
      <c r="E16" s="54" t="str">
        <f aca="false">IF($A16="","",SUMIFS(资金流水!$N$5:$N$504,资金流水!$G$5:$G$504,$A16,资金流水!$E$5:$E$504,"客户回款",资金流水!$C$5:$C$504,首页!$B$5))</f>
        <v/>
      </c>
      <c r="F16" s="62" t="str">
        <f aca="false">IF($A16="","",$C16+$D16-$E16)</f>
        <v/>
      </c>
      <c r="G16" s="44" t="str">
        <f aca="false">IF($A16="","",$F16-$H16-$I16-$J16-$K16)</f>
        <v/>
      </c>
      <c r="H16" s="44" t="str">
        <f aca="false">IF($A16="","",MIN($F16,MAX(0,SUMIFS(期初数据!$G$6:$G$155,期初数据!$E$6:$E$155,$A16,期初数据!$F$6:$F$155,"&lt;="&amp;首页!$B$7)+SUMIFS(销售录入!$Q$5:$Q$404,销售录入!$D$5:$D$404,$A16,销售录入!$U$5:$U$404,"&lt;="&amp;首页!$B$7)-SUMIFS(资金流水!$N$5:$N$504,资金流水!$G$5:$G$504,$A16,资金流水!$E$5:$E$504,"客户回款",资金流水!$B$5:$B$504,"&lt;="&amp;首页!$B$7)))-$K16-$J16-$I16)</f>
        <v/>
      </c>
      <c r="I16" s="44" t="str">
        <f aca="false">IF($A16="","",MIN($F16,MAX(0,SUMIFS(期初数据!$G$6:$G$155,期初数据!$E$6:$E$155,$A16,期初数据!$F$6:$F$155,"&lt;="&amp;首页!$B$7-30)+SUMIFS(销售录入!$Q$5:$Q$404,销售录入!$D$5:$D$404,$A16,销售录入!$U$5:$U$404,"&lt;="&amp;首页!$B$7-30)-SUMIFS(资金流水!$N$5:$N$504,资金流水!$G$5:$G$504,$A16,资金流水!$E$5:$E$504,"客户回款",资金流水!$B$5:$B$504,"&lt;="&amp;首页!$B$7)))-$K16-$J16)</f>
        <v/>
      </c>
      <c r="J16" s="44" t="str">
        <f aca="false">IF($A16="","",MIN($F16,MAX(0,SUMIFS(期初数据!$G$6:$G$155,期初数据!$E$6:$E$155,$A16,期初数据!$F$6:$F$155,"&lt;="&amp;首页!$B$7-60)+SUMIFS(销售录入!$Q$5:$Q$404,销售录入!$D$5:$D$404,$A16,销售录入!$U$5:$U$404,"&lt;="&amp;首页!$B$7-60)-SUMIFS(资金流水!$N$5:$N$504,资金流水!$G$5:$G$504,$A16,资金流水!$E$5:$E$504,"客户回款",资金流水!$B$5:$B$504,"&lt;="&amp;首页!$B$7)))-$K16)</f>
        <v/>
      </c>
      <c r="K16" s="44" t="str">
        <f aca="false">IF($A16="","",MIN($F16,MAX(0,SUMIFS(期初数据!$G$6:$G$155,期初数据!$E$6:$E$155,$A16,期初数据!$F$6:$F$155,"&lt;="&amp;首页!$B$7-90)+SUMIFS(销售录入!$Q$5:$Q$404,销售录入!$D$5:$D$404,$A16,销售录入!$U$5:$U$404,"&lt;="&amp;首页!$B$7-90)-SUMIFS(资金流水!$N$5:$N$504,资金流水!$G$5:$G$504,$A16,资金流水!$E$5:$E$504,"客户回款",资金流水!$B$5:$B$504,"&lt;="&amp;首页!$B$7))))</f>
        <v/>
      </c>
      <c r="L16" s="62" t="str">
        <f aca="false">IF($A16="","",$H16+$I16+$J16+$K16)</f>
        <v/>
      </c>
      <c r="M16" s="47" t="str">
        <f aca="false">IF($A16="","",IF($K16&gt;0,"高危",IF($J16&gt;0,"关注",IF($L16&gt;0,"提醒","正常"))))</f>
        <v/>
      </c>
      <c r="N16" s="42" t="str">
        <f aca="false">IF($A16="","",基础资料!$AA16)</f>
        <v/>
      </c>
    </row>
    <row r="17" customFormat="false" ht="15.75" hidden="false" customHeight="true" outlineLevel="0" collapsed="false">
      <c r="A17" s="35" t="str">
        <f aca="false">IF(基础资料!$Z17="","",基础资料!$Z17)</f>
        <v/>
      </c>
      <c r="B17" s="42" t="str">
        <f aca="false">IF($A17="","",N(基础资料!$AB17))</f>
        <v/>
      </c>
      <c r="C17" s="54" t="str">
        <f aca="false">IF($A17="","",SUMIFS(期初数据!$G$6:$G$155,期初数据!$E$6:$E$155,$A17,期初数据!$F$6:$F$155,"&lt;"&amp;首页!$B$6)+SUMIFS(销售录入!$Q$5:$Q$404,销售录入!$D$5:$D$404,$A17,销售录入!$B$5:$B$404,"&lt;"&amp;首页!$B$6)-SUMIFS(资金流水!$N$5:$N$504,资金流水!$G$5:$G$504,$A17,资金流水!$E$5:$E$504,"客户回款",资金流水!$B$5:$B$504,"&lt;"&amp;首页!$B$6))</f>
        <v/>
      </c>
      <c r="D17" s="54" t="str">
        <f aca="false">IF($A17="","",SUMIFS(销售录入!$Q$5:$Q$404,销售录入!$D$5:$D$404,$A17,销售录入!$C$5:$C$404,首页!$B$5))</f>
        <v/>
      </c>
      <c r="E17" s="54" t="str">
        <f aca="false">IF($A17="","",SUMIFS(资金流水!$N$5:$N$504,资金流水!$G$5:$G$504,$A17,资金流水!$E$5:$E$504,"客户回款",资金流水!$C$5:$C$504,首页!$B$5))</f>
        <v/>
      </c>
      <c r="F17" s="62" t="str">
        <f aca="false">IF($A17="","",$C17+$D17-$E17)</f>
        <v/>
      </c>
      <c r="G17" s="44" t="str">
        <f aca="false">IF($A17="","",$F17-$H17-$I17-$J17-$K17)</f>
        <v/>
      </c>
      <c r="H17" s="44" t="str">
        <f aca="false">IF($A17="","",MIN($F17,MAX(0,SUMIFS(期初数据!$G$6:$G$155,期初数据!$E$6:$E$155,$A17,期初数据!$F$6:$F$155,"&lt;="&amp;首页!$B$7)+SUMIFS(销售录入!$Q$5:$Q$404,销售录入!$D$5:$D$404,$A17,销售录入!$U$5:$U$404,"&lt;="&amp;首页!$B$7)-SUMIFS(资金流水!$N$5:$N$504,资金流水!$G$5:$G$504,$A17,资金流水!$E$5:$E$504,"客户回款",资金流水!$B$5:$B$504,"&lt;="&amp;首页!$B$7)))-$K17-$J17-$I17)</f>
        <v/>
      </c>
      <c r="I17" s="44" t="str">
        <f aca="false">IF($A17="","",MIN($F17,MAX(0,SUMIFS(期初数据!$G$6:$G$155,期初数据!$E$6:$E$155,$A17,期初数据!$F$6:$F$155,"&lt;="&amp;首页!$B$7-30)+SUMIFS(销售录入!$Q$5:$Q$404,销售录入!$D$5:$D$404,$A17,销售录入!$U$5:$U$404,"&lt;="&amp;首页!$B$7-30)-SUMIFS(资金流水!$N$5:$N$504,资金流水!$G$5:$G$504,$A17,资金流水!$E$5:$E$504,"客户回款",资金流水!$B$5:$B$504,"&lt;="&amp;首页!$B$7)))-$K17-$J17)</f>
        <v/>
      </c>
      <c r="J17" s="44" t="str">
        <f aca="false">IF($A17="","",MIN($F17,MAX(0,SUMIFS(期初数据!$G$6:$G$155,期初数据!$E$6:$E$155,$A17,期初数据!$F$6:$F$155,"&lt;="&amp;首页!$B$7-60)+SUMIFS(销售录入!$Q$5:$Q$404,销售录入!$D$5:$D$404,$A17,销售录入!$U$5:$U$404,"&lt;="&amp;首页!$B$7-60)-SUMIFS(资金流水!$N$5:$N$504,资金流水!$G$5:$G$504,$A17,资金流水!$E$5:$E$504,"客户回款",资金流水!$B$5:$B$504,"&lt;="&amp;首页!$B$7)))-$K17)</f>
        <v/>
      </c>
      <c r="K17" s="44" t="str">
        <f aca="false">IF($A17="","",MIN($F17,MAX(0,SUMIFS(期初数据!$G$6:$G$155,期初数据!$E$6:$E$155,$A17,期初数据!$F$6:$F$155,"&lt;="&amp;首页!$B$7-90)+SUMIFS(销售录入!$Q$5:$Q$404,销售录入!$D$5:$D$404,$A17,销售录入!$U$5:$U$404,"&lt;="&amp;首页!$B$7-90)-SUMIFS(资金流水!$N$5:$N$504,资金流水!$G$5:$G$504,$A17,资金流水!$E$5:$E$504,"客户回款",资金流水!$B$5:$B$504,"&lt;="&amp;首页!$B$7))))</f>
        <v/>
      </c>
      <c r="L17" s="62" t="str">
        <f aca="false">IF($A17="","",$H17+$I17+$J17+$K17)</f>
        <v/>
      </c>
      <c r="M17" s="47" t="str">
        <f aca="false">IF($A17="","",IF($K17&gt;0,"高危",IF($J17&gt;0,"关注",IF($L17&gt;0,"提醒","正常"))))</f>
        <v/>
      </c>
      <c r="N17" s="42" t="str">
        <f aca="false">IF($A17="","",基础资料!$AA17)</f>
        <v/>
      </c>
    </row>
    <row r="18" customFormat="false" ht="15.75" hidden="false" customHeight="true" outlineLevel="0" collapsed="false">
      <c r="A18" s="35" t="str">
        <f aca="false">IF(基础资料!$Z18="","",基础资料!$Z18)</f>
        <v/>
      </c>
      <c r="B18" s="42" t="str">
        <f aca="false">IF($A18="","",N(基础资料!$AB18))</f>
        <v/>
      </c>
      <c r="C18" s="54" t="str">
        <f aca="false">IF($A18="","",SUMIFS(期初数据!$G$6:$G$155,期初数据!$E$6:$E$155,$A18,期初数据!$F$6:$F$155,"&lt;"&amp;首页!$B$6)+SUMIFS(销售录入!$Q$5:$Q$404,销售录入!$D$5:$D$404,$A18,销售录入!$B$5:$B$404,"&lt;"&amp;首页!$B$6)-SUMIFS(资金流水!$N$5:$N$504,资金流水!$G$5:$G$504,$A18,资金流水!$E$5:$E$504,"客户回款",资金流水!$B$5:$B$504,"&lt;"&amp;首页!$B$6))</f>
        <v/>
      </c>
      <c r="D18" s="54" t="str">
        <f aca="false">IF($A18="","",SUMIFS(销售录入!$Q$5:$Q$404,销售录入!$D$5:$D$404,$A18,销售录入!$C$5:$C$404,首页!$B$5))</f>
        <v/>
      </c>
      <c r="E18" s="54" t="str">
        <f aca="false">IF($A18="","",SUMIFS(资金流水!$N$5:$N$504,资金流水!$G$5:$G$504,$A18,资金流水!$E$5:$E$504,"客户回款",资金流水!$C$5:$C$504,首页!$B$5))</f>
        <v/>
      </c>
      <c r="F18" s="62" t="str">
        <f aca="false">IF($A18="","",$C18+$D18-$E18)</f>
        <v/>
      </c>
      <c r="G18" s="44" t="str">
        <f aca="false">IF($A18="","",$F18-$H18-$I18-$J18-$K18)</f>
        <v/>
      </c>
      <c r="H18" s="44" t="str">
        <f aca="false">IF($A18="","",MIN($F18,MAX(0,SUMIFS(期初数据!$G$6:$G$155,期初数据!$E$6:$E$155,$A18,期初数据!$F$6:$F$155,"&lt;="&amp;首页!$B$7)+SUMIFS(销售录入!$Q$5:$Q$404,销售录入!$D$5:$D$404,$A18,销售录入!$U$5:$U$404,"&lt;="&amp;首页!$B$7)-SUMIFS(资金流水!$N$5:$N$504,资金流水!$G$5:$G$504,$A18,资金流水!$E$5:$E$504,"客户回款",资金流水!$B$5:$B$504,"&lt;="&amp;首页!$B$7)))-$K18-$J18-$I18)</f>
        <v/>
      </c>
      <c r="I18" s="44" t="str">
        <f aca="false">IF($A18="","",MIN($F18,MAX(0,SUMIFS(期初数据!$G$6:$G$155,期初数据!$E$6:$E$155,$A18,期初数据!$F$6:$F$155,"&lt;="&amp;首页!$B$7-30)+SUMIFS(销售录入!$Q$5:$Q$404,销售录入!$D$5:$D$404,$A18,销售录入!$U$5:$U$404,"&lt;="&amp;首页!$B$7-30)-SUMIFS(资金流水!$N$5:$N$504,资金流水!$G$5:$G$504,$A18,资金流水!$E$5:$E$504,"客户回款",资金流水!$B$5:$B$504,"&lt;="&amp;首页!$B$7)))-$K18-$J18)</f>
        <v/>
      </c>
      <c r="J18" s="44" t="str">
        <f aca="false">IF($A18="","",MIN($F18,MAX(0,SUMIFS(期初数据!$G$6:$G$155,期初数据!$E$6:$E$155,$A18,期初数据!$F$6:$F$155,"&lt;="&amp;首页!$B$7-60)+SUMIFS(销售录入!$Q$5:$Q$404,销售录入!$D$5:$D$404,$A18,销售录入!$U$5:$U$404,"&lt;="&amp;首页!$B$7-60)-SUMIFS(资金流水!$N$5:$N$504,资金流水!$G$5:$G$504,$A18,资金流水!$E$5:$E$504,"客户回款",资金流水!$B$5:$B$504,"&lt;="&amp;首页!$B$7)))-$K18)</f>
        <v/>
      </c>
      <c r="K18" s="44" t="str">
        <f aca="false">IF($A18="","",MIN($F18,MAX(0,SUMIFS(期初数据!$G$6:$G$155,期初数据!$E$6:$E$155,$A18,期初数据!$F$6:$F$155,"&lt;="&amp;首页!$B$7-90)+SUMIFS(销售录入!$Q$5:$Q$404,销售录入!$D$5:$D$404,$A18,销售录入!$U$5:$U$404,"&lt;="&amp;首页!$B$7-90)-SUMIFS(资金流水!$N$5:$N$504,资金流水!$G$5:$G$504,$A18,资金流水!$E$5:$E$504,"客户回款",资金流水!$B$5:$B$504,"&lt;="&amp;首页!$B$7))))</f>
        <v/>
      </c>
      <c r="L18" s="62" t="str">
        <f aca="false">IF($A18="","",$H18+$I18+$J18+$K18)</f>
        <v/>
      </c>
      <c r="M18" s="47" t="str">
        <f aca="false">IF($A18="","",IF($K18&gt;0,"高危",IF($J18&gt;0,"关注",IF($L18&gt;0,"提醒","正常"))))</f>
        <v/>
      </c>
      <c r="N18" s="42" t="str">
        <f aca="false">IF($A18="","",基础资料!$AA18)</f>
        <v/>
      </c>
    </row>
    <row r="19" customFormat="false" ht="15.75" hidden="false" customHeight="true" outlineLevel="0" collapsed="false">
      <c r="A19" s="35" t="str">
        <f aca="false">IF(基础资料!$Z19="","",基础资料!$Z19)</f>
        <v/>
      </c>
      <c r="B19" s="42" t="str">
        <f aca="false">IF($A19="","",N(基础资料!$AB19))</f>
        <v/>
      </c>
      <c r="C19" s="54" t="str">
        <f aca="false">IF($A19="","",SUMIFS(期初数据!$G$6:$G$155,期初数据!$E$6:$E$155,$A19,期初数据!$F$6:$F$155,"&lt;"&amp;首页!$B$6)+SUMIFS(销售录入!$Q$5:$Q$404,销售录入!$D$5:$D$404,$A19,销售录入!$B$5:$B$404,"&lt;"&amp;首页!$B$6)-SUMIFS(资金流水!$N$5:$N$504,资金流水!$G$5:$G$504,$A19,资金流水!$E$5:$E$504,"客户回款",资金流水!$B$5:$B$504,"&lt;"&amp;首页!$B$6))</f>
        <v/>
      </c>
      <c r="D19" s="54" t="str">
        <f aca="false">IF($A19="","",SUMIFS(销售录入!$Q$5:$Q$404,销售录入!$D$5:$D$404,$A19,销售录入!$C$5:$C$404,首页!$B$5))</f>
        <v/>
      </c>
      <c r="E19" s="54" t="str">
        <f aca="false">IF($A19="","",SUMIFS(资金流水!$N$5:$N$504,资金流水!$G$5:$G$504,$A19,资金流水!$E$5:$E$504,"客户回款",资金流水!$C$5:$C$504,首页!$B$5))</f>
        <v/>
      </c>
      <c r="F19" s="62" t="str">
        <f aca="false">IF($A19="","",$C19+$D19-$E19)</f>
        <v/>
      </c>
      <c r="G19" s="44" t="str">
        <f aca="false">IF($A19="","",$F19-$H19-$I19-$J19-$K19)</f>
        <v/>
      </c>
      <c r="H19" s="44" t="str">
        <f aca="false">IF($A19="","",MIN($F19,MAX(0,SUMIFS(期初数据!$G$6:$G$155,期初数据!$E$6:$E$155,$A19,期初数据!$F$6:$F$155,"&lt;="&amp;首页!$B$7)+SUMIFS(销售录入!$Q$5:$Q$404,销售录入!$D$5:$D$404,$A19,销售录入!$U$5:$U$404,"&lt;="&amp;首页!$B$7)-SUMIFS(资金流水!$N$5:$N$504,资金流水!$G$5:$G$504,$A19,资金流水!$E$5:$E$504,"客户回款",资金流水!$B$5:$B$504,"&lt;="&amp;首页!$B$7)))-$K19-$J19-$I19)</f>
        <v/>
      </c>
      <c r="I19" s="44" t="str">
        <f aca="false">IF($A19="","",MIN($F19,MAX(0,SUMIFS(期初数据!$G$6:$G$155,期初数据!$E$6:$E$155,$A19,期初数据!$F$6:$F$155,"&lt;="&amp;首页!$B$7-30)+SUMIFS(销售录入!$Q$5:$Q$404,销售录入!$D$5:$D$404,$A19,销售录入!$U$5:$U$404,"&lt;="&amp;首页!$B$7-30)-SUMIFS(资金流水!$N$5:$N$504,资金流水!$G$5:$G$504,$A19,资金流水!$E$5:$E$504,"客户回款",资金流水!$B$5:$B$504,"&lt;="&amp;首页!$B$7)))-$K19-$J19)</f>
        <v/>
      </c>
      <c r="J19" s="44" t="str">
        <f aca="false">IF($A19="","",MIN($F19,MAX(0,SUMIFS(期初数据!$G$6:$G$155,期初数据!$E$6:$E$155,$A19,期初数据!$F$6:$F$155,"&lt;="&amp;首页!$B$7-60)+SUMIFS(销售录入!$Q$5:$Q$404,销售录入!$D$5:$D$404,$A19,销售录入!$U$5:$U$404,"&lt;="&amp;首页!$B$7-60)-SUMIFS(资金流水!$N$5:$N$504,资金流水!$G$5:$G$504,$A19,资金流水!$E$5:$E$504,"客户回款",资金流水!$B$5:$B$504,"&lt;="&amp;首页!$B$7)))-$K19)</f>
        <v/>
      </c>
      <c r="K19" s="44" t="str">
        <f aca="false">IF($A19="","",MIN($F19,MAX(0,SUMIFS(期初数据!$G$6:$G$155,期初数据!$E$6:$E$155,$A19,期初数据!$F$6:$F$155,"&lt;="&amp;首页!$B$7-90)+SUMIFS(销售录入!$Q$5:$Q$404,销售录入!$D$5:$D$404,$A19,销售录入!$U$5:$U$404,"&lt;="&amp;首页!$B$7-90)-SUMIFS(资金流水!$N$5:$N$504,资金流水!$G$5:$G$504,$A19,资金流水!$E$5:$E$504,"客户回款",资金流水!$B$5:$B$504,"&lt;="&amp;首页!$B$7))))</f>
        <v/>
      </c>
      <c r="L19" s="62" t="str">
        <f aca="false">IF($A19="","",$H19+$I19+$J19+$K19)</f>
        <v/>
      </c>
      <c r="M19" s="47" t="str">
        <f aca="false">IF($A19="","",IF($K19&gt;0,"高危",IF($J19&gt;0,"关注",IF($L19&gt;0,"提醒","正常"))))</f>
        <v/>
      </c>
      <c r="N19" s="42" t="str">
        <f aca="false">IF($A19="","",基础资料!$AA19)</f>
        <v/>
      </c>
    </row>
    <row r="20" customFormat="false" ht="15.75" hidden="false" customHeight="true" outlineLevel="0" collapsed="false">
      <c r="A20" s="35" t="str">
        <f aca="false">IF(基础资料!$Z20="","",基础资料!$Z20)</f>
        <v/>
      </c>
      <c r="B20" s="42" t="str">
        <f aca="false">IF($A20="","",N(基础资料!$AB20))</f>
        <v/>
      </c>
      <c r="C20" s="54" t="str">
        <f aca="false">IF($A20="","",SUMIFS(期初数据!$G$6:$G$155,期初数据!$E$6:$E$155,$A20,期初数据!$F$6:$F$155,"&lt;"&amp;首页!$B$6)+SUMIFS(销售录入!$Q$5:$Q$404,销售录入!$D$5:$D$404,$A20,销售录入!$B$5:$B$404,"&lt;"&amp;首页!$B$6)-SUMIFS(资金流水!$N$5:$N$504,资金流水!$G$5:$G$504,$A20,资金流水!$E$5:$E$504,"客户回款",资金流水!$B$5:$B$504,"&lt;"&amp;首页!$B$6))</f>
        <v/>
      </c>
      <c r="D20" s="54" t="str">
        <f aca="false">IF($A20="","",SUMIFS(销售录入!$Q$5:$Q$404,销售录入!$D$5:$D$404,$A20,销售录入!$C$5:$C$404,首页!$B$5))</f>
        <v/>
      </c>
      <c r="E20" s="54" t="str">
        <f aca="false">IF($A20="","",SUMIFS(资金流水!$N$5:$N$504,资金流水!$G$5:$G$504,$A20,资金流水!$E$5:$E$504,"客户回款",资金流水!$C$5:$C$504,首页!$B$5))</f>
        <v/>
      </c>
      <c r="F20" s="62" t="str">
        <f aca="false">IF($A20="","",$C20+$D20-$E20)</f>
        <v/>
      </c>
      <c r="G20" s="44" t="str">
        <f aca="false">IF($A20="","",$F20-$H20-$I20-$J20-$K20)</f>
        <v/>
      </c>
      <c r="H20" s="44" t="str">
        <f aca="false">IF($A20="","",MIN($F20,MAX(0,SUMIFS(期初数据!$G$6:$G$155,期初数据!$E$6:$E$155,$A20,期初数据!$F$6:$F$155,"&lt;="&amp;首页!$B$7)+SUMIFS(销售录入!$Q$5:$Q$404,销售录入!$D$5:$D$404,$A20,销售录入!$U$5:$U$404,"&lt;="&amp;首页!$B$7)-SUMIFS(资金流水!$N$5:$N$504,资金流水!$G$5:$G$504,$A20,资金流水!$E$5:$E$504,"客户回款",资金流水!$B$5:$B$504,"&lt;="&amp;首页!$B$7)))-$K20-$J20-$I20)</f>
        <v/>
      </c>
      <c r="I20" s="44" t="str">
        <f aca="false">IF($A20="","",MIN($F20,MAX(0,SUMIFS(期初数据!$G$6:$G$155,期初数据!$E$6:$E$155,$A20,期初数据!$F$6:$F$155,"&lt;="&amp;首页!$B$7-30)+SUMIFS(销售录入!$Q$5:$Q$404,销售录入!$D$5:$D$404,$A20,销售录入!$U$5:$U$404,"&lt;="&amp;首页!$B$7-30)-SUMIFS(资金流水!$N$5:$N$504,资金流水!$G$5:$G$504,$A20,资金流水!$E$5:$E$504,"客户回款",资金流水!$B$5:$B$504,"&lt;="&amp;首页!$B$7)))-$K20-$J20)</f>
        <v/>
      </c>
      <c r="J20" s="44" t="str">
        <f aca="false">IF($A20="","",MIN($F20,MAX(0,SUMIFS(期初数据!$G$6:$G$155,期初数据!$E$6:$E$155,$A20,期初数据!$F$6:$F$155,"&lt;="&amp;首页!$B$7-60)+SUMIFS(销售录入!$Q$5:$Q$404,销售录入!$D$5:$D$404,$A20,销售录入!$U$5:$U$404,"&lt;="&amp;首页!$B$7-60)-SUMIFS(资金流水!$N$5:$N$504,资金流水!$G$5:$G$504,$A20,资金流水!$E$5:$E$504,"客户回款",资金流水!$B$5:$B$504,"&lt;="&amp;首页!$B$7)))-$K20)</f>
        <v/>
      </c>
      <c r="K20" s="44" t="str">
        <f aca="false">IF($A20="","",MIN($F20,MAX(0,SUMIFS(期初数据!$G$6:$G$155,期初数据!$E$6:$E$155,$A20,期初数据!$F$6:$F$155,"&lt;="&amp;首页!$B$7-90)+SUMIFS(销售录入!$Q$5:$Q$404,销售录入!$D$5:$D$404,$A20,销售录入!$U$5:$U$404,"&lt;="&amp;首页!$B$7-90)-SUMIFS(资金流水!$N$5:$N$504,资金流水!$G$5:$G$504,$A20,资金流水!$E$5:$E$504,"客户回款",资金流水!$B$5:$B$504,"&lt;="&amp;首页!$B$7))))</f>
        <v/>
      </c>
      <c r="L20" s="62" t="str">
        <f aca="false">IF($A20="","",$H20+$I20+$J20+$K20)</f>
        <v/>
      </c>
      <c r="M20" s="47" t="str">
        <f aca="false">IF($A20="","",IF($K20&gt;0,"高危",IF($J20&gt;0,"关注",IF($L20&gt;0,"提醒","正常"))))</f>
        <v/>
      </c>
      <c r="N20" s="42" t="str">
        <f aca="false">IF($A20="","",基础资料!$AA20)</f>
        <v/>
      </c>
    </row>
    <row r="21" customFormat="false" ht="15.75" hidden="false" customHeight="true" outlineLevel="0" collapsed="false">
      <c r="A21" s="35" t="str">
        <f aca="false">IF(基础资料!$Z21="","",基础资料!$Z21)</f>
        <v/>
      </c>
      <c r="B21" s="42" t="str">
        <f aca="false">IF($A21="","",N(基础资料!$AB21))</f>
        <v/>
      </c>
      <c r="C21" s="54" t="str">
        <f aca="false">IF($A21="","",SUMIFS(期初数据!$G$6:$G$155,期初数据!$E$6:$E$155,$A21,期初数据!$F$6:$F$155,"&lt;"&amp;首页!$B$6)+SUMIFS(销售录入!$Q$5:$Q$404,销售录入!$D$5:$D$404,$A21,销售录入!$B$5:$B$404,"&lt;"&amp;首页!$B$6)-SUMIFS(资金流水!$N$5:$N$504,资金流水!$G$5:$G$504,$A21,资金流水!$E$5:$E$504,"客户回款",资金流水!$B$5:$B$504,"&lt;"&amp;首页!$B$6))</f>
        <v/>
      </c>
      <c r="D21" s="54" t="str">
        <f aca="false">IF($A21="","",SUMIFS(销售录入!$Q$5:$Q$404,销售录入!$D$5:$D$404,$A21,销售录入!$C$5:$C$404,首页!$B$5))</f>
        <v/>
      </c>
      <c r="E21" s="54" t="str">
        <f aca="false">IF($A21="","",SUMIFS(资金流水!$N$5:$N$504,资金流水!$G$5:$G$504,$A21,资金流水!$E$5:$E$504,"客户回款",资金流水!$C$5:$C$504,首页!$B$5))</f>
        <v/>
      </c>
      <c r="F21" s="62" t="str">
        <f aca="false">IF($A21="","",$C21+$D21-$E21)</f>
        <v/>
      </c>
      <c r="G21" s="44" t="str">
        <f aca="false">IF($A21="","",$F21-$H21-$I21-$J21-$K21)</f>
        <v/>
      </c>
      <c r="H21" s="44" t="str">
        <f aca="false">IF($A21="","",MIN($F21,MAX(0,SUMIFS(期初数据!$G$6:$G$155,期初数据!$E$6:$E$155,$A21,期初数据!$F$6:$F$155,"&lt;="&amp;首页!$B$7)+SUMIFS(销售录入!$Q$5:$Q$404,销售录入!$D$5:$D$404,$A21,销售录入!$U$5:$U$404,"&lt;="&amp;首页!$B$7)-SUMIFS(资金流水!$N$5:$N$504,资金流水!$G$5:$G$504,$A21,资金流水!$E$5:$E$504,"客户回款",资金流水!$B$5:$B$504,"&lt;="&amp;首页!$B$7)))-$K21-$J21-$I21)</f>
        <v/>
      </c>
      <c r="I21" s="44" t="str">
        <f aca="false">IF($A21="","",MIN($F21,MAX(0,SUMIFS(期初数据!$G$6:$G$155,期初数据!$E$6:$E$155,$A21,期初数据!$F$6:$F$155,"&lt;="&amp;首页!$B$7-30)+SUMIFS(销售录入!$Q$5:$Q$404,销售录入!$D$5:$D$404,$A21,销售录入!$U$5:$U$404,"&lt;="&amp;首页!$B$7-30)-SUMIFS(资金流水!$N$5:$N$504,资金流水!$G$5:$G$504,$A21,资金流水!$E$5:$E$504,"客户回款",资金流水!$B$5:$B$504,"&lt;="&amp;首页!$B$7)))-$K21-$J21)</f>
        <v/>
      </c>
      <c r="J21" s="44" t="str">
        <f aca="false">IF($A21="","",MIN($F21,MAX(0,SUMIFS(期初数据!$G$6:$G$155,期初数据!$E$6:$E$155,$A21,期初数据!$F$6:$F$155,"&lt;="&amp;首页!$B$7-60)+SUMIFS(销售录入!$Q$5:$Q$404,销售录入!$D$5:$D$404,$A21,销售录入!$U$5:$U$404,"&lt;="&amp;首页!$B$7-60)-SUMIFS(资金流水!$N$5:$N$504,资金流水!$G$5:$G$504,$A21,资金流水!$E$5:$E$504,"客户回款",资金流水!$B$5:$B$504,"&lt;="&amp;首页!$B$7)))-$K21)</f>
        <v/>
      </c>
      <c r="K21" s="44" t="str">
        <f aca="false">IF($A21="","",MIN($F21,MAX(0,SUMIFS(期初数据!$G$6:$G$155,期初数据!$E$6:$E$155,$A21,期初数据!$F$6:$F$155,"&lt;="&amp;首页!$B$7-90)+SUMIFS(销售录入!$Q$5:$Q$404,销售录入!$D$5:$D$404,$A21,销售录入!$U$5:$U$404,"&lt;="&amp;首页!$B$7-90)-SUMIFS(资金流水!$N$5:$N$504,资金流水!$G$5:$G$504,$A21,资金流水!$E$5:$E$504,"客户回款",资金流水!$B$5:$B$504,"&lt;="&amp;首页!$B$7))))</f>
        <v/>
      </c>
      <c r="L21" s="62" t="str">
        <f aca="false">IF($A21="","",$H21+$I21+$J21+$K21)</f>
        <v/>
      </c>
      <c r="M21" s="47" t="str">
        <f aca="false">IF($A21="","",IF($K21&gt;0,"高危",IF($J21&gt;0,"关注",IF($L21&gt;0,"提醒","正常"))))</f>
        <v/>
      </c>
      <c r="N21" s="42" t="str">
        <f aca="false">IF($A21="","",基础资料!$AA21)</f>
        <v/>
      </c>
    </row>
    <row r="22" customFormat="false" ht="15.75" hidden="false" customHeight="true" outlineLevel="0" collapsed="false">
      <c r="A22" s="35" t="str">
        <f aca="false">IF(基础资料!$Z22="","",基础资料!$Z22)</f>
        <v/>
      </c>
      <c r="B22" s="42" t="str">
        <f aca="false">IF($A22="","",N(基础资料!$AB22))</f>
        <v/>
      </c>
      <c r="C22" s="54" t="str">
        <f aca="false">IF($A22="","",SUMIFS(期初数据!$G$6:$G$155,期初数据!$E$6:$E$155,$A22,期初数据!$F$6:$F$155,"&lt;"&amp;首页!$B$6)+SUMIFS(销售录入!$Q$5:$Q$404,销售录入!$D$5:$D$404,$A22,销售录入!$B$5:$B$404,"&lt;"&amp;首页!$B$6)-SUMIFS(资金流水!$N$5:$N$504,资金流水!$G$5:$G$504,$A22,资金流水!$E$5:$E$504,"客户回款",资金流水!$B$5:$B$504,"&lt;"&amp;首页!$B$6))</f>
        <v/>
      </c>
      <c r="D22" s="54" t="str">
        <f aca="false">IF($A22="","",SUMIFS(销售录入!$Q$5:$Q$404,销售录入!$D$5:$D$404,$A22,销售录入!$C$5:$C$404,首页!$B$5))</f>
        <v/>
      </c>
      <c r="E22" s="54" t="str">
        <f aca="false">IF($A22="","",SUMIFS(资金流水!$N$5:$N$504,资金流水!$G$5:$G$504,$A22,资金流水!$E$5:$E$504,"客户回款",资金流水!$C$5:$C$504,首页!$B$5))</f>
        <v/>
      </c>
      <c r="F22" s="62" t="str">
        <f aca="false">IF($A22="","",$C22+$D22-$E22)</f>
        <v/>
      </c>
      <c r="G22" s="44" t="str">
        <f aca="false">IF($A22="","",$F22-$H22-$I22-$J22-$K22)</f>
        <v/>
      </c>
      <c r="H22" s="44" t="str">
        <f aca="false">IF($A22="","",MIN($F22,MAX(0,SUMIFS(期初数据!$G$6:$G$155,期初数据!$E$6:$E$155,$A22,期初数据!$F$6:$F$155,"&lt;="&amp;首页!$B$7)+SUMIFS(销售录入!$Q$5:$Q$404,销售录入!$D$5:$D$404,$A22,销售录入!$U$5:$U$404,"&lt;="&amp;首页!$B$7)-SUMIFS(资金流水!$N$5:$N$504,资金流水!$G$5:$G$504,$A22,资金流水!$E$5:$E$504,"客户回款",资金流水!$B$5:$B$504,"&lt;="&amp;首页!$B$7)))-$K22-$J22-$I22)</f>
        <v/>
      </c>
      <c r="I22" s="44" t="str">
        <f aca="false">IF($A22="","",MIN($F22,MAX(0,SUMIFS(期初数据!$G$6:$G$155,期初数据!$E$6:$E$155,$A22,期初数据!$F$6:$F$155,"&lt;="&amp;首页!$B$7-30)+SUMIFS(销售录入!$Q$5:$Q$404,销售录入!$D$5:$D$404,$A22,销售录入!$U$5:$U$404,"&lt;="&amp;首页!$B$7-30)-SUMIFS(资金流水!$N$5:$N$504,资金流水!$G$5:$G$504,$A22,资金流水!$E$5:$E$504,"客户回款",资金流水!$B$5:$B$504,"&lt;="&amp;首页!$B$7)))-$K22-$J22)</f>
        <v/>
      </c>
      <c r="J22" s="44" t="str">
        <f aca="false">IF($A22="","",MIN($F22,MAX(0,SUMIFS(期初数据!$G$6:$G$155,期初数据!$E$6:$E$155,$A22,期初数据!$F$6:$F$155,"&lt;="&amp;首页!$B$7-60)+SUMIFS(销售录入!$Q$5:$Q$404,销售录入!$D$5:$D$404,$A22,销售录入!$U$5:$U$404,"&lt;="&amp;首页!$B$7-60)-SUMIFS(资金流水!$N$5:$N$504,资金流水!$G$5:$G$504,$A22,资金流水!$E$5:$E$504,"客户回款",资金流水!$B$5:$B$504,"&lt;="&amp;首页!$B$7)))-$K22)</f>
        <v/>
      </c>
      <c r="K22" s="44" t="str">
        <f aca="false">IF($A22="","",MIN($F22,MAX(0,SUMIFS(期初数据!$G$6:$G$155,期初数据!$E$6:$E$155,$A22,期初数据!$F$6:$F$155,"&lt;="&amp;首页!$B$7-90)+SUMIFS(销售录入!$Q$5:$Q$404,销售录入!$D$5:$D$404,$A22,销售录入!$U$5:$U$404,"&lt;="&amp;首页!$B$7-90)-SUMIFS(资金流水!$N$5:$N$504,资金流水!$G$5:$G$504,$A22,资金流水!$E$5:$E$504,"客户回款",资金流水!$B$5:$B$504,"&lt;="&amp;首页!$B$7))))</f>
        <v/>
      </c>
      <c r="L22" s="62" t="str">
        <f aca="false">IF($A22="","",$H22+$I22+$J22+$K22)</f>
        <v/>
      </c>
      <c r="M22" s="47" t="str">
        <f aca="false">IF($A22="","",IF($K22&gt;0,"高危",IF($J22&gt;0,"关注",IF($L22&gt;0,"提醒","正常"))))</f>
        <v/>
      </c>
      <c r="N22" s="42" t="str">
        <f aca="false">IF($A22="","",基础资料!$AA22)</f>
        <v/>
      </c>
    </row>
    <row r="23" customFormat="false" ht="15.75" hidden="false" customHeight="true" outlineLevel="0" collapsed="false">
      <c r="A23" s="35" t="str">
        <f aca="false">IF(基础资料!$Z23="","",基础资料!$Z23)</f>
        <v/>
      </c>
      <c r="B23" s="42" t="str">
        <f aca="false">IF($A23="","",N(基础资料!$AB23))</f>
        <v/>
      </c>
      <c r="C23" s="54" t="str">
        <f aca="false">IF($A23="","",SUMIFS(期初数据!$G$6:$G$155,期初数据!$E$6:$E$155,$A23,期初数据!$F$6:$F$155,"&lt;"&amp;首页!$B$6)+SUMIFS(销售录入!$Q$5:$Q$404,销售录入!$D$5:$D$404,$A23,销售录入!$B$5:$B$404,"&lt;"&amp;首页!$B$6)-SUMIFS(资金流水!$N$5:$N$504,资金流水!$G$5:$G$504,$A23,资金流水!$E$5:$E$504,"客户回款",资金流水!$B$5:$B$504,"&lt;"&amp;首页!$B$6))</f>
        <v/>
      </c>
      <c r="D23" s="54" t="str">
        <f aca="false">IF($A23="","",SUMIFS(销售录入!$Q$5:$Q$404,销售录入!$D$5:$D$404,$A23,销售录入!$C$5:$C$404,首页!$B$5))</f>
        <v/>
      </c>
      <c r="E23" s="54" t="str">
        <f aca="false">IF($A23="","",SUMIFS(资金流水!$N$5:$N$504,资金流水!$G$5:$G$504,$A23,资金流水!$E$5:$E$504,"客户回款",资金流水!$C$5:$C$504,首页!$B$5))</f>
        <v/>
      </c>
      <c r="F23" s="62" t="str">
        <f aca="false">IF($A23="","",$C23+$D23-$E23)</f>
        <v/>
      </c>
      <c r="G23" s="44" t="str">
        <f aca="false">IF($A23="","",$F23-$H23-$I23-$J23-$K23)</f>
        <v/>
      </c>
      <c r="H23" s="44" t="str">
        <f aca="false">IF($A23="","",MIN($F23,MAX(0,SUMIFS(期初数据!$G$6:$G$155,期初数据!$E$6:$E$155,$A23,期初数据!$F$6:$F$155,"&lt;="&amp;首页!$B$7)+SUMIFS(销售录入!$Q$5:$Q$404,销售录入!$D$5:$D$404,$A23,销售录入!$U$5:$U$404,"&lt;="&amp;首页!$B$7)-SUMIFS(资金流水!$N$5:$N$504,资金流水!$G$5:$G$504,$A23,资金流水!$E$5:$E$504,"客户回款",资金流水!$B$5:$B$504,"&lt;="&amp;首页!$B$7)))-$K23-$J23-$I23)</f>
        <v/>
      </c>
      <c r="I23" s="44" t="str">
        <f aca="false">IF($A23="","",MIN($F23,MAX(0,SUMIFS(期初数据!$G$6:$G$155,期初数据!$E$6:$E$155,$A23,期初数据!$F$6:$F$155,"&lt;="&amp;首页!$B$7-30)+SUMIFS(销售录入!$Q$5:$Q$404,销售录入!$D$5:$D$404,$A23,销售录入!$U$5:$U$404,"&lt;="&amp;首页!$B$7-30)-SUMIFS(资金流水!$N$5:$N$504,资金流水!$G$5:$G$504,$A23,资金流水!$E$5:$E$504,"客户回款",资金流水!$B$5:$B$504,"&lt;="&amp;首页!$B$7)))-$K23-$J23)</f>
        <v/>
      </c>
      <c r="J23" s="44" t="str">
        <f aca="false">IF($A23="","",MIN($F23,MAX(0,SUMIFS(期初数据!$G$6:$G$155,期初数据!$E$6:$E$155,$A23,期初数据!$F$6:$F$155,"&lt;="&amp;首页!$B$7-60)+SUMIFS(销售录入!$Q$5:$Q$404,销售录入!$D$5:$D$404,$A23,销售录入!$U$5:$U$404,"&lt;="&amp;首页!$B$7-60)-SUMIFS(资金流水!$N$5:$N$504,资金流水!$G$5:$G$504,$A23,资金流水!$E$5:$E$504,"客户回款",资金流水!$B$5:$B$504,"&lt;="&amp;首页!$B$7)))-$K23)</f>
        <v/>
      </c>
      <c r="K23" s="44" t="str">
        <f aca="false">IF($A23="","",MIN($F23,MAX(0,SUMIFS(期初数据!$G$6:$G$155,期初数据!$E$6:$E$155,$A23,期初数据!$F$6:$F$155,"&lt;="&amp;首页!$B$7-90)+SUMIFS(销售录入!$Q$5:$Q$404,销售录入!$D$5:$D$404,$A23,销售录入!$U$5:$U$404,"&lt;="&amp;首页!$B$7-90)-SUMIFS(资金流水!$N$5:$N$504,资金流水!$G$5:$G$504,$A23,资金流水!$E$5:$E$504,"客户回款",资金流水!$B$5:$B$504,"&lt;="&amp;首页!$B$7))))</f>
        <v/>
      </c>
      <c r="L23" s="62" t="str">
        <f aca="false">IF($A23="","",$H23+$I23+$J23+$K23)</f>
        <v/>
      </c>
      <c r="M23" s="47" t="str">
        <f aca="false">IF($A23="","",IF($K23&gt;0,"高危",IF($J23&gt;0,"关注",IF($L23&gt;0,"提醒","正常"))))</f>
        <v/>
      </c>
      <c r="N23" s="42" t="str">
        <f aca="false">IF($A23="","",基础资料!$AA23)</f>
        <v/>
      </c>
    </row>
    <row r="24" customFormat="false" ht="15.75" hidden="false" customHeight="true" outlineLevel="0" collapsed="false">
      <c r="A24" s="35" t="str">
        <f aca="false">IF(基础资料!$Z24="","",基础资料!$Z24)</f>
        <v/>
      </c>
      <c r="B24" s="42" t="str">
        <f aca="false">IF($A24="","",N(基础资料!$AB24))</f>
        <v/>
      </c>
      <c r="C24" s="54" t="str">
        <f aca="false">IF($A24="","",SUMIFS(期初数据!$G$6:$G$155,期初数据!$E$6:$E$155,$A24,期初数据!$F$6:$F$155,"&lt;"&amp;首页!$B$6)+SUMIFS(销售录入!$Q$5:$Q$404,销售录入!$D$5:$D$404,$A24,销售录入!$B$5:$B$404,"&lt;"&amp;首页!$B$6)-SUMIFS(资金流水!$N$5:$N$504,资金流水!$G$5:$G$504,$A24,资金流水!$E$5:$E$504,"客户回款",资金流水!$B$5:$B$504,"&lt;"&amp;首页!$B$6))</f>
        <v/>
      </c>
      <c r="D24" s="54" t="str">
        <f aca="false">IF($A24="","",SUMIFS(销售录入!$Q$5:$Q$404,销售录入!$D$5:$D$404,$A24,销售录入!$C$5:$C$404,首页!$B$5))</f>
        <v/>
      </c>
      <c r="E24" s="54" t="str">
        <f aca="false">IF($A24="","",SUMIFS(资金流水!$N$5:$N$504,资金流水!$G$5:$G$504,$A24,资金流水!$E$5:$E$504,"客户回款",资金流水!$C$5:$C$504,首页!$B$5))</f>
        <v/>
      </c>
      <c r="F24" s="62" t="str">
        <f aca="false">IF($A24="","",$C24+$D24-$E24)</f>
        <v/>
      </c>
      <c r="G24" s="44" t="str">
        <f aca="false">IF($A24="","",$F24-$H24-$I24-$J24-$K24)</f>
        <v/>
      </c>
      <c r="H24" s="44" t="str">
        <f aca="false">IF($A24="","",MIN($F24,MAX(0,SUMIFS(期初数据!$G$6:$G$155,期初数据!$E$6:$E$155,$A24,期初数据!$F$6:$F$155,"&lt;="&amp;首页!$B$7)+SUMIFS(销售录入!$Q$5:$Q$404,销售录入!$D$5:$D$404,$A24,销售录入!$U$5:$U$404,"&lt;="&amp;首页!$B$7)-SUMIFS(资金流水!$N$5:$N$504,资金流水!$G$5:$G$504,$A24,资金流水!$E$5:$E$504,"客户回款",资金流水!$B$5:$B$504,"&lt;="&amp;首页!$B$7)))-$K24-$J24-$I24)</f>
        <v/>
      </c>
      <c r="I24" s="44" t="str">
        <f aca="false">IF($A24="","",MIN($F24,MAX(0,SUMIFS(期初数据!$G$6:$G$155,期初数据!$E$6:$E$155,$A24,期初数据!$F$6:$F$155,"&lt;="&amp;首页!$B$7-30)+SUMIFS(销售录入!$Q$5:$Q$404,销售录入!$D$5:$D$404,$A24,销售录入!$U$5:$U$404,"&lt;="&amp;首页!$B$7-30)-SUMIFS(资金流水!$N$5:$N$504,资金流水!$G$5:$G$504,$A24,资金流水!$E$5:$E$504,"客户回款",资金流水!$B$5:$B$504,"&lt;="&amp;首页!$B$7)))-$K24-$J24)</f>
        <v/>
      </c>
      <c r="J24" s="44" t="str">
        <f aca="false">IF($A24="","",MIN($F24,MAX(0,SUMIFS(期初数据!$G$6:$G$155,期初数据!$E$6:$E$155,$A24,期初数据!$F$6:$F$155,"&lt;="&amp;首页!$B$7-60)+SUMIFS(销售录入!$Q$5:$Q$404,销售录入!$D$5:$D$404,$A24,销售录入!$U$5:$U$404,"&lt;="&amp;首页!$B$7-60)-SUMIFS(资金流水!$N$5:$N$504,资金流水!$G$5:$G$504,$A24,资金流水!$E$5:$E$504,"客户回款",资金流水!$B$5:$B$504,"&lt;="&amp;首页!$B$7)))-$K24)</f>
        <v/>
      </c>
      <c r="K24" s="44" t="str">
        <f aca="false">IF($A24="","",MIN($F24,MAX(0,SUMIFS(期初数据!$G$6:$G$155,期初数据!$E$6:$E$155,$A24,期初数据!$F$6:$F$155,"&lt;="&amp;首页!$B$7-90)+SUMIFS(销售录入!$Q$5:$Q$404,销售录入!$D$5:$D$404,$A24,销售录入!$U$5:$U$404,"&lt;="&amp;首页!$B$7-90)-SUMIFS(资金流水!$N$5:$N$504,资金流水!$G$5:$G$504,$A24,资金流水!$E$5:$E$504,"客户回款",资金流水!$B$5:$B$504,"&lt;="&amp;首页!$B$7))))</f>
        <v/>
      </c>
      <c r="L24" s="62" t="str">
        <f aca="false">IF($A24="","",$H24+$I24+$J24+$K24)</f>
        <v/>
      </c>
      <c r="M24" s="47" t="str">
        <f aca="false">IF($A24="","",IF($K24&gt;0,"高危",IF($J24&gt;0,"关注",IF($L24&gt;0,"提醒","正常"))))</f>
        <v/>
      </c>
      <c r="N24" s="42" t="str">
        <f aca="false">IF($A24="","",基础资料!$AA24)</f>
        <v/>
      </c>
    </row>
    <row r="25" customFormat="false" ht="15.75" hidden="false" customHeight="true" outlineLevel="0" collapsed="false">
      <c r="A25" s="35" t="str">
        <f aca="false">IF(基础资料!$Z25="","",基础资料!$Z25)</f>
        <v/>
      </c>
      <c r="B25" s="42" t="str">
        <f aca="false">IF($A25="","",N(基础资料!$AB25))</f>
        <v/>
      </c>
      <c r="C25" s="54" t="str">
        <f aca="false">IF($A25="","",SUMIFS(期初数据!$G$6:$G$155,期初数据!$E$6:$E$155,$A25,期初数据!$F$6:$F$155,"&lt;"&amp;首页!$B$6)+SUMIFS(销售录入!$Q$5:$Q$404,销售录入!$D$5:$D$404,$A25,销售录入!$B$5:$B$404,"&lt;"&amp;首页!$B$6)-SUMIFS(资金流水!$N$5:$N$504,资金流水!$G$5:$G$504,$A25,资金流水!$E$5:$E$504,"客户回款",资金流水!$B$5:$B$504,"&lt;"&amp;首页!$B$6))</f>
        <v/>
      </c>
      <c r="D25" s="54" t="str">
        <f aca="false">IF($A25="","",SUMIFS(销售录入!$Q$5:$Q$404,销售录入!$D$5:$D$404,$A25,销售录入!$C$5:$C$404,首页!$B$5))</f>
        <v/>
      </c>
      <c r="E25" s="54" t="str">
        <f aca="false">IF($A25="","",SUMIFS(资金流水!$N$5:$N$504,资金流水!$G$5:$G$504,$A25,资金流水!$E$5:$E$504,"客户回款",资金流水!$C$5:$C$504,首页!$B$5))</f>
        <v/>
      </c>
      <c r="F25" s="62" t="str">
        <f aca="false">IF($A25="","",$C25+$D25-$E25)</f>
        <v/>
      </c>
      <c r="G25" s="44" t="str">
        <f aca="false">IF($A25="","",$F25-$H25-$I25-$J25-$K25)</f>
        <v/>
      </c>
      <c r="H25" s="44" t="str">
        <f aca="false">IF($A25="","",MIN($F25,MAX(0,SUMIFS(期初数据!$G$6:$G$155,期初数据!$E$6:$E$155,$A25,期初数据!$F$6:$F$155,"&lt;="&amp;首页!$B$7)+SUMIFS(销售录入!$Q$5:$Q$404,销售录入!$D$5:$D$404,$A25,销售录入!$U$5:$U$404,"&lt;="&amp;首页!$B$7)-SUMIFS(资金流水!$N$5:$N$504,资金流水!$G$5:$G$504,$A25,资金流水!$E$5:$E$504,"客户回款",资金流水!$B$5:$B$504,"&lt;="&amp;首页!$B$7)))-$K25-$J25-$I25)</f>
        <v/>
      </c>
      <c r="I25" s="44" t="str">
        <f aca="false">IF($A25="","",MIN($F25,MAX(0,SUMIFS(期初数据!$G$6:$G$155,期初数据!$E$6:$E$155,$A25,期初数据!$F$6:$F$155,"&lt;="&amp;首页!$B$7-30)+SUMIFS(销售录入!$Q$5:$Q$404,销售录入!$D$5:$D$404,$A25,销售录入!$U$5:$U$404,"&lt;="&amp;首页!$B$7-30)-SUMIFS(资金流水!$N$5:$N$504,资金流水!$G$5:$G$504,$A25,资金流水!$E$5:$E$504,"客户回款",资金流水!$B$5:$B$504,"&lt;="&amp;首页!$B$7)))-$K25-$J25)</f>
        <v/>
      </c>
      <c r="J25" s="44" t="str">
        <f aca="false">IF($A25="","",MIN($F25,MAX(0,SUMIFS(期初数据!$G$6:$G$155,期初数据!$E$6:$E$155,$A25,期初数据!$F$6:$F$155,"&lt;="&amp;首页!$B$7-60)+SUMIFS(销售录入!$Q$5:$Q$404,销售录入!$D$5:$D$404,$A25,销售录入!$U$5:$U$404,"&lt;="&amp;首页!$B$7-60)-SUMIFS(资金流水!$N$5:$N$504,资金流水!$G$5:$G$504,$A25,资金流水!$E$5:$E$504,"客户回款",资金流水!$B$5:$B$504,"&lt;="&amp;首页!$B$7)))-$K25)</f>
        <v/>
      </c>
      <c r="K25" s="44" t="str">
        <f aca="false">IF($A25="","",MIN($F25,MAX(0,SUMIFS(期初数据!$G$6:$G$155,期初数据!$E$6:$E$155,$A25,期初数据!$F$6:$F$155,"&lt;="&amp;首页!$B$7-90)+SUMIFS(销售录入!$Q$5:$Q$404,销售录入!$D$5:$D$404,$A25,销售录入!$U$5:$U$404,"&lt;="&amp;首页!$B$7-90)-SUMIFS(资金流水!$N$5:$N$504,资金流水!$G$5:$G$504,$A25,资金流水!$E$5:$E$504,"客户回款",资金流水!$B$5:$B$504,"&lt;="&amp;首页!$B$7))))</f>
        <v/>
      </c>
      <c r="L25" s="62" t="str">
        <f aca="false">IF($A25="","",$H25+$I25+$J25+$K25)</f>
        <v/>
      </c>
      <c r="M25" s="47" t="str">
        <f aca="false">IF($A25="","",IF($K25&gt;0,"高危",IF($J25&gt;0,"关注",IF($L25&gt;0,"提醒","正常"))))</f>
        <v/>
      </c>
      <c r="N25" s="42" t="str">
        <f aca="false">IF($A25="","",基础资料!$AA25)</f>
        <v/>
      </c>
    </row>
    <row r="26" customFormat="false" ht="15.75" hidden="false" customHeight="true" outlineLevel="0" collapsed="false">
      <c r="A26" s="35" t="str">
        <f aca="false">IF(基础资料!$Z26="","",基础资料!$Z26)</f>
        <v/>
      </c>
      <c r="B26" s="42" t="str">
        <f aca="false">IF($A26="","",N(基础资料!$AB26))</f>
        <v/>
      </c>
      <c r="C26" s="54" t="str">
        <f aca="false">IF($A26="","",SUMIFS(期初数据!$G$6:$G$155,期初数据!$E$6:$E$155,$A26,期初数据!$F$6:$F$155,"&lt;"&amp;首页!$B$6)+SUMIFS(销售录入!$Q$5:$Q$404,销售录入!$D$5:$D$404,$A26,销售录入!$B$5:$B$404,"&lt;"&amp;首页!$B$6)-SUMIFS(资金流水!$N$5:$N$504,资金流水!$G$5:$G$504,$A26,资金流水!$E$5:$E$504,"客户回款",资金流水!$B$5:$B$504,"&lt;"&amp;首页!$B$6))</f>
        <v/>
      </c>
      <c r="D26" s="54" t="str">
        <f aca="false">IF($A26="","",SUMIFS(销售录入!$Q$5:$Q$404,销售录入!$D$5:$D$404,$A26,销售录入!$C$5:$C$404,首页!$B$5))</f>
        <v/>
      </c>
      <c r="E26" s="54" t="str">
        <f aca="false">IF($A26="","",SUMIFS(资金流水!$N$5:$N$504,资金流水!$G$5:$G$504,$A26,资金流水!$E$5:$E$504,"客户回款",资金流水!$C$5:$C$504,首页!$B$5))</f>
        <v/>
      </c>
      <c r="F26" s="62" t="str">
        <f aca="false">IF($A26="","",$C26+$D26-$E26)</f>
        <v/>
      </c>
      <c r="G26" s="44" t="str">
        <f aca="false">IF($A26="","",$F26-$H26-$I26-$J26-$K26)</f>
        <v/>
      </c>
      <c r="H26" s="44" t="str">
        <f aca="false">IF($A26="","",MIN($F26,MAX(0,SUMIFS(期初数据!$G$6:$G$155,期初数据!$E$6:$E$155,$A26,期初数据!$F$6:$F$155,"&lt;="&amp;首页!$B$7)+SUMIFS(销售录入!$Q$5:$Q$404,销售录入!$D$5:$D$404,$A26,销售录入!$U$5:$U$404,"&lt;="&amp;首页!$B$7)-SUMIFS(资金流水!$N$5:$N$504,资金流水!$G$5:$G$504,$A26,资金流水!$E$5:$E$504,"客户回款",资金流水!$B$5:$B$504,"&lt;="&amp;首页!$B$7)))-$K26-$J26-$I26)</f>
        <v/>
      </c>
      <c r="I26" s="44" t="str">
        <f aca="false">IF($A26="","",MIN($F26,MAX(0,SUMIFS(期初数据!$G$6:$G$155,期初数据!$E$6:$E$155,$A26,期初数据!$F$6:$F$155,"&lt;="&amp;首页!$B$7-30)+SUMIFS(销售录入!$Q$5:$Q$404,销售录入!$D$5:$D$404,$A26,销售录入!$U$5:$U$404,"&lt;="&amp;首页!$B$7-30)-SUMIFS(资金流水!$N$5:$N$504,资金流水!$G$5:$G$504,$A26,资金流水!$E$5:$E$504,"客户回款",资金流水!$B$5:$B$504,"&lt;="&amp;首页!$B$7)))-$K26-$J26)</f>
        <v/>
      </c>
      <c r="J26" s="44" t="str">
        <f aca="false">IF($A26="","",MIN($F26,MAX(0,SUMIFS(期初数据!$G$6:$G$155,期初数据!$E$6:$E$155,$A26,期初数据!$F$6:$F$155,"&lt;="&amp;首页!$B$7-60)+SUMIFS(销售录入!$Q$5:$Q$404,销售录入!$D$5:$D$404,$A26,销售录入!$U$5:$U$404,"&lt;="&amp;首页!$B$7-60)-SUMIFS(资金流水!$N$5:$N$504,资金流水!$G$5:$G$504,$A26,资金流水!$E$5:$E$504,"客户回款",资金流水!$B$5:$B$504,"&lt;="&amp;首页!$B$7)))-$K26)</f>
        <v/>
      </c>
      <c r="K26" s="44" t="str">
        <f aca="false">IF($A26="","",MIN($F26,MAX(0,SUMIFS(期初数据!$G$6:$G$155,期初数据!$E$6:$E$155,$A26,期初数据!$F$6:$F$155,"&lt;="&amp;首页!$B$7-90)+SUMIFS(销售录入!$Q$5:$Q$404,销售录入!$D$5:$D$404,$A26,销售录入!$U$5:$U$404,"&lt;="&amp;首页!$B$7-90)-SUMIFS(资金流水!$N$5:$N$504,资金流水!$G$5:$G$504,$A26,资金流水!$E$5:$E$504,"客户回款",资金流水!$B$5:$B$504,"&lt;="&amp;首页!$B$7))))</f>
        <v/>
      </c>
      <c r="L26" s="62" t="str">
        <f aca="false">IF($A26="","",$H26+$I26+$J26+$K26)</f>
        <v/>
      </c>
      <c r="M26" s="47" t="str">
        <f aca="false">IF($A26="","",IF($K26&gt;0,"高危",IF($J26&gt;0,"关注",IF($L26&gt;0,"提醒","正常"))))</f>
        <v/>
      </c>
      <c r="N26" s="42" t="str">
        <f aca="false">IF($A26="","",基础资料!$AA26)</f>
        <v/>
      </c>
    </row>
    <row r="27" customFormat="false" ht="15.75" hidden="false" customHeight="true" outlineLevel="0" collapsed="false">
      <c r="A27" s="35" t="str">
        <f aca="false">IF(基础资料!$Z27="","",基础资料!$Z27)</f>
        <v/>
      </c>
      <c r="B27" s="42" t="str">
        <f aca="false">IF($A27="","",N(基础资料!$AB27))</f>
        <v/>
      </c>
      <c r="C27" s="54" t="str">
        <f aca="false">IF($A27="","",SUMIFS(期初数据!$G$6:$G$155,期初数据!$E$6:$E$155,$A27,期初数据!$F$6:$F$155,"&lt;"&amp;首页!$B$6)+SUMIFS(销售录入!$Q$5:$Q$404,销售录入!$D$5:$D$404,$A27,销售录入!$B$5:$B$404,"&lt;"&amp;首页!$B$6)-SUMIFS(资金流水!$N$5:$N$504,资金流水!$G$5:$G$504,$A27,资金流水!$E$5:$E$504,"客户回款",资金流水!$B$5:$B$504,"&lt;"&amp;首页!$B$6))</f>
        <v/>
      </c>
      <c r="D27" s="54" t="str">
        <f aca="false">IF($A27="","",SUMIFS(销售录入!$Q$5:$Q$404,销售录入!$D$5:$D$404,$A27,销售录入!$C$5:$C$404,首页!$B$5))</f>
        <v/>
      </c>
      <c r="E27" s="54" t="str">
        <f aca="false">IF($A27="","",SUMIFS(资金流水!$N$5:$N$504,资金流水!$G$5:$G$504,$A27,资金流水!$E$5:$E$504,"客户回款",资金流水!$C$5:$C$504,首页!$B$5))</f>
        <v/>
      </c>
      <c r="F27" s="62" t="str">
        <f aca="false">IF($A27="","",$C27+$D27-$E27)</f>
        <v/>
      </c>
      <c r="G27" s="44" t="str">
        <f aca="false">IF($A27="","",$F27-$H27-$I27-$J27-$K27)</f>
        <v/>
      </c>
      <c r="H27" s="44" t="str">
        <f aca="false">IF($A27="","",MIN($F27,MAX(0,SUMIFS(期初数据!$G$6:$G$155,期初数据!$E$6:$E$155,$A27,期初数据!$F$6:$F$155,"&lt;="&amp;首页!$B$7)+SUMIFS(销售录入!$Q$5:$Q$404,销售录入!$D$5:$D$404,$A27,销售录入!$U$5:$U$404,"&lt;="&amp;首页!$B$7)-SUMIFS(资金流水!$N$5:$N$504,资金流水!$G$5:$G$504,$A27,资金流水!$E$5:$E$504,"客户回款",资金流水!$B$5:$B$504,"&lt;="&amp;首页!$B$7)))-$K27-$J27-$I27)</f>
        <v/>
      </c>
      <c r="I27" s="44" t="str">
        <f aca="false">IF($A27="","",MIN($F27,MAX(0,SUMIFS(期初数据!$G$6:$G$155,期初数据!$E$6:$E$155,$A27,期初数据!$F$6:$F$155,"&lt;="&amp;首页!$B$7-30)+SUMIFS(销售录入!$Q$5:$Q$404,销售录入!$D$5:$D$404,$A27,销售录入!$U$5:$U$404,"&lt;="&amp;首页!$B$7-30)-SUMIFS(资金流水!$N$5:$N$504,资金流水!$G$5:$G$504,$A27,资金流水!$E$5:$E$504,"客户回款",资金流水!$B$5:$B$504,"&lt;="&amp;首页!$B$7)))-$K27-$J27)</f>
        <v/>
      </c>
      <c r="J27" s="44" t="str">
        <f aca="false">IF($A27="","",MIN($F27,MAX(0,SUMIFS(期初数据!$G$6:$G$155,期初数据!$E$6:$E$155,$A27,期初数据!$F$6:$F$155,"&lt;="&amp;首页!$B$7-60)+SUMIFS(销售录入!$Q$5:$Q$404,销售录入!$D$5:$D$404,$A27,销售录入!$U$5:$U$404,"&lt;="&amp;首页!$B$7-60)-SUMIFS(资金流水!$N$5:$N$504,资金流水!$G$5:$G$504,$A27,资金流水!$E$5:$E$504,"客户回款",资金流水!$B$5:$B$504,"&lt;="&amp;首页!$B$7)))-$K27)</f>
        <v/>
      </c>
      <c r="K27" s="44" t="str">
        <f aca="false">IF($A27="","",MIN($F27,MAX(0,SUMIFS(期初数据!$G$6:$G$155,期初数据!$E$6:$E$155,$A27,期初数据!$F$6:$F$155,"&lt;="&amp;首页!$B$7-90)+SUMIFS(销售录入!$Q$5:$Q$404,销售录入!$D$5:$D$404,$A27,销售录入!$U$5:$U$404,"&lt;="&amp;首页!$B$7-90)-SUMIFS(资金流水!$N$5:$N$504,资金流水!$G$5:$G$504,$A27,资金流水!$E$5:$E$504,"客户回款",资金流水!$B$5:$B$504,"&lt;="&amp;首页!$B$7))))</f>
        <v/>
      </c>
      <c r="L27" s="62" t="str">
        <f aca="false">IF($A27="","",$H27+$I27+$J27+$K27)</f>
        <v/>
      </c>
      <c r="M27" s="47" t="str">
        <f aca="false">IF($A27="","",IF($K27&gt;0,"高危",IF($J27&gt;0,"关注",IF($L27&gt;0,"提醒","正常"))))</f>
        <v/>
      </c>
      <c r="N27" s="42" t="str">
        <f aca="false">IF($A27="","",基础资料!$AA27)</f>
        <v/>
      </c>
    </row>
    <row r="28" customFormat="false" ht="15.75" hidden="false" customHeight="true" outlineLevel="0" collapsed="false">
      <c r="A28" s="35" t="str">
        <f aca="false">IF(基础资料!$Z28="","",基础资料!$Z28)</f>
        <v/>
      </c>
      <c r="B28" s="42" t="str">
        <f aca="false">IF($A28="","",N(基础资料!$AB28))</f>
        <v/>
      </c>
      <c r="C28" s="54" t="str">
        <f aca="false">IF($A28="","",SUMIFS(期初数据!$G$6:$G$155,期初数据!$E$6:$E$155,$A28,期初数据!$F$6:$F$155,"&lt;"&amp;首页!$B$6)+SUMIFS(销售录入!$Q$5:$Q$404,销售录入!$D$5:$D$404,$A28,销售录入!$B$5:$B$404,"&lt;"&amp;首页!$B$6)-SUMIFS(资金流水!$N$5:$N$504,资金流水!$G$5:$G$504,$A28,资金流水!$E$5:$E$504,"客户回款",资金流水!$B$5:$B$504,"&lt;"&amp;首页!$B$6))</f>
        <v/>
      </c>
      <c r="D28" s="54" t="str">
        <f aca="false">IF($A28="","",SUMIFS(销售录入!$Q$5:$Q$404,销售录入!$D$5:$D$404,$A28,销售录入!$C$5:$C$404,首页!$B$5))</f>
        <v/>
      </c>
      <c r="E28" s="54" t="str">
        <f aca="false">IF($A28="","",SUMIFS(资金流水!$N$5:$N$504,资金流水!$G$5:$G$504,$A28,资金流水!$E$5:$E$504,"客户回款",资金流水!$C$5:$C$504,首页!$B$5))</f>
        <v/>
      </c>
      <c r="F28" s="62" t="str">
        <f aca="false">IF($A28="","",$C28+$D28-$E28)</f>
        <v/>
      </c>
      <c r="G28" s="44" t="str">
        <f aca="false">IF($A28="","",$F28-$H28-$I28-$J28-$K28)</f>
        <v/>
      </c>
      <c r="H28" s="44" t="str">
        <f aca="false">IF($A28="","",MIN($F28,MAX(0,SUMIFS(期初数据!$G$6:$G$155,期初数据!$E$6:$E$155,$A28,期初数据!$F$6:$F$155,"&lt;="&amp;首页!$B$7)+SUMIFS(销售录入!$Q$5:$Q$404,销售录入!$D$5:$D$404,$A28,销售录入!$U$5:$U$404,"&lt;="&amp;首页!$B$7)-SUMIFS(资金流水!$N$5:$N$504,资金流水!$G$5:$G$504,$A28,资金流水!$E$5:$E$504,"客户回款",资金流水!$B$5:$B$504,"&lt;="&amp;首页!$B$7)))-$K28-$J28-$I28)</f>
        <v/>
      </c>
      <c r="I28" s="44" t="str">
        <f aca="false">IF($A28="","",MIN($F28,MAX(0,SUMIFS(期初数据!$G$6:$G$155,期初数据!$E$6:$E$155,$A28,期初数据!$F$6:$F$155,"&lt;="&amp;首页!$B$7-30)+SUMIFS(销售录入!$Q$5:$Q$404,销售录入!$D$5:$D$404,$A28,销售录入!$U$5:$U$404,"&lt;="&amp;首页!$B$7-30)-SUMIFS(资金流水!$N$5:$N$504,资金流水!$G$5:$G$504,$A28,资金流水!$E$5:$E$504,"客户回款",资金流水!$B$5:$B$504,"&lt;="&amp;首页!$B$7)))-$K28-$J28)</f>
        <v/>
      </c>
      <c r="J28" s="44" t="str">
        <f aca="false">IF($A28="","",MIN($F28,MAX(0,SUMIFS(期初数据!$G$6:$G$155,期初数据!$E$6:$E$155,$A28,期初数据!$F$6:$F$155,"&lt;="&amp;首页!$B$7-60)+SUMIFS(销售录入!$Q$5:$Q$404,销售录入!$D$5:$D$404,$A28,销售录入!$U$5:$U$404,"&lt;="&amp;首页!$B$7-60)-SUMIFS(资金流水!$N$5:$N$504,资金流水!$G$5:$G$504,$A28,资金流水!$E$5:$E$504,"客户回款",资金流水!$B$5:$B$504,"&lt;="&amp;首页!$B$7)))-$K28)</f>
        <v/>
      </c>
      <c r="K28" s="44" t="str">
        <f aca="false">IF($A28="","",MIN($F28,MAX(0,SUMIFS(期初数据!$G$6:$G$155,期初数据!$E$6:$E$155,$A28,期初数据!$F$6:$F$155,"&lt;="&amp;首页!$B$7-90)+SUMIFS(销售录入!$Q$5:$Q$404,销售录入!$D$5:$D$404,$A28,销售录入!$U$5:$U$404,"&lt;="&amp;首页!$B$7-90)-SUMIFS(资金流水!$N$5:$N$504,资金流水!$G$5:$G$504,$A28,资金流水!$E$5:$E$504,"客户回款",资金流水!$B$5:$B$504,"&lt;="&amp;首页!$B$7))))</f>
        <v/>
      </c>
      <c r="L28" s="62" t="str">
        <f aca="false">IF($A28="","",$H28+$I28+$J28+$K28)</f>
        <v/>
      </c>
      <c r="M28" s="47" t="str">
        <f aca="false">IF($A28="","",IF($K28&gt;0,"高危",IF($J28&gt;0,"关注",IF($L28&gt;0,"提醒","正常"))))</f>
        <v/>
      </c>
      <c r="N28" s="42" t="str">
        <f aca="false">IF($A28="","",基础资料!$AA28)</f>
        <v/>
      </c>
    </row>
    <row r="29" customFormat="false" ht="15.75" hidden="false" customHeight="true" outlineLevel="0" collapsed="false">
      <c r="A29" s="35" t="str">
        <f aca="false">IF(基础资料!$Z29="","",基础资料!$Z29)</f>
        <v/>
      </c>
      <c r="B29" s="42" t="str">
        <f aca="false">IF($A29="","",N(基础资料!$AB29))</f>
        <v/>
      </c>
      <c r="C29" s="54" t="str">
        <f aca="false">IF($A29="","",SUMIFS(期初数据!$G$6:$G$155,期初数据!$E$6:$E$155,$A29,期初数据!$F$6:$F$155,"&lt;"&amp;首页!$B$6)+SUMIFS(销售录入!$Q$5:$Q$404,销售录入!$D$5:$D$404,$A29,销售录入!$B$5:$B$404,"&lt;"&amp;首页!$B$6)-SUMIFS(资金流水!$N$5:$N$504,资金流水!$G$5:$G$504,$A29,资金流水!$E$5:$E$504,"客户回款",资金流水!$B$5:$B$504,"&lt;"&amp;首页!$B$6))</f>
        <v/>
      </c>
      <c r="D29" s="54" t="str">
        <f aca="false">IF($A29="","",SUMIFS(销售录入!$Q$5:$Q$404,销售录入!$D$5:$D$404,$A29,销售录入!$C$5:$C$404,首页!$B$5))</f>
        <v/>
      </c>
      <c r="E29" s="54" t="str">
        <f aca="false">IF($A29="","",SUMIFS(资金流水!$N$5:$N$504,资金流水!$G$5:$G$504,$A29,资金流水!$E$5:$E$504,"客户回款",资金流水!$C$5:$C$504,首页!$B$5))</f>
        <v/>
      </c>
      <c r="F29" s="62" t="str">
        <f aca="false">IF($A29="","",$C29+$D29-$E29)</f>
        <v/>
      </c>
      <c r="G29" s="44" t="str">
        <f aca="false">IF($A29="","",$F29-$H29-$I29-$J29-$K29)</f>
        <v/>
      </c>
      <c r="H29" s="44" t="str">
        <f aca="false">IF($A29="","",MIN($F29,MAX(0,SUMIFS(期初数据!$G$6:$G$155,期初数据!$E$6:$E$155,$A29,期初数据!$F$6:$F$155,"&lt;="&amp;首页!$B$7)+SUMIFS(销售录入!$Q$5:$Q$404,销售录入!$D$5:$D$404,$A29,销售录入!$U$5:$U$404,"&lt;="&amp;首页!$B$7)-SUMIFS(资金流水!$N$5:$N$504,资金流水!$G$5:$G$504,$A29,资金流水!$E$5:$E$504,"客户回款",资金流水!$B$5:$B$504,"&lt;="&amp;首页!$B$7)))-$K29-$J29-$I29)</f>
        <v/>
      </c>
      <c r="I29" s="44" t="str">
        <f aca="false">IF($A29="","",MIN($F29,MAX(0,SUMIFS(期初数据!$G$6:$G$155,期初数据!$E$6:$E$155,$A29,期初数据!$F$6:$F$155,"&lt;="&amp;首页!$B$7-30)+SUMIFS(销售录入!$Q$5:$Q$404,销售录入!$D$5:$D$404,$A29,销售录入!$U$5:$U$404,"&lt;="&amp;首页!$B$7-30)-SUMIFS(资金流水!$N$5:$N$504,资金流水!$G$5:$G$504,$A29,资金流水!$E$5:$E$504,"客户回款",资金流水!$B$5:$B$504,"&lt;="&amp;首页!$B$7)))-$K29-$J29)</f>
        <v/>
      </c>
      <c r="J29" s="44" t="str">
        <f aca="false">IF($A29="","",MIN($F29,MAX(0,SUMIFS(期初数据!$G$6:$G$155,期初数据!$E$6:$E$155,$A29,期初数据!$F$6:$F$155,"&lt;="&amp;首页!$B$7-60)+SUMIFS(销售录入!$Q$5:$Q$404,销售录入!$D$5:$D$404,$A29,销售录入!$U$5:$U$404,"&lt;="&amp;首页!$B$7-60)-SUMIFS(资金流水!$N$5:$N$504,资金流水!$G$5:$G$504,$A29,资金流水!$E$5:$E$504,"客户回款",资金流水!$B$5:$B$504,"&lt;="&amp;首页!$B$7)))-$K29)</f>
        <v/>
      </c>
      <c r="K29" s="44" t="str">
        <f aca="false">IF($A29="","",MIN($F29,MAX(0,SUMIFS(期初数据!$G$6:$G$155,期初数据!$E$6:$E$155,$A29,期初数据!$F$6:$F$155,"&lt;="&amp;首页!$B$7-90)+SUMIFS(销售录入!$Q$5:$Q$404,销售录入!$D$5:$D$404,$A29,销售录入!$U$5:$U$404,"&lt;="&amp;首页!$B$7-90)-SUMIFS(资金流水!$N$5:$N$504,资金流水!$G$5:$G$504,$A29,资金流水!$E$5:$E$504,"客户回款",资金流水!$B$5:$B$504,"&lt;="&amp;首页!$B$7))))</f>
        <v/>
      </c>
      <c r="L29" s="62" t="str">
        <f aca="false">IF($A29="","",$H29+$I29+$J29+$K29)</f>
        <v/>
      </c>
      <c r="M29" s="47" t="str">
        <f aca="false">IF($A29="","",IF($K29&gt;0,"高危",IF($J29&gt;0,"关注",IF($L29&gt;0,"提醒","正常"))))</f>
        <v/>
      </c>
      <c r="N29" s="42" t="str">
        <f aca="false">IF($A29="","",基础资料!$AA29)</f>
        <v/>
      </c>
    </row>
    <row r="30" customFormat="false" ht="15.75" hidden="false" customHeight="true" outlineLevel="0" collapsed="false">
      <c r="A30" s="35" t="str">
        <f aca="false">IF(基础资料!$Z30="","",基础资料!$Z30)</f>
        <v/>
      </c>
      <c r="B30" s="42" t="str">
        <f aca="false">IF($A30="","",N(基础资料!$AB30))</f>
        <v/>
      </c>
      <c r="C30" s="54" t="str">
        <f aca="false">IF($A30="","",SUMIFS(期初数据!$G$6:$G$155,期初数据!$E$6:$E$155,$A30,期初数据!$F$6:$F$155,"&lt;"&amp;首页!$B$6)+SUMIFS(销售录入!$Q$5:$Q$404,销售录入!$D$5:$D$404,$A30,销售录入!$B$5:$B$404,"&lt;"&amp;首页!$B$6)-SUMIFS(资金流水!$N$5:$N$504,资金流水!$G$5:$G$504,$A30,资金流水!$E$5:$E$504,"客户回款",资金流水!$B$5:$B$504,"&lt;"&amp;首页!$B$6))</f>
        <v/>
      </c>
      <c r="D30" s="54" t="str">
        <f aca="false">IF($A30="","",SUMIFS(销售录入!$Q$5:$Q$404,销售录入!$D$5:$D$404,$A30,销售录入!$C$5:$C$404,首页!$B$5))</f>
        <v/>
      </c>
      <c r="E30" s="54" t="str">
        <f aca="false">IF($A30="","",SUMIFS(资金流水!$N$5:$N$504,资金流水!$G$5:$G$504,$A30,资金流水!$E$5:$E$504,"客户回款",资金流水!$C$5:$C$504,首页!$B$5))</f>
        <v/>
      </c>
      <c r="F30" s="62" t="str">
        <f aca="false">IF($A30="","",$C30+$D30-$E30)</f>
        <v/>
      </c>
      <c r="G30" s="44" t="str">
        <f aca="false">IF($A30="","",$F30-$H30-$I30-$J30-$K30)</f>
        <v/>
      </c>
      <c r="H30" s="44" t="str">
        <f aca="false">IF($A30="","",MIN($F30,MAX(0,SUMIFS(期初数据!$G$6:$G$155,期初数据!$E$6:$E$155,$A30,期初数据!$F$6:$F$155,"&lt;="&amp;首页!$B$7)+SUMIFS(销售录入!$Q$5:$Q$404,销售录入!$D$5:$D$404,$A30,销售录入!$U$5:$U$404,"&lt;="&amp;首页!$B$7)-SUMIFS(资金流水!$N$5:$N$504,资金流水!$G$5:$G$504,$A30,资金流水!$E$5:$E$504,"客户回款",资金流水!$B$5:$B$504,"&lt;="&amp;首页!$B$7)))-$K30-$J30-$I30)</f>
        <v/>
      </c>
      <c r="I30" s="44" t="str">
        <f aca="false">IF($A30="","",MIN($F30,MAX(0,SUMIFS(期初数据!$G$6:$G$155,期初数据!$E$6:$E$155,$A30,期初数据!$F$6:$F$155,"&lt;="&amp;首页!$B$7-30)+SUMIFS(销售录入!$Q$5:$Q$404,销售录入!$D$5:$D$404,$A30,销售录入!$U$5:$U$404,"&lt;="&amp;首页!$B$7-30)-SUMIFS(资金流水!$N$5:$N$504,资金流水!$G$5:$G$504,$A30,资金流水!$E$5:$E$504,"客户回款",资金流水!$B$5:$B$504,"&lt;="&amp;首页!$B$7)))-$K30-$J30)</f>
        <v/>
      </c>
      <c r="J30" s="44" t="str">
        <f aca="false">IF($A30="","",MIN($F30,MAX(0,SUMIFS(期初数据!$G$6:$G$155,期初数据!$E$6:$E$155,$A30,期初数据!$F$6:$F$155,"&lt;="&amp;首页!$B$7-60)+SUMIFS(销售录入!$Q$5:$Q$404,销售录入!$D$5:$D$404,$A30,销售录入!$U$5:$U$404,"&lt;="&amp;首页!$B$7-60)-SUMIFS(资金流水!$N$5:$N$504,资金流水!$G$5:$G$504,$A30,资金流水!$E$5:$E$504,"客户回款",资金流水!$B$5:$B$504,"&lt;="&amp;首页!$B$7)))-$K30)</f>
        <v/>
      </c>
      <c r="K30" s="44" t="str">
        <f aca="false">IF($A30="","",MIN($F30,MAX(0,SUMIFS(期初数据!$G$6:$G$155,期初数据!$E$6:$E$155,$A30,期初数据!$F$6:$F$155,"&lt;="&amp;首页!$B$7-90)+SUMIFS(销售录入!$Q$5:$Q$404,销售录入!$D$5:$D$404,$A30,销售录入!$U$5:$U$404,"&lt;="&amp;首页!$B$7-90)-SUMIFS(资金流水!$N$5:$N$504,资金流水!$G$5:$G$504,$A30,资金流水!$E$5:$E$504,"客户回款",资金流水!$B$5:$B$504,"&lt;="&amp;首页!$B$7))))</f>
        <v/>
      </c>
      <c r="L30" s="62" t="str">
        <f aca="false">IF($A30="","",$H30+$I30+$J30+$K30)</f>
        <v/>
      </c>
      <c r="M30" s="47" t="str">
        <f aca="false">IF($A30="","",IF($K30&gt;0,"高危",IF($J30&gt;0,"关注",IF($L30&gt;0,"提醒","正常"))))</f>
        <v/>
      </c>
      <c r="N30" s="42" t="str">
        <f aca="false">IF($A30="","",基础资料!$AA30)</f>
        <v/>
      </c>
    </row>
    <row r="31" customFormat="false" ht="15.75" hidden="false" customHeight="true" outlineLevel="0" collapsed="false">
      <c r="A31" s="35" t="str">
        <f aca="false">IF(基础资料!$Z31="","",基础资料!$Z31)</f>
        <v/>
      </c>
      <c r="B31" s="42" t="str">
        <f aca="false">IF($A31="","",N(基础资料!$AB31))</f>
        <v/>
      </c>
      <c r="C31" s="54" t="str">
        <f aca="false">IF($A31="","",SUMIFS(期初数据!$G$6:$G$155,期初数据!$E$6:$E$155,$A31,期初数据!$F$6:$F$155,"&lt;"&amp;首页!$B$6)+SUMIFS(销售录入!$Q$5:$Q$404,销售录入!$D$5:$D$404,$A31,销售录入!$B$5:$B$404,"&lt;"&amp;首页!$B$6)-SUMIFS(资金流水!$N$5:$N$504,资金流水!$G$5:$G$504,$A31,资金流水!$E$5:$E$504,"客户回款",资金流水!$B$5:$B$504,"&lt;"&amp;首页!$B$6))</f>
        <v/>
      </c>
      <c r="D31" s="54" t="str">
        <f aca="false">IF($A31="","",SUMIFS(销售录入!$Q$5:$Q$404,销售录入!$D$5:$D$404,$A31,销售录入!$C$5:$C$404,首页!$B$5))</f>
        <v/>
      </c>
      <c r="E31" s="54" t="str">
        <f aca="false">IF($A31="","",SUMIFS(资金流水!$N$5:$N$504,资金流水!$G$5:$G$504,$A31,资金流水!$E$5:$E$504,"客户回款",资金流水!$C$5:$C$504,首页!$B$5))</f>
        <v/>
      </c>
      <c r="F31" s="62" t="str">
        <f aca="false">IF($A31="","",$C31+$D31-$E31)</f>
        <v/>
      </c>
      <c r="G31" s="44" t="str">
        <f aca="false">IF($A31="","",$F31-$H31-$I31-$J31-$K31)</f>
        <v/>
      </c>
      <c r="H31" s="44" t="str">
        <f aca="false">IF($A31="","",MIN($F31,MAX(0,SUMIFS(期初数据!$G$6:$G$155,期初数据!$E$6:$E$155,$A31,期初数据!$F$6:$F$155,"&lt;="&amp;首页!$B$7)+SUMIFS(销售录入!$Q$5:$Q$404,销售录入!$D$5:$D$404,$A31,销售录入!$U$5:$U$404,"&lt;="&amp;首页!$B$7)-SUMIFS(资金流水!$N$5:$N$504,资金流水!$G$5:$G$504,$A31,资金流水!$E$5:$E$504,"客户回款",资金流水!$B$5:$B$504,"&lt;="&amp;首页!$B$7)))-$K31-$J31-$I31)</f>
        <v/>
      </c>
      <c r="I31" s="44" t="str">
        <f aca="false">IF($A31="","",MIN($F31,MAX(0,SUMIFS(期初数据!$G$6:$G$155,期初数据!$E$6:$E$155,$A31,期初数据!$F$6:$F$155,"&lt;="&amp;首页!$B$7-30)+SUMIFS(销售录入!$Q$5:$Q$404,销售录入!$D$5:$D$404,$A31,销售录入!$U$5:$U$404,"&lt;="&amp;首页!$B$7-30)-SUMIFS(资金流水!$N$5:$N$504,资金流水!$G$5:$G$504,$A31,资金流水!$E$5:$E$504,"客户回款",资金流水!$B$5:$B$504,"&lt;="&amp;首页!$B$7)))-$K31-$J31)</f>
        <v/>
      </c>
      <c r="J31" s="44" t="str">
        <f aca="false">IF($A31="","",MIN($F31,MAX(0,SUMIFS(期初数据!$G$6:$G$155,期初数据!$E$6:$E$155,$A31,期初数据!$F$6:$F$155,"&lt;="&amp;首页!$B$7-60)+SUMIFS(销售录入!$Q$5:$Q$404,销售录入!$D$5:$D$404,$A31,销售录入!$U$5:$U$404,"&lt;="&amp;首页!$B$7-60)-SUMIFS(资金流水!$N$5:$N$504,资金流水!$G$5:$G$504,$A31,资金流水!$E$5:$E$504,"客户回款",资金流水!$B$5:$B$504,"&lt;="&amp;首页!$B$7)))-$K31)</f>
        <v/>
      </c>
      <c r="K31" s="44" t="str">
        <f aca="false">IF($A31="","",MIN($F31,MAX(0,SUMIFS(期初数据!$G$6:$G$155,期初数据!$E$6:$E$155,$A31,期初数据!$F$6:$F$155,"&lt;="&amp;首页!$B$7-90)+SUMIFS(销售录入!$Q$5:$Q$404,销售录入!$D$5:$D$404,$A31,销售录入!$U$5:$U$404,"&lt;="&amp;首页!$B$7-90)-SUMIFS(资金流水!$N$5:$N$504,资金流水!$G$5:$G$504,$A31,资金流水!$E$5:$E$504,"客户回款",资金流水!$B$5:$B$504,"&lt;="&amp;首页!$B$7))))</f>
        <v/>
      </c>
      <c r="L31" s="62" t="str">
        <f aca="false">IF($A31="","",$H31+$I31+$J31+$K31)</f>
        <v/>
      </c>
      <c r="M31" s="47" t="str">
        <f aca="false">IF($A31="","",IF($K31&gt;0,"高危",IF($J31&gt;0,"关注",IF($L31&gt;0,"提醒","正常"))))</f>
        <v/>
      </c>
      <c r="N31" s="42" t="str">
        <f aca="false">IF($A31="","",基础资料!$AA31)</f>
        <v/>
      </c>
    </row>
    <row r="32" customFormat="false" ht="15.75" hidden="false" customHeight="true" outlineLevel="0" collapsed="false">
      <c r="A32" s="35" t="str">
        <f aca="false">IF(基础资料!$Z32="","",基础资料!$Z32)</f>
        <v/>
      </c>
      <c r="B32" s="42" t="str">
        <f aca="false">IF($A32="","",N(基础资料!$AB32))</f>
        <v/>
      </c>
      <c r="C32" s="54" t="str">
        <f aca="false">IF($A32="","",SUMIFS(期初数据!$G$6:$G$155,期初数据!$E$6:$E$155,$A32,期初数据!$F$6:$F$155,"&lt;"&amp;首页!$B$6)+SUMIFS(销售录入!$Q$5:$Q$404,销售录入!$D$5:$D$404,$A32,销售录入!$B$5:$B$404,"&lt;"&amp;首页!$B$6)-SUMIFS(资金流水!$N$5:$N$504,资金流水!$G$5:$G$504,$A32,资金流水!$E$5:$E$504,"客户回款",资金流水!$B$5:$B$504,"&lt;"&amp;首页!$B$6))</f>
        <v/>
      </c>
      <c r="D32" s="54" t="str">
        <f aca="false">IF($A32="","",SUMIFS(销售录入!$Q$5:$Q$404,销售录入!$D$5:$D$404,$A32,销售录入!$C$5:$C$404,首页!$B$5))</f>
        <v/>
      </c>
      <c r="E32" s="54" t="str">
        <f aca="false">IF($A32="","",SUMIFS(资金流水!$N$5:$N$504,资金流水!$G$5:$G$504,$A32,资金流水!$E$5:$E$504,"客户回款",资金流水!$C$5:$C$504,首页!$B$5))</f>
        <v/>
      </c>
      <c r="F32" s="62" t="str">
        <f aca="false">IF($A32="","",$C32+$D32-$E32)</f>
        <v/>
      </c>
      <c r="G32" s="44" t="str">
        <f aca="false">IF($A32="","",$F32-$H32-$I32-$J32-$K32)</f>
        <v/>
      </c>
      <c r="H32" s="44" t="str">
        <f aca="false">IF($A32="","",MIN($F32,MAX(0,SUMIFS(期初数据!$G$6:$G$155,期初数据!$E$6:$E$155,$A32,期初数据!$F$6:$F$155,"&lt;="&amp;首页!$B$7)+SUMIFS(销售录入!$Q$5:$Q$404,销售录入!$D$5:$D$404,$A32,销售录入!$U$5:$U$404,"&lt;="&amp;首页!$B$7)-SUMIFS(资金流水!$N$5:$N$504,资金流水!$G$5:$G$504,$A32,资金流水!$E$5:$E$504,"客户回款",资金流水!$B$5:$B$504,"&lt;="&amp;首页!$B$7)))-$K32-$J32-$I32)</f>
        <v/>
      </c>
      <c r="I32" s="44" t="str">
        <f aca="false">IF($A32="","",MIN($F32,MAX(0,SUMIFS(期初数据!$G$6:$G$155,期初数据!$E$6:$E$155,$A32,期初数据!$F$6:$F$155,"&lt;="&amp;首页!$B$7-30)+SUMIFS(销售录入!$Q$5:$Q$404,销售录入!$D$5:$D$404,$A32,销售录入!$U$5:$U$404,"&lt;="&amp;首页!$B$7-30)-SUMIFS(资金流水!$N$5:$N$504,资金流水!$G$5:$G$504,$A32,资金流水!$E$5:$E$504,"客户回款",资金流水!$B$5:$B$504,"&lt;="&amp;首页!$B$7)))-$K32-$J32)</f>
        <v/>
      </c>
      <c r="J32" s="44" t="str">
        <f aca="false">IF($A32="","",MIN($F32,MAX(0,SUMIFS(期初数据!$G$6:$G$155,期初数据!$E$6:$E$155,$A32,期初数据!$F$6:$F$155,"&lt;="&amp;首页!$B$7-60)+SUMIFS(销售录入!$Q$5:$Q$404,销售录入!$D$5:$D$404,$A32,销售录入!$U$5:$U$404,"&lt;="&amp;首页!$B$7-60)-SUMIFS(资金流水!$N$5:$N$504,资金流水!$G$5:$G$504,$A32,资金流水!$E$5:$E$504,"客户回款",资金流水!$B$5:$B$504,"&lt;="&amp;首页!$B$7)))-$K32)</f>
        <v/>
      </c>
      <c r="K32" s="44" t="str">
        <f aca="false">IF($A32="","",MIN($F32,MAX(0,SUMIFS(期初数据!$G$6:$G$155,期初数据!$E$6:$E$155,$A32,期初数据!$F$6:$F$155,"&lt;="&amp;首页!$B$7-90)+SUMIFS(销售录入!$Q$5:$Q$404,销售录入!$D$5:$D$404,$A32,销售录入!$U$5:$U$404,"&lt;="&amp;首页!$B$7-90)-SUMIFS(资金流水!$N$5:$N$504,资金流水!$G$5:$G$504,$A32,资金流水!$E$5:$E$504,"客户回款",资金流水!$B$5:$B$504,"&lt;="&amp;首页!$B$7))))</f>
        <v/>
      </c>
      <c r="L32" s="62" t="str">
        <f aca="false">IF($A32="","",$H32+$I32+$J32+$K32)</f>
        <v/>
      </c>
      <c r="M32" s="47" t="str">
        <f aca="false">IF($A32="","",IF($K32&gt;0,"高危",IF($J32&gt;0,"关注",IF($L32&gt;0,"提醒","正常"))))</f>
        <v/>
      </c>
      <c r="N32" s="42" t="str">
        <f aca="false">IF($A32="","",基础资料!$AA32)</f>
        <v/>
      </c>
    </row>
    <row r="33" customFormat="false" ht="15.75" hidden="false" customHeight="true" outlineLevel="0" collapsed="false">
      <c r="A33" s="35" t="str">
        <f aca="false">IF(基础资料!$Z33="","",基础资料!$Z33)</f>
        <v/>
      </c>
      <c r="B33" s="42" t="str">
        <f aca="false">IF($A33="","",N(基础资料!$AB33))</f>
        <v/>
      </c>
      <c r="C33" s="54" t="str">
        <f aca="false">IF($A33="","",SUMIFS(期初数据!$G$6:$G$155,期初数据!$E$6:$E$155,$A33,期初数据!$F$6:$F$155,"&lt;"&amp;首页!$B$6)+SUMIFS(销售录入!$Q$5:$Q$404,销售录入!$D$5:$D$404,$A33,销售录入!$B$5:$B$404,"&lt;"&amp;首页!$B$6)-SUMIFS(资金流水!$N$5:$N$504,资金流水!$G$5:$G$504,$A33,资金流水!$E$5:$E$504,"客户回款",资金流水!$B$5:$B$504,"&lt;"&amp;首页!$B$6))</f>
        <v/>
      </c>
      <c r="D33" s="54" t="str">
        <f aca="false">IF($A33="","",SUMIFS(销售录入!$Q$5:$Q$404,销售录入!$D$5:$D$404,$A33,销售录入!$C$5:$C$404,首页!$B$5))</f>
        <v/>
      </c>
      <c r="E33" s="54" t="str">
        <f aca="false">IF($A33="","",SUMIFS(资金流水!$N$5:$N$504,资金流水!$G$5:$G$504,$A33,资金流水!$E$5:$E$504,"客户回款",资金流水!$C$5:$C$504,首页!$B$5))</f>
        <v/>
      </c>
      <c r="F33" s="62" t="str">
        <f aca="false">IF($A33="","",$C33+$D33-$E33)</f>
        <v/>
      </c>
      <c r="G33" s="44" t="str">
        <f aca="false">IF($A33="","",$F33-$H33-$I33-$J33-$K33)</f>
        <v/>
      </c>
      <c r="H33" s="44" t="str">
        <f aca="false">IF($A33="","",MIN($F33,MAX(0,SUMIFS(期初数据!$G$6:$G$155,期初数据!$E$6:$E$155,$A33,期初数据!$F$6:$F$155,"&lt;="&amp;首页!$B$7)+SUMIFS(销售录入!$Q$5:$Q$404,销售录入!$D$5:$D$404,$A33,销售录入!$U$5:$U$404,"&lt;="&amp;首页!$B$7)-SUMIFS(资金流水!$N$5:$N$504,资金流水!$G$5:$G$504,$A33,资金流水!$E$5:$E$504,"客户回款",资金流水!$B$5:$B$504,"&lt;="&amp;首页!$B$7)))-$K33-$J33-$I33)</f>
        <v/>
      </c>
      <c r="I33" s="44" t="str">
        <f aca="false">IF($A33="","",MIN($F33,MAX(0,SUMIFS(期初数据!$G$6:$G$155,期初数据!$E$6:$E$155,$A33,期初数据!$F$6:$F$155,"&lt;="&amp;首页!$B$7-30)+SUMIFS(销售录入!$Q$5:$Q$404,销售录入!$D$5:$D$404,$A33,销售录入!$U$5:$U$404,"&lt;="&amp;首页!$B$7-30)-SUMIFS(资金流水!$N$5:$N$504,资金流水!$G$5:$G$504,$A33,资金流水!$E$5:$E$504,"客户回款",资金流水!$B$5:$B$504,"&lt;="&amp;首页!$B$7)))-$K33-$J33)</f>
        <v/>
      </c>
      <c r="J33" s="44" t="str">
        <f aca="false">IF($A33="","",MIN($F33,MAX(0,SUMIFS(期初数据!$G$6:$G$155,期初数据!$E$6:$E$155,$A33,期初数据!$F$6:$F$155,"&lt;="&amp;首页!$B$7-60)+SUMIFS(销售录入!$Q$5:$Q$404,销售录入!$D$5:$D$404,$A33,销售录入!$U$5:$U$404,"&lt;="&amp;首页!$B$7-60)-SUMIFS(资金流水!$N$5:$N$504,资金流水!$G$5:$G$504,$A33,资金流水!$E$5:$E$504,"客户回款",资金流水!$B$5:$B$504,"&lt;="&amp;首页!$B$7)))-$K33)</f>
        <v/>
      </c>
      <c r="K33" s="44" t="str">
        <f aca="false">IF($A33="","",MIN($F33,MAX(0,SUMIFS(期初数据!$G$6:$G$155,期初数据!$E$6:$E$155,$A33,期初数据!$F$6:$F$155,"&lt;="&amp;首页!$B$7-90)+SUMIFS(销售录入!$Q$5:$Q$404,销售录入!$D$5:$D$404,$A33,销售录入!$U$5:$U$404,"&lt;="&amp;首页!$B$7-90)-SUMIFS(资金流水!$N$5:$N$504,资金流水!$G$5:$G$504,$A33,资金流水!$E$5:$E$504,"客户回款",资金流水!$B$5:$B$504,"&lt;="&amp;首页!$B$7))))</f>
        <v/>
      </c>
      <c r="L33" s="62" t="str">
        <f aca="false">IF($A33="","",$H33+$I33+$J33+$K33)</f>
        <v/>
      </c>
      <c r="M33" s="47" t="str">
        <f aca="false">IF($A33="","",IF($K33&gt;0,"高危",IF($J33&gt;0,"关注",IF($L33&gt;0,"提醒","正常"))))</f>
        <v/>
      </c>
      <c r="N33" s="42" t="str">
        <f aca="false">IF($A33="","",基础资料!$AA33)</f>
        <v/>
      </c>
    </row>
    <row r="34" customFormat="false" ht="15.75" hidden="false" customHeight="true" outlineLevel="0" collapsed="false">
      <c r="A34" s="35" t="str">
        <f aca="false">IF(基础资料!$Z34="","",基础资料!$Z34)</f>
        <v/>
      </c>
      <c r="B34" s="42" t="str">
        <f aca="false">IF($A34="","",N(基础资料!$AB34))</f>
        <v/>
      </c>
      <c r="C34" s="54" t="str">
        <f aca="false">IF($A34="","",SUMIFS(期初数据!$G$6:$G$155,期初数据!$E$6:$E$155,$A34,期初数据!$F$6:$F$155,"&lt;"&amp;首页!$B$6)+SUMIFS(销售录入!$Q$5:$Q$404,销售录入!$D$5:$D$404,$A34,销售录入!$B$5:$B$404,"&lt;"&amp;首页!$B$6)-SUMIFS(资金流水!$N$5:$N$504,资金流水!$G$5:$G$504,$A34,资金流水!$E$5:$E$504,"客户回款",资金流水!$B$5:$B$504,"&lt;"&amp;首页!$B$6))</f>
        <v/>
      </c>
      <c r="D34" s="54" t="str">
        <f aca="false">IF($A34="","",SUMIFS(销售录入!$Q$5:$Q$404,销售录入!$D$5:$D$404,$A34,销售录入!$C$5:$C$404,首页!$B$5))</f>
        <v/>
      </c>
      <c r="E34" s="54" t="str">
        <f aca="false">IF($A34="","",SUMIFS(资金流水!$N$5:$N$504,资金流水!$G$5:$G$504,$A34,资金流水!$E$5:$E$504,"客户回款",资金流水!$C$5:$C$504,首页!$B$5))</f>
        <v/>
      </c>
      <c r="F34" s="62" t="str">
        <f aca="false">IF($A34="","",$C34+$D34-$E34)</f>
        <v/>
      </c>
      <c r="G34" s="44" t="str">
        <f aca="false">IF($A34="","",$F34-$H34-$I34-$J34-$K34)</f>
        <v/>
      </c>
      <c r="H34" s="44" t="str">
        <f aca="false">IF($A34="","",MIN($F34,MAX(0,SUMIFS(期初数据!$G$6:$G$155,期初数据!$E$6:$E$155,$A34,期初数据!$F$6:$F$155,"&lt;="&amp;首页!$B$7)+SUMIFS(销售录入!$Q$5:$Q$404,销售录入!$D$5:$D$404,$A34,销售录入!$U$5:$U$404,"&lt;="&amp;首页!$B$7)-SUMIFS(资金流水!$N$5:$N$504,资金流水!$G$5:$G$504,$A34,资金流水!$E$5:$E$504,"客户回款",资金流水!$B$5:$B$504,"&lt;="&amp;首页!$B$7)))-$K34-$J34-$I34)</f>
        <v/>
      </c>
      <c r="I34" s="44" t="str">
        <f aca="false">IF($A34="","",MIN($F34,MAX(0,SUMIFS(期初数据!$G$6:$G$155,期初数据!$E$6:$E$155,$A34,期初数据!$F$6:$F$155,"&lt;="&amp;首页!$B$7-30)+SUMIFS(销售录入!$Q$5:$Q$404,销售录入!$D$5:$D$404,$A34,销售录入!$U$5:$U$404,"&lt;="&amp;首页!$B$7-30)-SUMIFS(资金流水!$N$5:$N$504,资金流水!$G$5:$G$504,$A34,资金流水!$E$5:$E$504,"客户回款",资金流水!$B$5:$B$504,"&lt;="&amp;首页!$B$7)))-$K34-$J34)</f>
        <v/>
      </c>
      <c r="J34" s="44" t="str">
        <f aca="false">IF($A34="","",MIN($F34,MAX(0,SUMIFS(期初数据!$G$6:$G$155,期初数据!$E$6:$E$155,$A34,期初数据!$F$6:$F$155,"&lt;="&amp;首页!$B$7-60)+SUMIFS(销售录入!$Q$5:$Q$404,销售录入!$D$5:$D$404,$A34,销售录入!$U$5:$U$404,"&lt;="&amp;首页!$B$7-60)-SUMIFS(资金流水!$N$5:$N$504,资金流水!$G$5:$G$504,$A34,资金流水!$E$5:$E$504,"客户回款",资金流水!$B$5:$B$504,"&lt;="&amp;首页!$B$7)))-$K34)</f>
        <v/>
      </c>
      <c r="K34" s="44" t="str">
        <f aca="false">IF($A34="","",MIN($F34,MAX(0,SUMIFS(期初数据!$G$6:$G$155,期初数据!$E$6:$E$155,$A34,期初数据!$F$6:$F$155,"&lt;="&amp;首页!$B$7-90)+SUMIFS(销售录入!$Q$5:$Q$404,销售录入!$D$5:$D$404,$A34,销售录入!$U$5:$U$404,"&lt;="&amp;首页!$B$7-90)-SUMIFS(资金流水!$N$5:$N$504,资金流水!$G$5:$G$504,$A34,资金流水!$E$5:$E$504,"客户回款",资金流水!$B$5:$B$504,"&lt;="&amp;首页!$B$7))))</f>
        <v/>
      </c>
      <c r="L34" s="62" t="str">
        <f aca="false">IF($A34="","",$H34+$I34+$J34+$K34)</f>
        <v/>
      </c>
      <c r="M34" s="47" t="str">
        <f aca="false">IF($A34="","",IF($K34&gt;0,"高危",IF($J34&gt;0,"关注",IF($L34&gt;0,"提醒","正常"))))</f>
        <v/>
      </c>
      <c r="N34" s="42" t="str">
        <f aca="false">IF($A34="","",基础资料!$AA34)</f>
        <v/>
      </c>
    </row>
    <row r="35" customFormat="false" ht="15.75" hidden="false" customHeight="true" outlineLevel="0" collapsed="false">
      <c r="A35" s="35" t="str">
        <f aca="false">IF(基础资料!$Z35="","",基础资料!$Z35)</f>
        <v/>
      </c>
      <c r="B35" s="42" t="str">
        <f aca="false">IF($A35="","",N(基础资料!$AB35))</f>
        <v/>
      </c>
      <c r="C35" s="54" t="str">
        <f aca="false">IF($A35="","",SUMIFS(期初数据!$G$6:$G$155,期初数据!$E$6:$E$155,$A35,期初数据!$F$6:$F$155,"&lt;"&amp;首页!$B$6)+SUMIFS(销售录入!$Q$5:$Q$404,销售录入!$D$5:$D$404,$A35,销售录入!$B$5:$B$404,"&lt;"&amp;首页!$B$6)-SUMIFS(资金流水!$N$5:$N$504,资金流水!$G$5:$G$504,$A35,资金流水!$E$5:$E$504,"客户回款",资金流水!$B$5:$B$504,"&lt;"&amp;首页!$B$6))</f>
        <v/>
      </c>
      <c r="D35" s="54" t="str">
        <f aca="false">IF($A35="","",SUMIFS(销售录入!$Q$5:$Q$404,销售录入!$D$5:$D$404,$A35,销售录入!$C$5:$C$404,首页!$B$5))</f>
        <v/>
      </c>
      <c r="E35" s="54" t="str">
        <f aca="false">IF($A35="","",SUMIFS(资金流水!$N$5:$N$504,资金流水!$G$5:$G$504,$A35,资金流水!$E$5:$E$504,"客户回款",资金流水!$C$5:$C$504,首页!$B$5))</f>
        <v/>
      </c>
      <c r="F35" s="62" t="str">
        <f aca="false">IF($A35="","",$C35+$D35-$E35)</f>
        <v/>
      </c>
      <c r="G35" s="44" t="str">
        <f aca="false">IF($A35="","",$F35-$H35-$I35-$J35-$K35)</f>
        <v/>
      </c>
      <c r="H35" s="44" t="str">
        <f aca="false">IF($A35="","",MIN($F35,MAX(0,SUMIFS(期初数据!$G$6:$G$155,期初数据!$E$6:$E$155,$A35,期初数据!$F$6:$F$155,"&lt;="&amp;首页!$B$7)+SUMIFS(销售录入!$Q$5:$Q$404,销售录入!$D$5:$D$404,$A35,销售录入!$U$5:$U$404,"&lt;="&amp;首页!$B$7)-SUMIFS(资金流水!$N$5:$N$504,资金流水!$G$5:$G$504,$A35,资金流水!$E$5:$E$504,"客户回款",资金流水!$B$5:$B$504,"&lt;="&amp;首页!$B$7)))-$K35-$J35-$I35)</f>
        <v/>
      </c>
      <c r="I35" s="44" t="str">
        <f aca="false">IF($A35="","",MIN($F35,MAX(0,SUMIFS(期初数据!$G$6:$G$155,期初数据!$E$6:$E$155,$A35,期初数据!$F$6:$F$155,"&lt;="&amp;首页!$B$7-30)+SUMIFS(销售录入!$Q$5:$Q$404,销售录入!$D$5:$D$404,$A35,销售录入!$U$5:$U$404,"&lt;="&amp;首页!$B$7-30)-SUMIFS(资金流水!$N$5:$N$504,资金流水!$G$5:$G$504,$A35,资金流水!$E$5:$E$504,"客户回款",资金流水!$B$5:$B$504,"&lt;="&amp;首页!$B$7)))-$K35-$J35)</f>
        <v/>
      </c>
      <c r="J35" s="44" t="str">
        <f aca="false">IF($A35="","",MIN($F35,MAX(0,SUMIFS(期初数据!$G$6:$G$155,期初数据!$E$6:$E$155,$A35,期初数据!$F$6:$F$155,"&lt;="&amp;首页!$B$7-60)+SUMIFS(销售录入!$Q$5:$Q$404,销售录入!$D$5:$D$404,$A35,销售录入!$U$5:$U$404,"&lt;="&amp;首页!$B$7-60)-SUMIFS(资金流水!$N$5:$N$504,资金流水!$G$5:$G$504,$A35,资金流水!$E$5:$E$504,"客户回款",资金流水!$B$5:$B$504,"&lt;="&amp;首页!$B$7)))-$K35)</f>
        <v/>
      </c>
      <c r="K35" s="44" t="str">
        <f aca="false">IF($A35="","",MIN($F35,MAX(0,SUMIFS(期初数据!$G$6:$G$155,期初数据!$E$6:$E$155,$A35,期初数据!$F$6:$F$155,"&lt;="&amp;首页!$B$7-90)+SUMIFS(销售录入!$Q$5:$Q$404,销售录入!$D$5:$D$404,$A35,销售录入!$U$5:$U$404,"&lt;="&amp;首页!$B$7-90)-SUMIFS(资金流水!$N$5:$N$504,资金流水!$G$5:$G$504,$A35,资金流水!$E$5:$E$504,"客户回款",资金流水!$B$5:$B$504,"&lt;="&amp;首页!$B$7))))</f>
        <v/>
      </c>
      <c r="L35" s="62" t="str">
        <f aca="false">IF($A35="","",$H35+$I35+$J35+$K35)</f>
        <v/>
      </c>
      <c r="M35" s="47" t="str">
        <f aca="false">IF($A35="","",IF($K35&gt;0,"高危",IF($J35&gt;0,"关注",IF($L35&gt;0,"提醒","正常"))))</f>
        <v/>
      </c>
      <c r="N35" s="42" t="str">
        <f aca="false">IF($A35="","",基础资料!$AA35)</f>
        <v/>
      </c>
    </row>
    <row r="36" customFormat="false" ht="15.75" hidden="false" customHeight="true" outlineLevel="0" collapsed="false">
      <c r="A36" s="35" t="str">
        <f aca="false">IF(基础资料!$Z36="","",基础资料!$Z36)</f>
        <v/>
      </c>
      <c r="B36" s="42" t="str">
        <f aca="false">IF($A36="","",N(基础资料!$AB36))</f>
        <v/>
      </c>
      <c r="C36" s="54" t="str">
        <f aca="false">IF($A36="","",SUMIFS(期初数据!$G$6:$G$155,期初数据!$E$6:$E$155,$A36,期初数据!$F$6:$F$155,"&lt;"&amp;首页!$B$6)+SUMIFS(销售录入!$Q$5:$Q$404,销售录入!$D$5:$D$404,$A36,销售录入!$B$5:$B$404,"&lt;"&amp;首页!$B$6)-SUMIFS(资金流水!$N$5:$N$504,资金流水!$G$5:$G$504,$A36,资金流水!$E$5:$E$504,"客户回款",资金流水!$B$5:$B$504,"&lt;"&amp;首页!$B$6))</f>
        <v/>
      </c>
      <c r="D36" s="54" t="str">
        <f aca="false">IF($A36="","",SUMIFS(销售录入!$Q$5:$Q$404,销售录入!$D$5:$D$404,$A36,销售录入!$C$5:$C$404,首页!$B$5))</f>
        <v/>
      </c>
      <c r="E36" s="54" t="str">
        <f aca="false">IF($A36="","",SUMIFS(资金流水!$N$5:$N$504,资金流水!$G$5:$G$504,$A36,资金流水!$E$5:$E$504,"客户回款",资金流水!$C$5:$C$504,首页!$B$5))</f>
        <v/>
      </c>
      <c r="F36" s="62" t="str">
        <f aca="false">IF($A36="","",$C36+$D36-$E36)</f>
        <v/>
      </c>
      <c r="G36" s="44" t="str">
        <f aca="false">IF($A36="","",$F36-$H36-$I36-$J36-$K36)</f>
        <v/>
      </c>
      <c r="H36" s="44" t="str">
        <f aca="false">IF($A36="","",MIN($F36,MAX(0,SUMIFS(期初数据!$G$6:$G$155,期初数据!$E$6:$E$155,$A36,期初数据!$F$6:$F$155,"&lt;="&amp;首页!$B$7)+SUMIFS(销售录入!$Q$5:$Q$404,销售录入!$D$5:$D$404,$A36,销售录入!$U$5:$U$404,"&lt;="&amp;首页!$B$7)-SUMIFS(资金流水!$N$5:$N$504,资金流水!$G$5:$G$504,$A36,资金流水!$E$5:$E$504,"客户回款",资金流水!$B$5:$B$504,"&lt;="&amp;首页!$B$7)))-$K36-$J36-$I36)</f>
        <v/>
      </c>
      <c r="I36" s="44" t="str">
        <f aca="false">IF($A36="","",MIN($F36,MAX(0,SUMIFS(期初数据!$G$6:$G$155,期初数据!$E$6:$E$155,$A36,期初数据!$F$6:$F$155,"&lt;="&amp;首页!$B$7-30)+SUMIFS(销售录入!$Q$5:$Q$404,销售录入!$D$5:$D$404,$A36,销售录入!$U$5:$U$404,"&lt;="&amp;首页!$B$7-30)-SUMIFS(资金流水!$N$5:$N$504,资金流水!$G$5:$G$504,$A36,资金流水!$E$5:$E$504,"客户回款",资金流水!$B$5:$B$504,"&lt;="&amp;首页!$B$7)))-$K36-$J36)</f>
        <v/>
      </c>
      <c r="J36" s="44" t="str">
        <f aca="false">IF($A36="","",MIN($F36,MAX(0,SUMIFS(期初数据!$G$6:$G$155,期初数据!$E$6:$E$155,$A36,期初数据!$F$6:$F$155,"&lt;="&amp;首页!$B$7-60)+SUMIFS(销售录入!$Q$5:$Q$404,销售录入!$D$5:$D$404,$A36,销售录入!$U$5:$U$404,"&lt;="&amp;首页!$B$7-60)-SUMIFS(资金流水!$N$5:$N$504,资金流水!$G$5:$G$504,$A36,资金流水!$E$5:$E$504,"客户回款",资金流水!$B$5:$B$504,"&lt;="&amp;首页!$B$7)))-$K36)</f>
        <v/>
      </c>
      <c r="K36" s="44" t="str">
        <f aca="false">IF($A36="","",MIN($F36,MAX(0,SUMIFS(期初数据!$G$6:$G$155,期初数据!$E$6:$E$155,$A36,期初数据!$F$6:$F$155,"&lt;="&amp;首页!$B$7-90)+SUMIFS(销售录入!$Q$5:$Q$404,销售录入!$D$5:$D$404,$A36,销售录入!$U$5:$U$404,"&lt;="&amp;首页!$B$7-90)-SUMIFS(资金流水!$N$5:$N$504,资金流水!$G$5:$G$504,$A36,资金流水!$E$5:$E$504,"客户回款",资金流水!$B$5:$B$504,"&lt;="&amp;首页!$B$7))))</f>
        <v/>
      </c>
      <c r="L36" s="62" t="str">
        <f aca="false">IF($A36="","",$H36+$I36+$J36+$K36)</f>
        <v/>
      </c>
      <c r="M36" s="47" t="str">
        <f aca="false">IF($A36="","",IF($K36&gt;0,"高危",IF($J36&gt;0,"关注",IF($L36&gt;0,"提醒","正常"))))</f>
        <v/>
      </c>
      <c r="N36" s="42" t="str">
        <f aca="false">IF($A36="","",基础资料!$AA36)</f>
        <v/>
      </c>
    </row>
    <row r="37" customFormat="false" ht="15.75" hidden="false" customHeight="true" outlineLevel="0" collapsed="false">
      <c r="A37" s="35" t="str">
        <f aca="false">IF(基础资料!$Z37="","",基础资料!$Z37)</f>
        <v/>
      </c>
      <c r="B37" s="42" t="str">
        <f aca="false">IF($A37="","",N(基础资料!$AB37))</f>
        <v/>
      </c>
      <c r="C37" s="54" t="str">
        <f aca="false">IF($A37="","",SUMIFS(期初数据!$G$6:$G$155,期初数据!$E$6:$E$155,$A37,期初数据!$F$6:$F$155,"&lt;"&amp;首页!$B$6)+SUMIFS(销售录入!$Q$5:$Q$404,销售录入!$D$5:$D$404,$A37,销售录入!$B$5:$B$404,"&lt;"&amp;首页!$B$6)-SUMIFS(资金流水!$N$5:$N$504,资金流水!$G$5:$G$504,$A37,资金流水!$E$5:$E$504,"客户回款",资金流水!$B$5:$B$504,"&lt;"&amp;首页!$B$6))</f>
        <v/>
      </c>
      <c r="D37" s="54" t="str">
        <f aca="false">IF($A37="","",SUMIFS(销售录入!$Q$5:$Q$404,销售录入!$D$5:$D$404,$A37,销售录入!$C$5:$C$404,首页!$B$5))</f>
        <v/>
      </c>
      <c r="E37" s="54" t="str">
        <f aca="false">IF($A37="","",SUMIFS(资金流水!$N$5:$N$504,资金流水!$G$5:$G$504,$A37,资金流水!$E$5:$E$504,"客户回款",资金流水!$C$5:$C$504,首页!$B$5))</f>
        <v/>
      </c>
      <c r="F37" s="62" t="str">
        <f aca="false">IF($A37="","",$C37+$D37-$E37)</f>
        <v/>
      </c>
      <c r="G37" s="44" t="str">
        <f aca="false">IF($A37="","",$F37-$H37-$I37-$J37-$K37)</f>
        <v/>
      </c>
      <c r="H37" s="44" t="str">
        <f aca="false">IF($A37="","",MIN($F37,MAX(0,SUMIFS(期初数据!$G$6:$G$155,期初数据!$E$6:$E$155,$A37,期初数据!$F$6:$F$155,"&lt;="&amp;首页!$B$7)+SUMIFS(销售录入!$Q$5:$Q$404,销售录入!$D$5:$D$404,$A37,销售录入!$U$5:$U$404,"&lt;="&amp;首页!$B$7)-SUMIFS(资金流水!$N$5:$N$504,资金流水!$G$5:$G$504,$A37,资金流水!$E$5:$E$504,"客户回款",资金流水!$B$5:$B$504,"&lt;="&amp;首页!$B$7)))-$K37-$J37-$I37)</f>
        <v/>
      </c>
      <c r="I37" s="44" t="str">
        <f aca="false">IF($A37="","",MIN($F37,MAX(0,SUMIFS(期初数据!$G$6:$G$155,期初数据!$E$6:$E$155,$A37,期初数据!$F$6:$F$155,"&lt;="&amp;首页!$B$7-30)+SUMIFS(销售录入!$Q$5:$Q$404,销售录入!$D$5:$D$404,$A37,销售录入!$U$5:$U$404,"&lt;="&amp;首页!$B$7-30)-SUMIFS(资金流水!$N$5:$N$504,资金流水!$G$5:$G$504,$A37,资金流水!$E$5:$E$504,"客户回款",资金流水!$B$5:$B$504,"&lt;="&amp;首页!$B$7)))-$K37-$J37)</f>
        <v/>
      </c>
      <c r="J37" s="44" t="str">
        <f aca="false">IF($A37="","",MIN($F37,MAX(0,SUMIFS(期初数据!$G$6:$G$155,期初数据!$E$6:$E$155,$A37,期初数据!$F$6:$F$155,"&lt;="&amp;首页!$B$7-60)+SUMIFS(销售录入!$Q$5:$Q$404,销售录入!$D$5:$D$404,$A37,销售录入!$U$5:$U$404,"&lt;="&amp;首页!$B$7-60)-SUMIFS(资金流水!$N$5:$N$504,资金流水!$G$5:$G$504,$A37,资金流水!$E$5:$E$504,"客户回款",资金流水!$B$5:$B$504,"&lt;="&amp;首页!$B$7)))-$K37)</f>
        <v/>
      </c>
      <c r="K37" s="44" t="str">
        <f aca="false">IF($A37="","",MIN($F37,MAX(0,SUMIFS(期初数据!$G$6:$G$155,期初数据!$E$6:$E$155,$A37,期初数据!$F$6:$F$155,"&lt;="&amp;首页!$B$7-90)+SUMIFS(销售录入!$Q$5:$Q$404,销售录入!$D$5:$D$404,$A37,销售录入!$U$5:$U$404,"&lt;="&amp;首页!$B$7-90)-SUMIFS(资金流水!$N$5:$N$504,资金流水!$G$5:$G$504,$A37,资金流水!$E$5:$E$504,"客户回款",资金流水!$B$5:$B$504,"&lt;="&amp;首页!$B$7))))</f>
        <v/>
      </c>
      <c r="L37" s="62" t="str">
        <f aca="false">IF($A37="","",$H37+$I37+$J37+$K37)</f>
        <v/>
      </c>
      <c r="M37" s="47" t="str">
        <f aca="false">IF($A37="","",IF($K37&gt;0,"高危",IF($J37&gt;0,"关注",IF($L37&gt;0,"提醒","正常"))))</f>
        <v/>
      </c>
      <c r="N37" s="42" t="str">
        <f aca="false">IF($A37="","",基础资料!$AA37)</f>
        <v/>
      </c>
    </row>
    <row r="38" customFormat="false" ht="15.75" hidden="false" customHeight="true" outlineLevel="0" collapsed="false">
      <c r="A38" s="35" t="str">
        <f aca="false">IF(基础资料!$Z38="","",基础资料!$Z38)</f>
        <v/>
      </c>
      <c r="B38" s="42" t="str">
        <f aca="false">IF($A38="","",N(基础资料!$AB38))</f>
        <v/>
      </c>
      <c r="C38" s="54" t="str">
        <f aca="false">IF($A38="","",SUMIFS(期初数据!$G$6:$G$155,期初数据!$E$6:$E$155,$A38,期初数据!$F$6:$F$155,"&lt;"&amp;首页!$B$6)+SUMIFS(销售录入!$Q$5:$Q$404,销售录入!$D$5:$D$404,$A38,销售录入!$B$5:$B$404,"&lt;"&amp;首页!$B$6)-SUMIFS(资金流水!$N$5:$N$504,资金流水!$G$5:$G$504,$A38,资金流水!$E$5:$E$504,"客户回款",资金流水!$B$5:$B$504,"&lt;"&amp;首页!$B$6))</f>
        <v/>
      </c>
      <c r="D38" s="54" t="str">
        <f aca="false">IF($A38="","",SUMIFS(销售录入!$Q$5:$Q$404,销售录入!$D$5:$D$404,$A38,销售录入!$C$5:$C$404,首页!$B$5))</f>
        <v/>
      </c>
      <c r="E38" s="54" t="str">
        <f aca="false">IF($A38="","",SUMIFS(资金流水!$N$5:$N$504,资金流水!$G$5:$G$504,$A38,资金流水!$E$5:$E$504,"客户回款",资金流水!$C$5:$C$504,首页!$B$5))</f>
        <v/>
      </c>
      <c r="F38" s="62" t="str">
        <f aca="false">IF($A38="","",$C38+$D38-$E38)</f>
        <v/>
      </c>
      <c r="G38" s="44" t="str">
        <f aca="false">IF($A38="","",$F38-$H38-$I38-$J38-$K38)</f>
        <v/>
      </c>
      <c r="H38" s="44" t="str">
        <f aca="false">IF($A38="","",MIN($F38,MAX(0,SUMIFS(期初数据!$G$6:$G$155,期初数据!$E$6:$E$155,$A38,期初数据!$F$6:$F$155,"&lt;="&amp;首页!$B$7)+SUMIFS(销售录入!$Q$5:$Q$404,销售录入!$D$5:$D$404,$A38,销售录入!$U$5:$U$404,"&lt;="&amp;首页!$B$7)-SUMIFS(资金流水!$N$5:$N$504,资金流水!$G$5:$G$504,$A38,资金流水!$E$5:$E$504,"客户回款",资金流水!$B$5:$B$504,"&lt;="&amp;首页!$B$7)))-$K38-$J38-$I38)</f>
        <v/>
      </c>
      <c r="I38" s="44" t="str">
        <f aca="false">IF($A38="","",MIN($F38,MAX(0,SUMIFS(期初数据!$G$6:$G$155,期初数据!$E$6:$E$155,$A38,期初数据!$F$6:$F$155,"&lt;="&amp;首页!$B$7-30)+SUMIFS(销售录入!$Q$5:$Q$404,销售录入!$D$5:$D$404,$A38,销售录入!$U$5:$U$404,"&lt;="&amp;首页!$B$7-30)-SUMIFS(资金流水!$N$5:$N$504,资金流水!$G$5:$G$504,$A38,资金流水!$E$5:$E$504,"客户回款",资金流水!$B$5:$B$504,"&lt;="&amp;首页!$B$7)))-$K38-$J38)</f>
        <v/>
      </c>
      <c r="J38" s="44" t="str">
        <f aca="false">IF($A38="","",MIN($F38,MAX(0,SUMIFS(期初数据!$G$6:$G$155,期初数据!$E$6:$E$155,$A38,期初数据!$F$6:$F$155,"&lt;="&amp;首页!$B$7-60)+SUMIFS(销售录入!$Q$5:$Q$404,销售录入!$D$5:$D$404,$A38,销售录入!$U$5:$U$404,"&lt;="&amp;首页!$B$7-60)-SUMIFS(资金流水!$N$5:$N$504,资金流水!$G$5:$G$504,$A38,资金流水!$E$5:$E$504,"客户回款",资金流水!$B$5:$B$504,"&lt;="&amp;首页!$B$7)))-$K38)</f>
        <v/>
      </c>
      <c r="K38" s="44" t="str">
        <f aca="false">IF($A38="","",MIN($F38,MAX(0,SUMIFS(期初数据!$G$6:$G$155,期初数据!$E$6:$E$155,$A38,期初数据!$F$6:$F$155,"&lt;="&amp;首页!$B$7-90)+SUMIFS(销售录入!$Q$5:$Q$404,销售录入!$D$5:$D$404,$A38,销售录入!$U$5:$U$404,"&lt;="&amp;首页!$B$7-90)-SUMIFS(资金流水!$N$5:$N$504,资金流水!$G$5:$G$504,$A38,资金流水!$E$5:$E$504,"客户回款",资金流水!$B$5:$B$504,"&lt;="&amp;首页!$B$7))))</f>
        <v/>
      </c>
      <c r="L38" s="62" t="str">
        <f aca="false">IF($A38="","",$H38+$I38+$J38+$K38)</f>
        <v/>
      </c>
      <c r="M38" s="47" t="str">
        <f aca="false">IF($A38="","",IF($K38&gt;0,"高危",IF($J38&gt;0,"关注",IF($L38&gt;0,"提醒","正常"))))</f>
        <v/>
      </c>
      <c r="N38" s="42" t="str">
        <f aca="false">IF($A38="","",基础资料!$AA38)</f>
        <v/>
      </c>
    </row>
    <row r="39" customFormat="false" ht="15.75" hidden="false" customHeight="true" outlineLevel="0" collapsed="false">
      <c r="A39" s="35" t="str">
        <f aca="false">IF(基础资料!$Z39="","",基础资料!$Z39)</f>
        <v/>
      </c>
      <c r="B39" s="42" t="str">
        <f aca="false">IF($A39="","",N(基础资料!$AB39))</f>
        <v/>
      </c>
      <c r="C39" s="54" t="str">
        <f aca="false">IF($A39="","",SUMIFS(期初数据!$G$6:$G$155,期初数据!$E$6:$E$155,$A39,期初数据!$F$6:$F$155,"&lt;"&amp;首页!$B$6)+SUMIFS(销售录入!$Q$5:$Q$404,销售录入!$D$5:$D$404,$A39,销售录入!$B$5:$B$404,"&lt;"&amp;首页!$B$6)-SUMIFS(资金流水!$N$5:$N$504,资金流水!$G$5:$G$504,$A39,资金流水!$E$5:$E$504,"客户回款",资金流水!$B$5:$B$504,"&lt;"&amp;首页!$B$6))</f>
        <v/>
      </c>
      <c r="D39" s="54" t="str">
        <f aca="false">IF($A39="","",SUMIFS(销售录入!$Q$5:$Q$404,销售录入!$D$5:$D$404,$A39,销售录入!$C$5:$C$404,首页!$B$5))</f>
        <v/>
      </c>
      <c r="E39" s="54" t="str">
        <f aca="false">IF($A39="","",SUMIFS(资金流水!$N$5:$N$504,资金流水!$G$5:$G$504,$A39,资金流水!$E$5:$E$504,"客户回款",资金流水!$C$5:$C$504,首页!$B$5))</f>
        <v/>
      </c>
      <c r="F39" s="62" t="str">
        <f aca="false">IF($A39="","",$C39+$D39-$E39)</f>
        <v/>
      </c>
      <c r="G39" s="44" t="str">
        <f aca="false">IF($A39="","",$F39-$H39-$I39-$J39-$K39)</f>
        <v/>
      </c>
      <c r="H39" s="44" t="str">
        <f aca="false">IF($A39="","",MIN($F39,MAX(0,SUMIFS(期初数据!$G$6:$G$155,期初数据!$E$6:$E$155,$A39,期初数据!$F$6:$F$155,"&lt;="&amp;首页!$B$7)+SUMIFS(销售录入!$Q$5:$Q$404,销售录入!$D$5:$D$404,$A39,销售录入!$U$5:$U$404,"&lt;="&amp;首页!$B$7)-SUMIFS(资金流水!$N$5:$N$504,资金流水!$G$5:$G$504,$A39,资金流水!$E$5:$E$504,"客户回款",资金流水!$B$5:$B$504,"&lt;="&amp;首页!$B$7)))-$K39-$J39-$I39)</f>
        <v/>
      </c>
      <c r="I39" s="44" t="str">
        <f aca="false">IF($A39="","",MIN($F39,MAX(0,SUMIFS(期初数据!$G$6:$G$155,期初数据!$E$6:$E$155,$A39,期初数据!$F$6:$F$155,"&lt;="&amp;首页!$B$7-30)+SUMIFS(销售录入!$Q$5:$Q$404,销售录入!$D$5:$D$404,$A39,销售录入!$U$5:$U$404,"&lt;="&amp;首页!$B$7-30)-SUMIFS(资金流水!$N$5:$N$504,资金流水!$G$5:$G$504,$A39,资金流水!$E$5:$E$504,"客户回款",资金流水!$B$5:$B$504,"&lt;="&amp;首页!$B$7)))-$K39-$J39)</f>
        <v/>
      </c>
      <c r="J39" s="44" t="str">
        <f aca="false">IF($A39="","",MIN($F39,MAX(0,SUMIFS(期初数据!$G$6:$G$155,期初数据!$E$6:$E$155,$A39,期初数据!$F$6:$F$155,"&lt;="&amp;首页!$B$7-60)+SUMIFS(销售录入!$Q$5:$Q$404,销售录入!$D$5:$D$404,$A39,销售录入!$U$5:$U$404,"&lt;="&amp;首页!$B$7-60)-SUMIFS(资金流水!$N$5:$N$504,资金流水!$G$5:$G$504,$A39,资金流水!$E$5:$E$504,"客户回款",资金流水!$B$5:$B$504,"&lt;="&amp;首页!$B$7)))-$K39)</f>
        <v/>
      </c>
      <c r="K39" s="44" t="str">
        <f aca="false">IF($A39="","",MIN($F39,MAX(0,SUMIFS(期初数据!$G$6:$G$155,期初数据!$E$6:$E$155,$A39,期初数据!$F$6:$F$155,"&lt;="&amp;首页!$B$7-90)+SUMIFS(销售录入!$Q$5:$Q$404,销售录入!$D$5:$D$404,$A39,销售录入!$U$5:$U$404,"&lt;="&amp;首页!$B$7-90)-SUMIFS(资金流水!$N$5:$N$504,资金流水!$G$5:$G$504,$A39,资金流水!$E$5:$E$504,"客户回款",资金流水!$B$5:$B$504,"&lt;="&amp;首页!$B$7))))</f>
        <v/>
      </c>
      <c r="L39" s="62" t="str">
        <f aca="false">IF($A39="","",$H39+$I39+$J39+$K39)</f>
        <v/>
      </c>
      <c r="M39" s="47" t="str">
        <f aca="false">IF($A39="","",IF($K39&gt;0,"高危",IF($J39&gt;0,"关注",IF($L39&gt;0,"提醒","正常"))))</f>
        <v/>
      </c>
      <c r="N39" s="42" t="str">
        <f aca="false">IF($A39="","",基础资料!$AA39)</f>
        <v/>
      </c>
    </row>
    <row r="40" customFormat="false" ht="15.75" hidden="false" customHeight="true" outlineLevel="0" collapsed="false">
      <c r="A40" s="35" t="str">
        <f aca="false">IF(基础资料!$Z40="","",基础资料!$Z40)</f>
        <v/>
      </c>
      <c r="B40" s="42" t="str">
        <f aca="false">IF($A40="","",N(基础资料!$AB40))</f>
        <v/>
      </c>
      <c r="C40" s="54" t="str">
        <f aca="false">IF($A40="","",SUMIFS(期初数据!$G$6:$G$155,期初数据!$E$6:$E$155,$A40,期初数据!$F$6:$F$155,"&lt;"&amp;首页!$B$6)+SUMIFS(销售录入!$Q$5:$Q$404,销售录入!$D$5:$D$404,$A40,销售录入!$B$5:$B$404,"&lt;"&amp;首页!$B$6)-SUMIFS(资金流水!$N$5:$N$504,资金流水!$G$5:$G$504,$A40,资金流水!$E$5:$E$504,"客户回款",资金流水!$B$5:$B$504,"&lt;"&amp;首页!$B$6))</f>
        <v/>
      </c>
      <c r="D40" s="54" t="str">
        <f aca="false">IF($A40="","",SUMIFS(销售录入!$Q$5:$Q$404,销售录入!$D$5:$D$404,$A40,销售录入!$C$5:$C$404,首页!$B$5))</f>
        <v/>
      </c>
      <c r="E40" s="54" t="str">
        <f aca="false">IF($A40="","",SUMIFS(资金流水!$N$5:$N$504,资金流水!$G$5:$G$504,$A40,资金流水!$E$5:$E$504,"客户回款",资金流水!$C$5:$C$504,首页!$B$5))</f>
        <v/>
      </c>
      <c r="F40" s="62" t="str">
        <f aca="false">IF($A40="","",$C40+$D40-$E40)</f>
        <v/>
      </c>
      <c r="G40" s="44" t="str">
        <f aca="false">IF($A40="","",$F40-$H40-$I40-$J40-$K40)</f>
        <v/>
      </c>
      <c r="H40" s="44" t="str">
        <f aca="false">IF($A40="","",MIN($F40,MAX(0,SUMIFS(期初数据!$G$6:$G$155,期初数据!$E$6:$E$155,$A40,期初数据!$F$6:$F$155,"&lt;="&amp;首页!$B$7)+SUMIFS(销售录入!$Q$5:$Q$404,销售录入!$D$5:$D$404,$A40,销售录入!$U$5:$U$404,"&lt;="&amp;首页!$B$7)-SUMIFS(资金流水!$N$5:$N$504,资金流水!$G$5:$G$504,$A40,资金流水!$E$5:$E$504,"客户回款",资金流水!$B$5:$B$504,"&lt;="&amp;首页!$B$7)))-$K40-$J40-$I40)</f>
        <v/>
      </c>
      <c r="I40" s="44" t="str">
        <f aca="false">IF($A40="","",MIN($F40,MAX(0,SUMIFS(期初数据!$G$6:$G$155,期初数据!$E$6:$E$155,$A40,期初数据!$F$6:$F$155,"&lt;="&amp;首页!$B$7-30)+SUMIFS(销售录入!$Q$5:$Q$404,销售录入!$D$5:$D$404,$A40,销售录入!$U$5:$U$404,"&lt;="&amp;首页!$B$7-30)-SUMIFS(资金流水!$N$5:$N$504,资金流水!$G$5:$G$504,$A40,资金流水!$E$5:$E$504,"客户回款",资金流水!$B$5:$B$504,"&lt;="&amp;首页!$B$7)))-$K40-$J40)</f>
        <v/>
      </c>
      <c r="J40" s="44" t="str">
        <f aca="false">IF($A40="","",MIN($F40,MAX(0,SUMIFS(期初数据!$G$6:$G$155,期初数据!$E$6:$E$155,$A40,期初数据!$F$6:$F$155,"&lt;="&amp;首页!$B$7-60)+SUMIFS(销售录入!$Q$5:$Q$404,销售录入!$D$5:$D$404,$A40,销售录入!$U$5:$U$404,"&lt;="&amp;首页!$B$7-60)-SUMIFS(资金流水!$N$5:$N$504,资金流水!$G$5:$G$504,$A40,资金流水!$E$5:$E$504,"客户回款",资金流水!$B$5:$B$504,"&lt;="&amp;首页!$B$7)))-$K40)</f>
        <v/>
      </c>
      <c r="K40" s="44" t="str">
        <f aca="false">IF($A40="","",MIN($F40,MAX(0,SUMIFS(期初数据!$G$6:$G$155,期初数据!$E$6:$E$155,$A40,期初数据!$F$6:$F$155,"&lt;="&amp;首页!$B$7-90)+SUMIFS(销售录入!$Q$5:$Q$404,销售录入!$D$5:$D$404,$A40,销售录入!$U$5:$U$404,"&lt;="&amp;首页!$B$7-90)-SUMIFS(资金流水!$N$5:$N$504,资金流水!$G$5:$G$504,$A40,资金流水!$E$5:$E$504,"客户回款",资金流水!$B$5:$B$504,"&lt;="&amp;首页!$B$7))))</f>
        <v/>
      </c>
      <c r="L40" s="62" t="str">
        <f aca="false">IF($A40="","",$H40+$I40+$J40+$K40)</f>
        <v/>
      </c>
      <c r="M40" s="47" t="str">
        <f aca="false">IF($A40="","",IF($K40&gt;0,"高危",IF($J40&gt;0,"关注",IF($L40&gt;0,"提醒","正常"))))</f>
        <v/>
      </c>
      <c r="N40" s="42" t="str">
        <f aca="false">IF($A40="","",基础资料!$AA40)</f>
        <v/>
      </c>
    </row>
    <row r="41" customFormat="false" ht="15.75" hidden="false" customHeight="true" outlineLevel="0" collapsed="false">
      <c r="A41" s="35" t="str">
        <f aca="false">IF(基础资料!$Z41="","",基础资料!$Z41)</f>
        <v/>
      </c>
      <c r="B41" s="42" t="str">
        <f aca="false">IF($A41="","",N(基础资料!$AB41))</f>
        <v/>
      </c>
      <c r="C41" s="54" t="str">
        <f aca="false">IF($A41="","",SUMIFS(期初数据!$G$6:$G$155,期初数据!$E$6:$E$155,$A41,期初数据!$F$6:$F$155,"&lt;"&amp;首页!$B$6)+SUMIFS(销售录入!$Q$5:$Q$404,销售录入!$D$5:$D$404,$A41,销售录入!$B$5:$B$404,"&lt;"&amp;首页!$B$6)-SUMIFS(资金流水!$N$5:$N$504,资金流水!$G$5:$G$504,$A41,资金流水!$E$5:$E$504,"客户回款",资金流水!$B$5:$B$504,"&lt;"&amp;首页!$B$6))</f>
        <v/>
      </c>
      <c r="D41" s="54" t="str">
        <f aca="false">IF($A41="","",SUMIFS(销售录入!$Q$5:$Q$404,销售录入!$D$5:$D$404,$A41,销售录入!$C$5:$C$404,首页!$B$5))</f>
        <v/>
      </c>
      <c r="E41" s="54" t="str">
        <f aca="false">IF($A41="","",SUMIFS(资金流水!$N$5:$N$504,资金流水!$G$5:$G$504,$A41,资金流水!$E$5:$E$504,"客户回款",资金流水!$C$5:$C$504,首页!$B$5))</f>
        <v/>
      </c>
      <c r="F41" s="62" t="str">
        <f aca="false">IF($A41="","",$C41+$D41-$E41)</f>
        <v/>
      </c>
      <c r="G41" s="44" t="str">
        <f aca="false">IF($A41="","",$F41-$H41-$I41-$J41-$K41)</f>
        <v/>
      </c>
      <c r="H41" s="44" t="str">
        <f aca="false">IF($A41="","",MIN($F41,MAX(0,SUMIFS(期初数据!$G$6:$G$155,期初数据!$E$6:$E$155,$A41,期初数据!$F$6:$F$155,"&lt;="&amp;首页!$B$7)+SUMIFS(销售录入!$Q$5:$Q$404,销售录入!$D$5:$D$404,$A41,销售录入!$U$5:$U$404,"&lt;="&amp;首页!$B$7)-SUMIFS(资金流水!$N$5:$N$504,资金流水!$G$5:$G$504,$A41,资金流水!$E$5:$E$504,"客户回款",资金流水!$B$5:$B$504,"&lt;="&amp;首页!$B$7)))-$K41-$J41-$I41)</f>
        <v/>
      </c>
      <c r="I41" s="44" t="str">
        <f aca="false">IF($A41="","",MIN($F41,MAX(0,SUMIFS(期初数据!$G$6:$G$155,期初数据!$E$6:$E$155,$A41,期初数据!$F$6:$F$155,"&lt;="&amp;首页!$B$7-30)+SUMIFS(销售录入!$Q$5:$Q$404,销售录入!$D$5:$D$404,$A41,销售录入!$U$5:$U$404,"&lt;="&amp;首页!$B$7-30)-SUMIFS(资金流水!$N$5:$N$504,资金流水!$G$5:$G$504,$A41,资金流水!$E$5:$E$504,"客户回款",资金流水!$B$5:$B$504,"&lt;="&amp;首页!$B$7)))-$K41-$J41)</f>
        <v/>
      </c>
      <c r="J41" s="44" t="str">
        <f aca="false">IF($A41="","",MIN($F41,MAX(0,SUMIFS(期初数据!$G$6:$G$155,期初数据!$E$6:$E$155,$A41,期初数据!$F$6:$F$155,"&lt;="&amp;首页!$B$7-60)+SUMIFS(销售录入!$Q$5:$Q$404,销售录入!$D$5:$D$404,$A41,销售录入!$U$5:$U$404,"&lt;="&amp;首页!$B$7-60)-SUMIFS(资金流水!$N$5:$N$504,资金流水!$G$5:$G$504,$A41,资金流水!$E$5:$E$504,"客户回款",资金流水!$B$5:$B$504,"&lt;="&amp;首页!$B$7)))-$K41)</f>
        <v/>
      </c>
      <c r="K41" s="44" t="str">
        <f aca="false">IF($A41="","",MIN($F41,MAX(0,SUMIFS(期初数据!$G$6:$G$155,期初数据!$E$6:$E$155,$A41,期初数据!$F$6:$F$155,"&lt;="&amp;首页!$B$7-90)+SUMIFS(销售录入!$Q$5:$Q$404,销售录入!$D$5:$D$404,$A41,销售录入!$U$5:$U$404,"&lt;="&amp;首页!$B$7-90)-SUMIFS(资金流水!$N$5:$N$504,资金流水!$G$5:$G$504,$A41,资金流水!$E$5:$E$504,"客户回款",资金流水!$B$5:$B$504,"&lt;="&amp;首页!$B$7))))</f>
        <v/>
      </c>
      <c r="L41" s="62" t="str">
        <f aca="false">IF($A41="","",$H41+$I41+$J41+$K41)</f>
        <v/>
      </c>
      <c r="M41" s="47" t="str">
        <f aca="false">IF($A41="","",IF($K41&gt;0,"高危",IF($J41&gt;0,"关注",IF($L41&gt;0,"提醒","正常"))))</f>
        <v/>
      </c>
      <c r="N41" s="42" t="str">
        <f aca="false">IF($A41="","",基础资料!$AA41)</f>
        <v/>
      </c>
    </row>
    <row r="42" customFormat="false" ht="15.75" hidden="false" customHeight="true" outlineLevel="0" collapsed="false">
      <c r="A42" s="35" t="str">
        <f aca="false">IF(基础资料!$Z42="","",基础资料!$Z42)</f>
        <v/>
      </c>
      <c r="B42" s="42" t="str">
        <f aca="false">IF($A42="","",N(基础资料!$AB42))</f>
        <v/>
      </c>
      <c r="C42" s="54" t="str">
        <f aca="false">IF($A42="","",SUMIFS(期初数据!$G$6:$G$155,期初数据!$E$6:$E$155,$A42,期初数据!$F$6:$F$155,"&lt;"&amp;首页!$B$6)+SUMIFS(销售录入!$Q$5:$Q$404,销售录入!$D$5:$D$404,$A42,销售录入!$B$5:$B$404,"&lt;"&amp;首页!$B$6)-SUMIFS(资金流水!$N$5:$N$504,资金流水!$G$5:$G$504,$A42,资金流水!$E$5:$E$504,"客户回款",资金流水!$B$5:$B$504,"&lt;"&amp;首页!$B$6))</f>
        <v/>
      </c>
      <c r="D42" s="54" t="str">
        <f aca="false">IF($A42="","",SUMIFS(销售录入!$Q$5:$Q$404,销售录入!$D$5:$D$404,$A42,销售录入!$C$5:$C$404,首页!$B$5))</f>
        <v/>
      </c>
      <c r="E42" s="54" t="str">
        <f aca="false">IF($A42="","",SUMIFS(资金流水!$N$5:$N$504,资金流水!$G$5:$G$504,$A42,资金流水!$E$5:$E$504,"客户回款",资金流水!$C$5:$C$504,首页!$B$5))</f>
        <v/>
      </c>
      <c r="F42" s="62" t="str">
        <f aca="false">IF($A42="","",$C42+$D42-$E42)</f>
        <v/>
      </c>
      <c r="G42" s="44" t="str">
        <f aca="false">IF($A42="","",$F42-$H42-$I42-$J42-$K42)</f>
        <v/>
      </c>
      <c r="H42" s="44" t="str">
        <f aca="false">IF($A42="","",MIN($F42,MAX(0,SUMIFS(期初数据!$G$6:$G$155,期初数据!$E$6:$E$155,$A42,期初数据!$F$6:$F$155,"&lt;="&amp;首页!$B$7)+SUMIFS(销售录入!$Q$5:$Q$404,销售录入!$D$5:$D$404,$A42,销售录入!$U$5:$U$404,"&lt;="&amp;首页!$B$7)-SUMIFS(资金流水!$N$5:$N$504,资金流水!$G$5:$G$504,$A42,资金流水!$E$5:$E$504,"客户回款",资金流水!$B$5:$B$504,"&lt;="&amp;首页!$B$7)))-$K42-$J42-$I42)</f>
        <v/>
      </c>
      <c r="I42" s="44" t="str">
        <f aca="false">IF($A42="","",MIN($F42,MAX(0,SUMIFS(期初数据!$G$6:$G$155,期初数据!$E$6:$E$155,$A42,期初数据!$F$6:$F$155,"&lt;="&amp;首页!$B$7-30)+SUMIFS(销售录入!$Q$5:$Q$404,销售录入!$D$5:$D$404,$A42,销售录入!$U$5:$U$404,"&lt;="&amp;首页!$B$7-30)-SUMIFS(资金流水!$N$5:$N$504,资金流水!$G$5:$G$504,$A42,资金流水!$E$5:$E$504,"客户回款",资金流水!$B$5:$B$504,"&lt;="&amp;首页!$B$7)))-$K42-$J42)</f>
        <v/>
      </c>
      <c r="J42" s="44" t="str">
        <f aca="false">IF($A42="","",MIN($F42,MAX(0,SUMIFS(期初数据!$G$6:$G$155,期初数据!$E$6:$E$155,$A42,期初数据!$F$6:$F$155,"&lt;="&amp;首页!$B$7-60)+SUMIFS(销售录入!$Q$5:$Q$404,销售录入!$D$5:$D$404,$A42,销售录入!$U$5:$U$404,"&lt;="&amp;首页!$B$7-60)-SUMIFS(资金流水!$N$5:$N$504,资金流水!$G$5:$G$504,$A42,资金流水!$E$5:$E$504,"客户回款",资金流水!$B$5:$B$504,"&lt;="&amp;首页!$B$7)))-$K42)</f>
        <v/>
      </c>
      <c r="K42" s="44" t="str">
        <f aca="false">IF($A42="","",MIN($F42,MAX(0,SUMIFS(期初数据!$G$6:$G$155,期初数据!$E$6:$E$155,$A42,期初数据!$F$6:$F$155,"&lt;="&amp;首页!$B$7-90)+SUMIFS(销售录入!$Q$5:$Q$404,销售录入!$D$5:$D$404,$A42,销售录入!$U$5:$U$404,"&lt;="&amp;首页!$B$7-90)-SUMIFS(资金流水!$N$5:$N$504,资金流水!$G$5:$G$504,$A42,资金流水!$E$5:$E$504,"客户回款",资金流水!$B$5:$B$504,"&lt;="&amp;首页!$B$7))))</f>
        <v/>
      </c>
      <c r="L42" s="62" t="str">
        <f aca="false">IF($A42="","",$H42+$I42+$J42+$K42)</f>
        <v/>
      </c>
      <c r="M42" s="47" t="str">
        <f aca="false">IF($A42="","",IF($K42&gt;0,"高危",IF($J42&gt;0,"关注",IF($L42&gt;0,"提醒","正常"))))</f>
        <v/>
      </c>
      <c r="N42" s="42" t="str">
        <f aca="false">IF($A42="","",基础资料!$AA42)</f>
        <v/>
      </c>
    </row>
    <row r="43" customFormat="false" ht="15.75" hidden="false" customHeight="true" outlineLevel="0" collapsed="false">
      <c r="A43" s="35" t="str">
        <f aca="false">IF(基础资料!$Z43="","",基础资料!$Z43)</f>
        <v/>
      </c>
      <c r="B43" s="42" t="str">
        <f aca="false">IF($A43="","",N(基础资料!$AB43))</f>
        <v/>
      </c>
      <c r="C43" s="54" t="str">
        <f aca="false">IF($A43="","",SUMIFS(期初数据!$G$6:$G$155,期初数据!$E$6:$E$155,$A43,期初数据!$F$6:$F$155,"&lt;"&amp;首页!$B$6)+SUMIFS(销售录入!$Q$5:$Q$404,销售录入!$D$5:$D$404,$A43,销售录入!$B$5:$B$404,"&lt;"&amp;首页!$B$6)-SUMIFS(资金流水!$N$5:$N$504,资金流水!$G$5:$G$504,$A43,资金流水!$E$5:$E$504,"客户回款",资金流水!$B$5:$B$504,"&lt;"&amp;首页!$B$6))</f>
        <v/>
      </c>
      <c r="D43" s="54" t="str">
        <f aca="false">IF($A43="","",SUMIFS(销售录入!$Q$5:$Q$404,销售录入!$D$5:$D$404,$A43,销售录入!$C$5:$C$404,首页!$B$5))</f>
        <v/>
      </c>
      <c r="E43" s="54" t="str">
        <f aca="false">IF($A43="","",SUMIFS(资金流水!$N$5:$N$504,资金流水!$G$5:$G$504,$A43,资金流水!$E$5:$E$504,"客户回款",资金流水!$C$5:$C$504,首页!$B$5))</f>
        <v/>
      </c>
      <c r="F43" s="62" t="str">
        <f aca="false">IF($A43="","",$C43+$D43-$E43)</f>
        <v/>
      </c>
      <c r="G43" s="44" t="str">
        <f aca="false">IF($A43="","",$F43-$H43-$I43-$J43-$K43)</f>
        <v/>
      </c>
      <c r="H43" s="44" t="str">
        <f aca="false">IF($A43="","",MIN($F43,MAX(0,SUMIFS(期初数据!$G$6:$G$155,期初数据!$E$6:$E$155,$A43,期初数据!$F$6:$F$155,"&lt;="&amp;首页!$B$7)+SUMIFS(销售录入!$Q$5:$Q$404,销售录入!$D$5:$D$404,$A43,销售录入!$U$5:$U$404,"&lt;="&amp;首页!$B$7)-SUMIFS(资金流水!$N$5:$N$504,资金流水!$G$5:$G$504,$A43,资金流水!$E$5:$E$504,"客户回款",资金流水!$B$5:$B$504,"&lt;="&amp;首页!$B$7)))-$K43-$J43-$I43)</f>
        <v/>
      </c>
      <c r="I43" s="44" t="str">
        <f aca="false">IF($A43="","",MIN($F43,MAX(0,SUMIFS(期初数据!$G$6:$G$155,期初数据!$E$6:$E$155,$A43,期初数据!$F$6:$F$155,"&lt;="&amp;首页!$B$7-30)+SUMIFS(销售录入!$Q$5:$Q$404,销售录入!$D$5:$D$404,$A43,销售录入!$U$5:$U$404,"&lt;="&amp;首页!$B$7-30)-SUMIFS(资金流水!$N$5:$N$504,资金流水!$G$5:$G$504,$A43,资金流水!$E$5:$E$504,"客户回款",资金流水!$B$5:$B$504,"&lt;="&amp;首页!$B$7)))-$K43-$J43)</f>
        <v/>
      </c>
      <c r="J43" s="44" t="str">
        <f aca="false">IF($A43="","",MIN($F43,MAX(0,SUMIFS(期初数据!$G$6:$G$155,期初数据!$E$6:$E$155,$A43,期初数据!$F$6:$F$155,"&lt;="&amp;首页!$B$7-60)+SUMIFS(销售录入!$Q$5:$Q$404,销售录入!$D$5:$D$404,$A43,销售录入!$U$5:$U$404,"&lt;="&amp;首页!$B$7-60)-SUMIFS(资金流水!$N$5:$N$504,资金流水!$G$5:$G$504,$A43,资金流水!$E$5:$E$504,"客户回款",资金流水!$B$5:$B$504,"&lt;="&amp;首页!$B$7)))-$K43)</f>
        <v/>
      </c>
      <c r="K43" s="44" t="str">
        <f aca="false">IF($A43="","",MIN($F43,MAX(0,SUMIFS(期初数据!$G$6:$G$155,期初数据!$E$6:$E$155,$A43,期初数据!$F$6:$F$155,"&lt;="&amp;首页!$B$7-90)+SUMIFS(销售录入!$Q$5:$Q$404,销售录入!$D$5:$D$404,$A43,销售录入!$U$5:$U$404,"&lt;="&amp;首页!$B$7-90)-SUMIFS(资金流水!$N$5:$N$504,资金流水!$G$5:$G$504,$A43,资金流水!$E$5:$E$504,"客户回款",资金流水!$B$5:$B$504,"&lt;="&amp;首页!$B$7))))</f>
        <v/>
      </c>
      <c r="L43" s="62" t="str">
        <f aca="false">IF($A43="","",$H43+$I43+$J43+$K43)</f>
        <v/>
      </c>
      <c r="M43" s="47" t="str">
        <f aca="false">IF($A43="","",IF($K43&gt;0,"高危",IF($J43&gt;0,"关注",IF($L43&gt;0,"提醒","正常"))))</f>
        <v/>
      </c>
      <c r="N43" s="42" t="str">
        <f aca="false">IF($A43="","",基础资料!$AA43)</f>
        <v/>
      </c>
    </row>
    <row r="44" customFormat="false" ht="15.75" hidden="false" customHeight="true" outlineLevel="0" collapsed="false">
      <c r="A44" s="35" t="str">
        <f aca="false">IF(基础资料!$Z44="","",基础资料!$Z44)</f>
        <v/>
      </c>
      <c r="B44" s="42" t="str">
        <f aca="false">IF($A44="","",N(基础资料!$AB44))</f>
        <v/>
      </c>
      <c r="C44" s="54" t="str">
        <f aca="false">IF($A44="","",SUMIFS(期初数据!$G$6:$G$155,期初数据!$E$6:$E$155,$A44,期初数据!$F$6:$F$155,"&lt;"&amp;首页!$B$6)+SUMIFS(销售录入!$Q$5:$Q$404,销售录入!$D$5:$D$404,$A44,销售录入!$B$5:$B$404,"&lt;"&amp;首页!$B$6)-SUMIFS(资金流水!$N$5:$N$504,资金流水!$G$5:$G$504,$A44,资金流水!$E$5:$E$504,"客户回款",资金流水!$B$5:$B$504,"&lt;"&amp;首页!$B$6))</f>
        <v/>
      </c>
      <c r="D44" s="54" t="str">
        <f aca="false">IF($A44="","",SUMIFS(销售录入!$Q$5:$Q$404,销售录入!$D$5:$D$404,$A44,销售录入!$C$5:$C$404,首页!$B$5))</f>
        <v/>
      </c>
      <c r="E44" s="54" t="str">
        <f aca="false">IF($A44="","",SUMIFS(资金流水!$N$5:$N$504,资金流水!$G$5:$G$504,$A44,资金流水!$E$5:$E$504,"客户回款",资金流水!$C$5:$C$504,首页!$B$5))</f>
        <v/>
      </c>
      <c r="F44" s="62" t="str">
        <f aca="false">IF($A44="","",$C44+$D44-$E44)</f>
        <v/>
      </c>
      <c r="G44" s="44" t="str">
        <f aca="false">IF($A44="","",$F44-$H44-$I44-$J44-$K44)</f>
        <v/>
      </c>
      <c r="H44" s="44" t="str">
        <f aca="false">IF($A44="","",MIN($F44,MAX(0,SUMIFS(期初数据!$G$6:$G$155,期初数据!$E$6:$E$155,$A44,期初数据!$F$6:$F$155,"&lt;="&amp;首页!$B$7)+SUMIFS(销售录入!$Q$5:$Q$404,销售录入!$D$5:$D$404,$A44,销售录入!$U$5:$U$404,"&lt;="&amp;首页!$B$7)-SUMIFS(资金流水!$N$5:$N$504,资金流水!$G$5:$G$504,$A44,资金流水!$E$5:$E$504,"客户回款",资金流水!$B$5:$B$504,"&lt;="&amp;首页!$B$7)))-$K44-$J44-$I44)</f>
        <v/>
      </c>
      <c r="I44" s="44" t="str">
        <f aca="false">IF($A44="","",MIN($F44,MAX(0,SUMIFS(期初数据!$G$6:$G$155,期初数据!$E$6:$E$155,$A44,期初数据!$F$6:$F$155,"&lt;="&amp;首页!$B$7-30)+SUMIFS(销售录入!$Q$5:$Q$404,销售录入!$D$5:$D$404,$A44,销售录入!$U$5:$U$404,"&lt;="&amp;首页!$B$7-30)-SUMIFS(资金流水!$N$5:$N$504,资金流水!$G$5:$G$504,$A44,资金流水!$E$5:$E$504,"客户回款",资金流水!$B$5:$B$504,"&lt;="&amp;首页!$B$7)))-$K44-$J44)</f>
        <v/>
      </c>
      <c r="J44" s="44" t="str">
        <f aca="false">IF($A44="","",MIN($F44,MAX(0,SUMIFS(期初数据!$G$6:$G$155,期初数据!$E$6:$E$155,$A44,期初数据!$F$6:$F$155,"&lt;="&amp;首页!$B$7-60)+SUMIFS(销售录入!$Q$5:$Q$404,销售录入!$D$5:$D$404,$A44,销售录入!$U$5:$U$404,"&lt;="&amp;首页!$B$7-60)-SUMIFS(资金流水!$N$5:$N$504,资金流水!$G$5:$G$504,$A44,资金流水!$E$5:$E$504,"客户回款",资金流水!$B$5:$B$504,"&lt;="&amp;首页!$B$7)))-$K44)</f>
        <v/>
      </c>
      <c r="K44" s="44" t="str">
        <f aca="false">IF($A44="","",MIN($F44,MAX(0,SUMIFS(期初数据!$G$6:$G$155,期初数据!$E$6:$E$155,$A44,期初数据!$F$6:$F$155,"&lt;="&amp;首页!$B$7-90)+SUMIFS(销售录入!$Q$5:$Q$404,销售录入!$D$5:$D$404,$A44,销售录入!$U$5:$U$404,"&lt;="&amp;首页!$B$7-90)-SUMIFS(资金流水!$N$5:$N$504,资金流水!$G$5:$G$504,$A44,资金流水!$E$5:$E$504,"客户回款",资金流水!$B$5:$B$504,"&lt;="&amp;首页!$B$7))))</f>
        <v/>
      </c>
      <c r="L44" s="62" t="str">
        <f aca="false">IF($A44="","",$H44+$I44+$J44+$K44)</f>
        <v/>
      </c>
      <c r="M44" s="47" t="str">
        <f aca="false">IF($A44="","",IF($K44&gt;0,"高危",IF($J44&gt;0,"关注",IF($L44&gt;0,"提醒","正常"))))</f>
        <v/>
      </c>
      <c r="N44" s="42" t="str">
        <f aca="false">IF($A44="","",基础资料!$AA44)</f>
        <v/>
      </c>
    </row>
    <row r="45" customFormat="false" ht="15.75" hidden="false" customHeight="true" outlineLevel="0" collapsed="false">
      <c r="A45" s="35" t="str">
        <f aca="false">IF(基础资料!$Z45="","",基础资料!$Z45)</f>
        <v/>
      </c>
      <c r="B45" s="42" t="str">
        <f aca="false">IF($A45="","",N(基础资料!$AB45))</f>
        <v/>
      </c>
      <c r="C45" s="54" t="str">
        <f aca="false">IF($A45="","",SUMIFS(期初数据!$G$6:$G$155,期初数据!$E$6:$E$155,$A45,期初数据!$F$6:$F$155,"&lt;"&amp;首页!$B$6)+SUMIFS(销售录入!$Q$5:$Q$404,销售录入!$D$5:$D$404,$A45,销售录入!$B$5:$B$404,"&lt;"&amp;首页!$B$6)-SUMIFS(资金流水!$N$5:$N$504,资金流水!$G$5:$G$504,$A45,资金流水!$E$5:$E$504,"客户回款",资金流水!$B$5:$B$504,"&lt;"&amp;首页!$B$6))</f>
        <v/>
      </c>
      <c r="D45" s="54" t="str">
        <f aca="false">IF($A45="","",SUMIFS(销售录入!$Q$5:$Q$404,销售录入!$D$5:$D$404,$A45,销售录入!$C$5:$C$404,首页!$B$5))</f>
        <v/>
      </c>
      <c r="E45" s="54" t="str">
        <f aca="false">IF($A45="","",SUMIFS(资金流水!$N$5:$N$504,资金流水!$G$5:$G$504,$A45,资金流水!$E$5:$E$504,"客户回款",资金流水!$C$5:$C$504,首页!$B$5))</f>
        <v/>
      </c>
      <c r="F45" s="62" t="str">
        <f aca="false">IF($A45="","",$C45+$D45-$E45)</f>
        <v/>
      </c>
      <c r="G45" s="44" t="str">
        <f aca="false">IF($A45="","",$F45-$H45-$I45-$J45-$K45)</f>
        <v/>
      </c>
      <c r="H45" s="44" t="str">
        <f aca="false">IF($A45="","",MIN($F45,MAX(0,SUMIFS(期初数据!$G$6:$G$155,期初数据!$E$6:$E$155,$A45,期初数据!$F$6:$F$155,"&lt;="&amp;首页!$B$7)+SUMIFS(销售录入!$Q$5:$Q$404,销售录入!$D$5:$D$404,$A45,销售录入!$U$5:$U$404,"&lt;="&amp;首页!$B$7)-SUMIFS(资金流水!$N$5:$N$504,资金流水!$G$5:$G$504,$A45,资金流水!$E$5:$E$504,"客户回款",资金流水!$B$5:$B$504,"&lt;="&amp;首页!$B$7)))-$K45-$J45-$I45)</f>
        <v/>
      </c>
      <c r="I45" s="44" t="str">
        <f aca="false">IF($A45="","",MIN($F45,MAX(0,SUMIFS(期初数据!$G$6:$G$155,期初数据!$E$6:$E$155,$A45,期初数据!$F$6:$F$155,"&lt;="&amp;首页!$B$7-30)+SUMIFS(销售录入!$Q$5:$Q$404,销售录入!$D$5:$D$404,$A45,销售录入!$U$5:$U$404,"&lt;="&amp;首页!$B$7-30)-SUMIFS(资金流水!$N$5:$N$504,资金流水!$G$5:$G$504,$A45,资金流水!$E$5:$E$504,"客户回款",资金流水!$B$5:$B$504,"&lt;="&amp;首页!$B$7)))-$K45-$J45)</f>
        <v/>
      </c>
      <c r="J45" s="44" t="str">
        <f aca="false">IF($A45="","",MIN($F45,MAX(0,SUMIFS(期初数据!$G$6:$G$155,期初数据!$E$6:$E$155,$A45,期初数据!$F$6:$F$155,"&lt;="&amp;首页!$B$7-60)+SUMIFS(销售录入!$Q$5:$Q$404,销售录入!$D$5:$D$404,$A45,销售录入!$U$5:$U$404,"&lt;="&amp;首页!$B$7-60)-SUMIFS(资金流水!$N$5:$N$504,资金流水!$G$5:$G$504,$A45,资金流水!$E$5:$E$504,"客户回款",资金流水!$B$5:$B$504,"&lt;="&amp;首页!$B$7)))-$K45)</f>
        <v/>
      </c>
      <c r="K45" s="44" t="str">
        <f aca="false">IF($A45="","",MIN($F45,MAX(0,SUMIFS(期初数据!$G$6:$G$155,期初数据!$E$6:$E$155,$A45,期初数据!$F$6:$F$155,"&lt;="&amp;首页!$B$7-90)+SUMIFS(销售录入!$Q$5:$Q$404,销售录入!$D$5:$D$404,$A45,销售录入!$U$5:$U$404,"&lt;="&amp;首页!$B$7-90)-SUMIFS(资金流水!$N$5:$N$504,资金流水!$G$5:$G$504,$A45,资金流水!$E$5:$E$504,"客户回款",资金流水!$B$5:$B$504,"&lt;="&amp;首页!$B$7))))</f>
        <v/>
      </c>
      <c r="L45" s="62" t="str">
        <f aca="false">IF($A45="","",$H45+$I45+$J45+$K45)</f>
        <v/>
      </c>
      <c r="M45" s="47" t="str">
        <f aca="false">IF($A45="","",IF($K45&gt;0,"高危",IF($J45&gt;0,"关注",IF($L45&gt;0,"提醒","正常"))))</f>
        <v/>
      </c>
      <c r="N45" s="42" t="str">
        <f aca="false">IF($A45="","",基础资料!$AA45)</f>
        <v/>
      </c>
    </row>
    <row r="46" customFormat="false" ht="15.75" hidden="false" customHeight="true" outlineLevel="0" collapsed="false">
      <c r="A46" s="35" t="str">
        <f aca="false">IF(基础资料!$Z46="","",基础资料!$Z46)</f>
        <v/>
      </c>
      <c r="B46" s="42" t="str">
        <f aca="false">IF($A46="","",N(基础资料!$AB46))</f>
        <v/>
      </c>
      <c r="C46" s="54" t="str">
        <f aca="false">IF($A46="","",SUMIFS(期初数据!$G$6:$G$155,期初数据!$E$6:$E$155,$A46,期初数据!$F$6:$F$155,"&lt;"&amp;首页!$B$6)+SUMIFS(销售录入!$Q$5:$Q$404,销售录入!$D$5:$D$404,$A46,销售录入!$B$5:$B$404,"&lt;"&amp;首页!$B$6)-SUMIFS(资金流水!$N$5:$N$504,资金流水!$G$5:$G$504,$A46,资金流水!$E$5:$E$504,"客户回款",资金流水!$B$5:$B$504,"&lt;"&amp;首页!$B$6))</f>
        <v/>
      </c>
      <c r="D46" s="54" t="str">
        <f aca="false">IF($A46="","",SUMIFS(销售录入!$Q$5:$Q$404,销售录入!$D$5:$D$404,$A46,销售录入!$C$5:$C$404,首页!$B$5))</f>
        <v/>
      </c>
      <c r="E46" s="54" t="str">
        <f aca="false">IF($A46="","",SUMIFS(资金流水!$N$5:$N$504,资金流水!$G$5:$G$504,$A46,资金流水!$E$5:$E$504,"客户回款",资金流水!$C$5:$C$504,首页!$B$5))</f>
        <v/>
      </c>
      <c r="F46" s="62" t="str">
        <f aca="false">IF($A46="","",$C46+$D46-$E46)</f>
        <v/>
      </c>
      <c r="G46" s="44" t="str">
        <f aca="false">IF($A46="","",$F46-$H46-$I46-$J46-$K46)</f>
        <v/>
      </c>
      <c r="H46" s="44" t="str">
        <f aca="false">IF($A46="","",MIN($F46,MAX(0,SUMIFS(期初数据!$G$6:$G$155,期初数据!$E$6:$E$155,$A46,期初数据!$F$6:$F$155,"&lt;="&amp;首页!$B$7)+SUMIFS(销售录入!$Q$5:$Q$404,销售录入!$D$5:$D$404,$A46,销售录入!$U$5:$U$404,"&lt;="&amp;首页!$B$7)-SUMIFS(资金流水!$N$5:$N$504,资金流水!$G$5:$G$504,$A46,资金流水!$E$5:$E$504,"客户回款",资金流水!$B$5:$B$504,"&lt;="&amp;首页!$B$7)))-$K46-$J46-$I46)</f>
        <v/>
      </c>
      <c r="I46" s="44" t="str">
        <f aca="false">IF($A46="","",MIN($F46,MAX(0,SUMIFS(期初数据!$G$6:$G$155,期初数据!$E$6:$E$155,$A46,期初数据!$F$6:$F$155,"&lt;="&amp;首页!$B$7-30)+SUMIFS(销售录入!$Q$5:$Q$404,销售录入!$D$5:$D$404,$A46,销售录入!$U$5:$U$404,"&lt;="&amp;首页!$B$7-30)-SUMIFS(资金流水!$N$5:$N$504,资金流水!$G$5:$G$504,$A46,资金流水!$E$5:$E$504,"客户回款",资金流水!$B$5:$B$504,"&lt;="&amp;首页!$B$7)))-$K46-$J46)</f>
        <v/>
      </c>
      <c r="J46" s="44" t="str">
        <f aca="false">IF($A46="","",MIN($F46,MAX(0,SUMIFS(期初数据!$G$6:$G$155,期初数据!$E$6:$E$155,$A46,期初数据!$F$6:$F$155,"&lt;="&amp;首页!$B$7-60)+SUMIFS(销售录入!$Q$5:$Q$404,销售录入!$D$5:$D$404,$A46,销售录入!$U$5:$U$404,"&lt;="&amp;首页!$B$7-60)-SUMIFS(资金流水!$N$5:$N$504,资金流水!$G$5:$G$504,$A46,资金流水!$E$5:$E$504,"客户回款",资金流水!$B$5:$B$504,"&lt;="&amp;首页!$B$7)))-$K46)</f>
        <v/>
      </c>
      <c r="K46" s="44" t="str">
        <f aca="false">IF($A46="","",MIN($F46,MAX(0,SUMIFS(期初数据!$G$6:$G$155,期初数据!$E$6:$E$155,$A46,期初数据!$F$6:$F$155,"&lt;="&amp;首页!$B$7-90)+SUMIFS(销售录入!$Q$5:$Q$404,销售录入!$D$5:$D$404,$A46,销售录入!$U$5:$U$404,"&lt;="&amp;首页!$B$7-90)-SUMIFS(资金流水!$N$5:$N$504,资金流水!$G$5:$G$504,$A46,资金流水!$E$5:$E$504,"客户回款",资金流水!$B$5:$B$504,"&lt;="&amp;首页!$B$7))))</f>
        <v/>
      </c>
      <c r="L46" s="62" t="str">
        <f aca="false">IF($A46="","",$H46+$I46+$J46+$K46)</f>
        <v/>
      </c>
      <c r="M46" s="47" t="str">
        <f aca="false">IF($A46="","",IF($K46&gt;0,"高危",IF($J46&gt;0,"关注",IF($L46&gt;0,"提醒","正常"))))</f>
        <v/>
      </c>
      <c r="N46" s="42" t="str">
        <f aca="false">IF($A46="","",基础资料!$AA46)</f>
        <v/>
      </c>
    </row>
    <row r="47" customFormat="false" ht="15.75" hidden="false" customHeight="true" outlineLevel="0" collapsed="false">
      <c r="A47" s="35" t="str">
        <f aca="false">IF(基础资料!$Z47="","",基础资料!$Z47)</f>
        <v/>
      </c>
      <c r="B47" s="42" t="str">
        <f aca="false">IF($A47="","",N(基础资料!$AB47))</f>
        <v/>
      </c>
      <c r="C47" s="54" t="str">
        <f aca="false">IF($A47="","",SUMIFS(期初数据!$G$6:$G$155,期初数据!$E$6:$E$155,$A47,期初数据!$F$6:$F$155,"&lt;"&amp;首页!$B$6)+SUMIFS(销售录入!$Q$5:$Q$404,销售录入!$D$5:$D$404,$A47,销售录入!$B$5:$B$404,"&lt;"&amp;首页!$B$6)-SUMIFS(资金流水!$N$5:$N$504,资金流水!$G$5:$G$504,$A47,资金流水!$E$5:$E$504,"客户回款",资金流水!$B$5:$B$504,"&lt;"&amp;首页!$B$6))</f>
        <v/>
      </c>
      <c r="D47" s="54" t="str">
        <f aca="false">IF($A47="","",SUMIFS(销售录入!$Q$5:$Q$404,销售录入!$D$5:$D$404,$A47,销售录入!$C$5:$C$404,首页!$B$5))</f>
        <v/>
      </c>
      <c r="E47" s="54" t="str">
        <f aca="false">IF($A47="","",SUMIFS(资金流水!$N$5:$N$504,资金流水!$G$5:$G$504,$A47,资金流水!$E$5:$E$504,"客户回款",资金流水!$C$5:$C$504,首页!$B$5))</f>
        <v/>
      </c>
      <c r="F47" s="62" t="str">
        <f aca="false">IF($A47="","",$C47+$D47-$E47)</f>
        <v/>
      </c>
      <c r="G47" s="44" t="str">
        <f aca="false">IF($A47="","",$F47-$H47-$I47-$J47-$K47)</f>
        <v/>
      </c>
      <c r="H47" s="44" t="str">
        <f aca="false">IF($A47="","",MIN($F47,MAX(0,SUMIFS(期初数据!$G$6:$G$155,期初数据!$E$6:$E$155,$A47,期初数据!$F$6:$F$155,"&lt;="&amp;首页!$B$7)+SUMIFS(销售录入!$Q$5:$Q$404,销售录入!$D$5:$D$404,$A47,销售录入!$U$5:$U$404,"&lt;="&amp;首页!$B$7)-SUMIFS(资金流水!$N$5:$N$504,资金流水!$G$5:$G$504,$A47,资金流水!$E$5:$E$504,"客户回款",资金流水!$B$5:$B$504,"&lt;="&amp;首页!$B$7)))-$K47-$J47-$I47)</f>
        <v/>
      </c>
      <c r="I47" s="44" t="str">
        <f aca="false">IF($A47="","",MIN($F47,MAX(0,SUMIFS(期初数据!$G$6:$G$155,期初数据!$E$6:$E$155,$A47,期初数据!$F$6:$F$155,"&lt;="&amp;首页!$B$7-30)+SUMIFS(销售录入!$Q$5:$Q$404,销售录入!$D$5:$D$404,$A47,销售录入!$U$5:$U$404,"&lt;="&amp;首页!$B$7-30)-SUMIFS(资金流水!$N$5:$N$504,资金流水!$G$5:$G$504,$A47,资金流水!$E$5:$E$504,"客户回款",资金流水!$B$5:$B$504,"&lt;="&amp;首页!$B$7)))-$K47-$J47)</f>
        <v/>
      </c>
      <c r="J47" s="44" t="str">
        <f aca="false">IF($A47="","",MIN($F47,MAX(0,SUMIFS(期初数据!$G$6:$G$155,期初数据!$E$6:$E$155,$A47,期初数据!$F$6:$F$155,"&lt;="&amp;首页!$B$7-60)+SUMIFS(销售录入!$Q$5:$Q$404,销售录入!$D$5:$D$404,$A47,销售录入!$U$5:$U$404,"&lt;="&amp;首页!$B$7-60)-SUMIFS(资金流水!$N$5:$N$504,资金流水!$G$5:$G$504,$A47,资金流水!$E$5:$E$504,"客户回款",资金流水!$B$5:$B$504,"&lt;="&amp;首页!$B$7)))-$K47)</f>
        <v/>
      </c>
      <c r="K47" s="44" t="str">
        <f aca="false">IF($A47="","",MIN($F47,MAX(0,SUMIFS(期初数据!$G$6:$G$155,期初数据!$E$6:$E$155,$A47,期初数据!$F$6:$F$155,"&lt;="&amp;首页!$B$7-90)+SUMIFS(销售录入!$Q$5:$Q$404,销售录入!$D$5:$D$404,$A47,销售录入!$U$5:$U$404,"&lt;="&amp;首页!$B$7-90)-SUMIFS(资金流水!$N$5:$N$504,资金流水!$G$5:$G$504,$A47,资金流水!$E$5:$E$504,"客户回款",资金流水!$B$5:$B$504,"&lt;="&amp;首页!$B$7))))</f>
        <v/>
      </c>
      <c r="L47" s="62" t="str">
        <f aca="false">IF($A47="","",$H47+$I47+$J47+$K47)</f>
        <v/>
      </c>
      <c r="M47" s="47" t="str">
        <f aca="false">IF($A47="","",IF($K47&gt;0,"高危",IF($J47&gt;0,"关注",IF($L47&gt;0,"提醒","正常"))))</f>
        <v/>
      </c>
      <c r="N47" s="42" t="str">
        <f aca="false">IF($A47="","",基础资料!$AA47)</f>
        <v/>
      </c>
    </row>
    <row r="48" customFormat="false" ht="15.75" hidden="false" customHeight="true" outlineLevel="0" collapsed="false">
      <c r="A48" s="35" t="str">
        <f aca="false">IF(基础资料!$Z48="","",基础资料!$Z48)</f>
        <v/>
      </c>
      <c r="B48" s="42" t="str">
        <f aca="false">IF($A48="","",N(基础资料!$AB48))</f>
        <v/>
      </c>
      <c r="C48" s="54" t="str">
        <f aca="false">IF($A48="","",SUMIFS(期初数据!$G$6:$G$155,期初数据!$E$6:$E$155,$A48,期初数据!$F$6:$F$155,"&lt;"&amp;首页!$B$6)+SUMIFS(销售录入!$Q$5:$Q$404,销售录入!$D$5:$D$404,$A48,销售录入!$B$5:$B$404,"&lt;"&amp;首页!$B$6)-SUMIFS(资金流水!$N$5:$N$504,资金流水!$G$5:$G$504,$A48,资金流水!$E$5:$E$504,"客户回款",资金流水!$B$5:$B$504,"&lt;"&amp;首页!$B$6))</f>
        <v/>
      </c>
      <c r="D48" s="54" t="str">
        <f aca="false">IF($A48="","",SUMIFS(销售录入!$Q$5:$Q$404,销售录入!$D$5:$D$404,$A48,销售录入!$C$5:$C$404,首页!$B$5))</f>
        <v/>
      </c>
      <c r="E48" s="54" t="str">
        <f aca="false">IF($A48="","",SUMIFS(资金流水!$N$5:$N$504,资金流水!$G$5:$G$504,$A48,资金流水!$E$5:$E$504,"客户回款",资金流水!$C$5:$C$504,首页!$B$5))</f>
        <v/>
      </c>
      <c r="F48" s="62" t="str">
        <f aca="false">IF($A48="","",$C48+$D48-$E48)</f>
        <v/>
      </c>
      <c r="G48" s="44" t="str">
        <f aca="false">IF($A48="","",$F48-$H48-$I48-$J48-$K48)</f>
        <v/>
      </c>
      <c r="H48" s="44" t="str">
        <f aca="false">IF($A48="","",MIN($F48,MAX(0,SUMIFS(期初数据!$G$6:$G$155,期初数据!$E$6:$E$155,$A48,期初数据!$F$6:$F$155,"&lt;="&amp;首页!$B$7)+SUMIFS(销售录入!$Q$5:$Q$404,销售录入!$D$5:$D$404,$A48,销售录入!$U$5:$U$404,"&lt;="&amp;首页!$B$7)-SUMIFS(资金流水!$N$5:$N$504,资金流水!$G$5:$G$504,$A48,资金流水!$E$5:$E$504,"客户回款",资金流水!$B$5:$B$504,"&lt;="&amp;首页!$B$7)))-$K48-$J48-$I48)</f>
        <v/>
      </c>
      <c r="I48" s="44" t="str">
        <f aca="false">IF($A48="","",MIN($F48,MAX(0,SUMIFS(期初数据!$G$6:$G$155,期初数据!$E$6:$E$155,$A48,期初数据!$F$6:$F$155,"&lt;="&amp;首页!$B$7-30)+SUMIFS(销售录入!$Q$5:$Q$404,销售录入!$D$5:$D$404,$A48,销售录入!$U$5:$U$404,"&lt;="&amp;首页!$B$7-30)-SUMIFS(资金流水!$N$5:$N$504,资金流水!$G$5:$G$504,$A48,资金流水!$E$5:$E$504,"客户回款",资金流水!$B$5:$B$504,"&lt;="&amp;首页!$B$7)))-$K48-$J48)</f>
        <v/>
      </c>
      <c r="J48" s="44" t="str">
        <f aca="false">IF($A48="","",MIN($F48,MAX(0,SUMIFS(期初数据!$G$6:$G$155,期初数据!$E$6:$E$155,$A48,期初数据!$F$6:$F$155,"&lt;="&amp;首页!$B$7-60)+SUMIFS(销售录入!$Q$5:$Q$404,销售录入!$D$5:$D$404,$A48,销售录入!$U$5:$U$404,"&lt;="&amp;首页!$B$7-60)-SUMIFS(资金流水!$N$5:$N$504,资金流水!$G$5:$G$504,$A48,资金流水!$E$5:$E$504,"客户回款",资金流水!$B$5:$B$504,"&lt;="&amp;首页!$B$7)))-$K48)</f>
        <v/>
      </c>
      <c r="K48" s="44" t="str">
        <f aca="false">IF($A48="","",MIN($F48,MAX(0,SUMIFS(期初数据!$G$6:$G$155,期初数据!$E$6:$E$155,$A48,期初数据!$F$6:$F$155,"&lt;="&amp;首页!$B$7-90)+SUMIFS(销售录入!$Q$5:$Q$404,销售录入!$D$5:$D$404,$A48,销售录入!$U$5:$U$404,"&lt;="&amp;首页!$B$7-90)-SUMIFS(资金流水!$N$5:$N$504,资金流水!$G$5:$G$504,$A48,资金流水!$E$5:$E$504,"客户回款",资金流水!$B$5:$B$504,"&lt;="&amp;首页!$B$7))))</f>
        <v/>
      </c>
      <c r="L48" s="62" t="str">
        <f aca="false">IF($A48="","",$H48+$I48+$J48+$K48)</f>
        <v/>
      </c>
      <c r="M48" s="47" t="str">
        <f aca="false">IF($A48="","",IF($K48&gt;0,"高危",IF($J48&gt;0,"关注",IF($L48&gt;0,"提醒","正常"))))</f>
        <v/>
      </c>
      <c r="N48" s="42" t="str">
        <f aca="false">IF($A48="","",基础资料!$AA48)</f>
        <v/>
      </c>
    </row>
    <row r="49" customFormat="false" ht="15.75" hidden="false" customHeight="true" outlineLevel="0" collapsed="false">
      <c r="A49" s="35" t="str">
        <f aca="false">IF(基础资料!$Z49="","",基础资料!$Z49)</f>
        <v/>
      </c>
      <c r="B49" s="42" t="str">
        <f aca="false">IF($A49="","",N(基础资料!$AB49))</f>
        <v/>
      </c>
      <c r="C49" s="54" t="str">
        <f aca="false">IF($A49="","",SUMIFS(期初数据!$G$6:$G$155,期初数据!$E$6:$E$155,$A49,期初数据!$F$6:$F$155,"&lt;"&amp;首页!$B$6)+SUMIFS(销售录入!$Q$5:$Q$404,销售录入!$D$5:$D$404,$A49,销售录入!$B$5:$B$404,"&lt;"&amp;首页!$B$6)-SUMIFS(资金流水!$N$5:$N$504,资金流水!$G$5:$G$504,$A49,资金流水!$E$5:$E$504,"客户回款",资金流水!$B$5:$B$504,"&lt;"&amp;首页!$B$6))</f>
        <v/>
      </c>
      <c r="D49" s="54" t="str">
        <f aca="false">IF($A49="","",SUMIFS(销售录入!$Q$5:$Q$404,销售录入!$D$5:$D$404,$A49,销售录入!$C$5:$C$404,首页!$B$5))</f>
        <v/>
      </c>
      <c r="E49" s="54" t="str">
        <f aca="false">IF($A49="","",SUMIFS(资金流水!$N$5:$N$504,资金流水!$G$5:$G$504,$A49,资金流水!$E$5:$E$504,"客户回款",资金流水!$C$5:$C$504,首页!$B$5))</f>
        <v/>
      </c>
      <c r="F49" s="62" t="str">
        <f aca="false">IF($A49="","",$C49+$D49-$E49)</f>
        <v/>
      </c>
      <c r="G49" s="44" t="str">
        <f aca="false">IF($A49="","",$F49-$H49-$I49-$J49-$K49)</f>
        <v/>
      </c>
      <c r="H49" s="44" t="str">
        <f aca="false">IF($A49="","",MIN($F49,MAX(0,SUMIFS(期初数据!$G$6:$G$155,期初数据!$E$6:$E$155,$A49,期初数据!$F$6:$F$155,"&lt;="&amp;首页!$B$7)+SUMIFS(销售录入!$Q$5:$Q$404,销售录入!$D$5:$D$404,$A49,销售录入!$U$5:$U$404,"&lt;="&amp;首页!$B$7)-SUMIFS(资金流水!$N$5:$N$504,资金流水!$G$5:$G$504,$A49,资金流水!$E$5:$E$504,"客户回款",资金流水!$B$5:$B$504,"&lt;="&amp;首页!$B$7)))-$K49-$J49-$I49)</f>
        <v/>
      </c>
      <c r="I49" s="44" t="str">
        <f aca="false">IF($A49="","",MIN($F49,MAX(0,SUMIFS(期初数据!$G$6:$G$155,期初数据!$E$6:$E$155,$A49,期初数据!$F$6:$F$155,"&lt;="&amp;首页!$B$7-30)+SUMIFS(销售录入!$Q$5:$Q$404,销售录入!$D$5:$D$404,$A49,销售录入!$U$5:$U$404,"&lt;="&amp;首页!$B$7-30)-SUMIFS(资金流水!$N$5:$N$504,资金流水!$G$5:$G$504,$A49,资金流水!$E$5:$E$504,"客户回款",资金流水!$B$5:$B$504,"&lt;="&amp;首页!$B$7)))-$K49-$J49)</f>
        <v/>
      </c>
      <c r="J49" s="44" t="str">
        <f aca="false">IF($A49="","",MIN($F49,MAX(0,SUMIFS(期初数据!$G$6:$G$155,期初数据!$E$6:$E$155,$A49,期初数据!$F$6:$F$155,"&lt;="&amp;首页!$B$7-60)+SUMIFS(销售录入!$Q$5:$Q$404,销售录入!$D$5:$D$404,$A49,销售录入!$U$5:$U$404,"&lt;="&amp;首页!$B$7-60)-SUMIFS(资金流水!$N$5:$N$504,资金流水!$G$5:$G$504,$A49,资金流水!$E$5:$E$504,"客户回款",资金流水!$B$5:$B$504,"&lt;="&amp;首页!$B$7)))-$K49)</f>
        <v/>
      </c>
      <c r="K49" s="44" t="str">
        <f aca="false">IF($A49="","",MIN($F49,MAX(0,SUMIFS(期初数据!$G$6:$G$155,期初数据!$E$6:$E$155,$A49,期初数据!$F$6:$F$155,"&lt;="&amp;首页!$B$7-90)+SUMIFS(销售录入!$Q$5:$Q$404,销售录入!$D$5:$D$404,$A49,销售录入!$U$5:$U$404,"&lt;="&amp;首页!$B$7-90)-SUMIFS(资金流水!$N$5:$N$504,资金流水!$G$5:$G$504,$A49,资金流水!$E$5:$E$504,"客户回款",资金流水!$B$5:$B$504,"&lt;="&amp;首页!$B$7))))</f>
        <v/>
      </c>
      <c r="L49" s="62" t="str">
        <f aca="false">IF($A49="","",$H49+$I49+$J49+$K49)</f>
        <v/>
      </c>
      <c r="M49" s="47" t="str">
        <f aca="false">IF($A49="","",IF($K49&gt;0,"高危",IF($J49&gt;0,"关注",IF($L49&gt;0,"提醒","正常"))))</f>
        <v/>
      </c>
      <c r="N49" s="42" t="str">
        <f aca="false">IF($A49="","",基础资料!$AA49)</f>
        <v/>
      </c>
    </row>
    <row r="50" customFormat="false" ht="15.75" hidden="false" customHeight="true" outlineLevel="0" collapsed="false">
      <c r="A50" s="35" t="str">
        <f aca="false">IF(基础资料!$Z50="","",基础资料!$Z50)</f>
        <v/>
      </c>
      <c r="B50" s="42" t="str">
        <f aca="false">IF($A50="","",N(基础资料!$AB50))</f>
        <v/>
      </c>
      <c r="C50" s="54" t="str">
        <f aca="false">IF($A50="","",SUMIFS(期初数据!$G$6:$G$155,期初数据!$E$6:$E$155,$A50,期初数据!$F$6:$F$155,"&lt;"&amp;首页!$B$6)+SUMIFS(销售录入!$Q$5:$Q$404,销售录入!$D$5:$D$404,$A50,销售录入!$B$5:$B$404,"&lt;"&amp;首页!$B$6)-SUMIFS(资金流水!$N$5:$N$504,资金流水!$G$5:$G$504,$A50,资金流水!$E$5:$E$504,"客户回款",资金流水!$B$5:$B$504,"&lt;"&amp;首页!$B$6))</f>
        <v/>
      </c>
      <c r="D50" s="54" t="str">
        <f aca="false">IF($A50="","",SUMIFS(销售录入!$Q$5:$Q$404,销售录入!$D$5:$D$404,$A50,销售录入!$C$5:$C$404,首页!$B$5))</f>
        <v/>
      </c>
      <c r="E50" s="54" t="str">
        <f aca="false">IF($A50="","",SUMIFS(资金流水!$N$5:$N$504,资金流水!$G$5:$G$504,$A50,资金流水!$E$5:$E$504,"客户回款",资金流水!$C$5:$C$504,首页!$B$5))</f>
        <v/>
      </c>
      <c r="F50" s="62" t="str">
        <f aca="false">IF($A50="","",$C50+$D50-$E50)</f>
        <v/>
      </c>
      <c r="G50" s="44" t="str">
        <f aca="false">IF($A50="","",$F50-$H50-$I50-$J50-$K50)</f>
        <v/>
      </c>
      <c r="H50" s="44" t="str">
        <f aca="false">IF($A50="","",MIN($F50,MAX(0,SUMIFS(期初数据!$G$6:$G$155,期初数据!$E$6:$E$155,$A50,期初数据!$F$6:$F$155,"&lt;="&amp;首页!$B$7)+SUMIFS(销售录入!$Q$5:$Q$404,销售录入!$D$5:$D$404,$A50,销售录入!$U$5:$U$404,"&lt;="&amp;首页!$B$7)-SUMIFS(资金流水!$N$5:$N$504,资金流水!$G$5:$G$504,$A50,资金流水!$E$5:$E$504,"客户回款",资金流水!$B$5:$B$504,"&lt;="&amp;首页!$B$7)))-$K50-$J50-$I50)</f>
        <v/>
      </c>
      <c r="I50" s="44" t="str">
        <f aca="false">IF($A50="","",MIN($F50,MAX(0,SUMIFS(期初数据!$G$6:$G$155,期初数据!$E$6:$E$155,$A50,期初数据!$F$6:$F$155,"&lt;="&amp;首页!$B$7-30)+SUMIFS(销售录入!$Q$5:$Q$404,销售录入!$D$5:$D$404,$A50,销售录入!$U$5:$U$404,"&lt;="&amp;首页!$B$7-30)-SUMIFS(资金流水!$N$5:$N$504,资金流水!$G$5:$G$504,$A50,资金流水!$E$5:$E$504,"客户回款",资金流水!$B$5:$B$504,"&lt;="&amp;首页!$B$7)))-$K50-$J50)</f>
        <v/>
      </c>
      <c r="J50" s="44" t="str">
        <f aca="false">IF($A50="","",MIN($F50,MAX(0,SUMIFS(期初数据!$G$6:$G$155,期初数据!$E$6:$E$155,$A50,期初数据!$F$6:$F$155,"&lt;="&amp;首页!$B$7-60)+SUMIFS(销售录入!$Q$5:$Q$404,销售录入!$D$5:$D$404,$A50,销售录入!$U$5:$U$404,"&lt;="&amp;首页!$B$7-60)-SUMIFS(资金流水!$N$5:$N$504,资金流水!$G$5:$G$504,$A50,资金流水!$E$5:$E$504,"客户回款",资金流水!$B$5:$B$504,"&lt;="&amp;首页!$B$7)))-$K50)</f>
        <v/>
      </c>
      <c r="K50" s="44" t="str">
        <f aca="false">IF($A50="","",MIN($F50,MAX(0,SUMIFS(期初数据!$G$6:$G$155,期初数据!$E$6:$E$155,$A50,期初数据!$F$6:$F$155,"&lt;="&amp;首页!$B$7-90)+SUMIFS(销售录入!$Q$5:$Q$404,销售录入!$D$5:$D$404,$A50,销售录入!$U$5:$U$404,"&lt;="&amp;首页!$B$7-90)-SUMIFS(资金流水!$N$5:$N$504,资金流水!$G$5:$G$504,$A50,资金流水!$E$5:$E$504,"客户回款",资金流水!$B$5:$B$504,"&lt;="&amp;首页!$B$7))))</f>
        <v/>
      </c>
      <c r="L50" s="62" t="str">
        <f aca="false">IF($A50="","",$H50+$I50+$J50+$K50)</f>
        <v/>
      </c>
      <c r="M50" s="47" t="str">
        <f aca="false">IF($A50="","",IF($K50&gt;0,"高危",IF($J50&gt;0,"关注",IF($L50&gt;0,"提醒","正常"))))</f>
        <v/>
      </c>
      <c r="N50" s="42" t="str">
        <f aca="false">IF($A50="","",基础资料!$AA50)</f>
        <v/>
      </c>
    </row>
    <row r="51" customFormat="false" ht="15.75" hidden="false" customHeight="true" outlineLevel="0" collapsed="false">
      <c r="A51" s="35" t="str">
        <f aca="false">IF(基础资料!$Z51="","",基础资料!$Z51)</f>
        <v/>
      </c>
      <c r="B51" s="42" t="str">
        <f aca="false">IF($A51="","",N(基础资料!$AB51))</f>
        <v/>
      </c>
      <c r="C51" s="54" t="str">
        <f aca="false">IF($A51="","",SUMIFS(期初数据!$G$6:$G$155,期初数据!$E$6:$E$155,$A51,期初数据!$F$6:$F$155,"&lt;"&amp;首页!$B$6)+SUMIFS(销售录入!$Q$5:$Q$404,销售录入!$D$5:$D$404,$A51,销售录入!$B$5:$B$404,"&lt;"&amp;首页!$B$6)-SUMIFS(资金流水!$N$5:$N$504,资金流水!$G$5:$G$504,$A51,资金流水!$E$5:$E$504,"客户回款",资金流水!$B$5:$B$504,"&lt;"&amp;首页!$B$6))</f>
        <v/>
      </c>
      <c r="D51" s="54" t="str">
        <f aca="false">IF($A51="","",SUMIFS(销售录入!$Q$5:$Q$404,销售录入!$D$5:$D$404,$A51,销售录入!$C$5:$C$404,首页!$B$5))</f>
        <v/>
      </c>
      <c r="E51" s="54" t="str">
        <f aca="false">IF($A51="","",SUMIFS(资金流水!$N$5:$N$504,资金流水!$G$5:$G$504,$A51,资金流水!$E$5:$E$504,"客户回款",资金流水!$C$5:$C$504,首页!$B$5))</f>
        <v/>
      </c>
      <c r="F51" s="62" t="str">
        <f aca="false">IF($A51="","",$C51+$D51-$E51)</f>
        <v/>
      </c>
      <c r="G51" s="44" t="str">
        <f aca="false">IF($A51="","",$F51-$H51-$I51-$J51-$K51)</f>
        <v/>
      </c>
      <c r="H51" s="44" t="str">
        <f aca="false">IF($A51="","",MIN($F51,MAX(0,SUMIFS(期初数据!$G$6:$G$155,期初数据!$E$6:$E$155,$A51,期初数据!$F$6:$F$155,"&lt;="&amp;首页!$B$7)+SUMIFS(销售录入!$Q$5:$Q$404,销售录入!$D$5:$D$404,$A51,销售录入!$U$5:$U$404,"&lt;="&amp;首页!$B$7)-SUMIFS(资金流水!$N$5:$N$504,资金流水!$G$5:$G$504,$A51,资金流水!$E$5:$E$504,"客户回款",资金流水!$B$5:$B$504,"&lt;="&amp;首页!$B$7)))-$K51-$J51-$I51)</f>
        <v/>
      </c>
      <c r="I51" s="44" t="str">
        <f aca="false">IF($A51="","",MIN($F51,MAX(0,SUMIFS(期初数据!$G$6:$G$155,期初数据!$E$6:$E$155,$A51,期初数据!$F$6:$F$155,"&lt;="&amp;首页!$B$7-30)+SUMIFS(销售录入!$Q$5:$Q$404,销售录入!$D$5:$D$404,$A51,销售录入!$U$5:$U$404,"&lt;="&amp;首页!$B$7-30)-SUMIFS(资金流水!$N$5:$N$504,资金流水!$G$5:$G$504,$A51,资金流水!$E$5:$E$504,"客户回款",资金流水!$B$5:$B$504,"&lt;="&amp;首页!$B$7)))-$K51-$J51)</f>
        <v/>
      </c>
      <c r="J51" s="44" t="str">
        <f aca="false">IF($A51="","",MIN($F51,MAX(0,SUMIFS(期初数据!$G$6:$G$155,期初数据!$E$6:$E$155,$A51,期初数据!$F$6:$F$155,"&lt;="&amp;首页!$B$7-60)+SUMIFS(销售录入!$Q$5:$Q$404,销售录入!$D$5:$D$404,$A51,销售录入!$U$5:$U$404,"&lt;="&amp;首页!$B$7-60)-SUMIFS(资金流水!$N$5:$N$504,资金流水!$G$5:$G$504,$A51,资金流水!$E$5:$E$504,"客户回款",资金流水!$B$5:$B$504,"&lt;="&amp;首页!$B$7)))-$K51)</f>
        <v/>
      </c>
      <c r="K51" s="44" t="str">
        <f aca="false">IF($A51="","",MIN($F51,MAX(0,SUMIFS(期初数据!$G$6:$G$155,期初数据!$E$6:$E$155,$A51,期初数据!$F$6:$F$155,"&lt;="&amp;首页!$B$7-90)+SUMIFS(销售录入!$Q$5:$Q$404,销售录入!$D$5:$D$404,$A51,销售录入!$U$5:$U$404,"&lt;="&amp;首页!$B$7-90)-SUMIFS(资金流水!$N$5:$N$504,资金流水!$G$5:$G$504,$A51,资金流水!$E$5:$E$504,"客户回款",资金流水!$B$5:$B$504,"&lt;="&amp;首页!$B$7))))</f>
        <v/>
      </c>
      <c r="L51" s="62" t="str">
        <f aca="false">IF($A51="","",$H51+$I51+$J51+$K51)</f>
        <v/>
      </c>
      <c r="M51" s="47" t="str">
        <f aca="false">IF($A51="","",IF($K51&gt;0,"高危",IF($J51&gt;0,"关注",IF($L51&gt;0,"提醒","正常"))))</f>
        <v/>
      </c>
      <c r="N51" s="42" t="str">
        <f aca="false">IF($A51="","",基础资料!$AA51)</f>
        <v/>
      </c>
    </row>
    <row r="52" customFormat="false" ht="15.75" hidden="false" customHeight="true" outlineLevel="0" collapsed="false">
      <c r="A52" s="35" t="str">
        <f aca="false">IF(基础资料!$Z52="","",基础资料!$Z52)</f>
        <v/>
      </c>
      <c r="B52" s="42" t="str">
        <f aca="false">IF($A52="","",N(基础资料!$AB52))</f>
        <v/>
      </c>
      <c r="C52" s="54" t="str">
        <f aca="false">IF($A52="","",SUMIFS(期初数据!$G$6:$G$155,期初数据!$E$6:$E$155,$A52,期初数据!$F$6:$F$155,"&lt;"&amp;首页!$B$6)+SUMIFS(销售录入!$Q$5:$Q$404,销售录入!$D$5:$D$404,$A52,销售录入!$B$5:$B$404,"&lt;"&amp;首页!$B$6)-SUMIFS(资金流水!$N$5:$N$504,资金流水!$G$5:$G$504,$A52,资金流水!$E$5:$E$504,"客户回款",资金流水!$B$5:$B$504,"&lt;"&amp;首页!$B$6))</f>
        <v/>
      </c>
      <c r="D52" s="54" t="str">
        <f aca="false">IF($A52="","",SUMIFS(销售录入!$Q$5:$Q$404,销售录入!$D$5:$D$404,$A52,销售录入!$C$5:$C$404,首页!$B$5))</f>
        <v/>
      </c>
      <c r="E52" s="54" t="str">
        <f aca="false">IF($A52="","",SUMIFS(资金流水!$N$5:$N$504,资金流水!$G$5:$G$504,$A52,资金流水!$E$5:$E$504,"客户回款",资金流水!$C$5:$C$504,首页!$B$5))</f>
        <v/>
      </c>
      <c r="F52" s="62" t="str">
        <f aca="false">IF($A52="","",$C52+$D52-$E52)</f>
        <v/>
      </c>
      <c r="G52" s="44" t="str">
        <f aca="false">IF($A52="","",$F52-$H52-$I52-$J52-$K52)</f>
        <v/>
      </c>
      <c r="H52" s="44" t="str">
        <f aca="false">IF($A52="","",MIN($F52,MAX(0,SUMIFS(期初数据!$G$6:$G$155,期初数据!$E$6:$E$155,$A52,期初数据!$F$6:$F$155,"&lt;="&amp;首页!$B$7)+SUMIFS(销售录入!$Q$5:$Q$404,销售录入!$D$5:$D$404,$A52,销售录入!$U$5:$U$404,"&lt;="&amp;首页!$B$7)-SUMIFS(资金流水!$N$5:$N$504,资金流水!$G$5:$G$504,$A52,资金流水!$E$5:$E$504,"客户回款",资金流水!$B$5:$B$504,"&lt;="&amp;首页!$B$7)))-$K52-$J52-$I52)</f>
        <v/>
      </c>
      <c r="I52" s="44" t="str">
        <f aca="false">IF($A52="","",MIN($F52,MAX(0,SUMIFS(期初数据!$G$6:$G$155,期初数据!$E$6:$E$155,$A52,期初数据!$F$6:$F$155,"&lt;="&amp;首页!$B$7-30)+SUMIFS(销售录入!$Q$5:$Q$404,销售录入!$D$5:$D$404,$A52,销售录入!$U$5:$U$404,"&lt;="&amp;首页!$B$7-30)-SUMIFS(资金流水!$N$5:$N$504,资金流水!$G$5:$G$504,$A52,资金流水!$E$5:$E$504,"客户回款",资金流水!$B$5:$B$504,"&lt;="&amp;首页!$B$7)))-$K52-$J52)</f>
        <v/>
      </c>
      <c r="J52" s="44" t="str">
        <f aca="false">IF($A52="","",MIN($F52,MAX(0,SUMIFS(期初数据!$G$6:$G$155,期初数据!$E$6:$E$155,$A52,期初数据!$F$6:$F$155,"&lt;="&amp;首页!$B$7-60)+SUMIFS(销售录入!$Q$5:$Q$404,销售录入!$D$5:$D$404,$A52,销售录入!$U$5:$U$404,"&lt;="&amp;首页!$B$7-60)-SUMIFS(资金流水!$N$5:$N$504,资金流水!$G$5:$G$504,$A52,资金流水!$E$5:$E$504,"客户回款",资金流水!$B$5:$B$504,"&lt;="&amp;首页!$B$7)))-$K52)</f>
        <v/>
      </c>
      <c r="K52" s="44" t="str">
        <f aca="false">IF($A52="","",MIN($F52,MAX(0,SUMIFS(期初数据!$G$6:$G$155,期初数据!$E$6:$E$155,$A52,期初数据!$F$6:$F$155,"&lt;="&amp;首页!$B$7-90)+SUMIFS(销售录入!$Q$5:$Q$404,销售录入!$D$5:$D$404,$A52,销售录入!$U$5:$U$404,"&lt;="&amp;首页!$B$7-90)-SUMIFS(资金流水!$N$5:$N$504,资金流水!$G$5:$G$504,$A52,资金流水!$E$5:$E$504,"客户回款",资金流水!$B$5:$B$504,"&lt;="&amp;首页!$B$7))))</f>
        <v/>
      </c>
      <c r="L52" s="62" t="str">
        <f aca="false">IF($A52="","",$H52+$I52+$J52+$K52)</f>
        <v/>
      </c>
      <c r="M52" s="47" t="str">
        <f aca="false">IF($A52="","",IF($K52&gt;0,"高危",IF($J52&gt;0,"关注",IF($L52&gt;0,"提醒","正常"))))</f>
        <v/>
      </c>
      <c r="N52" s="42" t="str">
        <f aca="false">IF($A52="","",基础资料!$AA52)</f>
        <v/>
      </c>
    </row>
    <row r="53" customFormat="false" ht="15.75" hidden="false" customHeight="true" outlineLevel="0" collapsed="false">
      <c r="A53" s="35" t="str">
        <f aca="false">IF(基础资料!$Z53="","",基础资料!$Z53)</f>
        <v/>
      </c>
      <c r="B53" s="42" t="str">
        <f aca="false">IF($A53="","",N(基础资料!$AB53))</f>
        <v/>
      </c>
      <c r="C53" s="54" t="str">
        <f aca="false">IF($A53="","",SUMIFS(期初数据!$G$6:$G$155,期初数据!$E$6:$E$155,$A53,期初数据!$F$6:$F$155,"&lt;"&amp;首页!$B$6)+SUMIFS(销售录入!$Q$5:$Q$404,销售录入!$D$5:$D$404,$A53,销售录入!$B$5:$B$404,"&lt;"&amp;首页!$B$6)-SUMIFS(资金流水!$N$5:$N$504,资金流水!$G$5:$G$504,$A53,资金流水!$E$5:$E$504,"客户回款",资金流水!$B$5:$B$504,"&lt;"&amp;首页!$B$6))</f>
        <v/>
      </c>
      <c r="D53" s="54" t="str">
        <f aca="false">IF($A53="","",SUMIFS(销售录入!$Q$5:$Q$404,销售录入!$D$5:$D$404,$A53,销售录入!$C$5:$C$404,首页!$B$5))</f>
        <v/>
      </c>
      <c r="E53" s="54" t="str">
        <f aca="false">IF($A53="","",SUMIFS(资金流水!$N$5:$N$504,资金流水!$G$5:$G$504,$A53,资金流水!$E$5:$E$504,"客户回款",资金流水!$C$5:$C$504,首页!$B$5))</f>
        <v/>
      </c>
      <c r="F53" s="62" t="str">
        <f aca="false">IF($A53="","",$C53+$D53-$E53)</f>
        <v/>
      </c>
      <c r="G53" s="44" t="str">
        <f aca="false">IF($A53="","",$F53-$H53-$I53-$J53-$K53)</f>
        <v/>
      </c>
      <c r="H53" s="44" t="str">
        <f aca="false">IF($A53="","",MIN($F53,MAX(0,SUMIFS(期初数据!$G$6:$G$155,期初数据!$E$6:$E$155,$A53,期初数据!$F$6:$F$155,"&lt;="&amp;首页!$B$7)+SUMIFS(销售录入!$Q$5:$Q$404,销售录入!$D$5:$D$404,$A53,销售录入!$U$5:$U$404,"&lt;="&amp;首页!$B$7)-SUMIFS(资金流水!$N$5:$N$504,资金流水!$G$5:$G$504,$A53,资金流水!$E$5:$E$504,"客户回款",资金流水!$B$5:$B$504,"&lt;="&amp;首页!$B$7)))-$K53-$J53-$I53)</f>
        <v/>
      </c>
      <c r="I53" s="44" t="str">
        <f aca="false">IF($A53="","",MIN($F53,MAX(0,SUMIFS(期初数据!$G$6:$G$155,期初数据!$E$6:$E$155,$A53,期初数据!$F$6:$F$155,"&lt;="&amp;首页!$B$7-30)+SUMIFS(销售录入!$Q$5:$Q$404,销售录入!$D$5:$D$404,$A53,销售录入!$U$5:$U$404,"&lt;="&amp;首页!$B$7-30)-SUMIFS(资金流水!$N$5:$N$504,资金流水!$G$5:$G$504,$A53,资金流水!$E$5:$E$504,"客户回款",资金流水!$B$5:$B$504,"&lt;="&amp;首页!$B$7)))-$K53-$J53)</f>
        <v/>
      </c>
      <c r="J53" s="44" t="str">
        <f aca="false">IF($A53="","",MIN($F53,MAX(0,SUMIFS(期初数据!$G$6:$G$155,期初数据!$E$6:$E$155,$A53,期初数据!$F$6:$F$155,"&lt;="&amp;首页!$B$7-60)+SUMIFS(销售录入!$Q$5:$Q$404,销售录入!$D$5:$D$404,$A53,销售录入!$U$5:$U$404,"&lt;="&amp;首页!$B$7-60)-SUMIFS(资金流水!$N$5:$N$504,资金流水!$G$5:$G$504,$A53,资金流水!$E$5:$E$504,"客户回款",资金流水!$B$5:$B$504,"&lt;="&amp;首页!$B$7)))-$K53)</f>
        <v/>
      </c>
      <c r="K53" s="44" t="str">
        <f aca="false">IF($A53="","",MIN($F53,MAX(0,SUMIFS(期初数据!$G$6:$G$155,期初数据!$E$6:$E$155,$A53,期初数据!$F$6:$F$155,"&lt;="&amp;首页!$B$7-90)+SUMIFS(销售录入!$Q$5:$Q$404,销售录入!$D$5:$D$404,$A53,销售录入!$U$5:$U$404,"&lt;="&amp;首页!$B$7-90)-SUMIFS(资金流水!$N$5:$N$504,资金流水!$G$5:$G$504,$A53,资金流水!$E$5:$E$504,"客户回款",资金流水!$B$5:$B$504,"&lt;="&amp;首页!$B$7))))</f>
        <v/>
      </c>
      <c r="L53" s="62" t="str">
        <f aca="false">IF($A53="","",$H53+$I53+$J53+$K53)</f>
        <v/>
      </c>
      <c r="M53" s="47" t="str">
        <f aca="false">IF($A53="","",IF($K53&gt;0,"高危",IF($J53&gt;0,"关注",IF($L53&gt;0,"提醒","正常"))))</f>
        <v/>
      </c>
      <c r="N53" s="42" t="str">
        <f aca="false">IF($A53="","",基础资料!$AA53)</f>
        <v/>
      </c>
    </row>
    <row r="54" customFormat="false" ht="15.75" hidden="false" customHeight="true" outlineLevel="0" collapsed="false">
      <c r="A54" s="35" t="str">
        <f aca="false">IF(基础资料!$Z54="","",基础资料!$Z54)</f>
        <v/>
      </c>
      <c r="B54" s="42" t="str">
        <f aca="false">IF($A54="","",N(基础资料!$AB54))</f>
        <v/>
      </c>
      <c r="C54" s="54" t="str">
        <f aca="false">IF($A54="","",SUMIFS(期初数据!$G$6:$G$155,期初数据!$E$6:$E$155,$A54,期初数据!$F$6:$F$155,"&lt;"&amp;首页!$B$6)+SUMIFS(销售录入!$Q$5:$Q$404,销售录入!$D$5:$D$404,$A54,销售录入!$B$5:$B$404,"&lt;"&amp;首页!$B$6)-SUMIFS(资金流水!$N$5:$N$504,资金流水!$G$5:$G$504,$A54,资金流水!$E$5:$E$504,"客户回款",资金流水!$B$5:$B$504,"&lt;"&amp;首页!$B$6))</f>
        <v/>
      </c>
      <c r="D54" s="54" t="str">
        <f aca="false">IF($A54="","",SUMIFS(销售录入!$Q$5:$Q$404,销售录入!$D$5:$D$404,$A54,销售录入!$C$5:$C$404,首页!$B$5))</f>
        <v/>
      </c>
      <c r="E54" s="54" t="str">
        <f aca="false">IF($A54="","",SUMIFS(资金流水!$N$5:$N$504,资金流水!$G$5:$G$504,$A54,资金流水!$E$5:$E$504,"客户回款",资金流水!$C$5:$C$504,首页!$B$5))</f>
        <v/>
      </c>
      <c r="F54" s="62" t="str">
        <f aca="false">IF($A54="","",$C54+$D54-$E54)</f>
        <v/>
      </c>
      <c r="G54" s="44" t="str">
        <f aca="false">IF($A54="","",$F54-$H54-$I54-$J54-$K54)</f>
        <v/>
      </c>
      <c r="H54" s="44" t="str">
        <f aca="false">IF($A54="","",MIN($F54,MAX(0,SUMIFS(期初数据!$G$6:$G$155,期初数据!$E$6:$E$155,$A54,期初数据!$F$6:$F$155,"&lt;="&amp;首页!$B$7)+SUMIFS(销售录入!$Q$5:$Q$404,销售录入!$D$5:$D$404,$A54,销售录入!$U$5:$U$404,"&lt;="&amp;首页!$B$7)-SUMIFS(资金流水!$N$5:$N$504,资金流水!$G$5:$G$504,$A54,资金流水!$E$5:$E$504,"客户回款",资金流水!$B$5:$B$504,"&lt;="&amp;首页!$B$7)))-$K54-$J54-$I54)</f>
        <v/>
      </c>
      <c r="I54" s="44" t="str">
        <f aca="false">IF($A54="","",MIN($F54,MAX(0,SUMIFS(期初数据!$G$6:$G$155,期初数据!$E$6:$E$155,$A54,期初数据!$F$6:$F$155,"&lt;="&amp;首页!$B$7-30)+SUMIFS(销售录入!$Q$5:$Q$404,销售录入!$D$5:$D$404,$A54,销售录入!$U$5:$U$404,"&lt;="&amp;首页!$B$7-30)-SUMIFS(资金流水!$N$5:$N$504,资金流水!$G$5:$G$504,$A54,资金流水!$E$5:$E$504,"客户回款",资金流水!$B$5:$B$504,"&lt;="&amp;首页!$B$7)))-$K54-$J54)</f>
        <v/>
      </c>
      <c r="J54" s="44" t="str">
        <f aca="false">IF($A54="","",MIN($F54,MAX(0,SUMIFS(期初数据!$G$6:$G$155,期初数据!$E$6:$E$155,$A54,期初数据!$F$6:$F$155,"&lt;="&amp;首页!$B$7-60)+SUMIFS(销售录入!$Q$5:$Q$404,销售录入!$D$5:$D$404,$A54,销售录入!$U$5:$U$404,"&lt;="&amp;首页!$B$7-60)-SUMIFS(资金流水!$N$5:$N$504,资金流水!$G$5:$G$504,$A54,资金流水!$E$5:$E$504,"客户回款",资金流水!$B$5:$B$504,"&lt;="&amp;首页!$B$7)))-$K54)</f>
        <v/>
      </c>
      <c r="K54" s="44" t="str">
        <f aca="false">IF($A54="","",MIN($F54,MAX(0,SUMIFS(期初数据!$G$6:$G$155,期初数据!$E$6:$E$155,$A54,期初数据!$F$6:$F$155,"&lt;="&amp;首页!$B$7-90)+SUMIFS(销售录入!$Q$5:$Q$404,销售录入!$D$5:$D$404,$A54,销售录入!$U$5:$U$404,"&lt;="&amp;首页!$B$7-90)-SUMIFS(资金流水!$N$5:$N$504,资金流水!$G$5:$G$504,$A54,资金流水!$E$5:$E$504,"客户回款",资金流水!$B$5:$B$504,"&lt;="&amp;首页!$B$7))))</f>
        <v/>
      </c>
      <c r="L54" s="62" t="str">
        <f aca="false">IF($A54="","",$H54+$I54+$J54+$K54)</f>
        <v/>
      </c>
      <c r="M54" s="47" t="str">
        <f aca="false">IF($A54="","",IF($K54&gt;0,"高危",IF($J54&gt;0,"关注",IF($L54&gt;0,"提醒","正常"))))</f>
        <v/>
      </c>
      <c r="N54" s="42" t="str">
        <f aca="false">IF($A54="","",基础资料!$AA54)</f>
        <v/>
      </c>
    </row>
    <row r="55" customFormat="false" ht="15.75" hidden="false" customHeight="true" outlineLevel="0" collapsed="false">
      <c r="A55" s="35" t="str">
        <f aca="false">IF(基础资料!$Z55="","",基础资料!$Z55)</f>
        <v/>
      </c>
      <c r="B55" s="42" t="str">
        <f aca="false">IF($A55="","",N(基础资料!$AB55))</f>
        <v/>
      </c>
      <c r="C55" s="54" t="str">
        <f aca="false">IF($A55="","",SUMIFS(期初数据!$G$6:$G$155,期初数据!$E$6:$E$155,$A55,期初数据!$F$6:$F$155,"&lt;"&amp;首页!$B$6)+SUMIFS(销售录入!$Q$5:$Q$404,销售录入!$D$5:$D$404,$A55,销售录入!$B$5:$B$404,"&lt;"&amp;首页!$B$6)-SUMIFS(资金流水!$N$5:$N$504,资金流水!$G$5:$G$504,$A55,资金流水!$E$5:$E$504,"客户回款",资金流水!$B$5:$B$504,"&lt;"&amp;首页!$B$6))</f>
        <v/>
      </c>
      <c r="D55" s="54" t="str">
        <f aca="false">IF($A55="","",SUMIFS(销售录入!$Q$5:$Q$404,销售录入!$D$5:$D$404,$A55,销售录入!$C$5:$C$404,首页!$B$5))</f>
        <v/>
      </c>
      <c r="E55" s="54" t="str">
        <f aca="false">IF($A55="","",SUMIFS(资金流水!$N$5:$N$504,资金流水!$G$5:$G$504,$A55,资金流水!$E$5:$E$504,"客户回款",资金流水!$C$5:$C$504,首页!$B$5))</f>
        <v/>
      </c>
      <c r="F55" s="62" t="str">
        <f aca="false">IF($A55="","",$C55+$D55-$E55)</f>
        <v/>
      </c>
      <c r="G55" s="44" t="str">
        <f aca="false">IF($A55="","",$F55-$H55-$I55-$J55-$K55)</f>
        <v/>
      </c>
      <c r="H55" s="44" t="str">
        <f aca="false">IF($A55="","",MIN($F55,MAX(0,SUMIFS(期初数据!$G$6:$G$155,期初数据!$E$6:$E$155,$A55,期初数据!$F$6:$F$155,"&lt;="&amp;首页!$B$7)+SUMIFS(销售录入!$Q$5:$Q$404,销售录入!$D$5:$D$404,$A55,销售录入!$U$5:$U$404,"&lt;="&amp;首页!$B$7)-SUMIFS(资金流水!$N$5:$N$504,资金流水!$G$5:$G$504,$A55,资金流水!$E$5:$E$504,"客户回款",资金流水!$B$5:$B$504,"&lt;="&amp;首页!$B$7)))-$K55-$J55-$I55)</f>
        <v/>
      </c>
      <c r="I55" s="44" t="str">
        <f aca="false">IF($A55="","",MIN($F55,MAX(0,SUMIFS(期初数据!$G$6:$G$155,期初数据!$E$6:$E$155,$A55,期初数据!$F$6:$F$155,"&lt;="&amp;首页!$B$7-30)+SUMIFS(销售录入!$Q$5:$Q$404,销售录入!$D$5:$D$404,$A55,销售录入!$U$5:$U$404,"&lt;="&amp;首页!$B$7-30)-SUMIFS(资金流水!$N$5:$N$504,资金流水!$G$5:$G$504,$A55,资金流水!$E$5:$E$504,"客户回款",资金流水!$B$5:$B$504,"&lt;="&amp;首页!$B$7)))-$K55-$J55)</f>
        <v/>
      </c>
      <c r="J55" s="44" t="str">
        <f aca="false">IF($A55="","",MIN($F55,MAX(0,SUMIFS(期初数据!$G$6:$G$155,期初数据!$E$6:$E$155,$A55,期初数据!$F$6:$F$155,"&lt;="&amp;首页!$B$7-60)+SUMIFS(销售录入!$Q$5:$Q$404,销售录入!$D$5:$D$404,$A55,销售录入!$U$5:$U$404,"&lt;="&amp;首页!$B$7-60)-SUMIFS(资金流水!$N$5:$N$504,资金流水!$G$5:$G$504,$A55,资金流水!$E$5:$E$504,"客户回款",资金流水!$B$5:$B$504,"&lt;="&amp;首页!$B$7)))-$K55)</f>
        <v/>
      </c>
      <c r="K55" s="44" t="str">
        <f aca="false">IF($A55="","",MIN($F55,MAX(0,SUMIFS(期初数据!$G$6:$G$155,期初数据!$E$6:$E$155,$A55,期初数据!$F$6:$F$155,"&lt;="&amp;首页!$B$7-90)+SUMIFS(销售录入!$Q$5:$Q$404,销售录入!$D$5:$D$404,$A55,销售录入!$U$5:$U$404,"&lt;="&amp;首页!$B$7-90)-SUMIFS(资金流水!$N$5:$N$504,资金流水!$G$5:$G$504,$A55,资金流水!$E$5:$E$504,"客户回款",资金流水!$B$5:$B$504,"&lt;="&amp;首页!$B$7))))</f>
        <v/>
      </c>
      <c r="L55" s="62" t="str">
        <f aca="false">IF($A55="","",$H55+$I55+$J55+$K55)</f>
        <v/>
      </c>
      <c r="M55" s="47" t="str">
        <f aca="false">IF($A55="","",IF($K55&gt;0,"高危",IF($J55&gt;0,"关注",IF($L55&gt;0,"提醒","正常"))))</f>
        <v/>
      </c>
      <c r="N55" s="42" t="str">
        <f aca="false">IF($A55="","",基础资料!$AA55)</f>
        <v/>
      </c>
    </row>
    <row r="56" customFormat="false" ht="15.75" hidden="false" customHeight="true" outlineLevel="0" collapsed="false">
      <c r="A56" s="35" t="str">
        <f aca="false">IF(基础资料!$Z56="","",基础资料!$Z56)</f>
        <v/>
      </c>
      <c r="B56" s="42" t="str">
        <f aca="false">IF($A56="","",N(基础资料!$AB56))</f>
        <v/>
      </c>
      <c r="C56" s="54" t="str">
        <f aca="false">IF($A56="","",SUMIFS(期初数据!$G$6:$G$155,期初数据!$E$6:$E$155,$A56,期初数据!$F$6:$F$155,"&lt;"&amp;首页!$B$6)+SUMIFS(销售录入!$Q$5:$Q$404,销售录入!$D$5:$D$404,$A56,销售录入!$B$5:$B$404,"&lt;"&amp;首页!$B$6)-SUMIFS(资金流水!$N$5:$N$504,资金流水!$G$5:$G$504,$A56,资金流水!$E$5:$E$504,"客户回款",资金流水!$B$5:$B$504,"&lt;"&amp;首页!$B$6))</f>
        <v/>
      </c>
      <c r="D56" s="54" t="str">
        <f aca="false">IF($A56="","",SUMIFS(销售录入!$Q$5:$Q$404,销售录入!$D$5:$D$404,$A56,销售录入!$C$5:$C$404,首页!$B$5))</f>
        <v/>
      </c>
      <c r="E56" s="54" t="str">
        <f aca="false">IF($A56="","",SUMIFS(资金流水!$N$5:$N$504,资金流水!$G$5:$G$504,$A56,资金流水!$E$5:$E$504,"客户回款",资金流水!$C$5:$C$504,首页!$B$5))</f>
        <v/>
      </c>
      <c r="F56" s="62" t="str">
        <f aca="false">IF($A56="","",$C56+$D56-$E56)</f>
        <v/>
      </c>
      <c r="G56" s="44" t="str">
        <f aca="false">IF($A56="","",$F56-$H56-$I56-$J56-$K56)</f>
        <v/>
      </c>
      <c r="H56" s="44" t="str">
        <f aca="false">IF($A56="","",MIN($F56,MAX(0,SUMIFS(期初数据!$G$6:$G$155,期初数据!$E$6:$E$155,$A56,期初数据!$F$6:$F$155,"&lt;="&amp;首页!$B$7)+SUMIFS(销售录入!$Q$5:$Q$404,销售录入!$D$5:$D$404,$A56,销售录入!$U$5:$U$404,"&lt;="&amp;首页!$B$7)-SUMIFS(资金流水!$N$5:$N$504,资金流水!$G$5:$G$504,$A56,资金流水!$E$5:$E$504,"客户回款",资金流水!$B$5:$B$504,"&lt;="&amp;首页!$B$7)))-$K56-$J56-$I56)</f>
        <v/>
      </c>
      <c r="I56" s="44" t="str">
        <f aca="false">IF($A56="","",MIN($F56,MAX(0,SUMIFS(期初数据!$G$6:$G$155,期初数据!$E$6:$E$155,$A56,期初数据!$F$6:$F$155,"&lt;="&amp;首页!$B$7-30)+SUMIFS(销售录入!$Q$5:$Q$404,销售录入!$D$5:$D$404,$A56,销售录入!$U$5:$U$404,"&lt;="&amp;首页!$B$7-30)-SUMIFS(资金流水!$N$5:$N$504,资金流水!$G$5:$G$504,$A56,资金流水!$E$5:$E$504,"客户回款",资金流水!$B$5:$B$504,"&lt;="&amp;首页!$B$7)))-$K56-$J56)</f>
        <v/>
      </c>
      <c r="J56" s="44" t="str">
        <f aca="false">IF($A56="","",MIN($F56,MAX(0,SUMIFS(期初数据!$G$6:$G$155,期初数据!$E$6:$E$155,$A56,期初数据!$F$6:$F$155,"&lt;="&amp;首页!$B$7-60)+SUMIFS(销售录入!$Q$5:$Q$404,销售录入!$D$5:$D$404,$A56,销售录入!$U$5:$U$404,"&lt;="&amp;首页!$B$7-60)-SUMIFS(资金流水!$N$5:$N$504,资金流水!$G$5:$G$504,$A56,资金流水!$E$5:$E$504,"客户回款",资金流水!$B$5:$B$504,"&lt;="&amp;首页!$B$7)))-$K56)</f>
        <v/>
      </c>
      <c r="K56" s="44" t="str">
        <f aca="false">IF($A56="","",MIN($F56,MAX(0,SUMIFS(期初数据!$G$6:$G$155,期初数据!$E$6:$E$155,$A56,期初数据!$F$6:$F$155,"&lt;="&amp;首页!$B$7-90)+SUMIFS(销售录入!$Q$5:$Q$404,销售录入!$D$5:$D$404,$A56,销售录入!$U$5:$U$404,"&lt;="&amp;首页!$B$7-90)-SUMIFS(资金流水!$N$5:$N$504,资金流水!$G$5:$G$504,$A56,资金流水!$E$5:$E$504,"客户回款",资金流水!$B$5:$B$504,"&lt;="&amp;首页!$B$7))))</f>
        <v/>
      </c>
      <c r="L56" s="62" t="str">
        <f aca="false">IF($A56="","",$H56+$I56+$J56+$K56)</f>
        <v/>
      </c>
      <c r="M56" s="47" t="str">
        <f aca="false">IF($A56="","",IF($K56&gt;0,"高危",IF($J56&gt;0,"关注",IF($L56&gt;0,"提醒","正常"))))</f>
        <v/>
      </c>
      <c r="N56" s="42" t="str">
        <f aca="false">IF($A56="","",基础资料!$AA56)</f>
        <v/>
      </c>
    </row>
    <row r="57" customFormat="false" ht="15.75" hidden="false" customHeight="true" outlineLevel="0" collapsed="false">
      <c r="A57" s="35" t="str">
        <f aca="false">IF(基础资料!$Z57="","",基础资料!$Z57)</f>
        <v/>
      </c>
      <c r="B57" s="42" t="str">
        <f aca="false">IF($A57="","",N(基础资料!$AB57))</f>
        <v/>
      </c>
      <c r="C57" s="54" t="str">
        <f aca="false">IF($A57="","",SUMIFS(期初数据!$G$6:$G$155,期初数据!$E$6:$E$155,$A57,期初数据!$F$6:$F$155,"&lt;"&amp;首页!$B$6)+SUMIFS(销售录入!$Q$5:$Q$404,销售录入!$D$5:$D$404,$A57,销售录入!$B$5:$B$404,"&lt;"&amp;首页!$B$6)-SUMIFS(资金流水!$N$5:$N$504,资金流水!$G$5:$G$504,$A57,资金流水!$E$5:$E$504,"客户回款",资金流水!$B$5:$B$504,"&lt;"&amp;首页!$B$6))</f>
        <v/>
      </c>
      <c r="D57" s="54" t="str">
        <f aca="false">IF($A57="","",SUMIFS(销售录入!$Q$5:$Q$404,销售录入!$D$5:$D$404,$A57,销售录入!$C$5:$C$404,首页!$B$5))</f>
        <v/>
      </c>
      <c r="E57" s="54" t="str">
        <f aca="false">IF($A57="","",SUMIFS(资金流水!$N$5:$N$504,资金流水!$G$5:$G$504,$A57,资金流水!$E$5:$E$504,"客户回款",资金流水!$C$5:$C$504,首页!$B$5))</f>
        <v/>
      </c>
      <c r="F57" s="62" t="str">
        <f aca="false">IF($A57="","",$C57+$D57-$E57)</f>
        <v/>
      </c>
      <c r="G57" s="44" t="str">
        <f aca="false">IF($A57="","",$F57-$H57-$I57-$J57-$K57)</f>
        <v/>
      </c>
      <c r="H57" s="44" t="str">
        <f aca="false">IF($A57="","",MIN($F57,MAX(0,SUMIFS(期初数据!$G$6:$G$155,期初数据!$E$6:$E$155,$A57,期初数据!$F$6:$F$155,"&lt;="&amp;首页!$B$7)+SUMIFS(销售录入!$Q$5:$Q$404,销售录入!$D$5:$D$404,$A57,销售录入!$U$5:$U$404,"&lt;="&amp;首页!$B$7)-SUMIFS(资金流水!$N$5:$N$504,资金流水!$G$5:$G$504,$A57,资金流水!$E$5:$E$504,"客户回款",资金流水!$B$5:$B$504,"&lt;="&amp;首页!$B$7)))-$K57-$J57-$I57)</f>
        <v/>
      </c>
      <c r="I57" s="44" t="str">
        <f aca="false">IF($A57="","",MIN($F57,MAX(0,SUMIFS(期初数据!$G$6:$G$155,期初数据!$E$6:$E$155,$A57,期初数据!$F$6:$F$155,"&lt;="&amp;首页!$B$7-30)+SUMIFS(销售录入!$Q$5:$Q$404,销售录入!$D$5:$D$404,$A57,销售录入!$U$5:$U$404,"&lt;="&amp;首页!$B$7-30)-SUMIFS(资金流水!$N$5:$N$504,资金流水!$G$5:$G$504,$A57,资金流水!$E$5:$E$504,"客户回款",资金流水!$B$5:$B$504,"&lt;="&amp;首页!$B$7)))-$K57-$J57)</f>
        <v/>
      </c>
      <c r="J57" s="44" t="str">
        <f aca="false">IF($A57="","",MIN($F57,MAX(0,SUMIFS(期初数据!$G$6:$G$155,期初数据!$E$6:$E$155,$A57,期初数据!$F$6:$F$155,"&lt;="&amp;首页!$B$7-60)+SUMIFS(销售录入!$Q$5:$Q$404,销售录入!$D$5:$D$404,$A57,销售录入!$U$5:$U$404,"&lt;="&amp;首页!$B$7-60)-SUMIFS(资金流水!$N$5:$N$504,资金流水!$G$5:$G$504,$A57,资金流水!$E$5:$E$504,"客户回款",资金流水!$B$5:$B$504,"&lt;="&amp;首页!$B$7)))-$K57)</f>
        <v/>
      </c>
      <c r="K57" s="44" t="str">
        <f aca="false">IF($A57="","",MIN($F57,MAX(0,SUMIFS(期初数据!$G$6:$G$155,期初数据!$E$6:$E$155,$A57,期初数据!$F$6:$F$155,"&lt;="&amp;首页!$B$7-90)+SUMIFS(销售录入!$Q$5:$Q$404,销售录入!$D$5:$D$404,$A57,销售录入!$U$5:$U$404,"&lt;="&amp;首页!$B$7-90)-SUMIFS(资金流水!$N$5:$N$504,资金流水!$G$5:$G$504,$A57,资金流水!$E$5:$E$504,"客户回款",资金流水!$B$5:$B$504,"&lt;="&amp;首页!$B$7))))</f>
        <v/>
      </c>
      <c r="L57" s="62" t="str">
        <f aca="false">IF($A57="","",$H57+$I57+$J57+$K57)</f>
        <v/>
      </c>
      <c r="M57" s="47" t="str">
        <f aca="false">IF($A57="","",IF($K57&gt;0,"高危",IF($J57&gt;0,"关注",IF($L57&gt;0,"提醒","正常"))))</f>
        <v/>
      </c>
      <c r="N57" s="42" t="str">
        <f aca="false">IF($A57="","",基础资料!$AA57)</f>
        <v/>
      </c>
    </row>
    <row r="58" customFormat="false" ht="15.75" hidden="false" customHeight="true" outlineLevel="0" collapsed="false">
      <c r="A58" s="35" t="str">
        <f aca="false">IF(基础资料!$Z58="","",基础资料!$Z58)</f>
        <v/>
      </c>
      <c r="B58" s="42" t="str">
        <f aca="false">IF($A58="","",N(基础资料!$AB58))</f>
        <v/>
      </c>
      <c r="C58" s="54" t="str">
        <f aca="false">IF($A58="","",SUMIFS(期初数据!$G$6:$G$155,期初数据!$E$6:$E$155,$A58,期初数据!$F$6:$F$155,"&lt;"&amp;首页!$B$6)+SUMIFS(销售录入!$Q$5:$Q$404,销售录入!$D$5:$D$404,$A58,销售录入!$B$5:$B$404,"&lt;"&amp;首页!$B$6)-SUMIFS(资金流水!$N$5:$N$504,资金流水!$G$5:$G$504,$A58,资金流水!$E$5:$E$504,"客户回款",资金流水!$B$5:$B$504,"&lt;"&amp;首页!$B$6))</f>
        <v/>
      </c>
      <c r="D58" s="54" t="str">
        <f aca="false">IF($A58="","",SUMIFS(销售录入!$Q$5:$Q$404,销售录入!$D$5:$D$404,$A58,销售录入!$C$5:$C$404,首页!$B$5))</f>
        <v/>
      </c>
      <c r="E58" s="54" t="str">
        <f aca="false">IF($A58="","",SUMIFS(资金流水!$N$5:$N$504,资金流水!$G$5:$G$504,$A58,资金流水!$E$5:$E$504,"客户回款",资金流水!$C$5:$C$504,首页!$B$5))</f>
        <v/>
      </c>
      <c r="F58" s="62" t="str">
        <f aca="false">IF($A58="","",$C58+$D58-$E58)</f>
        <v/>
      </c>
      <c r="G58" s="44" t="str">
        <f aca="false">IF($A58="","",$F58-$H58-$I58-$J58-$K58)</f>
        <v/>
      </c>
      <c r="H58" s="44" t="str">
        <f aca="false">IF($A58="","",MIN($F58,MAX(0,SUMIFS(期初数据!$G$6:$G$155,期初数据!$E$6:$E$155,$A58,期初数据!$F$6:$F$155,"&lt;="&amp;首页!$B$7)+SUMIFS(销售录入!$Q$5:$Q$404,销售录入!$D$5:$D$404,$A58,销售录入!$U$5:$U$404,"&lt;="&amp;首页!$B$7)-SUMIFS(资金流水!$N$5:$N$504,资金流水!$G$5:$G$504,$A58,资金流水!$E$5:$E$504,"客户回款",资金流水!$B$5:$B$504,"&lt;="&amp;首页!$B$7)))-$K58-$J58-$I58)</f>
        <v/>
      </c>
      <c r="I58" s="44" t="str">
        <f aca="false">IF($A58="","",MIN($F58,MAX(0,SUMIFS(期初数据!$G$6:$G$155,期初数据!$E$6:$E$155,$A58,期初数据!$F$6:$F$155,"&lt;="&amp;首页!$B$7-30)+SUMIFS(销售录入!$Q$5:$Q$404,销售录入!$D$5:$D$404,$A58,销售录入!$U$5:$U$404,"&lt;="&amp;首页!$B$7-30)-SUMIFS(资金流水!$N$5:$N$504,资金流水!$G$5:$G$504,$A58,资金流水!$E$5:$E$504,"客户回款",资金流水!$B$5:$B$504,"&lt;="&amp;首页!$B$7)))-$K58-$J58)</f>
        <v/>
      </c>
      <c r="J58" s="44" t="str">
        <f aca="false">IF($A58="","",MIN($F58,MAX(0,SUMIFS(期初数据!$G$6:$G$155,期初数据!$E$6:$E$155,$A58,期初数据!$F$6:$F$155,"&lt;="&amp;首页!$B$7-60)+SUMIFS(销售录入!$Q$5:$Q$404,销售录入!$D$5:$D$404,$A58,销售录入!$U$5:$U$404,"&lt;="&amp;首页!$B$7-60)-SUMIFS(资金流水!$N$5:$N$504,资金流水!$G$5:$G$504,$A58,资金流水!$E$5:$E$504,"客户回款",资金流水!$B$5:$B$504,"&lt;="&amp;首页!$B$7)))-$K58)</f>
        <v/>
      </c>
      <c r="K58" s="44" t="str">
        <f aca="false">IF($A58="","",MIN($F58,MAX(0,SUMIFS(期初数据!$G$6:$G$155,期初数据!$E$6:$E$155,$A58,期初数据!$F$6:$F$155,"&lt;="&amp;首页!$B$7-90)+SUMIFS(销售录入!$Q$5:$Q$404,销售录入!$D$5:$D$404,$A58,销售录入!$U$5:$U$404,"&lt;="&amp;首页!$B$7-90)-SUMIFS(资金流水!$N$5:$N$504,资金流水!$G$5:$G$504,$A58,资金流水!$E$5:$E$504,"客户回款",资金流水!$B$5:$B$504,"&lt;="&amp;首页!$B$7))))</f>
        <v/>
      </c>
      <c r="L58" s="62" t="str">
        <f aca="false">IF($A58="","",$H58+$I58+$J58+$K58)</f>
        <v/>
      </c>
      <c r="M58" s="47" t="str">
        <f aca="false">IF($A58="","",IF($K58&gt;0,"高危",IF($J58&gt;0,"关注",IF($L58&gt;0,"提醒","正常"))))</f>
        <v/>
      </c>
      <c r="N58" s="42" t="str">
        <f aca="false">IF($A58="","",基础资料!$AA58)</f>
        <v/>
      </c>
    </row>
    <row r="59" customFormat="false" ht="15.75" hidden="false" customHeight="true" outlineLevel="0" collapsed="false">
      <c r="A59" s="35" t="str">
        <f aca="false">IF(基础资料!$Z59="","",基础资料!$Z59)</f>
        <v/>
      </c>
      <c r="B59" s="42" t="str">
        <f aca="false">IF($A59="","",N(基础资料!$AB59))</f>
        <v/>
      </c>
      <c r="C59" s="54" t="str">
        <f aca="false">IF($A59="","",SUMIFS(期初数据!$G$6:$G$155,期初数据!$E$6:$E$155,$A59,期初数据!$F$6:$F$155,"&lt;"&amp;首页!$B$6)+SUMIFS(销售录入!$Q$5:$Q$404,销售录入!$D$5:$D$404,$A59,销售录入!$B$5:$B$404,"&lt;"&amp;首页!$B$6)-SUMIFS(资金流水!$N$5:$N$504,资金流水!$G$5:$G$504,$A59,资金流水!$E$5:$E$504,"客户回款",资金流水!$B$5:$B$504,"&lt;"&amp;首页!$B$6))</f>
        <v/>
      </c>
      <c r="D59" s="54" t="str">
        <f aca="false">IF($A59="","",SUMIFS(销售录入!$Q$5:$Q$404,销售录入!$D$5:$D$404,$A59,销售录入!$C$5:$C$404,首页!$B$5))</f>
        <v/>
      </c>
      <c r="E59" s="54" t="str">
        <f aca="false">IF($A59="","",SUMIFS(资金流水!$N$5:$N$504,资金流水!$G$5:$G$504,$A59,资金流水!$E$5:$E$504,"客户回款",资金流水!$C$5:$C$504,首页!$B$5))</f>
        <v/>
      </c>
      <c r="F59" s="62" t="str">
        <f aca="false">IF($A59="","",$C59+$D59-$E59)</f>
        <v/>
      </c>
      <c r="G59" s="44" t="str">
        <f aca="false">IF($A59="","",$F59-$H59-$I59-$J59-$K59)</f>
        <v/>
      </c>
      <c r="H59" s="44" t="str">
        <f aca="false">IF($A59="","",MIN($F59,MAX(0,SUMIFS(期初数据!$G$6:$G$155,期初数据!$E$6:$E$155,$A59,期初数据!$F$6:$F$155,"&lt;="&amp;首页!$B$7)+SUMIFS(销售录入!$Q$5:$Q$404,销售录入!$D$5:$D$404,$A59,销售录入!$U$5:$U$404,"&lt;="&amp;首页!$B$7)-SUMIFS(资金流水!$N$5:$N$504,资金流水!$G$5:$G$504,$A59,资金流水!$E$5:$E$504,"客户回款",资金流水!$B$5:$B$504,"&lt;="&amp;首页!$B$7)))-$K59-$J59-$I59)</f>
        <v/>
      </c>
      <c r="I59" s="44" t="str">
        <f aca="false">IF($A59="","",MIN($F59,MAX(0,SUMIFS(期初数据!$G$6:$G$155,期初数据!$E$6:$E$155,$A59,期初数据!$F$6:$F$155,"&lt;="&amp;首页!$B$7-30)+SUMIFS(销售录入!$Q$5:$Q$404,销售录入!$D$5:$D$404,$A59,销售录入!$U$5:$U$404,"&lt;="&amp;首页!$B$7-30)-SUMIFS(资金流水!$N$5:$N$504,资金流水!$G$5:$G$504,$A59,资金流水!$E$5:$E$504,"客户回款",资金流水!$B$5:$B$504,"&lt;="&amp;首页!$B$7)))-$K59-$J59)</f>
        <v/>
      </c>
      <c r="J59" s="44" t="str">
        <f aca="false">IF($A59="","",MIN($F59,MAX(0,SUMIFS(期初数据!$G$6:$G$155,期初数据!$E$6:$E$155,$A59,期初数据!$F$6:$F$155,"&lt;="&amp;首页!$B$7-60)+SUMIFS(销售录入!$Q$5:$Q$404,销售录入!$D$5:$D$404,$A59,销售录入!$U$5:$U$404,"&lt;="&amp;首页!$B$7-60)-SUMIFS(资金流水!$N$5:$N$504,资金流水!$G$5:$G$504,$A59,资金流水!$E$5:$E$504,"客户回款",资金流水!$B$5:$B$504,"&lt;="&amp;首页!$B$7)))-$K59)</f>
        <v/>
      </c>
      <c r="K59" s="44" t="str">
        <f aca="false">IF($A59="","",MIN($F59,MAX(0,SUMIFS(期初数据!$G$6:$G$155,期初数据!$E$6:$E$155,$A59,期初数据!$F$6:$F$155,"&lt;="&amp;首页!$B$7-90)+SUMIFS(销售录入!$Q$5:$Q$404,销售录入!$D$5:$D$404,$A59,销售录入!$U$5:$U$404,"&lt;="&amp;首页!$B$7-90)-SUMIFS(资金流水!$N$5:$N$504,资金流水!$G$5:$G$504,$A59,资金流水!$E$5:$E$504,"客户回款",资金流水!$B$5:$B$504,"&lt;="&amp;首页!$B$7))))</f>
        <v/>
      </c>
      <c r="L59" s="62" t="str">
        <f aca="false">IF($A59="","",$H59+$I59+$J59+$K59)</f>
        <v/>
      </c>
      <c r="M59" s="47" t="str">
        <f aca="false">IF($A59="","",IF($K59&gt;0,"高危",IF($J59&gt;0,"关注",IF($L59&gt;0,"提醒","正常"))))</f>
        <v/>
      </c>
      <c r="N59" s="42" t="str">
        <f aca="false">IF($A59="","",基础资料!$AA59)</f>
        <v/>
      </c>
    </row>
    <row r="60" customFormat="false" ht="15.75" hidden="false" customHeight="true" outlineLevel="0" collapsed="false">
      <c r="A60" s="35" t="str">
        <f aca="false">IF(基础资料!$Z60="","",基础资料!$Z60)</f>
        <v/>
      </c>
      <c r="B60" s="42" t="str">
        <f aca="false">IF($A60="","",N(基础资料!$AB60))</f>
        <v/>
      </c>
      <c r="C60" s="54" t="str">
        <f aca="false">IF($A60="","",SUMIFS(期初数据!$G$6:$G$155,期初数据!$E$6:$E$155,$A60,期初数据!$F$6:$F$155,"&lt;"&amp;首页!$B$6)+SUMIFS(销售录入!$Q$5:$Q$404,销售录入!$D$5:$D$404,$A60,销售录入!$B$5:$B$404,"&lt;"&amp;首页!$B$6)-SUMIFS(资金流水!$N$5:$N$504,资金流水!$G$5:$G$504,$A60,资金流水!$E$5:$E$504,"客户回款",资金流水!$B$5:$B$504,"&lt;"&amp;首页!$B$6))</f>
        <v/>
      </c>
      <c r="D60" s="54" t="str">
        <f aca="false">IF($A60="","",SUMIFS(销售录入!$Q$5:$Q$404,销售录入!$D$5:$D$404,$A60,销售录入!$C$5:$C$404,首页!$B$5))</f>
        <v/>
      </c>
      <c r="E60" s="54" t="str">
        <f aca="false">IF($A60="","",SUMIFS(资金流水!$N$5:$N$504,资金流水!$G$5:$G$504,$A60,资金流水!$E$5:$E$504,"客户回款",资金流水!$C$5:$C$504,首页!$B$5))</f>
        <v/>
      </c>
      <c r="F60" s="62" t="str">
        <f aca="false">IF($A60="","",$C60+$D60-$E60)</f>
        <v/>
      </c>
      <c r="G60" s="44" t="str">
        <f aca="false">IF($A60="","",$F60-$H60-$I60-$J60-$K60)</f>
        <v/>
      </c>
      <c r="H60" s="44" t="str">
        <f aca="false">IF($A60="","",MIN($F60,MAX(0,SUMIFS(期初数据!$G$6:$G$155,期初数据!$E$6:$E$155,$A60,期初数据!$F$6:$F$155,"&lt;="&amp;首页!$B$7)+SUMIFS(销售录入!$Q$5:$Q$404,销售录入!$D$5:$D$404,$A60,销售录入!$U$5:$U$404,"&lt;="&amp;首页!$B$7)-SUMIFS(资金流水!$N$5:$N$504,资金流水!$G$5:$G$504,$A60,资金流水!$E$5:$E$504,"客户回款",资金流水!$B$5:$B$504,"&lt;="&amp;首页!$B$7)))-$K60-$J60-$I60)</f>
        <v/>
      </c>
      <c r="I60" s="44" t="str">
        <f aca="false">IF($A60="","",MIN($F60,MAX(0,SUMIFS(期初数据!$G$6:$G$155,期初数据!$E$6:$E$155,$A60,期初数据!$F$6:$F$155,"&lt;="&amp;首页!$B$7-30)+SUMIFS(销售录入!$Q$5:$Q$404,销售录入!$D$5:$D$404,$A60,销售录入!$U$5:$U$404,"&lt;="&amp;首页!$B$7-30)-SUMIFS(资金流水!$N$5:$N$504,资金流水!$G$5:$G$504,$A60,资金流水!$E$5:$E$504,"客户回款",资金流水!$B$5:$B$504,"&lt;="&amp;首页!$B$7)))-$K60-$J60)</f>
        <v/>
      </c>
      <c r="J60" s="44" t="str">
        <f aca="false">IF($A60="","",MIN($F60,MAX(0,SUMIFS(期初数据!$G$6:$G$155,期初数据!$E$6:$E$155,$A60,期初数据!$F$6:$F$155,"&lt;="&amp;首页!$B$7-60)+SUMIFS(销售录入!$Q$5:$Q$404,销售录入!$D$5:$D$404,$A60,销售录入!$U$5:$U$404,"&lt;="&amp;首页!$B$7-60)-SUMIFS(资金流水!$N$5:$N$504,资金流水!$G$5:$G$504,$A60,资金流水!$E$5:$E$504,"客户回款",资金流水!$B$5:$B$504,"&lt;="&amp;首页!$B$7)))-$K60)</f>
        <v/>
      </c>
      <c r="K60" s="44" t="str">
        <f aca="false">IF($A60="","",MIN($F60,MAX(0,SUMIFS(期初数据!$G$6:$G$155,期初数据!$E$6:$E$155,$A60,期初数据!$F$6:$F$155,"&lt;="&amp;首页!$B$7-90)+SUMIFS(销售录入!$Q$5:$Q$404,销售录入!$D$5:$D$404,$A60,销售录入!$U$5:$U$404,"&lt;="&amp;首页!$B$7-90)-SUMIFS(资金流水!$N$5:$N$504,资金流水!$G$5:$G$504,$A60,资金流水!$E$5:$E$504,"客户回款",资金流水!$B$5:$B$504,"&lt;="&amp;首页!$B$7))))</f>
        <v/>
      </c>
      <c r="L60" s="62" t="str">
        <f aca="false">IF($A60="","",$H60+$I60+$J60+$K60)</f>
        <v/>
      </c>
      <c r="M60" s="47" t="str">
        <f aca="false">IF($A60="","",IF($K60&gt;0,"高危",IF($J60&gt;0,"关注",IF($L60&gt;0,"提醒","正常"))))</f>
        <v/>
      </c>
      <c r="N60" s="42" t="str">
        <f aca="false">IF($A60="","",基础资料!$AA60)</f>
        <v/>
      </c>
    </row>
    <row r="61" customFormat="false" ht="15.75" hidden="false" customHeight="true" outlineLevel="0" collapsed="false">
      <c r="A61" s="35" t="str">
        <f aca="false">IF(基础资料!$Z61="","",基础资料!$Z61)</f>
        <v/>
      </c>
      <c r="B61" s="42" t="str">
        <f aca="false">IF($A61="","",N(基础资料!$AB61))</f>
        <v/>
      </c>
      <c r="C61" s="54" t="str">
        <f aca="false">IF($A61="","",SUMIFS(期初数据!$G$6:$G$155,期初数据!$E$6:$E$155,$A61,期初数据!$F$6:$F$155,"&lt;"&amp;首页!$B$6)+SUMIFS(销售录入!$Q$5:$Q$404,销售录入!$D$5:$D$404,$A61,销售录入!$B$5:$B$404,"&lt;"&amp;首页!$B$6)-SUMIFS(资金流水!$N$5:$N$504,资金流水!$G$5:$G$504,$A61,资金流水!$E$5:$E$504,"客户回款",资金流水!$B$5:$B$504,"&lt;"&amp;首页!$B$6))</f>
        <v/>
      </c>
      <c r="D61" s="54" t="str">
        <f aca="false">IF($A61="","",SUMIFS(销售录入!$Q$5:$Q$404,销售录入!$D$5:$D$404,$A61,销售录入!$C$5:$C$404,首页!$B$5))</f>
        <v/>
      </c>
      <c r="E61" s="54" t="str">
        <f aca="false">IF($A61="","",SUMIFS(资金流水!$N$5:$N$504,资金流水!$G$5:$G$504,$A61,资金流水!$E$5:$E$504,"客户回款",资金流水!$C$5:$C$504,首页!$B$5))</f>
        <v/>
      </c>
      <c r="F61" s="62" t="str">
        <f aca="false">IF($A61="","",$C61+$D61-$E61)</f>
        <v/>
      </c>
      <c r="G61" s="44" t="str">
        <f aca="false">IF($A61="","",$F61-$H61-$I61-$J61-$K61)</f>
        <v/>
      </c>
      <c r="H61" s="44" t="str">
        <f aca="false">IF($A61="","",MIN($F61,MAX(0,SUMIFS(期初数据!$G$6:$G$155,期初数据!$E$6:$E$155,$A61,期初数据!$F$6:$F$155,"&lt;="&amp;首页!$B$7)+SUMIFS(销售录入!$Q$5:$Q$404,销售录入!$D$5:$D$404,$A61,销售录入!$U$5:$U$404,"&lt;="&amp;首页!$B$7)-SUMIFS(资金流水!$N$5:$N$504,资金流水!$G$5:$G$504,$A61,资金流水!$E$5:$E$504,"客户回款",资金流水!$B$5:$B$504,"&lt;="&amp;首页!$B$7)))-$K61-$J61-$I61)</f>
        <v/>
      </c>
      <c r="I61" s="44" t="str">
        <f aca="false">IF($A61="","",MIN($F61,MAX(0,SUMIFS(期初数据!$G$6:$G$155,期初数据!$E$6:$E$155,$A61,期初数据!$F$6:$F$155,"&lt;="&amp;首页!$B$7-30)+SUMIFS(销售录入!$Q$5:$Q$404,销售录入!$D$5:$D$404,$A61,销售录入!$U$5:$U$404,"&lt;="&amp;首页!$B$7-30)-SUMIFS(资金流水!$N$5:$N$504,资金流水!$G$5:$G$504,$A61,资金流水!$E$5:$E$504,"客户回款",资金流水!$B$5:$B$504,"&lt;="&amp;首页!$B$7)))-$K61-$J61)</f>
        <v/>
      </c>
      <c r="J61" s="44" t="str">
        <f aca="false">IF($A61="","",MIN($F61,MAX(0,SUMIFS(期初数据!$G$6:$G$155,期初数据!$E$6:$E$155,$A61,期初数据!$F$6:$F$155,"&lt;="&amp;首页!$B$7-60)+SUMIFS(销售录入!$Q$5:$Q$404,销售录入!$D$5:$D$404,$A61,销售录入!$U$5:$U$404,"&lt;="&amp;首页!$B$7-60)-SUMIFS(资金流水!$N$5:$N$504,资金流水!$G$5:$G$504,$A61,资金流水!$E$5:$E$504,"客户回款",资金流水!$B$5:$B$504,"&lt;="&amp;首页!$B$7)))-$K61)</f>
        <v/>
      </c>
      <c r="K61" s="44" t="str">
        <f aca="false">IF($A61="","",MIN($F61,MAX(0,SUMIFS(期初数据!$G$6:$G$155,期初数据!$E$6:$E$155,$A61,期初数据!$F$6:$F$155,"&lt;="&amp;首页!$B$7-90)+SUMIFS(销售录入!$Q$5:$Q$404,销售录入!$D$5:$D$404,$A61,销售录入!$U$5:$U$404,"&lt;="&amp;首页!$B$7-90)-SUMIFS(资金流水!$N$5:$N$504,资金流水!$G$5:$G$504,$A61,资金流水!$E$5:$E$504,"客户回款",资金流水!$B$5:$B$504,"&lt;="&amp;首页!$B$7))))</f>
        <v/>
      </c>
      <c r="L61" s="62" t="str">
        <f aca="false">IF($A61="","",$H61+$I61+$J61+$K61)</f>
        <v/>
      </c>
      <c r="M61" s="47" t="str">
        <f aca="false">IF($A61="","",IF($K61&gt;0,"高危",IF($J61&gt;0,"关注",IF($L61&gt;0,"提醒","正常"))))</f>
        <v/>
      </c>
      <c r="N61" s="42" t="str">
        <f aca="false">IF($A61="","",基础资料!$AA61)</f>
        <v/>
      </c>
    </row>
    <row r="62" customFormat="false" ht="15.75" hidden="false" customHeight="true" outlineLevel="0" collapsed="false">
      <c r="A62" s="35" t="str">
        <f aca="false">IF(基础资料!$Z62="","",基础资料!$Z62)</f>
        <v/>
      </c>
      <c r="B62" s="42" t="str">
        <f aca="false">IF($A62="","",N(基础资料!$AB62))</f>
        <v/>
      </c>
      <c r="C62" s="54" t="str">
        <f aca="false">IF($A62="","",SUMIFS(期初数据!$G$6:$G$155,期初数据!$E$6:$E$155,$A62,期初数据!$F$6:$F$155,"&lt;"&amp;首页!$B$6)+SUMIFS(销售录入!$Q$5:$Q$404,销售录入!$D$5:$D$404,$A62,销售录入!$B$5:$B$404,"&lt;"&amp;首页!$B$6)-SUMIFS(资金流水!$N$5:$N$504,资金流水!$G$5:$G$504,$A62,资金流水!$E$5:$E$504,"客户回款",资金流水!$B$5:$B$504,"&lt;"&amp;首页!$B$6))</f>
        <v/>
      </c>
      <c r="D62" s="54" t="str">
        <f aca="false">IF($A62="","",SUMIFS(销售录入!$Q$5:$Q$404,销售录入!$D$5:$D$404,$A62,销售录入!$C$5:$C$404,首页!$B$5))</f>
        <v/>
      </c>
      <c r="E62" s="54" t="str">
        <f aca="false">IF($A62="","",SUMIFS(资金流水!$N$5:$N$504,资金流水!$G$5:$G$504,$A62,资金流水!$E$5:$E$504,"客户回款",资金流水!$C$5:$C$504,首页!$B$5))</f>
        <v/>
      </c>
      <c r="F62" s="62" t="str">
        <f aca="false">IF($A62="","",$C62+$D62-$E62)</f>
        <v/>
      </c>
      <c r="G62" s="44" t="str">
        <f aca="false">IF($A62="","",$F62-$H62-$I62-$J62-$K62)</f>
        <v/>
      </c>
      <c r="H62" s="44" t="str">
        <f aca="false">IF($A62="","",MIN($F62,MAX(0,SUMIFS(期初数据!$G$6:$G$155,期初数据!$E$6:$E$155,$A62,期初数据!$F$6:$F$155,"&lt;="&amp;首页!$B$7)+SUMIFS(销售录入!$Q$5:$Q$404,销售录入!$D$5:$D$404,$A62,销售录入!$U$5:$U$404,"&lt;="&amp;首页!$B$7)-SUMIFS(资金流水!$N$5:$N$504,资金流水!$G$5:$G$504,$A62,资金流水!$E$5:$E$504,"客户回款",资金流水!$B$5:$B$504,"&lt;="&amp;首页!$B$7)))-$K62-$J62-$I62)</f>
        <v/>
      </c>
      <c r="I62" s="44" t="str">
        <f aca="false">IF($A62="","",MIN($F62,MAX(0,SUMIFS(期初数据!$G$6:$G$155,期初数据!$E$6:$E$155,$A62,期初数据!$F$6:$F$155,"&lt;="&amp;首页!$B$7-30)+SUMIFS(销售录入!$Q$5:$Q$404,销售录入!$D$5:$D$404,$A62,销售录入!$U$5:$U$404,"&lt;="&amp;首页!$B$7-30)-SUMIFS(资金流水!$N$5:$N$504,资金流水!$G$5:$G$504,$A62,资金流水!$E$5:$E$504,"客户回款",资金流水!$B$5:$B$504,"&lt;="&amp;首页!$B$7)))-$K62-$J62)</f>
        <v/>
      </c>
      <c r="J62" s="44" t="str">
        <f aca="false">IF($A62="","",MIN($F62,MAX(0,SUMIFS(期初数据!$G$6:$G$155,期初数据!$E$6:$E$155,$A62,期初数据!$F$6:$F$155,"&lt;="&amp;首页!$B$7-60)+SUMIFS(销售录入!$Q$5:$Q$404,销售录入!$D$5:$D$404,$A62,销售录入!$U$5:$U$404,"&lt;="&amp;首页!$B$7-60)-SUMIFS(资金流水!$N$5:$N$504,资金流水!$G$5:$G$504,$A62,资金流水!$E$5:$E$504,"客户回款",资金流水!$B$5:$B$504,"&lt;="&amp;首页!$B$7)))-$K62)</f>
        <v/>
      </c>
      <c r="K62" s="44" t="str">
        <f aca="false">IF($A62="","",MIN($F62,MAX(0,SUMIFS(期初数据!$G$6:$G$155,期初数据!$E$6:$E$155,$A62,期初数据!$F$6:$F$155,"&lt;="&amp;首页!$B$7-90)+SUMIFS(销售录入!$Q$5:$Q$404,销售录入!$D$5:$D$404,$A62,销售录入!$U$5:$U$404,"&lt;="&amp;首页!$B$7-90)-SUMIFS(资金流水!$N$5:$N$504,资金流水!$G$5:$G$504,$A62,资金流水!$E$5:$E$504,"客户回款",资金流水!$B$5:$B$504,"&lt;="&amp;首页!$B$7))))</f>
        <v/>
      </c>
      <c r="L62" s="62" t="str">
        <f aca="false">IF($A62="","",$H62+$I62+$J62+$K62)</f>
        <v/>
      </c>
      <c r="M62" s="47" t="str">
        <f aca="false">IF($A62="","",IF($K62&gt;0,"高危",IF($J62&gt;0,"关注",IF($L62&gt;0,"提醒","正常"))))</f>
        <v/>
      </c>
      <c r="N62" s="42" t="str">
        <f aca="false">IF($A62="","",基础资料!$AA62)</f>
        <v/>
      </c>
    </row>
    <row r="63" customFormat="false" ht="15.75" hidden="false" customHeight="true" outlineLevel="0" collapsed="false">
      <c r="A63" s="35" t="str">
        <f aca="false">IF(基础资料!$Z63="","",基础资料!$Z63)</f>
        <v/>
      </c>
      <c r="B63" s="42" t="str">
        <f aca="false">IF($A63="","",N(基础资料!$AB63))</f>
        <v/>
      </c>
      <c r="C63" s="54" t="str">
        <f aca="false">IF($A63="","",SUMIFS(期初数据!$G$6:$G$155,期初数据!$E$6:$E$155,$A63,期初数据!$F$6:$F$155,"&lt;"&amp;首页!$B$6)+SUMIFS(销售录入!$Q$5:$Q$404,销售录入!$D$5:$D$404,$A63,销售录入!$B$5:$B$404,"&lt;"&amp;首页!$B$6)-SUMIFS(资金流水!$N$5:$N$504,资金流水!$G$5:$G$504,$A63,资金流水!$E$5:$E$504,"客户回款",资金流水!$B$5:$B$504,"&lt;"&amp;首页!$B$6))</f>
        <v/>
      </c>
      <c r="D63" s="54" t="str">
        <f aca="false">IF($A63="","",SUMIFS(销售录入!$Q$5:$Q$404,销售录入!$D$5:$D$404,$A63,销售录入!$C$5:$C$404,首页!$B$5))</f>
        <v/>
      </c>
      <c r="E63" s="54" t="str">
        <f aca="false">IF($A63="","",SUMIFS(资金流水!$N$5:$N$504,资金流水!$G$5:$G$504,$A63,资金流水!$E$5:$E$504,"客户回款",资金流水!$C$5:$C$504,首页!$B$5))</f>
        <v/>
      </c>
      <c r="F63" s="62" t="str">
        <f aca="false">IF($A63="","",$C63+$D63-$E63)</f>
        <v/>
      </c>
      <c r="G63" s="44" t="str">
        <f aca="false">IF($A63="","",$F63-$H63-$I63-$J63-$K63)</f>
        <v/>
      </c>
      <c r="H63" s="44" t="str">
        <f aca="false">IF($A63="","",MIN($F63,MAX(0,SUMIFS(期初数据!$G$6:$G$155,期初数据!$E$6:$E$155,$A63,期初数据!$F$6:$F$155,"&lt;="&amp;首页!$B$7)+SUMIFS(销售录入!$Q$5:$Q$404,销售录入!$D$5:$D$404,$A63,销售录入!$U$5:$U$404,"&lt;="&amp;首页!$B$7)-SUMIFS(资金流水!$N$5:$N$504,资金流水!$G$5:$G$504,$A63,资金流水!$E$5:$E$504,"客户回款",资金流水!$B$5:$B$504,"&lt;="&amp;首页!$B$7)))-$K63-$J63-$I63)</f>
        <v/>
      </c>
      <c r="I63" s="44" t="str">
        <f aca="false">IF($A63="","",MIN($F63,MAX(0,SUMIFS(期初数据!$G$6:$G$155,期初数据!$E$6:$E$155,$A63,期初数据!$F$6:$F$155,"&lt;="&amp;首页!$B$7-30)+SUMIFS(销售录入!$Q$5:$Q$404,销售录入!$D$5:$D$404,$A63,销售录入!$U$5:$U$404,"&lt;="&amp;首页!$B$7-30)-SUMIFS(资金流水!$N$5:$N$504,资金流水!$G$5:$G$504,$A63,资金流水!$E$5:$E$504,"客户回款",资金流水!$B$5:$B$504,"&lt;="&amp;首页!$B$7)))-$K63-$J63)</f>
        <v/>
      </c>
      <c r="J63" s="44" t="str">
        <f aca="false">IF($A63="","",MIN($F63,MAX(0,SUMIFS(期初数据!$G$6:$G$155,期初数据!$E$6:$E$155,$A63,期初数据!$F$6:$F$155,"&lt;="&amp;首页!$B$7-60)+SUMIFS(销售录入!$Q$5:$Q$404,销售录入!$D$5:$D$404,$A63,销售录入!$U$5:$U$404,"&lt;="&amp;首页!$B$7-60)-SUMIFS(资金流水!$N$5:$N$504,资金流水!$G$5:$G$504,$A63,资金流水!$E$5:$E$504,"客户回款",资金流水!$B$5:$B$504,"&lt;="&amp;首页!$B$7)))-$K63)</f>
        <v/>
      </c>
      <c r="K63" s="44" t="str">
        <f aca="false">IF($A63="","",MIN($F63,MAX(0,SUMIFS(期初数据!$G$6:$G$155,期初数据!$E$6:$E$155,$A63,期初数据!$F$6:$F$155,"&lt;="&amp;首页!$B$7-90)+SUMIFS(销售录入!$Q$5:$Q$404,销售录入!$D$5:$D$404,$A63,销售录入!$U$5:$U$404,"&lt;="&amp;首页!$B$7-90)-SUMIFS(资金流水!$N$5:$N$504,资金流水!$G$5:$G$504,$A63,资金流水!$E$5:$E$504,"客户回款",资金流水!$B$5:$B$504,"&lt;="&amp;首页!$B$7))))</f>
        <v/>
      </c>
      <c r="L63" s="62" t="str">
        <f aca="false">IF($A63="","",$H63+$I63+$J63+$K63)</f>
        <v/>
      </c>
      <c r="M63" s="47" t="str">
        <f aca="false">IF($A63="","",IF($K63&gt;0,"高危",IF($J63&gt;0,"关注",IF($L63&gt;0,"提醒","正常"))))</f>
        <v/>
      </c>
      <c r="N63" s="42" t="str">
        <f aca="false">IF($A63="","",基础资料!$AA63)</f>
        <v/>
      </c>
    </row>
    <row r="64" customFormat="false" ht="15.75" hidden="false" customHeight="true" outlineLevel="0" collapsed="false">
      <c r="A64" s="35" t="str">
        <f aca="false">IF(基础资料!$Z64="","",基础资料!$Z64)</f>
        <v/>
      </c>
      <c r="B64" s="42" t="str">
        <f aca="false">IF($A64="","",N(基础资料!$AB64))</f>
        <v/>
      </c>
      <c r="C64" s="54" t="str">
        <f aca="false">IF($A64="","",SUMIFS(期初数据!$G$6:$G$155,期初数据!$E$6:$E$155,$A64,期初数据!$F$6:$F$155,"&lt;"&amp;首页!$B$6)+SUMIFS(销售录入!$Q$5:$Q$404,销售录入!$D$5:$D$404,$A64,销售录入!$B$5:$B$404,"&lt;"&amp;首页!$B$6)-SUMIFS(资金流水!$N$5:$N$504,资金流水!$G$5:$G$504,$A64,资金流水!$E$5:$E$504,"客户回款",资金流水!$B$5:$B$504,"&lt;"&amp;首页!$B$6))</f>
        <v/>
      </c>
      <c r="D64" s="54" t="str">
        <f aca="false">IF($A64="","",SUMIFS(销售录入!$Q$5:$Q$404,销售录入!$D$5:$D$404,$A64,销售录入!$C$5:$C$404,首页!$B$5))</f>
        <v/>
      </c>
      <c r="E64" s="54" t="str">
        <f aca="false">IF($A64="","",SUMIFS(资金流水!$N$5:$N$504,资金流水!$G$5:$G$504,$A64,资金流水!$E$5:$E$504,"客户回款",资金流水!$C$5:$C$504,首页!$B$5))</f>
        <v/>
      </c>
      <c r="F64" s="62" t="str">
        <f aca="false">IF($A64="","",$C64+$D64-$E64)</f>
        <v/>
      </c>
      <c r="G64" s="44" t="str">
        <f aca="false">IF($A64="","",$F64-$H64-$I64-$J64-$K64)</f>
        <v/>
      </c>
      <c r="H64" s="44" t="str">
        <f aca="false">IF($A64="","",MIN($F64,MAX(0,SUMIFS(期初数据!$G$6:$G$155,期初数据!$E$6:$E$155,$A64,期初数据!$F$6:$F$155,"&lt;="&amp;首页!$B$7)+SUMIFS(销售录入!$Q$5:$Q$404,销售录入!$D$5:$D$404,$A64,销售录入!$U$5:$U$404,"&lt;="&amp;首页!$B$7)-SUMIFS(资金流水!$N$5:$N$504,资金流水!$G$5:$G$504,$A64,资金流水!$E$5:$E$504,"客户回款",资金流水!$B$5:$B$504,"&lt;="&amp;首页!$B$7)))-$K64-$J64-$I64)</f>
        <v/>
      </c>
      <c r="I64" s="44" t="str">
        <f aca="false">IF($A64="","",MIN($F64,MAX(0,SUMIFS(期初数据!$G$6:$G$155,期初数据!$E$6:$E$155,$A64,期初数据!$F$6:$F$155,"&lt;="&amp;首页!$B$7-30)+SUMIFS(销售录入!$Q$5:$Q$404,销售录入!$D$5:$D$404,$A64,销售录入!$U$5:$U$404,"&lt;="&amp;首页!$B$7-30)-SUMIFS(资金流水!$N$5:$N$504,资金流水!$G$5:$G$504,$A64,资金流水!$E$5:$E$504,"客户回款",资金流水!$B$5:$B$504,"&lt;="&amp;首页!$B$7)))-$K64-$J64)</f>
        <v/>
      </c>
      <c r="J64" s="44" t="str">
        <f aca="false">IF($A64="","",MIN($F64,MAX(0,SUMIFS(期初数据!$G$6:$G$155,期初数据!$E$6:$E$155,$A64,期初数据!$F$6:$F$155,"&lt;="&amp;首页!$B$7-60)+SUMIFS(销售录入!$Q$5:$Q$404,销售录入!$D$5:$D$404,$A64,销售录入!$U$5:$U$404,"&lt;="&amp;首页!$B$7-60)-SUMIFS(资金流水!$N$5:$N$504,资金流水!$G$5:$G$504,$A64,资金流水!$E$5:$E$504,"客户回款",资金流水!$B$5:$B$504,"&lt;="&amp;首页!$B$7)))-$K64)</f>
        <v/>
      </c>
      <c r="K64" s="44" t="str">
        <f aca="false">IF($A64="","",MIN($F64,MAX(0,SUMIFS(期初数据!$G$6:$G$155,期初数据!$E$6:$E$155,$A64,期初数据!$F$6:$F$155,"&lt;="&amp;首页!$B$7-90)+SUMIFS(销售录入!$Q$5:$Q$404,销售录入!$D$5:$D$404,$A64,销售录入!$U$5:$U$404,"&lt;="&amp;首页!$B$7-90)-SUMIFS(资金流水!$N$5:$N$504,资金流水!$G$5:$G$504,$A64,资金流水!$E$5:$E$504,"客户回款",资金流水!$B$5:$B$504,"&lt;="&amp;首页!$B$7))))</f>
        <v/>
      </c>
      <c r="L64" s="62" t="str">
        <f aca="false">IF($A64="","",$H64+$I64+$J64+$K64)</f>
        <v/>
      </c>
      <c r="M64" s="47" t="str">
        <f aca="false">IF($A64="","",IF($K64&gt;0,"高危",IF($J64&gt;0,"关注",IF($L64&gt;0,"提醒","正常"))))</f>
        <v/>
      </c>
      <c r="N64" s="42" t="str">
        <f aca="false">IF($A64="","",基础资料!$AA64)</f>
        <v/>
      </c>
    </row>
    <row r="65" customFormat="false" ht="15.75" hidden="false" customHeight="true" outlineLevel="0" collapsed="false">
      <c r="A65" s="35" t="str">
        <f aca="false">IF(基础资料!$Z65="","",基础资料!$Z65)</f>
        <v/>
      </c>
      <c r="B65" s="42" t="str">
        <f aca="false">IF($A65="","",N(基础资料!$AB65))</f>
        <v/>
      </c>
      <c r="C65" s="54" t="str">
        <f aca="false">IF($A65="","",SUMIFS(期初数据!$G$6:$G$155,期初数据!$E$6:$E$155,$A65,期初数据!$F$6:$F$155,"&lt;"&amp;首页!$B$6)+SUMIFS(销售录入!$Q$5:$Q$404,销售录入!$D$5:$D$404,$A65,销售录入!$B$5:$B$404,"&lt;"&amp;首页!$B$6)-SUMIFS(资金流水!$N$5:$N$504,资金流水!$G$5:$G$504,$A65,资金流水!$E$5:$E$504,"客户回款",资金流水!$B$5:$B$504,"&lt;"&amp;首页!$B$6))</f>
        <v/>
      </c>
      <c r="D65" s="54" t="str">
        <f aca="false">IF($A65="","",SUMIFS(销售录入!$Q$5:$Q$404,销售录入!$D$5:$D$404,$A65,销售录入!$C$5:$C$404,首页!$B$5))</f>
        <v/>
      </c>
      <c r="E65" s="54" t="str">
        <f aca="false">IF($A65="","",SUMIFS(资金流水!$N$5:$N$504,资金流水!$G$5:$G$504,$A65,资金流水!$E$5:$E$504,"客户回款",资金流水!$C$5:$C$504,首页!$B$5))</f>
        <v/>
      </c>
      <c r="F65" s="62" t="str">
        <f aca="false">IF($A65="","",$C65+$D65-$E65)</f>
        <v/>
      </c>
      <c r="G65" s="44" t="str">
        <f aca="false">IF($A65="","",$F65-$H65-$I65-$J65-$K65)</f>
        <v/>
      </c>
      <c r="H65" s="44" t="str">
        <f aca="false">IF($A65="","",MIN($F65,MAX(0,SUMIFS(期初数据!$G$6:$G$155,期初数据!$E$6:$E$155,$A65,期初数据!$F$6:$F$155,"&lt;="&amp;首页!$B$7)+SUMIFS(销售录入!$Q$5:$Q$404,销售录入!$D$5:$D$404,$A65,销售录入!$U$5:$U$404,"&lt;="&amp;首页!$B$7)-SUMIFS(资金流水!$N$5:$N$504,资金流水!$G$5:$G$504,$A65,资金流水!$E$5:$E$504,"客户回款",资金流水!$B$5:$B$504,"&lt;="&amp;首页!$B$7)))-$K65-$J65-$I65)</f>
        <v/>
      </c>
      <c r="I65" s="44" t="str">
        <f aca="false">IF($A65="","",MIN($F65,MAX(0,SUMIFS(期初数据!$G$6:$G$155,期初数据!$E$6:$E$155,$A65,期初数据!$F$6:$F$155,"&lt;="&amp;首页!$B$7-30)+SUMIFS(销售录入!$Q$5:$Q$404,销售录入!$D$5:$D$404,$A65,销售录入!$U$5:$U$404,"&lt;="&amp;首页!$B$7-30)-SUMIFS(资金流水!$N$5:$N$504,资金流水!$G$5:$G$504,$A65,资金流水!$E$5:$E$504,"客户回款",资金流水!$B$5:$B$504,"&lt;="&amp;首页!$B$7)))-$K65-$J65)</f>
        <v/>
      </c>
      <c r="J65" s="44" t="str">
        <f aca="false">IF($A65="","",MIN($F65,MAX(0,SUMIFS(期初数据!$G$6:$G$155,期初数据!$E$6:$E$155,$A65,期初数据!$F$6:$F$155,"&lt;="&amp;首页!$B$7-60)+SUMIFS(销售录入!$Q$5:$Q$404,销售录入!$D$5:$D$404,$A65,销售录入!$U$5:$U$404,"&lt;="&amp;首页!$B$7-60)-SUMIFS(资金流水!$N$5:$N$504,资金流水!$G$5:$G$504,$A65,资金流水!$E$5:$E$504,"客户回款",资金流水!$B$5:$B$504,"&lt;="&amp;首页!$B$7)))-$K65)</f>
        <v/>
      </c>
      <c r="K65" s="44" t="str">
        <f aca="false">IF($A65="","",MIN($F65,MAX(0,SUMIFS(期初数据!$G$6:$G$155,期初数据!$E$6:$E$155,$A65,期初数据!$F$6:$F$155,"&lt;="&amp;首页!$B$7-90)+SUMIFS(销售录入!$Q$5:$Q$404,销售录入!$D$5:$D$404,$A65,销售录入!$U$5:$U$404,"&lt;="&amp;首页!$B$7-90)-SUMIFS(资金流水!$N$5:$N$504,资金流水!$G$5:$G$504,$A65,资金流水!$E$5:$E$504,"客户回款",资金流水!$B$5:$B$504,"&lt;="&amp;首页!$B$7))))</f>
        <v/>
      </c>
      <c r="L65" s="62" t="str">
        <f aca="false">IF($A65="","",$H65+$I65+$J65+$K65)</f>
        <v/>
      </c>
      <c r="M65" s="47" t="str">
        <f aca="false">IF($A65="","",IF($K65&gt;0,"高危",IF($J65&gt;0,"关注",IF($L65&gt;0,"提醒","正常"))))</f>
        <v/>
      </c>
      <c r="N65" s="42" t="str">
        <f aca="false">IF($A65="","",基础资料!$AA65)</f>
        <v/>
      </c>
    </row>
    <row r="66" customFormat="false" ht="15.75" hidden="false" customHeight="true" outlineLevel="0" collapsed="false">
      <c r="A66" s="35" t="str">
        <f aca="false">IF(基础资料!$Z66="","",基础资料!$Z66)</f>
        <v/>
      </c>
      <c r="B66" s="42" t="str">
        <f aca="false">IF($A66="","",N(基础资料!$AB66))</f>
        <v/>
      </c>
      <c r="C66" s="54" t="str">
        <f aca="false">IF($A66="","",SUMIFS(期初数据!$G$6:$G$155,期初数据!$E$6:$E$155,$A66,期初数据!$F$6:$F$155,"&lt;"&amp;首页!$B$6)+SUMIFS(销售录入!$Q$5:$Q$404,销售录入!$D$5:$D$404,$A66,销售录入!$B$5:$B$404,"&lt;"&amp;首页!$B$6)-SUMIFS(资金流水!$N$5:$N$504,资金流水!$G$5:$G$504,$A66,资金流水!$E$5:$E$504,"客户回款",资金流水!$B$5:$B$504,"&lt;"&amp;首页!$B$6))</f>
        <v/>
      </c>
      <c r="D66" s="54" t="str">
        <f aca="false">IF($A66="","",SUMIFS(销售录入!$Q$5:$Q$404,销售录入!$D$5:$D$404,$A66,销售录入!$C$5:$C$404,首页!$B$5))</f>
        <v/>
      </c>
      <c r="E66" s="54" t="str">
        <f aca="false">IF($A66="","",SUMIFS(资金流水!$N$5:$N$504,资金流水!$G$5:$G$504,$A66,资金流水!$E$5:$E$504,"客户回款",资金流水!$C$5:$C$504,首页!$B$5))</f>
        <v/>
      </c>
      <c r="F66" s="62" t="str">
        <f aca="false">IF($A66="","",$C66+$D66-$E66)</f>
        <v/>
      </c>
      <c r="G66" s="44" t="str">
        <f aca="false">IF($A66="","",$F66-$H66-$I66-$J66-$K66)</f>
        <v/>
      </c>
      <c r="H66" s="44" t="str">
        <f aca="false">IF($A66="","",MIN($F66,MAX(0,SUMIFS(期初数据!$G$6:$G$155,期初数据!$E$6:$E$155,$A66,期初数据!$F$6:$F$155,"&lt;="&amp;首页!$B$7)+SUMIFS(销售录入!$Q$5:$Q$404,销售录入!$D$5:$D$404,$A66,销售录入!$U$5:$U$404,"&lt;="&amp;首页!$B$7)-SUMIFS(资金流水!$N$5:$N$504,资金流水!$G$5:$G$504,$A66,资金流水!$E$5:$E$504,"客户回款",资金流水!$B$5:$B$504,"&lt;="&amp;首页!$B$7)))-$K66-$J66-$I66)</f>
        <v/>
      </c>
      <c r="I66" s="44" t="str">
        <f aca="false">IF($A66="","",MIN($F66,MAX(0,SUMIFS(期初数据!$G$6:$G$155,期初数据!$E$6:$E$155,$A66,期初数据!$F$6:$F$155,"&lt;="&amp;首页!$B$7-30)+SUMIFS(销售录入!$Q$5:$Q$404,销售录入!$D$5:$D$404,$A66,销售录入!$U$5:$U$404,"&lt;="&amp;首页!$B$7-30)-SUMIFS(资金流水!$N$5:$N$504,资金流水!$G$5:$G$504,$A66,资金流水!$E$5:$E$504,"客户回款",资金流水!$B$5:$B$504,"&lt;="&amp;首页!$B$7)))-$K66-$J66)</f>
        <v/>
      </c>
      <c r="J66" s="44" t="str">
        <f aca="false">IF($A66="","",MIN($F66,MAX(0,SUMIFS(期初数据!$G$6:$G$155,期初数据!$E$6:$E$155,$A66,期初数据!$F$6:$F$155,"&lt;="&amp;首页!$B$7-60)+SUMIFS(销售录入!$Q$5:$Q$404,销售录入!$D$5:$D$404,$A66,销售录入!$U$5:$U$404,"&lt;="&amp;首页!$B$7-60)-SUMIFS(资金流水!$N$5:$N$504,资金流水!$G$5:$G$504,$A66,资金流水!$E$5:$E$504,"客户回款",资金流水!$B$5:$B$504,"&lt;="&amp;首页!$B$7)))-$K66)</f>
        <v/>
      </c>
      <c r="K66" s="44" t="str">
        <f aca="false">IF($A66="","",MIN($F66,MAX(0,SUMIFS(期初数据!$G$6:$G$155,期初数据!$E$6:$E$155,$A66,期初数据!$F$6:$F$155,"&lt;="&amp;首页!$B$7-90)+SUMIFS(销售录入!$Q$5:$Q$404,销售录入!$D$5:$D$404,$A66,销售录入!$U$5:$U$404,"&lt;="&amp;首页!$B$7-90)-SUMIFS(资金流水!$N$5:$N$504,资金流水!$G$5:$G$504,$A66,资金流水!$E$5:$E$504,"客户回款",资金流水!$B$5:$B$504,"&lt;="&amp;首页!$B$7))))</f>
        <v/>
      </c>
      <c r="L66" s="62" t="str">
        <f aca="false">IF($A66="","",$H66+$I66+$J66+$K66)</f>
        <v/>
      </c>
      <c r="M66" s="47" t="str">
        <f aca="false">IF($A66="","",IF($K66&gt;0,"高危",IF($J66&gt;0,"关注",IF($L66&gt;0,"提醒","正常"))))</f>
        <v/>
      </c>
      <c r="N66" s="42" t="str">
        <f aca="false">IF($A66="","",基础资料!$AA66)</f>
        <v/>
      </c>
    </row>
    <row r="67" customFormat="false" ht="15.75" hidden="false" customHeight="true" outlineLevel="0" collapsed="false">
      <c r="A67" s="35" t="str">
        <f aca="false">IF(基础资料!$Z67="","",基础资料!$Z67)</f>
        <v/>
      </c>
      <c r="B67" s="42" t="str">
        <f aca="false">IF($A67="","",N(基础资料!$AB67))</f>
        <v/>
      </c>
      <c r="C67" s="54" t="str">
        <f aca="false">IF($A67="","",SUMIFS(期初数据!$G$6:$G$155,期初数据!$E$6:$E$155,$A67,期初数据!$F$6:$F$155,"&lt;"&amp;首页!$B$6)+SUMIFS(销售录入!$Q$5:$Q$404,销售录入!$D$5:$D$404,$A67,销售录入!$B$5:$B$404,"&lt;"&amp;首页!$B$6)-SUMIFS(资金流水!$N$5:$N$504,资金流水!$G$5:$G$504,$A67,资金流水!$E$5:$E$504,"客户回款",资金流水!$B$5:$B$504,"&lt;"&amp;首页!$B$6))</f>
        <v/>
      </c>
      <c r="D67" s="54" t="str">
        <f aca="false">IF($A67="","",SUMIFS(销售录入!$Q$5:$Q$404,销售录入!$D$5:$D$404,$A67,销售录入!$C$5:$C$404,首页!$B$5))</f>
        <v/>
      </c>
      <c r="E67" s="54" t="str">
        <f aca="false">IF($A67="","",SUMIFS(资金流水!$N$5:$N$504,资金流水!$G$5:$G$504,$A67,资金流水!$E$5:$E$504,"客户回款",资金流水!$C$5:$C$504,首页!$B$5))</f>
        <v/>
      </c>
      <c r="F67" s="62" t="str">
        <f aca="false">IF($A67="","",$C67+$D67-$E67)</f>
        <v/>
      </c>
      <c r="G67" s="44" t="str">
        <f aca="false">IF($A67="","",$F67-$H67-$I67-$J67-$K67)</f>
        <v/>
      </c>
      <c r="H67" s="44" t="str">
        <f aca="false">IF($A67="","",MIN($F67,MAX(0,SUMIFS(期初数据!$G$6:$G$155,期初数据!$E$6:$E$155,$A67,期初数据!$F$6:$F$155,"&lt;="&amp;首页!$B$7)+SUMIFS(销售录入!$Q$5:$Q$404,销售录入!$D$5:$D$404,$A67,销售录入!$U$5:$U$404,"&lt;="&amp;首页!$B$7)-SUMIFS(资金流水!$N$5:$N$504,资金流水!$G$5:$G$504,$A67,资金流水!$E$5:$E$504,"客户回款",资金流水!$B$5:$B$504,"&lt;="&amp;首页!$B$7)))-$K67-$J67-$I67)</f>
        <v/>
      </c>
      <c r="I67" s="44" t="str">
        <f aca="false">IF($A67="","",MIN($F67,MAX(0,SUMIFS(期初数据!$G$6:$G$155,期初数据!$E$6:$E$155,$A67,期初数据!$F$6:$F$155,"&lt;="&amp;首页!$B$7-30)+SUMIFS(销售录入!$Q$5:$Q$404,销售录入!$D$5:$D$404,$A67,销售录入!$U$5:$U$404,"&lt;="&amp;首页!$B$7-30)-SUMIFS(资金流水!$N$5:$N$504,资金流水!$G$5:$G$504,$A67,资金流水!$E$5:$E$504,"客户回款",资金流水!$B$5:$B$504,"&lt;="&amp;首页!$B$7)))-$K67-$J67)</f>
        <v/>
      </c>
      <c r="J67" s="44" t="str">
        <f aca="false">IF($A67="","",MIN($F67,MAX(0,SUMIFS(期初数据!$G$6:$G$155,期初数据!$E$6:$E$155,$A67,期初数据!$F$6:$F$155,"&lt;="&amp;首页!$B$7-60)+SUMIFS(销售录入!$Q$5:$Q$404,销售录入!$D$5:$D$404,$A67,销售录入!$U$5:$U$404,"&lt;="&amp;首页!$B$7-60)-SUMIFS(资金流水!$N$5:$N$504,资金流水!$G$5:$G$504,$A67,资金流水!$E$5:$E$504,"客户回款",资金流水!$B$5:$B$504,"&lt;="&amp;首页!$B$7)))-$K67)</f>
        <v/>
      </c>
      <c r="K67" s="44" t="str">
        <f aca="false">IF($A67="","",MIN($F67,MAX(0,SUMIFS(期初数据!$G$6:$G$155,期初数据!$E$6:$E$155,$A67,期初数据!$F$6:$F$155,"&lt;="&amp;首页!$B$7-90)+SUMIFS(销售录入!$Q$5:$Q$404,销售录入!$D$5:$D$404,$A67,销售录入!$U$5:$U$404,"&lt;="&amp;首页!$B$7-90)-SUMIFS(资金流水!$N$5:$N$504,资金流水!$G$5:$G$504,$A67,资金流水!$E$5:$E$504,"客户回款",资金流水!$B$5:$B$504,"&lt;="&amp;首页!$B$7))))</f>
        <v/>
      </c>
      <c r="L67" s="62" t="str">
        <f aca="false">IF($A67="","",$H67+$I67+$J67+$K67)</f>
        <v/>
      </c>
      <c r="M67" s="47" t="str">
        <f aca="false">IF($A67="","",IF($K67&gt;0,"高危",IF($J67&gt;0,"关注",IF($L67&gt;0,"提醒","正常"))))</f>
        <v/>
      </c>
      <c r="N67" s="42" t="str">
        <f aca="false">IF($A67="","",基础资料!$AA67)</f>
        <v/>
      </c>
    </row>
    <row r="68" customFormat="false" ht="15.75" hidden="false" customHeight="true" outlineLevel="0" collapsed="false">
      <c r="A68" s="35" t="str">
        <f aca="false">IF(基础资料!$Z68="","",基础资料!$Z68)</f>
        <v/>
      </c>
      <c r="B68" s="42" t="str">
        <f aca="false">IF($A68="","",N(基础资料!$AB68))</f>
        <v/>
      </c>
      <c r="C68" s="54" t="str">
        <f aca="false">IF($A68="","",SUMIFS(期初数据!$G$6:$G$155,期初数据!$E$6:$E$155,$A68,期初数据!$F$6:$F$155,"&lt;"&amp;首页!$B$6)+SUMIFS(销售录入!$Q$5:$Q$404,销售录入!$D$5:$D$404,$A68,销售录入!$B$5:$B$404,"&lt;"&amp;首页!$B$6)-SUMIFS(资金流水!$N$5:$N$504,资金流水!$G$5:$G$504,$A68,资金流水!$E$5:$E$504,"客户回款",资金流水!$B$5:$B$504,"&lt;"&amp;首页!$B$6))</f>
        <v/>
      </c>
      <c r="D68" s="54" t="str">
        <f aca="false">IF($A68="","",SUMIFS(销售录入!$Q$5:$Q$404,销售录入!$D$5:$D$404,$A68,销售录入!$C$5:$C$404,首页!$B$5))</f>
        <v/>
      </c>
      <c r="E68" s="54" t="str">
        <f aca="false">IF($A68="","",SUMIFS(资金流水!$N$5:$N$504,资金流水!$G$5:$G$504,$A68,资金流水!$E$5:$E$504,"客户回款",资金流水!$C$5:$C$504,首页!$B$5))</f>
        <v/>
      </c>
      <c r="F68" s="62" t="str">
        <f aca="false">IF($A68="","",$C68+$D68-$E68)</f>
        <v/>
      </c>
      <c r="G68" s="44" t="str">
        <f aca="false">IF($A68="","",$F68-$H68-$I68-$J68-$K68)</f>
        <v/>
      </c>
      <c r="H68" s="44" t="str">
        <f aca="false">IF($A68="","",MIN($F68,MAX(0,SUMIFS(期初数据!$G$6:$G$155,期初数据!$E$6:$E$155,$A68,期初数据!$F$6:$F$155,"&lt;="&amp;首页!$B$7)+SUMIFS(销售录入!$Q$5:$Q$404,销售录入!$D$5:$D$404,$A68,销售录入!$U$5:$U$404,"&lt;="&amp;首页!$B$7)-SUMIFS(资金流水!$N$5:$N$504,资金流水!$G$5:$G$504,$A68,资金流水!$E$5:$E$504,"客户回款",资金流水!$B$5:$B$504,"&lt;="&amp;首页!$B$7)))-$K68-$J68-$I68)</f>
        <v/>
      </c>
      <c r="I68" s="44" t="str">
        <f aca="false">IF($A68="","",MIN($F68,MAX(0,SUMIFS(期初数据!$G$6:$G$155,期初数据!$E$6:$E$155,$A68,期初数据!$F$6:$F$155,"&lt;="&amp;首页!$B$7-30)+SUMIFS(销售录入!$Q$5:$Q$404,销售录入!$D$5:$D$404,$A68,销售录入!$U$5:$U$404,"&lt;="&amp;首页!$B$7-30)-SUMIFS(资金流水!$N$5:$N$504,资金流水!$G$5:$G$504,$A68,资金流水!$E$5:$E$504,"客户回款",资金流水!$B$5:$B$504,"&lt;="&amp;首页!$B$7)))-$K68-$J68)</f>
        <v/>
      </c>
      <c r="J68" s="44" t="str">
        <f aca="false">IF($A68="","",MIN($F68,MAX(0,SUMIFS(期初数据!$G$6:$G$155,期初数据!$E$6:$E$155,$A68,期初数据!$F$6:$F$155,"&lt;="&amp;首页!$B$7-60)+SUMIFS(销售录入!$Q$5:$Q$404,销售录入!$D$5:$D$404,$A68,销售录入!$U$5:$U$404,"&lt;="&amp;首页!$B$7-60)-SUMIFS(资金流水!$N$5:$N$504,资金流水!$G$5:$G$504,$A68,资金流水!$E$5:$E$504,"客户回款",资金流水!$B$5:$B$504,"&lt;="&amp;首页!$B$7)))-$K68)</f>
        <v/>
      </c>
      <c r="K68" s="44" t="str">
        <f aca="false">IF($A68="","",MIN($F68,MAX(0,SUMIFS(期初数据!$G$6:$G$155,期初数据!$E$6:$E$155,$A68,期初数据!$F$6:$F$155,"&lt;="&amp;首页!$B$7-90)+SUMIFS(销售录入!$Q$5:$Q$404,销售录入!$D$5:$D$404,$A68,销售录入!$U$5:$U$404,"&lt;="&amp;首页!$B$7-90)-SUMIFS(资金流水!$N$5:$N$504,资金流水!$G$5:$G$504,$A68,资金流水!$E$5:$E$504,"客户回款",资金流水!$B$5:$B$504,"&lt;="&amp;首页!$B$7))))</f>
        <v/>
      </c>
      <c r="L68" s="62" t="str">
        <f aca="false">IF($A68="","",$H68+$I68+$J68+$K68)</f>
        <v/>
      </c>
      <c r="M68" s="47" t="str">
        <f aca="false">IF($A68="","",IF($K68&gt;0,"高危",IF($J68&gt;0,"关注",IF($L68&gt;0,"提醒","正常"))))</f>
        <v/>
      </c>
      <c r="N68" s="42" t="str">
        <f aca="false">IF($A68="","",基础资料!$AA68)</f>
        <v/>
      </c>
    </row>
    <row r="69" customFormat="false" ht="15.75" hidden="false" customHeight="true" outlineLevel="0" collapsed="false">
      <c r="A69" s="35" t="str">
        <f aca="false">IF(基础资料!$Z69="","",基础资料!$Z69)</f>
        <v/>
      </c>
      <c r="B69" s="42" t="str">
        <f aca="false">IF($A69="","",N(基础资料!$AB69))</f>
        <v/>
      </c>
      <c r="C69" s="54" t="str">
        <f aca="false">IF($A69="","",SUMIFS(期初数据!$G$6:$G$155,期初数据!$E$6:$E$155,$A69,期初数据!$F$6:$F$155,"&lt;"&amp;首页!$B$6)+SUMIFS(销售录入!$Q$5:$Q$404,销售录入!$D$5:$D$404,$A69,销售录入!$B$5:$B$404,"&lt;"&amp;首页!$B$6)-SUMIFS(资金流水!$N$5:$N$504,资金流水!$G$5:$G$504,$A69,资金流水!$E$5:$E$504,"客户回款",资金流水!$B$5:$B$504,"&lt;"&amp;首页!$B$6))</f>
        <v/>
      </c>
      <c r="D69" s="54" t="str">
        <f aca="false">IF($A69="","",SUMIFS(销售录入!$Q$5:$Q$404,销售录入!$D$5:$D$404,$A69,销售录入!$C$5:$C$404,首页!$B$5))</f>
        <v/>
      </c>
      <c r="E69" s="54" t="str">
        <f aca="false">IF($A69="","",SUMIFS(资金流水!$N$5:$N$504,资金流水!$G$5:$G$504,$A69,资金流水!$E$5:$E$504,"客户回款",资金流水!$C$5:$C$504,首页!$B$5))</f>
        <v/>
      </c>
      <c r="F69" s="62" t="str">
        <f aca="false">IF($A69="","",$C69+$D69-$E69)</f>
        <v/>
      </c>
      <c r="G69" s="44" t="str">
        <f aca="false">IF($A69="","",$F69-$H69-$I69-$J69-$K69)</f>
        <v/>
      </c>
      <c r="H69" s="44" t="str">
        <f aca="false">IF($A69="","",MIN($F69,MAX(0,SUMIFS(期初数据!$G$6:$G$155,期初数据!$E$6:$E$155,$A69,期初数据!$F$6:$F$155,"&lt;="&amp;首页!$B$7)+SUMIFS(销售录入!$Q$5:$Q$404,销售录入!$D$5:$D$404,$A69,销售录入!$U$5:$U$404,"&lt;="&amp;首页!$B$7)-SUMIFS(资金流水!$N$5:$N$504,资金流水!$G$5:$G$504,$A69,资金流水!$E$5:$E$504,"客户回款",资金流水!$B$5:$B$504,"&lt;="&amp;首页!$B$7)))-$K69-$J69-$I69)</f>
        <v/>
      </c>
      <c r="I69" s="44" t="str">
        <f aca="false">IF($A69="","",MIN($F69,MAX(0,SUMIFS(期初数据!$G$6:$G$155,期初数据!$E$6:$E$155,$A69,期初数据!$F$6:$F$155,"&lt;="&amp;首页!$B$7-30)+SUMIFS(销售录入!$Q$5:$Q$404,销售录入!$D$5:$D$404,$A69,销售录入!$U$5:$U$404,"&lt;="&amp;首页!$B$7-30)-SUMIFS(资金流水!$N$5:$N$504,资金流水!$G$5:$G$504,$A69,资金流水!$E$5:$E$504,"客户回款",资金流水!$B$5:$B$504,"&lt;="&amp;首页!$B$7)))-$K69-$J69)</f>
        <v/>
      </c>
      <c r="J69" s="44" t="str">
        <f aca="false">IF($A69="","",MIN($F69,MAX(0,SUMIFS(期初数据!$G$6:$G$155,期初数据!$E$6:$E$155,$A69,期初数据!$F$6:$F$155,"&lt;="&amp;首页!$B$7-60)+SUMIFS(销售录入!$Q$5:$Q$404,销售录入!$D$5:$D$404,$A69,销售录入!$U$5:$U$404,"&lt;="&amp;首页!$B$7-60)-SUMIFS(资金流水!$N$5:$N$504,资金流水!$G$5:$G$504,$A69,资金流水!$E$5:$E$504,"客户回款",资金流水!$B$5:$B$504,"&lt;="&amp;首页!$B$7)))-$K69)</f>
        <v/>
      </c>
      <c r="K69" s="44" t="str">
        <f aca="false">IF($A69="","",MIN($F69,MAX(0,SUMIFS(期初数据!$G$6:$G$155,期初数据!$E$6:$E$155,$A69,期初数据!$F$6:$F$155,"&lt;="&amp;首页!$B$7-90)+SUMIFS(销售录入!$Q$5:$Q$404,销售录入!$D$5:$D$404,$A69,销售录入!$U$5:$U$404,"&lt;="&amp;首页!$B$7-90)-SUMIFS(资金流水!$N$5:$N$504,资金流水!$G$5:$G$504,$A69,资金流水!$E$5:$E$504,"客户回款",资金流水!$B$5:$B$504,"&lt;="&amp;首页!$B$7))))</f>
        <v/>
      </c>
      <c r="L69" s="62" t="str">
        <f aca="false">IF($A69="","",$H69+$I69+$J69+$K69)</f>
        <v/>
      </c>
      <c r="M69" s="47" t="str">
        <f aca="false">IF($A69="","",IF($K69&gt;0,"高危",IF($J69&gt;0,"关注",IF($L69&gt;0,"提醒","正常"))))</f>
        <v/>
      </c>
      <c r="N69" s="42" t="str">
        <f aca="false">IF($A69="","",基础资料!$AA69)</f>
        <v/>
      </c>
    </row>
    <row r="70" customFormat="false" ht="15.75" hidden="false" customHeight="true" outlineLevel="0" collapsed="false">
      <c r="A70" s="35" t="str">
        <f aca="false">IF(基础资料!$Z70="","",基础资料!$Z70)</f>
        <v/>
      </c>
      <c r="B70" s="42" t="str">
        <f aca="false">IF($A70="","",N(基础资料!$AB70))</f>
        <v/>
      </c>
      <c r="C70" s="54" t="str">
        <f aca="false">IF($A70="","",SUMIFS(期初数据!$G$6:$G$155,期初数据!$E$6:$E$155,$A70,期初数据!$F$6:$F$155,"&lt;"&amp;首页!$B$6)+SUMIFS(销售录入!$Q$5:$Q$404,销售录入!$D$5:$D$404,$A70,销售录入!$B$5:$B$404,"&lt;"&amp;首页!$B$6)-SUMIFS(资金流水!$N$5:$N$504,资金流水!$G$5:$G$504,$A70,资金流水!$E$5:$E$504,"客户回款",资金流水!$B$5:$B$504,"&lt;"&amp;首页!$B$6))</f>
        <v/>
      </c>
      <c r="D70" s="54" t="str">
        <f aca="false">IF($A70="","",SUMIFS(销售录入!$Q$5:$Q$404,销售录入!$D$5:$D$404,$A70,销售录入!$C$5:$C$404,首页!$B$5))</f>
        <v/>
      </c>
      <c r="E70" s="54" t="str">
        <f aca="false">IF($A70="","",SUMIFS(资金流水!$N$5:$N$504,资金流水!$G$5:$G$504,$A70,资金流水!$E$5:$E$504,"客户回款",资金流水!$C$5:$C$504,首页!$B$5))</f>
        <v/>
      </c>
      <c r="F70" s="62" t="str">
        <f aca="false">IF($A70="","",$C70+$D70-$E70)</f>
        <v/>
      </c>
      <c r="G70" s="44" t="str">
        <f aca="false">IF($A70="","",$F70-$H70-$I70-$J70-$K70)</f>
        <v/>
      </c>
      <c r="H70" s="44" t="str">
        <f aca="false">IF($A70="","",MIN($F70,MAX(0,SUMIFS(期初数据!$G$6:$G$155,期初数据!$E$6:$E$155,$A70,期初数据!$F$6:$F$155,"&lt;="&amp;首页!$B$7)+SUMIFS(销售录入!$Q$5:$Q$404,销售录入!$D$5:$D$404,$A70,销售录入!$U$5:$U$404,"&lt;="&amp;首页!$B$7)-SUMIFS(资金流水!$N$5:$N$504,资金流水!$G$5:$G$504,$A70,资金流水!$E$5:$E$504,"客户回款",资金流水!$B$5:$B$504,"&lt;="&amp;首页!$B$7)))-$K70-$J70-$I70)</f>
        <v/>
      </c>
      <c r="I70" s="44" t="str">
        <f aca="false">IF($A70="","",MIN($F70,MAX(0,SUMIFS(期初数据!$G$6:$G$155,期初数据!$E$6:$E$155,$A70,期初数据!$F$6:$F$155,"&lt;="&amp;首页!$B$7-30)+SUMIFS(销售录入!$Q$5:$Q$404,销售录入!$D$5:$D$404,$A70,销售录入!$U$5:$U$404,"&lt;="&amp;首页!$B$7-30)-SUMIFS(资金流水!$N$5:$N$504,资金流水!$G$5:$G$504,$A70,资金流水!$E$5:$E$504,"客户回款",资金流水!$B$5:$B$504,"&lt;="&amp;首页!$B$7)))-$K70-$J70)</f>
        <v/>
      </c>
      <c r="J70" s="44" t="str">
        <f aca="false">IF($A70="","",MIN($F70,MAX(0,SUMIFS(期初数据!$G$6:$G$155,期初数据!$E$6:$E$155,$A70,期初数据!$F$6:$F$155,"&lt;="&amp;首页!$B$7-60)+SUMIFS(销售录入!$Q$5:$Q$404,销售录入!$D$5:$D$404,$A70,销售录入!$U$5:$U$404,"&lt;="&amp;首页!$B$7-60)-SUMIFS(资金流水!$N$5:$N$504,资金流水!$G$5:$G$504,$A70,资金流水!$E$5:$E$504,"客户回款",资金流水!$B$5:$B$504,"&lt;="&amp;首页!$B$7)))-$K70)</f>
        <v/>
      </c>
      <c r="K70" s="44" t="str">
        <f aca="false">IF($A70="","",MIN($F70,MAX(0,SUMIFS(期初数据!$G$6:$G$155,期初数据!$E$6:$E$155,$A70,期初数据!$F$6:$F$155,"&lt;="&amp;首页!$B$7-90)+SUMIFS(销售录入!$Q$5:$Q$404,销售录入!$D$5:$D$404,$A70,销售录入!$U$5:$U$404,"&lt;="&amp;首页!$B$7-90)-SUMIFS(资金流水!$N$5:$N$504,资金流水!$G$5:$G$504,$A70,资金流水!$E$5:$E$504,"客户回款",资金流水!$B$5:$B$504,"&lt;="&amp;首页!$B$7))))</f>
        <v/>
      </c>
      <c r="L70" s="62" t="str">
        <f aca="false">IF($A70="","",$H70+$I70+$J70+$K70)</f>
        <v/>
      </c>
      <c r="M70" s="47" t="str">
        <f aca="false">IF($A70="","",IF($K70&gt;0,"高危",IF($J70&gt;0,"关注",IF($L70&gt;0,"提醒","正常"))))</f>
        <v/>
      </c>
      <c r="N70" s="42" t="str">
        <f aca="false">IF($A70="","",基础资料!$AA70)</f>
        <v/>
      </c>
    </row>
    <row r="71" customFormat="false" ht="15.75" hidden="false" customHeight="true" outlineLevel="0" collapsed="false">
      <c r="A71" s="35" t="str">
        <f aca="false">IF(基础资料!$Z71="","",基础资料!$Z71)</f>
        <v/>
      </c>
      <c r="B71" s="42" t="str">
        <f aca="false">IF($A71="","",N(基础资料!$AB71))</f>
        <v/>
      </c>
      <c r="C71" s="54" t="str">
        <f aca="false">IF($A71="","",SUMIFS(期初数据!$G$6:$G$155,期初数据!$E$6:$E$155,$A71,期初数据!$F$6:$F$155,"&lt;"&amp;首页!$B$6)+SUMIFS(销售录入!$Q$5:$Q$404,销售录入!$D$5:$D$404,$A71,销售录入!$B$5:$B$404,"&lt;"&amp;首页!$B$6)-SUMIFS(资金流水!$N$5:$N$504,资金流水!$G$5:$G$504,$A71,资金流水!$E$5:$E$504,"客户回款",资金流水!$B$5:$B$504,"&lt;"&amp;首页!$B$6))</f>
        <v/>
      </c>
      <c r="D71" s="54" t="str">
        <f aca="false">IF($A71="","",SUMIFS(销售录入!$Q$5:$Q$404,销售录入!$D$5:$D$404,$A71,销售录入!$C$5:$C$404,首页!$B$5))</f>
        <v/>
      </c>
      <c r="E71" s="54" t="str">
        <f aca="false">IF($A71="","",SUMIFS(资金流水!$N$5:$N$504,资金流水!$G$5:$G$504,$A71,资金流水!$E$5:$E$504,"客户回款",资金流水!$C$5:$C$504,首页!$B$5))</f>
        <v/>
      </c>
      <c r="F71" s="62" t="str">
        <f aca="false">IF($A71="","",$C71+$D71-$E71)</f>
        <v/>
      </c>
      <c r="G71" s="44" t="str">
        <f aca="false">IF($A71="","",$F71-$H71-$I71-$J71-$K71)</f>
        <v/>
      </c>
      <c r="H71" s="44" t="str">
        <f aca="false">IF($A71="","",MIN($F71,MAX(0,SUMIFS(期初数据!$G$6:$G$155,期初数据!$E$6:$E$155,$A71,期初数据!$F$6:$F$155,"&lt;="&amp;首页!$B$7)+SUMIFS(销售录入!$Q$5:$Q$404,销售录入!$D$5:$D$404,$A71,销售录入!$U$5:$U$404,"&lt;="&amp;首页!$B$7)-SUMIFS(资金流水!$N$5:$N$504,资金流水!$G$5:$G$504,$A71,资金流水!$E$5:$E$504,"客户回款",资金流水!$B$5:$B$504,"&lt;="&amp;首页!$B$7)))-$K71-$J71-$I71)</f>
        <v/>
      </c>
      <c r="I71" s="44" t="str">
        <f aca="false">IF($A71="","",MIN($F71,MAX(0,SUMIFS(期初数据!$G$6:$G$155,期初数据!$E$6:$E$155,$A71,期初数据!$F$6:$F$155,"&lt;="&amp;首页!$B$7-30)+SUMIFS(销售录入!$Q$5:$Q$404,销售录入!$D$5:$D$404,$A71,销售录入!$U$5:$U$404,"&lt;="&amp;首页!$B$7-30)-SUMIFS(资金流水!$N$5:$N$504,资金流水!$G$5:$G$504,$A71,资金流水!$E$5:$E$504,"客户回款",资金流水!$B$5:$B$504,"&lt;="&amp;首页!$B$7)))-$K71-$J71)</f>
        <v/>
      </c>
      <c r="J71" s="44" t="str">
        <f aca="false">IF($A71="","",MIN($F71,MAX(0,SUMIFS(期初数据!$G$6:$G$155,期初数据!$E$6:$E$155,$A71,期初数据!$F$6:$F$155,"&lt;="&amp;首页!$B$7-60)+SUMIFS(销售录入!$Q$5:$Q$404,销售录入!$D$5:$D$404,$A71,销售录入!$U$5:$U$404,"&lt;="&amp;首页!$B$7-60)-SUMIFS(资金流水!$N$5:$N$504,资金流水!$G$5:$G$504,$A71,资金流水!$E$5:$E$504,"客户回款",资金流水!$B$5:$B$504,"&lt;="&amp;首页!$B$7)))-$K71)</f>
        <v/>
      </c>
      <c r="K71" s="44" t="str">
        <f aca="false">IF($A71="","",MIN($F71,MAX(0,SUMIFS(期初数据!$G$6:$G$155,期初数据!$E$6:$E$155,$A71,期初数据!$F$6:$F$155,"&lt;="&amp;首页!$B$7-90)+SUMIFS(销售录入!$Q$5:$Q$404,销售录入!$D$5:$D$404,$A71,销售录入!$U$5:$U$404,"&lt;="&amp;首页!$B$7-90)-SUMIFS(资金流水!$N$5:$N$504,资金流水!$G$5:$G$504,$A71,资金流水!$E$5:$E$504,"客户回款",资金流水!$B$5:$B$504,"&lt;="&amp;首页!$B$7))))</f>
        <v/>
      </c>
      <c r="L71" s="62" t="str">
        <f aca="false">IF($A71="","",$H71+$I71+$J71+$K71)</f>
        <v/>
      </c>
      <c r="M71" s="47" t="str">
        <f aca="false">IF($A71="","",IF($K71&gt;0,"高危",IF($J71&gt;0,"关注",IF($L71&gt;0,"提醒","正常"))))</f>
        <v/>
      </c>
      <c r="N71" s="42" t="str">
        <f aca="false">IF($A71="","",基础资料!$AA71)</f>
        <v/>
      </c>
    </row>
    <row r="72" customFormat="false" ht="15.75" hidden="false" customHeight="true" outlineLevel="0" collapsed="false">
      <c r="A72" s="35" t="str">
        <f aca="false">IF(基础资料!$Z72="","",基础资料!$Z72)</f>
        <v/>
      </c>
      <c r="B72" s="42" t="str">
        <f aca="false">IF($A72="","",N(基础资料!$AB72))</f>
        <v/>
      </c>
      <c r="C72" s="54" t="str">
        <f aca="false">IF($A72="","",SUMIFS(期初数据!$G$6:$G$155,期初数据!$E$6:$E$155,$A72,期初数据!$F$6:$F$155,"&lt;"&amp;首页!$B$6)+SUMIFS(销售录入!$Q$5:$Q$404,销售录入!$D$5:$D$404,$A72,销售录入!$B$5:$B$404,"&lt;"&amp;首页!$B$6)-SUMIFS(资金流水!$N$5:$N$504,资金流水!$G$5:$G$504,$A72,资金流水!$E$5:$E$504,"客户回款",资金流水!$B$5:$B$504,"&lt;"&amp;首页!$B$6))</f>
        <v/>
      </c>
      <c r="D72" s="54" t="str">
        <f aca="false">IF($A72="","",SUMIFS(销售录入!$Q$5:$Q$404,销售录入!$D$5:$D$404,$A72,销售录入!$C$5:$C$404,首页!$B$5))</f>
        <v/>
      </c>
      <c r="E72" s="54" t="str">
        <f aca="false">IF($A72="","",SUMIFS(资金流水!$N$5:$N$504,资金流水!$G$5:$G$504,$A72,资金流水!$E$5:$E$504,"客户回款",资金流水!$C$5:$C$504,首页!$B$5))</f>
        <v/>
      </c>
      <c r="F72" s="62" t="str">
        <f aca="false">IF($A72="","",$C72+$D72-$E72)</f>
        <v/>
      </c>
      <c r="G72" s="44" t="str">
        <f aca="false">IF($A72="","",$F72-$H72-$I72-$J72-$K72)</f>
        <v/>
      </c>
      <c r="H72" s="44" t="str">
        <f aca="false">IF($A72="","",MIN($F72,MAX(0,SUMIFS(期初数据!$G$6:$G$155,期初数据!$E$6:$E$155,$A72,期初数据!$F$6:$F$155,"&lt;="&amp;首页!$B$7)+SUMIFS(销售录入!$Q$5:$Q$404,销售录入!$D$5:$D$404,$A72,销售录入!$U$5:$U$404,"&lt;="&amp;首页!$B$7)-SUMIFS(资金流水!$N$5:$N$504,资金流水!$G$5:$G$504,$A72,资金流水!$E$5:$E$504,"客户回款",资金流水!$B$5:$B$504,"&lt;="&amp;首页!$B$7)))-$K72-$J72-$I72)</f>
        <v/>
      </c>
      <c r="I72" s="44" t="str">
        <f aca="false">IF($A72="","",MIN($F72,MAX(0,SUMIFS(期初数据!$G$6:$G$155,期初数据!$E$6:$E$155,$A72,期初数据!$F$6:$F$155,"&lt;="&amp;首页!$B$7-30)+SUMIFS(销售录入!$Q$5:$Q$404,销售录入!$D$5:$D$404,$A72,销售录入!$U$5:$U$404,"&lt;="&amp;首页!$B$7-30)-SUMIFS(资金流水!$N$5:$N$504,资金流水!$G$5:$G$504,$A72,资金流水!$E$5:$E$504,"客户回款",资金流水!$B$5:$B$504,"&lt;="&amp;首页!$B$7)))-$K72-$J72)</f>
        <v/>
      </c>
      <c r="J72" s="44" t="str">
        <f aca="false">IF($A72="","",MIN($F72,MAX(0,SUMIFS(期初数据!$G$6:$G$155,期初数据!$E$6:$E$155,$A72,期初数据!$F$6:$F$155,"&lt;="&amp;首页!$B$7-60)+SUMIFS(销售录入!$Q$5:$Q$404,销售录入!$D$5:$D$404,$A72,销售录入!$U$5:$U$404,"&lt;="&amp;首页!$B$7-60)-SUMIFS(资金流水!$N$5:$N$504,资金流水!$G$5:$G$504,$A72,资金流水!$E$5:$E$504,"客户回款",资金流水!$B$5:$B$504,"&lt;="&amp;首页!$B$7)))-$K72)</f>
        <v/>
      </c>
      <c r="K72" s="44" t="str">
        <f aca="false">IF($A72="","",MIN($F72,MAX(0,SUMIFS(期初数据!$G$6:$G$155,期初数据!$E$6:$E$155,$A72,期初数据!$F$6:$F$155,"&lt;="&amp;首页!$B$7-90)+SUMIFS(销售录入!$Q$5:$Q$404,销售录入!$D$5:$D$404,$A72,销售录入!$U$5:$U$404,"&lt;="&amp;首页!$B$7-90)-SUMIFS(资金流水!$N$5:$N$504,资金流水!$G$5:$G$504,$A72,资金流水!$E$5:$E$504,"客户回款",资金流水!$B$5:$B$504,"&lt;="&amp;首页!$B$7))))</f>
        <v/>
      </c>
      <c r="L72" s="62" t="str">
        <f aca="false">IF($A72="","",$H72+$I72+$J72+$K72)</f>
        <v/>
      </c>
      <c r="M72" s="47" t="str">
        <f aca="false">IF($A72="","",IF($K72&gt;0,"高危",IF($J72&gt;0,"关注",IF($L72&gt;0,"提醒","正常"))))</f>
        <v/>
      </c>
      <c r="N72" s="42" t="str">
        <f aca="false">IF($A72="","",基础资料!$AA72)</f>
        <v/>
      </c>
    </row>
    <row r="73" customFormat="false" ht="15.75" hidden="false" customHeight="true" outlineLevel="0" collapsed="false">
      <c r="A73" s="35" t="str">
        <f aca="false">IF(基础资料!$Z73="","",基础资料!$Z73)</f>
        <v/>
      </c>
      <c r="B73" s="42" t="str">
        <f aca="false">IF($A73="","",N(基础资料!$AB73))</f>
        <v/>
      </c>
      <c r="C73" s="54" t="str">
        <f aca="false">IF($A73="","",SUMIFS(期初数据!$G$6:$G$155,期初数据!$E$6:$E$155,$A73,期初数据!$F$6:$F$155,"&lt;"&amp;首页!$B$6)+SUMIFS(销售录入!$Q$5:$Q$404,销售录入!$D$5:$D$404,$A73,销售录入!$B$5:$B$404,"&lt;"&amp;首页!$B$6)-SUMIFS(资金流水!$N$5:$N$504,资金流水!$G$5:$G$504,$A73,资金流水!$E$5:$E$504,"客户回款",资金流水!$B$5:$B$504,"&lt;"&amp;首页!$B$6))</f>
        <v/>
      </c>
      <c r="D73" s="54" t="str">
        <f aca="false">IF($A73="","",SUMIFS(销售录入!$Q$5:$Q$404,销售录入!$D$5:$D$404,$A73,销售录入!$C$5:$C$404,首页!$B$5))</f>
        <v/>
      </c>
      <c r="E73" s="54" t="str">
        <f aca="false">IF($A73="","",SUMIFS(资金流水!$N$5:$N$504,资金流水!$G$5:$G$504,$A73,资金流水!$E$5:$E$504,"客户回款",资金流水!$C$5:$C$504,首页!$B$5))</f>
        <v/>
      </c>
      <c r="F73" s="62" t="str">
        <f aca="false">IF($A73="","",$C73+$D73-$E73)</f>
        <v/>
      </c>
      <c r="G73" s="44" t="str">
        <f aca="false">IF($A73="","",$F73-$H73-$I73-$J73-$K73)</f>
        <v/>
      </c>
      <c r="H73" s="44" t="str">
        <f aca="false">IF($A73="","",MIN($F73,MAX(0,SUMIFS(期初数据!$G$6:$G$155,期初数据!$E$6:$E$155,$A73,期初数据!$F$6:$F$155,"&lt;="&amp;首页!$B$7)+SUMIFS(销售录入!$Q$5:$Q$404,销售录入!$D$5:$D$404,$A73,销售录入!$U$5:$U$404,"&lt;="&amp;首页!$B$7)-SUMIFS(资金流水!$N$5:$N$504,资金流水!$G$5:$G$504,$A73,资金流水!$E$5:$E$504,"客户回款",资金流水!$B$5:$B$504,"&lt;="&amp;首页!$B$7)))-$K73-$J73-$I73)</f>
        <v/>
      </c>
      <c r="I73" s="44" t="str">
        <f aca="false">IF($A73="","",MIN($F73,MAX(0,SUMIFS(期初数据!$G$6:$G$155,期初数据!$E$6:$E$155,$A73,期初数据!$F$6:$F$155,"&lt;="&amp;首页!$B$7-30)+SUMIFS(销售录入!$Q$5:$Q$404,销售录入!$D$5:$D$404,$A73,销售录入!$U$5:$U$404,"&lt;="&amp;首页!$B$7-30)-SUMIFS(资金流水!$N$5:$N$504,资金流水!$G$5:$G$504,$A73,资金流水!$E$5:$E$504,"客户回款",资金流水!$B$5:$B$504,"&lt;="&amp;首页!$B$7)))-$K73-$J73)</f>
        <v/>
      </c>
      <c r="J73" s="44" t="str">
        <f aca="false">IF($A73="","",MIN($F73,MAX(0,SUMIFS(期初数据!$G$6:$G$155,期初数据!$E$6:$E$155,$A73,期初数据!$F$6:$F$155,"&lt;="&amp;首页!$B$7-60)+SUMIFS(销售录入!$Q$5:$Q$404,销售录入!$D$5:$D$404,$A73,销售录入!$U$5:$U$404,"&lt;="&amp;首页!$B$7-60)-SUMIFS(资金流水!$N$5:$N$504,资金流水!$G$5:$G$504,$A73,资金流水!$E$5:$E$504,"客户回款",资金流水!$B$5:$B$504,"&lt;="&amp;首页!$B$7)))-$K73)</f>
        <v/>
      </c>
      <c r="K73" s="44" t="str">
        <f aca="false">IF($A73="","",MIN($F73,MAX(0,SUMIFS(期初数据!$G$6:$G$155,期初数据!$E$6:$E$155,$A73,期初数据!$F$6:$F$155,"&lt;="&amp;首页!$B$7-90)+SUMIFS(销售录入!$Q$5:$Q$404,销售录入!$D$5:$D$404,$A73,销售录入!$U$5:$U$404,"&lt;="&amp;首页!$B$7-90)-SUMIFS(资金流水!$N$5:$N$504,资金流水!$G$5:$G$504,$A73,资金流水!$E$5:$E$504,"客户回款",资金流水!$B$5:$B$504,"&lt;="&amp;首页!$B$7))))</f>
        <v/>
      </c>
      <c r="L73" s="62" t="str">
        <f aca="false">IF($A73="","",$H73+$I73+$J73+$K73)</f>
        <v/>
      </c>
      <c r="M73" s="47" t="str">
        <f aca="false">IF($A73="","",IF($K73&gt;0,"高危",IF($J73&gt;0,"关注",IF($L73&gt;0,"提醒","正常"))))</f>
        <v/>
      </c>
      <c r="N73" s="42" t="str">
        <f aca="false">IF($A73="","",基础资料!$AA73)</f>
        <v/>
      </c>
    </row>
    <row r="74" customFormat="false" ht="15.75" hidden="false" customHeight="true" outlineLevel="0" collapsed="false">
      <c r="A74" s="35" t="str">
        <f aca="false">IF(基础资料!$Z74="","",基础资料!$Z74)</f>
        <v/>
      </c>
      <c r="B74" s="42" t="str">
        <f aca="false">IF($A74="","",N(基础资料!$AB74))</f>
        <v/>
      </c>
      <c r="C74" s="54" t="str">
        <f aca="false">IF($A74="","",SUMIFS(期初数据!$G$6:$G$155,期初数据!$E$6:$E$155,$A74,期初数据!$F$6:$F$155,"&lt;"&amp;首页!$B$6)+SUMIFS(销售录入!$Q$5:$Q$404,销售录入!$D$5:$D$404,$A74,销售录入!$B$5:$B$404,"&lt;"&amp;首页!$B$6)-SUMIFS(资金流水!$N$5:$N$504,资金流水!$G$5:$G$504,$A74,资金流水!$E$5:$E$504,"客户回款",资金流水!$B$5:$B$504,"&lt;"&amp;首页!$B$6))</f>
        <v/>
      </c>
      <c r="D74" s="54" t="str">
        <f aca="false">IF($A74="","",SUMIFS(销售录入!$Q$5:$Q$404,销售录入!$D$5:$D$404,$A74,销售录入!$C$5:$C$404,首页!$B$5))</f>
        <v/>
      </c>
      <c r="E74" s="54" t="str">
        <f aca="false">IF($A74="","",SUMIFS(资金流水!$N$5:$N$504,资金流水!$G$5:$G$504,$A74,资金流水!$E$5:$E$504,"客户回款",资金流水!$C$5:$C$504,首页!$B$5))</f>
        <v/>
      </c>
      <c r="F74" s="62" t="str">
        <f aca="false">IF($A74="","",$C74+$D74-$E74)</f>
        <v/>
      </c>
      <c r="G74" s="44" t="str">
        <f aca="false">IF($A74="","",$F74-$H74-$I74-$J74-$K74)</f>
        <v/>
      </c>
      <c r="H74" s="44" t="str">
        <f aca="false">IF($A74="","",MIN($F74,MAX(0,SUMIFS(期初数据!$G$6:$G$155,期初数据!$E$6:$E$155,$A74,期初数据!$F$6:$F$155,"&lt;="&amp;首页!$B$7)+SUMIFS(销售录入!$Q$5:$Q$404,销售录入!$D$5:$D$404,$A74,销售录入!$U$5:$U$404,"&lt;="&amp;首页!$B$7)-SUMIFS(资金流水!$N$5:$N$504,资金流水!$G$5:$G$504,$A74,资金流水!$E$5:$E$504,"客户回款",资金流水!$B$5:$B$504,"&lt;="&amp;首页!$B$7)))-$K74-$J74-$I74)</f>
        <v/>
      </c>
      <c r="I74" s="44" t="str">
        <f aca="false">IF($A74="","",MIN($F74,MAX(0,SUMIFS(期初数据!$G$6:$G$155,期初数据!$E$6:$E$155,$A74,期初数据!$F$6:$F$155,"&lt;="&amp;首页!$B$7-30)+SUMIFS(销售录入!$Q$5:$Q$404,销售录入!$D$5:$D$404,$A74,销售录入!$U$5:$U$404,"&lt;="&amp;首页!$B$7-30)-SUMIFS(资金流水!$N$5:$N$504,资金流水!$G$5:$G$504,$A74,资金流水!$E$5:$E$504,"客户回款",资金流水!$B$5:$B$504,"&lt;="&amp;首页!$B$7)))-$K74-$J74)</f>
        <v/>
      </c>
      <c r="J74" s="44" t="str">
        <f aca="false">IF($A74="","",MIN($F74,MAX(0,SUMIFS(期初数据!$G$6:$G$155,期初数据!$E$6:$E$155,$A74,期初数据!$F$6:$F$155,"&lt;="&amp;首页!$B$7-60)+SUMIFS(销售录入!$Q$5:$Q$404,销售录入!$D$5:$D$404,$A74,销售录入!$U$5:$U$404,"&lt;="&amp;首页!$B$7-60)-SUMIFS(资金流水!$N$5:$N$504,资金流水!$G$5:$G$504,$A74,资金流水!$E$5:$E$504,"客户回款",资金流水!$B$5:$B$504,"&lt;="&amp;首页!$B$7)))-$K74)</f>
        <v/>
      </c>
      <c r="K74" s="44" t="str">
        <f aca="false">IF($A74="","",MIN($F74,MAX(0,SUMIFS(期初数据!$G$6:$G$155,期初数据!$E$6:$E$155,$A74,期初数据!$F$6:$F$155,"&lt;="&amp;首页!$B$7-90)+SUMIFS(销售录入!$Q$5:$Q$404,销售录入!$D$5:$D$404,$A74,销售录入!$U$5:$U$404,"&lt;="&amp;首页!$B$7-90)-SUMIFS(资金流水!$N$5:$N$504,资金流水!$G$5:$G$504,$A74,资金流水!$E$5:$E$504,"客户回款",资金流水!$B$5:$B$504,"&lt;="&amp;首页!$B$7))))</f>
        <v/>
      </c>
      <c r="L74" s="62" t="str">
        <f aca="false">IF($A74="","",$H74+$I74+$J74+$K74)</f>
        <v/>
      </c>
      <c r="M74" s="47" t="str">
        <f aca="false">IF($A74="","",IF($K74&gt;0,"高危",IF($J74&gt;0,"关注",IF($L74&gt;0,"提醒","正常"))))</f>
        <v/>
      </c>
      <c r="N74" s="42" t="str">
        <f aca="false">IF($A74="","",基础资料!$AA74)</f>
        <v/>
      </c>
    </row>
    <row r="75" customFormat="false" ht="15.75" hidden="false" customHeight="true" outlineLevel="0" collapsed="false">
      <c r="A75" s="35" t="str">
        <f aca="false">IF(基础资料!$Z75="","",基础资料!$Z75)</f>
        <v/>
      </c>
      <c r="B75" s="42" t="str">
        <f aca="false">IF($A75="","",N(基础资料!$AB75))</f>
        <v/>
      </c>
      <c r="C75" s="54" t="str">
        <f aca="false">IF($A75="","",SUMIFS(期初数据!$G$6:$G$155,期初数据!$E$6:$E$155,$A75,期初数据!$F$6:$F$155,"&lt;"&amp;首页!$B$6)+SUMIFS(销售录入!$Q$5:$Q$404,销售录入!$D$5:$D$404,$A75,销售录入!$B$5:$B$404,"&lt;"&amp;首页!$B$6)-SUMIFS(资金流水!$N$5:$N$504,资金流水!$G$5:$G$504,$A75,资金流水!$E$5:$E$504,"客户回款",资金流水!$B$5:$B$504,"&lt;"&amp;首页!$B$6))</f>
        <v/>
      </c>
      <c r="D75" s="54" t="str">
        <f aca="false">IF($A75="","",SUMIFS(销售录入!$Q$5:$Q$404,销售录入!$D$5:$D$404,$A75,销售录入!$C$5:$C$404,首页!$B$5))</f>
        <v/>
      </c>
      <c r="E75" s="54" t="str">
        <f aca="false">IF($A75="","",SUMIFS(资金流水!$N$5:$N$504,资金流水!$G$5:$G$504,$A75,资金流水!$E$5:$E$504,"客户回款",资金流水!$C$5:$C$504,首页!$B$5))</f>
        <v/>
      </c>
      <c r="F75" s="62" t="str">
        <f aca="false">IF($A75="","",$C75+$D75-$E75)</f>
        <v/>
      </c>
      <c r="G75" s="44" t="str">
        <f aca="false">IF($A75="","",$F75-$H75-$I75-$J75-$K75)</f>
        <v/>
      </c>
      <c r="H75" s="44" t="str">
        <f aca="false">IF($A75="","",MIN($F75,MAX(0,SUMIFS(期初数据!$G$6:$G$155,期初数据!$E$6:$E$155,$A75,期初数据!$F$6:$F$155,"&lt;="&amp;首页!$B$7)+SUMIFS(销售录入!$Q$5:$Q$404,销售录入!$D$5:$D$404,$A75,销售录入!$U$5:$U$404,"&lt;="&amp;首页!$B$7)-SUMIFS(资金流水!$N$5:$N$504,资金流水!$G$5:$G$504,$A75,资金流水!$E$5:$E$504,"客户回款",资金流水!$B$5:$B$504,"&lt;="&amp;首页!$B$7)))-$K75-$J75-$I75)</f>
        <v/>
      </c>
      <c r="I75" s="44" t="str">
        <f aca="false">IF($A75="","",MIN($F75,MAX(0,SUMIFS(期初数据!$G$6:$G$155,期初数据!$E$6:$E$155,$A75,期初数据!$F$6:$F$155,"&lt;="&amp;首页!$B$7-30)+SUMIFS(销售录入!$Q$5:$Q$404,销售录入!$D$5:$D$404,$A75,销售录入!$U$5:$U$404,"&lt;="&amp;首页!$B$7-30)-SUMIFS(资金流水!$N$5:$N$504,资金流水!$G$5:$G$504,$A75,资金流水!$E$5:$E$504,"客户回款",资金流水!$B$5:$B$504,"&lt;="&amp;首页!$B$7)))-$K75-$J75)</f>
        <v/>
      </c>
      <c r="J75" s="44" t="str">
        <f aca="false">IF($A75="","",MIN($F75,MAX(0,SUMIFS(期初数据!$G$6:$G$155,期初数据!$E$6:$E$155,$A75,期初数据!$F$6:$F$155,"&lt;="&amp;首页!$B$7-60)+SUMIFS(销售录入!$Q$5:$Q$404,销售录入!$D$5:$D$404,$A75,销售录入!$U$5:$U$404,"&lt;="&amp;首页!$B$7-60)-SUMIFS(资金流水!$N$5:$N$504,资金流水!$G$5:$G$504,$A75,资金流水!$E$5:$E$504,"客户回款",资金流水!$B$5:$B$504,"&lt;="&amp;首页!$B$7)))-$K75)</f>
        <v/>
      </c>
      <c r="K75" s="44" t="str">
        <f aca="false">IF($A75="","",MIN($F75,MAX(0,SUMIFS(期初数据!$G$6:$G$155,期初数据!$E$6:$E$155,$A75,期初数据!$F$6:$F$155,"&lt;="&amp;首页!$B$7-90)+SUMIFS(销售录入!$Q$5:$Q$404,销售录入!$D$5:$D$404,$A75,销售录入!$U$5:$U$404,"&lt;="&amp;首页!$B$7-90)-SUMIFS(资金流水!$N$5:$N$504,资金流水!$G$5:$G$504,$A75,资金流水!$E$5:$E$504,"客户回款",资金流水!$B$5:$B$504,"&lt;="&amp;首页!$B$7))))</f>
        <v/>
      </c>
      <c r="L75" s="62" t="str">
        <f aca="false">IF($A75="","",$H75+$I75+$J75+$K75)</f>
        <v/>
      </c>
      <c r="M75" s="47" t="str">
        <f aca="false">IF($A75="","",IF($K75&gt;0,"高危",IF($J75&gt;0,"关注",IF($L75&gt;0,"提醒","正常"))))</f>
        <v/>
      </c>
      <c r="N75" s="42" t="str">
        <f aca="false">IF($A75="","",基础资料!$AA75)</f>
        <v/>
      </c>
    </row>
    <row r="76" customFormat="false" ht="15.75" hidden="false" customHeight="true" outlineLevel="0" collapsed="false">
      <c r="A76" s="35" t="str">
        <f aca="false">IF(基础资料!$Z76="","",基础资料!$Z76)</f>
        <v/>
      </c>
      <c r="B76" s="42" t="str">
        <f aca="false">IF($A76="","",N(基础资料!$AB76))</f>
        <v/>
      </c>
      <c r="C76" s="54" t="str">
        <f aca="false">IF($A76="","",SUMIFS(期初数据!$G$6:$G$155,期初数据!$E$6:$E$155,$A76,期初数据!$F$6:$F$155,"&lt;"&amp;首页!$B$6)+SUMIFS(销售录入!$Q$5:$Q$404,销售录入!$D$5:$D$404,$A76,销售录入!$B$5:$B$404,"&lt;"&amp;首页!$B$6)-SUMIFS(资金流水!$N$5:$N$504,资金流水!$G$5:$G$504,$A76,资金流水!$E$5:$E$504,"客户回款",资金流水!$B$5:$B$504,"&lt;"&amp;首页!$B$6))</f>
        <v/>
      </c>
      <c r="D76" s="54" t="str">
        <f aca="false">IF($A76="","",SUMIFS(销售录入!$Q$5:$Q$404,销售录入!$D$5:$D$404,$A76,销售录入!$C$5:$C$404,首页!$B$5))</f>
        <v/>
      </c>
      <c r="E76" s="54" t="str">
        <f aca="false">IF($A76="","",SUMIFS(资金流水!$N$5:$N$504,资金流水!$G$5:$G$504,$A76,资金流水!$E$5:$E$504,"客户回款",资金流水!$C$5:$C$504,首页!$B$5))</f>
        <v/>
      </c>
      <c r="F76" s="62" t="str">
        <f aca="false">IF($A76="","",$C76+$D76-$E76)</f>
        <v/>
      </c>
      <c r="G76" s="44" t="str">
        <f aca="false">IF($A76="","",$F76-$H76-$I76-$J76-$K76)</f>
        <v/>
      </c>
      <c r="H76" s="44" t="str">
        <f aca="false">IF($A76="","",MIN($F76,MAX(0,SUMIFS(期初数据!$G$6:$G$155,期初数据!$E$6:$E$155,$A76,期初数据!$F$6:$F$155,"&lt;="&amp;首页!$B$7)+SUMIFS(销售录入!$Q$5:$Q$404,销售录入!$D$5:$D$404,$A76,销售录入!$U$5:$U$404,"&lt;="&amp;首页!$B$7)-SUMIFS(资金流水!$N$5:$N$504,资金流水!$G$5:$G$504,$A76,资金流水!$E$5:$E$504,"客户回款",资金流水!$B$5:$B$504,"&lt;="&amp;首页!$B$7)))-$K76-$J76-$I76)</f>
        <v/>
      </c>
      <c r="I76" s="44" t="str">
        <f aca="false">IF($A76="","",MIN($F76,MAX(0,SUMIFS(期初数据!$G$6:$G$155,期初数据!$E$6:$E$155,$A76,期初数据!$F$6:$F$155,"&lt;="&amp;首页!$B$7-30)+SUMIFS(销售录入!$Q$5:$Q$404,销售录入!$D$5:$D$404,$A76,销售录入!$U$5:$U$404,"&lt;="&amp;首页!$B$7-30)-SUMIFS(资金流水!$N$5:$N$504,资金流水!$G$5:$G$504,$A76,资金流水!$E$5:$E$504,"客户回款",资金流水!$B$5:$B$504,"&lt;="&amp;首页!$B$7)))-$K76-$J76)</f>
        <v/>
      </c>
      <c r="J76" s="44" t="str">
        <f aca="false">IF($A76="","",MIN($F76,MAX(0,SUMIFS(期初数据!$G$6:$G$155,期初数据!$E$6:$E$155,$A76,期初数据!$F$6:$F$155,"&lt;="&amp;首页!$B$7-60)+SUMIFS(销售录入!$Q$5:$Q$404,销售录入!$D$5:$D$404,$A76,销售录入!$U$5:$U$404,"&lt;="&amp;首页!$B$7-60)-SUMIFS(资金流水!$N$5:$N$504,资金流水!$G$5:$G$504,$A76,资金流水!$E$5:$E$504,"客户回款",资金流水!$B$5:$B$504,"&lt;="&amp;首页!$B$7)))-$K76)</f>
        <v/>
      </c>
      <c r="K76" s="44" t="str">
        <f aca="false">IF($A76="","",MIN($F76,MAX(0,SUMIFS(期初数据!$G$6:$G$155,期初数据!$E$6:$E$155,$A76,期初数据!$F$6:$F$155,"&lt;="&amp;首页!$B$7-90)+SUMIFS(销售录入!$Q$5:$Q$404,销售录入!$D$5:$D$404,$A76,销售录入!$U$5:$U$404,"&lt;="&amp;首页!$B$7-90)-SUMIFS(资金流水!$N$5:$N$504,资金流水!$G$5:$G$504,$A76,资金流水!$E$5:$E$504,"客户回款",资金流水!$B$5:$B$504,"&lt;="&amp;首页!$B$7))))</f>
        <v/>
      </c>
      <c r="L76" s="62" t="str">
        <f aca="false">IF($A76="","",$H76+$I76+$J76+$K76)</f>
        <v/>
      </c>
      <c r="M76" s="47" t="str">
        <f aca="false">IF($A76="","",IF($K76&gt;0,"高危",IF($J76&gt;0,"关注",IF($L76&gt;0,"提醒","正常"))))</f>
        <v/>
      </c>
      <c r="N76" s="42" t="str">
        <f aca="false">IF($A76="","",基础资料!$AA76)</f>
        <v/>
      </c>
    </row>
    <row r="77" customFormat="false" ht="15.75" hidden="false" customHeight="true" outlineLevel="0" collapsed="false">
      <c r="A77" s="35" t="str">
        <f aca="false">IF(基础资料!$Z77="","",基础资料!$Z77)</f>
        <v/>
      </c>
      <c r="B77" s="42" t="str">
        <f aca="false">IF($A77="","",N(基础资料!$AB77))</f>
        <v/>
      </c>
      <c r="C77" s="54" t="str">
        <f aca="false">IF($A77="","",SUMIFS(期初数据!$G$6:$G$155,期初数据!$E$6:$E$155,$A77,期初数据!$F$6:$F$155,"&lt;"&amp;首页!$B$6)+SUMIFS(销售录入!$Q$5:$Q$404,销售录入!$D$5:$D$404,$A77,销售录入!$B$5:$B$404,"&lt;"&amp;首页!$B$6)-SUMIFS(资金流水!$N$5:$N$504,资金流水!$G$5:$G$504,$A77,资金流水!$E$5:$E$504,"客户回款",资金流水!$B$5:$B$504,"&lt;"&amp;首页!$B$6))</f>
        <v/>
      </c>
      <c r="D77" s="54" t="str">
        <f aca="false">IF($A77="","",SUMIFS(销售录入!$Q$5:$Q$404,销售录入!$D$5:$D$404,$A77,销售录入!$C$5:$C$404,首页!$B$5))</f>
        <v/>
      </c>
      <c r="E77" s="54" t="str">
        <f aca="false">IF($A77="","",SUMIFS(资金流水!$N$5:$N$504,资金流水!$G$5:$G$504,$A77,资金流水!$E$5:$E$504,"客户回款",资金流水!$C$5:$C$504,首页!$B$5))</f>
        <v/>
      </c>
      <c r="F77" s="62" t="str">
        <f aca="false">IF($A77="","",$C77+$D77-$E77)</f>
        <v/>
      </c>
      <c r="G77" s="44" t="str">
        <f aca="false">IF($A77="","",$F77-$H77-$I77-$J77-$K77)</f>
        <v/>
      </c>
      <c r="H77" s="44" t="str">
        <f aca="false">IF($A77="","",MIN($F77,MAX(0,SUMIFS(期初数据!$G$6:$G$155,期初数据!$E$6:$E$155,$A77,期初数据!$F$6:$F$155,"&lt;="&amp;首页!$B$7)+SUMIFS(销售录入!$Q$5:$Q$404,销售录入!$D$5:$D$404,$A77,销售录入!$U$5:$U$404,"&lt;="&amp;首页!$B$7)-SUMIFS(资金流水!$N$5:$N$504,资金流水!$G$5:$G$504,$A77,资金流水!$E$5:$E$504,"客户回款",资金流水!$B$5:$B$504,"&lt;="&amp;首页!$B$7)))-$K77-$J77-$I77)</f>
        <v/>
      </c>
      <c r="I77" s="44" t="str">
        <f aca="false">IF($A77="","",MIN($F77,MAX(0,SUMIFS(期初数据!$G$6:$G$155,期初数据!$E$6:$E$155,$A77,期初数据!$F$6:$F$155,"&lt;="&amp;首页!$B$7-30)+SUMIFS(销售录入!$Q$5:$Q$404,销售录入!$D$5:$D$404,$A77,销售录入!$U$5:$U$404,"&lt;="&amp;首页!$B$7-30)-SUMIFS(资金流水!$N$5:$N$504,资金流水!$G$5:$G$504,$A77,资金流水!$E$5:$E$504,"客户回款",资金流水!$B$5:$B$504,"&lt;="&amp;首页!$B$7)))-$K77-$J77)</f>
        <v/>
      </c>
      <c r="J77" s="44" t="str">
        <f aca="false">IF($A77="","",MIN($F77,MAX(0,SUMIFS(期初数据!$G$6:$G$155,期初数据!$E$6:$E$155,$A77,期初数据!$F$6:$F$155,"&lt;="&amp;首页!$B$7-60)+SUMIFS(销售录入!$Q$5:$Q$404,销售录入!$D$5:$D$404,$A77,销售录入!$U$5:$U$404,"&lt;="&amp;首页!$B$7-60)-SUMIFS(资金流水!$N$5:$N$504,资金流水!$G$5:$G$504,$A77,资金流水!$E$5:$E$504,"客户回款",资金流水!$B$5:$B$504,"&lt;="&amp;首页!$B$7)))-$K77)</f>
        <v/>
      </c>
      <c r="K77" s="44" t="str">
        <f aca="false">IF($A77="","",MIN($F77,MAX(0,SUMIFS(期初数据!$G$6:$G$155,期初数据!$E$6:$E$155,$A77,期初数据!$F$6:$F$155,"&lt;="&amp;首页!$B$7-90)+SUMIFS(销售录入!$Q$5:$Q$404,销售录入!$D$5:$D$404,$A77,销售录入!$U$5:$U$404,"&lt;="&amp;首页!$B$7-90)-SUMIFS(资金流水!$N$5:$N$504,资金流水!$G$5:$G$504,$A77,资金流水!$E$5:$E$504,"客户回款",资金流水!$B$5:$B$504,"&lt;="&amp;首页!$B$7))))</f>
        <v/>
      </c>
      <c r="L77" s="62" t="str">
        <f aca="false">IF($A77="","",$H77+$I77+$J77+$K77)</f>
        <v/>
      </c>
      <c r="M77" s="47" t="str">
        <f aca="false">IF($A77="","",IF($K77&gt;0,"高危",IF($J77&gt;0,"关注",IF($L77&gt;0,"提醒","正常"))))</f>
        <v/>
      </c>
      <c r="N77" s="42" t="str">
        <f aca="false">IF($A77="","",基础资料!$AA77)</f>
        <v/>
      </c>
    </row>
    <row r="78" customFormat="false" ht="15.75" hidden="false" customHeight="true" outlineLevel="0" collapsed="false">
      <c r="A78" s="35" t="str">
        <f aca="false">IF(基础资料!$Z78="","",基础资料!$Z78)</f>
        <v/>
      </c>
      <c r="B78" s="42" t="str">
        <f aca="false">IF($A78="","",N(基础资料!$AB78))</f>
        <v/>
      </c>
      <c r="C78" s="54" t="str">
        <f aca="false">IF($A78="","",SUMIFS(期初数据!$G$6:$G$155,期初数据!$E$6:$E$155,$A78,期初数据!$F$6:$F$155,"&lt;"&amp;首页!$B$6)+SUMIFS(销售录入!$Q$5:$Q$404,销售录入!$D$5:$D$404,$A78,销售录入!$B$5:$B$404,"&lt;"&amp;首页!$B$6)-SUMIFS(资金流水!$N$5:$N$504,资金流水!$G$5:$G$504,$A78,资金流水!$E$5:$E$504,"客户回款",资金流水!$B$5:$B$504,"&lt;"&amp;首页!$B$6))</f>
        <v/>
      </c>
      <c r="D78" s="54" t="str">
        <f aca="false">IF($A78="","",SUMIFS(销售录入!$Q$5:$Q$404,销售录入!$D$5:$D$404,$A78,销售录入!$C$5:$C$404,首页!$B$5))</f>
        <v/>
      </c>
      <c r="E78" s="54" t="str">
        <f aca="false">IF($A78="","",SUMIFS(资金流水!$N$5:$N$504,资金流水!$G$5:$G$504,$A78,资金流水!$E$5:$E$504,"客户回款",资金流水!$C$5:$C$504,首页!$B$5))</f>
        <v/>
      </c>
      <c r="F78" s="62" t="str">
        <f aca="false">IF($A78="","",$C78+$D78-$E78)</f>
        <v/>
      </c>
      <c r="G78" s="44" t="str">
        <f aca="false">IF($A78="","",$F78-$H78-$I78-$J78-$K78)</f>
        <v/>
      </c>
      <c r="H78" s="44" t="str">
        <f aca="false">IF($A78="","",MIN($F78,MAX(0,SUMIFS(期初数据!$G$6:$G$155,期初数据!$E$6:$E$155,$A78,期初数据!$F$6:$F$155,"&lt;="&amp;首页!$B$7)+SUMIFS(销售录入!$Q$5:$Q$404,销售录入!$D$5:$D$404,$A78,销售录入!$U$5:$U$404,"&lt;="&amp;首页!$B$7)-SUMIFS(资金流水!$N$5:$N$504,资金流水!$G$5:$G$504,$A78,资金流水!$E$5:$E$504,"客户回款",资金流水!$B$5:$B$504,"&lt;="&amp;首页!$B$7)))-$K78-$J78-$I78)</f>
        <v/>
      </c>
      <c r="I78" s="44" t="str">
        <f aca="false">IF($A78="","",MIN($F78,MAX(0,SUMIFS(期初数据!$G$6:$G$155,期初数据!$E$6:$E$155,$A78,期初数据!$F$6:$F$155,"&lt;="&amp;首页!$B$7-30)+SUMIFS(销售录入!$Q$5:$Q$404,销售录入!$D$5:$D$404,$A78,销售录入!$U$5:$U$404,"&lt;="&amp;首页!$B$7-30)-SUMIFS(资金流水!$N$5:$N$504,资金流水!$G$5:$G$504,$A78,资金流水!$E$5:$E$504,"客户回款",资金流水!$B$5:$B$504,"&lt;="&amp;首页!$B$7)))-$K78-$J78)</f>
        <v/>
      </c>
      <c r="J78" s="44" t="str">
        <f aca="false">IF($A78="","",MIN($F78,MAX(0,SUMIFS(期初数据!$G$6:$G$155,期初数据!$E$6:$E$155,$A78,期初数据!$F$6:$F$155,"&lt;="&amp;首页!$B$7-60)+SUMIFS(销售录入!$Q$5:$Q$404,销售录入!$D$5:$D$404,$A78,销售录入!$U$5:$U$404,"&lt;="&amp;首页!$B$7-60)-SUMIFS(资金流水!$N$5:$N$504,资金流水!$G$5:$G$504,$A78,资金流水!$E$5:$E$504,"客户回款",资金流水!$B$5:$B$504,"&lt;="&amp;首页!$B$7)))-$K78)</f>
        <v/>
      </c>
      <c r="K78" s="44" t="str">
        <f aca="false">IF($A78="","",MIN($F78,MAX(0,SUMIFS(期初数据!$G$6:$G$155,期初数据!$E$6:$E$155,$A78,期初数据!$F$6:$F$155,"&lt;="&amp;首页!$B$7-90)+SUMIFS(销售录入!$Q$5:$Q$404,销售录入!$D$5:$D$404,$A78,销售录入!$U$5:$U$404,"&lt;="&amp;首页!$B$7-90)-SUMIFS(资金流水!$N$5:$N$504,资金流水!$G$5:$G$504,$A78,资金流水!$E$5:$E$504,"客户回款",资金流水!$B$5:$B$504,"&lt;="&amp;首页!$B$7))))</f>
        <v/>
      </c>
      <c r="L78" s="62" t="str">
        <f aca="false">IF($A78="","",$H78+$I78+$J78+$K78)</f>
        <v/>
      </c>
      <c r="M78" s="47" t="str">
        <f aca="false">IF($A78="","",IF($K78&gt;0,"高危",IF($J78&gt;0,"关注",IF($L78&gt;0,"提醒","正常"))))</f>
        <v/>
      </c>
      <c r="N78" s="42" t="str">
        <f aca="false">IF($A78="","",基础资料!$AA78)</f>
        <v/>
      </c>
    </row>
    <row r="79" customFormat="false" ht="15.75" hidden="false" customHeight="true" outlineLevel="0" collapsed="false">
      <c r="A79" s="35" t="str">
        <f aca="false">IF(基础资料!$Z79="","",基础资料!$Z79)</f>
        <v/>
      </c>
      <c r="B79" s="42" t="str">
        <f aca="false">IF($A79="","",N(基础资料!$AB79))</f>
        <v/>
      </c>
      <c r="C79" s="54" t="str">
        <f aca="false">IF($A79="","",SUMIFS(期初数据!$G$6:$G$155,期初数据!$E$6:$E$155,$A79,期初数据!$F$6:$F$155,"&lt;"&amp;首页!$B$6)+SUMIFS(销售录入!$Q$5:$Q$404,销售录入!$D$5:$D$404,$A79,销售录入!$B$5:$B$404,"&lt;"&amp;首页!$B$6)-SUMIFS(资金流水!$N$5:$N$504,资金流水!$G$5:$G$504,$A79,资金流水!$E$5:$E$504,"客户回款",资金流水!$B$5:$B$504,"&lt;"&amp;首页!$B$6))</f>
        <v/>
      </c>
      <c r="D79" s="54" t="str">
        <f aca="false">IF($A79="","",SUMIFS(销售录入!$Q$5:$Q$404,销售录入!$D$5:$D$404,$A79,销售录入!$C$5:$C$404,首页!$B$5))</f>
        <v/>
      </c>
      <c r="E79" s="54" t="str">
        <f aca="false">IF($A79="","",SUMIFS(资金流水!$N$5:$N$504,资金流水!$G$5:$G$504,$A79,资金流水!$E$5:$E$504,"客户回款",资金流水!$C$5:$C$504,首页!$B$5))</f>
        <v/>
      </c>
      <c r="F79" s="62" t="str">
        <f aca="false">IF($A79="","",$C79+$D79-$E79)</f>
        <v/>
      </c>
      <c r="G79" s="44" t="str">
        <f aca="false">IF($A79="","",$F79-$H79-$I79-$J79-$K79)</f>
        <v/>
      </c>
      <c r="H79" s="44" t="str">
        <f aca="false">IF($A79="","",MIN($F79,MAX(0,SUMIFS(期初数据!$G$6:$G$155,期初数据!$E$6:$E$155,$A79,期初数据!$F$6:$F$155,"&lt;="&amp;首页!$B$7)+SUMIFS(销售录入!$Q$5:$Q$404,销售录入!$D$5:$D$404,$A79,销售录入!$U$5:$U$404,"&lt;="&amp;首页!$B$7)-SUMIFS(资金流水!$N$5:$N$504,资金流水!$G$5:$G$504,$A79,资金流水!$E$5:$E$504,"客户回款",资金流水!$B$5:$B$504,"&lt;="&amp;首页!$B$7)))-$K79-$J79-$I79)</f>
        <v/>
      </c>
      <c r="I79" s="44" t="str">
        <f aca="false">IF($A79="","",MIN($F79,MAX(0,SUMIFS(期初数据!$G$6:$G$155,期初数据!$E$6:$E$155,$A79,期初数据!$F$6:$F$155,"&lt;="&amp;首页!$B$7-30)+SUMIFS(销售录入!$Q$5:$Q$404,销售录入!$D$5:$D$404,$A79,销售录入!$U$5:$U$404,"&lt;="&amp;首页!$B$7-30)-SUMIFS(资金流水!$N$5:$N$504,资金流水!$G$5:$G$504,$A79,资金流水!$E$5:$E$504,"客户回款",资金流水!$B$5:$B$504,"&lt;="&amp;首页!$B$7)))-$K79-$J79)</f>
        <v/>
      </c>
      <c r="J79" s="44" t="str">
        <f aca="false">IF($A79="","",MIN($F79,MAX(0,SUMIFS(期初数据!$G$6:$G$155,期初数据!$E$6:$E$155,$A79,期初数据!$F$6:$F$155,"&lt;="&amp;首页!$B$7-60)+SUMIFS(销售录入!$Q$5:$Q$404,销售录入!$D$5:$D$404,$A79,销售录入!$U$5:$U$404,"&lt;="&amp;首页!$B$7-60)-SUMIFS(资金流水!$N$5:$N$504,资金流水!$G$5:$G$504,$A79,资金流水!$E$5:$E$504,"客户回款",资金流水!$B$5:$B$504,"&lt;="&amp;首页!$B$7)))-$K79)</f>
        <v/>
      </c>
      <c r="K79" s="44" t="str">
        <f aca="false">IF($A79="","",MIN($F79,MAX(0,SUMIFS(期初数据!$G$6:$G$155,期初数据!$E$6:$E$155,$A79,期初数据!$F$6:$F$155,"&lt;="&amp;首页!$B$7-90)+SUMIFS(销售录入!$Q$5:$Q$404,销售录入!$D$5:$D$404,$A79,销售录入!$U$5:$U$404,"&lt;="&amp;首页!$B$7-90)-SUMIFS(资金流水!$N$5:$N$504,资金流水!$G$5:$G$504,$A79,资金流水!$E$5:$E$504,"客户回款",资金流水!$B$5:$B$504,"&lt;="&amp;首页!$B$7))))</f>
        <v/>
      </c>
      <c r="L79" s="62" t="str">
        <f aca="false">IF($A79="","",$H79+$I79+$J79+$K79)</f>
        <v/>
      </c>
      <c r="M79" s="47" t="str">
        <f aca="false">IF($A79="","",IF($K79&gt;0,"高危",IF($J79&gt;0,"关注",IF($L79&gt;0,"提醒","正常"))))</f>
        <v/>
      </c>
      <c r="N79" s="42" t="str">
        <f aca="false">IF($A79="","",基础资料!$AA79)</f>
        <v/>
      </c>
    </row>
    <row r="80" customFormat="false" ht="15.75" hidden="false" customHeight="true" outlineLevel="0" collapsed="false">
      <c r="A80" s="35" t="str">
        <f aca="false">IF(基础资料!$Z80="","",基础资料!$Z80)</f>
        <v/>
      </c>
      <c r="B80" s="42" t="str">
        <f aca="false">IF($A80="","",N(基础资料!$AB80))</f>
        <v/>
      </c>
      <c r="C80" s="54" t="str">
        <f aca="false">IF($A80="","",SUMIFS(期初数据!$G$6:$G$155,期初数据!$E$6:$E$155,$A80,期初数据!$F$6:$F$155,"&lt;"&amp;首页!$B$6)+SUMIFS(销售录入!$Q$5:$Q$404,销售录入!$D$5:$D$404,$A80,销售录入!$B$5:$B$404,"&lt;"&amp;首页!$B$6)-SUMIFS(资金流水!$N$5:$N$504,资金流水!$G$5:$G$504,$A80,资金流水!$E$5:$E$504,"客户回款",资金流水!$B$5:$B$504,"&lt;"&amp;首页!$B$6))</f>
        <v/>
      </c>
      <c r="D80" s="54" t="str">
        <f aca="false">IF($A80="","",SUMIFS(销售录入!$Q$5:$Q$404,销售录入!$D$5:$D$404,$A80,销售录入!$C$5:$C$404,首页!$B$5))</f>
        <v/>
      </c>
      <c r="E80" s="54" t="str">
        <f aca="false">IF($A80="","",SUMIFS(资金流水!$N$5:$N$504,资金流水!$G$5:$G$504,$A80,资金流水!$E$5:$E$504,"客户回款",资金流水!$C$5:$C$504,首页!$B$5))</f>
        <v/>
      </c>
      <c r="F80" s="62" t="str">
        <f aca="false">IF($A80="","",$C80+$D80-$E80)</f>
        <v/>
      </c>
      <c r="G80" s="44" t="str">
        <f aca="false">IF($A80="","",$F80-$H80-$I80-$J80-$K80)</f>
        <v/>
      </c>
      <c r="H80" s="44" t="str">
        <f aca="false">IF($A80="","",MIN($F80,MAX(0,SUMIFS(期初数据!$G$6:$G$155,期初数据!$E$6:$E$155,$A80,期初数据!$F$6:$F$155,"&lt;="&amp;首页!$B$7)+SUMIFS(销售录入!$Q$5:$Q$404,销售录入!$D$5:$D$404,$A80,销售录入!$U$5:$U$404,"&lt;="&amp;首页!$B$7)-SUMIFS(资金流水!$N$5:$N$504,资金流水!$G$5:$G$504,$A80,资金流水!$E$5:$E$504,"客户回款",资金流水!$B$5:$B$504,"&lt;="&amp;首页!$B$7)))-$K80-$J80-$I80)</f>
        <v/>
      </c>
      <c r="I80" s="44" t="str">
        <f aca="false">IF($A80="","",MIN($F80,MAX(0,SUMIFS(期初数据!$G$6:$G$155,期初数据!$E$6:$E$155,$A80,期初数据!$F$6:$F$155,"&lt;="&amp;首页!$B$7-30)+SUMIFS(销售录入!$Q$5:$Q$404,销售录入!$D$5:$D$404,$A80,销售录入!$U$5:$U$404,"&lt;="&amp;首页!$B$7-30)-SUMIFS(资金流水!$N$5:$N$504,资金流水!$G$5:$G$504,$A80,资金流水!$E$5:$E$504,"客户回款",资金流水!$B$5:$B$504,"&lt;="&amp;首页!$B$7)))-$K80-$J80)</f>
        <v/>
      </c>
      <c r="J80" s="44" t="str">
        <f aca="false">IF($A80="","",MIN($F80,MAX(0,SUMIFS(期初数据!$G$6:$G$155,期初数据!$E$6:$E$155,$A80,期初数据!$F$6:$F$155,"&lt;="&amp;首页!$B$7-60)+SUMIFS(销售录入!$Q$5:$Q$404,销售录入!$D$5:$D$404,$A80,销售录入!$U$5:$U$404,"&lt;="&amp;首页!$B$7-60)-SUMIFS(资金流水!$N$5:$N$504,资金流水!$G$5:$G$504,$A80,资金流水!$E$5:$E$504,"客户回款",资金流水!$B$5:$B$504,"&lt;="&amp;首页!$B$7)))-$K80)</f>
        <v/>
      </c>
      <c r="K80" s="44" t="str">
        <f aca="false">IF($A80="","",MIN($F80,MAX(0,SUMIFS(期初数据!$G$6:$G$155,期初数据!$E$6:$E$155,$A80,期初数据!$F$6:$F$155,"&lt;="&amp;首页!$B$7-90)+SUMIFS(销售录入!$Q$5:$Q$404,销售录入!$D$5:$D$404,$A80,销售录入!$U$5:$U$404,"&lt;="&amp;首页!$B$7-90)-SUMIFS(资金流水!$N$5:$N$504,资金流水!$G$5:$G$504,$A80,资金流水!$E$5:$E$504,"客户回款",资金流水!$B$5:$B$504,"&lt;="&amp;首页!$B$7))))</f>
        <v/>
      </c>
      <c r="L80" s="62" t="str">
        <f aca="false">IF($A80="","",$H80+$I80+$J80+$K80)</f>
        <v/>
      </c>
      <c r="M80" s="47" t="str">
        <f aca="false">IF($A80="","",IF($K80&gt;0,"高危",IF($J80&gt;0,"关注",IF($L80&gt;0,"提醒","正常"))))</f>
        <v/>
      </c>
      <c r="N80" s="42" t="str">
        <f aca="false">IF($A80="","",基础资料!$AA80)</f>
        <v/>
      </c>
    </row>
    <row r="81" customFormat="false" ht="15.75" hidden="false" customHeight="true" outlineLevel="0" collapsed="false">
      <c r="A81" s="35" t="str">
        <f aca="false">IF(基础资料!$Z81="","",基础资料!$Z81)</f>
        <v/>
      </c>
      <c r="B81" s="42" t="str">
        <f aca="false">IF($A81="","",N(基础资料!$AB81))</f>
        <v/>
      </c>
      <c r="C81" s="54" t="str">
        <f aca="false">IF($A81="","",SUMIFS(期初数据!$G$6:$G$155,期初数据!$E$6:$E$155,$A81,期初数据!$F$6:$F$155,"&lt;"&amp;首页!$B$6)+SUMIFS(销售录入!$Q$5:$Q$404,销售录入!$D$5:$D$404,$A81,销售录入!$B$5:$B$404,"&lt;"&amp;首页!$B$6)-SUMIFS(资金流水!$N$5:$N$504,资金流水!$G$5:$G$504,$A81,资金流水!$E$5:$E$504,"客户回款",资金流水!$B$5:$B$504,"&lt;"&amp;首页!$B$6))</f>
        <v/>
      </c>
      <c r="D81" s="54" t="str">
        <f aca="false">IF($A81="","",SUMIFS(销售录入!$Q$5:$Q$404,销售录入!$D$5:$D$404,$A81,销售录入!$C$5:$C$404,首页!$B$5))</f>
        <v/>
      </c>
      <c r="E81" s="54" t="str">
        <f aca="false">IF($A81="","",SUMIFS(资金流水!$N$5:$N$504,资金流水!$G$5:$G$504,$A81,资金流水!$E$5:$E$504,"客户回款",资金流水!$C$5:$C$504,首页!$B$5))</f>
        <v/>
      </c>
      <c r="F81" s="62" t="str">
        <f aca="false">IF($A81="","",$C81+$D81-$E81)</f>
        <v/>
      </c>
      <c r="G81" s="44" t="str">
        <f aca="false">IF($A81="","",$F81-$H81-$I81-$J81-$K81)</f>
        <v/>
      </c>
      <c r="H81" s="44" t="str">
        <f aca="false">IF($A81="","",MIN($F81,MAX(0,SUMIFS(期初数据!$G$6:$G$155,期初数据!$E$6:$E$155,$A81,期初数据!$F$6:$F$155,"&lt;="&amp;首页!$B$7)+SUMIFS(销售录入!$Q$5:$Q$404,销售录入!$D$5:$D$404,$A81,销售录入!$U$5:$U$404,"&lt;="&amp;首页!$B$7)-SUMIFS(资金流水!$N$5:$N$504,资金流水!$G$5:$G$504,$A81,资金流水!$E$5:$E$504,"客户回款",资金流水!$B$5:$B$504,"&lt;="&amp;首页!$B$7)))-$K81-$J81-$I81)</f>
        <v/>
      </c>
      <c r="I81" s="44" t="str">
        <f aca="false">IF($A81="","",MIN($F81,MAX(0,SUMIFS(期初数据!$G$6:$G$155,期初数据!$E$6:$E$155,$A81,期初数据!$F$6:$F$155,"&lt;="&amp;首页!$B$7-30)+SUMIFS(销售录入!$Q$5:$Q$404,销售录入!$D$5:$D$404,$A81,销售录入!$U$5:$U$404,"&lt;="&amp;首页!$B$7-30)-SUMIFS(资金流水!$N$5:$N$504,资金流水!$G$5:$G$504,$A81,资金流水!$E$5:$E$504,"客户回款",资金流水!$B$5:$B$504,"&lt;="&amp;首页!$B$7)))-$K81-$J81)</f>
        <v/>
      </c>
      <c r="J81" s="44" t="str">
        <f aca="false">IF($A81="","",MIN($F81,MAX(0,SUMIFS(期初数据!$G$6:$G$155,期初数据!$E$6:$E$155,$A81,期初数据!$F$6:$F$155,"&lt;="&amp;首页!$B$7-60)+SUMIFS(销售录入!$Q$5:$Q$404,销售录入!$D$5:$D$404,$A81,销售录入!$U$5:$U$404,"&lt;="&amp;首页!$B$7-60)-SUMIFS(资金流水!$N$5:$N$504,资金流水!$G$5:$G$504,$A81,资金流水!$E$5:$E$504,"客户回款",资金流水!$B$5:$B$504,"&lt;="&amp;首页!$B$7)))-$K81)</f>
        <v/>
      </c>
      <c r="K81" s="44" t="str">
        <f aca="false">IF($A81="","",MIN($F81,MAX(0,SUMIFS(期初数据!$G$6:$G$155,期初数据!$E$6:$E$155,$A81,期初数据!$F$6:$F$155,"&lt;="&amp;首页!$B$7-90)+SUMIFS(销售录入!$Q$5:$Q$404,销售录入!$D$5:$D$404,$A81,销售录入!$U$5:$U$404,"&lt;="&amp;首页!$B$7-90)-SUMIFS(资金流水!$N$5:$N$504,资金流水!$G$5:$G$504,$A81,资金流水!$E$5:$E$504,"客户回款",资金流水!$B$5:$B$504,"&lt;="&amp;首页!$B$7))))</f>
        <v/>
      </c>
      <c r="L81" s="62" t="str">
        <f aca="false">IF($A81="","",$H81+$I81+$J81+$K81)</f>
        <v/>
      </c>
      <c r="M81" s="47" t="str">
        <f aca="false">IF($A81="","",IF($K81&gt;0,"高危",IF($J81&gt;0,"关注",IF($L81&gt;0,"提醒","正常"))))</f>
        <v/>
      </c>
      <c r="N81" s="42" t="str">
        <f aca="false">IF($A81="","",基础资料!$AA81)</f>
        <v/>
      </c>
    </row>
    <row r="82" customFormat="false" ht="15.75" hidden="false" customHeight="true" outlineLevel="0" collapsed="false">
      <c r="A82" s="35" t="str">
        <f aca="false">IF(基础资料!$Z82="","",基础资料!$Z82)</f>
        <v/>
      </c>
      <c r="B82" s="42" t="str">
        <f aca="false">IF($A82="","",N(基础资料!$AB82))</f>
        <v/>
      </c>
      <c r="C82" s="54" t="str">
        <f aca="false">IF($A82="","",SUMIFS(期初数据!$G$6:$G$155,期初数据!$E$6:$E$155,$A82,期初数据!$F$6:$F$155,"&lt;"&amp;首页!$B$6)+SUMIFS(销售录入!$Q$5:$Q$404,销售录入!$D$5:$D$404,$A82,销售录入!$B$5:$B$404,"&lt;"&amp;首页!$B$6)-SUMIFS(资金流水!$N$5:$N$504,资金流水!$G$5:$G$504,$A82,资金流水!$E$5:$E$504,"客户回款",资金流水!$B$5:$B$504,"&lt;"&amp;首页!$B$6))</f>
        <v/>
      </c>
      <c r="D82" s="54" t="str">
        <f aca="false">IF($A82="","",SUMIFS(销售录入!$Q$5:$Q$404,销售录入!$D$5:$D$404,$A82,销售录入!$C$5:$C$404,首页!$B$5))</f>
        <v/>
      </c>
      <c r="E82" s="54" t="str">
        <f aca="false">IF($A82="","",SUMIFS(资金流水!$N$5:$N$504,资金流水!$G$5:$G$504,$A82,资金流水!$E$5:$E$504,"客户回款",资金流水!$C$5:$C$504,首页!$B$5))</f>
        <v/>
      </c>
      <c r="F82" s="62" t="str">
        <f aca="false">IF($A82="","",$C82+$D82-$E82)</f>
        <v/>
      </c>
      <c r="G82" s="44" t="str">
        <f aca="false">IF($A82="","",$F82-$H82-$I82-$J82-$K82)</f>
        <v/>
      </c>
      <c r="H82" s="44" t="str">
        <f aca="false">IF($A82="","",MIN($F82,MAX(0,SUMIFS(期初数据!$G$6:$G$155,期初数据!$E$6:$E$155,$A82,期初数据!$F$6:$F$155,"&lt;="&amp;首页!$B$7)+SUMIFS(销售录入!$Q$5:$Q$404,销售录入!$D$5:$D$404,$A82,销售录入!$U$5:$U$404,"&lt;="&amp;首页!$B$7)-SUMIFS(资金流水!$N$5:$N$504,资金流水!$G$5:$G$504,$A82,资金流水!$E$5:$E$504,"客户回款",资金流水!$B$5:$B$504,"&lt;="&amp;首页!$B$7)))-$K82-$J82-$I82)</f>
        <v/>
      </c>
      <c r="I82" s="44" t="str">
        <f aca="false">IF($A82="","",MIN($F82,MAX(0,SUMIFS(期初数据!$G$6:$G$155,期初数据!$E$6:$E$155,$A82,期初数据!$F$6:$F$155,"&lt;="&amp;首页!$B$7-30)+SUMIFS(销售录入!$Q$5:$Q$404,销售录入!$D$5:$D$404,$A82,销售录入!$U$5:$U$404,"&lt;="&amp;首页!$B$7-30)-SUMIFS(资金流水!$N$5:$N$504,资金流水!$G$5:$G$504,$A82,资金流水!$E$5:$E$504,"客户回款",资金流水!$B$5:$B$504,"&lt;="&amp;首页!$B$7)))-$K82-$J82)</f>
        <v/>
      </c>
      <c r="J82" s="44" t="str">
        <f aca="false">IF($A82="","",MIN($F82,MAX(0,SUMIFS(期初数据!$G$6:$G$155,期初数据!$E$6:$E$155,$A82,期初数据!$F$6:$F$155,"&lt;="&amp;首页!$B$7-60)+SUMIFS(销售录入!$Q$5:$Q$404,销售录入!$D$5:$D$404,$A82,销售录入!$U$5:$U$404,"&lt;="&amp;首页!$B$7-60)-SUMIFS(资金流水!$N$5:$N$504,资金流水!$G$5:$G$504,$A82,资金流水!$E$5:$E$504,"客户回款",资金流水!$B$5:$B$504,"&lt;="&amp;首页!$B$7)))-$K82)</f>
        <v/>
      </c>
      <c r="K82" s="44" t="str">
        <f aca="false">IF($A82="","",MIN($F82,MAX(0,SUMIFS(期初数据!$G$6:$G$155,期初数据!$E$6:$E$155,$A82,期初数据!$F$6:$F$155,"&lt;="&amp;首页!$B$7-90)+SUMIFS(销售录入!$Q$5:$Q$404,销售录入!$D$5:$D$404,$A82,销售录入!$U$5:$U$404,"&lt;="&amp;首页!$B$7-90)-SUMIFS(资金流水!$N$5:$N$504,资金流水!$G$5:$G$504,$A82,资金流水!$E$5:$E$504,"客户回款",资金流水!$B$5:$B$504,"&lt;="&amp;首页!$B$7))))</f>
        <v/>
      </c>
      <c r="L82" s="62" t="str">
        <f aca="false">IF($A82="","",$H82+$I82+$J82+$K82)</f>
        <v/>
      </c>
      <c r="M82" s="47" t="str">
        <f aca="false">IF($A82="","",IF($K82&gt;0,"高危",IF($J82&gt;0,"关注",IF($L82&gt;0,"提醒","正常"))))</f>
        <v/>
      </c>
      <c r="N82" s="42" t="str">
        <f aca="false">IF($A82="","",基础资料!$AA82)</f>
        <v/>
      </c>
    </row>
    <row r="83" customFormat="false" ht="15.75" hidden="false" customHeight="true" outlineLevel="0" collapsed="false">
      <c r="A83" s="35" t="str">
        <f aca="false">IF(基础资料!$Z83="","",基础资料!$Z83)</f>
        <v/>
      </c>
      <c r="B83" s="42" t="str">
        <f aca="false">IF($A83="","",N(基础资料!$AB83))</f>
        <v/>
      </c>
      <c r="C83" s="54" t="str">
        <f aca="false">IF($A83="","",SUMIFS(期初数据!$G$6:$G$155,期初数据!$E$6:$E$155,$A83,期初数据!$F$6:$F$155,"&lt;"&amp;首页!$B$6)+SUMIFS(销售录入!$Q$5:$Q$404,销售录入!$D$5:$D$404,$A83,销售录入!$B$5:$B$404,"&lt;"&amp;首页!$B$6)-SUMIFS(资金流水!$N$5:$N$504,资金流水!$G$5:$G$504,$A83,资金流水!$E$5:$E$504,"客户回款",资金流水!$B$5:$B$504,"&lt;"&amp;首页!$B$6))</f>
        <v/>
      </c>
      <c r="D83" s="54" t="str">
        <f aca="false">IF($A83="","",SUMIFS(销售录入!$Q$5:$Q$404,销售录入!$D$5:$D$404,$A83,销售录入!$C$5:$C$404,首页!$B$5))</f>
        <v/>
      </c>
      <c r="E83" s="54" t="str">
        <f aca="false">IF($A83="","",SUMIFS(资金流水!$N$5:$N$504,资金流水!$G$5:$G$504,$A83,资金流水!$E$5:$E$504,"客户回款",资金流水!$C$5:$C$504,首页!$B$5))</f>
        <v/>
      </c>
      <c r="F83" s="62" t="str">
        <f aca="false">IF($A83="","",$C83+$D83-$E83)</f>
        <v/>
      </c>
      <c r="G83" s="44" t="str">
        <f aca="false">IF($A83="","",$F83-$H83-$I83-$J83-$K83)</f>
        <v/>
      </c>
      <c r="H83" s="44" t="str">
        <f aca="false">IF($A83="","",MIN($F83,MAX(0,SUMIFS(期初数据!$G$6:$G$155,期初数据!$E$6:$E$155,$A83,期初数据!$F$6:$F$155,"&lt;="&amp;首页!$B$7)+SUMIFS(销售录入!$Q$5:$Q$404,销售录入!$D$5:$D$404,$A83,销售录入!$U$5:$U$404,"&lt;="&amp;首页!$B$7)-SUMIFS(资金流水!$N$5:$N$504,资金流水!$G$5:$G$504,$A83,资金流水!$E$5:$E$504,"客户回款",资金流水!$B$5:$B$504,"&lt;="&amp;首页!$B$7)))-$K83-$J83-$I83)</f>
        <v/>
      </c>
      <c r="I83" s="44" t="str">
        <f aca="false">IF($A83="","",MIN($F83,MAX(0,SUMIFS(期初数据!$G$6:$G$155,期初数据!$E$6:$E$155,$A83,期初数据!$F$6:$F$155,"&lt;="&amp;首页!$B$7-30)+SUMIFS(销售录入!$Q$5:$Q$404,销售录入!$D$5:$D$404,$A83,销售录入!$U$5:$U$404,"&lt;="&amp;首页!$B$7-30)-SUMIFS(资金流水!$N$5:$N$504,资金流水!$G$5:$G$504,$A83,资金流水!$E$5:$E$504,"客户回款",资金流水!$B$5:$B$504,"&lt;="&amp;首页!$B$7)))-$K83-$J83)</f>
        <v/>
      </c>
      <c r="J83" s="44" t="str">
        <f aca="false">IF($A83="","",MIN($F83,MAX(0,SUMIFS(期初数据!$G$6:$G$155,期初数据!$E$6:$E$155,$A83,期初数据!$F$6:$F$155,"&lt;="&amp;首页!$B$7-60)+SUMIFS(销售录入!$Q$5:$Q$404,销售录入!$D$5:$D$404,$A83,销售录入!$U$5:$U$404,"&lt;="&amp;首页!$B$7-60)-SUMIFS(资金流水!$N$5:$N$504,资金流水!$G$5:$G$504,$A83,资金流水!$E$5:$E$504,"客户回款",资金流水!$B$5:$B$504,"&lt;="&amp;首页!$B$7)))-$K83)</f>
        <v/>
      </c>
      <c r="K83" s="44" t="str">
        <f aca="false">IF($A83="","",MIN($F83,MAX(0,SUMIFS(期初数据!$G$6:$G$155,期初数据!$E$6:$E$155,$A83,期初数据!$F$6:$F$155,"&lt;="&amp;首页!$B$7-90)+SUMIFS(销售录入!$Q$5:$Q$404,销售录入!$D$5:$D$404,$A83,销售录入!$U$5:$U$404,"&lt;="&amp;首页!$B$7-90)-SUMIFS(资金流水!$N$5:$N$504,资金流水!$G$5:$G$504,$A83,资金流水!$E$5:$E$504,"客户回款",资金流水!$B$5:$B$504,"&lt;="&amp;首页!$B$7))))</f>
        <v/>
      </c>
      <c r="L83" s="62" t="str">
        <f aca="false">IF($A83="","",$H83+$I83+$J83+$K83)</f>
        <v/>
      </c>
      <c r="M83" s="47" t="str">
        <f aca="false">IF($A83="","",IF($K83&gt;0,"高危",IF($J83&gt;0,"关注",IF($L83&gt;0,"提醒","正常"))))</f>
        <v/>
      </c>
      <c r="N83" s="42" t="str">
        <f aca="false">IF($A83="","",基础资料!$AA83)</f>
        <v/>
      </c>
    </row>
    <row r="84" customFormat="false" ht="15.75" hidden="false" customHeight="true" outlineLevel="0" collapsed="false">
      <c r="A84" s="35" t="str">
        <f aca="false">IF(基础资料!$Z84="","",基础资料!$Z84)</f>
        <v/>
      </c>
      <c r="B84" s="42" t="str">
        <f aca="false">IF($A84="","",N(基础资料!$AB84))</f>
        <v/>
      </c>
      <c r="C84" s="54" t="str">
        <f aca="false">IF($A84="","",SUMIFS(期初数据!$G$6:$G$155,期初数据!$E$6:$E$155,$A84,期初数据!$F$6:$F$155,"&lt;"&amp;首页!$B$6)+SUMIFS(销售录入!$Q$5:$Q$404,销售录入!$D$5:$D$404,$A84,销售录入!$B$5:$B$404,"&lt;"&amp;首页!$B$6)-SUMIFS(资金流水!$N$5:$N$504,资金流水!$G$5:$G$504,$A84,资金流水!$E$5:$E$504,"客户回款",资金流水!$B$5:$B$504,"&lt;"&amp;首页!$B$6))</f>
        <v/>
      </c>
      <c r="D84" s="54" t="str">
        <f aca="false">IF($A84="","",SUMIFS(销售录入!$Q$5:$Q$404,销售录入!$D$5:$D$404,$A84,销售录入!$C$5:$C$404,首页!$B$5))</f>
        <v/>
      </c>
      <c r="E84" s="54" t="str">
        <f aca="false">IF($A84="","",SUMIFS(资金流水!$N$5:$N$504,资金流水!$G$5:$G$504,$A84,资金流水!$E$5:$E$504,"客户回款",资金流水!$C$5:$C$504,首页!$B$5))</f>
        <v/>
      </c>
      <c r="F84" s="62" t="str">
        <f aca="false">IF($A84="","",$C84+$D84-$E84)</f>
        <v/>
      </c>
      <c r="G84" s="44" t="str">
        <f aca="false">IF($A84="","",$F84-$H84-$I84-$J84-$K84)</f>
        <v/>
      </c>
      <c r="H84" s="44" t="str">
        <f aca="false">IF($A84="","",MIN($F84,MAX(0,SUMIFS(期初数据!$G$6:$G$155,期初数据!$E$6:$E$155,$A84,期初数据!$F$6:$F$155,"&lt;="&amp;首页!$B$7)+SUMIFS(销售录入!$Q$5:$Q$404,销售录入!$D$5:$D$404,$A84,销售录入!$U$5:$U$404,"&lt;="&amp;首页!$B$7)-SUMIFS(资金流水!$N$5:$N$504,资金流水!$G$5:$G$504,$A84,资金流水!$E$5:$E$504,"客户回款",资金流水!$B$5:$B$504,"&lt;="&amp;首页!$B$7)))-$K84-$J84-$I84)</f>
        <v/>
      </c>
      <c r="I84" s="44" t="str">
        <f aca="false">IF($A84="","",MIN($F84,MAX(0,SUMIFS(期初数据!$G$6:$G$155,期初数据!$E$6:$E$155,$A84,期初数据!$F$6:$F$155,"&lt;="&amp;首页!$B$7-30)+SUMIFS(销售录入!$Q$5:$Q$404,销售录入!$D$5:$D$404,$A84,销售录入!$U$5:$U$404,"&lt;="&amp;首页!$B$7-30)-SUMIFS(资金流水!$N$5:$N$504,资金流水!$G$5:$G$504,$A84,资金流水!$E$5:$E$504,"客户回款",资金流水!$B$5:$B$504,"&lt;="&amp;首页!$B$7)))-$K84-$J84)</f>
        <v/>
      </c>
      <c r="J84" s="44" t="str">
        <f aca="false">IF($A84="","",MIN($F84,MAX(0,SUMIFS(期初数据!$G$6:$G$155,期初数据!$E$6:$E$155,$A84,期初数据!$F$6:$F$155,"&lt;="&amp;首页!$B$7-60)+SUMIFS(销售录入!$Q$5:$Q$404,销售录入!$D$5:$D$404,$A84,销售录入!$U$5:$U$404,"&lt;="&amp;首页!$B$7-60)-SUMIFS(资金流水!$N$5:$N$504,资金流水!$G$5:$G$504,$A84,资金流水!$E$5:$E$504,"客户回款",资金流水!$B$5:$B$504,"&lt;="&amp;首页!$B$7)))-$K84)</f>
        <v/>
      </c>
      <c r="K84" s="44" t="str">
        <f aca="false">IF($A84="","",MIN($F84,MAX(0,SUMIFS(期初数据!$G$6:$G$155,期初数据!$E$6:$E$155,$A84,期初数据!$F$6:$F$155,"&lt;="&amp;首页!$B$7-90)+SUMIFS(销售录入!$Q$5:$Q$404,销售录入!$D$5:$D$404,$A84,销售录入!$U$5:$U$404,"&lt;="&amp;首页!$B$7-90)-SUMIFS(资金流水!$N$5:$N$504,资金流水!$G$5:$G$504,$A84,资金流水!$E$5:$E$504,"客户回款",资金流水!$B$5:$B$504,"&lt;="&amp;首页!$B$7))))</f>
        <v/>
      </c>
      <c r="L84" s="62" t="str">
        <f aca="false">IF($A84="","",$H84+$I84+$J84+$K84)</f>
        <v/>
      </c>
      <c r="M84" s="47" t="str">
        <f aca="false">IF($A84="","",IF($K84&gt;0,"高危",IF($J84&gt;0,"关注",IF($L84&gt;0,"提醒","正常"))))</f>
        <v/>
      </c>
      <c r="N84" s="42" t="str">
        <f aca="false">IF($A84="","",基础资料!$AA84)</f>
        <v/>
      </c>
    </row>
    <row r="85" customFormat="false" ht="15.75" hidden="false" customHeight="true" outlineLevel="0" collapsed="false">
      <c r="A85" s="35" t="str">
        <f aca="false">IF(基础资料!$Z85="","",基础资料!$Z85)</f>
        <v/>
      </c>
      <c r="B85" s="42" t="str">
        <f aca="false">IF($A85="","",N(基础资料!$AB85))</f>
        <v/>
      </c>
      <c r="C85" s="54" t="str">
        <f aca="false">IF($A85="","",SUMIFS(期初数据!$G$6:$G$155,期初数据!$E$6:$E$155,$A85,期初数据!$F$6:$F$155,"&lt;"&amp;首页!$B$6)+SUMIFS(销售录入!$Q$5:$Q$404,销售录入!$D$5:$D$404,$A85,销售录入!$B$5:$B$404,"&lt;"&amp;首页!$B$6)-SUMIFS(资金流水!$N$5:$N$504,资金流水!$G$5:$G$504,$A85,资金流水!$E$5:$E$504,"客户回款",资金流水!$B$5:$B$504,"&lt;"&amp;首页!$B$6))</f>
        <v/>
      </c>
      <c r="D85" s="54" t="str">
        <f aca="false">IF($A85="","",SUMIFS(销售录入!$Q$5:$Q$404,销售录入!$D$5:$D$404,$A85,销售录入!$C$5:$C$404,首页!$B$5))</f>
        <v/>
      </c>
      <c r="E85" s="54" t="str">
        <f aca="false">IF($A85="","",SUMIFS(资金流水!$N$5:$N$504,资金流水!$G$5:$G$504,$A85,资金流水!$E$5:$E$504,"客户回款",资金流水!$C$5:$C$504,首页!$B$5))</f>
        <v/>
      </c>
      <c r="F85" s="62" t="str">
        <f aca="false">IF($A85="","",$C85+$D85-$E85)</f>
        <v/>
      </c>
      <c r="G85" s="44" t="str">
        <f aca="false">IF($A85="","",$F85-$H85-$I85-$J85-$K85)</f>
        <v/>
      </c>
      <c r="H85" s="44" t="str">
        <f aca="false">IF($A85="","",MIN($F85,MAX(0,SUMIFS(期初数据!$G$6:$G$155,期初数据!$E$6:$E$155,$A85,期初数据!$F$6:$F$155,"&lt;="&amp;首页!$B$7)+SUMIFS(销售录入!$Q$5:$Q$404,销售录入!$D$5:$D$404,$A85,销售录入!$U$5:$U$404,"&lt;="&amp;首页!$B$7)-SUMIFS(资金流水!$N$5:$N$504,资金流水!$G$5:$G$504,$A85,资金流水!$E$5:$E$504,"客户回款",资金流水!$B$5:$B$504,"&lt;="&amp;首页!$B$7)))-$K85-$J85-$I85)</f>
        <v/>
      </c>
      <c r="I85" s="44" t="str">
        <f aca="false">IF($A85="","",MIN($F85,MAX(0,SUMIFS(期初数据!$G$6:$G$155,期初数据!$E$6:$E$155,$A85,期初数据!$F$6:$F$155,"&lt;="&amp;首页!$B$7-30)+SUMIFS(销售录入!$Q$5:$Q$404,销售录入!$D$5:$D$404,$A85,销售录入!$U$5:$U$404,"&lt;="&amp;首页!$B$7-30)-SUMIFS(资金流水!$N$5:$N$504,资金流水!$G$5:$G$504,$A85,资金流水!$E$5:$E$504,"客户回款",资金流水!$B$5:$B$504,"&lt;="&amp;首页!$B$7)))-$K85-$J85)</f>
        <v/>
      </c>
      <c r="J85" s="44" t="str">
        <f aca="false">IF($A85="","",MIN($F85,MAX(0,SUMIFS(期初数据!$G$6:$G$155,期初数据!$E$6:$E$155,$A85,期初数据!$F$6:$F$155,"&lt;="&amp;首页!$B$7-60)+SUMIFS(销售录入!$Q$5:$Q$404,销售录入!$D$5:$D$404,$A85,销售录入!$U$5:$U$404,"&lt;="&amp;首页!$B$7-60)-SUMIFS(资金流水!$N$5:$N$504,资金流水!$G$5:$G$504,$A85,资金流水!$E$5:$E$504,"客户回款",资金流水!$B$5:$B$504,"&lt;="&amp;首页!$B$7)))-$K85)</f>
        <v/>
      </c>
      <c r="K85" s="44" t="str">
        <f aca="false">IF($A85="","",MIN($F85,MAX(0,SUMIFS(期初数据!$G$6:$G$155,期初数据!$E$6:$E$155,$A85,期初数据!$F$6:$F$155,"&lt;="&amp;首页!$B$7-90)+SUMIFS(销售录入!$Q$5:$Q$404,销售录入!$D$5:$D$404,$A85,销售录入!$U$5:$U$404,"&lt;="&amp;首页!$B$7-90)-SUMIFS(资金流水!$N$5:$N$504,资金流水!$G$5:$G$504,$A85,资金流水!$E$5:$E$504,"客户回款",资金流水!$B$5:$B$504,"&lt;="&amp;首页!$B$7))))</f>
        <v/>
      </c>
      <c r="L85" s="62" t="str">
        <f aca="false">IF($A85="","",$H85+$I85+$J85+$K85)</f>
        <v/>
      </c>
      <c r="M85" s="47" t="str">
        <f aca="false">IF($A85="","",IF($K85&gt;0,"高危",IF($J85&gt;0,"关注",IF($L85&gt;0,"提醒","正常"))))</f>
        <v/>
      </c>
      <c r="N85" s="42" t="str">
        <f aca="false">IF($A85="","",基础资料!$AA85)</f>
        <v/>
      </c>
    </row>
    <row r="86" customFormat="false" ht="15.75" hidden="false" customHeight="true" outlineLevel="0" collapsed="false">
      <c r="A86" s="35" t="str">
        <f aca="false">IF(基础资料!$Z86="","",基础资料!$Z86)</f>
        <v/>
      </c>
      <c r="B86" s="42" t="str">
        <f aca="false">IF($A86="","",N(基础资料!$AB86))</f>
        <v/>
      </c>
      <c r="C86" s="54" t="str">
        <f aca="false">IF($A86="","",SUMIFS(期初数据!$G$6:$G$155,期初数据!$E$6:$E$155,$A86,期初数据!$F$6:$F$155,"&lt;"&amp;首页!$B$6)+SUMIFS(销售录入!$Q$5:$Q$404,销售录入!$D$5:$D$404,$A86,销售录入!$B$5:$B$404,"&lt;"&amp;首页!$B$6)-SUMIFS(资金流水!$N$5:$N$504,资金流水!$G$5:$G$504,$A86,资金流水!$E$5:$E$504,"客户回款",资金流水!$B$5:$B$504,"&lt;"&amp;首页!$B$6))</f>
        <v/>
      </c>
      <c r="D86" s="54" t="str">
        <f aca="false">IF($A86="","",SUMIFS(销售录入!$Q$5:$Q$404,销售录入!$D$5:$D$404,$A86,销售录入!$C$5:$C$404,首页!$B$5))</f>
        <v/>
      </c>
      <c r="E86" s="54" t="str">
        <f aca="false">IF($A86="","",SUMIFS(资金流水!$N$5:$N$504,资金流水!$G$5:$G$504,$A86,资金流水!$E$5:$E$504,"客户回款",资金流水!$C$5:$C$504,首页!$B$5))</f>
        <v/>
      </c>
      <c r="F86" s="62" t="str">
        <f aca="false">IF($A86="","",$C86+$D86-$E86)</f>
        <v/>
      </c>
      <c r="G86" s="44" t="str">
        <f aca="false">IF($A86="","",$F86-$H86-$I86-$J86-$K86)</f>
        <v/>
      </c>
      <c r="H86" s="44" t="str">
        <f aca="false">IF($A86="","",MIN($F86,MAX(0,SUMIFS(期初数据!$G$6:$G$155,期初数据!$E$6:$E$155,$A86,期初数据!$F$6:$F$155,"&lt;="&amp;首页!$B$7)+SUMIFS(销售录入!$Q$5:$Q$404,销售录入!$D$5:$D$404,$A86,销售录入!$U$5:$U$404,"&lt;="&amp;首页!$B$7)-SUMIFS(资金流水!$N$5:$N$504,资金流水!$G$5:$G$504,$A86,资金流水!$E$5:$E$504,"客户回款",资金流水!$B$5:$B$504,"&lt;="&amp;首页!$B$7)))-$K86-$J86-$I86)</f>
        <v/>
      </c>
      <c r="I86" s="44" t="str">
        <f aca="false">IF($A86="","",MIN($F86,MAX(0,SUMIFS(期初数据!$G$6:$G$155,期初数据!$E$6:$E$155,$A86,期初数据!$F$6:$F$155,"&lt;="&amp;首页!$B$7-30)+SUMIFS(销售录入!$Q$5:$Q$404,销售录入!$D$5:$D$404,$A86,销售录入!$U$5:$U$404,"&lt;="&amp;首页!$B$7-30)-SUMIFS(资金流水!$N$5:$N$504,资金流水!$G$5:$G$504,$A86,资金流水!$E$5:$E$504,"客户回款",资金流水!$B$5:$B$504,"&lt;="&amp;首页!$B$7)))-$K86-$J86)</f>
        <v/>
      </c>
      <c r="J86" s="44" t="str">
        <f aca="false">IF($A86="","",MIN($F86,MAX(0,SUMIFS(期初数据!$G$6:$G$155,期初数据!$E$6:$E$155,$A86,期初数据!$F$6:$F$155,"&lt;="&amp;首页!$B$7-60)+SUMIFS(销售录入!$Q$5:$Q$404,销售录入!$D$5:$D$404,$A86,销售录入!$U$5:$U$404,"&lt;="&amp;首页!$B$7-60)-SUMIFS(资金流水!$N$5:$N$504,资金流水!$G$5:$G$504,$A86,资金流水!$E$5:$E$504,"客户回款",资金流水!$B$5:$B$504,"&lt;="&amp;首页!$B$7)))-$K86)</f>
        <v/>
      </c>
      <c r="K86" s="44" t="str">
        <f aca="false">IF($A86="","",MIN($F86,MAX(0,SUMIFS(期初数据!$G$6:$G$155,期初数据!$E$6:$E$155,$A86,期初数据!$F$6:$F$155,"&lt;="&amp;首页!$B$7-90)+SUMIFS(销售录入!$Q$5:$Q$404,销售录入!$D$5:$D$404,$A86,销售录入!$U$5:$U$404,"&lt;="&amp;首页!$B$7-90)-SUMIFS(资金流水!$N$5:$N$504,资金流水!$G$5:$G$504,$A86,资金流水!$E$5:$E$504,"客户回款",资金流水!$B$5:$B$504,"&lt;="&amp;首页!$B$7))))</f>
        <v/>
      </c>
      <c r="L86" s="62" t="str">
        <f aca="false">IF($A86="","",$H86+$I86+$J86+$K86)</f>
        <v/>
      </c>
      <c r="M86" s="47" t="str">
        <f aca="false">IF($A86="","",IF($K86&gt;0,"高危",IF($J86&gt;0,"关注",IF($L86&gt;0,"提醒","正常"))))</f>
        <v/>
      </c>
      <c r="N86" s="42" t="str">
        <f aca="false">IF($A86="","",基础资料!$AA86)</f>
        <v/>
      </c>
    </row>
    <row r="87" customFormat="false" ht="15.75" hidden="false" customHeight="true" outlineLevel="0" collapsed="false">
      <c r="A87" s="35" t="str">
        <f aca="false">IF(基础资料!$Z87="","",基础资料!$Z87)</f>
        <v/>
      </c>
      <c r="B87" s="42" t="str">
        <f aca="false">IF($A87="","",N(基础资料!$AB87))</f>
        <v/>
      </c>
      <c r="C87" s="54" t="str">
        <f aca="false">IF($A87="","",SUMIFS(期初数据!$G$6:$G$155,期初数据!$E$6:$E$155,$A87,期初数据!$F$6:$F$155,"&lt;"&amp;首页!$B$6)+SUMIFS(销售录入!$Q$5:$Q$404,销售录入!$D$5:$D$404,$A87,销售录入!$B$5:$B$404,"&lt;"&amp;首页!$B$6)-SUMIFS(资金流水!$N$5:$N$504,资金流水!$G$5:$G$504,$A87,资金流水!$E$5:$E$504,"客户回款",资金流水!$B$5:$B$504,"&lt;"&amp;首页!$B$6))</f>
        <v/>
      </c>
      <c r="D87" s="54" t="str">
        <f aca="false">IF($A87="","",SUMIFS(销售录入!$Q$5:$Q$404,销售录入!$D$5:$D$404,$A87,销售录入!$C$5:$C$404,首页!$B$5))</f>
        <v/>
      </c>
      <c r="E87" s="54" t="str">
        <f aca="false">IF($A87="","",SUMIFS(资金流水!$N$5:$N$504,资金流水!$G$5:$G$504,$A87,资金流水!$E$5:$E$504,"客户回款",资金流水!$C$5:$C$504,首页!$B$5))</f>
        <v/>
      </c>
      <c r="F87" s="62" t="str">
        <f aca="false">IF($A87="","",$C87+$D87-$E87)</f>
        <v/>
      </c>
      <c r="G87" s="44" t="str">
        <f aca="false">IF($A87="","",$F87-$H87-$I87-$J87-$K87)</f>
        <v/>
      </c>
      <c r="H87" s="44" t="str">
        <f aca="false">IF($A87="","",MIN($F87,MAX(0,SUMIFS(期初数据!$G$6:$G$155,期初数据!$E$6:$E$155,$A87,期初数据!$F$6:$F$155,"&lt;="&amp;首页!$B$7)+SUMIFS(销售录入!$Q$5:$Q$404,销售录入!$D$5:$D$404,$A87,销售录入!$U$5:$U$404,"&lt;="&amp;首页!$B$7)-SUMIFS(资金流水!$N$5:$N$504,资金流水!$G$5:$G$504,$A87,资金流水!$E$5:$E$504,"客户回款",资金流水!$B$5:$B$504,"&lt;="&amp;首页!$B$7)))-$K87-$J87-$I87)</f>
        <v/>
      </c>
      <c r="I87" s="44" t="str">
        <f aca="false">IF($A87="","",MIN($F87,MAX(0,SUMIFS(期初数据!$G$6:$G$155,期初数据!$E$6:$E$155,$A87,期初数据!$F$6:$F$155,"&lt;="&amp;首页!$B$7-30)+SUMIFS(销售录入!$Q$5:$Q$404,销售录入!$D$5:$D$404,$A87,销售录入!$U$5:$U$404,"&lt;="&amp;首页!$B$7-30)-SUMIFS(资金流水!$N$5:$N$504,资金流水!$G$5:$G$504,$A87,资金流水!$E$5:$E$504,"客户回款",资金流水!$B$5:$B$504,"&lt;="&amp;首页!$B$7)))-$K87-$J87)</f>
        <v/>
      </c>
      <c r="J87" s="44" t="str">
        <f aca="false">IF($A87="","",MIN($F87,MAX(0,SUMIFS(期初数据!$G$6:$G$155,期初数据!$E$6:$E$155,$A87,期初数据!$F$6:$F$155,"&lt;="&amp;首页!$B$7-60)+SUMIFS(销售录入!$Q$5:$Q$404,销售录入!$D$5:$D$404,$A87,销售录入!$U$5:$U$404,"&lt;="&amp;首页!$B$7-60)-SUMIFS(资金流水!$N$5:$N$504,资金流水!$G$5:$G$504,$A87,资金流水!$E$5:$E$504,"客户回款",资金流水!$B$5:$B$504,"&lt;="&amp;首页!$B$7)))-$K87)</f>
        <v/>
      </c>
      <c r="K87" s="44" t="str">
        <f aca="false">IF($A87="","",MIN($F87,MAX(0,SUMIFS(期初数据!$G$6:$G$155,期初数据!$E$6:$E$155,$A87,期初数据!$F$6:$F$155,"&lt;="&amp;首页!$B$7-90)+SUMIFS(销售录入!$Q$5:$Q$404,销售录入!$D$5:$D$404,$A87,销售录入!$U$5:$U$404,"&lt;="&amp;首页!$B$7-90)-SUMIFS(资金流水!$N$5:$N$504,资金流水!$G$5:$G$504,$A87,资金流水!$E$5:$E$504,"客户回款",资金流水!$B$5:$B$504,"&lt;="&amp;首页!$B$7))))</f>
        <v/>
      </c>
      <c r="L87" s="62" t="str">
        <f aca="false">IF($A87="","",$H87+$I87+$J87+$K87)</f>
        <v/>
      </c>
      <c r="M87" s="47" t="str">
        <f aca="false">IF($A87="","",IF($K87&gt;0,"高危",IF($J87&gt;0,"关注",IF($L87&gt;0,"提醒","正常"))))</f>
        <v/>
      </c>
      <c r="N87" s="42" t="str">
        <f aca="false">IF($A87="","",基础资料!$AA87)</f>
        <v/>
      </c>
    </row>
    <row r="88" customFormat="false" ht="15.75" hidden="false" customHeight="true" outlineLevel="0" collapsed="false">
      <c r="A88" s="35" t="str">
        <f aca="false">IF(基础资料!$Z88="","",基础资料!$Z88)</f>
        <v/>
      </c>
      <c r="B88" s="42" t="str">
        <f aca="false">IF($A88="","",N(基础资料!$AB88))</f>
        <v/>
      </c>
      <c r="C88" s="54" t="str">
        <f aca="false">IF($A88="","",SUMIFS(期初数据!$G$6:$G$155,期初数据!$E$6:$E$155,$A88,期初数据!$F$6:$F$155,"&lt;"&amp;首页!$B$6)+SUMIFS(销售录入!$Q$5:$Q$404,销售录入!$D$5:$D$404,$A88,销售录入!$B$5:$B$404,"&lt;"&amp;首页!$B$6)-SUMIFS(资金流水!$N$5:$N$504,资金流水!$G$5:$G$504,$A88,资金流水!$E$5:$E$504,"客户回款",资金流水!$B$5:$B$504,"&lt;"&amp;首页!$B$6))</f>
        <v/>
      </c>
      <c r="D88" s="54" t="str">
        <f aca="false">IF($A88="","",SUMIFS(销售录入!$Q$5:$Q$404,销售录入!$D$5:$D$404,$A88,销售录入!$C$5:$C$404,首页!$B$5))</f>
        <v/>
      </c>
      <c r="E88" s="54" t="str">
        <f aca="false">IF($A88="","",SUMIFS(资金流水!$N$5:$N$504,资金流水!$G$5:$G$504,$A88,资金流水!$E$5:$E$504,"客户回款",资金流水!$C$5:$C$504,首页!$B$5))</f>
        <v/>
      </c>
      <c r="F88" s="62" t="str">
        <f aca="false">IF($A88="","",$C88+$D88-$E88)</f>
        <v/>
      </c>
      <c r="G88" s="44" t="str">
        <f aca="false">IF($A88="","",$F88-$H88-$I88-$J88-$K88)</f>
        <v/>
      </c>
      <c r="H88" s="44" t="str">
        <f aca="false">IF($A88="","",MIN($F88,MAX(0,SUMIFS(期初数据!$G$6:$G$155,期初数据!$E$6:$E$155,$A88,期初数据!$F$6:$F$155,"&lt;="&amp;首页!$B$7)+SUMIFS(销售录入!$Q$5:$Q$404,销售录入!$D$5:$D$404,$A88,销售录入!$U$5:$U$404,"&lt;="&amp;首页!$B$7)-SUMIFS(资金流水!$N$5:$N$504,资金流水!$G$5:$G$504,$A88,资金流水!$E$5:$E$504,"客户回款",资金流水!$B$5:$B$504,"&lt;="&amp;首页!$B$7)))-$K88-$J88-$I88)</f>
        <v/>
      </c>
      <c r="I88" s="44" t="str">
        <f aca="false">IF($A88="","",MIN($F88,MAX(0,SUMIFS(期初数据!$G$6:$G$155,期初数据!$E$6:$E$155,$A88,期初数据!$F$6:$F$155,"&lt;="&amp;首页!$B$7-30)+SUMIFS(销售录入!$Q$5:$Q$404,销售录入!$D$5:$D$404,$A88,销售录入!$U$5:$U$404,"&lt;="&amp;首页!$B$7-30)-SUMIFS(资金流水!$N$5:$N$504,资金流水!$G$5:$G$504,$A88,资金流水!$E$5:$E$504,"客户回款",资金流水!$B$5:$B$504,"&lt;="&amp;首页!$B$7)))-$K88-$J88)</f>
        <v/>
      </c>
      <c r="J88" s="44" t="str">
        <f aca="false">IF($A88="","",MIN($F88,MAX(0,SUMIFS(期初数据!$G$6:$G$155,期初数据!$E$6:$E$155,$A88,期初数据!$F$6:$F$155,"&lt;="&amp;首页!$B$7-60)+SUMIFS(销售录入!$Q$5:$Q$404,销售录入!$D$5:$D$404,$A88,销售录入!$U$5:$U$404,"&lt;="&amp;首页!$B$7-60)-SUMIFS(资金流水!$N$5:$N$504,资金流水!$G$5:$G$504,$A88,资金流水!$E$5:$E$504,"客户回款",资金流水!$B$5:$B$504,"&lt;="&amp;首页!$B$7)))-$K88)</f>
        <v/>
      </c>
      <c r="K88" s="44" t="str">
        <f aca="false">IF($A88="","",MIN($F88,MAX(0,SUMIFS(期初数据!$G$6:$G$155,期初数据!$E$6:$E$155,$A88,期初数据!$F$6:$F$155,"&lt;="&amp;首页!$B$7-90)+SUMIFS(销售录入!$Q$5:$Q$404,销售录入!$D$5:$D$404,$A88,销售录入!$U$5:$U$404,"&lt;="&amp;首页!$B$7-90)-SUMIFS(资金流水!$N$5:$N$504,资金流水!$G$5:$G$504,$A88,资金流水!$E$5:$E$504,"客户回款",资金流水!$B$5:$B$504,"&lt;="&amp;首页!$B$7))))</f>
        <v/>
      </c>
      <c r="L88" s="62" t="str">
        <f aca="false">IF($A88="","",$H88+$I88+$J88+$K88)</f>
        <v/>
      </c>
      <c r="M88" s="47" t="str">
        <f aca="false">IF($A88="","",IF($K88&gt;0,"高危",IF($J88&gt;0,"关注",IF($L88&gt;0,"提醒","正常"))))</f>
        <v/>
      </c>
      <c r="N88" s="42" t="str">
        <f aca="false">IF($A88="","",基础资料!$AA88)</f>
        <v/>
      </c>
    </row>
    <row r="89" customFormat="false" ht="15.75" hidden="false" customHeight="true" outlineLevel="0" collapsed="false">
      <c r="A89" s="35" t="str">
        <f aca="false">IF(基础资料!$Z89="","",基础资料!$Z89)</f>
        <v/>
      </c>
      <c r="B89" s="42" t="str">
        <f aca="false">IF($A89="","",N(基础资料!$AB89))</f>
        <v/>
      </c>
      <c r="C89" s="54" t="str">
        <f aca="false">IF($A89="","",SUMIFS(期初数据!$G$6:$G$155,期初数据!$E$6:$E$155,$A89,期初数据!$F$6:$F$155,"&lt;"&amp;首页!$B$6)+SUMIFS(销售录入!$Q$5:$Q$404,销售录入!$D$5:$D$404,$A89,销售录入!$B$5:$B$404,"&lt;"&amp;首页!$B$6)-SUMIFS(资金流水!$N$5:$N$504,资金流水!$G$5:$G$504,$A89,资金流水!$E$5:$E$504,"客户回款",资金流水!$B$5:$B$504,"&lt;"&amp;首页!$B$6))</f>
        <v/>
      </c>
      <c r="D89" s="54" t="str">
        <f aca="false">IF($A89="","",SUMIFS(销售录入!$Q$5:$Q$404,销售录入!$D$5:$D$404,$A89,销售录入!$C$5:$C$404,首页!$B$5))</f>
        <v/>
      </c>
      <c r="E89" s="54" t="str">
        <f aca="false">IF($A89="","",SUMIFS(资金流水!$N$5:$N$504,资金流水!$G$5:$G$504,$A89,资金流水!$E$5:$E$504,"客户回款",资金流水!$C$5:$C$504,首页!$B$5))</f>
        <v/>
      </c>
      <c r="F89" s="62" t="str">
        <f aca="false">IF($A89="","",$C89+$D89-$E89)</f>
        <v/>
      </c>
      <c r="G89" s="44" t="str">
        <f aca="false">IF($A89="","",$F89-$H89-$I89-$J89-$K89)</f>
        <v/>
      </c>
      <c r="H89" s="44" t="str">
        <f aca="false">IF($A89="","",MIN($F89,MAX(0,SUMIFS(期初数据!$G$6:$G$155,期初数据!$E$6:$E$155,$A89,期初数据!$F$6:$F$155,"&lt;="&amp;首页!$B$7)+SUMIFS(销售录入!$Q$5:$Q$404,销售录入!$D$5:$D$404,$A89,销售录入!$U$5:$U$404,"&lt;="&amp;首页!$B$7)-SUMIFS(资金流水!$N$5:$N$504,资金流水!$G$5:$G$504,$A89,资金流水!$E$5:$E$504,"客户回款",资金流水!$B$5:$B$504,"&lt;="&amp;首页!$B$7)))-$K89-$J89-$I89)</f>
        <v/>
      </c>
      <c r="I89" s="44" t="str">
        <f aca="false">IF($A89="","",MIN($F89,MAX(0,SUMIFS(期初数据!$G$6:$G$155,期初数据!$E$6:$E$155,$A89,期初数据!$F$6:$F$155,"&lt;="&amp;首页!$B$7-30)+SUMIFS(销售录入!$Q$5:$Q$404,销售录入!$D$5:$D$404,$A89,销售录入!$U$5:$U$404,"&lt;="&amp;首页!$B$7-30)-SUMIFS(资金流水!$N$5:$N$504,资金流水!$G$5:$G$504,$A89,资金流水!$E$5:$E$504,"客户回款",资金流水!$B$5:$B$504,"&lt;="&amp;首页!$B$7)))-$K89-$J89)</f>
        <v/>
      </c>
      <c r="J89" s="44" t="str">
        <f aca="false">IF($A89="","",MIN($F89,MAX(0,SUMIFS(期初数据!$G$6:$G$155,期初数据!$E$6:$E$155,$A89,期初数据!$F$6:$F$155,"&lt;="&amp;首页!$B$7-60)+SUMIFS(销售录入!$Q$5:$Q$404,销售录入!$D$5:$D$404,$A89,销售录入!$U$5:$U$404,"&lt;="&amp;首页!$B$7-60)-SUMIFS(资金流水!$N$5:$N$504,资金流水!$G$5:$G$504,$A89,资金流水!$E$5:$E$504,"客户回款",资金流水!$B$5:$B$504,"&lt;="&amp;首页!$B$7)))-$K89)</f>
        <v/>
      </c>
      <c r="K89" s="44" t="str">
        <f aca="false">IF($A89="","",MIN($F89,MAX(0,SUMIFS(期初数据!$G$6:$G$155,期初数据!$E$6:$E$155,$A89,期初数据!$F$6:$F$155,"&lt;="&amp;首页!$B$7-90)+SUMIFS(销售录入!$Q$5:$Q$404,销售录入!$D$5:$D$404,$A89,销售录入!$U$5:$U$404,"&lt;="&amp;首页!$B$7-90)-SUMIFS(资金流水!$N$5:$N$504,资金流水!$G$5:$G$504,$A89,资金流水!$E$5:$E$504,"客户回款",资金流水!$B$5:$B$504,"&lt;="&amp;首页!$B$7))))</f>
        <v/>
      </c>
      <c r="L89" s="62" t="str">
        <f aca="false">IF($A89="","",$H89+$I89+$J89+$K89)</f>
        <v/>
      </c>
      <c r="M89" s="47" t="str">
        <f aca="false">IF($A89="","",IF($K89&gt;0,"高危",IF($J89&gt;0,"关注",IF($L89&gt;0,"提醒","正常"))))</f>
        <v/>
      </c>
      <c r="N89" s="42" t="str">
        <f aca="false">IF($A89="","",基础资料!$AA89)</f>
        <v/>
      </c>
    </row>
    <row r="90" customFormat="false" ht="15.75" hidden="false" customHeight="true" outlineLevel="0" collapsed="false">
      <c r="A90" s="35" t="str">
        <f aca="false">IF(基础资料!$Z90="","",基础资料!$Z90)</f>
        <v/>
      </c>
      <c r="B90" s="42" t="str">
        <f aca="false">IF($A90="","",N(基础资料!$AB90))</f>
        <v/>
      </c>
      <c r="C90" s="54" t="str">
        <f aca="false">IF($A90="","",SUMIFS(期初数据!$G$6:$G$155,期初数据!$E$6:$E$155,$A90,期初数据!$F$6:$F$155,"&lt;"&amp;首页!$B$6)+SUMIFS(销售录入!$Q$5:$Q$404,销售录入!$D$5:$D$404,$A90,销售录入!$B$5:$B$404,"&lt;"&amp;首页!$B$6)-SUMIFS(资金流水!$N$5:$N$504,资金流水!$G$5:$G$504,$A90,资金流水!$E$5:$E$504,"客户回款",资金流水!$B$5:$B$504,"&lt;"&amp;首页!$B$6))</f>
        <v/>
      </c>
      <c r="D90" s="54" t="str">
        <f aca="false">IF($A90="","",SUMIFS(销售录入!$Q$5:$Q$404,销售录入!$D$5:$D$404,$A90,销售录入!$C$5:$C$404,首页!$B$5))</f>
        <v/>
      </c>
      <c r="E90" s="54" t="str">
        <f aca="false">IF($A90="","",SUMIFS(资金流水!$N$5:$N$504,资金流水!$G$5:$G$504,$A90,资金流水!$E$5:$E$504,"客户回款",资金流水!$C$5:$C$504,首页!$B$5))</f>
        <v/>
      </c>
      <c r="F90" s="62" t="str">
        <f aca="false">IF($A90="","",$C90+$D90-$E90)</f>
        <v/>
      </c>
      <c r="G90" s="44" t="str">
        <f aca="false">IF($A90="","",$F90-$H90-$I90-$J90-$K90)</f>
        <v/>
      </c>
      <c r="H90" s="44" t="str">
        <f aca="false">IF($A90="","",MIN($F90,MAX(0,SUMIFS(期初数据!$G$6:$G$155,期初数据!$E$6:$E$155,$A90,期初数据!$F$6:$F$155,"&lt;="&amp;首页!$B$7)+SUMIFS(销售录入!$Q$5:$Q$404,销售录入!$D$5:$D$404,$A90,销售录入!$U$5:$U$404,"&lt;="&amp;首页!$B$7)-SUMIFS(资金流水!$N$5:$N$504,资金流水!$G$5:$G$504,$A90,资金流水!$E$5:$E$504,"客户回款",资金流水!$B$5:$B$504,"&lt;="&amp;首页!$B$7)))-$K90-$J90-$I90)</f>
        <v/>
      </c>
      <c r="I90" s="44" t="str">
        <f aca="false">IF($A90="","",MIN($F90,MAX(0,SUMIFS(期初数据!$G$6:$G$155,期初数据!$E$6:$E$155,$A90,期初数据!$F$6:$F$155,"&lt;="&amp;首页!$B$7-30)+SUMIFS(销售录入!$Q$5:$Q$404,销售录入!$D$5:$D$404,$A90,销售录入!$U$5:$U$404,"&lt;="&amp;首页!$B$7-30)-SUMIFS(资金流水!$N$5:$N$504,资金流水!$G$5:$G$504,$A90,资金流水!$E$5:$E$504,"客户回款",资金流水!$B$5:$B$504,"&lt;="&amp;首页!$B$7)))-$K90-$J90)</f>
        <v/>
      </c>
      <c r="J90" s="44" t="str">
        <f aca="false">IF($A90="","",MIN($F90,MAX(0,SUMIFS(期初数据!$G$6:$G$155,期初数据!$E$6:$E$155,$A90,期初数据!$F$6:$F$155,"&lt;="&amp;首页!$B$7-60)+SUMIFS(销售录入!$Q$5:$Q$404,销售录入!$D$5:$D$404,$A90,销售录入!$U$5:$U$404,"&lt;="&amp;首页!$B$7-60)-SUMIFS(资金流水!$N$5:$N$504,资金流水!$G$5:$G$504,$A90,资金流水!$E$5:$E$504,"客户回款",资金流水!$B$5:$B$504,"&lt;="&amp;首页!$B$7)))-$K90)</f>
        <v/>
      </c>
      <c r="K90" s="44" t="str">
        <f aca="false">IF($A90="","",MIN($F90,MAX(0,SUMIFS(期初数据!$G$6:$G$155,期初数据!$E$6:$E$155,$A90,期初数据!$F$6:$F$155,"&lt;="&amp;首页!$B$7-90)+SUMIFS(销售录入!$Q$5:$Q$404,销售录入!$D$5:$D$404,$A90,销售录入!$U$5:$U$404,"&lt;="&amp;首页!$B$7-90)-SUMIFS(资金流水!$N$5:$N$504,资金流水!$G$5:$G$504,$A90,资金流水!$E$5:$E$504,"客户回款",资金流水!$B$5:$B$504,"&lt;="&amp;首页!$B$7))))</f>
        <v/>
      </c>
      <c r="L90" s="62" t="str">
        <f aca="false">IF($A90="","",$H90+$I90+$J90+$K90)</f>
        <v/>
      </c>
      <c r="M90" s="47" t="str">
        <f aca="false">IF($A90="","",IF($K90&gt;0,"高危",IF($J90&gt;0,"关注",IF($L90&gt;0,"提醒","正常"))))</f>
        <v/>
      </c>
      <c r="N90" s="42" t="str">
        <f aca="false">IF($A90="","",基础资料!$AA90)</f>
        <v/>
      </c>
    </row>
    <row r="91" customFormat="false" ht="15.75" hidden="false" customHeight="true" outlineLevel="0" collapsed="false">
      <c r="A91" s="35" t="str">
        <f aca="false">IF(基础资料!$Z91="","",基础资料!$Z91)</f>
        <v/>
      </c>
      <c r="B91" s="42" t="str">
        <f aca="false">IF($A91="","",N(基础资料!$AB91))</f>
        <v/>
      </c>
      <c r="C91" s="54" t="str">
        <f aca="false">IF($A91="","",SUMIFS(期初数据!$G$6:$G$155,期初数据!$E$6:$E$155,$A91,期初数据!$F$6:$F$155,"&lt;"&amp;首页!$B$6)+SUMIFS(销售录入!$Q$5:$Q$404,销售录入!$D$5:$D$404,$A91,销售录入!$B$5:$B$404,"&lt;"&amp;首页!$B$6)-SUMIFS(资金流水!$N$5:$N$504,资金流水!$G$5:$G$504,$A91,资金流水!$E$5:$E$504,"客户回款",资金流水!$B$5:$B$504,"&lt;"&amp;首页!$B$6))</f>
        <v/>
      </c>
      <c r="D91" s="54" t="str">
        <f aca="false">IF($A91="","",SUMIFS(销售录入!$Q$5:$Q$404,销售录入!$D$5:$D$404,$A91,销售录入!$C$5:$C$404,首页!$B$5))</f>
        <v/>
      </c>
      <c r="E91" s="54" t="str">
        <f aca="false">IF($A91="","",SUMIFS(资金流水!$N$5:$N$504,资金流水!$G$5:$G$504,$A91,资金流水!$E$5:$E$504,"客户回款",资金流水!$C$5:$C$504,首页!$B$5))</f>
        <v/>
      </c>
      <c r="F91" s="62" t="str">
        <f aca="false">IF($A91="","",$C91+$D91-$E91)</f>
        <v/>
      </c>
      <c r="G91" s="44" t="str">
        <f aca="false">IF($A91="","",$F91-$H91-$I91-$J91-$K91)</f>
        <v/>
      </c>
      <c r="H91" s="44" t="str">
        <f aca="false">IF($A91="","",MIN($F91,MAX(0,SUMIFS(期初数据!$G$6:$G$155,期初数据!$E$6:$E$155,$A91,期初数据!$F$6:$F$155,"&lt;="&amp;首页!$B$7)+SUMIFS(销售录入!$Q$5:$Q$404,销售录入!$D$5:$D$404,$A91,销售录入!$U$5:$U$404,"&lt;="&amp;首页!$B$7)-SUMIFS(资金流水!$N$5:$N$504,资金流水!$G$5:$G$504,$A91,资金流水!$E$5:$E$504,"客户回款",资金流水!$B$5:$B$504,"&lt;="&amp;首页!$B$7)))-$K91-$J91-$I91)</f>
        <v/>
      </c>
      <c r="I91" s="44" t="str">
        <f aca="false">IF($A91="","",MIN($F91,MAX(0,SUMIFS(期初数据!$G$6:$G$155,期初数据!$E$6:$E$155,$A91,期初数据!$F$6:$F$155,"&lt;="&amp;首页!$B$7-30)+SUMIFS(销售录入!$Q$5:$Q$404,销售录入!$D$5:$D$404,$A91,销售录入!$U$5:$U$404,"&lt;="&amp;首页!$B$7-30)-SUMIFS(资金流水!$N$5:$N$504,资金流水!$G$5:$G$504,$A91,资金流水!$E$5:$E$504,"客户回款",资金流水!$B$5:$B$504,"&lt;="&amp;首页!$B$7)))-$K91-$J91)</f>
        <v/>
      </c>
      <c r="J91" s="44" t="str">
        <f aca="false">IF($A91="","",MIN($F91,MAX(0,SUMIFS(期初数据!$G$6:$G$155,期初数据!$E$6:$E$155,$A91,期初数据!$F$6:$F$155,"&lt;="&amp;首页!$B$7-60)+SUMIFS(销售录入!$Q$5:$Q$404,销售录入!$D$5:$D$404,$A91,销售录入!$U$5:$U$404,"&lt;="&amp;首页!$B$7-60)-SUMIFS(资金流水!$N$5:$N$504,资金流水!$G$5:$G$504,$A91,资金流水!$E$5:$E$504,"客户回款",资金流水!$B$5:$B$504,"&lt;="&amp;首页!$B$7)))-$K91)</f>
        <v/>
      </c>
      <c r="K91" s="44" t="str">
        <f aca="false">IF($A91="","",MIN($F91,MAX(0,SUMIFS(期初数据!$G$6:$G$155,期初数据!$E$6:$E$155,$A91,期初数据!$F$6:$F$155,"&lt;="&amp;首页!$B$7-90)+SUMIFS(销售录入!$Q$5:$Q$404,销售录入!$D$5:$D$404,$A91,销售录入!$U$5:$U$404,"&lt;="&amp;首页!$B$7-90)-SUMIFS(资金流水!$N$5:$N$504,资金流水!$G$5:$G$504,$A91,资金流水!$E$5:$E$504,"客户回款",资金流水!$B$5:$B$504,"&lt;="&amp;首页!$B$7))))</f>
        <v/>
      </c>
      <c r="L91" s="62" t="str">
        <f aca="false">IF($A91="","",$H91+$I91+$J91+$K91)</f>
        <v/>
      </c>
      <c r="M91" s="47" t="str">
        <f aca="false">IF($A91="","",IF($K91&gt;0,"高危",IF($J91&gt;0,"关注",IF($L91&gt;0,"提醒","正常"))))</f>
        <v/>
      </c>
      <c r="N91" s="42" t="str">
        <f aca="false">IF($A91="","",基础资料!$AA91)</f>
        <v/>
      </c>
    </row>
    <row r="92" customFormat="false" ht="15.75" hidden="false" customHeight="true" outlineLevel="0" collapsed="false">
      <c r="A92" s="35" t="str">
        <f aca="false">IF(基础资料!$Z92="","",基础资料!$Z92)</f>
        <v/>
      </c>
      <c r="B92" s="42" t="str">
        <f aca="false">IF($A92="","",N(基础资料!$AB92))</f>
        <v/>
      </c>
      <c r="C92" s="54" t="str">
        <f aca="false">IF($A92="","",SUMIFS(期初数据!$G$6:$G$155,期初数据!$E$6:$E$155,$A92,期初数据!$F$6:$F$155,"&lt;"&amp;首页!$B$6)+SUMIFS(销售录入!$Q$5:$Q$404,销售录入!$D$5:$D$404,$A92,销售录入!$B$5:$B$404,"&lt;"&amp;首页!$B$6)-SUMIFS(资金流水!$N$5:$N$504,资金流水!$G$5:$G$504,$A92,资金流水!$E$5:$E$504,"客户回款",资金流水!$B$5:$B$504,"&lt;"&amp;首页!$B$6))</f>
        <v/>
      </c>
      <c r="D92" s="54" t="str">
        <f aca="false">IF($A92="","",SUMIFS(销售录入!$Q$5:$Q$404,销售录入!$D$5:$D$404,$A92,销售录入!$C$5:$C$404,首页!$B$5))</f>
        <v/>
      </c>
      <c r="E92" s="54" t="str">
        <f aca="false">IF($A92="","",SUMIFS(资金流水!$N$5:$N$504,资金流水!$G$5:$G$504,$A92,资金流水!$E$5:$E$504,"客户回款",资金流水!$C$5:$C$504,首页!$B$5))</f>
        <v/>
      </c>
      <c r="F92" s="62" t="str">
        <f aca="false">IF($A92="","",$C92+$D92-$E92)</f>
        <v/>
      </c>
      <c r="G92" s="44" t="str">
        <f aca="false">IF($A92="","",$F92-$H92-$I92-$J92-$K92)</f>
        <v/>
      </c>
      <c r="H92" s="44" t="str">
        <f aca="false">IF($A92="","",MIN($F92,MAX(0,SUMIFS(期初数据!$G$6:$G$155,期初数据!$E$6:$E$155,$A92,期初数据!$F$6:$F$155,"&lt;="&amp;首页!$B$7)+SUMIFS(销售录入!$Q$5:$Q$404,销售录入!$D$5:$D$404,$A92,销售录入!$U$5:$U$404,"&lt;="&amp;首页!$B$7)-SUMIFS(资金流水!$N$5:$N$504,资金流水!$G$5:$G$504,$A92,资金流水!$E$5:$E$504,"客户回款",资金流水!$B$5:$B$504,"&lt;="&amp;首页!$B$7)))-$K92-$J92-$I92)</f>
        <v/>
      </c>
      <c r="I92" s="44" t="str">
        <f aca="false">IF($A92="","",MIN($F92,MAX(0,SUMIFS(期初数据!$G$6:$G$155,期初数据!$E$6:$E$155,$A92,期初数据!$F$6:$F$155,"&lt;="&amp;首页!$B$7-30)+SUMIFS(销售录入!$Q$5:$Q$404,销售录入!$D$5:$D$404,$A92,销售录入!$U$5:$U$404,"&lt;="&amp;首页!$B$7-30)-SUMIFS(资金流水!$N$5:$N$504,资金流水!$G$5:$G$504,$A92,资金流水!$E$5:$E$504,"客户回款",资金流水!$B$5:$B$504,"&lt;="&amp;首页!$B$7)))-$K92-$J92)</f>
        <v/>
      </c>
      <c r="J92" s="44" t="str">
        <f aca="false">IF($A92="","",MIN($F92,MAX(0,SUMIFS(期初数据!$G$6:$G$155,期初数据!$E$6:$E$155,$A92,期初数据!$F$6:$F$155,"&lt;="&amp;首页!$B$7-60)+SUMIFS(销售录入!$Q$5:$Q$404,销售录入!$D$5:$D$404,$A92,销售录入!$U$5:$U$404,"&lt;="&amp;首页!$B$7-60)-SUMIFS(资金流水!$N$5:$N$504,资金流水!$G$5:$G$504,$A92,资金流水!$E$5:$E$504,"客户回款",资金流水!$B$5:$B$504,"&lt;="&amp;首页!$B$7)))-$K92)</f>
        <v/>
      </c>
      <c r="K92" s="44" t="str">
        <f aca="false">IF($A92="","",MIN($F92,MAX(0,SUMIFS(期初数据!$G$6:$G$155,期初数据!$E$6:$E$155,$A92,期初数据!$F$6:$F$155,"&lt;="&amp;首页!$B$7-90)+SUMIFS(销售录入!$Q$5:$Q$404,销售录入!$D$5:$D$404,$A92,销售录入!$U$5:$U$404,"&lt;="&amp;首页!$B$7-90)-SUMIFS(资金流水!$N$5:$N$504,资金流水!$G$5:$G$504,$A92,资金流水!$E$5:$E$504,"客户回款",资金流水!$B$5:$B$504,"&lt;="&amp;首页!$B$7))))</f>
        <v/>
      </c>
      <c r="L92" s="62" t="str">
        <f aca="false">IF($A92="","",$H92+$I92+$J92+$K92)</f>
        <v/>
      </c>
      <c r="M92" s="47" t="str">
        <f aca="false">IF($A92="","",IF($K92&gt;0,"高危",IF($J92&gt;0,"关注",IF($L92&gt;0,"提醒","正常"))))</f>
        <v/>
      </c>
      <c r="N92" s="42" t="str">
        <f aca="false">IF($A92="","",基础资料!$AA92)</f>
        <v/>
      </c>
    </row>
    <row r="93" customFormat="false" ht="15.75" hidden="false" customHeight="true" outlineLevel="0" collapsed="false">
      <c r="A93" s="35" t="str">
        <f aca="false">IF(基础资料!$Z93="","",基础资料!$Z93)</f>
        <v/>
      </c>
      <c r="B93" s="42" t="str">
        <f aca="false">IF($A93="","",N(基础资料!$AB93))</f>
        <v/>
      </c>
      <c r="C93" s="54" t="str">
        <f aca="false">IF($A93="","",SUMIFS(期初数据!$G$6:$G$155,期初数据!$E$6:$E$155,$A93,期初数据!$F$6:$F$155,"&lt;"&amp;首页!$B$6)+SUMIFS(销售录入!$Q$5:$Q$404,销售录入!$D$5:$D$404,$A93,销售录入!$B$5:$B$404,"&lt;"&amp;首页!$B$6)-SUMIFS(资金流水!$N$5:$N$504,资金流水!$G$5:$G$504,$A93,资金流水!$E$5:$E$504,"客户回款",资金流水!$B$5:$B$504,"&lt;"&amp;首页!$B$6))</f>
        <v/>
      </c>
      <c r="D93" s="54" t="str">
        <f aca="false">IF($A93="","",SUMIFS(销售录入!$Q$5:$Q$404,销售录入!$D$5:$D$404,$A93,销售录入!$C$5:$C$404,首页!$B$5))</f>
        <v/>
      </c>
      <c r="E93" s="54" t="str">
        <f aca="false">IF($A93="","",SUMIFS(资金流水!$N$5:$N$504,资金流水!$G$5:$G$504,$A93,资金流水!$E$5:$E$504,"客户回款",资金流水!$C$5:$C$504,首页!$B$5))</f>
        <v/>
      </c>
      <c r="F93" s="62" t="str">
        <f aca="false">IF($A93="","",$C93+$D93-$E93)</f>
        <v/>
      </c>
      <c r="G93" s="44" t="str">
        <f aca="false">IF($A93="","",$F93-$H93-$I93-$J93-$K93)</f>
        <v/>
      </c>
      <c r="H93" s="44" t="str">
        <f aca="false">IF($A93="","",MIN($F93,MAX(0,SUMIFS(期初数据!$G$6:$G$155,期初数据!$E$6:$E$155,$A93,期初数据!$F$6:$F$155,"&lt;="&amp;首页!$B$7)+SUMIFS(销售录入!$Q$5:$Q$404,销售录入!$D$5:$D$404,$A93,销售录入!$U$5:$U$404,"&lt;="&amp;首页!$B$7)-SUMIFS(资金流水!$N$5:$N$504,资金流水!$G$5:$G$504,$A93,资金流水!$E$5:$E$504,"客户回款",资金流水!$B$5:$B$504,"&lt;="&amp;首页!$B$7)))-$K93-$J93-$I93)</f>
        <v/>
      </c>
      <c r="I93" s="44" t="str">
        <f aca="false">IF($A93="","",MIN($F93,MAX(0,SUMIFS(期初数据!$G$6:$G$155,期初数据!$E$6:$E$155,$A93,期初数据!$F$6:$F$155,"&lt;="&amp;首页!$B$7-30)+SUMIFS(销售录入!$Q$5:$Q$404,销售录入!$D$5:$D$404,$A93,销售录入!$U$5:$U$404,"&lt;="&amp;首页!$B$7-30)-SUMIFS(资金流水!$N$5:$N$504,资金流水!$G$5:$G$504,$A93,资金流水!$E$5:$E$504,"客户回款",资金流水!$B$5:$B$504,"&lt;="&amp;首页!$B$7)))-$K93-$J93)</f>
        <v/>
      </c>
      <c r="J93" s="44" t="str">
        <f aca="false">IF($A93="","",MIN($F93,MAX(0,SUMIFS(期初数据!$G$6:$G$155,期初数据!$E$6:$E$155,$A93,期初数据!$F$6:$F$155,"&lt;="&amp;首页!$B$7-60)+SUMIFS(销售录入!$Q$5:$Q$404,销售录入!$D$5:$D$404,$A93,销售录入!$U$5:$U$404,"&lt;="&amp;首页!$B$7-60)-SUMIFS(资金流水!$N$5:$N$504,资金流水!$G$5:$G$504,$A93,资金流水!$E$5:$E$504,"客户回款",资金流水!$B$5:$B$504,"&lt;="&amp;首页!$B$7)))-$K93)</f>
        <v/>
      </c>
      <c r="K93" s="44" t="str">
        <f aca="false">IF($A93="","",MIN($F93,MAX(0,SUMIFS(期初数据!$G$6:$G$155,期初数据!$E$6:$E$155,$A93,期初数据!$F$6:$F$155,"&lt;="&amp;首页!$B$7-90)+SUMIFS(销售录入!$Q$5:$Q$404,销售录入!$D$5:$D$404,$A93,销售录入!$U$5:$U$404,"&lt;="&amp;首页!$B$7-90)-SUMIFS(资金流水!$N$5:$N$504,资金流水!$G$5:$G$504,$A93,资金流水!$E$5:$E$504,"客户回款",资金流水!$B$5:$B$504,"&lt;="&amp;首页!$B$7))))</f>
        <v/>
      </c>
      <c r="L93" s="62" t="str">
        <f aca="false">IF($A93="","",$H93+$I93+$J93+$K93)</f>
        <v/>
      </c>
      <c r="M93" s="47" t="str">
        <f aca="false">IF($A93="","",IF($K93&gt;0,"高危",IF($J93&gt;0,"关注",IF($L93&gt;0,"提醒","正常"))))</f>
        <v/>
      </c>
      <c r="N93" s="42" t="str">
        <f aca="false">IF($A93="","",基础资料!$AA93)</f>
        <v/>
      </c>
    </row>
    <row r="94" customFormat="false" ht="15.75" hidden="false" customHeight="true" outlineLevel="0" collapsed="false">
      <c r="A94" s="35" t="str">
        <f aca="false">IF(基础资料!$Z94="","",基础资料!$Z94)</f>
        <v/>
      </c>
      <c r="B94" s="42" t="str">
        <f aca="false">IF($A94="","",N(基础资料!$AB94))</f>
        <v/>
      </c>
      <c r="C94" s="54" t="str">
        <f aca="false">IF($A94="","",SUMIFS(期初数据!$G$6:$G$155,期初数据!$E$6:$E$155,$A94,期初数据!$F$6:$F$155,"&lt;"&amp;首页!$B$6)+SUMIFS(销售录入!$Q$5:$Q$404,销售录入!$D$5:$D$404,$A94,销售录入!$B$5:$B$404,"&lt;"&amp;首页!$B$6)-SUMIFS(资金流水!$N$5:$N$504,资金流水!$G$5:$G$504,$A94,资金流水!$E$5:$E$504,"客户回款",资金流水!$B$5:$B$504,"&lt;"&amp;首页!$B$6))</f>
        <v/>
      </c>
      <c r="D94" s="54" t="str">
        <f aca="false">IF($A94="","",SUMIFS(销售录入!$Q$5:$Q$404,销售录入!$D$5:$D$404,$A94,销售录入!$C$5:$C$404,首页!$B$5))</f>
        <v/>
      </c>
      <c r="E94" s="54" t="str">
        <f aca="false">IF($A94="","",SUMIFS(资金流水!$N$5:$N$504,资金流水!$G$5:$G$504,$A94,资金流水!$E$5:$E$504,"客户回款",资金流水!$C$5:$C$504,首页!$B$5))</f>
        <v/>
      </c>
      <c r="F94" s="62" t="str">
        <f aca="false">IF($A94="","",$C94+$D94-$E94)</f>
        <v/>
      </c>
      <c r="G94" s="44" t="str">
        <f aca="false">IF($A94="","",$F94-$H94-$I94-$J94-$K94)</f>
        <v/>
      </c>
      <c r="H94" s="44" t="str">
        <f aca="false">IF($A94="","",MIN($F94,MAX(0,SUMIFS(期初数据!$G$6:$G$155,期初数据!$E$6:$E$155,$A94,期初数据!$F$6:$F$155,"&lt;="&amp;首页!$B$7)+SUMIFS(销售录入!$Q$5:$Q$404,销售录入!$D$5:$D$404,$A94,销售录入!$U$5:$U$404,"&lt;="&amp;首页!$B$7)-SUMIFS(资金流水!$N$5:$N$504,资金流水!$G$5:$G$504,$A94,资金流水!$E$5:$E$504,"客户回款",资金流水!$B$5:$B$504,"&lt;="&amp;首页!$B$7)))-$K94-$J94-$I94)</f>
        <v/>
      </c>
      <c r="I94" s="44" t="str">
        <f aca="false">IF($A94="","",MIN($F94,MAX(0,SUMIFS(期初数据!$G$6:$G$155,期初数据!$E$6:$E$155,$A94,期初数据!$F$6:$F$155,"&lt;="&amp;首页!$B$7-30)+SUMIFS(销售录入!$Q$5:$Q$404,销售录入!$D$5:$D$404,$A94,销售录入!$U$5:$U$404,"&lt;="&amp;首页!$B$7-30)-SUMIFS(资金流水!$N$5:$N$504,资金流水!$G$5:$G$504,$A94,资金流水!$E$5:$E$504,"客户回款",资金流水!$B$5:$B$504,"&lt;="&amp;首页!$B$7)))-$K94-$J94)</f>
        <v/>
      </c>
      <c r="J94" s="44" t="str">
        <f aca="false">IF($A94="","",MIN($F94,MAX(0,SUMIFS(期初数据!$G$6:$G$155,期初数据!$E$6:$E$155,$A94,期初数据!$F$6:$F$155,"&lt;="&amp;首页!$B$7-60)+SUMIFS(销售录入!$Q$5:$Q$404,销售录入!$D$5:$D$404,$A94,销售录入!$U$5:$U$404,"&lt;="&amp;首页!$B$7-60)-SUMIFS(资金流水!$N$5:$N$504,资金流水!$G$5:$G$504,$A94,资金流水!$E$5:$E$504,"客户回款",资金流水!$B$5:$B$504,"&lt;="&amp;首页!$B$7)))-$K94)</f>
        <v/>
      </c>
      <c r="K94" s="44" t="str">
        <f aca="false">IF($A94="","",MIN($F94,MAX(0,SUMIFS(期初数据!$G$6:$G$155,期初数据!$E$6:$E$155,$A94,期初数据!$F$6:$F$155,"&lt;="&amp;首页!$B$7-90)+SUMIFS(销售录入!$Q$5:$Q$404,销售录入!$D$5:$D$404,$A94,销售录入!$U$5:$U$404,"&lt;="&amp;首页!$B$7-90)-SUMIFS(资金流水!$N$5:$N$504,资金流水!$G$5:$G$504,$A94,资金流水!$E$5:$E$504,"客户回款",资金流水!$B$5:$B$504,"&lt;="&amp;首页!$B$7))))</f>
        <v/>
      </c>
      <c r="L94" s="62" t="str">
        <f aca="false">IF($A94="","",$H94+$I94+$J94+$K94)</f>
        <v/>
      </c>
      <c r="M94" s="47" t="str">
        <f aca="false">IF($A94="","",IF($K94&gt;0,"高危",IF($J94&gt;0,"关注",IF($L94&gt;0,"提醒","正常"))))</f>
        <v/>
      </c>
      <c r="N94" s="42" t="str">
        <f aca="false">IF($A94="","",基础资料!$AA94)</f>
        <v/>
      </c>
    </row>
    <row r="95" customFormat="false" ht="15.75" hidden="false" customHeight="true" outlineLevel="0" collapsed="false">
      <c r="A95" s="35" t="str">
        <f aca="false">IF(基础资料!$Z95="","",基础资料!$Z95)</f>
        <v/>
      </c>
      <c r="B95" s="42" t="str">
        <f aca="false">IF($A95="","",N(基础资料!$AB95))</f>
        <v/>
      </c>
      <c r="C95" s="54" t="str">
        <f aca="false">IF($A95="","",SUMIFS(期初数据!$G$6:$G$155,期初数据!$E$6:$E$155,$A95,期初数据!$F$6:$F$155,"&lt;"&amp;首页!$B$6)+SUMIFS(销售录入!$Q$5:$Q$404,销售录入!$D$5:$D$404,$A95,销售录入!$B$5:$B$404,"&lt;"&amp;首页!$B$6)-SUMIFS(资金流水!$N$5:$N$504,资金流水!$G$5:$G$504,$A95,资金流水!$E$5:$E$504,"客户回款",资金流水!$B$5:$B$504,"&lt;"&amp;首页!$B$6))</f>
        <v/>
      </c>
      <c r="D95" s="54" t="str">
        <f aca="false">IF($A95="","",SUMIFS(销售录入!$Q$5:$Q$404,销售录入!$D$5:$D$404,$A95,销售录入!$C$5:$C$404,首页!$B$5))</f>
        <v/>
      </c>
      <c r="E95" s="54" t="str">
        <f aca="false">IF($A95="","",SUMIFS(资金流水!$N$5:$N$504,资金流水!$G$5:$G$504,$A95,资金流水!$E$5:$E$504,"客户回款",资金流水!$C$5:$C$504,首页!$B$5))</f>
        <v/>
      </c>
      <c r="F95" s="62" t="str">
        <f aca="false">IF($A95="","",$C95+$D95-$E95)</f>
        <v/>
      </c>
      <c r="G95" s="44" t="str">
        <f aca="false">IF($A95="","",$F95-$H95-$I95-$J95-$K95)</f>
        <v/>
      </c>
      <c r="H95" s="44" t="str">
        <f aca="false">IF($A95="","",MIN($F95,MAX(0,SUMIFS(期初数据!$G$6:$G$155,期初数据!$E$6:$E$155,$A95,期初数据!$F$6:$F$155,"&lt;="&amp;首页!$B$7)+SUMIFS(销售录入!$Q$5:$Q$404,销售录入!$D$5:$D$404,$A95,销售录入!$U$5:$U$404,"&lt;="&amp;首页!$B$7)-SUMIFS(资金流水!$N$5:$N$504,资金流水!$G$5:$G$504,$A95,资金流水!$E$5:$E$504,"客户回款",资金流水!$B$5:$B$504,"&lt;="&amp;首页!$B$7)))-$K95-$J95-$I95)</f>
        <v/>
      </c>
      <c r="I95" s="44" t="str">
        <f aca="false">IF($A95="","",MIN($F95,MAX(0,SUMIFS(期初数据!$G$6:$G$155,期初数据!$E$6:$E$155,$A95,期初数据!$F$6:$F$155,"&lt;="&amp;首页!$B$7-30)+SUMIFS(销售录入!$Q$5:$Q$404,销售录入!$D$5:$D$404,$A95,销售录入!$U$5:$U$404,"&lt;="&amp;首页!$B$7-30)-SUMIFS(资金流水!$N$5:$N$504,资金流水!$G$5:$G$504,$A95,资金流水!$E$5:$E$504,"客户回款",资金流水!$B$5:$B$504,"&lt;="&amp;首页!$B$7)))-$K95-$J95)</f>
        <v/>
      </c>
      <c r="J95" s="44" t="str">
        <f aca="false">IF($A95="","",MIN($F95,MAX(0,SUMIFS(期初数据!$G$6:$G$155,期初数据!$E$6:$E$155,$A95,期初数据!$F$6:$F$155,"&lt;="&amp;首页!$B$7-60)+SUMIFS(销售录入!$Q$5:$Q$404,销售录入!$D$5:$D$404,$A95,销售录入!$U$5:$U$404,"&lt;="&amp;首页!$B$7-60)-SUMIFS(资金流水!$N$5:$N$504,资金流水!$G$5:$G$504,$A95,资金流水!$E$5:$E$504,"客户回款",资金流水!$B$5:$B$504,"&lt;="&amp;首页!$B$7)))-$K95)</f>
        <v/>
      </c>
      <c r="K95" s="44" t="str">
        <f aca="false">IF($A95="","",MIN($F95,MAX(0,SUMIFS(期初数据!$G$6:$G$155,期初数据!$E$6:$E$155,$A95,期初数据!$F$6:$F$155,"&lt;="&amp;首页!$B$7-90)+SUMIFS(销售录入!$Q$5:$Q$404,销售录入!$D$5:$D$404,$A95,销售录入!$U$5:$U$404,"&lt;="&amp;首页!$B$7-90)-SUMIFS(资金流水!$N$5:$N$504,资金流水!$G$5:$G$504,$A95,资金流水!$E$5:$E$504,"客户回款",资金流水!$B$5:$B$504,"&lt;="&amp;首页!$B$7))))</f>
        <v/>
      </c>
      <c r="L95" s="62" t="str">
        <f aca="false">IF($A95="","",$H95+$I95+$J95+$K95)</f>
        <v/>
      </c>
      <c r="M95" s="47" t="str">
        <f aca="false">IF($A95="","",IF($K95&gt;0,"高危",IF($J95&gt;0,"关注",IF($L95&gt;0,"提醒","正常"))))</f>
        <v/>
      </c>
      <c r="N95" s="42" t="str">
        <f aca="false">IF($A95="","",基础资料!$AA95)</f>
        <v/>
      </c>
    </row>
    <row r="96" customFormat="false" ht="15.75" hidden="false" customHeight="true" outlineLevel="0" collapsed="false">
      <c r="A96" s="35" t="str">
        <f aca="false">IF(基础资料!$Z96="","",基础资料!$Z96)</f>
        <v/>
      </c>
      <c r="B96" s="42" t="str">
        <f aca="false">IF($A96="","",N(基础资料!$AB96))</f>
        <v/>
      </c>
      <c r="C96" s="54" t="str">
        <f aca="false">IF($A96="","",SUMIFS(期初数据!$G$6:$G$155,期初数据!$E$6:$E$155,$A96,期初数据!$F$6:$F$155,"&lt;"&amp;首页!$B$6)+SUMIFS(销售录入!$Q$5:$Q$404,销售录入!$D$5:$D$404,$A96,销售录入!$B$5:$B$404,"&lt;"&amp;首页!$B$6)-SUMIFS(资金流水!$N$5:$N$504,资金流水!$G$5:$G$504,$A96,资金流水!$E$5:$E$504,"客户回款",资金流水!$B$5:$B$504,"&lt;"&amp;首页!$B$6))</f>
        <v/>
      </c>
      <c r="D96" s="54" t="str">
        <f aca="false">IF($A96="","",SUMIFS(销售录入!$Q$5:$Q$404,销售录入!$D$5:$D$404,$A96,销售录入!$C$5:$C$404,首页!$B$5))</f>
        <v/>
      </c>
      <c r="E96" s="54" t="str">
        <f aca="false">IF($A96="","",SUMIFS(资金流水!$N$5:$N$504,资金流水!$G$5:$G$504,$A96,资金流水!$E$5:$E$504,"客户回款",资金流水!$C$5:$C$504,首页!$B$5))</f>
        <v/>
      </c>
      <c r="F96" s="62" t="str">
        <f aca="false">IF($A96="","",$C96+$D96-$E96)</f>
        <v/>
      </c>
      <c r="G96" s="44" t="str">
        <f aca="false">IF($A96="","",$F96-$H96-$I96-$J96-$K96)</f>
        <v/>
      </c>
      <c r="H96" s="44" t="str">
        <f aca="false">IF($A96="","",MIN($F96,MAX(0,SUMIFS(期初数据!$G$6:$G$155,期初数据!$E$6:$E$155,$A96,期初数据!$F$6:$F$155,"&lt;="&amp;首页!$B$7)+SUMIFS(销售录入!$Q$5:$Q$404,销售录入!$D$5:$D$404,$A96,销售录入!$U$5:$U$404,"&lt;="&amp;首页!$B$7)-SUMIFS(资金流水!$N$5:$N$504,资金流水!$G$5:$G$504,$A96,资金流水!$E$5:$E$504,"客户回款",资金流水!$B$5:$B$504,"&lt;="&amp;首页!$B$7)))-$K96-$J96-$I96)</f>
        <v/>
      </c>
      <c r="I96" s="44" t="str">
        <f aca="false">IF($A96="","",MIN($F96,MAX(0,SUMIFS(期初数据!$G$6:$G$155,期初数据!$E$6:$E$155,$A96,期初数据!$F$6:$F$155,"&lt;="&amp;首页!$B$7-30)+SUMIFS(销售录入!$Q$5:$Q$404,销售录入!$D$5:$D$404,$A96,销售录入!$U$5:$U$404,"&lt;="&amp;首页!$B$7-30)-SUMIFS(资金流水!$N$5:$N$504,资金流水!$G$5:$G$504,$A96,资金流水!$E$5:$E$504,"客户回款",资金流水!$B$5:$B$504,"&lt;="&amp;首页!$B$7)))-$K96-$J96)</f>
        <v/>
      </c>
      <c r="J96" s="44" t="str">
        <f aca="false">IF($A96="","",MIN($F96,MAX(0,SUMIFS(期初数据!$G$6:$G$155,期初数据!$E$6:$E$155,$A96,期初数据!$F$6:$F$155,"&lt;="&amp;首页!$B$7-60)+SUMIFS(销售录入!$Q$5:$Q$404,销售录入!$D$5:$D$404,$A96,销售录入!$U$5:$U$404,"&lt;="&amp;首页!$B$7-60)-SUMIFS(资金流水!$N$5:$N$504,资金流水!$G$5:$G$504,$A96,资金流水!$E$5:$E$504,"客户回款",资金流水!$B$5:$B$504,"&lt;="&amp;首页!$B$7)))-$K96)</f>
        <v/>
      </c>
      <c r="K96" s="44" t="str">
        <f aca="false">IF($A96="","",MIN($F96,MAX(0,SUMIFS(期初数据!$G$6:$G$155,期初数据!$E$6:$E$155,$A96,期初数据!$F$6:$F$155,"&lt;="&amp;首页!$B$7-90)+SUMIFS(销售录入!$Q$5:$Q$404,销售录入!$D$5:$D$404,$A96,销售录入!$U$5:$U$404,"&lt;="&amp;首页!$B$7-90)-SUMIFS(资金流水!$N$5:$N$504,资金流水!$G$5:$G$504,$A96,资金流水!$E$5:$E$504,"客户回款",资金流水!$B$5:$B$504,"&lt;="&amp;首页!$B$7))))</f>
        <v/>
      </c>
      <c r="L96" s="62" t="str">
        <f aca="false">IF($A96="","",$H96+$I96+$J96+$K96)</f>
        <v/>
      </c>
      <c r="M96" s="47" t="str">
        <f aca="false">IF($A96="","",IF($K96&gt;0,"高危",IF($J96&gt;0,"关注",IF($L96&gt;0,"提醒","正常"))))</f>
        <v/>
      </c>
      <c r="N96" s="42" t="str">
        <f aca="false">IF($A96="","",基础资料!$AA96)</f>
        <v/>
      </c>
    </row>
    <row r="97" customFormat="false" ht="15.75" hidden="false" customHeight="true" outlineLevel="0" collapsed="false">
      <c r="A97" s="35" t="str">
        <f aca="false">IF(基础资料!$Z97="","",基础资料!$Z97)</f>
        <v/>
      </c>
      <c r="B97" s="42" t="str">
        <f aca="false">IF($A97="","",N(基础资料!$AB97))</f>
        <v/>
      </c>
      <c r="C97" s="54" t="str">
        <f aca="false">IF($A97="","",SUMIFS(期初数据!$G$6:$G$155,期初数据!$E$6:$E$155,$A97,期初数据!$F$6:$F$155,"&lt;"&amp;首页!$B$6)+SUMIFS(销售录入!$Q$5:$Q$404,销售录入!$D$5:$D$404,$A97,销售录入!$B$5:$B$404,"&lt;"&amp;首页!$B$6)-SUMIFS(资金流水!$N$5:$N$504,资金流水!$G$5:$G$504,$A97,资金流水!$E$5:$E$504,"客户回款",资金流水!$B$5:$B$504,"&lt;"&amp;首页!$B$6))</f>
        <v/>
      </c>
      <c r="D97" s="54" t="str">
        <f aca="false">IF($A97="","",SUMIFS(销售录入!$Q$5:$Q$404,销售录入!$D$5:$D$404,$A97,销售录入!$C$5:$C$404,首页!$B$5))</f>
        <v/>
      </c>
      <c r="E97" s="54" t="str">
        <f aca="false">IF($A97="","",SUMIFS(资金流水!$N$5:$N$504,资金流水!$G$5:$G$504,$A97,资金流水!$E$5:$E$504,"客户回款",资金流水!$C$5:$C$504,首页!$B$5))</f>
        <v/>
      </c>
      <c r="F97" s="62" t="str">
        <f aca="false">IF($A97="","",$C97+$D97-$E97)</f>
        <v/>
      </c>
      <c r="G97" s="44" t="str">
        <f aca="false">IF($A97="","",$F97-$H97-$I97-$J97-$K97)</f>
        <v/>
      </c>
      <c r="H97" s="44" t="str">
        <f aca="false">IF($A97="","",MIN($F97,MAX(0,SUMIFS(期初数据!$G$6:$G$155,期初数据!$E$6:$E$155,$A97,期初数据!$F$6:$F$155,"&lt;="&amp;首页!$B$7)+SUMIFS(销售录入!$Q$5:$Q$404,销售录入!$D$5:$D$404,$A97,销售录入!$U$5:$U$404,"&lt;="&amp;首页!$B$7)-SUMIFS(资金流水!$N$5:$N$504,资金流水!$G$5:$G$504,$A97,资金流水!$E$5:$E$504,"客户回款",资金流水!$B$5:$B$504,"&lt;="&amp;首页!$B$7)))-$K97-$J97-$I97)</f>
        <v/>
      </c>
      <c r="I97" s="44" t="str">
        <f aca="false">IF($A97="","",MIN($F97,MAX(0,SUMIFS(期初数据!$G$6:$G$155,期初数据!$E$6:$E$155,$A97,期初数据!$F$6:$F$155,"&lt;="&amp;首页!$B$7-30)+SUMIFS(销售录入!$Q$5:$Q$404,销售录入!$D$5:$D$404,$A97,销售录入!$U$5:$U$404,"&lt;="&amp;首页!$B$7-30)-SUMIFS(资金流水!$N$5:$N$504,资金流水!$G$5:$G$504,$A97,资金流水!$E$5:$E$504,"客户回款",资金流水!$B$5:$B$504,"&lt;="&amp;首页!$B$7)))-$K97-$J97)</f>
        <v/>
      </c>
      <c r="J97" s="44" t="str">
        <f aca="false">IF($A97="","",MIN($F97,MAX(0,SUMIFS(期初数据!$G$6:$G$155,期初数据!$E$6:$E$155,$A97,期初数据!$F$6:$F$155,"&lt;="&amp;首页!$B$7-60)+SUMIFS(销售录入!$Q$5:$Q$404,销售录入!$D$5:$D$404,$A97,销售录入!$U$5:$U$404,"&lt;="&amp;首页!$B$7-60)-SUMIFS(资金流水!$N$5:$N$504,资金流水!$G$5:$G$504,$A97,资金流水!$E$5:$E$504,"客户回款",资金流水!$B$5:$B$504,"&lt;="&amp;首页!$B$7)))-$K97)</f>
        <v/>
      </c>
      <c r="K97" s="44" t="str">
        <f aca="false">IF($A97="","",MIN($F97,MAX(0,SUMIFS(期初数据!$G$6:$G$155,期初数据!$E$6:$E$155,$A97,期初数据!$F$6:$F$155,"&lt;="&amp;首页!$B$7-90)+SUMIFS(销售录入!$Q$5:$Q$404,销售录入!$D$5:$D$404,$A97,销售录入!$U$5:$U$404,"&lt;="&amp;首页!$B$7-90)-SUMIFS(资金流水!$N$5:$N$504,资金流水!$G$5:$G$504,$A97,资金流水!$E$5:$E$504,"客户回款",资金流水!$B$5:$B$504,"&lt;="&amp;首页!$B$7))))</f>
        <v/>
      </c>
      <c r="L97" s="62" t="str">
        <f aca="false">IF($A97="","",$H97+$I97+$J97+$K97)</f>
        <v/>
      </c>
      <c r="M97" s="47" t="str">
        <f aca="false">IF($A97="","",IF($K97&gt;0,"高危",IF($J97&gt;0,"关注",IF($L97&gt;0,"提醒","正常"))))</f>
        <v/>
      </c>
      <c r="N97" s="42" t="str">
        <f aca="false">IF($A97="","",基础资料!$AA97)</f>
        <v/>
      </c>
    </row>
    <row r="98" customFormat="false" ht="15.75" hidden="false" customHeight="true" outlineLevel="0" collapsed="false">
      <c r="A98" s="35" t="str">
        <f aca="false">IF(基础资料!$Z98="","",基础资料!$Z98)</f>
        <v/>
      </c>
      <c r="B98" s="42" t="str">
        <f aca="false">IF($A98="","",N(基础资料!$AB98))</f>
        <v/>
      </c>
      <c r="C98" s="54" t="str">
        <f aca="false">IF($A98="","",SUMIFS(期初数据!$G$6:$G$155,期初数据!$E$6:$E$155,$A98,期初数据!$F$6:$F$155,"&lt;"&amp;首页!$B$6)+SUMIFS(销售录入!$Q$5:$Q$404,销售录入!$D$5:$D$404,$A98,销售录入!$B$5:$B$404,"&lt;"&amp;首页!$B$6)-SUMIFS(资金流水!$N$5:$N$504,资金流水!$G$5:$G$504,$A98,资金流水!$E$5:$E$504,"客户回款",资金流水!$B$5:$B$504,"&lt;"&amp;首页!$B$6))</f>
        <v/>
      </c>
      <c r="D98" s="54" t="str">
        <f aca="false">IF($A98="","",SUMIFS(销售录入!$Q$5:$Q$404,销售录入!$D$5:$D$404,$A98,销售录入!$C$5:$C$404,首页!$B$5))</f>
        <v/>
      </c>
      <c r="E98" s="54" t="str">
        <f aca="false">IF($A98="","",SUMIFS(资金流水!$N$5:$N$504,资金流水!$G$5:$G$504,$A98,资金流水!$E$5:$E$504,"客户回款",资金流水!$C$5:$C$504,首页!$B$5))</f>
        <v/>
      </c>
      <c r="F98" s="62" t="str">
        <f aca="false">IF($A98="","",$C98+$D98-$E98)</f>
        <v/>
      </c>
      <c r="G98" s="44" t="str">
        <f aca="false">IF($A98="","",$F98-$H98-$I98-$J98-$K98)</f>
        <v/>
      </c>
      <c r="H98" s="44" t="str">
        <f aca="false">IF($A98="","",MIN($F98,MAX(0,SUMIFS(期初数据!$G$6:$G$155,期初数据!$E$6:$E$155,$A98,期初数据!$F$6:$F$155,"&lt;="&amp;首页!$B$7)+SUMIFS(销售录入!$Q$5:$Q$404,销售录入!$D$5:$D$404,$A98,销售录入!$U$5:$U$404,"&lt;="&amp;首页!$B$7)-SUMIFS(资金流水!$N$5:$N$504,资金流水!$G$5:$G$504,$A98,资金流水!$E$5:$E$504,"客户回款",资金流水!$B$5:$B$504,"&lt;="&amp;首页!$B$7)))-$K98-$J98-$I98)</f>
        <v/>
      </c>
      <c r="I98" s="44" t="str">
        <f aca="false">IF($A98="","",MIN($F98,MAX(0,SUMIFS(期初数据!$G$6:$G$155,期初数据!$E$6:$E$155,$A98,期初数据!$F$6:$F$155,"&lt;="&amp;首页!$B$7-30)+SUMIFS(销售录入!$Q$5:$Q$404,销售录入!$D$5:$D$404,$A98,销售录入!$U$5:$U$404,"&lt;="&amp;首页!$B$7-30)-SUMIFS(资金流水!$N$5:$N$504,资金流水!$G$5:$G$504,$A98,资金流水!$E$5:$E$504,"客户回款",资金流水!$B$5:$B$504,"&lt;="&amp;首页!$B$7)))-$K98-$J98)</f>
        <v/>
      </c>
      <c r="J98" s="44" t="str">
        <f aca="false">IF($A98="","",MIN($F98,MAX(0,SUMIFS(期初数据!$G$6:$G$155,期初数据!$E$6:$E$155,$A98,期初数据!$F$6:$F$155,"&lt;="&amp;首页!$B$7-60)+SUMIFS(销售录入!$Q$5:$Q$404,销售录入!$D$5:$D$404,$A98,销售录入!$U$5:$U$404,"&lt;="&amp;首页!$B$7-60)-SUMIFS(资金流水!$N$5:$N$504,资金流水!$G$5:$G$504,$A98,资金流水!$E$5:$E$504,"客户回款",资金流水!$B$5:$B$504,"&lt;="&amp;首页!$B$7)))-$K98)</f>
        <v/>
      </c>
      <c r="K98" s="44" t="str">
        <f aca="false">IF($A98="","",MIN($F98,MAX(0,SUMIFS(期初数据!$G$6:$G$155,期初数据!$E$6:$E$155,$A98,期初数据!$F$6:$F$155,"&lt;="&amp;首页!$B$7-90)+SUMIFS(销售录入!$Q$5:$Q$404,销售录入!$D$5:$D$404,$A98,销售录入!$U$5:$U$404,"&lt;="&amp;首页!$B$7-90)-SUMIFS(资金流水!$N$5:$N$504,资金流水!$G$5:$G$504,$A98,资金流水!$E$5:$E$504,"客户回款",资金流水!$B$5:$B$504,"&lt;="&amp;首页!$B$7))))</f>
        <v/>
      </c>
      <c r="L98" s="62" t="str">
        <f aca="false">IF($A98="","",$H98+$I98+$J98+$K98)</f>
        <v/>
      </c>
      <c r="M98" s="47" t="str">
        <f aca="false">IF($A98="","",IF($K98&gt;0,"高危",IF($J98&gt;0,"关注",IF($L98&gt;0,"提醒","正常"))))</f>
        <v/>
      </c>
      <c r="N98" s="42" t="str">
        <f aca="false">IF($A98="","",基础资料!$AA98)</f>
        <v/>
      </c>
    </row>
    <row r="99" customFormat="false" ht="15.75" hidden="false" customHeight="true" outlineLevel="0" collapsed="false">
      <c r="A99" s="35" t="str">
        <f aca="false">IF(基础资料!$Z99="","",基础资料!$Z99)</f>
        <v/>
      </c>
      <c r="B99" s="42" t="str">
        <f aca="false">IF($A99="","",N(基础资料!$AB99))</f>
        <v/>
      </c>
      <c r="C99" s="54" t="str">
        <f aca="false">IF($A99="","",SUMIFS(期初数据!$G$6:$G$155,期初数据!$E$6:$E$155,$A99,期初数据!$F$6:$F$155,"&lt;"&amp;首页!$B$6)+SUMIFS(销售录入!$Q$5:$Q$404,销售录入!$D$5:$D$404,$A99,销售录入!$B$5:$B$404,"&lt;"&amp;首页!$B$6)-SUMIFS(资金流水!$N$5:$N$504,资金流水!$G$5:$G$504,$A99,资金流水!$E$5:$E$504,"客户回款",资金流水!$B$5:$B$504,"&lt;"&amp;首页!$B$6))</f>
        <v/>
      </c>
      <c r="D99" s="54" t="str">
        <f aca="false">IF($A99="","",SUMIFS(销售录入!$Q$5:$Q$404,销售录入!$D$5:$D$404,$A99,销售录入!$C$5:$C$404,首页!$B$5))</f>
        <v/>
      </c>
      <c r="E99" s="54" t="str">
        <f aca="false">IF($A99="","",SUMIFS(资金流水!$N$5:$N$504,资金流水!$G$5:$G$504,$A99,资金流水!$E$5:$E$504,"客户回款",资金流水!$C$5:$C$504,首页!$B$5))</f>
        <v/>
      </c>
      <c r="F99" s="62" t="str">
        <f aca="false">IF($A99="","",$C99+$D99-$E99)</f>
        <v/>
      </c>
      <c r="G99" s="44" t="str">
        <f aca="false">IF($A99="","",$F99-$H99-$I99-$J99-$K99)</f>
        <v/>
      </c>
      <c r="H99" s="44" t="str">
        <f aca="false">IF($A99="","",MIN($F99,MAX(0,SUMIFS(期初数据!$G$6:$G$155,期初数据!$E$6:$E$155,$A99,期初数据!$F$6:$F$155,"&lt;="&amp;首页!$B$7)+SUMIFS(销售录入!$Q$5:$Q$404,销售录入!$D$5:$D$404,$A99,销售录入!$U$5:$U$404,"&lt;="&amp;首页!$B$7)-SUMIFS(资金流水!$N$5:$N$504,资金流水!$G$5:$G$504,$A99,资金流水!$E$5:$E$504,"客户回款",资金流水!$B$5:$B$504,"&lt;="&amp;首页!$B$7)))-$K99-$J99-$I99)</f>
        <v/>
      </c>
      <c r="I99" s="44" t="str">
        <f aca="false">IF($A99="","",MIN($F99,MAX(0,SUMIFS(期初数据!$G$6:$G$155,期初数据!$E$6:$E$155,$A99,期初数据!$F$6:$F$155,"&lt;="&amp;首页!$B$7-30)+SUMIFS(销售录入!$Q$5:$Q$404,销售录入!$D$5:$D$404,$A99,销售录入!$U$5:$U$404,"&lt;="&amp;首页!$B$7-30)-SUMIFS(资金流水!$N$5:$N$504,资金流水!$G$5:$G$504,$A99,资金流水!$E$5:$E$504,"客户回款",资金流水!$B$5:$B$504,"&lt;="&amp;首页!$B$7)))-$K99-$J99)</f>
        <v/>
      </c>
      <c r="J99" s="44" t="str">
        <f aca="false">IF($A99="","",MIN($F99,MAX(0,SUMIFS(期初数据!$G$6:$G$155,期初数据!$E$6:$E$155,$A99,期初数据!$F$6:$F$155,"&lt;="&amp;首页!$B$7-60)+SUMIFS(销售录入!$Q$5:$Q$404,销售录入!$D$5:$D$404,$A99,销售录入!$U$5:$U$404,"&lt;="&amp;首页!$B$7-60)-SUMIFS(资金流水!$N$5:$N$504,资金流水!$G$5:$G$504,$A99,资金流水!$E$5:$E$504,"客户回款",资金流水!$B$5:$B$504,"&lt;="&amp;首页!$B$7)))-$K99)</f>
        <v/>
      </c>
      <c r="K99" s="44" t="str">
        <f aca="false">IF($A99="","",MIN($F99,MAX(0,SUMIFS(期初数据!$G$6:$G$155,期初数据!$E$6:$E$155,$A99,期初数据!$F$6:$F$155,"&lt;="&amp;首页!$B$7-90)+SUMIFS(销售录入!$Q$5:$Q$404,销售录入!$D$5:$D$404,$A99,销售录入!$U$5:$U$404,"&lt;="&amp;首页!$B$7-90)-SUMIFS(资金流水!$N$5:$N$504,资金流水!$G$5:$G$504,$A99,资金流水!$E$5:$E$504,"客户回款",资金流水!$B$5:$B$504,"&lt;="&amp;首页!$B$7))))</f>
        <v/>
      </c>
      <c r="L99" s="62" t="str">
        <f aca="false">IF($A99="","",$H99+$I99+$J99+$K99)</f>
        <v/>
      </c>
      <c r="M99" s="47" t="str">
        <f aca="false">IF($A99="","",IF($K99&gt;0,"高危",IF($J99&gt;0,"关注",IF($L99&gt;0,"提醒","正常"))))</f>
        <v/>
      </c>
      <c r="N99" s="42" t="str">
        <f aca="false">IF($A99="","",基础资料!$AA99)</f>
        <v/>
      </c>
    </row>
    <row r="100" customFormat="false" ht="15.75" hidden="false" customHeight="true" outlineLevel="0" collapsed="false">
      <c r="A100" s="35" t="str">
        <f aca="false">IF(基础资料!$Z100="","",基础资料!$Z100)</f>
        <v/>
      </c>
      <c r="B100" s="42" t="str">
        <f aca="false">IF($A100="","",N(基础资料!$AB100))</f>
        <v/>
      </c>
      <c r="C100" s="54" t="str">
        <f aca="false">IF($A100="","",SUMIFS(期初数据!$G$6:$G$155,期初数据!$E$6:$E$155,$A100,期初数据!$F$6:$F$155,"&lt;"&amp;首页!$B$6)+SUMIFS(销售录入!$Q$5:$Q$404,销售录入!$D$5:$D$404,$A100,销售录入!$B$5:$B$404,"&lt;"&amp;首页!$B$6)-SUMIFS(资金流水!$N$5:$N$504,资金流水!$G$5:$G$504,$A100,资金流水!$E$5:$E$504,"客户回款",资金流水!$B$5:$B$504,"&lt;"&amp;首页!$B$6))</f>
        <v/>
      </c>
      <c r="D100" s="54" t="str">
        <f aca="false">IF($A100="","",SUMIFS(销售录入!$Q$5:$Q$404,销售录入!$D$5:$D$404,$A100,销售录入!$C$5:$C$404,首页!$B$5))</f>
        <v/>
      </c>
      <c r="E100" s="54" t="str">
        <f aca="false">IF($A100="","",SUMIFS(资金流水!$N$5:$N$504,资金流水!$G$5:$G$504,$A100,资金流水!$E$5:$E$504,"客户回款",资金流水!$C$5:$C$504,首页!$B$5))</f>
        <v/>
      </c>
      <c r="F100" s="62" t="str">
        <f aca="false">IF($A100="","",$C100+$D100-$E100)</f>
        <v/>
      </c>
      <c r="G100" s="44" t="str">
        <f aca="false">IF($A100="","",$F100-$H100-$I100-$J100-$K100)</f>
        <v/>
      </c>
      <c r="H100" s="44" t="str">
        <f aca="false">IF($A100="","",MIN($F100,MAX(0,SUMIFS(期初数据!$G$6:$G$155,期初数据!$E$6:$E$155,$A100,期初数据!$F$6:$F$155,"&lt;="&amp;首页!$B$7)+SUMIFS(销售录入!$Q$5:$Q$404,销售录入!$D$5:$D$404,$A100,销售录入!$U$5:$U$404,"&lt;="&amp;首页!$B$7)-SUMIFS(资金流水!$N$5:$N$504,资金流水!$G$5:$G$504,$A100,资金流水!$E$5:$E$504,"客户回款",资金流水!$B$5:$B$504,"&lt;="&amp;首页!$B$7)))-$K100-$J100-$I100)</f>
        <v/>
      </c>
      <c r="I100" s="44" t="str">
        <f aca="false">IF($A100="","",MIN($F100,MAX(0,SUMIFS(期初数据!$G$6:$G$155,期初数据!$E$6:$E$155,$A100,期初数据!$F$6:$F$155,"&lt;="&amp;首页!$B$7-30)+SUMIFS(销售录入!$Q$5:$Q$404,销售录入!$D$5:$D$404,$A100,销售录入!$U$5:$U$404,"&lt;="&amp;首页!$B$7-30)-SUMIFS(资金流水!$N$5:$N$504,资金流水!$G$5:$G$504,$A100,资金流水!$E$5:$E$504,"客户回款",资金流水!$B$5:$B$504,"&lt;="&amp;首页!$B$7)))-$K100-$J100)</f>
        <v/>
      </c>
      <c r="J100" s="44" t="str">
        <f aca="false">IF($A100="","",MIN($F100,MAX(0,SUMIFS(期初数据!$G$6:$G$155,期初数据!$E$6:$E$155,$A100,期初数据!$F$6:$F$155,"&lt;="&amp;首页!$B$7-60)+SUMIFS(销售录入!$Q$5:$Q$404,销售录入!$D$5:$D$404,$A100,销售录入!$U$5:$U$404,"&lt;="&amp;首页!$B$7-60)-SUMIFS(资金流水!$N$5:$N$504,资金流水!$G$5:$G$504,$A100,资金流水!$E$5:$E$504,"客户回款",资金流水!$B$5:$B$504,"&lt;="&amp;首页!$B$7)))-$K100)</f>
        <v/>
      </c>
      <c r="K100" s="44" t="str">
        <f aca="false">IF($A100="","",MIN($F100,MAX(0,SUMIFS(期初数据!$G$6:$G$155,期初数据!$E$6:$E$155,$A100,期初数据!$F$6:$F$155,"&lt;="&amp;首页!$B$7-90)+SUMIFS(销售录入!$Q$5:$Q$404,销售录入!$D$5:$D$404,$A100,销售录入!$U$5:$U$404,"&lt;="&amp;首页!$B$7-90)-SUMIFS(资金流水!$N$5:$N$504,资金流水!$G$5:$G$504,$A100,资金流水!$E$5:$E$504,"客户回款",资金流水!$B$5:$B$504,"&lt;="&amp;首页!$B$7))))</f>
        <v/>
      </c>
      <c r="L100" s="62" t="str">
        <f aca="false">IF($A100="","",$H100+$I100+$J100+$K100)</f>
        <v/>
      </c>
      <c r="M100" s="47" t="str">
        <f aca="false">IF($A100="","",IF($K100&gt;0,"高危",IF($J100&gt;0,"关注",IF($L100&gt;0,"提醒","正常"))))</f>
        <v/>
      </c>
      <c r="N100" s="42" t="str">
        <f aca="false">IF($A100="","",基础资料!$AA100)</f>
        <v/>
      </c>
    </row>
    <row r="101" customFormat="false" ht="15.75" hidden="false" customHeight="true" outlineLevel="0" collapsed="false">
      <c r="A101" s="35" t="str">
        <f aca="false">IF(基础资料!$Z101="","",基础资料!$Z101)</f>
        <v/>
      </c>
      <c r="B101" s="42" t="str">
        <f aca="false">IF($A101="","",N(基础资料!$AB101))</f>
        <v/>
      </c>
      <c r="C101" s="54" t="str">
        <f aca="false">IF($A101="","",SUMIFS(期初数据!$G$6:$G$155,期初数据!$E$6:$E$155,$A101,期初数据!$F$6:$F$155,"&lt;"&amp;首页!$B$6)+SUMIFS(销售录入!$Q$5:$Q$404,销售录入!$D$5:$D$404,$A101,销售录入!$B$5:$B$404,"&lt;"&amp;首页!$B$6)-SUMIFS(资金流水!$N$5:$N$504,资金流水!$G$5:$G$504,$A101,资金流水!$E$5:$E$504,"客户回款",资金流水!$B$5:$B$504,"&lt;"&amp;首页!$B$6))</f>
        <v/>
      </c>
      <c r="D101" s="54" t="str">
        <f aca="false">IF($A101="","",SUMIFS(销售录入!$Q$5:$Q$404,销售录入!$D$5:$D$404,$A101,销售录入!$C$5:$C$404,首页!$B$5))</f>
        <v/>
      </c>
      <c r="E101" s="54" t="str">
        <f aca="false">IF($A101="","",SUMIFS(资金流水!$N$5:$N$504,资金流水!$G$5:$G$504,$A101,资金流水!$E$5:$E$504,"客户回款",资金流水!$C$5:$C$504,首页!$B$5))</f>
        <v/>
      </c>
      <c r="F101" s="62" t="str">
        <f aca="false">IF($A101="","",$C101+$D101-$E101)</f>
        <v/>
      </c>
      <c r="G101" s="44" t="str">
        <f aca="false">IF($A101="","",$F101-$H101-$I101-$J101-$K101)</f>
        <v/>
      </c>
      <c r="H101" s="44" t="str">
        <f aca="false">IF($A101="","",MIN($F101,MAX(0,SUMIFS(期初数据!$G$6:$G$155,期初数据!$E$6:$E$155,$A101,期初数据!$F$6:$F$155,"&lt;="&amp;首页!$B$7)+SUMIFS(销售录入!$Q$5:$Q$404,销售录入!$D$5:$D$404,$A101,销售录入!$U$5:$U$404,"&lt;="&amp;首页!$B$7)-SUMIFS(资金流水!$N$5:$N$504,资金流水!$G$5:$G$504,$A101,资金流水!$E$5:$E$504,"客户回款",资金流水!$B$5:$B$504,"&lt;="&amp;首页!$B$7)))-$K101-$J101-$I101)</f>
        <v/>
      </c>
      <c r="I101" s="44" t="str">
        <f aca="false">IF($A101="","",MIN($F101,MAX(0,SUMIFS(期初数据!$G$6:$G$155,期初数据!$E$6:$E$155,$A101,期初数据!$F$6:$F$155,"&lt;="&amp;首页!$B$7-30)+SUMIFS(销售录入!$Q$5:$Q$404,销售录入!$D$5:$D$404,$A101,销售录入!$U$5:$U$404,"&lt;="&amp;首页!$B$7-30)-SUMIFS(资金流水!$N$5:$N$504,资金流水!$G$5:$G$504,$A101,资金流水!$E$5:$E$504,"客户回款",资金流水!$B$5:$B$504,"&lt;="&amp;首页!$B$7)))-$K101-$J101)</f>
        <v/>
      </c>
      <c r="J101" s="44" t="str">
        <f aca="false">IF($A101="","",MIN($F101,MAX(0,SUMIFS(期初数据!$G$6:$G$155,期初数据!$E$6:$E$155,$A101,期初数据!$F$6:$F$155,"&lt;="&amp;首页!$B$7-60)+SUMIFS(销售录入!$Q$5:$Q$404,销售录入!$D$5:$D$404,$A101,销售录入!$U$5:$U$404,"&lt;="&amp;首页!$B$7-60)-SUMIFS(资金流水!$N$5:$N$504,资金流水!$G$5:$G$504,$A101,资金流水!$E$5:$E$504,"客户回款",资金流水!$B$5:$B$504,"&lt;="&amp;首页!$B$7)))-$K101)</f>
        <v/>
      </c>
      <c r="K101" s="44" t="str">
        <f aca="false">IF($A101="","",MIN($F101,MAX(0,SUMIFS(期初数据!$G$6:$G$155,期初数据!$E$6:$E$155,$A101,期初数据!$F$6:$F$155,"&lt;="&amp;首页!$B$7-90)+SUMIFS(销售录入!$Q$5:$Q$404,销售录入!$D$5:$D$404,$A101,销售录入!$U$5:$U$404,"&lt;="&amp;首页!$B$7-90)-SUMIFS(资金流水!$N$5:$N$504,资金流水!$G$5:$G$504,$A101,资金流水!$E$5:$E$504,"客户回款",资金流水!$B$5:$B$504,"&lt;="&amp;首页!$B$7))))</f>
        <v/>
      </c>
      <c r="L101" s="62" t="str">
        <f aca="false">IF($A101="","",$H101+$I101+$J101+$K101)</f>
        <v/>
      </c>
      <c r="M101" s="47" t="str">
        <f aca="false">IF($A101="","",IF($K101&gt;0,"高危",IF($J101&gt;0,"关注",IF($L101&gt;0,"提醒","正常"))))</f>
        <v/>
      </c>
      <c r="N101" s="42" t="str">
        <f aca="false">IF($A101="","",基础资料!$AA101)</f>
        <v/>
      </c>
    </row>
    <row r="102" customFormat="false" ht="15.75" hidden="false" customHeight="true" outlineLevel="0" collapsed="false">
      <c r="A102" s="35" t="str">
        <f aca="false">IF(基础资料!$Z102="","",基础资料!$Z102)</f>
        <v/>
      </c>
      <c r="B102" s="42" t="str">
        <f aca="false">IF($A102="","",N(基础资料!$AB102))</f>
        <v/>
      </c>
      <c r="C102" s="54" t="str">
        <f aca="false">IF($A102="","",SUMIFS(期初数据!$G$6:$G$155,期初数据!$E$6:$E$155,$A102,期初数据!$F$6:$F$155,"&lt;"&amp;首页!$B$6)+SUMIFS(销售录入!$Q$5:$Q$404,销售录入!$D$5:$D$404,$A102,销售录入!$B$5:$B$404,"&lt;"&amp;首页!$B$6)-SUMIFS(资金流水!$N$5:$N$504,资金流水!$G$5:$G$504,$A102,资金流水!$E$5:$E$504,"客户回款",资金流水!$B$5:$B$504,"&lt;"&amp;首页!$B$6))</f>
        <v/>
      </c>
      <c r="D102" s="54" t="str">
        <f aca="false">IF($A102="","",SUMIFS(销售录入!$Q$5:$Q$404,销售录入!$D$5:$D$404,$A102,销售录入!$C$5:$C$404,首页!$B$5))</f>
        <v/>
      </c>
      <c r="E102" s="54" t="str">
        <f aca="false">IF($A102="","",SUMIFS(资金流水!$N$5:$N$504,资金流水!$G$5:$G$504,$A102,资金流水!$E$5:$E$504,"客户回款",资金流水!$C$5:$C$504,首页!$B$5))</f>
        <v/>
      </c>
      <c r="F102" s="62" t="str">
        <f aca="false">IF($A102="","",$C102+$D102-$E102)</f>
        <v/>
      </c>
      <c r="G102" s="44" t="str">
        <f aca="false">IF($A102="","",$F102-$H102-$I102-$J102-$K102)</f>
        <v/>
      </c>
      <c r="H102" s="44" t="str">
        <f aca="false">IF($A102="","",MIN($F102,MAX(0,SUMIFS(期初数据!$G$6:$G$155,期初数据!$E$6:$E$155,$A102,期初数据!$F$6:$F$155,"&lt;="&amp;首页!$B$7)+SUMIFS(销售录入!$Q$5:$Q$404,销售录入!$D$5:$D$404,$A102,销售录入!$U$5:$U$404,"&lt;="&amp;首页!$B$7)-SUMIFS(资金流水!$N$5:$N$504,资金流水!$G$5:$G$504,$A102,资金流水!$E$5:$E$504,"客户回款",资金流水!$B$5:$B$504,"&lt;="&amp;首页!$B$7)))-$K102-$J102-$I102)</f>
        <v/>
      </c>
      <c r="I102" s="44" t="str">
        <f aca="false">IF($A102="","",MIN($F102,MAX(0,SUMIFS(期初数据!$G$6:$G$155,期初数据!$E$6:$E$155,$A102,期初数据!$F$6:$F$155,"&lt;="&amp;首页!$B$7-30)+SUMIFS(销售录入!$Q$5:$Q$404,销售录入!$D$5:$D$404,$A102,销售录入!$U$5:$U$404,"&lt;="&amp;首页!$B$7-30)-SUMIFS(资金流水!$N$5:$N$504,资金流水!$G$5:$G$504,$A102,资金流水!$E$5:$E$504,"客户回款",资金流水!$B$5:$B$504,"&lt;="&amp;首页!$B$7)))-$K102-$J102)</f>
        <v/>
      </c>
      <c r="J102" s="44" t="str">
        <f aca="false">IF($A102="","",MIN($F102,MAX(0,SUMIFS(期初数据!$G$6:$G$155,期初数据!$E$6:$E$155,$A102,期初数据!$F$6:$F$155,"&lt;="&amp;首页!$B$7-60)+SUMIFS(销售录入!$Q$5:$Q$404,销售录入!$D$5:$D$404,$A102,销售录入!$U$5:$U$404,"&lt;="&amp;首页!$B$7-60)-SUMIFS(资金流水!$N$5:$N$504,资金流水!$G$5:$G$504,$A102,资金流水!$E$5:$E$504,"客户回款",资金流水!$B$5:$B$504,"&lt;="&amp;首页!$B$7)))-$K102)</f>
        <v/>
      </c>
      <c r="K102" s="44" t="str">
        <f aca="false">IF($A102="","",MIN($F102,MAX(0,SUMIFS(期初数据!$G$6:$G$155,期初数据!$E$6:$E$155,$A102,期初数据!$F$6:$F$155,"&lt;="&amp;首页!$B$7-90)+SUMIFS(销售录入!$Q$5:$Q$404,销售录入!$D$5:$D$404,$A102,销售录入!$U$5:$U$404,"&lt;="&amp;首页!$B$7-90)-SUMIFS(资金流水!$N$5:$N$504,资金流水!$G$5:$G$504,$A102,资金流水!$E$5:$E$504,"客户回款",资金流水!$B$5:$B$504,"&lt;="&amp;首页!$B$7))))</f>
        <v/>
      </c>
      <c r="L102" s="62" t="str">
        <f aca="false">IF($A102="","",$H102+$I102+$J102+$K102)</f>
        <v/>
      </c>
      <c r="M102" s="47" t="str">
        <f aca="false">IF($A102="","",IF($K102&gt;0,"高危",IF($J102&gt;0,"关注",IF($L102&gt;0,"提醒","正常"))))</f>
        <v/>
      </c>
      <c r="N102" s="42" t="str">
        <f aca="false">IF($A102="","",基础资料!$AA102)</f>
        <v/>
      </c>
    </row>
    <row r="103" customFormat="false" ht="15.75" hidden="false" customHeight="true" outlineLevel="0" collapsed="false">
      <c r="A103" s="35" t="str">
        <f aca="false">IF(基础资料!$Z103="","",基础资料!$Z103)</f>
        <v/>
      </c>
      <c r="B103" s="42" t="str">
        <f aca="false">IF($A103="","",N(基础资料!$AB103))</f>
        <v/>
      </c>
      <c r="C103" s="54" t="str">
        <f aca="false">IF($A103="","",SUMIFS(期初数据!$G$6:$G$155,期初数据!$E$6:$E$155,$A103,期初数据!$F$6:$F$155,"&lt;"&amp;首页!$B$6)+SUMIFS(销售录入!$Q$5:$Q$404,销售录入!$D$5:$D$404,$A103,销售录入!$B$5:$B$404,"&lt;"&amp;首页!$B$6)-SUMIFS(资金流水!$N$5:$N$504,资金流水!$G$5:$G$504,$A103,资金流水!$E$5:$E$504,"客户回款",资金流水!$B$5:$B$504,"&lt;"&amp;首页!$B$6))</f>
        <v/>
      </c>
      <c r="D103" s="54" t="str">
        <f aca="false">IF($A103="","",SUMIFS(销售录入!$Q$5:$Q$404,销售录入!$D$5:$D$404,$A103,销售录入!$C$5:$C$404,首页!$B$5))</f>
        <v/>
      </c>
      <c r="E103" s="54" t="str">
        <f aca="false">IF($A103="","",SUMIFS(资金流水!$N$5:$N$504,资金流水!$G$5:$G$504,$A103,资金流水!$E$5:$E$504,"客户回款",资金流水!$C$5:$C$504,首页!$B$5))</f>
        <v/>
      </c>
      <c r="F103" s="62" t="str">
        <f aca="false">IF($A103="","",$C103+$D103-$E103)</f>
        <v/>
      </c>
      <c r="G103" s="44" t="str">
        <f aca="false">IF($A103="","",$F103-$H103-$I103-$J103-$K103)</f>
        <v/>
      </c>
      <c r="H103" s="44" t="str">
        <f aca="false">IF($A103="","",MIN($F103,MAX(0,SUMIFS(期初数据!$G$6:$G$155,期初数据!$E$6:$E$155,$A103,期初数据!$F$6:$F$155,"&lt;="&amp;首页!$B$7)+SUMIFS(销售录入!$Q$5:$Q$404,销售录入!$D$5:$D$404,$A103,销售录入!$U$5:$U$404,"&lt;="&amp;首页!$B$7)-SUMIFS(资金流水!$N$5:$N$504,资金流水!$G$5:$G$504,$A103,资金流水!$E$5:$E$504,"客户回款",资金流水!$B$5:$B$504,"&lt;="&amp;首页!$B$7)))-$K103-$J103-$I103)</f>
        <v/>
      </c>
      <c r="I103" s="44" t="str">
        <f aca="false">IF($A103="","",MIN($F103,MAX(0,SUMIFS(期初数据!$G$6:$G$155,期初数据!$E$6:$E$155,$A103,期初数据!$F$6:$F$155,"&lt;="&amp;首页!$B$7-30)+SUMIFS(销售录入!$Q$5:$Q$404,销售录入!$D$5:$D$404,$A103,销售录入!$U$5:$U$404,"&lt;="&amp;首页!$B$7-30)-SUMIFS(资金流水!$N$5:$N$504,资金流水!$G$5:$G$504,$A103,资金流水!$E$5:$E$504,"客户回款",资金流水!$B$5:$B$504,"&lt;="&amp;首页!$B$7)))-$K103-$J103)</f>
        <v/>
      </c>
      <c r="J103" s="44" t="str">
        <f aca="false">IF($A103="","",MIN($F103,MAX(0,SUMIFS(期初数据!$G$6:$G$155,期初数据!$E$6:$E$155,$A103,期初数据!$F$6:$F$155,"&lt;="&amp;首页!$B$7-60)+SUMIFS(销售录入!$Q$5:$Q$404,销售录入!$D$5:$D$404,$A103,销售录入!$U$5:$U$404,"&lt;="&amp;首页!$B$7-60)-SUMIFS(资金流水!$N$5:$N$504,资金流水!$G$5:$G$504,$A103,资金流水!$E$5:$E$504,"客户回款",资金流水!$B$5:$B$504,"&lt;="&amp;首页!$B$7)))-$K103)</f>
        <v/>
      </c>
      <c r="K103" s="44" t="str">
        <f aca="false">IF($A103="","",MIN($F103,MAX(0,SUMIFS(期初数据!$G$6:$G$155,期初数据!$E$6:$E$155,$A103,期初数据!$F$6:$F$155,"&lt;="&amp;首页!$B$7-90)+SUMIFS(销售录入!$Q$5:$Q$404,销售录入!$D$5:$D$404,$A103,销售录入!$U$5:$U$404,"&lt;="&amp;首页!$B$7-90)-SUMIFS(资金流水!$N$5:$N$504,资金流水!$G$5:$G$504,$A103,资金流水!$E$5:$E$504,"客户回款",资金流水!$B$5:$B$504,"&lt;="&amp;首页!$B$7))))</f>
        <v/>
      </c>
      <c r="L103" s="62" t="str">
        <f aca="false">IF($A103="","",$H103+$I103+$J103+$K103)</f>
        <v/>
      </c>
      <c r="M103" s="47" t="str">
        <f aca="false">IF($A103="","",IF($K103&gt;0,"高危",IF($J103&gt;0,"关注",IF($L103&gt;0,"提醒","正常"))))</f>
        <v/>
      </c>
      <c r="N103" s="42" t="str">
        <f aca="false">IF($A103="","",基础资料!$AA103)</f>
        <v/>
      </c>
    </row>
    <row r="104" customFormat="false" ht="15.75" hidden="false" customHeight="true" outlineLevel="0" collapsed="false">
      <c r="A104" s="35" t="str">
        <f aca="false">IF(基础资料!$Z104="","",基础资料!$Z104)</f>
        <v/>
      </c>
      <c r="B104" s="42" t="str">
        <f aca="false">IF($A104="","",N(基础资料!$AB104))</f>
        <v/>
      </c>
      <c r="C104" s="54" t="str">
        <f aca="false">IF($A104="","",SUMIFS(期初数据!$G$6:$G$155,期初数据!$E$6:$E$155,$A104,期初数据!$F$6:$F$155,"&lt;"&amp;首页!$B$6)+SUMIFS(销售录入!$Q$5:$Q$404,销售录入!$D$5:$D$404,$A104,销售录入!$B$5:$B$404,"&lt;"&amp;首页!$B$6)-SUMIFS(资金流水!$N$5:$N$504,资金流水!$G$5:$G$504,$A104,资金流水!$E$5:$E$504,"客户回款",资金流水!$B$5:$B$504,"&lt;"&amp;首页!$B$6))</f>
        <v/>
      </c>
      <c r="D104" s="54" t="str">
        <f aca="false">IF($A104="","",SUMIFS(销售录入!$Q$5:$Q$404,销售录入!$D$5:$D$404,$A104,销售录入!$C$5:$C$404,首页!$B$5))</f>
        <v/>
      </c>
      <c r="E104" s="54" t="str">
        <f aca="false">IF($A104="","",SUMIFS(资金流水!$N$5:$N$504,资金流水!$G$5:$G$504,$A104,资金流水!$E$5:$E$504,"客户回款",资金流水!$C$5:$C$504,首页!$B$5))</f>
        <v/>
      </c>
      <c r="F104" s="62" t="str">
        <f aca="false">IF($A104="","",$C104+$D104-$E104)</f>
        <v/>
      </c>
      <c r="G104" s="44" t="str">
        <f aca="false">IF($A104="","",$F104-$H104-$I104-$J104-$K104)</f>
        <v/>
      </c>
      <c r="H104" s="44" t="str">
        <f aca="false">IF($A104="","",MIN($F104,MAX(0,SUMIFS(期初数据!$G$6:$G$155,期初数据!$E$6:$E$155,$A104,期初数据!$F$6:$F$155,"&lt;="&amp;首页!$B$7)+SUMIFS(销售录入!$Q$5:$Q$404,销售录入!$D$5:$D$404,$A104,销售录入!$U$5:$U$404,"&lt;="&amp;首页!$B$7)-SUMIFS(资金流水!$N$5:$N$504,资金流水!$G$5:$G$504,$A104,资金流水!$E$5:$E$504,"客户回款",资金流水!$B$5:$B$504,"&lt;="&amp;首页!$B$7)))-$K104-$J104-$I104)</f>
        <v/>
      </c>
      <c r="I104" s="44" t="str">
        <f aca="false">IF($A104="","",MIN($F104,MAX(0,SUMIFS(期初数据!$G$6:$G$155,期初数据!$E$6:$E$155,$A104,期初数据!$F$6:$F$155,"&lt;="&amp;首页!$B$7-30)+SUMIFS(销售录入!$Q$5:$Q$404,销售录入!$D$5:$D$404,$A104,销售录入!$U$5:$U$404,"&lt;="&amp;首页!$B$7-30)-SUMIFS(资金流水!$N$5:$N$504,资金流水!$G$5:$G$504,$A104,资金流水!$E$5:$E$504,"客户回款",资金流水!$B$5:$B$504,"&lt;="&amp;首页!$B$7)))-$K104-$J104)</f>
        <v/>
      </c>
      <c r="J104" s="44" t="str">
        <f aca="false">IF($A104="","",MIN($F104,MAX(0,SUMIFS(期初数据!$G$6:$G$155,期初数据!$E$6:$E$155,$A104,期初数据!$F$6:$F$155,"&lt;="&amp;首页!$B$7-60)+SUMIFS(销售录入!$Q$5:$Q$404,销售录入!$D$5:$D$404,$A104,销售录入!$U$5:$U$404,"&lt;="&amp;首页!$B$7-60)-SUMIFS(资金流水!$N$5:$N$504,资金流水!$G$5:$G$504,$A104,资金流水!$E$5:$E$504,"客户回款",资金流水!$B$5:$B$504,"&lt;="&amp;首页!$B$7)))-$K104)</f>
        <v/>
      </c>
      <c r="K104" s="44" t="str">
        <f aca="false">IF($A104="","",MIN($F104,MAX(0,SUMIFS(期初数据!$G$6:$G$155,期初数据!$E$6:$E$155,$A104,期初数据!$F$6:$F$155,"&lt;="&amp;首页!$B$7-90)+SUMIFS(销售录入!$Q$5:$Q$404,销售录入!$D$5:$D$404,$A104,销售录入!$U$5:$U$404,"&lt;="&amp;首页!$B$7-90)-SUMIFS(资金流水!$N$5:$N$504,资金流水!$G$5:$G$504,$A104,资金流水!$E$5:$E$504,"客户回款",资金流水!$B$5:$B$504,"&lt;="&amp;首页!$B$7))))</f>
        <v/>
      </c>
      <c r="L104" s="62" t="str">
        <f aca="false">IF($A104="","",$H104+$I104+$J104+$K104)</f>
        <v/>
      </c>
      <c r="M104" s="47" t="str">
        <f aca="false">IF($A104="","",IF($K104&gt;0,"高危",IF($J104&gt;0,"关注",IF($L104&gt;0,"提醒","正常"))))</f>
        <v/>
      </c>
      <c r="N104" s="42" t="str">
        <f aca="false">IF($A104="","",基础资料!$AA104)</f>
        <v/>
      </c>
    </row>
    <row r="105" customFormat="false" ht="15.75" hidden="false" customHeight="true" outlineLevel="0" collapsed="false">
      <c r="A105" s="35" t="str">
        <f aca="false">IF(基础资料!$Z105="","",基础资料!$Z105)</f>
        <v/>
      </c>
      <c r="B105" s="42" t="str">
        <f aca="false">IF($A105="","",N(基础资料!$AB105))</f>
        <v/>
      </c>
      <c r="C105" s="54" t="str">
        <f aca="false">IF($A105="","",SUMIFS(期初数据!$G$6:$G$155,期初数据!$E$6:$E$155,$A105,期初数据!$F$6:$F$155,"&lt;"&amp;首页!$B$6)+SUMIFS(销售录入!$Q$5:$Q$404,销售录入!$D$5:$D$404,$A105,销售录入!$B$5:$B$404,"&lt;"&amp;首页!$B$6)-SUMIFS(资金流水!$N$5:$N$504,资金流水!$G$5:$G$504,$A105,资金流水!$E$5:$E$504,"客户回款",资金流水!$B$5:$B$504,"&lt;"&amp;首页!$B$6))</f>
        <v/>
      </c>
      <c r="D105" s="54" t="str">
        <f aca="false">IF($A105="","",SUMIFS(销售录入!$Q$5:$Q$404,销售录入!$D$5:$D$404,$A105,销售录入!$C$5:$C$404,首页!$B$5))</f>
        <v/>
      </c>
      <c r="E105" s="54" t="str">
        <f aca="false">IF($A105="","",SUMIFS(资金流水!$N$5:$N$504,资金流水!$G$5:$G$504,$A105,资金流水!$E$5:$E$504,"客户回款",资金流水!$C$5:$C$504,首页!$B$5))</f>
        <v/>
      </c>
      <c r="F105" s="62" t="str">
        <f aca="false">IF($A105="","",$C105+$D105-$E105)</f>
        <v/>
      </c>
      <c r="G105" s="44" t="str">
        <f aca="false">IF($A105="","",$F105-$H105-$I105-$J105-$K105)</f>
        <v/>
      </c>
      <c r="H105" s="44" t="str">
        <f aca="false">IF($A105="","",MIN($F105,MAX(0,SUMIFS(期初数据!$G$6:$G$155,期初数据!$E$6:$E$155,$A105,期初数据!$F$6:$F$155,"&lt;="&amp;首页!$B$7)+SUMIFS(销售录入!$Q$5:$Q$404,销售录入!$D$5:$D$404,$A105,销售录入!$U$5:$U$404,"&lt;="&amp;首页!$B$7)-SUMIFS(资金流水!$N$5:$N$504,资金流水!$G$5:$G$504,$A105,资金流水!$E$5:$E$504,"客户回款",资金流水!$B$5:$B$504,"&lt;="&amp;首页!$B$7)))-$K105-$J105-$I105)</f>
        <v/>
      </c>
      <c r="I105" s="44" t="str">
        <f aca="false">IF($A105="","",MIN($F105,MAX(0,SUMIFS(期初数据!$G$6:$G$155,期初数据!$E$6:$E$155,$A105,期初数据!$F$6:$F$155,"&lt;="&amp;首页!$B$7-30)+SUMIFS(销售录入!$Q$5:$Q$404,销售录入!$D$5:$D$404,$A105,销售录入!$U$5:$U$404,"&lt;="&amp;首页!$B$7-30)-SUMIFS(资金流水!$N$5:$N$504,资金流水!$G$5:$G$504,$A105,资金流水!$E$5:$E$504,"客户回款",资金流水!$B$5:$B$504,"&lt;="&amp;首页!$B$7)))-$K105-$J105)</f>
        <v/>
      </c>
      <c r="J105" s="44" t="str">
        <f aca="false">IF($A105="","",MIN($F105,MAX(0,SUMIFS(期初数据!$G$6:$G$155,期初数据!$E$6:$E$155,$A105,期初数据!$F$6:$F$155,"&lt;="&amp;首页!$B$7-60)+SUMIFS(销售录入!$Q$5:$Q$404,销售录入!$D$5:$D$404,$A105,销售录入!$U$5:$U$404,"&lt;="&amp;首页!$B$7-60)-SUMIFS(资金流水!$N$5:$N$504,资金流水!$G$5:$G$504,$A105,资金流水!$E$5:$E$504,"客户回款",资金流水!$B$5:$B$504,"&lt;="&amp;首页!$B$7)))-$K105)</f>
        <v/>
      </c>
      <c r="K105" s="44" t="str">
        <f aca="false">IF($A105="","",MIN($F105,MAX(0,SUMIFS(期初数据!$G$6:$G$155,期初数据!$E$6:$E$155,$A105,期初数据!$F$6:$F$155,"&lt;="&amp;首页!$B$7-90)+SUMIFS(销售录入!$Q$5:$Q$404,销售录入!$D$5:$D$404,$A105,销售录入!$U$5:$U$404,"&lt;="&amp;首页!$B$7-90)-SUMIFS(资金流水!$N$5:$N$504,资金流水!$G$5:$G$504,$A105,资金流水!$E$5:$E$504,"客户回款",资金流水!$B$5:$B$504,"&lt;="&amp;首页!$B$7))))</f>
        <v/>
      </c>
      <c r="L105" s="62" t="str">
        <f aca="false">IF($A105="","",$H105+$I105+$J105+$K105)</f>
        <v/>
      </c>
      <c r="M105" s="47" t="str">
        <f aca="false">IF($A105="","",IF($K105&gt;0,"高危",IF($J105&gt;0,"关注",IF($L105&gt;0,"提醒","正常"))))</f>
        <v/>
      </c>
      <c r="N105" s="42" t="str">
        <f aca="false">IF($A105="","",基础资料!$AA105)</f>
        <v/>
      </c>
    </row>
    <row r="106" customFormat="false" ht="15.75" hidden="false" customHeight="true" outlineLevel="0" collapsed="false">
      <c r="A106" s="35" t="str">
        <f aca="false">IF(基础资料!$Z106="","",基础资料!$Z106)</f>
        <v/>
      </c>
      <c r="B106" s="42" t="str">
        <f aca="false">IF($A106="","",N(基础资料!$AB106))</f>
        <v/>
      </c>
      <c r="C106" s="54" t="str">
        <f aca="false">IF($A106="","",SUMIFS(期初数据!$G$6:$G$155,期初数据!$E$6:$E$155,$A106,期初数据!$F$6:$F$155,"&lt;"&amp;首页!$B$6)+SUMIFS(销售录入!$Q$5:$Q$404,销售录入!$D$5:$D$404,$A106,销售录入!$B$5:$B$404,"&lt;"&amp;首页!$B$6)-SUMIFS(资金流水!$N$5:$N$504,资金流水!$G$5:$G$504,$A106,资金流水!$E$5:$E$504,"客户回款",资金流水!$B$5:$B$504,"&lt;"&amp;首页!$B$6))</f>
        <v/>
      </c>
      <c r="D106" s="54" t="str">
        <f aca="false">IF($A106="","",SUMIFS(销售录入!$Q$5:$Q$404,销售录入!$D$5:$D$404,$A106,销售录入!$C$5:$C$404,首页!$B$5))</f>
        <v/>
      </c>
      <c r="E106" s="54" t="str">
        <f aca="false">IF($A106="","",SUMIFS(资金流水!$N$5:$N$504,资金流水!$G$5:$G$504,$A106,资金流水!$E$5:$E$504,"客户回款",资金流水!$C$5:$C$504,首页!$B$5))</f>
        <v/>
      </c>
      <c r="F106" s="62" t="str">
        <f aca="false">IF($A106="","",$C106+$D106-$E106)</f>
        <v/>
      </c>
      <c r="G106" s="44" t="str">
        <f aca="false">IF($A106="","",$F106-$H106-$I106-$J106-$K106)</f>
        <v/>
      </c>
      <c r="H106" s="44" t="str">
        <f aca="false">IF($A106="","",MIN($F106,MAX(0,SUMIFS(期初数据!$G$6:$G$155,期初数据!$E$6:$E$155,$A106,期初数据!$F$6:$F$155,"&lt;="&amp;首页!$B$7)+SUMIFS(销售录入!$Q$5:$Q$404,销售录入!$D$5:$D$404,$A106,销售录入!$U$5:$U$404,"&lt;="&amp;首页!$B$7)-SUMIFS(资金流水!$N$5:$N$504,资金流水!$G$5:$G$504,$A106,资金流水!$E$5:$E$504,"客户回款",资金流水!$B$5:$B$504,"&lt;="&amp;首页!$B$7)))-$K106-$J106-$I106)</f>
        <v/>
      </c>
      <c r="I106" s="44" t="str">
        <f aca="false">IF($A106="","",MIN($F106,MAX(0,SUMIFS(期初数据!$G$6:$G$155,期初数据!$E$6:$E$155,$A106,期初数据!$F$6:$F$155,"&lt;="&amp;首页!$B$7-30)+SUMIFS(销售录入!$Q$5:$Q$404,销售录入!$D$5:$D$404,$A106,销售录入!$U$5:$U$404,"&lt;="&amp;首页!$B$7-30)-SUMIFS(资金流水!$N$5:$N$504,资金流水!$G$5:$G$504,$A106,资金流水!$E$5:$E$504,"客户回款",资金流水!$B$5:$B$504,"&lt;="&amp;首页!$B$7)))-$K106-$J106)</f>
        <v/>
      </c>
      <c r="J106" s="44" t="str">
        <f aca="false">IF($A106="","",MIN($F106,MAX(0,SUMIFS(期初数据!$G$6:$G$155,期初数据!$E$6:$E$155,$A106,期初数据!$F$6:$F$155,"&lt;="&amp;首页!$B$7-60)+SUMIFS(销售录入!$Q$5:$Q$404,销售录入!$D$5:$D$404,$A106,销售录入!$U$5:$U$404,"&lt;="&amp;首页!$B$7-60)-SUMIFS(资金流水!$N$5:$N$504,资金流水!$G$5:$G$504,$A106,资金流水!$E$5:$E$504,"客户回款",资金流水!$B$5:$B$504,"&lt;="&amp;首页!$B$7)))-$K106)</f>
        <v/>
      </c>
      <c r="K106" s="44" t="str">
        <f aca="false">IF($A106="","",MIN($F106,MAX(0,SUMIFS(期初数据!$G$6:$G$155,期初数据!$E$6:$E$155,$A106,期初数据!$F$6:$F$155,"&lt;="&amp;首页!$B$7-90)+SUMIFS(销售录入!$Q$5:$Q$404,销售录入!$D$5:$D$404,$A106,销售录入!$U$5:$U$404,"&lt;="&amp;首页!$B$7-90)-SUMIFS(资金流水!$N$5:$N$504,资金流水!$G$5:$G$504,$A106,资金流水!$E$5:$E$504,"客户回款",资金流水!$B$5:$B$504,"&lt;="&amp;首页!$B$7))))</f>
        <v/>
      </c>
      <c r="L106" s="62" t="str">
        <f aca="false">IF($A106="","",$H106+$I106+$J106+$K106)</f>
        <v/>
      </c>
      <c r="M106" s="47" t="str">
        <f aca="false">IF($A106="","",IF($K106&gt;0,"高危",IF($J106&gt;0,"关注",IF($L106&gt;0,"提醒","正常"))))</f>
        <v/>
      </c>
      <c r="N106" s="42" t="str">
        <f aca="false">IF($A106="","",基础资料!$AA106)</f>
        <v/>
      </c>
    </row>
    <row r="107" customFormat="false" ht="15.75" hidden="false" customHeight="true" outlineLevel="0" collapsed="false">
      <c r="A107" s="35" t="str">
        <f aca="false">IF(基础资料!$Z107="","",基础资料!$Z107)</f>
        <v/>
      </c>
      <c r="B107" s="42" t="str">
        <f aca="false">IF($A107="","",N(基础资料!$AB107))</f>
        <v/>
      </c>
      <c r="C107" s="54" t="str">
        <f aca="false">IF($A107="","",SUMIFS(期初数据!$G$6:$G$155,期初数据!$E$6:$E$155,$A107,期初数据!$F$6:$F$155,"&lt;"&amp;首页!$B$6)+SUMIFS(销售录入!$Q$5:$Q$404,销售录入!$D$5:$D$404,$A107,销售录入!$B$5:$B$404,"&lt;"&amp;首页!$B$6)-SUMIFS(资金流水!$N$5:$N$504,资金流水!$G$5:$G$504,$A107,资金流水!$E$5:$E$504,"客户回款",资金流水!$B$5:$B$504,"&lt;"&amp;首页!$B$6))</f>
        <v/>
      </c>
      <c r="D107" s="54" t="str">
        <f aca="false">IF($A107="","",SUMIFS(销售录入!$Q$5:$Q$404,销售录入!$D$5:$D$404,$A107,销售录入!$C$5:$C$404,首页!$B$5))</f>
        <v/>
      </c>
      <c r="E107" s="54" t="str">
        <f aca="false">IF($A107="","",SUMIFS(资金流水!$N$5:$N$504,资金流水!$G$5:$G$504,$A107,资金流水!$E$5:$E$504,"客户回款",资金流水!$C$5:$C$504,首页!$B$5))</f>
        <v/>
      </c>
      <c r="F107" s="62" t="str">
        <f aca="false">IF($A107="","",$C107+$D107-$E107)</f>
        <v/>
      </c>
      <c r="G107" s="44" t="str">
        <f aca="false">IF($A107="","",$F107-$H107-$I107-$J107-$K107)</f>
        <v/>
      </c>
      <c r="H107" s="44" t="str">
        <f aca="false">IF($A107="","",MIN($F107,MAX(0,SUMIFS(期初数据!$G$6:$G$155,期初数据!$E$6:$E$155,$A107,期初数据!$F$6:$F$155,"&lt;="&amp;首页!$B$7)+SUMIFS(销售录入!$Q$5:$Q$404,销售录入!$D$5:$D$404,$A107,销售录入!$U$5:$U$404,"&lt;="&amp;首页!$B$7)-SUMIFS(资金流水!$N$5:$N$504,资金流水!$G$5:$G$504,$A107,资金流水!$E$5:$E$504,"客户回款",资金流水!$B$5:$B$504,"&lt;="&amp;首页!$B$7)))-$K107-$J107-$I107)</f>
        <v/>
      </c>
      <c r="I107" s="44" t="str">
        <f aca="false">IF($A107="","",MIN($F107,MAX(0,SUMIFS(期初数据!$G$6:$G$155,期初数据!$E$6:$E$155,$A107,期初数据!$F$6:$F$155,"&lt;="&amp;首页!$B$7-30)+SUMIFS(销售录入!$Q$5:$Q$404,销售录入!$D$5:$D$404,$A107,销售录入!$U$5:$U$404,"&lt;="&amp;首页!$B$7-30)-SUMIFS(资金流水!$N$5:$N$504,资金流水!$G$5:$G$504,$A107,资金流水!$E$5:$E$504,"客户回款",资金流水!$B$5:$B$504,"&lt;="&amp;首页!$B$7)))-$K107-$J107)</f>
        <v/>
      </c>
      <c r="J107" s="44" t="str">
        <f aca="false">IF($A107="","",MIN($F107,MAX(0,SUMIFS(期初数据!$G$6:$G$155,期初数据!$E$6:$E$155,$A107,期初数据!$F$6:$F$155,"&lt;="&amp;首页!$B$7-60)+SUMIFS(销售录入!$Q$5:$Q$404,销售录入!$D$5:$D$404,$A107,销售录入!$U$5:$U$404,"&lt;="&amp;首页!$B$7-60)-SUMIFS(资金流水!$N$5:$N$504,资金流水!$G$5:$G$504,$A107,资金流水!$E$5:$E$504,"客户回款",资金流水!$B$5:$B$504,"&lt;="&amp;首页!$B$7)))-$K107)</f>
        <v/>
      </c>
      <c r="K107" s="44" t="str">
        <f aca="false">IF($A107="","",MIN($F107,MAX(0,SUMIFS(期初数据!$G$6:$G$155,期初数据!$E$6:$E$155,$A107,期初数据!$F$6:$F$155,"&lt;="&amp;首页!$B$7-90)+SUMIFS(销售录入!$Q$5:$Q$404,销售录入!$D$5:$D$404,$A107,销售录入!$U$5:$U$404,"&lt;="&amp;首页!$B$7-90)-SUMIFS(资金流水!$N$5:$N$504,资金流水!$G$5:$G$504,$A107,资金流水!$E$5:$E$504,"客户回款",资金流水!$B$5:$B$504,"&lt;="&amp;首页!$B$7))))</f>
        <v/>
      </c>
      <c r="L107" s="62" t="str">
        <f aca="false">IF($A107="","",$H107+$I107+$J107+$K107)</f>
        <v/>
      </c>
      <c r="M107" s="47" t="str">
        <f aca="false">IF($A107="","",IF($K107&gt;0,"高危",IF($J107&gt;0,"关注",IF($L107&gt;0,"提醒","正常"))))</f>
        <v/>
      </c>
      <c r="N107" s="42" t="str">
        <f aca="false">IF($A107="","",基础资料!$AA107)</f>
        <v/>
      </c>
    </row>
    <row r="108" customFormat="false" ht="15.75" hidden="false" customHeight="true" outlineLevel="0" collapsed="false">
      <c r="A108" s="35" t="str">
        <f aca="false">IF(基础资料!$Z108="","",基础资料!$Z108)</f>
        <v/>
      </c>
      <c r="B108" s="42" t="str">
        <f aca="false">IF($A108="","",N(基础资料!$AB108))</f>
        <v/>
      </c>
      <c r="C108" s="54" t="str">
        <f aca="false">IF($A108="","",SUMIFS(期初数据!$G$6:$G$155,期初数据!$E$6:$E$155,$A108,期初数据!$F$6:$F$155,"&lt;"&amp;首页!$B$6)+SUMIFS(销售录入!$Q$5:$Q$404,销售录入!$D$5:$D$404,$A108,销售录入!$B$5:$B$404,"&lt;"&amp;首页!$B$6)-SUMIFS(资金流水!$N$5:$N$504,资金流水!$G$5:$G$504,$A108,资金流水!$E$5:$E$504,"客户回款",资金流水!$B$5:$B$504,"&lt;"&amp;首页!$B$6))</f>
        <v/>
      </c>
      <c r="D108" s="54" t="str">
        <f aca="false">IF($A108="","",SUMIFS(销售录入!$Q$5:$Q$404,销售录入!$D$5:$D$404,$A108,销售录入!$C$5:$C$404,首页!$B$5))</f>
        <v/>
      </c>
      <c r="E108" s="54" t="str">
        <f aca="false">IF($A108="","",SUMIFS(资金流水!$N$5:$N$504,资金流水!$G$5:$G$504,$A108,资金流水!$E$5:$E$504,"客户回款",资金流水!$C$5:$C$504,首页!$B$5))</f>
        <v/>
      </c>
      <c r="F108" s="62" t="str">
        <f aca="false">IF($A108="","",$C108+$D108-$E108)</f>
        <v/>
      </c>
      <c r="G108" s="44" t="str">
        <f aca="false">IF($A108="","",$F108-$H108-$I108-$J108-$K108)</f>
        <v/>
      </c>
      <c r="H108" s="44" t="str">
        <f aca="false">IF($A108="","",MIN($F108,MAX(0,SUMIFS(期初数据!$G$6:$G$155,期初数据!$E$6:$E$155,$A108,期初数据!$F$6:$F$155,"&lt;="&amp;首页!$B$7)+SUMIFS(销售录入!$Q$5:$Q$404,销售录入!$D$5:$D$404,$A108,销售录入!$U$5:$U$404,"&lt;="&amp;首页!$B$7)-SUMIFS(资金流水!$N$5:$N$504,资金流水!$G$5:$G$504,$A108,资金流水!$E$5:$E$504,"客户回款",资金流水!$B$5:$B$504,"&lt;="&amp;首页!$B$7)))-$K108-$J108-$I108)</f>
        <v/>
      </c>
      <c r="I108" s="44" t="str">
        <f aca="false">IF($A108="","",MIN($F108,MAX(0,SUMIFS(期初数据!$G$6:$G$155,期初数据!$E$6:$E$155,$A108,期初数据!$F$6:$F$155,"&lt;="&amp;首页!$B$7-30)+SUMIFS(销售录入!$Q$5:$Q$404,销售录入!$D$5:$D$404,$A108,销售录入!$U$5:$U$404,"&lt;="&amp;首页!$B$7-30)-SUMIFS(资金流水!$N$5:$N$504,资金流水!$G$5:$G$504,$A108,资金流水!$E$5:$E$504,"客户回款",资金流水!$B$5:$B$504,"&lt;="&amp;首页!$B$7)))-$K108-$J108)</f>
        <v/>
      </c>
      <c r="J108" s="44" t="str">
        <f aca="false">IF($A108="","",MIN($F108,MAX(0,SUMIFS(期初数据!$G$6:$G$155,期初数据!$E$6:$E$155,$A108,期初数据!$F$6:$F$155,"&lt;="&amp;首页!$B$7-60)+SUMIFS(销售录入!$Q$5:$Q$404,销售录入!$D$5:$D$404,$A108,销售录入!$U$5:$U$404,"&lt;="&amp;首页!$B$7-60)-SUMIFS(资金流水!$N$5:$N$504,资金流水!$G$5:$G$504,$A108,资金流水!$E$5:$E$504,"客户回款",资金流水!$B$5:$B$504,"&lt;="&amp;首页!$B$7)))-$K108)</f>
        <v/>
      </c>
      <c r="K108" s="44" t="str">
        <f aca="false">IF($A108="","",MIN($F108,MAX(0,SUMIFS(期初数据!$G$6:$G$155,期初数据!$E$6:$E$155,$A108,期初数据!$F$6:$F$155,"&lt;="&amp;首页!$B$7-90)+SUMIFS(销售录入!$Q$5:$Q$404,销售录入!$D$5:$D$404,$A108,销售录入!$U$5:$U$404,"&lt;="&amp;首页!$B$7-90)-SUMIFS(资金流水!$N$5:$N$504,资金流水!$G$5:$G$504,$A108,资金流水!$E$5:$E$504,"客户回款",资金流水!$B$5:$B$504,"&lt;="&amp;首页!$B$7))))</f>
        <v/>
      </c>
      <c r="L108" s="62" t="str">
        <f aca="false">IF($A108="","",$H108+$I108+$J108+$K108)</f>
        <v/>
      </c>
      <c r="M108" s="47" t="str">
        <f aca="false">IF($A108="","",IF($K108&gt;0,"高危",IF($J108&gt;0,"关注",IF($L108&gt;0,"提醒","正常"))))</f>
        <v/>
      </c>
      <c r="N108" s="42" t="str">
        <f aca="false">IF($A108="","",基础资料!$AA108)</f>
        <v/>
      </c>
    </row>
    <row r="109" customFormat="false" ht="15.75" hidden="false" customHeight="true" outlineLevel="0" collapsed="false">
      <c r="A109" s="35" t="str">
        <f aca="false">IF(基础资料!$Z109="","",基础资料!$Z109)</f>
        <v/>
      </c>
      <c r="B109" s="42" t="str">
        <f aca="false">IF($A109="","",N(基础资料!$AB109))</f>
        <v/>
      </c>
      <c r="C109" s="54" t="str">
        <f aca="false">IF($A109="","",SUMIFS(期初数据!$G$6:$G$155,期初数据!$E$6:$E$155,$A109,期初数据!$F$6:$F$155,"&lt;"&amp;首页!$B$6)+SUMIFS(销售录入!$Q$5:$Q$404,销售录入!$D$5:$D$404,$A109,销售录入!$B$5:$B$404,"&lt;"&amp;首页!$B$6)-SUMIFS(资金流水!$N$5:$N$504,资金流水!$G$5:$G$504,$A109,资金流水!$E$5:$E$504,"客户回款",资金流水!$B$5:$B$504,"&lt;"&amp;首页!$B$6))</f>
        <v/>
      </c>
      <c r="D109" s="54" t="str">
        <f aca="false">IF($A109="","",SUMIFS(销售录入!$Q$5:$Q$404,销售录入!$D$5:$D$404,$A109,销售录入!$C$5:$C$404,首页!$B$5))</f>
        <v/>
      </c>
      <c r="E109" s="54" t="str">
        <f aca="false">IF($A109="","",SUMIFS(资金流水!$N$5:$N$504,资金流水!$G$5:$G$504,$A109,资金流水!$E$5:$E$504,"客户回款",资金流水!$C$5:$C$504,首页!$B$5))</f>
        <v/>
      </c>
      <c r="F109" s="62" t="str">
        <f aca="false">IF($A109="","",$C109+$D109-$E109)</f>
        <v/>
      </c>
      <c r="G109" s="44" t="str">
        <f aca="false">IF($A109="","",$F109-$H109-$I109-$J109-$K109)</f>
        <v/>
      </c>
      <c r="H109" s="44" t="str">
        <f aca="false">IF($A109="","",MIN($F109,MAX(0,SUMIFS(期初数据!$G$6:$G$155,期初数据!$E$6:$E$155,$A109,期初数据!$F$6:$F$155,"&lt;="&amp;首页!$B$7)+SUMIFS(销售录入!$Q$5:$Q$404,销售录入!$D$5:$D$404,$A109,销售录入!$U$5:$U$404,"&lt;="&amp;首页!$B$7)-SUMIFS(资金流水!$N$5:$N$504,资金流水!$G$5:$G$504,$A109,资金流水!$E$5:$E$504,"客户回款",资金流水!$B$5:$B$504,"&lt;="&amp;首页!$B$7)))-$K109-$J109-$I109)</f>
        <v/>
      </c>
      <c r="I109" s="44" t="str">
        <f aca="false">IF($A109="","",MIN($F109,MAX(0,SUMIFS(期初数据!$G$6:$G$155,期初数据!$E$6:$E$155,$A109,期初数据!$F$6:$F$155,"&lt;="&amp;首页!$B$7-30)+SUMIFS(销售录入!$Q$5:$Q$404,销售录入!$D$5:$D$404,$A109,销售录入!$U$5:$U$404,"&lt;="&amp;首页!$B$7-30)-SUMIFS(资金流水!$N$5:$N$504,资金流水!$G$5:$G$504,$A109,资金流水!$E$5:$E$504,"客户回款",资金流水!$B$5:$B$504,"&lt;="&amp;首页!$B$7)))-$K109-$J109)</f>
        <v/>
      </c>
      <c r="J109" s="44" t="str">
        <f aca="false">IF($A109="","",MIN($F109,MAX(0,SUMIFS(期初数据!$G$6:$G$155,期初数据!$E$6:$E$155,$A109,期初数据!$F$6:$F$155,"&lt;="&amp;首页!$B$7-60)+SUMIFS(销售录入!$Q$5:$Q$404,销售录入!$D$5:$D$404,$A109,销售录入!$U$5:$U$404,"&lt;="&amp;首页!$B$7-60)-SUMIFS(资金流水!$N$5:$N$504,资金流水!$G$5:$G$504,$A109,资金流水!$E$5:$E$504,"客户回款",资金流水!$B$5:$B$504,"&lt;="&amp;首页!$B$7)))-$K109)</f>
        <v/>
      </c>
      <c r="K109" s="44" t="str">
        <f aca="false">IF($A109="","",MIN($F109,MAX(0,SUMIFS(期初数据!$G$6:$G$155,期初数据!$E$6:$E$155,$A109,期初数据!$F$6:$F$155,"&lt;="&amp;首页!$B$7-90)+SUMIFS(销售录入!$Q$5:$Q$404,销售录入!$D$5:$D$404,$A109,销售录入!$U$5:$U$404,"&lt;="&amp;首页!$B$7-90)-SUMIFS(资金流水!$N$5:$N$504,资金流水!$G$5:$G$504,$A109,资金流水!$E$5:$E$504,"客户回款",资金流水!$B$5:$B$504,"&lt;="&amp;首页!$B$7))))</f>
        <v/>
      </c>
      <c r="L109" s="62" t="str">
        <f aca="false">IF($A109="","",$H109+$I109+$J109+$K109)</f>
        <v/>
      </c>
      <c r="M109" s="47" t="str">
        <f aca="false">IF($A109="","",IF($K109&gt;0,"高危",IF($J109&gt;0,"关注",IF($L109&gt;0,"提醒","正常"))))</f>
        <v/>
      </c>
      <c r="N109" s="42" t="str">
        <f aca="false">IF($A109="","",基础资料!$AA109)</f>
        <v/>
      </c>
    </row>
    <row r="110" customFormat="false" ht="15.75" hidden="false" customHeight="true" outlineLevel="0" collapsed="false">
      <c r="A110" s="35" t="str">
        <f aca="false">IF(基础资料!$Z110="","",基础资料!$Z110)</f>
        <v/>
      </c>
      <c r="B110" s="42" t="str">
        <f aca="false">IF($A110="","",N(基础资料!$AB110))</f>
        <v/>
      </c>
      <c r="C110" s="54" t="str">
        <f aca="false">IF($A110="","",SUMIFS(期初数据!$G$6:$G$155,期初数据!$E$6:$E$155,$A110,期初数据!$F$6:$F$155,"&lt;"&amp;首页!$B$6)+SUMIFS(销售录入!$Q$5:$Q$404,销售录入!$D$5:$D$404,$A110,销售录入!$B$5:$B$404,"&lt;"&amp;首页!$B$6)-SUMIFS(资金流水!$N$5:$N$504,资金流水!$G$5:$G$504,$A110,资金流水!$E$5:$E$504,"客户回款",资金流水!$B$5:$B$504,"&lt;"&amp;首页!$B$6))</f>
        <v/>
      </c>
      <c r="D110" s="54" t="str">
        <f aca="false">IF($A110="","",SUMIFS(销售录入!$Q$5:$Q$404,销售录入!$D$5:$D$404,$A110,销售录入!$C$5:$C$404,首页!$B$5))</f>
        <v/>
      </c>
      <c r="E110" s="54" t="str">
        <f aca="false">IF($A110="","",SUMIFS(资金流水!$N$5:$N$504,资金流水!$G$5:$G$504,$A110,资金流水!$E$5:$E$504,"客户回款",资金流水!$C$5:$C$504,首页!$B$5))</f>
        <v/>
      </c>
      <c r="F110" s="62" t="str">
        <f aca="false">IF($A110="","",$C110+$D110-$E110)</f>
        <v/>
      </c>
      <c r="G110" s="44" t="str">
        <f aca="false">IF($A110="","",$F110-$H110-$I110-$J110-$K110)</f>
        <v/>
      </c>
      <c r="H110" s="44" t="str">
        <f aca="false">IF($A110="","",MIN($F110,MAX(0,SUMIFS(期初数据!$G$6:$G$155,期初数据!$E$6:$E$155,$A110,期初数据!$F$6:$F$155,"&lt;="&amp;首页!$B$7)+SUMIFS(销售录入!$Q$5:$Q$404,销售录入!$D$5:$D$404,$A110,销售录入!$U$5:$U$404,"&lt;="&amp;首页!$B$7)-SUMIFS(资金流水!$N$5:$N$504,资金流水!$G$5:$G$504,$A110,资金流水!$E$5:$E$504,"客户回款",资金流水!$B$5:$B$504,"&lt;="&amp;首页!$B$7)))-$K110-$J110-$I110)</f>
        <v/>
      </c>
      <c r="I110" s="44" t="str">
        <f aca="false">IF($A110="","",MIN($F110,MAX(0,SUMIFS(期初数据!$G$6:$G$155,期初数据!$E$6:$E$155,$A110,期初数据!$F$6:$F$155,"&lt;="&amp;首页!$B$7-30)+SUMIFS(销售录入!$Q$5:$Q$404,销售录入!$D$5:$D$404,$A110,销售录入!$U$5:$U$404,"&lt;="&amp;首页!$B$7-30)-SUMIFS(资金流水!$N$5:$N$504,资金流水!$G$5:$G$504,$A110,资金流水!$E$5:$E$504,"客户回款",资金流水!$B$5:$B$504,"&lt;="&amp;首页!$B$7)))-$K110-$J110)</f>
        <v/>
      </c>
      <c r="J110" s="44" t="str">
        <f aca="false">IF($A110="","",MIN($F110,MAX(0,SUMIFS(期初数据!$G$6:$G$155,期初数据!$E$6:$E$155,$A110,期初数据!$F$6:$F$155,"&lt;="&amp;首页!$B$7-60)+SUMIFS(销售录入!$Q$5:$Q$404,销售录入!$D$5:$D$404,$A110,销售录入!$U$5:$U$404,"&lt;="&amp;首页!$B$7-60)-SUMIFS(资金流水!$N$5:$N$504,资金流水!$G$5:$G$504,$A110,资金流水!$E$5:$E$504,"客户回款",资金流水!$B$5:$B$504,"&lt;="&amp;首页!$B$7)))-$K110)</f>
        <v/>
      </c>
      <c r="K110" s="44" t="str">
        <f aca="false">IF($A110="","",MIN($F110,MAX(0,SUMIFS(期初数据!$G$6:$G$155,期初数据!$E$6:$E$155,$A110,期初数据!$F$6:$F$155,"&lt;="&amp;首页!$B$7-90)+SUMIFS(销售录入!$Q$5:$Q$404,销售录入!$D$5:$D$404,$A110,销售录入!$U$5:$U$404,"&lt;="&amp;首页!$B$7-90)-SUMIFS(资金流水!$N$5:$N$504,资金流水!$G$5:$G$504,$A110,资金流水!$E$5:$E$504,"客户回款",资金流水!$B$5:$B$504,"&lt;="&amp;首页!$B$7))))</f>
        <v/>
      </c>
      <c r="L110" s="62" t="str">
        <f aca="false">IF($A110="","",$H110+$I110+$J110+$K110)</f>
        <v/>
      </c>
      <c r="M110" s="47" t="str">
        <f aca="false">IF($A110="","",IF($K110&gt;0,"高危",IF($J110&gt;0,"关注",IF($L110&gt;0,"提醒","正常"))))</f>
        <v/>
      </c>
      <c r="N110" s="42" t="str">
        <f aca="false">IF($A110="","",基础资料!$AA110)</f>
        <v/>
      </c>
    </row>
    <row r="111" customFormat="false" ht="15.75" hidden="false" customHeight="true" outlineLevel="0" collapsed="false">
      <c r="A111" s="35" t="str">
        <f aca="false">IF(基础资料!$Z111="","",基础资料!$Z111)</f>
        <v/>
      </c>
      <c r="B111" s="42" t="str">
        <f aca="false">IF($A111="","",N(基础资料!$AB111))</f>
        <v/>
      </c>
      <c r="C111" s="54" t="str">
        <f aca="false">IF($A111="","",SUMIFS(期初数据!$G$6:$G$155,期初数据!$E$6:$E$155,$A111,期初数据!$F$6:$F$155,"&lt;"&amp;首页!$B$6)+SUMIFS(销售录入!$Q$5:$Q$404,销售录入!$D$5:$D$404,$A111,销售录入!$B$5:$B$404,"&lt;"&amp;首页!$B$6)-SUMIFS(资金流水!$N$5:$N$504,资金流水!$G$5:$G$504,$A111,资金流水!$E$5:$E$504,"客户回款",资金流水!$B$5:$B$504,"&lt;"&amp;首页!$B$6))</f>
        <v/>
      </c>
      <c r="D111" s="54" t="str">
        <f aca="false">IF($A111="","",SUMIFS(销售录入!$Q$5:$Q$404,销售录入!$D$5:$D$404,$A111,销售录入!$C$5:$C$404,首页!$B$5))</f>
        <v/>
      </c>
      <c r="E111" s="54" t="str">
        <f aca="false">IF($A111="","",SUMIFS(资金流水!$N$5:$N$504,资金流水!$G$5:$G$504,$A111,资金流水!$E$5:$E$504,"客户回款",资金流水!$C$5:$C$504,首页!$B$5))</f>
        <v/>
      </c>
      <c r="F111" s="62" t="str">
        <f aca="false">IF($A111="","",$C111+$D111-$E111)</f>
        <v/>
      </c>
      <c r="G111" s="44" t="str">
        <f aca="false">IF($A111="","",$F111-$H111-$I111-$J111-$K111)</f>
        <v/>
      </c>
      <c r="H111" s="44" t="str">
        <f aca="false">IF($A111="","",MIN($F111,MAX(0,SUMIFS(期初数据!$G$6:$G$155,期初数据!$E$6:$E$155,$A111,期初数据!$F$6:$F$155,"&lt;="&amp;首页!$B$7)+SUMIFS(销售录入!$Q$5:$Q$404,销售录入!$D$5:$D$404,$A111,销售录入!$U$5:$U$404,"&lt;="&amp;首页!$B$7)-SUMIFS(资金流水!$N$5:$N$504,资金流水!$G$5:$G$504,$A111,资金流水!$E$5:$E$504,"客户回款",资金流水!$B$5:$B$504,"&lt;="&amp;首页!$B$7)))-$K111-$J111-$I111)</f>
        <v/>
      </c>
      <c r="I111" s="44" t="str">
        <f aca="false">IF($A111="","",MIN($F111,MAX(0,SUMIFS(期初数据!$G$6:$G$155,期初数据!$E$6:$E$155,$A111,期初数据!$F$6:$F$155,"&lt;="&amp;首页!$B$7-30)+SUMIFS(销售录入!$Q$5:$Q$404,销售录入!$D$5:$D$404,$A111,销售录入!$U$5:$U$404,"&lt;="&amp;首页!$B$7-30)-SUMIFS(资金流水!$N$5:$N$504,资金流水!$G$5:$G$504,$A111,资金流水!$E$5:$E$504,"客户回款",资金流水!$B$5:$B$504,"&lt;="&amp;首页!$B$7)))-$K111-$J111)</f>
        <v/>
      </c>
      <c r="J111" s="44" t="str">
        <f aca="false">IF($A111="","",MIN($F111,MAX(0,SUMIFS(期初数据!$G$6:$G$155,期初数据!$E$6:$E$155,$A111,期初数据!$F$6:$F$155,"&lt;="&amp;首页!$B$7-60)+SUMIFS(销售录入!$Q$5:$Q$404,销售录入!$D$5:$D$404,$A111,销售录入!$U$5:$U$404,"&lt;="&amp;首页!$B$7-60)-SUMIFS(资金流水!$N$5:$N$504,资金流水!$G$5:$G$504,$A111,资金流水!$E$5:$E$504,"客户回款",资金流水!$B$5:$B$504,"&lt;="&amp;首页!$B$7)))-$K111)</f>
        <v/>
      </c>
      <c r="K111" s="44" t="str">
        <f aca="false">IF($A111="","",MIN($F111,MAX(0,SUMIFS(期初数据!$G$6:$G$155,期初数据!$E$6:$E$155,$A111,期初数据!$F$6:$F$155,"&lt;="&amp;首页!$B$7-90)+SUMIFS(销售录入!$Q$5:$Q$404,销售录入!$D$5:$D$404,$A111,销售录入!$U$5:$U$404,"&lt;="&amp;首页!$B$7-90)-SUMIFS(资金流水!$N$5:$N$504,资金流水!$G$5:$G$504,$A111,资金流水!$E$5:$E$504,"客户回款",资金流水!$B$5:$B$504,"&lt;="&amp;首页!$B$7))))</f>
        <v/>
      </c>
      <c r="L111" s="62" t="str">
        <f aca="false">IF($A111="","",$H111+$I111+$J111+$K111)</f>
        <v/>
      </c>
      <c r="M111" s="47" t="str">
        <f aca="false">IF($A111="","",IF($K111&gt;0,"高危",IF($J111&gt;0,"关注",IF($L111&gt;0,"提醒","正常"))))</f>
        <v/>
      </c>
      <c r="N111" s="42" t="str">
        <f aca="false">IF($A111="","",基础资料!$AA111)</f>
        <v/>
      </c>
    </row>
    <row r="112" customFormat="false" ht="15.75" hidden="false" customHeight="true" outlineLevel="0" collapsed="false">
      <c r="A112" s="35" t="str">
        <f aca="false">IF(基础资料!$Z112="","",基础资料!$Z112)</f>
        <v/>
      </c>
      <c r="B112" s="42" t="str">
        <f aca="false">IF($A112="","",N(基础资料!$AB112))</f>
        <v/>
      </c>
      <c r="C112" s="54" t="str">
        <f aca="false">IF($A112="","",SUMIFS(期初数据!$G$6:$G$155,期初数据!$E$6:$E$155,$A112,期初数据!$F$6:$F$155,"&lt;"&amp;首页!$B$6)+SUMIFS(销售录入!$Q$5:$Q$404,销售录入!$D$5:$D$404,$A112,销售录入!$B$5:$B$404,"&lt;"&amp;首页!$B$6)-SUMIFS(资金流水!$N$5:$N$504,资金流水!$G$5:$G$504,$A112,资金流水!$E$5:$E$504,"客户回款",资金流水!$B$5:$B$504,"&lt;"&amp;首页!$B$6))</f>
        <v/>
      </c>
      <c r="D112" s="54" t="str">
        <f aca="false">IF($A112="","",SUMIFS(销售录入!$Q$5:$Q$404,销售录入!$D$5:$D$404,$A112,销售录入!$C$5:$C$404,首页!$B$5))</f>
        <v/>
      </c>
      <c r="E112" s="54" t="str">
        <f aca="false">IF($A112="","",SUMIFS(资金流水!$N$5:$N$504,资金流水!$G$5:$G$504,$A112,资金流水!$E$5:$E$504,"客户回款",资金流水!$C$5:$C$504,首页!$B$5))</f>
        <v/>
      </c>
      <c r="F112" s="62" t="str">
        <f aca="false">IF($A112="","",$C112+$D112-$E112)</f>
        <v/>
      </c>
      <c r="G112" s="44" t="str">
        <f aca="false">IF($A112="","",$F112-$H112-$I112-$J112-$K112)</f>
        <v/>
      </c>
      <c r="H112" s="44" t="str">
        <f aca="false">IF($A112="","",MIN($F112,MAX(0,SUMIFS(期初数据!$G$6:$G$155,期初数据!$E$6:$E$155,$A112,期初数据!$F$6:$F$155,"&lt;="&amp;首页!$B$7)+SUMIFS(销售录入!$Q$5:$Q$404,销售录入!$D$5:$D$404,$A112,销售录入!$U$5:$U$404,"&lt;="&amp;首页!$B$7)-SUMIFS(资金流水!$N$5:$N$504,资金流水!$G$5:$G$504,$A112,资金流水!$E$5:$E$504,"客户回款",资金流水!$B$5:$B$504,"&lt;="&amp;首页!$B$7)))-$K112-$J112-$I112)</f>
        <v/>
      </c>
      <c r="I112" s="44" t="str">
        <f aca="false">IF($A112="","",MIN($F112,MAX(0,SUMIFS(期初数据!$G$6:$G$155,期初数据!$E$6:$E$155,$A112,期初数据!$F$6:$F$155,"&lt;="&amp;首页!$B$7-30)+SUMIFS(销售录入!$Q$5:$Q$404,销售录入!$D$5:$D$404,$A112,销售录入!$U$5:$U$404,"&lt;="&amp;首页!$B$7-30)-SUMIFS(资金流水!$N$5:$N$504,资金流水!$G$5:$G$504,$A112,资金流水!$E$5:$E$504,"客户回款",资金流水!$B$5:$B$504,"&lt;="&amp;首页!$B$7)))-$K112-$J112)</f>
        <v/>
      </c>
      <c r="J112" s="44" t="str">
        <f aca="false">IF($A112="","",MIN($F112,MAX(0,SUMIFS(期初数据!$G$6:$G$155,期初数据!$E$6:$E$155,$A112,期初数据!$F$6:$F$155,"&lt;="&amp;首页!$B$7-60)+SUMIFS(销售录入!$Q$5:$Q$404,销售录入!$D$5:$D$404,$A112,销售录入!$U$5:$U$404,"&lt;="&amp;首页!$B$7-60)-SUMIFS(资金流水!$N$5:$N$504,资金流水!$G$5:$G$504,$A112,资金流水!$E$5:$E$504,"客户回款",资金流水!$B$5:$B$504,"&lt;="&amp;首页!$B$7)))-$K112)</f>
        <v/>
      </c>
      <c r="K112" s="44" t="str">
        <f aca="false">IF($A112="","",MIN($F112,MAX(0,SUMIFS(期初数据!$G$6:$G$155,期初数据!$E$6:$E$155,$A112,期初数据!$F$6:$F$155,"&lt;="&amp;首页!$B$7-90)+SUMIFS(销售录入!$Q$5:$Q$404,销售录入!$D$5:$D$404,$A112,销售录入!$U$5:$U$404,"&lt;="&amp;首页!$B$7-90)-SUMIFS(资金流水!$N$5:$N$504,资金流水!$G$5:$G$504,$A112,资金流水!$E$5:$E$504,"客户回款",资金流水!$B$5:$B$504,"&lt;="&amp;首页!$B$7))))</f>
        <v/>
      </c>
      <c r="L112" s="62" t="str">
        <f aca="false">IF($A112="","",$H112+$I112+$J112+$K112)</f>
        <v/>
      </c>
      <c r="M112" s="47" t="str">
        <f aca="false">IF($A112="","",IF($K112&gt;0,"高危",IF($J112&gt;0,"关注",IF($L112&gt;0,"提醒","正常"))))</f>
        <v/>
      </c>
      <c r="N112" s="42" t="str">
        <f aca="false">IF($A112="","",基础资料!$AA112)</f>
        <v/>
      </c>
    </row>
    <row r="113" customFormat="false" ht="15.75" hidden="false" customHeight="true" outlineLevel="0" collapsed="false">
      <c r="A113" s="35" t="str">
        <f aca="false">IF(基础资料!$Z113="","",基础资料!$Z113)</f>
        <v/>
      </c>
      <c r="B113" s="42" t="str">
        <f aca="false">IF($A113="","",N(基础资料!$AB113))</f>
        <v/>
      </c>
      <c r="C113" s="54" t="str">
        <f aca="false">IF($A113="","",SUMIFS(期初数据!$G$6:$G$155,期初数据!$E$6:$E$155,$A113,期初数据!$F$6:$F$155,"&lt;"&amp;首页!$B$6)+SUMIFS(销售录入!$Q$5:$Q$404,销售录入!$D$5:$D$404,$A113,销售录入!$B$5:$B$404,"&lt;"&amp;首页!$B$6)-SUMIFS(资金流水!$N$5:$N$504,资金流水!$G$5:$G$504,$A113,资金流水!$E$5:$E$504,"客户回款",资金流水!$B$5:$B$504,"&lt;"&amp;首页!$B$6))</f>
        <v/>
      </c>
      <c r="D113" s="54" t="str">
        <f aca="false">IF($A113="","",SUMIFS(销售录入!$Q$5:$Q$404,销售录入!$D$5:$D$404,$A113,销售录入!$C$5:$C$404,首页!$B$5))</f>
        <v/>
      </c>
      <c r="E113" s="54" t="str">
        <f aca="false">IF($A113="","",SUMIFS(资金流水!$N$5:$N$504,资金流水!$G$5:$G$504,$A113,资金流水!$E$5:$E$504,"客户回款",资金流水!$C$5:$C$504,首页!$B$5))</f>
        <v/>
      </c>
      <c r="F113" s="62" t="str">
        <f aca="false">IF($A113="","",$C113+$D113-$E113)</f>
        <v/>
      </c>
      <c r="G113" s="44" t="str">
        <f aca="false">IF($A113="","",$F113-$H113-$I113-$J113-$K113)</f>
        <v/>
      </c>
      <c r="H113" s="44" t="str">
        <f aca="false">IF($A113="","",MIN($F113,MAX(0,SUMIFS(期初数据!$G$6:$G$155,期初数据!$E$6:$E$155,$A113,期初数据!$F$6:$F$155,"&lt;="&amp;首页!$B$7)+SUMIFS(销售录入!$Q$5:$Q$404,销售录入!$D$5:$D$404,$A113,销售录入!$U$5:$U$404,"&lt;="&amp;首页!$B$7)-SUMIFS(资金流水!$N$5:$N$504,资金流水!$G$5:$G$504,$A113,资金流水!$E$5:$E$504,"客户回款",资金流水!$B$5:$B$504,"&lt;="&amp;首页!$B$7)))-$K113-$J113-$I113)</f>
        <v/>
      </c>
      <c r="I113" s="44" t="str">
        <f aca="false">IF($A113="","",MIN($F113,MAX(0,SUMIFS(期初数据!$G$6:$G$155,期初数据!$E$6:$E$155,$A113,期初数据!$F$6:$F$155,"&lt;="&amp;首页!$B$7-30)+SUMIFS(销售录入!$Q$5:$Q$404,销售录入!$D$5:$D$404,$A113,销售录入!$U$5:$U$404,"&lt;="&amp;首页!$B$7-30)-SUMIFS(资金流水!$N$5:$N$504,资金流水!$G$5:$G$504,$A113,资金流水!$E$5:$E$504,"客户回款",资金流水!$B$5:$B$504,"&lt;="&amp;首页!$B$7)))-$K113-$J113)</f>
        <v/>
      </c>
      <c r="J113" s="44" t="str">
        <f aca="false">IF($A113="","",MIN($F113,MAX(0,SUMIFS(期初数据!$G$6:$G$155,期初数据!$E$6:$E$155,$A113,期初数据!$F$6:$F$155,"&lt;="&amp;首页!$B$7-60)+SUMIFS(销售录入!$Q$5:$Q$404,销售录入!$D$5:$D$404,$A113,销售录入!$U$5:$U$404,"&lt;="&amp;首页!$B$7-60)-SUMIFS(资金流水!$N$5:$N$504,资金流水!$G$5:$G$504,$A113,资金流水!$E$5:$E$504,"客户回款",资金流水!$B$5:$B$504,"&lt;="&amp;首页!$B$7)))-$K113)</f>
        <v/>
      </c>
      <c r="K113" s="44" t="str">
        <f aca="false">IF($A113="","",MIN($F113,MAX(0,SUMIFS(期初数据!$G$6:$G$155,期初数据!$E$6:$E$155,$A113,期初数据!$F$6:$F$155,"&lt;="&amp;首页!$B$7-90)+SUMIFS(销售录入!$Q$5:$Q$404,销售录入!$D$5:$D$404,$A113,销售录入!$U$5:$U$404,"&lt;="&amp;首页!$B$7-90)-SUMIFS(资金流水!$N$5:$N$504,资金流水!$G$5:$G$504,$A113,资金流水!$E$5:$E$504,"客户回款",资金流水!$B$5:$B$504,"&lt;="&amp;首页!$B$7))))</f>
        <v/>
      </c>
      <c r="L113" s="62" t="str">
        <f aca="false">IF($A113="","",$H113+$I113+$J113+$K113)</f>
        <v/>
      </c>
      <c r="M113" s="47" t="str">
        <f aca="false">IF($A113="","",IF($K113&gt;0,"高危",IF($J113&gt;0,"关注",IF($L113&gt;0,"提醒","正常"))))</f>
        <v/>
      </c>
      <c r="N113" s="42" t="str">
        <f aca="false">IF($A113="","",基础资料!$AA113)</f>
        <v/>
      </c>
    </row>
    <row r="114" customFormat="false" ht="15.75" hidden="false" customHeight="true" outlineLevel="0" collapsed="false">
      <c r="A114" s="35" t="str">
        <f aca="false">IF(基础资料!$Z114="","",基础资料!$Z114)</f>
        <v/>
      </c>
      <c r="B114" s="42" t="str">
        <f aca="false">IF($A114="","",N(基础资料!$AB114))</f>
        <v/>
      </c>
      <c r="C114" s="54" t="str">
        <f aca="false">IF($A114="","",SUMIFS(期初数据!$G$6:$G$155,期初数据!$E$6:$E$155,$A114,期初数据!$F$6:$F$155,"&lt;"&amp;首页!$B$6)+SUMIFS(销售录入!$Q$5:$Q$404,销售录入!$D$5:$D$404,$A114,销售录入!$B$5:$B$404,"&lt;"&amp;首页!$B$6)-SUMIFS(资金流水!$N$5:$N$504,资金流水!$G$5:$G$504,$A114,资金流水!$E$5:$E$504,"客户回款",资金流水!$B$5:$B$504,"&lt;"&amp;首页!$B$6))</f>
        <v/>
      </c>
      <c r="D114" s="54" t="str">
        <f aca="false">IF($A114="","",SUMIFS(销售录入!$Q$5:$Q$404,销售录入!$D$5:$D$404,$A114,销售录入!$C$5:$C$404,首页!$B$5))</f>
        <v/>
      </c>
      <c r="E114" s="54" t="str">
        <f aca="false">IF($A114="","",SUMIFS(资金流水!$N$5:$N$504,资金流水!$G$5:$G$504,$A114,资金流水!$E$5:$E$504,"客户回款",资金流水!$C$5:$C$504,首页!$B$5))</f>
        <v/>
      </c>
      <c r="F114" s="62" t="str">
        <f aca="false">IF($A114="","",$C114+$D114-$E114)</f>
        <v/>
      </c>
      <c r="G114" s="44" t="str">
        <f aca="false">IF($A114="","",$F114-$H114-$I114-$J114-$K114)</f>
        <v/>
      </c>
      <c r="H114" s="44" t="str">
        <f aca="false">IF($A114="","",MIN($F114,MAX(0,SUMIFS(期初数据!$G$6:$G$155,期初数据!$E$6:$E$155,$A114,期初数据!$F$6:$F$155,"&lt;="&amp;首页!$B$7)+SUMIFS(销售录入!$Q$5:$Q$404,销售录入!$D$5:$D$404,$A114,销售录入!$U$5:$U$404,"&lt;="&amp;首页!$B$7)-SUMIFS(资金流水!$N$5:$N$504,资金流水!$G$5:$G$504,$A114,资金流水!$E$5:$E$504,"客户回款",资金流水!$B$5:$B$504,"&lt;="&amp;首页!$B$7)))-$K114-$J114-$I114)</f>
        <v/>
      </c>
      <c r="I114" s="44" t="str">
        <f aca="false">IF($A114="","",MIN($F114,MAX(0,SUMIFS(期初数据!$G$6:$G$155,期初数据!$E$6:$E$155,$A114,期初数据!$F$6:$F$155,"&lt;="&amp;首页!$B$7-30)+SUMIFS(销售录入!$Q$5:$Q$404,销售录入!$D$5:$D$404,$A114,销售录入!$U$5:$U$404,"&lt;="&amp;首页!$B$7-30)-SUMIFS(资金流水!$N$5:$N$504,资金流水!$G$5:$G$504,$A114,资金流水!$E$5:$E$504,"客户回款",资金流水!$B$5:$B$504,"&lt;="&amp;首页!$B$7)))-$K114-$J114)</f>
        <v/>
      </c>
      <c r="J114" s="44" t="str">
        <f aca="false">IF($A114="","",MIN($F114,MAX(0,SUMIFS(期初数据!$G$6:$G$155,期初数据!$E$6:$E$155,$A114,期初数据!$F$6:$F$155,"&lt;="&amp;首页!$B$7-60)+SUMIFS(销售录入!$Q$5:$Q$404,销售录入!$D$5:$D$404,$A114,销售录入!$U$5:$U$404,"&lt;="&amp;首页!$B$7-60)-SUMIFS(资金流水!$N$5:$N$504,资金流水!$G$5:$G$504,$A114,资金流水!$E$5:$E$504,"客户回款",资金流水!$B$5:$B$504,"&lt;="&amp;首页!$B$7)))-$K114)</f>
        <v/>
      </c>
      <c r="K114" s="44" t="str">
        <f aca="false">IF($A114="","",MIN($F114,MAX(0,SUMIFS(期初数据!$G$6:$G$155,期初数据!$E$6:$E$155,$A114,期初数据!$F$6:$F$155,"&lt;="&amp;首页!$B$7-90)+SUMIFS(销售录入!$Q$5:$Q$404,销售录入!$D$5:$D$404,$A114,销售录入!$U$5:$U$404,"&lt;="&amp;首页!$B$7-90)-SUMIFS(资金流水!$N$5:$N$504,资金流水!$G$5:$G$504,$A114,资金流水!$E$5:$E$504,"客户回款",资金流水!$B$5:$B$504,"&lt;="&amp;首页!$B$7))))</f>
        <v/>
      </c>
      <c r="L114" s="62" t="str">
        <f aca="false">IF($A114="","",$H114+$I114+$J114+$K114)</f>
        <v/>
      </c>
      <c r="M114" s="47" t="str">
        <f aca="false">IF($A114="","",IF($K114&gt;0,"高危",IF($J114&gt;0,"关注",IF($L114&gt;0,"提醒","正常"))))</f>
        <v/>
      </c>
      <c r="N114" s="42" t="str">
        <f aca="false">IF($A114="","",基础资料!$AA114)</f>
        <v/>
      </c>
    </row>
    <row r="115" customFormat="false" ht="15.75" hidden="false" customHeight="true" outlineLevel="0" collapsed="false">
      <c r="A115" s="35" t="str">
        <f aca="false">IF(基础资料!$Z115="","",基础资料!$Z115)</f>
        <v/>
      </c>
      <c r="B115" s="42" t="str">
        <f aca="false">IF($A115="","",N(基础资料!$AB115))</f>
        <v/>
      </c>
      <c r="C115" s="54" t="str">
        <f aca="false">IF($A115="","",SUMIFS(期初数据!$G$6:$G$155,期初数据!$E$6:$E$155,$A115,期初数据!$F$6:$F$155,"&lt;"&amp;首页!$B$6)+SUMIFS(销售录入!$Q$5:$Q$404,销售录入!$D$5:$D$404,$A115,销售录入!$B$5:$B$404,"&lt;"&amp;首页!$B$6)-SUMIFS(资金流水!$N$5:$N$504,资金流水!$G$5:$G$504,$A115,资金流水!$E$5:$E$504,"客户回款",资金流水!$B$5:$B$504,"&lt;"&amp;首页!$B$6))</f>
        <v/>
      </c>
      <c r="D115" s="54" t="str">
        <f aca="false">IF($A115="","",SUMIFS(销售录入!$Q$5:$Q$404,销售录入!$D$5:$D$404,$A115,销售录入!$C$5:$C$404,首页!$B$5))</f>
        <v/>
      </c>
      <c r="E115" s="54" t="str">
        <f aca="false">IF($A115="","",SUMIFS(资金流水!$N$5:$N$504,资金流水!$G$5:$G$504,$A115,资金流水!$E$5:$E$504,"客户回款",资金流水!$C$5:$C$504,首页!$B$5))</f>
        <v/>
      </c>
      <c r="F115" s="62" t="str">
        <f aca="false">IF($A115="","",$C115+$D115-$E115)</f>
        <v/>
      </c>
      <c r="G115" s="44" t="str">
        <f aca="false">IF($A115="","",$F115-$H115-$I115-$J115-$K115)</f>
        <v/>
      </c>
      <c r="H115" s="44" t="str">
        <f aca="false">IF($A115="","",MIN($F115,MAX(0,SUMIFS(期初数据!$G$6:$G$155,期初数据!$E$6:$E$155,$A115,期初数据!$F$6:$F$155,"&lt;="&amp;首页!$B$7)+SUMIFS(销售录入!$Q$5:$Q$404,销售录入!$D$5:$D$404,$A115,销售录入!$U$5:$U$404,"&lt;="&amp;首页!$B$7)-SUMIFS(资金流水!$N$5:$N$504,资金流水!$G$5:$G$504,$A115,资金流水!$E$5:$E$504,"客户回款",资金流水!$B$5:$B$504,"&lt;="&amp;首页!$B$7)))-$K115-$J115-$I115)</f>
        <v/>
      </c>
      <c r="I115" s="44" t="str">
        <f aca="false">IF($A115="","",MIN($F115,MAX(0,SUMIFS(期初数据!$G$6:$G$155,期初数据!$E$6:$E$155,$A115,期初数据!$F$6:$F$155,"&lt;="&amp;首页!$B$7-30)+SUMIFS(销售录入!$Q$5:$Q$404,销售录入!$D$5:$D$404,$A115,销售录入!$U$5:$U$404,"&lt;="&amp;首页!$B$7-30)-SUMIFS(资金流水!$N$5:$N$504,资金流水!$G$5:$G$504,$A115,资金流水!$E$5:$E$504,"客户回款",资金流水!$B$5:$B$504,"&lt;="&amp;首页!$B$7)))-$K115-$J115)</f>
        <v/>
      </c>
      <c r="J115" s="44" t="str">
        <f aca="false">IF($A115="","",MIN($F115,MAX(0,SUMIFS(期初数据!$G$6:$G$155,期初数据!$E$6:$E$155,$A115,期初数据!$F$6:$F$155,"&lt;="&amp;首页!$B$7-60)+SUMIFS(销售录入!$Q$5:$Q$404,销售录入!$D$5:$D$404,$A115,销售录入!$U$5:$U$404,"&lt;="&amp;首页!$B$7-60)-SUMIFS(资金流水!$N$5:$N$504,资金流水!$G$5:$G$504,$A115,资金流水!$E$5:$E$504,"客户回款",资金流水!$B$5:$B$504,"&lt;="&amp;首页!$B$7)))-$K115)</f>
        <v/>
      </c>
      <c r="K115" s="44" t="str">
        <f aca="false">IF($A115="","",MIN($F115,MAX(0,SUMIFS(期初数据!$G$6:$G$155,期初数据!$E$6:$E$155,$A115,期初数据!$F$6:$F$155,"&lt;="&amp;首页!$B$7-90)+SUMIFS(销售录入!$Q$5:$Q$404,销售录入!$D$5:$D$404,$A115,销售录入!$U$5:$U$404,"&lt;="&amp;首页!$B$7-90)-SUMIFS(资金流水!$N$5:$N$504,资金流水!$G$5:$G$504,$A115,资金流水!$E$5:$E$504,"客户回款",资金流水!$B$5:$B$504,"&lt;="&amp;首页!$B$7))))</f>
        <v/>
      </c>
      <c r="L115" s="62" t="str">
        <f aca="false">IF($A115="","",$H115+$I115+$J115+$K115)</f>
        <v/>
      </c>
      <c r="M115" s="47" t="str">
        <f aca="false">IF($A115="","",IF($K115&gt;0,"高危",IF($J115&gt;0,"关注",IF($L115&gt;0,"提醒","正常"))))</f>
        <v/>
      </c>
      <c r="N115" s="42" t="str">
        <f aca="false">IF($A115="","",基础资料!$AA115)</f>
        <v/>
      </c>
    </row>
    <row r="116" customFormat="false" ht="15.75" hidden="false" customHeight="true" outlineLevel="0" collapsed="false">
      <c r="A116" s="35" t="str">
        <f aca="false">IF(基础资料!$Z116="","",基础资料!$Z116)</f>
        <v/>
      </c>
      <c r="B116" s="42" t="str">
        <f aca="false">IF($A116="","",N(基础资料!$AB116))</f>
        <v/>
      </c>
      <c r="C116" s="54" t="str">
        <f aca="false">IF($A116="","",SUMIFS(期初数据!$G$6:$G$155,期初数据!$E$6:$E$155,$A116,期初数据!$F$6:$F$155,"&lt;"&amp;首页!$B$6)+SUMIFS(销售录入!$Q$5:$Q$404,销售录入!$D$5:$D$404,$A116,销售录入!$B$5:$B$404,"&lt;"&amp;首页!$B$6)-SUMIFS(资金流水!$N$5:$N$504,资金流水!$G$5:$G$504,$A116,资金流水!$E$5:$E$504,"客户回款",资金流水!$B$5:$B$504,"&lt;"&amp;首页!$B$6))</f>
        <v/>
      </c>
      <c r="D116" s="54" t="str">
        <f aca="false">IF($A116="","",SUMIFS(销售录入!$Q$5:$Q$404,销售录入!$D$5:$D$404,$A116,销售录入!$C$5:$C$404,首页!$B$5))</f>
        <v/>
      </c>
      <c r="E116" s="54" t="str">
        <f aca="false">IF($A116="","",SUMIFS(资金流水!$N$5:$N$504,资金流水!$G$5:$G$504,$A116,资金流水!$E$5:$E$504,"客户回款",资金流水!$C$5:$C$504,首页!$B$5))</f>
        <v/>
      </c>
      <c r="F116" s="62" t="str">
        <f aca="false">IF($A116="","",$C116+$D116-$E116)</f>
        <v/>
      </c>
      <c r="G116" s="44" t="str">
        <f aca="false">IF($A116="","",$F116-$H116-$I116-$J116-$K116)</f>
        <v/>
      </c>
      <c r="H116" s="44" t="str">
        <f aca="false">IF($A116="","",MIN($F116,MAX(0,SUMIFS(期初数据!$G$6:$G$155,期初数据!$E$6:$E$155,$A116,期初数据!$F$6:$F$155,"&lt;="&amp;首页!$B$7)+SUMIFS(销售录入!$Q$5:$Q$404,销售录入!$D$5:$D$404,$A116,销售录入!$U$5:$U$404,"&lt;="&amp;首页!$B$7)-SUMIFS(资金流水!$N$5:$N$504,资金流水!$G$5:$G$504,$A116,资金流水!$E$5:$E$504,"客户回款",资金流水!$B$5:$B$504,"&lt;="&amp;首页!$B$7)))-$K116-$J116-$I116)</f>
        <v/>
      </c>
      <c r="I116" s="44" t="str">
        <f aca="false">IF($A116="","",MIN($F116,MAX(0,SUMIFS(期初数据!$G$6:$G$155,期初数据!$E$6:$E$155,$A116,期初数据!$F$6:$F$155,"&lt;="&amp;首页!$B$7-30)+SUMIFS(销售录入!$Q$5:$Q$404,销售录入!$D$5:$D$404,$A116,销售录入!$U$5:$U$404,"&lt;="&amp;首页!$B$7-30)-SUMIFS(资金流水!$N$5:$N$504,资金流水!$G$5:$G$504,$A116,资金流水!$E$5:$E$504,"客户回款",资金流水!$B$5:$B$504,"&lt;="&amp;首页!$B$7)))-$K116-$J116)</f>
        <v/>
      </c>
      <c r="J116" s="44" t="str">
        <f aca="false">IF($A116="","",MIN($F116,MAX(0,SUMIFS(期初数据!$G$6:$G$155,期初数据!$E$6:$E$155,$A116,期初数据!$F$6:$F$155,"&lt;="&amp;首页!$B$7-60)+SUMIFS(销售录入!$Q$5:$Q$404,销售录入!$D$5:$D$404,$A116,销售录入!$U$5:$U$404,"&lt;="&amp;首页!$B$7-60)-SUMIFS(资金流水!$N$5:$N$504,资金流水!$G$5:$G$504,$A116,资金流水!$E$5:$E$504,"客户回款",资金流水!$B$5:$B$504,"&lt;="&amp;首页!$B$7)))-$K116)</f>
        <v/>
      </c>
      <c r="K116" s="44" t="str">
        <f aca="false">IF($A116="","",MIN($F116,MAX(0,SUMIFS(期初数据!$G$6:$G$155,期初数据!$E$6:$E$155,$A116,期初数据!$F$6:$F$155,"&lt;="&amp;首页!$B$7-90)+SUMIFS(销售录入!$Q$5:$Q$404,销售录入!$D$5:$D$404,$A116,销售录入!$U$5:$U$404,"&lt;="&amp;首页!$B$7-90)-SUMIFS(资金流水!$N$5:$N$504,资金流水!$G$5:$G$504,$A116,资金流水!$E$5:$E$504,"客户回款",资金流水!$B$5:$B$504,"&lt;="&amp;首页!$B$7))))</f>
        <v/>
      </c>
      <c r="L116" s="62" t="str">
        <f aca="false">IF($A116="","",$H116+$I116+$J116+$K116)</f>
        <v/>
      </c>
      <c r="M116" s="47" t="str">
        <f aca="false">IF($A116="","",IF($K116&gt;0,"高危",IF($J116&gt;0,"关注",IF($L116&gt;0,"提醒","正常"))))</f>
        <v/>
      </c>
      <c r="N116" s="42" t="str">
        <f aca="false">IF($A116="","",基础资料!$AA116)</f>
        <v/>
      </c>
    </row>
    <row r="117" customFormat="false" ht="15.75" hidden="false" customHeight="true" outlineLevel="0" collapsed="false">
      <c r="A117" s="35" t="str">
        <f aca="false">IF(基础资料!$Z117="","",基础资料!$Z117)</f>
        <v/>
      </c>
      <c r="B117" s="42" t="str">
        <f aca="false">IF($A117="","",N(基础资料!$AB117))</f>
        <v/>
      </c>
      <c r="C117" s="54" t="str">
        <f aca="false">IF($A117="","",SUMIFS(期初数据!$G$6:$G$155,期初数据!$E$6:$E$155,$A117,期初数据!$F$6:$F$155,"&lt;"&amp;首页!$B$6)+SUMIFS(销售录入!$Q$5:$Q$404,销售录入!$D$5:$D$404,$A117,销售录入!$B$5:$B$404,"&lt;"&amp;首页!$B$6)-SUMIFS(资金流水!$N$5:$N$504,资金流水!$G$5:$G$504,$A117,资金流水!$E$5:$E$504,"客户回款",资金流水!$B$5:$B$504,"&lt;"&amp;首页!$B$6))</f>
        <v/>
      </c>
      <c r="D117" s="54" t="str">
        <f aca="false">IF($A117="","",SUMIFS(销售录入!$Q$5:$Q$404,销售录入!$D$5:$D$404,$A117,销售录入!$C$5:$C$404,首页!$B$5))</f>
        <v/>
      </c>
      <c r="E117" s="54" t="str">
        <f aca="false">IF($A117="","",SUMIFS(资金流水!$N$5:$N$504,资金流水!$G$5:$G$504,$A117,资金流水!$E$5:$E$504,"客户回款",资金流水!$C$5:$C$504,首页!$B$5))</f>
        <v/>
      </c>
      <c r="F117" s="62" t="str">
        <f aca="false">IF($A117="","",$C117+$D117-$E117)</f>
        <v/>
      </c>
      <c r="G117" s="44" t="str">
        <f aca="false">IF($A117="","",$F117-$H117-$I117-$J117-$K117)</f>
        <v/>
      </c>
      <c r="H117" s="44" t="str">
        <f aca="false">IF($A117="","",MIN($F117,MAX(0,SUMIFS(期初数据!$G$6:$G$155,期初数据!$E$6:$E$155,$A117,期初数据!$F$6:$F$155,"&lt;="&amp;首页!$B$7)+SUMIFS(销售录入!$Q$5:$Q$404,销售录入!$D$5:$D$404,$A117,销售录入!$U$5:$U$404,"&lt;="&amp;首页!$B$7)-SUMIFS(资金流水!$N$5:$N$504,资金流水!$G$5:$G$504,$A117,资金流水!$E$5:$E$504,"客户回款",资金流水!$B$5:$B$504,"&lt;="&amp;首页!$B$7)))-$K117-$J117-$I117)</f>
        <v/>
      </c>
      <c r="I117" s="44" t="str">
        <f aca="false">IF($A117="","",MIN($F117,MAX(0,SUMIFS(期初数据!$G$6:$G$155,期初数据!$E$6:$E$155,$A117,期初数据!$F$6:$F$155,"&lt;="&amp;首页!$B$7-30)+SUMIFS(销售录入!$Q$5:$Q$404,销售录入!$D$5:$D$404,$A117,销售录入!$U$5:$U$404,"&lt;="&amp;首页!$B$7-30)-SUMIFS(资金流水!$N$5:$N$504,资金流水!$G$5:$G$504,$A117,资金流水!$E$5:$E$504,"客户回款",资金流水!$B$5:$B$504,"&lt;="&amp;首页!$B$7)))-$K117-$J117)</f>
        <v/>
      </c>
      <c r="J117" s="44" t="str">
        <f aca="false">IF($A117="","",MIN($F117,MAX(0,SUMIFS(期初数据!$G$6:$G$155,期初数据!$E$6:$E$155,$A117,期初数据!$F$6:$F$155,"&lt;="&amp;首页!$B$7-60)+SUMIFS(销售录入!$Q$5:$Q$404,销售录入!$D$5:$D$404,$A117,销售录入!$U$5:$U$404,"&lt;="&amp;首页!$B$7-60)-SUMIFS(资金流水!$N$5:$N$504,资金流水!$G$5:$G$504,$A117,资金流水!$E$5:$E$504,"客户回款",资金流水!$B$5:$B$504,"&lt;="&amp;首页!$B$7)))-$K117)</f>
        <v/>
      </c>
      <c r="K117" s="44" t="str">
        <f aca="false">IF($A117="","",MIN($F117,MAX(0,SUMIFS(期初数据!$G$6:$G$155,期初数据!$E$6:$E$155,$A117,期初数据!$F$6:$F$155,"&lt;="&amp;首页!$B$7-90)+SUMIFS(销售录入!$Q$5:$Q$404,销售录入!$D$5:$D$404,$A117,销售录入!$U$5:$U$404,"&lt;="&amp;首页!$B$7-90)-SUMIFS(资金流水!$N$5:$N$504,资金流水!$G$5:$G$504,$A117,资金流水!$E$5:$E$504,"客户回款",资金流水!$B$5:$B$504,"&lt;="&amp;首页!$B$7))))</f>
        <v/>
      </c>
      <c r="L117" s="62" t="str">
        <f aca="false">IF($A117="","",$H117+$I117+$J117+$K117)</f>
        <v/>
      </c>
      <c r="M117" s="47" t="str">
        <f aca="false">IF($A117="","",IF($K117&gt;0,"高危",IF($J117&gt;0,"关注",IF($L117&gt;0,"提醒","正常"))))</f>
        <v/>
      </c>
      <c r="N117" s="42" t="str">
        <f aca="false">IF($A117="","",基础资料!$AA117)</f>
        <v/>
      </c>
    </row>
    <row r="118" customFormat="false" ht="15.75" hidden="false" customHeight="true" outlineLevel="0" collapsed="false">
      <c r="A118" s="35" t="str">
        <f aca="false">IF(基础资料!$Z118="","",基础资料!$Z118)</f>
        <v/>
      </c>
      <c r="B118" s="42" t="str">
        <f aca="false">IF($A118="","",N(基础资料!$AB118))</f>
        <v/>
      </c>
      <c r="C118" s="54" t="str">
        <f aca="false">IF($A118="","",SUMIFS(期初数据!$G$6:$G$155,期初数据!$E$6:$E$155,$A118,期初数据!$F$6:$F$155,"&lt;"&amp;首页!$B$6)+SUMIFS(销售录入!$Q$5:$Q$404,销售录入!$D$5:$D$404,$A118,销售录入!$B$5:$B$404,"&lt;"&amp;首页!$B$6)-SUMIFS(资金流水!$N$5:$N$504,资金流水!$G$5:$G$504,$A118,资金流水!$E$5:$E$504,"客户回款",资金流水!$B$5:$B$504,"&lt;"&amp;首页!$B$6))</f>
        <v/>
      </c>
      <c r="D118" s="54" t="str">
        <f aca="false">IF($A118="","",SUMIFS(销售录入!$Q$5:$Q$404,销售录入!$D$5:$D$404,$A118,销售录入!$C$5:$C$404,首页!$B$5))</f>
        <v/>
      </c>
      <c r="E118" s="54" t="str">
        <f aca="false">IF($A118="","",SUMIFS(资金流水!$N$5:$N$504,资金流水!$G$5:$G$504,$A118,资金流水!$E$5:$E$504,"客户回款",资金流水!$C$5:$C$504,首页!$B$5))</f>
        <v/>
      </c>
      <c r="F118" s="62" t="str">
        <f aca="false">IF($A118="","",$C118+$D118-$E118)</f>
        <v/>
      </c>
      <c r="G118" s="44" t="str">
        <f aca="false">IF($A118="","",$F118-$H118-$I118-$J118-$K118)</f>
        <v/>
      </c>
      <c r="H118" s="44" t="str">
        <f aca="false">IF($A118="","",MIN($F118,MAX(0,SUMIFS(期初数据!$G$6:$G$155,期初数据!$E$6:$E$155,$A118,期初数据!$F$6:$F$155,"&lt;="&amp;首页!$B$7)+SUMIFS(销售录入!$Q$5:$Q$404,销售录入!$D$5:$D$404,$A118,销售录入!$U$5:$U$404,"&lt;="&amp;首页!$B$7)-SUMIFS(资金流水!$N$5:$N$504,资金流水!$G$5:$G$504,$A118,资金流水!$E$5:$E$504,"客户回款",资金流水!$B$5:$B$504,"&lt;="&amp;首页!$B$7)))-$K118-$J118-$I118)</f>
        <v/>
      </c>
      <c r="I118" s="44" t="str">
        <f aca="false">IF($A118="","",MIN($F118,MAX(0,SUMIFS(期初数据!$G$6:$G$155,期初数据!$E$6:$E$155,$A118,期初数据!$F$6:$F$155,"&lt;="&amp;首页!$B$7-30)+SUMIFS(销售录入!$Q$5:$Q$404,销售录入!$D$5:$D$404,$A118,销售录入!$U$5:$U$404,"&lt;="&amp;首页!$B$7-30)-SUMIFS(资金流水!$N$5:$N$504,资金流水!$G$5:$G$504,$A118,资金流水!$E$5:$E$504,"客户回款",资金流水!$B$5:$B$504,"&lt;="&amp;首页!$B$7)))-$K118-$J118)</f>
        <v/>
      </c>
      <c r="J118" s="44" t="str">
        <f aca="false">IF($A118="","",MIN($F118,MAX(0,SUMIFS(期初数据!$G$6:$G$155,期初数据!$E$6:$E$155,$A118,期初数据!$F$6:$F$155,"&lt;="&amp;首页!$B$7-60)+SUMIFS(销售录入!$Q$5:$Q$404,销售录入!$D$5:$D$404,$A118,销售录入!$U$5:$U$404,"&lt;="&amp;首页!$B$7-60)-SUMIFS(资金流水!$N$5:$N$504,资金流水!$G$5:$G$504,$A118,资金流水!$E$5:$E$504,"客户回款",资金流水!$B$5:$B$504,"&lt;="&amp;首页!$B$7)))-$K118)</f>
        <v/>
      </c>
      <c r="K118" s="44" t="str">
        <f aca="false">IF($A118="","",MIN($F118,MAX(0,SUMIFS(期初数据!$G$6:$G$155,期初数据!$E$6:$E$155,$A118,期初数据!$F$6:$F$155,"&lt;="&amp;首页!$B$7-90)+SUMIFS(销售录入!$Q$5:$Q$404,销售录入!$D$5:$D$404,$A118,销售录入!$U$5:$U$404,"&lt;="&amp;首页!$B$7-90)-SUMIFS(资金流水!$N$5:$N$504,资金流水!$G$5:$G$504,$A118,资金流水!$E$5:$E$504,"客户回款",资金流水!$B$5:$B$504,"&lt;="&amp;首页!$B$7))))</f>
        <v/>
      </c>
      <c r="L118" s="62" t="str">
        <f aca="false">IF($A118="","",$H118+$I118+$J118+$K118)</f>
        <v/>
      </c>
      <c r="M118" s="47" t="str">
        <f aca="false">IF($A118="","",IF($K118&gt;0,"高危",IF($J118&gt;0,"关注",IF($L118&gt;0,"提醒","正常"))))</f>
        <v/>
      </c>
      <c r="N118" s="42" t="str">
        <f aca="false">IF($A118="","",基础资料!$AA118)</f>
        <v/>
      </c>
    </row>
    <row r="119" customFormat="false" ht="15.75" hidden="false" customHeight="true" outlineLevel="0" collapsed="false">
      <c r="A119" s="35" t="str">
        <f aca="false">IF(基础资料!$Z119="","",基础资料!$Z119)</f>
        <v/>
      </c>
      <c r="B119" s="42" t="str">
        <f aca="false">IF($A119="","",N(基础资料!$AB119))</f>
        <v/>
      </c>
      <c r="C119" s="54" t="str">
        <f aca="false">IF($A119="","",SUMIFS(期初数据!$G$6:$G$155,期初数据!$E$6:$E$155,$A119,期初数据!$F$6:$F$155,"&lt;"&amp;首页!$B$6)+SUMIFS(销售录入!$Q$5:$Q$404,销售录入!$D$5:$D$404,$A119,销售录入!$B$5:$B$404,"&lt;"&amp;首页!$B$6)-SUMIFS(资金流水!$N$5:$N$504,资金流水!$G$5:$G$504,$A119,资金流水!$E$5:$E$504,"客户回款",资金流水!$B$5:$B$504,"&lt;"&amp;首页!$B$6))</f>
        <v/>
      </c>
      <c r="D119" s="54" t="str">
        <f aca="false">IF($A119="","",SUMIFS(销售录入!$Q$5:$Q$404,销售录入!$D$5:$D$404,$A119,销售录入!$C$5:$C$404,首页!$B$5))</f>
        <v/>
      </c>
      <c r="E119" s="54" t="str">
        <f aca="false">IF($A119="","",SUMIFS(资金流水!$N$5:$N$504,资金流水!$G$5:$G$504,$A119,资金流水!$E$5:$E$504,"客户回款",资金流水!$C$5:$C$504,首页!$B$5))</f>
        <v/>
      </c>
      <c r="F119" s="62" t="str">
        <f aca="false">IF($A119="","",$C119+$D119-$E119)</f>
        <v/>
      </c>
      <c r="G119" s="44" t="str">
        <f aca="false">IF($A119="","",$F119-$H119-$I119-$J119-$K119)</f>
        <v/>
      </c>
      <c r="H119" s="44" t="str">
        <f aca="false">IF($A119="","",MIN($F119,MAX(0,SUMIFS(期初数据!$G$6:$G$155,期初数据!$E$6:$E$155,$A119,期初数据!$F$6:$F$155,"&lt;="&amp;首页!$B$7)+SUMIFS(销售录入!$Q$5:$Q$404,销售录入!$D$5:$D$404,$A119,销售录入!$U$5:$U$404,"&lt;="&amp;首页!$B$7)-SUMIFS(资金流水!$N$5:$N$504,资金流水!$G$5:$G$504,$A119,资金流水!$E$5:$E$504,"客户回款",资金流水!$B$5:$B$504,"&lt;="&amp;首页!$B$7)))-$K119-$J119-$I119)</f>
        <v/>
      </c>
      <c r="I119" s="44" t="str">
        <f aca="false">IF($A119="","",MIN($F119,MAX(0,SUMIFS(期初数据!$G$6:$G$155,期初数据!$E$6:$E$155,$A119,期初数据!$F$6:$F$155,"&lt;="&amp;首页!$B$7-30)+SUMIFS(销售录入!$Q$5:$Q$404,销售录入!$D$5:$D$404,$A119,销售录入!$U$5:$U$404,"&lt;="&amp;首页!$B$7-30)-SUMIFS(资金流水!$N$5:$N$504,资金流水!$G$5:$G$504,$A119,资金流水!$E$5:$E$504,"客户回款",资金流水!$B$5:$B$504,"&lt;="&amp;首页!$B$7)))-$K119-$J119)</f>
        <v/>
      </c>
      <c r="J119" s="44" t="str">
        <f aca="false">IF($A119="","",MIN($F119,MAX(0,SUMIFS(期初数据!$G$6:$G$155,期初数据!$E$6:$E$155,$A119,期初数据!$F$6:$F$155,"&lt;="&amp;首页!$B$7-60)+SUMIFS(销售录入!$Q$5:$Q$404,销售录入!$D$5:$D$404,$A119,销售录入!$U$5:$U$404,"&lt;="&amp;首页!$B$7-60)-SUMIFS(资金流水!$N$5:$N$504,资金流水!$G$5:$G$504,$A119,资金流水!$E$5:$E$504,"客户回款",资金流水!$B$5:$B$504,"&lt;="&amp;首页!$B$7)))-$K119)</f>
        <v/>
      </c>
      <c r="K119" s="44" t="str">
        <f aca="false">IF($A119="","",MIN($F119,MAX(0,SUMIFS(期初数据!$G$6:$G$155,期初数据!$E$6:$E$155,$A119,期初数据!$F$6:$F$155,"&lt;="&amp;首页!$B$7-90)+SUMIFS(销售录入!$Q$5:$Q$404,销售录入!$D$5:$D$404,$A119,销售录入!$U$5:$U$404,"&lt;="&amp;首页!$B$7-90)-SUMIFS(资金流水!$N$5:$N$504,资金流水!$G$5:$G$504,$A119,资金流水!$E$5:$E$504,"客户回款",资金流水!$B$5:$B$504,"&lt;="&amp;首页!$B$7))))</f>
        <v/>
      </c>
      <c r="L119" s="62" t="str">
        <f aca="false">IF($A119="","",$H119+$I119+$J119+$K119)</f>
        <v/>
      </c>
      <c r="M119" s="47" t="str">
        <f aca="false">IF($A119="","",IF($K119&gt;0,"高危",IF($J119&gt;0,"关注",IF($L119&gt;0,"提醒","正常"))))</f>
        <v/>
      </c>
      <c r="N119" s="42" t="str">
        <f aca="false">IF($A119="","",基础资料!$AA119)</f>
        <v/>
      </c>
    </row>
    <row r="120" customFormat="false" ht="15.75" hidden="false" customHeight="true" outlineLevel="0" collapsed="false">
      <c r="A120" s="35" t="str">
        <f aca="false">IF(基础资料!$Z120="","",基础资料!$Z120)</f>
        <v/>
      </c>
      <c r="B120" s="42" t="str">
        <f aca="false">IF($A120="","",N(基础资料!$AB120))</f>
        <v/>
      </c>
      <c r="C120" s="54" t="str">
        <f aca="false">IF($A120="","",SUMIFS(期初数据!$G$6:$G$155,期初数据!$E$6:$E$155,$A120,期初数据!$F$6:$F$155,"&lt;"&amp;首页!$B$6)+SUMIFS(销售录入!$Q$5:$Q$404,销售录入!$D$5:$D$404,$A120,销售录入!$B$5:$B$404,"&lt;"&amp;首页!$B$6)-SUMIFS(资金流水!$N$5:$N$504,资金流水!$G$5:$G$504,$A120,资金流水!$E$5:$E$504,"客户回款",资金流水!$B$5:$B$504,"&lt;"&amp;首页!$B$6))</f>
        <v/>
      </c>
      <c r="D120" s="54" t="str">
        <f aca="false">IF($A120="","",SUMIFS(销售录入!$Q$5:$Q$404,销售录入!$D$5:$D$404,$A120,销售录入!$C$5:$C$404,首页!$B$5))</f>
        <v/>
      </c>
      <c r="E120" s="54" t="str">
        <f aca="false">IF($A120="","",SUMIFS(资金流水!$N$5:$N$504,资金流水!$G$5:$G$504,$A120,资金流水!$E$5:$E$504,"客户回款",资金流水!$C$5:$C$504,首页!$B$5))</f>
        <v/>
      </c>
      <c r="F120" s="62" t="str">
        <f aca="false">IF($A120="","",$C120+$D120-$E120)</f>
        <v/>
      </c>
      <c r="G120" s="44" t="str">
        <f aca="false">IF($A120="","",$F120-$H120-$I120-$J120-$K120)</f>
        <v/>
      </c>
      <c r="H120" s="44" t="str">
        <f aca="false">IF($A120="","",MIN($F120,MAX(0,SUMIFS(期初数据!$G$6:$G$155,期初数据!$E$6:$E$155,$A120,期初数据!$F$6:$F$155,"&lt;="&amp;首页!$B$7)+SUMIFS(销售录入!$Q$5:$Q$404,销售录入!$D$5:$D$404,$A120,销售录入!$U$5:$U$404,"&lt;="&amp;首页!$B$7)-SUMIFS(资金流水!$N$5:$N$504,资金流水!$G$5:$G$504,$A120,资金流水!$E$5:$E$504,"客户回款",资金流水!$B$5:$B$504,"&lt;="&amp;首页!$B$7)))-$K120-$J120-$I120)</f>
        <v/>
      </c>
      <c r="I120" s="44" t="str">
        <f aca="false">IF($A120="","",MIN($F120,MAX(0,SUMIFS(期初数据!$G$6:$G$155,期初数据!$E$6:$E$155,$A120,期初数据!$F$6:$F$155,"&lt;="&amp;首页!$B$7-30)+SUMIFS(销售录入!$Q$5:$Q$404,销售录入!$D$5:$D$404,$A120,销售录入!$U$5:$U$404,"&lt;="&amp;首页!$B$7-30)-SUMIFS(资金流水!$N$5:$N$504,资金流水!$G$5:$G$504,$A120,资金流水!$E$5:$E$504,"客户回款",资金流水!$B$5:$B$504,"&lt;="&amp;首页!$B$7)))-$K120-$J120)</f>
        <v/>
      </c>
      <c r="J120" s="44" t="str">
        <f aca="false">IF($A120="","",MIN($F120,MAX(0,SUMIFS(期初数据!$G$6:$G$155,期初数据!$E$6:$E$155,$A120,期初数据!$F$6:$F$155,"&lt;="&amp;首页!$B$7-60)+SUMIFS(销售录入!$Q$5:$Q$404,销售录入!$D$5:$D$404,$A120,销售录入!$U$5:$U$404,"&lt;="&amp;首页!$B$7-60)-SUMIFS(资金流水!$N$5:$N$504,资金流水!$G$5:$G$504,$A120,资金流水!$E$5:$E$504,"客户回款",资金流水!$B$5:$B$504,"&lt;="&amp;首页!$B$7)))-$K120)</f>
        <v/>
      </c>
      <c r="K120" s="44" t="str">
        <f aca="false">IF($A120="","",MIN($F120,MAX(0,SUMIFS(期初数据!$G$6:$G$155,期初数据!$E$6:$E$155,$A120,期初数据!$F$6:$F$155,"&lt;="&amp;首页!$B$7-90)+SUMIFS(销售录入!$Q$5:$Q$404,销售录入!$D$5:$D$404,$A120,销售录入!$U$5:$U$404,"&lt;="&amp;首页!$B$7-90)-SUMIFS(资金流水!$N$5:$N$504,资金流水!$G$5:$G$504,$A120,资金流水!$E$5:$E$504,"客户回款",资金流水!$B$5:$B$504,"&lt;="&amp;首页!$B$7))))</f>
        <v/>
      </c>
      <c r="L120" s="62" t="str">
        <f aca="false">IF($A120="","",$H120+$I120+$J120+$K120)</f>
        <v/>
      </c>
      <c r="M120" s="47" t="str">
        <f aca="false">IF($A120="","",IF($K120&gt;0,"高危",IF($J120&gt;0,"关注",IF($L120&gt;0,"提醒","正常"))))</f>
        <v/>
      </c>
      <c r="N120" s="42" t="str">
        <f aca="false">IF($A120="","",基础资料!$AA120)</f>
        <v/>
      </c>
    </row>
    <row r="121" customFormat="false" ht="15.75" hidden="false" customHeight="true" outlineLevel="0" collapsed="false">
      <c r="A121" s="35" t="str">
        <f aca="false">IF(基础资料!$Z121="","",基础资料!$Z121)</f>
        <v/>
      </c>
      <c r="B121" s="42" t="str">
        <f aca="false">IF($A121="","",N(基础资料!$AB121))</f>
        <v/>
      </c>
      <c r="C121" s="54" t="str">
        <f aca="false">IF($A121="","",SUMIFS(期初数据!$G$6:$G$155,期初数据!$E$6:$E$155,$A121,期初数据!$F$6:$F$155,"&lt;"&amp;首页!$B$6)+SUMIFS(销售录入!$Q$5:$Q$404,销售录入!$D$5:$D$404,$A121,销售录入!$B$5:$B$404,"&lt;"&amp;首页!$B$6)-SUMIFS(资金流水!$N$5:$N$504,资金流水!$G$5:$G$504,$A121,资金流水!$E$5:$E$504,"客户回款",资金流水!$B$5:$B$504,"&lt;"&amp;首页!$B$6))</f>
        <v/>
      </c>
      <c r="D121" s="54" t="str">
        <f aca="false">IF($A121="","",SUMIFS(销售录入!$Q$5:$Q$404,销售录入!$D$5:$D$404,$A121,销售录入!$C$5:$C$404,首页!$B$5))</f>
        <v/>
      </c>
      <c r="E121" s="54" t="str">
        <f aca="false">IF($A121="","",SUMIFS(资金流水!$N$5:$N$504,资金流水!$G$5:$G$504,$A121,资金流水!$E$5:$E$504,"客户回款",资金流水!$C$5:$C$504,首页!$B$5))</f>
        <v/>
      </c>
      <c r="F121" s="62" t="str">
        <f aca="false">IF($A121="","",$C121+$D121-$E121)</f>
        <v/>
      </c>
      <c r="G121" s="44" t="str">
        <f aca="false">IF($A121="","",$F121-$H121-$I121-$J121-$K121)</f>
        <v/>
      </c>
      <c r="H121" s="44" t="str">
        <f aca="false">IF($A121="","",MIN($F121,MAX(0,SUMIFS(期初数据!$G$6:$G$155,期初数据!$E$6:$E$155,$A121,期初数据!$F$6:$F$155,"&lt;="&amp;首页!$B$7)+SUMIFS(销售录入!$Q$5:$Q$404,销售录入!$D$5:$D$404,$A121,销售录入!$U$5:$U$404,"&lt;="&amp;首页!$B$7)-SUMIFS(资金流水!$N$5:$N$504,资金流水!$G$5:$G$504,$A121,资金流水!$E$5:$E$504,"客户回款",资金流水!$B$5:$B$504,"&lt;="&amp;首页!$B$7)))-$K121-$J121-$I121)</f>
        <v/>
      </c>
      <c r="I121" s="44" t="str">
        <f aca="false">IF($A121="","",MIN($F121,MAX(0,SUMIFS(期初数据!$G$6:$G$155,期初数据!$E$6:$E$155,$A121,期初数据!$F$6:$F$155,"&lt;="&amp;首页!$B$7-30)+SUMIFS(销售录入!$Q$5:$Q$404,销售录入!$D$5:$D$404,$A121,销售录入!$U$5:$U$404,"&lt;="&amp;首页!$B$7-30)-SUMIFS(资金流水!$N$5:$N$504,资金流水!$G$5:$G$504,$A121,资金流水!$E$5:$E$504,"客户回款",资金流水!$B$5:$B$504,"&lt;="&amp;首页!$B$7)))-$K121-$J121)</f>
        <v/>
      </c>
      <c r="J121" s="44" t="str">
        <f aca="false">IF($A121="","",MIN($F121,MAX(0,SUMIFS(期初数据!$G$6:$G$155,期初数据!$E$6:$E$155,$A121,期初数据!$F$6:$F$155,"&lt;="&amp;首页!$B$7-60)+SUMIFS(销售录入!$Q$5:$Q$404,销售录入!$D$5:$D$404,$A121,销售录入!$U$5:$U$404,"&lt;="&amp;首页!$B$7-60)-SUMIFS(资金流水!$N$5:$N$504,资金流水!$G$5:$G$504,$A121,资金流水!$E$5:$E$504,"客户回款",资金流水!$B$5:$B$504,"&lt;="&amp;首页!$B$7)))-$K121)</f>
        <v/>
      </c>
      <c r="K121" s="44" t="str">
        <f aca="false">IF($A121="","",MIN($F121,MAX(0,SUMIFS(期初数据!$G$6:$G$155,期初数据!$E$6:$E$155,$A121,期初数据!$F$6:$F$155,"&lt;="&amp;首页!$B$7-90)+SUMIFS(销售录入!$Q$5:$Q$404,销售录入!$D$5:$D$404,$A121,销售录入!$U$5:$U$404,"&lt;="&amp;首页!$B$7-90)-SUMIFS(资金流水!$N$5:$N$504,资金流水!$G$5:$G$504,$A121,资金流水!$E$5:$E$504,"客户回款",资金流水!$B$5:$B$504,"&lt;="&amp;首页!$B$7))))</f>
        <v/>
      </c>
      <c r="L121" s="62" t="str">
        <f aca="false">IF($A121="","",$H121+$I121+$J121+$K121)</f>
        <v/>
      </c>
      <c r="M121" s="47" t="str">
        <f aca="false">IF($A121="","",IF($K121&gt;0,"高危",IF($J121&gt;0,"关注",IF($L121&gt;0,"提醒","正常"))))</f>
        <v/>
      </c>
      <c r="N121" s="42" t="str">
        <f aca="false">IF($A121="","",基础资料!$AA121)</f>
        <v/>
      </c>
    </row>
    <row r="122" customFormat="false" ht="15.75" hidden="false" customHeight="true" outlineLevel="0" collapsed="false">
      <c r="A122" s="35" t="str">
        <f aca="false">IF(基础资料!$Z122="","",基础资料!$Z122)</f>
        <v/>
      </c>
      <c r="B122" s="42" t="str">
        <f aca="false">IF($A122="","",N(基础资料!$AB122))</f>
        <v/>
      </c>
      <c r="C122" s="54" t="str">
        <f aca="false">IF($A122="","",SUMIFS(期初数据!$G$6:$G$155,期初数据!$E$6:$E$155,$A122,期初数据!$F$6:$F$155,"&lt;"&amp;首页!$B$6)+SUMIFS(销售录入!$Q$5:$Q$404,销售录入!$D$5:$D$404,$A122,销售录入!$B$5:$B$404,"&lt;"&amp;首页!$B$6)-SUMIFS(资金流水!$N$5:$N$504,资金流水!$G$5:$G$504,$A122,资金流水!$E$5:$E$504,"客户回款",资金流水!$B$5:$B$504,"&lt;"&amp;首页!$B$6))</f>
        <v/>
      </c>
      <c r="D122" s="54" t="str">
        <f aca="false">IF($A122="","",SUMIFS(销售录入!$Q$5:$Q$404,销售录入!$D$5:$D$404,$A122,销售录入!$C$5:$C$404,首页!$B$5))</f>
        <v/>
      </c>
      <c r="E122" s="54" t="str">
        <f aca="false">IF($A122="","",SUMIFS(资金流水!$N$5:$N$504,资金流水!$G$5:$G$504,$A122,资金流水!$E$5:$E$504,"客户回款",资金流水!$C$5:$C$504,首页!$B$5))</f>
        <v/>
      </c>
      <c r="F122" s="62" t="str">
        <f aca="false">IF($A122="","",$C122+$D122-$E122)</f>
        <v/>
      </c>
      <c r="G122" s="44" t="str">
        <f aca="false">IF($A122="","",$F122-$H122-$I122-$J122-$K122)</f>
        <v/>
      </c>
      <c r="H122" s="44" t="str">
        <f aca="false">IF($A122="","",MIN($F122,MAX(0,SUMIFS(期初数据!$G$6:$G$155,期初数据!$E$6:$E$155,$A122,期初数据!$F$6:$F$155,"&lt;="&amp;首页!$B$7)+SUMIFS(销售录入!$Q$5:$Q$404,销售录入!$D$5:$D$404,$A122,销售录入!$U$5:$U$404,"&lt;="&amp;首页!$B$7)-SUMIFS(资金流水!$N$5:$N$504,资金流水!$G$5:$G$504,$A122,资金流水!$E$5:$E$504,"客户回款",资金流水!$B$5:$B$504,"&lt;="&amp;首页!$B$7)))-$K122-$J122-$I122)</f>
        <v/>
      </c>
      <c r="I122" s="44" t="str">
        <f aca="false">IF($A122="","",MIN($F122,MAX(0,SUMIFS(期初数据!$G$6:$G$155,期初数据!$E$6:$E$155,$A122,期初数据!$F$6:$F$155,"&lt;="&amp;首页!$B$7-30)+SUMIFS(销售录入!$Q$5:$Q$404,销售录入!$D$5:$D$404,$A122,销售录入!$U$5:$U$404,"&lt;="&amp;首页!$B$7-30)-SUMIFS(资金流水!$N$5:$N$504,资金流水!$G$5:$G$504,$A122,资金流水!$E$5:$E$504,"客户回款",资金流水!$B$5:$B$504,"&lt;="&amp;首页!$B$7)))-$K122-$J122)</f>
        <v/>
      </c>
      <c r="J122" s="44" t="str">
        <f aca="false">IF($A122="","",MIN($F122,MAX(0,SUMIFS(期初数据!$G$6:$G$155,期初数据!$E$6:$E$155,$A122,期初数据!$F$6:$F$155,"&lt;="&amp;首页!$B$7-60)+SUMIFS(销售录入!$Q$5:$Q$404,销售录入!$D$5:$D$404,$A122,销售录入!$U$5:$U$404,"&lt;="&amp;首页!$B$7-60)-SUMIFS(资金流水!$N$5:$N$504,资金流水!$G$5:$G$504,$A122,资金流水!$E$5:$E$504,"客户回款",资金流水!$B$5:$B$504,"&lt;="&amp;首页!$B$7)))-$K122)</f>
        <v/>
      </c>
      <c r="K122" s="44" t="str">
        <f aca="false">IF($A122="","",MIN($F122,MAX(0,SUMIFS(期初数据!$G$6:$G$155,期初数据!$E$6:$E$155,$A122,期初数据!$F$6:$F$155,"&lt;="&amp;首页!$B$7-90)+SUMIFS(销售录入!$Q$5:$Q$404,销售录入!$D$5:$D$404,$A122,销售录入!$U$5:$U$404,"&lt;="&amp;首页!$B$7-90)-SUMIFS(资金流水!$N$5:$N$504,资金流水!$G$5:$G$504,$A122,资金流水!$E$5:$E$504,"客户回款",资金流水!$B$5:$B$504,"&lt;="&amp;首页!$B$7))))</f>
        <v/>
      </c>
      <c r="L122" s="62" t="str">
        <f aca="false">IF($A122="","",$H122+$I122+$J122+$K122)</f>
        <v/>
      </c>
      <c r="M122" s="47" t="str">
        <f aca="false">IF($A122="","",IF($K122&gt;0,"高危",IF($J122&gt;0,"关注",IF($L122&gt;0,"提醒","正常"))))</f>
        <v/>
      </c>
      <c r="N122" s="42" t="str">
        <f aca="false">IF($A122="","",基础资料!$AA122)</f>
        <v/>
      </c>
    </row>
    <row r="123" customFormat="false" ht="15.75" hidden="false" customHeight="true" outlineLevel="0" collapsed="false">
      <c r="A123" s="35" t="str">
        <f aca="false">IF(基础资料!$Z123="","",基础资料!$Z123)</f>
        <v/>
      </c>
      <c r="B123" s="42" t="str">
        <f aca="false">IF($A123="","",N(基础资料!$AB123))</f>
        <v/>
      </c>
      <c r="C123" s="54" t="str">
        <f aca="false">IF($A123="","",SUMIFS(期初数据!$G$6:$G$155,期初数据!$E$6:$E$155,$A123,期初数据!$F$6:$F$155,"&lt;"&amp;首页!$B$6)+SUMIFS(销售录入!$Q$5:$Q$404,销售录入!$D$5:$D$404,$A123,销售录入!$B$5:$B$404,"&lt;"&amp;首页!$B$6)-SUMIFS(资金流水!$N$5:$N$504,资金流水!$G$5:$G$504,$A123,资金流水!$E$5:$E$504,"客户回款",资金流水!$B$5:$B$504,"&lt;"&amp;首页!$B$6))</f>
        <v/>
      </c>
      <c r="D123" s="54" t="str">
        <f aca="false">IF($A123="","",SUMIFS(销售录入!$Q$5:$Q$404,销售录入!$D$5:$D$404,$A123,销售录入!$C$5:$C$404,首页!$B$5))</f>
        <v/>
      </c>
      <c r="E123" s="54" t="str">
        <f aca="false">IF($A123="","",SUMIFS(资金流水!$N$5:$N$504,资金流水!$G$5:$G$504,$A123,资金流水!$E$5:$E$504,"客户回款",资金流水!$C$5:$C$504,首页!$B$5))</f>
        <v/>
      </c>
      <c r="F123" s="62" t="str">
        <f aca="false">IF($A123="","",$C123+$D123-$E123)</f>
        <v/>
      </c>
      <c r="G123" s="44" t="str">
        <f aca="false">IF($A123="","",$F123-$H123-$I123-$J123-$K123)</f>
        <v/>
      </c>
      <c r="H123" s="44" t="str">
        <f aca="false">IF($A123="","",MIN($F123,MAX(0,SUMIFS(期初数据!$G$6:$G$155,期初数据!$E$6:$E$155,$A123,期初数据!$F$6:$F$155,"&lt;="&amp;首页!$B$7)+SUMIFS(销售录入!$Q$5:$Q$404,销售录入!$D$5:$D$404,$A123,销售录入!$U$5:$U$404,"&lt;="&amp;首页!$B$7)-SUMIFS(资金流水!$N$5:$N$504,资金流水!$G$5:$G$504,$A123,资金流水!$E$5:$E$504,"客户回款",资金流水!$B$5:$B$504,"&lt;="&amp;首页!$B$7)))-$K123-$J123-$I123)</f>
        <v/>
      </c>
      <c r="I123" s="44" t="str">
        <f aca="false">IF($A123="","",MIN($F123,MAX(0,SUMIFS(期初数据!$G$6:$G$155,期初数据!$E$6:$E$155,$A123,期初数据!$F$6:$F$155,"&lt;="&amp;首页!$B$7-30)+SUMIFS(销售录入!$Q$5:$Q$404,销售录入!$D$5:$D$404,$A123,销售录入!$U$5:$U$404,"&lt;="&amp;首页!$B$7-30)-SUMIFS(资金流水!$N$5:$N$504,资金流水!$G$5:$G$504,$A123,资金流水!$E$5:$E$504,"客户回款",资金流水!$B$5:$B$504,"&lt;="&amp;首页!$B$7)))-$K123-$J123)</f>
        <v/>
      </c>
      <c r="J123" s="44" t="str">
        <f aca="false">IF($A123="","",MIN($F123,MAX(0,SUMIFS(期初数据!$G$6:$G$155,期初数据!$E$6:$E$155,$A123,期初数据!$F$6:$F$155,"&lt;="&amp;首页!$B$7-60)+SUMIFS(销售录入!$Q$5:$Q$404,销售录入!$D$5:$D$404,$A123,销售录入!$U$5:$U$404,"&lt;="&amp;首页!$B$7-60)-SUMIFS(资金流水!$N$5:$N$504,资金流水!$G$5:$G$504,$A123,资金流水!$E$5:$E$504,"客户回款",资金流水!$B$5:$B$504,"&lt;="&amp;首页!$B$7)))-$K123)</f>
        <v/>
      </c>
      <c r="K123" s="44" t="str">
        <f aca="false">IF($A123="","",MIN($F123,MAX(0,SUMIFS(期初数据!$G$6:$G$155,期初数据!$E$6:$E$155,$A123,期初数据!$F$6:$F$155,"&lt;="&amp;首页!$B$7-90)+SUMIFS(销售录入!$Q$5:$Q$404,销售录入!$D$5:$D$404,$A123,销售录入!$U$5:$U$404,"&lt;="&amp;首页!$B$7-90)-SUMIFS(资金流水!$N$5:$N$504,资金流水!$G$5:$G$504,$A123,资金流水!$E$5:$E$504,"客户回款",资金流水!$B$5:$B$504,"&lt;="&amp;首页!$B$7))))</f>
        <v/>
      </c>
      <c r="L123" s="62" t="str">
        <f aca="false">IF($A123="","",$H123+$I123+$J123+$K123)</f>
        <v/>
      </c>
      <c r="M123" s="47" t="str">
        <f aca="false">IF($A123="","",IF($K123&gt;0,"高危",IF($J123&gt;0,"关注",IF($L123&gt;0,"提醒","正常"))))</f>
        <v/>
      </c>
      <c r="N123" s="42" t="str">
        <f aca="false">IF($A123="","",基础资料!$AA123)</f>
        <v/>
      </c>
    </row>
    <row r="124" customFormat="false" ht="15.75" hidden="false" customHeight="true" outlineLevel="0" collapsed="false">
      <c r="A124" s="35" t="str">
        <f aca="false">IF(基础资料!$Z124="","",基础资料!$Z124)</f>
        <v/>
      </c>
      <c r="B124" s="42" t="str">
        <f aca="false">IF($A124="","",N(基础资料!$AB124))</f>
        <v/>
      </c>
      <c r="C124" s="54" t="str">
        <f aca="false">IF($A124="","",SUMIFS(期初数据!$G$6:$G$155,期初数据!$E$6:$E$155,$A124,期初数据!$F$6:$F$155,"&lt;"&amp;首页!$B$6)+SUMIFS(销售录入!$Q$5:$Q$404,销售录入!$D$5:$D$404,$A124,销售录入!$B$5:$B$404,"&lt;"&amp;首页!$B$6)-SUMIFS(资金流水!$N$5:$N$504,资金流水!$G$5:$G$504,$A124,资金流水!$E$5:$E$504,"客户回款",资金流水!$B$5:$B$504,"&lt;"&amp;首页!$B$6))</f>
        <v/>
      </c>
      <c r="D124" s="54" t="str">
        <f aca="false">IF($A124="","",SUMIFS(销售录入!$Q$5:$Q$404,销售录入!$D$5:$D$404,$A124,销售录入!$C$5:$C$404,首页!$B$5))</f>
        <v/>
      </c>
      <c r="E124" s="54" t="str">
        <f aca="false">IF($A124="","",SUMIFS(资金流水!$N$5:$N$504,资金流水!$G$5:$G$504,$A124,资金流水!$E$5:$E$504,"客户回款",资金流水!$C$5:$C$504,首页!$B$5))</f>
        <v/>
      </c>
      <c r="F124" s="62" t="str">
        <f aca="false">IF($A124="","",$C124+$D124-$E124)</f>
        <v/>
      </c>
      <c r="G124" s="44" t="str">
        <f aca="false">IF($A124="","",$F124-$H124-$I124-$J124-$K124)</f>
        <v/>
      </c>
      <c r="H124" s="44" t="str">
        <f aca="false">IF($A124="","",MIN($F124,MAX(0,SUMIFS(期初数据!$G$6:$G$155,期初数据!$E$6:$E$155,$A124,期初数据!$F$6:$F$155,"&lt;="&amp;首页!$B$7)+SUMIFS(销售录入!$Q$5:$Q$404,销售录入!$D$5:$D$404,$A124,销售录入!$U$5:$U$404,"&lt;="&amp;首页!$B$7)-SUMIFS(资金流水!$N$5:$N$504,资金流水!$G$5:$G$504,$A124,资金流水!$E$5:$E$504,"客户回款",资金流水!$B$5:$B$504,"&lt;="&amp;首页!$B$7)))-$K124-$J124-$I124)</f>
        <v/>
      </c>
      <c r="I124" s="44" t="str">
        <f aca="false">IF($A124="","",MIN($F124,MAX(0,SUMIFS(期初数据!$G$6:$G$155,期初数据!$E$6:$E$155,$A124,期初数据!$F$6:$F$155,"&lt;="&amp;首页!$B$7-30)+SUMIFS(销售录入!$Q$5:$Q$404,销售录入!$D$5:$D$404,$A124,销售录入!$U$5:$U$404,"&lt;="&amp;首页!$B$7-30)-SUMIFS(资金流水!$N$5:$N$504,资金流水!$G$5:$G$504,$A124,资金流水!$E$5:$E$504,"客户回款",资金流水!$B$5:$B$504,"&lt;="&amp;首页!$B$7)))-$K124-$J124)</f>
        <v/>
      </c>
      <c r="J124" s="44" t="str">
        <f aca="false">IF($A124="","",MIN($F124,MAX(0,SUMIFS(期初数据!$G$6:$G$155,期初数据!$E$6:$E$155,$A124,期初数据!$F$6:$F$155,"&lt;="&amp;首页!$B$7-60)+SUMIFS(销售录入!$Q$5:$Q$404,销售录入!$D$5:$D$404,$A124,销售录入!$U$5:$U$404,"&lt;="&amp;首页!$B$7-60)-SUMIFS(资金流水!$N$5:$N$504,资金流水!$G$5:$G$504,$A124,资金流水!$E$5:$E$504,"客户回款",资金流水!$B$5:$B$504,"&lt;="&amp;首页!$B$7)))-$K124)</f>
        <v/>
      </c>
      <c r="K124" s="44" t="str">
        <f aca="false">IF($A124="","",MIN($F124,MAX(0,SUMIFS(期初数据!$G$6:$G$155,期初数据!$E$6:$E$155,$A124,期初数据!$F$6:$F$155,"&lt;="&amp;首页!$B$7-90)+SUMIFS(销售录入!$Q$5:$Q$404,销售录入!$D$5:$D$404,$A124,销售录入!$U$5:$U$404,"&lt;="&amp;首页!$B$7-90)-SUMIFS(资金流水!$N$5:$N$504,资金流水!$G$5:$G$504,$A124,资金流水!$E$5:$E$504,"客户回款",资金流水!$B$5:$B$504,"&lt;="&amp;首页!$B$7))))</f>
        <v/>
      </c>
      <c r="L124" s="62" t="str">
        <f aca="false">IF($A124="","",$H124+$I124+$J124+$K124)</f>
        <v/>
      </c>
      <c r="M124" s="47" t="str">
        <f aca="false">IF($A124="","",IF($K124&gt;0,"高危",IF($J124&gt;0,"关注",IF($L124&gt;0,"提醒","正常"))))</f>
        <v/>
      </c>
      <c r="N124" s="42" t="str">
        <f aca="false">IF($A124="","",基础资料!$AA124)</f>
        <v/>
      </c>
    </row>
    <row r="125" customFormat="false" ht="15.75" hidden="false" customHeight="true" outlineLevel="0" collapsed="false">
      <c r="A125" s="35" t="str">
        <f aca="false">IF(基础资料!$Z125="","",基础资料!$Z125)</f>
        <v/>
      </c>
      <c r="B125" s="42" t="str">
        <f aca="false">IF($A125="","",N(基础资料!$AB125))</f>
        <v/>
      </c>
      <c r="C125" s="54" t="str">
        <f aca="false">IF($A125="","",SUMIFS(期初数据!$G$6:$G$155,期初数据!$E$6:$E$155,$A125,期初数据!$F$6:$F$155,"&lt;"&amp;首页!$B$6)+SUMIFS(销售录入!$Q$5:$Q$404,销售录入!$D$5:$D$404,$A125,销售录入!$B$5:$B$404,"&lt;"&amp;首页!$B$6)-SUMIFS(资金流水!$N$5:$N$504,资金流水!$G$5:$G$504,$A125,资金流水!$E$5:$E$504,"客户回款",资金流水!$B$5:$B$504,"&lt;"&amp;首页!$B$6))</f>
        <v/>
      </c>
      <c r="D125" s="54" t="str">
        <f aca="false">IF($A125="","",SUMIFS(销售录入!$Q$5:$Q$404,销售录入!$D$5:$D$404,$A125,销售录入!$C$5:$C$404,首页!$B$5))</f>
        <v/>
      </c>
      <c r="E125" s="54" t="str">
        <f aca="false">IF($A125="","",SUMIFS(资金流水!$N$5:$N$504,资金流水!$G$5:$G$504,$A125,资金流水!$E$5:$E$504,"客户回款",资金流水!$C$5:$C$504,首页!$B$5))</f>
        <v/>
      </c>
      <c r="F125" s="62" t="str">
        <f aca="false">IF($A125="","",$C125+$D125-$E125)</f>
        <v/>
      </c>
      <c r="G125" s="44" t="str">
        <f aca="false">IF($A125="","",$F125-$H125-$I125-$J125-$K125)</f>
        <v/>
      </c>
      <c r="H125" s="44" t="str">
        <f aca="false">IF($A125="","",MIN($F125,MAX(0,SUMIFS(期初数据!$G$6:$G$155,期初数据!$E$6:$E$155,$A125,期初数据!$F$6:$F$155,"&lt;="&amp;首页!$B$7)+SUMIFS(销售录入!$Q$5:$Q$404,销售录入!$D$5:$D$404,$A125,销售录入!$U$5:$U$404,"&lt;="&amp;首页!$B$7)-SUMIFS(资金流水!$N$5:$N$504,资金流水!$G$5:$G$504,$A125,资金流水!$E$5:$E$504,"客户回款",资金流水!$B$5:$B$504,"&lt;="&amp;首页!$B$7)))-$K125-$J125-$I125)</f>
        <v/>
      </c>
      <c r="I125" s="44" t="str">
        <f aca="false">IF($A125="","",MIN($F125,MAX(0,SUMIFS(期初数据!$G$6:$G$155,期初数据!$E$6:$E$155,$A125,期初数据!$F$6:$F$155,"&lt;="&amp;首页!$B$7-30)+SUMIFS(销售录入!$Q$5:$Q$404,销售录入!$D$5:$D$404,$A125,销售录入!$U$5:$U$404,"&lt;="&amp;首页!$B$7-30)-SUMIFS(资金流水!$N$5:$N$504,资金流水!$G$5:$G$504,$A125,资金流水!$E$5:$E$504,"客户回款",资金流水!$B$5:$B$504,"&lt;="&amp;首页!$B$7)))-$K125-$J125)</f>
        <v/>
      </c>
      <c r="J125" s="44" t="str">
        <f aca="false">IF($A125="","",MIN($F125,MAX(0,SUMIFS(期初数据!$G$6:$G$155,期初数据!$E$6:$E$155,$A125,期初数据!$F$6:$F$155,"&lt;="&amp;首页!$B$7-60)+SUMIFS(销售录入!$Q$5:$Q$404,销售录入!$D$5:$D$404,$A125,销售录入!$U$5:$U$404,"&lt;="&amp;首页!$B$7-60)-SUMIFS(资金流水!$N$5:$N$504,资金流水!$G$5:$G$504,$A125,资金流水!$E$5:$E$504,"客户回款",资金流水!$B$5:$B$504,"&lt;="&amp;首页!$B$7)))-$K125)</f>
        <v/>
      </c>
      <c r="K125" s="44" t="str">
        <f aca="false">IF($A125="","",MIN($F125,MAX(0,SUMIFS(期初数据!$G$6:$G$155,期初数据!$E$6:$E$155,$A125,期初数据!$F$6:$F$155,"&lt;="&amp;首页!$B$7-90)+SUMIFS(销售录入!$Q$5:$Q$404,销售录入!$D$5:$D$404,$A125,销售录入!$U$5:$U$404,"&lt;="&amp;首页!$B$7-90)-SUMIFS(资金流水!$N$5:$N$504,资金流水!$G$5:$G$504,$A125,资金流水!$E$5:$E$504,"客户回款",资金流水!$B$5:$B$504,"&lt;="&amp;首页!$B$7))))</f>
        <v/>
      </c>
      <c r="L125" s="62" t="str">
        <f aca="false">IF($A125="","",$H125+$I125+$J125+$K125)</f>
        <v/>
      </c>
      <c r="M125" s="47" t="str">
        <f aca="false">IF($A125="","",IF($K125&gt;0,"高危",IF($J125&gt;0,"关注",IF($L125&gt;0,"提醒","正常"))))</f>
        <v/>
      </c>
      <c r="N125" s="42" t="str">
        <f aca="false">IF($A125="","",基础资料!$AA125)</f>
        <v/>
      </c>
    </row>
    <row r="126" customFormat="false" ht="15.75" hidden="false" customHeight="true" outlineLevel="0" collapsed="false">
      <c r="A126" s="35" t="str">
        <f aca="false">IF(基础资料!$Z126="","",基础资料!$Z126)</f>
        <v/>
      </c>
      <c r="B126" s="42" t="str">
        <f aca="false">IF($A126="","",N(基础资料!$AB126))</f>
        <v/>
      </c>
      <c r="C126" s="54" t="str">
        <f aca="false">IF($A126="","",SUMIFS(期初数据!$G$6:$G$155,期初数据!$E$6:$E$155,$A126,期初数据!$F$6:$F$155,"&lt;"&amp;首页!$B$6)+SUMIFS(销售录入!$Q$5:$Q$404,销售录入!$D$5:$D$404,$A126,销售录入!$B$5:$B$404,"&lt;"&amp;首页!$B$6)-SUMIFS(资金流水!$N$5:$N$504,资金流水!$G$5:$G$504,$A126,资金流水!$E$5:$E$504,"客户回款",资金流水!$B$5:$B$504,"&lt;"&amp;首页!$B$6))</f>
        <v/>
      </c>
      <c r="D126" s="54" t="str">
        <f aca="false">IF($A126="","",SUMIFS(销售录入!$Q$5:$Q$404,销售录入!$D$5:$D$404,$A126,销售录入!$C$5:$C$404,首页!$B$5))</f>
        <v/>
      </c>
      <c r="E126" s="54" t="str">
        <f aca="false">IF($A126="","",SUMIFS(资金流水!$N$5:$N$504,资金流水!$G$5:$G$504,$A126,资金流水!$E$5:$E$504,"客户回款",资金流水!$C$5:$C$504,首页!$B$5))</f>
        <v/>
      </c>
      <c r="F126" s="62" t="str">
        <f aca="false">IF($A126="","",$C126+$D126-$E126)</f>
        <v/>
      </c>
      <c r="G126" s="44" t="str">
        <f aca="false">IF($A126="","",$F126-$H126-$I126-$J126-$K126)</f>
        <v/>
      </c>
      <c r="H126" s="44" t="str">
        <f aca="false">IF($A126="","",MIN($F126,MAX(0,SUMIFS(期初数据!$G$6:$G$155,期初数据!$E$6:$E$155,$A126,期初数据!$F$6:$F$155,"&lt;="&amp;首页!$B$7)+SUMIFS(销售录入!$Q$5:$Q$404,销售录入!$D$5:$D$404,$A126,销售录入!$U$5:$U$404,"&lt;="&amp;首页!$B$7)-SUMIFS(资金流水!$N$5:$N$504,资金流水!$G$5:$G$504,$A126,资金流水!$E$5:$E$504,"客户回款",资金流水!$B$5:$B$504,"&lt;="&amp;首页!$B$7)))-$K126-$J126-$I126)</f>
        <v/>
      </c>
      <c r="I126" s="44" t="str">
        <f aca="false">IF($A126="","",MIN($F126,MAX(0,SUMIFS(期初数据!$G$6:$G$155,期初数据!$E$6:$E$155,$A126,期初数据!$F$6:$F$155,"&lt;="&amp;首页!$B$7-30)+SUMIFS(销售录入!$Q$5:$Q$404,销售录入!$D$5:$D$404,$A126,销售录入!$U$5:$U$404,"&lt;="&amp;首页!$B$7-30)-SUMIFS(资金流水!$N$5:$N$504,资金流水!$G$5:$G$504,$A126,资金流水!$E$5:$E$504,"客户回款",资金流水!$B$5:$B$504,"&lt;="&amp;首页!$B$7)))-$K126-$J126)</f>
        <v/>
      </c>
      <c r="J126" s="44" t="str">
        <f aca="false">IF($A126="","",MIN($F126,MAX(0,SUMIFS(期初数据!$G$6:$G$155,期初数据!$E$6:$E$155,$A126,期初数据!$F$6:$F$155,"&lt;="&amp;首页!$B$7-60)+SUMIFS(销售录入!$Q$5:$Q$404,销售录入!$D$5:$D$404,$A126,销售录入!$U$5:$U$404,"&lt;="&amp;首页!$B$7-60)-SUMIFS(资金流水!$N$5:$N$504,资金流水!$G$5:$G$504,$A126,资金流水!$E$5:$E$504,"客户回款",资金流水!$B$5:$B$504,"&lt;="&amp;首页!$B$7)))-$K126)</f>
        <v/>
      </c>
      <c r="K126" s="44" t="str">
        <f aca="false">IF($A126="","",MIN($F126,MAX(0,SUMIFS(期初数据!$G$6:$G$155,期初数据!$E$6:$E$155,$A126,期初数据!$F$6:$F$155,"&lt;="&amp;首页!$B$7-90)+SUMIFS(销售录入!$Q$5:$Q$404,销售录入!$D$5:$D$404,$A126,销售录入!$U$5:$U$404,"&lt;="&amp;首页!$B$7-90)-SUMIFS(资金流水!$N$5:$N$504,资金流水!$G$5:$G$504,$A126,资金流水!$E$5:$E$504,"客户回款",资金流水!$B$5:$B$504,"&lt;="&amp;首页!$B$7))))</f>
        <v/>
      </c>
      <c r="L126" s="62" t="str">
        <f aca="false">IF($A126="","",$H126+$I126+$J126+$K126)</f>
        <v/>
      </c>
      <c r="M126" s="47" t="str">
        <f aca="false">IF($A126="","",IF($K126&gt;0,"高危",IF($J126&gt;0,"关注",IF($L126&gt;0,"提醒","正常"))))</f>
        <v/>
      </c>
      <c r="N126" s="42" t="str">
        <f aca="false">IF($A126="","",基础资料!$AA126)</f>
        <v/>
      </c>
    </row>
    <row r="127" customFormat="false" ht="15.75" hidden="false" customHeight="true" outlineLevel="0" collapsed="false">
      <c r="A127" s="35" t="str">
        <f aca="false">IF(基础资料!$Z127="","",基础资料!$Z127)</f>
        <v/>
      </c>
      <c r="B127" s="42" t="str">
        <f aca="false">IF($A127="","",N(基础资料!$AB127))</f>
        <v/>
      </c>
      <c r="C127" s="54" t="str">
        <f aca="false">IF($A127="","",SUMIFS(期初数据!$G$6:$G$155,期初数据!$E$6:$E$155,$A127,期初数据!$F$6:$F$155,"&lt;"&amp;首页!$B$6)+SUMIFS(销售录入!$Q$5:$Q$404,销售录入!$D$5:$D$404,$A127,销售录入!$B$5:$B$404,"&lt;"&amp;首页!$B$6)-SUMIFS(资金流水!$N$5:$N$504,资金流水!$G$5:$G$504,$A127,资金流水!$E$5:$E$504,"客户回款",资金流水!$B$5:$B$504,"&lt;"&amp;首页!$B$6))</f>
        <v/>
      </c>
      <c r="D127" s="54" t="str">
        <f aca="false">IF($A127="","",SUMIFS(销售录入!$Q$5:$Q$404,销售录入!$D$5:$D$404,$A127,销售录入!$C$5:$C$404,首页!$B$5))</f>
        <v/>
      </c>
      <c r="E127" s="54" t="str">
        <f aca="false">IF($A127="","",SUMIFS(资金流水!$N$5:$N$504,资金流水!$G$5:$G$504,$A127,资金流水!$E$5:$E$504,"客户回款",资金流水!$C$5:$C$504,首页!$B$5))</f>
        <v/>
      </c>
      <c r="F127" s="62" t="str">
        <f aca="false">IF($A127="","",$C127+$D127-$E127)</f>
        <v/>
      </c>
      <c r="G127" s="44" t="str">
        <f aca="false">IF($A127="","",$F127-$H127-$I127-$J127-$K127)</f>
        <v/>
      </c>
      <c r="H127" s="44" t="str">
        <f aca="false">IF($A127="","",MIN($F127,MAX(0,SUMIFS(期初数据!$G$6:$G$155,期初数据!$E$6:$E$155,$A127,期初数据!$F$6:$F$155,"&lt;="&amp;首页!$B$7)+SUMIFS(销售录入!$Q$5:$Q$404,销售录入!$D$5:$D$404,$A127,销售录入!$U$5:$U$404,"&lt;="&amp;首页!$B$7)-SUMIFS(资金流水!$N$5:$N$504,资金流水!$G$5:$G$504,$A127,资金流水!$E$5:$E$504,"客户回款",资金流水!$B$5:$B$504,"&lt;="&amp;首页!$B$7)))-$K127-$J127-$I127)</f>
        <v/>
      </c>
      <c r="I127" s="44" t="str">
        <f aca="false">IF($A127="","",MIN($F127,MAX(0,SUMIFS(期初数据!$G$6:$G$155,期初数据!$E$6:$E$155,$A127,期初数据!$F$6:$F$155,"&lt;="&amp;首页!$B$7-30)+SUMIFS(销售录入!$Q$5:$Q$404,销售录入!$D$5:$D$404,$A127,销售录入!$U$5:$U$404,"&lt;="&amp;首页!$B$7-30)-SUMIFS(资金流水!$N$5:$N$504,资金流水!$G$5:$G$504,$A127,资金流水!$E$5:$E$504,"客户回款",资金流水!$B$5:$B$504,"&lt;="&amp;首页!$B$7)))-$K127-$J127)</f>
        <v/>
      </c>
      <c r="J127" s="44" t="str">
        <f aca="false">IF($A127="","",MIN($F127,MAX(0,SUMIFS(期初数据!$G$6:$G$155,期初数据!$E$6:$E$155,$A127,期初数据!$F$6:$F$155,"&lt;="&amp;首页!$B$7-60)+SUMIFS(销售录入!$Q$5:$Q$404,销售录入!$D$5:$D$404,$A127,销售录入!$U$5:$U$404,"&lt;="&amp;首页!$B$7-60)-SUMIFS(资金流水!$N$5:$N$504,资金流水!$G$5:$G$504,$A127,资金流水!$E$5:$E$504,"客户回款",资金流水!$B$5:$B$504,"&lt;="&amp;首页!$B$7)))-$K127)</f>
        <v/>
      </c>
      <c r="K127" s="44" t="str">
        <f aca="false">IF($A127="","",MIN($F127,MAX(0,SUMIFS(期初数据!$G$6:$G$155,期初数据!$E$6:$E$155,$A127,期初数据!$F$6:$F$155,"&lt;="&amp;首页!$B$7-90)+SUMIFS(销售录入!$Q$5:$Q$404,销售录入!$D$5:$D$404,$A127,销售录入!$U$5:$U$404,"&lt;="&amp;首页!$B$7-90)-SUMIFS(资金流水!$N$5:$N$504,资金流水!$G$5:$G$504,$A127,资金流水!$E$5:$E$504,"客户回款",资金流水!$B$5:$B$504,"&lt;="&amp;首页!$B$7))))</f>
        <v/>
      </c>
      <c r="L127" s="62" t="str">
        <f aca="false">IF($A127="","",$H127+$I127+$J127+$K127)</f>
        <v/>
      </c>
      <c r="M127" s="47" t="str">
        <f aca="false">IF($A127="","",IF($K127&gt;0,"高危",IF($J127&gt;0,"关注",IF($L127&gt;0,"提醒","正常"))))</f>
        <v/>
      </c>
      <c r="N127" s="42" t="str">
        <f aca="false">IF($A127="","",基础资料!$AA127)</f>
        <v/>
      </c>
    </row>
    <row r="128" customFormat="false" ht="15.75" hidden="false" customHeight="true" outlineLevel="0" collapsed="false">
      <c r="A128" s="35" t="str">
        <f aca="false">IF(基础资料!$Z128="","",基础资料!$Z128)</f>
        <v/>
      </c>
      <c r="B128" s="42" t="str">
        <f aca="false">IF($A128="","",N(基础资料!$AB128))</f>
        <v/>
      </c>
      <c r="C128" s="54" t="str">
        <f aca="false">IF($A128="","",SUMIFS(期初数据!$G$6:$G$155,期初数据!$E$6:$E$155,$A128,期初数据!$F$6:$F$155,"&lt;"&amp;首页!$B$6)+SUMIFS(销售录入!$Q$5:$Q$404,销售录入!$D$5:$D$404,$A128,销售录入!$B$5:$B$404,"&lt;"&amp;首页!$B$6)-SUMIFS(资金流水!$N$5:$N$504,资金流水!$G$5:$G$504,$A128,资金流水!$E$5:$E$504,"客户回款",资金流水!$B$5:$B$504,"&lt;"&amp;首页!$B$6))</f>
        <v/>
      </c>
      <c r="D128" s="54" t="str">
        <f aca="false">IF($A128="","",SUMIFS(销售录入!$Q$5:$Q$404,销售录入!$D$5:$D$404,$A128,销售录入!$C$5:$C$404,首页!$B$5))</f>
        <v/>
      </c>
      <c r="E128" s="54" t="str">
        <f aca="false">IF($A128="","",SUMIFS(资金流水!$N$5:$N$504,资金流水!$G$5:$G$504,$A128,资金流水!$E$5:$E$504,"客户回款",资金流水!$C$5:$C$504,首页!$B$5))</f>
        <v/>
      </c>
      <c r="F128" s="62" t="str">
        <f aca="false">IF($A128="","",$C128+$D128-$E128)</f>
        <v/>
      </c>
      <c r="G128" s="44" t="str">
        <f aca="false">IF($A128="","",$F128-$H128-$I128-$J128-$K128)</f>
        <v/>
      </c>
      <c r="H128" s="44" t="str">
        <f aca="false">IF($A128="","",MIN($F128,MAX(0,SUMIFS(期初数据!$G$6:$G$155,期初数据!$E$6:$E$155,$A128,期初数据!$F$6:$F$155,"&lt;="&amp;首页!$B$7)+SUMIFS(销售录入!$Q$5:$Q$404,销售录入!$D$5:$D$404,$A128,销售录入!$U$5:$U$404,"&lt;="&amp;首页!$B$7)-SUMIFS(资金流水!$N$5:$N$504,资金流水!$G$5:$G$504,$A128,资金流水!$E$5:$E$504,"客户回款",资金流水!$B$5:$B$504,"&lt;="&amp;首页!$B$7)))-$K128-$J128-$I128)</f>
        <v/>
      </c>
      <c r="I128" s="44" t="str">
        <f aca="false">IF($A128="","",MIN($F128,MAX(0,SUMIFS(期初数据!$G$6:$G$155,期初数据!$E$6:$E$155,$A128,期初数据!$F$6:$F$155,"&lt;="&amp;首页!$B$7-30)+SUMIFS(销售录入!$Q$5:$Q$404,销售录入!$D$5:$D$404,$A128,销售录入!$U$5:$U$404,"&lt;="&amp;首页!$B$7-30)-SUMIFS(资金流水!$N$5:$N$504,资金流水!$G$5:$G$504,$A128,资金流水!$E$5:$E$504,"客户回款",资金流水!$B$5:$B$504,"&lt;="&amp;首页!$B$7)))-$K128-$J128)</f>
        <v/>
      </c>
      <c r="J128" s="44" t="str">
        <f aca="false">IF($A128="","",MIN($F128,MAX(0,SUMIFS(期初数据!$G$6:$G$155,期初数据!$E$6:$E$155,$A128,期初数据!$F$6:$F$155,"&lt;="&amp;首页!$B$7-60)+SUMIFS(销售录入!$Q$5:$Q$404,销售录入!$D$5:$D$404,$A128,销售录入!$U$5:$U$404,"&lt;="&amp;首页!$B$7-60)-SUMIFS(资金流水!$N$5:$N$504,资金流水!$G$5:$G$504,$A128,资金流水!$E$5:$E$504,"客户回款",资金流水!$B$5:$B$504,"&lt;="&amp;首页!$B$7)))-$K128)</f>
        <v/>
      </c>
      <c r="K128" s="44" t="str">
        <f aca="false">IF($A128="","",MIN($F128,MAX(0,SUMIFS(期初数据!$G$6:$G$155,期初数据!$E$6:$E$155,$A128,期初数据!$F$6:$F$155,"&lt;="&amp;首页!$B$7-90)+SUMIFS(销售录入!$Q$5:$Q$404,销售录入!$D$5:$D$404,$A128,销售录入!$U$5:$U$404,"&lt;="&amp;首页!$B$7-90)-SUMIFS(资金流水!$N$5:$N$504,资金流水!$G$5:$G$504,$A128,资金流水!$E$5:$E$504,"客户回款",资金流水!$B$5:$B$504,"&lt;="&amp;首页!$B$7))))</f>
        <v/>
      </c>
      <c r="L128" s="62" t="str">
        <f aca="false">IF($A128="","",$H128+$I128+$J128+$K128)</f>
        <v/>
      </c>
      <c r="M128" s="47" t="str">
        <f aca="false">IF($A128="","",IF($K128&gt;0,"高危",IF($J128&gt;0,"关注",IF($L128&gt;0,"提醒","正常"))))</f>
        <v/>
      </c>
      <c r="N128" s="42" t="str">
        <f aca="false">IF($A128="","",基础资料!$AA128)</f>
        <v/>
      </c>
    </row>
    <row r="129" customFormat="false" ht="15.75" hidden="false" customHeight="true" outlineLevel="0" collapsed="false">
      <c r="A129" s="35" t="str">
        <f aca="false">IF(基础资料!$Z129="","",基础资料!$Z129)</f>
        <v/>
      </c>
      <c r="B129" s="42" t="str">
        <f aca="false">IF($A129="","",N(基础资料!$AB129))</f>
        <v/>
      </c>
      <c r="C129" s="54" t="str">
        <f aca="false">IF($A129="","",SUMIFS(期初数据!$G$6:$G$155,期初数据!$E$6:$E$155,$A129,期初数据!$F$6:$F$155,"&lt;"&amp;首页!$B$6)+SUMIFS(销售录入!$Q$5:$Q$404,销售录入!$D$5:$D$404,$A129,销售录入!$B$5:$B$404,"&lt;"&amp;首页!$B$6)-SUMIFS(资金流水!$N$5:$N$504,资金流水!$G$5:$G$504,$A129,资金流水!$E$5:$E$504,"客户回款",资金流水!$B$5:$B$504,"&lt;"&amp;首页!$B$6))</f>
        <v/>
      </c>
      <c r="D129" s="54" t="str">
        <f aca="false">IF($A129="","",SUMIFS(销售录入!$Q$5:$Q$404,销售录入!$D$5:$D$404,$A129,销售录入!$C$5:$C$404,首页!$B$5))</f>
        <v/>
      </c>
      <c r="E129" s="54" t="str">
        <f aca="false">IF($A129="","",SUMIFS(资金流水!$N$5:$N$504,资金流水!$G$5:$G$504,$A129,资金流水!$E$5:$E$504,"客户回款",资金流水!$C$5:$C$504,首页!$B$5))</f>
        <v/>
      </c>
      <c r="F129" s="62" t="str">
        <f aca="false">IF($A129="","",$C129+$D129-$E129)</f>
        <v/>
      </c>
      <c r="G129" s="44" t="str">
        <f aca="false">IF($A129="","",$F129-$H129-$I129-$J129-$K129)</f>
        <v/>
      </c>
      <c r="H129" s="44" t="str">
        <f aca="false">IF($A129="","",MIN($F129,MAX(0,SUMIFS(期初数据!$G$6:$G$155,期初数据!$E$6:$E$155,$A129,期初数据!$F$6:$F$155,"&lt;="&amp;首页!$B$7)+SUMIFS(销售录入!$Q$5:$Q$404,销售录入!$D$5:$D$404,$A129,销售录入!$U$5:$U$404,"&lt;="&amp;首页!$B$7)-SUMIFS(资金流水!$N$5:$N$504,资金流水!$G$5:$G$504,$A129,资金流水!$E$5:$E$504,"客户回款",资金流水!$B$5:$B$504,"&lt;="&amp;首页!$B$7)))-$K129-$J129-$I129)</f>
        <v/>
      </c>
      <c r="I129" s="44" t="str">
        <f aca="false">IF($A129="","",MIN($F129,MAX(0,SUMIFS(期初数据!$G$6:$G$155,期初数据!$E$6:$E$155,$A129,期初数据!$F$6:$F$155,"&lt;="&amp;首页!$B$7-30)+SUMIFS(销售录入!$Q$5:$Q$404,销售录入!$D$5:$D$404,$A129,销售录入!$U$5:$U$404,"&lt;="&amp;首页!$B$7-30)-SUMIFS(资金流水!$N$5:$N$504,资金流水!$G$5:$G$504,$A129,资金流水!$E$5:$E$504,"客户回款",资金流水!$B$5:$B$504,"&lt;="&amp;首页!$B$7)))-$K129-$J129)</f>
        <v/>
      </c>
      <c r="J129" s="44" t="str">
        <f aca="false">IF($A129="","",MIN($F129,MAX(0,SUMIFS(期初数据!$G$6:$G$155,期初数据!$E$6:$E$155,$A129,期初数据!$F$6:$F$155,"&lt;="&amp;首页!$B$7-60)+SUMIFS(销售录入!$Q$5:$Q$404,销售录入!$D$5:$D$404,$A129,销售录入!$U$5:$U$404,"&lt;="&amp;首页!$B$7-60)-SUMIFS(资金流水!$N$5:$N$504,资金流水!$G$5:$G$504,$A129,资金流水!$E$5:$E$504,"客户回款",资金流水!$B$5:$B$504,"&lt;="&amp;首页!$B$7)))-$K129)</f>
        <v/>
      </c>
      <c r="K129" s="44" t="str">
        <f aca="false">IF($A129="","",MIN($F129,MAX(0,SUMIFS(期初数据!$G$6:$G$155,期初数据!$E$6:$E$155,$A129,期初数据!$F$6:$F$155,"&lt;="&amp;首页!$B$7-90)+SUMIFS(销售录入!$Q$5:$Q$404,销售录入!$D$5:$D$404,$A129,销售录入!$U$5:$U$404,"&lt;="&amp;首页!$B$7-90)-SUMIFS(资金流水!$N$5:$N$504,资金流水!$G$5:$G$504,$A129,资金流水!$E$5:$E$504,"客户回款",资金流水!$B$5:$B$504,"&lt;="&amp;首页!$B$7))))</f>
        <v/>
      </c>
      <c r="L129" s="62" t="str">
        <f aca="false">IF($A129="","",$H129+$I129+$J129+$K129)</f>
        <v/>
      </c>
      <c r="M129" s="47" t="str">
        <f aca="false">IF($A129="","",IF($K129&gt;0,"高危",IF($J129&gt;0,"关注",IF($L129&gt;0,"提醒","正常"))))</f>
        <v/>
      </c>
      <c r="N129" s="42" t="str">
        <f aca="false">IF($A129="","",基础资料!$AA129)</f>
        <v/>
      </c>
    </row>
    <row r="130" customFormat="false" ht="15.75" hidden="false" customHeight="true" outlineLevel="0" collapsed="false">
      <c r="A130" s="35" t="str">
        <f aca="false">IF(基础资料!$Z130="","",基础资料!$Z130)</f>
        <v/>
      </c>
      <c r="B130" s="42" t="str">
        <f aca="false">IF($A130="","",N(基础资料!$AB130))</f>
        <v/>
      </c>
      <c r="C130" s="54" t="str">
        <f aca="false">IF($A130="","",SUMIFS(期初数据!$G$6:$G$155,期初数据!$E$6:$E$155,$A130,期初数据!$F$6:$F$155,"&lt;"&amp;首页!$B$6)+SUMIFS(销售录入!$Q$5:$Q$404,销售录入!$D$5:$D$404,$A130,销售录入!$B$5:$B$404,"&lt;"&amp;首页!$B$6)-SUMIFS(资金流水!$N$5:$N$504,资金流水!$G$5:$G$504,$A130,资金流水!$E$5:$E$504,"客户回款",资金流水!$B$5:$B$504,"&lt;"&amp;首页!$B$6))</f>
        <v/>
      </c>
      <c r="D130" s="54" t="str">
        <f aca="false">IF($A130="","",SUMIFS(销售录入!$Q$5:$Q$404,销售录入!$D$5:$D$404,$A130,销售录入!$C$5:$C$404,首页!$B$5))</f>
        <v/>
      </c>
      <c r="E130" s="54" t="str">
        <f aca="false">IF($A130="","",SUMIFS(资金流水!$N$5:$N$504,资金流水!$G$5:$G$504,$A130,资金流水!$E$5:$E$504,"客户回款",资金流水!$C$5:$C$504,首页!$B$5))</f>
        <v/>
      </c>
      <c r="F130" s="62" t="str">
        <f aca="false">IF($A130="","",$C130+$D130-$E130)</f>
        <v/>
      </c>
      <c r="G130" s="44" t="str">
        <f aca="false">IF($A130="","",$F130-$H130-$I130-$J130-$K130)</f>
        <v/>
      </c>
      <c r="H130" s="44" t="str">
        <f aca="false">IF($A130="","",MIN($F130,MAX(0,SUMIFS(期初数据!$G$6:$G$155,期初数据!$E$6:$E$155,$A130,期初数据!$F$6:$F$155,"&lt;="&amp;首页!$B$7)+SUMIFS(销售录入!$Q$5:$Q$404,销售录入!$D$5:$D$404,$A130,销售录入!$U$5:$U$404,"&lt;="&amp;首页!$B$7)-SUMIFS(资金流水!$N$5:$N$504,资金流水!$G$5:$G$504,$A130,资金流水!$E$5:$E$504,"客户回款",资金流水!$B$5:$B$504,"&lt;="&amp;首页!$B$7)))-$K130-$J130-$I130)</f>
        <v/>
      </c>
      <c r="I130" s="44" t="str">
        <f aca="false">IF($A130="","",MIN($F130,MAX(0,SUMIFS(期初数据!$G$6:$G$155,期初数据!$E$6:$E$155,$A130,期初数据!$F$6:$F$155,"&lt;="&amp;首页!$B$7-30)+SUMIFS(销售录入!$Q$5:$Q$404,销售录入!$D$5:$D$404,$A130,销售录入!$U$5:$U$404,"&lt;="&amp;首页!$B$7-30)-SUMIFS(资金流水!$N$5:$N$504,资金流水!$G$5:$G$504,$A130,资金流水!$E$5:$E$504,"客户回款",资金流水!$B$5:$B$504,"&lt;="&amp;首页!$B$7)))-$K130-$J130)</f>
        <v/>
      </c>
      <c r="J130" s="44" t="str">
        <f aca="false">IF($A130="","",MIN($F130,MAX(0,SUMIFS(期初数据!$G$6:$G$155,期初数据!$E$6:$E$155,$A130,期初数据!$F$6:$F$155,"&lt;="&amp;首页!$B$7-60)+SUMIFS(销售录入!$Q$5:$Q$404,销售录入!$D$5:$D$404,$A130,销售录入!$U$5:$U$404,"&lt;="&amp;首页!$B$7-60)-SUMIFS(资金流水!$N$5:$N$504,资金流水!$G$5:$G$504,$A130,资金流水!$E$5:$E$504,"客户回款",资金流水!$B$5:$B$504,"&lt;="&amp;首页!$B$7)))-$K130)</f>
        <v/>
      </c>
      <c r="K130" s="44" t="str">
        <f aca="false">IF($A130="","",MIN($F130,MAX(0,SUMIFS(期初数据!$G$6:$G$155,期初数据!$E$6:$E$155,$A130,期初数据!$F$6:$F$155,"&lt;="&amp;首页!$B$7-90)+SUMIFS(销售录入!$Q$5:$Q$404,销售录入!$D$5:$D$404,$A130,销售录入!$U$5:$U$404,"&lt;="&amp;首页!$B$7-90)-SUMIFS(资金流水!$N$5:$N$504,资金流水!$G$5:$G$504,$A130,资金流水!$E$5:$E$504,"客户回款",资金流水!$B$5:$B$504,"&lt;="&amp;首页!$B$7))))</f>
        <v/>
      </c>
      <c r="L130" s="62" t="str">
        <f aca="false">IF($A130="","",$H130+$I130+$J130+$K130)</f>
        <v/>
      </c>
      <c r="M130" s="47" t="str">
        <f aca="false">IF($A130="","",IF($K130&gt;0,"高危",IF($J130&gt;0,"关注",IF($L130&gt;0,"提醒","正常"))))</f>
        <v/>
      </c>
      <c r="N130" s="42" t="str">
        <f aca="false">IF($A130="","",基础资料!$AA130)</f>
        <v/>
      </c>
    </row>
    <row r="131" customFormat="false" ht="15.75" hidden="false" customHeight="true" outlineLevel="0" collapsed="false">
      <c r="A131" s="35" t="str">
        <f aca="false">IF(基础资料!$Z131="","",基础资料!$Z131)</f>
        <v/>
      </c>
      <c r="B131" s="42" t="str">
        <f aca="false">IF($A131="","",N(基础资料!$AB131))</f>
        <v/>
      </c>
      <c r="C131" s="54" t="str">
        <f aca="false">IF($A131="","",SUMIFS(期初数据!$G$6:$G$155,期初数据!$E$6:$E$155,$A131,期初数据!$F$6:$F$155,"&lt;"&amp;首页!$B$6)+SUMIFS(销售录入!$Q$5:$Q$404,销售录入!$D$5:$D$404,$A131,销售录入!$B$5:$B$404,"&lt;"&amp;首页!$B$6)-SUMIFS(资金流水!$N$5:$N$504,资金流水!$G$5:$G$504,$A131,资金流水!$E$5:$E$504,"客户回款",资金流水!$B$5:$B$504,"&lt;"&amp;首页!$B$6))</f>
        <v/>
      </c>
      <c r="D131" s="54" t="str">
        <f aca="false">IF($A131="","",SUMIFS(销售录入!$Q$5:$Q$404,销售录入!$D$5:$D$404,$A131,销售录入!$C$5:$C$404,首页!$B$5))</f>
        <v/>
      </c>
      <c r="E131" s="54" t="str">
        <f aca="false">IF($A131="","",SUMIFS(资金流水!$N$5:$N$504,资金流水!$G$5:$G$504,$A131,资金流水!$E$5:$E$504,"客户回款",资金流水!$C$5:$C$504,首页!$B$5))</f>
        <v/>
      </c>
      <c r="F131" s="62" t="str">
        <f aca="false">IF($A131="","",$C131+$D131-$E131)</f>
        <v/>
      </c>
      <c r="G131" s="44" t="str">
        <f aca="false">IF($A131="","",$F131-$H131-$I131-$J131-$K131)</f>
        <v/>
      </c>
      <c r="H131" s="44" t="str">
        <f aca="false">IF($A131="","",MIN($F131,MAX(0,SUMIFS(期初数据!$G$6:$G$155,期初数据!$E$6:$E$155,$A131,期初数据!$F$6:$F$155,"&lt;="&amp;首页!$B$7)+SUMIFS(销售录入!$Q$5:$Q$404,销售录入!$D$5:$D$404,$A131,销售录入!$U$5:$U$404,"&lt;="&amp;首页!$B$7)-SUMIFS(资金流水!$N$5:$N$504,资金流水!$G$5:$G$504,$A131,资金流水!$E$5:$E$504,"客户回款",资金流水!$B$5:$B$504,"&lt;="&amp;首页!$B$7)))-$K131-$J131-$I131)</f>
        <v/>
      </c>
      <c r="I131" s="44" t="str">
        <f aca="false">IF($A131="","",MIN($F131,MAX(0,SUMIFS(期初数据!$G$6:$G$155,期初数据!$E$6:$E$155,$A131,期初数据!$F$6:$F$155,"&lt;="&amp;首页!$B$7-30)+SUMIFS(销售录入!$Q$5:$Q$404,销售录入!$D$5:$D$404,$A131,销售录入!$U$5:$U$404,"&lt;="&amp;首页!$B$7-30)-SUMIFS(资金流水!$N$5:$N$504,资金流水!$G$5:$G$504,$A131,资金流水!$E$5:$E$504,"客户回款",资金流水!$B$5:$B$504,"&lt;="&amp;首页!$B$7)))-$K131-$J131)</f>
        <v/>
      </c>
      <c r="J131" s="44" t="str">
        <f aca="false">IF($A131="","",MIN($F131,MAX(0,SUMIFS(期初数据!$G$6:$G$155,期初数据!$E$6:$E$155,$A131,期初数据!$F$6:$F$155,"&lt;="&amp;首页!$B$7-60)+SUMIFS(销售录入!$Q$5:$Q$404,销售录入!$D$5:$D$404,$A131,销售录入!$U$5:$U$404,"&lt;="&amp;首页!$B$7-60)-SUMIFS(资金流水!$N$5:$N$504,资金流水!$G$5:$G$504,$A131,资金流水!$E$5:$E$504,"客户回款",资金流水!$B$5:$B$504,"&lt;="&amp;首页!$B$7)))-$K131)</f>
        <v/>
      </c>
      <c r="K131" s="44" t="str">
        <f aca="false">IF($A131="","",MIN($F131,MAX(0,SUMIFS(期初数据!$G$6:$G$155,期初数据!$E$6:$E$155,$A131,期初数据!$F$6:$F$155,"&lt;="&amp;首页!$B$7-90)+SUMIFS(销售录入!$Q$5:$Q$404,销售录入!$D$5:$D$404,$A131,销售录入!$U$5:$U$404,"&lt;="&amp;首页!$B$7-90)-SUMIFS(资金流水!$N$5:$N$504,资金流水!$G$5:$G$504,$A131,资金流水!$E$5:$E$504,"客户回款",资金流水!$B$5:$B$504,"&lt;="&amp;首页!$B$7))))</f>
        <v/>
      </c>
      <c r="L131" s="62" t="str">
        <f aca="false">IF($A131="","",$H131+$I131+$J131+$K131)</f>
        <v/>
      </c>
      <c r="M131" s="47" t="str">
        <f aca="false">IF($A131="","",IF($K131&gt;0,"高危",IF($J131&gt;0,"关注",IF($L131&gt;0,"提醒","正常"))))</f>
        <v/>
      </c>
      <c r="N131" s="42" t="str">
        <f aca="false">IF($A131="","",基础资料!$AA131)</f>
        <v/>
      </c>
    </row>
    <row r="132" customFormat="false" ht="15.75" hidden="false" customHeight="true" outlineLevel="0" collapsed="false">
      <c r="A132" s="35" t="str">
        <f aca="false">IF(基础资料!$Z132="","",基础资料!$Z132)</f>
        <v/>
      </c>
      <c r="B132" s="42" t="str">
        <f aca="false">IF($A132="","",N(基础资料!$AB132))</f>
        <v/>
      </c>
      <c r="C132" s="54" t="str">
        <f aca="false">IF($A132="","",SUMIFS(期初数据!$G$6:$G$155,期初数据!$E$6:$E$155,$A132,期初数据!$F$6:$F$155,"&lt;"&amp;首页!$B$6)+SUMIFS(销售录入!$Q$5:$Q$404,销售录入!$D$5:$D$404,$A132,销售录入!$B$5:$B$404,"&lt;"&amp;首页!$B$6)-SUMIFS(资金流水!$N$5:$N$504,资金流水!$G$5:$G$504,$A132,资金流水!$E$5:$E$504,"客户回款",资金流水!$B$5:$B$504,"&lt;"&amp;首页!$B$6))</f>
        <v/>
      </c>
      <c r="D132" s="54" t="str">
        <f aca="false">IF($A132="","",SUMIFS(销售录入!$Q$5:$Q$404,销售录入!$D$5:$D$404,$A132,销售录入!$C$5:$C$404,首页!$B$5))</f>
        <v/>
      </c>
      <c r="E132" s="54" t="str">
        <f aca="false">IF($A132="","",SUMIFS(资金流水!$N$5:$N$504,资金流水!$G$5:$G$504,$A132,资金流水!$E$5:$E$504,"客户回款",资金流水!$C$5:$C$504,首页!$B$5))</f>
        <v/>
      </c>
      <c r="F132" s="62" t="str">
        <f aca="false">IF($A132="","",$C132+$D132-$E132)</f>
        <v/>
      </c>
      <c r="G132" s="44" t="str">
        <f aca="false">IF($A132="","",$F132-$H132-$I132-$J132-$K132)</f>
        <v/>
      </c>
      <c r="H132" s="44" t="str">
        <f aca="false">IF($A132="","",MIN($F132,MAX(0,SUMIFS(期初数据!$G$6:$G$155,期初数据!$E$6:$E$155,$A132,期初数据!$F$6:$F$155,"&lt;="&amp;首页!$B$7)+SUMIFS(销售录入!$Q$5:$Q$404,销售录入!$D$5:$D$404,$A132,销售录入!$U$5:$U$404,"&lt;="&amp;首页!$B$7)-SUMIFS(资金流水!$N$5:$N$504,资金流水!$G$5:$G$504,$A132,资金流水!$E$5:$E$504,"客户回款",资金流水!$B$5:$B$504,"&lt;="&amp;首页!$B$7)))-$K132-$J132-$I132)</f>
        <v/>
      </c>
      <c r="I132" s="44" t="str">
        <f aca="false">IF($A132="","",MIN($F132,MAX(0,SUMIFS(期初数据!$G$6:$G$155,期初数据!$E$6:$E$155,$A132,期初数据!$F$6:$F$155,"&lt;="&amp;首页!$B$7-30)+SUMIFS(销售录入!$Q$5:$Q$404,销售录入!$D$5:$D$404,$A132,销售录入!$U$5:$U$404,"&lt;="&amp;首页!$B$7-30)-SUMIFS(资金流水!$N$5:$N$504,资金流水!$G$5:$G$504,$A132,资金流水!$E$5:$E$504,"客户回款",资金流水!$B$5:$B$504,"&lt;="&amp;首页!$B$7)))-$K132-$J132)</f>
        <v/>
      </c>
      <c r="J132" s="44" t="str">
        <f aca="false">IF($A132="","",MIN($F132,MAX(0,SUMIFS(期初数据!$G$6:$G$155,期初数据!$E$6:$E$155,$A132,期初数据!$F$6:$F$155,"&lt;="&amp;首页!$B$7-60)+SUMIFS(销售录入!$Q$5:$Q$404,销售录入!$D$5:$D$404,$A132,销售录入!$U$5:$U$404,"&lt;="&amp;首页!$B$7-60)-SUMIFS(资金流水!$N$5:$N$504,资金流水!$G$5:$G$504,$A132,资金流水!$E$5:$E$504,"客户回款",资金流水!$B$5:$B$504,"&lt;="&amp;首页!$B$7)))-$K132)</f>
        <v/>
      </c>
      <c r="K132" s="44" t="str">
        <f aca="false">IF($A132="","",MIN($F132,MAX(0,SUMIFS(期初数据!$G$6:$G$155,期初数据!$E$6:$E$155,$A132,期初数据!$F$6:$F$155,"&lt;="&amp;首页!$B$7-90)+SUMIFS(销售录入!$Q$5:$Q$404,销售录入!$D$5:$D$404,$A132,销售录入!$U$5:$U$404,"&lt;="&amp;首页!$B$7-90)-SUMIFS(资金流水!$N$5:$N$504,资金流水!$G$5:$G$504,$A132,资金流水!$E$5:$E$504,"客户回款",资金流水!$B$5:$B$504,"&lt;="&amp;首页!$B$7))))</f>
        <v/>
      </c>
      <c r="L132" s="62" t="str">
        <f aca="false">IF($A132="","",$H132+$I132+$J132+$K132)</f>
        <v/>
      </c>
      <c r="M132" s="47" t="str">
        <f aca="false">IF($A132="","",IF($K132&gt;0,"高危",IF($J132&gt;0,"关注",IF($L132&gt;0,"提醒","正常"))))</f>
        <v/>
      </c>
      <c r="N132" s="42" t="str">
        <f aca="false">IF($A132="","",基础资料!$AA132)</f>
        <v/>
      </c>
    </row>
    <row r="133" customFormat="false" ht="15.75" hidden="false" customHeight="true" outlineLevel="0" collapsed="false">
      <c r="A133" s="35" t="str">
        <f aca="false">IF(基础资料!$Z133="","",基础资料!$Z133)</f>
        <v/>
      </c>
      <c r="B133" s="42" t="str">
        <f aca="false">IF($A133="","",N(基础资料!$AB133))</f>
        <v/>
      </c>
      <c r="C133" s="54" t="str">
        <f aca="false">IF($A133="","",SUMIFS(期初数据!$G$6:$G$155,期初数据!$E$6:$E$155,$A133,期初数据!$F$6:$F$155,"&lt;"&amp;首页!$B$6)+SUMIFS(销售录入!$Q$5:$Q$404,销售录入!$D$5:$D$404,$A133,销售录入!$B$5:$B$404,"&lt;"&amp;首页!$B$6)-SUMIFS(资金流水!$N$5:$N$504,资金流水!$G$5:$G$504,$A133,资金流水!$E$5:$E$504,"客户回款",资金流水!$B$5:$B$504,"&lt;"&amp;首页!$B$6))</f>
        <v/>
      </c>
      <c r="D133" s="54" t="str">
        <f aca="false">IF($A133="","",SUMIFS(销售录入!$Q$5:$Q$404,销售录入!$D$5:$D$404,$A133,销售录入!$C$5:$C$404,首页!$B$5))</f>
        <v/>
      </c>
      <c r="E133" s="54" t="str">
        <f aca="false">IF($A133="","",SUMIFS(资金流水!$N$5:$N$504,资金流水!$G$5:$G$504,$A133,资金流水!$E$5:$E$504,"客户回款",资金流水!$C$5:$C$504,首页!$B$5))</f>
        <v/>
      </c>
      <c r="F133" s="62" t="str">
        <f aca="false">IF($A133="","",$C133+$D133-$E133)</f>
        <v/>
      </c>
      <c r="G133" s="44" t="str">
        <f aca="false">IF($A133="","",$F133-$H133-$I133-$J133-$K133)</f>
        <v/>
      </c>
      <c r="H133" s="44" t="str">
        <f aca="false">IF($A133="","",MIN($F133,MAX(0,SUMIFS(期初数据!$G$6:$G$155,期初数据!$E$6:$E$155,$A133,期初数据!$F$6:$F$155,"&lt;="&amp;首页!$B$7)+SUMIFS(销售录入!$Q$5:$Q$404,销售录入!$D$5:$D$404,$A133,销售录入!$U$5:$U$404,"&lt;="&amp;首页!$B$7)-SUMIFS(资金流水!$N$5:$N$504,资金流水!$G$5:$G$504,$A133,资金流水!$E$5:$E$504,"客户回款",资金流水!$B$5:$B$504,"&lt;="&amp;首页!$B$7)))-$K133-$J133-$I133)</f>
        <v/>
      </c>
      <c r="I133" s="44" t="str">
        <f aca="false">IF($A133="","",MIN($F133,MAX(0,SUMIFS(期初数据!$G$6:$G$155,期初数据!$E$6:$E$155,$A133,期初数据!$F$6:$F$155,"&lt;="&amp;首页!$B$7-30)+SUMIFS(销售录入!$Q$5:$Q$404,销售录入!$D$5:$D$404,$A133,销售录入!$U$5:$U$404,"&lt;="&amp;首页!$B$7-30)-SUMIFS(资金流水!$N$5:$N$504,资金流水!$G$5:$G$504,$A133,资金流水!$E$5:$E$504,"客户回款",资金流水!$B$5:$B$504,"&lt;="&amp;首页!$B$7)))-$K133-$J133)</f>
        <v/>
      </c>
      <c r="J133" s="44" t="str">
        <f aca="false">IF($A133="","",MIN($F133,MAX(0,SUMIFS(期初数据!$G$6:$G$155,期初数据!$E$6:$E$155,$A133,期初数据!$F$6:$F$155,"&lt;="&amp;首页!$B$7-60)+SUMIFS(销售录入!$Q$5:$Q$404,销售录入!$D$5:$D$404,$A133,销售录入!$U$5:$U$404,"&lt;="&amp;首页!$B$7-60)-SUMIFS(资金流水!$N$5:$N$504,资金流水!$G$5:$G$504,$A133,资金流水!$E$5:$E$504,"客户回款",资金流水!$B$5:$B$504,"&lt;="&amp;首页!$B$7)))-$K133)</f>
        <v/>
      </c>
      <c r="K133" s="44" t="str">
        <f aca="false">IF($A133="","",MIN($F133,MAX(0,SUMIFS(期初数据!$G$6:$G$155,期初数据!$E$6:$E$155,$A133,期初数据!$F$6:$F$155,"&lt;="&amp;首页!$B$7-90)+SUMIFS(销售录入!$Q$5:$Q$404,销售录入!$D$5:$D$404,$A133,销售录入!$U$5:$U$404,"&lt;="&amp;首页!$B$7-90)-SUMIFS(资金流水!$N$5:$N$504,资金流水!$G$5:$G$504,$A133,资金流水!$E$5:$E$504,"客户回款",资金流水!$B$5:$B$504,"&lt;="&amp;首页!$B$7))))</f>
        <v/>
      </c>
      <c r="L133" s="62" t="str">
        <f aca="false">IF($A133="","",$H133+$I133+$J133+$K133)</f>
        <v/>
      </c>
      <c r="M133" s="47" t="str">
        <f aca="false">IF($A133="","",IF($K133&gt;0,"高危",IF($J133&gt;0,"关注",IF($L133&gt;0,"提醒","正常"))))</f>
        <v/>
      </c>
      <c r="N133" s="42" t="str">
        <f aca="false">IF($A133="","",基础资料!$AA133)</f>
        <v/>
      </c>
    </row>
    <row r="134" customFormat="false" ht="15.75" hidden="false" customHeight="true" outlineLevel="0" collapsed="false">
      <c r="A134" s="35" t="str">
        <f aca="false">IF(基础资料!$Z134="","",基础资料!$Z134)</f>
        <v/>
      </c>
      <c r="B134" s="42" t="str">
        <f aca="false">IF($A134="","",N(基础资料!$AB134))</f>
        <v/>
      </c>
      <c r="C134" s="54" t="str">
        <f aca="false">IF($A134="","",SUMIFS(期初数据!$G$6:$G$155,期初数据!$E$6:$E$155,$A134,期初数据!$F$6:$F$155,"&lt;"&amp;首页!$B$6)+SUMIFS(销售录入!$Q$5:$Q$404,销售录入!$D$5:$D$404,$A134,销售录入!$B$5:$B$404,"&lt;"&amp;首页!$B$6)-SUMIFS(资金流水!$N$5:$N$504,资金流水!$G$5:$G$504,$A134,资金流水!$E$5:$E$504,"客户回款",资金流水!$B$5:$B$504,"&lt;"&amp;首页!$B$6))</f>
        <v/>
      </c>
      <c r="D134" s="54" t="str">
        <f aca="false">IF($A134="","",SUMIFS(销售录入!$Q$5:$Q$404,销售录入!$D$5:$D$404,$A134,销售录入!$C$5:$C$404,首页!$B$5))</f>
        <v/>
      </c>
      <c r="E134" s="54" t="str">
        <f aca="false">IF($A134="","",SUMIFS(资金流水!$N$5:$N$504,资金流水!$G$5:$G$504,$A134,资金流水!$E$5:$E$504,"客户回款",资金流水!$C$5:$C$504,首页!$B$5))</f>
        <v/>
      </c>
      <c r="F134" s="62" t="str">
        <f aca="false">IF($A134="","",$C134+$D134-$E134)</f>
        <v/>
      </c>
      <c r="G134" s="44" t="str">
        <f aca="false">IF($A134="","",$F134-$H134-$I134-$J134-$K134)</f>
        <v/>
      </c>
      <c r="H134" s="44" t="str">
        <f aca="false">IF($A134="","",MIN($F134,MAX(0,SUMIFS(期初数据!$G$6:$G$155,期初数据!$E$6:$E$155,$A134,期初数据!$F$6:$F$155,"&lt;="&amp;首页!$B$7)+SUMIFS(销售录入!$Q$5:$Q$404,销售录入!$D$5:$D$404,$A134,销售录入!$U$5:$U$404,"&lt;="&amp;首页!$B$7)-SUMIFS(资金流水!$N$5:$N$504,资金流水!$G$5:$G$504,$A134,资金流水!$E$5:$E$504,"客户回款",资金流水!$B$5:$B$504,"&lt;="&amp;首页!$B$7)))-$K134-$J134-$I134)</f>
        <v/>
      </c>
      <c r="I134" s="44" t="str">
        <f aca="false">IF($A134="","",MIN($F134,MAX(0,SUMIFS(期初数据!$G$6:$G$155,期初数据!$E$6:$E$155,$A134,期初数据!$F$6:$F$155,"&lt;="&amp;首页!$B$7-30)+SUMIFS(销售录入!$Q$5:$Q$404,销售录入!$D$5:$D$404,$A134,销售录入!$U$5:$U$404,"&lt;="&amp;首页!$B$7-30)-SUMIFS(资金流水!$N$5:$N$504,资金流水!$G$5:$G$504,$A134,资金流水!$E$5:$E$504,"客户回款",资金流水!$B$5:$B$504,"&lt;="&amp;首页!$B$7)))-$K134-$J134)</f>
        <v/>
      </c>
      <c r="J134" s="44" t="str">
        <f aca="false">IF($A134="","",MIN($F134,MAX(0,SUMIFS(期初数据!$G$6:$G$155,期初数据!$E$6:$E$155,$A134,期初数据!$F$6:$F$155,"&lt;="&amp;首页!$B$7-60)+SUMIFS(销售录入!$Q$5:$Q$404,销售录入!$D$5:$D$404,$A134,销售录入!$U$5:$U$404,"&lt;="&amp;首页!$B$7-60)-SUMIFS(资金流水!$N$5:$N$504,资金流水!$G$5:$G$504,$A134,资金流水!$E$5:$E$504,"客户回款",资金流水!$B$5:$B$504,"&lt;="&amp;首页!$B$7)))-$K134)</f>
        <v/>
      </c>
      <c r="K134" s="44" t="str">
        <f aca="false">IF($A134="","",MIN($F134,MAX(0,SUMIFS(期初数据!$G$6:$G$155,期初数据!$E$6:$E$155,$A134,期初数据!$F$6:$F$155,"&lt;="&amp;首页!$B$7-90)+SUMIFS(销售录入!$Q$5:$Q$404,销售录入!$D$5:$D$404,$A134,销售录入!$U$5:$U$404,"&lt;="&amp;首页!$B$7-90)-SUMIFS(资金流水!$N$5:$N$504,资金流水!$G$5:$G$504,$A134,资金流水!$E$5:$E$504,"客户回款",资金流水!$B$5:$B$504,"&lt;="&amp;首页!$B$7))))</f>
        <v/>
      </c>
      <c r="L134" s="62" t="str">
        <f aca="false">IF($A134="","",$H134+$I134+$J134+$K134)</f>
        <v/>
      </c>
      <c r="M134" s="47" t="str">
        <f aca="false">IF($A134="","",IF($K134&gt;0,"高危",IF($J134&gt;0,"关注",IF($L134&gt;0,"提醒","正常"))))</f>
        <v/>
      </c>
      <c r="N134" s="42" t="str">
        <f aca="false">IF($A134="","",基础资料!$AA134)</f>
        <v/>
      </c>
    </row>
    <row r="135" customFormat="false" ht="15.75" hidden="false" customHeight="true" outlineLevel="0" collapsed="false">
      <c r="A135" s="35" t="str">
        <f aca="false">IF(基础资料!$Z135="","",基础资料!$Z135)</f>
        <v/>
      </c>
      <c r="B135" s="42" t="str">
        <f aca="false">IF($A135="","",N(基础资料!$AB135))</f>
        <v/>
      </c>
      <c r="C135" s="54" t="str">
        <f aca="false">IF($A135="","",SUMIFS(期初数据!$G$6:$G$155,期初数据!$E$6:$E$155,$A135,期初数据!$F$6:$F$155,"&lt;"&amp;首页!$B$6)+SUMIFS(销售录入!$Q$5:$Q$404,销售录入!$D$5:$D$404,$A135,销售录入!$B$5:$B$404,"&lt;"&amp;首页!$B$6)-SUMIFS(资金流水!$N$5:$N$504,资金流水!$G$5:$G$504,$A135,资金流水!$E$5:$E$504,"客户回款",资金流水!$B$5:$B$504,"&lt;"&amp;首页!$B$6))</f>
        <v/>
      </c>
      <c r="D135" s="54" t="str">
        <f aca="false">IF($A135="","",SUMIFS(销售录入!$Q$5:$Q$404,销售录入!$D$5:$D$404,$A135,销售录入!$C$5:$C$404,首页!$B$5))</f>
        <v/>
      </c>
      <c r="E135" s="54" t="str">
        <f aca="false">IF($A135="","",SUMIFS(资金流水!$N$5:$N$504,资金流水!$G$5:$G$504,$A135,资金流水!$E$5:$E$504,"客户回款",资金流水!$C$5:$C$504,首页!$B$5))</f>
        <v/>
      </c>
      <c r="F135" s="62" t="str">
        <f aca="false">IF($A135="","",$C135+$D135-$E135)</f>
        <v/>
      </c>
      <c r="G135" s="44" t="str">
        <f aca="false">IF($A135="","",$F135-$H135-$I135-$J135-$K135)</f>
        <v/>
      </c>
      <c r="H135" s="44" t="str">
        <f aca="false">IF($A135="","",MIN($F135,MAX(0,SUMIFS(期初数据!$G$6:$G$155,期初数据!$E$6:$E$155,$A135,期初数据!$F$6:$F$155,"&lt;="&amp;首页!$B$7)+SUMIFS(销售录入!$Q$5:$Q$404,销售录入!$D$5:$D$404,$A135,销售录入!$U$5:$U$404,"&lt;="&amp;首页!$B$7)-SUMIFS(资金流水!$N$5:$N$504,资金流水!$G$5:$G$504,$A135,资金流水!$E$5:$E$504,"客户回款",资金流水!$B$5:$B$504,"&lt;="&amp;首页!$B$7)))-$K135-$J135-$I135)</f>
        <v/>
      </c>
      <c r="I135" s="44" t="str">
        <f aca="false">IF($A135="","",MIN($F135,MAX(0,SUMIFS(期初数据!$G$6:$G$155,期初数据!$E$6:$E$155,$A135,期初数据!$F$6:$F$155,"&lt;="&amp;首页!$B$7-30)+SUMIFS(销售录入!$Q$5:$Q$404,销售录入!$D$5:$D$404,$A135,销售录入!$U$5:$U$404,"&lt;="&amp;首页!$B$7-30)-SUMIFS(资金流水!$N$5:$N$504,资金流水!$G$5:$G$504,$A135,资金流水!$E$5:$E$504,"客户回款",资金流水!$B$5:$B$504,"&lt;="&amp;首页!$B$7)))-$K135-$J135)</f>
        <v/>
      </c>
      <c r="J135" s="44" t="str">
        <f aca="false">IF($A135="","",MIN($F135,MAX(0,SUMIFS(期初数据!$G$6:$G$155,期初数据!$E$6:$E$155,$A135,期初数据!$F$6:$F$155,"&lt;="&amp;首页!$B$7-60)+SUMIFS(销售录入!$Q$5:$Q$404,销售录入!$D$5:$D$404,$A135,销售录入!$U$5:$U$404,"&lt;="&amp;首页!$B$7-60)-SUMIFS(资金流水!$N$5:$N$504,资金流水!$G$5:$G$504,$A135,资金流水!$E$5:$E$504,"客户回款",资金流水!$B$5:$B$504,"&lt;="&amp;首页!$B$7)))-$K135)</f>
        <v/>
      </c>
      <c r="K135" s="44" t="str">
        <f aca="false">IF($A135="","",MIN($F135,MAX(0,SUMIFS(期初数据!$G$6:$G$155,期初数据!$E$6:$E$155,$A135,期初数据!$F$6:$F$155,"&lt;="&amp;首页!$B$7-90)+SUMIFS(销售录入!$Q$5:$Q$404,销售录入!$D$5:$D$404,$A135,销售录入!$U$5:$U$404,"&lt;="&amp;首页!$B$7-90)-SUMIFS(资金流水!$N$5:$N$504,资金流水!$G$5:$G$504,$A135,资金流水!$E$5:$E$504,"客户回款",资金流水!$B$5:$B$504,"&lt;="&amp;首页!$B$7))))</f>
        <v/>
      </c>
      <c r="L135" s="62" t="str">
        <f aca="false">IF($A135="","",$H135+$I135+$J135+$K135)</f>
        <v/>
      </c>
      <c r="M135" s="47" t="str">
        <f aca="false">IF($A135="","",IF($K135&gt;0,"高危",IF($J135&gt;0,"关注",IF($L135&gt;0,"提醒","正常"))))</f>
        <v/>
      </c>
      <c r="N135" s="42" t="str">
        <f aca="false">IF($A135="","",基础资料!$AA135)</f>
        <v/>
      </c>
    </row>
    <row r="136" customFormat="false" ht="15.75" hidden="false" customHeight="true" outlineLevel="0" collapsed="false">
      <c r="A136" s="35" t="str">
        <f aca="false">IF(基础资料!$Z136="","",基础资料!$Z136)</f>
        <v/>
      </c>
      <c r="B136" s="42" t="str">
        <f aca="false">IF($A136="","",N(基础资料!$AB136))</f>
        <v/>
      </c>
      <c r="C136" s="54" t="str">
        <f aca="false">IF($A136="","",SUMIFS(期初数据!$G$6:$G$155,期初数据!$E$6:$E$155,$A136,期初数据!$F$6:$F$155,"&lt;"&amp;首页!$B$6)+SUMIFS(销售录入!$Q$5:$Q$404,销售录入!$D$5:$D$404,$A136,销售录入!$B$5:$B$404,"&lt;"&amp;首页!$B$6)-SUMIFS(资金流水!$N$5:$N$504,资金流水!$G$5:$G$504,$A136,资金流水!$E$5:$E$504,"客户回款",资金流水!$B$5:$B$504,"&lt;"&amp;首页!$B$6))</f>
        <v/>
      </c>
      <c r="D136" s="54" t="str">
        <f aca="false">IF($A136="","",SUMIFS(销售录入!$Q$5:$Q$404,销售录入!$D$5:$D$404,$A136,销售录入!$C$5:$C$404,首页!$B$5))</f>
        <v/>
      </c>
      <c r="E136" s="54" t="str">
        <f aca="false">IF($A136="","",SUMIFS(资金流水!$N$5:$N$504,资金流水!$G$5:$G$504,$A136,资金流水!$E$5:$E$504,"客户回款",资金流水!$C$5:$C$504,首页!$B$5))</f>
        <v/>
      </c>
      <c r="F136" s="62" t="str">
        <f aca="false">IF($A136="","",$C136+$D136-$E136)</f>
        <v/>
      </c>
      <c r="G136" s="44" t="str">
        <f aca="false">IF($A136="","",$F136-$H136-$I136-$J136-$K136)</f>
        <v/>
      </c>
      <c r="H136" s="44" t="str">
        <f aca="false">IF($A136="","",MIN($F136,MAX(0,SUMIFS(期初数据!$G$6:$G$155,期初数据!$E$6:$E$155,$A136,期初数据!$F$6:$F$155,"&lt;="&amp;首页!$B$7)+SUMIFS(销售录入!$Q$5:$Q$404,销售录入!$D$5:$D$404,$A136,销售录入!$U$5:$U$404,"&lt;="&amp;首页!$B$7)-SUMIFS(资金流水!$N$5:$N$504,资金流水!$G$5:$G$504,$A136,资金流水!$E$5:$E$504,"客户回款",资金流水!$B$5:$B$504,"&lt;="&amp;首页!$B$7)))-$K136-$J136-$I136)</f>
        <v/>
      </c>
      <c r="I136" s="44" t="str">
        <f aca="false">IF($A136="","",MIN($F136,MAX(0,SUMIFS(期初数据!$G$6:$G$155,期初数据!$E$6:$E$155,$A136,期初数据!$F$6:$F$155,"&lt;="&amp;首页!$B$7-30)+SUMIFS(销售录入!$Q$5:$Q$404,销售录入!$D$5:$D$404,$A136,销售录入!$U$5:$U$404,"&lt;="&amp;首页!$B$7-30)-SUMIFS(资金流水!$N$5:$N$504,资金流水!$G$5:$G$504,$A136,资金流水!$E$5:$E$504,"客户回款",资金流水!$B$5:$B$504,"&lt;="&amp;首页!$B$7)))-$K136-$J136)</f>
        <v/>
      </c>
      <c r="J136" s="44" t="str">
        <f aca="false">IF($A136="","",MIN($F136,MAX(0,SUMIFS(期初数据!$G$6:$G$155,期初数据!$E$6:$E$155,$A136,期初数据!$F$6:$F$155,"&lt;="&amp;首页!$B$7-60)+SUMIFS(销售录入!$Q$5:$Q$404,销售录入!$D$5:$D$404,$A136,销售录入!$U$5:$U$404,"&lt;="&amp;首页!$B$7-60)-SUMIFS(资金流水!$N$5:$N$504,资金流水!$G$5:$G$504,$A136,资金流水!$E$5:$E$504,"客户回款",资金流水!$B$5:$B$504,"&lt;="&amp;首页!$B$7)))-$K136)</f>
        <v/>
      </c>
      <c r="K136" s="44" t="str">
        <f aca="false">IF($A136="","",MIN($F136,MAX(0,SUMIFS(期初数据!$G$6:$G$155,期初数据!$E$6:$E$155,$A136,期初数据!$F$6:$F$155,"&lt;="&amp;首页!$B$7-90)+SUMIFS(销售录入!$Q$5:$Q$404,销售录入!$D$5:$D$404,$A136,销售录入!$U$5:$U$404,"&lt;="&amp;首页!$B$7-90)-SUMIFS(资金流水!$N$5:$N$504,资金流水!$G$5:$G$504,$A136,资金流水!$E$5:$E$504,"客户回款",资金流水!$B$5:$B$504,"&lt;="&amp;首页!$B$7))))</f>
        <v/>
      </c>
      <c r="L136" s="62" t="str">
        <f aca="false">IF($A136="","",$H136+$I136+$J136+$K136)</f>
        <v/>
      </c>
      <c r="M136" s="47" t="str">
        <f aca="false">IF($A136="","",IF($K136&gt;0,"高危",IF($J136&gt;0,"关注",IF($L136&gt;0,"提醒","正常"))))</f>
        <v/>
      </c>
      <c r="N136" s="42" t="str">
        <f aca="false">IF($A136="","",基础资料!$AA136)</f>
        <v/>
      </c>
    </row>
    <row r="137" customFormat="false" ht="15.75" hidden="false" customHeight="true" outlineLevel="0" collapsed="false">
      <c r="A137" s="35" t="str">
        <f aca="false">IF(基础资料!$Z137="","",基础资料!$Z137)</f>
        <v/>
      </c>
      <c r="B137" s="42" t="str">
        <f aca="false">IF($A137="","",N(基础资料!$AB137))</f>
        <v/>
      </c>
      <c r="C137" s="54" t="str">
        <f aca="false">IF($A137="","",SUMIFS(期初数据!$G$6:$G$155,期初数据!$E$6:$E$155,$A137,期初数据!$F$6:$F$155,"&lt;"&amp;首页!$B$6)+SUMIFS(销售录入!$Q$5:$Q$404,销售录入!$D$5:$D$404,$A137,销售录入!$B$5:$B$404,"&lt;"&amp;首页!$B$6)-SUMIFS(资金流水!$N$5:$N$504,资金流水!$G$5:$G$504,$A137,资金流水!$E$5:$E$504,"客户回款",资金流水!$B$5:$B$504,"&lt;"&amp;首页!$B$6))</f>
        <v/>
      </c>
      <c r="D137" s="54" t="str">
        <f aca="false">IF($A137="","",SUMIFS(销售录入!$Q$5:$Q$404,销售录入!$D$5:$D$404,$A137,销售录入!$C$5:$C$404,首页!$B$5))</f>
        <v/>
      </c>
      <c r="E137" s="54" t="str">
        <f aca="false">IF($A137="","",SUMIFS(资金流水!$N$5:$N$504,资金流水!$G$5:$G$504,$A137,资金流水!$E$5:$E$504,"客户回款",资金流水!$C$5:$C$504,首页!$B$5))</f>
        <v/>
      </c>
      <c r="F137" s="62" t="str">
        <f aca="false">IF($A137="","",$C137+$D137-$E137)</f>
        <v/>
      </c>
      <c r="G137" s="44" t="str">
        <f aca="false">IF($A137="","",$F137-$H137-$I137-$J137-$K137)</f>
        <v/>
      </c>
      <c r="H137" s="44" t="str">
        <f aca="false">IF($A137="","",MIN($F137,MAX(0,SUMIFS(期初数据!$G$6:$G$155,期初数据!$E$6:$E$155,$A137,期初数据!$F$6:$F$155,"&lt;="&amp;首页!$B$7)+SUMIFS(销售录入!$Q$5:$Q$404,销售录入!$D$5:$D$404,$A137,销售录入!$U$5:$U$404,"&lt;="&amp;首页!$B$7)-SUMIFS(资金流水!$N$5:$N$504,资金流水!$G$5:$G$504,$A137,资金流水!$E$5:$E$504,"客户回款",资金流水!$B$5:$B$504,"&lt;="&amp;首页!$B$7)))-$K137-$J137-$I137)</f>
        <v/>
      </c>
      <c r="I137" s="44" t="str">
        <f aca="false">IF($A137="","",MIN($F137,MAX(0,SUMIFS(期初数据!$G$6:$G$155,期初数据!$E$6:$E$155,$A137,期初数据!$F$6:$F$155,"&lt;="&amp;首页!$B$7-30)+SUMIFS(销售录入!$Q$5:$Q$404,销售录入!$D$5:$D$404,$A137,销售录入!$U$5:$U$404,"&lt;="&amp;首页!$B$7-30)-SUMIFS(资金流水!$N$5:$N$504,资金流水!$G$5:$G$504,$A137,资金流水!$E$5:$E$504,"客户回款",资金流水!$B$5:$B$504,"&lt;="&amp;首页!$B$7)))-$K137-$J137)</f>
        <v/>
      </c>
      <c r="J137" s="44" t="str">
        <f aca="false">IF($A137="","",MIN($F137,MAX(0,SUMIFS(期初数据!$G$6:$G$155,期初数据!$E$6:$E$155,$A137,期初数据!$F$6:$F$155,"&lt;="&amp;首页!$B$7-60)+SUMIFS(销售录入!$Q$5:$Q$404,销售录入!$D$5:$D$404,$A137,销售录入!$U$5:$U$404,"&lt;="&amp;首页!$B$7-60)-SUMIFS(资金流水!$N$5:$N$504,资金流水!$G$5:$G$504,$A137,资金流水!$E$5:$E$504,"客户回款",资金流水!$B$5:$B$504,"&lt;="&amp;首页!$B$7)))-$K137)</f>
        <v/>
      </c>
      <c r="K137" s="44" t="str">
        <f aca="false">IF($A137="","",MIN($F137,MAX(0,SUMIFS(期初数据!$G$6:$G$155,期初数据!$E$6:$E$155,$A137,期初数据!$F$6:$F$155,"&lt;="&amp;首页!$B$7-90)+SUMIFS(销售录入!$Q$5:$Q$404,销售录入!$D$5:$D$404,$A137,销售录入!$U$5:$U$404,"&lt;="&amp;首页!$B$7-90)-SUMIFS(资金流水!$N$5:$N$504,资金流水!$G$5:$G$504,$A137,资金流水!$E$5:$E$504,"客户回款",资金流水!$B$5:$B$504,"&lt;="&amp;首页!$B$7))))</f>
        <v/>
      </c>
      <c r="L137" s="62" t="str">
        <f aca="false">IF($A137="","",$H137+$I137+$J137+$K137)</f>
        <v/>
      </c>
      <c r="M137" s="47" t="str">
        <f aca="false">IF($A137="","",IF($K137&gt;0,"高危",IF($J137&gt;0,"关注",IF($L137&gt;0,"提醒","正常"))))</f>
        <v/>
      </c>
      <c r="N137" s="42" t="str">
        <f aca="false">IF($A137="","",基础资料!$AA137)</f>
        <v/>
      </c>
    </row>
    <row r="138" customFormat="false" ht="15.75" hidden="false" customHeight="true" outlineLevel="0" collapsed="false">
      <c r="A138" s="35" t="str">
        <f aca="false">IF(基础资料!$Z138="","",基础资料!$Z138)</f>
        <v/>
      </c>
      <c r="B138" s="42" t="str">
        <f aca="false">IF($A138="","",N(基础资料!$AB138))</f>
        <v/>
      </c>
      <c r="C138" s="54" t="str">
        <f aca="false">IF($A138="","",SUMIFS(期初数据!$G$6:$G$155,期初数据!$E$6:$E$155,$A138,期初数据!$F$6:$F$155,"&lt;"&amp;首页!$B$6)+SUMIFS(销售录入!$Q$5:$Q$404,销售录入!$D$5:$D$404,$A138,销售录入!$B$5:$B$404,"&lt;"&amp;首页!$B$6)-SUMIFS(资金流水!$N$5:$N$504,资金流水!$G$5:$G$504,$A138,资金流水!$E$5:$E$504,"客户回款",资金流水!$B$5:$B$504,"&lt;"&amp;首页!$B$6))</f>
        <v/>
      </c>
      <c r="D138" s="54" t="str">
        <f aca="false">IF($A138="","",SUMIFS(销售录入!$Q$5:$Q$404,销售录入!$D$5:$D$404,$A138,销售录入!$C$5:$C$404,首页!$B$5))</f>
        <v/>
      </c>
      <c r="E138" s="54" t="str">
        <f aca="false">IF($A138="","",SUMIFS(资金流水!$N$5:$N$504,资金流水!$G$5:$G$504,$A138,资金流水!$E$5:$E$504,"客户回款",资金流水!$C$5:$C$504,首页!$B$5))</f>
        <v/>
      </c>
      <c r="F138" s="62" t="str">
        <f aca="false">IF($A138="","",$C138+$D138-$E138)</f>
        <v/>
      </c>
      <c r="G138" s="44" t="str">
        <f aca="false">IF($A138="","",$F138-$H138-$I138-$J138-$K138)</f>
        <v/>
      </c>
      <c r="H138" s="44" t="str">
        <f aca="false">IF($A138="","",MIN($F138,MAX(0,SUMIFS(期初数据!$G$6:$G$155,期初数据!$E$6:$E$155,$A138,期初数据!$F$6:$F$155,"&lt;="&amp;首页!$B$7)+SUMIFS(销售录入!$Q$5:$Q$404,销售录入!$D$5:$D$404,$A138,销售录入!$U$5:$U$404,"&lt;="&amp;首页!$B$7)-SUMIFS(资金流水!$N$5:$N$504,资金流水!$G$5:$G$504,$A138,资金流水!$E$5:$E$504,"客户回款",资金流水!$B$5:$B$504,"&lt;="&amp;首页!$B$7)))-$K138-$J138-$I138)</f>
        <v/>
      </c>
      <c r="I138" s="44" t="str">
        <f aca="false">IF($A138="","",MIN($F138,MAX(0,SUMIFS(期初数据!$G$6:$G$155,期初数据!$E$6:$E$155,$A138,期初数据!$F$6:$F$155,"&lt;="&amp;首页!$B$7-30)+SUMIFS(销售录入!$Q$5:$Q$404,销售录入!$D$5:$D$404,$A138,销售录入!$U$5:$U$404,"&lt;="&amp;首页!$B$7-30)-SUMIFS(资金流水!$N$5:$N$504,资金流水!$G$5:$G$504,$A138,资金流水!$E$5:$E$504,"客户回款",资金流水!$B$5:$B$504,"&lt;="&amp;首页!$B$7)))-$K138-$J138)</f>
        <v/>
      </c>
      <c r="J138" s="44" t="str">
        <f aca="false">IF($A138="","",MIN($F138,MAX(0,SUMIFS(期初数据!$G$6:$G$155,期初数据!$E$6:$E$155,$A138,期初数据!$F$6:$F$155,"&lt;="&amp;首页!$B$7-60)+SUMIFS(销售录入!$Q$5:$Q$404,销售录入!$D$5:$D$404,$A138,销售录入!$U$5:$U$404,"&lt;="&amp;首页!$B$7-60)-SUMIFS(资金流水!$N$5:$N$504,资金流水!$G$5:$G$504,$A138,资金流水!$E$5:$E$504,"客户回款",资金流水!$B$5:$B$504,"&lt;="&amp;首页!$B$7)))-$K138)</f>
        <v/>
      </c>
      <c r="K138" s="44" t="str">
        <f aca="false">IF($A138="","",MIN($F138,MAX(0,SUMIFS(期初数据!$G$6:$G$155,期初数据!$E$6:$E$155,$A138,期初数据!$F$6:$F$155,"&lt;="&amp;首页!$B$7-90)+SUMIFS(销售录入!$Q$5:$Q$404,销售录入!$D$5:$D$404,$A138,销售录入!$U$5:$U$404,"&lt;="&amp;首页!$B$7-90)-SUMIFS(资金流水!$N$5:$N$504,资金流水!$G$5:$G$504,$A138,资金流水!$E$5:$E$504,"客户回款",资金流水!$B$5:$B$504,"&lt;="&amp;首页!$B$7))))</f>
        <v/>
      </c>
      <c r="L138" s="62" t="str">
        <f aca="false">IF($A138="","",$H138+$I138+$J138+$K138)</f>
        <v/>
      </c>
      <c r="M138" s="47" t="str">
        <f aca="false">IF($A138="","",IF($K138&gt;0,"高危",IF($J138&gt;0,"关注",IF($L138&gt;0,"提醒","正常"))))</f>
        <v/>
      </c>
      <c r="N138" s="42" t="str">
        <f aca="false">IF($A138="","",基础资料!$AA138)</f>
        <v/>
      </c>
    </row>
    <row r="139" customFormat="false" ht="15.75" hidden="false" customHeight="true" outlineLevel="0" collapsed="false">
      <c r="A139" s="35" t="str">
        <f aca="false">IF(基础资料!$Z139="","",基础资料!$Z139)</f>
        <v/>
      </c>
      <c r="B139" s="42" t="str">
        <f aca="false">IF($A139="","",N(基础资料!$AB139))</f>
        <v/>
      </c>
      <c r="C139" s="54" t="str">
        <f aca="false">IF($A139="","",SUMIFS(期初数据!$G$6:$G$155,期初数据!$E$6:$E$155,$A139,期初数据!$F$6:$F$155,"&lt;"&amp;首页!$B$6)+SUMIFS(销售录入!$Q$5:$Q$404,销售录入!$D$5:$D$404,$A139,销售录入!$B$5:$B$404,"&lt;"&amp;首页!$B$6)-SUMIFS(资金流水!$N$5:$N$504,资金流水!$G$5:$G$504,$A139,资金流水!$E$5:$E$504,"客户回款",资金流水!$B$5:$B$504,"&lt;"&amp;首页!$B$6))</f>
        <v/>
      </c>
      <c r="D139" s="54" t="str">
        <f aca="false">IF($A139="","",SUMIFS(销售录入!$Q$5:$Q$404,销售录入!$D$5:$D$404,$A139,销售录入!$C$5:$C$404,首页!$B$5))</f>
        <v/>
      </c>
      <c r="E139" s="54" t="str">
        <f aca="false">IF($A139="","",SUMIFS(资金流水!$N$5:$N$504,资金流水!$G$5:$G$504,$A139,资金流水!$E$5:$E$504,"客户回款",资金流水!$C$5:$C$504,首页!$B$5))</f>
        <v/>
      </c>
      <c r="F139" s="62" t="str">
        <f aca="false">IF($A139="","",$C139+$D139-$E139)</f>
        <v/>
      </c>
      <c r="G139" s="44" t="str">
        <f aca="false">IF($A139="","",$F139-$H139-$I139-$J139-$K139)</f>
        <v/>
      </c>
      <c r="H139" s="44" t="str">
        <f aca="false">IF($A139="","",MIN($F139,MAX(0,SUMIFS(期初数据!$G$6:$G$155,期初数据!$E$6:$E$155,$A139,期初数据!$F$6:$F$155,"&lt;="&amp;首页!$B$7)+SUMIFS(销售录入!$Q$5:$Q$404,销售录入!$D$5:$D$404,$A139,销售录入!$U$5:$U$404,"&lt;="&amp;首页!$B$7)-SUMIFS(资金流水!$N$5:$N$504,资金流水!$G$5:$G$504,$A139,资金流水!$E$5:$E$504,"客户回款",资金流水!$B$5:$B$504,"&lt;="&amp;首页!$B$7)))-$K139-$J139-$I139)</f>
        <v/>
      </c>
      <c r="I139" s="44" t="str">
        <f aca="false">IF($A139="","",MIN($F139,MAX(0,SUMIFS(期初数据!$G$6:$G$155,期初数据!$E$6:$E$155,$A139,期初数据!$F$6:$F$155,"&lt;="&amp;首页!$B$7-30)+SUMIFS(销售录入!$Q$5:$Q$404,销售录入!$D$5:$D$404,$A139,销售录入!$U$5:$U$404,"&lt;="&amp;首页!$B$7-30)-SUMIFS(资金流水!$N$5:$N$504,资金流水!$G$5:$G$504,$A139,资金流水!$E$5:$E$504,"客户回款",资金流水!$B$5:$B$504,"&lt;="&amp;首页!$B$7)))-$K139-$J139)</f>
        <v/>
      </c>
      <c r="J139" s="44" t="str">
        <f aca="false">IF($A139="","",MIN($F139,MAX(0,SUMIFS(期初数据!$G$6:$G$155,期初数据!$E$6:$E$155,$A139,期初数据!$F$6:$F$155,"&lt;="&amp;首页!$B$7-60)+SUMIFS(销售录入!$Q$5:$Q$404,销售录入!$D$5:$D$404,$A139,销售录入!$U$5:$U$404,"&lt;="&amp;首页!$B$7-60)-SUMIFS(资金流水!$N$5:$N$504,资金流水!$G$5:$G$504,$A139,资金流水!$E$5:$E$504,"客户回款",资金流水!$B$5:$B$504,"&lt;="&amp;首页!$B$7)))-$K139)</f>
        <v/>
      </c>
      <c r="K139" s="44" t="str">
        <f aca="false">IF($A139="","",MIN($F139,MAX(0,SUMIFS(期初数据!$G$6:$G$155,期初数据!$E$6:$E$155,$A139,期初数据!$F$6:$F$155,"&lt;="&amp;首页!$B$7-90)+SUMIFS(销售录入!$Q$5:$Q$404,销售录入!$D$5:$D$404,$A139,销售录入!$U$5:$U$404,"&lt;="&amp;首页!$B$7-90)-SUMIFS(资金流水!$N$5:$N$504,资金流水!$G$5:$G$504,$A139,资金流水!$E$5:$E$504,"客户回款",资金流水!$B$5:$B$504,"&lt;="&amp;首页!$B$7))))</f>
        <v/>
      </c>
      <c r="L139" s="62" t="str">
        <f aca="false">IF($A139="","",$H139+$I139+$J139+$K139)</f>
        <v/>
      </c>
      <c r="M139" s="47" t="str">
        <f aca="false">IF($A139="","",IF($K139&gt;0,"高危",IF($J139&gt;0,"关注",IF($L139&gt;0,"提醒","正常"))))</f>
        <v/>
      </c>
      <c r="N139" s="42" t="str">
        <f aca="false">IF($A139="","",基础资料!$AA139)</f>
        <v/>
      </c>
    </row>
    <row r="140" customFormat="false" ht="15.75" hidden="false" customHeight="true" outlineLevel="0" collapsed="false">
      <c r="A140" s="35" t="str">
        <f aca="false">IF(基础资料!$Z140="","",基础资料!$Z140)</f>
        <v/>
      </c>
      <c r="B140" s="42" t="str">
        <f aca="false">IF($A140="","",N(基础资料!$AB140))</f>
        <v/>
      </c>
      <c r="C140" s="54" t="str">
        <f aca="false">IF($A140="","",SUMIFS(期初数据!$G$6:$G$155,期初数据!$E$6:$E$155,$A140,期初数据!$F$6:$F$155,"&lt;"&amp;首页!$B$6)+SUMIFS(销售录入!$Q$5:$Q$404,销售录入!$D$5:$D$404,$A140,销售录入!$B$5:$B$404,"&lt;"&amp;首页!$B$6)-SUMIFS(资金流水!$N$5:$N$504,资金流水!$G$5:$G$504,$A140,资金流水!$E$5:$E$504,"客户回款",资金流水!$B$5:$B$504,"&lt;"&amp;首页!$B$6))</f>
        <v/>
      </c>
      <c r="D140" s="54" t="str">
        <f aca="false">IF($A140="","",SUMIFS(销售录入!$Q$5:$Q$404,销售录入!$D$5:$D$404,$A140,销售录入!$C$5:$C$404,首页!$B$5))</f>
        <v/>
      </c>
      <c r="E140" s="54" t="str">
        <f aca="false">IF($A140="","",SUMIFS(资金流水!$N$5:$N$504,资金流水!$G$5:$G$504,$A140,资金流水!$E$5:$E$504,"客户回款",资金流水!$C$5:$C$504,首页!$B$5))</f>
        <v/>
      </c>
      <c r="F140" s="62" t="str">
        <f aca="false">IF($A140="","",$C140+$D140-$E140)</f>
        <v/>
      </c>
      <c r="G140" s="44" t="str">
        <f aca="false">IF($A140="","",$F140-$H140-$I140-$J140-$K140)</f>
        <v/>
      </c>
      <c r="H140" s="44" t="str">
        <f aca="false">IF($A140="","",MIN($F140,MAX(0,SUMIFS(期初数据!$G$6:$G$155,期初数据!$E$6:$E$155,$A140,期初数据!$F$6:$F$155,"&lt;="&amp;首页!$B$7)+SUMIFS(销售录入!$Q$5:$Q$404,销售录入!$D$5:$D$404,$A140,销售录入!$U$5:$U$404,"&lt;="&amp;首页!$B$7)-SUMIFS(资金流水!$N$5:$N$504,资金流水!$G$5:$G$504,$A140,资金流水!$E$5:$E$504,"客户回款",资金流水!$B$5:$B$504,"&lt;="&amp;首页!$B$7)))-$K140-$J140-$I140)</f>
        <v/>
      </c>
      <c r="I140" s="44" t="str">
        <f aca="false">IF($A140="","",MIN($F140,MAX(0,SUMIFS(期初数据!$G$6:$G$155,期初数据!$E$6:$E$155,$A140,期初数据!$F$6:$F$155,"&lt;="&amp;首页!$B$7-30)+SUMIFS(销售录入!$Q$5:$Q$404,销售录入!$D$5:$D$404,$A140,销售录入!$U$5:$U$404,"&lt;="&amp;首页!$B$7-30)-SUMIFS(资金流水!$N$5:$N$504,资金流水!$G$5:$G$504,$A140,资金流水!$E$5:$E$504,"客户回款",资金流水!$B$5:$B$504,"&lt;="&amp;首页!$B$7)))-$K140-$J140)</f>
        <v/>
      </c>
      <c r="J140" s="44" t="str">
        <f aca="false">IF($A140="","",MIN($F140,MAX(0,SUMIFS(期初数据!$G$6:$G$155,期初数据!$E$6:$E$155,$A140,期初数据!$F$6:$F$155,"&lt;="&amp;首页!$B$7-60)+SUMIFS(销售录入!$Q$5:$Q$404,销售录入!$D$5:$D$404,$A140,销售录入!$U$5:$U$404,"&lt;="&amp;首页!$B$7-60)-SUMIFS(资金流水!$N$5:$N$504,资金流水!$G$5:$G$504,$A140,资金流水!$E$5:$E$504,"客户回款",资金流水!$B$5:$B$504,"&lt;="&amp;首页!$B$7)))-$K140)</f>
        <v/>
      </c>
      <c r="K140" s="44" t="str">
        <f aca="false">IF($A140="","",MIN($F140,MAX(0,SUMIFS(期初数据!$G$6:$G$155,期初数据!$E$6:$E$155,$A140,期初数据!$F$6:$F$155,"&lt;="&amp;首页!$B$7-90)+SUMIFS(销售录入!$Q$5:$Q$404,销售录入!$D$5:$D$404,$A140,销售录入!$U$5:$U$404,"&lt;="&amp;首页!$B$7-90)-SUMIFS(资金流水!$N$5:$N$504,资金流水!$G$5:$G$504,$A140,资金流水!$E$5:$E$504,"客户回款",资金流水!$B$5:$B$504,"&lt;="&amp;首页!$B$7))))</f>
        <v/>
      </c>
      <c r="L140" s="62" t="str">
        <f aca="false">IF($A140="","",$H140+$I140+$J140+$K140)</f>
        <v/>
      </c>
      <c r="M140" s="47" t="str">
        <f aca="false">IF($A140="","",IF($K140&gt;0,"高危",IF($J140&gt;0,"关注",IF($L140&gt;0,"提醒","正常"))))</f>
        <v/>
      </c>
      <c r="N140" s="42" t="str">
        <f aca="false">IF($A140="","",基础资料!$AA140)</f>
        <v/>
      </c>
    </row>
    <row r="141" customFormat="false" ht="15.75" hidden="false" customHeight="true" outlineLevel="0" collapsed="false">
      <c r="A141" s="35" t="str">
        <f aca="false">IF(基础资料!$Z141="","",基础资料!$Z141)</f>
        <v/>
      </c>
      <c r="B141" s="42" t="str">
        <f aca="false">IF($A141="","",N(基础资料!$AB141))</f>
        <v/>
      </c>
      <c r="C141" s="54" t="str">
        <f aca="false">IF($A141="","",SUMIFS(期初数据!$G$6:$G$155,期初数据!$E$6:$E$155,$A141,期初数据!$F$6:$F$155,"&lt;"&amp;首页!$B$6)+SUMIFS(销售录入!$Q$5:$Q$404,销售录入!$D$5:$D$404,$A141,销售录入!$B$5:$B$404,"&lt;"&amp;首页!$B$6)-SUMIFS(资金流水!$N$5:$N$504,资金流水!$G$5:$G$504,$A141,资金流水!$E$5:$E$504,"客户回款",资金流水!$B$5:$B$504,"&lt;"&amp;首页!$B$6))</f>
        <v/>
      </c>
      <c r="D141" s="54" t="str">
        <f aca="false">IF($A141="","",SUMIFS(销售录入!$Q$5:$Q$404,销售录入!$D$5:$D$404,$A141,销售录入!$C$5:$C$404,首页!$B$5))</f>
        <v/>
      </c>
      <c r="E141" s="54" t="str">
        <f aca="false">IF($A141="","",SUMIFS(资金流水!$N$5:$N$504,资金流水!$G$5:$G$504,$A141,资金流水!$E$5:$E$504,"客户回款",资金流水!$C$5:$C$504,首页!$B$5))</f>
        <v/>
      </c>
      <c r="F141" s="62" t="str">
        <f aca="false">IF($A141="","",$C141+$D141-$E141)</f>
        <v/>
      </c>
      <c r="G141" s="44" t="str">
        <f aca="false">IF($A141="","",$F141-$H141-$I141-$J141-$K141)</f>
        <v/>
      </c>
      <c r="H141" s="44" t="str">
        <f aca="false">IF($A141="","",MIN($F141,MAX(0,SUMIFS(期初数据!$G$6:$G$155,期初数据!$E$6:$E$155,$A141,期初数据!$F$6:$F$155,"&lt;="&amp;首页!$B$7)+SUMIFS(销售录入!$Q$5:$Q$404,销售录入!$D$5:$D$404,$A141,销售录入!$U$5:$U$404,"&lt;="&amp;首页!$B$7)-SUMIFS(资金流水!$N$5:$N$504,资金流水!$G$5:$G$504,$A141,资金流水!$E$5:$E$504,"客户回款",资金流水!$B$5:$B$504,"&lt;="&amp;首页!$B$7)))-$K141-$J141-$I141)</f>
        <v/>
      </c>
      <c r="I141" s="44" t="str">
        <f aca="false">IF($A141="","",MIN($F141,MAX(0,SUMIFS(期初数据!$G$6:$G$155,期初数据!$E$6:$E$155,$A141,期初数据!$F$6:$F$155,"&lt;="&amp;首页!$B$7-30)+SUMIFS(销售录入!$Q$5:$Q$404,销售录入!$D$5:$D$404,$A141,销售录入!$U$5:$U$404,"&lt;="&amp;首页!$B$7-30)-SUMIFS(资金流水!$N$5:$N$504,资金流水!$G$5:$G$504,$A141,资金流水!$E$5:$E$504,"客户回款",资金流水!$B$5:$B$504,"&lt;="&amp;首页!$B$7)))-$K141-$J141)</f>
        <v/>
      </c>
      <c r="J141" s="44" t="str">
        <f aca="false">IF($A141="","",MIN($F141,MAX(0,SUMIFS(期初数据!$G$6:$G$155,期初数据!$E$6:$E$155,$A141,期初数据!$F$6:$F$155,"&lt;="&amp;首页!$B$7-60)+SUMIFS(销售录入!$Q$5:$Q$404,销售录入!$D$5:$D$404,$A141,销售录入!$U$5:$U$404,"&lt;="&amp;首页!$B$7-60)-SUMIFS(资金流水!$N$5:$N$504,资金流水!$G$5:$G$504,$A141,资金流水!$E$5:$E$504,"客户回款",资金流水!$B$5:$B$504,"&lt;="&amp;首页!$B$7)))-$K141)</f>
        <v/>
      </c>
      <c r="K141" s="44" t="str">
        <f aca="false">IF($A141="","",MIN($F141,MAX(0,SUMIFS(期初数据!$G$6:$G$155,期初数据!$E$6:$E$155,$A141,期初数据!$F$6:$F$155,"&lt;="&amp;首页!$B$7-90)+SUMIFS(销售录入!$Q$5:$Q$404,销售录入!$D$5:$D$404,$A141,销售录入!$U$5:$U$404,"&lt;="&amp;首页!$B$7-90)-SUMIFS(资金流水!$N$5:$N$504,资金流水!$G$5:$G$504,$A141,资金流水!$E$5:$E$504,"客户回款",资金流水!$B$5:$B$504,"&lt;="&amp;首页!$B$7))))</f>
        <v/>
      </c>
      <c r="L141" s="62" t="str">
        <f aca="false">IF($A141="","",$H141+$I141+$J141+$K141)</f>
        <v/>
      </c>
      <c r="M141" s="47" t="str">
        <f aca="false">IF($A141="","",IF($K141&gt;0,"高危",IF($J141&gt;0,"关注",IF($L141&gt;0,"提醒","正常"))))</f>
        <v/>
      </c>
      <c r="N141" s="42" t="str">
        <f aca="false">IF($A141="","",基础资料!$AA141)</f>
        <v/>
      </c>
    </row>
    <row r="142" customFormat="false" ht="15.75" hidden="false" customHeight="true" outlineLevel="0" collapsed="false">
      <c r="A142" s="35" t="str">
        <f aca="false">IF(基础资料!$Z142="","",基础资料!$Z142)</f>
        <v/>
      </c>
      <c r="B142" s="42" t="str">
        <f aca="false">IF($A142="","",N(基础资料!$AB142))</f>
        <v/>
      </c>
      <c r="C142" s="54" t="str">
        <f aca="false">IF($A142="","",SUMIFS(期初数据!$G$6:$G$155,期初数据!$E$6:$E$155,$A142,期初数据!$F$6:$F$155,"&lt;"&amp;首页!$B$6)+SUMIFS(销售录入!$Q$5:$Q$404,销售录入!$D$5:$D$404,$A142,销售录入!$B$5:$B$404,"&lt;"&amp;首页!$B$6)-SUMIFS(资金流水!$N$5:$N$504,资金流水!$G$5:$G$504,$A142,资金流水!$E$5:$E$504,"客户回款",资金流水!$B$5:$B$504,"&lt;"&amp;首页!$B$6))</f>
        <v/>
      </c>
      <c r="D142" s="54" t="str">
        <f aca="false">IF($A142="","",SUMIFS(销售录入!$Q$5:$Q$404,销售录入!$D$5:$D$404,$A142,销售录入!$C$5:$C$404,首页!$B$5))</f>
        <v/>
      </c>
      <c r="E142" s="54" t="str">
        <f aca="false">IF($A142="","",SUMIFS(资金流水!$N$5:$N$504,资金流水!$G$5:$G$504,$A142,资金流水!$E$5:$E$504,"客户回款",资金流水!$C$5:$C$504,首页!$B$5))</f>
        <v/>
      </c>
      <c r="F142" s="62" t="str">
        <f aca="false">IF($A142="","",$C142+$D142-$E142)</f>
        <v/>
      </c>
      <c r="G142" s="44" t="str">
        <f aca="false">IF($A142="","",$F142-$H142-$I142-$J142-$K142)</f>
        <v/>
      </c>
      <c r="H142" s="44" t="str">
        <f aca="false">IF($A142="","",MIN($F142,MAX(0,SUMIFS(期初数据!$G$6:$G$155,期初数据!$E$6:$E$155,$A142,期初数据!$F$6:$F$155,"&lt;="&amp;首页!$B$7)+SUMIFS(销售录入!$Q$5:$Q$404,销售录入!$D$5:$D$404,$A142,销售录入!$U$5:$U$404,"&lt;="&amp;首页!$B$7)-SUMIFS(资金流水!$N$5:$N$504,资金流水!$G$5:$G$504,$A142,资金流水!$E$5:$E$504,"客户回款",资金流水!$B$5:$B$504,"&lt;="&amp;首页!$B$7)))-$K142-$J142-$I142)</f>
        <v/>
      </c>
      <c r="I142" s="44" t="str">
        <f aca="false">IF($A142="","",MIN($F142,MAX(0,SUMIFS(期初数据!$G$6:$G$155,期初数据!$E$6:$E$155,$A142,期初数据!$F$6:$F$155,"&lt;="&amp;首页!$B$7-30)+SUMIFS(销售录入!$Q$5:$Q$404,销售录入!$D$5:$D$404,$A142,销售录入!$U$5:$U$404,"&lt;="&amp;首页!$B$7-30)-SUMIFS(资金流水!$N$5:$N$504,资金流水!$G$5:$G$504,$A142,资金流水!$E$5:$E$504,"客户回款",资金流水!$B$5:$B$504,"&lt;="&amp;首页!$B$7)))-$K142-$J142)</f>
        <v/>
      </c>
      <c r="J142" s="44" t="str">
        <f aca="false">IF($A142="","",MIN($F142,MAX(0,SUMIFS(期初数据!$G$6:$G$155,期初数据!$E$6:$E$155,$A142,期初数据!$F$6:$F$155,"&lt;="&amp;首页!$B$7-60)+SUMIFS(销售录入!$Q$5:$Q$404,销售录入!$D$5:$D$404,$A142,销售录入!$U$5:$U$404,"&lt;="&amp;首页!$B$7-60)-SUMIFS(资金流水!$N$5:$N$504,资金流水!$G$5:$G$504,$A142,资金流水!$E$5:$E$504,"客户回款",资金流水!$B$5:$B$504,"&lt;="&amp;首页!$B$7)))-$K142)</f>
        <v/>
      </c>
      <c r="K142" s="44" t="str">
        <f aca="false">IF($A142="","",MIN($F142,MAX(0,SUMIFS(期初数据!$G$6:$G$155,期初数据!$E$6:$E$155,$A142,期初数据!$F$6:$F$155,"&lt;="&amp;首页!$B$7-90)+SUMIFS(销售录入!$Q$5:$Q$404,销售录入!$D$5:$D$404,$A142,销售录入!$U$5:$U$404,"&lt;="&amp;首页!$B$7-90)-SUMIFS(资金流水!$N$5:$N$504,资金流水!$G$5:$G$504,$A142,资金流水!$E$5:$E$504,"客户回款",资金流水!$B$5:$B$504,"&lt;="&amp;首页!$B$7))))</f>
        <v/>
      </c>
      <c r="L142" s="62" t="str">
        <f aca="false">IF($A142="","",$H142+$I142+$J142+$K142)</f>
        <v/>
      </c>
      <c r="M142" s="47" t="str">
        <f aca="false">IF($A142="","",IF($K142&gt;0,"高危",IF($J142&gt;0,"关注",IF($L142&gt;0,"提醒","正常"))))</f>
        <v/>
      </c>
      <c r="N142" s="42" t="str">
        <f aca="false">IF($A142="","",基础资料!$AA142)</f>
        <v/>
      </c>
    </row>
    <row r="143" customFormat="false" ht="15.75" hidden="false" customHeight="true" outlineLevel="0" collapsed="false">
      <c r="A143" s="35" t="str">
        <f aca="false">IF(基础资料!$Z143="","",基础资料!$Z143)</f>
        <v/>
      </c>
      <c r="B143" s="42" t="str">
        <f aca="false">IF($A143="","",N(基础资料!$AB143))</f>
        <v/>
      </c>
      <c r="C143" s="54" t="str">
        <f aca="false">IF($A143="","",SUMIFS(期初数据!$G$6:$G$155,期初数据!$E$6:$E$155,$A143,期初数据!$F$6:$F$155,"&lt;"&amp;首页!$B$6)+SUMIFS(销售录入!$Q$5:$Q$404,销售录入!$D$5:$D$404,$A143,销售录入!$B$5:$B$404,"&lt;"&amp;首页!$B$6)-SUMIFS(资金流水!$N$5:$N$504,资金流水!$G$5:$G$504,$A143,资金流水!$E$5:$E$504,"客户回款",资金流水!$B$5:$B$504,"&lt;"&amp;首页!$B$6))</f>
        <v/>
      </c>
      <c r="D143" s="54" t="str">
        <f aca="false">IF($A143="","",SUMIFS(销售录入!$Q$5:$Q$404,销售录入!$D$5:$D$404,$A143,销售录入!$C$5:$C$404,首页!$B$5))</f>
        <v/>
      </c>
      <c r="E143" s="54" t="str">
        <f aca="false">IF($A143="","",SUMIFS(资金流水!$N$5:$N$504,资金流水!$G$5:$G$504,$A143,资金流水!$E$5:$E$504,"客户回款",资金流水!$C$5:$C$504,首页!$B$5))</f>
        <v/>
      </c>
      <c r="F143" s="62" t="str">
        <f aca="false">IF($A143="","",$C143+$D143-$E143)</f>
        <v/>
      </c>
      <c r="G143" s="44" t="str">
        <f aca="false">IF($A143="","",$F143-$H143-$I143-$J143-$K143)</f>
        <v/>
      </c>
      <c r="H143" s="44" t="str">
        <f aca="false">IF($A143="","",MIN($F143,MAX(0,SUMIFS(期初数据!$G$6:$G$155,期初数据!$E$6:$E$155,$A143,期初数据!$F$6:$F$155,"&lt;="&amp;首页!$B$7)+SUMIFS(销售录入!$Q$5:$Q$404,销售录入!$D$5:$D$404,$A143,销售录入!$U$5:$U$404,"&lt;="&amp;首页!$B$7)-SUMIFS(资金流水!$N$5:$N$504,资金流水!$G$5:$G$504,$A143,资金流水!$E$5:$E$504,"客户回款",资金流水!$B$5:$B$504,"&lt;="&amp;首页!$B$7)))-$K143-$J143-$I143)</f>
        <v/>
      </c>
      <c r="I143" s="44" t="str">
        <f aca="false">IF($A143="","",MIN($F143,MAX(0,SUMIFS(期初数据!$G$6:$G$155,期初数据!$E$6:$E$155,$A143,期初数据!$F$6:$F$155,"&lt;="&amp;首页!$B$7-30)+SUMIFS(销售录入!$Q$5:$Q$404,销售录入!$D$5:$D$404,$A143,销售录入!$U$5:$U$404,"&lt;="&amp;首页!$B$7-30)-SUMIFS(资金流水!$N$5:$N$504,资金流水!$G$5:$G$504,$A143,资金流水!$E$5:$E$504,"客户回款",资金流水!$B$5:$B$504,"&lt;="&amp;首页!$B$7)))-$K143-$J143)</f>
        <v/>
      </c>
      <c r="J143" s="44" t="str">
        <f aca="false">IF($A143="","",MIN($F143,MAX(0,SUMIFS(期初数据!$G$6:$G$155,期初数据!$E$6:$E$155,$A143,期初数据!$F$6:$F$155,"&lt;="&amp;首页!$B$7-60)+SUMIFS(销售录入!$Q$5:$Q$404,销售录入!$D$5:$D$404,$A143,销售录入!$U$5:$U$404,"&lt;="&amp;首页!$B$7-60)-SUMIFS(资金流水!$N$5:$N$504,资金流水!$G$5:$G$504,$A143,资金流水!$E$5:$E$504,"客户回款",资金流水!$B$5:$B$504,"&lt;="&amp;首页!$B$7)))-$K143)</f>
        <v/>
      </c>
      <c r="K143" s="44" t="str">
        <f aca="false">IF($A143="","",MIN($F143,MAX(0,SUMIFS(期初数据!$G$6:$G$155,期初数据!$E$6:$E$155,$A143,期初数据!$F$6:$F$155,"&lt;="&amp;首页!$B$7-90)+SUMIFS(销售录入!$Q$5:$Q$404,销售录入!$D$5:$D$404,$A143,销售录入!$U$5:$U$404,"&lt;="&amp;首页!$B$7-90)-SUMIFS(资金流水!$N$5:$N$504,资金流水!$G$5:$G$504,$A143,资金流水!$E$5:$E$504,"客户回款",资金流水!$B$5:$B$504,"&lt;="&amp;首页!$B$7))))</f>
        <v/>
      </c>
      <c r="L143" s="62" t="str">
        <f aca="false">IF($A143="","",$H143+$I143+$J143+$K143)</f>
        <v/>
      </c>
      <c r="M143" s="47" t="str">
        <f aca="false">IF($A143="","",IF($K143&gt;0,"高危",IF($J143&gt;0,"关注",IF($L143&gt;0,"提醒","正常"))))</f>
        <v/>
      </c>
      <c r="N143" s="42" t="str">
        <f aca="false">IF($A143="","",基础资料!$AA143)</f>
        <v/>
      </c>
    </row>
    <row r="144" customFormat="false" ht="15.75" hidden="false" customHeight="true" outlineLevel="0" collapsed="false">
      <c r="A144" s="35" t="str">
        <f aca="false">IF(基础资料!$Z144="","",基础资料!$Z144)</f>
        <v/>
      </c>
      <c r="B144" s="42" t="str">
        <f aca="false">IF($A144="","",N(基础资料!$AB144))</f>
        <v/>
      </c>
      <c r="C144" s="54" t="str">
        <f aca="false">IF($A144="","",SUMIFS(期初数据!$G$6:$G$155,期初数据!$E$6:$E$155,$A144,期初数据!$F$6:$F$155,"&lt;"&amp;首页!$B$6)+SUMIFS(销售录入!$Q$5:$Q$404,销售录入!$D$5:$D$404,$A144,销售录入!$B$5:$B$404,"&lt;"&amp;首页!$B$6)-SUMIFS(资金流水!$N$5:$N$504,资金流水!$G$5:$G$504,$A144,资金流水!$E$5:$E$504,"客户回款",资金流水!$B$5:$B$504,"&lt;"&amp;首页!$B$6))</f>
        <v/>
      </c>
      <c r="D144" s="54" t="str">
        <f aca="false">IF($A144="","",SUMIFS(销售录入!$Q$5:$Q$404,销售录入!$D$5:$D$404,$A144,销售录入!$C$5:$C$404,首页!$B$5))</f>
        <v/>
      </c>
      <c r="E144" s="54" t="str">
        <f aca="false">IF($A144="","",SUMIFS(资金流水!$N$5:$N$504,资金流水!$G$5:$G$504,$A144,资金流水!$E$5:$E$504,"客户回款",资金流水!$C$5:$C$504,首页!$B$5))</f>
        <v/>
      </c>
      <c r="F144" s="62" t="str">
        <f aca="false">IF($A144="","",$C144+$D144-$E144)</f>
        <v/>
      </c>
      <c r="G144" s="44" t="str">
        <f aca="false">IF($A144="","",$F144-$H144-$I144-$J144-$K144)</f>
        <v/>
      </c>
      <c r="H144" s="44" t="str">
        <f aca="false">IF($A144="","",MIN($F144,MAX(0,SUMIFS(期初数据!$G$6:$G$155,期初数据!$E$6:$E$155,$A144,期初数据!$F$6:$F$155,"&lt;="&amp;首页!$B$7)+SUMIFS(销售录入!$Q$5:$Q$404,销售录入!$D$5:$D$404,$A144,销售录入!$U$5:$U$404,"&lt;="&amp;首页!$B$7)-SUMIFS(资金流水!$N$5:$N$504,资金流水!$G$5:$G$504,$A144,资金流水!$E$5:$E$504,"客户回款",资金流水!$B$5:$B$504,"&lt;="&amp;首页!$B$7)))-$K144-$J144-$I144)</f>
        <v/>
      </c>
      <c r="I144" s="44" t="str">
        <f aca="false">IF($A144="","",MIN($F144,MAX(0,SUMIFS(期初数据!$G$6:$G$155,期初数据!$E$6:$E$155,$A144,期初数据!$F$6:$F$155,"&lt;="&amp;首页!$B$7-30)+SUMIFS(销售录入!$Q$5:$Q$404,销售录入!$D$5:$D$404,$A144,销售录入!$U$5:$U$404,"&lt;="&amp;首页!$B$7-30)-SUMIFS(资金流水!$N$5:$N$504,资金流水!$G$5:$G$504,$A144,资金流水!$E$5:$E$504,"客户回款",资金流水!$B$5:$B$504,"&lt;="&amp;首页!$B$7)))-$K144-$J144)</f>
        <v/>
      </c>
      <c r="J144" s="44" t="str">
        <f aca="false">IF($A144="","",MIN($F144,MAX(0,SUMIFS(期初数据!$G$6:$G$155,期初数据!$E$6:$E$155,$A144,期初数据!$F$6:$F$155,"&lt;="&amp;首页!$B$7-60)+SUMIFS(销售录入!$Q$5:$Q$404,销售录入!$D$5:$D$404,$A144,销售录入!$U$5:$U$404,"&lt;="&amp;首页!$B$7-60)-SUMIFS(资金流水!$N$5:$N$504,资金流水!$G$5:$G$504,$A144,资金流水!$E$5:$E$504,"客户回款",资金流水!$B$5:$B$504,"&lt;="&amp;首页!$B$7)))-$K144)</f>
        <v/>
      </c>
      <c r="K144" s="44" t="str">
        <f aca="false">IF($A144="","",MIN($F144,MAX(0,SUMIFS(期初数据!$G$6:$G$155,期初数据!$E$6:$E$155,$A144,期初数据!$F$6:$F$155,"&lt;="&amp;首页!$B$7-90)+SUMIFS(销售录入!$Q$5:$Q$404,销售录入!$D$5:$D$404,$A144,销售录入!$U$5:$U$404,"&lt;="&amp;首页!$B$7-90)-SUMIFS(资金流水!$N$5:$N$504,资金流水!$G$5:$G$504,$A144,资金流水!$E$5:$E$504,"客户回款",资金流水!$B$5:$B$504,"&lt;="&amp;首页!$B$7))))</f>
        <v/>
      </c>
      <c r="L144" s="62" t="str">
        <f aca="false">IF($A144="","",$H144+$I144+$J144+$K144)</f>
        <v/>
      </c>
      <c r="M144" s="47" t="str">
        <f aca="false">IF($A144="","",IF($K144&gt;0,"高危",IF($J144&gt;0,"关注",IF($L144&gt;0,"提醒","正常"))))</f>
        <v/>
      </c>
      <c r="N144" s="42" t="str">
        <f aca="false">IF($A144="","",基础资料!$AA144)</f>
        <v/>
      </c>
    </row>
    <row r="145" customFormat="false" ht="15.75" hidden="false" customHeight="true" outlineLevel="0" collapsed="false">
      <c r="A145" s="35" t="str">
        <f aca="false">IF(基础资料!$Z145="","",基础资料!$Z145)</f>
        <v/>
      </c>
      <c r="B145" s="42" t="str">
        <f aca="false">IF($A145="","",N(基础资料!$AB145))</f>
        <v/>
      </c>
      <c r="C145" s="54" t="str">
        <f aca="false">IF($A145="","",SUMIFS(期初数据!$G$6:$G$155,期初数据!$E$6:$E$155,$A145,期初数据!$F$6:$F$155,"&lt;"&amp;首页!$B$6)+SUMIFS(销售录入!$Q$5:$Q$404,销售录入!$D$5:$D$404,$A145,销售录入!$B$5:$B$404,"&lt;"&amp;首页!$B$6)-SUMIFS(资金流水!$N$5:$N$504,资金流水!$G$5:$G$504,$A145,资金流水!$E$5:$E$504,"客户回款",资金流水!$B$5:$B$504,"&lt;"&amp;首页!$B$6))</f>
        <v/>
      </c>
      <c r="D145" s="54" t="str">
        <f aca="false">IF($A145="","",SUMIFS(销售录入!$Q$5:$Q$404,销售录入!$D$5:$D$404,$A145,销售录入!$C$5:$C$404,首页!$B$5))</f>
        <v/>
      </c>
      <c r="E145" s="54" t="str">
        <f aca="false">IF($A145="","",SUMIFS(资金流水!$N$5:$N$504,资金流水!$G$5:$G$504,$A145,资金流水!$E$5:$E$504,"客户回款",资金流水!$C$5:$C$504,首页!$B$5))</f>
        <v/>
      </c>
      <c r="F145" s="62" t="str">
        <f aca="false">IF($A145="","",$C145+$D145-$E145)</f>
        <v/>
      </c>
      <c r="G145" s="44" t="str">
        <f aca="false">IF($A145="","",$F145-$H145-$I145-$J145-$K145)</f>
        <v/>
      </c>
      <c r="H145" s="44" t="str">
        <f aca="false">IF($A145="","",MIN($F145,MAX(0,SUMIFS(期初数据!$G$6:$G$155,期初数据!$E$6:$E$155,$A145,期初数据!$F$6:$F$155,"&lt;="&amp;首页!$B$7)+SUMIFS(销售录入!$Q$5:$Q$404,销售录入!$D$5:$D$404,$A145,销售录入!$U$5:$U$404,"&lt;="&amp;首页!$B$7)-SUMIFS(资金流水!$N$5:$N$504,资金流水!$G$5:$G$504,$A145,资金流水!$E$5:$E$504,"客户回款",资金流水!$B$5:$B$504,"&lt;="&amp;首页!$B$7)))-$K145-$J145-$I145)</f>
        <v/>
      </c>
      <c r="I145" s="44" t="str">
        <f aca="false">IF($A145="","",MIN($F145,MAX(0,SUMIFS(期初数据!$G$6:$G$155,期初数据!$E$6:$E$155,$A145,期初数据!$F$6:$F$155,"&lt;="&amp;首页!$B$7-30)+SUMIFS(销售录入!$Q$5:$Q$404,销售录入!$D$5:$D$404,$A145,销售录入!$U$5:$U$404,"&lt;="&amp;首页!$B$7-30)-SUMIFS(资金流水!$N$5:$N$504,资金流水!$G$5:$G$504,$A145,资金流水!$E$5:$E$504,"客户回款",资金流水!$B$5:$B$504,"&lt;="&amp;首页!$B$7)))-$K145-$J145)</f>
        <v/>
      </c>
      <c r="J145" s="44" t="str">
        <f aca="false">IF($A145="","",MIN($F145,MAX(0,SUMIFS(期初数据!$G$6:$G$155,期初数据!$E$6:$E$155,$A145,期初数据!$F$6:$F$155,"&lt;="&amp;首页!$B$7-60)+SUMIFS(销售录入!$Q$5:$Q$404,销售录入!$D$5:$D$404,$A145,销售录入!$U$5:$U$404,"&lt;="&amp;首页!$B$7-60)-SUMIFS(资金流水!$N$5:$N$504,资金流水!$G$5:$G$504,$A145,资金流水!$E$5:$E$504,"客户回款",资金流水!$B$5:$B$504,"&lt;="&amp;首页!$B$7)))-$K145)</f>
        <v/>
      </c>
      <c r="K145" s="44" t="str">
        <f aca="false">IF($A145="","",MIN($F145,MAX(0,SUMIFS(期初数据!$G$6:$G$155,期初数据!$E$6:$E$155,$A145,期初数据!$F$6:$F$155,"&lt;="&amp;首页!$B$7-90)+SUMIFS(销售录入!$Q$5:$Q$404,销售录入!$D$5:$D$404,$A145,销售录入!$U$5:$U$404,"&lt;="&amp;首页!$B$7-90)-SUMIFS(资金流水!$N$5:$N$504,资金流水!$G$5:$G$504,$A145,资金流水!$E$5:$E$504,"客户回款",资金流水!$B$5:$B$504,"&lt;="&amp;首页!$B$7))))</f>
        <v/>
      </c>
      <c r="L145" s="62" t="str">
        <f aca="false">IF($A145="","",$H145+$I145+$J145+$K145)</f>
        <v/>
      </c>
      <c r="M145" s="47" t="str">
        <f aca="false">IF($A145="","",IF($K145&gt;0,"高危",IF($J145&gt;0,"关注",IF($L145&gt;0,"提醒","正常"))))</f>
        <v/>
      </c>
      <c r="N145" s="42" t="str">
        <f aca="false">IF($A145="","",基础资料!$AA145)</f>
        <v/>
      </c>
    </row>
    <row r="146" customFormat="false" ht="15.75" hidden="false" customHeight="true" outlineLevel="0" collapsed="false">
      <c r="A146" s="35" t="str">
        <f aca="false">IF(基础资料!$Z146="","",基础资料!$Z146)</f>
        <v/>
      </c>
      <c r="B146" s="42" t="str">
        <f aca="false">IF($A146="","",N(基础资料!$AB146))</f>
        <v/>
      </c>
      <c r="C146" s="54" t="str">
        <f aca="false">IF($A146="","",SUMIFS(期初数据!$G$6:$G$155,期初数据!$E$6:$E$155,$A146,期初数据!$F$6:$F$155,"&lt;"&amp;首页!$B$6)+SUMIFS(销售录入!$Q$5:$Q$404,销售录入!$D$5:$D$404,$A146,销售录入!$B$5:$B$404,"&lt;"&amp;首页!$B$6)-SUMIFS(资金流水!$N$5:$N$504,资金流水!$G$5:$G$504,$A146,资金流水!$E$5:$E$504,"客户回款",资金流水!$B$5:$B$504,"&lt;"&amp;首页!$B$6))</f>
        <v/>
      </c>
      <c r="D146" s="54" t="str">
        <f aca="false">IF($A146="","",SUMIFS(销售录入!$Q$5:$Q$404,销售录入!$D$5:$D$404,$A146,销售录入!$C$5:$C$404,首页!$B$5))</f>
        <v/>
      </c>
      <c r="E146" s="54" t="str">
        <f aca="false">IF($A146="","",SUMIFS(资金流水!$N$5:$N$504,资金流水!$G$5:$G$504,$A146,资金流水!$E$5:$E$504,"客户回款",资金流水!$C$5:$C$504,首页!$B$5))</f>
        <v/>
      </c>
      <c r="F146" s="62" t="str">
        <f aca="false">IF($A146="","",$C146+$D146-$E146)</f>
        <v/>
      </c>
      <c r="G146" s="44" t="str">
        <f aca="false">IF($A146="","",$F146-$H146-$I146-$J146-$K146)</f>
        <v/>
      </c>
      <c r="H146" s="44" t="str">
        <f aca="false">IF($A146="","",MIN($F146,MAX(0,SUMIFS(期初数据!$G$6:$G$155,期初数据!$E$6:$E$155,$A146,期初数据!$F$6:$F$155,"&lt;="&amp;首页!$B$7)+SUMIFS(销售录入!$Q$5:$Q$404,销售录入!$D$5:$D$404,$A146,销售录入!$U$5:$U$404,"&lt;="&amp;首页!$B$7)-SUMIFS(资金流水!$N$5:$N$504,资金流水!$G$5:$G$504,$A146,资金流水!$E$5:$E$504,"客户回款",资金流水!$B$5:$B$504,"&lt;="&amp;首页!$B$7)))-$K146-$J146-$I146)</f>
        <v/>
      </c>
      <c r="I146" s="44" t="str">
        <f aca="false">IF($A146="","",MIN($F146,MAX(0,SUMIFS(期初数据!$G$6:$G$155,期初数据!$E$6:$E$155,$A146,期初数据!$F$6:$F$155,"&lt;="&amp;首页!$B$7-30)+SUMIFS(销售录入!$Q$5:$Q$404,销售录入!$D$5:$D$404,$A146,销售录入!$U$5:$U$404,"&lt;="&amp;首页!$B$7-30)-SUMIFS(资金流水!$N$5:$N$504,资金流水!$G$5:$G$504,$A146,资金流水!$E$5:$E$504,"客户回款",资金流水!$B$5:$B$504,"&lt;="&amp;首页!$B$7)))-$K146-$J146)</f>
        <v/>
      </c>
      <c r="J146" s="44" t="str">
        <f aca="false">IF($A146="","",MIN($F146,MAX(0,SUMIFS(期初数据!$G$6:$G$155,期初数据!$E$6:$E$155,$A146,期初数据!$F$6:$F$155,"&lt;="&amp;首页!$B$7-60)+SUMIFS(销售录入!$Q$5:$Q$404,销售录入!$D$5:$D$404,$A146,销售录入!$U$5:$U$404,"&lt;="&amp;首页!$B$7-60)-SUMIFS(资金流水!$N$5:$N$504,资金流水!$G$5:$G$504,$A146,资金流水!$E$5:$E$504,"客户回款",资金流水!$B$5:$B$504,"&lt;="&amp;首页!$B$7)))-$K146)</f>
        <v/>
      </c>
      <c r="K146" s="44" t="str">
        <f aca="false">IF($A146="","",MIN($F146,MAX(0,SUMIFS(期初数据!$G$6:$G$155,期初数据!$E$6:$E$155,$A146,期初数据!$F$6:$F$155,"&lt;="&amp;首页!$B$7-90)+SUMIFS(销售录入!$Q$5:$Q$404,销售录入!$D$5:$D$404,$A146,销售录入!$U$5:$U$404,"&lt;="&amp;首页!$B$7-90)-SUMIFS(资金流水!$N$5:$N$504,资金流水!$G$5:$G$504,$A146,资金流水!$E$5:$E$504,"客户回款",资金流水!$B$5:$B$504,"&lt;="&amp;首页!$B$7))))</f>
        <v/>
      </c>
      <c r="L146" s="62" t="str">
        <f aca="false">IF($A146="","",$H146+$I146+$J146+$K146)</f>
        <v/>
      </c>
      <c r="M146" s="47" t="str">
        <f aca="false">IF($A146="","",IF($K146&gt;0,"高危",IF($J146&gt;0,"关注",IF($L146&gt;0,"提醒","正常"))))</f>
        <v/>
      </c>
      <c r="N146" s="42" t="str">
        <f aca="false">IF($A146="","",基础资料!$AA146)</f>
        <v/>
      </c>
    </row>
    <row r="147" customFormat="false" ht="15.75" hidden="false" customHeight="true" outlineLevel="0" collapsed="false">
      <c r="A147" s="35" t="str">
        <f aca="false">IF(基础资料!$Z147="","",基础资料!$Z147)</f>
        <v/>
      </c>
      <c r="B147" s="42" t="str">
        <f aca="false">IF($A147="","",N(基础资料!$AB147))</f>
        <v/>
      </c>
      <c r="C147" s="54" t="str">
        <f aca="false">IF($A147="","",SUMIFS(期初数据!$G$6:$G$155,期初数据!$E$6:$E$155,$A147,期初数据!$F$6:$F$155,"&lt;"&amp;首页!$B$6)+SUMIFS(销售录入!$Q$5:$Q$404,销售录入!$D$5:$D$404,$A147,销售录入!$B$5:$B$404,"&lt;"&amp;首页!$B$6)-SUMIFS(资金流水!$N$5:$N$504,资金流水!$G$5:$G$504,$A147,资金流水!$E$5:$E$504,"客户回款",资金流水!$B$5:$B$504,"&lt;"&amp;首页!$B$6))</f>
        <v/>
      </c>
      <c r="D147" s="54" t="str">
        <f aca="false">IF($A147="","",SUMIFS(销售录入!$Q$5:$Q$404,销售录入!$D$5:$D$404,$A147,销售录入!$C$5:$C$404,首页!$B$5))</f>
        <v/>
      </c>
      <c r="E147" s="54" t="str">
        <f aca="false">IF($A147="","",SUMIFS(资金流水!$N$5:$N$504,资金流水!$G$5:$G$504,$A147,资金流水!$E$5:$E$504,"客户回款",资金流水!$C$5:$C$504,首页!$B$5))</f>
        <v/>
      </c>
      <c r="F147" s="62" t="str">
        <f aca="false">IF($A147="","",$C147+$D147-$E147)</f>
        <v/>
      </c>
      <c r="G147" s="44" t="str">
        <f aca="false">IF($A147="","",$F147-$H147-$I147-$J147-$K147)</f>
        <v/>
      </c>
      <c r="H147" s="44" t="str">
        <f aca="false">IF($A147="","",MIN($F147,MAX(0,SUMIFS(期初数据!$G$6:$G$155,期初数据!$E$6:$E$155,$A147,期初数据!$F$6:$F$155,"&lt;="&amp;首页!$B$7)+SUMIFS(销售录入!$Q$5:$Q$404,销售录入!$D$5:$D$404,$A147,销售录入!$U$5:$U$404,"&lt;="&amp;首页!$B$7)-SUMIFS(资金流水!$N$5:$N$504,资金流水!$G$5:$G$504,$A147,资金流水!$E$5:$E$504,"客户回款",资金流水!$B$5:$B$504,"&lt;="&amp;首页!$B$7)))-$K147-$J147-$I147)</f>
        <v/>
      </c>
      <c r="I147" s="44" t="str">
        <f aca="false">IF($A147="","",MIN($F147,MAX(0,SUMIFS(期初数据!$G$6:$G$155,期初数据!$E$6:$E$155,$A147,期初数据!$F$6:$F$155,"&lt;="&amp;首页!$B$7-30)+SUMIFS(销售录入!$Q$5:$Q$404,销售录入!$D$5:$D$404,$A147,销售录入!$U$5:$U$404,"&lt;="&amp;首页!$B$7-30)-SUMIFS(资金流水!$N$5:$N$504,资金流水!$G$5:$G$504,$A147,资金流水!$E$5:$E$504,"客户回款",资金流水!$B$5:$B$504,"&lt;="&amp;首页!$B$7)))-$K147-$J147)</f>
        <v/>
      </c>
      <c r="J147" s="44" t="str">
        <f aca="false">IF($A147="","",MIN($F147,MAX(0,SUMIFS(期初数据!$G$6:$G$155,期初数据!$E$6:$E$155,$A147,期初数据!$F$6:$F$155,"&lt;="&amp;首页!$B$7-60)+SUMIFS(销售录入!$Q$5:$Q$404,销售录入!$D$5:$D$404,$A147,销售录入!$U$5:$U$404,"&lt;="&amp;首页!$B$7-60)-SUMIFS(资金流水!$N$5:$N$504,资金流水!$G$5:$G$504,$A147,资金流水!$E$5:$E$504,"客户回款",资金流水!$B$5:$B$504,"&lt;="&amp;首页!$B$7)))-$K147)</f>
        <v/>
      </c>
      <c r="K147" s="44" t="str">
        <f aca="false">IF($A147="","",MIN($F147,MAX(0,SUMIFS(期初数据!$G$6:$G$155,期初数据!$E$6:$E$155,$A147,期初数据!$F$6:$F$155,"&lt;="&amp;首页!$B$7-90)+SUMIFS(销售录入!$Q$5:$Q$404,销售录入!$D$5:$D$404,$A147,销售录入!$U$5:$U$404,"&lt;="&amp;首页!$B$7-90)-SUMIFS(资金流水!$N$5:$N$504,资金流水!$G$5:$G$504,$A147,资金流水!$E$5:$E$504,"客户回款",资金流水!$B$5:$B$504,"&lt;="&amp;首页!$B$7))))</f>
        <v/>
      </c>
      <c r="L147" s="62" t="str">
        <f aca="false">IF($A147="","",$H147+$I147+$J147+$K147)</f>
        <v/>
      </c>
      <c r="M147" s="47" t="str">
        <f aca="false">IF($A147="","",IF($K147&gt;0,"高危",IF($J147&gt;0,"关注",IF($L147&gt;0,"提醒","正常"))))</f>
        <v/>
      </c>
      <c r="N147" s="42" t="str">
        <f aca="false">IF($A147="","",基础资料!$AA147)</f>
        <v/>
      </c>
    </row>
    <row r="148" customFormat="false" ht="15.75" hidden="false" customHeight="true" outlineLevel="0" collapsed="false">
      <c r="A148" s="35" t="str">
        <f aca="false">IF(基础资料!$Z148="","",基础资料!$Z148)</f>
        <v/>
      </c>
      <c r="B148" s="42" t="str">
        <f aca="false">IF($A148="","",N(基础资料!$AB148))</f>
        <v/>
      </c>
      <c r="C148" s="54" t="str">
        <f aca="false">IF($A148="","",SUMIFS(期初数据!$G$6:$G$155,期初数据!$E$6:$E$155,$A148,期初数据!$F$6:$F$155,"&lt;"&amp;首页!$B$6)+SUMIFS(销售录入!$Q$5:$Q$404,销售录入!$D$5:$D$404,$A148,销售录入!$B$5:$B$404,"&lt;"&amp;首页!$B$6)-SUMIFS(资金流水!$N$5:$N$504,资金流水!$G$5:$G$504,$A148,资金流水!$E$5:$E$504,"客户回款",资金流水!$B$5:$B$504,"&lt;"&amp;首页!$B$6))</f>
        <v/>
      </c>
      <c r="D148" s="54" t="str">
        <f aca="false">IF($A148="","",SUMIFS(销售录入!$Q$5:$Q$404,销售录入!$D$5:$D$404,$A148,销售录入!$C$5:$C$404,首页!$B$5))</f>
        <v/>
      </c>
      <c r="E148" s="54" t="str">
        <f aca="false">IF($A148="","",SUMIFS(资金流水!$N$5:$N$504,资金流水!$G$5:$G$504,$A148,资金流水!$E$5:$E$504,"客户回款",资金流水!$C$5:$C$504,首页!$B$5))</f>
        <v/>
      </c>
      <c r="F148" s="62" t="str">
        <f aca="false">IF($A148="","",$C148+$D148-$E148)</f>
        <v/>
      </c>
      <c r="G148" s="44" t="str">
        <f aca="false">IF($A148="","",$F148-$H148-$I148-$J148-$K148)</f>
        <v/>
      </c>
      <c r="H148" s="44" t="str">
        <f aca="false">IF($A148="","",MIN($F148,MAX(0,SUMIFS(期初数据!$G$6:$G$155,期初数据!$E$6:$E$155,$A148,期初数据!$F$6:$F$155,"&lt;="&amp;首页!$B$7)+SUMIFS(销售录入!$Q$5:$Q$404,销售录入!$D$5:$D$404,$A148,销售录入!$U$5:$U$404,"&lt;="&amp;首页!$B$7)-SUMIFS(资金流水!$N$5:$N$504,资金流水!$G$5:$G$504,$A148,资金流水!$E$5:$E$504,"客户回款",资金流水!$B$5:$B$504,"&lt;="&amp;首页!$B$7)))-$K148-$J148-$I148)</f>
        <v/>
      </c>
      <c r="I148" s="44" t="str">
        <f aca="false">IF($A148="","",MIN($F148,MAX(0,SUMIFS(期初数据!$G$6:$G$155,期初数据!$E$6:$E$155,$A148,期初数据!$F$6:$F$155,"&lt;="&amp;首页!$B$7-30)+SUMIFS(销售录入!$Q$5:$Q$404,销售录入!$D$5:$D$404,$A148,销售录入!$U$5:$U$404,"&lt;="&amp;首页!$B$7-30)-SUMIFS(资金流水!$N$5:$N$504,资金流水!$G$5:$G$504,$A148,资金流水!$E$5:$E$504,"客户回款",资金流水!$B$5:$B$504,"&lt;="&amp;首页!$B$7)))-$K148-$J148)</f>
        <v/>
      </c>
      <c r="J148" s="44" t="str">
        <f aca="false">IF($A148="","",MIN($F148,MAX(0,SUMIFS(期初数据!$G$6:$G$155,期初数据!$E$6:$E$155,$A148,期初数据!$F$6:$F$155,"&lt;="&amp;首页!$B$7-60)+SUMIFS(销售录入!$Q$5:$Q$404,销售录入!$D$5:$D$404,$A148,销售录入!$U$5:$U$404,"&lt;="&amp;首页!$B$7-60)-SUMIFS(资金流水!$N$5:$N$504,资金流水!$G$5:$G$504,$A148,资金流水!$E$5:$E$504,"客户回款",资金流水!$B$5:$B$504,"&lt;="&amp;首页!$B$7)))-$K148)</f>
        <v/>
      </c>
      <c r="K148" s="44" t="str">
        <f aca="false">IF($A148="","",MIN($F148,MAX(0,SUMIFS(期初数据!$G$6:$G$155,期初数据!$E$6:$E$155,$A148,期初数据!$F$6:$F$155,"&lt;="&amp;首页!$B$7-90)+SUMIFS(销售录入!$Q$5:$Q$404,销售录入!$D$5:$D$404,$A148,销售录入!$U$5:$U$404,"&lt;="&amp;首页!$B$7-90)-SUMIFS(资金流水!$N$5:$N$504,资金流水!$G$5:$G$504,$A148,资金流水!$E$5:$E$504,"客户回款",资金流水!$B$5:$B$504,"&lt;="&amp;首页!$B$7))))</f>
        <v/>
      </c>
      <c r="L148" s="62" t="str">
        <f aca="false">IF($A148="","",$H148+$I148+$J148+$K148)</f>
        <v/>
      </c>
      <c r="M148" s="47" t="str">
        <f aca="false">IF($A148="","",IF($K148&gt;0,"高危",IF($J148&gt;0,"关注",IF($L148&gt;0,"提醒","正常"))))</f>
        <v/>
      </c>
      <c r="N148" s="42" t="str">
        <f aca="false">IF($A148="","",基础资料!$AA148)</f>
        <v/>
      </c>
    </row>
    <row r="149" customFormat="false" ht="15.75" hidden="false" customHeight="true" outlineLevel="0" collapsed="false">
      <c r="A149" s="35" t="str">
        <f aca="false">IF(基础资料!$Z149="","",基础资料!$Z149)</f>
        <v/>
      </c>
      <c r="B149" s="42" t="str">
        <f aca="false">IF($A149="","",N(基础资料!$AB149))</f>
        <v/>
      </c>
      <c r="C149" s="54" t="str">
        <f aca="false">IF($A149="","",SUMIFS(期初数据!$G$6:$G$155,期初数据!$E$6:$E$155,$A149,期初数据!$F$6:$F$155,"&lt;"&amp;首页!$B$6)+SUMIFS(销售录入!$Q$5:$Q$404,销售录入!$D$5:$D$404,$A149,销售录入!$B$5:$B$404,"&lt;"&amp;首页!$B$6)-SUMIFS(资金流水!$N$5:$N$504,资金流水!$G$5:$G$504,$A149,资金流水!$E$5:$E$504,"客户回款",资金流水!$B$5:$B$504,"&lt;"&amp;首页!$B$6))</f>
        <v/>
      </c>
      <c r="D149" s="54" t="str">
        <f aca="false">IF($A149="","",SUMIFS(销售录入!$Q$5:$Q$404,销售录入!$D$5:$D$404,$A149,销售录入!$C$5:$C$404,首页!$B$5))</f>
        <v/>
      </c>
      <c r="E149" s="54" t="str">
        <f aca="false">IF($A149="","",SUMIFS(资金流水!$N$5:$N$504,资金流水!$G$5:$G$504,$A149,资金流水!$E$5:$E$504,"客户回款",资金流水!$C$5:$C$504,首页!$B$5))</f>
        <v/>
      </c>
      <c r="F149" s="62" t="str">
        <f aca="false">IF($A149="","",$C149+$D149-$E149)</f>
        <v/>
      </c>
      <c r="G149" s="44" t="str">
        <f aca="false">IF($A149="","",$F149-$H149-$I149-$J149-$K149)</f>
        <v/>
      </c>
      <c r="H149" s="44" t="str">
        <f aca="false">IF($A149="","",MIN($F149,MAX(0,SUMIFS(期初数据!$G$6:$G$155,期初数据!$E$6:$E$155,$A149,期初数据!$F$6:$F$155,"&lt;="&amp;首页!$B$7)+SUMIFS(销售录入!$Q$5:$Q$404,销售录入!$D$5:$D$404,$A149,销售录入!$U$5:$U$404,"&lt;="&amp;首页!$B$7)-SUMIFS(资金流水!$N$5:$N$504,资金流水!$G$5:$G$504,$A149,资金流水!$E$5:$E$504,"客户回款",资金流水!$B$5:$B$504,"&lt;="&amp;首页!$B$7)))-$K149-$J149-$I149)</f>
        <v/>
      </c>
      <c r="I149" s="44" t="str">
        <f aca="false">IF($A149="","",MIN($F149,MAX(0,SUMIFS(期初数据!$G$6:$G$155,期初数据!$E$6:$E$155,$A149,期初数据!$F$6:$F$155,"&lt;="&amp;首页!$B$7-30)+SUMIFS(销售录入!$Q$5:$Q$404,销售录入!$D$5:$D$404,$A149,销售录入!$U$5:$U$404,"&lt;="&amp;首页!$B$7-30)-SUMIFS(资金流水!$N$5:$N$504,资金流水!$G$5:$G$504,$A149,资金流水!$E$5:$E$504,"客户回款",资金流水!$B$5:$B$504,"&lt;="&amp;首页!$B$7)))-$K149-$J149)</f>
        <v/>
      </c>
      <c r="J149" s="44" t="str">
        <f aca="false">IF($A149="","",MIN($F149,MAX(0,SUMIFS(期初数据!$G$6:$G$155,期初数据!$E$6:$E$155,$A149,期初数据!$F$6:$F$155,"&lt;="&amp;首页!$B$7-60)+SUMIFS(销售录入!$Q$5:$Q$404,销售录入!$D$5:$D$404,$A149,销售录入!$U$5:$U$404,"&lt;="&amp;首页!$B$7-60)-SUMIFS(资金流水!$N$5:$N$504,资金流水!$G$5:$G$504,$A149,资金流水!$E$5:$E$504,"客户回款",资金流水!$B$5:$B$504,"&lt;="&amp;首页!$B$7)))-$K149)</f>
        <v/>
      </c>
      <c r="K149" s="44" t="str">
        <f aca="false">IF($A149="","",MIN($F149,MAX(0,SUMIFS(期初数据!$G$6:$G$155,期初数据!$E$6:$E$155,$A149,期初数据!$F$6:$F$155,"&lt;="&amp;首页!$B$7-90)+SUMIFS(销售录入!$Q$5:$Q$404,销售录入!$D$5:$D$404,$A149,销售录入!$U$5:$U$404,"&lt;="&amp;首页!$B$7-90)-SUMIFS(资金流水!$N$5:$N$504,资金流水!$G$5:$G$504,$A149,资金流水!$E$5:$E$504,"客户回款",资金流水!$B$5:$B$504,"&lt;="&amp;首页!$B$7))))</f>
        <v/>
      </c>
      <c r="L149" s="62" t="str">
        <f aca="false">IF($A149="","",$H149+$I149+$J149+$K149)</f>
        <v/>
      </c>
      <c r="M149" s="47" t="str">
        <f aca="false">IF($A149="","",IF($K149&gt;0,"高危",IF($J149&gt;0,"关注",IF($L149&gt;0,"提醒","正常"))))</f>
        <v/>
      </c>
      <c r="N149" s="42" t="str">
        <f aca="false">IF($A149="","",基础资料!$AA149)</f>
        <v/>
      </c>
    </row>
    <row r="150" customFormat="false" ht="15.75" hidden="false" customHeight="true" outlineLevel="0" collapsed="false">
      <c r="A150" s="35" t="str">
        <f aca="false">IF(基础资料!$Z150="","",基础资料!$Z150)</f>
        <v/>
      </c>
      <c r="B150" s="42" t="str">
        <f aca="false">IF($A150="","",N(基础资料!$AB150))</f>
        <v/>
      </c>
      <c r="C150" s="54" t="str">
        <f aca="false">IF($A150="","",SUMIFS(期初数据!$G$6:$G$155,期初数据!$E$6:$E$155,$A150,期初数据!$F$6:$F$155,"&lt;"&amp;首页!$B$6)+SUMIFS(销售录入!$Q$5:$Q$404,销售录入!$D$5:$D$404,$A150,销售录入!$B$5:$B$404,"&lt;"&amp;首页!$B$6)-SUMIFS(资金流水!$N$5:$N$504,资金流水!$G$5:$G$504,$A150,资金流水!$E$5:$E$504,"客户回款",资金流水!$B$5:$B$504,"&lt;"&amp;首页!$B$6))</f>
        <v/>
      </c>
      <c r="D150" s="54" t="str">
        <f aca="false">IF($A150="","",SUMIFS(销售录入!$Q$5:$Q$404,销售录入!$D$5:$D$404,$A150,销售录入!$C$5:$C$404,首页!$B$5))</f>
        <v/>
      </c>
      <c r="E150" s="54" t="str">
        <f aca="false">IF($A150="","",SUMIFS(资金流水!$N$5:$N$504,资金流水!$G$5:$G$504,$A150,资金流水!$E$5:$E$504,"客户回款",资金流水!$C$5:$C$504,首页!$B$5))</f>
        <v/>
      </c>
      <c r="F150" s="62" t="str">
        <f aca="false">IF($A150="","",$C150+$D150-$E150)</f>
        <v/>
      </c>
      <c r="G150" s="44" t="str">
        <f aca="false">IF($A150="","",$F150-$H150-$I150-$J150-$K150)</f>
        <v/>
      </c>
      <c r="H150" s="44" t="str">
        <f aca="false">IF($A150="","",MIN($F150,MAX(0,SUMIFS(期初数据!$G$6:$G$155,期初数据!$E$6:$E$155,$A150,期初数据!$F$6:$F$155,"&lt;="&amp;首页!$B$7)+SUMIFS(销售录入!$Q$5:$Q$404,销售录入!$D$5:$D$404,$A150,销售录入!$U$5:$U$404,"&lt;="&amp;首页!$B$7)-SUMIFS(资金流水!$N$5:$N$504,资金流水!$G$5:$G$504,$A150,资金流水!$E$5:$E$504,"客户回款",资金流水!$B$5:$B$504,"&lt;="&amp;首页!$B$7)))-$K150-$J150-$I150)</f>
        <v/>
      </c>
      <c r="I150" s="44" t="str">
        <f aca="false">IF($A150="","",MIN($F150,MAX(0,SUMIFS(期初数据!$G$6:$G$155,期初数据!$E$6:$E$155,$A150,期初数据!$F$6:$F$155,"&lt;="&amp;首页!$B$7-30)+SUMIFS(销售录入!$Q$5:$Q$404,销售录入!$D$5:$D$404,$A150,销售录入!$U$5:$U$404,"&lt;="&amp;首页!$B$7-30)-SUMIFS(资金流水!$N$5:$N$504,资金流水!$G$5:$G$504,$A150,资金流水!$E$5:$E$504,"客户回款",资金流水!$B$5:$B$504,"&lt;="&amp;首页!$B$7)))-$K150-$J150)</f>
        <v/>
      </c>
      <c r="J150" s="44" t="str">
        <f aca="false">IF($A150="","",MIN($F150,MAX(0,SUMIFS(期初数据!$G$6:$G$155,期初数据!$E$6:$E$155,$A150,期初数据!$F$6:$F$155,"&lt;="&amp;首页!$B$7-60)+SUMIFS(销售录入!$Q$5:$Q$404,销售录入!$D$5:$D$404,$A150,销售录入!$U$5:$U$404,"&lt;="&amp;首页!$B$7-60)-SUMIFS(资金流水!$N$5:$N$504,资金流水!$G$5:$G$504,$A150,资金流水!$E$5:$E$504,"客户回款",资金流水!$B$5:$B$504,"&lt;="&amp;首页!$B$7)))-$K150)</f>
        <v/>
      </c>
      <c r="K150" s="44" t="str">
        <f aca="false">IF($A150="","",MIN($F150,MAX(0,SUMIFS(期初数据!$G$6:$G$155,期初数据!$E$6:$E$155,$A150,期初数据!$F$6:$F$155,"&lt;="&amp;首页!$B$7-90)+SUMIFS(销售录入!$Q$5:$Q$404,销售录入!$D$5:$D$404,$A150,销售录入!$U$5:$U$404,"&lt;="&amp;首页!$B$7-90)-SUMIFS(资金流水!$N$5:$N$504,资金流水!$G$5:$G$504,$A150,资金流水!$E$5:$E$504,"客户回款",资金流水!$B$5:$B$504,"&lt;="&amp;首页!$B$7))))</f>
        <v/>
      </c>
      <c r="L150" s="62" t="str">
        <f aca="false">IF($A150="","",$H150+$I150+$J150+$K150)</f>
        <v/>
      </c>
      <c r="M150" s="47" t="str">
        <f aca="false">IF($A150="","",IF($K150&gt;0,"高危",IF($J150&gt;0,"关注",IF($L150&gt;0,"提醒","正常"))))</f>
        <v/>
      </c>
      <c r="N150" s="42" t="str">
        <f aca="false">IF($A150="","",基础资料!$AA150)</f>
        <v/>
      </c>
    </row>
    <row r="151" customFormat="false" ht="15.75" hidden="false" customHeight="true" outlineLevel="0" collapsed="false">
      <c r="A151" s="35" t="str">
        <f aca="false">IF(基础资料!$Z151="","",基础资料!$Z151)</f>
        <v/>
      </c>
      <c r="B151" s="42" t="str">
        <f aca="false">IF($A151="","",N(基础资料!$AB151))</f>
        <v/>
      </c>
      <c r="C151" s="54" t="str">
        <f aca="false">IF($A151="","",SUMIFS(期初数据!$G$6:$G$155,期初数据!$E$6:$E$155,$A151,期初数据!$F$6:$F$155,"&lt;"&amp;首页!$B$6)+SUMIFS(销售录入!$Q$5:$Q$404,销售录入!$D$5:$D$404,$A151,销售录入!$B$5:$B$404,"&lt;"&amp;首页!$B$6)-SUMIFS(资金流水!$N$5:$N$504,资金流水!$G$5:$G$504,$A151,资金流水!$E$5:$E$504,"客户回款",资金流水!$B$5:$B$504,"&lt;"&amp;首页!$B$6))</f>
        <v/>
      </c>
      <c r="D151" s="54" t="str">
        <f aca="false">IF($A151="","",SUMIFS(销售录入!$Q$5:$Q$404,销售录入!$D$5:$D$404,$A151,销售录入!$C$5:$C$404,首页!$B$5))</f>
        <v/>
      </c>
      <c r="E151" s="54" t="str">
        <f aca="false">IF($A151="","",SUMIFS(资金流水!$N$5:$N$504,资金流水!$G$5:$G$504,$A151,资金流水!$E$5:$E$504,"客户回款",资金流水!$C$5:$C$504,首页!$B$5))</f>
        <v/>
      </c>
      <c r="F151" s="62" t="str">
        <f aca="false">IF($A151="","",$C151+$D151-$E151)</f>
        <v/>
      </c>
      <c r="G151" s="44" t="str">
        <f aca="false">IF($A151="","",$F151-$H151-$I151-$J151-$K151)</f>
        <v/>
      </c>
      <c r="H151" s="44" t="str">
        <f aca="false">IF($A151="","",MIN($F151,MAX(0,SUMIFS(期初数据!$G$6:$G$155,期初数据!$E$6:$E$155,$A151,期初数据!$F$6:$F$155,"&lt;="&amp;首页!$B$7)+SUMIFS(销售录入!$Q$5:$Q$404,销售录入!$D$5:$D$404,$A151,销售录入!$U$5:$U$404,"&lt;="&amp;首页!$B$7)-SUMIFS(资金流水!$N$5:$N$504,资金流水!$G$5:$G$504,$A151,资金流水!$E$5:$E$504,"客户回款",资金流水!$B$5:$B$504,"&lt;="&amp;首页!$B$7)))-$K151-$J151-$I151)</f>
        <v/>
      </c>
      <c r="I151" s="44" t="str">
        <f aca="false">IF($A151="","",MIN($F151,MAX(0,SUMIFS(期初数据!$G$6:$G$155,期初数据!$E$6:$E$155,$A151,期初数据!$F$6:$F$155,"&lt;="&amp;首页!$B$7-30)+SUMIFS(销售录入!$Q$5:$Q$404,销售录入!$D$5:$D$404,$A151,销售录入!$U$5:$U$404,"&lt;="&amp;首页!$B$7-30)-SUMIFS(资金流水!$N$5:$N$504,资金流水!$G$5:$G$504,$A151,资金流水!$E$5:$E$504,"客户回款",资金流水!$B$5:$B$504,"&lt;="&amp;首页!$B$7)))-$K151-$J151)</f>
        <v/>
      </c>
      <c r="J151" s="44" t="str">
        <f aca="false">IF($A151="","",MIN($F151,MAX(0,SUMIFS(期初数据!$G$6:$G$155,期初数据!$E$6:$E$155,$A151,期初数据!$F$6:$F$155,"&lt;="&amp;首页!$B$7-60)+SUMIFS(销售录入!$Q$5:$Q$404,销售录入!$D$5:$D$404,$A151,销售录入!$U$5:$U$404,"&lt;="&amp;首页!$B$7-60)-SUMIFS(资金流水!$N$5:$N$504,资金流水!$G$5:$G$504,$A151,资金流水!$E$5:$E$504,"客户回款",资金流水!$B$5:$B$504,"&lt;="&amp;首页!$B$7)))-$K151)</f>
        <v/>
      </c>
      <c r="K151" s="44" t="str">
        <f aca="false">IF($A151="","",MIN($F151,MAX(0,SUMIFS(期初数据!$G$6:$G$155,期初数据!$E$6:$E$155,$A151,期初数据!$F$6:$F$155,"&lt;="&amp;首页!$B$7-90)+SUMIFS(销售录入!$Q$5:$Q$404,销售录入!$D$5:$D$404,$A151,销售录入!$U$5:$U$404,"&lt;="&amp;首页!$B$7-90)-SUMIFS(资金流水!$N$5:$N$504,资金流水!$G$5:$G$504,$A151,资金流水!$E$5:$E$504,"客户回款",资金流水!$B$5:$B$504,"&lt;="&amp;首页!$B$7))))</f>
        <v/>
      </c>
      <c r="L151" s="62" t="str">
        <f aca="false">IF($A151="","",$H151+$I151+$J151+$K151)</f>
        <v/>
      </c>
      <c r="M151" s="47" t="str">
        <f aca="false">IF($A151="","",IF($K151&gt;0,"高危",IF($J151&gt;0,"关注",IF($L151&gt;0,"提醒","正常"))))</f>
        <v/>
      </c>
      <c r="N151" s="42" t="str">
        <f aca="false">IF($A151="","",基础资料!$AA151)</f>
        <v/>
      </c>
    </row>
    <row r="152" customFormat="false" ht="15.75" hidden="false" customHeight="true" outlineLevel="0" collapsed="false">
      <c r="A152" s="35" t="str">
        <f aca="false">IF(基础资料!$Z152="","",基础资料!$Z152)</f>
        <v/>
      </c>
      <c r="B152" s="42" t="str">
        <f aca="false">IF($A152="","",N(基础资料!$AB152))</f>
        <v/>
      </c>
      <c r="C152" s="54" t="str">
        <f aca="false">IF($A152="","",SUMIFS(期初数据!$G$6:$G$155,期初数据!$E$6:$E$155,$A152,期初数据!$F$6:$F$155,"&lt;"&amp;首页!$B$6)+SUMIFS(销售录入!$Q$5:$Q$404,销售录入!$D$5:$D$404,$A152,销售录入!$B$5:$B$404,"&lt;"&amp;首页!$B$6)-SUMIFS(资金流水!$N$5:$N$504,资金流水!$G$5:$G$504,$A152,资金流水!$E$5:$E$504,"客户回款",资金流水!$B$5:$B$504,"&lt;"&amp;首页!$B$6))</f>
        <v/>
      </c>
      <c r="D152" s="54" t="str">
        <f aca="false">IF($A152="","",SUMIFS(销售录入!$Q$5:$Q$404,销售录入!$D$5:$D$404,$A152,销售录入!$C$5:$C$404,首页!$B$5))</f>
        <v/>
      </c>
      <c r="E152" s="54" t="str">
        <f aca="false">IF($A152="","",SUMIFS(资金流水!$N$5:$N$504,资金流水!$G$5:$G$504,$A152,资金流水!$E$5:$E$504,"客户回款",资金流水!$C$5:$C$504,首页!$B$5))</f>
        <v/>
      </c>
      <c r="F152" s="62" t="str">
        <f aca="false">IF($A152="","",$C152+$D152-$E152)</f>
        <v/>
      </c>
      <c r="G152" s="44" t="str">
        <f aca="false">IF($A152="","",$F152-$H152-$I152-$J152-$K152)</f>
        <v/>
      </c>
      <c r="H152" s="44" t="str">
        <f aca="false">IF($A152="","",MIN($F152,MAX(0,SUMIFS(期初数据!$G$6:$G$155,期初数据!$E$6:$E$155,$A152,期初数据!$F$6:$F$155,"&lt;="&amp;首页!$B$7)+SUMIFS(销售录入!$Q$5:$Q$404,销售录入!$D$5:$D$404,$A152,销售录入!$U$5:$U$404,"&lt;="&amp;首页!$B$7)-SUMIFS(资金流水!$N$5:$N$504,资金流水!$G$5:$G$504,$A152,资金流水!$E$5:$E$504,"客户回款",资金流水!$B$5:$B$504,"&lt;="&amp;首页!$B$7)))-$K152-$J152-$I152)</f>
        <v/>
      </c>
      <c r="I152" s="44" t="str">
        <f aca="false">IF($A152="","",MIN($F152,MAX(0,SUMIFS(期初数据!$G$6:$G$155,期初数据!$E$6:$E$155,$A152,期初数据!$F$6:$F$155,"&lt;="&amp;首页!$B$7-30)+SUMIFS(销售录入!$Q$5:$Q$404,销售录入!$D$5:$D$404,$A152,销售录入!$U$5:$U$404,"&lt;="&amp;首页!$B$7-30)-SUMIFS(资金流水!$N$5:$N$504,资金流水!$G$5:$G$504,$A152,资金流水!$E$5:$E$504,"客户回款",资金流水!$B$5:$B$504,"&lt;="&amp;首页!$B$7)))-$K152-$J152)</f>
        <v/>
      </c>
      <c r="J152" s="44" t="str">
        <f aca="false">IF($A152="","",MIN($F152,MAX(0,SUMIFS(期初数据!$G$6:$G$155,期初数据!$E$6:$E$155,$A152,期初数据!$F$6:$F$155,"&lt;="&amp;首页!$B$7-60)+SUMIFS(销售录入!$Q$5:$Q$404,销售录入!$D$5:$D$404,$A152,销售录入!$U$5:$U$404,"&lt;="&amp;首页!$B$7-60)-SUMIFS(资金流水!$N$5:$N$504,资金流水!$G$5:$G$504,$A152,资金流水!$E$5:$E$504,"客户回款",资金流水!$B$5:$B$504,"&lt;="&amp;首页!$B$7)))-$K152)</f>
        <v/>
      </c>
      <c r="K152" s="44" t="str">
        <f aca="false">IF($A152="","",MIN($F152,MAX(0,SUMIFS(期初数据!$G$6:$G$155,期初数据!$E$6:$E$155,$A152,期初数据!$F$6:$F$155,"&lt;="&amp;首页!$B$7-90)+SUMIFS(销售录入!$Q$5:$Q$404,销售录入!$D$5:$D$404,$A152,销售录入!$U$5:$U$404,"&lt;="&amp;首页!$B$7-90)-SUMIFS(资金流水!$N$5:$N$504,资金流水!$G$5:$G$504,$A152,资金流水!$E$5:$E$504,"客户回款",资金流水!$B$5:$B$504,"&lt;="&amp;首页!$B$7))))</f>
        <v/>
      </c>
      <c r="L152" s="62" t="str">
        <f aca="false">IF($A152="","",$H152+$I152+$J152+$K152)</f>
        <v/>
      </c>
      <c r="M152" s="47" t="str">
        <f aca="false">IF($A152="","",IF($K152&gt;0,"高危",IF($J152&gt;0,"关注",IF($L152&gt;0,"提醒","正常"))))</f>
        <v/>
      </c>
      <c r="N152" s="42" t="str">
        <f aca="false">IF($A152="","",基础资料!$AA152)</f>
        <v/>
      </c>
    </row>
    <row r="153" customFormat="false" ht="15.75" hidden="false" customHeight="true" outlineLevel="0" collapsed="false">
      <c r="A153" s="35" t="str">
        <f aca="false">IF(基础资料!$Z153="","",基础资料!$Z153)</f>
        <v/>
      </c>
      <c r="B153" s="42" t="str">
        <f aca="false">IF($A153="","",N(基础资料!$AB153))</f>
        <v/>
      </c>
      <c r="C153" s="54" t="str">
        <f aca="false">IF($A153="","",SUMIFS(期初数据!$G$6:$G$155,期初数据!$E$6:$E$155,$A153,期初数据!$F$6:$F$155,"&lt;"&amp;首页!$B$6)+SUMIFS(销售录入!$Q$5:$Q$404,销售录入!$D$5:$D$404,$A153,销售录入!$B$5:$B$404,"&lt;"&amp;首页!$B$6)-SUMIFS(资金流水!$N$5:$N$504,资金流水!$G$5:$G$504,$A153,资金流水!$E$5:$E$504,"客户回款",资金流水!$B$5:$B$504,"&lt;"&amp;首页!$B$6))</f>
        <v/>
      </c>
      <c r="D153" s="54" t="str">
        <f aca="false">IF($A153="","",SUMIFS(销售录入!$Q$5:$Q$404,销售录入!$D$5:$D$404,$A153,销售录入!$C$5:$C$404,首页!$B$5))</f>
        <v/>
      </c>
      <c r="E153" s="54" t="str">
        <f aca="false">IF($A153="","",SUMIFS(资金流水!$N$5:$N$504,资金流水!$G$5:$G$504,$A153,资金流水!$E$5:$E$504,"客户回款",资金流水!$C$5:$C$504,首页!$B$5))</f>
        <v/>
      </c>
      <c r="F153" s="62" t="str">
        <f aca="false">IF($A153="","",$C153+$D153-$E153)</f>
        <v/>
      </c>
      <c r="G153" s="44" t="str">
        <f aca="false">IF($A153="","",$F153-$H153-$I153-$J153-$K153)</f>
        <v/>
      </c>
      <c r="H153" s="44" t="str">
        <f aca="false">IF($A153="","",MIN($F153,MAX(0,SUMIFS(期初数据!$G$6:$G$155,期初数据!$E$6:$E$155,$A153,期初数据!$F$6:$F$155,"&lt;="&amp;首页!$B$7)+SUMIFS(销售录入!$Q$5:$Q$404,销售录入!$D$5:$D$404,$A153,销售录入!$U$5:$U$404,"&lt;="&amp;首页!$B$7)-SUMIFS(资金流水!$N$5:$N$504,资金流水!$G$5:$G$504,$A153,资金流水!$E$5:$E$504,"客户回款",资金流水!$B$5:$B$504,"&lt;="&amp;首页!$B$7)))-$K153-$J153-$I153)</f>
        <v/>
      </c>
      <c r="I153" s="44" t="str">
        <f aca="false">IF($A153="","",MIN($F153,MAX(0,SUMIFS(期初数据!$G$6:$G$155,期初数据!$E$6:$E$155,$A153,期初数据!$F$6:$F$155,"&lt;="&amp;首页!$B$7-30)+SUMIFS(销售录入!$Q$5:$Q$404,销售录入!$D$5:$D$404,$A153,销售录入!$U$5:$U$404,"&lt;="&amp;首页!$B$7-30)-SUMIFS(资金流水!$N$5:$N$504,资金流水!$G$5:$G$504,$A153,资金流水!$E$5:$E$504,"客户回款",资金流水!$B$5:$B$504,"&lt;="&amp;首页!$B$7)))-$K153-$J153)</f>
        <v/>
      </c>
      <c r="J153" s="44" t="str">
        <f aca="false">IF($A153="","",MIN($F153,MAX(0,SUMIFS(期初数据!$G$6:$G$155,期初数据!$E$6:$E$155,$A153,期初数据!$F$6:$F$155,"&lt;="&amp;首页!$B$7-60)+SUMIFS(销售录入!$Q$5:$Q$404,销售录入!$D$5:$D$404,$A153,销售录入!$U$5:$U$404,"&lt;="&amp;首页!$B$7-60)-SUMIFS(资金流水!$N$5:$N$504,资金流水!$G$5:$G$504,$A153,资金流水!$E$5:$E$504,"客户回款",资金流水!$B$5:$B$504,"&lt;="&amp;首页!$B$7)))-$K153)</f>
        <v/>
      </c>
      <c r="K153" s="44" t="str">
        <f aca="false">IF($A153="","",MIN($F153,MAX(0,SUMIFS(期初数据!$G$6:$G$155,期初数据!$E$6:$E$155,$A153,期初数据!$F$6:$F$155,"&lt;="&amp;首页!$B$7-90)+SUMIFS(销售录入!$Q$5:$Q$404,销售录入!$D$5:$D$404,$A153,销售录入!$U$5:$U$404,"&lt;="&amp;首页!$B$7-90)-SUMIFS(资金流水!$N$5:$N$504,资金流水!$G$5:$G$504,$A153,资金流水!$E$5:$E$504,"客户回款",资金流水!$B$5:$B$504,"&lt;="&amp;首页!$B$7))))</f>
        <v/>
      </c>
      <c r="L153" s="62" t="str">
        <f aca="false">IF($A153="","",$H153+$I153+$J153+$K153)</f>
        <v/>
      </c>
      <c r="M153" s="47" t="str">
        <f aca="false">IF($A153="","",IF($K153&gt;0,"高危",IF($J153&gt;0,"关注",IF($L153&gt;0,"提醒","正常"))))</f>
        <v/>
      </c>
      <c r="N153" s="42" t="str">
        <f aca="false">IF($A153="","",基础资料!$AA153)</f>
        <v/>
      </c>
    </row>
    <row r="154" customFormat="false" ht="15.75" hidden="false" customHeight="true" outlineLevel="0" collapsed="false">
      <c r="A154" s="35" t="str">
        <f aca="false">IF(基础资料!$Z154="","",基础资料!$Z154)</f>
        <v/>
      </c>
      <c r="B154" s="42" t="str">
        <f aca="false">IF($A154="","",N(基础资料!$AB154))</f>
        <v/>
      </c>
      <c r="C154" s="54" t="str">
        <f aca="false">IF($A154="","",SUMIFS(期初数据!$G$6:$G$155,期初数据!$E$6:$E$155,$A154,期初数据!$F$6:$F$155,"&lt;"&amp;首页!$B$6)+SUMIFS(销售录入!$Q$5:$Q$404,销售录入!$D$5:$D$404,$A154,销售录入!$B$5:$B$404,"&lt;"&amp;首页!$B$6)-SUMIFS(资金流水!$N$5:$N$504,资金流水!$G$5:$G$504,$A154,资金流水!$E$5:$E$504,"客户回款",资金流水!$B$5:$B$504,"&lt;"&amp;首页!$B$6))</f>
        <v/>
      </c>
      <c r="D154" s="54" t="str">
        <f aca="false">IF($A154="","",SUMIFS(销售录入!$Q$5:$Q$404,销售录入!$D$5:$D$404,$A154,销售录入!$C$5:$C$404,首页!$B$5))</f>
        <v/>
      </c>
      <c r="E154" s="54" t="str">
        <f aca="false">IF($A154="","",SUMIFS(资金流水!$N$5:$N$504,资金流水!$G$5:$G$504,$A154,资金流水!$E$5:$E$504,"客户回款",资金流水!$C$5:$C$504,首页!$B$5))</f>
        <v/>
      </c>
      <c r="F154" s="62" t="str">
        <f aca="false">IF($A154="","",$C154+$D154-$E154)</f>
        <v/>
      </c>
      <c r="G154" s="44" t="str">
        <f aca="false">IF($A154="","",$F154-$H154-$I154-$J154-$K154)</f>
        <v/>
      </c>
      <c r="H154" s="44" t="str">
        <f aca="false">IF($A154="","",MIN($F154,MAX(0,SUMIFS(期初数据!$G$6:$G$155,期初数据!$E$6:$E$155,$A154,期初数据!$F$6:$F$155,"&lt;="&amp;首页!$B$7)+SUMIFS(销售录入!$Q$5:$Q$404,销售录入!$D$5:$D$404,$A154,销售录入!$U$5:$U$404,"&lt;="&amp;首页!$B$7)-SUMIFS(资金流水!$N$5:$N$504,资金流水!$G$5:$G$504,$A154,资金流水!$E$5:$E$504,"客户回款",资金流水!$B$5:$B$504,"&lt;="&amp;首页!$B$7)))-$K154-$J154-$I154)</f>
        <v/>
      </c>
      <c r="I154" s="44" t="str">
        <f aca="false">IF($A154="","",MIN($F154,MAX(0,SUMIFS(期初数据!$G$6:$G$155,期初数据!$E$6:$E$155,$A154,期初数据!$F$6:$F$155,"&lt;="&amp;首页!$B$7-30)+SUMIFS(销售录入!$Q$5:$Q$404,销售录入!$D$5:$D$404,$A154,销售录入!$U$5:$U$404,"&lt;="&amp;首页!$B$7-30)-SUMIFS(资金流水!$N$5:$N$504,资金流水!$G$5:$G$504,$A154,资金流水!$E$5:$E$504,"客户回款",资金流水!$B$5:$B$504,"&lt;="&amp;首页!$B$7)))-$K154-$J154)</f>
        <v/>
      </c>
      <c r="J154" s="44" t="str">
        <f aca="false">IF($A154="","",MIN($F154,MAX(0,SUMIFS(期初数据!$G$6:$G$155,期初数据!$E$6:$E$155,$A154,期初数据!$F$6:$F$155,"&lt;="&amp;首页!$B$7-60)+SUMIFS(销售录入!$Q$5:$Q$404,销售录入!$D$5:$D$404,$A154,销售录入!$U$5:$U$404,"&lt;="&amp;首页!$B$7-60)-SUMIFS(资金流水!$N$5:$N$504,资金流水!$G$5:$G$504,$A154,资金流水!$E$5:$E$504,"客户回款",资金流水!$B$5:$B$504,"&lt;="&amp;首页!$B$7)))-$K154)</f>
        <v/>
      </c>
      <c r="K154" s="44" t="str">
        <f aca="false">IF($A154="","",MIN($F154,MAX(0,SUMIFS(期初数据!$G$6:$G$155,期初数据!$E$6:$E$155,$A154,期初数据!$F$6:$F$155,"&lt;="&amp;首页!$B$7-90)+SUMIFS(销售录入!$Q$5:$Q$404,销售录入!$D$5:$D$404,$A154,销售录入!$U$5:$U$404,"&lt;="&amp;首页!$B$7-90)-SUMIFS(资金流水!$N$5:$N$504,资金流水!$G$5:$G$504,$A154,资金流水!$E$5:$E$504,"客户回款",资金流水!$B$5:$B$504,"&lt;="&amp;首页!$B$7))))</f>
        <v/>
      </c>
      <c r="L154" s="62" t="str">
        <f aca="false">IF($A154="","",$H154+$I154+$J154+$K154)</f>
        <v/>
      </c>
      <c r="M154" s="47" t="str">
        <f aca="false">IF($A154="","",IF($K154&gt;0,"高危",IF($J154&gt;0,"关注",IF($L154&gt;0,"提醒","正常"))))</f>
        <v/>
      </c>
      <c r="N154" s="42" t="str">
        <f aca="false">IF($A154="","",基础资料!$AA154)</f>
        <v/>
      </c>
    </row>
    <row r="155" customFormat="false" ht="15.75" hidden="false" customHeight="true" outlineLevel="0" collapsed="false">
      <c r="A155" s="35" t="str">
        <f aca="false">IF(基础资料!$Z155="","",基础资料!$Z155)</f>
        <v/>
      </c>
      <c r="B155" s="42" t="str">
        <f aca="false">IF($A155="","",N(基础资料!$AB155))</f>
        <v/>
      </c>
      <c r="C155" s="54" t="str">
        <f aca="false">IF($A155="","",SUMIFS(期初数据!$G$6:$G$155,期初数据!$E$6:$E$155,$A155,期初数据!$F$6:$F$155,"&lt;"&amp;首页!$B$6)+SUMIFS(销售录入!$Q$5:$Q$404,销售录入!$D$5:$D$404,$A155,销售录入!$B$5:$B$404,"&lt;"&amp;首页!$B$6)-SUMIFS(资金流水!$N$5:$N$504,资金流水!$G$5:$G$504,$A155,资金流水!$E$5:$E$504,"客户回款",资金流水!$B$5:$B$504,"&lt;"&amp;首页!$B$6))</f>
        <v/>
      </c>
      <c r="D155" s="54" t="str">
        <f aca="false">IF($A155="","",SUMIFS(销售录入!$Q$5:$Q$404,销售录入!$D$5:$D$404,$A155,销售录入!$C$5:$C$404,首页!$B$5))</f>
        <v/>
      </c>
      <c r="E155" s="54" t="str">
        <f aca="false">IF($A155="","",SUMIFS(资金流水!$N$5:$N$504,资金流水!$G$5:$G$504,$A155,资金流水!$E$5:$E$504,"客户回款",资金流水!$C$5:$C$504,首页!$B$5))</f>
        <v/>
      </c>
      <c r="F155" s="62" t="str">
        <f aca="false">IF($A155="","",$C155+$D155-$E155)</f>
        <v/>
      </c>
      <c r="G155" s="44" t="str">
        <f aca="false">IF($A155="","",$F155-$H155-$I155-$J155-$K155)</f>
        <v/>
      </c>
      <c r="H155" s="44" t="str">
        <f aca="false">IF($A155="","",MIN($F155,MAX(0,SUMIFS(期初数据!$G$6:$G$155,期初数据!$E$6:$E$155,$A155,期初数据!$F$6:$F$155,"&lt;="&amp;首页!$B$7)+SUMIFS(销售录入!$Q$5:$Q$404,销售录入!$D$5:$D$404,$A155,销售录入!$U$5:$U$404,"&lt;="&amp;首页!$B$7)-SUMIFS(资金流水!$N$5:$N$504,资金流水!$G$5:$G$504,$A155,资金流水!$E$5:$E$504,"客户回款",资金流水!$B$5:$B$504,"&lt;="&amp;首页!$B$7)))-$K155-$J155-$I155)</f>
        <v/>
      </c>
      <c r="I155" s="44" t="str">
        <f aca="false">IF($A155="","",MIN($F155,MAX(0,SUMIFS(期初数据!$G$6:$G$155,期初数据!$E$6:$E$155,$A155,期初数据!$F$6:$F$155,"&lt;="&amp;首页!$B$7-30)+SUMIFS(销售录入!$Q$5:$Q$404,销售录入!$D$5:$D$404,$A155,销售录入!$U$5:$U$404,"&lt;="&amp;首页!$B$7-30)-SUMIFS(资金流水!$N$5:$N$504,资金流水!$G$5:$G$504,$A155,资金流水!$E$5:$E$504,"客户回款",资金流水!$B$5:$B$504,"&lt;="&amp;首页!$B$7)))-$K155-$J155)</f>
        <v/>
      </c>
      <c r="J155" s="44" t="str">
        <f aca="false">IF($A155="","",MIN($F155,MAX(0,SUMIFS(期初数据!$G$6:$G$155,期初数据!$E$6:$E$155,$A155,期初数据!$F$6:$F$155,"&lt;="&amp;首页!$B$7-60)+SUMIFS(销售录入!$Q$5:$Q$404,销售录入!$D$5:$D$404,$A155,销售录入!$U$5:$U$404,"&lt;="&amp;首页!$B$7-60)-SUMIFS(资金流水!$N$5:$N$504,资金流水!$G$5:$G$504,$A155,资金流水!$E$5:$E$504,"客户回款",资金流水!$B$5:$B$504,"&lt;="&amp;首页!$B$7)))-$K155)</f>
        <v/>
      </c>
      <c r="K155" s="44" t="str">
        <f aca="false">IF($A155="","",MIN($F155,MAX(0,SUMIFS(期初数据!$G$6:$G$155,期初数据!$E$6:$E$155,$A155,期初数据!$F$6:$F$155,"&lt;="&amp;首页!$B$7-90)+SUMIFS(销售录入!$Q$5:$Q$404,销售录入!$D$5:$D$404,$A155,销售录入!$U$5:$U$404,"&lt;="&amp;首页!$B$7-90)-SUMIFS(资金流水!$N$5:$N$504,资金流水!$G$5:$G$504,$A155,资金流水!$E$5:$E$504,"客户回款",资金流水!$B$5:$B$504,"&lt;="&amp;首页!$B$7))))</f>
        <v/>
      </c>
      <c r="L155" s="62" t="str">
        <f aca="false">IF($A155="","",$H155+$I155+$J155+$K155)</f>
        <v/>
      </c>
      <c r="M155" s="47" t="str">
        <f aca="false">IF($A155="","",IF($K155&gt;0,"高危",IF($J155&gt;0,"关注",IF($L155&gt;0,"提醒","正常"))))</f>
        <v/>
      </c>
      <c r="N155" s="42" t="str">
        <f aca="false">IF($A155="","",基础资料!$AA155)</f>
        <v/>
      </c>
    </row>
    <row r="156" customFormat="false" ht="15" hidden="false" customHeight="false" outlineLevel="0" collapsed="false">
      <c r="A156" s="55" t="s">
        <v>593</v>
      </c>
      <c r="B156" s="55"/>
      <c r="C156" s="39" t="n">
        <f aca="false">SUM(C6:C155)</f>
        <v>80000</v>
      </c>
      <c r="D156" s="39" t="n">
        <f aca="false">SUM(D6:D155)</f>
        <v>27686</v>
      </c>
      <c r="E156" s="39" t="n">
        <f aca="false">SUM(E6:E155)</f>
        <v>61000</v>
      </c>
      <c r="F156" s="39" t="n">
        <f aca="false">SUM(F6:F155)</f>
        <v>46686</v>
      </c>
      <c r="G156" s="39" t="n">
        <f aca="false">SUM(G6:G155)</f>
        <v>25990</v>
      </c>
      <c r="H156" s="39" t="n">
        <f aca="false">SUM(H6:H155)</f>
        <v>1696</v>
      </c>
      <c r="I156" s="39" t="n">
        <f aca="false">SUM(I6:I155)</f>
        <v>0</v>
      </c>
      <c r="J156" s="39" t="n">
        <f aca="false">SUM(J6:J155)</f>
        <v>19000</v>
      </c>
      <c r="K156" s="39" t="n">
        <f aca="false">SUM(K6:K155)</f>
        <v>0</v>
      </c>
      <c r="L156" s="39" t="n">
        <f aca="false">SUM(L6:L155)</f>
        <v>20696</v>
      </c>
      <c r="M156" s="55"/>
      <c r="N156" s="55"/>
    </row>
  </sheetData>
  <autoFilter ref="A5:N155"/>
  <mergeCells count="2">
    <mergeCell ref="A1:N1"/>
    <mergeCell ref="A2:N2"/>
  </mergeCells>
  <conditionalFormatting sqref="M6:M155">
    <cfRule type="expression" priority="2" aboveAverage="0" equalAverage="0" bottom="0" percent="0" rank="0" text="" dxfId="9">
      <formula>$M6="高危"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N15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6" min="6" style="0" width="15"/>
    <col collapsed="false" customWidth="true" hidden="false" outlineLevel="0" max="10" min="7" style="0" width="13"/>
    <col collapsed="false" customWidth="true" hidden="false" outlineLevel="0" max="12" min="11" style="0" width="14"/>
    <col collapsed="false" customWidth="true" hidden="false" outlineLevel="0" max="14" min="13" style="0" width="11"/>
  </cols>
  <sheetData>
    <row r="1" customFormat="false" ht="25.5" hidden="false" customHeight="true" outlineLevel="0" collapsed="false">
      <c r="A1" s="23" t="s">
        <v>746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customFormat="false" ht="15" hidden="false" customHeight="true" outlineLevel="0" collapsed="false">
      <c r="A2" s="6" t="s">
        <v>747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38" t="s">
        <v>3</v>
      </c>
      <c r="B3" s="55" t="str">
        <f aca="false">首页!$B$5</f>
        <v>2026-01</v>
      </c>
      <c r="D3" s="7" t="s">
        <v>734</v>
      </c>
      <c r="E3" s="68" t="n">
        <f aca="false">首页!$B$7</f>
        <v>46053</v>
      </c>
    </row>
    <row r="5" customFormat="false" ht="30" hidden="false" customHeight="true" outlineLevel="0" collapsed="false">
      <c r="A5" s="30" t="s">
        <v>206</v>
      </c>
      <c r="B5" s="30" t="s">
        <v>431</v>
      </c>
      <c r="C5" s="30" t="s">
        <v>748</v>
      </c>
      <c r="D5" s="30" t="s">
        <v>749</v>
      </c>
      <c r="E5" s="30" t="s">
        <v>750</v>
      </c>
      <c r="F5" s="30" t="s">
        <v>751</v>
      </c>
      <c r="G5" s="30" t="s">
        <v>739</v>
      </c>
      <c r="H5" s="30" t="s">
        <v>740</v>
      </c>
      <c r="I5" s="30" t="s">
        <v>741</v>
      </c>
      <c r="J5" s="30" t="s">
        <v>742</v>
      </c>
      <c r="K5" s="30" t="s">
        <v>743</v>
      </c>
      <c r="L5" s="30" t="s">
        <v>744</v>
      </c>
      <c r="M5" s="30" t="s">
        <v>745</v>
      </c>
      <c r="N5" s="30" t="s">
        <v>434</v>
      </c>
    </row>
    <row r="6" customFormat="false" ht="15.75" hidden="false" customHeight="true" outlineLevel="0" collapsed="false">
      <c r="A6" s="35" t="str">
        <f aca="false">IF(基础资料!$AF6="","",基础资料!$AF6)</f>
        <v>示例供应商甲</v>
      </c>
      <c r="B6" s="42" t="n">
        <f aca="false">IF($A6="","",N(基础资料!$AH6))</f>
        <v>30</v>
      </c>
      <c r="C6" s="54" t="n">
        <f aca="false">IF($A6="","",SUMIFS(期初数据!$L$6:$L$155,期初数据!$J$6:$J$155,$A6,期初数据!$K$6:$K$155,"&lt;"&amp;首页!$B$6)+SUMIFS(采购录入!$S$5:$S$404,采购录入!$D$5:$D$404,$A6,采购录入!$B$5:$B$404,"&lt;"&amp;首页!$B$6)-SUMIFS(资金流水!$N$5:$N$504,资金流水!$G$5:$G$504,$A6,资金流水!$E$5:$E$504,"供应商付款",资金流水!$B$5:$B$504,"&lt;"&amp;首页!$B$6))</f>
        <v>40000</v>
      </c>
      <c r="D6" s="54" t="n">
        <f aca="false">IF($A6="","",SUMIFS(采购录入!$S$5:$S$404,采购录入!$D$5:$D$404,$A6,采购录入!$C$5:$C$404,首页!$B$5))</f>
        <v>14125</v>
      </c>
      <c r="E6" s="54" t="n">
        <f aca="false">IF($A6="","",SUMIFS(资金流水!$N$5:$N$504,资金流水!$G$5:$G$504,$A6,资金流水!$E$5:$E$504,"供应商付款",资金流水!$C$5:$C$504,首页!$B$5))</f>
        <v>40000</v>
      </c>
      <c r="F6" s="62" t="n">
        <f aca="false">IF($A6="","",$C6+$D6-$E6)</f>
        <v>14125</v>
      </c>
      <c r="G6" s="44" t="n">
        <f aca="false">IF($A6="","",$F6-$H6-$I6-$J6-$K6)</f>
        <v>14125</v>
      </c>
      <c r="H6" s="44" t="n">
        <f aca="false">IF($A6="","",MIN($F6,MAX(0,SUMIFS(期初数据!$L$6:$L$155,期初数据!$J$6:$J$155,$A6,期初数据!$K$6:$K$155,"&lt;="&amp;首页!$B$7)+SUMIFS(采购录入!$S$5:$S$404,采购录入!$D$5:$D$404,$A6,采购录入!$T$5:$T$404,"&lt;="&amp;首页!$B$7)-SUMIFS(资金流水!$N$5:$N$504,资金流水!$G$5:$G$504,$A6,资金流水!$E$5:$E$504,"供应商付款",资金流水!$B$5:$B$504,"&lt;="&amp;首页!$B$7)))-$K6-$J6-$I6)</f>
        <v>0</v>
      </c>
      <c r="I6" s="44" t="n">
        <f aca="false">IF($A6="","",MIN($F6,MAX(0,SUMIFS(期初数据!$L$6:$L$155,期初数据!$J$6:$J$155,$A6,期初数据!$K$6:$K$155,"&lt;="&amp;首页!$B$7-30)+SUMIFS(采购录入!$S$5:$S$404,采购录入!$D$5:$D$404,$A6,采购录入!$T$5:$T$404,"&lt;="&amp;首页!$B$7-30)-SUMIFS(资金流水!$N$5:$N$504,资金流水!$G$5:$G$504,$A6,资金流水!$E$5:$E$504,"供应商付款",资金流水!$B$5:$B$504,"&lt;="&amp;首页!$B$7)))-$K6-$J6)</f>
        <v>0</v>
      </c>
      <c r="J6" s="44" t="n">
        <f aca="false">IF($A6="","",MIN($F6,MAX(0,SUMIFS(期初数据!$L$6:$L$155,期初数据!$J$6:$J$155,$A6,期初数据!$K$6:$K$155,"&lt;="&amp;首页!$B$7-60)+SUMIFS(采购录入!$S$5:$S$404,采购录入!$D$5:$D$404,$A6,采购录入!$T$5:$T$404,"&lt;="&amp;首页!$B$7-60)-SUMIFS(资金流水!$N$5:$N$504,资金流水!$G$5:$G$504,$A6,资金流水!$E$5:$E$504,"供应商付款",资金流水!$B$5:$B$504,"&lt;="&amp;首页!$B$7)))-$K6)</f>
        <v>0</v>
      </c>
      <c r="K6" s="44" t="n">
        <f aca="false">IF($A6="","",MIN($F6,MAX(0,SUMIFS(期初数据!$L$6:$L$155,期初数据!$J$6:$J$155,$A6,期初数据!$K$6:$K$155,"&lt;="&amp;首页!$B$7-90)+SUMIFS(采购录入!$S$5:$S$404,采购录入!$D$5:$D$404,$A6,采购录入!$T$5:$T$404,"&lt;="&amp;首页!$B$7-90)-SUMIFS(资金流水!$N$5:$N$504,资金流水!$G$5:$G$504,$A6,资金流水!$E$5:$E$504,"供应商付款",资金流水!$B$5:$B$504,"&lt;="&amp;首页!$B$7))))</f>
        <v>0</v>
      </c>
      <c r="L6" s="62" t="n">
        <f aca="false">IF($A6="","",$H6+$I6+$J6+$K6)</f>
        <v>0</v>
      </c>
      <c r="M6" s="47" t="str">
        <f aca="false">IF($A6="","",IF($K6&gt;0,"高危",IF($J6&gt;0,"关注",IF($L6&gt;0,"提醒","正常"))))</f>
        <v>正常</v>
      </c>
      <c r="N6" s="42" t="str">
        <f aca="false">IF($A6="","",基础资料!$AG6)</f>
        <v>李娜</v>
      </c>
    </row>
    <row r="7" customFormat="false" ht="15.75" hidden="false" customHeight="true" outlineLevel="0" collapsed="false">
      <c r="A7" s="35" t="str">
        <f aca="false">IF(基础资料!$AF7="","",基础资料!$AF7)</f>
        <v>示例供应商乙</v>
      </c>
      <c r="B7" s="42" t="n">
        <f aca="false">IF($A7="","",N(基础资料!$AH7))</f>
        <v>45</v>
      </c>
      <c r="C7" s="54" t="n">
        <f aca="false">IF($A7="","",SUMIFS(期初数据!$L$6:$L$155,期初数据!$J$6:$J$155,$A7,期初数据!$K$6:$K$155,"&lt;"&amp;首页!$B$6)+SUMIFS(采购录入!$S$5:$S$404,采购录入!$D$5:$D$404,$A7,采购录入!$B$5:$B$404,"&lt;"&amp;首页!$B$6)-SUMIFS(资金流水!$N$5:$N$504,资金流水!$G$5:$G$504,$A7,资金流水!$E$5:$E$504,"供应商付款",资金流水!$B$5:$B$504,"&lt;"&amp;首页!$B$6))</f>
        <v>0</v>
      </c>
      <c r="D7" s="54" t="n">
        <f aca="false">IF($A7="","",SUMIFS(采购录入!$S$5:$S$404,采购录入!$D$5:$D$404,$A7,采购录入!$C$5:$C$404,首页!$B$5))</f>
        <v>7627.5</v>
      </c>
      <c r="E7" s="54" t="n">
        <f aca="false">IF($A7="","",SUMIFS(资金流水!$N$5:$N$504,资金流水!$G$5:$G$504,$A7,资金流水!$E$5:$E$504,"供应商付款",资金流水!$C$5:$C$504,首页!$B$5))</f>
        <v>0</v>
      </c>
      <c r="F7" s="62" t="n">
        <f aca="false">IF($A7="","",$C7+$D7-$E7)</f>
        <v>7627.5</v>
      </c>
      <c r="G7" s="44" t="n">
        <f aca="false">IF($A7="","",$F7-$H7-$I7-$J7-$K7)</f>
        <v>7627.5</v>
      </c>
      <c r="H7" s="44" t="n">
        <f aca="false">IF($A7="","",MIN($F7,MAX(0,SUMIFS(期初数据!$L$6:$L$155,期初数据!$J$6:$J$155,$A7,期初数据!$K$6:$K$155,"&lt;="&amp;首页!$B$7)+SUMIFS(采购录入!$S$5:$S$404,采购录入!$D$5:$D$404,$A7,采购录入!$T$5:$T$404,"&lt;="&amp;首页!$B$7)-SUMIFS(资金流水!$N$5:$N$504,资金流水!$G$5:$G$504,$A7,资金流水!$E$5:$E$504,"供应商付款",资金流水!$B$5:$B$504,"&lt;="&amp;首页!$B$7)))-$K7-$J7-$I7)</f>
        <v>0</v>
      </c>
      <c r="I7" s="44" t="n">
        <f aca="false">IF($A7="","",MIN($F7,MAX(0,SUMIFS(期初数据!$L$6:$L$155,期初数据!$J$6:$J$155,$A7,期初数据!$K$6:$K$155,"&lt;="&amp;首页!$B$7-30)+SUMIFS(采购录入!$S$5:$S$404,采购录入!$D$5:$D$404,$A7,采购录入!$T$5:$T$404,"&lt;="&amp;首页!$B$7-30)-SUMIFS(资金流水!$N$5:$N$504,资金流水!$G$5:$G$504,$A7,资金流水!$E$5:$E$504,"供应商付款",资金流水!$B$5:$B$504,"&lt;="&amp;首页!$B$7)))-$K7-$J7)</f>
        <v>0</v>
      </c>
      <c r="J7" s="44" t="n">
        <f aca="false">IF($A7="","",MIN($F7,MAX(0,SUMIFS(期初数据!$L$6:$L$155,期初数据!$J$6:$J$155,$A7,期初数据!$K$6:$K$155,"&lt;="&amp;首页!$B$7-60)+SUMIFS(采购录入!$S$5:$S$404,采购录入!$D$5:$D$404,$A7,采购录入!$T$5:$T$404,"&lt;="&amp;首页!$B$7-60)-SUMIFS(资金流水!$N$5:$N$504,资金流水!$G$5:$G$504,$A7,资金流水!$E$5:$E$504,"供应商付款",资金流水!$B$5:$B$504,"&lt;="&amp;首页!$B$7)))-$K7)</f>
        <v>0</v>
      </c>
      <c r="K7" s="44" t="n">
        <f aca="false">IF($A7="","",MIN($F7,MAX(0,SUMIFS(期初数据!$L$6:$L$155,期初数据!$J$6:$J$155,$A7,期初数据!$K$6:$K$155,"&lt;="&amp;首页!$B$7-90)+SUMIFS(采购录入!$S$5:$S$404,采购录入!$D$5:$D$404,$A7,采购录入!$T$5:$T$404,"&lt;="&amp;首页!$B$7-90)-SUMIFS(资金流水!$N$5:$N$504,资金流水!$G$5:$G$504,$A7,资金流水!$E$5:$E$504,"供应商付款",资金流水!$B$5:$B$504,"&lt;="&amp;首页!$B$7))))</f>
        <v>0</v>
      </c>
      <c r="L7" s="62" t="n">
        <f aca="false">IF($A7="","",$H7+$I7+$J7+$K7)</f>
        <v>0</v>
      </c>
      <c r="M7" s="47" t="str">
        <f aca="false">IF($A7="","",IF($K7&gt;0,"高危",IF($J7&gt;0,"关注",IF($L7&gt;0,"提醒","正常"))))</f>
        <v>正常</v>
      </c>
      <c r="N7" s="42" t="str">
        <f aca="false">IF($A7="","",基础资料!$AG7)</f>
        <v>李娜</v>
      </c>
    </row>
    <row r="8" customFormat="false" ht="15.75" hidden="false" customHeight="true" outlineLevel="0" collapsed="false">
      <c r="A8" s="35" t="str">
        <f aca="false">IF(基础资料!$AF8="","",基础资料!$AF8)</f>
        <v/>
      </c>
      <c r="B8" s="42" t="str">
        <f aca="false">IF($A8="","",N(基础资料!$AH8))</f>
        <v/>
      </c>
      <c r="C8" s="54" t="str">
        <f aca="false">IF($A8="","",SUMIFS(期初数据!$L$6:$L$155,期初数据!$J$6:$J$155,$A8,期初数据!$K$6:$K$155,"&lt;"&amp;首页!$B$6)+SUMIFS(采购录入!$S$5:$S$404,采购录入!$D$5:$D$404,$A8,采购录入!$B$5:$B$404,"&lt;"&amp;首页!$B$6)-SUMIFS(资金流水!$N$5:$N$504,资金流水!$G$5:$G$504,$A8,资金流水!$E$5:$E$504,"供应商付款",资金流水!$B$5:$B$504,"&lt;"&amp;首页!$B$6))</f>
        <v/>
      </c>
      <c r="D8" s="54" t="str">
        <f aca="false">IF($A8="","",SUMIFS(采购录入!$S$5:$S$404,采购录入!$D$5:$D$404,$A8,采购录入!$C$5:$C$404,首页!$B$5))</f>
        <v/>
      </c>
      <c r="E8" s="54" t="str">
        <f aca="false">IF($A8="","",SUMIFS(资金流水!$N$5:$N$504,资金流水!$G$5:$G$504,$A8,资金流水!$E$5:$E$504,"供应商付款",资金流水!$C$5:$C$504,首页!$B$5))</f>
        <v/>
      </c>
      <c r="F8" s="62" t="str">
        <f aca="false">IF($A8="","",$C8+$D8-$E8)</f>
        <v/>
      </c>
      <c r="G8" s="44" t="str">
        <f aca="false">IF($A8="","",$F8-$H8-$I8-$J8-$K8)</f>
        <v/>
      </c>
      <c r="H8" s="44" t="str">
        <f aca="false">IF($A8="","",MIN($F8,MAX(0,SUMIFS(期初数据!$L$6:$L$155,期初数据!$J$6:$J$155,$A8,期初数据!$K$6:$K$155,"&lt;="&amp;首页!$B$7)+SUMIFS(采购录入!$S$5:$S$404,采购录入!$D$5:$D$404,$A8,采购录入!$T$5:$T$404,"&lt;="&amp;首页!$B$7)-SUMIFS(资金流水!$N$5:$N$504,资金流水!$G$5:$G$504,$A8,资金流水!$E$5:$E$504,"供应商付款",资金流水!$B$5:$B$504,"&lt;="&amp;首页!$B$7)))-$K8-$J8-$I8)</f>
        <v/>
      </c>
      <c r="I8" s="44" t="str">
        <f aca="false">IF($A8="","",MIN($F8,MAX(0,SUMIFS(期初数据!$L$6:$L$155,期初数据!$J$6:$J$155,$A8,期初数据!$K$6:$K$155,"&lt;="&amp;首页!$B$7-30)+SUMIFS(采购录入!$S$5:$S$404,采购录入!$D$5:$D$404,$A8,采购录入!$T$5:$T$404,"&lt;="&amp;首页!$B$7-30)-SUMIFS(资金流水!$N$5:$N$504,资金流水!$G$5:$G$504,$A8,资金流水!$E$5:$E$504,"供应商付款",资金流水!$B$5:$B$504,"&lt;="&amp;首页!$B$7)))-$K8-$J8)</f>
        <v/>
      </c>
      <c r="J8" s="44" t="str">
        <f aca="false">IF($A8="","",MIN($F8,MAX(0,SUMIFS(期初数据!$L$6:$L$155,期初数据!$J$6:$J$155,$A8,期初数据!$K$6:$K$155,"&lt;="&amp;首页!$B$7-60)+SUMIFS(采购录入!$S$5:$S$404,采购录入!$D$5:$D$404,$A8,采购录入!$T$5:$T$404,"&lt;="&amp;首页!$B$7-60)-SUMIFS(资金流水!$N$5:$N$504,资金流水!$G$5:$G$504,$A8,资金流水!$E$5:$E$504,"供应商付款",资金流水!$B$5:$B$504,"&lt;="&amp;首页!$B$7)))-$K8)</f>
        <v/>
      </c>
      <c r="K8" s="44" t="str">
        <f aca="false">IF($A8="","",MIN($F8,MAX(0,SUMIFS(期初数据!$L$6:$L$155,期初数据!$J$6:$J$155,$A8,期初数据!$K$6:$K$155,"&lt;="&amp;首页!$B$7-90)+SUMIFS(采购录入!$S$5:$S$404,采购录入!$D$5:$D$404,$A8,采购录入!$T$5:$T$404,"&lt;="&amp;首页!$B$7-90)-SUMIFS(资金流水!$N$5:$N$504,资金流水!$G$5:$G$504,$A8,资金流水!$E$5:$E$504,"供应商付款",资金流水!$B$5:$B$504,"&lt;="&amp;首页!$B$7))))</f>
        <v/>
      </c>
      <c r="L8" s="62" t="str">
        <f aca="false">IF($A8="","",$H8+$I8+$J8+$K8)</f>
        <v/>
      </c>
      <c r="M8" s="47" t="str">
        <f aca="false">IF($A8="","",IF($K8&gt;0,"高危",IF($J8&gt;0,"关注",IF($L8&gt;0,"提醒","正常"))))</f>
        <v/>
      </c>
      <c r="N8" s="42" t="str">
        <f aca="false">IF($A8="","",基础资料!$AG8)</f>
        <v/>
      </c>
    </row>
    <row r="9" customFormat="false" ht="15.75" hidden="false" customHeight="true" outlineLevel="0" collapsed="false">
      <c r="A9" s="35" t="str">
        <f aca="false">IF(基础资料!$AF9="","",基础资料!$AF9)</f>
        <v/>
      </c>
      <c r="B9" s="42" t="str">
        <f aca="false">IF($A9="","",N(基础资料!$AH9))</f>
        <v/>
      </c>
      <c r="C9" s="54" t="str">
        <f aca="false">IF($A9="","",SUMIFS(期初数据!$L$6:$L$155,期初数据!$J$6:$J$155,$A9,期初数据!$K$6:$K$155,"&lt;"&amp;首页!$B$6)+SUMIFS(采购录入!$S$5:$S$404,采购录入!$D$5:$D$404,$A9,采购录入!$B$5:$B$404,"&lt;"&amp;首页!$B$6)-SUMIFS(资金流水!$N$5:$N$504,资金流水!$G$5:$G$504,$A9,资金流水!$E$5:$E$504,"供应商付款",资金流水!$B$5:$B$504,"&lt;"&amp;首页!$B$6))</f>
        <v/>
      </c>
      <c r="D9" s="54" t="str">
        <f aca="false">IF($A9="","",SUMIFS(采购录入!$S$5:$S$404,采购录入!$D$5:$D$404,$A9,采购录入!$C$5:$C$404,首页!$B$5))</f>
        <v/>
      </c>
      <c r="E9" s="54" t="str">
        <f aca="false">IF($A9="","",SUMIFS(资金流水!$N$5:$N$504,资金流水!$G$5:$G$504,$A9,资金流水!$E$5:$E$504,"供应商付款",资金流水!$C$5:$C$504,首页!$B$5))</f>
        <v/>
      </c>
      <c r="F9" s="62" t="str">
        <f aca="false">IF($A9="","",$C9+$D9-$E9)</f>
        <v/>
      </c>
      <c r="G9" s="44" t="str">
        <f aca="false">IF($A9="","",$F9-$H9-$I9-$J9-$K9)</f>
        <v/>
      </c>
      <c r="H9" s="44" t="str">
        <f aca="false">IF($A9="","",MIN($F9,MAX(0,SUMIFS(期初数据!$L$6:$L$155,期初数据!$J$6:$J$155,$A9,期初数据!$K$6:$K$155,"&lt;="&amp;首页!$B$7)+SUMIFS(采购录入!$S$5:$S$404,采购录入!$D$5:$D$404,$A9,采购录入!$T$5:$T$404,"&lt;="&amp;首页!$B$7)-SUMIFS(资金流水!$N$5:$N$504,资金流水!$G$5:$G$504,$A9,资金流水!$E$5:$E$504,"供应商付款",资金流水!$B$5:$B$504,"&lt;="&amp;首页!$B$7)))-$K9-$J9-$I9)</f>
        <v/>
      </c>
      <c r="I9" s="44" t="str">
        <f aca="false">IF($A9="","",MIN($F9,MAX(0,SUMIFS(期初数据!$L$6:$L$155,期初数据!$J$6:$J$155,$A9,期初数据!$K$6:$K$155,"&lt;="&amp;首页!$B$7-30)+SUMIFS(采购录入!$S$5:$S$404,采购录入!$D$5:$D$404,$A9,采购录入!$T$5:$T$404,"&lt;="&amp;首页!$B$7-30)-SUMIFS(资金流水!$N$5:$N$504,资金流水!$G$5:$G$504,$A9,资金流水!$E$5:$E$504,"供应商付款",资金流水!$B$5:$B$504,"&lt;="&amp;首页!$B$7)))-$K9-$J9)</f>
        <v/>
      </c>
      <c r="J9" s="44" t="str">
        <f aca="false">IF($A9="","",MIN($F9,MAX(0,SUMIFS(期初数据!$L$6:$L$155,期初数据!$J$6:$J$155,$A9,期初数据!$K$6:$K$155,"&lt;="&amp;首页!$B$7-60)+SUMIFS(采购录入!$S$5:$S$404,采购录入!$D$5:$D$404,$A9,采购录入!$T$5:$T$404,"&lt;="&amp;首页!$B$7-60)-SUMIFS(资金流水!$N$5:$N$504,资金流水!$G$5:$G$504,$A9,资金流水!$E$5:$E$504,"供应商付款",资金流水!$B$5:$B$504,"&lt;="&amp;首页!$B$7)))-$K9)</f>
        <v/>
      </c>
      <c r="K9" s="44" t="str">
        <f aca="false">IF($A9="","",MIN($F9,MAX(0,SUMIFS(期初数据!$L$6:$L$155,期初数据!$J$6:$J$155,$A9,期初数据!$K$6:$K$155,"&lt;="&amp;首页!$B$7-90)+SUMIFS(采购录入!$S$5:$S$404,采购录入!$D$5:$D$404,$A9,采购录入!$T$5:$T$404,"&lt;="&amp;首页!$B$7-90)-SUMIFS(资金流水!$N$5:$N$504,资金流水!$G$5:$G$504,$A9,资金流水!$E$5:$E$504,"供应商付款",资金流水!$B$5:$B$504,"&lt;="&amp;首页!$B$7))))</f>
        <v/>
      </c>
      <c r="L9" s="62" t="str">
        <f aca="false">IF($A9="","",$H9+$I9+$J9+$K9)</f>
        <v/>
      </c>
      <c r="M9" s="47" t="str">
        <f aca="false">IF($A9="","",IF($K9&gt;0,"高危",IF($J9&gt;0,"关注",IF($L9&gt;0,"提醒","正常"))))</f>
        <v/>
      </c>
      <c r="N9" s="42" t="str">
        <f aca="false">IF($A9="","",基础资料!$AG9)</f>
        <v/>
      </c>
    </row>
    <row r="10" customFormat="false" ht="15.75" hidden="false" customHeight="true" outlineLevel="0" collapsed="false">
      <c r="A10" s="35" t="str">
        <f aca="false">IF(基础资料!$AF10="","",基础资料!$AF10)</f>
        <v/>
      </c>
      <c r="B10" s="42" t="str">
        <f aca="false">IF($A10="","",N(基础资料!$AH10))</f>
        <v/>
      </c>
      <c r="C10" s="54" t="str">
        <f aca="false">IF($A10="","",SUMIFS(期初数据!$L$6:$L$155,期初数据!$J$6:$J$155,$A10,期初数据!$K$6:$K$155,"&lt;"&amp;首页!$B$6)+SUMIFS(采购录入!$S$5:$S$404,采购录入!$D$5:$D$404,$A10,采购录入!$B$5:$B$404,"&lt;"&amp;首页!$B$6)-SUMIFS(资金流水!$N$5:$N$504,资金流水!$G$5:$G$504,$A10,资金流水!$E$5:$E$504,"供应商付款",资金流水!$B$5:$B$504,"&lt;"&amp;首页!$B$6))</f>
        <v/>
      </c>
      <c r="D10" s="54" t="str">
        <f aca="false">IF($A10="","",SUMIFS(采购录入!$S$5:$S$404,采购录入!$D$5:$D$404,$A10,采购录入!$C$5:$C$404,首页!$B$5))</f>
        <v/>
      </c>
      <c r="E10" s="54" t="str">
        <f aca="false">IF($A10="","",SUMIFS(资金流水!$N$5:$N$504,资金流水!$G$5:$G$504,$A10,资金流水!$E$5:$E$504,"供应商付款",资金流水!$C$5:$C$504,首页!$B$5))</f>
        <v/>
      </c>
      <c r="F10" s="62" t="str">
        <f aca="false">IF($A10="","",$C10+$D10-$E10)</f>
        <v/>
      </c>
      <c r="G10" s="44" t="str">
        <f aca="false">IF($A10="","",$F10-$H10-$I10-$J10-$K10)</f>
        <v/>
      </c>
      <c r="H10" s="44" t="str">
        <f aca="false">IF($A10="","",MIN($F10,MAX(0,SUMIFS(期初数据!$L$6:$L$155,期初数据!$J$6:$J$155,$A10,期初数据!$K$6:$K$155,"&lt;="&amp;首页!$B$7)+SUMIFS(采购录入!$S$5:$S$404,采购录入!$D$5:$D$404,$A10,采购录入!$T$5:$T$404,"&lt;="&amp;首页!$B$7)-SUMIFS(资金流水!$N$5:$N$504,资金流水!$G$5:$G$504,$A10,资金流水!$E$5:$E$504,"供应商付款",资金流水!$B$5:$B$504,"&lt;="&amp;首页!$B$7)))-$K10-$J10-$I10)</f>
        <v/>
      </c>
      <c r="I10" s="44" t="str">
        <f aca="false">IF($A10="","",MIN($F10,MAX(0,SUMIFS(期初数据!$L$6:$L$155,期初数据!$J$6:$J$155,$A10,期初数据!$K$6:$K$155,"&lt;="&amp;首页!$B$7-30)+SUMIFS(采购录入!$S$5:$S$404,采购录入!$D$5:$D$404,$A10,采购录入!$T$5:$T$404,"&lt;="&amp;首页!$B$7-30)-SUMIFS(资金流水!$N$5:$N$504,资金流水!$G$5:$G$504,$A10,资金流水!$E$5:$E$504,"供应商付款",资金流水!$B$5:$B$504,"&lt;="&amp;首页!$B$7)))-$K10-$J10)</f>
        <v/>
      </c>
      <c r="J10" s="44" t="str">
        <f aca="false">IF($A10="","",MIN($F10,MAX(0,SUMIFS(期初数据!$L$6:$L$155,期初数据!$J$6:$J$155,$A10,期初数据!$K$6:$K$155,"&lt;="&amp;首页!$B$7-60)+SUMIFS(采购录入!$S$5:$S$404,采购录入!$D$5:$D$404,$A10,采购录入!$T$5:$T$404,"&lt;="&amp;首页!$B$7-60)-SUMIFS(资金流水!$N$5:$N$504,资金流水!$G$5:$G$504,$A10,资金流水!$E$5:$E$504,"供应商付款",资金流水!$B$5:$B$504,"&lt;="&amp;首页!$B$7)))-$K10)</f>
        <v/>
      </c>
      <c r="K10" s="44" t="str">
        <f aca="false">IF($A10="","",MIN($F10,MAX(0,SUMIFS(期初数据!$L$6:$L$155,期初数据!$J$6:$J$155,$A10,期初数据!$K$6:$K$155,"&lt;="&amp;首页!$B$7-90)+SUMIFS(采购录入!$S$5:$S$404,采购录入!$D$5:$D$404,$A10,采购录入!$T$5:$T$404,"&lt;="&amp;首页!$B$7-90)-SUMIFS(资金流水!$N$5:$N$504,资金流水!$G$5:$G$504,$A10,资金流水!$E$5:$E$504,"供应商付款",资金流水!$B$5:$B$504,"&lt;="&amp;首页!$B$7))))</f>
        <v/>
      </c>
      <c r="L10" s="62" t="str">
        <f aca="false">IF($A10="","",$H10+$I10+$J10+$K10)</f>
        <v/>
      </c>
      <c r="M10" s="47" t="str">
        <f aca="false">IF($A10="","",IF($K10&gt;0,"高危",IF($J10&gt;0,"关注",IF($L10&gt;0,"提醒","正常"))))</f>
        <v/>
      </c>
      <c r="N10" s="42" t="str">
        <f aca="false">IF($A10="","",基础资料!$AG10)</f>
        <v/>
      </c>
    </row>
    <row r="11" customFormat="false" ht="15.75" hidden="false" customHeight="true" outlineLevel="0" collapsed="false">
      <c r="A11" s="35" t="str">
        <f aca="false">IF(基础资料!$AF11="","",基础资料!$AF11)</f>
        <v/>
      </c>
      <c r="B11" s="42" t="str">
        <f aca="false">IF($A11="","",N(基础资料!$AH11))</f>
        <v/>
      </c>
      <c r="C11" s="54" t="str">
        <f aca="false">IF($A11="","",SUMIFS(期初数据!$L$6:$L$155,期初数据!$J$6:$J$155,$A11,期初数据!$K$6:$K$155,"&lt;"&amp;首页!$B$6)+SUMIFS(采购录入!$S$5:$S$404,采购录入!$D$5:$D$404,$A11,采购录入!$B$5:$B$404,"&lt;"&amp;首页!$B$6)-SUMIFS(资金流水!$N$5:$N$504,资金流水!$G$5:$G$504,$A11,资金流水!$E$5:$E$504,"供应商付款",资金流水!$B$5:$B$504,"&lt;"&amp;首页!$B$6))</f>
        <v/>
      </c>
      <c r="D11" s="54" t="str">
        <f aca="false">IF($A11="","",SUMIFS(采购录入!$S$5:$S$404,采购录入!$D$5:$D$404,$A11,采购录入!$C$5:$C$404,首页!$B$5))</f>
        <v/>
      </c>
      <c r="E11" s="54" t="str">
        <f aca="false">IF($A11="","",SUMIFS(资金流水!$N$5:$N$504,资金流水!$G$5:$G$504,$A11,资金流水!$E$5:$E$504,"供应商付款",资金流水!$C$5:$C$504,首页!$B$5))</f>
        <v/>
      </c>
      <c r="F11" s="62" t="str">
        <f aca="false">IF($A11="","",$C11+$D11-$E11)</f>
        <v/>
      </c>
      <c r="G11" s="44" t="str">
        <f aca="false">IF($A11="","",$F11-$H11-$I11-$J11-$K11)</f>
        <v/>
      </c>
      <c r="H11" s="44" t="str">
        <f aca="false">IF($A11="","",MIN($F11,MAX(0,SUMIFS(期初数据!$L$6:$L$155,期初数据!$J$6:$J$155,$A11,期初数据!$K$6:$K$155,"&lt;="&amp;首页!$B$7)+SUMIFS(采购录入!$S$5:$S$404,采购录入!$D$5:$D$404,$A11,采购录入!$T$5:$T$404,"&lt;="&amp;首页!$B$7)-SUMIFS(资金流水!$N$5:$N$504,资金流水!$G$5:$G$504,$A11,资金流水!$E$5:$E$504,"供应商付款",资金流水!$B$5:$B$504,"&lt;="&amp;首页!$B$7)))-$K11-$J11-$I11)</f>
        <v/>
      </c>
      <c r="I11" s="44" t="str">
        <f aca="false">IF($A11="","",MIN($F11,MAX(0,SUMIFS(期初数据!$L$6:$L$155,期初数据!$J$6:$J$155,$A11,期初数据!$K$6:$K$155,"&lt;="&amp;首页!$B$7-30)+SUMIFS(采购录入!$S$5:$S$404,采购录入!$D$5:$D$404,$A11,采购录入!$T$5:$T$404,"&lt;="&amp;首页!$B$7-30)-SUMIFS(资金流水!$N$5:$N$504,资金流水!$G$5:$G$504,$A11,资金流水!$E$5:$E$504,"供应商付款",资金流水!$B$5:$B$504,"&lt;="&amp;首页!$B$7)))-$K11-$J11)</f>
        <v/>
      </c>
      <c r="J11" s="44" t="str">
        <f aca="false">IF($A11="","",MIN($F11,MAX(0,SUMIFS(期初数据!$L$6:$L$155,期初数据!$J$6:$J$155,$A11,期初数据!$K$6:$K$155,"&lt;="&amp;首页!$B$7-60)+SUMIFS(采购录入!$S$5:$S$404,采购录入!$D$5:$D$404,$A11,采购录入!$T$5:$T$404,"&lt;="&amp;首页!$B$7-60)-SUMIFS(资金流水!$N$5:$N$504,资金流水!$G$5:$G$504,$A11,资金流水!$E$5:$E$504,"供应商付款",资金流水!$B$5:$B$504,"&lt;="&amp;首页!$B$7)))-$K11)</f>
        <v/>
      </c>
      <c r="K11" s="44" t="str">
        <f aca="false">IF($A11="","",MIN($F11,MAX(0,SUMIFS(期初数据!$L$6:$L$155,期初数据!$J$6:$J$155,$A11,期初数据!$K$6:$K$155,"&lt;="&amp;首页!$B$7-90)+SUMIFS(采购录入!$S$5:$S$404,采购录入!$D$5:$D$404,$A11,采购录入!$T$5:$T$404,"&lt;="&amp;首页!$B$7-90)-SUMIFS(资金流水!$N$5:$N$504,资金流水!$G$5:$G$504,$A11,资金流水!$E$5:$E$504,"供应商付款",资金流水!$B$5:$B$504,"&lt;="&amp;首页!$B$7))))</f>
        <v/>
      </c>
      <c r="L11" s="62" t="str">
        <f aca="false">IF($A11="","",$H11+$I11+$J11+$K11)</f>
        <v/>
      </c>
      <c r="M11" s="47" t="str">
        <f aca="false">IF($A11="","",IF($K11&gt;0,"高危",IF($J11&gt;0,"关注",IF($L11&gt;0,"提醒","正常"))))</f>
        <v/>
      </c>
      <c r="N11" s="42" t="str">
        <f aca="false">IF($A11="","",基础资料!$AG11)</f>
        <v/>
      </c>
    </row>
    <row r="12" customFormat="false" ht="15.75" hidden="false" customHeight="true" outlineLevel="0" collapsed="false">
      <c r="A12" s="35" t="str">
        <f aca="false">IF(基础资料!$AF12="","",基础资料!$AF12)</f>
        <v/>
      </c>
      <c r="B12" s="42" t="str">
        <f aca="false">IF($A12="","",N(基础资料!$AH12))</f>
        <v/>
      </c>
      <c r="C12" s="54" t="str">
        <f aca="false">IF($A12="","",SUMIFS(期初数据!$L$6:$L$155,期初数据!$J$6:$J$155,$A12,期初数据!$K$6:$K$155,"&lt;"&amp;首页!$B$6)+SUMIFS(采购录入!$S$5:$S$404,采购录入!$D$5:$D$404,$A12,采购录入!$B$5:$B$404,"&lt;"&amp;首页!$B$6)-SUMIFS(资金流水!$N$5:$N$504,资金流水!$G$5:$G$504,$A12,资金流水!$E$5:$E$504,"供应商付款",资金流水!$B$5:$B$504,"&lt;"&amp;首页!$B$6))</f>
        <v/>
      </c>
      <c r="D12" s="54" t="str">
        <f aca="false">IF($A12="","",SUMIFS(采购录入!$S$5:$S$404,采购录入!$D$5:$D$404,$A12,采购录入!$C$5:$C$404,首页!$B$5))</f>
        <v/>
      </c>
      <c r="E12" s="54" t="str">
        <f aca="false">IF($A12="","",SUMIFS(资金流水!$N$5:$N$504,资金流水!$G$5:$G$504,$A12,资金流水!$E$5:$E$504,"供应商付款",资金流水!$C$5:$C$504,首页!$B$5))</f>
        <v/>
      </c>
      <c r="F12" s="62" t="str">
        <f aca="false">IF($A12="","",$C12+$D12-$E12)</f>
        <v/>
      </c>
      <c r="G12" s="44" t="str">
        <f aca="false">IF($A12="","",$F12-$H12-$I12-$J12-$K12)</f>
        <v/>
      </c>
      <c r="H12" s="44" t="str">
        <f aca="false">IF($A12="","",MIN($F12,MAX(0,SUMIFS(期初数据!$L$6:$L$155,期初数据!$J$6:$J$155,$A12,期初数据!$K$6:$K$155,"&lt;="&amp;首页!$B$7)+SUMIFS(采购录入!$S$5:$S$404,采购录入!$D$5:$D$404,$A12,采购录入!$T$5:$T$404,"&lt;="&amp;首页!$B$7)-SUMIFS(资金流水!$N$5:$N$504,资金流水!$G$5:$G$504,$A12,资金流水!$E$5:$E$504,"供应商付款",资金流水!$B$5:$B$504,"&lt;="&amp;首页!$B$7)))-$K12-$J12-$I12)</f>
        <v/>
      </c>
      <c r="I12" s="44" t="str">
        <f aca="false">IF($A12="","",MIN($F12,MAX(0,SUMIFS(期初数据!$L$6:$L$155,期初数据!$J$6:$J$155,$A12,期初数据!$K$6:$K$155,"&lt;="&amp;首页!$B$7-30)+SUMIFS(采购录入!$S$5:$S$404,采购录入!$D$5:$D$404,$A12,采购录入!$T$5:$T$404,"&lt;="&amp;首页!$B$7-30)-SUMIFS(资金流水!$N$5:$N$504,资金流水!$G$5:$G$504,$A12,资金流水!$E$5:$E$504,"供应商付款",资金流水!$B$5:$B$504,"&lt;="&amp;首页!$B$7)))-$K12-$J12)</f>
        <v/>
      </c>
      <c r="J12" s="44" t="str">
        <f aca="false">IF($A12="","",MIN($F12,MAX(0,SUMIFS(期初数据!$L$6:$L$155,期初数据!$J$6:$J$155,$A12,期初数据!$K$6:$K$155,"&lt;="&amp;首页!$B$7-60)+SUMIFS(采购录入!$S$5:$S$404,采购录入!$D$5:$D$404,$A12,采购录入!$T$5:$T$404,"&lt;="&amp;首页!$B$7-60)-SUMIFS(资金流水!$N$5:$N$504,资金流水!$G$5:$G$504,$A12,资金流水!$E$5:$E$504,"供应商付款",资金流水!$B$5:$B$504,"&lt;="&amp;首页!$B$7)))-$K12)</f>
        <v/>
      </c>
      <c r="K12" s="44" t="str">
        <f aca="false">IF($A12="","",MIN($F12,MAX(0,SUMIFS(期初数据!$L$6:$L$155,期初数据!$J$6:$J$155,$A12,期初数据!$K$6:$K$155,"&lt;="&amp;首页!$B$7-90)+SUMIFS(采购录入!$S$5:$S$404,采购录入!$D$5:$D$404,$A12,采购录入!$T$5:$T$404,"&lt;="&amp;首页!$B$7-90)-SUMIFS(资金流水!$N$5:$N$504,资金流水!$G$5:$G$504,$A12,资金流水!$E$5:$E$504,"供应商付款",资金流水!$B$5:$B$504,"&lt;="&amp;首页!$B$7))))</f>
        <v/>
      </c>
      <c r="L12" s="62" t="str">
        <f aca="false">IF($A12="","",$H12+$I12+$J12+$K12)</f>
        <v/>
      </c>
      <c r="M12" s="47" t="str">
        <f aca="false">IF($A12="","",IF($K12&gt;0,"高危",IF($J12&gt;0,"关注",IF($L12&gt;0,"提醒","正常"))))</f>
        <v/>
      </c>
      <c r="N12" s="42" t="str">
        <f aca="false">IF($A12="","",基础资料!$AG12)</f>
        <v/>
      </c>
    </row>
    <row r="13" customFormat="false" ht="15.75" hidden="false" customHeight="true" outlineLevel="0" collapsed="false">
      <c r="A13" s="35" t="str">
        <f aca="false">IF(基础资料!$AF13="","",基础资料!$AF13)</f>
        <v/>
      </c>
      <c r="B13" s="42" t="str">
        <f aca="false">IF($A13="","",N(基础资料!$AH13))</f>
        <v/>
      </c>
      <c r="C13" s="54" t="str">
        <f aca="false">IF($A13="","",SUMIFS(期初数据!$L$6:$L$155,期初数据!$J$6:$J$155,$A13,期初数据!$K$6:$K$155,"&lt;"&amp;首页!$B$6)+SUMIFS(采购录入!$S$5:$S$404,采购录入!$D$5:$D$404,$A13,采购录入!$B$5:$B$404,"&lt;"&amp;首页!$B$6)-SUMIFS(资金流水!$N$5:$N$504,资金流水!$G$5:$G$504,$A13,资金流水!$E$5:$E$504,"供应商付款",资金流水!$B$5:$B$504,"&lt;"&amp;首页!$B$6))</f>
        <v/>
      </c>
      <c r="D13" s="54" t="str">
        <f aca="false">IF($A13="","",SUMIFS(采购录入!$S$5:$S$404,采购录入!$D$5:$D$404,$A13,采购录入!$C$5:$C$404,首页!$B$5))</f>
        <v/>
      </c>
      <c r="E13" s="54" t="str">
        <f aca="false">IF($A13="","",SUMIFS(资金流水!$N$5:$N$504,资金流水!$G$5:$G$504,$A13,资金流水!$E$5:$E$504,"供应商付款",资金流水!$C$5:$C$504,首页!$B$5))</f>
        <v/>
      </c>
      <c r="F13" s="62" t="str">
        <f aca="false">IF($A13="","",$C13+$D13-$E13)</f>
        <v/>
      </c>
      <c r="G13" s="44" t="str">
        <f aca="false">IF($A13="","",$F13-$H13-$I13-$J13-$K13)</f>
        <v/>
      </c>
      <c r="H13" s="44" t="str">
        <f aca="false">IF($A13="","",MIN($F13,MAX(0,SUMIFS(期初数据!$L$6:$L$155,期初数据!$J$6:$J$155,$A13,期初数据!$K$6:$K$155,"&lt;="&amp;首页!$B$7)+SUMIFS(采购录入!$S$5:$S$404,采购录入!$D$5:$D$404,$A13,采购录入!$T$5:$T$404,"&lt;="&amp;首页!$B$7)-SUMIFS(资金流水!$N$5:$N$504,资金流水!$G$5:$G$504,$A13,资金流水!$E$5:$E$504,"供应商付款",资金流水!$B$5:$B$504,"&lt;="&amp;首页!$B$7)))-$K13-$J13-$I13)</f>
        <v/>
      </c>
      <c r="I13" s="44" t="str">
        <f aca="false">IF($A13="","",MIN($F13,MAX(0,SUMIFS(期初数据!$L$6:$L$155,期初数据!$J$6:$J$155,$A13,期初数据!$K$6:$K$155,"&lt;="&amp;首页!$B$7-30)+SUMIFS(采购录入!$S$5:$S$404,采购录入!$D$5:$D$404,$A13,采购录入!$T$5:$T$404,"&lt;="&amp;首页!$B$7-30)-SUMIFS(资金流水!$N$5:$N$504,资金流水!$G$5:$G$504,$A13,资金流水!$E$5:$E$504,"供应商付款",资金流水!$B$5:$B$504,"&lt;="&amp;首页!$B$7)))-$K13-$J13)</f>
        <v/>
      </c>
      <c r="J13" s="44" t="str">
        <f aca="false">IF($A13="","",MIN($F13,MAX(0,SUMIFS(期初数据!$L$6:$L$155,期初数据!$J$6:$J$155,$A13,期初数据!$K$6:$K$155,"&lt;="&amp;首页!$B$7-60)+SUMIFS(采购录入!$S$5:$S$404,采购录入!$D$5:$D$404,$A13,采购录入!$T$5:$T$404,"&lt;="&amp;首页!$B$7-60)-SUMIFS(资金流水!$N$5:$N$504,资金流水!$G$5:$G$504,$A13,资金流水!$E$5:$E$504,"供应商付款",资金流水!$B$5:$B$504,"&lt;="&amp;首页!$B$7)))-$K13)</f>
        <v/>
      </c>
      <c r="K13" s="44" t="str">
        <f aca="false">IF($A13="","",MIN($F13,MAX(0,SUMIFS(期初数据!$L$6:$L$155,期初数据!$J$6:$J$155,$A13,期初数据!$K$6:$K$155,"&lt;="&amp;首页!$B$7-90)+SUMIFS(采购录入!$S$5:$S$404,采购录入!$D$5:$D$404,$A13,采购录入!$T$5:$T$404,"&lt;="&amp;首页!$B$7-90)-SUMIFS(资金流水!$N$5:$N$504,资金流水!$G$5:$G$504,$A13,资金流水!$E$5:$E$504,"供应商付款",资金流水!$B$5:$B$504,"&lt;="&amp;首页!$B$7))))</f>
        <v/>
      </c>
      <c r="L13" s="62" t="str">
        <f aca="false">IF($A13="","",$H13+$I13+$J13+$K13)</f>
        <v/>
      </c>
      <c r="M13" s="47" t="str">
        <f aca="false">IF($A13="","",IF($K13&gt;0,"高危",IF($J13&gt;0,"关注",IF($L13&gt;0,"提醒","正常"))))</f>
        <v/>
      </c>
      <c r="N13" s="42" t="str">
        <f aca="false">IF($A13="","",基础资料!$AG13)</f>
        <v/>
      </c>
    </row>
    <row r="14" customFormat="false" ht="15.75" hidden="false" customHeight="true" outlineLevel="0" collapsed="false">
      <c r="A14" s="35" t="str">
        <f aca="false">IF(基础资料!$AF14="","",基础资料!$AF14)</f>
        <v/>
      </c>
      <c r="B14" s="42" t="str">
        <f aca="false">IF($A14="","",N(基础资料!$AH14))</f>
        <v/>
      </c>
      <c r="C14" s="54" t="str">
        <f aca="false">IF($A14="","",SUMIFS(期初数据!$L$6:$L$155,期初数据!$J$6:$J$155,$A14,期初数据!$K$6:$K$155,"&lt;"&amp;首页!$B$6)+SUMIFS(采购录入!$S$5:$S$404,采购录入!$D$5:$D$404,$A14,采购录入!$B$5:$B$404,"&lt;"&amp;首页!$B$6)-SUMIFS(资金流水!$N$5:$N$504,资金流水!$G$5:$G$504,$A14,资金流水!$E$5:$E$504,"供应商付款",资金流水!$B$5:$B$504,"&lt;"&amp;首页!$B$6))</f>
        <v/>
      </c>
      <c r="D14" s="54" t="str">
        <f aca="false">IF($A14="","",SUMIFS(采购录入!$S$5:$S$404,采购录入!$D$5:$D$404,$A14,采购录入!$C$5:$C$404,首页!$B$5))</f>
        <v/>
      </c>
      <c r="E14" s="54" t="str">
        <f aca="false">IF($A14="","",SUMIFS(资金流水!$N$5:$N$504,资金流水!$G$5:$G$504,$A14,资金流水!$E$5:$E$504,"供应商付款",资金流水!$C$5:$C$504,首页!$B$5))</f>
        <v/>
      </c>
      <c r="F14" s="62" t="str">
        <f aca="false">IF($A14="","",$C14+$D14-$E14)</f>
        <v/>
      </c>
      <c r="G14" s="44" t="str">
        <f aca="false">IF($A14="","",$F14-$H14-$I14-$J14-$K14)</f>
        <v/>
      </c>
      <c r="H14" s="44" t="str">
        <f aca="false">IF($A14="","",MIN($F14,MAX(0,SUMIFS(期初数据!$L$6:$L$155,期初数据!$J$6:$J$155,$A14,期初数据!$K$6:$K$155,"&lt;="&amp;首页!$B$7)+SUMIFS(采购录入!$S$5:$S$404,采购录入!$D$5:$D$404,$A14,采购录入!$T$5:$T$404,"&lt;="&amp;首页!$B$7)-SUMIFS(资金流水!$N$5:$N$504,资金流水!$G$5:$G$504,$A14,资金流水!$E$5:$E$504,"供应商付款",资金流水!$B$5:$B$504,"&lt;="&amp;首页!$B$7)))-$K14-$J14-$I14)</f>
        <v/>
      </c>
      <c r="I14" s="44" t="str">
        <f aca="false">IF($A14="","",MIN($F14,MAX(0,SUMIFS(期初数据!$L$6:$L$155,期初数据!$J$6:$J$155,$A14,期初数据!$K$6:$K$155,"&lt;="&amp;首页!$B$7-30)+SUMIFS(采购录入!$S$5:$S$404,采购录入!$D$5:$D$404,$A14,采购录入!$T$5:$T$404,"&lt;="&amp;首页!$B$7-30)-SUMIFS(资金流水!$N$5:$N$504,资金流水!$G$5:$G$504,$A14,资金流水!$E$5:$E$504,"供应商付款",资金流水!$B$5:$B$504,"&lt;="&amp;首页!$B$7)))-$K14-$J14)</f>
        <v/>
      </c>
      <c r="J14" s="44" t="str">
        <f aca="false">IF($A14="","",MIN($F14,MAX(0,SUMIFS(期初数据!$L$6:$L$155,期初数据!$J$6:$J$155,$A14,期初数据!$K$6:$K$155,"&lt;="&amp;首页!$B$7-60)+SUMIFS(采购录入!$S$5:$S$404,采购录入!$D$5:$D$404,$A14,采购录入!$T$5:$T$404,"&lt;="&amp;首页!$B$7-60)-SUMIFS(资金流水!$N$5:$N$504,资金流水!$G$5:$G$504,$A14,资金流水!$E$5:$E$504,"供应商付款",资金流水!$B$5:$B$504,"&lt;="&amp;首页!$B$7)))-$K14)</f>
        <v/>
      </c>
      <c r="K14" s="44" t="str">
        <f aca="false">IF($A14="","",MIN($F14,MAX(0,SUMIFS(期初数据!$L$6:$L$155,期初数据!$J$6:$J$155,$A14,期初数据!$K$6:$K$155,"&lt;="&amp;首页!$B$7-90)+SUMIFS(采购录入!$S$5:$S$404,采购录入!$D$5:$D$404,$A14,采购录入!$T$5:$T$404,"&lt;="&amp;首页!$B$7-90)-SUMIFS(资金流水!$N$5:$N$504,资金流水!$G$5:$G$504,$A14,资金流水!$E$5:$E$504,"供应商付款",资金流水!$B$5:$B$504,"&lt;="&amp;首页!$B$7))))</f>
        <v/>
      </c>
      <c r="L14" s="62" t="str">
        <f aca="false">IF($A14="","",$H14+$I14+$J14+$K14)</f>
        <v/>
      </c>
      <c r="M14" s="47" t="str">
        <f aca="false">IF($A14="","",IF($K14&gt;0,"高危",IF($J14&gt;0,"关注",IF($L14&gt;0,"提醒","正常"))))</f>
        <v/>
      </c>
      <c r="N14" s="42" t="str">
        <f aca="false">IF($A14="","",基础资料!$AG14)</f>
        <v/>
      </c>
    </row>
    <row r="15" customFormat="false" ht="15.75" hidden="false" customHeight="true" outlineLevel="0" collapsed="false">
      <c r="A15" s="35" t="str">
        <f aca="false">IF(基础资料!$AF15="","",基础资料!$AF15)</f>
        <v/>
      </c>
      <c r="B15" s="42" t="str">
        <f aca="false">IF($A15="","",N(基础资料!$AH15))</f>
        <v/>
      </c>
      <c r="C15" s="54" t="str">
        <f aca="false">IF($A15="","",SUMIFS(期初数据!$L$6:$L$155,期初数据!$J$6:$J$155,$A15,期初数据!$K$6:$K$155,"&lt;"&amp;首页!$B$6)+SUMIFS(采购录入!$S$5:$S$404,采购录入!$D$5:$D$404,$A15,采购录入!$B$5:$B$404,"&lt;"&amp;首页!$B$6)-SUMIFS(资金流水!$N$5:$N$504,资金流水!$G$5:$G$504,$A15,资金流水!$E$5:$E$504,"供应商付款",资金流水!$B$5:$B$504,"&lt;"&amp;首页!$B$6))</f>
        <v/>
      </c>
      <c r="D15" s="54" t="str">
        <f aca="false">IF($A15="","",SUMIFS(采购录入!$S$5:$S$404,采购录入!$D$5:$D$404,$A15,采购录入!$C$5:$C$404,首页!$B$5))</f>
        <v/>
      </c>
      <c r="E15" s="54" t="str">
        <f aca="false">IF($A15="","",SUMIFS(资金流水!$N$5:$N$504,资金流水!$G$5:$G$504,$A15,资金流水!$E$5:$E$504,"供应商付款",资金流水!$C$5:$C$504,首页!$B$5))</f>
        <v/>
      </c>
      <c r="F15" s="62" t="str">
        <f aca="false">IF($A15="","",$C15+$D15-$E15)</f>
        <v/>
      </c>
      <c r="G15" s="44" t="str">
        <f aca="false">IF($A15="","",$F15-$H15-$I15-$J15-$K15)</f>
        <v/>
      </c>
      <c r="H15" s="44" t="str">
        <f aca="false">IF($A15="","",MIN($F15,MAX(0,SUMIFS(期初数据!$L$6:$L$155,期初数据!$J$6:$J$155,$A15,期初数据!$K$6:$K$155,"&lt;="&amp;首页!$B$7)+SUMIFS(采购录入!$S$5:$S$404,采购录入!$D$5:$D$404,$A15,采购录入!$T$5:$T$404,"&lt;="&amp;首页!$B$7)-SUMIFS(资金流水!$N$5:$N$504,资金流水!$G$5:$G$504,$A15,资金流水!$E$5:$E$504,"供应商付款",资金流水!$B$5:$B$504,"&lt;="&amp;首页!$B$7)))-$K15-$J15-$I15)</f>
        <v/>
      </c>
      <c r="I15" s="44" t="str">
        <f aca="false">IF($A15="","",MIN($F15,MAX(0,SUMIFS(期初数据!$L$6:$L$155,期初数据!$J$6:$J$155,$A15,期初数据!$K$6:$K$155,"&lt;="&amp;首页!$B$7-30)+SUMIFS(采购录入!$S$5:$S$404,采购录入!$D$5:$D$404,$A15,采购录入!$T$5:$T$404,"&lt;="&amp;首页!$B$7-30)-SUMIFS(资金流水!$N$5:$N$504,资金流水!$G$5:$G$504,$A15,资金流水!$E$5:$E$504,"供应商付款",资金流水!$B$5:$B$504,"&lt;="&amp;首页!$B$7)))-$K15-$J15)</f>
        <v/>
      </c>
      <c r="J15" s="44" t="str">
        <f aca="false">IF($A15="","",MIN($F15,MAX(0,SUMIFS(期初数据!$L$6:$L$155,期初数据!$J$6:$J$155,$A15,期初数据!$K$6:$K$155,"&lt;="&amp;首页!$B$7-60)+SUMIFS(采购录入!$S$5:$S$404,采购录入!$D$5:$D$404,$A15,采购录入!$T$5:$T$404,"&lt;="&amp;首页!$B$7-60)-SUMIFS(资金流水!$N$5:$N$504,资金流水!$G$5:$G$504,$A15,资金流水!$E$5:$E$504,"供应商付款",资金流水!$B$5:$B$504,"&lt;="&amp;首页!$B$7)))-$K15)</f>
        <v/>
      </c>
      <c r="K15" s="44" t="str">
        <f aca="false">IF($A15="","",MIN($F15,MAX(0,SUMIFS(期初数据!$L$6:$L$155,期初数据!$J$6:$J$155,$A15,期初数据!$K$6:$K$155,"&lt;="&amp;首页!$B$7-90)+SUMIFS(采购录入!$S$5:$S$404,采购录入!$D$5:$D$404,$A15,采购录入!$T$5:$T$404,"&lt;="&amp;首页!$B$7-90)-SUMIFS(资金流水!$N$5:$N$504,资金流水!$G$5:$G$504,$A15,资金流水!$E$5:$E$504,"供应商付款",资金流水!$B$5:$B$504,"&lt;="&amp;首页!$B$7))))</f>
        <v/>
      </c>
      <c r="L15" s="62" t="str">
        <f aca="false">IF($A15="","",$H15+$I15+$J15+$K15)</f>
        <v/>
      </c>
      <c r="M15" s="47" t="str">
        <f aca="false">IF($A15="","",IF($K15&gt;0,"高危",IF($J15&gt;0,"关注",IF($L15&gt;0,"提醒","正常"))))</f>
        <v/>
      </c>
      <c r="N15" s="42" t="str">
        <f aca="false">IF($A15="","",基础资料!$AG15)</f>
        <v/>
      </c>
    </row>
    <row r="16" customFormat="false" ht="15.75" hidden="false" customHeight="true" outlineLevel="0" collapsed="false">
      <c r="A16" s="35" t="str">
        <f aca="false">IF(基础资料!$AF16="","",基础资料!$AF16)</f>
        <v/>
      </c>
      <c r="B16" s="42" t="str">
        <f aca="false">IF($A16="","",N(基础资料!$AH16))</f>
        <v/>
      </c>
      <c r="C16" s="54" t="str">
        <f aca="false">IF($A16="","",SUMIFS(期初数据!$L$6:$L$155,期初数据!$J$6:$J$155,$A16,期初数据!$K$6:$K$155,"&lt;"&amp;首页!$B$6)+SUMIFS(采购录入!$S$5:$S$404,采购录入!$D$5:$D$404,$A16,采购录入!$B$5:$B$404,"&lt;"&amp;首页!$B$6)-SUMIFS(资金流水!$N$5:$N$504,资金流水!$G$5:$G$504,$A16,资金流水!$E$5:$E$504,"供应商付款",资金流水!$B$5:$B$504,"&lt;"&amp;首页!$B$6))</f>
        <v/>
      </c>
      <c r="D16" s="54" t="str">
        <f aca="false">IF($A16="","",SUMIFS(采购录入!$S$5:$S$404,采购录入!$D$5:$D$404,$A16,采购录入!$C$5:$C$404,首页!$B$5))</f>
        <v/>
      </c>
      <c r="E16" s="54" t="str">
        <f aca="false">IF($A16="","",SUMIFS(资金流水!$N$5:$N$504,资金流水!$G$5:$G$504,$A16,资金流水!$E$5:$E$504,"供应商付款",资金流水!$C$5:$C$504,首页!$B$5))</f>
        <v/>
      </c>
      <c r="F16" s="62" t="str">
        <f aca="false">IF($A16="","",$C16+$D16-$E16)</f>
        <v/>
      </c>
      <c r="G16" s="44" t="str">
        <f aca="false">IF($A16="","",$F16-$H16-$I16-$J16-$K16)</f>
        <v/>
      </c>
      <c r="H16" s="44" t="str">
        <f aca="false">IF($A16="","",MIN($F16,MAX(0,SUMIFS(期初数据!$L$6:$L$155,期初数据!$J$6:$J$155,$A16,期初数据!$K$6:$K$155,"&lt;="&amp;首页!$B$7)+SUMIFS(采购录入!$S$5:$S$404,采购录入!$D$5:$D$404,$A16,采购录入!$T$5:$T$404,"&lt;="&amp;首页!$B$7)-SUMIFS(资金流水!$N$5:$N$504,资金流水!$G$5:$G$504,$A16,资金流水!$E$5:$E$504,"供应商付款",资金流水!$B$5:$B$504,"&lt;="&amp;首页!$B$7)))-$K16-$J16-$I16)</f>
        <v/>
      </c>
      <c r="I16" s="44" t="str">
        <f aca="false">IF($A16="","",MIN($F16,MAX(0,SUMIFS(期初数据!$L$6:$L$155,期初数据!$J$6:$J$155,$A16,期初数据!$K$6:$K$155,"&lt;="&amp;首页!$B$7-30)+SUMIFS(采购录入!$S$5:$S$404,采购录入!$D$5:$D$404,$A16,采购录入!$T$5:$T$404,"&lt;="&amp;首页!$B$7-30)-SUMIFS(资金流水!$N$5:$N$504,资金流水!$G$5:$G$504,$A16,资金流水!$E$5:$E$504,"供应商付款",资金流水!$B$5:$B$504,"&lt;="&amp;首页!$B$7)))-$K16-$J16)</f>
        <v/>
      </c>
      <c r="J16" s="44" t="str">
        <f aca="false">IF($A16="","",MIN($F16,MAX(0,SUMIFS(期初数据!$L$6:$L$155,期初数据!$J$6:$J$155,$A16,期初数据!$K$6:$K$155,"&lt;="&amp;首页!$B$7-60)+SUMIFS(采购录入!$S$5:$S$404,采购录入!$D$5:$D$404,$A16,采购录入!$T$5:$T$404,"&lt;="&amp;首页!$B$7-60)-SUMIFS(资金流水!$N$5:$N$504,资金流水!$G$5:$G$504,$A16,资金流水!$E$5:$E$504,"供应商付款",资金流水!$B$5:$B$504,"&lt;="&amp;首页!$B$7)))-$K16)</f>
        <v/>
      </c>
      <c r="K16" s="44" t="str">
        <f aca="false">IF($A16="","",MIN($F16,MAX(0,SUMIFS(期初数据!$L$6:$L$155,期初数据!$J$6:$J$155,$A16,期初数据!$K$6:$K$155,"&lt;="&amp;首页!$B$7-90)+SUMIFS(采购录入!$S$5:$S$404,采购录入!$D$5:$D$404,$A16,采购录入!$T$5:$T$404,"&lt;="&amp;首页!$B$7-90)-SUMIFS(资金流水!$N$5:$N$504,资金流水!$G$5:$G$504,$A16,资金流水!$E$5:$E$504,"供应商付款",资金流水!$B$5:$B$504,"&lt;="&amp;首页!$B$7))))</f>
        <v/>
      </c>
      <c r="L16" s="62" t="str">
        <f aca="false">IF($A16="","",$H16+$I16+$J16+$K16)</f>
        <v/>
      </c>
      <c r="M16" s="47" t="str">
        <f aca="false">IF($A16="","",IF($K16&gt;0,"高危",IF($J16&gt;0,"关注",IF($L16&gt;0,"提醒","正常"))))</f>
        <v/>
      </c>
      <c r="N16" s="42" t="str">
        <f aca="false">IF($A16="","",基础资料!$AG16)</f>
        <v/>
      </c>
    </row>
    <row r="17" customFormat="false" ht="15.75" hidden="false" customHeight="true" outlineLevel="0" collapsed="false">
      <c r="A17" s="35" t="str">
        <f aca="false">IF(基础资料!$AF17="","",基础资料!$AF17)</f>
        <v/>
      </c>
      <c r="B17" s="42" t="str">
        <f aca="false">IF($A17="","",N(基础资料!$AH17))</f>
        <v/>
      </c>
      <c r="C17" s="54" t="str">
        <f aca="false">IF($A17="","",SUMIFS(期初数据!$L$6:$L$155,期初数据!$J$6:$J$155,$A17,期初数据!$K$6:$K$155,"&lt;"&amp;首页!$B$6)+SUMIFS(采购录入!$S$5:$S$404,采购录入!$D$5:$D$404,$A17,采购录入!$B$5:$B$404,"&lt;"&amp;首页!$B$6)-SUMIFS(资金流水!$N$5:$N$504,资金流水!$G$5:$G$504,$A17,资金流水!$E$5:$E$504,"供应商付款",资金流水!$B$5:$B$504,"&lt;"&amp;首页!$B$6))</f>
        <v/>
      </c>
      <c r="D17" s="54" t="str">
        <f aca="false">IF($A17="","",SUMIFS(采购录入!$S$5:$S$404,采购录入!$D$5:$D$404,$A17,采购录入!$C$5:$C$404,首页!$B$5))</f>
        <v/>
      </c>
      <c r="E17" s="54" t="str">
        <f aca="false">IF($A17="","",SUMIFS(资金流水!$N$5:$N$504,资金流水!$G$5:$G$504,$A17,资金流水!$E$5:$E$504,"供应商付款",资金流水!$C$5:$C$504,首页!$B$5))</f>
        <v/>
      </c>
      <c r="F17" s="62" t="str">
        <f aca="false">IF($A17="","",$C17+$D17-$E17)</f>
        <v/>
      </c>
      <c r="G17" s="44" t="str">
        <f aca="false">IF($A17="","",$F17-$H17-$I17-$J17-$K17)</f>
        <v/>
      </c>
      <c r="H17" s="44" t="str">
        <f aca="false">IF($A17="","",MIN($F17,MAX(0,SUMIFS(期初数据!$L$6:$L$155,期初数据!$J$6:$J$155,$A17,期初数据!$K$6:$K$155,"&lt;="&amp;首页!$B$7)+SUMIFS(采购录入!$S$5:$S$404,采购录入!$D$5:$D$404,$A17,采购录入!$T$5:$T$404,"&lt;="&amp;首页!$B$7)-SUMIFS(资金流水!$N$5:$N$504,资金流水!$G$5:$G$504,$A17,资金流水!$E$5:$E$504,"供应商付款",资金流水!$B$5:$B$504,"&lt;="&amp;首页!$B$7)))-$K17-$J17-$I17)</f>
        <v/>
      </c>
      <c r="I17" s="44" t="str">
        <f aca="false">IF($A17="","",MIN($F17,MAX(0,SUMIFS(期初数据!$L$6:$L$155,期初数据!$J$6:$J$155,$A17,期初数据!$K$6:$K$155,"&lt;="&amp;首页!$B$7-30)+SUMIFS(采购录入!$S$5:$S$404,采购录入!$D$5:$D$404,$A17,采购录入!$T$5:$T$404,"&lt;="&amp;首页!$B$7-30)-SUMIFS(资金流水!$N$5:$N$504,资金流水!$G$5:$G$504,$A17,资金流水!$E$5:$E$504,"供应商付款",资金流水!$B$5:$B$504,"&lt;="&amp;首页!$B$7)))-$K17-$J17)</f>
        <v/>
      </c>
      <c r="J17" s="44" t="str">
        <f aca="false">IF($A17="","",MIN($F17,MAX(0,SUMIFS(期初数据!$L$6:$L$155,期初数据!$J$6:$J$155,$A17,期初数据!$K$6:$K$155,"&lt;="&amp;首页!$B$7-60)+SUMIFS(采购录入!$S$5:$S$404,采购录入!$D$5:$D$404,$A17,采购录入!$T$5:$T$404,"&lt;="&amp;首页!$B$7-60)-SUMIFS(资金流水!$N$5:$N$504,资金流水!$G$5:$G$504,$A17,资金流水!$E$5:$E$504,"供应商付款",资金流水!$B$5:$B$504,"&lt;="&amp;首页!$B$7)))-$K17)</f>
        <v/>
      </c>
      <c r="K17" s="44" t="str">
        <f aca="false">IF($A17="","",MIN($F17,MAX(0,SUMIFS(期初数据!$L$6:$L$155,期初数据!$J$6:$J$155,$A17,期初数据!$K$6:$K$155,"&lt;="&amp;首页!$B$7-90)+SUMIFS(采购录入!$S$5:$S$404,采购录入!$D$5:$D$404,$A17,采购录入!$T$5:$T$404,"&lt;="&amp;首页!$B$7-90)-SUMIFS(资金流水!$N$5:$N$504,资金流水!$G$5:$G$504,$A17,资金流水!$E$5:$E$504,"供应商付款",资金流水!$B$5:$B$504,"&lt;="&amp;首页!$B$7))))</f>
        <v/>
      </c>
      <c r="L17" s="62" t="str">
        <f aca="false">IF($A17="","",$H17+$I17+$J17+$K17)</f>
        <v/>
      </c>
      <c r="M17" s="47" t="str">
        <f aca="false">IF($A17="","",IF($K17&gt;0,"高危",IF($J17&gt;0,"关注",IF($L17&gt;0,"提醒","正常"))))</f>
        <v/>
      </c>
      <c r="N17" s="42" t="str">
        <f aca="false">IF($A17="","",基础资料!$AG17)</f>
        <v/>
      </c>
    </row>
    <row r="18" customFormat="false" ht="15.75" hidden="false" customHeight="true" outlineLevel="0" collapsed="false">
      <c r="A18" s="35" t="str">
        <f aca="false">IF(基础资料!$AF18="","",基础资料!$AF18)</f>
        <v/>
      </c>
      <c r="B18" s="42" t="str">
        <f aca="false">IF($A18="","",N(基础资料!$AH18))</f>
        <v/>
      </c>
      <c r="C18" s="54" t="str">
        <f aca="false">IF($A18="","",SUMIFS(期初数据!$L$6:$L$155,期初数据!$J$6:$J$155,$A18,期初数据!$K$6:$K$155,"&lt;"&amp;首页!$B$6)+SUMIFS(采购录入!$S$5:$S$404,采购录入!$D$5:$D$404,$A18,采购录入!$B$5:$B$404,"&lt;"&amp;首页!$B$6)-SUMIFS(资金流水!$N$5:$N$504,资金流水!$G$5:$G$504,$A18,资金流水!$E$5:$E$504,"供应商付款",资金流水!$B$5:$B$504,"&lt;"&amp;首页!$B$6))</f>
        <v/>
      </c>
      <c r="D18" s="54" t="str">
        <f aca="false">IF($A18="","",SUMIFS(采购录入!$S$5:$S$404,采购录入!$D$5:$D$404,$A18,采购录入!$C$5:$C$404,首页!$B$5))</f>
        <v/>
      </c>
      <c r="E18" s="54" t="str">
        <f aca="false">IF($A18="","",SUMIFS(资金流水!$N$5:$N$504,资金流水!$G$5:$G$504,$A18,资金流水!$E$5:$E$504,"供应商付款",资金流水!$C$5:$C$504,首页!$B$5))</f>
        <v/>
      </c>
      <c r="F18" s="62" t="str">
        <f aca="false">IF($A18="","",$C18+$D18-$E18)</f>
        <v/>
      </c>
      <c r="G18" s="44" t="str">
        <f aca="false">IF($A18="","",$F18-$H18-$I18-$J18-$K18)</f>
        <v/>
      </c>
      <c r="H18" s="44" t="str">
        <f aca="false">IF($A18="","",MIN($F18,MAX(0,SUMIFS(期初数据!$L$6:$L$155,期初数据!$J$6:$J$155,$A18,期初数据!$K$6:$K$155,"&lt;="&amp;首页!$B$7)+SUMIFS(采购录入!$S$5:$S$404,采购录入!$D$5:$D$404,$A18,采购录入!$T$5:$T$404,"&lt;="&amp;首页!$B$7)-SUMIFS(资金流水!$N$5:$N$504,资金流水!$G$5:$G$504,$A18,资金流水!$E$5:$E$504,"供应商付款",资金流水!$B$5:$B$504,"&lt;="&amp;首页!$B$7)))-$K18-$J18-$I18)</f>
        <v/>
      </c>
      <c r="I18" s="44" t="str">
        <f aca="false">IF($A18="","",MIN($F18,MAX(0,SUMIFS(期初数据!$L$6:$L$155,期初数据!$J$6:$J$155,$A18,期初数据!$K$6:$K$155,"&lt;="&amp;首页!$B$7-30)+SUMIFS(采购录入!$S$5:$S$404,采购录入!$D$5:$D$404,$A18,采购录入!$T$5:$T$404,"&lt;="&amp;首页!$B$7-30)-SUMIFS(资金流水!$N$5:$N$504,资金流水!$G$5:$G$504,$A18,资金流水!$E$5:$E$504,"供应商付款",资金流水!$B$5:$B$504,"&lt;="&amp;首页!$B$7)))-$K18-$J18)</f>
        <v/>
      </c>
      <c r="J18" s="44" t="str">
        <f aca="false">IF($A18="","",MIN($F18,MAX(0,SUMIFS(期初数据!$L$6:$L$155,期初数据!$J$6:$J$155,$A18,期初数据!$K$6:$K$155,"&lt;="&amp;首页!$B$7-60)+SUMIFS(采购录入!$S$5:$S$404,采购录入!$D$5:$D$404,$A18,采购录入!$T$5:$T$404,"&lt;="&amp;首页!$B$7-60)-SUMIFS(资金流水!$N$5:$N$504,资金流水!$G$5:$G$504,$A18,资金流水!$E$5:$E$504,"供应商付款",资金流水!$B$5:$B$504,"&lt;="&amp;首页!$B$7)))-$K18)</f>
        <v/>
      </c>
      <c r="K18" s="44" t="str">
        <f aca="false">IF($A18="","",MIN($F18,MAX(0,SUMIFS(期初数据!$L$6:$L$155,期初数据!$J$6:$J$155,$A18,期初数据!$K$6:$K$155,"&lt;="&amp;首页!$B$7-90)+SUMIFS(采购录入!$S$5:$S$404,采购录入!$D$5:$D$404,$A18,采购录入!$T$5:$T$404,"&lt;="&amp;首页!$B$7-90)-SUMIFS(资金流水!$N$5:$N$504,资金流水!$G$5:$G$504,$A18,资金流水!$E$5:$E$504,"供应商付款",资金流水!$B$5:$B$504,"&lt;="&amp;首页!$B$7))))</f>
        <v/>
      </c>
      <c r="L18" s="62" t="str">
        <f aca="false">IF($A18="","",$H18+$I18+$J18+$K18)</f>
        <v/>
      </c>
      <c r="M18" s="47" t="str">
        <f aca="false">IF($A18="","",IF($K18&gt;0,"高危",IF($J18&gt;0,"关注",IF($L18&gt;0,"提醒","正常"))))</f>
        <v/>
      </c>
      <c r="N18" s="42" t="str">
        <f aca="false">IF($A18="","",基础资料!$AG18)</f>
        <v/>
      </c>
    </row>
    <row r="19" customFormat="false" ht="15.75" hidden="false" customHeight="true" outlineLevel="0" collapsed="false">
      <c r="A19" s="35" t="str">
        <f aca="false">IF(基础资料!$AF19="","",基础资料!$AF19)</f>
        <v/>
      </c>
      <c r="B19" s="42" t="str">
        <f aca="false">IF($A19="","",N(基础资料!$AH19))</f>
        <v/>
      </c>
      <c r="C19" s="54" t="str">
        <f aca="false">IF($A19="","",SUMIFS(期初数据!$L$6:$L$155,期初数据!$J$6:$J$155,$A19,期初数据!$K$6:$K$155,"&lt;"&amp;首页!$B$6)+SUMIFS(采购录入!$S$5:$S$404,采购录入!$D$5:$D$404,$A19,采购录入!$B$5:$B$404,"&lt;"&amp;首页!$B$6)-SUMIFS(资金流水!$N$5:$N$504,资金流水!$G$5:$G$504,$A19,资金流水!$E$5:$E$504,"供应商付款",资金流水!$B$5:$B$504,"&lt;"&amp;首页!$B$6))</f>
        <v/>
      </c>
      <c r="D19" s="54" t="str">
        <f aca="false">IF($A19="","",SUMIFS(采购录入!$S$5:$S$404,采购录入!$D$5:$D$404,$A19,采购录入!$C$5:$C$404,首页!$B$5))</f>
        <v/>
      </c>
      <c r="E19" s="54" t="str">
        <f aca="false">IF($A19="","",SUMIFS(资金流水!$N$5:$N$504,资金流水!$G$5:$G$504,$A19,资金流水!$E$5:$E$504,"供应商付款",资金流水!$C$5:$C$504,首页!$B$5))</f>
        <v/>
      </c>
      <c r="F19" s="62" t="str">
        <f aca="false">IF($A19="","",$C19+$D19-$E19)</f>
        <v/>
      </c>
      <c r="G19" s="44" t="str">
        <f aca="false">IF($A19="","",$F19-$H19-$I19-$J19-$K19)</f>
        <v/>
      </c>
      <c r="H19" s="44" t="str">
        <f aca="false">IF($A19="","",MIN($F19,MAX(0,SUMIFS(期初数据!$L$6:$L$155,期初数据!$J$6:$J$155,$A19,期初数据!$K$6:$K$155,"&lt;="&amp;首页!$B$7)+SUMIFS(采购录入!$S$5:$S$404,采购录入!$D$5:$D$404,$A19,采购录入!$T$5:$T$404,"&lt;="&amp;首页!$B$7)-SUMIFS(资金流水!$N$5:$N$504,资金流水!$G$5:$G$504,$A19,资金流水!$E$5:$E$504,"供应商付款",资金流水!$B$5:$B$504,"&lt;="&amp;首页!$B$7)))-$K19-$J19-$I19)</f>
        <v/>
      </c>
      <c r="I19" s="44" t="str">
        <f aca="false">IF($A19="","",MIN($F19,MAX(0,SUMIFS(期初数据!$L$6:$L$155,期初数据!$J$6:$J$155,$A19,期初数据!$K$6:$K$155,"&lt;="&amp;首页!$B$7-30)+SUMIFS(采购录入!$S$5:$S$404,采购录入!$D$5:$D$404,$A19,采购录入!$T$5:$T$404,"&lt;="&amp;首页!$B$7-30)-SUMIFS(资金流水!$N$5:$N$504,资金流水!$G$5:$G$504,$A19,资金流水!$E$5:$E$504,"供应商付款",资金流水!$B$5:$B$504,"&lt;="&amp;首页!$B$7)))-$K19-$J19)</f>
        <v/>
      </c>
      <c r="J19" s="44" t="str">
        <f aca="false">IF($A19="","",MIN($F19,MAX(0,SUMIFS(期初数据!$L$6:$L$155,期初数据!$J$6:$J$155,$A19,期初数据!$K$6:$K$155,"&lt;="&amp;首页!$B$7-60)+SUMIFS(采购录入!$S$5:$S$404,采购录入!$D$5:$D$404,$A19,采购录入!$T$5:$T$404,"&lt;="&amp;首页!$B$7-60)-SUMIFS(资金流水!$N$5:$N$504,资金流水!$G$5:$G$504,$A19,资金流水!$E$5:$E$504,"供应商付款",资金流水!$B$5:$B$504,"&lt;="&amp;首页!$B$7)))-$K19)</f>
        <v/>
      </c>
      <c r="K19" s="44" t="str">
        <f aca="false">IF($A19="","",MIN($F19,MAX(0,SUMIFS(期初数据!$L$6:$L$155,期初数据!$J$6:$J$155,$A19,期初数据!$K$6:$K$155,"&lt;="&amp;首页!$B$7-90)+SUMIFS(采购录入!$S$5:$S$404,采购录入!$D$5:$D$404,$A19,采购录入!$T$5:$T$404,"&lt;="&amp;首页!$B$7-90)-SUMIFS(资金流水!$N$5:$N$504,资金流水!$G$5:$G$504,$A19,资金流水!$E$5:$E$504,"供应商付款",资金流水!$B$5:$B$504,"&lt;="&amp;首页!$B$7))))</f>
        <v/>
      </c>
      <c r="L19" s="62" t="str">
        <f aca="false">IF($A19="","",$H19+$I19+$J19+$K19)</f>
        <v/>
      </c>
      <c r="M19" s="47" t="str">
        <f aca="false">IF($A19="","",IF($K19&gt;0,"高危",IF($J19&gt;0,"关注",IF($L19&gt;0,"提醒","正常"))))</f>
        <v/>
      </c>
      <c r="N19" s="42" t="str">
        <f aca="false">IF($A19="","",基础资料!$AG19)</f>
        <v/>
      </c>
    </row>
    <row r="20" customFormat="false" ht="15.75" hidden="false" customHeight="true" outlineLevel="0" collapsed="false">
      <c r="A20" s="35" t="str">
        <f aca="false">IF(基础资料!$AF20="","",基础资料!$AF20)</f>
        <v/>
      </c>
      <c r="B20" s="42" t="str">
        <f aca="false">IF($A20="","",N(基础资料!$AH20))</f>
        <v/>
      </c>
      <c r="C20" s="54" t="str">
        <f aca="false">IF($A20="","",SUMIFS(期初数据!$L$6:$L$155,期初数据!$J$6:$J$155,$A20,期初数据!$K$6:$K$155,"&lt;"&amp;首页!$B$6)+SUMIFS(采购录入!$S$5:$S$404,采购录入!$D$5:$D$404,$A20,采购录入!$B$5:$B$404,"&lt;"&amp;首页!$B$6)-SUMIFS(资金流水!$N$5:$N$504,资金流水!$G$5:$G$504,$A20,资金流水!$E$5:$E$504,"供应商付款",资金流水!$B$5:$B$504,"&lt;"&amp;首页!$B$6))</f>
        <v/>
      </c>
      <c r="D20" s="54" t="str">
        <f aca="false">IF($A20="","",SUMIFS(采购录入!$S$5:$S$404,采购录入!$D$5:$D$404,$A20,采购录入!$C$5:$C$404,首页!$B$5))</f>
        <v/>
      </c>
      <c r="E20" s="54" t="str">
        <f aca="false">IF($A20="","",SUMIFS(资金流水!$N$5:$N$504,资金流水!$G$5:$G$504,$A20,资金流水!$E$5:$E$504,"供应商付款",资金流水!$C$5:$C$504,首页!$B$5))</f>
        <v/>
      </c>
      <c r="F20" s="62" t="str">
        <f aca="false">IF($A20="","",$C20+$D20-$E20)</f>
        <v/>
      </c>
      <c r="G20" s="44" t="str">
        <f aca="false">IF($A20="","",$F20-$H20-$I20-$J20-$K20)</f>
        <v/>
      </c>
      <c r="H20" s="44" t="str">
        <f aca="false">IF($A20="","",MIN($F20,MAX(0,SUMIFS(期初数据!$L$6:$L$155,期初数据!$J$6:$J$155,$A20,期初数据!$K$6:$K$155,"&lt;="&amp;首页!$B$7)+SUMIFS(采购录入!$S$5:$S$404,采购录入!$D$5:$D$404,$A20,采购录入!$T$5:$T$404,"&lt;="&amp;首页!$B$7)-SUMIFS(资金流水!$N$5:$N$504,资金流水!$G$5:$G$504,$A20,资金流水!$E$5:$E$504,"供应商付款",资金流水!$B$5:$B$504,"&lt;="&amp;首页!$B$7)))-$K20-$J20-$I20)</f>
        <v/>
      </c>
      <c r="I20" s="44" t="str">
        <f aca="false">IF($A20="","",MIN($F20,MAX(0,SUMIFS(期初数据!$L$6:$L$155,期初数据!$J$6:$J$155,$A20,期初数据!$K$6:$K$155,"&lt;="&amp;首页!$B$7-30)+SUMIFS(采购录入!$S$5:$S$404,采购录入!$D$5:$D$404,$A20,采购录入!$T$5:$T$404,"&lt;="&amp;首页!$B$7-30)-SUMIFS(资金流水!$N$5:$N$504,资金流水!$G$5:$G$504,$A20,资金流水!$E$5:$E$504,"供应商付款",资金流水!$B$5:$B$504,"&lt;="&amp;首页!$B$7)))-$K20-$J20)</f>
        <v/>
      </c>
      <c r="J20" s="44" t="str">
        <f aca="false">IF($A20="","",MIN($F20,MAX(0,SUMIFS(期初数据!$L$6:$L$155,期初数据!$J$6:$J$155,$A20,期初数据!$K$6:$K$155,"&lt;="&amp;首页!$B$7-60)+SUMIFS(采购录入!$S$5:$S$404,采购录入!$D$5:$D$404,$A20,采购录入!$T$5:$T$404,"&lt;="&amp;首页!$B$7-60)-SUMIFS(资金流水!$N$5:$N$504,资金流水!$G$5:$G$504,$A20,资金流水!$E$5:$E$504,"供应商付款",资金流水!$B$5:$B$504,"&lt;="&amp;首页!$B$7)))-$K20)</f>
        <v/>
      </c>
      <c r="K20" s="44" t="str">
        <f aca="false">IF($A20="","",MIN($F20,MAX(0,SUMIFS(期初数据!$L$6:$L$155,期初数据!$J$6:$J$155,$A20,期初数据!$K$6:$K$155,"&lt;="&amp;首页!$B$7-90)+SUMIFS(采购录入!$S$5:$S$404,采购录入!$D$5:$D$404,$A20,采购录入!$T$5:$T$404,"&lt;="&amp;首页!$B$7-90)-SUMIFS(资金流水!$N$5:$N$504,资金流水!$G$5:$G$504,$A20,资金流水!$E$5:$E$504,"供应商付款",资金流水!$B$5:$B$504,"&lt;="&amp;首页!$B$7))))</f>
        <v/>
      </c>
      <c r="L20" s="62" t="str">
        <f aca="false">IF($A20="","",$H20+$I20+$J20+$K20)</f>
        <v/>
      </c>
      <c r="M20" s="47" t="str">
        <f aca="false">IF($A20="","",IF($K20&gt;0,"高危",IF($J20&gt;0,"关注",IF($L20&gt;0,"提醒","正常"))))</f>
        <v/>
      </c>
      <c r="N20" s="42" t="str">
        <f aca="false">IF($A20="","",基础资料!$AG20)</f>
        <v/>
      </c>
    </row>
    <row r="21" customFormat="false" ht="15.75" hidden="false" customHeight="true" outlineLevel="0" collapsed="false">
      <c r="A21" s="35" t="str">
        <f aca="false">IF(基础资料!$AF21="","",基础资料!$AF21)</f>
        <v/>
      </c>
      <c r="B21" s="42" t="str">
        <f aca="false">IF($A21="","",N(基础资料!$AH21))</f>
        <v/>
      </c>
      <c r="C21" s="54" t="str">
        <f aca="false">IF($A21="","",SUMIFS(期初数据!$L$6:$L$155,期初数据!$J$6:$J$155,$A21,期初数据!$K$6:$K$155,"&lt;"&amp;首页!$B$6)+SUMIFS(采购录入!$S$5:$S$404,采购录入!$D$5:$D$404,$A21,采购录入!$B$5:$B$404,"&lt;"&amp;首页!$B$6)-SUMIFS(资金流水!$N$5:$N$504,资金流水!$G$5:$G$504,$A21,资金流水!$E$5:$E$504,"供应商付款",资金流水!$B$5:$B$504,"&lt;"&amp;首页!$B$6))</f>
        <v/>
      </c>
      <c r="D21" s="54" t="str">
        <f aca="false">IF($A21="","",SUMIFS(采购录入!$S$5:$S$404,采购录入!$D$5:$D$404,$A21,采购录入!$C$5:$C$404,首页!$B$5))</f>
        <v/>
      </c>
      <c r="E21" s="54" t="str">
        <f aca="false">IF($A21="","",SUMIFS(资金流水!$N$5:$N$504,资金流水!$G$5:$G$504,$A21,资金流水!$E$5:$E$504,"供应商付款",资金流水!$C$5:$C$504,首页!$B$5))</f>
        <v/>
      </c>
      <c r="F21" s="62" t="str">
        <f aca="false">IF($A21="","",$C21+$D21-$E21)</f>
        <v/>
      </c>
      <c r="G21" s="44" t="str">
        <f aca="false">IF($A21="","",$F21-$H21-$I21-$J21-$K21)</f>
        <v/>
      </c>
      <c r="H21" s="44" t="str">
        <f aca="false">IF($A21="","",MIN($F21,MAX(0,SUMIFS(期初数据!$L$6:$L$155,期初数据!$J$6:$J$155,$A21,期初数据!$K$6:$K$155,"&lt;="&amp;首页!$B$7)+SUMIFS(采购录入!$S$5:$S$404,采购录入!$D$5:$D$404,$A21,采购录入!$T$5:$T$404,"&lt;="&amp;首页!$B$7)-SUMIFS(资金流水!$N$5:$N$504,资金流水!$G$5:$G$504,$A21,资金流水!$E$5:$E$504,"供应商付款",资金流水!$B$5:$B$504,"&lt;="&amp;首页!$B$7)))-$K21-$J21-$I21)</f>
        <v/>
      </c>
      <c r="I21" s="44" t="str">
        <f aca="false">IF($A21="","",MIN($F21,MAX(0,SUMIFS(期初数据!$L$6:$L$155,期初数据!$J$6:$J$155,$A21,期初数据!$K$6:$K$155,"&lt;="&amp;首页!$B$7-30)+SUMIFS(采购录入!$S$5:$S$404,采购录入!$D$5:$D$404,$A21,采购录入!$T$5:$T$404,"&lt;="&amp;首页!$B$7-30)-SUMIFS(资金流水!$N$5:$N$504,资金流水!$G$5:$G$504,$A21,资金流水!$E$5:$E$504,"供应商付款",资金流水!$B$5:$B$504,"&lt;="&amp;首页!$B$7)))-$K21-$J21)</f>
        <v/>
      </c>
      <c r="J21" s="44" t="str">
        <f aca="false">IF($A21="","",MIN($F21,MAX(0,SUMIFS(期初数据!$L$6:$L$155,期初数据!$J$6:$J$155,$A21,期初数据!$K$6:$K$155,"&lt;="&amp;首页!$B$7-60)+SUMIFS(采购录入!$S$5:$S$404,采购录入!$D$5:$D$404,$A21,采购录入!$T$5:$T$404,"&lt;="&amp;首页!$B$7-60)-SUMIFS(资金流水!$N$5:$N$504,资金流水!$G$5:$G$504,$A21,资金流水!$E$5:$E$504,"供应商付款",资金流水!$B$5:$B$504,"&lt;="&amp;首页!$B$7)))-$K21)</f>
        <v/>
      </c>
      <c r="K21" s="44" t="str">
        <f aca="false">IF($A21="","",MIN($F21,MAX(0,SUMIFS(期初数据!$L$6:$L$155,期初数据!$J$6:$J$155,$A21,期初数据!$K$6:$K$155,"&lt;="&amp;首页!$B$7-90)+SUMIFS(采购录入!$S$5:$S$404,采购录入!$D$5:$D$404,$A21,采购录入!$T$5:$T$404,"&lt;="&amp;首页!$B$7-90)-SUMIFS(资金流水!$N$5:$N$504,资金流水!$G$5:$G$504,$A21,资金流水!$E$5:$E$504,"供应商付款",资金流水!$B$5:$B$504,"&lt;="&amp;首页!$B$7))))</f>
        <v/>
      </c>
      <c r="L21" s="62" t="str">
        <f aca="false">IF($A21="","",$H21+$I21+$J21+$K21)</f>
        <v/>
      </c>
      <c r="M21" s="47" t="str">
        <f aca="false">IF($A21="","",IF($K21&gt;0,"高危",IF($J21&gt;0,"关注",IF($L21&gt;0,"提醒","正常"))))</f>
        <v/>
      </c>
      <c r="N21" s="42" t="str">
        <f aca="false">IF($A21="","",基础资料!$AG21)</f>
        <v/>
      </c>
    </row>
    <row r="22" customFormat="false" ht="15.75" hidden="false" customHeight="true" outlineLevel="0" collapsed="false">
      <c r="A22" s="35" t="str">
        <f aca="false">IF(基础资料!$AF22="","",基础资料!$AF22)</f>
        <v/>
      </c>
      <c r="B22" s="42" t="str">
        <f aca="false">IF($A22="","",N(基础资料!$AH22))</f>
        <v/>
      </c>
      <c r="C22" s="54" t="str">
        <f aca="false">IF($A22="","",SUMIFS(期初数据!$L$6:$L$155,期初数据!$J$6:$J$155,$A22,期初数据!$K$6:$K$155,"&lt;"&amp;首页!$B$6)+SUMIFS(采购录入!$S$5:$S$404,采购录入!$D$5:$D$404,$A22,采购录入!$B$5:$B$404,"&lt;"&amp;首页!$B$6)-SUMIFS(资金流水!$N$5:$N$504,资金流水!$G$5:$G$504,$A22,资金流水!$E$5:$E$504,"供应商付款",资金流水!$B$5:$B$504,"&lt;"&amp;首页!$B$6))</f>
        <v/>
      </c>
      <c r="D22" s="54" t="str">
        <f aca="false">IF($A22="","",SUMIFS(采购录入!$S$5:$S$404,采购录入!$D$5:$D$404,$A22,采购录入!$C$5:$C$404,首页!$B$5))</f>
        <v/>
      </c>
      <c r="E22" s="54" t="str">
        <f aca="false">IF($A22="","",SUMIFS(资金流水!$N$5:$N$504,资金流水!$G$5:$G$504,$A22,资金流水!$E$5:$E$504,"供应商付款",资金流水!$C$5:$C$504,首页!$B$5))</f>
        <v/>
      </c>
      <c r="F22" s="62" t="str">
        <f aca="false">IF($A22="","",$C22+$D22-$E22)</f>
        <v/>
      </c>
      <c r="G22" s="44" t="str">
        <f aca="false">IF($A22="","",$F22-$H22-$I22-$J22-$K22)</f>
        <v/>
      </c>
      <c r="H22" s="44" t="str">
        <f aca="false">IF($A22="","",MIN($F22,MAX(0,SUMIFS(期初数据!$L$6:$L$155,期初数据!$J$6:$J$155,$A22,期初数据!$K$6:$K$155,"&lt;="&amp;首页!$B$7)+SUMIFS(采购录入!$S$5:$S$404,采购录入!$D$5:$D$404,$A22,采购录入!$T$5:$T$404,"&lt;="&amp;首页!$B$7)-SUMIFS(资金流水!$N$5:$N$504,资金流水!$G$5:$G$504,$A22,资金流水!$E$5:$E$504,"供应商付款",资金流水!$B$5:$B$504,"&lt;="&amp;首页!$B$7)))-$K22-$J22-$I22)</f>
        <v/>
      </c>
      <c r="I22" s="44" t="str">
        <f aca="false">IF($A22="","",MIN($F22,MAX(0,SUMIFS(期初数据!$L$6:$L$155,期初数据!$J$6:$J$155,$A22,期初数据!$K$6:$K$155,"&lt;="&amp;首页!$B$7-30)+SUMIFS(采购录入!$S$5:$S$404,采购录入!$D$5:$D$404,$A22,采购录入!$T$5:$T$404,"&lt;="&amp;首页!$B$7-30)-SUMIFS(资金流水!$N$5:$N$504,资金流水!$G$5:$G$504,$A22,资金流水!$E$5:$E$504,"供应商付款",资金流水!$B$5:$B$504,"&lt;="&amp;首页!$B$7)))-$K22-$J22)</f>
        <v/>
      </c>
      <c r="J22" s="44" t="str">
        <f aca="false">IF($A22="","",MIN($F22,MAX(0,SUMIFS(期初数据!$L$6:$L$155,期初数据!$J$6:$J$155,$A22,期初数据!$K$6:$K$155,"&lt;="&amp;首页!$B$7-60)+SUMIFS(采购录入!$S$5:$S$404,采购录入!$D$5:$D$404,$A22,采购录入!$T$5:$T$404,"&lt;="&amp;首页!$B$7-60)-SUMIFS(资金流水!$N$5:$N$504,资金流水!$G$5:$G$504,$A22,资金流水!$E$5:$E$504,"供应商付款",资金流水!$B$5:$B$504,"&lt;="&amp;首页!$B$7)))-$K22)</f>
        <v/>
      </c>
      <c r="K22" s="44" t="str">
        <f aca="false">IF($A22="","",MIN($F22,MAX(0,SUMIFS(期初数据!$L$6:$L$155,期初数据!$J$6:$J$155,$A22,期初数据!$K$6:$K$155,"&lt;="&amp;首页!$B$7-90)+SUMIFS(采购录入!$S$5:$S$404,采购录入!$D$5:$D$404,$A22,采购录入!$T$5:$T$404,"&lt;="&amp;首页!$B$7-90)-SUMIFS(资金流水!$N$5:$N$504,资金流水!$G$5:$G$504,$A22,资金流水!$E$5:$E$504,"供应商付款",资金流水!$B$5:$B$504,"&lt;="&amp;首页!$B$7))))</f>
        <v/>
      </c>
      <c r="L22" s="62" t="str">
        <f aca="false">IF($A22="","",$H22+$I22+$J22+$K22)</f>
        <v/>
      </c>
      <c r="M22" s="47" t="str">
        <f aca="false">IF($A22="","",IF($K22&gt;0,"高危",IF($J22&gt;0,"关注",IF($L22&gt;0,"提醒","正常"))))</f>
        <v/>
      </c>
      <c r="N22" s="42" t="str">
        <f aca="false">IF($A22="","",基础资料!$AG22)</f>
        <v/>
      </c>
    </row>
    <row r="23" customFormat="false" ht="15.75" hidden="false" customHeight="true" outlineLevel="0" collapsed="false">
      <c r="A23" s="35" t="str">
        <f aca="false">IF(基础资料!$AF23="","",基础资料!$AF23)</f>
        <v/>
      </c>
      <c r="B23" s="42" t="str">
        <f aca="false">IF($A23="","",N(基础资料!$AH23))</f>
        <v/>
      </c>
      <c r="C23" s="54" t="str">
        <f aca="false">IF($A23="","",SUMIFS(期初数据!$L$6:$L$155,期初数据!$J$6:$J$155,$A23,期初数据!$K$6:$K$155,"&lt;"&amp;首页!$B$6)+SUMIFS(采购录入!$S$5:$S$404,采购录入!$D$5:$D$404,$A23,采购录入!$B$5:$B$404,"&lt;"&amp;首页!$B$6)-SUMIFS(资金流水!$N$5:$N$504,资金流水!$G$5:$G$504,$A23,资金流水!$E$5:$E$504,"供应商付款",资金流水!$B$5:$B$504,"&lt;"&amp;首页!$B$6))</f>
        <v/>
      </c>
      <c r="D23" s="54" t="str">
        <f aca="false">IF($A23="","",SUMIFS(采购录入!$S$5:$S$404,采购录入!$D$5:$D$404,$A23,采购录入!$C$5:$C$404,首页!$B$5))</f>
        <v/>
      </c>
      <c r="E23" s="54" t="str">
        <f aca="false">IF($A23="","",SUMIFS(资金流水!$N$5:$N$504,资金流水!$G$5:$G$504,$A23,资金流水!$E$5:$E$504,"供应商付款",资金流水!$C$5:$C$504,首页!$B$5))</f>
        <v/>
      </c>
      <c r="F23" s="62" t="str">
        <f aca="false">IF($A23="","",$C23+$D23-$E23)</f>
        <v/>
      </c>
      <c r="G23" s="44" t="str">
        <f aca="false">IF($A23="","",$F23-$H23-$I23-$J23-$K23)</f>
        <v/>
      </c>
      <c r="H23" s="44" t="str">
        <f aca="false">IF($A23="","",MIN($F23,MAX(0,SUMIFS(期初数据!$L$6:$L$155,期初数据!$J$6:$J$155,$A23,期初数据!$K$6:$K$155,"&lt;="&amp;首页!$B$7)+SUMIFS(采购录入!$S$5:$S$404,采购录入!$D$5:$D$404,$A23,采购录入!$T$5:$T$404,"&lt;="&amp;首页!$B$7)-SUMIFS(资金流水!$N$5:$N$504,资金流水!$G$5:$G$504,$A23,资金流水!$E$5:$E$504,"供应商付款",资金流水!$B$5:$B$504,"&lt;="&amp;首页!$B$7)))-$K23-$J23-$I23)</f>
        <v/>
      </c>
      <c r="I23" s="44" t="str">
        <f aca="false">IF($A23="","",MIN($F23,MAX(0,SUMIFS(期初数据!$L$6:$L$155,期初数据!$J$6:$J$155,$A23,期初数据!$K$6:$K$155,"&lt;="&amp;首页!$B$7-30)+SUMIFS(采购录入!$S$5:$S$404,采购录入!$D$5:$D$404,$A23,采购录入!$T$5:$T$404,"&lt;="&amp;首页!$B$7-30)-SUMIFS(资金流水!$N$5:$N$504,资金流水!$G$5:$G$504,$A23,资金流水!$E$5:$E$504,"供应商付款",资金流水!$B$5:$B$504,"&lt;="&amp;首页!$B$7)))-$K23-$J23)</f>
        <v/>
      </c>
      <c r="J23" s="44" t="str">
        <f aca="false">IF($A23="","",MIN($F23,MAX(0,SUMIFS(期初数据!$L$6:$L$155,期初数据!$J$6:$J$155,$A23,期初数据!$K$6:$K$155,"&lt;="&amp;首页!$B$7-60)+SUMIFS(采购录入!$S$5:$S$404,采购录入!$D$5:$D$404,$A23,采购录入!$T$5:$T$404,"&lt;="&amp;首页!$B$7-60)-SUMIFS(资金流水!$N$5:$N$504,资金流水!$G$5:$G$504,$A23,资金流水!$E$5:$E$504,"供应商付款",资金流水!$B$5:$B$504,"&lt;="&amp;首页!$B$7)))-$K23)</f>
        <v/>
      </c>
      <c r="K23" s="44" t="str">
        <f aca="false">IF($A23="","",MIN($F23,MAX(0,SUMIFS(期初数据!$L$6:$L$155,期初数据!$J$6:$J$155,$A23,期初数据!$K$6:$K$155,"&lt;="&amp;首页!$B$7-90)+SUMIFS(采购录入!$S$5:$S$404,采购录入!$D$5:$D$404,$A23,采购录入!$T$5:$T$404,"&lt;="&amp;首页!$B$7-90)-SUMIFS(资金流水!$N$5:$N$504,资金流水!$G$5:$G$504,$A23,资金流水!$E$5:$E$504,"供应商付款",资金流水!$B$5:$B$504,"&lt;="&amp;首页!$B$7))))</f>
        <v/>
      </c>
      <c r="L23" s="62" t="str">
        <f aca="false">IF($A23="","",$H23+$I23+$J23+$K23)</f>
        <v/>
      </c>
      <c r="M23" s="47" t="str">
        <f aca="false">IF($A23="","",IF($K23&gt;0,"高危",IF($J23&gt;0,"关注",IF($L23&gt;0,"提醒","正常"))))</f>
        <v/>
      </c>
      <c r="N23" s="42" t="str">
        <f aca="false">IF($A23="","",基础资料!$AG23)</f>
        <v/>
      </c>
    </row>
    <row r="24" customFormat="false" ht="15.75" hidden="false" customHeight="true" outlineLevel="0" collapsed="false">
      <c r="A24" s="35" t="str">
        <f aca="false">IF(基础资料!$AF24="","",基础资料!$AF24)</f>
        <v/>
      </c>
      <c r="B24" s="42" t="str">
        <f aca="false">IF($A24="","",N(基础资料!$AH24))</f>
        <v/>
      </c>
      <c r="C24" s="54" t="str">
        <f aca="false">IF($A24="","",SUMIFS(期初数据!$L$6:$L$155,期初数据!$J$6:$J$155,$A24,期初数据!$K$6:$K$155,"&lt;"&amp;首页!$B$6)+SUMIFS(采购录入!$S$5:$S$404,采购录入!$D$5:$D$404,$A24,采购录入!$B$5:$B$404,"&lt;"&amp;首页!$B$6)-SUMIFS(资金流水!$N$5:$N$504,资金流水!$G$5:$G$504,$A24,资金流水!$E$5:$E$504,"供应商付款",资金流水!$B$5:$B$504,"&lt;"&amp;首页!$B$6))</f>
        <v/>
      </c>
      <c r="D24" s="54" t="str">
        <f aca="false">IF($A24="","",SUMIFS(采购录入!$S$5:$S$404,采购录入!$D$5:$D$404,$A24,采购录入!$C$5:$C$404,首页!$B$5))</f>
        <v/>
      </c>
      <c r="E24" s="54" t="str">
        <f aca="false">IF($A24="","",SUMIFS(资金流水!$N$5:$N$504,资金流水!$G$5:$G$504,$A24,资金流水!$E$5:$E$504,"供应商付款",资金流水!$C$5:$C$504,首页!$B$5))</f>
        <v/>
      </c>
      <c r="F24" s="62" t="str">
        <f aca="false">IF($A24="","",$C24+$D24-$E24)</f>
        <v/>
      </c>
      <c r="G24" s="44" t="str">
        <f aca="false">IF($A24="","",$F24-$H24-$I24-$J24-$K24)</f>
        <v/>
      </c>
      <c r="H24" s="44" t="str">
        <f aca="false">IF($A24="","",MIN($F24,MAX(0,SUMIFS(期初数据!$L$6:$L$155,期初数据!$J$6:$J$155,$A24,期初数据!$K$6:$K$155,"&lt;="&amp;首页!$B$7)+SUMIFS(采购录入!$S$5:$S$404,采购录入!$D$5:$D$404,$A24,采购录入!$T$5:$T$404,"&lt;="&amp;首页!$B$7)-SUMIFS(资金流水!$N$5:$N$504,资金流水!$G$5:$G$504,$A24,资金流水!$E$5:$E$504,"供应商付款",资金流水!$B$5:$B$504,"&lt;="&amp;首页!$B$7)))-$K24-$J24-$I24)</f>
        <v/>
      </c>
      <c r="I24" s="44" t="str">
        <f aca="false">IF($A24="","",MIN($F24,MAX(0,SUMIFS(期初数据!$L$6:$L$155,期初数据!$J$6:$J$155,$A24,期初数据!$K$6:$K$155,"&lt;="&amp;首页!$B$7-30)+SUMIFS(采购录入!$S$5:$S$404,采购录入!$D$5:$D$404,$A24,采购录入!$T$5:$T$404,"&lt;="&amp;首页!$B$7-30)-SUMIFS(资金流水!$N$5:$N$504,资金流水!$G$5:$G$504,$A24,资金流水!$E$5:$E$504,"供应商付款",资金流水!$B$5:$B$504,"&lt;="&amp;首页!$B$7)))-$K24-$J24)</f>
        <v/>
      </c>
      <c r="J24" s="44" t="str">
        <f aca="false">IF($A24="","",MIN($F24,MAX(0,SUMIFS(期初数据!$L$6:$L$155,期初数据!$J$6:$J$155,$A24,期初数据!$K$6:$K$155,"&lt;="&amp;首页!$B$7-60)+SUMIFS(采购录入!$S$5:$S$404,采购录入!$D$5:$D$404,$A24,采购录入!$T$5:$T$404,"&lt;="&amp;首页!$B$7-60)-SUMIFS(资金流水!$N$5:$N$504,资金流水!$G$5:$G$504,$A24,资金流水!$E$5:$E$504,"供应商付款",资金流水!$B$5:$B$504,"&lt;="&amp;首页!$B$7)))-$K24)</f>
        <v/>
      </c>
      <c r="K24" s="44" t="str">
        <f aca="false">IF($A24="","",MIN($F24,MAX(0,SUMIFS(期初数据!$L$6:$L$155,期初数据!$J$6:$J$155,$A24,期初数据!$K$6:$K$155,"&lt;="&amp;首页!$B$7-90)+SUMIFS(采购录入!$S$5:$S$404,采购录入!$D$5:$D$404,$A24,采购录入!$T$5:$T$404,"&lt;="&amp;首页!$B$7-90)-SUMIFS(资金流水!$N$5:$N$504,资金流水!$G$5:$G$504,$A24,资金流水!$E$5:$E$504,"供应商付款",资金流水!$B$5:$B$504,"&lt;="&amp;首页!$B$7))))</f>
        <v/>
      </c>
      <c r="L24" s="62" t="str">
        <f aca="false">IF($A24="","",$H24+$I24+$J24+$K24)</f>
        <v/>
      </c>
      <c r="M24" s="47" t="str">
        <f aca="false">IF($A24="","",IF($K24&gt;0,"高危",IF($J24&gt;0,"关注",IF($L24&gt;0,"提醒","正常"))))</f>
        <v/>
      </c>
      <c r="N24" s="42" t="str">
        <f aca="false">IF($A24="","",基础资料!$AG24)</f>
        <v/>
      </c>
    </row>
    <row r="25" customFormat="false" ht="15.75" hidden="false" customHeight="true" outlineLevel="0" collapsed="false">
      <c r="A25" s="35" t="str">
        <f aca="false">IF(基础资料!$AF25="","",基础资料!$AF25)</f>
        <v/>
      </c>
      <c r="B25" s="42" t="str">
        <f aca="false">IF($A25="","",N(基础资料!$AH25))</f>
        <v/>
      </c>
      <c r="C25" s="54" t="str">
        <f aca="false">IF($A25="","",SUMIFS(期初数据!$L$6:$L$155,期初数据!$J$6:$J$155,$A25,期初数据!$K$6:$K$155,"&lt;"&amp;首页!$B$6)+SUMIFS(采购录入!$S$5:$S$404,采购录入!$D$5:$D$404,$A25,采购录入!$B$5:$B$404,"&lt;"&amp;首页!$B$6)-SUMIFS(资金流水!$N$5:$N$504,资金流水!$G$5:$G$504,$A25,资金流水!$E$5:$E$504,"供应商付款",资金流水!$B$5:$B$504,"&lt;"&amp;首页!$B$6))</f>
        <v/>
      </c>
      <c r="D25" s="54" t="str">
        <f aca="false">IF($A25="","",SUMIFS(采购录入!$S$5:$S$404,采购录入!$D$5:$D$404,$A25,采购录入!$C$5:$C$404,首页!$B$5))</f>
        <v/>
      </c>
      <c r="E25" s="54" t="str">
        <f aca="false">IF($A25="","",SUMIFS(资金流水!$N$5:$N$504,资金流水!$G$5:$G$504,$A25,资金流水!$E$5:$E$504,"供应商付款",资金流水!$C$5:$C$504,首页!$B$5))</f>
        <v/>
      </c>
      <c r="F25" s="62" t="str">
        <f aca="false">IF($A25="","",$C25+$D25-$E25)</f>
        <v/>
      </c>
      <c r="G25" s="44" t="str">
        <f aca="false">IF($A25="","",$F25-$H25-$I25-$J25-$K25)</f>
        <v/>
      </c>
      <c r="H25" s="44" t="str">
        <f aca="false">IF($A25="","",MIN($F25,MAX(0,SUMIFS(期初数据!$L$6:$L$155,期初数据!$J$6:$J$155,$A25,期初数据!$K$6:$K$155,"&lt;="&amp;首页!$B$7)+SUMIFS(采购录入!$S$5:$S$404,采购录入!$D$5:$D$404,$A25,采购录入!$T$5:$T$404,"&lt;="&amp;首页!$B$7)-SUMIFS(资金流水!$N$5:$N$504,资金流水!$G$5:$G$504,$A25,资金流水!$E$5:$E$504,"供应商付款",资金流水!$B$5:$B$504,"&lt;="&amp;首页!$B$7)))-$K25-$J25-$I25)</f>
        <v/>
      </c>
      <c r="I25" s="44" t="str">
        <f aca="false">IF($A25="","",MIN($F25,MAX(0,SUMIFS(期初数据!$L$6:$L$155,期初数据!$J$6:$J$155,$A25,期初数据!$K$6:$K$155,"&lt;="&amp;首页!$B$7-30)+SUMIFS(采购录入!$S$5:$S$404,采购录入!$D$5:$D$404,$A25,采购录入!$T$5:$T$404,"&lt;="&amp;首页!$B$7-30)-SUMIFS(资金流水!$N$5:$N$504,资金流水!$G$5:$G$504,$A25,资金流水!$E$5:$E$504,"供应商付款",资金流水!$B$5:$B$504,"&lt;="&amp;首页!$B$7)))-$K25-$J25)</f>
        <v/>
      </c>
      <c r="J25" s="44" t="str">
        <f aca="false">IF($A25="","",MIN($F25,MAX(0,SUMIFS(期初数据!$L$6:$L$155,期初数据!$J$6:$J$155,$A25,期初数据!$K$6:$K$155,"&lt;="&amp;首页!$B$7-60)+SUMIFS(采购录入!$S$5:$S$404,采购录入!$D$5:$D$404,$A25,采购录入!$T$5:$T$404,"&lt;="&amp;首页!$B$7-60)-SUMIFS(资金流水!$N$5:$N$504,资金流水!$G$5:$G$504,$A25,资金流水!$E$5:$E$504,"供应商付款",资金流水!$B$5:$B$504,"&lt;="&amp;首页!$B$7)))-$K25)</f>
        <v/>
      </c>
      <c r="K25" s="44" t="str">
        <f aca="false">IF($A25="","",MIN($F25,MAX(0,SUMIFS(期初数据!$L$6:$L$155,期初数据!$J$6:$J$155,$A25,期初数据!$K$6:$K$155,"&lt;="&amp;首页!$B$7-90)+SUMIFS(采购录入!$S$5:$S$404,采购录入!$D$5:$D$404,$A25,采购录入!$T$5:$T$404,"&lt;="&amp;首页!$B$7-90)-SUMIFS(资金流水!$N$5:$N$504,资金流水!$G$5:$G$504,$A25,资金流水!$E$5:$E$504,"供应商付款",资金流水!$B$5:$B$504,"&lt;="&amp;首页!$B$7))))</f>
        <v/>
      </c>
      <c r="L25" s="62" t="str">
        <f aca="false">IF($A25="","",$H25+$I25+$J25+$K25)</f>
        <v/>
      </c>
      <c r="M25" s="47" t="str">
        <f aca="false">IF($A25="","",IF($K25&gt;0,"高危",IF($J25&gt;0,"关注",IF($L25&gt;0,"提醒","正常"))))</f>
        <v/>
      </c>
      <c r="N25" s="42" t="str">
        <f aca="false">IF($A25="","",基础资料!$AG25)</f>
        <v/>
      </c>
    </row>
    <row r="26" customFormat="false" ht="15.75" hidden="false" customHeight="true" outlineLevel="0" collapsed="false">
      <c r="A26" s="35" t="str">
        <f aca="false">IF(基础资料!$AF26="","",基础资料!$AF26)</f>
        <v/>
      </c>
      <c r="B26" s="42" t="str">
        <f aca="false">IF($A26="","",N(基础资料!$AH26))</f>
        <v/>
      </c>
      <c r="C26" s="54" t="str">
        <f aca="false">IF($A26="","",SUMIFS(期初数据!$L$6:$L$155,期初数据!$J$6:$J$155,$A26,期初数据!$K$6:$K$155,"&lt;"&amp;首页!$B$6)+SUMIFS(采购录入!$S$5:$S$404,采购录入!$D$5:$D$404,$A26,采购录入!$B$5:$B$404,"&lt;"&amp;首页!$B$6)-SUMIFS(资金流水!$N$5:$N$504,资金流水!$G$5:$G$504,$A26,资金流水!$E$5:$E$504,"供应商付款",资金流水!$B$5:$B$504,"&lt;"&amp;首页!$B$6))</f>
        <v/>
      </c>
      <c r="D26" s="54" t="str">
        <f aca="false">IF($A26="","",SUMIFS(采购录入!$S$5:$S$404,采购录入!$D$5:$D$404,$A26,采购录入!$C$5:$C$404,首页!$B$5))</f>
        <v/>
      </c>
      <c r="E26" s="54" t="str">
        <f aca="false">IF($A26="","",SUMIFS(资金流水!$N$5:$N$504,资金流水!$G$5:$G$504,$A26,资金流水!$E$5:$E$504,"供应商付款",资金流水!$C$5:$C$504,首页!$B$5))</f>
        <v/>
      </c>
      <c r="F26" s="62" t="str">
        <f aca="false">IF($A26="","",$C26+$D26-$E26)</f>
        <v/>
      </c>
      <c r="G26" s="44" t="str">
        <f aca="false">IF($A26="","",$F26-$H26-$I26-$J26-$K26)</f>
        <v/>
      </c>
      <c r="H26" s="44" t="str">
        <f aca="false">IF($A26="","",MIN($F26,MAX(0,SUMIFS(期初数据!$L$6:$L$155,期初数据!$J$6:$J$155,$A26,期初数据!$K$6:$K$155,"&lt;="&amp;首页!$B$7)+SUMIFS(采购录入!$S$5:$S$404,采购录入!$D$5:$D$404,$A26,采购录入!$T$5:$T$404,"&lt;="&amp;首页!$B$7)-SUMIFS(资金流水!$N$5:$N$504,资金流水!$G$5:$G$504,$A26,资金流水!$E$5:$E$504,"供应商付款",资金流水!$B$5:$B$504,"&lt;="&amp;首页!$B$7)))-$K26-$J26-$I26)</f>
        <v/>
      </c>
      <c r="I26" s="44" t="str">
        <f aca="false">IF($A26="","",MIN($F26,MAX(0,SUMIFS(期初数据!$L$6:$L$155,期初数据!$J$6:$J$155,$A26,期初数据!$K$6:$K$155,"&lt;="&amp;首页!$B$7-30)+SUMIFS(采购录入!$S$5:$S$404,采购录入!$D$5:$D$404,$A26,采购录入!$T$5:$T$404,"&lt;="&amp;首页!$B$7-30)-SUMIFS(资金流水!$N$5:$N$504,资金流水!$G$5:$G$504,$A26,资金流水!$E$5:$E$504,"供应商付款",资金流水!$B$5:$B$504,"&lt;="&amp;首页!$B$7)))-$K26-$J26)</f>
        <v/>
      </c>
      <c r="J26" s="44" t="str">
        <f aca="false">IF($A26="","",MIN($F26,MAX(0,SUMIFS(期初数据!$L$6:$L$155,期初数据!$J$6:$J$155,$A26,期初数据!$K$6:$K$155,"&lt;="&amp;首页!$B$7-60)+SUMIFS(采购录入!$S$5:$S$404,采购录入!$D$5:$D$404,$A26,采购录入!$T$5:$T$404,"&lt;="&amp;首页!$B$7-60)-SUMIFS(资金流水!$N$5:$N$504,资金流水!$G$5:$G$504,$A26,资金流水!$E$5:$E$504,"供应商付款",资金流水!$B$5:$B$504,"&lt;="&amp;首页!$B$7)))-$K26)</f>
        <v/>
      </c>
      <c r="K26" s="44" t="str">
        <f aca="false">IF($A26="","",MIN($F26,MAX(0,SUMIFS(期初数据!$L$6:$L$155,期初数据!$J$6:$J$155,$A26,期初数据!$K$6:$K$155,"&lt;="&amp;首页!$B$7-90)+SUMIFS(采购录入!$S$5:$S$404,采购录入!$D$5:$D$404,$A26,采购录入!$T$5:$T$404,"&lt;="&amp;首页!$B$7-90)-SUMIFS(资金流水!$N$5:$N$504,资金流水!$G$5:$G$504,$A26,资金流水!$E$5:$E$504,"供应商付款",资金流水!$B$5:$B$504,"&lt;="&amp;首页!$B$7))))</f>
        <v/>
      </c>
      <c r="L26" s="62" t="str">
        <f aca="false">IF($A26="","",$H26+$I26+$J26+$K26)</f>
        <v/>
      </c>
      <c r="M26" s="47" t="str">
        <f aca="false">IF($A26="","",IF($K26&gt;0,"高危",IF($J26&gt;0,"关注",IF($L26&gt;0,"提醒","正常"))))</f>
        <v/>
      </c>
      <c r="N26" s="42" t="str">
        <f aca="false">IF($A26="","",基础资料!$AG26)</f>
        <v/>
      </c>
    </row>
    <row r="27" customFormat="false" ht="15.75" hidden="false" customHeight="true" outlineLevel="0" collapsed="false">
      <c r="A27" s="35" t="str">
        <f aca="false">IF(基础资料!$AF27="","",基础资料!$AF27)</f>
        <v/>
      </c>
      <c r="B27" s="42" t="str">
        <f aca="false">IF($A27="","",N(基础资料!$AH27))</f>
        <v/>
      </c>
      <c r="C27" s="54" t="str">
        <f aca="false">IF($A27="","",SUMIFS(期初数据!$L$6:$L$155,期初数据!$J$6:$J$155,$A27,期初数据!$K$6:$K$155,"&lt;"&amp;首页!$B$6)+SUMIFS(采购录入!$S$5:$S$404,采购录入!$D$5:$D$404,$A27,采购录入!$B$5:$B$404,"&lt;"&amp;首页!$B$6)-SUMIFS(资金流水!$N$5:$N$504,资金流水!$G$5:$G$504,$A27,资金流水!$E$5:$E$504,"供应商付款",资金流水!$B$5:$B$504,"&lt;"&amp;首页!$B$6))</f>
        <v/>
      </c>
      <c r="D27" s="54" t="str">
        <f aca="false">IF($A27="","",SUMIFS(采购录入!$S$5:$S$404,采购录入!$D$5:$D$404,$A27,采购录入!$C$5:$C$404,首页!$B$5))</f>
        <v/>
      </c>
      <c r="E27" s="54" t="str">
        <f aca="false">IF($A27="","",SUMIFS(资金流水!$N$5:$N$504,资金流水!$G$5:$G$504,$A27,资金流水!$E$5:$E$504,"供应商付款",资金流水!$C$5:$C$504,首页!$B$5))</f>
        <v/>
      </c>
      <c r="F27" s="62" t="str">
        <f aca="false">IF($A27="","",$C27+$D27-$E27)</f>
        <v/>
      </c>
      <c r="G27" s="44" t="str">
        <f aca="false">IF($A27="","",$F27-$H27-$I27-$J27-$K27)</f>
        <v/>
      </c>
      <c r="H27" s="44" t="str">
        <f aca="false">IF($A27="","",MIN($F27,MAX(0,SUMIFS(期初数据!$L$6:$L$155,期初数据!$J$6:$J$155,$A27,期初数据!$K$6:$K$155,"&lt;="&amp;首页!$B$7)+SUMIFS(采购录入!$S$5:$S$404,采购录入!$D$5:$D$404,$A27,采购录入!$T$5:$T$404,"&lt;="&amp;首页!$B$7)-SUMIFS(资金流水!$N$5:$N$504,资金流水!$G$5:$G$504,$A27,资金流水!$E$5:$E$504,"供应商付款",资金流水!$B$5:$B$504,"&lt;="&amp;首页!$B$7)))-$K27-$J27-$I27)</f>
        <v/>
      </c>
      <c r="I27" s="44" t="str">
        <f aca="false">IF($A27="","",MIN($F27,MAX(0,SUMIFS(期初数据!$L$6:$L$155,期初数据!$J$6:$J$155,$A27,期初数据!$K$6:$K$155,"&lt;="&amp;首页!$B$7-30)+SUMIFS(采购录入!$S$5:$S$404,采购录入!$D$5:$D$404,$A27,采购录入!$T$5:$T$404,"&lt;="&amp;首页!$B$7-30)-SUMIFS(资金流水!$N$5:$N$504,资金流水!$G$5:$G$504,$A27,资金流水!$E$5:$E$504,"供应商付款",资金流水!$B$5:$B$504,"&lt;="&amp;首页!$B$7)))-$K27-$J27)</f>
        <v/>
      </c>
      <c r="J27" s="44" t="str">
        <f aca="false">IF($A27="","",MIN($F27,MAX(0,SUMIFS(期初数据!$L$6:$L$155,期初数据!$J$6:$J$155,$A27,期初数据!$K$6:$K$155,"&lt;="&amp;首页!$B$7-60)+SUMIFS(采购录入!$S$5:$S$404,采购录入!$D$5:$D$404,$A27,采购录入!$T$5:$T$404,"&lt;="&amp;首页!$B$7-60)-SUMIFS(资金流水!$N$5:$N$504,资金流水!$G$5:$G$504,$A27,资金流水!$E$5:$E$504,"供应商付款",资金流水!$B$5:$B$504,"&lt;="&amp;首页!$B$7)))-$K27)</f>
        <v/>
      </c>
      <c r="K27" s="44" t="str">
        <f aca="false">IF($A27="","",MIN($F27,MAX(0,SUMIFS(期初数据!$L$6:$L$155,期初数据!$J$6:$J$155,$A27,期初数据!$K$6:$K$155,"&lt;="&amp;首页!$B$7-90)+SUMIFS(采购录入!$S$5:$S$404,采购录入!$D$5:$D$404,$A27,采购录入!$T$5:$T$404,"&lt;="&amp;首页!$B$7-90)-SUMIFS(资金流水!$N$5:$N$504,资金流水!$G$5:$G$504,$A27,资金流水!$E$5:$E$504,"供应商付款",资金流水!$B$5:$B$504,"&lt;="&amp;首页!$B$7))))</f>
        <v/>
      </c>
      <c r="L27" s="62" t="str">
        <f aca="false">IF($A27="","",$H27+$I27+$J27+$K27)</f>
        <v/>
      </c>
      <c r="M27" s="47" t="str">
        <f aca="false">IF($A27="","",IF($K27&gt;0,"高危",IF($J27&gt;0,"关注",IF($L27&gt;0,"提醒","正常"))))</f>
        <v/>
      </c>
      <c r="N27" s="42" t="str">
        <f aca="false">IF($A27="","",基础资料!$AG27)</f>
        <v/>
      </c>
    </row>
    <row r="28" customFormat="false" ht="15.75" hidden="false" customHeight="true" outlineLevel="0" collapsed="false">
      <c r="A28" s="35" t="str">
        <f aca="false">IF(基础资料!$AF28="","",基础资料!$AF28)</f>
        <v/>
      </c>
      <c r="B28" s="42" t="str">
        <f aca="false">IF($A28="","",N(基础资料!$AH28))</f>
        <v/>
      </c>
      <c r="C28" s="54" t="str">
        <f aca="false">IF($A28="","",SUMIFS(期初数据!$L$6:$L$155,期初数据!$J$6:$J$155,$A28,期初数据!$K$6:$K$155,"&lt;"&amp;首页!$B$6)+SUMIFS(采购录入!$S$5:$S$404,采购录入!$D$5:$D$404,$A28,采购录入!$B$5:$B$404,"&lt;"&amp;首页!$B$6)-SUMIFS(资金流水!$N$5:$N$504,资金流水!$G$5:$G$504,$A28,资金流水!$E$5:$E$504,"供应商付款",资金流水!$B$5:$B$504,"&lt;"&amp;首页!$B$6))</f>
        <v/>
      </c>
      <c r="D28" s="54" t="str">
        <f aca="false">IF($A28="","",SUMIFS(采购录入!$S$5:$S$404,采购录入!$D$5:$D$404,$A28,采购录入!$C$5:$C$404,首页!$B$5))</f>
        <v/>
      </c>
      <c r="E28" s="54" t="str">
        <f aca="false">IF($A28="","",SUMIFS(资金流水!$N$5:$N$504,资金流水!$G$5:$G$504,$A28,资金流水!$E$5:$E$504,"供应商付款",资金流水!$C$5:$C$504,首页!$B$5))</f>
        <v/>
      </c>
      <c r="F28" s="62" t="str">
        <f aca="false">IF($A28="","",$C28+$D28-$E28)</f>
        <v/>
      </c>
      <c r="G28" s="44" t="str">
        <f aca="false">IF($A28="","",$F28-$H28-$I28-$J28-$K28)</f>
        <v/>
      </c>
      <c r="H28" s="44" t="str">
        <f aca="false">IF($A28="","",MIN($F28,MAX(0,SUMIFS(期初数据!$L$6:$L$155,期初数据!$J$6:$J$155,$A28,期初数据!$K$6:$K$155,"&lt;="&amp;首页!$B$7)+SUMIFS(采购录入!$S$5:$S$404,采购录入!$D$5:$D$404,$A28,采购录入!$T$5:$T$404,"&lt;="&amp;首页!$B$7)-SUMIFS(资金流水!$N$5:$N$504,资金流水!$G$5:$G$504,$A28,资金流水!$E$5:$E$504,"供应商付款",资金流水!$B$5:$B$504,"&lt;="&amp;首页!$B$7)))-$K28-$J28-$I28)</f>
        <v/>
      </c>
      <c r="I28" s="44" t="str">
        <f aca="false">IF($A28="","",MIN($F28,MAX(0,SUMIFS(期初数据!$L$6:$L$155,期初数据!$J$6:$J$155,$A28,期初数据!$K$6:$K$155,"&lt;="&amp;首页!$B$7-30)+SUMIFS(采购录入!$S$5:$S$404,采购录入!$D$5:$D$404,$A28,采购录入!$T$5:$T$404,"&lt;="&amp;首页!$B$7-30)-SUMIFS(资金流水!$N$5:$N$504,资金流水!$G$5:$G$504,$A28,资金流水!$E$5:$E$504,"供应商付款",资金流水!$B$5:$B$504,"&lt;="&amp;首页!$B$7)))-$K28-$J28)</f>
        <v/>
      </c>
      <c r="J28" s="44" t="str">
        <f aca="false">IF($A28="","",MIN($F28,MAX(0,SUMIFS(期初数据!$L$6:$L$155,期初数据!$J$6:$J$155,$A28,期初数据!$K$6:$K$155,"&lt;="&amp;首页!$B$7-60)+SUMIFS(采购录入!$S$5:$S$404,采购录入!$D$5:$D$404,$A28,采购录入!$T$5:$T$404,"&lt;="&amp;首页!$B$7-60)-SUMIFS(资金流水!$N$5:$N$504,资金流水!$G$5:$G$504,$A28,资金流水!$E$5:$E$504,"供应商付款",资金流水!$B$5:$B$504,"&lt;="&amp;首页!$B$7)))-$K28)</f>
        <v/>
      </c>
      <c r="K28" s="44" t="str">
        <f aca="false">IF($A28="","",MIN($F28,MAX(0,SUMIFS(期初数据!$L$6:$L$155,期初数据!$J$6:$J$155,$A28,期初数据!$K$6:$K$155,"&lt;="&amp;首页!$B$7-90)+SUMIFS(采购录入!$S$5:$S$404,采购录入!$D$5:$D$404,$A28,采购录入!$T$5:$T$404,"&lt;="&amp;首页!$B$7-90)-SUMIFS(资金流水!$N$5:$N$504,资金流水!$G$5:$G$504,$A28,资金流水!$E$5:$E$504,"供应商付款",资金流水!$B$5:$B$504,"&lt;="&amp;首页!$B$7))))</f>
        <v/>
      </c>
      <c r="L28" s="62" t="str">
        <f aca="false">IF($A28="","",$H28+$I28+$J28+$K28)</f>
        <v/>
      </c>
      <c r="M28" s="47" t="str">
        <f aca="false">IF($A28="","",IF($K28&gt;0,"高危",IF($J28&gt;0,"关注",IF($L28&gt;0,"提醒","正常"))))</f>
        <v/>
      </c>
      <c r="N28" s="42" t="str">
        <f aca="false">IF($A28="","",基础资料!$AG28)</f>
        <v/>
      </c>
    </row>
    <row r="29" customFormat="false" ht="15.75" hidden="false" customHeight="true" outlineLevel="0" collapsed="false">
      <c r="A29" s="35" t="str">
        <f aca="false">IF(基础资料!$AF29="","",基础资料!$AF29)</f>
        <v/>
      </c>
      <c r="B29" s="42" t="str">
        <f aca="false">IF($A29="","",N(基础资料!$AH29))</f>
        <v/>
      </c>
      <c r="C29" s="54" t="str">
        <f aca="false">IF($A29="","",SUMIFS(期初数据!$L$6:$L$155,期初数据!$J$6:$J$155,$A29,期初数据!$K$6:$K$155,"&lt;"&amp;首页!$B$6)+SUMIFS(采购录入!$S$5:$S$404,采购录入!$D$5:$D$404,$A29,采购录入!$B$5:$B$404,"&lt;"&amp;首页!$B$6)-SUMIFS(资金流水!$N$5:$N$504,资金流水!$G$5:$G$504,$A29,资金流水!$E$5:$E$504,"供应商付款",资金流水!$B$5:$B$504,"&lt;"&amp;首页!$B$6))</f>
        <v/>
      </c>
      <c r="D29" s="54" t="str">
        <f aca="false">IF($A29="","",SUMIFS(采购录入!$S$5:$S$404,采购录入!$D$5:$D$404,$A29,采购录入!$C$5:$C$404,首页!$B$5))</f>
        <v/>
      </c>
      <c r="E29" s="54" t="str">
        <f aca="false">IF($A29="","",SUMIFS(资金流水!$N$5:$N$504,资金流水!$G$5:$G$504,$A29,资金流水!$E$5:$E$504,"供应商付款",资金流水!$C$5:$C$504,首页!$B$5))</f>
        <v/>
      </c>
      <c r="F29" s="62" t="str">
        <f aca="false">IF($A29="","",$C29+$D29-$E29)</f>
        <v/>
      </c>
      <c r="G29" s="44" t="str">
        <f aca="false">IF($A29="","",$F29-$H29-$I29-$J29-$K29)</f>
        <v/>
      </c>
      <c r="H29" s="44" t="str">
        <f aca="false">IF($A29="","",MIN($F29,MAX(0,SUMIFS(期初数据!$L$6:$L$155,期初数据!$J$6:$J$155,$A29,期初数据!$K$6:$K$155,"&lt;="&amp;首页!$B$7)+SUMIFS(采购录入!$S$5:$S$404,采购录入!$D$5:$D$404,$A29,采购录入!$T$5:$T$404,"&lt;="&amp;首页!$B$7)-SUMIFS(资金流水!$N$5:$N$504,资金流水!$G$5:$G$504,$A29,资金流水!$E$5:$E$504,"供应商付款",资金流水!$B$5:$B$504,"&lt;="&amp;首页!$B$7)))-$K29-$J29-$I29)</f>
        <v/>
      </c>
      <c r="I29" s="44" t="str">
        <f aca="false">IF($A29="","",MIN($F29,MAX(0,SUMIFS(期初数据!$L$6:$L$155,期初数据!$J$6:$J$155,$A29,期初数据!$K$6:$K$155,"&lt;="&amp;首页!$B$7-30)+SUMIFS(采购录入!$S$5:$S$404,采购录入!$D$5:$D$404,$A29,采购录入!$T$5:$T$404,"&lt;="&amp;首页!$B$7-30)-SUMIFS(资金流水!$N$5:$N$504,资金流水!$G$5:$G$504,$A29,资金流水!$E$5:$E$504,"供应商付款",资金流水!$B$5:$B$504,"&lt;="&amp;首页!$B$7)))-$K29-$J29)</f>
        <v/>
      </c>
      <c r="J29" s="44" t="str">
        <f aca="false">IF($A29="","",MIN($F29,MAX(0,SUMIFS(期初数据!$L$6:$L$155,期初数据!$J$6:$J$155,$A29,期初数据!$K$6:$K$155,"&lt;="&amp;首页!$B$7-60)+SUMIFS(采购录入!$S$5:$S$404,采购录入!$D$5:$D$404,$A29,采购录入!$T$5:$T$404,"&lt;="&amp;首页!$B$7-60)-SUMIFS(资金流水!$N$5:$N$504,资金流水!$G$5:$G$504,$A29,资金流水!$E$5:$E$504,"供应商付款",资金流水!$B$5:$B$504,"&lt;="&amp;首页!$B$7)))-$K29)</f>
        <v/>
      </c>
      <c r="K29" s="44" t="str">
        <f aca="false">IF($A29="","",MIN($F29,MAX(0,SUMIFS(期初数据!$L$6:$L$155,期初数据!$J$6:$J$155,$A29,期初数据!$K$6:$K$155,"&lt;="&amp;首页!$B$7-90)+SUMIFS(采购录入!$S$5:$S$404,采购录入!$D$5:$D$404,$A29,采购录入!$T$5:$T$404,"&lt;="&amp;首页!$B$7-90)-SUMIFS(资金流水!$N$5:$N$504,资金流水!$G$5:$G$504,$A29,资金流水!$E$5:$E$504,"供应商付款",资金流水!$B$5:$B$504,"&lt;="&amp;首页!$B$7))))</f>
        <v/>
      </c>
      <c r="L29" s="62" t="str">
        <f aca="false">IF($A29="","",$H29+$I29+$J29+$K29)</f>
        <v/>
      </c>
      <c r="M29" s="47" t="str">
        <f aca="false">IF($A29="","",IF($K29&gt;0,"高危",IF($J29&gt;0,"关注",IF($L29&gt;0,"提醒","正常"))))</f>
        <v/>
      </c>
      <c r="N29" s="42" t="str">
        <f aca="false">IF($A29="","",基础资料!$AG29)</f>
        <v/>
      </c>
    </row>
    <row r="30" customFormat="false" ht="15.75" hidden="false" customHeight="true" outlineLevel="0" collapsed="false">
      <c r="A30" s="35" t="str">
        <f aca="false">IF(基础资料!$AF30="","",基础资料!$AF30)</f>
        <v/>
      </c>
      <c r="B30" s="42" t="str">
        <f aca="false">IF($A30="","",N(基础资料!$AH30))</f>
        <v/>
      </c>
      <c r="C30" s="54" t="str">
        <f aca="false">IF($A30="","",SUMIFS(期初数据!$L$6:$L$155,期初数据!$J$6:$J$155,$A30,期初数据!$K$6:$K$155,"&lt;"&amp;首页!$B$6)+SUMIFS(采购录入!$S$5:$S$404,采购录入!$D$5:$D$404,$A30,采购录入!$B$5:$B$404,"&lt;"&amp;首页!$B$6)-SUMIFS(资金流水!$N$5:$N$504,资金流水!$G$5:$G$504,$A30,资金流水!$E$5:$E$504,"供应商付款",资金流水!$B$5:$B$504,"&lt;"&amp;首页!$B$6))</f>
        <v/>
      </c>
      <c r="D30" s="54" t="str">
        <f aca="false">IF($A30="","",SUMIFS(采购录入!$S$5:$S$404,采购录入!$D$5:$D$404,$A30,采购录入!$C$5:$C$404,首页!$B$5))</f>
        <v/>
      </c>
      <c r="E30" s="54" t="str">
        <f aca="false">IF($A30="","",SUMIFS(资金流水!$N$5:$N$504,资金流水!$G$5:$G$504,$A30,资金流水!$E$5:$E$504,"供应商付款",资金流水!$C$5:$C$504,首页!$B$5))</f>
        <v/>
      </c>
      <c r="F30" s="62" t="str">
        <f aca="false">IF($A30="","",$C30+$D30-$E30)</f>
        <v/>
      </c>
      <c r="G30" s="44" t="str">
        <f aca="false">IF($A30="","",$F30-$H30-$I30-$J30-$K30)</f>
        <v/>
      </c>
      <c r="H30" s="44" t="str">
        <f aca="false">IF($A30="","",MIN($F30,MAX(0,SUMIFS(期初数据!$L$6:$L$155,期初数据!$J$6:$J$155,$A30,期初数据!$K$6:$K$155,"&lt;="&amp;首页!$B$7)+SUMIFS(采购录入!$S$5:$S$404,采购录入!$D$5:$D$404,$A30,采购录入!$T$5:$T$404,"&lt;="&amp;首页!$B$7)-SUMIFS(资金流水!$N$5:$N$504,资金流水!$G$5:$G$504,$A30,资金流水!$E$5:$E$504,"供应商付款",资金流水!$B$5:$B$504,"&lt;="&amp;首页!$B$7)))-$K30-$J30-$I30)</f>
        <v/>
      </c>
      <c r="I30" s="44" t="str">
        <f aca="false">IF($A30="","",MIN($F30,MAX(0,SUMIFS(期初数据!$L$6:$L$155,期初数据!$J$6:$J$155,$A30,期初数据!$K$6:$K$155,"&lt;="&amp;首页!$B$7-30)+SUMIFS(采购录入!$S$5:$S$404,采购录入!$D$5:$D$404,$A30,采购录入!$T$5:$T$404,"&lt;="&amp;首页!$B$7-30)-SUMIFS(资金流水!$N$5:$N$504,资金流水!$G$5:$G$504,$A30,资金流水!$E$5:$E$504,"供应商付款",资金流水!$B$5:$B$504,"&lt;="&amp;首页!$B$7)))-$K30-$J30)</f>
        <v/>
      </c>
      <c r="J30" s="44" t="str">
        <f aca="false">IF($A30="","",MIN($F30,MAX(0,SUMIFS(期初数据!$L$6:$L$155,期初数据!$J$6:$J$155,$A30,期初数据!$K$6:$K$155,"&lt;="&amp;首页!$B$7-60)+SUMIFS(采购录入!$S$5:$S$404,采购录入!$D$5:$D$404,$A30,采购录入!$T$5:$T$404,"&lt;="&amp;首页!$B$7-60)-SUMIFS(资金流水!$N$5:$N$504,资金流水!$G$5:$G$504,$A30,资金流水!$E$5:$E$504,"供应商付款",资金流水!$B$5:$B$504,"&lt;="&amp;首页!$B$7)))-$K30)</f>
        <v/>
      </c>
      <c r="K30" s="44" t="str">
        <f aca="false">IF($A30="","",MIN($F30,MAX(0,SUMIFS(期初数据!$L$6:$L$155,期初数据!$J$6:$J$155,$A30,期初数据!$K$6:$K$155,"&lt;="&amp;首页!$B$7-90)+SUMIFS(采购录入!$S$5:$S$404,采购录入!$D$5:$D$404,$A30,采购录入!$T$5:$T$404,"&lt;="&amp;首页!$B$7-90)-SUMIFS(资金流水!$N$5:$N$504,资金流水!$G$5:$G$504,$A30,资金流水!$E$5:$E$504,"供应商付款",资金流水!$B$5:$B$504,"&lt;="&amp;首页!$B$7))))</f>
        <v/>
      </c>
      <c r="L30" s="62" t="str">
        <f aca="false">IF($A30="","",$H30+$I30+$J30+$K30)</f>
        <v/>
      </c>
      <c r="M30" s="47" t="str">
        <f aca="false">IF($A30="","",IF($K30&gt;0,"高危",IF($J30&gt;0,"关注",IF($L30&gt;0,"提醒","正常"))))</f>
        <v/>
      </c>
      <c r="N30" s="42" t="str">
        <f aca="false">IF($A30="","",基础资料!$AG30)</f>
        <v/>
      </c>
    </row>
    <row r="31" customFormat="false" ht="15.75" hidden="false" customHeight="true" outlineLevel="0" collapsed="false">
      <c r="A31" s="35" t="str">
        <f aca="false">IF(基础资料!$AF31="","",基础资料!$AF31)</f>
        <v/>
      </c>
      <c r="B31" s="42" t="str">
        <f aca="false">IF($A31="","",N(基础资料!$AH31))</f>
        <v/>
      </c>
      <c r="C31" s="54" t="str">
        <f aca="false">IF($A31="","",SUMIFS(期初数据!$L$6:$L$155,期初数据!$J$6:$J$155,$A31,期初数据!$K$6:$K$155,"&lt;"&amp;首页!$B$6)+SUMIFS(采购录入!$S$5:$S$404,采购录入!$D$5:$D$404,$A31,采购录入!$B$5:$B$404,"&lt;"&amp;首页!$B$6)-SUMIFS(资金流水!$N$5:$N$504,资金流水!$G$5:$G$504,$A31,资金流水!$E$5:$E$504,"供应商付款",资金流水!$B$5:$B$504,"&lt;"&amp;首页!$B$6))</f>
        <v/>
      </c>
      <c r="D31" s="54" t="str">
        <f aca="false">IF($A31="","",SUMIFS(采购录入!$S$5:$S$404,采购录入!$D$5:$D$404,$A31,采购录入!$C$5:$C$404,首页!$B$5))</f>
        <v/>
      </c>
      <c r="E31" s="54" t="str">
        <f aca="false">IF($A31="","",SUMIFS(资金流水!$N$5:$N$504,资金流水!$G$5:$G$504,$A31,资金流水!$E$5:$E$504,"供应商付款",资金流水!$C$5:$C$504,首页!$B$5))</f>
        <v/>
      </c>
      <c r="F31" s="62" t="str">
        <f aca="false">IF($A31="","",$C31+$D31-$E31)</f>
        <v/>
      </c>
      <c r="G31" s="44" t="str">
        <f aca="false">IF($A31="","",$F31-$H31-$I31-$J31-$K31)</f>
        <v/>
      </c>
      <c r="H31" s="44" t="str">
        <f aca="false">IF($A31="","",MIN($F31,MAX(0,SUMIFS(期初数据!$L$6:$L$155,期初数据!$J$6:$J$155,$A31,期初数据!$K$6:$K$155,"&lt;="&amp;首页!$B$7)+SUMIFS(采购录入!$S$5:$S$404,采购录入!$D$5:$D$404,$A31,采购录入!$T$5:$T$404,"&lt;="&amp;首页!$B$7)-SUMIFS(资金流水!$N$5:$N$504,资金流水!$G$5:$G$504,$A31,资金流水!$E$5:$E$504,"供应商付款",资金流水!$B$5:$B$504,"&lt;="&amp;首页!$B$7)))-$K31-$J31-$I31)</f>
        <v/>
      </c>
      <c r="I31" s="44" t="str">
        <f aca="false">IF($A31="","",MIN($F31,MAX(0,SUMIFS(期初数据!$L$6:$L$155,期初数据!$J$6:$J$155,$A31,期初数据!$K$6:$K$155,"&lt;="&amp;首页!$B$7-30)+SUMIFS(采购录入!$S$5:$S$404,采购录入!$D$5:$D$404,$A31,采购录入!$T$5:$T$404,"&lt;="&amp;首页!$B$7-30)-SUMIFS(资金流水!$N$5:$N$504,资金流水!$G$5:$G$504,$A31,资金流水!$E$5:$E$504,"供应商付款",资金流水!$B$5:$B$504,"&lt;="&amp;首页!$B$7)))-$K31-$J31)</f>
        <v/>
      </c>
      <c r="J31" s="44" t="str">
        <f aca="false">IF($A31="","",MIN($F31,MAX(0,SUMIFS(期初数据!$L$6:$L$155,期初数据!$J$6:$J$155,$A31,期初数据!$K$6:$K$155,"&lt;="&amp;首页!$B$7-60)+SUMIFS(采购录入!$S$5:$S$404,采购录入!$D$5:$D$404,$A31,采购录入!$T$5:$T$404,"&lt;="&amp;首页!$B$7-60)-SUMIFS(资金流水!$N$5:$N$504,资金流水!$G$5:$G$504,$A31,资金流水!$E$5:$E$504,"供应商付款",资金流水!$B$5:$B$504,"&lt;="&amp;首页!$B$7)))-$K31)</f>
        <v/>
      </c>
      <c r="K31" s="44" t="str">
        <f aca="false">IF($A31="","",MIN($F31,MAX(0,SUMIFS(期初数据!$L$6:$L$155,期初数据!$J$6:$J$155,$A31,期初数据!$K$6:$K$155,"&lt;="&amp;首页!$B$7-90)+SUMIFS(采购录入!$S$5:$S$404,采购录入!$D$5:$D$404,$A31,采购录入!$T$5:$T$404,"&lt;="&amp;首页!$B$7-90)-SUMIFS(资金流水!$N$5:$N$504,资金流水!$G$5:$G$504,$A31,资金流水!$E$5:$E$504,"供应商付款",资金流水!$B$5:$B$504,"&lt;="&amp;首页!$B$7))))</f>
        <v/>
      </c>
      <c r="L31" s="62" t="str">
        <f aca="false">IF($A31="","",$H31+$I31+$J31+$K31)</f>
        <v/>
      </c>
      <c r="M31" s="47" t="str">
        <f aca="false">IF($A31="","",IF($K31&gt;0,"高危",IF($J31&gt;0,"关注",IF($L31&gt;0,"提醒","正常"))))</f>
        <v/>
      </c>
      <c r="N31" s="42" t="str">
        <f aca="false">IF($A31="","",基础资料!$AG31)</f>
        <v/>
      </c>
    </row>
    <row r="32" customFormat="false" ht="15.75" hidden="false" customHeight="true" outlineLevel="0" collapsed="false">
      <c r="A32" s="35" t="str">
        <f aca="false">IF(基础资料!$AF32="","",基础资料!$AF32)</f>
        <v/>
      </c>
      <c r="B32" s="42" t="str">
        <f aca="false">IF($A32="","",N(基础资料!$AH32))</f>
        <v/>
      </c>
      <c r="C32" s="54" t="str">
        <f aca="false">IF($A32="","",SUMIFS(期初数据!$L$6:$L$155,期初数据!$J$6:$J$155,$A32,期初数据!$K$6:$K$155,"&lt;"&amp;首页!$B$6)+SUMIFS(采购录入!$S$5:$S$404,采购录入!$D$5:$D$404,$A32,采购录入!$B$5:$B$404,"&lt;"&amp;首页!$B$6)-SUMIFS(资金流水!$N$5:$N$504,资金流水!$G$5:$G$504,$A32,资金流水!$E$5:$E$504,"供应商付款",资金流水!$B$5:$B$504,"&lt;"&amp;首页!$B$6))</f>
        <v/>
      </c>
      <c r="D32" s="54" t="str">
        <f aca="false">IF($A32="","",SUMIFS(采购录入!$S$5:$S$404,采购录入!$D$5:$D$404,$A32,采购录入!$C$5:$C$404,首页!$B$5))</f>
        <v/>
      </c>
      <c r="E32" s="54" t="str">
        <f aca="false">IF($A32="","",SUMIFS(资金流水!$N$5:$N$504,资金流水!$G$5:$G$504,$A32,资金流水!$E$5:$E$504,"供应商付款",资金流水!$C$5:$C$504,首页!$B$5))</f>
        <v/>
      </c>
      <c r="F32" s="62" t="str">
        <f aca="false">IF($A32="","",$C32+$D32-$E32)</f>
        <v/>
      </c>
      <c r="G32" s="44" t="str">
        <f aca="false">IF($A32="","",$F32-$H32-$I32-$J32-$K32)</f>
        <v/>
      </c>
      <c r="H32" s="44" t="str">
        <f aca="false">IF($A32="","",MIN($F32,MAX(0,SUMIFS(期初数据!$L$6:$L$155,期初数据!$J$6:$J$155,$A32,期初数据!$K$6:$K$155,"&lt;="&amp;首页!$B$7)+SUMIFS(采购录入!$S$5:$S$404,采购录入!$D$5:$D$404,$A32,采购录入!$T$5:$T$404,"&lt;="&amp;首页!$B$7)-SUMIFS(资金流水!$N$5:$N$504,资金流水!$G$5:$G$504,$A32,资金流水!$E$5:$E$504,"供应商付款",资金流水!$B$5:$B$504,"&lt;="&amp;首页!$B$7)))-$K32-$J32-$I32)</f>
        <v/>
      </c>
      <c r="I32" s="44" t="str">
        <f aca="false">IF($A32="","",MIN($F32,MAX(0,SUMIFS(期初数据!$L$6:$L$155,期初数据!$J$6:$J$155,$A32,期初数据!$K$6:$K$155,"&lt;="&amp;首页!$B$7-30)+SUMIFS(采购录入!$S$5:$S$404,采购录入!$D$5:$D$404,$A32,采购录入!$T$5:$T$404,"&lt;="&amp;首页!$B$7-30)-SUMIFS(资金流水!$N$5:$N$504,资金流水!$G$5:$G$504,$A32,资金流水!$E$5:$E$504,"供应商付款",资金流水!$B$5:$B$504,"&lt;="&amp;首页!$B$7)))-$K32-$J32)</f>
        <v/>
      </c>
      <c r="J32" s="44" t="str">
        <f aca="false">IF($A32="","",MIN($F32,MAX(0,SUMIFS(期初数据!$L$6:$L$155,期初数据!$J$6:$J$155,$A32,期初数据!$K$6:$K$155,"&lt;="&amp;首页!$B$7-60)+SUMIFS(采购录入!$S$5:$S$404,采购录入!$D$5:$D$404,$A32,采购录入!$T$5:$T$404,"&lt;="&amp;首页!$B$7-60)-SUMIFS(资金流水!$N$5:$N$504,资金流水!$G$5:$G$504,$A32,资金流水!$E$5:$E$504,"供应商付款",资金流水!$B$5:$B$504,"&lt;="&amp;首页!$B$7)))-$K32)</f>
        <v/>
      </c>
      <c r="K32" s="44" t="str">
        <f aca="false">IF($A32="","",MIN($F32,MAX(0,SUMIFS(期初数据!$L$6:$L$155,期初数据!$J$6:$J$155,$A32,期初数据!$K$6:$K$155,"&lt;="&amp;首页!$B$7-90)+SUMIFS(采购录入!$S$5:$S$404,采购录入!$D$5:$D$404,$A32,采购录入!$T$5:$T$404,"&lt;="&amp;首页!$B$7-90)-SUMIFS(资金流水!$N$5:$N$504,资金流水!$G$5:$G$504,$A32,资金流水!$E$5:$E$504,"供应商付款",资金流水!$B$5:$B$504,"&lt;="&amp;首页!$B$7))))</f>
        <v/>
      </c>
      <c r="L32" s="62" t="str">
        <f aca="false">IF($A32="","",$H32+$I32+$J32+$K32)</f>
        <v/>
      </c>
      <c r="M32" s="47" t="str">
        <f aca="false">IF($A32="","",IF($K32&gt;0,"高危",IF($J32&gt;0,"关注",IF($L32&gt;0,"提醒","正常"))))</f>
        <v/>
      </c>
      <c r="N32" s="42" t="str">
        <f aca="false">IF($A32="","",基础资料!$AG32)</f>
        <v/>
      </c>
    </row>
    <row r="33" customFormat="false" ht="15.75" hidden="false" customHeight="true" outlineLevel="0" collapsed="false">
      <c r="A33" s="35" t="str">
        <f aca="false">IF(基础资料!$AF33="","",基础资料!$AF33)</f>
        <v/>
      </c>
      <c r="B33" s="42" t="str">
        <f aca="false">IF($A33="","",N(基础资料!$AH33))</f>
        <v/>
      </c>
      <c r="C33" s="54" t="str">
        <f aca="false">IF($A33="","",SUMIFS(期初数据!$L$6:$L$155,期初数据!$J$6:$J$155,$A33,期初数据!$K$6:$K$155,"&lt;"&amp;首页!$B$6)+SUMIFS(采购录入!$S$5:$S$404,采购录入!$D$5:$D$404,$A33,采购录入!$B$5:$B$404,"&lt;"&amp;首页!$B$6)-SUMIFS(资金流水!$N$5:$N$504,资金流水!$G$5:$G$504,$A33,资金流水!$E$5:$E$504,"供应商付款",资金流水!$B$5:$B$504,"&lt;"&amp;首页!$B$6))</f>
        <v/>
      </c>
      <c r="D33" s="54" t="str">
        <f aca="false">IF($A33="","",SUMIFS(采购录入!$S$5:$S$404,采购录入!$D$5:$D$404,$A33,采购录入!$C$5:$C$404,首页!$B$5))</f>
        <v/>
      </c>
      <c r="E33" s="54" t="str">
        <f aca="false">IF($A33="","",SUMIFS(资金流水!$N$5:$N$504,资金流水!$G$5:$G$504,$A33,资金流水!$E$5:$E$504,"供应商付款",资金流水!$C$5:$C$504,首页!$B$5))</f>
        <v/>
      </c>
      <c r="F33" s="62" t="str">
        <f aca="false">IF($A33="","",$C33+$D33-$E33)</f>
        <v/>
      </c>
      <c r="G33" s="44" t="str">
        <f aca="false">IF($A33="","",$F33-$H33-$I33-$J33-$K33)</f>
        <v/>
      </c>
      <c r="H33" s="44" t="str">
        <f aca="false">IF($A33="","",MIN($F33,MAX(0,SUMIFS(期初数据!$L$6:$L$155,期初数据!$J$6:$J$155,$A33,期初数据!$K$6:$K$155,"&lt;="&amp;首页!$B$7)+SUMIFS(采购录入!$S$5:$S$404,采购录入!$D$5:$D$404,$A33,采购录入!$T$5:$T$404,"&lt;="&amp;首页!$B$7)-SUMIFS(资金流水!$N$5:$N$504,资金流水!$G$5:$G$504,$A33,资金流水!$E$5:$E$504,"供应商付款",资金流水!$B$5:$B$504,"&lt;="&amp;首页!$B$7)))-$K33-$J33-$I33)</f>
        <v/>
      </c>
      <c r="I33" s="44" t="str">
        <f aca="false">IF($A33="","",MIN($F33,MAX(0,SUMIFS(期初数据!$L$6:$L$155,期初数据!$J$6:$J$155,$A33,期初数据!$K$6:$K$155,"&lt;="&amp;首页!$B$7-30)+SUMIFS(采购录入!$S$5:$S$404,采购录入!$D$5:$D$404,$A33,采购录入!$T$5:$T$404,"&lt;="&amp;首页!$B$7-30)-SUMIFS(资金流水!$N$5:$N$504,资金流水!$G$5:$G$504,$A33,资金流水!$E$5:$E$504,"供应商付款",资金流水!$B$5:$B$504,"&lt;="&amp;首页!$B$7)))-$K33-$J33)</f>
        <v/>
      </c>
      <c r="J33" s="44" t="str">
        <f aca="false">IF($A33="","",MIN($F33,MAX(0,SUMIFS(期初数据!$L$6:$L$155,期初数据!$J$6:$J$155,$A33,期初数据!$K$6:$K$155,"&lt;="&amp;首页!$B$7-60)+SUMIFS(采购录入!$S$5:$S$404,采购录入!$D$5:$D$404,$A33,采购录入!$T$5:$T$404,"&lt;="&amp;首页!$B$7-60)-SUMIFS(资金流水!$N$5:$N$504,资金流水!$G$5:$G$504,$A33,资金流水!$E$5:$E$504,"供应商付款",资金流水!$B$5:$B$504,"&lt;="&amp;首页!$B$7)))-$K33)</f>
        <v/>
      </c>
      <c r="K33" s="44" t="str">
        <f aca="false">IF($A33="","",MIN($F33,MAX(0,SUMIFS(期初数据!$L$6:$L$155,期初数据!$J$6:$J$155,$A33,期初数据!$K$6:$K$155,"&lt;="&amp;首页!$B$7-90)+SUMIFS(采购录入!$S$5:$S$404,采购录入!$D$5:$D$404,$A33,采购录入!$T$5:$T$404,"&lt;="&amp;首页!$B$7-90)-SUMIFS(资金流水!$N$5:$N$504,资金流水!$G$5:$G$504,$A33,资金流水!$E$5:$E$504,"供应商付款",资金流水!$B$5:$B$504,"&lt;="&amp;首页!$B$7))))</f>
        <v/>
      </c>
      <c r="L33" s="62" t="str">
        <f aca="false">IF($A33="","",$H33+$I33+$J33+$K33)</f>
        <v/>
      </c>
      <c r="M33" s="47" t="str">
        <f aca="false">IF($A33="","",IF($K33&gt;0,"高危",IF($J33&gt;0,"关注",IF($L33&gt;0,"提醒","正常"))))</f>
        <v/>
      </c>
      <c r="N33" s="42" t="str">
        <f aca="false">IF($A33="","",基础资料!$AG33)</f>
        <v/>
      </c>
    </row>
    <row r="34" customFormat="false" ht="15.75" hidden="false" customHeight="true" outlineLevel="0" collapsed="false">
      <c r="A34" s="35" t="str">
        <f aca="false">IF(基础资料!$AF34="","",基础资料!$AF34)</f>
        <v/>
      </c>
      <c r="B34" s="42" t="str">
        <f aca="false">IF($A34="","",N(基础资料!$AH34))</f>
        <v/>
      </c>
      <c r="C34" s="54" t="str">
        <f aca="false">IF($A34="","",SUMIFS(期初数据!$L$6:$L$155,期初数据!$J$6:$J$155,$A34,期初数据!$K$6:$K$155,"&lt;"&amp;首页!$B$6)+SUMIFS(采购录入!$S$5:$S$404,采购录入!$D$5:$D$404,$A34,采购录入!$B$5:$B$404,"&lt;"&amp;首页!$B$6)-SUMIFS(资金流水!$N$5:$N$504,资金流水!$G$5:$G$504,$A34,资金流水!$E$5:$E$504,"供应商付款",资金流水!$B$5:$B$504,"&lt;"&amp;首页!$B$6))</f>
        <v/>
      </c>
      <c r="D34" s="54" t="str">
        <f aca="false">IF($A34="","",SUMIFS(采购录入!$S$5:$S$404,采购录入!$D$5:$D$404,$A34,采购录入!$C$5:$C$404,首页!$B$5))</f>
        <v/>
      </c>
      <c r="E34" s="54" t="str">
        <f aca="false">IF($A34="","",SUMIFS(资金流水!$N$5:$N$504,资金流水!$G$5:$G$504,$A34,资金流水!$E$5:$E$504,"供应商付款",资金流水!$C$5:$C$504,首页!$B$5))</f>
        <v/>
      </c>
      <c r="F34" s="62" t="str">
        <f aca="false">IF($A34="","",$C34+$D34-$E34)</f>
        <v/>
      </c>
      <c r="G34" s="44" t="str">
        <f aca="false">IF($A34="","",$F34-$H34-$I34-$J34-$K34)</f>
        <v/>
      </c>
      <c r="H34" s="44" t="str">
        <f aca="false">IF($A34="","",MIN($F34,MAX(0,SUMIFS(期初数据!$L$6:$L$155,期初数据!$J$6:$J$155,$A34,期初数据!$K$6:$K$155,"&lt;="&amp;首页!$B$7)+SUMIFS(采购录入!$S$5:$S$404,采购录入!$D$5:$D$404,$A34,采购录入!$T$5:$T$404,"&lt;="&amp;首页!$B$7)-SUMIFS(资金流水!$N$5:$N$504,资金流水!$G$5:$G$504,$A34,资金流水!$E$5:$E$504,"供应商付款",资金流水!$B$5:$B$504,"&lt;="&amp;首页!$B$7)))-$K34-$J34-$I34)</f>
        <v/>
      </c>
      <c r="I34" s="44" t="str">
        <f aca="false">IF($A34="","",MIN($F34,MAX(0,SUMIFS(期初数据!$L$6:$L$155,期初数据!$J$6:$J$155,$A34,期初数据!$K$6:$K$155,"&lt;="&amp;首页!$B$7-30)+SUMIFS(采购录入!$S$5:$S$404,采购录入!$D$5:$D$404,$A34,采购录入!$T$5:$T$404,"&lt;="&amp;首页!$B$7-30)-SUMIFS(资金流水!$N$5:$N$504,资金流水!$G$5:$G$504,$A34,资金流水!$E$5:$E$504,"供应商付款",资金流水!$B$5:$B$504,"&lt;="&amp;首页!$B$7)))-$K34-$J34)</f>
        <v/>
      </c>
      <c r="J34" s="44" t="str">
        <f aca="false">IF($A34="","",MIN($F34,MAX(0,SUMIFS(期初数据!$L$6:$L$155,期初数据!$J$6:$J$155,$A34,期初数据!$K$6:$K$155,"&lt;="&amp;首页!$B$7-60)+SUMIFS(采购录入!$S$5:$S$404,采购录入!$D$5:$D$404,$A34,采购录入!$T$5:$T$404,"&lt;="&amp;首页!$B$7-60)-SUMIFS(资金流水!$N$5:$N$504,资金流水!$G$5:$G$504,$A34,资金流水!$E$5:$E$504,"供应商付款",资金流水!$B$5:$B$504,"&lt;="&amp;首页!$B$7)))-$K34)</f>
        <v/>
      </c>
      <c r="K34" s="44" t="str">
        <f aca="false">IF($A34="","",MIN($F34,MAX(0,SUMIFS(期初数据!$L$6:$L$155,期初数据!$J$6:$J$155,$A34,期初数据!$K$6:$K$155,"&lt;="&amp;首页!$B$7-90)+SUMIFS(采购录入!$S$5:$S$404,采购录入!$D$5:$D$404,$A34,采购录入!$T$5:$T$404,"&lt;="&amp;首页!$B$7-90)-SUMIFS(资金流水!$N$5:$N$504,资金流水!$G$5:$G$504,$A34,资金流水!$E$5:$E$504,"供应商付款",资金流水!$B$5:$B$504,"&lt;="&amp;首页!$B$7))))</f>
        <v/>
      </c>
      <c r="L34" s="62" t="str">
        <f aca="false">IF($A34="","",$H34+$I34+$J34+$K34)</f>
        <v/>
      </c>
      <c r="M34" s="47" t="str">
        <f aca="false">IF($A34="","",IF($K34&gt;0,"高危",IF($J34&gt;0,"关注",IF($L34&gt;0,"提醒","正常"))))</f>
        <v/>
      </c>
      <c r="N34" s="42" t="str">
        <f aca="false">IF($A34="","",基础资料!$AG34)</f>
        <v/>
      </c>
    </row>
    <row r="35" customFormat="false" ht="15.75" hidden="false" customHeight="true" outlineLevel="0" collapsed="false">
      <c r="A35" s="35" t="str">
        <f aca="false">IF(基础资料!$AF35="","",基础资料!$AF35)</f>
        <v/>
      </c>
      <c r="B35" s="42" t="str">
        <f aca="false">IF($A35="","",N(基础资料!$AH35))</f>
        <v/>
      </c>
      <c r="C35" s="54" t="str">
        <f aca="false">IF($A35="","",SUMIFS(期初数据!$L$6:$L$155,期初数据!$J$6:$J$155,$A35,期初数据!$K$6:$K$155,"&lt;"&amp;首页!$B$6)+SUMIFS(采购录入!$S$5:$S$404,采购录入!$D$5:$D$404,$A35,采购录入!$B$5:$B$404,"&lt;"&amp;首页!$B$6)-SUMIFS(资金流水!$N$5:$N$504,资金流水!$G$5:$G$504,$A35,资金流水!$E$5:$E$504,"供应商付款",资金流水!$B$5:$B$504,"&lt;"&amp;首页!$B$6))</f>
        <v/>
      </c>
      <c r="D35" s="54" t="str">
        <f aca="false">IF($A35="","",SUMIFS(采购录入!$S$5:$S$404,采购录入!$D$5:$D$404,$A35,采购录入!$C$5:$C$404,首页!$B$5))</f>
        <v/>
      </c>
      <c r="E35" s="54" t="str">
        <f aca="false">IF($A35="","",SUMIFS(资金流水!$N$5:$N$504,资金流水!$G$5:$G$504,$A35,资金流水!$E$5:$E$504,"供应商付款",资金流水!$C$5:$C$504,首页!$B$5))</f>
        <v/>
      </c>
      <c r="F35" s="62" t="str">
        <f aca="false">IF($A35="","",$C35+$D35-$E35)</f>
        <v/>
      </c>
      <c r="G35" s="44" t="str">
        <f aca="false">IF($A35="","",$F35-$H35-$I35-$J35-$K35)</f>
        <v/>
      </c>
      <c r="H35" s="44" t="str">
        <f aca="false">IF($A35="","",MIN($F35,MAX(0,SUMIFS(期初数据!$L$6:$L$155,期初数据!$J$6:$J$155,$A35,期初数据!$K$6:$K$155,"&lt;="&amp;首页!$B$7)+SUMIFS(采购录入!$S$5:$S$404,采购录入!$D$5:$D$404,$A35,采购录入!$T$5:$T$404,"&lt;="&amp;首页!$B$7)-SUMIFS(资金流水!$N$5:$N$504,资金流水!$G$5:$G$504,$A35,资金流水!$E$5:$E$504,"供应商付款",资金流水!$B$5:$B$504,"&lt;="&amp;首页!$B$7)))-$K35-$J35-$I35)</f>
        <v/>
      </c>
      <c r="I35" s="44" t="str">
        <f aca="false">IF($A35="","",MIN($F35,MAX(0,SUMIFS(期初数据!$L$6:$L$155,期初数据!$J$6:$J$155,$A35,期初数据!$K$6:$K$155,"&lt;="&amp;首页!$B$7-30)+SUMIFS(采购录入!$S$5:$S$404,采购录入!$D$5:$D$404,$A35,采购录入!$T$5:$T$404,"&lt;="&amp;首页!$B$7-30)-SUMIFS(资金流水!$N$5:$N$504,资金流水!$G$5:$G$504,$A35,资金流水!$E$5:$E$504,"供应商付款",资金流水!$B$5:$B$504,"&lt;="&amp;首页!$B$7)))-$K35-$J35)</f>
        <v/>
      </c>
      <c r="J35" s="44" t="str">
        <f aca="false">IF($A35="","",MIN($F35,MAX(0,SUMIFS(期初数据!$L$6:$L$155,期初数据!$J$6:$J$155,$A35,期初数据!$K$6:$K$155,"&lt;="&amp;首页!$B$7-60)+SUMIFS(采购录入!$S$5:$S$404,采购录入!$D$5:$D$404,$A35,采购录入!$T$5:$T$404,"&lt;="&amp;首页!$B$7-60)-SUMIFS(资金流水!$N$5:$N$504,资金流水!$G$5:$G$504,$A35,资金流水!$E$5:$E$504,"供应商付款",资金流水!$B$5:$B$504,"&lt;="&amp;首页!$B$7)))-$K35)</f>
        <v/>
      </c>
      <c r="K35" s="44" t="str">
        <f aca="false">IF($A35="","",MIN($F35,MAX(0,SUMIFS(期初数据!$L$6:$L$155,期初数据!$J$6:$J$155,$A35,期初数据!$K$6:$K$155,"&lt;="&amp;首页!$B$7-90)+SUMIFS(采购录入!$S$5:$S$404,采购录入!$D$5:$D$404,$A35,采购录入!$T$5:$T$404,"&lt;="&amp;首页!$B$7-90)-SUMIFS(资金流水!$N$5:$N$504,资金流水!$G$5:$G$504,$A35,资金流水!$E$5:$E$504,"供应商付款",资金流水!$B$5:$B$504,"&lt;="&amp;首页!$B$7))))</f>
        <v/>
      </c>
      <c r="L35" s="62" t="str">
        <f aca="false">IF($A35="","",$H35+$I35+$J35+$K35)</f>
        <v/>
      </c>
      <c r="M35" s="47" t="str">
        <f aca="false">IF($A35="","",IF($K35&gt;0,"高危",IF($J35&gt;0,"关注",IF($L35&gt;0,"提醒","正常"))))</f>
        <v/>
      </c>
      <c r="N35" s="42" t="str">
        <f aca="false">IF($A35="","",基础资料!$AG35)</f>
        <v/>
      </c>
    </row>
    <row r="36" customFormat="false" ht="15.75" hidden="false" customHeight="true" outlineLevel="0" collapsed="false">
      <c r="A36" s="35" t="str">
        <f aca="false">IF(基础资料!$AF36="","",基础资料!$AF36)</f>
        <v/>
      </c>
      <c r="B36" s="42" t="str">
        <f aca="false">IF($A36="","",N(基础资料!$AH36))</f>
        <v/>
      </c>
      <c r="C36" s="54" t="str">
        <f aca="false">IF($A36="","",SUMIFS(期初数据!$L$6:$L$155,期初数据!$J$6:$J$155,$A36,期初数据!$K$6:$K$155,"&lt;"&amp;首页!$B$6)+SUMIFS(采购录入!$S$5:$S$404,采购录入!$D$5:$D$404,$A36,采购录入!$B$5:$B$404,"&lt;"&amp;首页!$B$6)-SUMIFS(资金流水!$N$5:$N$504,资金流水!$G$5:$G$504,$A36,资金流水!$E$5:$E$504,"供应商付款",资金流水!$B$5:$B$504,"&lt;"&amp;首页!$B$6))</f>
        <v/>
      </c>
      <c r="D36" s="54" t="str">
        <f aca="false">IF($A36="","",SUMIFS(采购录入!$S$5:$S$404,采购录入!$D$5:$D$404,$A36,采购录入!$C$5:$C$404,首页!$B$5))</f>
        <v/>
      </c>
      <c r="E36" s="54" t="str">
        <f aca="false">IF($A36="","",SUMIFS(资金流水!$N$5:$N$504,资金流水!$G$5:$G$504,$A36,资金流水!$E$5:$E$504,"供应商付款",资金流水!$C$5:$C$504,首页!$B$5))</f>
        <v/>
      </c>
      <c r="F36" s="62" t="str">
        <f aca="false">IF($A36="","",$C36+$D36-$E36)</f>
        <v/>
      </c>
      <c r="G36" s="44" t="str">
        <f aca="false">IF($A36="","",$F36-$H36-$I36-$J36-$K36)</f>
        <v/>
      </c>
      <c r="H36" s="44" t="str">
        <f aca="false">IF($A36="","",MIN($F36,MAX(0,SUMIFS(期初数据!$L$6:$L$155,期初数据!$J$6:$J$155,$A36,期初数据!$K$6:$K$155,"&lt;="&amp;首页!$B$7)+SUMIFS(采购录入!$S$5:$S$404,采购录入!$D$5:$D$404,$A36,采购录入!$T$5:$T$404,"&lt;="&amp;首页!$B$7)-SUMIFS(资金流水!$N$5:$N$504,资金流水!$G$5:$G$504,$A36,资金流水!$E$5:$E$504,"供应商付款",资金流水!$B$5:$B$504,"&lt;="&amp;首页!$B$7)))-$K36-$J36-$I36)</f>
        <v/>
      </c>
      <c r="I36" s="44" t="str">
        <f aca="false">IF($A36="","",MIN($F36,MAX(0,SUMIFS(期初数据!$L$6:$L$155,期初数据!$J$6:$J$155,$A36,期初数据!$K$6:$K$155,"&lt;="&amp;首页!$B$7-30)+SUMIFS(采购录入!$S$5:$S$404,采购录入!$D$5:$D$404,$A36,采购录入!$T$5:$T$404,"&lt;="&amp;首页!$B$7-30)-SUMIFS(资金流水!$N$5:$N$504,资金流水!$G$5:$G$504,$A36,资金流水!$E$5:$E$504,"供应商付款",资金流水!$B$5:$B$504,"&lt;="&amp;首页!$B$7)))-$K36-$J36)</f>
        <v/>
      </c>
      <c r="J36" s="44" t="str">
        <f aca="false">IF($A36="","",MIN($F36,MAX(0,SUMIFS(期初数据!$L$6:$L$155,期初数据!$J$6:$J$155,$A36,期初数据!$K$6:$K$155,"&lt;="&amp;首页!$B$7-60)+SUMIFS(采购录入!$S$5:$S$404,采购录入!$D$5:$D$404,$A36,采购录入!$T$5:$T$404,"&lt;="&amp;首页!$B$7-60)-SUMIFS(资金流水!$N$5:$N$504,资金流水!$G$5:$G$504,$A36,资金流水!$E$5:$E$504,"供应商付款",资金流水!$B$5:$B$504,"&lt;="&amp;首页!$B$7)))-$K36)</f>
        <v/>
      </c>
      <c r="K36" s="44" t="str">
        <f aca="false">IF($A36="","",MIN($F36,MAX(0,SUMIFS(期初数据!$L$6:$L$155,期初数据!$J$6:$J$155,$A36,期初数据!$K$6:$K$155,"&lt;="&amp;首页!$B$7-90)+SUMIFS(采购录入!$S$5:$S$404,采购录入!$D$5:$D$404,$A36,采购录入!$T$5:$T$404,"&lt;="&amp;首页!$B$7-90)-SUMIFS(资金流水!$N$5:$N$504,资金流水!$G$5:$G$504,$A36,资金流水!$E$5:$E$504,"供应商付款",资金流水!$B$5:$B$504,"&lt;="&amp;首页!$B$7))))</f>
        <v/>
      </c>
      <c r="L36" s="62" t="str">
        <f aca="false">IF($A36="","",$H36+$I36+$J36+$K36)</f>
        <v/>
      </c>
      <c r="M36" s="47" t="str">
        <f aca="false">IF($A36="","",IF($K36&gt;0,"高危",IF($J36&gt;0,"关注",IF($L36&gt;0,"提醒","正常"))))</f>
        <v/>
      </c>
      <c r="N36" s="42" t="str">
        <f aca="false">IF($A36="","",基础资料!$AG36)</f>
        <v/>
      </c>
    </row>
    <row r="37" customFormat="false" ht="15.75" hidden="false" customHeight="true" outlineLevel="0" collapsed="false">
      <c r="A37" s="35" t="str">
        <f aca="false">IF(基础资料!$AF37="","",基础资料!$AF37)</f>
        <v/>
      </c>
      <c r="B37" s="42" t="str">
        <f aca="false">IF($A37="","",N(基础资料!$AH37))</f>
        <v/>
      </c>
      <c r="C37" s="54" t="str">
        <f aca="false">IF($A37="","",SUMIFS(期初数据!$L$6:$L$155,期初数据!$J$6:$J$155,$A37,期初数据!$K$6:$K$155,"&lt;"&amp;首页!$B$6)+SUMIFS(采购录入!$S$5:$S$404,采购录入!$D$5:$D$404,$A37,采购录入!$B$5:$B$404,"&lt;"&amp;首页!$B$6)-SUMIFS(资金流水!$N$5:$N$504,资金流水!$G$5:$G$504,$A37,资金流水!$E$5:$E$504,"供应商付款",资金流水!$B$5:$B$504,"&lt;"&amp;首页!$B$6))</f>
        <v/>
      </c>
      <c r="D37" s="54" t="str">
        <f aca="false">IF($A37="","",SUMIFS(采购录入!$S$5:$S$404,采购录入!$D$5:$D$404,$A37,采购录入!$C$5:$C$404,首页!$B$5))</f>
        <v/>
      </c>
      <c r="E37" s="54" t="str">
        <f aca="false">IF($A37="","",SUMIFS(资金流水!$N$5:$N$504,资金流水!$G$5:$G$504,$A37,资金流水!$E$5:$E$504,"供应商付款",资金流水!$C$5:$C$504,首页!$B$5))</f>
        <v/>
      </c>
      <c r="F37" s="62" t="str">
        <f aca="false">IF($A37="","",$C37+$D37-$E37)</f>
        <v/>
      </c>
      <c r="G37" s="44" t="str">
        <f aca="false">IF($A37="","",$F37-$H37-$I37-$J37-$K37)</f>
        <v/>
      </c>
      <c r="H37" s="44" t="str">
        <f aca="false">IF($A37="","",MIN($F37,MAX(0,SUMIFS(期初数据!$L$6:$L$155,期初数据!$J$6:$J$155,$A37,期初数据!$K$6:$K$155,"&lt;="&amp;首页!$B$7)+SUMIFS(采购录入!$S$5:$S$404,采购录入!$D$5:$D$404,$A37,采购录入!$T$5:$T$404,"&lt;="&amp;首页!$B$7)-SUMIFS(资金流水!$N$5:$N$504,资金流水!$G$5:$G$504,$A37,资金流水!$E$5:$E$504,"供应商付款",资金流水!$B$5:$B$504,"&lt;="&amp;首页!$B$7)))-$K37-$J37-$I37)</f>
        <v/>
      </c>
      <c r="I37" s="44" t="str">
        <f aca="false">IF($A37="","",MIN($F37,MAX(0,SUMIFS(期初数据!$L$6:$L$155,期初数据!$J$6:$J$155,$A37,期初数据!$K$6:$K$155,"&lt;="&amp;首页!$B$7-30)+SUMIFS(采购录入!$S$5:$S$404,采购录入!$D$5:$D$404,$A37,采购录入!$T$5:$T$404,"&lt;="&amp;首页!$B$7-30)-SUMIFS(资金流水!$N$5:$N$504,资金流水!$G$5:$G$504,$A37,资金流水!$E$5:$E$504,"供应商付款",资金流水!$B$5:$B$504,"&lt;="&amp;首页!$B$7)))-$K37-$J37)</f>
        <v/>
      </c>
      <c r="J37" s="44" t="str">
        <f aca="false">IF($A37="","",MIN($F37,MAX(0,SUMIFS(期初数据!$L$6:$L$155,期初数据!$J$6:$J$155,$A37,期初数据!$K$6:$K$155,"&lt;="&amp;首页!$B$7-60)+SUMIFS(采购录入!$S$5:$S$404,采购录入!$D$5:$D$404,$A37,采购录入!$T$5:$T$404,"&lt;="&amp;首页!$B$7-60)-SUMIFS(资金流水!$N$5:$N$504,资金流水!$G$5:$G$504,$A37,资金流水!$E$5:$E$504,"供应商付款",资金流水!$B$5:$B$504,"&lt;="&amp;首页!$B$7)))-$K37)</f>
        <v/>
      </c>
      <c r="K37" s="44" t="str">
        <f aca="false">IF($A37="","",MIN($F37,MAX(0,SUMIFS(期初数据!$L$6:$L$155,期初数据!$J$6:$J$155,$A37,期初数据!$K$6:$K$155,"&lt;="&amp;首页!$B$7-90)+SUMIFS(采购录入!$S$5:$S$404,采购录入!$D$5:$D$404,$A37,采购录入!$T$5:$T$404,"&lt;="&amp;首页!$B$7-90)-SUMIFS(资金流水!$N$5:$N$504,资金流水!$G$5:$G$504,$A37,资金流水!$E$5:$E$504,"供应商付款",资金流水!$B$5:$B$504,"&lt;="&amp;首页!$B$7))))</f>
        <v/>
      </c>
      <c r="L37" s="62" t="str">
        <f aca="false">IF($A37="","",$H37+$I37+$J37+$K37)</f>
        <v/>
      </c>
      <c r="M37" s="47" t="str">
        <f aca="false">IF($A37="","",IF($K37&gt;0,"高危",IF($J37&gt;0,"关注",IF($L37&gt;0,"提醒","正常"))))</f>
        <v/>
      </c>
      <c r="N37" s="42" t="str">
        <f aca="false">IF($A37="","",基础资料!$AG37)</f>
        <v/>
      </c>
    </row>
    <row r="38" customFormat="false" ht="15.75" hidden="false" customHeight="true" outlineLevel="0" collapsed="false">
      <c r="A38" s="35" t="str">
        <f aca="false">IF(基础资料!$AF38="","",基础资料!$AF38)</f>
        <v/>
      </c>
      <c r="B38" s="42" t="str">
        <f aca="false">IF($A38="","",N(基础资料!$AH38))</f>
        <v/>
      </c>
      <c r="C38" s="54" t="str">
        <f aca="false">IF($A38="","",SUMIFS(期初数据!$L$6:$L$155,期初数据!$J$6:$J$155,$A38,期初数据!$K$6:$K$155,"&lt;"&amp;首页!$B$6)+SUMIFS(采购录入!$S$5:$S$404,采购录入!$D$5:$D$404,$A38,采购录入!$B$5:$B$404,"&lt;"&amp;首页!$B$6)-SUMIFS(资金流水!$N$5:$N$504,资金流水!$G$5:$G$504,$A38,资金流水!$E$5:$E$504,"供应商付款",资金流水!$B$5:$B$504,"&lt;"&amp;首页!$B$6))</f>
        <v/>
      </c>
      <c r="D38" s="54" t="str">
        <f aca="false">IF($A38="","",SUMIFS(采购录入!$S$5:$S$404,采购录入!$D$5:$D$404,$A38,采购录入!$C$5:$C$404,首页!$B$5))</f>
        <v/>
      </c>
      <c r="E38" s="54" t="str">
        <f aca="false">IF($A38="","",SUMIFS(资金流水!$N$5:$N$504,资金流水!$G$5:$G$504,$A38,资金流水!$E$5:$E$504,"供应商付款",资金流水!$C$5:$C$504,首页!$B$5))</f>
        <v/>
      </c>
      <c r="F38" s="62" t="str">
        <f aca="false">IF($A38="","",$C38+$D38-$E38)</f>
        <v/>
      </c>
      <c r="G38" s="44" t="str">
        <f aca="false">IF($A38="","",$F38-$H38-$I38-$J38-$K38)</f>
        <v/>
      </c>
      <c r="H38" s="44" t="str">
        <f aca="false">IF($A38="","",MIN($F38,MAX(0,SUMIFS(期初数据!$L$6:$L$155,期初数据!$J$6:$J$155,$A38,期初数据!$K$6:$K$155,"&lt;="&amp;首页!$B$7)+SUMIFS(采购录入!$S$5:$S$404,采购录入!$D$5:$D$404,$A38,采购录入!$T$5:$T$404,"&lt;="&amp;首页!$B$7)-SUMIFS(资金流水!$N$5:$N$504,资金流水!$G$5:$G$504,$A38,资金流水!$E$5:$E$504,"供应商付款",资金流水!$B$5:$B$504,"&lt;="&amp;首页!$B$7)))-$K38-$J38-$I38)</f>
        <v/>
      </c>
      <c r="I38" s="44" t="str">
        <f aca="false">IF($A38="","",MIN($F38,MAX(0,SUMIFS(期初数据!$L$6:$L$155,期初数据!$J$6:$J$155,$A38,期初数据!$K$6:$K$155,"&lt;="&amp;首页!$B$7-30)+SUMIFS(采购录入!$S$5:$S$404,采购录入!$D$5:$D$404,$A38,采购录入!$T$5:$T$404,"&lt;="&amp;首页!$B$7-30)-SUMIFS(资金流水!$N$5:$N$504,资金流水!$G$5:$G$504,$A38,资金流水!$E$5:$E$504,"供应商付款",资金流水!$B$5:$B$504,"&lt;="&amp;首页!$B$7)))-$K38-$J38)</f>
        <v/>
      </c>
      <c r="J38" s="44" t="str">
        <f aca="false">IF($A38="","",MIN($F38,MAX(0,SUMIFS(期初数据!$L$6:$L$155,期初数据!$J$6:$J$155,$A38,期初数据!$K$6:$K$155,"&lt;="&amp;首页!$B$7-60)+SUMIFS(采购录入!$S$5:$S$404,采购录入!$D$5:$D$404,$A38,采购录入!$T$5:$T$404,"&lt;="&amp;首页!$B$7-60)-SUMIFS(资金流水!$N$5:$N$504,资金流水!$G$5:$G$504,$A38,资金流水!$E$5:$E$504,"供应商付款",资金流水!$B$5:$B$504,"&lt;="&amp;首页!$B$7)))-$K38)</f>
        <v/>
      </c>
      <c r="K38" s="44" t="str">
        <f aca="false">IF($A38="","",MIN($F38,MAX(0,SUMIFS(期初数据!$L$6:$L$155,期初数据!$J$6:$J$155,$A38,期初数据!$K$6:$K$155,"&lt;="&amp;首页!$B$7-90)+SUMIFS(采购录入!$S$5:$S$404,采购录入!$D$5:$D$404,$A38,采购录入!$T$5:$T$404,"&lt;="&amp;首页!$B$7-90)-SUMIFS(资金流水!$N$5:$N$504,资金流水!$G$5:$G$504,$A38,资金流水!$E$5:$E$504,"供应商付款",资金流水!$B$5:$B$504,"&lt;="&amp;首页!$B$7))))</f>
        <v/>
      </c>
      <c r="L38" s="62" t="str">
        <f aca="false">IF($A38="","",$H38+$I38+$J38+$K38)</f>
        <v/>
      </c>
      <c r="M38" s="47" t="str">
        <f aca="false">IF($A38="","",IF($K38&gt;0,"高危",IF($J38&gt;0,"关注",IF($L38&gt;0,"提醒","正常"))))</f>
        <v/>
      </c>
      <c r="N38" s="42" t="str">
        <f aca="false">IF($A38="","",基础资料!$AG38)</f>
        <v/>
      </c>
    </row>
    <row r="39" customFormat="false" ht="15.75" hidden="false" customHeight="true" outlineLevel="0" collapsed="false">
      <c r="A39" s="35" t="str">
        <f aca="false">IF(基础资料!$AF39="","",基础资料!$AF39)</f>
        <v/>
      </c>
      <c r="B39" s="42" t="str">
        <f aca="false">IF($A39="","",N(基础资料!$AH39))</f>
        <v/>
      </c>
      <c r="C39" s="54" t="str">
        <f aca="false">IF($A39="","",SUMIFS(期初数据!$L$6:$L$155,期初数据!$J$6:$J$155,$A39,期初数据!$K$6:$K$155,"&lt;"&amp;首页!$B$6)+SUMIFS(采购录入!$S$5:$S$404,采购录入!$D$5:$D$404,$A39,采购录入!$B$5:$B$404,"&lt;"&amp;首页!$B$6)-SUMIFS(资金流水!$N$5:$N$504,资金流水!$G$5:$G$504,$A39,资金流水!$E$5:$E$504,"供应商付款",资金流水!$B$5:$B$504,"&lt;"&amp;首页!$B$6))</f>
        <v/>
      </c>
      <c r="D39" s="54" t="str">
        <f aca="false">IF($A39="","",SUMIFS(采购录入!$S$5:$S$404,采购录入!$D$5:$D$404,$A39,采购录入!$C$5:$C$404,首页!$B$5))</f>
        <v/>
      </c>
      <c r="E39" s="54" t="str">
        <f aca="false">IF($A39="","",SUMIFS(资金流水!$N$5:$N$504,资金流水!$G$5:$G$504,$A39,资金流水!$E$5:$E$504,"供应商付款",资金流水!$C$5:$C$504,首页!$B$5))</f>
        <v/>
      </c>
      <c r="F39" s="62" t="str">
        <f aca="false">IF($A39="","",$C39+$D39-$E39)</f>
        <v/>
      </c>
      <c r="G39" s="44" t="str">
        <f aca="false">IF($A39="","",$F39-$H39-$I39-$J39-$K39)</f>
        <v/>
      </c>
      <c r="H39" s="44" t="str">
        <f aca="false">IF($A39="","",MIN($F39,MAX(0,SUMIFS(期初数据!$L$6:$L$155,期初数据!$J$6:$J$155,$A39,期初数据!$K$6:$K$155,"&lt;="&amp;首页!$B$7)+SUMIFS(采购录入!$S$5:$S$404,采购录入!$D$5:$D$404,$A39,采购录入!$T$5:$T$404,"&lt;="&amp;首页!$B$7)-SUMIFS(资金流水!$N$5:$N$504,资金流水!$G$5:$G$504,$A39,资金流水!$E$5:$E$504,"供应商付款",资金流水!$B$5:$B$504,"&lt;="&amp;首页!$B$7)))-$K39-$J39-$I39)</f>
        <v/>
      </c>
      <c r="I39" s="44" t="str">
        <f aca="false">IF($A39="","",MIN($F39,MAX(0,SUMIFS(期初数据!$L$6:$L$155,期初数据!$J$6:$J$155,$A39,期初数据!$K$6:$K$155,"&lt;="&amp;首页!$B$7-30)+SUMIFS(采购录入!$S$5:$S$404,采购录入!$D$5:$D$404,$A39,采购录入!$T$5:$T$404,"&lt;="&amp;首页!$B$7-30)-SUMIFS(资金流水!$N$5:$N$504,资金流水!$G$5:$G$504,$A39,资金流水!$E$5:$E$504,"供应商付款",资金流水!$B$5:$B$504,"&lt;="&amp;首页!$B$7)))-$K39-$J39)</f>
        <v/>
      </c>
      <c r="J39" s="44" t="str">
        <f aca="false">IF($A39="","",MIN($F39,MAX(0,SUMIFS(期初数据!$L$6:$L$155,期初数据!$J$6:$J$155,$A39,期初数据!$K$6:$K$155,"&lt;="&amp;首页!$B$7-60)+SUMIFS(采购录入!$S$5:$S$404,采购录入!$D$5:$D$404,$A39,采购录入!$T$5:$T$404,"&lt;="&amp;首页!$B$7-60)-SUMIFS(资金流水!$N$5:$N$504,资金流水!$G$5:$G$504,$A39,资金流水!$E$5:$E$504,"供应商付款",资金流水!$B$5:$B$504,"&lt;="&amp;首页!$B$7)))-$K39)</f>
        <v/>
      </c>
      <c r="K39" s="44" t="str">
        <f aca="false">IF($A39="","",MIN($F39,MAX(0,SUMIFS(期初数据!$L$6:$L$155,期初数据!$J$6:$J$155,$A39,期初数据!$K$6:$K$155,"&lt;="&amp;首页!$B$7-90)+SUMIFS(采购录入!$S$5:$S$404,采购录入!$D$5:$D$404,$A39,采购录入!$T$5:$T$404,"&lt;="&amp;首页!$B$7-90)-SUMIFS(资金流水!$N$5:$N$504,资金流水!$G$5:$G$504,$A39,资金流水!$E$5:$E$504,"供应商付款",资金流水!$B$5:$B$504,"&lt;="&amp;首页!$B$7))))</f>
        <v/>
      </c>
      <c r="L39" s="62" t="str">
        <f aca="false">IF($A39="","",$H39+$I39+$J39+$K39)</f>
        <v/>
      </c>
      <c r="M39" s="47" t="str">
        <f aca="false">IF($A39="","",IF($K39&gt;0,"高危",IF($J39&gt;0,"关注",IF($L39&gt;0,"提醒","正常"))))</f>
        <v/>
      </c>
      <c r="N39" s="42" t="str">
        <f aca="false">IF($A39="","",基础资料!$AG39)</f>
        <v/>
      </c>
    </row>
    <row r="40" customFormat="false" ht="15.75" hidden="false" customHeight="true" outlineLevel="0" collapsed="false">
      <c r="A40" s="35" t="str">
        <f aca="false">IF(基础资料!$AF40="","",基础资料!$AF40)</f>
        <v/>
      </c>
      <c r="B40" s="42" t="str">
        <f aca="false">IF($A40="","",N(基础资料!$AH40))</f>
        <v/>
      </c>
      <c r="C40" s="54" t="str">
        <f aca="false">IF($A40="","",SUMIFS(期初数据!$L$6:$L$155,期初数据!$J$6:$J$155,$A40,期初数据!$K$6:$K$155,"&lt;"&amp;首页!$B$6)+SUMIFS(采购录入!$S$5:$S$404,采购录入!$D$5:$D$404,$A40,采购录入!$B$5:$B$404,"&lt;"&amp;首页!$B$6)-SUMIFS(资金流水!$N$5:$N$504,资金流水!$G$5:$G$504,$A40,资金流水!$E$5:$E$504,"供应商付款",资金流水!$B$5:$B$504,"&lt;"&amp;首页!$B$6))</f>
        <v/>
      </c>
      <c r="D40" s="54" t="str">
        <f aca="false">IF($A40="","",SUMIFS(采购录入!$S$5:$S$404,采购录入!$D$5:$D$404,$A40,采购录入!$C$5:$C$404,首页!$B$5))</f>
        <v/>
      </c>
      <c r="E40" s="54" t="str">
        <f aca="false">IF($A40="","",SUMIFS(资金流水!$N$5:$N$504,资金流水!$G$5:$G$504,$A40,资金流水!$E$5:$E$504,"供应商付款",资金流水!$C$5:$C$504,首页!$B$5))</f>
        <v/>
      </c>
      <c r="F40" s="62" t="str">
        <f aca="false">IF($A40="","",$C40+$D40-$E40)</f>
        <v/>
      </c>
      <c r="G40" s="44" t="str">
        <f aca="false">IF($A40="","",$F40-$H40-$I40-$J40-$K40)</f>
        <v/>
      </c>
      <c r="H40" s="44" t="str">
        <f aca="false">IF($A40="","",MIN($F40,MAX(0,SUMIFS(期初数据!$L$6:$L$155,期初数据!$J$6:$J$155,$A40,期初数据!$K$6:$K$155,"&lt;="&amp;首页!$B$7)+SUMIFS(采购录入!$S$5:$S$404,采购录入!$D$5:$D$404,$A40,采购录入!$T$5:$T$404,"&lt;="&amp;首页!$B$7)-SUMIFS(资金流水!$N$5:$N$504,资金流水!$G$5:$G$504,$A40,资金流水!$E$5:$E$504,"供应商付款",资金流水!$B$5:$B$504,"&lt;="&amp;首页!$B$7)))-$K40-$J40-$I40)</f>
        <v/>
      </c>
      <c r="I40" s="44" t="str">
        <f aca="false">IF($A40="","",MIN($F40,MAX(0,SUMIFS(期初数据!$L$6:$L$155,期初数据!$J$6:$J$155,$A40,期初数据!$K$6:$K$155,"&lt;="&amp;首页!$B$7-30)+SUMIFS(采购录入!$S$5:$S$404,采购录入!$D$5:$D$404,$A40,采购录入!$T$5:$T$404,"&lt;="&amp;首页!$B$7-30)-SUMIFS(资金流水!$N$5:$N$504,资金流水!$G$5:$G$504,$A40,资金流水!$E$5:$E$504,"供应商付款",资金流水!$B$5:$B$504,"&lt;="&amp;首页!$B$7)))-$K40-$J40)</f>
        <v/>
      </c>
      <c r="J40" s="44" t="str">
        <f aca="false">IF($A40="","",MIN($F40,MAX(0,SUMIFS(期初数据!$L$6:$L$155,期初数据!$J$6:$J$155,$A40,期初数据!$K$6:$K$155,"&lt;="&amp;首页!$B$7-60)+SUMIFS(采购录入!$S$5:$S$404,采购录入!$D$5:$D$404,$A40,采购录入!$T$5:$T$404,"&lt;="&amp;首页!$B$7-60)-SUMIFS(资金流水!$N$5:$N$504,资金流水!$G$5:$G$504,$A40,资金流水!$E$5:$E$504,"供应商付款",资金流水!$B$5:$B$504,"&lt;="&amp;首页!$B$7)))-$K40)</f>
        <v/>
      </c>
      <c r="K40" s="44" t="str">
        <f aca="false">IF($A40="","",MIN($F40,MAX(0,SUMIFS(期初数据!$L$6:$L$155,期初数据!$J$6:$J$155,$A40,期初数据!$K$6:$K$155,"&lt;="&amp;首页!$B$7-90)+SUMIFS(采购录入!$S$5:$S$404,采购录入!$D$5:$D$404,$A40,采购录入!$T$5:$T$404,"&lt;="&amp;首页!$B$7-90)-SUMIFS(资金流水!$N$5:$N$504,资金流水!$G$5:$G$504,$A40,资金流水!$E$5:$E$504,"供应商付款",资金流水!$B$5:$B$504,"&lt;="&amp;首页!$B$7))))</f>
        <v/>
      </c>
      <c r="L40" s="62" t="str">
        <f aca="false">IF($A40="","",$H40+$I40+$J40+$K40)</f>
        <v/>
      </c>
      <c r="M40" s="47" t="str">
        <f aca="false">IF($A40="","",IF($K40&gt;0,"高危",IF($J40&gt;0,"关注",IF($L40&gt;0,"提醒","正常"))))</f>
        <v/>
      </c>
      <c r="N40" s="42" t="str">
        <f aca="false">IF($A40="","",基础资料!$AG40)</f>
        <v/>
      </c>
    </row>
    <row r="41" customFormat="false" ht="15.75" hidden="false" customHeight="true" outlineLevel="0" collapsed="false">
      <c r="A41" s="35" t="str">
        <f aca="false">IF(基础资料!$AF41="","",基础资料!$AF41)</f>
        <v/>
      </c>
      <c r="B41" s="42" t="str">
        <f aca="false">IF($A41="","",N(基础资料!$AH41))</f>
        <v/>
      </c>
      <c r="C41" s="54" t="str">
        <f aca="false">IF($A41="","",SUMIFS(期初数据!$L$6:$L$155,期初数据!$J$6:$J$155,$A41,期初数据!$K$6:$K$155,"&lt;"&amp;首页!$B$6)+SUMIFS(采购录入!$S$5:$S$404,采购录入!$D$5:$D$404,$A41,采购录入!$B$5:$B$404,"&lt;"&amp;首页!$B$6)-SUMIFS(资金流水!$N$5:$N$504,资金流水!$G$5:$G$504,$A41,资金流水!$E$5:$E$504,"供应商付款",资金流水!$B$5:$B$504,"&lt;"&amp;首页!$B$6))</f>
        <v/>
      </c>
      <c r="D41" s="54" t="str">
        <f aca="false">IF($A41="","",SUMIFS(采购录入!$S$5:$S$404,采购录入!$D$5:$D$404,$A41,采购录入!$C$5:$C$404,首页!$B$5))</f>
        <v/>
      </c>
      <c r="E41" s="54" t="str">
        <f aca="false">IF($A41="","",SUMIFS(资金流水!$N$5:$N$504,资金流水!$G$5:$G$504,$A41,资金流水!$E$5:$E$504,"供应商付款",资金流水!$C$5:$C$504,首页!$B$5))</f>
        <v/>
      </c>
      <c r="F41" s="62" t="str">
        <f aca="false">IF($A41="","",$C41+$D41-$E41)</f>
        <v/>
      </c>
      <c r="G41" s="44" t="str">
        <f aca="false">IF($A41="","",$F41-$H41-$I41-$J41-$K41)</f>
        <v/>
      </c>
      <c r="H41" s="44" t="str">
        <f aca="false">IF($A41="","",MIN($F41,MAX(0,SUMIFS(期初数据!$L$6:$L$155,期初数据!$J$6:$J$155,$A41,期初数据!$K$6:$K$155,"&lt;="&amp;首页!$B$7)+SUMIFS(采购录入!$S$5:$S$404,采购录入!$D$5:$D$404,$A41,采购录入!$T$5:$T$404,"&lt;="&amp;首页!$B$7)-SUMIFS(资金流水!$N$5:$N$504,资金流水!$G$5:$G$504,$A41,资金流水!$E$5:$E$504,"供应商付款",资金流水!$B$5:$B$504,"&lt;="&amp;首页!$B$7)))-$K41-$J41-$I41)</f>
        <v/>
      </c>
      <c r="I41" s="44" t="str">
        <f aca="false">IF($A41="","",MIN($F41,MAX(0,SUMIFS(期初数据!$L$6:$L$155,期初数据!$J$6:$J$155,$A41,期初数据!$K$6:$K$155,"&lt;="&amp;首页!$B$7-30)+SUMIFS(采购录入!$S$5:$S$404,采购录入!$D$5:$D$404,$A41,采购录入!$T$5:$T$404,"&lt;="&amp;首页!$B$7-30)-SUMIFS(资金流水!$N$5:$N$504,资金流水!$G$5:$G$504,$A41,资金流水!$E$5:$E$504,"供应商付款",资金流水!$B$5:$B$504,"&lt;="&amp;首页!$B$7)))-$K41-$J41)</f>
        <v/>
      </c>
      <c r="J41" s="44" t="str">
        <f aca="false">IF($A41="","",MIN($F41,MAX(0,SUMIFS(期初数据!$L$6:$L$155,期初数据!$J$6:$J$155,$A41,期初数据!$K$6:$K$155,"&lt;="&amp;首页!$B$7-60)+SUMIFS(采购录入!$S$5:$S$404,采购录入!$D$5:$D$404,$A41,采购录入!$T$5:$T$404,"&lt;="&amp;首页!$B$7-60)-SUMIFS(资金流水!$N$5:$N$504,资金流水!$G$5:$G$504,$A41,资金流水!$E$5:$E$504,"供应商付款",资金流水!$B$5:$B$504,"&lt;="&amp;首页!$B$7)))-$K41)</f>
        <v/>
      </c>
      <c r="K41" s="44" t="str">
        <f aca="false">IF($A41="","",MIN($F41,MAX(0,SUMIFS(期初数据!$L$6:$L$155,期初数据!$J$6:$J$155,$A41,期初数据!$K$6:$K$155,"&lt;="&amp;首页!$B$7-90)+SUMIFS(采购录入!$S$5:$S$404,采购录入!$D$5:$D$404,$A41,采购录入!$T$5:$T$404,"&lt;="&amp;首页!$B$7-90)-SUMIFS(资金流水!$N$5:$N$504,资金流水!$G$5:$G$504,$A41,资金流水!$E$5:$E$504,"供应商付款",资金流水!$B$5:$B$504,"&lt;="&amp;首页!$B$7))))</f>
        <v/>
      </c>
      <c r="L41" s="62" t="str">
        <f aca="false">IF($A41="","",$H41+$I41+$J41+$K41)</f>
        <v/>
      </c>
      <c r="M41" s="47" t="str">
        <f aca="false">IF($A41="","",IF($K41&gt;0,"高危",IF($J41&gt;0,"关注",IF($L41&gt;0,"提醒","正常"))))</f>
        <v/>
      </c>
      <c r="N41" s="42" t="str">
        <f aca="false">IF($A41="","",基础资料!$AG41)</f>
        <v/>
      </c>
    </row>
    <row r="42" customFormat="false" ht="15.75" hidden="false" customHeight="true" outlineLevel="0" collapsed="false">
      <c r="A42" s="35" t="str">
        <f aca="false">IF(基础资料!$AF42="","",基础资料!$AF42)</f>
        <v/>
      </c>
      <c r="B42" s="42" t="str">
        <f aca="false">IF($A42="","",N(基础资料!$AH42))</f>
        <v/>
      </c>
      <c r="C42" s="54" t="str">
        <f aca="false">IF($A42="","",SUMIFS(期初数据!$L$6:$L$155,期初数据!$J$6:$J$155,$A42,期初数据!$K$6:$K$155,"&lt;"&amp;首页!$B$6)+SUMIFS(采购录入!$S$5:$S$404,采购录入!$D$5:$D$404,$A42,采购录入!$B$5:$B$404,"&lt;"&amp;首页!$B$6)-SUMIFS(资金流水!$N$5:$N$504,资金流水!$G$5:$G$504,$A42,资金流水!$E$5:$E$504,"供应商付款",资金流水!$B$5:$B$504,"&lt;"&amp;首页!$B$6))</f>
        <v/>
      </c>
      <c r="D42" s="54" t="str">
        <f aca="false">IF($A42="","",SUMIFS(采购录入!$S$5:$S$404,采购录入!$D$5:$D$404,$A42,采购录入!$C$5:$C$404,首页!$B$5))</f>
        <v/>
      </c>
      <c r="E42" s="54" t="str">
        <f aca="false">IF($A42="","",SUMIFS(资金流水!$N$5:$N$504,资金流水!$G$5:$G$504,$A42,资金流水!$E$5:$E$504,"供应商付款",资金流水!$C$5:$C$504,首页!$B$5))</f>
        <v/>
      </c>
      <c r="F42" s="62" t="str">
        <f aca="false">IF($A42="","",$C42+$D42-$E42)</f>
        <v/>
      </c>
      <c r="G42" s="44" t="str">
        <f aca="false">IF($A42="","",$F42-$H42-$I42-$J42-$K42)</f>
        <v/>
      </c>
      <c r="H42" s="44" t="str">
        <f aca="false">IF($A42="","",MIN($F42,MAX(0,SUMIFS(期初数据!$L$6:$L$155,期初数据!$J$6:$J$155,$A42,期初数据!$K$6:$K$155,"&lt;="&amp;首页!$B$7)+SUMIFS(采购录入!$S$5:$S$404,采购录入!$D$5:$D$404,$A42,采购录入!$T$5:$T$404,"&lt;="&amp;首页!$B$7)-SUMIFS(资金流水!$N$5:$N$504,资金流水!$G$5:$G$504,$A42,资金流水!$E$5:$E$504,"供应商付款",资金流水!$B$5:$B$504,"&lt;="&amp;首页!$B$7)))-$K42-$J42-$I42)</f>
        <v/>
      </c>
      <c r="I42" s="44" t="str">
        <f aca="false">IF($A42="","",MIN($F42,MAX(0,SUMIFS(期初数据!$L$6:$L$155,期初数据!$J$6:$J$155,$A42,期初数据!$K$6:$K$155,"&lt;="&amp;首页!$B$7-30)+SUMIFS(采购录入!$S$5:$S$404,采购录入!$D$5:$D$404,$A42,采购录入!$T$5:$T$404,"&lt;="&amp;首页!$B$7-30)-SUMIFS(资金流水!$N$5:$N$504,资金流水!$G$5:$G$504,$A42,资金流水!$E$5:$E$504,"供应商付款",资金流水!$B$5:$B$504,"&lt;="&amp;首页!$B$7)))-$K42-$J42)</f>
        <v/>
      </c>
      <c r="J42" s="44" t="str">
        <f aca="false">IF($A42="","",MIN($F42,MAX(0,SUMIFS(期初数据!$L$6:$L$155,期初数据!$J$6:$J$155,$A42,期初数据!$K$6:$K$155,"&lt;="&amp;首页!$B$7-60)+SUMIFS(采购录入!$S$5:$S$404,采购录入!$D$5:$D$404,$A42,采购录入!$T$5:$T$404,"&lt;="&amp;首页!$B$7-60)-SUMIFS(资金流水!$N$5:$N$504,资金流水!$G$5:$G$504,$A42,资金流水!$E$5:$E$504,"供应商付款",资金流水!$B$5:$B$504,"&lt;="&amp;首页!$B$7)))-$K42)</f>
        <v/>
      </c>
      <c r="K42" s="44" t="str">
        <f aca="false">IF($A42="","",MIN($F42,MAX(0,SUMIFS(期初数据!$L$6:$L$155,期初数据!$J$6:$J$155,$A42,期初数据!$K$6:$K$155,"&lt;="&amp;首页!$B$7-90)+SUMIFS(采购录入!$S$5:$S$404,采购录入!$D$5:$D$404,$A42,采购录入!$T$5:$T$404,"&lt;="&amp;首页!$B$7-90)-SUMIFS(资金流水!$N$5:$N$504,资金流水!$G$5:$G$504,$A42,资金流水!$E$5:$E$504,"供应商付款",资金流水!$B$5:$B$504,"&lt;="&amp;首页!$B$7))))</f>
        <v/>
      </c>
      <c r="L42" s="62" t="str">
        <f aca="false">IF($A42="","",$H42+$I42+$J42+$K42)</f>
        <v/>
      </c>
      <c r="M42" s="47" t="str">
        <f aca="false">IF($A42="","",IF($K42&gt;0,"高危",IF($J42&gt;0,"关注",IF($L42&gt;0,"提醒","正常"))))</f>
        <v/>
      </c>
      <c r="N42" s="42" t="str">
        <f aca="false">IF($A42="","",基础资料!$AG42)</f>
        <v/>
      </c>
    </row>
    <row r="43" customFormat="false" ht="15.75" hidden="false" customHeight="true" outlineLevel="0" collapsed="false">
      <c r="A43" s="35" t="str">
        <f aca="false">IF(基础资料!$AF43="","",基础资料!$AF43)</f>
        <v/>
      </c>
      <c r="B43" s="42" t="str">
        <f aca="false">IF($A43="","",N(基础资料!$AH43))</f>
        <v/>
      </c>
      <c r="C43" s="54" t="str">
        <f aca="false">IF($A43="","",SUMIFS(期初数据!$L$6:$L$155,期初数据!$J$6:$J$155,$A43,期初数据!$K$6:$K$155,"&lt;"&amp;首页!$B$6)+SUMIFS(采购录入!$S$5:$S$404,采购录入!$D$5:$D$404,$A43,采购录入!$B$5:$B$404,"&lt;"&amp;首页!$B$6)-SUMIFS(资金流水!$N$5:$N$504,资金流水!$G$5:$G$504,$A43,资金流水!$E$5:$E$504,"供应商付款",资金流水!$B$5:$B$504,"&lt;"&amp;首页!$B$6))</f>
        <v/>
      </c>
      <c r="D43" s="54" t="str">
        <f aca="false">IF($A43="","",SUMIFS(采购录入!$S$5:$S$404,采购录入!$D$5:$D$404,$A43,采购录入!$C$5:$C$404,首页!$B$5))</f>
        <v/>
      </c>
      <c r="E43" s="54" t="str">
        <f aca="false">IF($A43="","",SUMIFS(资金流水!$N$5:$N$504,资金流水!$G$5:$G$504,$A43,资金流水!$E$5:$E$504,"供应商付款",资金流水!$C$5:$C$504,首页!$B$5))</f>
        <v/>
      </c>
      <c r="F43" s="62" t="str">
        <f aca="false">IF($A43="","",$C43+$D43-$E43)</f>
        <v/>
      </c>
      <c r="G43" s="44" t="str">
        <f aca="false">IF($A43="","",$F43-$H43-$I43-$J43-$K43)</f>
        <v/>
      </c>
      <c r="H43" s="44" t="str">
        <f aca="false">IF($A43="","",MIN($F43,MAX(0,SUMIFS(期初数据!$L$6:$L$155,期初数据!$J$6:$J$155,$A43,期初数据!$K$6:$K$155,"&lt;="&amp;首页!$B$7)+SUMIFS(采购录入!$S$5:$S$404,采购录入!$D$5:$D$404,$A43,采购录入!$T$5:$T$404,"&lt;="&amp;首页!$B$7)-SUMIFS(资金流水!$N$5:$N$504,资金流水!$G$5:$G$504,$A43,资金流水!$E$5:$E$504,"供应商付款",资金流水!$B$5:$B$504,"&lt;="&amp;首页!$B$7)))-$K43-$J43-$I43)</f>
        <v/>
      </c>
      <c r="I43" s="44" t="str">
        <f aca="false">IF($A43="","",MIN($F43,MAX(0,SUMIFS(期初数据!$L$6:$L$155,期初数据!$J$6:$J$155,$A43,期初数据!$K$6:$K$155,"&lt;="&amp;首页!$B$7-30)+SUMIFS(采购录入!$S$5:$S$404,采购录入!$D$5:$D$404,$A43,采购录入!$T$5:$T$404,"&lt;="&amp;首页!$B$7-30)-SUMIFS(资金流水!$N$5:$N$504,资金流水!$G$5:$G$504,$A43,资金流水!$E$5:$E$504,"供应商付款",资金流水!$B$5:$B$504,"&lt;="&amp;首页!$B$7)))-$K43-$J43)</f>
        <v/>
      </c>
      <c r="J43" s="44" t="str">
        <f aca="false">IF($A43="","",MIN($F43,MAX(0,SUMIFS(期初数据!$L$6:$L$155,期初数据!$J$6:$J$155,$A43,期初数据!$K$6:$K$155,"&lt;="&amp;首页!$B$7-60)+SUMIFS(采购录入!$S$5:$S$404,采购录入!$D$5:$D$404,$A43,采购录入!$T$5:$T$404,"&lt;="&amp;首页!$B$7-60)-SUMIFS(资金流水!$N$5:$N$504,资金流水!$G$5:$G$504,$A43,资金流水!$E$5:$E$504,"供应商付款",资金流水!$B$5:$B$504,"&lt;="&amp;首页!$B$7)))-$K43)</f>
        <v/>
      </c>
      <c r="K43" s="44" t="str">
        <f aca="false">IF($A43="","",MIN($F43,MAX(0,SUMIFS(期初数据!$L$6:$L$155,期初数据!$J$6:$J$155,$A43,期初数据!$K$6:$K$155,"&lt;="&amp;首页!$B$7-90)+SUMIFS(采购录入!$S$5:$S$404,采购录入!$D$5:$D$404,$A43,采购录入!$T$5:$T$404,"&lt;="&amp;首页!$B$7-90)-SUMIFS(资金流水!$N$5:$N$504,资金流水!$G$5:$G$504,$A43,资金流水!$E$5:$E$504,"供应商付款",资金流水!$B$5:$B$504,"&lt;="&amp;首页!$B$7))))</f>
        <v/>
      </c>
      <c r="L43" s="62" t="str">
        <f aca="false">IF($A43="","",$H43+$I43+$J43+$K43)</f>
        <v/>
      </c>
      <c r="M43" s="47" t="str">
        <f aca="false">IF($A43="","",IF($K43&gt;0,"高危",IF($J43&gt;0,"关注",IF($L43&gt;0,"提醒","正常"))))</f>
        <v/>
      </c>
      <c r="N43" s="42" t="str">
        <f aca="false">IF($A43="","",基础资料!$AG43)</f>
        <v/>
      </c>
    </row>
    <row r="44" customFormat="false" ht="15.75" hidden="false" customHeight="true" outlineLevel="0" collapsed="false">
      <c r="A44" s="35" t="str">
        <f aca="false">IF(基础资料!$AF44="","",基础资料!$AF44)</f>
        <v/>
      </c>
      <c r="B44" s="42" t="str">
        <f aca="false">IF($A44="","",N(基础资料!$AH44))</f>
        <v/>
      </c>
      <c r="C44" s="54" t="str">
        <f aca="false">IF($A44="","",SUMIFS(期初数据!$L$6:$L$155,期初数据!$J$6:$J$155,$A44,期初数据!$K$6:$K$155,"&lt;"&amp;首页!$B$6)+SUMIFS(采购录入!$S$5:$S$404,采购录入!$D$5:$D$404,$A44,采购录入!$B$5:$B$404,"&lt;"&amp;首页!$B$6)-SUMIFS(资金流水!$N$5:$N$504,资金流水!$G$5:$G$504,$A44,资金流水!$E$5:$E$504,"供应商付款",资金流水!$B$5:$B$504,"&lt;"&amp;首页!$B$6))</f>
        <v/>
      </c>
      <c r="D44" s="54" t="str">
        <f aca="false">IF($A44="","",SUMIFS(采购录入!$S$5:$S$404,采购录入!$D$5:$D$404,$A44,采购录入!$C$5:$C$404,首页!$B$5))</f>
        <v/>
      </c>
      <c r="E44" s="54" t="str">
        <f aca="false">IF($A44="","",SUMIFS(资金流水!$N$5:$N$504,资金流水!$G$5:$G$504,$A44,资金流水!$E$5:$E$504,"供应商付款",资金流水!$C$5:$C$504,首页!$B$5))</f>
        <v/>
      </c>
      <c r="F44" s="62" t="str">
        <f aca="false">IF($A44="","",$C44+$D44-$E44)</f>
        <v/>
      </c>
      <c r="G44" s="44" t="str">
        <f aca="false">IF($A44="","",$F44-$H44-$I44-$J44-$K44)</f>
        <v/>
      </c>
      <c r="H44" s="44" t="str">
        <f aca="false">IF($A44="","",MIN($F44,MAX(0,SUMIFS(期初数据!$L$6:$L$155,期初数据!$J$6:$J$155,$A44,期初数据!$K$6:$K$155,"&lt;="&amp;首页!$B$7)+SUMIFS(采购录入!$S$5:$S$404,采购录入!$D$5:$D$404,$A44,采购录入!$T$5:$T$404,"&lt;="&amp;首页!$B$7)-SUMIFS(资金流水!$N$5:$N$504,资金流水!$G$5:$G$504,$A44,资金流水!$E$5:$E$504,"供应商付款",资金流水!$B$5:$B$504,"&lt;="&amp;首页!$B$7)))-$K44-$J44-$I44)</f>
        <v/>
      </c>
      <c r="I44" s="44" t="str">
        <f aca="false">IF($A44="","",MIN($F44,MAX(0,SUMIFS(期初数据!$L$6:$L$155,期初数据!$J$6:$J$155,$A44,期初数据!$K$6:$K$155,"&lt;="&amp;首页!$B$7-30)+SUMIFS(采购录入!$S$5:$S$404,采购录入!$D$5:$D$404,$A44,采购录入!$T$5:$T$404,"&lt;="&amp;首页!$B$7-30)-SUMIFS(资金流水!$N$5:$N$504,资金流水!$G$5:$G$504,$A44,资金流水!$E$5:$E$504,"供应商付款",资金流水!$B$5:$B$504,"&lt;="&amp;首页!$B$7)))-$K44-$J44)</f>
        <v/>
      </c>
      <c r="J44" s="44" t="str">
        <f aca="false">IF($A44="","",MIN($F44,MAX(0,SUMIFS(期初数据!$L$6:$L$155,期初数据!$J$6:$J$155,$A44,期初数据!$K$6:$K$155,"&lt;="&amp;首页!$B$7-60)+SUMIFS(采购录入!$S$5:$S$404,采购录入!$D$5:$D$404,$A44,采购录入!$T$5:$T$404,"&lt;="&amp;首页!$B$7-60)-SUMIFS(资金流水!$N$5:$N$504,资金流水!$G$5:$G$504,$A44,资金流水!$E$5:$E$504,"供应商付款",资金流水!$B$5:$B$504,"&lt;="&amp;首页!$B$7)))-$K44)</f>
        <v/>
      </c>
      <c r="K44" s="44" t="str">
        <f aca="false">IF($A44="","",MIN($F44,MAX(0,SUMIFS(期初数据!$L$6:$L$155,期初数据!$J$6:$J$155,$A44,期初数据!$K$6:$K$155,"&lt;="&amp;首页!$B$7-90)+SUMIFS(采购录入!$S$5:$S$404,采购录入!$D$5:$D$404,$A44,采购录入!$T$5:$T$404,"&lt;="&amp;首页!$B$7-90)-SUMIFS(资金流水!$N$5:$N$504,资金流水!$G$5:$G$504,$A44,资金流水!$E$5:$E$504,"供应商付款",资金流水!$B$5:$B$504,"&lt;="&amp;首页!$B$7))))</f>
        <v/>
      </c>
      <c r="L44" s="62" t="str">
        <f aca="false">IF($A44="","",$H44+$I44+$J44+$K44)</f>
        <v/>
      </c>
      <c r="M44" s="47" t="str">
        <f aca="false">IF($A44="","",IF($K44&gt;0,"高危",IF($J44&gt;0,"关注",IF($L44&gt;0,"提醒","正常"))))</f>
        <v/>
      </c>
      <c r="N44" s="42" t="str">
        <f aca="false">IF($A44="","",基础资料!$AG44)</f>
        <v/>
      </c>
    </row>
    <row r="45" customFormat="false" ht="15.75" hidden="false" customHeight="true" outlineLevel="0" collapsed="false">
      <c r="A45" s="35" t="str">
        <f aca="false">IF(基础资料!$AF45="","",基础资料!$AF45)</f>
        <v/>
      </c>
      <c r="B45" s="42" t="str">
        <f aca="false">IF($A45="","",N(基础资料!$AH45))</f>
        <v/>
      </c>
      <c r="C45" s="54" t="str">
        <f aca="false">IF($A45="","",SUMIFS(期初数据!$L$6:$L$155,期初数据!$J$6:$J$155,$A45,期初数据!$K$6:$K$155,"&lt;"&amp;首页!$B$6)+SUMIFS(采购录入!$S$5:$S$404,采购录入!$D$5:$D$404,$A45,采购录入!$B$5:$B$404,"&lt;"&amp;首页!$B$6)-SUMIFS(资金流水!$N$5:$N$504,资金流水!$G$5:$G$504,$A45,资金流水!$E$5:$E$504,"供应商付款",资金流水!$B$5:$B$504,"&lt;"&amp;首页!$B$6))</f>
        <v/>
      </c>
      <c r="D45" s="54" t="str">
        <f aca="false">IF($A45="","",SUMIFS(采购录入!$S$5:$S$404,采购录入!$D$5:$D$404,$A45,采购录入!$C$5:$C$404,首页!$B$5))</f>
        <v/>
      </c>
      <c r="E45" s="54" t="str">
        <f aca="false">IF($A45="","",SUMIFS(资金流水!$N$5:$N$504,资金流水!$G$5:$G$504,$A45,资金流水!$E$5:$E$504,"供应商付款",资金流水!$C$5:$C$504,首页!$B$5))</f>
        <v/>
      </c>
      <c r="F45" s="62" t="str">
        <f aca="false">IF($A45="","",$C45+$D45-$E45)</f>
        <v/>
      </c>
      <c r="G45" s="44" t="str">
        <f aca="false">IF($A45="","",$F45-$H45-$I45-$J45-$K45)</f>
        <v/>
      </c>
      <c r="H45" s="44" t="str">
        <f aca="false">IF($A45="","",MIN($F45,MAX(0,SUMIFS(期初数据!$L$6:$L$155,期初数据!$J$6:$J$155,$A45,期初数据!$K$6:$K$155,"&lt;="&amp;首页!$B$7)+SUMIFS(采购录入!$S$5:$S$404,采购录入!$D$5:$D$404,$A45,采购录入!$T$5:$T$404,"&lt;="&amp;首页!$B$7)-SUMIFS(资金流水!$N$5:$N$504,资金流水!$G$5:$G$504,$A45,资金流水!$E$5:$E$504,"供应商付款",资金流水!$B$5:$B$504,"&lt;="&amp;首页!$B$7)))-$K45-$J45-$I45)</f>
        <v/>
      </c>
      <c r="I45" s="44" t="str">
        <f aca="false">IF($A45="","",MIN($F45,MAX(0,SUMIFS(期初数据!$L$6:$L$155,期初数据!$J$6:$J$155,$A45,期初数据!$K$6:$K$155,"&lt;="&amp;首页!$B$7-30)+SUMIFS(采购录入!$S$5:$S$404,采购录入!$D$5:$D$404,$A45,采购录入!$T$5:$T$404,"&lt;="&amp;首页!$B$7-30)-SUMIFS(资金流水!$N$5:$N$504,资金流水!$G$5:$G$504,$A45,资金流水!$E$5:$E$504,"供应商付款",资金流水!$B$5:$B$504,"&lt;="&amp;首页!$B$7)))-$K45-$J45)</f>
        <v/>
      </c>
      <c r="J45" s="44" t="str">
        <f aca="false">IF($A45="","",MIN($F45,MAX(0,SUMIFS(期初数据!$L$6:$L$155,期初数据!$J$6:$J$155,$A45,期初数据!$K$6:$K$155,"&lt;="&amp;首页!$B$7-60)+SUMIFS(采购录入!$S$5:$S$404,采购录入!$D$5:$D$404,$A45,采购录入!$T$5:$T$404,"&lt;="&amp;首页!$B$7-60)-SUMIFS(资金流水!$N$5:$N$504,资金流水!$G$5:$G$504,$A45,资金流水!$E$5:$E$504,"供应商付款",资金流水!$B$5:$B$504,"&lt;="&amp;首页!$B$7)))-$K45)</f>
        <v/>
      </c>
      <c r="K45" s="44" t="str">
        <f aca="false">IF($A45="","",MIN($F45,MAX(0,SUMIFS(期初数据!$L$6:$L$155,期初数据!$J$6:$J$155,$A45,期初数据!$K$6:$K$155,"&lt;="&amp;首页!$B$7-90)+SUMIFS(采购录入!$S$5:$S$404,采购录入!$D$5:$D$404,$A45,采购录入!$T$5:$T$404,"&lt;="&amp;首页!$B$7-90)-SUMIFS(资金流水!$N$5:$N$504,资金流水!$G$5:$G$504,$A45,资金流水!$E$5:$E$504,"供应商付款",资金流水!$B$5:$B$504,"&lt;="&amp;首页!$B$7))))</f>
        <v/>
      </c>
      <c r="L45" s="62" t="str">
        <f aca="false">IF($A45="","",$H45+$I45+$J45+$K45)</f>
        <v/>
      </c>
      <c r="M45" s="47" t="str">
        <f aca="false">IF($A45="","",IF($K45&gt;0,"高危",IF($J45&gt;0,"关注",IF($L45&gt;0,"提醒","正常"))))</f>
        <v/>
      </c>
      <c r="N45" s="42" t="str">
        <f aca="false">IF($A45="","",基础资料!$AG45)</f>
        <v/>
      </c>
    </row>
    <row r="46" customFormat="false" ht="15.75" hidden="false" customHeight="true" outlineLevel="0" collapsed="false">
      <c r="A46" s="35" t="str">
        <f aca="false">IF(基础资料!$AF46="","",基础资料!$AF46)</f>
        <v/>
      </c>
      <c r="B46" s="42" t="str">
        <f aca="false">IF($A46="","",N(基础资料!$AH46))</f>
        <v/>
      </c>
      <c r="C46" s="54" t="str">
        <f aca="false">IF($A46="","",SUMIFS(期初数据!$L$6:$L$155,期初数据!$J$6:$J$155,$A46,期初数据!$K$6:$K$155,"&lt;"&amp;首页!$B$6)+SUMIFS(采购录入!$S$5:$S$404,采购录入!$D$5:$D$404,$A46,采购录入!$B$5:$B$404,"&lt;"&amp;首页!$B$6)-SUMIFS(资金流水!$N$5:$N$504,资金流水!$G$5:$G$504,$A46,资金流水!$E$5:$E$504,"供应商付款",资金流水!$B$5:$B$504,"&lt;"&amp;首页!$B$6))</f>
        <v/>
      </c>
      <c r="D46" s="54" t="str">
        <f aca="false">IF($A46="","",SUMIFS(采购录入!$S$5:$S$404,采购录入!$D$5:$D$404,$A46,采购录入!$C$5:$C$404,首页!$B$5))</f>
        <v/>
      </c>
      <c r="E46" s="54" t="str">
        <f aca="false">IF($A46="","",SUMIFS(资金流水!$N$5:$N$504,资金流水!$G$5:$G$504,$A46,资金流水!$E$5:$E$504,"供应商付款",资金流水!$C$5:$C$504,首页!$B$5))</f>
        <v/>
      </c>
      <c r="F46" s="62" t="str">
        <f aca="false">IF($A46="","",$C46+$D46-$E46)</f>
        <v/>
      </c>
      <c r="G46" s="44" t="str">
        <f aca="false">IF($A46="","",$F46-$H46-$I46-$J46-$K46)</f>
        <v/>
      </c>
      <c r="H46" s="44" t="str">
        <f aca="false">IF($A46="","",MIN($F46,MAX(0,SUMIFS(期初数据!$L$6:$L$155,期初数据!$J$6:$J$155,$A46,期初数据!$K$6:$K$155,"&lt;="&amp;首页!$B$7)+SUMIFS(采购录入!$S$5:$S$404,采购录入!$D$5:$D$404,$A46,采购录入!$T$5:$T$404,"&lt;="&amp;首页!$B$7)-SUMIFS(资金流水!$N$5:$N$504,资金流水!$G$5:$G$504,$A46,资金流水!$E$5:$E$504,"供应商付款",资金流水!$B$5:$B$504,"&lt;="&amp;首页!$B$7)))-$K46-$J46-$I46)</f>
        <v/>
      </c>
      <c r="I46" s="44" t="str">
        <f aca="false">IF($A46="","",MIN($F46,MAX(0,SUMIFS(期初数据!$L$6:$L$155,期初数据!$J$6:$J$155,$A46,期初数据!$K$6:$K$155,"&lt;="&amp;首页!$B$7-30)+SUMIFS(采购录入!$S$5:$S$404,采购录入!$D$5:$D$404,$A46,采购录入!$T$5:$T$404,"&lt;="&amp;首页!$B$7-30)-SUMIFS(资金流水!$N$5:$N$504,资金流水!$G$5:$G$504,$A46,资金流水!$E$5:$E$504,"供应商付款",资金流水!$B$5:$B$504,"&lt;="&amp;首页!$B$7)))-$K46-$J46)</f>
        <v/>
      </c>
      <c r="J46" s="44" t="str">
        <f aca="false">IF($A46="","",MIN($F46,MAX(0,SUMIFS(期初数据!$L$6:$L$155,期初数据!$J$6:$J$155,$A46,期初数据!$K$6:$K$155,"&lt;="&amp;首页!$B$7-60)+SUMIFS(采购录入!$S$5:$S$404,采购录入!$D$5:$D$404,$A46,采购录入!$T$5:$T$404,"&lt;="&amp;首页!$B$7-60)-SUMIFS(资金流水!$N$5:$N$504,资金流水!$G$5:$G$504,$A46,资金流水!$E$5:$E$504,"供应商付款",资金流水!$B$5:$B$504,"&lt;="&amp;首页!$B$7)))-$K46)</f>
        <v/>
      </c>
      <c r="K46" s="44" t="str">
        <f aca="false">IF($A46="","",MIN($F46,MAX(0,SUMIFS(期初数据!$L$6:$L$155,期初数据!$J$6:$J$155,$A46,期初数据!$K$6:$K$155,"&lt;="&amp;首页!$B$7-90)+SUMIFS(采购录入!$S$5:$S$404,采购录入!$D$5:$D$404,$A46,采购录入!$T$5:$T$404,"&lt;="&amp;首页!$B$7-90)-SUMIFS(资金流水!$N$5:$N$504,资金流水!$G$5:$G$504,$A46,资金流水!$E$5:$E$504,"供应商付款",资金流水!$B$5:$B$504,"&lt;="&amp;首页!$B$7))))</f>
        <v/>
      </c>
      <c r="L46" s="62" t="str">
        <f aca="false">IF($A46="","",$H46+$I46+$J46+$K46)</f>
        <v/>
      </c>
      <c r="M46" s="47" t="str">
        <f aca="false">IF($A46="","",IF($K46&gt;0,"高危",IF($J46&gt;0,"关注",IF($L46&gt;0,"提醒","正常"))))</f>
        <v/>
      </c>
      <c r="N46" s="42" t="str">
        <f aca="false">IF($A46="","",基础资料!$AG46)</f>
        <v/>
      </c>
    </row>
    <row r="47" customFormat="false" ht="15.75" hidden="false" customHeight="true" outlineLevel="0" collapsed="false">
      <c r="A47" s="35" t="str">
        <f aca="false">IF(基础资料!$AF47="","",基础资料!$AF47)</f>
        <v/>
      </c>
      <c r="B47" s="42" t="str">
        <f aca="false">IF($A47="","",N(基础资料!$AH47))</f>
        <v/>
      </c>
      <c r="C47" s="54" t="str">
        <f aca="false">IF($A47="","",SUMIFS(期初数据!$L$6:$L$155,期初数据!$J$6:$J$155,$A47,期初数据!$K$6:$K$155,"&lt;"&amp;首页!$B$6)+SUMIFS(采购录入!$S$5:$S$404,采购录入!$D$5:$D$404,$A47,采购录入!$B$5:$B$404,"&lt;"&amp;首页!$B$6)-SUMIFS(资金流水!$N$5:$N$504,资金流水!$G$5:$G$504,$A47,资金流水!$E$5:$E$504,"供应商付款",资金流水!$B$5:$B$504,"&lt;"&amp;首页!$B$6))</f>
        <v/>
      </c>
      <c r="D47" s="54" t="str">
        <f aca="false">IF($A47="","",SUMIFS(采购录入!$S$5:$S$404,采购录入!$D$5:$D$404,$A47,采购录入!$C$5:$C$404,首页!$B$5))</f>
        <v/>
      </c>
      <c r="E47" s="54" t="str">
        <f aca="false">IF($A47="","",SUMIFS(资金流水!$N$5:$N$504,资金流水!$G$5:$G$504,$A47,资金流水!$E$5:$E$504,"供应商付款",资金流水!$C$5:$C$504,首页!$B$5))</f>
        <v/>
      </c>
      <c r="F47" s="62" t="str">
        <f aca="false">IF($A47="","",$C47+$D47-$E47)</f>
        <v/>
      </c>
      <c r="G47" s="44" t="str">
        <f aca="false">IF($A47="","",$F47-$H47-$I47-$J47-$K47)</f>
        <v/>
      </c>
      <c r="H47" s="44" t="str">
        <f aca="false">IF($A47="","",MIN($F47,MAX(0,SUMIFS(期初数据!$L$6:$L$155,期初数据!$J$6:$J$155,$A47,期初数据!$K$6:$K$155,"&lt;="&amp;首页!$B$7)+SUMIFS(采购录入!$S$5:$S$404,采购录入!$D$5:$D$404,$A47,采购录入!$T$5:$T$404,"&lt;="&amp;首页!$B$7)-SUMIFS(资金流水!$N$5:$N$504,资金流水!$G$5:$G$504,$A47,资金流水!$E$5:$E$504,"供应商付款",资金流水!$B$5:$B$504,"&lt;="&amp;首页!$B$7)))-$K47-$J47-$I47)</f>
        <v/>
      </c>
      <c r="I47" s="44" t="str">
        <f aca="false">IF($A47="","",MIN($F47,MAX(0,SUMIFS(期初数据!$L$6:$L$155,期初数据!$J$6:$J$155,$A47,期初数据!$K$6:$K$155,"&lt;="&amp;首页!$B$7-30)+SUMIFS(采购录入!$S$5:$S$404,采购录入!$D$5:$D$404,$A47,采购录入!$T$5:$T$404,"&lt;="&amp;首页!$B$7-30)-SUMIFS(资金流水!$N$5:$N$504,资金流水!$G$5:$G$504,$A47,资金流水!$E$5:$E$504,"供应商付款",资金流水!$B$5:$B$504,"&lt;="&amp;首页!$B$7)))-$K47-$J47)</f>
        <v/>
      </c>
      <c r="J47" s="44" t="str">
        <f aca="false">IF($A47="","",MIN($F47,MAX(0,SUMIFS(期初数据!$L$6:$L$155,期初数据!$J$6:$J$155,$A47,期初数据!$K$6:$K$155,"&lt;="&amp;首页!$B$7-60)+SUMIFS(采购录入!$S$5:$S$404,采购录入!$D$5:$D$404,$A47,采购录入!$T$5:$T$404,"&lt;="&amp;首页!$B$7-60)-SUMIFS(资金流水!$N$5:$N$504,资金流水!$G$5:$G$504,$A47,资金流水!$E$5:$E$504,"供应商付款",资金流水!$B$5:$B$504,"&lt;="&amp;首页!$B$7)))-$K47)</f>
        <v/>
      </c>
      <c r="K47" s="44" t="str">
        <f aca="false">IF($A47="","",MIN($F47,MAX(0,SUMIFS(期初数据!$L$6:$L$155,期初数据!$J$6:$J$155,$A47,期初数据!$K$6:$K$155,"&lt;="&amp;首页!$B$7-90)+SUMIFS(采购录入!$S$5:$S$404,采购录入!$D$5:$D$404,$A47,采购录入!$T$5:$T$404,"&lt;="&amp;首页!$B$7-90)-SUMIFS(资金流水!$N$5:$N$504,资金流水!$G$5:$G$504,$A47,资金流水!$E$5:$E$504,"供应商付款",资金流水!$B$5:$B$504,"&lt;="&amp;首页!$B$7))))</f>
        <v/>
      </c>
      <c r="L47" s="62" t="str">
        <f aca="false">IF($A47="","",$H47+$I47+$J47+$K47)</f>
        <v/>
      </c>
      <c r="M47" s="47" t="str">
        <f aca="false">IF($A47="","",IF($K47&gt;0,"高危",IF($J47&gt;0,"关注",IF($L47&gt;0,"提醒","正常"))))</f>
        <v/>
      </c>
      <c r="N47" s="42" t="str">
        <f aca="false">IF($A47="","",基础资料!$AG47)</f>
        <v/>
      </c>
    </row>
    <row r="48" customFormat="false" ht="15.75" hidden="false" customHeight="true" outlineLevel="0" collapsed="false">
      <c r="A48" s="35" t="str">
        <f aca="false">IF(基础资料!$AF48="","",基础资料!$AF48)</f>
        <v/>
      </c>
      <c r="B48" s="42" t="str">
        <f aca="false">IF($A48="","",N(基础资料!$AH48))</f>
        <v/>
      </c>
      <c r="C48" s="54" t="str">
        <f aca="false">IF($A48="","",SUMIFS(期初数据!$L$6:$L$155,期初数据!$J$6:$J$155,$A48,期初数据!$K$6:$K$155,"&lt;"&amp;首页!$B$6)+SUMIFS(采购录入!$S$5:$S$404,采购录入!$D$5:$D$404,$A48,采购录入!$B$5:$B$404,"&lt;"&amp;首页!$B$6)-SUMIFS(资金流水!$N$5:$N$504,资金流水!$G$5:$G$504,$A48,资金流水!$E$5:$E$504,"供应商付款",资金流水!$B$5:$B$504,"&lt;"&amp;首页!$B$6))</f>
        <v/>
      </c>
      <c r="D48" s="54" t="str">
        <f aca="false">IF($A48="","",SUMIFS(采购录入!$S$5:$S$404,采购录入!$D$5:$D$404,$A48,采购录入!$C$5:$C$404,首页!$B$5))</f>
        <v/>
      </c>
      <c r="E48" s="54" t="str">
        <f aca="false">IF($A48="","",SUMIFS(资金流水!$N$5:$N$504,资金流水!$G$5:$G$504,$A48,资金流水!$E$5:$E$504,"供应商付款",资金流水!$C$5:$C$504,首页!$B$5))</f>
        <v/>
      </c>
      <c r="F48" s="62" t="str">
        <f aca="false">IF($A48="","",$C48+$D48-$E48)</f>
        <v/>
      </c>
      <c r="G48" s="44" t="str">
        <f aca="false">IF($A48="","",$F48-$H48-$I48-$J48-$K48)</f>
        <v/>
      </c>
      <c r="H48" s="44" t="str">
        <f aca="false">IF($A48="","",MIN($F48,MAX(0,SUMIFS(期初数据!$L$6:$L$155,期初数据!$J$6:$J$155,$A48,期初数据!$K$6:$K$155,"&lt;="&amp;首页!$B$7)+SUMIFS(采购录入!$S$5:$S$404,采购录入!$D$5:$D$404,$A48,采购录入!$T$5:$T$404,"&lt;="&amp;首页!$B$7)-SUMIFS(资金流水!$N$5:$N$504,资金流水!$G$5:$G$504,$A48,资金流水!$E$5:$E$504,"供应商付款",资金流水!$B$5:$B$504,"&lt;="&amp;首页!$B$7)))-$K48-$J48-$I48)</f>
        <v/>
      </c>
      <c r="I48" s="44" t="str">
        <f aca="false">IF($A48="","",MIN($F48,MAX(0,SUMIFS(期初数据!$L$6:$L$155,期初数据!$J$6:$J$155,$A48,期初数据!$K$6:$K$155,"&lt;="&amp;首页!$B$7-30)+SUMIFS(采购录入!$S$5:$S$404,采购录入!$D$5:$D$404,$A48,采购录入!$T$5:$T$404,"&lt;="&amp;首页!$B$7-30)-SUMIFS(资金流水!$N$5:$N$504,资金流水!$G$5:$G$504,$A48,资金流水!$E$5:$E$504,"供应商付款",资金流水!$B$5:$B$504,"&lt;="&amp;首页!$B$7)))-$K48-$J48)</f>
        <v/>
      </c>
      <c r="J48" s="44" t="str">
        <f aca="false">IF($A48="","",MIN($F48,MAX(0,SUMIFS(期初数据!$L$6:$L$155,期初数据!$J$6:$J$155,$A48,期初数据!$K$6:$K$155,"&lt;="&amp;首页!$B$7-60)+SUMIFS(采购录入!$S$5:$S$404,采购录入!$D$5:$D$404,$A48,采购录入!$T$5:$T$404,"&lt;="&amp;首页!$B$7-60)-SUMIFS(资金流水!$N$5:$N$504,资金流水!$G$5:$G$504,$A48,资金流水!$E$5:$E$504,"供应商付款",资金流水!$B$5:$B$504,"&lt;="&amp;首页!$B$7)))-$K48)</f>
        <v/>
      </c>
      <c r="K48" s="44" t="str">
        <f aca="false">IF($A48="","",MIN($F48,MAX(0,SUMIFS(期初数据!$L$6:$L$155,期初数据!$J$6:$J$155,$A48,期初数据!$K$6:$K$155,"&lt;="&amp;首页!$B$7-90)+SUMIFS(采购录入!$S$5:$S$404,采购录入!$D$5:$D$404,$A48,采购录入!$T$5:$T$404,"&lt;="&amp;首页!$B$7-90)-SUMIFS(资金流水!$N$5:$N$504,资金流水!$G$5:$G$504,$A48,资金流水!$E$5:$E$504,"供应商付款",资金流水!$B$5:$B$504,"&lt;="&amp;首页!$B$7))))</f>
        <v/>
      </c>
      <c r="L48" s="62" t="str">
        <f aca="false">IF($A48="","",$H48+$I48+$J48+$K48)</f>
        <v/>
      </c>
      <c r="M48" s="47" t="str">
        <f aca="false">IF($A48="","",IF($K48&gt;0,"高危",IF($J48&gt;0,"关注",IF($L48&gt;0,"提醒","正常"))))</f>
        <v/>
      </c>
      <c r="N48" s="42" t="str">
        <f aca="false">IF($A48="","",基础资料!$AG48)</f>
        <v/>
      </c>
    </row>
    <row r="49" customFormat="false" ht="15.75" hidden="false" customHeight="true" outlineLevel="0" collapsed="false">
      <c r="A49" s="35" t="str">
        <f aca="false">IF(基础资料!$AF49="","",基础资料!$AF49)</f>
        <v/>
      </c>
      <c r="B49" s="42" t="str">
        <f aca="false">IF($A49="","",N(基础资料!$AH49))</f>
        <v/>
      </c>
      <c r="C49" s="54" t="str">
        <f aca="false">IF($A49="","",SUMIFS(期初数据!$L$6:$L$155,期初数据!$J$6:$J$155,$A49,期初数据!$K$6:$K$155,"&lt;"&amp;首页!$B$6)+SUMIFS(采购录入!$S$5:$S$404,采购录入!$D$5:$D$404,$A49,采购录入!$B$5:$B$404,"&lt;"&amp;首页!$B$6)-SUMIFS(资金流水!$N$5:$N$504,资金流水!$G$5:$G$504,$A49,资金流水!$E$5:$E$504,"供应商付款",资金流水!$B$5:$B$504,"&lt;"&amp;首页!$B$6))</f>
        <v/>
      </c>
      <c r="D49" s="54" t="str">
        <f aca="false">IF($A49="","",SUMIFS(采购录入!$S$5:$S$404,采购录入!$D$5:$D$404,$A49,采购录入!$C$5:$C$404,首页!$B$5))</f>
        <v/>
      </c>
      <c r="E49" s="54" t="str">
        <f aca="false">IF($A49="","",SUMIFS(资金流水!$N$5:$N$504,资金流水!$G$5:$G$504,$A49,资金流水!$E$5:$E$504,"供应商付款",资金流水!$C$5:$C$504,首页!$B$5))</f>
        <v/>
      </c>
      <c r="F49" s="62" t="str">
        <f aca="false">IF($A49="","",$C49+$D49-$E49)</f>
        <v/>
      </c>
      <c r="G49" s="44" t="str">
        <f aca="false">IF($A49="","",$F49-$H49-$I49-$J49-$K49)</f>
        <v/>
      </c>
      <c r="H49" s="44" t="str">
        <f aca="false">IF($A49="","",MIN($F49,MAX(0,SUMIFS(期初数据!$L$6:$L$155,期初数据!$J$6:$J$155,$A49,期初数据!$K$6:$K$155,"&lt;="&amp;首页!$B$7)+SUMIFS(采购录入!$S$5:$S$404,采购录入!$D$5:$D$404,$A49,采购录入!$T$5:$T$404,"&lt;="&amp;首页!$B$7)-SUMIFS(资金流水!$N$5:$N$504,资金流水!$G$5:$G$504,$A49,资金流水!$E$5:$E$504,"供应商付款",资金流水!$B$5:$B$504,"&lt;="&amp;首页!$B$7)))-$K49-$J49-$I49)</f>
        <v/>
      </c>
      <c r="I49" s="44" t="str">
        <f aca="false">IF($A49="","",MIN($F49,MAX(0,SUMIFS(期初数据!$L$6:$L$155,期初数据!$J$6:$J$155,$A49,期初数据!$K$6:$K$155,"&lt;="&amp;首页!$B$7-30)+SUMIFS(采购录入!$S$5:$S$404,采购录入!$D$5:$D$404,$A49,采购录入!$T$5:$T$404,"&lt;="&amp;首页!$B$7-30)-SUMIFS(资金流水!$N$5:$N$504,资金流水!$G$5:$G$504,$A49,资金流水!$E$5:$E$504,"供应商付款",资金流水!$B$5:$B$504,"&lt;="&amp;首页!$B$7)))-$K49-$J49)</f>
        <v/>
      </c>
      <c r="J49" s="44" t="str">
        <f aca="false">IF($A49="","",MIN($F49,MAX(0,SUMIFS(期初数据!$L$6:$L$155,期初数据!$J$6:$J$155,$A49,期初数据!$K$6:$K$155,"&lt;="&amp;首页!$B$7-60)+SUMIFS(采购录入!$S$5:$S$404,采购录入!$D$5:$D$404,$A49,采购录入!$T$5:$T$404,"&lt;="&amp;首页!$B$7-60)-SUMIFS(资金流水!$N$5:$N$504,资金流水!$G$5:$G$504,$A49,资金流水!$E$5:$E$504,"供应商付款",资金流水!$B$5:$B$504,"&lt;="&amp;首页!$B$7)))-$K49)</f>
        <v/>
      </c>
      <c r="K49" s="44" t="str">
        <f aca="false">IF($A49="","",MIN($F49,MAX(0,SUMIFS(期初数据!$L$6:$L$155,期初数据!$J$6:$J$155,$A49,期初数据!$K$6:$K$155,"&lt;="&amp;首页!$B$7-90)+SUMIFS(采购录入!$S$5:$S$404,采购录入!$D$5:$D$404,$A49,采购录入!$T$5:$T$404,"&lt;="&amp;首页!$B$7-90)-SUMIFS(资金流水!$N$5:$N$504,资金流水!$G$5:$G$504,$A49,资金流水!$E$5:$E$504,"供应商付款",资金流水!$B$5:$B$504,"&lt;="&amp;首页!$B$7))))</f>
        <v/>
      </c>
      <c r="L49" s="62" t="str">
        <f aca="false">IF($A49="","",$H49+$I49+$J49+$K49)</f>
        <v/>
      </c>
      <c r="M49" s="47" t="str">
        <f aca="false">IF($A49="","",IF($K49&gt;0,"高危",IF($J49&gt;0,"关注",IF($L49&gt;0,"提醒","正常"))))</f>
        <v/>
      </c>
      <c r="N49" s="42" t="str">
        <f aca="false">IF($A49="","",基础资料!$AG49)</f>
        <v/>
      </c>
    </row>
    <row r="50" customFormat="false" ht="15.75" hidden="false" customHeight="true" outlineLevel="0" collapsed="false">
      <c r="A50" s="35" t="str">
        <f aca="false">IF(基础资料!$AF50="","",基础资料!$AF50)</f>
        <v/>
      </c>
      <c r="B50" s="42" t="str">
        <f aca="false">IF($A50="","",N(基础资料!$AH50))</f>
        <v/>
      </c>
      <c r="C50" s="54" t="str">
        <f aca="false">IF($A50="","",SUMIFS(期初数据!$L$6:$L$155,期初数据!$J$6:$J$155,$A50,期初数据!$K$6:$K$155,"&lt;"&amp;首页!$B$6)+SUMIFS(采购录入!$S$5:$S$404,采购录入!$D$5:$D$404,$A50,采购录入!$B$5:$B$404,"&lt;"&amp;首页!$B$6)-SUMIFS(资金流水!$N$5:$N$504,资金流水!$G$5:$G$504,$A50,资金流水!$E$5:$E$504,"供应商付款",资金流水!$B$5:$B$504,"&lt;"&amp;首页!$B$6))</f>
        <v/>
      </c>
      <c r="D50" s="54" t="str">
        <f aca="false">IF($A50="","",SUMIFS(采购录入!$S$5:$S$404,采购录入!$D$5:$D$404,$A50,采购录入!$C$5:$C$404,首页!$B$5))</f>
        <v/>
      </c>
      <c r="E50" s="54" t="str">
        <f aca="false">IF($A50="","",SUMIFS(资金流水!$N$5:$N$504,资金流水!$G$5:$G$504,$A50,资金流水!$E$5:$E$504,"供应商付款",资金流水!$C$5:$C$504,首页!$B$5))</f>
        <v/>
      </c>
      <c r="F50" s="62" t="str">
        <f aca="false">IF($A50="","",$C50+$D50-$E50)</f>
        <v/>
      </c>
      <c r="G50" s="44" t="str">
        <f aca="false">IF($A50="","",$F50-$H50-$I50-$J50-$K50)</f>
        <v/>
      </c>
      <c r="H50" s="44" t="str">
        <f aca="false">IF($A50="","",MIN($F50,MAX(0,SUMIFS(期初数据!$L$6:$L$155,期初数据!$J$6:$J$155,$A50,期初数据!$K$6:$K$155,"&lt;="&amp;首页!$B$7)+SUMIFS(采购录入!$S$5:$S$404,采购录入!$D$5:$D$404,$A50,采购录入!$T$5:$T$404,"&lt;="&amp;首页!$B$7)-SUMIFS(资金流水!$N$5:$N$504,资金流水!$G$5:$G$504,$A50,资金流水!$E$5:$E$504,"供应商付款",资金流水!$B$5:$B$504,"&lt;="&amp;首页!$B$7)))-$K50-$J50-$I50)</f>
        <v/>
      </c>
      <c r="I50" s="44" t="str">
        <f aca="false">IF($A50="","",MIN($F50,MAX(0,SUMIFS(期初数据!$L$6:$L$155,期初数据!$J$6:$J$155,$A50,期初数据!$K$6:$K$155,"&lt;="&amp;首页!$B$7-30)+SUMIFS(采购录入!$S$5:$S$404,采购录入!$D$5:$D$404,$A50,采购录入!$T$5:$T$404,"&lt;="&amp;首页!$B$7-30)-SUMIFS(资金流水!$N$5:$N$504,资金流水!$G$5:$G$504,$A50,资金流水!$E$5:$E$504,"供应商付款",资金流水!$B$5:$B$504,"&lt;="&amp;首页!$B$7)))-$K50-$J50)</f>
        <v/>
      </c>
      <c r="J50" s="44" t="str">
        <f aca="false">IF($A50="","",MIN($F50,MAX(0,SUMIFS(期初数据!$L$6:$L$155,期初数据!$J$6:$J$155,$A50,期初数据!$K$6:$K$155,"&lt;="&amp;首页!$B$7-60)+SUMIFS(采购录入!$S$5:$S$404,采购录入!$D$5:$D$404,$A50,采购录入!$T$5:$T$404,"&lt;="&amp;首页!$B$7-60)-SUMIFS(资金流水!$N$5:$N$504,资金流水!$G$5:$G$504,$A50,资金流水!$E$5:$E$504,"供应商付款",资金流水!$B$5:$B$504,"&lt;="&amp;首页!$B$7)))-$K50)</f>
        <v/>
      </c>
      <c r="K50" s="44" t="str">
        <f aca="false">IF($A50="","",MIN($F50,MAX(0,SUMIFS(期初数据!$L$6:$L$155,期初数据!$J$6:$J$155,$A50,期初数据!$K$6:$K$155,"&lt;="&amp;首页!$B$7-90)+SUMIFS(采购录入!$S$5:$S$404,采购录入!$D$5:$D$404,$A50,采购录入!$T$5:$T$404,"&lt;="&amp;首页!$B$7-90)-SUMIFS(资金流水!$N$5:$N$504,资金流水!$G$5:$G$504,$A50,资金流水!$E$5:$E$504,"供应商付款",资金流水!$B$5:$B$504,"&lt;="&amp;首页!$B$7))))</f>
        <v/>
      </c>
      <c r="L50" s="62" t="str">
        <f aca="false">IF($A50="","",$H50+$I50+$J50+$K50)</f>
        <v/>
      </c>
      <c r="M50" s="47" t="str">
        <f aca="false">IF($A50="","",IF($K50&gt;0,"高危",IF($J50&gt;0,"关注",IF($L50&gt;0,"提醒","正常"))))</f>
        <v/>
      </c>
      <c r="N50" s="42" t="str">
        <f aca="false">IF($A50="","",基础资料!$AG50)</f>
        <v/>
      </c>
    </row>
    <row r="51" customFormat="false" ht="15.75" hidden="false" customHeight="true" outlineLevel="0" collapsed="false">
      <c r="A51" s="35" t="str">
        <f aca="false">IF(基础资料!$AF51="","",基础资料!$AF51)</f>
        <v/>
      </c>
      <c r="B51" s="42" t="str">
        <f aca="false">IF($A51="","",N(基础资料!$AH51))</f>
        <v/>
      </c>
      <c r="C51" s="54" t="str">
        <f aca="false">IF($A51="","",SUMIFS(期初数据!$L$6:$L$155,期初数据!$J$6:$J$155,$A51,期初数据!$K$6:$K$155,"&lt;"&amp;首页!$B$6)+SUMIFS(采购录入!$S$5:$S$404,采购录入!$D$5:$D$404,$A51,采购录入!$B$5:$B$404,"&lt;"&amp;首页!$B$6)-SUMIFS(资金流水!$N$5:$N$504,资金流水!$G$5:$G$504,$A51,资金流水!$E$5:$E$504,"供应商付款",资金流水!$B$5:$B$504,"&lt;"&amp;首页!$B$6))</f>
        <v/>
      </c>
      <c r="D51" s="54" t="str">
        <f aca="false">IF($A51="","",SUMIFS(采购录入!$S$5:$S$404,采购录入!$D$5:$D$404,$A51,采购录入!$C$5:$C$404,首页!$B$5))</f>
        <v/>
      </c>
      <c r="E51" s="54" t="str">
        <f aca="false">IF($A51="","",SUMIFS(资金流水!$N$5:$N$504,资金流水!$G$5:$G$504,$A51,资金流水!$E$5:$E$504,"供应商付款",资金流水!$C$5:$C$504,首页!$B$5))</f>
        <v/>
      </c>
      <c r="F51" s="62" t="str">
        <f aca="false">IF($A51="","",$C51+$D51-$E51)</f>
        <v/>
      </c>
      <c r="G51" s="44" t="str">
        <f aca="false">IF($A51="","",$F51-$H51-$I51-$J51-$K51)</f>
        <v/>
      </c>
      <c r="H51" s="44" t="str">
        <f aca="false">IF($A51="","",MIN($F51,MAX(0,SUMIFS(期初数据!$L$6:$L$155,期初数据!$J$6:$J$155,$A51,期初数据!$K$6:$K$155,"&lt;="&amp;首页!$B$7)+SUMIFS(采购录入!$S$5:$S$404,采购录入!$D$5:$D$404,$A51,采购录入!$T$5:$T$404,"&lt;="&amp;首页!$B$7)-SUMIFS(资金流水!$N$5:$N$504,资金流水!$G$5:$G$504,$A51,资金流水!$E$5:$E$504,"供应商付款",资金流水!$B$5:$B$504,"&lt;="&amp;首页!$B$7)))-$K51-$J51-$I51)</f>
        <v/>
      </c>
      <c r="I51" s="44" t="str">
        <f aca="false">IF($A51="","",MIN($F51,MAX(0,SUMIFS(期初数据!$L$6:$L$155,期初数据!$J$6:$J$155,$A51,期初数据!$K$6:$K$155,"&lt;="&amp;首页!$B$7-30)+SUMIFS(采购录入!$S$5:$S$404,采购录入!$D$5:$D$404,$A51,采购录入!$T$5:$T$404,"&lt;="&amp;首页!$B$7-30)-SUMIFS(资金流水!$N$5:$N$504,资金流水!$G$5:$G$504,$A51,资金流水!$E$5:$E$504,"供应商付款",资金流水!$B$5:$B$504,"&lt;="&amp;首页!$B$7)))-$K51-$J51)</f>
        <v/>
      </c>
      <c r="J51" s="44" t="str">
        <f aca="false">IF($A51="","",MIN($F51,MAX(0,SUMIFS(期初数据!$L$6:$L$155,期初数据!$J$6:$J$155,$A51,期初数据!$K$6:$K$155,"&lt;="&amp;首页!$B$7-60)+SUMIFS(采购录入!$S$5:$S$404,采购录入!$D$5:$D$404,$A51,采购录入!$T$5:$T$404,"&lt;="&amp;首页!$B$7-60)-SUMIFS(资金流水!$N$5:$N$504,资金流水!$G$5:$G$504,$A51,资金流水!$E$5:$E$504,"供应商付款",资金流水!$B$5:$B$504,"&lt;="&amp;首页!$B$7)))-$K51)</f>
        <v/>
      </c>
      <c r="K51" s="44" t="str">
        <f aca="false">IF($A51="","",MIN($F51,MAX(0,SUMIFS(期初数据!$L$6:$L$155,期初数据!$J$6:$J$155,$A51,期初数据!$K$6:$K$155,"&lt;="&amp;首页!$B$7-90)+SUMIFS(采购录入!$S$5:$S$404,采购录入!$D$5:$D$404,$A51,采购录入!$T$5:$T$404,"&lt;="&amp;首页!$B$7-90)-SUMIFS(资金流水!$N$5:$N$504,资金流水!$G$5:$G$504,$A51,资金流水!$E$5:$E$504,"供应商付款",资金流水!$B$5:$B$504,"&lt;="&amp;首页!$B$7))))</f>
        <v/>
      </c>
      <c r="L51" s="62" t="str">
        <f aca="false">IF($A51="","",$H51+$I51+$J51+$K51)</f>
        <v/>
      </c>
      <c r="M51" s="47" t="str">
        <f aca="false">IF($A51="","",IF($K51&gt;0,"高危",IF($J51&gt;0,"关注",IF($L51&gt;0,"提醒","正常"))))</f>
        <v/>
      </c>
      <c r="N51" s="42" t="str">
        <f aca="false">IF($A51="","",基础资料!$AG51)</f>
        <v/>
      </c>
    </row>
    <row r="52" customFormat="false" ht="15.75" hidden="false" customHeight="true" outlineLevel="0" collapsed="false">
      <c r="A52" s="35" t="str">
        <f aca="false">IF(基础资料!$AF52="","",基础资料!$AF52)</f>
        <v/>
      </c>
      <c r="B52" s="42" t="str">
        <f aca="false">IF($A52="","",N(基础资料!$AH52))</f>
        <v/>
      </c>
      <c r="C52" s="54" t="str">
        <f aca="false">IF($A52="","",SUMIFS(期初数据!$L$6:$L$155,期初数据!$J$6:$J$155,$A52,期初数据!$K$6:$K$155,"&lt;"&amp;首页!$B$6)+SUMIFS(采购录入!$S$5:$S$404,采购录入!$D$5:$D$404,$A52,采购录入!$B$5:$B$404,"&lt;"&amp;首页!$B$6)-SUMIFS(资金流水!$N$5:$N$504,资金流水!$G$5:$G$504,$A52,资金流水!$E$5:$E$504,"供应商付款",资金流水!$B$5:$B$504,"&lt;"&amp;首页!$B$6))</f>
        <v/>
      </c>
      <c r="D52" s="54" t="str">
        <f aca="false">IF($A52="","",SUMIFS(采购录入!$S$5:$S$404,采购录入!$D$5:$D$404,$A52,采购录入!$C$5:$C$404,首页!$B$5))</f>
        <v/>
      </c>
      <c r="E52" s="54" t="str">
        <f aca="false">IF($A52="","",SUMIFS(资金流水!$N$5:$N$504,资金流水!$G$5:$G$504,$A52,资金流水!$E$5:$E$504,"供应商付款",资金流水!$C$5:$C$504,首页!$B$5))</f>
        <v/>
      </c>
      <c r="F52" s="62" t="str">
        <f aca="false">IF($A52="","",$C52+$D52-$E52)</f>
        <v/>
      </c>
      <c r="G52" s="44" t="str">
        <f aca="false">IF($A52="","",$F52-$H52-$I52-$J52-$K52)</f>
        <v/>
      </c>
      <c r="H52" s="44" t="str">
        <f aca="false">IF($A52="","",MIN($F52,MAX(0,SUMIFS(期初数据!$L$6:$L$155,期初数据!$J$6:$J$155,$A52,期初数据!$K$6:$K$155,"&lt;="&amp;首页!$B$7)+SUMIFS(采购录入!$S$5:$S$404,采购录入!$D$5:$D$404,$A52,采购录入!$T$5:$T$404,"&lt;="&amp;首页!$B$7)-SUMIFS(资金流水!$N$5:$N$504,资金流水!$G$5:$G$504,$A52,资金流水!$E$5:$E$504,"供应商付款",资金流水!$B$5:$B$504,"&lt;="&amp;首页!$B$7)))-$K52-$J52-$I52)</f>
        <v/>
      </c>
      <c r="I52" s="44" t="str">
        <f aca="false">IF($A52="","",MIN($F52,MAX(0,SUMIFS(期初数据!$L$6:$L$155,期初数据!$J$6:$J$155,$A52,期初数据!$K$6:$K$155,"&lt;="&amp;首页!$B$7-30)+SUMIFS(采购录入!$S$5:$S$404,采购录入!$D$5:$D$404,$A52,采购录入!$T$5:$T$404,"&lt;="&amp;首页!$B$7-30)-SUMIFS(资金流水!$N$5:$N$504,资金流水!$G$5:$G$504,$A52,资金流水!$E$5:$E$504,"供应商付款",资金流水!$B$5:$B$504,"&lt;="&amp;首页!$B$7)))-$K52-$J52)</f>
        <v/>
      </c>
      <c r="J52" s="44" t="str">
        <f aca="false">IF($A52="","",MIN($F52,MAX(0,SUMIFS(期初数据!$L$6:$L$155,期初数据!$J$6:$J$155,$A52,期初数据!$K$6:$K$155,"&lt;="&amp;首页!$B$7-60)+SUMIFS(采购录入!$S$5:$S$404,采购录入!$D$5:$D$404,$A52,采购录入!$T$5:$T$404,"&lt;="&amp;首页!$B$7-60)-SUMIFS(资金流水!$N$5:$N$504,资金流水!$G$5:$G$504,$A52,资金流水!$E$5:$E$504,"供应商付款",资金流水!$B$5:$B$504,"&lt;="&amp;首页!$B$7)))-$K52)</f>
        <v/>
      </c>
      <c r="K52" s="44" t="str">
        <f aca="false">IF($A52="","",MIN($F52,MAX(0,SUMIFS(期初数据!$L$6:$L$155,期初数据!$J$6:$J$155,$A52,期初数据!$K$6:$K$155,"&lt;="&amp;首页!$B$7-90)+SUMIFS(采购录入!$S$5:$S$404,采购录入!$D$5:$D$404,$A52,采购录入!$T$5:$T$404,"&lt;="&amp;首页!$B$7-90)-SUMIFS(资金流水!$N$5:$N$504,资金流水!$G$5:$G$504,$A52,资金流水!$E$5:$E$504,"供应商付款",资金流水!$B$5:$B$504,"&lt;="&amp;首页!$B$7))))</f>
        <v/>
      </c>
      <c r="L52" s="62" t="str">
        <f aca="false">IF($A52="","",$H52+$I52+$J52+$K52)</f>
        <v/>
      </c>
      <c r="M52" s="47" t="str">
        <f aca="false">IF($A52="","",IF($K52&gt;0,"高危",IF($J52&gt;0,"关注",IF($L52&gt;0,"提醒","正常"))))</f>
        <v/>
      </c>
      <c r="N52" s="42" t="str">
        <f aca="false">IF($A52="","",基础资料!$AG52)</f>
        <v/>
      </c>
    </row>
    <row r="53" customFormat="false" ht="15.75" hidden="false" customHeight="true" outlineLevel="0" collapsed="false">
      <c r="A53" s="35" t="str">
        <f aca="false">IF(基础资料!$AF53="","",基础资料!$AF53)</f>
        <v/>
      </c>
      <c r="B53" s="42" t="str">
        <f aca="false">IF($A53="","",N(基础资料!$AH53))</f>
        <v/>
      </c>
      <c r="C53" s="54" t="str">
        <f aca="false">IF($A53="","",SUMIFS(期初数据!$L$6:$L$155,期初数据!$J$6:$J$155,$A53,期初数据!$K$6:$K$155,"&lt;"&amp;首页!$B$6)+SUMIFS(采购录入!$S$5:$S$404,采购录入!$D$5:$D$404,$A53,采购录入!$B$5:$B$404,"&lt;"&amp;首页!$B$6)-SUMIFS(资金流水!$N$5:$N$504,资金流水!$G$5:$G$504,$A53,资金流水!$E$5:$E$504,"供应商付款",资金流水!$B$5:$B$504,"&lt;"&amp;首页!$B$6))</f>
        <v/>
      </c>
      <c r="D53" s="54" t="str">
        <f aca="false">IF($A53="","",SUMIFS(采购录入!$S$5:$S$404,采购录入!$D$5:$D$404,$A53,采购录入!$C$5:$C$404,首页!$B$5))</f>
        <v/>
      </c>
      <c r="E53" s="54" t="str">
        <f aca="false">IF($A53="","",SUMIFS(资金流水!$N$5:$N$504,资金流水!$G$5:$G$504,$A53,资金流水!$E$5:$E$504,"供应商付款",资金流水!$C$5:$C$504,首页!$B$5))</f>
        <v/>
      </c>
      <c r="F53" s="62" t="str">
        <f aca="false">IF($A53="","",$C53+$D53-$E53)</f>
        <v/>
      </c>
      <c r="G53" s="44" t="str">
        <f aca="false">IF($A53="","",$F53-$H53-$I53-$J53-$K53)</f>
        <v/>
      </c>
      <c r="H53" s="44" t="str">
        <f aca="false">IF($A53="","",MIN($F53,MAX(0,SUMIFS(期初数据!$L$6:$L$155,期初数据!$J$6:$J$155,$A53,期初数据!$K$6:$K$155,"&lt;="&amp;首页!$B$7)+SUMIFS(采购录入!$S$5:$S$404,采购录入!$D$5:$D$404,$A53,采购录入!$T$5:$T$404,"&lt;="&amp;首页!$B$7)-SUMIFS(资金流水!$N$5:$N$504,资金流水!$G$5:$G$504,$A53,资金流水!$E$5:$E$504,"供应商付款",资金流水!$B$5:$B$504,"&lt;="&amp;首页!$B$7)))-$K53-$J53-$I53)</f>
        <v/>
      </c>
      <c r="I53" s="44" t="str">
        <f aca="false">IF($A53="","",MIN($F53,MAX(0,SUMIFS(期初数据!$L$6:$L$155,期初数据!$J$6:$J$155,$A53,期初数据!$K$6:$K$155,"&lt;="&amp;首页!$B$7-30)+SUMIFS(采购录入!$S$5:$S$404,采购录入!$D$5:$D$404,$A53,采购录入!$T$5:$T$404,"&lt;="&amp;首页!$B$7-30)-SUMIFS(资金流水!$N$5:$N$504,资金流水!$G$5:$G$504,$A53,资金流水!$E$5:$E$504,"供应商付款",资金流水!$B$5:$B$504,"&lt;="&amp;首页!$B$7)))-$K53-$J53)</f>
        <v/>
      </c>
      <c r="J53" s="44" t="str">
        <f aca="false">IF($A53="","",MIN($F53,MAX(0,SUMIFS(期初数据!$L$6:$L$155,期初数据!$J$6:$J$155,$A53,期初数据!$K$6:$K$155,"&lt;="&amp;首页!$B$7-60)+SUMIFS(采购录入!$S$5:$S$404,采购录入!$D$5:$D$404,$A53,采购录入!$T$5:$T$404,"&lt;="&amp;首页!$B$7-60)-SUMIFS(资金流水!$N$5:$N$504,资金流水!$G$5:$G$504,$A53,资金流水!$E$5:$E$504,"供应商付款",资金流水!$B$5:$B$504,"&lt;="&amp;首页!$B$7)))-$K53)</f>
        <v/>
      </c>
      <c r="K53" s="44" t="str">
        <f aca="false">IF($A53="","",MIN($F53,MAX(0,SUMIFS(期初数据!$L$6:$L$155,期初数据!$J$6:$J$155,$A53,期初数据!$K$6:$K$155,"&lt;="&amp;首页!$B$7-90)+SUMIFS(采购录入!$S$5:$S$404,采购录入!$D$5:$D$404,$A53,采购录入!$T$5:$T$404,"&lt;="&amp;首页!$B$7-90)-SUMIFS(资金流水!$N$5:$N$504,资金流水!$G$5:$G$504,$A53,资金流水!$E$5:$E$504,"供应商付款",资金流水!$B$5:$B$504,"&lt;="&amp;首页!$B$7))))</f>
        <v/>
      </c>
      <c r="L53" s="62" t="str">
        <f aca="false">IF($A53="","",$H53+$I53+$J53+$K53)</f>
        <v/>
      </c>
      <c r="M53" s="47" t="str">
        <f aca="false">IF($A53="","",IF($K53&gt;0,"高危",IF($J53&gt;0,"关注",IF($L53&gt;0,"提醒","正常"))))</f>
        <v/>
      </c>
      <c r="N53" s="42" t="str">
        <f aca="false">IF($A53="","",基础资料!$AG53)</f>
        <v/>
      </c>
    </row>
    <row r="54" customFormat="false" ht="15.75" hidden="false" customHeight="true" outlineLevel="0" collapsed="false">
      <c r="A54" s="35" t="str">
        <f aca="false">IF(基础资料!$AF54="","",基础资料!$AF54)</f>
        <v/>
      </c>
      <c r="B54" s="42" t="str">
        <f aca="false">IF($A54="","",N(基础资料!$AH54))</f>
        <v/>
      </c>
      <c r="C54" s="54" t="str">
        <f aca="false">IF($A54="","",SUMIFS(期初数据!$L$6:$L$155,期初数据!$J$6:$J$155,$A54,期初数据!$K$6:$K$155,"&lt;"&amp;首页!$B$6)+SUMIFS(采购录入!$S$5:$S$404,采购录入!$D$5:$D$404,$A54,采购录入!$B$5:$B$404,"&lt;"&amp;首页!$B$6)-SUMIFS(资金流水!$N$5:$N$504,资金流水!$G$5:$G$504,$A54,资金流水!$E$5:$E$504,"供应商付款",资金流水!$B$5:$B$504,"&lt;"&amp;首页!$B$6))</f>
        <v/>
      </c>
      <c r="D54" s="54" t="str">
        <f aca="false">IF($A54="","",SUMIFS(采购录入!$S$5:$S$404,采购录入!$D$5:$D$404,$A54,采购录入!$C$5:$C$404,首页!$B$5))</f>
        <v/>
      </c>
      <c r="E54" s="54" t="str">
        <f aca="false">IF($A54="","",SUMIFS(资金流水!$N$5:$N$504,资金流水!$G$5:$G$504,$A54,资金流水!$E$5:$E$504,"供应商付款",资金流水!$C$5:$C$504,首页!$B$5))</f>
        <v/>
      </c>
      <c r="F54" s="62" t="str">
        <f aca="false">IF($A54="","",$C54+$D54-$E54)</f>
        <v/>
      </c>
      <c r="G54" s="44" t="str">
        <f aca="false">IF($A54="","",$F54-$H54-$I54-$J54-$K54)</f>
        <v/>
      </c>
      <c r="H54" s="44" t="str">
        <f aca="false">IF($A54="","",MIN($F54,MAX(0,SUMIFS(期初数据!$L$6:$L$155,期初数据!$J$6:$J$155,$A54,期初数据!$K$6:$K$155,"&lt;="&amp;首页!$B$7)+SUMIFS(采购录入!$S$5:$S$404,采购录入!$D$5:$D$404,$A54,采购录入!$T$5:$T$404,"&lt;="&amp;首页!$B$7)-SUMIFS(资金流水!$N$5:$N$504,资金流水!$G$5:$G$504,$A54,资金流水!$E$5:$E$504,"供应商付款",资金流水!$B$5:$B$504,"&lt;="&amp;首页!$B$7)))-$K54-$J54-$I54)</f>
        <v/>
      </c>
      <c r="I54" s="44" t="str">
        <f aca="false">IF($A54="","",MIN($F54,MAX(0,SUMIFS(期初数据!$L$6:$L$155,期初数据!$J$6:$J$155,$A54,期初数据!$K$6:$K$155,"&lt;="&amp;首页!$B$7-30)+SUMIFS(采购录入!$S$5:$S$404,采购录入!$D$5:$D$404,$A54,采购录入!$T$5:$T$404,"&lt;="&amp;首页!$B$7-30)-SUMIFS(资金流水!$N$5:$N$504,资金流水!$G$5:$G$504,$A54,资金流水!$E$5:$E$504,"供应商付款",资金流水!$B$5:$B$504,"&lt;="&amp;首页!$B$7)))-$K54-$J54)</f>
        <v/>
      </c>
      <c r="J54" s="44" t="str">
        <f aca="false">IF($A54="","",MIN($F54,MAX(0,SUMIFS(期初数据!$L$6:$L$155,期初数据!$J$6:$J$155,$A54,期初数据!$K$6:$K$155,"&lt;="&amp;首页!$B$7-60)+SUMIFS(采购录入!$S$5:$S$404,采购录入!$D$5:$D$404,$A54,采购录入!$T$5:$T$404,"&lt;="&amp;首页!$B$7-60)-SUMIFS(资金流水!$N$5:$N$504,资金流水!$G$5:$G$504,$A54,资金流水!$E$5:$E$504,"供应商付款",资金流水!$B$5:$B$504,"&lt;="&amp;首页!$B$7)))-$K54)</f>
        <v/>
      </c>
      <c r="K54" s="44" t="str">
        <f aca="false">IF($A54="","",MIN($F54,MAX(0,SUMIFS(期初数据!$L$6:$L$155,期初数据!$J$6:$J$155,$A54,期初数据!$K$6:$K$155,"&lt;="&amp;首页!$B$7-90)+SUMIFS(采购录入!$S$5:$S$404,采购录入!$D$5:$D$404,$A54,采购录入!$T$5:$T$404,"&lt;="&amp;首页!$B$7-90)-SUMIFS(资金流水!$N$5:$N$504,资金流水!$G$5:$G$504,$A54,资金流水!$E$5:$E$504,"供应商付款",资金流水!$B$5:$B$504,"&lt;="&amp;首页!$B$7))))</f>
        <v/>
      </c>
      <c r="L54" s="62" t="str">
        <f aca="false">IF($A54="","",$H54+$I54+$J54+$K54)</f>
        <v/>
      </c>
      <c r="M54" s="47" t="str">
        <f aca="false">IF($A54="","",IF($K54&gt;0,"高危",IF($J54&gt;0,"关注",IF($L54&gt;0,"提醒","正常"))))</f>
        <v/>
      </c>
      <c r="N54" s="42" t="str">
        <f aca="false">IF($A54="","",基础资料!$AG54)</f>
        <v/>
      </c>
    </row>
    <row r="55" customFormat="false" ht="15.75" hidden="false" customHeight="true" outlineLevel="0" collapsed="false">
      <c r="A55" s="35" t="str">
        <f aca="false">IF(基础资料!$AF55="","",基础资料!$AF55)</f>
        <v/>
      </c>
      <c r="B55" s="42" t="str">
        <f aca="false">IF($A55="","",N(基础资料!$AH55))</f>
        <v/>
      </c>
      <c r="C55" s="54" t="str">
        <f aca="false">IF($A55="","",SUMIFS(期初数据!$L$6:$L$155,期初数据!$J$6:$J$155,$A55,期初数据!$K$6:$K$155,"&lt;"&amp;首页!$B$6)+SUMIFS(采购录入!$S$5:$S$404,采购录入!$D$5:$D$404,$A55,采购录入!$B$5:$B$404,"&lt;"&amp;首页!$B$6)-SUMIFS(资金流水!$N$5:$N$504,资金流水!$G$5:$G$504,$A55,资金流水!$E$5:$E$504,"供应商付款",资金流水!$B$5:$B$504,"&lt;"&amp;首页!$B$6))</f>
        <v/>
      </c>
      <c r="D55" s="54" t="str">
        <f aca="false">IF($A55="","",SUMIFS(采购录入!$S$5:$S$404,采购录入!$D$5:$D$404,$A55,采购录入!$C$5:$C$404,首页!$B$5))</f>
        <v/>
      </c>
      <c r="E55" s="54" t="str">
        <f aca="false">IF($A55="","",SUMIFS(资金流水!$N$5:$N$504,资金流水!$G$5:$G$504,$A55,资金流水!$E$5:$E$504,"供应商付款",资金流水!$C$5:$C$504,首页!$B$5))</f>
        <v/>
      </c>
      <c r="F55" s="62" t="str">
        <f aca="false">IF($A55="","",$C55+$D55-$E55)</f>
        <v/>
      </c>
      <c r="G55" s="44" t="str">
        <f aca="false">IF($A55="","",$F55-$H55-$I55-$J55-$K55)</f>
        <v/>
      </c>
      <c r="H55" s="44" t="str">
        <f aca="false">IF($A55="","",MIN($F55,MAX(0,SUMIFS(期初数据!$L$6:$L$155,期初数据!$J$6:$J$155,$A55,期初数据!$K$6:$K$155,"&lt;="&amp;首页!$B$7)+SUMIFS(采购录入!$S$5:$S$404,采购录入!$D$5:$D$404,$A55,采购录入!$T$5:$T$404,"&lt;="&amp;首页!$B$7)-SUMIFS(资金流水!$N$5:$N$504,资金流水!$G$5:$G$504,$A55,资金流水!$E$5:$E$504,"供应商付款",资金流水!$B$5:$B$504,"&lt;="&amp;首页!$B$7)))-$K55-$J55-$I55)</f>
        <v/>
      </c>
      <c r="I55" s="44" t="str">
        <f aca="false">IF($A55="","",MIN($F55,MAX(0,SUMIFS(期初数据!$L$6:$L$155,期初数据!$J$6:$J$155,$A55,期初数据!$K$6:$K$155,"&lt;="&amp;首页!$B$7-30)+SUMIFS(采购录入!$S$5:$S$404,采购录入!$D$5:$D$404,$A55,采购录入!$T$5:$T$404,"&lt;="&amp;首页!$B$7-30)-SUMIFS(资金流水!$N$5:$N$504,资金流水!$G$5:$G$504,$A55,资金流水!$E$5:$E$504,"供应商付款",资金流水!$B$5:$B$504,"&lt;="&amp;首页!$B$7)))-$K55-$J55)</f>
        <v/>
      </c>
      <c r="J55" s="44" t="str">
        <f aca="false">IF($A55="","",MIN($F55,MAX(0,SUMIFS(期初数据!$L$6:$L$155,期初数据!$J$6:$J$155,$A55,期初数据!$K$6:$K$155,"&lt;="&amp;首页!$B$7-60)+SUMIFS(采购录入!$S$5:$S$404,采购录入!$D$5:$D$404,$A55,采购录入!$T$5:$T$404,"&lt;="&amp;首页!$B$7-60)-SUMIFS(资金流水!$N$5:$N$504,资金流水!$G$5:$G$504,$A55,资金流水!$E$5:$E$504,"供应商付款",资金流水!$B$5:$B$504,"&lt;="&amp;首页!$B$7)))-$K55)</f>
        <v/>
      </c>
      <c r="K55" s="44" t="str">
        <f aca="false">IF($A55="","",MIN($F55,MAX(0,SUMIFS(期初数据!$L$6:$L$155,期初数据!$J$6:$J$155,$A55,期初数据!$K$6:$K$155,"&lt;="&amp;首页!$B$7-90)+SUMIFS(采购录入!$S$5:$S$404,采购录入!$D$5:$D$404,$A55,采购录入!$T$5:$T$404,"&lt;="&amp;首页!$B$7-90)-SUMIFS(资金流水!$N$5:$N$504,资金流水!$G$5:$G$504,$A55,资金流水!$E$5:$E$504,"供应商付款",资金流水!$B$5:$B$504,"&lt;="&amp;首页!$B$7))))</f>
        <v/>
      </c>
      <c r="L55" s="62" t="str">
        <f aca="false">IF($A55="","",$H55+$I55+$J55+$K55)</f>
        <v/>
      </c>
      <c r="M55" s="47" t="str">
        <f aca="false">IF($A55="","",IF($K55&gt;0,"高危",IF($J55&gt;0,"关注",IF($L55&gt;0,"提醒","正常"))))</f>
        <v/>
      </c>
      <c r="N55" s="42" t="str">
        <f aca="false">IF($A55="","",基础资料!$AG55)</f>
        <v/>
      </c>
    </row>
    <row r="56" customFormat="false" ht="15.75" hidden="false" customHeight="true" outlineLevel="0" collapsed="false">
      <c r="A56" s="35" t="str">
        <f aca="false">IF(基础资料!$AF56="","",基础资料!$AF56)</f>
        <v/>
      </c>
      <c r="B56" s="42" t="str">
        <f aca="false">IF($A56="","",N(基础资料!$AH56))</f>
        <v/>
      </c>
      <c r="C56" s="54" t="str">
        <f aca="false">IF($A56="","",SUMIFS(期初数据!$L$6:$L$155,期初数据!$J$6:$J$155,$A56,期初数据!$K$6:$K$155,"&lt;"&amp;首页!$B$6)+SUMIFS(采购录入!$S$5:$S$404,采购录入!$D$5:$D$404,$A56,采购录入!$B$5:$B$404,"&lt;"&amp;首页!$B$6)-SUMIFS(资金流水!$N$5:$N$504,资金流水!$G$5:$G$504,$A56,资金流水!$E$5:$E$504,"供应商付款",资金流水!$B$5:$B$504,"&lt;"&amp;首页!$B$6))</f>
        <v/>
      </c>
      <c r="D56" s="54" t="str">
        <f aca="false">IF($A56="","",SUMIFS(采购录入!$S$5:$S$404,采购录入!$D$5:$D$404,$A56,采购录入!$C$5:$C$404,首页!$B$5))</f>
        <v/>
      </c>
      <c r="E56" s="54" t="str">
        <f aca="false">IF($A56="","",SUMIFS(资金流水!$N$5:$N$504,资金流水!$G$5:$G$504,$A56,资金流水!$E$5:$E$504,"供应商付款",资金流水!$C$5:$C$504,首页!$B$5))</f>
        <v/>
      </c>
      <c r="F56" s="62" t="str">
        <f aca="false">IF($A56="","",$C56+$D56-$E56)</f>
        <v/>
      </c>
      <c r="G56" s="44" t="str">
        <f aca="false">IF($A56="","",$F56-$H56-$I56-$J56-$K56)</f>
        <v/>
      </c>
      <c r="H56" s="44" t="str">
        <f aca="false">IF($A56="","",MIN($F56,MAX(0,SUMIFS(期初数据!$L$6:$L$155,期初数据!$J$6:$J$155,$A56,期初数据!$K$6:$K$155,"&lt;="&amp;首页!$B$7)+SUMIFS(采购录入!$S$5:$S$404,采购录入!$D$5:$D$404,$A56,采购录入!$T$5:$T$404,"&lt;="&amp;首页!$B$7)-SUMIFS(资金流水!$N$5:$N$504,资金流水!$G$5:$G$504,$A56,资金流水!$E$5:$E$504,"供应商付款",资金流水!$B$5:$B$504,"&lt;="&amp;首页!$B$7)))-$K56-$J56-$I56)</f>
        <v/>
      </c>
      <c r="I56" s="44" t="str">
        <f aca="false">IF($A56="","",MIN($F56,MAX(0,SUMIFS(期初数据!$L$6:$L$155,期初数据!$J$6:$J$155,$A56,期初数据!$K$6:$K$155,"&lt;="&amp;首页!$B$7-30)+SUMIFS(采购录入!$S$5:$S$404,采购录入!$D$5:$D$404,$A56,采购录入!$T$5:$T$404,"&lt;="&amp;首页!$B$7-30)-SUMIFS(资金流水!$N$5:$N$504,资金流水!$G$5:$G$504,$A56,资金流水!$E$5:$E$504,"供应商付款",资金流水!$B$5:$B$504,"&lt;="&amp;首页!$B$7)))-$K56-$J56)</f>
        <v/>
      </c>
      <c r="J56" s="44" t="str">
        <f aca="false">IF($A56="","",MIN($F56,MAX(0,SUMIFS(期初数据!$L$6:$L$155,期初数据!$J$6:$J$155,$A56,期初数据!$K$6:$K$155,"&lt;="&amp;首页!$B$7-60)+SUMIFS(采购录入!$S$5:$S$404,采购录入!$D$5:$D$404,$A56,采购录入!$T$5:$T$404,"&lt;="&amp;首页!$B$7-60)-SUMIFS(资金流水!$N$5:$N$504,资金流水!$G$5:$G$504,$A56,资金流水!$E$5:$E$504,"供应商付款",资金流水!$B$5:$B$504,"&lt;="&amp;首页!$B$7)))-$K56)</f>
        <v/>
      </c>
      <c r="K56" s="44" t="str">
        <f aca="false">IF($A56="","",MIN($F56,MAX(0,SUMIFS(期初数据!$L$6:$L$155,期初数据!$J$6:$J$155,$A56,期初数据!$K$6:$K$155,"&lt;="&amp;首页!$B$7-90)+SUMIFS(采购录入!$S$5:$S$404,采购录入!$D$5:$D$404,$A56,采购录入!$T$5:$T$404,"&lt;="&amp;首页!$B$7-90)-SUMIFS(资金流水!$N$5:$N$504,资金流水!$G$5:$G$504,$A56,资金流水!$E$5:$E$504,"供应商付款",资金流水!$B$5:$B$504,"&lt;="&amp;首页!$B$7))))</f>
        <v/>
      </c>
      <c r="L56" s="62" t="str">
        <f aca="false">IF($A56="","",$H56+$I56+$J56+$K56)</f>
        <v/>
      </c>
      <c r="M56" s="47" t="str">
        <f aca="false">IF($A56="","",IF($K56&gt;0,"高危",IF($J56&gt;0,"关注",IF($L56&gt;0,"提醒","正常"))))</f>
        <v/>
      </c>
      <c r="N56" s="42" t="str">
        <f aca="false">IF($A56="","",基础资料!$AG56)</f>
        <v/>
      </c>
    </row>
    <row r="57" customFormat="false" ht="15.75" hidden="false" customHeight="true" outlineLevel="0" collapsed="false">
      <c r="A57" s="35" t="str">
        <f aca="false">IF(基础资料!$AF57="","",基础资料!$AF57)</f>
        <v/>
      </c>
      <c r="B57" s="42" t="str">
        <f aca="false">IF($A57="","",N(基础资料!$AH57))</f>
        <v/>
      </c>
      <c r="C57" s="54" t="str">
        <f aca="false">IF($A57="","",SUMIFS(期初数据!$L$6:$L$155,期初数据!$J$6:$J$155,$A57,期初数据!$K$6:$K$155,"&lt;"&amp;首页!$B$6)+SUMIFS(采购录入!$S$5:$S$404,采购录入!$D$5:$D$404,$A57,采购录入!$B$5:$B$404,"&lt;"&amp;首页!$B$6)-SUMIFS(资金流水!$N$5:$N$504,资金流水!$G$5:$G$504,$A57,资金流水!$E$5:$E$504,"供应商付款",资金流水!$B$5:$B$504,"&lt;"&amp;首页!$B$6))</f>
        <v/>
      </c>
      <c r="D57" s="54" t="str">
        <f aca="false">IF($A57="","",SUMIFS(采购录入!$S$5:$S$404,采购录入!$D$5:$D$404,$A57,采购录入!$C$5:$C$404,首页!$B$5))</f>
        <v/>
      </c>
      <c r="E57" s="54" t="str">
        <f aca="false">IF($A57="","",SUMIFS(资金流水!$N$5:$N$504,资金流水!$G$5:$G$504,$A57,资金流水!$E$5:$E$504,"供应商付款",资金流水!$C$5:$C$504,首页!$B$5))</f>
        <v/>
      </c>
      <c r="F57" s="62" t="str">
        <f aca="false">IF($A57="","",$C57+$D57-$E57)</f>
        <v/>
      </c>
      <c r="G57" s="44" t="str">
        <f aca="false">IF($A57="","",$F57-$H57-$I57-$J57-$K57)</f>
        <v/>
      </c>
      <c r="H57" s="44" t="str">
        <f aca="false">IF($A57="","",MIN($F57,MAX(0,SUMIFS(期初数据!$L$6:$L$155,期初数据!$J$6:$J$155,$A57,期初数据!$K$6:$K$155,"&lt;="&amp;首页!$B$7)+SUMIFS(采购录入!$S$5:$S$404,采购录入!$D$5:$D$404,$A57,采购录入!$T$5:$T$404,"&lt;="&amp;首页!$B$7)-SUMIFS(资金流水!$N$5:$N$504,资金流水!$G$5:$G$504,$A57,资金流水!$E$5:$E$504,"供应商付款",资金流水!$B$5:$B$504,"&lt;="&amp;首页!$B$7)))-$K57-$J57-$I57)</f>
        <v/>
      </c>
      <c r="I57" s="44" t="str">
        <f aca="false">IF($A57="","",MIN($F57,MAX(0,SUMIFS(期初数据!$L$6:$L$155,期初数据!$J$6:$J$155,$A57,期初数据!$K$6:$K$155,"&lt;="&amp;首页!$B$7-30)+SUMIFS(采购录入!$S$5:$S$404,采购录入!$D$5:$D$404,$A57,采购录入!$T$5:$T$404,"&lt;="&amp;首页!$B$7-30)-SUMIFS(资金流水!$N$5:$N$504,资金流水!$G$5:$G$504,$A57,资金流水!$E$5:$E$504,"供应商付款",资金流水!$B$5:$B$504,"&lt;="&amp;首页!$B$7)))-$K57-$J57)</f>
        <v/>
      </c>
      <c r="J57" s="44" t="str">
        <f aca="false">IF($A57="","",MIN($F57,MAX(0,SUMIFS(期初数据!$L$6:$L$155,期初数据!$J$6:$J$155,$A57,期初数据!$K$6:$K$155,"&lt;="&amp;首页!$B$7-60)+SUMIFS(采购录入!$S$5:$S$404,采购录入!$D$5:$D$404,$A57,采购录入!$T$5:$T$404,"&lt;="&amp;首页!$B$7-60)-SUMIFS(资金流水!$N$5:$N$504,资金流水!$G$5:$G$504,$A57,资金流水!$E$5:$E$504,"供应商付款",资金流水!$B$5:$B$504,"&lt;="&amp;首页!$B$7)))-$K57)</f>
        <v/>
      </c>
      <c r="K57" s="44" t="str">
        <f aca="false">IF($A57="","",MIN($F57,MAX(0,SUMIFS(期初数据!$L$6:$L$155,期初数据!$J$6:$J$155,$A57,期初数据!$K$6:$K$155,"&lt;="&amp;首页!$B$7-90)+SUMIFS(采购录入!$S$5:$S$404,采购录入!$D$5:$D$404,$A57,采购录入!$T$5:$T$404,"&lt;="&amp;首页!$B$7-90)-SUMIFS(资金流水!$N$5:$N$504,资金流水!$G$5:$G$504,$A57,资金流水!$E$5:$E$504,"供应商付款",资金流水!$B$5:$B$504,"&lt;="&amp;首页!$B$7))))</f>
        <v/>
      </c>
      <c r="L57" s="62" t="str">
        <f aca="false">IF($A57="","",$H57+$I57+$J57+$K57)</f>
        <v/>
      </c>
      <c r="M57" s="47" t="str">
        <f aca="false">IF($A57="","",IF($K57&gt;0,"高危",IF($J57&gt;0,"关注",IF($L57&gt;0,"提醒","正常"))))</f>
        <v/>
      </c>
      <c r="N57" s="42" t="str">
        <f aca="false">IF($A57="","",基础资料!$AG57)</f>
        <v/>
      </c>
    </row>
    <row r="58" customFormat="false" ht="15.75" hidden="false" customHeight="true" outlineLevel="0" collapsed="false">
      <c r="A58" s="35" t="str">
        <f aca="false">IF(基础资料!$AF58="","",基础资料!$AF58)</f>
        <v/>
      </c>
      <c r="B58" s="42" t="str">
        <f aca="false">IF($A58="","",N(基础资料!$AH58))</f>
        <v/>
      </c>
      <c r="C58" s="54" t="str">
        <f aca="false">IF($A58="","",SUMIFS(期初数据!$L$6:$L$155,期初数据!$J$6:$J$155,$A58,期初数据!$K$6:$K$155,"&lt;"&amp;首页!$B$6)+SUMIFS(采购录入!$S$5:$S$404,采购录入!$D$5:$D$404,$A58,采购录入!$B$5:$B$404,"&lt;"&amp;首页!$B$6)-SUMIFS(资金流水!$N$5:$N$504,资金流水!$G$5:$G$504,$A58,资金流水!$E$5:$E$504,"供应商付款",资金流水!$B$5:$B$504,"&lt;"&amp;首页!$B$6))</f>
        <v/>
      </c>
      <c r="D58" s="54" t="str">
        <f aca="false">IF($A58="","",SUMIFS(采购录入!$S$5:$S$404,采购录入!$D$5:$D$404,$A58,采购录入!$C$5:$C$404,首页!$B$5))</f>
        <v/>
      </c>
      <c r="E58" s="54" t="str">
        <f aca="false">IF($A58="","",SUMIFS(资金流水!$N$5:$N$504,资金流水!$G$5:$G$504,$A58,资金流水!$E$5:$E$504,"供应商付款",资金流水!$C$5:$C$504,首页!$B$5))</f>
        <v/>
      </c>
      <c r="F58" s="62" t="str">
        <f aca="false">IF($A58="","",$C58+$D58-$E58)</f>
        <v/>
      </c>
      <c r="G58" s="44" t="str">
        <f aca="false">IF($A58="","",$F58-$H58-$I58-$J58-$K58)</f>
        <v/>
      </c>
      <c r="H58" s="44" t="str">
        <f aca="false">IF($A58="","",MIN($F58,MAX(0,SUMIFS(期初数据!$L$6:$L$155,期初数据!$J$6:$J$155,$A58,期初数据!$K$6:$K$155,"&lt;="&amp;首页!$B$7)+SUMIFS(采购录入!$S$5:$S$404,采购录入!$D$5:$D$404,$A58,采购录入!$T$5:$T$404,"&lt;="&amp;首页!$B$7)-SUMIFS(资金流水!$N$5:$N$504,资金流水!$G$5:$G$504,$A58,资金流水!$E$5:$E$504,"供应商付款",资金流水!$B$5:$B$504,"&lt;="&amp;首页!$B$7)))-$K58-$J58-$I58)</f>
        <v/>
      </c>
      <c r="I58" s="44" t="str">
        <f aca="false">IF($A58="","",MIN($F58,MAX(0,SUMIFS(期初数据!$L$6:$L$155,期初数据!$J$6:$J$155,$A58,期初数据!$K$6:$K$155,"&lt;="&amp;首页!$B$7-30)+SUMIFS(采购录入!$S$5:$S$404,采购录入!$D$5:$D$404,$A58,采购录入!$T$5:$T$404,"&lt;="&amp;首页!$B$7-30)-SUMIFS(资金流水!$N$5:$N$504,资金流水!$G$5:$G$504,$A58,资金流水!$E$5:$E$504,"供应商付款",资金流水!$B$5:$B$504,"&lt;="&amp;首页!$B$7)))-$K58-$J58)</f>
        <v/>
      </c>
      <c r="J58" s="44" t="str">
        <f aca="false">IF($A58="","",MIN($F58,MAX(0,SUMIFS(期初数据!$L$6:$L$155,期初数据!$J$6:$J$155,$A58,期初数据!$K$6:$K$155,"&lt;="&amp;首页!$B$7-60)+SUMIFS(采购录入!$S$5:$S$404,采购录入!$D$5:$D$404,$A58,采购录入!$T$5:$T$404,"&lt;="&amp;首页!$B$7-60)-SUMIFS(资金流水!$N$5:$N$504,资金流水!$G$5:$G$504,$A58,资金流水!$E$5:$E$504,"供应商付款",资金流水!$B$5:$B$504,"&lt;="&amp;首页!$B$7)))-$K58)</f>
        <v/>
      </c>
      <c r="K58" s="44" t="str">
        <f aca="false">IF($A58="","",MIN($F58,MAX(0,SUMIFS(期初数据!$L$6:$L$155,期初数据!$J$6:$J$155,$A58,期初数据!$K$6:$K$155,"&lt;="&amp;首页!$B$7-90)+SUMIFS(采购录入!$S$5:$S$404,采购录入!$D$5:$D$404,$A58,采购录入!$T$5:$T$404,"&lt;="&amp;首页!$B$7-90)-SUMIFS(资金流水!$N$5:$N$504,资金流水!$G$5:$G$504,$A58,资金流水!$E$5:$E$504,"供应商付款",资金流水!$B$5:$B$504,"&lt;="&amp;首页!$B$7))))</f>
        <v/>
      </c>
      <c r="L58" s="62" t="str">
        <f aca="false">IF($A58="","",$H58+$I58+$J58+$K58)</f>
        <v/>
      </c>
      <c r="M58" s="47" t="str">
        <f aca="false">IF($A58="","",IF($K58&gt;0,"高危",IF($J58&gt;0,"关注",IF($L58&gt;0,"提醒","正常"))))</f>
        <v/>
      </c>
      <c r="N58" s="42" t="str">
        <f aca="false">IF($A58="","",基础资料!$AG58)</f>
        <v/>
      </c>
    </row>
    <row r="59" customFormat="false" ht="15.75" hidden="false" customHeight="true" outlineLevel="0" collapsed="false">
      <c r="A59" s="35" t="str">
        <f aca="false">IF(基础资料!$AF59="","",基础资料!$AF59)</f>
        <v/>
      </c>
      <c r="B59" s="42" t="str">
        <f aca="false">IF($A59="","",N(基础资料!$AH59))</f>
        <v/>
      </c>
      <c r="C59" s="54" t="str">
        <f aca="false">IF($A59="","",SUMIFS(期初数据!$L$6:$L$155,期初数据!$J$6:$J$155,$A59,期初数据!$K$6:$K$155,"&lt;"&amp;首页!$B$6)+SUMIFS(采购录入!$S$5:$S$404,采购录入!$D$5:$D$404,$A59,采购录入!$B$5:$B$404,"&lt;"&amp;首页!$B$6)-SUMIFS(资金流水!$N$5:$N$504,资金流水!$G$5:$G$504,$A59,资金流水!$E$5:$E$504,"供应商付款",资金流水!$B$5:$B$504,"&lt;"&amp;首页!$B$6))</f>
        <v/>
      </c>
      <c r="D59" s="54" t="str">
        <f aca="false">IF($A59="","",SUMIFS(采购录入!$S$5:$S$404,采购录入!$D$5:$D$404,$A59,采购录入!$C$5:$C$404,首页!$B$5))</f>
        <v/>
      </c>
      <c r="E59" s="54" t="str">
        <f aca="false">IF($A59="","",SUMIFS(资金流水!$N$5:$N$504,资金流水!$G$5:$G$504,$A59,资金流水!$E$5:$E$504,"供应商付款",资金流水!$C$5:$C$504,首页!$B$5))</f>
        <v/>
      </c>
      <c r="F59" s="62" t="str">
        <f aca="false">IF($A59="","",$C59+$D59-$E59)</f>
        <v/>
      </c>
      <c r="G59" s="44" t="str">
        <f aca="false">IF($A59="","",$F59-$H59-$I59-$J59-$K59)</f>
        <v/>
      </c>
      <c r="H59" s="44" t="str">
        <f aca="false">IF($A59="","",MIN($F59,MAX(0,SUMIFS(期初数据!$L$6:$L$155,期初数据!$J$6:$J$155,$A59,期初数据!$K$6:$K$155,"&lt;="&amp;首页!$B$7)+SUMIFS(采购录入!$S$5:$S$404,采购录入!$D$5:$D$404,$A59,采购录入!$T$5:$T$404,"&lt;="&amp;首页!$B$7)-SUMIFS(资金流水!$N$5:$N$504,资金流水!$G$5:$G$504,$A59,资金流水!$E$5:$E$504,"供应商付款",资金流水!$B$5:$B$504,"&lt;="&amp;首页!$B$7)))-$K59-$J59-$I59)</f>
        <v/>
      </c>
      <c r="I59" s="44" t="str">
        <f aca="false">IF($A59="","",MIN($F59,MAX(0,SUMIFS(期初数据!$L$6:$L$155,期初数据!$J$6:$J$155,$A59,期初数据!$K$6:$K$155,"&lt;="&amp;首页!$B$7-30)+SUMIFS(采购录入!$S$5:$S$404,采购录入!$D$5:$D$404,$A59,采购录入!$T$5:$T$404,"&lt;="&amp;首页!$B$7-30)-SUMIFS(资金流水!$N$5:$N$504,资金流水!$G$5:$G$504,$A59,资金流水!$E$5:$E$504,"供应商付款",资金流水!$B$5:$B$504,"&lt;="&amp;首页!$B$7)))-$K59-$J59)</f>
        <v/>
      </c>
      <c r="J59" s="44" t="str">
        <f aca="false">IF($A59="","",MIN($F59,MAX(0,SUMIFS(期初数据!$L$6:$L$155,期初数据!$J$6:$J$155,$A59,期初数据!$K$6:$K$155,"&lt;="&amp;首页!$B$7-60)+SUMIFS(采购录入!$S$5:$S$404,采购录入!$D$5:$D$404,$A59,采购录入!$T$5:$T$404,"&lt;="&amp;首页!$B$7-60)-SUMIFS(资金流水!$N$5:$N$504,资金流水!$G$5:$G$504,$A59,资金流水!$E$5:$E$504,"供应商付款",资金流水!$B$5:$B$504,"&lt;="&amp;首页!$B$7)))-$K59)</f>
        <v/>
      </c>
      <c r="K59" s="44" t="str">
        <f aca="false">IF($A59="","",MIN($F59,MAX(0,SUMIFS(期初数据!$L$6:$L$155,期初数据!$J$6:$J$155,$A59,期初数据!$K$6:$K$155,"&lt;="&amp;首页!$B$7-90)+SUMIFS(采购录入!$S$5:$S$404,采购录入!$D$5:$D$404,$A59,采购录入!$T$5:$T$404,"&lt;="&amp;首页!$B$7-90)-SUMIFS(资金流水!$N$5:$N$504,资金流水!$G$5:$G$504,$A59,资金流水!$E$5:$E$504,"供应商付款",资金流水!$B$5:$B$504,"&lt;="&amp;首页!$B$7))))</f>
        <v/>
      </c>
      <c r="L59" s="62" t="str">
        <f aca="false">IF($A59="","",$H59+$I59+$J59+$K59)</f>
        <v/>
      </c>
      <c r="M59" s="47" t="str">
        <f aca="false">IF($A59="","",IF($K59&gt;0,"高危",IF($J59&gt;0,"关注",IF($L59&gt;0,"提醒","正常"))))</f>
        <v/>
      </c>
      <c r="N59" s="42" t="str">
        <f aca="false">IF($A59="","",基础资料!$AG59)</f>
        <v/>
      </c>
    </row>
    <row r="60" customFormat="false" ht="15.75" hidden="false" customHeight="true" outlineLevel="0" collapsed="false">
      <c r="A60" s="35" t="str">
        <f aca="false">IF(基础资料!$AF60="","",基础资料!$AF60)</f>
        <v/>
      </c>
      <c r="B60" s="42" t="str">
        <f aca="false">IF($A60="","",N(基础资料!$AH60))</f>
        <v/>
      </c>
      <c r="C60" s="54" t="str">
        <f aca="false">IF($A60="","",SUMIFS(期初数据!$L$6:$L$155,期初数据!$J$6:$J$155,$A60,期初数据!$K$6:$K$155,"&lt;"&amp;首页!$B$6)+SUMIFS(采购录入!$S$5:$S$404,采购录入!$D$5:$D$404,$A60,采购录入!$B$5:$B$404,"&lt;"&amp;首页!$B$6)-SUMIFS(资金流水!$N$5:$N$504,资金流水!$G$5:$G$504,$A60,资金流水!$E$5:$E$504,"供应商付款",资金流水!$B$5:$B$504,"&lt;"&amp;首页!$B$6))</f>
        <v/>
      </c>
      <c r="D60" s="54" t="str">
        <f aca="false">IF($A60="","",SUMIFS(采购录入!$S$5:$S$404,采购录入!$D$5:$D$404,$A60,采购录入!$C$5:$C$404,首页!$B$5))</f>
        <v/>
      </c>
      <c r="E60" s="54" t="str">
        <f aca="false">IF($A60="","",SUMIFS(资金流水!$N$5:$N$504,资金流水!$G$5:$G$504,$A60,资金流水!$E$5:$E$504,"供应商付款",资金流水!$C$5:$C$504,首页!$B$5))</f>
        <v/>
      </c>
      <c r="F60" s="62" t="str">
        <f aca="false">IF($A60="","",$C60+$D60-$E60)</f>
        <v/>
      </c>
      <c r="G60" s="44" t="str">
        <f aca="false">IF($A60="","",$F60-$H60-$I60-$J60-$K60)</f>
        <v/>
      </c>
      <c r="H60" s="44" t="str">
        <f aca="false">IF($A60="","",MIN($F60,MAX(0,SUMIFS(期初数据!$L$6:$L$155,期初数据!$J$6:$J$155,$A60,期初数据!$K$6:$K$155,"&lt;="&amp;首页!$B$7)+SUMIFS(采购录入!$S$5:$S$404,采购录入!$D$5:$D$404,$A60,采购录入!$T$5:$T$404,"&lt;="&amp;首页!$B$7)-SUMIFS(资金流水!$N$5:$N$504,资金流水!$G$5:$G$504,$A60,资金流水!$E$5:$E$504,"供应商付款",资金流水!$B$5:$B$504,"&lt;="&amp;首页!$B$7)))-$K60-$J60-$I60)</f>
        <v/>
      </c>
      <c r="I60" s="44" t="str">
        <f aca="false">IF($A60="","",MIN($F60,MAX(0,SUMIFS(期初数据!$L$6:$L$155,期初数据!$J$6:$J$155,$A60,期初数据!$K$6:$K$155,"&lt;="&amp;首页!$B$7-30)+SUMIFS(采购录入!$S$5:$S$404,采购录入!$D$5:$D$404,$A60,采购录入!$T$5:$T$404,"&lt;="&amp;首页!$B$7-30)-SUMIFS(资金流水!$N$5:$N$504,资金流水!$G$5:$G$504,$A60,资金流水!$E$5:$E$504,"供应商付款",资金流水!$B$5:$B$504,"&lt;="&amp;首页!$B$7)))-$K60-$J60)</f>
        <v/>
      </c>
      <c r="J60" s="44" t="str">
        <f aca="false">IF($A60="","",MIN($F60,MAX(0,SUMIFS(期初数据!$L$6:$L$155,期初数据!$J$6:$J$155,$A60,期初数据!$K$6:$K$155,"&lt;="&amp;首页!$B$7-60)+SUMIFS(采购录入!$S$5:$S$404,采购录入!$D$5:$D$404,$A60,采购录入!$T$5:$T$404,"&lt;="&amp;首页!$B$7-60)-SUMIFS(资金流水!$N$5:$N$504,资金流水!$G$5:$G$504,$A60,资金流水!$E$5:$E$504,"供应商付款",资金流水!$B$5:$B$504,"&lt;="&amp;首页!$B$7)))-$K60)</f>
        <v/>
      </c>
      <c r="K60" s="44" t="str">
        <f aca="false">IF($A60="","",MIN($F60,MAX(0,SUMIFS(期初数据!$L$6:$L$155,期初数据!$J$6:$J$155,$A60,期初数据!$K$6:$K$155,"&lt;="&amp;首页!$B$7-90)+SUMIFS(采购录入!$S$5:$S$404,采购录入!$D$5:$D$404,$A60,采购录入!$T$5:$T$404,"&lt;="&amp;首页!$B$7-90)-SUMIFS(资金流水!$N$5:$N$504,资金流水!$G$5:$G$504,$A60,资金流水!$E$5:$E$504,"供应商付款",资金流水!$B$5:$B$504,"&lt;="&amp;首页!$B$7))))</f>
        <v/>
      </c>
      <c r="L60" s="62" t="str">
        <f aca="false">IF($A60="","",$H60+$I60+$J60+$K60)</f>
        <v/>
      </c>
      <c r="M60" s="47" t="str">
        <f aca="false">IF($A60="","",IF($K60&gt;0,"高危",IF($J60&gt;0,"关注",IF($L60&gt;0,"提醒","正常"))))</f>
        <v/>
      </c>
      <c r="N60" s="42" t="str">
        <f aca="false">IF($A60="","",基础资料!$AG60)</f>
        <v/>
      </c>
    </row>
    <row r="61" customFormat="false" ht="15.75" hidden="false" customHeight="true" outlineLevel="0" collapsed="false">
      <c r="A61" s="35" t="str">
        <f aca="false">IF(基础资料!$AF61="","",基础资料!$AF61)</f>
        <v/>
      </c>
      <c r="B61" s="42" t="str">
        <f aca="false">IF($A61="","",N(基础资料!$AH61))</f>
        <v/>
      </c>
      <c r="C61" s="54" t="str">
        <f aca="false">IF($A61="","",SUMIFS(期初数据!$L$6:$L$155,期初数据!$J$6:$J$155,$A61,期初数据!$K$6:$K$155,"&lt;"&amp;首页!$B$6)+SUMIFS(采购录入!$S$5:$S$404,采购录入!$D$5:$D$404,$A61,采购录入!$B$5:$B$404,"&lt;"&amp;首页!$B$6)-SUMIFS(资金流水!$N$5:$N$504,资金流水!$G$5:$G$504,$A61,资金流水!$E$5:$E$504,"供应商付款",资金流水!$B$5:$B$504,"&lt;"&amp;首页!$B$6))</f>
        <v/>
      </c>
      <c r="D61" s="54" t="str">
        <f aca="false">IF($A61="","",SUMIFS(采购录入!$S$5:$S$404,采购录入!$D$5:$D$404,$A61,采购录入!$C$5:$C$404,首页!$B$5))</f>
        <v/>
      </c>
      <c r="E61" s="54" t="str">
        <f aca="false">IF($A61="","",SUMIFS(资金流水!$N$5:$N$504,资金流水!$G$5:$G$504,$A61,资金流水!$E$5:$E$504,"供应商付款",资金流水!$C$5:$C$504,首页!$B$5))</f>
        <v/>
      </c>
      <c r="F61" s="62" t="str">
        <f aca="false">IF($A61="","",$C61+$D61-$E61)</f>
        <v/>
      </c>
      <c r="G61" s="44" t="str">
        <f aca="false">IF($A61="","",$F61-$H61-$I61-$J61-$K61)</f>
        <v/>
      </c>
      <c r="H61" s="44" t="str">
        <f aca="false">IF($A61="","",MIN($F61,MAX(0,SUMIFS(期初数据!$L$6:$L$155,期初数据!$J$6:$J$155,$A61,期初数据!$K$6:$K$155,"&lt;="&amp;首页!$B$7)+SUMIFS(采购录入!$S$5:$S$404,采购录入!$D$5:$D$404,$A61,采购录入!$T$5:$T$404,"&lt;="&amp;首页!$B$7)-SUMIFS(资金流水!$N$5:$N$504,资金流水!$G$5:$G$504,$A61,资金流水!$E$5:$E$504,"供应商付款",资金流水!$B$5:$B$504,"&lt;="&amp;首页!$B$7)))-$K61-$J61-$I61)</f>
        <v/>
      </c>
      <c r="I61" s="44" t="str">
        <f aca="false">IF($A61="","",MIN($F61,MAX(0,SUMIFS(期初数据!$L$6:$L$155,期初数据!$J$6:$J$155,$A61,期初数据!$K$6:$K$155,"&lt;="&amp;首页!$B$7-30)+SUMIFS(采购录入!$S$5:$S$404,采购录入!$D$5:$D$404,$A61,采购录入!$T$5:$T$404,"&lt;="&amp;首页!$B$7-30)-SUMIFS(资金流水!$N$5:$N$504,资金流水!$G$5:$G$504,$A61,资金流水!$E$5:$E$504,"供应商付款",资金流水!$B$5:$B$504,"&lt;="&amp;首页!$B$7)))-$K61-$J61)</f>
        <v/>
      </c>
      <c r="J61" s="44" t="str">
        <f aca="false">IF($A61="","",MIN($F61,MAX(0,SUMIFS(期初数据!$L$6:$L$155,期初数据!$J$6:$J$155,$A61,期初数据!$K$6:$K$155,"&lt;="&amp;首页!$B$7-60)+SUMIFS(采购录入!$S$5:$S$404,采购录入!$D$5:$D$404,$A61,采购录入!$T$5:$T$404,"&lt;="&amp;首页!$B$7-60)-SUMIFS(资金流水!$N$5:$N$504,资金流水!$G$5:$G$504,$A61,资金流水!$E$5:$E$504,"供应商付款",资金流水!$B$5:$B$504,"&lt;="&amp;首页!$B$7)))-$K61)</f>
        <v/>
      </c>
      <c r="K61" s="44" t="str">
        <f aca="false">IF($A61="","",MIN($F61,MAX(0,SUMIFS(期初数据!$L$6:$L$155,期初数据!$J$6:$J$155,$A61,期初数据!$K$6:$K$155,"&lt;="&amp;首页!$B$7-90)+SUMIFS(采购录入!$S$5:$S$404,采购录入!$D$5:$D$404,$A61,采购录入!$T$5:$T$404,"&lt;="&amp;首页!$B$7-90)-SUMIFS(资金流水!$N$5:$N$504,资金流水!$G$5:$G$504,$A61,资金流水!$E$5:$E$504,"供应商付款",资金流水!$B$5:$B$504,"&lt;="&amp;首页!$B$7))))</f>
        <v/>
      </c>
      <c r="L61" s="62" t="str">
        <f aca="false">IF($A61="","",$H61+$I61+$J61+$K61)</f>
        <v/>
      </c>
      <c r="M61" s="47" t="str">
        <f aca="false">IF($A61="","",IF($K61&gt;0,"高危",IF($J61&gt;0,"关注",IF($L61&gt;0,"提醒","正常"))))</f>
        <v/>
      </c>
      <c r="N61" s="42" t="str">
        <f aca="false">IF($A61="","",基础资料!$AG61)</f>
        <v/>
      </c>
    </row>
    <row r="62" customFormat="false" ht="15.75" hidden="false" customHeight="true" outlineLevel="0" collapsed="false">
      <c r="A62" s="35" t="str">
        <f aca="false">IF(基础资料!$AF62="","",基础资料!$AF62)</f>
        <v/>
      </c>
      <c r="B62" s="42" t="str">
        <f aca="false">IF($A62="","",N(基础资料!$AH62))</f>
        <v/>
      </c>
      <c r="C62" s="54" t="str">
        <f aca="false">IF($A62="","",SUMIFS(期初数据!$L$6:$L$155,期初数据!$J$6:$J$155,$A62,期初数据!$K$6:$K$155,"&lt;"&amp;首页!$B$6)+SUMIFS(采购录入!$S$5:$S$404,采购录入!$D$5:$D$404,$A62,采购录入!$B$5:$B$404,"&lt;"&amp;首页!$B$6)-SUMIFS(资金流水!$N$5:$N$504,资金流水!$G$5:$G$504,$A62,资金流水!$E$5:$E$504,"供应商付款",资金流水!$B$5:$B$504,"&lt;"&amp;首页!$B$6))</f>
        <v/>
      </c>
      <c r="D62" s="54" t="str">
        <f aca="false">IF($A62="","",SUMIFS(采购录入!$S$5:$S$404,采购录入!$D$5:$D$404,$A62,采购录入!$C$5:$C$404,首页!$B$5))</f>
        <v/>
      </c>
      <c r="E62" s="54" t="str">
        <f aca="false">IF($A62="","",SUMIFS(资金流水!$N$5:$N$504,资金流水!$G$5:$G$504,$A62,资金流水!$E$5:$E$504,"供应商付款",资金流水!$C$5:$C$504,首页!$B$5))</f>
        <v/>
      </c>
      <c r="F62" s="62" t="str">
        <f aca="false">IF($A62="","",$C62+$D62-$E62)</f>
        <v/>
      </c>
      <c r="G62" s="44" t="str">
        <f aca="false">IF($A62="","",$F62-$H62-$I62-$J62-$K62)</f>
        <v/>
      </c>
      <c r="H62" s="44" t="str">
        <f aca="false">IF($A62="","",MIN($F62,MAX(0,SUMIFS(期初数据!$L$6:$L$155,期初数据!$J$6:$J$155,$A62,期初数据!$K$6:$K$155,"&lt;="&amp;首页!$B$7)+SUMIFS(采购录入!$S$5:$S$404,采购录入!$D$5:$D$404,$A62,采购录入!$T$5:$T$404,"&lt;="&amp;首页!$B$7)-SUMIFS(资金流水!$N$5:$N$504,资金流水!$G$5:$G$504,$A62,资金流水!$E$5:$E$504,"供应商付款",资金流水!$B$5:$B$504,"&lt;="&amp;首页!$B$7)))-$K62-$J62-$I62)</f>
        <v/>
      </c>
      <c r="I62" s="44" t="str">
        <f aca="false">IF($A62="","",MIN($F62,MAX(0,SUMIFS(期初数据!$L$6:$L$155,期初数据!$J$6:$J$155,$A62,期初数据!$K$6:$K$155,"&lt;="&amp;首页!$B$7-30)+SUMIFS(采购录入!$S$5:$S$404,采购录入!$D$5:$D$404,$A62,采购录入!$T$5:$T$404,"&lt;="&amp;首页!$B$7-30)-SUMIFS(资金流水!$N$5:$N$504,资金流水!$G$5:$G$504,$A62,资金流水!$E$5:$E$504,"供应商付款",资金流水!$B$5:$B$504,"&lt;="&amp;首页!$B$7)))-$K62-$J62)</f>
        <v/>
      </c>
      <c r="J62" s="44" t="str">
        <f aca="false">IF($A62="","",MIN($F62,MAX(0,SUMIFS(期初数据!$L$6:$L$155,期初数据!$J$6:$J$155,$A62,期初数据!$K$6:$K$155,"&lt;="&amp;首页!$B$7-60)+SUMIFS(采购录入!$S$5:$S$404,采购录入!$D$5:$D$404,$A62,采购录入!$T$5:$T$404,"&lt;="&amp;首页!$B$7-60)-SUMIFS(资金流水!$N$5:$N$504,资金流水!$G$5:$G$504,$A62,资金流水!$E$5:$E$504,"供应商付款",资金流水!$B$5:$B$504,"&lt;="&amp;首页!$B$7)))-$K62)</f>
        <v/>
      </c>
      <c r="K62" s="44" t="str">
        <f aca="false">IF($A62="","",MIN($F62,MAX(0,SUMIFS(期初数据!$L$6:$L$155,期初数据!$J$6:$J$155,$A62,期初数据!$K$6:$K$155,"&lt;="&amp;首页!$B$7-90)+SUMIFS(采购录入!$S$5:$S$404,采购录入!$D$5:$D$404,$A62,采购录入!$T$5:$T$404,"&lt;="&amp;首页!$B$7-90)-SUMIFS(资金流水!$N$5:$N$504,资金流水!$G$5:$G$504,$A62,资金流水!$E$5:$E$504,"供应商付款",资金流水!$B$5:$B$504,"&lt;="&amp;首页!$B$7))))</f>
        <v/>
      </c>
      <c r="L62" s="62" t="str">
        <f aca="false">IF($A62="","",$H62+$I62+$J62+$K62)</f>
        <v/>
      </c>
      <c r="M62" s="47" t="str">
        <f aca="false">IF($A62="","",IF($K62&gt;0,"高危",IF($J62&gt;0,"关注",IF($L62&gt;0,"提醒","正常"))))</f>
        <v/>
      </c>
      <c r="N62" s="42" t="str">
        <f aca="false">IF($A62="","",基础资料!$AG62)</f>
        <v/>
      </c>
    </row>
    <row r="63" customFormat="false" ht="15.75" hidden="false" customHeight="true" outlineLevel="0" collapsed="false">
      <c r="A63" s="35" t="str">
        <f aca="false">IF(基础资料!$AF63="","",基础资料!$AF63)</f>
        <v/>
      </c>
      <c r="B63" s="42" t="str">
        <f aca="false">IF($A63="","",N(基础资料!$AH63))</f>
        <v/>
      </c>
      <c r="C63" s="54" t="str">
        <f aca="false">IF($A63="","",SUMIFS(期初数据!$L$6:$L$155,期初数据!$J$6:$J$155,$A63,期初数据!$K$6:$K$155,"&lt;"&amp;首页!$B$6)+SUMIFS(采购录入!$S$5:$S$404,采购录入!$D$5:$D$404,$A63,采购录入!$B$5:$B$404,"&lt;"&amp;首页!$B$6)-SUMIFS(资金流水!$N$5:$N$504,资金流水!$G$5:$G$504,$A63,资金流水!$E$5:$E$504,"供应商付款",资金流水!$B$5:$B$504,"&lt;"&amp;首页!$B$6))</f>
        <v/>
      </c>
      <c r="D63" s="54" t="str">
        <f aca="false">IF($A63="","",SUMIFS(采购录入!$S$5:$S$404,采购录入!$D$5:$D$404,$A63,采购录入!$C$5:$C$404,首页!$B$5))</f>
        <v/>
      </c>
      <c r="E63" s="54" t="str">
        <f aca="false">IF($A63="","",SUMIFS(资金流水!$N$5:$N$504,资金流水!$G$5:$G$504,$A63,资金流水!$E$5:$E$504,"供应商付款",资金流水!$C$5:$C$504,首页!$B$5))</f>
        <v/>
      </c>
      <c r="F63" s="62" t="str">
        <f aca="false">IF($A63="","",$C63+$D63-$E63)</f>
        <v/>
      </c>
      <c r="G63" s="44" t="str">
        <f aca="false">IF($A63="","",$F63-$H63-$I63-$J63-$K63)</f>
        <v/>
      </c>
      <c r="H63" s="44" t="str">
        <f aca="false">IF($A63="","",MIN($F63,MAX(0,SUMIFS(期初数据!$L$6:$L$155,期初数据!$J$6:$J$155,$A63,期初数据!$K$6:$K$155,"&lt;="&amp;首页!$B$7)+SUMIFS(采购录入!$S$5:$S$404,采购录入!$D$5:$D$404,$A63,采购录入!$T$5:$T$404,"&lt;="&amp;首页!$B$7)-SUMIFS(资金流水!$N$5:$N$504,资金流水!$G$5:$G$504,$A63,资金流水!$E$5:$E$504,"供应商付款",资金流水!$B$5:$B$504,"&lt;="&amp;首页!$B$7)))-$K63-$J63-$I63)</f>
        <v/>
      </c>
      <c r="I63" s="44" t="str">
        <f aca="false">IF($A63="","",MIN($F63,MAX(0,SUMIFS(期初数据!$L$6:$L$155,期初数据!$J$6:$J$155,$A63,期初数据!$K$6:$K$155,"&lt;="&amp;首页!$B$7-30)+SUMIFS(采购录入!$S$5:$S$404,采购录入!$D$5:$D$404,$A63,采购录入!$T$5:$T$404,"&lt;="&amp;首页!$B$7-30)-SUMIFS(资金流水!$N$5:$N$504,资金流水!$G$5:$G$504,$A63,资金流水!$E$5:$E$504,"供应商付款",资金流水!$B$5:$B$504,"&lt;="&amp;首页!$B$7)))-$K63-$J63)</f>
        <v/>
      </c>
      <c r="J63" s="44" t="str">
        <f aca="false">IF($A63="","",MIN($F63,MAX(0,SUMIFS(期初数据!$L$6:$L$155,期初数据!$J$6:$J$155,$A63,期初数据!$K$6:$K$155,"&lt;="&amp;首页!$B$7-60)+SUMIFS(采购录入!$S$5:$S$404,采购录入!$D$5:$D$404,$A63,采购录入!$T$5:$T$404,"&lt;="&amp;首页!$B$7-60)-SUMIFS(资金流水!$N$5:$N$504,资金流水!$G$5:$G$504,$A63,资金流水!$E$5:$E$504,"供应商付款",资金流水!$B$5:$B$504,"&lt;="&amp;首页!$B$7)))-$K63)</f>
        <v/>
      </c>
      <c r="K63" s="44" t="str">
        <f aca="false">IF($A63="","",MIN($F63,MAX(0,SUMIFS(期初数据!$L$6:$L$155,期初数据!$J$6:$J$155,$A63,期初数据!$K$6:$K$155,"&lt;="&amp;首页!$B$7-90)+SUMIFS(采购录入!$S$5:$S$404,采购录入!$D$5:$D$404,$A63,采购录入!$T$5:$T$404,"&lt;="&amp;首页!$B$7-90)-SUMIFS(资金流水!$N$5:$N$504,资金流水!$G$5:$G$504,$A63,资金流水!$E$5:$E$504,"供应商付款",资金流水!$B$5:$B$504,"&lt;="&amp;首页!$B$7))))</f>
        <v/>
      </c>
      <c r="L63" s="62" t="str">
        <f aca="false">IF($A63="","",$H63+$I63+$J63+$K63)</f>
        <v/>
      </c>
      <c r="M63" s="47" t="str">
        <f aca="false">IF($A63="","",IF($K63&gt;0,"高危",IF($J63&gt;0,"关注",IF($L63&gt;0,"提醒","正常"))))</f>
        <v/>
      </c>
      <c r="N63" s="42" t="str">
        <f aca="false">IF($A63="","",基础资料!$AG63)</f>
        <v/>
      </c>
    </row>
    <row r="64" customFormat="false" ht="15.75" hidden="false" customHeight="true" outlineLevel="0" collapsed="false">
      <c r="A64" s="35" t="str">
        <f aca="false">IF(基础资料!$AF64="","",基础资料!$AF64)</f>
        <v/>
      </c>
      <c r="B64" s="42" t="str">
        <f aca="false">IF($A64="","",N(基础资料!$AH64))</f>
        <v/>
      </c>
      <c r="C64" s="54" t="str">
        <f aca="false">IF($A64="","",SUMIFS(期初数据!$L$6:$L$155,期初数据!$J$6:$J$155,$A64,期初数据!$K$6:$K$155,"&lt;"&amp;首页!$B$6)+SUMIFS(采购录入!$S$5:$S$404,采购录入!$D$5:$D$404,$A64,采购录入!$B$5:$B$404,"&lt;"&amp;首页!$B$6)-SUMIFS(资金流水!$N$5:$N$504,资金流水!$G$5:$G$504,$A64,资金流水!$E$5:$E$504,"供应商付款",资金流水!$B$5:$B$504,"&lt;"&amp;首页!$B$6))</f>
        <v/>
      </c>
      <c r="D64" s="54" t="str">
        <f aca="false">IF($A64="","",SUMIFS(采购录入!$S$5:$S$404,采购录入!$D$5:$D$404,$A64,采购录入!$C$5:$C$404,首页!$B$5))</f>
        <v/>
      </c>
      <c r="E64" s="54" t="str">
        <f aca="false">IF($A64="","",SUMIFS(资金流水!$N$5:$N$504,资金流水!$G$5:$G$504,$A64,资金流水!$E$5:$E$504,"供应商付款",资金流水!$C$5:$C$504,首页!$B$5))</f>
        <v/>
      </c>
      <c r="F64" s="62" t="str">
        <f aca="false">IF($A64="","",$C64+$D64-$E64)</f>
        <v/>
      </c>
      <c r="G64" s="44" t="str">
        <f aca="false">IF($A64="","",$F64-$H64-$I64-$J64-$K64)</f>
        <v/>
      </c>
      <c r="H64" s="44" t="str">
        <f aca="false">IF($A64="","",MIN($F64,MAX(0,SUMIFS(期初数据!$L$6:$L$155,期初数据!$J$6:$J$155,$A64,期初数据!$K$6:$K$155,"&lt;="&amp;首页!$B$7)+SUMIFS(采购录入!$S$5:$S$404,采购录入!$D$5:$D$404,$A64,采购录入!$T$5:$T$404,"&lt;="&amp;首页!$B$7)-SUMIFS(资金流水!$N$5:$N$504,资金流水!$G$5:$G$504,$A64,资金流水!$E$5:$E$504,"供应商付款",资金流水!$B$5:$B$504,"&lt;="&amp;首页!$B$7)))-$K64-$J64-$I64)</f>
        <v/>
      </c>
      <c r="I64" s="44" t="str">
        <f aca="false">IF($A64="","",MIN($F64,MAX(0,SUMIFS(期初数据!$L$6:$L$155,期初数据!$J$6:$J$155,$A64,期初数据!$K$6:$K$155,"&lt;="&amp;首页!$B$7-30)+SUMIFS(采购录入!$S$5:$S$404,采购录入!$D$5:$D$404,$A64,采购录入!$T$5:$T$404,"&lt;="&amp;首页!$B$7-30)-SUMIFS(资金流水!$N$5:$N$504,资金流水!$G$5:$G$504,$A64,资金流水!$E$5:$E$504,"供应商付款",资金流水!$B$5:$B$504,"&lt;="&amp;首页!$B$7)))-$K64-$J64)</f>
        <v/>
      </c>
      <c r="J64" s="44" t="str">
        <f aca="false">IF($A64="","",MIN($F64,MAX(0,SUMIFS(期初数据!$L$6:$L$155,期初数据!$J$6:$J$155,$A64,期初数据!$K$6:$K$155,"&lt;="&amp;首页!$B$7-60)+SUMIFS(采购录入!$S$5:$S$404,采购录入!$D$5:$D$404,$A64,采购录入!$T$5:$T$404,"&lt;="&amp;首页!$B$7-60)-SUMIFS(资金流水!$N$5:$N$504,资金流水!$G$5:$G$504,$A64,资金流水!$E$5:$E$504,"供应商付款",资金流水!$B$5:$B$504,"&lt;="&amp;首页!$B$7)))-$K64)</f>
        <v/>
      </c>
      <c r="K64" s="44" t="str">
        <f aca="false">IF($A64="","",MIN($F64,MAX(0,SUMIFS(期初数据!$L$6:$L$155,期初数据!$J$6:$J$155,$A64,期初数据!$K$6:$K$155,"&lt;="&amp;首页!$B$7-90)+SUMIFS(采购录入!$S$5:$S$404,采购录入!$D$5:$D$404,$A64,采购录入!$T$5:$T$404,"&lt;="&amp;首页!$B$7-90)-SUMIFS(资金流水!$N$5:$N$504,资金流水!$G$5:$G$504,$A64,资金流水!$E$5:$E$504,"供应商付款",资金流水!$B$5:$B$504,"&lt;="&amp;首页!$B$7))))</f>
        <v/>
      </c>
      <c r="L64" s="62" t="str">
        <f aca="false">IF($A64="","",$H64+$I64+$J64+$K64)</f>
        <v/>
      </c>
      <c r="M64" s="47" t="str">
        <f aca="false">IF($A64="","",IF($K64&gt;0,"高危",IF($J64&gt;0,"关注",IF($L64&gt;0,"提醒","正常"))))</f>
        <v/>
      </c>
      <c r="N64" s="42" t="str">
        <f aca="false">IF($A64="","",基础资料!$AG64)</f>
        <v/>
      </c>
    </row>
    <row r="65" customFormat="false" ht="15.75" hidden="false" customHeight="true" outlineLevel="0" collapsed="false">
      <c r="A65" s="35" t="str">
        <f aca="false">IF(基础资料!$AF65="","",基础资料!$AF65)</f>
        <v/>
      </c>
      <c r="B65" s="42" t="str">
        <f aca="false">IF($A65="","",N(基础资料!$AH65))</f>
        <v/>
      </c>
      <c r="C65" s="54" t="str">
        <f aca="false">IF($A65="","",SUMIFS(期初数据!$L$6:$L$155,期初数据!$J$6:$J$155,$A65,期初数据!$K$6:$K$155,"&lt;"&amp;首页!$B$6)+SUMIFS(采购录入!$S$5:$S$404,采购录入!$D$5:$D$404,$A65,采购录入!$B$5:$B$404,"&lt;"&amp;首页!$B$6)-SUMIFS(资金流水!$N$5:$N$504,资金流水!$G$5:$G$504,$A65,资金流水!$E$5:$E$504,"供应商付款",资金流水!$B$5:$B$504,"&lt;"&amp;首页!$B$6))</f>
        <v/>
      </c>
      <c r="D65" s="54" t="str">
        <f aca="false">IF($A65="","",SUMIFS(采购录入!$S$5:$S$404,采购录入!$D$5:$D$404,$A65,采购录入!$C$5:$C$404,首页!$B$5))</f>
        <v/>
      </c>
      <c r="E65" s="54" t="str">
        <f aca="false">IF($A65="","",SUMIFS(资金流水!$N$5:$N$504,资金流水!$G$5:$G$504,$A65,资金流水!$E$5:$E$504,"供应商付款",资金流水!$C$5:$C$504,首页!$B$5))</f>
        <v/>
      </c>
      <c r="F65" s="62" t="str">
        <f aca="false">IF($A65="","",$C65+$D65-$E65)</f>
        <v/>
      </c>
      <c r="G65" s="44" t="str">
        <f aca="false">IF($A65="","",$F65-$H65-$I65-$J65-$K65)</f>
        <v/>
      </c>
      <c r="H65" s="44" t="str">
        <f aca="false">IF($A65="","",MIN($F65,MAX(0,SUMIFS(期初数据!$L$6:$L$155,期初数据!$J$6:$J$155,$A65,期初数据!$K$6:$K$155,"&lt;="&amp;首页!$B$7)+SUMIFS(采购录入!$S$5:$S$404,采购录入!$D$5:$D$404,$A65,采购录入!$T$5:$T$404,"&lt;="&amp;首页!$B$7)-SUMIFS(资金流水!$N$5:$N$504,资金流水!$G$5:$G$504,$A65,资金流水!$E$5:$E$504,"供应商付款",资金流水!$B$5:$B$504,"&lt;="&amp;首页!$B$7)))-$K65-$J65-$I65)</f>
        <v/>
      </c>
      <c r="I65" s="44" t="str">
        <f aca="false">IF($A65="","",MIN($F65,MAX(0,SUMIFS(期初数据!$L$6:$L$155,期初数据!$J$6:$J$155,$A65,期初数据!$K$6:$K$155,"&lt;="&amp;首页!$B$7-30)+SUMIFS(采购录入!$S$5:$S$404,采购录入!$D$5:$D$404,$A65,采购录入!$T$5:$T$404,"&lt;="&amp;首页!$B$7-30)-SUMIFS(资金流水!$N$5:$N$504,资金流水!$G$5:$G$504,$A65,资金流水!$E$5:$E$504,"供应商付款",资金流水!$B$5:$B$504,"&lt;="&amp;首页!$B$7)))-$K65-$J65)</f>
        <v/>
      </c>
      <c r="J65" s="44" t="str">
        <f aca="false">IF($A65="","",MIN($F65,MAX(0,SUMIFS(期初数据!$L$6:$L$155,期初数据!$J$6:$J$155,$A65,期初数据!$K$6:$K$155,"&lt;="&amp;首页!$B$7-60)+SUMIFS(采购录入!$S$5:$S$404,采购录入!$D$5:$D$404,$A65,采购录入!$T$5:$T$404,"&lt;="&amp;首页!$B$7-60)-SUMIFS(资金流水!$N$5:$N$504,资金流水!$G$5:$G$504,$A65,资金流水!$E$5:$E$504,"供应商付款",资金流水!$B$5:$B$504,"&lt;="&amp;首页!$B$7)))-$K65)</f>
        <v/>
      </c>
      <c r="K65" s="44" t="str">
        <f aca="false">IF($A65="","",MIN($F65,MAX(0,SUMIFS(期初数据!$L$6:$L$155,期初数据!$J$6:$J$155,$A65,期初数据!$K$6:$K$155,"&lt;="&amp;首页!$B$7-90)+SUMIFS(采购录入!$S$5:$S$404,采购录入!$D$5:$D$404,$A65,采购录入!$T$5:$T$404,"&lt;="&amp;首页!$B$7-90)-SUMIFS(资金流水!$N$5:$N$504,资金流水!$G$5:$G$504,$A65,资金流水!$E$5:$E$504,"供应商付款",资金流水!$B$5:$B$504,"&lt;="&amp;首页!$B$7))))</f>
        <v/>
      </c>
      <c r="L65" s="62" t="str">
        <f aca="false">IF($A65="","",$H65+$I65+$J65+$K65)</f>
        <v/>
      </c>
      <c r="M65" s="47" t="str">
        <f aca="false">IF($A65="","",IF($K65&gt;0,"高危",IF($J65&gt;0,"关注",IF($L65&gt;0,"提醒","正常"))))</f>
        <v/>
      </c>
      <c r="N65" s="42" t="str">
        <f aca="false">IF($A65="","",基础资料!$AG65)</f>
        <v/>
      </c>
    </row>
    <row r="66" customFormat="false" ht="15.75" hidden="false" customHeight="true" outlineLevel="0" collapsed="false">
      <c r="A66" s="35" t="str">
        <f aca="false">IF(基础资料!$AF66="","",基础资料!$AF66)</f>
        <v/>
      </c>
      <c r="B66" s="42" t="str">
        <f aca="false">IF($A66="","",N(基础资料!$AH66))</f>
        <v/>
      </c>
      <c r="C66" s="54" t="str">
        <f aca="false">IF($A66="","",SUMIFS(期初数据!$L$6:$L$155,期初数据!$J$6:$J$155,$A66,期初数据!$K$6:$K$155,"&lt;"&amp;首页!$B$6)+SUMIFS(采购录入!$S$5:$S$404,采购录入!$D$5:$D$404,$A66,采购录入!$B$5:$B$404,"&lt;"&amp;首页!$B$6)-SUMIFS(资金流水!$N$5:$N$504,资金流水!$G$5:$G$504,$A66,资金流水!$E$5:$E$504,"供应商付款",资金流水!$B$5:$B$504,"&lt;"&amp;首页!$B$6))</f>
        <v/>
      </c>
      <c r="D66" s="54" t="str">
        <f aca="false">IF($A66="","",SUMIFS(采购录入!$S$5:$S$404,采购录入!$D$5:$D$404,$A66,采购录入!$C$5:$C$404,首页!$B$5))</f>
        <v/>
      </c>
      <c r="E66" s="54" t="str">
        <f aca="false">IF($A66="","",SUMIFS(资金流水!$N$5:$N$504,资金流水!$G$5:$G$504,$A66,资金流水!$E$5:$E$504,"供应商付款",资金流水!$C$5:$C$504,首页!$B$5))</f>
        <v/>
      </c>
      <c r="F66" s="62" t="str">
        <f aca="false">IF($A66="","",$C66+$D66-$E66)</f>
        <v/>
      </c>
      <c r="G66" s="44" t="str">
        <f aca="false">IF($A66="","",$F66-$H66-$I66-$J66-$K66)</f>
        <v/>
      </c>
      <c r="H66" s="44" t="str">
        <f aca="false">IF($A66="","",MIN($F66,MAX(0,SUMIFS(期初数据!$L$6:$L$155,期初数据!$J$6:$J$155,$A66,期初数据!$K$6:$K$155,"&lt;="&amp;首页!$B$7)+SUMIFS(采购录入!$S$5:$S$404,采购录入!$D$5:$D$404,$A66,采购录入!$T$5:$T$404,"&lt;="&amp;首页!$B$7)-SUMIFS(资金流水!$N$5:$N$504,资金流水!$G$5:$G$504,$A66,资金流水!$E$5:$E$504,"供应商付款",资金流水!$B$5:$B$504,"&lt;="&amp;首页!$B$7)))-$K66-$J66-$I66)</f>
        <v/>
      </c>
      <c r="I66" s="44" t="str">
        <f aca="false">IF($A66="","",MIN($F66,MAX(0,SUMIFS(期初数据!$L$6:$L$155,期初数据!$J$6:$J$155,$A66,期初数据!$K$6:$K$155,"&lt;="&amp;首页!$B$7-30)+SUMIFS(采购录入!$S$5:$S$404,采购录入!$D$5:$D$404,$A66,采购录入!$T$5:$T$404,"&lt;="&amp;首页!$B$7-30)-SUMIFS(资金流水!$N$5:$N$504,资金流水!$G$5:$G$504,$A66,资金流水!$E$5:$E$504,"供应商付款",资金流水!$B$5:$B$504,"&lt;="&amp;首页!$B$7)))-$K66-$J66)</f>
        <v/>
      </c>
      <c r="J66" s="44" t="str">
        <f aca="false">IF($A66="","",MIN($F66,MAX(0,SUMIFS(期初数据!$L$6:$L$155,期初数据!$J$6:$J$155,$A66,期初数据!$K$6:$K$155,"&lt;="&amp;首页!$B$7-60)+SUMIFS(采购录入!$S$5:$S$404,采购录入!$D$5:$D$404,$A66,采购录入!$T$5:$T$404,"&lt;="&amp;首页!$B$7-60)-SUMIFS(资金流水!$N$5:$N$504,资金流水!$G$5:$G$504,$A66,资金流水!$E$5:$E$504,"供应商付款",资金流水!$B$5:$B$504,"&lt;="&amp;首页!$B$7)))-$K66)</f>
        <v/>
      </c>
      <c r="K66" s="44" t="str">
        <f aca="false">IF($A66="","",MIN($F66,MAX(0,SUMIFS(期初数据!$L$6:$L$155,期初数据!$J$6:$J$155,$A66,期初数据!$K$6:$K$155,"&lt;="&amp;首页!$B$7-90)+SUMIFS(采购录入!$S$5:$S$404,采购录入!$D$5:$D$404,$A66,采购录入!$T$5:$T$404,"&lt;="&amp;首页!$B$7-90)-SUMIFS(资金流水!$N$5:$N$504,资金流水!$G$5:$G$504,$A66,资金流水!$E$5:$E$504,"供应商付款",资金流水!$B$5:$B$504,"&lt;="&amp;首页!$B$7))))</f>
        <v/>
      </c>
      <c r="L66" s="62" t="str">
        <f aca="false">IF($A66="","",$H66+$I66+$J66+$K66)</f>
        <v/>
      </c>
      <c r="M66" s="47" t="str">
        <f aca="false">IF($A66="","",IF($K66&gt;0,"高危",IF($J66&gt;0,"关注",IF($L66&gt;0,"提醒","正常"))))</f>
        <v/>
      </c>
      <c r="N66" s="42" t="str">
        <f aca="false">IF($A66="","",基础资料!$AG66)</f>
        <v/>
      </c>
    </row>
    <row r="67" customFormat="false" ht="15.75" hidden="false" customHeight="true" outlineLevel="0" collapsed="false">
      <c r="A67" s="35" t="str">
        <f aca="false">IF(基础资料!$AF67="","",基础资料!$AF67)</f>
        <v/>
      </c>
      <c r="B67" s="42" t="str">
        <f aca="false">IF($A67="","",N(基础资料!$AH67))</f>
        <v/>
      </c>
      <c r="C67" s="54" t="str">
        <f aca="false">IF($A67="","",SUMIFS(期初数据!$L$6:$L$155,期初数据!$J$6:$J$155,$A67,期初数据!$K$6:$K$155,"&lt;"&amp;首页!$B$6)+SUMIFS(采购录入!$S$5:$S$404,采购录入!$D$5:$D$404,$A67,采购录入!$B$5:$B$404,"&lt;"&amp;首页!$B$6)-SUMIFS(资金流水!$N$5:$N$504,资金流水!$G$5:$G$504,$A67,资金流水!$E$5:$E$504,"供应商付款",资金流水!$B$5:$B$504,"&lt;"&amp;首页!$B$6))</f>
        <v/>
      </c>
      <c r="D67" s="54" t="str">
        <f aca="false">IF($A67="","",SUMIFS(采购录入!$S$5:$S$404,采购录入!$D$5:$D$404,$A67,采购录入!$C$5:$C$404,首页!$B$5))</f>
        <v/>
      </c>
      <c r="E67" s="54" t="str">
        <f aca="false">IF($A67="","",SUMIFS(资金流水!$N$5:$N$504,资金流水!$G$5:$G$504,$A67,资金流水!$E$5:$E$504,"供应商付款",资金流水!$C$5:$C$504,首页!$B$5))</f>
        <v/>
      </c>
      <c r="F67" s="62" t="str">
        <f aca="false">IF($A67="","",$C67+$D67-$E67)</f>
        <v/>
      </c>
      <c r="G67" s="44" t="str">
        <f aca="false">IF($A67="","",$F67-$H67-$I67-$J67-$K67)</f>
        <v/>
      </c>
      <c r="H67" s="44" t="str">
        <f aca="false">IF($A67="","",MIN($F67,MAX(0,SUMIFS(期初数据!$L$6:$L$155,期初数据!$J$6:$J$155,$A67,期初数据!$K$6:$K$155,"&lt;="&amp;首页!$B$7)+SUMIFS(采购录入!$S$5:$S$404,采购录入!$D$5:$D$404,$A67,采购录入!$T$5:$T$404,"&lt;="&amp;首页!$B$7)-SUMIFS(资金流水!$N$5:$N$504,资金流水!$G$5:$G$504,$A67,资金流水!$E$5:$E$504,"供应商付款",资金流水!$B$5:$B$504,"&lt;="&amp;首页!$B$7)))-$K67-$J67-$I67)</f>
        <v/>
      </c>
      <c r="I67" s="44" t="str">
        <f aca="false">IF($A67="","",MIN($F67,MAX(0,SUMIFS(期初数据!$L$6:$L$155,期初数据!$J$6:$J$155,$A67,期初数据!$K$6:$K$155,"&lt;="&amp;首页!$B$7-30)+SUMIFS(采购录入!$S$5:$S$404,采购录入!$D$5:$D$404,$A67,采购录入!$T$5:$T$404,"&lt;="&amp;首页!$B$7-30)-SUMIFS(资金流水!$N$5:$N$504,资金流水!$G$5:$G$504,$A67,资金流水!$E$5:$E$504,"供应商付款",资金流水!$B$5:$B$504,"&lt;="&amp;首页!$B$7)))-$K67-$J67)</f>
        <v/>
      </c>
      <c r="J67" s="44" t="str">
        <f aca="false">IF($A67="","",MIN($F67,MAX(0,SUMIFS(期初数据!$L$6:$L$155,期初数据!$J$6:$J$155,$A67,期初数据!$K$6:$K$155,"&lt;="&amp;首页!$B$7-60)+SUMIFS(采购录入!$S$5:$S$404,采购录入!$D$5:$D$404,$A67,采购录入!$T$5:$T$404,"&lt;="&amp;首页!$B$7-60)-SUMIFS(资金流水!$N$5:$N$504,资金流水!$G$5:$G$504,$A67,资金流水!$E$5:$E$504,"供应商付款",资金流水!$B$5:$B$504,"&lt;="&amp;首页!$B$7)))-$K67)</f>
        <v/>
      </c>
      <c r="K67" s="44" t="str">
        <f aca="false">IF($A67="","",MIN($F67,MAX(0,SUMIFS(期初数据!$L$6:$L$155,期初数据!$J$6:$J$155,$A67,期初数据!$K$6:$K$155,"&lt;="&amp;首页!$B$7-90)+SUMIFS(采购录入!$S$5:$S$404,采购录入!$D$5:$D$404,$A67,采购录入!$T$5:$T$404,"&lt;="&amp;首页!$B$7-90)-SUMIFS(资金流水!$N$5:$N$504,资金流水!$G$5:$G$504,$A67,资金流水!$E$5:$E$504,"供应商付款",资金流水!$B$5:$B$504,"&lt;="&amp;首页!$B$7))))</f>
        <v/>
      </c>
      <c r="L67" s="62" t="str">
        <f aca="false">IF($A67="","",$H67+$I67+$J67+$K67)</f>
        <v/>
      </c>
      <c r="M67" s="47" t="str">
        <f aca="false">IF($A67="","",IF($K67&gt;0,"高危",IF($J67&gt;0,"关注",IF($L67&gt;0,"提醒","正常"))))</f>
        <v/>
      </c>
      <c r="N67" s="42" t="str">
        <f aca="false">IF($A67="","",基础资料!$AG67)</f>
        <v/>
      </c>
    </row>
    <row r="68" customFormat="false" ht="15.75" hidden="false" customHeight="true" outlineLevel="0" collapsed="false">
      <c r="A68" s="35" t="str">
        <f aca="false">IF(基础资料!$AF68="","",基础资料!$AF68)</f>
        <v/>
      </c>
      <c r="B68" s="42" t="str">
        <f aca="false">IF($A68="","",N(基础资料!$AH68))</f>
        <v/>
      </c>
      <c r="C68" s="54" t="str">
        <f aca="false">IF($A68="","",SUMIFS(期初数据!$L$6:$L$155,期初数据!$J$6:$J$155,$A68,期初数据!$K$6:$K$155,"&lt;"&amp;首页!$B$6)+SUMIFS(采购录入!$S$5:$S$404,采购录入!$D$5:$D$404,$A68,采购录入!$B$5:$B$404,"&lt;"&amp;首页!$B$6)-SUMIFS(资金流水!$N$5:$N$504,资金流水!$G$5:$G$504,$A68,资金流水!$E$5:$E$504,"供应商付款",资金流水!$B$5:$B$504,"&lt;"&amp;首页!$B$6))</f>
        <v/>
      </c>
      <c r="D68" s="54" t="str">
        <f aca="false">IF($A68="","",SUMIFS(采购录入!$S$5:$S$404,采购录入!$D$5:$D$404,$A68,采购录入!$C$5:$C$404,首页!$B$5))</f>
        <v/>
      </c>
      <c r="E68" s="54" t="str">
        <f aca="false">IF($A68="","",SUMIFS(资金流水!$N$5:$N$504,资金流水!$G$5:$G$504,$A68,资金流水!$E$5:$E$504,"供应商付款",资金流水!$C$5:$C$504,首页!$B$5))</f>
        <v/>
      </c>
      <c r="F68" s="62" t="str">
        <f aca="false">IF($A68="","",$C68+$D68-$E68)</f>
        <v/>
      </c>
      <c r="G68" s="44" t="str">
        <f aca="false">IF($A68="","",$F68-$H68-$I68-$J68-$K68)</f>
        <v/>
      </c>
      <c r="H68" s="44" t="str">
        <f aca="false">IF($A68="","",MIN($F68,MAX(0,SUMIFS(期初数据!$L$6:$L$155,期初数据!$J$6:$J$155,$A68,期初数据!$K$6:$K$155,"&lt;="&amp;首页!$B$7)+SUMIFS(采购录入!$S$5:$S$404,采购录入!$D$5:$D$404,$A68,采购录入!$T$5:$T$404,"&lt;="&amp;首页!$B$7)-SUMIFS(资金流水!$N$5:$N$504,资金流水!$G$5:$G$504,$A68,资金流水!$E$5:$E$504,"供应商付款",资金流水!$B$5:$B$504,"&lt;="&amp;首页!$B$7)))-$K68-$J68-$I68)</f>
        <v/>
      </c>
      <c r="I68" s="44" t="str">
        <f aca="false">IF($A68="","",MIN($F68,MAX(0,SUMIFS(期初数据!$L$6:$L$155,期初数据!$J$6:$J$155,$A68,期初数据!$K$6:$K$155,"&lt;="&amp;首页!$B$7-30)+SUMIFS(采购录入!$S$5:$S$404,采购录入!$D$5:$D$404,$A68,采购录入!$T$5:$T$404,"&lt;="&amp;首页!$B$7-30)-SUMIFS(资金流水!$N$5:$N$504,资金流水!$G$5:$G$504,$A68,资金流水!$E$5:$E$504,"供应商付款",资金流水!$B$5:$B$504,"&lt;="&amp;首页!$B$7)))-$K68-$J68)</f>
        <v/>
      </c>
      <c r="J68" s="44" t="str">
        <f aca="false">IF($A68="","",MIN($F68,MAX(0,SUMIFS(期初数据!$L$6:$L$155,期初数据!$J$6:$J$155,$A68,期初数据!$K$6:$K$155,"&lt;="&amp;首页!$B$7-60)+SUMIFS(采购录入!$S$5:$S$404,采购录入!$D$5:$D$404,$A68,采购录入!$T$5:$T$404,"&lt;="&amp;首页!$B$7-60)-SUMIFS(资金流水!$N$5:$N$504,资金流水!$G$5:$G$504,$A68,资金流水!$E$5:$E$504,"供应商付款",资金流水!$B$5:$B$504,"&lt;="&amp;首页!$B$7)))-$K68)</f>
        <v/>
      </c>
      <c r="K68" s="44" t="str">
        <f aca="false">IF($A68="","",MIN($F68,MAX(0,SUMIFS(期初数据!$L$6:$L$155,期初数据!$J$6:$J$155,$A68,期初数据!$K$6:$K$155,"&lt;="&amp;首页!$B$7-90)+SUMIFS(采购录入!$S$5:$S$404,采购录入!$D$5:$D$404,$A68,采购录入!$T$5:$T$404,"&lt;="&amp;首页!$B$7-90)-SUMIFS(资金流水!$N$5:$N$504,资金流水!$G$5:$G$504,$A68,资金流水!$E$5:$E$504,"供应商付款",资金流水!$B$5:$B$504,"&lt;="&amp;首页!$B$7))))</f>
        <v/>
      </c>
      <c r="L68" s="62" t="str">
        <f aca="false">IF($A68="","",$H68+$I68+$J68+$K68)</f>
        <v/>
      </c>
      <c r="M68" s="47" t="str">
        <f aca="false">IF($A68="","",IF($K68&gt;0,"高危",IF($J68&gt;0,"关注",IF($L68&gt;0,"提醒","正常"))))</f>
        <v/>
      </c>
      <c r="N68" s="42" t="str">
        <f aca="false">IF($A68="","",基础资料!$AG68)</f>
        <v/>
      </c>
    </row>
    <row r="69" customFormat="false" ht="15.75" hidden="false" customHeight="true" outlineLevel="0" collapsed="false">
      <c r="A69" s="35" t="str">
        <f aca="false">IF(基础资料!$AF69="","",基础资料!$AF69)</f>
        <v/>
      </c>
      <c r="B69" s="42" t="str">
        <f aca="false">IF($A69="","",N(基础资料!$AH69))</f>
        <v/>
      </c>
      <c r="C69" s="54" t="str">
        <f aca="false">IF($A69="","",SUMIFS(期初数据!$L$6:$L$155,期初数据!$J$6:$J$155,$A69,期初数据!$K$6:$K$155,"&lt;"&amp;首页!$B$6)+SUMIFS(采购录入!$S$5:$S$404,采购录入!$D$5:$D$404,$A69,采购录入!$B$5:$B$404,"&lt;"&amp;首页!$B$6)-SUMIFS(资金流水!$N$5:$N$504,资金流水!$G$5:$G$504,$A69,资金流水!$E$5:$E$504,"供应商付款",资金流水!$B$5:$B$504,"&lt;"&amp;首页!$B$6))</f>
        <v/>
      </c>
      <c r="D69" s="54" t="str">
        <f aca="false">IF($A69="","",SUMIFS(采购录入!$S$5:$S$404,采购录入!$D$5:$D$404,$A69,采购录入!$C$5:$C$404,首页!$B$5))</f>
        <v/>
      </c>
      <c r="E69" s="54" t="str">
        <f aca="false">IF($A69="","",SUMIFS(资金流水!$N$5:$N$504,资金流水!$G$5:$G$504,$A69,资金流水!$E$5:$E$504,"供应商付款",资金流水!$C$5:$C$504,首页!$B$5))</f>
        <v/>
      </c>
      <c r="F69" s="62" t="str">
        <f aca="false">IF($A69="","",$C69+$D69-$E69)</f>
        <v/>
      </c>
      <c r="G69" s="44" t="str">
        <f aca="false">IF($A69="","",$F69-$H69-$I69-$J69-$K69)</f>
        <v/>
      </c>
      <c r="H69" s="44" t="str">
        <f aca="false">IF($A69="","",MIN($F69,MAX(0,SUMIFS(期初数据!$L$6:$L$155,期初数据!$J$6:$J$155,$A69,期初数据!$K$6:$K$155,"&lt;="&amp;首页!$B$7)+SUMIFS(采购录入!$S$5:$S$404,采购录入!$D$5:$D$404,$A69,采购录入!$T$5:$T$404,"&lt;="&amp;首页!$B$7)-SUMIFS(资金流水!$N$5:$N$504,资金流水!$G$5:$G$504,$A69,资金流水!$E$5:$E$504,"供应商付款",资金流水!$B$5:$B$504,"&lt;="&amp;首页!$B$7)))-$K69-$J69-$I69)</f>
        <v/>
      </c>
      <c r="I69" s="44" t="str">
        <f aca="false">IF($A69="","",MIN($F69,MAX(0,SUMIFS(期初数据!$L$6:$L$155,期初数据!$J$6:$J$155,$A69,期初数据!$K$6:$K$155,"&lt;="&amp;首页!$B$7-30)+SUMIFS(采购录入!$S$5:$S$404,采购录入!$D$5:$D$404,$A69,采购录入!$T$5:$T$404,"&lt;="&amp;首页!$B$7-30)-SUMIFS(资金流水!$N$5:$N$504,资金流水!$G$5:$G$504,$A69,资金流水!$E$5:$E$504,"供应商付款",资金流水!$B$5:$B$504,"&lt;="&amp;首页!$B$7)))-$K69-$J69)</f>
        <v/>
      </c>
      <c r="J69" s="44" t="str">
        <f aca="false">IF($A69="","",MIN($F69,MAX(0,SUMIFS(期初数据!$L$6:$L$155,期初数据!$J$6:$J$155,$A69,期初数据!$K$6:$K$155,"&lt;="&amp;首页!$B$7-60)+SUMIFS(采购录入!$S$5:$S$404,采购录入!$D$5:$D$404,$A69,采购录入!$T$5:$T$404,"&lt;="&amp;首页!$B$7-60)-SUMIFS(资金流水!$N$5:$N$504,资金流水!$G$5:$G$504,$A69,资金流水!$E$5:$E$504,"供应商付款",资金流水!$B$5:$B$504,"&lt;="&amp;首页!$B$7)))-$K69)</f>
        <v/>
      </c>
      <c r="K69" s="44" t="str">
        <f aca="false">IF($A69="","",MIN($F69,MAX(0,SUMIFS(期初数据!$L$6:$L$155,期初数据!$J$6:$J$155,$A69,期初数据!$K$6:$K$155,"&lt;="&amp;首页!$B$7-90)+SUMIFS(采购录入!$S$5:$S$404,采购录入!$D$5:$D$404,$A69,采购录入!$T$5:$T$404,"&lt;="&amp;首页!$B$7-90)-SUMIFS(资金流水!$N$5:$N$504,资金流水!$G$5:$G$504,$A69,资金流水!$E$5:$E$504,"供应商付款",资金流水!$B$5:$B$504,"&lt;="&amp;首页!$B$7))))</f>
        <v/>
      </c>
      <c r="L69" s="62" t="str">
        <f aca="false">IF($A69="","",$H69+$I69+$J69+$K69)</f>
        <v/>
      </c>
      <c r="M69" s="47" t="str">
        <f aca="false">IF($A69="","",IF($K69&gt;0,"高危",IF($J69&gt;0,"关注",IF($L69&gt;0,"提醒","正常"))))</f>
        <v/>
      </c>
      <c r="N69" s="42" t="str">
        <f aca="false">IF($A69="","",基础资料!$AG69)</f>
        <v/>
      </c>
    </row>
    <row r="70" customFormat="false" ht="15.75" hidden="false" customHeight="true" outlineLevel="0" collapsed="false">
      <c r="A70" s="35" t="str">
        <f aca="false">IF(基础资料!$AF70="","",基础资料!$AF70)</f>
        <v/>
      </c>
      <c r="B70" s="42" t="str">
        <f aca="false">IF($A70="","",N(基础资料!$AH70))</f>
        <v/>
      </c>
      <c r="C70" s="54" t="str">
        <f aca="false">IF($A70="","",SUMIFS(期初数据!$L$6:$L$155,期初数据!$J$6:$J$155,$A70,期初数据!$K$6:$K$155,"&lt;"&amp;首页!$B$6)+SUMIFS(采购录入!$S$5:$S$404,采购录入!$D$5:$D$404,$A70,采购录入!$B$5:$B$404,"&lt;"&amp;首页!$B$6)-SUMIFS(资金流水!$N$5:$N$504,资金流水!$G$5:$G$504,$A70,资金流水!$E$5:$E$504,"供应商付款",资金流水!$B$5:$B$504,"&lt;"&amp;首页!$B$6))</f>
        <v/>
      </c>
      <c r="D70" s="54" t="str">
        <f aca="false">IF($A70="","",SUMIFS(采购录入!$S$5:$S$404,采购录入!$D$5:$D$404,$A70,采购录入!$C$5:$C$404,首页!$B$5))</f>
        <v/>
      </c>
      <c r="E70" s="54" t="str">
        <f aca="false">IF($A70="","",SUMIFS(资金流水!$N$5:$N$504,资金流水!$G$5:$G$504,$A70,资金流水!$E$5:$E$504,"供应商付款",资金流水!$C$5:$C$504,首页!$B$5))</f>
        <v/>
      </c>
      <c r="F70" s="62" t="str">
        <f aca="false">IF($A70="","",$C70+$D70-$E70)</f>
        <v/>
      </c>
      <c r="G70" s="44" t="str">
        <f aca="false">IF($A70="","",$F70-$H70-$I70-$J70-$K70)</f>
        <v/>
      </c>
      <c r="H70" s="44" t="str">
        <f aca="false">IF($A70="","",MIN($F70,MAX(0,SUMIFS(期初数据!$L$6:$L$155,期初数据!$J$6:$J$155,$A70,期初数据!$K$6:$K$155,"&lt;="&amp;首页!$B$7)+SUMIFS(采购录入!$S$5:$S$404,采购录入!$D$5:$D$404,$A70,采购录入!$T$5:$T$404,"&lt;="&amp;首页!$B$7)-SUMIFS(资金流水!$N$5:$N$504,资金流水!$G$5:$G$504,$A70,资金流水!$E$5:$E$504,"供应商付款",资金流水!$B$5:$B$504,"&lt;="&amp;首页!$B$7)))-$K70-$J70-$I70)</f>
        <v/>
      </c>
      <c r="I70" s="44" t="str">
        <f aca="false">IF($A70="","",MIN($F70,MAX(0,SUMIFS(期初数据!$L$6:$L$155,期初数据!$J$6:$J$155,$A70,期初数据!$K$6:$K$155,"&lt;="&amp;首页!$B$7-30)+SUMIFS(采购录入!$S$5:$S$404,采购录入!$D$5:$D$404,$A70,采购录入!$T$5:$T$404,"&lt;="&amp;首页!$B$7-30)-SUMIFS(资金流水!$N$5:$N$504,资金流水!$G$5:$G$504,$A70,资金流水!$E$5:$E$504,"供应商付款",资金流水!$B$5:$B$504,"&lt;="&amp;首页!$B$7)))-$K70-$J70)</f>
        <v/>
      </c>
      <c r="J70" s="44" t="str">
        <f aca="false">IF($A70="","",MIN($F70,MAX(0,SUMIFS(期初数据!$L$6:$L$155,期初数据!$J$6:$J$155,$A70,期初数据!$K$6:$K$155,"&lt;="&amp;首页!$B$7-60)+SUMIFS(采购录入!$S$5:$S$404,采购录入!$D$5:$D$404,$A70,采购录入!$T$5:$T$404,"&lt;="&amp;首页!$B$7-60)-SUMIFS(资金流水!$N$5:$N$504,资金流水!$G$5:$G$504,$A70,资金流水!$E$5:$E$504,"供应商付款",资金流水!$B$5:$B$504,"&lt;="&amp;首页!$B$7)))-$K70)</f>
        <v/>
      </c>
      <c r="K70" s="44" t="str">
        <f aca="false">IF($A70="","",MIN($F70,MAX(0,SUMIFS(期初数据!$L$6:$L$155,期初数据!$J$6:$J$155,$A70,期初数据!$K$6:$K$155,"&lt;="&amp;首页!$B$7-90)+SUMIFS(采购录入!$S$5:$S$404,采购录入!$D$5:$D$404,$A70,采购录入!$T$5:$T$404,"&lt;="&amp;首页!$B$7-90)-SUMIFS(资金流水!$N$5:$N$504,资金流水!$G$5:$G$504,$A70,资金流水!$E$5:$E$504,"供应商付款",资金流水!$B$5:$B$504,"&lt;="&amp;首页!$B$7))))</f>
        <v/>
      </c>
      <c r="L70" s="62" t="str">
        <f aca="false">IF($A70="","",$H70+$I70+$J70+$K70)</f>
        <v/>
      </c>
      <c r="M70" s="47" t="str">
        <f aca="false">IF($A70="","",IF($K70&gt;0,"高危",IF($J70&gt;0,"关注",IF($L70&gt;0,"提醒","正常"))))</f>
        <v/>
      </c>
      <c r="N70" s="42" t="str">
        <f aca="false">IF($A70="","",基础资料!$AG70)</f>
        <v/>
      </c>
    </row>
    <row r="71" customFormat="false" ht="15.75" hidden="false" customHeight="true" outlineLevel="0" collapsed="false">
      <c r="A71" s="35" t="str">
        <f aca="false">IF(基础资料!$AF71="","",基础资料!$AF71)</f>
        <v/>
      </c>
      <c r="B71" s="42" t="str">
        <f aca="false">IF($A71="","",N(基础资料!$AH71))</f>
        <v/>
      </c>
      <c r="C71" s="54" t="str">
        <f aca="false">IF($A71="","",SUMIFS(期初数据!$L$6:$L$155,期初数据!$J$6:$J$155,$A71,期初数据!$K$6:$K$155,"&lt;"&amp;首页!$B$6)+SUMIFS(采购录入!$S$5:$S$404,采购录入!$D$5:$D$404,$A71,采购录入!$B$5:$B$404,"&lt;"&amp;首页!$B$6)-SUMIFS(资金流水!$N$5:$N$504,资金流水!$G$5:$G$504,$A71,资金流水!$E$5:$E$504,"供应商付款",资金流水!$B$5:$B$504,"&lt;"&amp;首页!$B$6))</f>
        <v/>
      </c>
      <c r="D71" s="54" t="str">
        <f aca="false">IF($A71="","",SUMIFS(采购录入!$S$5:$S$404,采购录入!$D$5:$D$404,$A71,采购录入!$C$5:$C$404,首页!$B$5))</f>
        <v/>
      </c>
      <c r="E71" s="54" t="str">
        <f aca="false">IF($A71="","",SUMIFS(资金流水!$N$5:$N$504,资金流水!$G$5:$G$504,$A71,资金流水!$E$5:$E$504,"供应商付款",资金流水!$C$5:$C$504,首页!$B$5))</f>
        <v/>
      </c>
      <c r="F71" s="62" t="str">
        <f aca="false">IF($A71="","",$C71+$D71-$E71)</f>
        <v/>
      </c>
      <c r="G71" s="44" t="str">
        <f aca="false">IF($A71="","",$F71-$H71-$I71-$J71-$K71)</f>
        <v/>
      </c>
      <c r="H71" s="44" t="str">
        <f aca="false">IF($A71="","",MIN($F71,MAX(0,SUMIFS(期初数据!$L$6:$L$155,期初数据!$J$6:$J$155,$A71,期初数据!$K$6:$K$155,"&lt;="&amp;首页!$B$7)+SUMIFS(采购录入!$S$5:$S$404,采购录入!$D$5:$D$404,$A71,采购录入!$T$5:$T$404,"&lt;="&amp;首页!$B$7)-SUMIFS(资金流水!$N$5:$N$504,资金流水!$G$5:$G$504,$A71,资金流水!$E$5:$E$504,"供应商付款",资金流水!$B$5:$B$504,"&lt;="&amp;首页!$B$7)))-$K71-$J71-$I71)</f>
        <v/>
      </c>
      <c r="I71" s="44" t="str">
        <f aca="false">IF($A71="","",MIN($F71,MAX(0,SUMIFS(期初数据!$L$6:$L$155,期初数据!$J$6:$J$155,$A71,期初数据!$K$6:$K$155,"&lt;="&amp;首页!$B$7-30)+SUMIFS(采购录入!$S$5:$S$404,采购录入!$D$5:$D$404,$A71,采购录入!$T$5:$T$404,"&lt;="&amp;首页!$B$7-30)-SUMIFS(资金流水!$N$5:$N$504,资金流水!$G$5:$G$504,$A71,资金流水!$E$5:$E$504,"供应商付款",资金流水!$B$5:$B$504,"&lt;="&amp;首页!$B$7)))-$K71-$J71)</f>
        <v/>
      </c>
      <c r="J71" s="44" t="str">
        <f aca="false">IF($A71="","",MIN($F71,MAX(0,SUMIFS(期初数据!$L$6:$L$155,期初数据!$J$6:$J$155,$A71,期初数据!$K$6:$K$155,"&lt;="&amp;首页!$B$7-60)+SUMIFS(采购录入!$S$5:$S$404,采购录入!$D$5:$D$404,$A71,采购录入!$T$5:$T$404,"&lt;="&amp;首页!$B$7-60)-SUMIFS(资金流水!$N$5:$N$504,资金流水!$G$5:$G$504,$A71,资金流水!$E$5:$E$504,"供应商付款",资金流水!$B$5:$B$504,"&lt;="&amp;首页!$B$7)))-$K71)</f>
        <v/>
      </c>
      <c r="K71" s="44" t="str">
        <f aca="false">IF($A71="","",MIN($F71,MAX(0,SUMIFS(期初数据!$L$6:$L$155,期初数据!$J$6:$J$155,$A71,期初数据!$K$6:$K$155,"&lt;="&amp;首页!$B$7-90)+SUMIFS(采购录入!$S$5:$S$404,采购录入!$D$5:$D$404,$A71,采购录入!$T$5:$T$404,"&lt;="&amp;首页!$B$7-90)-SUMIFS(资金流水!$N$5:$N$504,资金流水!$G$5:$G$504,$A71,资金流水!$E$5:$E$504,"供应商付款",资金流水!$B$5:$B$504,"&lt;="&amp;首页!$B$7))))</f>
        <v/>
      </c>
      <c r="L71" s="62" t="str">
        <f aca="false">IF($A71="","",$H71+$I71+$J71+$K71)</f>
        <v/>
      </c>
      <c r="M71" s="47" t="str">
        <f aca="false">IF($A71="","",IF($K71&gt;0,"高危",IF($J71&gt;0,"关注",IF($L71&gt;0,"提醒","正常"))))</f>
        <v/>
      </c>
      <c r="N71" s="42" t="str">
        <f aca="false">IF($A71="","",基础资料!$AG71)</f>
        <v/>
      </c>
    </row>
    <row r="72" customFormat="false" ht="15.75" hidden="false" customHeight="true" outlineLevel="0" collapsed="false">
      <c r="A72" s="35" t="str">
        <f aca="false">IF(基础资料!$AF72="","",基础资料!$AF72)</f>
        <v/>
      </c>
      <c r="B72" s="42" t="str">
        <f aca="false">IF($A72="","",N(基础资料!$AH72))</f>
        <v/>
      </c>
      <c r="C72" s="54" t="str">
        <f aca="false">IF($A72="","",SUMIFS(期初数据!$L$6:$L$155,期初数据!$J$6:$J$155,$A72,期初数据!$K$6:$K$155,"&lt;"&amp;首页!$B$6)+SUMIFS(采购录入!$S$5:$S$404,采购录入!$D$5:$D$404,$A72,采购录入!$B$5:$B$404,"&lt;"&amp;首页!$B$6)-SUMIFS(资金流水!$N$5:$N$504,资金流水!$G$5:$G$504,$A72,资金流水!$E$5:$E$504,"供应商付款",资金流水!$B$5:$B$504,"&lt;"&amp;首页!$B$6))</f>
        <v/>
      </c>
      <c r="D72" s="54" t="str">
        <f aca="false">IF($A72="","",SUMIFS(采购录入!$S$5:$S$404,采购录入!$D$5:$D$404,$A72,采购录入!$C$5:$C$404,首页!$B$5))</f>
        <v/>
      </c>
      <c r="E72" s="54" t="str">
        <f aca="false">IF($A72="","",SUMIFS(资金流水!$N$5:$N$504,资金流水!$G$5:$G$504,$A72,资金流水!$E$5:$E$504,"供应商付款",资金流水!$C$5:$C$504,首页!$B$5))</f>
        <v/>
      </c>
      <c r="F72" s="62" t="str">
        <f aca="false">IF($A72="","",$C72+$D72-$E72)</f>
        <v/>
      </c>
      <c r="G72" s="44" t="str">
        <f aca="false">IF($A72="","",$F72-$H72-$I72-$J72-$K72)</f>
        <v/>
      </c>
      <c r="H72" s="44" t="str">
        <f aca="false">IF($A72="","",MIN($F72,MAX(0,SUMIFS(期初数据!$L$6:$L$155,期初数据!$J$6:$J$155,$A72,期初数据!$K$6:$K$155,"&lt;="&amp;首页!$B$7)+SUMIFS(采购录入!$S$5:$S$404,采购录入!$D$5:$D$404,$A72,采购录入!$T$5:$T$404,"&lt;="&amp;首页!$B$7)-SUMIFS(资金流水!$N$5:$N$504,资金流水!$G$5:$G$504,$A72,资金流水!$E$5:$E$504,"供应商付款",资金流水!$B$5:$B$504,"&lt;="&amp;首页!$B$7)))-$K72-$J72-$I72)</f>
        <v/>
      </c>
      <c r="I72" s="44" t="str">
        <f aca="false">IF($A72="","",MIN($F72,MAX(0,SUMIFS(期初数据!$L$6:$L$155,期初数据!$J$6:$J$155,$A72,期初数据!$K$6:$K$155,"&lt;="&amp;首页!$B$7-30)+SUMIFS(采购录入!$S$5:$S$404,采购录入!$D$5:$D$404,$A72,采购录入!$T$5:$T$404,"&lt;="&amp;首页!$B$7-30)-SUMIFS(资金流水!$N$5:$N$504,资金流水!$G$5:$G$504,$A72,资金流水!$E$5:$E$504,"供应商付款",资金流水!$B$5:$B$504,"&lt;="&amp;首页!$B$7)))-$K72-$J72)</f>
        <v/>
      </c>
      <c r="J72" s="44" t="str">
        <f aca="false">IF($A72="","",MIN($F72,MAX(0,SUMIFS(期初数据!$L$6:$L$155,期初数据!$J$6:$J$155,$A72,期初数据!$K$6:$K$155,"&lt;="&amp;首页!$B$7-60)+SUMIFS(采购录入!$S$5:$S$404,采购录入!$D$5:$D$404,$A72,采购录入!$T$5:$T$404,"&lt;="&amp;首页!$B$7-60)-SUMIFS(资金流水!$N$5:$N$504,资金流水!$G$5:$G$504,$A72,资金流水!$E$5:$E$504,"供应商付款",资金流水!$B$5:$B$504,"&lt;="&amp;首页!$B$7)))-$K72)</f>
        <v/>
      </c>
      <c r="K72" s="44" t="str">
        <f aca="false">IF($A72="","",MIN($F72,MAX(0,SUMIFS(期初数据!$L$6:$L$155,期初数据!$J$6:$J$155,$A72,期初数据!$K$6:$K$155,"&lt;="&amp;首页!$B$7-90)+SUMIFS(采购录入!$S$5:$S$404,采购录入!$D$5:$D$404,$A72,采购录入!$T$5:$T$404,"&lt;="&amp;首页!$B$7-90)-SUMIFS(资金流水!$N$5:$N$504,资金流水!$G$5:$G$504,$A72,资金流水!$E$5:$E$504,"供应商付款",资金流水!$B$5:$B$504,"&lt;="&amp;首页!$B$7))))</f>
        <v/>
      </c>
      <c r="L72" s="62" t="str">
        <f aca="false">IF($A72="","",$H72+$I72+$J72+$K72)</f>
        <v/>
      </c>
      <c r="M72" s="47" t="str">
        <f aca="false">IF($A72="","",IF($K72&gt;0,"高危",IF($J72&gt;0,"关注",IF($L72&gt;0,"提醒","正常"))))</f>
        <v/>
      </c>
      <c r="N72" s="42" t="str">
        <f aca="false">IF($A72="","",基础资料!$AG72)</f>
        <v/>
      </c>
    </row>
    <row r="73" customFormat="false" ht="15.75" hidden="false" customHeight="true" outlineLevel="0" collapsed="false">
      <c r="A73" s="35" t="str">
        <f aca="false">IF(基础资料!$AF73="","",基础资料!$AF73)</f>
        <v/>
      </c>
      <c r="B73" s="42" t="str">
        <f aca="false">IF($A73="","",N(基础资料!$AH73))</f>
        <v/>
      </c>
      <c r="C73" s="54" t="str">
        <f aca="false">IF($A73="","",SUMIFS(期初数据!$L$6:$L$155,期初数据!$J$6:$J$155,$A73,期初数据!$K$6:$K$155,"&lt;"&amp;首页!$B$6)+SUMIFS(采购录入!$S$5:$S$404,采购录入!$D$5:$D$404,$A73,采购录入!$B$5:$B$404,"&lt;"&amp;首页!$B$6)-SUMIFS(资金流水!$N$5:$N$504,资金流水!$G$5:$G$504,$A73,资金流水!$E$5:$E$504,"供应商付款",资金流水!$B$5:$B$504,"&lt;"&amp;首页!$B$6))</f>
        <v/>
      </c>
      <c r="D73" s="54" t="str">
        <f aca="false">IF($A73="","",SUMIFS(采购录入!$S$5:$S$404,采购录入!$D$5:$D$404,$A73,采购录入!$C$5:$C$404,首页!$B$5))</f>
        <v/>
      </c>
      <c r="E73" s="54" t="str">
        <f aca="false">IF($A73="","",SUMIFS(资金流水!$N$5:$N$504,资金流水!$G$5:$G$504,$A73,资金流水!$E$5:$E$504,"供应商付款",资金流水!$C$5:$C$504,首页!$B$5))</f>
        <v/>
      </c>
      <c r="F73" s="62" t="str">
        <f aca="false">IF($A73="","",$C73+$D73-$E73)</f>
        <v/>
      </c>
      <c r="G73" s="44" t="str">
        <f aca="false">IF($A73="","",$F73-$H73-$I73-$J73-$K73)</f>
        <v/>
      </c>
      <c r="H73" s="44" t="str">
        <f aca="false">IF($A73="","",MIN($F73,MAX(0,SUMIFS(期初数据!$L$6:$L$155,期初数据!$J$6:$J$155,$A73,期初数据!$K$6:$K$155,"&lt;="&amp;首页!$B$7)+SUMIFS(采购录入!$S$5:$S$404,采购录入!$D$5:$D$404,$A73,采购录入!$T$5:$T$404,"&lt;="&amp;首页!$B$7)-SUMIFS(资金流水!$N$5:$N$504,资金流水!$G$5:$G$504,$A73,资金流水!$E$5:$E$504,"供应商付款",资金流水!$B$5:$B$504,"&lt;="&amp;首页!$B$7)))-$K73-$J73-$I73)</f>
        <v/>
      </c>
      <c r="I73" s="44" t="str">
        <f aca="false">IF($A73="","",MIN($F73,MAX(0,SUMIFS(期初数据!$L$6:$L$155,期初数据!$J$6:$J$155,$A73,期初数据!$K$6:$K$155,"&lt;="&amp;首页!$B$7-30)+SUMIFS(采购录入!$S$5:$S$404,采购录入!$D$5:$D$404,$A73,采购录入!$T$5:$T$404,"&lt;="&amp;首页!$B$7-30)-SUMIFS(资金流水!$N$5:$N$504,资金流水!$G$5:$G$504,$A73,资金流水!$E$5:$E$504,"供应商付款",资金流水!$B$5:$B$504,"&lt;="&amp;首页!$B$7)))-$K73-$J73)</f>
        <v/>
      </c>
      <c r="J73" s="44" t="str">
        <f aca="false">IF($A73="","",MIN($F73,MAX(0,SUMIFS(期初数据!$L$6:$L$155,期初数据!$J$6:$J$155,$A73,期初数据!$K$6:$K$155,"&lt;="&amp;首页!$B$7-60)+SUMIFS(采购录入!$S$5:$S$404,采购录入!$D$5:$D$404,$A73,采购录入!$T$5:$T$404,"&lt;="&amp;首页!$B$7-60)-SUMIFS(资金流水!$N$5:$N$504,资金流水!$G$5:$G$504,$A73,资金流水!$E$5:$E$504,"供应商付款",资金流水!$B$5:$B$504,"&lt;="&amp;首页!$B$7)))-$K73)</f>
        <v/>
      </c>
      <c r="K73" s="44" t="str">
        <f aca="false">IF($A73="","",MIN($F73,MAX(0,SUMIFS(期初数据!$L$6:$L$155,期初数据!$J$6:$J$155,$A73,期初数据!$K$6:$K$155,"&lt;="&amp;首页!$B$7-90)+SUMIFS(采购录入!$S$5:$S$404,采购录入!$D$5:$D$404,$A73,采购录入!$T$5:$T$404,"&lt;="&amp;首页!$B$7-90)-SUMIFS(资金流水!$N$5:$N$504,资金流水!$G$5:$G$504,$A73,资金流水!$E$5:$E$504,"供应商付款",资金流水!$B$5:$B$504,"&lt;="&amp;首页!$B$7))))</f>
        <v/>
      </c>
      <c r="L73" s="62" t="str">
        <f aca="false">IF($A73="","",$H73+$I73+$J73+$K73)</f>
        <v/>
      </c>
      <c r="M73" s="47" t="str">
        <f aca="false">IF($A73="","",IF($K73&gt;0,"高危",IF($J73&gt;0,"关注",IF($L73&gt;0,"提醒","正常"))))</f>
        <v/>
      </c>
      <c r="N73" s="42" t="str">
        <f aca="false">IF($A73="","",基础资料!$AG73)</f>
        <v/>
      </c>
    </row>
    <row r="74" customFormat="false" ht="15.75" hidden="false" customHeight="true" outlineLevel="0" collapsed="false">
      <c r="A74" s="35" t="str">
        <f aca="false">IF(基础资料!$AF74="","",基础资料!$AF74)</f>
        <v/>
      </c>
      <c r="B74" s="42" t="str">
        <f aca="false">IF($A74="","",N(基础资料!$AH74))</f>
        <v/>
      </c>
      <c r="C74" s="54" t="str">
        <f aca="false">IF($A74="","",SUMIFS(期初数据!$L$6:$L$155,期初数据!$J$6:$J$155,$A74,期初数据!$K$6:$K$155,"&lt;"&amp;首页!$B$6)+SUMIFS(采购录入!$S$5:$S$404,采购录入!$D$5:$D$404,$A74,采购录入!$B$5:$B$404,"&lt;"&amp;首页!$B$6)-SUMIFS(资金流水!$N$5:$N$504,资金流水!$G$5:$G$504,$A74,资金流水!$E$5:$E$504,"供应商付款",资金流水!$B$5:$B$504,"&lt;"&amp;首页!$B$6))</f>
        <v/>
      </c>
      <c r="D74" s="54" t="str">
        <f aca="false">IF($A74="","",SUMIFS(采购录入!$S$5:$S$404,采购录入!$D$5:$D$404,$A74,采购录入!$C$5:$C$404,首页!$B$5))</f>
        <v/>
      </c>
      <c r="E74" s="54" t="str">
        <f aca="false">IF($A74="","",SUMIFS(资金流水!$N$5:$N$504,资金流水!$G$5:$G$504,$A74,资金流水!$E$5:$E$504,"供应商付款",资金流水!$C$5:$C$504,首页!$B$5))</f>
        <v/>
      </c>
      <c r="F74" s="62" t="str">
        <f aca="false">IF($A74="","",$C74+$D74-$E74)</f>
        <v/>
      </c>
      <c r="G74" s="44" t="str">
        <f aca="false">IF($A74="","",$F74-$H74-$I74-$J74-$K74)</f>
        <v/>
      </c>
      <c r="H74" s="44" t="str">
        <f aca="false">IF($A74="","",MIN($F74,MAX(0,SUMIFS(期初数据!$L$6:$L$155,期初数据!$J$6:$J$155,$A74,期初数据!$K$6:$K$155,"&lt;="&amp;首页!$B$7)+SUMIFS(采购录入!$S$5:$S$404,采购录入!$D$5:$D$404,$A74,采购录入!$T$5:$T$404,"&lt;="&amp;首页!$B$7)-SUMIFS(资金流水!$N$5:$N$504,资金流水!$G$5:$G$504,$A74,资金流水!$E$5:$E$504,"供应商付款",资金流水!$B$5:$B$504,"&lt;="&amp;首页!$B$7)))-$K74-$J74-$I74)</f>
        <v/>
      </c>
      <c r="I74" s="44" t="str">
        <f aca="false">IF($A74="","",MIN($F74,MAX(0,SUMIFS(期初数据!$L$6:$L$155,期初数据!$J$6:$J$155,$A74,期初数据!$K$6:$K$155,"&lt;="&amp;首页!$B$7-30)+SUMIFS(采购录入!$S$5:$S$404,采购录入!$D$5:$D$404,$A74,采购录入!$T$5:$T$404,"&lt;="&amp;首页!$B$7-30)-SUMIFS(资金流水!$N$5:$N$504,资金流水!$G$5:$G$504,$A74,资金流水!$E$5:$E$504,"供应商付款",资金流水!$B$5:$B$504,"&lt;="&amp;首页!$B$7)))-$K74-$J74)</f>
        <v/>
      </c>
      <c r="J74" s="44" t="str">
        <f aca="false">IF($A74="","",MIN($F74,MAX(0,SUMIFS(期初数据!$L$6:$L$155,期初数据!$J$6:$J$155,$A74,期初数据!$K$6:$K$155,"&lt;="&amp;首页!$B$7-60)+SUMIFS(采购录入!$S$5:$S$404,采购录入!$D$5:$D$404,$A74,采购录入!$T$5:$T$404,"&lt;="&amp;首页!$B$7-60)-SUMIFS(资金流水!$N$5:$N$504,资金流水!$G$5:$G$504,$A74,资金流水!$E$5:$E$504,"供应商付款",资金流水!$B$5:$B$504,"&lt;="&amp;首页!$B$7)))-$K74)</f>
        <v/>
      </c>
      <c r="K74" s="44" t="str">
        <f aca="false">IF($A74="","",MIN($F74,MAX(0,SUMIFS(期初数据!$L$6:$L$155,期初数据!$J$6:$J$155,$A74,期初数据!$K$6:$K$155,"&lt;="&amp;首页!$B$7-90)+SUMIFS(采购录入!$S$5:$S$404,采购录入!$D$5:$D$404,$A74,采购录入!$T$5:$T$404,"&lt;="&amp;首页!$B$7-90)-SUMIFS(资金流水!$N$5:$N$504,资金流水!$G$5:$G$504,$A74,资金流水!$E$5:$E$504,"供应商付款",资金流水!$B$5:$B$504,"&lt;="&amp;首页!$B$7))))</f>
        <v/>
      </c>
      <c r="L74" s="62" t="str">
        <f aca="false">IF($A74="","",$H74+$I74+$J74+$K74)</f>
        <v/>
      </c>
      <c r="M74" s="47" t="str">
        <f aca="false">IF($A74="","",IF($K74&gt;0,"高危",IF($J74&gt;0,"关注",IF($L74&gt;0,"提醒","正常"))))</f>
        <v/>
      </c>
      <c r="N74" s="42" t="str">
        <f aca="false">IF($A74="","",基础资料!$AG74)</f>
        <v/>
      </c>
    </row>
    <row r="75" customFormat="false" ht="15.75" hidden="false" customHeight="true" outlineLevel="0" collapsed="false">
      <c r="A75" s="35" t="str">
        <f aca="false">IF(基础资料!$AF75="","",基础资料!$AF75)</f>
        <v/>
      </c>
      <c r="B75" s="42" t="str">
        <f aca="false">IF($A75="","",N(基础资料!$AH75))</f>
        <v/>
      </c>
      <c r="C75" s="54" t="str">
        <f aca="false">IF($A75="","",SUMIFS(期初数据!$L$6:$L$155,期初数据!$J$6:$J$155,$A75,期初数据!$K$6:$K$155,"&lt;"&amp;首页!$B$6)+SUMIFS(采购录入!$S$5:$S$404,采购录入!$D$5:$D$404,$A75,采购录入!$B$5:$B$404,"&lt;"&amp;首页!$B$6)-SUMIFS(资金流水!$N$5:$N$504,资金流水!$G$5:$G$504,$A75,资金流水!$E$5:$E$504,"供应商付款",资金流水!$B$5:$B$504,"&lt;"&amp;首页!$B$6))</f>
        <v/>
      </c>
      <c r="D75" s="54" t="str">
        <f aca="false">IF($A75="","",SUMIFS(采购录入!$S$5:$S$404,采购录入!$D$5:$D$404,$A75,采购录入!$C$5:$C$404,首页!$B$5))</f>
        <v/>
      </c>
      <c r="E75" s="54" t="str">
        <f aca="false">IF($A75="","",SUMIFS(资金流水!$N$5:$N$504,资金流水!$G$5:$G$504,$A75,资金流水!$E$5:$E$504,"供应商付款",资金流水!$C$5:$C$504,首页!$B$5))</f>
        <v/>
      </c>
      <c r="F75" s="62" t="str">
        <f aca="false">IF($A75="","",$C75+$D75-$E75)</f>
        <v/>
      </c>
      <c r="G75" s="44" t="str">
        <f aca="false">IF($A75="","",$F75-$H75-$I75-$J75-$K75)</f>
        <v/>
      </c>
      <c r="H75" s="44" t="str">
        <f aca="false">IF($A75="","",MIN($F75,MAX(0,SUMIFS(期初数据!$L$6:$L$155,期初数据!$J$6:$J$155,$A75,期初数据!$K$6:$K$155,"&lt;="&amp;首页!$B$7)+SUMIFS(采购录入!$S$5:$S$404,采购录入!$D$5:$D$404,$A75,采购录入!$T$5:$T$404,"&lt;="&amp;首页!$B$7)-SUMIFS(资金流水!$N$5:$N$504,资金流水!$G$5:$G$504,$A75,资金流水!$E$5:$E$504,"供应商付款",资金流水!$B$5:$B$504,"&lt;="&amp;首页!$B$7)))-$K75-$J75-$I75)</f>
        <v/>
      </c>
      <c r="I75" s="44" t="str">
        <f aca="false">IF($A75="","",MIN($F75,MAX(0,SUMIFS(期初数据!$L$6:$L$155,期初数据!$J$6:$J$155,$A75,期初数据!$K$6:$K$155,"&lt;="&amp;首页!$B$7-30)+SUMIFS(采购录入!$S$5:$S$404,采购录入!$D$5:$D$404,$A75,采购录入!$T$5:$T$404,"&lt;="&amp;首页!$B$7-30)-SUMIFS(资金流水!$N$5:$N$504,资金流水!$G$5:$G$504,$A75,资金流水!$E$5:$E$504,"供应商付款",资金流水!$B$5:$B$504,"&lt;="&amp;首页!$B$7)))-$K75-$J75)</f>
        <v/>
      </c>
      <c r="J75" s="44" t="str">
        <f aca="false">IF($A75="","",MIN($F75,MAX(0,SUMIFS(期初数据!$L$6:$L$155,期初数据!$J$6:$J$155,$A75,期初数据!$K$6:$K$155,"&lt;="&amp;首页!$B$7-60)+SUMIFS(采购录入!$S$5:$S$404,采购录入!$D$5:$D$404,$A75,采购录入!$T$5:$T$404,"&lt;="&amp;首页!$B$7-60)-SUMIFS(资金流水!$N$5:$N$504,资金流水!$G$5:$G$504,$A75,资金流水!$E$5:$E$504,"供应商付款",资金流水!$B$5:$B$504,"&lt;="&amp;首页!$B$7)))-$K75)</f>
        <v/>
      </c>
      <c r="K75" s="44" t="str">
        <f aca="false">IF($A75="","",MIN($F75,MAX(0,SUMIFS(期初数据!$L$6:$L$155,期初数据!$J$6:$J$155,$A75,期初数据!$K$6:$K$155,"&lt;="&amp;首页!$B$7-90)+SUMIFS(采购录入!$S$5:$S$404,采购录入!$D$5:$D$404,$A75,采购录入!$T$5:$T$404,"&lt;="&amp;首页!$B$7-90)-SUMIFS(资金流水!$N$5:$N$504,资金流水!$G$5:$G$504,$A75,资金流水!$E$5:$E$504,"供应商付款",资金流水!$B$5:$B$504,"&lt;="&amp;首页!$B$7))))</f>
        <v/>
      </c>
      <c r="L75" s="62" t="str">
        <f aca="false">IF($A75="","",$H75+$I75+$J75+$K75)</f>
        <v/>
      </c>
      <c r="M75" s="47" t="str">
        <f aca="false">IF($A75="","",IF($K75&gt;0,"高危",IF($J75&gt;0,"关注",IF($L75&gt;0,"提醒","正常"))))</f>
        <v/>
      </c>
      <c r="N75" s="42" t="str">
        <f aca="false">IF($A75="","",基础资料!$AG75)</f>
        <v/>
      </c>
    </row>
    <row r="76" customFormat="false" ht="15.75" hidden="false" customHeight="true" outlineLevel="0" collapsed="false">
      <c r="A76" s="35" t="str">
        <f aca="false">IF(基础资料!$AF76="","",基础资料!$AF76)</f>
        <v/>
      </c>
      <c r="B76" s="42" t="str">
        <f aca="false">IF($A76="","",N(基础资料!$AH76))</f>
        <v/>
      </c>
      <c r="C76" s="54" t="str">
        <f aca="false">IF($A76="","",SUMIFS(期初数据!$L$6:$L$155,期初数据!$J$6:$J$155,$A76,期初数据!$K$6:$K$155,"&lt;"&amp;首页!$B$6)+SUMIFS(采购录入!$S$5:$S$404,采购录入!$D$5:$D$404,$A76,采购录入!$B$5:$B$404,"&lt;"&amp;首页!$B$6)-SUMIFS(资金流水!$N$5:$N$504,资金流水!$G$5:$G$504,$A76,资金流水!$E$5:$E$504,"供应商付款",资金流水!$B$5:$B$504,"&lt;"&amp;首页!$B$6))</f>
        <v/>
      </c>
      <c r="D76" s="54" t="str">
        <f aca="false">IF($A76="","",SUMIFS(采购录入!$S$5:$S$404,采购录入!$D$5:$D$404,$A76,采购录入!$C$5:$C$404,首页!$B$5))</f>
        <v/>
      </c>
      <c r="E76" s="54" t="str">
        <f aca="false">IF($A76="","",SUMIFS(资金流水!$N$5:$N$504,资金流水!$G$5:$G$504,$A76,资金流水!$E$5:$E$504,"供应商付款",资金流水!$C$5:$C$504,首页!$B$5))</f>
        <v/>
      </c>
      <c r="F76" s="62" t="str">
        <f aca="false">IF($A76="","",$C76+$D76-$E76)</f>
        <v/>
      </c>
      <c r="G76" s="44" t="str">
        <f aca="false">IF($A76="","",$F76-$H76-$I76-$J76-$K76)</f>
        <v/>
      </c>
      <c r="H76" s="44" t="str">
        <f aca="false">IF($A76="","",MIN($F76,MAX(0,SUMIFS(期初数据!$L$6:$L$155,期初数据!$J$6:$J$155,$A76,期初数据!$K$6:$K$155,"&lt;="&amp;首页!$B$7)+SUMIFS(采购录入!$S$5:$S$404,采购录入!$D$5:$D$404,$A76,采购录入!$T$5:$T$404,"&lt;="&amp;首页!$B$7)-SUMIFS(资金流水!$N$5:$N$504,资金流水!$G$5:$G$504,$A76,资金流水!$E$5:$E$504,"供应商付款",资金流水!$B$5:$B$504,"&lt;="&amp;首页!$B$7)))-$K76-$J76-$I76)</f>
        <v/>
      </c>
      <c r="I76" s="44" t="str">
        <f aca="false">IF($A76="","",MIN($F76,MAX(0,SUMIFS(期初数据!$L$6:$L$155,期初数据!$J$6:$J$155,$A76,期初数据!$K$6:$K$155,"&lt;="&amp;首页!$B$7-30)+SUMIFS(采购录入!$S$5:$S$404,采购录入!$D$5:$D$404,$A76,采购录入!$T$5:$T$404,"&lt;="&amp;首页!$B$7-30)-SUMIFS(资金流水!$N$5:$N$504,资金流水!$G$5:$G$504,$A76,资金流水!$E$5:$E$504,"供应商付款",资金流水!$B$5:$B$504,"&lt;="&amp;首页!$B$7)))-$K76-$J76)</f>
        <v/>
      </c>
      <c r="J76" s="44" t="str">
        <f aca="false">IF($A76="","",MIN($F76,MAX(0,SUMIFS(期初数据!$L$6:$L$155,期初数据!$J$6:$J$155,$A76,期初数据!$K$6:$K$155,"&lt;="&amp;首页!$B$7-60)+SUMIFS(采购录入!$S$5:$S$404,采购录入!$D$5:$D$404,$A76,采购录入!$T$5:$T$404,"&lt;="&amp;首页!$B$7-60)-SUMIFS(资金流水!$N$5:$N$504,资金流水!$G$5:$G$504,$A76,资金流水!$E$5:$E$504,"供应商付款",资金流水!$B$5:$B$504,"&lt;="&amp;首页!$B$7)))-$K76)</f>
        <v/>
      </c>
      <c r="K76" s="44" t="str">
        <f aca="false">IF($A76="","",MIN($F76,MAX(0,SUMIFS(期初数据!$L$6:$L$155,期初数据!$J$6:$J$155,$A76,期初数据!$K$6:$K$155,"&lt;="&amp;首页!$B$7-90)+SUMIFS(采购录入!$S$5:$S$404,采购录入!$D$5:$D$404,$A76,采购录入!$T$5:$T$404,"&lt;="&amp;首页!$B$7-90)-SUMIFS(资金流水!$N$5:$N$504,资金流水!$G$5:$G$504,$A76,资金流水!$E$5:$E$504,"供应商付款",资金流水!$B$5:$B$504,"&lt;="&amp;首页!$B$7))))</f>
        <v/>
      </c>
      <c r="L76" s="62" t="str">
        <f aca="false">IF($A76="","",$H76+$I76+$J76+$K76)</f>
        <v/>
      </c>
      <c r="M76" s="47" t="str">
        <f aca="false">IF($A76="","",IF($K76&gt;0,"高危",IF($J76&gt;0,"关注",IF($L76&gt;0,"提醒","正常"))))</f>
        <v/>
      </c>
      <c r="N76" s="42" t="str">
        <f aca="false">IF($A76="","",基础资料!$AG76)</f>
        <v/>
      </c>
    </row>
    <row r="77" customFormat="false" ht="15.75" hidden="false" customHeight="true" outlineLevel="0" collapsed="false">
      <c r="A77" s="35" t="str">
        <f aca="false">IF(基础资料!$AF77="","",基础资料!$AF77)</f>
        <v/>
      </c>
      <c r="B77" s="42" t="str">
        <f aca="false">IF($A77="","",N(基础资料!$AH77))</f>
        <v/>
      </c>
      <c r="C77" s="54" t="str">
        <f aca="false">IF($A77="","",SUMIFS(期初数据!$L$6:$L$155,期初数据!$J$6:$J$155,$A77,期初数据!$K$6:$K$155,"&lt;"&amp;首页!$B$6)+SUMIFS(采购录入!$S$5:$S$404,采购录入!$D$5:$D$404,$A77,采购录入!$B$5:$B$404,"&lt;"&amp;首页!$B$6)-SUMIFS(资金流水!$N$5:$N$504,资金流水!$G$5:$G$504,$A77,资金流水!$E$5:$E$504,"供应商付款",资金流水!$B$5:$B$504,"&lt;"&amp;首页!$B$6))</f>
        <v/>
      </c>
      <c r="D77" s="54" t="str">
        <f aca="false">IF($A77="","",SUMIFS(采购录入!$S$5:$S$404,采购录入!$D$5:$D$404,$A77,采购录入!$C$5:$C$404,首页!$B$5))</f>
        <v/>
      </c>
      <c r="E77" s="54" t="str">
        <f aca="false">IF($A77="","",SUMIFS(资金流水!$N$5:$N$504,资金流水!$G$5:$G$504,$A77,资金流水!$E$5:$E$504,"供应商付款",资金流水!$C$5:$C$504,首页!$B$5))</f>
        <v/>
      </c>
      <c r="F77" s="62" t="str">
        <f aca="false">IF($A77="","",$C77+$D77-$E77)</f>
        <v/>
      </c>
      <c r="G77" s="44" t="str">
        <f aca="false">IF($A77="","",$F77-$H77-$I77-$J77-$K77)</f>
        <v/>
      </c>
      <c r="H77" s="44" t="str">
        <f aca="false">IF($A77="","",MIN($F77,MAX(0,SUMIFS(期初数据!$L$6:$L$155,期初数据!$J$6:$J$155,$A77,期初数据!$K$6:$K$155,"&lt;="&amp;首页!$B$7)+SUMIFS(采购录入!$S$5:$S$404,采购录入!$D$5:$D$404,$A77,采购录入!$T$5:$T$404,"&lt;="&amp;首页!$B$7)-SUMIFS(资金流水!$N$5:$N$504,资金流水!$G$5:$G$504,$A77,资金流水!$E$5:$E$504,"供应商付款",资金流水!$B$5:$B$504,"&lt;="&amp;首页!$B$7)))-$K77-$J77-$I77)</f>
        <v/>
      </c>
      <c r="I77" s="44" t="str">
        <f aca="false">IF($A77="","",MIN($F77,MAX(0,SUMIFS(期初数据!$L$6:$L$155,期初数据!$J$6:$J$155,$A77,期初数据!$K$6:$K$155,"&lt;="&amp;首页!$B$7-30)+SUMIFS(采购录入!$S$5:$S$404,采购录入!$D$5:$D$404,$A77,采购录入!$T$5:$T$404,"&lt;="&amp;首页!$B$7-30)-SUMIFS(资金流水!$N$5:$N$504,资金流水!$G$5:$G$504,$A77,资金流水!$E$5:$E$504,"供应商付款",资金流水!$B$5:$B$504,"&lt;="&amp;首页!$B$7)))-$K77-$J77)</f>
        <v/>
      </c>
      <c r="J77" s="44" t="str">
        <f aca="false">IF($A77="","",MIN($F77,MAX(0,SUMIFS(期初数据!$L$6:$L$155,期初数据!$J$6:$J$155,$A77,期初数据!$K$6:$K$155,"&lt;="&amp;首页!$B$7-60)+SUMIFS(采购录入!$S$5:$S$404,采购录入!$D$5:$D$404,$A77,采购录入!$T$5:$T$404,"&lt;="&amp;首页!$B$7-60)-SUMIFS(资金流水!$N$5:$N$504,资金流水!$G$5:$G$504,$A77,资金流水!$E$5:$E$504,"供应商付款",资金流水!$B$5:$B$504,"&lt;="&amp;首页!$B$7)))-$K77)</f>
        <v/>
      </c>
      <c r="K77" s="44" t="str">
        <f aca="false">IF($A77="","",MIN($F77,MAX(0,SUMIFS(期初数据!$L$6:$L$155,期初数据!$J$6:$J$155,$A77,期初数据!$K$6:$K$155,"&lt;="&amp;首页!$B$7-90)+SUMIFS(采购录入!$S$5:$S$404,采购录入!$D$5:$D$404,$A77,采购录入!$T$5:$T$404,"&lt;="&amp;首页!$B$7-90)-SUMIFS(资金流水!$N$5:$N$504,资金流水!$G$5:$G$504,$A77,资金流水!$E$5:$E$504,"供应商付款",资金流水!$B$5:$B$504,"&lt;="&amp;首页!$B$7))))</f>
        <v/>
      </c>
      <c r="L77" s="62" t="str">
        <f aca="false">IF($A77="","",$H77+$I77+$J77+$K77)</f>
        <v/>
      </c>
      <c r="M77" s="47" t="str">
        <f aca="false">IF($A77="","",IF($K77&gt;0,"高危",IF($J77&gt;0,"关注",IF($L77&gt;0,"提醒","正常"))))</f>
        <v/>
      </c>
      <c r="N77" s="42" t="str">
        <f aca="false">IF($A77="","",基础资料!$AG77)</f>
        <v/>
      </c>
    </row>
    <row r="78" customFormat="false" ht="15.75" hidden="false" customHeight="true" outlineLevel="0" collapsed="false">
      <c r="A78" s="35" t="str">
        <f aca="false">IF(基础资料!$AF78="","",基础资料!$AF78)</f>
        <v/>
      </c>
      <c r="B78" s="42" t="str">
        <f aca="false">IF($A78="","",N(基础资料!$AH78))</f>
        <v/>
      </c>
      <c r="C78" s="54" t="str">
        <f aca="false">IF($A78="","",SUMIFS(期初数据!$L$6:$L$155,期初数据!$J$6:$J$155,$A78,期初数据!$K$6:$K$155,"&lt;"&amp;首页!$B$6)+SUMIFS(采购录入!$S$5:$S$404,采购录入!$D$5:$D$404,$A78,采购录入!$B$5:$B$404,"&lt;"&amp;首页!$B$6)-SUMIFS(资金流水!$N$5:$N$504,资金流水!$G$5:$G$504,$A78,资金流水!$E$5:$E$504,"供应商付款",资金流水!$B$5:$B$504,"&lt;"&amp;首页!$B$6))</f>
        <v/>
      </c>
      <c r="D78" s="54" t="str">
        <f aca="false">IF($A78="","",SUMIFS(采购录入!$S$5:$S$404,采购录入!$D$5:$D$404,$A78,采购录入!$C$5:$C$404,首页!$B$5))</f>
        <v/>
      </c>
      <c r="E78" s="54" t="str">
        <f aca="false">IF($A78="","",SUMIFS(资金流水!$N$5:$N$504,资金流水!$G$5:$G$504,$A78,资金流水!$E$5:$E$504,"供应商付款",资金流水!$C$5:$C$504,首页!$B$5))</f>
        <v/>
      </c>
      <c r="F78" s="62" t="str">
        <f aca="false">IF($A78="","",$C78+$D78-$E78)</f>
        <v/>
      </c>
      <c r="G78" s="44" t="str">
        <f aca="false">IF($A78="","",$F78-$H78-$I78-$J78-$K78)</f>
        <v/>
      </c>
      <c r="H78" s="44" t="str">
        <f aca="false">IF($A78="","",MIN($F78,MAX(0,SUMIFS(期初数据!$L$6:$L$155,期初数据!$J$6:$J$155,$A78,期初数据!$K$6:$K$155,"&lt;="&amp;首页!$B$7)+SUMIFS(采购录入!$S$5:$S$404,采购录入!$D$5:$D$404,$A78,采购录入!$T$5:$T$404,"&lt;="&amp;首页!$B$7)-SUMIFS(资金流水!$N$5:$N$504,资金流水!$G$5:$G$504,$A78,资金流水!$E$5:$E$504,"供应商付款",资金流水!$B$5:$B$504,"&lt;="&amp;首页!$B$7)))-$K78-$J78-$I78)</f>
        <v/>
      </c>
      <c r="I78" s="44" t="str">
        <f aca="false">IF($A78="","",MIN($F78,MAX(0,SUMIFS(期初数据!$L$6:$L$155,期初数据!$J$6:$J$155,$A78,期初数据!$K$6:$K$155,"&lt;="&amp;首页!$B$7-30)+SUMIFS(采购录入!$S$5:$S$404,采购录入!$D$5:$D$404,$A78,采购录入!$T$5:$T$404,"&lt;="&amp;首页!$B$7-30)-SUMIFS(资金流水!$N$5:$N$504,资金流水!$G$5:$G$504,$A78,资金流水!$E$5:$E$504,"供应商付款",资金流水!$B$5:$B$504,"&lt;="&amp;首页!$B$7)))-$K78-$J78)</f>
        <v/>
      </c>
      <c r="J78" s="44" t="str">
        <f aca="false">IF($A78="","",MIN($F78,MAX(0,SUMIFS(期初数据!$L$6:$L$155,期初数据!$J$6:$J$155,$A78,期初数据!$K$6:$K$155,"&lt;="&amp;首页!$B$7-60)+SUMIFS(采购录入!$S$5:$S$404,采购录入!$D$5:$D$404,$A78,采购录入!$T$5:$T$404,"&lt;="&amp;首页!$B$7-60)-SUMIFS(资金流水!$N$5:$N$504,资金流水!$G$5:$G$504,$A78,资金流水!$E$5:$E$504,"供应商付款",资金流水!$B$5:$B$504,"&lt;="&amp;首页!$B$7)))-$K78)</f>
        <v/>
      </c>
      <c r="K78" s="44" t="str">
        <f aca="false">IF($A78="","",MIN($F78,MAX(0,SUMIFS(期初数据!$L$6:$L$155,期初数据!$J$6:$J$155,$A78,期初数据!$K$6:$K$155,"&lt;="&amp;首页!$B$7-90)+SUMIFS(采购录入!$S$5:$S$404,采购录入!$D$5:$D$404,$A78,采购录入!$T$5:$T$404,"&lt;="&amp;首页!$B$7-90)-SUMIFS(资金流水!$N$5:$N$504,资金流水!$G$5:$G$504,$A78,资金流水!$E$5:$E$504,"供应商付款",资金流水!$B$5:$B$504,"&lt;="&amp;首页!$B$7))))</f>
        <v/>
      </c>
      <c r="L78" s="62" t="str">
        <f aca="false">IF($A78="","",$H78+$I78+$J78+$K78)</f>
        <v/>
      </c>
      <c r="M78" s="47" t="str">
        <f aca="false">IF($A78="","",IF($K78&gt;0,"高危",IF($J78&gt;0,"关注",IF($L78&gt;0,"提醒","正常"))))</f>
        <v/>
      </c>
      <c r="N78" s="42" t="str">
        <f aca="false">IF($A78="","",基础资料!$AG78)</f>
        <v/>
      </c>
    </row>
    <row r="79" customFormat="false" ht="15.75" hidden="false" customHeight="true" outlineLevel="0" collapsed="false">
      <c r="A79" s="35" t="str">
        <f aca="false">IF(基础资料!$AF79="","",基础资料!$AF79)</f>
        <v/>
      </c>
      <c r="B79" s="42" t="str">
        <f aca="false">IF($A79="","",N(基础资料!$AH79))</f>
        <v/>
      </c>
      <c r="C79" s="54" t="str">
        <f aca="false">IF($A79="","",SUMIFS(期初数据!$L$6:$L$155,期初数据!$J$6:$J$155,$A79,期初数据!$K$6:$K$155,"&lt;"&amp;首页!$B$6)+SUMIFS(采购录入!$S$5:$S$404,采购录入!$D$5:$D$404,$A79,采购录入!$B$5:$B$404,"&lt;"&amp;首页!$B$6)-SUMIFS(资金流水!$N$5:$N$504,资金流水!$G$5:$G$504,$A79,资金流水!$E$5:$E$504,"供应商付款",资金流水!$B$5:$B$504,"&lt;"&amp;首页!$B$6))</f>
        <v/>
      </c>
      <c r="D79" s="54" t="str">
        <f aca="false">IF($A79="","",SUMIFS(采购录入!$S$5:$S$404,采购录入!$D$5:$D$404,$A79,采购录入!$C$5:$C$404,首页!$B$5))</f>
        <v/>
      </c>
      <c r="E79" s="54" t="str">
        <f aca="false">IF($A79="","",SUMIFS(资金流水!$N$5:$N$504,资金流水!$G$5:$G$504,$A79,资金流水!$E$5:$E$504,"供应商付款",资金流水!$C$5:$C$504,首页!$B$5))</f>
        <v/>
      </c>
      <c r="F79" s="62" t="str">
        <f aca="false">IF($A79="","",$C79+$D79-$E79)</f>
        <v/>
      </c>
      <c r="G79" s="44" t="str">
        <f aca="false">IF($A79="","",$F79-$H79-$I79-$J79-$K79)</f>
        <v/>
      </c>
      <c r="H79" s="44" t="str">
        <f aca="false">IF($A79="","",MIN($F79,MAX(0,SUMIFS(期初数据!$L$6:$L$155,期初数据!$J$6:$J$155,$A79,期初数据!$K$6:$K$155,"&lt;="&amp;首页!$B$7)+SUMIFS(采购录入!$S$5:$S$404,采购录入!$D$5:$D$404,$A79,采购录入!$T$5:$T$404,"&lt;="&amp;首页!$B$7)-SUMIFS(资金流水!$N$5:$N$504,资金流水!$G$5:$G$504,$A79,资金流水!$E$5:$E$504,"供应商付款",资金流水!$B$5:$B$504,"&lt;="&amp;首页!$B$7)))-$K79-$J79-$I79)</f>
        <v/>
      </c>
      <c r="I79" s="44" t="str">
        <f aca="false">IF($A79="","",MIN($F79,MAX(0,SUMIFS(期初数据!$L$6:$L$155,期初数据!$J$6:$J$155,$A79,期初数据!$K$6:$K$155,"&lt;="&amp;首页!$B$7-30)+SUMIFS(采购录入!$S$5:$S$404,采购录入!$D$5:$D$404,$A79,采购录入!$T$5:$T$404,"&lt;="&amp;首页!$B$7-30)-SUMIFS(资金流水!$N$5:$N$504,资金流水!$G$5:$G$504,$A79,资金流水!$E$5:$E$504,"供应商付款",资金流水!$B$5:$B$504,"&lt;="&amp;首页!$B$7)))-$K79-$J79)</f>
        <v/>
      </c>
      <c r="J79" s="44" t="str">
        <f aca="false">IF($A79="","",MIN($F79,MAX(0,SUMIFS(期初数据!$L$6:$L$155,期初数据!$J$6:$J$155,$A79,期初数据!$K$6:$K$155,"&lt;="&amp;首页!$B$7-60)+SUMIFS(采购录入!$S$5:$S$404,采购录入!$D$5:$D$404,$A79,采购录入!$T$5:$T$404,"&lt;="&amp;首页!$B$7-60)-SUMIFS(资金流水!$N$5:$N$504,资金流水!$G$5:$G$504,$A79,资金流水!$E$5:$E$504,"供应商付款",资金流水!$B$5:$B$504,"&lt;="&amp;首页!$B$7)))-$K79)</f>
        <v/>
      </c>
      <c r="K79" s="44" t="str">
        <f aca="false">IF($A79="","",MIN($F79,MAX(0,SUMIFS(期初数据!$L$6:$L$155,期初数据!$J$6:$J$155,$A79,期初数据!$K$6:$K$155,"&lt;="&amp;首页!$B$7-90)+SUMIFS(采购录入!$S$5:$S$404,采购录入!$D$5:$D$404,$A79,采购录入!$T$5:$T$404,"&lt;="&amp;首页!$B$7-90)-SUMIFS(资金流水!$N$5:$N$504,资金流水!$G$5:$G$504,$A79,资金流水!$E$5:$E$504,"供应商付款",资金流水!$B$5:$B$504,"&lt;="&amp;首页!$B$7))))</f>
        <v/>
      </c>
      <c r="L79" s="62" t="str">
        <f aca="false">IF($A79="","",$H79+$I79+$J79+$K79)</f>
        <v/>
      </c>
      <c r="M79" s="47" t="str">
        <f aca="false">IF($A79="","",IF($K79&gt;0,"高危",IF($J79&gt;0,"关注",IF($L79&gt;0,"提醒","正常"))))</f>
        <v/>
      </c>
      <c r="N79" s="42" t="str">
        <f aca="false">IF($A79="","",基础资料!$AG79)</f>
        <v/>
      </c>
    </row>
    <row r="80" customFormat="false" ht="15.75" hidden="false" customHeight="true" outlineLevel="0" collapsed="false">
      <c r="A80" s="35" t="str">
        <f aca="false">IF(基础资料!$AF80="","",基础资料!$AF80)</f>
        <v/>
      </c>
      <c r="B80" s="42" t="str">
        <f aca="false">IF($A80="","",N(基础资料!$AH80))</f>
        <v/>
      </c>
      <c r="C80" s="54" t="str">
        <f aca="false">IF($A80="","",SUMIFS(期初数据!$L$6:$L$155,期初数据!$J$6:$J$155,$A80,期初数据!$K$6:$K$155,"&lt;"&amp;首页!$B$6)+SUMIFS(采购录入!$S$5:$S$404,采购录入!$D$5:$D$404,$A80,采购录入!$B$5:$B$404,"&lt;"&amp;首页!$B$6)-SUMIFS(资金流水!$N$5:$N$504,资金流水!$G$5:$G$504,$A80,资金流水!$E$5:$E$504,"供应商付款",资金流水!$B$5:$B$504,"&lt;"&amp;首页!$B$6))</f>
        <v/>
      </c>
      <c r="D80" s="54" t="str">
        <f aca="false">IF($A80="","",SUMIFS(采购录入!$S$5:$S$404,采购录入!$D$5:$D$404,$A80,采购录入!$C$5:$C$404,首页!$B$5))</f>
        <v/>
      </c>
      <c r="E80" s="54" t="str">
        <f aca="false">IF($A80="","",SUMIFS(资金流水!$N$5:$N$504,资金流水!$G$5:$G$504,$A80,资金流水!$E$5:$E$504,"供应商付款",资金流水!$C$5:$C$504,首页!$B$5))</f>
        <v/>
      </c>
      <c r="F80" s="62" t="str">
        <f aca="false">IF($A80="","",$C80+$D80-$E80)</f>
        <v/>
      </c>
      <c r="G80" s="44" t="str">
        <f aca="false">IF($A80="","",$F80-$H80-$I80-$J80-$K80)</f>
        <v/>
      </c>
      <c r="H80" s="44" t="str">
        <f aca="false">IF($A80="","",MIN($F80,MAX(0,SUMIFS(期初数据!$L$6:$L$155,期初数据!$J$6:$J$155,$A80,期初数据!$K$6:$K$155,"&lt;="&amp;首页!$B$7)+SUMIFS(采购录入!$S$5:$S$404,采购录入!$D$5:$D$404,$A80,采购录入!$T$5:$T$404,"&lt;="&amp;首页!$B$7)-SUMIFS(资金流水!$N$5:$N$504,资金流水!$G$5:$G$504,$A80,资金流水!$E$5:$E$504,"供应商付款",资金流水!$B$5:$B$504,"&lt;="&amp;首页!$B$7)))-$K80-$J80-$I80)</f>
        <v/>
      </c>
      <c r="I80" s="44" t="str">
        <f aca="false">IF($A80="","",MIN($F80,MAX(0,SUMIFS(期初数据!$L$6:$L$155,期初数据!$J$6:$J$155,$A80,期初数据!$K$6:$K$155,"&lt;="&amp;首页!$B$7-30)+SUMIFS(采购录入!$S$5:$S$404,采购录入!$D$5:$D$404,$A80,采购录入!$T$5:$T$404,"&lt;="&amp;首页!$B$7-30)-SUMIFS(资金流水!$N$5:$N$504,资金流水!$G$5:$G$504,$A80,资金流水!$E$5:$E$504,"供应商付款",资金流水!$B$5:$B$504,"&lt;="&amp;首页!$B$7)))-$K80-$J80)</f>
        <v/>
      </c>
      <c r="J80" s="44" t="str">
        <f aca="false">IF($A80="","",MIN($F80,MAX(0,SUMIFS(期初数据!$L$6:$L$155,期初数据!$J$6:$J$155,$A80,期初数据!$K$6:$K$155,"&lt;="&amp;首页!$B$7-60)+SUMIFS(采购录入!$S$5:$S$404,采购录入!$D$5:$D$404,$A80,采购录入!$T$5:$T$404,"&lt;="&amp;首页!$B$7-60)-SUMIFS(资金流水!$N$5:$N$504,资金流水!$G$5:$G$504,$A80,资金流水!$E$5:$E$504,"供应商付款",资金流水!$B$5:$B$504,"&lt;="&amp;首页!$B$7)))-$K80)</f>
        <v/>
      </c>
      <c r="K80" s="44" t="str">
        <f aca="false">IF($A80="","",MIN($F80,MAX(0,SUMIFS(期初数据!$L$6:$L$155,期初数据!$J$6:$J$155,$A80,期初数据!$K$6:$K$155,"&lt;="&amp;首页!$B$7-90)+SUMIFS(采购录入!$S$5:$S$404,采购录入!$D$5:$D$404,$A80,采购录入!$T$5:$T$404,"&lt;="&amp;首页!$B$7-90)-SUMIFS(资金流水!$N$5:$N$504,资金流水!$G$5:$G$504,$A80,资金流水!$E$5:$E$504,"供应商付款",资金流水!$B$5:$B$504,"&lt;="&amp;首页!$B$7))))</f>
        <v/>
      </c>
      <c r="L80" s="62" t="str">
        <f aca="false">IF($A80="","",$H80+$I80+$J80+$K80)</f>
        <v/>
      </c>
      <c r="M80" s="47" t="str">
        <f aca="false">IF($A80="","",IF($K80&gt;0,"高危",IF($J80&gt;0,"关注",IF($L80&gt;0,"提醒","正常"))))</f>
        <v/>
      </c>
      <c r="N80" s="42" t="str">
        <f aca="false">IF($A80="","",基础资料!$AG80)</f>
        <v/>
      </c>
    </row>
    <row r="81" customFormat="false" ht="15.75" hidden="false" customHeight="true" outlineLevel="0" collapsed="false">
      <c r="A81" s="35" t="str">
        <f aca="false">IF(基础资料!$AF81="","",基础资料!$AF81)</f>
        <v/>
      </c>
      <c r="B81" s="42" t="str">
        <f aca="false">IF($A81="","",N(基础资料!$AH81))</f>
        <v/>
      </c>
      <c r="C81" s="54" t="str">
        <f aca="false">IF($A81="","",SUMIFS(期初数据!$L$6:$L$155,期初数据!$J$6:$J$155,$A81,期初数据!$K$6:$K$155,"&lt;"&amp;首页!$B$6)+SUMIFS(采购录入!$S$5:$S$404,采购录入!$D$5:$D$404,$A81,采购录入!$B$5:$B$404,"&lt;"&amp;首页!$B$6)-SUMIFS(资金流水!$N$5:$N$504,资金流水!$G$5:$G$504,$A81,资金流水!$E$5:$E$504,"供应商付款",资金流水!$B$5:$B$504,"&lt;"&amp;首页!$B$6))</f>
        <v/>
      </c>
      <c r="D81" s="54" t="str">
        <f aca="false">IF($A81="","",SUMIFS(采购录入!$S$5:$S$404,采购录入!$D$5:$D$404,$A81,采购录入!$C$5:$C$404,首页!$B$5))</f>
        <v/>
      </c>
      <c r="E81" s="54" t="str">
        <f aca="false">IF($A81="","",SUMIFS(资金流水!$N$5:$N$504,资金流水!$G$5:$G$504,$A81,资金流水!$E$5:$E$504,"供应商付款",资金流水!$C$5:$C$504,首页!$B$5))</f>
        <v/>
      </c>
      <c r="F81" s="62" t="str">
        <f aca="false">IF($A81="","",$C81+$D81-$E81)</f>
        <v/>
      </c>
      <c r="G81" s="44" t="str">
        <f aca="false">IF($A81="","",$F81-$H81-$I81-$J81-$K81)</f>
        <v/>
      </c>
      <c r="H81" s="44" t="str">
        <f aca="false">IF($A81="","",MIN($F81,MAX(0,SUMIFS(期初数据!$L$6:$L$155,期初数据!$J$6:$J$155,$A81,期初数据!$K$6:$K$155,"&lt;="&amp;首页!$B$7)+SUMIFS(采购录入!$S$5:$S$404,采购录入!$D$5:$D$404,$A81,采购录入!$T$5:$T$404,"&lt;="&amp;首页!$B$7)-SUMIFS(资金流水!$N$5:$N$504,资金流水!$G$5:$G$504,$A81,资金流水!$E$5:$E$504,"供应商付款",资金流水!$B$5:$B$504,"&lt;="&amp;首页!$B$7)))-$K81-$J81-$I81)</f>
        <v/>
      </c>
      <c r="I81" s="44" t="str">
        <f aca="false">IF($A81="","",MIN($F81,MAX(0,SUMIFS(期初数据!$L$6:$L$155,期初数据!$J$6:$J$155,$A81,期初数据!$K$6:$K$155,"&lt;="&amp;首页!$B$7-30)+SUMIFS(采购录入!$S$5:$S$404,采购录入!$D$5:$D$404,$A81,采购录入!$T$5:$T$404,"&lt;="&amp;首页!$B$7-30)-SUMIFS(资金流水!$N$5:$N$504,资金流水!$G$5:$G$504,$A81,资金流水!$E$5:$E$504,"供应商付款",资金流水!$B$5:$B$504,"&lt;="&amp;首页!$B$7)))-$K81-$J81)</f>
        <v/>
      </c>
      <c r="J81" s="44" t="str">
        <f aca="false">IF($A81="","",MIN($F81,MAX(0,SUMIFS(期初数据!$L$6:$L$155,期初数据!$J$6:$J$155,$A81,期初数据!$K$6:$K$155,"&lt;="&amp;首页!$B$7-60)+SUMIFS(采购录入!$S$5:$S$404,采购录入!$D$5:$D$404,$A81,采购录入!$T$5:$T$404,"&lt;="&amp;首页!$B$7-60)-SUMIFS(资金流水!$N$5:$N$504,资金流水!$G$5:$G$504,$A81,资金流水!$E$5:$E$504,"供应商付款",资金流水!$B$5:$B$504,"&lt;="&amp;首页!$B$7)))-$K81)</f>
        <v/>
      </c>
      <c r="K81" s="44" t="str">
        <f aca="false">IF($A81="","",MIN($F81,MAX(0,SUMIFS(期初数据!$L$6:$L$155,期初数据!$J$6:$J$155,$A81,期初数据!$K$6:$K$155,"&lt;="&amp;首页!$B$7-90)+SUMIFS(采购录入!$S$5:$S$404,采购录入!$D$5:$D$404,$A81,采购录入!$T$5:$T$404,"&lt;="&amp;首页!$B$7-90)-SUMIFS(资金流水!$N$5:$N$504,资金流水!$G$5:$G$504,$A81,资金流水!$E$5:$E$504,"供应商付款",资金流水!$B$5:$B$504,"&lt;="&amp;首页!$B$7))))</f>
        <v/>
      </c>
      <c r="L81" s="62" t="str">
        <f aca="false">IF($A81="","",$H81+$I81+$J81+$K81)</f>
        <v/>
      </c>
      <c r="M81" s="47" t="str">
        <f aca="false">IF($A81="","",IF($K81&gt;0,"高危",IF($J81&gt;0,"关注",IF($L81&gt;0,"提醒","正常"))))</f>
        <v/>
      </c>
      <c r="N81" s="42" t="str">
        <f aca="false">IF($A81="","",基础资料!$AG81)</f>
        <v/>
      </c>
    </row>
    <row r="82" customFormat="false" ht="15.75" hidden="false" customHeight="true" outlineLevel="0" collapsed="false">
      <c r="A82" s="35" t="str">
        <f aca="false">IF(基础资料!$AF82="","",基础资料!$AF82)</f>
        <v/>
      </c>
      <c r="B82" s="42" t="str">
        <f aca="false">IF($A82="","",N(基础资料!$AH82))</f>
        <v/>
      </c>
      <c r="C82" s="54" t="str">
        <f aca="false">IF($A82="","",SUMIFS(期初数据!$L$6:$L$155,期初数据!$J$6:$J$155,$A82,期初数据!$K$6:$K$155,"&lt;"&amp;首页!$B$6)+SUMIFS(采购录入!$S$5:$S$404,采购录入!$D$5:$D$404,$A82,采购录入!$B$5:$B$404,"&lt;"&amp;首页!$B$6)-SUMIFS(资金流水!$N$5:$N$504,资金流水!$G$5:$G$504,$A82,资金流水!$E$5:$E$504,"供应商付款",资金流水!$B$5:$B$504,"&lt;"&amp;首页!$B$6))</f>
        <v/>
      </c>
      <c r="D82" s="54" t="str">
        <f aca="false">IF($A82="","",SUMIFS(采购录入!$S$5:$S$404,采购录入!$D$5:$D$404,$A82,采购录入!$C$5:$C$404,首页!$B$5))</f>
        <v/>
      </c>
      <c r="E82" s="54" t="str">
        <f aca="false">IF($A82="","",SUMIFS(资金流水!$N$5:$N$504,资金流水!$G$5:$G$504,$A82,资金流水!$E$5:$E$504,"供应商付款",资金流水!$C$5:$C$504,首页!$B$5))</f>
        <v/>
      </c>
      <c r="F82" s="62" t="str">
        <f aca="false">IF($A82="","",$C82+$D82-$E82)</f>
        <v/>
      </c>
      <c r="G82" s="44" t="str">
        <f aca="false">IF($A82="","",$F82-$H82-$I82-$J82-$K82)</f>
        <v/>
      </c>
      <c r="H82" s="44" t="str">
        <f aca="false">IF($A82="","",MIN($F82,MAX(0,SUMIFS(期初数据!$L$6:$L$155,期初数据!$J$6:$J$155,$A82,期初数据!$K$6:$K$155,"&lt;="&amp;首页!$B$7)+SUMIFS(采购录入!$S$5:$S$404,采购录入!$D$5:$D$404,$A82,采购录入!$T$5:$T$404,"&lt;="&amp;首页!$B$7)-SUMIFS(资金流水!$N$5:$N$504,资金流水!$G$5:$G$504,$A82,资金流水!$E$5:$E$504,"供应商付款",资金流水!$B$5:$B$504,"&lt;="&amp;首页!$B$7)))-$K82-$J82-$I82)</f>
        <v/>
      </c>
      <c r="I82" s="44" t="str">
        <f aca="false">IF($A82="","",MIN($F82,MAX(0,SUMIFS(期初数据!$L$6:$L$155,期初数据!$J$6:$J$155,$A82,期初数据!$K$6:$K$155,"&lt;="&amp;首页!$B$7-30)+SUMIFS(采购录入!$S$5:$S$404,采购录入!$D$5:$D$404,$A82,采购录入!$T$5:$T$404,"&lt;="&amp;首页!$B$7-30)-SUMIFS(资金流水!$N$5:$N$504,资金流水!$G$5:$G$504,$A82,资金流水!$E$5:$E$504,"供应商付款",资金流水!$B$5:$B$504,"&lt;="&amp;首页!$B$7)))-$K82-$J82)</f>
        <v/>
      </c>
      <c r="J82" s="44" t="str">
        <f aca="false">IF($A82="","",MIN($F82,MAX(0,SUMIFS(期初数据!$L$6:$L$155,期初数据!$J$6:$J$155,$A82,期初数据!$K$6:$K$155,"&lt;="&amp;首页!$B$7-60)+SUMIFS(采购录入!$S$5:$S$404,采购录入!$D$5:$D$404,$A82,采购录入!$T$5:$T$404,"&lt;="&amp;首页!$B$7-60)-SUMIFS(资金流水!$N$5:$N$504,资金流水!$G$5:$G$504,$A82,资金流水!$E$5:$E$504,"供应商付款",资金流水!$B$5:$B$504,"&lt;="&amp;首页!$B$7)))-$K82)</f>
        <v/>
      </c>
      <c r="K82" s="44" t="str">
        <f aca="false">IF($A82="","",MIN($F82,MAX(0,SUMIFS(期初数据!$L$6:$L$155,期初数据!$J$6:$J$155,$A82,期初数据!$K$6:$K$155,"&lt;="&amp;首页!$B$7-90)+SUMIFS(采购录入!$S$5:$S$404,采购录入!$D$5:$D$404,$A82,采购录入!$T$5:$T$404,"&lt;="&amp;首页!$B$7-90)-SUMIFS(资金流水!$N$5:$N$504,资金流水!$G$5:$G$504,$A82,资金流水!$E$5:$E$504,"供应商付款",资金流水!$B$5:$B$504,"&lt;="&amp;首页!$B$7))))</f>
        <v/>
      </c>
      <c r="L82" s="62" t="str">
        <f aca="false">IF($A82="","",$H82+$I82+$J82+$K82)</f>
        <v/>
      </c>
      <c r="M82" s="47" t="str">
        <f aca="false">IF($A82="","",IF($K82&gt;0,"高危",IF($J82&gt;0,"关注",IF($L82&gt;0,"提醒","正常"))))</f>
        <v/>
      </c>
      <c r="N82" s="42" t="str">
        <f aca="false">IF($A82="","",基础资料!$AG82)</f>
        <v/>
      </c>
    </row>
    <row r="83" customFormat="false" ht="15.75" hidden="false" customHeight="true" outlineLevel="0" collapsed="false">
      <c r="A83" s="35" t="str">
        <f aca="false">IF(基础资料!$AF83="","",基础资料!$AF83)</f>
        <v/>
      </c>
      <c r="B83" s="42" t="str">
        <f aca="false">IF($A83="","",N(基础资料!$AH83))</f>
        <v/>
      </c>
      <c r="C83" s="54" t="str">
        <f aca="false">IF($A83="","",SUMIFS(期初数据!$L$6:$L$155,期初数据!$J$6:$J$155,$A83,期初数据!$K$6:$K$155,"&lt;"&amp;首页!$B$6)+SUMIFS(采购录入!$S$5:$S$404,采购录入!$D$5:$D$404,$A83,采购录入!$B$5:$B$404,"&lt;"&amp;首页!$B$6)-SUMIFS(资金流水!$N$5:$N$504,资金流水!$G$5:$G$504,$A83,资金流水!$E$5:$E$504,"供应商付款",资金流水!$B$5:$B$504,"&lt;"&amp;首页!$B$6))</f>
        <v/>
      </c>
      <c r="D83" s="54" t="str">
        <f aca="false">IF($A83="","",SUMIFS(采购录入!$S$5:$S$404,采购录入!$D$5:$D$404,$A83,采购录入!$C$5:$C$404,首页!$B$5))</f>
        <v/>
      </c>
      <c r="E83" s="54" t="str">
        <f aca="false">IF($A83="","",SUMIFS(资金流水!$N$5:$N$504,资金流水!$G$5:$G$504,$A83,资金流水!$E$5:$E$504,"供应商付款",资金流水!$C$5:$C$504,首页!$B$5))</f>
        <v/>
      </c>
      <c r="F83" s="62" t="str">
        <f aca="false">IF($A83="","",$C83+$D83-$E83)</f>
        <v/>
      </c>
      <c r="G83" s="44" t="str">
        <f aca="false">IF($A83="","",$F83-$H83-$I83-$J83-$K83)</f>
        <v/>
      </c>
      <c r="H83" s="44" t="str">
        <f aca="false">IF($A83="","",MIN($F83,MAX(0,SUMIFS(期初数据!$L$6:$L$155,期初数据!$J$6:$J$155,$A83,期初数据!$K$6:$K$155,"&lt;="&amp;首页!$B$7)+SUMIFS(采购录入!$S$5:$S$404,采购录入!$D$5:$D$404,$A83,采购录入!$T$5:$T$404,"&lt;="&amp;首页!$B$7)-SUMIFS(资金流水!$N$5:$N$504,资金流水!$G$5:$G$504,$A83,资金流水!$E$5:$E$504,"供应商付款",资金流水!$B$5:$B$504,"&lt;="&amp;首页!$B$7)))-$K83-$J83-$I83)</f>
        <v/>
      </c>
      <c r="I83" s="44" t="str">
        <f aca="false">IF($A83="","",MIN($F83,MAX(0,SUMIFS(期初数据!$L$6:$L$155,期初数据!$J$6:$J$155,$A83,期初数据!$K$6:$K$155,"&lt;="&amp;首页!$B$7-30)+SUMIFS(采购录入!$S$5:$S$404,采购录入!$D$5:$D$404,$A83,采购录入!$T$5:$T$404,"&lt;="&amp;首页!$B$7-30)-SUMIFS(资金流水!$N$5:$N$504,资金流水!$G$5:$G$504,$A83,资金流水!$E$5:$E$504,"供应商付款",资金流水!$B$5:$B$504,"&lt;="&amp;首页!$B$7)))-$K83-$J83)</f>
        <v/>
      </c>
      <c r="J83" s="44" t="str">
        <f aca="false">IF($A83="","",MIN($F83,MAX(0,SUMIFS(期初数据!$L$6:$L$155,期初数据!$J$6:$J$155,$A83,期初数据!$K$6:$K$155,"&lt;="&amp;首页!$B$7-60)+SUMIFS(采购录入!$S$5:$S$404,采购录入!$D$5:$D$404,$A83,采购录入!$T$5:$T$404,"&lt;="&amp;首页!$B$7-60)-SUMIFS(资金流水!$N$5:$N$504,资金流水!$G$5:$G$504,$A83,资金流水!$E$5:$E$504,"供应商付款",资金流水!$B$5:$B$504,"&lt;="&amp;首页!$B$7)))-$K83)</f>
        <v/>
      </c>
      <c r="K83" s="44" t="str">
        <f aca="false">IF($A83="","",MIN($F83,MAX(0,SUMIFS(期初数据!$L$6:$L$155,期初数据!$J$6:$J$155,$A83,期初数据!$K$6:$K$155,"&lt;="&amp;首页!$B$7-90)+SUMIFS(采购录入!$S$5:$S$404,采购录入!$D$5:$D$404,$A83,采购录入!$T$5:$T$404,"&lt;="&amp;首页!$B$7-90)-SUMIFS(资金流水!$N$5:$N$504,资金流水!$G$5:$G$504,$A83,资金流水!$E$5:$E$504,"供应商付款",资金流水!$B$5:$B$504,"&lt;="&amp;首页!$B$7))))</f>
        <v/>
      </c>
      <c r="L83" s="62" t="str">
        <f aca="false">IF($A83="","",$H83+$I83+$J83+$K83)</f>
        <v/>
      </c>
      <c r="M83" s="47" t="str">
        <f aca="false">IF($A83="","",IF($K83&gt;0,"高危",IF($J83&gt;0,"关注",IF($L83&gt;0,"提醒","正常"))))</f>
        <v/>
      </c>
      <c r="N83" s="42" t="str">
        <f aca="false">IF($A83="","",基础资料!$AG83)</f>
        <v/>
      </c>
    </row>
    <row r="84" customFormat="false" ht="15.75" hidden="false" customHeight="true" outlineLevel="0" collapsed="false">
      <c r="A84" s="35" t="str">
        <f aca="false">IF(基础资料!$AF84="","",基础资料!$AF84)</f>
        <v/>
      </c>
      <c r="B84" s="42" t="str">
        <f aca="false">IF($A84="","",N(基础资料!$AH84))</f>
        <v/>
      </c>
      <c r="C84" s="54" t="str">
        <f aca="false">IF($A84="","",SUMIFS(期初数据!$L$6:$L$155,期初数据!$J$6:$J$155,$A84,期初数据!$K$6:$K$155,"&lt;"&amp;首页!$B$6)+SUMIFS(采购录入!$S$5:$S$404,采购录入!$D$5:$D$404,$A84,采购录入!$B$5:$B$404,"&lt;"&amp;首页!$B$6)-SUMIFS(资金流水!$N$5:$N$504,资金流水!$G$5:$G$504,$A84,资金流水!$E$5:$E$504,"供应商付款",资金流水!$B$5:$B$504,"&lt;"&amp;首页!$B$6))</f>
        <v/>
      </c>
      <c r="D84" s="54" t="str">
        <f aca="false">IF($A84="","",SUMIFS(采购录入!$S$5:$S$404,采购录入!$D$5:$D$404,$A84,采购录入!$C$5:$C$404,首页!$B$5))</f>
        <v/>
      </c>
      <c r="E84" s="54" t="str">
        <f aca="false">IF($A84="","",SUMIFS(资金流水!$N$5:$N$504,资金流水!$G$5:$G$504,$A84,资金流水!$E$5:$E$504,"供应商付款",资金流水!$C$5:$C$504,首页!$B$5))</f>
        <v/>
      </c>
      <c r="F84" s="62" t="str">
        <f aca="false">IF($A84="","",$C84+$D84-$E84)</f>
        <v/>
      </c>
      <c r="G84" s="44" t="str">
        <f aca="false">IF($A84="","",$F84-$H84-$I84-$J84-$K84)</f>
        <v/>
      </c>
      <c r="H84" s="44" t="str">
        <f aca="false">IF($A84="","",MIN($F84,MAX(0,SUMIFS(期初数据!$L$6:$L$155,期初数据!$J$6:$J$155,$A84,期初数据!$K$6:$K$155,"&lt;="&amp;首页!$B$7)+SUMIFS(采购录入!$S$5:$S$404,采购录入!$D$5:$D$404,$A84,采购录入!$T$5:$T$404,"&lt;="&amp;首页!$B$7)-SUMIFS(资金流水!$N$5:$N$504,资金流水!$G$5:$G$504,$A84,资金流水!$E$5:$E$504,"供应商付款",资金流水!$B$5:$B$504,"&lt;="&amp;首页!$B$7)))-$K84-$J84-$I84)</f>
        <v/>
      </c>
      <c r="I84" s="44" t="str">
        <f aca="false">IF($A84="","",MIN($F84,MAX(0,SUMIFS(期初数据!$L$6:$L$155,期初数据!$J$6:$J$155,$A84,期初数据!$K$6:$K$155,"&lt;="&amp;首页!$B$7-30)+SUMIFS(采购录入!$S$5:$S$404,采购录入!$D$5:$D$404,$A84,采购录入!$T$5:$T$404,"&lt;="&amp;首页!$B$7-30)-SUMIFS(资金流水!$N$5:$N$504,资金流水!$G$5:$G$504,$A84,资金流水!$E$5:$E$504,"供应商付款",资金流水!$B$5:$B$504,"&lt;="&amp;首页!$B$7)))-$K84-$J84)</f>
        <v/>
      </c>
      <c r="J84" s="44" t="str">
        <f aca="false">IF($A84="","",MIN($F84,MAX(0,SUMIFS(期初数据!$L$6:$L$155,期初数据!$J$6:$J$155,$A84,期初数据!$K$6:$K$155,"&lt;="&amp;首页!$B$7-60)+SUMIFS(采购录入!$S$5:$S$404,采购录入!$D$5:$D$404,$A84,采购录入!$T$5:$T$404,"&lt;="&amp;首页!$B$7-60)-SUMIFS(资金流水!$N$5:$N$504,资金流水!$G$5:$G$504,$A84,资金流水!$E$5:$E$504,"供应商付款",资金流水!$B$5:$B$504,"&lt;="&amp;首页!$B$7)))-$K84)</f>
        <v/>
      </c>
      <c r="K84" s="44" t="str">
        <f aca="false">IF($A84="","",MIN($F84,MAX(0,SUMIFS(期初数据!$L$6:$L$155,期初数据!$J$6:$J$155,$A84,期初数据!$K$6:$K$155,"&lt;="&amp;首页!$B$7-90)+SUMIFS(采购录入!$S$5:$S$404,采购录入!$D$5:$D$404,$A84,采购录入!$T$5:$T$404,"&lt;="&amp;首页!$B$7-90)-SUMIFS(资金流水!$N$5:$N$504,资金流水!$G$5:$G$504,$A84,资金流水!$E$5:$E$504,"供应商付款",资金流水!$B$5:$B$504,"&lt;="&amp;首页!$B$7))))</f>
        <v/>
      </c>
      <c r="L84" s="62" t="str">
        <f aca="false">IF($A84="","",$H84+$I84+$J84+$K84)</f>
        <v/>
      </c>
      <c r="M84" s="47" t="str">
        <f aca="false">IF($A84="","",IF($K84&gt;0,"高危",IF($J84&gt;0,"关注",IF($L84&gt;0,"提醒","正常"))))</f>
        <v/>
      </c>
      <c r="N84" s="42" t="str">
        <f aca="false">IF($A84="","",基础资料!$AG84)</f>
        <v/>
      </c>
    </row>
    <row r="85" customFormat="false" ht="15.75" hidden="false" customHeight="true" outlineLevel="0" collapsed="false">
      <c r="A85" s="35" t="str">
        <f aca="false">IF(基础资料!$AF85="","",基础资料!$AF85)</f>
        <v/>
      </c>
      <c r="B85" s="42" t="str">
        <f aca="false">IF($A85="","",N(基础资料!$AH85))</f>
        <v/>
      </c>
      <c r="C85" s="54" t="str">
        <f aca="false">IF($A85="","",SUMIFS(期初数据!$L$6:$L$155,期初数据!$J$6:$J$155,$A85,期初数据!$K$6:$K$155,"&lt;"&amp;首页!$B$6)+SUMIFS(采购录入!$S$5:$S$404,采购录入!$D$5:$D$404,$A85,采购录入!$B$5:$B$404,"&lt;"&amp;首页!$B$6)-SUMIFS(资金流水!$N$5:$N$504,资金流水!$G$5:$G$504,$A85,资金流水!$E$5:$E$504,"供应商付款",资金流水!$B$5:$B$504,"&lt;"&amp;首页!$B$6))</f>
        <v/>
      </c>
      <c r="D85" s="54" t="str">
        <f aca="false">IF($A85="","",SUMIFS(采购录入!$S$5:$S$404,采购录入!$D$5:$D$404,$A85,采购录入!$C$5:$C$404,首页!$B$5))</f>
        <v/>
      </c>
      <c r="E85" s="54" t="str">
        <f aca="false">IF($A85="","",SUMIFS(资金流水!$N$5:$N$504,资金流水!$G$5:$G$504,$A85,资金流水!$E$5:$E$504,"供应商付款",资金流水!$C$5:$C$504,首页!$B$5))</f>
        <v/>
      </c>
      <c r="F85" s="62" t="str">
        <f aca="false">IF($A85="","",$C85+$D85-$E85)</f>
        <v/>
      </c>
      <c r="G85" s="44" t="str">
        <f aca="false">IF($A85="","",$F85-$H85-$I85-$J85-$K85)</f>
        <v/>
      </c>
      <c r="H85" s="44" t="str">
        <f aca="false">IF($A85="","",MIN($F85,MAX(0,SUMIFS(期初数据!$L$6:$L$155,期初数据!$J$6:$J$155,$A85,期初数据!$K$6:$K$155,"&lt;="&amp;首页!$B$7)+SUMIFS(采购录入!$S$5:$S$404,采购录入!$D$5:$D$404,$A85,采购录入!$T$5:$T$404,"&lt;="&amp;首页!$B$7)-SUMIFS(资金流水!$N$5:$N$504,资金流水!$G$5:$G$504,$A85,资金流水!$E$5:$E$504,"供应商付款",资金流水!$B$5:$B$504,"&lt;="&amp;首页!$B$7)))-$K85-$J85-$I85)</f>
        <v/>
      </c>
      <c r="I85" s="44" t="str">
        <f aca="false">IF($A85="","",MIN($F85,MAX(0,SUMIFS(期初数据!$L$6:$L$155,期初数据!$J$6:$J$155,$A85,期初数据!$K$6:$K$155,"&lt;="&amp;首页!$B$7-30)+SUMIFS(采购录入!$S$5:$S$404,采购录入!$D$5:$D$404,$A85,采购录入!$T$5:$T$404,"&lt;="&amp;首页!$B$7-30)-SUMIFS(资金流水!$N$5:$N$504,资金流水!$G$5:$G$504,$A85,资金流水!$E$5:$E$504,"供应商付款",资金流水!$B$5:$B$504,"&lt;="&amp;首页!$B$7)))-$K85-$J85)</f>
        <v/>
      </c>
      <c r="J85" s="44" t="str">
        <f aca="false">IF($A85="","",MIN($F85,MAX(0,SUMIFS(期初数据!$L$6:$L$155,期初数据!$J$6:$J$155,$A85,期初数据!$K$6:$K$155,"&lt;="&amp;首页!$B$7-60)+SUMIFS(采购录入!$S$5:$S$404,采购录入!$D$5:$D$404,$A85,采购录入!$T$5:$T$404,"&lt;="&amp;首页!$B$7-60)-SUMIFS(资金流水!$N$5:$N$504,资金流水!$G$5:$G$504,$A85,资金流水!$E$5:$E$504,"供应商付款",资金流水!$B$5:$B$504,"&lt;="&amp;首页!$B$7)))-$K85)</f>
        <v/>
      </c>
      <c r="K85" s="44" t="str">
        <f aca="false">IF($A85="","",MIN($F85,MAX(0,SUMIFS(期初数据!$L$6:$L$155,期初数据!$J$6:$J$155,$A85,期初数据!$K$6:$K$155,"&lt;="&amp;首页!$B$7-90)+SUMIFS(采购录入!$S$5:$S$404,采购录入!$D$5:$D$404,$A85,采购录入!$T$5:$T$404,"&lt;="&amp;首页!$B$7-90)-SUMIFS(资金流水!$N$5:$N$504,资金流水!$G$5:$G$504,$A85,资金流水!$E$5:$E$504,"供应商付款",资金流水!$B$5:$B$504,"&lt;="&amp;首页!$B$7))))</f>
        <v/>
      </c>
      <c r="L85" s="62" t="str">
        <f aca="false">IF($A85="","",$H85+$I85+$J85+$K85)</f>
        <v/>
      </c>
      <c r="M85" s="47" t="str">
        <f aca="false">IF($A85="","",IF($K85&gt;0,"高危",IF($J85&gt;0,"关注",IF($L85&gt;0,"提醒","正常"))))</f>
        <v/>
      </c>
      <c r="N85" s="42" t="str">
        <f aca="false">IF($A85="","",基础资料!$AG85)</f>
        <v/>
      </c>
    </row>
    <row r="86" customFormat="false" ht="15.75" hidden="false" customHeight="true" outlineLevel="0" collapsed="false">
      <c r="A86" s="35" t="str">
        <f aca="false">IF(基础资料!$AF86="","",基础资料!$AF86)</f>
        <v/>
      </c>
      <c r="B86" s="42" t="str">
        <f aca="false">IF($A86="","",N(基础资料!$AH86))</f>
        <v/>
      </c>
      <c r="C86" s="54" t="str">
        <f aca="false">IF($A86="","",SUMIFS(期初数据!$L$6:$L$155,期初数据!$J$6:$J$155,$A86,期初数据!$K$6:$K$155,"&lt;"&amp;首页!$B$6)+SUMIFS(采购录入!$S$5:$S$404,采购录入!$D$5:$D$404,$A86,采购录入!$B$5:$B$404,"&lt;"&amp;首页!$B$6)-SUMIFS(资金流水!$N$5:$N$504,资金流水!$G$5:$G$504,$A86,资金流水!$E$5:$E$504,"供应商付款",资金流水!$B$5:$B$504,"&lt;"&amp;首页!$B$6))</f>
        <v/>
      </c>
      <c r="D86" s="54" t="str">
        <f aca="false">IF($A86="","",SUMIFS(采购录入!$S$5:$S$404,采购录入!$D$5:$D$404,$A86,采购录入!$C$5:$C$404,首页!$B$5))</f>
        <v/>
      </c>
      <c r="E86" s="54" t="str">
        <f aca="false">IF($A86="","",SUMIFS(资金流水!$N$5:$N$504,资金流水!$G$5:$G$504,$A86,资金流水!$E$5:$E$504,"供应商付款",资金流水!$C$5:$C$504,首页!$B$5))</f>
        <v/>
      </c>
      <c r="F86" s="62" t="str">
        <f aca="false">IF($A86="","",$C86+$D86-$E86)</f>
        <v/>
      </c>
      <c r="G86" s="44" t="str">
        <f aca="false">IF($A86="","",$F86-$H86-$I86-$J86-$K86)</f>
        <v/>
      </c>
      <c r="H86" s="44" t="str">
        <f aca="false">IF($A86="","",MIN($F86,MAX(0,SUMIFS(期初数据!$L$6:$L$155,期初数据!$J$6:$J$155,$A86,期初数据!$K$6:$K$155,"&lt;="&amp;首页!$B$7)+SUMIFS(采购录入!$S$5:$S$404,采购录入!$D$5:$D$404,$A86,采购录入!$T$5:$T$404,"&lt;="&amp;首页!$B$7)-SUMIFS(资金流水!$N$5:$N$504,资金流水!$G$5:$G$504,$A86,资金流水!$E$5:$E$504,"供应商付款",资金流水!$B$5:$B$504,"&lt;="&amp;首页!$B$7)))-$K86-$J86-$I86)</f>
        <v/>
      </c>
      <c r="I86" s="44" t="str">
        <f aca="false">IF($A86="","",MIN($F86,MAX(0,SUMIFS(期初数据!$L$6:$L$155,期初数据!$J$6:$J$155,$A86,期初数据!$K$6:$K$155,"&lt;="&amp;首页!$B$7-30)+SUMIFS(采购录入!$S$5:$S$404,采购录入!$D$5:$D$404,$A86,采购录入!$T$5:$T$404,"&lt;="&amp;首页!$B$7-30)-SUMIFS(资金流水!$N$5:$N$504,资金流水!$G$5:$G$504,$A86,资金流水!$E$5:$E$504,"供应商付款",资金流水!$B$5:$B$504,"&lt;="&amp;首页!$B$7)))-$K86-$J86)</f>
        <v/>
      </c>
      <c r="J86" s="44" t="str">
        <f aca="false">IF($A86="","",MIN($F86,MAX(0,SUMIFS(期初数据!$L$6:$L$155,期初数据!$J$6:$J$155,$A86,期初数据!$K$6:$K$155,"&lt;="&amp;首页!$B$7-60)+SUMIFS(采购录入!$S$5:$S$404,采购录入!$D$5:$D$404,$A86,采购录入!$T$5:$T$404,"&lt;="&amp;首页!$B$7-60)-SUMIFS(资金流水!$N$5:$N$504,资金流水!$G$5:$G$504,$A86,资金流水!$E$5:$E$504,"供应商付款",资金流水!$B$5:$B$504,"&lt;="&amp;首页!$B$7)))-$K86)</f>
        <v/>
      </c>
      <c r="K86" s="44" t="str">
        <f aca="false">IF($A86="","",MIN($F86,MAX(0,SUMIFS(期初数据!$L$6:$L$155,期初数据!$J$6:$J$155,$A86,期初数据!$K$6:$K$155,"&lt;="&amp;首页!$B$7-90)+SUMIFS(采购录入!$S$5:$S$404,采购录入!$D$5:$D$404,$A86,采购录入!$T$5:$T$404,"&lt;="&amp;首页!$B$7-90)-SUMIFS(资金流水!$N$5:$N$504,资金流水!$G$5:$G$504,$A86,资金流水!$E$5:$E$504,"供应商付款",资金流水!$B$5:$B$504,"&lt;="&amp;首页!$B$7))))</f>
        <v/>
      </c>
      <c r="L86" s="62" t="str">
        <f aca="false">IF($A86="","",$H86+$I86+$J86+$K86)</f>
        <v/>
      </c>
      <c r="M86" s="47" t="str">
        <f aca="false">IF($A86="","",IF($K86&gt;0,"高危",IF($J86&gt;0,"关注",IF($L86&gt;0,"提醒","正常"))))</f>
        <v/>
      </c>
      <c r="N86" s="42" t="str">
        <f aca="false">IF($A86="","",基础资料!$AG86)</f>
        <v/>
      </c>
    </row>
    <row r="87" customFormat="false" ht="15.75" hidden="false" customHeight="true" outlineLevel="0" collapsed="false">
      <c r="A87" s="35" t="str">
        <f aca="false">IF(基础资料!$AF87="","",基础资料!$AF87)</f>
        <v/>
      </c>
      <c r="B87" s="42" t="str">
        <f aca="false">IF($A87="","",N(基础资料!$AH87))</f>
        <v/>
      </c>
      <c r="C87" s="54" t="str">
        <f aca="false">IF($A87="","",SUMIFS(期初数据!$L$6:$L$155,期初数据!$J$6:$J$155,$A87,期初数据!$K$6:$K$155,"&lt;"&amp;首页!$B$6)+SUMIFS(采购录入!$S$5:$S$404,采购录入!$D$5:$D$404,$A87,采购录入!$B$5:$B$404,"&lt;"&amp;首页!$B$6)-SUMIFS(资金流水!$N$5:$N$504,资金流水!$G$5:$G$504,$A87,资金流水!$E$5:$E$504,"供应商付款",资金流水!$B$5:$B$504,"&lt;"&amp;首页!$B$6))</f>
        <v/>
      </c>
      <c r="D87" s="54" t="str">
        <f aca="false">IF($A87="","",SUMIFS(采购录入!$S$5:$S$404,采购录入!$D$5:$D$404,$A87,采购录入!$C$5:$C$404,首页!$B$5))</f>
        <v/>
      </c>
      <c r="E87" s="54" t="str">
        <f aca="false">IF($A87="","",SUMIFS(资金流水!$N$5:$N$504,资金流水!$G$5:$G$504,$A87,资金流水!$E$5:$E$504,"供应商付款",资金流水!$C$5:$C$504,首页!$B$5))</f>
        <v/>
      </c>
      <c r="F87" s="62" t="str">
        <f aca="false">IF($A87="","",$C87+$D87-$E87)</f>
        <v/>
      </c>
      <c r="G87" s="44" t="str">
        <f aca="false">IF($A87="","",$F87-$H87-$I87-$J87-$K87)</f>
        <v/>
      </c>
      <c r="H87" s="44" t="str">
        <f aca="false">IF($A87="","",MIN($F87,MAX(0,SUMIFS(期初数据!$L$6:$L$155,期初数据!$J$6:$J$155,$A87,期初数据!$K$6:$K$155,"&lt;="&amp;首页!$B$7)+SUMIFS(采购录入!$S$5:$S$404,采购录入!$D$5:$D$404,$A87,采购录入!$T$5:$T$404,"&lt;="&amp;首页!$B$7)-SUMIFS(资金流水!$N$5:$N$504,资金流水!$G$5:$G$504,$A87,资金流水!$E$5:$E$504,"供应商付款",资金流水!$B$5:$B$504,"&lt;="&amp;首页!$B$7)))-$K87-$J87-$I87)</f>
        <v/>
      </c>
      <c r="I87" s="44" t="str">
        <f aca="false">IF($A87="","",MIN($F87,MAX(0,SUMIFS(期初数据!$L$6:$L$155,期初数据!$J$6:$J$155,$A87,期初数据!$K$6:$K$155,"&lt;="&amp;首页!$B$7-30)+SUMIFS(采购录入!$S$5:$S$404,采购录入!$D$5:$D$404,$A87,采购录入!$T$5:$T$404,"&lt;="&amp;首页!$B$7-30)-SUMIFS(资金流水!$N$5:$N$504,资金流水!$G$5:$G$504,$A87,资金流水!$E$5:$E$504,"供应商付款",资金流水!$B$5:$B$504,"&lt;="&amp;首页!$B$7)))-$K87-$J87)</f>
        <v/>
      </c>
      <c r="J87" s="44" t="str">
        <f aca="false">IF($A87="","",MIN($F87,MAX(0,SUMIFS(期初数据!$L$6:$L$155,期初数据!$J$6:$J$155,$A87,期初数据!$K$6:$K$155,"&lt;="&amp;首页!$B$7-60)+SUMIFS(采购录入!$S$5:$S$404,采购录入!$D$5:$D$404,$A87,采购录入!$T$5:$T$404,"&lt;="&amp;首页!$B$7-60)-SUMIFS(资金流水!$N$5:$N$504,资金流水!$G$5:$G$504,$A87,资金流水!$E$5:$E$504,"供应商付款",资金流水!$B$5:$B$504,"&lt;="&amp;首页!$B$7)))-$K87)</f>
        <v/>
      </c>
      <c r="K87" s="44" t="str">
        <f aca="false">IF($A87="","",MIN($F87,MAX(0,SUMIFS(期初数据!$L$6:$L$155,期初数据!$J$6:$J$155,$A87,期初数据!$K$6:$K$155,"&lt;="&amp;首页!$B$7-90)+SUMIFS(采购录入!$S$5:$S$404,采购录入!$D$5:$D$404,$A87,采购录入!$T$5:$T$404,"&lt;="&amp;首页!$B$7-90)-SUMIFS(资金流水!$N$5:$N$504,资金流水!$G$5:$G$504,$A87,资金流水!$E$5:$E$504,"供应商付款",资金流水!$B$5:$B$504,"&lt;="&amp;首页!$B$7))))</f>
        <v/>
      </c>
      <c r="L87" s="62" t="str">
        <f aca="false">IF($A87="","",$H87+$I87+$J87+$K87)</f>
        <v/>
      </c>
      <c r="M87" s="47" t="str">
        <f aca="false">IF($A87="","",IF($K87&gt;0,"高危",IF($J87&gt;0,"关注",IF($L87&gt;0,"提醒","正常"))))</f>
        <v/>
      </c>
      <c r="N87" s="42" t="str">
        <f aca="false">IF($A87="","",基础资料!$AG87)</f>
        <v/>
      </c>
    </row>
    <row r="88" customFormat="false" ht="15.75" hidden="false" customHeight="true" outlineLevel="0" collapsed="false">
      <c r="A88" s="35" t="str">
        <f aca="false">IF(基础资料!$AF88="","",基础资料!$AF88)</f>
        <v/>
      </c>
      <c r="B88" s="42" t="str">
        <f aca="false">IF($A88="","",N(基础资料!$AH88))</f>
        <v/>
      </c>
      <c r="C88" s="54" t="str">
        <f aca="false">IF($A88="","",SUMIFS(期初数据!$L$6:$L$155,期初数据!$J$6:$J$155,$A88,期初数据!$K$6:$K$155,"&lt;"&amp;首页!$B$6)+SUMIFS(采购录入!$S$5:$S$404,采购录入!$D$5:$D$404,$A88,采购录入!$B$5:$B$404,"&lt;"&amp;首页!$B$6)-SUMIFS(资金流水!$N$5:$N$504,资金流水!$G$5:$G$504,$A88,资金流水!$E$5:$E$504,"供应商付款",资金流水!$B$5:$B$504,"&lt;"&amp;首页!$B$6))</f>
        <v/>
      </c>
      <c r="D88" s="54" t="str">
        <f aca="false">IF($A88="","",SUMIFS(采购录入!$S$5:$S$404,采购录入!$D$5:$D$404,$A88,采购录入!$C$5:$C$404,首页!$B$5))</f>
        <v/>
      </c>
      <c r="E88" s="54" t="str">
        <f aca="false">IF($A88="","",SUMIFS(资金流水!$N$5:$N$504,资金流水!$G$5:$G$504,$A88,资金流水!$E$5:$E$504,"供应商付款",资金流水!$C$5:$C$504,首页!$B$5))</f>
        <v/>
      </c>
      <c r="F88" s="62" t="str">
        <f aca="false">IF($A88="","",$C88+$D88-$E88)</f>
        <v/>
      </c>
      <c r="G88" s="44" t="str">
        <f aca="false">IF($A88="","",$F88-$H88-$I88-$J88-$K88)</f>
        <v/>
      </c>
      <c r="H88" s="44" t="str">
        <f aca="false">IF($A88="","",MIN($F88,MAX(0,SUMIFS(期初数据!$L$6:$L$155,期初数据!$J$6:$J$155,$A88,期初数据!$K$6:$K$155,"&lt;="&amp;首页!$B$7)+SUMIFS(采购录入!$S$5:$S$404,采购录入!$D$5:$D$404,$A88,采购录入!$T$5:$T$404,"&lt;="&amp;首页!$B$7)-SUMIFS(资金流水!$N$5:$N$504,资金流水!$G$5:$G$504,$A88,资金流水!$E$5:$E$504,"供应商付款",资金流水!$B$5:$B$504,"&lt;="&amp;首页!$B$7)))-$K88-$J88-$I88)</f>
        <v/>
      </c>
      <c r="I88" s="44" t="str">
        <f aca="false">IF($A88="","",MIN($F88,MAX(0,SUMIFS(期初数据!$L$6:$L$155,期初数据!$J$6:$J$155,$A88,期初数据!$K$6:$K$155,"&lt;="&amp;首页!$B$7-30)+SUMIFS(采购录入!$S$5:$S$404,采购录入!$D$5:$D$404,$A88,采购录入!$T$5:$T$404,"&lt;="&amp;首页!$B$7-30)-SUMIFS(资金流水!$N$5:$N$504,资金流水!$G$5:$G$504,$A88,资金流水!$E$5:$E$504,"供应商付款",资金流水!$B$5:$B$504,"&lt;="&amp;首页!$B$7)))-$K88-$J88)</f>
        <v/>
      </c>
      <c r="J88" s="44" t="str">
        <f aca="false">IF($A88="","",MIN($F88,MAX(0,SUMIFS(期初数据!$L$6:$L$155,期初数据!$J$6:$J$155,$A88,期初数据!$K$6:$K$155,"&lt;="&amp;首页!$B$7-60)+SUMIFS(采购录入!$S$5:$S$404,采购录入!$D$5:$D$404,$A88,采购录入!$T$5:$T$404,"&lt;="&amp;首页!$B$7-60)-SUMIFS(资金流水!$N$5:$N$504,资金流水!$G$5:$G$504,$A88,资金流水!$E$5:$E$504,"供应商付款",资金流水!$B$5:$B$504,"&lt;="&amp;首页!$B$7)))-$K88)</f>
        <v/>
      </c>
      <c r="K88" s="44" t="str">
        <f aca="false">IF($A88="","",MIN($F88,MAX(0,SUMIFS(期初数据!$L$6:$L$155,期初数据!$J$6:$J$155,$A88,期初数据!$K$6:$K$155,"&lt;="&amp;首页!$B$7-90)+SUMIFS(采购录入!$S$5:$S$404,采购录入!$D$5:$D$404,$A88,采购录入!$T$5:$T$404,"&lt;="&amp;首页!$B$7-90)-SUMIFS(资金流水!$N$5:$N$504,资金流水!$G$5:$G$504,$A88,资金流水!$E$5:$E$504,"供应商付款",资金流水!$B$5:$B$504,"&lt;="&amp;首页!$B$7))))</f>
        <v/>
      </c>
      <c r="L88" s="62" t="str">
        <f aca="false">IF($A88="","",$H88+$I88+$J88+$K88)</f>
        <v/>
      </c>
      <c r="M88" s="47" t="str">
        <f aca="false">IF($A88="","",IF($K88&gt;0,"高危",IF($J88&gt;0,"关注",IF($L88&gt;0,"提醒","正常"))))</f>
        <v/>
      </c>
      <c r="N88" s="42" t="str">
        <f aca="false">IF($A88="","",基础资料!$AG88)</f>
        <v/>
      </c>
    </row>
    <row r="89" customFormat="false" ht="15.75" hidden="false" customHeight="true" outlineLevel="0" collapsed="false">
      <c r="A89" s="35" t="str">
        <f aca="false">IF(基础资料!$AF89="","",基础资料!$AF89)</f>
        <v/>
      </c>
      <c r="B89" s="42" t="str">
        <f aca="false">IF($A89="","",N(基础资料!$AH89))</f>
        <v/>
      </c>
      <c r="C89" s="54" t="str">
        <f aca="false">IF($A89="","",SUMIFS(期初数据!$L$6:$L$155,期初数据!$J$6:$J$155,$A89,期初数据!$K$6:$K$155,"&lt;"&amp;首页!$B$6)+SUMIFS(采购录入!$S$5:$S$404,采购录入!$D$5:$D$404,$A89,采购录入!$B$5:$B$404,"&lt;"&amp;首页!$B$6)-SUMIFS(资金流水!$N$5:$N$504,资金流水!$G$5:$G$504,$A89,资金流水!$E$5:$E$504,"供应商付款",资金流水!$B$5:$B$504,"&lt;"&amp;首页!$B$6))</f>
        <v/>
      </c>
      <c r="D89" s="54" t="str">
        <f aca="false">IF($A89="","",SUMIFS(采购录入!$S$5:$S$404,采购录入!$D$5:$D$404,$A89,采购录入!$C$5:$C$404,首页!$B$5))</f>
        <v/>
      </c>
      <c r="E89" s="54" t="str">
        <f aca="false">IF($A89="","",SUMIFS(资金流水!$N$5:$N$504,资金流水!$G$5:$G$504,$A89,资金流水!$E$5:$E$504,"供应商付款",资金流水!$C$5:$C$504,首页!$B$5))</f>
        <v/>
      </c>
      <c r="F89" s="62" t="str">
        <f aca="false">IF($A89="","",$C89+$D89-$E89)</f>
        <v/>
      </c>
      <c r="G89" s="44" t="str">
        <f aca="false">IF($A89="","",$F89-$H89-$I89-$J89-$K89)</f>
        <v/>
      </c>
      <c r="H89" s="44" t="str">
        <f aca="false">IF($A89="","",MIN($F89,MAX(0,SUMIFS(期初数据!$L$6:$L$155,期初数据!$J$6:$J$155,$A89,期初数据!$K$6:$K$155,"&lt;="&amp;首页!$B$7)+SUMIFS(采购录入!$S$5:$S$404,采购录入!$D$5:$D$404,$A89,采购录入!$T$5:$T$404,"&lt;="&amp;首页!$B$7)-SUMIFS(资金流水!$N$5:$N$504,资金流水!$G$5:$G$504,$A89,资金流水!$E$5:$E$504,"供应商付款",资金流水!$B$5:$B$504,"&lt;="&amp;首页!$B$7)))-$K89-$J89-$I89)</f>
        <v/>
      </c>
      <c r="I89" s="44" t="str">
        <f aca="false">IF($A89="","",MIN($F89,MAX(0,SUMIFS(期初数据!$L$6:$L$155,期初数据!$J$6:$J$155,$A89,期初数据!$K$6:$K$155,"&lt;="&amp;首页!$B$7-30)+SUMIFS(采购录入!$S$5:$S$404,采购录入!$D$5:$D$404,$A89,采购录入!$T$5:$T$404,"&lt;="&amp;首页!$B$7-30)-SUMIFS(资金流水!$N$5:$N$504,资金流水!$G$5:$G$504,$A89,资金流水!$E$5:$E$504,"供应商付款",资金流水!$B$5:$B$504,"&lt;="&amp;首页!$B$7)))-$K89-$J89)</f>
        <v/>
      </c>
      <c r="J89" s="44" t="str">
        <f aca="false">IF($A89="","",MIN($F89,MAX(0,SUMIFS(期初数据!$L$6:$L$155,期初数据!$J$6:$J$155,$A89,期初数据!$K$6:$K$155,"&lt;="&amp;首页!$B$7-60)+SUMIFS(采购录入!$S$5:$S$404,采购录入!$D$5:$D$404,$A89,采购录入!$T$5:$T$404,"&lt;="&amp;首页!$B$7-60)-SUMIFS(资金流水!$N$5:$N$504,资金流水!$G$5:$G$504,$A89,资金流水!$E$5:$E$504,"供应商付款",资金流水!$B$5:$B$504,"&lt;="&amp;首页!$B$7)))-$K89)</f>
        <v/>
      </c>
      <c r="K89" s="44" t="str">
        <f aca="false">IF($A89="","",MIN($F89,MAX(0,SUMIFS(期初数据!$L$6:$L$155,期初数据!$J$6:$J$155,$A89,期初数据!$K$6:$K$155,"&lt;="&amp;首页!$B$7-90)+SUMIFS(采购录入!$S$5:$S$404,采购录入!$D$5:$D$404,$A89,采购录入!$T$5:$T$404,"&lt;="&amp;首页!$B$7-90)-SUMIFS(资金流水!$N$5:$N$504,资金流水!$G$5:$G$504,$A89,资金流水!$E$5:$E$504,"供应商付款",资金流水!$B$5:$B$504,"&lt;="&amp;首页!$B$7))))</f>
        <v/>
      </c>
      <c r="L89" s="62" t="str">
        <f aca="false">IF($A89="","",$H89+$I89+$J89+$K89)</f>
        <v/>
      </c>
      <c r="M89" s="47" t="str">
        <f aca="false">IF($A89="","",IF($K89&gt;0,"高危",IF($J89&gt;0,"关注",IF($L89&gt;0,"提醒","正常"))))</f>
        <v/>
      </c>
      <c r="N89" s="42" t="str">
        <f aca="false">IF($A89="","",基础资料!$AG89)</f>
        <v/>
      </c>
    </row>
    <row r="90" customFormat="false" ht="15.75" hidden="false" customHeight="true" outlineLevel="0" collapsed="false">
      <c r="A90" s="35" t="str">
        <f aca="false">IF(基础资料!$AF90="","",基础资料!$AF90)</f>
        <v/>
      </c>
      <c r="B90" s="42" t="str">
        <f aca="false">IF($A90="","",N(基础资料!$AH90))</f>
        <v/>
      </c>
      <c r="C90" s="54" t="str">
        <f aca="false">IF($A90="","",SUMIFS(期初数据!$L$6:$L$155,期初数据!$J$6:$J$155,$A90,期初数据!$K$6:$K$155,"&lt;"&amp;首页!$B$6)+SUMIFS(采购录入!$S$5:$S$404,采购录入!$D$5:$D$404,$A90,采购录入!$B$5:$B$404,"&lt;"&amp;首页!$B$6)-SUMIFS(资金流水!$N$5:$N$504,资金流水!$G$5:$G$504,$A90,资金流水!$E$5:$E$504,"供应商付款",资金流水!$B$5:$B$504,"&lt;"&amp;首页!$B$6))</f>
        <v/>
      </c>
      <c r="D90" s="54" t="str">
        <f aca="false">IF($A90="","",SUMIFS(采购录入!$S$5:$S$404,采购录入!$D$5:$D$404,$A90,采购录入!$C$5:$C$404,首页!$B$5))</f>
        <v/>
      </c>
      <c r="E90" s="54" t="str">
        <f aca="false">IF($A90="","",SUMIFS(资金流水!$N$5:$N$504,资金流水!$G$5:$G$504,$A90,资金流水!$E$5:$E$504,"供应商付款",资金流水!$C$5:$C$504,首页!$B$5))</f>
        <v/>
      </c>
      <c r="F90" s="62" t="str">
        <f aca="false">IF($A90="","",$C90+$D90-$E90)</f>
        <v/>
      </c>
      <c r="G90" s="44" t="str">
        <f aca="false">IF($A90="","",$F90-$H90-$I90-$J90-$K90)</f>
        <v/>
      </c>
      <c r="H90" s="44" t="str">
        <f aca="false">IF($A90="","",MIN($F90,MAX(0,SUMIFS(期初数据!$L$6:$L$155,期初数据!$J$6:$J$155,$A90,期初数据!$K$6:$K$155,"&lt;="&amp;首页!$B$7)+SUMIFS(采购录入!$S$5:$S$404,采购录入!$D$5:$D$404,$A90,采购录入!$T$5:$T$404,"&lt;="&amp;首页!$B$7)-SUMIFS(资金流水!$N$5:$N$504,资金流水!$G$5:$G$504,$A90,资金流水!$E$5:$E$504,"供应商付款",资金流水!$B$5:$B$504,"&lt;="&amp;首页!$B$7)))-$K90-$J90-$I90)</f>
        <v/>
      </c>
      <c r="I90" s="44" t="str">
        <f aca="false">IF($A90="","",MIN($F90,MAX(0,SUMIFS(期初数据!$L$6:$L$155,期初数据!$J$6:$J$155,$A90,期初数据!$K$6:$K$155,"&lt;="&amp;首页!$B$7-30)+SUMIFS(采购录入!$S$5:$S$404,采购录入!$D$5:$D$404,$A90,采购录入!$T$5:$T$404,"&lt;="&amp;首页!$B$7-30)-SUMIFS(资金流水!$N$5:$N$504,资金流水!$G$5:$G$504,$A90,资金流水!$E$5:$E$504,"供应商付款",资金流水!$B$5:$B$504,"&lt;="&amp;首页!$B$7)))-$K90-$J90)</f>
        <v/>
      </c>
      <c r="J90" s="44" t="str">
        <f aca="false">IF($A90="","",MIN($F90,MAX(0,SUMIFS(期初数据!$L$6:$L$155,期初数据!$J$6:$J$155,$A90,期初数据!$K$6:$K$155,"&lt;="&amp;首页!$B$7-60)+SUMIFS(采购录入!$S$5:$S$404,采购录入!$D$5:$D$404,$A90,采购录入!$T$5:$T$404,"&lt;="&amp;首页!$B$7-60)-SUMIFS(资金流水!$N$5:$N$504,资金流水!$G$5:$G$504,$A90,资金流水!$E$5:$E$504,"供应商付款",资金流水!$B$5:$B$504,"&lt;="&amp;首页!$B$7)))-$K90)</f>
        <v/>
      </c>
      <c r="K90" s="44" t="str">
        <f aca="false">IF($A90="","",MIN($F90,MAX(0,SUMIFS(期初数据!$L$6:$L$155,期初数据!$J$6:$J$155,$A90,期初数据!$K$6:$K$155,"&lt;="&amp;首页!$B$7-90)+SUMIFS(采购录入!$S$5:$S$404,采购录入!$D$5:$D$404,$A90,采购录入!$T$5:$T$404,"&lt;="&amp;首页!$B$7-90)-SUMIFS(资金流水!$N$5:$N$504,资金流水!$G$5:$G$504,$A90,资金流水!$E$5:$E$504,"供应商付款",资金流水!$B$5:$B$504,"&lt;="&amp;首页!$B$7))))</f>
        <v/>
      </c>
      <c r="L90" s="62" t="str">
        <f aca="false">IF($A90="","",$H90+$I90+$J90+$K90)</f>
        <v/>
      </c>
      <c r="M90" s="47" t="str">
        <f aca="false">IF($A90="","",IF($K90&gt;0,"高危",IF($J90&gt;0,"关注",IF($L90&gt;0,"提醒","正常"))))</f>
        <v/>
      </c>
      <c r="N90" s="42" t="str">
        <f aca="false">IF($A90="","",基础资料!$AG90)</f>
        <v/>
      </c>
    </row>
    <row r="91" customFormat="false" ht="15.75" hidden="false" customHeight="true" outlineLevel="0" collapsed="false">
      <c r="A91" s="35" t="str">
        <f aca="false">IF(基础资料!$AF91="","",基础资料!$AF91)</f>
        <v/>
      </c>
      <c r="B91" s="42" t="str">
        <f aca="false">IF($A91="","",N(基础资料!$AH91))</f>
        <v/>
      </c>
      <c r="C91" s="54" t="str">
        <f aca="false">IF($A91="","",SUMIFS(期初数据!$L$6:$L$155,期初数据!$J$6:$J$155,$A91,期初数据!$K$6:$K$155,"&lt;"&amp;首页!$B$6)+SUMIFS(采购录入!$S$5:$S$404,采购录入!$D$5:$D$404,$A91,采购录入!$B$5:$B$404,"&lt;"&amp;首页!$B$6)-SUMIFS(资金流水!$N$5:$N$504,资金流水!$G$5:$G$504,$A91,资金流水!$E$5:$E$504,"供应商付款",资金流水!$B$5:$B$504,"&lt;"&amp;首页!$B$6))</f>
        <v/>
      </c>
      <c r="D91" s="54" t="str">
        <f aca="false">IF($A91="","",SUMIFS(采购录入!$S$5:$S$404,采购录入!$D$5:$D$404,$A91,采购录入!$C$5:$C$404,首页!$B$5))</f>
        <v/>
      </c>
      <c r="E91" s="54" t="str">
        <f aca="false">IF($A91="","",SUMIFS(资金流水!$N$5:$N$504,资金流水!$G$5:$G$504,$A91,资金流水!$E$5:$E$504,"供应商付款",资金流水!$C$5:$C$504,首页!$B$5))</f>
        <v/>
      </c>
      <c r="F91" s="62" t="str">
        <f aca="false">IF($A91="","",$C91+$D91-$E91)</f>
        <v/>
      </c>
      <c r="G91" s="44" t="str">
        <f aca="false">IF($A91="","",$F91-$H91-$I91-$J91-$K91)</f>
        <v/>
      </c>
      <c r="H91" s="44" t="str">
        <f aca="false">IF($A91="","",MIN($F91,MAX(0,SUMIFS(期初数据!$L$6:$L$155,期初数据!$J$6:$J$155,$A91,期初数据!$K$6:$K$155,"&lt;="&amp;首页!$B$7)+SUMIFS(采购录入!$S$5:$S$404,采购录入!$D$5:$D$404,$A91,采购录入!$T$5:$T$404,"&lt;="&amp;首页!$B$7)-SUMIFS(资金流水!$N$5:$N$504,资金流水!$G$5:$G$504,$A91,资金流水!$E$5:$E$504,"供应商付款",资金流水!$B$5:$B$504,"&lt;="&amp;首页!$B$7)))-$K91-$J91-$I91)</f>
        <v/>
      </c>
      <c r="I91" s="44" t="str">
        <f aca="false">IF($A91="","",MIN($F91,MAX(0,SUMIFS(期初数据!$L$6:$L$155,期初数据!$J$6:$J$155,$A91,期初数据!$K$6:$K$155,"&lt;="&amp;首页!$B$7-30)+SUMIFS(采购录入!$S$5:$S$404,采购录入!$D$5:$D$404,$A91,采购录入!$T$5:$T$404,"&lt;="&amp;首页!$B$7-30)-SUMIFS(资金流水!$N$5:$N$504,资金流水!$G$5:$G$504,$A91,资金流水!$E$5:$E$504,"供应商付款",资金流水!$B$5:$B$504,"&lt;="&amp;首页!$B$7)))-$K91-$J91)</f>
        <v/>
      </c>
      <c r="J91" s="44" t="str">
        <f aca="false">IF($A91="","",MIN($F91,MAX(0,SUMIFS(期初数据!$L$6:$L$155,期初数据!$J$6:$J$155,$A91,期初数据!$K$6:$K$155,"&lt;="&amp;首页!$B$7-60)+SUMIFS(采购录入!$S$5:$S$404,采购录入!$D$5:$D$404,$A91,采购录入!$T$5:$T$404,"&lt;="&amp;首页!$B$7-60)-SUMIFS(资金流水!$N$5:$N$504,资金流水!$G$5:$G$504,$A91,资金流水!$E$5:$E$504,"供应商付款",资金流水!$B$5:$B$504,"&lt;="&amp;首页!$B$7)))-$K91)</f>
        <v/>
      </c>
      <c r="K91" s="44" t="str">
        <f aca="false">IF($A91="","",MIN($F91,MAX(0,SUMIFS(期初数据!$L$6:$L$155,期初数据!$J$6:$J$155,$A91,期初数据!$K$6:$K$155,"&lt;="&amp;首页!$B$7-90)+SUMIFS(采购录入!$S$5:$S$404,采购录入!$D$5:$D$404,$A91,采购录入!$T$5:$T$404,"&lt;="&amp;首页!$B$7-90)-SUMIFS(资金流水!$N$5:$N$504,资金流水!$G$5:$G$504,$A91,资金流水!$E$5:$E$504,"供应商付款",资金流水!$B$5:$B$504,"&lt;="&amp;首页!$B$7))))</f>
        <v/>
      </c>
      <c r="L91" s="62" t="str">
        <f aca="false">IF($A91="","",$H91+$I91+$J91+$K91)</f>
        <v/>
      </c>
      <c r="M91" s="47" t="str">
        <f aca="false">IF($A91="","",IF($K91&gt;0,"高危",IF($J91&gt;0,"关注",IF($L91&gt;0,"提醒","正常"))))</f>
        <v/>
      </c>
      <c r="N91" s="42" t="str">
        <f aca="false">IF($A91="","",基础资料!$AG91)</f>
        <v/>
      </c>
    </row>
    <row r="92" customFormat="false" ht="15.75" hidden="false" customHeight="true" outlineLevel="0" collapsed="false">
      <c r="A92" s="35" t="str">
        <f aca="false">IF(基础资料!$AF92="","",基础资料!$AF92)</f>
        <v/>
      </c>
      <c r="B92" s="42" t="str">
        <f aca="false">IF($A92="","",N(基础资料!$AH92))</f>
        <v/>
      </c>
      <c r="C92" s="54" t="str">
        <f aca="false">IF($A92="","",SUMIFS(期初数据!$L$6:$L$155,期初数据!$J$6:$J$155,$A92,期初数据!$K$6:$K$155,"&lt;"&amp;首页!$B$6)+SUMIFS(采购录入!$S$5:$S$404,采购录入!$D$5:$D$404,$A92,采购录入!$B$5:$B$404,"&lt;"&amp;首页!$B$6)-SUMIFS(资金流水!$N$5:$N$504,资金流水!$G$5:$G$504,$A92,资金流水!$E$5:$E$504,"供应商付款",资金流水!$B$5:$B$504,"&lt;"&amp;首页!$B$6))</f>
        <v/>
      </c>
      <c r="D92" s="54" t="str">
        <f aca="false">IF($A92="","",SUMIFS(采购录入!$S$5:$S$404,采购录入!$D$5:$D$404,$A92,采购录入!$C$5:$C$404,首页!$B$5))</f>
        <v/>
      </c>
      <c r="E92" s="54" t="str">
        <f aca="false">IF($A92="","",SUMIFS(资金流水!$N$5:$N$504,资金流水!$G$5:$G$504,$A92,资金流水!$E$5:$E$504,"供应商付款",资金流水!$C$5:$C$504,首页!$B$5))</f>
        <v/>
      </c>
      <c r="F92" s="62" t="str">
        <f aca="false">IF($A92="","",$C92+$D92-$E92)</f>
        <v/>
      </c>
      <c r="G92" s="44" t="str">
        <f aca="false">IF($A92="","",$F92-$H92-$I92-$J92-$K92)</f>
        <v/>
      </c>
      <c r="H92" s="44" t="str">
        <f aca="false">IF($A92="","",MIN($F92,MAX(0,SUMIFS(期初数据!$L$6:$L$155,期初数据!$J$6:$J$155,$A92,期初数据!$K$6:$K$155,"&lt;="&amp;首页!$B$7)+SUMIFS(采购录入!$S$5:$S$404,采购录入!$D$5:$D$404,$A92,采购录入!$T$5:$T$404,"&lt;="&amp;首页!$B$7)-SUMIFS(资金流水!$N$5:$N$504,资金流水!$G$5:$G$504,$A92,资金流水!$E$5:$E$504,"供应商付款",资金流水!$B$5:$B$504,"&lt;="&amp;首页!$B$7)))-$K92-$J92-$I92)</f>
        <v/>
      </c>
      <c r="I92" s="44" t="str">
        <f aca="false">IF($A92="","",MIN($F92,MAX(0,SUMIFS(期初数据!$L$6:$L$155,期初数据!$J$6:$J$155,$A92,期初数据!$K$6:$K$155,"&lt;="&amp;首页!$B$7-30)+SUMIFS(采购录入!$S$5:$S$404,采购录入!$D$5:$D$404,$A92,采购录入!$T$5:$T$404,"&lt;="&amp;首页!$B$7-30)-SUMIFS(资金流水!$N$5:$N$504,资金流水!$G$5:$G$504,$A92,资金流水!$E$5:$E$504,"供应商付款",资金流水!$B$5:$B$504,"&lt;="&amp;首页!$B$7)))-$K92-$J92)</f>
        <v/>
      </c>
      <c r="J92" s="44" t="str">
        <f aca="false">IF($A92="","",MIN($F92,MAX(0,SUMIFS(期初数据!$L$6:$L$155,期初数据!$J$6:$J$155,$A92,期初数据!$K$6:$K$155,"&lt;="&amp;首页!$B$7-60)+SUMIFS(采购录入!$S$5:$S$404,采购录入!$D$5:$D$404,$A92,采购录入!$T$5:$T$404,"&lt;="&amp;首页!$B$7-60)-SUMIFS(资金流水!$N$5:$N$504,资金流水!$G$5:$G$504,$A92,资金流水!$E$5:$E$504,"供应商付款",资金流水!$B$5:$B$504,"&lt;="&amp;首页!$B$7)))-$K92)</f>
        <v/>
      </c>
      <c r="K92" s="44" t="str">
        <f aca="false">IF($A92="","",MIN($F92,MAX(0,SUMIFS(期初数据!$L$6:$L$155,期初数据!$J$6:$J$155,$A92,期初数据!$K$6:$K$155,"&lt;="&amp;首页!$B$7-90)+SUMIFS(采购录入!$S$5:$S$404,采购录入!$D$5:$D$404,$A92,采购录入!$T$5:$T$404,"&lt;="&amp;首页!$B$7-90)-SUMIFS(资金流水!$N$5:$N$504,资金流水!$G$5:$G$504,$A92,资金流水!$E$5:$E$504,"供应商付款",资金流水!$B$5:$B$504,"&lt;="&amp;首页!$B$7))))</f>
        <v/>
      </c>
      <c r="L92" s="62" t="str">
        <f aca="false">IF($A92="","",$H92+$I92+$J92+$K92)</f>
        <v/>
      </c>
      <c r="M92" s="47" t="str">
        <f aca="false">IF($A92="","",IF($K92&gt;0,"高危",IF($J92&gt;0,"关注",IF($L92&gt;0,"提醒","正常"))))</f>
        <v/>
      </c>
      <c r="N92" s="42" t="str">
        <f aca="false">IF($A92="","",基础资料!$AG92)</f>
        <v/>
      </c>
    </row>
    <row r="93" customFormat="false" ht="15.75" hidden="false" customHeight="true" outlineLevel="0" collapsed="false">
      <c r="A93" s="35" t="str">
        <f aca="false">IF(基础资料!$AF93="","",基础资料!$AF93)</f>
        <v/>
      </c>
      <c r="B93" s="42" t="str">
        <f aca="false">IF($A93="","",N(基础资料!$AH93))</f>
        <v/>
      </c>
      <c r="C93" s="54" t="str">
        <f aca="false">IF($A93="","",SUMIFS(期初数据!$L$6:$L$155,期初数据!$J$6:$J$155,$A93,期初数据!$K$6:$K$155,"&lt;"&amp;首页!$B$6)+SUMIFS(采购录入!$S$5:$S$404,采购录入!$D$5:$D$404,$A93,采购录入!$B$5:$B$404,"&lt;"&amp;首页!$B$6)-SUMIFS(资金流水!$N$5:$N$504,资金流水!$G$5:$G$504,$A93,资金流水!$E$5:$E$504,"供应商付款",资金流水!$B$5:$B$504,"&lt;"&amp;首页!$B$6))</f>
        <v/>
      </c>
      <c r="D93" s="54" t="str">
        <f aca="false">IF($A93="","",SUMIFS(采购录入!$S$5:$S$404,采购录入!$D$5:$D$404,$A93,采购录入!$C$5:$C$404,首页!$B$5))</f>
        <v/>
      </c>
      <c r="E93" s="54" t="str">
        <f aca="false">IF($A93="","",SUMIFS(资金流水!$N$5:$N$504,资金流水!$G$5:$G$504,$A93,资金流水!$E$5:$E$504,"供应商付款",资金流水!$C$5:$C$504,首页!$B$5))</f>
        <v/>
      </c>
      <c r="F93" s="62" t="str">
        <f aca="false">IF($A93="","",$C93+$D93-$E93)</f>
        <v/>
      </c>
      <c r="G93" s="44" t="str">
        <f aca="false">IF($A93="","",$F93-$H93-$I93-$J93-$K93)</f>
        <v/>
      </c>
      <c r="H93" s="44" t="str">
        <f aca="false">IF($A93="","",MIN($F93,MAX(0,SUMIFS(期初数据!$L$6:$L$155,期初数据!$J$6:$J$155,$A93,期初数据!$K$6:$K$155,"&lt;="&amp;首页!$B$7)+SUMIFS(采购录入!$S$5:$S$404,采购录入!$D$5:$D$404,$A93,采购录入!$T$5:$T$404,"&lt;="&amp;首页!$B$7)-SUMIFS(资金流水!$N$5:$N$504,资金流水!$G$5:$G$504,$A93,资金流水!$E$5:$E$504,"供应商付款",资金流水!$B$5:$B$504,"&lt;="&amp;首页!$B$7)))-$K93-$J93-$I93)</f>
        <v/>
      </c>
      <c r="I93" s="44" t="str">
        <f aca="false">IF($A93="","",MIN($F93,MAX(0,SUMIFS(期初数据!$L$6:$L$155,期初数据!$J$6:$J$155,$A93,期初数据!$K$6:$K$155,"&lt;="&amp;首页!$B$7-30)+SUMIFS(采购录入!$S$5:$S$404,采购录入!$D$5:$D$404,$A93,采购录入!$T$5:$T$404,"&lt;="&amp;首页!$B$7-30)-SUMIFS(资金流水!$N$5:$N$504,资金流水!$G$5:$G$504,$A93,资金流水!$E$5:$E$504,"供应商付款",资金流水!$B$5:$B$504,"&lt;="&amp;首页!$B$7)))-$K93-$J93)</f>
        <v/>
      </c>
      <c r="J93" s="44" t="str">
        <f aca="false">IF($A93="","",MIN($F93,MAX(0,SUMIFS(期初数据!$L$6:$L$155,期初数据!$J$6:$J$155,$A93,期初数据!$K$6:$K$155,"&lt;="&amp;首页!$B$7-60)+SUMIFS(采购录入!$S$5:$S$404,采购录入!$D$5:$D$404,$A93,采购录入!$T$5:$T$404,"&lt;="&amp;首页!$B$7-60)-SUMIFS(资金流水!$N$5:$N$504,资金流水!$G$5:$G$504,$A93,资金流水!$E$5:$E$504,"供应商付款",资金流水!$B$5:$B$504,"&lt;="&amp;首页!$B$7)))-$K93)</f>
        <v/>
      </c>
      <c r="K93" s="44" t="str">
        <f aca="false">IF($A93="","",MIN($F93,MAX(0,SUMIFS(期初数据!$L$6:$L$155,期初数据!$J$6:$J$155,$A93,期初数据!$K$6:$K$155,"&lt;="&amp;首页!$B$7-90)+SUMIFS(采购录入!$S$5:$S$404,采购录入!$D$5:$D$404,$A93,采购录入!$T$5:$T$404,"&lt;="&amp;首页!$B$7-90)-SUMIFS(资金流水!$N$5:$N$504,资金流水!$G$5:$G$504,$A93,资金流水!$E$5:$E$504,"供应商付款",资金流水!$B$5:$B$504,"&lt;="&amp;首页!$B$7))))</f>
        <v/>
      </c>
      <c r="L93" s="62" t="str">
        <f aca="false">IF($A93="","",$H93+$I93+$J93+$K93)</f>
        <v/>
      </c>
      <c r="M93" s="47" t="str">
        <f aca="false">IF($A93="","",IF($K93&gt;0,"高危",IF($J93&gt;0,"关注",IF($L93&gt;0,"提醒","正常"))))</f>
        <v/>
      </c>
      <c r="N93" s="42" t="str">
        <f aca="false">IF($A93="","",基础资料!$AG93)</f>
        <v/>
      </c>
    </row>
    <row r="94" customFormat="false" ht="15.75" hidden="false" customHeight="true" outlineLevel="0" collapsed="false">
      <c r="A94" s="35" t="str">
        <f aca="false">IF(基础资料!$AF94="","",基础资料!$AF94)</f>
        <v/>
      </c>
      <c r="B94" s="42" t="str">
        <f aca="false">IF($A94="","",N(基础资料!$AH94))</f>
        <v/>
      </c>
      <c r="C94" s="54" t="str">
        <f aca="false">IF($A94="","",SUMIFS(期初数据!$L$6:$L$155,期初数据!$J$6:$J$155,$A94,期初数据!$K$6:$K$155,"&lt;"&amp;首页!$B$6)+SUMIFS(采购录入!$S$5:$S$404,采购录入!$D$5:$D$404,$A94,采购录入!$B$5:$B$404,"&lt;"&amp;首页!$B$6)-SUMIFS(资金流水!$N$5:$N$504,资金流水!$G$5:$G$504,$A94,资金流水!$E$5:$E$504,"供应商付款",资金流水!$B$5:$B$504,"&lt;"&amp;首页!$B$6))</f>
        <v/>
      </c>
      <c r="D94" s="54" t="str">
        <f aca="false">IF($A94="","",SUMIFS(采购录入!$S$5:$S$404,采购录入!$D$5:$D$404,$A94,采购录入!$C$5:$C$404,首页!$B$5))</f>
        <v/>
      </c>
      <c r="E94" s="54" t="str">
        <f aca="false">IF($A94="","",SUMIFS(资金流水!$N$5:$N$504,资金流水!$G$5:$G$504,$A94,资金流水!$E$5:$E$504,"供应商付款",资金流水!$C$5:$C$504,首页!$B$5))</f>
        <v/>
      </c>
      <c r="F94" s="62" t="str">
        <f aca="false">IF($A94="","",$C94+$D94-$E94)</f>
        <v/>
      </c>
      <c r="G94" s="44" t="str">
        <f aca="false">IF($A94="","",$F94-$H94-$I94-$J94-$K94)</f>
        <v/>
      </c>
      <c r="H94" s="44" t="str">
        <f aca="false">IF($A94="","",MIN($F94,MAX(0,SUMIFS(期初数据!$L$6:$L$155,期初数据!$J$6:$J$155,$A94,期初数据!$K$6:$K$155,"&lt;="&amp;首页!$B$7)+SUMIFS(采购录入!$S$5:$S$404,采购录入!$D$5:$D$404,$A94,采购录入!$T$5:$T$404,"&lt;="&amp;首页!$B$7)-SUMIFS(资金流水!$N$5:$N$504,资金流水!$G$5:$G$504,$A94,资金流水!$E$5:$E$504,"供应商付款",资金流水!$B$5:$B$504,"&lt;="&amp;首页!$B$7)))-$K94-$J94-$I94)</f>
        <v/>
      </c>
      <c r="I94" s="44" t="str">
        <f aca="false">IF($A94="","",MIN($F94,MAX(0,SUMIFS(期初数据!$L$6:$L$155,期初数据!$J$6:$J$155,$A94,期初数据!$K$6:$K$155,"&lt;="&amp;首页!$B$7-30)+SUMIFS(采购录入!$S$5:$S$404,采购录入!$D$5:$D$404,$A94,采购录入!$T$5:$T$404,"&lt;="&amp;首页!$B$7-30)-SUMIFS(资金流水!$N$5:$N$504,资金流水!$G$5:$G$504,$A94,资金流水!$E$5:$E$504,"供应商付款",资金流水!$B$5:$B$504,"&lt;="&amp;首页!$B$7)))-$K94-$J94)</f>
        <v/>
      </c>
      <c r="J94" s="44" t="str">
        <f aca="false">IF($A94="","",MIN($F94,MAX(0,SUMIFS(期初数据!$L$6:$L$155,期初数据!$J$6:$J$155,$A94,期初数据!$K$6:$K$155,"&lt;="&amp;首页!$B$7-60)+SUMIFS(采购录入!$S$5:$S$404,采购录入!$D$5:$D$404,$A94,采购录入!$T$5:$T$404,"&lt;="&amp;首页!$B$7-60)-SUMIFS(资金流水!$N$5:$N$504,资金流水!$G$5:$G$504,$A94,资金流水!$E$5:$E$504,"供应商付款",资金流水!$B$5:$B$504,"&lt;="&amp;首页!$B$7)))-$K94)</f>
        <v/>
      </c>
      <c r="K94" s="44" t="str">
        <f aca="false">IF($A94="","",MIN($F94,MAX(0,SUMIFS(期初数据!$L$6:$L$155,期初数据!$J$6:$J$155,$A94,期初数据!$K$6:$K$155,"&lt;="&amp;首页!$B$7-90)+SUMIFS(采购录入!$S$5:$S$404,采购录入!$D$5:$D$404,$A94,采购录入!$T$5:$T$404,"&lt;="&amp;首页!$B$7-90)-SUMIFS(资金流水!$N$5:$N$504,资金流水!$G$5:$G$504,$A94,资金流水!$E$5:$E$504,"供应商付款",资金流水!$B$5:$B$504,"&lt;="&amp;首页!$B$7))))</f>
        <v/>
      </c>
      <c r="L94" s="62" t="str">
        <f aca="false">IF($A94="","",$H94+$I94+$J94+$K94)</f>
        <v/>
      </c>
      <c r="M94" s="47" t="str">
        <f aca="false">IF($A94="","",IF($K94&gt;0,"高危",IF($J94&gt;0,"关注",IF($L94&gt;0,"提醒","正常"))))</f>
        <v/>
      </c>
      <c r="N94" s="42" t="str">
        <f aca="false">IF($A94="","",基础资料!$AG94)</f>
        <v/>
      </c>
    </row>
    <row r="95" customFormat="false" ht="15.75" hidden="false" customHeight="true" outlineLevel="0" collapsed="false">
      <c r="A95" s="35" t="str">
        <f aca="false">IF(基础资料!$AF95="","",基础资料!$AF95)</f>
        <v/>
      </c>
      <c r="B95" s="42" t="str">
        <f aca="false">IF($A95="","",N(基础资料!$AH95))</f>
        <v/>
      </c>
      <c r="C95" s="54" t="str">
        <f aca="false">IF($A95="","",SUMIFS(期初数据!$L$6:$L$155,期初数据!$J$6:$J$155,$A95,期初数据!$K$6:$K$155,"&lt;"&amp;首页!$B$6)+SUMIFS(采购录入!$S$5:$S$404,采购录入!$D$5:$D$404,$A95,采购录入!$B$5:$B$404,"&lt;"&amp;首页!$B$6)-SUMIFS(资金流水!$N$5:$N$504,资金流水!$G$5:$G$504,$A95,资金流水!$E$5:$E$504,"供应商付款",资金流水!$B$5:$B$504,"&lt;"&amp;首页!$B$6))</f>
        <v/>
      </c>
      <c r="D95" s="54" t="str">
        <f aca="false">IF($A95="","",SUMIFS(采购录入!$S$5:$S$404,采购录入!$D$5:$D$404,$A95,采购录入!$C$5:$C$404,首页!$B$5))</f>
        <v/>
      </c>
      <c r="E95" s="54" t="str">
        <f aca="false">IF($A95="","",SUMIFS(资金流水!$N$5:$N$504,资金流水!$G$5:$G$504,$A95,资金流水!$E$5:$E$504,"供应商付款",资金流水!$C$5:$C$504,首页!$B$5))</f>
        <v/>
      </c>
      <c r="F95" s="62" t="str">
        <f aca="false">IF($A95="","",$C95+$D95-$E95)</f>
        <v/>
      </c>
      <c r="G95" s="44" t="str">
        <f aca="false">IF($A95="","",$F95-$H95-$I95-$J95-$K95)</f>
        <v/>
      </c>
      <c r="H95" s="44" t="str">
        <f aca="false">IF($A95="","",MIN($F95,MAX(0,SUMIFS(期初数据!$L$6:$L$155,期初数据!$J$6:$J$155,$A95,期初数据!$K$6:$K$155,"&lt;="&amp;首页!$B$7)+SUMIFS(采购录入!$S$5:$S$404,采购录入!$D$5:$D$404,$A95,采购录入!$T$5:$T$404,"&lt;="&amp;首页!$B$7)-SUMIFS(资金流水!$N$5:$N$504,资金流水!$G$5:$G$504,$A95,资金流水!$E$5:$E$504,"供应商付款",资金流水!$B$5:$B$504,"&lt;="&amp;首页!$B$7)))-$K95-$J95-$I95)</f>
        <v/>
      </c>
      <c r="I95" s="44" t="str">
        <f aca="false">IF($A95="","",MIN($F95,MAX(0,SUMIFS(期初数据!$L$6:$L$155,期初数据!$J$6:$J$155,$A95,期初数据!$K$6:$K$155,"&lt;="&amp;首页!$B$7-30)+SUMIFS(采购录入!$S$5:$S$404,采购录入!$D$5:$D$404,$A95,采购录入!$T$5:$T$404,"&lt;="&amp;首页!$B$7-30)-SUMIFS(资金流水!$N$5:$N$504,资金流水!$G$5:$G$504,$A95,资金流水!$E$5:$E$504,"供应商付款",资金流水!$B$5:$B$504,"&lt;="&amp;首页!$B$7)))-$K95-$J95)</f>
        <v/>
      </c>
      <c r="J95" s="44" t="str">
        <f aca="false">IF($A95="","",MIN($F95,MAX(0,SUMIFS(期初数据!$L$6:$L$155,期初数据!$J$6:$J$155,$A95,期初数据!$K$6:$K$155,"&lt;="&amp;首页!$B$7-60)+SUMIFS(采购录入!$S$5:$S$404,采购录入!$D$5:$D$404,$A95,采购录入!$T$5:$T$404,"&lt;="&amp;首页!$B$7-60)-SUMIFS(资金流水!$N$5:$N$504,资金流水!$G$5:$G$504,$A95,资金流水!$E$5:$E$504,"供应商付款",资金流水!$B$5:$B$504,"&lt;="&amp;首页!$B$7)))-$K95)</f>
        <v/>
      </c>
      <c r="K95" s="44" t="str">
        <f aca="false">IF($A95="","",MIN($F95,MAX(0,SUMIFS(期初数据!$L$6:$L$155,期初数据!$J$6:$J$155,$A95,期初数据!$K$6:$K$155,"&lt;="&amp;首页!$B$7-90)+SUMIFS(采购录入!$S$5:$S$404,采购录入!$D$5:$D$404,$A95,采购录入!$T$5:$T$404,"&lt;="&amp;首页!$B$7-90)-SUMIFS(资金流水!$N$5:$N$504,资金流水!$G$5:$G$504,$A95,资金流水!$E$5:$E$504,"供应商付款",资金流水!$B$5:$B$504,"&lt;="&amp;首页!$B$7))))</f>
        <v/>
      </c>
      <c r="L95" s="62" t="str">
        <f aca="false">IF($A95="","",$H95+$I95+$J95+$K95)</f>
        <v/>
      </c>
      <c r="M95" s="47" t="str">
        <f aca="false">IF($A95="","",IF($K95&gt;0,"高危",IF($J95&gt;0,"关注",IF($L95&gt;0,"提醒","正常"))))</f>
        <v/>
      </c>
      <c r="N95" s="42" t="str">
        <f aca="false">IF($A95="","",基础资料!$AG95)</f>
        <v/>
      </c>
    </row>
    <row r="96" customFormat="false" ht="15.75" hidden="false" customHeight="true" outlineLevel="0" collapsed="false">
      <c r="A96" s="35" t="str">
        <f aca="false">IF(基础资料!$AF96="","",基础资料!$AF96)</f>
        <v/>
      </c>
      <c r="B96" s="42" t="str">
        <f aca="false">IF($A96="","",N(基础资料!$AH96))</f>
        <v/>
      </c>
      <c r="C96" s="54" t="str">
        <f aca="false">IF($A96="","",SUMIFS(期初数据!$L$6:$L$155,期初数据!$J$6:$J$155,$A96,期初数据!$K$6:$K$155,"&lt;"&amp;首页!$B$6)+SUMIFS(采购录入!$S$5:$S$404,采购录入!$D$5:$D$404,$A96,采购录入!$B$5:$B$404,"&lt;"&amp;首页!$B$6)-SUMIFS(资金流水!$N$5:$N$504,资金流水!$G$5:$G$504,$A96,资金流水!$E$5:$E$504,"供应商付款",资金流水!$B$5:$B$504,"&lt;"&amp;首页!$B$6))</f>
        <v/>
      </c>
      <c r="D96" s="54" t="str">
        <f aca="false">IF($A96="","",SUMIFS(采购录入!$S$5:$S$404,采购录入!$D$5:$D$404,$A96,采购录入!$C$5:$C$404,首页!$B$5))</f>
        <v/>
      </c>
      <c r="E96" s="54" t="str">
        <f aca="false">IF($A96="","",SUMIFS(资金流水!$N$5:$N$504,资金流水!$G$5:$G$504,$A96,资金流水!$E$5:$E$504,"供应商付款",资金流水!$C$5:$C$504,首页!$B$5))</f>
        <v/>
      </c>
      <c r="F96" s="62" t="str">
        <f aca="false">IF($A96="","",$C96+$D96-$E96)</f>
        <v/>
      </c>
      <c r="G96" s="44" t="str">
        <f aca="false">IF($A96="","",$F96-$H96-$I96-$J96-$K96)</f>
        <v/>
      </c>
      <c r="H96" s="44" t="str">
        <f aca="false">IF($A96="","",MIN($F96,MAX(0,SUMIFS(期初数据!$L$6:$L$155,期初数据!$J$6:$J$155,$A96,期初数据!$K$6:$K$155,"&lt;="&amp;首页!$B$7)+SUMIFS(采购录入!$S$5:$S$404,采购录入!$D$5:$D$404,$A96,采购录入!$T$5:$T$404,"&lt;="&amp;首页!$B$7)-SUMIFS(资金流水!$N$5:$N$504,资金流水!$G$5:$G$504,$A96,资金流水!$E$5:$E$504,"供应商付款",资金流水!$B$5:$B$504,"&lt;="&amp;首页!$B$7)))-$K96-$J96-$I96)</f>
        <v/>
      </c>
      <c r="I96" s="44" t="str">
        <f aca="false">IF($A96="","",MIN($F96,MAX(0,SUMIFS(期初数据!$L$6:$L$155,期初数据!$J$6:$J$155,$A96,期初数据!$K$6:$K$155,"&lt;="&amp;首页!$B$7-30)+SUMIFS(采购录入!$S$5:$S$404,采购录入!$D$5:$D$404,$A96,采购录入!$T$5:$T$404,"&lt;="&amp;首页!$B$7-30)-SUMIFS(资金流水!$N$5:$N$504,资金流水!$G$5:$G$504,$A96,资金流水!$E$5:$E$504,"供应商付款",资金流水!$B$5:$B$504,"&lt;="&amp;首页!$B$7)))-$K96-$J96)</f>
        <v/>
      </c>
      <c r="J96" s="44" t="str">
        <f aca="false">IF($A96="","",MIN($F96,MAX(0,SUMIFS(期初数据!$L$6:$L$155,期初数据!$J$6:$J$155,$A96,期初数据!$K$6:$K$155,"&lt;="&amp;首页!$B$7-60)+SUMIFS(采购录入!$S$5:$S$404,采购录入!$D$5:$D$404,$A96,采购录入!$T$5:$T$404,"&lt;="&amp;首页!$B$7-60)-SUMIFS(资金流水!$N$5:$N$504,资金流水!$G$5:$G$504,$A96,资金流水!$E$5:$E$504,"供应商付款",资金流水!$B$5:$B$504,"&lt;="&amp;首页!$B$7)))-$K96)</f>
        <v/>
      </c>
      <c r="K96" s="44" t="str">
        <f aca="false">IF($A96="","",MIN($F96,MAX(0,SUMIFS(期初数据!$L$6:$L$155,期初数据!$J$6:$J$155,$A96,期初数据!$K$6:$K$155,"&lt;="&amp;首页!$B$7-90)+SUMIFS(采购录入!$S$5:$S$404,采购录入!$D$5:$D$404,$A96,采购录入!$T$5:$T$404,"&lt;="&amp;首页!$B$7-90)-SUMIFS(资金流水!$N$5:$N$504,资金流水!$G$5:$G$504,$A96,资金流水!$E$5:$E$504,"供应商付款",资金流水!$B$5:$B$504,"&lt;="&amp;首页!$B$7))))</f>
        <v/>
      </c>
      <c r="L96" s="62" t="str">
        <f aca="false">IF($A96="","",$H96+$I96+$J96+$K96)</f>
        <v/>
      </c>
      <c r="M96" s="47" t="str">
        <f aca="false">IF($A96="","",IF($K96&gt;0,"高危",IF($J96&gt;0,"关注",IF($L96&gt;0,"提醒","正常"))))</f>
        <v/>
      </c>
      <c r="N96" s="42" t="str">
        <f aca="false">IF($A96="","",基础资料!$AG96)</f>
        <v/>
      </c>
    </row>
    <row r="97" customFormat="false" ht="15.75" hidden="false" customHeight="true" outlineLevel="0" collapsed="false">
      <c r="A97" s="35" t="str">
        <f aca="false">IF(基础资料!$AF97="","",基础资料!$AF97)</f>
        <v/>
      </c>
      <c r="B97" s="42" t="str">
        <f aca="false">IF($A97="","",N(基础资料!$AH97))</f>
        <v/>
      </c>
      <c r="C97" s="54" t="str">
        <f aca="false">IF($A97="","",SUMIFS(期初数据!$L$6:$L$155,期初数据!$J$6:$J$155,$A97,期初数据!$K$6:$K$155,"&lt;"&amp;首页!$B$6)+SUMIFS(采购录入!$S$5:$S$404,采购录入!$D$5:$D$404,$A97,采购录入!$B$5:$B$404,"&lt;"&amp;首页!$B$6)-SUMIFS(资金流水!$N$5:$N$504,资金流水!$G$5:$G$504,$A97,资金流水!$E$5:$E$504,"供应商付款",资金流水!$B$5:$B$504,"&lt;"&amp;首页!$B$6))</f>
        <v/>
      </c>
      <c r="D97" s="54" t="str">
        <f aca="false">IF($A97="","",SUMIFS(采购录入!$S$5:$S$404,采购录入!$D$5:$D$404,$A97,采购录入!$C$5:$C$404,首页!$B$5))</f>
        <v/>
      </c>
      <c r="E97" s="54" t="str">
        <f aca="false">IF($A97="","",SUMIFS(资金流水!$N$5:$N$504,资金流水!$G$5:$G$504,$A97,资金流水!$E$5:$E$504,"供应商付款",资金流水!$C$5:$C$504,首页!$B$5))</f>
        <v/>
      </c>
      <c r="F97" s="62" t="str">
        <f aca="false">IF($A97="","",$C97+$D97-$E97)</f>
        <v/>
      </c>
      <c r="G97" s="44" t="str">
        <f aca="false">IF($A97="","",$F97-$H97-$I97-$J97-$K97)</f>
        <v/>
      </c>
      <c r="H97" s="44" t="str">
        <f aca="false">IF($A97="","",MIN($F97,MAX(0,SUMIFS(期初数据!$L$6:$L$155,期初数据!$J$6:$J$155,$A97,期初数据!$K$6:$K$155,"&lt;="&amp;首页!$B$7)+SUMIFS(采购录入!$S$5:$S$404,采购录入!$D$5:$D$404,$A97,采购录入!$T$5:$T$404,"&lt;="&amp;首页!$B$7)-SUMIFS(资金流水!$N$5:$N$504,资金流水!$G$5:$G$504,$A97,资金流水!$E$5:$E$504,"供应商付款",资金流水!$B$5:$B$504,"&lt;="&amp;首页!$B$7)))-$K97-$J97-$I97)</f>
        <v/>
      </c>
      <c r="I97" s="44" t="str">
        <f aca="false">IF($A97="","",MIN($F97,MAX(0,SUMIFS(期初数据!$L$6:$L$155,期初数据!$J$6:$J$155,$A97,期初数据!$K$6:$K$155,"&lt;="&amp;首页!$B$7-30)+SUMIFS(采购录入!$S$5:$S$404,采购录入!$D$5:$D$404,$A97,采购录入!$T$5:$T$404,"&lt;="&amp;首页!$B$7-30)-SUMIFS(资金流水!$N$5:$N$504,资金流水!$G$5:$G$504,$A97,资金流水!$E$5:$E$504,"供应商付款",资金流水!$B$5:$B$504,"&lt;="&amp;首页!$B$7)))-$K97-$J97)</f>
        <v/>
      </c>
      <c r="J97" s="44" t="str">
        <f aca="false">IF($A97="","",MIN($F97,MAX(0,SUMIFS(期初数据!$L$6:$L$155,期初数据!$J$6:$J$155,$A97,期初数据!$K$6:$K$155,"&lt;="&amp;首页!$B$7-60)+SUMIFS(采购录入!$S$5:$S$404,采购录入!$D$5:$D$404,$A97,采购录入!$T$5:$T$404,"&lt;="&amp;首页!$B$7-60)-SUMIFS(资金流水!$N$5:$N$504,资金流水!$G$5:$G$504,$A97,资金流水!$E$5:$E$504,"供应商付款",资金流水!$B$5:$B$504,"&lt;="&amp;首页!$B$7)))-$K97)</f>
        <v/>
      </c>
      <c r="K97" s="44" t="str">
        <f aca="false">IF($A97="","",MIN($F97,MAX(0,SUMIFS(期初数据!$L$6:$L$155,期初数据!$J$6:$J$155,$A97,期初数据!$K$6:$K$155,"&lt;="&amp;首页!$B$7-90)+SUMIFS(采购录入!$S$5:$S$404,采购录入!$D$5:$D$404,$A97,采购录入!$T$5:$T$404,"&lt;="&amp;首页!$B$7-90)-SUMIFS(资金流水!$N$5:$N$504,资金流水!$G$5:$G$504,$A97,资金流水!$E$5:$E$504,"供应商付款",资金流水!$B$5:$B$504,"&lt;="&amp;首页!$B$7))))</f>
        <v/>
      </c>
      <c r="L97" s="62" t="str">
        <f aca="false">IF($A97="","",$H97+$I97+$J97+$K97)</f>
        <v/>
      </c>
      <c r="M97" s="47" t="str">
        <f aca="false">IF($A97="","",IF($K97&gt;0,"高危",IF($J97&gt;0,"关注",IF($L97&gt;0,"提醒","正常"))))</f>
        <v/>
      </c>
      <c r="N97" s="42" t="str">
        <f aca="false">IF($A97="","",基础资料!$AG97)</f>
        <v/>
      </c>
    </row>
    <row r="98" customFormat="false" ht="15.75" hidden="false" customHeight="true" outlineLevel="0" collapsed="false">
      <c r="A98" s="35" t="str">
        <f aca="false">IF(基础资料!$AF98="","",基础资料!$AF98)</f>
        <v/>
      </c>
      <c r="B98" s="42" t="str">
        <f aca="false">IF($A98="","",N(基础资料!$AH98))</f>
        <v/>
      </c>
      <c r="C98" s="54" t="str">
        <f aca="false">IF($A98="","",SUMIFS(期初数据!$L$6:$L$155,期初数据!$J$6:$J$155,$A98,期初数据!$K$6:$K$155,"&lt;"&amp;首页!$B$6)+SUMIFS(采购录入!$S$5:$S$404,采购录入!$D$5:$D$404,$A98,采购录入!$B$5:$B$404,"&lt;"&amp;首页!$B$6)-SUMIFS(资金流水!$N$5:$N$504,资金流水!$G$5:$G$504,$A98,资金流水!$E$5:$E$504,"供应商付款",资金流水!$B$5:$B$504,"&lt;"&amp;首页!$B$6))</f>
        <v/>
      </c>
      <c r="D98" s="54" t="str">
        <f aca="false">IF($A98="","",SUMIFS(采购录入!$S$5:$S$404,采购录入!$D$5:$D$404,$A98,采购录入!$C$5:$C$404,首页!$B$5))</f>
        <v/>
      </c>
      <c r="E98" s="54" t="str">
        <f aca="false">IF($A98="","",SUMIFS(资金流水!$N$5:$N$504,资金流水!$G$5:$G$504,$A98,资金流水!$E$5:$E$504,"供应商付款",资金流水!$C$5:$C$504,首页!$B$5))</f>
        <v/>
      </c>
      <c r="F98" s="62" t="str">
        <f aca="false">IF($A98="","",$C98+$D98-$E98)</f>
        <v/>
      </c>
      <c r="G98" s="44" t="str">
        <f aca="false">IF($A98="","",$F98-$H98-$I98-$J98-$K98)</f>
        <v/>
      </c>
      <c r="H98" s="44" t="str">
        <f aca="false">IF($A98="","",MIN($F98,MAX(0,SUMIFS(期初数据!$L$6:$L$155,期初数据!$J$6:$J$155,$A98,期初数据!$K$6:$K$155,"&lt;="&amp;首页!$B$7)+SUMIFS(采购录入!$S$5:$S$404,采购录入!$D$5:$D$404,$A98,采购录入!$T$5:$T$404,"&lt;="&amp;首页!$B$7)-SUMIFS(资金流水!$N$5:$N$504,资金流水!$G$5:$G$504,$A98,资金流水!$E$5:$E$504,"供应商付款",资金流水!$B$5:$B$504,"&lt;="&amp;首页!$B$7)))-$K98-$J98-$I98)</f>
        <v/>
      </c>
      <c r="I98" s="44" t="str">
        <f aca="false">IF($A98="","",MIN($F98,MAX(0,SUMIFS(期初数据!$L$6:$L$155,期初数据!$J$6:$J$155,$A98,期初数据!$K$6:$K$155,"&lt;="&amp;首页!$B$7-30)+SUMIFS(采购录入!$S$5:$S$404,采购录入!$D$5:$D$404,$A98,采购录入!$T$5:$T$404,"&lt;="&amp;首页!$B$7-30)-SUMIFS(资金流水!$N$5:$N$504,资金流水!$G$5:$G$504,$A98,资金流水!$E$5:$E$504,"供应商付款",资金流水!$B$5:$B$504,"&lt;="&amp;首页!$B$7)))-$K98-$J98)</f>
        <v/>
      </c>
      <c r="J98" s="44" t="str">
        <f aca="false">IF($A98="","",MIN($F98,MAX(0,SUMIFS(期初数据!$L$6:$L$155,期初数据!$J$6:$J$155,$A98,期初数据!$K$6:$K$155,"&lt;="&amp;首页!$B$7-60)+SUMIFS(采购录入!$S$5:$S$404,采购录入!$D$5:$D$404,$A98,采购录入!$T$5:$T$404,"&lt;="&amp;首页!$B$7-60)-SUMIFS(资金流水!$N$5:$N$504,资金流水!$G$5:$G$504,$A98,资金流水!$E$5:$E$504,"供应商付款",资金流水!$B$5:$B$504,"&lt;="&amp;首页!$B$7)))-$K98)</f>
        <v/>
      </c>
      <c r="K98" s="44" t="str">
        <f aca="false">IF($A98="","",MIN($F98,MAX(0,SUMIFS(期初数据!$L$6:$L$155,期初数据!$J$6:$J$155,$A98,期初数据!$K$6:$K$155,"&lt;="&amp;首页!$B$7-90)+SUMIFS(采购录入!$S$5:$S$404,采购录入!$D$5:$D$404,$A98,采购录入!$T$5:$T$404,"&lt;="&amp;首页!$B$7-90)-SUMIFS(资金流水!$N$5:$N$504,资金流水!$G$5:$G$504,$A98,资金流水!$E$5:$E$504,"供应商付款",资金流水!$B$5:$B$504,"&lt;="&amp;首页!$B$7))))</f>
        <v/>
      </c>
      <c r="L98" s="62" t="str">
        <f aca="false">IF($A98="","",$H98+$I98+$J98+$K98)</f>
        <v/>
      </c>
      <c r="M98" s="47" t="str">
        <f aca="false">IF($A98="","",IF($K98&gt;0,"高危",IF($J98&gt;0,"关注",IF($L98&gt;0,"提醒","正常"))))</f>
        <v/>
      </c>
      <c r="N98" s="42" t="str">
        <f aca="false">IF($A98="","",基础资料!$AG98)</f>
        <v/>
      </c>
    </row>
    <row r="99" customFormat="false" ht="15.75" hidden="false" customHeight="true" outlineLevel="0" collapsed="false">
      <c r="A99" s="35" t="str">
        <f aca="false">IF(基础资料!$AF99="","",基础资料!$AF99)</f>
        <v/>
      </c>
      <c r="B99" s="42" t="str">
        <f aca="false">IF($A99="","",N(基础资料!$AH99))</f>
        <v/>
      </c>
      <c r="C99" s="54" t="str">
        <f aca="false">IF($A99="","",SUMIFS(期初数据!$L$6:$L$155,期初数据!$J$6:$J$155,$A99,期初数据!$K$6:$K$155,"&lt;"&amp;首页!$B$6)+SUMIFS(采购录入!$S$5:$S$404,采购录入!$D$5:$D$404,$A99,采购录入!$B$5:$B$404,"&lt;"&amp;首页!$B$6)-SUMIFS(资金流水!$N$5:$N$504,资金流水!$G$5:$G$504,$A99,资金流水!$E$5:$E$504,"供应商付款",资金流水!$B$5:$B$504,"&lt;"&amp;首页!$B$6))</f>
        <v/>
      </c>
      <c r="D99" s="54" t="str">
        <f aca="false">IF($A99="","",SUMIFS(采购录入!$S$5:$S$404,采购录入!$D$5:$D$404,$A99,采购录入!$C$5:$C$404,首页!$B$5))</f>
        <v/>
      </c>
      <c r="E99" s="54" t="str">
        <f aca="false">IF($A99="","",SUMIFS(资金流水!$N$5:$N$504,资金流水!$G$5:$G$504,$A99,资金流水!$E$5:$E$504,"供应商付款",资金流水!$C$5:$C$504,首页!$B$5))</f>
        <v/>
      </c>
      <c r="F99" s="62" t="str">
        <f aca="false">IF($A99="","",$C99+$D99-$E99)</f>
        <v/>
      </c>
      <c r="G99" s="44" t="str">
        <f aca="false">IF($A99="","",$F99-$H99-$I99-$J99-$K99)</f>
        <v/>
      </c>
      <c r="H99" s="44" t="str">
        <f aca="false">IF($A99="","",MIN($F99,MAX(0,SUMIFS(期初数据!$L$6:$L$155,期初数据!$J$6:$J$155,$A99,期初数据!$K$6:$K$155,"&lt;="&amp;首页!$B$7)+SUMIFS(采购录入!$S$5:$S$404,采购录入!$D$5:$D$404,$A99,采购录入!$T$5:$T$404,"&lt;="&amp;首页!$B$7)-SUMIFS(资金流水!$N$5:$N$504,资金流水!$G$5:$G$504,$A99,资金流水!$E$5:$E$504,"供应商付款",资金流水!$B$5:$B$504,"&lt;="&amp;首页!$B$7)))-$K99-$J99-$I99)</f>
        <v/>
      </c>
      <c r="I99" s="44" t="str">
        <f aca="false">IF($A99="","",MIN($F99,MAX(0,SUMIFS(期初数据!$L$6:$L$155,期初数据!$J$6:$J$155,$A99,期初数据!$K$6:$K$155,"&lt;="&amp;首页!$B$7-30)+SUMIFS(采购录入!$S$5:$S$404,采购录入!$D$5:$D$404,$A99,采购录入!$T$5:$T$404,"&lt;="&amp;首页!$B$7-30)-SUMIFS(资金流水!$N$5:$N$504,资金流水!$G$5:$G$504,$A99,资金流水!$E$5:$E$504,"供应商付款",资金流水!$B$5:$B$504,"&lt;="&amp;首页!$B$7)))-$K99-$J99)</f>
        <v/>
      </c>
      <c r="J99" s="44" t="str">
        <f aca="false">IF($A99="","",MIN($F99,MAX(0,SUMIFS(期初数据!$L$6:$L$155,期初数据!$J$6:$J$155,$A99,期初数据!$K$6:$K$155,"&lt;="&amp;首页!$B$7-60)+SUMIFS(采购录入!$S$5:$S$404,采购录入!$D$5:$D$404,$A99,采购录入!$T$5:$T$404,"&lt;="&amp;首页!$B$7-60)-SUMIFS(资金流水!$N$5:$N$504,资金流水!$G$5:$G$504,$A99,资金流水!$E$5:$E$504,"供应商付款",资金流水!$B$5:$B$504,"&lt;="&amp;首页!$B$7)))-$K99)</f>
        <v/>
      </c>
      <c r="K99" s="44" t="str">
        <f aca="false">IF($A99="","",MIN($F99,MAX(0,SUMIFS(期初数据!$L$6:$L$155,期初数据!$J$6:$J$155,$A99,期初数据!$K$6:$K$155,"&lt;="&amp;首页!$B$7-90)+SUMIFS(采购录入!$S$5:$S$404,采购录入!$D$5:$D$404,$A99,采购录入!$T$5:$T$404,"&lt;="&amp;首页!$B$7-90)-SUMIFS(资金流水!$N$5:$N$504,资金流水!$G$5:$G$504,$A99,资金流水!$E$5:$E$504,"供应商付款",资金流水!$B$5:$B$504,"&lt;="&amp;首页!$B$7))))</f>
        <v/>
      </c>
      <c r="L99" s="62" t="str">
        <f aca="false">IF($A99="","",$H99+$I99+$J99+$K99)</f>
        <v/>
      </c>
      <c r="M99" s="47" t="str">
        <f aca="false">IF($A99="","",IF($K99&gt;0,"高危",IF($J99&gt;0,"关注",IF($L99&gt;0,"提醒","正常"))))</f>
        <v/>
      </c>
      <c r="N99" s="42" t="str">
        <f aca="false">IF($A99="","",基础资料!$AG99)</f>
        <v/>
      </c>
    </row>
    <row r="100" customFormat="false" ht="15.75" hidden="false" customHeight="true" outlineLevel="0" collapsed="false">
      <c r="A100" s="35" t="str">
        <f aca="false">IF(基础资料!$AF100="","",基础资料!$AF100)</f>
        <v/>
      </c>
      <c r="B100" s="42" t="str">
        <f aca="false">IF($A100="","",N(基础资料!$AH100))</f>
        <v/>
      </c>
      <c r="C100" s="54" t="str">
        <f aca="false">IF($A100="","",SUMIFS(期初数据!$L$6:$L$155,期初数据!$J$6:$J$155,$A100,期初数据!$K$6:$K$155,"&lt;"&amp;首页!$B$6)+SUMIFS(采购录入!$S$5:$S$404,采购录入!$D$5:$D$404,$A100,采购录入!$B$5:$B$404,"&lt;"&amp;首页!$B$6)-SUMIFS(资金流水!$N$5:$N$504,资金流水!$G$5:$G$504,$A100,资金流水!$E$5:$E$504,"供应商付款",资金流水!$B$5:$B$504,"&lt;"&amp;首页!$B$6))</f>
        <v/>
      </c>
      <c r="D100" s="54" t="str">
        <f aca="false">IF($A100="","",SUMIFS(采购录入!$S$5:$S$404,采购录入!$D$5:$D$404,$A100,采购录入!$C$5:$C$404,首页!$B$5))</f>
        <v/>
      </c>
      <c r="E100" s="54" t="str">
        <f aca="false">IF($A100="","",SUMIFS(资金流水!$N$5:$N$504,资金流水!$G$5:$G$504,$A100,资金流水!$E$5:$E$504,"供应商付款",资金流水!$C$5:$C$504,首页!$B$5))</f>
        <v/>
      </c>
      <c r="F100" s="62" t="str">
        <f aca="false">IF($A100="","",$C100+$D100-$E100)</f>
        <v/>
      </c>
      <c r="G100" s="44" t="str">
        <f aca="false">IF($A100="","",$F100-$H100-$I100-$J100-$K100)</f>
        <v/>
      </c>
      <c r="H100" s="44" t="str">
        <f aca="false">IF($A100="","",MIN($F100,MAX(0,SUMIFS(期初数据!$L$6:$L$155,期初数据!$J$6:$J$155,$A100,期初数据!$K$6:$K$155,"&lt;="&amp;首页!$B$7)+SUMIFS(采购录入!$S$5:$S$404,采购录入!$D$5:$D$404,$A100,采购录入!$T$5:$T$404,"&lt;="&amp;首页!$B$7)-SUMIFS(资金流水!$N$5:$N$504,资金流水!$G$5:$G$504,$A100,资金流水!$E$5:$E$504,"供应商付款",资金流水!$B$5:$B$504,"&lt;="&amp;首页!$B$7)))-$K100-$J100-$I100)</f>
        <v/>
      </c>
      <c r="I100" s="44" t="str">
        <f aca="false">IF($A100="","",MIN($F100,MAX(0,SUMIFS(期初数据!$L$6:$L$155,期初数据!$J$6:$J$155,$A100,期初数据!$K$6:$K$155,"&lt;="&amp;首页!$B$7-30)+SUMIFS(采购录入!$S$5:$S$404,采购录入!$D$5:$D$404,$A100,采购录入!$T$5:$T$404,"&lt;="&amp;首页!$B$7-30)-SUMIFS(资金流水!$N$5:$N$504,资金流水!$G$5:$G$504,$A100,资金流水!$E$5:$E$504,"供应商付款",资金流水!$B$5:$B$504,"&lt;="&amp;首页!$B$7)))-$K100-$J100)</f>
        <v/>
      </c>
      <c r="J100" s="44" t="str">
        <f aca="false">IF($A100="","",MIN($F100,MAX(0,SUMIFS(期初数据!$L$6:$L$155,期初数据!$J$6:$J$155,$A100,期初数据!$K$6:$K$155,"&lt;="&amp;首页!$B$7-60)+SUMIFS(采购录入!$S$5:$S$404,采购录入!$D$5:$D$404,$A100,采购录入!$T$5:$T$404,"&lt;="&amp;首页!$B$7-60)-SUMIFS(资金流水!$N$5:$N$504,资金流水!$G$5:$G$504,$A100,资金流水!$E$5:$E$504,"供应商付款",资金流水!$B$5:$B$504,"&lt;="&amp;首页!$B$7)))-$K100)</f>
        <v/>
      </c>
      <c r="K100" s="44" t="str">
        <f aca="false">IF($A100="","",MIN($F100,MAX(0,SUMIFS(期初数据!$L$6:$L$155,期初数据!$J$6:$J$155,$A100,期初数据!$K$6:$K$155,"&lt;="&amp;首页!$B$7-90)+SUMIFS(采购录入!$S$5:$S$404,采购录入!$D$5:$D$404,$A100,采购录入!$T$5:$T$404,"&lt;="&amp;首页!$B$7-90)-SUMIFS(资金流水!$N$5:$N$504,资金流水!$G$5:$G$504,$A100,资金流水!$E$5:$E$504,"供应商付款",资金流水!$B$5:$B$504,"&lt;="&amp;首页!$B$7))))</f>
        <v/>
      </c>
      <c r="L100" s="62" t="str">
        <f aca="false">IF($A100="","",$H100+$I100+$J100+$K100)</f>
        <v/>
      </c>
      <c r="M100" s="47" t="str">
        <f aca="false">IF($A100="","",IF($K100&gt;0,"高危",IF($J100&gt;0,"关注",IF($L100&gt;0,"提醒","正常"))))</f>
        <v/>
      </c>
      <c r="N100" s="42" t="str">
        <f aca="false">IF($A100="","",基础资料!$AG100)</f>
        <v/>
      </c>
    </row>
    <row r="101" customFormat="false" ht="15.75" hidden="false" customHeight="true" outlineLevel="0" collapsed="false">
      <c r="A101" s="35" t="str">
        <f aca="false">IF(基础资料!$AF101="","",基础资料!$AF101)</f>
        <v/>
      </c>
      <c r="B101" s="42" t="str">
        <f aca="false">IF($A101="","",N(基础资料!$AH101))</f>
        <v/>
      </c>
      <c r="C101" s="54" t="str">
        <f aca="false">IF($A101="","",SUMIFS(期初数据!$L$6:$L$155,期初数据!$J$6:$J$155,$A101,期初数据!$K$6:$K$155,"&lt;"&amp;首页!$B$6)+SUMIFS(采购录入!$S$5:$S$404,采购录入!$D$5:$D$404,$A101,采购录入!$B$5:$B$404,"&lt;"&amp;首页!$B$6)-SUMIFS(资金流水!$N$5:$N$504,资金流水!$G$5:$G$504,$A101,资金流水!$E$5:$E$504,"供应商付款",资金流水!$B$5:$B$504,"&lt;"&amp;首页!$B$6))</f>
        <v/>
      </c>
      <c r="D101" s="54" t="str">
        <f aca="false">IF($A101="","",SUMIFS(采购录入!$S$5:$S$404,采购录入!$D$5:$D$404,$A101,采购录入!$C$5:$C$404,首页!$B$5))</f>
        <v/>
      </c>
      <c r="E101" s="54" t="str">
        <f aca="false">IF($A101="","",SUMIFS(资金流水!$N$5:$N$504,资金流水!$G$5:$G$504,$A101,资金流水!$E$5:$E$504,"供应商付款",资金流水!$C$5:$C$504,首页!$B$5))</f>
        <v/>
      </c>
      <c r="F101" s="62" t="str">
        <f aca="false">IF($A101="","",$C101+$D101-$E101)</f>
        <v/>
      </c>
      <c r="G101" s="44" t="str">
        <f aca="false">IF($A101="","",$F101-$H101-$I101-$J101-$K101)</f>
        <v/>
      </c>
      <c r="H101" s="44" t="str">
        <f aca="false">IF($A101="","",MIN($F101,MAX(0,SUMIFS(期初数据!$L$6:$L$155,期初数据!$J$6:$J$155,$A101,期初数据!$K$6:$K$155,"&lt;="&amp;首页!$B$7)+SUMIFS(采购录入!$S$5:$S$404,采购录入!$D$5:$D$404,$A101,采购录入!$T$5:$T$404,"&lt;="&amp;首页!$B$7)-SUMIFS(资金流水!$N$5:$N$504,资金流水!$G$5:$G$504,$A101,资金流水!$E$5:$E$504,"供应商付款",资金流水!$B$5:$B$504,"&lt;="&amp;首页!$B$7)))-$K101-$J101-$I101)</f>
        <v/>
      </c>
      <c r="I101" s="44" t="str">
        <f aca="false">IF($A101="","",MIN($F101,MAX(0,SUMIFS(期初数据!$L$6:$L$155,期初数据!$J$6:$J$155,$A101,期初数据!$K$6:$K$155,"&lt;="&amp;首页!$B$7-30)+SUMIFS(采购录入!$S$5:$S$404,采购录入!$D$5:$D$404,$A101,采购录入!$T$5:$T$404,"&lt;="&amp;首页!$B$7-30)-SUMIFS(资金流水!$N$5:$N$504,资金流水!$G$5:$G$504,$A101,资金流水!$E$5:$E$504,"供应商付款",资金流水!$B$5:$B$504,"&lt;="&amp;首页!$B$7)))-$K101-$J101)</f>
        <v/>
      </c>
      <c r="J101" s="44" t="str">
        <f aca="false">IF($A101="","",MIN($F101,MAX(0,SUMIFS(期初数据!$L$6:$L$155,期初数据!$J$6:$J$155,$A101,期初数据!$K$6:$K$155,"&lt;="&amp;首页!$B$7-60)+SUMIFS(采购录入!$S$5:$S$404,采购录入!$D$5:$D$404,$A101,采购录入!$T$5:$T$404,"&lt;="&amp;首页!$B$7-60)-SUMIFS(资金流水!$N$5:$N$504,资金流水!$G$5:$G$504,$A101,资金流水!$E$5:$E$504,"供应商付款",资金流水!$B$5:$B$504,"&lt;="&amp;首页!$B$7)))-$K101)</f>
        <v/>
      </c>
      <c r="K101" s="44" t="str">
        <f aca="false">IF($A101="","",MIN($F101,MAX(0,SUMIFS(期初数据!$L$6:$L$155,期初数据!$J$6:$J$155,$A101,期初数据!$K$6:$K$155,"&lt;="&amp;首页!$B$7-90)+SUMIFS(采购录入!$S$5:$S$404,采购录入!$D$5:$D$404,$A101,采购录入!$T$5:$T$404,"&lt;="&amp;首页!$B$7-90)-SUMIFS(资金流水!$N$5:$N$504,资金流水!$G$5:$G$504,$A101,资金流水!$E$5:$E$504,"供应商付款",资金流水!$B$5:$B$504,"&lt;="&amp;首页!$B$7))))</f>
        <v/>
      </c>
      <c r="L101" s="62" t="str">
        <f aca="false">IF($A101="","",$H101+$I101+$J101+$K101)</f>
        <v/>
      </c>
      <c r="M101" s="47" t="str">
        <f aca="false">IF($A101="","",IF($K101&gt;0,"高危",IF($J101&gt;0,"关注",IF($L101&gt;0,"提醒","正常"))))</f>
        <v/>
      </c>
      <c r="N101" s="42" t="str">
        <f aca="false">IF($A101="","",基础资料!$AG101)</f>
        <v/>
      </c>
    </row>
    <row r="102" customFormat="false" ht="15.75" hidden="false" customHeight="true" outlineLevel="0" collapsed="false">
      <c r="A102" s="35" t="str">
        <f aca="false">IF(基础资料!$AF102="","",基础资料!$AF102)</f>
        <v/>
      </c>
      <c r="B102" s="42" t="str">
        <f aca="false">IF($A102="","",N(基础资料!$AH102))</f>
        <v/>
      </c>
      <c r="C102" s="54" t="str">
        <f aca="false">IF($A102="","",SUMIFS(期初数据!$L$6:$L$155,期初数据!$J$6:$J$155,$A102,期初数据!$K$6:$K$155,"&lt;"&amp;首页!$B$6)+SUMIFS(采购录入!$S$5:$S$404,采购录入!$D$5:$D$404,$A102,采购录入!$B$5:$B$404,"&lt;"&amp;首页!$B$6)-SUMIFS(资金流水!$N$5:$N$504,资金流水!$G$5:$G$504,$A102,资金流水!$E$5:$E$504,"供应商付款",资金流水!$B$5:$B$504,"&lt;"&amp;首页!$B$6))</f>
        <v/>
      </c>
      <c r="D102" s="54" t="str">
        <f aca="false">IF($A102="","",SUMIFS(采购录入!$S$5:$S$404,采购录入!$D$5:$D$404,$A102,采购录入!$C$5:$C$404,首页!$B$5))</f>
        <v/>
      </c>
      <c r="E102" s="54" t="str">
        <f aca="false">IF($A102="","",SUMIFS(资金流水!$N$5:$N$504,资金流水!$G$5:$G$504,$A102,资金流水!$E$5:$E$504,"供应商付款",资金流水!$C$5:$C$504,首页!$B$5))</f>
        <v/>
      </c>
      <c r="F102" s="62" t="str">
        <f aca="false">IF($A102="","",$C102+$D102-$E102)</f>
        <v/>
      </c>
      <c r="G102" s="44" t="str">
        <f aca="false">IF($A102="","",$F102-$H102-$I102-$J102-$K102)</f>
        <v/>
      </c>
      <c r="H102" s="44" t="str">
        <f aca="false">IF($A102="","",MIN($F102,MAX(0,SUMIFS(期初数据!$L$6:$L$155,期初数据!$J$6:$J$155,$A102,期初数据!$K$6:$K$155,"&lt;="&amp;首页!$B$7)+SUMIFS(采购录入!$S$5:$S$404,采购录入!$D$5:$D$404,$A102,采购录入!$T$5:$T$404,"&lt;="&amp;首页!$B$7)-SUMIFS(资金流水!$N$5:$N$504,资金流水!$G$5:$G$504,$A102,资金流水!$E$5:$E$504,"供应商付款",资金流水!$B$5:$B$504,"&lt;="&amp;首页!$B$7)))-$K102-$J102-$I102)</f>
        <v/>
      </c>
      <c r="I102" s="44" t="str">
        <f aca="false">IF($A102="","",MIN($F102,MAX(0,SUMIFS(期初数据!$L$6:$L$155,期初数据!$J$6:$J$155,$A102,期初数据!$K$6:$K$155,"&lt;="&amp;首页!$B$7-30)+SUMIFS(采购录入!$S$5:$S$404,采购录入!$D$5:$D$404,$A102,采购录入!$T$5:$T$404,"&lt;="&amp;首页!$B$7-30)-SUMIFS(资金流水!$N$5:$N$504,资金流水!$G$5:$G$504,$A102,资金流水!$E$5:$E$504,"供应商付款",资金流水!$B$5:$B$504,"&lt;="&amp;首页!$B$7)))-$K102-$J102)</f>
        <v/>
      </c>
      <c r="J102" s="44" t="str">
        <f aca="false">IF($A102="","",MIN($F102,MAX(0,SUMIFS(期初数据!$L$6:$L$155,期初数据!$J$6:$J$155,$A102,期初数据!$K$6:$K$155,"&lt;="&amp;首页!$B$7-60)+SUMIFS(采购录入!$S$5:$S$404,采购录入!$D$5:$D$404,$A102,采购录入!$T$5:$T$404,"&lt;="&amp;首页!$B$7-60)-SUMIFS(资金流水!$N$5:$N$504,资金流水!$G$5:$G$504,$A102,资金流水!$E$5:$E$504,"供应商付款",资金流水!$B$5:$B$504,"&lt;="&amp;首页!$B$7)))-$K102)</f>
        <v/>
      </c>
      <c r="K102" s="44" t="str">
        <f aca="false">IF($A102="","",MIN($F102,MAX(0,SUMIFS(期初数据!$L$6:$L$155,期初数据!$J$6:$J$155,$A102,期初数据!$K$6:$K$155,"&lt;="&amp;首页!$B$7-90)+SUMIFS(采购录入!$S$5:$S$404,采购录入!$D$5:$D$404,$A102,采购录入!$T$5:$T$404,"&lt;="&amp;首页!$B$7-90)-SUMIFS(资金流水!$N$5:$N$504,资金流水!$G$5:$G$504,$A102,资金流水!$E$5:$E$504,"供应商付款",资金流水!$B$5:$B$504,"&lt;="&amp;首页!$B$7))))</f>
        <v/>
      </c>
      <c r="L102" s="62" t="str">
        <f aca="false">IF($A102="","",$H102+$I102+$J102+$K102)</f>
        <v/>
      </c>
      <c r="M102" s="47" t="str">
        <f aca="false">IF($A102="","",IF($K102&gt;0,"高危",IF($J102&gt;0,"关注",IF($L102&gt;0,"提醒","正常"))))</f>
        <v/>
      </c>
      <c r="N102" s="42" t="str">
        <f aca="false">IF($A102="","",基础资料!$AG102)</f>
        <v/>
      </c>
    </row>
    <row r="103" customFormat="false" ht="15.75" hidden="false" customHeight="true" outlineLevel="0" collapsed="false">
      <c r="A103" s="35" t="str">
        <f aca="false">IF(基础资料!$AF103="","",基础资料!$AF103)</f>
        <v/>
      </c>
      <c r="B103" s="42" t="str">
        <f aca="false">IF($A103="","",N(基础资料!$AH103))</f>
        <v/>
      </c>
      <c r="C103" s="54" t="str">
        <f aca="false">IF($A103="","",SUMIFS(期初数据!$L$6:$L$155,期初数据!$J$6:$J$155,$A103,期初数据!$K$6:$K$155,"&lt;"&amp;首页!$B$6)+SUMIFS(采购录入!$S$5:$S$404,采购录入!$D$5:$D$404,$A103,采购录入!$B$5:$B$404,"&lt;"&amp;首页!$B$6)-SUMIFS(资金流水!$N$5:$N$504,资金流水!$G$5:$G$504,$A103,资金流水!$E$5:$E$504,"供应商付款",资金流水!$B$5:$B$504,"&lt;"&amp;首页!$B$6))</f>
        <v/>
      </c>
      <c r="D103" s="54" t="str">
        <f aca="false">IF($A103="","",SUMIFS(采购录入!$S$5:$S$404,采购录入!$D$5:$D$404,$A103,采购录入!$C$5:$C$404,首页!$B$5))</f>
        <v/>
      </c>
      <c r="E103" s="54" t="str">
        <f aca="false">IF($A103="","",SUMIFS(资金流水!$N$5:$N$504,资金流水!$G$5:$G$504,$A103,资金流水!$E$5:$E$504,"供应商付款",资金流水!$C$5:$C$504,首页!$B$5))</f>
        <v/>
      </c>
      <c r="F103" s="62" t="str">
        <f aca="false">IF($A103="","",$C103+$D103-$E103)</f>
        <v/>
      </c>
      <c r="G103" s="44" t="str">
        <f aca="false">IF($A103="","",$F103-$H103-$I103-$J103-$K103)</f>
        <v/>
      </c>
      <c r="H103" s="44" t="str">
        <f aca="false">IF($A103="","",MIN($F103,MAX(0,SUMIFS(期初数据!$L$6:$L$155,期初数据!$J$6:$J$155,$A103,期初数据!$K$6:$K$155,"&lt;="&amp;首页!$B$7)+SUMIFS(采购录入!$S$5:$S$404,采购录入!$D$5:$D$404,$A103,采购录入!$T$5:$T$404,"&lt;="&amp;首页!$B$7)-SUMIFS(资金流水!$N$5:$N$504,资金流水!$G$5:$G$504,$A103,资金流水!$E$5:$E$504,"供应商付款",资金流水!$B$5:$B$504,"&lt;="&amp;首页!$B$7)))-$K103-$J103-$I103)</f>
        <v/>
      </c>
      <c r="I103" s="44" t="str">
        <f aca="false">IF($A103="","",MIN($F103,MAX(0,SUMIFS(期初数据!$L$6:$L$155,期初数据!$J$6:$J$155,$A103,期初数据!$K$6:$K$155,"&lt;="&amp;首页!$B$7-30)+SUMIFS(采购录入!$S$5:$S$404,采购录入!$D$5:$D$404,$A103,采购录入!$T$5:$T$404,"&lt;="&amp;首页!$B$7-30)-SUMIFS(资金流水!$N$5:$N$504,资金流水!$G$5:$G$504,$A103,资金流水!$E$5:$E$504,"供应商付款",资金流水!$B$5:$B$504,"&lt;="&amp;首页!$B$7)))-$K103-$J103)</f>
        <v/>
      </c>
      <c r="J103" s="44" t="str">
        <f aca="false">IF($A103="","",MIN($F103,MAX(0,SUMIFS(期初数据!$L$6:$L$155,期初数据!$J$6:$J$155,$A103,期初数据!$K$6:$K$155,"&lt;="&amp;首页!$B$7-60)+SUMIFS(采购录入!$S$5:$S$404,采购录入!$D$5:$D$404,$A103,采购录入!$T$5:$T$404,"&lt;="&amp;首页!$B$7-60)-SUMIFS(资金流水!$N$5:$N$504,资金流水!$G$5:$G$504,$A103,资金流水!$E$5:$E$504,"供应商付款",资金流水!$B$5:$B$504,"&lt;="&amp;首页!$B$7)))-$K103)</f>
        <v/>
      </c>
      <c r="K103" s="44" t="str">
        <f aca="false">IF($A103="","",MIN($F103,MAX(0,SUMIFS(期初数据!$L$6:$L$155,期初数据!$J$6:$J$155,$A103,期初数据!$K$6:$K$155,"&lt;="&amp;首页!$B$7-90)+SUMIFS(采购录入!$S$5:$S$404,采购录入!$D$5:$D$404,$A103,采购录入!$T$5:$T$404,"&lt;="&amp;首页!$B$7-90)-SUMIFS(资金流水!$N$5:$N$504,资金流水!$G$5:$G$504,$A103,资金流水!$E$5:$E$504,"供应商付款",资金流水!$B$5:$B$504,"&lt;="&amp;首页!$B$7))))</f>
        <v/>
      </c>
      <c r="L103" s="62" t="str">
        <f aca="false">IF($A103="","",$H103+$I103+$J103+$K103)</f>
        <v/>
      </c>
      <c r="M103" s="47" t="str">
        <f aca="false">IF($A103="","",IF($K103&gt;0,"高危",IF($J103&gt;0,"关注",IF($L103&gt;0,"提醒","正常"))))</f>
        <v/>
      </c>
      <c r="N103" s="42" t="str">
        <f aca="false">IF($A103="","",基础资料!$AG103)</f>
        <v/>
      </c>
    </row>
    <row r="104" customFormat="false" ht="15.75" hidden="false" customHeight="true" outlineLevel="0" collapsed="false">
      <c r="A104" s="35" t="str">
        <f aca="false">IF(基础资料!$AF104="","",基础资料!$AF104)</f>
        <v/>
      </c>
      <c r="B104" s="42" t="str">
        <f aca="false">IF($A104="","",N(基础资料!$AH104))</f>
        <v/>
      </c>
      <c r="C104" s="54" t="str">
        <f aca="false">IF($A104="","",SUMIFS(期初数据!$L$6:$L$155,期初数据!$J$6:$J$155,$A104,期初数据!$K$6:$K$155,"&lt;"&amp;首页!$B$6)+SUMIFS(采购录入!$S$5:$S$404,采购录入!$D$5:$D$404,$A104,采购录入!$B$5:$B$404,"&lt;"&amp;首页!$B$6)-SUMIFS(资金流水!$N$5:$N$504,资金流水!$G$5:$G$504,$A104,资金流水!$E$5:$E$504,"供应商付款",资金流水!$B$5:$B$504,"&lt;"&amp;首页!$B$6))</f>
        <v/>
      </c>
      <c r="D104" s="54" t="str">
        <f aca="false">IF($A104="","",SUMIFS(采购录入!$S$5:$S$404,采购录入!$D$5:$D$404,$A104,采购录入!$C$5:$C$404,首页!$B$5))</f>
        <v/>
      </c>
      <c r="E104" s="54" t="str">
        <f aca="false">IF($A104="","",SUMIFS(资金流水!$N$5:$N$504,资金流水!$G$5:$G$504,$A104,资金流水!$E$5:$E$504,"供应商付款",资金流水!$C$5:$C$504,首页!$B$5))</f>
        <v/>
      </c>
      <c r="F104" s="62" t="str">
        <f aca="false">IF($A104="","",$C104+$D104-$E104)</f>
        <v/>
      </c>
      <c r="G104" s="44" t="str">
        <f aca="false">IF($A104="","",$F104-$H104-$I104-$J104-$K104)</f>
        <v/>
      </c>
      <c r="H104" s="44" t="str">
        <f aca="false">IF($A104="","",MIN($F104,MAX(0,SUMIFS(期初数据!$L$6:$L$155,期初数据!$J$6:$J$155,$A104,期初数据!$K$6:$K$155,"&lt;="&amp;首页!$B$7)+SUMIFS(采购录入!$S$5:$S$404,采购录入!$D$5:$D$404,$A104,采购录入!$T$5:$T$404,"&lt;="&amp;首页!$B$7)-SUMIFS(资金流水!$N$5:$N$504,资金流水!$G$5:$G$504,$A104,资金流水!$E$5:$E$504,"供应商付款",资金流水!$B$5:$B$504,"&lt;="&amp;首页!$B$7)))-$K104-$J104-$I104)</f>
        <v/>
      </c>
      <c r="I104" s="44" t="str">
        <f aca="false">IF($A104="","",MIN($F104,MAX(0,SUMIFS(期初数据!$L$6:$L$155,期初数据!$J$6:$J$155,$A104,期初数据!$K$6:$K$155,"&lt;="&amp;首页!$B$7-30)+SUMIFS(采购录入!$S$5:$S$404,采购录入!$D$5:$D$404,$A104,采购录入!$T$5:$T$404,"&lt;="&amp;首页!$B$7-30)-SUMIFS(资金流水!$N$5:$N$504,资金流水!$G$5:$G$504,$A104,资金流水!$E$5:$E$504,"供应商付款",资金流水!$B$5:$B$504,"&lt;="&amp;首页!$B$7)))-$K104-$J104)</f>
        <v/>
      </c>
      <c r="J104" s="44" t="str">
        <f aca="false">IF($A104="","",MIN($F104,MAX(0,SUMIFS(期初数据!$L$6:$L$155,期初数据!$J$6:$J$155,$A104,期初数据!$K$6:$K$155,"&lt;="&amp;首页!$B$7-60)+SUMIFS(采购录入!$S$5:$S$404,采购录入!$D$5:$D$404,$A104,采购录入!$T$5:$T$404,"&lt;="&amp;首页!$B$7-60)-SUMIFS(资金流水!$N$5:$N$504,资金流水!$G$5:$G$504,$A104,资金流水!$E$5:$E$504,"供应商付款",资金流水!$B$5:$B$504,"&lt;="&amp;首页!$B$7)))-$K104)</f>
        <v/>
      </c>
      <c r="K104" s="44" t="str">
        <f aca="false">IF($A104="","",MIN($F104,MAX(0,SUMIFS(期初数据!$L$6:$L$155,期初数据!$J$6:$J$155,$A104,期初数据!$K$6:$K$155,"&lt;="&amp;首页!$B$7-90)+SUMIFS(采购录入!$S$5:$S$404,采购录入!$D$5:$D$404,$A104,采购录入!$T$5:$T$404,"&lt;="&amp;首页!$B$7-90)-SUMIFS(资金流水!$N$5:$N$504,资金流水!$G$5:$G$504,$A104,资金流水!$E$5:$E$504,"供应商付款",资金流水!$B$5:$B$504,"&lt;="&amp;首页!$B$7))))</f>
        <v/>
      </c>
      <c r="L104" s="62" t="str">
        <f aca="false">IF($A104="","",$H104+$I104+$J104+$K104)</f>
        <v/>
      </c>
      <c r="M104" s="47" t="str">
        <f aca="false">IF($A104="","",IF($K104&gt;0,"高危",IF($J104&gt;0,"关注",IF($L104&gt;0,"提醒","正常"))))</f>
        <v/>
      </c>
      <c r="N104" s="42" t="str">
        <f aca="false">IF($A104="","",基础资料!$AG104)</f>
        <v/>
      </c>
    </row>
    <row r="105" customFormat="false" ht="15.75" hidden="false" customHeight="true" outlineLevel="0" collapsed="false">
      <c r="A105" s="35" t="str">
        <f aca="false">IF(基础资料!$AF105="","",基础资料!$AF105)</f>
        <v/>
      </c>
      <c r="B105" s="42" t="str">
        <f aca="false">IF($A105="","",N(基础资料!$AH105))</f>
        <v/>
      </c>
      <c r="C105" s="54" t="str">
        <f aca="false">IF($A105="","",SUMIFS(期初数据!$L$6:$L$155,期初数据!$J$6:$J$155,$A105,期初数据!$K$6:$K$155,"&lt;"&amp;首页!$B$6)+SUMIFS(采购录入!$S$5:$S$404,采购录入!$D$5:$D$404,$A105,采购录入!$B$5:$B$404,"&lt;"&amp;首页!$B$6)-SUMIFS(资金流水!$N$5:$N$504,资金流水!$G$5:$G$504,$A105,资金流水!$E$5:$E$504,"供应商付款",资金流水!$B$5:$B$504,"&lt;"&amp;首页!$B$6))</f>
        <v/>
      </c>
      <c r="D105" s="54" t="str">
        <f aca="false">IF($A105="","",SUMIFS(采购录入!$S$5:$S$404,采购录入!$D$5:$D$404,$A105,采购录入!$C$5:$C$404,首页!$B$5))</f>
        <v/>
      </c>
      <c r="E105" s="54" t="str">
        <f aca="false">IF($A105="","",SUMIFS(资金流水!$N$5:$N$504,资金流水!$G$5:$G$504,$A105,资金流水!$E$5:$E$504,"供应商付款",资金流水!$C$5:$C$504,首页!$B$5))</f>
        <v/>
      </c>
      <c r="F105" s="62" t="str">
        <f aca="false">IF($A105="","",$C105+$D105-$E105)</f>
        <v/>
      </c>
      <c r="G105" s="44" t="str">
        <f aca="false">IF($A105="","",$F105-$H105-$I105-$J105-$K105)</f>
        <v/>
      </c>
      <c r="H105" s="44" t="str">
        <f aca="false">IF($A105="","",MIN($F105,MAX(0,SUMIFS(期初数据!$L$6:$L$155,期初数据!$J$6:$J$155,$A105,期初数据!$K$6:$K$155,"&lt;="&amp;首页!$B$7)+SUMIFS(采购录入!$S$5:$S$404,采购录入!$D$5:$D$404,$A105,采购录入!$T$5:$T$404,"&lt;="&amp;首页!$B$7)-SUMIFS(资金流水!$N$5:$N$504,资金流水!$G$5:$G$504,$A105,资金流水!$E$5:$E$504,"供应商付款",资金流水!$B$5:$B$504,"&lt;="&amp;首页!$B$7)))-$K105-$J105-$I105)</f>
        <v/>
      </c>
      <c r="I105" s="44" t="str">
        <f aca="false">IF($A105="","",MIN($F105,MAX(0,SUMIFS(期初数据!$L$6:$L$155,期初数据!$J$6:$J$155,$A105,期初数据!$K$6:$K$155,"&lt;="&amp;首页!$B$7-30)+SUMIFS(采购录入!$S$5:$S$404,采购录入!$D$5:$D$404,$A105,采购录入!$T$5:$T$404,"&lt;="&amp;首页!$B$7-30)-SUMIFS(资金流水!$N$5:$N$504,资金流水!$G$5:$G$504,$A105,资金流水!$E$5:$E$504,"供应商付款",资金流水!$B$5:$B$504,"&lt;="&amp;首页!$B$7)))-$K105-$J105)</f>
        <v/>
      </c>
      <c r="J105" s="44" t="str">
        <f aca="false">IF($A105="","",MIN($F105,MAX(0,SUMIFS(期初数据!$L$6:$L$155,期初数据!$J$6:$J$155,$A105,期初数据!$K$6:$K$155,"&lt;="&amp;首页!$B$7-60)+SUMIFS(采购录入!$S$5:$S$404,采购录入!$D$5:$D$404,$A105,采购录入!$T$5:$T$404,"&lt;="&amp;首页!$B$7-60)-SUMIFS(资金流水!$N$5:$N$504,资金流水!$G$5:$G$504,$A105,资金流水!$E$5:$E$504,"供应商付款",资金流水!$B$5:$B$504,"&lt;="&amp;首页!$B$7)))-$K105)</f>
        <v/>
      </c>
      <c r="K105" s="44" t="str">
        <f aca="false">IF($A105="","",MIN($F105,MAX(0,SUMIFS(期初数据!$L$6:$L$155,期初数据!$J$6:$J$155,$A105,期初数据!$K$6:$K$155,"&lt;="&amp;首页!$B$7-90)+SUMIFS(采购录入!$S$5:$S$404,采购录入!$D$5:$D$404,$A105,采购录入!$T$5:$T$404,"&lt;="&amp;首页!$B$7-90)-SUMIFS(资金流水!$N$5:$N$504,资金流水!$G$5:$G$504,$A105,资金流水!$E$5:$E$504,"供应商付款",资金流水!$B$5:$B$504,"&lt;="&amp;首页!$B$7))))</f>
        <v/>
      </c>
      <c r="L105" s="62" t="str">
        <f aca="false">IF($A105="","",$H105+$I105+$J105+$K105)</f>
        <v/>
      </c>
      <c r="M105" s="47" t="str">
        <f aca="false">IF($A105="","",IF($K105&gt;0,"高危",IF($J105&gt;0,"关注",IF($L105&gt;0,"提醒","正常"))))</f>
        <v/>
      </c>
      <c r="N105" s="42" t="str">
        <f aca="false">IF($A105="","",基础资料!$AG105)</f>
        <v/>
      </c>
    </row>
    <row r="106" customFormat="false" ht="15.75" hidden="false" customHeight="true" outlineLevel="0" collapsed="false">
      <c r="A106" s="35" t="str">
        <f aca="false">IF(基础资料!$AF106="","",基础资料!$AF106)</f>
        <v/>
      </c>
      <c r="B106" s="42" t="str">
        <f aca="false">IF($A106="","",N(基础资料!$AH106))</f>
        <v/>
      </c>
      <c r="C106" s="54" t="str">
        <f aca="false">IF($A106="","",SUMIFS(期初数据!$L$6:$L$155,期初数据!$J$6:$J$155,$A106,期初数据!$K$6:$K$155,"&lt;"&amp;首页!$B$6)+SUMIFS(采购录入!$S$5:$S$404,采购录入!$D$5:$D$404,$A106,采购录入!$B$5:$B$404,"&lt;"&amp;首页!$B$6)-SUMIFS(资金流水!$N$5:$N$504,资金流水!$G$5:$G$504,$A106,资金流水!$E$5:$E$504,"供应商付款",资金流水!$B$5:$B$504,"&lt;"&amp;首页!$B$6))</f>
        <v/>
      </c>
      <c r="D106" s="54" t="str">
        <f aca="false">IF($A106="","",SUMIFS(采购录入!$S$5:$S$404,采购录入!$D$5:$D$404,$A106,采购录入!$C$5:$C$404,首页!$B$5))</f>
        <v/>
      </c>
      <c r="E106" s="54" t="str">
        <f aca="false">IF($A106="","",SUMIFS(资金流水!$N$5:$N$504,资金流水!$G$5:$G$504,$A106,资金流水!$E$5:$E$504,"供应商付款",资金流水!$C$5:$C$504,首页!$B$5))</f>
        <v/>
      </c>
      <c r="F106" s="62" t="str">
        <f aca="false">IF($A106="","",$C106+$D106-$E106)</f>
        <v/>
      </c>
      <c r="G106" s="44" t="str">
        <f aca="false">IF($A106="","",$F106-$H106-$I106-$J106-$K106)</f>
        <v/>
      </c>
      <c r="H106" s="44" t="str">
        <f aca="false">IF($A106="","",MIN($F106,MAX(0,SUMIFS(期初数据!$L$6:$L$155,期初数据!$J$6:$J$155,$A106,期初数据!$K$6:$K$155,"&lt;="&amp;首页!$B$7)+SUMIFS(采购录入!$S$5:$S$404,采购录入!$D$5:$D$404,$A106,采购录入!$T$5:$T$404,"&lt;="&amp;首页!$B$7)-SUMIFS(资金流水!$N$5:$N$504,资金流水!$G$5:$G$504,$A106,资金流水!$E$5:$E$504,"供应商付款",资金流水!$B$5:$B$504,"&lt;="&amp;首页!$B$7)))-$K106-$J106-$I106)</f>
        <v/>
      </c>
      <c r="I106" s="44" t="str">
        <f aca="false">IF($A106="","",MIN($F106,MAX(0,SUMIFS(期初数据!$L$6:$L$155,期初数据!$J$6:$J$155,$A106,期初数据!$K$6:$K$155,"&lt;="&amp;首页!$B$7-30)+SUMIFS(采购录入!$S$5:$S$404,采购录入!$D$5:$D$404,$A106,采购录入!$T$5:$T$404,"&lt;="&amp;首页!$B$7-30)-SUMIFS(资金流水!$N$5:$N$504,资金流水!$G$5:$G$504,$A106,资金流水!$E$5:$E$504,"供应商付款",资金流水!$B$5:$B$504,"&lt;="&amp;首页!$B$7)))-$K106-$J106)</f>
        <v/>
      </c>
      <c r="J106" s="44" t="str">
        <f aca="false">IF($A106="","",MIN($F106,MAX(0,SUMIFS(期初数据!$L$6:$L$155,期初数据!$J$6:$J$155,$A106,期初数据!$K$6:$K$155,"&lt;="&amp;首页!$B$7-60)+SUMIFS(采购录入!$S$5:$S$404,采购录入!$D$5:$D$404,$A106,采购录入!$T$5:$T$404,"&lt;="&amp;首页!$B$7-60)-SUMIFS(资金流水!$N$5:$N$504,资金流水!$G$5:$G$504,$A106,资金流水!$E$5:$E$504,"供应商付款",资金流水!$B$5:$B$504,"&lt;="&amp;首页!$B$7)))-$K106)</f>
        <v/>
      </c>
      <c r="K106" s="44" t="str">
        <f aca="false">IF($A106="","",MIN($F106,MAX(0,SUMIFS(期初数据!$L$6:$L$155,期初数据!$J$6:$J$155,$A106,期初数据!$K$6:$K$155,"&lt;="&amp;首页!$B$7-90)+SUMIFS(采购录入!$S$5:$S$404,采购录入!$D$5:$D$404,$A106,采购录入!$T$5:$T$404,"&lt;="&amp;首页!$B$7-90)-SUMIFS(资金流水!$N$5:$N$504,资金流水!$G$5:$G$504,$A106,资金流水!$E$5:$E$504,"供应商付款",资金流水!$B$5:$B$504,"&lt;="&amp;首页!$B$7))))</f>
        <v/>
      </c>
      <c r="L106" s="62" t="str">
        <f aca="false">IF($A106="","",$H106+$I106+$J106+$K106)</f>
        <v/>
      </c>
      <c r="M106" s="47" t="str">
        <f aca="false">IF($A106="","",IF($K106&gt;0,"高危",IF($J106&gt;0,"关注",IF($L106&gt;0,"提醒","正常"))))</f>
        <v/>
      </c>
      <c r="N106" s="42" t="str">
        <f aca="false">IF($A106="","",基础资料!$AG106)</f>
        <v/>
      </c>
    </row>
    <row r="107" customFormat="false" ht="15.75" hidden="false" customHeight="true" outlineLevel="0" collapsed="false">
      <c r="A107" s="35" t="str">
        <f aca="false">IF(基础资料!$AF107="","",基础资料!$AF107)</f>
        <v/>
      </c>
      <c r="B107" s="42" t="str">
        <f aca="false">IF($A107="","",N(基础资料!$AH107))</f>
        <v/>
      </c>
      <c r="C107" s="54" t="str">
        <f aca="false">IF($A107="","",SUMIFS(期初数据!$L$6:$L$155,期初数据!$J$6:$J$155,$A107,期初数据!$K$6:$K$155,"&lt;"&amp;首页!$B$6)+SUMIFS(采购录入!$S$5:$S$404,采购录入!$D$5:$D$404,$A107,采购录入!$B$5:$B$404,"&lt;"&amp;首页!$B$6)-SUMIFS(资金流水!$N$5:$N$504,资金流水!$G$5:$G$504,$A107,资金流水!$E$5:$E$504,"供应商付款",资金流水!$B$5:$B$504,"&lt;"&amp;首页!$B$6))</f>
        <v/>
      </c>
      <c r="D107" s="54" t="str">
        <f aca="false">IF($A107="","",SUMIFS(采购录入!$S$5:$S$404,采购录入!$D$5:$D$404,$A107,采购录入!$C$5:$C$404,首页!$B$5))</f>
        <v/>
      </c>
      <c r="E107" s="54" t="str">
        <f aca="false">IF($A107="","",SUMIFS(资金流水!$N$5:$N$504,资金流水!$G$5:$G$504,$A107,资金流水!$E$5:$E$504,"供应商付款",资金流水!$C$5:$C$504,首页!$B$5))</f>
        <v/>
      </c>
      <c r="F107" s="62" t="str">
        <f aca="false">IF($A107="","",$C107+$D107-$E107)</f>
        <v/>
      </c>
      <c r="G107" s="44" t="str">
        <f aca="false">IF($A107="","",$F107-$H107-$I107-$J107-$K107)</f>
        <v/>
      </c>
      <c r="H107" s="44" t="str">
        <f aca="false">IF($A107="","",MIN($F107,MAX(0,SUMIFS(期初数据!$L$6:$L$155,期初数据!$J$6:$J$155,$A107,期初数据!$K$6:$K$155,"&lt;="&amp;首页!$B$7)+SUMIFS(采购录入!$S$5:$S$404,采购录入!$D$5:$D$404,$A107,采购录入!$T$5:$T$404,"&lt;="&amp;首页!$B$7)-SUMIFS(资金流水!$N$5:$N$504,资金流水!$G$5:$G$504,$A107,资金流水!$E$5:$E$504,"供应商付款",资金流水!$B$5:$B$504,"&lt;="&amp;首页!$B$7)))-$K107-$J107-$I107)</f>
        <v/>
      </c>
      <c r="I107" s="44" t="str">
        <f aca="false">IF($A107="","",MIN($F107,MAX(0,SUMIFS(期初数据!$L$6:$L$155,期初数据!$J$6:$J$155,$A107,期初数据!$K$6:$K$155,"&lt;="&amp;首页!$B$7-30)+SUMIFS(采购录入!$S$5:$S$404,采购录入!$D$5:$D$404,$A107,采购录入!$T$5:$T$404,"&lt;="&amp;首页!$B$7-30)-SUMIFS(资金流水!$N$5:$N$504,资金流水!$G$5:$G$504,$A107,资金流水!$E$5:$E$504,"供应商付款",资金流水!$B$5:$B$504,"&lt;="&amp;首页!$B$7)))-$K107-$J107)</f>
        <v/>
      </c>
      <c r="J107" s="44" t="str">
        <f aca="false">IF($A107="","",MIN($F107,MAX(0,SUMIFS(期初数据!$L$6:$L$155,期初数据!$J$6:$J$155,$A107,期初数据!$K$6:$K$155,"&lt;="&amp;首页!$B$7-60)+SUMIFS(采购录入!$S$5:$S$404,采购录入!$D$5:$D$404,$A107,采购录入!$T$5:$T$404,"&lt;="&amp;首页!$B$7-60)-SUMIFS(资金流水!$N$5:$N$504,资金流水!$G$5:$G$504,$A107,资金流水!$E$5:$E$504,"供应商付款",资金流水!$B$5:$B$504,"&lt;="&amp;首页!$B$7)))-$K107)</f>
        <v/>
      </c>
      <c r="K107" s="44" t="str">
        <f aca="false">IF($A107="","",MIN($F107,MAX(0,SUMIFS(期初数据!$L$6:$L$155,期初数据!$J$6:$J$155,$A107,期初数据!$K$6:$K$155,"&lt;="&amp;首页!$B$7-90)+SUMIFS(采购录入!$S$5:$S$404,采购录入!$D$5:$D$404,$A107,采购录入!$T$5:$T$404,"&lt;="&amp;首页!$B$7-90)-SUMIFS(资金流水!$N$5:$N$504,资金流水!$G$5:$G$504,$A107,资金流水!$E$5:$E$504,"供应商付款",资金流水!$B$5:$B$504,"&lt;="&amp;首页!$B$7))))</f>
        <v/>
      </c>
      <c r="L107" s="62" t="str">
        <f aca="false">IF($A107="","",$H107+$I107+$J107+$K107)</f>
        <v/>
      </c>
      <c r="M107" s="47" t="str">
        <f aca="false">IF($A107="","",IF($K107&gt;0,"高危",IF($J107&gt;0,"关注",IF($L107&gt;0,"提醒","正常"))))</f>
        <v/>
      </c>
      <c r="N107" s="42" t="str">
        <f aca="false">IF($A107="","",基础资料!$AG107)</f>
        <v/>
      </c>
    </row>
    <row r="108" customFormat="false" ht="15.75" hidden="false" customHeight="true" outlineLevel="0" collapsed="false">
      <c r="A108" s="35" t="str">
        <f aca="false">IF(基础资料!$AF108="","",基础资料!$AF108)</f>
        <v/>
      </c>
      <c r="B108" s="42" t="str">
        <f aca="false">IF($A108="","",N(基础资料!$AH108))</f>
        <v/>
      </c>
      <c r="C108" s="54" t="str">
        <f aca="false">IF($A108="","",SUMIFS(期初数据!$L$6:$L$155,期初数据!$J$6:$J$155,$A108,期初数据!$K$6:$K$155,"&lt;"&amp;首页!$B$6)+SUMIFS(采购录入!$S$5:$S$404,采购录入!$D$5:$D$404,$A108,采购录入!$B$5:$B$404,"&lt;"&amp;首页!$B$6)-SUMIFS(资金流水!$N$5:$N$504,资金流水!$G$5:$G$504,$A108,资金流水!$E$5:$E$504,"供应商付款",资金流水!$B$5:$B$504,"&lt;"&amp;首页!$B$6))</f>
        <v/>
      </c>
      <c r="D108" s="54" t="str">
        <f aca="false">IF($A108="","",SUMIFS(采购录入!$S$5:$S$404,采购录入!$D$5:$D$404,$A108,采购录入!$C$5:$C$404,首页!$B$5))</f>
        <v/>
      </c>
      <c r="E108" s="54" t="str">
        <f aca="false">IF($A108="","",SUMIFS(资金流水!$N$5:$N$504,资金流水!$G$5:$G$504,$A108,资金流水!$E$5:$E$504,"供应商付款",资金流水!$C$5:$C$504,首页!$B$5))</f>
        <v/>
      </c>
      <c r="F108" s="62" t="str">
        <f aca="false">IF($A108="","",$C108+$D108-$E108)</f>
        <v/>
      </c>
      <c r="G108" s="44" t="str">
        <f aca="false">IF($A108="","",$F108-$H108-$I108-$J108-$K108)</f>
        <v/>
      </c>
      <c r="H108" s="44" t="str">
        <f aca="false">IF($A108="","",MIN($F108,MAX(0,SUMIFS(期初数据!$L$6:$L$155,期初数据!$J$6:$J$155,$A108,期初数据!$K$6:$K$155,"&lt;="&amp;首页!$B$7)+SUMIFS(采购录入!$S$5:$S$404,采购录入!$D$5:$D$404,$A108,采购录入!$T$5:$T$404,"&lt;="&amp;首页!$B$7)-SUMIFS(资金流水!$N$5:$N$504,资金流水!$G$5:$G$504,$A108,资金流水!$E$5:$E$504,"供应商付款",资金流水!$B$5:$B$504,"&lt;="&amp;首页!$B$7)))-$K108-$J108-$I108)</f>
        <v/>
      </c>
      <c r="I108" s="44" t="str">
        <f aca="false">IF($A108="","",MIN($F108,MAX(0,SUMIFS(期初数据!$L$6:$L$155,期初数据!$J$6:$J$155,$A108,期初数据!$K$6:$K$155,"&lt;="&amp;首页!$B$7-30)+SUMIFS(采购录入!$S$5:$S$404,采购录入!$D$5:$D$404,$A108,采购录入!$T$5:$T$404,"&lt;="&amp;首页!$B$7-30)-SUMIFS(资金流水!$N$5:$N$504,资金流水!$G$5:$G$504,$A108,资金流水!$E$5:$E$504,"供应商付款",资金流水!$B$5:$B$504,"&lt;="&amp;首页!$B$7)))-$K108-$J108)</f>
        <v/>
      </c>
      <c r="J108" s="44" t="str">
        <f aca="false">IF($A108="","",MIN($F108,MAX(0,SUMIFS(期初数据!$L$6:$L$155,期初数据!$J$6:$J$155,$A108,期初数据!$K$6:$K$155,"&lt;="&amp;首页!$B$7-60)+SUMIFS(采购录入!$S$5:$S$404,采购录入!$D$5:$D$404,$A108,采购录入!$T$5:$T$404,"&lt;="&amp;首页!$B$7-60)-SUMIFS(资金流水!$N$5:$N$504,资金流水!$G$5:$G$504,$A108,资金流水!$E$5:$E$504,"供应商付款",资金流水!$B$5:$B$504,"&lt;="&amp;首页!$B$7)))-$K108)</f>
        <v/>
      </c>
      <c r="K108" s="44" t="str">
        <f aca="false">IF($A108="","",MIN($F108,MAX(0,SUMIFS(期初数据!$L$6:$L$155,期初数据!$J$6:$J$155,$A108,期初数据!$K$6:$K$155,"&lt;="&amp;首页!$B$7-90)+SUMIFS(采购录入!$S$5:$S$404,采购录入!$D$5:$D$404,$A108,采购录入!$T$5:$T$404,"&lt;="&amp;首页!$B$7-90)-SUMIFS(资金流水!$N$5:$N$504,资金流水!$G$5:$G$504,$A108,资金流水!$E$5:$E$504,"供应商付款",资金流水!$B$5:$B$504,"&lt;="&amp;首页!$B$7))))</f>
        <v/>
      </c>
      <c r="L108" s="62" t="str">
        <f aca="false">IF($A108="","",$H108+$I108+$J108+$K108)</f>
        <v/>
      </c>
      <c r="M108" s="47" t="str">
        <f aca="false">IF($A108="","",IF($K108&gt;0,"高危",IF($J108&gt;0,"关注",IF($L108&gt;0,"提醒","正常"))))</f>
        <v/>
      </c>
      <c r="N108" s="42" t="str">
        <f aca="false">IF($A108="","",基础资料!$AG108)</f>
        <v/>
      </c>
    </row>
    <row r="109" customFormat="false" ht="15.75" hidden="false" customHeight="true" outlineLevel="0" collapsed="false">
      <c r="A109" s="35" t="str">
        <f aca="false">IF(基础资料!$AF109="","",基础资料!$AF109)</f>
        <v/>
      </c>
      <c r="B109" s="42" t="str">
        <f aca="false">IF($A109="","",N(基础资料!$AH109))</f>
        <v/>
      </c>
      <c r="C109" s="54" t="str">
        <f aca="false">IF($A109="","",SUMIFS(期初数据!$L$6:$L$155,期初数据!$J$6:$J$155,$A109,期初数据!$K$6:$K$155,"&lt;"&amp;首页!$B$6)+SUMIFS(采购录入!$S$5:$S$404,采购录入!$D$5:$D$404,$A109,采购录入!$B$5:$B$404,"&lt;"&amp;首页!$B$6)-SUMIFS(资金流水!$N$5:$N$504,资金流水!$G$5:$G$504,$A109,资金流水!$E$5:$E$504,"供应商付款",资金流水!$B$5:$B$504,"&lt;"&amp;首页!$B$6))</f>
        <v/>
      </c>
      <c r="D109" s="54" t="str">
        <f aca="false">IF($A109="","",SUMIFS(采购录入!$S$5:$S$404,采购录入!$D$5:$D$404,$A109,采购录入!$C$5:$C$404,首页!$B$5))</f>
        <v/>
      </c>
      <c r="E109" s="54" t="str">
        <f aca="false">IF($A109="","",SUMIFS(资金流水!$N$5:$N$504,资金流水!$G$5:$G$504,$A109,资金流水!$E$5:$E$504,"供应商付款",资金流水!$C$5:$C$504,首页!$B$5))</f>
        <v/>
      </c>
      <c r="F109" s="62" t="str">
        <f aca="false">IF($A109="","",$C109+$D109-$E109)</f>
        <v/>
      </c>
      <c r="G109" s="44" t="str">
        <f aca="false">IF($A109="","",$F109-$H109-$I109-$J109-$K109)</f>
        <v/>
      </c>
      <c r="H109" s="44" t="str">
        <f aca="false">IF($A109="","",MIN($F109,MAX(0,SUMIFS(期初数据!$L$6:$L$155,期初数据!$J$6:$J$155,$A109,期初数据!$K$6:$K$155,"&lt;="&amp;首页!$B$7)+SUMIFS(采购录入!$S$5:$S$404,采购录入!$D$5:$D$404,$A109,采购录入!$T$5:$T$404,"&lt;="&amp;首页!$B$7)-SUMIFS(资金流水!$N$5:$N$504,资金流水!$G$5:$G$504,$A109,资金流水!$E$5:$E$504,"供应商付款",资金流水!$B$5:$B$504,"&lt;="&amp;首页!$B$7)))-$K109-$J109-$I109)</f>
        <v/>
      </c>
      <c r="I109" s="44" t="str">
        <f aca="false">IF($A109="","",MIN($F109,MAX(0,SUMIFS(期初数据!$L$6:$L$155,期初数据!$J$6:$J$155,$A109,期初数据!$K$6:$K$155,"&lt;="&amp;首页!$B$7-30)+SUMIFS(采购录入!$S$5:$S$404,采购录入!$D$5:$D$404,$A109,采购录入!$T$5:$T$404,"&lt;="&amp;首页!$B$7-30)-SUMIFS(资金流水!$N$5:$N$504,资金流水!$G$5:$G$504,$A109,资金流水!$E$5:$E$504,"供应商付款",资金流水!$B$5:$B$504,"&lt;="&amp;首页!$B$7)))-$K109-$J109)</f>
        <v/>
      </c>
      <c r="J109" s="44" t="str">
        <f aca="false">IF($A109="","",MIN($F109,MAX(0,SUMIFS(期初数据!$L$6:$L$155,期初数据!$J$6:$J$155,$A109,期初数据!$K$6:$K$155,"&lt;="&amp;首页!$B$7-60)+SUMIFS(采购录入!$S$5:$S$404,采购录入!$D$5:$D$404,$A109,采购录入!$T$5:$T$404,"&lt;="&amp;首页!$B$7-60)-SUMIFS(资金流水!$N$5:$N$504,资金流水!$G$5:$G$504,$A109,资金流水!$E$5:$E$504,"供应商付款",资金流水!$B$5:$B$504,"&lt;="&amp;首页!$B$7)))-$K109)</f>
        <v/>
      </c>
      <c r="K109" s="44" t="str">
        <f aca="false">IF($A109="","",MIN($F109,MAX(0,SUMIFS(期初数据!$L$6:$L$155,期初数据!$J$6:$J$155,$A109,期初数据!$K$6:$K$155,"&lt;="&amp;首页!$B$7-90)+SUMIFS(采购录入!$S$5:$S$404,采购录入!$D$5:$D$404,$A109,采购录入!$T$5:$T$404,"&lt;="&amp;首页!$B$7-90)-SUMIFS(资金流水!$N$5:$N$504,资金流水!$G$5:$G$504,$A109,资金流水!$E$5:$E$504,"供应商付款",资金流水!$B$5:$B$504,"&lt;="&amp;首页!$B$7))))</f>
        <v/>
      </c>
      <c r="L109" s="62" t="str">
        <f aca="false">IF($A109="","",$H109+$I109+$J109+$K109)</f>
        <v/>
      </c>
      <c r="M109" s="47" t="str">
        <f aca="false">IF($A109="","",IF($K109&gt;0,"高危",IF($J109&gt;0,"关注",IF($L109&gt;0,"提醒","正常"))))</f>
        <v/>
      </c>
      <c r="N109" s="42" t="str">
        <f aca="false">IF($A109="","",基础资料!$AG109)</f>
        <v/>
      </c>
    </row>
    <row r="110" customFormat="false" ht="15.75" hidden="false" customHeight="true" outlineLevel="0" collapsed="false">
      <c r="A110" s="35" t="str">
        <f aca="false">IF(基础资料!$AF110="","",基础资料!$AF110)</f>
        <v/>
      </c>
      <c r="B110" s="42" t="str">
        <f aca="false">IF($A110="","",N(基础资料!$AH110))</f>
        <v/>
      </c>
      <c r="C110" s="54" t="str">
        <f aca="false">IF($A110="","",SUMIFS(期初数据!$L$6:$L$155,期初数据!$J$6:$J$155,$A110,期初数据!$K$6:$K$155,"&lt;"&amp;首页!$B$6)+SUMIFS(采购录入!$S$5:$S$404,采购录入!$D$5:$D$404,$A110,采购录入!$B$5:$B$404,"&lt;"&amp;首页!$B$6)-SUMIFS(资金流水!$N$5:$N$504,资金流水!$G$5:$G$504,$A110,资金流水!$E$5:$E$504,"供应商付款",资金流水!$B$5:$B$504,"&lt;"&amp;首页!$B$6))</f>
        <v/>
      </c>
      <c r="D110" s="54" t="str">
        <f aca="false">IF($A110="","",SUMIFS(采购录入!$S$5:$S$404,采购录入!$D$5:$D$404,$A110,采购录入!$C$5:$C$404,首页!$B$5))</f>
        <v/>
      </c>
      <c r="E110" s="54" t="str">
        <f aca="false">IF($A110="","",SUMIFS(资金流水!$N$5:$N$504,资金流水!$G$5:$G$504,$A110,资金流水!$E$5:$E$504,"供应商付款",资金流水!$C$5:$C$504,首页!$B$5))</f>
        <v/>
      </c>
      <c r="F110" s="62" t="str">
        <f aca="false">IF($A110="","",$C110+$D110-$E110)</f>
        <v/>
      </c>
      <c r="G110" s="44" t="str">
        <f aca="false">IF($A110="","",$F110-$H110-$I110-$J110-$K110)</f>
        <v/>
      </c>
      <c r="H110" s="44" t="str">
        <f aca="false">IF($A110="","",MIN($F110,MAX(0,SUMIFS(期初数据!$L$6:$L$155,期初数据!$J$6:$J$155,$A110,期初数据!$K$6:$K$155,"&lt;="&amp;首页!$B$7)+SUMIFS(采购录入!$S$5:$S$404,采购录入!$D$5:$D$404,$A110,采购录入!$T$5:$T$404,"&lt;="&amp;首页!$B$7)-SUMIFS(资金流水!$N$5:$N$504,资金流水!$G$5:$G$504,$A110,资金流水!$E$5:$E$504,"供应商付款",资金流水!$B$5:$B$504,"&lt;="&amp;首页!$B$7)))-$K110-$J110-$I110)</f>
        <v/>
      </c>
      <c r="I110" s="44" t="str">
        <f aca="false">IF($A110="","",MIN($F110,MAX(0,SUMIFS(期初数据!$L$6:$L$155,期初数据!$J$6:$J$155,$A110,期初数据!$K$6:$K$155,"&lt;="&amp;首页!$B$7-30)+SUMIFS(采购录入!$S$5:$S$404,采购录入!$D$5:$D$404,$A110,采购录入!$T$5:$T$404,"&lt;="&amp;首页!$B$7-30)-SUMIFS(资金流水!$N$5:$N$504,资金流水!$G$5:$G$504,$A110,资金流水!$E$5:$E$504,"供应商付款",资金流水!$B$5:$B$504,"&lt;="&amp;首页!$B$7)))-$K110-$J110)</f>
        <v/>
      </c>
      <c r="J110" s="44" t="str">
        <f aca="false">IF($A110="","",MIN($F110,MAX(0,SUMIFS(期初数据!$L$6:$L$155,期初数据!$J$6:$J$155,$A110,期初数据!$K$6:$K$155,"&lt;="&amp;首页!$B$7-60)+SUMIFS(采购录入!$S$5:$S$404,采购录入!$D$5:$D$404,$A110,采购录入!$T$5:$T$404,"&lt;="&amp;首页!$B$7-60)-SUMIFS(资金流水!$N$5:$N$504,资金流水!$G$5:$G$504,$A110,资金流水!$E$5:$E$504,"供应商付款",资金流水!$B$5:$B$504,"&lt;="&amp;首页!$B$7)))-$K110)</f>
        <v/>
      </c>
      <c r="K110" s="44" t="str">
        <f aca="false">IF($A110="","",MIN($F110,MAX(0,SUMIFS(期初数据!$L$6:$L$155,期初数据!$J$6:$J$155,$A110,期初数据!$K$6:$K$155,"&lt;="&amp;首页!$B$7-90)+SUMIFS(采购录入!$S$5:$S$404,采购录入!$D$5:$D$404,$A110,采购录入!$T$5:$T$404,"&lt;="&amp;首页!$B$7-90)-SUMIFS(资金流水!$N$5:$N$504,资金流水!$G$5:$G$504,$A110,资金流水!$E$5:$E$504,"供应商付款",资金流水!$B$5:$B$504,"&lt;="&amp;首页!$B$7))))</f>
        <v/>
      </c>
      <c r="L110" s="62" t="str">
        <f aca="false">IF($A110="","",$H110+$I110+$J110+$K110)</f>
        <v/>
      </c>
      <c r="M110" s="47" t="str">
        <f aca="false">IF($A110="","",IF($K110&gt;0,"高危",IF($J110&gt;0,"关注",IF($L110&gt;0,"提醒","正常"))))</f>
        <v/>
      </c>
      <c r="N110" s="42" t="str">
        <f aca="false">IF($A110="","",基础资料!$AG110)</f>
        <v/>
      </c>
    </row>
    <row r="111" customFormat="false" ht="15.75" hidden="false" customHeight="true" outlineLevel="0" collapsed="false">
      <c r="A111" s="35" t="str">
        <f aca="false">IF(基础资料!$AF111="","",基础资料!$AF111)</f>
        <v/>
      </c>
      <c r="B111" s="42" t="str">
        <f aca="false">IF($A111="","",N(基础资料!$AH111))</f>
        <v/>
      </c>
      <c r="C111" s="54" t="str">
        <f aca="false">IF($A111="","",SUMIFS(期初数据!$L$6:$L$155,期初数据!$J$6:$J$155,$A111,期初数据!$K$6:$K$155,"&lt;"&amp;首页!$B$6)+SUMIFS(采购录入!$S$5:$S$404,采购录入!$D$5:$D$404,$A111,采购录入!$B$5:$B$404,"&lt;"&amp;首页!$B$6)-SUMIFS(资金流水!$N$5:$N$504,资金流水!$G$5:$G$504,$A111,资金流水!$E$5:$E$504,"供应商付款",资金流水!$B$5:$B$504,"&lt;"&amp;首页!$B$6))</f>
        <v/>
      </c>
      <c r="D111" s="54" t="str">
        <f aca="false">IF($A111="","",SUMIFS(采购录入!$S$5:$S$404,采购录入!$D$5:$D$404,$A111,采购录入!$C$5:$C$404,首页!$B$5))</f>
        <v/>
      </c>
      <c r="E111" s="54" t="str">
        <f aca="false">IF($A111="","",SUMIFS(资金流水!$N$5:$N$504,资金流水!$G$5:$G$504,$A111,资金流水!$E$5:$E$504,"供应商付款",资金流水!$C$5:$C$504,首页!$B$5))</f>
        <v/>
      </c>
      <c r="F111" s="62" t="str">
        <f aca="false">IF($A111="","",$C111+$D111-$E111)</f>
        <v/>
      </c>
      <c r="G111" s="44" t="str">
        <f aca="false">IF($A111="","",$F111-$H111-$I111-$J111-$K111)</f>
        <v/>
      </c>
      <c r="H111" s="44" t="str">
        <f aca="false">IF($A111="","",MIN($F111,MAX(0,SUMIFS(期初数据!$L$6:$L$155,期初数据!$J$6:$J$155,$A111,期初数据!$K$6:$K$155,"&lt;="&amp;首页!$B$7)+SUMIFS(采购录入!$S$5:$S$404,采购录入!$D$5:$D$404,$A111,采购录入!$T$5:$T$404,"&lt;="&amp;首页!$B$7)-SUMIFS(资金流水!$N$5:$N$504,资金流水!$G$5:$G$504,$A111,资金流水!$E$5:$E$504,"供应商付款",资金流水!$B$5:$B$504,"&lt;="&amp;首页!$B$7)))-$K111-$J111-$I111)</f>
        <v/>
      </c>
      <c r="I111" s="44" t="str">
        <f aca="false">IF($A111="","",MIN($F111,MAX(0,SUMIFS(期初数据!$L$6:$L$155,期初数据!$J$6:$J$155,$A111,期初数据!$K$6:$K$155,"&lt;="&amp;首页!$B$7-30)+SUMIFS(采购录入!$S$5:$S$404,采购录入!$D$5:$D$404,$A111,采购录入!$T$5:$T$404,"&lt;="&amp;首页!$B$7-30)-SUMIFS(资金流水!$N$5:$N$504,资金流水!$G$5:$G$504,$A111,资金流水!$E$5:$E$504,"供应商付款",资金流水!$B$5:$B$504,"&lt;="&amp;首页!$B$7)))-$K111-$J111)</f>
        <v/>
      </c>
      <c r="J111" s="44" t="str">
        <f aca="false">IF($A111="","",MIN($F111,MAX(0,SUMIFS(期初数据!$L$6:$L$155,期初数据!$J$6:$J$155,$A111,期初数据!$K$6:$K$155,"&lt;="&amp;首页!$B$7-60)+SUMIFS(采购录入!$S$5:$S$404,采购录入!$D$5:$D$404,$A111,采购录入!$T$5:$T$404,"&lt;="&amp;首页!$B$7-60)-SUMIFS(资金流水!$N$5:$N$504,资金流水!$G$5:$G$504,$A111,资金流水!$E$5:$E$504,"供应商付款",资金流水!$B$5:$B$504,"&lt;="&amp;首页!$B$7)))-$K111)</f>
        <v/>
      </c>
      <c r="K111" s="44" t="str">
        <f aca="false">IF($A111="","",MIN($F111,MAX(0,SUMIFS(期初数据!$L$6:$L$155,期初数据!$J$6:$J$155,$A111,期初数据!$K$6:$K$155,"&lt;="&amp;首页!$B$7-90)+SUMIFS(采购录入!$S$5:$S$404,采购录入!$D$5:$D$404,$A111,采购录入!$T$5:$T$404,"&lt;="&amp;首页!$B$7-90)-SUMIFS(资金流水!$N$5:$N$504,资金流水!$G$5:$G$504,$A111,资金流水!$E$5:$E$504,"供应商付款",资金流水!$B$5:$B$504,"&lt;="&amp;首页!$B$7))))</f>
        <v/>
      </c>
      <c r="L111" s="62" t="str">
        <f aca="false">IF($A111="","",$H111+$I111+$J111+$K111)</f>
        <v/>
      </c>
      <c r="M111" s="47" t="str">
        <f aca="false">IF($A111="","",IF($K111&gt;0,"高危",IF($J111&gt;0,"关注",IF($L111&gt;0,"提醒","正常"))))</f>
        <v/>
      </c>
      <c r="N111" s="42" t="str">
        <f aca="false">IF($A111="","",基础资料!$AG111)</f>
        <v/>
      </c>
    </row>
    <row r="112" customFormat="false" ht="15.75" hidden="false" customHeight="true" outlineLevel="0" collapsed="false">
      <c r="A112" s="35" t="str">
        <f aca="false">IF(基础资料!$AF112="","",基础资料!$AF112)</f>
        <v/>
      </c>
      <c r="B112" s="42" t="str">
        <f aca="false">IF($A112="","",N(基础资料!$AH112))</f>
        <v/>
      </c>
      <c r="C112" s="54" t="str">
        <f aca="false">IF($A112="","",SUMIFS(期初数据!$L$6:$L$155,期初数据!$J$6:$J$155,$A112,期初数据!$K$6:$K$155,"&lt;"&amp;首页!$B$6)+SUMIFS(采购录入!$S$5:$S$404,采购录入!$D$5:$D$404,$A112,采购录入!$B$5:$B$404,"&lt;"&amp;首页!$B$6)-SUMIFS(资金流水!$N$5:$N$504,资金流水!$G$5:$G$504,$A112,资金流水!$E$5:$E$504,"供应商付款",资金流水!$B$5:$B$504,"&lt;"&amp;首页!$B$6))</f>
        <v/>
      </c>
      <c r="D112" s="54" t="str">
        <f aca="false">IF($A112="","",SUMIFS(采购录入!$S$5:$S$404,采购录入!$D$5:$D$404,$A112,采购录入!$C$5:$C$404,首页!$B$5))</f>
        <v/>
      </c>
      <c r="E112" s="54" t="str">
        <f aca="false">IF($A112="","",SUMIFS(资金流水!$N$5:$N$504,资金流水!$G$5:$G$504,$A112,资金流水!$E$5:$E$504,"供应商付款",资金流水!$C$5:$C$504,首页!$B$5))</f>
        <v/>
      </c>
      <c r="F112" s="62" t="str">
        <f aca="false">IF($A112="","",$C112+$D112-$E112)</f>
        <v/>
      </c>
      <c r="G112" s="44" t="str">
        <f aca="false">IF($A112="","",$F112-$H112-$I112-$J112-$K112)</f>
        <v/>
      </c>
      <c r="H112" s="44" t="str">
        <f aca="false">IF($A112="","",MIN($F112,MAX(0,SUMIFS(期初数据!$L$6:$L$155,期初数据!$J$6:$J$155,$A112,期初数据!$K$6:$K$155,"&lt;="&amp;首页!$B$7)+SUMIFS(采购录入!$S$5:$S$404,采购录入!$D$5:$D$404,$A112,采购录入!$T$5:$T$404,"&lt;="&amp;首页!$B$7)-SUMIFS(资金流水!$N$5:$N$504,资金流水!$G$5:$G$504,$A112,资金流水!$E$5:$E$504,"供应商付款",资金流水!$B$5:$B$504,"&lt;="&amp;首页!$B$7)))-$K112-$J112-$I112)</f>
        <v/>
      </c>
      <c r="I112" s="44" t="str">
        <f aca="false">IF($A112="","",MIN($F112,MAX(0,SUMIFS(期初数据!$L$6:$L$155,期初数据!$J$6:$J$155,$A112,期初数据!$K$6:$K$155,"&lt;="&amp;首页!$B$7-30)+SUMIFS(采购录入!$S$5:$S$404,采购录入!$D$5:$D$404,$A112,采购录入!$T$5:$T$404,"&lt;="&amp;首页!$B$7-30)-SUMIFS(资金流水!$N$5:$N$504,资金流水!$G$5:$G$504,$A112,资金流水!$E$5:$E$504,"供应商付款",资金流水!$B$5:$B$504,"&lt;="&amp;首页!$B$7)))-$K112-$J112)</f>
        <v/>
      </c>
      <c r="J112" s="44" t="str">
        <f aca="false">IF($A112="","",MIN($F112,MAX(0,SUMIFS(期初数据!$L$6:$L$155,期初数据!$J$6:$J$155,$A112,期初数据!$K$6:$K$155,"&lt;="&amp;首页!$B$7-60)+SUMIFS(采购录入!$S$5:$S$404,采购录入!$D$5:$D$404,$A112,采购录入!$T$5:$T$404,"&lt;="&amp;首页!$B$7-60)-SUMIFS(资金流水!$N$5:$N$504,资金流水!$G$5:$G$504,$A112,资金流水!$E$5:$E$504,"供应商付款",资金流水!$B$5:$B$504,"&lt;="&amp;首页!$B$7)))-$K112)</f>
        <v/>
      </c>
      <c r="K112" s="44" t="str">
        <f aca="false">IF($A112="","",MIN($F112,MAX(0,SUMIFS(期初数据!$L$6:$L$155,期初数据!$J$6:$J$155,$A112,期初数据!$K$6:$K$155,"&lt;="&amp;首页!$B$7-90)+SUMIFS(采购录入!$S$5:$S$404,采购录入!$D$5:$D$404,$A112,采购录入!$T$5:$T$404,"&lt;="&amp;首页!$B$7-90)-SUMIFS(资金流水!$N$5:$N$504,资金流水!$G$5:$G$504,$A112,资金流水!$E$5:$E$504,"供应商付款",资金流水!$B$5:$B$504,"&lt;="&amp;首页!$B$7))))</f>
        <v/>
      </c>
      <c r="L112" s="62" t="str">
        <f aca="false">IF($A112="","",$H112+$I112+$J112+$K112)</f>
        <v/>
      </c>
      <c r="M112" s="47" t="str">
        <f aca="false">IF($A112="","",IF($K112&gt;0,"高危",IF($J112&gt;0,"关注",IF($L112&gt;0,"提醒","正常"))))</f>
        <v/>
      </c>
      <c r="N112" s="42" t="str">
        <f aca="false">IF($A112="","",基础资料!$AG112)</f>
        <v/>
      </c>
    </row>
    <row r="113" customFormat="false" ht="15.75" hidden="false" customHeight="true" outlineLevel="0" collapsed="false">
      <c r="A113" s="35" t="str">
        <f aca="false">IF(基础资料!$AF113="","",基础资料!$AF113)</f>
        <v/>
      </c>
      <c r="B113" s="42" t="str">
        <f aca="false">IF($A113="","",N(基础资料!$AH113))</f>
        <v/>
      </c>
      <c r="C113" s="54" t="str">
        <f aca="false">IF($A113="","",SUMIFS(期初数据!$L$6:$L$155,期初数据!$J$6:$J$155,$A113,期初数据!$K$6:$K$155,"&lt;"&amp;首页!$B$6)+SUMIFS(采购录入!$S$5:$S$404,采购录入!$D$5:$D$404,$A113,采购录入!$B$5:$B$404,"&lt;"&amp;首页!$B$6)-SUMIFS(资金流水!$N$5:$N$504,资金流水!$G$5:$G$504,$A113,资金流水!$E$5:$E$504,"供应商付款",资金流水!$B$5:$B$504,"&lt;"&amp;首页!$B$6))</f>
        <v/>
      </c>
      <c r="D113" s="54" t="str">
        <f aca="false">IF($A113="","",SUMIFS(采购录入!$S$5:$S$404,采购录入!$D$5:$D$404,$A113,采购录入!$C$5:$C$404,首页!$B$5))</f>
        <v/>
      </c>
      <c r="E113" s="54" t="str">
        <f aca="false">IF($A113="","",SUMIFS(资金流水!$N$5:$N$504,资金流水!$G$5:$G$504,$A113,资金流水!$E$5:$E$504,"供应商付款",资金流水!$C$5:$C$504,首页!$B$5))</f>
        <v/>
      </c>
      <c r="F113" s="62" t="str">
        <f aca="false">IF($A113="","",$C113+$D113-$E113)</f>
        <v/>
      </c>
      <c r="G113" s="44" t="str">
        <f aca="false">IF($A113="","",$F113-$H113-$I113-$J113-$K113)</f>
        <v/>
      </c>
      <c r="H113" s="44" t="str">
        <f aca="false">IF($A113="","",MIN($F113,MAX(0,SUMIFS(期初数据!$L$6:$L$155,期初数据!$J$6:$J$155,$A113,期初数据!$K$6:$K$155,"&lt;="&amp;首页!$B$7)+SUMIFS(采购录入!$S$5:$S$404,采购录入!$D$5:$D$404,$A113,采购录入!$T$5:$T$404,"&lt;="&amp;首页!$B$7)-SUMIFS(资金流水!$N$5:$N$504,资金流水!$G$5:$G$504,$A113,资金流水!$E$5:$E$504,"供应商付款",资金流水!$B$5:$B$504,"&lt;="&amp;首页!$B$7)))-$K113-$J113-$I113)</f>
        <v/>
      </c>
      <c r="I113" s="44" t="str">
        <f aca="false">IF($A113="","",MIN($F113,MAX(0,SUMIFS(期初数据!$L$6:$L$155,期初数据!$J$6:$J$155,$A113,期初数据!$K$6:$K$155,"&lt;="&amp;首页!$B$7-30)+SUMIFS(采购录入!$S$5:$S$404,采购录入!$D$5:$D$404,$A113,采购录入!$T$5:$T$404,"&lt;="&amp;首页!$B$7-30)-SUMIFS(资金流水!$N$5:$N$504,资金流水!$G$5:$G$504,$A113,资金流水!$E$5:$E$504,"供应商付款",资金流水!$B$5:$B$504,"&lt;="&amp;首页!$B$7)))-$K113-$J113)</f>
        <v/>
      </c>
      <c r="J113" s="44" t="str">
        <f aca="false">IF($A113="","",MIN($F113,MAX(0,SUMIFS(期初数据!$L$6:$L$155,期初数据!$J$6:$J$155,$A113,期初数据!$K$6:$K$155,"&lt;="&amp;首页!$B$7-60)+SUMIFS(采购录入!$S$5:$S$404,采购录入!$D$5:$D$404,$A113,采购录入!$T$5:$T$404,"&lt;="&amp;首页!$B$7-60)-SUMIFS(资金流水!$N$5:$N$504,资金流水!$G$5:$G$504,$A113,资金流水!$E$5:$E$504,"供应商付款",资金流水!$B$5:$B$504,"&lt;="&amp;首页!$B$7)))-$K113)</f>
        <v/>
      </c>
      <c r="K113" s="44" t="str">
        <f aca="false">IF($A113="","",MIN($F113,MAX(0,SUMIFS(期初数据!$L$6:$L$155,期初数据!$J$6:$J$155,$A113,期初数据!$K$6:$K$155,"&lt;="&amp;首页!$B$7-90)+SUMIFS(采购录入!$S$5:$S$404,采购录入!$D$5:$D$404,$A113,采购录入!$T$5:$T$404,"&lt;="&amp;首页!$B$7-90)-SUMIFS(资金流水!$N$5:$N$504,资金流水!$G$5:$G$504,$A113,资金流水!$E$5:$E$504,"供应商付款",资金流水!$B$5:$B$504,"&lt;="&amp;首页!$B$7))))</f>
        <v/>
      </c>
      <c r="L113" s="62" t="str">
        <f aca="false">IF($A113="","",$H113+$I113+$J113+$K113)</f>
        <v/>
      </c>
      <c r="M113" s="47" t="str">
        <f aca="false">IF($A113="","",IF($K113&gt;0,"高危",IF($J113&gt;0,"关注",IF($L113&gt;0,"提醒","正常"))))</f>
        <v/>
      </c>
      <c r="N113" s="42" t="str">
        <f aca="false">IF($A113="","",基础资料!$AG113)</f>
        <v/>
      </c>
    </row>
    <row r="114" customFormat="false" ht="15.75" hidden="false" customHeight="true" outlineLevel="0" collapsed="false">
      <c r="A114" s="35" t="str">
        <f aca="false">IF(基础资料!$AF114="","",基础资料!$AF114)</f>
        <v/>
      </c>
      <c r="B114" s="42" t="str">
        <f aca="false">IF($A114="","",N(基础资料!$AH114))</f>
        <v/>
      </c>
      <c r="C114" s="54" t="str">
        <f aca="false">IF($A114="","",SUMIFS(期初数据!$L$6:$L$155,期初数据!$J$6:$J$155,$A114,期初数据!$K$6:$K$155,"&lt;"&amp;首页!$B$6)+SUMIFS(采购录入!$S$5:$S$404,采购录入!$D$5:$D$404,$A114,采购录入!$B$5:$B$404,"&lt;"&amp;首页!$B$6)-SUMIFS(资金流水!$N$5:$N$504,资金流水!$G$5:$G$504,$A114,资金流水!$E$5:$E$504,"供应商付款",资金流水!$B$5:$B$504,"&lt;"&amp;首页!$B$6))</f>
        <v/>
      </c>
      <c r="D114" s="54" t="str">
        <f aca="false">IF($A114="","",SUMIFS(采购录入!$S$5:$S$404,采购录入!$D$5:$D$404,$A114,采购录入!$C$5:$C$404,首页!$B$5))</f>
        <v/>
      </c>
      <c r="E114" s="54" t="str">
        <f aca="false">IF($A114="","",SUMIFS(资金流水!$N$5:$N$504,资金流水!$G$5:$G$504,$A114,资金流水!$E$5:$E$504,"供应商付款",资金流水!$C$5:$C$504,首页!$B$5))</f>
        <v/>
      </c>
      <c r="F114" s="62" t="str">
        <f aca="false">IF($A114="","",$C114+$D114-$E114)</f>
        <v/>
      </c>
      <c r="G114" s="44" t="str">
        <f aca="false">IF($A114="","",$F114-$H114-$I114-$J114-$K114)</f>
        <v/>
      </c>
      <c r="H114" s="44" t="str">
        <f aca="false">IF($A114="","",MIN($F114,MAX(0,SUMIFS(期初数据!$L$6:$L$155,期初数据!$J$6:$J$155,$A114,期初数据!$K$6:$K$155,"&lt;="&amp;首页!$B$7)+SUMIFS(采购录入!$S$5:$S$404,采购录入!$D$5:$D$404,$A114,采购录入!$T$5:$T$404,"&lt;="&amp;首页!$B$7)-SUMIFS(资金流水!$N$5:$N$504,资金流水!$G$5:$G$504,$A114,资金流水!$E$5:$E$504,"供应商付款",资金流水!$B$5:$B$504,"&lt;="&amp;首页!$B$7)))-$K114-$J114-$I114)</f>
        <v/>
      </c>
      <c r="I114" s="44" t="str">
        <f aca="false">IF($A114="","",MIN($F114,MAX(0,SUMIFS(期初数据!$L$6:$L$155,期初数据!$J$6:$J$155,$A114,期初数据!$K$6:$K$155,"&lt;="&amp;首页!$B$7-30)+SUMIFS(采购录入!$S$5:$S$404,采购录入!$D$5:$D$404,$A114,采购录入!$T$5:$T$404,"&lt;="&amp;首页!$B$7-30)-SUMIFS(资金流水!$N$5:$N$504,资金流水!$G$5:$G$504,$A114,资金流水!$E$5:$E$504,"供应商付款",资金流水!$B$5:$B$504,"&lt;="&amp;首页!$B$7)))-$K114-$J114)</f>
        <v/>
      </c>
      <c r="J114" s="44" t="str">
        <f aca="false">IF($A114="","",MIN($F114,MAX(0,SUMIFS(期初数据!$L$6:$L$155,期初数据!$J$6:$J$155,$A114,期初数据!$K$6:$K$155,"&lt;="&amp;首页!$B$7-60)+SUMIFS(采购录入!$S$5:$S$404,采购录入!$D$5:$D$404,$A114,采购录入!$T$5:$T$404,"&lt;="&amp;首页!$B$7-60)-SUMIFS(资金流水!$N$5:$N$504,资金流水!$G$5:$G$504,$A114,资金流水!$E$5:$E$504,"供应商付款",资金流水!$B$5:$B$504,"&lt;="&amp;首页!$B$7)))-$K114)</f>
        <v/>
      </c>
      <c r="K114" s="44" t="str">
        <f aca="false">IF($A114="","",MIN($F114,MAX(0,SUMIFS(期初数据!$L$6:$L$155,期初数据!$J$6:$J$155,$A114,期初数据!$K$6:$K$155,"&lt;="&amp;首页!$B$7-90)+SUMIFS(采购录入!$S$5:$S$404,采购录入!$D$5:$D$404,$A114,采购录入!$T$5:$T$404,"&lt;="&amp;首页!$B$7-90)-SUMIFS(资金流水!$N$5:$N$504,资金流水!$G$5:$G$504,$A114,资金流水!$E$5:$E$504,"供应商付款",资金流水!$B$5:$B$504,"&lt;="&amp;首页!$B$7))))</f>
        <v/>
      </c>
      <c r="L114" s="62" t="str">
        <f aca="false">IF($A114="","",$H114+$I114+$J114+$K114)</f>
        <v/>
      </c>
      <c r="M114" s="47" t="str">
        <f aca="false">IF($A114="","",IF($K114&gt;0,"高危",IF($J114&gt;0,"关注",IF($L114&gt;0,"提醒","正常"))))</f>
        <v/>
      </c>
      <c r="N114" s="42" t="str">
        <f aca="false">IF($A114="","",基础资料!$AG114)</f>
        <v/>
      </c>
    </row>
    <row r="115" customFormat="false" ht="15.75" hidden="false" customHeight="true" outlineLevel="0" collapsed="false">
      <c r="A115" s="35" t="str">
        <f aca="false">IF(基础资料!$AF115="","",基础资料!$AF115)</f>
        <v/>
      </c>
      <c r="B115" s="42" t="str">
        <f aca="false">IF($A115="","",N(基础资料!$AH115))</f>
        <v/>
      </c>
      <c r="C115" s="54" t="str">
        <f aca="false">IF($A115="","",SUMIFS(期初数据!$L$6:$L$155,期初数据!$J$6:$J$155,$A115,期初数据!$K$6:$K$155,"&lt;"&amp;首页!$B$6)+SUMIFS(采购录入!$S$5:$S$404,采购录入!$D$5:$D$404,$A115,采购录入!$B$5:$B$404,"&lt;"&amp;首页!$B$6)-SUMIFS(资金流水!$N$5:$N$504,资金流水!$G$5:$G$504,$A115,资金流水!$E$5:$E$504,"供应商付款",资金流水!$B$5:$B$504,"&lt;"&amp;首页!$B$6))</f>
        <v/>
      </c>
      <c r="D115" s="54" t="str">
        <f aca="false">IF($A115="","",SUMIFS(采购录入!$S$5:$S$404,采购录入!$D$5:$D$404,$A115,采购录入!$C$5:$C$404,首页!$B$5))</f>
        <v/>
      </c>
      <c r="E115" s="54" t="str">
        <f aca="false">IF($A115="","",SUMIFS(资金流水!$N$5:$N$504,资金流水!$G$5:$G$504,$A115,资金流水!$E$5:$E$504,"供应商付款",资金流水!$C$5:$C$504,首页!$B$5))</f>
        <v/>
      </c>
      <c r="F115" s="62" t="str">
        <f aca="false">IF($A115="","",$C115+$D115-$E115)</f>
        <v/>
      </c>
      <c r="G115" s="44" t="str">
        <f aca="false">IF($A115="","",$F115-$H115-$I115-$J115-$K115)</f>
        <v/>
      </c>
      <c r="H115" s="44" t="str">
        <f aca="false">IF($A115="","",MIN($F115,MAX(0,SUMIFS(期初数据!$L$6:$L$155,期初数据!$J$6:$J$155,$A115,期初数据!$K$6:$K$155,"&lt;="&amp;首页!$B$7)+SUMIFS(采购录入!$S$5:$S$404,采购录入!$D$5:$D$404,$A115,采购录入!$T$5:$T$404,"&lt;="&amp;首页!$B$7)-SUMIFS(资金流水!$N$5:$N$504,资金流水!$G$5:$G$504,$A115,资金流水!$E$5:$E$504,"供应商付款",资金流水!$B$5:$B$504,"&lt;="&amp;首页!$B$7)))-$K115-$J115-$I115)</f>
        <v/>
      </c>
      <c r="I115" s="44" t="str">
        <f aca="false">IF($A115="","",MIN($F115,MAX(0,SUMIFS(期初数据!$L$6:$L$155,期初数据!$J$6:$J$155,$A115,期初数据!$K$6:$K$155,"&lt;="&amp;首页!$B$7-30)+SUMIFS(采购录入!$S$5:$S$404,采购录入!$D$5:$D$404,$A115,采购录入!$T$5:$T$404,"&lt;="&amp;首页!$B$7-30)-SUMIFS(资金流水!$N$5:$N$504,资金流水!$G$5:$G$504,$A115,资金流水!$E$5:$E$504,"供应商付款",资金流水!$B$5:$B$504,"&lt;="&amp;首页!$B$7)))-$K115-$J115)</f>
        <v/>
      </c>
      <c r="J115" s="44" t="str">
        <f aca="false">IF($A115="","",MIN($F115,MAX(0,SUMIFS(期初数据!$L$6:$L$155,期初数据!$J$6:$J$155,$A115,期初数据!$K$6:$K$155,"&lt;="&amp;首页!$B$7-60)+SUMIFS(采购录入!$S$5:$S$404,采购录入!$D$5:$D$404,$A115,采购录入!$T$5:$T$404,"&lt;="&amp;首页!$B$7-60)-SUMIFS(资金流水!$N$5:$N$504,资金流水!$G$5:$G$504,$A115,资金流水!$E$5:$E$504,"供应商付款",资金流水!$B$5:$B$504,"&lt;="&amp;首页!$B$7)))-$K115)</f>
        <v/>
      </c>
      <c r="K115" s="44" t="str">
        <f aca="false">IF($A115="","",MIN($F115,MAX(0,SUMIFS(期初数据!$L$6:$L$155,期初数据!$J$6:$J$155,$A115,期初数据!$K$6:$K$155,"&lt;="&amp;首页!$B$7-90)+SUMIFS(采购录入!$S$5:$S$404,采购录入!$D$5:$D$404,$A115,采购录入!$T$5:$T$404,"&lt;="&amp;首页!$B$7-90)-SUMIFS(资金流水!$N$5:$N$504,资金流水!$G$5:$G$504,$A115,资金流水!$E$5:$E$504,"供应商付款",资金流水!$B$5:$B$504,"&lt;="&amp;首页!$B$7))))</f>
        <v/>
      </c>
      <c r="L115" s="62" t="str">
        <f aca="false">IF($A115="","",$H115+$I115+$J115+$K115)</f>
        <v/>
      </c>
      <c r="M115" s="47" t="str">
        <f aca="false">IF($A115="","",IF($K115&gt;0,"高危",IF($J115&gt;0,"关注",IF($L115&gt;0,"提醒","正常"))))</f>
        <v/>
      </c>
      <c r="N115" s="42" t="str">
        <f aca="false">IF($A115="","",基础资料!$AG115)</f>
        <v/>
      </c>
    </row>
    <row r="116" customFormat="false" ht="15.75" hidden="false" customHeight="true" outlineLevel="0" collapsed="false">
      <c r="A116" s="35" t="str">
        <f aca="false">IF(基础资料!$AF116="","",基础资料!$AF116)</f>
        <v/>
      </c>
      <c r="B116" s="42" t="str">
        <f aca="false">IF($A116="","",N(基础资料!$AH116))</f>
        <v/>
      </c>
      <c r="C116" s="54" t="str">
        <f aca="false">IF($A116="","",SUMIFS(期初数据!$L$6:$L$155,期初数据!$J$6:$J$155,$A116,期初数据!$K$6:$K$155,"&lt;"&amp;首页!$B$6)+SUMIFS(采购录入!$S$5:$S$404,采购录入!$D$5:$D$404,$A116,采购录入!$B$5:$B$404,"&lt;"&amp;首页!$B$6)-SUMIFS(资金流水!$N$5:$N$504,资金流水!$G$5:$G$504,$A116,资金流水!$E$5:$E$504,"供应商付款",资金流水!$B$5:$B$504,"&lt;"&amp;首页!$B$6))</f>
        <v/>
      </c>
      <c r="D116" s="54" t="str">
        <f aca="false">IF($A116="","",SUMIFS(采购录入!$S$5:$S$404,采购录入!$D$5:$D$404,$A116,采购录入!$C$5:$C$404,首页!$B$5))</f>
        <v/>
      </c>
      <c r="E116" s="54" t="str">
        <f aca="false">IF($A116="","",SUMIFS(资金流水!$N$5:$N$504,资金流水!$G$5:$G$504,$A116,资金流水!$E$5:$E$504,"供应商付款",资金流水!$C$5:$C$504,首页!$B$5))</f>
        <v/>
      </c>
      <c r="F116" s="62" t="str">
        <f aca="false">IF($A116="","",$C116+$D116-$E116)</f>
        <v/>
      </c>
      <c r="G116" s="44" t="str">
        <f aca="false">IF($A116="","",$F116-$H116-$I116-$J116-$K116)</f>
        <v/>
      </c>
      <c r="H116" s="44" t="str">
        <f aca="false">IF($A116="","",MIN($F116,MAX(0,SUMIFS(期初数据!$L$6:$L$155,期初数据!$J$6:$J$155,$A116,期初数据!$K$6:$K$155,"&lt;="&amp;首页!$B$7)+SUMIFS(采购录入!$S$5:$S$404,采购录入!$D$5:$D$404,$A116,采购录入!$T$5:$T$404,"&lt;="&amp;首页!$B$7)-SUMIFS(资金流水!$N$5:$N$504,资金流水!$G$5:$G$504,$A116,资金流水!$E$5:$E$504,"供应商付款",资金流水!$B$5:$B$504,"&lt;="&amp;首页!$B$7)))-$K116-$J116-$I116)</f>
        <v/>
      </c>
      <c r="I116" s="44" t="str">
        <f aca="false">IF($A116="","",MIN($F116,MAX(0,SUMIFS(期初数据!$L$6:$L$155,期初数据!$J$6:$J$155,$A116,期初数据!$K$6:$K$155,"&lt;="&amp;首页!$B$7-30)+SUMIFS(采购录入!$S$5:$S$404,采购录入!$D$5:$D$404,$A116,采购录入!$T$5:$T$404,"&lt;="&amp;首页!$B$7-30)-SUMIFS(资金流水!$N$5:$N$504,资金流水!$G$5:$G$504,$A116,资金流水!$E$5:$E$504,"供应商付款",资金流水!$B$5:$B$504,"&lt;="&amp;首页!$B$7)))-$K116-$J116)</f>
        <v/>
      </c>
      <c r="J116" s="44" t="str">
        <f aca="false">IF($A116="","",MIN($F116,MAX(0,SUMIFS(期初数据!$L$6:$L$155,期初数据!$J$6:$J$155,$A116,期初数据!$K$6:$K$155,"&lt;="&amp;首页!$B$7-60)+SUMIFS(采购录入!$S$5:$S$404,采购录入!$D$5:$D$404,$A116,采购录入!$T$5:$T$404,"&lt;="&amp;首页!$B$7-60)-SUMIFS(资金流水!$N$5:$N$504,资金流水!$G$5:$G$504,$A116,资金流水!$E$5:$E$504,"供应商付款",资金流水!$B$5:$B$504,"&lt;="&amp;首页!$B$7)))-$K116)</f>
        <v/>
      </c>
      <c r="K116" s="44" t="str">
        <f aca="false">IF($A116="","",MIN($F116,MAX(0,SUMIFS(期初数据!$L$6:$L$155,期初数据!$J$6:$J$155,$A116,期初数据!$K$6:$K$155,"&lt;="&amp;首页!$B$7-90)+SUMIFS(采购录入!$S$5:$S$404,采购录入!$D$5:$D$404,$A116,采购录入!$T$5:$T$404,"&lt;="&amp;首页!$B$7-90)-SUMIFS(资金流水!$N$5:$N$504,资金流水!$G$5:$G$504,$A116,资金流水!$E$5:$E$504,"供应商付款",资金流水!$B$5:$B$504,"&lt;="&amp;首页!$B$7))))</f>
        <v/>
      </c>
      <c r="L116" s="62" t="str">
        <f aca="false">IF($A116="","",$H116+$I116+$J116+$K116)</f>
        <v/>
      </c>
      <c r="M116" s="47" t="str">
        <f aca="false">IF($A116="","",IF($K116&gt;0,"高危",IF($J116&gt;0,"关注",IF($L116&gt;0,"提醒","正常"))))</f>
        <v/>
      </c>
      <c r="N116" s="42" t="str">
        <f aca="false">IF($A116="","",基础资料!$AG116)</f>
        <v/>
      </c>
    </row>
    <row r="117" customFormat="false" ht="15.75" hidden="false" customHeight="true" outlineLevel="0" collapsed="false">
      <c r="A117" s="35" t="str">
        <f aca="false">IF(基础资料!$AF117="","",基础资料!$AF117)</f>
        <v/>
      </c>
      <c r="B117" s="42" t="str">
        <f aca="false">IF($A117="","",N(基础资料!$AH117))</f>
        <v/>
      </c>
      <c r="C117" s="54" t="str">
        <f aca="false">IF($A117="","",SUMIFS(期初数据!$L$6:$L$155,期初数据!$J$6:$J$155,$A117,期初数据!$K$6:$K$155,"&lt;"&amp;首页!$B$6)+SUMIFS(采购录入!$S$5:$S$404,采购录入!$D$5:$D$404,$A117,采购录入!$B$5:$B$404,"&lt;"&amp;首页!$B$6)-SUMIFS(资金流水!$N$5:$N$504,资金流水!$G$5:$G$504,$A117,资金流水!$E$5:$E$504,"供应商付款",资金流水!$B$5:$B$504,"&lt;"&amp;首页!$B$6))</f>
        <v/>
      </c>
      <c r="D117" s="54" t="str">
        <f aca="false">IF($A117="","",SUMIFS(采购录入!$S$5:$S$404,采购录入!$D$5:$D$404,$A117,采购录入!$C$5:$C$404,首页!$B$5))</f>
        <v/>
      </c>
      <c r="E117" s="54" t="str">
        <f aca="false">IF($A117="","",SUMIFS(资金流水!$N$5:$N$504,资金流水!$G$5:$G$504,$A117,资金流水!$E$5:$E$504,"供应商付款",资金流水!$C$5:$C$504,首页!$B$5))</f>
        <v/>
      </c>
      <c r="F117" s="62" t="str">
        <f aca="false">IF($A117="","",$C117+$D117-$E117)</f>
        <v/>
      </c>
      <c r="G117" s="44" t="str">
        <f aca="false">IF($A117="","",$F117-$H117-$I117-$J117-$K117)</f>
        <v/>
      </c>
      <c r="H117" s="44" t="str">
        <f aca="false">IF($A117="","",MIN($F117,MAX(0,SUMIFS(期初数据!$L$6:$L$155,期初数据!$J$6:$J$155,$A117,期初数据!$K$6:$K$155,"&lt;="&amp;首页!$B$7)+SUMIFS(采购录入!$S$5:$S$404,采购录入!$D$5:$D$404,$A117,采购录入!$T$5:$T$404,"&lt;="&amp;首页!$B$7)-SUMIFS(资金流水!$N$5:$N$504,资金流水!$G$5:$G$504,$A117,资金流水!$E$5:$E$504,"供应商付款",资金流水!$B$5:$B$504,"&lt;="&amp;首页!$B$7)))-$K117-$J117-$I117)</f>
        <v/>
      </c>
      <c r="I117" s="44" t="str">
        <f aca="false">IF($A117="","",MIN($F117,MAX(0,SUMIFS(期初数据!$L$6:$L$155,期初数据!$J$6:$J$155,$A117,期初数据!$K$6:$K$155,"&lt;="&amp;首页!$B$7-30)+SUMIFS(采购录入!$S$5:$S$404,采购录入!$D$5:$D$404,$A117,采购录入!$T$5:$T$404,"&lt;="&amp;首页!$B$7-30)-SUMIFS(资金流水!$N$5:$N$504,资金流水!$G$5:$G$504,$A117,资金流水!$E$5:$E$504,"供应商付款",资金流水!$B$5:$B$504,"&lt;="&amp;首页!$B$7)))-$K117-$J117)</f>
        <v/>
      </c>
      <c r="J117" s="44" t="str">
        <f aca="false">IF($A117="","",MIN($F117,MAX(0,SUMIFS(期初数据!$L$6:$L$155,期初数据!$J$6:$J$155,$A117,期初数据!$K$6:$K$155,"&lt;="&amp;首页!$B$7-60)+SUMIFS(采购录入!$S$5:$S$404,采购录入!$D$5:$D$404,$A117,采购录入!$T$5:$T$404,"&lt;="&amp;首页!$B$7-60)-SUMIFS(资金流水!$N$5:$N$504,资金流水!$G$5:$G$504,$A117,资金流水!$E$5:$E$504,"供应商付款",资金流水!$B$5:$B$504,"&lt;="&amp;首页!$B$7)))-$K117)</f>
        <v/>
      </c>
      <c r="K117" s="44" t="str">
        <f aca="false">IF($A117="","",MIN($F117,MAX(0,SUMIFS(期初数据!$L$6:$L$155,期初数据!$J$6:$J$155,$A117,期初数据!$K$6:$K$155,"&lt;="&amp;首页!$B$7-90)+SUMIFS(采购录入!$S$5:$S$404,采购录入!$D$5:$D$404,$A117,采购录入!$T$5:$T$404,"&lt;="&amp;首页!$B$7-90)-SUMIFS(资金流水!$N$5:$N$504,资金流水!$G$5:$G$504,$A117,资金流水!$E$5:$E$504,"供应商付款",资金流水!$B$5:$B$504,"&lt;="&amp;首页!$B$7))))</f>
        <v/>
      </c>
      <c r="L117" s="62" t="str">
        <f aca="false">IF($A117="","",$H117+$I117+$J117+$K117)</f>
        <v/>
      </c>
      <c r="M117" s="47" t="str">
        <f aca="false">IF($A117="","",IF($K117&gt;0,"高危",IF($J117&gt;0,"关注",IF($L117&gt;0,"提醒","正常"))))</f>
        <v/>
      </c>
      <c r="N117" s="42" t="str">
        <f aca="false">IF($A117="","",基础资料!$AG117)</f>
        <v/>
      </c>
    </row>
    <row r="118" customFormat="false" ht="15.75" hidden="false" customHeight="true" outlineLevel="0" collapsed="false">
      <c r="A118" s="35" t="str">
        <f aca="false">IF(基础资料!$AF118="","",基础资料!$AF118)</f>
        <v/>
      </c>
      <c r="B118" s="42" t="str">
        <f aca="false">IF($A118="","",N(基础资料!$AH118))</f>
        <v/>
      </c>
      <c r="C118" s="54" t="str">
        <f aca="false">IF($A118="","",SUMIFS(期初数据!$L$6:$L$155,期初数据!$J$6:$J$155,$A118,期初数据!$K$6:$K$155,"&lt;"&amp;首页!$B$6)+SUMIFS(采购录入!$S$5:$S$404,采购录入!$D$5:$D$404,$A118,采购录入!$B$5:$B$404,"&lt;"&amp;首页!$B$6)-SUMIFS(资金流水!$N$5:$N$504,资金流水!$G$5:$G$504,$A118,资金流水!$E$5:$E$504,"供应商付款",资金流水!$B$5:$B$504,"&lt;"&amp;首页!$B$6))</f>
        <v/>
      </c>
      <c r="D118" s="54" t="str">
        <f aca="false">IF($A118="","",SUMIFS(采购录入!$S$5:$S$404,采购录入!$D$5:$D$404,$A118,采购录入!$C$5:$C$404,首页!$B$5))</f>
        <v/>
      </c>
      <c r="E118" s="54" t="str">
        <f aca="false">IF($A118="","",SUMIFS(资金流水!$N$5:$N$504,资金流水!$G$5:$G$504,$A118,资金流水!$E$5:$E$504,"供应商付款",资金流水!$C$5:$C$504,首页!$B$5))</f>
        <v/>
      </c>
      <c r="F118" s="62" t="str">
        <f aca="false">IF($A118="","",$C118+$D118-$E118)</f>
        <v/>
      </c>
      <c r="G118" s="44" t="str">
        <f aca="false">IF($A118="","",$F118-$H118-$I118-$J118-$K118)</f>
        <v/>
      </c>
      <c r="H118" s="44" t="str">
        <f aca="false">IF($A118="","",MIN($F118,MAX(0,SUMIFS(期初数据!$L$6:$L$155,期初数据!$J$6:$J$155,$A118,期初数据!$K$6:$K$155,"&lt;="&amp;首页!$B$7)+SUMIFS(采购录入!$S$5:$S$404,采购录入!$D$5:$D$404,$A118,采购录入!$T$5:$T$404,"&lt;="&amp;首页!$B$7)-SUMIFS(资金流水!$N$5:$N$504,资金流水!$G$5:$G$504,$A118,资金流水!$E$5:$E$504,"供应商付款",资金流水!$B$5:$B$504,"&lt;="&amp;首页!$B$7)))-$K118-$J118-$I118)</f>
        <v/>
      </c>
      <c r="I118" s="44" t="str">
        <f aca="false">IF($A118="","",MIN($F118,MAX(0,SUMIFS(期初数据!$L$6:$L$155,期初数据!$J$6:$J$155,$A118,期初数据!$K$6:$K$155,"&lt;="&amp;首页!$B$7-30)+SUMIFS(采购录入!$S$5:$S$404,采购录入!$D$5:$D$404,$A118,采购录入!$T$5:$T$404,"&lt;="&amp;首页!$B$7-30)-SUMIFS(资金流水!$N$5:$N$504,资金流水!$G$5:$G$504,$A118,资金流水!$E$5:$E$504,"供应商付款",资金流水!$B$5:$B$504,"&lt;="&amp;首页!$B$7)))-$K118-$J118)</f>
        <v/>
      </c>
      <c r="J118" s="44" t="str">
        <f aca="false">IF($A118="","",MIN($F118,MAX(0,SUMIFS(期初数据!$L$6:$L$155,期初数据!$J$6:$J$155,$A118,期初数据!$K$6:$K$155,"&lt;="&amp;首页!$B$7-60)+SUMIFS(采购录入!$S$5:$S$404,采购录入!$D$5:$D$404,$A118,采购录入!$T$5:$T$404,"&lt;="&amp;首页!$B$7-60)-SUMIFS(资金流水!$N$5:$N$504,资金流水!$G$5:$G$504,$A118,资金流水!$E$5:$E$504,"供应商付款",资金流水!$B$5:$B$504,"&lt;="&amp;首页!$B$7)))-$K118)</f>
        <v/>
      </c>
      <c r="K118" s="44" t="str">
        <f aca="false">IF($A118="","",MIN($F118,MAX(0,SUMIFS(期初数据!$L$6:$L$155,期初数据!$J$6:$J$155,$A118,期初数据!$K$6:$K$155,"&lt;="&amp;首页!$B$7-90)+SUMIFS(采购录入!$S$5:$S$404,采购录入!$D$5:$D$404,$A118,采购录入!$T$5:$T$404,"&lt;="&amp;首页!$B$7-90)-SUMIFS(资金流水!$N$5:$N$504,资金流水!$G$5:$G$504,$A118,资金流水!$E$5:$E$504,"供应商付款",资金流水!$B$5:$B$504,"&lt;="&amp;首页!$B$7))))</f>
        <v/>
      </c>
      <c r="L118" s="62" t="str">
        <f aca="false">IF($A118="","",$H118+$I118+$J118+$K118)</f>
        <v/>
      </c>
      <c r="M118" s="47" t="str">
        <f aca="false">IF($A118="","",IF($K118&gt;0,"高危",IF($J118&gt;0,"关注",IF($L118&gt;0,"提醒","正常"))))</f>
        <v/>
      </c>
      <c r="N118" s="42" t="str">
        <f aca="false">IF($A118="","",基础资料!$AG118)</f>
        <v/>
      </c>
    </row>
    <row r="119" customFormat="false" ht="15.75" hidden="false" customHeight="true" outlineLevel="0" collapsed="false">
      <c r="A119" s="35" t="str">
        <f aca="false">IF(基础资料!$AF119="","",基础资料!$AF119)</f>
        <v/>
      </c>
      <c r="B119" s="42" t="str">
        <f aca="false">IF($A119="","",N(基础资料!$AH119))</f>
        <v/>
      </c>
      <c r="C119" s="54" t="str">
        <f aca="false">IF($A119="","",SUMIFS(期初数据!$L$6:$L$155,期初数据!$J$6:$J$155,$A119,期初数据!$K$6:$K$155,"&lt;"&amp;首页!$B$6)+SUMIFS(采购录入!$S$5:$S$404,采购录入!$D$5:$D$404,$A119,采购录入!$B$5:$B$404,"&lt;"&amp;首页!$B$6)-SUMIFS(资金流水!$N$5:$N$504,资金流水!$G$5:$G$504,$A119,资金流水!$E$5:$E$504,"供应商付款",资金流水!$B$5:$B$504,"&lt;"&amp;首页!$B$6))</f>
        <v/>
      </c>
      <c r="D119" s="54" t="str">
        <f aca="false">IF($A119="","",SUMIFS(采购录入!$S$5:$S$404,采购录入!$D$5:$D$404,$A119,采购录入!$C$5:$C$404,首页!$B$5))</f>
        <v/>
      </c>
      <c r="E119" s="54" t="str">
        <f aca="false">IF($A119="","",SUMIFS(资金流水!$N$5:$N$504,资金流水!$G$5:$G$504,$A119,资金流水!$E$5:$E$504,"供应商付款",资金流水!$C$5:$C$504,首页!$B$5))</f>
        <v/>
      </c>
      <c r="F119" s="62" t="str">
        <f aca="false">IF($A119="","",$C119+$D119-$E119)</f>
        <v/>
      </c>
      <c r="G119" s="44" t="str">
        <f aca="false">IF($A119="","",$F119-$H119-$I119-$J119-$K119)</f>
        <v/>
      </c>
      <c r="H119" s="44" t="str">
        <f aca="false">IF($A119="","",MIN($F119,MAX(0,SUMIFS(期初数据!$L$6:$L$155,期初数据!$J$6:$J$155,$A119,期初数据!$K$6:$K$155,"&lt;="&amp;首页!$B$7)+SUMIFS(采购录入!$S$5:$S$404,采购录入!$D$5:$D$404,$A119,采购录入!$T$5:$T$404,"&lt;="&amp;首页!$B$7)-SUMIFS(资金流水!$N$5:$N$504,资金流水!$G$5:$G$504,$A119,资金流水!$E$5:$E$504,"供应商付款",资金流水!$B$5:$B$504,"&lt;="&amp;首页!$B$7)))-$K119-$J119-$I119)</f>
        <v/>
      </c>
      <c r="I119" s="44" t="str">
        <f aca="false">IF($A119="","",MIN($F119,MAX(0,SUMIFS(期初数据!$L$6:$L$155,期初数据!$J$6:$J$155,$A119,期初数据!$K$6:$K$155,"&lt;="&amp;首页!$B$7-30)+SUMIFS(采购录入!$S$5:$S$404,采购录入!$D$5:$D$404,$A119,采购录入!$T$5:$T$404,"&lt;="&amp;首页!$B$7-30)-SUMIFS(资金流水!$N$5:$N$504,资金流水!$G$5:$G$504,$A119,资金流水!$E$5:$E$504,"供应商付款",资金流水!$B$5:$B$504,"&lt;="&amp;首页!$B$7)))-$K119-$J119)</f>
        <v/>
      </c>
      <c r="J119" s="44" t="str">
        <f aca="false">IF($A119="","",MIN($F119,MAX(0,SUMIFS(期初数据!$L$6:$L$155,期初数据!$J$6:$J$155,$A119,期初数据!$K$6:$K$155,"&lt;="&amp;首页!$B$7-60)+SUMIFS(采购录入!$S$5:$S$404,采购录入!$D$5:$D$404,$A119,采购录入!$T$5:$T$404,"&lt;="&amp;首页!$B$7-60)-SUMIFS(资金流水!$N$5:$N$504,资金流水!$G$5:$G$504,$A119,资金流水!$E$5:$E$504,"供应商付款",资金流水!$B$5:$B$504,"&lt;="&amp;首页!$B$7)))-$K119)</f>
        <v/>
      </c>
      <c r="K119" s="44" t="str">
        <f aca="false">IF($A119="","",MIN($F119,MAX(0,SUMIFS(期初数据!$L$6:$L$155,期初数据!$J$6:$J$155,$A119,期初数据!$K$6:$K$155,"&lt;="&amp;首页!$B$7-90)+SUMIFS(采购录入!$S$5:$S$404,采购录入!$D$5:$D$404,$A119,采购录入!$T$5:$T$404,"&lt;="&amp;首页!$B$7-90)-SUMIFS(资金流水!$N$5:$N$504,资金流水!$G$5:$G$504,$A119,资金流水!$E$5:$E$504,"供应商付款",资金流水!$B$5:$B$504,"&lt;="&amp;首页!$B$7))))</f>
        <v/>
      </c>
      <c r="L119" s="62" t="str">
        <f aca="false">IF($A119="","",$H119+$I119+$J119+$K119)</f>
        <v/>
      </c>
      <c r="M119" s="47" t="str">
        <f aca="false">IF($A119="","",IF($K119&gt;0,"高危",IF($J119&gt;0,"关注",IF($L119&gt;0,"提醒","正常"))))</f>
        <v/>
      </c>
      <c r="N119" s="42" t="str">
        <f aca="false">IF($A119="","",基础资料!$AG119)</f>
        <v/>
      </c>
    </row>
    <row r="120" customFormat="false" ht="15.75" hidden="false" customHeight="true" outlineLevel="0" collapsed="false">
      <c r="A120" s="35" t="str">
        <f aca="false">IF(基础资料!$AF120="","",基础资料!$AF120)</f>
        <v/>
      </c>
      <c r="B120" s="42" t="str">
        <f aca="false">IF($A120="","",N(基础资料!$AH120))</f>
        <v/>
      </c>
      <c r="C120" s="54" t="str">
        <f aca="false">IF($A120="","",SUMIFS(期初数据!$L$6:$L$155,期初数据!$J$6:$J$155,$A120,期初数据!$K$6:$K$155,"&lt;"&amp;首页!$B$6)+SUMIFS(采购录入!$S$5:$S$404,采购录入!$D$5:$D$404,$A120,采购录入!$B$5:$B$404,"&lt;"&amp;首页!$B$6)-SUMIFS(资金流水!$N$5:$N$504,资金流水!$G$5:$G$504,$A120,资金流水!$E$5:$E$504,"供应商付款",资金流水!$B$5:$B$504,"&lt;"&amp;首页!$B$6))</f>
        <v/>
      </c>
      <c r="D120" s="54" t="str">
        <f aca="false">IF($A120="","",SUMIFS(采购录入!$S$5:$S$404,采购录入!$D$5:$D$404,$A120,采购录入!$C$5:$C$404,首页!$B$5))</f>
        <v/>
      </c>
      <c r="E120" s="54" t="str">
        <f aca="false">IF($A120="","",SUMIFS(资金流水!$N$5:$N$504,资金流水!$G$5:$G$504,$A120,资金流水!$E$5:$E$504,"供应商付款",资金流水!$C$5:$C$504,首页!$B$5))</f>
        <v/>
      </c>
      <c r="F120" s="62" t="str">
        <f aca="false">IF($A120="","",$C120+$D120-$E120)</f>
        <v/>
      </c>
      <c r="G120" s="44" t="str">
        <f aca="false">IF($A120="","",$F120-$H120-$I120-$J120-$K120)</f>
        <v/>
      </c>
      <c r="H120" s="44" t="str">
        <f aca="false">IF($A120="","",MIN($F120,MAX(0,SUMIFS(期初数据!$L$6:$L$155,期初数据!$J$6:$J$155,$A120,期初数据!$K$6:$K$155,"&lt;="&amp;首页!$B$7)+SUMIFS(采购录入!$S$5:$S$404,采购录入!$D$5:$D$404,$A120,采购录入!$T$5:$T$404,"&lt;="&amp;首页!$B$7)-SUMIFS(资金流水!$N$5:$N$504,资金流水!$G$5:$G$504,$A120,资金流水!$E$5:$E$504,"供应商付款",资金流水!$B$5:$B$504,"&lt;="&amp;首页!$B$7)))-$K120-$J120-$I120)</f>
        <v/>
      </c>
      <c r="I120" s="44" t="str">
        <f aca="false">IF($A120="","",MIN($F120,MAX(0,SUMIFS(期初数据!$L$6:$L$155,期初数据!$J$6:$J$155,$A120,期初数据!$K$6:$K$155,"&lt;="&amp;首页!$B$7-30)+SUMIFS(采购录入!$S$5:$S$404,采购录入!$D$5:$D$404,$A120,采购录入!$T$5:$T$404,"&lt;="&amp;首页!$B$7-30)-SUMIFS(资金流水!$N$5:$N$504,资金流水!$G$5:$G$504,$A120,资金流水!$E$5:$E$504,"供应商付款",资金流水!$B$5:$B$504,"&lt;="&amp;首页!$B$7)))-$K120-$J120)</f>
        <v/>
      </c>
      <c r="J120" s="44" t="str">
        <f aca="false">IF($A120="","",MIN($F120,MAX(0,SUMIFS(期初数据!$L$6:$L$155,期初数据!$J$6:$J$155,$A120,期初数据!$K$6:$K$155,"&lt;="&amp;首页!$B$7-60)+SUMIFS(采购录入!$S$5:$S$404,采购录入!$D$5:$D$404,$A120,采购录入!$T$5:$T$404,"&lt;="&amp;首页!$B$7-60)-SUMIFS(资金流水!$N$5:$N$504,资金流水!$G$5:$G$504,$A120,资金流水!$E$5:$E$504,"供应商付款",资金流水!$B$5:$B$504,"&lt;="&amp;首页!$B$7)))-$K120)</f>
        <v/>
      </c>
      <c r="K120" s="44" t="str">
        <f aca="false">IF($A120="","",MIN($F120,MAX(0,SUMIFS(期初数据!$L$6:$L$155,期初数据!$J$6:$J$155,$A120,期初数据!$K$6:$K$155,"&lt;="&amp;首页!$B$7-90)+SUMIFS(采购录入!$S$5:$S$404,采购录入!$D$5:$D$404,$A120,采购录入!$T$5:$T$404,"&lt;="&amp;首页!$B$7-90)-SUMIFS(资金流水!$N$5:$N$504,资金流水!$G$5:$G$504,$A120,资金流水!$E$5:$E$504,"供应商付款",资金流水!$B$5:$B$504,"&lt;="&amp;首页!$B$7))))</f>
        <v/>
      </c>
      <c r="L120" s="62" t="str">
        <f aca="false">IF($A120="","",$H120+$I120+$J120+$K120)</f>
        <v/>
      </c>
      <c r="M120" s="47" t="str">
        <f aca="false">IF($A120="","",IF($K120&gt;0,"高危",IF($J120&gt;0,"关注",IF($L120&gt;0,"提醒","正常"))))</f>
        <v/>
      </c>
      <c r="N120" s="42" t="str">
        <f aca="false">IF($A120="","",基础资料!$AG120)</f>
        <v/>
      </c>
    </row>
    <row r="121" customFormat="false" ht="15.75" hidden="false" customHeight="true" outlineLevel="0" collapsed="false">
      <c r="A121" s="35" t="str">
        <f aca="false">IF(基础资料!$AF121="","",基础资料!$AF121)</f>
        <v/>
      </c>
      <c r="B121" s="42" t="str">
        <f aca="false">IF($A121="","",N(基础资料!$AH121))</f>
        <v/>
      </c>
      <c r="C121" s="54" t="str">
        <f aca="false">IF($A121="","",SUMIFS(期初数据!$L$6:$L$155,期初数据!$J$6:$J$155,$A121,期初数据!$K$6:$K$155,"&lt;"&amp;首页!$B$6)+SUMIFS(采购录入!$S$5:$S$404,采购录入!$D$5:$D$404,$A121,采购录入!$B$5:$B$404,"&lt;"&amp;首页!$B$6)-SUMIFS(资金流水!$N$5:$N$504,资金流水!$G$5:$G$504,$A121,资金流水!$E$5:$E$504,"供应商付款",资金流水!$B$5:$B$504,"&lt;"&amp;首页!$B$6))</f>
        <v/>
      </c>
      <c r="D121" s="54" t="str">
        <f aca="false">IF($A121="","",SUMIFS(采购录入!$S$5:$S$404,采购录入!$D$5:$D$404,$A121,采购录入!$C$5:$C$404,首页!$B$5))</f>
        <v/>
      </c>
      <c r="E121" s="54" t="str">
        <f aca="false">IF($A121="","",SUMIFS(资金流水!$N$5:$N$504,资金流水!$G$5:$G$504,$A121,资金流水!$E$5:$E$504,"供应商付款",资金流水!$C$5:$C$504,首页!$B$5))</f>
        <v/>
      </c>
      <c r="F121" s="62" t="str">
        <f aca="false">IF($A121="","",$C121+$D121-$E121)</f>
        <v/>
      </c>
      <c r="G121" s="44" t="str">
        <f aca="false">IF($A121="","",$F121-$H121-$I121-$J121-$K121)</f>
        <v/>
      </c>
      <c r="H121" s="44" t="str">
        <f aca="false">IF($A121="","",MIN($F121,MAX(0,SUMIFS(期初数据!$L$6:$L$155,期初数据!$J$6:$J$155,$A121,期初数据!$K$6:$K$155,"&lt;="&amp;首页!$B$7)+SUMIFS(采购录入!$S$5:$S$404,采购录入!$D$5:$D$404,$A121,采购录入!$T$5:$T$404,"&lt;="&amp;首页!$B$7)-SUMIFS(资金流水!$N$5:$N$504,资金流水!$G$5:$G$504,$A121,资金流水!$E$5:$E$504,"供应商付款",资金流水!$B$5:$B$504,"&lt;="&amp;首页!$B$7)))-$K121-$J121-$I121)</f>
        <v/>
      </c>
      <c r="I121" s="44" t="str">
        <f aca="false">IF($A121="","",MIN($F121,MAX(0,SUMIFS(期初数据!$L$6:$L$155,期初数据!$J$6:$J$155,$A121,期初数据!$K$6:$K$155,"&lt;="&amp;首页!$B$7-30)+SUMIFS(采购录入!$S$5:$S$404,采购录入!$D$5:$D$404,$A121,采购录入!$T$5:$T$404,"&lt;="&amp;首页!$B$7-30)-SUMIFS(资金流水!$N$5:$N$504,资金流水!$G$5:$G$504,$A121,资金流水!$E$5:$E$504,"供应商付款",资金流水!$B$5:$B$504,"&lt;="&amp;首页!$B$7)))-$K121-$J121)</f>
        <v/>
      </c>
      <c r="J121" s="44" t="str">
        <f aca="false">IF($A121="","",MIN($F121,MAX(0,SUMIFS(期初数据!$L$6:$L$155,期初数据!$J$6:$J$155,$A121,期初数据!$K$6:$K$155,"&lt;="&amp;首页!$B$7-60)+SUMIFS(采购录入!$S$5:$S$404,采购录入!$D$5:$D$404,$A121,采购录入!$T$5:$T$404,"&lt;="&amp;首页!$B$7-60)-SUMIFS(资金流水!$N$5:$N$504,资金流水!$G$5:$G$504,$A121,资金流水!$E$5:$E$504,"供应商付款",资金流水!$B$5:$B$504,"&lt;="&amp;首页!$B$7)))-$K121)</f>
        <v/>
      </c>
      <c r="K121" s="44" t="str">
        <f aca="false">IF($A121="","",MIN($F121,MAX(0,SUMIFS(期初数据!$L$6:$L$155,期初数据!$J$6:$J$155,$A121,期初数据!$K$6:$K$155,"&lt;="&amp;首页!$B$7-90)+SUMIFS(采购录入!$S$5:$S$404,采购录入!$D$5:$D$404,$A121,采购录入!$T$5:$T$404,"&lt;="&amp;首页!$B$7-90)-SUMIFS(资金流水!$N$5:$N$504,资金流水!$G$5:$G$504,$A121,资金流水!$E$5:$E$504,"供应商付款",资金流水!$B$5:$B$504,"&lt;="&amp;首页!$B$7))))</f>
        <v/>
      </c>
      <c r="L121" s="62" t="str">
        <f aca="false">IF($A121="","",$H121+$I121+$J121+$K121)</f>
        <v/>
      </c>
      <c r="M121" s="47" t="str">
        <f aca="false">IF($A121="","",IF($K121&gt;0,"高危",IF($J121&gt;0,"关注",IF($L121&gt;0,"提醒","正常"))))</f>
        <v/>
      </c>
      <c r="N121" s="42" t="str">
        <f aca="false">IF($A121="","",基础资料!$AG121)</f>
        <v/>
      </c>
    </row>
    <row r="122" customFormat="false" ht="15.75" hidden="false" customHeight="true" outlineLevel="0" collapsed="false">
      <c r="A122" s="35" t="str">
        <f aca="false">IF(基础资料!$AF122="","",基础资料!$AF122)</f>
        <v/>
      </c>
      <c r="B122" s="42" t="str">
        <f aca="false">IF($A122="","",N(基础资料!$AH122))</f>
        <v/>
      </c>
      <c r="C122" s="54" t="str">
        <f aca="false">IF($A122="","",SUMIFS(期初数据!$L$6:$L$155,期初数据!$J$6:$J$155,$A122,期初数据!$K$6:$K$155,"&lt;"&amp;首页!$B$6)+SUMIFS(采购录入!$S$5:$S$404,采购录入!$D$5:$D$404,$A122,采购录入!$B$5:$B$404,"&lt;"&amp;首页!$B$6)-SUMIFS(资金流水!$N$5:$N$504,资金流水!$G$5:$G$504,$A122,资金流水!$E$5:$E$504,"供应商付款",资金流水!$B$5:$B$504,"&lt;"&amp;首页!$B$6))</f>
        <v/>
      </c>
      <c r="D122" s="54" t="str">
        <f aca="false">IF($A122="","",SUMIFS(采购录入!$S$5:$S$404,采购录入!$D$5:$D$404,$A122,采购录入!$C$5:$C$404,首页!$B$5))</f>
        <v/>
      </c>
      <c r="E122" s="54" t="str">
        <f aca="false">IF($A122="","",SUMIFS(资金流水!$N$5:$N$504,资金流水!$G$5:$G$504,$A122,资金流水!$E$5:$E$504,"供应商付款",资金流水!$C$5:$C$504,首页!$B$5))</f>
        <v/>
      </c>
      <c r="F122" s="62" t="str">
        <f aca="false">IF($A122="","",$C122+$D122-$E122)</f>
        <v/>
      </c>
      <c r="G122" s="44" t="str">
        <f aca="false">IF($A122="","",$F122-$H122-$I122-$J122-$K122)</f>
        <v/>
      </c>
      <c r="H122" s="44" t="str">
        <f aca="false">IF($A122="","",MIN($F122,MAX(0,SUMIFS(期初数据!$L$6:$L$155,期初数据!$J$6:$J$155,$A122,期初数据!$K$6:$K$155,"&lt;="&amp;首页!$B$7)+SUMIFS(采购录入!$S$5:$S$404,采购录入!$D$5:$D$404,$A122,采购录入!$T$5:$T$404,"&lt;="&amp;首页!$B$7)-SUMIFS(资金流水!$N$5:$N$504,资金流水!$G$5:$G$504,$A122,资金流水!$E$5:$E$504,"供应商付款",资金流水!$B$5:$B$504,"&lt;="&amp;首页!$B$7)))-$K122-$J122-$I122)</f>
        <v/>
      </c>
      <c r="I122" s="44" t="str">
        <f aca="false">IF($A122="","",MIN($F122,MAX(0,SUMIFS(期初数据!$L$6:$L$155,期初数据!$J$6:$J$155,$A122,期初数据!$K$6:$K$155,"&lt;="&amp;首页!$B$7-30)+SUMIFS(采购录入!$S$5:$S$404,采购录入!$D$5:$D$404,$A122,采购录入!$T$5:$T$404,"&lt;="&amp;首页!$B$7-30)-SUMIFS(资金流水!$N$5:$N$504,资金流水!$G$5:$G$504,$A122,资金流水!$E$5:$E$504,"供应商付款",资金流水!$B$5:$B$504,"&lt;="&amp;首页!$B$7)))-$K122-$J122)</f>
        <v/>
      </c>
      <c r="J122" s="44" t="str">
        <f aca="false">IF($A122="","",MIN($F122,MAX(0,SUMIFS(期初数据!$L$6:$L$155,期初数据!$J$6:$J$155,$A122,期初数据!$K$6:$K$155,"&lt;="&amp;首页!$B$7-60)+SUMIFS(采购录入!$S$5:$S$404,采购录入!$D$5:$D$404,$A122,采购录入!$T$5:$T$404,"&lt;="&amp;首页!$B$7-60)-SUMIFS(资金流水!$N$5:$N$504,资金流水!$G$5:$G$504,$A122,资金流水!$E$5:$E$504,"供应商付款",资金流水!$B$5:$B$504,"&lt;="&amp;首页!$B$7)))-$K122)</f>
        <v/>
      </c>
      <c r="K122" s="44" t="str">
        <f aca="false">IF($A122="","",MIN($F122,MAX(0,SUMIFS(期初数据!$L$6:$L$155,期初数据!$J$6:$J$155,$A122,期初数据!$K$6:$K$155,"&lt;="&amp;首页!$B$7-90)+SUMIFS(采购录入!$S$5:$S$404,采购录入!$D$5:$D$404,$A122,采购录入!$T$5:$T$404,"&lt;="&amp;首页!$B$7-90)-SUMIFS(资金流水!$N$5:$N$504,资金流水!$G$5:$G$504,$A122,资金流水!$E$5:$E$504,"供应商付款",资金流水!$B$5:$B$504,"&lt;="&amp;首页!$B$7))))</f>
        <v/>
      </c>
      <c r="L122" s="62" t="str">
        <f aca="false">IF($A122="","",$H122+$I122+$J122+$K122)</f>
        <v/>
      </c>
      <c r="M122" s="47" t="str">
        <f aca="false">IF($A122="","",IF($K122&gt;0,"高危",IF($J122&gt;0,"关注",IF($L122&gt;0,"提醒","正常"))))</f>
        <v/>
      </c>
      <c r="N122" s="42" t="str">
        <f aca="false">IF($A122="","",基础资料!$AG122)</f>
        <v/>
      </c>
    </row>
    <row r="123" customFormat="false" ht="15.75" hidden="false" customHeight="true" outlineLevel="0" collapsed="false">
      <c r="A123" s="35" t="str">
        <f aca="false">IF(基础资料!$AF123="","",基础资料!$AF123)</f>
        <v/>
      </c>
      <c r="B123" s="42" t="str">
        <f aca="false">IF($A123="","",N(基础资料!$AH123))</f>
        <v/>
      </c>
      <c r="C123" s="54" t="str">
        <f aca="false">IF($A123="","",SUMIFS(期初数据!$L$6:$L$155,期初数据!$J$6:$J$155,$A123,期初数据!$K$6:$K$155,"&lt;"&amp;首页!$B$6)+SUMIFS(采购录入!$S$5:$S$404,采购录入!$D$5:$D$404,$A123,采购录入!$B$5:$B$404,"&lt;"&amp;首页!$B$6)-SUMIFS(资金流水!$N$5:$N$504,资金流水!$G$5:$G$504,$A123,资金流水!$E$5:$E$504,"供应商付款",资金流水!$B$5:$B$504,"&lt;"&amp;首页!$B$6))</f>
        <v/>
      </c>
      <c r="D123" s="54" t="str">
        <f aca="false">IF($A123="","",SUMIFS(采购录入!$S$5:$S$404,采购录入!$D$5:$D$404,$A123,采购录入!$C$5:$C$404,首页!$B$5))</f>
        <v/>
      </c>
      <c r="E123" s="54" t="str">
        <f aca="false">IF($A123="","",SUMIFS(资金流水!$N$5:$N$504,资金流水!$G$5:$G$504,$A123,资金流水!$E$5:$E$504,"供应商付款",资金流水!$C$5:$C$504,首页!$B$5))</f>
        <v/>
      </c>
      <c r="F123" s="62" t="str">
        <f aca="false">IF($A123="","",$C123+$D123-$E123)</f>
        <v/>
      </c>
      <c r="G123" s="44" t="str">
        <f aca="false">IF($A123="","",$F123-$H123-$I123-$J123-$K123)</f>
        <v/>
      </c>
      <c r="H123" s="44" t="str">
        <f aca="false">IF($A123="","",MIN($F123,MAX(0,SUMIFS(期初数据!$L$6:$L$155,期初数据!$J$6:$J$155,$A123,期初数据!$K$6:$K$155,"&lt;="&amp;首页!$B$7)+SUMIFS(采购录入!$S$5:$S$404,采购录入!$D$5:$D$404,$A123,采购录入!$T$5:$T$404,"&lt;="&amp;首页!$B$7)-SUMIFS(资金流水!$N$5:$N$504,资金流水!$G$5:$G$504,$A123,资金流水!$E$5:$E$504,"供应商付款",资金流水!$B$5:$B$504,"&lt;="&amp;首页!$B$7)))-$K123-$J123-$I123)</f>
        <v/>
      </c>
      <c r="I123" s="44" t="str">
        <f aca="false">IF($A123="","",MIN($F123,MAX(0,SUMIFS(期初数据!$L$6:$L$155,期初数据!$J$6:$J$155,$A123,期初数据!$K$6:$K$155,"&lt;="&amp;首页!$B$7-30)+SUMIFS(采购录入!$S$5:$S$404,采购录入!$D$5:$D$404,$A123,采购录入!$T$5:$T$404,"&lt;="&amp;首页!$B$7-30)-SUMIFS(资金流水!$N$5:$N$504,资金流水!$G$5:$G$504,$A123,资金流水!$E$5:$E$504,"供应商付款",资金流水!$B$5:$B$504,"&lt;="&amp;首页!$B$7)))-$K123-$J123)</f>
        <v/>
      </c>
      <c r="J123" s="44" t="str">
        <f aca="false">IF($A123="","",MIN($F123,MAX(0,SUMIFS(期初数据!$L$6:$L$155,期初数据!$J$6:$J$155,$A123,期初数据!$K$6:$K$155,"&lt;="&amp;首页!$B$7-60)+SUMIFS(采购录入!$S$5:$S$404,采购录入!$D$5:$D$404,$A123,采购录入!$T$5:$T$404,"&lt;="&amp;首页!$B$7-60)-SUMIFS(资金流水!$N$5:$N$504,资金流水!$G$5:$G$504,$A123,资金流水!$E$5:$E$504,"供应商付款",资金流水!$B$5:$B$504,"&lt;="&amp;首页!$B$7)))-$K123)</f>
        <v/>
      </c>
      <c r="K123" s="44" t="str">
        <f aca="false">IF($A123="","",MIN($F123,MAX(0,SUMIFS(期初数据!$L$6:$L$155,期初数据!$J$6:$J$155,$A123,期初数据!$K$6:$K$155,"&lt;="&amp;首页!$B$7-90)+SUMIFS(采购录入!$S$5:$S$404,采购录入!$D$5:$D$404,$A123,采购录入!$T$5:$T$404,"&lt;="&amp;首页!$B$7-90)-SUMIFS(资金流水!$N$5:$N$504,资金流水!$G$5:$G$504,$A123,资金流水!$E$5:$E$504,"供应商付款",资金流水!$B$5:$B$504,"&lt;="&amp;首页!$B$7))))</f>
        <v/>
      </c>
      <c r="L123" s="62" t="str">
        <f aca="false">IF($A123="","",$H123+$I123+$J123+$K123)</f>
        <v/>
      </c>
      <c r="M123" s="47" t="str">
        <f aca="false">IF($A123="","",IF($K123&gt;0,"高危",IF($J123&gt;0,"关注",IF($L123&gt;0,"提醒","正常"))))</f>
        <v/>
      </c>
      <c r="N123" s="42" t="str">
        <f aca="false">IF($A123="","",基础资料!$AG123)</f>
        <v/>
      </c>
    </row>
    <row r="124" customFormat="false" ht="15.75" hidden="false" customHeight="true" outlineLevel="0" collapsed="false">
      <c r="A124" s="35" t="str">
        <f aca="false">IF(基础资料!$AF124="","",基础资料!$AF124)</f>
        <v/>
      </c>
      <c r="B124" s="42" t="str">
        <f aca="false">IF($A124="","",N(基础资料!$AH124))</f>
        <v/>
      </c>
      <c r="C124" s="54" t="str">
        <f aca="false">IF($A124="","",SUMIFS(期初数据!$L$6:$L$155,期初数据!$J$6:$J$155,$A124,期初数据!$K$6:$K$155,"&lt;"&amp;首页!$B$6)+SUMIFS(采购录入!$S$5:$S$404,采购录入!$D$5:$D$404,$A124,采购录入!$B$5:$B$404,"&lt;"&amp;首页!$B$6)-SUMIFS(资金流水!$N$5:$N$504,资金流水!$G$5:$G$504,$A124,资金流水!$E$5:$E$504,"供应商付款",资金流水!$B$5:$B$504,"&lt;"&amp;首页!$B$6))</f>
        <v/>
      </c>
      <c r="D124" s="54" t="str">
        <f aca="false">IF($A124="","",SUMIFS(采购录入!$S$5:$S$404,采购录入!$D$5:$D$404,$A124,采购录入!$C$5:$C$404,首页!$B$5))</f>
        <v/>
      </c>
      <c r="E124" s="54" t="str">
        <f aca="false">IF($A124="","",SUMIFS(资金流水!$N$5:$N$504,资金流水!$G$5:$G$504,$A124,资金流水!$E$5:$E$504,"供应商付款",资金流水!$C$5:$C$504,首页!$B$5))</f>
        <v/>
      </c>
      <c r="F124" s="62" t="str">
        <f aca="false">IF($A124="","",$C124+$D124-$E124)</f>
        <v/>
      </c>
      <c r="G124" s="44" t="str">
        <f aca="false">IF($A124="","",$F124-$H124-$I124-$J124-$K124)</f>
        <v/>
      </c>
      <c r="H124" s="44" t="str">
        <f aca="false">IF($A124="","",MIN($F124,MAX(0,SUMIFS(期初数据!$L$6:$L$155,期初数据!$J$6:$J$155,$A124,期初数据!$K$6:$K$155,"&lt;="&amp;首页!$B$7)+SUMIFS(采购录入!$S$5:$S$404,采购录入!$D$5:$D$404,$A124,采购录入!$T$5:$T$404,"&lt;="&amp;首页!$B$7)-SUMIFS(资金流水!$N$5:$N$504,资金流水!$G$5:$G$504,$A124,资金流水!$E$5:$E$504,"供应商付款",资金流水!$B$5:$B$504,"&lt;="&amp;首页!$B$7)))-$K124-$J124-$I124)</f>
        <v/>
      </c>
      <c r="I124" s="44" t="str">
        <f aca="false">IF($A124="","",MIN($F124,MAX(0,SUMIFS(期初数据!$L$6:$L$155,期初数据!$J$6:$J$155,$A124,期初数据!$K$6:$K$155,"&lt;="&amp;首页!$B$7-30)+SUMIFS(采购录入!$S$5:$S$404,采购录入!$D$5:$D$404,$A124,采购录入!$T$5:$T$404,"&lt;="&amp;首页!$B$7-30)-SUMIFS(资金流水!$N$5:$N$504,资金流水!$G$5:$G$504,$A124,资金流水!$E$5:$E$504,"供应商付款",资金流水!$B$5:$B$504,"&lt;="&amp;首页!$B$7)))-$K124-$J124)</f>
        <v/>
      </c>
      <c r="J124" s="44" t="str">
        <f aca="false">IF($A124="","",MIN($F124,MAX(0,SUMIFS(期初数据!$L$6:$L$155,期初数据!$J$6:$J$155,$A124,期初数据!$K$6:$K$155,"&lt;="&amp;首页!$B$7-60)+SUMIFS(采购录入!$S$5:$S$404,采购录入!$D$5:$D$404,$A124,采购录入!$T$5:$T$404,"&lt;="&amp;首页!$B$7-60)-SUMIFS(资金流水!$N$5:$N$504,资金流水!$G$5:$G$504,$A124,资金流水!$E$5:$E$504,"供应商付款",资金流水!$B$5:$B$504,"&lt;="&amp;首页!$B$7)))-$K124)</f>
        <v/>
      </c>
      <c r="K124" s="44" t="str">
        <f aca="false">IF($A124="","",MIN($F124,MAX(0,SUMIFS(期初数据!$L$6:$L$155,期初数据!$J$6:$J$155,$A124,期初数据!$K$6:$K$155,"&lt;="&amp;首页!$B$7-90)+SUMIFS(采购录入!$S$5:$S$404,采购录入!$D$5:$D$404,$A124,采购录入!$T$5:$T$404,"&lt;="&amp;首页!$B$7-90)-SUMIFS(资金流水!$N$5:$N$504,资金流水!$G$5:$G$504,$A124,资金流水!$E$5:$E$504,"供应商付款",资金流水!$B$5:$B$504,"&lt;="&amp;首页!$B$7))))</f>
        <v/>
      </c>
      <c r="L124" s="62" t="str">
        <f aca="false">IF($A124="","",$H124+$I124+$J124+$K124)</f>
        <v/>
      </c>
      <c r="M124" s="47" t="str">
        <f aca="false">IF($A124="","",IF($K124&gt;0,"高危",IF($J124&gt;0,"关注",IF($L124&gt;0,"提醒","正常"))))</f>
        <v/>
      </c>
      <c r="N124" s="42" t="str">
        <f aca="false">IF($A124="","",基础资料!$AG124)</f>
        <v/>
      </c>
    </row>
    <row r="125" customFormat="false" ht="15.75" hidden="false" customHeight="true" outlineLevel="0" collapsed="false">
      <c r="A125" s="35" t="str">
        <f aca="false">IF(基础资料!$AF125="","",基础资料!$AF125)</f>
        <v/>
      </c>
      <c r="B125" s="42" t="str">
        <f aca="false">IF($A125="","",N(基础资料!$AH125))</f>
        <v/>
      </c>
      <c r="C125" s="54" t="str">
        <f aca="false">IF($A125="","",SUMIFS(期初数据!$L$6:$L$155,期初数据!$J$6:$J$155,$A125,期初数据!$K$6:$K$155,"&lt;"&amp;首页!$B$6)+SUMIFS(采购录入!$S$5:$S$404,采购录入!$D$5:$D$404,$A125,采购录入!$B$5:$B$404,"&lt;"&amp;首页!$B$6)-SUMIFS(资金流水!$N$5:$N$504,资金流水!$G$5:$G$504,$A125,资金流水!$E$5:$E$504,"供应商付款",资金流水!$B$5:$B$504,"&lt;"&amp;首页!$B$6))</f>
        <v/>
      </c>
      <c r="D125" s="54" t="str">
        <f aca="false">IF($A125="","",SUMIFS(采购录入!$S$5:$S$404,采购录入!$D$5:$D$404,$A125,采购录入!$C$5:$C$404,首页!$B$5))</f>
        <v/>
      </c>
      <c r="E125" s="54" t="str">
        <f aca="false">IF($A125="","",SUMIFS(资金流水!$N$5:$N$504,资金流水!$G$5:$G$504,$A125,资金流水!$E$5:$E$504,"供应商付款",资金流水!$C$5:$C$504,首页!$B$5))</f>
        <v/>
      </c>
      <c r="F125" s="62" t="str">
        <f aca="false">IF($A125="","",$C125+$D125-$E125)</f>
        <v/>
      </c>
      <c r="G125" s="44" t="str">
        <f aca="false">IF($A125="","",$F125-$H125-$I125-$J125-$K125)</f>
        <v/>
      </c>
      <c r="H125" s="44" t="str">
        <f aca="false">IF($A125="","",MIN($F125,MAX(0,SUMIFS(期初数据!$L$6:$L$155,期初数据!$J$6:$J$155,$A125,期初数据!$K$6:$K$155,"&lt;="&amp;首页!$B$7)+SUMIFS(采购录入!$S$5:$S$404,采购录入!$D$5:$D$404,$A125,采购录入!$T$5:$T$404,"&lt;="&amp;首页!$B$7)-SUMIFS(资金流水!$N$5:$N$504,资金流水!$G$5:$G$504,$A125,资金流水!$E$5:$E$504,"供应商付款",资金流水!$B$5:$B$504,"&lt;="&amp;首页!$B$7)))-$K125-$J125-$I125)</f>
        <v/>
      </c>
      <c r="I125" s="44" t="str">
        <f aca="false">IF($A125="","",MIN($F125,MAX(0,SUMIFS(期初数据!$L$6:$L$155,期初数据!$J$6:$J$155,$A125,期初数据!$K$6:$K$155,"&lt;="&amp;首页!$B$7-30)+SUMIFS(采购录入!$S$5:$S$404,采购录入!$D$5:$D$404,$A125,采购录入!$T$5:$T$404,"&lt;="&amp;首页!$B$7-30)-SUMIFS(资金流水!$N$5:$N$504,资金流水!$G$5:$G$504,$A125,资金流水!$E$5:$E$504,"供应商付款",资金流水!$B$5:$B$504,"&lt;="&amp;首页!$B$7)))-$K125-$J125)</f>
        <v/>
      </c>
      <c r="J125" s="44" t="str">
        <f aca="false">IF($A125="","",MIN($F125,MAX(0,SUMIFS(期初数据!$L$6:$L$155,期初数据!$J$6:$J$155,$A125,期初数据!$K$6:$K$155,"&lt;="&amp;首页!$B$7-60)+SUMIFS(采购录入!$S$5:$S$404,采购录入!$D$5:$D$404,$A125,采购录入!$T$5:$T$404,"&lt;="&amp;首页!$B$7-60)-SUMIFS(资金流水!$N$5:$N$504,资金流水!$G$5:$G$504,$A125,资金流水!$E$5:$E$504,"供应商付款",资金流水!$B$5:$B$504,"&lt;="&amp;首页!$B$7)))-$K125)</f>
        <v/>
      </c>
      <c r="K125" s="44" t="str">
        <f aca="false">IF($A125="","",MIN($F125,MAX(0,SUMIFS(期初数据!$L$6:$L$155,期初数据!$J$6:$J$155,$A125,期初数据!$K$6:$K$155,"&lt;="&amp;首页!$B$7-90)+SUMIFS(采购录入!$S$5:$S$404,采购录入!$D$5:$D$404,$A125,采购录入!$T$5:$T$404,"&lt;="&amp;首页!$B$7-90)-SUMIFS(资金流水!$N$5:$N$504,资金流水!$G$5:$G$504,$A125,资金流水!$E$5:$E$504,"供应商付款",资金流水!$B$5:$B$504,"&lt;="&amp;首页!$B$7))))</f>
        <v/>
      </c>
      <c r="L125" s="62" t="str">
        <f aca="false">IF($A125="","",$H125+$I125+$J125+$K125)</f>
        <v/>
      </c>
      <c r="M125" s="47" t="str">
        <f aca="false">IF($A125="","",IF($K125&gt;0,"高危",IF($J125&gt;0,"关注",IF($L125&gt;0,"提醒","正常"))))</f>
        <v/>
      </c>
      <c r="N125" s="42" t="str">
        <f aca="false">IF($A125="","",基础资料!$AG125)</f>
        <v/>
      </c>
    </row>
    <row r="126" customFormat="false" ht="15.75" hidden="false" customHeight="true" outlineLevel="0" collapsed="false">
      <c r="A126" s="35" t="str">
        <f aca="false">IF(基础资料!$AF126="","",基础资料!$AF126)</f>
        <v/>
      </c>
      <c r="B126" s="42" t="str">
        <f aca="false">IF($A126="","",N(基础资料!$AH126))</f>
        <v/>
      </c>
      <c r="C126" s="54" t="str">
        <f aca="false">IF($A126="","",SUMIFS(期初数据!$L$6:$L$155,期初数据!$J$6:$J$155,$A126,期初数据!$K$6:$K$155,"&lt;"&amp;首页!$B$6)+SUMIFS(采购录入!$S$5:$S$404,采购录入!$D$5:$D$404,$A126,采购录入!$B$5:$B$404,"&lt;"&amp;首页!$B$6)-SUMIFS(资金流水!$N$5:$N$504,资金流水!$G$5:$G$504,$A126,资金流水!$E$5:$E$504,"供应商付款",资金流水!$B$5:$B$504,"&lt;"&amp;首页!$B$6))</f>
        <v/>
      </c>
      <c r="D126" s="54" t="str">
        <f aca="false">IF($A126="","",SUMIFS(采购录入!$S$5:$S$404,采购录入!$D$5:$D$404,$A126,采购录入!$C$5:$C$404,首页!$B$5))</f>
        <v/>
      </c>
      <c r="E126" s="54" t="str">
        <f aca="false">IF($A126="","",SUMIFS(资金流水!$N$5:$N$504,资金流水!$G$5:$G$504,$A126,资金流水!$E$5:$E$504,"供应商付款",资金流水!$C$5:$C$504,首页!$B$5))</f>
        <v/>
      </c>
      <c r="F126" s="62" t="str">
        <f aca="false">IF($A126="","",$C126+$D126-$E126)</f>
        <v/>
      </c>
      <c r="G126" s="44" t="str">
        <f aca="false">IF($A126="","",$F126-$H126-$I126-$J126-$K126)</f>
        <v/>
      </c>
      <c r="H126" s="44" t="str">
        <f aca="false">IF($A126="","",MIN($F126,MAX(0,SUMIFS(期初数据!$L$6:$L$155,期初数据!$J$6:$J$155,$A126,期初数据!$K$6:$K$155,"&lt;="&amp;首页!$B$7)+SUMIFS(采购录入!$S$5:$S$404,采购录入!$D$5:$D$404,$A126,采购录入!$T$5:$T$404,"&lt;="&amp;首页!$B$7)-SUMIFS(资金流水!$N$5:$N$504,资金流水!$G$5:$G$504,$A126,资金流水!$E$5:$E$504,"供应商付款",资金流水!$B$5:$B$504,"&lt;="&amp;首页!$B$7)))-$K126-$J126-$I126)</f>
        <v/>
      </c>
      <c r="I126" s="44" t="str">
        <f aca="false">IF($A126="","",MIN($F126,MAX(0,SUMIFS(期初数据!$L$6:$L$155,期初数据!$J$6:$J$155,$A126,期初数据!$K$6:$K$155,"&lt;="&amp;首页!$B$7-30)+SUMIFS(采购录入!$S$5:$S$404,采购录入!$D$5:$D$404,$A126,采购录入!$T$5:$T$404,"&lt;="&amp;首页!$B$7-30)-SUMIFS(资金流水!$N$5:$N$504,资金流水!$G$5:$G$504,$A126,资金流水!$E$5:$E$504,"供应商付款",资金流水!$B$5:$B$504,"&lt;="&amp;首页!$B$7)))-$K126-$J126)</f>
        <v/>
      </c>
      <c r="J126" s="44" t="str">
        <f aca="false">IF($A126="","",MIN($F126,MAX(0,SUMIFS(期初数据!$L$6:$L$155,期初数据!$J$6:$J$155,$A126,期初数据!$K$6:$K$155,"&lt;="&amp;首页!$B$7-60)+SUMIFS(采购录入!$S$5:$S$404,采购录入!$D$5:$D$404,$A126,采购录入!$T$5:$T$404,"&lt;="&amp;首页!$B$7-60)-SUMIFS(资金流水!$N$5:$N$504,资金流水!$G$5:$G$504,$A126,资金流水!$E$5:$E$504,"供应商付款",资金流水!$B$5:$B$504,"&lt;="&amp;首页!$B$7)))-$K126)</f>
        <v/>
      </c>
      <c r="K126" s="44" t="str">
        <f aca="false">IF($A126="","",MIN($F126,MAX(0,SUMIFS(期初数据!$L$6:$L$155,期初数据!$J$6:$J$155,$A126,期初数据!$K$6:$K$155,"&lt;="&amp;首页!$B$7-90)+SUMIFS(采购录入!$S$5:$S$404,采购录入!$D$5:$D$404,$A126,采购录入!$T$5:$T$404,"&lt;="&amp;首页!$B$7-90)-SUMIFS(资金流水!$N$5:$N$504,资金流水!$G$5:$G$504,$A126,资金流水!$E$5:$E$504,"供应商付款",资金流水!$B$5:$B$504,"&lt;="&amp;首页!$B$7))))</f>
        <v/>
      </c>
      <c r="L126" s="62" t="str">
        <f aca="false">IF($A126="","",$H126+$I126+$J126+$K126)</f>
        <v/>
      </c>
      <c r="M126" s="47" t="str">
        <f aca="false">IF($A126="","",IF($K126&gt;0,"高危",IF($J126&gt;0,"关注",IF($L126&gt;0,"提醒","正常"))))</f>
        <v/>
      </c>
      <c r="N126" s="42" t="str">
        <f aca="false">IF($A126="","",基础资料!$AG126)</f>
        <v/>
      </c>
    </row>
    <row r="127" customFormat="false" ht="15.75" hidden="false" customHeight="true" outlineLevel="0" collapsed="false">
      <c r="A127" s="35" t="str">
        <f aca="false">IF(基础资料!$AF127="","",基础资料!$AF127)</f>
        <v/>
      </c>
      <c r="B127" s="42" t="str">
        <f aca="false">IF($A127="","",N(基础资料!$AH127))</f>
        <v/>
      </c>
      <c r="C127" s="54" t="str">
        <f aca="false">IF($A127="","",SUMIFS(期初数据!$L$6:$L$155,期初数据!$J$6:$J$155,$A127,期初数据!$K$6:$K$155,"&lt;"&amp;首页!$B$6)+SUMIFS(采购录入!$S$5:$S$404,采购录入!$D$5:$D$404,$A127,采购录入!$B$5:$B$404,"&lt;"&amp;首页!$B$6)-SUMIFS(资金流水!$N$5:$N$504,资金流水!$G$5:$G$504,$A127,资金流水!$E$5:$E$504,"供应商付款",资金流水!$B$5:$B$504,"&lt;"&amp;首页!$B$6))</f>
        <v/>
      </c>
      <c r="D127" s="54" t="str">
        <f aca="false">IF($A127="","",SUMIFS(采购录入!$S$5:$S$404,采购录入!$D$5:$D$404,$A127,采购录入!$C$5:$C$404,首页!$B$5))</f>
        <v/>
      </c>
      <c r="E127" s="54" t="str">
        <f aca="false">IF($A127="","",SUMIFS(资金流水!$N$5:$N$504,资金流水!$G$5:$G$504,$A127,资金流水!$E$5:$E$504,"供应商付款",资金流水!$C$5:$C$504,首页!$B$5))</f>
        <v/>
      </c>
      <c r="F127" s="62" t="str">
        <f aca="false">IF($A127="","",$C127+$D127-$E127)</f>
        <v/>
      </c>
      <c r="G127" s="44" t="str">
        <f aca="false">IF($A127="","",$F127-$H127-$I127-$J127-$K127)</f>
        <v/>
      </c>
      <c r="H127" s="44" t="str">
        <f aca="false">IF($A127="","",MIN($F127,MAX(0,SUMIFS(期初数据!$L$6:$L$155,期初数据!$J$6:$J$155,$A127,期初数据!$K$6:$K$155,"&lt;="&amp;首页!$B$7)+SUMIFS(采购录入!$S$5:$S$404,采购录入!$D$5:$D$404,$A127,采购录入!$T$5:$T$404,"&lt;="&amp;首页!$B$7)-SUMIFS(资金流水!$N$5:$N$504,资金流水!$G$5:$G$504,$A127,资金流水!$E$5:$E$504,"供应商付款",资金流水!$B$5:$B$504,"&lt;="&amp;首页!$B$7)))-$K127-$J127-$I127)</f>
        <v/>
      </c>
      <c r="I127" s="44" t="str">
        <f aca="false">IF($A127="","",MIN($F127,MAX(0,SUMIFS(期初数据!$L$6:$L$155,期初数据!$J$6:$J$155,$A127,期初数据!$K$6:$K$155,"&lt;="&amp;首页!$B$7-30)+SUMIFS(采购录入!$S$5:$S$404,采购录入!$D$5:$D$404,$A127,采购录入!$T$5:$T$404,"&lt;="&amp;首页!$B$7-30)-SUMIFS(资金流水!$N$5:$N$504,资金流水!$G$5:$G$504,$A127,资金流水!$E$5:$E$504,"供应商付款",资金流水!$B$5:$B$504,"&lt;="&amp;首页!$B$7)))-$K127-$J127)</f>
        <v/>
      </c>
      <c r="J127" s="44" t="str">
        <f aca="false">IF($A127="","",MIN($F127,MAX(0,SUMIFS(期初数据!$L$6:$L$155,期初数据!$J$6:$J$155,$A127,期初数据!$K$6:$K$155,"&lt;="&amp;首页!$B$7-60)+SUMIFS(采购录入!$S$5:$S$404,采购录入!$D$5:$D$404,$A127,采购录入!$T$5:$T$404,"&lt;="&amp;首页!$B$7-60)-SUMIFS(资金流水!$N$5:$N$504,资金流水!$G$5:$G$504,$A127,资金流水!$E$5:$E$504,"供应商付款",资金流水!$B$5:$B$504,"&lt;="&amp;首页!$B$7)))-$K127)</f>
        <v/>
      </c>
      <c r="K127" s="44" t="str">
        <f aca="false">IF($A127="","",MIN($F127,MAX(0,SUMIFS(期初数据!$L$6:$L$155,期初数据!$J$6:$J$155,$A127,期初数据!$K$6:$K$155,"&lt;="&amp;首页!$B$7-90)+SUMIFS(采购录入!$S$5:$S$404,采购录入!$D$5:$D$404,$A127,采购录入!$T$5:$T$404,"&lt;="&amp;首页!$B$7-90)-SUMIFS(资金流水!$N$5:$N$504,资金流水!$G$5:$G$504,$A127,资金流水!$E$5:$E$504,"供应商付款",资金流水!$B$5:$B$504,"&lt;="&amp;首页!$B$7))))</f>
        <v/>
      </c>
      <c r="L127" s="62" t="str">
        <f aca="false">IF($A127="","",$H127+$I127+$J127+$K127)</f>
        <v/>
      </c>
      <c r="M127" s="47" t="str">
        <f aca="false">IF($A127="","",IF($K127&gt;0,"高危",IF($J127&gt;0,"关注",IF($L127&gt;0,"提醒","正常"))))</f>
        <v/>
      </c>
      <c r="N127" s="42" t="str">
        <f aca="false">IF($A127="","",基础资料!$AG127)</f>
        <v/>
      </c>
    </row>
    <row r="128" customFormat="false" ht="15.75" hidden="false" customHeight="true" outlineLevel="0" collapsed="false">
      <c r="A128" s="35" t="str">
        <f aca="false">IF(基础资料!$AF128="","",基础资料!$AF128)</f>
        <v/>
      </c>
      <c r="B128" s="42" t="str">
        <f aca="false">IF($A128="","",N(基础资料!$AH128))</f>
        <v/>
      </c>
      <c r="C128" s="54" t="str">
        <f aca="false">IF($A128="","",SUMIFS(期初数据!$L$6:$L$155,期初数据!$J$6:$J$155,$A128,期初数据!$K$6:$K$155,"&lt;"&amp;首页!$B$6)+SUMIFS(采购录入!$S$5:$S$404,采购录入!$D$5:$D$404,$A128,采购录入!$B$5:$B$404,"&lt;"&amp;首页!$B$6)-SUMIFS(资金流水!$N$5:$N$504,资金流水!$G$5:$G$504,$A128,资金流水!$E$5:$E$504,"供应商付款",资金流水!$B$5:$B$504,"&lt;"&amp;首页!$B$6))</f>
        <v/>
      </c>
      <c r="D128" s="54" t="str">
        <f aca="false">IF($A128="","",SUMIFS(采购录入!$S$5:$S$404,采购录入!$D$5:$D$404,$A128,采购录入!$C$5:$C$404,首页!$B$5))</f>
        <v/>
      </c>
      <c r="E128" s="54" t="str">
        <f aca="false">IF($A128="","",SUMIFS(资金流水!$N$5:$N$504,资金流水!$G$5:$G$504,$A128,资金流水!$E$5:$E$504,"供应商付款",资金流水!$C$5:$C$504,首页!$B$5))</f>
        <v/>
      </c>
      <c r="F128" s="62" t="str">
        <f aca="false">IF($A128="","",$C128+$D128-$E128)</f>
        <v/>
      </c>
      <c r="G128" s="44" t="str">
        <f aca="false">IF($A128="","",$F128-$H128-$I128-$J128-$K128)</f>
        <v/>
      </c>
      <c r="H128" s="44" t="str">
        <f aca="false">IF($A128="","",MIN($F128,MAX(0,SUMIFS(期初数据!$L$6:$L$155,期初数据!$J$6:$J$155,$A128,期初数据!$K$6:$K$155,"&lt;="&amp;首页!$B$7)+SUMIFS(采购录入!$S$5:$S$404,采购录入!$D$5:$D$404,$A128,采购录入!$T$5:$T$404,"&lt;="&amp;首页!$B$7)-SUMIFS(资金流水!$N$5:$N$504,资金流水!$G$5:$G$504,$A128,资金流水!$E$5:$E$504,"供应商付款",资金流水!$B$5:$B$504,"&lt;="&amp;首页!$B$7)))-$K128-$J128-$I128)</f>
        <v/>
      </c>
      <c r="I128" s="44" t="str">
        <f aca="false">IF($A128="","",MIN($F128,MAX(0,SUMIFS(期初数据!$L$6:$L$155,期初数据!$J$6:$J$155,$A128,期初数据!$K$6:$K$155,"&lt;="&amp;首页!$B$7-30)+SUMIFS(采购录入!$S$5:$S$404,采购录入!$D$5:$D$404,$A128,采购录入!$T$5:$T$404,"&lt;="&amp;首页!$B$7-30)-SUMIFS(资金流水!$N$5:$N$504,资金流水!$G$5:$G$504,$A128,资金流水!$E$5:$E$504,"供应商付款",资金流水!$B$5:$B$504,"&lt;="&amp;首页!$B$7)))-$K128-$J128)</f>
        <v/>
      </c>
      <c r="J128" s="44" t="str">
        <f aca="false">IF($A128="","",MIN($F128,MAX(0,SUMIFS(期初数据!$L$6:$L$155,期初数据!$J$6:$J$155,$A128,期初数据!$K$6:$K$155,"&lt;="&amp;首页!$B$7-60)+SUMIFS(采购录入!$S$5:$S$404,采购录入!$D$5:$D$404,$A128,采购录入!$T$5:$T$404,"&lt;="&amp;首页!$B$7-60)-SUMIFS(资金流水!$N$5:$N$504,资金流水!$G$5:$G$504,$A128,资金流水!$E$5:$E$504,"供应商付款",资金流水!$B$5:$B$504,"&lt;="&amp;首页!$B$7)))-$K128)</f>
        <v/>
      </c>
      <c r="K128" s="44" t="str">
        <f aca="false">IF($A128="","",MIN($F128,MAX(0,SUMIFS(期初数据!$L$6:$L$155,期初数据!$J$6:$J$155,$A128,期初数据!$K$6:$K$155,"&lt;="&amp;首页!$B$7-90)+SUMIFS(采购录入!$S$5:$S$404,采购录入!$D$5:$D$404,$A128,采购录入!$T$5:$T$404,"&lt;="&amp;首页!$B$7-90)-SUMIFS(资金流水!$N$5:$N$504,资金流水!$G$5:$G$504,$A128,资金流水!$E$5:$E$504,"供应商付款",资金流水!$B$5:$B$504,"&lt;="&amp;首页!$B$7))))</f>
        <v/>
      </c>
      <c r="L128" s="62" t="str">
        <f aca="false">IF($A128="","",$H128+$I128+$J128+$K128)</f>
        <v/>
      </c>
      <c r="M128" s="47" t="str">
        <f aca="false">IF($A128="","",IF($K128&gt;0,"高危",IF($J128&gt;0,"关注",IF($L128&gt;0,"提醒","正常"))))</f>
        <v/>
      </c>
      <c r="N128" s="42" t="str">
        <f aca="false">IF($A128="","",基础资料!$AG128)</f>
        <v/>
      </c>
    </row>
    <row r="129" customFormat="false" ht="15.75" hidden="false" customHeight="true" outlineLevel="0" collapsed="false">
      <c r="A129" s="35" t="str">
        <f aca="false">IF(基础资料!$AF129="","",基础资料!$AF129)</f>
        <v/>
      </c>
      <c r="B129" s="42" t="str">
        <f aca="false">IF($A129="","",N(基础资料!$AH129))</f>
        <v/>
      </c>
      <c r="C129" s="54" t="str">
        <f aca="false">IF($A129="","",SUMIFS(期初数据!$L$6:$L$155,期初数据!$J$6:$J$155,$A129,期初数据!$K$6:$K$155,"&lt;"&amp;首页!$B$6)+SUMIFS(采购录入!$S$5:$S$404,采购录入!$D$5:$D$404,$A129,采购录入!$B$5:$B$404,"&lt;"&amp;首页!$B$6)-SUMIFS(资金流水!$N$5:$N$504,资金流水!$G$5:$G$504,$A129,资金流水!$E$5:$E$504,"供应商付款",资金流水!$B$5:$B$504,"&lt;"&amp;首页!$B$6))</f>
        <v/>
      </c>
      <c r="D129" s="54" t="str">
        <f aca="false">IF($A129="","",SUMIFS(采购录入!$S$5:$S$404,采购录入!$D$5:$D$404,$A129,采购录入!$C$5:$C$404,首页!$B$5))</f>
        <v/>
      </c>
      <c r="E129" s="54" t="str">
        <f aca="false">IF($A129="","",SUMIFS(资金流水!$N$5:$N$504,资金流水!$G$5:$G$504,$A129,资金流水!$E$5:$E$504,"供应商付款",资金流水!$C$5:$C$504,首页!$B$5))</f>
        <v/>
      </c>
      <c r="F129" s="62" t="str">
        <f aca="false">IF($A129="","",$C129+$D129-$E129)</f>
        <v/>
      </c>
      <c r="G129" s="44" t="str">
        <f aca="false">IF($A129="","",$F129-$H129-$I129-$J129-$K129)</f>
        <v/>
      </c>
      <c r="H129" s="44" t="str">
        <f aca="false">IF($A129="","",MIN($F129,MAX(0,SUMIFS(期初数据!$L$6:$L$155,期初数据!$J$6:$J$155,$A129,期初数据!$K$6:$K$155,"&lt;="&amp;首页!$B$7)+SUMIFS(采购录入!$S$5:$S$404,采购录入!$D$5:$D$404,$A129,采购录入!$T$5:$T$404,"&lt;="&amp;首页!$B$7)-SUMIFS(资金流水!$N$5:$N$504,资金流水!$G$5:$G$504,$A129,资金流水!$E$5:$E$504,"供应商付款",资金流水!$B$5:$B$504,"&lt;="&amp;首页!$B$7)))-$K129-$J129-$I129)</f>
        <v/>
      </c>
      <c r="I129" s="44" t="str">
        <f aca="false">IF($A129="","",MIN($F129,MAX(0,SUMIFS(期初数据!$L$6:$L$155,期初数据!$J$6:$J$155,$A129,期初数据!$K$6:$K$155,"&lt;="&amp;首页!$B$7-30)+SUMIFS(采购录入!$S$5:$S$404,采购录入!$D$5:$D$404,$A129,采购录入!$T$5:$T$404,"&lt;="&amp;首页!$B$7-30)-SUMIFS(资金流水!$N$5:$N$504,资金流水!$G$5:$G$504,$A129,资金流水!$E$5:$E$504,"供应商付款",资金流水!$B$5:$B$504,"&lt;="&amp;首页!$B$7)))-$K129-$J129)</f>
        <v/>
      </c>
      <c r="J129" s="44" t="str">
        <f aca="false">IF($A129="","",MIN($F129,MAX(0,SUMIFS(期初数据!$L$6:$L$155,期初数据!$J$6:$J$155,$A129,期初数据!$K$6:$K$155,"&lt;="&amp;首页!$B$7-60)+SUMIFS(采购录入!$S$5:$S$404,采购录入!$D$5:$D$404,$A129,采购录入!$T$5:$T$404,"&lt;="&amp;首页!$B$7-60)-SUMIFS(资金流水!$N$5:$N$504,资金流水!$G$5:$G$504,$A129,资金流水!$E$5:$E$504,"供应商付款",资金流水!$B$5:$B$504,"&lt;="&amp;首页!$B$7)))-$K129)</f>
        <v/>
      </c>
      <c r="K129" s="44" t="str">
        <f aca="false">IF($A129="","",MIN($F129,MAX(0,SUMIFS(期初数据!$L$6:$L$155,期初数据!$J$6:$J$155,$A129,期初数据!$K$6:$K$155,"&lt;="&amp;首页!$B$7-90)+SUMIFS(采购录入!$S$5:$S$404,采购录入!$D$5:$D$404,$A129,采购录入!$T$5:$T$404,"&lt;="&amp;首页!$B$7-90)-SUMIFS(资金流水!$N$5:$N$504,资金流水!$G$5:$G$504,$A129,资金流水!$E$5:$E$504,"供应商付款",资金流水!$B$5:$B$504,"&lt;="&amp;首页!$B$7))))</f>
        <v/>
      </c>
      <c r="L129" s="62" t="str">
        <f aca="false">IF($A129="","",$H129+$I129+$J129+$K129)</f>
        <v/>
      </c>
      <c r="M129" s="47" t="str">
        <f aca="false">IF($A129="","",IF($K129&gt;0,"高危",IF($J129&gt;0,"关注",IF($L129&gt;0,"提醒","正常"))))</f>
        <v/>
      </c>
      <c r="N129" s="42" t="str">
        <f aca="false">IF($A129="","",基础资料!$AG129)</f>
        <v/>
      </c>
    </row>
    <row r="130" customFormat="false" ht="15.75" hidden="false" customHeight="true" outlineLevel="0" collapsed="false">
      <c r="A130" s="35" t="str">
        <f aca="false">IF(基础资料!$AF130="","",基础资料!$AF130)</f>
        <v/>
      </c>
      <c r="B130" s="42" t="str">
        <f aca="false">IF($A130="","",N(基础资料!$AH130))</f>
        <v/>
      </c>
      <c r="C130" s="54" t="str">
        <f aca="false">IF($A130="","",SUMIFS(期初数据!$L$6:$L$155,期初数据!$J$6:$J$155,$A130,期初数据!$K$6:$K$155,"&lt;"&amp;首页!$B$6)+SUMIFS(采购录入!$S$5:$S$404,采购录入!$D$5:$D$404,$A130,采购录入!$B$5:$B$404,"&lt;"&amp;首页!$B$6)-SUMIFS(资金流水!$N$5:$N$504,资金流水!$G$5:$G$504,$A130,资金流水!$E$5:$E$504,"供应商付款",资金流水!$B$5:$B$504,"&lt;"&amp;首页!$B$6))</f>
        <v/>
      </c>
      <c r="D130" s="54" t="str">
        <f aca="false">IF($A130="","",SUMIFS(采购录入!$S$5:$S$404,采购录入!$D$5:$D$404,$A130,采购录入!$C$5:$C$404,首页!$B$5))</f>
        <v/>
      </c>
      <c r="E130" s="54" t="str">
        <f aca="false">IF($A130="","",SUMIFS(资金流水!$N$5:$N$504,资金流水!$G$5:$G$504,$A130,资金流水!$E$5:$E$504,"供应商付款",资金流水!$C$5:$C$504,首页!$B$5))</f>
        <v/>
      </c>
      <c r="F130" s="62" t="str">
        <f aca="false">IF($A130="","",$C130+$D130-$E130)</f>
        <v/>
      </c>
      <c r="G130" s="44" t="str">
        <f aca="false">IF($A130="","",$F130-$H130-$I130-$J130-$K130)</f>
        <v/>
      </c>
      <c r="H130" s="44" t="str">
        <f aca="false">IF($A130="","",MIN($F130,MAX(0,SUMIFS(期初数据!$L$6:$L$155,期初数据!$J$6:$J$155,$A130,期初数据!$K$6:$K$155,"&lt;="&amp;首页!$B$7)+SUMIFS(采购录入!$S$5:$S$404,采购录入!$D$5:$D$404,$A130,采购录入!$T$5:$T$404,"&lt;="&amp;首页!$B$7)-SUMIFS(资金流水!$N$5:$N$504,资金流水!$G$5:$G$504,$A130,资金流水!$E$5:$E$504,"供应商付款",资金流水!$B$5:$B$504,"&lt;="&amp;首页!$B$7)))-$K130-$J130-$I130)</f>
        <v/>
      </c>
      <c r="I130" s="44" t="str">
        <f aca="false">IF($A130="","",MIN($F130,MAX(0,SUMIFS(期初数据!$L$6:$L$155,期初数据!$J$6:$J$155,$A130,期初数据!$K$6:$K$155,"&lt;="&amp;首页!$B$7-30)+SUMIFS(采购录入!$S$5:$S$404,采购录入!$D$5:$D$404,$A130,采购录入!$T$5:$T$404,"&lt;="&amp;首页!$B$7-30)-SUMIFS(资金流水!$N$5:$N$504,资金流水!$G$5:$G$504,$A130,资金流水!$E$5:$E$504,"供应商付款",资金流水!$B$5:$B$504,"&lt;="&amp;首页!$B$7)))-$K130-$J130)</f>
        <v/>
      </c>
      <c r="J130" s="44" t="str">
        <f aca="false">IF($A130="","",MIN($F130,MAX(0,SUMIFS(期初数据!$L$6:$L$155,期初数据!$J$6:$J$155,$A130,期初数据!$K$6:$K$155,"&lt;="&amp;首页!$B$7-60)+SUMIFS(采购录入!$S$5:$S$404,采购录入!$D$5:$D$404,$A130,采购录入!$T$5:$T$404,"&lt;="&amp;首页!$B$7-60)-SUMIFS(资金流水!$N$5:$N$504,资金流水!$G$5:$G$504,$A130,资金流水!$E$5:$E$504,"供应商付款",资金流水!$B$5:$B$504,"&lt;="&amp;首页!$B$7)))-$K130)</f>
        <v/>
      </c>
      <c r="K130" s="44" t="str">
        <f aca="false">IF($A130="","",MIN($F130,MAX(0,SUMIFS(期初数据!$L$6:$L$155,期初数据!$J$6:$J$155,$A130,期初数据!$K$6:$K$155,"&lt;="&amp;首页!$B$7-90)+SUMIFS(采购录入!$S$5:$S$404,采购录入!$D$5:$D$404,$A130,采购录入!$T$5:$T$404,"&lt;="&amp;首页!$B$7-90)-SUMIFS(资金流水!$N$5:$N$504,资金流水!$G$5:$G$504,$A130,资金流水!$E$5:$E$504,"供应商付款",资金流水!$B$5:$B$504,"&lt;="&amp;首页!$B$7))))</f>
        <v/>
      </c>
      <c r="L130" s="62" t="str">
        <f aca="false">IF($A130="","",$H130+$I130+$J130+$K130)</f>
        <v/>
      </c>
      <c r="M130" s="47" t="str">
        <f aca="false">IF($A130="","",IF($K130&gt;0,"高危",IF($J130&gt;0,"关注",IF($L130&gt;0,"提醒","正常"))))</f>
        <v/>
      </c>
      <c r="N130" s="42" t="str">
        <f aca="false">IF($A130="","",基础资料!$AG130)</f>
        <v/>
      </c>
    </row>
    <row r="131" customFormat="false" ht="15.75" hidden="false" customHeight="true" outlineLevel="0" collapsed="false">
      <c r="A131" s="35" t="str">
        <f aca="false">IF(基础资料!$AF131="","",基础资料!$AF131)</f>
        <v/>
      </c>
      <c r="B131" s="42" t="str">
        <f aca="false">IF($A131="","",N(基础资料!$AH131))</f>
        <v/>
      </c>
      <c r="C131" s="54" t="str">
        <f aca="false">IF($A131="","",SUMIFS(期初数据!$L$6:$L$155,期初数据!$J$6:$J$155,$A131,期初数据!$K$6:$K$155,"&lt;"&amp;首页!$B$6)+SUMIFS(采购录入!$S$5:$S$404,采购录入!$D$5:$D$404,$A131,采购录入!$B$5:$B$404,"&lt;"&amp;首页!$B$6)-SUMIFS(资金流水!$N$5:$N$504,资金流水!$G$5:$G$504,$A131,资金流水!$E$5:$E$504,"供应商付款",资金流水!$B$5:$B$504,"&lt;"&amp;首页!$B$6))</f>
        <v/>
      </c>
      <c r="D131" s="54" t="str">
        <f aca="false">IF($A131="","",SUMIFS(采购录入!$S$5:$S$404,采购录入!$D$5:$D$404,$A131,采购录入!$C$5:$C$404,首页!$B$5))</f>
        <v/>
      </c>
      <c r="E131" s="54" t="str">
        <f aca="false">IF($A131="","",SUMIFS(资金流水!$N$5:$N$504,资金流水!$G$5:$G$504,$A131,资金流水!$E$5:$E$504,"供应商付款",资金流水!$C$5:$C$504,首页!$B$5))</f>
        <v/>
      </c>
      <c r="F131" s="62" t="str">
        <f aca="false">IF($A131="","",$C131+$D131-$E131)</f>
        <v/>
      </c>
      <c r="G131" s="44" t="str">
        <f aca="false">IF($A131="","",$F131-$H131-$I131-$J131-$K131)</f>
        <v/>
      </c>
      <c r="H131" s="44" t="str">
        <f aca="false">IF($A131="","",MIN($F131,MAX(0,SUMIFS(期初数据!$L$6:$L$155,期初数据!$J$6:$J$155,$A131,期初数据!$K$6:$K$155,"&lt;="&amp;首页!$B$7)+SUMIFS(采购录入!$S$5:$S$404,采购录入!$D$5:$D$404,$A131,采购录入!$T$5:$T$404,"&lt;="&amp;首页!$B$7)-SUMIFS(资金流水!$N$5:$N$504,资金流水!$G$5:$G$504,$A131,资金流水!$E$5:$E$504,"供应商付款",资金流水!$B$5:$B$504,"&lt;="&amp;首页!$B$7)))-$K131-$J131-$I131)</f>
        <v/>
      </c>
      <c r="I131" s="44" t="str">
        <f aca="false">IF($A131="","",MIN($F131,MAX(0,SUMIFS(期初数据!$L$6:$L$155,期初数据!$J$6:$J$155,$A131,期初数据!$K$6:$K$155,"&lt;="&amp;首页!$B$7-30)+SUMIFS(采购录入!$S$5:$S$404,采购录入!$D$5:$D$404,$A131,采购录入!$T$5:$T$404,"&lt;="&amp;首页!$B$7-30)-SUMIFS(资金流水!$N$5:$N$504,资金流水!$G$5:$G$504,$A131,资金流水!$E$5:$E$504,"供应商付款",资金流水!$B$5:$B$504,"&lt;="&amp;首页!$B$7)))-$K131-$J131)</f>
        <v/>
      </c>
      <c r="J131" s="44" t="str">
        <f aca="false">IF($A131="","",MIN($F131,MAX(0,SUMIFS(期初数据!$L$6:$L$155,期初数据!$J$6:$J$155,$A131,期初数据!$K$6:$K$155,"&lt;="&amp;首页!$B$7-60)+SUMIFS(采购录入!$S$5:$S$404,采购录入!$D$5:$D$404,$A131,采购录入!$T$5:$T$404,"&lt;="&amp;首页!$B$7-60)-SUMIFS(资金流水!$N$5:$N$504,资金流水!$G$5:$G$504,$A131,资金流水!$E$5:$E$504,"供应商付款",资金流水!$B$5:$B$504,"&lt;="&amp;首页!$B$7)))-$K131)</f>
        <v/>
      </c>
      <c r="K131" s="44" t="str">
        <f aca="false">IF($A131="","",MIN($F131,MAX(0,SUMIFS(期初数据!$L$6:$L$155,期初数据!$J$6:$J$155,$A131,期初数据!$K$6:$K$155,"&lt;="&amp;首页!$B$7-90)+SUMIFS(采购录入!$S$5:$S$404,采购录入!$D$5:$D$404,$A131,采购录入!$T$5:$T$404,"&lt;="&amp;首页!$B$7-90)-SUMIFS(资金流水!$N$5:$N$504,资金流水!$G$5:$G$504,$A131,资金流水!$E$5:$E$504,"供应商付款",资金流水!$B$5:$B$504,"&lt;="&amp;首页!$B$7))))</f>
        <v/>
      </c>
      <c r="L131" s="62" t="str">
        <f aca="false">IF($A131="","",$H131+$I131+$J131+$K131)</f>
        <v/>
      </c>
      <c r="M131" s="47" t="str">
        <f aca="false">IF($A131="","",IF($K131&gt;0,"高危",IF($J131&gt;0,"关注",IF($L131&gt;0,"提醒","正常"))))</f>
        <v/>
      </c>
      <c r="N131" s="42" t="str">
        <f aca="false">IF($A131="","",基础资料!$AG131)</f>
        <v/>
      </c>
    </row>
    <row r="132" customFormat="false" ht="15.75" hidden="false" customHeight="true" outlineLevel="0" collapsed="false">
      <c r="A132" s="35" t="str">
        <f aca="false">IF(基础资料!$AF132="","",基础资料!$AF132)</f>
        <v/>
      </c>
      <c r="B132" s="42" t="str">
        <f aca="false">IF($A132="","",N(基础资料!$AH132))</f>
        <v/>
      </c>
      <c r="C132" s="54" t="str">
        <f aca="false">IF($A132="","",SUMIFS(期初数据!$L$6:$L$155,期初数据!$J$6:$J$155,$A132,期初数据!$K$6:$K$155,"&lt;"&amp;首页!$B$6)+SUMIFS(采购录入!$S$5:$S$404,采购录入!$D$5:$D$404,$A132,采购录入!$B$5:$B$404,"&lt;"&amp;首页!$B$6)-SUMIFS(资金流水!$N$5:$N$504,资金流水!$G$5:$G$504,$A132,资金流水!$E$5:$E$504,"供应商付款",资金流水!$B$5:$B$504,"&lt;"&amp;首页!$B$6))</f>
        <v/>
      </c>
      <c r="D132" s="54" t="str">
        <f aca="false">IF($A132="","",SUMIFS(采购录入!$S$5:$S$404,采购录入!$D$5:$D$404,$A132,采购录入!$C$5:$C$404,首页!$B$5))</f>
        <v/>
      </c>
      <c r="E132" s="54" t="str">
        <f aca="false">IF($A132="","",SUMIFS(资金流水!$N$5:$N$504,资金流水!$G$5:$G$504,$A132,资金流水!$E$5:$E$504,"供应商付款",资金流水!$C$5:$C$504,首页!$B$5))</f>
        <v/>
      </c>
      <c r="F132" s="62" t="str">
        <f aca="false">IF($A132="","",$C132+$D132-$E132)</f>
        <v/>
      </c>
      <c r="G132" s="44" t="str">
        <f aca="false">IF($A132="","",$F132-$H132-$I132-$J132-$K132)</f>
        <v/>
      </c>
      <c r="H132" s="44" t="str">
        <f aca="false">IF($A132="","",MIN($F132,MAX(0,SUMIFS(期初数据!$L$6:$L$155,期初数据!$J$6:$J$155,$A132,期初数据!$K$6:$K$155,"&lt;="&amp;首页!$B$7)+SUMIFS(采购录入!$S$5:$S$404,采购录入!$D$5:$D$404,$A132,采购录入!$T$5:$T$404,"&lt;="&amp;首页!$B$7)-SUMIFS(资金流水!$N$5:$N$504,资金流水!$G$5:$G$504,$A132,资金流水!$E$5:$E$504,"供应商付款",资金流水!$B$5:$B$504,"&lt;="&amp;首页!$B$7)))-$K132-$J132-$I132)</f>
        <v/>
      </c>
      <c r="I132" s="44" t="str">
        <f aca="false">IF($A132="","",MIN($F132,MAX(0,SUMIFS(期初数据!$L$6:$L$155,期初数据!$J$6:$J$155,$A132,期初数据!$K$6:$K$155,"&lt;="&amp;首页!$B$7-30)+SUMIFS(采购录入!$S$5:$S$404,采购录入!$D$5:$D$404,$A132,采购录入!$T$5:$T$404,"&lt;="&amp;首页!$B$7-30)-SUMIFS(资金流水!$N$5:$N$504,资金流水!$G$5:$G$504,$A132,资金流水!$E$5:$E$504,"供应商付款",资金流水!$B$5:$B$504,"&lt;="&amp;首页!$B$7)))-$K132-$J132)</f>
        <v/>
      </c>
      <c r="J132" s="44" t="str">
        <f aca="false">IF($A132="","",MIN($F132,MAX(0,SUMIFS(期初数据!$L$6:$L$155,期初数据!$J$6:$J$155,$A132,期初数据!$K$6:$K$155,"&lt;="&amp;首页!$B$7-60)+SUMIFS(采购录入!$S$5:$S$404,采购录入!$D$5:$D$404,$A132,采购录入!$T$5:$T$404,"&lt;="&amp;首页!$B$7-60)-SUMIFS(资金流水!$N$5:$N$504,资金流水!$G$5:$G$504,$A132,资金流水!$E$5:$E$504,"供应商付款",资金流水!$B$5:$B$504,"&lt;="&amp;首页!$B$7)))-$K132)</f>
        <v/>
      </c>
      <c r="K132" s="44" t="str">
        <f aca="false">IF($A132="","",MIN($F132,MAX(0,SUMIFS(期初数据!$L$6:$L$155,期初数据!$J$6:$J$155,$A132,期初数据!$K$6:$K$155,"&lt;="&amp;首页!$B$7-90)+SUMIFS(采购录入!$S$5:$S$404,采购录入!$D$5:$D$404,$A132,采购录入!$T$5:$T$404,"&lt;="&amp;首页!$B$7-90)-SUMIFS(资金流水!$N$5:$N$504,资金流水!$G$5:$G$504,$A132,资金流水!$E$5:$E$504,"供应商付款",资金流水!$B$5:$B$504,"&lt;="&amp;首页!$B$7))))</f>
        <v/>
      </c>
      <c r="L132" s="62" t="str">
        <f aca="false">IF($A132="","",$H132+$I132+$J132+$K132)</f>
        <v/>
      </c>
      <c r="M132" s="47" t="str">
        <f aca="false">IF($A132="","",IF($K132&gt;0,"高危",IF($J132&gt;0,"关注",IF($L132&gt;0,"提醒","正常"))))</f>
        <v/>
      </c>
      <c r="N132" s="42" t="str">
        <f aca="false">IF($A132="","",基础资料!$AG132)</f>
        <v/>
      </c>
    </row>
    <row r="133" customFormat="false" ht="15.75" hidden="false" customHeight="true" outlineLevel="0" collapsed="false">
      <c r="A133" s="35" t="str">
        <f aca="false">IF(基础资料!$AF133="","",基础资料!$AF133)</f>
        <v/>
      </c>
      <c r="B133" s="42" t="str">
        <f aca="false">IF($A133="","",N(基础资料!$AH133))</f>
        <v/>
      </c>
      <c r="C133" s="54" t="str">
        <f aca="false">IF($A133="","",SUMIFS(期初数据!$L$6:$L$155,期初数据!$J$6:$J$155,$A133,期初数据!$K$6:$K$155,"&lt;"&amp;首页!$B$6)+SUMIFS(采购录入!$S$5:$S$404,采购录入!$D$5:$D$404,$A133,采购录入!$B$5:$B$404,"&lt;"&amp;首页!$B$6)-SUMIFS(资金流水!$N$5:$N$504,资金流水!$G$5:$G$504,$A133,资金流水!$E$5:$E$504,"供应商付款",资金流水!$B$5:$B$504,"&lt;"&amp;首页!$B$6))</f>
        <v/>
      </c>
      <c r="D133" s="54" t="str">
        <f aca="false">IF($A133="","",SUMIFS(采购录入!$S$5:$S$404,采购录入!$D$5:$D$404,$A133,采购录入!$C$5:$C$404,首页!$B$5))</f>
        <v/>
      </c>
      <c r="E133" s="54" t="str">
        <f aca="false">IF($A133="","",SUMIFS(资金流水!$N$5:$N$504,资金流水!$G$5:$G$504,$A133,资金流水!$E$5:$E$504,"供应商付款",资金流水!$C$5:$C$504,首页!$B$5))</f>
        <v/>
      </c>
      <c r="F133" s="62" t="str">
        <f aca="false">IF($A133="","",$C133+$D133-$E133)</f>
        <v/>
      </c>
      <c r="G133" s="44" t="str">
        <f aca="false">IF($A133="","",$F133-$H133-$I133-$J133-$K133)</f>
        <v/>
      </c>
      <c r="H133" s="44" t="str">
        <f aca="false">IF($A133="","",MIN($F133,MAX(0,SUMIFS(期初数据!$L$6:$L$155,期初数据!$J$6:$J$155,$A133,期初数据!$K$6:$K$155,"&lt;="&amp;首页!$B$7)+SUMIFS(采购录入!$S$5:$S$404,采购录入!$D$5:$D$404,$A133,采购录入!$T$5:$T$404,"&lt;="&amp;首页!$B$7)-SUMIFS(资金流水!$N$5:$N$504,资金流水!$G$5:$G$504,$A133,资金流水!$E$5:$E$504,"供应商付款",资金流水!$B$5:$B$504,"&lt;="&amp;首页!$B$7)))-$K133-$J133-$I133)</f>
        <v/>
      </c>
      <c r="I133" s="44" t="str">
        <f aca="false">IF($A133="","",MIN($F133,MAX(0,SUMIFS(期初数据!$L$6:$L$155,期初数据!$J$6:$J$155,$A133,期初数据!$K$6:$K$155,"&lt;="&amp;首页!$B$7-30)+SUMIFS(采购录入!$S$5:$S$404,采购录入!$D$5:$D$404,$A133,采购录入!$T$5:$T$404,"&lt;="&amp;首页!$B$7-30)-SUMIFS(资金流水!$N$5:$N$504,资金流水!$G$5:$G$504,$A133,资金流水!$E$5:$E$504,"供应商付款",资金流水!$B$5:$B$504,"&lt;="&amp;首页!$B$7)))-$K133-$J133)</f>
        <v/>
      </c>
      <c r="J133" s="44" t="str">
        <f aca="false">IF($A133="","",MIN($F133,MAX(0,SUMIFS(期初数据!$L$6:$L$155,期初数据!$J$6:$J$155,$A133,期初数据!$K$6:$K$155,"&lt;="&amp;首页!$B$7-60)+SUMIFS(采购录入!$S$5:$S$404,采购录入!$D$5:$D$404,$A133,采购录入!$T$5:$T$404,"&lt;="&amp;首页!$B$7-60)-SUMIFS(资金流水!$N$5:$N$504,资金流水!$G$5:$G$504,$A133,资金流水!$E$5:$E$504,"供应商付款",资金流水!$B$5:$B$504,"&lt;="&amp;首页!$B$7)))-$K133)</f>
        <v/>
      </c>
      <c r="K133" s="44" t="str">
        <f aca="false">IF($A133="","",MIN($F133,MAX(0,SUMIFS(期初数据!$L$6:$L$155,期初数据!$J$6:$J$155,$A133,期初数据!$K$6:$K$155,"&lt;="&amp;首页!$B$7-90)+SUMIFS(采购录入!$S$5:$S$404,采购录入!$D$5:$D$404,$A133,采购录入!$T$5:$T$404,"&lt;="&amp;首页!$B$7-90)-SUMIFS(资金流水!$N$5:$N$504,资金流水!$G$5:$G$504,$A133,资金流水!$E$5:$E$504,"供应商付款",资金流水!$B$5:$B$504,"&lt;="&amp;首页!$B$7))))</f>
        <v/>
      </c>
      <c r="L133" s="62" t="str">
        <f aca="false">IF($A133="","",$H133+$I133+$J133+$K133)</f>
        <v/>
      </c>
      <c r="M133" s="47" t="str">
        <f aca="false">IF($A133="","",IF($K133&gt;0,"高危",IF($J133&gt;0,"关注",IF($L133&gt;0,"提醒","正常"))))</f>
        <v/>
      </c>
      <c r="N133" s="42" t="str">
        <f aca="false">IF($A133="","",基础资料!$AG133)</f>
        <v/>
      </c>
    </row>
    <row r="134" customFormat="false" ht="15.75" hidden="false" customHeight="true" outlineLevel="0" collapsed="false">
      <c r="A134" s="35" t="str">
        <f aca="false">IF(基础资料!$AF134="","",基础资料!$AF134)</f>
        <v/>
      </c>
      <c r="B134" s="42" t="str">
        <f aca="false">IF($A134="","",N(基础资料!$AH134))</f>
        <v/>
      </c>
      <c r="C134" s="54" t="str">
        <f aca="false">IF($A134="","",SUMIFS(期初数据!$L$6:$L$155,期初数据!$J$6:$J$155,$A134,期初数据!$K$6:$K$155,"&lt;"&amp;首页!$B$6)+SUMIFS(采购录入!$S$5:$S$404,采购录入!$D$5:$D$404,$A134,采购录入!$B$5:$B$404,"&lt;"&amp;首页!$B$6)-SUMIFS(资金流水!$N$5:$N$504,资金流水!$G$5:$G$504,$A134,资金流水!$E$5:$E$504,"供应商付款",资金流水!$B$5:$B$504,"&lt;"&amp;首页!$B$6))</f>
        <v/>
      </c>
      <c r="D134" s="54" t="str">
        <f aca="false">IF($A134="","",SUMIFS(采购录入!$S$5:$S$404,采购录入!$D$5:$D$404,$A134,采购录入!$C$5:$C$404,首页!$B$5))</f>
        <v/>
      </c>
      <c r="E134" s="54" t="str">
        <f aca="false">IF($A134="","",SUMIFS(资金流水!$N$5:$N$504,资金流水!$G$5:$G$504,$A134,资金流水!$E$5:$E$504,"供应商付款",资金流水!$C$5:$C$504,首页!$B$5))</f>
        <v/>
      </c>
      <c r="F134" s="62" t="str">
        <f aca="false">IF($A134="","",$C134+$D134-$E134)</f>
        <v/>
      </c>
      <c r="G134" s="44" t="str">
        <f aca="false">IF($A134="","",$F134-$H134-$I134-$J134-$K134)</f>
        <v/>
      </c>
      <c r="H134" s="44" t="str">
        <f aca="false">IF($A134="","",MIN($F134,MAX(0,SUMIFS(期初数据!$L$6:$L$155,期初数据!$J$6:$J$155,$A134,期初数据!$K$6:$K$155,"&lt;="&amp;首页!$B$7)+SUMIFS(采购录入!$S$5:$S$404,采购录入!$D$5:$D$404,$A134,采购录入!$T$5:$T$404,"&lt;="&amp;首页!$B$7)-SUMIFS(资金流水!$N$5:$N$504,资金流水!$G$5:$G$504,$A134,资金流水!$E$5:$E$504,"供应商付款",资金流水!$B$5:$B$504,"&lt;="&amp;首页!$B$7)))-$K134-$J134-$I134)</f>
        <v/>
      </c>
      <c r="I134" s="44" t="str">
        <f aca="false">IF($A134="","",MIN($F134,MAX(0,SUMIFS(期初数据!$L$6:$L$155,期初数据!$J$6:$J$155,$A134,期初数据!$K$6:$K$155,"&lt;="&amp;首页!$B$7-30)+SUMIFS(采购录入!$S$5:$S$404,采购录入!$D$5:$D$404,$A134,采购录入!$T$5:$T$404,"&lt;="&amp;首页!$B$7-30)-SUMIFS(资金流水!$N$5:$N$504,资金流水!$G$5:$G$504,$A134,资金流水!$E$5:$E$504,"供应商付款",资金流水!$B$5:$B$504,"&lt;="&amp;首页!$B$7)))-$K134-$J134)</f>
        <v/>
      </c>
      <c r="J134" s="44" t="str">
        <f aca="false">IF($A134="","",MIN($F134,MAX(0,SUMIFS(期初数据!$L$6:$L$155,期初数据!$J$6:$J$155,$A134,期初数据!$K$6:$K$155,"&lt;="&amp;首页!$B$7-60)+SUMIFS(采购录入!$S$5:$S$404,采购录入!$D$5:$D$404,$A134,采购录入!$T$5:$T$404,"&lt;="&amp;首页!$B$7-60)-SUMIFS(资金流水!$N$5:$N$504,资金流水!$G$5:$G$504,$A134,资金流水!$E$5:$E$504,"供应商付款",资金流水!$B$5:$B$504,"&lt;="&amp;首页!$B$7)))-$K134)</f>
        <v/>
      </c>
      <c r="K134" s="44" t="str">
        <f aca="false">IF($A134="","",MIN($F134,MAX(0,SUMIFS(期初数据!$L$6:$L$155,期初数据!$J$6:$J$155,$A134,期初数据!$K$6:$K$155,"&lt;="&amp;首页!$B$7-90)+SUMIFS(采购录入!$S$5:$S$404,采购录入!$D$5:$D$404,$A134,采购录入!$T$5:$T$404,"&lt;="&amp;首页!$B$7-90)-SUMIFS(资金流水!$N$5:$N$504,资金流水!$G$5:$G$504,$A134,资金流水!$E$5:$E$504,"供应商付款",资金流水!$B$5:$B$504,"&lt;="&amp;首页!$B$7))))</f>
        <v/>
      </c>
      <c r="L134" s="62" t="str">
        <f aca="false">IF($A134="","",$H134+$I134+$J134+$K134)</f>
        <v/>
      </c>
      <c r="M134" s="47" t="str">
        <f aca="false">IF($A134="","",IF($K134&gt;0,"高危",IF($J134&gt;0,"关注",IF($L134&gt;0,"提醒","正常"))))</f>
        <v/>
      </c>
      <c r="N134" s="42" t="str">
        <f aca="false">IF($A134="","",基础资料!$AG134)</f>
        <v/>
      </c>
    </row>
    <row r="135" customFormat="false" ht="15.75" hidden="false" customHeight="true" outlineLevel="0" collapsed="false">
      <c r="A135" s="35" t="str">
        <f aca="false">IF(基础资料!$AF135="","",基础资料!$AF135)</f>
        <v/>
      </c>
      <c r="B135" s="42" t="str">
        <f aca="false">IF($A135="","",N(基础资料!$AH135))</f>
        <v/>
      </c>
      <c r="C135" s="54" t="str">
        <f aca="false">IF($A135="","",SUMIFS(期初数据!$L$6:$L$155,期初数据!$J$6:$J$155,$A135,期初数据!$K$6:$K$155,"&lt;"&amp;首页!$B$6)+SUMIFS(采购录入!$S$5:$S$404,采购录入!$D$5:$D$404,$A135,采购录入!$B$5:$B$404,"&lt;"&amp;首页!$B$6)-SUMIFS(资金流水!$N$5:$N$504,资金流水!$G$5:$G$504,$A135,资金流水!$E$5:$E$504,"供应商付款",资金流水!$B$5:$B$504,"&lt;"&amp;首页!$B$6))</f>
        <v/>
      </c>
      <c r="D135" s="54" t="str">
        <f aca="false">IF($A135="","",SUMIFS(采购录入!$S$5:$S$404,采购录入!$D$5:$D$404,$A135,采购录入!$C$5:$C$404,首页!$B$5))</f>
        <v/>
      </c>
      <c r="E135" s="54" t="str">
        <f aca="false">IF($A135="","",SUMIFS(资金流水!$N$5:$N$504,资金流水!$G$5:$G$504,$A135,资金流水!$E$5:$E$504,"供应商付款",资金流水!$C$5:$C$504,首页!$B$5))</f>
        <v/>
      </c>
      <c r="F135" s="62" t="str">
        <f aca="false">IF($A135="","",$C135+$D135-$E135)</f>
        <v/>
      </c>
      <c r="G135" s="44" t="str">
        <f aca="false">IF($A135="","",$F135-$H135-$I135-$J135-$K135)</f>
        <v/>
      </c>
      <c r="H135" s="44" t="str">
        <f aca="false">IF($A135="","",MIN($F135,MAX(0,SUMIFS(期初数据!$L$6:$L$155,期初数据!$J$6:$J$155,$A135,期初数据!$K$6:$K$155,"&lt;="&amp;首页!$B$7)+SUMIFS(采购录入!$S$5:$S$404,采购录入!$D$5:$D$404,$A135,采购录入!$T$5:$T$404,"&lt;="&amp;首页!$B$7)-SUMIFS(资金流水!$N$5:$N$504,资金流水!$G$5:$G$504,$A135,资金流水!$E$5:$E$504,"供应商付款",资金流水!$B$5:$B$504,"&lt;="&amp;首页!$B$7)))-$K135-$J135-$I135)</f>
        <v/>
      </c>
      <c r="I135" s="44" t="str">
        <f aca="false">IF($A135="","",MIN($F135,MAX(0,SUMIFS(期初数据!$L$6:$L$155,期初数据!$J$6:$J$155,$A135,期初数据!$K$6:$K$155,"&lt;="&amp;首页!$B$7-30)+SUMIFS(采购录入!$S$5:$S$404,采购录入!$D$5:$D$404,$A135,采购录入!$T$5:$T$404,"&lt;="&amp;首页!$B$7-30)-SUMIFS(资金流水!$N$5:$N$504,资金流水!$G$5:$G$504,$A135,资金流水!$E$5:$E$504,"供应商付款",资金流水!$B$5:$B$504,"&lt;="&amp;首页!$B$7)))-$K135-$J135)</f>
        <v/>
      </c>
      <c r="J135" s="44" t="str">
        <f aca="false">IF($A135="","",MIN($F135,MAX(0,SUMIFS(期初数据!$L$6:$L$155,期初数据!$J$6:$J$155,$A135,期初数据!$K$6:$K$155,"&lt;="&amp;首页!$B$7-60)+SUMIFS(采购录入!$S$5:$S$404,采购录入!$D$5:$D$404,$A135,采购录入!$T$5:$T$404,"&lt;="&amp;首页!$B$7-60)-SUMIFS(资金流水!$N$5:$N$504,资金流水!$G$5:$G$504,$A135,资金流水!$E$5:$E$504,"供应商付款",资金流水!$B$5:$B$504,"&lt;="&amp;首页!$B$7)))-$K135)</f>
        <v/>
      </c>
      <c r="K135" s="44" t="str">
        <f aca="false">IF($A135="","",MIN($F135,MAX(0,SUMIFS(期初数据!$L$6:$L$155,期初数据!$J$6:$J$155,$A135,期初数据!$K$6:$K$155,"&lt;="&amp;首页!$B$7-90)+SUMIFS(采购录入!$S$5:$S$404,采购录入!$D$5:$D$404,$A135,采购录入!$T$5:$T$404,"&lt;="&amp;首页!$B$7-90)-SUMIFS(资金流水!$N$5:$N$504,资金流水!$G$5:$G$504,$A135,资金流水!$E$5:$E$504,"供应商付款",资金流水!$B$5:$B$504,"&lt;="&amp;首页!$B$7))))</f>
        <v/>
      </c>
      <c r="L135" s="62" t="str">
        <f aca="false">IF($A135="","",$H135+$I135+$J135+$K135)</f>
        <v/>
      </c>
      <c r="M135" s="47" t="str">
        <f aca="false">IF($A135="","",IF($K135&gt;0,"高危",IF($J135&gt;0,"关注",IF($L135&gt;0,"提醒","正常"))))</f>
        <v/>
      </c>
      <c r="N135" s="42" t="str">
        <f aca="false">IF($A135="","",基础资料!$AG135)</f>
        <v/>
      </c>
    </row>
    <row r="136" customFormat="false" ht="15.75" hidden="false" customHeight="true" outlineLevel="0" collapsed="false">
      <c r="A136" s="35" t="str">
        <f aca="false">IF(基础资料!$AF136="","",基础资料!$AF136)</f>
        <v/>
      </c>
      <c r="B136" s="42" t="str">
        <f aca="false">IF($A136="","",N(基础资料!$AH136))</f>
        <v/>
      </c>
      <c r="C136" s="54" t="str">
        <f aca="false">IF($A136="","",SUMIFS(期初数据!$L$6:$L$155,期初数据!$J$6:$J$155,$A136,期初数据!$K$6:$K$155,"&lt;"&amp;首页!$B$6)+SUMIFS(采购录入!$S$5:$S$404,采购录入!$D$5:$D$404,$A136,采购录入!$B$5:$B$404,"&lt;"&amp;首页!$B$6)-SUMIFS(资金流水!$N$5:$N$504,资金流水!$G$5:$G$504,$A136,资金流水!$E$5:$E$504,"供应商付款",资金流水!$B$5:$B$504,"&lt;"&amp;首页!$B$6))</f>
        <v/>
      </c>
      <c r="D136" s="54" t="str">
        <f aca="false">IF($A136="","",SUMIFS(采购录入!$S$5:$S$404,采购录入!$D$5:$D$404,$A136,采购录入!$C$5:$C$404,首页!$B$5))</f>
        <v/>
      </c>
      <c r="E136" s="54" t="str">
        <f aca="false">IF($A136="","",SUMIFS(资金流水!$N$5:$N$504,资金流水!$G$5:$G$504,$A136,资金流水!$E$5:$E$504,"供应商付款",资金流水!$C$5:$C$504,首页!$B$5))</f>
        <v/>
      </c>
      <c r="F136" s="62" t="str">
        <f aca="false">IF($A136="","",$C136+$D136-$E136)</f>
        <v/>
      </c>
      <c r="G136" s="44" t="str">
        <f aca="false">IF($A136="","",$F136-$H136-$I136-$J136-$K136)</f>
        <v/>
      </c>
      <c r="H136" s="44" t="str">
        <f aca="false">IF($A136="","",MIN($F136,MAX(0,SUMIFS(期初数据!$L$6:$L$155,期初数据!$J$6:$J$155,$A136,期初数据!$K$6:$K$155,"&lt;="&amp;首页!$B$7)+SUMIFS(采购录入!$S$5:$S$404,采购录入!$D$5:$D$404,$A136,采购录入!$T$5:$T$404,"&lt;="&amp;首页!$B$7)-SUMIFS(资金流水!$N$5:$N$504,资金流水!$G$5:$G$504,$A136,资金流水!$E$5:$E$504,"供应商付款",资金流水!$B$5:$B$504,"&lt;="&amp;首页!$B$7)))-$K136-$J136-$I136)</f>
        <v/>
      </c>
      <c r="I136" s="44" t="str">
        <f aca="false">IF($A136="","",MIN($F136,MAX(0,SUMIFS(期初数据!$L$6:$L$155,期初数据!$J$6:$J$155,$A136,期初数据!$K$6:$K$155,"&lt;="&amp;首页!$B$7-30)+SUMIFS(采购录入!$S$5:$S$404,采购录入!$D$5:$D$404,$A136,采购录入!$T$5:$T$404,"&lt;="&amp;首页!$B$7-30)-SUMIFS(资金流水!$N$5:$N$504,资金流水!$G$5:$G$504,$A136,资金流水!$E$5:$E$504,"供应商付款",资金流水!$B$5:$B$504,"&lt;="&amp;首页!$B$7)))-$K136-$J136)</f>
        <v/>
      </c>
      <c r="J136" s="44" t="str">
        <f aca="false">IF($A136="","",MIN($F136,MAX(0,SUMIFS(期初数据!$L$6:$L$155,期初数据!$J$6:$J$155,$A136,期初数据!$K$6:$K$155,"&lt;="&amp;首页!$B$7-60)+SUMIFS(采购录入!$S$5:$S$404,采购录入!$D$5:$D$404,$A136,采购录入!$T$5:$T$404,"&lt;="&amp;首页!$B$7-60)-SUMIFS(资金流水!$N$5:$N$504,资金流水!$G$5:$G$504,$A136,资金流水!$E$5:$E$504,"供应商付款",资金流水!$B$5:$B$504,"&lt;="&amp;首页!$B$7)))-$K136)</f>
        <v/>
      </c>
      <c r="K136" s="44" t="str">
        <f aca="false">IF($A136="","",MIN($F136,MAX(0,SUMIFS(期初数据!$L$6:$L$155,期初数据!$J$6:$J$155,$A136,期初数据!$K$6:$K$155,"&lt;="&amp;首页!$B$7-90)+SUMIFS(采购录入!$S$5:$S$404,采购录入!$D$5:$D$404,$A136,采购录入!$T$5:$T$404,"&lt;="&amp;首页!$B$7-90)-SUMIFS(资金流水!$N$5:$N$504,资金流水!$G$5:$G$504,$A136,资金流水!$E$5:$E$504,"供应商付款",资金流水!$B$5:$B$504,"&lt;="&amp;首页!$B$7))))</f>
        <v/>
      </c>
      <c r="L136" s="62" t="str">
        <f aca="false">IF($A136="","",$H136+$I136+$J136+$K136)</f>
        <v/>
      </c>
      <c r="M136" s="47" t="str">
        <f aca="false">IF($A136="","",IF($K136&gt;0,"高危",IF($J136&gt;0,"关注",IF($L136&gt;0,"提醒","正常"))))</f>
        <v/>
      </c>
      <c r="N136" s="42" t="str">
        <f aca="false">IF($A136="","",基础资料!$AG136)</f>
        <v/>
      </c>
    </row>
    <row r="137" customFormat="false" ht="15.75" hidden="false" customHeight="true" outlineLevel="0" collapsed="false">
      <c r="A137" s="35" t="str">
        <f aca="false">IF(基础资料!$AF137="","",基础资料!$AF137)</f>
        <v/>
      </c>
      <c r="B137" s="42" t="str">
        <f aca="false">IF($A137="","",N(基础资料!$AH137))</f>
        <v/>
      </c>
      <c r="C137" s="54" t="str">
        <f aca="false">IF($A137="","",SUMIFS(期初数据!$L$6:$L$155,期初数据!$J$6:$J$155,$A137,期初数据!$K$6:$K$155,"&lt;"&amp;首页!$B$6)+SUMIFS(采购录入!$S$5:$S$404,采购录入!$D$5:$D$404,$A137,采购录入!$B$5:$B$404,"&lt;"&amp;首页!$B$6)-SUMIFS(资金流水!$N$5:$N$504,资金流水!$G$5:$G$504,$A137,资金流水!$E$5:$E$504,"供应商付款",资金流水!$B$5:$B$504,"&lt;"&amp;首页!$B$6))</f>
        <v/>
      </c>
      <c r="D137" s="54" t="str">
        <f aca="false">IF($A137="","",SUMIFS(采购录入!$S$5:$S$404,采购录入!$D$5:$D$404,$A137,采购录入!$C$5:$C$404,首页!$B$5))</f>
        <v/>
      </c>
      <c r="E137" s="54" t="str">
        <f aca="false">IF($A137="","",SUMIFS(资金流水!$N$5:$N$504,资金流水!$G$5:$G$504,$A137,资金流水!$E$5:$E$504,"供应商付款",资金流水!$C$5:$C$504,首页!$B$5))</f>
        <v/>
      </c>
      <c r="F137" s="62" t="str">
        <f aca="false">IF($A137="","",$C137+$D137-$E137)</f>
        <v/>
      </c>
      <c r="G137" s="44" t="str">
        <f aca="false">IF($A137="","",$F137-$H137-$I137-$J137-$K137)</f>
        <v/>
      </c>
      <c r="H137" s="44" t="str">
        <f aca="false">IF($A137="","",MIN($F137,MAX(0,SUMIFS(期初数据!$L$6:$L$155,期初数据!$J$6:$J$155,$A137,期初数据!$K$6:$K$155,"&lt;="&amp;首页!$B$7)+SUMIFS(采购录入!$S$5:$S$404,采购录入!$D$5:$D$404,$A137,采购录入!$T$5:$T$404,"&lt;="&amp;首页!$B$7)-SUMIFS(资金流水!$N$5:$N$504,资金流水!$G$5:$G$504,$A137,资金流水!$E$5:$E$504,"供应商付款",资金流水!$B$5:$B$504,"&lt;="&amp;首页!$B$7)))-$K137-$J137-$I137)</f>
        <v/>
      </c>
      <c r="I137" s="44" t="str">
        <f aca="false">IF($A137="","",MIN($F137,MAX(0,SUMIFS(期初数据!$L$6:$L$155,期初数据!$J$6:$J$155,$A137,期初数据!$K$6:$K$155,"&lt;="&amp;首页!$B$7-30)+SUMIFS(采购录入!$S$5:$S$404,采购录入!$D$5:$D$404,$A137,采购录入!$T$5:$T$404,"&lt;="&amp;首页!$B$7-30)-SUMIFS(资金流水!$N$5:$N$504,资金流水!$G$5:$G$504,$A137,资金流水!$E$5:$E$504,"供应商付款",资金流水!$B$5:$B$504,"&lt;="&amp;首页!$B$7)))-$K137-$J137)</f>
        <v/>
      </c>
      <c r="J137" s="44" t="str">
        <f aca="false">IF($A137="","",MIN($F137,MAX(0,SUMIFS(期初数据!$L$6:$L$155,期初数据!$J$6:$J$155,$A137,期初数据!$K$6:$K$155,"&lt;="&amp;首页!$B$7-60)+SUMIFS(采购录入!$S$5:$S$404,采购录入!$D$5:$D$404,$A137,采购录入!$T$5:$T$404,"&lt;="&amp;首页!$B$7-60)-SUMIFS(资金流水!$N$5:$N$504,资金流水!$G$5:$G$504,$A137,资金流水!$E$5:$E$504,"供应商付款",资金流水!$B$5:$B$504,"&lt;="&amp;首页!$B$7)))-$K137)</f>
        <v/>
      </c>
      <c r="K137" s="44" t="str">
        <f aca="false">IF($A137="","",MIN($F137,MAX(0,SUMIFS(期初数据!$L$6:$L$155,期初数据!$J$6:$J$155,$A137,期初数据!$K$6:$K$155,"&lt;="&amp;首页!$B$7-90)+SUMIFS(采购录入!$S$5:$S$404,采购录入!$D$5:$D$404,$A137,采购录入!$T$5:$T$404,"&lt;="&amp;首页!$B$7-90)-SUMIFS(资金流水!$N$5:$N$504,资金流水!$G$5:$G$504,$A137,资金流水!$E$5:$E$504,"供应商付款",资金流水!$B$5:$B$504,"&lt;="&amp;首页!$B$7))))</f>
        <v/>
      </c>
      <c r="L137" s="62" t="str">
        <f aca="false">IF($A137="","",$H137+$I137+$J137+$K137)</f>
        <v/>
      </c>
      <c r="M137" s="47" t="str">
        <f aca="false">IF($A137="","",IF($K137&gt;0,"高危",IF($J137&gt;0,"关注",IF($L137&gt;0,"提醒","正常"))))</f>
        <v/>
      </c>
      <c r="N137" s="42" t="str">
        <f aca="false">IF($A137="","",基础资料!$AG137)</f>
        <v/>
      </c>
    </row>
    <row r="138" customFormat="false" ht="15.75" hidden="false" customHeight="true" outlineLevel="0" collapsed="false">
      <c r="A138" s="35" t="str">
        <f aca="false">IF(基础资料!$AF138="","",基础资料!$AF138)</f>
        <v/>
      </c>
      <c r="B138" s="42" t="str">
        <f aca="false">IF($A138="","",N(基础资料!$AH138))</f>
        <v/>
      </c>
      <c r="C138" s="54" t="str">
        <f aca="false">IF($A138="","",SUMIFS(期初数据!$L$6:$L$155,期初数据!$J$6:$J$155,$A138,期初数据!$K$6:$K$155,"&lt;"&amp;首页!$B$6)+SUMIFS(采购录入!$S$5:$S$404,采购录入!$D$5:$D$404,$A138,采购录入!$B$5:$B$404,"&lt;"&amp;首页!$B$6)-SUMIFS(资金流水!$N$5:$N$504,资金流水!$G$5:$G$504,$A138,资金流水!$E$5:$E$504,"供应商付款",资金流水!$B$5:$B$504,"&lt;"&amp;首页!$B$6))</f>
        <v/>
      </c>
      <c r="D138" s="54" t="str">
        <f aca="false">IF($A138="","",SUMIFS(采购录入!$S$5:$S$404,采购录入!$D$5:$D$404,$A138,采购录入!$C$5:$C$404,首页!$B$5))</f>
        <v/>
      </c>
      <c r="E138" s="54" t="str">
        <f aca="false">IF($A138="","",SUMIFS(资金流水!$N$5:$N$504,资金流水!$G$5:$G$504,$A138,资金流水!$E$5:$E$504,"供应商付款",资金流水!$C$5:$C$504,首页!$B$5))</f>
        <v/>
      </c>
      <c r="F138" s="62" t="str">
        <f aca="false">IF($A138="","",$C138+$D138-$E138)</f>
        <v/>
      </c>
      <c r="G138" s="44" t="str">
        <f aca="false">IF($A138="","",$F138-$H138-$I138-$J138-$K138)</f>
        <v/>
      </c>
      <c r="H138" s="44" t="str">
        <f aca="false">IF($A138="","",MIN($F138,MAX(0,SUMIFS(期初数据!$L$6:$L$155,期初数据!$J$6:$J$155,$A138,期初数据!$K$6:$K$155,"&lt;="&amp;首页!$B$7)+SUMIFS(采购录入!$S$5:$S$404,采购录入!$D$5:$D$404,$A138,采购录入!$T$5:$T$404,"&lt;="&amp;首页!$B$7)-SUMIFS(资金流水!$N$5:$N$504,资金流水!$G$5:$G$504,$A138,资金流水!$E$5:$E$504,"供应商付款",资金流水!$B$5:$B$504,"&lt;="&amp;首页!$B$7)))-$K138-$J138-$I138)</f>
        <v/>
      </c>
      <c r="I138" s="44" t="str">
        <f aca="false">IF($A138="","",MIN($F138,MAX(0,SUMIFS(期初数据!$L$6:$L$155,期初数据!$J$6:$J$155,$A138,期初数据!$K$6:$K$155,"&lt;="&amp;首页!$B$7-30)+SUMIFS(采购录入!$S$5:$S$404,采购录入!$D$5:$D$404,$A138,采购录入!$T$5:$T$404,"&lt;="&amp;首页!$B$7-30)-SUMIFS(资金流水!$N$5:$N$504,资金流水!$G$5:$G$504,$A138,资金流水!$E$5:$E$504,"供应商付款",资金流水!$B$5:$B$504,"&lt;="&amp;首页!$B$7)))-$K138-$J138)</f>
        <v/>
      </c>
      <c r="J138" s="44" t="str">
        <f aca="false">IF($A138="","",MIN($F138,MAX(0,SUMIFS(期初数据!$L$6:$L$155,期初数据!$J$6:$J$155,$A138,期初数据!$K$6:$K$155,"&lt;="&amp;首页!$B$7-60)+SUMIFS(采购录入!$S$5:$S$404,采购录入!$D$5:$D$404,$A138,采购录入!$T$5:$T$404,"&lt;="&amp;首页!$B$7-60)-SUMIFS(资金流水!$N$5:$N$504,资金流水!$G$5:$G$504,$A138,资金流水!$E$5:$E$504,"供应商付款",资金流水!$B$5:$B$504,"&lt;="&amp;首页!$B$7)))-$K138)</f>
        <v/>
      </c>
      <c r="K138" s="44" t="str">
        <f aca="false">IF($A138="","",MIN($F138,MAX(0,SUMIFS(期初数据!$L$6:$L$155,期初数据!$J$6:$J$155,$A138,期初数据!$K$6:$K$155,"&lt;="&amp;首页!$B$7-90)+SUMIFS(采购录入!$S$5:$S$404,采购录入!$D$5:$D$404,$A138,采购录入!$T$5:$T$404,"&lt;="&amp;首页!$B$7-90)-SUMIFS(资金流水!$N$5:$N$504,资金流水!$G$5:$G$504,$A138,资金流水!$E$5:$E$504,"供应商付款",资金流水!$B$5:$B$504,"&lt;="&amp;首页!$B$7))))</f>
        <v/>
      </c>
      <c r="L138" s="62" t="str">
        <f aca="false">IF($A138="","",$H138+$I138+$J138+$K138)</f>
        <v/>
      </c>
      <c r="M138" s="47" t="str">
        <f aca="false">IF($A138="","",IF($K138&gt;0,"高危",IF($J138&gt;0,"关注",IF($L138&gt;0,"提醒","正常"))))</f>
        <v/>
      </c>
      <c r="N138" s="42" t="str">
        <f aca="false">IF($A138="","",基础资料!$AG138)</f>
        <v/>
      </c>
    </row>
    <row r="139" customFormat="false" ht="15.75" hidden="false" customHeight="true" outlineLevel="0" collapsed="false">
      <c r="A139" s="35" t="str">
        <f aca="false">IF(基础资料!$AF139="","",基础资料!$AF139)</f>
        <v/>
      </c>
      <c r="B139" s="42" t="str">
        <f aca="false">IF($A139="","",N(基础资料!$AH139))</f>
        <v/>
      </c>
      <c r="C139" s="54" t="str">
        <f aca="false">IF($A139="","",SUMIFS(期初数据!$L$6:$L$155,期初数据!$J$6:$J$155,$A139,期初数据!$K$6:$K$155,"&lt;"&amp;首页!$B$6)+SUMIFS(采购录入!$S$5:$S$404,采购录入!$D$5:$D$404,$A139,采购录入!$B$5:$B$404,"&lt;"&amp;首页!$B$6)-SUMIFS(资金流水!$N$5:$N$504,资金流水!$G$5:$G$504,$A139,资金流水!$E$5:$E$504,"供应商付款",资金流水!$B$5:$B$504,"&lt;"&amp;首页!$B$6))</f>
        <v/>
      </c>
      <c r="D139" s="54" t="str">
        <f aca="false">IF($A139="","",SUMIFS(采购录入!$S$5:$S$404,采购录入!$D$5:$D$404,$A139,采购录入!$C$5:$C$404,首页!$B$5))</f>
        <v/>
      </c>
      <c r="E139" s="54" t="str">
        <f aca="false">IF($A139="","",SUMIFS(资金流水!$N$5:$N$504,资金流水!$G$5:$G$504,$A139,资金流水!$E$5:$E$504,"供应商付款",资金流水!$C$5:$C$504,首页!$B$5))</f>
        <v/>
      </c>
      <c r="F139" s="62" t="str">
        <f aca="false">IF($A139="","",$C139+$D139-$E139)</f>
        <v/>
      </c>
      <c r="G139" s="44" t="str">
        <f aca="false">IF($A139="","",$F139-$H139-$I139-$J139-$K139)</f>
        <v/>
      </c>
      <c r="H139" s="44" t="str">
        <f aca="false">IF($A139="","",MIN($F139,MAX(0,SUMIFS(期初数据!$L$6:$L$155,期初数据!$J$6:$J$155,$A139,期初数据!$K$6:$K$155,"&lt;="&amp;首页!$B$7)+SUMIFS(采购录入!$S$5:$S$404,采购录入!$D$5:$D$404,$A139,采购录入!$T$5:$T$404,"&lt;="&amp;首页!$B$7)-SUMIFS(资金流水!$N$5:$N$504,资金流水!$G$5:$G$504,$A139,资金流水!$E$5:$E$504,"供应商付款",资金流水!$B$5:$B$504,"&lt;="&amp;首页!$B$7)))-$K139-$J139-$I139)</f>
        <v/>
      </c>
      <c r="I139" s="44" t="str">
        <f aca="false">IF($A139="","",MIN($F139,MAX(0,SUMIFS(期初数据!$L$6:$L$155,期初数据!$J$6:$J$155,$A139,期初数据!$K$6:$K$155,"&lt;="&amp;首页!$B$7-30)+SUMIFS(采购录入!$S$5:$S$404,采购录入!$D$5:$D$404,$A139,采购录入!$T$5:$T$404,"&lt;="&amp;首页!$B$7-30)-SUMIFS(资金流水!$N$5:$N$504,资金流水!$G$5:$G$504,$A139,资金流水!$E$5:$E$504,"供应商付款",资金流水!$B$5:$B$504,"&lt;="&amp;首页!$B$7)))-$K139-$J139)</f>
        <v/>
      </c>
      <c r="J139" s="44" t="str">
        <f aca="false">IF($A139="","",MIN($F139,MAX(0,SUMIFS(期初数据!$L$6:$L$155,期初数据!$J$6:$J$155,$A139,期初数据!$K$6:$K$155,"&lt;="&amp;首页!$B$7-60)+SUMIFS(采购录入!$S$5:$S$404,采购录入!$D$5:$D$404,$A139,采购录入!$T$5:$T$404,"&lt;="&amp;首页!$B$7-60)-SUMIFS(资金流水!$N$5:$N$504,资金流水!$G$5:$G$504,$A139,资金流水!$E$5:$E$504,"供应商付款",资金流水!$B$5:$B$504,"&lt;="&amp;首页!$B$7)))-$K139)</f>
        <v/>
      </c>
      <c r="K139" s="44" t="str">
        <f aca="false">IF($A139="","",MIN($F139,MAX(0,SUMIFS(期初数据!$L$6:$L$155,期初数据!$J$6:$J$155,$A139,期初数据!$K$6:$K$155,"&lt;="&amp;首页!$B$7-90)+SUMIFS(采购录入!$S$5:$S$404,采购录入!$D$5:$D$404,$A139,采购录入!$T$5:$T$404,"&lt;="&amp;首页!$B$7-90)-SUMIFS(资金流水!$N$5:$N$504,资金流水!$G$5:$G$504,$A139,资金流水!$E$5:$E$504,"供应商付款",资金流水!$B$5:$B$504,"&lt;="&amp;首页!$B$7))))</f>
        <v/>
      </c>
      <c r="L139" s="62" t="str">
        <f aca="false">IF($A139="","",$H139+$I139+$J139+$K139)</f>
        <v/>
      </c>
      <c r="M139" s="47" t="str">
        <f aca="false">IF($A139="","",IF($K139&gt;0,"高危",IF($J139&gt;0,"关注",IF($L139&gt;0,"提醒","正常"))))</f>
        <v/>
      </c>
      <c r="N139" s="42" t="str">
        <f aca="false">IF($A139="","",基础资料!$AG139)</f>
        <v/>
      </c>
    </row>
    <row r="140" customFormat="false" ht="15.75" hidden="false" customHeight="true" outlineLevel="0" collapsed="false">
      <c r="A140" s="35" t="str">
        <f aca="false">IF(基础资料!$AF140="","",基础资料!$AF140)</f>
        <v/>
      </c>
      <c r="B140" s="42" t="str">
        <f aca="false">IF($A140="","",N(基础资料!$AH140))</f>
        <v/>
      </c>
      <c r="C140" s="54" t="str">
        <f aca="false">IF($A140="","",SUMIFS(期初数据!$L$6:$L$155,期初数据!$J$6:$J$155,$A140,期初数据!$K$6:$K$155,"&lt;"&amp;首页!$B$6)+SUMIFS(采购录入!$S$5:$S$404,采购录入!$D$5:$D$404,$A140,采购录入!$B$5:$B$404,"&lt;"&amp;首页!$B$6)-SUMIFS(资金流水!$N$5:$N$504,资金流水!$G$5:$G$504,$A140,资金流水!$E$5:$E$504,"供应商付款",资金流水!$B$5:$B$504,"&lt;"&amp;首页!$B$6))</f>
        <v/>
      </c>
      <c r="D140" s="54" t="str">
        <f aca="false">IF($A140="","",SUMIFS(采购录入!$S$5:$S$404,采购录入!$D$5:$D$404,$A140,采购录入!$C$5:$C$404,首页!$B$5))</f>
        <v/>
      </c>
      <c r="E140" s="54" t="str">
        <f aca="false">IF($A140="","",SUMIFS(资金流水!$N$5:$N$504,资金流水!$G$5:$G$504,$A140,资金流水!$E$5:$E$504,"供应商付款",资金流水!$C$5:$C$504,首页!$B$5))</f>
        <v/>
      </c>
      <c r="F140" s="62" t="str">
        <f aca="false">IF($A140="","",$C140+$D140-$E140)</f>
        <v/>
      </c>
      <c r="G140" s="44" t="str">
        <f aca="false">IF($A140="","",$F140-$H140-$I140-$J140-$K140)</f>
        <v/>
      </c>
      <c r="H140" s="44" t="str">
        <f aca="false">IF($A140="","",MIN($F140,MAX(0,SUMIFS(期初数据!$L$6:$L$155,期初数据!$J$6:$J$155,$A140,期初数据!$K$6:$K$155,"&lt;="&amp;首页!$B$7)+SUMIFS(采购录入!$S$5:$S$404,采购录入!$D$5:$D$404,$A140,采购录入!$T$5:$T$404,"&lt;="&amp;首页!$B$7)-SUMIFS(资金流水!$N$5:$N$504,资金流水!$G$5:$G$504,$A140,资金流水!$E$5:$E$504,"供应商付款",资金流水!$B$5:$B$504,"&lt;="&amp;首页!$B$7)))-$K140-$J140-$I140)</f>
        <v/>
      </c>
      <c r="I140" s="44" t="str">
        <f aca="false">IF($A140="","",MIN($F140,MAX(0,SUMIFS(期初数据!$L$6:$L$155,期初数据!$J$6:$J$155,$A140,期初数据!$K$6:$K$155,"&lt;="&amp;首页!$B$7-30)+SUMIFS(采购录入!$S$5:$S$404,采购录入!$D$5:$D$404,$A140,采购录入!$T$5:$T$404,"&lt;="&amp;首页!$B$7-30)-SUMIFS(资金流水!$N$5:$N$504,资金流水!$G$5:$G$504,$A140,资金流水!$E$5:$E$504,"供应商付款",资金流水!$B$5:$B$504,"&lt;="&amp;首页!$B$7)))-$K140-$J140)</f>
        <v/>
      </c>
      <c r="J140" s="44" t="str">
        <f aca="false">IF($A140="","",MIN($F140,MAX(0,SUMIFS(期初数据!$L$6:$L$155,期初数据!$J$6:$J$155,$A140,期初数据!$K$6:$K$155,"&lt;="&amp;首页!$B$7-60)+SUMIFS(采购录入!$S$5:$S$404,采购录入!$D$5:$D$404,$A140,采购录入!$T$5:$T$404,"&lt;="&amp;首页!$B$7-60)-SUMIFS(资金流水!$N$5:$N$504,资金流水!$G$5:$G$504,$A140,资金流水!$E$5:$E$504,"供应商付款",资金流水!$B$5:$B$504,"&lt;="&amp;首页!$B$7)))-$K140)</f>
        <v/>
      </c>
      <c r="K140" s="44" t="str">
        <f aca="false">IF($A140="","",MIN($F140,MAX(0,SUMIFS(期初数据!$L$6:$L$155,期初数据!$J$6:$J$155,$A140,期初数据!$K$6:$K$155,"&lt;="&amp;首页!$B$7-90)+SUMIFS(采购录入!$S$5:$S$404,采购录入!$D$5:$D$404,$A140,采购录入!$T$5:$T$404,"&lt;="&amp;首页!$B$7-90)-SUMIFS(资金流水!$N$5:$N$504,资金流水!$G$5:$G$504,$A140,资金流水!$E$5:$E$504,"供应商付款",资金流水!$B$5:$B$504,"&lt;="&amp;首页!$B$7))))</f>
        <v/>
      </c>
      <c r="L140" s="62" t="str">
        <f aca="false">IF($A140="","",$H140+$I140+$J140+$K140)</f>
        <v/>
      </c>
      <c r="M140" s="47" t="str">
        <f aca="false">IF($A140="","",IF($K140&gt;0,"高危",IF($J140&gt;0,"关注",IF($L140&gt;0,"提醒","正常"))))</f>
        <v/>
      </c>
      <c r="N140" s="42" t="str">
        <f aca="false">IF($A140="","",基础资料!$AG140)</f>
        <v/>
      </c>
    </row>
    <row r="141" customFormat="false" ht="15.75" hidden="false" customHeight="true" outlineLevel="0" collapsed="false">
      <c r="A141" s="35" t="str">
        <f aca="false">IF(基础资料!$AF141="","",基础资料!$AF141)</f>
        <v/>
      </c>
      <c r="B141" s="42" t="str">
        <f aca="false">IF($A141="","",N(基础资料!$AH141))</f>
        <v/>
      </c>
      <c r="C141" s="54" t="str">
        <f aca="false">IF($A141="","",SUMIFS(期初数据!$L$6:$L$155,期初数据!$J$6:$J$155,$A141,期初数据!$K$6:$K$155,"&lt;"&amp;首页!$B$6)+SUMIFS(采购录入!$S$5:$S$404,采购录入!$D$5:$D$404,$A141,采购录入!$B$5:$B$404,"&lt;"&amp;首页!$B$6)-SUMIFS(资金流水!$N$5:$N$504,资金流水!$G$5:$G$504,$A141,资金流水!$E$5:$E$504,"供应商付款",资金流水!$B$5:$B$504,"&lt;"&amp;首页!$B$6))</f>
        <v/>
      </c>
      <c r="D141" s="54" t="str">
        <f aca="false">IF($A141="","",SUMIFS(采购录入!$S$5:$S$404,采购录入!$D$5:$D$404,$A141,采购录入!$C$5:$C$404,首页!$B$5))</f>
        <v/>
      </c>
      <c r="E141" s="54" t="str">
        <f aca="false">IF($A141="","",SUMIFS(资金流水!$N$5:$N$504,资金流水!$G$5:$G$504,$A141,资金流水!$E$5:$E$504,"供应商付款",资金流水!$C$5:$C$504,首页!$B$5))</f>
        <v/>
      </c>
      <c r="F141" s="62" t="str">
        <f aca="false">IF($A141="","",$C141+$D141-$E141)</f>
        <v/>
      </c>
      <c r="G141" s="44" t="str">
        <f aca="false">IF($A141="","",$F141-$H141-$I141-$J141-$K141)</f>
        <v/>
      </c>
      <c r="H141" s="44" t="str">
        <f aca="false">IF($A141="","",MIN($F141,MAX(0,SUMIFS(期初数据!$L$6:$L$155,期初数据!$J$6:$J$155,$A141,期初数据!$K$6:$K$155,"&lt;="&amp;首页!$B$7)+SUMIFS(采购录入!$S$5:$S$404,采购录入!$D$5:$D$404,$A141,采购录入!$T$5:$T$404,"&lt;="&amp;首页!$B$7)-SUMIFS(资金流水!$N$5:$N$504,资金流水!$G$5:$G$504,$A141,资金流水!$E$5:$E$504,"供应商付款",资金流水!$B$5:$B$504,"&lt;="&amp;首页!$B$7)))-$K141-$J141-$I141)</f>
        <v/>
      </c>
      <c r="I141" s="44" t="str">
        <f aca="false">IF($A141="","",MIN($F141,MAX(0,SUMIFS(期初数据!$L$6:$L$155,期初数据!$J$6:$J$155,$A141,期初数据!$K$6:$K$155,"&lt;="&amp;首页!$B$7-30)+SUMIFS(采购录入!$S$5:$S$404,采购录入!$D$5:$D$404,$A141,采购录入!$T$5:$T$404,"&lt;="&amp;首页!$B$7-30)-SUMIFS(资金流水!$N$5:$N$504,资金流水!$G$5:$G$504,$A141,资金流水!$E$5:$E$504,"供应商付款",资金流水!$B$5:$B$504,"&lt;="&amp;首页!$B$7)))-$K141-$J141)</f>
        <v/>
      </c>
      <c r="J141" s="44" t="str">
        <f aca="false">IF($A141="","",MIN($F141,MAX(0,SUMIFS(期初数据!$L$6:$L$155,期初数据!$J$6:$J$155,$A141,期初数据!$K$6:$K$155,"&lt;="&amp;首页!$B$7-60)+SUMIFS(采购录入!$S$5:$S$404,采购录入!$D$5:$D$404,$A141,采购录入!$T$5:$T$404,"&lt;="&amp;首页!$B$7-60)-SUMIFS(资金流水!$N$5:$N$504,资金流水!$G$5:$G$504,$A141,资金流水!$E$5:$E$504,"供应商付款",资金流水!$B$5:$B$504,"&lt;="&amp;首页!$B$7)))-$K141)</f>
        <v/>
      </c>
      <c r="K141" s="44" t="str">
        <f aca="false">IF($A141="","",MIN($F141,MAX(0,SUMIFS(期初数据!$L$6:$L$155,期初数据!$J$6:$J$155,$A141,期初数据!$K$6:$K$155,"&lt;="&amp;首页!$B$7-90)+SUMIFS(采购录入!$S$5:$S$404,采购录入!$D$5:$D$404,$A141,采购录入!$T$5:$T$404,"&lt;="&amp;首页!$B$7-90)-SUMIFS(资金流水!$N$5:$N$504,资金流水!$G$5:$G$504,$A141,资金流水!$E$5:$E$504,"供应商付款",资金流水!$B$5:$B$504,"&lt;="&amp;首页!$B$7))))</f>
        <v/>
      </c>
      <c r="L141" s="62" t="str">
        <f aca="false">IF($A141="","",$H141+$I141+$J141+$K141)</f>
        <v/>
      </c>
      <c r="M141" s="47" t="str">
        <f aca="false">IF($A141="","",IF($K141&gt;0,"高危",IF($J141&gt;0,"关注",IF($L141&gt;0,"提醒","正常"))))</f>
        <v/>
      </c>
      <c r="N141" s="42" t="str">
        <f aca="false">IF($A141="","",基础资料!$AG141)</f>
        <v/>
      </c>
    </row>
    <row r="142" customFormat="false" ht="15.75" hidden="false" customHeight="true" outlineLevel="0" collapsed="false">
      <c r="A142" s="35" t="str">
        <f aca="false">IF(基础资料!$AF142="","",基础资料!$AF142)</f>
        <v/>
      </c>
      <c r="B142" s="42" t="str">
        <f aca="false">IF($A142="","",N(基础资料!$AH142))</f>
        <v/>
      </c>
      <c r="C142" s="54" t="str">
        <f aca="false">IF($A142="","",SUMIFS(期初数据!$L$6:$L$155,期初数据!$J$6:$J$155,$A142,期初数据!$K$6:$K$155,"&lt;"&amp;首页!$B$6)+SUMIFS(采购录入!$S$5:$S$404,采购录入!$D$5:$D$404,$A142,采购录入!$B$5:$B$404,"&lt;"&amp;首页!$B$6)-SUMIFS(资金流水!$N$5:$N$504,资金流水!$G$5:$G$504,$A142,资金流水!$E$5:$E$504,"供应商付款",资金流水!$B$5:$B$504,"&lt;"&amp;首页!$B$6))</f>
        <v/>
      </c>
      <c r="D142" s="54" t="str">
        <f aca="false">IF($A142="","",SUMIFS(采购录入!$S$5:$S$404,采购录入!$D$5:$D$404,$A142,采购录入!$C$5:$C$404,首页!$B$5))</f>
        <v/>
      </c>
      <c r="E142" s="54" t="str">
        <f aca="false">IF($A142="","",SUMIFS(资金流水!$N$5:$N$504,资金流水!$G$5:$G$504,$A142,资金流水!$E$5:$E$504,"供应商付款",资金流水!$C$5:$C$504,首页!$B$5))</f>
        <v/>
      </c>
      <c r="F142" s="62" t="str">
        <f aca="false">IF($A142="","",$C142+$D142-$E142)</f>
        <v/>
      </c>
      <c r="G142" s="44" t="str">
        <f aca="false">IF($A142="","",$F142-$H142-$I142-$J142-$K142)</f>
        <v/>
      </c>
      <c r="H142" s="44" t="str">
        <f aca="false">IF($A142="","",MIN($F142,MAX(0,SUMIFS(期初数据!$L$6:$L$155,期初数据!$J$6:$J$155,$A142,期初数据!$K$6:$K$155,"&lt;="&amp;首页!$B$7)+SUMIFS(采购录入!$S$5:$S$404,采购录入!$D$5:$D$404,$A142,采购录入!$T$5:$T$404,"&lt;="&amp;首页!$B$7)-SUMIFS(资金流水!$N$5:$N$504,资金流水!$G$5:$G$504,$A142,资金流水!$E$5:$E$504,"供应商付款",资金流水!$B$5:$B$504,"&lt;="&amp;首页!$B$7)))-$K142-$J142-$I142)</f>
        <v/>
      </c>
      <c r="I142" s="44" t="str">
        <f aca="false">IF($A142="","",MIN($F142,MAX(0,SUMIFS(期初数据!$L$6:$L$155,期初数据!$J$6:$J$155,$A142,期初数据!$K$6:$K$155,"&lt;="&amp;首页!$B$7-30)+SUMIFS(采购录入!$S$5:$S$404,采购录入!$D$5:$D$404,$A142,采购录入!$T$5:$T$404,"&lt;="&amp;首页!$B$7-30)-SUMIFS(资金流水!$N$5:$N$504,资金流水!$G$5:$G$504,$A142,资金流水!$E$5:$E$504,"供应商付款",资金流水!$B$5:$B$504,"&lt;="&amp;首页!$B$7)))-$K142-$J142)</f>
        <v/>
      </c>
      <c r="J142" s="44" t="str">
        <f aca="false">IF($A142="","",MIN($F142,MAX(0,SUMIFS(期初数据!$L$6:$L$155,期初数据!$J$6:$J$155,$A142,期初数据!$K$6:$K$155,"&lt;="&amp;首页!$B$7-60)+SUMIFS(采购录入!$S$5:$S$404,采购录入!$D$5:$D$404,$A142,采购录入!$T$5:$T$404,"&lt;="&amp;首页!$B$7-60)-SUMIFS(资金流水!$N$5:$N$504,资金流水!$G$5:$G$504,$A142,资金流水!$E$5:$E$504,"供应商付款",资金流水!$B$5:$B$504,"&lt;="&amp;首页!$B$7)))-$K142)</f>
        <v/>
      </c>
      <c r="K142" s="44" t="str">
        <f aca="false">IF($A142="","",MIN($F142,MAX(0,SUMIFS(期初数据!$L$6:$L$155,期初数据!$J$6:$J$155,$A142,期初数据!$K$6:$K$155,"&lt;="&amp;首页!$B$7-90)+SUMIFS(采购录入!$S$5:$S$404,采购录入!$D$5:$D$404,$A142,采购录入!$T$5:$T$404,"&lt;="&amp;首页!$B$7-90)-SUMIFS(资金流水!$N$5:$N$504,资金流水!$G$5:$G$504,$A142,资金流水!$E$5:$E$504,"供应商付款",资金流水!$B$5:$B$504,"&lt;="&amp;首页!$B$7))))</f>
        <v/>
      </c>
      <c r="L142" s="62" t="str">
        <f aca="false">IF($A142="","",$H142+$I142+$J142+$K142)</f>
        <v/>
      </c>
      <c r="M142" s="47" t="str">
        <f aca="false">IF($A142="","",IF($K142&gt;0,"高危",IF($J142&gt;0,"关注",IF($L142&gt;0,"提醒","正常"))))</f>
        <v/>
      </c>
      <c r="N142" s="42" t="str">
        <f aca="false">IF($A142="","",基础资料!$AG142)</f>
        <v/>
      </c>
    </row>
    <row r="143" customFormat="false" ht="15.75" hidden="false" customHeight="true" outlineLevel="0" collapsed="false">
      <c r="A143" s="35" t="str">
        <f aca="false">IF(基础资料!$AF143="","",基础资料!$AF143)</f>
        <v/>
      </c>
      <c r="B143" s="42" t="str">
        <f aca="false">IF($A143="","",N(基础资料!$AH143))</f>
        <v/>
      </c>
      <c r="C143" s="54" t="str">
        <f aca="false">IF($A143="","",SUMIFS(期初数据!$L$6:$L$155,期初数据!$J$6:$J$155,$A143,期初数据!$K$6:$K$155,"&lt;"&amp;首页!$B$6)+SUMIFS(采购录入!$S$5:$S$404,采购录入!$D$5:$D$404,$A143,采购录入!$B$5:$B$404,"&lt;"&amp;首页!$B$6)-SUMIFS(资金流水!$N$5:$N$504,资金流水!$G$5:$G$504,$A143,资金流水!$E$5:$E$504,"供应商付款",资金流水!$B$5:$B$504,"&lt;"&amp;首页!$B$6))</f>
        <v/>
      </c>
      <c r="D143" s="54" t="str">
        <f aca="false">IF($A143="","",SUMIFS(采购录入!$S$5:$S$404,采购录入!$D$5:$D$404,$A143,采购录入!$C$5:$C$404,首页!$B$5))</f>
        <v/>
      </c>
      <c r="E143" s="54" t="str">
        <f aca="false">IF($A143="","",SUMIFS(资金流水!$N$5:$N$504,资金流水!$G$5:$G$504,$A143,资金流水!$E$5:$E$504,"供应商付款",资金流水!$C$5:$C$504,首页!$B$5))</f>
        <v/>
      </c>
      <c r="F143" s="62" t="str">
        <f aca="false">IF($A143="","",$C143+$D143-$E143)</f>
        <v/>
      </c>
      <c r="G143" s="44" t="str">
        <f aca="false">IF($A143="","",$F143-$H143-$I143-$J143-$K143)</f>
        <v/>
      </c>
      <c r="H143" s="44" t="str">
        <f aca="false">IF($A143="","",MIN($F143,MAX(0,SUMIFS(期初数据!$L$6:$L$155,期初数据!$J$6:$J$155,$A143,期初数据!$K$6:$K$155,"&lt;="&amp;首页!$B$7)+SUMIFS(采购录入!$S$5:$S$404,采购录入!$D$5:$D$404,$A143,采购录入!$T$5:$T$404,"&lt;="&amp;首页!$B$7)-SUMIFS(资金流水!$N$5:$N$504,资金流水!$G$5:$G$504,$A143,资金流水!$E$5:$E$504,"供应商付款",资金流水!$B$5:$B$504,"&lt;="&amp;首页!$B$7)))-$K143-$J143-$I143)</f>
        <v/>
      </c>
      <c r="I143" s="44" t="str">
        <f aca="false">IF($A143="","",MIN($F143,MAX(0,SUMIFS(期初数据!$L$6:$L$155,期初数据!$J$6:$J$155,$A143,期初数据!$K$6:$K$155,"&lt;="&amp;首页!$B$7-30)+SUMIFS(采购录入!$S$5:$S$404,采购录入!$D$5:$D$404,$A143,采购录入!$T$5:$T$404,"&lt;="&amp;首页!$B$7-30)-SUMIFS(资金流水!$N$5:$N$504,资金流水!$G$5:$G$504,$A143,资金流水!$E$5:$E$504,"供应商付款",资金流水!$B$5:$B$504,"&lt;="&amp;首页!$B$7)))-$K143-$J143)</f>
        <v/>
      </c>
      <c r="J143" s="44" t="str">
        <f aca="false">IF($A143="","",MIN($F143,MAX(0,SUMIFS(期初数据!$L$6:$L$155,期初数据!$J$6:$J$155,$A143,期初数据!$K$6:$K$155,"&lt;="&amp;首页!$B$7-60)+SUMIFS(采购录入!$S$5:$S$404,采购录入!$D$5:$D$404,$A143,采购录入!$T$5:$T$404,"&lt;="&amp;首页!$B$7-60)-SUMIFS(资金流水!$N$5:$N$504,资金流水!$G$5:$G$504,$A143,资金流水!$E$5:$E$504,"供应商付款",资金流水!$B$5:$B$504,"&lt;="&amp;首页!$B$7)))-$K143)</f>
        <v/>
      </c>
      <c r="K143" s="44" t="str">
        <f aca="false">IF($A143="","",MIN($F143,MAX(0,SUMIFS(期初数据!$L$6:$L$155,期初数据!$J$6:$J$155,$A143,期初数据!$K$6:$K$155,"&lt;="&amp;首页!$B$7-90)+SUMIFS(采购录入!$S$5:$S$404,采购录入!$D$5:$D$404,$A143,采购录入!$T$5:$T$404,"&lt;="&amp;首页!$B$7-90)-SUMIFS(资金流水!$N$5:$N$504,资金流水!$G$5:$G$504,$A143,资金流水!$E$5:$E$504,"供应商付款",资金流水!$B$5:$B$504,"&lt;="&amp;首页!$B$7))))</f>
        <v/>
      </c>
      <c r="L143" s="62" t="str">
        <f aca="false">IF($A143="","",$H143+$I143+$J143+$K143)</f>
        <v/>
      </c>
      <c r="M143" s="47" t="str">
        <f aca="false">IF($A143="","",IF($K143&gt;0,"高危",IF($J143&gt;0,"关注",IF($L143&gt;0,"提醒","正常"))))</f>
        <v/>
      </c>
      <c r="N143" s="42" t="str">
        <f aca="false">IF($A143="","",基础资料!$AG143)</f>
        <v/>
      </c>
    </row>
    <row r="144" customFormat="false" ht="15.75" hidden="false" customHeight="true" outlineLevel="0" collapsed="false">
      <c r="A144" s="35" t="str">
        <f aca="false">IF(基础资料!$AF144="","",基础资料!$AF144)</f>
        <v/>
      </c>
      <c r="B144" s="42" t="str">
        <f aca="false">IF($A144="","",N(基础资料!$AH144))</f>
        <v/>
      </c>
      <c r="C144" s="54" t="str">
        <f aca="false">IF($A144="","",SUMIFS(期初数据!$L$6:$L$155,期初数据!$J$6:$J$155,$A144,期初数据!$K$6:$K$155,"&lt;"&amp;首页!$B$6)+SUMIFS(采购录入!$S$5:$S$404,采购录入!$D$5:$D$404,$A144,采购录入!$B$5:$B$404,"&lt;"&amp;首页!$B$6)-SUMIFS(资金流水!$N$5:$N$504,资金流水!$G$5:$G$504,$A144,资金流水!$E$5:$E$504,"供应商付款",资金流水!$B$5:$B$504,"&lt;"&amp;首页!$B$6))</f>
        <v/>
      </c>
      <c r="D144" s="54" t="str">
        <f aca="false">IF($A144="","",SUMIFS(采购录入!$S$5:$S$404,采购录入!$D$5:$D$404,$A144,采购录入!$C$5:$C$404,首页!$B$5))</f>
        <v/>
      </c>
      <c r="E144" s="54" t="str">
        <f aca="false">IF($A144="","",SUMIFS(资金流水!$N$5:$N$504,资金流水!$G$5:$G$504,$A144,资金流水!$E$5:$E$504,"供应商付款",资金流水!$C$5:$C$504,首页!$B$5))</f>
        <v/>
      </c>
      <c r="F144" s="62" t="str">
        <f aca="false">IF($A144="","",$C144+$D144-$E144)</f>
        <v/>
      </c>
      <c r="G144" s="44" t="str">
        <f aca="false">IF($A144="","",$F144-$H144-$I144-$J144-$K144)</f>
        <v/>
      </c>
      <c r="H144" s="44" t="str">
        <f aca="false">IF($A144="","",MIN($F144,MAX(0,SUMIFS(期初数据!$L$6:$L$155,期初数据!$J$6:$J$155,$A144,期初数据!$K$6:$K$155,"&lt;="&amp;首页!$B$7)+SUMIFS(采购录入!$S$5:$S$404,采购录入!$D$5:$D$404,$A144,采购录入!$T$5:$T$404,"&lt;="&amp;首页!$B$7)-SUMIFS(资金流水!$N$5:$N$504,资金流水!$G$5:$G$504,$A144,资金流水!$E$5:$E$504,"供应商付款",资金流水!$B$5:$B$504,"&lt;="&amp;首页!$B$7)))-$K144-$J144-$I144)</f>
        <v/>
      </c>
      <c r="I144" s="44" t="str">
        <f aca="false">IF($A144="","",MIN($F144,MAX(0,SUMIFS(期初数据!$L$6:$L$155,期初数据!$J$6:$J$155,$A144,期初数据!$K$6:$K$155,"&lt;="&amp;首页!$B$7-30)+SUMIFS(采购录入!$S$5:$S$404,采购录入!$D$5:$D$404,$A144,采购录入!$T$5:$T$404,"&lt;="&amp;首页!$B$7-30)-SUMIFS(资金流水!$N$5:$N$504,资金流水!$G$5:$G$504,$A144,资金流水!$E$5:$E$504,"供应商付款",资金流水!$B$5:$B$504,"&lt;="&amp;首页!$B$7)))-$K144-$J144)</f>
        <v/>
      </c>
      <c r="J144" s="44" t="str">
        <f aca="false">IF($A144="","",MIN($F144,MAX(0,SUMIFS(期初数据!$L$6:$L$155,期初数据!$J$6:$J$155,$A144,期初数据!$K$6:$K$155,"&lt;="&amp;首页!$B$7-60)+SUMIFS(采购录入!$S$5:$S$404,采购录入!$D$5:$D$404,$A144,采购录入!$T$5:$T$404,"&lt;="&amp;首页!$B$7-60)-SUMIFS(资金流水!$N$5:$N$504,资金流水!$G$5:$G$504,$A144,资金流水!$E$5:$E$504,"供应商付款",资金流水!$B$5:$B$504,"&lt;="&amp;首页!$B$7)))-$K144)</f>
        <v/>
      </c>
      <c r="K144" s="44" t="str">
        <f aca="false">IF($A144="","",MIN($F144,MAX(0,SUMIFS(期初数据!$L$6:$L$155,期初数据!$J$6:$J$155,$A144,期初数据!$K$6:$K$155,"&lt;="&amp;首页!$B$7-90)+SUMIFS(采购录入!$S$5:$S$404,采购录入!$D$5:$D$404,$A144,采购录入!$T$5:$T$404,"&lt;="&amp;首页!$B$7-90)-SUMIFS(资金流水!$N$5:$N$504,资金流水!$G$5:$G$504,$A144,资金流水!$E$5:$E$504,"供应商付款",资金流水!$B$5:$B$504,"&lt;="&amp;首页!$B$7))))</f>
        <v/>
      </c>
      <c r="L144" s="62" t="str">
        <f aca="false">IF($A144="","",$H144+$I144+$J144+$K144)</f>
        <v/>
      </c>
      <c r="M144" s="47" t="str">
        <f aca="false">IF($A144="","",IF($K144&gt;0,"高危",IF($J144&gt;0,"关注",IF($L144&gt;0,"提醒","正常"))))</f>
        <v/>
      </c>
      <c r="N144" s="42" t="str">
        <f aca="false">IF($A144="","",基础资料!$AG144)</f>
        <v/>
      </c>
    </row>
    <row r="145" customFormat="false" ht="15.75" hidden="false" customHeight="true" outlineLevel="0" collapsed="false">
      <c r="A145" s="35" t="str">
        <f aca="false">IF(基础资料!$AF145="","",基础资料!$AF145)</f>
        <v/>
      </c>
      <c r="B145" s="42" t="str">
        <f aca="false">IF($A145="","",N(基础资料!$AH145))</f>
        <v/>
      </c>
      <c r="C145" s="54" t="str">
        <f aca="false">IF($A145="","",SUMIFS(期初数据!$L$6:$L$155,期初数据!$J$6:$J$155,$A145,期初数据!$K$6:$K$155,"&lt;"&amp;首页!$B$6)+SUMIFS(采购录入!$S$5:$S$404,采购录入!$D$5:$D$404,$A145,采购录入!$B$5:$B$404,"&lt;"&amp;首页!$B$6)-SUMIFS(资金流水!$N$5:$N$504,资金流水!$G$5:$G$504,$A145,资金流水!$E$5:$E$504,"供应商付款",资金流水!$B$5:$B$504,"&lt;"&amp;首页!$B$6))</f>
        <v/>
      </c>
      <c r="D145" s="54" t="str">
        <f aca="false">IF($A145="","",SUMIFS(采购录入!$S$5:$S$404,采购录入!$D$5:$D$404,$A145,采购录入!$C$5:$C$404,首页!$B$5))</f>
        <v/>
      </c>
      <c r="E145" s="54" t="str">
        <f aca="false">IF($A145="","",SUMIFS(资金流水!$N$5:$N$504,资金流水!$G$5:$G$504,$A145,资金流水!$E$5:$E$504,"供应商付款",资金流水!$C$5:$C$504,首页!$B$5))</f>
        <v/>
      </c>
      <c r="F145" s="62" t="str">
        <f aca="false">IF($A145="","",$C145+$D145-$E145)</f>
        <v/>
      </c>
      <c r="G145" s="44" t="str">
        <f aca="false">IF($A145="","",$F145-$H145-$I145-$J145-$K145)</f>
        <v/>
      </c>
      <c r="H145" s="44" t="str">
        <f aca="false">IF($A145="","",MIN($F145,MAX(0,SUMIFS(期初数据!$L$6:$L$155,期初数据!$J$6:$J$155,$A145,期初数据!$K$6:$K$155,"&lt;="&amp;首页!$B$7)+SUMIFS(采购录入!$S$5:$S$404,采购录入!$D$5:$D$404,$A145,采购录入!$T$5:$T$404,"&lt;="&amp;首页!$B$7)-SUMIFS(资金流水!$N$5:$N$504,资金流水!$G$5:$G$504,$A145,资金流水!$E$5:$E$504,"供应商付款",资金流水!$B$5:$B$504,"&lt;="&amp;首页!$B$7)))-$K145-$J145-$I145)</f>
        <v/>
      </c>
      <c r="I145" s="44" t="str">
        <f aca="false">IF($A145="","",MIN($F145,MAX(0,SUMIFS(期初数据!$L$6:$L$155,期初数据!$J$6:$J$155,$A145,期初数据!$K$6:$K$155,"&lt;="&amp;首页!$B$7-30)+SUMIFS(采购录入!$S$5:$S$404,采购录入!$D$5:$D$404,$A145,采购录入!$T$5:$T$404,"&lt;="&amp;首页!$B$7-30)-SUMIFS(资金流水!$N$5:$N$504,资金流水!$G$5:$G$504,$A145,资金流水!$E$5:$E$504,"供应商付款",资金流水!$B$5:$B$504,"&lt;="&amp;首页!$B$7)))-$K145-$J145)</f>
        <v/>
      </c>
      <c r="J145" s="44" t="str">
        <f aca="false">IF($A145="","",MIN($F145,MAX(0,SUMIFS(期初数据!$L$6:$L$155,期初数据!$J$6:$J$155,$A145,期初数据!$K$6:$K$155,"&lt;="&amp;首页!$B$7-60)+SUMIFS(采购录入!$S$5:$S$404,采购录入!$D$5:$D$404,$A145,采购录入!$T$5:$T$404,"&lt;="&amp;首页!$B$7-60)-SUMIFS(资金流水!$N$5:$N$504,资金流水!$G$5:$G$504,$A145,资金流水!$E$5:$E$504,"供应商付款",资金流水!$B$5:$B$504,"&lt;="&amp;首页!$B$7)))-$K145)</f>
        <v/>
      </c>
      <c r="K145" s="44" t="str">
        <f aca="false">IF($A145="","",MIN($F145,MAX(0,SUMIFS(期初数据!$L$6:$L$155,期初数据!$J$6:$J$155,$A145,期初数据!$K$6:$K$155,"&lt;="&amp;首页!$B$7-90)+SUMIFS(采购录入!$S$5:$S$404,采购录入!$D$5:$D$404,$A145,采购录入!$T$5:$T$404,"&lt;="&amp;首页!$B$7-90)-SUMIFS(资金流水!$N$5:$N$504,资金流水!$G$5:$G$504,$A145,资金流水!$E$5:$E$504,"供应商付款",资金流水!$B$5:$B$504,"&lt;="&amp;首页!$B$7))))</f>
        <v/>
      </c>
      <c r="L145" s="62" t="str">
        <f aca="false">IF($A145="","",$H145+$I145+$J145+$K145)</f>
        <v/>
      </c>
      <c r="M145" s="47" t="str">
        <f aca="false">IF($A145="","",IF($K145&gt;0,"高危",IF($J145&gt;0,"关注",IF($L145&gt;0,"提醒","正常"))))</f>
        <v/>
      </c>
      <c r="N145" s="42" t="str">
        <f aca="false">IF($A145="","",基础资料!$AG145)</f>
        <v/>
      </c>
    </row>
    <row r="146" customFormat="false" ht="15.75" hidden="false" customHeight="true" outlineLevel="0" collapsed="false">
      <c r="A146" s="35" t="str">
        <f aca="false">IF(基础资料!$AF146="","",基础资料!$AF146)</f>
        <v/>
      </c>
      <c r="B146" s="42" t="str">
        <f aca="false">IF($A146="","",N(基础资料!$AH146))</f>
        <v/>
      </c>
      <c r="C146" s="54" t="str">
        <f aca="false">IF($A146="","",SUMIFS(期初数据!$L$6:$L$155,期初数据!$J$6:$J$155,$A146,期初数据!$K$6:$K$155,"&lt;"&amp;首页!$B$6)+SUMIFS(采购录入!$S$5:$S$404,采购录入!$D$5:$D$404,$A146,采购录入!$B$5:$B$404,"&lt;"&amp;首页!$B$6)-SUMIFS(资金流水!$N$5:$N$504,资金流水!$G$5:$G$504,$A146,资金流水!$E$5:$E$504,"供应商付款",资金流水!$B$5:$B$504,"&lt;"&amp;首页!$B$6))</f>
        <v/>
      </c>
      <c r="D146" s="54" t="str">
        <f aca="false">IF($A146="","",SUMIFS(采购录入!$S$5:$S$404,采购录入!$D$5:$D$404,$A146,采购录入!$C$5:$C$404,首页!$B$5))</f>
        <v/>
      </c>
      <c r="E146" s="54" t="str">
        <f aca="false">IF($A146="","",SUMIFS(资金流水!$N$5:$N$504,资金流水!$G$5:$G$504,$A146,资金流水!$E$5:$E$504,"供应商付款",资金流水!$C$5:$C$504,首页!$B$5))</f>
        <v/>
      </c>
      <c r="F146" s="62" t="str">
        <f aca="false">IF($A146="","",$C146+$D146-$E146)</f>
        <v/>
      </c>
      <c r="G146" s="44" t="str">
        <f aca="false">IF($A146="","",$F146-$H146-$I146-$J146-$K146)</f>
        <v/>
      </c>
      <c r="H146" s="44" t="str">
        <f aca="false">IF($A146="","",MIN($F146,MAX(0,SUMIFS(期初数据!$L$6:$L$155,期初数据!$J$6:$J$155,$A146,期初数据!$K$6:$K$155,"&lt;="&amp;首页!$B$7)+SUMIFS(采购录入!$S$5:$S$404,采购录入!$D$5:$D$404,$A146,采购录入!$T$5:$T$404,"&lt;="&amp;首页!$B$7)-SUMIFS(资金流水!$N$5:$N$504,资金流水!$G$5:$G$504,$A146,资金流水!$E$5:$E$504,"供应商付款",资金流水!$B$5:$B$504,"&lt;="&amp;首页!$B$7)))-$K146-$J146-$I146)</f>
        <v/>
      </c>
      <c r="I146" s="44" t="str">
        <f aca="false">IF($A146="","",MIN($F146,MAX(0,SUMIFS(期初数据!$L$6:$L$155,期初数据!$J$6:$J$155,$A146,期初数据!$K$6:$K$155,"&lt;="&amp;首页!$B$7-30)+SUMIFS(采购录入!$S$5:$S$404,采购录入!$D$5:$D$404,$A146,采购录入!$T$5:$T$404,"&lt;="&amp;首页!$B$7-30)-SUMIFS(资金流水!$N$5:$N$504,资金流水!$G$5:$G$504,$A146,资金流水!$E$5:$E$504,"供应商付款",资金流水!$B$5:$B$504,"&lt;="&amp;首页!$B$7)))-$K146-$J146)</f>
        <v/>
      </c>
      <c r="J146" s="44" t="str">
        <f aca="false">IF($A146="","",MIN($F146,MAX(0,SUMIFS(期初数据!$L$6:$L$155,期初数据!$J$6:$J$155,$A146,期初数据!$K$6:$K$155,"&lt;="&amp;首页!$B$7-60)+SUMIFS(采购录入!$S$5:$S$404,采购录入!$D$5:$D$404,$A146,采购录入!$T$5:$T$404,"&lt;="&amp;首页!$B$7-60)-SUMIFS(资金流水!$N$5:$N$504,资金流水!$G$5:$G$504,$A146,资金流水!$E$5:$E$504,"供应商付款",资金流水!$B$5:$B$504,"&lt;="&amp;首页!$B$7)))-$K146)</f>
        <v/>
      </c>
      <c r="K146" s="44" t="str">
        <f aca="false">IF($A146="","",MIN($F146,MAX(0,SUMIFS(期初数据!$L$6:$L$155,期初数据!$J$6:$J$155,$A146,期初数据!$K$6:$K$155,"&lt;="&amp;首页!$B$7-90)+SUMIFS(采购录入!$S$5:$S$404,采购录入!$D$5:$D$404,$A146,采购录入!$T$5:$T$404,"&lt;="&amp;首页!$B$7-90)-SUMIFS(资金流水!$N$5:$N$504,资金流水!$G$5:$G$504,$A146,资金流水!$E$5:$E$504,"供应商付款",资金流水!$B$5:$B$504,"&lt;="&amp;首页!$B$7))))</f>
        <v/>
      </c>
      <c r="L146" s="62" t="str">
        <f aca="false">IF($A146="","",$H146+$I146+$J146+$K146)</f>
        <v/>
      </c>
      <c r="M146" s="47" t="str">
        <f aca="false">IF($A146="","",IF($K146&gt;0,"高危",IF($J146&gt;0,"关注",IF($L146&gt;0,"提醒","正常"))))</f>
        <v/>
      </c>
      <c r="N146" s="42" t="str">
        <f aca="false">IF($A146="","",基础资料!$AG146)</f>
        <v/>
      </c>
    </row>
    <row r="147" customFormat="false" ht="15.75" hidden="false" customHeight="true" outlineLevel="0" collapsed="false">
      <c r="A147" s="35" t="str">
        <f aca="false">IF(基础资料!$AF147="","",基础资料!$AF147)</f>
        <v/>
      </c>
      <c r="B147" s="42" t="str">
        <f aca="false">IF($A147="","",N(基础资料!$AH147))</f>
        <v/>
      </c>
      <c r="C147" s="54" t="str">
        <f aca="false">IF($A147="","",SUMIFS(期初数据!$L$6:$L$155,期初数据!$J$6:$J$155,$A147,期初数据!$K$6:$K$155,"&lt;"&amp;首页!$B$6)+SUMIFS(采购录入!$S$5:$S$404,采购录入!$D$5:$D$404,$A147,采购录入!$B$5:$B$404,"&lt;"&amp;首页!$B$6)-SUMIFS(资金流水!$N$5:$N$504,资金流水!$G$5:$G$504,$A147,资金流水!$E$5:$E$504,"供应商付款",资金流水!$B$5:$B$504,"&lt;"&amp;首页!$B$6))</f>
        <v/>
      </c>
      <c r="D147" s="54" t="str">
        <f aca="false">IF($A147="","",SUMIFS(采购录入!$S$5:$S$404,采购录入!$D$5:$D$404,$A147,采购录入!$C$5:$C$404,首页!$B$5))</f>
        <v/>
      </c>
      <c r="E147" s="54" t="str">
        <f aca="false">IF($A147="","",SUMIFS(资金流水!$N$5:$N$504,资金流水!$G$5:$G$504,$A147,资金流水!$E$5:$E$504,"供应商付款",资金流水!$C$5:$C$504,首页!$B$5))</f>
        <v/>
      </c>
      <c r="F147" s="62" t="str">
        <f aca="false">IF($A147="","",$C147+$D147-$E147)</f>
        <v/>
      </c>
      <c r="G147" s="44" t="str">
        <f aca="false">IF($A147="","",$F147-$H147-$I147-$J147-$K147)</f>
        <v/>
      </c>
      <c r="H147" s="44" t="str">
        <f aca="false">IF($A147="","",MIN($F147,MAX(0,SUMIFS(期初数据!$L$6:$L$155,期初数据!$J$6:$J$155,$A147,期初数据!$K$6:$K$155,"&lt;="&amp;首页!$B$7)+SUMIFS(采购录入!$S$5:$S$404,采购录入!$D$5:$D$404,$A147,采购录入!$T$5:$T$404,"&lt;="&amp;首页!$B$7)-SUMIFS(资金流水!$N$5:$N$504,资金流水!$G$5:$G$504,$A147,资金流水!$E$5:$E$504,"供应商付款",资金流水!$B$5:$B$504,"&lt;="&amp;首页!$B$7)))-$K147-$J147-$I147)</f>
        <v/>
      </c>
      <c r="I147" s="44" t="str">
        <f aca="false">IF($A147="","",MIN($F147,MAX(0,SUMIFS(期初数据!$L$6:$L$155,期初数据!$J$6:$J$155,$A147,期初数据!$K$6:$K$155,"&lt;="&amp;首页!$B$7-30)+SUMIFS(采购录入!$S$5:$S$404,采购录入!$D$5:$D$404,$A147,采购录入!$T$5:$T$404,"&lt;="&amp;首页!$B$7-30)-SUMIFS(资金流水!$N$5:$N$504,资金流水!$G$5:$G$504,$A147,资金流水!$E$5:$E$504,"供应商付款",资金流水!$B$5:$B$504,"&lt;="&amp;首页!$B$7)))-$K147-$J147)</f>
        <v/>
      </c>
      <c r="J147" s="44" t="str">
        <f aca="false">IF($A147="","",MIN($F147,MAX(0,SUMIFS(期初数据!$L$6:$L$155,期初数据!$J$6:$J$155,$A147,期初数据!$K$6:$K$155,"&lt;="&amp;首页!$B$7-60)+SUMIFS(采购录入!$S$5:$S$404,采购录入!$D$5:$D$404,$A147,采购录入!$T$5:$T$404,"&lt;="&amp;首页!$B$7-60)-SUMIFS(资金流水!$N$5:$N$504,资金流水!$G$5:$G$504,$A147,资金流水!$E$5:$E$504,"供应商付款",资金流水!$B$5:$B$504,"&lt;="&amp;首页!$B$7)))-$K147)</f>
        <v/>
      </c>
      <c r="K147" s="44" t="str">
        <f aca="false">IF($A147="","",MIN($F147,MAX(0,SUMIFS(期初数据!$L$6:$L$155,期初数据!$J$6:$J$155,$A147,期初数据!$K$6:$K$155,"&lt;="&amp;首页!$B$7-90)+SUMIFS(采购录入!$S$5:$S$404,采购录入!$D$5:$D$404,$A147,采购录入!$T$5:$T$404,"&lt;="&amp;首页!$B$7-90)-SUMIFS(资金流水!$N$5:$N$504,资金流水!$G$5:$G$504,$A147,资金流水!$E$5:$E$504,"供应商付款",资金流水!$B$5:$B$504,"&lt;="&amp;首页!$B$7))))</f>
        <v/>
      </c>
      <c r="L147" s="62" t="str">
        <f aca="false">IF($A147="","",$H147+$I147+$J147+$K147)</f>
        <v/>
      </c>
      <c r="M147" s="47" t="str">
        <f aca="false">IF($A147="","",IF($K147&gt;0,"高危",IF($J147&gt;0,"关注",IF($L147&gt;0,"提醒","正常"))))</f>
        <v/>
      </c>
      <c r="N147" s="42" t="str">
        <f aca="false">IF($A147="","",基础资料!$AG147)</f>
        <v/>
      </c>
    </row>
    <row r="148" customFormat="false" ht="15.75" hidden="false" customHeight="true" outlineLevel="0" collapsed="false">
      <c r="A148" s="35" t="str">
        <f aca="false">IF(基础资料!$AF148="","",基础资料!$AF148)</f>
        <v/>
      </c>
      <c r="B148" s="42" t="str">
        <f aca="false">IF($A148="","",N(基础资料!$AH148))</f>
        <v/>
      </c>
      <c r="C148" s="54" t="str">
        <f aca="false">IF($A148="","",SUMIFS(期初数据!$L$6:$L$155,期初数据!$J$6:$J$155,$A148,期初数据!$K$6:$K$155,"&lt;"&amp;首页!$B$6)+SUMIFS(采购录入!$S$5:$S$404,采购录入!$D$5:$D$404,$A148,采购录入!$B$5:$B$404,"&lt;"&amp;首页!$B$6)-SUMIFS(资金流水!$N$5:$N$504,资金流水!$G$5:$G$504,$A148,资金流水!$E$5:$E$504,"供应商付款",资金流水!$B$5:$B$504,"&lt;"&amp;首页!$B$6))</f>
        <v/>
      </c>
      <c r="D148" s="54" t="str">
        <f aca="false">IF($A148="","",SUMIFS(采购录入!$S$5:$S$404,采购录入!$D$5:$D$404,$A148,采购录入!$C$5:$C$404,首页!$B$5))</f>
        <v/>
      </c>
      <c r="E148" s="54" t="str">
        <f aca="false">IF($A148="","",SUMIFS(资金流水!$N$5:$N$504,资金流水!$G$5:$G$504,$A148,资金流水!$E$5:$E$504,"供应商付款",资金流水!$C$5:$C$504,首页!$B$5))</f>
        <v/>
      </c>
      <c r="F148" s="62" t="str">
        <f aca="false">IF($A148="","",$C148+$D148-$E148)</f>
        <v/>
      </c>
      <c r="G148" s="44" t="str">
        <f aca="false">IF($A148="","",$F148-$H148-$I148-$J148-$K148)</f>
        <v/>
      </c>
      <c r="H148" s="44" t="str">
        <f aca="false">IF($A148="","",MIN($F148,MAX(0,SUMIFS(期初数据!$L$6:$L$155,期初数据!$J$6:$J$155,$A148,期初数据!$K$6:$K$155,"&lt;="&amp;首页!$B$7)+SUMIFS(采购录入!$S$5:$S$404,采购录入!$D$5:$D$404,$A148,采购录入!$T$5:$T$404,"&lt;="&amp;首页!$B$7)-SUMIFS(资金流水!$N$5:$N$504,资金流水!$G$5:$G$504,$A148,资金流水!$E$5:$E$504,"供应商付款",资金流水!$B$5:$B$504,"&lt;="&amp;首页!$B$7)))-$K148-$J148-$I148)</f>
        <v/>
      </c>
      <c r="I148" s="44" t="str">
        <f aca="false">IF($A148="","",MIN($F148,MAX(0,SUMIFS(期初数据!$L$6:$L$155,期初数据!$J$6:$J$155,$A148,期初数据!$K$6:$K$155,"&lt;="&amp;首页!$B$7-30)+SUMIFS(采购录入!$S$5:$S$404,采购录入!$D$5:$D$404,$A148,采购录入!$T$5:$T$404,"&lt;="&amp;首页!$B$7-30)-SUMIFS(资金流水!$N$5:$N$504,资金流水!$G$5:$G$504,$A148,资金流水!$E$5:$E$504,"供应商付款",资金流水!$B$5:$B$504,"&lt;="&amp;首页!$B$7)))-$K148-$J148)</f>
        <v/>
      </c>
      <c r="J148" s="44" t="str">
        <f aca="false">IF($A148="","",MIN($F148,MAX(0,SUMIFS(期初数据!$L$6:$L$155,期初数据!$J$6:$J$155,$A148,期初数据!$K$6:$K$155,"&lt;="&amp;首页!$B$7-60)+SUMIFS(采购录入!$S$5:$S$404,采购录入!$D$5:$D$404,$A148,采购录入!$T$5:$T$404,"&lt;="&amp;首页!$B$7-60)-SUMIFS(资金流水!$N$5:$N$504,资金流水!$G$5:$G$504,$A148,资金流水!$E$5:$E$504,"供应商付款",资金流水!$B$5:$B$504,"&lt;="&amp;首页!$B$7)))-$K148)</f>
        <v/>
      </c>
      <c r="K148" s="44" t="str">
        <f aca="false">IF($A148="","",MIN($F148,MAX(0,SUMIFS(期初数据!$L$6:$L$155,期初数据!$J$6:$J$155,$A148,期初数据!$K$6:$K$155,"&lt;="&amp;首页!$B$7-90)+SUMIFS(采购录入!$S$5:$S$404,采购录入!$D$5:$D$404,$A148,采购录入!$T$5:$T$404,"&lt;="&amp;首页!$B$7-90)-SUMIFS(资金流水!$N$5:$N$504,资金流水!$G$5:$G$504,$A148,资金流水!$E$5:$E$504,"供应商付款",资金流水!$B$5:$B$504,"&lt;="&amp;首页!$B$7))))</f>
        <v/>
      </c>
      <c r="L148" s="62" t="str">
        <f aca="false">IF($A148="","",$H148+$I148+$J148+$K148)</f>
        <v/>
      </c>
      <c r="M148" s="47" t="str">
        <f aca="false">IF($A148="","",IF($K148&gt;0,"高危",IF($J148&gt;0,"关注",IF($L148&gt;0,"提醒","正常"))))</f>
        <v/>
      </c>
      <c r="N148" s="42" t="str">
        <f aca="false">IF($A148="","",基础资料!$AG148)</f>
        <v/>
      </c>
    </row>
    <row r="149" customFormat="false" ht="15.75" hidden="false" customHeight="true" outlineLevel="0" collapsed="false">
      <c r="A149" s="35" t="str">
        <f aca="false">IF(基础资料!$AF149="","",基础资料!$AF149)</f>
        <v/>
      </c>
      <c r="B149" s="42" t="str">
        <f aca="false">IF($A149="","",N(基础资料!$AH149))</f>
        <v/>
      </c>
      <c r="C149" s="54" t="str">
        <f aca="false">IF($A149="","",SUMIFS(期初数据!$L$6:$L$155,期初数据!$J$6:$J$155,$A149,期初数据!$K$6:$K$155,"&lt;"&amp;首页!$B$6)+SUMIFS(采购录入!$S$5:$S$404,采购录入!$D$5:$D$404,$A149,采购录入!$B$5:$B$404,"&lt;"&amp;首页!$B$6)-SUMIFS(资金流水!$N$5:$N$504,资金流水!$G$5:$G$504,$A149,资金流水!$E$5:$E$504,"供应商付款",资金流水!$B$5:$B$504,"&lt;"&amp;首页!$B$6))</f>
        <v/>
      </c>
      <c r="D149" s="54" t="str">
        <f aca="false">IF($A149="","",SUMIFS(采购录入!$S$5:$S$404,采购录入!$D$5:$D$404,$A149,采购录入!$C$5:$C$404,首页!$B$5))</f>
        <v/>
      </c>
      <c r="E149" s="54" t="str">
        <f aca="false">IF($A149="","",SUMIFS(资金流水!$N$5:$N$504,资金流水!$G$5:$G$504,$A149,资金流水!$E$5:$E$504,"供应商付款",资金流水!$C$5:$C$504,首页!$B$5))</f>
        <v/>
      </c>
      <c r="F149" s="62" t="str">
        <f aca="false">IF($A149="","",$C149+$D149-$E149)</f>
        <v/>
      </c>
      <c r="G149" s="44" t="str">
        <f aca="false">IF($A149="","",$F149-$H149-$I149-$J149-$K149)</f>
        <v/>
      </c>
      <c r="H149" s="44" t="str">
        <f aca="false">IF($A149="","",MIN($F149,MAX(0,SUMIFS(期初数据!$L$6:$L$155,期初数据!$J$6:$J$155,$A149,期初数据!$K$6:$K$155,"&lt;="&amp;首页!$B$7)+SUMIFS(采购录入!$S$5:$S$404,采购录入!$D$5:$D$404,$A149,采购录入!$T$5:$T$404,"&lt;="&amp;首页!$B$7)-SUMIFS(资金流水!$N$5:$N$504,资金流水!$G$5:$G$504,$A149,资金流水!$E$5:$E$504,"供应商付款",资金流水!$B$5:$B$504,"&lt;="&amp;首页!$B$7)))-$K149-$J149-$I149)</f>
        <v/>
      </c>
      <c r="I149" s="44" t="str">
        <f aca="false">IF($A149="","",MIN($F149,MAX(0,SUMIFS(期初数据!$L$6:$L$155,期初数据!$J$6:$J$155,$A149,期初数据!$K$6:$K$155,"&lt;="&amp;首页!$B$7-30)+SUMIFS(采购录入!$S$5:$S$404,采购录入!$D$5:$D$404,$A149,采购录入!$T$5:$T$404,"&lt;="&amp;首页!$B$7-30)-SUMIFS(资金流水!$N$5:$N$504,资金流水!$G$5:$G$504,$A149,资金流水!$E$5:$E$504,"供应商付款",资金流水!$B$5:$B$504,"&lt;="&amp;首页!$B$7)))-$K149-$J149)</f>
        <v/>
      </c>
      <c r="J149" s="44" t="str">
        <f aca="false">IF($A149="","",MIN($F149,MAX(0,SUMIFS(期初数据!$L$6:$L$155,期初数据!$J$6:$J$155,$A149,期初数据!$K$6:$K$155,"&lt;="&amp;首页!$B$7-60)+SUMIFS(采购录入!$S$5:$S$404,采购录入!$D$5:$D$404,$A149,采购录入!$T$5:$T$404,"&lt;="&amp;首页!$B$7-60)-SUMIFS(资金流水!$N$5:$N$504,资金流水!$G$5:$G$504,$A149,资金流水!$E$5:$E$504,"供应商付款",资金流水!$B$5:$B$504,"&lt;="&amp;首页!$B$7)))-$K149)</f>
        <v/>
      </c>
      <c r="K149" s="44" t="str">
        <f aca="false">IF($A149="","",MIN($F149,MAX(0,SUMIFS(期初数据!$L$6:$L$155,期初数据!$J$6:$J$155,$A149,期初数据!$K$6:$K$155,"&lt;="&amp;首页!$B$7-90)+SUMIFS(采购录入!$S$5:$S$404,采购录入!$D$5:$D$404,$A149,采购录入!$T$5:$T$404,"&lt;="&amp;首页!$B$7-90)-SUMIFS(资金流水!$N$5:$N$504,资金流水!$G$5:$G$504,$A149,资金流水!$E$5:$E$504,"供应商付款",资金流水!$B$5:$B$504,"&lt;="&amp;首页!$B$7))))</f>
        <v/>
      </c>
      <c r="L149" s="62" t="str">
        <f aca="false">IF($A149="","",$H149+$I149+$J149+$K149)</f>
        <v/>
      </c>
      <c r="M149" s="47" t="str">
        <f aca="false">IF($A149="","",IF($K149&gt;0,"高危",IF($J149&gt;0,"关注",IF($L149&gt;0,"提醒","正常"))))</f>
        <v/>
      </c>
      <c r="N149" s="42" t="str">
        <f aca="false">IF($A149="","",基础资料!$AG149)</f>
        <v/>
      </c>
    </row>
    <row r="150" customFormat="false" ht="15.75" hidden="false" customHeight="true" outlineLevel="0" collapsed="false">
      <c r="A150" s="35" t="str">
        <f aca="false">IF(基础资料!$AF150="","",基础资料!$AF150)</f>
        <v/>
      </c>
      <c r="B150" s="42" t="str">
        <f aca="false">IF($A150="","",N(基础资料!$AH150))</f>
        <v/>
      </c>
      <c r="C150" s="54" t="str">
        <f aca="false">IF($A150="","",SUMIFS(期初数据!$L$6:$L$155,期初数据!$J$6:$J$155,$A150,期初数据!$K$6:$K$155,"&lt;"&amp;首页!$B$6)+SUMIFS(采购录入!$S$5:$S$404,采购录入!$D$5:$D$404,$A150,采购录入!$B$5:$B$404,"&lt;"&amp;首页!$B$6)-SUMIFS(资金流水!$N$5:$N$504,资金流水!$G$5:$G$504,$A150,资金流水!$E$5:$E$504,"供应商付款",资金流水!$B$5:$B$504,"&lt;"&amp;首页!$B$6))</f>
        <v/>
      </c>
      <c r="D150" s="54" t="str">
        <f aca="false">IF($A150="","",SUMIFS(采购录入!$S$5:$S$404,采购录入!$D$5:$D$404,$A150,采购录入!$C$5:$C$404,首页!$B$5))</f>
        <v/>
      </c>
      <c r="E150" s="54" t="str">
        <f aca="false">IF($A150="","",SUMIFS(资金流水!$N$5:$N$504,资金流水!$G$5:$G$504,$A150,资金流水!$E$5:$E$504,"供应商付款",资金流水!$C$5:$C$504,首页!$B$5))</f>
        <v/>
      </c>
      <c r="F150" s="62" t="str">
        <f aca="false">IF($A150="","",$C150+$D150-$E150)</f>
        <v/>
      </c>
      <c r="G150" s="44" t="str">
        <f aca="false">IF($A150="","",$F150-$H150-$I150-$J150-$K150)</f>
        <v/>
      </c>
      <c r="H150" s="44" t="str">
        <f aca="false">IF($A150="","",MIN($F150,MAX(0,SUMIFS(期初数据!$L$6:$L$155,期初数据!$J$6:$J$155,$A150,期初数据!$K$6:$K$155,"&lt;="&amp;首页!$B$7)+SUMIFS(采购录入!$S$5:$S$404,采购录入!$D$5:$D$404,$A150,采购录入!$T$5:$T$404,"&lt;="&amp;首页!$B$7)-SUMIFS(资金流水!$N$5:$N$504,资金流水!$G$5:$G$504,$A150,资金流水!$E$5:$E$504,"供应商付款",资金流水!$B$5:$B$504,"&lt;="&amp;首页!$B$7)))-$K150-$J150-$I150)</f>
        <v/>
      </c>
      <c r="I150" s="44" t="str">
        <f aca="false">IF($A150="","",MIN($F150,MAX(0,SUMIFS(期初数据!$L$6:$L$155,期初数据!$J$6:$J$155,$A150,期初数据!$K$6:$K$155,"&lt;="&amp;首页!$B$7-30)+SUMIFS(采购录入!$S$5:$S$404,采购录入!$D$5:$D$404,$A150,采购录入!$T$5:$T$404,"&lt;="&amp;首页!$B$7-30)-SUMIFS(资金流水!$N$5:$N$504,资金流水!$G$5:$G$504,$A150,资金流水!$E$5:$E$504,"供应商付款",资金流水!$B$5:$B$504,"&lt;="&amp;首页!$B$7)))-$K150-$J150)</f>
        <v/>
      </c>
      <c r="J150" s="44" t="str">
        <f aca="false">IF($A150="","",MIN($F150,MAX(0,SUMIFS(期初数据!$L$6:$L$155,期初数据!$J$6:$J$155,$A150,期初数据!$K$6:$K$155,"&lt;="&amp;首页!$B$7-60)+SUMIFS(采购录入!$S$5:$S$404,采购录入!$D$5:$D$404,$A150,采购录入!$T$5:$T$404,"&lt;="&amp;首页!$B$7-60)-SUMIFS(资金流水!$N$5:$N$504,资金流水!$G$5:$G$504,$A150,资金流水!$E$5:$E$504,"供应商付款",资金流水!$B$5:$B$504,"&lt;="&amp;首页!$B$7)))-$K150)</f>
        <v/>
      </c>
      <c r="K150" s="44" t="str">
        <f aca="false">IF($A150="","",MIN($F150,MAX(0,SUMIFS(期初数据!$L$6:$L$155,期初数据!$J$6:$J$155,$A150,期初数据!$K$6:$K$155,"&lt;="&amp;首页!$B$7-90)+SUMIFS(采购录入!$S$5:$S$404,采购录入!$D$5:$D$404,$A150,采购录入!$T$5:$T$404,"&lt;="&amp;首页!$B$7-90)-SUMIFS(资金流水!$N$5:$N$504,资金流水!$G$5:$G$504,$A150,资金流水!$E$5:$E$504,"供应商付款",资金流水!$B$5:$B$504,"&lt;="&amp;首页!$B$7))))</f>
        <v/>
      </c>
      <c r="L150" s="62" t="str">
        <f aca="false">IF($A150="","",$H150+$I150+$J150+$K150)</f>
        <v/>
      </c>
      <c r="M150" s="47" t="str">
        <f aca="false">IF($A150="","",IF($K150&gt;0,"高危",IF($J150&gt;0,"关注",IF($L150&gt;0,"提醒","正常"))))</f>
        <v/>
      </c>
      <c r="N150" s="42" t="str">
        <f aca="false">IF($A150="","",基础资料!$AG150)</f>
        <v/>
      </c>
    </row>
    <row r="151" customFormat="false" ht="15.75" hidden="false" customHeight="true" outlineLevel="0" collapsed="false">
      <c r="A151" s="35" t="str">
        <f aca="false">IF(基础资料!$AF151="","",基础资料!$AF151)</f>
        <v/>
      </c>
      <c r="B151" s="42" t="str">
        <f aca="false">IF($A151="","",N(基础资料!$AH151))</f>
        <v/>
      </c>
      <c r="C151" s="54" t="str">
        <f aca="false">IF($A151="","",SUMIFS(期初数据!$L$6:$L$155,期初数据!$J$6:$J$155,$A151,期初数据!$K$6:$K$155,"&lt;"&amp;首页!$B$6)+SUMIFS(采购录入!$S$5:$S$404,采购录入!$D$5:$D$404,$A151,采购录入!$B$5:$B$404,"&lt;"&amp;首页!$B$6)-SUMIFS(资金流水!$N$5:$N$504,资金流水!$G$5:$G$504,$A151,资金流水!$E$5:$E$504,"供应商付款",资金流水!$B$5:$B$504,"&lt;"&amp;首页!$B$6))</f>
        <v/>
      </c>
      <c r="D151" s="54" t="str">
        <f aca="false">IF($A151="","",SUMIFS(采购录入!$S$5:$S$404,采购录入!$D$5:$D$404,$A151,采购录入!$C$5:$C$404,首页!$B$5))</f>
        <v/>
      </c>
      <c r="E151" s="54" t="str">
        <f aca="false">IF($A151="","",SUMIFS(资金流水!$N$5:$N$504,资金流水!$G$5:$G$504,$A151,资金流水!$E$5:$E$504,"供应商付款",资金流水!$C$5:$C$504,首页!$B$5))</f>
        <v/>
      </c>
      <c r="F151" s="62" t="str">
        <f aca="false">IF($A151="","",$C151+$D151-$E151)</f>
        <v/>
      </c>
      <c r="G151" s="44" t="str">
        <f aca="false">IF($A151="","",$F151-$H151-$I151-$J151-$K151)</f>
        <v/>
      </c>
      <c r="H151" s="44" t="str">
        <f aca="false">IF($A151="","",MIN($F151,MAX(0,SUMIFS(期初数据!$L$6:$L$155,期初数据!$J$6:$J$155,$A151,期初数据!$K$6:$K$155,"&lt;="&amp;首页!$B$7)+SUMIFS(采购录入!$S$5:$S$404,采购录入!$D$5:$D$404,$A151,采购录入!$T$5:$T$404,"&lt;="&amp;首页!$B$7)-SUMIFS(资金流水!$N$5:$N$504,资金流水!$G$5:$G$504,$A151,资金流水!$E$5:$E$504,"供应商付款",资金流水!$B$5:$B$504,"&lt;="&amp;首页!$B$7)))-$K151-$J151-$I151)</f>
        <v/>
      </c>
      <c r="I151" s="44" t="str">
        <f aca="false">IF($A151="","",MIN($F151,MAX(0,SUMIFS(期初数据!$L$6:$L$155,期初数据!$J$6:$J$155,$A151,期初数据!$K$6:$K$155,"&lt;="&amp;首页!$B$7-30)+SUMIFS(采购录入!$S$5:$S$404,采购录入!$D$5:$D$404,$A151,采购录入!$T$5:$T$404,"&lt;="&amp;首页!$B$7-30)-SUMIFS(资金流水!$N$5:$N$504,资金流水!$G$5:$G$504,$A151,资金流水!$E$5:$E$504,"供应商付款",资金流水!$B$5:$B$504,"&lt;="&amp;首页!$B$7)))-$K151-$J151)</f>
        <v/>
      </c>
      <c r="J151" s="44" t="str">
        <f aca="false">IF($A151="","",MIN($F151,MAX(0,SUMIFS(期初数据!$L$6:$L$155,期初数据!$J$6:$J$155,$A151,期初数据!$K$6:$K$155,"&lt;="&amp;首页!$B$7-60)+SUMIFS(采购录入!$S$5:$S$404,采购录入!$D$5:$D$404,$A151,采购录入!$T$5:$T$404,"&lt;="&amp;首页!$B$7-60)-SUMIFS(资金流水!$N$5:$N$504,资金流水!$G$5:$G$504,$A151,资金流水!$E$5:$E$504,"供应商付款",资金流水!$B$5:$B$504,"&lt;="&amp;首页!$B$7)))-$K151)</f>
        <v/>
      </c>
      <c r="K151" s="44" t="str">
        <f aca="false">IF($A151="","",MIN($F151,MAX(0,SUMIFS(期初数据!$L$6:$L$155,期初数据!$J$6:$J$155,$A151,期初数据!$K$6:$K$155,"&lt;="&amp;首页!$B$7-90)+SUMIFS(采购录入!$S$5:$S$404,采购录入!$D$5:$D$404,$A151,采购录入!$T$5:$T$404,"&lt;="&amp;首页!$B$7-90)-SUMIFS(资金流水!$N$5:$N$504,资金流水!$G$5:$G$504,$A151,资金流水!$E$5:$E$504,"供应商付款",资金流水!$B$5:$B$504,"&lt;="&amp;首页!$B$7))))</f>
        <v/>
      </c>
      <c r="L151" s="62" t="str">
        <f aca="false">IF($A151="","",$H151+$I151+$J151+$K151)</f>
        <v/>
      </c>
      <c r="M151" s="47" t="str">
        <f aca="false">IF($A151="","",IF($K151&gt;0,"高危",IF($J151&gt;0,"关注",IF($L151&gt;0,"提醒","正常"))))</f>
        <v/>
      </c>
      <c r="N151" s="42" t="str">
        <f aca="false">IF($A151="","",基础资料!$AG151)</f>
        <v/>
      </c>
    </row>
    <row r="152" customFormat="false" ht="15.75" hidden="false" customHeight="true" outlineLevel="0" collapsed="false">
      <c r="A152" s="35" t="str">
        <f aca="false">IF(基础资料!$AF152="","",基础资料!$AF152)</f>
        <v/>
      </c>
      <c r="B152" s="42" t="str">
        <f aca="false">IF($A152="","",N(基础资料!$AH152))</f>
        <v/>
      </c>
      <c r="C152" s="54" t="str">
        <f aca="false">IF($A152="","",SUMIFS(期初数据!$L$6:$L$155,期初数据!$J$6:$J$155,$A152,期初数据!$K$6:$K$155,"&lt;"&amp;首页!$B$6)+SUMIFS(采购录入!$S$5:$S$404,采购录入!$D$5:$D$404,$A152,采购录入!$B$5:$B$404,"&lt;"&amp;首页!$B$6)-SUMIFS(资金流水!$N$5:$N$504,资金流水!$G$5:$G$504,$A152,资金流水!$E$5:$E$504,"供应商付款",资金流水!$B$5:$B$504,"&lt;"&amp;首页!$B$6))</f>
        <v/>
      </c>
      <c r="D152" s="54" t="str">
        <f aca="false">IF($A152="","",SUMIFS(采购录入!$S$5:$S$404,采购录入!$D$5:$D$404,$A152,采购录入!$C$5:$C$404,首页!$B$5))</f>
        <v/>
      </c>
      <c r="E152" s="54" t="str">
        <f aca="false">IF($A152="","",SUMIFS(资金流水!$N$5:$N$504,资金流水!$G$5:$G$504,$A152,资金流水!$E$5:$E$504,"供应商付款",资金流水!$C$5:$C$504,首页!$B$5))</f>
        <v/>
      </c>
      <c r="F152" s="62" t="str">
        <f aca="false">IF($A152="","",$C152+$D152-$E152)</f>
        <v/>
      </c>
      <c r="G152" s="44" t="str">
        <f aca="false">IF($A152="","",$F152-$H152-$I152-$J152-$K152)</f>
        <v/>
      </c>
      <c r="H152" s="44" t="str">
        <f aca="false">IF($A152="","",MIN($F152,MAX(0,SUMIFS(期初数据!$L$6:$L$155,期初数据!$J$6:$J$155,$A152,期初数据!$K$6:$K$155,"&lt;="&amp;首页!$B$7)+SUMIFS(采购录入!$S$5:$S$404,采购录入!$D$5:$D$404,$A152,采购录入!$T$5:$T$404,"&lt;="&amp;首页!$B$7)-SUMIFS(资金流水!$N$5:$N$504,资金流水!$G$5:$G$504,$A152,资金流水!$E$5:$E$504,"供应商付款",资金流水!$B$5:$B$504,"&lt;="&amp;首页!$B$7)))-$K152-$J152-$I152)</f>
        <v/>
      </c>
      <c r="I152" s="44" t="str">
        <f aca="false">IF($A152="","",MIN($F152,MAX(0,SUMIFS(期初数据!$L$6:$L$155,期初数据!$J$6:$J$155,$A152,期初数据!$K$6:$K$155,"&lt;="&amp;首页!$B$7-30)+SUMIFS(采购录入!$S$5:$S$404,采购录入!$D$5:$D$404,$A152,采购录入!$T$5:$T$404,"&lt;="&amp;首页!$B$7-30)-SUMIFS(资金流水!$N$5:$N$504,资金流水!$G$5:$G$504,$A152,资金流水!$E$5:$E$504,"供应商付款",资金流水!$B$5:$B$504,"&lt;="&amp;首页!$B$7)))-$K152-$J152)</f>
        <v/>
      </c>
      <c r="J152" s="44" t="str">
        <f aca="false">IF($A152="","",MIN($F152,MAX(0,SUMIFS(期初数据!$L$6:$L$155,期初数据!$J$6:$J$155,$A152,期初数据!$K$6:$K$155,"&lt;="&amp;首页!$B$7-60)+SUMIFS(采购录入!$S$5:$S$404,采购录入!$D$5:$D$404,$A152,采购录入!$T$5:$T$404,"&lt;="&amp;首页!$B$7-60)-SUMIFS(资金流水!$N$5:$N$504,资金流水!$G$5:$G$504,$A152,资金流水!$E$5:$E$504,"供应商付款",资金流水!$B$5:$B$504,"&lt;="&amp;首页!$B$7)))-$K152)</f>
        <v/>
      </c>
      <c r="K152" s="44" t="str">
        <f aca="false">IF($A152="","",MIN($F152,MAX(0,SUMIFS(期初数据!$L$6:$L$155,期初数据!$J$6:$J$155,$A152,期初数据!$K$6:$K$155,"&lt;="&amp;首页!$B$7-90)+SUMIFS(采购录入!$S$5:$S$404,采购录入!$D$5:$D$404,$A152,采购录入!$T$5:$T$404,"&lt;="&amp;首页!$B$7-90)-SUMIFS(资金流水!$N$5:$N$504,资金流水!$G$5:$G$504,$A152,资金流水!$E$5:$E$504,"供应商付款",资金流水!$B$5:$B$504,"&lt;="&amp;首页!$B$7))))</f>
        <v/>
      </c>
      <c r="L152" s="62" t="str">
        <f aca="false">IF($A152="","",$H152+$I152+$J152+$K152)</f>
        <v/>
      </c>
      <c r="M152" s="47" t="str">
        <f aca="false">IF($A152="","",IF($K152&gt;0,"高危",IF($J152&gt;0,"关注",IF($L152&gt;0,"提醒","正常"))))</f>
        <v/>
      </c>
      <c r="N152" s="42" t="str">
        <f aca="false">IF($A152="","",基础资料!$AG152)</f>
        <v/>
      </c>
    </row>
    <row r="153" customFormat="false" ht="15.75" hidden="false" customHeight="true" outlineLevel="0" collapsed="false">
      <c r="A153" s="35" t="str">
        <f aca="false">IF(基础资料!$AF153="","",基础资料!$AF153)</f>
        <v/>
      </c>
      <c r="B153" s="42" t="str">
        <f aca="false">IF($A153="","",N(基础资料!$AH153))</f>
        <v/>
      </c>
      <c r="C153" s="54" t="str">
        <f aca="false">IF($A153="","",SUMIFS(期初数据!$L$6:$L$155,期初数据!$J$6:$J$155,$A153,期初数据!$K$6:$K$155,"&lt;"&amp;首页!$B$6)+SUMIFS(采购录入!$S$5:$S$404,采购录入!$D$5:$D$404,$A153,采购录入!$B$5:$B$404,"&lt;"&amp;首页!$B$6)-SUMIFS(资金流水!$N$5:$N$504,资金流水!$G$5:$G$504,$A153,资金流水!$E$5:$E$504,"供应商付款",资金流水!$B$5:$B$504,"&lt;"&amp;首页!$B$6))</f>
        <v/>
      </c>
      <c r="D153" s="54" t="str">
        <f aca="false">IF($A153="","",SUMIFS(采购录入!$S$5:$S$404,采购录入!$D$5:$D$404,$A153,采购录入!$C$5:$C$404,首页!$B$5))</f>
        <v/>
      </c>
      <c r="E153" s="54" t="str">
        <f aca="false">IF($A153="","",SUMIFS(资金流水!$N$5:$N$504,资金流水!$G$5:$G$504,$A153,资金流水!$E$5:$E$504,"供应商付款",资金流水!$C$5:$C$504,首页!$B$5))</f>
        <v/>
      </c>
      <c r="F153" s="62" t="str">
        <f aca="false">IF($A153="","",$C153+$D153-$E153)</f>
        <v/>
      </c>
      <c r="G153" s="44" t="str">
        <f aca="false">IF($A153="","",$F153-$H153-$I153-$J153-$K153)</f>
        <v/>
      </c>
      <c r="H153" s="44" t="str">
        <f aca="false">IF($A153="","",MIN($F153,MAX(0,SUMIFS(期初数据!$L$6:$L$155,期初数据!$J$6:$J$155,$A153,期初数据!$K$6:$K$155,"&lt;="&amp;首页!$B$7)+SUMIFS(采购录入!$S$5:$S$404,采购录入!$D$5:$D$404,$A153,采购录入!$T$5:$T$404,"&lt;="&amp;首页!$B$7)-SUMIFS(资金流水!$N$5:$N$504,资金流水!$G$5:$G$504,$A153,资金流水!$E$5:$E$504,"供应商付款",资金流水!$B$5:$B$504,"&lt;="&amp;首页!$B$7)))-$K153-$J153-$I153)</f>
        <v/>
      </c>
      <c r="I153" s="44" t="str">
        <f aca="false">IF($A153="","",MIN($F153,MAX(0,SUMIFS(期初数据!$L$6:$L$155,期初数据!$J$6:$J$155,$A153,期初数据!$K$6:$K$155,"&lt;="&amp;首页!$B$7-30)+SUMIFS(采购录入!$S$5:$S$404,采购录入!$D$5:$D$404,$A153,采购录入!$T$5:$T$404,"&lt;="&amp;首页!$B$7-30)-SUMIFS(资金流水!$N$5:$N$504,资金流水!$G$5:$G$504,$A153,资金流水!$E$5:$E$504,"供应商付款",资金流水!$B$5:$B$504,"&lt;="&amp;首页!$B$7)))-$K153-$J153)</f>
        <v/>
      </c>
      <c r="J153" s="44" t="str">
        <f aca="false">IF($A153="","",MIN($F153,MAX(0,SUMIFS(期初数据!$L$6:$L$155,期初数据!$J$6:$J$155,$A153,期初数据!$K$6:$K$155,"&lt;="&amp;首页!$B$7-60)+SUMIFS(采购录入!$S$5:$S$404,采购录入!$D$5:$D$404,$A153,采购录入!$T$5:$T$404,"&lt;="&amp;首页!$B$7-60)-SUMIFS(资金流水!$N$5:$N$504,资金流水!$G$5:$G$504,$A153,资金流水!$E$5:$E$504,"供应商付款",资金流水!$B$5:$B$504,"&lt;="&amp;首页!$B$7)))-$K153)</f>
        <v/>
      </c>
      <c r="K153" s="44" t="str">
        <f aca="false">IF($A153="","",MIN($F153,MAX(0,SUMIFS(期初数据!$L$6:$L$155,期初数据!$J$6:$J$155,$A153,期初数据!$K$6:$K$155,"&lt;="&amp;首页!$B$7-90)+SUMIFS(采购录入!$S$5:$S$404,采购录入!$D$5:$D$404,$A153,采购录入!$T$5:$T$404,"&lt;="&amp;首页!$B$7-90)-SUMIFS(资金流水!$N$5:$N$504,资金流水!$G$5:$G$504,$A153,资金流水!$E$5:$E$504,"供应商付款",资金流水!$B$5:$B$504,"&lt;="&amp;首页!$B$7))))</f>
        <v/>
      </c>
      <c r="L153" s="62" t="str">
        <f aca="false">IF($A153="","",$H153+$I153+$J153+$K153)</f>
        <v/>
      </c>
      <c r="M153" s="47" t="str">
        <f aca="false">IF($A153="","",IF($K153&gt;0,"高危",IF($J153&gt;0,"关注",IF($L153&gt;0,"提醒","正常"))))</f>
        <v/>
      </c>
      <c r="N153" s="42" t="str">
        <f aca="false">IF($A153="","",基础资料!$AG153)</f>
        <v/>
      </c>
    </row>
    <row r="154" customFormat="false" ht="15.75" hidden="false" customHeight="true" outlineLevel="0" collapsed="false">
      <c r="A154" s="35" t="str">
        <f aca="false">IF(基础资料!$AF154="","",基础资料!$AF154)</f>
        <v/>
      </c>
      <c r="B154" s="42" t="str">
        <f aca="false">IF($A154="","",N(基础资料!$AH154))</f>
        <v/>
      </c>
      <c r="C154" s="54" t="str">
        <f aca="false">IF($A154="","",SUMIFS(期初数据!$L$6:$L$155,期初数据!$J$6:$J$155,$A154,期初数据!$K$6:$K$155,"&lt;"&amp;首页!$B$6)+SUMIFS(采购录入!$S$5:$S$404,采购录入!$D$5:$D$404,$A154,采购录入!$B$5:$B$404,"&lt;"&amp;首页!$B$6)-SUMIFS(资金流水!$N$5:$N$504,资金流水!$G$5:$G$504,$A154,资金流水!$E$5:$E$504,"供应商付款",资金流水!$B$5:$B$504,"&lt;"&amp;首页!$B$6))</f>
        <v/>
      </c>
      <c r="D154" s="54" t="str">
        <f aca="false">IF($A154="","",SUMIFS(采购录入!$S$5:$S$404,采购录入!$D$5:$D$404,$A154,采购录入!$C$5:$C$404,首页!$B$5))</f>
        <v/>
      </c>
      <c r="E154" s="54" t="str">
        <f aca="false">IF($A154="","",SUMIFS(资金流水!$N$5:$N$504,资金流水!$G$5:$G$504,$A154,资金流水!$E$5:$E$504,"供应商付款",资金流水!$C$5:$C$504,首页!$B$5))</f>
        <v/>
      </c>
      <c r="F154" s="62" t="str">
        <f aca="false">IF($A154="","",$C154+$D154-$E154)</f>
        <v/>
      </c>
      <c r="G154" s="44" t="str">
        <f aca="false">IF($A154="","",$F154-$H154-$I154-$J154-$K154)</f>
        <v/>
      </c>
      <c r="H154" s="44" t="str">
        <f aca="false">IF($A154="","",MIN($F154,MAX(0,SUMIFS(期初数据!$L$6:$L$155,期初数据!$J$6:$J$155,$A154,期初数据!$K$6:$K$155,"&lt;="&amp;首页!$B$7)+SUMIFS(采购录入!$S$5:$S$404,采购录入!$D$5:$D$404,$A154,采购录入!$T$5:$T$404,"&lt;="&amp;首页!$B$7)-SUMIFS(资金流水!$N$5:$N$504,资金流水!$G$5:$G$504,$A154,资金流水!$E$5:$E$504,"供应商付款",资金流水!$B$5:$B$504,"&lt;="&amp;首页!$B$7)))-$K154-$J154-$I154)</f>
        <v/>
      </c>
      <c r="I154" s="44" t="str">
        <f aca="false">IF($A154="","",MIN($F154,MAX(0,SUMIFS(期初数据!$L$6:$L$155,期初数据!$J$6:$J$155,$A154,期初数据!$K$6:$K$155,"&lt;="&amp;首页!$B$7-30)+SUMIFS(采购录入!$S$5:$S$404,采购录入!$D$5:$D$404,$A154,采购录入!$T$5:$T$404,"&lt;="&amp;首页!$B$7-30)-SUMIFS(资金流水!$N$5:$N$504,资金流水!$G$5:$G$504,$A154,资金流水!$E$5:$E$504,"供应商付款",资金流水!$B$5:$B$504,"&lt;="&amp;首页!$B$7)))-$K154-$J154)</f>
        <v/>
      </c>
      <c r="J154" s="44" t="str">
        <f aca="false">IF($A154="","",MIN($F154,MAX(0,SUMIFS(期初数据!$L$6:$L$155,期初数据!$J$6:$J$155,$A154,期初数据!$K$6:$K$155,"&lt;="&amp;首页!$B$7-60)+SUMIFS(采购录入!$S$5:$S$404,采购录入!$D$5:$D$404,$A154,采购录入!$T$5:$T$404,"&lt;="&amp;首页!$B$7-60)-SUMIFS(资金流水!$N$5:$N$504,资金流水!$G$5:$G$504,$A154,资金流水!$E$5:$E$504,"供应商付款",资金流水!$B$5:$B$504,"&lt;="&amp;首页!$B$7)))-$K154)</f>
        <v/>
      </c>
      <c r="K154" s="44" t="str">
        <f aca="false">IF($A154="","",MIN($F154,MAX(0,SUMIFS(期初数据!$L$6:$L$155,期初数据!$J$6:$J$155,$A154,期初数据!$K$6:$K$155,"&lt;="&amp;首页!$B$7-90)+SUMIFS(采购录入!$S$5:$S$404,采购录入!$D$5:$D$404,$A154,采购录入!$T$5:$T$404,"&lt;="&amp;首页!$B$7-90)-SUMIFS(资金流水!$N$5:$N$504,资金流水!$G$5:$G$504,$A154,资金流水!$E$5:$E$504,"供应商付款",资金流水!$B$5:$B$504,"&lt;="&amp;首页!$B$7))))</f>
        <v/>
      </c>
      <c r="L154" s="62" t="str">
        <f aca="false">IF($A154="","",$H154+$I154+$J154+$K154)</f>
        <v/>
      </c>
      <c r="M154" s="47" t="str">
        <f aca="false">IF($A154="","",IF($K154&gt;0,"高危",IF($J154&gt;0,"关注",IF($L154&gt;0,"提醒","正常"))))</f>
        <v/>
      </c>
      <c r="N154" s="42" t="str">
        <f aca="false">IF($A154="","",基础资料!$AG154)</f>
        <v/>
      </c>
    </row>
    <row r="155" customFormat="false" ht="15.75" hidden="false" customHeight="true" outlineLevel="0" collapsed="false">
      <c r="A155" s="35" t="str">
        <f aca="false">IF(基础资料!$AF155="","",基础资料!$AF155)</f>
        <v/>
      </c>
      <c r="B155" s="42" t="str">
        <f aca="false">IF($A155="","",N(基础资料!$AH155))</f>
        <v/>
      </c>
      <c r="C155" s="54" t="str">
        <f aca="false">IF($A155="","",SUMIFS(期初数据!$L$6:$L$155,期初数据!$J$6:$J$155,$A155,期初数据!$K$6:$K$155,"&lt;"&amp;首页!$B$6)+SUMIFS(采购录入!$S$5:$S$404,采购录入!$D$5:$D$404,$A155,采购录入!$B$5:$B$404,"&lt;"&amp;首页!$B$6)-SUMIFS(资金流水!$N$5:$N$504,资金流水!$G$5:$G$504,$A155,资金流水!$E$5:$E$504,"供应商付款",资金流水!$B$5:$B$504,"&lt;"&amp;首页!$B$6))</f>
        <v/>
      </c>
      <c r="D155" s="54" t="str">
        <f aca="false">IF($A155="","",SUMIFS(采购录入!$S$5:$S$404,采购录入!$D$5:$D$404,$A155,采购录入!$C$5:$C$404,首页!$B$5))</f>
        <v/>
      </c>
      <c r="E155" s="54" t="str">
        <f aca="false">IF($A155="","",SUMIFS(资金流水!$N$5:$N$504,资金流水!$G$5:$G$504,$A155,资金流水!$E$5:$E$504,"供应商付款",资金流水!$C$5:$C$504,首页!$B$5))</f>
        <v/>
      </c>
      <c r="F155" s="62" t="str">
        <f aca="false">IF($A155="","",$C155+$D155-$E155)</f>
        <v/>
      </c>
      <c r="G155" s="44" t="str">
        <f aca="false">IF($A155="","",$F155-$H155-$I155-$J155-$K155)</f>
        <v/>
      </c>
      <c r="H155" s="44" t="str">
        <f aca="false">IF($A155="","",MIN($F155,MAX(0,SUMIFS(期初数据!$L$6:$L$155,期初数据!$J$6:$J$155,$A155,期初数据!$K$6:$K$155,"&lt;="&amp;首页!$B$7)+SUMIFS(采购录入!$S$5:$S$404,采购录入!$D$5:$D$404,$A155,采购录入!$T$5:$T$404,"&lt;="&amp;首页!$B$7)-SUMIFS(资金流水!$N$5:$N$504,资金流水!$G$5:$G$504,$A155,资金流水!$E$5:$E$504,"供应商付款",资金流水!$B$5:$B$504,"&lt;="&amp;首页!$B$7)))-$K155-$J155-$I155)</f>
        <v/>
      </c>
      <c r="I155" s="44" t="str">
        <f aca="false">IF($A155="","",MIN($F155,MAX(0,SUMIFS(期初数据!$L$6:$L$155,期初数据!$J$6:$J$155,$A155,期初数据!$K$6:$K$155,"&lt;="&amp;首页!$B$7-30)+SUMIFS(采购录入!$S$5:$S$404,采购录入!$D$5:$D$404,$A155,采购录入!$T$5:$T$404,"&lt;="&amp;首页!$B$7-30)-SUMIFS(资金流水!$N$5:$N$504,资金流水!$G$5:$G$504,$A155,资金流水!$E$5:$E$504,"供应商付款",资金流水!$B$5:$B$504,"&lt;="&amp;首页!$B$7)))-$K155-$J155)</f>
        <v/>
      </c>
      <c r="J155" s="44" t="str">
        <f aca="false">IF($A155="","",MIN($F155,MAX(0,SUMIFS(期初数据!$L$6:$L$155,期初数据!$J$6:$J$155,$A155,期初数据!$K$6:$K$155,"&lt;="&amp;首页!$B$7-60)+SUMIFS(采购录入!$S$5:$S$404,采购录入!$D$5:$D$404,$A155,采购录入!$T$5:$T$404,"&lt;="&amp;首页!$B$7-60)-SUMIFS(资金流水!$N$5:$N$504,资金流水!$G$5:$G$504,$A155,资金流水!$E$5:$E$504,"供应商付款",资金流水!$B$5:$B$504,"&lt;="&amp;首页!$B$7)))-$K155)</f>
        <v/>
      </c>
      <c r="K155" s="44" t="str">
        <f aca="false">IF($A155="","",MIN($F155,MAX(0,SUMIFS(期初数据!$L$6:$L$155,期初数据!$J$6:$J$155,$A155,期初数据!$K$6:$K$155,"&lt;="&amp;首页!$B$7-90)+SUMIFS(采购录入!$S$5:$S$404,采购录入!$D$5:$D$404,$A155,采购录入!$T$5:$T$404,"&lt;="&amp;首页!$B$7-90)-SUMIFS(资金流水!$N$5:$N$504,资金流水!$G$5:$G$504,$A155,资金流水!$E$5:$E$504,"供应商付款",资金流水!$B$5:$B$504,"&lt;="&amp;首页!$B$7))))</f>
        <v/>
      </c>
      <c r="L155" s="62" t="str">
        <f aca="false">IF($A155="","",$H155+$I155+$J155+$K155)</f>
        <v/>
      </c>
      <c r="M155" s="47" t="str">
        <f aca="false">IF($A155="","",IF($K155&gt;0,"高危",IF($J155&gt;0,"关注",IF($L155&gt;0,"提醒","正常"))))</f>
        <v/>
      </c>
      <c r="N155" s="42" t="str">
        <f aca="false">IF($A155="","",基础资料!$AG155)</f>
        <v/>
      </c>
    </row>
    <row r="156" customFormat="false" ht="15" hidden="false" customHeight="false" outlineLevel="0" collapsed="false">
      <c r="A156" s="55" t="s">
        <v>593</v>
      </c>
      <c r="B156" s="55"/>
      <c r="C156" s="39" t="n">
        <f aca="false">SUM(C6:C155)</f>
        <v>40000</v>
      </c>
      <c r="D156" s="39" t="n">
        <f aca="false">SUM(D6:D155)</f>
        <v>21752.5</v>
      </c>
      <c r="E156" s="39" t="n">
        <f aca="false">SUM(E6:E155)</f>
        <v>40000</v>
      </c>
      <c r="F156" s="39" t="n">
        <f aca="false">SUM(F6:F155)</f>
        <v>21752.5</v>
      </c>
      <c r="G156" s="39" t="n">
        <f aca="false">SUM(G6:G155)</f>
        <v>21752.5</v>
      </c>
      <c r="H156" s="39" t="n">
        <f aca="false">SUM(H6:H155)</f>
        <v>0</v>
      </c>
      <c r="I156" s="39" t="n">
        <f aca="false">SUM(I6:I155)</f>
        <v>0</v>
      </c>
      <c r="J156" s="39" t="n">
        <f aca="false">SUM(J6:J155)</f>
        <v>0</v>
      </c>
      <c r="K156" s="39" t="n">
        <f aca="false">SUM(K6:K155)</f>
        <v>0</v>
      </c>
      <c r="L156" s="39" t="n">
        <f aca="false">SUM(L6:L155)</f>
        <v>0</v>
      </c>
      <c r="M156" s="55"/>
      <c r="N156" s="55"/>
    </row>
  </sheetData>
  <autoFilter ref="A5:N155"/>
  <mergeCells count="2">
    <mergeCell ref="A1:N1"/>
    <mergeCell ref="A2:N2"/>
  </mergeCells>
  <conditionalFormatting sqref="M6:M155">
    <cfRule type="expression" priority="2" aboveAverage="0" equalAverage="0" bottom="0" percent="0" rank="0" text="" dxfId="9">
      <formula>$M6="高危"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N110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2" min="11" style="0" width="14"/>
    <col collapsed="false" customWidth="true" hidden="false" outlineLevel="0" max="13" min="13" style="0" width="9"/>
    <col collapsed="false" customWidth="true" hidden="false" outlineLevel="0" max="14" min="14" style="0" width="16"/>
  </cols>
  <sheetData>
    <row r="1" customFormat="false" ht="25.5" hidden="false" customHeight="true" outlineLevel="0" collapsed="false">
      <c r="A1" s="23" t="s">
        <v>752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customFormat="false" ht="15" hidden="false" customHeight="true" outlineLevel="0" collapsed="false">
      <c r="A2" s="6" t="s">
        <v>753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38" t="s">
        <v>3</v>
      </c>
      <c r="B3" s="55" t="str">
        <f aca="false">首页!$B$5</f>
        <v>2026-01</v>
      </c>
    </row>
    <row r="4" customFormat="false" ht="15" hidden="false" customHeight="true" outlineLevel="0" collapsed="false">
      <c r="A4" s="45" t="s">
        <v>509</v>
      </c>
      <c r="B4" s="45"/>
      <c r="C4" s="45"/>
      <c r="D4" s="45"/>
      <c r="E4" s="45"/>
      <c r="F4" s="45"/>
      <c r="G4" s="45"/>
      <c r="H4" s="45"/>
      <c r="I4" s="46" t="s">
        <v>510</v>
      </c>
      <c r="J4" s="46"/>
      <c r="K4" s="46"/>
      <c r="L4" s="46"/>
      <c r="M4" s="46"/>
      <c r="N4" s="46"/>
    </row>
    <row r="5" customFormat="false" ht="30" hidden="false" customHeight="true" outlineLevel="0" collapsed="false">
      <c r="A5" s="30" t="s">
        <v>754</v>
      </c>
      <c r="B5" s="30" t="s">
        <v>755</v>
      </c>
      <c r="C5" s="30" t="s">
        <v>155</v>
      </c>
      <c r="D5" s="30" t="s">
        <v>756</v>
      </c>
      <c r="E5" s="30" t="s">
        <v>757</v>
      </c>
      <c r="F5" s="30" t="s">
        <v>758</v>
      </c>
      <c r="G5" s="30" t="s">
        <v>759</v>
      </c>
      <c r="H5" s="30" t="s">
        <v>760</v>
      </c>
      <c r="I5" s="46" t="s">
        <v>761</v>
      </c>
      <c r="J5" s="46" t="s">
        <v>762</v>
      </c>
      <c r="K5" s="46" t="s">
        <v>280</v>
      </c>
      <c r="L5" s="46" t="s">
        <v>763</v>
      </c>
      <c r="M5" s="46" t="s">
        <v>415</v>
      </c>
      <c r="N5" s="46" t="s">
        <v>416</v>
      </c>
    </row>
    <row r="6" customFormat="false" ht="15.75" hidden="false" customHeight="true" outlineLevel="0" collapsed="false">
      <c r="A6" s="31" t="s">
        <v>764</v>
      </c>
      <c r="B6" s="32" t="s">
        <v>765</v>
      </c>
      <c r="C6" s="33" t="s">
        <v>766</v>
      </c>
      <c r="D6" s="33" t="s">
        <v>437</v>
      </c>
      <c r="E6" s="41" t="n">
        <v>45627</v>
      </c>
      <c r="F6" s="40" t="n">
        <v>120000</v>
      </c>
      <c r="G6" s="69" t="n">
        <v>4</v>
      </c>
      <c r="H6" s="51" t="n">
        <v>0</v>
      </c>
      <c r="I6" s="48" t="n">
        <f aca="false">IF(OR($B6="",N($G6)=0),"",ROUND(N($F6)*(1-N($H6))/N($G6)/12,2))</f>
        <v>2500</v>
      </c>
      <c r="J6" s="70" t="n">
        <f aca="false">IF(OR($B6="",$E6=""),"",MEDIAN(0,(YEAR(首页!$B$7)-YEAR($E6))*12+MONTH(首页!$B$7)-MONTH($E6),N($G6)*12))</f>
        <v>13</v>
      </c>
      <c r="K6" s="48" t="n">
        <f aca="false">IF($B6="","",ROUND(N($I6)*N($J6),2))</f>
        <v>32500</v>
      </c>
      <c r="L6" s="48" t="n">
        <f aca="false">IF($B6="","",N($F6)-N($K6))</f>
        <v>87500</v>
      </c>
      <c r="M6" s="49" t="str">
        <f aca="false">IF($B6="","",IF(N($J6)&gt;=N($G6)*12,"已提完","计提中"))</f>
        <v>计提中</v>
      </c>
      <c r="N6" s="36"/>
    </row>
    <row r="7" customFormat="false" ht="15.75" hidden="false" customHeight="true" outlineLevel="0" collapsed="false">
      <c r="A7" s="31"/>
      <c r="B7" s="36"/>
      <c r="C7" s="33"/>
      <c r="D7" s="33"/>
      <c r="E7" s="41"/>
      <c r="F7" s="40"/>
      <c r="G7" s="69"/>
      <c r="H7" s="51"/>
      <c r="I7" s="48" t="str">
        <f aca="false">IF(OR($B7="",N($G7)=0),"",ROUND(N($F7)*(1-N($H7))/N($G7)/12,2))</f>
        <v/>
      </c>
      <c r="J7" s="70" t="str">
        <f aca="false">IF(OR($B7="",$E7=""),"",MEDIAN(0,(YEAR(首页!$B$7)-YEAR($E7))*12+MONTH(首页!$B$7)-MONTH($E7),N($G7)*12))</f>
        <v/>
      </c>
      <c r="K7" s="48" t="str">
        <f aca="false">IF($B7="","",ROUND(N($I7)*N($J7),2))</f>
        <v/>
      </c>
      <c r="L7" s="48" t="str">
        <f aca="false">IF($B7="","",N($F7)-N($K7))</f>
        <v/>
      </c>
      <c r="M7" s="49" t="str">
        <f aca="false">IF($B7="","",IF(N($J7)&gt;=N($G7)*12,"已提完","计提中"))</f>
        <v/>
      </c>
      <c r="N7" s="36"/>
    </row>
    <row r="8" customFormat="false" ht="15.75" hidden="false" customHeight="true" outlineLevel="0" collapsed="false">
      <c r="A8" s="31"/>
      <c r="B8" s="36"/>
      <c r="C8" s="33"/>
      <c r="D8" s="33"/>
      <c r="E8" s="41"/>
      <c r="F8" s="40"/>
      <c r="G8" s="69"/>
      <c r="H8" s="51"/>
      <c r="I8" s="48" t="str">
        <f aca="false">IF(OR($B8="",N($G8)=0),"",ROUND(N($F8)*(1-N($H8))/N($G8)/12,2))</f>
        <v/>
      </c>
      <c r="J8" s="70" t="str">
        <f aca="false">IF(OR($B8="",$E8=""),"",MEDIAN(0,(YEAR(首页!$B$7)-YEAR($E8))*12+MONTH(首页!$B$7)-MONTH($E8),N($G8)*12))</f>
        <v/>
      </c>
      <c r="K8" s="48" t="str">
        <f aca="false">IF($B8="","",ROUND(N($I8)*N($J8),2))</f>
        <v/>
      </c>
      <c r="L8" s="48" t="str">
        <f aca="false">IF($B8="","",N($F8)-N($K8))</f>
        <v/>
      </c>
      <c r="M8" s="49" t="str">
        <f aca="false">IF($B8="","",IF(N($J8)&gt;=N($G8)*12,"已提完","计提中"))</f>
        <v/>
      </c>
      <c r="N8" s="36"/>
    </row>
    <row r="9" customFormat="false" ht="15.75" hidden="false" customHeight="true" outlineLevel="0" collapsed="false">
      <c r="A9" s="31"/>
      <c r="B9" s="36"/>
      <c r="C9" s="33"/>
      <c r="D9" s="33"/>
      <c r="E9" s="41"/>
      <c r="F9" s="40"/>
      <c r="G9" s="69"/>
      <c r="H9" s="51"/>
      <c r="I9" s="48" t="str">
        <f aca="false">IF(OR($B9="",N($G9)=0),"",ROUND(N($F9)*(1-N($H9))/N($G9)/12,2))</f>
        <v/>
      </c>
      <c r="J9" s="70" t="str">
        <f aca="false">IF(OR($B9="",$E9=""),"",MEDIAN(0,(YEAR(首页!$B$7)-YEAR($E9))*12+MONTH(首页!$B$7)-MONTH($E9),N($G9)*12))</f>
        <v/>
      </c>
      <c r="K9" s="48" t="str">
        <f aca="false">IF($B9="","",ROUND(N($I9)*N($J9),2))</f>
        <v/>
      </c>
      <c r="L9" s="48" t="str">
        <f aca="false">IF($B9="","",N($F9)-N($K9))</f>
        <v/>
      </c>
      <c r="M9" s="49" t="str">
        <f aca="false">IF($B9="","",IF(N($J9)&gt;=N($G9)*12,"已提完","计提中"))</f>
        <v/>
      </c>
      <c r="N9" s="36"/>
    </row>
    <row r="10" customFormat="false" ht="15.75" hidden="false" customHeight="true" outlineLevel="0" collapsed="false">
      <c r="A10" s="31"/>
      <c r="B10" s="36"/>
      <c r="C10" s="33"/>
      <c r="D10" s="33"/>
      <c r="E10" s="41"/>
      <c r="F10" s="40"/>
      <c r="G10" s="69"/>
      <c r="H10" s="51"/>
      <c r="I10" s="48" t="str">
        <f aca="false">IF(OR($B10="",N($G10)=0),"",ROUND(N($F10)*(1-N($H10))/N($G10)/12,2))</f>
        <v/>
      </c>
      <c r="J10" s="70" t="str">
        <f aca="false">IF(OR($B10="",$E10=""),"",MEDIAN(0,(YEAR(首页!$B$7)-YEAR($E10))*12+MONTH(首页!$B$7)-MONTH($E10),N($G10)*12))</f>
        <v/>
      </c>
      <c r="K10" s="48" t="str">
        <f aca="false">IF($B10="","",ROUND(N($I10)*N($J10),2))</f>
        <v/>
      </c>
      <c r="L10" s="48" t="str">
        <f aca="false">IF($B10="","",N($F10)-N($K10))</f>
        <v/>
      </c>
      <c r="M10" s="49" t="str">
        <f aca="false">IF($B10="","",IF(N($J10)&gt;=N($G10)*12,"已提完","计提中"))</f>
        <v/>
      </c>
      <c r="N10" s="36"/>
    </row>
    <row r="11" customFormat="false" ht="15.75" hidden="false" customHeight="true" outlineLevel="0" collapsed="false">
      <c r="A11" s="31"/>
      <c r="B11" s="36"/>
      <c r="C11" s="33"/>
      <c r="D11" s="33"/>
      <c r="E11" s="41"/>
      <c r="F11" s="40"/>
      <c r="G11" s="69"/>
      <c r="H11" s="51"/>
      <c r="I11" s="48" t="str">
        <f aca="false">IF(OR($B11="",N($G11)=0),"",ROUND(N($F11)*(1-N($H11))/N($G11)/12,2))</f>
        <v/>
      </c>
      <c r="J11" s="70" t="str">
        <f aca="false">IF(OR($B11="",$E11=""),"",MEDIAN(0,(YEAR(首页!$B$7)-YEAR($E11))*12+MONTH(首页!$B$7)-MONTH($E11),N($G11)*12))</f>
        <v/>
      </c>
      <c r="K11" s="48" t="str">
        <f aca="false">IF($B11="","",ROUND(N($I11)*N($J11),2))</f>
        <v/>
      </c>
      <c r="L11" s="48" t="str">
        <f aca="false">IF($B11="","",N($F11)-N($K11))</f>
        <v/>
      </c>
      <c r="M11" s="49" t="str">
        <f aca="false">IF($B11="","",IF(N($J11)&gt;=N($G11)*12,"已提完","计提中"))</f>
        <v/>
      </c>
      <c r="N11" s="36"/>
    </row>
    <row r="12" customFormat="false" ht="15.75" hidden="false" customHeight="true" outlineLevel="0" collapsed="false">
      <c r="A12" s="31"/>
      <c r="B12" s="36"/>
      <c r="C12" s="33"/>
      <c r="D12" s="33"/>
      <c r="E12" s="41"/>
      <c r="F12" s="40"/>
      <c r="G12" s="69"/>
      <c r="H12" s="51"/>
      <c r="I12" s="48" t="str">
        <f aca="false">IF(OR($B12="",N($G12)=0),"",ROUND(N($F12)*(1-N($H12))/N($G12)/12,2))</f>
        <v/>
      </c>
      <c r="J12" s="70" t="str">
        <f aca="false">IF(OR($B12="",$E12=""),"",MEDIAN(0,(YEAR(首页!$B$7)-YEAR($E12))*12+MONTH(首页!$B$7)-MONTH($E12),N($G12)*12))</f>
        <v/>
      </c>
      <c r="K12" s="48" t="str">
        <f aca="false">IF($B12="","",ROUND(N($I12)*N($J12),2))</f>
        <v/>
      </c>
      <c r="L12" s="48" t="str">
        <f aca="false">IF($B12="","",N($F12)-N($K12))</f>
        <v/>
      </c>
      <c r="M12" s="49" t="str">
        <f aca="false">IF($B12="","",IF(N($J12)&gt;=N($G12)*12,"已提完","计提中"))</f>
        <v/>
      </c>
      <c r="N12" s="36"/>
    </row>
    <row r="13" customFormat="false" ht="15.75" hidden="false" customHeight="true" outlineLevel="0" collapsed="false">
      <c r="A13" s="31"/>
      <c r="B13" s="36"/>
      <c r="C13" s="33"/>
      <c r="D13" s="33"/>
      <c r="E13" s="41"/>
      <c r="F13" s="40"/>
      <c r="G13" s="69"/>
      <c r="H13" s="51"/>
      <c r="I13" s="48" t="str">
        <f aca="false">IF(OR($B13="",N($G13)=0),"",ROUND(N($F13)*(1-N($H13))/N($G13)/12,2))</f>
        <v/>
      </c>
      <c r="J13" s="70" t="str">
        <f aca="false">IF(OR($B13="",$E13=""),"",MEDIAN(0,(YEAR(首页!$B$7)-YEAR($E13))*12+MONTH(首页!$B$7)-MONTH($E13),N($G13)*12))</f>
        <v/>
      </c>
      <c r="K13" s="48" t="str">
        <f aca="false">IF($B13="","",ROUND(N($I13)*N($J13),2))</f>
        <v/>
      </c>
      <c r="L13" s="48" t="str">
        <f aca="false">IF($B13="","",N($F13)-N($K13))</f>
        <v/>
      </c>
      <c r="M13" s="49" t="str">
        <f aca="false">IF($B13="","",IF(N($J13)&gt;=N($G13)*12,"已提完","计提中"))</f>
        <v/>
      </c>
      <c r="N13" s="36"/>
    </row>
    <row r="14" customFormat="false" ht="15.75" hidden="false" customHeight="true" outlineLevel="0" collapsed="false">
      <c r="A14" s="31"/>
      <c r="B14" s="36"/>
      <c r="C14" s="33"/>
      <c r="D14" s="33"/>
      <c r="E14" s="41"/>
      <c r="F14" s="40"/>
      <c r="G14" s="69"/>
      <c r="H14" s="51"/>
      <c r="I14" s="48" t="str">
        <f aca="false">IF(OR($B14="",N($G14)=0),"",ROUND(N($F14)*(1-N($H14))/N($G14)/12,2))</f>
        <v/>
      </c>
      <c r="J14" s="70" t="str">
        <f aca="false">IF(OR($B14="",$E14=""),"",MEDIAN(0,(YEAR(首页!$B$7)-YEAR($E14))*12+MONTH(首页!$B$7)-MONTH($E14),N($G14)*12))</f>
        <v/>
      </c>
      <c r="K14" s="48" t="str">
        <f aca="false">IF($B14="","",ROUND(N($I14)*N($J14),2))</f>
        <v/>
      </c>
      <c r="L14" s="48" t="str">
        <f aca="false">IF($B14="","",N($F14)-N($K14))</f>
        <v/>
      </c>
      <c r="M14" s="49" t="str">
        <f aca="false">IF($B14="","",IF(N($J14)&gt;=N($G14)*12,"已提完","计提中"))</f>
        <v/>
      </c>
      <c r="N14" s="36"/>
    </row>
    <row r="15" customFormat="false" ht="15.75" hidden="false" customHeight="true" outlineLevel="0" collapsed="false">
      <c r="A15" s="31"/>
      <c r="B15" s="36"/>
      <c r="C15" s="33"/>
      <c r="D15" s="33"/>
      <c r="E15" s="41"/>
      <c r="F15" s="40"/>
      <c r="G15" s="69"/>
      <c r="H15" s="51"/>
      <c r="I15" s="48" t="str">
        <f aca="false">IF(OR($B15="",N($G15)=0),"",ROUND(N($F15)*(1-N($H15))/N($G15)/12,2))</f>
        <v/>
      </c>
      <c r="J15" s="70" t="str">
        <f aca="false">IF(OR($B15="",$E15=""),"",MEDIAN(0,(YEAR(首页!$B$7)-YEAR($E15))*12+MONTH(首页!$B$7)-MONTH($E15),N($G15)*12))</f>
        <v/>
      </c>
      <c r="K15" s="48" t="str">
        <f aca="false">IF($B15="","",ROUND(N($I15)*N($J15),2))</f>
        <v/>
      </c>
      <c r="L15" s="48" t="str">
        <f aca="false">IF($B15="","",N($F15)-N($K15))</f>
        <v/>
      </c>
      <c r="M15" s="49" t="str">
        <f aca="false">IF($B15="","",IF(N($J15)&gt;=N($G15)*12,"已提完","计提中"))</f>
        <v/>
      </c>
      <c r="N15" s="36"/>
    </row>
    <row r="16" customFormat="false" ht="15.75" hidden="false" customHeight="true" outlineLevel="0" collapsed="false">
      <c r="A16" s="31"/>
      <c r="B16" s="36"/>
      <c r="C16" s="33"/>
      <c r="D16" s="33"/>
      <c r="E16" s="41"/>
      <c r="F16" s="40"/>
      <c r="G16" s="69"/>
      <c r="H16" s="51"/>
      <c r="I16" s="48" t="str">
        <f aca="false">IF(OR($B16="",N($G16)=0),"",ROUND(N($F16)*(1-N($H16))/N($G16)/12,2))</f>
        <v/>
      </c>
      <c r="J16" s="70" t="str">
        <f aca="false">IF(OR($B16="",$E16=""),"",MEDIAN(0,(YEAR(首页!$B$7)-YEAR($E16))*12+MONTH(首页!$B$7)-MONTH($E16),N($G16)*12))</f>
        <v/>
      </c>
      <c r="K16" s="48" t="str">
        <f aca="false">IF($B16="","",ROUND(N($I16)*N($J16),2))</f>
        <v/>
      </c>
      <c r="L16" s="48" t="str">
        <f aca="false">IF($B16="","",N($F16)-N($K16))</f>
        <v/>
      </c>
      <c r="M16" s="49" t="str">
        <f aca="false">IF($B16="","",IF(N($J16)&gt;=N($G16)*12,"已提完","计提中"))</f>
        <v/>
      </c>
      <c r="N16" s="36"/>
    </row>
    <row r="17" customFormat="false" ht="15.75" hidden="false" customHeight="true" outlineLevel="0" collapsed="false">
      <c r="A17" s="31"/>
      <c r="B17" s="36"/>
      <c r="C17" s="33"/>
      <c r="D17" s="33"/>
      <c r="E17" s="41"/>
      <c r="F17" s="40"/>
      <c r="G17" s="69"/>
      <c r="H17" s="51"/>
      <c r="I17" s="48" t="str">
        <f aca="false">IF(OR($B17="",N($G17)=0),"",ROUND(N($F17)*(1-N($H17))/N($G17)/12,2))</f>
        <v/>
      </c>
      <c r="J17" s="70" t="str">
        <f aca="false">IF(OR($B17="",$E17=""),"",MEDIAN(0,(YEAR(首页!$B$7)-YEAR($E17))*12+MONTH(首页!$B$7)-MONTH($E17),N($G17)*12))</f>
        <v/>
      </c>
      <c r="K17" s="48" t="str">
        <f aca="false">IF($B17="","",ROUND(N($I17)*N($J17),2))</f>
        <v/>
      </c>
      <c r="L17" s="48" t="str">
        <f aca="false">IF($B17="","",N($F17)-N($K17))</f>
        <v/>
      </c>
      <c r="M17" s="49" t="str">
        <f aca="false">IF($B17="","",IF(N($J17)&gt;=N($G17)*12,"已提完","计提中"))</f>
        <v/>
      </c>
      <c r="N17" s="36"/>
    </row>
    <row r="18" customFormat="false" ht="15.75" hidden="false" customHeight="true" outlineLevel="0" collapsed="false">
      <c r="A18" s="31"/>
      <c r="B18" s="36"/>
      <c r="C18" s="33"/>
      <c r="D18" s="33"/>
      <c r="E18" s="41"/>
      <c r="F18" s="40"/>
      <c r="G18" s="69"/>
      <c r="H18" s="51"/>
      <c r="I18" s="48" t="str">
        <f aca="false">IF(OR($B18="",N($G18)=0),"",ROUND(N($F18)*(1-N($H18))/N($G18)/12,2))</f>
        <v/>
      </c>
      <c r="J18" s="70" t="str">
        <f aca="false">IF(OR($B18="",$E18=""),"",MEDIAN(0,(YEAR(首页!$B$7)-YEAR($E18))*12+MONTH(首页!$B$7)-MONTH($E18),N($G18)*12))</f>
        <v/>
      </c>
      <c r="K18" s="48" t="str">
        <f aca="false">IF($B18="","",ROUND(N($I18)*N($J18),2))</f>
        <v/>
      </c>
      <c r="L18" s="48" t="str">
        <f aca="false">IF($B18="","",N($F18)-N($K18))</f>
        <v/>
      </c>
      <c r="M18" s="49" t="str">
        <f aca="false">IF($B18="","",IF(N($J18)&gt;=N($G18)*12,"已提完","计提中"))</f>
        <v/>
      </c>
      <c r="N18" s="36"/>
    </row>
    <row r="19" customFormat="false" ht="15.75" hidden="false" customHeight="true" outlineLevel="0" collapsed="false">
      <c r="A19" s="31"/>
      <c r="B19" s="36"/>
      <c r="C19" s="33"/>
      <c r="D19" s="33"/>
      <c r="E19" s="41"/>
      <c r="F19" s="40"/>
      <c r="G19" s="69"/>
      <c r="H19" s="51"/>
      <c r="I19" s="48" t="str">
        <f aca="false">IF(OR($B19="",N($G19)=0),"",ROUND(N($F19)*(1-N($H19))/N($G19)/12,2))</f>
        <v/>
      </c>
      <c r="J19" s="70" t="str">
        <f aca="false">IF(OR($B19="",$E19=""),"",MEDIAN(0,(YEAR(首页!$B$7)-YEAR($E19))*12+MONTH(首页!$B$7)-MONTH($E19),N($G19)*12))</f>
        <v/>
      </c>
      <c r="K19" s="48" t="str">
        <f aca="false">IF($B19="","",ROUND(N($I19)*N($J19),2))</f>
        <v/>
      </c>
      <c r="L19" s="48" t="str">
        <f aca="false">IF($B19="","",N($F19)-N($K19))</f>
        <v/>
      </c>
      <c r="M19" s="49" t="str">
        <f aca="false">IF($B19="","",IF(N($J19)&gt;=N($G19)*12,"已提完","计提中"))</f>
        <v/>
      </c>
      <c r="N19" s="36"/>
    </row>
    <row r="20" customFormat="false" ht="15.75" hidden="false" customHeight="true" outlineLevel="0" collapsed="false">
      <c r="A20" s="31"/>
      <c r="B20" s="36"/>
      <c r="C20" s="33"/>
      <c r="D20" s="33"/>
      <c r="E20" s="41"/>
      <c r="F20" s="40"/>
      <c r="G20" s="69"/>
      <c r="H20" s="51"/>
      <c r="I20" s="48" t="str">
        <f aca="false">IF(OR($B20="",N($G20)=0),"",ROUND(N($F20)*(1-N($H20))/N($G20)/12,2))</f>
        <v/>
      </c>
      <c r="J20" s="70" t="str">
        <f aca="false">IF(OR($B20="",$E20=""),"",MEDIAN(0,(YEAR(首页!$B$7)-YEAR($E20))*12+MONTH(首页!$B$7)-MONTH($E20),N($G20)*12))</f>
        <v/>
      </c>
      <c r="K20" s="48" t="str">
        <f aca="false">IF($B20="","",ROUND(N($I20)*N($J20),2))</f>
        <v/>
      </c>
      <c r="L20" s="48" t="str">
        <f aca="false">IF($B20="","",N($F20)-N($K20))</f>
        <v/>
      </c>
      <c r="M20" s="49" t="str">
        <f aca="false">IF($B20="","",IF(N($J20)&gt;=N($G20)*12,"已提完","计提中"))</f>
        <v/>
      </c>
      <c r="N20" s="36"/>
    </row>
    <row r="21" customFormat="false" ht="15.75" hidden="false" customHeight="true" outlineLevel="0" collapsed="false">
      <c r="A21" s="31"/>
      <c r="B21" s="36"/>
      <c r="C21" s="33"/>
      <c r="D21" s="33"/>
      <c r="E21" s="41"/>
      <c r="F21" s="40"/>
      <c r="G21" s="69"/>
      <c r="H21" s="51"/>
      <c r="I21" s="48" t="str">
        <f aca="false">IF(OR($B21="",N($G21)=0),"",ROUND(N($F21)*(1-N($H21))/N($G21)/12,2))</f>
        <v/>
      </c>
      <c r="J21" s="70" t="str">
        <f aca="false">IF(OR($B21="",$E21=""),"",MEDIAN(0,(YEAR(首页!$B$7)-YEAR($E21))*12+MONTH(首页!$B$7)-MONTH($E21),N($G21)*12))</f>
        <v/>
      </c>
      <c r="K21" s="48" t="str">
        <f aca="false">IF($B21="","",ROUND(N($I21)*N($J21),2))</f>
        <v/>
      </c>
      <c r="L21" s="48" t="str">
        <f aca="false">IF($B21="","",N($F21)-N($K21))</f>
        <v/>
      </c>
      <c r="M21" s="49" t="str">
        <f aca="false">IF($B21="","",IF(N($J21)&gt;=N($G21)*12,"已提完","计提中"))</f>
        <v/>
      </c>
      <c r="N21" s="36"/>
    </row>
    <row r="22" customFormat="false" ht="15.75" hidden="false" customHeight="true" outlineLevel="0" collapsed="false">
      <c r="A22" s="31"/>
      <c r="B22" s="36"/>
      <c r="C22" s="33"/>
      <c r="D22" s="33"/>
      <c r="E22" s="41"/>
      <c r="F22" s="40"/>
      <c r="G22" s="69"/>
      <c r="H22" s="51"/>
      <c r="I22" s="48" t="str">
        <f aca="false">IF(OR($B22="",N($G22)=0),"",ROUND(N($F22)*(1-N($H22))/N($G22)/12,2))</f>
        <v/>
      </c>
      <c r="J22" s="70" t="str">
        <f aca="false">IF(OR($B22="",$E22=""),"",MEDIAN(0,(YEAR(首页!$B$7)-YEAR($E22))*12+MONTH(首页!$B$7)-MONTH($E22),N($G22)*12))</f>
        <v/>
      </c>
      <c r="K22" s="48" t="str">
        <f aca="false">IF($B22="","",ROUND(N($I22)*N($J22),2))</f>
        <v/>
      </c>
      <c r="L22" s="48" t="str">
        <f aca="false">IF($B22="","",N($F22)-N($K22))</f>
        <v/>
      </c>
      <c r="M22" s="49" t="str">
        <f aca="false">IF($B22="","",IF(N($J22)&gt;=N($G22)*12,"已提完","计提中"))</f>
        <v/>
      </c>
      <c r="N22" s="36"/>
    </row>
    <row r="23" customFormat="false" ht="15.75" hidden="false" customHeight="true" outlineLevel="0" collapsed="false">
      <c r="A23" s="31"/>
      <c r="B23" s="36"/>
      <c r="C23" s="33"/>
      <c r="D23" s="33"/>
      <c r="E23" s="41"/>
      <c r="F23" s="40"/>
      <c r="G23" s="69"/>
      <c r="H23" s="51"/>
      <c r="I23" s="48" t="str">
        <f aca="false">IF(OR($B23="",N($G23)=0),"",ROUND(N($F23)*(1-N($H23))/N($G23)/12,2))</f>
        <v/>
      </c>
      <c r="J23" s="70" t="str">
        <f aca="false">IF(OR($B23="",$E23=""),"",MEDIAN(0,(YEAR(首页!$B$7)-YEAR($E23))*12+MONTH(首页!$B$7)-MONTH($E23),N($G23)*12))</f>
        <v/>
      </c>
      <c r="K23" s="48" t="str">
        <f aca="false">IF($B23="","",ROUND(N($I23)*N($J23),2))</f>
        <v/>
      </c>
      <c r="L23" s="48" t="str">
        <f aca="false">IF($B23="","",N($F23)-N($K23))</f>
        <v/>
      </c>
      <c r="M23" s="49" t="str">
        <f aca="false">IF($B23="","",IF(N($J23)&gt;=N($G23)*12,"已提完","计提中"))</f>
        <v/>
      </c>
      <c r="N23" s="36"/>
    </row>
    <row r="24" customFormat="false" ht="15.75" hidden="false" customHeight="true" outlineLevel="0" collapsed="false">
      <c r="A24" s="31"/>
      <c r="B24" s="36"/>
      <c r="C24" s="33"/>
      <c r="D24" s="33"/>
      <c r="E24" s="41"/>
      <c r="F24" s="40"/>
      <c r="G24" s="69"/>
      <c r="H24" s="51"/>
      <c r="I24" s="48" t="str">
        <f aca="false">IF(OR($B24="",N($G24)=0),"",ROUND(N($F24)*(1-N($H24))/N($G24)/12,2))</f>
        <v/>
      </c>
      <c r="J24" s="70" t="str">
        <f aca="false">IF(OR($B24="",$E24=""),"",MEDIAN(0,(YEAR(首页!$B$7)-YEAR($E24))*12+MONTH(首页!$B$7)-MONTH($E24),N($G24)*12))</f>
        <v/>
      </c>
      <c r="K24" s="48" t="str">
        <f aca="false">IF($B24="","",ROUND(N($I24)*N($J24),2))</f>
        <v/>
      </c>
      <c r="L24" s="48" t="str">
        <f aca="false">IF($B24="","",N($F24)-N($K24))</f>
        <v/>
      </c>
      <c r="M24" s="49" t="str">
        <f aca="false">IF($B24="","",IF(N($J24)&gt;=N($G24)*12,"已提完","计提中"))</f>
        <v/>
      </c>
      <c r="N24" s="36"/>
    </row>
    <row r="25" customFormat="false" ht="15.75" hidden="false" customHeight="true" outlineLevel="0" collapsed="false">
      <c r="A25" s="31"/>
      <c r="B25" s="36"/>
      <c r="C25" s="33"/>
      <c r="D25" s="33"/>
      <c r="E25" s="41"/>
      <c r="F25" s="40"/>
      <c r="G25" s="69"/>
      <c r="H25" s="51"/>
      <c r="I25" s="48" t="str">
        <f aca="false">IF(OR($B25="",N($G25)=0),"",ROUND(N($F25)*(1-N($H25))/N($G25)/12,2))</f>
        <v/>
      </c>
      <c r="J25" s="70" t="str">
        <f aca="false">IF(OR($B25="",$E25=""),"",MEDIAN(0,(YEAR(首页!$B$7)-YEAR($E25))*12+MONTH(首页!$B$7)-MONTH($E25),N($G25)*12))</f>
        <v/>
      </c>
      <c r="K25" s="48" t="str">
        <f aca="false">IF($B25="","",ROUND(N($I25)*N($J25),2))</f>
        <v/>
      </c>
      <c r="L25" s="48" t="str">
        <f aca="false">IF($B25="","",N($F25)-N($K25))</f>
        <v/>
      </c>
      <c r="M25" s="49" t="str">
        <f aca="false">IF($B25="","",IF(N($J25)&gt;=N($G25)*12,"已提完","计提中"))</f>
        <v/>
      </c>
      <c r="N25" s="36"/>
    </row>
    <row r="26" customFormat="false" ht="15.75" hidden="false" customHeight="true" outlineLevel="0" collapsed="false">
      <c r="A26" s="31"/>
      <c r="B26" s="36"/>
      <c r="C26" s="33"/>
      <c r="D26" s="33"/>
      <c r="E26" s="41"/>
      <c r="F26" s="40"/>
      <c r="G26" s="69"/>
      <c r="H26" s="51"/>
      <c r="I26" s="48" t="str">
        <f aca="false">IF(OR($B26="",N($G26)=0),"",ROUND(N($F26)*(1-N($H26))/N($G26)/12,2))</f>
        <v/>
      </c>
      <c r="J26" s="70" t="str">
        <f aca="false">IF(OR($B26="",$E26=""),"",MEDIAN(0,(YEAR(首页!$B$7)-YEAR($E26))*12+MONTH(首页!$B$7)-MONTH($E26),N($G26)*12))</f>
        <v/>
      </c>
      <c r="K26" s="48" t="str">
        <f aca="false">IF($B26="","",ROUND(N($I26)*N($J26),2))</f>
        <v/>
      </c>
      <c r="L26" s="48" t="str">
        <f aca="false">IF($B26="","",N($F26)-N($K26))</f>
        <v/>
      </c>
      <c r="M26" s="49" t="str">
        <f aca="false">IF($B26="","",IF(N($J26)&gt;=N($G26)*12,"已提完","计提中"))</f>
        <v/>
      </c>
      <c r="N26" s="36"/>
    </row>
    <row r="27" customFormat="false" ht="15.75" hidden="false" customHeight="true" outlineLevel="0" collapsed="false">
      <c r="A27" s="31"/>
      <c r="B27" s="36"/>
      <c r="C27" s="33"/>
      <c r="D27" s="33"/>
      <c r="E27" s="41"/>
      <c r="F27" s="40"/>
      <c r="G27" s="69"/>
      <c r="H27" s="51"/>
      <c r="I27" s="48" t="str">
        <f aca="false">IF(OR($B27="",N($G27)=0),"",ROUND(N($F27)*(1-N($H27))/N($G27)/12,2))</f>
        <v/>
      </c>
      <c r="J27" s="70" t="str">
        <f aca="false">IF(OR($B27="",$E27=""),"",MEDIAN(0,(YEAR(首页!$B$7)-YEAR($E27))*12+MONTH(首页!$B$7)-MONTH($E27),N($G27)*12))</f>
        <v/>
      </c>
      <c r="K27" s="48" t="str">
        <f aca="false">IF($B27="","",ROUND(N($I27)*N($J27),2))</f>
        <v/>
      </c>
      <c r="L27" s="48" t="str">
        <f aca="false">IF($B27="","",N($F27)-N($K27))</f>
        <v/>
      </c>
      <c r="M27" s="49" t="str">
        <f aca="false">IF($B27="","",IF(N($J27)&gt;=N($G27)*12,"已提完","计提中"))</f>
        <v/>
      </c>
      <c r="N27" s="36"/>
    </row>
    <row r="28" customFormat="false" ht="15.75" hidden="false" customHeight="true" outlineLevel="0" collapsed="false">
      <c r="A28" s="31"/>
      <c r="B28" s="36"/>
      <c r="C28" s="33"/>
      <c r="D28" s="33"/>
      <c r="E28" s="41"/>
      <c r="F28" s="40"/>
      <c r="G28" s="69"/>
      <c r="H28" s="51"/>
      <c r="I28" s="48" t="str">
        <f aca="false">IF(OR($B28="",N($G28)=0),"",ROUND(N($F28)*(1-N($H28))/N($G28)/12,2))</f>
        <v/>
      </c>
      <c r="J28" s="70" t="str">
        <f aca="false">IF(OR($B28="",$E28=""),"",MEDIAN(0,(YEAR(首页!$B$7)-YEAR($E28))*12+MONTH(首页!$B$7)-MONTH($E28),N($G28)*12))</f>
        <v/>
      </c>
      <c r="K28" s="48" t="str">
        <f aca="false">IF($B28="","",ROUND(N($I28)*N($J28),2))</f>
        <v/>
      </c>
      <c r="L28" s="48" t="str">
        <f aca="false">IF($B28="","",N($F28)-N($K28))</f>
        <v/>
      </c>
      <c r="M28" s="49" t="str">
        <f aca="false">IF($B28="","",IF(N($J28)&gt;=N($G28)*12,"已提完","计提中"))</f>
        <v/>
      </c>
      <c r="N28" s="36"/>
    </row>
    <row r="29" customFormat="false" ht="15.75" hidden="false" customHeight="true" outlineLevel="0" collapsed="false">
      <c r="A29" s="31"/>
      <c r="B29" s="36"/>
      <c r="C29" s="33"/>
      <c r="D29" s="33"/>
      <c r="E29" s="41"/>
      <c r="F29" s="40"/>
      <c r="G29" s="69"/>
      <c r="H29" s="51"/>
      <c r="I29" s="48" t="str">
        <f aca="false">IF(OR($B29="",N($G29)=0),"",ROUND(N($F29)*(1-N($H29))/N($G29)/12,2))</f>
        <v/>
      </c>
      <c r="J29" s="70" t="str">
        <f aca="false">IF(OR($B29="",$E29=""),"",MEDIAN(0,(YEAR(首页!$B$7)-YEAR($E29))*12+MONTH(首页!$B$7)-MONTH($E29),N($G29)*12))</f>
        <v/>
      </c>
      <c r="K29" s="48" t="str">
        <f aca="false">IF($B29="","",ROUND(N($I29)*N($J29),2))</f>
        <v/>
      </c>
      <c r="L29" s="48" t="str">
        <f aca="false">IF($B29="","",N($F29)-N($K29))</f>
        <v/>
      </c>
      <c r="M29" s="49" t="str">
        <f aca="false">IF($B29="","",IF(N($J29)&gt;=N($G29)*12,"已提完","计提中"))</f>
        <v/>
      </c>
      <c r="N29" s="36"/>
    </row>
    <row r="30" customFormat="false" ht="15.75" hidden="false" customHeight="true" outlineLevel="0" collapsed="false">
      <c r="A30" s="31"/>
      <c r="B30" s="36"/>
      <c r="C30" s="33"/>
      <c r="D30" s="33"/>
      <c r="E30" s="41"/>
      <c r="F30" s="40"/>
      <c r="G30" s="69"/>
      <c r="H30" s="51"/>
      <c r="I30" s="48" t="str">
        <f aca="false">IF(OR($B30="",N($G30)=0),"",ROUND(N($F30)*(1-N($H30))/N($G30)/12,2))</f>
        <v/>
      </c>
      <c r="J30" s="70" t="str">
        <f aca="false">IF(OR($B30="",$E30=""),"",MEDIAN(0,(YEAR(首页!$B$7)-YEAR($E30))*12+MONTH(首页!$B$7)-MONTH($E30),N($G30)*12))</f>
        <v/>
      </c>
      <c r="K30" s="48" t="str">
        <f aca="false">IF($B30="","",ROUND(N($I30)*N($J30),2))</f>
        <v/>
      </c>
      <c r="L30" s="48" t="str">
        <f aca="false">IF($B30="","",N($F30)-N($K30))</f>
        <v/>
      </c>
      <c r="M30" s="49" t="str">
        <f aca="false">IF($B30="","",IF(N($J30)&gt;=N($G30)*12,"已提完","计提中"))</f>
        <v/>
      </c>
      <c r="N30" s="36"/>
    </row>
    <row r="31" customFormat="false" ht="15.75" hidden="false" customHeight="true" outlineLevel="0" collapsed="false">
      <c r="A31" s="31"/>
      <c r="B31" s="36"/>
      <c r="C31" s="33"/>
      <c r="D31" s="33"/>
      <c r="E31" s="41"/>
      <c r="F31" s="40"/>
      <c r="G31" s="69"/>
      <c r="H31" s="51"/>
      <c r="I31" s="48" t="str">
        <f aca="false">IF(OR($B31="",N($G31)=0),"",ROUND(N($F31)*(1-N($H31))/N($G31)/12,2))</f>
        <v/>
      </c>
      <c r="J31" s="70" t="str">
        <f aca="false">IF(OR($B31="",$E31=""),"",MEDIAN(0,(YEAR(首页!$B$7)-YEAR($E31))*12+MONTH(首页!$B$7)-MONTH($E31),N($G31)*12))</f>
        <v/>
      </c>
      <c r="K31" s="48" t="str">
        <f aca="false">IF($B31="","",ROUND(N($I31)*N($J31),2))</f>
        <v/>
      </c>
      <c r="L31" s="48" t="str">
        <f aca="false">IF($B31="","",N($F31)-N($K31))</f>
        <v/>
      </c>
      <c r="M31" s="49" t="str">
        <f aca="false">IF($B31="","",IF(N($J31)&gt;=N($G31)*12,"已提完","计提中"))</f>
        <v/>
      </c>
      <c r="N31" s="36"/>
    </row>
    <row r="32" customFormat="false" ht="15.75" hidden="false" customHeight="true" outlineLevel="0" collapsed="false">
      <c r="A32" s="31"/>
      <c r="B32" s="36"/>
      <c r="C32" s="33"/>
      <c r="D32" s="33"/>
      <c r="E32" s="41"/>
      <c r="F32" s="40"/>
      <c r="G32" s="69"/>
      <c r="H32" s="51"/>
      <c r="I32" s="48" t="str">
        <f aca="false">IF(OR($B32="",N($G32)=0),"",ROUND(N($F32)*(1-N($H32))/N($G32)/12,2))</f>
        <v/>
      </c>
      <c r="J32" s="70" t="str">
        <f aca="false">IF(OR($B32="",$E32=""),"",MEDIAN(0,(YEAR(首页!$B$7)-YEAR($E32))*12+MONTH(首页!$B$7)-MONTH($E32),N($G32)*12))</f>
        <v/>
      </c>
      <c r="K32" s="48" t="str">
        <f aca="false">IF($B32="","",ROUND(N($I32)*N($J32),2))</f>
        <v/>
      </c>
      <c r="L32" s="48" t="str">
        <f aca="false">IF($B32="","",N($F32)-N($K32))</f>
        <v/>
      </c>
      <c r="M32" s="49" t="str">
        <f aca="false">IF($B32="","",IF(N($J32)&gt;=N($G32)*12,"已提完","计提中"))</f>
        <v/>
      </c>
      <c r="N32" s="36"/>
    </row>
    <row r="33" customFormat="false" ht="15.75" hidden="false" customHeight="true" outlineLevel="0" collapsed="false">
      <c r="A33" s="31"/>
      <c r="B33" s="36"/>
      <c r="C33" s="33"/>
      <c r="D33" s="33"/>
      <c r="E33" s="41"/>
      <c r="F33" s="40"/>
      <c r="G33" s="69"/>
      <c r="H33" s="51"/>
      <c r="I33" s="48" t="str">
        <f aca="false">IF(OR($B33="",N($G33)=0),"",ROUND(N($F33)*(1-N($H33))/N($G33)/12,2))</f>
        <v/>
      </c>
      <c r="J33" s="70" t="str">
        <f aca="false">IF(OR($B33="",$E33=""),"",MEDIAN(0,(YEAR(首页!$B$7)-YEAR($E33))*12+MONTH(首页!$B$7)-MONTH($E33),N($G33)*12))</f>
        <v/>
      </c>
      <c r="K33" s="48" t="str">
        <f aca="false">IF($B33="","",ROUND(N($I33)*N($J33),2))</f>
        <v/>
      </c>
      <c r="L33" s="48" t="str">
        <f aca="false">IF($B33="","",N($F33)-N($K33))</f>
        <v/>
      </c>
      <c r="M33" s="49" t="str">
        <f aca="false">IF($B33="","",IF(N($J33)&gt;=N($G33)*12,"已提完","计提中"))</f>
        <v/>
      </c>
      <c r="N33" s="36"/>
    </row>
    <row r="34" customFormat="false" ht="15.75" hidden="false" customHeight="true" outlineLevel="0" collapsed="false">
      <c r="A34" s="31"/>
      <c r="B34" s="36"/>
      <c r="C34" s="33"/>
      <c r="D34" s="33"/>
      <c r="E34" s="41"/>
      <c r="F34" s="40"/>
      <c r="G34" s="69"/>
      <c r="H34" s="51"/>
      <c r="I34" s="48" t="str">
        <f aca="false">IF(OR($B34="",N($G34)=0),"",ROUND(N($F34)*(1-N($H34))/N($G34)/12,2))</f>
        <v/>
      </c>
      <c r="J34" s="70" t="str">
        <f aca="false">IF(OR($B34="",$E34=""),"",MEDIAN(0,(YEAR(首页!$B$7)-YEAR($E34))*12+MONTH(首页!$B$7)-MONTH($E34),N($G34)*12))</f>
        <v/>
      </c>
      <c r="K34" s="48" t="str">
        <f aca="false">IF($B34="","",ROUND(N($I34)*N($J34),2))</f>
        <v/>
      </c>
      <c r="L34" s="48" t="str">
        <f aca="false">IF($B34="","",N($F34)-N($K34))</f>
        <v/>
      </c>
      <c r="M34" s="49" t="str">
        <f aca="false">IF($B34="","",IF(N($J34)&gt;=N($G34)*12,"已提完","计提中"))</f>
        <v/>
      </c>
      <c r="N34" s="36"/>
    </row>
    <row r="35" customFormat="false" ht="15.75" hidden="false" customHeight="true" outlineLevel="0" collapsed="false">
      <c r="A35" s="31"/>
      <c r="B35" s="36"/>
      <c r="C35" s="33"/>
      <c r="D35" s="33"/>
      <c r="E35" s="41"/>
      <c r="F35" s="40"/>
      <c r="G35" s="69"/>
      <c r="H35" s="51"/>
      <c r="I35" s="48" t="str">
        <f aca="false">IF(OR($B35="",N($G35)=0),"",ROUND(N($F35)*(1-N($H35))/N($G35)/12,2))</f>
        <v/>
      </c>
      <c r="J35" s="70" t="str">
        <f aca="false">IF(OR($B35="",$E35=""),"",MEDIAN(0,(YEAR(首页!$B$7)-YEAR($E35))*12+MONTH(首页!$B$7)-MONTH($E35),N($G35)*12))</f>
        <v/>
      </c>
      <c r="K35" s="48" t="str">
        <f aca="false">IF($B35="","",ROUND(N($I35)*N($J35),2))</f>
        <v/>
      </c>
      <c r="L35" s="48" t="str">
        <f aca="false">IF($B35="","",N($F35)-N($K35))</f>
        <v/>
      </c>
      <c r="M35" s="49" t="str">
        <f aca="false">IF($B35="","",IF(N($J35)&gt;=N($G35)*12,"已提完","计提中"))</f>
        <v/>
      </c>
      <c r="N35" s="36"/>
    </row>
    <row r="36" customFormat="false" ht="15.75" hidden="false" customHeight="true" outlineLevel="0" collapsed="false">
      <c r="A36" s="31"/>
      <c r="B36" s="36"/>
      <c r="C36" s="33"/>
      <c r="D36" s="33"/>
      <c r="E36" s="41"/>
      <c r="F36" s="40"/>
      <c r="G36" s="69"/>
      <c r="H36" s="51"/>
      <c r="I36" s="48" t="str">
        <f aca="false">IF(OR($B36="",N($G36)=0),"",ROUND(N($F36)*(1-N($H36))/N($G36)/12,2))</f>
        <v/>
      </c>
      <c r="J36" s="70" t="str">
        <f aca="false">IF(OR($B36="",$E36=""),"",MEDIAN(0,(YEAR(首页!$B$7)-YEAR($E36))*12+MONTH(首页!$B$7)-MONTH($E36),N($G36)*12))</f>
        <v/>
      </c>
      <c r="K36" s="48" t="str">
        <f aca="false">IF($B36="","",ROUND(N($I36)*N($J36),2))</f>
        <v/>
      </c>
      <c r="L36" s="48" t="str">
        <f aca="false">IF($B36="","",N($F36)-N($K36))</f>
        <v/>
      </c>
      <c r="M36" s="49" t="str">
        <f aca="false">IF($B36="","",IF(N($J36)&gt;=N($G36)*12,"已提完","计提中"))</f>
        <v/>
      </c>
      <c r="N36" s="36"/>
    </row>
    <row r="37" customFormat="false" ht="15.75" hidden="false" customHeight="true" outlineLevel="0" collapsed="false">
      <c r="A37" s="31"/>
      <c r="B37" s="36"/>
      <c r="C37" s="33"/>
      <c r="D37" s="33"/>
      <c r="E37" s="41"/>
      <c r="F37" s="40"/>
      <c r="G37" s="69"/>
      <c r="H37" s="51"/>
      <c r="I37" s="48" t="str">
        <f aca="false">IF(OR($B37="",N($G37)=0),"",ROUND(N($F37)*(1-N($H37))/N($G37)/12,2))</f>
        <v/>
      </c>
      <c r="J37" s="70" t="str">
        <f aca="false">IF(OR($B37="",$E37=""),"",MEDIAN(0,(YEAR(首页!$B$7)-YEAR($E37))*12+MONTH(首页!$B$7)-MONTH($E37),N($G37)*12))</f>
        <v/>
      </c>
      <c r="K37" s="48" t="str">
        <f aca="false">IF($B37="","",ROUND(N($I37)*N($J37),2))</f>
        <v/>
      </c>
      <c r="L37" s="48" t="str">
        <f aca="false">IF($B37="","",N($F37)-N($K37))</f>
        <v/>
      </c>
      <c r="M37" s="49" t="str">
        <f aca="false">IF($B37="","",IF(N($J37)&gt;=N($G37)*12,"已提完","计提中"))</f>
        <v/>
      </c>
      <c r="N37" s="36"/>
    </row>
    <row r="38" customFormat="false" ht="15.75" hidden="false" customHeight="true" outlineLevel="0" collapsed="false">
      <c r="A38" s="31"/>
      <c r="B38" s="36"/>
      <c r="C38" s="33"/>
      <c r="D38" s="33"/>
      <c r="E38" s="41"/>
      <c r="F38" s="40"/>
      <c r="G38" s="69"/>
      <c r="H38" s="51"/>
      <c r="I38" s="48" t="str">
        <f aca="false">IF(OR($B38="",N($G38)=0),"",ROUND(N($F38)*(1-N($H38))/N($G38)/12,2))</f>
        <v/>
      </c>
      <c r="J38" s="70" t="str">
        <f aca="false">IF(OR($B38="",$E38=""),"",MEDIAN(0,(YEAR(首页!$B$7)-YEAR($E38))*12+MONTH(首页!$B$7)-MONTH($E38),N($G38)*12))</f>
        <v/>
      </c>
      <c r="K38" s="48" t="str">
        <f aca="false">IF($B38="","",ROUND(N($I38)*N($J38),2))</f>
        <v/>
      </c>
      <c r="L38" s="48" t="str">
        <f aca="false">IF($B38="","",N($F38)-N($K38))</f>
        <v/>
      </c>
      <c r="M38" s="49" t="str">
        <f aca="false">IF($B38="","",IF(N($J38)&gt;=N($G38)*12,"已提完","计提中"))</f>
        <v/>
      </c>
      <c r="N38" s="36"/>
    </row>
    <row r="39" customFormat="false" ht="15.75" hidden="false" customHeight="true" outlineLevel="0" collapsed="false">
      <c r="A39" s="31"/>
      <c r="B39" s="36"/>
      <c r="C39" s="33"/>
      <c r="D39" s="33"/>
      <c r="E39" s="41"/>
      <c r="F39" s="40"/>
      <c r="G39" s="69"/>
      <c r="H39" s="51"/>
      <c r="I39" s="48" t="str">
        <f aca="false">IF(OR($B39="",N($G39)=0),"",ROUND(N($F39)*(1-N($H39))/N($G39)/12,2))</f>
        <v/>
      </c>
      <c r="J39" s="70" t="str">
        <f aca="false">IF(OR($B39="",$E39=""),"",MEDIAN(0,(YEAR(首页!$B$7)-YEAR($E39))*12+MONTH(首页!$B$7)-MONTH($E39),N($G39)*12))</f>
        <v/>
      </c>
      <c r="K39" s="48" t="str">
        <f aca="false">IF($B39="","",ROUND(N($I39)*N($J39),2))</f>
        <v/>
      </c>
      <c r="L39" s="48" t="str">
        <f aca="false">IF($B39="","",N($F39)-N($K39))</f>
        <v/>
      </c>
      <c r="M39" s="49" t="str">
        <f aca="false">IF($B39="","",IF(N($J39)&gt;=N($G39)*12,"已提完","计提中"))</f>
        <v/>
      </c>
      <c r="N39" s="36"/>
    </row>
    <row r="40" customFormat="false" ht="15.75" hidden="false" customHeight="true" outlineLevel="0" collapsed="false">
      <c r="A40" s="31"/>
      <c r="B40" s="36"/>
      <c r="C40" s="33"/>
      <c r="D40" s="33"/>
      <c r="E40" s="41"/>
      <c r="F40" s="40"/>
      <c r="G40" s="69"/>
      <c r="H40" s="51"/>
      <c r="I40" s="48" t="str">
        <f aca="false">IF(OR($B40="",N($G40)=0),"",ROUND(N($F40)*(1-N($H40))/N($G40)/12,2))</f>
        <v/>
      </c>
      <c r="J40" s="70" t="str">
        <f aca="false">IF(OR($B40="",$E40=""),"",MEDIAN(0,(YEAR(首页!$B$7)-YEAR($E40))*12+MONTH(首页!$B$7)-MONTH($E40),N($G40)*12))</f>
        <v/>
      </c>
      <c r="K40" s="48" t="str">
        <f aca="false">IF($B40="","",ROUND(N($I40)*N($J40),2))</f>
        <v/>
      </c>
      <c r="L40" s="48" t="str">
        <f aca="false">IF($B40="","",N($F40)-N($K40))</f>
        <v/>
      </c>
      <c r="M40" s="49" t="str">
        <f aca="false">IF($B40="","",IF(N($J40)&gt;=N($G40)*12,"已提完","计提中"))</f>
        <v/>
      </c>
      <c r="N40" s="36"/>
    </row>
    <row r="41" customFormat="false" ht="15.75" hidden="false" customHeight="true" outlineLevel="0" collapsed="false">
      <c r="A41" s="31"/>
      <c r="B41" s="36"/>
      <c r="C41" s="33"/>
      <c r="D41" s="33"/>
      <c r="E41" s="41"/>
      <c r="F41" s="40"/>
      <c r="G41" s="69"/>
      <c r="H41" s="51"/>
      <c r="I41" s="48" t="str">
        <f aca="false">IF(OR($B41="",N($G41)=0),"",ROUND(N($F41)*(1-N($H41))/N($G41)/12,2))</f>
        <v/>
      </c>
      <c r="J41" s="70" t="str">
        <f aca="false">IF(OR($B41="",$E41=""),"",MEDIAN(0,(YEAR(首页!$B$7)-YEAR($E41))*12+MONTH(首页!$B$7)-MONTH($E41),N($G41)*12))</f>
        <v/>
      </c>
      <c r="K41" s="48" t="str">
        <f aca="false">IF($B41="","",ROUND(N($I41)*N($J41),2))</f>
        <v/>
      </c>
      <c r="L41" s="48" t="str">
        <f aca="false">IF($B41="","",N($F41)-N($K41))</f>
        <v/>
      </c>
      <c r="M41" s="49" t="str">
        <f aca="false">IF($B41="","",IF(N($J41)&gt;=N($G41)*12,"已提完","计提中"))</f>
        <v/>
      </c>
      <c r="N41" s="36"/>
    </row>
    <row r="42" customFormat="false" ht="15.75" hidden="false" customHeight="true" outlineLevel="0" collapsed="false">
      <c r="A42" s="31"/>
      <c r="B42" s="36"/>
      <c r="C42" s="33"/>
      <c r="D42" s="33"/>
      <c r="E42" s="41"/>
      <c r="F42" s="40"/>
      <c r="G42" s="69"/>
      <c r="H42" s="51"/>
      <c r="I42" s="48" t="str">
        <f aca="false">IF(OR($B42="",N($G42)=0),"",ROUND(N($F42)*(1-N($H42))/N($G42)/12,2))</f>
        <v/>
      </c>
      <c r="J42" s="70" t="str">
        <f aca="false">IF(OR($B42="",$E42=""),"",MEDIAN(0,(YEAR(首页!$B$7)-YEAR($E42))*12+MONTH(首页!$B$7)-MONTH($E42),N($G42)*12))</f>
        <v/>
      </c>
      <c r="K42" s="48" t="str">
        <f aca="false">IF($B42="","",ROUND(N($I42)*N($J42),2))</f>
        <v/>
      </c>
      <c r="L42" s="48" t="str">
        <f aca="false">IF($B42="","",N($F42)-N($K42))</f>
        <v/>
      </c>
      <c r="M42" s="49" t="str">
        <f aca="false">IF($B42="","",IF(N($J42)&gt;=N($G42)*12,"已提完","计提中"))</f>
        <v/>
      </c>
      <c r="N42" s="36"/>
    </row>
    <row r="43" customFormat="false" ht="15.75" hidden="false" customHeight="true" outlineLevel="0" collapsed="false">
      <c r="A43" s="31"/>
      <c r="B43" s="36"/>
      <c r="C43" s="33"/>
      <c r="D43" s="33"/>
      <c r="E43" s="41"/>
      <c r="F43" s="40"/>
      <c r="G43" s="69"/>
      <c r="H43" s="51"/>
      <c r="I43" s="48" t="str">
        <f aca="false">IF(OR($B43="",N($G43)=0),"",ROUND(N($F43)*(1-N($H43))/N($G43)/12,2))</f>
        <v/>
      </c>
      <c r="J43" s="70" t="str">
        <f aca="false">IF(OR($B43="",$E43=""),"",MEDIAN(0,(YEAR(首页!$B$7)-YEAR($E43))*12+MONTH(首页!$B$7)-MONTH($E43),N($G43)*12))</f>
        <v/>
      </c>
      <c r="K43" s="48" t="str">
        <f aca="false">IF($B43="","",ROUND(N($I43)*N($J43),2))</f>
        <v/>
      </c>
      <c r="L43" s="48" t="str">
        <f aca="false">IF($B43="","",N($F43)-N($K43))</f>
        <v/>
      </c>
      <c r="M43" s="49" t="str">
        <f aca="false">IF($B43="","",IF(N($J43)&gt;=N($G43)*12,"已提完","计提中"))</f>
        <v/>
      </c>
      <c r="N43" s="36"/>
    </row>
    <row r="44" customFormat="false" ht="15.75" hidden="false" customHeight="true" outlineLevel="0" collapsed="false">
      <c r="A44" s="31"/>
      <c r="B44" s="36"/>
      <c r="C44" s="33"/>
      <c r="D44" s="33"/>
      <c r="E44" s="41"/>
      <c r="F44" s="40"/>
      <c r="G44" s="69"/>
      <c r="H44" s="51"/>
      <c r="I44" s="48" t="str">
        <f aca="false">IF(OR($B44="",N($G44)=0),"",ROUND(N($F44)*(1-N($H44))/N($G44)/12,2))</f>
        <v/>
      </c>
      <c r="J44" s="70" t="str">
        <f aca="false">IF(OR($B44="",$E44=""),"",MEDIAN(0,(YEAR(首页!$B$7)-YEAR($E44))*12+MONTH(首页!$B$7)-MONTH($E44),N($G44)*12))</f>
        <v/>
      </c>
      <c r="K44" s="48" t="str">
        <f aca="false">IF($B44="","",ROUND(N($I44)*N($J44),2))</f>
        <v/>
      </c>
      <c r="L44" s="48" t="str">
        <f aca="false">IF($B44="","",N($F44)-N($K44))</f>
        <v/>
      </c>
      <c r="M44" s="49" t="str">
        <f aca="false">IF($B44="","",IF(N($J44)&gt;=N($G44)*12,"已提完","计提中"))</f>
        <v/>
      </c>
      <c r="N44" s="36"/>
    </row>
    <row r="45" customFormat="false" ht="15.75" hidden="false" customHeight="true" outlineLevel="0" collapsed="false">
      <c r="A45" s="31"/>
      <c r="B45" s="36"/>
      <c r="C45" s="33"/>
      <c r="D45" s="33"/>
      <c r="E45" s="41"/>
      <c r="F45" s="40"/>
      <c r="G45" s="69"/>
      <c r="H45" s="51"/>
      <c r="I45" s="48" t="str">
        <f aca="false">IF(OR($B45="",N($G45)=0),"",ROUND(N($F45)*(1-N($H45))/N($G45)/12,2))</f>
        <v/>
      </c>
      <c r="J45" s="70" t="str">
        <f aca="false">IF(OR($B45="",$E45=""),"",MEDIAN(0,(YEAR(首页!$B$7)-YEAR($E45))*12+MONTH(首页!$B$7)-MONTH($E45),N($G45)*12))</f>
        <v/>
      </c>
      <c r="K45" s="48" t="str">
        <f aca="false">IF($B45="","",ROUND(N($I45)*N($J45),2))</f>
        <v/>
      </c>
      <c r="L45" s="48" t="str">
        <f aca="false">IF($B45="","",N($F45)-N($K45))</f>
        <v/>
      </c>
      <c r="M45" s="49" t="str">
        <f aca="false">IF($B45="","",IF(N($J45)&gt;=N($G45)*12,"已提完","计提中"))</f>
        <v/>
      </c>
      <c r="N45" s="36"/>
    </row>
    <row r="46" customFormat="false" ht="15.75" hidden="false" customHeight="true" outlineLevel="0" collapsed="false">
      <c r="A46" s="31"/>
      <c r="B46" s="36"/>
      <c r="C46" s="33"/>
      <c r="D46" s="33"/>
      <c r="E46" s="41"/>
      <c r="F46" s="40"/>
      <c r="G46" s="69"/>
      <c r="H46" s="51"/>
      <c r="I46" s="48" t="str">
        <f aca="false">IF(OR($B46="",N($G46)=0),"",ROUND(N($F46)*(1-N($H46))/N($G46)/12,2))</f>
        <v/>
      </c>
      <c r="J46" s="70" t="str">
        <f aca="false">IF(OR($B46="",$E46=""),"",MEDIAN(0,(YEAR(首页!$B$7)-YEAR($E46))*12+MONTH(首页!$B$7)-MONTH($E46),N($G46)*12))</f>
        <v/>
      </c>
      <c r="K46" s="48" t="str">
        <f aca="false">IF($B46="","",ROUND(N($I46)*N($J46),2))</f>
        <v/>
      </c>
      <c r="L46" s="48" t="str">
        <f aca="false">IF($B46="","",N($F46)-N($K46))</f>
        <v/>
      </c>
      <c r="M46" s="49" t="str">
        <f aca="false">IF($B46="","",IF(N($J46)&gt;=N($G46)*12,"已提完","计提中"))</f>
        <v/>
      </c>
      <c r="N46" s="36"/>
    </row>
    <row r="47" customFormat="false" ht="15.75" hidden="false" customHeight="true" outlineLevel="0" collapsed="false">
      <c r="A47" s="31"/>
      <c r="B47" s="36"/>
      <c r="C47" s="33"/>
      <c r="D47" s="33"/>
      <c r="E47" s="41"/>
      <c r="F47" s="40"/>
      <c r="G47" s="69"/>
      <c r="H47" s="51"/>
      <c r="I47" s="48" t="str">
        <f aca="false">IF(OR($B47="",N($G47)=0),"",ROUND(N($F47)*(1-N($H47))/N($G47)/12,2))</f>
        <v/>
      </c>
      <c r="J47" s="70" t="str">
        <f aca="false">IF(OR($B47="",$E47=""),"",MEDIAN(0,(YEAR(首页!$B$7)-YEAR($E47))*12+MONTH(首页!$B$7)-MONTH($E47),N($G47)*12))</f>
        <v/>
      </c>
      <c r="K47" s="48" t="str">
        <f aca="false">IF($B47="","",ROUND(N($I47)*N($J47),2))</f>
        <v/>
      </c>
      <c r="L47" s="48" t="str">
        <f aca="false">IF($B47="","",N($F47)-N($K47))</f>
        <v/>
      </c>
      <c r="M47" s="49" t="str">
        <f aca="false">IF($B47="","",IF(N($J47)&gt;=N($G47)*12,"已提完","计提中"))</f>
        <v/>
      </c>
      <c r="N47" s="36"/>
    </row>
    <row r="48" customFormat="false" ht="15.75" hidden="false" customHeight="true" outlineLevel="0" collapsed="false">
      <c r="A48" s="31"/>
      <c r="B48" s="36"/>
      <c r="C48" s="33"/>
      <c r="D48" s="33"/>
      <c r="E48" s="41"/>
      <c r="F48" s="40"/>
      <c r="G48" s="69"/>
      <c r="H48" s="51"/>
      <c r="I48" s="48" t="str">
        <f aca="false">IF(OR($B48="",N($G48)=0),"",ROUND(N($F48)*(1-N($H48))/N($G48)/12,2))</f>
        <v/>
      </c>
      <c r="J48" s="70" t="str">
        <f aca="false">IF(OR($B48="",$E48=""),"",MEDIAN(0,(YEAR(首页!$B$7)-YEAR($E48))*12+MONTH(首页!$B$7)-MONTH($E48),N($G48)*12))</f>
        <v/>
      </c>
      <c r="K48" s="48" t="str">
        <f aca="false">IF($B48="","",ROUND(N($I48)*N($J48),2))</f>
        <v/>
      </c>
      <c r="L48" s="48" t="str">
        <f aca="false">IF($B48="","",N($F48)-N($K48))</f>
        <v/>
      </c>
      <c r="M48" s="49" t="str">
        <f aca="false">IF($B48="","",IF(N($J48)&gt;=N($G48)*12,"已提完","计提中"))</f>
        <v/>
      </c>
      <c r="N48" s="36"/>
    </row>
    <row r="49" customFormat="false" ht="15.75" hidden="false" customHeight="true" outlineLevel="0" collapsed="false">
      <c r="A49" s="31"/>
      <c r="B49" s="36"/>
      <c r="C49" s="33"/>
      <c r="D49" s="33"/>
      <c r="E49" s="41"/>
      <c r="F49" s="40"/>
      <c r="G49" s="69"/>
      <c r="H49" s="51"/>
      <c r="I49" s="48" t="str">
        <f aca="false">IF(OR($B49="",N($G49)=0),"",ROUND(N($F49)*(1-N($H49))/N($G49)/12,2))</f>
        <v/>
      </c>
      <c r="J49" s="70" t="str">
        <f aca="false">IF(OR($B49="",$E49=""),"",MEDIAN(0,(YEAR(首页!$B$7)-YEAR($E49))*12+MONTH(首页!$B$7)-MONTH($E49),N($G49)*12))</f>
        <v/>
      </c>
      <c r="K49" s="48" t="str">
        <f aca="false">IF($B49="","",ROUND(N($I49)*N($J49),2))</f>
        <v/>
      </c>
      <c r="L49" s="48" t="str">
        <f aca="false">IF($B49="","",N($F49)-N($K49))</f>
        <v/>
      </c>
      <c r="M49" s="49" t="str">
        <f aca="false">IF($B49="","",IF(N($J49)&gt;=N($G49)*12,"已提完","计提中"))</f>
        <v/>
      </c>
      <c r="N49" s="36"/>
    </row>
    <row r="50" customFormat="false" ht="15.75" hidden="false" customHeight="true" outlineLevel="0" collapsed="false">
      <c r="A50" s="31"/>
      <c r="B50" s="36"/>
      <c r="C50" s="33"/>
      <c r="D50" s="33"/>
      <c r="E50" s="41"/>
      <c r="F50" s="40"/>
      <c r="G50" s="69"/>
      <c r="H50" s="51"/>
      <c r="I50" s="48" t="str">
        <f aca="false">IF(OR($B50="",N($G50)=0),"",ROUND(N($F50)*(1-N($H50))/N($G50)/12,2))</f>
        <v/>
      </c>
      <c r="J50" s="70" t="str">
        <f aca="false">IF(OR($B50="",$E50=""),"",MEDIAN(0,(YEAR(首页!$B$7)-YEAR($E50))*12+MONTH(首页!$B$7)-MONTH($E50),N($G50)*12))</f>
        <v/>
      </c>
      <c r="K50" s="48" t="str">
        <f aca="false">IF($B50="","",ROUND(N($I50)*N($J50),2))</f>
        <v/>
      </c>
      <c r="L50" s="48" t="str">
        <f aca="false">IF($B50="","",N($F50)-N($K50))</f>
        <v/>
      </c>
      <c r="M50" s="49" t="str">
        <f aca="false">IF($B50="","",IF(N($J50)&gt;=N($G50)*12,"已提完","计提中"))</f>
        <v/>
      </c>
      <c r="N50" s="36"/>
    </row>
    <row r="51" customFormat="false" ht="15.75" hidden="false" customHeight="true" outlineLevel="0" collapsed="false">
      <c r="A51" s="31"/>
      <c r="B51" s="36"/>
      <c r="C51" s="33"/>
      <c r="D51" s="33"/>
      <c r="E51" s="41"/>
      <c r="F51" s="40"/>
      <c r="G51" s="69"/>
      <c r="H51" s="51"/>
      <c r="I51" s="48" t="str">
        <f aca="false">IF(OR($B51="",N($G51)=0),"",ROUND(N($F51)*(1-N($H51))/N($G51)/12,2))</f>
        <v/>
      </c>
      <c r="J51" s="70" t="str">
        <f aca="false">IF(OR($B51="",$E51=""),"",MEDIAN(0,(YEAR(首页!$B$7)-YEAR($E51))*12+MONTH(首页!$B$7)-MONTH($E51),N($G51)*12))</f>
        <v/>
      </c>
      <c r="K51" s="48" t="str">
        <f aca="false">IF($B51="","",ROUND(N($I51)*N($J51),2))</f>
        <v/>
      </c>
      <c r="L51" s="48" t="str">
        <f aca="false">IF($B51="","",N($F51)-N($K51))</f>
        <v/>
      </c>
      <c r="M51" s="49" t="str">
        <f aca="false">IF($B51="","",IF(N($J51)&gt;=N($G51)*12,"已提完","计提中"))</f>
        <v/>
      </c>
      <c r="N51" s="36"/>
    </row>
    <row r="52" customFormat="false" ht="15.75" hidden="false" customHeight="true" outlineLevel="0" collapsed="false">
      <c r="A52" s="31"/>
      <c r="B52" s="36"/>
      <c r="C52" s="33"/>
      <c r="D52" s="33"/>
      <c r="E52" s="41"/>
      <c r="F52" s="40"/>
      <c r="G52" s="69"/>
      <c r="H52" s="51"/>
      <c r="I52" s="48" t="str">
        <f aca="false">IF(OR($B52="",N($G52)=0),"",ROUND(N($F52)*(1-N($H52))/N($G52)/12,2))</f>
        <v/>
      </c>
      <c r="J52" s="70" t="str">
        <f aca="false">IF(OR($B52="",$E52=""),"",MEDIAN(0,(YEAR(首页!$B$7)-YEAR($E52))*12+MONTH(首页!$B$7)-MONTH($E52),N($G52)*12))</f>
        <v/>
      </c>
      <c r="K52" s="48" t="str">
        <f aca="false">IF($B52="","",ROUND(N($I52)*N($J52),2))</f>
        <v/>
      </c>
      <c r="L52" s="48" t="str">
        <f aca="false">IF($B52="","",N($F52)-N($K52))</f>
        <v/>
      </c>
      <c r="M52" s="49" t="str">
        <f aca="false">IF($B52="","",IF(N($J52)&gt;=N($G52)*12,"已提完","计提中"))</f>
        <v/>
      </c>
      <c r="N52" s="36"/>
    </row>
    <row r="53" customFormat="false" ht="15.75" hidden="false" customHeight="true" outlineLevel="0" collapsed="false">
      <c r="A53" s="31"/>
      <c r="B53" s="36"/>
      <c r="C53" s="33"/>
      <c r="D53" s="33"/>
      <c r="E53" s="41"/>
      <c r="F53" s="40"/>
      <c r="G53" s="69"/>
      <c r="H53" s="51"/>
      <c r="I53" s="48" t="str">
        <f aca="false">IF(OR($B53="",N($G53)=0),"",ROUND(N($F53)*(1-N($H53))/N($G53)/12,2))</f>
        <v/>
      </c>
      <c r="J53" s="70" t="str">
        <f aca="false">IF(OR($B53="",$E53=""),"",MEDIAN(0,(YEAR(首页!$B$7)-YEAR($E53))*12+MONTH(首页!$B$7)-MONTH($E53),N($G53)*12))</f>
        <v/>
      </c>
      <c r="K53" s="48" t="str">
        <f aca="false">IF($B53="","",ROUND(N($I53)*N($J53),2))</f>
        <v/>
      </c>
      <c r="L53" s="48" t="str">
        <f aca="false">IF($B53="","",N($F53)-N($K53))</f>
        <v/>
      </c>
      <c r="M53" s="49" t="str">
        <f aca="false">IF($B53="","",IF(N($J53)&gt;=N($G53)*12,"已提完","计提中"))</f>
        <v/>
      </c>
      <c r="N53" s="36"/>
    </row>
    <row r="54" customFormat="false" ht="15.75" hidden="false" customHeight="true" outlineLevel="0" collapsed="false">
      <c r="A54" s="31"/>
      <c r="B54" s="36"/>
      <c r="C54" s="33"/>
      <c r="D54" s="33"/>
      <c r="E54" s="41"/>
      <c r="F54" s="40"/>
      <c r="G54" s="69"/>
      <c r="H54" s="51"/>
      <c r="I54" s="48" t="str">
        <f aca="false">IF(OR($B54="",N($G54)=0),"",ROUND(N($F54)*(1-N($H54))/N($G54)/12,2))</f>
        <v/>
      </c>
      <c r="J54" s="70" t="str">
        <f aca="false">IF(OR($B54="",$E54=""),"",MEDIAN(0,(YEAR(首页!$B$7)-YEAR($E54))*12+MONTH(首页!$B$7)-MONTH($E54),N($G54)*12))</f>
        <v/>
      </c>
      <c r="K54" s="48" t="str">
        <f aca="false">IF($B54="","",ROUND(N($I54)*N($J54),2))</f>
        <v/>
      </c>
      <c r="L54" s="48" t="str">
        <f aca="false">IF($B54="","",N($F54)-N($K54))</f>
        <v/>
      </c>
      <c r="M54" s="49" t="str">
        <f aca="false">IF($B54="","",IF(N($J54)&gt;=N($G54)*12,"已提完","计提中"))</f>
        <v/>
      </c>
      <c r="N54" s="36"/>
    </row>
    <row r="55" customFormat="false" ht="15.75" hidden="false" customHeight="true" outlineLevel="0" collapsed="false">
      <c r="A55" s="31"/>
      <c r="B55" s="36"/>
      <c r="C55" s="33"/>
      <c r="D55" s="33"/>
      <c r="E55" s="41"/>
      <c r="F55" s="40"/>
      <c r="G55" s="69"/>
      <c r="H55" s="51"/>
      <c r="I55" s="48" t="str">
        <f aca="false">IF(OR($B55="",N($G55)=0),"",ROUND(N($F55)*(1-N($H55))/N($G55)/12,2))</f>
        <v/>
      </c>
      <c r="J55" s="70" t="str">
        <f aca="false">IF(OR($B55="",$E55=""),"",MEDIAN(0,(YEAR(首页!$B$7)-YEAR($E55))*12+MONTH(首页!$B$7)-MONTH($E55),N($G55)*12))</f>
        <v/>
      </c>
      <c r="K55" s="48" t="str">
        <f aca="false">IF($B55="","",ROUND(N($I55)*N($J55),2))</f>
        <v/>
      </c>
      <c r="L55" s="48" t="str">
        <f aca="false">IF($B55="","",N($F55)-N($K55))</f>
        <v/>
      </c>
      <c r="M55" s="49" t="str">
        <f aca="false">IF($B55="","",IF(N($J55)&gt;=N($G55)*12,"已提完","计提中"))</f>
        <v/>
      </c>
      <c r="N55" s="36"/>
    </row>
    <row r="56" customFormat="false" ht="15.75" hidden="false" customHeight="true" outlineLevel="0" collapsed="false">
      <c r="A56" s="31"/>
      <c r="B56" s="36"/>
      <c r="C56" s="33"/>
      <c r="D56" s="33"/>
      <c r="E56" s="41"/>
      <c r="F56" s="40"/>
      <c r="G56" s="69"/>
      <c r="H56" s="51"/>
      <c r="I56" s="48" t="str">
        <f aca="false">IF(OR($B56="",N($G56)=0),"",ROUND(N($F56)*(1-N($H56))/N($G56)/12,2))</f>
        <v/>
      </c>
      <c r="J56" s="70" t="str">
        <f aca="false">IF(OR($B56="",$E56=""),"",MEDIAN(0,(YEAR(首页!$B$7)-YEAR($E56))*12+MONTH(首页!$B$7)-MONTH($E56),N($G56)*12))</f>
        <v/>
      </c>
      <c r="K56" s="48" t="str">
        <f aca="false">IF($B56="","",ROUND(N($I56)*N($J56),2))</f>
        <v/>
      </c>
      <c r="L56" s="48" t="str">
        <f aca="false">IF($B56="","",N($F56)-N($K56))</f>
        <v/>
      </c>
      <c r="M56" s="49" t="str">
        <f aca="false">IF($B56="","",IF(N($J56)&gt;=N($G56)*12,"已提完","计提中"))</f>
        <v/>
      </c>
      <c r="N56" s="36"/>
    </row>
    <row r="57" customFormat="false" ht="15.75" hidden="false" customHeight="true" outlineLevel="0" collapsed="false">
      <c r="A57" s="31"/>
      <c r="B57" s="36"/>
      <c r="C57" s="33"/>
      <c r="D57" s="33"/>
      <c r="E57" s="41"/>
      <c r="F57" s="40"/>
      <c r="G57" s="69"/>
      <c r="H57" s="51"/>
      <c r="I57" s="48" t="str">
        <f aca="false">IF(OR($B57="",N($G57)=0),"",ROUND(N($F57)*(1-N($H57))/N($G57)/12,2))</f>
        <v/>
      </c>
      <c r="J57" s="70" t="str">
        <f aca="false">IF(OR($B57="",$E57=""),"",MEDIAN(0,(YEAR(首页!$B$7)-YEAR($E57))*12+MONTH(首页!$B$7)-MONTH($E57),N($G57)*12))</f>
        <v/>
      </c>
      <c r="K57" s="48" t="str">
        <f aca="false">IF($B57="","",ROUND(N($I57)*N($J57),2))</f>
        <v/>
      </c>
      <c r="L57" s="48" t="str">
        <f aca="false">IF($B57="","",N($F57)-N($K57))</f>
        <v/>
      </c>
      <c r="M57" s="49" t="str">
        <f aca="false">IF($B57="","",IF(N($J57)&gt;=N($G57)*12,"已提完","计提中"))</f>
        <v/>
      </c>
      <c r="N57" s="36"/>
    </row>
    <row r="58" customFormat="false" ht="15.75" hidden="false" customHeight="true" outlineLevel="0" collapsed="false">
      <c r="A58" s="31"/>
      <c r="B58" s="36"/>
      <c r="C58" s="33"/>
      <c r="D58" s="33"/>
      <c r="E58" s="41"/>
      <c r="F58" s="40"/>
      <c r="G58" s="69"/>
      <c r="H58" s="51"/>
      <c r="I58" s="48" t="str">
        <f aca="false">IF(OR($B58="",N($G58)=0),"",ROUND(N($F58)*(1-N($H58))/N($G58)/12,2))</f>
        <v/>
      </c>
      <c r="J58" s="70" t="str">
        <f aca="false">IF(OR($B58="",$E58=""),"",MEDIAN(0,(YEAR(首页!$B$7)-YEAR($E58))*12+MONTH(首页!$B$7)-MONTH($E58),N($G58)*12))</f>
        <v/>
      </c>
      <c r="K58" s="48" t="str">
        <f aca="false">IF($B58="","",ROUND(N($I58)*N($J58),2))</f>
        <v/>
      </c>
      <c r="L58" s="48" t="str">
        <f aca="false">IF($B58="","",N($F58)-N($K58))</f>
        <v/>
      </c>
      <c r="M58" s="49" t="str">
        <f aca="false">IF($B58="","",IF(N($J58)&gt;=N($G58)*12,"已提完","计提中"))</f>
        <v/>
      </c>
      <c r="N58" s="36"/>
    </row>
    <row r="59" customFormat="false" ht="15.75" hidden="false" customHeight="true" outlineLevel="0" collapsed="false">
      <c r="A59" s="31"/>
      <c r="B59" s="36"/>
      <c r="C59" s="33"/>
      <c r="D59" s="33"/>
      <c r="E59" s="41"/>
      <c r="F59" s="40"/>
      <c r="G59" s="69"/>
      <c r="H59" s="51"/>
      <c r="I59" s="48" t="str">
        <f aca="false">IF(OR($B59="",N($G59)=0),"",ROUND(N($F59)*(1-N($H59))/N($G59)/12,2))</f>
        <v/>
      </c>
      <c r="J59" s="70" t="str">
        <f aca="false">IF(OR($B59="",$E59=""),"",MEDIAN(0,(YEAR(首页!$B$7)-YEAR($E59))*12+MONTH(首页!$B$7)-MONTH($E59),N($G59)*12))</f>
        <v/>
      </c>
      <c r="K59" s="48" t="str">
        <f aca="false">IF($B59="","",ROUND(N($I59)*N($J59),2))</f>
        <v/>
      </c>
      <c r="L59" s="48" t="str">
        <f aca="false">IF($B59="","",N($F59)-N($K59))</f>
        <v/>
      </c>
      <c r="M59" s="49" t="str">
        <f aca="false">IF($B59="","",IF(N($J59)&gt;=N($G59)*12,"已提完","计提中"))</f>
        <v/>
      </c>
      <c r="N59" s="36"/>
    </row>
    <row r="60" customFormat="false" ht="15.75" hidden="false" customHeight="true" outlineLevel="0" collapsed="false">
      <c r="A60" s="31"/>
      <c r="B60" s="36"/>
      <c r="C60" s="33"/>
      <c r="D60" s="33"/>
      <c r="E60" s="41"/>
      <c r="F60" s="40"/>
      <c r="G60" s="69"/>
      <c r="H60" s="51"/>
      <c r="I60" s="48" t="str">
        <f aca="false">IF(OR($B60="",N($G60)=0),"",ROUND(N($F60)*(1-N($H60))/N($G60)/12,2))</f>
        <v/>
      </c>
      <c r="J60" s="70" t="str">
        <f aca="false">IF(OR($B60="",$E60=""),"",MEDIAN(0,(YEAR(首页!$B$7)-YEAR($E60))*12+MONTH(首页!$B$7)-MONTH($E60),N($G60)*12))</f>
        <v/>
      </c>
      <c r="K60" s="48" t="str">
        <f aca="false">IF($B60="","",ROUND(N($I60)*N($J60),2))</f>
        <v/>
      </c>
      <c r="L60" s="48" t="str">
        <f aca="false">IF($B60="","",N($F60)-N($K60))</f>
        <v/>
      </c>
      <c r="M60" s="49" t="str">
        <f aca="false">IF($B60="","",IF(N($J60)&gt;=N($G60)*12,"已提完","计提中"))</f>
        <v/>
      </c>
      <c r="N60" s="36"/>
    </row>
    <row r="61" customFormat="false" ht="15.75" hidden="false" customHeight="true" outlineLevel="0" collapsed="false">
      <c r="A61" s="31"/>
      <c r="B61" s="36"/>
      <c r="C61" s="33"/>
      <c r="D61" s="33"/>
      <c r="E61" s="41"/>
      <c r="F61" s="40"/>
      <c r="G61" s="69"/>
      <c r="H61" s="51"/>
      <c r="I61" s="48" t="str">
        <f aca="false">IF(OR($B61="",N($G61)=0),"",ROUND(N($F61)*(1-N($H61))/N($G61)/12,2))</f>
        <v/>
      </c>
      <c r="J61" s="70" t="str">
        <f aca="false">IF(OR($B61="",$E61=""),"",MEDIAN(0,(YEAR(首页!$B$7)-YEAR($E61))*12+MONTH(首页!$B$7)-MONTH($E61),N($G61)*12))</f>
        <v/>
      </c>
      <c r="K61" s="48" t="str">
        <f aca="false">IF($B61="","",ROUND(N($I61)*N($J61),2))</f>
        <v/>
      </c>
      <c r="L61" s="48" t="str">
        <f aca="false">IF($B61="","",N($F61)-N($K61))</f>
        <v/>
      </c>
      <c r="M61" s="49" t="str">
        <f aca="false">IF($B61="","",IF(N($J61)&gt;=N($G61)*12,"已提完","计提中"))</f>
        <v/>
      </c>
      <c r="N61" s="36"/>
    </row>
    <row r="62" customFormat="false" ht="15.75" hidden="false" customHeight="true" outlineLevel="0" collapsed="false">
      <c r="A62" s="31"/>
      <c r="B62" s="36"/>
      <c r="C62" s="33"/>
      <c r="D62" s="33"/>
      <c r="E62" s="41"/>
      <c r="F62" s="40"/>
      <c r="G62" s="69"/>
      <c r="H62" s="51"/>
      <c r="I62" s="48" t="str">
        <f aca="false">IF(OR($B62="",N($G62)=0),"",ROUND(N($F62)*(1-N($H62))/N($G62)/12,2))</f>
        <v/>
      </c>
      <c r="J62" s="70" t="str">
        <f aca="false">IF(OR($B62="",$E62=""),"",MEDIAN(0,(YEAR(首页!$B$7)-YEAR($E62))*12+MONTH(首页!$B$7)-MONTH($E62),N($G62)*12))</f>
        <v/>
      </c>
      <c r="K62" s="48" t="str">
        <f aca="false">IF($B62="","",ROUND(N($I62)*N($J62),2))</f>
        <v/>
      </c>
      <c r="L62" s="48" t="str">
        <f aca="false">IF($B62="","",N($F62)-N($K62))</f>
        <v/>
      </c>
      <c r="M62" s="49" t="str">
        <f aca="false">IF($B62="","",IF(N($J62)&gt;=N($G62)*12,"已提完","计提中"))</f>
        <v/>
      </c>
      <c r="N62" s="36"/>
    </row>
    <row r="63" customFormat="false" ht="15.75" hidden="false" customHeight="true" outlineLevel="0" collapsed="false">
      <c r="A63" s="31"/>
      <c r="B63" s="36"/>
      <c r="C63" s="33"/>
      <c r="D63" s="33"/>
      <c r="E63" s="41"/>
      <c r="F63" s="40"/>
      <c r="G63" s="69"/>
      <c r="H63" s="51"/>
      <c r="I63" s="48" t="str">
        <f aca="false">IF(OR($B63="",N($G63)=0),"",ROUND(N($F63)*(1-N($H63))/N($G63)/12,2))</f>
        <v/>
      </c>
      <c r="J63" s="70" t="str">
        <f aca="false">IF(OR($B63="",$E63=""),"",MEDIAN(0,(YEAR(首页!$B$7)-YEAR($E63))*12+MONTH(首页!$B$7)-MONTH($E63),N($G63)*12))</f>
        <v/>
      </c>
      <c r="K63" s="48" t="str">
        <f aca="false">IF($B63="","",ROUND(N($I63)*N($J63),2))</f>
        <v/>
      </c>
      <c r="L63" s="48" t="str">
        <f aca="false">IF($B63="","",N($F63)-N($K63))</f>
        <v/>
      </c>
      <c r="M63" s="49" t="str">
        <f aca="false">IF($B63="","",IF(N($J63)&gt;=N($G63)*12,"已提完","计提中"))</f>
        <v/>
      </c>
      <c r="N63" s="36"/>
    </row>
    <row r="64" customFormat="false" ht="15.75" hidden="false" customHeight="true" outlineLevel="0" collapsed="false">
      <c r="A64" s="31"/>
      <c r="B64" s="36"/>
      <c r="C64" s="33"/>
      <c r="D64" s="33"/>
      <c r="E64" s="41"/>
      <c r="F64" s="40"/>
      <c r="G64" s="69"/>
      <c r="H64" s="51"/>
      <c r="I64" s="48" t="str">
        <f aca="false">IF(OR($B64="",N($G64)=0),"",ROUND(N($F64)*(1-N($H64))/N($G64)/12,2))</f>
        <v/>
      </c>
      <c r="J64" s="70" t="str">
        <f aca="false">IF(OR($B64="",$E64=""),"",MEDIAN(0,(YEAR(首页!$B$7)-YEAR($E64))*12+MONTH(首页!$B$7)-MONTH($E64),N($G64)*12))</f>
        <v/>
      </c>
      <c r="K64" s="48" t="str">
        <f aca="false">IF($B64="","",ROUND(N($I64)*N($J64),2))</f>
        <v/>
      </c>
      <c r="L64" s="48" t="str">
        <f aca="false">IF($B64="","",N($F64)-N($K64))</f>
        <v/>
      </c>
      <c r="M64" s="49" t="str">
        <f aca="false">IF($B64="","",IF(N($J64)&gt;=N($G64)*12,"已提完","计提中"))</f>
        <v/>
      </c>
      <c r="N64" s="36"/>
    </row>
    <row r="65" customFormat="false" ht="15.75" hidden="false" customHeight="true" outlineLevel="0" collapsed="false">
      <c r="A65" s="31"/>
      <c r="B65" s="36"/>
      <c r="C65" s="33"/>
      <c r="D65" s="33"/>
      <c r="E65" s="41"/>
      <c r="F65" s="40"/>
      <c r="G65" s="69"/>
      <c r="H65" s="51"/>
      <c r="I65" s="48" t="str">
        <f aca="false">IF(OR($B65="",N($G65)=0),"",ROUND(N($F65)*(1-N($H65))/N($G65)/12,2))</f>
        <v/>
      </c>
      <c r="J65" s="70" t="str">
        <f aca="false">IF(OR($B65="",$E65=""),"",MEDIAN(0,(YEAR(首页!$B$7)-YEAR($E65))*12+MONTH(首页!$B$7)-MONTH($E65),N($G65)*12))</f>
        <v/>
      </c>
      <c r="K65" s="48" t="str">
        <f aca="false">IF($B65="","",ROUND(N($I65)*N($J65),2))</f>
        <v/>
      </c>
      <c r="L65" s="48" t="str">
        <f aca="false">IF($B65="","",N($F65)-N($K65))</f>
        <v/>
      </c>
      <c r="M65" s="49" t="str">
        <f aca="false">IF($B65="","",IF(N($J65)&gt;=N($G65)*12,"已提完","计提中"))</f>
        <v/>
      </c>
      <c r="N65" s="36"/>
    </row>
    <row r="66" customFormat="false" ht="15.75" hidden="false" customHeight="true" outlineLevel="0" collapsed="false">
      <c r="A66" s="31"/>
      <c r="B66" s="36"/>
      <c r="C66" s="33"/>
      <c r="D66" s="33"/>
      <c r="E66" s="41"/>
      <c r="F66" s="40"/>
      <c r="G66" s="69"/>
      <c r="H66" s="51"/>
      <c r="I66" s="48" t="str">
        <f aca="false">IF(OR($B66="",N($G66)=0),"",ROUND(N($F66)*(1-N($H66))/N($G66)/12,2))</f>
        <v/>
      </c>
      <c r="J66" s="70" t="str">
        <f aca="false">IF(OR($B66="",$E66=""),"",MEDIAN(0,(YEAR(首页!$B$7)-YEAR($E66))*12+MONTH(首页!$B$7)-MONTH($E66),N($G66)*12))</f>
        <v/>
      </c>
      <c r="K66" s="48" t="str">
        <f aca="false">IF($B66="","",ROUND(N($I66)*N($J66),2))</f>
        <v/>
      </c>
      <c r="L66" s="48" t="str">
        <f aca="false">IF($B66="","",N($F66)-N($K66))</f>
        <v/>
      </c>
      <c r="M66" s="49" t="str">
        <f aca="false">IF($B66="","",IF(N($J66)&gt;=N($G66)*12,"已提完","计提中"))</f>
        <v/>
      </c>
      <c r="N66" s="36"/>
    </row>
    <row r="67" customFormat="false" ht="15.75" hidden="false" customHeight="true" outlineLevel="0" collapsed="false">
      <c r="A67" s="31"/>
      <c r="B67" s="36"/>
      <c r="C67" s="33"/>
      <c r="D67" s="33"/>
      <c r="E67" s="41"/>
      <c r="F67" s="40"/>
      <c r="G67" s="69"/>
      <c r="H67" s="51"/>
      <c r="I67" s="48" t="str">
        <f aca="false">IF(OR($B67="",N($G67)=0),"",ROUND(N($F67)*(1-N($H67))/N($G67)/12,2))</f>
        <v/>
      </c>
      <c r="J67" s="70" t="str">
        <f aca="false">IF(OR($B67="",$E67=""),"",MEDIAN(0,(YEAR(首页!$B$7)-YEAR($E67))*12+MONTH(首页!$B$7)-MONTH($E67),N($G67)*12))</f>
        <v/>
      </c>
      <c r="K67" s="48" t="str">
        <f aca="false">IF($B67="","",ROUND(N($I67)*N($J67),2))</f>
        <v/>
      </c>
      <c r="L67" s="48" t="str">
        <f aca="false">IF($B67="","",N($F67)-N($K67))</f>
        <v/>
      </c>
      <c r="M67" s="49" t="str">
        <f aca="false">IF($B67="","",IF(N($J67)&gt;=N($G67)*12,"已提完","计提中"))</f>
        <v/>
      </c>
      <c r="N67" s="36"/>
    </row>
    <row r="68" customFormat="false" ht="15.75" hidden="false" customHeight="true" outlineLevel="0" collapsed="false">
      <c r="A68" s="31"/>
      <c r="B68" s="36"/>
      <c r="C68" s="33"/>
      <c r="D68" s="33"/>
      <c r="E68" s="41"/>
      <c r="F68" s="40"/>
      <c r="G68" s="69"/>
      <c r="H68" s="51"/>
      <c r="I68" s="48" t="str">
        <f aca="false">IF(OR($B68="",N($G68)=0),"",ROUND(N($F68)*(1-N($H68))/N($G68)/12,2))</f>
        <v/>
      </c>
      <c r="J68" s="70" t="str">
        <f aca="false">IF(OR($B68="",$E68=""),"",MEDIAN(0,(YEAR(首页!$B$7)-YEAR($E68))*12+MONTH(首页!$B$7)-MONTH($E68),N($G68)*12))</f>
        <v/>
      </c>
      <c r="K68" s="48" t="str">
        <f aca="false">IF($B68="","",ROUND(N($I68)*N($J68),2))</f>
        <v/>
      </c>
      <c r="L68" s="48" t="str">
        <f aca="false">IF($B68="","",N($F68)-N($K68))</f>
        <v/>
      </c>
      <c r="M68" s="49" t="str">
        <f aca="false">IF($B68="","",IF(N($J68)&gt;=N($G68)*12,"已提完","计提中"))</f>
        <v/>
      </c>
      <c r="N68" s="36"/>
    </row>
    <row r="69" customFormat="false" ht="15.75" hidden="false" customHeight="true" outlineLevel="0" collapsed="false">
      <c r="A69" s="31"/>
      <c r="B69" s="36"/>
      <c r="C69" s="33"/>
      <c r="D69" s="33"/>
      <c r="E69" s="41"/>
      <c r="F69" s="40"/>
      <c r="G69" s="69"/>
      <c r="H69" s="51"/>
      <c r="I69" s="48" t="str">
        <f aca="false">IF(OR($B69="",N($G69)=0),"",ROUND(N($F69)*(1-N($H69))/N($G69)/12,2))</f>
        <v/>
      </c>
      <c r="J69" s="70" t="str">
        <f aca="false">IF(OR($B69="",$E69=""),"",MEDIAN(0,(YEAR(首页!$B$7)-YEAR($E69))*12+MONTH(首页!$B$7)-MONTH($E69),N($G69)*12))</f>
        <v/>
      </c>
      <c r="K69" s="48" t="str">
        <f aca="false">IF($B69="","",ROUND(N($I69)*N($J69),2))</f>
        <v/>
      </c>
      <c r="L69" s="48" t="str">
        <f aca="false">IF($B69="","",N($F69)-N($K69))</f>
        <v/>
      </c>
      <c r="M69" s="49" t="str">
        <f aca="false">IF($B69="","",IF(N($J69)&gt;=N($G69)*12,"已提完","计提中"))</f>
        <v/>
      </c>
      <c r="N69" s="36"/>
    </row>
    <row r="70" customFormat="false" ht="15.75" hidden="false" customHeight="true" outlineLevel="0" collapsed="false">
      <c r="A70" s="31"/>
      <c r="B70" s="36"/>
      <c r="C70" s="33"/>
      <c r="D70" s="33"/>
      <c r="E70" s="41"/>
      <c r="F70" s="40"/>
      <c r="G70" s="69"/>
      <c r="H70" s="51"/>
      <c r="I70" s="48" t="str">
        <f aca="false">IF(OR($B70="",N($G70)=0),"",ROUND(N($F70)*(1-N($H70))/N($G70)/12,2))</f>
        <v/>
      </c>
      <c r="J70" s="70" t="str">
        <f aca="false">IF(OR($B70="",$E70=""),"",MEDIAN(0,(YEAR(首页!$B$7)-YEAR($E70))*12+MONTH(首页!$B$7)-MONTH($E70),N($G70)*12))</f>
        <v/>
      </c>
      <c r="K70" s="48" t="str">
        <f aca="false">IF($B70="","",ROUND(N($I70)*N($J70),2))</f>
        <v/>
      </c>
      <c r="L70" s="48" t="str">
        <f aca="false">IF($B70="","",N($F70)-N($K70))</f>
        <v/>
      </c>
      <c r="M70" s="49" t="str">
        <f aca="false">IF($B70="","",IF(N($J70)&gt;=N($G70)*12,"已提完","计提中"))</f>
        <v/>
      </c>
      <c r="N70" s="36"/>
    </row>
    <row r="71" customFormat="false" ht="15.75" hidden="false" customHeight="true" outlineLevel="0" collapsed="false">
      <c r="A71" s="31"/>
      <c r="B71" s="36"/>
      <c r="C71" s="33"/>
      <c r="D71" s="33"/>
      <c r="E71" s="41"/>
      <c r="F71" s="40"/>
      <c r="G71" s="69"/>
      <c r="H71" s="51"/>
      <c r="I71" s="48" t="str">
        <f aca="false">IF(OR($B71="",N($G71)=0),"",ROUND(N($F71)*(1-N($H71))/N($G71)/12,2))</f>
        <v/>
      </c>
      <c r="J71" s="70" t="str">
        <f aca="false">IF(OR($B71="",$E71=""),"",MEDIAN(0,(YEAR(首页!$B$7)-YEAR($E71))*12+MONTH(首页!$B$7)-MONTH($E71),N($G71)*12))</f>
        <v/>
      </c>
      <c r="K71" s="48" t="str">
        <f aca="false">IF($B71="","",ROUND(N($I71)*N($J71),2))</f>
        <v/>
      </c>
      <c r="L71" s="48" t="str">
        <f aca="false">IF($B71="","",N($F71)-N($K71))</f>
        <v/>
      </c>
      <c r="M71" s="49" t="str">
        <f aca="false">IF($B71="","",IF(N($J71)&gt;=N($G71)*12,"已提完","计提中"))</f>
        <v/>
      </c>
      <c r="N71" s="36"/>
    </row>
    <row r="72" customFormat="false" ht="15.75" hidden="false" customHeight="true" outlineLevel="0" collapsed="false">
      <c r="A72" s="31"/>
      <c r="B72" s="36"/>
      <c r="C72" s="33"/>
      <c r="D72" s="33"/>
      <c r="E72" s="41"/>
      <c r="F72" s="40"/>
      <c r="G72" s="69"/>
      <c r="H72" s="51"/>
      <c r="I72" s="48" t="str">
        <f aca="false">IF(OR($B72="",N($G72)=0),"",ROUND(N($F72)*(1-N($H72))/N($G72)/12,2))</f>
        <v/>
      </c>
      <c r="J72" s="70" t="str">
        <f aca="false">IF(OR($B72="",$E72=""),"",MEDIAN(0,(YEAR(首页!$B$7)-YEAR($E72))*12+MONTH(首页!$B$7)-MONTH($E72),N($G72)*12))</f>
        <v/>
      </c>
      <c r="K72" s="48" t="str">
        <f aca="false">IF($B72="","",ROUND(N($I72)*N($J72),2))</f>
        <v/>
      </c>
      <c r="L72" s="48" t="str">
        <f aca="false">IF($B72="","",N($F72)-N($K72))</f>
        <v/>
      </c>
      <c r="M72" s="49" t="str">
        <f aca="false">IF($B72="","",IF(N($J72)&gt;=N($G72)*12,"已提完","计提中"))</f>
        <v/>
      </c>
      <c r="N72" s="36"/>
    </row>
    <row r="73" customFormat="false" ht="15.75" hidden="false" customHeight="true" outlineLevel="0" collapsed="false">
      <c r="A73" s="31"/>
      <c r="B73" s="36"/>
      <c r="C73" s="33"/>
      <c r="D73" s="33"/>
      <c r="E73" s="41"/>
      <c r="F73" s="40"/>
      <c r="G73" s="69"/>
      <c r="H73" s="51"/>
      <c r="I73" s="48" t="str">
        <f aca="false">IF(OR($B73="",N($G73)=0),"",ROUND(N($F73)*(1-N($H73))/N($G73)/12,2))</f>
        <v/>
      </c>
      <c r="J73" s="70" t="str">
        <f aca="false">IF(OR($B73="",$E73=""),"",MEDIAN(0,(YEAR(首页!$B$7)-YEAR($E73))*12+MONTH(首页!$B$7)-MONTH($E73),N($G73)*12))</f>
        <v/>
      </c>
      <c r="K73" s="48" t="str">
        <f aca="false">IF($B73="","",ROUND(N($I73)*N($J73),2))</f>
        <v/>
      </c>
      <c r="L73" s="48" t="str">
        <f aca="false">IF($B73="","",N($F73)-N($K73))</f>
        <v/>
      </c>
      <c r="M73" s="49" t="str">
        <f aca="false">IF($B73="","",IF(N($J73)&gt;=N($G73)*12,"已提完","计提中"))</f>
        <v/>
      </c>
      <c r="N73" s="36"/>
    </row>
    <row r="74" customFormat="false" ht="15.75" hidden="false" customHeight="true" outlineLevel="0" collapsed="false">
      <c r="A74" s="31"/>
      <c r="B74" s="36"/>
      <c r="C74" s="33"/>
      <c r="D74" s="33"/>
      <c r="E74" s="41"/>
      <c r="F74" s="40"/>
      <c r="G74" s="69"/>
      <c r="H74" s="51"/>
      <c r="I74" s="48" t="str">
        <f aca="false">IF(OR($B74="",N($G74)=0),"",ROUND(N($F74)*(1-N($H74))/N($G74)/12,2))</f>
        <v/>
      </c>
      <c r="J74" s="70" t="str">
        <f aca="false">IF(OR($B74="",$E74=""),"",MEDIAN(0,(YEAR(首页!$B$7)-YEAR($E74))*12+MONTH(首页!$B$7)-MONTH($E74),N($G74)*12))</f>
        <v/>
      </c>
      <c r="K74" s="48" t="str">
        <f aca="false">IF($B74="","",ROUND(N($I74)*N($J74),2))</f>
        <v/>
      </c>
      <c r="L74" s="48" t="str">
        <f aca="false">IF($B74="","",N($F74)-N($K74))</f>
        <v/>
      </c>
      <c r="M74" s="49" t="str">
        <f aca="false">IF($B74="","",IF(N($J74)&gt;=N($G74)*12,"已提完","计提中"))</f>
        <v/>
      </c>
      <c r="N74" s="36"/>
    </row>
    <row r="75" customFormat="false" ht="15.75" hidden="false" customHeight="true" outlineLevel="0" collapsed="false">
      <c r="A75" s="31"/>
      <c r="B75" s="36"/>
      <c r="C75" s="33"/>
      <c r="D75" s="33"/>
      <c r="E75" s="41"/>
      <c r="F75" s="40"/>
      <c r="G75" s="69"/>
      <c r="H75" s="51"/>
      <c r="I75" s="48" t="str">
        <f aca="false">IF(OR($B75="",N($G75)=0),"",ROUND(N($F75)*(1-N($H75))/N($G75)/12,2))</f>
        <v/>
      </c>
      <c r="J75" s="70" t="str">
        <f aca="false">IF(OR($B75="",$E75=""),"",MEDIAN(0,(YEAR(首页!$B$7)-YEAR($E75))*12+MONTH(首页!$B$7)-MONTH($E75),N($G75)*12))</f>
        <v/>
      </c>
      <c r="K75" s="48" t="str">
        <f aca="false">IF($B75="","",ROUND(N($I75)*N($J75),2))</f>
        <v/>
      </c>
      <c r="L75" s="48" t="str">
        <f aca="false">IF($B75="","",N($F75)-N($K75))</f>
        <v/>
      </c>
      <c r="M75" s="49" t="str">
        <f aca="false">IF($B75="","",IF(N($J75)&gt;=N($G75)*12,"已提完","计提中"))</f>
        <v/>
      </c>
      <c r="N75" s="36"/>
    </row>
    <row r="76" customFormat="false" ht="15.75" hidden="false" customHeight="true" outlineLevel="0" collapsed="false">
      <c r="A76" s="31"/>
      <c r="B76" s="36"/>
      <c r="C76" s="33"/>
      <c r="D76" s="33"/>
      <c r="E76" s="41"/>
      <c r="F76" s="40"/>
      <c r="G76" s="69"/>
      <c r="H76" s="51"/>
      <c r="I76" s="48" t="str">
        <f aca="false">IF(OR($B76="",N($G76)=0),"",ROUND(N($F76)*(1-N($H76))/N($G76)/12,2))</f>
        <v/>
      </c>
      <c r="J76" s="70" t="str">
        <f aca="false">IF(OR($B76="",$E76=""),"",MEDIAN(0,(YEAR(首页!$B$7)-YEAR($E76))*12+MONTH(首页!$B$7)-MONTH($E76),N($G76)*12))</f>
        <v/>
      </c>
      <c r="K76" s="48" t="str">
        <f aca="false">IF($B76="","",ROUND(N($I76)*N($J76),2))</f>
        <v/>
      </c>
      <c r="L76" s="48" t="str">
        <f aca="false">IF($B76="","",N($F76)-N($K76))</f>
        <v/>
      </c>
      <c r="M76" s="49" t="str">
        <f aca="false">IF($B76="","",IF(N($J76)&gt;=N($G76)*12,"已提完","计提中"))</f>
        <v/>
      </c>
      <c r="N76" s="36"/>
    </row>
    <row r="77" customFormat="false" ht="15.75" hidden="false" customHeight="true" outlineLevel="0" collapsed="false">
      <c r="A77" s="31"/>
      <c r="B77" s="36"/>
      <c r="C77" s="33"/>
      <c r="D77" s="33"/>
      <c r="E77" s="41"/>
      <c r="F77" s="40"/>
      <c r="G77" s="69"/>
      <c r="H77" s="51"/>
      <c r="I77" s="48" t="str">
        <f aca="false">IF(OR($B77="",N($G77)=0),"",ROUND(N($F77)*(1-N($H77))/N($G77)/12,2))</f>
        <v/>
      </c>
      <c r="J77" s="70" t="str">
        <f aca="false">IF(OR($B77="",$E77=""),"",MEDIAN(0,(YEAR(首页!$B$7)-YEAR($E77))*12+MONTH(首页!$B$7)-MONTH($E77),N($G77)*12))</f>
        <v/>
      </c>
      <c r="K77" s="48" t="str">
        <f aca="false">IF($B77="","",ROUND(N($I77)*N($J77),2))</f>
        <v/>
      </c>
      <c r="L77" s="48" t="str">
        <f aca="false">IF($B77="","",N($F77)-N($K77))</f>
        <v/>
      </c>
      <c r="M77" s="49" t="str">
        <f aca="false">IF($B77="","",IF(N($J77)&gt;=N($G77)*12,"已提完","计提中"))</f>
        <v/>
      </c>
      <c r="N77" s="36"/>
    </row>
    <row r="78" customFormat="false" ht="15.75" hidden="false" customHeight="true" outlineLevel="0" collapsed="false">
      <c r="A78" s="31"/>
      <c r="B78" s="36"/>
      <c r="C78" s="33"/>
      <c r="D78" s="33"/>
      <c r="E78" s="41"/>
      <c r="F78" s="40"/>
      <c r="G78" s="69"/>
      <c r="H78" s="51"/>
      <c r="I78" s="48" t="str">
        <f aca="false">IF(OR($B78="",N($G78)=0),"",ROUND(N($F78)*(1-N($H78))/N($G78)/12,2))</f>
        <v/>
      </c>
      <c r="J78" s="70" t="str">
        <f aca="false">IF(OR($B78="",$E78=""),"",MEDIAN(0,(YEAR(首页!$B$7)-YEAR($E78))*12+MONTH(首页!$B$7)-MONTH($E78),N($G78)*12))</f>
        <v/>
      </c>
      <c r="K78" s="48" t="str">
        <f aca="false">IF($B78="","",ROUND(N($I78)*N($J78),2))</f>
        <v/>
      </c>
      <c r="L78" s="48" t="str">
        <f aca="false">IF($B78="","",N($F78)-N($K78))</f>
        <v/>
      </c>
      <c r="M78" s="49" t="str">
        <f aca="false">IF($B78="","",IF(N($J78)&gt;=N($G78)*12,"已提完","计提中"))</f>
        <v/>
      </c>
      <c r="N78" s="36"/>
    </row>
    <row r="79" customFormat="false" ht="15.75" hidden="false" customHeight="true" outlineLevel="0" collapsed="false">
      <c r="A79" s="31"/>
      <c r="B79" s="36"/>
      <c r="C79" s="33"/>
      <c r="D79" s="33"/>
      <c r="E79" s="41"/>
      <c r="F79" s="40"/>
      <c r="G79" s="69"/>
      <c r="H79" s="51"/>
      <c r="I79" s="48" t="str">
        <f aca="false">IF(OR($B79="",N($G79)=0),"",ROUND(N($F79)*(1-N($H79))/N($G79)/12,2))</f>
        <v/>
      </c>
      <c r="J79" s="70" t="str">
        <f aca="false">IF(OR($B79="",$E79=""),"",MEDIAN(0,(YEAR(首页!$B$7)-YEAR($E79))*12+MONTH(首页!$B$7)-MONTH($E79),N($G79)*12))</f>
        <v/>
      </c>
      <c r="K79" s="48" t="str">
        <f aca="false">IF($B79="","",ROUND(N($I79)*N($J79),2))</f>
        <v/>
      </c>
      <c r="L79" s="48" t="str">
        <f aca="false">IF($B79="","",N($F79)-N($K79))</f>
        <v/>
      </c>
      <c r="M79" s="49" t="str">
        <f aca="false">IF($B79="","",IF(N($J79)&gt;=N($G79)*12,"已提完","计提中"))</f>
        <v/>
      </c>
      <c r="N79" s="36"/>
    </row>
    <row r="80" customFormat="false" ht="15.75" hidden="false" customHeight="true" outlineLevel="0" collapsed="false">
      <c r="A80" s="31"/>
      <c r="B80" s="36"/>
      <c r="C80" s="33"/>
      <c r="D80" s="33"/>
      <c r="E80" s="41"/>
      <c r="F80" s="40"/>
      <c r="G80" s="69"/>
      <c r="H80" s="51"/>
      <c r="I80" s="48" t="str">
        <f aca="false">IF(OR($B80="",N($G80)=0),"",ROUND(N($F80)*(1-N($H80))/N($G80)/12,2))</f>
        <v/>
      </c>
      <c r="J80" s="70" t="str">
        <f aca="false">IF(OR($B80="",$E80=""),"",MEDIAN(0,(YEAR(首页!$B$7)-YEAR($E80))*12+MONTH(首页!$B$7)-MONTH($E80),N($G80)*12))</f>
        <v/>
      </c>
      <c r="K80" s="48" t="str">
        <f aca="false">IF($B80="","",ROUND(N($I80)*N($J80),2))</f>
        <v/>
      </c>
      <c r="L80" s="48" t="str">
        <f aca="false">IF($B80="","",N($F80)-N($K80))</f>
        <v/>
      </c>
      <c r="M80" s="49" t="str">
        <f aca="false">IF($B80="","",IF(N($J80)&gt;=N($G80)*12,"已提完","计提中"))</f>
        <v/>
      </c>
      <c r="N80" s="36"/>
    </row>
    <row r="81" customFormat="false" ht="15.75" hidden="false" customHeight="true" outlineLevel="0" collapsed="false">
      <c r="A81" s="31"/>
      <c r="B81" s="36"/>
      <c r="C81" s="33"/>
      <c r="D81" s="33"/>
      <c r="E81" s="41"/>
      <c r="F81" s="40"/>
      <c r="G81" s="69"/>
      <c r="H81" s="51"/>
      <c r="I81" s="48" t="str">
        <f aca="false">IF(OR($B81="",N($G81)=0),"",ROUND(N($F81)*(1-N($H81))/N($G81)/12,2))</f>
        <v/>
      </c>
      <c r="J81" s="70" t="str">
        <f aca="false">IF(OR($B81="",$E81=""),"",MEDIAN(0,(YEAR(首页!$B$7)-YEAR($E81))*12+MONTH(首页!$B$7)-MONTH($E81),N($G81)*12))</f>
        <v/>
      </c>
      <c r="K81" s="48" t="str">
        <f aca="false">IF($B81="","",ROUND(N($I81)*N($J81),2))</f>
        <v/>
      </c>
      <c r="L81" s="48" t="str">
        <f aca="false">IF($B81="","",N($F81)-N($K81))</f>
        <v/>
      </c>
      <c r="M81" s="49" t="str">
        <f aca="false">IF($B81="","",IF(N($J81)&gt;=N($G81)*12,"已提完","计提中"))</f>
        <v/>
      </c>
      <c r="N81" s="36"/>
    </row>
    <row r="82" customFormat="false" ht="15.75" hidden="false" customHeight="true" outlineLevel="0" collapsed="false">
      <c r="A82" s="31"/>
      <c r="B82" s="36"/>
      <c r="C82" s="33"/>
      <c r="D82" s="33"/>
      <c r="E82" s="41"/>
      <c r="F82" s="40"/>
      <c r="G82" s="69"/>
      <c r="H82" s="51"/>
      <c r="I82" s="48" t="str">
        <f aca="false">IF(OR($B82="",N($G82)=0),"",ROUND(N($F82)*(1-N($H82))/N($G82)/12,2))</f>
        <v/>
      </c>
      <c r="J82" s="70" t="str">
        <f aca="false">IF(OR($B82="",$E82=""),"",MEDIAN(0,(YEAR(首页!$B$7)-YEAR($E82))*12+MONTH(首页!$B$7)-MONTH($E82),N($G82)*12))</f>
        <v/>
      </c>
      <c r="K82" s="48" t="str">
        <f aca="false">IF($B82="","",ROUND(N($I82)*N($J82),2))</f>
        <v/>
      </c>
      <c r="L82" s="48" t="str">
        <f aca="false">IF($B82="","",N($F82)-N($K82))</f>
        <v/>
      </c>
      <c r="M82" s="49" t="str">
        <f aca="false">IF($B82="","",IF(N($J82)&gt;=N($G82)*12,"已提完","计提中"))</f>
        <v/>
      </c>
      <c r="N82" s="36"/>
    </row>
    <row r="83" customFormat="false" ht="15.75" hidden="false" customHeight="true" outlineLevel="0" collapsed="false">
      <c r="A83" s="31"/>
      <c r="B83" s="36"/>
      <c r="C83" s="33"/>
      <c r="D83" s="33"/>
      <c r="E83" s="41"/>
      <c r="F83" s="40"/>
      <c r="G83" s="69"/>
      <c r="H83" s="51"/>
      <c r="I83" s="48" t="str">
        <f aca="false">IF(OR($B83="",N($G83)=0),"",ROUND(N($F83)*(1-N($H83))/N($G83)/12,2))</f>
        <v/>
      </c>
      <c r="J83" s="70" t="str">
        <f aca="false">IF(OR($B83="",$E83=""),"",MEDIAN(0,(YEAR(首页!$B$7)-YEAR($E83))*12+MONTH(首页!$B$7)-MONTH($E83),N($G83)*12))</f>
        <v/>
      </c>
      <c r="K83" s="48" t="str">
        <f aca="false">IF($B83="","",ROUND(N($I83)*N($J83),2))</f>
        <v/>
      </c>
      <c r="L83" s="48" t="str">
        <f aca="false">IF($B83="","",N($F83)-N($K83))</f>
        <v/>
      </c>
      <c r="M83" s="49" t="str">
        <f aca="false">IF($B83="","",IF(N($J83)&gt;=N($G83)*12,"已提完","计提中"))</f>
        <v/>
      </c>
      <c r="N83" s="36"/>
    </row>
    <row r="84" customFormat="false" ht="15.75" hidden="false" customHeight="true" outlineLevel="0" collapsed="false">
      <c r="A84" s="31"/>
      <c r="B84" s="36"/>
      <c r="C84" s="33"/>
      <c r="D84" s="33"/>
      <c r="E84" s="41"/>
      <c r="F84" s="40"/>
      <c r="G84" s="69"/>
      <c r="H84" s="51"/>
      <c r="I84" s="48" t="str">
        <f aca="false">IF(OR($B84="",N($G84)=0),"",ROUND(N($F84)*(1-N($H84))/N($G84)/12,2))</f>
        <v/>
      </c>
      <c r="J84" s="70" t="str">
        <f aca="false">IF(OR($B84="",$E84=""),"",MEDIAN(0,(YEAR(首页!$B$7)-YEAR($E84))*12+MONTH(首页!$B$7)-MONTH($E84),N($G84)*12))</f>
        <v/>
      </c>
      <c r="K84" s="48" t="str">
        <f aca="false">IF($B84="","",ROUND(N($I84)*N($J84),2))</f>
        <v/>
      </c>
      <c r="L84" s="48" t="str">
        <f aca="false">IF($B84="","",N($F84)-N($K84))</f>
        <v/>
      </c>
      <c r="M84" s="49" t="str">
        <f aca="false">IF($B84="","",IF(N($J84)&gt;=N($G84)*12,"已提完","计提中"))</f>
        <v/>
      </c>
      <c r="N84" s="36"/>
    </row>
    <row r="85" customFormat="false" ht="15.75" hidden="false" customHeight="true" outlineLevel="0" collapsed="false">
      <c r="A85" s="31"/>
      <c r="B85" s="36"/>
      <c r="C85" s="33"/>
      <c r="D85" s="33"/>
      <c r="E85" s="41"/>
      <c r="F85" s="40"/>
      <c r="G85" s="69"/>
      <c r="H85" s="51"/>
      <c r="I85" s="48" t="str">
        <f aca="false">IF(OR($B85="",N($G85)=0),"",ROUND(N($F85)*(1-N($H85))/N($G85)/12,2))</f>
        <v/>
      </c>
      <c r="J85" s="70" t="str">
        <f aca="false">IF(OR($B85="",$E85=""),"",MEDIAN(0,(YEAR(首页!$B$7)-YEAR($E85))*12+MONTH(首页!$B$7)-MONTH($E85),N($G85)*12))</f>
        <v/>
      </c>
      <c r="K85" s="48" t="str">
        <f aca="false">IF($B85="","",ROUND(N($I85)*N($J85),2))</f>
        <v/>
      </c>
      <c r="L85" s="48" t="str">
        <f aca="false">IF($B85="","",N($F85)-N($K85))</f>
        <v/>
      </c>
      <c r="M85" s="49" t="str">
        <f aca="false">IF($B85="","",IF(N($J85)&gt;=N($G85)*12,"已提完","计提中"))</f>
        <v/>
      </c>
      <c r="N85" s="36"/>
    </row>
    <row r="86" customFormat="false" ht="15.75" hidden="false" customHeight="true" outlineLevel="0" collapsed="false">
      <c r="A86" s="31"/>
      <c r="B86" s="36"/>
      <c r="C86" s="33"/>
      <c r="D86" s="33"/>
      <c r="E86" s="41"/>
      <c r="F86" s="40"/>
      <c r="G86" s="69"/>
      <c r="H86" s="51"/>
      <c r="I86" s="48" t="str">
        <f aca="false">IF(OR($B86="",N($G86)=0),"",ROUND(N($F86)*(1-N($H86))/N($G86)/12,2))</f>
        <v/>
      </c>
      <c r="J86" s="70" t="str">
        <f aca="false">IF(OR($B86="",$E86=""),"",MEDIAN(0,(YEAR(首页!$B$7)-YEAR($E86))*12+MONTH(首页!$B$7)-MONTH($E86),N($G86)*12))</f>
        <v/>
      </c>
      <c r="K86" s="48" t="str">
        <f aca="false">IF($B86="","",ROUND(N($I86)*N($J86),2))</f>
        <v/>
      </c>
      <c r="L86" s="48" t="str">
        <f aca="false">IF($B86="","",N($F86)-N($K86))</f>
        <v/>
      </c>
      <c r="M86" s="49" t="str">
        <f aca="false">IF($B86="","",IF(N($J86)&gt;=N($G86)*12,"已提完","计提中"))</f>
        <v/>
      </c>
      <c r="N86" s="36"/>
    </row>
    <row r="87" customFormat="false" ht="15.75" hidden="false" customHeight="true" outlineLevel="0" collapsed="false">
      <c r="A87" s="31"/>
      <c r="B87" s="36"/>
      <c r="C87" s="33"/>
      <c r="D87" s="33"/>
      <c r="E87" s="41"/>
      <c r="F87" s="40"/>
      <c r="G87" s="69"/>
      <c r="H87" s="51"/>
      <c r="I87" s="48" t="str">
        <f aca="false">IF(OR($B87="",N($G87)=0),"",ROUND(N($F87)*(1-N($H87))/N($G87)/12,2))</f>
        <v/>
      </c>
      <c r="J87" s="70" t="str">
        <f aca="false">IF(OR($B87="",$E87=""),"",MEDIAN(0,(YEAR(首页!$B$7)-YEAR($E87))*12+MONTH(首页!$B$7)-MONTH($E87),N($G87)*12))</f>
        <v/>
      </c>
      <c r="K87" s="48" t="str">
        <f aca="false">IF($B87="","",ROUND(N($I87)*N($J87),2))</f>
        <v/>
      </c>
      <c r="L87" s="48" t="str">
        <f aca="false">IF($B87="","",N($F87)-N($K87))</f>
        <v/>
      </c>
      <c r="M87" s="49" t="str">
        <f aca="false">IF($B87="","",IF(N($J87)&gt;=N($G87)*12,"已提完","计提中"))</f>
        <v/>
      </c>
      <c r="N87" s="36"/>
    </row>
    <row r="88" customFormat="false" ht="15.75" hidden="false" customHeight="true" outlineLevel="0" collapsed="false">
      <c r="A88" s="31"/>
      <c r="B88" s="36"/>
      <c r="C88" s="33"/>
      <c r="D88" s="33"/>
      <c r="E88" s="41"/>
      <c r="F88" s="40"/>
      <c r="G88" s="69"/>
      <c r="H88" s="51"/>
      <c r="I88" s="48" t="str">
        <f aca="false">IF(OR($B88="",N($G88)=0),"",ROUND(N($F88)*(1-N($H88))/N($G88)/12,2))</f>
        <v/>
      </c>
      <c r="J88" s="70" t="str">
        <f aca="false">IF(OR($B88="",$E88=""),"",MEDIAN(0,(YEAR(首页!$B$7)-YEAR($E88))*12+MONTH(首页!$B$7)-MONTH($E88),N($G88)*12))</f>
        <v/>
      </c>
      <c r="K88" s="48" t="str">
        <f aca="false">IF($B88="","",ROUND(N($I88)*N($J88),2))</f>
        <v/>
      </c>
      <c r="L88" s="48" t="str">
        <f aca="false">IF($B88="","",N($F88)-N($K88))</f>
        <v/>
      </c>
      <c r="M88" s="49" t="str">
        <f aca="false">IF($B88="","",IF(N($J88)&gt;=N($G88)*12,"已提完","计提中"))</f>
        <v/>
      </c>
      <c r="N88" s="36"/>
    </row>
    <row r="89" customFormat="false" ht="15.75" hidden="false" customHeight="true" outlineLevel="0" collapsed="false">
      <c r="A89" s="31"/>
      <c r="B89" s="36"/>
      <c r="C89" s="33"/>
      <c r="D89" s="33"/>
      <c r="E89" s="41"/>
      <c r="F89" s="40"/>
      <c r="G89" s="69"/>
      <c r="H89" s="51"/>
      <c r="I89" s="48" t="str">
        <f aca="false">IF(OR($B89="",N($G89)=0),"",ROUND(N($F89)*(1-N($H89))/N($G89)/12,2))</f>
        <v/>
      </c>
      <c r="J89" s="70" t="str">
        <f aca="false">IF(OR($B89="",$E89=""),"",MEDIAN(0,(YEAR(首页!$B$7)-YEAR($E89))*12+MONTH(首页!$B$7)-MONTH($E89),N($G89)*12))</f>
        <v/>
      </c>
      <c r="K89" s="48" t="str">
        <f aca="false">IF($B89="","",ROUND(N($I89)*N($J89),2))</f>
        <v/>
      </c>
      <c r="L89" s="48" t="str">
        <f aca="false">IF($B89="","",N($F89)-N($K89))</f>
        <v/>
      </c>
      <c r="M89" s="49" t="str">
        <f aca="false">IF($B89="","",IF(N($J89)&gt;=N($G89)*12,"已提完","计提中"))</f>
        <v/>
      </c>
      <c r="N89" s="36"/>
    </row>
    <row r="90" customFormat="false" ht="15.75" hidden="false" customHeight="true" outlineLevel="0" collapsed="false">
      <c r="A90" s="31"/>
      <c r="B90" s="36"/>
      <c r="C90" s="33"/>
      <c r="D90" s="33"/>
      <c r="E90" s="41"/>
      <c r="F90" s="40"/>
      <c r="G90" s="69"/>
      <c r="H90" s="51"/>
      <c r="I90" s="48" t="str">
        <f aca="false">IF(OR($B90="",N($G90)=0),"",ROUND(N($F90)*(1-N($H90))/N($G90)/12,2))</f>
        <v/>
      </c>
      <c r="J90" s="70" t="str">
        <f aca="false">IF(OR($B90="",$E90=""),"",MEDIAN(0,(YEAR(首页!$B$7)-YEAR($E90))*12+MONTH(首页!$B$7)-MONTH($E90),N($G90)*12))</f>
        <v/>
      </c>
      <c r="K90" s="48" t="str">
        <f aca="false">IF($B90="","",ROUND(N($I90)*N($J90),2))</f>
        <v/>
      </c>
      <c r="L90" s="48" t="str">
        <f aca="false">IF($B90="","",N($F90)-N($K90))</f>
        <v/>
      </c>
      <c r="M90" s="49" t="str">
        <f aca="false">IF($B90="","",IF(N($J90)&gt;=N($G90)*12,"已提完","计提中"))</f>
        <v/>
      </c>
      <c r="N90" s="36"/>
    </row>
    <row r="91" customFormat="false" ht="15.75" hidden="false" customHeight="true" outlineLevel="0" collapsed="false">
      <c r="A91" s="31"/>
      <c r="B91" s="36"/>
      <c r="C91" s="33"/>
      <c r="D91" s="33"/>
      <c r="E91" s="41"/>
      <c r="F91" s="40"/>
      <c r="G91" s="69"/>
      <c r="H91" s="51"/>
      <c r="I91" s="48" t="str">
        <f aca="false">IF(OR($B91="",N($G91)=0),"",ROUND(N($F91)*(1-N($H91))/N($G91)/12,2))</f>
        <v/>
      </c>
      <c r="J91" s="70" t="str">
        <f aca="false">IF(OR($B91="",$E91=""),"",MEDIAN(0,(YEAR(首页!$B$7)-YEAR($E91))*12+MONTH(首页!$B$7)-MONTH($E91),N($G91)*12))</f>
        <v/>
      </c>
      <c r="K91" s="48" t="str">
        <f aca="false">IF($B91="","",ROUND(N($I91)*N($J91),2))</f>
        <v/>
      </c>
      <c r="L91" s="48" t="str">
        <f aca="false">IF($B91="","",N($F91)-N($K91))</f>
        <v/>
      </c>
      <c r="M91" s="49" t="str">
        <f aca="false">IF($B91="","",IF(N($J91)&gt;=N($G91)*12,"已提完","计提中"))</f>
        <v/>
      </c>
      <c r="N91" s="36"/>
    </row>
    <row r="92" customFormat="false" ht="15.75" hidden="false" customHeight="true" outlineLevel="0" collapsed="false">
      <c r="A92" s="31"/>
      <c r="B92" s="36"/>
      <c r="C92" s="33"/>
      <c r="D92" s="33"/>
      <c r="E92" s="41"/>
      <c r="F92" s="40"/>
      <c r="G92" s="69"/>
      <c r="H92" s="51"/>
      <c r="I92" s="48" t="str">
        <f aca="false">IF(OR($B92="",N($G92)=0),"",ROUND(N($F92)*(1-N($H92))/N($G92)/12,2))</f>
        <v/>
      </c>
      <c r="J92" s="70" t="str">
        <f aca="false">IF(OR($B92="",$E92=""),"",MEDIAN(0,(YEAR(首页!$B$7)-YEAR($E92))*12+MONTH(首页!$B$7)-MONTH($E92),N($G92)*12))</f>
        <v/>
      </c>
      <c r="K92" s="48" t="str">
        <f aca="false">IF($B92="","",ROUND(N($I92)*N($J92),2))</f>
        <v/>
      </c>
      <c r="L92" s="48" t="str">
        <f aca="false">IF($B92="","",N($F92)-N($K92))</f>
        <v/>
      </c>
      <c r="M92" s="49" t="str">
        <f aca="false">IF($B92="","",IF(N($J92)&gt;=N($G92)*12,"已提完","计提中"))</f>
        <v/>
      </c>
      <c r="N92" s="36"/>
    </row>
    <row r="93" customFormat="false" ht="15.75" hidden="false" customHeight="true" outlineLevel="0" collapsed="false">
      <c r="A93" s="31"/>
      <c r="B93" s="36"/>
      <c r="C93" s="33"/>
      <c r="D93" s="33"/>
      <c r="E93" s="41"/>
      <c r="F93" s="40"/>
      <c r="G93" s="69"/>
      <c r="H93" s="51"/>
      <c r="I93" s="48" t="str">
        <f aca="false">IF(OR($B93="",N($G93)=0),"",ROUND(N($F93)*(1-N($H93))/N($G93)/12,2))</f>
        <v/>
      </c>
      <c r="J93" s="70" t="str">
        <f aca="false">IF(OR($B93="",$E93=""),"",MEDIAN(0,(YEAR(首页!$B$7)-YEAR($E93))*12+MONTH(首页!$B$7)-MONTH($E93),N($G93)*12))</f>
        <v/>
      </c>
      <c r="K93" s="48" t="str">
        <f aca="false">IF($B93="","",ROUND(N($I93)*N($J93),2))</f>
        <v/>
      </c>
      <c r="L93" s="48" t="str">
        <f aca="false">IF($B93="","",N($F93)-N($K93))</f>
        <v/>
      </c>
      <c r="M93" s="49" t="str">
        <f aca="false">IF($B93="","",IF(N($J93)&gt;=N($G93)*12,"已提完","计提中"))</f>
        <v/>
      </c>
      <c r="N93" s="36"/>
    </row>
    <row r="94" customFormat="false" ht="15.75" hidden="false" customHeight="true" outlineLevel="0" collapsed="false">
      <c r="A94" s="31"/>
      <c r="B94" s="36"/>
      <c r="C94" s="33"/>
      <c r="D94" s="33"/>
      <c r="E94" s="41"/>
      <c r="F94" s="40"/>
      <c r="G94" s="69"/>
      <c r="H94" s="51"/>
      <c r="I94" s="48" t="str">
        <f aca="false">IF(OR($B94="",N($G94)=0),"",ROUND(N($F94)*(1-N($H94))/N($G94)/12,2))</f>
        <v/>
      </c>
      <c r="J94" s="70" t="str">
        <f aca="false">IF(OR($B94="",$E94=""),"",MEDIAN(0,(YEAR(首页!$B$7)-YEAR($E94))*12+MONTH(首页!$B$7)-MONTH($E94),N($G94)*12))</f>
        <v/>
      </c>
      <c r="K94" s="48" t="str">
        <f aca="false">IF($B94="","",ROUND(N($I94)*N($J94),2))</f>
        <v/>
      </c>
      <c r="L94" s="48" t="str">
        <f aca="false">IF($B94="","",N($F94)-N($K94))</f>
        <v/>
      </c>
      <c r="M94" s="49" t="str">
        <f aca="false">IF($B94="","",IF(N($J94)&gt;=N($G94)*12,"已提完","计提中"))</f>
        <v/>
      </c>
      <c r="N94" s="36"/>
    </row>
    <row r="95" customFormat="false" ht="15.75" hidden="false" customHeight="true" outlineLevel="0" collapsed="false">
      <c r="A95" s="31"/>
      <c r="B95" s="36"/>
      <c r="C95" s="33"/>
      <c r="D95" s="33"/>
      <c r="E95" s="41"/>
      <c r="F95" s="40"/>
      <c r="G95" s="69"/>
      <c r="H95" s="51"/>
      <c r="I95" s="48" t="str">
        <f aca="false">IF(OR($B95="",N($G95)=0),"",ROUND(N($F95)*(1-N($H95))/N($G95)/12,2))</f>
        <v/>
      </c>
      <c r="J95" s="70" t="str">
        <f aca="false">IF(OR($B95="",$E95=""),"",MEDIAN(0,(YEAR(首页!$B$7)-YEAR($E95))*12+MONTH(首页!$B$7)-MONTH($E95),N($G95)*12))</f>
        <v/>
      </c>
      <c r="K95" s="48" t="str">
        <f aca="false">IF($B95="","",ROUND(N($I95)*N($J95),2))</f>
        <v/>
      </c>
      <c r="L95" s="48" t="str">
        <f aca="false">IF($B95="","",N($F95)-N($K95))</f>
        <v/>
      </c>
      <c r="M95" s="49" t="str">
        <f aca="false">IF($B95="","",IF(N($J95)&gt;=N($G95)*12,"已提完","计提中"))</f>
        <v/>
      </c>
      <c r="N95" s="36"/>
    </row>
    <row r="96" customFormat="false" ht="15.75" hidden="false" customHeight="true" outlineLevel="0" collapsed="false">
      <c r="A96" s="31"/>
      <c r="B96" s="36"/>
      <c r="C96" s="33"/>
      <c r="D96" s="33"/>
      <c r="E96" s="41"/>
      <c r="F96" s="40"/>
      <c r="G96" s="69"/>
      <c r="H96" s="51"/>
      <c r="I96" s="48" t="str">
        <f aca="false">IF(OR($B96="",N($G96)=0),"",ROUND(N($F96)*(1-N($H96))/N($G96)/12,2))</f>
        <v/>
      </c>
      <c r="J96" s="70" t="str">
        <f aca="false">IF(OR($B96="",$E96=""),"",MEDIAN(0,(YEAR(首页!$B$7)-YEAR($E96))*12+MONTH(首页!$B$7)-MONTH($E96),N($G96)*12))</f>
        <v/>
      </c>
      <c r="K96" s="48" t="str">
        <f aca="false">IF($B96="","",ROUND(N($I96)*N($J96),2))</f>
        <v/>
      </c>
      <c r="L96" s="48" t="str">
        <f aca="false">IF($B96="","",N($F96)-N($K96))</f>
        <v/>
      </c>
      <c r="M96" s="49" t="str">
        <f aca="false">IF($B96="","",IF(N($J96)&gt;=N($G96)*12,"已提完","计提中"))</f>
        <v/>
      </c>
      <c r="N96" s="36"/>
    </row>
    <row r="97" customFormat="false" ht="15.75" hidden="false" customHeight="true" outlineLevel="0" collapsed="false">
      <c r="A97" s="31"/>
      <c r="B97" s="36"/>
      <c r="C97" s="33"/>
      <c r="D97" s="33"/>
      <c r="E97" s="41"/>
      <c r="F97" s="40"/>
      <c r="G97" s="69"/>
      <c r="H97" s="51"/>
      <c r="I97" s="48" t="str">
        <f aca="false">IF(OR($B97="",N($G97)=0),"",ROUND(N($F97)*(1-N($H97))/N($G97)/12,2))</f>
        <v/>
      </c>
      <c r="J97" s="70" t="str">
        <f aca="false">IF(OR($B97="",$E97=""),"",MEDIAN(0,(YEAR(首页!$B$7)-YEAR($E97))*12+MONTH(首页!$B$7)-MONTH($E97),N($G97)*12))</f>
        <v/>
      </c>
      <c r="K97" s="48" t="str">
        <f aca="false">IF($B97="","",ROUND(N($I97)*N($J97),2))</f>
        <v/>
      </c>
      <c r="L97" s="48" t="str">
        <f aca="false">IF($B97="","",N($F97)-N($K97))</f>
        <v/>
      </c>
      <c r="M97" s="49" t="str">
        <f aca="false">IF($B97="","",IF(N($J97)&gt;=N($G97)*12,"已提完","计提中"))</f>
        <v/>
      </c>
      <c r="N97" s="36"/>
    </row>
    <row r="98" customFormat="false" ht="15.75" hidden="false" customHeight="true" outlineLevel="0" collapsed="false">
      <c r="A98" s="31"/>
      <c r="B98" s="36"/>
      <c r="C98" s="33"/>
      <c r="D98" s="33"/>
      <c r="E98" s="41"/>
      <c r="F98" s="40"/>
      <c r="G98" s="69"/>
      <c r="H98" s="51"/>
      <c r="I98" s="48" t="str">
        <f aca="false">IF(OR($B98="",N($G98)=0),"",ROUND(N($F98)*(1-N($H98))/N($G98)/12,2))</f>
        <v/>
      </c>
      <c r="J98" s="70" t="str">
        <f aca="false">IF(OR($B98="",$E98=""),"",MEDIAN(0,(YEAR(首页!$B$7)-YEAR($E98))*12+MONTH(首页!$B$7)-MONTH($E98),N($G98)*12))</f>
        <v/>
      </c>
      <c r="K98" s="48" t="str">
        <f aca="false">IF($B98="","",ROUND(N($I98)*N($J98),2))</f>
        <v/>
      </c>
      <c r="L98" s="48" t="str">
        <f aca="false">IF($B98="","",N($F98)-N($K98))</f>
        <v/>
      </c>
      <c r="M98" s="49" t="str">
        <f aca="false">IF($B98="","",IF(N($J98)&gt;=N($G98)*12,"已提完","计提中"))</f>
        <v/>
      </c>
      <c r="N98" s="36"/>
    </row>
    <row r="99" customFormat="false" ht="15.75" hidden="false" customHeight="true" outlineLevel="0" collapsed="false">
      <c r="A99" s="31"/>
      <c r="B99" s="36"/>
      <c r="C99" s="33"/>
      <c r="D99" s="33"/>
      <c r="E99" s="41"/>
      <c r="F99" s="40"/>
      <c r="G99" s="69"/>
      <c r="H99" s="51"/>
      <c r="I99" s="48" t="str">
        <f aca="false">IF(OR($B99="",N($G99)=0),"",ROUND(N($F99)*(1-N($H99))/N($G99)/12,2))</f>
        <v/>
      </c>
      <c r="J99" s="70" t="str">
        <f aca="false">IF(OR($B99="",$E99=""),"",MEDIAN(0,(YEAR(首页!$B$7)-YEAR($E99))*12+MONTH(首页!$B$7)-MONTH($E99),N($G99)*12))</f>
        <v/>
      </c>
      <c r="K99" s="48" t="str">
        <f aca="false">IF($B99="","",ROUND(N($I99)*N($J99),2))</f>
        <v/>
      </c>
      <c r="L99" s="48" t="str">
        <f aca="false">IF($B99="","",N($F99)-N($K99))</f>
        <v/>
      </c>
      <c r="M99" s="49" t="str">
        <f aca="false">IF($B99="","",IF(N($J99)&gt;=N($G99)*12,"已提完","计提中"))</f>
        <v/>
      </c>
      <c r="N99" s="36"/>
    </row>
    <row r="100" customFormat="false" ht="15.75" hidden="false" customHeight="true" outlineLevel="0" collapsed="false">
      <c r="A100" s="31"/>
      <c r="B100" s="36"/>
      <c r="C100" s="33"/>
      <c r="D100" s="33"/>
      <c r="E100" s="41"/>
      <c r="F100" s="40"/>
      <c r="G100" s="69"/>
      <c r="H100" s="51"/>
      <c r="I100" s="48" t="str">
        <f aca="false">IF(OR($B100="",N($G100)=0),"",ROUND(N($F100)*(1-N($H100))/N($G100)/12,2))</f>
        <v/>
      </c>
      <c r="J100" s="70" t="str">
        <f aca="false">IF(OR($B100="",$E100=""),"",MEDIAN(0,(YEAR(首页!$B$7)-YEAR($E100))*12+MONTH(首页!$B$7)-MONTH($E100),N($G100)*12))</f>
        <v/>
      </c>
      <c r="K100" s="48" t="str">
        <f aca="false">IF($B100="","",ROUND(N($I100)*N($J100),2))</f>
        <v/>
      </c>
      <c r="L100" s="48" t="str">
        <f aca="false">IF($B100="","",N($F100)-N($K100))</f>
        <v/>
      </c>
      <c r="M100" s="49" t="str">
        <f aca="false">IF($B100="","",IF(N($J100)&gt;=N($G100)*12,"已提完","计提中"))</f>
        <v/>
      </c>
      <c r="N100" s="36"/>
    </row>
    <row r="101" customFormat="false" ht="15.75" hidden="false" customHeight="true" outlineLevel="0" collapsed="false">
      <c r="A101" s="31"/>
      <c r="B101" s="36"/>
      <c r="C101" s="33"/>
      <c r="D101" s="33"/>
      <c r="E101" s="41"/>
      <c r="F101" s="40"/>
      <c r="G101" s="69"/>
      <c r="H101" s="51"/>
      <c r="I101" s="48" t="str">
        <f aca="false">IF(OR($B101="",N($G101)=0),"",ROUND(N($F101)*(1-N($H101))/N($G101)/12,2))</f>
        <v/>
      </c>
      <c r="J101" s="70" t="str">
        <f aca="false">IF(OR($B101="",$E101=""),"",MEDIAN(0,(YEAR(首页!$B$7)-YEAR($E101))*12+MONTH(首页!$B$7)-MONTH($E101),N($G101)*12))</f>
        <v/>
      </c>
      <c r="K101" s="48" t="str">
        <f aca="false">IF($B101="","",ROUND(N($I101)*N($J101),2))</f>
        <v/>
      </c>
      <c r="L101" s="48" t="str">
        <f aca="false">IF($B101="","",N($F101)-N($K101))</f>
        <v/>
      </c>
      <c r="M101" s="49" t="str">
        <f aca="false">IF($B101="","",IF(N($J101)&gt;=N($G101)*12,"已提完","计提中"))</f>
        <v/>
      </c>
      <c r="N101" s="36"/>
    </row>
    <row r="102" customFormat="false" ht="15.75" hidden="false" customHeight="true" outlineLevel="0" collapsed="false">
      <c r="A102" s="31"/>
      <c r="B102" s="36"/>
      <c r="C102" s="33"/>
      <c r="D102" s="33"/>
      <c r="E102" s="41"/>
      <c r="F102" s="40"/>
      <c r="G102" s="69"/>
      <c r="H102" s="51"/>
      <c r="I102" s="48" t="str">
        <f aca="false">IF(OR($B102="",N($G102)=0),"",ROUND(N($F102)*(1-N($H102))/N($G102)/12,2))</f>
        <v/>
      </c>
      <c r="J102" s="70" t="str">
        <f aca="false">IF(OR($B102="",$E102=""),"",MEDIAN(0,(YEAR(首页!$B$7)-YEAR($E102))*12+MONTH(首页!$B$7)-MONTH($E102),N($G102)*12))</f>
        <v/>
      </c>
      <c r="K102" s="48" t="str">
        <f aca="false">IF($B102="","",ROUND(N($I102)*N($J102),2))</f>
        <v/>
      </c>
      <c r="L102" s="48" t="str">
        <f aca="false">IF($B102="","",N($F102)-N($K102))</f>
        <v/>
      </c>
      <c r="M102" s="49" t="str">
        <f aca="false">IF($B102="","",IF(N($J102)&gt;=N($G102)*12,"已提完","计提中"))</f>
        <v/>
      </c>
      <c r="N102" s="36"/>
    </row>
    <row r="103" customFormat="false" ht="15.75" hidden="false" customHeight="true" outlineLevel="0" collapsed="false">
      <c r="A103" s="31"/>
      <c r="B103" s="36"/>
      <c r="C103" s="33"/>
      <c r="D103" s="33"/>
      <c r="E103" s="41"/>
      <c r="F103" s="40"/>
      <c r="G103" s="69"/>
      <c r="H103" s="51"/>
      <c r="I103" s="48" t="str">
        <f aca="false">IF(OR($B103="",N($G103)=0),"",ROUND(N($F103)*(1-N($H103))/N($G103)/12,2))</f>
        <v/>
      </c>
      <c r="J103" s="70" t="str">
        <f aca="false">IF(OR($B103="",$E103=""),"",MEDIAN(0,(YEAR(首页!$B$7)-YEAR($E103))*12+MONTH(首页!$B$7)-MONTH($E103),N($G103)*12))</f>
        <v/>
      </c>
      <c r="K103" s="48" t="str">
        <f aca="false">IF($B103="","",ROUND(N($I103)*N($J103),2))</f>
        <v/>
      </c>
      <c r="L103" s="48" t="str">
        <f aca="false">IF($B103="","",N($F103)-N($K103))</f>
        <v/>
      </c>
      <c r="M103" s="49" t="str">
        <f aca="false">IF($B103="","",IF(N($J103)&gt;=N($G103)*12,"已提完","计提中"))</f>
        <v/>
      </c>
      <c r="N103" s="36"/>
    </row>
    <row r="104" customFormat="false" ht="15.75" hidden="false" customHeight="true" outlineLevel="0" collapsed="false">
      <c r="A104" s="31"/>
      <c r="B104" s="36"/>
      <c r="C104" s="33"/>
      <c r="D104" s="33"/>
      <c r="E104" s="41"/>
      <c r="F104" s="40"/>
      <c r="G104" s="69"/>
      <c r="H104" s="51"/>
      <c r="I104" s="48" t="str">
        <f aca="false">IF(OR($B104="",N($G104)=0),"",ROUND(N($F104)*(1-N($H104))/N($G104)/12,2))</f>
        <v/>
      </c>
      <c r="J104" s="70" t="str">
        <f aca="false">IF(OR($B104="",$E104=""),"",MEDIAN(0,(YEAR(首页!$B$7)-YEAR($E104))*12+MONTH(首页!$B$7)-MONTH($E104),N($G104)*12))</f>
        <v/>
      </c>
      <c r="K104" s="48" t="str">
        <f aca="false">IF($B104="","",ROUND(N($I104)*N($J104),2))</f>
        <v/>
      </c>
      <c r="L104" s="48" t="str">
        <f aca="false">IF($B104="","",N($F104)-N($K104))</f>
        <v/>
      </c>
      <c r="M104" s="49" t="str">
        <f aca="false">IF($B104="","",IF(N($J104)&gt;=N($G104)*12,"已提完","计提中"))</f>
        <v/>
      </c>
      <c r="N104" s="36"/>
    </row>
    <row r="105" customFormat="false" ht="15.75" hidden="false" customHeight="true" outlineLevel="0" collapsed="false">
      <c r="A105" s="31"/>
      <c r="B105" s="36"/>
      <c r="C105" s="33"/>
      <c r="D105" s="33"/>
      <c r="E105" s="41"/>
      <c r="F105" s="40"/>
      <c r="G105" s="69"/>
      <c r="H105" s="51"/>
      <c r="I105" s="48" t="str">
        <f aca="false">IF(OR($B105="",N($G105)=0),"",ROUND(N($F105)*(1-N($H105))/N($G105)/12,2))</f>
        <v/>
      </c>
      <c r="J105" s="70" t="str">
        <f aca="false">IF(OR($B105="",$E105=""),"",MEDIAN(0,(YEAR(首页!$B$7)-YEAR($E105))*12+MONTH(首页!$B$7)-MONTH($E105),N($G105)*12))</f>
        <v/>
      </c>
      <c r="K105" s="48" t="str">
        <f aca="false">IF($B105="","",ROUND(N($I105)*N($J105),2))</f>
        <v/>
      </c>
      <c r="L105" s="48" t="str">
        <f aca="false">IF($B105="","",N($F105)-N($K105))</f>
        <v/>
      </c>
      <c r="M105" s="49" t="str">
        <f aca="false">IF($B105="","",IF(N($J105)&gt;=N($G105)*12,"已提完","计提中"))</f>
        <v/>
      </c>
      <c r="N105" s="36"/>
    </row>
    <row r="106" customFormat="false" ht="15" hidden="false" customHeight="false" outlineLevel="0" collapsed="false">
      <c r="A106" s="55" t="s">
        <v>593</v>
      </c>
      <c r="B106" s="55"/>
      <c r="C106" s="55"/>
      <c r="D106" s="55"/>
      <c r="E106" s="55"/>
      <c r="F106" s="39" t="n">
        <f aca="false">SUM(F6:F105)</f>
        <v>120000</v>
      </c>
      <c r="G106" s="55"/>
      <c r="H106" s="55"/>
      <c r="I106" s="39" t="n">
        <f aca="false">SUMIF($M6:$M105,"计提中",$I6:$I105)</f>
        <v>2500</v>
      </c>
      <c r="J106" s="55"/>
      <c r="K106" s="39" t="n">
        <f aca="false">SUM(K6:K105)</f>
        <v>32500</v>
      </c>
      <c r="L106" s="39" t="n">
        <f aca="false">SUM(L6:L105)</f>
        <v>87500</v>
      </c>
      <c r="M106" s="55"/>
      <c r="N106" s="55"/>
    </row>
    <row r="108" customFormat="false" ht="19.7" hidden="false" customHeight="true" outlineLevel="0" collapsed="false">
      <c r="A108" s="71" t="s">
        <v>767</v>
      </c>
      <c r="B108" s="71"/>
      <c r="C108" s="71"/>
      <c r="D108" s="72" t="n">
        <f aca="false">$I$106</f>
        <v>2500</v>
      </c>
      <c r="E108" s="72"/>
      <c r="F108" s="6" t="s">
        <v>768</v>
      </c>
      <c r="G108" s="6"/>
      <c r="H108" s="6"/>
      <c r="I108" s="6"/>
      <c r="J108" s="6"/>
      <c r="K108" s="6"/>
      <c r="L108" s="6"/>
      <c r="M108" s="6"/>
      <c r="N108" s="6"/>
    </row>
    <row r="110" customFormat="false" ht="85.05" hidden="false" customHeight="false" outlineLevel="0" collapsed="false">
      <c r="A110" s="37" t="s">
        <v>403</v>
      </c>
    </row>
  </sheetData>
  <autoFilter ref="A5:N105"/>
  <mergeCells count="7">
    <mergeCell ref="A1:N1"/>
    <mergeCell ref="A2:N2"/>
    <mergeCell ref="A4:H4"/>
    <mergeCell ref="I4:N4"/>
    <mergeCell ref="A108:C108"/>
    <mergeCell ref="D108:E108"/>
    <mergeCell ref="F108:N108"/>
  </mergeCells>
  <dataValidations count="4">
    <dataValidation allowBlank="true" error="本列必须是数字，填成文本会让整笔业务被静默丢弃" errorStyle="stop" errorTitle="只能填数字" operator="greaterThan" showDropDown="false" showErrorMessage="true" showInputMessage="false" sqref="G6:G105" type="decimal">
      <formula1>0</formula1>
      <formula2>0</formula2>
    </dataValidation>
    <dataValidation allowBlank="true" error="本列必须是数字，填成文本会让整笔业务被静默丢弃" errorStyle="stop" errorTitle="只能填数字" operator="greaterThanOrEqual" showDropDown="false" showErrorMessage="true" showInputMessage="false" sqref="F6:F105" type="decimal">
      <formula1>0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D6:D105" type="list">
      <formula1>基础资料!$G$6:$G$25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C6:C105" type="list">
      <formula1>"房屋建筑物,机器设备,运输工具,电子设备,办公家具,其他"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N71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25.5" hidden="false" customHeight="true" outlineLevel="0" collapsed="false">
      <c r="A1" s="23" t="s">
        <v>769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customFormat="false" ht="15" hidden="false" customHeight="true" outlineLevel="0" collapsed="false">
      <c r="A2" s="6" t="s">
        <v>770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customFormat="false" ht="15" hidden="false" customHeight="false" outlineLevel="0" collapsed="false">
      <c r="A3" s="38" t="s">
        <v>771</v>
      </c>
      <c r="B3" s="55" t="str">
        <f aca="false">首页!$B$5</f>
        <v>2026-01</v>
      </c>
    </row>
    <row r="4" customFormat="false" ht="15" hidden="false" customHeight="true" outlineLevel="0" collapsed="false">
      <c r="A4" s="45" t="s">
        <v>509</v>
      </c>
      <c r="B4" s="45"/>
      <c r="C4" s="45"/>
      <c r="D4" s="45"/>
      <c r="E4" s="45"/>
      <c r="F4" s="45"/>
      <c r="G4" s="45"/>
      <c r="H4" s="45"/>
      <c r="I4" s="45"/>
      <c r="J4" s="46" t="s">
        <v>510</v>
      </c>
      <c r="K4" s="46"/>
      <c r="L4" s="46"/>
      <c r="M4" s="46"/>
      <c r="N4" s="46"/>
    </row>
    <row r="5" customFormat="false" ht="30" hidden="false" customHeight="true" outlineLevel="0" collapsed="false">
      <c r="A5" s="30" t="s">
        <v>418</v>
      </c>
      <c r="B5" s="30" t="s">
        <v>374</v>
      </c>
      <c r="C5" s="30" t="s">
        <v>772</v>
      </c>
      <c r="D5" s="30" t="s">
        <v>773</v>
      </c>
      <c r="E5" s="30" t="s">
        <v>774</v>
      </c>
      <c r="F5" s="30" t="s">
        <v>775</v>
      </c>
      <c r="G5" s="30" t="s">
        <v>776</v>
      </c>
      <c r="H5" s="30" t="s">
        <v>777</v>
      </c>
      <c r="I5" s="30" t="s">
        <v>778</v>
      </c>
      <c r="J5" s="46" t="s">
        <v>779</v>
      </c>
      <c r="K5" s="46" t="s">
        <v>780</v>
      </c>
      <c r="L5" s="46" t="s">
        <v>781</v>
      </c>
      <c r="M5" s="46" t="s">
        <v>782</v>
      </c>
      <c r="N5" s="46" t="s">
        <v>416</v>
      </c>
    </row>
    <row r="6" customFormat="false" ht="15.75" hidden="false" customHeight="true" outlineLevel="0" collapsed="false">
      <c r="A6" s="33" t="s">
        <v>438</v>
      </c>
      <c r="B6" s="42" t="str">
        <f aca="false">IF($A6="","",IFERROR(INDEX(基础资料!$L$6:$L$65,MATCH($A6,基础资料!$K$6:$K$65,0)),""))</f>
        <v>销售部</v>
      </c>
      <c r="C6" s="40" t="n">
        <v>6000</v>
      </c>
      <c r="D6" s="40" t="n">
        <v>0</v>
      </c>
      <c r="E6" s="40" t="n">
        <v>0</v>
      </c>
      <c r="F6" s="48" t="n">
        <f aca="false">IF($A6="","",N($C6)+N($D6)+N($E6))</f>
        <v>6000</v>
      </c>
      <c r="G6" s="40" t="n">
        <v>480</v>
      </c>
      <c r="H6" s="40" t="n">
        <v>300</v>
      </c>
      <c r="I6" s="40" t="n">
        <v>40</v>
      </c>
      <c r="J6" s="48" t="n">
        <f aca="false">IF($A6="","",N($F6)-N($G6)-N($H6)-N($I6))</f>
        <v>5180</v>
      </c>
      <c r="K6" s="40" t="n">
        <v>1200</v>
      </c>
      <c r="L6" s="40" t="n">
        <v>300</v>
      </c>
      <c r="M6" s="48" t="n">
        <f aca="false">IF($A6="","",N($F6)+N($K6)+N($L6))</f>
        <v>7500</v>
      </c>
      <c r="N6" s="36"/>
    </row>
    <row r="7" customFormat="false" ht="15.75" hidden="false" customHeight="true" outlineLevel="0" collapsed="false">
      <c r="A7" s="33" t="s">
        <v>449</v>
      </c>
      <c r="B7" s="42" t="str">
        <f aca="false">IF($A7="","",IFERROR(INDEX(基础资料!$L$6:$L$65,MATCH($A7,基础资料!$K$6:$K$65,0)),""))</f>
        <v>采购部</v>
      </c>
      <c r="C7" s="40" t="n">
        <v>4400</v>
      </c>
      <c r="D7" s="40" t="n">
        <v>0</v>
      </c>
      <c r="E7" s="40" t="n">
        <v>0</v>
      </c>
      <c r="F7" s="48" t="n">
        <f aca="false">IF($A7="","",N($C7)+N($D7)+N($E7))</f>
        <v>4400</v>
      </c>
      <c r="G7" s="40" t="n">
        <v>352</v>
      </c>
      <c r="H7" s="40" t="n">
        <v>220</v>
      </c>
      <c r="I7" s="40" t="n">
        <v>20</v>
      </c>
      <c r="J7" s="48" t="n">
        <f aca="false">IF($A7="","",N($F7)-N($G7)-N($H7)-N($I7))</f>
        <v>3808</v>
      </c>
      <c r="K7" s="40" t="n">
        <v>880</v>
      </c>
      <c r="L7" s="40" t="n">
        <v>220</v>
      </c>
      <c r="M7" s="48" t="n">
        <f aca="false">IF($A7="","",N($F7)+N($K7)+N($L7))</f>
        <v>5500</v>
      </c>
      <c r="N7" s="36"/>
    </row>
    <row r="8" customFormat="false" ht="15.75" hidden="false" customHeight="true" outlineLevel="0" collapsed="false">
      <c r="A8" s="33" t="s">
        <v>464</v>
      </c>
      <c r="B8" s="42" t="str">
        <f aca="false">IF($A8="","",IFERROR(INDEX(基础资料!$L$6:$L$65,MATCH($A8,基础资料!$K$6:$K$65,0)),""))</f>
        <v>财务部</v>
      </c>
      <c r="C8" s="40" t="n">
        <v>4000</v>
      </c>
      <c r="D8" s="40" t="n">
        <v>0</v>
      </c>
      <c r="E8" s="40" t="n">
        <v>0</v>
      </c>
      <c r="F8" s="48" t="n">
        <f aca="false">IF($A8="","",N($C8)+N($D8)+N($E8))</f>
        <v>4000</v>
      </c>
      <c r="G8" s="40" t="n">
        <v>320</v>
      </c>
      <c r="H8" s="40" t="n">
        <v>200</v>
      </c>
      <c r="I8" s="40" t="n">
        <v>0</v>
      </c>
      <c r="J8" s="48" t="n">
        <f aca="false">IF($A8="","",N($F8)-N($G8)-N($H8)-N($I8))</f>
        <v>3480</v>
      </c>
      <c r="K8" s="40" t="n">
        <v>800</v>
      </c>
      <c r="L8" s="40" t="n">
        <v>200</v>
      </c>
      <c r="M8" s="48" t="n">
        <f aca="false">IF($A8="","",N($F8)+N($K8)+N($L8))</f>
        <v>5000</v>
      </c>
      <c r="N8" s="36"/>
    </row>
    <row r="9" customFormat="false" ht="15.75" hidden="false" customHeight="true" outlineLevel="0" collapsed="false">
      <c r="A9" s="33"/>
      <c r="B9" s="42" t="str">
        <f aca="false">IF($A9="","",IFERROR(INDEX(基础资料!$L$6:$L$65,MATCH($A9,基础资料!$K$6:$K$65,0)),""))</f>
        <v/>
      </c>
      <c r="C9" s="40"/>
      <c r="D9" s="40"/>
      <c r="E9" s="40"/>
      <c r="F9" s="48" t="str">
        <f aca="false">IF($A9="","",N($C9)+N($D9)+N($E9))</f>
        <v/>
      </c>
      <c r="G9" s="40"/>
      <c r="H9" s="40"/>
      <c r="I9" s="40"/>
      <c r="J9" s="48" t="str">
        <f aca="false">IF($A9="","",N($F9)-N($G9)-N($H9)-N($I9))</f>
        <v/>
      </c>
      <c r="K9" s="40"/>
      <c r="L9" s="40"/>
      <c r="M9" s="48" t="str">
        <f aca="false">IF($A9="","",N($F9)+N($K9)+N($L9))</f>
        <v/>
      </c>
      <c r="N9" s="36"/>
    </row>
    <row r="10" customFormat="false" ht="15.75" hidden="false" customHeight="true" outlineLevel="0" collapsed="false">
      <c r="A10" s="33"/>
      <c r="B10" s="42" t="str">
        <f aca="false">IF($A10="","",IFERROR(INDEX(基础资料!$L$6:$L$65,MATCH($A10,基础资料!$K$6:$K$65,0)),""))</f>
        <v/>
      </c>
      <c r="C10" s="40"/>
      <c r="D10" s="40"/>
      <c r="E10" s="40"/>
      <c r="F10" s="48" t="str">
        <f aca="false">IF($A10="","",N($C10)+N($D10)+N($E10))</f>
        <v/>
      </c>
      <c r="G10" s="40"/>
      <c r="H10" s="40"/>
      <c r="I10" s="40"/>
      <c r="J10" s="48" t="str">
        <f aca="false">IF($A10="","",N($F10)-N($G10)-N($H10)-N($I10))</f>
        <v/>
      </c>
      <c r="K10" s="40"/>
      <c r="L10" s="40"/>
      <c r="M10" s="48" t="str">
        <f aca="false">IF($A10="","",N($F10)+N($K10)+N($L10))</f>
        <v/>
      </c>
      <c r="N10" s="36"/>
    </row>
    <row r="11" customFormat="false" ht="15.75" hidden="false" customHeight="true" outlineLevel="0" collapsed="false">
      <c r="A11" s="33"/>
      <c r="B11" s="42" t="str">
        <f aca="false">IF($A11="","",IFERROR(INDEX(基础资料!$L$6:$L$65,MATCH($A11,基础资料!$K$6:$K$65,0)),""))</f>
        <v/>
      </c>
      <c r="C11" s="40"/>
      <c r="D11" s="40"/>
      <c r="E11" s="40"/>
      <c r="F11" s="48" t="str">
        <f aca="false">IF($A11="","",N($C11)+N($D11)+N($E11))</f>
        <v/>
      </c>
      <c r="G11" s="40"/>
      <c r="H11" s="40"/>
      <c r="I11" s="40"/>
      <c r="J11" s="48" t="str">
        <f aca="false">IF($A11="","",N($F11)-N($G11)-N($H11)-N($I11))</f>
        <v/>
      </c>
      <c r="K11" s="40"/>
      <c r="L11" s="40"/>
      <c r="M11" s="48" t="str">
        <f aca="false">IF($A11="","",N($F11)+N($K11)+N($L11))</f>
        <v/>
      </c>
      <c r="N11" s="36"/>
    </row>
    <row r="12" customFormat="false" ht="15.75" hidden="false" customHeight="true" outlineLevel="0" collapsed="false">
      <c r="A12" s="33"/>
      <c r="B12" s="42" t="str">
        <f aca="false">IF($A12="","",IFERROR(INDEX(基础资料!$L$6:$L$65,MATCH($A12,基础资料!$K$6:$K$65,0)),""))</f>
        <v/>
      </c>
      <c r="C12" s="40"/>
      <c r="D12" s="40"/>
      <c r="E12" s="40"/>
      <c r="F12" s="48" t="str">
        <f aca="false">IF($A12="","",N($C12)+N($D12)+N($E12))</f>
        <v/>
      </c>
      <c r="G12" s="40"/>
      <c r="H12" s="40"/>
      <c r="I12" s="40"/>
      <c r="J12" s="48" t="str">
        <f aca="false">IF($A12="","",N($F12)-N($G12)-N($H12)-N($I12))</f>
        <v/>
      </c>
      <c r="K12" s="40"/>
      <c r="L12" s="40"/>
      <c r="M12" s="48" t="str">
        <f aca="false">IF($A12="","",N($F12)+N($K12)+N($L12))</f>
        <v/>
      </c>
      <c r="N12" s="36"/>
    </row>
    <row r="13" customFormat="false" ht="15.75" hidden="false" customHeight="true" outlineLevel="0" collapsed="false">
      <c r="A13" s="33"/>
      <c r="B13" s="42" t="str">
        <f aca="false">IF($A13="","",IFERROR(INDEX(基础资料!$L$6:$L$65,MATCH($A13,基础资料!$K$6:$K$65,0)),""))</f>
        <v/>
      </c>
      <c r="C13" s="40"/>
      <c r="D13" s="40"/>
      <c r="E13" s="40"/>
      <c r="F13" s="48" t="str">
        <f aca="false">IF($A13="","",N($C13)+N($D13)+N($E13))</f>
        <v/>
      </c>
      <c r="G13" s="40"/>
      <c r="H13" s="40"/>
      <c r="I13" s="40"/>
      <c r="J13" s="48" t="str">
        <f aca="false">IF($A13="","",N($F13)-N($G13)-N($H13)-N($I13))</f>
        <v/>
      </c>
      <c r="K13" s="40"/>
      <c r="L13" s="40"/>
      <c r="M13" s="48" t="str">
        <f aca="false">IF($A13="","",N($F13)+N($K13)+N($L13))</f>
        <v/>
      </c>
      <c r="N13" s="36"/>
    </row>
    <row r="14" customFormat="false" ht="15.75" hidden="false" customHeight="true" outlineLevel="0" collapsed="false">
      <c r="A14" s="33"/>
      <c r="B14" s="42" t="str">
        <f aca="false">IF($A14="","",IFERROR(INDEX(基础资料!$L$6:$L$65,MATCH($A14,基础资料!$K$6:$K$65,0)),""))</f>
        <v/>
      </c>
      <c r="C14" s="40"/>
      <c r="D14" s="40"/>
      <c r="E14" s="40"/>
      <c r="F14" s="48" t="str">
        <f aca="false">IF($A14="","",N($C14)+N($D14)+N($E14))</f>
        <v/>
      </c>
      <c r="G14" s="40"/>
      <c r="H14" s="40"/>
      <c r="I14" s="40"/>
      <c r="J14" s="48" t="str">
        <f aca="false">IF($A14="","",N($F14)-N($G14)-N($H14)-N($I14))</f>
        <v/>
      </c>
      <c r="K14" s="40"/>
      <c r="L14" s="40"/>
      <c r="M14" s="48" t="str">
        <f aca="false">IF($A14="","",N($F14)+N($K14)+N($L14))</f>
        <v/>
      </c>
      <c r="N14" s="36"/>
    </row>
    <row r="15" customFormat="false" ht="15.75" hidden="false" customHeight="true" outlineLevel="0" collapsed="false">
      <c r="A15" s="33"/>
      <c r="B15" s="42" t="str">
        <f aca="false">IF($A15="","",IFERROR(INDEX(基础资料!$L$6:$L$65,MATCH($A15,基础资料!$K$6:$K$65,0)),""))</f>
        <v/>
      </c>
      <c r="C15" s="40"/>
      <c r="D15" s="40"/>
      <c r="E15" s="40"/>
      <c r="F15" s="48" t="str">
        <f aca="false">IF($A15="","",N($C15)+N($D15)+N($E15))</f>
        <v/>
      </c>
      <c r="G15" s="40"/>
      <c r="H15" s="40"/>
      <c r="I15" s="40"/>
      <c r="J15" s="48" t="str">
        <f aca="false">IF($A15="","",N($F15)-N($G15)-N($H15)-N($I15))</f>
        <v/>
      </c>
      <c r="K15" s="40"/>
      <c r="L15" s="40"/>
      <c r="M15" s="48" t="str">
        <f aca="false">IF($A15="","",N($F15)+N($K15)+N($L15))</f>
        <v/>
      </c>
      <c r="N15" s="36"/>
    </row>
    <row r="16" customFormat="false" ht="15.75" hidden="false" customHeight="true" outlineLevel="0" collapsed="false">
      <c r="A16" s="33"/>
      <c r="B16" s="42" t="str">
        <f aca="false">IF($A16="","",IFERROR(INDEX(基础资料!$L$6:$L$65,MATCH($A16,基础资料!$K$6:$K$65,0)),""))</f>
        <v/>
      </c>
      <c r="C16" s="40"/>
      <c r="D16" s="40"/>
      <c r="E16" s="40"/>
      <c r="F16" s="48" t="str">
        <f aca="false">IF($A16="","",N($C16)+N($D16)+N($E16))</f>
        <v/>
      </c>
      <c r="G16" s="40"/>
      <c r="H16" s="40"/>
      <c r="I16" s="40"/>
      <c r="J16" s="48" t="str">
        <f aca="false">IF($A16="","",N($F16)-N($G16)-N($H16)-N($I16))</f>
        <v/>
      </c>
      <c r="K16" s="40"/>
      <c r="L16" s="40"/>
      <c r="M16" s="48" t="str">
        <f aca="false">IF($A16="","",N($F16)+N($K16)+N($L16))</f>
        <v/>
      </c>
      <c r="N16" s="36"/>
    </row>
    <row r="17" customFormat="false" ht="15.75" hidden="false" customHeight="true" outlineLevel="0" collapsed="false">
      <c r="A17" s="33"/>
      <c r="B17" s="42" t="str">
        <f aca="false">IF($A17="","",IFERROR(INDEX(基础资料!$L$6:$L$65,MATCH($A17,基础资料!$K$6:$K$65,0)),""))</f>
        <v/>
      </c>
      <c r="C17" s="40"/>
      <c r="D17" s="40"/>
      <c r="E17" s="40"/>
      <c r="F17" s="48" t="str">
        <f aca="false">IF($A17="","",N($C17)+N($D17)+N($E17))</f>
        <v/>
      </c>
      <c r="G17" s="40"/>
      <c r="H17" s="40"/>
      <c r="I17" s="40"/>
      <c r="J17" s="48" t="str">
        <f aca="false">IF($A17="","",N($F17)-N($G17)-N($H17)-N($I17))</f>
        <v/>
      </c>
      <c r="K17" s="40"/>
      <c r="L17" s="40"/>
      <c r="M17" s="48" t="str">
        <f aca="false">IF($A17="","",N($F17)+N($K17)+N($L17))</f>
        <v/>
      </c>
      <c r="N17" s="36"/>
    </row>
    <row r="18" customFormat="false" ht="15.75" hidden="false" customHeight="true" outlineLevel="0" collapsed="false">
      <c r="A18" s="33"/>
      <c r="B18" s="42" t="str">
        <f aca="false">IF($A18="","",IFERROR(INDEX(基础资料!$L$6:$L$65,MATCH($A18,基础资料!$K$6:$K$65,0)),""))</f>
        <v/>
      </c>
      <c r="C18" s="40"/>
      <c r="D18" s="40"/>
      <c r="E18" s="40"/>
      <c r="F18" s="48" t="str">
        <f aca="false">IF($A18="","",N($C18)+N($D18)+N($E18))</f>
        <v/>
      </c>
      <c r="G18" s="40"/>
      <c r="H18" s="40"/>
      <c r="I18" s="40"/>
      <c r="J18" s="48" t="str">
        <f aca="false">IF($A18="","",N($F18)-N($G18)-N($H18)-N($I18))</f>
        <v/>
      </c>
      <c r="K18" s="40"/>
      <c r="L18" s="40"/>
      <c r="M18" s="48" t="str">
        <f aca="false">IF($A18="","",N($F18)+N($K18)+N($L18))</f>
        <v/>
      </c>
      <c r="N18" s="36"/>
    </row>
    <row r="19" customFormat="false" ht="15.75" hidden="false" customHeight="true" outlineLevel="0" collapsed="false">
      <c r="A19" s="33"/>
      <c r="B19" s="42" t="str">
        <f aca="false">IF($A19="","",IFERROR(INDEX(基础资料!$L$6:$L$65,MATCH($A19,基础资料!$K$6:$K$65,0)),""))</f>
        <v/>
      </c>
      <c r="C19" s="40"/>
      <c r="D19" s="40"/>
      <c r="E19" s="40"/>
      <c r="F19" s="48" t="str">
        <f aca="false">IF($A19="","",N($C19)+N($D19)+N($E19))</f>
        <v/>
      </c>
      <c r="G19" s="40"/>
      <c r="H19" s="40"/>
      <c r="I19" s="40"/>
      <c r="J19" s="48" t="str">
        <f aca="false">IF($A19="","",N($F19)-N($G19)-N($H19)-N($I19))</f>
        <v/>
      </c>
      <c r="K19" s="40"/>
      <c r="L19" s="40"/>
      <c r="M19" s="48" t="str">
        <f aca="false">IF($A19="","",N($F19)+N($K19)+N($L19))</f>
        <v/>
      </c>
      <c r="N19" s="36"/>
    </row>
    <row r="20" customFormat="false" ht="15.75" hidden="false" customHeight="true" outlineLevel="0" collapsed="false">
      <c r="A20" s="33"/>
      <c r="B20" s="42" t="str">
        <f aca="false">IF($A20="","",IFERROR(INDEX(基础资料!$L$6:$L$65,MATCH($A20,基础资料!$K$6:$K$65,0)),""))</f>
        <v/>
      </c>
      <c r="C20" s="40"/>
      <c r="D20" s="40"/>
      <c r="E20" s="40"/>
      <c r="F20" s="48" t="str">
        <f aca="false">IF($A20="","",N($C20)+N($D20)+N($E20))</f>
        <v/>
      </c>
      <c r="G20" s="40"/>
      <c r="H20" s="40"/>
      <c r="I20" s="40"/>
      <c r="J20" s="48" t="str">
        <f aca="false">IF($A20="","",N($F20)-N($G20)-N($H20)-N($I20))</f>
        <v/>
      </c>
      <c r="K20" s="40"/>
      <c r="L20" s="40"/>
      <c r="M20" s="48" t="str">
        <f aca="false">IF($A20="","",N($F20)+N($K20)+N($L20))</f>
        <v/>
      </c>
      <c r="N20" s="36"/>
    </row>
    <row r="21" customFormat="false" ht="15.75" hidden="false" customHeight="true" outlineLevel="0" collapsed="false">
      <c r="A21" s="33"/>
      <c r="B21" s="42" t="str">
        <f aca="false">IF($A21="","",IFERROR(INDEX(基础资料!$L$6:$L$65,MATCH($A21,基础资料!$K$6:$K$65,0)),""))</f>
        <v/>
      </c>
      <c r="C21" s="40"/>
      <c r="D21" s="40"/>
      <c r="E21" s="40"/>
      <c r="F21" s="48" t="str">
        <f aca="false">IF($A21="","",N($C21)+N($D21)+N($E21))</f>
        <v/>
      </c>
      <c r="G21" s="40"/>
      <c r="H21" s="40"/>
      <c r="I21" s="40"/>
      <c r="J21" s="48" t="str">
        <f aca="false">IF($A21="","",N($F21)-N($G21)-N($H21)-N($I21))</f>
        <v/>
      </c>
      <c r="K21" s="40"/>
      <c r="L21" s="40"/>
      <c r="M21" s="48" t="str">
        <f aca="false">IF($A21="","",N($F21)+N($K21)+N($L21))</f>
        <v/>
      </c>
      <c r="N21" s="36"/>
    </row>
    <row r="22" customFormat="false" ht="15.75" hidden="false" customHeight="true" outlineLevel="0" collapsed="false">
      <c r="A22" s="33"/>
      <c r="B22" s="42" t="str">
        <f aca="false">IF($A22="","",IFERROR(INDEX(基础资料!$L$6:$L$65,MATCH($A22,基础资料!$K$6:$K$65,0)),""))</f>
        <v/>
      </c>
      <c r="C22" s="40"/>
      <c r="D22" s="40"/>
      <c r="E22" s="40"/>
      <c r="F22" s="48" t="str">
        <f aca="false">IF($A22="","",N($C22)+N($D22)+N($E22))</f>
        <v/>
      </c>
      <c r="G22" s="40"/>
      <c r="H22" s="40"/>
      <c r="I22" s="40"/>
      <c r="J22" s="48" t="str">
        <f aca="false">IF($A22="","",N($F22)-N($G22)-N($H22)-N($I22))</f>
        <v/>
      </c>
      <c r="K22" s="40"/>
      <c r="L22" s="40"/>
      <c r="M22" s="48" t="str">
        <f aca="false">IF($A22="","",N($F22)+N($K22)+N($L22))</f>
        <v/>
      </c>
      <c r="N22" s="36"/>
    </row>
    <row r="23" customFormat="false" ht="15.75" hidden="false" customHeight="true" outlineLevel="0" collapsed="false">
      <c r="A23" s="33"/>
      <c r="B23" s="42" t="str">
        <f aca="false">IF($A23="","",IFERROR(INDEX(基础资料!$L$6:$L$65,MATCH($A23,基础资料!$K$6:$K$65,0)),""))</f>
        <v/>
      </c>
      <c r="C23" s="40"/>
      <c r="D23" s="40"/>
      <c r="E23" s="40"/>
      <c r="F23" s="48" t="str">
        <f aca="false">IF($A23="","",N($C23)+N($D23)+N($E23))</f>
        <v/>
      </c>
      <c r="G23" s="40"/>
      <c r="H23" s="40"/>
      <c r="I23" s="40"/>
      <c r="J23" s="48" t="str">
        <f aca="false">IF($A23="","",N($F23)-N($G23)-N($H23)-N($I23))</f>
        <v/>
      </c>
      <c r="K23" s="40"/>
      <c r="L23" s="40"/>
      <c r="M23" s="48" t="str">
        <f aca="false">IF($A23="","",N($F23)+N($K23)+N($L23))</f>
        <v/>
      </c>
      <c r="N23" s="36"/>
    </row>
    <row r="24" customFormat="false" ht="15.75" hidden="false" customHeight="true" outlineLevel="0" collapsed="false">
      <c r="A24" s="33"/>
      <c r="B24" s="42" t="str">
        <f aca="false">IF($A24="","",IFERROR(INDEX(基础资料!$L$6:$L$65,MATCH($A24,基础资料!$K$6:$K$65,0)),""))</f>
        <v/>
      </c>
      <c r="C24" s="40"/>
      <c r="D24" s="40"/>
      <c r="E24" s="40"/>
      <c r="F24" s="48" t="str">
        <f aca="false">IF($A24="","",N($C24)+N($D24)+N($E24))</f>
        <v/>
      </c>
      <c r="G24" s="40"/>
      <c r="H24" s="40"/>
      <c r="I24" s="40"/>
      <c r="J24" s="48" t="str">
        <f aca="false">IF($A24="","",N($F24)-N($G24)-N($H24)-N($I24))</f>
        <v/>
      </c>
      <c r="K24" s="40"/>
      <c r="L24" s="40"/>
      <c r="M24" s="48" t="str">
        <f aca="false">IF($A24="","",N($F24)+N($K24)+N($L24))</f>
        <v/>
      </c>
      <c r="N24" s="36"/>
    </row>
    <row r="25" customFormat="false" ht="15.75" hidden="false" customHeight="true" outlineLevel="0" collapsed="false">
      <c r="A25" s="33"/>
      <c r="B25" s="42" t="str">
        <f aca="false">IF($A25="","",IFERROR(INDEX(基础资料!$L$6:$L$65,MATCH($A25,基础资料!$K$6:$K$65,0)),""))</f>
        <v/>
      </c>
      <c r="C25" s="40"/>
      <c r="D25" s="40"/>
      <c r="E25" s="40"/>
      <c r="F25" s="48" t="str">
        <f aca="false">IF($A25="","",N($C25)+N($D25)+N($E25))</f>
        <v/>
      </c>
      <c r="G25" s="40"/>
      <c r="H25" s="40"/>
      <c r="I25" s="40"/>
      <c r="J25" s="48" t="str">
        <f aca="false">IF($A25="","",N($F25)-N($G25)-N($H25)-N($I25))</f>
        <v/>
      </c>
      <c r="K25" s="40"/>
      <c r="L25" s="40"/>
      <c r="M25" s="48" t="str">
        <f aca="false">IF($A25="","",N($F25)+N($K25)+N($L25))</f>
        <v/>
      </c>
      <c r="N25" s="36"/>
    </row>
    <row r="26" customFormat="false" ht="15.75" hidden="false" customHeight="true" outlineLevel="0" collapsed="false">
      <c r="A26" s="33"/>
      <c r="B26" s="42" t="str">
        <f aca="false">IF($A26="","",IFERROR(INDEX(基础资料!$L$6:$L$65,MATCH($A26,基础资料!$K$6:$K$65,0)),""))</f>
        <v/>
      </c>
      <c r="C26" s="40"/>
      <c r="D26" s="40"/>
      <c r="E26" s="40"/>
      <c r="F26" s="48" t="str">
        <f aca="false">IF($A26="","",N($C26)+N($D26)+N($E26))</f>
        <v/>
      </c>
      <c r="G26" s="40"/>
      <c r="H26" s="40"/>
      <c r="I26" s="40"/>
      <c r="J26" s="48" t="str">
        <f aca="false">IF($A26="","",N($F26)-N($G26)-N($H26)-N($I26))</f>
        <v/>
      </c>
      <c r="K26" s="40"/>
      <c r="L26" s="40"/>
      <c r="M26" s="48" t="str">
        <f aca="false">IF($A26="","",N($F26)+N($K26)+N($L26))</f>
        <v/>
      </c>
      <c r="N26" s="36"/>
    </row>
    <row r="27" customFormat="false" ht="15.75" hidden="false" customHeight="true" outlineLevel="0" collapsed="false">
      <c r="A27" s="33"/>
      <c r="B27" s="42" t="str">
        <f aca="false">IF($A27="","",IFERROR(INDEX(基础资料!$L$6:$L$65,MATCH($A27,基础资料!$K$6:$K$65,0)),""))</f>
        <v/>
      </c>
      <c r="C27" s="40"/>
      <c r="D27" s="40"/>
      <c r="E27" s="40"/>
      <c r="F27" s="48" t="str">
        <f aca="false">IF($A27="","",N($C27)+N($D27)+N($E27))</f>
        <v/>
      </c>
      <c r="G27" s="40"/>
      <c r="H27" s="40"/>
      <c r="I27" s="40"/>
      <c r="J27" s="48" t="str">
        <f aca="false">IF($A27="","",N($F27)-N($G27)-N($H27)-N($I27))</f>
        <v/>
      </c>
      <c r="K27" s="40"/>
      <c r="L27" s="40"/>
      <c r="M27" s="48" t="str">
        <f aca="false">IF($A27="","",N($F27)+N($K27)+N($L27))</f>
        <v/>
      </c>
      <c r="N27" s="36"/>
    </row>
    <row r="28" customFormat="false" ht="15.75" hidden="false" customHeight="true" outlineLevel="0" collapsed="false">
      <c r="A28" s="33"/>
      <c r="B28" s="42" t="str">
        <f aca="false">IF($A28="","",IFERROR(INDEX(基础资料!$L$6:$L$65,MATCH($A28,基础资料!$K$6:$K$65,0)),""))</f>
        <v/>
      </c>
      <c r="C28" s="40"/>
      <c r="D28" s="40"/>
      <c r="E28" s="40"/>
      <c r="F28" s="48" t="str">
        <f aca="false">IF($A28="","",N($C28)+N($D28)+N($E28))</f>
        <v/>
      </c>
      <c r="G28" s="40"/>
      <c r="H28" s="40"/>
      <c r="I28" s="40"/>
      <c r="J28" s="48" t="str">
        <f aca="false">IF($A28="","",N($F28)-N($G28)-N($H28)-N($I28))</f>
        <v/>
      </c>
      <c r="K28" s="40"/>
      <c r="L28" s="40"/>
      <c r="M28" s="48" t="str">
        <f aca="false">IF($A28="","",N($F28)+N($K28)+N($L28))</f>
        <v/>
      </c>
      <c r="N28" s="36"/>
    </row>
    <row r="29" customFormat="false" ht="15.75" hidden="false" customHeight="true" outlineLevel="0" collapsed="false">
      <c r="A29" s="33"/>
      <c r="B29" s="42" t="str">
        <f aca="false">IF($A29="","",IFERROR(INDEX(基础资料!$L$6:$L$65,MATCH($A29,基础资料!$K$6:$K$65,0)),""))</f>
        <v/>
      </c>
      <c r="C29" s="40"/>
      <c r="D29" s="40"/>
      <c r="E29" s="40"/>
      <c r="F29" s="48" t="str">
        <f aca="false">IF($A29="","",N($C29)+N($D29)+N($E29))</f>
        <v/>
      </c>
      <c r="G29" s="40"/>
      <c r="H29" s="40"/>
      <c r="I29" s="40"/>
      <c r="J29" s="48" t="str">
        <f aca="false">IF($A29="","",N($F29)-N($G29)-N($H29)-N($I29))</f>
        <v/>
      </c>
      <c r="K29" s="40"/>
      <c r="L29" s="40"/>
      <c r="M29" s="48" t="str">
        <f aca="false">IF($A29="","",N($F29)+N($K29)+N($L29))</f>
        <v/>
      </c>
      <c r="N29" s="36"/>
    </row>
    <row r="30" customFormat="false" ht="15.75" hidden="false" customHeight="true" outlineLevel="0" collapsed="false">
      <c r="A30" s="33"/>
      <c r="B30" s="42" t="str">
        <f aca="false">IF($A30="","",IFERROR(INDEX(基础资料!$L$6:$L$65,MATCH($A30,基础资料!$K$6:$K$65,0)),""))</f>
        <v/>
      </c>
      <c r="C30" s="40"/>
      <c r="D30" s="40"/>
      <c r="E30" s="40"/>
      <c r="F30" s="48" t="str">
        <f aca="false">IF($A30="","",N($C30)+N($D30)+N($E30))</f>
        <v/>
      </c>
      <c r="G30" s="40"/>
      <c r="H30" s="40"/>
      <c r="I30" s="40"/>
      <c r="J30" s="48" t="str">
        <f aca="false">IF($A30="","",N($F30)-N($G30)-N($H30)-N($I30))</f>
        <v/>
      </c>
      <c r="K30" s="40"/>
      <c r="L30" s="40"/>
      <c r="M30" s="48" t="str">
        <f aca="false">IF($A30="","",N($F30)+N($K30)+N($L30))</f>
        <v/>
      </c>
      <c r="N30" s="36"/>
    </row>
    <row r="31" customFormat="false" ht="15.75" hidden="false" customHeight="true" outlineLevel="0" collapsed="false">
      <c r="A31" s="33"/>
      <c r="B31" s="42" t="str">
        <f aca="false">IF($A31="","",IFERROR(INDEX(基础资料!$L$6:$L$65,MATCH($A31,基础资料!$K$6:$K$65,0)),""))</f>
        <v/>
      </c>
      <c r="C31" s="40"/>
      <c r="D31" s="40"/>
      <c r="E31" s="40"/>
      <c r="F31" s="48" t="str">
        <f aca="false">IF($A31="","",N($C31)+N($D31)+N($E31))</f>
        <v/>
      </c>
      <c r="G31" s="40"/>
      <c r="H31" s="40"/>
      <c r="I31" s="40"/>
      <c r="J31" s="48" t="str">
        <f aca="false">IF($A31="","",N($F31)-N($G31)-N($H31)-N($I31))</f>
        <v/>
      </c>
      <c r="K31" s="40"/>
      <c r="L31" s="40"/>
      <c r="M31" s="48" t="str">
        <f aca="false">IF($A31="","",N($F31)+N($K31)+N($L31))</f>
        <v/>
      </c>
      <c r="N31" s="36"/>
    </row>
    <row r="32" customFormat="false" ht="15.75" hidden="false" customHeight="true" outlineLevel="0" collapsed="false">
      <c r="A32" s="33"/>
      <c r="B32" s="42" t="str">
        <f aca="false">IF($A32="","",IFERROR(INDEX(基础资料!$L$6:$L$65,MATCH($A32,基础资料!$K$6:$K$65,0)),""))</f>
        <v/>
      </c>
      <c r="C32" s="40"/>
      <c r="D32" s="40"/>
      <c r="E32" s="40"/>
      <c r="F32" s="48" t="str">
        <f aca="false">IF($A32="","",N($C32)+N($D32)+N($E32))</f>
        <v/>
      </c>
      <c r="G32" s="40"/>
      <c r="H32" s="40"/>
      <c r="I32" s="40"/>
      <c r="J32" s="48" t="str">
        <f aca="false">IF($A32="","",N($F32)-N($G32)-N($H32)-N($I32))</f>
        <v/>
      </c>
      <c r="K32" s="40"/>
      <c r="L32" s="40"/>
      <c r="M32" s="48" t="str">
        <f aca="false">IF($A32="","",N($F32)+N($K32)+N($L32))</f>
        <v/>
      </c>
      <c r="N32" s="36"/>
    </row>
    <row r="33" customFormat="false" ht="15.75" hidden="false" customHeight="true" outlineLevel="0" collapsed="false">
      <c r="A33" s="33"/>
      <c r="B33" s="42" t="str">
        <f aca="false">IF($A33="","",IFERROR(INDEX(基础资料!$L$6:$L$65,MATCH($A33,基础资料!$K$6:$K$65,0)),""))</f>
        <v/>
      </c>
      <c r="C33" s="40"/>
      <c r="D33" s="40"/>
      <c r="E33" s="40"/>
      <c r="F33" s="48" t="str">
        <f aca="false">IF($A33="","",N($C33)+N($D33)+N($E33))</f>
        <v/>
      </c>
      <c r="G33" s="40"/>
      <c r="H33" s="40"/>
      <c r="I33" s="40"/>
      <c r="J33" s="48" t="str">
        <f aca="false">IF($A33="","",N($F33)-N($G33)-N($H33)-N($I33))</f>
        <v/>
      </c>
      <c r="K33" s="40"/>
      <c r="L33" s="40"/>
      <c r="M33" s="48" t="str">
        <f aca="false">IF($A33="","",N($F33)+N($K33)+N($L33))</f>
        <v/>
      </c>
      <c r="N33" s="36"/>
    </row>
    <row r="34" customFormat="false" ht="15.75" hidden="false" customHeight="true" outlineLevel="0" collapsed="false">
      <c r="A34" s="33"/>
      <c r="B34" s="42" t="str">
        <f aca="false">IF($A34="","",IFERROR(INDEX(基础资料!$L$6:$L$65,MATCH($A34,基础资料!$K$6:$K$65,0)),""))</f>
        <v/>
      </c>
      <c r="C34" s="40"/>
      <c r="D34" s="40"/>
      <c r="E34" s="40"/>
      <c r="F34" s="48" t="str">
        <f aca="false">IF($A34="","",N($C34)+N($D34)+N($E34))</f>
        <v/>
      </c>
      <c r="G34" s="40"/>
      <c r="H34" s="40"/>
      <c r="I34" s="40"/>
      <c r="J34" s="48" t="str">
        <f aca="false">IF($A34="","",N($F34)-N($G34)-N($H34)-N($I34))</f>
        <v/>
      </c>
      <c r="K34" s="40"/>
      <c r="L34" s="40"/>
      <c r="M34" s="48" t="str">
        <f aca="false">IF($A34="","",N($F34)+N($K34)+N($L34))</f>
        <v/>
      </c>
      <c r="N34" s="36"/>
    </row>
    <row r="35" customFormat="false" ht="15.75" hidden="false" customHeight="true" outlineLevel="0" collapsed="false">
      <c r="A35" s="33"/>
      <c r="B35" s="42" t="str">
        <f aca="false">IF($A35="","",IFERROR(INDEX(基础资料!$L$6:$L$65,MATCH($A35,基础资料!$K$6:$K$65,0)),""))</f>
        <v/>
      </c>
      <c r="C35" s="40"/>
      <c r="D35" s="40"/>
      <c r="E35" s="40"/>
      <c r="F35" s="48" t="str">
        <f aca="false">IF($A35="","",N($C35)+N($D35)+N($E35))</f>
        <v/>
      </c>
      <c r="G35" s="40"/>
      <c r="H35" s="40"/>
      <c r="I35" s="40"/>
      <c r="J35" s="48" t="str">
        <f aca="false">IF($A35="","",N($F35)-N($G35)-N($H35)-N($I35))</f>
        <v/>
      </c>
      <c r="K35" s="40"/>
      <c r="L35" s="40"/>
      <c r="M35" s="48" t="str">
        <f aca="false">IF($A35="","",N($F35)+N($K35)+N($L35))</f>
        <v/>
      </c>
      <c r="N35" s="36"/>
    </row>
    <row r="36" customFormat="false" ht="15.75" hidden="false" customHeight="true" outlineLevel="0" collapsed="false">
      <c r="A36" s="33"/>
      <c r="B36" s="42" t="str">
        <f aca="false">IF($A36="","",IFERROR(INDEX(基础资料!$L$6:$L$65,MATCH($A36,基础资料!$K$6:$K$65,0)),""))</f>
        <v/>
      </c>
      <c r="C36" s="40"/>
      <c r="D36" s="40"/>
      <c r="E36" s="40"/>
      <c r="F36" s="48" t="str">
        <f aca="false">IF($A36="","",N($C36)+N($D36)+N($E36))</f>
        <v/>
      </c>
      <c r="G36" s="40"/>
      <c r="H36" s="40"/>
      <c r="I36" s="40"/>
      <c r="J36" s="48" t="str">
        <f aca="false">IF($A36="","",N($F36)-N($G36)-N($H36)-N($I36))</f>
        <v/>
      </c>
      <c r="K36" s="40"/>
      <c r="L36" s="40"/>
      <c r="M36" s="48" t="str">
        <f aca="false">IF($A36="","",N($F36)+N($K36)+N($L36))</f>
        <v/>
      </c>
      <c r="N36" s="36"/>
    </row>
    <row r="37" customFormat="false" ht="15.75" hidden="false" customHeight="true" outlineLevel="0" collapsed="false">
      <c r="A37" s="33"/>
      <c r="B37" s="42" t="str">
        <f aca="false">IF($A37="","",IFERROR(INDEX(基础资料!$L$6:$L$65,MATCH($A37,基础资料!$K$6:$K$65,0)),""))</f>
        <v/>
      </c>
      <c r="C37" s="40"/>
      <c r="D37" s="40"/>
      <c r="E37" s="40"/>
      <c r="F37" s="48" t="str">
        <f aca="false">IF($A37="","",N($C37)+N($D37)+N($E37))</f>
        <v/>
      </c>
      <c r="G37" s="40"/>
      <c r="H37" s="40"/>
      <c r="I37" s="40"/>
      <c r="J37" s="48" t="str">
        <f aca="false">IF($A37="","",N($F37)-N($G37)-N($H37)-N($I37))</f>
        <v/>
      </c>
      <c r="K37" s="40"/>
      <c r="L37" s="40"/>
      <c r="M37" s="48" t="str">
        <f aca="false">IF($A37="","",N($F37)+N($K37)+N($L37))</f>
        <v/>
      </c>
      <c r="N37" s="36"/>
    </row>
    <row r="38" customFormat="false" ht="15.75" hidden="false" customHeight="true" outlineLevel="0" collapsed="false">
      <c r="A38" s="33"/>
      <c r="B38" s="42" t="str">
        <f aca="false">IF($A38="","",IFERROR(INDEX(基础资料!$L$6:$L$65,MATCH($A38,基础资料!$K$6:$K$65,0)),""))</f>
        <v/>
      </c>
      <c r="C38" s="40"/>
      <c r="D38" s="40"/>
      <c r="E38" s="40"/>
      <c r="F38" s="48" t="str">
        <f aca="false">IF($A38="","",N($C38)+N($D38)+N($E38))</f>
        <v/>
      </c>
      <c r="G38" s="40"/>
      <c r="H38" s="40"/>
      <c r="I38" s="40"/>
      <c r="J38" s="48" t="str">
        <f aca="false">IF($A38="","",N($F38)-N($G38)-N($H38)-N($I38))</f>
        <v/>
      </c>
      <c r="K38" s="40"/>
      <c r="L38" s="40"/>
      <c r="M38" s="48" t="str">
        <f aca="false">IF($A38="","",N($F38)+N($K38)+N($L38))</f>
        <v/>
      </c>
      <c r="N38" s="36"/>
    </row>
    <row r="39" customFormat="false" ht="15.75" hidden="false" customHeight="true" outlineLevel="0" collapsed="false">
      <c r="A39" s="33"/>
      <c r="B39" s="42" t="str">
        <f aca="false">IF($A39="","",IFERROR(INDEX(基础资料!$L$6:$L$65,MATCH($A39,基础资料!$K$6:$K$65,0)),""))</f>
        <v/>
      </c>
      <c r="C39" s="40"/>
      <c r="D39" s="40"/>
      <c r="E39" s="40"/>
      <c r="F39" s="48" t="str">
        <f aca="false">IF($A39="","",N($C39)+N($D39)+N($E39))</f>
        <v/>
      </c>
      <c r="G39" s="40"/>
      <c r="H39" s="40"/>
      <c r="I39" s="40"/>
      <c r="J39" s="48" t="str">
        <f aca="false">IF($A39="","",N($F39)-N($G39)-N($H39)-N($I39))</f>
        <v/>
      </c>
      <c r="K39" s="40"/>
      <c r="L39" s="40"/>
      <c r="M39" s="48" t="str">
        <f aca="false">IF($A39="","",N($F39)+N($K39)+N($L39))</f>
        <v/>
      </c>
      <c r="N39" s="36"/>
    </row>
    <row r="40" customFormat="false" ht="15.75" hidden="false" customHeight="true" outlineLevel="0" collapsed="false">
      <c r="A40" s="33"/>
      <c r="B40" s="42" t="str">
        <f aca="false">IF($A40="","",IFERROR(INDEX(基础资料!$L$6:$L$65,MATCH($A40,基础资料!$K$6:$K$65,0)),""))</f>
        <v/>
      </c>
      <c r="C40" s="40"/>
      <c r="D40" s="40"/>
      <c r="E40" s="40"/>
      <c r="F40" s="48" t="str">
        <f aca="false">IF($A40="","",N($C40)+N($D40)+N($E40))</f>
        <v/>
      </c>
      <c r="G40" s="40"/>
      <c r="H40" s="40"/>
      <c r="I40" s="40"/>
      <c r="J40" s="48" t="str">
        <f aca="false">IF($A40="","",N($F40)-N($G40)-N($H40)-N($I40))</f>
        <v/>
      </c>
      <c r="K40" s="40"/>
      <c r="L40" s="40"/>
      <c r="M40" s="48" t="str">
        <f aca="false">IF($A40="","",N($F40)+N($K40)+N($L40))</f>
        <v/>
      </c>
      <c r="N40" s="36"/>
    </row>
    <row r="41" customFormat="false" ht="15.75" hidden="false" customHeight="true" outlineLevel="0" collapsed="false">
      <c r="A41" s="33"/>
      <c r="B41" s="42" t="str">
        <f aca="false">IF($A41="","",IFERROR(INDEX(基础资料!$L$6:$L$65,MATCH($A41,基础资料!$K$6:$K$65,0)),""))</f>
        <v/>
      </c>
      <c r="C41" s="40"/>
      <c r="D41" s="40"/>
      <c r="E41" s="40"/>
      <c r="F41" s="48" t="str">
        <f aca="false">IF($A41="","",N($C41)+N($D41)+N($E41))</f>
        <v/>
      </c>
      <c r="G41" s="40"/>
      <c r="H41" s="40"/>
      <c r="I41" s="40"/>
      <c r="J41" s="48" t="str">
        <f aca="false">IF($A41="","",N($F41)-N($G41)-N($H41)-N($I41))</f>
        <v/>
      </c>
      <c r="K41" s="40"/>
      <c r="L41" s="40"/>
      <c r="M41" s="48" t="str">
        <f aca="false">IF($A41="","",N($F41)+N($K41)+N($L41))</f>
        <v/>
      </c>
      <c r="N41" s="36"/>
    </row>
    <row r="42" customFormat="false" ht="15.75" hidden="false" customHeight="true" outlineLevel="0" collapsed="false">
      <c r="A42" s="33"/>
      <c r="B42" s="42" t="str">
        <f aca="false">IF($A42="","",IFERROR(INDEX(基础资料!$L$6:$L$65,MATCH($A42,基础资料!$K$6:$K$65,0)),""))</f>
        <v/>
      </c>
      <c r="C42" s="40"/>
      <c r="D42" s="40"/>
      <c r="E42" s="40"/>
      <c r="F42" s="48" t="str">
        <f aca="false">IF($A42="","",N($C42)+N($D42)+N($E42))</f>
        <v/>
      </c>
      <c r="G42" s="40"/>
      <c r="H42" s="40"/>
      <c r="I42" s="40"/>
      <c r="J42" s="48" t="str">
        <f aca="false">IF($A42="","",N($F42)-N($G42)-N($H42)-N($I42))</f>
        <v/>
      </c>
      <c r="K42" s="40"/>
      <c r="L42" s="40"/>
      <c r="M42" s="48" t="str">
        <f aca="false">IF($A42="","",N($F42)+N($K42)+N($L42))</f>
        <v/>
      </c>
      <c r="N42" s="36"/>
    </row>
    <row r="43" customFormat="false" ht="15.75" hidden="false" customHeight="true" outlineLevel="0" collapsed="false">
      <c r="A43" s="33"/>
      <c r="B43" s="42" t="str">
        <f aca="false">IF($A43="","",IFERROR(INDEX(基础资料!$L$6:$L$65,MATCH($A43,基础资料!$K$6:$K$65,0)),""))</f>
        <v/>
      </c>
      <c r="C43" s="40"/>
      <c r="D43" s="40"/>
      <c r="E43" s="40"/>
      <c r="F43" s="48" t="str">
        <f aca="false">IF($A43="","",N($C43)+N($D43)+N($E43))</f>
        <v/>
      </c>
      <c r="G43" s="40"/>
      <c r="H43" s="40"/>
      <c r="I43" s="40"/>
      <c r="J43" s="48" t="str">
        <f aca="false">IF($A43="","",N($F43)-N($G43)-N($H43)-N($I43))</f>
        <v/>
      </c>
      <c r="K43" s="40"/>
      <c r="L43" s="40"/>
      <c r="M43" s="48" t="str">
        <f aca="false">IF($A43="","",N($F43)+N($K43)+N($L43))</f>
        <v/>
      </c>
      <c r="N43" s="36"/>
    </row>
    <row r="44" customFormat="false" ht="15.75" hidden="false" customHeight="true" outlineLevel="0" collapsed="false">
      <c r="A44" s="33"/>
      <c r="B44" s="42" t="str">
        <f aca="false">IF($A44="","",IFERROR(INDEX(基础资料!$L$6:$L$65,MATCH($A44,基础资料!$K$6:$K$65,0)),""))</f>
        <v/>
      </c>
      <c r="C44" s="40"/>
      <c r="D44" s="40"/>
      <c r="E44" s="40"/>
      <c r="F44" s="48" t="str">
        <f aca="false">IF($A44="","",N($C44)+N($D44)+N($E44))</f>
        <v/>
      </c>
      <c r="G44" s="40"/>
      <c r="H44" s="40"/>
      <c r="I44" s="40"/>
      <c r="J44" s="48" t="str">
        <f aca="false">IF($A44="","",N($F44)-N($G44)-N($H44)-N($I44))</f>
        <v/>
      </c>
      <c r="K44" s="40"/>
      <c r="L44" s="40"/>
      <c r="M44" s="48" t="str">
        <f aca="false">IF($A44="","",N($F44)+N($K44)+N($L44))</f>
        <v/>
      </c>
      <c r="N44" s="36"/>
    </row>
    <row r="45" customFormat="false" ht="15.75" hidden="false" customHeight="true" outlineLevel="0" collapsed="false">
      <c r="A45" s="33"/>
      <c r="B45" s="42" t="str">
        <f aca="false">IF($A45="","",IFERROR(INDEX(基础资料!$L$6:$L$65,MATCH($A45,基础资料!$K$6:$K$65,0)),""))</f>
        <v/>
      </c>
      <c r="C45" s="40"/>
      <c r="D45" s="40"/>
      <c r="E45" s="40"/>
      <c r="F45" s="48" t="str">
        <f aca="false">IF($A45="","",N($C45)+N($D45)+N($E45))</f>
        <v/>
      </c>
      <c r="G45" s="40"/>
      <c r="H45" s="40"/>
      <c r="I45" s="40"/>
      <c r="J45" s="48" t="str">
        <f aca="false">IF($A45="","",N($F45)-N($G45)-N($H45)-N($I45))</f>
        <v/>
      </c>
      <c r="K45" s="40"/>
      <c r="L45" s="40"/>
      <c r="M45" s="48" t="str">
        <f aca="false">IF($A45="","",N($F45)+N($K45)+N($L45))</f>
        <v/>
      </c>
      <c r="N45" s="36"/>
    </row>
    <row r="46" customFormat="false" ht="15.75" hidden="false" customHeight="true" outlineLevel="0" collapsed="false">
      <c r="A46" s="33"/>
      <c r="B46" s="42" t="str">
        <f aca="false">IF($A46="","",IFERROR(INDEX(基础资料!$L$6:$L$65,MATCH($A46,基础资料!$K$6:$K$65,0)),""))</f>
        <v/>
      </c>
      <c r="C46" s="40"/>
      <c r="D46" s="40"/>
      <c r="E46" s="40"/>
      <c r="F46" s="48" t="str">
        <f aca="false">IF($A46="","",N($C46)+N($D46)+N($E46))</f>
        <v/>
      </c>
      <c r="G46" s="40"/>
      <c r="H46" s="40"/>
      <c r="I46" s="40"/>
      <c r="J46" s="48" t="str">
        <f aca="false">IF($A46="","",N($F46)-N($G46)-N($H46)-N($I46))</f>
        <v/>
      </c>
      <c r="K46" s="40"/>
      <c r="L46" s="40"/>
      <c r="M46" s="48" t="str">
        <f aca="false">IF($A46="","",N($F46)+N($K46)+N($L46))</f>
        <v/>
      </c>
      <c r="N46" s="36"/>
    </row>
    <row r="47" customFormat="false" ht="15.75" hidden="false" customHeight="true" outlineLevel="0" collapsed="false">
      <c r="A47" s="33"/>
      <c r="B47" s="42" t="str">
        <f aca="false">IF($A47="","",IFERROR(INDEX(基础资料!$L$6:$L$65,MATCH($A47,基础资料!$K$6:$K$65,0)),""))</f>
        <v/>
      </c>
      <c r="C47" s="40"/>
      <c r="D47" s="40"/>
      <c r="E47" s="40"/>
      <c r="F47" s="48" t="str">
        <f aca="false">IF($A47="","",N($C47)+N($D47)+N($E47))</f>
        <v/>
      </c>
      <c r="G47" s="40"/>
      <c r="H47" s="40"/>
      <c r="I47" s="40"/>
      <c r="J47" s="48" t="str">
        <f aca="false">IF($A47="","",N($F47)-N($G47)-N($H47)-N($I47))</f>
        <v/>
      </c>
      <c r="K47" s="40"/>
      <c r="L47" s="40"/>
      <c r="M47" s="48" t="str">
        <f aca="false">IF($A47="","",N($F47)+N($K47)+N($L47))</f>
        <v/>
      </c>
      <c r="N47" s="36"/>
    </row>
    <row r="48" customFormat="false" ht="15.75" hidden="false" customHeight="true" outlineLevel="0" collapsed="false">
      <c r="A48" s="33"/>
      <c r="B48" s="42" t="str">
        <f aca="false">IF($A48="","",IFERROR(INDEX(基础资料!$L$6:$L$65,MATCH($A48,基础资料!$K$6:$K$65,0)),""))</f>
        <v/>
      </c>
      <c r="C48" s="40"/>
      <c r="D48" s="40"/>
      <c r="E48" s="40"/>
      <c r="F48" s="48" t="str">
        <f aca="false">IF($A48="","",N($C48)+N($D48)+N($E48))</f>
        <v/>
      </c>
      <c r="G48" s="40"/>
      <c r="H48" s="40"/>
      <c r="I48" s="40"/>
      <c r="J48" s="48" t="str">
        <f aca="false">IF($A48="","",N($F48)-N($G48)-N($H48)-N($I48))</f>
        <v/>
      </c>
      <c r="K48" s="40"/>
      <c r="L48" s="40"/>
      <c r="M48" s="48" t="str">
        <f aca="false">IF($A48="","",N($F48)+N($K48)+N($L48))</f>
        <v/>
      </c>
      <c r="N48" s="36"/>
    </row>
    <row r="49" customFormat="false" ht="15.75" hidden="false" customHeight="true" outlineLevel="0" collapsed="false">
      <c r="A49" s="33"/>
      <c r="B49" s="42" t="str">
        <f aca="false">IF($A49="","",IFERROR(INDEX(基础资料!$L$6:$L$65,MATCH($A49,基础资料!$K$6:$K$65,0)),""))</f>
        <v/>
      </c>
      <c r="C49" s="40"/>
      <c r="D49" s="40"/>
      <c r="E49" s="40"/>
      <c r="F49" s="48" t="str">
        <f aca="false">IF($A49="","",N($C49)+N($D49)+N($E49))</f>
        <v/>
      </c>
      <c r="G49" s="40"/>
      <c r="H49" s="40"/>
      <c r="I49" s="40"/>
      <c r="J49" s="48" t="str">
        <f aca="false">IF($A49="","",N($F49)-N($G49)-N($H49)-N($I49))</f>
        <v/>
      </c>
      <c r="K49" s="40"/>
      <c r="L49" s="40"/>
      <c r="M49" s="48" t="str">
        <f aca="false">IF($A49="","",N($F49)+N($K49)+N($L49))</f>
        <v/>
      </c>
      <c r="N49" s="36"/>
    </row>
    <row r="50" customFormat="false" ht="15.75" hidden="false" customHeight="true" outlineLevel="0" collapsed="false">
      <c r="A50" s="33"/>
      <c r="B50" s="42" t="str">
        <f aca="false">IF($A50="","",IFERROR(INDEX(基础资料!$L$6:$L$65,MATCH($A50,基础资料!$K$6:$K$65,0)),""))</f>
        <v/>
      </c>
      <c r="C50" s="40"/>
      <c r="D50" s="40"/>
      <c r="E50" s="40"/>
      <c r="F50" s="48" t="str">
        <f aca="false">IF($A50="","",N($C50)+N($D50)+N($E50))</f>
        <v/>
      </c>
      <c r="G50" s="40"/>
      <c r="H50" s="40"/>
      <c r="I50" s="40"/>
      <c r="J50" s="48" t="str">
        <f aca="false">IF($A50="","",N($F50)-N($G50)-N($H50)-N($I50))</f>
        <v/>
      </c>
      <c r="K50" s="40"/>
      <c r="L50" s="40"/>
      <c r="M50" s="48" t="str">
        <f aca="false">IF($A50="","",N($F50)+N($K50)+N($L50))</f>
        <v/>
      </c>
      <c r="N50" s="36"/>
    </row>
    <row r="51" customFormat="false" ht="15.75" hidden="false" customHeight="true" outlineLevel="0" collapsed="false">
      <c r="A51" s="33"/>
      <c r="B51" s="42" t="str">
        <f aca="false">IF($A51="","",IFERROR(INDEX(基础资料!$L$6:$L$65,MATCH($A51,基础资料!$K$6:$K$65,0)),""))</f>
        <v/>
      </c>
      <c r="C51" s="40"/>
      <c r="D51" s="40"/>
      <c r="E51" s="40"/>
      <c r="F51" s="48" t="str">
        <f aca="false">IF($A51="","",N($C51)+N($D51)+N($E51))</f>
        <v/>
      </c>
      <c r="G51" s="40"/>
      <c r="H51" s="40"/>
      <c r="I51" s="40"/>
      <c r="J51" s="48" t="str">
        <f aca="false">IF($A51="","",N($F51)-N($G51)-N($H51)-N($I51))</f>
        <v/>
      </c>
      <c r="K51" s="40"/>
      <c r="L51" s="40"/>
      <c r="M51" s="48" t="str">
        <f aca="false">IF($A51="","",N($F51)+N($K51)+N($L51))</f>
        <v/>
      </c>
      <c r="N51" s="36"/>
    </row>
    <row r="52" customFormat="false" ht="15.75" hidden="false" customHeight="true" outlineLevel="0" collapsed="false">
      <c r="A52" s="33"/>
      <c r="B52" s="42" t="str">
        <f aca="false">IF($A52="","",IFERROR(INDEX(基础资料!$L$6:$L$65,MATCH($A52,基础资料!$K$6:$K$65,0)),""))</f>
        <v/>
      </c>
      <c r="C52" s="40"/>
      <c r="D52" s="40"/>
      <c r="E52" s="40"/>
      <c r="F52" s="48" t="str">
        <f aca="false">IF($A52="","",N($C52)+N($D52)+N($E52))</f>
        <v/>
      </c>
      <c r="G52" s="40"/>
      <c r="H52" s="40"/>
      <c r="I52" s="40"/>
      <c r="J52" s="48" t="str">
        <f aca="false">IF($A52="","",N($F52)-N($G52)-N($H52)-N($I52))</f>
        <v/>
      </c>
      <c r="K52" s="40"/>
      <c r="L52" s="40"/>
      <c r="M52" s="48" t="str">
        <f aca="false">IF($A52="","",N($F52)+N($K52)+N($L52))</f>
        <v/>
      </c>
      <c r="N52" s="36"/>
    </row>
    <row r="53" customFormat="false" ht="15.75" hidden="false" customHeight="true" outlineLevel="0" collapsed="false">
      <c r="A53" s="33"/>
      <c r="B53" s="42" t="str">
        <f aca="false">IF($A53="","",IFERROR(INDEX(基础资料!$L$6:$L$65,MATCH($A53,基础资料!$K$6:$K$65,0)),""))</f>
        <v/>
      </c>
      <c r="C53" s="40"/>
      <c r="D53" s="40"/>
      <c r="E53" s="40"/>
      <c r="F53" s="48" t="str">
        <f aca="false">IF($A53="","",N($C53)+N($D53)+N($E53))</f>
        <v/>
      </c>
      <c r="G53" s="40"/>
      <c r="H53" s="40"/>
      <c r="I53" s="40"/>
      <c r="J53" s="48" t="str">
        <f aca="false">IF($A53="","",N($F53)-N($G53)-N($H53)-N($I53))</f>
        <v/>
      </c>
      <c r="K53" s="40"/>
      <c r="L53" s="40"/>
      <c r="M53" s="48" t="str">
        <f aca="false">IF($A53="","",N($F53)+N($K53)+N($L53))</f>
        <v/>
      </c>
      <c r="N53" s="36"/>
    </row>
    <row r="54" customFormat="false" ht="15.75" hidden="false" customHeight="true" outlineLevel="0" collapsed="false">
      <c r="A54" s="33"/>
      <c r="B54" s="42" t="str">
        <f aca="false">IF($A54="","",IFERROR(INDEX(基础资料!$L$6:$L$65,MATCH($A54,基础资料!$K$6:$K$65,0)),""))</f>
        <v/>
      </c>
      <c r="C54" s="40"/>
      <c r="D54" s="40"/>
      <c r="E54" s="40"/>
      <c r="F54" s="48" t="str">
        <f aca="false">IF($A54="","",N($C54)+N($D54)+N($E54))</f>
        <v/>
      </c>
      <c r="G54" s="40"/>
      <c r="H54" s="40"/>
      <c r="I54" s="40"/>
      <c r="J54" s="48" t="str">
        <f aca="false">IF($A54="","",N($F54)-N($G54)-N($H54)-N($I54))</f>
        <v/>
      </c>
      <c r="K54" s="40"/>
      <c r="L54" s="40"/>
      <c r="M54" s="48" t="str">
        <f aca="false">IF($A54="","",N($F54)+N($K54)+N($L54))</f>
        <v/>
      </c>
      <c r="N54" s="36"/>
    </row>
    <row r="55" customFormat="false" ht="15.75" hidden="false" customHeight="true" outlineLevel="0" collapsed="false">
      <c r="A55" s="33"/>
      <c r="B55" s="42" t="str">
        <f aca="false">IF($A55="","",IFERROR(INDEX(基础资料!$L$6:$L$65,MATCH($A55,基础资料!$K$6:$K$65,0)),""))</f>
        <v/>
      </c>
      <c r="C55" s="40"/>
      <c r="D55" s="40"/>
      <c r="E55" s="40"/>
      <c r="F55" s="48" t="str">
        <f aca="false">IF($A55="","",N($C55)+N($D55)+N($E55))</f>
        <v/>
      </c>
      <c r="G55" s="40"/>
      <c r="H55" s="40"/>
      <c r="I55" s="40"/>
      <c r="J55" s="48" t="str">
        <f aca="false">IF($A55="","",N($F55)-N($G55)-N($H55)-N($I55))</f>
        <v/>
      </c>
      <c r="K55" s="40"/>
      <c r="L55" s="40"/>
      <c r="M55" s="48" t="str">
        <f aca="false">IF($A55="","",N($F55)+N($K55)+N($L55))</f>
        <v/>
      </c>
      <c r="N55" s="36"/>
    </row>
    <row r="56" customFormat="false" ht="15.75" hidden="false" customHeight="true" outlineLevel="0" collapsed="false">
      <c r="A56" s="33"/>
      <c r="B56" s="42" t="str">
        <f aca="false">IF($A56="","",IFERROR(INDEX(基础资料!$L$6:$L$65,MATCH($A56,基础资料!$K$6:$K$65,0)),""))</f>
        <v/>
      </c>
      <c r="C56" s="40"/>
      <c r="D56" s="40"/>
      <c r="E56" s="40"/>
      <c r="F56" s="48" t="str">
        <f aca="false">IF($A56="","",N($C56)+N($D56)+N($E56))</f>
        <v/>
      </c>
      <c r="G56" s="40"/>
      <c r="H56" s="40"/>
      <c r="I56" s="40"/>
      <c r="J56" s="48" t="str">
        <f aca="false">IF($A56="","",N($F56)-N($G56)-N($H56)-N($I56))</f>
        <v/>
      </c>
      <c r="K56" s="40"/>
      <c r="L56" s="40"/>
      <c r="M56" s="48" t="str">
        <f aca="false">IF($A56="","",N($F56)+N($K56)+N($L56))</f>
        <v/>
      </c>
      <c r="N56" s="36"/>
    </row>
    <row r="57" customFormat="false" ht="15.75" hidden="false" customHeight="true" outlineLevel="0" collapsed="false">
      <c r="A57" s="33"/>
      <c r="B57" s="42" t="str">
        <f aca="false">IF($A57="","",IFERROR(INDEX(基础资料!$L$6:$L$65,MATCH($A57,基础资料!$K$6:$K$65,0)),""))</f>
        <v/>
      </c>
      <c r="C57" s="40"/>
      <c r="D57" s="40"/>
      <c r="E57" s="40"/>
      <c r="F57" s="48" t="str">
        <f aca="false">IF($A57="","",N($C57)+N($D57)+N($E57))</f>
        <v/>
      </c>
      <c r="G57" s="40"/>
      <c r="H57" s="40"/>
      <c r="I57" s="40"/>
      <c r="J57" s="48" t="str">
        <f aca="false">IF($A57="","",N($F57)-N($G57)-N($H57)-N($I57))</f>
        <v/>
      </c>
      <c r="K57" s="40"/>
      <c r="L57" s="40"/>
      <c r="M57" s="48" t="str">
        <f aca="false">IF($A57="","",N($F57)+N($K57)+N($L57))</f>
        <v/>
      </c>
      <c r="N57" s="36"/>
    </row>
    <row r="58" customFormat="false" ht="15.75" hidden="false" customHeight="true" outlineLevel="0" collapsed="false">
      <c r="A58" s="33"/>
      <c r="B58" s="42" t="str">
        <f aca="false">IF($A58="","",IFERROR(INDEX(基础资料!$L$6:$L$65,MATCH($A58,基础资料!$K$6:$K$65,0)),""))</f>
        <v/>
      </c>
      <c r="C58" s="40"/>
      <c r="D58" s="40"/>
      <c r="E58" s="40"/>
      <c r="F58" s="48" t="str">
        <f aca="false">IF($A58="","",N($C58)+N($D58)+N($E58))</f>
        <v/>
      </c>
      <c r="G58" s="40"/>
      <c r="H58" s="40"/>
      <c r="I58" s="40"/>
      <c r="J58" s="48" t="str">
        <f aca="false">IF($A58="","",N($F58)-N($G58)-N($H58)-N($I58))</f>
        <v/>
      </c>
      <c r="K58" s="40"/>
      <c r="L58" s="40"/>
      <c r="M58" s="48" t="str">
        <f aca="false">IF($A58="","",N($F58)+N($K58)+N($L58))</f>
        <v/>
      </c>
      <c r="N58" s="36"/>
    </row>
    <row r="59" customFormat="false" ht="15.75" hidden="false" customHeight="true" outlineLevel="0" collapsed="false">
      <c r="A59" s="33"/>
      <c r="B59" s="42" t="str">
        <f aca="false">IF($A59="","",IFERROR(INDEX(基础资料!$L$6:$L$65,MATCH($A59,基础资料!$K$6:$K$65,0)),""))</f>
        <v/>
      </c>
      <c r="C59" s="40"/>
      <c r="D59" s="40"/>
      <c r="E59" s="40"/>
      <c r="F59" s="48" t="str">
        <f aca="false">IF($A59="","",N($C59)+N($D59)+N($E59))</f>
        <v/>
      </c>
      <c r="G59" s="40"/>
      <c r="H59" s="40"/>
      <c r="I59" s="40"/>
      <c r="J59" s="48" t="str">
        <f aca="false">IF($A59="","",N($F59)-N($G59)-N($H59)-N($I59))</f>
        <v/>
      </c>
      <c r="K59" s="40"/>
      <c r="L59" s="40"/>
      <c r="M59" s="48" t="str">
        <f aca="false">IF($A59="","",N($F59)+N($K59)+N($L59))</f>
        <v/>
      </c>
      <c r="N59" s="36"/>
    </row>
    <row r="60" customFormat="false" ht="15.75" hidden="false" customHeight="true" outlineLevel="0" collapsed="false">
      <c r="A60" s="33"/>
      <c r="B60" s="42" t="str">
        <f aca="false">IF($A60="","",IFERROR(INDEX(基础资料!$L$6:$L$65,MATCH($A60,基础资料!$K$6:$K$65,0)),""))</f>
        <v/>
      </c>
      <c r="C60" s="40"/>
      <c r="D60" s="40"/>
      <c r="E60" s="40"/>
      <c r="F60" s="48" t="str">
        <f aca="false">IF($A60="","",N($C60)+N($D60)+N($E60))</f>
        <v/>
      </c>
      <c r="G60" s="40"/>
      <c r="H60" s="40"/>
      <c r="I60" s="40"/>
      <c r="J60" s="48" t="str">
        <f aca="false">IF($A60="","",N($F60)-N($G60)-N($H60)-N($I60))</f>
        <v/>
      </c>
      <c r="K60" s="40"/>
      <c r="L60" s="40"/>
      <c r="M60" s="48" t="str">
        <f aca="false">IF($A60="","",N($F60)+N($K60)+N($L60))</f>
        <v/>
      </c>
      <c r="N60" s="36"/>
    </row>
    <row r="61" customFormat="false" ht="15.75" hidden="false" customHeight="true" outlineLevel="0" collapsed="false">
      <c r="A61" s="33"/>
      <c r="B61" s="42" t="str">
        <f aca="false">IF($A61="","",IFERROR(INDEX(基础资料!$L$6:$L$65,MATCH($A61,基础资料!$K$6:$K$65,0)),""))</f>
        <v/>
      </c>
      <c r="C61" s="40"/>
      <c r="D61" s="40"/>
      <c r="E61" s="40"/>
      <c r="F61" s="48" t="str">
        <f aca="false">IF($A61="","",N($C61)+N($D61)+N($E61))</f>
        <v/>
      </c>
      <c r="G61" s="40"/>
      <c r="H61" s="40"/>
      <c r="I61" s="40"/>
      <c r="J61" s="48" t="str">
        <f aca="false">IF($A61="","",N($F61)-N($G61)-N($H61)-N($I61))</f>
        <v/>
      </c>
      <c r="K61" s="40"/>
      <c r="L61" s="40"/>
      <c r="M61" s="48" t="str">
        <f aca="false">IF($A61="","",N($F61)+N($K61)+N($L61))</f>
        <v/>
      </c>
      <c r="N61" s="36"/>
    </row>
    <row r="62" customFormat="false" ht="15.75" hidden="false" customHeight="true" outlineLevel="0" collapsed="false">
      <c r="A62" s="33"/>
      <c r="B62" s="42" t="str">
        <f aca="false">IF($A62="","",IFERROR(INDEX(基础资料!$L$6:$L$65,MATCH($A62,基础资料!$K$6:$K$65,0)),""))</f>
        <v/>
      </c>
      <c r="C62" s="40"/>
      <c r="D62" s="40"/>
      <c r="E62" s="40"/>
      <c r="F62" s="48" t="str">
        <f aca="false">IF($A62="","",N($C62)+N($D62)+N($E62))</f>
        <v/>
      </c>
      <c r="G62" s="40"/>
      <c r="H62" s="40"/>
      <c r="I62" s="40"/>
      <c r="J62" s="48" t="str">
        <f aca="false">IF($A62="","",N($F62)-N($G62)-N($H62)-N($I62))</f>
        <v/>
      </c>
      <c r="K62" s="40"/>
      <c r="L62" s="40"/>
      <c r="M62" s="48" t="str">
        <f aca="false">IF($A62="","",N($F62)+N($K62)+N($L62))</f>
        <v/>
      </c>
      <c r="N62" s="36"/>
    </row>
    <row r="63" customFormat="false" ht="15.75" hidden="false" customHeight="true" outlineLevel="0" collapsed="false">
      <c r="A63" s="33"/>
      <c r="B63" s="42" t="str">
        <f aca="false">IF($A63="","",IFERROR(INDEX(基础资料!$L$6:$L$65,MATCH($A63,基础资料!$K$6:$K$65,0)),""))</f>
        <v/>
      </c>
      <c r="C63" s="40"/>
      <c r="D63" s="40"/>
      <c r="E63" s="40"/>
      <c r="F63" s="48" t="str">
        <f aca="false">IF($A63="","",N($C63)+N($D63)+N($E63))</f>
        <v/>
      </c>
      <c r="G63" s="40"/>
      <c r="H63" s="40"/>
      <c r="I63" s="40"/>
      <c r="J63" s="48" t="str">
        <f aca="false">IF($A63="","",N($F63)-N($G63)-N($H63)-N($I63))</f>
        <v/>
      </c>
      <c r="K63" s="40"/>
      <c r="L63" s="40"/>
      <c r="M63" s="48" t="str">
        <f aca="false">IF($A63="","",N($F63)+N($K63)+N($L63))</f>
        <v/>
      </c>
      <c r="N63" s="36"/>
    </row>
    <row r="64" customFormat="false" ht="15.75" hidden="false" customHeight="true" outlineLevel="0" collapsed="false">
      <c r="A64" s="33"/>
      <c r="B64" s="42" t="str">
        <f aca="false">IF($A64="","",IFERROR(INDEX(基础资料!$L$6:$L$65,MATCH($A64,基础资料!$K$6:$K$65,0)),""))</f>
        <v/>
      </c>
      <c r="C64" s="40"/>
      <c r="D64" s="40"/>
      <c r="E64" s="40"/>
      <c r="F64" s="48" t="str">
        <f aca="false">IF($A64="","",N($C64)+N($D64)+N($E64))</f>
        <v/>
      </c>
      <c r="G64" s="40"/>
      <c r="H64" s="40"/>
      <c r="I64" s="40"/>
      <c r="J64" s="48" t="str">
        <f aca="false">IF($A64="","",N($F64)-N($G64)-N($H64)-N($I64))</f>
        <v/>
      </c>
      <c r="K64" s="40"/>
      <c r="L64" s="40"/>
      <c r="M64" s="48" t="str">
        <f aca="false">IF($A64="","",N($F64)+N($K64)+N($L64))</f>
        <v/>
      </c>
      <c r="N64" s="36"/>
    </row>
    <row r="65" customFormat="false" ht="15.75" hidden="false" customHeight="true" outlineLevel="0" collapsed="false">
      <c r="A65" s="33"/>
      <c r="B65" s="42" t="str">
        <f aca="false">IF($A65="","",IFERROR(INDEX(基础资料!$L$6:$L$65,MATCH($A65,基础资料!$K$6:$K$65,0)),""))</f>
        <v/>
      </c>
      <c r="C65" s="40"/>
      <c r="D65" s="40"/>
      <c r="E65" s="40"/>
      <c r="F65" s="48" t="str">
        <f aca="false">IF($A65="","",N($C65)+N($D65)+N($E65))</f>
        <v/>
      </c>
      <c r="G65" s="40"/>
      <c r="H65" s="40"/>
      <c r="I65" s="40"/>
      <c r="J65" s="48" t="str">
        <f aca="false">IF($A65="","",N($F65)-N($G65)-N($H65)-N($I65))</f>
        <v/>
      </c>
      <c r="K65" s="40"/>
      <c r="L65" s="40"/>
      <c r="M65" s="48" t="str">
        <f aca="false">IF($A65="","",N($F65)+N($K65)+N($L65))</f>
        <v/>
      </c>
      <c r="N65" s="36"/>
    </row>
    <row r="66" customFormat="false" ht="15" hidden="false" customHeight="false" outlineLevel="0" collapsed="false">
      <c r="A66" s="55" t="s">
        <v>593</v>
      </c>
      <c r="B66" s="55"/>
      <c r="C66" s="39" t="n">
        <f aca="false">SUM(C6:C65)</f>
        <v>14400</v>
      </c>
      <c r="D66" s="39" t="n">
        <f aca="false">SUM(D6:D65)</f>
        <v>0</v>
      </c>
      <c r="E66" s="39" t="n">
        <f aca="false">SUM(E6:E65)</f>
        <v>0</v>
      </c>
      <c r="F66" s="39" t="n">
        <f aca="false">SUM(F6:F65)</f>
        <v>14400</v>
      </c>
      <c r="G66" s="39" t="n">
        <f aca="false">SUM(G6:G65)</f>
        <v>1152</v>
      </c>
      <c r="H66" s="39" t="n">
        <f aca="false">SUM(H6:H65)</f>
        <v>720</v>
      </c>
      <c r="I66" s="39" t="n">
        <f aca="false">SUM(I6:I65)</f>
        <v>60</v>
      </c>
      <c r="J66" s="39" t="n">
        <f aca="false">SUM(J6:J65)</f>
        <v>12468</v>
      </c>
      <c r="K66" s="39" t="n">
        <f aca="false">SUM(K6:K65)</f>
        <v>2880</v>
      </c>
      <c r="L66" s="39" t="n">
        <f aca="false">SUM(L6:L65)</f>
        <v>720</v>
      </c>
      <c r="M66" s="39" t="n">
        <f aca="false">SUM(M6:M65)</f>
        <v>18000</v>
      </c>
      <c r="N66" s="55"/>
    </row>
    <row r="68" customFormat="false" ht="15" hidden="false" customHeight="true" outlineLevel="0" collapsed="false">
      <c r="A68" s="6" t="s">
        <v>783</v>
      </c>
      <c r="B68" s="6"/>
      <c r="C68" s="6"/>
      <c r="D68" s="6"/>
      <c r="E68" s="6"/>
      <c r="F68" s="73" t="n">
        <f aca="false">$M$66</f>
        <v>18000</v>
      </c>
      <c r="G68" s="6" t="s">
        <v>784</v>
      </c>
      <c r="H68" s="6"/>
      <c r="I68" s="6"/>
      <c r="J68" s="6"/>
      <c r="K68" s="6"/>
      <c r="L68" s="6"/>
      <c r="M68" s="6"/>
      <c r="N68" s="6"/>
    </row>
    <row r="69" customFormat="false" ht="15" hidden="false" customHeight="true" outlineLevel="0" collapsed="false">
      <c r="A69" s="6" t="s">
        <v>785</v>
      </c>
      <c r="B69" s="6"/>
      <c r="C69" s="6"/>
      <c r="D69" s="6"/>
      <c r="E69" s="6"/>
      <c r="F69" s="73" t="n">
        <f aca="false">$J$66</f>
        <v>12468</v>
      </c>
      <c r="G69" s="6" t="s">
        <v>786</v>
      </c>
      <c r="H69" s="6"/>
      <c r="I69" s="6"/>
      <c r="J69" s="6"/>
      <c r="K69" s="6"/>
      <c r="L69" s="6"/>
      <c r="M69" s="6"/>
      <c r="N69" s="6"/>
    </row>
    <row r="71" customFormat="false" ht="95.5" hidden="false" customHeight="false" outlineLevel="0" collapsed="false">
      <c r="A71" s="37" t="s">
        <v>403</v>
      </c>
    </row>
  </sheetData>
  <mergeCells count="8">
    <mergeCell ref="A1:N1"/>
    <mergeCell ref="A2:N2"/>
    <mergeCell ref="A4:I4"/>
    <mergeCell ref="J4:N4"/>
    <mergeCell ref="A68:E68"/>
    <mergeCell ref="G68:N68"/>
    <mergeCell ref="A69:E69"/>
    <mergeCell ref="G69:N69"/>
  </mergeCells>
  <dataValidations count="2">
    <dataValidation allowBlank="true" error="本列必须是数字，填成文本会让整笔业务被静默丢弃" errorStyle="stop" errorTitle="只能填数字" operator="greaterThanOrEqual" showDropDown="false" showErrorMessage="true" showInputMessage="false" sqref="C6:E65 G6:I65 K6:L65" type="decimal">
      <formula1>0</formula1>
      <formula2>0</formula2>
    </dataValidation>
    <dataValidation allowBlank="true" error="必须选择下拉中已维护的值，手工输入会导致取数错位" errorStyle="stop" errorTitle="请从下拉中选择" operator="between" showDropDown="false" showErrorMessage="true" showInputMessage="false" sqref="A6:A65" type="list">
      <formula1>基础资料!$K$6:$K$65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AA156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3"/>
    <col collapsed="false" customWidth="true" hidden="false" outlineLevel="0" max="6" min="6" style="0" width="10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12" min="9" style="0" width="13"/>
    <col collapsed="false" customWidth="true" hidden="false" outlineLevel="0" max="13" min="13" style="0" width="10"/>
    <col collapsed="false" customWidth="true" hidden="false" outlineLevel="0" max="14" min="14" style="0" width="3"/>
    <col collapsed="false" customWidth="true" hidden="false" outlineLevel="0" max="15" min="15" style="0" width="12"/>
    <col collapsed="false" customWidth="true" hidden="false" outlineLevel="0" max="20" min="16" style="0" width="13"/>
    <col collapsed="false" customWidth="true" hidden="false" outlineLevel="0" max="21" min="21" style="0" width="3"/>
    <col collapsed="false" customWidth="true" hidden="false" outlineLevel="0" max="23" min="22" style="0" width="11"/>
    <col collapsed="false" customWidth="true" hidden="false" outlineLevel="0" max="27" min="24" style="0" width="13"/>
  </cols>
  <sheetData>
    <row r="1" customFormat="false" ht="25.5" hidden="false" customHeight="true" outlineLevel="0" collapsed="false">
      <c r="A1" s="23" t="s">
        <v>161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customFormat="false" ht="15" hidden="false" customHeight="true" outlineLevel="0" collapsed="false">
      <c r="A2" s="6" t="s">
        <v>787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customFormat="false" ht="15" hidden="false" customHeight="false" outlineLevel="0" collapsed="false">
      <c r="A3" s="38" t="s">
        <v>3</v>
      </c>
      <c r="B3" s="55" t="str">
        <f aca="false">首页!$B$5</f>
        <v>2026-01</v>
      </c>
    </row>
    <row r="4" customFormat="false" ht="15" hidden="false" customHeight="true" outlineLevel="0" collapsed="false">
      <c r="A4" s="29" t="s">
        <v>788</v>
      </c>
      <c r="B4" s="29"/>
      <c r="C4" s="29"/>
      <c r="D4" s="29"/>
      <c r="E4" s="29"/>
      <c r="F4" s="29"/>
      <c r="H4" s="29" t="s">
        <v>789</v>
      </c>
      <c r="I4" s="29"/>
      <c r="J4" s="29"/>
      <c r="K4" s="29"/>
      <c r="L4" s="29"/>
      <c r="M4" s="29"/>
      <c r="O4" s="29" t="s">
        <v>790</v>
      </c>
      <c r="P4" s="29"/>
      <c r="Q4" s="29"/>
      <c r="R4" s="29"/>
      <c r="S4" s="29"/>
      <c r="T4" s="29"/>
      <c r="V4" s="29" t="s">
        <v>791</v>
      </c>
      <c r="W4" s="29"/>
      <c r="X4" s="29"/>
      <c r="Y4" s="29"/>
      <c r="Z4" s="29"/>
      <c r="AA4" s="29"/>
    </row>
    <row r="5" customFormat="false" ht="30" hidden="false" customHeight="true" outlineLevel="0" collapsed="false">
      <c r="A5" s="30" t="s">
        <v>197</v>
      </c>
      <c r="B5" s="30" t="s">
        <v>736</v>
      </c>
      <c r="C5" s="30" t="s">
        <v>737</v>
      </c>
      <c r="D5" s="30" t="s">
        <v>792</v>
      </c>
      <c r="E5" s="30" t="s">
        <v>16</v>
      </c>
      <c r="F5" s="30" t="s">
        <v>430</v>
      </c>
      <c r="H5" s="30" t="s">
        <v>206</v>
      </c>
      <c r="I5" s="30" t="s">
        <v>749</v>
      </c>
      <c r="J5" s="30" t="s">
        <v>750</v>
      </c>
      <c r="K5" s="30" t="s">
        <v>793</v>
      </c>
      <c r="L5" s="30" t="s">
        <v>794</v>
      </c>
      <c r="M5" s="30" t="s">
        <v>434</v>
      </c>
      <c r="O5" s="30" t="s">
        <v>374</v>
      </c>
      <c r="P5" s="30" t="s">
        <v>729</v>
      </c>
      <c r="Q5" s="30" t="s">
        <v>795</v>
      </c>
      <c r="R5" s="30" t="s">
        <v>9</v>
      </c>
      <c r="S5" s="30" t="s">
        <v>796</v>
      </c>
      <c r="T5" s="30" t="s">
        <v>797</v>
      </c>
      <c r="V5" s="30" t="s">
        <v>418</v>
      </c>
      <c r="W5" s="30" t="s">
        <v>374</v>
      </c>
      <c r="X5" s="30" t="s">
        <v>798</v>
      </c>
      <c r="Y5" s="30" t="s">
        <v>799</v>
      </c>
      <c r="Z5" s="30" t="s">
        <v>800</v>
      </c>
      <c r="AA5" s="30" t="s">
        <v>801</v>
      </c>
    </row>
    <row r="6" customFormat="false" ht="15.75" hidden="false" customHeight="true" outlineLevel="0" collapsed="false">
      <c r="A6" s="35" t="str">
        <f aca="false">IF(应收跟进!$A6="","",应收跟进!$A6)</f>
        <v>示例客户甲</v>
      </c>
      <c r="B6" s="54" t="n">
        <f aca="false">IF($A6="","",应收跟进!$D6)</f>
        <v>18080</v>
      </c>
      <c r="C6" s="54" t="n">
        <f aca="false">IF($A6="","",应收跟进!$E6)</f>
        <v>50000</v>
      </c>
      <c r="D6" s="54" t="n">
        <f aca="false">IF($A6="","",应收跟进!$F6)</f>
        <v>18080</v>
      </c>
      <c r="E6" s="54" t="n">
        <f aca="false">IF($A6="","",应收跟进!$L6)</f>
        <v>0</v>
      </c>
      <c r="F6" s="42" t="str">
        <f aca="false">IF($A6="","",应收跟进!$N6)</f>
        <v>张伟</v>
      </c>
      <c r="H6" s="35" t="str">
        <f aca="false">IF(应付跟进!$A6="","",应付跟进!$A6)</f>
        <v>示例供应商甲</v>
      </c>
      <c r="I6" s="54" t="n">
        <f aca="false">IF($H6="","",应付跟进!$D6)</f>
        <v>14125</v>
      </c>
      <c r="J6" s="54" t="n">
        <f aca="false">IF($H6="","",应付跟进!$E6)</f>
        <v>40000</v>
      </c>
      <c r="K6" s="54" t="n">
        <f aca="false">IF($H6="","",应付跟进!$F6)</f>
        <v>14125</v>
      </c>
      <c r="L6" s="54" t="n">
        <f aca="false">IF($H6="","",应付跟进!$L6)</f>
        <v>0</v>
      </c>
      <c r="M6" s="42" t="str">
        <f aca="false">IF($H6="","",应付跟进!$N6)</f>
        <v>李娜</v>
      </c>
      <c r="O6" s="42" t="str">
        <f aca="false">IF(基础资料!$G6="","",基础资料!$G6)</f>
        <v>销售部</v>
      </c>
      <c r="P6" s="54" t="n">
        <f aca="false">IF($O6="","",SUMIFS(销售录入!$O$5:$O$404,销售录入!$I$5:$I$404,$O6,销售录入!$C$5:$C$404,首页!$B$5))</f>
        <v>24600</v>
      </c>
      <c r="Q6" s="54" t="n">
        <f aca="false">IF($O6="","",SUMIFS(销售录入!$S$5:$S$404,销售录入!$I$5:$I$404,$O6,销售录入!$C$5:$C$404,首页!$B$5))</f>
        <v>13462.5</v>
      </c>
      <c r="R6" s="44" t="n">
        <f aca="false">IF($O6="","",$P6-$Q6)</f>
        <v>11137.5</v>
      </c>
      <c r="S6" s="54" t="n">
        <f aca="false">IF($O6="","",SUMIFS(资金流水!$N$5:$N$504,资金流水!$H$5:$H$504,$O6,资金流水!$O$5:$O$504,"66*",资金流水!$C$5:$C$504,首页!$B$5)+SUMIFS(其他凭证!$H$5:$H$304,其他凭证!$I$5:$I$304,$O6,其他凭证!$F$5:$F$304,"66*",其他凭证!$C$5:$C$304,首页!$B$5)+SUMIFS(采购录入!$W$5:$W$404,采购录入!$K$5:$K$404,$O6,采购录入!$U$5:$U$404,"66*",采购录入!$C$5:$C$404,首页!$B$5)+SUMIFS(资金流水!$N$5:$N$504,资金流水!$H$5:$H$504,$O6,资金流水!$O$5:$O$504,"6403",资金流水!$C$5:$C$504,首页!$B$5)+SUMIFS(其他凭证!$H$5:$H$304,其他凭证!$I$5:$I$304,$O6,其他凭证!$F$5:$F$304,"6403",其他凭证!$C$5:$C$304,首页!$B$5)+SUMIFS(采购录入!$W$5:$W$404,采购录入!$K$5:$K$404,$O6,采购录入!$U$5:$U$404,"6403",采购录入!$C$5:$C$404,首页!$B$5)+SUMIFS(资金流水!$N$5:$N$504,资金流水!$H$5:$H$504,$O6,资金流水!$O$5:$O$504,"6711",资金流水!$C$5:$C$504,首页!$B$5)+SUMIFS(其他凭证!$H$5:$H$304,其他凭证!$I$5:$I$304,$O6,其他凭证!$F$5:$F$304,"6711",其他凭证!$C$5:$C$304,首页!$B$5)+SUMIFS(采购录入!$W$5:$W$404,采购录入!$K$5:$K$404,$O6,采购录入!$U$5:$U$404,"6711",采购录入!$C$5:$C$404,首页!$B$5))</f>
        <v>0</v>
      </c>
      <c r="T6" s="62" t="n">
        <f aca="false">IF($O6="","",$R6-$S6)</f>
        <v>11137.5</v>
      </c>
      <c r="V6" s="42" t="str">
        <f aca="false">IF(基础资料!$K6="","",基础资料!$K6)</f>
        <v>张伟</v>
      </c>
      <c r="W6" s="42" t="str">
        <f aca="false">IF($V6="","",基础资料!$L6)</f>
        <v>销售部</v>
      </c>
      <c r="X6" s="54" t="n">
        <f aca="false">IF($V6="","",SUMIFS(销售录入!$O$5:$O$404,销售录入!$J$5:$J$404,$V6,销售录入!$C$5:$C$404,首页!$B$5))</f>
        <v>24600</v>
      </c>
      <c r="Y6" s="54" t="n">
        <f aca="false">IF($V6="","",SUMIFS(采购录入!$Q$5:$Q$404,采购录入!$L$5:$L$404,$V6,采购录入!$C$5:$C$404,首页!$B$5))</f>
        <v>0</v>
      </c>
      <c r="Z6" s="54" t="n">
        <f aca="false">IF($V6="","",SUMIFS(资金流水!$N$5:$N$504,资金流水!$I$5:$I$504,$V6,资金流水!$D$5:$D$504,"收入",资金流水!$C$5:$C$504,首页!$B$5))</f>
        <v>0</v>
      </c>
      <c r="AA6" s="54" t="n">
        <f aca="false">IF($V6="","",SUMIFS(资金流水!$N$5:$N$504,资金流水!$I$5:$I$504,$V6,资金流水!$D$5:$D$504,"支出",资金流水!$C$5:$C$504,首页!$B$5))</f>
        <v>0</v>
      </c>
    </row>
    <row r="7" customFormat="false" ht="15.75" hidden="false" customHeight="true" outlineLevel="0" collapsed="false">
      <c r="A7" s="35" t="str">
        <f aca="false">IF(应收跟进!$A7="","",应收跟进!$A7)</f>
        <v>示例客户乙</v>
      </c>
      <c r="B7" s="54" t="n">
        <f aca="false">IF($A7="","",应收跟进!$D7)</f>
        <v>7910</v>
      </c>
      <c r="C7" s="54" t="n">
        <f aca="false">IF($A7="","",应收跟进!$E7)</f>
        <v>11000</v>
      </c>
      <c r="D7" s="54" t="n">
        <f aca="false">IF($A7="","",应收跟进!$F7)</f>
        <v>26910</v>
      </c>
      <c r="E7" s="54" t="n">
        <f aca="false">IF($A7="","",应收跟进!$L7)</f>
        <v>19000</v>
      </c>
      <c r="F7" s="42" t="str">
        <f aca="false">IF($A7="","",应收跟进!$N7)</f>
        <v>张伟</v>
      </c>
      <c r="H7" s="35" t="str">
        <f aca="false">IF(应付跟进!$A7="","",应付跟进!$A7)</f>
        <v>示例供应商乙</v>
      </c>
      <c r="I7" s="54" t="n">
        <f aca="false">IF($H7="","",应付跟进!$D7)</f>
        <v>7627.5</v>
      </c>
      <c r="J7" s="54" t="n">
        <f aca="false">IF($H7="","",应付跟进!$E7)</f>
        <v>0</v>
      </c>
      <c r="K7" s="54" t="n">
        <f aca="false">IF($H7="","",应付跟进!$F7)</f>
        <v>7627.5</v>
      </c>
      <c r="L7" s="54" t="n">
        <f aca="false">IF($H7="","",应付跟进!$L7)</f>
        <v>0</v>
      </c>
      <c r="M7" s="42" t="str">
        <f aca="false">IF($H7="","",应付跟进!$N7)</f>
        <v>李娜</v>
      </c>
      <c r="O7" s="42" t="str">
        <f aca="false">IF(基础资料!$G7="","",基础资料!$G7)</f>
        <v>采购部</v>
      </c>
      <c r="P7" s="54" t="n">
        <f aca="false">IF($O7="","",SUMIFS(销售录入!$O$5:$O$404,销售录入!$I$5:$I$404,$O7,销售录入!$C$5:$C$404,首页!$B$5))</f>
        <v>0</v>
      </c>
      <c r="Q7" s="54" t="n">
        <f aca="false">IF($O7="","",SUMIFS(销售录入!$S$5:$S$404,销售录入!$I$5:$I$404,$O7,销售录入!$C$5:$C$404,首页!$B$5))</f>
        <v>0</v>
      </c>
      <c r="R7" s="44" t="n">
        <f aca="false">IF($O7="","",$P7-$Q7)</f>
        <v>0</v>
      </c>
      <c r="S7" s="54" t="n">
        <f aca="false">IF($O7="","",SUMIFS(资金流水!$N$5:$N$504,资金流水!$H$5:$H$504,$O7,资金流水!$O$5:$O$504,"66*",资金流水!$C$5:$C$504,首页!$B$5)+SUMIFS(其他凭证!$H$5:$H$304,其他凭证!$I$5:$I$304,$O7,其他凭证!$F$5:$F$304,"66*",其他凭证!$C$5:$C$304,首页!$B$5)+SUMIFS(采购录入!$W$5:$W$404,采购录入!$K$5:$K$404,$O7,采购录入!$U$5:$U$404,"66*",采购录入!$C$5:$C$404,首页!$B$5)+SUMIFS(资金流水!$N$5:$N$504,资金流水!$H$5:$H$504,$O7,资金流水!$O$5:$O$504,"6403",资金流水!$C$5:$C$504,首页!$B$5)+SUMIFS(其他凭证!$H$5:$H$304,其他凭证!$I$5:$I$304,$O7,其他凭证!$F$5:$F$304,"6403",其他凭证!$C$5:$C$304,首页!$B$5)+SUMIFS(采购录入!$W$5:$W$404,采购录入!$K$5:$K$404,$O7,采购录入!$U$5:$U$404,"6403",采购录入!$C$5:$C$404,首页!$B$5)+SUMIFS(资金流水!$N$5:$N$504,资金流水!$H$5:$H$504,$O7,资金流水!$O$5:$O$504,"6711",资金流水!$C$5:$C$504,首页!$B$5)+SUMIFS(其他凭证!$H$5:$H$304,其他凭证!$I$5:$I$304,$O7,其他凭证!$F$5:$F$304,"6711",其他凭证!$C$5:$C$304,首页!$B$5)+SUMIFS(采购录入!$W$5:$W$404,采购录入!$K$5:$K$404,$O7,采购录入!$U$5:$U$404,"6711",采购录入!$C$5:$C$404,首页!$B$5))</f>
        <v>0</v>
      </c>
      <c r="T7" s="62" t="n">
        <f aca="false">IF($O7="","",$R7-$S7)</f>
        <v>0</v>
      </c>
      <c r="V7" s="42" t="str">
        <f aca="false">IF(基础资料!$K7="","",基础资料!$K7)</f>
        <v>李娜</v>
      </c>
      <c r="W7" s="42" t="str">
        <f aca="false">IF($V7="","",基础资料!$L7)</f>
        <v>采购部</v>
      </c>
      <c r="X7" s="54" t="n">
        <f aca="false">IF($V7="","",SUMIFS(销售录入!$O$5:$O$404,销售录入!$J$5:$J$404,$V7,销售录入!$C$5:$C$404,首页!$B$5))</f>
        <v>0</v>
      </c>
      <c r="Y7" s="54" t="n">
        <f aca="false">IF($V7="","",SUMIFS(采购录入!$Q$5:$Q$404,采购录入!$L$5:$L$404,$V7,采购录入!$C$5:$C$404,首页!$B$5))</f>
        <v>19250</v>
      </c>
      <c r="Z7" s="54" t="n">
        <f aca="false">IF($V7="","",SUMIFS(资金流水!$N$5:$N$504,资金流水!$I$5:$I$504,$V7,资金流水!$D$5:$D$504,"收入",资金流水!$C$5:$C$504,首页!$B$5))</f>
        <v>0</v>
      </c>
      <c r="AA7" s="54" t="n">
        <f aca="false">IF($V7="","",SUMIFS(资金流水!$N$5:$N$504,资金流水!$I$5:$I$504,$V7,资金流水!$D$5:$D$504,"支出",资金流水!$C$5:$C$504,首页!$B$5))</f>
        <v>0</v>
      </c>
    </row>
    <row r="8" customFormat="false" ht="15.75" hidden="false" customHeight="true" outlineLevel="0" collapsed="false">
      <c r="A8" s="35" t="str">
        <f aca="false">IF(应收跟进!$A8="","",应收跟进!$A8)</f>
        <v>示例客户丙</v>
      </c>
      <c r="B8" s="54" t="n">
        <f aca="false">IF($A8="","",应收跟进!$D8)</f>
        <v>1696</v>
      </c>
      <c r="C8" s="54" t="n">
        <f aca="false">IF($A8="","",应收跟进!$E8)</f>
        <v>0</v>
      </c>
      <c r="D8" s="54" t="n">
        <f aca="false">IF($A8="","",应收跟进!$F8)</f>
        <v>1696</v>
      </c>
      <c r="E8" s="54" t="n">
        <f aca="false">IF($A8="","",应收跟进!$L8)</f>
        <v>1696</v>
      </c>
      <c r="F8" s="42" t="str">
        <f aca="false">IF($A8="","",应收跟进!$N8)</f>
        <v>张伟</v>
      </c>
      <c r="H8" s="35" t="str">
        <f aca="false">IF(应付跟进!$A8="","",应付跟进!$A8)</f>
        <v/>
      </c>
      <c r="I8" s="54" t="str">
        <f aca="false">IF($H8="","",应付跟进!$D8)</f>
        <v/>
      </c>
      <c r="J8" s="54" t="str">
        <f aca="false">IF($H8="","",应付跟进!$E8)</f>
        <v/>
      </c>
      <c r="K8" s="54" t="str">
        <f aca="false">IF($H8="","",应付跟进!$F8)</f>
        <v/>
      </c>
      <c r="L8" s="54" t="str">
        <f aca="false">IF($H8="","",应付跟进!$L8)</f>
        <v/>
      </c>
      <c r="M8" s="42" t="str">
        <f aca="false">IF($H8="","",应付跟进!$N8)</f>
        <v/>
      </c>
      <c r="O8" s="42" t="str">
        <f aca="false">IF(基础资料!$G8="","",基础资料!$G8)</f>
        <v>财务部</v>
      </c>
      <c r="P8" s="54" t="n">
        <f aca="false">IF($O8="","",SUMIFS(销售录入!$O$5:$O$404,销售录入!$I$5:$I$404,$O8,销售录入!$C$5:$C$404,首页!$B$5))</f>
        <v>0</v>
      </c>
      <c r="Q8" s="54" t="n">
        <f aca="false">IF($O8="","",SUMIFS(销售录入!$S$5:$S$404,销售录入!$I$5:$I$404,$O8,销售录入!$C$5:$C$404,首页!$B$5))</f>
        <v>0</v>
      </c>
      <c r="R8" s="44" t="n">
        <f aca="false">IF($O8="","",$P8-$Q8)</f>
        <v>0</v>
      </c>
      <c r="S8" s="54" t="n">
        <f aca="false">IF($O8="","",SUMIFS(资金流水!$N$5:$N$504,资金流水!$H$5:$H$504,$O8,资金流水!$O$5:$O$504,"66*",资金流水!$C$5:$C$504,首页!$B$5)+SUMIFS(其他凭证!$H$5:$H$304,其他凭证!$I$5:$I$304,$O8,其他凭证!$F$5:$F$304,"66*",其他凭证!$C$5:$C$304,首页!$B$5)+SUMIFS(采购录入!$W$5:$W$404,采购录入!$K$5:$K$404,$O8,采购录入!$U$5:$U$404,"66*",采购录入!$C$5:$C$404,首页!$B$5)+SUMIFS(资金流水!$N$5:$N$504,资金流水!$H$5:$H$504,$O8,资金流水!$O$5:$O$504,"6403",资金流水!$C$5:$C$504,首页!$B$5)+SUMIFS(其他凭证!$H$5:$H$304,其他凭证!$I$5:$I$304,$O8,其他凭证!$F$5:$F$304,"6403",其他凭证!$C$5:$C$304,首页!$B$5)+SUMIFS(采购录入!$W$5:$W$404,采购录入!$K$5:$K$404,$O8,采购录入!$U$5:$U$404,"6403",采购录入!$C$5:$C$404,首页!$B$5)+SUMIFS(资金流水!$N$5:$N$504,资金流水!$H$5:$H$504,$O8,资金流水!$O$5:$O$504,"6711",资金流水!$C$5:$C$504,首页!$B$5)+SUMIFS(其他凭证!$H$5:$H$304,其他凭证!$I$5:$I$304,$O8,其他凭证!$F$5:$F$304,"6711",其他凭证!$C$5:$C$304,首页!$B$5)+SUMIFS(采购录入!$W$5:$W$404,采购录入!$K$5:$K$404,$O8,采购录入!$U$5:$U$404,"6711",采购录入!$C$5:$C$404,首页!$B$5))</f>
        <v>500</v>
      </c>
      <c r="T8" s="62" t="n">
        <f aca="false">IF($O8="","",$R8-$S8)</f>
        <v>-500</v>
      </c>
      <c r="V8" s="42" t="str">
        <f aca="false">IF(基础资料!$K8="","",基础资料!$K8)</f>
        <v>王强</v>
      </c>
      <c r="W8" s="42" t="str">
        <f aca="false">IF($V8="","",基础资料!$L8)</f>
        <v>财务部</v>
      </c>
      <c r="X8" s="54" t="n">
        <f aca="false">IF($V8="","",SUMIFS(销售录入!$O$5:$O$404,销售录入!$J$5:$J$404,$V8,销售录入!$C$5:$C$404,首页!$B$5))</f>
        <v>0</v>
      </c>
      <c r="Y8" s="54" t="n">
        <f aca="false">IF($V8="","",SUMIFS(采购录入!$Q$5:$Q$404,采购录入!$L$5:$L$404,$V8,采购录入!$C$5:$C$404,首页!$B$5))</f>
        <v>0</v>
      </c>
      <c r="Z8" s="54" t="n">
        <f aca="false">IF($V8="","",SUMIFS(资金流水!$N$5:$N$504,资金流水!$I$5:$I$504,$V8,资金流水!$D$5:$D$504,"收入",资金流水!$C$5:$C$504,首页!$B$5))</f>
        <v>61000</v>
      </c>
      <c r="AA8" s="54" t="n">
        <f aca="false">IF($V8="","",SUMIFS(资金流水!$N$5:$N$504,资金流水!$I$5:$I$504,$V8,资金流水!$D$5:$D$504,"支出",资金流水!$C$5:$C$504,首页!$B$5))</f>
        <v>55000</v>
      </c>
    </row>
    <row r="9" customFormat="false" ht="15.75" hidden="false" customHeight="true" outlineLevel="0" collapsed="false">
      <c r="A9" s="35" t="str">
        <f aca="false">IF(应收跟进!$A9="","",应收跟进!$A9)</f>
        <v/>
      </c>
      <c r="B9" s="54" t="str">
        <f aca="false">IF($A9="","",应收跟进!$D9)</f>
        <v/>
      </c>
      <c r="C9" s="54" t="str">
        <f aca="false">IF($A9="","",应收跟进!$E9)</f>
        <v/>
      </c>
      <c r="D9" s="54" t="str">
        <f aca="false">IF($A9="","",应收跟进!$F9)</f>
        <v/>
      </c>
      <c r="E9" s="54" t="str">
        <f aca="false">IF($A9="","",应收跟进!$L9)</f>
        <v/>
      </c>
      <c r="F9" s="42" t="str">
        <f aca="false">IF($A9="","",应收跟进!$N9)</f>
        <v/>
      </c>
      <c r="H9" s="35" t="str">
        <f aca="false">IF(应付跟进!$A9="","",应付跟进!$A9)</f>
        <v/>
      </c>
      <c r="I9" s="54" t="str">
        <f aca="false">IF($H9="","",应付跟进!$D9)</f>
        <v/>
      </c>
      <c r="J9" s="54" t="str">
        <f aca="false">IF($H9="","",应付跟进!$E9)</f>
        <v/>
      </c>
      <c r="K9" s="54" t="str">
        <f aca="false">IF($H9="","",应付跟进!$F9)</f>
        <v/>
      </c>
      <c r="L9" s="54" t="str">
        <f aca="false">IF($H9="","",应付跟进!$L9)</f>
        <v/>
      </c>
      <c r="M9" s="42" t="str">
        <f aca="false">IF($H9="","",应付跟进!$N9)</f>
        <v/>
      </c>
      <c r="O9" s="42" t="str">
        <f aca="false">IF(基础资料!$G9="","",基础资料!$G9)</f>
        <v>行政部</v>
      </c>
      <c r="P9" s="54" t="n">
        <f aca="false">IF($O9="","",SUMIFS(销售录入!$O$5:$O$404,销售录入!$I$5:$I$404,$O9,销售录入!$C$5:$C$404,首页!$B$5))</f>
        <v>0</v>
      </c>
      <c r="Q9" s="54" t="n">
        <f aca="false">IF($O9="","",SUMIFS(销售录入!$S$5:$S$404,销售录入!$I$5:$I$404,$O9,销售录入!$C$5:$C$404,首页!$B$5))</f>
        <v>0</v>
      </c>
      <c r="R9" s="44" t="n">
        <f aca="false">IF($O9="","",$P9-$Q9)</f>
        <v>0</v>
      </c>
      <c r="S9" s="54" t="n">
        <f aca="false">IF($O9="","",SUMIFS(资金流水!$N$5:$N$504,资金流水!$H$5:$H$504,$O9,资金流水!$O$5:$O$504,"66*",资金流水!$C$5:$C$504,首页!$B$5)+SUMIFS(其他凭证!$H$5:$H$304,其他凭证!$I$5:$I$304,$O9,其他凭证!$F$5:$F$304,"66*",其他凭证!$C$5:$C$304,首页!$B$5)+SUMIFS(采购录入!$W$5:$W$404,采购录入!$K$5:$K$404,$O9,采购录入!$U$5:$U$404,"66*",采购录入!$C$5:$C$404,首页!$B$5)+SUMIFS(资金流水!$N$5:$N$504,资金流水!$H$5:$H$504,$O9,资金流水!$O$5:$O$504,"6403",资金流水!$C$5:$C$504,首页!$B$5)+SUMIFS(其他凭证!$H$5:$H$304,其他凭证!$I$5:$I$304,$O9,其他凭证!$F$5:$F$304,"6403",其他凭证!$C$5:$C$304,首页!$B$5)+SUMIFS(采购录入!$W$5:$W$404,采购录入!$K$5:$K$404,$O9,采购录入!$U$5:$U$404,"6403",采购录入!$C$5:$C$404,首页!$B$5)+SUMIFS(资金流水!$N$5:$N$504,资金流水!$H$5:$H$504,$O9,资金流水!$O$5:$O$504,"6711",资金流水!$C$5:$C$504,首页!$B$5)+SUMIFS(其他凭证!$H$5:$H$304,其他凭证!$I$5:$I$304,$O9,其他凭证!$F$5:$F$304,"6711",其他凭证!$C$5:$C$304,首页!$B$5)+SUMIFS(采购录入!$W$5:$W$404,采购录入!$K$5:$K$404,$O9,采购录入!$U$5:$U$404,"6711",采购录入!$C$5:$C$404,首页!$B$5))</f>
        <v>31300</v>
      </c>
      <c r="T9" s="62" t="n">
        <f aca="false">IF($O9="","",$R9-$S9)</f>
        <v>-31300</v>
      </c>
      <c r="V9" s="42" t="str">
        <f aca="false">IF(基础资料!$K9="","",基础资料!$K9)</f>
        <v>赵敏</v>
      </c>
      <c r="W9" s="42" t="str">
        <f aca="false">IF($V9="","",基础资料!$L9)</f>
        <v>行政部</v>
      </c>
      <c r="X9" s="54" t="n">
        <f aca="false">IF($V9="","",SUMIFS(销售录入!$O$5:$O$404,销售录入!$J$5:$J$404,$V9,销售录入!$C$5:$C$404,首页!$B$5))</f>
        <v>0</v>
      </c>
      <c r="Y9" s="54" t="n">
        <f aca="false">IF($V9="","",SUMIFS(采购录入!$Q$5:$Q$404,采购录入!$L$5:$L$404,$V9,采购录入!$C$5:$C$404,首页!$B$5))</f>
        <v>0</v>
      </c>
      <c r="Z9" s="54" t="n">
        <f aca="false">IF($V9="","",SUMIFS(资金流水!$N$5:$N$504,资金流水!$I$5:$I$504,$V9,资金流水!$D$5:$D$504,"收入",资金流水!$C$5:$C$504,首页!$B$5))</f>
        <v>0</v>
      </c>
      <c r="AA9" s="54" t="n">
        <f aca="false">IF($V9="","",SUMIFS(资金流水!$N$5:$N$504,资金流水!$I$5:$I$504,$V9,资金流水!$D$5:$D$504,"支出",资金流水!$C$5:$C$504,首页!$B$5))</f>
        <v>8800</v>
      </c>
    </row>
    <row r="10" customFormat="false" ht="15.75" hidden="false" customHeight="true" outlineLevel="0" collapsed="false">
      <c r="A10" s="35" t="str">
        <f aca="false">IF(应收跟进!$A10="","",应收跟进!$A10)</f>
        <v/>
      </c>
      <c r="B10" s="54" t="str">
        <f aca="false">IF($A10="","",应收跟进!$D10)</f>
        <v/>
      </c>
      <c r="C10" s="54" t="str">
        <f aca="false">IF($A10="","",应收跟进!$E10)</f>
        <v/>
      </c>
      <c r="D10" s="54" t="str">
        <f aca="false">IF($A10="","",应收跟进!$F10)</f>
        <v/>
      </c>
      <c r="E10" s="54" t="str">
        <f aca="false">IF($A10="","",应收跟进!$L10)</f>
        <v/>
      </c>
      <c r="F10" s="42" t="str">
        <f aca="false">IF($A10="","",应收跟进!$N10)</f>
        <v/>
      </c>
      <c r="H10" s="35" t="str">
        <f aca="false">IF(应付跟进!$A10="","",应付跟进!$A10)</f>
        <v/>
      </c>
      <c r="I10" s="54" t="str">
        <f aca="false">IF($H10="","",应付跟进!$D10)</f>
        <v/>
      </c>
      <c r="J10" s="54" t="str">
        <f aca="false">IF($H10="","",应付跟进!$E10)</f>
        <v/>
      </c>
      <c r="K10" s="54" t="str">
        <f aca="false">IF($H10="","",应付跟进!$F10)</f>
        <v/>
      </c>
      <c r="L10" s="54" t="str">
        <f aca="false">IF($H10="","",应付跟进!$L10)</f>
        <v/>
      </c>
      <c r="M10" s="42" t="str">
        <f aca="false">IF($H10="","",应付跟进!$N10)</f>
        <v/>
      </c>
      <c r="O10" s="42" t="str">
        <f aca="false">IF(基础资料!$G10="","",基础资料!$G10)</f>
        <v/>
      </c>
      <c r="P10" s="54" t="str">
        <f aca="false">IF($O10="","",SUMIFS(销售录入!$O$5:$O$404,销售录入!$I$5:$I$404,$O10,销售录入!$C$5:$C$404,首页!$B$5))</f>
        <v/>
      </c>
      <c r="Q10" s="54" t="str">
        <f aca="false">IF($O10="","",SUMIFS(销售录入!$S$5:$S$404,销售录入!$I$5:$I$404,$O10,销售录入!$C$5:$C$404,首页!$B$5))</f>
        <v/>
      </c>
      <c r="R10" s="44" t="str">
        <f aca="false">IF($O10="","",$P10-$Q10)</f>
        <v/>
      </c>
      <c r="S10" s="54" t="str">
        <f aca="false">IF($O10="","",SUMIFS(资金流水!$N$5:$N$504,资金流水!$H$5:$H$504,$O10,资金流水!$O$5:$O$504,"66*",资金流水!$C$5:$C$504,首页!$B$5)+SUMIFS(其他凭证!$H$5:$H$304,其他凭证!$I$5:$I$304,$O10,其他凭证!$F$5:$F$304,"66*",其他凭证!$C$5:$C$304,首页!$B$5)+SUMIFS(采购录入!$W$5:$W$404,采购录入!$K$5:$K$404,$O10,采购录入!$U$5:$U$404,"66*",采购录入!$C$5:$C$404,首页!$B$5)+SUMIFS(资金流水!$N$5:$N$504,资金流水!$H$5:$H$504,$O10,资金流水!$O$5:$O$504,"6403",资金流水!$C$5:$C$504,首页!$B$5)+SUMIFS(其他凭证!$H$5:$H$304,其他凭证!$I$5:$I$304,$O10,其他凭证!$F$5:$F$304,"6403",其他凭证!$C$5:$C$304,首页!$B$5)+SUMIFS(采购录入!$W$5:$W$404,采购录入!$K$5:$K$404,$O10,采购录入!$U$5:$U$404,"6403",采购录入!$C$5:$C$404,首页!$B$5)+SUMIFS(资金流水!$N$5:$N$504,资金流水!$H$5:$H$504,$O10,资金流水!$O$5:$O$504,"6711",资金流水!$C$5:$C$504,首页!$B$5)+SUMIFS(其他凭证!$H$5:$H$304,其他凭证!$I$5:$I$304,$O10,其他凭证!$F$5:$F$304,"6711",其他凭证!$C$5:$C$304,首页!$B$5)+SUMIFS(采购录入!$W$5:$W$404,采购录入!$K$5:$K$404,$O10,采购录入!$U$5:$U$404,"6711",采购录入!$C$5:$C$404,首页!$B$5))</f>
        <v/>
      </c>
      <c r="T10" s="62" t="str">
        <f aca="false">IF($O10="","",$R10-$S10)</f>
        <v/>
      </c>
      <c r="V10" s="42" t="str">
        <f aca="false">IF(基础资料!$K10="","",基础资料!$K10)</f>
        <v/>
      </c>
      <c r="W10" s="42" t="str">
        <f aca="false">IF($V10="","",基础资料!$L10)</f>
        <v/>
      </c>
      <c r="X10" s="54" t="str">
        <f aca="false">IF($V10="","",SUMIFS(销售录入!$O$5:$O$404,销售录入!$J$5:$J$404,$V10,销售录入!$C$5:$C$404,首页!$B$5))</f>
        <v/>
      </c>
      <c r="Y10" s="54" t="str">
        <f aca="false">IF($V10="","",SUMIFS(采购录入!$Q$5:$Q$404,采购录入!$L$5:$L$404,$V10,采购录入!$C$5:$C$404,首页!$B$5))</f>
        <v/>
      </c>
      <c r="Z10" s="54" t="str">
        <f aca="false">IF($V10="","",SUMIFS(资金流水!$N$5:$N$504,资金流水!$I$5:$I$504,$V10,资金流水!$D$5:$D$504,"收入",资金流水!$C$5:$C$504,首页!$B$5))</f>
        <v/>
      </c>
      <c r="AA10" s="54" t="str">
        <f aca="false">IF($V10="","",SUMIFS(资金流水!$N$5:$N$504,资金流水!$I$5:$I$504,$V10,资金流水!$D$5:$D$504,"支出",资金流水!$C$5:$C$504,首页!$B$5))</f>
        <v/>
      </c>
    </row>
    <row r="11" customFormat="false" ht="15.75" hidden="false" customHeight="true" outlineLevel="0" collapsed="false">
      <c r="A11" s="35" t="str">
        <f aca="false">IF(应收跟进!$A11="","",应收跟进!$A11)</f>
        <v/>
      </c>
      <c r="B11" s="54" t="str">
        <f aca="false">IF($A11="","",应收跟进!$D11)</f>
        <v/>
      </c>
      <c r="C11" s="54" t="str">
        <f aca="false">IF($A11="","",应收跟进!$E11)</f>
        <v/>
      </c>
      <c r="D11" s="54" t="str">
        <f aca="false">IF($A11="","",应收跟进!$F11)</f>
        <v/>
      </c>
      <c r="E11" s="54" t="str">
        <f aca="false">IF($A11="","",应收跟进!$L11)</f>
        <v/>
      </c>
      <c r="F11" s="42" t="str">
        <f aca="false">IF($A11="","",应收跟进!$N11)</f>
        <v/>
      </c>
      <c r="H11" s="35" t="str">
        <f aca="false">IF(应付跟进!$A11="","",应付跟进!$A11)</f>
        <v/>
      </c>
      <c r="I11" s="54" t="str">
        <f aca="false">IF($H11="","",应付跟进!$D11)</f>
        <v/>
      </c>
      <c r="J11" s="54" t="str">
        <f aca="false">IF($H11="","",应付跟进!$E11)</f>
        <v/>
      </c>
      <c r="K11" s="54" t="str">
        <f aca="false">IF($H11="","",应付跟进!$F11)</f>
        <v/>
      </c>
      <c r="L11" s="54" t="str">
        <f aca="false">IF($H11="","",应付跟进!$L11)</f>
        <v/>
      </c>
      <c r="M11" s="42" t="str">
        <f aca="false">IF($H11="","",应付跟进!$N11)</f>
        <v/>
      </c>
      <c r="O11" s="42" t="str">
        <f aca="false">IF(基础资料!$G11="","",基础资料!$G11)</f>
        <v/>
      </c>
      <c r="P11" s="54" t="str">
        <f aca="false">IF($O11="","",SUMIFS(销售录入!$O$5:$O$404,销售录入!$I$5:$I$404,$O11,销售录入!$C$5:$C$404,首页!$B$5))</f>
        <v/>
      </c>
      <c r="Q11" s="54" t="str">
        <f aca="false">IF($O11="","",SUMIFS(销售录入!$S$5:$S$404,销售录入!$I$5:$I$404,$O11,销售录入!$C$5:$C$404,首页!$B$5))</f>
        <v/>
      </c>
      <c r="R11" s="44" t="str">
        <f aca="false">IF($O11="","",$P11-$Q11)</f>
        <v/>
      </c>
      <c r="S11" s="54" t="str">
        <f aca="false">IF($O11="","",SUMIFS(资金流水!$N$5:$N$504,资金流水!$H$5:$H$504,$O11,资金流水!$O$5:$O$504,"66*",资金流水!$C$5:$C$504,首页!$B$5)+SUMIFS(其他凭证!$H$5:$H$304,其他凭证!$I$5:$I$304,$O11,其他凭证!$F$5:$F$304,"66*",其他凭证!$C$5:$C$304,首页!$B$5)+SUMIFS(采购录入!$W$5:$W$404,采购录入!$K$5:$K$404,$O11,采购录入!$U$5:$U$404,"66*",采购录入!$C$5:$C$404,首页!$B$5)+SUMIFS(资金流水!$N$5:$N$504,资金流水!$H$5:$H$504,$O11,资金流水!$O$5:$O$504,"6403",资金流水!$C$5:$C$504,首页!$B$5)+SUMIFS(其他凭证!$H$5:$H$304,其他凭证!$I$5:$I$304,$O11,其他凭证!$F$5:$F$304,"6403",其他凭证!$C$5:$C$304,首页!$B$5)+SUMIFS(采购录入!$W$5:$W$404,采购录入!$K$5:$K$404,$O11,采购录入!$U$5:$U$404,"6403",采购录入!$C$5:$C$404,首页!$B$5)+SUMIFS(资金流水!$N$5:$N$504,资金流水!$H$5:$H$504,$O11,资金流水!$O$5:$O$504,"6711",资金流水!$C$5:$C$504,首页!$B$5)+SUMIFS(其他凭证!$H$5:$H$304,其他凭证!$I$5:$I$304,$O11,其他凭证!$F$5:$F$304,"6711",其他凭证!$C$5:$C$304,首页!$B$5)+SUMIFS(采购录入!$W$5:$W$404,采购录入!$K$5:$K$404,$O11,采购录入!$U$5:$U$404,"6711",采购录入!$C$5:$C$404,首页!$B$5))</f>
        <v/>
      </c>
      <c r="T11" s="62" t="str">
        <f aca="false">IF($O11="","",$R11-$S11)</f>
        <v/>
      </c>
      <c r="V11" s="42" t="str">
        <f aca="false">IF(基础资料!$K11="","",基础资料!$K11)</f>
        <v/>
      </c>
      <c r="W11" s="42" t="str">
        <f aca="false">IF($V11="","",基础资料!$L11)</f>
        <v/>
      </c>
      <c r="X11" s="54" t="str">
        <f aca="false">IF($V11="","",SUMIFS(销售录入!$O$5:$O$404,销售录入!$J$5:$J$404,$V11,销售录入!$C$5:$C$404,首页!$B$5))</f>
        <v/>
      </c>
      <c r="Y11" s="54" t="str">
        <f aca="false">IF($V11="","",SUMIFS(采购录入!$Q$5:$Q$404,采购录入!$L$5:$L$404,$V11,采购录入!$C$5:$C$404,首页!$B$5))</f>
        <v/>
      </c>
      <c r="Z11" s="54" t="str">
        <f aca="false">IF($V11="","",SUMIFS(资金流水!$N$5:$N$504,资金流水!$I$5:$I$504,$V11,资金流水!$D$5:$D$504,"收入",资金流水!$C$5:$C$504,首页!$B$5))</f>
        <v/>
      </c>
      <c r="AA11" s="54" t="str">
        <f aca="false">IF($V11="","",SUMIFS(资金流水!$N$5:$N$504,资金流水!$I$5:$I$504,$V11,资金流水!$D$5:$D$504,"支出",资金流水!$C$5:$C$504,首页!$B$5))</f>
        <v/>
      </c>
    </row>
    <row r="12" customFormat="false" ht="15.75" hidden="false" customHeight="true" outlineLevel="0" collapsed="false">
      <c r="A12" s="35" t="str">
        <f aca="false">IF(应收跟进!$A12="","",应收跟进!$A12)</f>
        <v/>
      </c>
      <c r="B12" s="54" t="str">
        <f aca="false">IF($A12="","",应收跟进!$D12)</f>
        <v/>
      </c>
      <c r="C12" s="54" t="str">
        <f aca="false">IF($A12="","",应收跟进!$E12)</f>
        <v/>
      </c>
      <c r="D12" s="54" t="str">
        <f aca="false">IF($A12="","",应收跟进!$F12)</f>
        <v/>
      </c>
      <c r="E12" s="54" t="str">
        <f aca="false">IF($A12="","",应收跟进!$L12)</f>
        <v/>
      </c>
      <c r="F12" s="42" t="str">
        <f aca="false">IF($A12="","",应收跟进!$N12)</f>
        <v/>
      </c>
      <c r="H12" s="35" t="str">
        <f aca="false">IF(应付跟进!$A12="","",应付跟进!$A12)</f>
        <v/>
      </c>
      <c r="I12" s="54" t="str">
        <f aca="false">IF($H12="","",应付跟进!$D12)</f>
        <v/>
      </c>
      <c r="J12" s="54" t="str">
        <f aca="false">IF($H12="","",应付跟进!$E12)</f>
        <v/>
      </c>
      <c r="K12" s="54" t="str">
        <f aca="false">IF($H12="","",应付跟进!$F12)</f>
        <v/>
      </c>
      <c r="L12" s="54" t="str">
        <f aca="false">IF($H12="","",应付跟进!$L12)</f>
        <v/>
      </c>
      <c r="M12" s="42" t="str">
        <f aca="false">IF($H12="","",应付跟进!$N12)</f>
        <v/>
      </c>
      <c r="O12" s="42" t="str">
        <f aca="false">IF(基础资料!$G12="","",基础资料!$G12)</f>
        <v/>
      </c>
      <c r="P12" s="54" t="str">
        <f aca="false">IF($O12="","",SUMIFS(销售录入!$O$5:$O$404,销售录入!$I$5:$I$404,$O12,销售录入!$C$5:$C$404,首页!$B$5))</f>
        <v/>
      </c>
      <c r="Q12" s="54" t="str">
        <f aca="false">IF($O12="","",SUMIFS(销售录入!$S$5:$S$404,销售录入!$I$5:$I$404,$O12,销售录入!$C$5:$C$404,首页!$B$5))</f>
        <v/>
      </c>
      <c r="R12" s="44" t="str">
        <f aca="false">IF($O12="","",$P12-$Q12)</f>
        <v/>
      </c>
      <c r="S12" s="54" t="str">
        <f aca="false">IF($O12="","",SUMIFS(资金流水!$N$5:$N$504,资金流水!$H$5:$H$504,$O12,资金流水!$O$5:$O$504,"66*",资金流水!$C$5:$C$504,首页!$B$5)+SUMIFS(其他凭证!$H$5:$H$304,其他凭证!$I$5:$I$304,$O12,其他凭证!$F$5:$F$304,"66*",其他凭证!$C$5:$C$304,首页!$B$5)+SUMIFS(采购录入!$W$5:$W$404,采购录入!$K$5:$K$404,$O12,采购录入!$U$5:$U$404,"66*",采购录入!$C$5:$C$404,首页!$B$5)+SUMIFS(资金流水!$N$5:$N$504,资金流水!$H$5:$H$504,$O12,资金流水!$O$5:$O$504,"6403",资金流水!$C$5:$C$504,首页!$B$5)+SUMIFS(其他凭证!$H$5:$H$304,其他凭证!$I$5:$I$304,$O12,其他凭证!$F$5:$F$304,"6403",其他凭证!$C$5:$C$304,首页!$B$5)+SUMIFS(采购录入!$W$5:$W$404,采购录入!$K$5:$K$404,$O12,采购录入!$U$5:$U$404,"6403",采购录入!$C$5:$C$404,首页!$B$5)+SUMIFS(资金流水!$N$5:$N$504,资金流水!$H$5:$H$504,$O12,资金流水!$O$5:$O$504,"6711",资金流水!$C$5:$C$504,首页!$B$5)+SUMIFS(其他凭证!$H$5:$H$304,其他凭证!$I$5:$I$304,$O12,其他凭证!$F$5:$F$304,"6711",其他凭证!$C$5:$C$304,首页!$B$5)+SUMIFS(采购录入!$W$5:$W$404,采购录入!$K$5:$K$404,$O12,采购录入!$U$5:$U$404,"6711",采购录入!$C$5:$C$404,首页!$B$5))</f>
        <v/>
      </c>
      <c r="T12" s="62" t="str">
        <f aca="false">IF($O12="","",$R12-$S12)</f>
        <v/>
      </c>
      <c r="V12" s="42" t="str">
        <f aca="false">IF(基础资料!$K12="","",基础资料!$K12)</f>
        <v/>
      </c>
      <c r="W12" s="42" t="str">
        <f aca="false">IF($V12="","",基础资料!$L12)</f>
        <v/>
      </c>
      <c r="X12" s="54" t="str">
        <f aca="false">IF($V12="","",SUMIFS(销售录入!$O$5:$O$404,销售录入!$J$5:$J$404,$V12,销售录入!$C$5:$C$404,首页!$B$5))</f>
        <v/>
      </c>
      <c r="Y12" s="54" t="str">
        <f aca="false">IF($V12="","",SUMIFS(采购录入!$Q$5:$Q$404,采购录入!$L$5:$L$404,$V12,采购录入!$C$5:$C$404,首页!$B$5))</f>
        <v/>
      </c>
      <c r="Z12" s="54" t="str">
        <f aca="false">IF($V12="","",SUMIFS(资金流水!$N$5:$N$504,资金流水!$I$5:$I$504,$V12,资金流水!$D$5:$D$504,"收入",资金流水!$C$5:$C$504,首页!$B$5))</f>
        <v/>
      </c>
      <c r="AA12" s="54" t="str">
        <f aca="false">IF($V12="","",SUMIFS(资金流水!$N$5:$N$504,资金流水!$I$5:$I$504,$V12,资金流水!$D$5:$D$504,"支出",资金流水!$C$5:$C$504,首页!$B$5))</f>
        <v/>
      </c>
    </row>
    <row r="13" customFormat="false" ht="15.75" hidden="false" customHeight="true" outlineLevel="0" collapsed="false">
      <c r="A13" s="35" t="str">
        <f aca="false">IF(应收跟进!$A13="","",应收跟进!$A13)</f>
        <v/>
      </c>
      <c r="B13" s="54" t="str">
        <f aca="false">IF($A13="","",应收跟进!$D13)</f>
        <v/>
      </c>
      <c r="C13" s="54" t="str">
        <f aca="false">IF($A13="","",应收跟进!$E13)</f>
        <v/>
      </c>
      <c r="D13" s="54" t="str">
        <f aca="false">IF($A13="","",应收跟进!$F13)</f>
        <v/>
      </c>
      <c r="E13" s="54" t="str">
        <f aca="false">IF($A13="","",应收跟进!$L13)</f>
        <v/>
      </c>
      <c r="F13" s="42" t="str">
        <f aca="false">IF($A13="","",应收跟进!$N13)</f>
        <v/>
      </c>
      <c r="H13" s="35" t="str">
        <f aca="false">IF(应付跟进!$A13="","",应付跟进!$A13)</f>
        <v/>
      </c>
      <c r="I13" s="54" t="str">
        <f aca="false">IF($H13="","",应付跟进!$D13)</f>
        <v/>
      </c>
      <c r="J13" s="54" t="str">
        <f aca="false">IF($H13="","",应付跟进!$E13)</f>
        <v/>
      </c>
      <c r="K13" s="54" t="str">
        <f aca="false">IF($H13="","",应付跟进!$F13)</f>
        <v/>
      </c>
      <c r="L13" s="54" t="str">
        <f aca="false">IF($H13="","",应付跟进!$L13)</f>
        <v/>
      </c>
      <c r="M13" s="42" t="str">
        <f aca="false">IF($H13="","",应付跟进!$N13)</f>
        <v/>
      </c>
      <c r="O13" s="42" t="str">
        <f aca="false">IF(基础资料!$G13="","",基础资料!$G13)</f>
        <v/>
      </c>
      <c r="P13" s="54" t="str">
        <f aca="false">IF($O13="","",SUMIFS(销售录入!$O$5:$O$404,销售录入!$I$5:$I$404,$O13,销售录入!$C$5:$C$404,首页!$B$5))</f>
        <v/>
      </c>
      <c r="Q13" s="54" t="str">
        <f aca="false">IF($O13="","",SUMIFS(销售录入!$S$5:$S$404,销售录入!$I$5:$I$404,$O13,销售录入!$C$5:$C$404,首页!$B$5))</f>
        <v/>
      </c>
      <c r="R13" s="44" t="str">
        <f aca="false">IF($O13="","",$P13-$Q13)</f>
        <v/>
      </c>
      <c r="S13" s="54" t="str">
        <f aca="false">IF($O13="","",SUMIFS(资金流水!$N$5:$N$504,资金流水!$H$5:$H$504,$O13,资金流水!$O$5:$O$504,"66*",资金流水!$C$5:$C$504,首页!$B$5)+SUMIFS(其他凭证!$H$5:$H$304,其他凭证!$I$5:$I$304,$O13,其他凭证!$F$5:$F$304,"66*",其他凭证!$C$5:$C$304,首页!$B$5)+SUMIFS(采购录入!$W$5:$W$404,采购录入!$K$5:$K$404,$O13,采购录入!$U$5:$U$404,"66*",采购录入!$C$5:$C$404,首页!$B$5)+SUMIFS(资金流水!$N$5:$N$504,资金流水!$H$5:$H$504,$O13,资金流水!$O$5:$O$504,"6403",资金流水!$C$5:$C$504,首页!$B$5)+SUMIFS(其他凭证!$H$5:$H$304,其他凭证!$I$5:$I$304,$O13,其他凭证!$F$5:$F$304,"6403",其他凭证!$C$5:$C$304,首页!$B$5)+SUMIFS(采购录入!$W$5:$W$404,采购录入!$K$5:$K$404,$O13,采购录入!$U$5:$U$404,"6403",采购录入!$C$5:$C$404,首页!$B$5)+SUMIFS(资金流水!$N$5:$N$504,资金流水!$H$5:$H$504,$O13,资金流水!$O$5:$O$504,"6711",资金流水!$C$5:$C$504,首页!$B$5)+SUMIFS(其他凭证!$H$5:$H$304,其他凭证!$I$5:$I$304,$O13,其他凭证!$F$5:$F$304,"6711",其他凭证!$C$5:$C$304,首页!$B$5)+SUMIFS(采购录入!$W$5:$W$404,采购录入!$K$5:$K$404,$O13,采购录入!$U$5:$U$404,"6711",采购录入!$C$5:$C$404,首页!$B$5))</f>
        <v/>
      </c>
      <c r="T13" s="62" t="str">
        <f aca="false">IF($O13="","",$R13-$S13)</f>
        <v/>
      </c>
      <c r="V13" s="42" t="str">
        <f aca="false">IF(基础资料!$K13="","",基础资料!$K13)</f>
        <v/>
      </c>
      <c r="W13" s="42" t="str">
        <f aca="false">IF($V13="","",基础资料!$L13)</f>
        <v/>
      </c>
      <c r="X13" s="54" t="str">
        <f aca="false">IF($V13="","",SUMIFS(销售录入!$O$5:$O$404,销售录入!$J$5:$J$404,$V13,销售录入!$C$5:$C$404,首页!$B$5))</f>
        <v/>
      </c>
      <c r="Y13" s="54" t="str">
        <f aca="false">IF($V13="","",SUMIFS(采购录入!$Q$5:$Q$404,采购录入!$L$5:$L$404,$V13,采购录入!$C$5:$C$404,首页!$B$5))</f>
        <v/>
      </c>
      <c r="Z13" s="54" t="str">
        <f aca="false">IF($V13="","",SUMIFS(资金流水!$N$5:$N$504,资金流水!$I$5:$I$504,$V13,资金流水!$D$5:$D$504,"收入",资金流水!$C$5:$C$504,首页!$B$5))</f>
        <v/>
      </c>
      <c r="AA13" s="54" t="str">
        <f aca="false">IF($V13="","",SUMIFS(资金流水!$N$5:$N$504,资金流水!$I$5:$I$504,$V13,资金流水!$D$5:$D$504,"支出",资金流水!$C$5:$C$504,首页!$B$5))</f>
        <v/>
      </c>
    </row>
    <row r="14" customFormat="false" ht="15.75" hidden="false" customHeight="true" outlineLevel="0" collapsed="false">
      <c r="A14" s="35" t="str">
        <f aca="false">IF(应收跟进!$A14="","",应收跟进!$A14)</f>
        <v/>
      </c>
      <c r="B14" s="54" t="str">
        <f aca="false">IF($A14="","",应收跟进!$D14)</f>
        <v/>
      </c>
      <c r="C14" s="54" t="str">
        <f aca="false">IF($A14="","",应收跟进!$E14)</f>
        <v/>
      </c>
      <c r="D14" s="54" t="str">
        <f aca="false">IF($A14="","",应收跟进!$F14)</f>
        <v/>
      </c>
      <c r="E14" s="54" t="str">
        <f aca="false">IF($A14="","",应收跟进!$L14)</f>
        <v/>
      </c>
      <c r="F14" s="42" t="str">
        <f aca="false">IF($A14="","",应收跟进!$N14)</f>
        <v/>
      </c>
      <c r="H14" s="35" t="str">
        <f aca="false">IF(应付跟进!$A14="","",应付跟进!$A14)</f>
        <v/>
      </c>
      <c r="I14" s="54" t="str">
        <f aca="false">IF($H14="","",应付跟进!$D14)</f>
        <v/>
      </c>
      <c r="J14" s="54" t="str">
        <f aca="false">IF($H14="","",应付跟进!$E14)</f>
        <v/>
      </c>
      <c r="K14" s="54" t="str">
        <f aca="false">IF($H14="","",应付跟进!$F14)</f>
        <v/>
      </c>
      <c r="L14" s="54" t="str">
        <f aca="false">IF($H14="","",应付跟进!$L14)</f>
        <v/>
      </c>
      <c r="M14" s="42" t="str">
        <f aca="false">IF($H14="","",应付跟进!$N14)</f>
        <v/>
      </c>
      <c r="O14" s="42" t="str">
        <f aca="false">IF(基础资料!$G14="","",基础资料!$G14)</f>
        <v/>
      </c>
      <c r="P14" s="54" t="str">
        <f aca="false">IF($O14="","",SUMIFS(销售录入!$O$5:$O$404,销售录入!$I$5:$I$404,$O14,销售录入!$C$5:$C$404,首页!$B$5))</f>
        <v/>
      </c>
      <c r="Q14" s="54" t="str">
        <f aca="false">IF($O14="","",SUMIFS(销售录入!$S$5:$S$404,销售录入!$I$5:$I$404,$O14,销售录入!$C$5:$C$404,首页!$B$5))</f>
        <v/>
      </c>
      <c r="R14" s="44" t="str">
        <f aca="false">IF($O14="","",$P14-$Q14)</f>
        <v/>
      </c>
      <c r="S14" s="54" t="str">
        <f aca="false">IF($O14="","",SUMIFS(资金流水!$N$5:$N$504,资金流水!$H$5:$H$504,$O14,资金流水!$O$5:$O$504,"66*",资金流水!$C$5:$C$504,首页!$B$5)+SUMIFS(其他凭证!$H$5:$H$304,其他凭证!$I$5:$I$304,$O14,其他凭证!$F$5:$F$304,"66*",其他凭证!$C$5:$C$304,首页!$B$5)+SUMIFS(采购录入!$W$5:$W$404,采购录入!$K$5:$K$404,$O14,采购录入!$U$5:$U$404,"66*",采购录入!$C$5:$C$404,首页!$B$5)+SUMIFS(资金流水!$N$5:$N$504,资金流水!$H$5:$H$504,$O14,资金流水!$O$5:$O$504,"6403",资金流水!$C$5:$C$504,首页!$B$5)+SUMIFS(其他凭证!$H$5:$H$304,其他凭证!$I$5:$I$304,$O14,其他凭证!$F$5:$F$304,"6403",其他凭证!$C$5:$C$304,首页!$B$5)+SUMIFS(采购录入!$W$5:$W$404,采购录入!$K$5:$K$404,$O14,采购录入!$U$5:$U$404,"6403",采购录入!$C$5:$C$404,首页!$B$5)+SUMIFS(资金流水!$N$5:$N$504,资金流水!$H$5:$H$504,$O14,资金流水!$O$5:$O$504,"6711",资金流水!$C$5:$C$504,首页!$B$5)+SUMIFS(其他凭证!$H$5:$H$304,其他凭证!$I$5:$I$304,$O14,其他凭证!$F$5:$F$304,"6711",其他凭证!$C$5:$C$304,首页!$B$5)+SUMIFS(采购录入!$W$5:$W$404,采购录入!$K$5:$K$404,$O14,采购录入!$U$5:$U$404,"6711",采购录入!$C$5:$C$404,首页!$B$5))</f>
        <v/>
      </c>
      <c r="T14" s="62" t="str">
        <f aca="false">IF($O14="","",$R14-$S14)</f>
        <v/>
      </c>
      <c r="V14" s="42" t="str">
        <f aca="false">IF(基础资料!$K14="","",基础资料!$K14)</f>
        <v/>
      </c>
      <c r="W14" s="42" t="str">
        <f aca="false">IF($V14="","",基础资料!$L14)</f>
        <v/>
      </c>
      <c r="X14" s="54" t="str">
        <f aca="false">IF($V14="","",SUMIFS(销售录入!$O$5:$O$404,销售录入!$J$5:$J$404,$V14,销售录入!$C$5:$C$404,首页!$B$5))</f>
        <v/>
      </c>
      <c r="Y14" s="54" t="str">
        <f aca="false">IF($V14="","",SUMIFS(采购录入!$Q$5:$Q$404,采购录入!$L$5:$L$404,$V14,采购录入!$C$5:$C$404,首页!$B$5))</f>
        <v/>
      </c>
      <c r="Z14" s="54" t="str">
        <f aca="false">IF($V14="","",SUMIFS(资金流水!$N$5:$N$504,资金流水!$I$5:$I$504,$V14,资金流水!$D$5:$D$504,"收入",资金流水!$C$5:$C$504,首页!$B$5))</f>
        <v/>
      </c>
      <c r="AA14" s="54" t="str">
        <f aca="false">IF($V14="","",SUMIFS(资金流水!$N$5:$N$504,资金流水!$I$5:$I$504,$V14,资金流水!$D$5:$D$504,"支出",资金流水!$C$5:$C$504,首页!$B$5))</f>
        <v/>
      </c>
    </row>
    <row r="15" customFormat="false" ht="15.75" hidden="false" customHeight="true" outlineLevel="0" collapsed="false">
      <c r="A15" s="35" t="str">
        <f aca="false">IF(应收跟进!$A15="","",应收跟进!$A15)</f>
        <v/>
      </c>
      <c r="B15" s="54" t="str">
        <f aca="false">IF($A15="","",应收跟进!$D15)</f>
        <v/>
      </c>
      <c r="C15" s="54" t="str">
        <f aca="false">IF($A15="","",应收跟进!$E15)</f>
        <v/>
      </c>
      <c r="D15" s="54" t="str">
        <f aca="false">IF($A15="","",应收跟进!$F15)</f>
        <v/>
      </c>
      <c r="E15" s="54" t="str">
        <f aca="false">IF($A15="","",应收跟进!$L15)</f>
        <v/>
      </c>
      <c r="F15" s="42" t="str">
        <f aca="false">IF($A15="","",应收跟进!$N15)</f>
        <v/>
      </c>
      <c r="H15" s="35" t="str">
        <f aca="false">IF(应付跟进!$A15="","",应付跟进!$A15)</f>
        <v/>
      </c>
      <c r="I15" s="54" t="str">
        <f aca="false">IF($H15="","",应付跟进!$D15)</f>
        <v/>
      </c>
      <c r="J15" s="54" t="str">
        <f aca="false">IF($H15="","",应付跟进!$E15)</f>
        <v/>
      </c>
      <c r="K15" s="54" t="str">
        <f aca="false">IF($H15="","",应付跟进!$F15)</f>
        <v/>
      </c>
      <c r="L15" s="54" t="str">
        <f aca="false">IF($H15="","",应付跟进!$L15)</f>
        <v/>
      </c>
      <c r="M15" s="42" t="str">
        <f aca="false">IF($H15="","",应付跟进!$N15)</f>
        <v/>
      </c>
      <c r="O15" s="42" t="str">
        <f aca="false">IF(基础资料!$G15="","",基础资料!$G15)</f>
        <v/>
      </c>
      <c r="P15" s="54" t="str">
        <f aca="false">IF($O15="","",SUMIFS(销售录入!$O$5:$O$404,销售录入!$I$5:$I$404,$O15,销售录入!$C$5:$C$404,首页!$B$5))</f>
        <v/>
      </c>
      <c r="Q15" s="54" t="str">
        <f aca="false">IF($O15="","",SUMIFS(销售录入!$S$5:$S$404,销售录入!$I$5:$I$404,$O15,销售录入!$C$5:$C$404,首页!$B$5))</f>
        <v/>
      </c>
      <c r="R15" s="44" t="str">
        <f aca="false">IF($O15="","",$P15-$Q15)</f>
        <v/>
      </c>
      <c r="S15" s="54" t="str">
        <f aca="false">IF($O15="","",SUMIFS(资金流水!$N$5:$N$504,资金流水!$H$5:$H$504,$O15,资金流水!$O$5:$O$504,"66*",资金流水!$C$5:$C$504,首页!$B$5)+SUMIFS(其他凭证!$H$5:$H$304,其他凭证!$I$5:$I$304,$O15,其他凭证!$F$5:$F$304,"66*",其他凭证!$C$5:$C$304,首页!$B$5)+SUMIFS(采购录入!$W$5:$W$404,采购录入!$K$5:$K$404,$O15,采购录入!$U$5:$U$404,"66*",采购录入!$C$5:$C$404,首页!$B$5)+SUMIFS(资金流水!$N$5:$N$504,资金流水!$H$5:$H$504,$O15,资金流水!$O$5:$O$504,"6403",资金流水!$C$5:$C$504,首页!$B$5)+SUMIFS(其他凭证!$H$5:$H$304,其他凭证!$I$5:$I$304,$O15,其他凭证!$F$5:$F$304,"6403",其他凭证!$C$5:$C$304,首页!$B$5)+SUMIFS(采购录入!$W$5:$W$404,采购录入!$K$5:$K$404,$O15,采购录入!$U$5:$U$404,"6403",采购录入!$C$5:$C$404,首页!$B$5)+SUMIFS(资金流水!$N$5:$N$504,资金流水!$H$5:$H$504,$O15,资金流水!$O$5:$O$504,"6711",资金流水!$C$5:$C$504,首页!$B$5)+SUMIFS(其他凭证!$H$5:$H$304,其他凭证!$I$5:$I$304,$O15,其他凭证!$F$5:$F$304,"6711",其他凭证!$C$5:$C$304,首页!$B$5)+SUMIFS(采购录入!$W$5:$W$404,采购录入!$K$5:$K$404,$O15,采购录入!$U$5:$U$404,"6711",采购录入!$C$5:$C$404,首页!$B$5))</f>
        <v/>
      </c>
      <c r="T15" s="62" t="str">
        <f aca="false">IF($O15="","",$R15-$S15)</f>
        <v/>
      </c>
      <c r="V15" s="42" t="str">
        <f aca="false">IF(基础资料!$K15="","",基础资料!$K15)</f>
        <v/>
      </c>
      <c r="W15" s="42" t="str">
        <f aca="false">IF($V15="","",基础资料!$L15)</f>
        <v/>
      </c>
      <c r="X15" s="54" t="str">
        <f aca="false">IF($V15="","",SUMIFS(销售录入!$O$5:$O$404,销售录入!$J$5:$J$404,$V15,销售录入!$C$5:$C$404,首页!$B$5))</f>
        <v/>
      </c>
      <c r="Y15" s="54" t="str">
        <f aca="false">IF($V15="","",SUMIFS(采购录入!$Q$5:$Q$404,采购录入!$L$5:$L$404,$V15,采购录入!$C$5:$C$404,首页!$B$5))</f>
        <v/>
      </c>
      <c r="Z15" s="54" t="str">
        <f aca="false">IF($V15="","",SUMIFS(资金流水!$N$5:$N$504,资金流水!$I$5:$I$504,$V15,资金流水!$D$5:$D$504,"收入",资金流水!$C$5:$C$504,首页!$B$5))</f>
        <v/>
      </c>
      <c r="AA15" s="54" t="str">
        <f aca="false">IF($V15="","",SUMIFS(资金流水!$N$5:$N$504,资金流水!$I$5:$I$504,$V15,资金流水!$D$5:$D$504,"支出",资金流水!$C$5:$C$504,首页!$B$5))</f>
        <v/>
      </c>
    </row>
    <row r="16" customFormat="false" ht="15.75" hidden="false" customHeight="true" outlineLevel="0" collapsed="false">
      <c r="A16" s="35" t="str">
        <f aca="false">IF(应收跟进!$A16="","",应收跟进!$A16)</f>
        <v/>
      </c>
      <c r="B16" s="54" t="str">
        <f aca="false">IF($A16="","",应收跟进!$D16)</f>
        <v/>
      </c>
      <c r="C16" s="54" t="str">
        <f aca="false">IF($A16="","",应收跟进!$E16)</f>
        <v/>
      </c>
      <c r="D16" s="54" t="str">
        <f aca="false">IF($A16="","",应收跟进!$F16)</f>
        <v/>
      </c>
      <c r="E16" s="54" t="str">
        <f aca="false">IF($A16="","",应收跟进!$L16)</f>
        <v/>
      </c>
      <c r="F16" s="42" t="str">
        <f aca="false">IF($A16="","",应收跟进!$N16)</f>
        <v/>
      </c>
      <c r="H16" s="35" t="str">
        <f aca="false">IF(应付跟进!$A16="","",应付跟进!$A16)</f>
        <v/>
      </c>
      <c r="I16" s="54" t="str">
        <f aca="false">IF($H16="","",应付跟进!$D16)</f>
        <v/>
      </c>
      <c r="J16" s="54" t="str">
        <f aca="false">IF($H16="","",应付跟进!$E16)</f>
        <v/>
      </c>
      <c r="K16" s="54" t="str">
        <f aca="false">IF($H16="","",应付跟进!$F16)</f>
        <v/>
      </c>
      <c r="L16" s="54" t="str">
        <f aca="false">IF($H16="","",应付跟进!$L16)</f>
        <v/>
      </c>
      <c r="M16" s="42" t="str">
        <f aca="false">IF($H16="","",应付跟进!$N16)</f>
        <v/>
      </c>
      <c r="O16" s="42" t="str">
        <f aca="false">IF(基础资料!$G16="","",基础资料!$G16)</f>
        <v/>
      </c>
      <c r="P16" s="54" t="str">
        <f aca="false">IF($O16="","",SUMIFS(销售录入!$O$5:$O$404,销售录入!$I$5:$I$404,$O16,销售录入!$C$5:$C$404,首页!$B$5))</f>
        <v/>
      </c>
      <c r="Q16" s="54" t="str">
        <f aca="false">IF($O16="","",SUMIFS(销售录入!$S$5:$S$404,销售录入!$I$5:$I$404,$O16,销售录入!$C$5:$C$404,首页!$B$5))</f>
        <v/>
      </c>
      <c r="R16" s="44" t="str">
        <f aca="false">IF($O16="","",$P16-$Q16)</f>
        <v/>
      </c>
      <c r="S16" s="54" t="str">
        <f aca="false">IF($O16="","",SUMIFS(资金流水!$N$5:$N$504,资金流水!$H$5:$H$504,$O16,资金流水!$O$5:$O$504,"66*",资金流水!$C$5:$C$504,首页!$B$5)+SUMIFS(其他凭证!$H$5:$H$304,其他凭证!$I$5:$I$304,$O16,其他凭证!$F$5:$F$304,"66*",其他凭证!$C$5:$C$304,首页!$B$5)+SUMIFS(采购录入!$W$5:$W$404,采购录入!$K$5:$K$404,$O16,采购录入!$U$5:$U$404,"66*",采购录入!$C$5:$C$404,首页!$B$5)+SUMIFS(资金流水!$N$5:$N$504,资金流水!$H$5:$H$504,$O16,资金流水!$O$5:$O$504,"6403",资金流水!$C$5:$C$504,首页!$B$5)+SUMIFS(其他凭证!$H$5:$H$304,其他凭证!$I$5:$I$304,$O16,其他凭证!$F$5:$F$304,"6403",其他凭证!$C$5:$C$304,首页!$B$5)+SUMIFS(采购录入!$W$5:$W$404,采购录入!$K$5:$K$404,$O16,采购录入!$U$5:$U$404,"6403",采购录入!$C$5:$C$404,首页!$B$5)+SUMIFS(资金流水!$N$5:$N$504,资金流水!$H$5:$H$504,$O16,资金流水!$O$5:$O$504,"6711",资金流水!$C$5:$C$504,首页!$B$5)+SUMIFS(其他凭证!$H$5:$H$304,其他凭证!$I$5:$I$304,$O16,其他凭证!$F$5:$F$304,"6711",其他凭证!$C$5:$C$304,首页!$B$5)+SUMIFS(采购录入!$W$5:$W$404,采购录入!$K$5:$K$404,$O16,采购录入!$U$5:$U$404,"6711",采购录入!$C$5:$C$404,首页!$B$5))</f>
        <v/>
      </c>
      <c r="T16" s="62" t="str">
        <f aca="false">IF($O16="","",$R16-$S16)</f>
        <v/>
      </c>
      <c r="V16" s="42" t="str">
        <f aca="false">IF(基础资料!$K16="","",基础资料!$K16)</f>
        <v/>
      </c>
      <c r="W16" s="42" t="str">
        <f aca="false">IF($V16="","",基础资料!$L16)</f>
        <v/>
      </c>
      <c r="X16" s="54" t="str">
        <f aca="false">IF($V16="","",SUMIFS(销售录入!$O$5:$O$404,销售录入!$J$5:$J$404,$V16,销售录入!$C$5:$C$404,首页!$B$5))</f>
        <v/>
      </c>
      <c r="Y16" s="54" t="str">
        <f aca="false">IF($V16="","",SUMIFS(采购录入!$Q$5:$Q$404,采购录入!$L$5:$L$404,$V16,采购录入!$C$5:$C$404,首页!$B$5))</f>
        <v/>
      </c>
      <c r="Z16" s="54" t="str">
        <f aca="false">IF($V16="","",SUMIFS(资金流水!$N$5:$N$504,资金流水!$I$5:$I$504,$V16,资金流水!$D$5:$D$504,"收入",资金流水!$C$5:$C$504,首页!$B$5))</f>
        <v/>
      </c>
      <c r="AA16" s="54" t="str">
        <f aca="false">IF($V16="","",SUMIFS(资金流水!$N$5:$N$504,资金流水!$I$5:$I$504,$V16,资金流水!$D$5:$D$504,"支出",资金流水!$C$5:$C$504,首页!$B$5))</f>
        <v/>
      </c>
    </row>
    <row r="17" customFormat="false" ht="15.75" hidden="false" customHeight="true" outlineLevel="0" collapsed="false">
      <c r="A17" s="35" t="str">
        <f aca="false">IF(应收跟进!$A17="","",应收跟进!$A17)</f>
        <v/>
      </c>
      <c r="B17" s="54" t="str">
        <f aca="false">IF($A17="","",应收跟进!$D17)</f>
        <v/>
      </c>
      <c r="C17" s="54" t="str">
        <f aca="false">IF($A17="","",应收跟进!$E17)</f>
        <v/>
      </c>
      <c r="D17" s="54" t="str">
        <f aca="false">IF($A17="","",应收跟进!$F17)</f>
        <v/>
      </c>
      <c r="E17" s="54" t="str">
        <f aca="false">IF($A17="","",应收跟进!$L17)</f>
        <v/>
      </c>
      <c r="F17" s="42" t="str">
        <f aca="false">IF($A17="","",应收跟进!$N17)</f>
        <v/>
      </c>
      <c r="H17" s="35" t="str">
        <f aca="false">IF(应付跟进!$A17="","",应付跟进!$A17)</f>
        <v/>
      </c>
      <c r="I17" s="54" t="str">
        <f aca="false">IF($H17="","",应付跟进!$D17)</f>
        <v/>
      </c>
      <c r="J17" s="54" t="str">
        <f aca="false">IF($H17="","",应付跟进!$E17)</f>
        <v/>
      </c>
      <c r="K17" s="54" t="str">
        <f aca="false">IF($H17="","",应付跟进!$F17)</f>
        <v/>
      </c>
      <c r="L17" s="54" t="str">
        <f aca="false">IF($H17="","",应付跟进!$L17)</f>
        <v/>
      </c>
      <c r="M17" s="42" t="str">
        <f aca="false">IF($H17="","",应付跟进!$N17)</f>
        <v/>
      </c>
      <c r="O17" s="42" t="str">
        <f aca="false">IF(基础资料!$G17="","",基础资料!$G17)</f>
        <v/>
      </c>
      <c r="P17" s="54" t="str">
        <f aca="false">IF($O17="","",SUMIFS(销售录入!$O$5:$O$404,销售录入!$I$5:$I$404,$O17,销售录入!$C$5:$C$404,首页!$B$5))</f>
        <v/>
      </c>
      <c r="Q17" s="54" t="str">
        <f aca="false">IF($O17="","",SUMIFS(销售录入!$S$5:$S$404,销售录入!$I$5:$I$404,$O17,销售录入!$C$5:$C$404,首页!$B$5))</f>
        <v/>
      </c>
      <c r="R17" s="44" t="str">
        <f aca="false">IF($O17="","",$P17-$Q17)</f>
        <v/>
      </c>
      <c r="S17" s="54" t="str">
        <f aca="false">IF($O17="","",SUMIFS(资金流水!$N$5:$N$504,资金流水!$H$5:$H$504,$O17,资金流水!$O$5:$O$504,"66*",资金流水!$C$5:$C$504,首页!$B$5)+SUMIFS(其他凭证!$H$5:$H$304,其他凭证!$I$5:$I$304,$O17,其他凭证!$F$5:$F$304,"66*",其他凭证!$C$5:$C$304,首页!$B$5)+SUMIFS(采购录入!$W$5:$W$404,采购录入!$K$5:$K$404,$O17,采购录入!$U$5:$U$404,"66*",采购录入!$C$5:$C$404,首页!$B$5)+SUMIFS(资金流水!$N$5:$N$504,资金流水!$H$5:$H$504,$O17,资金流水!$O$5:$O$504,"6403",资金流水!$C$5:$C$504,首页!$B$5)+SUMIFS(其他凭证!$H$5:$H$304,其他凭证!$I$5:$I$304,$O17,其他凭证!$F$5:$F$304,"6403",其他凭证!$C$5:$C$304,首页!$B$5)+SUMIFS(采购录入!$W$5:$W$404,采购录入!$K$5:$K$404,$O17,采购录入!$U$5:$U$404,"6403",采购录入!$C$5:$C$404,首页!$B$5)+SUMIFS(资金流水!$N$5:$N$504,资金流水!$H$5:$H$504,$O17,资金流水!$O$5:$O$504,"6711",资金流水!$C$5:$C$504,首页!$B$5)+SUMIFS(其他凭证!$H$5:$H$304,其他凭证!$I$5:$I$304,$O17,其他凭证!$F$5:$F$304,"6711",其他凭证!$C$5:$C$304,首页!$B$5)+SUMIFS(采购录入!$W$5:$W$404,采购录入!$K$5:$K$404,$O17,采购录入!$U$5:$U$404,"6711",采购录入!$C$5:$C$404,首页!$B$5))</f>
        <v/>
      </c>
      <c r="T17" s="62" t="str">
        <f aca="false">IF($O17="","",$R17-$S17)</f>
        <v/>
      </c>
      <c r="V17" s="42" t="str">
        <f aca="false">IF(基础资料!$K17="","",基础资料!$K17)</f>
        <v/>
      </c>
      <c r="W17" s="42" t="str">
        <f aca="false">IF($V17="","",基础资料!$L17)</f>
        <v/>
      </c>
      <c r="X17" s="54" t="str">
        <f aca="false">IF($V17="","",SUMIFS(销售录入!$O$5:$O$404,销售录入!$J$5:$J$404,$V17,销售录入!$C$5:$C$404,首页!$B$5))</f>
        <v/>
      </c>
      <c r="Y17" s="54" t="str">
        <f aca="false">IF($V17="","",SUMIFS(采购录入!$Q$5:$Q$404,采购录入!$L$5:$L$404,$V17,采购录入!$C$5:$C$404,首页!$B$5))</f>
        <v/>
      </c>
      <c r="Z17" s="54" t="str">
        <f aca="false">IF($V17="","",SUMIFS(资金流水!$N$5:$N$504,资金流水!$I$5:$I$504,$V17,资金流水!$D$5:$D$504,"收入",资金流水!$C$5:$C$504,首页!$B$5))</f>
        <v/>
      </c>
      <c r="AA17" s="54" t="str">
        <f aca="false">IF($V17="","",SUMIFS(资金流水!$N$5:$N$504,资金流水!$I$5:$I$504,$V17,资金流水!$D$5:$D$504,"支出",资金流水!$C$5:$C$504,首页!$B$5))</f>
        <v/>
      </c>
    </row>
    <row r="18" customFormat="false" ht="15.75" hidden="false" customHeight="true" outlineLevel="0" collapsed="false">
      <c r="A18" s="35" t="str">
        <f aca="false">IF(应收跟进!$A18="","",应收跟进!$A18)</f>
        <v/>
      </c>
      <c r="B18" s="54" t="str">
        <f aca="false">IF($A18="","",应收跟进!$D18)</f>
        <v/>
      </c>
      <c r="C18" s="54" t="str">
        <f aca="false">IF($A18="","",应收跟进!$E18)</f>
        <v/>
      </c>
      <c r="D18" s="54" t="str">
        <f aca="false">IF($A18="","",应收跟进!$F18)</f>
        <v/>
      </c>
      <c r="E18" s="54" t="str">
        <f aca="false">IF($A18="","",应收跟进!$L18)</f>
        <v/>
      </c>
      <c r="F18" s="42" t="str">
        <f aca="false">IF($A18="","",应收跟进!$N18)</f>
        <v/>
      </c>
      <c r="H18" s="35" t="str">
        <f aca="false">IF(应付跟进!$A18="","",应付跟进!$A18)</f>
        <v/>
      </c>
      <c r="I18" s="54" t="str">
        <f aca="false">IF($H18="","",应付跟进!$D18)</f>
        <v/>
      </c>
      <c r="J18" s="54" t="str">
        <f aca="false">IF($H18="","",应付跟进!$E18)</f>
        <v/>
      </c>
      <c r="K18" s="54" t="str">
        <f aca="false">IF($H18="","",应付跟进!$F18)</f>
        <v/>
      </c>
      <c r="L18" s="54" t="str">
        <f aca="false">IF($H18="","",应付跟进!$L18)</f>
        <v/>
      </c>
      <c r="M18" s="42" t="str">
        <f aca="false">IF($H18="","",应付跟进!$N18)</f>
        <v/>
      </c>
      <c r="O18" s="42" t="str">
        <f aca="false">IF(基础资料!$G18="","",基础资料!$G18)</f>
        <v/>
      </c>
      <c r="P18" s="54" t="str">
        <f aca="false">IF($O18="","",SUMIFS(销售录入!$O$5:$O$404,销售录入!$I$5:$I$404,$O18,销售录入!$C$5:$C$404,首页!$B$5))</f>
        <v/>
      </c>
      <c r="Q18" s="54" t="str">
        <f aca="false">IF($O18="","",SUMIFS(销售录入!$S$5:$S$404,销售录入!$I$5:$I$404,$O18,销售录入!$C$5:$C$404,首页!$B$5))</f>
        <v/>
      </c>
      <c r="R18" s="44" t="str">
        <f aca="false">IF($O18="","",$P18-$Q18)</f>
        <v/>
      </c>
      <c r="S18" s="54" t="str">
        <f aca="false">IF($O18="","",SUMIFS(资金流水!$N$5:$N$504,资金流水!$H$5:$H$504,$O18,资金流水!$O$5:$O$504,"66*",资金流水!$C$5:$C$504,首页!$B$5)+SUMIFS(其他凭证!$H$5:$H$304,其他凭证!$I$5:$I$304,$O18,其他凭证!$F$5:$F$304,"66*",其他凭证!$C$5:$C$304,首页!$B$5)+SUMIFS(采购录入!$W$5:$W$404,采购录入!$K$5:$K$404,$O18,采购录入!$U$5:$U$404,"66*",采购录入!$C$5:$C$404,首页!$B$5)+SUMIFS(资金流水!$N$5:$N$504,资金流水!$H$5:$H$504,$O18,资金流水!$O$5:$O$504,"6403",资金流水!$C$5:$C$504,首页!$B$5)+SUMIFS(其他凭证!$H$5:$H$304,其他凭证!$I$5:$I$304,$O18,其他凭证!$F$5:$F$304,"6403",其他凭证!$C$5:$C$304,首页!$B$5)+SUMIFS(采购录入!$W$5:$W$404,采购录入!$K$5:$K$404,$O18,采购录入!$U$5:$U$404,"6403",采购录入!$C$5:$C$404,首页!$B$5)+SUMIFS(资金流水!$N$5:$N$504,资金流水!$H$5:$H$504,$O18,资金流水!$O$5:$O$504,"6711",资金流水!$C$5:$C$504,首页!$B$5)+SUMIFS(其他凭证!$H$5:$H$304,其他凭证!$I$5:$I$304,$O18,其他凭证!$F$5:$F$304,"6711",其他凭证!$C$5:$C$304,首页!$B$5)+SUMIFS(采购录入!$W$5:$W$404,采购录入!$K$5:$K$404,$O18,采购录入!$U$5:$U$404,"6711",采购录入!$C$5:$C$404,首页!$B$5))</f>
        <v/>
      </c>
      <c r="T18" s="62" t="str">
        <f aca="false">IF($O18="","",$R18-$S18)</f>
        <v/>
      </c>
      <c r="V18" s="42" t="str">
        <f aca="false">IF(基础资料!$K18="","",基础资料!$K18)</f>
        <v/>
      </c>
      <c r="W18" s="42" t="str">
        <f aca="false">IF($V18="","",基础资料!$L18)</f>
        <v/>
      </c>
      <c r="X18" s="54" t="str">
        <f aca="false">IF($V18="","",SUMIFS(销售录入!$O$5:$O$404,销售录入!$J$5:$J$404,$V18,销售录入!$C$5:$C$404,首页!$B$5))</f>
        <v/>
      </c>
      <c r="Y18" s="54" t="str">
        <f aca="false">IF($V18="","",SUMIFS(采购录入!$Q$5:$Q$404,采购录入!$L$5:$L$404,$V18,采购录入!$C$5:$C$404,首页!$B$5))</f>
        <v/>
      </c>
      <c r="Z18" s="54" t="str">
        <f aca="false">IF($V18="","",SUMIFS(资金流水!$N$5:$N$504,资金流水!$I$5:$I$504,$V18,资金流水!$D$5:$D$504,"收入",资金流水!$C$5:$C$504,首页!$B$5))</f>
        <v/>
      </c>
      <c r="AA18" s="54" t="str">
        <f aca="false">IF($V18="","",SUMIFS(资金流水!$N$5:$N$504,资金流水!$I$5:$I$504,$V18,资金流水!$D$5:$D$504,"支出",资金流水!$C$5:$C$504,首页!$B$5))</f>
        <v/>
      </c>
    </row>
    <row r="19" customFormat="false" ht="15.75" hidden="false" customHeight="true" outlineLevel="0" collapsed="false">
      <c r="A19" s="35" t="str">
        <f aca="false">IF(应收跟进!$A19="","",应收跟进!$A19)</f>
        <v/>
      </c>
      <c r="B19" s="54" t="str">
        <f aca="false">IF($A19="","",应收跟进!$D19)</f>
        <v/>
      </c>
      <c r="C19" s="54" t="str">
        <f aca="false">IF($A19="","",应收跟进!$E19)</f>
        <v/>
      </c>
      <c r="D19" s="54" t="str">
        <f aca="false">IF($A19="","",应收跟进!$F19)</f>
        <v/>
      </c>
      <c r="E19" s="54" t="str">
        <f aca="false">IF($A19="","",应收跟进!$L19)</f>
        <v/>
      </c>
      <c r="F19" s="42" t="str">
        <f aca="false">IF($A19="","",应收跟进!$N19)</f>
        <v/>
      </c>
      <c r="H19" s="35" t="str">
        <f aca="false">IF(应付跟进!$A19="","",应付跟进!$A19)</f>
        <v/>
      </c>
      <c r="I19" s="54" t="str">
        <f aca="false">IF($H19="","",应付跟进!$D19)</f>
        <v/>
      </c>
      <c r="J19" s="54" t="str">
        <f aca="false">IF($H19="","",应付跟进!$E19)</f>
        <v/>
      </c>
      <c r="K19" s="54" t="str">
        <f aca="false">IF($H19="","",应付跟进!$F19)</f>
        <v/>
      </c>
      <c r="L19" s="54" t="str">
        <f aca="false">IF($H19="","",应付跟进!$L19)</f>
        <v/>
      </c>
      <c r="M19" s="42" t="str">
        <f aca="false">IF($H19="","",应付跟进!$N19)</f>
        <v/>
      </c>
      <c r="O19" s="42" t="str">
        <f aca="false">IF(基础资料!$G19="","",基础资料!$G19)</f>
        <v/>
      </c>
      <c r="P19" s="54" t="str">
        <f aca="false">IF($O19="","",SUMIFS(销售录入!$O$5:$O$404,销售录入!$I$5:$I$404,$O19,销售录入!$C$5:$C$404,首页!$B$5))</f>
        <v/>
      </c>
      <c r="Q19" s="54" t="str">
        <f aca="false">IF($O19="","",SUMIFS(销售录入!$S$5:$S$404,销售录入!$I$5:$I$404,$O19,销售录入!$C$5:$C$404,首页!$B$5))</f>
        <v/>
      </c>
      <c r="R19" s="44" t="str">
        <f aca="false">IF($O19="","",$P19-$Q19)</f>
        <v/>
      </c>
      <c r="S19" s="54" t="str">
        <f aca="false">IF($O19="","",SUMIFS(资金流水!$N$5:$N$504,资金流水!$H$5:$H$504,$O19,资金流水!$O$5:$O$504,"66*",资金流水!$C$5:$C$504,首页!$B$5)+SUMIFS(其他凭证!$H$5:$H$304,其他凭证!$I$5:$I$304,$O19,其他凭证!$F$5:$F$304,"66*",其他凭证!$C$5:$C$304,首页!$B$5)+SUMIFS(采购录入!$W$5:$W$404,采购录入!$K$5:$K$404,$O19,采购录入!$U$5:$U$404,"66*",采购录入!$C$5:$C$404,首页!$B$5)+SUMIFS(资金流水!$N$5:$N$504,资金流水!$H$5:$H$504,$O19,资金流水!$O$5:$O$504,"6403",资金流水!$C$5:$C$504,首页!$B$5)+SUMIFS(其他凭证!$H$5:$H$304,其他凭证!$I$5:$I$304,$O19,其他凭证!$F$5:$F$304,"6403",其他凭证!$C$5:$C$304,首页!$B$5)+SUMIFS(采购录入!$W$5:$W$404,采购录入!$K$5:$K$404,$O19,采购录入!$U$5:$U$404,"6403",采购录入!$C$5:$C$404,首页!$B$5)+SUMIFS(资金流水!$N$5:$N$504,资金流水!$H$5:$H$504,$O19,资金流水!$O$5:$O$504,"6711",资金流水!$C$5:$C$504,首页!$B$5)+SUMIFS(其他凭证!$H$5:$H$304,其他凭证!$I$5:$I$304,$O19,其他凭证!$F$5:$F$304,"6711",其他凭证!$C$5:$C$304,首页!$B$5)+SUMIFS(采购录入!$W$5:$W$404,采购录入!$K$5:$K$404,$O19,采购录入!$U$5:$U$404,"6711",采购录入!$C$5:$C$404,首页!$B$5))</f>
        <v/>
      </c>
      <c r="T19" s="62" t="str">
        <f aca="false">IF($O19="","",$R19-$S19)</f>
        <v/>
      </c>
      <c r="V19" s="42" t="str">
        <f aca="false">IF(基础资料!$K19="","",基础资料!$K19)</f>
        <v/>
      </c>
      <c r="W19" s="42" t="str">
        <f aca="false">IF($V19="","",基础资料!$L19)</f>
        <v/>
      </c>
      <c r="X19" s="54" t="str">
        <f aca="false">IF($V19="","",SUMIFS(销售录入!$O$5:$O$404,销售录入!$J$5:$J$404,$V19,销售录入!$C$5:$C$404,首页!$B$5))</f>
        <v/>
      </c>
      <c r="Y19" s="54" t="str">
        <f aca="false">IF($V19="","",SUMIFS(采购录入!$Q$5:$Q$404,采购录入!$L$5:$L$404,$V19,采购录入!$C$5:$C$404,首页!$B$5))</f>
        <v/>
      </c>
      <c r="Z19" s="54" t="str">
        <f aca="false">IF($V19="","",SUMIFS(资金流水!$N$5:$N$504,资金流水!$I$5:$I$504,$V19,资金流水!$D$5:$D$504,"收入",资金流水!$C$5:$C$504,首页!$B$5))</f>
        <v/>
      </c>
      <c r="AA19" s="54" t="str">
        <f aca="false">IF($V19="","",SUMIFS(资金流水!$N$5:$N$504,资金流水!$I$5:$I$504,$V19,资金流水!$D$5:$D$504,"支出",资金流水!$C$5:$C$504,首页!$B$5))</f>
        <v/>
      </c>
    </row>
    <row r="20" customFormat="false" ht="15.75" hidden="false" customHeight="true" outlineLevel="0" collapsed="false">
      <c r="A20" s="35" t="str">
        <f aca="false">IF(应收跟进!$A20="","",应收跟进!$A20)</f>
        <v/>
      </c>
      <c r="B20" s="54" t="str">
        <f aca="false">IF($A20="","",应收跟进!$D20)</f>
        <v/>
      </c>
      <c r="C20" s="54" t="str">
        <f aca="false">IF($A20="","",应收跟进!$E20)</f>
        <v/>
      </c>
      <c r="D20" s="54" t="str">
        <f aca="false">IF($A20="","",应收跟进!$F20)</f>
        <v/>
      </c>
      <c r="E20" s="54" t="str">
        <f aca="false">IF($A20="","",应收跟进!$L20)</f>
        <v/>
      </c>
      <c r="F20" s="42" t="str">
        <f aca="false">IF($A20="","",应收跟进!$N20)</f>
        <v/>
      </c>
      <c r="H20" s="35" t="str">
        <f aca="false">IF(应付跟进!$A20="","",应付跟进!$A20)</f>
        <v/>
      </c>
      <c r="I20" s="54" t="str">
        <f aca="false">IF($H20="","",应付跟进!$D20)</f>
        <v/>
      </c>
      <c r="J20" s="54" t="str">
        <f aca="false">IF($H20="","",应付跟进!$E20)</f>
        <v/>
      </c>
      <c r="K20" s="54" t="str">
        <f aca="false">IF($H20="","",应付跟进!$F20)</f>
        <v/>
      </c>
      <c r="L20" s="54" t="str">
        <f aca="false">IF($H20="","",应付跟进!$L20)</f>
        <v/>
      </c>
      <c r="M20" s="42" t="str">
        <f aca="false">IF($H20="","",应付跟进!$N20)</f>
        <v/>
      </c>
      <c r="O20" s="42" t="str">
        <f aca="false">IF(基础资料!$G20="","",基础资料!$G20)</f>
        <v/>
      </c>
      <c r="P20" s="54" t="str">
        <f aca="false">IF($O20="","",SUMIFS(销售录入!$O$5:$O$404,销售录入!$I$5:$I$404,$O20,销售录入!$C$5:$C$404,首页!$B$5))</f>
        <v/>
      </c>
      <c r="Q20" s="54" t="str">
        <f aca="false">IF($O20="","",SUMIFS(销售录入!$S$5:$S$404,销售录入!$I$5:$I$404,$O20,销售录入!$C$5:$C$404,首页!$B$5))</f>
        <v/>
      </c>
      <c r="R20" s="44" t="str">
        <f aca="false">IF($O20="","",$P20-$Q20)</f>
        <v/>
      </c>
      <c r="S20" s="54" t="str">
        <f aca="false">IF($O20="","",SUMIFS(资金流水!$N$5:$N$504,资金流水!$H$5:$H$504,$O20,资金流水!$O$5:$O$504,"66*",资金流水!$C$5:$C$504,首页!$B$5)+SUMIFS(其他凭证!$H$5:$H$304,其他凭证!$I$5:$I$304,$O20,其他凭证!$F$5:$F$304,"66*",其他凭证!$C$5:$C$304,首页!$B$5)+SUMIFS(采购录入!$W$5:$W$404,采购录入!$K$5:$K$404,$O20,采购录入!$U$5:$U$404,"66*",采购录入!$C$5:$C$404,首页!$B$5)+SUMIFS(资金流水!$N$5:$N$504,资金流水!$H$5:$H$504,$O20,资金流水!$O$5:$O$504,"6403",资金流水!$C$5:$C$504,首页!$B$5)+SUMIFS(其他凭证!$H$5:$H$304,其他凭证!$I$5:$I$304,$O20,其他凭证!$F$5:$F$304,"6403",其他凭证!$C$5:$C$304,首页!$B$5)+SUMIFS(采购录入!$W$5:$W$404,采购录入!$K$5:$K$404,$O20,采购录入!$U$5:$U$404,"6403",采购录入!$C$5:$C$404,首页!$B$5)+SUMIFS(资金流水!$N$5:$N$504,资金流水!$H$5:$H$504,$O20,资金流水!$O$5:$O$504,"6711",资金流水!$C$5:$C$504,首页!$B$5)+SUMIFS(其他凭证!$H$5:$H$304,其他凭证!$I$5:$I$304,$O20,其他凭证!$F$5:$F$304,"6711",其他凭证!$C$5:$C$304,首页!$B$5)+SUMIFS(采购录入!$W$5:$W$404,采购录入!$K$5:$K$404,$O20,采购录入!$U$5:$U$404,"6711",采购录入!$C$5:$C$404,首页!$B$5))</f>
        <v/>
      </c>
      <c r="T20" s="62" t="str">
        <f aca="false">IF($O20="","",$R20-$S20)</f>
        <v/>
      </c>
      <c r="V20" s="42" t="str">
        <f aca="false">IF(基础资料!$K20="","",基础资料!$K20)</f>
        <v/>
      </c>
      <c r="W20" s="42" t="str">
        <f aca="false">IF($V20="","",基础资料!$L20)</f>
        <v/>
      </c>
      <c r="X20" s="54" t="str">
        <f aca="false">IF($V20="","",SUMIFS(销售录入!$O$5:$O$404,销售录入!$J$5:$J$404,$V20,销售录入!$C$5:$C$404,首页!$B$5))</f>
        <v/>
      </c>
      <c r="Y20" s="54" t="str">
        <f aca="false">IF($V20="","",SUMIFS(采购录入!$Q$5:$Q$404,采购录入!$L$5:$L$404,$V20,采购录入!$C$5:$C$404,首页!$B$5))</f>
        <v/>
      </c>
      <c r="Z20" s="54" t="str">
        <f aca="false">IF($V20="","",SUMIFS(资金流水!$N$5:$N$504,资金流水!$I$5:$I$504,$V20,资金流水!$D$5:$D$504,"收入",资金流水!$C$5:$C$504,首页!$B$5))</f>
        <v/>
      </c>
      <c r="AA20" s="54" t="str">
        <f aca="false">IF($V20="","",SUMIFS(资金流水!$N$5:$N$504,资金流水!$I$5:$I$504,$V20,资金流水!$D$5:$D$504,"支出",资金流水!$C$5:$C$504,首页!$B$5))</f>
        <v/>
      </c>
    </row>
    <row r="21" customFormat="false" ht="15.75" hidden="false" customHeight="true" outlineLevel="0" collapsed="false">
      <c r="A21" s="35" t="str">
        <f aca="false">IF(应收跟进!$A21="","",应收跟进!$A21)</f>
        <v/>
      </c>
      <c r="B21" s="54" t="str">
        <f aca="false">IF($A21="","",应收跟进!$D21)</f>
        <v/>
      </c>
      <c r="C21" s="54" t="str">
        <f aca="false">IF($A21="","",应收跟进!$E21)</f>
        <v/>
      </c>
      <c r="D21" s="54" t="str">
        <f aca="false">IF($A21="","",应收跟进!$F21)</f>
        <v/>
      </c>
      <c r="E21" s="54" t="str">
        <f aca="false">IF($A21="","",应收跟进!$L21)</f>
        <v/>
      </c>
      <c r="F21" s="42" t="str">
        <f aca="false">IF($A21="","",应收跟进!$N21)</f>
        <v/>
      </c>
      <c r="H21" s="35" t="str">
        <f aca="false">IF(应付跟进!$A21="","",应付跟进!$A21)</f>
        <v/>
      </c>
      <c r="I21" s="54" t="str">
        <f aca="false">IF($H21="","",应付跟进!$D21)</f>
        <v/>
      </c>
      <c r="J21" s="54" t="str">
        <f aca="false">IF($H21="","",应付跟进!$E21)</f>
        <v/>
      </c>
      <c r="K21" s="54" t="str">
        <f aca="false">IF($H21="","",应付跟进!$F21)</f>
        <v/>
      </c>
      <c r="L21" s="54" t="str">
        <f aca="false">IF($H21="","",应付跟进!$L21)</f>
        <v/>
      </c>
      <c r="M21" s="42" t="str">
        <f aca="false">IF($H21="","",应付跟进!$N21)</f>
        <v/>
      </c>
      <c r="O21" s="42" t="str">
        <f aca="false">IF(基础资料!$G21="","",基础资料!$G21)</f>
        <v/>
      </c>
      <c r="P21" s="54" t="str">
        <f aca="false">IF($O21="","",SUMIFS(销售录入!$O$5:$O$404,销售录入!$I$5:$I$404,$O21,销售录入!$C$5:$C$404,首页!$B$5))</f>
        <v/>
      </c>
      <c r="Q21" s="54" t="str">
        <f aca="false">IF($O21="","",SUMIFS(销售录入!$S$5:$S$404,销售录入!$I$5:$I$404,$O21,销售录入!$C$5:$C$404,首页!$B$5))</f>
        <v/>
      </c>
      <c r="R21" s="44" t="str">
        <f aca="false">IF($O21="","",$P21-$Q21)</f>
        <v/>
      </c>
      <c r="S21" s="54" t="str">
        <f aca="false">IF($O21="","",SUMIFS(资金流水!$N$5:$N$504,资金流水!$H$5:$H$504,$O21,资金流水!$O$5:$O$504,"66*",资金流水!$C$5:$C$504,首页!$B$5)+SUMIFS(其他凭证!$H$5:$H$304,其他凭证!$I$5:$I$304,$O21,其他凭证!$F$5:$F$304,"66*",其他凭证!$C$5:$C$304,首页!$B$5)+SUMIFS(采购录入!$W$5:$W$404,采购录入!$K$5:$K$404,$O21,采购录入!$U$5:$U$404,"66*",采购录入!$C$5:$C$404,首页!$B$5)+SUMIFS(资金流水!$N$5:$N$504,资金流水!$H$5:$H$504,$O21,资金流水!$O$5:$O$504,"6403",资金流水!$C$5:$C$504,首页!$B$5)+SUMIFS(其他凭证!$H$5:$H$304,其他凭证!$I$5:$I$304,$O21,其他凭证!$F$5:$F$304,"6403",其他凭证!$C$5:$C$304,首页!$B$5)+SUMIFS(采购录入!$W$5:$W$404,采购录入!$K$5:$K$404,$O21,采购录入!$U$5:$U$404,"6403",采购录入!$C$5:$C$404,首页!$B$5)+SUMIFS(资金流水!$N$5:$N$504,资金流水!$H$5:$H$504,$O21,资金流水!$O$5:$O$504,"6711",资金流水!$C$5:$C$504,首页!$B$5)+SUMIFS(其他凭证!$H$5:$H$304,其他凭证!$I$5:$I$304,$O21,其他凭证!$F$5:$F$304,"6711",其他凭证!$C$5:$C$304,首页!$B$5)+SUMIFS(采购录入!$W$5:$W$404,采购录入!$K$5:$K$404,$O21,采购录入!$U$5:$U$404,"6711",采购录入!$C$5:$C$404,首页!$B$5))</f>
        <v/>
      </c>
      <c r="T21" s="62" t="str">
        <f aca="false">IF($O21="","",$R21-$S21)</f>
        <v/>
      </c>
      <c r="V21" s="42" t="str">
        <f aca="false">IF(基础资料!$K21="","",基础资料!$K21)</f>
        <v/>
      </c>
      <c r="W21" s="42" t="str">
        <f aca="false">IF($V21="","",基础资料!$L21)</f>
        <v/>
      </c>
      <c r="X21" s="54" t="str">
        <f aca="false">IF($V21="","",SUMIFS(销售录入!$O$5:$O$404,销售录入!$J$5:$J$404,$V21,销售录入!$C$5:$C$404,首页!$B$5))</f>
        <v/>
      </c>
      <c r="Y21" s="54" t="str">
        <f aca="false">IF($V21="","",SUMIFS(采购录入!$Q$5:$Q$404,采购录入!$L$5:$L$404,$V21,采购录入!$C$5:$C$404,首页!$B$5))</f>
        <v/>
      </c>
      <c r="Z21" s="54" t="str">
        <f aca="false">IF($V21="","",SUMIFS(资金流水!$N$5:$N$504,资金流水!$I$5:$I$504,$V21,资金流水!$D$5:$D$504,"收入",资金流水!$C$5:$C$504,首页!$B$5))</f>
        <v/>
      </c>
      <c r="AA21" s="54" t="str">
        <f aca="false">IF($V21="","",SUMIFS(资金流水!$N$5:$N$504,资金流水!$I$5:$I$504,$V21,资金流水!$D$5:$D$504,"支出",资金流水!$C$5:$C$504,首页!$B$5))</f>
        <v/>
      </c>
    </row>
    <row r="22" customFormat="false" ht="15.75" hidden="false" customHeight="true" outlineLevel="0" collapsed="false">
      <c r="A22" s="35" t="str">
        <f aca="false">IF(应收跟进!$A22="","",应收跟进!$A22)</f>
        <v/>
      </c>
      <c r="B22" s="54" t="str">
        <f aca="false">IF($A22="","",应收跟进!$D22)</f>
        <v/>
      </c>
      <c r="C22" s="54" t="str">
        <f aca="false">IF($A22="","",应收跟进!$E22)</f>
        <v/>
      </c>
      <c r="D22" s="54" t="str">
        <f aca="false">IF($A22="","",应收跟进!$F22)</f>
        <v/>
      </c>
      <c r="E22" s="54" t="str">
        <f aca="false">IF($A22="","",应收跟进!$L22)</f>
        <v/>
      </c>
      <c r="F22" s="42" t="str">
        <f aca="false">IF($A22="","",应收跟进!$N22)</f>
        <v/>
      </c>
      <c r="H22" s="35" t="str">
        <f aca="false">IF(应付跟进!$A22="","",应付跟进!$A22)</f>
        <v/>
      </c>
      <c r="I22" s="54" t="str">
        <f aca="false">IF($H22="","",应付跟进!$D22)</f>
        <v/>
      </c>
      <c r="J22" s="54" t="str">
        <f aca="false">IF($H22="","",应付跟进!$E22)</f>
        <v/>
      </c>
      <c r="K22" s="54" t="str">
        <f aca="false">IF($H22="","",应付跟进!$F22)</f>
        <v/>
      </c>
      <c r="L22" s="54" t="str">
        <f aca="false">IF($H22="","",应付跟进!$L22)</f>
        <v/>
      </c>
      <c r="M22" s="42" t="str">
        <f aca="false">IF($H22="","",应付跟进!$N22)</f>
        <v/>
      </c>
      <c r="O22" s="42" t="str">
        <f aca="false">IF(基础资料!$G22="","",基础资料!$G22)</f>
        <v/>
      </c>
      <c r="P22" s="54" t="str">
        <f aca="false">IF($O22="","",SUMIFS(销售录入!$O$5:$O$404,销售录入!$I$5:$I$404,$O22,销售录入!$C$5:$C$404,首页!$B$5))</f>
        <v/>
      </c>
      <c r="Q22" s="54" t="str">
        <f aca="false">IF($O22="","",SUMIFS(销售录入!$S$5:$S$404,销售录入!$I$5:$I$404,$O22,销售录入!$C$5:$C$404,首页!$B$5))</f>
        <v/>
      </c>
      <c r="R22" s="44" t="str">
        <f aca="false">IF($O22="","",$P22-$Q22)</f>
        <v/>
      </c>
      <c r="S22" s="54" t="str">
        <f aca="false">IF($O22="","",SUMIFS(资金流水!$N$5:$N$504,资金流水!$H$5:$H$504,$O22,资金流水!$O$5:$O$504,"66*",资金流水!$C$5:$C$504,首页!$B$5)+SUMIFS(其他凭证!$H$5:$H$304,其他凭证!$I$5:$I$304,$O22,其他凭证!$F$5:$F$304,"66*",其他凭证!$C$5:$C$304,首页!$B$5)+SUMIFS(采购录入!$W$5:$W$404,采购录入!$K$5:$K$404,$O22,采购录入!$U$5:$U$404,"66*",采购录入!$C$5:$C$404,首页!$B$5)+SUMIFS(资金流水!$N$5:$N$504,资金流水!$H$5:$H$504,$O22,资金流水!$O$5:$O$504,"6403",资金流水!$C$5:$C$504,首页!$B$5)+SUMIFS(其他凭证!$H$5:$H$304,其他凭证!$I$5:$I$304,$O22,其他凭证!$F$5:$F$304,"6403",其他凭证!$C$5:$C$304,首页!$B$5)+SUMIFS(采购录入!$W$5:$W$404,采购录入!$K$5:$K$404,$O22,采购录入!$U$5:$U$404,"6403",采购录入!$C$5:$C$404,首页!$B$5)+SUMIFS(资金流水!$N$5:$N$504,资金流水!$H$5:$H$504,$O22,资金流水!$O$5:$O$504,"6711",资金流水!$C$5:$C$504,首页!$B$5)+SUMIFS(其他凭证!$H$5:$H$304,其他凭证!$I$5:$I$304,$O22,其他凭证!$F$5:$F$304,"6711",其他凭证!$C$5:$C$304,首页!$B$5)+SUMIFS(采购录入!$W$5:$W$404,采购录入!$K$5:$K$404,$O22,采购录入!$U$5:$U$404,"6711",采购录入!$C$5:$C$404,首页!$B$5))</f>
        <v/>
      </c>
      <c r="T22" s="62" t="str">
        <f aca="false">IF($O22="","",$R22-$S22)</f>
        <v/>
      </c>
      <c r="V22" s="42" t="str">
        <f aca="false">IF(基础资料!$K22="","",基础资料!$K22)</f>
        <v/>
      </c>
      <c r="W22" s="42" t="str">
        <f aca="false">IF($V22="","",基础资料!$L22)</f>
        <v/>
      </c>
      <c r="X22" s="54" t="str">
        <f aca="false">IF($V22="","",SUMIFS(销售录入!$O$5:$O$404,销售录入!$J$5:$J$404,$V22,销售录入!$C$5:$C$404,首页!$B$5))</f>
        <v/>
      </c>
      <c r="Y22" s="54" t="str">
        <f aca="false">IF($V22="","",SUMIFS(采购录入!$Q$5:$Q$404,采购录入!$L$5:$L$404,$V22,采购录入!$C$5:$C$404,首页!$B$5))</f>
        <v/>
      </c>
      <c r="Z22" s="54" t="str">
        <f aca="false">IF($V22="","",SUMIFS(资金流水!$N$5:$N$504,资金流水!$I$5:$I$504,$V22,资金流水!$D$5:$D$504,"收入",资金流水!$C$5:$C$504,首页!$B$5))</f>
        <v/>
      </c>
      <c r="AA22" s="54" t="str">
        <f aca="false">IF($V22="","",SUMIFS(资金流水!$N$5:$N$504,资金流水!$I$5:$I$504,$V22,资金流水!$D$5:$D$504,"支出",资金流水!$C$5:$C$504,首页!$B$5))</f>
        <v/>
      </c>
    </row>
    <row r="23" customFormat="false" ht="15.75" hidden="false" customHeight="true" outlineLevel="0" collapsed="false">
      <c r="A23" s="35" t="str">
        <f aca="false">IF(应收跟进!$A23="","",应收跟进!$A23)</f>
        <v/>
      </c>
      <c r="B23" s="54" t="str">
        <f aca="false">IF($A23="","",应收跟进!$D23)</f>
        <v/>
      </c>
      <c r="C23" s="54" t="str">
        <f aca="false">IF($A23="","",应收跟进!$E23)</f>
        <v/>
      </c>
      <c r="D23" s="54" t="str">
        <f aca="false">IF($A23="","",应收跟进!$F23)</f>
        <v/>
      </c>
      <c r="E23" s="54" t="str">
        <f aca="false">IF($A23="","",应收跟进!$L23)</f>
        <v/>
      </c>
      <c r="F23" s="42" t="str">
        <f aca="false">IF($A23="","",应收跟进!$N23)</f>
        <v/>
      </c>
      <c r="H23" s="35" t="str">
        <f aca="false">IF(应付跟进!$A23="","",应付跟进!$A23)</f>
        <v/>
      </c>
      <c r="I23" s="54" t="str">
        <f aca="false">IF($H23="","",应付跟进!$D23)</f>
        <v/>
      </c>
      <c r="J23" s="54" t="str">
        <f aca="false">IF($H23="","",应付跟进!$E23)</f>
        <v/>
      </c>
      <c r="K23" s="54" t="str">
        <f aca="false">IF($H23="","",应付跟进!$F23)</f>
        <v/>
      </c>
      <c r="L23" s="54" t="str">
        <f aca="false">IF($H23="","",应付跟进!$L23)</f>
        <v/>
      </c>
      <c r="M23" s="42" t="str">
        <f aca="false">IF($H23="","",应付跟进!$N23)</f>
        <v/>
      </c>
      <c r="O23" s="42" t="str">
        <f aca="false">IF(基础资料!$G23="","",基础资料!$G23)</f>
        <v/>
      </c>
      <c r="P23" s="54" t="str">
        <f aca="false">IF($O23="","",SUMIFS(销售录入!$O$5:$O$404,销售录入!$I$5:$I$404,$O23,销售录入!$C$5:$C$404,首页!$B$5))</f>
        <v/>
      </c>
      <c r="Q23" s="54" t="str">
        <f aca="false">IF($O23="","",SUMIFS(销售录入!$S$5:$S$404,销售录入!$I$5:$I$404,$O23,销售录入!$C$5:$C$404,首页!$B$5))</f>
        <v/>
      </c>
      <c r="R23" s="44" t="str">
        <f aca="false">IF($O23="","",$P23-$Q23)</f>
        <v/>
      </c>
      <c r="S23" s="54" t="str">
        <f aca="false">IF($O23="","",SUMIFS(资金流水!$N$5:$N$504,资金流水!$H$5:$H$504,$O23,资金流水!$O$5:$O$504,"66*",资金流水!$C$5:$C$504,首页!$B$5)+SUMIFS(其他凭证!$H$5:$H$304,其他凭证!$I$5:$I$304,$O23,其他凭证!$F$5:$F$304,"66*",其他凭证!$C$5:$C$304,首页!$B$5)+SUMIFS(采购录入!$W$5:$W$404,采购录入!$K$5:$K$404,$O23,采购录入!$U$5:$U$404,"66*",采购录入!$C$5:$C$404,首页!$B$5)+SUMIFS(资金流水!$N$5:$N$504,资金流水!$H$5:$H$504,$O23,资金流水!$O$5:$O$504,"6403",资金流水!$C$5:$C$504,首页!$B$5)+SUMIFS(其他凭证!$H$5:$H$304,其他凭证!$I$5:$I$304,$O23,其他凭证!$F$5:$F$304,"6403",其他凭证!$C$5:$C$304,首页!$B$5)+SUMIFS(采购录入!$W$5:$W$404,采购录入!$K$5:$K$404,$O23,采购录入!$U$5:$U$404,"6403",采购录入!$C$5:$C$404,首页!$B$5)+SUMIFS(资金流水!$N$5:$N$504,资金流水!$H$5:$H$504,$O23,资金流水!$O$5:$O$504,"6711",资金流水!$C$5:$C$504,首页!$B$5)+SUMIFS(其他凭证!$H$5:$H$304,其他凭证!$I$5:$I$304,$O23,其他凭证!$F$5:$F$304,"6711",其他凭证!$C$5:$C$304,首页!$B$5)+SUMIFS(采购录入!$W$5:$W$404,采购录入!$K$5:$K$404,$O23,采购录入!$U$5:$U$404,"6711",采购录入!$C$5:$C$404,首页!$B$5))</f>
        <v/>
      </c>
      <c r="T23" s="62" t="str">
        <f aca="false">IF($O23="","",$R23-$S23)</f>
        <v/>
      </c>
      <c r="V23" s="42" t="str">
        <f aca="false">IF(基础资料!$K23="","",基础资料!$K23)</f>
        <v/>
      </c>
      <c r="W23" s="42" t="str">
        <f aca="false">IF($V23="","",基础资料!$L23)</f>
        <v/>
      </c>
      <c r="X23" s="54" t="str">
        <f aca="false">IF($V23="","",SUMIFS(销售录入!$O$5:$O$404,销售录入!$J$5:$J$404,$V23,销售录入!$C$5:$C$404,首页!$B$5))</f>
        <v/>
      </c>
      <c r="Y23" s="54" t="str">
        <f aca="false">IF($V23="","",SUMIFS(采购录入!$Q$5:$Q$404,采购录入!$L$5:$L$404,$V23,采购录入!$C$5:$C$404,首页!$B$5))</f>
        <v/>
      </c>
      <c r="Z23" s="54" t="str">
        <f aca="false">IF($V23="","",SUMIFS(资金流水!$N$5:$N$504,资金流水!$I$5:$I$504,$V23,资金流水!$D$5:$D$504,"收入",资金流水!$C$5:$C$504,首页!$B$5))</f>
        <v/>
      </c>
      <c r="AA23" s="54" t="str">
        <f aca="false">IF($V23="","",SUMIFS(资金流水!$N$5:$N$504,资金流水!$I$5:$I$504,$V23,资金流水!$D$5:$D$504,"支出",资金流水!$C$5:$C$504,首页!$B$5))</f>
        <v/>
      </c>
    </row>
    <row r="24" customFormat="false" ht="15.75" hidden="false" customHeight="true" outlineLevel="0" collapsed="false">
      <c r="A24" s="35" t="str">
        <f aca="false">IF(应收跟进!$A24="","",应收跟进!$A24)</f>
        <v/>
      </c>
      <c r="B24" s="54" t="str">
        <f aca="false">IF($A24="","",应收跟进!$D24)</f>
        <v/>
      </c>
      <c r="C24" s="54" t="str">
        <f aca="false">IF($A24="","",应收跟进!$E24)</f>
        <v/>
      </c>
      <c r="D24" s="54" t="str">
        <f aca="false">IF($A24="","",应收跟进!$F24)</f>
        <v/>
      </c>
      <c r="E24" s="54" t="str">
        <f aca="false">IF($A24="","",应收跟进!$L24)</f>
        <v/>
      </c>
      <c r="F24" s="42" t="str">
        <f aca="false">IF($A24="","",应收跟进!$N24)</f>
        <v/>
      </c>
      <c r="H24" s="35" t="str">
        <f aca="false">IF(应付跟进!$A24="","",应付跟进!$A24)</f>
        <v/>
      </c>
      <c r="I24" s="54" t="str">
        <f aca="false">IF($H24="","",应付跟进!$D24)</f>
        <v/>
      </c>
      <c r="J24" s="54" t="str">
        <f aca="false">IF($H24="","",应付跟进!$E24)</f>
        <v/>
      </c>
      <c r="K24" s="54" t="str">
        <f aca="false">IF($H24="","",应付跟进!$F24)</f>
        <v/>
      </c>
      <c r="L24" s="54" t="str">
        <f aca="false">IF($H24="","",应付跟进!$L24)</f>
        <v/>
      </c>
      <c r="M24" s="42" t="str">
        <f aca="false">IF($H24="","",应付跟进!$N24)</f>
        <v/>
      </c>
      <c r="O24" s="42" t="str">
        <f aca="false">IF(基础资料!$G24="","",基础资料!$G24)</f>
        <v/>
      </c>
      <c r="P24" s="54" t="str">
        <f aca="false">IF($O24="","",SUMIFS(销售录入!$O$5:$O$404,销售录入!$I$5:$I$404,$O24,销售录入!$C$5:$C$404,首页!$B$5))</f>
        <v/>
      </c>
      <c r="Q24" s="54" t="str">
        <f aca="false">IF($O24="","",SUMIFS(销售录入!$S$5:$S$404,销售录入!$I$5:$I$404,$O24,销售录入!$C$5:$C$404,首页!$B$5))</f>
        <v/>
      </c>
      <c r="R24" s="44" t="str">
        <f aca="false">IF($O24="","",$P24-$Q24)</f>
        <v/>
      </c>
      <c r="S24" s="54" t="str">
        <f aca="false">IF($O24="","",SUMIFS(资金流水!$N$5:$N$504,资金流水!$H$5:$H$504,$O24,资金流水!$O$5:$O$504,"66*",资金流水!$C$5:$C$504,首页!$B$5)+SUMIFS(其他凭证!$H$5:$H$304,其他凭证!$I$5:$I$304,$O24,其他凭证!$F$5:$F$304,"66*",其他凭证!$C$5:$C$304,首页!$B$5)+SUMIFS(采购录入!$W$5:$W$404,采购录入!$K$5:$K$404,$O24,采购录入!$U$5:$U$404,"66*",采购录入!$C$5:$C$404,首页!$B$5)+SUMIFS(资金流水!$N$5:$N$504,资金流水!$H$5:$H$504,$O24,资金流水!$O$5:$O$504,"6403",资金流水!$C$5:$C$504,首页!$B$5)+SUMIFS(其他凭证!$H$5:$H$304,其他凭证!$I$5:$I$304,$O24,其他凭证!$F$5:$F$304,"6403",其他凭证!$C$5:$C$304,首页!$B$5)+SUMIFS(采购录入!$W$5:$W$404,采购录入!$K$5:$K$404,$O24,采购录入!$U$5:$U$404,"6403",采购录入!$C$5:$C$404,首页!$B$5)+SUMIFS(资金流水!$N$5:$N$504,资金流水!$H$5:$H$504,$O24,资金流水!$O$5:$O$504,"6711",资金流水!$C$5:$C$504,首页!$B$5)+SUMIFS(其他凭证!$H$5:$H$304,其他凭证!$I$5:$I$304,$O24,其他凭证!$F$5:$F$304,"6711",其他凭证!$C$5:$C$304,首页!$B$5)+SUMIFS(采购录入!$W$5:$W$404,采购录入!$K$5:$K$404,$O24,采购录入!$U$5:$U$404,"6711",采购录入!$C$5:$C$404,首页!$B$5))</f>
        <v/>
      </c>
      <c r="T24" s="62" t="str">
        <f aca="false">IF($O24="","",$R24-$S24)</f>
        <v/>
      </c>
      <c r="V24" s="42" t="str">
        <f aca="false">IF(基础资料!$K24="","",基础资料!$K24)</f>
        <v/>
      </c>
      <c r="W24" s="42" t="str">
        <f aca="false">IF($V24="","",基础资料!$L24)</f>
        <v/>
      </c>
      <c r="X24" s="54" t="str">
        <f aca="false">IF($V24="","",SUMIFS(销售录入!$O$5:$O$404,销售录入!$J$5:$J$404,$V24,销售录入!$C$5:$C$404,首页!$B$5))</f>
        <v/>
      </c>
      <c r="Y24" s="54" t="str">
        <f aca="false">IF($V24="","",SUMIFS(采购录入!$Q$5:$Q$404,采购录入!$L$5:$L$404,$V24,采购录入!$C$5:$C$404,首页!$B$5))</f>
        <v/>
      </c>
      <c r="Z24" s="54" t="str">
        <f aca="false">IF($V24="","",SUMIFS(资金流水!$N$5:$N$504,资金流水!$I$5:$I$504,$V24,资金流水!$D$5:$D$504,"收入",资金流水!$C$5:$C$504,首页!$B$5))</f>
        <v/>
      </c>
      <c r="AA24" s="54" t="str">
        <f aca="false">IF($V24="","",SUMIFS(资金流水!$N$5:$N$504,资金流水!$I$5:$I$504,$V24,资金流水!$D$5:$D$504,"支出",资金流水!$C$5:$C$504,首页!$B$5))</f>
        <v/>
      </c>
    </row>
    <row r="25" customFormat="false" ht="15.75" hidden="false" customHeight="true" outlineLevel="0" collapsed="false">
      <c r="A25" s="35" t="str">
        <f aca="false">IF(应收跟进!$A25="","",应收跟进!$A25)</f>
        <v/>
      </c>
      <c r="B25" s="54" t="str">
        <f aca="false">IF($A25="","",应收跟进!$D25)</f>
        <v/>
      </c>
      <c r="C25" s="54" t="str">
        <f aca="false">IF($A25="","",应收跟进!$E25)</f>
        <v/>
      </c>
      <c r="D25" s="54" t="str">
        <f aca="false">IF($A25="","",应收跟进!$F25)</f>
        <v/>
      </c>
      <c r="E25" s="54" t="str">
        <f aca="false">IF($A25="","",应收跟进!$L25)</f>
        <v/>
      </c>
      <c r="F25" s="42" t="str">
        <f aca="false">IF($A25="","",应收跟进!$N25)</f>
        <v/>
      </c>
      <c r="H25" s="35" t="str">
        <f aca="false">IF(应付跟进!$A25="","",应付跟进!$A25)</f>
        <v/>
      </c>
      <c r="I25" s="54" t="str">
        <f aca="false">IF($H25="","",应付跟进!$D25)</f>
        <v/>
      </c>
      <c r="J25" s="54" t="str">
        <f aca="false">IF($H25="","",应付跟进!$E25)</f>
        <v/>
      </c>
      <c r="K25" s="54" t="str">
        <f aca="false">IF($H25="","",应付跟进!$F25)</f>
        <v/>
      </c>
      <c r="L25" s="54" t="str">
        <f aca="false">IF($H25="","",应付跟进!$L25)</f>
        <v/>
      </c>
      <c r="M25" s="42" t="str">
        <f aca="false">IF($H25="","",应付跟进!$N25)</f>
        <v/>
      </c>
      <c r="O25" s="42" t="str">
        <f aca="false">IF(基础资料!$G25="","",基础资料!$G25)</f>
        <v/>
      </c>
      <c r="P25" s="54" t="str">
        <f aca="false">IF($O25="","",SUMIFS(销售录入!$O$5:$O$404,销售录入!$I$5:$I$404,$O25,销售录入!$C$5:$C$404,首页!$B$5))</f>
        <v/>
      </c>
      <c r="Q25" s="54" t="str">
        <f aca="false">IF($O25="","",SUMIFS(销售录入!$S$5:$S$404,销售录入!$I$5:$I$404,$O25,销售录入!$C$5:$C$404,首页!$B$5))</f>
        <v/>
      </c>
      <c r="R25" s="44" t="str">
        <f aca="false">IF($O25="","",$P25-$Q25)</f>
        <v/>
      </c>
      <c r="S25" s="54" t="str">
        <f aca="false">IF($O25="","",SUMIFS(资金流水!$N$5:$N$504,资金流水!$H$5:$H$504,$O25,资金流水!$O$5:$O$504,"66*",资金流水!$C$5:$C$504,首页!$B$5)+SUMIFS(其他凭证!$H$5:$H$304,其他凭证!$I$5:$I$304,$O25,其他凭证!$F$5:$F$304,"66*",其他凭证!$C$5:$C$304,首页!$B$5)+SUMIFS(采购录入!$W$5:$W$404,采购录入!$K$5:$K$404,$O25,采购录入!$U$5:$U$404,"66*",采购录入!$C$5:$C$404,首页!$B$5)+SUMIFS(资金流水!$N$5:$N$504,资金流水!$H$5:$H$504,$O25,资金流水!$O$5:$O$504,"6403",资金流水!$C$5:$C$504,首页!$B$5)+SUMIFS(其他凭证!$H$5:$H$304,其他凭证!$I$5:$I$304,$O25,其他凭证!$F$5:$F$304,"6403",其他凭证!$C$5:$C$304,首页!$B$5)+SUMIFS(采购录入!$W$5:$W$404,采购录入!$K$5:$K$404,$O25,采购录入!$U$5:$U$404,"6403",采购录入!$C$5:$C$404,首页!$B$5)+SUMIFS(资金流水!$N$5:$N$504,资金流水!$H$5:$H$504,$O25,资金流水!$O$5:$O$504,"6711",资金流水!$C$5:$C$504,首页!$B$5)+SUMIFS(其他凭证!$H$5:$H$304,其他凭证!$I$5:$I$304,$O25,其他凭证!$F$5:$F$304,"6711",其他凭证!$C$5:$C$304,首页!$B$5)+SUMIFS(采购录入!$W$5:$W$404,采购录入!$K$5:$K$404,$O25,采购录入!$U$5:$U$404,"6711",采购录入!$C$5:$C$404,首页!$B$5))</f>
        <v/>
      </c>
      <c r="T25" s="62" t="str">
        <f aca="false">IF($O25="","",$R25-$S25)</f>
        <v/>
      </c>
      <c r="V25" s="42" t="str">
        <f aca="false">IF(基础资料!$K25="","",基础资料!$K25)</f>
        <v/>
      </c>
      <c r="W25" s="42" t="str">
        <f aca="false">IF($V25="","",基础资料!$L25)</f>
        <v/>
      </c>
      <c r="X25" s="54" t="str">
        <f aca="false">IF($V25="","",SUMIFS(销售录入!$O$5:$O$404,销售录入!$J$5:$J$404,$V25,销售录入!$C$5:$C$404,首页!$B$5))</f>
        <v/>
      </c>
      <c r="Y25" s="54" t="str">
        <f aca="false">IF($V25="","",SUMIFS(采购录入!$Q$5:$Q$404,采购录入!$L$5:$L$404,$V25,采购录入!$C$5:$C$404,首页!$B$5))</f>
        <v/>
      </c>
      <c r="Z25" s="54" t="str">
        <f aca="false">IF($V25="","",SUMIFS(资金流水!$N$5:$N$504,资金流水!$I$5:$I$504,$V25,资金流水!$D$5:$D$504,"收入",资金流水!$C$5:$C$504,首页!$B$5))</f>
        <v/>
      </c>
      <c r="AA25" s="54" t="str">
        <f aca="false">IF($V25="","",SUMIFS(资金流水!$N$5:$N$504,资金流水!$I$5:$I$504,$V25,资金流水!$D$5:$D$504,"支出",资金流水!$C$5:$C$504,首页!$B$5))</f>
        <v/>
      </c>
    </row>
    <row r="26" customFormat="false" ht="15.75" hidden="false" customHeight="true" outlineLevel="0" collapsed="false">
      <c r="A26" s="35" t="str">
        <f aca="false">IF(应收跟进!$A26="","",应收跟进!$A26)</f>
        <v/>
      </c>
      <c r="B26" s="54" t="str">
        <f aca="false">IF($A26="","",应收跟进!$D26)</f>
        <v/>
      </c>
      <c r="C26" s="54" t="str">
        <f aca="false">IF($A26="","",应收跟进!$E26)</f>
        <v/>
      </c>
      <c r="D26" s="54" t="str">
        <f aca="false">IF($A26="","",应收跟进!$F26)</f>
        <v/>
      </c>
      <c r="E26" s="54" t="str">
        <f aca="false">IF($A26="","",应收跟进!$L26)</f>
        <v/>
      </c>
      <c r="F26" s="42" t="str">
        <f aca="false">IF($A26="","",应收跟进!$N26)</f>
        <v/>
      </c>
      <c r="H26" s="35" t="str">
        <f aca="false">IF(应付跟进!$A26="","",应付跟进!$A26)</f>
        <v/>
      </c>
      <c r="I26" s="54" t="str">
        <f aca="false">IF($H26="","",应付跟进!$D26)</f>
        <v/>
      </c>
      <c r="J26" s="54" t="str">
        <f aca="false">IF($H26="","",应付跟进!$E26)</f>
        <v/>
      </c>
      <c r="K26" s="54" t="str">
        <f aca="false">IF($H26="","",应付跟进!$F26)</f>
        <v/>
      </c>
      <c r="L26" s="54" t="str">
        <f aca="false">IF($H26="","",应付跟进!$L26)</f>
        <v/>
      </c>
      <c r="M26" s="42" t="str">
        <f aca="false">IF($H26="","",应付跟进!$N26)</f>
        <v/>
      </c>
      <c r="O26" s="55" t="s">
        <v>802</v>
      </c>
      <c r="P26" s="39" t="n">
        <f aca="false">SUM(P6:P25)</f>
        <v>24600</v>
      </c>
      <c r="Q26" s="39" t="n">
        <f aca="false">SUM(Q6:Q25)</f>
        <v>13462.5</v>
      </c>
      <c r="R26" s="39" t="n">
        <f aca="false">SUM(R6:R25)</f>
        <v>11137.5</v>
      </c>
      <c r="S26" s="39" t="n">
        <f aca="false">SUM(S6:S25)</f>
        <v>31800</v>
      </c>
      <c r="T26" s="39" t="n">
        <f aca="false">SUM(T6:T25)</f>
        <v>-20662.5</v>
      </c>
      <c r="V26" s="42" t="str">
        <f aca="false">IF(基础资料!$K26="","",基础资料!$K26)</f>
        <v/>
      </c>
      <c r="W26" s="42" t="str">
        <f aca="false">IF($V26="","",基础资料!$L26)</f>
        <v/>
      </c>
      <c r="X26" s="54" t="str">
        <f aca="false">IF($V26="","",SUMIFS(销售录入!$O$5:$O$404,销售录入!$J$5:$J$404,$V26,销售录入!$C$5:$C$404,首页!$B$5))</f>
        <v/>
      </c>
      <c r="Y26" s="54" t="str">
        <f aca="false">IF($V26="","",SUMIFS(采购录入!$Q$5:$Q$404,采购录入!$L$5:$L$404,$V26,采购录入!$C$5:$C$404,首页!$B$5))</f>
        <v/>
      </c>
      <c r="Z26" s="54" t="str">
        <f aca="false">IF($V26="","",SUMIFS(资金流水!$N$5:$N$504,资金流水!$I$5:$I$504,$V26,资金流水!$D$5:$D$504,"收入",资金流水!$C$5:$C$504,首页!$B$5))</f>
        <v/>
      </c>
      <c r="AA26" s="54" t="str">
        <f aca="false">IF($V26="","",SUMIFS(资金流水!$N$5:$N$504,资金流水!$I$5:$I$504,$V26,资金流水!$D$5:$D$504,"支出",资金流水!$C$5:$C$504,首页!$B$5))</f>
        <v/>
      </c>
    </row>
    <row r="27" customFormat="false" ht="15.75" hidden="false" customHeight="true" outlineLevel="0" collapsed="false">
      <c r="A27" s="35" t="str">
        <f aca="false">IF(应收跟进!$A27="","",应收跟进!$A27)</f>
        <v/>
      </c>
      <c r="B27" s="54" t="str">
        <f aca="false">IF($A27="","",应收跟进!$D27)</f>
        <v/>
      </c>
      <c r="C27" s="54" t="str">
        <f aca="false">IF($A27="","",应收跟进!$E27)</f>
        <v/>
      </c>
      <c r="D27" s="54" t="str">
        <f aca="false">IF($A27="","",应收跟进!$F27)</f>
        <v/>
      </c>
      <c r="E27" s="54" t="str">
        <f aca="false">IF($A27="","",应收跟进!$L27)</f>
        <v/>
      </c>
      <c r="F27" s="42" t="str">
        <f aca="false">IF($A27="","",应收跟进!$N27)</f>
        <v/>
      </c>
      <c r="H27" s="35" t="str">
        <f aca="false">IF(应付跟进!$A27="","",应付跟进!$A27)</f>
        <v/>
      </c>
      <c r="I27" s="54" t="str">
        <f aca="false">IF($H27="","",应付跟进!$D27)</f>
        <v/>
      </c>
      <c r="J27" s="54" t="str">
        <f aca="false">IF($H27="","",应付跟进!$E27)</f>
        <v/>
      </c>
      <c r="K27" s="54" t="str">
        <f aca="false">IF($H27="","",应付跟进!$F27)</f>
        <v/>
      </c>
      <c r="L27" s="54" t="str">
        <f aca="false">IF($H27="","",应付跟进!$L27)</f>
        <v/>
      </c>
      <c r="M27" s="42" t="str">
        <f aca="false">IF($H27="","",应付跟进!$N27)</f>
        <v/>
      </c>
      <c r="V27" s="42" t="str">
        <f aca="false">IF(基础资料!$K27="","",基础资料!$K27)</f>
        <v/>
      </c>
      <c r="W27" s="42" t="str">
        <f aca="false">IF($V27="","",基础资料!$L27)</f>
        <v/>
      </c>
      <c r="X27" s="54" t="str">
        <f aca="false">IF($V27="","",SUMIFS(销售录入!$O$5:$O$404,销售录入!$J$5:$J$404,$V27,销售录入!$C$5:$C$404,首页!$B$5))</f>
        <v/>
      </c>
      <c r="Y27" s="54" t="str">
        <f aca="false">IF($V27="","",SUMIFS(采购录入!$Q$5:$Q$404,采购录入!$L$5:$L$404,$V27,采购录入!$C$5:$C$404,首页!$B$5))</f>
        <v/>
      </c>
      <c r="Z27" s="54" t="str">
        <f aca="false">IF($V27="","",SUMIFS(资金流水!$N$5:$N$504,资金流水!$I$5:$I$504,$V27,资金流水!$D$5:$D$504,"收入",资金流水!$C$5:$C$504,首页!$B$5))</f>
        <v/>
      </c>
      <c r="AA27" s="54" t="str">
        <f aca="false">IF($V27="","",SUMIFS(资金流水!$N$5:$N$504,资金流水!$I$5:$I$504,$V27,资金流水!$D$5:$D$504,"支出",资金流水!$C$5:$C$504,首页!$B$5))</f>
        <v/>
      </c>
    </row>
    <row r="28" customFormat="false" ht="15.75" hidden="false" customHeight="true" outlineLevel="0" collapsed="false">
      <c r="A28" s="35" t="str">
        <f aca="false">IF(应收跟进!$A28="","",应收跟进!$A28)</f>
        <v/>
      </c>
      <c r="B28" s="54" t="str">
        <f aca="false">IF($A28="","",应收跟进!$D28)</f>
        <v/>
      </c>
      <c r="C28" s="54" t="str">
        <f aca="false">IF($A28="","",应收跟进!$E28)</f>
        <v/>
      </c>
      <c r="D28" s="54" t="str">
        <f aca="false">IF($A28="","",应收跟进!$F28)</f>
        <v/>
      </c>
      <c r="E28" s="54" t="str">
        <f aca="false">IF($A28="","",应收跟进!$L28)</f>
        <v/>
      </c>
      <c r="F28" s="42" t="str">
        <f aca="false">IF($A28="","",应收跟进!$N28)</f>
        <v/>
      </c>
      <c r="H28" s="35" t="str">
        <f aca="false">IF(应付跟进!$A28="","",应付跟进!$A28)</f>
        <v/>
      </c>
      <c r="I28" s="54" t="str">
        <f aca="false">IF($H28="","",应付跟进!$D28)</f>
        <v/>
      </c>
      <c r="J28" s="54" t="str">
        <f aca="false">IF($H28="","",应付跟进!$E28)</f>
        <v/>
      </c>
      <c r="K28" s="54" t="str">
        <f aca="false">IF($H28="","",应付跟进!$F28)</f>
        <v/>
      </c>
      <c r="L28" s="54" t="str">
        <f aca="false">IF($H28="","",应付跟进!$L28)</f>
        <v/>
      </c>
      <c r="M28" s="42" t="str">
        <f aca="false">IF($H28="","",应付跟进!$N28)</f>
        <v/>
      </c>
      <c r="V28" s="42" t="str">
        <f aca="false">IF(基础资料!$K28="","",基础资料!$K28)</f>
        <v/>
      </c>
      <c r="W28" s="42" t="str">
        <f aca="false">IF($V28="","",基础资料!$L28)</f>
        <v/>
      </c>
      <c r="X28" s="54" t="str">
        <f aca="false">IF($V28="","",SUMIFS(销售录入!$O$5:$O$404,销售录入!$J$5:$J$404,$V28,销售录入!$C$5:$C$404,首页!$B$5))</f>
        <v/>
      </c>
      <c r="Y28" s="54" t="str">
        <f aca="false">IF($V28="","",SUMIFS(采购录入!$Q$5:$Q$404,采购录入!$L$5:$L$404,$V28,采购录入!$C$5:$C$404,首页!$B$5))</f>
        <v/>
      </c>
      <c r="Z28" s="54" t="str">
        <f aca="false">IF($V28="","",SUMIFS(资金流水!$N$5:$N$504,资金流水!$I$5:$I$504,$V28,资金流水!$D$5:$D$504,"收入",资金流水!$C$5:$C$504,首页!$B$5))</f>
        <v/>
      </c>
      <c r="AA28" s="54" t="str">
        <f aca="false">IF($V28="","",SUMIFS(资金流水!$N$5:$N$504,资金流水!$I$5:$I$504,$V28,资金流水!$D$5:$D$504,"支出",资金流水!$C$5:$C$504,首页!$B$5))</f>
        <v/>
      </c>
    </row>
    <row r="29" customFormat="false" ht="15.75" hidden="false" customHeight="true" outlineLevel="0" collapsed="false">
      <c r="A29" s="35" t="str">
        <f aca="false">IF(应收跟进!$A29="","",应收跟进!$A29)</f>
        <v/>
      </c>
      <c r="B29" s="54" t="str">
        <f aca="false">IF($A29="","",应收跟进!$D29)</f>
        <v/>
      </c>
      <c r="C29" s="54" t="str">
        <f aca="false">IF($A29="","",应收跟进!$E29)</f>
        <v/>
      </c>
      <c r="D29" s="54" t="str">
        <f aca="false">IF($A29="","",应收跟进!$F29)</f>
        <v/>
      </c>
      <c r="E29" s="54" t="str">
        <f aca="false">IF($A29="","",应收跟进!$L29)</f>
        <v/>
      </c>
      <c r="F29" s="42" t="str">
        <f aca="false">IF($A29="","",应收跟进!$N29)</f>
        <v/>
      </c>
      <c r="H29" s="35" t="str">
        <f aca="false">IF(应付跟进!$A29="","",应付跟进!$A29)</f>
        <v/>
      </c>
      <c r="I29" s="54" t="str">
        <f aca="false">IF($H29="","",应付跟进!$D29)</f>
        <v/>
      </c>
      <c r="J29" s="54" t="str">
        <f aca="false">IF($H29="","",应付跟进!$E29)</f>
        <v/>
      </c>
      <c r="K29" s="54" t="str">
        <f aca="false">IF($H29="","",应付跟进!$F29)</f>
        <v/>
      </c>
      <c r="L29" s="54" t="str">
        <f aca="false">IF($H29="","",应付跟进!$L29)</f>
        <v/>
      </c>
      <c r="M29" s="42" t="str">
        <f aca="false">IF($H29="","",应付跟进!$N29)</f>
        <v/>
      </c>
      <c r="V29" s="42" t="str">
        <f aca="false">IF(基础资料!$K29="","",基础资料!$K29)</f>
        <v/>
      </c>
      <c r="W29" s="42" t="str">
        <f aca="false">IF($V29="","",基础资料!$L29)</f>
        <v/>
      </c>
      <c r="X29" s="54" t="str">
        <f aca="false">IF($V29="","",SUMIFS(销售录入!$O$5:$O$404,销售录入!$J$5:$J$404,$V29,销售录入!$C$5:$C$404,首页!$B$5))</f>
        <v/>
      </c>
      <c r="Y29" s="54" t="str">
        <f aca="false">IF($V29="","",SUMIFS(采购录入!$Q$5:$Q$404,采购录入!$L$5:$L$404,$V29,采购录入!$C$5:$C$404,首页!$B$5))</f>
        <v/>
      </c>
      <c r="Z29" s="54" t="str">
        <f aca="false">IF($V29="","",SUMIFS(资金流水!$N$5:$N$504,资金流水!$I$5:$I$504,$V29,资金流水!$D$5:$D$504,"收入",资金流水!$C$5:$C$504,首页!$B$5))</f>
        <v/>
      </c>
      <c r="AA29" s="54" t="str">
        <f aca="false">IF($V29="","",SUMIFS(资金流水!$N$5:$N$504,资金流水!$I$5:$I$504,$V29,资金流水!$D$5:$D$504,"支出",资金流水!$C$5:$C$504,首页!$B$5))</f>
        <v/>
      </c>
    </row>
    <row r="30" customFormat="false" ht="15.75" hidden="false" customHeight="true" outlineLevel="0" collapsed="false">
      <c r="A30" s="35" t="str">
        <f aca="false">IF(应收跟进!$A30="","",应收跟进!$A30)</f>
        <v/>
      </c>
      <c r="B30" s="54" t="str">
        <f aca="false">IF($A30="","",应收跟进!$D30)</f>
        <v/>
      </c>
      <c r="C30" s="54" t="str">
        <f aca="false">IF($A30="","",应收跟进!$E30)</f>
        <v/>
      </c>
      <c r="D30" s="54" t="str">
        <f aca="false">IF($A30="","",应收跟进!$F30)</f>
        <v/>
      </c>
      <c r="E30" s="54" t="str">
        <f aca="false">IF($A30="","",应收跟进!$L30)</f>
        <v/>
      </c>
      <c r="F30" s="42" t="str">
        <f aca="false">IF($A30="","",应收跟进!$N30)</f>
        <v/>
      </c>
      <c r="H30" s="35" t="str">
        <f aca="false">IF(应付跟进!$A30="","",应付跟进!$A30)</f>
        <v/>
      </c>
      <c r="I30" s="54" t="str">
        <f aca="false">IF($H30="","",应付跟进!$D30)</f>
        <v/>
      </c>
      <c r="J30" s="54" t="str">
        <f aca="false">IF($H30="","",应付跟进!$E30)</f>
        <v/>
      </c>
      <c r="K30" s="54" t="str">
        <f aca="false">IF($H30="","",应付跟进!$F30)</f>
        <v/>
      </c>
      <c r="L30" s="54" t="str">
        <f aca="false">IF($H30="","",应付跟进!$L30)</f>
        <v/>
      </c>
      <c r="M30" s="42" t="str">
        <f aca="false">IF($H30="","",应付跟进!$N30)</f>
        <v/>
      </c>
      <c r="V30" s="42" t="str">
        <f aca="false">IF(基础资料!$K30="","",基础资料!$K30)</f>
        <v/>
      </c>
      <c r="W30" s="42" t="str">
        <f aca="false">IF($V30="","",基础资料!$L30)</f>
        <v/>
      </c>
      <c r="X30" s="54" t="str">
        <f aca="false">IF($V30="","",SUMIFS(销售录入!$O$5:$O$404,销售录入!$J$5:$J$404,$V30,销售录入!$C$5:$C$404,首页!$B$5))</f>
        <v/>
      </c>
      <c r="Y30" s="54" t="str">
        <f aca="false">IF($V30="","",SUMIFS(采购录入!$Q$5:$Q$404,采购录入!$L$5:$L$404,$V30,采购录入!$C$5:$C$404,首页!$B$5))</f>
        <v/>
      </c>
      <c r="Z30" s="54" t="str">
        <f aca="false">IF($V30="","",SUMIFS(资金流水!$N$5:$N$504,资金流水!$I$5:$I$504,$V30,资金流水!$D$5:$D$504,"收入",资金流水!$C$5:$C$504,首页!$B$5))</f>
        <v/>
      </c>
      <c r="AA30" s="54" t="str">
        <f aca="false">IF($V30="","",SUMIFS(资金流水!$N$5:$N$504,资金流水!$I$5:$I$504,$V30,资金流水!$D$5:$D$504,"支出",资金流水!$C$5:$C$504,首页!$B$5))</f>
        <v/>
      </c>
    </row>
    <row r="31" customFormat="false" ht="15.75" hidden="false" customHeight="true" outlineLevel="0" collapsed="false">
      <c r="A31" s="35" t="str">
        <f aca="false">IF(应收跟进!$A31="","",应收跟进!$A31)</f>
        <v/>
      </c>
      <c r="B31" s="54" t="str">
        <f aca="false">IF($A31="","",应收跟进!$D31)</f>
        <v/>
      </c>
      <c r="C31" s="54" t="str">
        <f aca="false">IF($A31="","",应收跟进!$E31)</f>
        <v/>
      </c>
      <c r="D31" s="54" t="str">
        <f aca="false">IF($A31="","",应收跟进!$F31)</f>
        <v/>
      </c>
      <c r="E31" s="54" t="str">
        <f aca="false">IF($A31="","",应收跟进!$L31)</f>
        <v/>
      </c>
      <c r="F31" s="42" t="str">
        <f aca="false">IF($A31="","",应收跟进!$N31)</f>
        <v/>
      </c>
      <c r="H31" s="35" t="str">
        <f aca="false">IF(应付跟进!$A31="","",应付跟进!$A31)</f>
        <v/>
      </c>
      <c r="I31" s="54" t="str">
        <f aca="false">IF($H31="","",应付跟进!$D31)</f>
        <v/>
      </c>
      <c r="J31" s="54" t="str">
        <f aca="false">IF($H31="","",应付跟进!$E31)</f>
        <v/>
      </c>
      <c r="K31" s="54" t="str">
        <f aca="false">IF($H31="","",应付跟进!$F31)</f>
        <v/>
      </c>
      <c r="L31" s="54" t="str">
        <f aca="false">IF($H31="","",应付跟进!$L31)</f>
        <v/>
      </c>
      <c r="M31" s="42" t="str">
        <f aca="false">IF($H31="","",应付跟进!$N31)</f>
        <v/>
      </c>
      <c r="V31" s="42" t="str">
        <f aca="false">IF(基础资料!$K31="","",基础资料!$K31)</f>
        <v/>
      </c>
      <c r="W31" s="42" t="str">
        <f aca="false">IF($V31="","",基础资料!$L31)</f>
        <v/>
      </c>
      <c r="X31" s="54" t="str">
        <f aca="false">IF($V31="","",SUMIFS(销售录入!$O$5:$O$404,销售录入!$J$5:$J$404,$V31,销售录入!$C$5:$C$404,首页!$B$5))</f>
        <v/>
      </c>
      <c r="Y31" s="54" t="str">
        <f aca="false">IF($V31="","",SUMIFS(采购录入!$Q$5:$Q$404,采购录入!$L$5:$L$404,$V31,采购录入!$C$5:$C$404,首页!$B$5))</f>
        <v/>
      </c>
      <c r="Z31" s="54" t="str">
        <f aca="false">IF($V31="","",SUMIFS(资金流水!$N$5:$N$504,资金流水!$I$5:$I$504,$V31,资金流水!$D$5:$D$504,"收入",资金流水!$C$5:$C$504,首页!$B$5))</f>
        <v/>
      </c>
      <c r="AA31" s="54" t="str">
        <f aca="false">IF($V31="","",SUMIFS(资金流水!$N$5:$N$504,资金流水!$I$5:$I$504,$V31,资金流水!$D$5:$D$504,"支出",资金流水!$C$5:$C$504,首页!$B$5))</f>
        <v/>
      </c>
    </row>
    <row r="32" customFormat="false" ht="15.75" hidden="false" customHeight="true" outlineLevel="0" collapsed="false">
      <c r="A32" s="35" t="str">
        <f aca="false">IF(应收跟进!$A32="","",应收跟进!$A32)</f>
        <v/>
      </c>
      <c r="B32" s="54" t="str">
        <f aca="false">IF($A32="","",应收跟进!$D32)</f>
        <v/>
      </c>
      <c r="C32" s="54" t="str">
        <f aca="false">IF($A32="","",应收跟进!$E32)</f>
        <v/>
      </c>
      <c r="D32" s="54" t="str">
        <f aca="false">IF($A32="","",应收跟进!$F32)</f>
        <v/>
      </c>
      <c r="E32" s="54" t="str">
        <f aca="false">IF($A32="","",应收跟进!$L32)</f>
        <v/>
      </c>
      <c r="F32" s="42" t="str">
        <f aca="false">IF($A32="","",应收跟进!$N32)</f>
        <v/>
      </c>
      <c r="H32" s="35" t="str">
        <f aca="false">IF(应付跟进!$A32="","",应付跟进!$A32)</f>
        <v/>
      </c>
      <c r="I32" s="54" t="str">
        <f aca="false">IF($H32="","",应付跟进!$D32)</f>
        <v/>
      </c>
      <c r="J32" s="54" t="str">
        <f aca="false">IF($H32="","",应付跟进!$E32)</f>
        <v/>
      </c>
      <c r="K32" s="54" t="str">
        <f aca="false">IF($H32="","",应付跟进!$F32)</f>
        <v/>
      </c>
      <c r="L32" s="54" t="str">
        <f aca="false">IF($H32="","",应付跟进!$L32)</f>
        <v/>
      </c>
      <c r="M32" s="42" t="str">
        <f aca="false">IF($H32="","",应付跟进!$N32)</f>
        <v/>
      </c>
      <c r="V32" s="42" t="str">
        <f aca="false">IF(基础资料!$K32="","",基础资料!$K32)</f>
        <v/>
      </c>
      <c r="W32" s="42" t="str">
        <f aca="false">IF($V32="","",基础资料!$L32)</f>
        <v/>
      </c>
      <c r="X32" s="54" t="str">
        <f aca="false">IF($V32="","",SUMIFS(销售录入!$O$5:$O$404,销售录入!$J$5:$J$404,$V32,销售录入!$C$5:$C$404,首页!$B$5))</f>
        <v/>
      </c>
      <c r="Y32" s="54" t="str">
        <f aca="false">IF($V32="","",SUMIFS(采购录入!$Q$5:$Q$404,采购录入!$L$5:$L$404,$V32,采购录入!$C$5:$C$404,首页!$B$5))</f>
        <v/>
      </c>
      <c r="Z32" s="54" t="str">
        <f aca="false">IF($V32="","",SUMIFS(资金流水!$N$5:$N$504,资金流水!$I$5:$I$504,$V32,资金流水!$D$5:$D$504,"收入",资金流水!$C$5:$C$504,首页!$B$5))</f>
        <v/>
      </c>
      <c r="AA32" s="54" t="str">
        <f aca="false">IF($V32="","",SUMIFS(资金流水!$N$5:$N$504,资金流水!$I$5:$I$504,$V32,资金流水!$D$5:$D$504,"支出",资金流水!$C$5:$C$504,首页!$B$5))</f>
        <v/>
      </c>
    </row>
    <row r="33" customFormat="false" ht="15.75" hidden="false" customHeight="true" outlineLevel="0" collapsed="false">
      <c r="A33" s="35" t="str">
        <f aca="false">IF(应收跟进!$A33="","",应收跟进!$A33)</f>
        <v/>
      </c>
      <c r="B33" s="54" t="str">
        <f aca="false">IF($A33="","",应收跟进!$D33)</f>
        <v/>
      </c>
      <c r="C33" s="54" t="str">
        <f aca="false">IF($A33="","",应收跟进!$E33)</f>
        <v/>
      </c>
      <c r="D33" s="54" t="str">
        <f aca="false">IF($A33="","",应收跟进!$F33)</f>
        <v/>
      </c>
      <c r="E33" s="54" t="str">
        <f aca="false">IF($A33="","",应收跟进!$L33)</f>
        <v/>
      </c>
      <c r="F33" s="42" t="str">
        <f aca="false">IF($A33="","",应收跟进!$N33)</f>
        <v/>
      </c>
      <c r="H33" s="35" t="str">
        <f aca="false">IF(应付跟进!$A33="","",应付跟进!$A33)</f>
        <v/>
      </c>
      <c r="I33" s="54" t="str">
        <f aca="false">IF($H33="","",应付跟进!$D33)</f>
        <v/>
      </c>
      <c r="J33" s="54" t="str">
        <f aca="false">IF($H33="","",应付跟进!$E33)</f>
        <v/>
      </c>
      <c r="K33" s="54" t="str">
        <f aca="false">IF($H33="","",应付跟进!$F33)</f>
        <v/>
      </c>
      <c r="L33" s="54" t="str">
        <f aca="false">IF($H33="","",应付跟进!$L33)</f>
        <v/>
      </c>
      <c r="M33" s="42" t="str">
        <f aca="false">IF($H33="","",应付跟进!$N33)</f>
        <v/>
      </c>
      <c r="V33" s="42" t="str">
        <f aca="false">IF(基础资料!$K33="","",基础资料!$K33)</f>
        <v/>
      </c>
      <c r="W33" s="42" t="str">
        <f aca="false">IF($V33="","",基础资料!$L33)</f>
        <v/>
      </c>
      <c r="X33" s="54" t="str">
        <f aca="false">IF($V33="","",SUMIFS(销售录入!$O$5:$O$404,销售录入!$J$5:$J$404,$V33,销售录入!$C$5:$C$404,首页!$B$5))</f>
        <v/>
      </c>
      <c r="Y33" s="54" t="str">
        <f aca="false">IF($V33="","",SUMIFS(采购录入!$Q$5:$Q$404,采购录入!$L$5:$L$404,$V33,采购录入!$C$5:$C$404,首页!$B$5))</f>
        <v/>
      </c>
      <c r="Z33" s="54" t="str">
        <f aca="false">IF($V33="","",SUMIFS(资金流水!$N$5:$N$504,资金流水!$I$5:$I$504,$V33,资金流水!$D$5:$D$504,"收入",资金流水!$C$5:$C$504,首页!$B$5))</f>
        <v/>
      </c>
      <c r="AA33" s="54" t="str">
        <f aca="false">IF($V33="","",SUMIFS(资金流水!$N$5:$N$504,资金流水!$I$5:$I$504,$V33,资金流水!$D$5:$D$504,"支出",资金流水!$C$5:$C$504,首页!$B$5))</f>
        <v/>
      </c>
    </row>
    <row r="34" customFormat="false" ht="15.75" hidden="false" customHeight="true" outlineLevel="0" collapsed="false">
      <c r="A34" s="35" t="str">
        <f aca="false">IF(应收跟进!$A34="","",应收跟进!$A34)</f>
        <v/>
      </c>
      <c r="B34" s="54" t="str">
        <f aca="false">IF($A34="","",应收跟进!$D34)</f>
        <v/>
      </c>
      <c r="C34" s="54" t="str">
        <f aca="false">IF($A34="","",应收跟进!$E34)</f>
        <v/>
      </c>
      <c r="D34" s="54" t="str">
        <f aca="false">IF($A34="","",应收跟进!$F34)</f>
        <v/>
      </c>
      <c r="E34" s="54" t="str">
        <f aca="false">IF($A34="","",应收跟进!$L34)</f>
        <v/>
      </c>
      <c r="F34" s="42" t="str">
        <f aca="false">IF($A34="","",应收跟进!$N34)</f>
        <v/>
      </c>
      <c r="H34" s="35" t="str">
        <f aca="false">IF(应付跟进!$A34="","",应付跟进!$A34)</f>
        <v/>
      </c>
      <c r="I34" s="54" t="str">
        <f aca="false">IF($H34="","",应付跟进!$D34)</f>
        <v/>
      </c>
      <c r="J34" s="54" t="str">
        <f aca="false">IF($H34="","",应付跟进!$E34)</f>
        <v/>
      </c>
      <c r="K34" s="54" t="str">
        <f aca="false">IF($H34="","",应付跟进!$F34)</f>
        <v/>
      </c>
      <c r="L34" s="54" t="str">
        <f aca="false">IF($H34="","",应付跟进!$L34)</f>
        <v/>
      </c>
      <c r="M34" s="42" t="str">
        <f aca="false">IF($H34="","",应付跟进!$N34)</f>
        <v/>
      </c>
      <c r="V34" s="42" t="str">
        <f aca="false">IF(基础资料!$K34="","",基础资料!$K34)</f>
        <v/>
      </c>
      <c r="W34" s="42" t="str">
        <f aca="false">IF($V34="","",基础资料!$L34)</f>
        <v/>
      </c>
      <c r="X34" s="54" t="str">
        <f aca="false">IF($V34="","",SUMIFS(销售录入!$O$5:$O$404,销售录入!$J$5:$J$404,$V34,销售录入!$C$5:$C$404,首页!$B$5))</f>
        <v/>
      </c>
      <c r="Y34" s="54" t="str">
        <f aca="false">IF($V34="","",SUMIFS(采购录入!$Q$5:$Q$404,采购录入!$L$5:$L$404,$V34,采购录入!$C$5:$C$404,首页!$B$5))</f>
        <v/>
      </c>
      <c r="Z34" s="54" t="str">
        <f aca="false">IF($V34="","",SUMIFS(资金流水!$N$5:$N$504,资金流水!$I$5:$I$504,$V34,资金流水!$D$5:$D$504,"收入",资金流水!$C$5:$C$504,首页!$B$5))</f>
        <v/>
      </c>
      <c r="AA34" s="54" t="str">
        <f aca="false">IF($V34="","",SUMIFS(资金流水!$N$5:$N$504,资金流水!$I$5:$I$504,$V34,资金流水!$D$5:$D$504,"支出",资金流水!$C$5:$C$504,首页!$B$5))</f>
        <v/>
      </c>
    </row>
    <row r="35" customFormat="false" ht="15.75" hidden="false" customHeight="true" outlineLevel="0" collapsed="false">
      <c r="A35" s="35" t="str">
        <f aca="false">IF(应收跟进!$A35="","",应收跟进!$A35)</f>
        <v/>
      </c>
      <c r="B35" s="54" t="str">
        <f aca="false">IF($A35="","",应收跟进!$D35)</f>
        <v/>
      </c>
      <c r="C35" s="54" t="str">
        <f aca="false">IF($A35="","",应收跟进!$E35)</f>
        <v/>
      </c>
      <c r="D35" s="54" t="str">
        <f aca="false">IF($A35="","",应收跟进!$F35)</f>
        <v/>
      </c>
      <c r="E35" s="54" t="str">
        <f aca="false">IF($A35="","",应收跟进!$L35)</f>
        <v/>
      </c>
      <c r="F35" s="42" t="str">
        <f aca="false">IF($A35="","",应收跟进!$N35)</f>
        <v/>
      </c>
      <c r="H35" s="35" t="str">
        <f aca="false">IF(应付跟进!$A35="","",应付跟进!$A35)</f>
        <v/>
      </c>
      <c r="I35" s="54" t="str">
        <f aca="false">IF($H35="","",应付跟进!$D35)</f>
        <v/>
      </c>
      <c r="J35" s="54" t="str">
        <f aca="false">IF($H35="","",应付跟进!$E35)</f>
        <v/>
      </c>
      <c r="K35" s="54" t="str">
        <f aca="false">IF($H35="","",应付跟进!$F35)</f>
        <v/>
      </c>
      <c r="L35" s="54" t="str">
        <f aca="false">IF($H35="","",应付跟进!$L35)</f>
        <v/>
      </c>
      <c r="M35" s="42" t="str">
        <f aca="false">IF($H35="","",应付跟进!$N35)</f>
        <v/>
      </c>
      <c r="V35" s="42" t="str">
        <f aca="false">IF(基础资料!$K35="","",基础资料!$K35)</f>
        <v/>
      </c>
      <c r="W35" s="42" t="str">
        <f aca="false">IF($V35="","",基础资料!$L35)</f>
        <v/>
      </c>
      <c r="X35" s="54" t="str">
        <f aca="false">IF($V35="","",SUMIFS(销售录入!$O$5:$O$404,销售录入!$J$5:$J$404,$V35,销售录入!$C$5:$C$404,首页!$B$5))</f>
        <v/>
      </c>
      <c r="Y35" s="54" t="str">
        <f aca="false">IF($V35="","",SUMIFS(采购录入!$Q$5:$Q$404,采购录入!$L$5:$L$404,$V35,采购录入!$C$5:$C$404,首页!$B$5))</f>
        <v/>
      </c>
      <c r="Z35" s="54" t="str">
        <f aca="false">IF($V35="","",SUMIFS(资金流水!$N$5:$N$504,资金流水!$I$5:$I$504,$V35,资金流水!$D$5:$D$504,"收入",资金流水!$C$5:$C$504,首页!$B$5))</f>
        <v/>
      </c>
      <c r="AA35" s="54" t="str">
        <f aca="false">IF($V35="","",SUMIFS(资金流水!$N$5:$N$504,资金流水!$I$5:$I$504,$V35,资金流水!$D$5:$D$504,"支出",资金流水!$C$5:$C$504,首页!$B$5))</f>
        <v/>
      </c>
    </row>
    <row r="36" customFormat="false" ht="15.75" hidden="false" customHeight="true" outlineLevel="0" collapsed="false">
      <c r="A36" s="35" t="str">
        <f aca="false">IF(应收跟进!$A36="","",应收跟进!$A36)</f>
        <v/>
      </c>
      <c r="B36" s="54" t="str">
        <f aca="false">IF($A36="","",应收跟进!$D36)</f>
        <v/>
      </c>
      <c r="C36" s="54" t="str">
        <f aca="false">IF($A36="","",应收跟进!$E36)</f>
        <v/>
      </c>
      <c r="D36" s="54" t="str">
        <f aca="false">IF($A36="","",应收跟进!$F36)</f>
        <v/>
      </c>
      <c r="E36" s="54" t="str">
        <f aca="false">IF($A36="","",应收跟进!$L36)</f>
        <v/>
      </c>
      <c r="F36" s="42" t="str">
        <f aca="false">IF($A36="","",应收跟进!$N36)</f>
        <v/>
      </c>
      <c r="H36" s="35" t="str">
        <f aca="false">IF(应付跟进!$A36="","",应付跟进!$A36)</f>
        <v/>
      </c>
      <c r="I36" s="54" t="str">
        <f aca="false">IF($H36="","",应付跟进!$D36)</f>
        <v/>
      </c>
      <c r="J36" s="54" t="str">
        <f aca="false">IF($H36="","",应付跟进!$E36)</f>
        <v/>
      </c>
      <c r="K36" s="54" t="str">
        <f aca="false">IF($H36="","",应付跟进!$F36)</f>
        <v/>
      </c>
      <c r="L36" s="54" t="str">
        <f aca="false">IF($H36="","",应付跟进!$L36)</f>
        <v/>
      </c>
      <c r="M36" s="42" t="str">
        <f aca="false">IF($H36="","",应付跟进!$N36)</f>
        <v/>
      </c>
      <c r="V36" s="42" t="str">
        <f aca="false">IF(基础资料!$K36="","",基础资料!$K36)</f>
        <v/>
      </c>
      <c r="W36" s="42" t="str">
        <f aca="false">IF($V36="","",基础资料!$L36)</f>
        <v/>
      </c>
      <c r="X36" s="54" t="str">
        <f aca="false">IF($V36="","",SUMIFS(销售录入!$O$5:$O$404,销售录入!$J$5:$J$404,$V36,销售录入!$C$5:$C$404,首页!$B$5))</f>
        <v/>
      </c>
      <c r="Y36" s="54" t="str">
        <f aca="false">IF($V36="","",SUMIFS(采购录入!$Q$5:$Q$404,采购录入!$L$5:$L$404,$V36,采购录入!$C$5:$C$404,首页!$B$5))</f>
        <v/>
      </c>
      <c r="Z36" s="54" t="str">
        <f aca="false">IF($V36="","",SUMIFS(资金流水!$N$5:$N$504,资金流水!$I$5:$I$504,$V36,资金流水!$D$5:$D$504,"收入",资金流水!$C$5:$C$504,首页!$B$5))</f>
        <v/>
      </c>
      <c r="AA36" s="54" t="str">
        <f aca="false">IF($V36="","",SUMIFS(资金流水!$N$5:$N$504,资金流水!$I$5:$I$504,$V36,资金流水!$D$5:$D$504,"支出",资金流水!$C$5:$C$504,首页!$B$5))</f>
        <v/>
      </c>
    </row>
    <row r="37" customFormat="false" ht="15.75" hidden="false" customHeight="true" outlineLevel="0" collapsed="false">
      <c r="A37" s="35" t="str">
        <f aca="false">IF(应收跟进!$A37="","",应收跟进!$A37)</f>
        <v/>
      </c>
      <c r="B37" s="54" t="str">
        <f aca="false">IF($A37="","",应收跟进!$D37)</f>
        <v/>
      </c>
      <c r="C37" s="54" t="str">
        <f aca="false">IF($A37="","",应收跟进!$E37)</f>
        <v/>
      </c>
      <c r="D37" s="54" t="str">
        <f aca="false">IF($A37="","",应收跟进!$F37)</f>
        <v/>
      </c>
      <c r="E37" s="54" t="str">
        <f aca="false">IF($A37="","",应收跟进!$L37)</f>
        <v/>
      </c>
      <c r="F37" s="42" t="str">
        <f aca="false">IF($A37="","",应收跟进!$N37)</f>
        <v/>
      </c>
      <c r="H37" s="35" t="str">
        <f aca="false">IF(应付跟进!$A37="","",应付跟进!$A37)</f>
        <v/>
      </c>
      <c r="I37" s="54" t="str">
        <f aca="false">IF($H37="","",应付跟进!$D37)</f>
        <v/>
      </c>
      <c r="J37" s="54" t="str">
        <f aca="false">IF($H37="","",应付跟进!$E37)</f>
        <v/>
      </c>
      <c r="K37" s="54" t="str">
        <f aca="false">IF($H37="","",应付跟进!$F37)</f>
        <v/>
      </c>
      <c r="L37" s="54" t="str">
        <f aca="false">IF($H37="","",应付跟进!$L37)</f>
        <v/>
      </c>
      <c r="M37" s="42" t="str">
        <f aca="false">IF($H37="","",应付跟进!$N37)</f>
        <v/>
      </c>
      <c r="V37" s="42" t="str">
        <f aca="false">IF(基础资料!$K37="","",基础资料!$K37)</f>
        <v/>
      </c>
      <c r="W37" s="42" t="str">
        <f aca="false">IF($V37="","",基础资料!$L37)</f>
        <v/>
      </c>
      <c r="X37" s="54" t="str">
        <f aca="false">IF($V37="","",SUMIFS(销售录入!$O$5:$O$404,销售录入!$J$5:$J$404,$V37,销售录入!$C$5:$C$404,首页!$B$5))</f>
        <v/>
      </c>
      <c r="Y37" s="54" t="str">
        <f aca="false">IF($V37="","",SUMIFS(采购录入!$Q$5:$Q$404,采购录入!$L$5:$L$404,$V37,采购录入!$C$5:$C$404,首页!$B$5))</f>
        <v/>
      </c>
      <c r="Z37" s="54" t="str">
        <f aca="false">IF($V37="","",SUMIFS(资金流水!$N$5:$N$504,资金流水!$I$5:$I$504,$V37,资金流水!$D$5:$D$504,"收入",资金流水!$C$5:$C$504,首页!$B$5))</f>
        <v/>
      </c>
      <c r="AA37" s="54" t="str">
        <f aca="false">IF($V37="","",SUMIFS(资金流水!$N$5:$N$504,资金流水!$I$5:$I$504,$V37,资金流水!$D$5:$D$504,"支出",资金流水!$C$5:$C$504,首页!$B$5))</f>
        <v/>
      </c>
    </row>
    <row r="38" customFormat="false" ht="15.75" hidden="false" customHeight="true" outlineLevel="0" collapsed="false">
      <c r="A38" s="35" t="str">
        <f aca="false">IF(应收跟进!$A38="","",应收跟进!$A38)</f>
        <v/>
      </c>
      <c r="B38" s="54" t="str">
        <f aca="false">IF($A38="","",应收跟进!$D38)</f>
        <v/>
      </c>
      <c r="C38" s="54" t="str">
        <f aca="false">IF($A38="","",应收跟进!$E38)</f>
        <v/>
      </c>
      <c r="D38" s="54" t="str">
        <f aca="false">IF($A38="","",应收跟进!$F38)</f>
        <v/>
      </c>
      <c r="E38" s="54" t="str">
        <f aca="false">IF($A38="","",应收跟进!$L38)</f>
        <v/>
      </c>
      <c r="F38" s="42" t="str">
        <f aca="false">IF($A38="","",应收跟进!$N38)</f>
        <v/>
      </c>
      <c r="H38" s="35" t="str">
        <f aca="false">IF(应付跟进!$A38="","",应付跟进!$A38)</f>
        <v/>
      </c>
      <c r="I38" s="54" t="str">
        <f aca="false">IF($H38="","",应付跟进!$D38)</f>
        <v/>
      </c>
      <c r="J38" s="54" t="str">
        <f aca="false">IF($H38="","",应付跟进!$E38)</f>
        <v/>
      </c>
      <c r="K38" s="54" t="str">
        <f aca="false">IF($H38="","",应付跟进!$F38)</f>
        <v/>
      </c>
      <c r="L38" s="54" t="str">
        <f aca="false">IF($H38="","",应付跟进!$L38)</f>
        <v/>
      </c>
      <c r="M38" s="42" t="str">
        <f aca="false">IF($H38="","",应付跟进!$N38)</f>
        <v/>
      </c>
      <c r="V38" s="42" t="str">
        <f aca="false">IF(基础资料!$K38="","",基础资料!$K38)</f>
        <v/>
      </c>
      <c r="W38" s="42" t="str">
        <f aca="false">IF($V38="","",基础资料!$L38)</f>
        <v/>
      </c>
      <c r="X38" s="54" t="str">
        <f aca="false">IF($V38="","",SUMIFS(销售录入!$O$5:$O$404,销售录入!$J$5:$J$404,$V38,销售录入!$C$5:$C$404,首页!$B$5))</f>
        <v/>
      </c>
      <c r="Y38" s="54" t="str">
        <f aca="false">IF($V38="","",SUMIFS(采购录入!$Q$5:$Q$404,采购录入!$L$5:$L$404,$V38,采购录入!$C$5:$C$404,首页!$B$5))</f>
        <v/>
      </c>
      <c r="Z38" s="54" t="str">
        <f aca="false">IF($V38="","",SUMIFS(资金流水!$N$5:$N$504,资金流水!$I$5:$I$504,$V38,资金流水!$D$5:$D$504,"收入",资金流水!$C$5:$C$504,首页!$B$5))</f>
        <v/>
      </c>
      <c r="AA38" s="54" t="str">
        <f aca="false">IF($V38="","",SUMIFS(资金流水!$N$5:$N$504,资金流水!$I$5:$I$504,$V38,资金流水!$D$5:$D$504,"支出",资金流水!$C$5:$C$504,首页!$B$5))</f>
        <v/>
      </c>
    </row>
    <row r="39" customFormat="false" ht="15.75" hidden="false" customHeight="true" outlineLevel="0" collapsed="false">
      <c r="A39" s="35" t="str">
        <f aca="false">IF(应收跟进!$A39="","",应收跟进!$A39)</f>
        <v/>
      </c>
      <c r="B39" s="54" t="str">
        <f aca="false">IF($A39="","",应收跟进!$D39)</f>
        <v/>
      </c>
      <c r="C39" s="54" t="str">
        <f aca="false">IF($A39="","",应收跟进!$E39)</f>
        <v/>
      </c>
      <c r="D39" s="54" t="str">
        <f aca="false">IF($A39="","",应收跟进!$F39)</f>
        <v/>
      </c>
      <c r="E39" s="54" t="str">
        <f aca="false">IF($A39="","",应收跟进!$L39)</f>
        <v/>
      </c>
      <c r="F39" s="42" t="str">
        <f aca="false">IF($A39="","",应收跟进!$N39)</f>
        <v/>
      </c>
      <c r="H39" s="35" t="str">
        <f aca="false">IF(应付跟进!$A39="","",应付跟进!$A39)</f>
        <v/>
      </c>
      <c r="I39" s="54" t="str">
        <f aca="false">IF($H39="","",应付跟进!$D39)</f>
        <v/>
      </c>
      <c r="J39" s="54" t="str">
        <f aca="false">IF($H39="","",应付跟进!$E39)</f>
        <v/>
      </c>
      <c r="K39" s="54" t="str">
        <f aca="false">IF($H39="","",应付跟进!$F39)</f>
        <v/>
      </c>
      <c r="L39" s="54" t="str">
        <f aca="false">IF($H39="","",应付跟进!$L39)</f>
        <v/>
      </c>
      <c r="M39" s="42" t="str">
        <f aca="false">IF($H39="","",应付跟进!$N39)</f>
        <v/>
      </c>
      <c r="V39" s="42" t="str">
        <f aca="false">IF(基础资料!$K39="","",基础资料!$K39)</f>
        <v/>
      </c>
      <c r="W39" s="42" t="str">
        <f aca="false">IF($V39="","",基础资料!$L39)</f>
        <v/>
      </c>
      <c r="X39" s="54" t="str">
        <f aca="false">IF($V39="","",SUMIFS(销售录入!$O$5:$O$404,销售录入!$J$5:$J$404,$V39,销售录入!$C$5:$C$404,首页!$B$5))</f>
        <v/>
      </c>
      <c r="Y39" s="54" t="str">
        <f aca="false">IF($V39="","",SUMIFS(采购录入!$Q$5:$Q$404,采购录入!$L$5:$L$404,$V39,采购录入!$C$5:$C$404,首页!$B$5))</f>
        <v/>
      </c>
      <c r="Z39" s="54" t="str">
        <f aca="false">IF($V39="","",SUMIFS(资金流水!$N$5:$N$504,资金流水!$I$5:$I$504,$V39,资金流水!$D$5:$D$504,"收入",资金流水!$C$5:$C$504,首页!$B$5))</f>
        <v/>
      </c>
      <c r="AA39" s="54" t="str">
        <f aca="false">IF($V39="","",SUMIFS(资金流水!$N$5:$N$504,资金流水!$I$5:$I$504,$V39,资金流水!$D$5:$D$504,"支出",资金流水!$C$5:$C$504,首页!$B$5))</f>
        <v/>
      </c>
    </row>
    <row r="40" customFormat="false" ht="15.75" hidden="false" customHeight="true" outlineLevel="0" collapsed="false">
      <c r="A40" s="35" t="str">
        <f aca="false">IF(应收跟进!$A40="","",应收跟进!$A40)</f>
        <v/>
      </c>
      <c r="B40" s="54" t="str">
        <f aca="false">IF($A40="","",应收跟进!$D40)</f>
        <v/>
      </c>
      <c r="C40" s="54" t="str">
        <f aca="false">IF($A40="","",应收跟进!$E40)</f>
        <v/>
      </c>
      <c r="D40" s="54" t="str">
        <f aca="false">IF($A40="","",应收跟进!$F40)</f>
        <v/>
      </c>
      <c r="E40" s="54" t="str">
        <f aca="false">IF($A40="","",应收跟进!$L40)</f>
        <v/>
      </c>
      <c r="F40" s="42" t="str">
        <f aca="false">IF($A40="","",应收跟进!$N40)</f>
        <v/>
      </c>
      <c r="H40" s="35" t="str">
        <f aca="false">IF(应付跟进!$A40="","",应付跟进!$A40)</f>
        <v/>
      </c>
      <c r="I40" s="54" t="str">
        <f aca="false">IF($H40="","",应付跟进!$D40)</f>
        <v/>
      </c>
      <c r="J40" s="54" t="str">
        <f aca="false">IF($H40="","",应付跟进!$E40)</f>
        <v/>
      </c>
      <c r="K40" s="54" t="str">
        <f aca="false">IF($H40="","",应付跟进!$F40)</f>
        <v/>
      </c>
      <c r="L40" s="54" t="str">
        <f aca="false">IF($H40="","",应付跟进!$L40)</f>
        <v/>
      </c>
      <c r="M40" s="42" t="str">
        <f aca="false">IF($H40="","",应付跟进!$N40)</f>
        <v/>
      </c>
      <c r="V40" s="42" t="str">
        <f aca="false">IF(基础资料!$K40="","",基础资料!$K40)</f>
        <v/>
      </c>
      <c r="W40" s="42" t="str">
        <f aca="false">IF($V40="","",基础资料!$L40)</f>
        <v/>
      </c>
      <c r="X40" s="54" t="str">
        <f aca="false">IF($V40="","",SUMIFS(销售录入!$O$5:$O$404,销售录入!$J$5:$J$404,$V40,销售录入!$C$5:$C$404,首页!$B$5))</f>
        <v/>
      </c>
      <c r="Y40" s="54" t="str">
        <f aca="false">IF($V40="","",SUMIFS(采购录入!$Q$5:$Q$404,采购录入!$L$5:$L$404,$V40,采购录入!$C$5:$C$404,首页!$B$5))</f>
        <v/>
      </c>
      <c r="Z40" s="54" t="str">
        <f aca="false">IF($V40="","",SUMIFS(资金流水!$N$5:$N$504,资金流水!$I$5:$I$504,$V40,资金流水!$D$5:$D$504,"收入",资金流水!$C$5:$C$504,首页!$B$5))</f>
        <v/>
      </c>
      <c r="AA40" s="54" t="str">
        <f aca="false">IF($V40="","",SUMIFS(资金流水!$N$5:$N$504,资金流水!$I$5:$I$504,$V40,资金流水!$D$5:$D$504,"支出",资金流水!$C$5:$C$504,首页!$B$5))</f>
        <v/>
      </c>
    </row>
    <row r="41" customFormat="false" ht="15.75" hidden="false" customHeight="true" outlineLevel="0" collapsed="false">
      <c r="A41" s="35" t="str">
        <f aca="false">IF(应收跟进!$A41="","",应收跟进!$A41)</f>
        <v/>
      </c>
      <c r="B41" s="54" t="str">
        <f aca="false">IF($A41="","",应收跟进!$D41)</f>
        <v/>
      </c>
      <c r="C41" s="54" t="str">
        <f aca="false">IF($A41="","",应收跟进!$E41)</f>
        <v/>
      </c>
      <c r="D41" s="54" t="str">
        <f aca="false">IF($A41="","",应收跟进!$F41)</f>
        <v/>
      </c>
      <c r="E41" s="54" t="str">
        <f aca="false">IF($A41="","",应收跟进!$L41)</f>
        <v/>
      </c>
      <c r="F41" s="42" t="str">
        <f aca="false">IF($A41="","",应收跟进!$N41)</f>
        <v/>
      </c>
      <c r="H41" s="35" t="str">
        <f aca="false">IF(应付跟进!$A41="","",应付跟进!$A41)</f>
        <v/>
      </c>
      <c r="I41" s="54" t="str">
        <f aca="false">IF($H41="","",应付跟进!$D41)</f>
        <v/>
      </c>
      <c r="J41" s="54" t="str">
        <f aca="false">IF($H41="","",应付跟进!$E41)</f>
        <v/>
      </c>
      <c r="K41" s="54" t="str">
        <f aca="false">IF($H41="","",应付跟进!$F41)</f>
        <v/>
      </c>
      <c r="L41" s="54" t="str">
        <f aca="false">IF($H41="","",应付跟进!$L41)</f>
        <v/>
      </c>
      <c r="M41" s="42" t="str">
        <f aca="false">IF($H41="","",应付跟进!$N41)</f>
        <v/>
      </c>
      <c r="V41" s="42" t="str">
        <f aca="false">IF(基础资料!$K41="","",基础资料!$K41)</f>
        <v/>
      </c>
      <c r="W41" s="42" t="str">
        <f aca="false">IF($V41="","",基础资料!$L41)</f>
        <v/>
      </c>
      <c r="X41" s="54" t="str">
        <f aca="false">IF($V41="","",SUMIFS(销售录入!$O$5:$O$404,销售录入!$J$5:$J$404,$V41,销售录入!$C$5:$C$404,首页!$B$5))</f>
        <v/>
      </c>
      <c r="Y41" s="54" t="str">
        <f aca="false">IF($V41="","",SUMIFS(采购录入!$Q$5:$Q$404,采购录入!$L$5:$L$404,$V41,采购录入!$C$5:$C$404,首页!$B$5))</f>
        <v/>
      </c>
      <c r="Z41" s="54" t="str">
        <f aca="false">IF($V41="","",SUMIFS(资金流水!$N$5:$N$504,资金流水!$I$5:$I$504,$V41,资金流水!$D$5:$D$504,"收入",资金流水!$C$5:$C$504,首页!$B$5))</f>
        <v/>
      </c>
      <c r="AA41" s="54" t="str">
        <f aca="false">IF($V41="","",SUMIFS(资金流水!$N$5:$N$504,资金流水!$I$5:$I$504,$V41,资金流水!$D$5:$D$504,"支出",资金流水!$C$5:$C$504,首页!$B$5))</f>
        <v/>
      </c>
    </row>
    <row r="42" customFormat="false" ht="15.75" hidden="false" customHeight="true" outlineLevel="0" collapsed="false">
      <c r="A42" s="35" t="str">
        <f aca="false">IF(应收跟进!$A42="","",应收跟进!$A42)</f>
        <v/>
      </c>
      <c r="B42" s="54" t="str">
        <f aca="false">IF($A42="","",应收跟进!$D42)</f>
        <v/>
      </c>
      <c r="C42" s="54" t="str">
        <f aca="false">IF($A42="","",应收跟进!$E42)</f>
        <v/>
      </c>
      <c r="D42" s="54" t="str">
        <f aca="false">IF($A42="","",应收跟进!$F42)</f>
        <v/>
      </c>
      <c r="E42" s="54" t="str">
        <f aca="false">IF($A42="","",应收跟进!$L42)</f>
        <v/>
      </c>
      <c r="F42" s="42" t="str">
        <f aca="false">IF($A42="","",应收跟进!$N42)</f>
        <v/>
      </c>
      <c r="H42" s="35" t="str">
        <f aca="false">IF(应付跟进!$A42="","",应付跟进!$A42)</f>
        <v/>
      </c>
      <c r="I42" s="54" t="str">
        <f aca="false">IF($H42="","",应付跟进!$D42)</f>
        <v/>
      </c>
      <c r="J42" s="54" t="str">
        <f aca="false">IF($H42="","",应付跟进!$E42)</f>
        <v/>
      </c>
      <c r="K42" s="54" t="str">
        <f aca="false">IF($H42="","",应付跟进!$F42)</f>
        <v/>
      </c>
      <c r="L42" s="54" t="str">
        <f aca="false">IF($H42="","",应付跟进!$L42)</f>
        <v/>
      </c>
      <c r="M42" s="42" t="str">
        <f aca="false">IF($H42="","",应付跟进!$N42)</f>
        <v/>
      </c>
      <c r="V42" s="42" t="str">
        <f aca="false">IF(基础资料!$K42="","",基础资料!$K42)</f>
        <v/>
      </c>
      <c r="W42" s="42" t="str">
        <f aca="false">IF($V42="","",基础资料!$L42)</f>
        <v/>
      </c>
      <c r="X42" s="54" t="str">
        <f aca="false">IF($V42="","",SUMIFS(销售录入!$O$5:$O$404,销售录入!$J$5:$J$404,$V42,销售录入!$C$5:$C$404,首页!$B$5))</f>
        <v/>
      </c>
      <c r="Y42" s="54" t="str">
        <f aca="false">IF($V42="","",SUMIFS(采购录入!$Q$5:$Q$404,采购录入!$L$5:$L$404,$V42,采购录入!$C$5:$C$404,首页!$B$5))</f>
        <v/>
      </c>
      <c r="Z42" s="54" t="str">
        <f aca="false">IF($V42="","",SUMIFS(资金流水!$N$5:$N$504,资金流水!$I$5:$I$504,$V42,资金流水!$D$5:$D$504,"收入",资金流水!$C$5:$C$504,首页!$B$5))</f>
        <v/>
      </c>
      <c r="AA42" s="54" t="str">
        <f aca="false">IF($V42="","",SUMIFS(资金流水!$N$5:$N$504,资金流水!$I$5:$I$504,$V42,资金流水!$D$5:$D$504,"支出",资金流水!$C$5:$C$504,首页!$B$5))</f>
        <v/>
      </c>
    </row>
    <row r="43" customFormat="false" ht="15.75" hidden="false" customHeight="true" outlineLevel="0" collapsed="false">
      <c r="A43" s="35" t="str">
        <f aca="false">IF(应收跟进!$A43="","",应收跟进!$A43)</f>
        <v/>
      </c>
      <c r="B43" s="54" t="str">
        <f aca="false">IF($A43="","",应收跟进!$D43)</f>
        <v/>
      </c>
      <c r="C43" s="54" t="str">
        <f aca="false">IF($A43="","",应收跟进!$E43)</f>
        <v/>
      </c>
      <c r="D43" s="54" t="str">
        <f aca="false">IF($A43="","",应收跟进!$F43)</f>
        <v/>
      </c>
      <c r="E43" s="54" t="str">
        <f aca="false">IF($A43="","",应收跟进!$L43)</f>
        <v/>
      </c>
      <c r="F43" s="42" t="str">
        <f aca="false">IF($A43="","",应收跟进!$N43)</f>
        <v/>
      </c>
      <c r="H43" s="35" t="str">
        <f aca="false">IF(应付跟进!$A43="","",应付跟进!$A43)</f>
        <v/>
      </c>
      <c r="I43" s="54" t="str">
        <f aca="false">IF($H43="","",应付跟进!$D43)</f>
        <v/>
      </c>
      <c r="J43" s="54" t="str">
        <f aca="false">IF($H43="","",应付跟进!$E43)</f>
        <v/>
      </c>
      <c r="K43" s="54" t="str">
        <f aca="false">IF($H43="","",应付跟进!$F43)</f>
        <v/>
      </c>
      <c r="L43" s="54" t="str">
        <f aca="false">IF($H43="","",应付跟进!$L43)</f>
        <v/>
      </c>
      <c r="M43" s="42" t="str">
        <f aca="false">IF($H43="","",应付跟进!$N43)</f>
        <v/>
      </c>
      <c r="V43" s="42" t="str">
        <f aca="false">IF(基础资料!$K43="","",基础资料!$K43)</f>
        <v/>
      </c>
      <c r="W43" s="42" t="str">
        <f aca="false">IF($V43="","",基础资料!$L43)</f>
        <v/>
      </c>
      <c r="X43" s="54" t="str">
        <f aca="false">IF($V43="","",SUMIFS(销售录入!$O$5:$O$404,销售录入!$J$5:$J$404,$V43,销售录入!$C$5:$C$404,首页!$B$5))</f>
        <v/>
      </c>
      <c r="Y43" s="54" t="str">
        <f aca="false">IF($V43="","",SUMIFS(采购录入!$Q$5:$Q$404,采购录入!$L$5:$L$404,$V43,采购录入!$C$5:$C$404,首页!$B$5))</f>
        <v/>
      </c>
      <c r="Z43" s="54" t="str">
        <f aca="false">IF($V43="","",SUMIFS(资金流水!$N$5:$N$504,资金流水!$I$5:$I$504,$V43,资金流水!$D$5:$D$504,"收入",资金流水!$C$5:$C$504,首页!$B$5))</f>
        <v/>
      </c>
      <c r="AA43" s="54" t="str">
        <f aca="false">IF($V43="","",SUMIFS(资金流水!$N$5:$N$504,资金流水!$I$5:$I$504,$V43,资金流水!$D$5:$D$504,"支出",资金流水!$C$5:$C$504,首页!$B$5))</f>
        <v/>
      </c>
    </row>
    <row r="44" customFormat="false" ht="15.75" hidden="false" customHeight="true" outlineLevel="0" collapsed="false">
      <c r="A44" s="35" t="str">
        <f aca="false">IF(应收跟进!$A44="","",应收跟进!$A44)</f>
        <v/>
      </c>
      <c r="B44" s="54" t="str">
        <f aca="false">IF($A44="","",应收跟进!$D44)</f>
        <v/>
      </c>
      <c r="C44" s="54" t="str">
        <f aca="false">IF($A44="","",应收跟进!$E44)</f>
        <v/>
      </c>
      <c r="D44" s="54" t="str">
        <f aca="false">IF($A44="","",应收跟进!$F44)</f>
        <v/>
      </c>
      <c r="E44" s="54" t="str">
        <f aca="false">IF($A44="","",应收跟进!$L44)</f>
        <v/>
      </c>
      <c r="F44" s="42" t="str">
        <f aca="false">IF($A44="","",应收跟进!$N44)</f>
        <v/>
      </c>
      <c r="H44" s="35" t="str">
        <f aca="false">IF(应付跟进!$A44="","",应付跟进!$A44)</f>
        <v/>
      </c>
      <c r="I44" s="54" t="str">
        <f aca="false">IF($H44="","",应付跟进!$D44)</f>
        <v/>
      </c>
      <c r="J44" s="54" t="str">
        <f aca="false">IF($H44="","",应付跟进!$E44)</f>
        <v/>
      </c>
      <c r="K44" s="54" t="str">
        <f aca="false">IF($H44="","",应付跟进!$F44)</f>
        <v/>
      </c>
      <c r="L44" s="54" t="str">
        <f aca="false">IF($H44="","",应付跟进!$L44)</f>
        <v/>
      </c>
      <c r="M44" s="42" t="str">
        <f aca="false">IF($H44="","",应付跟进!$N44)</f>
        <v/>
      </c>
      <c r="V44" s="42" t="str">
        <f aca="false">IF(基础资料!$K44="","",基础资料!$K44)</f>
        <v/>
      </c>
      <c r="W44" s="42" t="str">
        <f aca="false">IF($V44="","",基础资料!$L44)</f>
        <v/>
      </c>
      <c r="X44" s="54" t="str">
        <f aca="false">IF($V44="","",SUMIFS(销售录入!$O$5:$O$404,销售录入!$J$5:$J$404,$V44,销售录入!$C$5:$C$404,首页!$B$5))</f>
        <v/>
      </c>
      <c r="Y44" s="54" t="str">
        <f aca="false">IF($V44="","",SUMIFS(采购录入!$Q$5:$Q$404,采购录入!$L$5:$L$404,$V44,采购录入!$C$5:$C$404,首页!$B$5))</f>
        <v/>
      </c>
      <c r="Z44" s="54" t="str">
        <f aca="false">IF($V44="","",SUMIFS(资金流水!$N$5:$N$504,资金流水!$I$5:$I$504,$V44,资金流水!$D$5:$D$504,"收入",资金流水!$C$5:$C$504,首页!$B$5))</f>
        <v/>
      </c>
      <c r="AA44" s="54" t="str">
        <f aca="false">IF($V44="","",SUMIFS(资金流水!$N$5:$N$504,资金流水!$I$5:$I$504,$V44,资金流水!$D$5:$D$504,"支出",资金流水!$C$5:$C$504,首页!$B$5))</f>
        <v/>
      </c>
    </row>
    <row r="45" customFormat="false" ht="15.75" hidden="false" customHeight="true" outlineLevel="0" collapsed="false">
      <c r="A45" s="35" t="str">
        <f aca="false">IF(应收跟进!$A45="","",应收跟进!$A45)</f>
        <v/>
      </c>
      <c r="B45" s="54" t="str">
        <f aca="false">IF($A45="","",应收跟进!$D45)</f>
        <v/>
      </c>
      <c r="C45" s="54" t="str">
        <f aca="false">IF($A45="","",应收跟进!$E45)</f>
        <v/>
      </c>
      <c r="D45" s="54" t="str">
        <f aca="false">IF($A45="","",应收跟进!$F45)</f>
        <v/>
      </c>
      <c r="E45" s="54" t="str">
        <f aca="false">IF($A45="","",应收跟进!$L45)</f>
        <v/>
      </c>
      <c r="F45" s="42" t="str">
        <f aca="false">IF($A45="","",应收跟进!$N45)</f>
        <v/>
      </c>
      <c r="H45" s="35" t="str">
        <f aca="false">IF(应付跟进!$A45="","",应付跟进!$A45)</f>
        <v/>
      </c>
      <c r="I45" s="54" t="str">
        <f aca="false">IF($H45="","",应付跟进!$D45)</f>
        <v/>
      </c>
      <c r="J45" s="54" t="str">
        <f aca="false">IF($H45="","",应付跟进!$E45)</f>
        <v/>
      </c>
      <c r="K45" s="54" t="str">
        <f aca="false">IF($H45="","",应付跟进!$F45)</f>
        <v/>
      </c>
      <c r="L45" s="54" t="str">
        <f aca="false">IF($H45="","",应付跟进!$L45)</f>
        <v/>
      </c>
      <c r="M45" s="42" t="str">
        <f aca="false">IF($H45="","",应付跟进!$N45)</f>
        <v/>
      </c>
      <c r="V45" s="42" t="str">
        <f aca="false">IF(基础资料!$K45="","",基础资料!$K45)</f>
        <v/>
      </c>
      <c r="W45" s="42" t="str">
        <f aca="false">IF($V45="","",基础资料!$L45)</f>
        <v/>
      </c>
      <c r="X45" s="54" t="str">
        <f aca="false">IF($V45="","",SUMIFS(销售录入!$O$5:$O$404,销售录入!$J$5:$J$404,$V45,销售录入!$C$5:$C$404,首页!$B$5))</f>
        <v/>
      </c>
      <c r="Y45" s="54" t="str">
        <f aca="false">IF($V45="","",SUMIFS(采购录入!$Q$5:$Q$404,采购录入!$L$5:$L$404,$V45,采购录入!$C$5:$C$404,首页!$B$5))</f>
        <v/>
      </c>
      <c r="Z45" s="54" t="str">
        <f aca="false">IF($V45="","",SUMIFS(资金流水!$N$5:$N$504,资金流水!$I$5:$I$504,$V45,资金流水!$D$5:$D$504,"收入",资金流水!$C$5:$C$504,首页!$B$5))</f>
        <v/>
      </c>
      <c r="AA45" s="54" t="str">
        <f aca="false">IF($V45="","",SUMIFS(资金流水!$N$5:$N$504,资金流水!$I$5:$I$504,$V45,资金流水!$D$5:$D$504,"支出",资金流水!$C$5:$C$504,首页!$B$5))</f>
        <v/>
      </c>
    </row>
    <row r="46" customFormat="false" ht="15.75" hidden="false" customHeight="true" outlineLevel="0" collapsed="false">
      <c r="A46" s="35" t="str">
        <f aca="false">IF(应收跟进!$A46="","",应收跟进!$A46)</f>
        <v/>
      </c>
      <c r="B46" s="54" t="str">
        <f aca="false">IF($A46="","",应收跟进!$D46)</f>
        <v/>
      </c>
      <c r="C46" s="54" t="str">
        <f aca="false">IF($A46="","",应收跟进!$E46)</f>
        <v/>
      </c>
      <c r="D46" s="54" t="str">
        <f aca="false">IF($A46="","",应收跟进!$F46)</f>
        <v/>
      </c>
      <c r="E46" s="54" t="str">
        <f aca="false">IF($A46="","",应收跟进!$L46)</f>
        <v/>
      </c>
      <c r="F46" s="42" t="str">
        <f aca="false">IF($A46="","",应收跟进!$N46)</f>
        <v/>
      </c>
      <c r="H46" s="35" t="str">
        <f aca="false">IF(应付跟进!$A46="","",应付跟进!$A46)</f>
        <v/>
      </c>
      <c r="I46" s="54" t="str">
        <f aca="false">IF($H46="","",应付跟进!$D46)</f>
        <v/>
      </c>
      <c r="J46" s="54" t="str">
        <f aca="false">IF($H46="","",应付跟进!$E46)</f>
        <v/>
      </c>
      <c r="K46" s="54" t="str">
        <f aca="false">IF($H46="","",应付跟进!$F46)</f>
        <v/>
      </c>
      <c r="L46" s="54" t="str">
        <f aca="false">IF($H46="","",应付跟进!$L46)</f>
        <v/>
      </c>
      <c r="M46" s="42" t="str">
        <f aca="false">IF($H46="","",应付跟进!$N46)</f>
        <v/>
      </c>
      <c r="V46" s="42" t="str">
        <f aca="false">IF(基础资料!$K46="","",基础资料!$K46)</f>
        <v/>
      </c>
      <c r="W46" s="42" t="str">
        <f aca="false">IF($V46="","",基础资料!$L46)</f>
        <v/>
      </c>
      <c r="X46" s="54" t="str">
        <f aca="false">IF($V46="","",SUMIFS(销售录入!$O$5:$O$404,销售录入!$J$5:$J$404,$V46,销售录入!$C$5:$C$404,首页!$B$5))</f>
        <v/>
      </c>
      <c r="Y46" s="54" t="str">
        <f aca="false">IF($V46="","",SUMIFS(采购录入!$Q$5:$Q$404,采购录入!$L$5:$L$404,$V46,采购录入!$C$5:$C$404,首页!$B$5))</f>
        <v/>
      </c>
      <c r="Z46" s="54" t="str">
        <f aca="false">IF($V46="","",SUMIFS(资金流水!$N$5:$N$504,资金流水!$I$5:$I$504,$V46,资金流水!$D$5:$D$504,"收入",资金流水!$C$5:$C$504,首页!$B$5))</f>
        <v/>
      </c>
      <c r="AA46" s="54" t="str">
        <f aca="false">IF($V46="","",SUMIFS(资金流水!$N$5:$N$504,资金流水!$I$5:$I$504,$V46,资金流水!$D$5:$D$504,"支出",资金流水!$C$5:$C$504,首页!$B$5))</f>
        <v/>
      </c>
    </row>
    <row r="47" customFormat="false" ht="15.75" hidden="false" customHeight="true" outlineLevel="0" collapsed="false">
      <c r="A47" s="35" t="str">
        <f aca="false">IF(应收跟进!$A47="","",应收跟进!$A47)</f>
        <v/>
      </c>
      <c r="B47" s="54" t="str">
        <f aca="false">IF($A47="","",应收跟进!$D47)</f>
        <v/>
      </c>
      <c r="C47" s="54" t="str">
        <f aca="false">IF($A47="","",应收跟进!$E47)</f>
        <v/>
      </c>
      <c r="D47" s="54" t="str">
        <f aca="false">IF($A47="","",应收跟进!$F47)</f>
        <v/>
      </c>
      <c r="E47" s="54" t="str">
        <f aca="false">IF($A47="","",应收跟进!$L47)</f>
        <v/>
      </c>
      <c r="F47" s="42" t="str">
        <f aca="false">IF($A47="","",应收跟进!$N47)</f>
        <v/>
      </c>
      <c r="H47" s="35" t="str">
        <f aca="false">IF(应付跟进!$A47="","",应付跟进!$A47)</f>
        <v/>
      </c>
      <c r="I47" s="54" t="str">
        <f aca="false">IF($H47="","",应付跟进!$D47)</f>
        <v/>
      </c>
      <c r="J47" s="54" t="str">
        <f aca="false">IF($H47="","",应付跟进!$E47)</f>
        <v/>
      </c>
      <c r="K47" s="54" t="str">
        <f aca="false">IF($H47="","",应付跟进!$F47)</f>
        <v/>
      </c>
      <c r="L47" s="54" t="str">
        <f aca="false">IF($H47="","",应付跟进!$L47)</f>
        <v/>
      </c>
      <c r="M47" s="42" t="str">
        <f aca="false">IF($H47="","",应付跟进!$N47)</f>
        <v/>
      </c>
      <c r="V47" s="42" t="str">
        <f aca="false">IF(基础资料!$K47="","",基础资料!$K47)</f>
        <v/>
      </c>
      <c r="W47" s="42" t="str">
        <f aca="false">IF($V47="","",基础资料!$L47)</f>
        <v/>
      </c>
      <c r="X47" s="54" t="str">
        <f aca="false">IF($V47="","",SUMIFS(销售录入!$O$5:$O$404,销售录入!$J$5:$J$404,$V47,销售录入!$C$5:$C$404,首页!$B$5))</f>
        <v/>
      </c>
      <c r="Y47" s="54" t="str">
        <f aca="false">IF($V47="","",SUMIFS(采购录入!$Q$5:$Q$404,采购录入!$L$5:$L$404,$V47,采购录入!$C$5:$C$404,首页!$B$5))</f>
        <v/>
      </c>
      <c r="Z47" s="54" t="str">
        <f aca="false">IF($V47="","",SUMIFS(资金流水!$N$5:$N$504,资金流水!$I$5:$I$504,$V47,资金流水!$D$5:$D$504,"收入",资金流水!$C$5:$C$504,首页!$B$5))</f>
        <v/>
      </c>
      <c r="AA47" s="54" t="str">
        <f aca="false">IF($V47="","",SUMIFS(资金流水!$N$5:$N$504,资金流水!$I$5:$I$504,$V47,资金流水!$D$5:$D$504,"支出",资金流水!$C$5:$C$504,首页!$B$5))</f>
        <v/>
      </c>
    </row>
    <row r="48" customFormat="false" ht="15.75" hidden="false" customHeight="true" outlineLevel="0" collapsed="false">
      <c r="A48" s="35" t="str">
        <f aca="false">IF(应收跟进!$A48="","",应收跟进!$A48)</f>
        <v/>
      </c>
      <c r="B48" s="54" t="str">
        <f aca="false">IF($A48="","",应收跟进!$D48)</f>
        <v/>
      </c>
      <c r="C48" s="54" t="str">
        <f aca="false">IF($A48="","",应收跟进!$E48)</f>
        <v/>
      </c>
      <c r="D48" s="54" t="str">
        <f aca="false">IF($A48="","",应收跟进!$F48)</f>
        <v/>
      </c>
      <c r="E48" s="54" t="str">
        <f aca="false">IF($A48="","",应收跟进!$L48)</f>
        <v/>
      </c>
      <c r="F48" s="42" t="str">
        <f aca="false">IF($A48="","",应收跟进!$N48)</f>
        <v/>
      </c>
      <c r="H48" s="35" t="str">
        <f aca="false">IF(应付跟进!$A48="","",应付跟进!$A48)</f>
        <v/>
      </c>
      <c r="I48" s="54" t="str">
        <f aca="false">IF($H48="","",应付跟进!$D48)</f>
        <v/>
      </c>
      <c r="J48" s="54" t="str">
        <f aca="false">IF($H48="","",应付跟进!$E48)</f>
        <v/>
      </c>
      <c r="K48" s="54" t="str">
        <f aca="false">IF($H48="","",应付跟进!$F48)</f>
        <v/>
      </c>
      <c r="L48" s="54" t="str">
        <f aca="false">IF($H48="","",应付跟进!$L48)</f>
        <v/>
      </c>
      <c r="M48" s="42" t="str">
        <f aca="false">IF($H48="","",应付跟进!$N48)</f>
        <v/>
      </c>
      <c r="V48" s="42" t="str">
        <f aca="false">IF(基础资料!$K48="","",基础资料!$K48)</f>
        <v/>
      </c>
      <c r="W48" s="42" t="str">
        <f aca="false">IF($V48="","",基础资料!$L48)</f>
        <v/>
      </c>
      <c r="X48" s="54" t="str">
        <f aca="false">IF($V48="","",SUMIFS(销售录入!$O$5:$O$404,销售录入!$J$5:$J$404,$V48,销售录入!$C$5:$C$404,首页!$B$5))</f>
        <v/>
      </c>
      <c r="Y48" s="54" t="str">
        <f aca="false">IF($V48="","",SUMIFS(采购录入!$Q$5:$Q$404,采购录入!$L$5:$L$404,$V48,采购录入!$C$5:$C$404,首页!$B$5))</f>
        <v/>
      </c>
      <c r="Z48" s="54" t="str">
        <f aca="false">IF($V48="","",SUMIFS(资金流水!$N$5:$N$504,资金流水!$I$5:$I$504,$V48,资金流水!$D$5:$D$504,"收入",资金流水!$C$5:$C$504,首页!$B$5))</f>
        <v/>
      </c>
      <c r="AA48" s="54" t="str">
        <f aca="false">IF($V48="","",SUMIFS(资金流水!$N$5:$N$504,资金流水!$I$5:$I$504,$V48,资金流水!$D$5:$D$504,"支出",资金流水!$C$5:$C$504,首页!$B$5))</f>
        <v/>
      </c>
    </row>
    <row r="49" customFormat="false" ht="15.75" hidden="false" customHeight="true" outlineLevel="0" collapsed="false">
      <c r="A49" s="35" t="str">
        <f aca="false">IF(应收跟进!$A49="","",应收跟进!$A49)</f>
        <v/>
      </c>
      <c r="B49" s="54" t="str">
        <f aca="false">IF($A49="","",应收跟进!$D49)</f>
        <v/>
      </c>
      <c r="C49" s="54" t="str">
        <f aca="false">IF($A49="","",应收跟进!$E49)</f>
        <v/>
      </c>
      <c r="D49" s="54" t="str">
        <f aca="false">IF($A49="","",应收跟进!$F49)</f>
        <v/>
      </c>
      <c r="E49" s="54" t="str">
        <f aca="false">IF($A49="","",应收跟进!$L49)</f>
        <v/>
      </c>
      <c r="F49" s="42" t="str">
        <f aca="false">IF($A49="","",应收跟进!$N49)</f>
        <v/>
      </c>
      <c r="H49" s="35" t="str">
        <f aca="false">IF(应付跟进!$A49="","",应付跟进!$A49)</f>
        <v/>
      </c>
      <c r="I49" s="54" t="str">
        <f aca="false">IF($H49="","",应付跟进!$D49)</f>
        <v/>
      </c>
      <c r="J49" s="54" t="str">
        <f aca="false">IF($H49="","",应付跟进!$E49)</f>
        <v/>
      </c>
      <c r="K49" s="54" t="str">
        <f aca="false">IF($H49="","",应付跟进!$F49)</f>
        <v/>
      </c>
      <c r="L49" s="54" t="str">
        <f aca="false">IF($H49="","",应付跟进!$L49)</f>
        <v/>
      </c>
      <c r="M49" s="42" t="str">
        <f aca="false">IF($H49="","",应付跟进!$N49)</f>
        <v/>
      </c>
      <c r="V49" s="42" t="str">
        <f aca="false">IF(基础资料!$K49="","",基础资料!$K49)</f>
        <v/>
      </c>
      <c r="W49" s="42" t="str">
        <f aca="false">IF($V49="","",基础资料!$L49)</f>
        <v/>
      </c>
      <c r="X49" s="54" t="str">
        <f aca="false">IF($V49="","",SUMIFS(销售录入!$O$5:$O$404,销售录入!$J$5:$J$404,$V49,销售录入!$C$5:$C$404,首页!$B$5))</f>
        <v/>
      </c>
      <c r="Y49" s="54" t="str">
        <f aca="false">IF($V49="","",SUMIFS(采购录入!$Q$5:$Q$404,采购录入!$L$5:$L$404,$V49,采购录入!$C$5:$C$404,首页!$B$5))</f>
        <v/>
      </c>
      <c r="Z49" s="54" t="str">
        <f aca="false">IF($V49="","",SUMIFS(资金流水!$N$5:$N$504,资金流水!$I$5:$I$504,$V49,资金流水!$D$5:$D$504,"收入",资金流水!$C$5:$C$504,首页!$B$5))</f>
        <v/>
      </c>
      <c r="AA49" s="54" t="str">
        <f aca="false">IF($V49="","",SUMIFS(资金流水!$N$5:$N$504,资金流水!$I$5:$I$504,$V49,资金流水!$D$5:$D$504,"支出",资金流水!$C$5:$C$504,首页!$B$5))</f>
        <v/>
      </c>
    </row>
    <row r="50" customFormat="false" ht="15.75" hidden="false" customHeight="true" outlineLevel="0" collapsed="false">
      <c r="A50" s="35" t="str">
        <f aca="false">IF(应收跟进!$A50="","",应收跟进!$A50)</f>
        <v/>
      </c>
      <c r="B50" s="54" t="str">
        <f aca="false">IF($A50="","",应收跟进!$D50)</f>
        <v/>
      </c>
      <c r="C50" s="54" t="str">
        <f aca="false">IF($A50="","",应收跟进!$E50)</f>
        <v/>
      </c>
      <c r="D50" s="54" t="str">
        <f aca="false">IF($A50="","",应收跟进!$F50)</f>
        <v/>
      </c>
      <c r="E50" s="54" t="str">
        <f aca="false">IF($A50="","",应收跟进!$L50)</f>
        <v/>
      </c>
      <c r="F50" s="42" t="str">
        <f aca="false">IF($A50="","",应收跟进!$N50)</f>
        <v/>
      </c>
      <c r="H50" s="35" t="str">
        <f aca="false">IF(应付跟进!$A50="","",应付跟进!$A50)</f>
        <v/>
      </c>
      <c r="I50" s="54" t="str">
        <f aca="false">IF($H50="","",应付跟进!$D50)</f>
        <v/>
      </c>
      <c r="J50" s="54" t="str">
        <f aca="false">IF($H50="","",应付跟进!$E50)</f>
        <v/>
      </c>
      <c r="K50" s="54" t="str">
        <f aca="false">IF($H50="","",应付跟进!$F50)</f>
        <v/>
      </c>
      <c r="L50" s="54" t="str">
        <f aca="false">IF($H50="","",应付跟进!$L50)</f>
        <v/>
      </c>
      <c r="M50" s="42" t="str">
        <f aca="false">IF($H50="","",应付跟进!$N50)</f>
        <v/>
      </c>
      <c r="V50" s="42" t="str">
        <f aca="false">IF(基础资料!$K50="","",基础资料!$K50)</f>
        <v/>
      </c>
      <c r="W50" s="42" t="str">
        <f aca="false">IF($V50="","",基础资料!$L50)</f>
        <v/>
      </c>
      <c r="X50" s="54" t="str">
        <f aca="false">IF($V50="","",SUMIFS(销售录入!$O$5:$O$404,销售录入!$J$5:$J$404,$V50,销售录入!$C$5:$C$404,首页!$B$5))</f>
        <v/>
      </c>
      <c r="Y50" s="54" t="str">
        <f aca="false">IF($V50="","",SUMIFS(采购录入!$Q$5:$Q$404,采购录入!$L$5:$L$404,$V50,采购录入!$C$5:$C$404,首页!$B$5))</f>
        <v/>
      </c>
      <c r="Z50" s="54" t="str">
        <f aca="false">IF($V50="","",SUMIFS(资金流水!$N$5:$N$504,资金流水!$I$5:$I$504,$V50,资金流水!$D$5:$D$504,"收入",资金流水!$C$5:$C$504,首页!$B$5))</f>
        <v/>
      </c>
      <c r="AA50" s="54" t="str">
        <f aca="false">IF($V50="","",SUMIFS(资金流水!$N$5:$N$504,资金流水!$I$5:$I$504,$V50,资金流水!$D$5:$D$504,"支出",资金流水!$C$5:$C$504,首页!$B$5))</f>
        <v/>
      </c>
    </row>
    <row r="51" customFormat="false" ht="15.75" hidden="false" customHeight="true" outlineLevel="0" collapsed="false">
      <c r="A51" s="35" t="str">
        <f aca="false">IF(应收跟进!$A51="","",应收跟进!$A51)</f>
        <v/>
      </c>
      <c r="B51" s="54" t="str">
        <f aca="false">IF($A51="","",应收跟进!$D51)</f>
        <v/>
      </c>
      <c r="C51" s="54" t="str">
        <f aca="false">IF($A51="","",应收跟进!$E51)</f>
        <v/>
      </c>
      <c r="D51" s="54" t="str">
        <f aca="false">IF($A51="","",应收跟进!$F51)</f>
        <v/>
      </c>
      <c r="E51" s="54" t="str">
        <f aca="false">IF($A51="","",应收跟进!$L51)</f>
        <v/>
      </c>
      <c r="F51" s="42" t="str">
        <f aca="false">IF($A51="","",应收跟进!$N51)</f>
        <v/>
      </c>
      <c r="H51" s="35" t="str">
        <f aca="false">IF(应付跟进!$A51="","",应付跟进!$A51)</f>
        <v/>
      </c>
      <c r="I51" s="54" t="str">
        <f aca="false">IF($H51="","",应付跟进!$D51)</f>
        <v/>
      </c>
      <c r="J51" s="54" t="str">
        <f aca="false">IF($H51="","",应付跟进!$E51)</f>
        <v/>
      </c>
      <c r="K51" s="54" t="str">
        <f aca="false">IF($H51="","",应付跟进!$F51)</f>
        <v/>
      </c>
      <c r="L51" s="54" t="str">
        <f aca="false">IF($H51="","",应付跟进!$L51)</f>
        <v/>
      </c>
      <c r="M51" s="42" t="str">
        <f aca="false">IF($H51="","",应付跟进!$N51)</f>
        <v/>
      </c>
      <c r="V51" s="42" t="str">
        <f aca="false">IF(基础资料!$K51="","",基础资料!$K51)</f>
        <v/>
      </c>
      <c r="W51" s="42" t="str">
        <f aca="false">IF($V51="","",基础资料!$L51)</f>
        <v/>
      </c>
      <c r="X51" s="54" t="str">
        <f aca="false">IF($V51="","",SUMIFS(销售录入!$O$5:$O$404,销售录入!$J$5:$J$404,$V51,销售录入!$C$5:$C$404,首页!$B$5))</f>
        <v/>
      </c>
      <c r="Y51" s="54" t="str">
        <f aca="false">IF($V51="","",SUMIFS(采购录入!$Q$5:$Q$404,采购录入!$L$5:$L$404,$V51,采购录入!$C$5:$C$404,首页!$B$5))</f>
        <v/>
      </c>
      <c r="Z51" s="54" t="str">
        <f aca="false">IF($V51="","",SUMIFS(资金流水!$N$5:$N$504,资金流水!$I$5:$I$504,$V51,资金流水!$D$5:$D$504,"收入",资金流水!$C$5:$C$504,首页!$B$5))</f>
        <v/>
      </c>
      <c r="AA51" s="54" t="str">
        <f aca="false">IF($V51="","",SUMIFS(资金流水!$N$5:$N$504,资金流水!$I$5:$I$504,$V51,资金流水!$D$5:$D$504,"支出",资金流水!$C$5:$C$504,首页!$B$5))</f>
        <v/>
      </c>
    </row>
    <row r="52" customFormat="false" ht="15.75" hidden="false" customHeight="true" outlineLevel="0" collapsed="false">
      <c r="A52" s="35" t="str">
        <f aca="false">IF(应收跟进!$A52="","",应收跟进!$A52)</f>
        <v/>
      </c>
      <c r="B52" s="54" t="str">
        <f aca="false">IF($A52="","",应收跟进!$D52)</f>
        <v/>
      </c>
      <c r="C52" s="54" t="str">
        <f aca="false">IF($A52="","",应收跟进!$E52)</f>
        <v/>
      </c>
      <c r="D52" s="54" t="str">
        <f aca="false">IF($A52="","",应收跟进!$F52)</f>
        <v/>
      </c>
      <c r="E52" s="54" t="str">
        <f aca="false">IF($A52="","",应收跟进!$L52)</f>
        <v/>
      </c>
      <c r="F52" s="42" t="str">
        <f aca="false">IF($A52="","",应收跟进!$N52)</f>
        <v/>
      </c>
      <c r="H52" s="35" t="str">
        <f aca="false">IF(应付跟进!$A52="","",应付跟进!$A52)</f>
        <v/>
      </c>
      <c r="I52" s="54" t="str">
        <f aca="false">IF($H52="","",应付跟进!$D52)</f>
        <v/>
      </c>
      <c r="J52" s="54" t="str">
        <f aca="false">IF($H52="","",应付跟进!$E52)</f>
        <v/>
      </c>
      <c r="K52" s="54" t="str">
        <f aca="false">IF($H52="","",应付跟进!$F52)</f>
        <v/>
      </c>
      <c r="L52" s="54" t="str">
        <f aca="false">IF($H52="","",应付跟进!$L52)</f>
        <v/>
      </c>
      <c r="M52" s="42" t="str">
        <f aca="false">IF($H52="","",应付跟进!$N52)</f>
        <v/>
      </c>
      <c r="V52" s="42" t="str">
        <f aca="false">IF(基础资料!$K52="","",基础资料!$K52)</f>
        <v/>
      </c>
      <c r="W52" s="42" t="str">
        <f aca="false">IF($V52="","",基础资料!$L52)</f>
        <v/>
      </c>
      <c r="X52" s="54" t="str">
        <f aca="false">IF($V52="","",SUMIFS(销售录入!$O$5:$O$404,销售录入!$J$5:$J$404,$V52,销售录入!$C$5:$C$404,首页!$B$5))</f>
        <v/>
      </c>
      <c r="Y52" s="54" t="str">
        <f aca="false">IF($V52="","",SUMIFS(采购录入!$Q$5:$Q$404,采购录入!$L$5:$L$404,$V52,采购录入!$C$5:$C$404,首页!$B$5))</f>
        <v/>
      </c>
      <c r="Z52" s="54" t="str">
        <f aca="false">IF($V52="","",SUMIFS(资金流水!$N$5:$N$504,资金流水!$I$5:$I$504,$V52,资金流水!$D$5:$D$504,"收入",资金流水!$C$5:$C$504,首页!$B$5))</f>
        <v/>
      </c>
      <c r="AA52" s="54" t="str">
        <f aca="false">IF($V52="","",SUMIFS(资金流水!$N$5:$N$504,资金流水!$I$5:$I$504,$V52,资金流水!$D$5:$D$504,"支出",资金流水!$C$5:$C$504,首页!$B$5))</f>
        <v/>
      </c>
    </row>
    <row r="53" customFormat="false" ht="15.75" hidden="false" customHeight="true" outlineLevel="0" collapsed="false">
      <c r="A53" s="35" t="str">
        <f aca="false">IF(应收跟进!$A53="","",应收跟进!$A53)</f>
        <v/>
      </c>
      <c r="B53" s="54" t="str">
        <f aca="false">IF($A53="","",应收跟进!$D53)</f>
        <v/>
      </c>
      <c r="C53" s="54" t="str">
        <f aca="false">IF($A53="","",应收跟进!$E53)</f>
        <v/>
      </c>
      <c r="D53" s="54" t="str">
        <f aca="false">IF($A53="","",应收跟进!$F53)</f>
        <v/>
      </c>
      <c r="E53" s="54" t="str">
        <f aca="false">IF($A53="","",应收跟进!$L53)</f>
        <v/>
      </c>
      <c r="F53" s="42" t="str">
        <f aca="false">IF($A53="","",应收跟进!$N53)</f>
        <v/>
      </c>
      <c r="H53" s="35" t="str">
        <f aca="false">IF(应付跟进!$A53="","",应付跟进!$A53)</f>
        <v/>
      </c>
      <c r="I53" s="54" t="str">
        <f aca="false">IF($H53="","",应付跟进!$D53)</f>
        <v/>
      </c>
      <c r="J53" s="54" t="str">
        <f aca="false">IF($H53="","",应付跟进!$E53)</f>
        <v/>
      </c>
      <c r="K53" s="54" t="str">
        <f aca="false">IF($H53="","",应付跟进!$F53)</f>
        <v/>
      </c>
      <c r="L53" s="54" t="str">
        <f aca="false">IF($H53="","",应付跟进!$L53)</f>
        <v/>
      </c>
      <c r="M53" s="42" t="str">
        <f aca="false">IF($H53="","",应付跟进!$N53)</f>
        <v/>
      </c>
      <c r="V53" s="42" t="str">
        <f aca="false">IF(基础资料!$K53="","",基础资料!$K53)</f>
        <v/>
      </c>
      <c r="W53" s="42" t="str">
        <f aca="false">IF($V53="","",基础资料!$L53)</f>
        <v/>
      </c>
      <c r="X53" s="54" t="str">
        <f aca="false">IF($V53="","",SUMIFS(销售录入!$O$5:$O$404,销售录入!$J$5:$J$404,$V53,销售录入!$C$5:$C$404,首页!$B$5))</f>
        <v/>
      </c>
      <c r="Y53" s="54" t="str">
        <f aca="false">IF($V53="","",SUMIFS(采购录入!$Q$5:$Q$404,采购录入!$L$5:$L$404,$V53,采购录入!$C$5:$C$404,首页!$B$5))</f>
        <v/>
      </c>
      <c r="Z53" s="54" t="str">
        <f aca="false">IF($V53="","",SUMIFS(资金流水!$N$5:$N$504,资金流水!$I$5:$I$504,$V53,资金流水!$D$5:$D$504,"收入",资金流水!$C$5:$C$504,首页!$B$5))</f>
        <v/>
      </c>
      <c r="AA53" s="54" t="str">
        <f aca="false">IF($V53="","",SUMIFS(资金流水!$N$5:$N$504,资金流水!$I$5:$I$504,$V53,资金流水!$D$5:$D$504,"支出",资金流水!$C$5:$C$504,首页!$B$5))</f>
        <v/>
      </c>
    </row>
    <row r="54" customFormat="false" ht="15.75" hidden="false" customHeight="true" outlineLevel="0" collapsed="false">
      <c r="A54" s="35" t="str">
        <f aca="false">IF(应收跟进!$A54="","",应收跟进!$A54)</f>
        <v/>
      </c>
      <c r="B54" s="54" t="str">
        <f aca="false">IF($A54="","",应收跟进!$D54)</f>
        <v/>
      </c>
      <c r="C54" s="54" t="str">
        <f aca="false">IF($A54="","",应收跟进!$E54)</f>
        <v/>
      </c>
      <c r="D54" s="54" t="str">
        <f aca="false">IF($A54="","",应收跟进!$F54)</f>
        <v/>
      </c>
      <c r="E54" s="54" t="str">
        <f aca="false">IF($A54="","",应收跟进!$L54)</f>
        <v/>
      </c>
      <c r="F54" s="42" t="str">
        <f aca="false">IF($A54="","",应收跟进!$N54)</f>
        <v/>
      </c>
      <c r="H54" s="35" t="str">
        <f aca="false">IF(应付跟进!$A54="","",应付跟进!$A54)</f>
        <v/>
      </c>
      <c r="I54" s="54" t="str">
        <f aca="false">IF($H54="","",应付跟进!$D54)</f>
        <v/>
      </c>
      <c r="J54" s="54" t="str">
        <f aca="false">IF($H54="","",应付跟进!$E54)</f>
        <v/>
      </c>
      <c r="K54" s="54" t="str">
        <f aca="false">IF($H54="","",应付跟进!$F54)</f>
        <v/>
      </c>
      <c r="L54" s="54" t="str">
        <f aca="false">IF($H54="","",应付跟进!$L54)</f>
        <v/>
      </c>
      <c r="M54" s="42" t="str">
        <f aca="false">IF($H54="","",应付跟进!$N54)</f>
        <v/>
      </c>
      <c r="V54" s="42" t="str">
        <f aca="false">IF(基础资料!$K54="","",基础资料!$K54)</f>
        <v/>
      </c>
      <c r="W54" s="42" t="str">
        <f aca="false">IF($V54="","",基础资料!$L54)</f>
        <v/>
      </c>
      <c r="X54" s="54" t="str">
        <f aca="false">IF($V54="","",SUMIFS(销售录入!$O$5:$O$404,销售录入!$J$5:$J$404,$V54,销售录入!$C$5:$C$404,首页!$B$5))</f>
        <v/>
      </c>
      <c r="Y54" s="54" t="str">
        <f aca="false">IF($V54="","",SUMIFS(采购录入!$Q$5:$Q$404,采购录入!$L$5:$L$404,$V54,采购录入!$C$5:$C$404,首页!$B$5))</f>
        <v/>
      </c>
      <c r="Z54" s="54" t="str">
        <f aca="false">IF($V54="","",SUMIFS(资金流水!$N$5:$N$504,资金流水!$I$5:$I$504,$V54,资金流水!$D$5:$D$504,"收入",资金流水!$C$5:$C$504,首页!$B$5))</f>
        <v/>
      </c>
      <c r="AA54" s="54" t="str">
        <f aca="false">IF($V54="","",SUMIFS(资金流水!$N$5:$N$504,资金流水!$I$5:$I$504,$V54,资金流水!$D$5:$D$504,"支出",资金流水!$C$5:$C$504,首页!$B$5))</f>
        <v/>
      </c>
    </row>
    <row r="55" customFormat="false" ht="15.75" hidden="false" customHeight="true" outlineLevel="0" collapsed="false">
      <c r="A55" s="35" t="str">
        <f aca="false">IF(应收跟进!$A55="","",应收跟进!$A55)</f>
        <v/>
      </c>
      <c r="B55" s="54" t="str">
        <f aca="false">IF($A55="","",应收跟进!$D55)</f>
        <v/>
      </c>
      <c r="C55" s="54" t="str">
        <f aca="false">IF($A55="","",应收跟进!$E55)</f>
        <v/>
      </c>
      <c r="D55" s="54" t="str">
        <f aca="false">IF($A55="","",应收跟进!$F55)</f>
        <v/>
      </c>
      <c r="E55" s="54" t="str">
        <f aca="false">IF($A55="","",应收跟进!$L55)</f>
        <v/>
      </c>
      <c r="F55" s="42" t="str">
        <f aca="false">IF($A55="","",应收跟进!$N55)</f>
        <v/>
      </c>
      <c r="H55" s="35" t="str">
        <f aca="false">IF(应付跟进!$A55="","",应付跟进!$A55)</f>
        <v/>
      </c>
      <c r="I55" s="54" t="str">
        <f aca="false">IF($H55="","",应付跟进!$D55)</f>
        <v/>
      </c>
      <c r="J55" s="54" t="str">
        <f aca="false">IF($H55="","",应付跟进!$E55)</f>
        <v/>
      </c>
      <c r="K55" s="54" t="str">
        <f aca="false">IF($H55="","",应付跟进!$F55)</f>
        <v/>
      </c>
      <c r="L55" s="54" t="str">
        <f aca="false">IF($H55="","",应付跟进!$L55)</f>
        <v/>
      </c>
      <c r="M55" s="42" t="str">
        <f aca="false">IF($H55="","",应付跟进!$N55)</f>
        <v/>
      </c>
      <c r="V55" s="42" t="str">
        <f aca="false">IF(基础资料!$K55="","",基础资料!$K55)</f>
        <v/>
      </c>
      <c r="W55" s="42" t="str">
        <f aca="false">IF($V55="","",基础资料!$L55)</f>
        <v/>
      </c>
      <c r="X55" s="54" t="str">
        <f aca="false">IF($V55="","",SUMIFS(销售录入!$O$5:$O$404,销售录入!$J$5:$J$404,$V55,销售录入!$C$5:$C$404,首页!$B$5))</f>
        <v/>
      </c>
      <c r="Y55" s="54" t="str">
        <f aca="false">IF($V55="","",SUMIFS(采购录入!$Q$5:$Q$404,采购录入!$L$5:$L$404,$V55,采购录入!$C$5:$C$404,首页!$B$5))</f>
        <v/>
      </c>
      <c r="Z55" s="54" t="str">
        <f aca="false">IF($V55="","",SUMIFS(资金流水!$N$5:$N$504,资金流水!$I$5:$I$504,$V55,资金流水!$D$5:$D$504,"收入",资金流水!$C$5:$C$504,首页!$B$5))</f>
        <v/>
      </c>
      <c r="AA55" s="54" t="str">
        <f aca="false">IF($V55="","",SUMIFS(资金流水!$N$5:$N$504,资金流水!$I$5:$I$504,$V55,资金流水!$D$5:$D$504,"支出",资金流水!$C$5:$C$504,首页!$B$5))</f>
        <v/>
      </c>
    </row>
    <row r="56" customFormat="false" ht="15.75" hidden="false" customHeight="true" outlineLevel="0" collapsed="false">
      <c r="A56" s="35" t="str">
        <f aca="false">IF(应收跟进!$A56="","",应收跟进!$A56)</f>
        <v/>
      </c>
      <c r="B56" s="54" t="str">
        <f aca="false">IF($A56="","",应收跟进!$D56)</f>
        <v/>
      </c>
      <c r="C56" s="54" t="str">
        <f aca="false">IF($A56="","",应收跟进!$E56)</f>
        <v/>
      </c>
      <c r="D56" s="54" t="str">
        <f aca="false">IF($A56="","",应收跟进!$F56)</f>
        <v/>
      </c>
      <c r="E56" s="54" t="str">
        <f aca="false">IF($A56="","",应收跟进!$L56)</f>
        <v/>
      </c>
      <c r="F56" s="42" t="str">
        <f aca="false">IF($A56="","",应收跟进!$N56)</f>
        <v/>
      </c>
      <c r="H56" s="35" t="str">
        <f aca="false">IF(应付跟进!$A56="","",应付跟进!$A56)</f>
        <v/>
      </c>
      <c r="I56" s="54" t="str">
        <f aca="false">IF($H56="","",应付跟进!$D56)</f>
        <v/>
      </c>
      <c r="J56" s="54" t="str">
        <f aca="false">IF($H56="","",应付跟进!$E56)</f>
        <v/>
      </c>
      <c r="K56" s="54" t="str">
        <f aca="false">IF($H56="","",应付跟进!$F56)</f>
        <v/>
      </c>
      <c r="L56" s="54" t="str">
        <f aca="false">IF($H56="","",应付跟进!$L56)</f>
        <v/>
      </c>
      <c r="M56" s="42" t="str">
        <f aca="false">IF($H56="","",应付跟进!$N56)</f>
        <v/>
      </c>
      <c r="V56" s="42" t="str">
        <f aca="false">IF(基础资料!$K56="","",基础资料!$K56)</f>
        <v/>
      </c>
      <c r="W56" s="42" t="str">
        <f aca="false">IF($V56="","",基础资料!$L56)</f>
        <v/>
      </c>
      <c r="X56" s="54" t="str">
        <f aca="false">IF($V56="","",SUMIFS(销售录入!$O$5:$O$404,销售录入!$J$5:$J$404,$V56,销售录入!$C$5:$C$404,首页!$B$5))</f>
        <v/>
      </c>
      <c r="Y56" s="54" t="str">
        <f aca="false">IF($V56="","",SUMIFS(采购录入!$Q$5:$Q$404,采购录入!$L$5:$L$404,$V56,采购录入!$C$5:$C$404,首页!$B$5))</f>
        <v/>
      </c>
      <c r="Z56" s="54" t="str">
        <f aca="false">IF($V56="","",SUMIFS(资金流水!$N$5:$N$504,资金流水!$I$5:$I$504,$V56,资金流水!$D$5:$D$504,"收入",资金流水!$C$5:$C$504,首页!$B$5))</f>
        <v/>
      </c>
      <c r="AA56" s="54" t="str">
        <f aca="false">IF($V56="","",SUMIFS(资金流水!$N$5:$N$504,资金流水!$I$5:$I$504,$V56,资金流水!$D$5:$D$504,"支出",资金流水!$C$5:$C$504,首页!$B$5))</f>
        <v/>
      </c>
    </row>
    <row r="57" customFormat="false" ht="15.75" hidden="false" customHeight="true" outlineLevel="0" collapsed="false">
      <c r="A57" s="35" t="str">
        <f aca="false">IF(应收跟进!$A57="","",应收跟进!$A57)</f>
        <v/>
      </c>
      <c r="B57" s="54" t="str">
        <f aca="false">IF($A57="","",应收跟进!$D57)</f>
        <v/>
      </c>
      <c r="C57" s="54" t="str">
        <f aca="false">IF($A57="","",应收跟进!$E57)</f>
        <v/>
      </c>
      <c r="D57" s="54" t="str">
        <f aca="false">IF($A57="","",应收跟进!$F57)</f>
        <v/>
      </c>
      <c r="E57" s="54" t="str">
        <f aca="false">IF($A57="","",应收跟进!$L57)</f>
        <v/>
      </c>
      <c r="F57" s="42" t="str">
        <f aca="false">IF($A57="","",应收跟进!$N57)</f>
        <v/>
      </c>
      <c r="H57" s="35" t="str">
        <f aca="false">IF(应付跟进!$A57="","",应付跟进!$A57)</f>
        <v/>
      </c>
      <c r="I57" s="54" t="str">
        <f aca="false">IF($H57="","",应付跟进!$D57)</f>
        <v/>
      </c>
      <c r="J57" s="54" t="str">
        <f aca="false">IF($H57="","",应付跟进!$E57)</f>
        <v/>
      </c>
      <c r="K57" s="54" t="str">
        <f aca="false">IF($H57="","",应付跟进!$F57)</f>
        <v/>
      </c>
      <c r="L57" s="54" t="str">
        <f aca="false">IF($H57="","",应付跟进!$L57)</f>
        <v/>
      </c>
      <c r="M57" s="42" t="str">
        <f aca="false">IF($H57="","",应付跟进!$N57)</f>
        <v/>
      </c>
      <c r="V57" s="42" t="str">
        <f aca="false">IF(基础资料!$K57="","",基础资料!$K57)</f>
        <v/>
      </c>
      <c r="W57" s="42" t="str">
        <f aca="false">IF($V57="","",基础资料!$L57)</f>
        <v/>
      </c>
      <c r="X57" s="54" t="str">
        <f aca="false">IF($V57="","",SUMIFS(销售录入!$O$5:$O$404,销售录入!$J$5:$J$404,$V57,销售录入!$C$5:$C$404,首页!$B$5))</f>
        <v/>
      </c>
      <c r="Y57" s="54" t="str">
        <f aca="false">IF($V57="","",SUMIFS(采购录入!$Q$5:$Q$404,采购录入!$L$5:$L$404,$V57,采购录入!$C$5:$C$404,首页!$B$5))</f>
        <v/>
      </c>
      <c r="Z57" s="54" t="str">
        <f aca="false">IF($V57="","",SUMIFS(资金流水!$N$5:$N$504,资金流水!$I$5:$I$504,$V57,资金流水!$D$5:$D$504,"收入",资金流水!$C$5:$C$504,首页!$B$5))</f>
        <v/>
      </c>
      <c r="AA57" s="54" t="str">
        <f aca="false">IF($V57="","",SUMIFS(资金流水!$N$5:$N$504,资金流水!$I$5:$I$504,$V57,资金流水!$D$5:$D$504,"支出",资金流水!$C$5:$C$504,首页!$B$5))</f>
        <v/>
      </c>
    </row>
    <row r="58" customFormat="false" ht="15.75" hidden="false" customHeight="true" outlineLevel="0" collapsed="false">
      <c r="A58" s="35" t="str">
        <f aca="false">IF(应收跟进!$A58="","",应收跟进!$A58)</f>
        <v/>
      </c>
      <c r="B58" s="54" t="str">
        <f aca="false">IF($A58="","",应收跟进!$D58)</f>
        <v/>
      </c>
      <c r="C58" s="54" t="str">
        <f aca="false">IF($A58="","",应收跟进!$E58)</f>
        <v/>
      </c>
      <c r="D58" s="54" t="str">
        <f aca="false">IF($A58="","",应收跟进!$F58)</f>
        <v/>
      </c>
      <c r="E58" s="54" t="str">
        <f aca="false">IF($A58="","",应收跟进!$L58)</f>
        <v/>
      </c>
      <c r="F58" s="42" t="str">
        <f aca="false">IF($A58="","",应收跟进!$N58)</f>
        <v/>
      </c>
      <c r="H58" s="35" t="str">
        <f aca="false">IF(应付跟进!$A58="","",应付跟进!$A58)</f>
        <v/>
      </c>
      <c r="I58" s="54" t="str">
        <f aca="false">IF($H58="","",应付跟进!$D58)</f>
        <v/>
      </c>
      <c r="J58" s="54" t="str">
        <f aca="false">IF($H58="","",应付跟进!$E58)</f>
        <v/>
      </c>
      <c r="K58" s="54" t="str">
        <f aca="false">IF($H58="","",应付跟进!$F58)</f>
        <v/>
      </c>
      <c r="L58" s="54" t="str">
        <f aca="false">IF($H58="","",应付跟进!$L58)</f>
        <v/>
      </c>
      <c r="M58" s="42" t="str">
        <f aca="false">IF($H58="","",应付跟进!$N58)</f>
        <v/>
      </c>
      <c r="V58" s="42" t="str">
        <f aca="false">IF(基础资料!$K58="","",基础资料!$K58)</f>
        <v/>
      </c>
      <c r="W58" s="42" t="str">
        <f aca="false">IF($V58="","",基础资料!$L58)</f>
        <v/>
      </c>
      <c r="X58" s="54" t="str">
        <f aca="false">IF($V58="","",SUMIFS(销售录入!$O$5:$O$404,销售录入!$J$5:$J$404,$V58,销售录入!$C$5:$C$404,首页!$B$5))</f>
        <v/>
      </c>
      <c r="Y58" s="54" t="str">
        <f aca="false">IF($V58="","",SUMIFS(采购录入!$Q$5:$Q$404,采购录入!$L$5:$L$404,$V58,采购录入!$C$5:$C$404,首页!$B$5))</f>
        <v/>
      </c>
      <c r="Z58" s="54" t="str">
        <f aca="false">IF($V58="","",SUMIFS(资金流水!$N$5:$N$504,资金流水!$I$5:$I$504,$V58,资金流水!$D$5:$D$504,"收入",资金流水!$C$5:$C$504,首页!$B$5))</f>
        <v/>
      </c>
      <c r="AA58" s="54" t="str">
        <f aca="false">IF($V58="","",SUMIFS(资金流水!$N$5:$N$504,资金流水!$I$5:$I$504,$V58,资金流水!$D$5:$D$504,"支出",资金流水!$C$5:$C$504,首页!$B$5))</f>
        <v/>
      </c>
    </row>
    <row r="59" customFormat="false" ht="15.75" hidden="false" customHeight="true" outlineLevel="0" collapsed="false">
      <c r="A59" s="35" t="str">
        <f aca="false">IF(应收跟进!$A59="","",应收跟进!$A59)</f>
        <v/>
      </c>
      <c r="B59" s="54" t="str">
        <f aca="false">IF($A59="","",应收跟进!$D59)</f>
        <v/>
      </c>
      <c r="C59" s="54" t="str">
        <f aca="false">IF($A59="","",应收跟进!$E59)</f>
        <v/>
      </c>
      <c r="D59" s="54" t="str">
        <f aca="false">IF($A59="","",应收跟进!$F59)</f>
        <v/>
      </c>
      <c r="E59" s="54" t="str">
        <f aca="false">IF($A59="","",应收跟进!$L59)</f>
        <v/>
      </c>
      <c r="F59" s="42" t="str">
        <f aca="false">IF($A59="","",应收跟进!$N59)</f>
        <v/>
      </c>
      <c r="H59" s="35" t="str">
        <f aca="false">IF(应付跟进!$A59="","",应付跟进!$A59)</f>
        <v/>
      </c>
      <c r="I59" s="54" t="str">
        <f aca="false">IF($H59="","",应付跟进!$D59)</f>
        <v/>
      </c>
      <c r="J59" s="54" t="str">
        <f aca="false">IF($H59="","",应付跟进!$E59)</f>
        <v/>
      </c>
      <c r="K59" s="54" t="str">
        <f aca="false">IF($H59="","",应付跟进!$F59)</f>
        <v/>
      </c>
      <c r="L59" s="54" t="str">
        <f aca="false">IF($H59="","",应付跟进!$L59)</f>
        <v/>
      </c>
      <c r="M59" s="42" t="str">
        <f aca="false">IF($H59="","",应付跟进!$N59)</f>
        <v/>
      </c>
      <c r="V59" s="42" t="str">
        <f aca="false">IF(基础资料!$K59="","",基础资料!$K59)</f>
        <v/>
      </c>
      <c r="W59" s="42" t="str">
        <f aca="false">IF($V59="","",基础资料!$L59)</f>
        <v/>
      </c>
      <c r="X59" s="54" t="str">
        <f aca="false">IF($V59="","",SUMIFS(销售录入!$O$5:$O$404,销售录入!$J$5:$J$404,$V59,销售录入!$C$5:$C$404,首页!$B$5))</f>
        <v/>
      </c>
      <c r="Y59" s="54" t="str">
        <f aca="false">IF($V59="","",SUMIFS(采购录入!$Q$5:$Q$404,采购录入!$L$5:$L$404,$V59,采购录入!$C$5:$C$404,首页!$B$5))</f>
        <v/>
      </c>
      <c r="Z59" s="54" t="str">
        <f aca="false">IF($V59="","",SUMIFS(资金流水!$N$5:$N$504,资金流水!$I$5:$I$504,$V59,资金流水!$D$5:$D$504,"收入",资金流水!$C$5:$C$504,首页!$B$5))</f>
        <v/>
      </c>
      <c r="AA59" s="54" t="str">
        <f aca="false">IF($V59="","",SUMIFS(资金流水!$N$5:$N$504,资金流水!$I$5:$I$504,$V59,资金流水!$D$5:$D$504,"支出",资金流水!$C$5:$C$504,首页!$B$5))</f>
        <v/>
      </c>
    </row>
    <row r="60" customFormat="false" ht="15.75" hidden="false" customHeight="true" outlineLevel="0" collapsed="false">
      <c r="A60" s="35" t="str">
        <f aca="false">IF(应收跟进!$A60="","",应收跟进!$A60)</f>
        <v/>
      </c>
      <c r="B60" s="54" t="str">
        <f aca="false">IF($A60="","",应收跟进!$D60)</f>
        <v/>
      </c>
      <c r="C60" s="54" t="str">
        <f aca="false">IF($A60="","",应收跟进!$E60)</f>
        <v/>
      </c>
      <c r="D60" s="54" t="str">
        <f aca="false">IF($A60="","",应收跟进!$F60)</f>
        <v/>
      </c>
      <c r="E60" s="54" t="str">
        <f aca="false">IF($A60="","",应收跟进!$L60)</f>
        <v/>
      </c>
      <c r="F60" s="42" t="str">
        <f aca="false">IF($A60="","",应收跟进!$N60)</f>
        <v/>
      </c>
      <c r="H60" s="35" t="str">
        <f aca="false">IF(应付跟进!$A60="","",应付跟进!$A60)</f>
        <v/>
      </c>
      <c r="I60" s="54" t="str">
        <f aca="false">IF($H60="","",应付跟进!$D60)</f>
        <v/>
      </c>
      <c r="J60" s="54" t="str">
        <f aca="false">IF($H60="","",应付跟进!$E60)</f>
        <v/>
      </c>
      <c r="K60" s="54" t="str">
        <f aca="false">IF($H60="","",应付跟进!$F60)</f>
        <v/>
      </c>
      <c r="L60" s="54" t="str">
        <f aca="false">IF($H60="","",应付跟进!$L60)</f>
        <v/>
      </c>
      <c r="M60" s="42" t="str">
        <f aca="false">IF($H60="","",应付跟进!$N60)</f>
        <v/>
      </c>
      <c r="V60" s="42" t="str">
        <f aca="false">IF(基础资料!$K60="","",基础资料!$K60)</f>
        <v/>
      </c>
      <c r="W60" s="42" t="str">
        <f aca="false">IF($V60="","",基础资料!$L60)</f>
        <v/>
      </c>
      <c r="X60" s="54" t="str">
        <f aca="false">IF($V60="","",SUMIFS(销售录入!$O$5:$O$404,销售录入!$J$5:$J$404,$V60,销售录入!$C$5:$C$404,首页!$B$5))</f>
        <v/>
      </c>
      <c r="Y60" s="54" t="str">
        <f aca="false">IF($V60="","",SUMIFS(采购录入!$Q$5:$Q$404,采购录入!$L$5:$L$404,$V60,采购录入!$C$5:$C$404,首页!$B$5))</f>
        <v/>
      </c>
      <c r="Z60" s="54" t="str">
        <f aca="false">IF($V60="","",SUMIFS(资金流水!$N$5:$N$504,资金流水!$I$5:$I$504,$V60,资金流水!$D$5:$D$504,"收入",资金流水!$C$5:$C$504,首页!$B$5))</f>
        <v/>
      </c>
      <c r="AA60" s="54" t="str">
        <f aca="false">IF($V60="","",SUMIFS(资金流水!$N$5:$N$504,资金流水!$I$5:$I$504,$V60,资金流水!$D$5:$D$504,"支出",资金流水!$C$5:$C$504,首页!$B$5))</f>
        <v/>
      </c>
    </row>
    <row r="61" customFormat="false" ht="15.75" hidden="false" customHeight="true" outlineLevel="0" collapsed="false">
      <c r="A61" s="35" t="str">
        <f aca="false">IF(应收跟进!$A61="","",应收跟进!$A61)</f>
        <v/>
      </c>
      <c r="B61" s="54" t="str">
        <f aca="false">IF($A61="","",应收跟进!$D61)</f>
        <v/>
      </c>
      <c r="C61" s="54" t="str">
        <f aca="false">IF($A61="","",应收跟进!$E61)</f>
        <v/>
      </c>
      <c r="D61" s="54" t="str">
        <f aca="false">IF($A61="","",应收跟进!$F61)</f>
        <v/>
      </c>
      <c r="E61" s="54" t="str">
        <f aca="false">IF($A61="","",应收跟进!$L61)</f>
        <v/>
      </c>
      <c r="F61" s="42" t="str">
        <f aca="false">IF($A61="","",应收跟进!$N61)</f>
        <v/>
      </c>
      <c r="H61" s="35" t="str">
        <f aca="false">IF(应付跟进!$A61="","",应付跟进!$A61)</f>
        <v/>
      </c>
      <c r="I61" s="54" t="str">
        <f aca="false">IF($H61="","",应付跟进!$D61)</f>
        <v/>
      </c>
      <c r="J61" s="54" t="str">
        <f aca="false">IF($H61="","",应付跟进!$E61)</f>
        <v/>
      </c>
      <c r="K61" s="54" t="str">
        <f aca="false">IF($H61="","",应付跟进!$F61)</f>
        <v/>
      </c>
      <c r="L61" s="54" t="str">
        <f aca="false">IF($H61="","",应付跟进!$L61)</f>
        <v/>
      </c>
      <c r="M61" s="42" t="str">
        <f aca="false">IF($H61="","",应付跟进!$N61)</f>
        <v/>
      </c>
      <c r="V61" s="42" t="str">
        <f aca="false">IF(基础资料!$K61="","",基础资料!$K61)</f>
        <v/>
      </c>
      <c r="W61" s="42" t="str">
        <f aca="false">IF($V61="","",基础资料!$L61)</f>
        <v/>
      </c>
      <c r="X61" s="54" t="str">
        <f aca="false">IF($V61="","",SUMIFS(销售录入!$O$5:$O$404,销售录入!$J$5:$J$404,$V61,销售录入!$C$5:$C$404,首页!$B$5))</f>
        <v/>
      </c>
      <c r="Y61" s="54" t="str">
        <f aca="false">IF($V61="","",SUMIFS(采购录入!$Q$5:$Q$404,采购录入!$L$5:$L$404,$V61,采购录入!$C$5:$C$404,首页!$B$5))</f>
        <v/>
      </c>
      <c r="Z61" s="54" t="str">
        <f aca="false">IF($V61="","",SUMIFS(资金流水!$N$5:$N$504,资金流水!$I$5:$I$504,$V61,资金流水!$D$5:$D$504,"收入",资金流水!$C$5:$C$504,首页!$B$5))</f>
        <v/>
      </c>
      <c r="AA61" s="54" t="str">
        <f aca="false">IF($V61="","",SUMIFS(资金流水!$N$5:$N$504,资金流水!$I$5:$I$504,$V61,资金流水!$D$5:$D$504,"支出",资金流水!$C$5:$C$504,首页!$B$5))</f>
        <v/>
      </c>
    </row>
    <row r="62" customFormat="false" ht="15.75" hidden="false" customHeight="true" outlineLevel="0" collapsed="false">
      <c r="A62" s="35" t="str">
        <f aca="false">IF(应收跟进!$A62="","",应收跟进!$A62)</f>
        <v/>
      </c>
      <c r="B62" s="54" t="str">
        <f aca="false">IF($A62="","",应收跟进!$D62)</f>
        <v/>
      </c>
      <c r="C62" s="54" t="str">
        <f aca="false">IF($A62="","",应收跟进!$E62)</f>
        <v/>
      </c>
      <c r="D62" s="54" t="str">
        <f aca="false">IF($A62="","",应收跟进!$F62)</f>
        <v/>
      </c>
      <c r="E62" s="54" t="str">
        <f aca="false">IF($A62="","",应收跟进!$L62)</f>
        <v/>
      </c>
      <c r="F62" s="42" t="str">
        <f aca="false">IF($A62="","",应收跟进!$N62)</f>
        <v/>
      </c>
      <c r="H62" s="35" t="str">
        <f aca="false">IF(应付跟进!$A62="","",应付跟进!$A62)</f>
        <v/>
      </c>
      <c r="I62" s="54" t="str">
        <f aca="false">IF($H62="","",应付跟进!$D62)</f>
        <v/>
      </c>
      <c r="J62" s="54" t="str">
        <f aca="false">IF($H62="","",应付跟进!$E62)</f>
        <v/>
      </c>
      <c r="K62" s="54" t="str">
        <f aca="false">IF($H62="","",应付跟进!$F62)</f>
        <v/>
      </c>
      <c r="L62" s="54" t="str">
        <f aca="false">IF($H62="","",应付跟进!$L62)</f>
        <v/>
      </c>
      <c r="M62" s="42" t="str">
        <f aca="false">IF($H62="","",应付跟进!$N62)</f>
        <v/>
      </c>
      <c r="V62" s="42" t="str">
        <f aca="false">IF(基础资料!$K62="","",基础资料!$K62)</f>
        <v/>
      </c>
      <c r="W62" s="42" t="str">
        <f aca="false">IF($V62="","",基础资料!$L62)</f>
        <v/>
      </c>
      <c r="X62" s="54" t="str">
        <f aca="false">IF($V62="","",SUMIFS(销售录入!$O$5:$O$404,销售录入!$J$5:$J$404,$V62,销售录入!$C$5:$C$404,首页!$B$5))</f>
        <v/>
      </c>
      <c r="Y62" s="54" t="str">
        <f aca="false">IF($V62="","",SUMIFS(采购录入!$Q$5:$Q$404,采购录入!$L$5:$L$404,$V62,采购录入!$C$5:$C$404,首页!$B$5))</f>
        <v/>
      </c>
      <c r="Z62" s="54" t="str">
        <f aca="false">IF($V62="","",SUMIFS(资金流水!$N$5:$N$504,资金流水!$I$5:$I$504,$V62,资金流水!$D$5:$D$504,"收入",资金流水!$C$5:$C$504,首页!$B$5))</f>
        <v/>
      </c>
      <c r="AA62" s="54" t="str">
        <f aca="false">IF($V62="","",SUMIFS(资金流水!$N$5:$N$504,资金流水!$I$5:$I$504,$V62,资金流水!$D$5:$D$504,"支出",资金流水!$C$5:$C$504,首页!$B$5))</f>
        <v/>
      </c>
    </row>
    <row r="63" customFormat="false" ht="15.75" hidden="false" customHeight="true" outlineLevel="0" collapsed="false">
      <c r="A63" s="35" t="str">
        <f aca="false">IF(应收跟进!$A63="","",应收跟进!$A63)</f>
        <v/>
      </c>
      <c r="B63" s="54" t="str">
        <f aca="false">IF($A63="","",应收跟进!$D63)</f>
        <v/>
      </c>
      <c r="C63" s="54" t="str">
        <f aca="false">IF($A63="","",应收跟进!$E63)</f>
        <v/>
      </c>
      <c r="D63" s="54" t="str">
        <f aca="false">IF($A63="","",应收跟进!$F63)</f>
        <v/>
      </c>
      <c r="E63" s="54" t="str">
        <f aca="false">IF($A63="","",应收跟进!$L63)</f>
        <v/>
      </c>
      <c r="F63" s="42" t="str">
        <f aca="false">IF($A63="","",应收跟进!$N63)</f>
        <v/>
      </c>
      <c r="H63" s="35" t="str">
        <f aca="false">IF(应付跟进!$A63="","",应付跟进!$A63)</f>
        <v/>
      </c>
      <c r="I63" s="54" t="str">
        <f aca="false">IF($H63="","",应付跟进!$D63)</f>
        <v/>
      </c>
      <c r="J63" s="54" t="str">
        <f aca="false">IF($H63="","",应付跟进!$E63)</f>
        <v/>
      </c>
      <c r="K63" s="54" t="str">
        <f aca="false">IF($H63="","",应付跟进!$F63)</f>
        <v/>
      </c>
      <c r="L63" s="54" t="str">
        <f aca="false">IF($H63="","",应付跟进!$L63)</f>
        <v/>
      </c>
      <c r="M63" s="42" t="str">
        <f aca="false">IF($H63="","",应付跟进!$N63)</f>
        <v/>
      </c>
      <c r="V63" s="42" t="str">
        <f aca="false">IF(基础资料!$K63="","",基础资料!$K63)</f>
        <v/>
      </c>
      <c r="W63" s="42" t="str">
        <f aca="false">IF($V63="","",基础资料!$L63)</f>
        <v/>
      </c>
      <c r="X63" s="54" t="str">
        <f aca="false">IF($V63="","",SUMIFS(销售录入!$O$5:$O$404,销售录入!$J$5:$J$404,$V63,销售录入!$C$5:$C$404,首页!$B$5))</f>
        <v/>
      </c>
      <c r="Y63" s="54" t="str">
        <f aca="false">IF($V63="","",SUMIFS(采购录入!$Q$5:$Q$404,采购录入!$L$5:$L$404,$V63,采购录入!$C$5:$C$404,首页!$B$5))</f>
        <v/>
      </c>
      <c r="Z63" s="54" t="str">
        <f aca="false">IF($V63="","",SUMIFS(资金流水!$N$5:$N$504,资金流水!$I$5:$I$504,$V63,资金流水!$D$5:$D$504,"收入",资金流水!$C$5:$C$504,首页!$B$5))</f>
        <v/>
      </c>
      <c r="AA63" s="54" t="str">
        <f aca="false">IF($V63="","",SUMIFS(资金流水!$N$5:$N$504,资金流水!$I$5:$I$504,$V63,资金流水!$D$5:$D$504,"支出",资金流水!$C$5:$C$504,首页!$B$5))</f>
        <v/>
      </c>
    </row>
    <row r="64" customFormat="false" ht="15.75" hidden="false" customHeight="true" outlineLevel="0" collapsed="false">
      <c r="A64" s="35" t="str">
        <f aca="false">IF(应收跟进!$A64="","",应收跟进!$A64)</f>
        <v/>
      </c>
      <c r="B64" s="54" t="str">
        <f aca="false">IF($A64="","",应收跟进!$D64)</f>
        <v/>
      </c>
      <c r="C64" s="54" t="str">
        <f aca="false">IF($A64="","",应收跟进!$E64)</f>
        <v/>
      </c>
      <c r="D64" s="54" t="str">
        <f aca="false">IF($A64="","",应收跟进!$F64)</f>
        <v/>
      </c>
      <c r="E64" s="54" t="str">
        <f aca="false">IF($A64="","",应收跟进!$L64)</f>
        <v/>
      </c>
      <c r="F64" s="42" t="str">
        <f aca="false">IF($A64="","",应收跟进!$N64)</f>
        <v/>
      </c>
      <c r="H64" s="35" t="str">
        <f aca="false">IF(应付跟进!$A64="","",应付跟进!$A64)</f>
        <v/>
      </c>
      <c r="I64" s="54" t="str">
        <f aca="false">IF($H64="","",应付跟进!$D64)</f>
        <v/>
      </c>
      <c r="J64" s="54" t="str">
        <f aca="false">IF($H64="","",应付跟进!$E64)</f>
        <v/>
      </c>
      <c r="K64" s="54" t="str">
        <f aca="false">IF($H64="","",应付跟进!$F64)</f>
        <v/>
      </c>
      <c r="L64" s="54" t="str">
        <f aca="false">IF($H64="","",应付跟进!$L64)</f>
        <v/>
      </c>
      <c r="M64" s="42" t="str">
        <f aca="false">IF($H64="","",应付跟进!$N64)</f>
        <v/>
      </c>
      <c r="V64" s="42" t="str">
        <f aca="false">IF(基础资料!$K64="","",基础资料!$K64)</f>
        <v/>
      </c>
      <c r="W64" s="42" t="str">
        <f aca="false">IF($V64="","",基础资料!$L64)</f>
        <v/>
      </c>
      <c r="X64" s="54" t="str">
        <f aca="false">IF($V64="","",SUMIFS(销售录入!$O$5:$O$404,销售录入!$J$5:$J$404,$V64,销售录入!$C$5:$C$404,首页!$B$5))</f>
        <v/>
      </c>
      <c r="Y64" s="54" t="str">
        <f aca="false">IF($V64="","",SUMIFS(采购录入!$Q$5:$Q$404,采购录入!$L$5:$L$404,$V64,采购录入!$C$5:$C$404,首页!$B$5))</f>
        <v/>
      </c>
      <c r="Z64" s="54" t="str">
        <f aca="false">IF($V64="","",SUMIFS(资金流水!$N$5:$N$504,资金流水!$I$5:$I$504,$V64,资金流水!$D$5:$D$504,"收入",资金流水!$C$5:$C$504,首页!$B$5))</f>
        <v/>
      </c>
      <c r="AA64" s="54" t="str">
        <f aca="false">IF($V64="","",SUMIFS(资金流水!$N$5:$N$504,资金流水!$I$5:$I$504,$V64,资金流水!$D$5:$D$504,"支出",资金流水!$C$5:$C$504,首页!$B$5))</f>
        <v/>
      </c>
    </row>
    <row r="65" customFormat="false" ht="15.75" hidden="false" customHeight="true" outlineLevel="0" collapsed="false">
      <c r="A65" s="35" t="str">
        <f aca="false">IF(应收跟进!$A65="","",应收跟进!$A65)</f>
        <v/>
      </c>
      <c r="B65" s="54" t="str">
        <f aca="false">IF($A65="","",应收跟进!$D65)</f>
        <v/>
      </c>
      <c r="C65" s="54" t="str">
        <f aca="false">IF($A65="","",应收跟进!$E65)</f>
        <v/>
      </c>
      <c r="D65" s="54" t="str">
        <f aca="false">IF($A65="","",应收跟进!$F65)</f>
        <v/>
      </c>
      <c r="E65" s="54" t="str">
        <f aca="false">IF($A65="","",应收跟进!$L65)</f>
        <v/>
      </c>
      <c r="F65" s="42" t="str">
        <f aca="false">IF($A65="","",应收跟进!$N65)</f>
        <v/>
      </c>
      <c r="H65" s="35" t="str">
        <f aca="false">IF(应付跟进!$A65="","",应付跟进!$A65)</f>
        <v/>
      </c>
      <c r="I65" s="54" t="str">
        <f aca="false">IF($H65="","",应付跟进!$D65)</f>
        <v/>
      </c>
      <c r="J65" s="54" t="str">
        <f aca="false">IF($H65="","",应付跟进!$E65)</f>
        <v/>
      </c>
      <c r="K65" s="54" t="str">
        <f aca="false">IF($H65="","",应付跟进!$F65)</f>
        <v/>
      </c>
      <c r="L65" s="54" t="str">
        <f aca="false">IF($H65="","",应付跟进!$L65)</f>
        <v/>
      </c>
      <c r="M65" s="42" t="str">
        <f aca="false">IF($H65="","",应付跟进!$N65)</f>
        <v/>
      </c>
      <c r="V65" s="42" t="str">
        <f aca="false">IF(基础资料!$K65="","",基础资料!$K65)</f>
        <v/>
      </c>
      <c r="W65" s="42" t="str">
        <f aca="false">IF($V65="","",基础资料!$L65)</f>
        <v/>
      </c>
      <c r="X65" s="54" t="str">
        <f aca="false">IF($V65="","",SUMIFS(销售录入!$O$5:$O$404,销售录入!$J$5:$J$404,$V65,销售录入!$C$5:$C$404,首页!$B$5))</f>
        <v/>
      </c>
      <c r="Y65" s="54" t="str">
        <f aca="false">IF($V65="","",SUMIFS(采购录入!$Q$5:$Q$404,采购录入!$L$5:$L$404,$V65,采购录入!$C$5:$C$404,首页!$B$5))</f>
        <v/>
      </c>
      <c r="Z65" s="54" t="str">
        <f aca="false">IF($V65="","",SUMIFS(资金流水!$N$5:$N$504,资金流水!$I$5:$I$504,$V65,资金流水!$D$5:$D$504,"收入",资金流水!$C$5:$C$504,首页!$B$5))</f>
        <v/>
      </c>
      <c r="AA65" s="54" t="str">
        <f aca="false">IF($V65="","",SUMIFS(资金流水!$N$5:$N$504,资金流水!$I$5:$I$504,$V65,资金流水!$D$5:$D$504,"支出",资金流水!$C$5:$C$504,首页!$B$5))</f>
        <v/>
      </c>
    </row>
    <row r="66" customFormat="false" ht="15.75" hidden="false" customHeight="true" outlineLevel="0" collapsed="false">
      <c r="A66" s="35" t="str">
        <f aca="false">IF(应收跟进!$A66="","",应收跟进!$A66)</f>
        <v/>
      </c>
      <c r="B66" s="54" t="str">
        <f aca="false">IF($A66="","",应收跟进!$D66)</f>
        <v/>
      </c>
      <c r="C66" s="54" t="str">
        <f aca="false">IF($A66="","",应收跟进!$E66)</f>
        <v/>
      </c>
      <c r="D66" s="54" t="str">
        <f aca="false">IF($A66="","",应收跟进!$F66)</f>
        <v/>
      </c>
      <c r="E66" s="54" t="str">
        <f aca="false">IF($A66="","",应收跟进!$L66)</f>
        <v/>
      </c>
      <c r="F66" s="42" t="str">
        <f aca="false">IF($A66="","",应收跟进!$N66)</f>
        <v/>
      </c>
      <c r="H66" s="35" t="str">
        <f aca="false">IF(应付跟进!$A66="","",应付跟进!$A66)</f>
        <v/>
      </c>
      <c r="I66" s="54" t="str">
        <f aca="false">IF($H66="","",应付跟进!$D66)</f>
        <v/>
      </c>
      <c r="J66" s="54" t="str">
        <f aca="false">IF($H66="","",应付跟进!$E66)</f>
        <v/>
      </c>
      <c r="K66" s="54" t="str">
        <f aca="false">IF($H66="","",应付跟进!$F66)</f>
        <v/>
      </c>
      <c r="L66" s="54" t="str">
        <f aca="false">IF($H66="","",应付跟进!$L66)</f>
        <v/>
      </c>
      <c r="M66" s="42" t="str">
        <f aca="false">IF($H66="","",应付跟进!$N66)</f>
        <v/>
      </c>
      <c r="V66" s="55" t="s">
        <v>802</v>
      </c>
      <c r="X66" s="39" t="n">
        <f aca="false">SUM(X6:X65)</f>
        <v>24600</v>
      </c>
      <c r="Y66" s="39" t="n">
        <f aca="false">SUM(Y6:Y65)</f>
        <v>19250</v>
      </c>
      <c r="Z66" s="39" t="n">
        <f aca="false">SUM(Z6:Z65)</f>
        <v>61000</v>
      </c>
      <c r="AA66" s="39" t="n">
        <f aca="false">SUM(AA6:AA65)</f>
        <v>63800</v>
      </c>
    </row>
    <row r="67" customFormat="false" ht="15.75" hidden="false" customHeight="true" outlineLevel="0" collapsed="false">
      <c r="A67" s="35" t="str">
        <f aca="false">IF(应收跟进!$A67="","",应收跟进!$A67)</f>
        <v/>
      </c>
      <c r="B67" s="54" t="str">
        <f aca="false">IF($A67="","",应收跟进!$D67)</f>
        <v/>
      </c>
      <c r="C67" s="54" t="str">
        <f aca="false">IF($A67="","",应收跟进!$E67)</f>
        <v/>
      </c>
      <c r="D67" s="54" t="str">
        <f aca="false">IF($A67="","",应收跟进!$F67)</f>
        <v/>
      </c>
      <c r="E67" s="54" t="str">
        <f aca="false">IF($A67="","",应收跟进!$L67)</f>
        <v/>
      </c>
      <c r="F67" s="42" t="str">
        <f aca="false">IF($A67="","",应收跟进!$N67)</f>
        <v/>
      </c>
      <c r="H67" s="35" t="str">
        <f aca="false">IF(应付跟进!$A67="","",应付跟进!$A67)</f>
        <v/>
      </c>
      <c r="I67" s="54" t="str">
        <f aca="false">IF($H67="","",应付跟进!$D67)</f>
        <v/>
      </c>
      <c r="J67" s="54" t="str">
        <f aca="false">IF($H67="","",应付跟进!$E67)</f>
        <v/>
      </c>
      <c r="K67" s="54" t="str">
        <f aca="false">IF($H67="","",应付跟进!$F67)</f>
        <v/>
      </c>
      <c r="L67" s="54" t="str">
        <f aca="false">IF($H67="","",应付跟进!$L67)</f>
        <v/>
      </c>
      <c r="M67" s="42" t="str">
        <f aca="false">IF($H67="","",应付跟进!$N67)</f>
        <v/>
      </c>
    </row>
    <row r="68" customFormat="false" ht="15.75" hidden="false" customHeight="true" outlineLevel="0" collapsed="false">
      <c r="A68" s="35" t="str">
        <f aca="false">IF(应收跟进!$A68="","",应收跟进!$A68)</f>
        <v/>
      </c>
      <c r="B68" s="54" t="str">
        <f aca="false">IF($A68="","",应收跟进!$D68)</f>
        <v/>
      </c>
      <c r="C68" s="54" t="str">
        <f aca="false">IF($A68="","",应收跟进!$E68)</f>
        <v/>
      </c>
      <c r="D68" s="54" t="str">
        <f aca="false">IF($A68="","",应收跟进!$F68)</f>
        <v/>
      </c>
      <c r="E68" s="54" t="str">
        <f aca="false">IF($A68="","",应收跟进!$L68)</f>
        <v/>
      </c>
      <c r="F68" s="42" t="str">
        <f aca="false">IF($A68="","",应收跟进!$N68)</f>
        <v/>
      </c>
      <c r="H68" s="35" t="str">
        <f aca="false">IF(应付跟进!$A68="","",应付跟进!$A68)</f>
        <v/>
      </c>
      <c r="I68" s="54" t="str">
        <f aca="false">IF($H68="","",应付跟进!$D68)</f>
        <v/>
      </c>
      <c r="J68" s="54" t="str">
        <f aca="false">IF($H68="","",应付跟进!$E68)</f>
        <v/>
      </c>
      <c r="K68" s="54" t="str">
        <f aca="false">IF($H68="","",应付跟进!$F68)</f>
        <v/>
      </c>
      <c r="L68" s="54" t="str">
        <f aca="false">IF($H68="","",应付跟进!$L68)</f>
        <v/>
      </c>
      <c r="M68" s="42" t="str">
        <f aca="false">IF($H68="","",应付跟进!$N68)</f>
        <v/>
      </c>
    </row>
    <row r="69" customFormat="false" ht="15.75" hidden="false" customHeight="true" outlineLevel="0" collapsed="false">
      <c r="A69" s="35" t="str">
        <f aca="false">IF(应收跟进!$A69="","",应收跟进!$A69)</f>
        <v/>
      </c>
      <c r="B69" s="54" t="str">
        <f aca="false">IF($A69="","",应收跟进!$D69)</f>
        <v/>
      </c>
      <c r="C69" s="54" t="str">
        <f aca="false">IF($A69="","",应收跟进!$E69)</f>
        <v/>
      </c>
      <c r="D69" s="54" t="str">
        <f aca="false">IF($A69="","",应收跟进!$F69)</f>
        <v/>
      </c>
      <c r="E69" s="54" t="str">
        <f aca="false">IF($A69="","",应收跟进!$L69)</f>
        <v/>
      </c>
      <c r="F69" s="42" t="str">
        <f aca="false">IF($A69="","",应收跟进!$N69)</f>
        <v/>
      </c>
      <c r="H69" s="35" t="str">
        <f aca="false">IF(应付跟进!$A69="","",应付跟进!$A69)</f>
        <v/>
      </c>
      <c r="I69" s="54" t="str">
        <f aca="false">IF($H69="","",应付跟进!$D69)</f>
        <v/>
      </c>
      <c r="J69" s="54" t="str">
        <f aca="false">IF($H69="","",应付跟进!$E69)</f>
        <v/>
      </c>
      <c r="K69" s="54" t="str">
        <f aca="false">IF($H69="","",应付跟进!$F69)</f>
        <v/>
      </c>
      <c r="L69" s="54" t="str">
        <f aca="false">IF($H69="","",应付跟进!$L69)</f>
        <v/>
      </c>
      <c r="M69" s="42" t="str">
        <f aca="false">IF($H69="","",应付跟进!$N69)</f>
        <v/>
      </c>
    </row>
    <row r="70" customFormat="false" ht="15.75" hidden="false" customHeight="true" outlineLevel="0" collapsed="false">
      <c r="A70" s="35" t="str">
        <f aca="false">IF(应收跟进!$A70="","",应收跟进!$A70)</f>
        <v/>
      </c>
      <c r="B70" s="54" t="str">
        <f aca="false">IF($A70="","",应收跟进!$D70)</f>
        <v/>
      </c>
      <c r="C70" s="54" t="str">
        <f aca="false">IF($A70="","",应收跟进!$E70)</f>
        <v/>
      </c>
      <c r="D70" s="54" t="str">
        <f aca="false">IF($A70="","",应收跟进!$F70)</f>
        <v/>
      </c>
      <c r="E70" s="54" t="str">
        <f aca="false">IF($A70="","",应收跟进!$L70)</f>
        <v/>
      </c>
      <c r="F70" s="42" t="str">
        <f aca="false">IF($A70="","",应收跟进!$N70)</f>
        <v/>
      </c>
      <c r="H70" s="35" t="str">
        <f aca="false">IF(应付跟进!$A70="","",应付跟进!$A70)</f>
        <v/>
      </c>
      <c r="I70" s="54" t="str">
        <f aca="false">IF($H70="","",应付跟进!$D70)</f>
        <v/>
      </c>
      <c r="J70" s="54" t="str">
        <f aca="false">IF($H70="","",应付跟进!$E70)</f>
        <v/>
      </c>
      <c r="K70" s="54" t="str">
        <f aca="false">IF($H70="","",应付跟进!$F70)</f>
        <v/>
      </c>
      <c r="L70" s="54" t="str">
        <f aca="false">IF($H70="","",应付跟进!$L70)</f>
        <v/>
      </c>
      <c r="M70" s="42" t="str">
        <f aca="false">IF($H70="","",应付跟进!$N70)</f>
        <v/>
      </c>
    </row>
    <row r="71" customFormat="false" ht="15.75" hidden="false" customHeight="true" outlineLevel="0" collapsed="false">
      <c r="A71" s="35" t="str">
        <f aca="false">IF(应收跟进!$A71="","",应收跟进!$A71)</f>
        <v/>
      </c>
      <c r="B71" s="54" t="str">
        <f aca="false">IF($A71="","",应收跟进!$D71)</f>
        <v/>
      </c>
      <c r="C71" s="54" t="str">
        <f aca="false">IF($A71="","",应收跟进!$E71)</f>
        <v/>
      </c>
      <c r="D71" s="54" t="str">
        <f aca="false">IF($A71="","",应收跟进!$F71)</f>
        <v/>
      </c>
      <c r="E71" s="54" t="str">
        <f aca="false">IF($A71="","",应收跟进!$L71)</f>
        <v/>
      </c>
      <c r="F71" s="42" t="str">
        <f aca="false">IF($A71="","",应收跟进!$N71)</f>
        <v/>
      </c>
      <c r="H71" s="35" t="str">
        <f aca="false">IF(应付跟进!$A71="","",应付跟进!$A71)</f>
        <v/>
      </c>
      <c r="I71" s="54" t="str">
        <f aca="false">IF($H71="","",应付跟进!$D71)</f>
        <v/>
      </c>
      <c r="J71" s="54" t="str">
        <f aca="false">IF($H71="","",应付跟进!$E71)</f>
        <v/>
      </c>
      <c r="K71" s="54" t="str">
        <f aca="false">IF($H71="","",应付跟进!$F71)</f>
        <v/>
      </c>
      <c r="L71" s="54" t="str">
        <f aca="false">IF($H71="","",应付跟进!$L71)</f>
        <v/>
      </c>
      <c r="M71" s="42" t="str">
        <f aca="false">IF($H71="","",应付跟进!$N71)</f>
        <v/>
      </c>
    </row>
    <row r="72" customFormat="false" ht="15.75" hidden="false" customHeight="true" outlineLevel="0" collapsed="false">
      <c r="A72" s="35" t="str">
        <f aca="false">IF(应收跟进!$A72="","",应收跟进!$A72)</f>
        <v/>
      </c>
      <c r="B72" s="54" t="str">
        <f aca="false">IF($A72="","",应收跟进!$D72)</f>
        <v/>
      </c>
      <c r="C72" s="54" t="str">
        <f aca="false">IF($A72="","",应收跟进!$E72)</f>
        <v/>
      </c>
      <c r="D72" s="54" t="str">
        <f aca="false">IF($A72="","",应收跟进!$F72)</f>
        <v/>
      </c>
      <c r="E72" s="54" t="str">
        <f aca="false">IF($A72="","",应收跟进!$L72)</f>
        <v/>
      </c>
      <c r="F72" s="42" t="str">
        <f aca="false">IF($A72="","",应收跟进!$N72)</f>
        <v/>
      </c>
      <c r="H72" s="35" t="str">
        <f aca="false">IF(应付跟进!$A72="","",应付跟进!$A72)</f>
        <v/>
      </c>
      <c r="I72" s="54" t="str">
        <f aca="false">IF($H72="","",应付跟进!$D72)</f>
        <v/>
      </c>
      <c r="J72" s="54" t="str">
        <f aca="false">IF($H72="","",应付跟进!$E72)</f>
        <v/>
      </c>
      <c r="K72" s="54" t="str">
        <f aca="false">IF($H72="","",应付跟进!$F72)</f>
        <v/>
      </c>
      <c r="L72" s="54" t="str">
        <f aca="false">IF($H72="","",应付跟进!$L72)</f>
        <v/>
      </c>
      <c r="M72" s="42" t="str">
        <f aca="false">IF($H72="","",应付跟进!$N72)</f>
        <v/>
      </c>
    </row>
    <row r="73" customFormat="false" ht="15.75" hidden="false" customHeight="true" outlineLevel="0" collapsed="false">
      <c r="A73" s="35" t="str">
        <f aca="false">IF(应收跟进!$A73="","",应收跟进!$A73)</f>
        <v/>
      </c>
      <c r="B73" s="54" t="str">
        <f aca="false">IF($A73="","",应收跟进!$D73)</f>
        <v/>
      </c>
      <c r="C73" s="54" t="str">
        <f aca="false">IF($A73="","",应收跟进!$E73)</f>
        <v/>
      </c>
      <c r="D73" s="54" t="str">
        <f aca="false">IF($A73="","",应收跟进!$F73)</f>
        <v/>
      </c>
      <c r="E73" s="54" t="str">
        <f aca="false">IF($A73="","",应收跟进!$L73)</f>
        <v/>
      </c>
      <c r="F73" s="42" t="str">
        <f aca="false">IF($A73="","",应收跟进!$N73)</f>
        <v/>
      </c>
      <c r="H73" s="35" t="str">
        <f aca="false">IF(应付跟进!$A73="","",应付跟进!$A73)</f>
        <v/>
      </c>
      <c r="I73" s="54" t="str">
        <f aca="false">IF($H73="","",应付跟进!$D73)</f>
        <v/>
      </c>
      <c r="J73" s="54" t="str">
        <f aca="false">IF($H73="","",应付跟进!$E73)</f>
        <v/>
      </c>
      <c r="K73" s="54" t="str">
        <f aca="false">IF($H73="","",应付跟进!$F73)</f>
        <v/>
      </c>
      <c r="L73" s="54" t="str">
        <f aca="false">IF($H73="","",应付跟进!$L73)</f>
        <v/>
      </c>
      <c r="M73" s="42" t="str">
        <f aca="false">IF($H73="","",应付跟进!$N73)</f>
        <v/>
      </c>
    </row>
    <row r="74" customFormat="false" ht="15.75" hidden="false" customHeight="true" outlineLevel="0" collapsed="false">
      <c r="A74" s="35" t="str">
        <f aca="false">IF(应收跟进!$A74="","",应收跟进!$A74)</f>
        <v/>
      </c>
      <c r="B74" s="54" t="str">
        <f aca="false">IF($A74="","",应收跟进!$D74)</f>
        <v/>
      </c>
      <c r="C74" s="54" t="str">
        <f aca="false">IF($A74="","",应收跟进!$E74)</f>
        <v/>
      </c>
      <c r="D74" s="54" t="str">
        <f aca="false">IF($A74="","",应收跟进!$F74)</f>
        <v/>
      </c>
      <c r="E74" s="54" t="str">
        <f aca="false">IF($A74="","",应收跟进!$L74)</f>
        <v/>
      </c>
      <c r="F74" s="42" t="str">
        <f aca="false">IF($A74="","",应收跟进!$N74)</f>
        <v/>
      </c>
      <c r="H74" s="35" t="str">
        <f aca="false">IF(应付跟进!$A74="","",应付跟进!$A74)</f>
        <v/>
      </c>
      <c r="I74" s="54" t="str">
        <f aca="false">IF($H74="","",应付跟进!$D74)</f>
        <v/>
      </c>
      <c r="J74" s="54" t="str">
        <f aca="false">IF($H74="","",应付跟进!$E74)</f>
        <v/>
      </c>
      <c r="K74" s="54" t="str">
        <f aca="false">IF($H74="","",应付跟进!$F74)</f>
        <v/>
      </c>
      <c r="L74" s="54" t="str">
        <f aca="false">IF($H74="","",应付跟进!$L74)</f>
        <v/>
      </c>
      <c r="M74" s="42" t="str">
        <f aca="false">IF($H74="","",应付跟进!$N74)</f>
        <v/>
      </c>
    </row>
    <row r="75" customFormat="false" ht="15.75" hidden="false" customHeight="true" outlineLevel="0" collapsed="false">
      <c r="A75" s="35" t="str">
        <f aca="false">IF(应收跟进!$A75="","",应收跟进!$A75)</f>
        <v/>
      </c>
      <c r="B75" s="54" t="str">
        <f aca="false">IF($A75="","",应收跟进!$D75)</f>
        <v/>
      </c>
      <c r="C75" s="54" t="str">
        <f aca="false">IF($A75="","",应收跟进!$E75)</f>
        <v/>
      </c>
      <c r="D75" s="54" t="str">
        <f aca="false">IF($A75="","",应收跟进!$F75)</f>
        <v/>
      </c>
      <c r="E75" s="54" t="str">
        <f aca="false">IF($A75="","",应收跟进!$L75)</f>
        <v/>
      </c>
      <c r="F75" s="42" t="str">
        <f aca="false">IF($A75="","",应收跟进!$N75)</f>
        <v/>
      </c>
      <c r="H75" s="35" t="str">
        <f aca="false">IF(应付跟进!$A75="","",应付跟进!$A75)</f>
        <v/>
      </c>
      <c r="I75" s="54" t="str">
        <f aca="false">IF($H75="","",应付跟进!$D75)</f>
        <v/>
      </c>
      <c r="J75" s="54" t="str">
        <f aca="false">IF($H75="","",应付跟进!$E75)</f>
        <v/>
      </c>
      <c r="K75" s="54" t="str">
        <f aca="false">IF($H75="","",应付跟进!$F75)</f>
        <v/>
      </c>
      <c r="L75" s="54" t="str">
        <f aca="false">IF($H75="","",应付跟进!$L75)</f>
        <v/>
      </c>
      <c r="M75" s="42" t="str">
        <f aca="false">IF($H75="","",应付跟进!$N75)</f>
        <v/>
      </c>
    </row>
    <row r="76" customFormat="false" ht="15.75" hidden="false" customHeight="true" outlineLevel="0" collapsed="false">
      <c r="A76" s="35" t="str">
        <f aca="false">IF(应收跟进!$A76="","",应收跟进!$A76)</f>
        <v/>
      </c>
      <c r="B76" s="54" t="str">
        <f aca="false">IF($A76="","",应收跟进!$D76)</f>
        <v/>
      </c>
      <c r="C76" s="54" t="str">
        <f aca="false">IF($A76="","",应收跟进!$E76)</f>
        <v/>
      </c>
      <c r="D76" s="54" t="str">
        <f aca="false">IF($A76="","",应收跟进!$F76)</f>
        <v/>
      </c>
      <c r="E76" s="54" t="str">
        <f aca="false">IF($A76="","",应收跟进!$L76)</f>
        <v/>
      </c>
      <c r="F76" s="42" t="str">
        <f aca="false">IF($A76="","",应收跟进!$N76)</f>
        <v/>
      </c>
      <c r="H76" s="35" t="str">
        <f aca="false">IF(应付跟进!$A76="","",应付跟进!$A76)</f>
        <v/>
      </c>
      <c r="I76" s="54" t="str">
        <f aca="false">IF($H76="","",应付跟进!$D76)</f>
        <v/>
      </c>
      <c r="J76" s="54" t="str">
        <f aca="false">IF($H76="","",应付跟进!$E76)</f>
        <v/>
      </c>
      <c r="K76" s="54" t="str">
        <f aca="false">IF($H76="","",应付跟进!$F76)</f>
        <v/>
      </c>
      <c r="L76" s="54" t="str">
        <f aca="false">IF($H76="","",应付跟进!$L76)</f>
        <v/>
      </c>
      <c r="M76" s="42" t="str">
        <f aca="false">IF($H76="","",应付跟进!$N76)</f>
        <v/>
      </c>
    </row>
    <row r="77" customFormat="false" ht="15.75" hidden="false" customHeight="true" outlineLevel="0" collapsed="false">
      <c r="A77" s="35" t="str">
        <f aca="false">IF(应收跟进!$A77="","",应收跟进!$A77)</f>
        <v/>
      </c>
      <c r="B77" s="54" t="str">
        <f aca="false">IF($A77="","",应收跟进!$D77)</f>
        <v/>
      </c>
      <c r="C77" s="54" t="str">
        <f aca="false">IF($A77="","",应收跟进!$E77)</f>
        <v/>
      </c>
      <c r="D77" s="54" t="str">
        <f aca="false">IF($A77="","",应收跟进!$F77)</f>
        <v/>
      </c>
      <c r="E77" s="54" t="str">
        <f aca="false">IF($A77="","",应收跟进!$L77)</f>
        <v/>
      </c>
      <c r="F77" s="42" t="str">
        <f aca="false">IF($A77="","",应收跟进!$N77)</f>
        <v/>
      </c>
      <c r="H77" s="35" t="str">
        <f aca="false">IF(应付跟进!$A77="","",应付跟进!$A77)</f>
        <v/>
      </c>
      <c r="I77" s="54" t="str">
        <f aca="false">IF($H77="","",应付跟进!$D77)</f>
        <v/>
      </c>
      <c r="J77" s="54" t="str">
        <f aca="false">IF($H77="","",应付跟进!$E77)</f>
        <v/>
      </c>
      <c r="K77" s="54" t="str">
        <f aca="false">IF($H77="","",应付跟进!$F77)</f>
        <v/>
      </c>
      <c r="L77" s="54" t="str">
        <f aca="false">IF($H77="","",应付跟进!$L77)</f>
        <v/>
      </c>
      <c r="M77" s="42" t="str">
        <f aca="false">IF($H77="","",应付跟进!$N77)</f>
        <v/>
      </c>
    </row>
    <row r="78" customFormat="false" ht="15.75" hidden="false" customHeight="true" outlineLevel="0" collapsed="false">
      <c r="A78" s="35" t="str">
        <f aca="false">IF(应收跟进!$A78="","",应收跟进!$A78)</f>
        <v/>
      </c>
      <c r="B78" s="54" t="str">
        <f aca="false">IF($A78="","",应收跟进!$D78)</f>
        <v/>
      </c>
      <c r="C78" s="54" t="str">
        <f aca="false">IF($A78="","",应收跟进!$E78)</f>
        <v/>
      </c>
      <c r="D78" s="54" t="str">
        <f aca="false">IF($A78="","",应收跟进!$F78)</f>
        <v/>
      </c>
      <c r="E78" s="54" t="str">
        <f aca="false">IF($A78="","",应收跟进!$L78)</f>
        <v/>
      </c>
      <c r="F78" s="42" t="str">
        <f aca="false">IF($A78="","",应收跟进!$N78)</f>
        <v/>
      </c>
      <c r="H78" s="35" t="str">
        <f aca="false">IF(应付跟进!$A78="","",应付跟进!$A78)</f>
        <v/>
      </c>
      <c r="I78" s="54" t="str">
        <f aca="false">IF($H78="","",应付跟进!$D78)</f>
        <v/>
      </c>
      <c r="J78" s="54" t="str">
        <f aca="false">IF($H78="","",应付跟进!$E78)</f>
        <v/>
      </c>
      <c r="K78" s="54" t="str">
        <f aca="false">IF($H78="","",应付跟进!$F78)</f>
        <v/>
      </c>
      <c r="L78" s="54" t="str">
        <f aca="false">IF($H78="","",应付跟进!$L78)</f>
        <v/>
      </c>
      <c r="M78" s="42" t="str">
        <f aca="false">IF($H78="","",应付跟进!$N78)</f>
        <v/>
      </c>
    </row>
    <row r="79" customFormat="false" ht="15.75" hidden="false" customHeight="true" outlineLevel="0" collapsed="false">
      <c r="A79" s="35" t="str">
        <f aca="false">IF(应收跟进!$A79="","",应收跟进!$A79)</f>
        <v/>
      </c>
      <c r="B79" s="54" t="str">
        <f aca="false">IF($A79="","",应收跟进!$D79)</f>
        <v/>
      </c>
      <c r="C79" s="54" t="str">
        <f aca="false">IF($A79="","",应收跟进!$E79)</f>
        <v/>
      </c>
      <c r="D79" s="54" t="str">
        <f aca="false">IF($A79="","",应收跟进!$F79)</f>
        <v/>
      </c>
      <c r="E79" s="54" t="str">
        <f aca="false">IF($A79="","",应收跟进!$L79)</f>
        <v/>
      </c>
      <c r="F79" s="42" t="str">
        <f aca="false">IF($A79="","",应收跟进!$N79)</f>
        <v/>
      </c>
      <c r="H79" s="35" t="str">
        <f aca="false">IF(应付跟进!$A79="","",应付跟进!$A79)</f>
        <v/>
      </c>
      <c r="I79" s="54" t="str">
        <f aca="false">IF($H79="","",应付跟进!$D79)</f>
        <v/>
      </c>
      <c r="J79" s="54" t="str">
        <f aca="false">IF($H79="","",应付跟进!$E79)</f>
        <v/>
      </c>
      <c r="K79" s="54" t="str">
        <f aca="false">IF($H79="","",应付跟进!$F79)</f>
        <v/>
      </c>
      <c r="L79" s="54" t="str">
        <f aca="false">IF($H79="","",应付跟进!$L79)</f>
        <v/>
      </c>
      <c r="M79" s="42" t="str">
        <f aca="false">IF($H79="","",应付跟进!$N79)</f>
        <v/>
      </c>
    </row>
    <row r="80" customFormat="false" ht="15.75" hidden="false" customHeight="true" outlineLevel="0" collapsed="false">
      <c r="A80" s="35" t="str">
        <f aca="false">IF(应收跟进!$A80="","",应收跟进!$A80)</f>
        <v/>
      </c>
      <c r="B80" s="54" t="str">
        <f aca="false">IF($A80="","",应收跟进!$D80)</f>
        <v/>
      </c>
      <c r="C80" s="54" t="str">
        <f aca="false">IF($A80="","",应收跟进!$E80)</f>
        <v/>
      </c>
      <c r="D80" s="54" t="str">
        <f aca="false">IF($A80="","",应收跟进!$F80)</f>
        <v/>
      </c>
      <c r="E80" s="54" t="str">
        <f aca="false">IF($A80="","",应收跟进!$L80)</f>
        <v/>
      </c>
      <c r="F80" s="42" t="str">
        <f aca="false">IF($A80="","",应收跟进!$N80)</f>
        <v/>
      </c>
      <c r="H80" s="35" t="str">
        <f aca="false">IF(应付跟进!$A80="","",应付跟进!$A80)</f>
        <v/>
      </c>
      <c r="I80" s="54" t="str">
        <f aca="false">IF($H80="","",应付跟进!$D80)</f>
        <v/>
      </c>
      <c r="J80" s="54" t="str">
        <f aca="false">IF($H80="","",应付跟进!$E80)</f>
        <v/>
      </c>
      <c r="K80" s="54" t="str">
        <f aca="false">IF($H80="","",应付跟进!$F80)</f>
        <v/>
      </c>
      <c r="L80" s="54" t="str">
        <f aca="false">IF($H80="","",应付跟进!$L80)</f>
        <v/>
      </c>
      <c r="M80" s="42" t="str">
        <f aca="false">IF($H80="","",应付跟进!$N80)</f>
        <v/>
      </c>
    </row>
    <row r="81" customFormat="false" ht="15.75" hidden="false" customHeight="true" outlineLevel="0" collapsed="false">
      <c r="A81" s="35" t="str">
        <f aca="false">IF(应收跟进!$A81="","",应收跟进!$A81)</f>
        <v/>
      </c>
      <c r="B81" s="54" t="str">
        <f aca="false">IF($A81="","",应收跟进!$D81)</f>
        <v/>
      </c>
      <c r="C81" s="54" t="str">
        <f aca="false">IF($A81="","",应收跟进!$E81)</f>
        <v/>
      </c>
      <c r="D81" s="54" t="str">
        <f aca="false">IF($A81="","",应收跟进!$F81)</f>
        <v/>
      </c>
      <c r="E81" s="54" t="str">
        <f aca="false">IF($A81="","",应收跟进!$L81)</f>
        <v/>
      </c>
      <c r="F81" s="42" t="str">
        <f aca="false">IF($A81="","",应收跟进!$N81)</f>
        <v/>
      </c>
      <c r="H81" s="35" t="str">
        <f aca="false">IF(应付跟进!$A81="","",应付跟进!$A81)</f>
        <v/>
      </c>
      <c r="I81" s="54" t="str">
        <f aca="false">IF($H81="","",应付跟进!$D81)</f>
        <v/>
      </c>
      <c r="J81" s="54" t="str">
        <f aca="false">IF($H81="","",应付跟进!$E81)</f>
        <v/>
      </c>
      <c r="K81" s="54" t="str">
        <f aca="false">IF($H81="","",应付跟进!$F81)</f>
        <v/>
      </c>
      <c r="L81" s="54" t="str">
        <f aca="false">IF($H81="","",应付跟进!$L81)</f>
        <v/>
      </c>
      <c r="M81" s="42" t="str">
        <f aca="false">IF($H81="","",应付跟进!$N81)</f>
        <v/>
      </c>
    </row>
    <row r="82" customFormat="false" ht="15.75" hidden="false" customHeight="true" outlineLevel="0" collapsed="false">
      <c r="A82" s="35" t="str">
        <f aca="false">IF(应收跟进!$A82="","",应收跟进!$A82)</f>
        <v/>
      </c>
      <c r="B82" s="54" t="str">
        <f aca="false">IF($A82="","",应收跟进!$D82)</f>
        <v/>
      </c>
      <c r="C82" s="54" t="str">
        <f aca="false">IF($A82="","",应收跟进!$E82)</f>
        <v/>
      </c>
      <c r="D82" s="54" t="str">
        <f aca="false">IF($A82="","",应收跟进!$F82)</f>
        <v/>
      </c>
      <c r="E82" s="54" t="str">
        <f aca="false">IF($A82="","",应收跟进!$L82)</f>
        <v/>
      </c>
      <c r="F82" s="42" t="str">
        <f aca="false">IF($A82="","",应收跟进!$N82)</f>
        <v/>
      </c>
      <c r="H82" s="35" t="str">
        <f aca="false">IF(应付跟进!$A82="","",应付跟进!$A82)</f>
        <v/>
      </c>
      <c r="I82" s="54" t="str">
        <f aca="false">IF($H82="","",应付跟进!$D82)</f>
        <v/>
      </c>
      <c r="J82" s="54" t="str">
        <f aca="false">IF($H82="","",应付跟进!$E82)</f>
        <v/>
      </c>
      <c r="K82" s="54" t="str">
        <f aca="false">IF($H82="","",应付跟进!$F82)</f>
        <v/>
      </c>
      <c r="L82" s="54" t="str">
        <f aca="false">IF($H82="","",应付跟进!$L82)</f>
        <v/>
      </c>
      <c r="M82" s="42" t="str">
        <f aca="false">IF($H82="","",应付跟进!$N82)</f>
        <v/>
      </c>
    </row>
    <row r="83" customFormat="false" ht="15.75" hidden="false" customHeight="true" outlineLevel="0" collapsed="false">
      <c r="A83" s="35" t="str">
        <f aca="false">IF(应收跟进!$A83="","",应收跟进!$A83)</f>
        <v/>
      </c>
      <c r="B83" s="54" t="str">
        <f aca="false">IF($A83="","",应收跟进!$D83)</f>
        <v/>
      </c>
      <c r="C83" s="54" t="str">
        <f aca="false">IF($A83="","",应收跟进!$E83)</f>
        <v/>
      </c>
      <c r="D83" s="54" t="str">
        <f aca="false">IF($A83="","",应收跟进!$F83)</f>
        <v/>
      </c>
      <c r="E83" s="54" t="str">
        <f aca="false">IF($A83="","",应收跟进!$L83)</f>
        <v/>
      </c>
      <c r="F83" s="42" t="str">
        <f aca="false">IF($A83="","",应收跟进!$N83)</f>
        <v/>
      </c>
      <c r="H83" s="35" t="str">
        <f aca="false">IF(应付跟进!$A83="","",应付跟进!$A83)</f>
        <v/>
      </c>
      <c r="I83" s="54" t="str">
        <f aca="false">IF($H83="","",应付跟进!$D83)</f>
        <v/>
      </c>
      <c r="J83" s="54" t="str">
        <f aca="false">IF($H83="","",应付跟进!$E83)</f>
        <v/>
      </c>
      <c r="K83" s="54" t="str">
        <f aca="false">IF($H83="","",应付跟进!$F83)</f>
        <v/>
      </c>
      <c r="L83" s="54" t="str">
        <f aca="false">IF($H83="","",应付跟进!$L83)</f>
        <v/>
      </c>
      <c r="M83" s="42" t="str">
        <f aca="false">IF($H83="","",应付跟进!$N83)</f>
        <v/>
      </c>
    </row>
    <row r="84" customFormat="false" ht="15.75" hidden="false" customHeight="true" outlineLevel="0" collapsed="false">
      <c r="A84" s="35" t="str">
        <f aca="false">IF(应收跟进!$A84="","",应收跟进!$A84)</f>
        <v/>
      </c>
      <c r="B84" s="54" t="str">
        <f aca="false">IF($A84="","",应收跟进!$D84)</f>
        <v/>
      </c>
      <c r="C84" s="54" t="str">
        <f aca="false">IF($A84="","",应收跟进!$E84)</f>
        <v/>
      </c>
      <c r="D84" s="54" t="str">
        <f aca="false">IF($A84="","",应收跟进!$F84)</f>
        <v/>
      </c>
      <c r="E84" s="54" t="str">
        <f aca="false">IF($A84="","",应收跟进!$L84)</f>
        <v/>
      </c>
      <c r="F84" s="42" t="str">
        <f aca="false">IF($A84="","",应收跟进!$N84)</f>
        <v/>
      </c>
      <c r="H84" s="35" t="str">
        <f aca="false">IF(应付跟进!$A84="","",应付跟进!$A84)</f>
        <v/>
      </c>
      <c r="I84" s="54" t="str">
        <f aca="false">IF($H84="","",应付跟进!$D84)</f>
        <v/>
      </c>
      <c r="J84" s="54" t="str">
        <f aca="false">IF($H84="","",应付跟进!$E84)</f>
        <v/>
      </c>
      <c r="K84" s="54" t="str">
        <f aca="false">IF($H84="","",应付跟进!$F84)</f>
        <v/>
      </c>
      <c r="L84" s="54" t="str">
        <f aca="false">IF($H84="","",应付跟进!$L84)</f>
        <v/>
      </c>
      <c r="M84" s="42" t="str">
        <f aca="false">IF($H84="","",应付跟进!$N84)</f>
        <v/>
      </c>
    </row>
    <row r="85" customFormat="false" ht="15.75" hidden="false" customHeight="true" outlineLevel="0" collapsed="false">
      <c r="A85" s="35" t="str">
        <f aca="false">IF(应收跟进!$A85="","",应收跟进!$A85)</f>
        <v/>
      </c>
      <c r="B85" s="54" t="str">
        <f aca="false">IF($A85="","",应收跟进!$D85)</f>
        <v/>
      </c>
      <c r="C85" s="54" t="str">
        <f aca="false">IF($A85="","",应收跟进!$E85)</f>
        <v/>
      </c>
      <c r="D85" s="54" t="str">
        <f aca="false">IF($A85="","",应收跟进!$F85)</f>
        <v/>
      </c>
      <c r="E85" s="54" t="str">
        <f aca="false">IF($A85="","",应收跟进!$L85)</f>
        <v/>
      </c>
      <c r="F85" s="42" t="str">
        <f aca="false">IF($A85="","",应收跟进!$N85)</f>
        <v/>
      </c>
      <c r="H85" s="35" t="str">
        <f aca="false">IF(应付跟进!$A85="","",应付跟进!$A85)</f>
        <v/>
      </c>
      <c r="I85" s="54" t="str">
        <f aca="false">IF($H85="","",应付跟进!$D85)</f>
        <v/>
      </c>
      <c r="J85" s="54" t="str">
        <f aca="false">IF($H85="","",应付跟进!$E85)</f>
        <v/>
      </c>
      <c r="K85" s="54" t="str">
        <f aca="false">IF($H85="","",应付跟进!$F85)</f>
        <v/>
      </c>
      <c r="L85" s="54" t="str">
        <f aca="false">IF($H85="","",应付跟进!$L85)</f>
        <v/>
      </c>
      <c r="M85" s="42" t="str">
        <f aca="false">IF($H85="","",应付跟进!$N85)</f>
        <v/>
      </c>
    </row>
    <row r="86" customFormat="false" ht="15.75" hidden="false" customHeight="true" outlineLevel="0" collapsed="false">
      <c r="A86" s="35" t="str">
        <f aca="false">IF(应收跟进!$A86="","",应收跟进!$A86)</f>
        <v/>
      </c>
      <c r="B86" s="54" t="str">
        <f aca="false">IF($A86="","",应收跟进!$D86)</f>
        <v/>
      </c>
      <c r="C86" s="54" t="str">
        <f aca="false">IF($A86="","",应收跟进!$E86)</f>
        <v/>
      </c>
      <c r="D86" s="54" t="str">
        <f aca="false">IF($A86="","",应收跟进!$F86)</f>
        <v/>
      </c>
      <c r="E86" s="54" t="str">
        <f aca="false">IF($A86="","",应收跟进!$L86)</f>
        <v/>
      </c>
      <c r="F86" s="42" t="str">
        <f aca="false">IF($A86="","",应收跟进!$N86)</f>
        <v/>
      </c>
      <c r="H86" s="35" t="str">
        <f aca="false">IF(应付跟进!$A86="","",应付跟进!$A86)</f>
        <v/>
      </c>
      <c r="I86" s="54" t="str">
        <f aca="false">IF($H86="","",应付跟进!$D86)</f>
        <v/>
      </c>
      <c r="J86" s="54" t="str">
        <f aca="false">IF($H86="","",应付跟进!$E86)</f>
        <v/>
      </c>
      <c r="K86" s="54" t="str">
        <f aca="false">IF($H86="","",应付跟进!$F86)</f>
        <v/>
      </c>
      <c r="L86" s="54" t="str">
        <f aca="false">IF($H86="","",应付跟进!$L86)</f>
        <v/>
      </c>
      <c r="M86" s="42" t="str">
        <f aca="false">IF($H86="","",应付跟进!$N86)</f>
        <v/>
      </c>
    </row>
    <row r="87" customFormat="false" ht="15.75" hidden="false" customHeight="true" outlineLevel="0" collapsed="false">
      <c r="A87" s="35" t="str">
        <f aca="false">IF(应收跟进!$A87="","",应收跟进!$A87)</f>
        <v/>
      </c>
      <c r="B87" s="54" t="str">
        <f aca="false">IF($A87="","",应收跟进!$D87)</f>
        <v/>
      </c>
      <c r="C87" s="54" t="str">
        <f aca="false">IF($A87="","",应收跟进!$E87)</f>
        <v/>
      </c>
      <c r="D87" s="54" t="str">
        <f aca="false">IF($A87="","",应收跟进!$F87)</f>
        <v/>
      </c>
      <c r="E87" s="54" t="str">
        <f aca="false">IF($A87="","",应收跟进!$L87)</f>
        <v/>
      </c>
      <c r="F87" s="42" t="str">
        <f aca="false">IF($A87="","",应收跟进!$N87)</f>
        <v/>
      </c>
      <c r="H87" s="35" t="str">
        <f aca="false">IF(应付跟进!$A87="","",应付跟进!$A87)</f>
        <v/>
      </c>
      <c r="I87" s="54" t="str">
        <f aca="false">IF($H87="","",应付跟进!$D87)</f>
        <v/>
      </c>
      <c r="J87" s="54" t="str">
        <f aca="false">IF($H87="","",应付跟进!$E87)</f>
        <v/>
      </c>
      <c r="K87" s="54" t="str">
        <f aca="false">IF($H87="","",应付跟进!$F87)</f>
        <v/>
      </c>
      <c r="L87" s="54" t="str">
        <f aca="false">IF($H87="","",应付跟进!$L87)</f>
        <v/>
      </c>
      <c r="M87" s="42" t="str">
        <f aca="false">IF($H87="","",应付跟进!$N87)</f>
        <v/>
      </c>
    </row>
    <row r="88" customFormat="false" ht="15.75" hidden="false" customHeight="true" outlineLevel="0" collapsed="false">
      <c r="A88" s="35" t="str">
        <f aca="false">IF(应收跟进!$A88="","",应收跟进!$A88)</f>
        <v/>
      </c>
      <c r="B88" s="54" t="str">
        <f aca="false">IF($A88="","",应收跟进!$D88)</f>
        <v/>
      </c>
      <c r="C88" s="54" t="str">
        <f aca="false">IF($A88="","",应收跟进!$E88)</f>
        <v/>
      </c>
      <c r="D88" s="54" t="str">
        <f aca="false">IF($A88="","",应收跟进!$F88)</f>
        <v/>
      </c>
      <c r="E88" s="54" t="str">
        <f aca="false">IF($A88="","",应收跟进!$L88)</f>
        <v/>
      </c>
      <c r="F88" s="42" t="str">
        <f aca="false">IF($A88="","",应收跟进!$N88)</f>
        <v/>
      </c>
      <c r="H88" s="35" t="str">
        <f aca="false">IF(应付跟进!$A88="","",应付跟进!$A88)</f>
        <v/>
      </c>
      <c r="I88" s="54" t="str">
        <f aca="false">IF($H88="","",应付跟进!$D88)</f>
        <v/>
      </c>
      <c r="J88" s="54" t="str">
        <f aca="false">IF($H88="","",应付跟进!$E88)</f>
        <v/>
      </c>
      <c r="K88" s="54" t="str">
        <f aca="false">IF($H88="","",应付跟进!$F88)</f>
        <v/>
      </c>
      <c r="L88" s="54" t="str">
        <f aca="false">IF($H88="","",应付跟进!$L88)</f>
        <v/>
      </c>
      <c r="M88" s="42" t="str">
        <f aca="false">IF($H88="","",应付跟进!$N88)</f>
        <v/>
      </c>
    </row>
    <row r="89" customFormat="false" ht="15.75" hidden="false" customHeight="true" outlineLevel="0" collapsed="false">
      <c r="A89" s="35" t="str">
        <f aca="false">IF(应收跟进!$A89="","",应收跟进!$A89)</f>
        <v/>
      </c>
      <c r="B89" s="54" t="str">
        <f aca="false">IF($A89="","",应收跟进!$D89)</f>
        <v/>
      </c>
      <c r="C89" s="54" t="str">
        <f aca="false">IF($A89="","",应收跟进!$E89)</f>
        <v/>
      </c>
      <c r="D89" s="54" t="str">
        <f aca="false">IF($A89="","",应收跟进!$F89)</f>
        <v/>
      </c>
      <c r="E89" s="54" t="str">
        <f aca="false">IF($A89="","",应收跟进!$L89)</f>
        <v/>
      </c>
      <c r="F89" s="42" t="str">
        <f aca="false">IF($A89="","",应收跟进!$N89)</f>
        <v/>
      </c>
      <c r="H89" s="35" t="str">
        <f aca="false">IF(应付跟进!$A89="","",应付跟进!$A89)</f>
        <v/>
      </c>
      <c r="I89" s="54" t="str">
        <f aca="false">IF($H89="","",应付跟进!$D89)</f>
        <v/>
      </c>
      <c r="J89" s="54" t="str">
        <f aca="false">IF($H89="","",应付跟进!$E89)</f>
        <v/>
      </c>
      <c r="K89" s="54" t="str">
        <f aca="false">IF($H89="","",应付跟进!$F89)</f>
        <v/>
      </c>
      <c r="L89" s="54" t="str">
        <f aca="false">IF($H89="","",应付跟进!$L89)</f>
        <v/>
      </c>
      <c r="M89" s="42" t="str">
        <f aca="false">IF($H89="","",应付跟进!$N89)</f>
        <v/>
      </c>
    </row>
    <row r="90" customFormat="false" ht="15.75" hidden="false" customHeight="true" outlineLevel="0" collapsed="false">
      <c r="A90" s="35" t="str">
        <f aca="false">IF(应收跟进!$A90="","",应收跟进!$A90)</f>
        <v/>
      </c>
      <c r="B90" s="54" t="str">
        <f aca="false">IF($A90="","",应收跟进!$D90)</f>
        <v/>
      </c>
      <c r="C90" s="54" t="str">
        <f aca="false">IF($A90="","",应收跟进!$E90)</f>
        <v/>
      </c>
      <c r="D90" s="54" t="str">
        <f aca="false">IF($A90="","",应收跟进!$F90)</f>
        <v/>
      </c>
      <c r="E90" s="54" t="str">
        <f aca="false">IF($A90="","",应收跟进!$L90)</f>
        <v/>
      </c>
      <c r="F90" s="42" t="str">
        <f aca="false">IF($A90="","",应收跟进!$N90)</f>
        <v/>
      </c>
      <c r="H90" s="35" t="str">
        <f aca="false">IF(应付跟进!$A90="","",应付跟进!$A90)</f>
        <v/>
      </c>
      <c r="I90" s="54" t="str">
        <f aca="false">IF($H90="","",应付跟进!$D90)</f>
        <v/>
      </c>
      <c r="J90" s="54" t="str">
        <f aca="false">IF($H90="","",应付跟进!$E90)</f>
        <v/>
      </c>
      <c r="K90" s="54" t="str">
        <f aca="false">IF($H90="","",应付跟进!$F90)</f>
        <v/>
      </c>
      <c r="L90" s="54" t="str">
        <f aca="false">IF($H90="","",应付跟进!$L90)</f>
        <v/>
      </c>
      <c r="M90" s="42" t="str">
        <f aca="false">IF($H90="","",应付跟进!$N90)</f>
        <v/>
      </c>
    </row>
    <row r="91" customFormat="false" ht="15.75" hidden="false" customHeight="true" outlineLevel="0" collapsed="false">
      <c r="A91" s="35" t="str">
        <f aca="false">IF(应收跟进!$A91="","",应收跟进!$A91)</f>
        <v/>
      </c>
      <c r="B91" s="54" t="str">
        <f aca="false">IF($A91="","",应收跟进!$D91)</f>
        <v/>
      </c>
      <c r="C91" s="54" t="str">
        <f aca="false">IF($A91="","",应收跟进!$E91)</f>
        <v/>
      </c>
      <c r="D91" s="54" t="str">
        <f aca="false">IF($A91="","",应收跟进!$F91)</f>
        <v/>
      </c>
      <c r="E91" s="54" t="str">
        <f aca="false">IF($A91="","",应收跟进!$L91)</f>
        <v/>
      </c>
      <c r="F91" s="42" t="str">
        <f aca="false">IF($A91="","",应收跟进!$N91)</f>
        <v/>
      </c>
      <c r="H91" s="35" t="str">
        <f aca="false">IF(应付跟进!$A91="","",应付跟进!$A91)</f>
        <v/>
      </c>
      <c r="I91" s="54" t="str">
        <f aca="false">IF($H91="","",应付跟进!$D91)</f>
        <v/>
      </c>
      <c r="J91" s="54" t="str">
        <f aca="false">IF($H91="","",应付跟进!$E91)</f>
        <v/>
      </c>
      <c r="K91" s="54" t="str">
        <f aca="false">IF($H91="","",应付跟进!$F91)</f>
        <v/>
      </c>
      <c r="L91" s="54" t="str">
        <f aca="false">IF($H91="","",应付跟进!$L91)</f>
        <v/>
      </c>
      <c r="M91" s="42" t="str">
        <f aca="false">IF($H91="","",应付跟进!$N91)</f>
        <v/>
      </c>
    </row>
    <row r="92" customFormat="false" ht="15.75" hidden="false" customHeight="true" outlineLevel="0" collapsed="false">
      <c r="A92" s="35" t="str">
        <f aca="false">IF(应收跟进!$A92="","",应收跟进!$A92)</f>
        <v/>
      </c>
      <c r="B92" s="54" t="str">
        <f aca="false">IF($A92="","",应收跟进!$D92)</f>
        <v/>
      </c>
      <c r="C92" s="54" t="str">
        <f aca="false">IF($A92="","",应收跟进!$E92)</f>
        <v/>
      </c>
      <c r="D92" s="54" t="str">
        <f aca="false">IF($A92="","",应收跟进!$F92)</f>
        <v/>
      </c>
      <c r="E92" s="54" t="str">
        <f aca="false">IF($A92="","",应收跟进!$L92)</f>
        <v/>
      </c>
      <c r="F92" s="42" t="str">
        <f aca="false">IF($A92="","",应收跟进!$N92)</f>
        <v/>
      </c>
      <c r="H92" s="35" t="str">
        <f aca="false">IF(应付跟进!$A92="","",应付跟进!$A92)</f>
        <v/>
      </c>
      <c r="I92" s="54" t="str">
        <f aca="false">IF($H92="","",应付跟进!$D92)</f>
        <v/>
      </c>
      <c r="J92" s="54" t="str">
        <f aca="false">IF($H92="","",应付跟进!$E92)</f>
        <v/>
      </c>
      <c r="K92" s="54" t="str">
        <f aca="false">IF($H92="","",应付跟进!$F92)</f>
        <v/>
      </c>
      <c r="L92" s="54" t="str">
        <f aca="false">IF($H92="","",应付跟进!$L92)</f>
        <v/>
      </c>
      <c r="M92" s="42" t="str">
        <f aca="false">IF($H92="","",应付跟进!$N92)</f>
        <v/>
      </c>
    </row>
    <row r="93" customFormat="false" ht="15.75" hidden="false" customHeight="true" outlineLevel="0" collapsed="false">
      <c r="A93" s="35" t="str">
        <f aca="false">IF(应收跟进!$A93="","",应收跟进!$A93)</f>
        <v/>
      </c>
      <c r="B93" s="54" t="str">
        <f aca="false">IF($A93="","",应收跟进!$D93)</f>
        <v/>
      </c>
      <c r="C93" s="54" t="str">
        <f aca="false">IF($A93="","",应收跟进!$E93)</f>
        <v/>
      </c>
      <c r="D93" s="54" t="str">
        <f aca="false">IF($A93="","",应收跟进!$F93)</f>
        <v/>
      </c>
      <c r="E93" s="54" t="str">
        <f aca="false">IF($A93="","",应收跟进!$L93)</f>
        <v/>
      </c>
      <c r="F93" s="42" t="str">
        <f aca="false">IF($A93="","",应收跟进!$N93)</f>
        <v/>
      </c>
      <c r="H93" s="35" t="str">
        <f aca="false">IF(应付跟进!$A93="","",应付跟进!$A93)</f>
        <v/>
      </c>
      <c r="I93" s="54" t="str">
        <f aca="false">IF($H93="","",应付跟进!$D93)</f>
        <v/>
      </c>
      <c r="J93" s="54" t="str">
        <f aca="false">IF($H93="","",应付跟进!$E93)</f>
        <v/>
      </c>
      <c r="K93" s="54" t="str">
        <f aca="false">IF($H93="","",应付跟进!$F93)</f>
        <v/>
      </c>
      <c r="L93" s="54" t="str">
        <f aca="false">IF($H93="","",应付跟进!$L93)</f>
        <v/>
      </c>
      <c r="M93" s="42" t="str">
        <f aca="false">IF($H93="","",应付跟进!$N93)</f>
        <v/>
      </c>
    </row>
    <row r="94" customFormat="false" ht="15.75" hidden="false" customHeight="true" outlineLevel="0" collapsed="false">
      <c r="A94" s="35" t="str">
        <f aca="false">IF(应收跟进!$A94="","",应收跟进!$A94)</f>
        <v/>
      </c>
      <c r="B94" s="54" t="str">
        <f aca="false">IF($A94="","",应收跟进!$D94)</f>
        <v/>
      </c>
      <c r="C94" s="54" t="str">
        <f aca="false">IF($A94="","",应收跟进!$E94)</f>
        <v/>
      </c>
      <c r="D94" s="54" t="str">
        <f aca="false">IF($A94="","",应收跟进!$F94)</f>
        <v/>
      </c>
      <c r="E94" s="54" t="str">
        <f aca="false">IF($A94="","",应收跟进!$L94)</f>
        <v/>
      </c>
      <c r="F94" s="42" t="str">
        <f aca="false">IF($A94="","",应收跟进!$N94)</f>
        <v/>
      </c>
      <c r="H94" s="35" t="str">
        <f aca="false">IF(应付跟进!$A94="","",应付跟进!$A94)</f>
        <v/>
      </c>
      <c r="I94" s="54" t="str">
        <f aca="false">IF($H94="","",应付跟进!$D94)</f>
        <v/>
      </c>
      <c r="J94" s="54" t="str">
        <f aca="false">IF($H94="","",应付跟进!$E94)</f>
        <v/>
      </c>
      <c r="K94" s="54" t="str">
        <f aca="false">IF($H94="","",应付跟进!$F94)</f>
        <v/>
      </c>
      <c r="L94" s="54" t="str">
        <f aca="false">IF($H94="","",应付跟进!$L94)</f>
        <v/>
      </c>
      <c r="M94" s="42" t="str">
        <f aca="false">IF($H94="","",应付跟进!$N94)</f>
        <v/>
      </c>
    </row>
    <row r="95" customFormat="false" ht="15.75" hidden="false" customHeight="true" outlineLevel="0" collapsed="false">
      <c r="A95" s="35" t="str">
        <f aca="false">IF(应收跟进!$A95="","",应收跟进!$A95)</f>
        <v/>
      </c>
      <c r="B95" s="54" t="str">
        <f aca="false">IF($A95="","",应收跟进!$D95)</f>
        <v/>
      </c>
      <c r="C95" s="54" t="str">
        <f aca="false">IF($A95="","",应收跟进!$E95)</f>
        <v/>
      </c>
      <c r="D95" s="54" t="str">
        <f aca="false">IF($A95="","",应收跟进!$F95)</f>
        <v/>
      </c>
      <c r="E95" s="54" t="str">
        <f aca="false">IF($A95="","",应收跟进!$L95)</f>
        <v/>
      </c>
      <c r="F95" s="42" t="str">
        <f aca="false">IF($A95="","",应收跟进!$N95)</f>
        <v/>
      </c>
      <c r="H95" s="35" t="str">
        <f aca="false">IF(应付跟进!$A95="","",应付跟进!$A95)</f>
        <v/>
      </c>
      <c r="I95" s="54" t="str">
        <f aca="false">IF($H95="","",应付跟进!$D95)</f>
        <v/>
      </c>
      <c r="J95" s="54" t="str">
        <f aca="false">IF($H95="","",应付跟进!$E95)</f>
        <v/>
      </c>
      <c r="K95" s="54" t="str">
        <f aca="false">IF($H95="","",应付跟进!$F95)</f>
        <v/>
      </c>
      <c r="L95" s="54" t="str">
        <f aca="false">IF($H95="","",应付跟进!$L95)</f>
        <v/>
      </c>
      <c r="M95" s="42" t="str">
        <f aca="false">IF($H95="","",应付跟进!$N95)</f>
        <v/>
      </c>
    </row>
    <row r="96" customFormat="false" ht="15.75" hidden="false" customHeight="true" outlineLevel="0" collapsed="false">
      <c r="A96" s="35" t="str">
        <f aca="false">IF(应收跟进!$A96="","",应收跟进!$A96)</f>
        <v/>
      </c>
      <c r="B96" s="54" t="str">
        <f aca="false">IF($A96="","",应收跟进!$D96)</f>
        <v/>
      </c>
      <c r="C96" s="54" t="str">
        <f aca="false">IF($A96="","",应收跟进!$E96)</f>
        <v/>
      </c>
      <c r="D96" s="54" t="str">
        <f aca="false">IF($A96="","",应收跟进!$F96)</f>
        <v/>
      </c>
      <c r="E96" s="54" t="str">
        <f aca="false">IF($A96="","",应收跟进!$L96)</f>
        <v/>
      </c>
      <c r="F96" s="42" t="str">
        <f aca="false">IF($A96="","",应收跟进!$N96)</f>
        <v/>
      </c>
      <c r="H96" s="35" t="str">
        <f aca="false">IF(应付跟进!$A96="","",应付跟进!$A96)</f>
        <v/>
      </c>
      <c r="I96" s="54" t="str">
        <f aca="false">IF($H96="","",应付跟进!$D96)</f>
        <v/>
      </c>
      <c r="J96" s="54" t="str">
        <f aca="false">IF($H96="","",应付跟进!$E96)</f>
        <v/>
      </c>
      <c r="K96" s="54" t="str">
        <f aca="false">IF($H96="","",应付跟进!$F96)</f>
        <v/>
      </c>
      <c r="L96" s="54" t="str">
        <f aca="false">IF($H96="","",应付跟进!$L96)</f>
        <v/>
      </c>
      <c r="M96" s="42" t="str">
        <f aca="false">IF($H96="","",应付跟进!$N96)</f>
        <v/>
      </c>
    </row>
    <row r="97" customFormat="false" ht="15.75" hidden="false" customHeight="true" outlineLevel="0" collapsed="false">
      <c r="A97" s="35" t="str">
        <f aca="false">IF(应收跟进!$A97="","",应收跟进!$A97)</f>
        <v/>
      </c>
      <c r="B97" s="54" t="str">
        <f aca="false">IF($A97="","",应收跟进!$D97)</f>
        <v/>
      </c>
      <c r="C97" s="54" t="str">
        <f aca="false">IF($A97="","",应收跟进!$E97)</f>
        <v/>
      </c>
      <c r="D97" s="54" t="str">
        <f aca="false">IF($A97="","",应收跟进!$F97)</f>
        <v/>
      </c>
      <c r="E97" s="54" t="str">
        <f aca="false">IF($A97="","",应收跟进!$L97)</f>
        <v/>
      </c>
      <c r="F97" s="42" t="str">
        <f aca="false">IF($A97="","",应收跟进!$N97)</f>
        <v/>
      </c>
      <c r="H97" s="35" t="str">
        <f aca="false">IF(应付跟进!$A97="","",应付跟进!$A97)</f>
        <v/>
      </c>
      <c r="I97" s="54" t="str">
        <f aca="false">IF($H97="","",应付跟进!$D97)</f>
        <v/>
      </c>
      <c r="J97" s="54" t="str">
        <f aca="false">IF($H97="","",应付跟进!$E97)</f>
        <v/>
      </c>
      <c r="K97" s="54" t="str">
        <f aca="false">IF($H97="","",应付跟进!$F97)</f>
        <v/>
      </c>
      <c r="L97" s="54" t="str">
        <f aca="false">IF($H97="","",应付跟进!$L97)</f>
        <v/>
      </c>
      <c r="M97" s="42" t="str">
        <f aca="false">IF($H97="","",应付跟进!$N97)</f>
        <v/>
      </c>
    </row>
    <row r="98" customFormat="false" ht="15.75" hidden="false" customHeight="true" outlineLevel="0" collapsed="false">
      <c r="A98" s="35" t="str">
        <f aca="false">IF(应收跟进!$A98="","",应收跟进!$A98)</f>
        <v/>
      </c>
      <c r="B98" s="54" t="str">
        <f aca="false">IF($A98="","",应收跟进!$D98)</f>
        <v/>
      </c>
      <c r="C98" s="54" t="str">
        <f aca="false">IF($A98="","",应收跟进!$E98)</f>
        <v/>
      </c>
      <c r="D98" s="54" t="str">
        <f aca="false">IF($A98="","",应收跟进!$F98)</f>
        <v/>
      </c>
      <c r="E98" s="54" t="str">
        <f aca="false">IF($A98="","",应收跟进!$L98)</f>
        <v/>
      </c>
      <c r="F98" s="42" t="str">
        <f aca="false">IF($A98="","",应收跟进!$N98)</f>
        <v/>
      </c>
      <c r="H98" s="35" t="str">
        <f aca="false">IF(应付跟进!$A98="","",应付跟进!$A98)</f>
        <v/>
      </c>
      <c r="I98" s="54" t="str">
        <f aca="false">IF($H98="","",应付跟进!$D98)</f>
        <v/>
      </c>
      <c r="J98" s="54" t="str">
        <f aca="false">IF($H98="","",应付跟进!$E98)</f>
        <v/>
      </c>
      <c r="K98" s="54" t="str">
        <f aca="false">IF($H98="","",应付跟进!$F98)</f>
        <v/>
      </c>
      <c r="L98" s="54" t="str">
        <f aca="false">IF($H98="","",应付跟进!$L98)</f>
        <v/>
      </c>
      <c r="M98" s="42" t="str">
        <f aca="false">IF($H98="","",应付跟进!$N98)</f>
        <v/>
      </c>
    </row>
    <row r="99" customFormat="false" ht="15.75" hidden="false" customHeight="true" outlineLevel="0" collapsed="false">
      <c r="A99" s="35" t="str">
        <f aca="false">IF(应收跟进!$A99="","",应收跟进!$A99)</f>
        <v/>
      </c>
      <c r="B99" s="54" t="str">
        <f aca="false">IF($A99="","",应收跟进!$D99)</f>
        <v/>
      </c>
      <c r="C99" s="54" t="str">
        <f aca="false">IF($A99="","",应收跟进!$E99)</f>
        <v/>
      </c>
      <c r="D99" s="54" t="str">
        <f aca="false">IF($A99="","",应收跟进!$F99)</f>
        <v/>
      </c>
      <c r="E99" s="54" t="str">
        <f aca="false">IF($A99="","",应收跟进!$L99)</f>
        <v/>
      </c>
      <c r="F99" s="42" t="str">
        <f aca="false">IF($A99="","",应收跟进!$N99)</f>
        <v/>
      </c>
      <c r="H99" s="35" t="str">
        <f aca="false">IF(应付跟进!$A99="","",应付跟进!$A99)</f>
        <v/>
      </c>
      <c r="I99" s="54" t="str">
        <f aca="false">IF($H99="","",应付跟进!$D99)</f>
        <v/>
      </c>
      <c r="J99" s="54" t="str">
        <f aca="false">IF($H99="","",应付跟进!$E99)</f>
        <v/>
      </c>
      <c r="K99" s="54" t="str">
        <f aca="false">IF($H99="","",应付跟进!$F99)</f>
        <v/>
      </c>
      <c r="L99" s="54" t="str">
        <f aca="false">IF($H99="","",应付跟进!$L99)</f>
        <v/>
      </c>
      <c r="M99" s="42" t="str">
        <f aca="false">IF($H99="","",应付跟进!$N99)</f>
        <v/>
      </c>
    </row>
    <row r="100" customFormat="false" ht="15.75" hidden="false" customHeight="true" outlineLevel="0" collapsed="false">
      <c r="A100" s="35" t="str">
        <f aca="false">IF(应收跟进!$A100="","",应收跟进!$A100)</f>
        <v/>
      </c>
      <c r="B100" s="54" t="str">
        <f aca="false">IF($A100="","",应收跟进!$D100)</f>
        <v/>
      </c>
      <c r="C100" s="54" t="str">
        <f aca="false">IF($A100="","",应收跟进!$E100)</f>
        <v/>
      </c>
      <c r="D100" s="54" t="str">
        <f aca="false">IF($A100="","",应收跟进!$F100)</f>
        <v/>
      </c>
      <c r="E100" s="54" t="str">
        <f aca="false">IF($A100="","",应收跟进!$L100)</f>
        <v/>
      </c>
      <c r="F100" s="42" t="str">
        <f aca="false">IF($A100="","",应收跟进!$N100)</f>
        <v/>
      </c>
      <c r="H100" s="35" t="str">
        <f aca="false">IF(应付跟进!$A100="","",应付跟进!$A100)</f>
        <v/>
      </c>
      <c r="I100" s="54" t="str">
        <f aca="false">IF($H100="","",应付跟进!$D100)</f>
        <v/>
      </c>
      <c r="J100" s="54" t="str">
        <f aca="false">IF($H100="","",应付跟进!$E100)</f>
        <v/>
      </c>
      <c r="K100" s="54" t="str">
        <f aca="false">IF($H100="","",应付跟进!$F100)</f>
        <v/>
      </c>
      <c r="L100" s="54" t="str">
        <f aca="false">IF($H100="","",应付跟进!$L100)</f>
        <v/>
      </c>
      <c r="M100" s="42" t="str">
        <f aca="false">IF($H100="","",应付跟进!$N100)</f>
        <v/>
      </c>
    </row>
    <row r="101" customFormat="false" ht="15.75" hidden="false" customHeight="true" outlineLevel="0" collapsed="false">
      <c r="A101" s="35" t="str">
        <f aca="false">IF(应收跟进!$A101="","",应收跟进!$A101)</f>
        <v/>
      </c>
      <c r="B101" s="54" t="str">
        <f aca="false">IF($A101="","",应收跟进!$D101)</f>
        <v/>
      </c>
      <c r="C101" s="54" t="str">
        <f aca="false">IF($A101="","",应收跟进!$E101)</f>
        <v/>
      </c>
      <c r="D101" s="54" t="str">
        <f aca="false">IF($A101="","",应收跟进!$F101)</f>
        <v/>
      </c>
      <c r="E101" s="54" t="str">
        <f aca="false">IF($A101="","",应收跟进!$L101)</f>
        <v/>
      </c>
      <c r="F101" s="42" t="str">
        <f aca="false">IF($A101="","",应收跟进!$N101)</f>
        <v/>
      </c>
      <c r="H101" s="35" t="str">
        <f aca="false">IF(应付跟进!$A101="","",应付跟进!$A101)</f>
        <v/>
      </c>
      <c r="I101" s="54" t="str">
        <f aca="false">IF($H101="","",应付跟进!$D101)</f>
        <v/>
      </c>
      <c r="J101" s="54" t="str">
        <f aca="false">IF($H101="","",应付跟进!$E101)</f>
        <v/>
      </c>
      <c r="K101" s="54" t="str">
        <f aca="false">IF($H101="","",应付跟进!$F101)</f>
        <v/>
      </c>
      <c r="L101" s="54" t="str">
        <f aca="false">IF($H101="","",应付跟进!$L101)</f>
        <v/>
      </c>
      <c r="M101" s="42" t="str">
        <f aca="false">IF($H101="","",应付跟进!$N101)</f>
        <v/>
      </c>
    </row>
    <row r="102" customFormat="false" ht="15.75" hidden="false" customHeight="true" outlineLevel="0" collapsed="false">
      <c r="A102" s="35" t="str">
        <f aca="false">IF(应收跟进!$A102="","",应收跟进!$A102)</f>
        <v/>
      </c>
      <c r="B102" s="54" t="str">
        <f aca="false">IF($A102="","",应收跟进!$D102)</f>
        <v/>
      </c>
      <c r="C102" s="54" t="str">
        <f aca="false">IF($A102="","",应收跟进!$E102)</f>
        <v/>
      </c>
      <c r="D102" s="54" t="str">
        <f aca="false">IF($A102="","",应收跟进!$F102)</f>
        <v/>
      </c>
      <c r="E102" s="54" t="str">
        <f aca="false">IF($A102="","",应收跟进!$L102)</f>
        <v/>
      </c>
      <c r="F102" s="42" t="str">
        <f aca="false">IF($A102="","",应收跟进!$N102)</f>
        <v/>
      </c>
      <c r="H102" s="35" t="str">
        <f aca="false">IF(应付跟进!$A102="","",应付跟进!$A102)</f>
        <v/>
      </c>
      <c r="I102" s="54" t="str">
        <f aca="false">IF($H102="","",应付跟进!$D102)</f>
        <v/>
      </c>
      <c r="J102" s="54" t="str">
        <f aca="false">IF($H102="","",应付跟进!$E102)</f>
        <v/>
      </c>
      <c r="K102" s="54" t="str">
        <f aca="false">IF($H102="","",应付跟进!$F102)</f>
        <v/>
      </c>
      <c r="L102" s="54" t="str">
        <f aca="false">IF($H102="","",应付跟进!$L102)</f>
        <v/>
      </c>
      <c r="M102" s="42" t="str">
        <f aca="false">IF($H102="","",应付跟进!$N102)</f>
        <v/>
      </c>
    </row>
    <row r="103" customFormat="false" ht="15.75" hidden="false" customHeight="true" outlineLevel="0" collapsed="false">
      <c r="A103" s="35" t="str">
        <f aca="false">IF(应收跟进!$A103="","",应收跟进!$A103)</f>
        <v/>
      </c>
      <c r="B103" s="54" t="str">
        <f aca="false">IF($A103="","",应收跟进!$D103)</f>
        <v/>
      </c>
      <c r="C103" s="54" t="str">
        <f aca="false">IF($A103="","",应收跟进!$E103)</f>
        <v/>
      </c>
      <c r="D103" s="54" t="str">
        <f aca="false">IF($A103="","",应收跟进!$F103)</f>
        <v/>
      </c>
      <c r="E103" s="54" t="str">
        <f aca="false">IF($A103="","",应收跟进!$L103)</f>
        <v/>
      </c>
      <c r="F103" s="42" t="str">
        <f aca="false">IF($A103="","",应收跟进!$N103)</f>
        <v/>
      </c>
      <c r="H103" s="35" t="str">
        <f aca="false">IF(应付跟进!$A103="","",应付跟进!$A103)</f>
        <v/>
      </c>
      <c r="I103" s="54" t="str">
        <f aca="false">IF($H103="","",应付跟进!$D103)</f>
        <v/>
      </c>
      <c r="J103" s="54" t="str">
        <f aca="false">IF($H103="","",应付跟进!$E103)</f>
        <v/>
      </c>
      <c r="K103" s="54" t="str">
        <f aca="false">IF($H103="","",应付跟进!$F103)</f>
        <v/>
      </c>
      <c r="L103" s="54" t="str">
        <f aca="false">IF($H103="","",应付跟进!$L103)</f>
        <v/>
      </c>
      <c r="M103" s="42" t="str">
        <f aca="false">IF($H103="","",应付跟进!$N103)</f>
        <v/>
      </c>
    </row>
    <row r="104" customFormat="false" ht="15.75" hidden="false" customHeight="true" outlineLevel="0" collapsed="false">
      <c r="A104" s="35" t="str">
        <f aca="false">IF(应收跟进!$A104="","",应收跟进!$A104)</f>
        <v/>
      </c>
      <c r="B104" s="54" t="str">
        <f aca="false">IF($A104="","",应收跟进!$D104)</f>
        <v/>
      </c>
      <c r="C104" s="54" t="str">
        <f aca="false">IF($A104="","",应收跟进!$E104)</f>
        <v/>
      </c>
      <c r="D104" s="54" t="str">
        <f aca="false">IF($A104="","",应收跟进!$F104)</f>
        <v/>
      </c>
      <c r="E104" s="54" t="str">
        <f aca="false">IF($A104="","",应收跟进!$L104)</f>
        <v/>
      </c>
      <c r="F104" s="42" t="str">
        <f aca="false">IF($A104="","",应收跟进!$N104)</f>
        <v/>
      </c>
      <c r="H104" s="35" t="str">
        <f aca="false">IF(应付跟进!$A104="","",应付跟进!$A104)</f>
        <v/>
      </c>
      <c r="I104" s="54" t="str">
        <f aca="false">IF($H104="","",应付跟进!$D104)</f>
        <v/>
      </c>
      <c r="J104" s="54" t="str">
        <f aca="false">IF($H104="","",应付跟进!$E104)</f>
        <v/>
      </c>
      <c r="K104" s="54" t="str">
        <f aca="false">IF($H104="","",应付跟进!$F104)</f>
        <v/>
      </c>
      <c r="L104" s="54" t="str">
        <f aca="false">IF($H104="","",应付跟进!$L104)</f>
        <v/>
      </c>
      <c r="M104" s="42" t="str">
        <f aca="false">IF($H104="","",应付跟进!$N104)</f>
        <v/>
      </c>
    </row>
    <row r="105" customFormat="false" ht="15.75" hidden="false" customHeight="true" outlineLevel="0" collapsed="false">
      <c r="A105" s="35" t="str">
        <f aca="false">IF(应收跟进!$A105="","",应收跟进!$A105)</f>
        <v/>
      </c>
      <c r="B105" s="54" t="str">
        <f aca="false">IF($A105="","",应收跟进!$D105)</f>
        <v/>
      </c>
      <c r="C105" s="54" t="str">
        <f aca="false">IF($A105="","",应收跟进!$E105)</f>
        <v/>
      </c>
      <c r="D105" s="54" t="str">
        <f aca="false">IF($A105="","",应收跟进!$F105)</f>
        <v/>
      </c>
      <c r="E105" s="54" t="str">
        <f aca="false">IF($A105="","",应收跟进!$L105)</f>
        <v/>
      </c>
      <c r="F105" s="42" t="str">
        <f aca="false">IF($A105="","",应收跟进!$N105)</f>
        <v/>
      </c>
      <c r="H105" s="35" t="str">
        <f aca="false">IF(应付跟进!$A105="","",应付跟进!$A105)</f>
        <v/>
      </c>
      <c r="I105" s="54" t="str">
        <f aca="false">IF($H105="","",应付跟进!$D105)</f>
        <v/>
      </c>
      <c r="J105" s="54" t="str">
        <f aca="false">IF($H105="","",应付跟进!$E105)</f>
        <v/>
      </c>
      <c r="K105" s="54" t="str">
        <f aca="false">IF($H105="","",应付跟进!$F105)</f>
        <v/>
      </c>
      <c r="L105" s="54" t="str">
        <f aca="false">IF($H105="","",应付跟进!$L105)</f>
        <v/>
      </c>
      <c r="M105" s="42" t="str">
        <f aca="false">IF($H105="","",应付跟进!$N105)</f>
        <v/>
      </c>
    </row>
    <row r="106" customFormat="false" ht="15.75" hidden="false" customHeight="true" outlineLevel="0" collapsed="false">
      <c r="A106" s="35" t="str">
        <f aca="false">IF(应收跟进!$A106="","",应收跟进!$A106)</f>
        <v/>
      </c>
      <c r="B106" s="54" t="str">
        <f aca="false">IF($A106="","",应收跟进!$D106)</f>
        <v/>
      </c>
      <c r="C106" s="54" t="str">
        <f aca="false">IF($A106="","",应收跟进!$E106)</f>
        <v/>
      </c>
      <c r="D106" s="54" t="str">
        <f aca="false">IF($A106="","",应收跟进!$F106)</f>
        <v/>
      </c>
      <c r="E106" s="54" t="str">
        <f aca="false">IF($A106="","",应收跟进!$L106)</f>
        <v/>
      </c>
      <c r="F106" s="42" t="str">
        <f aca="false">IF($A106="","",应收跟进!$N106)</f>
        <v/>
      </c>
      <c r="H106" s="35" t="str">
        <f aca="false">IF(应付跟进!$A106="","",应付跟进!$A106)</f>
        <v/>
      </c>
      <c r="I106" s="54" t="str">
        <f aca="false">IF($H106="","",应付跟进!$D106)</f>
        <v/>
      </c>
      <c r="J106" s="54" t="str">
        <f aca="false">IF($H106="","",应付跟进!$E106)</f>
        <v/>
      </c>
      <c r="K106" s="54" t="str">
        <f aca="false">IF($H106="","",应付跟进!$F106)</f>
        <v/>
      </c>
      <c r="L106" s="54" t="str">
        <f aca="false">IF($H106="","",应付跟进!$L106)</f>
        <v/>
      </c>
      <c r="M106" s="42" t="str">
        <f aca="false">IF($H106="","",应付跟进!$N106)</f>
        <v/>
      </c>
    </row>
    <row r="107" customFormat="false" ht="15.75" hidden="false" customHeight="true" outlineLevel="0" collapsed="false">
      <c r="A107" s="35" t="str">
        <f aca="false">IF(应收跟进!$A107="","",应收跟进!$A107)</f>
        <v/>
      </c>
      <c r="B107" s="54" t="str">
        <f aca="false">IF($A107="","",应收跟进!$D107)</f>
        <v/>
      </c>
      <c r="C107" s="54" t="str">
        <f aca="false">IF($A107="","",应收跟进!$E107)</f>
        <v/>
      </c>
      <c r="D107" s="54" t="str">
        <f aca="false">IF($A107="","",应收跟进!$F107)</f>
        <v/>
      </c>
      <c r="E107" s="54" t="str">
        <f aca="false">IF($A107="","",应收跟进!$L107)</f>
        <v/>
      </c>
      <c r="F107" s="42" t="str">
        <f aca="false">IF($A107="","",应收跟进!$N107)</f>
        <v/>
      </c>
      <c r="H107" s="35" t="str">
        <f aca="false">IF(应付跟进!$A107="","",应付跟进!$A107)</f>
        <v/>
      </c>
      <c r="I107" s="54" t="str">
        <f aca="false">IF($H107="","",应付跟进!$D107)</f>
        <v/>
      </c>
      <c r="J107" s="54" t="str">
        <f aca="false">IF($H107="","",应付跟进!$E107)</f>
        <v/>
      </c>
      <c r="K107" s="54" t="str">
        <f aca="false">IF($H107="","",应付跟进!$F107)</f>
        <v/>
      </c>
      <c r="L107" s="54" t="str">
        <f aca="false">IF($H107="","",应付跟进!$L107)</f>
        <v/>
      </c>
      <c r="M107" s="42" t="str">
        <f aca="false">IF($H107="","",应付跟进!$N107)</f>
        <v/>
      </c>
    </row>
    <row r="108" customFormat="false" ht="15.75" hidden="false" customHeight="true" outlineLevel="0" collapsed="false">
      <c r="A108" s="35" t="str">
        <f aca="false">IF(应收跟进!$A108="","",应收跟进!$A108)</f>
        <v/>
      </c>
      <c r="B108" s="54" t="str">
        <f aca="false">IF($A108="","",应收跟进!$D108)</f>
        <v/>
      </c>
      <c r="C108" s="54" t="str">
        <f aca="false">IF($A108="","",应收跟进!$E108)</f>
        <v/>
      </c>
      <c r="D108" s="54" t="str">
        <f aca="false">IF($A108="","",应收跟进!$F108)</f>
        <v/>
      </c>
      <c r="E108" s="54" t="str">
        <f aca="false">IF($A108="","",应收跟进!$L108)</f>
        <v/>
      </c>
      <c r="F108" s="42" t="str">
        <f aca="false">IF($A108="","",应收跟进!$N108)</f>
        <v/>
      </c>
      <c r="H108" s="35" t="str">
        <f aca="false">IF(应付跟进!$A108="","",应付跟进!$A108)</f>
        <v/>
      </c>
      <c r="I108" s="54" t="str">
        <f aca="false">IF($H108="","",应付跟进!$D108)</f>
        <v/>
      </c>
      <c r="J108" s="54" t="str">
        <f aca="false">IF($H108="","",应付跟进!$E108)</f>
        <v/>
      </c>
      <c r="K108" s="54" t="str">
        <f aca="false">IF($H108="","",应付跟进!$F108)</f>
        <v/>
      </c>
      <c r="L108" s="54" t="str">
        <f aca="false">IF($H108="","",应付跟进!$L108)</f>
        <v/>
      </c>
      <c r="M108" s="42" t="str">
        <f aca="false">IF($H108="","",应付跟进!$N108)</f>
        <v/>
      </c>
    </row>
    <row r="109" customFormat="false" ht="15.75" hidden="false" customHeight="true" outlineLevel="0" collapsed="false">
      <c r="A109" s="35" t="str">
        <f aca="false">IF(应收跟进!$A109="","",应收跟进!$A109)</f>
        <v/>
      </c>
      <c r="B109" s="54" t="str">
        <f aca="false">IF($A109="","",应收跟进!$D109)</f>
        <v/>
      </c>
      <c r="C109" s="54" t="str">
        <f aca="false">IF($A109="","",应收跟进!$E109)</f>
        <v/>
      </c>
      <c r="D109" s="54" t="str">
        <f aca="false">IF($A109="","",应收跟进!$F109)</f>
        <v/>
      </c>
      <c r="E109" s="54" t="str">
        <f aca="false">IF($A109="","",应收跟进!$L109)</f>
        <v/>
      </c>
      <c r="F109" s="42" t="str">
        <f aca="false">IF($A109="","",应收跟进!$N109)</f>
        <v/>
      </c>
      <c r="H109" s="35" t="str">
        <f aca="false">IF(应付跟进!$A109="","",应付跟进!$A109)</f>
        <v/>
      </c>
      <c r="I109" s="54" t="str">
        <f aca="false">IF($H109="","",应付跟进!$D109)</f>
        <v/>
      </c>
      <c r="J109" s="54" t="str">
        <f aca="false">IF($H109="","",应付跟进!$E109)</f>
        <v/>
      </c>
      <c r="K109" s="54" t="str">
        <f aca="false">IF($H109="","",应付跟进!$F109)</f>
        <v/>
      </c>
      <c r="L109" s="54" t="str">
        <f aca="false">IF($H109="","",应付跟进!$L109)</f>
        <v/>
      </c>
      <c r="M109" s="42" t="str">
        <f aca="false">IF($H109="","",应付跟进!$N109)</f>
        <v/>
      </c>
    </row>
    <row r="110" customFormat="false" ht="15.75" hidden="false" customHeight="true" outlineLevel="0" collapsed="false">
      <c r="A110" s="35" t="str">
        <f aca="false">IF(应收跟进!$A110="","",应收跟进!$A110)</f>
        <v/>
      </c>
      <c r="B110" s="54" t="str">
        <f aca="false">IF($A110="","",应收跟进!$D110)</f>
        <v/>
      </c>
      <c r="C110" s="54" t="str">
        <f aca="false">IF($A110="","",应收跟进!$E110)</f>
        <v/>
      </c>
      <c r="D110" s="54" t="str">
        <f aca="false">IF($A110="","",应收跟进!$F110)</f>
        <v/>
      </c>
      <c r="E110" s="54" t="str">
        <f aca="false">IF($A110="","",应收跟进!$L110)</f>
        <v/>
      </c>
      <c r="F110" s="42" t="str">
        <f aca="false">IF($A110="","",应收跟进!$N110)</f>
        <v/>
      </c>
      <c r="H110" s="35" t="str">
        <f aca="false">IF(应付跟进!$A110="","",应付跟进!$A110)</f>
        <v/>
      </c>
      <c r="I110" s="54" t="str">
        <f aca="false">IF($H110="","",应付跟进!$D110)</f>
        <v/>
      </c>
      <c r="J110" s="54" t="str">
        <f aca="false">IF($H110="","",应付跟进!$E110)</f>
        <v/>
      </c>
      <c r="K110" s="54" t="str">
        <f aca="false">IF($H110="","",应付跟进!$F110)</f>
        <v/>
      </c>
      <c r="L110" s="54" t="str">
        <f aca="false">IF($H110="","",应付跟进!$L110)</f>
        <v/>
      </c>
      <c r="M110" s="42" t="str">
        <f aca="false">IF($H110="","",应付跟进!$N110)</f>
        <v/>
      </c>
    </row>
    <row r="111" customFormat="false" ht="15.75" hidden="false" customHeight="true" outlineLevel="0" collapsed="false">
      <c r="A111" s="35" t="str">
        <f aca="false">IF(应收跟进!$A111="","",应收跟进!$A111)</f>
        <v/>
      </c>
      <c r="B111" s="54" t="str">
        <f aca="false">IF($A111="","",应收跟进!$D111)</f>
        <v/>
      </c>
      <c r="C111" s="54" t="str">
        <f aca="false">IF($A111="","",应收跟进!$E111)</f>
        <v/>
      </c>
      <c r="D111" s="54" t="str">
        <f aca="false">IF($A111="","",应收跟进!$F111)</f>
        <v/>
      </c>
      <c r="E111" s="54" t="str">
        <f aca="false">IF($A111="","",应收跟进!$L111)</f>
        <v/>
      </c>
      <c r="F111" s="42" t="str">
        <f aca="false">IF($A111="","",应收跟进!$N111)</f>
        <v/>
      </c>
      <c r="H111" s="35" t="str">
        <f aca="false">IF(应付跟进!$A111="","",应付跟进!$A111)</f>
        <v/>
      </c>
      <c r="I111" s="54" t="str">
        <f aca="false">IF($H111="","",应付跟进!$D111)</f>
        <v/>
      </c>
      <c r="J111" s="54" t="str">
        <f aca="false">IF($H111="","",应付跟进!$E111)</f>
        <v/>
      </c>
      <c r="K111" s="54" t="str">
        <f aca="false">IF($H111="","",应付跟进!$F111)</f>
        <v/>
      </c>
      <c r="L111" s="54" t="str">
        <f aca="false">IF($H111="","",应付跟进!$L111)</f>
        <v/>
      </c>
      <c r="M111" s="42" t="str">
        <f aca="false">IF($H111="","",应付跟进!$N111)</f>
        <v/>
      </c>
    </row>
    <row r="112" customFormat="false" ht="15.75" hidden="false" customHeight="true" outlineLevel="0" collapsed="false">
      <c r="A112" s="35" t="str">
        <f aca="false">IF(应收跟进!$A112="","",应收跟进!$A112)</f>
        <v/>
      </c>
      <c r="B112" s="54" t="str">
        <f aca="false">IF($A112="","",应收跟进!$D112)</f>
        <v/>
      </c>
      <c r="C112" s="54" t="str">
        <f aca="false">IF($A112="","",应收跟进!$E112)</f>
        <v/>
      </c>
      <c r="D112" s="54" t="str">
        <f aca="false">IF($A112="","",应收跟进!$F112)</f>
        <v/>
      </c>
      <c r="E112" s="54" t="str">
        <f aca="false">IF($A112="","",应收跟进!$L112)</f>
        <v/>
      </c>
      <c r="F112" s="42" t="str">
        <f aca="false">IF($A112="","",应收跟进!$N112)</f>
        <v/>
      </c>
      <c r="H112" s="35" t="str">
        <f aca="false">IF(应付跟进!$A112="","",应付跟进!$A112)</f>
        <v/>
      </c>
      <c r="I112" s="54" t="str">
        <f aca="false">IF($H112="","",应付跟进!$D112)</f>
        <v/>
      </c>
      <c r="J112" s="54" t="str">
        <f aca="false">IF($H112="","",应付跟进!$E112)</f>
        <v/>
      </c>
      <c r="K112" s="54" t="str">
        <f aca="false">IF($H112="","",应付跟进!$F112)</f>
        <v/>
      </c>
      <c r="L112" s="54" t="str">
        <f aca="false">IF($H112="","",应付跟进!$L112)</f>
        <v/>
      </c>
      <c r="M112" s="42" t="str">
        <f aca="false">IF($H112="","",应付跟进!$N112)</f>
        <v/>
      </c>
    </row>
    <row r="113" customFormat="false" ht="15.75" hidden="false" customHeight="true" outlineLevel="0" collapsed="false">
      <c r="A113" s="35" t="str">
        <f aca="false">IF(应收跟进!$A113="","",应收跟进!$A113)</f>
        <v/>
      </c>
      <c r="B113" s="54" t="str">
        <f aca="false">IF($A113="","",应收跟进!$D113)</f>
        <v/>
      </c>
      <c r="C113" s="54" t="str">
        <f aca="false">IF($A113="","",应收跟进!$E113)</f>
        <v/>
      </c>
      <c r="D113" s="54" t="str">
        <f aca="false">IF($A113="","",应收跟进!$F113)</f>
        <v/>
      </c>
      <c r="E113" s="54" t="str">
        <f aca="false">IF($A113="","",应收跟进!$L113)</f>
        <v/>
      </c>
      <c r="F113" s="42" t="str">
        <f aca="false">IF($A113="","",应收跟进!$N113)</f>
        <v/>
      </c>
      <c r="H113" s="35" t="str">
        <f aca="false">IF(应付跟进!$A113="","",应付跟进!$A113)</f>
        <v/>
      </c>
      <c r="I113" s="54" t="str">
        <f aca="false">IF($H113="","",应付跟进!$D113)</f>
        <v/>
      </c>
      <c r="J113" s="54" t="str">
        <f aca="false">IF($H113="","",应付跟进!$E113)</f>
        <v/>
      </c>
      <c r="K113" s="54" t="str">
        <f aca="false">IF($H113="","",应付跟进!$F113)</f>
        <v/>
      </c>
      <c r="L113" s="54" t="str">
        <f aca="false">IF($H113="","",应付跟进!$L113)</f>
        <v/>
      </c>
      <c r="M113" s="42" t="str">
        <f aca="false">IF($H113="","",应付跟进!$N113)</f>
        <v/>
      </c>
    </row>
    <row r="114" customFormat="false" ht="15.75" hidden="false" customHeight="true" outlineLevel="0" collapsed="false">
      <c r="A114" s="35" t="str">
        <f aca="false">IF(应收跟进!$A114="","",应收跟进!$A114)</f>
        <v/>
      </c>
      <c r="B114" s="54" t="str">
        <f aca="false">IF($A114="","",应收跟进!$D114)</f>
        <v/>
      </c>
      <c r="C114" s="54" t="str">
        <f aca="false">IF($A114="","",应收跟进!$E114)</f>
        <v/>
      </c>
      <c r="D114" s="54" t="str">
        <f aca="false">IF($A114="","",应收跟进!$F114)</f>
        <v/>
      </c>
      <c r="E114" s="54" t="str">
        <f aca="false">IF($A114="","",应收跟进!$L114)</f>
        <v/>
      </c>
      <c r="F114" s="42" t="str">
        <f aca="false">IF($A114="","",应收跟进!$N114)</f>
        <v/>
      </c>
      <c r="H114" s="35" t="str">
        <f aca="false">IF(应付跟进!$A114="","",应付跟进!$A114)</f>
        <v/>
      </c>
      <c r="I114" s="54" t="str">
        <f aca="false">IF($H114="","",应付跟进!$D114)</f>
        <v/>
      </c>
      <c r="J114" s="54" t="str">
        <f aca="false">IF($H114="","",应付跟进!$E114)</f>
        <v/>
      </c>
      <c r="K114" s="54" t="str">
        <f aca="false">IF($H114="","",应付跟进!$F114)</f>
        <v/>
      </c>
      <c r="L114" s="54" t="str">
        <f aca="false">IF($H114="","",应付跟进!$L114)</f>
        <v/>
      </c>
      <c r="M114" s="42" t="str">
        <f aca="false">IF($H114="","",应付跟进!$N114)</f>
        <v/>
      </c>
    </row>
    <row r="115" customFormat="false" ht="15.75" hidden="false" customHeight="true" outlineLevel="0" collapsed="false">
      <c r="A115" s="35" t="str">
        <f aca="false">IF(应收跟进!$A115="","",应收跟进!$A115)</f>
        <v/>
      </c>
      <c r="B115" s="54" t="str">
        <f aca="false">IF($A115="","",应收跟进!$D115)</f>
        <v/>
      </c>
      <c r="C115" s="54" t="str">
        <f aca="false">IF($A115="","",应收跟进!$E115)</f>
        <v/>
      </c>
      <c r="D115" s="54" t="str">
        <f aca="false">IF($A115="","",应收跟进!$F115)</f>
        <v/>
      </c>
      <c r="E115" s="54" t="str">
        <f aca="false">IF($A115="","",应收跟进!$L115)</f>
        <v/>
      </c>
      <c r="F115" s="42" t="str">
        <f aca="false">IF($A115="","",应收跟进!$N115)</f>
        <v/>
      </c>
      <c r="H115" s="35" t="str">
        <f aca="false">IF(应付跟进!$A115="","",应付跟进!$A115)</f>
        <v/>
      </c>
      <c r="I115" s="54" t="str">
        <f aca="false">IF($H115="","",应付跟进!$D115)</f>
        <v/>
      </c>
      <c r="J115" s="54" t="str">
        <f aca="false">IF($H115="","",应付跟进!$E115)</f>
        <v/>
      </c>
      <c r="K115" s="54" t="str">
        <f aca="false">IF($H115="","",应付跟进!$F115)</f>
        <v/>
      </c>
      <c r="L115" s="54" t="str">
        <f aca="false">IF($H115="","",应付跟进!$L115)</f>
        <v/>
      </c>
      <c r="M115" s="42" t="str">
        <f aca="false">IF($H115="","",应付跟进!$N115)</f>
        <v/>
      </c>
    </row>
    <row r="116" customFormat="false" ht="15.75" hidden="false" customHeight="true" outlineLevel="0" collapsed="false">
      <c r="A116" s="35" t="str">
        <f aca="false">IF(应收跟进!$A116="","",应收跟进!$A116)</f>
        <v/>
      </c>
      <c r="B116" s="54" t="str">
        <f aca="false">IF($A116="","",应收跟进!$D116)</f>
        <v/>
      </c>
      <c r="C116" s="54" t="str">
        <f aca="false">IF($A116="","",应收跟进!$E116)</f>
        <v/>
      </c>
      <c r="D116" s="54" t="str">
        <f aca="false">IF($A116="","",应收跟进!$F116)</f>
        <v/>
      </c>
      <c r="E116" s="54" t="str">
        <f aca="false">IF($A116="","",应收跟进!$L116)</f>
        <v/>
      </c>
      <c r="F116" s="42" t="str">
        <f aca="false">IF($A116="","",应收跟进!$N116)</f>
        <v/>
      </c>
      <c r="H116" s="35" t="str">
        <f aca="false">IF(应付跟进!$A116="","",应付跟进!$A116)</f>
        <v/>
      </c>
      <c r="I116" s="54" t="str">
        <f aca="false">IF($H116="","",应付跟进!$D116)</f>
        <v/>
      </c>
      <c r="J116" s="54" t="str">
        <f aca="false">IF($H116="","",应付跟进!$E116)</f>
        <v/>
      </c>
      <c r="K116" s="54" t="str">
        <f aca="false">IF($H116="","",应付跟进!$F116)</f>
        <v/>
      </c>
      <c r="L116" s="54" t="str">
        <f aca="false">IF($H116="","",应付跟进!$L116)</f>
        <v/>
      </c>
      <c r="M116" s="42" t="str">
        <f aca="false">IF($H116="","",应付跟进!$N116)</f>
        <v/>
      </c>
    </row>
    <row r="117" customFormat="false" ht="15.75" hidden="false" customHeight="true" outlineLevel="0" collapsed="false">
      <c r="A117" s="35" t="str">
        <f aca="false">IF(应收跟进!$A117="","",应收跟进!$A117)</f>
        <v/>
      </c>
      <c r="B117" s="54" t="str">
        <f aca="false">IF($A117="","",应收跟进!$D117)</f>
        <v/>
      </c>
      <c r="C117" s="54" t="str">
        <f aca="false">IF($A117="","",应收跟进!$E117)</f>
        <v/>
      </c>
      <c r="D117" s="54" t="str">
        <f aca="false">IF($A117="","",应收跟进!$F117)</f>
        <v/>
      </c>
      <c r="E117" s="54" t="str">
        <f aca="false">IF($A117="","",应收跟进!$L117)</f>
        <v/>
      </c>
      <c r="F117" s="42" t="str">
        <f aca="false">IF($A117="","",应收跟进!$N117)</f>
        <v/>
      </c>
      <c r="H117" s="35" t="str">
        <f aca="false">IF(应付跟进!$A117="","",应付跟进!$A117)</f>
        <v/>
      </c>
      <c r="I117" s="54" t="str">
        <f aca="false">IF($H117="","",应付跟进!$D117)</f>
        <v/>
      </c>
      <c r="J117" s="54" t="str">
        <f aca="false">IF($H117="","",应付跟进!$E117)</f>
        <v/>
      </c>
      <c r="K117" s="54" t="str">
        <f aca="false">IF($H117="","",应付跟进!$F117)</f>
        <v/>
      </c>
      <c r="L117" s="54" t="str">
        <f aca="false">IF($H117="","",应付跟进!$L117)</f>
        <v/>
      </c>
      <c r="M117" s="42" t="str">
        <f aca="false">IF($H117="","",应付跟进!$N117)</f>
        <v/>
      </c>
    </row>
    <row r="118" customFormat="false" ht="15.75" hidden="false" customHeight="true" outlineLevel="0" collapsed="false">
      <c r="A118" s="35" t="str">
        <f aca="false">IF(应收跟进!$A118="","",应收跟进!$A118)</f>
        <v/>
      </c>
      <c r="B118" s="54" t="str">
        <f aca="false">IF($A118="","",应收跟进!$D118)</f>
        <v/>
      </c>
      <c r="C118" s="54" t="str">
        <f aca="false">IF($A118="","",应收跟进!$E118)</f>
        <v/>
      </c>
      <c r="D118" s="54" t="str">
        <f aca="false">IF($A118="","",应收跟进!$F118)</f>
        <v/>
      </c>
      <c r="E118" s="54" t="str">
        <f aca="false">IF($A118="","",应收跟进!$L118)</f>
        <v/>
      </c>
      <c r="F118" s="42" t="str">
        <f aca="false">IF($A118="","",应收跟进!$N118)</f>
        <v/>
      </c>
      <c r="H118" s="35" t="str">
        <f aca="false">IF(应付跟进!$A118="","",应付跟进!$A118)</f>
        <v/>
      </c>
      <c r="I118" s="54" t="str">
        <f aca="false">IF($H118="","",应付跟进!$D118)</f>
        <v/>
      </c>
      <c r="J118" s="54" t="str">
        <f aca="false">IF($H118="","",应付跟进!$E118)</f>
        <v/>
      </c>
      <c r="K118" s="54" t="str">
        <f aca="false">IF($H118="","",应付跟进!$F118)</f>
        <v/>
      </c>
      <c r="L118" s="54" t="str">
        <f aca="false">IF($H118="","",应付跟进!$L118)</f>
        <v/>
      </c>
      <c r="M118" s="42" t="str">
        <f aca="false">IF($H118="","",应付跟进!$N118)</f>
        <v/>
      </c>
    </row>
    <row r="119" customFormat="false" ht="15.75" hidden="false" customHeight="true" outlineLevel="0" collapsed="false">
      <c r="A119" s="35" t="str">
        <f aca="false">IF(应收跟进!$A119="","",应收跟进!$A119)</f>
        <v/>
      </c>
      <c r="B119" s="54" t="str">
        <f aca="false">IF($A119="","",应收跟进!$D119)</f>
        <v/>
      </c>
      <c r="C119" s="54" t="str">
        <f aca="false">IF($A119="","",应收跟进!$E119)</f>
        <v/>
      </c>
      <c r="D119" s="54" t="str">
        <f aca="false">IF($A119="","",应收跟进!$F119)</f>
        <v/>
      </c>
      <c r="E119" s="54" t="str">
        <f aca="false">IF($A119="","",应收跟进!$L119)</f>
        <v/>
      </c>
      <c r="F119" s="42" t="str">
        <f aca="false">IF($A119="","",应收跟进!$N119)</f>
        <v/>
      </c>
      <c r="H119" s="35" t="str">
        <f aca="false">IF(应付跟进!$A119="","",应付跟进!$A119)</f>
        <v/>
      </c>
      <c r="I119" s="54" t="str">
        <f aca="false">IF($H119="","",应付跟进!$D119)</f>
        <v/>
      </c>
      <c r="J119" s="54" t="str">
        <f aca="false">IF($H119="","",应付跟进!$E119)</f>
        <v/>
      </c>
      <c r="K119" s="54" t="str">
        <f aca="false">IF($H119="","",应付跟进!$F119)</f>
        <v/>
      </c>
      <c r="L119" s="54" t="str">
        <f aca="false">IF($H119="","",应付跟进!$L119)</f>
        <v/>
      </c>
      <c r="M119" s="42" t="str">
        <f aca="false">IF($H119="","",应付跟进!$N119)</f>
        <v/>
      </c>
    </row>
    <row r="120" customFormat="false" ht="15.75" hidden="false" customHeight="true" outlineLevel="0" collapsed="false">
      <c r="A120" s="35" t="str">
        <f aca="false">IF(应收跟进!$A120="","",应收跟进!$A120)</f>
        <v/>
      </c>
      <c r="B120" s="54" t="str">
        <f aca="false">IF($A120="","",应收跟进!$D120)</f>
        <v/>
      </c>
      <c r="C120" s="54" t="str">
        <f aca="false">IF($A120="","",应收跟进!$E120)</f>
        <v/>
      </c>
      <c r="D120" s="54" t="str">
        <f aca="false">IF($A120="","",应收跟进!$F120)</f>
        <v/>
      </c>
      <c r="E120" s="54" t="str">
        <f aca="false">IF($A120="","",应收跟进!$L120)</f>
        <v/>
      </c>
      <c r="F120" s="42" t="str">
        <f aca="false">IF($A120="","",应收跟进!$N120)</f>
        <v/>
      </c>
      <c r="H120" s="35" t="str">
        <f aca="false">IF(应付跟进!$A120="","",应付跟进!$A120)</f>
        <v/>
      </c>
      <c r="I120" s="54" t="str">
        <f aca="false">IF($H120="","",应付跟进!$D120)</f>
        <v/>
      </c>
      <c r="J120" s="54" t="str">
        <f aca="false">IF($H120="","",应付跟进!$E120)</f>
        <v/>
      </c>
      <c r="K120" s="54" t="str">
        <f aca="false">IF($H120="","",应付跟进!$F120)</f>
        <v/>
      </c>
      <c r="L120" s="54" t="str">
        <f aca="false">IF($H120="","",应付跟进!$L120)</f>
        <v/>
      </c>
      <c r="M120" s="42" t="str">
        <f aca="false">IF($H120="","",应付跟进!$N120)</f>
        <v/>
      </c>
    </row>
    <row r="121" customFormat="false" ht="15.75" hidden="false" customHeight="true" outlineLevel="0" collapsed="false">
      <c r="A121" s="35" t="str">
        <f aca="false">IF(应收跟进!$A121="","",应收跟进!$A121)</f>
        <v/>
      </c>
      <c r="B121" s="54" t="str">
        <f aca="false">IF($A121="","",应收跟进!$D121)</f>
        <v/>
      </c>
      <c r="C121" s="54" t="str">
        <f aca="false">IF($A121="","",应收跟进!$E121)</f>
        <v/>
      </c>
      <c r="D121" s="54" t="str">
        <f aca="false">IF($A121="","",应收跟进!$F121)</f>
        <v/>
      </c>
      <c r="E121" s="54" t="str">
        <f aca="false">IF($A121="","",应收跟进!$L121)</f>
        <v/>
      </c>
      <c r="F121" s="42" t="str">
        <f aca="false">IF($A121="","",应收跟进!$N121)</f>
        <v/>
      </c>
      <c r="H121" s="35" t="str">
        <f aca="false">IF(应付跟进!$A121="","",应付跟进!$A121)</f>
        <v/>
      </c>
      <c r="I121" s="54" t="str">
        <f aca="false">IF($H121="","",应付跟进!$D121)</f>
        <v/>
      </c>
      <c r="J121" s="54" t="str">
        <f aca="false">IF($H121="","",应付跟进!$E121)</f>
        <v/>
      </c>
      <c r="K121" s="54" t="str">
        <f aca="false">IF($H121="","",应付跟进!$F121)</f>
        <v/>
      </c>
      <c r="L121" s="54" t="str">
        <f aca="false">IF($H121="","",应付跟进!$L121)</f>
        <v/>
      </c>
      <c r="M121" s="42" t="str">
        <f aca="false">IF($H121="","",应付跟进!$N121)</f>
        <v/>
      </c>
    </row>
    <row r="122" customFormat="false" ht="15.75" hidden="false" customHeight="true" outlineLevel="0" collapsed="false">
      <c r="A122" s="35" t="str">
        <f aca="false">IF(应收跟进!$A122="","",应收跟进!$A122)</f>
        <v/>
      </c>
      <c r="B122" s="54" t="str">
        <f aca="false">IF($A122="","",应收跟进!$D122)</f>
        <v/>
      </c>
      <c r="C122" s="54" t="str">
        <f aca="false">IF($A122="","",应收跟进!$E122)</f>
        <v/>
      </c>
      <c r="D122" s="54" t="str">
        <f aca="false">IF($A122="","",应收跟进!$F122)</f>
        <v/>
      </c>
      <c r="E122" s="54" t="str">
        <f aca="false">IF($A122="","",应收跟进!$L122)</f>
        <v/>
      </c>
      <c r="F122" s="42" t="str">
        <f aca="false">IF($A122="","",应收跟进!$N122)</f>
        <v/>
      </c>
      <c r="H122" s="35" t="str">
        <f aca="false">IF(应付跟进!$A122="","",应付跟进!$A122)</f>
        <v/>
      </c>
      <c r="I122" s="54" t="str">
        <f aca="false">IF($H122="","",应付跟进!$D122)</f>
        <v/>
      </c>
      <c r="J122" s="54" t="str">
        <f aca="false">IF($H122="","",应付跟进!$E122)</f>
        <v/>
      </c>
      <c r="K122" s="54" t="str">
        <f aca="false">IF($H122="","",应付跟进!$F122)</f>
        <v/>
      </c>
      <c r="L122" s="54" t="str">
        <f aca="false">IF($H122="","",应付跟进!$L122)</f>
        <v/>
      </c>
      <c r="M122" s="42" t="str">
        <f aca="false">IF($H122="","",应付跟进!$N122)</f>
        <v/>
      </c>
    </row>
    <row r="123" customFormat="false" ht="15.75" hidden="false" customHeight="true" outlineLevel="0" collapsed="false">
      <c r="A123" s="35" t="str">
        <f aca="false">IF(应收跟进!$A123="","",应收跟进!$A123)</f>
        <v/>
      </c>
      <c r="B123" s="54" t="str">
        <f aca="false">IF($A123="","",应收跟进!$D123)</f>
        <v/>
      </c>
      <c r="C123" s="54" t="str">
        <f aca="false">IF($A123="","",应收跟进!$E123)</f>
        <v/>
      </c>
      <c r="D123" s="54" t="str">
        <f aca="false">IF($A123="","",应收跟进!$F123)</f>
        <v/>
      </c>
      <c r="E123" s="54" t="str">
        <f aca="false">IF($A123="","",应收跟进!$L123)</f>
        <v/>
      </c>
      <c r="F123" s="42" t="str">
        <f aca="false">IF($A123="","",应收跟进!$N123)</f>
        <v/>
      </c>
      <c r="H123" s="35" t="str">
        <f aca="false">IF(应付跟进!$A123="","",应付跟进!$A123)</f>
        <v/>
      </c>
      <c r="I123" s="54" t="str">
        <f aca="false">IF($H123="","",应付跟进!$D123)</f>
        <v/>
      </c>
      <c r="J123" s="54" t="str">
        <f aca="false">IF($H123="","",应付跟进!$E123)</f>
        <v/>
      </c>
      <c r="K123" s="54" t="str">
        <f aca="false">IF($H123="","",应付跟进!$F123)</f>
        <v/>
      </c>
      <c r="L123" s="54" t="str">
        <f aca="false">IF($H123="","",应付跟进!$L123)</f>
        <v/>
      </c>
      <c r="M123" s="42" t="str">
        <f aca="false">IF($H123="","",应付跟进!$N123)</f>
        <v/>
      </c>
    </row>
    <row r="124" customFormat="false" ht="15.75" hidden="false" customHeight="true" outlineLevel="0" collapsed="false">
      <c r="A124" s="35" t="str">
        <f aca="false">IF(应收跟进!$A124="","",应收跟进!$A124)</f>
        <v/>
      </c>
      <c r="B124" s="54" t="str">
        <f aca="false">IF($A124="","",应收跟进!$D124)</f>
        <v/>
      </c>
      <c r="C124" s="54" t="str">
        <f aca="false">IF($A124="","",应收跟进!$E124)</f>
        <v/>
      </c>
      <c r="D124" s="54" t="str">
        <f aca="false">IF($A124="","",应收跟进!$F124)</f>
        <v/>
      </c>
      <c r="E124" s="54" t="str">
        <f aca="false">IF($A124="","",应收跟进!$L124)</f>
        <v/>
      </c>
      <c r="F124" s="42" t="str">
        <f aca="false">IF($A124="","",应收跟进!$N124)</f>
        <v/>
      </c>
      <c r="H124" s="35" t="str">
        <f aca="false">IF(应付跟进!$A124="","",应付跟进!$A124)</f>
        <v/>
      </c>
      <c r="I124" s="54" t="str">
        <f aca="false">IF($H124="","",应付跟进!$D124)</f>
        <v/>
      </c>
      <c r="J124" s="54" t="str">
        <f aca="false">IF($H124="","",应付跟进!$E124)</f>
        <v/>
      </c>
      <c r="K124" s="54" t="str">
        <f aca="false">IF($H124="","",应付跟进!$F124)</f>
        <v/>
      </c>
      <c r="L124" s="54" t="str">
        <f aca="false">IF($H124="","",应付跟进!$L124)</f>
        <v/>
      </c>
      <c r="M124" s="42" t="str">
        <f aca="false">IF($H124="","",应付跟进!$N124)</f>
        <v/>
      </c>
    </row>
    <row r="125" customFormat="false" ht="15.75" hidden="false" customHeight="true" outlineLevel="0" collapsed="false">
      <c r="A125" s="35" t="str">
        <f aca="false">IF(应收跟进!$A125="","",应收跟进!$A125)</f>
        <v/>
      </c>
      <c r="B125" s="54" t="str">
        <f aca="false">IF($A125="","",应收跟进!$D125)</f>
        <v/>
      </c>
      <c r="C125" s="54" t="str">
        <f aca="false">IF($A125="","",应收跟进!$E125)</f>
        <v/>
      </c>
      <c r="D125" s="54" t="str">
        <f aca="false">IF($A125="","",应收跟进!$F125)</f>
        <v/>
      </c>
      <c r="E125" s="54" t="str">
        <f aca="false">IF($A125="","",应收跟进!$L125)</f>
        <v/>
      </c>
      <c r="F125" s="42" t="str">
        <f aca="false">IF($A125="","",应收跟进!$N125)</f>
        <v/>
      </c>
      <c r="H125" s="35" t="str">
        <f aca="false">IF(应付跟进!$A125="","",应付跟进!$A125)</f>
        <v/>
      </c>
      <c r="I125" s="54" t="str">
        <f aca="false">IF($H125="","",应付跟进!$D125)</f>
        <v/>
      </c>
      <c r="J125" s="54" t="str">
        <f aca="false">IF($H125="","",应付跟进!$E125)</f>
        <v/>
      </c>
      <c r="K125" s="54" t="str">
        <f aca="false">IF($H125="","",应付跟进!$F125)</f>
        <v/>
      </c>
      <c r="L125" s="54" t="str">
        <f aca="false">IF($H125="","",应付跟进!$L125)</f>
        <v/>
      </c>
      <c r="M125" s="42" t="str">
        <f aca="false">IF($H125="","",应付跟进!$N125)</f>
        <v/>
      </c>
    </row>
    <row r="126" customFormat="false" ht="15.75" hidden="false" customHeight="true" outlineLevel="0" collapsed="false">
      <c r="A126" s="35" t="str">
        <f aca="false">IF(应收跟进!$A126="","",应收跟进!$A126)</f>
        <v/>
      </c>
      <c r="B126" s="54" t="str">
        <f aca="false">IF($A126="","",应收跟进!$D126)</f>
        <v/>
      </c>
      <c r="C126" s="54" t="str">
        <f aca="false">IF($A126="","",应收跟进!$E126)</f>
        <v/>
      </c>
      <c r="D126" s="54" t="str">
        <f aca="false">IF($A126="","",应收跟进!$F126)</f>
        <v/>
      </c>
      <c r="E126" s="54" t="str">
        <f aca="false">IF($A126="","",应收跟进!$L126)</f>
        <v/>
      </c>
      <c r="F126" s="42" t="str">
        <f aca="false">IF($A126="","",应收跟进!$N126)</f>
        <v/>
      </c>
      <c r="H126" s="35" t="str">
        <f aca="false">IF(应付跟进!$A126="","",应付跟进!$A126)</f>
        <v/>
      </c>
      <c r="I126" s="54" t="str">
        <f aca="false">IF($H126="","",应付跟进!$D126)</f>
        <v/>
      </c>
      <c r="J126" s="54" t="str">
        <f aca="false">IF($H126="","",应付跟进!$E126)</f>
        <v/>
      </c>
      <c r="K126" s="54" t="str">
        <f aca="false">IF($H126="","",应付跟进!$F126)</f>
        <v/>
      </c>
      <c r="L126" s="54" t="str">
        <f aca="false">IF($H126="","",应付跟进!$L126)</f>
        <v/>
      </c>
      <c r="M126" s="42" t="str">
        <f aca="false">IF($H126="","",应付跟进!$N126)</f>
        <v/>
      </c>
    </row>
    <row r="127" customFormat="false" ht="15.75" hidden="false" customHeight="true" outlineLevel="0" collapsed="false">
      <c r="A127" s="35" t="str">
        <f aca="false">IF(应收跟进!$A127="","",应收跟进!$A127)</f>
        <v/>
      </c>
      <c r="B127" s="54" t="str">
        <f aca="false">IF($A127="","",应收跟进!$D127)</f>
        <v/>
      </c>
      <c r="C127" s="54" t="str">
        <f aca="false">IF($A127="","",应收跟进!$E127)</f>
        <v/>
      </c>
      <c r="D127" s="54" t="str">
        <f aca="false">IF($A127="","",应收跟进!$F127)</f>
        <v/>
      </c>
      <c r="E127" s="54" t="str">
        <f aca="false">IF($A127="","",应收跟进!$L127)</f>
        <v/>
      </c>
      <c r="F127" s="42" t="str">
        <f aca="false">IF($A127="","",应收跟进!$N127)</f>
        <v/>
      </c>
      <c r="H127" s="35" t="str">
        <f aca="false">IF(应付跟进!$A127="","",应付跟进!$A127)</f>
        <v/>
      </c>
      <c r="I127" s="54" t="str">
        <f aca="false">IF($H127="","",应付跟进!$D127)</f>
        <v/>
      </c>
      <c r="J127" s="54" t="str">
        <f aca="false">IF($H127="","",应付跟进!$E127)</f>
        <v/>
      </c>
      <c r="K127" s="54" t="str">
        <f aca="false">IF($H127="","",应付跟进!$F127)</f>
        <v/>
      </c>
      <c r="L127" s="54" t="str">
        <f aca="false">IF($H127="","",应付跟进!$L127)</f>
        <v/>
      </c>
      <c r="M127" s="42" t="str">
        <f aca="false">IF($H127="","",应付跟进!$N127)</f>
        <v/>
      </c>
    </row>
    <row r="128" customFormat="false" ht="15.75" hidden="false" customHeight="true" outlineLevel="0" collapsed="false">
      <c r="A128" s="35" t="str">
        <f aca="false">IF(应收跟进!$A128="","",应收跟进!$A128)</f>
        <v/>
      </c>
      <c r="B128" s="54" t="str">
        <f aca="false">IF($A128="","",应收跟进!$D128)</f>
        <v/>
      </c>
      <c r="C128" s="54" t="str">
        <f aca="false">IF($A128="","",应收跟进!$E128)</f>
        <v/>
      </c>
      <c r="D128" s="54" t="str">
        <f aca="false">IF($A128="","",应收跟进!$F128)</f>
        <v/>
      </c>
      <c r="E128" s="54" t="str">
        <f aca="false">IF($A128="","",应收跟进!$L128)</f>
        <v/>
      </c>
      <c r="F128" s="42" t="str">
        <f aca="false">IF($A128="","",应收跟进!$N128)</f>
        <v/>
      </c>
      <c r="H128" s="35" t="str">
        <f aca="false">IF(应付跟进!$A128="","",应付跟进!$A128)</f>
        <v/>
      </c>
      <c r="I128" s="54" t="str">
        <f aca="false">IF($H128="","",应付跟进!$D128)</f>
        <v/>
      </c>
      <c r="J128" s="54" t="str">
        <f aca="false">IF($H128="","",应付跟进!$E128)</f>
        <v/>
      </c>
      <c r="K128" s="54" t="str">
        <f aca="false">IF($H128="","",应付跟进!$F128)</f>
        <v/>
      </c>
      <c r="L128" s="54" t="str">
        <f aca="false">IF($H128="","",应付跟进!$L128)</f>
        <v/>
      </c>
      <c r="M128" s="42" t="str">
        <f aca="false">IF($H128="","",应付跟进!$N128)</f>
        <v/>
      </c>
    </row>
    <row r="129" customFormat="false" ht="15.75" hidden="false" customHeight="true" outlineLevel="0" collapsed="false">
      <c r="A129" s="35" t="str">
        <f aca="false">IF(应收跟进!$A129="","",应收跟进!$A129)</f>
        <v/>
      </c>
      <c r="B129" s="54" t="str">
        <f aca="false">IF($A129="","",应收跟进!$D129)</f>
        <v/>
      </c>
      <c r="C129" s="54" t="str">
        <f aca="false">IF($A129="","",应收跟进!$E129)</f>
        <v/>
      </c>
      <c r="D129" s="54" t="str">
        <f aca="false">IF($A129="","",应收跟进!$F129)</f>
        <v/>
      </c>
      <c r="E129" s="54" t="str">
        <f aca="false">IF($A129="","",应收跟进!$L129)</f>
        <v/>
      </c>
      <c r="F129" s="42" t="str">
        <f aca="false">IF($A129="","",应收跟进!$N129)</f>
        <v/>
      </c>
      <c r="H129" s="35" t="str">
        <f aca="false">IF(应付跟进!$A129="","",应付跟进!$A129)</f>
        <v/>
      </c>
      <c r="I129" s="54" t="str">
        <f aca="false">IF($H129="","",应付跟进!$D129)</f>
        <v/>
      </c>
      <c r="J129" s="54" t="str">
        <f aca="false">IF($H129="","",应付跟进!$E129)</f>
        <v/>
      </c>
      <c r="K129" s="54" t="str">
        <f aca="false">IF($H129="","",应付跟进!$F129)</f>
        <v/>
      </c>
      <c r="L129" s="54" t="str">
        <f aca="false">IF($H129="","",应付跟进!$L129)</f>
        <v/>
      </c>
      <c r="M129" s="42" t="str">
        <f aca="false">IF($H129="","",应付跟进!$N129)</f>
        <v/>
      </c>
    </row>
    <row r="130" customFormat="false" ht="15.75" hidden="false" customHeight="true" outlineLevel="0" collapsed="false">
      <c r="A130" s="35" t="str">
        <f aca="false">IF(应收跟进!$A130="","",应收跟进!$A130)</f>
        <v/>
      </c>
      <c r="B130" s="54" t="str">
        <f aca="false">IF($A130="","",应收跟进!$D130)</f>
        <v/>
      </c>
      <c r="C130" s="54" t="str">
        <f aca="false">IF($A130="","",应收跟进!$E130)</f>
        <v/>
      </c>
      <c r="D130" s="54" t="str">
        <f aca="false">IF($A130="","",应收跟进!$F130)</f>
        <v/>
      </c>
      <c r="E130" s="54" t="str">
        <f aca="false">IF($A130="","",应收跟进!$L130)</f>
        <v/>
      </c>
      <c r="F130" s="42" t="str">
        <f aca="false">IF($A130="","",应收跟进!$N130)</f>
        <v/>
      </c>
      <c r="H130" s="35" t="str">
        <f aca="false">IF(应付跟进!$A130="","",应付跟进!$A130)</f>
        <v/>
      </c>
      <c r="I130" s="54" t="str">
        <f aca="false">IF($H130="","",应付跟进!$D130)</f>
        <v/>
      </c>
      <c r="J130" s="54" t="str">
        <f aca="false">IF($H130="","",应付跟进!$E130)</f>
        <v/>
      </c>
      <c r="K130" s="54" t="str">
        <f aca="false">IF($H130="","",应付跟进!$F130)</f>
        <v/>
      </c>
      <c r="L130" s="54" t="str">
        <f aca="false">IF($H130="","",应付跟进!$L130)</f>
        <v/>
      </c>
      <c r="M130" s="42" t="str">
        <f aca="false">IF($H130="","",应付跟进!$N130)</f>
        <v/>
      </c>
    </row>
    <row r="131" customFormat="false" ht="15.75" hidden="false" customHeight="true" outlineLevel="0" collapsed="false">
      <c r="A131" s="35" t="str">
        <f aca="false">IF(应收跟进!$A131="","",应收跟进!$A131)</f>
        <v/>
      </c>
      <c r="B131" s="54" t="str">
        <f aca="false">IF($A131="","",应收跟进!$D131)</f>
        <v/>
      </c>
      <c r="C131" s="54" t="str">
        <f aca="false">IF($A131="","",应收跟进!$E131)</f>
        <v/>
      </c>
      <c r="D131" s="54" t="str">
        <f aca="false">IF($A131="","",应收跟进!$F131)</f>
        <v/>
      </c>
      <c r="E131" s="54" t="str">
        <f aca="false">IF($A131="","",应收跟进!$L131)</f>
        <v/>
      </c>
      <c r="F131" s="42" t="str">
        <f aca="false">IF($A131="","",应收跟进!$N131)</f>
        <v/>
      </c>
      <c r="H131" s="35" t="str">
        <f aca="false">IF(应付跟进!$A131="","",应付跟进!$A131)</f>
        <v/>
      </c>
      <c r="I131" s="54" t="str">
        <f aca="false">IF($H131="","",应付跟进!$D131)</f>
        <v/>
      </c>
      <c r="J131" s="54" t="str">
        <f aca="false">IF($H131="","",应付跟进!$E131)</f>
        <v/>
      </c>
      <c r="K131" s="54" t="str">
        <f aca="false">IF($H131="","",应付跟进!$F131)</f>
        <v/>
      </c>
      <c r="L131" s="54" t="str">
        <f aca="false">IF($H131="","",应付跟进!$L131)</f>
        <v/>
      </c>
      <c r="M131" s="42" t="str">
        <f aca="false">IF($H131="","",应付跟进!$N131)</f>
        <v/>
      </c>
    </row>
    <row r="132" customFormat="false" ht="15.75" hidden="false" customHeight="true" outlineLevel="0" collapsed="false">
      <c r="A132" s="35" t="str">
        <f aca="false">IF(应收跟进!$A132="","",应收跟进!$A132)</f>
        <v/>
      </c>
      <c r="B132" s="54" t="str">
        <f aca="false">IF($A132="","",应收跟进!$D132)</f>
        <v/>
      </c>
      <c r="C132" s="54" t="str">
        <f aca="false">IF($A132="","",应收跟进!$E132)</f>
        <v/>
      </c>
      <c r="D132" s="54" t="str">
        <f aca="false">IF($A132="","",应收跟进!$F132)</f>
        <v/>
      </c>
      <c r="E132" s="54" t="str">
        <f aca="false">IF($A132="","",应收跟进!$L132)</f>
        <v/>
      </c>
      <c r="F132" s="42" t="str">
        <f aca="false">IF($A132="","",应收跟进!$N132)</f>
        <v/>
      </c>
      <c r="H132" s="35" t="str">
        <f aca="false">IF(应付跟进!$A132="","",应付跟进!$A132)</f>
        <v/>
      </c>
      <c r="I132" s="54" t="str">
        <f aca="false">IF($H132="","",应付跟进!$D132)</f>
        <v/>
      </c>
      <c r="J132" s="54" t="str">
        <f aca="false">IF($H132="","",应付跟进!$E132)</f>
        <v/>
      </c>
      <c r="K132" s="54" t="str">
        <f aca="false">IF($H132="","",应付跟进!$F132)</f>
        <v/>
      </c>
      <c r="L132" s="54" t="str">
        <f aca="false">IF($H132="","",应付跟进!$L132)</f>
        <v/>
      </c>
      <c r="M132" s="42" t="str">
        <f aca="false">IF($H132="","",应付跟进!$N132)</f>
        <v/>
      </c>
    </row>
    <row r="133" customFormat="false" ht="15.75" hidden="false" customHeight="true" outlineLevel="0" collapsed="false">
      <c r="A133" s="35" t="str">
        <f aca="false">IF(应收跟进!$A133="","",应收跟进!$A133)</f>
        <v/>
      </c>
      <c r="B133" s="54" t="str">
        <f aca="false">IF($A133="","",应收跟进!$D133)</f>
        <v/>
      </c>
      <c r="C133" s="54" t="str">
        <f aca="false">IF($A133="","",应收跟进!$E133)</f>
        <v/>
      </c>
      <c r="D133" s="54" t="str">
        <f aca="false">IF($A133="","",应收跟进!$F133)</f>
        <v/>
      </c>
      <c r="E133" s="54" t="str">
        <f aca="false">IF($A133="","",应收跟进!$L133)</f>
        <v/>
      </c>
      <c r="F133" s="42" t="str">
        <f aca="false">IF($A133="","",应收跟进!$N133)</f>
        <v/>
      </c>
      <c r="H133" s="35" t="str">
        <f aca="false">IF(应付跟进!$A133="","",应付跟进!$A133)</f>
        <v/>
      </c>
      <c r="I133" s="54" t="str">
        <f aca="false">IF($H133="","",应付跟进!$D133)</f>
        <v/>
      </c>
      <c r="J133" s="54" t="str">
        <f aca="false">IF($H133="","",应付跟进!$E133)</f>
        <v/>
      </c>
      <c r="K133" s="54" t="str">
        <f aca="false">IF($H133="","",应付跟进!$F133)</f>
        <v/>
      </c>
      <c r="L133" s="54" t="str">
        <f aca="false">IF($H133="","",应付跟进!$L133)</f>
        <v/>
      </c>
      <c r="M133" s="42" t="str">
        <f aca="false">IF($H133="","",应付跟进!$N133)</f>
        <v/>
      </c>
    </row>
    <row r="134" customFormat="false" ht="15.75" hidden="false" customHeight="true" outlineLevel="0" collapsed="false">
      <c r="A134" s="35" t="str">
        <f aca="false">IF(应收跟进!$A134="","",应收跟进!$A134)</f>
        <v/>
      </c>
      <c r="B134" s="54" t="str">
        <f aca="false">IF($A134="","",应收跟进!$D134)</f>
        <v/>
      </c>
      <c r="C134" s="54" t="str">
        <f aca="false">IF($A134="","",应收跟进!$E134)</f>
        <v/>
      </c>
      <c r="D134" s="54" t="str">
        <f aca="false">IF($A134="","",应收跟进!$F134)</f>
        <v/>
      </c>
      <c r="E134" s="54" t="str">
        <f aca="false">IF($A134="","",应收跟进!$L134)</f>
        <v/>
      </c>
      <c r="F134" s="42" t="str">
        <f aca="false">IF($A134="","",应收跟进!$N134)</f>
        <v/>
      </c>
      <c r="H134" s="35" t="str">
        <f aca="false">IF(应付跟进!$A134="","",应付跟进!$A134)</f>
        <v/>
      </c>
      <c r="I134" s="54" t="str">
        <f aca="false">IF($H134="","",应付跟进!$D134)</f>
        <v/>
      </c>
      <c r="J134" s="54" t="str">
        <f aca="false">IF($H134="","",应付跟进!$E134)</f>
        <v/>
      </c>
      <c r="K134" s="54" t="str">
        <f aca="false">IF($H134="","",应付跟进!$F134)</f>
        <v/>
      </c>
      <c r="L134" s="54" t="str">
        <f aca="false">IF($H134="","",应付跟进!$L134)</f>
        <v/>
      </c>
      <c r="M134" s="42" t="str">
        <f aca="false">IF($H134="","",应付跟进!$N134)</f>
        <v/>
      </c>
    </row>
    <row r="135" customFormat="false" ht="15.75" hidden="false" customHeight="true" outlineLevel="0" collapsed="false">
      <c r="A135" s="35" t="str">
        <f aca="false">IF(应收跟进!$A135="","",应收跟进!$A135)</f>
        <v/>
      </c>
      <c r="B135" s="54" t="str">
        <f aca="false">IF($A135="","",应收跟进!$D135)</f>
        <v/>
      </c>
      <c r="C135" s="54" t="str">
        <f aca="false">IF($A135="","",应收跟进!$E135)</f>
        <v/>
      </c>
      <c r="D135" s="54" t="str">
        <f aca="false">IF($A135="","",应收跟进!$F135)</f>
        <v/>
      </c>
      <c r="E135" s="54" t="str">
        <f aca="false">IF($A135="","",应收跟进!$L135)</f>
        <v/>
      </c>
      <c r="F135" s="42" t="str">
        <f aca="false">IF($A135="","",应收跟进!$N135)</f>
        <v/>
      </c>
      <c r="H135" s="35" t="str">
        <f aca="false">IF(应付跟进!$A135="","",应付跟进!$A135)</f>
        <v/>
      </c>
      <c r="I135" s="54" t="str">
        <f aca="false">IF($H135="","",应付跟进!$D135)</f>
        <v/>
      </c>
      <c r="J135" s="54" t="str">
        <f aca="false">IF($H135="","",应付跟进!$E135)</f>
        <v/>
      </c>
      <c r="K135" s="54" t="str">
        <f aca="false">IF($H135="","",应付跟进!$F135)</f>
        <v/>
      </c>
      <c r="L135" s="54" t="str">
        <f aca="false">IF($H135="","",应付跟进!$L135)</f>
        <v/>
      </c>
      <c r="M135" s="42" t="str">
        <f aca="false">IF($H135="","",应付跟进!$N135)</f>
        <v/>
      </c>
    </row>
    <row r="136" customFormat="false" ht="15.75" hidden="false" customHeight="true" outlineLevel="0" collapsed="false">
      <c r="A136" s="35" t="str">
        <f aca="false">IF(应收跟进!$A136="","",应收跟进!$A136)</f>
        <v/>
      </c>
      <c r="B136" s="54" t="str">
        <f aca="false">IF($A136="","",应收跟进!$D136)</f>
        <v/>
      </c>
      <c r="C136" s="54" t="str">
        <f aca="false">IF($A136="","",应收跟进!$E136)</f>
        <v/>
      </c>
      <c r="D136" s="54" t="str">
        <f aca="false">IF($A136="","",应收跟进!$F136)</f>
        <v/>
      </c>
      <c r="E136" s="54" t="str">
        <f aca="false">IF($A136="","",应收跟进!$L136)</f>
        <v/>
      </c>
      <c r="F136" s="42" t="str">
        <f aca="false">IF($A136="","",应收跟进!$N136)</f>
        <v/>
      </c>
      <c r="H136" s="35" t="str">
        <f aca="false">IF(应付跟进!$A136="","",应付跟进!$A136)</f>
        <v/>
      </c>
      <c r="I136" s="54" t="str">
        <f aca="false">IF($H136="","",应付跟进!$D136)</f>
        <v/>
      </c>
      <c r="J136" s="54" t="str">
        <f aca="false">IF($H136="","",应付跟进!$E136)</f>
        <v/>
      </c>
      <c r="K136" s="54" t="str">
        <f aca="false">IF($H136="","",应付跟进!$F136)</f>
        <v/>
      </c>
      <c r="L136" s="54" t="str">
        <f aca="false">IF($H136="","",应付跟进!$L136)</f>
        <v/>
      </c>
      <c r="M136" s="42" t="str">
        <f aca="false">IF($H136="","",应付跟进!$N136)</f>
        <v/>
      </c>
    </row>
    <row r="137" customFormat="false" ht="15.75" hidden="false" customHeight="true" outlineLevel="0" collapsed="false">
      <c r="A137" s="35" t="str">
        <f aca="false">IF(应收跟进!$A137="","",应收跟进!$A137)</f>
        <v/>
      </c>
      <c r="B137" s="54" t="str">
        <f aca="false">IF($A137="","",应收跟进!$D137)</f>
        <v/>
      </c>
      <c r="C137" s="54" t="str">
        <f aca="false">IF($A137="","",应收跟进!$E137)</f>
        <v/>
      </c>
      <c r="D137" s="54" t="str">
        <f aca="false">IF($A137="","",应收跟进!$F137)</f>
        <v/>
      </c>
      <c r="E137" s="54" t="str">
        <f aca="false">IF($A137="","",应收跟进!$L137)</f>
        <v/>
      </c>
      <c r="F137" s="42" t="str">
        <f aca="false">IF($A137="","",应收跟进!$N137)</f>
        <v/>
      </c>
      <c r="H137" s="35" t="str">
        <f aca="false">IF(应付跟进!$A137="","",应付跟进!$A137)</f>
        <v/>
      </c>
      <c r="I137" s="54" t="str">
        <f aca="false">IF($H137="","",应付跟进!$D137)</f>
        <v/>
      </c>
      <c r="J137" s="54" t="str">
        <f aca="false">IF($H137="","",应付跟进!$E137)</f>
        <v/>
      </c>
      <c r="K137" s="54" t="str">
        <f aca="false">IF($H137="","",应付跟进!$F137)</f>
        <v/>
      </c>
      <c r="L137" s="54" t="str">
        <f aca="false">IF($H137="","",应付跟进!$L137)</f>
        <v/>
      </c>
      <c r="M137" s="42" t="str">
        <f aca="false">IF($H137="","",应付跟进!$N137)</f>
        <v/>
      </c>
    </row>
    <row r="138" customFormat="false" ht="15.75" hidden="false" customHeight="true" outlineLevel="0" collapsed="false">
      <c r="A138" s="35" t="str">
        <f aca="false">IF(应收跟进!$A138="","",应收跟进!$A138)</f>
        <v/>
      </c>
      <c r="B138" s="54" t="str">
        <f aca="false">IF($A138="","",应收跟进!$D138)</f>
        <v/>
      </c>
      <c r="C138" s="54" t="str">
        <f aca="false">IF($A138="","",应收跟进!$E138)</f>
        <v/>
      </c>
      <c r="D138" s="54" t="str">
        <f aca="false">IF($A138="","",应收跟进!$F138)</f>
        <v/>
      </c>
      <c r="E138" s="54" t="str">
        <f aca="false">IF($A138="","",应收跟进!$L138)</f>
        <v/>
      </c>
      <c r="F138" s="42" t="str">
        <f aca="false">IF($A138="","",应收跟进!$N138)</f>
        <v/>
      </c>
      <c r="H138" s="35" t="str">
        <f aca="false">IF(应付跟进!$A138="","",应付跟进!$A138)</f>
        <v/>
      </c>
      <c r="I138" s="54" t="str">
        <f aca="false">IF($H138="","",应付跟进!$D138)</f>
        <v/>
      </c>
      <c r="J138" s="54" t="str">
        <f aca="false">IF($H138="","",应付跟进!$E138)</f>
        <v/>
      </c>
      <c r="K138" s="54" t="str">
        <f aca="false">IF($H138="","",应付跟进!$F138)</f>
        <v/>
      </c>
      <c r="L138" s="54" t="str">
        <f aca="false">IF($H138="","",应付跟进!$L138)</f>
        <v/>
      </c>
      <c r="M138" s="42" t="str">
        <f aca="false">IF($H138="","",应付跟进!$N138)</f>
        <v/>
      </c>
    </row>
    <row r="139" customFormat="false" ht="15.75" hidden="false" customHeight="true" outlineLevel="0" collapsed="false">
      <c r="A139" s="35" t="str">
        <f aca="false">IF(应收跟进!$A139="","",应收跟进!$A139)</f>
        <v/>
      </c>
      <c r="B139" s="54" t="str">
        <f aca="false">IF($A139="","",应收跟进!$D139)</f>
        <v/>
      </c>
      <c r="C139" s="54" t="str">
        <f aca="false">IF($A139="","",应收跟进!$E139)</f>
        <v/>
      </c>
      <c r="D139" s="54" t="str">
        <f aca="false">IF($A139="","",应收跟进!$F139)</f>
        <v/>
      </c>
      <c r="E139" s="54" t="str">
        <f aca="false">IF($A139="","",应收跟进!$L139)</f>
        <v/>
      </c>
      <c r="F139" s="42" t="str">
        <f aca="false">IF($A139="","",应收跟进!$N139)</f>
        <v/>
      </c>
      <c r="H139" s="35" t="str">
        <f aca="false">IF(应付跟进!$A139="","",应付跟进!$A139)</f>
        <v/>
      </c>
      <c r="I139" s="54" t="str">
        <f aca="false">IF($H139="","",应付跟进!$D139)</f>
        <v/>
      </c>
      <c r="J139" s="54" t="str">
        <f aca="false">IF($H139="","",应付跟进!$E139)</f>
        <v/>
      </c>
      <c r="K139" s="54" t="str">
        <f aca="false">IF($H139="","",应付跟进!$F139)</f>
        <v/>
      </c>
      <c r="L139" s="54" t="str">
        <f aca="false">IF($H139="","",应付跟进!$L139)</f>
        <v/>
      </c>
      <c r="M139" s="42" t="str">
        <f aca="false">IF($H139="","",应付跟进!$N139)</f>
        <v/>
      </c>
    </row>
    <row r="140" customFormat="false" ht="15.75" hidden="false" customHeight="true" outlineLevel="0" collapsed="false">
      <c r="A140" s="35" t="str">
        <f aca="false">IF(应收跟进!$A140="","",应收跟进!$A140)</f>
        <v/>
      </c>
      <c r="B140" s="54" t="str">
        <f aca="false">IF($A140="","",应收跟进!$D140)</f>
        <v/>
      </c>
      <c r="C140" s="54" t="str">
        <f aca="false">IF($A140="","",应收跟进!$E140)</f>
        <v/>
      </c>
      <c r="D140" s="54" t="str">
        <f aca="false">IF($A140="","",应收跟进!$F140)</f>
        <v/>
      </c>
      <c r="E140" s="54" t="str">
        <f aca="false">IF($A140="","",应收跟进!$L140)</f>
        <v/>
      </c>
      <c r="F140" s="42" t="str">
        <f aca="false">IF($A140="","",应收跟进!$N140)</f>
        <v/>
      </c>
      <c r="H140" s="35" t="str">
        <f aca="false">IF(应付跟进!$A140="","",应付跟进!$A140)</f>
        <v/>
      </c>
      <c r="I140" s="54" t="str">
        <f aca="false">IF($H140="","",应付跟进!$D140)</f>
        <v/>
      </c>
      <c r="J140" s="54" t="str">
        <f aca="false">IF($H140="","",应付跟进!$E140)</f>
        <v/>
      </c>
      <c r="K140" s="54" t="str">
        <f aca="false">IF($H140="","",应付跟进!$F140)</f>
        <v/>
      </c>
      <c r="L140" s="54" t="str">
        <f aca="false">IF($H140="","",应付跟进!$L140)</f>
        <v/>
      </c>
      <c r="M140" s="42" t="str">
        <f aca="false">IF($H140="","",应付跟进!$N140)</f>
        <v/>
      </c>
    </row>
    <row r="141" customFormat="false" ht="15.75" hidden="false" customHeight="true" outlineLevel="0" collapsed="false">
      <c r="A141" s="35" t="str">
        <f aca="false">IF(应收跟进!$A141="","",应收跟进!$A141)</f>
        <v/>
      </c>
      <c r="B141" s="54" t="str">
        <f aca="false">IF($A141="","",应收跟进!$D141)</f>
        <v/>
      </c>
      <c r="C141" s="54" t="str">
        <f aca="false">IF($A141="","",应收跟进!$E141)</f>
        <v/>
      </c>
      <c r="D141" s="54" t="str">
        <f aca="false">IF($A141="","",应收跟进!$F141)</f>
        <v/>
      </c>
      <c r="E141" s="54" t="str">
        <f aca="false">IF($A141="","",应收跟进!$L141)</f>
        <v/>
      </c>
      <c r="F141" s="42" t="str">
        <f aca="false">IF($A141="","",应收跟进!$N141)</f>
        <v/>
      </c>
      <c r="H141" s="35" t="str">
        <f aca="false">IF(应付跟进!$A141="","",应付跟进!$A141)</f>
        <v/>
      </c>
      <c r="I141" s="54" t="str">
        <f aca="false">IF($H141="","",应付跟进!$D141)</f>
        <v/>
      </c>
      <c r="J141" s="54" t="str">
        <f aca="false">IF($H141="","",应付跟进!$E141)</f>
        <v/>
      </c>
      <c r="K141" s="54" t="str">
        <f aca="false">IF($H141="","",应付跟进!$F141)</f>
        <v/>
      </c>
      <c r="L141" s="54" t="str">
        <f aca="false">IF($H141="","",应付跟进!$L141)</f>
        <v/>
      </c>
      <c r="M141" s="42" t="str">
        <f aca="false">IF($H141="","",应付跟进!$N141)</f>
        <v/>
      </c>
    </row>
    <row r="142" customFormat="false" ht="15.75" hidden="false" customHeight="true" outlineLevel="0" collapsed="false">
      <c r="A142" s="35" t="str">
        <f aca="false">IF(应收跟进!$A142="","",应收跟进!$A142)</f>
        <v/>
      </c>
      <c r="B142" s="54" t="str">
        <f aca="false">IF($A142="","",应收跟进!$D142)</f>
        <v/>
      </c>
      <c r="C142" s="54" t="str">
        <f aca="false">IF($A142="","",应收跟进!$E142)</f>
        <v/>
      </c>
      <c r="D142" s="54" t="str">
        <f aca="false">IF($A142="","",应收跟进!$F142)</f>
        <v/>
      </c>
      <c r="E142" s="54" t="str">
        <f aca="false">IF($A142="","",应收跟进!$L142)</f>
        <v/>
      </c>
      <c r="F142" s="42" t="str">
        <f aca="false">IF($A142="","",应收跟进!$N142)</f>
        <v/>
      </c>
      <c r="H142" s="35" t="str">
        <f aca="false">IF(应付跟进!$A142="","",应付跟进!$A142)</f>
        <v/>
      </c>
      <c r="I142" s="54" t="str">
        <f aca="false">IF($H142="","",应付跟进!$D142)</f>
        <v/>
      </c>
      <c r="J142" s="54" t="str">
        <f aca="false">IF($H142="","",应付跟进!$E142)</f>
        <v/>
      </c>
      <c r="K142" s="54" t="str">
        <f aca="false">IF($H142="","",应付跟进!$F142)</f>
        <v/>
      </c>
      <c r="L142" s="54" t="str">
        <f aca="false">IF($H142="","",应付跟进!$L142)</f>
        <v/>
      </c>
      <c r="M142" s="42" t="str">
        <f aca="false">IF($H142="","",应付跟进!$N142)</f>
        <v/>
      </c>
    </row>
    <row r="143" customFormat="false" ht="15.75" hidden="false" customHeight="true" outlineLevel="0" collapsed="false">
      <c r="A143" s="35" t="str">
        <f aca="false">IF(应收跟进!$A143="","",应收跟进!$A143)</f>
        <v/>
      </c>
      <c r="B143" s="54" t="str">
        <f aca="false">IF($A143="","",应收跟进!$D143)</f>
        <v/>
      </c>
      <c r="C143" s="54" t="str">
        <f aca="false">IF($A143="","",应收跟进!$E143)</f>
        <v/>
      </c>
      <c r="D143" s="54" t="str">
        <f aca="false">IF($A143="","",应收跟进!$F143)</f>
        <v/>
      </c>
      <c r="E143" s="54" t="str">
        <f aca="false">IF($A143="","",应收跟进!$L143)</f>
        <v/>
      </c>
      <c r="F143" s="42" t="str">
        <f aca="false">IF($A143="","",应收跟进!$N143)</f>
        <v/>
      </c>
      <c r="H143" s="35" t="str">
        <f aca="false">IF(应付跟进!$A143="","",应付跟进!$A143)</f>
        <v/>
      </c>
      <c r="I143" s="54" t="str">
        <f aca="false">IF($H143="","",应付跟进!$D143)</f>
        <v/>
      </c>
      <c r="J143" s="54" t="str">
        <f aca="false">IF($H143="","",应付跟进!$E143)</f>
        <v/>
      </c>
      <c r="K143" s="54" t="str">
        <f aca="false">IF($H143="","",应付跟进!$F143)</f>
        <v/>
      </c>
      <c r="L143" s="54" t="str">
        <f aca="false">IF($H143="","",应付跟进!$L143)</f>
        <v/>
      </c>
      <c r="M143" s="42" t="str">
        <f aca="false">IF($H143="","",应付跟进!$N143)</f>
        <v/>
      </c>
    </row>
    <row r="144" customFormat="false" ht="15.75" hidden="false" customHeight="true" outlineLevel="0" collapsed="false">
      <c r="A144" s="35" t="str">
        <f aca="false">IF(应收跟进!$A144="","",应收跟进!$A144)</f>
        <v/>
      </c>
      <c r="B144" s="54" t="str">
        <f aca="false">IF($A144="","",应收跟进!$D144)</f>
        <v/>
      </c>
      <c r="C144" s="54" t="str">
        <f aca="false">IF($A144="","",应收跟进!$E144)</f>
        <v/>
      </c>
      <c r="D144" s="54" t="str">
        <f aca="false">IF($A144="","",应收跟进!$F144)</f>
        <v/>
      </c>
      <c r="E144" s="54" t="str">
        <f aca="false">IF($A144="","",应收跟进!$L144)</f>
        <v/>
      </c>
      <c r="F144" s="42" t="str">
        <f aca="false">IF($A144="","",应收跟进!$N144)</f>
        <v/>
      </c>
      <c r="H144" s="35" t="str">
        <f aca="false">IF(应付跟进!$A144="","",应付跟进!$A144)</f>
        <v/>
      </c>
      <c r="I144" s="54" t="str">
        <f aca="false">IF($H144="","",应付跟进!$D144)</f>
        <v/>
      </c>
      <c r="J144" s="54" t="str">
        <f aca="false">IF($H144="","",应付跟进!$E144)</f>
        <v/>
      </c>
      <c r="K144" s="54" t="str">
        <f aca="false">IF($H144="","",应付跟进!$F144)</f>
        <v/>
      </c>
      <c r="L144" s="54" t="str">
        <f aca="false">IF($H144="","",应付跟进!$L144)</f>
        <v/>
      </c>
      <c r="M144" s="42" t="str">
        <f aca="false">IF($H144="","",应付跟进!$N144)</f>
        <v/>
      </c>
    </row>
    <row r="145" customFormat="false" ht="15.75" hidden="false" customHeight="true" outlineLevel="0" collapsed="false">
      <c r="A145" s="35" t="str">
        <f aca="false">IF(应收跟进!$A145="","",应收跟进!$A145)</f>
        <v/>
      </c>
      <c r="B145" s="54" t="str">
        <f aca="false">IF($A145="","",应收跟进!$D145)</f>
        <v/>
      </c>
      <c r="C145" s="54" t="str">
        <f aca="false">IF($A145="","",应收跟进!$E145)</f>
        <v/>
      </c>
      <c r="D145" s="54" t="str">
        <f aca="false">IF($A145="","",应收跟进!$F145)</f>
        <v/>
      </c>
      <c r="E145" s="54" t="str">
        <f aca="false">IF($A145="","",应收跟进!$L145)</f>
        <v/>
      </c>
      <c r="F145" s="42" t="str">
        <f aca="false">IF($A145="","",应收跟进!$N145)</f>
        <v/>
      </c>
      <c r="H145" s="35" t="str">
        <f aca="false">IF(应付跟进!$A145="","",应付跟进!$A145)</f>
        <v/>
      </c>
      <c r="I145" s="54" t="str">
        <f aca="false">IF($H145="","",应付跟进!$D145)</f>
        <v/>
      </c>
      <c r="J145" s="54" t="str">
        <f aca="false">IF($H145="","",应付跟进!$E145)</f>
        <v/>
      </c>
      <c r="K145" s="54" t="str">
        <f aca="false">IF($H145="","",应付跟进!$F145)</f>
        <v/>
      </c>
      <c r="L145" s="54" t="str">
        <f aca="false">IF($H145="","",应付跟进!$L145)</f>
        <v/>
      </c>
      <c r="M145" s="42" t="str">
        <f aca="false">IF($H145="","",应付跟进!$N145)</f>
        <v/>
      </c>
    </row>
    <row r="146" customFormat="false" ht="15.75" hidden="false" customHeight="true" outlineLevel="0" collapsed="false">
      <c r="A146" s="35" t="str">
        <f aca="false">IF(应收跟进!$A146="","",应收跟进!$A146)</f>
        <v/>
      </c>
      <c r="B146" s="54" t="str">
        <f aca="false">IF($A146="","",应收跟进!$D146)</f>
        <v/>
      </c>
      <c r="C146" s="54" t="str">
        <f aca="false">IF($A146="","",应收跟进!$E146)</f>
        <v/>
      </c>
      <c r="D146" s="54" t="str">
        <f aca="false">IF($A146="","",应收跟进!$F146)</f>
        <v/>
      </c>
      <c r="E146" s="54" t="str">
        <f aca="false">IF($A146="","",应收跟进!$L146)</f>
        <v/>
      </c>
      <c r="F146" s="42" t="str">
        <f aca="false">IF($A146="","",应收跟进!$N146)</f>
        <v/>
      </c>
      <c r="H146" s="35" t="str">
        <f aca="false">IF(应付跟进!$A146="","",应付跟进!$A146)</f>
        <v/>
      </c>
      <c r="I146" s="54" t="str">
        <f aca="false">IF($H146="","",应付跟进!$D146)</f>
        <v/>
      </c>
      <c r="J146" s="54" t="str">
        <f aca="false">IF($H146="","",应付跟进!$E146)</f>
        <v/>
      </c>
      <c r="K146" s="54" t="str">
        <f aca="false">IF($H146="","",应付跟进!$F146)</f>
        <v/>
      </c>
      <c r="L146" s="54" t="str">
        <f aca="false">IF($H146="","",应付跟进!$L146)</f>
        <v/>
      </c>
      <c r="M146" s="42" t="str">
        <f aca="false">IF($H146="","",应付跟进!$N146)</f>
        <v/>
      </c>
    </row>
    <row r="147" customFormat="false" ht="15.75" hidden="false" customHeight="true" outlineLevel="0" collapsed="false">
      <c r="A147" s="35" t="str">
        <f aca="false">IF(应收跟进!$A147="","",应收跟进!$A147)</f>
        <v/>
      </c>
      <c r="B147" s="54" t="str">
        <f aca="false">IF($A147="","",应收跟进!$D147)</f>
        <v/>
      </c>
      <c r="C147" s="54" t="str">
        <f aca="false">IF($A147="","",应收跟进!$E147)</f>
        <v/>
      </c>
      <c r="D147" s="54" t="str">
        <f aca="false">IF($A147="","",应收跟进!$F147)</f>
        <v/>
      </c>
      <c r="E147" s="54" t="str">
        <f aca="false">IF($A147="","",应收跟进!$L147)</f>
        <v/>
      </c>
      <c r="F147" s="42" t="str">
        <f aca="false">IF($A147="","",应收跟进!$N147)</f>
        <v/>
      </c>
      <c r="H147" s="35" t="str">
        <f aca="false">IF(应付跟进!$A147="","",应付跟进!$A147)</f>
        <v/>
      </c>
      <c r="I147" s="54" t="str">
        <f aca="false">IF($H147="","",应付跟进!$D147)</f>
        <v/>
      </c>
      <c r="J147" s="54" t="str">
        <f aca="false">IF($H147="","",应付跟进!$E147)</f>
        <v/>
      </c>
      <c r="K147" s="54" t="str">
        <f aca="false">IF($H147="","",应付跟进!$F147)</f>
        <v/>
      </c>
      <c r="L147" s="54" t="str">
        <f aca="false">IF($H147="","",应付跟进!$L147)</f>
        <v/>
      </c>
      <c r="M147" s="42" t="str">
        <f aca="false">IF($H147="","",应付跟进!$N147)</f>
        <v/>
      </c>
    </row>
    <row r="148" customFormat="false" ht="15.75" hidden="false" customHeight="true" outlineLevel="0" collapsed="false">
      <c r="A148" s="35" t="str">
        <f aca="false">IF(应收跟进!$A148="","",应收跟进!$A148)</f>
        <v/>
      </c>
      <c r="B148" s="54" t="str">
        <f aca="false">IF($A148="","",应收跟进!$D148)</f>
        <v/>
      </c>
      <c r="C148" s="54" t="str">
        <f aca="false">IF($A148="","",应收跟进!$E148)</f>
        <v/>
      </c>
      <c r="D148" s="54" t="str">
        <f aca="false">IF($A148="","",应收跟进!$F148)</f>
        <v/>
      </c>
      <c r="E148" s="54" t="str">
        <f aca="false">IF($A148="","",应收跟进!$L148)</f>
        <v/>
      </c>
      <c r="F148" s="42" t="str">
        <f aca="false">IF($A148="","",应收跟进!$N148)</f>
        <v/>
      </c>
      <c r="H148" s="35" t="str">
        <f aca="false">IF(应付跟进!$A148="","",应付跟进!$A148)</f>
        <v/>
      </c>
      <c r="I148" s="54" t="str">
        <f aca="false">IF($H148="","",应付跟进!$D148)</f>
        <v/>
      </c>
      <c r="J148" s="54" t="str">
        <f aca="false">IF($H148="","",应付跟进!$E148)</f>
        <v/>
      </c>
      <c r="K148" s="54" t="str">
        <f aca="false">IF($H148="","",应付跟进!$F148)</f>
        <v/>
      </c>
      <c r="L148" s="54" t="str">
        <f aca="false">IF($H148="","",应付跟进!$L148)</f>
        <v/>
      </c>
      <c r="M148" s="42" t="str">
        <f aca="false">IF($H148="","",应付跟进!$N148)</f>
        <v/>
      </c>
    </row>
    <row r="149" customFormat="false" ht="15.75" hidden="false" customHeight="true" outlineLevel="0" collapsed="false">
      <c r="A149" s="35" t="str">
        <f aca="false">IF(应收跟进!$A149="","",应收跟进!$A149)</f>
        <v/>
      </c>
      <c r="B149" s="54" t="str">
        <f aca="false">IF($A149="","",应收跟进!$D149)</f>
        <v/>
      </c>
      <c r="C149" s="54" t="str">
        <f aca="false">IF($A149="","",应收跟进!$E149)</f>
        <v/>
      </c>
      <c r="D149" s="54" t="str">
        <f aca="false">IF($A149="","",应收跟进!$F149)</f>
        <v/>
      </c>
      <c r="E149" s="54" t="str">
        <f aca="false">IF($A149="","",应收跟进!$L149)</f>
        <v/>
      </c>
      <c r="F149" s="42" t="str">
        <f aca="false">IF($A149="","",应收跟进!$N149)</f>
        <v/>
      </c>
      <c r="H149" s="35" t="str">
        <f aca="false">IF(应付跟进!$A149="","",应付跟进!$A149)</f>
        <v/>
      </c>
      <c r="I149" s="54" t="str">
        <f aca="false">IF($H149="","",应付跟进!$D149)</f>
        <v/>
      </c>
      <c r="J149" s="54" t="str">
        <f aca="false">IF($H149="","",应付跟进!$E149)</f>
        <v/>
      </c>
      <c r="K149" s="54" t="str">
        <f aca="false">IF($H149="","",应付跟进!$F149)</f>
        <v/>
      </c>
      <c r="L149" s="54" t="str">
        <f aca="false">IF($H149="","",应付跟进!$L149)</f>
        <v/>
      </c>
      <c r="M149" s="42" t="str">
        <f aca="false">IF($H149="","",应付跟进!$N149)</f>
        <v/>
      </c>
    </row>
    <row r="150" customFormat="false" ht="15.75" hidden="false" customHeight="true" outlineLevel="0" collapsed="false">
      <c r="A150" s="35" t="str">
        <f aca="false">IF(应收跟进!$A150="","",应收跟进!$A150)</f>
        <v/>
      </c>
      <c r="B150" s="54" t="str">
        <f aca="false">IF($A150="","",应收跟进!$D150)</f>
        <v/>
      </c>
      <c r="C150" s="54" t="str">
        <f aca="false">IF($A150="","",应收跟进!$E150)</f>
        <v/>
      </c>
      <c r="D150" s="54" t="str">
        <f aca="false">IF($A150="","",应收跟进!$F150)</f>
        <v/>
      </c>
      <c r="E150" s="54" t="str">
        <f aca="false">IF($A150="","",应收跟进!$L150)</f>
        <v/>
      </c>
      <c r="F150" s="42" t="str">
        <f aca="false">IF($A150="","",应收跟进!$N150)</f>
        <v/>
      </c>
      <c r="H150" s="35" t="str">
        <f aca="false">IF(应付跟进!$A150="","",应付跟进!$A150)</f>
        <v/>
      </c>
      <c r="I150" s="54" t="str">
        <f aca="false">IF($H150="","",应付跟进!$D150)</f>
        <v/>
      </c>
      <c r="J150" s="54" t="str">
        <f aca="false">IF($H150="","",应付跟进!$E150)</f>
        <v/>
      </c>
      <c r="K150" s="54" t="str">
        <f aca="false">IF($H150="","",应付跟进!$F150)</f>
        <v/>
      </c>
      <c r="L150" s="54" t="str">
        <f aca="false">IF($H150="","",应付跟进!$L150)</f>
        <v/>
      </c>
      <c r="M150" s="42" t="str">
        <f aca="false">IF($H150="","",应付跟进!$N150)</f>
        <v/>
      </c>
    </row>
    <row r="151" customFormat="false" ht="15.75" hidden="false" customHeight="true" outlineLevel="0" collapsed="false">
      <c r="A151" s="35" t="str">
        <f aca="false">IF(应收跟进!$A151="","",应收跟进!$A151)</f>
        <v/>
      </c>
      <c r="B151" s="54" t="str">
        <f aca="false">IF($A151="","",应收跟进!$D151)</f>
        <v/>
      </c>
      <c r="C151" s="54" t="str">
        <f aca="false">IF($A151="","",应收跟进!$E151)</f>
        <v/>
      </c>
      <c r="D151" s="54" t="str">
        <f aca="false">IF($A151="","",应收跟进!$F151)</f>
        <v/>
      </c>
      <c r="E151" s="54" t="str">
        <f aca="false">IF($A151="","",应收跟进!$L151)</f>
        <v/>
      </c>
      <c r="F151" s="42" t="str">
        <f aca="false">IF($A151="","",应收跟进!$N151)</f>
        <v/>
      </c>
      <c r="H151" s="35" t="str">
        <f aca="false">IF(应付跟进!$A151="","",应付跟进!$A151)</f>
        <v/>
      </c>
      <c r="I151" s="54" t="str">
        <f aca="false">IF($H151="","",应付跟进!$D151)</f>
        <v/>
      </c>
      <c r="J151" s="54" t="str">
        <f aca="false">IF($H151="","",应付跟进!$E151)</f>
        <v/>
      </c>
      <c r="K151" s="54" t="str">
        <f aca="false">IF($H151="","",应付跟进!$F151)</f>
        <v/>
      </c>
      <c r="L151" s="54" t="str">
        <f aca="false">IF($H151="","",应付跟进!$L151)</f>
        <v/>
      </c>
      <c r="M151" s="42" t="str">
        <f aca="false">IF($H151="","",应付跟进!$N151)</f>
        <v/>
      </c>
    </row>
    <row r="152" customFormat="false" ht="15.75" hidden="false" customHeight="true" outlineLevel="0" collapsed="false">
      <c r="A152" s="35" t="str">
        <f aca="false">IF(应收跟进!$A152="","",应收跟进!$A152)</f>
        <v/>
      </c>
      <c r="B152" s="54" t="str">
        <f aca="false">IF($A152="","",应收跟进!$D152)</f>
        <v/>
      </c>
      <c r="C152" s="54" t="str">
        <f aca="false">IF($A152="","",应收跟进!$E152)</f>
        <v/>
      </c>
      <c r="D152" s="54" t="str">
        <f aca="false">IF($A152="","",应收跟进!$F152)</f>
        <v/>
      </c>
      <c r="E152" s="54" t="str">
        <f aca="false">IF($A152="","",应收跟进!$L152)</f>
        <v/>
      </c>
      <c r="F152" s="42" t="str">
        <f aca="false">IF($A152="","",应收跟进!$N152)</f>
        <v/>
      </c>
      <c r="H152" s="35" t="str">
        <f aca="false">IF(应付跟进!$A152="","",应付跟进!$A152)</f>
        <v/>
      </c>
      <c r="I152" s="54" t="str">
        <f aca="false">IF($H152="","",应付跟进!$D152)</f>
        <v/>
      </c>
      <c r="J152" s="54" t="str">
        <f aca="false">IF($H152="","",应付跟进!$E152)</f>
        <v/>
      </c>
      <c r="K152" s="54" t="str">
        <f aca="false">IF($H152="","",应付跟进!$F152)</f>
        <v/>
      </c>
      <c r="L152" s="54" t="str">
        <f aca="false">IF($H152="","",应付跟进!$L152)</f>
        <v/>
      </c>
      <c r="M152" s="42" t="str">
        <f aca="false">IF($H152="","",应付跟进!$N152)</f>
        <v/>
      </c>
    </row>
    <row r="153" customFormat="false" ht="15.75" hidden="false" customHeight="true" outlineLevel="0" collapsed="false">
      <c r="A153" s="35" t="str">
        <f aca="false">IF(应收跟进!$A153="","",应收跟进!$A153)</f>
        <v/>
      </c>
      <c r="B153" s="54" t="str">
        <f aca="false">IF($A153="","",应收跟进!$D153)</f>
        <v/>
      </c>
      <c r="C153" s="54" t="str">
        <f aca="false">IF($A153="","",应收跟进!$E153)</f>
        <v/>
      </c>
      <c r="D153" s="54" t="str">
        <f aca="false">IF($A153="","",应收跟进!$F153)</f>
        <v/>
      </c>
      <c r="E153" s="54" t="str">
        <f aca="false">IF($A153="","",应收跟进!$L153)</f>
        <v/>
      </c>
      <c r="F153" s="42" t="str">
        <f aca="false">IF($A153="","",应收跟进!$N153)</f>
        <v/>
      </c>
      <c r="H153" s="35" t="str">
        <f aca="false">IF(应付跟进!$A153="","",应付跟进!$A153)</f>
        <v/>
      </c>
      <c r="I153" s="54" t="str">
        <f aca="false">IF($H153="","",应付跟进!$D153)</f>
        <v/>
      </c>
      <c r="J153" s="54" t="str">
        <f aca="false">IF($H153="","",应付跟进!$E153)</f>
        <v/>
      </c>
      <c r="K153" s="54" t="str">
        <f aca="false">IF($H153="","",应付跟进!$F153)</f>
        <v/>
      </c>
      <c r="L153" s="54" t="str">
        <f aca="false">IF($H153="","",应付跟进!$L153)</f>
        <v/>
      </c>
      <c r="M153" s="42" t="str">
        <f aca="false">IF($H153="","",应付跟进!$N153)</f>
        <v/>
      </c>
    </row>
    <row r="154" customFormat="false" ht="15.75" hidden="false" customHeight="true" outlineLevel="0" collapsed="false">
      <c r="A154" s="35" t="str">
        <f aca="false">IF(应收跟进!$A154="","",应收跟进!$A154)</f>
        <v/>
      </c>
      <c r="B154" s="54" t="str">
        <f aca="false">IF($A154="","",应收跟进!$D154)</f>
        <v/>
      </c>
      <c r="C154" s="54" t="str">
        <f aca="false">IF($A154="","",应收跟进!$E154)</f>
        <v/>
      </c>
      <c r="D154" s="54" t="str">
        <f aca="false">IF($A154="","",应收跟进!$F154)</f>
        <v/>
      </c>
      <c r="E154" s="54" t="str">
        <f aca="false">IF($A154="","",应收跟进!$L154)</f>
        <v/>
      </c>
      <c r="F154" s="42" t="str">
        <f aca="false">IF($A154="","",应收跟进!$N154)</f>
        <v/>
      </c>
      <c r="H154" s="35" t="str">
        <f aca="false">IF(应付跟进!$A154="","",应付跟进!$A154)</f>
        <v/>
      </c>
      <c r="I154" s="54" t="str">
        <f aca="false">IF($H154="","",应付跟进!$D154)</f>
        <v/>
      </c>
      <c r="J154" s="54" t="str">
        <f aca="false">IF($H154="","",应付跟进!$E154)</f>
        <v/>
      </c>
      <c r="K154" s="54" t="str">
        <f aca="false">IF($H154="","",应付跟进!$F154)</f>
        <v/>
      </c>
      <c r="L154" s="54" t="str">
        <f aca="false">IF($H154="","",应付跟进!$L154)</f>
        <v/>
      </c>
      <c r="M154" s="42" t="str">
        <f aca="false">IF($H154="","",应付跟进!$N154)</f>
        <v/>
      </c>
    </row>
    <row r="155" customFormat="false" ht="15.75" hidden="false" customHeight="true" outlineLevel="0" collapsed="false">
      <c r="A155" s="35" t="str">
        <f aca="false">IF(应收跟进!$A155="","",应收跟进!$A155)</f>
        <v/>
      </c>
      <c r="B155" s="54" t="str">
        <f aca="false">IF($A155="","",应收跟进!$D155)</f>
        <v/>
      </c>
      <c r="C155" s="54" t="str">
        <f aca="false">IF($A155="","",应收跟进!$E155)</f>
        <v/>
      </c>
      <c r="D155" s="54" t="str">
        <f aca="false">IF($A155="","",应收跟进!$F155)</f>
        <v/>
      </c>
      <c r="E155" s="54" t="str">
        <f aca="false">IF($A155="","",应收跟进!$L155)</f>
        <v/>
      </c>
      <c r="F155" s="42" t="str">
        <f aca="false">IF($A155="","",应收跟进!$N155)</f>
        <v/>
      </c>
      <c r="H155" s="35" t="str">
        <f aca="false">IF(应付跟进!$A155="","",应付跟进!$A155)</f>
        <v/>
      </c>
      <c r="I155" s="54" t="str">
        <f aca="false">IF($H155="","",应付跟进!$D155)</f>
        <v/>
      </c>
      <c r="J155" s="54" t="str">
        <f aca="false">IF($H155="","",应付跟进!$E155)</f>
        <v/>
      </c>
      <c r="K155" s="54" t="str">
        <f aca="false">IF($H155="","",应付跟进!$F155)</f>
        <v/>
      </c>
      <c r="L155" s="54" t="str">
        <f aca="false">IF($H155="","",应付跟进!$L155)</f>
        <v/>
      </c>
      <c r="M155" s="42" t="str">
        <f aca="false">IF($H155="","",应付跟进!$N155)</f>
        <v/>
      </c>
    </row>
    <row r="156" customFormat="false" ht="15" hidden="false" customHeight="false" outlineLevel="0" collapsed="false">
      <c r="A156" s="55" t="s">
        <v>802</v>
      </c>
      <c r="B156" s="39" t="n">
        <f aca="false">SUM(B6:B155)</f>
        <v>27686</v>
      </c>
      <c r="C156" s="39" t="n">
        <f aca="false">SUM(C6:C155)</f>
        <v>61000</v>
      </c>
      <c r="D156" s="39" t="n">
        <f aca="false">SUM(D6:D155)</f>
        <v>46686</v>
      </c>
      <c r="E156" s="39" t="n">
        <f aca="false">SUM(E6:E155)</f>
        <v>20696</v>
      </c>
      <c r="H156" s="55" t="s">
        <v>802</v>
      </c>
      <c r="I156" s="39" t="n">
        <f aca="false">SUM(I6:I155)</f>
        <v>21752.5</v>
      </c>
      <c r="J156" s="39" t="n">
        <f aca="false">SUM(J6:J155)</f>
        <v>40000</v>
      </c>
      <c r="K156" s="39" t="n">
        <f aca="false">SUM(K6:K155)</f>
        <v>21752.5</v>
      </c>
      <c r="L156" s="39" t="n">
        <f aca="false">SUM(L6:L155)</f>
        <v>0</v>
      </c>
    </row>
  </sheetData>
  <mergeCells count="6">
    <mergeCell ref="A1:AA1"/>
    <mergeCell ref="A2:AA2"/>
    <mergeCell ref="A4:F4"/>
    <mergeCell ref="H4:M4"/>
    <mergeCell ref="O4:T4"/>
    <mergeCell ref="V4:A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M112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20"/>
    <col collapsed="false" customWidth="true" hidden="false" outlineLevel="0" max="13" min="12" style="0" width="11"/>
  </cols>
  <sheetData>
    <row r="1" customFormat="false" ht="25.5" hidden="false" customHeight="true" outlineLevel="0" collapsed="false">
      <c r="A1" s="23" t="s">
        <v>803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customFormat="false" ht="15" hidden="false" customHeight="true" outlineLevel="0" collapsed="false">
      <c r="A2" s="6" t="s">
        <v>804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52.2" hidden="false" customHeight="true" outlineLevel="0" collapsed="false">
      <c r="A3" s="3" t="s">
        <v>197</v>
      </c>
      <c r="B3" s="74" t="s">
        <v>446</v>
      </c>
      <c r="D3" s="3" t="s">
        <v>805</v>
      </c>
      <c r="E3" s="75" t="n">
        <f aca="false">首页!$B$6</f>
        <v>46023</v>
      </c>
      <c r="G3" s="3" t="s">
        <v>806</v>
      </c>
      <c r="H3" s="75" t="n">
        <f aca="false">首页!$B$7</f>
        <v>46053</v>
      </c>
      <c r="J3" s="3" t="s">
        <v>807</v>
      </c>
      <c r="K3" s="32" t="s">
        <v>808</v>
      </c>
      <c r="L3" s="32"/>
      <c r="M3" s="32"/>
    </row>
    <row r="5" customFormat="false" ht="27.75" hidden="false" customHeight="true" outlineLevel="0" collapsed="false">
      <c r="A5" s="55" t="s">
        <v>497</v>
      </c>
      <c r="B5" s="72" t="n">
        <f aca="false">SUMIFS(期初数据!$G$6:$G$155,期初数据!$E$6:$E$155,$B$3,期初数据!$F$6:$F$155,"&lt;"&amp;$E$3)+SUMIFS(销售录入!$Q$5:$Q$404,销售录入!$D$5:$D$404,$B$3,销售录入!$B$5:$B$404,"&lt;"&amp;$E$3)-SUMIFS(资金流水!$N$5:$N$504,资金流水!$G$5:$G$504,$B$3,资金流水!$E$5:$E$504,"客户回款",资金流水!$B$5:$B$504,"&lt;"&amp;$E$3)</f>
        <v>50000</v>
      </c>
      <c r="C5" s="55"/>
      <c r="D5" s="55" t="s">
        <v>809</v>
      </c>
      <c r="E5" s="72" t="n">
        <f aca="false">SUMIFS(销售录入!$Q$5:$Q$404,销售录入!$D$5:$D$404,$B$3,销售录入!$B$5:$B$404,"&gt;="&amp;$E$3,销售录入!$B$5:$B$404,"&lt;="&amp;$H$3)</f>
        <v>18080</v>
      </c>
      <c r="F5" s="55"/>
      <c r="G5" s="55" t="s">
        <v>810</v>
      </c>
      <c r="H5" s="72" t="n">
        <f aca="false">SUMIFS(资金流水!$N$5:$N$504,资金流水!$G$5:$G$504,$B$3,资金流水!$E$5:$E$504,"客户回款",资金流水!$B$5:$B$504,"&gt;="&amp;$E$3,资金流水!$B$5:$B$504,"&lt;="&amp;$H$3)</f>
        <v>50000</v>
      </c>
      <c r="I5" s="55"/>
      <c r="J5" s="55" t="s">
        <v>792</v>
      </c>
      <c r="K5" s="72" t="n">
        <f aca="false">$B$5+$E$5-$H$5</f>
        <v>18080</v>
      </c>
      <c r="L5" s="55"/>
      <c r="M5" s="55"/>
    </row>
    <row r="7" customFormat="false" ht="15" hidden="false" customHeight="true" outlineLevel="0" collapsed="false">
      <c r="A7" s="30" t="s">
        <v>811</v>
      </c>
      <c r="B7" s="30"/>
      <c r="C7" s="30"/>
      <c r="D7" s="30"/>
      <c r="E7" s="30"/>
      <c r="F7" s="30"/>
      <c r="H7" s="30" t="s">
        <v>812</v>
      </c>
      <c r="I7" s="30"/>
      <c r="J7" s="30"/>
      <c r="K7" s="30"/>
      <c r="L7" s="30"/>
      <c r="M7" s="30"/>
    </row>
    <row r="8" customFormat="false" ht="30" hidden="false" customHeight="true" outlineLevel="0" collapsed="false">
      <c r="A8" s="45" t="s">
        <v>512</v>
      </c>
      <c r="B8" s="45" t="s">
        <v>813</v>
      </c>
      <c r="C8" s="45" t="s">
        <v>537</v>
      </c>
      <c r="D8" s="45" t="s">
        <v>814</v>
      </c>
      <c r="E8" s="45" t="s">
        <v>542</v>
      </c>
      <c r="F8" s="45" t="s">
        <v>545</v>
      </c>
      <c r="H8" s="45" t="s">
        <v>512</v>
      </c>
      <c r="I8" s="45" t="s">
        <v>815</v>
      </c>
      <c r="J8" s="45" t="s">
        <v>572</v>
      </c>
      <c r="K8" s="45" t="s">
        <v>515</v>
      </c>
      <c r="L8" s="45" t="s">
        <v>816</v>
      </c>
      <c r="M8" s="45" t="s">
        <v>374</v>
      </c>
    </row>
    <row r="9" customFormat="false" ht="15.75" hidden="false" customHeight="true" outlineLevel="0" collapsed="false">
      <c r="A9" s="76" t="n">
        <f aca="false">IFERROR(INDEX(销售录入!$B$5:$B$404,MATCH(ROW()-8,销售录入!$AE$5:$AE$404,0)),"")</f>
        <v>46027</v>
      </c>
      <c r="B9" s="35" t="str">
        <f aca="false">IFERROR(INDEX(销售录入!$E$5:$E$404,MATCH(ROW()-8,销售录入!$AE$5:$AE$404,0)),"")</f>
        <v>A型配件</v>
      </c>
      <c r="C9" s="64" t="n">
        <f aca="false">IFERROR(INDEX(销售录入!$F$5:$F$404,MATCH(ROW()-8,销售录入!$AE$5:$AE$404,0)),"")</f>
        <v>50</v>
      </c>
      <c r="D9" s="54" t="n">
        <f aca="false">IFERROR(INDEX(销售录入!$G$5:$G$404,MATCH(ROW()-8,销售录入!$AE$5:$AE$404,0)),"")</f>
        <v>200</v>
      </c>
      <c r="E9" s="54" t="n">
        <f aca="false">IFERROR(INDEX(销售录入!$Q$5:$Q$404,MATCH(ROW()-8,销售录入!$AE$5:$AE$404,0)),"")</f>
        <v>11300</v>
      </c>
      <c r="F9" s="76" t="n">
        <f aca="false">IFERROR(INDEX(销售录入!$U$5:$U$404,MATCH(ROW()-8,销售录入!$AE$5:$AE$404,0)),"")</f>
        <v>46057</v>
      </c>
      <c r="H9" s="76" t="n">
        <f aca="false">IFERROR(INDEX(资金流水!$B$5:$B$504,MATCH(ROW()-8,资金流水!$V$5:$V$504,0)),"")</f>
        <v>46030</v>
      </c>
      <c r="I9" s="42" t="str">
        <f aca="false">IFERROR(INDEX(资金流水!$F$5:$F$504,MATCH(ROW()-8,资金流水!$V$5:$V$504,0)),"")</f>
        <v>工商银行</v>
      </c>
      <c r="J9" s="54" t="n">
        <f aca="false">IFERROR(INDEX(资金流水!$N$5:$N$504,MATCH(ROW()-8,资金流水!$V$5:$V$504,0)),"")</f>
        <v>50000</v>
      </c>
      <c r="K9" s="35" t="str">
        <f aca="false">IFERROR(INDEX(资金流水!$J$5:$J$504,MATCH(ROW()-8,资金流水!$V$5:$V$504,0)),"")</f>
        <v>收甲客户货款</v>
      </c>
      <c r="L9" s="42" t="str">
        <f aca="false">IFERROR(INDEX(资金流水!$I$5:$I$504,MATCH(ROW()-8,资金流水!$V$5:$V$504,0)),"")</f>
        <v>王强</v>
      </c>
      <c r="M9" s="42" t="str">
        <f aca="false">IFERROR(INDEX(资金流水!$H$5:$H$504,MATCH(ROW()-8,资金流水!$V$5:$V$504,0)),"")</f>
        <v>财务部</v>
      </c>
    </row>
    <row r="10" customFormat="false" ht="15.75" hidden="false" customHeight="true" outlineLevel="0" collapsed="false">
      <c r="A10" s="76" t="n">
        <f aca="false">IFERROR(INDEX(销售录入!$B$5:$B$404,MATCH(ROW()-8,销售录入!$AE$5:$AE$404,0)),"")</f>
        <v>46042</v>
      </c>
      <c r="B10" s="35" t="str">
        <f aca="false">IFERROR(INDEX(销售录入!$E$5:$E$404,MATCH(ROW()-8,销售录入!$AE$5:$AE$404,0)),"")</f>
        <v>C型组件</v>
      </c>
      <c r="C10" s="64" t="n">
        <f aca="false">IFERROR(INDEX(销售录入!$F$5:$F$404,MATCH(ROW()-8,销售录入!$AE$5:$AE$404,0)),"")</f>
        <v>5</v>
      </c>
      <c r="D10" s="54" t="n">
        <f aca="false">IFERROR(INDEX(销售录入!$G$5:$G$404,MATCH(ROW()-8,销售录入!$AE$5:$AE$404,0)),"")</f>
        <v>1200</v>
      </c>
      <c r="E10" s="54" t="n">
        <f aca="false">IFERROR(INDEX(销售录入!$Q$5:$Q$404,MATCH(ROW()-8,销售录入!$AE$5:$AE$404,0)),"")</f>
        <v>6780</v>
      </c>
      <c r="F10" s="76" t="n">
        <f aca="false">IFERROR(INDEX(销售录入!$U$5:$U$404,MATCH(ROW()-8,销售录入!$AE$5:$AE$404,0)),"")</f>
        <v>46072</v>
      </c>
      <c r="H10" s="76" t="str">
        <f aca="false">IFERROR(INDEX(资金流水!$B$5:$B$504,MATCH(ROW()-8,资金流水!$V$5:$V$504,0)),"")</f>
        <v/>
      </c>
      <c r="I10" s="42" t="str">
        <f aca="false">IFERROR(INDEX(资金流水!$F$5:$F$504,MATCH(ROW()-8,资金流水!$V$5:$V$504,0)),"")</f>
        <v/>
      </c>
      <c r="J10" s="54" t="str">
        <f aca="false">IFERROR(INDEX(资金流水!$N$5:$N$504,MATCH(ROW()-8,资金流水!$V$5:$V$504,0)),"")</f>
        <v/>
      </c>
      <c r="K10" s="35" t="str">
        <f aca="false">IFERROR(INDEX(资金流水!$J$5:$J$504,MATCH(ROW()-8,资金流水!$V$5:$V$504,0)),"")</f>
        <v/>
      </c>
      <c r="L10" s="42" t="str">
        <f aca="false">IFERROR(INDEX(资金流水!$I$5:$I$504,MATCH(ROW()-8,资金流水!$V$5:$V$504,0)),"")</f>
        <v/>
      </c>
      <c r="M10" s="42" t="str">
        <f aca="false">IFERROR(INDEX(资金流水!$H$5:$H$504,MATCH(ROW()-8,资金流水!$V$5:$V$504,0)),"")</f>
        <v/>
      </c>
    </row>
    <row r="11" customFormat="false" ht="15.75" hidden="false" customHeight="true" outlineLevel="0" collapsed="false">
      <c r="A11" s="76" t="str">
        <f aca="false">IFERROR(INDEX(销售录入!$B$5:$B$404,MATCH(ROW()-8,销售录入!$AE$5:$AE$404,0)),"")</f>
        <v/>
      </c>
      <c r="B11" s="35" t="str">
        <f aca="false">IFERROR(INDEX(销售录入!$E$5:$E$404,MATCH(ROW()-8,销售录入!$AE$5:$AE$404,0)),"")</f>
        <v/>
      </c>
      <c r="C11" s="64" t="str">
        <f aca="false">IFERROR(INDEX(销售录入!$F$5:$F$404,MATCH(ROW()-8,销售录入!$AE$5:$AE$404,0)),"")</f>
        <v/>
      </c>
      <c r="D11" s="54" t="str">
        <f aca="false">IFERROR(INDEX(销售录入!$G$5:$G$404,MATCH(ROW()-8,销售录入!$AE$5:$AE$404,0)),"")</f>
        <v/>
      </c>
      <c r="E11" s="54" t="str">
        <f aca="false">IFERROR(INDEX(销售录入!$Q$5:$Q$404,MATCH(ROW()-8,销售录入!$AE$5:$AE$404,0)),"")</f>
        <v/>
      </c>
      <c r="F11" s="76" t="str">
        <f aca="false">IFERROR(INDEX(销售录入!$U$5:$U$404,MATCH(ROW()-8,销售录入!$AE$5:$AE$404,0)),"")</f>
        <v/>
      </c>
      <c r="H11" s="76" t="str">
        <f aca="false">IFERROR(INDEX(资金流水!$B$5:$B$504,MATCH(ROW()-8,资金流水!$V$5:$V$504,0)),"")</f>
        <v/>
      </c>
      <c r="I11" s="42" t="str">
        <f aca="false">IFERROR(INDEX(资金流水!$F$5:$F$504,MATCH(ROW()-8,资金流水!$V$5:$V$504,0)),"")</f>
        <v/>
      </c>
      <c r="J11" s="54" t="str">
        <f aca="false">IFERROR(INDEX(资金流水!$N$5:$N$504,MATCH(ROW()-8,资金流水!$V$5:$V$504,0)),"")</f>
        <v/>
      </c>
      <c r="K11" s="35" t="str">
        <f aca="false">IFERROR(INDEX(资金流水!$J$5:$J$504,MATCH(ROW()-8,资金流水!$V$5:$V$504,0)),"")</f>
        <v/>
      </c>
      <c r="L11" s="42" t="str">
        <f aca="false">IFERROR(INDEX(资金流水!$I$5:$I$504,MATCH(ROW()-8,资金流水!$V$5:$V$504,0)),"")</f>
        <v/>
      </c>
      <c r="M11" s="42" t="str">
        <f aca="false">IFERROR(INDEX(资金流水!$H$5:$H$504,MATCH(ROW()-8,资金流水!$V$5:$V$504,0)),"")</f>
        <v/>
      </c>
    </row>
    <row r="12" customFormat="false" ht="15.75" hidden="false" customHeight="true" outlineLevel="0" collapsed="false">
      <c r="A12" s="76" t="str">
        <f aca="false">IFERROR(INDEX(销售录入!$B$5:$B$404,MATCH(ROW()-8,销售录入!$AE$5:$AE$404,0)),"")</f>
        <v/>
      </c>
      <c r="B12" s="35" t="str">
        <f aca="false">IFERROR(INDEX(销售录入!$E$5:$E$404,MATCH(ROW()-8,销售录入!$AE$5:$AE$404,0)),"")</f>
        <v/>
      </c>
      <c r="C12" s="64" t="str">
        <f aca="false">IFERROR(INDEX(销售录入!$F$5:$F$404,MATCH(ROW()-8,销售录入!$AE$5:$AE$404,0)),"")</f>
        <v/>
      </c>
      <c r="D12" s="54" t="str">
        <f aca="false">IFERROR(INDEX(销售录入!$G$5:$G$404,MATCH(ROW()-8,销售录入!$AE$5:$AE$404,0)),"")</f>
        <v/>
      </c>
      <c r="E12" s="54" t="str">
        <f aca="false">IFERROR(INDEX(销售录入!$Q$5:$Q$404,MATCH(ROW()-8,销售录入!$AE$5:$AE$404,0)),"")</f>
        <v/>
      </c>
      <c r="F12" s="76" t="str">
        <f aca="false">IFERROR(INDEX(销售录入!$U$5:$U$404,MATCH(ROW()-8,销售录入!$AE$5:$AE$404,0)),"")</f>
        <v/>
      </c>
      <c r="H12" s="76" t="str">
        <f aca="false">IFERROR(INDEX(资金流水!$B$5:$B$504,MATCH(ROW()-8,资金流水!$V$5:$V$504,0)),"")</f>
        <v/>
      </c>
      <c r="I12" s="42" t="str">
        <f aca="false">IFERROR(INDEX(资金流水!$F$5:$F$504,MATCH(ROW()-8,资金流水!$V$5:$V$504,0)),"")</f>
        <v/>
      </c>
      <c r="J12" s="54" t="str">
        <f aca="false">IFERROR(INDEX(资金流水!$N$5:$N$504,MATCH(ROW()-8,资金流水!$V$5:$V$504,0)),"")</f>
        <v/>
      </c>
      <c r="K12" s="35" t="str">
        <f aca="false">IFERROR(INDEX(资金流水!$J$5:$J$504,MATCH(ROW()-8,资金流水!$V$5:$V$504,0)),"")</f>
        <v/>
      </c>
      <c r="L12" s="42" t="str">
        <f aca="false">IFERROR(INDEX(资金流水!$I$5:$I$504,MATCH(ROW()-8,资金流水!$V$5:$V$504,0)),"")</f>
        <v/>
      </c>
      <c r="M12" s="42" t="str">
        <f aca="false">IFERROR(INDEX(资金流水!$H$5:$H$504,MATCH(ROW()-8,资金流水!$V$5:$V$504,0)),"")</f>
        <v/>
      </c>
    </row>
    <row r="13" customFormat="false" ht="15.75" hidden="false" customHeight="true" outlineLevel="0" collapsed="false">
      <c r="A13" s="76" t="str">
        <f aca="false">IFERROR(INDEX(销售录入!$B$5:$B$404,MATCH(ROW()-8,销售录入!$AE$5:$AE$404,0)),"")</f>
        <v/>
      </c>
      <c r="B13" s="35" t="str">
        <f aca="false">IFERROR(INDEX(销售录入!$E$5:$E$404,MATCH(ROW()-8,销售录入!$AE$5:$AE$404,0)),"")</f>
        <v/>
      </c>
      <c r="C13" s="64" t="str">
        <f aca="false">IFERROR(INDEX(销售录入!$F$5:$F$404,MATCH(ROW()-8,销售录入!$AE$5:$AE$404,0)),"")</f>
        <v/>
      </c>
      <c r="D13" s="54" t="str">
        <f aca="false">IFERROR(INDEX(销售录入!$G$5:$G$404,MATCH(ROW()-8,销售录入!$AE$5:$AE$404,0)),"")</f>
        <v/>
      </c>
      <c r="E13" s="54" t="str">
        <f aca="false">IFERROR(INDEX(销售录入!$Q$5:$Q$404,MATCH(ROW()-8,销售录入!$AE$5:$AE$404,0)),"")</f>
        <v/>
      </c>
      <c r="F13" s="76" t="str">
        <f aca="false">IFERROR(INDEX(销售录入!$U$5:$U$404,MATCH(ROW()-8,销售录入!$AE$5:$AE$404,0)),"")</f>
        <v/>
      </c>
      <c r="H13" s="76" t="str">
        <f aca="false">IFERROR(INDEX(资金流水!$B$5:$B$504,MATCH(ROW()-8,资金流水!$V$5:$V$504,0)),"")</f>
        <v/>
      </c>
      <c r="I13" s="42" t="str">
        <f aca="false">IFERROR(INDEX(资金流水!$F$5:$F$504,MATCH(ROW()-8,资金流水!$V$5:$V$504,0)),"")</f>
        <v/>
      </c>
      <c r="J13" s="54" t="str">
        <f aca="false">IFERROR(INDEX(资金流水!$N$5:$N$504,MATCH(ROW()-8,资金流水!$V$5:$V$504,0)),"")</f>
        <v/>
      </c>
      <c r="K13" s="35" t="str">
        <f aca="false">IFERROR(INDEX(资金流水!$J$5:$J$504,MATCH(ROW()-8,资金流水!$V$5:$V$504,0)),"")</f>
        <v/>
      </c>
      <c r="L13" s="42" t="str">
        <f aca="false">IFERROR(INDEX(资金流水!$I$5:$I$504,MATCH(ROW()-8,资金流水!$V$5:$V$504,0)),"")</f>
        <v/>
      </c>
      <c r="M13" s="42" t="str">
        <f aca="false">IFERROR(INDEX(资金流水!$H$5:$H$504,MATCH(ROW()-8,资金流水!$V$5:$V$504,0)),"")</f>
        <v/>
      </c>
    </row>
    <row r="14" customFormat="false" ht="15.75" hidden="false" customHeight="true" outlineLevel="0" collapsed="false">
      <c r="A14" s="76" t="str">
        <f aca="false">IFERROR(INDEX(销售录入!$B$5:$B$404,MATCH(ROW()-8,销售录入!$AE$5:$AE$404,0)),"")</f>
        <v/>
      </c>
      <c r="B14" s="35" t="str">
        <f aca="false">IFERROR(INDEX(销售录入!$E$5:$E$404,MATCH(ROW()-8,销售录入!$AE$5:$AE$404,0)),"")</f>
        <v/>
      </c>
      <c r="C14" s="64" t="str">
        <f aca="false">IFERROR(INDEX(销售录入!$F$5:$F$404,MATCH(ROW()-8,销售录入!$AE$5:$AE$404,0)),"")</f>
        <v/>
      </c>
      <c r="D14" s="54" t="str">
        <f aca="false">IFERROR(INDEX(销售录入!$G$5:$G$404,MATCH(ROW()-8,销售录入!$AE$5:$AE$404,0)),"")</f>
        <v/>
      </c>
      <c r="E14" s="54" t="str">
        <f aca="false">IFERROR(INDEX(销售录入!$Q$5:$Q$404,MATCH(ROW()-8,销售录入!$AE$5:$AE$404,0)),"")</f>
        <v/>
      </c>
      <c r="F14" s="76" t="str">
        <f aca="false">IFERROR(INDEX(销售录入!$U$5:$U$404,MATCH(ROW()-8,销售录入!$AE$5:$AE$404,0)),"")</f>
        <v/>
      </c>
      <c r="H14" s="76" t="str">
        <f aca="false">IFERROR(INDEX(资金流水!$B$5:$B$504,MATCH(ROW()-8,资金流水!$V$5:$V$504,0)),"")</f>
        <v/>
      </c>
      <c r="I14" s="42" t="str">
        <f aca="false">IFERROR(INDEX(资金流水!$F$5:$F$504,MATCH(ROW()-8,资金流水!$V$5:$V$504,0)),"")</f>
        <v/>
      </c>
      <c r="J14" s="54" t="str">
        <f aca="false">IFERROR(INDEX(资金流水!$N$5:$N$504,MATCH(ROW()-8,资金流水!$V$5:$V$504,0)),"")</f>
        <v/>
      </c>
      <c r="K14" s="35" t="str">
        <f aca="false">IFERROR(INDEX(资金流水!$J$5:$J$504,MATCH(ROW()-8,资金流水!$V$5:$V$504,0)),"")</f>
        <v/>
      </c>
      <c r="L14" s="42" t="str">
        <f aca="false">IFERROR(INDEX(资金流水!$I$5:$I$504,MATCH(ROW()-8,资金流水!$V$5:$V$504,0)),"")</f>
        <v/>
      </c>
      <c r="M14" s="42" t="str">
        <f aca="false">IFERROR(INDEX(资金流水!$H$5:$H$504,MATCH(ROW()-8,资金流水!$V$5:$V$504,0)),"")</f>
        <v/>
      </c>
    </row>
    <row r="15" customFormat="false" ht="15.75" hidden="false" customHeight="true" outlineLevel="0" collapsed="false">
      <c r="A15" s="76" t="str">
        <f aca="false">IFERROR(INDEX(销售录入!$B$5:$B$404,MATCH(ROW()-8,销售录入!$AE$5:$AE$404,0)),"")</f>
        <v/>
      </c>
      <c r="B15" s="35" t="str">
        <f aca="false">IFERROR(INDEX(销售录入!$E$5:$E$404,MATCH(ROW()-8,销售录入!$AE$5:$AE$404,0)),"")</f>
        <v/>
      </c>
      <c r="C15" s="64" t="str">
        <f aca="false">IFERROR(INDEX(销售录入!$F$5:$F$404,MATCH(ROW()-8,销售录入!$AE$5:$AE$404,0)),"")</f>
        <v/>
      </c>
      <c r="D15" s="54" t="str">
        <f aca="false">IFERROR(INDEX(销售录入!$G$5:$G$404,MATCH(ROW()-8,销售录入!$AE$5:$AE$404,0)),"")</f>
        <v/>
      </c>
      <c r="E15" s="54" t="str">
        <f aca="false">IFERROR(INDEX(销售录入!$Q$5:$Q$404,MATCH(ROW()-8,销售录入!$AE$5:$AE$404,0)),"")</f>
        <v/>
      </c>
      <c r="F15" s="76" t="str">
        <f aca="false">IFERROR(INDEX(销售录入!$U$5:$U$404,MATCH(ROW()-8,销售录入!$AE$5:$AE$404,0)),"")</f>
        <v/>
      </c>
      <c r="H15" s="76" t="str">
        <f aca="false">IFERROR(INDEX(资金流水!$B$5:$B$504,MATCH(ROW()-8,资金流水!$V$5:$V$504,0)),"")</f>
        <v/>
      </c>
      <c r="I15" s="42" t="str">
        <f aca="false">IFERROR(INDEX(资金流水!$F$5:$F$504,MATCH(ROW()-8,资金流水!$V$5:$V$504,0)),"")</f>
        <v/>
      </c>
      <c r="J15" s="54" t="str">
        <f aca="false">IFERROR(INDEX(资金流水!$N$5:$N$504,MATCH(ROW()-8,资金流水!$V$5:$V$504,0)),"")</f>
        <v/>
      </c>
      <c r="K15" s="35" t="str">
        <f aca="false">IFERROR(INDEX(资金流水!$J$5:$J$504,MATCH(ROW()-8,资金流水!$V$5:$V$504,0)),"")</f>
        <v/>
      </c>
      <c r="L15" s="42" t="str">
        <f aca="false">IFERROR(INDEX(资金流水!$I$5:$I$504,MATCH(ROW()-8,资金流水!$V$5:$V$504,0)),"")</f>
        <v/>
      </c>
      <c r="M15" s="42" t="str">
        <f aca="false">IFERROR(INDEX(资金流水!$H$5:$H$504,MATCH(ROW()-8,资金流水!$V$5:$V$504,0)),"")</f>
        <v/>
      </c>
    </row>
    <row r="16" customFormat="false" ht="15.75" hidden="false" customHeight="true" outlineLevel="0" collapsed="false">
      <c r="A16" s="76" t="str">
        <f aca="false">IFERROR(INDEX(销售录入!$B$5:$B$404,MATCH(ROW()-8,销售录入!$AE$5:$AE$404,0)),"")</f>
        <v/>
      </c>
      <c r="B16" s="35" t="str">
        <f aca="false">IFERROR(INDEX(销售录入!$E$5:$E$404,MATCH(ROW()-8,销售录入!$AE$5:$AE$404,0)),"")</f>
        <v/>
      </c>
      <c r="C16" s="64" t="str">
        <f aca="false">IFERROR(INDEX(销售录入!$F$5:$F$404,MATCH(ROW()-8,销售录入!$AE$5:$AE$404,0)),"")</f>
        <v/>
      </c>
      <c r="D16" s="54" t="str">
        <f aca="false">IFERROR(INDEX(销售录入!$G$5:$G$404,MATCH(ROW()-8,销售录入!$AE$5:$AE$404,0)),"")</f>
        <v/>
      </c>
      <c r="E16" s="54" t="str">
        <f aca="false">IFERROR(INDEX(销售录入!$Q$5:$Q$404,MATCH(ROW()-8,销售录入!$AE$5:$AE$404,0)),"")</f>
        <v/>
      </c>
      <c r="F16" s="76" t="str">
        <f aca="false">IFERROR(INDEX(销售录入!$U$5:$U$404,MATCH(ROW()-8,销售录入!$AE$5:$AE$404,0)),"")</f>
        <v/>
      </c>
      <c r="H16" s="76" t="str">
        <f aca="false">IFERROR(INDEX(资金流水!$B$5:$B$504,MATCH(ROW()-8,资金流水!$V$5:$V$504,0)),"")</f>
        <v/>
      </c>
      <c r="I16" s="42" t="str">
        <f aca="false">IFERROR(INDEX(资金流水!$F$5:$F$504,MATCH(ROW()-8,资金流水!$V$5:$V$504,0)),"")</f>
        <v/>
      </c>
      <c r="J16" s="54" t="str">
        <f aca="false">IFERROR(INDEX(资金流水!$N$5:$N$504,MATCH(ROW()-8,资金流水!$V$5:$V$504,0)),"")</f>
        <v/>
      </c>
      <c r="K16" s="35" t="str">
        <f aca="false">IFERROR(INDEX(资金流水!$J$5:$J$504,MATCH(ROW()-8,资金流水!$V$5:$V$504,0)),"")</f>
        <v/>
      </c>
      <c r="L16" s="42" t="str">
        <f aca="false">IFERROR(INDEX(资金流水!$I$5:$I$504,MATCH(ROW()-8,资金流水!$V$5:$V$504,0)),"")</f>
        <v/>
      </c>
      <c r="M16" s="42" t="str">
        <f aca="false">IFERROR(INDEX(资金流水!$H$5:$H$504,MATCH(ROW()-8,资金流水!$V$5:$V$504,0)),"")</f>
        <v/>
      </c>
    </row>
    <row r="17" customFormat="false" ht="15.75" hidden="false" customHeight="true" outlineLevel="0" collapsed="false">
      <c r="A17" s="76" t="str">
        <f aca="false">IFERROR(INDEX(销售录入!$B$5:$B$404,MATCH(ROW()-8,销售录入!$AE$5:$AE$404,0)),"")</f>
        <v/>
      </c>
      <c r="B17" s="35" t="str">
        <f aca="false">IFERROR(INDEX(销售录入!$E$5:$E$404,MATCH(ROW()-8,销售录入!$AE$5:$AE$404,0)),"")</f>
        <v/>
      </c>
      <c r="C17" s="64" t="str">
        <f aca="false">IFERROR(INDEX(销售录入!$F$5:$F$404,MATCH(ROW()-8,销售录入!$AE$5:$AE$404,0)),"")</f>
        <v/>
      </c>
      <c r="D17" s="54" t="str">
        <f aca="false">IFERROR(INDEX(销售录入!$G$5:$G$404,MATCH(ROW()-8,销售录入!$AE$5:$AE$404,0)),"")</f>
        <v/>
      </c>
      <c r="E17" s="54" t="str">
        <f aca="false">IFERROR(INDEX(销售录入!$Q$5:$Q$404,MATCH(ROW()-8,销售录入!$AE$5:$AE$404,0)),"")</f>
        <v/>
      </c>
      <c r="F17" s="76" t="str">
        <f aca="false">IFERROR(INDEX(销售录入!$U$5:$U$404,MATCH(ROW()-8,销售录入!$AE$5:$AE$404,0)),"")</f>
        <v/>
      </c>
      <c r="H17" s="76" t="str">
        <f aca="false">IFERROR(INDEX(资金流水!$B$5:$B$504,MATCH(ROW()-8,资金流水!$V$5:$V$504,0)),"")</f>
        <v/>
      </c>
      <c r="I17" s="42" t="str">
        <f aca="false">IFERROR(INDEX(资金流水!$F$5:$F$504,MATCH(ROW()-8,资金流水!$V$5:$V$504,0)),"")</f>
        <v/>
      </c>
      <c r="J17" s="54" t="str">
        <f aca="false">IFERROR(INDEX(资金流水!$N$5:$N$504,MATCH(ROW()-8,资金流水!$V$5:$V$504,0)),"")</f>
        <v/>
      </c>
      <c r="K17" s="35" t="str">
        <f aca="false">IFERROR(INDEX(资金流水!$J$5:$J$504,MATCH(ROW()-8,资金流水!$V$5:$V$504,0)),"")</f>
        <v/>
      </c>
      <c r="L17" s="42" t="str">
        <f aca="false">IFERROR(INDEX(资金流水!$I$5:$I$504,MATCH(ROW()-8,资金流水!$V$5:$V$504,0)),"")</f>
        <v/>
      </c>
      <c r="M17" s="42" t="str">
        <f aca="false">IFERROR(INDEX(资金流水!$H$5:$H$504,MATCH(ROW()-8,资金流水!$V$5:$V$504,0)),"")</f>
        <v/>
      </c>
    </row>
    <row r="18" customFormat="false" ht="15.75" hidden="false" customHeight="true" outlineLevel="0" collapsed="false">
      <c r="A18" s="76" t="str">
        <f aca="false">IFERROR(INDEX(销售录入!$B$5:$B$404,MATCH(ROW()-8,销售录入!$AE$5:$AE$404,0)),"")</f>
        <v/>
      </c>
      <c r="B18" s="35" t="str">
        <f aca="false">IFERROR(INDEX(销售录入!$E$5:$E$404,MATCH(ROW()-8,销售录入!$AE$5:$AE$404,0)),"")</f>
        <v/>
      </c>
      <c r="C18" s="64" t="str">
        <f aca="false">IFERROR(INDEX(销售录入!$F$5:$F$404,MATCH(ROW()-8,销售录入!$AE$5:$AE$404,0)),"")</f>
        <v/>
      </c>
      <c r="D18" s="54" t="str">
        <f aca="false">IFERROR(INDEX(销售录入!$G$5:$G$404,MATCH(ROW()-8,销售录入!$AE$5:$AE$404,0)),"")</f>
        <v/>
      </c>
      <c r="E18" s="54" t="str">
        <f aca="false">IFERROR(INDEX(销售录入!$Q$5:$Q$404,MATCH(ROW()-8,销售录入!$AE$5:$AE$404,0)),"")</f>
        <v/>
      </c>
      <c r="F18" s="76" t="str">
        <f aca="false">IFERROR(INDEX(销售录入!$U$5:$U$404,MATCH(ROW()-8,销售录入!$AE$5:$AE$404,0)),"")</f>
        <v/>
      </c>
      <c r="H18" s="76" t="str">
        <f aca="false">IFERROR(INDEX(资金流水!$B$5:$B$504,MATCH(ROW()-8,资金流水!$V$5:$V$504,0)),"")</f>
        <v/>
      </c>
      <c r="I18" s="42" t="str">
        <f aca="false">IFERROR(INDEX(资金流水!$F$5:$F$504,MATCH(ROW()-8,资金流水!$V$5:$V$504,0)),"")</f>
        <v/>
      </c>
      <c r="J18" s="54" t="str">
        <f aca="false">IFERROR(INDEX(资金流水!$N$5:$N$504,MATCH(ROW()-8,资金流水!$V$5:$V$504,0)),"")</f>
        <v/>
      </c>
      <c r="K18" s="35" t="str">
        <f aca="false">IFERROR(INDEX(资金流水!$J$5:$J$504,MATCH(ROW()-8,资金流水!$V$5:$V$504,0)),"")</f>
        <v/>
      </c>
      <c r="L18" s="42" t="str">
        <f aca="false">IFERROR(INDEX(资金流水!$I$5:$I$504,MATCH(ROW()-8,资金流水!$V$5:$V$504,0)),"")</f>
        <v/>
      </c>
      <c r="M18" s="42" t="str">
        <f aca="false">IFERROR(INDEX(资金流水!$H$5:$H$504,MATCH(ROW()-8,资金流水!$V$5:$V$504,0)),"")</f>
        <v/>
      </c>
    </row>
    <row r="19" customFormat="false" ht="15.75" hidden="false" customHeight="true" outlineLevel="0" collapsed="false">
      <c r="A19" s="76" t="str">
        <f aca="false">IFERROR(INDEX(销售录入!$B$5:$B$404,MATCH(ROW()-8,销售录入!$AE$5:$AE$404,0)),"")</f>
        <v/>
      </c>
      <c r="B19" s="35" t="str">
        <f aca="false">IFERROR(INDEX(销售录入!$E$5:$E$404,MATCH(ROW()-8,销售录入!$AE$5:$AE$404,0)),"")</f>
        <v/>
      </c>
      <c r="C19" s="64" t="str">
        <f aca="false">IFERROR(INDEX(销售录入!$F$5:$F$404,MATCH(ROW()-8,销售录入!$AE$5:$AE$404,0)),"")</f>
        <v/>
      </c>
      <c r="D19" s="54" t="str">
        <f aca="false">IFERROR(INDEX(销售录入!$G$5:$G$404,MATCH(ROW()-8,销售录入!$AE$5:$AE$404,0)),"")</f>
        <v/>
      </c>
      <c r="E19" s="54" t="str">
        <f aca="false">IFERROR(INDEX(销售录入!$Q$5:$Q$404,MATCH(ROW()-8,销售录入!$AE$5:$AE$404,0)),"")</f>
        <v/>
      </c>
      <c r="F19" s="76" t="str">
        <f aca="false">IFERROR(INDEX(销售录入!$U$5:$U$404,MATCH(ROW()-8,销售录入!$AE$5:$AE$404,0)),"")</f>
        <v/>
      </c>
      <c r="H19" s="76" t="str">
        <f aca="false">IFERROR(INDEX(资金流水!$B$5:$B$504,MATCH(ROW()-8,资金流水!$V$5:$V$504,0)),"")</f>
        <v/>
      </c>
      <c r="I19" s="42" t="str">
        <f aca="false">IFERROR(INDEX(资金流水!$F$5:$F$504,MATCH(ROW()-8,资金流水!$V$5:$V$504,0)),"")</f>
        <v/>
      </c>
      <c r="J19" s="54" t="str">
        <f aca="false">IFERROR(INDEX(资金流水!$N$5:$N$504,MATCH(ROW()-8,资金流水!$V$5:$V$504,0)),"")</f>
        <v/>
      </c>
      <c r="K19" s="35" t="str">
        <f aca="false">IFERROR(INDEX(资金流水!$J$5:$J$504,MATCH(ROW()-8,资金流水!$V$5:$V$504,0)),"")</f>
        <v/>
      </c>
      <c r="L19" s="42" t="str">
        <f aca="false">IFERROR(INDEX(资金流水!$I$5:$I$504,MATCH(ROW()-8,资金流水!$V$5:$V$504,0)),"")</f>
        <v/>
      </c>
      <c r="M19" s="42" t="str">
        <f aca="false">IFERROR(INDEX(资金流水!$H$5:$H$504,MATCH(ROW()-8,资金流水!$V$5:$V$504,0)),"")</f>
        <v/>
      </c>
    </row>
    <row r="20" customFormat="false" ht="15.75" hidden="false" customHeight="true" outlineLevel="0" collapsed="false">
      <c r="A20" s="76" t="str">
        <f aca="false">IFERROR(INDEX(销售录入!$B$5:$B$404,MATCH(ROW()-8,销售录入!$AE$5:$AE$404,0)),"")</f>
        <v/>
      </c>
      <c r="B20" s="35" t="str">
        <f aca="false">IFERROR(INDEX(销售录入!$E$5:$E$404,MATCH(ROW()-8,销售录入!$AE$5:$AE$404,0)),"")</f>
        <v/>
      </c>
      <c r="C20" s="64" t="str">
        <f aca="false">IFERROR(INDEX(销售录入!$F$5:$F$404,MATCH(ROW()-8,销售录入!$AE$5:$AE$404,0)),"")</f>
        <v/>
      </c>
      <c r="D20" s="54" t="str">
        <f aca="false">IFERROR(INDEX(销售录入!$G$5:$G$404,MATCH(ROW()-8,销售录入!$AE$5:$AE$404,0)),"")</f>
        <v/>
      </c>
      <c r="E20" s="54" t="str">
        <f aca="false">IFERROR(INDEX(销售录入!$Q$5:$Q$404,MATCH(ROW()-8,销售录入!$AE$5:$AE$404,0)),"")</f>
        <v/>
      </c>
      <c r="F20" s="76" t="str">
        <f aca="false">IFERROR(INDEX(销售录入!$U$5:$U$404,MATCH(ROW()-8,销售录入!$AE$5:$AE$404,0)),"")</f>
        <v/>
      </c>
      <c r="H20" s="76" t="str">
        <f aca="false">IFERROR(INDEX(资金流水!$B$5:$B$504,MATCH(ROW()-8,资金流水!$V$5:$V$504,0)),"")</f>
        <v/>
      </c>
      <c r="I20" s="42" t="str">
        <f aca="false">IFERROR(INDEX(资金流水!$F$5:$F$504,MATCH(ROW()-8,资金流水!$V$5:$V$504,0)),"")</f>
        <v/>
      </c>
      <c r="J20" s="54" t="str">
        <f aca="false">IFERROR(INDEX(资金流水!$N$5:$N$504,MATCH(ROW()-8,资金流水!$V$5:$V$504,0)),"")</f>
        <v/>
      </c>
      <c r="K20" s="35" t="str">
        <f aca="false">IFERROR(INDEX(资金流水!$J$5:$J$504,MATCH(ROW()-8,资金流水!$V$5:$V$504,0)),"")</f>
        <v/>
      </c>
      <c r="L20" s="42" t="str">
        <f aca="false">IFERROR(INDEX(资金流水!$I$5:$I$504,MATCH(ROW()-8,资金流水!$V$5:$V$504,0)),"")</f>
        <v/>
      </c>
      <c r="M20" s="42" t="str">
        <f aca="false">IFERROR(INDEX(资金流水!$H$5:$H$504,MATCH(ROW()-8,资金流水!$V$5:$V$504,0)),"")</f>
        <v/>
      </c>
    </row>
    <row r="21" customFormat="false" ht="15.75" hidden="false" customHeight="true" outlineLevel="0" collapsed="false">
      <c r="A21" s="76" t="str">
        <f aca="false">IFERROR(INDEX(销售录入!$B$5:$B$404,MATCH(ROW()-8,销售录入!$AE$5:$AE$404,0)),"")</f>
        <v/>
      </c>
      <c r="B21" s="35" t="str">
        <f aca="false">IFERROR(INDEX(销售录入!$E$5:$E$404,MATCH(ROW()-8,销售录入!$AE$5:$AE$404,0)),"")</f>
        <v/>
      </c>
      <c r="C21" s="64" t="str">
        <f aca="false">IFERROR(INDEX(销售录入!$F$5:$F$404,MATCH(ROW()-8,销售录入!$AE$5:$AE$404,0)),"")</f>
        <v/>
      </c>
      <c r="D21" s="54" t="str">
        <f aca="false">IFERROR(INDEX(销售录入!$G$5:$G$404,MATCH(ROW()-8,销售录入!$AE$5:$AE$404,0)),"")</f>
        <v/>
      </c>
      <c r="E21" s="54" t="str">
        <f aca="false">IFERROR(INDEX(销售录入!$Q$5:$Q$404,MATCH(ROW()-8,销售录入!$AE$5:$AE$404,0)),"")</f>
        <v/>
      </c>
      <c r="F21" s="76" t="str">
        <f aca="false">IFERROR(INDEX(销售录入!$U$5:$U$404,MATCH(ROW()-8,销售录入!$AE$5:$AE$404,0)),"")</f>
        <v/>
      </c>
      <c r="H21" s="76" t="str">
        <f aca="false">IFERROR(INDEX(资金流水!$B$5:$B$504,MATCH(ROW()-8,资金流水!$V$5:$V$504,0)),"")</f>
        <v/>
      </c>
      <c r="I21" s="42" t="str">
        <f aca="false">IFERROR(INDEX(资金流水!$F$5:$F$504,MATCH(ROW()-8,资金流水!$V$5:$V$504,0)),"")</f>
        <v/>
      </c>
      <c r="J21" s="54" t="str">
        <f aca="false">IFERROR(INDEX(资金流水!$N$5:$N$504,MATCH(ROW()-8,资金流水!$V$5:$V$504,0)),"")</f>
        <v/>
      </c>
      <c r="K21" s="35" t="str">
        <f aca="false">IFERROR(INDEX(资金流水!$J$5:$J$504,MATCH(ROW()-8,资金流水!$V$5:$V$504,0)),"")</f>
        <v/>
      </c>
      <c r="L21" s="42" t="str">
        <f aca="false">IFERROR(INDEX(资金流水!$I$5:$I$504,MATCH(ROW()-8,资金流水!$V$5:$V$504,0)),"")</f>
        <v/>
      </c>
      <c r="M21" s="42" t="str">
        <f aca="false">IFERROR(INDEX(资金流水!$H$5:$H$504,MATCH(ROW()-8,资金流水!$V$5:$V$504,0)),"")</f>
        <v/>
      </c>
    </row>
    <row r="22" customFormat="false" ht="15.75" hidden="false" customHeight="true" outlineLevel="0" collapsed="false">
      <c r="A22" s="76" t="str">
        <f aca="false">IFERROR(INDEX(销售录入!$B$5:$B$404,MATCH(ROW()-8,销售录入!$AE$5:$AE$404,0)),"")</f>
        <v/>
      </c>
      <c r="B22" s="35" t="str">
        <f aca="false">IFERROR(INDEX(销售录入!$E$5:$E$404,MATCH(ROW()-8,销售录入!$AE$5:$AE$404,0)),"")</f>
        <v/>
      </c>
      <c r="C22" s="64" t="str">
        <f aca="false">IFERROR(INDEX(销售录入!$F$5:$F$404,MATCH(ROW()-8,销售录入!$AE$5:$AE$404,0)),"")</f>
        <v/>
      </c>
      <c r="D22" s="54" t="str">
        <f aca="false">IFERROR(INDEX(销售录入!$G$5:$G$404,MATCH(ROW()-8,销售录入!$AE$5:$AE$404,0)),"")</f>
        <v/>
      </c>
      <c r="E22" s="54" t="str">
        <f aca="false">IFERROR(INDEX(销售录入!$Q$5:$Q$404,MATCH(ROW()-8,销售录入!$AE$5:$AE$404,0)),"")</f>
        <v/>
      </c>
      <c r="F22" s="76" t="str">
        <f aca="false">IFERROR(INDEX(销售录入!$U$5:$U$404,MATCH(ROW()-8,销售录入!$AE$5:$AE$404,0)),"")</f>
        <v/>
      </c>
      <c r="H22" s="76" t="str">
        <f aca="false">IFERROR(INDEX(资金流水!$B$5:$B$504,MATCH(ROW()-8,资金流水!$V$5:$V$504,0)),"")</f>
        <v/>
      </c>
      <c r="I22" s="42" t="str">
        <f aca="false">IFERROR(INDEX(资金流水!$F$5:$F$504,MATCH(ROW()-8,资金流水!$V$5:$V$504,0)),"")</f>
        <v/>
      </c>
      <c r="J22" s="54" t="str">
        <f aca="false">IFERROR(INDEX(资金流水!$N$5:$N$504,MATCH(ROW()-8,资金流水!$V$5:$V$504,0)),"")</f>
        <v/>
      </c>
      <c r="K22" s="35" t="str">
        <f aca="false">IFERROR(INDEX(资金流水!$J$5:$J$504,MATCH(ROW()-8,资金流水!$V$5:$V$504,0)),"")</f>
        <v/>
      </c>
      <c r="L22" s="42" t="str">
        <f aca="false">IFERROR(INDEX(资金流水!$I$5:$I$504,MATCH(ROW()-8,资金流水!$V$5:$V$504,0)),"")</f>
        <v/>
      </c>
      <c r="M22" s="42" t="str">
        <f aca="false">IFERROR(INDEX(资金流水!$H$5:$H$504,MATCH(ROW()-8,资金流水!$V$5:$V$504,0)),"")</f>
        <v/>
      </c>
    </row>
    <row r="23" customFormat="false" ht="15.75" hidden="false" customHeight="true" outlineLevel="0" collapsed="false">
      <c r="A23" s="76" t="str">
        <f aca="false">IFERROR(INDEX(销售录入!$B$5:$B$404,MATCH(ROW()-8,销售录入!$AE$5:$AE$404,0)),"")</f>
        <v/>
      </c>
      <c r="B23" s="35" t="str">
        <f aca="false">IFERROR(INDEX(销售录入!$E$5:$E$404,MATCH(ROW()-8,销售录入!$AE$5:$AE$404,0)),"")</f>
        <v/>
      </c>
      <c r="C23" s="64" t="str">
        <f aca="false">IFERROR(INDEX(销售录入!$F$5:$F$404,MATCH(ROW()-8,销售录入!$AE$5:$AE$404,0)),"")</f>
        <v/>
      </c>
      <c r="D23" s="54" t="str">
        <f aca="false">IFERROR(INDEX(销售录入!$G$5:$G$404,MATCH(ROW()-8,销售录入!$AE$5:$AE$404,0)),"")</f>
        <v/>
      </c>
      <c r="E23" s="54" t="str">
        <f aca="false">IFERROR(INDEX(销售录入!$Q$5:$Q$404,MATCH(ROW()-8,销售录入!$AE$5:$AE$404,0)),"")</f>
        <v/>
      </c>
      <c r="F23" s="76" t="str">
        <f aca="false">IFERROR(INDEX(销售录入!$U$5:$U$404,MATCH(ROW()-8,销售录入!$AE$5:$AE$404,0)),"")</f>
        <v/>
      </c>
      <c r="H23" s="76" t="str">
        <f aca="false">IFERROR(INDEX(资金流水!$B$5:$B$504,MATCH(ROW()-8,资金流水!$V$5:$V$504,0)),"")</f>
        <v/>
      </c>
      <c r="I23" s="42" t="str">
        <f aca="false">IFERROR(INDEX(资金流水!$F$5:$F$504,MATCH(ROW()-8,资金流水!$V$5:$V$504,0)),"")</f>
        <v/>
      </c>
      <c r="J23" s="54" t="str">
        <f aca="false">IFERROR(INDEX(资金流水!$N$5:$N$504,MATCH(ROW()-8,资金流水!$V$5:$V$504,0)),"")</f>
        <v/>
      </c>
      <c r="K23" s="35" t="str">
        <f aca="false">IFERROR(INDEX(资金流水!$J$5:$J$504,MATCH(ROW()-8,资金流水!$V$5:$V$504,0)),"")</f>
        <v/>
      </c>
      <c r="L23" s="42" t="str">
        <f aca="false">IFERROR(INDEX(资金流水!$I$5:$I$504,MATCH(ROW()-8,资金流水!$V$5:$V$504,0)),"")</f>
        <v/>
      </c>
      <c r="M23" s="42" t="str">
        <f aca="false">IFERROR(INDEX(资金流水!$H$5:$H$504,MATCH(ROW()-8,资金流水!$V$5:$V$504,0)),"")</f>
        <v/>
      </c>
    </row>
    <row r="24" customFormat="false" ht="15.75" hidden="false" customHeight="true" outlineLevel="0" collapsed="false">
      <c r="A24" s="76" t="str">
        <f aca="false">IFERROR(INDEX(销售录入!$B$5:$B$404,MATCH(ROW()-8,销售录入!$AE$5:$AE$404,0)),"")</f>
        <v/>
      </c>
      <c r="B24" s="35" t="str">
        <f aca="false">IFERROR(INDEX(销售录入!$E$5:$E$404,MATCH(ROW()-8,销售录入!$AE$5:$AE$404,0)),"")</f>
        <v/>
      </c>
      <c r="C24" s="64" t="str">
        <f aca="false">IFERROR(INDEX(销售录入!$F$5:$F$404,MATCH(ROW()-8,销售录入!$AE$5:$AE$404,0)),"")</f>
        <v/>
      </c>
      <c r="D24" s="54" t="str">
        <f aca="false">IFERROR(INDEX(销售录入!$G$5:$G$404,MATCH(ROW()-8,销售录入!$AE$5:$AE$404,0)),"")</f>
        <v/>
      </c>
      <c r="E24" s="54" t="str">
        <f aca="false">IFERROR(INDEX(销售录入!$Q$5:$Q$404,MATCH(ROW()-8,销售录入!$AE$5:$AE$404,0)),"")</f>
        <v/>
      </c>
      <c r="F24" s="76" t="str">
        <f aca="false">IFERROR(INDEX(销售录入!$U$5:$U$404,MATCH(ROW()-8,销售录入!$AE$5:$AE$404,0)),"")</f>
        <v/>
      </c>
      <c r="H24" s="76" t="str">
        <f aca="false">IFERROR(INDEX(资金流水!$B$5:$B$504,MATCH(ROW()-8,资金流水!$V$5:$V$504,0)),"")</f>
        <v/>
      </c>
      <c r="I24" s="42" t="str">
        <f aca="false">IFERROR(INDEX(资金流水!$F$5:$F$504,MATCH(ROW()-8,资金流水!$V$5:$V$504,0)),"")</f>
        <v/>
      </c>
      <c r="J24" s="54" t="str">
        <f aca="false">IFERROR(INDEX(资金流水!$N$5:$N$504,MATCH(ROW()-8,资金流水!$V$5:$V$504,0)),"")</f>
        <v/>
      </c>
      <c r="K24" s="35" t="str">
        <f aca="false">IFERROR(INDEX(资金流水!$J$5:$J$504,MATCH(ROW()-8,资金流水!$V$5:$V$504,0)),"")</f>
        <v/>
      </c>
      <c r="L24" s="42" t="str">
        <f aca="false">IFERROR(INDEX(资金流水!$I$5:$I$504,MATCH(ROW()-8,资金流水!$V$5:$V$504,0)),"")</f>
        <v/>
      </c>
      <c r="M24" s="42" t="str">
        <f aca="false">IFERROR(INDEX(资金流水!$H$5:$H$504,MATCH(ROW()-8,资金流水!$V$5:$V$504,0)),"")</f>
        <v/>
      </c>
    </row>
    <row r="25" customFormat="false" ht="15.75" hidden="false" customHeight="true" outlineLevel="0" collapsed="false">
      <c r="A25" s="76" t="str">
        <f aca="false">IFERROR(INDEX(销售录入!$B$5:$B$404,MATCH(ROW()-8,销售录入!$AE$5:$AE$404,0)),"")</f>
        <v/>
      </c>
      <c r="B25" s="35" t="str">
        <f aca="false">IFERROR(INDEX(销售录入!$E$5:$E$404,MATCH(ROW()-8,销售录入!$AE$5:$AE$404,0)),"")</f>
        <v/>
      </c>
      <c r="C25" s="64" t="str">
        <f aca="false">IFERROR(INDEX(销售录入!$F$5:$F$404,MATCH(ROW()-8,销售录入!$AE$5:$AE$404,0)),"")</f>
        <v/>
      </c>
      <c r="D25" s="54" t="str">
        <f aca="false">IFERROR(INDEX(销售录入!$G$5:$G$404,MATCH(ROW()-8,销售录入!$AE$5:$AE$404,0)),"")</f>
        <v/>
      </c>
      <c r="E25" s="54" t="str">
        <f aca="false">IFERROR(INDEX(销售录入!$Q$5:$Q$404,MATCH(ROW()-8,销售录入!$AE$5:$AE$404,0)),"")</f>
        <v/>
      </c>
      <c r="F25" s="76" t="str">
        <f aca="false">IFERROR(INDEX(销售录入!$U$5:$U$404,MATCH(ROW()-8,销售录入!$AE$5:$AE$404,0)),"")</f>
        <v/>
      </c>
      <c r="H25" s="76" t="str">
        <f aca="false">IFERROR(INDEX(资金流水!$B$5:$B$504,MATCH(ROW()-8,资金流水!$V$5:$V$504,0)),"")</f>
        <v/>
      </c>
      <c r="I25" s="42" t="str">
        <f aca="false">IFERROR(INDEX(资金流水!$F$5:$F$504,MATCH(ROW()-8,资金流水!$V$5:$V$504,0)),"")</f>
        <v/>
      </c>
      <c r="J25" s="54" t="str">
        <f aca="false">IFERROR(INDEX(资金流水!$N$5:$N$504,MATCH(ROW()-8,资金流水!$V$5:$V$504,0)),"")</f>
        <v/>
      </c>
      <c r="K25" s="35" t="str">
        <f aca="false">IFERROR(INDEX(资金流水!$J$5:$J$504,MATCH(ROW()-8,资金流水!$V$5:$V$504,0)),"")</f>
        <v/>
      </c>
      <c r="L25" s="42" t="str">
        <f aca="false">IFERROR(INDEX(资金流水!$I$5:$I$504,MATCH(ROW()-8,资金流水!$V$5:$V$504,0)),"")</f>
        <v/>
      </c>
      <c r="M25" s="42" t="str">
        <f aca="false">IFERROR(INDEX(资金流水!$H$5:$H$504,MATCH(ROW()-8,资金流水!$V$5:$V$504,0)),"")</f>
        <v/>
      </c>
    </row>
    <row r="26" customFormat="false" ht="15.75" hidden="false" customHeight="true" outlineLevel="0" collapsed="false">
      <c r="A26" s="76" t="str">
        <f aca="false">IFERROR(INDEX(销售录入!$B$5:$B$404,MATCH(ROW()-8,销售录入!$AE$5:$AE$404,0)),"")</f>
        <v/>
      </c>
      <c r="B26" s="35" t="str">
        <f aca="false">IFERROR(INDEX(销售录入!$E$5:$E$404,MATCH(ROW()-8,销售录入!$AE$5:$AE$404,0)),"")</f>
        <v/>
      </c>
      <c r="C26" s="64" t="str">
        <f aca="false">IFERROR(INDEX(销售录入!$F$5:$F$404,MATCH(ROW()-8,销售录入!$AE$5:$AE$404,0)),"")</f>
        <v/>
      </c>
      <c r="D26" s="54" t="str">
        <f aca="false">IFERROR(INDEX(销售录入!$G$5:$G$404,MATCH(ROW()-8,销售录入!$AE$5:$AE$404,0)),"")</f>
        <v/>
      </c>
      <c r="E26" s="54" t="str">
        <f aca="false">IFERROR(INDEX(销售录入!$Q$5:$Q$404,MATCH(ROW()-8,销售录入!$AE$5:$AE$404,0)),"")</f>
        <v/>
      </c>
      <c r="F26" s="76" t="str">
        <f aca="false">IFERROR(INDEX(销售录入!$U$5:$U$404,MATCH(ROW()-8,销售录入!$AE$5:$AE$404,0)),"")</f>
        <v/>
      </c>
      <c r="H26" s="76" t="str">
        <f aca="false">IFERROR(INDEX(资金流水!$B$5:$B$504,MATCH(ROW()-8,资金流水!$V$5:$V$504,0)),"")</f>
        <v/>
      </c>
      <c r="I26" s="42" t="str">
        <f aca="false">IFERROR(INDEX(资金流水!$F$5:$F$504,MATCH(ROW()-8,资金流水!$V$5:$V$504,0)),"")</f>
        <v/>
      </c>
      <c r="J26" s="54" t="str">
        <f aca="false">IFERROR(INDEX(资金流水!$N$5:$N$504,MATCH(ROW()-8,资金流水!$V$5:$V$504,0)),"")</f>
        <v/>
      </c>
      <c r="K26" s="35" t="str">
        <f aca="false">IFERROR(INDEX(资金流水!$J$5:$J$504,MATCH(ROW()-8,资金流水!$V$5:$V$504,0)),"")</f>
        <v/>
      </c>
      <c r="L26" s="42" t="str">
        <f aca="false">IFERROR(INDEX(资金流水!$I$5:$I$504,MATCH(ROW()-8,资金流水!$V$5:$V$504,0)),"")</f>
        <v/>
      </c>
      <c r="M26" s="42" t="str">
        <f aca="false">IFERROR(INDEX(资金流水!$H$5:$H$504,MATCH(ROW()-8,资金流水!$V$5:$V$504,0)),"")</f>
        <v/>
      </c>
    </row>
    <row r="27" customFormat="false" ht="15.75" hidden="false" customHeight="true" outlineLevel="0" collapsed="false">
      <c r="A27" s="76" t="str">
        <f aca="false">IFERROR(INDEX(销售录入!$B$5:$B$404,MATCH(ROW()-8,销售录入!$AE$5:$AE$404,0)),"")</f>
        <v/>
      </c>
      <c r="B27" s="35" t="str">
        <f aca="false">IFERROR(INDEX(销售录入!$E$5:$E$404,MATCH(ROW()-8,销售录入!$AE$5:$AE$404,0)),"")</f>
        <v/>
      </c>
      <c r="C27" s="64" t="str">
        <f aca="false">IFERROR(INDEX(销售录入!$F$5:$F$404,MATCH(ROW()-8,销售录入!$AE$5:$AE$404,0)),"")</f>
        <v/>
      </c>
      <c r="D27" s="54" t="str">
        <f aca="false">IFERROR(INDEX(销售录入!$G$5:$G$404,MATCH(ROW()-8,销售录入!$AE$5:$AE$404,0)),"")</f>
        <v/>
      </c>
      <c r="E27" s="54" t="str">
        <f aca="false">IFERROR(INDEX(销售录入!$Q$5:$Q$404,MATCH(ROW()-8,销售录入!$AE$5:$AE$404,0)),"")</f>
        <v/>
      </c>
      <c r="F27" s="76" t="str">
        <f aca="false">IFERROR(INDEX(销售录入!$U$5:$U$404,MATCH(ROW()-8,销售录入!$AE$5:$AE$404,0)),"")</f>
        <v/>
      </c>
      <c r="H27" s="76" t="str">
        <f aca="false">IFERROR(INDEX(资金流水!$B$5:$B$504,MATCH(ROW()-8,资金流水!$V$5:$V$504,0)),"")</f>
        <v/>
      </c>
      <c r="I27" s="42" t="str">
        <f aca="false">IFERROR(INDEX(资金流水!$F$5:$F$504,MATCH(ROW()-8,资金流水!$V$5:$V$504,0)),"")</f>
        <v/>
      </c>
      <c r="J27" s="54" t="str">
        <f aca="false">IFERROR(INDEX(资金流水!$N$5:$N$504,MATCH(ROW()-8,资金流水!$V$5:$V$504,0)),"")</f>
        <v/>
      </c>
      <c r="K27" s="35" t="str">
        <f aca="false">IFERROR(INDEX(资金流水!$J$5:$J$504,MATCH(ROW()-8,资金流水!$V$5:$V$504,0)),"")</f>
        <v/>
      </c>
      <c r="L27" s="42" t="str">
        <f aca="false">IFERROR(INDEX(资金流水!$I$5:$I$504,MATCH(ROW()-8,资金流水!$V$5:$V$504,0)),"")</f>
        <v/>
      </c>
      <c r="M27" s="42" t="str">
        <f aca="false">IFERROR(INDEX(资金流水!$H$5:$H$504,MATCH(ROW()-8,资金流水!$V$5:$V$504,0)),"")</f>
        <v/>
      </c>
    </row>
    <row r="28" customFormat="false" ht="15.75" hidden="false" customHeight="true" outlineLevel="0" collapsed="false">
      <c r="A28" s="76" t="str">
        <f aca="false">IFERROR(INDEX(销售录入!$B$5:$B$404,MATCH(ROW()-8,销售录入!$AE$5:$AE$404,0)),"")</f>
        <v/>
      </c>
      <c r="B28" s="35" t="str">
        <f aca="false">IFERROR(INDEX(销售录入!$E$5:$E$404,MATCH(ROW()-8,销售录入!$AE$5:$AE$404,0)),"")</f>
        <v/>
      </c>
      <c r="C28" s="64" t="str">
        <f aca="false">IFERROR(INDEX(销售录入!$F$5:$F$404,MATCH(ROW()-8,销售录入!$AE$5:$AE$404,0)),"")</f>
        <v/>
      </c>
      <c r="D28" s="54" t="str">
        <f aca="false">IFERROR(INDEX(销售录入!$G$5:$G$404,MATCH(ROW()-8,销售录入!$AE$5:$AE$404,0)),"")</f>
        <v/>
      </c>
      <c r="E28" s="54" t="str">
        <f aca="false">IFERROR(INDEX(销售录入!$Q$5:$Q$404,MATCH(ROW()-8,销售录入!$AE$5:$AE$404,0)),"")</f>
        <v/>
      </c>
      <c r="F28" s="76" t="str">
        <f aca="false">IFERROR(INDEX(销售录入!$U$5:$U$404,MATCH(ROW()-8,销售录入!$AE$5:$AE$404,0)),"")</f>
        <v/>
      </c>
      <c r="H28" s="76" t="str">
        <f aca="false">IFERROR(INDEX(资金流水!$B$5:$B$504,MATCH(ROW()-8,资金流水!$V$5:$V$504,0)),"")</f>
        <v/>
      </c>
      <c r="I28" s="42" t="str">
        <f aca="false">IFERROR(INDEX(资金流水!$F$5:$F$504,MATCH(ROW()-8,资金流水!$V$5:$V$504,0)),"")</f>
        <v/>
      </c>
      <c r="J28" s="54" t="str">
        <f aca="false">IFERROR(INDEX(资金流水!$N$5:$N$504,MATCH(ROW()-8,资金流水!$V$5:$V$504,0)),"")</f>
        <v/>
      </c>
      <c r="K28" s="35" t="str">
        <f aca="false">IFERROR(INDEX(资金流水!$J$5:$J$504,MATCH(ROW()-8,资金流水!$V$5:$V$504,0)),"")</f>
        <v/>
      </c>
      <c r="L28" s="42" t="str">
        <f aca="false">IFERROR(INDEX(资金流水!$I$5:$I$504,MATCH(ROW()-8,资金流水!$V$5:$V$504,0)),"")</f>
        <v/>
      </c>
      <c r="M28" s="42" t="str">
        <f aca="false">IFERROR(INDEX(资金流水!$H$5:$H$504,MATCH(ROW()-8,资金流水!$V$5:$V$504,0)),"")</f>
        <v/>
      </c>
    </row>
    <row r="29" customFormat="false" ht="15.75" hidden="false" customHeight="true" outlineLevel="0" collapsed="false">
      <c r="A29" s="76" t="str">
        <f aca="false">IFERROR(INDEX(销售录入!$B$5:$B$404,MATCH(ROW()-8,销售录入!$AE$5:$AE$404,0)),"")</f>
        <v/>
      </c>
      <c r="B29" s="35" t="str">
        <f aca="false">IFERROR(INDEX(销售录入!$E$5:$E$404,MATCH(ROW()-8,销售录入!$AE$5:$AE$404,0)),"")</f>
        <v/>
      </c>
      <c r="C29" s="64" t="str">
        <f aca="false">IFERROR(INDEX(销售录入!$F$5:$F$404,MATCH(ROW()-8,销售录入!$AE$5:$AE$404,0)),"")</f>
        <v/>
      </c>
      <c r="D29" s="54" t="str">
        <f aca="false">IFERROR(INDEX(销售录入!$G$5:$G$404,MATCH(ROW()-8,销售录入!$AE$5:$AE$404,0)),"")</f>
        <v/>
      </c>
      <c r="E29" s="54" t="str">
        <f aca="false">IFERROR(INDEX(销售录入!$Q$5:$Q$404,MATCH(ROW()-8,销售录入!$AE$5:$AE$404,0)),"")</f>
        <v/>
      </c>
      <c r="F29" s="76" t="str">
        <f aca="false">IFERROR(INDEX(销售录入!$U$5:$U$404,MATCH(ROW()-8,销售录入!$AE$5:$AE$404,0)),"")</f>
        <v/>
      </c>
      <c r="H29" s="76" t="str">
        <f aca="false">IFERROR(INDEX(资金流水!$B$5:$B$504,MATCH(ROW()-8,资金流水!$V$5:$V$504,0)),"")</f>
        <v/>
      </c>
      <c r="I29" s="42" t="str">
        <f aca="false">IFERROR(INDEX(资金流水!$F$5:$F$504,MATCH(ROW()-8,资金流水!$V$5:$V$504,0)),"")</f>
        <v/>
      </c>
      <c r="J29" s="54" t="str">
        <f aca="false">IFERROR(INDEX(资金流水!$N$5:$N$504,MATCH(ROW()-8,资金流水!$V$5:$V$504,0)),"")</f>
        <v/>
      </c>
      <c r="K29" s="35" t="str">
        <f aca="false">IFERROR(INDEX(资金流水!$J$5:$J$504,MATCH(ROW()-8,资金流水!$V$5:$V$504,0)),"")</f>
        <v/>
      </c>
      <c r="L29" s="42" t="str">
        <f aca="false">IFERROR(INDEX(资金流水!$I$5:$I$504,MATCH(ROW()-8,资金流水!$V$5:$V$504,0)),"")</f>
        <v/>
      </c>
      <c r="M29" s="42" t="str">
        <f aca="false">IFERROR(INDEX(资金流水!$H$5:$H$504,MATCH(ROW()-8,资金流水!$V$5:$V$504,0)),"")</f>
        <v/>
      </c>
    </row>
    <row r="30" customFormat="false" ht="15.75" hidden="false" customHeight="true" outlineLevel="0" collapsed="false">
      <c r="A30" s="76" t="str">
        <f aca="false">IFERROR(INDEX(销售录入!$B$5:$B$404,MATCH(ROW()-8,销售录入!$AE$5:$AE$404,0)),"")</f>
        <v/>
      </c>
      <c r="B30" s="35" t="str">
        <f aca="false">IFERROR(INDEX(销售录入!$E$5:$E$404,MATCH(ROW()-8,销售录入!$AE$5:$AE$404,0)),"")</f>
        <v/>
      </c>
      <c r="C30" s="64" t="str">
        <f aca="false">IFERROR(INDEX(销售录入!$F$5:$F$404,MATCH(ROW()-8,销售录入!$AE$5:$AE$404,0)),"")</f>
        <v/>
      </c>
      <c r="D30" s="54" t="str">
        <f aca="false">IFERROR(INDEX(销售录入!$G$5:$G$404,MATCH(ROW()-8,销售录入!$AE$5:$AE$404,0)),"")</f>
        <v/>
      </c>
      <c r="E30" s="54" t="str">
        <f aca="false">IFERROR(INDEX(销售录入!$Q$5:$Q$404,MATCH(ROW()-8,销售录入!$AE$5:$AE$404,0)),"")</f>
        <v/>
      </c>
      <c r="F30" s="76" t="str">
        <f aca="false">IFERROR(INDEX(销售录入!$U$5:$U$404,MATCH(ROW()-8,销售录入!$AE$5:$AE$404,0)),"")</f>
        <v/>
      </c>
      <c r="H30" s="76" t="str">
        <f aca="false">IFERROR(INDEX(资金流水!$B$5:$B$504,MATCH(ROW()-8,资金流水!$V$5:$V$504,0)),"")</f>
        <v/>
      </c>
      <c r="I30" s="42" t="str">
        <f aca="false">IFERROR(INDEX(资金流水!$F$5:$F$504,MATCH(ROW()-8,资金流水!$V$5:$V$504,0)),"")</f>
        <v/>
      </c>
      <c r="J30" s="54" t="str">
        <f aca="false">IFERROR(INDEX(资金流水!$N$5:$N$504,MATCH(ROW()-8,资金流水!$V$5:$V$504,0)),"")</f>
        <v/>
      </c>
      <c r="K30" s="35" t="str">
        <f aca="false">IFERROR(INDEX(资金流水!$J$5:$J$504,MATCH(ROW()-8,资金流水!$V$5:$V$504,0)),"")</f>
        <v/>
      </c>
      <c r="L30" s="42" t="str">
        <f aca="false">IFERROR(INDEX(资金流水!$I$5:$I$504,MATCH(ROW()-8,资金流水!$V$5:$V$504,0)),"")</f>
        <v/>
      </c>
      <c r="M30" s="42" t="str">
        <f aca="false">IFERROR(INDEX(资金流水!$H$5:$H$504,MATCH(ROW()-8,资金流水!$V$5:$V$504,0)),"")</f>
        <v/>
      </c>
    </row>
    <row r="31" customFormat="false" ht="15.75" hidden="false" customHeight="true" outlineLevel="0" collapsed="false">
      <c r="A31" s="76" t="str">
        <f aca="false">IFERROR(INDEX(销售录入!$B$5:$B$404,MATCH(ROW()-8,销售录入!$AE$5:$AE$404,0)),"")</f>
        <v/>
      </c>
      <c r="B31" s="35" t="str">
        <f aca="false">IFERROR(INDEX(销售录入!$E$5:$E$404,MATCH(ROW()-8,销售录入!$AE$5:$AE$404,0)),"")</f>
        <v/>
      </c>
      <c r="C31" s="64" t="str">
        <f aca="false">IFERROR(INDEX(销售录入!$F$5:$F$404,MATCH(ROW()-8,销售录入!$AE$5:$AE$404,0)),"")</f>
        <v/>
      </c>
      <c r="D31" s="54" t="str">
        <f aca="false">IFERROR(INDEX(销售录入!$G$5:$G$404,MATCH(ROW()-8,销售录入!$AE$5:$AE$404,0)),"")</f>
        <v/>
      </c>
      <c r="E31" s="54" t="str">
        <f aca="false">IFERROR(INDEX(销售录入!$Q$5:$Q$404,MATCH(ROW()-8,销售录入!$AE$5:$AE$404,0)),"")</f>
        <v/>
      </c>
      <c r="F31" s="76" t="str">
        <f aca="false">IFERROR(INDEX(销售录入!$U$5:$U$404,MATCH(ROW()-8,销售录入!$AE$5:$AE$404,0)),"")</f>
        <v/>
      </c>
      <c r="H31" s="76" t="str">
        <f aca="false">IFERROR(INDEX(资金流水!$B$5:$B$504,MATCH(ROW()-8,资金流水!$V$5:$V$504,0)),"")</f>
        <v/>
      </c>
      <c r="I31" s="42" t="str">
        <f aca="false">IFERROR(INDEX(资金流水!$F$5:$F$504,MATCH(ROW()-8,资金流水!$V$5:$V$504,0)),"")</f>
        <v/>
      </c>
      <c r="J31" s="54" t="str">
        <f aca="false">IFERROR(INDEX(资金流水!$N$5:$N$504,MATCH(ROW()-8,资金流水!$V$5:$V$504,0)),"")</f>
        <v/>
      </c>
      <c r="K31" s="35" t="str">
        <f aca="false">IFERROR(INDEX(资金流水!$J$5:$J$504,MATCH(ROW()-8,资金流水!$V$5:$V$504,0)),"")</f>
        <v/>
      </c>
      <c r="L31" s="42" t="str">
        <f aca="false">IFERROR(INDEX(资金流水!$I$5:$I$504,MATCH(ROW()-8,资金流水!$V$5:$V$504,0)),"")</f>
        <v/>
      </c>
      <c r="M31" s="42" t="str">
        <f aca="false">IFERROR(INDEX(资金流水!$H$5:$H$504,MATCH(ROW()-8,资金流水!$V$5:$V$504,0)),"")</f>
        <v/>
      </c>
    </row>
    <row r="32" customFormat="false" ht="15.75" hidden="false" customHeight="true" outlineLevel="0" collapsed="false">
      <c r="A32" s="76" t="str">
        <f aca="false">IFERROR(INDEX(销售录入!$B$5:$B$404,MATCH(ROW()-8,销售录入!$AE$5:$AE$404,0)),"")</f>
        <v/>
      </c>
      <c r="B32" s="35" t="str">
        <f aca="false">IFERROR(INDEX(销售录入!$E$5:$E$404,MATCH(ROW()-8,销售录入!$AE$5:$AE$404,0)),"")</f>
        <v/>
      </c>
      <c r="C32" s="64" t="str">
        <f aca="false">IFERROR(INDEX(销售录入!$F$5:$F$404,MATCH(ROW()-8,销售录入!$AE$5:$AE$404,0)),"")</f>
        <v/>
      </c>
      <c r="D32" s="54" t="str">
        <f aca="false">IFERROR(INDEX(销售录入!$G$5:$G$404,MATCH(ROW()-8,销售录入!$AE$5:$AE$404,0)),"")</f>
        <v/>
      </c>
      <c r="E32" s="54" t="str">
        <f aca="false">IFERROR(INDEX(销售录入!$Q$5:$Q$404,MATCH(ROW()-8,销售录入!$AE$5:$AE$404,0)),"")</f>
        <v/>
      </c>
      <c r="F32" s="76" t="str">
        <f aca="false">IFERROR(INDEX(销售录入!$U$5:$U$404,MATCH(ROW()-8,销售录入!$AE$5:$AE$404,0)),"")</f>
        <v/>
      </c>
      <c r="H32" s="76" t="str">
        <f aca="false">IFERROR(INDEX(资金流水!$B$5:$B$504,MATCH(ROW()-8,资金流水!$V$5:$V$504,0)),"")</f>
        <v/>
      </c>
      <c r="I32" s="42" t="str">
        <f aca="false">IFERROR(INDEX(资金流水!$F$5:$F$504,MATCH(ROW()-8,资金流水!$V$5:$V$504,0)),"")</f>
        <v/>
      </c>
      <c r="J32" s="54" t="str">
        <f aca="false">IFERROR(INDEX(资金流水!$N$5:$N$504,MATCH(ROW()-8,资金流水!$V$5:$V$504,0)),"")</f>
        <v/>
      </c>
      <c r="K32" s="35" t="str">
        <f aca="false">IFERROR(INDEX(资金流水!$J$5:$J$504,MATCH(ROW()-8,资金流水!$V$5:$V$504,0)),"")</f>
        <v/>
      </c>
      <c r="L32" s="42" t="str">
        <f aca="false">IFERROR(INDEX(资金流水!$I$5:$I$504,MATCH(ROW()-8,资金流水!$V$5:$V$504,0)),"")</f>
        <v/>
      </c>
      <c r="M32" s="42" t="str">
        <f aca="false">IFERROR(INDEX(资金流水!$H$5:$H$504,MATCH(ROW()-8,资金流水!$V$5:$V$504,0)),"")</f>
        <v/>
      </c>
    </row>
    <row r="33" customFormat="false" ht="15.75" hidden="false" customHeight="true" outlineLevel="0" collapsed="false">
      <c r="A33" s="76" t="str">
        <f aca="false">IFERROR(INDEX(销售录入!$B$5:$B$404,MATCH(ROW()-8,销售录入!$AE$5:$AE$404,0)),"")</f>
        <v/>
      </c>
      <c r="B33" s="35" t="str">
        <f aca="false">IFERROR(INDEX(销售录入!$E$5:$E$404,MATCH(ROW()-8,销售录入!$AE$5:$AE$404,0)),"")</f>
        <v/>
      </c>
      <c r="C33" s="64" t="str">
        <f aca="false">IFERROR(INDEX(销售录入!$F$5:$F$404,MATCH(ROW()-8,销售录入!$AE$5:$AE$404,0)),"")</f>
        <v/>
      </c>
      <c r="D33" s="54" t="str">
        <f aca="false">IFERROR(INDEX(销售录入!$G$5:$G$404,MATCH(ROW()-8,销售录入!$AE$5:$AE$404,0)),"")</f>
        <v/>
      </c>
      <c r="E33" s="54" t="str">
        <f aca="false">IFERROR(INDEX(销售录入!$Q$5:$Q$404,MATCH(ROW()-8,销售录入!$AE$5:$AE$404,0)),"")</f>
        <v/>
      </c>
      <c r="F33" s="76" t="str">
        <f aca="false">IFERROR(INDEX(销售录入!$U$5:$U$404,MATCH(ROW()-8,销售录入!$AE$5:$AE$404,0)),"")</f>
        <v/>
      </c>
      <c r="H33" s="76" t="str">
        <f aca="false">IFERROR(INDEX(资金流水!$B$5:$B$504,MATCH(ROW()-8,资金流水!$V$5:$V$504,0)),"")</f>
        <v/>
      </c>
      <c r="I33" s="42" t="str">
        <f aca="false">IFERROR(INDEX(资金流水!$F$5:$F$504,MATCH(ROW()-8,资金流水!$V$5:$V$504,0)),"")</f>
        <v/>
      </c>
      <c r="J33" s="54" t="str">
        <f aca="false">IFERROR(INDEX(资金流水!$N$5:$N$504,MATCH(ROW()-8,资金流水!$V$5:$V$504,0)),"")</f>
        <v/>
      </c>
      <c r="K33" s="35" t="str">
        <f aca="false">IFERROR(INDEX(资金流水!$J$5:$J$504,MATCH(ROW()-8,资金流水!$V$5:$V$504,0)),"")</f>
        <v/>
      </c>
      <c r="L33" s="42" t="str">
        <f aca="false">IFERROR(INDEX(资金流水!$I$5:$I$504,MATCH(ROW()-8,资金流水!$V$5:$V$504,0)),"")</f>
        <v/>
      </c>
      <c r="M33" s="42" t="str">
        <f aca="false">IFERROR(INDEX(资金流水!$H$5:$H$504,MATCH(ROW()-8,资金流水!$V$5:$V$504,0)),"")</f>
        <v/>
      </c>
    </row>
    <row r="34" customFormat="false" ht="15.75" hidden="false" customHeight="true" outlineLevel="0" collapsed="false">
      <c r="A34" s="76" t="str">
        <f aca="false">IFERROR(INDEX(销售录入!$B$5:$B$404,MATCH(ROW()-8,销售录入!$AE$5:$AE$404,0)),"")</f>
        <v/>
      </c>
      <c r="B34" s="35" t="str">
        <f aca="false">IFERROR(INDEX(销售录入!$E$5:$E$404,MATCH(ROW()-8,销售录入!$AE$5:$AE$404,0)),"")</f>
        <v/>
      </c>
      <c r="C34" s="64" t="str">
        <f aca="false">IFERROR(INDEX(销售录入!$F$5:$F$404,MATCH(ROW()-8,销售录入!$AE$5:$AE$404,0)),"")</f>
        <v/>
      </c>
      <c r="D34" s="54" t="str">
        <f aca="false">IFERROR(INDEX(销售录入!$G$5:$G$404,MATCH(ROW()-8,销售录入!$AE$5:$AE$404,0)),"")</f>
        <v/>
      </c>
      <c r="E34" s="54" t="str">
        <f aca="false">IFERROR(INDEX(销售录入!$Q$5:$Q$404,MATCH(ROW()-8,销售录入!$AE$5:$AE$404,0)),"")</f>
        <v/>
      </c>
      <c r="F34" s="76" t="str">
        <f aca="false">IFERROR(INDEX(销售录入!$U$5:$U$404,MATCH(ROW()-8,销售录入!$AE$5:$AE$404,0)),"")</f>
        <v/>
      </c>
      <c r="H34" s="76" t="str">
        <f aca="false">IFERROR(INDEX(资金流水!$B$5:$B$504,MATCH(ROW()-8,资金流水!$V$5:$V$504,0)),"")</f>
        <v/>
      </c>
      <c r="I34" s="42" t="str">
        <f aca="false">IFERROR(INDEX(资金流水!$F$5:$F$504,MATCH(ROW()-8,资金流水!$V$5:$V$504,0)),"")</f>
        <v/>
      </c>
      <c r="J34" s="54" t="str">
        <f aca="false">IFERROR(INDEX(资金流水!$N$5:$N$504,MATCH(ROW()-8,资金流水!$V$5:$V$504,0)),"")</f>
        <v/>
      </c>
      <c r="K34" s="35" t="str">
        <f aca="false">IFERROR(INDEX(资金流水!$J$5:$J$504,MATCH(ROW()-8,资金流水!$V$5:$V$504,0)),"")</f>
        <v/>
      </c>
      <c r="L34" s="42" t="str">
        <f aca="false">IFERROR(INDEX(资金流水!$I$5:$I$504,MATCH(ROW()-8,资金流水!$V$5:$V$504,0)),"")</f>
        <v/>
      </c>
      <c r="M34" s="42" t="str">
        <f aca="false">IFERROR(INDEX(资金流水!$H$5:$H$504,MATCH(ROW()-8,资金流水!$V$5:$V$504,0)),"")</f>
        <v/>
      </c>
    </row>
    <row r="35" customFormat="false" ht="15.75" hidden="false" customHeight="true" outlineLevel="0" collapsed="false">
      <c r="A35" s="76" t="str">
        <f aca="false">IFERROR(INDEX(销售录入!$B$5:$B$404,MATCH(ROW()-8,销售录入!$AE$5:$AE$404,0)),"")</f>
        <v/>
      </c>
      <c r="B35" s="35" t="str">
        <f aca="false">IFERROR(INDEX(销售录入!$E$5:$E$404,MATCH(ROW()-8,销售录入!$AE$5:$AE$404,0)),"")</f>
        <v/>
      </c>
      <c r="C35" s="64" t="str">
        <f aca="false">IFERROR(INDEX(销售录入!$F$5:$F$404,MATCH(ROW()-8,销售录入!$AE$5:$AE$404,0)),"")</f>
        <v/>
      </c>
      <c r="D35" s="54" t="str">
        <f aca="false">IFERROR(INDEX(销售录入!$G$5:$G$404,MATCH(ROW()-8,销售录入!$AE$5:$AE$404,0)),"")</f>
        <v/>
      </c>
      <c r="E35" s="54" t="str">
        <f aca="false">IFERROR(INDEX(销售录入!$Q$5:$Q$404,MATCH(ROW()-8,销售录入!$AE$5:$AE$404,0)),"")</f>
        <v/>
      </c>
      <c r="F35" s="76" t="str">
        <f aca="false">IFERROR(INDEX(销售录入!$U$5:$U$404,MATCH(ROW()-8,销售录入!$AE$5:$AE$404,0)),"")</f>
        <v/>
      </c>
      <c r="H35" s="76" t="str">
        <f aca="false">IFERROR(INDEX(资金流水!$B$5:$B$504,MATCH(ROW()-8,资金流水!$V$5:$V$504,0)),"")</f>
        <v/>
      </c>
      <c r="I35" s="42" t="str">
        <f aca="false">IFERROR(INDEX(资金流水!$F$5:$F$504,MATCH(ROW()-8,资金流水!$V$5:$V$504,0)),"")</f>
        <v/>
      </c>
      <c r="J35" s="54" t="str">
        <f aca="false">IFERROR(INDEX(资金流水!$N$5:$N$504,MATCH(ROW()-8,资金流水!$V$5:$V$504,0)),"")</f>
        <v/>
      </c>
      <c r="K35" s="35" t="str">
        <f aca="false">IFERROR(INDEX(资金流水!$J$5:$J$504,MATCH(ROW()-8,资金流水!$V$5:$V$504,0)),"")</f>
        <v/>
      </c>
      <c r="L35" s="42" t="str">
        <f aca="false">IFERROR(INDEX(资金流水!$I$5:$I$504,MATCH(ROW()-8,资金流水!$V$5:$V$504,0)),"")</f>
        <v/>
      </c>
      <c r="M35" s="42" t="str">
        <f aca="false">IFERROR(INDEX(资金流水!$H$5:$H$504,MATCH(ROW()-8,资金流水!$V$5:$V$504,0)),"")</f>
        <v/>
      </c>
    </row>
    <row r="36" customFormat="false" ht="15.75" hidden="false" customHeight="true" outlineLevel="0" collapsed="false">
      <c r="A36" s="76" t="str">
        <f aca="false">IFERROR(INDEX(销售录入!$B$5:$B$404,MATCH(ROW()-8,销售录入!$AE$5:$AE$404,0)),"")</f>
        <v/>
      </c>
      <c r="B36" s="35" t="str">
        <f aca="false">IFERROR(INDEX(销售录入!$E$5:$E$404,MATCH(ROW()-8,销售录入!$AE$5:$AE$404,0)),"")</f>
        <v/>
      </c>
      <c r="C36" s="64" t="str">
        <f aca="false">IFERROR(INDEX(销售录入!$F$5:$F$404,MATCH(ROW()-8,销售录入!$AE$5:$AE$404,0)),"")</f>
        <v/>
      </c>
      <c r="D36" s="54" t="str">
        <f aca="false">IFERROR(INDEX(销售录入!$G$5:$G$404,MATCH(ROW()-8,销售录入!$AE$5:$AE$404,0)),"")</f>
        <v/>
      </c>
      <c r="E36" s="54" t="str">
        <f aca="false">IFERROR(INDEX(销售录入!$Q$5:$Q$404,MATCH(ROW()-8,销售录入!$AE$5:$AE$404,0)),"")</f>
        <v/>
      </c>
      <c r="F36" s="76" t="str">
        <f aca="false">IFERROR(INDEX(销售录入!$U$5:$U$404,MATCH(ROW()-8,销售录入!$AE$5:$AE$404,0)),"")</f>
        <v/>
      </c>
      <c r="H36" s="76" t="str">
        <f aca="false">IFERROR(INDEX(资金流水!$B$5:$B$504,MATCH(ROW()-8,资金流水!$V$5:$V$504,0)),"")</f>
        <v/>
      </c>
      <c r="I36" s="42" t="str">
        <f aca="false">IFERROR(INDEX(资金流水!$F$5:$F$504,MATCH(ROW()-8,资金流水!$V$5:$V$504,0)),"")</f>
        <v/>
      </c>
      <c r="J36" s="54" t="str">
        <f aca="false">IFERROR(INDEX(资金流水!$N$5:$N$504,MATCH(ROW()-8,资金流水!$V$5:$V$504,0)),"")</f>
        <v/>
      </c>
      <c r="K36" s="35" t="str">
        <f aca="false">IFERROR(INDEX(资金流水!$J$5:$J$504,MATCH(ROW()-8,资金流水!$V$5:$V$504,0)),"")</f>
        <v/>
      </c>
      <c r="L36" s="42" t="str">
        <f aca="false">IFERROR(INDEX(资金流水!$I$5:$I$504,MATCH(ROW()-8,资金流水!$V$5:$V$504,0)),"")</f>
        <v/>
      </c>
      <c r="M36" s="42" t="str">
        <f aca="false">IFERROR(INDEX(资金流水!$H$5:$H$504,MATCH(ROW()-8,资金流水!$V$5:$V$504,0)),"")</f>
        <v/>
      </c>
    </row>
    <row r="37" customFormat="false" ht="15.75" hidden="false" customHeight="true" outlineLevel="0" collapsed="false">
      <c r="A37" s="76" t="str">
        <f aca="false">IFERROR(INDEX(销售录入!$B$5:$B$404,MATCH(ROW()-8,销售录入!$AE$5:$AE$404,0)),"")</f>
        <v/>
      </c>
      <c r="B37" s="35" t="str">
        <f aca="false">IFERROR(INDEX(销售录入!$E$5:$E$404,MATCH(ROW()-8,销售录入!$AE$5:$AE$404,0)),"")</f>
        <v/>
      </c>
      <c r="C37" s="64" t="str">
        <f aca="false">IFERROR(INDEX(销售录入!$F$5:$F$404,MATCH(ROW()-8,销售录入!$AE$5:$AE$404,0)),"")</f>
        <v/>
      </c>
      <c r="D37" s="54" t="str">
        <f aca="false">IFERROR(INDEX(销售录入!$G$5:$G$404,MATCH(ROW()-8,销售录入!$AE$5:$AE$404,0)),"")</f>
        <v/>
      </c>
      <c r="E37" s="54" t="str">
        <f aca="false">IFERROR(INDEX(销售录入!$Q$5:$Q$404,MATCH(ROW()-8,销售录入!$AE$5:$AE$404,0)),"")</f>
        <v/>
      </c>
      <c r="F37" s="76" t="str">
        <f aca="false">IFERROR(INDEX(销售录入!$U$5:$U$404,MATCH(ROW()-8,销售录入!$AE$5:$AE$404,0)),"")</f>
        <v/>
      </c>
      <c r="H37" s="76" t="str">
        <f aca="false">IFERROR(INDEX(资金流水!$B$5:$B$504,MATCH(ROW()-8,资金流水!$V$5:$V$504,0)),"")</f>
        <v/>
      </c>
      <c r="I37" s="42" t="str">
        <f aca="false">IFERROR(INDEX(资金流水!$F$5:$F$504,MATCH(ROW()-8,资金流水!$V$5:$V$504,0)),"")</f>
        <v/>
      </c>
      <c r="J37" s="54" t="str">
        <f aca="false">IFERROR(INDEX(资金流水!$N$5:$N$504,MATCH(ROW()-8,资金流水!$V$5:$V$504,0)),"")</f>
        <v/>
      </c>
      <c r="K37" s="35" t="str">
        <f aca="false">IFERROR(INDEX(资金流水!$J$5:$J$504,MATCH(ROW()-8,资金流水!$V$5:$V$504,0)),"")</f>
        <v/>
      </c>
      <c r="L37" s="42" t="str">
        <f aca="false">IFERROR(INDEX(资金流水!$I$5:$I$504,MATCH(ROW()-8,资金流水!$V$5:$V$504,0)),"")</f>
        <v/>
      </c>
      <c r="M37" s="42" t="str">
        <f aca="false">IFERROR(INDEX(资金流水!$H$5:$H$504,MATCH(ROW()-8,资金流水!$V$5:$V$504,0)),"")</f>
        <v/>
      </c>
    </row>
    <row r="38" customFormat="false" ht="15.75" hidden="false" customHeight="true" outlineLevel="0" collapsed="false">
      <c r="A38" s="76" t="str">
        <f aca="false">IFERROR(INDEX(销售录入!$B$5:$B$404,MATCH(ROW()-8,销售录入!$AE$5:$AE$404,0)),"")</f>
        <v/>
      </c>
      <c r="B38" s="35" t="str">
        <f aca="false">IFERROR(INDEX(销售录入!$E$5:$E$404,MATCH(ROW()-8,销售录入!$AE$5:$AE$404,0)),"")</f>
        <v/>
      </c>
      <c r="C38" s="64" t="str">
        <f aca="false">IFERROR(INDEX(销售录入!$F$5:$F$404,MATCH(ROW()-8,销售录入!$AE$5:$AE$404,0)),"")</f>
        <v/>
      </c>
      <c r="D38" s="54" t="str">
        <f aca="false">IFERROR(INDEX(销售录入!$G$5:$G$404,MATCH(ROW()-8,销售录入!$AE$5:$AE$404,0)),"")</f>
        <v/>
      </c>
      <c r="E38" s="54" t="str">
        <f aca="false">IFERROR(INDEX(销售录入!$Q$5:$Q$404,MATCH(ROW()-8,销售录入!$AE$5:$AE$404,0)),"")</f>
        <v/>
      </c>
      <c r="F38" s="76" t="str">
        <f aca="false">IFERROR(INDEX(销售录入!$U$5:$U$404,MATCH(ROW()-8,销售录入!$AE$5:$AE$404,0)),"")</f>
        <v/>
      </c>
      <c r="H38" s="76" t="str">
        <f aca="false">IFERROR(INDEX(资金流水!$B$5:$B$504,MATCH(ROW()-8,资金流水!$V$5:$V$504,0)),"")</f>
        <v/>
      </c>
      <c r="I38" s="42" t="str">
        <f aca="false">IFERROR(INDEX(资金流水!$F$5:$F$504,MATCH(ROW()-8,资金流水!$V$5:$V$504,0)),"")</f>
        <v/>
      </c>
      <c r="J38" s="54" t="str">
        <f aca="false">IFERROR(INDEX(资金流水!$N$5:$N$504,MATCH(ROW()-8,资金流水!$V$5:$V$504,0)),"")</f>
        <v/>
      </c>
      <c r="K38" s="35" t="str">
        <f aca="false">IFERROR(INDEX(资金流水!$J$5:$J$504,MATCH(ROW()-8,资金流水!$V$5:$V$504,0)),"")</f>
        <v/>
      </c>
      <c r="L38" s="42" t="str">
        <f aca="false">IFERROR(INDEX(资金流水!$I$5:$I$504,MATCH(ROW()-8,资金流水!$V$5:$V$504,0)),"")</f>
        <v/>
      </c>
      <c r="M38" s="42" t="str">
        <f aca="false">IFERROR(INDEX(资金流水!$H$5:$H$504,MATCH(ROW()-8,资金流水!$V$5:$V$504,0)),"")</f>
        <v/>
      </c>
    </row>
    <row r="39" customFormat="false" ht="15.75" hidden="false" customHeight="true" outlineLevel="0" collapsed="false">
      <c r="A39" s="76" t="str">
        <f aca="false">IFERROR(INDEX(销售录入!$B$5:$B$404,MATCH(ROW()-8,销售录入!$AE$5:$AE$404,0)),"")</f>
        <v/>
      </c>
      <c r="B39" s="35" t="str">
        <f aca="false">IFERROR(INDEX(销售录入!$E$5:$E$404,MATCH(ROW()-8,销售录入!$AE$5:$AE$404,0)),"")</f>
        <v/>
      </c>
      <c r="C39" s="64" t="str">
        <f aca="false">IFERROR(INDEX(销售录入!$F$5:$F$404,MATCH(ROW()-8,销售录入!$AE$5:$AE$404,0)),"")</f>
        <v/>
      </c>
      <c r="D39" s="54" t="str">
        <f aca="false">IFERROR(INDEX(销售录入!$G$5:$G$404,MATCH(ROW()-8,销售录入!$AE$5:$AE$404,0)),"")</f>
        <v/>
      </c>
      <c r="E39" s="54" t="str">
        <f aca="false">IFERROR(INDEX(销售录入!$Q$5:$Q$404,MATCH(ROW()-8,销售录入!$AE$5:$AE$404,0)),"")</f>
        <v/>
      </c>
      <c r="F39" s="76" t="str">
        <f aca="false">IFERROR(INDEX(销售录入!$U$5:$U$404,MATCH(ROW()-8,销售录入!$AE$5:$AE$404,0)),"")</f>
        <v/>
      </c>
      <c r="H39" s="76" t="str">
        <f aca="false">IFERROR(INDEX(资金流水!$B$5:$B$504,MATCH(ROW()-8,资金流水!$V$5:$V$504,0)),"")</f>
        <v/>
      </c>
      <c r="I39" s="42" t="str">
        <f aca="false">IFERROR(INDEX(资金流水!$F$5:$F$504,MATCH(ROW()-8,资金流水!$V$5:$V$504,0)),"")</f>
        <v/>
      </c>
      <c r="J39" s="54" t="str">
        <f aca="false">IFERROR(INDEX(资金流水!$N$5:$N$504,MATCH(ROW()-8,资金流水!$V$5:$V$504,0)),"")</f>
        <v/>
      </c>
      <c r="K39" s="35" t="str">
        <f aca="false">IFERROR(INDEX(资金流水!$J$5:$J$504,MATCH(ROW()-8,资金流水!$V$5:$V$504,0)),"")</f>
        <v/>
      </c>
      <c r="L39" s="42" t="str">
        <f aca="false">IFERROR(INDEX(资金流水!$I$5:$I$504,MATCH(ROW()-8,资金流水!$V$5:$V$504,0)),"")</f>
        <v/>
      </c>
      <c r="M39" s="42" t="str">
        <f aca="false">IFERROR(INDEX(资金流水!$H$5:$H$504,MATCH(ROW()-8,资金流水!$V$5:$V$504,0)),"")</f>
        <v/>
      </c>
    </row>
    <row r="40" customFormat="false" ht="15.75" hidden="false" customHeight="true" outlineLevel="0" collapsed="false">
      <c r="A40" s="76" t="str">
        <f aca="false">IFERROR(INDEX(销售录入!$B$5:$B$404,MATCH(ROW()-8,销售录入!$AE$5:$AE$404,0)),"")</f>
        <v/>
      </c>
      <c r="B40" s="35" t="str">
        <f aca="false">IFERROR(INDEX(销售录入!$E$5:$E$404,MATCH(ROW()-8,销售录入!$AE$5:$AE$404,0)),"")</f>
        <v/>
      </c>
      <c r="C40" s="64" t="str">
        <f aca="false">IFERROR(INDEX(销售录入!$F$5:$F$404,MATCH(ROW()-8,销售录入!$AE$5:$AE$404,0)),"")</f>
        <v/>
      </c>
      <c r="D40" s="54" t="str">
        <f aca="false">IFERROR(INDEX(销售录入!$G$5:$G$404,MATCH(ROW()-8,销售录入!$AE$5:$AE$404,0)),"")</f>
        <v/>
      </c>
      <c r="E40" s="54" t="str">
        <f aca="false">IFERROR(INDEX(销售录入!$Q$5:$Q$404,MATCH(ROW()-8,销售录入!$AE$5:$AE$404,0)),"")</f>
        <v/>
      </c>
      <c r="F40" s="76" t="str">
        <f aca="false">IFERROR(INDEX(销售录入!$U$5:$U$404,MATCH(ROW()-8,销售录入!$AE$5:$AE$404,0)),"")</f>
        <v/>
      </c>
      <c r="H40" s="76" t="str">
        <f aca="false">IFERROR(INDEX(资金流水!$B$5:$B$504,MATCH(ROW()-8,资金流水!$V$5:$V$504,0)),"")</f>
        <v/>
      </c>
      <c r="I40" s="42" t="str">
        <f aca="false">IFERROR(INDEX(资金流水!$F$5:$F$504,MATCH(ROW()-8,资金流水!$V$5:$V$504,0)),"")</f>
        <v/>
      </c>
      <c r="J40" s="54" t="str">
        <f aca="false">IFERROR(INDEX(资金流水!$N$5:$N$504,MATCH(ROW()-8,资金流水!$V$5:$V$504,0)),"")</f>
        <v/>
      </c>
      <c r="K40" s="35" t="str">
        <f aca="false">IFERROR(INDEX(资金流水!$J$5:$J$504,MATCH(ROW()-8,资金流水!$V$5:$V$504,0)),"")</f>
        <v/>
      </c>
      <c r="L40" s="42" t="str">
        <f aca="false">IFERROR(INDEX(资金流水!$I$5:$I$504,MATCH(ROW()-8,资金流水!$V$5:$V$504,0)),"")</f>
        <v/>
      </c>
      <c r="M40" s="42" t="str">
        <f aca="false">IFERROR(INDEX(资金流水!$H$5:$H$504,MATCH(ROW()-8,资金流水!$V$5:$V$504,0)),"")</f>
        <v/>
      </c>
    </row>
    <row r="41" customFormat="false" ht="15.75" hidden="false" customHeight="true" outlineLevel="0" collapsed="false">
      <c r="A41" s="76" t="str">
        <f aca="false">IFERROR(INDEX(销售录入!$B$5:$B$404,MATCH(ROW()-8,销售录入!$AE$5:$AE$404,0)),"")</f>
        <v/>
      </c>
      <c r="B41" s="35" t="str">
        <f aca="false">IFERROR(INDEX(销售录入!$E$5:$E$404,MATCH(ROW()-8,销售录入!$AE$5:$AE$404,0)),"")</f>
        <v/>
      </c>
      <c r="C41" s="64" t="str">
        <f aca="false">IFERROR(INDEX(销售录入!$F$5:$F$404,MATCH(ROW()-8,销售录入!$AE$5:$AE$404,0)),"")</f>
        <v/>
      </c>
      <c r="D41" s="54" t="str">
        <f aca="false">IFERROR(INDEX(销售录入!$G$5:$G$404,MATCH(ROW()-8,销售录入!$AE$5:$AE$404,0)),"")</f>
        <v/>
      </c>
      <c r="E41" s="54" t="str">
        <f aca="false">IFERROR(INDEX(销售录入!$Q$5:$Q$404,MATCH(ROW()-8,销售录入!$AE$5:$AE$404,0)),"")</f>
        <v/>
      </c>
      <c r="F41" s="76" t="str">
        <f aca="false">IFERROR(INDEX(销售录入!$U$5:$U$404,MATCH(ROW()-8,销售录入!$AE$5:$AE$404,0)),"")</f>
        <v/>
      </c>
      <c r="H41" s="76" t="str">
        <f aca="false">IFERROR(INDEX(资金流水!$B$5:$B$504,MATCH(ROW()-8,资金流水!$V$5:$V$504,0)),"")</f>
        <v/>
      </c>
      <c r="I41" s="42" t="str">
        <f aca="false">IFERROR(INDEX(资金流水!$F$5:$F$504,MATCH(ROW()-8,资金流水!$V$5:$V$504,0)),"")</f>
        <v/>
      </c>
      <c r="J41" s="54" t="str">
        <f aca="false">IFERROR(INDEX(资金流水!$N$5:$N$504,MATCH(ROW()-8,资金流水!$V$5:$V$504,0)),"")</f>
        <v/>
      </c>
      <c r="K41" s="35" t="str">
        <f aca="false">IFERROR(INDEX(资金流水!$J$5:$J$504,MATCH(ROW()-8,资金流水!$V$5:$V$504,0)),"")</f>
        <v/>
      </c>
      <c r="L41" s="42" t="str">
        <f aca="false">IFERROR(INDEX(资金流水!$I$5:$I$504,MATCH(ROW()-8,资金流水!$V$5:$V$504,0)),"")</f>
        <v/>
      </c>
      <c r="M41" s="42" t="str">
        <f aca="false">IFERROR(INDEX(资金流水!$H$5:$H$504,MATCH(ROW()-8,资金流水!$V$5:$V$504,0)),"")</f>
        <v/>
      </c>
    </row>
    <row r="42" customFormat="false" ht="15.75" hidden="false" customHeight="true" outlineLevel="0" collapsed="false">
      <c r="A42" s="76" t="str">
        <f aca="false">IFERROR(INDEX(销售录入!$B$5:$B$404,MATCH(ROW()-8,销售录入!$AE$5:$AE$404,0)),"")</f>
        <v/>
      </c>
      <c r="B42" s="35" t="str">
        <f aca="false">IFERROR(INDEX(销售录入!$E$5:$E$404,MATCH(ROW()-8,销售录入!$AE$5:$AE$404,0)),"")</f>
        <v/>
      </c>
      <c r="C42" s="64" t="str">
        <f aca="false">IFERROR(INDEX(销售录入!$F$5:$F$404,MATCH(ROW()-8,销售录入!$AE$5:$AE$404,0)),"")</f>
        <v/>
      </c>
      <c r="D42" s="54" t="str">
        <f aca="false">IFERROR(INDEX(销售录入!$G$5:$G$404,MATCH(ROW()-8,销售录入!$AE$5:$AE$404,0)),"")</f>
        <v/>
      </c>
      <c r="E42" s="54" t="str">
        <f aca="false">IFERROR(INDEX(销售录入!$Q$5:$Q$404,MATCH(ROW()-8,销售录入!$AE$5:$AE$404,0)),"")</f>
        <v/>
      </c>
      <c r="F42" s="76" t="str">
        <f aca="false">IFERROR(INDEX(销售录入!$U$5:$U$404,MATCH(ROW()-8,销售录入!$AE$5:$AE$404,0)),"")</f>
        <v/>
      </c>
      <c r="H42" s="76" t="str">
        <f aca="false">IFERROR(INDEX(资金流水!$B$5:$B$504,MATCH(ROW()-8,资金流水!$V$5:$V$504,0)),"")</f>
        <v/>
      </c>
      <c r="I42" s="42" t="str">
        <f aca="false">IFERROR(INDEX(资金流水!$F$5:$F$504,MATCH(ROW()-8,资金流水!$V$5:$V$504,0)),"")</f>
        <v/>
      </c>
      <c r="J42" s="54" t="str">
        <f aca="false">IFERROR(INDEX(资金流水!$N$5:$N$504,MATCH(ROW()-8,资金流水!$V$5:$V$504,0)),"")</f>
        <v/>
      </c>
      <c r="K42" s="35" t="str">
        <f aca="false">IFERROR(INDEX(资金流水!$J$5:$J$504,MATCH(ROW()-8,资金流水!$V$5:$V$504,0)),"")</f>
        <v/>
      </c>
      <c r="L42" s="42" t="str">
        <f aca="false">IFERROR(INDEX(资金流水!$I$5:$I$504,MATCH(ROW()-8,资金流水!$V$5:$V$504,0)),"")</f>
        <v/>
      </c>
      <c r="M42" s="42" t="str">
        <f aca="false">IFERROR(INDEX(资金流水!$H$5:$H$504,MATCH(ROW()-8,资金流水!$V$5:$V$504,0)),"")</f>
        <v/>
      </c>
    </row>
    <row r="43" customFormat="false" ht="15.75" hidden="false" customHeight="true" outlineLevel="0" collapsed="false">
      <c r="A43" s="76" t="str">
        <f aca="false">IFERROR(INDEX(销售录入!$B$5:$B$404,MATCH(ROW()-8,销售录入!$AE$5:$AE$404,0)),"")</f>
        <v/>
      </c>
      <c r="B43" s="35" t="str">
        <f aca="false">IFERROR(INDEX(销售录入!$E$5:$E$404,MATCH(ROW()-8,销售录入!$AE$5:$AE$404,0)),"")</f>
        <v/>
      </c>
      <c r="C43" s="64" t="str">
        <f aca="false">IFERROR(INDEX(销售录入!$F$5:$F$404,MATCH(ROW()-8,销售录入!$AE$5:$AE$404,0)),"")</f>
        <v/>
      </c>
      <c r="D43" s="54" t="str">
        <f aca="false">IFERROR(INDEX(销售录入!$G$5:$G$404,MATCH(ROW()-8,销售录入!$AE$5:$AE$404,0)),"")</f>
        <v/>
      </c>
      <c r="E43" s="54" t="str">
        <f aca="false">IFERROR(INDEX(销售录入!$Q$5:$Q$404,MATCH(ROW()-8,销售录入!$AE$5:$AE$404,0)),"")</f>
        <v/>
      </c>
      <c r="F43" s="76" t="str">
        <f aca="false">IFERROR(INDEX(销售录入!$U$5:$U$404,MATCH(ROW()-8,销售录入!$AE$5:$AE$404,0)),"")</f>
        <v/>
      </c>
      <c r="H43" s="76" t="str">
        <f aca="false">IFERROR(INDEX(资金流水!$B$5:$B$504,MATCH(ROW()-8,资金流水!$V$5:$V$504,0)),"")</f>
        <v/>
      </c>
      <c r="I43" s="42" t="str">
        <f aca="false">IFERROR(INDEX(资金流水!$F$5:$F$504,MATCH(ROW()-8,资金流水!$V$5:$V$504,0)),"")</f>
        <v/>
      </c>
      <c r="J43" s="54" t="str">
        <f aca="false">IFERROR(INDEX(资金流水!$N$5:$N$504,MATCH(ROW()-8,资金流水!$V$5:$V$504,0)),"")</f>
        <v/>
      </c>
      <c r="K43" s="35" t="str">
        <f aca="false">IFERROR(INDEX(资金流水!$J$5:$J$504,MATCH(ROW()-8,资金流水!$V$5:$V$504,0)),"")</f>
        <v/>
      </c>
      <c r="L43" s="42" t="str">
        <f aca="false">IFERROR(INDEX(资金流水!$I$5:$I$504,MATCH(ROW()-8,资金流水!$V$5:$V$504,0)),"")</f>
        <v/>
      </c>
      <c r="M43" s="42" t="str">
        <f aca="false">IFERROR(INDEX(资金流水!$H$5:$H$504,MATCH(ROW()-8,资金流水!$V$5:$V$504,0)),"")</f>
        <v/>
      </c>
    </row>
    <row r="44" customFormat="false" ht="15.75" hidden="false" customHeight="true" outlineLevel="0" collapsed="false">
      <c r="A44" s="76" t="str">
        <f aca="false">IFERROR(INDEX(销售录入!$B$5:$B$404,MATCH(ROW()-8,销售录入!$AE$5:$AE$404,0)),"")</f>
        <v/>
      </c>
      <c r="B44" s="35" t="str">
        <f aca="false">IFERROR(INDEX(销售录入!$E$5:$E$404,MATCH(ROW()-8,销售录入!$AE$5:$AE$404,0)),"")</f>
        <v/>
      </c>
      <c r="C44" s="64" t="str">
        <f aca="false">IFERROR(INDEX(销售录入!$F$5:$F$404,MATCH(ROW()-8,销售录入!$AE$5:$AE$404,0)),"")</f>
        <v/>
      </c>
      <c r="D44" s="54" t="str">
        <f aca="false">IFERROR(INDEX(销售录入!$G$5:$G$404,MATCH(ROW()-8,销售录入!$AE$5:$AE$404,0)),"")</f>
        <v/>
      </c>
      <c r="E44" s="54" t="str">
        <f aca="false">IFERROR(INDEX(销售录入!$Q$5:$Q$404,MATCH(ROW()-8,销售录入!$AE$5:$AE$404,0)),"")</f>
        <v/>
      </c>
      <c r="F44" s="76" t="str">
        <f aca="false">IFERROR(INDEX(销售录入!$U$5:$U$404,MATCH(ROW()-8,销售录入!$AE$5:$AE$404,0)),"")</f>
        <v/>
      </c>
      <c r="H44" s="76" t="str">
        <f aca="false">IFERROR(INDEX(资金流水!$B$5:$B$504,MATCH(ROW()-8,资金流水!$V$5:$V$504,0)),"")</f>
        <v/>
      </c>
      <c r="I44" s="42" t="str">
        <f aca="false">IFERROR(INDEX(资金流水!$F$5:$F$504,MATCH(ROW()-8,资金流水!$V$5:$V$504,0)),"")</f>
        <v/>
      </c>
      <c r="J44" s="54" t="str">
        <f aca="false">IFERROR(INDEX(资金流水!$N$5:$N$504,MATCH(ROW()-8,资金流水!$V$5:$V$504,0)),"")</f>
        <v/>
      </c>
      <c r="K44" s="35" t="str">
        <f aca="false">IFERROR(INDEX(资金流水!$J$5:$J$504,MATCH(ROW()-8,资金流水!$V$5:$V$504,0)),"")</f>
        <v/>
      </c>
      <c r="L44" s="42" t="str">
        <f aca="false">IFERROR(INDEX(资金流水!$I$5:$I$504,MATCH(ROW()-8,资金流水!$V$5:$V$504,0)),"")</f>
        <v/>
      </c>
      <c r="M44" s="42" t="str">
        <f aca="false">IFERROR(INDEX(资金流水!$H$5:$H$504,MATCH(ROW()-8,资金流水!$V$5:$V$504,0)),"")</f>
        <v/>
      </c>
    </row>
    <row r="45" customFormat="false" ht="15.75" hidden="false" customHeight="true" outlineLevel="0" collapsed="false">
      <c r="A45" s="76" t="str">
        <f aca="false">IFERROR(INDEX(销售录入!$B$5:$B$404,MATCH(ROW()-8,销售录入!$AE$5:$AE$404,0)),"")</f>
        <v/>
      </c>
      <c r="B45" s="35" t="str">
        <f aca="false">IFERROR(INDEX(销售录入!$E$5:$E$404,MATCH(ROW()-8,销售录入!$AE$5:$AE$404,0)),"")</f>
        <v/>
      </c>
      <c r="C45" s="64" t="str">
        <f aca="false">IFERROR(INDEX(销售录入!$F$5:$F$404,MATCH(ROW()-8,销售录入!$AE$5:$AE$404,0)),"")</f>
        <v/>
      </c>
      <c r="D45" s="54" t="str">
        <f aca="false">IFERROR(INDEX(销售录入!$G$5:$G$404,MATCH(ROW()-8,销售录入!$AE$5:$AE$404,0)),"")</f>
        <v/>
      </c>
      <c r="E45" s="54" t="str">
        <f aca="false">IFERROR(INDEX(销售录入!$Q$5:$Q$404,MATCH(ROW()-8,销售录入!$AE$5:$AE$404,0)),"")</f>
        <v/>
      </c>
      <c r="F45" s="76" t="str">
        <f aca="false">IFERROR(INDEX(销售录入!$U$5:$U$404,MATCH(ROW()-8,销售录入!$AE$5:$AE$404,0)),"")</f>
        <v/>
      </c>
      <c r="H45" s="76" t="str">
        <f aca="false">IFERROR(INDEX(资金流水!$B$5:$B$504,MATCH(ROW()-8,资金流水!$V$5:$V$504,0)),"")</f>
        <v/>
      </c>
      <c r="I45" s="42" t="str">
        <f aca="false">IFERROR(INDEX(资金流水!$F$5:$F$504,MATCH(ROW()-8,资金流水!$V$5:$V$504,0)),"")</f>
        <v/>
      </c>
      <c r="J45" s="54" t="str">
        <f aca="false">IFERROR(INDEX(资金流水!$N$5:$N$504,MATCH(ROW()-8,资金流水!$V$5:$V$504,0)),"")</f>
        <v/>
      </c>
      <c r="K45" s="35" t="str">
        <f aca="false">IFERROR(INDEX(资金流水!$J$5:$J$504,MATCH(ROW()-8,资金流水!$V$5:$V$504,0)),"")</f>
        <v/>
      </c>
      <c r="L45" s="42" t="str">
        <f aca="false">IFERROR(INDEX(资金流水!$I$5:$I$504,MATCH(ROW()-8,资金流水!$V$5:$V$504,0)),"")</f>
        <v/>
      </c>
      <c r="M45" s="42" t="str">
        <f aca="false">IFERROR(INDEX(资金流水!$H$5:$H$504,MATCH(ROW()-8,资金流水!$V$5:$V$504,0)),"")</f>
        <v/>
      </c>
    </row>
    <row r="46" customFormat="false" ht="15.75" hidden="false" customHeight="true" outlineLevel="0" collapsed="false">
      <c r="A46" s="76" t="str">
        <f aca="false">IFERROR(INDEX(销售录入!$B$5:$B$404,MATCH(ROW()-8,销售录入!$AE$5:$AE$404,0)),"")</f>
        <v/>
      </c>
      <c r="B46" s="35" t="str">
        <f aca="false">IFERROR(INDEX(销售录入!$E$5:$E$404,MATCH(ROW()-8,销售录入!$AE$5:$AE$404,0)),"")</f>
        <v/>
      </c>
      <c r="C46" s="64" t="str">
        <f aca="false">IFERROR(INDEX(销售录入!$F$5:$F$404,MATCH(ROW()-8,销售录入!$AE$5:$AE$404,0)),"")</f>
        <v/>
      </c>
      <c r="D46" s="54" t="str">
        <f aca="false">IFERROR(INDEX(销售录入!$G$5:$G$404,MATCH(ROW()-8,销售录入!$AE$5:$AE$404,0)),"")</f>
        <v/>
      </c>
      <c r="E46" s="54" t="str">
        <f aca="false">IFERROR(INDEX(销售录入!$Q$5:$Q$404,MATCH(ROW()-8,销售录入!$AE$5:$AE$404,0)),"")</f>
        <v/>
      </c>
      <c r="F46" s="76" t="str">
        <f aca="false">IFERROR(INDEX(销售录入!$U$5:$U$404,MATCH(ROW()-8,销售录入!$AE$5:$AE$404,0)),"")</f>
        <v/>
      </c>
      <c r="H46" s="76" t="str">
        <f aca="false">IFERROR(INDEX(资金流水!$B$5:$B$504,MATCH(ROW()-8,资金流水!$V$5:$V$504,0)),"")</f>
        <v/>
      </c>
      <c r="I46" s="42" t="str">
        <f aca="false">IFERROR(INDEX(资金流水!$F$5:$F$504,MATCH(ROW()-8,资金流水!$V$5:$V$504,0)),"")</f>
        <v/>
      </c>
      <c r="J46" s="54" t="str">
        <f aca="false">IFERROR(INDEX(资金流水!$N$5:$N$504,MATCH(ROW()-8,资金流水!$V$5:$V$504,0)),"")</f>
        <v/>
      </c>
      <c r="K46" s="35" t="str">
        <f aca="false">IFERROR(INDEX(资金流水!$J$5:$J$504,MATCH(ROW()-8,资金流水!$V$5:$V$504,0)),"")</f>
        <v/>
      </c>
      <c r="L46" s="42" t="str">
        <f aca="false">IFERROR(INDEX(资金流水!$I$5:$I$504,MATCH(ROW()-8,资金流水!$V$5:$V$504,0)),"")</f>
        <v/>
      </c>
      <c r="M46" s="42" t="str">
        <f aca="false">IFERROR(INDEX(资金流水!$H$5:$H$504,MATCH(ROW()-8,资金流水!$V$5:$V$504,0)),"")</f>
        <v/>
      </c>
    </row>
    <row r="47" customFormat="false" ht="15.75" hidden="false" customHeight="true" outlineLevel="0" collapsed="false">
      <c r="A47" s="76" t="str">
        <f aca="false">IFERROR(INDEX(销售录入!$B$5:$B$404,MATCH(ROW()-8,销售录入!$AE$5:$AE$404,0)),"")</f>
        <v/>
      </c>
      <c r="B47" s="35" t="str">
        <f aca="false">IFERROR(INDEX(销售录入!$E$5:$E$404,MATCH(ROW()-8,销售录入!$AE$5:$AE$404,0)),"")</f>
        <v/>
      </c>
      <c r="C47" s="64" t="str">
        <f aca="false">IFERROR(INDEX(销售录入!$F$5:$F$404,MATCH(ROW()-8,销售录入!$AE$5:$AE$404,0)),"")</f>
        <v/>
      </c>
      <c r="D47" s="54" t="str">
        <f aca="false">IFERROR(INDEX(销售录入!$G$5:$G$404,MATCH(ROW()-8,销售录入!$AE$5:$AE$404,0)),"")</f>
        <v/>
      </c>
      <c r="E47" s="54" t="str">
        <f aca="false">IFERROR(INDEX(销售录入!$Q$5:$Q$404,MATCH(ROW()-8,销售录入!$AE$5:$AE$404,0)),"")</f>
        <v/>
      </c>
      <c r="F47" s="76" t="str">
        <f aca="false">IFERROR(INDEX(销售录入!$U$5:$U$404,MATCH(ROW()-8,销售录入!$AE$5:$AE$404,0)),"")</f>
        <v/>
      </c>
      <c r="H47" s="76" t="str">
        <f aca="false">IFERROR(INDEX(资金流水!$B$5:$B$504,MATCH(ROW()-8,资金流水!$V$5:$V$504,0)),"")</f>
        <v/>
      </c>
      <c r="I47" s="42" t="str">
        <f aca="false">IFERROR(INDEX(资金流水!$F$5:$F$504,MATCH(ROW()-8,资金流水!$V$5:$V$504,0)),"")</f>
        <v/>
      </c>
      <c r="J47" s="54" t="str">
        <f aca="false">IFERROR(INDEX(资金流水!$N$5:$N$504,MATCH(ROW()-8,资金流水!$V$5:$V$504,0)),"")</f>
        <v/>
      </c>
      <c r="K47" s="35" t="str">
        <f aca="false">IFERROR(INDEX(资金流水!$J$5:$J$504,MATCH(ROW()-8,资金流水!$V$5:$V$504,0)),"")</f>
        <v/>
      </c>
      <c r="L47" s="42" t="str">
        <f aca="false">IFERROR(INDEX(资金流水!$I$5:$I$504,MATCH(ROW()-8,资金流水!$V$5:$V$504,0)),"")</f>
        <v/>
      </c>
      <c r="M47" s="42" t="str">
        <f aca="false">IFERROR(INDEX(资金流水!$H$5:$H$504,MATCH(ROW()-8,资金流水!$V$5:$V$504,0)),"")</f>
        <v/>
      </c>
    </row>
    <row r="48" customFormat="false" ht="15.75" hidden="false" customHeight="true" outlineLevel="0" collapsed="false">
      <c r="A48" s="76" t="str">
        <f aca="false">IFERROR(INDEX(销售录入!$B$5:$B$404,MATCH(ROW()-8,销售录入!$AE$5:$AE$404,0)),"")</f>
        <v/>
      </c>
      <c r="B48" s="35" t="str">
        <f aca="false">IFERROR(INDEX(销售录入!$E$5:$E$404,MATCH(ROW()-8,销售录入!$AE$5:$AE$404,0)),"")</f>
        <v/>
      </c>
      <c r="C48" s="64" t="str">
        <f aca="false">IFERROR(INDEX(销售录入!$F$5:$F$404,MATCH(ROW()-8,销售录入!$AE$5:$AE$404,0)),"")</f>
        <v/>
      </c>
      <c r="D48" s="54" t="str">
        <f aca="false">IFERROR(INDEX(销售录入!$G$5:$G$404,MATCH(ROW()-8,销售录入!$AE$5:$AE$404,0)),"")</f>
        <v/>
      </c>
      <c r="E48" s="54" t="str">
        <f aca="false">IFERROR(INDEX(销售录入!$Q$5:$Q$404,MATCH(ROW()-8,销售录入!$AE$5:$AE$404,0)),"")</f>
        <v/>
      </c>
      <c r="F48" s="76" t="str">
        <f aca="false">IFERROR(INDEX(销售录入!$U$5:$U$404,MATCH(ROW()-8,销售录入!$AE$5:$AE$404,0)),"")</f>
        <v/>
      </c>
      <c r="H48" s="76" t="str">
        <f aca="false">IFERROR(INDEX(资金流水!$B$5:$B$504,MATCH(ROW()-8,资金流水!$V$5:$V$504,0)),"")</f>
        <v/>
      </c>
      <c r="I48" s="42" t="str">
        <f aca="false">IFERROR(INDEX(资金流水!$F$5:$F$504,MATCH(ROW()-8,资金流水!$V$5:$V$504,0)),"")</f>
        <v/>
      </c>
      <c r="J48" s="54" t="str">
        <f aca="false">IFERROR(INDEX(资金流水!$N$5:$N$504,MATCH(ROW()-8,资金流水!$V$5:$V$504,0)),"")</f>
        <v/>
      </c>
      <c r="K48" s="35" t="str">
        <f aca="false">IFERROR(INDEX(资金流水!$J$5:$J$504,MATCH(ROW()-8,资金流水!$V$5:$V$504,0)),"")</f>
        <v/>
      </c>
      <c r="L48" s="42" t="str">
        <f aca="false">IFERROR(INDEX(资金流水!$I$5:$I$504,MATCH(ROW()-8,资金流水!$V$5:$V$504,0)),"")</f>
        <v/>
      </c>
      <c r="M48" s="42" t="str">
        <f aca="false">IFERROR(INDEX(资金流水!$H$5:$H$504,MATCH(ROW()-8,资金流水!$V$5:$V$504,0)),"")</f>
        <v/>
      </c>
    </row>
    <row r="49" customFormat="false" ht="15.75" hidden="false" customHeight="true" outlineLevel="0" collapsed="false">
      <c r="A49" s="76" t="str">
        <f aca="false">IFERROR(INDEX(销售录入!$B$5:$B$404,MATCH(ROW()-8,销售录入!$AE$5:$AE$404,0)),"")</f>
        <v/>
      </c>
      <c r="B49" s="35" t="str">
        <f aca="false">IFERROR(INDEX(销售录入!$E$5:$E$404,MATCH(ROW()-8,销售录入!$AE$5:$AE$404,0)),"")</f>
        <v/>
      </c>
      <c r="C49" s="64" t="str">
        <f aca="false">IFERROR(INDEX(销售录入!$F$5:$F$404,MATCH(ROW()-8,销售录入!$AE$5:$AE$404,0)),"")</f>
        <v/>
      </c>
      <c r="D49" s="54" t="str">
        <f aca="false">IFERROR(INDEX(销售录入!$G$5:$G$404,MATCH(ROW()-8,销售录入!$AE$5:$AE$404,0)),"")</f>
        <v/>
      </c>
      <c r="E49" s="54" t="str">
        <f aca="false">IFERROR(INDEX(销售录入!$Q$5:$Q$404,MATCH(ROW()-8,销售录入!$AE$5:$AE$404,0)),"")</f>
        <v/>
      </c>
      <c r="F49" s="76" t="str">
        <f aca="false">IFERROR(INDEX(销售录入!$U$5:$U$404,MATCH(ROW()-8,销售录入!$AE$5:$AE$404,0)),"")</f>
        <v/>
      </c>
      <c r="H49" s="76" t="str">
        <f aca="false">IFERROR(INDEX(资金流水!$B$5:$B$504,MATCH(ROW()-8,资金流水!$V$5:$V$504,0)),"")</f>
        <v/>
      </c>
      <c r="I49" s="42" t="str">
        <f aca="false">IFERROR(INDEX(资金流水!$F$5:$F$504,MATCH(ROW()-8,资金流水!$V$5:$V$504,0)),"")</f>
        <v/>
      </c>
      <c r="J49" s="54" t="str">
        <f aca="false">IFERROR(INDEX(资金流水!$N$5:$N$504,MATCH(ROW()-8,资金流水!$V$5:$V$504,0)),"")</f>
        <v/>
      </c>
      <c r="K49" s="35" t="str">
        <f aca="false">IFERROR(INDEX(资金流水!$J$5:$J$504,MATCH(ROW()-8,资金流水!$V$5:$V$504,0)),"")</f>
        <v/>
      </c>
      <c r="L49" s="42" t="str">
        <f aca="false">IFERROR(INDEX(资金流水!$I$5:$I$504,MATCH(ROW()-8,资金流水!$V$5:$V$504,0)),"")</f>
        <v/>
      </c>
      <c r="M49" s="42" t="str">
        <f aca="false">IFERROR(INDEX(资金流水!$H$5:$H$504,MATCH(ROW()-8,资金流水!$V$5:$V$504,0)),"")</f>
        <v/>
      </c>
    </row>
    <row r="50" customFormat="false" ht="15.75" hidden="false" customHeight="true" outlineLevel="0" collapsed="false">
      <c r="A50" s="76" t="str">
        <f aca="false">IFERROR(INDEX(销售录入!$B$5:$B$404,MATCH(ROW()-8,销售录入!$AE$5:$AE$404,0)),"")</f>
        <v/>
      </c>
      <c r="B50" s="35" t="str">
        <f aca="false">IFERROR(INDEX(销售录入!$E$5:$E$404,MATCH(ROW()-8,销售录入!$AE$5:$AE$404,0)),"")</f>
        <v/>
      </c>
      <c r="C50" s="64" t="str">
        <f aca="false">IFERROR(INDEX(销售录入!$F$5:$F$404,MATCH(ROW()-8,销售录入!$AE$5:$AE$404,0)),"")</f>
        <v/>
      </c>
      <c r="D50" s="54" t="str">
        <f aca="false">IFERROR(INDEX(销售录入!$G$5:$G$404,MATCH(ROW()-8,销售录入!$AE$5:$AE$404,0)),"")</f>
        <v/>
      </c>
      <c r="E50" s="54" t="str">
        <f aca="false">IFERROR(INDEX(销售录入!$Q$5:$Q$404,MATCH(ROW()-8,销售录入!$AE$5:$AE$404,0)),"")</f>
        <v/>
      </c>
      <c r="F50" s="76" t="str">
        <f aca="false">IFERROR(INDEX(销售录入!$U$5:$U$404,MATCH(ROW()-8,销售录入!$AE$5:$AE$404,0)),"")</f>
        <v/>
      </c>
      <c r="H50" s="76" t="str">
        <f aca="false">IFERROR(INDEX(资金流水!$B$5:$B$504,MATCH(ROW()-8,资金流水!$V$5:$V$504,0)),"")</f>
        <v/>
      </c>
      <c r="I50" s="42" t="str">
        <f aca="false">IFERROR(INDEX(资金流水!$F$5:$F$504,MATCH(ROW()-8,资金流水!$V$5:$V$504,0)),"")</f>
        <v/>
      </c>
      <c r="J50" s="54" t="str">
        <f aca="false">IFERROR(INDEX(资金流水!$N$5:$N$504,MATCH(ROW()-8,资金流水!$V$5:$V$504,0)),"")</f>
        <v/>
      </c>
      <c r="K50" s="35" t="str">
        <f aca="false">IFERROR(INDEX(资金流水!$J$5:$J$504,MATCH(ROW()-8,资金流水!$V$5:$V$504,0)),"")</f>
        <v/>
      </c>
      <c r="L50" s="42" t="str">
        <f aca="false">IFERROR(INDEX(资金流水!$I$5:$I$504,MATCH(ROW()-8,资金流水!$V$5:$V$504,0)),"")</f>
        <v/>
      </c>
      <c r="M50" s="42" t="str">
        <f aca="false">IFERROR(INDEX(资金流水!$H$5:$H$504,MATCH(ROW()-8,资金流水!$V$5:$V$504,0)),"")</f>
        <v/>
      </c>
    </row>
    <row r="51" customFormat="false" ht="15.75" hidden="false" customHeight="true" outlineLevel="0" collapsed="false">
      <c r="A51" s="76" t="str">
        <f aca="false">IFERROR(INDEX(销售录入!$B$5:$B$404,MATCH(ROW()-8,销售录入!$AE$5:$AE$404,0)),"")</f>
        <v/>
      </c>
      <c r="B51" s="35" t="str">
        <f aca="false">IFERROR(INDEX(销售录入!$E$5:$E$404,MATCH(ROW()-8,销售录入!$AE$5:$AE$404,0)),"")</f>
        <v/>
      </c>
      <c r="C51" s="64" t="str">
        <f aca="false">IFERROR(INDEX(销售录入!$F$5:$F$404,MATCH(ROW()-8,销售录入!$AE$5:$AE$404,0)),"")</f>
        <v/>
      </c>
      <c r="D51" s="54" t="str">
        <f aca="false">IFERROR(INDEX(销售录入!$G$5:$G$404,MATCH(ROW()-8,销售录入!$AE$5:$AE$404,0)),"")</f>
        <v/>
      </c>
      <c r="E51" s="54" t="str">
        <f aca="false">IFERROR(INDEX(销售录入!$Q$5:$Q$404,MATCH(ROW()-8,销售录入!$AE$5:$AE$404,0)),"")</f>
        <v/>
      </c>
      <c r="F51" s="76" t="str">
        <f aca="false">IFERROR(INDEX(销售录入!$U$5:$U$404,MATCH(ROW()-8,销售录入!$AE$5:$AE$404,0)),"")</f>
        <v/>
      </c>
      <c r="H51" s="76" t="str">
        <f aca="false">IFERROR(INDEX(资金流水!$B$5:$B$504,MATCH(ROW()-8,资金流水!$V$5:$V$504,0)),"")</f>
        <v/>
      </c>
      <c r="I51" s="42" t="str">
        <f aca="false">IFERROR(INDEX(资金流水!$F$5:$F$504,MATCH(ROW()-8,资金流水!$V$5:$V$504,0)),"")</f>
        <v/>
      </c>
      <c r="J51" s="54" t="str">
        <f aca="false">IFERROR(INDEX(资金流水!$N$5:$N$504,MATCH(ROW()-8,资金流水!$V$5:$V$504,0)),"")</f>
        <v/>
      </c>
      <c r="K51" s="35" t="str">
        <f aca="false">IFERROR(INDEX(资金流水!$J$5:$J$504,MATCH(ROW()-8,资金流水!$V$5:$V$504,0)),"")</f>
        <v/>
      </c>
      <c r="L51" s="42" t="str">
        <f aca="false">IFERROR(INDEX(资金流水!$I$5:$I$504,MATCH(ROW()-8,资金流水!$V$5:$V$504,0)),"")</f>
        <v/>
      </c>
      <c r="M51" s="42" t="str">
        <f aca="false">IFERROR(INDEX(资金流水!$H$5:$H$504,MATCH(ROW()-8,资金流水!$V$5:$V$504,0)),"")</f>
        <v/>
      </c>
    </row>
    <row r="52" customFormat="false" ht="15.75" hidden="false" customHeight="true" outlineLevel="0" collapsed="false">
      <c r="A52" s="76" t="str">
        <f aca="false">IFERROR(INDEX(销售录入!$B$5:$B$404,MATCH(ROW()-8,销售录入!$AE$5:$AE$404,0)),"")</f>
        <v/>
      </c>
      <c r="B52" s="35" t="str">
        <f aca="false">IFERROR(INDEX(销售录入!$E$5:$E$404,MATCH(ROW()-8,销售录入!$AE$5:$AE$404,0)),"")</f>
        <v/>
      </c>
      <c r="C52" s="64" t="str">
        <f aca="false">IFERROR(INDEX(销售录入!$F$5:$F$404,MATCH(ROW()-8,销售录入!$AE$5:$AE$404,0)),"")</f>
        <v/>
      </c>
      <c r="D52" s="54" t="str">
        <f aca="false">IFERROR(INDEX(销售录入!$G$5:$G$404,MATCH(ROW()-8,销售录入!$AE$5:$AE$404,0)),"")</f>
        <v/>
      </c>
      <c r="E52" s="54" t="str">
        <f aca="false">IFERROR(INDEX(销售录入!$Q$5:$Q$404,MATCH(ROW()-8,销售录入!$AE$5:$AE$404,0)),"")</f>
        <v/>
      </c>
      <c r="F52" s="76" t="str">
        <f aca="false">IFERROR(INDEX(销售录入!$U$5:$U$404,MATCH(ROW()-8,销售录入!$AE$5:$AE$404,0)),"")</f>
        <v/>
      </c>
      <c r="H52" s="76" t="str">
        <f aca="false">IFERROR(INDEX(资金流水!$B$5:$B$504,MATCH(ROW()-8,资金流水!$V$5:$V$504,0)),"")</f>
        <v/>
      </c>
      <c r="I52" s="42" t="str">
        <f aca="false">IFERROR(INDEX(资金流水!$F$5:$F$504,MATCH(ROW()-8,资金流水!$V$5:$V$504,0)),"")</f>
        <v/>
      </c>
      <c r="J52" s="54" t="str">
        <f aca="false">IFERROR(INDEX(资金流水!$N$5:$N$504,MATCH(ROW()-8,资金流水!$V$5:$V$504,0)),"")</f>
        <v/>
      </c>
      <c r="K52" s="35" t="str">
        <f aca="false">IFERROR(INDEX(资金流水!$J$5:$J$504,MATCH(ROW()-8,资金流水!$V$5:$V$504,0)),"")</f>
        <v/>
      </c>
      <c r="L52" s="42" t="str">
        <f aca="false">IFERROR(INDEX(资金流水!$I$5:$I$504,MATCH(ROW()-8,资金流水!$V$5:$V$504,0)),"")</f>
        <v/>
      </c>
      <c r="M52" s="42" t="str">
        <f aca="false">IFERROR(INDEX(资金流水!$H$5:$H$504,MATCH(ROW()-8,资金流水!$V$5:$V$504,0)),"")</f>
        <v/>
      </c>
    </row>
    <row r="53" customFormat="false" ht="15.75" hidden="false" customHeight="true" outlineLevel="0" collapsed="false">
      <c r="A53" s="76" t="str">
        <f aca="false">IFERROR(INDEX(销售录入!$B$5:$B$404,MATCH(ROW()-8,销售录入!$AE$5:$AE$404,0)),"")</f>
        <v/>
      </c>
      <c r="B53" s="35" t="str">
        <f aca="false">IFERROR(INDEX(销售录入!$E$5:$E$404,MATCH(ROW()-8,销售录入!$AE$5:$AE$404,0)),"")</f>
        <v/>
      </c>
      <c r="C53" s="64" t="str">
        <f aca="false">IFERROR(INDEX(销售录入!$F$5:$F$404,MATCH(ROW()-8,销售录入!$AE$5:$AE$404,0)),"")</f>
        <v/>
      </c>
      <c r="D53" s="54" t="str">
        <f aca="false">IFERROR(INDEX(销售录入!$G$5:$G$404,MATCH(ROW()-8,销售录入!$AE$5:$AE$404,0)),"")</f>
        <v/>
      </c>
      <c r="E53" s="54" t="str">
        <f aca="false">IFERROR(INDEX(销售录入!$Q$5:$Q$404,MATCH(ROW()-8,销售录入!$AE$5:$AE$404,0)),"")</f>
        <v/>
      </c>
      <c r="F53" s="76" t="str">
        <f aca="false">IFERROR(INDEX(销售录入!$U$5:$U$404,MATCH(ROW()-8,销售录入!$AE$5:$AE$404,0)),"")</f>
        <v/>
      </c>
      <c r="H53" s="76" t="str">
        <f aca="false">IFERROR(INDEX(资金流水!$B$5:$B$504,MATCH(ROW()-8,资金流水!$V$5:$V$504,0)),"")</f>
        <v/>
      </c>
      <c r="I53" s="42" t="str">
        <f aca="false">IFERROR(INDEX(资金流水!$F$5:$F$504,MATCH(ROW()-8,资金流水!$V$5:$V$504,0)),"")</f>
        <v/>
      </c>
      <c r="J53" s="54" t="str">
        <f aca="false">IFERROR(INDEX(资金流水!$N$5:$N$504,MATCH(ROW()-8,资金流水!$V$5:$V$504,0)),"")</f>
        <v/>
      </c>
      <c r="K53" s="35" t="str">
        <f aca="false">IFERROR(INDEX(资金流水!$J$5:$J$504,MATCH(ROW()-8,资金流水!$V$5:$V$504,0)),"")</f>
        <v/>
      </c>
      <c r="L53" s="42" t="str">
        <f aca="false">IFERROR(INDEX(资金流水!$I$5:$I$504,MATCH(ROW()-8,资金流水!$V$5:$V$504,0)),"")</f>
        <v/>
      </c>
      <c r="M53" s="42" t="str">
        <f aca="false">IFERROR(INDEX(资金流水!$H$5:$H$504,MATCH(ROW()-8,资金流水!$V$5:$V$504,0)),"")</f>
        <v/>
      </c>
    </row>
    <row r="54" customFormat="false" ht="15.75" hidden="false" customHeight="true" outlineLevel="0" collapsed="false">
      <c r="A54" s="76" t="str">
        <f aca="false">IFERROR(INDEX(销售录入!$B$5:$B$404,MATCH(ROW()-8,销售录入!$AE$5:$AE$404,0)),"")</f>
        <v/>
      </c>
      <c r="B54" s="35" t="str">
        <f aca="false">IFERROR(INDEX(销售录入!$E$5:$E$404,MATCH(ROW()-8,销售录入!$AE$5:$AE$404,0)),"")</f>
        <v/>
      </c>
      <c r="C54" s="64" t="str">
        <f aca="false">IFERROR(INDEX(销售录入!$F$5:$F$404,MATCH(ROW()-8,销售录入!$AE$5:$AE$404,0)),"")</f>
        <v/>
      </c>
      <c r="D54" s="54" t="str">
        <f aca="false">IFERROR(INDEX(销售录入!$G$5:$G$404,MATCH(ROW()-8,销售录入!$AE$5:$AE$404,0)),"")</f>
        <v/>
      </c>
      <c r="E54" s="54" t="str">
        <f aca="false">IFERROR(INDEX(销售录入!$Q$5:$Q$404,MATCH(ROW()-8,销售录入!$AE$5:$AE$404,0)),"")</f>
        <v/>
      </c>
      <c r="F54" s="76" t="str">
        <f aca="false">IFERROR(INDEX(销售录入!$U$5:$U$404,MATCH(ROW()-8,销售录入!$AE$5:$AE$404,0)),"")</f>
        <v/>
      </c>
      <c r="H54" s="76" t="str">
        <f aca="false">IFERROR(INDEX(资金流水!$B$5:$B$504,MATCH(ROW()-8,资金流水!$V$5:$V$504,0)),"")</f>
        <v/>
      </c>
      <c r="I54" s="42" t="str">
        <f aca="false">IFERROR(INDEX(资金流水!$F$5:$F$504,MATCH(ROW()-8,资金流水!$V$5:$V$504,0)),"")</f>
        <v/>
      </c>
      <c r="J54" s="54" t="str">
        <f aca="false">IFERROR(INDEX(资金流水!$N$5:$N$504,MATCH(ROW()-8,资金流水!$V$5:$V$504,0)),"")</f>
        <v/>
      </c>
      <c r="K54" s="35" t="str">
        <f aca="false">IFERROR(INDEX(资金流水!$J$5:$J$504,MATCH(ROW()-8,资金流水!$V$5:$V$504,0)),"")</f>
        <v/>
      </c>
      <c r="L54" s="42" t="str">
        <f aca="false">IFERROR(INDEX(资金流水!$I$5:$I$504,MATCH(ROW()-8,资金流水!$V$5:$V$504,0)),"")</f>
        <v/>
      </c>
      <c r="M54" s="42" t="str">
        <f aca="false">IFERROR(INDEX(资金流水!$H$5:$H$504,MATCH(ROW()-8,资金流水!$V$5:$V$504,0)),"")</f>
        <v/>
      </c>
    </row>
    <row r="55" customFormat="false" ht="15.75" hidden="false" customHeight="true" outlineLevel="0" collapsed="false">
      <c r="A55" s="76" t="str">
        <f aca="false">IFERROR(INDEX(销售录入!$B$5:$B$404,MATCH(ROW()-8,销售录入!$AE$5:$AE$404,0)),"")</f>
        <v/>
      </c>
      <c r="B55" s="35" t="str">
        <f aca="false">IFERROR(INDEX(销售录入!$E$5:$E$404,MATCH(ROW()-8,销售录入!$AE$5:$AE$404,0)),"")</f>
        <v/>
      </c>
      <c r="C55" s="64" t="str">
        <f aca="false">IFERROR(INDEX(销售录入!$F$5:$F$404,MATCH(ROW()-8,销售录入!$AE$5:$AE$404,0)),"")</f>
        <v/>
      </c>
      <c r="D55" s="54" t="str">
        <f aca="false">IFERROR(INDEX(销售录入!$G$5:$G$404,MATCH(ROW()-8,销售录入!$AE$5:$AE$404,0)),"")</f>
        <v/>
      </c>
      <c r="E55" s="54" t="str">
        <f aca="false">IFERROR(INDEX(销售录入!$Q$5:$Q$404,MATCH(ROW()-8,销售录入!$AE$5:$AE$404,0)),"")</f>
        <v/>
      </c>
      <c r="F55" s="76" t="str">
        <f aca="false">IFERROR(INDEX(销售录入!$U$5:$U$404,MATCH(ROW()-8,销售录入!$AE$5:$AE$404,0)),"")</f>
        <v/>
      </c>
      <c r="H55" s="76" t="str">
        <f aca="false">IFERROR(INDEX(资金流水!$B$5:$B$504,MATCH(ROW()-8,资金流水!$V$5:$V$504,0)),"")</f>
        <v/>
      </c>
      <c r="I55" s="42" t="str">
        <f aca="false">IFERROR(INDEX(资金流水!$F$5:$F$504,MATCH(ROW()-8,资金流水!$V$5:$V$504,0)),"")</f>
        <v/>
      </c>
      <c r="J55" s="54" t="str">
        <f aca="false">IFERROR(INDEX(资金流水!$N$5:$N$504,MATCH(ROW()-8,资金流水!$V$5:$V$504,0)),"")</f>
        <v/>
      </c>
      <c r="K55" s="35" t="str">
        <f aca="false">IFERROR(INDEX(资金流水!$J$5:$J$504,MATCH(ROW()-8,资金流水!$V$5:$V$504,0)),"")</f>
        <v/>
      </c>
      <c r="L55" s="42" t="str">
        <f aca="false">IFERROR(INDEX(资金流水!$I$5:$I$504,MATCH(ROW()-8,资金流水!$V$5:$V$504,0)),"")</f>
        <v/>
      </c>
      <c r="M55" s="42" t="str">
        <f aca="false">IFERROR(INDEX(资金流水!$H$5:$H$504,MATCH(ROW()-8,资金流水!$V$5:$V$504,0)),"")</f>
        <v/>
      </c>
    </row>
    <row r="56" customFormat="false" ht="15.75" hidden="false" customHeight="true" outlineLevel="0" collapsed="false">
      <c r="A56" s="76" t="str">
        <f aca="false">IFERROR(INDEX(销售录入!$B$5:$B$404,MATCH(ROW()-8,销售录入!$AE$5:$AE$404,0)),"")</f>
        <v/>
      </c>
      <c r="B56" s="35" t="str">
        <f aca="false">IFERROR(INDEX(销售录入!$E$5:$E$404,MATCH(ROW()-8,销售录入!$AE$5:$AE$404,0)),"")</f>
        <v/>
      </c>
      <c r="C56" s="64" t="str">
        <f aca="false">IFERROR(INDEX(销售录入!$F$5:$F$404,MATCH(ROW()-8,销售录入!$AE$5:$AE$404,0)),"")</f>
        <v/>
      </c>
      <c r="D56" s="54" t="str">
        <f aca="false">IFERROR(INDEX(销售录入!$G$5:$G$404,MATCH(ROW()-8,销售录入!$AE$5:$AE$404,0)),"")</f>
        <v/>
      </c>
      <c r="E56" s="54" t="str">
        <f aca="false">IFERROR(INDEX(销售录入!$Q$5:$Q$404,MATCH(ROW()-8,销售录入!$AE$5:$AE$404,0)),"")</f>
        <v/>
      </c>
      <c r="F56" s="76" t="str">
        <f aca="false">IFERROR(INDEX(销售录入!$U$5:$U$404,MATCH(ROW()-8,销售录入!$AE$5:$AE$404,0)),"")</f>
        <v/>
      </c>
      <c r="H56" s="76" t="str">
        <f aca="false">IFERROR(INDEX(资金流水!$B$5:$B$504,MATCH(ROW()-8,资金流水!$V$5:$V$504,0)),"")</f>
        <v/>
      </c>
      <c r="I56" s="42" t="str">
        <f aca="false">IFERROR(INDEX(资金流水!$F$5:$F$504,MATCH(ROW()-8,资金流水!$V$5:$V$504,0)),"")</f>
        <v/>
      </c>
      <c r="J56" s="54" t="str">
        <f aca="false">IFERROR(INDEX(资金流水!$N$5:$N$504,MATCH(ROW()-8,资金流水!$V$5:$V$504,0)),"")</f>
        <v/>
      </c>
      <c r="K56" s="35" t="str">
        <f aca="false">IFERROR(INDEX(资金流水!$J$5:$J$504,MATCH(ROW()-8,资金流水!$V$5:$V$504,0)),"")</f>
        <v/>
      </c>
      <c r="L56" s="42" t="str">
        <f aca="false">IFERROR(INDEX(资金流水!$I$5:$I$504,MATCH(ROW()-8,资金流水!$V$5:$V$504,0)),"")</f>
        <v/>
      </c>
      <c r="M56" s="42" t="str">
        <f aca="false">IFERROR(INDEX(资金流水!$H$5:$H$504,MATCH(ROW()-8,资金流水!$V$5:$V$504,0)),"")</f>
        <v/>
      </c>
    </row>
    <row r="57" customFormat="false" ht="15.75" hidden="false" customHeight="true" outlineLevel="0" collapsed="false">
      <c r="A57" s="76" t="str">
        <f aca="false">IFERROR(INDEX(销售录入!$B$5:$B$404,MATCH(ROW()-8,销售录入!$AE$5:$AE$404,0)),"")</f>
        <v/>
      </c>
      <c r="B57" s="35" t="str">
        <f aca="false">IFERROR(INDEX(销售录入!$E$5:$E$404,MATCH(ROW()-8,销售录入!$AE$5:$AE$404,0)),"")</f>
        <v/>
      </c>
      <c r="C57" s="64" t="str">
        <f aca="false">IFERROR(INDEX(销售录入!$F$5:$F$404,MATCH(ROW()-8,销售录入!$AE$5:$AE$404,0)),"")</f>
        <v/>
      </c>
      <c r="D57" s="54" t="str">
        <f aca="false">IFERROR(INDEX(销售录入!$G$5:$G$404,MATCH(ROW()-8,销售录入!$AE$5:$AE$404,0)),"")</f>
        <v/>
      </c>
      <c r="E57" s="54" t="str">
        <f aca="false">IFERROR(INDEX(销售录入!$Q$5:$Q$404,MATCH(ROW()-8,销售录入!$AE$5:$AE$404,0)),"")</f>
        <v/>
      </c>
      <c r="F57" s="76" t="str">
        <f aca="false">IFERROR(INDEX(销售录入!$U$5:$U$404,MATCH(ROW()-8,销售录入!$AE$5:$AE$404,0)),"")</f>
        <v/>
      </c>
      <c r="H57" s="76" t="str">
        <f aca="false">IFERROR(INDEX(资金流水!$B$5:$B$504,MATCH(ROW()-8,资金流水!$V$5:$V$504,0)),"")</f>
        <v/>
      </c>
      <c r="I57" s="42" t="str">
        <f aca="false">IFERROR(INDEX(资金流水!$F$5:$F$504,MATCH(ROW()-8,资金流水!$V$5:$V$504,0)),"")</f>
        <v/>
      </c>
      <c r="J57" s="54" t="str">
        <f aca="false">IFERROR(INDEX(资金流水!$N$5:$N$504,MATCH(ROW()-8,资金流水!$V$5:$V$504,0)),"")</f>
        <v/>
      </c>
      <c r="K57" s="35" t="str">
        <f aca="false">IFERROR(INDEX(资金流水!$J$5:$J$504,MATCH(ROW()-8,资金流水!$V$5:$V$504,0)),"")</f>
        <v/>
      </c>
      <c r="L57" s="42" t="str">
        <f aca="false">IFERROR(INDEX(资金流水!$I$5:$I$504,MATCH(ROW()-8,资金流水!$V$5:$V$504,0)),"")</f>
        <v/>
      </c>
      <c r="M57" s="42" t="str">
        <f aca="false">IFERROR(INDEX(资金流水!$H$5:$H$504,MATCH(ROW()-8,资金流水!$V$5:$V$504,0)),"")</f>
        <v/>
      </c>
    </row>
    <row r="58" customFormat="false" ht="15.75" hidden="false" customHeight="true" outlineLevel="0" collapsed="false">
      <c r="A58" s="76" t="str">
        <f aca="false">IFERROR(INDEX(销售录入!$B$5:$B$404,MATCH(ROW()-8,销售录入!$AE$5:$AE$404,0)),"")</f>
        <v/>
      </c>
      <c r="B58" s="35" t="str">
        <f aca="false">IFERROR(INDEX(销售录入!$E$5:$E$404,MATCH(ROW()-8,销售录入!$AE$5:$AE$404,0)),"")</f>
        <v/>
      </c>
      <c r="C58" s="64" t="str">
        <f aca="false">IFERROR(INDEX(销售录入!$F$5:$F$404,MATCH(ROW()-8,销售录入!$AE$5:$AE$404,0)),"")</f>
        <v/>
      </c>
      <c r="D58" s="54" t="str">
        <f aca="false">IFERROR(INDEX(销售录入!$G$5:$G$404,MATCH(ROW()-8,销售录入!$AE$5:$AE$404,0)),"")</f>
        <v/>
      </c>
      <c r="E58" s="54" t="str">
        <f aca="false">IFERROR(INDEX(销售录入!$Q$5:$Q$404,MATCH(ROW()-8,销售录入!$AE$5:$AE$404,0)),"")</f>
        <v/>
      </c>
      <c r="F58" s="76" t="str">
        <f aca="false">IFERROR(INDEX(销售录入!$U$5:$U$404,MATCH(ROW()-8,销售录入!$AE$5:$AE$404,0)),"")</f>
        <v/>
      </c>
      <c r="H58" s="76" t="str">
        <f aca="false">IFERROR(INDEX(资金流水!$B$5:$B$504,MATCH(ROW()-8,资金流水!$V$5:$V$504,0)),"")</f>
        <v/>
      </c>
      <c r="I58" s="42" t="str">
        <f aca="false">IFERROR(INDEX(资金流水!$F$5:$F$504,MATCH(ROW()-8,资金流水!$V$5:$V$504,0)),"")</f>
        <v/>
      </c>
      <c r="J58" s="54" t="str">
        <f aca="false">IFERROR(INDEX(资金流水!$N$5:$N$504,MATCH(ROW()-8,资金流水!$V$5:$V$504,0)),"")</f>
        <v/>
      </c>
      <c r="K58" s="35" t="str">
        <f aca="false">IFERROR(INDEX(资金流水!$J$5:$J$504,MATCH(ROW()-8,资金流水!$V$5:$V$504,0)),"")</f>
        <v/>
      </c>
      <c r="L58" s="42" t="str">
        <f aca="false">IFERROR(INDEX(资金流水!$I$5:$I$504,MATCH(ROW()-8,资金流水!$V$5:$V$504,0)),"")</f>
        <v/>
      </c>
      <c r="M58" s="42" t="str">
        <f aca="false">IFERROR(INDEX(资金流水!$H$5:$H$504,MATCH(ROW()-8,资金流水!$V$5:$V$504,0)),"")</f>
        <v/>
      </c>
    </row>
    <row r="59" customFormat="false" ht="15.75" hidden="false" customHeight="true" outlineLevel="0" collapsed="false">
      <c r="A59" s="76" t="str">
        <f aca="false">IFERROR(INDEX(销售录入!$B$5:$B$404,MATCH(ROW()-8,销售录入!$AE$5:$AE$404,0)),"")</f>
        <v/>
      </c>
      <c r="B59" s="35" t="str">
        <f aca="false">IFERROR(INDEX(销售录入!$E$5:$E$404,MATCH(ROW()-8,销售录入!$AE$5:$AE$404,0)),"")</f>
        <v/>
      </c>
      <c r="C59" s="64" t="str">
        <f aca="false">IFERROR(INDEX(销售录入!$F$5:$F$404,MATCH(ROW()-8,销售录入!$AE$5:$AE$404,0)),"")</f>
        <v/>
      </c>
      <c r="D59" s="54" t="str">
        <f aca="false">IFERROR(INDEX(销售录入!$G$5:$G$404,MATCH(ROW()-8,销售录入!$AE$5:$AE$404,0)),"")</f>
        <v/>
      </c>
      <c r="E59" s="54" t="str">
        <f aca="false">IFERROR(INDEX(销售录入!$Q$5:$Q$404,MATCH(ROW()-8,销售录入!$AE$5:$AE$404,0)),"")</f>
        <v/>
      </c>
      <c r="F59" s="76" t="str">
        <f aca="false">IFERROR(INDEX(销售录入!$U$5:$U$404,MATCH(ROW()-8,销售录入!$AE$5:$AE$404,0)),"")</f>
        <v/>
      </c>
      <c r="H59" s="76" t="str">
        <f aca="false">IFERROR(INDEX(资金流水!$B$5:$B$504,MATCH(ROW()-8,资金流水!$V$5:$V$504,0)),"")</f>
        <v/>
      </c>
      <c r="I59" s="42" t="str">
        <f aca="false">IFERROR(INDEX(资金流水!$F$5:$F$504,MATCH(ROW()-8,资金流水!$V$5:$V$504,0)),"")</f>
        <v/>
      </c>
      <c r="J59" s="54" t="str">
        <f aca="false">IFERROR(INDEX(资金流水!$N$5:$N$504,MATCH(ROW()-8,资金流水!$V$5:$V$504,0)),"")</f>
        <v/>
      </c>
      <c r="K59" s="35" t="str">
        <f aca="false">IFERROR(INDEX(资金流水!$J$5:$J$504,MATCH(ROW()-8,资金流水!$V$5:$V$504,0)),"")</f>
        <v/>
      </c>
      <c r="L59" s="42" t="str">
        <f aca="false">IFERROR(INDEX(资金流水!$I$5:$I$504,MATCH(ROW()-8,资金流水!$V$5:$V$504,0)),"")</f>
        <v/>
      </c>
      <c r="M59" s="42" t="str">
        <f aca="false">IFERROR(INDEX(资金流水!$H$5:$H$504,MATCH(ROW()-8,资金流水!$V$5:$V$504,0)),"")</f>
        <v/>
      </c>
    </row>
    <row r="60" customFormat="false" ht="15.75" hidden="false" customHeight="true" outlineLevel="0" collapsed="false">
      <c r="A60" s="76" t="str">
        <f aca="false">IFERROR(INDEX(销售录入!$B$5:$B$404,MATCH(ROW()-8,销售录入!$AE$5:$AE$404,0)),"")</f>
        <v/>
      </c>
      <c r="B60" s="35" t="str">
        <f aca="false">IFERROR(INDEX(销售录入!$E$5:$E$404,MATCH(ROW()-8,销售录入!$AE$5:$AE$404,0)),"")</f>
        <v/>
      </c>
      <c r="C60" s="64" t="str">
        <f aca="false">IFERROR(INDEX(销售录入!$F$5:$F$404,MATCH(ROW()-8,销售录入!$AE$5:$AE$404,0)),"")</f>
        <v/>
      </c>
      <c r="D60" s="54" t="str">
        <f aca="false">IFERROR(INDEX(销售录入!$G$5:$G$404,MATCH(ROW()-8,销售录入!$AE$5:$AE$404,0)),"")</f>
        <v/>
      </c>
      <c r="E60" s="54" t="str">
        <f aca="false">IFERROR(INDEX(销售录入!$Q$5:$Q$404,MATCH(ROW()-8,销售录入!$AE$5:$AE$404,0)),"")</f>
        <v/>
      </c>
      <c r="F60" s="76" t="str">
        <f aca="false">IFERROR(INDEX(销售录入!$U$5:$U$404,MATCH(ROW()-8,销售录入!$AE$5:$AE$404,0)),"")</f>
        <v/>
      </c>
      <c r="H60" s="76" t="str">
        <f aca="false">IFERROR(INDEX(资金流水!$B$5:$B$504,MATCH(ROW()-8,资金流水!$V$5:$V$504,0)),"")</f>
        <v/>
      </c>
      <c r="I60" s="42" t="str">
        <f aca="false">IFERROR(INDEX(资金流水!$F$5:$F$504,MATCH(ROW()-8,资金流水!$V$5:$V$504,0)),"")</f>
        <v/>
      </c>
      <c r="J60" s="54" t="str">
        <f aca="false">IFERROR(INDEX(资金流水!$N$5:$N$504,MATCH(ROW()-8,资金流水!$V$5:$V$504,0)),"")</f>
        <v/>
      </c>
      <c r="K60" s="35" t="str">
        <f aca="false">IFERROR(INDEX(资金流水!$J$5:$J$504,MATCH(ROW()-8,资金流水!$V$5:$V$504,0)),"")</f>
        <v/>
      </c>
      <c r="L60" s="42" t="str">
        <f aca="false">IFERROR(INDEX(资金流水!$I$5:$I$504,MATCH(ROW()-8,资金流水!$V$5:$V$504,0)),"")</f>
        <v/>
      </c>
      <c r="M60" s="42" t="str">
        <f aca="false">IFERROR(INDEX(资金流水!$H$5:$H$504,MATCH(ROW()-8,资金流水!$V$5:$V$504,0)),"")</f>
        <v/>
      </c>
    </row>
    <row r="61" customFormat="false" ht="15.75" hidden="false" customHeight="true" outlineLevel="0" collapsed="false">
      <c r="A61" s="76" t="str">
        <f aca="false">IFERROR(INDEX(销售录入!$B$5:$B$404,MATCH(ROW()-8,销售录入!$AE$5:$AE$404,0)),"")</f>
        <v/>
      </c>
      <c r="B61" s="35" t="str">
        <f aca="false">IFERROR(INDEX(销售录入!$E$5:$E$404,MATCH(ROW()-8,销售录入!$AE$5:$AE$404,0)),"")</f>
        <v/>
      </c>
      <c r="C61" s="64" t="str">
        <f aca="false">IFERROR(INDEX(销售录入!$F$5:$F$404,MATCH(ROW()-8,销售录入!$AE$5:$AE$404,0)),"")</f>
        <v/>
      </c>
      <c r="D61" s="54" t="str">
        <f aca="false">IFERROR(INDEX(销售录入!$G$5:$G$404,MATCH(ROW()-8,销售录入!$AE$5:$AE$404,0)),"")</f>
        <v/>
      </c>
      <c r="E61" s="54" t="str">
        <f aca="false">IFERROR(INDEX(销售录入!$Q$5:$Q$404,MATCH(ROW()-8,销售录入!$AE$5:$AE$404,0)),"")</f>
        <v/>
      </c>
      <c r="F61" s="76" t="str">
        <f aca="false">IFERROR(INDEX(销售录入!$U$5:$U$404,MATCH(ROW()-8,销售录入!$AE$5:$AE$404,0)),"")</f>
        <v/>
      </c>
      <c r="H61" s="76" t="str">
        <f aca="false">IFERROR(INDEX(资金流水!$B$5:$B$504,MATCH(ROW()-8,资金流水!$V$5:$V$504,0)),"")</f>
        <v/>
      </c>
      <c r="I61" s="42" t="str">
        <f aca="false">IFERROR(INDEX(资金流水!$F$5:$F$504,MATCH(ROW()-8,资金流水!$V$5:$V$504,0)),"")</f>
        <v/>
      </c>
      <c r="J61" s="54" t="str">
        <f aca="false">IFERROR(INDEX(资金流水!$N$5:$N$504,MATCH(ROW()-8,资金流水!$V$5:$V$504,0)),"")</f>
        <v/>
      </c>
      <c r="K61" s="35" t="str">
        <f aca="false">IFERROR(INDEX(资金流水!$J$5:$J$504,MATCH(ROW()-8,资金流水!$V$5:$V$504,0)),"")</f>
        <v/>
      </c>
      <c r="L61" s="42" t="str">
        <f aca="false">IFERROR(INDEX(资金流水!$I$5:$I$504,MATCH(ROW()-8,资金流水!$V$5:$V$504,0)),"")</f>
        <v/>
      </c>
      <c r="M61" s="42" t="str">
        <f aca="false">IFERROR(INDEX(资金流水!$H$5:$H$504,MATCH(ROW()-8,资金流水!$V$5:$V$504,0)),"")</f>
        <v/>
      </c>
    </row>
    <row r="62" customFormat="false" ht="15.75" hidden="false" customHeight="true" outlineLevel="0" collapsed="false">
      <c r="A62" s="76" t="str">
        <f aca="false">IFERROR(INDEX(销售录入!$B$5:$B$404,MATCH(ROW()-8,销售录入!$AE$5:$AE$404,0)),"")</f>
        <v/>
      </c>
      <c r="B62" s="35" t="str">
        <f aca="false">IFERROR(INDEX(销售录入!$E$5:$E$404,MATCH(ROW()-8,销售录入!$AE$5:$AE$404,0)),"")</f>
        <v/>
      </c>
      <c r="C62" s="64" t="str">
        <f aca="false">IFERROR(INDEX(销售录入!$F$5:$F$404,MATCH(ROW()-8,销售录入!$AE$5:$AE$404,0)),"")</f>
        <v/>
      </c>
      <c r="D62" s="54" t="str">
        <f aca="false">IFERROR(INDEX(销售录入!$G$5:$G$404,MATCH(ROW()-8,销售录入!$AE$5:$AE$404,0)),"")</f>
        <v/>
      </c>
      <c r="E62" s="54" t="str">
        <f aca="false">IFERROR(INDEX(销售录入!$Q$5:$Q$404,MATCH(ROW()-8,销售录入!$AE$5:$AE$404,0)),"")</f>
        <v/>
      </c>
      <c r="F62" s="76" t="str">
        <f aca="false">IFERROR(INDEX(销售录入!$U$5:$U$404,MATCH(ROW()-8,销售录入!$AE$5:$AE$404,0)),"")</f>
        <v/>
      </c>
      <c r="H62" s="76" t="str">
        <f aca="false">IFERROR(INDEX(资金流水!$B$5:$B$504,MATCH(ROW()-8,资金流水!$V$5:$V$504,0)),"")</f>
        <v/>
      </c>
      <c r="I62" s="42" t="str">
        <f aca="false">IFERROR(INDEX(资金流水!$F$5:$F$504,MATCH(ROW()-8,资金流水!$V$5:$V$504,0)),"")</f>
        <v/>
      </c>
      <c r="J62" s="54" t="str">
        <f aca="false">IFERROR(INDEX(资金流水!$N$5:$N$504,MATCH(ROW()-8,资金流水!$V$5:$V$504,0)),"")</f>
        <v/>
      </c>
      <c r="K62" s="35" t="str">
        <f aca="false">IFERROR(INDEX(资金流水!$J$5:$J$504,MATCH(ROW()-8,资金流水!$V$5:$V$504,0)),"")</f>
        <v/>
      </c>
      <c r="L62" s="42" t="str">
        <f aca="false">IFERROR(INDEX(资金流水!$I$5:$I$504,MATCH(ROW()-8,资金流水!$V$5:$V$504,0)),"")</f>
        <v/>
      </c>
      <c r="M62" s="42" t="str">
        <f aca="false">IFERROR(INDEX(资金流水!$H$5:$H$504,MATCH(ROW()-8,资金流水!$V$5:$V$504,0)),"")</f>
        <v/>
      </c>
    </row>
    <row r="63" customFormat="false" ht="15.75" hidden="false" customHeight="true" outlineLevel="0" collapsed="false">
      <c r="A63" s="76" t="str">
        <f aca="false">IFERROR(INDEX(销售录入!$B$5:$B$404,MATCH(ROW()-8,销售录入!$AE$5:$AE$404,0)),"")</f>
        <v/>
      </c>
      <c r="B63" s="35" t="str">
        <f aca="false">IFERROR(INDEX(销售录入!$E$5:$E$404,MATCH(ROW()-8,销售录入!$AE$5:$AE$404,0)),"")</f>
        <v/>
      </c>
      <c r="C63" s="64" t="str">
        <f aca="false">IFERROR(INDEX(销售录入!$F$5:$F$404,MATCH(ROW()-8,销售录入!$AE$5:$AE$404,0)),"")</f>
        <v/>
      </c>
      <c r="D63" s="54" t="str">
        <f aca="false">IFERROR(INDEX(销售录入!$G$5:$G$404,MATCH(ROW()-8,销售录入!$AE$5:$AE$404,0)),"")</f>
        <v/>
      </c>
      <c r="E63" s="54" t="str">
        <f aca="false">IFERROR(INDEX(销售录入!$Q$5:$Q$404,MATCH(ROW()-8,销售录入!$AE$5:$AE$404,0)),"")</f>
        <v/>
      </c>
      <c r="F63" s="76" t="str">
        <f aca="false">IFERROR(INDEX(销售录入!$U$5:$U$404,MATCH(ROW()-8,销售录入!$AE$5:$AE$404,0)),"")</f>
        <v/>
      </c>
      <c r="H63" s="76" t="str">
        <f aca="false">IFERROR(INDEX(资金流水!$B$5:$B$504,MATCH(ROW()-8,资金流水!$V$5:$V$504,0)),"")</f>
        <v/>
      </c>
      <c r="I63" s="42" t="str">
        <f aca="false">IFERROR(INDEX(资金流水!$F$5:$F$504,MATCH(ROW()-8,资金流水!$V$5:$V$504,0)),"")</f>
        <v/>
      </c>
      <c r="J63" s="54" t="str">
        <f aca="false">IFERROR(INDEX(资金流水!$N$5:$N$504,MATCH(ROW()-8,资金流水!$V$5:$V$504,0)),"")</f>
        <v/>
      </c>
      <c r="K63" s="35" t="str">
        <f aca="false">IFERROR(INDEX(资金流水!$J$5:$J$504,MATCH(ROW()-8,资金流水!$V$5:$V$504,0)),"")</f>
        <v/>
      </c>
      <c r="L63" s="42" t="str">
        <f aca="false">IFERROR(INDEX(资金流水!$I$5:$I$504,MATCH(ROW()-8,资金流水!$V$5:$V$504,0)),"")</f>
        <v/>
      </c>
      <c r="M63" s="42" t="str">
        <f aca="false">IFERROR(INDEX(资金流水!$H$5:$H$504,MATCH(ROW()-8,资金流水!$V$5:$V$504,0)),"")</f>
        <v/>
      </c>
    </row>
    <row r="64" customFormat="false" ht="15.75" hidden="false" customHeight="true" outlineLevel="0" collapsed="false">
      <c r="A64" s="76" t="str">
        <f aca="false">IFERROR(INDEX(销售录入!$B$5:$B$404,MATCH(ROW()-8,销售录入!$AE$5:$AE$404,0)),"")</f>
        <v/>
      </c>
      <c r="B64" s="35" t="str">
        <f aca="false">IFERROR(INDEX(销售录入!$E$5:$E$404,MATCH(ROW()-8,销售录入!$AE$5:$AE$404,0)),"")</f>
        <v/>
      </c>
      <c r="C64" s="64" t="str">
        <f aca="false">IFERROR(INDEX(销售录入!$F$5:$F$404,MATCH(ROW()-8,销售录入!$AE$5:$AE$404,0)),"")</f>
        <v/>
      </c>
      <c r="D64" s="54" t="str">
        <f aca="false">IFERROR(INDEX(销售录入!$G$5:$G$404,MATCH(ROW()-8,销售录入!$AE$5:$AE$404,0)),"")</f>
        <v/>
      </c>
      <c r="E64" s="54" t="str">
        <f aca="false">IFERROR(INDEX(销售录入!$Q$5:$Q$404,MATCH(ROW()-8,销售录入!$AE$5:$AE$404,0)),"")</f>
        <v/>
      </c>
      <c r="F64" s="76" t="str">
        <f aca="false">IFERROR(INDEX(销售录入!$U$5:$U$404,MATCH(ROW()-8,销售录入!$AE$5:$AE$404,0)),"")</f>
        <v/>
      </c>
      <c r="H64" s="76" t="str">
        <f aca="false">IFERROR(INDEX(资金流水!$B$5:$B$504,MATCH(ROW()-8,资金流水!$V$5:$V$504,0)),"")</f>
        <v/>
      </c>
      <c r="I64" s="42" t="str">
        <f aca="false">IFERROR(INDEX(资金流水!$F$5:$F$504,MATCH(ROW()-8,资金流水!$V$5:$V$504,0)),"")</f>
        <v/>
      </c>
      <c r="J64" s="54" t="str">
        <f aca="false">IFERROR(INDEX(资金流水!$N$5:$N$504,MATCH(ROW()-8,资金流水!$V$5:$V$504,0)),"")</f>
        <v/>
      </c>
      <c r="K64" s="35" t="str">
        <f aca="false">IFERROR(INDEX(资金流水!$J$5:$J$504,MATCH(ROW()-8,资金流水!$V$5:$V$504,0)),"")</f>
        <v/>
      </c>
      <c r="L64" s="42" t="str">
        <f aca="false">IFERROR(INDEX(资金流水!$I$5:$I$504,MATCH(ROW()-8,资金流水!$V$5:$V$504,0)),"")</f>
        <v/>
      </c>
      <c r="M64" s="42" t="str">
        <f aca="false">IFERROR(INDEX(资金流水!$H$5:$H$504,MATCH(ROW()-8,资金流水!$V$5:$V$504,0)),"")</f>
        <v/>
      </c>
    </row>
    <row r="65" customFormat="false" ht="15.75" hidden="false" customHeight="true" outlineLevel="0" collapsed="false">
      <c r="A65" s="76" t="str">
        <f aca="false">IFERROR(INDEX(销售录入!$B$5:$B$404,MATCH(ROW()-8,销售录入!$AE$5:$AE$404,0)),"")</f>
        <v/>
      </c>
      <c r="B65" s="35" t="str">
        <f aca="false">IFERROR(INDEX(销售录入!$E$5:$E$404,MATCH(ROW()-8,销售录入!$AE$5:$AE$404,0)),"")</f>
        <v/>
      </c>
      <c r="C65" s="64" t="str">
        <f aca="false">IFERROR(INDEX(销售录入!$F$5:$F$404,MATCH(ROW()-8,销售录入!$AE$5:$AE$404,0)),"")</f>
        <v/>
      </c>
      <c r="D65" s="54" t="str">
        <f aca="false">IFERROR(INDEX(销售录入!$G$5:$G$404,MATCH(ROW()-8,销售录入!$AE$5:$AE$404,0)),"")</f>
        <v/>
      </c>
      <c r="E65" s="54" t="str">
        <f aca="false">IFERROR(INDEX(销售录入!$Q$5:$Q$404,MATCH(ROW()-8,销售录入!$AE$5:$AE$404,0)),"")</f>
        <v/>
      </c>
      <c r="F65" s="76" t="str">
        <f aca="false">IFERROR(INDEX(销售录入!$U$5:$U$404,MATCH(ROW()-8,销售录入!$AE$5:$AE$404,0)),"")</f>
        <v/>
      </c>
      <c r="H65" s="76" t="str">
        <f aca="false">IFERROR(INDEX(资金流水!$B$5:$B$504,MATCH(ROW()-8,资金流水!$V$5:$V$504,0)),"")</f>
        <v/>
      </c>
      <c r="I65" s="42" t="str">
        <f aca="false">IFERROR(INDEX(资金流水!$F$5:$F$504,MATCH(ROW()-8,资金流水!$V$5:$V$504,0)),"")</f>
        <v/>
      </c>
      <c r="J65" s="54" t="str">
        <f aca="false">IFERROR(INDEX(资金流水!$N$5:$N$504,MATCH(ROW()-8,资金流水!$V$5:$V$504,0)),"")</f>
        <v/>
      </c>
      <c r="K65" s="35" t="str">
        <f aca="false">IFERROR(INDEX(资金流水!$J$5:$J$504,MATCH(ROW()-8,资金流水!$V$5:$V$504,0)),"")</f>
        <v/>
      </c>
      <c r="L65" s="42" t="str">
        <f aca="false">IFERROR(INDEX(资金流水!$I$5:$I$504,MATCH(ROW()-8,资金流水!$V$5:$V$504,0)),"")</f>
        <v/>
      </c>
      <c r="M65" s="42" t="str">
        <f aca="false">IFERROR(INDEX(资金流水!$H$5:$H$504,MATCH(ROW()-8,资金流水!$V$5:$V$504,0)),"")</f>
        <v/>
      </c>
    </row>
    <row r="66" customFormat="false" ht="15.75" hidden="false" customHeight="true" outlineLevel="0" collapsed="false">
      <c r="A66" s="76" t="str">
        <f aca="false">IFERROR(INDEX(销售录入!$B$5:$B$404,MATCH(ROW()-8,销售录入!$AE$5:$AE$404,0)),"")</f>
        <v/>
      </c>
      <c r="B66" s="35" t="str">
        <f aca="false">IFERROR(INDEX(销售录入!$E$5:$E$404,MATCH(ROW()-8,销售录入!$AE$5:$AE$404,0)),"")</f>
        <v/>
      </c>
      <c r="C66" s="64" t="str">
        <f aca="false">IFERROR(INDEX(销售录入!$F$5:$F$404,MATCH(ROW()-8,销售录入!$AE$5:$AE$404,0)),"")</f>
        <v/>
      </c>
      <c r="D66" s="54" t="str">
        <f aca="false">IFERROR(INDEX(销售录入!$G$5:$G$404,MATCH(ROW()-8,销售录入!$AE$5:$AE$404,0)),"")</f>
        <v/>
      </c>
      <c r="E66" s="54" t="str">
        <f aca="false">IFERROR(INDEX(销售录入!$Q$5:$Q$404,MATCH(ROW()-8,销售录入!$AE$5:$AE$404,0)),"")</f>
        <v/>
      </c>
      <c r="F66" s="76" t="str">
        <f aca="false">IFERROR(INDEX(销售录入!$U$5:$U$404,MATCH(ROW()-8,销售录入!$AE$5:$AE$404,0)),"")</f>
        <v/>
      </c>
      <c r="H66" s="76" t="str">
        <f aca="false">IFERROR(INDEX(资金流水!$B$5:$B$504,MATCH(ROW()-8,资金流水!$V$5:$V$504,0)),"")</f>
        <v/>
      </c>
      <c r="I66" s="42" t="str">
        <f aca="false">IFERROR(INDEX(资金流水!$F$5:$F$504,MATCH(ROW()-8,资金流水!$V$5:$V$504,0)),"")</f>
        <v/>
      </c>
      <c r="J66" s="54" t="str">
        <f aca="false">IFERROR(INDEX(资金流水!$N$5:$N$504,MATCH(ROW()-8,资金流水!$V$5:$V$504,0)),"")</f>
        <v/>
      </c>
      <c r="K66" s="35" t="str">
        <f aca="false">IFERROR(INDEX(资金流水!$J$5:$J$504,MATCH(ROW()-8,资金流水!$V$5:$V$504,0)),"")</f>
        <v/>
      </c>
      <c r="L66" s="42" t="str">
        <f aca="false">IFERROR(INDEX(资金流水!$I$5:$I$504,MATCH(ROW()-8,资金流水!$V$5:$V$504,0)),"")</f>
        <v/>
      </c>
      <c r="M66" s="42" t="str">
        <f aca="false">IFERROR(INDEX(资金流水!$H$5:$H$504,MATCH(ROW()-8,资金流水!$V$5:$V$504,0)),"")</f>
        <v/>
      </c>
    </row>
    <row r="67" customFormat="false" ht="15.75" hidden="false" customHeight="true" outlineLevel="0" collapsed="false">
      <c r="A67" s="76" t="str">
        <f aca="false">IFERROR(INDEX(销售录入!$B$5:$B$404,MATCH(ROW()-8,销售录入!$AE$5:$AE$404,0)),"")</f>
        <v/>
      </c>
      <c r="B67" s="35" t="str">
        <f aca="false">IFERROR(INDEX(销售录入!$E$5:$E$404,MATCH(ROW()-8,销售录入!$AE$5:$AE$404,0)),"")</f>
        <v/>
      </c>
      <c r="C67" s="64" t="str">
        <f aca="false">IFERROR(INDEX(销售录入!$F$5:$F$404,MATCH(ROW()-8,销售录入!$AE$5:$AE$404,0)),"")</f>
        <v/>
      </c>
      <c r="D67" s="54" t="str">
        <f aca="false">IFERROR(INDEX(销售录入!$G$5:$G$404,MATCH(ROW()-8,销售录入!$AE$5:$AE$404,0)),"")</f>
        <v/>
      </c>
      <c r="E67" s="54" t="str">
        <f aca="false">IFERROR(INDEX(销售录入!$Q$5:$Q$404,MATCH(ROW()-8,销售录入!$AE$5:$AE$404,0)),"")</f>
        <v/>
      </c>
      <c r="F67" s="76" t="str">
        <f aca="false">IFERROR(INDEX(销售录入!$U$5:$U$404,MATCH(ROW()-8,销售录入!$AE$5:$AE$404,0)),"")</f>
        <v/>
      </c>
      <c r="H67" s="76" t="str">
        <f aca="false">IFERROR(INDEX(资金流水!$B$5:$B$504,MATCH(ROW()-8,资金流水!$V$5:$V$504,0)),"")</f>
        <v/>
      </c>
      <c r="I67" s="42" t="str">
        <f aca="false">IFERROR(INDEX(资金流水!$F$5:$F$504,MATCH(ROW()-8,资金流水!$V$5:$V$504,0)),"")</f>
        <v/>
      </c>
      <c r="J67" s="54" t="str">
        <f aca="false">IFERROR(INDEX(资金流水!$N$5:$N$504,MATCH(ROW()-8,资金流水!$V$5:$V$504,0)),"")</f>
        <v/>
      </c>
      <c r="K67" s="35" t="str">
        <f aca="false">IFERROR(INDEX(资金流水!$J$5:$J$504,MATCH(ROW()-8,资金流水!$V$5:$V$504,0)),"")</f>
        <v/>
      </c>
      <c r="L67" s="42" t="str">
        <f aca="false">IFERROR(INDEX(资金流水!$I$5:$I$504,MATCH(ROW()-8,资金流水!$V$5:$V$504,0)),"")</f>
        <v/>
      </c>
      <c r="M67" s="42" t="str">
        <f aca="false">IFERROR(INDEX(资金流水!$H$5:$H$504,MATCH(ROW()-8,资金流水!$V$5:$V$504,0)),"")</f>
        <v/>
      </c>
    </row>
    <row r="68" customFormat="false" ht="15.75" hidden="false" customHeight="true" outlineLevel="0" collapsed="false">
      <c r="A68" s="76" t="str">
        <f aca="false">IFERROR(INDEX(销售录入!$B$5:$B$404,MATCH(ROW()-8,销售录入!$AE$5:$AE$404,0)),"")</f>
        <v/>
      </c>
      <c r="B68" s="35" t="str">
        <f aca="false">IFERROR(INDEX(销售录入!$E$5:$E$404,MATCH(ROW()-8,销售录入!$AE$5:$AE$404,0)),"")</f>
        <v/>
      </c>
      <c r="C68" s="64" t="str">
        <f aca="false">IFERROR(INDEX(销售录入!$F$5:$F$404,MATCH(ROW()-8,销售录入!$AE$5:$AE$404,0)),"")</f>
        <v/>
      </c>
      <c r="D68" s="54" t="str">
        <f aca="false">IFERROR(INDEX(销售录入!$G$5:$G$404,MATCH(ROW()-8,销售录入!$AE$5:$AE$404,0)),"")</f>
        <v/>
      </c>
      <c r="E68" s="54" t="str">
        <f aca="false">IFERROR(INDEX(销售录入!$Q$5:$Q$404,MATCH(ROW()-8,销售录入!$AE$5:$AE$404,0)),"")</f>
        <v/>
      </c>
      <c r="F68" s="76" t="str">
        <f aca="false">IFERROR(INDEX(销售录入!$U$5:$U$404,MATCH(ROW()-8,销售录入!$AE$5:$AE$404,0)),"")</f>
        <v/>
      </c>
      <c r="H68" s="76" t="str">
        <f aca="false">IFERROR(INDEX(资金流水!$B$5:$B$504,MATCH(ROW()-8,资金流水!$V$5:$V$504,0)),"")</f>
        <v/>
      </c>
      <c r="I68" s="42" t="str">
        <f aca="false">IFERROR(INDEX(资金流水!$F$5:$F$504,MATCH(ROW()-8,资金流水!$V$5:$V$504,0)),"")</f>
        <v/>
      </c>
      <c r="J68" s="54" t="str">
        <f aca="false">IFERROR(INDEX(资金流水!$N$5:$N$504,MATCH(ROW()-8,资金流水!$V$5:$V$504,0)),"")</f>
        <v/>
      </c>
      <c r="K68" s="35" t="str">
        <f aca="false">IFERROR(INDEX(资金流水!$J$5:$J$504,MATCH(ROW()-8,资金流水!$V$5:$V$504,0)),"")</f>
        <v/>
      </c>
      <c r="L68" s="42" t="str">
        <f aca="false">IFERROR(INDEX(资金流水!$I$5:$I$504,MATCH(ROW()-8,资金流水!$V$5:$V$504,0)),"")</f>
        <v/>
      </c>
      <c r="M68" s="42" t="str">
        <f aca="false">IFERROR(INDEX(资金流水!$H$5:$H$504,MATCH(ROW()-8,资金流水!$V$5:$V$504,0)),"")</f>
        <v/>
      </c>
    </row>
    <row r="69" customFormat="false" ht="15.75" hidden="false" customHeight="true" outlineLevel="0" collapsed="false">
      <c r="A69" s="76" t="str">
        <f aca="false">IFERROR(INDEX(销售录入!$B$5:$B$404,MATCH(ROW()-8,销售录入!$AE$5:$AE$404,0)),"")</f>
        <v/>
      </c>
      <c r="B69" s="35" t="str">
        <f aca="false">IFERROR(INDEX(销售录入!$E$5:$E$404,MATCH(ROW()-8,销售录入!$AE$5:$AE$404,0)),"")</f>
        <v/>
      </c>
      <c r="C69" s="64" t="str">
        <f aca="false">IFERROR(INDEX(销售录入!$F$5:$F$404,MATCH(ROW()-8,销售录入!$AE$5:$AE$404,0)),"")</f>
        <v/>
      </c>
      <c r="D69" s="54" t="str">
        <f aca="false">IFERROR(INDEX(销售录入!$G$5:$G$404,MATCH(ROW()-8,销售录入!$AE$5:$AE$404,0)),"")</f>
        <v/>
      </c>
      <c r="E69" s="54" t="str">
        <f aca="false">IFERROR(INDEX(销售录入!$Q$5:$Q$404,MATCH(ROW()-8,销售录入!$AE$5:$AE$404,0)),"")</f>
        <v/>
      </c>
      <c r="F69" s="76" t="str">
        <f aca="false">IFERROR(INDEX(销售录入!$U$5:$U$404,MATCH(ROW()-8,销售录入!$AE$5:$AE$404,0)),"")</f>
        <v/>
      </c>
      <c r="H69" s="76" t="str">
        <f aca="false">IFERROR(INDEX(资金流水!$B$5:$B$504,MATCH(ROW()-8,资金流水!$V$5:$V$504,0)),"")</f>
        <v/>
      </c>
      <c r="I69" s="42" t="str">
        <f aca="false">IFERROR(INDEX(资金流水!$F$5:$F$504,MATCH(ROW()-8,资金流水!$V$5:$V$504,0)),"")</f>
        <v/>
      </c>
      <c r="J69" s="54" t="str">
        <f aca="false">IFERROR(INDEX(资金流水!$N$5:$N$504,MATCH(ROW()-8,资金流水!$V$5:$V$504,0)),"")</f>
        <v/>
      </c>
      <c r="K69" s="35" t="str">
        <f aca="false">IFERROR(INDEX(资金流水!$J$5:$J$504,MATCH(ROW()-8,资金流水!$V$5:$V$504,0)),"")</f>
        <v/>
      </c>
      <c r="L69" s="42" t="str">
        <f aca="false">IFERROR(INDEX(资金流水!$I$5:$I$504,MATCH(ROW()-8,资金流水!$V$5:$V$504,0)),"")</f>
        <v/>
      </c>
      <c r="M69" s="42" t="str">
        <f aca="false">IFERROR(INDEX(资金流水!$H$5:$H$504,MATCH(ROW()-8,资金流水!$V$5:$V$504,0)),"")</f>
        <v/>
      </c>
    </row>
    <row r="70" customFormat="false" ht="15.75" hidden="false" customHeight="true" outlineLevel="0" collapsed="false">
      <c r="A70" s="76" t="str">
        <f aca="false">IFERROR(INDEX(销售录入!$B$5:$B$404,MATCH(ROW()-8,销售录入!$AE$5:$AE$404,0)),"")</f>
        <v/>
      </c>
      <c r="B70" s="35" t="str">
        <f aca="false">IFERROR(INDEX(销售录入!$E$5:$E$404,MATCH(ROW()-8,销售录入!$AE$5:$AE$404,0)),"")</f>
        <v/>
      </c>
      <c r="C70" s="64" t="str">
        <f aca="false">IFERROR(INDEX(销售录入!$F$5:$F$404,MATCH(ROW()-8,销售录入!$AE$5:$AE$404,0)),"")</f>
        <v/>
      </c>
      <c r="D70" s="54" t="str">
        <f aca="false">IFERROR(INDEX(销售录入!$G$5:$G$404,MATCH(ROW()-8,销售录入!$AE$5:$AE$404,0)),"")</f>
        <v/>
      </c>
      <c r="E70" s="54" t="str">
        <f aca="false">IFERROR(INDEX(销售录入!$Q$5:$Q$404,MATCH(ROW()-8,销售录入!$AE$5:$AE$404,0)),"")</f>
        <v/>
      </c>
      <c r="F70" s="76" t="str">
        <f aca="false">IFERROR(INDEX(销售录入!$U$5:$U$404,MATCH(ROW()-8,销售录入!$AE$5:$AE$404,0)),"")</f>
        <v/>
      </c>
      <c r="H70" s="76" t="str">
        <f aca="false">IFERROR(INDEX(资金流水!$B$5:$B$504,MATCH(ROW()-8,资金流水!$V$5:$V$504,0)),"")</f>
        <v/>
      </c>
      <c r="I70" s="42" t="str">
        <f aca="false">IFERROR(INDEX(资金流水!$F$5:$F$504,MATCH(ROW()-8,资金流水!$V$5:$V$504,0)),"")</f>
        <v/>
      </c>
      <c r="J70" s="54" t="str">
        <f aca="false">IFERROR(INDEX(资金流水!$N$5:$N$504,MATCH(ROW()-8,资金流水!$V$5:$V$504,0)),"")</f>
        <v/>
      </c>
      <c r="K70" s="35" t="str">
        <f aca="false">IFERROR(INDEX(资金流水!$J$5:$J$504,MATCH(ROW()-8,资金流水!$V$5:$V$504,0)),"")</f>
        <v/>
      </c>
      <c r="L70" s="42" t="str">
        <f aca="false">IFERROR(INDEX(资金流水!$I$5:$I$504,MATCH(ROW()-8,资金流水!$V$5:$V$504,0)),"")</f>
        <v/>
      </c>
      <c r="M70" s="42" t="str">
        <f aca="false">IFERROR(INDEX(资金流水!$H$5:$H$504,MATCH(ROW()-8,资金流水!$V$5:$V$504,0)),"")</f>
        <v/>
      </c>
    </row>
    <row r="71" customFormat="false" ht="15.75" hidden="false" customHeight="true" outlineLevel="0" collapsed="false">
      <c r="A71" s="76" t="str">
        <f aca="false">IFERROR(INDEX(销售录入!$B$5:$B$404,MATCH(ROW()-8,销售录入!$AE$5:$AE$404,0)),"")</f>
        <v/>
      </c>
      <c r="B71" s="35" t="str">
        <f aca="false">IFERROR(INDEX(销售录入!$E$5:$E$404,MATCH(ROW()-8,销售录入!$AE$5:$AE$404,0)),"")</f>
        <v/>
      </c>
      <c r="C71" s="64" t="str">
        <f aca="false">IFERROR(INDEX(销售录入!$F$5:$F$404,MATCH(ROW()-8,销售录入!$AE$5:$AE$404,0)),"")</f>
        <v/>
      </c>
      <c r="D71" s="54" t="str">
        <f aca="false">IFERROR(INDEX(销售录入!$G$5:$G$404,MATCH(ROW()-8,销售录入!$AE$5:$AE$404,0)),"")</f>
        <v/>
      </c>
      <c r="E71" s="54" t="str">
        <f aca="false">IFERROR(INDEX(销售录入!$Q$5:$Q$404,MATCH(ROW()-8,销售录入!$AE$5:$AE$404,0)),"")</f>
        <v/>
      </c>
      <c r="F71" s="76" t="str">
        <f aca="false">IFERROR(INDEX(销售录入!$U$5:$U$404,MATCH(ROW()-8,销售录入!$AE$5:$AE$404,0)),"")</f>
        <v/>
      </c>
      <c r="H71" s="76" t="str">
        <f aca="false">IFERROR(INDEX(资金流水!$B$5:$B$504,MATCH(ROW()-8,资金流水!$V$5:$V$504,0)),"")</f>
        <v/>
      </c>
      <c r="I71" s="42" t="str">
        <f aca="false">IFERROR(INDEX(资金流水!$F$5:$F$504,MATCH(ROW()-8,资金流水!$V$5:$V$504,0)),"")</f>
        <v/>
      </c>
      <c r="J71" s="54" t="str">
        <f aca="false">IFERROR(INDEX(资金流水!$N$5:$N$504,MATCH(ROW()-8,资金流水!$V$5:$V$504,0)),"")</f>
        <v/>
      </c>
      <c r="K71" s="35" t="str">
        <f aca="false">IFERROR(INDEX(资金流水!$J$5:$J$504,MATCH(ROW()-8,资金流水!$V$5:$V$504,0)),"")</f>
        <v/>
      </c>
      <c r="L71" s="42" t="str">
        <f aca="false">IFERROR(INDEX(资金流水!$I$5:$I$504,MATCH(ROW()-8,资金流水!$V$5:$V$504,0)),"")</f>
        <v/>
      </c>
      <c r="M71" s="42" t="str">
        <f aca="false">IFERROR(INDEX(资金流水!$H$5:$H$504,MATCH(ROW()-8,资金流水!$V$5:$V$504,0)),"")</f>
        <v/>
      </c>
    </row>
    <row r="72" customFormat="false" ht="15.75" hidden="false" customHeight="true" outlineLevel="0" collapsed="false">
      <c r="A72" s="76" t="str">
        <f aca="false">IFERROR(INDEX(销售录入!$B$5:$B$404,MATCH(ROW()-8,销售录入!$AE$5:$AE$404,0)),"")</f>
        <v/>
      </c>
      <c r="B72" s="35" t="str">
        <f aca="false">IFERROR(INDEX(销售录入!$E$5:$E$404,MATCH(ROW()-8,销售录入!$AE$5:$AE$404,0)),"")</f>
        <v/>
      </c>
      <c r="C72" s="64" t="str">
        <f aca="false">IFERROR(INDEX(销售录入!$F$5:$F$404,MATCH(ROW()-8,销售录入!$AE$5:$AE$404,0)),"")</f>
        <v/>
      </c>
      <c r="D72" s="54" t="str">
        <f aca="false">IFERROR(INDEX(销售录入!$G$5:$G$404,MATCH(ROW()-8,销售录入!$AE$5:$AE$404,0)),"")</f>
        <v/>
      </c>
      <c r="E72" s="54" t="str">
        <f aca="false">IFERROR(INDEX(销售录入!$Q$5:$Q$404,MATCH(ROW()-8,销售录入!$AE$5:$AE$404,0)),"")</f>
        <v/>
      </c>
      <c r="F72" s="76" t="str">
        <f aca="false">IFERROR(INDEX(销售录入!$U$5:$U$404,MATCH(ROW()-8,销售录入!$AE$5:$AE$404,0)),"")</f>
        <v/>
      </c>
      <c r="H72" s="76" t="str">
        <f aca="false">IFERROR(INDEX(资金流水!$B$5:$B$504,MATCH(ROW()-8,资金流水!$V$5:$V$504,0)),"")</f>
        <v/>
      </c>
      <c r="I72" s="42" t="str">
        <f aca="false">IFERROR(INDEX(资金流水!$F$5:$F$504,MATCH(ROW()-8,资金流水!$V$5:$V$504,0)),"")</f>
        <v/>
      </c>
      <c r="J72" s="54" t="str">
        <f aca="false">IFERROR(INDEX(资金流水!$N$5:$N$504,MATCH(ROW()-8,资金流水!$V$5:$V$504,0)),"")</f>
        <v/>
      </c>
      <c r="K72" s="35" t="str">
        <f aca="false">IFERROR(INDEX(资金流水!$J$5:$J$504,MATCH(ROW()-8,资金流水!$V$5:$V$504,0)),"")</f>
        <v/>
      </c>
      <c r="L72" s="42" t="str">
        <f aca="false">IFERROR(INDEX(资金流水!$I$5:$I$504,MATCH(ROW()-8,资金流水!$V$5:$V$504,0)),"")</f>
        <v/>
      </c>
      <c r="M72" s="42" t="str">
        <f aca="false">IFERROR(INDEX(资金流水!$H$5:$H$504,MATCH(ROW()-8,资金流水!$V$5:$V$504,0)),"")</f>
        <v/>
      </c>
    </row>
    <row r="73" customFormat="false" ht="15.75" hidden="false" customHeight="true" outlineLevel="0" collapsed="false">
      <c r="A73" s="76" t="str">
        <f aca="false">IFERROR(INDEX(销售录入!$B$5:$B$404,MATCH(ROW()-8,销售录入!$AE$5:$AE$404,0)),"")</f>
        <v/>
      </c>
      <c r="B73" s="35" t="str">
        <f aca="false">IFERROR(INDEX(销售录入!$E$5:$E$404,MATCH(ROW()-8,销售录入!$AE$5:$AE$404,0)),"")</f>
        <v/>
      </c>
      <c r="C73" s="64" t="str">
        <f aca="false">IFERROR(INDEX(销售录入!$F$5:$F$404,MATCH(ROW()-8,销售录入!$AE$5:$AE$404,0)),"")</f>
        <v/>
      </c>
      <c r="D73" s="54" t="str">
        <f aca="false">IFERROR(INDEX(销售录入!$G$5:$G$404,MATCH(ROW()-8,销售录入!$AE$5:$AE$404,0)),"")</f>
        <v/>
      </c>
      <c r="E73" s="54" t="str">
        <f aca="false">IFERROR(INDEX(销售录入!$Q$5:$Q$404,MATCH(ROW()-8,销售录入!$AE$5:$AE$404,0)),"")</f>
        <v/>
      </c>
      <c r="F73" s="76" t="str">
        <f aca="false">IFERROR(INDEX(销售录入!$U$5:$U$404,MATCH(ROW()-8,销售录入!$AE$5:$AE$404,0)),"")</f>
        <v/>
      </c>
      <c r="H73" s="76" t="str">
        <f aca="false">IFERROR(INDEX(资金流水!$B$5:$B$504,MATCH(ROW()-8,资金流水!$V$5:$V$504,0)),"")</f>
        <v/>
      </c>
      <c r="I73" s="42" t="str">
        <f aca="false">IFERROR(INDEX(资金流水!$F$5:$F$504,MATCH(ROW()-8,资金流水!$V$5:$V$504,0)),"")</f>
        <v/>
      </c>
      <c r="J73" s="54" t="str">
        <f aca="false">IFERROR(INDEX(资金流水!$N$5:$N$504,MATCH(ROW()-8,资金流水!$V$5:$V$504,0)),"")</f>
        <v/>
      </c>
      <c r="K73" s="35" t="str">
        <f aca="false">IFERROR(INDEX(资金流水!$J$5:$J$504,MATCH(ROW()-8,资金流水!$V$5:$V$504,0)),"")</f>
        <v/>
      </c>
      <c r="L73" s="42" t="str">
        <f aca="false">IFERROR(INDEX(资金流水!$I$5:$I$504,MATCH(ROW()-8,资金流水!$V$5:$V$504,0)),"")</f>
        <v/>
      </c>
      <c r="M73" s="42" t="str">
        <f aca="false">IFERROR(INDEX(资金流水!$H$5:$H$504,MATCH(ROW()-8,资金流水!$V$5:$V$504,0)),"")</f>
        <v/>
      </c>
    </row>
    <row r="74" customFormat="false" ht="15.75" hidden="false" customHeight="true" outlineLevel="0" collapsed="false">
      <c r="A74" s="76" t="str">
        <f aca="false">IFERROR(INDEX(销售录入!$B$5:$B$404,MATCH(ROW()-8,销售录入!$AE$5:$AE$404,0)),"")</f>
        <v/>
      </c>
      <c r="B74" s="35" t="str">
        <f aca="false">IFERROR(INDEX(销售录入!$E$5:$E$404,MATCH(ROW()-8,销售录入!$AE$5:$AE$404,0)),"")</f>
        <v/>
      </c>
      <c r="C74" s="64" t="str">
        <f aca="false">IFERROR(INDEX(销售录入!$F$5:$F$404,MATCH(ROW()-8,销售录入!$AE$5:$AE$404,0)),"")</f>
        <v/>
      </c>
      <c r="D74" s="54" t="str">
        <f aca="false">IFERROR(INDEX(销售录入!$G$5:$G$404,MATCH(ROW()-8,销售录入!$AE$5:$AE$404,0)),"")</f>
        <v/>
      </c>
      <c r="E74" s="54" t="str">
        <f aca="false">IFERROR(INDEX(销售录入!$Q$5:$Q$404,MATCH(ROW()-8,销售录入!$AE$5:$AE$404,0)),"")</f>
        <v/>
      </c>
      <c r="F74" s="76" t="str">
        <f aca="false">IFERROR(INDEX(销售录入!$U$5:$U$404,MATCH(ROW()-8,销售录入!$AE$5:$AE$404,0)),"")</f>
        <v/>
      </c>
      <c r="H74" s="76" t="str">
        <f aca="false">IFERROR(INDEX(资金流水!$B$5:$B$504,MATCH(ROW()-8,资金流水!$V$5:$V$504,0)),"")</f>
        <v/>
      </c>
      <c r="I74" s="42" t="str">
        <f aca="false">IFERROR(INDEX(资金流水!$F$5:$F$504,MATCH(ROW()-8,资金流水!$V$5:$V$504,0)),"")</f>
        <v/>
      </c>
      <c r="J74" s="54" t="str">
        <f aca="false">IFERROR(INDEX(资金流水!$N$5:$N$504,MATCH(ROW()-8,资金流水!$V$5:$V$504,0)),"")</f>
        <v/>
      </c>
      <c r="K74" s="35" t="str">
        <f aca="false">IFERROR(INDEX(资金流水!$J$5:$J$504,MATCH(ROW()-8,资金流水!$V$5:$V$504,0)),"")</f>
        <v/>
      </c>
      <c r="L74" s="42" t="str">
        <f aca="false">IFERROR(INDEX(资金流水!$I$5:$I$504,MATCH(ROW()-8,资金流水!$V$5:$V$504,0)),"")</f>
        <v/>
      </c>
      <c r="M74" s="42" t="str">
        <f aca="false">IFERROR(INDEX(资金流水!$H$5:$H$504,MATCH(ROW()-8,资金流水!$V$5:$V$504,0)),"")</f>
        <v/>
      </c>
    </row>
    <row r="75" customFormat="false" ht="15.75" hidden="false" customHeight="true" outlineLevel="0" collapsed="false">
      <c r="A75" s="76" t="str">
        <f aca="false">IFERROR(INDEX(销售录入!$B$5:$B$404,MATCH(ROW()-8,销售录入!$AE$5:$AE$404,0)),"")</f>
        <v/>
      </c>
      <c r="B75" s="35" t="str">
        <f aca="false">IFERROR(INDEX(销售录入!$E$5:$E$404,MATCH(ROW()-8,销售录入!$AE$5:$AE$404,0)),"")</f>
        <v/>
      </c>
      <c r="C75" s="64" t="str">
        <f aca="false">IFERROR(INDEX(销售录入!$F$5:$F$404,MATCH(ROW()-8,销售录入!$AE$5:$AE$404,0)),"")</f>
        <v/>
      </c>
      <c r="D75" s="54" t="str">
        <f aca="false">IFERROR(INDEX(销售录入!$G$5:$G$404,MATCH(ROW()-8,销售录入!$AE$5:$AE$404,0)),"")</f>
        <v/>
      </c>
      <c r="E75" s="54" t="str">
        <f aca="false">IFERROR(INDEX(销售录入!$Q$5:$Q$404,MATCH(ROW()-8,销售录入!$AE$5:$AE$404,0)),"")</f>
        <v/>
      </c>
      <c r="F75" s="76" t="str">
        <f aca="false">IFERROR(INDEX(销售录入!$U$5:$U$404,MATCH(ROW()-8,销售录入!$AE$5:$AE$404,0)),"")</f>
        <v/>
      </c>
      <c r="H75" s="76" t="str">
        <f aca="false">IFERROR(INDEX(资金流水!$B$5:$B$504,MATCH(ROW()-8,资金流水!$V$5:$V$504,0)),"")</f>
        <v/>
      </c>
      <c r="I75" s="42" t="str">
        <f aca="false">IFERROR(INDEX(资金流水!$F$5:$F$504,MATCH(ROW()-8,资金流水!$V$5:$V$504,0)),"")</f>
        <v/>
      </c>
      <c r="J75" s="54" t="str">
        <f aca="false">IFERROR(INDEX(资金流水!$N$5:$N$504,MATCH(ROW()-8,资金流水!$V$5:$V$504,0)),"")</f>
        <v/>
      </c>
      <c r="K75" s="35" t="str">
        <f aca="false">IFERROR(INDEX(资金流水!$J$5:$J$504,MATCH(ROW()-8,资金流水!$V$5:$V$504,0)),"")</f>
        <v/>
      </c>
      <c r="L75" s="42" t="str">
        <f aca="false">IFERROR(INDEX(资金流水!$I$5:$I$504,MATCH(ROW()-8,资金流水!$V$5:$V$504,0)),"")</f>
        <v/>
      </c>
      <c r="M75" s="42" t="str">
        <f aca="false">IFERROR(INDEX(资金流水!$H$5:$H$504,MATCH(ROW()-8,资金流水!$V$5:$V$504,0)),"")</f>
        <v/>
      </c>
    </row>
    <row r="76" customFormat="false" ht="15.75" hidden="false" customHeight="true" outlineLevel="0" collapsed="false">
      <c r="A76" s="76" t="str">
        <f aca="false">IFERROR(INDEX(销售录入!$B$5:$B$404,MATCH(ROW()-8,销售录入!$AE$5:$AE$404,0)),"")</f>
        <v/>
      </c>
      <c r="B76" s="35" t="str">
        <f aca="false">IFERROR(INDEX(销售录入!$E$5:$E$404,MATCH(ROW()-8,销售录入!$AE$5:$AE$404,0)),"")</f>
        <v/>
      </c>
      <c r="C76" s="64" t="str">
        <f aca="false">IFERROR(INDEX(销售录入!$F$5:$F$404,MATCH(ROW()-8,销售录入!$AE$5:$AE$404,0)),"")</f>
        <v/>
      </c>
      <c r="D76" s="54" t="str">
        <f aca="false">IFERROR(INDEX(销售录入!$G$5:$G$404,MATCH(ROW()-8,销售录入!$AE$5:$AE$404,0)),"")</f>
        <v/>
      </c>
      <c r="E76" s="54" t="str">
        <f aca="false">IFERROR(INDEX(销售录入!$Q$5:$Q$404,MATCH(ROW()-8,销售录入!$AE$5:$AE$404,0)),"")</f>
        <v/>
      </c>
      <c r="F76" s="76" t="str">
        <f aca="false">IFERROR(INDEX(销售录入!$U$5:$U$404,MATCH(ROW()-8,销售录入!$AE$5:$AE$404,0)),"")</f>
        <v/>
      </c>
      <c r="H76" s="76" t="str">
        <f aca="false">IFERROR(INDEX(资金流水!$B$5:$B$504,MATCH(ROW()-8,资金流水!$V$5:$V$504,0)),"")</f>
        <v/>
      </c>
      <c r="I76" s="42" t="str">
        <f aca="false">IFERROR(INDEX(资金流水!$F$5:$F$504,MATCH(ROW()-8,资金流水!$V$5:$V$504,0)),"")</f>
        <v/>
      </c>
      <c r="J76" s="54" t="str">
        <f aca="false">IFERROR(INDEX(资金流水!$N$5:$N$504,MATCH(ROW()-8,资金流水!$V$5:$V$504,0)),"")</f>
        <v/>
      </c>
      <c r="K76" s="35" t="str">
        <f aca="false">IFERROR(INDEX(资金流水!$J$5:$J$504,MATCH(ROW()-8,资金流水!$V$5:$V$504,0)),"")</f>
        <v/>
      </c>
      <c r="L76" s="42" t="str">
        <f aca="false">IFERROR(INDEX(资金流水!$I$5:$I$504,MATCH(ROW()-8,资金流水!$V$5:$V$504,0)),"")</f>
        <v/>
      </c>
      <c r="M76" s="42" t="str">
        <f aca="false">IFERROR(INDEX(资金流水!$H$5:$H$504,MATCH(ROW()-8,资金流水!$V$5:$V$504,0)),"")</f>
        <v/>
      </c>
    </row>
    <row r="77" customFormat="false" ht="15.75" hidden="false" customHeight="true" outlineLevel="0" collapsed="false">
      <c r="A77" s="76" t="str">
        <f aca="false">IFERROR(INDEX(销售录入!$B$5:$B$404,MATCH(ROW()-8,销售录入!$AE$5:$AE$404,0)),"")</f>
        <v/>
      </c>
      <c r="B77" s="35" t="str">
        <f aca="false">IFERROR(INDEX(销售录入!$E$5:$E$404,MATCH(ROW()-8,销售录入!$AE$5:$AE$404,0)),"")</f>
        <v/>
      </c>
      <c r="C77" s="64" t="str">
        <f aca="false">IFERROR(INDEX(销售录入!$F$5:$F$404,MATCH(ROW()-8,销售录入!$AE$5:$AE$404,0)),"")</f>
        <v/>
      </c>
      <c r="D77" s="54" t="str">
        <f aca="false">IFERROR(INDEX(销售录入!$G$5:$G$404,MATCH(ROW()-8,销售录入!$AE$5:$AE$404,0)),"")</f>
        <v/>
      </c>
      <c r="E77" s="54" t="str">
        <f aca="false">IFERROR(INDEX(销售录入!$Q$5:$Q$404,MATCH(ROW()-8,销售录入!$AE$5:$AE$404,0)),"")</f>
        <v/>
      </c>
      <c r="F77" s="76" t="str">
        <f aca="false">IFERROR(INDEX(销售录入!$U$5:$U$404,MATCH(ROW()-8,销售录入!$AE$5:$AE$404,0)),"")</f>
        <v/>
      </c>
      <c r="H77" s="76" t="str">
        <f aca="false">IFERROR(INDEX(资金流水!$B$5:$B$504,MATCH(ROW()-8,资金流水!$V$5:$V$504,0)),"")</f>
        <v/>
      </c>
      <c r="I77" s="42" t="str">
        <f aca="false">IFERROR(INDEX(资金流水!$F$5:$F$504,MATCH(ROW()-8,资金流水!$V$5:$V$504,0)),"")</f>
        <v/>
      </c>
      <c r="J77" s="54" t="str">
        <f aca="false">IFERROR(INDEX(资金流水!$N$5:$N$504,MATCH(ROW()-8,资金流水!$V$5:$V$504,0)),"")</f>
        <v/>
      </c>
      <c r="K77" s="35" t="str">
        <f aca="false">IFERROR(INDEX(资金流水!$J$5:$J$504,MATCH(ROW()-8,资金流水!$V$5:$V$504,0)),"")</f>
        <v/>
      </c>
      <c r="L77" s="42" t="str">
        <f aca="false">IFERROR(INDEX(资金流水!$I$5:$I$504,MATCH(ROW()-8,资金流水!$V$5:$V$504,0)),"")</f>
        <v/>
      </c>
      <c r="M77" s="42" t="str">
        <f aca="false">IFERROR(INDEX(资金流水!$H$5:$H$504,MATCH(ROW()-8,资金流水!$V$5:$V$504,0)),"")</f>
        <v/>
      </c>
    </row>
    <row r="78" customFormat="false" ht="15.75" hidden="false" customHeight="true" outlineLevel="0" collapsed="false">
      <c r="A78" s="76" t="str">
        <f aca="false">IFERROR(INDEX(销售录入!$B$5:$B$404,MATCH(ROW()-8,销售录入!$AE$5:$AE$404,0)),"")</f>
        <v/>
      </c>
      <c r="B78" s="35" t="str">
        <f aca="false">IFERROR(INDEX(销售录入!$E$5:$E$404,MATCH(ROW()-8,销售录入!$AE$5:$AE$404,0)),"")</f>
        <v/>
      </c>
      <c r="C78" s="64" t="str">
        <f aca="false">IFERROR(INDEX(销售录入!$F$5:$F$404,MATCH(ROW()-8,销售录入!$AE$5:$AE$404,0)),"")</f>
        <v/>
      </c>
      <c r="D78" s="54" t="str">
        <f aca="false">IFERROR(INDEX(销售录入!$G$5:$G$404,MATCH(ROW()-8,销售录入!$AE$5:$AE$404,0)),"")</f>
        <v/>
      </c>
      <c r="E78" s="54" t="str">
        <f aca="false">IFERROR(INDEX(销售录入!$Q$5:$Q$404,MATCH(ROW()-8,销售录入!$AE$5:$AE$404,0)),"")</f>
        <v/>
      </c>
      <c r="F78" s="76" t="str">
        <f aca="false">IFERROR(INDEX(销售录入!$U$5:$U$404,MATCH(ROW()-8,销售录入!$AE$5:$AE$404,0)),"")</f>
        <v/>
      </c>
      <c r="H78" s="76" t="str">
        <f aca="false">IFERROR(INDEX(资金流水!$B$5:$B$504,MATCH(ROW()-8,资金流水!$V$5:$V$504,0)),"")</f>
        <v/>
      </c>
      <c r="I78" s="42" t="str">
        <f aca="false">IFERROR(INDEX(资金流水!$F$5:$F$504,MATCH(ROW()-8,资金流水!$V$5:$V$504,0)),"")</f>
        <v/>
      </c>
      <c r="J78" s="54" t="str">
        <f aca="false">IFERROR(INDEX(资金流水!$N$5:$N$504,MATCH(ROW()-8,资金流水!$V$5:$V$504,0)),"")</f>
        <v/>
      </c>
      <c r="K78" s="35" t="str">
        <f aca="false">IFERROR(INDEX(资金流水!$J$5:$J$504,MATCH(ROW()-8,资金流水!$V$5:$V$504,0)),"")</f>
        <v/>
      </c>
      <c r="L78" s="42" t="str">
        <f aca="false">IFERROR(INDEX(资金流水!$I$5:$I$504,MATCH(ROW()-8,资金流水!$V$5:$V$504,0)),"")</f>
        <v/>
      </c>
      <c r="M78" s="42" t="str">
        <f aca="false">IFERROR(INDEX(资金流水!$H$5:$H$504,MATCH(ROW()-8,资金流水!$V$5:$V$504,0)),"")</f>
        <v/>
      </c>
    </row>
    <row r="79" customFormat="false" ht="15.75" hidden="false" customHeight="true" outlineLevel="0" collapsed="false">
      <c r="A79" s="76" t="str">
        <f aca="false">IFERROR(INDEX(销售录入!$B$5:$B$404,MATCH(ROW()-8,销售录入!$AE$5:$AE$404,0)),"")</f>
        <v/>
      </c>
      <c r="B79" s="35" t="str">
        <f aca="false">IFERROR(INDEX(销售录入!$E$5:$E$404,MATCH(ROW()-8,销售录入!$AE$5:$AE$404,0)),"")</f>
        <v/>
      </c>
      <c r="C79" s="64" t="str">
        <f aca="false">IFERROR(INDEX(销售录入!$F$5:$F$404,MATCH(ROW()-8,销售录入!$AE$5:$AE$404,0)),"")</f>
        <v/>
      </c>
      <c r="D79" s="54" t="str">
        <f aca="false">IFERROR(INDEX(销售录入!$G$5:$G$404,MATCH(ROW()-8,销售录入!$AE$5:$AE$404,0)),"")</f>
        <v/>
      </c>
      <c r="E79" s="54" t="str">
        <f aca="false">IFERROR(INDEX(销售录入!$Q$5:$Q$404,MATCH(ROW()-8,销售录入!$AE$5:$AE$404,0)),"")</f>
        <v/>
      </c>
      <c r="F79" s="76" t="str">
        <f aca="false">IFERROR(INDEX(销售录入!$U$5:$U$404,MATCH(ROW()-8,销售录入!$AE$5:$AE$404,0)),"")</f>
        <v/>
      </c>
      <c r="H79" s="76" t="str">
        <f aca="false">IFERROR(INDEX(资金流水!$B$5:$B$504,MATCH(ROW()-8,资金流水!$V$5:$V$504,0)),"")</f>
        <v/>
      </c>
      <c r="I79" s="42" t="str">
        <f aca="false">IFERROR(INDEX(资金流水!$F$5:$F$504,MATCH(ROW()-8,资金流水!$V$5:$V$504,0)),"")</f>
        <v/>
      </c>
      <c r="J79" s="54" t="str">
        <f aca="false">IFERROR(INDEX(资金流水!$N$5:$N$504,MATCH(ROW()-8,资金流水!$V$5:$V$504,0)),"")</f>
        <v/>
      </c>
      <c r="K79" s="35" t="str">
        <f aca="false">IFERROR(INDEX(资金流水!$J$5:$J$504,MATCH(ROW()-8,资金流水!$V$5:$V$504,0)),"")</f>
        <v/>
      </c>
      <c r="L79" s="42" t="str">
        <f aca="false">IFERROR(INDEX(资金流水!$I$5:$I$504,MATCH(ROW()-8,资金流水!$V$5:$V$504,0)),"")</f>
        <v/>
      </c>
      <c r="M79" s="42" t="str">
        <f aca="false">IFERROR(INDEX(资金流水!$H$5:$H$504,MATCH(ROW()-8,资金流水!$V$5:$V$504,0)),"")</f>
        <v/>
      </c>
    </row>
    <row r="80" customFormat="false" ht="15.75" hidden="false" customHeight="true" outlineLevel="0" collapsed="false">
      <c r="A80" s="76" t="str">
        <f aca="false">IFERROR(INDEX(销售录入!$B$5:$B$404,MATCH(ROW()-8,销售录入!$AE$5:$AE$404,0)),"")</f>
        <v/>
      </c>
      <c r="B80" s="35" t="str">
        <f aca="false">IFERROR(INDEX(销售录入!$E$5:$E$404,MATCH(ROW()-8,销售录入!$AE$5:$AE$404,0)),"")</f>
        <v/>
      </c>
      <c r="C80" s="64" t="str">
        <f aca="false">IFERROR(INDEX(销售录入!$F$5:$F$404,MATCH(ROW()-8,销售录入!$AE$5:$AE$404,0)),"")</f>
        <v/>
      </c>
      <c r="D80" s="54" t="str">
        <f aca="false">IFERROR(INDEX(销售录入!$G$5:$G$404,MATCH(ROW()-8,销售录入!$AE$5:$AE$404,0)),"")</f>
        <v/>
      </c>
      <c r="E80" s="54" t="str">
        <f aca="false">IFERROR(INDEX(销售录入!$Q$5:$Q$404,MATCH(ROW()-8,销售录入!$AE$5:$AE$404,0)),"")</f>
        <v/>
      </c>
      <c r="F80" s="76" t="str">
        <f aca="false">IFERROR(INDEX(销售录入!$U$5:$U$404,MATCH(ROW()-8,销售录入!$AE$5:$AE$404,0)),"")</f>
        <v/>
      </c>
      <c r="H80" s="76" t="str">
        <f aca="false">IFERROR(INDEX(资金流水!$B$5:$B$504,MATCH(ROW()-8,资金流水!$V$5:$V$504,0)),"")</f>
        <v/>
      </c>
      <c r="I80" s="42" t="str">
        <f aca="false">IFERROR(INDEX(资金流水!$F$5:$F$504,MATCH(ROW()-8,资金流水!$V$5:$V$504,0)),"")</f>
        <v/>
      </c>
      <c r="J80" s="54" t="str">
        <f aca="false">IFERROR(INDEX(资金流水!$N$5:$N$504,MATCH(ROW()-8,资金流水!$V$5:$V$504,0)),"")</f>
        <v/>
      </c>
      <c r="K80" s="35" t="str">
        <f aca="false">IFERROR(INDEX(资金流水!$J$5:$J$504,MATCH(ROW()-8,资金流水!$V$5:$V$504,0)),"")</f>
        <v/>
      </c>
      <c r="L80" s="42" t="str">
        <f aca="false">IFERROR(INDEX(资金流水!$I$5:$I$504,MATCH(ROW()-8,资金流水!$V$5:$V$504,0)),"")</f>
        <v/>
      </c>
      <c r="M80" s="42" t="str">
        <f aca="false">IFERROR(INDEX(资金流水!$H$5:$H$504,MATCH(ROW()-8,资金流水!$V$5:$V$504,0)),"")</f>
        <v/>
      </c>
    </row>
    <row r="81" customFormat="false" ht="15.75" hidden="false" customHeight="true" outlineLevel="0" collapsed="false">
      <c r="A81" s="76" t="str">
        <f aca="false">IFERROR(INDEX(销售录入!$B$5:$B$404,MATCH(ROW()-8,销售录入!$AE$5:$AE$404,0)),"")</f>
        <v/>
      </c>
      <c r="B81" s="35" t="str">
        <f aca="false">IFERROR(INDEX(销售录入!$E$5:$E$404,MATCH(ROW()-8,销售录入!$AE$5:$AE$404,0)),"")</f>
        <v/>
      </c>
      <c r="C81" s="64" t="str">
        <f aca="false">IFERROR(INDEX(销售录入!$F$5:$F$404,MATCH(ROW()-8,销售录入!$AE$5:$AE$404,0)),"")</f>
        <v/>
      </c>
      <c r="D81" s="54" t="str">
        <f aca="false">IFERROR(INDEX(销售录入!$G$5:$G$404,MATCH(ROW()-8,销售录入!$AE$5:$AE$404,0)),"")</f>
        <v/>
      </c>
      <c r="E81" s="54" t="str">
        <f aca="false">IFERROR(INDEX(销售录入!$Q$5:$Q$404,MATCH(ROW()-8,销售录入!$AE$5:$AE$404,0)),"")</f>
        <v/>
      </c>
      <c r="F81" s="76" t="str">
        <f aca="false">IFERROR(INDEX(销售录入!$U$5:$U$404,MATCH(ROW()-8,销售录入!$AE$5:$AE$404,0)),"")</f>
        <v/>
      </c>
      <c r="H81" s="76" t="str">
        <f aca="false">IFERROR(INDEX(资金流水!$B$5:$B$504,MATCH(ROW()-8,资金流水!$V$5:$V$504,0)),"")</f>
        <v/>
      </c>
      <c r="I81" s="42" t="str">
        <f aca="false">IFERROR(INDEX(资金流水!$F$5:$F$504,MATCH(ROW()-8,资金流水!$V$5:$V$504,0)),"")</f>
        <v/>
      </c>
      <c r="J81" s="54" t="str">
        <f aca="false">IFERROR(INDEX(资金流水!$N$5:$N$504,MATCH(ROW()-8,资金流水!$V$5:$V$504,0)),"")</f>
        <v/>
      </c>
      <c r="K81" s="35" t="str">
        <f aca="false">IFERROR(INDEX(资金流水!$J$5:$J$504,MATCH(ROW()-8,资金流水!$V$5:$V$504,0)),"")</f>
        <v/>
      </c>
      <c r="L81" s="42" t="str">
        <f aca="false">IFERROR(INDEX(资金流水!$I$5:$I$504,MATCH(ROW()-8,资金流水!$V$5:$V$504,0)),"")</f>
        <v/>
      </c>
      <c r="M81" s="42" t="str">
        <f aca="false">IFERROR(INDEX(资金流水!$H$5:$H$504,MATCH(ROW()-8,资金流水!$V$5:$V$504,0)),"")</f>
        <v/>
      </c>
    </row>
    <row r="82" customFormat="false" ht="15.75" hidden="false" customHeight="true" outlineLevel="0" collapsed="false">
      <c r="A82" s="76" t="str">
        <f aca="false">IFERROR(INDEX(销售录入!$B$5:$B$404,MATCH(ROW()-8,销售录入!$AE$5:$AE$404,0)),"")</f>
        <v/>
      </c>
      <c r="B82" s="35" t="str">
        <f aca="false">IFERROR(INDEX(销售录入!$E$5:$E$404,MATCH(ROW()-8,销售录入!$AE$5:$AE$404,0)),"")</f>
        <v/>
      </c>
      <c r="C82" s="64" t="str">
        <f aca="false">IFERROR(INDEX(销售录入!$F$5:$F$404,MATCH(ROW()-8,销售录入!$AE$5:$AE$404,0)),"")</f>
        <v/>
      </c>
      <c r="D82" s="54" t="str">
        <f aca="false">IFERROR(INDEX(销售录入!$G$5:$G$404,MATCH(ROW()-8,销售录入!$AE$5:$AE$404,0)),"")</f>
        <v/>
      </c>
      <c r="E82" s="54" t="str">
        <f aca="false">IFERROR(INDEX(销售录入!$Q$5:$Q$404,MATCH(ROW()-8,销售录入!$AE$5:$AE$404,0)),"")</f>
        <v/>
      </c>
      <c r="F82" s="76" t="str">
        <f aca="false">IFERROR(INDEX(销售录入!$U$5:$U$404,MATCH(ROW()-8,销售录入!$AE$5:$AE$404,0)),"")</f>
        <v/>
      </c>
      <c r="H82" s="76" t="str">
        <f aca="false">IFERROR(INDEX(资金流水!$B$5:$B$504,MATCH(ROW()-8,资金流水!$V$5:$V$504,0)),"")</f>
        <v/>
      </c>
      <c r="I82" s="42" t="str">
        <f aca="false">IFERROR(INDEX(资金流水!$F$5:$F$504,MATCH(ROW()-8,资金流水!$V$5:$V$504,0)),"")</f>
        <v/>
      </c>
      <c r="J82" s="54" t="str">
        <f aca="false">IFERROR(INDEX(资金流水!$N$5:$N$504,MATCH(ROW()-8,资金流水!$V$5:$V$504,0)),"")</f>
        <v/>
      </c>
      <c r="K82" s="35" t="str">
        <f aca="false">IFERROR(INDEX(资金流水!$J$5:$J$504,MATCH(ROW()-8,资金流水!$V$5:$V$504,0)),"")</f>
        <v/>
      </c>
      <c r="L82" s="42" t="str">
        <f aca="false">IFERROR(INDEX(资金流水!$I$5:$I$504,MATCH(ROW()-8,资金流水!$V$5:$V$504,0)),"")</f>
        <v/>
      </c>
      <c r="M82" s="42" t="str">
        <f aca="false">IFERROR(INDEX(资金流水!$H$5:$H$504,MATCH(ROW()-8,资金流水!$V$5:$V$504,0)),"")</f>
        <v/>
      </c>
    </row>
    <row r="83" customFormat="false" ht="15.75" hidden="false" customHeight="true" outlineLevel="0" collapsed="false">
      <c r="A83" s="76" t="str">
        <f aca="false">IFERROR(INDEX(销售录入!$B$5:$B$404,MATCH(ROW()-8,销售录入!$AE$5:$AE$404,0)),"")</f>
        <v/>
      </c>
      <c r="B83" s="35" t="str">
        <f aca="false">IFERROR(INDEX(销售录入!$E$5:$E$404,MATCH(ROW()-8,销售录入!$AE$5:$AE$404,0)),"")</f>
        <v/>
      </c>
      <c r="C83" s="64" t="str">
        <f aca="false">IFERROR(INDEX(销售录入!$F$5:$F$404,MATCH(ROW()-8,销售录入!$AE$5:$AE$404,0)),"")</f>
        <v/>
      </c>
      <c r="D83" s="54" t="str">
        <f aca="false">IFERROR(INDEX(销售录入!$G$5:$G$404,MATCH(ROW()-8,销售录入!$AE$5:$AE$404,0)),"")</f>
        <v/>
      </c>
      <c r="E83" s="54" t="str">
        <f aca="false">IFERROR(INDEX(销售录入!$Q$5:$Q$404,MATCH(ROW()-8,销售录入!$AE$5:$AE$404,0)),"")</f>
        <v/>
      </c>
      <c r="F83" s="76" t="str">
        <f aca="false">IFERROR(INDEX(销售录入!$U$5:$U$404,MATCH(ROW()-8,销售录入!$AE$5:$AE$404,0)),"")</f>
        <v/>
      </c>
      <c r="H83" s="76" t="str">
        <f aca="false">IFERROR(INDEX(资金流水!$B$5:$B$504,MATCH(ROW()-8,资金流水!$V$5:$V$504,0)),"")</f>
        <v/>
      </c>
      <c r="I83" s="42" t="str">
        <f aca="false">IFERROR(INDEX(资金流水!$F$5:$F$504,MATCH(ROW()-8,资金流水!$V$5:$V$504,0)),"")</f>
        <v/>
      </c>
      <c r="J83" s="54" t="str">
        <f aca="false">IFERROR(INDEX(资金流水!$N$5:$N$504,MATCH(ROW()-8,资金流水!$V$5:$V$504,0)),"")</f>
        <v/>
      </c>
      <c r="K83" s="35" t="str">
        <f aca="false">IFERROR(INDEX(资金流水!$J$5:$J$504,MATCH(ROW()-8,资金流水!$V$5:$V$504,0)),"")</f>
        <v/>
      </c>
      <c r="L83" s="42" t="str">
        <f aca="false">IFERROR(INDEX(资金流水!$I$5:$I$504,MATCH(ROW()-8,资金流水!$V$5:$V$504,0)),"")</f>
        <v/>
      </c>
      <c r="M83" s="42" t="str">
        <f aca="false">IFERROR(INDEX(资金流水!$H$5:$H$504,MATCH(ROW()-8,资金流水!$V$5:$V$504,0)),"")</f>
        <v/>
      </c>
    </row>
    <row r="84" customFormat="false" ht="15.75" hidden="false" customHeight="true" outlineLevel="0" collapsed="false">
      <c r="A84" s="76" t="str">
        <f aca="false">IFERROR(INDEX(销售录入!$B$5:$B$404,MATCH(ROW()-8,销售录入!$AE$5:$AE$404,0)),"")</f>
        <v/>
      </c>
      <c r="B84" s="35" t="str">
        <f aca="false">IFERROR(INDEX(销售录入!$E$5:$E$404,MATCH(ROW()-8,销售录入!$AE$5:$AE$404,0)),"")</f>
        <v/>
      </c>
      <c r="C84" s="64" t="str">
        <f aca="false">IFERROR(INDEX(销售录入!$F$5:$F$404,MATCH(ROW()-8,销售录入!$AE$5:$AE$404,0)),"")</f>
        <v/>
      </c>
      <c r="D84" s="54" t="str">
        <f aca="false">IFERROR(INDEX(销售录入!$G$5:$G$404,MATCH(ROW()-8,销售录入!$AE$5:$AE$404,0)),"")</f>
        <v/>
      </c>
      <c r="E84" s="54" t="str">
        <f aca="false">IFERROR(INDEX(销售录入!$Q$5:$Q$404,MATCH(ROW()-8,销售录入!$AE$5:$AE$404,0)),"")</f>
        <v/>
      </c>
      <c r="F84" s="76" t="str">
        <f aca="false">IFERROR(INDEX(销售录入!$U$5:$U$404,MATCH(ROW()-8,销售录入!$AE$5:$AE$404,0)),"")</f>
        <v/>
      </c>
      <c r="H84" s="76" t="str">
        <f aca="false">IFERROR(INDEX(资金流水!$B$5:$B$504,MATCH(ROW()-8,资金流水!$V$5:$V$504,0)),"")</f>
        <v/>
      </c>
      <c r="I84" s="42" t="str">
        <f aca="false">IFERROR(INDEX(资金流水!$F$5:$F$504,MATCH(ROW()-8,资金流水!$V$5:$V$504,0)),"")</f>
        <v/>
      </c>
      <c r="J84" s="54" t="str">
        <f aca="false">IFERROR(INDEX(资金流水!$N$5:$N$504,MATCH(ROW()-8,资金流水!$V$5:$V$504,0)),"")</f>
        <v/>
      </c>
      <c r="K84" s="35" t="str">
        <f aca="false">IFERROR(INDEX(资金流水!$J$5:$J$504,MATCH(ROW()-8,资金流水!$V$5:$V$504,0)),"")</f>
        <v/>
      </c>
      <c r="L84" s="42" t="str">
        <f aca="false">IFERROR(INDEX(资金流水!$I$5:$I$504,MATCH(ROW()-8,资金流水!$V$5:$V$504,0)),"")</f>
        <v/>
      </c>
      <c r="M84" s="42" t="str">
        <f aca="false">IFERROR(INDEX(资金流水!$H$5:$H$504,MATCH(ROW()-8,资金流水!$V$5:$V$504,0)),"")</f>
        <v/>
      </c>
    </row>
    <row r="85" customFormat="false" ht="15.75" hidden="false" customHeight="true" outlineLevel="0" collapsed="false">
      <c r="A85" s="76" t="str">
        <f aca="false">IFERROR(INDEX(销售录入!$B$5:$B$404,MATCH(ROW()-8,销售录入!$AE$5:$AE$404,0)),"")</f>
        <v/>
      </c>
      <c r="B85" s="35" t="str">
        <f aca="false">IFERROR(INDEX(销售录入!$E$5:$E$404,MATCH(ROW()-8,销售录入!$AE$5:$AE$404,0)),"")</f>
        <v/>
      </c>
      <c r="C85" s="64" t="str">
        <f aca="false">IFERROR(INDEX(销售录入!$F$5:$F$404,MATCH(ROW()-8,销售录入!$AE$5:$AE$404,0)),"")</f>
        <v/>
      </c>
      <c r="D85" s="54" t="str">
        <f aca="false">IFERROR(INDEX(销售录入!$G$5:$G$404,MATCH(ROW()-8,销售录入!$AE$5:$AE$404,0)),"")</f>
        <v/>
      </c>
      <c r="E85" s="54" t="str">
        <f aca="false">IFERROR(INDEX(销售录入!$Q$5:$Q$404,MATCH(ROW()-8,销售录入!$AE$5:$AE$404,0)),"")</f>
        <v/>
      </c>
      <c r="F85" s="76" t="str">
        <f aca="false">IFERROR(INDEX(销售录入!$U$5:$U$404,MATCH(ROW()-8,销售录入!$AE$5:$AE$404,0)),"")</f>
        <v/>
      </c>
      <c r="H85" s="76" t="str">
        <f aca="false">IFERROR(INDEX(资金流水!$B$5:$B$504,MATCH(ROW()-8,资金流水!$V$5:$V$504,0)),"")</f>
        <v/>
      </c>
      <c r="I85" s="42" t="str">
        <f aca="false">IFERROR(INDEX(资金流水!$F$5:$F$504,MATCH(ROW()-8,资金流水!$V$5:$V$504,0)),"")</f>
        <v/>
      </c>
      <c r="J85" s="54" t="str">
        <f aca="false">IFERROR(INDEX(资金流水!$N$5:$N$504,MATCH(ROW()-8,资金流水!$V$5:$V$504,0)),"")</f>
        <v/>
      </c>
      <c r="K85" s="35" t="str">
        <f aca="false">IFERROR(INDEX(资金流水!$J$5:$J$504,MATCH(ROW()-8,资金流水!$V$5:$V$504,0)),"")</f>
        <v/>
      </c>
      <c r="L85" s="42" t="str">
        <f aca="false">IFERROR(INDEX(资金流水!$I$5:$I$504,MATCH(ROW()-8,资金流水!$V$5:$V$504,0)),"")</f>
        <v/>
      </c>
      <c r="M85" s="42" t="str">
        <f aca="false">IFERROR(INDEX(资金流水!$H$5:$H$504,MATCH(ROW()-8,资金流水!$V$5:$V$504,0)),"")</f>
        <v/>
      </c>
    </row>
    <row r="86" customFormat="false" ht="15.75" hidden="false" customHeight="true" outlineLevel="0" collapsed="false">
      <c r="A86" s="76" t="str">
        <f aca="false">IFERROR(INDEX(销售录入!$B$5:$B$404,MATCH(ROW()-8,销售录入!$AE$5:$AE$404,0)),"")</f>
        <v/>
      </c>
      <c r="B86" s="35" t="str">
        <f aca="false">IFERROR(INDEX(销售录入!$E$5:$E$404,MATCH(ROW()-8,销售录入!$AE$5:$AE$404,0)),"")</f>
        <v/>
      </c>
      <c r="C86" s="64" t="str">
        <f aca="false">IFERROR(INDEX(销售录入!$F$5:$F$404,MATCH(ROW()-8,销售录入!$AE$5:$AE$404,0)),"")</f>
        <v/>
      </c>
      <c r="D86" s="54" t="str">
        <f aca="false">IFERROR(INDEX(销售录入!$G$5:$G$404,MATCH(ROW()-8,销售录入!$AE$5:$AE$404,0)),"")</f>
        <v/>
      </c>
      <c r="E86" s="54" t="str">
        <f aca="false">IFERROR(INDEX(销售录入!$Q$5:$Q$404,MATCH(ROW()-8,销售录入!$AE$5:$AE$404,0)),"")</f>
        <v/>
      </c>
      <c r="F86" s="76" t="str">
        <f aca="false">IFERROR(INDEX(销售录入!$U$5:$U$404,MATCH(ROW()-8,销售录入!$AE$5:$AE$404,0)),"")</f>
        <v/>
      </c>
      <c r="H86" s="76" t="str">
        <f aca="false">IFERROR(INDEX(资金流水!$B$5:$B$504,MATCH(ROW()-8,资金流水!$V$5:$V$504,0)),"")</f>
        <v/>
      </c>
      <c r="I86" s="42" t="str">
        <f aca="false">IFERROR(INDEX(资金流水!$F$5:$F$504,MATCH(ROW()-8,资金流水!$V$5:$V$504,0)),"")</f>
        <v/>
      </c>
      <c r="J86" s="54" t="str">
        <f aca="false">IFERROR(INDEX(资金流水!$N$5:$N$504,MATCH(ROW()-8,资金流水!$V$5:$V$504,0)),"")</f>
        <v/>
      </c>
      <c r="K86" s="35" t="str">
        <f aca="false">IFERROR(INDEX(资金流水!$J$5:$J$504,MATCH(ROW()-8,资金流水!$V$5:$V$504,0)),"")</f>
        <v/>
      </c>
      <c r="L86" s="42" t="str">
        <f aca="false">IFERROR(INDEX(资金流水!$I$5:$I$504,MATCH(ROW()-8,资金流水!$V$5:$V$504,0)),"")</f>
        <v/>
      </c>
      <c r="M86" s="42" t="str">
        <f aca="false">IFERROR(INDEX(资金流水!$H$5:$H$504,MATCH(ROW()-8,资金流水!$V$5:$V$504,0)),"")</f>
        <v/>
      </c>
    </row>
    <row r="87" customFormat="false" ht="15.75" hidden="false" customHeight="true" outlineLevel="0" collapsed="false">
      <c r="A87" s="76" t="str">
        <f aca="false">IFERROR(INDEX(销售录入!$B$5:$B$404,MATCH(ROW()-8,销售录入!$AE$5:$AE$404,0)),"")</f>
        <v/>
      </c>
      <c r="B87" s="35" t="str">
        <f aca="false">IFERROR(INDEX(销售录入!$E$5:$E$404,MATCH(ROW()-8,销售录入!$AE$5:$AE$404,0)),"")</f>
        <v/>
      </c>
      <c r="C87" s="64" t="str">
        <f aca="false">IFERROR(INDEX(销售录入!$F$5:$F$404,MATCH(ROW()-8,销售录入!$AE$5:$AE$404,0)),"")</f>
        <v/>
      </c>
      <c r="D87" s="54" t="str">
        <f aca="false">IFERROR(INDEX(销售录入!$G$5:$G$404,MATCH(ROW()-8,销售录入!$AE$5:$AE$404,0)),"")</f>
        <v/>
      </c>
      <c r="E87" s="54" t="str">
        <f aca="false">IFERROR(INDEX(销售录入!$Q$5:$Q$404,MATCH(ROW()-8,销售录入!$AE$5:$AE$404,0)),"")</f>
        <v/>
      </c>
      <c r="F87" s="76" t="str">
        <f aca="false">IFERROR(INDEX(销售录入!$U$5:$U$404,MATCH(ROW()-8,销售录入!$AE$5:$AE$404,0)),"")</f>
        <v/>
      </c>
      <c r="H87" s="76" t="str">
        <f aca="false">IFERROR(INDEX(资金流水!$B$5:$B$504,MATCH(ROW()-8,资金流水!$V$5:$V$504,0)),"")</f>
        <v/>
      </c>
      <c r="I87" s="42" t="str">
        <f aca="false">IFERROR(INDEX(资金流水!$F$5:$F$504,MATCH(ROW()-8,资金流水!$V$5:$V$504,0)),"")</f>
        <v/>
      </c>
      <c r="J87" s="54" t="str">
        <f aca="false">IFERROR(INDEX(资金流水!$N$5:$N$504,MATCH(ROW()-8,资金流水!$V$5:$V$504,0)),"")</f>
        <v/>
      </c>
      <c r="K87" s="35" t="str">
        <f aca="false">IFERROR(INDEX(资金流水!$J$5:$J$504,MATCH(ROW()-8,资金流水!$V$5:$V$504,0)),"")</f>
        <v/>
      </c>
      <c r="L87" s="42" t="str">
        <f aca="false">IFERROR(INDEX(资金流水!$I$5:$I$504,MATCH(ROW()-8,资金流水!$V$5:$V$504,0)),"")</f>
        <v/>
      </c>
      <c r="M87" s="42" t="str">
        <f aca="false">IFERROR(INDEX(资金流水!$H$5:$H$504,MATCH(ROW()-8,资金流水!$V$5:$V$504,0)),"")</f>
        <v/>
      </c>
    </row>
    <row r="88" customFormat="false" ht="15.75" hidden="false" customHeight="true" outlineLevel="0" collapsed="false">
      <c r="A88" s="76" t="str">
        <f aca="false">IFERROR(INDEX(销售录入!$B$5:$B$404,MATCH(ROW()-8,销售录入!$AE$5:$AE$404,0)),"")</f>
        <v/>
      </c>
      <c r="B88" s="35" t="str">
        <f aca="false">IFERROR(INDEX(销售录入!$E$5:$E$404,MATCH(ROW()-8,销售录入!$AE$5:$AE$404,0)),"")</f>
        <v/>
      </c>
      <c r="C88" s="64" t="str">
        <f aca="false">IFERROR(INDEX(销售录入!$F$5:$F$404,MATCH(ROW()-8,销售录入!$AE$5:$AE$404,0)),"")</f>
        <v/>
      </c>
      <c r="D88" s="54" t="str">
        <f aca="false">IFERROR(INDEX(销售录入!$G$5:$G$404,MATCH(ROW()-8,销售录入!$AE$5:$AE$404,0)),"")</f>
        <v/>
      </c>
      <c r="E88" s="54" t="str">
        <f aca="false">IFERROR(INDEX(销售录入!$Q$5:$Q$404,MATCH(ROW()-8,销售录入!$AE$5:$AE$404,0)),"")</f>
        <v/>
      </c>
      <c r="F88" s="76" t="str">
        <f aca="false">IFERROR(INDEX(销售录入!$U$5:$U$404,MATCH(ROW()-8,销售录入!$AE$5:$AE$404,0)),"")</f>
        <v/>
      </c>
      <c r="H88" s="76" t="str">
        <f aca="false">IFERROR(INDEX(资金流水!$B$5:$B$504,MATCH(ROW()-8,资金流水!$V$5:$V$504,0)),"")</f>
        <v/>
      </c>
      <c r="I88" s="42" t="str">
        <f aca="false">IFERROR(INDEX(资金流水!$F$5:$F$504,MATCH(ROW()-8,资金流水!$V$5:$V$504,0)),"")</f>
        <v/>
      </c>
      <c r="J88" s="54" t="str">
        <f aca="false">IFERROR(INDEX(资金流水!$N$5:$N$504,MATCH(ROW()-8,资金流水!$V$5:$V$504,0)),"")</f>
        <v/>
      </c>
      <c r="K88" s="35" t="str">
        <f aca="false">IFERROR(INDEX(资金流水!$J$5:$J$504,MATCH(ROW()-8,资金流水!$V$5:$V$504,0)),"")</f>
        <v/>
      </c>
      <c r="L88" s="42" t="str">
        <f aca="false">IFERROR(INDEX(资金流水!$I$5:$I$504,MATCH(ROW()-8,资金流水!$V$5:$V$504,0)),"")</f>
        <v/>
      </c>
      <c r="M88" s="42" t="str">
        <f aca="false">IFERROR(INDEX(资金流水!$H$5:$H$504,MATCH(ROW()-8,资金流水!$V$5:$V$504,0)),"")</f>
        <v/>
      </c>
    </row>
    <row r="89" customFormat="false" ht="15.75" hidden="false" customHeight="true" outlineLevel="0" collapsed="false">
      <c r="A89" s="76" t="str">
        <f aca="false">IFERROR(INDEX(销售录入!$B$5:$B$404,MATCH(ROW()-8,销售录入!$AE$5:$AE$404,0)),"")</f>
        <v/>
      </c>
      <c r="B89" s="35" t="str">
        <f aca="false">IFERROR(INDEX(销售录入!$E$5:$E$404,MATCH(ROW()-8,销售录入!$AE$5:$AE$404,0)),"")</f>
        <v/>
      </c>
      <c r="C89" s="64" t="str">
        <f aca="false">IFERROR(INDEX(销售录入!$F$5:$F$404,MATCH(ROW()-8,销售录入!$AE$5:$AE$404,0)),"")</f>
        <v/>
      </c>
      <c r="D89" s="54" t="str">
        <f aca="false">IFERROR(INDEX(销售录入!$G$5:$G$404,MATCH(ROW()-8,销售录入!$AE$5:$AE$404,0)),"")</f>
        <v/>
      </c>
      <c r="E89" s="54" t="str">
        <f aca="false">IFERROR(INDEX(销售录入!$Q$5:$Q$404,MATCH(ROW()-8,销售录入!$AE$5:$AE$404,0)),"")</f>
        <v/>
      </c>
      <c r="F89" s="76" t="str">
        <f aca="false">IFERROR(INDEX(销售录入!$U$5:$U$404,MATCH(ROW()-8,销售录入!$AE$5:$AE$404,0)),"")</f>
        <v/>
      </c>
      <c r="H89" s="76" t="str">
        <f aca="false">IFERROR(INDEX(资金流水!$B$5:$B$504,MATCH(ROW()-8,资金流水!$V$5:$V$504,0)),"")</f>
        <v/>
      </c>
      <c r="I89" s="42" t="str">
        <f aca="false">IFERROR(INDEX(资金流水!$F$5:$F$504,MATCH(ROW()-8,资金流水!$V$5:$V$504,0)),"")</f>
        <v/>
      </c>
      <c r="J89" s="54" t="str">
        <f aca="false">IFERROR(INDEX(资金流水!$N$5:$N$504,MATCH(ROW()-8,资金流水!$V$5:$V$504,0)),"")</f>
        <v/>
      </c>
      <c r="K89" s="35" t="str">
        <f aca="false">IFERROR(INDEX(资金流水!$J$5:$J$504,MATCH(ROW()-8,资金流水!$V$5:$V$504,0)),"")</f>
        <v/>
      </c>
      <c r="L89" s="42" t="str">
        <f aca="false">IFERROR(INDEX(资金流水!$I$5:$I$504,MATCH(ROW()-8,资金流水!$V$5:$V$504,0)),"")</f>
        <v/>
      </c>
      <c r="M89" s="42" t="str">
        <f aca="false">IFERROR(INDEX(资金流水!$H$5:$H$504,MATCH(ROW()-8,资金流水!$V$5:$V$504,0)),"")</f>
        <v/>
      </c>
    </row>
    <row r="90" customFormat="false" ht="15.75" hidden="false" customHeight="true" outlineLevel="0" collapsed="false">
      <c r="A90" s="76" t="str">
        <f aca="false">IFERROR(INDEX(销售录入!$B$5:$B$404,MATCH(ROW()-8,销售录入!$AE$5:$AE$404,0)),"")</f>
        <v/>
      </c>
      <c r="B90" s="35" t="str">
        <f aca="false">IFERROR(INDEX(销售录入!$E$5:$E$404,MATCH(ROW()-8,销售录入!$AE$5:$AE$404,0)),"")</f>
        <v/>
      </c>
      <c r="C90" s="64" t="str">
        <f aca="false">IFERROR(INDEX(销售录入!$F$5:$F$404,MATCH(ROW()-8,销售录入!$AE$5:$AE$404,0)),"")</f>
        <v/>
      </c>
      <c r="D90" s="54" t="str">
        <f aca="false">IFERROR(INDEX(销售录入!$G$5:$G$404,MATCH(ROW()-8,销售录入!$AE$5:$AE$404,0)),"")</f>
        <v/>
      </c>
      <c r="E90" s="54" t="str">
        <f aca="false">IFERROR(INDEX(销售录入!$Q$5:$Q$404,MATCH(ROW()-8,销售录入!$AE$5:$AE$404,0)),"")</f>
        <v/>
      </c>
      <c r="F90" s="76" t="str">
        <f aca="false">IFERROR(INDEX(销售录入!$U$5:$U$404,MATCH(ROW()-8,销售录入!$AE$5:$AE$404,0)),"")</f>
        <v/>
      </c>
      <c r="H90" s="76" t="str">
        <f aca="false">IFERROR(INDEX(资金流水!$B$5:$B$504,MATCH(ROW()-8,资金流水!$V$5:$V$504,0)),"")</f>
        <v/>
      </c>
      <c r="I90" s="42" t="str">
        <f aca="false">IFERROR(INDEX(资金流水!$F$5:$F$504,MATCH(ROW()-8,资金流水!$V$5:$V$504,0)),"")</f>
        <v/>
      </c>
      <c r="J90" s="54" t="str">
        <f aca="false">IFERROR(INDEX(资金流水!$N$5:$N$504,MATCH(ROW()-8,资金流水!$V$5:$V$504,0)),"")</f>
        <v/>
      </c>
      <c r="K90" s="35" t="str">
        <f aca="false">IFERROR(INDEX(资金流水!$J$5:$J$504,MATCH(ROW()-8,资金流水!$V$5:$V$504,0)),"")</f>
        <v/>
      </c>
      <c r="L90" s="42" t="str">
        <f aca="false">IFERROR(INDEX(资金流水!$I$5:$I$504,MATCH(ROW()-8,资金流水!$V$5:$V$504,0)),"")</f>
        <v/>
      </c>
      <c r="M90" s="42" t="str">
        <f aca="false">IFERROR(INDEX(资金流水!$H$5:$H$504,MATCH(ROW()-8,资金流水!$V$5:$V$504,0)),"")</f>
        <v/>
      </c>
    </row>
    <row r="91" customFormat="false" ht="15.75" hidden="false" customHeight="true" outlineLevel="0" collapsed="false">
      <c r="A91" s="76" t="str">
        <f aca="false">IFERROR(INDEX(销售录入!$B$5:$B$404,MATCH(ROW()-8,销售录入!$AE$5:$AE$404,0)),"")</f>
        <v/>
      </c>
      <c r="B91" s="35" t="str">
        <f aca="false">IFERROR(INDEX(销售录入!$E$5:$E$404,MATCH(ROW()-8,销售录入!$AE$5:$AE$404,0)),"")</f>
        <v/>
      </c>
      <c r="C91" s="64" t="str">
        <f aca="false">IFERROR(INDEX(销售录入!$F$5:$F$404,MATCH(ROW()-8,销售录入!$AE$5:$AE$404,0)),"")</f>
        <v/>
      </c>
      <c r="D91" s="54" t="str">
        <f aca="false">IFERROR(INDEX(销售录入!$G$5:$G$404,MATCH(ROW()-8,销售录入!$AE$5:$AE$404,0)),"")</f>
        <v/>
      </c>
      <c r="E91" s="54" t="str">
        <f aca="false">IFERROR(INDEX(销售录入!$Q$5:$Q$404,MATCH(ROW()-8,销售录入!$AE$5:$AE$404,0)),"")</f>
        <v/>
      </c>
      <c r="F91" s="76" t="str">
        <f aca="false">IFERROR(INDEX(销售录入!$U$5:$U$404,MATCH(ROW()-8,销售录入!$AE$5:$AE$404,0)),"")</f>
        <v/>
      </c>
      <c r="H91" s="76" t="str">
        <f aca="false">IFERROR(INDEX(资金流水!$B$5:$B$504,MATCH(ROW()-8,资金流水!$V$5:$V$504,0)),"")</f>
        <v/>
      </c>
      <c r="I91" s="42" t="str">
        <f aca="false">IFERROR(INDEX(资金流水!$F$5:$F$504,MATCH(ROW()-8,资金流水!$V$5:$V$504,0)),"")</f>
        <v/>
      </c>
      <c r="J91" s="54" t="str">
        <f aca="false">IFERROR(INDEX(资金流水!$N$5:$N$504,MATCH(ROW()-8,资金流水!$V$5:$V$504,0)),"")</f>
        <v/>
      </c>
      <c r="K91" s="35" t="str">
        <f aca="false">IFERROR(INDEX(资金流水!$J$5:$J$504,MATCH(ROW()-8,资金流水!$V$5:$V$504,0)),"")</f>
        <v/>
      </c>
      <c r="L91" s="42" t="str">
        <f aca="false">IFERROR(INDEX(资金流水!$I$5:$I$504,MATCH(ROW()-8,资金流水!$V$5:$V$504,0)),"")</f>
        <v/>
      </c>
      <c r="M91" s="42" t="str">
        <f aca="false">IFERROR(INDEX(资金流水!$H$5:$H$504,MATCH(ROW()-8,资金流水!$V$5:$V$504,0)),"")</f>
        <v/>
      </c>
    </row>
    <row r="92" customFormat="false" ht="15.75" hidden="false" customHeight="true" outlineLevel="0" collapsed="false">
      <c r="A92" s="76" t="str">
        <f aca="false">IFERROR(INDEX(销售录入!$B$5:$B$404,MATCH(ROW()-8,销售录入!$AE$5:$AE$404,0)),"")</f>
        <v/>
      </c>
      <c r="B92" s="35" t="str">
        <f aca="false">IFERROR(INDEX(销售录入!$E$5:$E$404,MATCH(ROW()-8,销售录入!$AE$5:$AE$404,0)),"")</f>
        <v/>
      </c>
      <c r="C92" s="64" t="str">
        <f aca="false">IFERROR(INDEX(销售录入!$F$5:$F$404,MATCH(ROW()-8,销售录入!$AE$5:$AE$404,0)),"")</f>
        <v/>
      </c>
      <c r="D92" s="54" t="str">
        <f aca="false">IFERROR(INDEX(销售录入!$G$5:$G$404,MATCH(ROW()-8,销售录入!$AE$5:$AE$404,0)),"")</f>
        <v/>
      </c>
      <c r="E92" s="54" t="str">
        <f aca="false">IFERROR(INDEX(销售录入!$Q$5:$Q$404,MATCH(ROW()-8,销售录入!$AE$5:$AE$404,0)),"")</f>
        <v/>
      </c>
      <c r="F92" s="76" t="str">
        <f aca="false">IFERROR(INDEX(销售录入!$U$5:$U$404,MATCH(ROW()-8,销售录入!$AE$5:$AE$404,0)),"")</f>
        <v/>
      </c>
      <c r="H92" s="76" t="str">
        <f aca="false">IFERROR(INDEX(资金流水!$B$5:$B$504,MATCH(ROW()-8,资金流水!$V$5:$V$504,0)),"")</f>
        <v/>
      </c>
      <c r="I92" s="42" t="str">
        <f aca="false">IFERROR(INDEX(资金流水!$F$5:$F$504,MATCH(ROW()-8,资金流水!$V$5:$V$504,0)),"")</f>
        <v/>
      </c>
      <c r="J92" s="54" t="str">
        <f aca="false">IFERROR(INDEX(资金流水!$N$5:$N$504,MATCH(ROW()-8,资金流水!$V$5:$V$504,0)),"")</f>
        <v/>
      </c>
      <c r="K92" s="35" t="str">
        <f aca="false">IFERROR(INDEX(资金流水!$J$5:$J$504,MATCH(ROW()-8,资金流水!$V$5:$V$504,0)),"")</f>
        <v/>
      </c>
      <c r="L92" s="42" t="str">
        <f aca="false">IFERROR(INDEX(资金流水!$I$5:$I$504,MATCH(ROW()-8,资金流水!$V$5:$V$504,0)),"")</f>
        <v/>
      </c>
      <c r="M92" s="42" t="str">
        <f aca="false">IFERROR(INDEX(资金流水!$H$5:$H$504,MATCH(ROW()-8,资金流水!$V$5:$V$504,0)),"")</f>
        <v/>
      </c>
    </row>
    <row r="93" customFormat="false" ht="15.75" hidden="false" customHeight="true" outlineLevel="0" collapsed="false">
      <c r="A93" s="76" t="str">
        <f aca="false">IFERROR(INDEX(销售录入!$B$5:$B$404,MATCH(ROW()-8,销售录入!$AE$5:$AE$404,0)),"")</f>
        <v/>
      </c>
      <c r="B93" s="35" t="str">
        <f aca="false">IFERROR(INDEX(销售录入!$E$5:$E$404,MATCH(ROW()-8,销售录入!$AE$5:$AE$404,0)),"")</f>
        <v/>
      </c>
      <c r="C93" s="64" t="str">
        <f aca="false">IFERROR(INDEX(销售录入!$F$5:$F$404,MATCH(ROW()-8,销售录入!$AE$5:$AE$404,0)),"")</f>
        <v/>
      </c>
      <c r="D93" s="54" t="str">
        <f aca="false">IFERROR(INDEX(销售录入!$G$5:$G$404,MATCH(ROW()-8,销售录入!$AE$5:$AE$404,0)),"")</f>
        <v/>
      </c>
      <c r="E93" s="54" t="str">
        <f aca="false">IFERROR(INDEX(销售录入!$Q$5:$Q$404,MATCH(ROW()-8,销售录入!$AE$5:$AE$404,0)),"")</f>
        <v/>
      </c>
      <c r="F93" s="76" t="str">
        <f aca="false">IFERROR(INDEX(销售录入!$U$5:$U$404,MATCH(ROW()-8,销售录入!$AE$5:$AE$404,0)),"")</f>
        <v/>
      </c>
      <c r="H93" s="76" t="str">
        <f aca="false">IFERROR(INDEX(资金流水!$B$5:$B$504,MATCH(ROW()-8,资金流水!$V$5:$V$504,0)),"")</f>
        <v/>
      </c>
      <c r="I93" s="42" t="str">
        <f aca="false">IFERROR(INDEX(资金流水!$F$5:$F$504,MATCH(ROW()-8,资金流水!$V$5:$V$504,0)),"")</f>
        <v/>
      </c>
      <c r="J93" s="54" t="str">
        <f aca="false">IFERROR(INDEX(资金流水!$N$5:$N$504,MATCH(ROW()-8,资金流水!$V$5:$V$504,0)),"")</f>
        <v/>
      </c>
      <c r="K93" s="35" t="str">
        <f aca="false">IFERROR(INDEX(资金流水!$J$5:$J$504,MATCH(ROW()-8,资金流水!$V$5:$V$504,0)),"")</f>
        <v/>
      </c>
      <c r="L93" s="42" t="str">
        <f aca="false">IFERROR(INDEX(资金流水!$I$5:$I$504,MATCH(ROW()-8,资金流水!$V$5:$V$504,0)),"")</f>
        <v/>
      </c>
      <c r="M93" s="42" t="str">
        <f aca="false">IFERROR(INDEX(资金流水!$H$5:$H$504,MATCH(ROW()-8,资金流水!$V$5:$V$504,0)),"")</f>
        <v/>
      </c>
    </row>
    <row r="94" customFormat="false" ht="15.75" hidden="false" customHeight="true" outlineLevel="0" collapsed="false">
      <c r="A94" s="76" t="str">
        <f aca="false">IFERROR(INDEX(销售录入!$B$5:$B$404,MATCH(ROW()-8,销售录入!$AE$5:$AE$404,0)),"")</f>
        <v/>
      </c>
      <c r="B94" s="35" t="str">
        <f aca="false">IFERROR(INDEX(销售录入!$E$5:$E$404,MATCH(ROW()-8,销售录入!$AE$5:$AE$404,0)),"")</f>
        <v/>
      </c>
      <c r="C94" s="64" t="str">
        <f aca="false">IFERROR(INDEX(销售录入!$F$5:$F$404,MATCH(ROW()-8,销售录入!$AE$5:$AE$404,0)),"")</f>
        <v/>
      </c>
      <c r="D94" s="54" t="str">
        <f aca="false">IFERROR(INDEX(销售录入!$G$5:$G$404,MATCH(ROW()-8,销售录入!$AE$5:$AE$404,0)),"")</f>
        <v/>
      </c>
      <c r="E94" s="54" t="str">
        <f aca="false">IFERROR(INDEX(销售录入!$Q$5:$Q$404,MATCH(ROW()-8,销售录入!$AE$5:$AE$404,0)),"")</f>
        <v/>
      </c>
      <c r="F94" s="76" t="str">
        <f aca="false">IFERROR(INDEX(销售录入!$U$5:$U$404,MATCH(ROW()-8,销售录入!$AE$5:$AE$404,0)),"")</f>
        <v/>
      </c>
      <c r="H94" s="76" t="str">
        <f aca="false">IFERROR(INDEX(资金流水!$B$5:$B$504,MATCH(ROW()-8,资金流水!$V$5:$V$504,0)),"")</f>
        <v/>
      </c>
      <c r="I94" s="42" t="str">
        <f aca="false">IFERROR(INDEX(资金流水!$F$5:$F$504,MATCH(ROW()-8,资金流水!$V$5:$V$504,0)),"")</f>
        <v/>
      </c>
      <c r="J94" s="54" t="str">
        <f aca="false">IFERROR(INDEX(资金流水!$N$5:$N$504,MATCH(ROW()-8,资金流水!$V$5:$V$504,0)),"")</f>
        <v/>
      </c>
      <c r="K94" s="35" t="str">
        <f aca="false">IFERROR(INDEX(资金流水!$J$5:$J$504,MATCH(ROW()-8,资金流水!$V$5:$V$504,0)),"")</f>
        <v/>
      </c>
      <c r="L94" s="42" t="str">
        <f aca="false">IFERROR(INDEX(资金流水!$I$5:$I$504,MATCH(ROW()-8,资金流水!$V$5:$V$504,0)),"")</f>
        <v/>
      </c>
      <c r="M94" s="42" t="str">
        <f aca="false">IFERROR(INDEX(资金流水!$H$5:$H$504,MATCH(ROW()-8,资金流水!$V$5:$V$504,0)),"")</f>
        <v/>
      </c>
    </row>
    <row r="95" customFormat="false" ht="15.75" hidden="false" customHeight="true" outlineLevel="0" collapsed="false">
      <c r="A95" s="76" t="str">
        <f aca="false">IFERROR(INDEX(销售录入!$B$5:$B$404,MATCH(ROW()-8,销售录入!$AE$5:$AE$404,0)),"")</f>
        <v/>
      </c>
      <c r="B95" s="35" t="str">
        <f aca="false">IFERROR(INDEX(销售录入!$E$5:$E$404,MATCH(ROW()-8,销售录入!$AE$5:$AE$404,0)),"")</f>
        <v/>
      </c>
      <c r="C95" s="64" t="str">
        <f aca="false">IFERROR(INDEX(销售录入!$F$5:$F$404,MATCH(ROW()-8,销售录入!$AE$5:$AE$404,0)),"")</f>
        <v/>
      </c>
      <c r="D95" s="54" t="str">
        <f aca="false">IFERROR(INDEX(销售录入!$G$5:$G$404,MATCH(ROW()-8,销售录入!$AE$5:$AE$404,0)),"")</f>
        <v/>
      </c>
      <c r="E95" s="54" t="str">
        <f aca="false">IFERROR(INDEX(销售录入!$Q$5:$Q$404,MATCH(ROW()-8,销售录入!$AE$5:$AE$404,0)),"")</f>
        <v/>
      </c>
      <c r="F95" s="76" t="str">
        <f aca="false">IFERROR(INDEX(销售录入!$U$5:$U$404,MATCH(ROW()-8,销售录入!$AE$5:$AE$404,0)),"")</f>
        <v/>
      </c>
      <c r="H95" s="76" t="str">
        <f aca="false">IFERROR(INDEX(资金流水!$B$5:$B$504,MATCH(ROW()-8,资金流水!$V$5:$V$504,0)),"")</f>
        <v/>
      </c>
      <c r="I95" s="42" t="str">
        <f aca="false">IFERROR(INDEX(资金流水!$F$5:$F$504,MATCH(ROW()-8,资金流水!$V$5:$V$504,0)),"")</f>
        <v/>
      </c>
      <c r="J95" s="54" t="str">
        <f aca="false">IFERROR(INDEX(资金流水!$N$5:$N$504,MATCH(ROW()-8,资金流水!$V$5:$V$504,0)),"")</f>
        <v/>
      </c>
      <c r="K95" s="35" t="str">
        <f aca="false">IFERROR(INDEX(资金流水!$J$5:$J$504,MATCH(ROW()-8,资金流水!$V$5:$V$504,0)),"")</f>
        <v/>
      </c>
      <c r="L95" s="42" t="str">
        <f aca="false">IFERROR(INDEX(资金流水!$I$5:$I$504,MATCH(ROW()-8,资金流水!$V$5:$V$504,0)),"")</f>
        <v/>
      </c>
      <c r="M95" s="42" t="str">
        <f aca="false">IFERROR(INDEX(资金流水!$H$5:$H$504,MATCH(ROW()-8,资金流水!$V$5:$V$504,0)),"")</f>
        <v/>
      </c>
    </row>
    <row r="96" customFormat="false" ht="15.75" hidden="false" customHeight="true" outlineLevel="0" collapsed="false">
      <c r="A96" s="76" t="str">
        <f aca="false">IFERROR(INDEX(销售录入!$B$5:$B$404,MATCH(ROW()-8,销售录入!$AE$5:$AE$404,0)),"")</f>
        <v/>
      </c>
      <c r="B96" s="35" t="str">
        <f aca="false">IFERROR(INDEX(销售录入!$E$5:$E$404,MATCH(ROW()-8,销售录入!$AE$5:$AE$404,0)),"")</f>
        <v/>
      </c>
      <c r="C96" s="64" t="str">
        <f aca="false">IFERROR(INDEX(销售录入!$F$5:$F$404,MATCH(ROW()-8,销售录入!$AE$5:$AE$404,0)),"")</f>
        <v/>
      </c>
      <c r="D96" s="54" t="str">
        <f aca="false">IFERROR(INDEX(销售录入!$G$5:$G$404,MATCH(ROW()-8,销售录入!$AE$5:$AE$404,0)),"")</f>
        <v/>
      </c>
      <c r="E96" s="54" t="str">
        <f aca="false">IFERROR(INDEX(销售录入!$Q$5:$Q$404,MATCH(ROW()-8,销售录入!$AE$5:$AE$404,0)),"")</f>
        <v/>
      </c>
      <c r="F96" s="76" t="str">
        <f aca="false">IFERROR(INDEX(销售录入!$U$5:$U$404,MATCH(ROW()-8,销售录入!$AE$5:$AE$404,0)),"")</f>
        <v/>
      </c>
      <c r="H96" s="76" t="str">
        <f aca="false">IFERROR(INDEX(资金流水!$B$5:$B$504,MATCH(ROW()-8,资金流水!$V$5:$V$504,0)),"")</f>
        <v/>
      </c>
      <c r="I96" s="42" t="str">
        <f aca="false">IFERROR(INDEX(资金流水!$F$5:$F$504,MATCH(ROW()-8,资金流水!$V$5:$V$504,0)),"")</f>
        <v/>
      </c>
      <c r="J96" s="54" t="str">
        <f aca="false">IFERROR(INDEX(资金流水!$N$5:$N$504,MATCH(ROW()-8,资金流水!$V$5:$V$504,0)),"")</f>
        <v/>
      </c>
      <c r="K96" s="35" t="str">
        <f aca="false">IFERROR(INDEX(资金流水!$J$5:$J$504,MATCH(ROW()-8,资金流水!$V$5:$V$504,0)),"")</f>
        <v/>
      </c>
      <c r="L96" s="42" t="str">
        <f aca="false">IFERROR(INDEX(资金流水!$I$5:$I$504,MATCH(ROW()-8,资金流水!$V$5:$V$504,0)),"")</f>
        <v/>
      </c>
      <c r="M96" s="42" t="str">
        <f aca="false">IFERROR(INDEX(资金流水!$H$5:$H$504,MATCH(ROW()-8,资金流水!$V$5:$V$504,0)),"")</f>
        <v/>
      </c>
    </row>
    <row r="97" customFormat="false" ht="15.75" hidden="false" customHeight="true" outlineLevel="0" collapsed="false">
      <c r="A97" s="76" t="str">
        <f aca="false">IFERROR(INDEX(销售录入!$B$5:$B$404,MATCH(ROW()-8,销售录入!$AE$5:$AE$404,0)),"")</f>
        <v/>
      </c>
      <c r="B97" s="35" t="str">
        <f aca="false">IFERROR(INDEX(销售录入!$E$5:$E$404,MATCH(ROW()-8,销售录入!$AE$5:$AE$404,0)),"")</f>
        <v/>
      </c>
      <c r="C97" s="64" t="str">
        <f aca="false">IFERROR(INDEX(销售录入!$F$5:$F$404,MATCH(ROW()-8,销售录入!$AE$5:$AE$404,0)),"")</f>
        <v/>
      </c>
      <c r="D97" s="54" t="str">
        <f aca="false">IFERROR(INDEX(销售录入!$G$5:$G$404,MATCH(ROW()-8,销售录入!$AE$5:$AE$404,0)),"")</f>
        <v/>
      </c>
      <c r="E97" s="54" t="str">
        <f aca="false">IFERROR(INDEX(销售录入!$Q$5:$Q$404,MATCH(ROW()-8,销售录入!$AE$5:$AE$404,0)),"")</f>
        <v/>
      </c>
      <c r="F97" s="76" t="str">
        <f aca="false">IFERROR(INDEX(销售录入!$U$5:$U$404,MATCH(ROW()-8,销售录入!$AE$5:$AE$404,0)),"")</f>
        <v/>
      </c>
      <c r="H97" s="76" t="str">
        <f aca="false">IFERROR(INDEX(资金流水!$B$5:$B$504,MATCH(ROW()-8,资金流水!$V$5:$V$504,0)),"")</f>
        <v/>
      </c>
      <c r="I97" s="42" t="str">
        <f aca="false">IFERROR(INDEX(资金流水!$F$5:$F$504,MATCH(ROW()-8,资金流水!$V$5:$V$504,0)),"")</f>
        <v/>
      </c>
      <c r="J97" s="54" t="str">
        <f aca="false">IFERROR(INDEX(资金流水!$N$5:$N$504,MATCH(ROW()-8,资金流水!$V$5:$V$504,0)),"")</f>
        <v/>
      </c>
      <c r="K97" s="35" t="str">
        <f aca="false">IFERROR(INDEX(资金流水!$J$5:$J$504,MATCH(ROW()-8,资金流水!$V$5:$V$504,0)),"")</f>
        <v/>
      </c>
      <c r="L97" s="42" t="str">
        <f aca="false">IFERROR(INDEX(资金流水!$I$5:$I$504,MATCH(ROW()-8,资金流水!$V$5:$V$504,0)),"")</f>
        <v/>
      </c>
      <c r="M97" s="42" t="str">
        <f aca="false">IFERROR(INDEX(资金流水!$H$5:$H$504,MATCH(ROW()-8,资金流水!$V$5:$V$504,0)),"")</f>
        <v/>
      </c>
    </row>
    <row r="98" customFormat="false" ht="15.75" hidden="false" customHeight="true" outlineLevel="0" collapsed="false">
      <c r="A98" s="76" t="str">
        <f aca="false">IFERROR(INDEX(销售录入!$B$5:$B$404,MATCH(ROW()-8,销售录入!$AE$5:$AE$404,0)),"")</f>
        <v/>
      </c>
      <c r="B98" s="35" t="str">
        <f aca="false">IFERROR(INDEX(销售录入!$E$5:$E$404,MATCH(ROW()-8,销售录入!$AE$5:$AE$404,0)),"")</f>
        <v/>
      </c>
      <c r="C98" s="64" t="str">
        <f aca="false">IFERROR(INDEX(销售录入!$F$5:$F$404,MATCH(ROW()-8,销售录入!$AE$5:$AE$404,0)),"")</f>
        <v/>
      </c>
      <c r="D98" s="54" t="str">
        <f aca="false">IFERROR(INDEX(销售录入!$G$5:$G$404,MATCH(ROW()-8,销售录入!$AE$5:$AE$404,0)),"")</f>
        <v/>
      </c>
      <c r="E98" s="54" t="str">
        <f aca="false">IFERROR(INDEX(销售录入!$Q$5:$Q$404,MATCH(ROW()-8,销售录入!$AE$5:$AE$404,0)),"")</f>
        <v/>
      </c>
      <c r="F98" s="76" t="str">
        <f aca="false">IFERROR(INDEX(销售录入!$U$5:$U$404,MATCH(ROW()-8,销售录入!$AE$5:$AE$404,0)),"")</f>
        <v/>
      </c>
      <c r="H98" s="76" t="str">
        <f aca="false">IFERROR(INDEX(资金流水!$B$5:$B$504,MATCH(ROW()-8,资金流水!$V$5:$V$504,0)),"")</f>
        <v/>
      </c>
      <c r="I98" s="42" t="str">
        <f aca="false">IFERROR(INDEX(资金流水!$F$5:$F$504,MATCH(ROW()-8,资金流水!$V$5:$V$504,0)),"")</f>
        <v/>
      </c>
      <c r="J98" s="54" t="str">
        <f aca="false">IFERROR(INDEX(资金流水!$N$5:$N$504,MATCH(ROW()-8,资金流水!$V$5:$V$504,0)),"")</f>
        <v/>
      </c>
      <c r="K98" s="35" t="str">
        <f aca="false">IFERROR(INDEX(资金流水!$J$5:$J$504,MATCH(ROW()-8,资金流水!$V$5:$V$504,0)),"")</f>
        <v/>
      </c>
      <c r="L98" s="42" t="str">
        <f aca="false">IFERROR(INDEX(资金流水!$I$5:$I$504,MATCH(ROW()-8,资金流水!$V$5:$V$504,0)),"")</f>
        <v/>
      </c>
      <c r="M98" s="42" t="str">
        <f aca="false">IFERROR(INDEX(资金流水!$H$5:$H$504,MATCH(ROW()-8,资金流水!$V$5:$V$504,0)),"")</f>
        <v/>
      </c>
    </row>
    <row r="99" customFormat="false" ht="15.75" hidden="false" customHeight="true" outlineLevel="0" collapsed="false">
      <c r="A99" s="76" t="str">
        <f aca="false">IFERROR(INDEX(销售录入!$B$5:$B$404,MATCH(ROW()-8,销售录入!$AE$5:$AE$404,0)),"")</f>
        <v/>
      </c>
      <c r="B99" s="35" t="str">
        <f aca="false">IFERROR(INDEX(销售录入!$E$5:$E$404,MATCH(ROW()-8,销售录入!$AE$5:$AE$404,0)),"")</f>
        <v/>
      </c>
      <c r="C99" s="64" t="str">
        <f aca="false">IFERROR(INDEX(销售录入!$F$5:$F$404,MATCH(ROW()-8,销售录入!$AE$5:$AE$404,0)),"")</f>
        <v/>
      </c>
      <c r="D99" s="54" t="str">
        <f aca="false">IFERROR(INDEX(销售录入!$G$5:$G$404,MATCH(ROW()-8,销售录入!$AE$5:$AE$404,0)),"")</f>
        <v/>
      </c>
      <c r="E99" s="54" t="str">
        <f aca="false">IFERROR(INDEX(销售录入!$Q$5:$Q$404,MATCH(ROW()-8,销售录入!$AE$5:$AE$404,0)),"")</f>
        <v/>
      </c>
      <c r="F99" s="76" t="str">
        <f aca="false">IFERROR(INDEX(销售录入!$U$5:$U$404,MATCH(ROW()-8,销售录入!$AE$5:$AE$404,0)),"")</f>
        <v/>
      </c>
      <c r="H99" s="76" t="str">
        <f aca="false">IFERROR(INDEX(资金流水!$B$5:$B$504,MATCH(ROW()-8,资金流水!$V$5:$V$504,0)),"")</f>
        <v/>
      </c>
      <c r="I99" s="42" t="str">
        <f aca="false">IFERROR(INDEX(资金流水!$F$5:$F$504,MATCH(ROW()-8,资金流水!$V$5:$V$504,0)),"")</f>
        <v/>
      </c>
      <c r="J99" s="54" t="str">
        <f aca="false">IFERROR(INDEX(资金流水!$N$5:$N$504,MATCH(ROW()-8,资金流水!$V$5:$V$504,0)),"")</f>
        <v/>
      </c>
      <c r="K99" s="35" t="str">
        <f aca="false">IFERROR(INDEX(资金流水!$J$5:$J$504,MATCH(ROW()-8,资金流水!$V$5:$V$504,0)),"")</f>
        <v/>
      </c>
      <c r="L99" s="42" t="str">
        <f aca="false">IFERROR(INDEX(资金流水!$I$5:$I$504,MATCH(ROW()-8,资金流水!$V$5:$V$504,0)),"")</f>
        <v/>
      </c>
      <c r="M99" s="42" t="str">
        <f aca="false">IFERROR(INDEX(资金流水!$H$5:$H$504,MATCH(ROW()-8,资金流水!$V$5:$V$504,0)),"")</f>
        <v/>
      </c>
    </row>
    <row r="100" customFormat="false" ht="15.75" hidden="false" customHeight="true" outlineLevel="0" collapsed="false">
      <c r="A100" s="76" t="str">
        <f aca="false">IFERROR(INDEX(销售录入!$B$5:$B$404,MATCH(ROW()-8,销售录入!$AE$5:$AE$404,0)),"")</f>
        <v/>
      </c>
      <c r="B100" s="35" t="str">
        <f aca="false">IFERROR(INDEX(销售录入!$E$5:$E$404,MATCH(ROW()-8,销售录入!$AE$5:$AE$404,0)),"")</f>
        <v/>
      </c>
      <c r="C100" s="64" t="str">
        <f aca="false">IFERROR(INDEX(销售录入!$F$5:$F$404,MATCH(ROW()-8,销售录入!$AE$5:$AE$404,0)),"")</f>
        <v/>
      </c>
      <c r="D100" s="54" t="str">
        <f aca="false">IFERROR(INDEX(销售录入!$G$5:$G$404,MATCH(ROW()-8,销售录入!$AE$5:$AE$404,0)),"")</f>
        <v/>
      </c>
      <c r="E100" s="54" t="str">
        <f aca="false">IFERROR(INDEX(销售录入!$Q$5:$Q$404,MATCH(ROW()-8,销售录入!$AE$5:$AE$404,0)),"")</f>
        <v/>
      </c>
      <c r="F100" s="76" t="str">
        <f aca="false">IFERROR(INDEX(销售录入!$U$5:$U$404,MATCH(ROW()-8,销售录入!$AE$5:$AE$404,0)),"")</f>
        <v/>
      </c>
      <c r="H100" s="76" t="str">
        <f aca="false">IFERROR(INDEX(资金流水!$B$5:$B$504,MATCH(ROW()-8,资金流水!$V$5:$V$504,0)),"")</f>
        <v/>
      </c>
      <c r="I100" s="42" t="str">
        <f aca="false">IFERROR(INDEX(资金流水!$F$5:$F$504,MATCH(ROW()-8,资金流水!$V$5:$V$504,0)),"")</f>
        <v/>
      </c>
      <c r="J100" s="54" t="str">
        <f aca="false">IFERROR(INDEX(资金流水!$N$5:$N$504,MATCH(ROW()-8,资金流水!$V$5:$V$504,0)),"")</f>
        <v/>
      </c>
      <c r="K100" s="35" t="str">
        <f aca="false">IFERROR(INDEX(资金流水!$J$5:$J$504,MATCH(ROW()-8,资金流水!$V$5:$V$504,0)),"")</f>
        <v/>
      </c>
      <c r="L100" s="42" t="str">
        <f aca="false">IFERROR(INDEX(资金流水!$I$5:$I$504,MATCH(ROW()-8,资金流水!$V$5:$V$504,0)),"")</f>
        <v/>
      </c>
      <c r="M100" s="42" t="str">
        <f aca="false">IFERROR(INDEX(资金流水!$H$5:$H$504,MATCH(ROW()-8,资金流水!$V$5:$V$504,0)),"")</f>
        <v/>
      </c>
    </row>
    <row r="101" customFormat="false" ht="15.75" hidden="false" customHeight="true" outlineLevel="0" collapsed="false">
      <c r="A101" s="76" t="str">
        <f aca="false">IFERROR(INDEX(销售录入!$B$5:$B$404,MATCH(ROW()-8,销售录入!$AE$5:$AE$404,0)),"")</f>
        <v/>
      </c>
      <c r="B101" s="35" t="str">
        <f aca="false">IFERROR(INDEX(销售录入!$E$5:$E$404,MATCH(ROW()-8,销售录入!$AE$5:$AE$404,0)),"")</f>
        <v/>
      </c>
      <c r="C101" s="64" t="str">
        <f aca="false">IFERROR(INDEX(销售录入!$F$5:$F$404,MATCH(ROW()-8,销售录入!$AE$5:$AE$404,0)),"")</f>
        <v/>
      </c>
      <c r="D101" s="54" t="str">
        <f aca="false">IFERROR(INDEX(销售录入!$G$5:$G$404,MATCH(ROW()-8,销售录入!$AE$5:$AE$404,0)),"")</f>
        <v/>
      </c>
      <c r="E101" s="54" t="str">
        <f aca="false">IFERROR(INDEX(销售录入!$Q$5:$Q$404,MATCH(ROW()-8,销售录入!$AE$5:$AE$404,0)),"")</f>
        <v/>
      </c>
      <c r="F101" s="76" t="str">
        <f aca="false">IFERROR(INDEX(销售录入!$U$5:$U$404,MATCH(ROW()-8,销售录入!$AE$5:$AE$404,0)),"")</f>
        <v/>
      </c>
      <c r="H101" s="76" t="str">
        <f aca="false">IFERROR(INDEX(资金流水!$B$5:$B$504,MATCH(ROW()-8,资金流水!$V$5:$V$504,0)),"")</f>
        <v/>
      </c>
      <c r="I101" s="42" t="str">
        <f aca="false">IFERROR(INDEX(资金流水!$F$5:$F$504,MATCH(ROW()-8,资金流水!$V$5:$V$504,0)),"")</f>
        <v/>
      </c>
      <c r="J101" s="54" t="str">
        <f aca="false">IFERROR(INDEX(资金流水!$N$5:$N$504,MATCH(ROW()-8,资金流水!$V$5:$V$504,0)),"")</f>
        <v/>
      </c>
      <c r="K101" s="35" t="str">
        <f aca="false">IFERROR(INDEX(资金流水!$J$5:$J$504,MATCH(ROW()-8,资金流水!$V$5:$V$504,0)),"")</f>
        <v/>
      </c>
      <c r="L101" s="42" t="str">
        <f aca="false">IFERROR(INDEX(资金流水!$I$5:$I$504,MATCH(ROW()-8,资金流水!$V$5:$V$504,0)),"")</f>
        <v/>
      </c>
      <c r="M101" s="42" t="str">
        <f aca="false">IFERROR(INDEX(资金流水!$H$5:$H$504,MATCH(ROW()-8,资金流水!$V$5:$V$504,0)),"")</f>
        <v/>
      </c>
    </row>
    <row r="102" customFormat="false" ht="15.75" hidden="false" customHeight="true" outlineLevel="0" collapsed="false">
      <c r="A102" s="76" t="str">
        <f aca="false">IFERROR(INDEX(销售录入!$B$5:$B$404,MATCH(ROW()-8,销售录入!$AE$5:$AE$404,0)),"")</f>
        <v/>
      </c>
      <c r="B102" s="35" t="str">
        <f aca="false">IFERROR(INDEX(销售录入!$E$5:$E$404,MATCH(ROW()-8,销售录入!$AE$5:$AE$404,0)),"")</f>
        <v/>
      </c>
      <c r="C102" s="64" t="str">
        <f aca="false">IFERROR(INDEX(销售录入!$F$5:$F$404,MATCH(ROW()-8,销售录入!$AE$5:$AE$404,0)),"")</f>
        <v/>
      </c>
      <c r="D102" s="54" t="str">
        <f aca="false">IFERROR(INDEX(销售录入!$G$5:$G$404,MATCH(ROW()-8,销售录入!$AE$5:$AE$404,0)),"")</f>
        <v/>
      </c>
      <c r="E102" s="54" t="str">
        <f aca="false">IFERROR(INDEX(销售录入!$Q$5:$Q$404,MATCH(ROW()-8,销售录入!$AE$5:$AE$404,0)),"")</f>
        <v/>
      </c>
      <c r="F102" s="76" t="str">
        <f aca="false">IFERROR(INDEX(销售录入!$U$5:$U$404,MATCH(ROW()-8,销售录入!$AE$5:$AE$404,0)),"")</f>
        <v/>
      </c>
      <c r="H102" s="76" t="str">
        <f aca="false">IFERROR(INDEX(资金流水!$B$5:$B$504,MATCH(ROW()-8,资金流水!$V$5:$V$504,0)),"")</f>
        <v/>
      </c>
      <c r="I102" s="42" t="str">
        <f aca="false">IFERROR(INDEX(资金流水!$F$5:$F$504,MATCH(ROW()-8,资金流水!$V$5:$V$504,0)),"")</f>
        <v/>
      </c>
      <c r="J102" s="54" t="str">
        <f aca="false">IFERROR(INDEX(资金流水!$N$5:$N$504,MATCH(ROW()-8,资金流水!$V$5:$V$504,0)),"")</f>
        <v/>
      </c>
      <c r="K102" s="35" t="str">
        <f aca="false">IFERROR(INDEX(资金流水!$J$5:$J$504,MATCH(ROW()-8,资金流水!$V$5:$V$504,0)),"")</f>
        <v/>
      </c>
      <c r="L102" s="42" t="str">
        <f aca="false">IFERROR(INDEX(资金流水!$I$5:$I$504,MATCH(ROW()-8,资金流水!$V$5:$V$504,0)),"")</f>
        <v/>
      </c>
      <c r="M102" s="42" t="str">
        <f aca="false">IFERROR(INDEX(资金流水!$H$5:$H$504,MATCH(ROW()-8,资金流水!$V$5:$V$504,0)),"")</f>
        <v/>
      </c>
    </row>
    <row r="103" customFormat="false" ht="15.75" hidden="false" customHeight="true" outlineLevel="0" collapsed="false">
      <c r="A103" s="76" t="str">
        <f aca="false">IFERROR(INDEX(销售录入!$B$5:$B$404,MATCH(ROW()-8,销售录入!$AE$5:$AE$404,0)),"")</f>
        <v/>
      </c>
      <c r="B103" s="35" t="str">
        <f aca="false">IFERROR(INDEX(销售录入!$E$5:$E$404,MATCH(ROW()-8,销售录入!$AE$5:$AE$404,0)),"")</f>
        <v/>
      </c>
      <c r="C103" s="64" t="str">
        <f aca="false">IFERROR(INDEX(销售录入!$F$5:$F$404,MATCH(ROW()-8,销售录入!$AE$5:$AE$404,0)),"")</f>
        <v/>
      </c>
      <c r="D103" s="54" t="str">
        <f aca="false">IFERROR(INDEX(销售录入!$G$5:$G$404,MATCH(ROW()-8,销售录入!$AE$5:$AE$404,0)),"")</f>
        <v/>
      </c>
      <c r="E103" s="54" t="str">
        <f aca="false">IFERROR(INDEX(销售录入!$Q$5:$Q$404,MATCH(ROW()-8,销售录入!$AE$5:$AE$404,0)),"")</f>
        <v/>
      </c>
      <c r="F103" s="76" t="str">
        <f aca="false">IFERROR(INDEX(销售录入!$U$5:$U$404,MATCH(ROW()-8,销售录入!$AE$5:$AE$404,0)),"")</f>
        <v/>
      </c>
      <c r="H103" s="76" t="str">
        <f aca="false">IFERROR(INDEX(资金流水!$B$5:$B$504,MATCH(ROW()-8,资金流水!$V$5:$V$504,0)),"")</f>
        <v/>
      </c>
      <c r="I103" s="42" t="str">
        <f aca="false">IFERROR(INDEX(资金流水!$F$5:$F$504,MATCH(ROW()-8,资金流水!$V$5:$V$504,0)),"")</f>
        <v/>
      </c>
      <c r="J103" s="54" t="str">
        <f aca="false">IFERROR(INDEX(资金流水!$N$5:$N$504,MATCH(ROW()-8,资金流水!$V$5:$V$504,0)),"")</f>
        <v/>
      </c>
      <c r="K103" s="35" t="str">
        <f aca="false">IFERROR(INDEX(资金流水!$J$5:$J$504,MATCH(ROW()-8,资金流水!$V$5:$V$504,0)),"")</f>
        <v/>
      </c>
      <c r="L103" s="42" t="str">
        <f aca="false">IFERROR(INDEX(资金流水!$I$5:$I$504,MATCH(ROW()-8,资金流水!$V$5:$V$504,0)),"")</f>
        <v/>
      </c>
      <c r="M103" s="42" t="str">
        <f aca="false">IFERROR(INDEX(资金流水!$H$5:$H$504,MATCH(ROW()-8,资金流水!$V$5:$V$504,0)),"")</f>
        <v/>
      </c>
    </row>
    <row r="104" customFormat="false" ht="15.75" hidden="false" customHeight="true" outlineLevel="0" collapsed="false">
      <c r="A104" s="76" t="str">
        <f aca="false">IFERROR(INDEX(销售录入!$B$5:$B$404,MATCH(ROW()-8,销售录入!$AE$5:$AE$404,0)),"")</f>
        <v/>
      </c>
      <c r="B104" s="35" t="str">
        <f aca="false">IFERROR(INDEX(销售录入!$E$5:$E$404,MATCH(ROW()-8,销售录入!$AE$5:$AE$404,0)),"")</f>
        <v/>
      </c>
      <c r="C104" s="64" t="str">
        <f aca="false">IFERROR(INDEX(销售录入!$F$5:$F$404,MATCH(ROW()-8,销售录入!$AE$5:$AE$404,0)),"")</f>
        <v/>
      </c>
      <c r="D104" s="54" t="str">
        <f aca="false">IFERROR(INDEX(销售录入!$G$5:$G$404,MATCH(ROW()-8,销售录入!$AE$5:$AE$404,0)),"")</f>
        <v/>
      </c>
      <c r="E104" s="54" t="str">
        <f aca="false">IFERROR(INDEX(销售录入!$Q$5:$Q$404,MATCH(ROW()-8,销售录入!$AE$5:$AE$404,0)),"")</f>
        <v/>
      </c>
      <c r="F104" s="76" t="str">
        <f aca="false">IFERROR(INDEX(销售录入!$U$5:$U$404,MATCH(ROW()-8,销售录入!$AE$5:$AE$404,0)),"")</f>
        <v/>
      </c>
      <c r="H104" s="76" t="str">
        <f aca="false">IFERROR(INDEX(资金流水!$B$5:$B$504,MATCH(ROW()-8,资金流水!$V$5:$V$504,0)),"")</f>
        <v/>
      </c>
      <c r="I104" s="42" t="str">
        <f aca="false">IFERROR(INDEX(资金流水!$F$5:$F$504,MATCH(ROW()-8,资金流水!$V$5:$V$504,0)),"")</f>
        <v/>
      </c>
      <c r="J104" s="54" t="str">
        <f aca="false">IFERROR(INDEX(资金流水!$N$5:$N$504,MATCH(ROW()-8,资金流水!$V$5:$V$504,0)),"")</f>
        <v/>
      </c>
      <c r="K104" s="35" t="str">
        <f aca="false">IFERROR(INDEX(资金流水!$J$5:$J$504,MATCH(ROW()-8,资金流水!$V$5:$V$504,0)),"")</f>
        <v/>
      </c>
      <c r="L104" s="42" t="str">
        <f aca="false">IFERROR(INDEX(资金流水!$I$5:$I$504,MATCH(ROW()-8,资金流水!$V$5:$V$504,0)),"")</f>
        <v/>
      </c>
      <c r="M104" s="42" t="str">
        <f aca="false">IFERROR(INDEX(资金流水!$H$5:$H$504,MATCH(ROW()-8,资金流水!$V$5:$V$504,0)),"")</f>
        <v/>
      </c>
    </row>
    <row r="105" customFormat="false" ht="15.75" hidden="false" customHeight="true" outlineLevel="0" collapsed="false">
      <c r="A105" s="76" t="str">
        <f aca="false">IFERROR(INDEX(销售录入!$B$5:$B$404,MATCH(ROW()-8,销售录入!$AE$5:$AE$404,0)),"")</f>
        <v/>
      </c>
      <c r="B105" s="35" t="str">
        <f aca="false">IFERROR(INDEX(销售录入!$E$5:$E$404,MATCH(ROW()-8,销售录入!$AE$5:$AE$404,0)),"")</f>
        <v/>
      </c>
      <c r="C105" s="64" t="str">
        <f aca="false">IFERROR(INDEX(销售录入!$F$5:$F$404,MATCH(ROW()-8,销售录入!$AE$5:$AE$404,0)),"")</f>
        <v/>
      </c>
      <c r="D105" s="54" t="str">
        <f aca="false">IFERROR(INDEX(销售录入!$G$5:$G$404,MATCH(ROW()-8,销售录入!$AE$5:$AE$404,0)),"")</f>
        <v/>
      </c>
      <c r="E105" s="54" t="str">
        <f aca="false">IFERROR(INDEX(销售录入!$Q$5:$Q$404,MATCH(ROW()-8,销售录入!$AE$5:$AE$404,0)),"")</f>
        <v/>
      </c>
      <c r="F105" s="76" t="str">
        <f aca="false">IFERROR(INDEX(销售录入!$U$5:$U$404,MATCH(ROW()-8,销售录入!$AE$5:$AE$404,0)),"")</f>
        <v/>
      </c>
      <c r="H105" s="76" t="str">
        <f aca="false">IFERROR(INDEX(资金流水!$B$5:$B$504,MATCH(ROW()-8,资金流水!$V$5:$V$504,0)),"")</f>
        <v/>
      </c>
      <c r="I105" s="42" t="str">
        <f aca="false">IFERROR(INDEX(资金流水!$F$5:$F$504,MATCH(ROW()-8,资金流水!$V$5:$V$504,0)),"")</f>
        <v/>
      </c>
      <c r="J105" s="54" t="str">
        <f aca="false">IFERROR(INDEX(资金流水!$N$5:$N$504,MATCH(ROW()-8,资金流水!$V$5:$V$504,0)),"")</f>
        <v/>
      </c>
      <c r="K105" s="35" t="str">
        <f aca="false">IFERROR(INDEX(资金流水!$J$5:$J$504,MATCH(ROW()-8,资金流水!$V$5:$V$504,0)),"")</f>
        <v/>
      </c>
      <c r="L105" s="42" t="str">
        <f aca="false">IFERROR(INDEX(资金流水!$I$5:$I$504,MATCH(ROW()-8,资金流水!$V$5:$V$504,0)),"")</f>
        <v/>
      </c>
      <c r="M105" s="42" t="str">
        <f aca="false">IFERROR(INDEX(资金流水!$H$5:$H$504,MATCH(ROW()-8,资金流水!$V$5:$V$504,0)),"")</f>
        <v/>
      </c>
    </row>
    <row r="106" customFormat="false" ht="15.75" hidden="false" customHeight="true" outlineLevel="0" collapsed="false">
      <c r="A106" s="76" t="str">
        <f aca="false">IFERROR(INDEX(销售录入!$B$5:$B$404,MATCH(ROW()-8,销售录入!$AE$5:$AE$404,0)),"")</f>
        <v/>
      </c>
      <c r="B106" s="35" t="str">
        <f aca="false">IFERROR(INDEX(销售录入!$E$5:$E$404,MATCH(ROW()-8,销售录入!$AE$5:$AE$404,0)),"")</f>
        <v/>
      </c>
      <c r="C106" s="64" t="str">
        <f aca="false">IFERROR(INDEX(销售录入!$F$5:$F$404,MATCH(ROW()-8,销售录入!$AE$5:$AE$404,0)),"")</f>
        <v/>
      </c>
      <c r="D106" s="54" t="str">
        <f aca="false">IFERROR(INDEX(销售录入!$G$5:$G$404,MATCH(ROW()-8,销售录入!$AE$5:$AE$404,0)),"")</f>
        <v/>
      </c>
      <c r="E106" s="54" t="str">
        <f aca="false">IFERROR(INDEX(销售录入!$Q$5:$Q$404,MATCH(ROW()-8,销售录入!$AE$5:$AE$404,0)),"")</f>
        <v/>
      </c>
      <c r="F106" s="76" t="str">
        <f aca="false">IFERROR(INDEX(销售录入!$U$5:$U$404,MATCH(ROW()-8,销售录入!$AE$5:$AE$404,0)),"")</f>
        <v/>
      </c>
      <c r="H106" s="76" t="str">
        <f aca="false">IFERROR(INDEX(资金流水!$B$5:$B$504,MATCH(ROW()-8,资金流水!$V$5:$V$504,0)),"")</f>
        <v/>
      </c>
      <c r="I106" s="42" t="str">
        <f aca="false">IFERROR(INDEX(资金流水!$F$5:$F$504,MATCH(ROW()-8,资金流水!$V$5:$V$504,0)),"")</f>
        <v/>
      </c>
      <c r="J106" s="54" t="str">
        <f aca="false">IFERROR(INDEX(资金流水!$N$5:$N$504,MATCH(ROW()-8,资金流水!$V$5:$V$504,0)),"")</f>
        <v/>
      </c>
      <c r="K106" s="35" t="str">
        <f aca="false">IFERROR(INDEX(资金流水!$J$5:$J$504,MATCH(ROW()-8,资金流水!$V$5:$V$504,0)),"")</f>
        <v/>
      </c>
      <c r="L106" s="42" t="str">
        <f aca="false">IFERROR(INDEX(资金流水!$I$5:$I$504,MATCH(ROW()-8,资金流水!$V$5:$V$504,0)),"")</f>
        <v/>
      </c>
      <c r="M106" s="42" t="str">
        <f aca="false">IFERROR(INDEX(资金流水!$H$5:$H$504,MATCH(ROW()-8,资金流水!$V$5:$V$504,0)),"")</f>
        <v/>
      </c>
    </row>
    <row r="107" customFormat="false" ht="15.75" hidden="false" customHeight="true" outlineLevel="0" collapsed="false">
      <c r="A107" s="76" t="str">
        <f aca="false">IFERROR(INDEX(销售录入!$B$5:$B$404,MATCH(ROW()-8,销售录入!$AE$5:$AE$404,0)),"")</f>
        <v/>
      </c>
      <c r="B107" s="35" t="str">
        <f aca="false">IFERROR(INDEX(销售录入!$E$5:$E$404,MATCH(ROW()-8,销售录入!$AE$5:$AE$404,0)),"")</f>
        <v/>
      </c>
      <c r="C107" s="64" t="str">
        <f aca="false">IFERROR(INDEX(销售录入!$F$5:$F$404,MATCH(ROW()-8,销售录入!$AE$5:$AE$404,0)),"")</f>
        <v/>
      </c>
      <c r="D107" s="54" t="str">
        <f aca="false">IFERROR(INDEX(销售录入!$G$5:$G$404,MATCH(ROW()-8,销售录入!$AE$5:$AE$404,0)),"")</f>
        <v/>
      </c>
      <c r="E107" s="54" t="str">
        <f aca="false">IFERROR(INDEX(销售录入!$Q$5:$Q$404,MATCH(ROW()-8,销售录入!$AE$5:$AE$404,0)),"")</f>
        <v/>
      </c>
      <c r="F107" s="76" t="str">
        <f aca="false">IFERROR(INDEX(销售录入!$U$5:$U$404,MATCH(ROW()-8,销售录入!$AE$5:$AE$404,0)),"")</f>
        <v/>
      </c>
      <c r="H107" s="76" t="str">
        <f aca="false">IFERROR(INDEX(资金流水!$B$5:$B$504,MATCH(ROW()-8,资金流水!$V$5:$V$504,0)),"")</f>
        <v/>
      </c>
      <c r="I107" s="42" t="str">
        <f aca="false">IFERROR(INDEX(资金流水!$F$5:$F$504,MATCH(ROW()-8,资金流水!$V$5:$V$504,0)),"")</f>
        <v/>
      </c>
      <c r="J107" s="54" t="str">
        <f aca="false">IFERROR(INDEX(资金流水!$N$5:$N$504,MATCH(ROW()-8,资金流水!$V$5:$V$504,0)),"")</f>
        <v/>
      </c>
      <c r="K107" s="35" t="str">
        <f aca="false">IFERROR(INDEX(资金流水!$J$5:$J$504,MATCH(ROW()-8,资金流水!$V$5:$V$504,0)),"")</f>
        <v/>
      </c>
      <c r="L107" s="42" t="str">
        <f aca="false">IFERROR(INDEX(资金流水!$I$5:$I$504,MATCH(ROW()-8,资金流水!$V$5:$V$504,0)),"")</f>
        <v/>
      </c>
      <c r="M107" s="42" t="str">
        <f aca="false">IFERROR(INDEX(资金流水!$H$5:$H$504,MATCH(ROW()-8,资金流水!$V$5:$V$504,0)),"")</f>
        <v/>
      </c>
    </row>
    <row r="108" customFormat="false" ht="15.75" hidden="false" customHeight="true" outlineLevel="0" collapsed="false">
      <c r="A108" s="76" t="str">
        <f aca="false">IFERROR(INDEX(销售录入!$B$5:$B$404,MATCH(ROW()-8,销售录入!$AE$5:$AE$404,0)),"")</f>
        <v/>
      </c>
      <c r="B108" s="35" t="str">
        <f aca="false">IFERROR(INDEX(销售录入!$E$5:$E$404,MATCH(ROW()-8,销售录入!$AE$5:$AE$404,0)),"")</f>
        <v/>
      </c>
      <c r="C108" s="64" t="str">
        <f aca="false">IFERROR(INDEX(销售录入!$F$5:$F$404,MATCH(ROW()-8,销售录入!$AE$5:$AE$404,0)),"")</f>
        <v/>
      </c>
      <c r="D108" s="54" t="str">
        <f aca="false">IFERROR(INDEX(销售录入!$G$5:$G$404,MATCH(ROW()-8,销售录入!$AE$5:$AE$404,0)),"")</f>
        <v/>
      </c>
      <c r="E108" s="54" t="str">
        <f aca="false">IFERROR(INDEX(销售录入!$Q$5:$Q$404,MATCH(ROW()-8,销售录入!$AE$5:$AE$404,0)),"")</f>
        <v/>
      </c>
      <c r="F108" s="76" t="str">
        <f aca="false">IFERROR(INDEX(销售录入!$U$5:$U$404,MATCH(ROW()-8,销售录入!$AE$5:$AE$404,0)),"")</f>
        <v/>
      </c>
      <c r="H108" s="76" t="str">
        <f aca="false">IFERROR(INDEX(资金流水!$B$5:$B$504,MATCH(ROW()-8,资金流水!$V$5:$V$504,0)),"")</f>
        <v/>
      </c>
      <c r="I108" s="42" t="str">
        <f aca="false">IFERROR(INDEX(资金流水!$F$5:$F$504,MATCH(ROW()-8,资金流水!$V$5:$V$504,0)),"")</f>
        <v/>
      </c>
      <c r="J108" s="54" t="str">
        <f aca="false">IFERROR(INDEX(资金流水!$N$5:$N$504,MATCH(ROW()-8,资金流水!$V$5:$V$504,0)),"")</f>
        <v/>
      </c>
      <c r="K108" s="35" t="str">
        <f aca="false">IFERROR(INDEX(资金流水!$J$5:$J$504,MATCH(ROW()-8,资金流水!$V$5:$V$504,0)),"")</f>
        <v/>
      </c>
      <c r="L108" s="42" t="str">
        <f aca="false">IFERROR(INDEX(资金流水!$I$5:$I$504,MATCH(ROW()-8,资金流水!$V$5:$V$504,0)),"")</f>
        <v/>
      </c>
      <c r="M108" s="42" t="str">
        <f aca="false">IFERROR(INDEX(资金流水!$H$5:$H$504,MATCH(ROW()-8,资金流水!$V$5:$V$504,0)),"")</f>
        <v/>
      </c>
    </row>
    <row r="109" customFormat="false" ht="15" hidden="false" customHeight="false" outlineLevel="0" collapsed="false">
      <c r="A109" s="55" t="s">
        <v>817</v>
      </c>
      <c r="B109" s="55"/>
      <c r="C109" s="55"/>
      <c r="D109" s="55"/>
      <c r="E109" s="39" t="n">
        <f aca="false">SUM(E9:E108)</f>
        <v>18080</v>
      </c>
      <c r="F109" s="55"/>
      <c r="H109" s="55" t="s">
        <v>817</v>
      </c>
      <c r="I109" s="55"/>
      <c r="J109" s="39" t="n">
        <f aca="false">SUM(J9:J108)</f>
        <v>50000</v>
      </c>
      <c r="K109" s="55"/>
      <c r="L109" s="55"/>
      <c r="M109" s="55"/>
    </row>
    <row r="111" customFormat="false" ht="15" hidden="false" customHeight="true" outlineLevel="0" collapsed="false">
      <c r="A111" s="6" t="s">
        <v>818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customFormat="false" ht="15" hidden="false" customHeight="true" outlineLevel="0" collapsed="false">
      <c r="A112" s="6" t="s">
        <v>819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</sheetData>
  <mergeCells count="7">
    <mergeCell ref="A1:M1"/>
    <mergeCell ref="A2:M2"/>
    <mergeCell ref="K3:M3"/>
    <mergeCell ref="A7:F7"/>
    <mergeCell ref="H7:M7"/>
    <mergeCell ref="A111:M111"/>
    <mergeCell ref="A112:M112"/>
  </mergeCells>
  <dataValidations count="1">
    <dataValidation allowBlank="true" error="必须选择下拉中已维护的值，手工输入会导致取数错位" errorStyle="stop" errorTitle="请从下拉中选择" operator="between" showDropDown="false" showErrorMessage="true" showInputMessage="false" sqref="B3" type="list">
      <formula1>基础资料!$Z$6:$Z$155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M112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20"/>
    <col collapsed="false" customWidth="true" hidden="false" outlineLevel="0" max="13" min="12" style="0" width="11"/>
  </cols>
  <sheetData>
    <row r="1" customFormat="false" ht="25.5" hidden="false" customHeight="true" outlineLevel="0" collapsed="false">
      <c r="A1" s="23" t="s">
        <v>820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customFormat="false" ht="15" hidden="false" customHeight="true" outlineLevel="0" collapsed="false">
      <c r="A2" s="6" t="s">
        <v>821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customFormat="false" ht="52.2" hidden="false" customHeight="true" outlineLevel="0" collapsed="false">
      <c r="A3" s="3" t="s">
        <v>206</v>
      </c>
      <c r="B3" s="74" t="s">
        <v>448</v>
      </c>
      <c r="D3" s="3" t="s">
        <v>805</v>
      </c>
      <c r="E3" s="75" t="n">
        <f aca="false">首页!$B$6</f>
        <v>46023</v>
      </c>
      <c r="G3" s="3" t="s">
        <v>806</v>
      </c>
      <c r="H3" s="75" t="n">
        <f aca="false">首页!$B$7</f>
        <v>46053</v>
      </c>
      <c r="J3" s="3" t="s">
        <v>807</v>
      </c>
      <c r="K3" s="32" t="s">
        <v>808</v>
      </c>
      <c r="L3" s="32"/>
      <c r="M3" s="32"/>
    </row>
    <row r="5" customFormat="false" ht="27.75" hidden="false" customHeight="true" outlineLevel="0" collapsed="false">
      <c r="A5" s="55" t="s">
        <v>498</v>
      </c>
      <c r="B5" s="72" t="n">
        <f aca="false">SUMIFS(期初数据!$L$6:$L$155,期初数据!$J$6:$J$155,$B$3,期初数据!$K$6:$K$155,"&lt;"&amp;$E$3)+SUMIFS(采购录入!$S$5:$S$404,采购录入!$D$5:$D$404,$B$3,采购录入!$B$5:$B$404,"&lt;"&amp;$E$3)-SUMIFS(资金流水!$N$5:$N$504,资金流水!$G$5:$G$504,$B$3,资金流水!$E$5:$E$504,"供应商付款",资金流水!$B$5:$B$504,"&lt;"&amp;$E$3)</f>
        <v>40000</v>
      </c>
      <c r="C5" s="55"/>
      <c r="D5" s="55" t="s">
        <v>822</v>
      </c>
      <c r="E5" s="72" t="n">
        <f aca="false">SUMIFS(采购录入!$S$5:$S$404,采购录入!$D$5:$D$404,$B$3,采购录入!$B$5:$B$404,"&gt;="&amp;$E$3,采购录入!$B$5:$B$404,"&lt;="&amp;$H$3)</f>
        <v>14125</v>
      </c>
      <c r="F5" s="55"/>
      <c r="G5" s="55" t="s">
        <v>823</v>
      </c>
      <c r="H5" s="72" t="n">
        <f aca="false">SUMIFS(资金流水!$N$5:$N$504,资金流水!$G$5:$G$504,$B$3,资金流水!$E$5:$E$504,"供应商付款",资金流水!$B$5:$B$504,"&gt;="&amp;$E$3,资金流水!$B$5:$B$504,"&lt;="&amp;$H$3)</f>
        <v>40000</v>
      </c>
      <c r="I5" s="55"/>
      <c r="J5" s="55" t="s">
        <v>793</v>
      </c>
      <c r="K5" s="72" t="n">
        <f aca="false">$B$5+$E$5-$H$5</f>
        <v>14125</v>
      </c>
      <c r="L5" s="55"/>
      <c r="M5" s="55"/>
    </row>
    <row r="7" customFormat="false" ht="15" hidden="false" customHeight="true" outlineLevel="0" collapsed="false">
      <c r="A7" s="30" t="s">
        <v>824</v>
      </c>
      <c r="B7" s="30"/>
      <c r="C7" s="30"/>
      <c r="D7" s="30"/>
      <c r="E7" s="30"/>
      <c r="F7" s="30"/>
      <c r="H7" s="30" t="s">
        <v>825</v>
      </c>
      <c r="I7" s="30"/>
      <c r="J7" s="30"/>
      <c r="K7" s="30"/>
      <c r="L7" s="30"/>
      <c r="M7" s="30"/>
    </row>
    <row r="8" customFormat="false" ht="30" hidden="false" customHeight="true" outlineLevel="0" collapsed="false">
      <c r="A8" s="45" t="s">
        <v>512</v>
      </c>
      <c r="B8" s="45" t="s">
        <v>813</v>
      </c>
      <c r="C8" s="45" t="s">
        <v>537</v>
      </c>
      <c r="D8" s="45" t="s">
        <v>814</v>
      </c>
      <c r="E8" s="45" t="s">
        <v>542</v>
      </c>
      <c r="F8" s="45" t="s">
        <v>545</v>
      </c>
      <c r="H8" s="45" t="s">
        <v>512</v>
      </c>
      <c r="I8" s="45" t="s">
        <v>826</v>
      </c>
      <c r="J8" s="45" t="s">
        <v>572</v>
      </c>
      <c r="K8" s="45" t="s">
        <v>515</v>
      </c>
      <c r="L8" s="45" t="s">
        <v>816</v>
      </c>
      <c r="M8" s="45" t="s">
        <v>374</v>
      </c>
    </row>
    <row r="9" customFormat="false" ht="15.75" hidden="false" customHeight="true" outlineLevel="0" collapsed="false">
      <c r="A9" s="76" t="n">
        <f aca="false">IFERROR(INDEX(采购录入!$B$5:$B$404,MATCH(ROW()-8,采购录入!$AA$5:$AA$404,0)),"")</f>
        <v>46025</v>
      </c>
      <c r="B9" s="35" t="str">
        <f aca="false">IFERROR(INDEX(采购录入!$E$5:$E$404,MATCH(ROW()-8,采购录入!$AA$5:$AA$404,0)),"")</f>
        <v>A型配件</v>
      </c>
      <c r="C9" s="64" t="n">
        <f aca="false">IFERROR(INDEX(采购录入!$F$5:$F$404,MATCH(ROW()-8,采购录入!$AA$5:$AA$404,0)),"")</f>
        <v>100</v>
      </c>
      <c r="D9" s="54" t="n">
        <f aca="false">IFERROR(INDEX(采购录入!$G$5:$G$404,MATCH(ROW()-8,采购录入!$AA$5:$AA$404,0)),"")</f>
        <v>105</v>
      </c>
      <c r="E9" s="54" t="n">
        <f aca="false">IFERROR(INDEX(采购录入!$S$5:$S$404,MATCH(ROW()-8,采购录入!$AA$5:$AA$404,0)),"")</f>
        <v>11865</v>
      </c>
      <c r="F9" s="76" t="n">
        <f aca="false">IFERROR(INDEX(采购录入!$T$5:$T$404,MATCH(ROW()-8,采购录入!$AA$5:$AA$404,0)),"")</f>
        <v>46055</v>
      </c>
      <c r="H9" s="76" t="n">
        <f aca="false">IFERROR(INDEX(资金流水!$B$5:$B$504,MATCH(ROW()-8,资金流水!$W$5:$W$504,0)),"")</f>
        <v>46037</v>
      </c>
      <c r="I9" s="42" t="str">
        <f aca="false">IFERROR(INDEX(资金流水!$F$5:$F$504,MATCH(ROW()-8,资金流水!$W$5:$W$504,0)),"")</f>
        <v>工商银行</v>
      </c>
      <c r="J9" s="54" t="n">
        <f aca="false">IFERROR(INDEX(资金流水!$N$5:$N$504,MATCH(ROW()-8,资金流水!$W$5:$W$504,0)),"")</f>
        <v>40000</v>
      </c>
      <c r="K9" s="35" t="str">
        <f aca="false">IFERROR(INDEX(资金流水!$J$5:$J$504,MATCH(ROW()-8,资金流水!$W$5:$W$504,0)),"")</f>
        <v>付甲供应商</v>
      </c>
      <c r="L9" s="42" t="str">
        <f aca="false">IFERROR(INDEX(资金流水!$I$5:$I$504,MATCH(ROW()-8,资金流水!$W$5:$W$504,0)),"")</f>
        <v>王强</v>
      </c>
      <c r="M9" s="42" t="str">
        <f aca="false">IFERROR(INDEX(资金流水!$H$5:$H$504,MATCH(ROW()-8,资金流水!$W$5:$W$504,0)),"")</f>
        <v>财务部</v>
      </c>
    </row>
    <row r="10" customFormat="false" ht="15.75" hidden="false" customHeight="true" outlineLevel="0" collapsed="false">
      <c r="A10" s="76" t="n">
        <f aca="false">IFERROR(INDEX(采购录入!$B$5:$B$404,MATCH(ROW()-8,采购录入!$AA$5:$AA$404,0)),"")</f>
        <v>46037</v>
      </c>
      <c r="B10" s="35" t="str">
        <f aca="false">IFERROR(INDEX(采购录入!$E$5:$E$404,MATCH(ROW()-8,采购录入!$AA$5:$AA$404,0)),"")</f>
        <v>办公用品</v>
      </c>
      <c r="C10" s="64" t="n">
        <f aca="false">IFERROR(INDEX(采购录入!$F$5:$F$404,MATCH(ROW()-8,采购录入!$AA$5:$AA$404,0)),"")</f>
        <v>1</v>
      </c>
      <c r="D10" s="54" t="n">
        <f aca="false">IFERROR(INDEX(采购录入!$G$5:$G$404,MATCH(ROW()-8,采购录入!$AA$5:$AA$404,0)),"")</f>
        <v>2000</v>
      </c>
      <c r="E10" s="54" t="n">
        <f aca="false">IFERROR(INDEX(采购录入!$S$5:$S$404,MATCH(ROW()-8,采购录入!$AA$5:$AA$404,0)),"")</f>
        <v>2260</v>
      </c>
      <c r="F10" s="76" t="n">
        <f aca="false">IFERROR(INDEX(采购录入!$T$5:$T$404,MATCH(ROW()-8,采购录入!$AA$5:$AA$404,0)),"")</f>
        <v>46067</v>
      </c>
      <c r="H10" s="76" t="str">
        <f aca="false">IFERROR(INDEX(资金流水!$B$5:$B$504,MATCH(ROW()-8,资金流水!$W$5:$W$504,0)),"")</f>
        <v/>
      </c>
      <c r="I10" s="42" t="str">
        <f aca="false">IFERROR(INDEX(资金流水!$F$5:$F$504,MATCH(ROW()-8,资金流水!$W$5:$W$504,0)),"")</f>
        <v/>
      </c>
      <c r="J10" s="54" t="str">
        <f aca="false">IFERROR(INDEX(资金流水!$N$5:$N$504,MATCH(ROW()-8,资金流水!$W$5:$W$504,0)),"")</f>
        <v/>
      </c>
      <c r="K10" s="35" t="str">
        <f aca="false">IFERROR(INDEX(资金流水!$J$5:$J$504,MATCH(ROW()-8,资金流水!$W$5:$W$504,0)),"")</f>
        <v/>
      </c>
      <c r="L10" s="42" t="str">
        <f aca="false">IFERROR(INDEX(资金流水!$I$5:$I$504,MATCH(ROW()-8,资金流水!$W$5:$W$504,0)),"")</f>
        <v/>
      </c>
      <c r="M10" s="42" t="str">
        <f aca="false">IFERROR(INDEX(资金流水!$H$5:$H$504,MATCH(ROW()-8,资金流水!$W$5:$W$504,0)),"")</f>
        <v/>
      </c>
    </row>
    <row r="11" customFormat="false" ht="15.75" hidden="false" customHeight="true" outlineLevel="0" collapsed="false">
      <c r="A11" s="76" t="str">
        <f aca="false">IFERROR(INDEX(采购录入!$B$5:$B$404,MATCH(ROW()-8,采购录入!$AA$5:$AA$404,0)),"")</f>
        <v/>
      </c>
      <c r="B11" s="35" t="str">
        <f aca="false">IFERROR(INDEX(采购录入!$E$5:$E$404,MATCH(ROW()-8,采购录入!$AA$5:$AA$404,0)),"")</f>
        <v/>
      </c>
      <c r="C11" s="64" t="str">
        <f aca="false">IFERROR(INDEX(采购录入!$F$5:$F$404,MATCH(ROW()-8,采购录入!$AA$5:$AA$404,0)),"")</f>
        <v/>
      </c>
      <c r="D11" s="54" t="str">
        <f aca="false">IFERROR(INDEX(采购录入!$G$5:$G$404,MATCH(ROW()-8,采购录入!$AA$5:$AA$404,0)),"")</f>
        <v/>
      </c>
      <c r="E11" s="54" t="str">
        <f aca="false">IFERROR(INDEX(采购录入!$S$5:$S$404,MATCH(ROW()-8,采购录入!$AA$5:$AA$404,0)),"")</f>
        <v/>
      </c>
      <c r="F11" s="76" t="str">
        <f aca="false">IFERROR(INDEX(采购录入!$T$5:$T$404,MATCH(ROW()-8,采购录入!$AA$5:$AA$404,0)),"")</f>
        <v/>
      </c>
      <c r="H11" s="76" t="str">
        <f aca="false">IFERROR(INDEX(资金流水!$B$5:$B$504,MATCH(ROW()-8,资金流水!$W$5:$W$504,0)),"")</f>
        <v/>
      </c>
      <c r="I11" s="42" t="str">
        <f aca="false">IFERROR(INDEX(资金流水!$F$5:$F$504,MATCH(ROW()-8,资金流水!$W$5:$W$504,0)),"")</f>
        <v/>
      </c>
      <c r="J11" s="54" t="str">
        <f aca="false">IFERROR(INDEX(资金流水!$N$5:$N$504,MATCH(ROW()-8,资金流水!$W$5:$W$504,0)),"")</f>
        <v/>
      </c>
      <c r="K11" s="35" t="str">
        <f aca="false">IFERROR(INDEX(资金流水!$J$5:$J$504,MATCH(ROW()-8,资金流水!$W$5:$W$504,0)),"")</f>
        <v/>
      </c>
      <c r="L11" s="42" t="str">
        <f aca="false">IFERROR(INDEX(资金流水!$I$5:$I$504,MATCH(ROW()-8,资金流水!$W$5:$W$504,0)),"")</f>
        <v/>
      </c>
      <c r="M11" s="42" t="str">
        <f aca="false">IFERROR(INDEX(资金流水!$H$5:$H$504,MATCH(ROW()-8,资金流水!$W$5:$W$504,0)),"")</f>
        <v/>
      </c>
    </row>
    <row r="12" customFormat="false" ht="15.75" hidden="false" customHeight="true" outlineLevel="0" collapsed="false">
      <c r="A12" s="76" t="str">
        <f aca="false">IFERROR(INDEX(采购录入!$B$5:$B$404,MATCH(ROW()-8,采购录入!$AA$5:$AA$404,0)),"")</f>
        <v/>
      </c>
      <c r="B12" s="35" t="str">
        <f aca="false">IFERROR(INDEX(采购录入!$E$5:$E$404,MATCH(ROW()-8,采购录入!$AA$5:$AA$404,0)),"")</f>
        <v/>
      </c>
      <c r="C12" s="64" t="str">
        <f aca="false">IFERROR(INDEX(采购录入!$F$5:$F$404,MATCH(ROW()-8,采购录入!$AA$5:$AA$404,0)),"")</f>
        <v/>
      </c>
      <c r="D12" s="54" t="str">
        <f aca="false">IFERROR(INDEX(采购录入!$G$5:$G$404,MATCH(ROW()-8,采购录入!$AA$5:$AA$404,0)),"")</f>
        <v/>
      </c>
      <c r="E12" s="54" t="str">
        <f aca="false">IFERROR(INDEX(采购录入!$S$5:$S$404,MATCH(ROW()-8,采购录入!$AA$5:$AA$404,0)),"")</f>
        <v/>
      </c>
      <c r="F12" s="76" t="str">
        <f aca="false">IFERROR(INDEX(采购录入!$T$5:$T$404,MATCH(ROW()-8,采购录入!$AA$5:$AA$404,0)),"")</f>
        <v/>
      </c>
      <c r="H12" s="76" t="str">
        <f aca="false">IFERROR(INDEX(资金流水!$B$5:$B$504,MATCH(ROW()-8,资金流水!$W$5:$W$504,0)),"")</f>
        <v/>
      </c>
      <c r="I12" s="42" t="str">
        <f aca="false">IFERROR(INDEX(资金流水!$F$5:$F$504,MATCH(ROW()-8,资金流水!$W$5:$W$504,0)),"")</f>
        <v/>
      </c>
      <c r="J12" s="54" t="str">
        <f aca="false">IFERROR(INDEX(资金流水!$N$5:$N$504,MATCH(ROW()-8,资金流水!$W$5:$W$504,0)),"")</f>
        <v/>
      </c>
      <c r="K12" s="35" t="str">
        <f aca="false">IFERROR(INDEX(资金流水!$J$5:$J$504,MATCH(ROW()-8,资金流水!$W$5:$W$504,0)),"")</f>
        <v/>
      </c>
      <c r="L12" s="42" t="str">
        <f aca="false">IFERROR(INDEX(资金流水!$I$5:$I$504,MATCH(ROW()-8,资金流水!$W$5:$W$504,0)),"")</f>
        <v/>
      </c>
      <c r="M12" s="42" t="str">
        <f aca="false">IFERROR(INDEX(资金流水!$H$5:$H$504,MATCH(ROW()-8,资金流水!$W$5:$W$504,0)),"")</f>
        <v/>
      </c>
    </row>
    <row r="13" customFormat="false" ht="15.75" hidden="false" customHeight="true" outlineLevel="0" collapsed="false">
      <c r="A13" s="76" t="str">
        <f aca="false">IFERROR(INDEX(采购录入!$B$5:$B$404,MATCH(ROW()-8,采购录入!$AA$5:$AA$404,0)),"")</f>
        <v/>
      </c>
      <c r="B13" s="35" t="str">
        <f aca="false">IFERROR(INDEX(采购录入!$E$5:$E$404,MATCH(ROW()-8,采购录入!$AA$5:$AA$404,0)),"")</f>
        <v/>
      </c>
      <c r="C13" s="64" t="str">
        <f aca="false">IFERROR(INDEX(采购录入!$F$5:$F$404,MATCH(ROW()-8,采购录入!$AA$5:$AA$404,0)),"")</f>
        <v/>
      </c>
      <c r="D13" s="54" t="str">
        <f aca="false">IFERROR(INDEX(采购录入!$G$5:$G$404,MATCH(ROW()-8,采购录入!$AA$5:$AA$404,0)),"")</f>
        <v/>
      </c>
      <c r="E13" s="54" t="str">
        <f aca="false">IFERROR(INDEX(采购录入!$S$5:$S$404,MATCH(ROW()-8,采购录入!$AA$5:$AA$404,0)),"")</f>
        <v/>
      </c>
      <c r="F13" s="76" t="str">
        <f aca="false">IFERROR(INDEX(采购录入!$T$5:$T$404,MATCH(ROW()-8,采购录入!$AA$5:$AA$404,0)),"")</f>
        <v/>
      </c>
      <c r="H13" s="76" t="str">
        <f aca="false">IFERROR(INDEX(资金流水!$B$5:$B$504,MATCH(ROW()-8,资金流水!$W$5:$W$504,0)),"")</f>
        <v/>
      </c>
      <c r="I13" s="42" t="str">
        <f aca="false">IFERROR(INDEX(资金流水!$F$5:$F$504,MATCH(ROW()-8,资金流水!$W$5:$W$504,0)),"")</f>
        <v/>
      </c>
      <c r="J13" s="54" t="str">
        <f aca="false">IFERROR(INDEX(资金流水!$N$5:$N$504,MATCH(ROW()-8,资金流水!$W$5:$W$504,0)),"")</f>
        <v/>
      </c>
      <c r="K13" s="35" t="str">
        <f aca="false">IFERROR(INDEX(资金流水!$J$5:$J$504,MATCH(ROW()-8,资金流水!$W$5:$W$504,0)),"")</f>
        <v/>
      </c>
      <c r="L13" s="42" t="str">
        <f aca="false">IFERROR(INDEX(资金流水!$I$5:$I$504,MATCH(ROW()-8,资金流水!$W$5:$W$504,0)),"")</f>
        <v/>
      </c>
      <c r="M13" s="42" t="str">
        <f aca="false">IFERROR(INDEX(资金流水!$H$5:$H$504,MATCH(ROW()-8,资金流水!$W$5:$W$504,0)),"")</f>
        <v/>
      </c>
    </row>
    <row r="14" customFormat="false" ht="15.75" hidden="false" customHeight="true" outlineLevel="0" collapsed="false">
      <c r="A14" s="76" t="str">
        <f aca="false">IFERROR(INDEX(采购录入!$B$5:$B$404,MATCH(ROW()-8,采购录入!$AA$5:$AA$404,0)),"")</f>
        <v/>
      </c>
      <c r="B14" s="35" t="str">
        <f aca="false">IFERROR(INDEX(采购录入!$E$5:$E$404,MATCH(ROW()-8,采购录入!$AA$5:$AA$404,0)),"")</f>
        <v/>
      </c>
      <c r="C14" s="64" t="str">
        <f aca="false">IFERROR(INDEX(采购录入!$F$5:$F$404,MATCH(ROW()-8,采购录入!$AA$5:$AA$404,0)),"")</f>
        <v/>
      </c>
      <c r="D14" s="54" t="str">
        <f aca="false">IFERROR(INDEX(采购录入!$G$5:$G$404,MATCH(ROW()-8,采购录入!$AA$5:$AA$404,0)),"")</f>
        <v/>
      </c>
      <c r="E14" s="54" t="str">
        <f aca="false">IFERROR(INDEX(采购录入!$S$5:$S$404,MATCH(ROW()-8,采购录入!$AA$5:$AA$404,0)),"")</f>
        <v/>
      </c>
      <c r="F14" s="76" t="str">
        <f aca="false">IFERROR(INDEX(采购录入!$T$5:$T$404,MATCH(ROW()-8,采购录入!$AA$5:$AA$404,0)),"")</f>
        <v/>
      </c>
      <c r="H14" s="76" t="str">
        <f aca="false">IFERROR(INDEX(资金流水!$B$5:$B$504,MATCH(ROW()-8,资金流水!$W$5:$W$504,0)),"")</f>
        <v/>
      </c>
      <c r="I14" s="42" t="str">
        <f aca="false">IFERROR(INDEX(资金流水!$F$5:$F$504,MATCH(ROW()-8,资金流水!$W$5:$W$504,0)),"")</f>
        <v/>
      </c>
      <c r="J14" s="54" t="str">
        <f aca="false">IFERROR(INDEX(资金流水!$N$5:$N$504,MATCH(ROW()-8,资金流水!$W$5:$W$504,0)),"")</f>
        <v/>
      </c>
      <c r="K14" s="35" t="str">
        <f aca="false">IFERROR(INDEX(资金流水!$J$5:$J$504,MATCH(ROW()-8,资金流水!$W$5:$W$504,0)),"")</f>
        <v/>
      </c>
      <c r="L14" s="42" t="str">
        <f aca="false">IFERROR(INDEX(资金流水!$I$5:$I$504,MATCH(ROW()-8,资金流水!$W$5:$W$504,0)),"")</f>
        <v/>
      </c>
      <c r="M14" s="42" t="str">
        <f aca="false">IFERROR(INDEX(资金流水!$H$5:$H$504,MATCH(ROW()-8,资金流水!$W$5:$W$504,0)),"")</f>
        <v/>
      </c>
    </row>
    <row r="15" customFormat="false" ht="15.75" hidden="false" customHeight="true" outlineLevel="0" collapsed="false">
      <c r="A15" s="76" t="str">
        <f aca="false">IFERROR(INDEX(采购录入!$B$5:$B$404,MATCH(ROW()-8,采购录入!$AA$5:$AA$404,0)),"")</f>
        <v/>
      </c>
      <c r="B15" s="35" t="str">
        <f aca="false">IFERROR(INDEX(采购录入!$E$5:$E$404,MATCH(ROW()-8,采购录入!$AA$5:$AA$404,0)),"")</f>
        <v/>
      </c>
      <c r="C15" s="64" t="str">
        <f aca="false">IFERROR(INDEX(采购录入!$F$5:$F$404,MATCH(ROW()-8,采购录入!$AA$5:$AA$404,0)),"")</f>
        <v/>
      </c>
      <c r="D15" s="54" t="str">
        <f aca="false">IFERROR(INDEX(采购录入!$G$5:$G$404,MATCH(ROW()-8,采购录入!$AA$5:$AA$404,0)),"")</f>
        <v/>
      </c>
      <c r="E15" s="54" t="str">
        <f aca="false">IFERROR(INDEX(采购录入!$S$5:$S$404,MATCH(ROW()-8,采购录入!$AA$5:$AA$404,0)),"")</f>
        <v/>
      </c>
      <c r="F15" s="76" t="str">
        <f aca="false">IFERROR(INDEX(采购录入!$T$5:$T$404,MATCH(ROW()-8,采购录入!$AA$5:$AA$404,0)),"")</f>
        <v/>
      </c>
      <c r="H15" s="76" t="str">
        <f aca="false">IFERROR(INDEX(资金流水!$B$5:$B$504,MATCH(ROW()-8,资金流水!$W$5:$W$504,0)),"")</f>
        <v/>
      </c>
      <c r="I15" s="42" t="str">
        <f aca="false">IFERROR(INDEX(资金流水!$F$5:$F$504,MATCH(ROW()-8,资金流水!$W$5:$W$504,0)),"")</f>
        <v/>
      </c>
      <c r="J15" s="54" t="str">
        <f aca="false">IFERROR(INDEX(资金流水!$N$5:$N$504,MATCH(ROW()-8,资金流水!$W$5:$W$504,0)),"")</f>
        <v/>
      </c>
      <c r="K15" s="35" t="str">
        <f aca="false">IFERROR(INDEX(资金流水!$J$5:$J$504,MATCH(ROW()-8,资金流水!$W$5:$W$504,0)),"")</f>
        <v/>
      </c>
      <c r="L15" s="42" t="str">
        <f aca="false">IFERROR(INDEX(资金流水!$I$5:$I$504,MATCH(ROW()-8,资金流水!$W$5:$W$504,0)),"")</f>
        <v/>
      </c>
      <c r="M15" s="42" t="str">
        <f aca="false">IFERROR(INDEX(资金流水!$H$5:$H$504,MATCH(ROW()-8,资金流水!$W$5:$W$504,0)),"")</f>
        <v/>
      </c>
    </row>
    <row r="16" customFormat="false" ht="15.75" hidden="false" customHeight="true" outlineLevel="0" collapsed="false">
      <c r="A16" s="76" t="str">
        <f aca="false">IFERROR(INDEX(采购录入!$B$5:$B$404,MATCH(ROW()-8,采购录入!$AA$5:$AA$404,0)),"")</f>
        <v/>
      </c>
      <c r="B16" s="35" t="str">
        <f aca="false">IFERROR(INDEX(采购录入!$E$5:$E$404,MATCH(ROW()-8,采购录入!$AA$5:$AA$404,0)),"")</f>
        <v/>
      </c>
      <c r="C16" s="64" t="str">
        <f aca="false">IFERROR(INDEX(采购录入!$F$5:$F$404,MATCH(ROW()-8,采购录入!$AA$5:$AA$404,0)),"")</f>
        <v/>
      </c>
      <c r="D16" s="54" t="str">
        <f aca="false">IFERROR(INDEX(采购录入!$G$5:$G$404,MATCH(ROW()-8,采购录入!$AA$5:$AA$404,0)),"")</f>
        <v/>
      </c>
      <c r="E16" s="54" t="str">
        <f aca="false">IFERROR(INDEX(采购录入!$S$5:$S$404,MATCH(ROW()-8,采购录入!$AA$5:$AA$404,0)),"")</f>
        <v/>
      </c>
      <c r="F16" s="76" t="str">
        <f aca="false">IFERROR(INDEX(采购录入!$T$5:$T$404,MATCH(ROW()-8,采购录入!$AA$5:$AA$404,0)),"")</f>
        <v/>
      </c>
      <c r="H16" s="76" t="str">
        <f aca="false">IFERROR(INDEX(资金流水!$B$5:$B$504,MATCH(ROW()-8,资金流水!$W$5:$W$504,0)),"")</f>
        <v/>
      </c>
      <c r="I16" s="42" t="str">
        <f aca="false">IFERROR(INDEX(资金流水!$F$5:$F$504,MATCH(ROW()-8,资金流水!$W$5:$W$504,0)),"")</f>
        <v/>
      </c>
      <c r="J16" s="54" t="str">
        <f aca="false">IFERROR(INDEX(资金流水!$N$5:$N$504,MATCH(ROW()-8,资金流水!$W$5:$W$504,0)),"")</f>
        <v/>
      </c>
      <c r="K16" s="35" t="str">
        <f aca="false">IFERROR(INDEX(资金流水!$J$5:$J$504,MATCH(ROW()-8,资金流水!$W$5:$W$504,0)),"")</f>
        <v/>
      </c>
      <c r="L16" s="42" t="str">
        <f aca="false">IFERROR(INDEX(资金流水!$I$5:$I$504,MATCH(ROW()-8,资金流水!$W$5:$W$504,0)),"")</f>
        <v/>
      </c>
      <c r="M16" s="42" t="str">
        <f aca="false">IFERROR(INDEX(资金流水!$H$5:$H$504,MATCH(ROW()-8,资金流水!$W$5:$W$504,0)),"")</f>
        <v/>
      </c>
    </row>
    <row r="17" customFormat="false" ht="15.75" hidden="false" customHeight="true" outlineLevel="0" collapsed="false">
      <c r="A17" s="76" t="str">
        <f aca="false">IFERROR(INDEX(采购录入!$B$5:$B$404,MATCH(ROW()-8,采购录入!$AA$5:$AA$404,0)),"")</f>
        <v/>
      </c>
      <c r="B17" s="35" t="str">
        <f aca="false">IFERROR(INDEX(采购录入!$E$5:$E$404,MATCH(ROW()-8,采购录入!$AA$5:$AA$404,0)),"")</f>
        <v/>
      </c>
      <c r="C17" s="64" t="str">
        <f aca="false">IFERROR(INDEX(采购录入!$F$5:$F$404,MATCH(ROW()-8,采购录入!$AA$5:$AA$404,0)),"")</f>
        <v/>
      </c>
      <c r="D17" s="54" t="str">
        <f aca="false">IFERROR(INDEX(采购录入!$G$5:$G$404,MATCH(ROW()-8,采购录入!$AA$5:$AA$404,0)),"")</f>
        <v/>
      </c>
      <c r="E17" s="54" t="str">
        <f aca="false">IFERROR(INDEX(采购录入!$S$5:$S$404,MATCH(ROW()-8,采购录入!$AA$5:$AA$404,0)),"")</f>
        <v/>
      </c>
      <c r="F17" s="76" t="str">
        <f aca="false">IFERROR(INDEX(采购录入!$T$5:$T$404,MATCH(ROW()-8,采购录入!$AA$5:$AA$404,0)),"")</f>
        <v/>
      </c>
      <c r="H17" s="76" t="str">
        <f aca="false">IFERROR(INDEX(资金流水!$B$5:$B$504,MATCH(ROW()-8,资金流水!$W$5:$W$504,0)),"")</f>
        <v/>
      </c>
      <c r="I17" s="42" t="str">
        <f aca="false">IFERROR(INDEX(资金流水!$F$5:$F$504,MATCH(ROW()-8,资金流水!$W$5:$W$504,0)),"")</f>
        <v/>
      </c>
      <c r="J17" s="54" t="str">
        <f aca="false">IFERROR(INDEX(资金流水!$N$5:$N$504,MATCH(ROW()-8,资金流水!$W$5:$W$504,0)),"")</f>
        <v/>
      </c>
      <c r="K17" s="35" t="str">
        <f aca="false">IFERROR(INDEX(资金流水!$J$5:$J$504,MATCH(ROW()-8,资金流水!$W$5:$W$504,0)),"")</f>
        <v/>
      </c>
      <c r="L17" s="42" t="str">
        <f aca="false">IFERROR(INDEX(资金流水!$I$5:$I$504,MATCH(ROW()-8,资金流水!$W$5:$W$504,0)),"")</f>
        <v/>
      </c>
      <c r="M17" s="42" t="str">
        <f aca="false">IFERROR(INDEX(资金流水!$H$5:$H$504,MATCH(ROW()-8,资金流水!$W$5:$W$504,0)),"")</f>
        <v/>
      </c>
    </row>
    <row r="18" customFormat="false" ht="15.75" hidden="false" customHeight="true" outlineLevel="0" collapsed="false">
      <c r="A18" s="76" t="str">
        <f aca="false">IFERROR(INDEX(采购录入!$B$5:$B$404,MATCH(ROW()-8,采购录入!$AA$5:$AA$404,0)),"")</f>
        <v/>
      </c>
      <c r="B18" s="35" t="str">
        <f aca="false">IFERROR(INDEX(采购录入!$E$5:$E$404,MATCH(ROW()-8,采购录入!$AA$5:$AA$404,0)),"")</f>
        <v/>
      </c>
      <c r="C18" s="64" t="str">
        <f aca="false">IFERROR(INDEX(采购录入!$F$5:$F$404,MATCH(ROW()-8,采购录入!$AA$5:$AA$404,0)),"")</f>
        <v/>
      </c>
      <c r="D18" s="54" t="str">
        <f aca="false">IFERROR(INDEX(采购录入!$G$5:$G$404,MATCH(ROW()-8,采购录入!$AA$5:$AA$404,0)),"")</f>
        <v/>
      </c>
      <c r="E18" s="54" t="str">
        <f aca="false">IFERROR(INDEX(采购录入!$S$5:$S$404,MATCH(ROW()-8,采购录入!$AA$5:$AA$404,0)),"")</f>
        <v/>
      </c>
      <c r="F18" s="76" t="str">
        <f aca="false">IFERROR(INDEX(采购录入!$T$5:$T$404,MATCH(ROW()-8,采购录入!$AA$5:$AA$404,0)),"")</f>
        <v/>
      </c>
      <c r="H18" s="76" t="str">
        <f aca="false">IFERROR(INDEX(资金流水!$B$5:$B$504,MATCH(ROW()-8,资金流水!$W$5:$W$504,0)),"")</f>
        <v/>
      </c>
      <c r="I18" s="42" t="str">
        <f aca="false">IFERROR(INDEX(资金流水!$F$5:$F$504,MATCH(ROW()-8,资金流水!$W$5:$W$504,0)),"")</f>
        <v/>
      </c>
      <c r="J18" s="54" t="str">
        <f aca="false">IFERROR(INDEX(资金流水!$N$5:$N$504,MATCH(ROW()-8,资金流水!$W$5:$W$504,0)),"")</f>
        <v/>
      </c>
      <c r="K18" s="35" t="str">
        <f aca="false">IFERROR(INDEX(资金流水!$J$5:$J$504,MATCH(ROW()-8,资金流水!$W$5:$W$504,0)),"")</f>
        <v/>
      </c>
      <c r="L18" s="42" t="str">
        <f aca="false">IFERROR(INDEX(资金流水!$I$5:$I$504,MATCH(ROW()-8,资金流水!$W$5:$W$504,0)),"")</f>
        <v/>
      </c>
      <c r="M18" s="42" t="str">
        <f aca="false">IFERROR(INDEX(资金流水!$H$5:$H$504,MATCH(ROW()-8,资金流水!$W$5:$W$504,0)),"")</f>
        <v/>
      </c>
    </row>
    <row r="19" customFormat="false" ht="15.75" hidden="false" customHeight="true" outlineLevel="0" collapsed="false">
      <c r="A19" s="76" t="str">
        <f aca="false">IFERROR(INDEX(采购录入!$B$5:$B$404,MATCH(ROW()-8,采购录入!$AA$5:$AA$404,0)),"")</f>
        <v/>
      </c>
      <c r="B19" s="35" t="str">
        <f aca="false">IFERROR(INDEX(采购录入!$E$5:$E$404,MATCH(ROW()-8,采购录入!$AA$5:$AA$404,0)),"")</f>
        <v/>
      </c>
      <c r="C19" s="64" t="str">
        <f aca="false">IFERROR(INDEX(采购录入!$F$5:$F$404,MATCH(ROW()-8,采购录入!$AA$5:$AA$404,0)),"")</f>
        <v/>
      </c>
      <c r="D19" s="54" t="str">
        <f aca="false">IFERROR(INDEX(采购录入!$G$5:$G$404,MATCH(ROW()-8,采购录入!$AA$5:$AA$404,0)),"")</f>
        <v/>
      </c>
      <c r="E19" s="54" t="str">
        <f aca="false">IFERROR(INDEX(采购录入!$S$5:$S$404,MATCH(ROW()-8,采购录入!$AA$5:$AA$404,0)),"")</f>
        <v/>
      </c>
      <c r="F19" s="76" t="str">
        <f aca="false">IFERROR(INDEX(采购录入!$T$5:$T$404,MATCH(ROW()-8,采购录入!$AA$5:$AA$404,0)),"")</f>
        <v/>
      </c>
      <c r="H19" s="76" t="str">
        <f aca="false">IFERROR(INDEX(资金流水!$B$5:$B$504,MATCH(ROW()-8,资金流水!$W$5:$W$504,0)),"")</f>
        <v/>
      </c>
      <c r="I19" s="42" t="str">
        <f aca="false">IFERROR(INDEX(资金流水!$F$5:$F$504,MATCH(ROW()-8,资金流水!$W$5:$W$504,0)),"")</f>
        <v/>
      </c>
      <c r="J19" s="54" t="str">
        <f aca="false">IFERROR(INDEX(资金流水!$N$5:$N$504,MATCH(ROW()-8,资金流水!$W$5:$W$504,0)),"")</f>
        <v/>
      </c>
      <c r="K19" s="35" t="str">
        <f aca="false">IFERROR(INDEX(资金流水!$J$5:$J$504,MATCH(ROW()-8,资金流水!$W$5:$W$504,0)),"")</f>
        <v/>
      </c>
      <c r="L19" s="42" t="str">
        <f aca="false">IFERROR(INDEX(资金流水!$I$5:$I$504,MATCH(ROW()-8,资金流水!$W$5:$W$504,0)),"")</f>
        <v/>
      </c>
      <c r="M19" s="42" t="str">
        <f aca="false">IFERROR(INDEX(资金流水!$H$5:$H$504,MATCH(ROW()-8,资金流水!$W$5:$W$504,0)),"")</f>
        <v/>
      </c>
    </row>
    <row r="20" customFormat="false" ht="15.75" hidden="false" customHeight="true" outlineLevel="0" collapsed="false">
      <c r="A20" s="76" t="str">
        <f aca="false">IFERROR(INDEX(采购录入!$B$5:$B$404,MATCH(ROW()-8,采购录入!$AA$5:$AA$404,0)),"")</f>
        <v/>
      </c>
      <c r="B20" s="35" t="str">
        <f aca="false">IFERROR(INDEX(采购录入!$E$5:$E$404,MATCH(ROW()-8,采购录入!$AA$5:$AA$404,0)),"")</f>
        <v/>
      </c>
      <c r="C20" s="64" t="str">
        <f aca="false">IFERROR(INDEX(采购录入!$F$5:$F$404,MATCH(ROW()-8,采购录入!$AA$5:$AA$404,0)),"")</f>
        <v/>
      </c>
      <c r="D20" s="54" t="str">
        <f aca="false">IFERROR(INDEX(采购录入!$G$5:$G$404,MATCH(ROW()-8,采购录入!$AA$5:$AA$404,0)),"")</f>
        <v/>
      </c>
      <c r="E20" s="54" t="str">
        <f aca="false">IFERROR(INDEX(采购录入!$S$5:$S$404,MATCH(ROW()-8,采购录入!$AA$5:$AA$404,0)),"")</f>
        <v/>
      </c>
      <c r="F20" s="76" t="str">
        <f aca="false">IFERROR(INDEX(采购录入!$T$5:$T$404,MATCH(ROW()-8,采购录入!$AA$5:$AA$404,0)),"")</f>
        <v/>
      </c>
      <c r="H20" s="76" t="str">
        <f aca="false">IFERROR(INDEX(资金流水!$B$5:$B$504,MATCH(ROW()-8,资金流水!$W$5:$W$504,0)),"")</f>
        <v/>
      </c>
      <c r="I20" s="42" t="str">
        <f aca="false">IFERROR(INDEX(资金流水!$F$5:$F$504,MATCH(ROW()-8,资金流水!$W$5:$W$504,0)),"")</f>
        <v/>
      </c>
      <c r="J20" s="54" t="str">
        <f aca="false">IFERROR(INDEX(资金流水!$N$5:$N$504,MATCH(ROW()-8,资金流水!$W$5:$W$504,0)),"")</f>
        <v/>
      </c>
      <c r="K20" s="35" t="str">
        <f aca="false">IFERROR(INDEX(资金流水!$J$5:$J$504,MATCH(ROW()-8,资金流水!$W$5:$W$504,0)),"")</f>
        <v/>
      </c>
      <c r="L20" s="42" t="str">
        <f aca="false">IFERROR(INDEX(资金流水!$I$5:$I$504,MATCH(ROW()-8,资金流水!$W$5:$W$504,0)),"")</f>
        <v/>
      </c>
      <c r="M20" s="42" t="str">
        <f aca="false">IFERROR(INDEX(资金流水!$H$5:$H$504,MATCH(ROW()-8,资金流水!$W$5:$W$504,0)),"")</f>
        <v/>
      </c>
    </row>
    <row r="21" customFormat="false" ht="15.75" hidden="false" customHeight="true" outlineLevel="0" collapsed="false">
      <c r="A21" s="76" t="str">
        <f aca="false">IFERROR(INDEX(采购录入!$B$5:$B$404,MATCH(ROW()-8,采购录入!$AA$5:$AA$404,0)),"")</f>
        <v/>
      </c>
      <c r="B21" s="35" t="str">
        <f aca="false">IFERROR(INDEX(采购录入!$E$5:$E$404,MATCH(ROW()-8,采购录入!$AA$5:$AA$404,0)),"")</f>
        <v/>
      </c>
      <c r="C21" s="64" t="str">
        <f aca="false">IFERROR(INDEX(采购录入!$F$5:$F$404,MATCH(ROW()-8,采购录入!$AA$5:$AA$404,0)),"")</f>
        <v/>
      </c>
      <c r="D21" s="54" t="str">
        <f aca="false">IFERROR(INDEX(采购录入!$G$5:$G$404,MATCH(ROW()-8,采购录入!$AA$5:$AA$404,0)),"")</f>
        <v/>
      </c>
      <c r="E21" s="54" t="str">
        <f aca="false">IFERROR(INDEX(采购录入!$S$5:$S$404,MATCH(ROW()-8,采购录入!$AA$5:$AA$404,0)),"")</f>
        <v/>
      </c>
      <c r="F21" s="76" t="str">
        <f aca="false">IFERROR(INDEX(采购录入!$T$5:$T$404,MATCH(ROW()-8,采购录入!$AA$5:$AA$404,0)),"")</f>
        <v/>
      </c>
      <c r="H21" s="76" t="str">
        <f aca="false">IFERROR(INDEX(资金流水!$B$5:$B$504,MATCH(ROW()-8,资金流水!$W$5:$W$504,0)),"")</f>
        <v/>
      </c>
      <c r="I21" s="42" t="str">
        <f aca="false">IFERROR(INDEX(资金流水!$F$5:$F$504,MATCH(ROW()-8,资金流水!$W$5:$W$504,0)),"")</f>
        <v/>
      </c>
      <c r="J21" s="54" t="str">
        <f aca="false">IFERROR(INDEX(资金流水!$N$5:$N$504,MATCH(ROW()-8,资金流水!$W$5:$W$504,0)),"")</f>
        <v/>
      </c>
      <c r="K21" s="35" t="str">
        <f aca="false">IFERROR(INDEX(资金流水!$J$5:$J$504,MATCH(ROW()-8,资金流水!$W$5:$W$504,0)),"")</f>
        <v/>
      </c>
      <c r="L21" s="42" t="str">
        <f aca="false">IFERROR(INDEX(资金流水!$I$5:$I$504,MATCH(ROW()-8,资金流水!$W$5:$W$504,0)),"")</f>
        <v/>
      </c>
      <c r="M21" s="42" t="str">
        <f aca="false">IFERROR(INDEX(资金流水!$H$5:$H$504,MATCH(ROW()-8,资金流水!$W$5:$W$504,0)),"")</f>
        <v/>
      </c>
    </row>
    <row r="22" customFormat="false" ht="15.75" hidden="false" customHeight="true" outlineLevel="0" collapsed="false">
      <c r="A22" s="76" t="str">
        <f aca="false">IFERROR(INDEX(采购录入!$B$5:$B$404,MATCH(ROW()-8,采购录入!$AA$5:$AA$404,0)),"")</f>
        <v/>
      </c>
      <c r="B22" s="35" t="str">
        <f aca="false">IFERROR(INDEX(采购录入!$E$5:$E$404,MATCH(ROW()-8,采购录入!$AA$5:$AA$404,0)),"")</f>
        <v/>
      </c>
      <c r="C22" s="64" t="str">
        <f aca="false">IFERROR(INDEX(采购录入!$F$5:$F$404,MATCH(ROW()-8,采购录入!$AA$5:$AA$404,0)),"")</f>
        <v/>
      </c>
      <c r="D22" s="54" t="str">
        <f aca="false">IFERROR(INDEX(采购录入!$G$5:$G$404,MATCH(ROW()-8,采购录入!$AA$5:$AA$404,0)),"")</f>
        <v/>
      </c>
      <c r="E22" s="54" t="str">
        <f aca="false">IFERROR(INDEX(采购录入!$S$5:$S$404,MATCH(ROW()-8,采购录入!$AA$5:$AA$404,0)),"")</f>
        <v/>
      </c>
      <c r="F22" s="76" t="str">
        <f aca="false">IFERROR(INDEX(采购录入!$T$5:$T$404,MATCH(ROW()-8,采购录入!$AA$5:$AA$404,0)),"")</f>
        <v/>
      </c>
      <c r="H22" s="76" t="str">
        <f aca="false">IFERROR(INDEX(资金流水!$B$5:$B$504,MATCH(ROW()-8,资金流水!$W$5:$W$504,0)),"")</f>
        <v/>
      </c>
      <c r="I22" s="42" t="str">
        <f aca="false">IFERROR(INDEX(资金流水!$F$5:$F$504,MATCH(ROW()-8,资金流水!$W$5:$W$504,0)),"")</f>
        <v/>
      </c>
      <c r="J22" s="54" t="str">
        <f aca="false">IFERROR(INDEX(资金流水!$N$5:$N$504,MATCH(ROW()-8,资金流水!$W$5:$W$504,0)),"")</f>
        <v/>
      </c>
      <c r="K22" s="35" t="str">
        <f aca="false">IFERROR(INDEX(资金流水!$J$5:$J$504,MATCH(ROW()-8,资金流水!$W$5:$W$504,0)),"")</f>
        <v/>
      </c>
      <c r="L22" s="42" t="str">
        <f aca="false">IFERROR(INDEX(资金流水!$I$5:$I$504,MATCH(ROW()-8,资金流水!$W$5:$W$504,0)),"")</f>
        <v/>
      </c>
      <c r="M22" s="42" t="str">
        <f aca="false">IFERROR(INDEX(资金流水!$H$5:$H$504,MATCH(ROW()-8,资金流水!$W$5:$W$504,0)),"")</f>
        <v/>
      </c>
    </row>
    <row r="23" customFormat="false" ht="15.75" hidden="false" customHeight="true" outlineLevel="0" collapsed="false">
      <c r="A23" s="76" t="str">
        <f aca="false">IFERROR(INDEX(采购录入!$B$5:$B$404,MATCH(ROW()-8,采购录入!$AA$5:$AA$404,0)),"")</f>
        <v/>
      </c>
      <c r="B23" s="35" t="str">
        <f aca="false">IFERROR(INDEX(采购录入!$E$5:$E$404,MATCH(ROW()-8,采购录入!$AA$5:$AA$404,0)),"")</f>
        <v/>
      </c>
      <c r="C23" s="64" t="str">
        <f aca="false">IFERROR(INDEX(采购录入!$F$5:$F$404,MATCH(ROW()-8,采购录入!$AA$5:$AA$404,0)),"")</f>
        <v/>
      </c>
      <c r="D23" s="54" t="str">
        <f aca="false">IFERROR(INDEX(采购录入!$G$5:$G$404,MATCH(ROW()-8,采购录入!$AA$5:$AA$404,0)),"")</f>
        <v/>
      </c>
      <c r="E23" s="54" t="str">
        <f aca="false">IFERROR(INDEX(采购录入!$S$5:$S$404,MATCH(ROW()-8,采购录入!$AA$5:$AA$404,0)),"")</f>
        <v/>
      </c>
      <c r="F23" s="76" t="str">
        <f aca="false">IFERROR(INDEX(采购录入!$T$5:$T$404,MATCH(ROW()-8,采购录入!$AA$5:$AA$404,0)),"")</f>
        <v/>
      </c>
      <c r="H23" s="76" t="str">
        <f aca="false">IFERROR(INDEX(资金流水!$B$5:$B$504,MATCH(ROW()-8,资金流水!$W$5:$W$504,0)),"")</f>
        <v/>
      </c>
      <c r="I23" s="42" t="str">
        <f aca="false">IFERROR(INDEX(资金流水!$F$5:$F$504,MATCH(ROW()-8,资金流水!$W$5:$W$504,0)),"")</f>
        <v/>
      </c>
      <c r="J23" s="54" t="str">
        <f aca="false">IFERROR(INDEX(资金流水!$N$5:$N$504,MATCH(ROW()-8,资金流水!$W$5:$W$504,0)),"")</f>
        <v/>
      </c>
      <c r="K23" s="35" t="str">
        <f aca="false">IFERROR(INDEX(资金流水!$J$5:$J$504,MATCH(ROW()-8,资金流水!$W$5:$W$504,0)),"")</f>
        <v/>
      </c>
      <c r="L23" s="42" t="str">
        <f aca="false">IFERROR(INDEX(资金流水!$I$5:$I$504,MATCH(ROW()-8,资金流水!$W$5:$W$504,0)),"")</f>
        <v/>
      </c>
      <c r="M23" s="42" t="str">
        <f aca="false">IFERROR(INDEX(资金流水!$H$5:$H$504,MATCH(ROW()-8,资金流水!$W$5:$W$504,0)),"")</f>
        <v/>
      </c>
    </row>
    <row r="24" customFormat="false" ht="15.75" hidden="false" customHeight="true" outlineLevel="0" collapsed="false">
      <c r="A24" s="76" t="str">
        <f aca="false">IFERROR(INDEX(采购录入!$B$5:$B$404,MATCH(ROW()-8,采购录入!$AA$5:$AA$404,0)),"")</f>
        <v/>
      </c>
      <c r="B24" s="35" t="str">
        <f aca="false">IFERROR(INDEX(采购录入!$E$5:$E$404,MATCH(ROW()-8,采购录入!$AA$5:$AA$404,0)),"")</f>
        <v/>
      </c>
      <c r="C24" s="64" t="str">
        <f aca="false">IFERROR(INDEX(采购录入!$F$5:$F$404,MATCH(ROW()-8,采购录入!$AA$5:$AA$404,0)),"")</f>
        <v/>
      </c>
      <c r="D24" s="54" t="str">
        <f aca="false">IFERROR(INDEX(采购录入!$G$5:$G$404,MATCH(ROW()-8,采购录入!$AA$5:$AA$404,0)),"")</f>
        <v/>
      </c>
      <c r="E24" s="54" t="str">
        <f aca="false">IFERROR(INDEX(采购录入!$S$5:$S$404,MATCH(ROW()-8,采购录入!$AA$5:$AA$404,0)),"")</f>
        <v/>
      </c>
      <c r="F24" s="76" t="str">
        <f aca="false">IFERROR(INDEX(采购录入!$T$5:$T$404,MATCH(ROW()-8,采购录入!$AA$5:$AA$404,0)),"")</f>
        <v/>
      </c>
      <c r="H24" s="76" t="str">
        <f aca="false">IFERROR(INDEX(资金流水!$B$5:$B$504,MATCH(ROW()-8,资金流水!$W$5:$W$504,0)),"")</f>
        <v/>
      </c>
      <c r="I24" s="42" t="str">
        <f aca="false">IFERROR(INDEX(资金流水!$F$5:$F$504,MATCH(ROW()-8,资金流水!$W$5:$W$504,0)),"")</f>
        <v/>
      </c>
      <c r="J24" s="54" t="str">
        <f aca="false">IFERROR(INDEX(资金流水!$N$5:$N$504,MATCH(ROW()-8,资金流水!$W$5:$W$504,0)),"")</f>
        <v/>
      </c>
      <c r="K24" s="35" t="str">
        <f aca="false">IFERROR(INDEX(资金流水!$J$5:$J$504,MATCH(ROW()-8,资金流水!$W$5:$W$504,0)),"")</f>
        <v/>
      </c>
      <c r="L24" s="42" t="str">
        <f aca="false">IFERROR(INDEX(资金流水!$I$5:$I$504,MATCH(ROW()-8,资金流水!$W$5:$W$504,0)),"")</f>
        <v/>
      </c>
      <c r="M24" s="42" t="str">
        <f aca="false">IFERROR(INDEX(资金流水!$H$5:$H$504,MATCH(ROW()-8,资金流水!$W$5:$W$504,0)),"")</f>
        <v/>
      </c>
    </row>
    <row r="25" customFormat="false" ht="15.75" hidden="false" customHeight="true" outlineLevel="0" collapsed="false">
      <c r="A25" s="76" t="str">
        <f aca="false">IFERROR(INDEX(采购录入!$B$5:$B$404,MATCH(ROW()-8,采购录入!$AA$5:$AA$404,0)),"")</f>
        <v/>
      </c>
      <c r="B25" s="35" t="str">
        <f aca="false">IFERROR(INDEX(采购录入!$E$5:$E$404,MATCH(ROW()-8,采购录入!$AA$5:$AA$404,0)),"")</f>
        <v/>
      </c>
      <c r="C25" s="64" t="str">
        <f aca="false">IFERROR(INDEX(采购录入!$F$5:$F$404,MATCH(ROW()-8,采购录入!$AA$5:$AA$404,0)),"")</f>
        <v/>
      </c>
      <c r="D25" s="54" t="str">
        <f aca="false">IFERROR(INDEX(采购录入!$G$5:$G$404,MATCH(ROW()-8,采购录入!$AA$5:$AA$404,0)),"")</f>
        <v/>
      </c>
      <c r="E25" s="54" t="str">
        <f aca="false">IFERROR(INDEX(采购录入!$S$5:$S$404,MATCH(ROW()-8,采购录入!$AA$5:$AA$404,0)),"")</f>
        <v/>
      </c>
      <c r="F25" s="76" t="str">
        <f aca="false">IFERROR(INDEX(采购录入!$T$5:$T$404,MATCH(ROW()-8,采购录入!$AA$5:$AA$404,0)),"")</f>
        <v/>
      </c>
      <c r="H25" s="76" t="str">
        <f aca="false">IFERROR(INDEX(资金流水!$B$5:$B$504,MATCH(ROW()-8,资金流水!$W$5:$W$504,0)),"")</f>
        <v/>
      </c>
      <c r="I25" s="42" t="str">
        <f aca="false">IFERROR(INDEX(资金流水!$F$5:$F$504,MATCH(ROW()-8,资金流水!$W$5:$W$504,0)),"")</f>
        <v/>
      </c>
      <c r="J25" s="54" t="str">
        <f aca="false">IFERROR(INDEX(资金流水!$N$5:$N$504,MATCH(ROW()-8,资金流水!$W$5:$W$504,0)),"")</f>
        <v/>
      </c>
      <c r="K25" s="35" t="str">
        <f aca="false">IFERROR(INDEX(资金流水!$J$5:$J$504,MATCH(ROW()-8,资金流水!$W$5:$W$504,0)),"")</f>
        <v/>
      </c>
      <c r="L25" s="42" t="str">
        <f aca="false">IFERROR(INDEX(资金流水!$I$5:$I$504,MATCH(ROW()-8,资金流水!$W$5:$W$504,0)),"")</f>
        <v/>
      </c>
      <c r="M25" s="42" t="str">
        <f aca="false">IFERROR(INDEX(资金流水!$H$5:$H$504,MATCH(ROW()-8,资金流水!$W$5:$W$504,0)),"")</f>
        <v/>
      </c>
    </row>
    <row r="26" customFormat="false" ht="15.75" hidden="false" customHeight="true" outlineLevel="0" collapsed="false">
      <c r="A26" s="76" t="str">
        <f aca="false">IFERROR(INDEX(采购录入!$B$5:$B$404,MATCH(ROW()-8,采购录入!$AA$5:$AA$404,0)),"")</f>
        <v/>
      </c>
      <c r="B26" s="35" t="str">
        <f aca="false">IFERROR(INDEX(采购录入!$E$5:$E$404,MATCH(ROW()-8,采购录入!$AA$5:$AA$404,0)),"")</f>
        <v/>
      </c>
      <c r="C26" s="64" t="str">
        <f aca="false">IFERROR(INDEX(采购录入!$F$5:$F$404,MATCH(ROW()-8,采购录入!$AA$5:$AA$404,0)),"")</f>
        <v/>
      </c>
      <c r="D26" s="54" t="str">
        <f aca="false">IFERROR(INDEX(采购录入!$G$5:$G$404,MATCH(ROW()-8,采购录入!$AA$5:$AA$404,0)),"")</f>
        <v/>
      </c>
      <c r="E26" s="54" t="str">
        <f aca="false">IFERROR(INDEX(采购录入!$S$5:$S$404,MATCH(ROW()-8,采购录入!$AA$5:$AA$404,0)),"")</f>
        <v/>
      </c>
      <c r="F26" s="76" t="str">
        <f aca="false">IFERROR(INDEX(采购录入!$T$5:$T$404,MATCH(ROW()-8,采购录入!$AA$5:$AA$404,0)),"")</f>
        <v/>
      </c>
      <c r="H26" s="76" t="str">
        <f aca="false">IFERROR(INDEX(资金流水!$B$5:$B$504,MATCH(ROW()-8,资金流水!$W$5:$W$504,0)),"")</f>
        <v/>
      </c>
      <c r="I26" s="42" t="str">
        <f aca="false">IFERROR(INDEX(资金流水!$F$5:$F$504,MATCH(ROW()-8,资金流水!$W$5:$W$504,0)),"")</f>
        <v/>
      </c>
      <c r="J26" s="54" t="str">
        <f aca="false">IFERROR(INDEX(资金流水!$N$5:$N$504,MATCH(ROW()-8,资金流水!$W$5:$W$504,0)),"")</f>
        <v/>
      </c>
      <c r="K26" s="35" t="str">
        <f aca="false">IFERROR(INDEX(资金流水!$J$5:$J$504,MATCH(ROW()-8,资金流水!$W$5:$W$504,0)),"")</f>
        <v/>
      </c>
      <c r="L26" s="42" t="str">
        <f aca="false">IFERROR(INDEX(资金流水!$I$5:$I$504,MATCH(ROW()-8,资金流水!$W$5:$W$504,0)),"")</f>
        <v/>
      </c>
      <c r="M26" s="42" t="str">
        <f aca="false">IFERROR(INDEX(资金流水!$H$5:$H$504,MATCH(ROW()-8,资金流水!$W$5:$W$504,0)),"")</f>
        <v/>
      </c>
    </row>
    <row r="27" customFormat="false" ht="15.75" hidden="false" customHeight="true" outlineLevel="0" collapsed="false">
      <c r="A27" s="76" t="str">
        <f aca="false">IFERROR(INDEX(采购录入!$B$5:$B$404,MATCH(ROW()-8,采购录入!$AA$5:$AA$404,0)),"")</f>
        <v/>
      </c>
      <c r="B27" s="35" t="str">
        <f aca="false">IFERROR(INDEX(采购录入!$E$5:$E$404,MATCH(ROW()-8,采购录入!$AA$5:$AA$404,0)),"")</f>
        <v/>
      </c>
      <c r="C27" s="64" t="str">
        <f aca="false">IFERROR(INDEX(采购录入!$F$5:$F$404,MATCH(ROW()-8,采购录入!$AA$5:$AA$404,0)),"")</f>
        <v/>
      </c>
      <c r="D27" s="54" t="str">
        <f aca="false">IFERROR(INDEX(采购录入!$G$5:$G$404,MATCH(ROW()-8,采购录入!$AA$5:$AA$404,0)),"")</f>
        <v/>
      </c>
      <c r="E27" s="54" t="str">
        <f aca="false">IFERROR(INDEX(采购录入!$S$5:$S$404,MATCH(ROW()-8,采购录入!$AA$5:$AA$404,0)),"")</f>
        <v/>
      </c>
      <c r="F27" s="76" t="str">
        <f aca="false">IFERROR(INDEX(采购录入!$T$5:$T$404,MATCH(ROW()-8,采购录入!$AA$5:$AA$404,0)),"")</f>
        <v/>
      </c>
      <c r="H27" s="76" t="str">
        <f aca="false">IFERROR(INDEX(资金流水!$B$5:$B$504,MATCH(ROW()-8,资金流水!$W$5:$W$504,0)),"")</f>
        <v/>
      </c>
      <c r="I27" s="42" t="str">
        <f aca="false">IFERROR(INDEX(资金流水!$F$5:$F$504,MATCH(ROW()-8,资金流水!$W$5:$W$504,0)),"")</f>
        <v/>
      </c>
      <c r="J27" s="54" t="str">
        <f aca="false">IFERROR(INDEX(资金流水!$N$5:$N$504,MATCH(ROW()-8,资金流水!$W$5:$W$504,0)),"")</f>
        <v/>
      </c>
      <c r="K27" s="35" t="str">
        <f aca="false">IFERROR(INDEX(资金流水!$J$5:$J$504,MATCH(ROW()-8,资金流水!$W$5:$W$504,0)),"")</f>
        <v/>
      </c>
      <c r="L27" s="42" t="str">
        <f aca="false">IFERROR(INDEX(资金流水!$I$5:$I$504,MATCH(ROW()-8,资金流水!$W$5:$W$504,0)),"")</f>
        <v/>
      </c>
      <c r="M27" s="42" t="str">
        <f aca="false">IFERROR(INDEX(资金流水!$H$5:$H$504,MATCH(ROW()-8,资金流水!$W$5:$W$504,0)),"")</f>
        <v/>
      </c>
    </row>
    <row r="28" customFormat="false" ht="15.75" hidden="false" customHeight="true" outlineLevel="0" collapsed="false">
      <c r="A28" s="76" t="str">
        <f aca="false">IFERROR(INDEX(采购录入!$B$5:$B$404,MATCH(ROW()-8,采购录入!$AA$5:$AA$404,0)),"")</f>
        <v/>
      </c>
      <c r="B28" s="35" t="str">
        <f aca="false">IFERROR(INDEX(采购录入!$E$5:$E$404,MATCH(ROW()-8,采购录入!$AA$5:$AA$404,0)),"")</f>
        <v/>
      </c>
      <c r="C28" s="64" t="str">
        <f aca="false">IFERROR(INDEX(采购录入!$F$5:$F$404,MATCH(ROW()-8,采购录入!$AA$5:$AA$404,0)),"")</f>
        <v/>
      </c>
      <c r="D28" s="54" t="str">
        <f aca="false">IFERROR(INDEX(采购录入!$G$5:$G$404,MATCH(ROW()-8,采购录入!$AA$5:$AA$404,0)),"")</f>
        <v/>
      </c>
      <c r="E28" s="54" t="str">
        <f aca="false">IFERROR(INDEX(采购录入!$S$5:$S$404,MATCH(ROW()-8,采购录入!$AA$5:$AA$404,0)),"")</f>
        <v/>
      </c>
      <c r="F28" s="76" t="str">
        <f aca="false">IFERROR(INDEX(采购录入!$T$5:$T$404,MATCH(ROW()-8,采购录入!$AA$5:$AA$404,0)),"")</f>
        <v/>
      </c>
      <c r="H28" s="76" t="str">
        <f aca="false">IFERROR(INDEX(资金流水!$B$5:$B$504,MATCH(ROW()-8,资金流水!$W$5:$W$504,0)),"")</f>
        <v/>
      </c>
      <c r="I28" s="42" t="str">
        <f aca="false">IFERROR(INDEX(资金流水!$F$5:$F$504,MATCH(ROW()-8,资金流水!$W$5:$W$504,0)),"")</f>
        <v/>
      </c>
      <c r="J28" s="54" t="str">
        <f aca="false">IFERROR(INDEX(资金流水!$N$5:$N$504,MATCH(ROW()-8,资金流水!$W$5:$W$504,0)),"")</f>
        <v/>
      </c>
      <c r="K28" s="35" t="str">
        <f aca="false">IFERROR(INDEX(资金流水!$J$5:$J$504,MATCH(ROW()-8,资金流水!$W$5:$W$504,0)),"")</f>
        <v/>
      </c>
      <c r="L28" s="42" t="str">
        <f aca="false">IFERROR(INDEX(资金流水!$I$5:$I$504,MATCH(ROW()-8,资金流水!$W$5:$W$504,0)),"")</f>
        <v/>
      </c>
      <c r="M28" s="42" t="str">
        <f aca="false">IFERROR(INDEX(资金流水!$H$5:$H$504,MATCH(ROW()-8,资金流水!$W$5:$W$504,0)),"")</f>
        <v/>
      </c>
    </row>
    <row r="29" customFormat="false" ht="15.75" hidden="false" customHeight="true" outlineLevel="0" collapsed="false">
      <c r="A29" s="76" t="str">
        <f aca="false">IFERROR(INDEX(采购录入!$B$5:$B$404,MATCH(ROW()-8,采购录入!$AA$5:$AA$404,0)),"")</f>
        <v/>
      </c>
      <c r="B29" s="35" t="str">
        <f aca="false">IFERROR(INDEX(采购录入!$E$5:$E$404,MATCH(ROW()-8,采购录入!$AA$5:$AA$404,0)),"")</f>
        <v/>
      </c>
      <c r="C29" s="64" t="str">
        <f aca="false">IFERROR(INDEX(采购录入!$F$5:$F$404,MATCH(ROW()-8,采购录入!$AA$5:$AA$404,0)),"")</f>
        <v/>
      </c>
      <c r="D29" s="54" t="str">
        <f aca="false">IFERROR(INDEX(采购录入!$G$5:$G$404,MATCH(ROW()-8,采购录入!$AA$5:$AA$404,0)),"")</f>
        <v/>
      </c>
      <c r="E29" s="54" t="str">
        <f aca="false">IFERROR(INDEX(采购录入!$S$5:$S$404,MATCH(ROW()-8,采购录入!$AA$5:$AA$404,0)),"")</f>
        <v/>
      </c>
      <c r="F29" s="76" t="str">
        <f aca="false">IFERROR(INDEX(采购录入!$T$5:$T$404,MATCH(ROW()-8,采购录入!$AA$5:$AA$404,0)),"")</f>
        <v/>
      </c>
      <c r="H29" s="76" t="str">
        <f aca="false">IFERROR(INDEX(资金流水!$B$5:$B$504,MATCH(ROW()-8,资金流水!$W$5:$W$504,0)),"")</f>
        <v/>
      </c>
      <c r="I29" s="42" t="str">
        <f aca="false">IFERROR(INDEX(资金流水!$F$5:$F$504,MATCH(ROW()-8,资金流水!$W$5:$W$504,0)),"")</f>
        <v/>
      </c>
      <c r="J29" s="54" t="str">
        <f aca="false">IFERROR(INDEX(资金流水!$N$5:$N$504,MATCH(ROW()-8,资金流水!$W$5:$W$504,0)),"")</f>
        <v/>
      </c>
      <c r="K29" s="35" t="str">
        <f aca="false">IFERROR(INDEX(资金流水!$J$5:$J$504,MATCH(ROW()-8,资金流水!$W$5:$W$504,0)),"")</f>
        <v/>
      </c>
      <c r="L29" s="42" t="str">
        <f aca="false">IFERROR(INDEX(资金流水!$I$5:$I$504,MATCH(ROW()-8,资金流水!$W$5:$W$504,0)),"")</f>
        <v/>
      </c>
      <c r="M29" s="42" t="str">
        <f aca="false">IFERROR(INDEX(资金流水!$H$5:$H$504,MATCH(ROW()-8,资金流水!$W$5:$W$504,0)),"")</f>
        <v/>
      </c>
    </row>
    <row r="30" customFormat="false" ht="15.75" hidden="false" customHeight="true" outlineLevel="0" collapsed="false">
      <c r="A30" s="76" t="str">
        <f aca="false">IFERROR(INDEX(采购录入!$B$5:$B$404,MATCH(ROW()-8,采购录入!$AA$5:$AA$404,0)),"")</f>
        <v/>
      </c>
      <c r="B30" s="35" t="str">
        <f aca="false">IFERROR(INDEX(采购录入!$E$5:$E$404,MATCH(ROW()-8,采购录入!$AA$5:$AA$404,0)),"")</f>
        <v/>
      </c>
      <c r="C30" s="64" t="str">
        <f aca="false">IFERROR(INDEX(采购录入!$F$5:$F$404,MATCH(ROW()-8,采购录入!$AA$5:$AA$404,0)),"")</f>
        <v/>
      </c>
      <c r="D30" s="54" t="str">
        <f aca="false">IFERROR(INDEX(采购录入!$G$5:$G$404,MATCH(ROW()-8,采购录入!$AA$5:$AA$404,0)),"")</f>
        <v/>
      </c>
      <c r="E30" s="54" t="str">
        <f aca="false">IFERROR(INDEX(采购录入!$S$5:$S$404,MATCH(ROW()-8,采购录入!$AA$5:$AA$404,0)),"")</f>
        <v/>
      </c>
      <c r="F30" s="76" t="str">
        <f aca="false">IFERROR(INDEX(采购录入!$T$5:$T$404,MATCH(ROW()-8,采购录入!$AA$5:$AA$404,0)),"")</f>
        <v/>
      </c>
      <c r="H30" s="76" t="str">
        <f aca="false">IFERROR(INDEX(资金流水!$B$5:$B$504,MATCH(ROW()-8,资金流水!$W$5:$W$504,0)),"")</f>
        <v/>
      </c>
      <c r="I30" s="42" t="str">
        <f aca="false">IFERROR(INDEX(资金流水!$F$5:$F$504,MATCH(ROW()-8,资金流水!$W$5:$W$504,0)),"")</f>
        <v/>
      </c>
      <c r="J30" s="54" t="str">
        <f aca="false">IFERROR(INDEX(资金流水!$N$5:$N$504,MATCH(ROW()-8,资金流水!$W$5:$W$504,0)),"")</f>
        <v/>
      </c>
      <c r="K30" s="35" t="str">
        <f aca="false">IFERROR(INDEX(资金流水!$J$5:$J$504,MATCH(ROW()-8,资金流水!$W$5:$W$504,0)),"")</f>
        <v/>
      </c>
      <c r="L30" s="42" t="str">
        <f aca="false">IFERROR(INDEX(资金流水!$I$5:$I$504,MATCH(ROW()-8,资金流水!$W$5:$W$504,0)),"")</f>
        <v/>
      </c>
      <c r="M30" s="42" t="str">
        <f aca="false">IFERROR(INDEX(资金流水!$H$5:$H$504,MATCH(ROW()-8,资金流水!$W$5:$W$504,0)),"")</f>
        <v/>
      </c>
    </row>
    <row r="31" customFormat="false" ht="15.75" hidden="false" customHeight="true" outlineLevel="0" collapsed="false">
      <c r="A31" s="76" t="str">
        <f aca="false">IFERROR(INDEX(采购录入!$B$5:$B$404,MATCH(ROW()-8,采购录入!$AA$5:$AA$404,0)),"")</f>
        <v/>
      </c>
      <c r="B31" s="35" t="str">
        <f aca="false">IFERROR(INDEX(采购录入!$E$5:$E$404,MATCH(ROW()-8,采购录入!$AA$5:$AA$404,0)),"")</f>
        <v/>
      </c>
      <c r="C31" s="64" t="str">
        <f aca="false">IFERROR(INDEX(采购录入!$F$5:$F$404,MATCH(ROW()-8,采购录入!$AA$5:$AA$404,0)),"")</f>
        <v/>
      </c>
      <c r="D31" s="54" t="str">
        <f aca="false">IFERROR(INDEX(采购录入!$G$5:$G$404,MATCH(ROW()-8,采购录入!$AA$5:$AA$404,0)),"")</f>
        <v/>
      </c>
      <c r="E31" s="54" t="str">
        <f aca="false">IFERROR(INDEX(采购录入!$S$5:$S$404,MATCH(ROW()-8,采购录入!$AA$5:$AA$404,0)),"")</f>
        <v/>
      </c>
      <c r="F31" s="76" t="str">
        <f aca="false">IFERROR(INDEX(采购录入!$T$5:$T$404,MATCH(ROW()-8,采购录入!$AA$5:$AA$404,0)),"")</f>
        <v/>
      </c>
      <c r="H31" s="76" t="str">
        <f aca="false">IFERROR(INDEX(资金流水!$B$5:$B$504,MATCH(ROW()-8,资金流水!$W$5:$W$504,0)),"")</f>
        <v/>
      </c>
      <c r="I31" s="42" t="str">
        <f aca="false">IFERROR(INDEX(资金流水!$F$5:$F$504,MATCH(ROW()-8,资金流水!$W$5:$W$504,0)),"")</f>
        <v/>
      </c>
      <c r="J31" s="54" t="str">
        <f aca="false">IFERROR(INDEX(资金流水!$N$5:$N$504,MATCH(ROW()-8,资金流水!$W$5:$W$504,0)),"")</f>
        <v/>
      </c>
      <c r="K31" s="35" t="str">
        <f aca="false">IFERROR(INDEX(资金流水!$J$5:$J$504,MATCH(ROW()-8,资金流水!$W$5:$W$504,0)),"")</f>
        <v/>
      </c>
      <c r="L31" s="42" t="str">
        <f aca="false">IFERROR(INDEX(资金流水!$I$5:$I$504,MATCH(ROW()-8,资金流水!$W$5:$W$504,0)),"")</f>
        <v/>
      </c>
      <c r="M31" s="42" t="str">
        <f aca="false">IFERROR(INDEX(资金流水!$H$5:$H$504,MATCH(ROW()-8,资金流水!$W$5:$W$504,0)),"")</f>
        <v/>
      </c>
    </row>
    <row r="32" customFormat="false" ht="15.75" hidden="false" customHeight="true" outlineLevel="0" collapsed="false">
      <c r="A32" s="76" t="str">
        <f aca="false">IFERROR(INDEX(采购录入!$B$5:$B$404,MATCH(ROW()-8,采购录入!$AA$5:$AA$404,0)),"")</f>
        <v/>
      </c>
      <c r="B32" s="35" t="str">
        <f aca="false">IFERROR(INDEX(采购录入!$E$5:$E$404,MATCH(ROW()-8,采购录入!$AA$5:$AA$404,0)),"")</f>
        <v/>
      </c>
      <c r="C32" s="64" t="str">
        <f aca="false">IFERROR(INDEX(采购录入!$F$5:$F$404,MATCH(ROW()-8,采购录入!$AA$5:$AA$404,0)),"")</f>
        <v/>
      </c>
      <c r="D32" s="54" t="str">
        <f aca="false">IFERROR(INDEX(采购录入!$G$5:$G$404,MATCH(ROW()-8,采购录入!$AA$5:$AA$404,0)),"")</f>
        <v/>
      </c>
      <c r="E32" s="54" t="str">
        <f aca="false">IFERROR(INDEX(采购录入!$S$5:$S$404,MATCH(ROW()-8,采购录入!$AA$5:$AA$404,0)),"")</f>
        <v/>
      </c>
      <c r="F32" s="76" t="str">
        <f aca="false">IFERROR(INDEX(采购录入!$T$5:$T$404,MATCH(ROW()-8,采购录入!$AA$5:$AA$404,0)),"")</f>
        <v/>
      </c>
      <c r="H32" s="76" t="str">
        <f aca="false">IFERROR(INDEX(资金流水!$B$5:$B$504,MATCH(ROW()-8,资金流水!$W$5:$W$504,0)),"")</f>
        <v/>
      </c>
      <c r="I32" s="42" t="str">
        <f aca="false">IFERROR(INDEX(资金流水!$F$5:$F$504,MATCH(ROW()-8,资金流水!$W$5:$W$504,0)),"")</f>
        <v/>
      </c>
      <c r="J32" s="54" t="str">
        <f aca="false">IFERROR(INDEX(资金流水!$N$5:$N$504,MATCH(ROW()-8,资金流水!$W$5:$W$504,0)),"")</f>
        <v/>
      </c>
      <c r="K32" s="35" t="str">
        <f aca="false">IFERROR(INDEX(资金流水!$J$5:$J$504,MATCH(ROW()-8,资金流水!$W$5:$W$504,0)),"")</f>
        <v/>
      </c>
      <c r="L32" s="42" t="str">
        <f aca="false">IFERROR(INDEX(资金流水!$I$5:$I$504,MATCH(ROW()-8,资金流水!$W$5:$W$504,0)),"")</f>
        <v/>
      </c>
      <c r="M32" s="42" t="str">
        <f aca="false">IFERROR(INDEX(资金流水!$H$5:$H$504,MATCH(ROW()-8,资金流水!$W$5:$W$504,0)),"")</f>
        <v/>
      </c>
    </row>
    <row r="33" customFormat="false" ht="15.75" hidden="false" customHeight="true" outlineLevel="0" collapsed="false">
      <c r="A33" s="76" t="str">
        <f aca="false">IFERROR(INDEX(采购录入!$B$5:$B$404,MATCH(ROW()-8,采购录入!$AA$5:$AA$404,0)),"")</f>
        <v/>
      </c>
      <c r="B33" s="35" t="str">
        <f aca="false">IFERROR(INDEX(采购录入!$E$5:$E$404,MATCH(ROW()-8,采购录入!$AA$5:$AA$404,0)),"")</f>
        <v/>
      </c>
      <c r="C33" s="64" t="str">
        <f aca="false">IFERROR(INDEX(采购录入!$F$5:$F$404,MATCH(ROW()-8,采购录入!$AA$5:$AA$404,0)),"")</f>
        <v/>
      </c>
      <c r="D33" s="54" t="str">
        <f aca="false">IFERROR(INDEX(采购录入!$G$5:$G$404,MATCH(ROW()-8,采购录入!$AA$5:$AA$404,0)),"")</f>
        <v/>
      </c>
      <c r="E33" s="54" t="str">
        <f aca="false">IFERROR(INDEX(采购录入!$S$5:$S$404,MATCH(ROW()-8,采购录入!$AA$5:$AA$404,0)),"")</f>
        <v/>
      </c>
      <c r="F33" s="76" t="str">
        <f aca="false">IFERROR(INDEX(采购录入!$T$5:$T$404,MATCH(ROW()-8,采购录入!$AA$5:$AA$404,0)),"")</f>
        <v/>
      </c>
      <c r="H33" s="76" t="str">
        <f aca="false">IFERROR(INDEX(资金流水!$B$5:$B$504,MATCH(ROW()-8,资金流水!$W$5:$W$504,0)),"")</f>
        <v/>
      </c>
      <c r="I33" s="42" t="str">
        <f aca="false">IFERROR(INDEX(资金流水!$F$5:$F$504,MATCH(ROW()-8,资金流水!$W$5:$W$504,0)),"")</f>
        <v/>
      </c>
      <c r="J33" s="54" t="str">
        <f aca="false">IFERROR(INDEX(资金流水!$N$5:$N$504,MATCH(ROW()-8,资金流水!$W$5:$W$504,0)),"")</f>
        <v/>
      </c>
      <c r="K33" s="35" t="str">
        <f aca="false">IFERROR(INDEX(资金流水!$J$5:$J$504,MATCH(ROW()-8,资金流水!$W$5:$W$504,0)),"")</f>
        <v/>
      </c>
      <c r="L33" s="42" t="str">
        <f aca="false">IFERROR(INDEX(资金流水!$I$5:$I$504,MATCH(ROW()-8,资金流水!$W$5:$W$504,0)),"")</f>
        <v/>
      </c>
      <c r="M33" s="42" t="str">
        <f aca="false">IFERROR(INDEX(资金流水!$H$5:$H$504,MATCH(ROW()-8,资金流水!$W$5:$W$504,0)),"")</f>
        <v/>
      </c>
    </row>
    <row r="34" customFormat="false" ht="15.75" hidden="false" customHeight="true" outlineLevel="0" collapsed="false">
      <c r="A34" s="76" t="str">
        <f aca="false">IFERROR(INDEX(采购录入!$B$5:$B$404,MATCH(ROW()-8,采购录入!$AA$5:$AA$404,0)),"")</f>
        <v/>
      </c>
      <c r="B34" s="35" t="str">
        <f aca="false">IFERROR(INDEX(采购录入!$E$5:$E$404,MATCH(ROW()-8,采购录入!$AA$5:$AA$404,0)),"")</f>
        <v/>
      </c>
      <c r="C34" s="64" t="str">
        <f aca="false">IFERROR(INDEX(采购录入!$F$5:$F$404,MATCH(ROW()-8,采购录入!$AA$5:$AA$404,0)),"")</f>
        <v/>
      </c>
      <c r="D34" s="54" t="str">
        <f aca="false">IFERROR(INDEX(采购录入!$G$5:$G$404,MATCH(ROW()-8,采购录入!$AA$5:$AA$404,0)),"")</f>
        <v/>
      </c>
      <c r="E34" s="54" t="str">
        <f aca="false">IFERROR(INDEX(采购录入!$S$5:$S$404,MATCH(ROW()-8,采购录入!$AA$5:$AA$404,0)),"")</f>
        <v/>
      </c>
      <c r="F34" s="76" t="str">
        <f aca="false">IFERROR(INDEX(采购录入!$T$5:$T$404,MATCH(ROW()-8,采购录入!$AA$5:$AA$404,0)),"")</f>
        <v/>
      </c>
      <c r="H34" s="76" t="str">
        <f aca="false">IFERROR(INDEX(资金流水!$B$5:$B$504,MATCH(ROW()-8,资金流水!$W$5:$W$504,0)),"")</f>
        <v/>
      </c>
      <c r="I34" s="42" t="str">
        <f aca="false">IFERROR(INDEX(资金流水!$F$5:$F$504,MATCH(ROW()-8,资金流水!$W$5:$W$504,0)),"")</f>
        <v/>
      </c>
      <c r="J34" s="54" t="str">
        <f aca="false">IFERROR(INDEX(资金流水!$N$5:$N$504,MATCH(ROW()-8,资金流水!$W$5:$W$504,0)),"")</f>
        <v/>
      </c>
      <c r="K34" s="35" t="str">
        <f aca="false">IFERROR(INDEX(资金流水!$J$5:$J$504,MATCH(ROW()-8,资金流水!$W$5:$W$504,0)),"")</f>
        <v/>
      </c>
      <c r="L34" s="42" t="str">
        <f aca="false">IFERROR(INDEX(资金流水!$I$5:$I$504,MATCH(ROW()-8,资金流水!$W$5:$W$504,0)),"")</f>
        <v/>
      </c>
      <c r="M34" s="42" t="str">
        <f aca="false">IFERROR(INDEX(资金流水!$H$5:$H$504,MATCH(ROW()-8,资金流水!$W$5:$W$504,0)),"")</f>
        <v/>
      </c>
    </row>
    <row r="35" customFormat="false" ht="15.75" hidden="false" customHeight="true" outlineLevel="0" collapsed="false">
      <c r="A35" s="76" t="str">
        <f aca="false">IFERROR(INDEX(采购录入!$B$5:$B$404,MATCH(ROW()-8,采购录入!$AA$5:$AA$404,0)),"")</f>
        <v/>
      </c>
      <c r="B35" s="35" t="str">
        <f aca="false">IFERROR(INDEX(采购录入!$E$5:$E$404,MATCH(ROW()-8,采购录入!$AA$5:$AA$404,0)),"")</f>
        <v/>
      </c>
      <c r="C35" s="64" t="str">
        <f aca="false">IFERROR(INDEX(采购录入!$F$5:$F$404,MATCH(ROW()-8,采购录入!$AA$5:$AA$404,0)),"")</f>
        <v/>
      </c>
      <c r="D35" s="54" t="str">
        <f aca="false">IFERROR(INDEX(采购录入!$G$5:$G$404,MATCH(ROW()-8,采购录入!$AA$5:$AA$404,0)),"")</f>
        <v/>
      </c>
      <c r="E35" s="54" t="str">
        <f aca="false">IFERROR(INDEX(采购录入!$S$5:$S$404,MATCH(ROW()-8,采购录入!$AA$5:$AA$404,0)),"")</f>
        <v/>
      </c>
      <c r="F35" s="76" t="str">
        <f aca="false">IFERROR(INDEX(采购录入!$T$5:$T$404,MATCH(ROW()-8,采购录入!$AA$5:$AA$404,0)),"")</f>
        <v/>
      </c>
      <c r="H35" s="76" t="str">
        <f aca="false">IFERROR(INDEX(资金流水!$B$5:$B$504,MATCH(ROW()-8,资金流水!$W$5:$W$504,0)),"")</f>
        <v/>
      </c>
      <c r="I35" s="42" t="str">
        <f aca="false">IFERROR(INDEX(资金流水!$F$5:$F$504,MATCH(ROW()-8,资金流水!$W$5:$W$504,0)),"")</f>
        <v/>
      </c>
      <c r="J35" s="54" t="str">
        <f aca="false">IFERROR(INDEX(资金流水!$N$5:$N$504,MATCH(ROW()-8,资金流水!$W$5:$W$504,0)),"")</f>
        <v/>
      </c>
      <c r="K35" s="35" t="str">
        <f aca="false">IFERROR(INDEX(资金流水!$J$5:$J$504,MATCH(ROW()-8,资金流水!$W$5:$W$504,0)),"")</f>
        <v/>
      </c>
      <c r="L35" s="42" t="str">
        <f aca="false">IFERROR(INDEX(资金流水!$I$5:$I$504,MATCH(ROW()-8,资金流水!$W$5:$W$504,0)),"")</f>
        <v/>
      </c>
      <c r="M35" s="42" t="str">
        <f aca="false">IFERROR(INDEX(资金流水!$H$5:$H$504,MATCH(ROW()-8,资金流水!$W$5:$W$504,0)),"")</f>
        <v/>
      </c>
    </row>
    <row r="36" customFormat="false" ht="15.75" hidden="false" customHeight="true" outlineLevel="0" collapsed="false">
      <c r="A36" s="76" t="str">
        <f aca="false">IFERROR(INDEX(采购录入!$B$5:$B$404,MATCH(ROW()-8,采购录入!$AA$5:$AA$404,0)),"")</f>
        <v/>
      </c>
      <c r="B36" s="35" t="str">
        <f aca="false">IFERROR(INDEX(采购录入!$E$5:$E$404,MATCH(ROW()-8,采购录入!$AA$5:$AA$404,0)),"")</f>
        <v/>
      </c>
      <c r="C36" s="64" t="str">
        <f aca="false">IFERROR(INDEX(采购录入!$F$5:$F$404,MATCH(ROW()-8,采购录入!$AA$5:$AA$404,0)),"")</f>
        <v/>
      </c>
      <c r="D36" s="54" t="str">
        <f aca="false">IFERROR(INDEX(采购录入!$G$5:$G$404,MATCH(ROW()-8,采购录入!$AA$5:$AA$404,0)),"")</f>
        <v/>
      </c>
      <c r="E36" s="54" t="str">
        <f aca="false">IFERROR(INDEX(采购录入!$S$5:$S$404,MATCH(ROW()-8,采购录入!$AA$5:$AA$404,0)),"")</f>
        <v/>
      </c>
      <c r="F36" s="76" t="str">
        <f aca="false">IFERROR(INDEX(采购录入!$T$5:$T$404,MATCH(ROW()-8,采购录入!$AA$5:$AA$404,0)),"")</f>
        <v/>
      </c>
      <c r="H36" s="76" t="str">
        <f aca="false">IFERROR(INDEX(资金流水!$B$5:$B$504,MATCH(ROW()-8,资金流水!$W$5:$W$504,0)),"")</f>
        <v/>
      </c>
      <c r="I36" s="42" t="str">
        <f aca="false">IFERROR(INDEX(资金流水!$F$5:$F$504,MATCH(ROW()-8,资金流水!$W$5:$W$504,0)),"")</f>
        <v/>
      </c>
      <c r="J36" s="54" t="str">
        <f aca="false">IFERROR(INDEX(资金流水!$N$5:$N$504,MATCH(ROW()-8,资金流水!$W$5:$W$504,0)),"")</f>
        <v/>
      </c>
      <c r="K36" s="35" t="str">
        <f aca="false">IFERROR(INDEX(资金流水!$J$5:$J$504,MATCH(ROW()-8,资金流水!$W$5:$W$504,0)),"")</f>
        <v/>
      </c>
      <c r="L36" s="42" t="str">
        <f aca="false">IFERROR(INDEX(资金流水!$I$5:$I$504,MATCH(ROW()-8,资金流水!$W$5:$W$504,0)),"")</f>
        <v/>
      </c>
      <c r="M36" s="42" t="str">
        <f aca="false">IFERROR(INDEX(资金流水!$H$5:$H$504,MATCH(ROW()-8,资金流水!$W$5:$W$504,0)),"")</f>
        <v/>
      </c>
    </row>
    <row r="37" customFormat="false" ht="15.75" hidden="false" customHeight="true" outlineLevel="0" collapsed="false">
      <c r="A37" s="76" t="str">
        <f aca="false">IFERROR(INDEX(采购录入!$B$5:$B$404,MATCH(ROW()-8,采购录入!$AA$5:$AA$404,0)),"")</f>
        <v/>
      </c>
      <c r="B37" s="35" t="str">
        <f aca="false">IFERROR(INDEX(采购录入!$E$5:$E$404,MATCH(ROW()-8,采购录入!$AA$5:$AA$404,0)),"")</f>
        <v/>
      </c>
      <c r="C37" s="64" t="str">
        <f aca="false">IFERROR(INDEX(采购录入!$F$5:$F$404,MATCH(ROW()-8,采购录入!$AA$5:$AA$404,0)),"")</f>
        <v/>
      </c>
      <c r="D37" s="54" t="str">
        <f aca="false">IFERROR(INDEX(采购录入!$G$5:$G$404,MATCH(ROW()-8,采购录入!$AA$5:$AA$404,0)),"")</f>
        <v/>
      </c>
      <c r="E37" s="54" t="str">
        <f aca="false">IFERROR(INDEX(采购录入!$S$5:$S$404,MATCH(ROW()-8,采购录入!$AA$5:$AA$404,0)),"")</f>
        <v/>
      </c>
      <c r="F37" s="76" t="str">
        <f aca="false">IFERROR(INDEX(采购录入!$T$5:$T$404,MATCH(ROW()-8,采购录入!$AA$5:$AA$404,0)),"")</f>
        <v/>
      </c>
      <c r="H37" s="76" t="str">
        <f aca="false">IFERROR(INDEX(资金流水!$B$5:$B$504,MATCH(ROW()-8,资金流水!$W$5:$W$504,0)),"")</f>
        <v/>
      </c>
      <c r="I37" s="42" t="str">
        <f aca="false">IFERROR(INDEX(资金流水!$F$5:$F$504,MATCH(ROW()-8,资金流水!$W$5:$W$504,0)),"")</f>
        <v/>
      </c>
      <c r="J37" s="54" t="str">
        <f aca="false">IFERROR(INDEX(资金流水!$N$5:$N$504,MATCH(ROW()-8,资金流水!$W$5:$W$504,0)),"")</f>
        <v/>
      </c>
      <c r="K37" s="35" t="str">
        <f aca="false">IFERROR(INDEX(资金流水!$J$5:$J$504,MATCH(ROW()-8,资金流水!$W$5:$W$504,0)),"")</f>
        <v/>
      </c>
      <c r="L37" s="42" t="str">
        <f aca="false">IFERROR(INDEX(资金流水!$I$5:$I$504,MATCH(ROW()-8,资金流水!$W$5:$W$504,0)),"")</f>
        <v/>
      </c>
      <c r="M37" s="42" t="str">
        <f aca="false">IFERROR(INDEX(资金流水!$H$5:$H$504,MATCH(ROW()-8,资金流水!$W$5:$W$504,0)),"")</f>
        <v/>
      </c>
    </row>
    <row r="38" customFormat="false" ht="15.75" hidden="false" customHeight="true" outlineLevel="0" collapsed="false">
      <c r="A38" s="76" t="str">
        <f aca="false">IFERROR(INDEX(采购录入!$B$5:$B$404,MATCH(ROW()-8,采购录入!$AA$5:$AA$404,0)),"")</f>
        <v/>
      </c>
      <c r="B38" s="35" t="str">
        <f aca="false">IFERROR(INDEX(采购录入!$E$5:$E$404,MATCH(ROW()-8,采购录入!$AA$5:$AA$404,0)),"")</f>
        <v/>
      </c>
      <c r="C38" s="64" t="str">
        <f aca="false">IFERROR(INDEX(采购录入!$F$5:$F$404,MATCH(ROW()-8,采购录入!$AA$5:$AA$404,0)),"")</f>
        <v/>
      </c>
      <c r="D38" s="54" t="str">
        <f aca="false">IFERROR(INDEX(采购录入!$G$5:$G$404,MATCH(ROW()-8,采购录入!$AA$5:$AA$404,0)),"")</f>
        <v/>
      </c>
      <c r="E38" s="54" t="str">
        <f aca="false">IFERROR(INDEX(采购录入!$S$5:$S$404,MATCH(ROW()-8,采购录入!$AA$5:$AA$404,0)),"")</f>
        <v/>
      </c>
      <c r="F38" s="76" t="str">
        <f aca="false">IFERROR(INDEX(采购录入!$T$5:$T$404,MATCH(ROW()-8,采购录入!$AA$5:$AA$404,0)),"")</f>
        <v/>
      </c>
      <c r="H38" s="76" t="str">
        <f aca="false">IFERROR(INDEX(资金流水!$B$5:$B$504,MATCH(ROW()-8,资金流水!$W$5:$W$504,0)),"")</f>
        <v/>
      </c>
      <c r="I38" s="42" t="str">
        <f aca="false">IFERROR(INDEX(资金流水!$F$5:$F$504,MATCH(ROW()-8,资金流水!$W$5:$W$504,0)),"")</f>
        <v/>
      </c>
      <c r="J38" s="54" t="str">
        <f aca="false">IFERROR(INDEX(资金流水!$N$5:$N$504,MATCH(ROW()-8,资金流水!$W$5:$W$504,0)),"")</f>
        <v/>
      </c>
      <c r="K38" s="35" t="str">
        <f aca="false">IFERROR(INDEX(资金流水!$J$5:$J$504,MATCH(ROW()-8,资金流水!$W$5:$W$504,0)),"")</f>
        <v/>
      </c>
      <c r="L38" s="42" t="str">
        <f aca="false">IFERROR(INDEX(资金流水!$I$5:$I$504,MATCH(ROW()-8,资金流水!$W$5:$W$504,0)),"")</f>
        <v/>
      </c>
      <c r="M38" s="42" t="str">
        <f aca="false">IFERROR(INDEX(资金流水!$H$5:$H$504,MATCH(ROW()-8,资金流水!$W$5:$W$504,0)),"")</f>
        <v/>
      </c>
    </row>
    <row r="39" customFormat="false" ht="15.75" hidden="false" customHeight="true" outlineLevel="0" collapsed="false">
      <c r="A39" s="76" t="str">
        <f aca="false">IFERROR(INDEX(采购录入!$B$5:$B$404,MATCH(ROW()-8,采购录入!$AA$5:$AA$404,0)),"")</f>
        <v/>
      </c>
      <c r="B39" s="35" t="str">
        <f aca="false">IFERROR(INDEX(采购录入!$E$5:$E$404,MATCH(ROW()-8,采购录入!$AA$5:$AA$404,0)),"")</f>
        <v/>
      </c>
      <c r="C39" s="64" t="str">
        <f aca="false">IFERROR(INDEX(采购录入!$F$5:$F$404,MATCH(ROW()-8,采购录入!$AA$5:$AA$404,0)),"")</f>
        <v/>
      </c>
      <c r="D39" s="54" t="str">
        <f aca="false">IFERROR(INDEX(采购录入!$G$5:$G$404,MATCH(ROW()-8,采购录入!$AA$5:$AA$404,0)),"")</f>
        <v/>
      </c>
      <c r="E39" s="54" t="str">
        <f aca="false">IFERROR(INDEX(采购录入!$S$5:$S$404,MATCH(ROW()-8,采购录入!$AA$5:$AA$404,0)),"")</f>
        <v/>
      </c>
      <c r="F39" s="76" t="str">
        <f aca="false">IFERROR(INDEX(采购录入!$T$5:$T$404,MATCH(ROW()-8,采购录入!$AA$5:$AA$404,0)),"")</f>
        <v/>
      </c>
      <c r="H39" s="76" t="str">
        <f aca="false">IFERROR(INDEX(资金流水!$B$5:$B$504,MATCH(ROW()-8,资金流水!$W$5:$W$504,0)),"")</f>
        <v/>
      </c>
      <c r="I39" s="42" t="str">
        <f aca="false">IFERROR(INDEX(资金流水!$F$5:$F$504,MATCH(ROW()-8,资金流水!$W$5:$W$504,0)),"")</f>
        <v/>
      </c>
      <c r="J39" s="54" t="str">
        <f aca="false">IFERROR(INDEX(资金流水!$N$5:$N$504,MATCH(ROW()-8,资金流水!$W$5:$W$504,0)),"")</f>
        <v/>
      </c>
      <c r="K39" s="35" t="str">
        <f aca="false">IFERROR(INDEX(资金流水!$J$5:$J$504,MATCH(ROW()-8,资金流水!$W$5:$W$504,0)),"")</f>
        <v/>
      </c>
      <c r="L39" s="42" t="str">
        <f aca="false">IFERROR(INDEX(资金流水!$I$5:$I$504,MATCH(ROW()-8,资金流水!$W$5:$W$504,0)),"")</f>
        <v/>
      </c>
      <c r="M39" s="42" t="str">
        <f aca="false">IFERROR(INDEX(资金流水!$H$5:$H$504,MATCH(ROW()-8,资金流水!$W$5:$W$504,0)),"")</f>
        <v/>
      </c>
    </row>
    <row r="40" customFormat="false" ht="15.75" hidden="false" customHeight="true" outlineLevel="0" collapsed="false">
      <c r="A40" s="76" t="str">
        <f aca="false">IFERROR(INDEX(采购录入!$B$5:$B$404,MATCH(ROW()-8,采购录入!$AA$5:$AA$404,0)),"")</f>
        <v/>
      </c>
      <c r="B40" s="35" t="str">
        <f aca="false">IFERROR(INDEX(采购录入!$E$5:$E$404,MATCH(ROW()-8,采购录入!$AA$5:$AA$404,0)),"")</f>
        <v/>
      </c>
      <c r="C40" s="64" t="str">
        <f aca="false">IFERROR(INDEX(采购录入!$F$5:$F$404,MATCH(ROW()-8,采购录入!$AA$5:$AA$404,0)),"")</f>
        <v/>
      </c>
      <c r="D40" s="54" t="str">
        <f aca="false">IFERROR(INDEX(采购录入!$G$5:$G$404,MATCH(ROW()-8,采购录入!$AA$5:$AA$404,0)),"")</f>
        <v/>
      </c>
      <c r="E40" s="54" t="str">
        <f aca="false">IFERROR(INDEX(采购录入!$S$5:$S$404,MATCH(ROW()-8,采购录入!$AA$5:$AA$404,0)),"")</f>
        <v/>
      </c>
      <c r="F40" s="76" t="str">
        <f aca="false">IFERROR(INDEX(采购录入!$T$5:$T$404,MATCH(ROW()-8,采购录入!$AA$5:$AA$404,0)),"")</f>
        <v/>
      </c>
      <c r="H40" s="76" t="str">
        <f aca="false">IFERROR(INDEX(资金流水!$B$5:$B$504,MATCH(ROW()-8,资金流水!$W$5:$W$504,0)),"")</f>
        <v/>
      </c>
      <c r="I40" s="42" t="str">
        <f aca="false">IFERROR(INDEX(资金流水!$F$5:$F$504,MATCH(ROW()-8,资金流水!$W$5:$W$504,0)),"")</f>
        <v/>
      </c>
      <c r="J40" s="54" t="str">
        <f aca="false">IFERROR(INDEX(资金流水!$N$5:$N$504,MATCH(ROW()-8,资金流水!$W$5:$W$504,0)),"")</f>
        <v/>
      </c>
      <c r="K40" s="35" t="str">
        <f aca="false">IFERROR(INDEX(资金流水!$J$5:$J$504,MATCH(ROW()-8,资金流水!$W$5:$W$504,0)),"")</f>
        <v/>
      </c>
      <c r="L40" s="42" t="str">
        <f aca="false">IFERROR(INDEX(资金流水!$I$5:$I$504,MATCH(ROW()-8,资金流水!$W$5:$W$504,0)),"")</f>
        <v/>
      </c>
      <c r="M40" s="42" t="str">
        <f aca="false">IFERROR(INDEX(资金流水!$H$5:$H$504,MATCH(ROW()-8,资金流水!$W$5:$W$504,0)),"")</f>
        <v/>
      </c>
    </row>
    <row r="41" customFormat="false" ht="15.75" hidden="false" customHeight="true" outlineLevel="0" collapsed="false">
      <c r="A41" s="76" t="str">
        <f aca="false">IFERROR(INDEX(采购录入!$B$5:$B$404,MATCH(ROW()-8,采购录入!$AA$5:$AA$404,0)),"")</f>
        <v/>
      </c>
      <c r="B41" s="35" t="str">
        <f aca="false">IFERROR(INDEX(采购录入!$E$5:$E$404,MATCH(ROW()-8,采购录入!$AA$5:$AA$404,0)),"")</f>
        <v/>
      </c>
      <c r="C41" s="64" t="str">
        <f aca="false">IFERROR(INDEX(采购录入!$F$5:$F$404,MATCH(ROW()-8,采购录入!$AA$5:$AA$404,0)),"")</f>
        <v/>
      </c>
      <c r="D41" s="54" t="str">
        <f aca="false">IFERROR(INDEX(采购录入!$G$5:$G$404,MATCH(ROW()-8,采购录入!$AA$5:$AA$404,0)),"")</f>
        <v/>
      </c>
      <c r="E41" s="54" t="str">
        <f aca="false">IFERROR(INDEX(采购录入!$S$5:$S$404,MATCH(ROW()-8,采购录入!$AA$5:$AA$404,0)),"")</f>
        <v/>
      </c>
      <c r="F41" s="76" t="str">
        <f aca="false">IFERROR(INDEX(采购录入!$T$5:$T$404,MATCH(ROW()-8,采购录入!$AA$5:$AA$404,0)),"")</f>
        <v/>
      </c>
      <c r="H41" s="76" t="str">
        <f aca="false">IFERROR(INDEX(资金流水!$B$5:$B$504,MATCH(ROW()-8,资金流水!$W$5:$W$504,0)),"")</f>
        <v/>
      </c>
      <c r="I41" s="42" t="str">
        <f aca="false">IFERROR(INDEX(资金流水!$F$5:$F$504,MATCH(ROW()-8,资金流水!$W$5:$W$504,0)),"")</f>
        <v/>
      </c>
      <c r="J41" s="54" t="str">
        <f aca="false">IFERROR(INDEX(资金流水!$N$5:$N$504,MATCH(ROW()-8,资金流水!$W$5:$W$504,0)),"")</f>
        <v/>
      </c>
      <c r="K41" s="35" t="str">
        <f aca="false">IFERROR(INDEX(资金流水!$J$5:$J$504,MATCH(ROW()-8,资金流水!$W$5:$W$504,0)),"")</f>
        <v/>
      </c>
      <c r="L41" s="42" t="str">
        <f aca="false">IFERROR(INDEX(资金流水!$I$5:$I$504,MATCH(ROW()-8,资金流水!$W$5:$W$504,0)),"")</f>
        <v/>
      </c>
      <c r="M41" s="42" t="str">
        <f aca="false">IFERROR(INDEX(资金流水!$H$5:$H$504,MATCH(ROW()-8,资金流水!$W$5:$W$504,0)),"")</f>
        <v/>
      </c>
    </row>
    <row r="42" customFormat="false" ht="15.75" hidden="false" customHeight="true" outlineLevel="0" collapsed="false">
      <c r="A42" s="76" t="str">
        <f aca="false">IFERROR(INDEX(采购录入!$B$5:$B$404,MATCH(ROW()-8,采购录入!$AA$5:$AA$404,0)),"")</f>
        <v/>
      </c>
      <c r="B42" s="35" t="str">
        <f aca="false">IFERROR(INDEX(采购录入!$E$5:$E$404,MATCH(ROW()-8,采购录入!$AA$5:$AA$404,0)),"")</f>
        <v/>
      </c>
      <c r="C42" s="64" t="str">
        <f aca="false">IFERROR(INDEX(采购录入!$F$5:$F$404,MATCH(ROW()-8,采购录入!$AA$5:$AA$404,0)),"")</f>
        <v/>
      </c>
      <c r="D42" s="54" t="str">
        <f aca="false">IFERROR(INDEX(采购录入!$G$5:$G$404,MATCH(ROW()-8,采购录入!$AA$5:$AA$404,0)),"")</f>
        <v/>
      </c>
      <c r="E42" s="54" t="str">
        <f aca="false">IFERROR(INDEX(采购录入!$S$5:$S$404,MATCH(ROW()-8,采购录入!$AA$5:$AA$404,0)),"")</f>
        <v/>
      </c>
      <c r="F42" s="76" t="str">
        <f aca="false">IFERROR(INDEX(采购录入!$T$5:$T$404,MATCH(ROW()-8,采购录入!$AA$5:$AA$404,0)),"")</f>
        <v/>
      </c>
      <c r="H42" s="76" t="str">
        <f aca="false">IFERROR(INDEX(资金流水!$B$5:$B$504,MATCH(ROW()-8,资金流水!$W$5:$W$504,0)),"")</f>
        <v/>
      </c>
      <c r="I42" s="42" t="str">
        <f aca="false">IFERROR(INDEX(资金流水!$F$5:$F$504,MATCH(ROW()-8,资金流水!$W$5:$W$504,0)),"")</f>
        <v/>
      </c>
      <c r="J42" s="54" t="str">
        <f aca="false">IFERROR(INDEX(资金流水!$N$5:$N$504,MATCH(ROW()-8,资金流水!$W$5:$W$504,0)),"")</f>
        <v/>
      </c>
      <c r="K42" s="35" t="str">
        <f aca="false">IFERROR(INDEX(资金流水!$J$5:$J$504,MATCH(ROW()-8,资金流水!$W$5:$W$504,0)),"")</f>
        <v/>
      </c>
      <c r="L42" s="42" t="str">
        <f aca="false">IFERROR(INDEX(资金流水!$I$5:$I$504,MATCH(ROW()-8,资金流水!$W$5:$W$504,0)),"")</f>
        <v/>
      </c>
      <c r="M42" s="42" t="str">
        <f aca="false">IFERROR(INDEX(资金流水!$H$5:$H$504,MATCH(ROW()-8,资金流水!$W$5:$W$504,0)),"")</f>
        <v/>
      </c>
    </row>
    <row r="43" customFormat="false" ht="15.75" hidden="false" customHeight="true" outlineLevel="0" collapsed="false">
      <c r="A43" s="76" t="str">
        <f aca="false">IFERROR(INDEX(采购录入!$B$5:$B$404,MATCH(ROW()-8,采购录入!$AA$5:$AA$404,0)),"")</f>
        <v/>
      </c>
      <c r="B43" s="35" t="str">
        <f aca="false">IFERROR(INDEX(采购录入!$E$5:$E$404,MATCH(ROW()-8,采购录入!$AA$5:$AA$404,0)),"")</f>
        <v/>
      </c>
      <c r="C43" s="64" t="str">
        <f aca="false">IFERROR(INDEX(采购录入!$F$5:$F$404,MATCH(ROW()-8,采购录入!$AA$5:$AA$404,0)),"")</f>
        <v/>
      </c>
      <c r="D43" s="54" t="str">
        <f aca="false">IFERROR(INDEX(采购录入!$G$5:$G$404,MATCH(ROW()-8,采购录入!$AA$5:$AA$404,0)),"")</f>
        <v/>
      </c>
      <c r="E43" s="54" t="str">
        <f aca="false">IFERROR(INDEX(采购录入!$S$5:$S$404,MATCH(ROW()-8,采购录入!$AA$5:$AA$404,0)),"")</f>
        <v/>
      </c>
      <c r="F43" s="76" t="str">
        <f aca="false">IFERROR(INDEX(采购录入!$T$5:$T$404,MATCH(ROW()-8,采购录入!$AA$5:$AA$404,0)),"")</f>
        <v/>
      </c>
      <c r="H43" s="76" t="str">
        <f aca="false">IFERROR(INDEX(资金流水!$B$5:$B$504,MATCH(ROW()-8,资金流水!$W$5:$W$504,0)),"")</f>
        <v/>
      </c>
      <c r="I43" s="42" t="str">
        <f aca="false">IFERROR(INDEX(资金流水!$F$5:$F$504,MATCH(ROW()-8,资金流水!$W$5:$W$504,0)),"")</f>
        <v/>
      </c>
      <c r="J43" s="54" t="str">
        <f aca="false">IFERROR(INDEX(资金流水!$N$5:$N$504,MATCH(ROW()-8,资金流水!$W$5:$W$504,0)),"")</f>
        <v/>
      </c>
      <c r="K43" s="35" t="str">
        <f aca="false">IFERROR(INDEX(资金流水!$J$5:$J$504,MATCH(ROW()-8,资金流水!$W$5:$W$504,0)),"")</f>
        <v/>
      </c>
      <c r="L43" s="42" t="str">
        <f aca="false">IFERROR(INDEX(资金流水!$I$5:$I$504,MATCH(ROW()-8,资金流水!$W$5:$W$504,0)),"")</f>
        <v/>
      </c>
      <c r="M43" s="42" t="str">
        <f aca="false">IFERROR(INDEX(资金流水!$H$5:$H$504,MATCH(ROW()-8,资金流水!$W$5:$W$504,0)),"")</f>
        <v/>
      </c>
    </row>
    <row r="44" customFormat="false" ht="15.75" hidden="false" customHeight="true" outlineLevel="0" collapsed="false">
      <c r="A44" s="76" t="str">
        <f aca="false">IFERROR(INDEX(采购录入!$B$5:$B$404,MATCH(ROW()-8,采购录入!$AA$5:$AA$404,0)),"")</f>
        <v/>
      </c>
      <c r="B44" s="35" t="str">
        <f aca="false">IFERROR(INDEX(采购录入!$E$5:$E$404,MATCH(ROW()-8,采购录入!$AA$5:$AA$404,0)),"")</f>
        <v/>
      </c>
      <c r="C44" s="64" t="str">
        <f aca="false">IFERROR(INDEX(采购录入!$F$5:$F$404,MATCH(ROW()-8,采购录入!$AA$5:$AA$404,0)),"")</f>
        <v/>
      </c>
      <c r="D44" s="54" t="str">
        <f aca="false">IFERROR(INDEX(采购录入!$G$5:$G$404,MATCH(ROW()-8,采购录入!$AA$5:$AA$404,0)),"")</f>
        <v/>
      </c>
      <c r="E44" s="54" t="str">
        <f aca="false">IFERROR(INDEX(采购录入!$S$5:$S$404,MATCH(ROW()-8,采购录入!$AA$5:$AA$404,0)),"")</f>
        <v/>
      </c>
      <c r="F44" s="76" t="str">
        <f aca="false">IFERROR(INDEX(采购录入!$T$5:$T$404,MATCH(ROW()-8,采购录入!$AA$5:$AA$404,0)),"")</f>
        <v/>
      </c>
      <c r="H44" s="76" t="str">
        <f aca="false">IFERROR(INDEX(资金流水!$B$5:$B$504,MATCH(ROW()-8,资金流水!$W$5:$W$504,0)),"")</f>
        <v/>
      </c>
      <c r="I44" s="42" t="str">
        <f aca="false">IFERROR(INDEX(资金流水!$F$5:$F$504,MATCH(ROW()-8,资金流水!$W$5:$W$504,0)),"")</f>
        <v/>
      </c>
      <c r="J44" s="54" t="str">
        <f aca="false">IFERROR(INDEX(资金流水!$N$5:$N$504,MATCH(ROW()-8,资金流水!$W$5:$W$504,0)),"")</f>
        <v/>
      </c>
      <c r="K44" s="35" t="str">
        <f aca="false">IFERROR(INDEX(资金流水!$J$5:$J$504,MATCH(ROW()-8,资金流水!$W$5:$W$504,0)),"")</f>
        <v/>
      </c>
      <c r="L44" s="42" t="str">
        <f aca="false">IFERROR(INDEX(资金流水!$I$5:$I$504,MATCH(ROW()-8,资金流水!$W$5:$W$504,0)),"")</f>
        <v/>
      </c>
      <c r="M44" s="42" t="str">
        <f aca="false">IFERROR(INDEX(资金流水!$H$5:$H$504,MATCH(ROW()-8,资金流水!$W$5:$W$504,0)),"")</f>
        <v/>
      </c>
    </row>
    <row r="45" customFormat="false" ht="15.75" hidden="false" customHeight="true" outlineLevel="0" collapsed="false">
      <c r="A45" s="76" t="str">
        <f aca="false">IFERROR(INDEX(采购录入!$B$5:$B$404,MATCH(ROW()-8,采购录入!$AA$5:$AA$404,0)),"")</f>
        <v/>
      </c>
      <c r="B45" s="35" t="str">
        <f aca="false">IFERROR(INDEX(采购录入!$E$5:$E$404,MATCH(ROW()-8,采购录入!$AA$5:$AA$404,0)),"")</f>
        <v/>
      </c>
      <c r="C45" s="64" t="str">
        <f aca="false">IFERROR(INDEX(采购录入!$F$5:$F$404,MATCH(ROW()-8,采购录入!$AA$5:$AA$404,0)),"")</f>
        <v/>
      </c>
      <c r="D45" s="54" t="str">
        <f aca="false">IFERROR(INDEX(采购录入!$G$5:$G$404,MATCH(ROW()-8,采购录入!$AA$5:$AA$404,0)),"")</f>
        <v/>
      </c>
      <c r="E45" s="54" t="str">
        <f aca="false">IFERROR(INDEX(采购录入!$S$5:$S$404,MATCH(ROW()-8,采购录入!$AA$5:$AA$404,0)),"")</f>
        <v/>
      </c>
      <c r="F45" s="76" t="str">
        <f aca="false">IFERROR(INDEX(采购录入!$T$5:$T$404,MATCH(ROW()-8,采购录入!$AA$5:$AA$404,0)),"")</f>
        <v/>
      </c>
      <c r="H45" s="76" t="str">
        <f aca="false">IFERROR(INDEX(资金流水!$B$5:$B$504,MATCH(ROW()-8,资金流水!$W$5:$W$504,0)),"")</f>
        <v/>
      </c>
      <c r="I45" s="42" t="str">
        <f aca="false">IFERROR(INDEX(资金流水!$F$5:$F$504,MATCH(ROW()-8,资金流水!$W$5:$W$504,0)),"")</f>
        <v/>
      </c>
      <c r="J45" s="54" t="str">
        <f aca="false">IFERROR(INDEX(资金流水!$N$5:$N$504,MATCH(ROW()-8,资金流水!$W$5:$W$504,0)),"")</f>
        <v/>
      </c>
      <c r="K45" s="35" t="str">
        <f aca="false">IFERROR(INDEX(资金流水!$J$5:$J$504,MATCH(ROW()-8,资金流水!$W$5:$W$504,0)),"")</f>
        <v/>
      </c>
      <c r="L45" s="42" t="str">
        <f aca="false">IFERROR(INDEX(资金流水!$I$5:$I$504,MATCH(ROW()-8,资金流水!$W$5:$W$504,0)),"")</f>
        <v/>
      </c>
      <c r="M45" s="42" t="str">
        <f aca="false">IFERROR(INDEX(资金流水!$H$5:$H$504,MATCH(ROW()-8,资金流水!$W$5:$W$504,0)),"")</f>
        <v/>
      </c>
    </row>
    <row r="46" customFormat="false" ht="15.75" hidden="false" customHeight="true" outlineLevel="0" collapsed="false">
      <c r="A46" s="76" t="str">
        <f aca="false">IFERROR(INDEX(采购录入!$B$5:$B$404,MATCH(ROW()-8,采购录入!$AA$5:$AA$404,0)),"")</f>
        <v/>
      </c>
      <c r="B46" s="35" t="str">
        <f aca="false">IFERROR(INDEX(采购录入!$E$5:$E$404,MATCH(ROW()-8,采购录入!$AA$5:$AA$404,0)),"")</f>
        <v/>
      </c>
      <c r="C46" s="64" t="str">
        <f aca="false">IFERROR(INDEX(采购录入!$F$5:$F$404,MATCH(ROW()-8,采购录入!$AA$5:$AA$404,0)),"")</f>
        <v/>
      </c>
      <c r="D46" s="54" t="str">
        <f aca="false">IFERROR(INDEX(采购录入!$G$5:$G$404,MATCH(ROW()-8,采购录入!$AA$5:$AA$404,0)),"")</f>
        <v/>
      </c>
      <c r="E46" s="54" t="str">
        <f aca="false">IFERROR(INDEX(采购录入!$S$5:$S$404,MATCH(ROW()-8,采购录入!$AA$5:$AA$404,0)),"")</f>
        <v/>
      </c>
      <c r="F46" s="76" t="str">
        <f aca="false">IFERROR(INDEX(采购录入!$T$5:$T$404,MATCH(ROW()-8,采购录入!$AA$5:$AA$404,0)),"")</f>
        <v/>
      </c>
      <c r="H46" s="76" t="str">
        <f aca="false">IFERROR(INDEX(资金流水!$B$5:$B$504,MATCH(ROW()-8,资金流水!$W$5:$W$504,0)),"")</f>
        <v/>
      </c>
      <c r="I46" s="42" t="str">
        <f aca="false">IFERROR(INDEX(资金流水!$F$5:$F$504,MATCH(ROW()-8,资金流水!$W$5:$W$504,0)),"")</f>
        <v/>
      </c>
      <c r="J46" s="54" t="str">
        <f aca="false">IFERROR(INDEX(资金流水!$N$5:$N$504,MATCH(ROW()-8,资金流水!$W$5:$W$504,0)),"")</f>
        <v/>
      </c>
      <c r="K46" s="35" t="str">
        <f aca="false">IFERROR(INDEX(资金流水!$J$5:$J$504,MATCH(ROW()-8,资金流水!$W$5:$W$504,0)),"")</f>
        <v/>
      </c>
      <c r="L46" s="42" t="str">
        <f aca="false">IFERROR(INDEX(资金流水!$I$5:$I$504,MATCH(ROW()-8,资金流水!$W$5:$W$504,0)),"")</f>
        <v/>
      </c>
      <c r="M46" s="42" t="str">
        <f aca="false">IFERROR(INDEX(资金流水!$H$5:$H$504,MATCH(ROW()-8,资金流水!$W$5:$W$504,0)),"")</f>
        <v/>
      </c>
    </row>
    <row r="47" customFormat="false" ht="15.75" hidden="false" customHeight="true" outlineLevel="0" collapsed="false">
      <c r="A47" s="76" t="str">
        <f aca="false">IFERROR(INDEX(采购录入!$B$5:$B$404,MATCH(ROW()-8,采购录入!$AA$5:$AA$404,0)),"")</f>
        <v/>
      </c>
      <c r="B47" s="35" t="str">
        <f aca="false">IFERROR(INDEX(采购录入!$E$5:$E$404,MATCH(ROW()-8,采购录入!$AA$5:$AA$404,0)),"")</f>
        <v/>
      </c>
      <c r="C47" s="64" t="str">
        <f aca="false">IFERROR(INDEX(采购录入!$F$5:$F$404,MATCH(ROW()-8,采购录入!$AA$5:$AA$404,0)),"")</f>
        <v/>
      </c>
      <c r="D47" s="54" t="str">
        <f aca="false">IFERROR(INDEX(采购录入!$G$5:$G$404,MATCH(ROW()-8,采购录入!$AA$5:$AA$404,0)),"")</f>
        <v/>
      </c>
      <c r="E47" s="54" t="str">
        <f aca="false">IFERROR(INDEX(采购录入!$S$5:$S$404,MATCH(ROW()-8,采购录入!$AA$5:$AA$404,0)),"")</f>
        <v/>
      </c>
      <c r="F47" s="76" t="str">
        <f aca="false">IFERROR(INDEX(采购录入!$T$5:$T$404,MATCH(ROW()-8,采购录入!$AA$5:$AA$404,0)),"")</f>
        <v/>
      </c>
      <c r="H47" s="76" t="str">
        <f aca="false">IFERROR(INDEX(资金流水!$B$5:$B$504,MATCH(ROW()-8,资金流水!$W$5:$W$504,0)),"")</f>
        <v/>
      </c>
      <c r="I47" s="42" t="str">
        <f aca="false">IFERROR(INDEX(资金流水!$F$5:$F$504,MATCH(ROW()-8,资金流水!$W$5:$W$504,0)),"")</f>
        <v/>
      </c>
      <c r="J47" s="54" t="str">
        <f aca="false">IFERROR(INDEX(资金流水!$N$5:$N$504,MATCH(ROW()-8,资金流水!$W$5:$W$504,0)),"")</f>
        <v/>
      </c>
      <c r="K47" s="35" t="str">
        <f aca="false">IFERROR(INDEX(资金流水!$J$5:$J$504,MATCH(ROW()-8,资金流水!$W$5:$W$504,0)),"")</f>
        <v/>
      </c>
      <c r="L47" s="42" t="str">
        <f aca="false">IFERROR(INDEX(资金流水!$I$5:$I$504,MATCH(ROW()-8,资金流水!$W$5:$W$504,0)),"")</f>
        <v/>
      </c>
      <c r="M47" s="42" t="str">
        <f aca="false">IFERROR(INDEX(资金流水!$H$5:$H$504,MATCH(ROW()-8,资金流水!$W$5:$W$504,0)),"")</f>
        <v/>
      </c>
    </row>
    <row r="48" customFormat="false" ht="15.75" hidden="false" customHeight="true" outlineLevel="0" collapsed="false">
      <c r="A48" s="76" t="str">
        <f aca="false">IFERROR(INDEX(采购录入!$B$5:$B$404,MATCH(ROW()-8,采购录入!$AA$5:$AA$404,0)),"")</f>
        <v/>
      </c>
      <c r="B48" s="35" t="str">
        <f aca="false">IFERROR(INDEX(采购录入!$E$5:$E$404,MATCH(ROW()-8,采购录入!$AA$5:$AA$404,0)),"")</f>
        <v/>
      </c>
      <c r="C48" s="64" t="str">
        <f aca="false">IFERROR(INDEX(采购录入!$F$5:$F$404,MATCH(ROW()-8,采购录入!$AA$5:$AA$404,0)),"")</f>
        <v/>
      </c>
      <c r="D48" s="54" t="str">
        <f aca="false">IFERROR(INDEX(采购录入!$G$5:$G$404,MATCH(ROW()-8,采购录入!$AA$5:$AA$404,0)),"")</f>
        <v/>
      </c>
      <c r="E48" s="54" t="str">
        <f aca="false">IFERROR(INDEX(采购录入!$S$5:$S$404,MATCH(ROW()-8,采购录入!$AA$5:$AA$404,0)),"")</f>
        <v/>
      </c>
      <c r="F48" s="76" t="str">
        <f aca="false">IFERROR(INDEX(采购录入!$T$5:$T$404,MATCH(ROW()-8,采购录入!$AA$5:$AA$404,0)),"")</f>
        <v/>
      </c>
      <c r="H48" s="76" t="str">
        <f aca="false">IFERROR(INDEX(资金流水!$B$5:$B$504,MATCH(ROW()-8,资金流水!$W$5:$W$504,0)),"")</f>
        <v/>
      </c>
      <c r="I48" s="42" t="str">
        <f aca="false">IFERROR(INDEX(资金流水!$F$5:$F$504,MATCH(ROW()-8,资金流水!$W$5:$W$504,0)),"")</f>
        <v/>
      </c>
      <c r="J48" s="54" t="str">
        <f aca="false">IFERROR(INDEX(资金流水!$N$5:$N$504,MATCH(ROW()-8,资金流水!$W$5:$W$504,0)),"")</f>
        <v/>
      </c>
      <c r="K48" s="35" t="str">
        <f aca="false">IFERROR(INDEX(资金流水!$J$5:$J$504,MATCH(ROW()-8,资金流水!$W$5:$W$504,0)),"")</f>
        <v/>
      </c>
      <c r="L48" s="42" t="str">
        <f aca="false">IFERROR(INDEX(资金流水!$I$5:$I$504,MATCH(ROW()-8,资金流水!$W$5:$W$504,0)),"")</f>
        <v/>
      </c>
      <c r="M48" s="42" t="str">
        <f aca="false">IFERROR(INDEX(资金流水!$H$5:$H$504,MATCH(ROW()-8,资金流水!$W$5:$W$504,0)),"")</f>
        <v/>
      </c>
    </row>
    <row r="49" customFormat="false" ht="15.75" hidden="false" customHeight="true" outlineLevel="0" collapsed="false">
      <c r="A49" s="76" t="str">
        <f aca="false">IFERROR(INDEX(采购录入!$B$5:$B$404,MATCH(ROW()-8,采购录入!$AA$5:$AA$404,0)),"")</f>
        <v/>
      </c>
      <c r="B49" s="35" t="str">
        <f aca="false">IFERROR(INDEX(采购录入!$E$5:$E$404,MATCH(ROW()-8,采购录入!$AA$5:$AA$404,0)),"")</f>
        <v/>
      </c>
      <c r="C49" s="64" t="str">
        <f aca="false">IFERROR(INDEX(采购录入!$F$5:$F$404,MATCH(ROW()-8,采购录入!$AA$5:$AA$404,0)),"")</f>
        <v/>
      </c>
      <c r="D49" s="54" t="str">
        <f aca="false">IFERROR(INDEX(采购录入!$G$5:$G$404,MATCH(ROW()-8,采购录入!$AA$5:$AA$404,0)),"")</f>
        <v/>
      </c>
      <c r="E49" s="54" t="str">
        <f aca="false">IFERROR(INDEX(采购录入!$S$5:$S$404,MATCH(ROW()-8,采购录入!$AA$5:$AA$404,0)),"")</f>
        <v/>
      </c>
      <c r="F49" s="76" t="str">
        <f aca="false">IFERROR(INDEX(采购录入!$T$5:$T$404,MATCH(ROW()-8,采购录入!$AA$5:$AA$404,0)),"")</f>
        <v/>
      </c>
      <c r="H49" s="76" t="str">
        <f aca="false">IFERROR(INDEX(资金流水!$B$5:$B$504,MATCH(ROW()-8,资金流水!$W$5:$W$504,0)),"")</f>
        <v/>
      </c>
      <c r="I49" s="42" t="str">
        <f aca="false">IFERROR(INDEX(资金流水!$F$5:$F$504,MATCH(ROW()-8,资金流水!$W$5:$W$504,0)),"")</f>
        <v/>
      </c>
      <c r="J49" s="54" t="str">
        <f aca="false">IFERROR(INDEX(资金流水!$N$5:$N$504,MATCH(ROW()-8,资金流水!$W$5:$W$504,0)),"")</f>
        <v/>
      </c>
      <c r="K49" s="35" t="str">
        <f aca="false">IFERROR(INDEX(资金流水!$J$5:$J$504,MATCH(ROW()-8,资金流水!$W$5:$W$504,0)),"")</f>
        <v/>
      </c>
      <c r="L49" s="42" t="str">
        <f aca="false">IFERROR(INDEX(资金流水!$I$5:$I$504,MATCH(ROW()-8,资金流水!$W$5:$W$504,0)),"")</f>
        <v/>
      </c>
      <c r="M49" s="42" t="str">
        <f aca="false">IFERROR(INDEX(资金流水!$H$5:$H$504,MATCH(ROW()-8,资金流水!$W$5:$W$504,0)),"")</f>
        <v/>
      </c>
    </row>
    <row r="50" customFormat="false" ht="15.75" hidden="false" customHeight="true" outlineLevel="0" collapsed="false">
      <c r="A50" s="76" t="str">
        <f aca="false">IFERROR(INDEX(采购录入!$B$5:$B$404,MATCH(ROW()-8,采购录入!$AA$5:$AA$404,0)),"")</f>
        <v/>
      </c>
      <c r="B50" s="35" t="str">
        <f aca="false">IFERROR(INDEX(采购录入!$E$5:$E$404,MATCH(ROW()-8,采购录入!$AA$5:$AA$404,0)),"")</f>
        <v/>
      </c>
      <c r="C50" s="64" t="str">
        <f aca="false">IFERROR(INDEX(采购录入!$F$5:$F$404,MATCH(ROW()-8,采购录入!$AA$5:$AA$404,0)),"")</f>
        <v/>
      </c>
      <c r="D50" s="54" t="str">
        <f aca="false">IFERROR(INDEX(采购录入!$G$5:$G$404,MATCH(ROW()-8,采购录入!$AA$5:$AA$404,0)),"")</f>
        <v/>
      </c>
      <c r="E50" s="54" t="str">
        <f aca="false">IFERROR(INDEX(采购录入!$S$5:$S$404,MATCH(ROW()-8,采购录入!$AA$5:$AA$404,0)),"")</f>
        <v/>
      </c>
      <c r="F50" s="76" t="str">
        <f aca="false">IFERROR(INDEX(采购录入!$T$5:$T$404,MATCH(ROW()-8,采购录入!$AA$5:$AA$404,0)),"")</f>
        <v/>
      </c>
      <c r="H50" s="76" t="str">
        <f aca="false">IFERROR(INDEX(资金流水!$B$5:$B$504,MATCH(ROW()-8,资金流水!$W$5:$W$504,0)),"")</f>
        <v/>
      </c>
      <c r="I50" s="42" t="str">
        <f aca="false">IFERROR(INDEX(资金流水!$F$5:$F$504,MATCH(ROW()-8,资金流水!$W$5:$W$504,0)),"")</f>
        <v/>
      </c>
      <c r="J50" s="54" t="str">
        <f aca="false">IFERROR(INDEX(资金流水!$N$5:$N$504,MATCH(ROW()-8,资金流水!$W$5:$W$504,0)),"")</f>
        <v/>
      </c>
      <c r="K50" s="35" t="str">
        <f aca="false">IFERROR(INDEX(资金流水!$J$5:$J$504,MATCH(ROW()-8,资金流水!$W$5:$W$504,0)),"")</f>
        <v/>
      </c>
      <c r="L50" s="42" t="str">
        <f aca="false">IFERROR(INDEX(资金流水!$I$5:$I$504,MATCH(ROW()-8,资金流水!$W$5:$W$504,0)),"")</f>
        <v/>
      </c>
      <c r="M50" s="42" t="str">
        <f aca="false">IFERROR(INDEX(资金流水!$H$5:$H$504,MATCH(ROW()-8,资金流水!$W$5:$W$504,0)),"")</f>
        <v/>
      </c>
    </row>
    <row r="51" customFormat="false" ht="15.75" hidden="false" customHeight="true" outlineLevel="0" collapsed="false">
      <c r="A51" s="76" t="str">
        <f aca="false">IFERROR(INDEX(采购录入!$B$5:$B$404,MATCH(ROW()-8,采购录入!$AA$5:$AA$404,0)),"")</f>
        <v/>
      </c>
      <c r="B51" s="35" t="str">
        <f aca="false">IFERROR(INDEX(采购录入!$E$5:$E$404,MATCH(ROW()-8,采购录入!$AA$5:$AA$404,0)),"")</f>
        <v/>
      </c>
      <c r="C51" s="64" t="str">
        <f aca="false">IFERROR(INDEX(采购录入!$F$5:$F$404,MATCH(ROW()-8,采购录入!$AA$5:$AA$404,0)),"")</f>
        <v/>
      </c>
      <c r="D51" s="54" t="str">
        <f aca="false">IFERROR(INDEX(采购录入!$G$5:$G$404,MATCH(ROW()-8,采购录入!$AA$5:$AA$404,0)),"")</f>
        <v/>
      </c>
      <c r="E51" s="54" t="str">
        <f aca="false">IFERROR(INDEX(采购录入!$S$5:$S$404,MATCH(ROW()-8,采购录入!$AA$5:$AA$404,0)),"")</f>
        <v/>
      </c>
      <c r="F51" s="76" t="str">
        <f aca="false">IFERROR(INDEX(采购录入!$T$5:$T$404,MATCH(ROW()-8,采购录入!$AA$5:$AA$404,0)),"")</f>
        <v/>
      </c>
      <c r="H51" s="76" t="str">
        <f aca="false">IFERROR(INDEX(资金流水!$B$5:$B$504,MATCH(ROW()-8,资金流水!$W$5:$W$504,0)),"")</f>
        <v/>
      </c>
      <c r="I51" s="42" t="str">
        <f aca="false">IFERROR(INDEX(资金流水!$F$5:$F$504,MATCH(ROW()-8,资金流水!$W$5:$W$504,0)),"")</f>
        <v/>
      </c>
      <c r="J51" s="54" t="str">
        <f aca="false">IFERROR(INDEX(资金流水!$N$5:$N$504,MATCH(ROW()-8,资金流水!$W$5:$W$504,0)),"")</f>
        <v/>
      </c>
      <c r="K51" s="35" t="str">
        <f aca="false">IFERROR(INDEX(资金流水!$J$5:$J$504,MATCH(ROW()-8,资金流水!$W$5:$W$504,0)),"")</f>
        <v/>
      </c>
      <c r="L51" s="42" t="str">
        <f aca="false">IFERROR(INDEX(资金流水!$I$5:$I$504,MATCH(ROW()-8,资金流水!$W$5:$W$504,0)),"")</f>
        <v/>
      </c>
      <c r="M51" s="42" t="str">
        <f aca="false">IFERROR(INDEX(资金流水!$H$5:$H$504,MATCH(ROW()-8,资金流水!$W$5:$W$504,0)),"")</f>
        <v/>
      </c>
    </row>
    <row r="52" customFormat="false" ht="15.75" hidden="false" customHeight="true" outlineLevel="0" collapsed="false">
      <c r="A52" s="76" t="str">
        <f aca="false">IFERROR(INDEX(采购录入!$B$5:$B$404,MATCH(ROW()-8,采购录入!$AA$5:$AA$404,0)),"")</f>
        <v/>
      </c>
      <c r="B52" s="35" t="str">
        <f aca="false">IFERROR(INDEX(采购录入!$E$5:$E$404,MATCH(ROW()-8,采购录入!$AA$5:$AA$404,0)),"")</f>
        <v/>
      </c>
      <c r="C52" s="64" t="str">
        <f aca="false">IFERROR(INDEX(采购录入!$F$5:$F$404,MATCH(ROW()-8,采购录入!$AA$5:$AA$404,0)),"")</f>
        <v/>
      </c>
      <c r="D52" s="54" t="str">
        <f aca="false">IFERROR(INDEX(采购录入!$G$5:$G$404,MATCH(ROW()-8,采购录入!$AA$5:$AA$404,0)),"")</f>
        <v/>
      </c>
      <c r="E52" s="54" t="str">
        <f aca="false">IFERROR(INDEX(采购录入!$S$5:$S$404,MATCH(ROW()-8,采购录入!$AA$5:$AA$404,0)),"")</f>
        <v/>
      </c>
      <c r="F52" s="76" t="str">
        <f aca="false">IFERROR(INDEX(采购录入!$T$5:$T$404,MATCH(ROW()-8,采购录入!$AA$5:$AA$404,0)),"")</f>
        <v/>
      </c>
      <c r="H52" s="76" t="str">
        <f aca="false">IFERROR(INDEX(资金流水!$B$5:$B$504,MATCH(ROW()-8,资金流水!$W$5:$W$504,0)),"")</f>
        <v/>
      </c>
      <c r="I52" s="42" t="str">
        <f aca="false">IFERROR(INDEX(资金流水!$F$5:$F$504,MATCH(ROW()-8,资金流水!$W$5:$W$504,0)),"")</f>
        <v/>
      </c>
      <c r="J52" s="54" t="str">
        <f aca="false">IFERROR(INDEX(资金流水!$N$5:$N$504,MATCH(ROW()-8,资金流水!$W$5:$W$504,0)),"")</f>
        <v/>
      </c>
      <c r="K52" s="35" t="str">
        <f aca="false">IFERROR(INDEX(资金流水!$J$5:$J$504,MATCH(ROW()-8,资金流水!$W$5:$W$504,0)),"")</f>
        <v/>
      </c>
      <c r="L52" s="42" t="str">
        <f aca="false">IFERROR(INDEX(资金流水!$I$5:$I$504,MATCH(ROW()-8,资金流水!$W$5:$W$504,0)),"")</f>
        <v/>
      </c>
      <c r="M52" s="42" t="str">
        <f aca="false">IFERROR(INDEX(资金流水!$H$5:$H$504,MATCH(ROW()-8,资金流水!$W$5:$W$504,0)),"")</f>
        <v/>
      </c>
    </row>
    <row r="53" customFormat="false" ht="15.75" hidden="false" customHeight="true" outlineLevel="0" collapsed="false">
      <c r="A53" s="76" t="str">
        <f aca="false">IFERROR(INDEX(采购录入!$B$5:$B$404,MATCH(ROW()-8,采购录入!$AA$5:$AA$404,0)),"")</f>
        <v/>
      </c>
      <c r="B53" s="35" t="str">
        <f aca="false">IFERROR(INDEX(采购录入!$E$5:$E$404,MATCH(ROW()-8,采购录入!$AA$5:$AA$404,0)),"")</f>
        <v/>
      </c>
      <c r="C53" s="64" t="str">
        <f aca="false">IFERROR(INDEX(采购录入!$F$5:$F$404,MATCH(ROW()-8,采购录入!$AA$5:$AA$404,0)),"")</f>
        <v/>
      </c>
      <c r="D53" s="54" t="str">
        <f aca="false">IFERROR(INDEX(采购录入!$G$5:$G$404,MATCH(ROW()-8,采购录入!$AA$5:$AA$404,0)),"")</f>
        <v/>
      </c>
      <c r="E53" s="54" t="str">
        <f aca="false">IFERROR(INDEX(采购录入!$S$5:$S$404,MATCH(ROW()-8,采购录入!$AA$5:$AA$404,0)),"")</f>
        <v/>
      </c>
      <c r="F53" s="76" t="str">
        <f aca="false">IFERROR(INDEX(采购录入!$T$5:$T$404,MATCH(ROW()-8,采购录入!$AA$5:$AA$404,0)),"")</f>
        <v/>
      </c>
      <c r="H53" s="76" t="str">
        <f aca="false">IFERROR(INDEX(资金流水!$B$5:$B$504,MATCH(ROW()-8,资金流水!$W$5:$W$504,0)),"")</f>
        <v/>
      </c>
      <c r="I53" s="42" t="str">
        <f aca="false">IFERROR(INDEX(资金流水!$F$5:$F$504,MATCH(ROW()-8,资金流水!$W$5:$W$504,0)),"")</f>
        <v/>
      </c>
      <c r="J53" s="54" t="str">
        <f aca="false">IFERROR(INDEX(资金流水!$N$5:$N$504,MATCH(ROW()-8,资金流水!$W$5:$W$504,0)),"")</f>
        <v/>
      </c>
      <c r="K53" s="35" t="str">
        <f aca="false">IFERROR(INDEX(资金流水!$J$5:$J$504,MATCH(ROW()-8,资金流水!$W$5:$W$504,0)),"")</f>
        <v/>
      </c>
      <c r="L53" s="42" t="str">
        <f aca="false">IFERROR(INDEX(资金流水!$I$5:$I$504,MATCH(ROW()-8,资金流水!$W$5:$W$504,0)),"")</f>
        <v/>
      </c>
      <c r="M53" s="42" t="str">
        <f aca="false">IFERROR(INDEX(资金流水!$H$5:$H$504,MATCH(ROW()-8,资金流水!$W$5:$W$504,0)),"")</f>
        <v/>
      </c>
    </row>
    <row r="54" customFormat="false" ht="15.75" hidden="false" customHeight="true" outlineLevel="0" collapsed="false">
      <c r="A54" s="76" t="str">
        <f aca="false">IFERROR(INDEX(采购录入!$B$5:$B$404,MATCH(ROW()-8,采购录入!$AA$5:$AA$404,0)),"")</f>
        <v/>
      </c>
      <c r="B54" s="35" t="str">
        <f aca="false">IFERROR(INDEX(采购录入!$E$5:$E$404,MATCH(ROW()-8,采购录入!$AA$5:$AA$404,0)),"")</f>
        <v/>
      </c>
      <c r="C54" s="64" t="str">
        <f aca="false">IFERROR(INDEX(采购录入!$F$5:$F$404,MATCH(ROW()-8,采购录入!$AA$5:$AA$404,0)),"")</f>
        <v/>
      </c>
      <c r="D54" s="54" t="str">
        <f aca="false">IFERROR(INDEX(采购录入!$G$5:$G$404,MATCH(ROW()-8,采购录入!$AA$5:$AA$404,0)),"")</f>
        <v/>
      </c>
      <c r="E54" s="54" t="str">
        <f aca="false">IFERROR(INDEX(采购录入!$S$5:$S$404,MATCH(ROW()-8,采购录入!$AA$5:$AA$404,0)),"")</f>
        <v/>
      </c>
      <c r="F54" s="76" t="str">
        <f aca="false">IFERROR(INDEX(采购录入!$T$5:$T$404,MATCH(ROW()-8,采购录入!$AA$5:$AA$404,0)),"")</f>
        <v/>
      </c>
      <c r="H54" s="76" t="str">
        <f aca="false">IFERROR(INDEX(资金流水!$B$5:$B$504,MATCH(ROW()-8,资金流水!$W$5:$W$504,0)),"")</f>
        <v/>
      </c>
      <c r="I54" s="42" t="str">
        <f aca="false">IFERROR(INDEX(资金流水!$F$5:$F$504,MATCH(ROW()-8,资金流水!$W$5:$W$504,0)),"")</f>
        <v/>
      </c>
      <c r="J54" s="54" t="str">
        <f aca="false">IFERROR(INDEX(资金流水!$N$5:$N$504,MATCH(ROW()-8,资金流水!$W$5:$W$504,0)),"")</f>
        <v/>
      </c>
      <c r="K54" s="35" t="str">
        <f aca="false">IFERROR(INDEX(资金流水!$J$5:$J$504,MATCH(ROW()-8,资金流水!$W$5:$W$504,0)),"")</f>
        <v/>
      </c>
      <c r="L54" s="42" t="str">
        <f aca="false">IFERROR(INDEX(资金流水!$I$5:$I$504,MATCH(ROW()-8,资金流水!$W$5:$W$504,0)),"")</f>
        <v/>
      </c>
      <c r="M54" s="42" t="str">
        <f aca="false">IFERROR(INDEX(资金流水!$H$5:$H$504,MATCH(ROW()-8,资金流水!$W$5:$W$504,0)),"")</f>
        <v/>
      </c>
    </row>
    <row r="55" customFormat="false" ht="15.75" hidden="false" customHeight="true" outlineLevel="0" collapsed="false">
      <c r="A55" s="76" t="str">
        <f aca="false">IFERROR(INDEX(采购录入!$B$5:$B$404,MATCH(ROW()-8,采购录入!$AA$5:$AA$404,0)),"")</f>
        <v/>
      </c>
      <c r="B55" s="35" t="str">
        <f aca="false">IFERROR(INDEX(采购录入!$E$5:$E$404,MATCH(ROW()-8,采购录入!$AA$5:$AA$404,0)),"")</f>
        <v/>
      </c>
      <c r="C55" s="64" t="str">
        <f aca="false">IFERROR(INDEX(采购录入!$F$5:$F$404,MATCH(ROW()-8,采购录入!$AA$5:$AA$404,0)),"")</f>
        <v/>
      </c>
      <c r="D55" s="54" t="str">
        <f aca="false">IFERROR(INDEX(采购录入!$G$5:$G$404,MATCH(ROW()-8,采购录入!$AA$5:$AA$404,0)),"")</f>
        <v/>
      </c>
      <c r="E55" s="54" t="str">
        <f aca="false">IFERROR(INDEX(采购录入!$S$5:$S$404,MATCH(ROW()-8,采购录入!$AA$5:$AA$404,0)),"")</f>
        <v/>
      </c>
      <c r="F55" s="76" t="str">
        <f aca="false">IFERROR(INDEX(采购录入!$T$5:$T$404,MATCH(ROW()-8,采购录入!$AA$5:$AA$404,0)),"")</f>
        <v/>
      </c>
      <c r="H55" s="76" t="str">
        <f aca="false">IFERROR(INDEX(资金流水!$B$5:$B$504,MATCH(ROW()-8,资金流水!$W$5:$W$504,0)),"")</f>
        <v/>
      </c>
      <c r="I55" s="42" t="str">
        <f aca="false">IFERROR(INDEX(资金流水!$F$5:$F$504,MATCH(ROW()-8,资金流水!$W$5:$W$504,0)),"")</f>
        <v/>
      </c>
      <c r="J55" s="54" t="str">
        <f aca="false">IFERROR(INDEX(资金流水!$N$5:$N$504,MATCH(ROW()-8,资金流水!$W$5:$W$504,0)),"")</f>
        <v/>
      </c>
      <c r="K55" s="35" t="str">
        <f aca="false">IFERROR(INDEX(资金流水!$J$5:$J$504,MATCH(ROW()-8,资金流水!$W$5:$W$504,0)),"")</f>
        <v/>
      </c>
      <c r="L55" s="42" t="str">
        <f aca="false">IFERROR(INDEX(资金流水!$I$5:$I$504,MATCH(ROW()-8,资金流水!$W$5:$W$504,0)),"")</f>
        <v/>
      </c>
      <c r="M55" s="42" t="str">
        <f aca="false">IFERROR(INDEX(资金流水!$H$5:$H$504,MATCH(ROW()-8,资金流水!$W$5:$W$504,0)),"")</f>
        <v/>
      </c>
    </row>
    <row r="56" customFormat="false" ht="15.75" hidden="false" customHeight="true" outlineLevel="0" collapsed="false">
      <c r="A56" s="76" t="str">
        <f aca="false">IFERROR(INDEX(采购录入!$B$5:$B$404,MATCH(ROW()-8,采购录入!$AA$5:$AA$404,0)),"")</f>
        <v/>
      </c>
      <c r="B56" s="35" t="str">
        <f aca="false">IFERROR(INDEX(采购录入!$E$5:$E$404,MATCH(ROW()-8,采购录入!$AA$5:$AA$404,0)),"")</f>
        <v/>
      </c>
      <c r="C56" s="64" t="str">
        <f aca="false">IFERROR(INDEX(采购录入!$F$5:$F$404,MATCH(ROW()-8,采购录入!$AA$5:$AA$404,0)),"")</f>
        <v/>
      </c>
      <c r="D56" s="54" t="str">
        <f aca="false">IFERROR(INDEX(采购录入!$G$5:$G$404,MATCH(ROW()-8,采购录入!$AA$5:$AA$404,0)),"")</f>
        <v/>
      </c>
      <c r="E56" s="54" t="str">
        <f aca="false">IFERROR(INDEX(采购录入!$S$5:$S$404,MATCH(ROW()-8,采购录入!$AA$5:$AA$404,0)),"")</f>
        <v/>
      </c>
      <c r="F56" s="76" t="str">
        <f aca="false">IFERROR(INDEX(采购录入!$T$5:$T$404,MATCH(ROW()-8,采购录入!$AA$5:$AA$404,0)),"")</f>
        <v/>
      </c>
      <c r="H56" s="76" t="str">
        <f aca="false">IFERROR(INDEX(资金流水!$B$5:$B$504,MATCH(ROW()-8,资金流水!$W$5:$W$504,0)),"")</f>
        <v/>
      </c>
      <c r="I56" s="42" t="str">
        <f aca="false">IFERROR(INDEX(资金流水!$F$5:$F$504,MATCH(ROW()-8,资金流水!$W$5:$W$504,0)),"")</f>
        <v/>
      </c>
      <c r="J56" s="54" t="str">
        <f aca="false">IFERROR(INDEX(资金流水!$N$5:$N$504,MATCH(ROW()-8,资金流水!$W$5:$W$504,0)),"")</f>
        <v/>
      </c>
      <c r="K56" s="35" t="str">
        <f aca="false">IFERROR(INDEX(资金流水!$J$5:$J$504,MATCH(ROW()-8,资金流水!$W$5:$W$504,0)),"")</f>
        <v/>
      </c>
      <c r="L56" s="42" t="str">
        <f aca="false">IFERROR(INDEX(资金流水!$I$5:$I$504,MATCH(ROW()-8,资金流水!$W$5:$W$504,0)),"")</f>
        <v/>
      </c>
      <c r="M56" s="42" t="str">
        <f aca="false">IFERROR(INDEX(资金流水!$H$5:$H$504,MATCH(ROW()-8,资金流水!$W$5:$W$504,0)),"")</f>
        <v/>
      </c>
    </row>
    <row r="57" customFormat="false" ht="15.75" hidden="false" customHeight="true" outlineLevel="0" collapsed="false">
      <c r="A57" s="76" t="str">
        <f aca="false">IFERROR(INDEX(采购录入!$B$5:$B$404,MATCH(ROW()-8,采购录入!$AA$5:$AA$404,0)),"")</f>
        <v/>
      </c>
      <c r="B57" s="35" t="str">
        <f aca="false">IFERROR(INDEX(采购录入!$E$5:$E$404,MATCH(ROW()-8,采购录入!$AA$5:$AA$404,0)),"")</f>
        <v/>
      </c>
      <c r="C57" s="64" t="str">
        <f aca="false">IFERROR(INDEX(采购录入!$F$5:$F$404,MATCH(ROW()-8,采购录入!$AA$5:$AA$404,0)),"")</f>
        <v/>
      </c>
      <c r="D57" s="54" t="str">
        <f aca="false">IFERROR(INDEX(采购录入!$G$5:$G$404,MATCH(ROW()-8,采购录入!$AA$5:$AA$404,0)),"")</f>
        <v/>
      </c>
      <c r="E57" s="54" t="str">
        <f aca="false">IFERROR(INDEX(采购录入!$S$5:$S$404,MATCH(ROW()-8,采购录入!$AA$5:$AA$404,0)),"")</f>
        <v/>
      </c>
      <c r="F57" s="76" t="str">
        <f aca="false">IFERROR(INDEX(采购录入!$T$5:$T$404,MATCH(ROW()-8,采购录入!$AA$5:$AA$404,0)),"")</f>
        <v/>
      </c>
      <c r="H57" s="76" t="str">
        <f aca="false">IFERROR(INDEX(资金流水!$B$5:$B$504,MATCH(ROW()-8,资金流水!$W$5:$W$504,0)),"")</f>
        <v/>
      </c>
      <c r="I57" s="42" t="str">
        <f aca="false">IFERROR(INDEX(资金流水!$F$5:$F$504,MATCH(ROW()-8,资金流水!$W$5:$W$504,0)),"")</f>
        <v/>
      </c>
      <c r="J57" s="54" t="str">
        <f aca="false">IFERROR(INDEX(资金流水!$N$5:$N$504,MATCH(ROW()-8,资金流水!$W$5:$W$504,0)),"")</f>
        <v/>
      </c>
      <c r="K57" s="35" t="str">
        <f aca="false">IFERROR(INDEX(资金流水!$J$5:$J$504,MATCH(ROW()-8,资金流水!$W$5:$W$504,0)),"")</f>
        <v/>
      </c>
      <c r="L57" s="42" t="str">
        <f aca="false">IFERROR(INDEX(资金流水!$I$5:$I$504,MATCH(ROW()-8,资金流水!$W$5:$W$504,0)),"")</f>
        <v/>
      </c>
      <c r="M57" s="42" t="str">
        <f aca="false">IFERROR(INDEX(资金流水!$H$5:$H$504,MATCH(ROW()-8,资金流水!$W$5:$W$504,0)),"")</f>
        <v/>
      </c>
    </row>
    <row r="58" customFormat="false" ht="15.75" hidden="false" customHeight="true" outlineLevel="0" collapsed="false">
      <c r="A58" s="76" t="str">
        <f aca="false">IFERROR(INDEX(采购录入!$B$5:$B$404,MATCH(ROW()-8,采购录入!$AA$5:$AA$404,0)),"")</f>
        <v/>
      </c>
      <c r="B58" s="35" t="str">
        <f aca="false">IFERROR(INDEX(采购录入!$E$5:$E$404,MATCH(ROW()-8,采购录入!$AA$5:$AA$404,0)),"")</f>
        <v/>
      </c>
      <c r="C58" s="64" t="str">
        <f aca="false">IFERROR(INDEX(采购录入!$F$5:$F$404,MATCH(ROW()-8,采购录入!$AA$5:$AA$404,0)),"")</f>
        <v/>
      </c>
      <c r="D58" s="54" t="str">
        <f aca="false">IFERROR(INDEX(采购录入!$G$5:$G$404,MATCH(ROW()-8,采购录入!$AA$5:$AA$404,0)),"")</f>
        <v/>
      </c>
      <c r="E58" s="54" t="str">
        <f aca="false">IFERROR(INDEX(采购录入!$S$5:$S$404,MATCH(ROW()-8,采购录入!$AA$5:$AA$404,0)),"")</f>
        <v/>
      </c>
      <c r="F58" s="76" t="str">
        <f aca="false">IFERROR(INDEX(采购录入!$T$5:$T$404,MATCH(ROW()-8,采购录入!$AA$5:$AA$404,0)),"")</f>
        <v/>
      </c>
      <c r="H58" s="76" t="str">
        <f aca="false">IFERROR(INDEX(资金流水!$B$5:$B$504,MATCH(ROW()-8,资金流水!$W$5:$W$504,0)),"")</f>
        <v/>
      </c>
      <c r="I58" s="42" t="str">
        <f aca="false">IFERROR(INDEX(资金流水!$F$5:$F$504,MATCH(ROW()-8,资金流水!$W$5:$W$504,0)),"")</f>
        <v/>
      </c>
      <c r="J58" s="54" t="str">
        <f aca="false">IFERROR(INDEX(资金流水!$N$5:$N$504,MATCH(ROW()-8,资金流水!$W$5:$W$504,0)),"")</f>
        <v/>
      </c>
      <c r="K58" s="35" t="str">
        <f aca="false">IFERROR(INDEX(资金流水!$J$5:$J$504,MATCH(ROW()-8,资金流水!$W$5:$W$504,0)),"")</f>
        <v/>
      </c>
      <c r="L58" s="42" t="str">
        <f aca="false">IFERROR(INDEX(资金流水!$I$5:$I$504,MATCH(ROW()-8,资金流水!$W$5:$W$504,0)),"")</f>
        <v/>
      </c>
      <c r="M58" s="42" t="str">
        <f aca="false">IFERROR(INDEX(资金流水!$H$5:$H$504,MATCH(ROW()-8,资金流水!$W$5:$W$504,0)),"")</f>
        <v/>
      </c>
    </row>
    <row r="59" customFormat="false" ht="15.75" hidden="false" customHeight="true" outlineLevel="0" collapsed="false">
      <c r="A59" s="76" t="str">
        <f aca="false">IFERROR(INDEX(采购录入!$B$5:$B$404,MATCH(ROW()-8,采购录入!$AA$5:$AA$404,0)),"")</f>
        <v/>
      </c>
      <c r="B59" s="35" t="str">
        <f aca="false">IFERROR(INDEX(采购录入!$E$5:$E$404,MATCH(ROW()-8,采购录入!$AA$5:$AA$404,0)),"")</f>
        <v/>
      </c>
      <c r="C59" s="64" t="str">
        <f aca="false">IFERROR(INDEX(采购录入!$F$5:$F$404,MATCH(ROW()-8,采购录入!$AA$5:$AA$404,0)),"")</f>
        <v/>
      </c>
      <c r="D59" s="54" t="str">
        <f aca="false">IFERROR(INDEX(采购录入!$G$5:$G$404,MATCH(ROW()-8,采购录入!$AA$5:$AA$404,0)),"")</f>
        <v/>
      </c>
      <c r="E59" s="54" t="str">
        <f aca="false">IFERROR(INDEX(采购录入!$S$5:$S$404,MATCH(ROW()-8,采购录入!$AA$5:$AA$404,0)),"")</f>
        <v/>
      </c>
      <c r="F59" s="76" t="str">
        <f aca="false">IFERROR(INDEX(采购录入!$T$5:$T$404,MATCH(ROW()-8,采购录入!$AA$5:$AA$404,0)),"")</f>
        <v/>
      </c>
      <c r="H59" s="76" t="str">
        <f aca="false">IFERROR(INDEX(资金流水!$B$5:$B$504,MATCH(ROW()-8,资金流水!$W$5:$W$504,0)),"")</f>
        <v/>
      </c>
      <c r="I59" s="42" t="str">
        <f aca="false">IFERROR(INDEX(资金流水!$F$5:$F$504,MATCH(ROW()-8,资金流水!$W$5:$W$504,0)),"")</f>
        <v/>
      </c>
      <c r="J59" s="54" t="str">
        <f aca="false">IFERROR(INDEX(资金流水!$N$5:$N$504,MATCH(ROW()-8,资金流水!$W$5:$W$504,0)),"")</f>
        <v/>
      </c>
      <c r="K59" s="35" t="str">
        <f aca="false">IFERROR(INDEX(资金流水!$J$5:$J$504,MATCH(ROW()-8,资金流水!$W$5:$W$504,0)),"")</f>
        <v/>
      </c>
      <c r="L59" s="42" t="str">
        <f aca="false">IFERROR(INDEX(资金流水!$I$5:$I$504,MATCH(ROW()-8,资金流水!$W$5:$W$504,0)),"")</f>
        <v/>
      </c>
      <c r="M59" s="42" t="str">
        <f aca="false">IFERROR(INDEX(资金流水!$H$5:$H$504,MATCH(ROW()-8,资金流水!$W$5:$W$504,0)),"")</f>
        <v/>
      </c>
    </row>
    <row r="60" customFormat="false" ht="15.75" hidden="false" customHeight="true" outlineLevel="0" collapsed="false">
      <c r="A60" s="76" t="str">
        <f aca="false">IFERROR(INDEX(采购录入!$B$5:$B$404,MATCH(ROW()-8,采购录入!$AA$5:$AA$404,0)),"")</f>
        <v/>
      </c>
      <c r="B60" s="35" t="str">
        <f aca="false">IFERROR(INDEX(采购录入!$E$5:$E$404,MATCH(ROW()-8,采购录入!$AA$5:$AA$404,0)),"")</f>
        <v/>
      </c>
      <c r="C60" s="64" t="str">
        <f aca="false">IFERROR(INDEX(采购录入!$F$5:$F$404,MATCH(ROW()-8,采购录入!$AA$5:$AA$404,0)),"")</f>
        <v/>
      </c>
      <c r="D60" s="54" t="str">
        <f aca="false">IFERROR(INDEX(采购录入!$G$5:$G$404,MATCH(ROW()-8,采购录入!$AA$5:$AA$404,0)),"")</f>
        <v/>
      </c>
      <c r="E60" s="54" t="str">
        <f aca="false">IFERROR(INDEX(采购录入!$S$5:$S$404,MATCH(ROW()-8,采购录入!$AA$5:$AA$404,0)),"")</f>
        <v/>
      </c>
      <c r="F60" s="76" t="str">
        <f aca="false">IFERROR(INDEX(采购录入!$T$5:$T$404,MATCH(ROW()-8,采购录入!$AA$5:$AA$404,0)),"")</f>
        <v/>
      </c>
      <c r="H60" s="76" t="str">
        <f aca="false">IFERROR(INDEX(资金流水!$B$5:$B$504,MATCH(ROW()-8,资金流水!$W$5:$W$504,0)),"")</f>
        <v/>
      </c>
      <c r="I60" s="42" t="str">
        <f aca="false">IFERROR(INDEX(资金流水!$F$5:$F$504,MATCH(ROW()-8,资金流水!$W$5:$W$504,0)),"")</f>
        <v/>
      </c>
      <c r="J60" s="54" t="str">
        <f aca="false">IFERROR(INDEX(资金流水!$N$5:$N$504,MATCH(ROW()-8,资金流水!$W$5:$W$504,0)),"")</f>
        <v/>
      </c>
      <c r="K60" s="35" t="str">
        <f aca="false">IFERROR(INDEX(资金流水!$J$5:$J$504,MATCH(ROW()-8,资金流水!$W$5:$W$504,0)),"")</f>
        <v/>
      </c>
      <c r="L60" s="42" t="str">
        <f aca="false">IFERROR(INDEX(资金流水!$I$5:$I$504,MATCH(ROW()-8,资金流水!$W$5:$W$504,0)),"")</f>
        <v/>
      </c>
      <c r="M60" s="42" t="str">
        <f aca="false">IFERROR(INDEX(资金流水!$H$5:$H$504,MATCH(ROW()-8,资金流水!$W$5:$W$504,0)),"")</f>
        <v/>
      </c>
    </row>
    <row r="61" customFormat="false" ht="15.75" hidden="false" customHeight="true" outlineLevel="0" collapsed="false">
      <c r="A61" s="76" t="str">
        <f aca="false">IFERROR(INDEX(采购录入!$B$5:$B$404,MATCH(ROW()-8,采购录入!$AA$5:$AA$404,0)),"")</f>
        <v/>
      </c>
      <c r="B61" s="35" t="str">
        <f aca="false">IFERROR(INDEX(采购录入!$E$5:$E$404,MATCH(ROW()-8,采购录入!$AA$5:$AA$404,0)),"")</f>
        <v/>
      </c>
      <c r="C61" s="64" t="str">
        <f aca="false">IFERROR(INDEX(采购录入!$F$5:$F$404,MATCH(ROW()-8,采购录入!$AA$5:$AA$404,0)),"")</f>
        <v/>
      </c>
      <c r="D61" s="54" t="str">
        <f aca="false">IFERROR(INDEX(采购录入!$G$5:$G$404,MATCH(ROW()-8,采购录入!$AA$5:$AA$404,0)),"")</f>
        <v/>
      </c>
      <c r="E61" s="54" t="str">
        <f aca="false">IFERROR(INDEX(采购录入!$S$5:$S$404,MATCH(ROW()-8,采购录入!$AA$5:$AA$404,0)),"")</f>
        <v/>
      </c>
      <c r="F61" s="76" t="str">
        <f aca="false">IFERROR(INDEX(采购录入!$T$5:$T$404,MATCH(ROW()-8,采购录入!$AA$5:$AA$404,0)),"")</f>
        <v/>
      </c>
      <c r="H61" s="76" t="str">
        <f aca="false">IFERROR(INDEX(资金流水!$B$5:$B$504,MATCH(ROW()-8,资金流水!$W$5:$W$504,0)),"")</f>
        <v/>
      </c>
      <c r="I61" s="42" t="str">
        <f aca="false">IFERROR(INDEX(资金流水!$F$5:$F$504,MATCH(ROW()-8,资金流水!$W$5:$W$504,0)),"")</f>
        <v/>
      </c>
      <c r="J61" s="54" t="str">
        <f aca="false">IFERROR(INDEX(资金流水!$N$5:$N$504,MATCH(ROW()-8,资金流水!$W$5:$W$504,0)),"")</f>
        <v/>
      </c>
      <c r="K61" s="35" t="str">
        <f aca="false">IFERROR(INDEX(资金流水!$J$5:$J$504,MATCH(ROW()-8,资金流水!$W$5:$W$504,0)),"")</f>
        <v/>
      </c>
      <c r="L61" s="42" t="str">
        <f aca="false">IFERROR(INDEX(资金流水!$I$5:$I$504,MATCH(ROW()-8,资金流水!$W$5:$W$504,0)),"")</f>
        <v/>
      </c>
      <c r="M61" s="42" t="str">
        <f aca="false">IFERROR(INDEX(资金流水!$H$5:$H$504,MATCH(ROW()-8,资金流水!$W$5:$W$504,0)),"")</f>
        <v/>
      </c>
    </row>
    <row r="62" customFormat="false" ht="15.75" hidden="false" customHeight="true" outlineLevel="0" collapsed="false">
      <c r="A62" s="76" t="str">
        <f aca="false">IFERROR(INDEX(采购录入!$B$5:$B$404,MATCH(ROW()-8,采购录入!$AA$5:$AA$404,0)),"")</f>
        <v/>
      </c>
      <c r="B62" s="35" t="str">
        <f aca="false">IFERROR(INDEX(采购录入!$E$5:$E$404,MATCH(ROW()-8,采购录入!$AA$5:$AA$404,0)),"")</f>
        <v/>
      </c>
      <c r="C62" s="64" t="str">
        <f aca="false">IFERROR(INDEX(采购录入!$F$5:$F$404,MATCH(ROW()-8,采购录入!$AA$5:$AA$404,0)),"")</f>
        <v/>
      </c>
      <c r="D62" s="54" t="str">
        <f aca="false">IFERROR(INDEX(采购录入!$G$5:$G$404,MATCH(ROW()-8,采购录入!$AA$5:$AA$404,0)),"")</f>
        <v/>
      </c>
      <c r="E62" s="54" t="str">
        <f aca="false">IFERROR(INDEX(采购录入!$S$5:$S$404,MATCH(ROW()-8,采购录入!$AA$5:$AA$404,0)),"")</f>
        <v/>
      </c>
      <c r="F62" s="76" t="str">
        <f aca="false">IFERROR(INDEX(采购录入!$T$5:$T$404,MATCH(ROW()-8,采购录入!$AA$5:$AA$404,0)),"")</f>
        <v/>
      </c>
      <c r="H62" s="76" t="str">
        <f aca="false">IFERROR(INDEX(资金流水!$B$5:$B$504,MATCH(ROW()-8,资金流水!$W$5:$W$504,0)),"")</f>
        <v/>
      </c>
      <c r="I62" s="42" t="str">
        <f aca="false">IFERROR(INDEX(资金流水!$F$5:$F$504,MATCH(ROW()-8,资金流水!$W$5:$W$504,0)),"")</f>
        <v/>
      </c>
      <c r="J62" s="54" t="str">
        <f aca="false">IFERROR(INDEX(资金流水!$N$5:$N$504,MATCH(ROW()-8,资金流水!$W$5:$W$504,0)),"")</f>
        <v/>
      </c>
      <c r="K62" s="35" t="str">
        <f aca="false">IFERROR(INDEX(资金流水!$J$5:$J$504,MATCH(ROW()-8,资金流水!$W$5:$W$504,0)),"")</f>
        <v/>
      </c>
      <c r="L62" s="42" t="str">
        <f aca="false">IFERROR(INDEX(资金流水!$I$5:$I$504,MATCH(ROW()-8,资金流水!$W$5:$W$504,0)),"")</f>
        <v/>
      </c>
      <c r="M62" s="42" t="str">
        <f aca="false">IFERROR(INDEX(资金流水!$H$5:$H$504,MATCH(ROW()-8,资金流水!$W$5:$W$504,0)),"")</f>
        <v/>
      </c>
    </row>
    <row r="63" customFormat="false" ht="15.75" hidden="false" customHeight="true" outlineLevel="0" collapsed="false">
      <c r="A63" s="76" t="str">
        <f aca="false">IFERROR(INDEX(采购录入!$B$5:$B$404,MATCH(ROW()-8,采购录入!$AA$5:$AA$404,0)),"")</f>
        <v/>
      </c>
      <c r="B63" s="35" t="str">
        <f aca="false">IFERROR(INDEX(采购录入!$E$5:$E$404,MATCH(ROW()-8,采购录入!$AA$5:$AA$404,0)),"")</f>
        <v/>
      </c>
      <c r="C63" s="64" t="str">
        <f aca="false">IFERROR(INDEX(采购录入!$F$5:$F$404,MATCH(ROW()-8,采购录入!$AA$5:$AA$404,0)),"")</f>
        <v/>
      </c>
      <c r="D63" s="54" t="str">
        <f aca="false">IFERROR(INDEX(采购录入!$G$5:$G$404,MATCH(ROW()-8,采购录入!$AA$5:$AA$404,0)),"")</f>
        <v/>
      </c>
      <c r="E63" s="54" t="str">
        <f aca="false">IFERROR(INDEX(采购录入!$S$5:$S$404,MATCH(ROW()-8,采购录入!$AA$5:$AA$404,0)),"")</f>
        <v/>
      </c>
      <c r="F63" s="76" t="str">
        <f aca="false">IFERROR(INDEX(采购录入!$T$5:$T$404,MATCH(ROW()-8,采购录入!$AA$5:$AA$404,0)),"")</f>
        <v/>
      </c>
      <c r="H63" s="76" t="str">
        <f aca="false">IFERROR(INDEX(资金流水!$B$5:$B$504,MATCH(ROW()-8,资金流水!$W$5:$W$504,0)),"")</f>
        <v/>
      </c>
      <c r="I63" s="42" t="str">
        <f aca="false">IFERROR(INDEX(资金流水!$F$5:$F$504,MATCH(ROW()-8,资金流水!$W$5:$W$504,0)),"")</f>
        <v/>
      </c>
      <c r="J63" s="54" t="str">
        <f aca="false">IFERROR(INDEX(资金流水!$N$5:$N$504,MATCH(ROW()-8,资金流水!$W$5:$W$504,0)),"")</f>
        <v/>
      </c>
      <c r="K63" s="35" t="str">
        <f aca="false">IFERROR(INDEX(资金流水!$J$5:$J$504,MATCH(ROW()-8,资金流水!$W$5:$W$504,0)),"")</f>
        <v/>
      </c>
      <c r="L63" s="42" t="str">
        <f aca="false">IFERROR(INDEX(资金流水!$I$5:$I$504,MATCH(ROW()-8,资金流水!$W$5:$W$504,0)),"")</f>
        <v/>
      </c>
      <c r="M63" s="42" t="str">
        <f aca="false">IFERROR(INDEX(资金流水!$H$5:$H$504,MATCH(ROW()-8,资金流水!$W$5:$W$504,0)),"")</f>
        <v/>
      </c>
    </row>
    <row r="64" customFormat="false" ht="15.75" hidden="false" customHeight="true" outlineLevel="0" collapsed="false">
      <c r="A64" s="76" t="str">
        <f aca="false">IFERROR(INDEX(采购录入!$B$5:$B$404,MATCH(ROW()-8,采购录入!$AA$5:$AA$404,0)),"")</f>
        <v/>
      </c>
      <c r="B64" s="35" t="str">
        <f aca="false">IFERROR(INDEX(采购录入!$E$5:$E$404,MATCH(ROW()-8,采购录入!$AA$5:$AA$404,0)),"")</f>
        <v/>
      </c>
      <c r="C64" s="64" t="str">
        <f aca="false">IFERROR(INDEX(采购录入!$F$5:$F$404,MATCH(ROW()-8,采购录入!$AA$5:$AA$404,0)),"")</f>
        <v/>
      </c>
      <c r="D64" s="54" t="str">
        <f aca="false">IFERROR(INDEX(采购录入!$G$5:$G$404,MATCH(ROW()-8,采购录入!$AA$5:$AA$404,0)),"")</f>
        <v/>
      </c>
      <c r="E64" s="54" t="str">
        <f aca="false">IFERROR(INDEX(采购录入!$S$5:$S$404,MATCH(ROW()-8,采购录入!$AA$5:$AA$404,0)),"")</f>
        <v/>
      </c>
      <c r="F64" s="76" t="str">
        <f aca="false">IFERROR(INDEX(采购录入!$T$5:$T$404,MATCH(ROW()-8,采购录入!$AA$5:$AA$404,0)),"")</f>
        <v/>
      </c>
      <c r="H64" s="76" t="str">
        <f aca="false">IFERROR(INDEX(资金流水!$B$5:$B$504,MATCH(ROW()-8,资金流水!$W$5:$W$504,0)),"")</f>
        <v/>
      </c>
      <c r="I64" s="42" t="str">
        <f aca="false">IFERROR(INDEX(资金流水!$F$5:$F$504,MATCH(ROW()-8,资金流水!$W$5:$W$504,0)),"")</f>
        <v/>
      </c>
      <c r="J64" s="54" t="str">
        <f aca="false">IFERROR(INDEX(资金流水!$N$5:$N$504,MATCH(ROW()-8,资金流水!$W$5:$W$504,0)),"")</f>
        <v/>
      </c>
      <c r="K64" s="35" t="str">
        <f aca="false">IFERROR(INDEX(资金流水!$J$5:$J$504,MATCH(ROW()-8,资金流水!$W$5:$W$504,0)),"")</f>
        <v/>
      </c>
      <c r="L64" s="42" t="str">
        <f aca="false">IFERROR(INDEX(资金流水!$I$5:$I$504,MATCH(ROW()-8,资金流水!$W$5:$W$504,0)),"")</f>
        <v/>
      </c>
      <c r="M64" s="42" t="str">
        <f aca="false">IFERROR(INDEX(资金流水!$H$5:$H$504,MATCH(ROW()-8,资金流水!$W$5:$W$504,0)),"")</f>
        <v/>
      </c>
    </row>
    <row r="65" customFormat="false" ht="15.75" hidden="false" customHeight="true" outlineLevel="0" collapsed="false">
      <c r="A65" s="76" t="str">
        <f aca="false">IFERROR(INDEX(采购录入!$B$5:$B$404,MATCH(ROW()-8,采购录入!$AA$5:$AA$404,0)),"")</f>
        <v/>
      </c>
      <c r="B65" s="35" t="str">
        <f aca="false">IFERROR(INDEX(采购录入!$E$5:$E$404,MATCH(ROW()-8,采购录入!$AA$5:$AA$404,0)),"")</f>
        <v/>
      </c>
      <c r="C65" s="64" t="str">
        <f aca="false">IFERROR(INDEX(采购录入!$F$5:$F$404,MATCH(ROW()-8,采购录入!$AA$5:$AA$404,0)),"")</f>
        <v/>
      </c>
      <c r="D65" s="54" t="str">
        <f aca="false">IFERROR(INDEX(采购录入!$G$5:$G$404,MATCH(ROW()-8,采购录入!$AA$5:$AA$404,0)),"")</f>
        <v/>
      </c>
      <c r="E65" s="54" t="str">
        <f aca="false">IFERROR(INDEX(采购录入!$S$5:$S$404,MATCH(ROW()-8,采购录入!$AA$5:$AA$404,0)),"")</f>
        <v/>
      </c>
      <c r="F65" s="76" t="str">
        <f aca="false">IFERROR(INDEX(采购录入!$T$5:$T$404,MATCH(ROW()-8,采购录入!$AA$5:$AA$404,0)),"")</f>
        <v/>
      </c>
      <c r="H65" s="76" t="str">
        <f aca="false">IFERROR(INDEX(资金流水!$B$5:$B$504,MATCH(ROW()-8,资金流水!$W$5:$W$504,0)),"")</f>
        <v/>
      </c>
      <c r="I65" s="42" t="str">
        <f aca="false">IFERROR(INDEX(资金流水!$F$5:$F$504,MATCH(ROW()-8,资金流水!$W$5:$W$504,0)),"")</f>
        <v/>
      </c>
      <c r="J65" s="54" t="str">
        <f aca="false">IFERROR(INDEX(资金流水!$N$5:$N$504,MATCH(ROW()-8,资金流水!$W$5:$W$504,0)),"")</f>
        <v/>
      </c>
      <c r="K65" s="35" t="str">
        <f aca="false">IFERROR(INDEX(资金流水!$J$5:$J$504,MATCH(ROW()-8,资金流水!$W$5:$W$504,0)),"")</f>
        <v/>
      </c>
      <c r="L65" s="42" t="str">
        <f aca="false">IFERROR(INDEX(资金流水!$I$5:$I$504,MATCH(ROW()-8,资金流水!$W$5:$W$504,0)),"")</f>
        <v/>
      </c>
      <c r="M65" s="42" t="str">
        <f aca="false">IFERROR(INDEX(资金流水!$H$5:$H$504,MATCH(ROW()-8,资金流水!$W$5:$W$504,0)),"")</f>
        <v/>
      </c>
    </row>
    <row r="66" customFormat="false" ht="15.75" hidden="false" customHeight="true" outlineLevel="0" collapsed="false">
      <c r="A66" s="76" t="str">
        <f aca="false">IFERROR(INDEX(采购录入!$B$5:$B$404,MATCH(ROW()-8,采购录入!$AA$5:$AA$404,0)),"")</f>
        <v/>
      </c>
      <c r="B66" s="35" t="str">
        <f aca="false">IFERROR(INDEX(采购录入!$E$5:$E$404,MATCH(ROW()-8,采购录入!$AA$5:$AA$404,0)),"")</f>
        <v/>
      </c>
      <c r="C66" s="64" t="str">
        <f aca="false">IFERROR(INDEX(采购录入!$F$5:$F$404,MATCH(ROW()-8,采购录入!$AA$5:$AA$404,0)),"")</f>
        <v/>
      </c>
      <c r="D66" s="54" t="str">
        <f aca="false">IFERROR(INDEX(采购录入!$G$5:$G$404,MATCH(ROW()-8,采购录入!$AA$5:$AA$404,0)),"")</f>
        <v/>
      </c>
      <c r="E66" s="54" t="str">
        <f aca="false">IFERROR(INDEX(采购录入!$S$5:$S$404,MATCH(ROW()-8,采购录入!$AA$5:$AA$404,0)),"")</f>
        <v/>
      </c>
      <c r="F66" s="76" t="str">
        <f aca="false">IFERROR(INDEX(采购录入!$T$5:$T$404,MATCH(ROW()-8,采购录入!$AA$5:$AA$404,0)),"")</f>
        <v/>
      </c>
      <c r="H66" s="76" t="str">
        <f aca="false">IFERROR(INDEX(资金流水!$B$5:$B$504,MATCH(ROW()-8,资金流水!$W$5:$W$504,0)),"")</f>
        <v/>
      </c>
      <c r="I66" s="42" t="str">
        <f aca="false">IFERROR(INDEX(资金流水!$F$5:$F$504,MATCH(ROW()-8,资金流水!$W$5:$W$504,0)),"")</f>
        <v/>
      </c>
      <c r="J66" s="54" t="str">
        <f aca="false">IFERROR(INDEX(资金流水!$N$5:$N$504,MATCH(ROW()-8,资金流水!$W$5:$W$504,0)),"")</f>
        <v/>
      </c>
      <c r="K66" s="35" t="str">
        <f aca="false">IFERROR(INDEX(资金流水!$J$5:$J$504,MATCH(ROW()-8,资金流水!$W$5:$W$504,0)),"")</f>
        <v/>
      </c>
      <c r="L66" s="42" t="str">
        <f aca="false">IFERROR(INDEX(资金流水!$I$5:$I$504,MATCH(ROW()-8,资金流水!$W$5:$W$504,0)),"")</f>
        <v/>
      </c>
      <c r="M66" s="42" t="str">
        <f aca="false">IFERROR(INDEX(资金流水!$H$5:$H$504,MATCH(ROW()-8,资金流水!$W$5:$W$504,0)),"")</f>
        <v/>
      </c>
    </row>
    <row r="67" customFormat="false" ht="15.75" hidden="false" customHeight="true" outlineLevel="0" collapsed="false">
      <c r="A67" s="76" t="str">
        <f aca="false">IFERROR(INDEX(采购录入!$B$5:$B$404,MATCH(ROW()-8,采购录入!$AA$5:$AA$404,0)),"")</f>
        <v/>
      </c>
      <c r="B67" s="35" t="str">
        <f aca="false">IFERROR(INDEX(采购录入!$E$5:$E$404,MATCH(ROW()-8,采购录入!$AA$5:$AA$404,0)),"")</f>
        <v/>
      </c>
      <c r="C67" s="64" t="str">
        <f aca="false">IFERROR(INDEX(采购录入!$F$5:$F$404,MATCH(ROW()-8,采购录入!$AA$5:$AA$404,0)),"")</f>
        <v/>
      </c>
      <c r="D67" s="54" t="str">
        <f aca="false">IFERROR(INDEX(采购录入!$G$5:$G$404,MATCH(ROW()-8,采购录入!$AA$5:$AA$404,0)),"")</f>
        <v/>
      </c>
      <c r="E67" s="54" t="str">
        <f aca="false">IFERROR(INDEX(采购录入!$S$5:$S$404,MATCH(ROW()-8,采购录入!$AA$5:$AA$404,0)),"")</f>
        <v/>
      </c>
      <c r="F67" s="76" t="str">
        <f aca="false">IFERROR(INDEX(采购录入!$T$5:$T$404,MATCH(ROW()-8,采购录入!$AA$5:$AA$404,0)),"")</f>
        <v/>
      </c>
      <c r="H67" s="76" t="str">
        <f aca="false">IFERROR(INDEX(资金流水!$B$5:$B$504,MATCH(ROW()-8,资金流水!$W$5:$W$504,0)),"")</f>
        <v/>
      </c>
      <c r="I67" s="42" t="str">
        <f aca="false">IFERROR(INDEX(资金流水!$F$5:$F$504,MATCH(ROW()-8,资金流水!$W$5:$W$504,0)),"")</f>
        <v/>
      </c>
      <c r="J67" s="54" t="str">
        <f aca="false">IFERROR(INDEX(资金流水!$N$5:$N$504,MATCH(ROW()-8,资金流水!$W$5:$W$504,0)),"")</f>
        <v/>
      </c>
      <c r="K67" s="35" t="str">
        <f aca="false">IFERROR(INDEX(资金流水!$J$5:$J$504,MATCH(ROW()-8,资金流水!$W$5:$W$504,0)),"")</f>
        <v/>
      </c>
      <c r="L67" s="42" t="str">
        <f aca="false">IFERROR(INDEX(资金流水!$I$5:$I$504,MATCH(ROW()-8,资金流水!$W$5:$W$504,0)),"")</f>
        <v/>
      </c>
      <c r="M67" s="42" t="str">
        <f aca="false">IFERROR(INDEX(资金流水!$H$5:$H$504,MATCH(ROW()-8,资金流水!$W$5:$W$504,0)),"")</f>
        <v/>
      </c>
    </row>
    <row r="68" customFormat="false" ht="15.75" hidden="false" customHeight="true" outlineLevel="0" collapsed="false">
      <c r="A68" s="76" t="str">
        <f aca="false">IFERROR(INDEX(采购录入!$B$5:$B$404,MATCH(ROW()-8,采购录入!$AA$5:$AA$404,0)),"")</f>
        <v/>
      </c>
      <c r="B68" s="35" t="str">
        <f aca="false">IFERROR(INDEX(采购录入!$E$5:$E$404,MATCH(ROW()-8,采购录入!$AA$5:$AA$404,0)),"")</f>
        <v/>
      </c>
      <c r="C68" s="64" t="str">
        <f aca="false">IFERROR(INDEX(采购录入!$F$5:$F$404,MATCH(ROW()-8,采购录入!$AA$5:$AA$404,0)),"")</f>
        <v/>
      </c>
      <c r="D68" s="54" t="str">
        <f aca="false">IFERROR(INDEX(采购录入!$G$5:$G$404,MATCH(ROW()-8,采购录入!$AA$5:$AA$404,0)),"")</f>
        <v/>
      </c>
      <c r="E68" s="54" t="str">
        <f aca="false">IFERROR(INDEX(采购录入!$S$5:$S$404,MATCH(ROW()-8,采购录入!$AA$5:$AA$404,0)),"")</f>
        <v/>
      </c>
      <c r="F68" s="76" t="str">
        <f aca="false">IFERROR(INDEX(采购录入!$T$5:$T$404,MATCH(ROW()-8,采购录入!$AA$5:$AA$404,0)),"")</f>
        <v/>
      </c>
      <c r="H68" s="76" t="str">
        <f aca="false">IFERROR(INDEX(资金流水!$B$5:$B$504,MATCH(ROW()-8,资金流水!$W$5:$W$504,0)),"")</f>
        <v/>
      </c>
      <c r="I68" s="42" t="str">
        <f aca="false">IFERROR(INDEX(资金流水!$F$5:$F$504,MATCH(ROW()-8,资金流水!$W$5:$W$504,0)),"")</f>
        <v/>
      </c>
      <c r="J68" s="54" t="str">
        <f aca="false">IFERROR(INDEX(资金流水!$N$5:$N$504,MATCH(ROW()-8,资金流水!$W$5:$W$504,0)),"")</f>
        <v/>
      </c>
      <c r="K68" s="35" t="str">
        <f aca="false">IFERROR(INDEX(资金流水!$J$5:$J$504,MATCH(ROW()-8,资金流水!$W$5:$W$504,0)),"")</f>
        <v/>
      </c>
      <c r="L68" s="42" t="str">
        <f aca="false">IFERROR(INDEX(资金流水!$I$5:$I$504,MATCH(ROW()-8,资金流水!$W$5:$W$504,0)),"")</f>
        <v/>
      </c>
      <c r="M68" s="42" t="str">
        <f aca="false">IFERROR(INDEX(资金流水!$H$5:$H$504,MATCH(ROW()-8,资金流水!$W$5:$W$504,0)),"")</f>
        <v/>
      </c>
    </row>
    <row r="69" customFormat="false" ht="15.75" hidden="false" customHeight="true" outlineLevel="0" collapsed="false">
      <c r="A69" s="76" t="str">
        <f aca="false">IFERROR(INDEX(采购录入!$B$5:$B$404,MATCH(ROW()-8,采购录入!$AA$5:$AA$404,0)),"")</f>
        <v/>
      </c>
      <c r="B69" s="35" t="str">
        <f aca="false">IFERROR(INDEX(采购录入!$E$5:$E$404,MATCH(ROW()-8,采购录入!$AA$5:$AA$404,0)),"")</f>
        <v/>
      </c>
      <c r="C69" s="64" t="str">
        <f aca="false">IFERROR(INDEX(采购录入!$F$5:$F$404,MATCH(ROW()-8,采购录入!$AA$5:$AA$404,0)),"")</f>
        <v/>
      </c>
      <c r="D69" s="54" t="str">
        <f aca="false">IFERROR(INDEX(采购录入!$G$5:$G$404,MATCH(ROW()-8,采购录入!$AA$5:$AA$404,0)),"")</f>
        <v/>
      </c>
      <c r="E69" s="54" t="str">
        <f aca="false">IFERROR(INDEX(采购录入!$S$5:$S$404,MATCH(ROW()-8,采购录入!$AA$5:$AA$404,0)),"")</f>
        <v/>
      </c>
      <c r="F69" s="76" t="str">
        <f aca="false">IFERROR(INDEX(采购录入!$T$5:$T$404,MATCH(ROW()-8,采购录入!$AA$5:$AA$404,0)),"")</f>
        <v/>
      </c>
      <c r="H69" s="76" t="str">
        <f aca="false">IFERROR(INDEX(资金流水!$B$5:$B$504,MATCH(ROW()-8,资金流水!$W$5:$W$504,0)),"")</f>
        <v/>
      </c>
      <c r="I69" s="42" t="str">
        <f aca="false">IFERROR(INDEX(资金流水!$F$5:$F$504,MATCH(ROW()-8,资金流水!$W$5:$W$504,0)),"")</f>
        <v/>
      </c>
      <c r="J69" s="54" t="str">
        <f aca="false">IFERROR(INDEX(资金流水!$N$5:$N$504,MATCH(ROW()-8,资金流水!$W$5:$W$504,0)),"")</f>
        <v/>
      </c>
      <c r="K69" s="35" t="str">
        <f aca="false">IFERROR(INDEX(资金流水!$J$5:$J$504,MATCH(ROW()-8,资金流水!$W$5:$W$504,0)),"")</f>
        <v/>
      </c>
      <c r="L69" s="42" t="str">
        <f aca="false">IFERROR(INDEX(资金流水!$I$5:$I$504,MATCH(ROW()-8,资金流水!$W$5:$W$504,0)),"")</f>
        <v/>
      </c>
      <c r="M69" s="42" t="str">
        <f aca="false">IFERROR(INDEX(资金流水!$H$5:$H$504,MATCH(ROW()-8,资金流水!$W$5:$W$504,0)),"")</f>
        <v/>
      </c>
    </row>
    <row r="70" customFormat="false" ht="15.75" hidden="false" customHeight="true" outlineLevel="0" collapsed="false">
      <c r="A70" s="76" t="str">
        <f aca="false">IFERROR(INDEX(采购录入!$B$5:$B$404,MATCH(ROW()-8,采购录入!$AA$5:$AA$404,0)),"")</f>
        <v/>
      </c>
      <c r="B70" s="35" t="str">
        <f aca="false">IFERROR(INDEX(采购录入!$E$5:$E$404,MATCH(ROW()-8,采购录入!$AA$5:$AA$404,0)),"")</f>
        <v/>
      </c>
      <c r="C70" s="64" t="str">
        <f aca="false">IFERROR(INDEX(采购录入!$F$5:$F$404,MATCH(ROW()-8,采购录入!$AA$5:$AA$404,0)),"")</f>
        <v/>
      </c>
      <c r="D70" s="54" t="str">
        <f aca="false">IFERROR(INDEX(采购录入!$G$5:$G$404,MATCH(ROW()-8,采购录入!$AA$5:$AA$404,0)),"")</f>
        <v/>
      </c>
      <c r="E70" s="54" t="str">
        <f aca="false">IFERROR(INDEX(采购录入!$S$5:$S$404,MATCH(ROW()-8,采购录入!$AA$5:$AA$404,0)),"")</f>
        <v/>
      </c>
      <c r="F70" s="76" t="str">
        <f aca="false">IFERROR(INDEX(采购录入!$T$5:$T$404,MATCH(ROW()-8,采购录入!$AA$5:$AA$404,0)),"")</f>
        <v/>
      </c>
      <c r="H70" s="76" t="str">
        <f aca="false">IFERROR(INDEX(资金流水!$B$5:$B$504,MATCH(ROW()-8,资金流水!$W$5:$W$504,0)),"")</f>
        <v/>
      </c>
      <c r="I70" s="42" t="str">
        <f aca="false">IFERROR(INDEX(资金流水!$F$5:$F$504,MATCH(ROW()-8,资金流水!$W$5:$W$504,0)),"")</f>
        <v/>
      </c>
      <c r="J70" s="54" t="str">
        <f aca="false">IFERROR(INDEX(资金流水!$N$5:$N$504,MATCH(ROW()-8,资金流水!$W$5:$W$504,0)),"")</f>
        <v/>
      </c>
      <c r="K70" s="35" t="str">
        <f aca="false">IFERROR(INDEX(资金流水!$J$5:$J$504,MATCH(ROW()-8,资金流水!$W$5:$W$504,0)),"")</f>
        <v/>
      </c>
      <c r="L70" s="42" t="str">
        <f aca="false">IFERROR(INDEX(资金流水!$I$5:$I$504,MATCH(ROW()-8,资金流水!$W$5:$W$504,0)),"")</f>
        <v/>
      </c>
      <c r="M70" s="42" t="str">
        <f aca="false">IFERROR(INDEX(资金流水!$H$5:$H$504,MATCH(ROW()-8,资金流水!$W$5:$W$504,0)),"")</f>
        <v/>
      </c>
    </row>
    <row r="71" customFormat="false" ht="15.75" hidden="false" customHeight="true" outlineLevel="0" collapsed="false">
      <c r="A71" s="76" t="str">
        <f aca="false">IFERROR(INDEX(采购录入!$B$5:$B$404,MATCH(ROW()-8,采购录入!$AA$5:$AA$404,0)),"")</f>
        <v/>
      </c>
      <c r="B71" s="35" t="str">
        <f aca="false">IFERROR(INDEX(采购录入!$E$5:$E$404,MATCH(ROW()-8,采购录入!$AA$5:$AA$404,0)),"")</f>
        <v/>
      </c>
      <c r="C71" s="64" t="str">
        <f aca="false">IFERROR(INDEX(采购录入!$F$5:$F$404,MATCH(ROW()-8,采购录入!$AA$5:$AA$404,0)),"")</f>
        <v/>
      </c>
      <c r="D71" s="54" t="str">
        <f aca="false">IFERROR(INDEX(采购录入!$G$5:$G$404,MATCH(ROW()-8,采购录入!$AA$5:$AA$404,0)),"")</f>
        <v/>
      </c>
      <c r="E71" s="54" t="str">
        <f aca="false">IFERROR(INDEX(采购录入!$S$5:$S$404,MATCH(ROW()-8,采购录入!$AA$5:$AA$404,0)),"")</f>
        <v/>
      </c>
      <c r="F71" s="76" t="str">
        <f aca="false">IFERROR(INDEX(采购录入!$T$5:$T$404,MATCH(ROW()-8,采购录入!$AA$5:$AA$404,0)),"")</f>
        <v/>
      </c>
      <c r="H71" s="76" t="str">
        <f aca="false">IFERROR(INDEX(资金流水!$B$5:$B$504,MATCH(ROW()-8,资金流水!$W$5:$W$504,0)),"")</f>
        <v/>
      </c>
      <c r="I71" s="42" t="str">
        <f aca="false">IFERROR(INDEX(资金流水!$F$5:$F$504,MATCH(ROW()-8,资金流水!$W$5:$W$504,0)),"")</f>
        <v/>
      </c>
      <c r="J71" s="54" t="str">
        <f aca="false">IFERROR(INDEX(资金流水!$N$5:$N$504,MATCH(ROW()-8,资金流水!$W$5:$W$504,0)),"")</f>
        <v/>
      </c>
      <c r="K71" s="35" t="str">
        <f aca="false">IFERROR(INDEX(资金流水!$J$5:$J$504,MATCH(ROW()-8,资金流水!$W$5:$W$504,0)),"")</f>
        <v/>
      </c>
      <c r="L71" s="42" t="str">
        <f aca="false">IFERROR(INDEX(资金流水!$I$5:$I$504,MATCH(ROW()-8,资金流水!$W$5:$W$504,0)),"")</f>
        <v/>
      </c>
      <c r="M71" s="42" t="str">
        <f aca="false">IFERROR(INDEX(资金流水!$H$5:$H$504,MATCH(ROW()-8,资金流水!$W$5:$W$504,0)),"")</f>
        <v/>
      </c>
    </row>
    <row r="72" customFormat="false" ht="15.75" hidden="false" customHeight="true" outlineLevel="0" collapsed="false">
      <c r="A72" s="76" t="str">
        <f aca="false">IFERROR(INDEX(采购录入!$B$5:$B$404,MATCH(ROW()-8,采购录入!$AA$5:$AA$404,0)),"")</f>
        <v/>
      </c>
      <c r="B72" s="35" t="str">
        <f aca="false">IFERROR(INDEX(采购录入!$E$5:$E$404,MATCH(ROW()-8,采购录入!$AA$5:$AA$404,0)),"")</f>
        <v/>
      </c>
      <c r="C72" s="64" t="str">
        <f aca="false">IFERROR(INDEX(采购录入!$F$5:$F$404,MATCH(ROW()-8,采购录入!$AA$5:$AA$404,0)),"")</f>
        <v/>
      </c>
      <c r="D72" s="54" t="str">
        <f aca="false">IFERROR(INDEX(采购录入!$G$5:$G$404,MATCH(ROW()-8,采购录入!$AA$5:$AA$404,0)),"")</f>
        <v/>
      </c>
      <c r="E72" s="54" t="str">
        <f aca="false">IFERROR(INDEX(采购录入!$S$5:$S$404,MATCH(ROW()-8,采购录入!$AA$5:$AA$404,0)),"")</f>
        <v/>
      </c>
      <c r="F72" s="76" t="str">
        <f aca="false">IFERROR(INDEX(采购录入!$T$5:$T$404,MATCH(ROW()-8,采购录入!$AA$5:$AA$404,0)),"")</f>
        <v/>
      </c>
      <c r="H72" s="76" t="str">
        <f aca="false">IFERROR(INDEX(资金流水!$B$5:$B$504,MATCH(ROW()-8,资金流水!$W$5:$W$504,0)),"")</f>
        <v/>
      </c>
      <c r="I72" s="42" t="str">
        <f aca="false">IFERROR(INDEX(资金流水!$F$5:$F$504,MATCH(ROW()-8,资金流水!$W$5:$W$504,0)),"")</f>
        <v/>
      </c>
      <c r="J72" s="54" t="str">
        <f aca="false">IFERROR(INDEX(资金流水!$N$5:$N$504,MATCH(ROW()-8,资金流水!$W$5:$W$504,0)),"")</f>
        <v/>
      </c>
      <c r="K72" s="35" t="str">
        <f aca="false">IFERROR(INDEX(资金流水!$J$5:$J$504,MATCH(ROW()-8,资金流水!$W$5:$W$504,0)),"")</f>
        <v/>
      </c>
      <c r="L72" s="42" t="str">
        <f aca="false">IFERROR(INDEX(资金流水!$I$5:$I$504,MATCH(ROW()-8,资金流水!$W$5:$W$504,0)),"")</f>
        <v/>
      </c>
      <c r="M72" s="42" t="str">
        <f aca="false">IFERROR(INDEX(资金流水!$H$5:$H$504,MATCH(ROW()-8,资金流水!$W$5:$W$504,0)),"")</f>
        <v/>
      </c>
    </row>
    <row r="73" customFormat="false" ht="15.75" hidden="false" customHeight="true" outlineLevel="0" collapsed="false">
      <c r="A73" s="76" t="str">
        <f aca="false">IFERROR(INDEX(采购录入!$B$5:$B$404,MATCH(ROW()-8,采购录入!$AA$5:$AA$404,0)),"")</f>
        <v/>
      </c>
      <c r="B73" s="35" t="str">
        <f aca="false">IFERROR(INDEX(采购录入!$E$5:$E$404,MATCH(ROW()-8,采购录入!$AA$5:$AA$404,0)),"")</f>
        <v/>
      </c>
      <c r="C73" s="64" t="str">
        <f aca="false">IFERROR(INDEX(采购录入!$F$5:$F$404,MATCH(ROW()-8,采购录入!$AA$5:$AA$404,0)),"")</f>
        <v/>
      </c>
      <c r="D73" s="54" t="str">
        <f aca="false">IFERROR(INDEX(采购录入!$G$5:$G$404,MATCH(ROW()-8,采购录入!$AA$5:$AA$404,0)),"")</f>
        <v/>
      </c>
      <c r="E73" s="54" t="str">
        <f aca="false">IFERROR(INDEX(采购录入!$S$5:$S$404,MATCH(ROW()-8,采购录入!$AA$5:$AA$404,0)),"")</f>
        <v/>
      </c>
      <c r="F73" s="76" t="str">
        <f aca="false">IFERROR(INDEX(采购录入!$T$5:$T$404,MATCH(ROW()-8,采购录入!$AA$5:$AA$404,0)),"")</f>
        <v/>
      </c>
      <c r="H73" s="76" t="str">
        <f aca="false">IFERROR(INDEX(资金流水!$B$5:$B$504,MATCH(ROW()-8,资金流水!$W$5:$W$504,0)),"")</f>
        <v/>
      </c>
      <c r="I73" s="42" t="str">
        <f aca="false">IFERROR(INDEX(资金流水!$F$5:$F$504,MATCH(ROW()-8,资金流水!$W$5:$W$504,0)),"")</f>
        <v/>
      </c>
      <c r="J73" s="54" t="str">
        <f aca="false">IFERROR(INDEX(资金流水!$N$5:$N$504,MATCH(ROW()-8,资金流水!$W$5:$W$504,0)),"")</f>
        <v/>
      </c>
      <c r="K73" s="35" t="str">
        <f aca="false">IFERROR(INDEX(资金流水!$J$5:$J$504,MATCH(ROW()-8,资金流水!$W$5:$W$504,0)),"")</f>
        <v/>
      </c>
      <c r="L73" s="42" t="str">
        <f aca="false">IFERROR(INDEX(资金流水!$I$5:$I$504,MATCH(ROW()-8,资金流水!$W$5:$W$504,0)),"")</f>
        <v/>
      </c>
      <c r="M73" s="42" t="str">
        <f aca="false">IFERROR(INDEX(资金流水!$H$5:$H$504,MATCH(ROW()-8,资金流水!$W$5:$W$504,0)),"")</f>
        <v/>
      </c>
    </row>
    <row r="74" customFormat="false" ht="15.75" hidden="false" customHeight="true" outlineLevel="0" collapsed="false">
      <c r="A74" s="76" t="str">
        <f aca="false">IFERROR(INDEX(采购录入!$B$5:$B$404,MATCH(ROW()-8,采购录入!$AA$5:$AA$404,0)),"")</f>
        <v/>
      </c>
      <c r="B74" s="35" t="str">
        <f aca="false">IFERROR(INDEX(采购录入!$E$5:$E$404,MATCH(ROW()-8,采购录入!$AA$5:$AA$404,0)),"")</f>
        <v/>
      </c>
      <c r="C74" s="64" t="str">
        <f aca="false">IFERROR(INDEX(采购录入!$F$5:$F$404,MATCH(ROW()-8,采购录入!$AA$5:$AA$404,0)),"")</f>
        <v/>
      </c>
      <c r="D74" s="54" t="str">
        <f aca="false">IFERROR(INDEX(采购录入!$G$5:$G$404,MATCH(ROW()-8,采购录入!$AA$5:$AA$404,0)),"")</f>
        <v/>
      </c>
      <c r="E74" s="54" t="str">
        <f aca="false">IFERROR(INDEX(采购录入!$S$5:$S$404,MATCH(ROW()-8,采购录入!$AA$5:$AA$404,0)),"")</f>
        <v/>
      </c>
      <c r="F74" s="76" t="str">
        <f aca="false">IFERROR(INDEX(采购录入!$T$5:$T$404,MATCH(ROW()-8,采购录入!$AA$5:$AA$404,0)),"")</f>
        <v/>
      </c>
      <c r="H74" s="76" t="str">
        <f aca="false">IFERROR(INDEX(资金流水!$B$5:$B$504,MATCH(ROW()-8,资金流水!$W$5:$W$504,0)),"")</f>
        <v/>
      </c>
      <c r="I74" s="42" t="str">
        <f aca="false">IFERROR(INDEX(资金流水!$F$5:$F$504,MATCH(ROW()-8,资金流水!$W$5:$W$504,0)),"")</f>
        <v/>
      </c>
      <c r="J74" s="54" t="str">
        <f aca="false">IFERROR(INDEX(资金流水!$N$5:$N$504,MATCH(ROW()-8,资金流水!$W$5:$W$504,0)),"")</f>
        <v/>
      </c>
      <c r="K74" s="35" t="str">
        <f aca="false">IFERROR(INDEX(资金流水!$J$5:$J$504,MATCH(ROW()-8,资金流水!$W$5:$W$504,0)),"")</f>
        <v/>
      </c>
      <c r="L74" s="42" t="str">
        <f aca="false">IFERROR(INDEX(资金流水!$I$5:$I$504,MATCH(ROW()-8,资金流水!$W$5:$W$504,0)),"")</f>
        <v/>
      </c>
      <c r="M74" s="42" t="str">
        <f aca="false">IFERROR(INDEX(资金流水!$H$5:$H$504,MATCH(ROW()-8,资金流水!$W$5:$W$504,0)),"")</f>
        <v/>
      </c>
    </row>
    <row r="75" customFormat="false" ht="15.75" hidden="false" customHeight="true" outlineLevel="0" collapsed="false">
      <c r="A75" s="76" t="str">
        <f aca="false">IFERROR(INDEX(采购录入!$B$5:$B$404,MATCH(ROW()-8,采购录入!$AA$5:$AA$404,0)),"")</f>
        <v/>
      </c>
      <c r="B75" s="35" t="str">
        <f aca="false">IFERROR(INDEX(采购录入!$E$5:$E$404,MATCH(ROW()-8,采购录入!$AA$5:$AA$404,0)),"")</f>
        <v/>
      </c>
      <c r="C75" s="64" t="str">
        <f aca="false">IFERROR(INDEX(采购录入!$F$5:$F$404,MATCH(ROW()-8,采购录入!$AA$5:$AA$404,0)),"")</f>
        <v/>
      </c>
      <c r="D75" s="54" t="str">
        <f aca="false">IFERROR(INDEX(采购录入!$G$5:$G$404,MATCH(ROW()-8,采购录入!$AA$5:$AA$404,0)),"")</f>
        <v/>
      </c>
      <c r="E75" s="54" t="str">
        <f aca="false">IFERROR(INDEX(采购录入!$S$5:$S$404,MATCH(ROW()-8,采购录入!$AA$5:$AA$404,0)),"")</f>
        <v/>
      </c>
      <c r="F75" s="76" t="str">
        <f aca="false">IFERROR(INDEX(采购录入!$T$5:$T$404,MATCH(ROW()-8,采购录入!$AA$5:$AA$404,0)),"")</f>
        <v/>
      </c>
      <c r="H75" s="76" t="str">
        <f aca="false">IFERROR(INDEX(资金流水!$B$5:$B$504,MATCH(ROW()-8,资金流水!$W$5:$W$504,0)),"")</f>
        <v/>
      </c>
      <c r="I75" s="42" t="str">
        <f aca="false">IFERROR(INDEX(资金流水!$F$5:$F$504,MATCH(ROW()-8,资金流水!$W$5:$W$504,0)),"")</f>
        <v/>
      </c>
      <c r="J75" s="54" t="str">
        <f aca="false">IFERROR(INDEX(资金流水!$N$5:$N$504,MATCH(ROW()-8,资金流水!$W$5:$W$504,0)),"")</f>
        <v/>
      </c>
      <c r="K75" s="35" t="str">
        <f aca="false">IFERROR(INDEX(资金流水!$J$5:$J$504,MATCH(ROW()-8,资金流水!$W$5:$W$504,0)),"")</f>
        <v/>
      </c>
      <c r="L75" s="42" t="str">
        <f aca="false">IFERROR(INDEX(资金流水!$I$5:$I$504,MATCH(ROW()-8,资金流水!$W$5:$W$504,0)),"")</f>
        <v/>
      </c>
      <c r="M75" s="42" t="str">
        <f aca="false">IFERROR(INDEX(资金流水!$H$5:$H$504,MATCH(ROW()-8,资金流水!$W$5:$W$504,0)),"")</f>
        <v/>
      </c>
    </row>
    <row r="76" customFormat="false" ht="15.75" hidden="false" customHeight="true" outlineLevel="0" collapsed="false">
      <c r="A76" s="76" t="str">
        <f aca="false">IFERROR(INDEX(采购录入!$B$5:$B$404,MATCH(ROW()-8,采购录入!$AA$5:$AA$404,0)),"")</f>
        <v/>
      </c>
      <c r="B76" s="35" t="str">
        <f aca="false">IFERROR(INDEX(采购录入!$E$5:$E$404,MATCH(ROW()-8,采购录入!$AA$5:$AA$404,0)),"")</f>
        <v/>
      </c>
      <c r="C76" s="64" t="str">
        <f aca="false">IFERROR(INDEX(采购录入!$F$5:$F$404,MATCH(ROW()-8,采购录入!$AA$5:$AA$404,0)),"")</f>
        <v/>
      </c>
      <c r="D76" s="54" t="str">
        <f aca="false">IFERROR(INDEX(采购录入!$G$5:$G$404,MATCH(ROW()-8,采购录入!$AA$5:$AA$404,0)),"")</f>
        <v/>
      </c>
      <c r="E76" s="54" t="str">
        <f aca="false">IFERROR(INDEX(采购录入!$S$5:$S$404,MATCH(ROW()-8,采购录入!$AA$5:$AA$404,0)),"")</f>
        <v/>
      </c>
      <c r="F76" s="76" t="str">
        <f aca="false">IFERROR(INDEX(采购录入!$T$5:$T$404,MATCH(ROW()-8,采购录入!$AA$5:$AA$404,0)),"")</f>
        <v/>
      </c>
      <c r="H76" s="76" t="str">
        <f aca="false">IFERROR(INDEX(资金流水!$B$5:$B$504,MATCH(ROW()-8,资金流水!$W$5:$W$504,0)),"")</f>
        <v/>
      </c>
      <c r="I76" s="42" t="str">
        <f aca="false">IFERROR(INDEX(资金流水!$F$5:$F$504,MATCH(ROW()-8,资金流水!$W$5:$W$504,0)),"")</f>
        <v/>
      </c>
      <c r="J76" s="54" t="str">
        <f aca="false">IFERROR(INDEX(资金流水!$N$5:$N$504,MATCH(ROW()-8,资金流水!$W$5:$W$504,0)),"")</f>
        <v/>
      </c>
      <c r="K76" s="35" t="str">
        <f aca="false">IFERROR(INDEX(资金流水!$J$5:$J$504,MATCH(ROW()-8,资金流水!$W$5:$W$504,0)),"")</f>
        <v/>
      </c>
      <c r="L76" s="42" t="str">
        <f aca="false">IFERROR(INDEX(资金流水!$I$5:$I$504,MATCH(ROW()-8,资金流水!$W$5:$W$504,0)),"")</f>
        <v/>
      </c>
      <c r="M76" s="42" t="str">
        <f aca="false">IFERROR(INDEX(资金流水!$H$5:$H$504,MATCH(ROW()-8,资金流水!$W$5:$W$504,0)),"")</f>
        <v/>
      </c>
    </row>
    <row r="77" customFormat="false" ht="15.75" hidden="false" customHeight="true" outlineLevel="0" collapsed="false">
      <c r="A77" s="76" t="str">
        <f aca="false">IFERROR(INDEX(采购录入!$B$5:$B$404,MATCH(ROW()-8,采购录入!$AA$5:$AA$404,0)),"")</f>
        <v/>
      </c>
      <c r="B77" s="35" t="str">
        <f aca="false">IFERROR(INDEX(采购录入!$E$5:$E$404,MATCH(ROW()-8,采购录入!$AA$5:$AA$404,0)),"")</f>
        <v/>
      </c>
      <c r="C77" s="64" t="str">
        <f aca="false">IFERROR(INDEX(采购录入!$F$5:$F$404,MATCH(ROW()-8,采购录入!$AA$5:$AA$404,0)),"")</f>
        <v/>
      </c>
      <c r="D77" s="54" t="str">
        <f aca="false">IFERROR(INDEX(采购录入!$G$5:$G$404,MATCH(ROW()-8,采购录入!$AA$5:$AA$404,0)),"")</f>
        <v/>
      </c>
      <c r="E77" s="54" t="str">
        <f aca="false">IFERROR(INDEX(采购录入!$S$5:$S$404,MATCH(ROW()-8,采购录入!$AA$5:$AA$404,0)),"")</f>
        <v/>
      </c>
      <c r="F77" s="76" t="str">
        <f aca="false">IFERROR(INDEX(采购录入!$T$5:$T$404,MATCH(ROW()-8,采购录入!$AA$5:$AA$404,0)),"")</f>
        <v/>
      </c>
      <c r="H77" s="76" t="str">
        <f aca="false">IFERROR(INDEX(资金流水!$B$5:$B$504,MATCH(ROW()-8,资金流水!$W$5:$W$504,0)),"")</f>
        <v/>
      </c>
      <c r="I77" s="42" t="str">
        <f aca="false">IFERROR(INDEX(资金流水!$F$5:$F$504,MATCH(ROW()-8,资金流水!$W$5:$W$504,0)),"")</f>
        <v/>
      </c>
      <c r="J77" s="54" t="str">
        <f aca="false">IFERROR(INDEX(资金流水!$N$5:$N$504,MATCH(ROW()-8,资金流水!$W$5:$W$504,0)),"")</f>
        <v/>
      </c>
      <c r="K77" s="35" t="str">
        <f aca="false">IFERROR(INDEX(资金流水!$J$5:$J$504,MATCH(ROW()-8,资金流水!$W$5:$W$504,0)),"")</f>
        <v/>
      </c>
      <c r="L77" s="42" t="str">
        <f aca="false">IFERROR(INDEX(资金流水!$I$5:$I$504,MATCH(ROW()-8,资金流水!$W$5:$W$504,0)),"")</f>
        <v/>
      </c>
      <c r="M77" s="42" t="str">
        <f aca="false">IFERROR(INDEX(资金流水!$H$5:$H$504,MATCH(ROW()-8,资金流水!$W$5:$W$504,0)),"")</f>
        <v/>
      </c>
    </row>
    <row r="78" customFormat="false" ht="15.75" hidden="false" customHeight="true" outlineLevel="0" collapsed="false">
      <c r="A78" s="76" t="str">
        <f aca="false">IFERROR(INDEX(采购录入!$B$5:$B$404,MATCH(ROW()-8,采购录入!$AA$5:$AA$404,0)),"")</f>
        <v/>
      </c>
      <c r="B78" s="35" t="str">
        <f aca="false">IFERROR(INDEX(采购录入!$E$5:$E$404,MATCH(ROW()-8,采购录入!$AA$5:$AA$404,0)),"")</f>
        <v/>
      </c>
      <c r="C78" s="64" t="str">
        <f aca="false">IFERROR(INDEX(采购录入!$F$5:$F$404,MATCH(ROW()-8,采购录入!$AA$5:$AA$404,0)),"")</f>
        <v/>
      </c>
      <c r="D78" s="54" t="str">
        <f aca="false">IFERROR(INDEX(采购录入!$G$5:$G$404,MATCH(ROW()-8,采购录入!$AA$5:$AA$404,0)),"")</f>
        <v/>
      </c>
      <c r="E78" s="54" t="str">
        <f aca="false">IFERROR(INDEX(采购录入!$S$5:$S$404,MATCH(ROW()-8,采购录入!$AA$5:$AA$404,0)),"")</f>
        <v/>
      </c>
      <c r="F78" s="76" t="str">
        <f aca="false">IFERROR(INDEX(采购录入!$T$5:$T$404,MATCH(ROW()-8,采购录入!$AA$5:$AA$404,0)),"")</f>
        <v/>
      </c>
      <c r="H78" s="76" t="str">
        <f aca="false">IFERROR(INDEX(资金流水!$B$5:$B$504,MATCH(ROW()-8,资金流水!$W$5:$W$504,0)),"")</f>
        <v/>
      </c>
      <c r="I78" s="42" t="str">
        <f aca="false">IFERROR(INDEX(资金流水!$F$5:$F$504,MATCH(ROW()-8,资金流水!$W$5:$W$504,0)),"")</f>
        <v/>
      </c>
      <c r="J78" s="54" t="str">
        <f aca="false">IFERROR(INDEX(资金流水!$N$5:$N$504,MATCH(ROW()-8,资金流水!$W$5:$W$504,0)),"")</f>
        <v/>
      </c>
      <c r="K78" s="35" t="str">
        <f aca="false">IFERROR(INDEX(资金流水!$J$5:$J$504,MATCH(ROW()-8,资金流水!$W$5:$W$504,0)),"")</f>
        <v/>
      </c>
      <c r="L78" s="42" t="str">
        <f aca="false">IFERROR(INDEX(资金流水!$I$5:$I$504,MATCH(ROW()-8,资金流水!$W$5:$W$504,0)),"")</f>
        <v/>
      </c>
      <c r="M78" s="42" t="str">
        <f aca="false">IFERROR(INDEX(资金流水!$H$5:$H$504,MATCH(ROW()-8,资金流水!$W$5:$W$504,0)),"")</f>
        <v/>
      </c>
    </row>
    <row r="79" customFormat="false" ht="15.75" hidden="false" customHeight="true" outlineLevel="0" collapsed="false">
      <c r="A79" s="76" t="str">
        <f aca="false">IFERROR(INDEX(采购录入!$B$5:$B$404,MATCH(ROW()-8,采购录入!$AA$5:$AA$404,0)),"")</f>
        <v/>
      </c>
      <c r="B79" s="35" t="str">
        <f aca="false">IFERROR(INDEX(采购录入!$E$5:$E$404,MATCH(ROW()-8,采购录入!$AA$5:$AA$404,0)),"")</f>
        <v/>
      </c>
      <c r="C79" s="64" t="str">
        <f aca="false">IFERROR(INDEX(采购录入!$F$5:$F$404,MATCH(ROW()-8,采购录入!$AA$5:$AA$404,0)),"")</f>
        <v/>
      </c>
      <c r="D79" s="54" t="str">
        <f aca="false">IFERROR(INDEX(采购录入!$G$5:$G$404,MATCH(ROW()-8,采购录入!$AA$5:$AA$404,0)),"")</f>
        <v/>
      </c>
      <c r="E79" s="54" t="str">
        <f aca="false">IFERROR(INDEX(采购录入!$S$5:$S$404,MATCH(ROW()-8,采购录入!$AA$5:$AA$404,0)),"")</f>
        <v/>
      </c>
      <c r="F79" s="76" t="str">
        <f aca="false">IFERROR(INDEX(采购录入!$T$5:$T$404,MATCH(ROW()-8,采购录入!$AA$5:$AA$404,0)),"")</f>
        <v/>
      </c>
      <c r="H79" s="76" t="str">
        <f aca="false">IFERROR(INDEX(资金流水!$B$5:$B$504,MATCH(ROW()-8,资金流水!$W$5:$W$504,0)),"")</f>
        <v/>
      </c>
      <c r="I79" s="42" t="str">
        <f aca="false">IFERROR(INDEX(资金流水!$F$5:$F$504,MATCH(ROW()-8,资金流水!$W$5:$W$504,0)),"")</f>
        <v/>
      </c>
      <c r="J79" s="54" t="str">
        <f aca="false">IFERROR(INDEX(资金流水!$N$5:$N$504,MATCH(ROW()-8,资金流水!$W$5:$W$504,0)),"")</f>
        <v/>
      </c>
      <c r="K79" s="35" t="str">
        <f aca="false">IFERROR(INDEX(资金流水!$J$5:$J$504,MATCH(ROW()-8,资金流水!$W$5:$W$504,0)),"")</f>
        <v/>
      </c>
      <c r="L79" s="42" t="str">
        <f aca="false">IFERROR(INDEX(资金流水!$I$5:$I$504,MATCH(ROW()-8,资金流水!$W$5:$W$504,0)),"")</f>
        <v/>
      </c>
      <c r="M79" s="42" t="str">
        <f aca="false">IFERROR(INDEX(资金流水!$H$5:$H$504,MATCH(ROW()-8,资金流水!$W$5:$W$504,0)),"")</f>
        <v/>
      </c>
    </row>
    <row r="80" customFormat="false" ht="15.75" hidden="false" customHeight="true" outlineLevel="0" collapsed="false">
      <c r="A80" s="76" t="str">
        <f aca="false">IFERROR(INDEX(采购录入!$B$5:$B$404,MATCH(ROW()-8,采购录入!$AA$5:$AA$404,0)),"")</f>
        <v/>
      </c>
      <c r="B80" s="35" t="str">
        <f aca="false">IFERROR(INDEX(采购录入!$E$5:$E$404,MATCH(ROW()-8,采购录入!$AA$5:$AA$404,0)),"")</f>
        <v/>
      </c>
      <c r="C80" s="64" t="str">
        <f aca="false">IFERROR(INDEX(采购录入!$F$5:$F$404,MATCH(ROW()-8,采购录入!$AA$5:$AA$404,0)),"")</f>
        <v/>
      </c>
      <c r="D80" s="54" t="str">
        <f aca="false">IFERROR(INDEX(采购录入!$G$5:$G$404,MATCH(ROW()-8,采购录入!$AA$5:$AA$404,0)),"")</f>
        <v/>
      </c>
      <c r="E80" s="54" t="str">
        <f aca="false">IFERROR(INDEX(采购录入!$S$5:$S$404,MATCH(ROW()-8,采购录入!$AA$5:$AA$404,0)),"")</f>
        <v/>
      </c>
      <c r="F80" s="76" t="str">
        <f aca="false">IFERROR(INDEX(采购录入!$T$5:$T$404,MATCH(ROW()-8,采购录入!$AA$5:$AA$404,0)),"")</f>
        <v/>
      </c>
      <c r="H80" s="76" t="str">
        <f aca="false">IFERROR(INDEX(资金流水!$B$5:$B$504,MATCH(ROW()-8,资金流水!$W$5:$W$504,0)),"")</f>
        <v/>
      </c>
      <c r="I80" s="42" t="str">
        <f aca="false">IFERROR(INDEX(资金流水!$F$5:$F$504,MATCH(ROW()-8,资金流水!$W$5:$W$504,0)),"")</f>
        <v/>
      </c>
      <c r="J80" s="54" t="str">
        <f aca="false">IFERROR(INDEX(资金流水!$N$5:$N$504,MATCH(ROW()-8,资金流水!$W$5:$W$504,0)),"")</f>
        <v/>
      </c>
      <c r="K80" s="35" t="str">
        <f aca="false">IFERROR(INDEX(资金流水!$J$5:$J$504,MATCH(ROW()-8,资金流水!$W$5:$W$504,0)),"")</f>
        <v/>
      </c>
      <c r="L80" s="42" t="str">
        <f aca="false">IFERROR(INDEX(资金流水!$I$5:$I$504,MATCH(ROW()-8,资金流水!$W$5:$W$504,0)),"")</f>
        <v/>
      </c>
      <c r="M80" s="42" t="str">
        <f aca="false">IFERROR(INDEX(资金流水!$H$5:$H$504,MATCH(ROW()-8,资金流水!$W$5:$W$504,0)),"")</f>
        <v/>
      </c>
    </row>
    <row r="81" customFormat="false" ht="15.75" hidden="false" customHeight="true" outlineLevel="0" collapsed="false">
      <c r="A81" s="76" t="str">
        <f aca="false">IFERROR(INDEX(采购录入!$B$5:$B$404,MATCH(ROW()-8,采购录入!$AA$5:$AA$404,0)),"")</f>
        <v/>
      </c>
      <c r="B81" s="35" t="str">
        <f aca="false">IFERROR(INDEX(采购录入!$E$5:$E$404,MATCH(ROW()-8,采购录入!$AA$5:$AA$404,0)),"")</f>
        <v/>
      </c>
      <c r="C81" s="64" t="str">
        <f aca="false">IFERROR(INDEX(采购录入!$F$5:$F$404,MATCH(ROW()-8,采购录入!$AA$5:$AA$404,0)),"")</f>
        <v/>
      </c>
      <c r="D81" s="54" t="str">
        <f aca="false">IFERROR(INDEX(采购录入!$G$5:$G$404,MATCH(ROW()-8,采购录入!$AA$5:$AA$404,0)),"")</f>
        <v/>
      </c>
      <c r="E81" s="54" t="str">
        <f aca="false">IFERROR(INDEX(采购录入!$S$5:$S$404,MATCH(ROW()-8,采购录入!$AA$5:$AA$404,0)),"")</f>
        <v/>
      </c>
      <c r="F81" s="76" t="str">
        <f aca="false">IFERROR(INDEX(采购录入!$T$5:$T$404,MATCH(ROW()-8,采购录入!$AA$5:$AA$404,0)),"")</f>
        <v/>
      </c>
      <c r="H81" s="76" t="str">
        <f aca="false">IFERROR(INDEX(资金流水!$B$5:$B$504,MATCH(ROW()-8,资金流水!$W$5:$W$504,0)),"")</f>
        <v/>
      </c>
      <c r="I81" s="42" t="str">
        <f aca="false">IFERROR(INDEX(资金流水!$F$5:$F$504,MATCH(ROW()-8,资金流水!$W$5:$W$504,0)),"")</f>
        <v/>
      </c>
      <c r="J81" s="54" t="str">
        <f aca="false">IFERROR(INDEX(资金流水!$N$5:$N$504,MATCH(ROW()-8,资金流水!$W$5:$W$504,0)),"")</f>
        <v/>
      </c>
      <c r="K81" s="35" t="str">
        <f aca="false">IFERROR(INDEX(资金流水!$J$5:$J$504,MATCH(ROW()-8,资金流水!$W$5:$W$504,0)),"")</f>
        <v/>
      </c>
      <c r="L81" s="42" t="str">
        <f aca="false">IFERROR(INDEX(资金流水!$I$5:$I$504,MATCH(ROW()-8,资金流水!$W$5:$W$504,0)),"")</f>
        <v/>
      </c>
      <c r="M81" s="42" t="str">
        <f aca="false">IFERROR(INDEX(资金流水!$H$5:$H$504,MATCH(ROW()-8,资金流水!$W$5:$W$504,0)),"")</f>
        <v/>
      </c>
    </row>
    <row r="82" customFormat="false" ht="15.75" hidden="false" customHeight="true" outlineLevel="0" collapsed="false">
      <c r="A82" s="76" t="str">
        <f aca="false">IFERROR(INDEX(采购录入!$B$5:$B$404,MATCH(ROW()-8,采购录入!$AA$5:$AA$404,0)),"")</f>
        <v/>
      </c>
      <c r="B82" s="35" t="str">
        <f aca="false">IFERROR(INDEX(采购录入!$E$5:$E$404,MATCH(ROW()-8,采购录入!$AA$5:$AA$404,0)),"")</f>
        <v/>
      </c>
      <c r="C82" s="64" t="str">
        <f aca="false">IFERROR(INDEX(采购录入!$F$5:$F$404,MATCH(ROW()-8,采购录入!$AA$5:$AA$404,0)),"")</f>
        <v/>
      </c>
      <c r="D82" s="54" t="str">
        <f aca="false">IFERROR(INDEX(采购录入!$G$5:$G$404,MATCH(ROW()-8,采购录入!$AA$5:$AA$404,0)),"")</f>
        <v/>
      </c>
      <c r="E82" s="54" t="str">
        <f aca="false">IFERROR(INDEX(采购录入!$S$5:$S$404,MATCH(ROW()-8,采购录入!$AA$5:$AA$404,0)),"")</f>
        <v/>
      </c>
      <c r="F82" s="76" t="str">
        <f aca="false">IFERROR(INDEX(采购录入!$T$5:$T$404,MATCH(ROW()-8,采购录入!$AA$5:$AA$404,0)),"")</f>
        <v/>
      </c>
      <c r="H82" s="76" t="str">
        <f aca="false">IFERROR(INDEX(资金流水!$B$5:$B$504,MATCH(ROW()-8,资金流水!$W$5:$W$504,0)),"")</f>
        <v/>
      </c>
      <c r="I82" s="42" t="str">
        <f aca="false">IFERROR(INDEX(资金流水!$F$5:$F$504,MATCH(ROW()-8,资金流水!$W$5:$W$504,0)),"")</f>
        <v/>
      </c>
      <c r="J82" s="54" t="str">
        <f aca="false">IFERROR(INDEX(资金流水!$N$5:$N$504,MATCH(ROW()-8,资金流水!$W$5:$W$504,0)),"")</f>
        <v/>
      </c>
      <c r="K82" s="35" t="str">
        <f aca="false">IFERROR(INDEX(资金流水!$J$5:$J$504,MATCH(ROW()-8,资金流水!$W$5:$W$504,0)),"")</f>
        <v/>
      </c>
      <c r="L82" s="42" t="str">
        <f aca="false">IFERROR(INDEX(资金流水!$I$5:$I$504,MATCH(ROW()-8,资金流水!$W$5:$W$504,0)),"")</f>
        <v/>
      </c>
      <c r="M82" s="42" t="str">
        <f aca="false">IFERROR(INDEX(资金流水!$H$5:$H$504,MATCH(ROW()-8,资金流水!$W$5:$W$504,0)),"")</f>
        <v/>
      </c>
    </row>
    <row r="83" customFormat="false" ht="15.75" hidden="false" customHeight="true" outlineLevel="0" collapsed="false">
      <c r="A83" s="76" t="str">
        <f aca="false">IFERROR(INDEX(采购录入!$B$5:$B$404,MATCH(ROW()-8,采购录入!$AA$5:$AA$404,0)),"")</f>
        <v/>
      </c>
      <c r="B83" s="35" t="str">
        <f aca="false">IFERROR(INDEX(采购录入!$E$5:$E$404,MATCH(ROW()-8,采购录入!$AA$5:$AA$404,0)),"")</f>
        <v/>
      </c>
      <c r="C83" s="64" t="str">
        <f aca="false">IFERROR(INDEX(采购录入!$F$5:$F$404,MATCH(ROW()-8,采购录入!$AA$5:$AA$404,0)),"")</f>
        <v/>
      </c>
      <c r="D83" s="54" t="str">
        <f aca="false">IFERROR(INDEX(采购录入!$G$5:$G$404,MATCH(ROW()-8,采购录入!$AA$5:$AA$404,0)),"")</f>
        <v/>
      </c>
      <c r="E83" s="54" t="str">
        <f aca="false">IFERROR(INDEX(采购录入!$S$5:$S$404,MATCH(ROW()-8,采购录入!$AA$5:$AA$404,0)),"")</f>
        <v/>
      </c>
      <c r="F83" s="76" t="str">
        <f aca="false">IFERROR(INDEX(采购录入!$T$5:$T$404,MATCH(ROW()-8,采购录入!$AA$5:$AA$404,0)),"")</f>
        <v/>
      </c>
      <c r="H83" s="76" t="str">
        <f aca="false">IFERROR(INDEX(资金流水!$B$5:$B$504,MATCH(ROW()-8,资金流水!$W$5:$W$504,0)),"")</f>
        <v/>
      </c>
      <c r="I83" s="42" t="str">
        <f aca="false">IFERROR(INDEX(资金流水!$F$5:$F$504,MATCH(ROW()-8,资金流水!$W$5:$W$504,0)),"")</f>
        <v/>
      </c>
      <c r="J83" s="54" t="str">
        <f aca="false">IFERROR(INDEX(资金流水!$N$5:$N$504,MATCH(ROW()-8,资金流水!$W$5:$W$504,0)),"")</f>
        <v/>
      </c>
      <c r="K83" s="35" t="str">
        <f aca="false">IFERROR(INDEX(资金流水!$J$5:$J$504,MATCH(ROW()-8,资金流水!$W$5:$W$504,0)),"")</f>
        <v/>
      </c>
      <c r="L83" s="42" t="str">
        <f aca="false">IFERROR(INDEX(资金流水!$I$5:$I$504,MATCH(ROW()-8,资金流水!$W$5:$W$504,0)),"")</f>
        <v/>
      </c>
      <c r="M83" s="42" t="str">
        <f aca="false">IFERROR(INDEX(资金流水!$H$5:$H$504,MATCH(ROW()-8,资金流水!$W$5:$W$504,0)),"")</f>
        <v/>
      </c>
    </row>
    <row r="84" customFormat="false" ht="15.75" hidden="false" customHeight="true" outlineLevel="0" collapsed="false">
      <c r="A84" s="76" t="str">
        <f aca="false">IFERROR(INDEX(采购录入!$B$5:$B$404,MATCH(ROW()-8,采购录入!$AA$5:$AA$404,0)),"")</f>
        <v/>
      </c>
      <c r="B84" s="35" t="str">
        <f aca="false">IFERROR(INDEX(采购录入!$E$5:$E$404,MATCH(ROW()-8,采购录入!$AA$5:$AA$404,0)),"")</f>
        <v/>
      </c>
      <c r="C84" s="64" t="str">
        <f aca="false">IFERROR(INDEX(采购录入!$F$5:$F$404,MATCH(ROW()-8,采购录入!$AA$5:$AA$404,0)),"")</f>
        <v/>
      </c>
      <c r="D84" s="54" t="str">
        <f aca="false">IFERROR(INDEX(采购录入!$G$5:$G$404,MATCH(ROW()-8,采购录入!$AA$5:$AA$404,0)),"")</f>
        <v/>
      </c>
      <c r="E84" s="54" t="str">
        <f aca="false">IFERROR(INDEX(采购录入!$S$5:$S$404,MATCH(ROW()-8,采购录入!$AA$5:$AA$404,0)),"")</f>
        <v/>
      </c>
      <c r="F84" s="76" t="str">
        <f aca="false">IFERROR(INDEX(采购录入!$T$5:$T$404,MATCH(ROW()-8,采购录入!$AA$5:$AA$404,0)),"")</f>
        <v/>
      </c>
      <c r="H84" s="76" t="str">
        <f aca="false">IFERROR(INDEX(资金流水!$B$5:$B$504,MATCH(ROW()-8,资金流水!$W$5:$W$504,0)),"")</f>
        <v/>
      </c>
      <c r="I84" s="42" t="str">
        <f aca="false">IFERROR(INDEX(资金流水!$F$5:$F$504,MATCH(ROW()-8,资金流水!$W$5:$W$504,0)),"")</f>
        <v/>
      </c>
      <c r="J84" s="54" t="str">
        <f aca="false">IFERROR(INDEX(资金流水!$N$5:$N$504,MATCH(ROW()-8,资金流水!$W$5:$W$504,0)),"")</f>
        <v/>
      </c>
      <c r="K84" s="35" t="str">
        <f aca="false">IFERROR(INDEX(资金流水!$J$5:$J$504,MATCH(ROW()-8,资金流水!$W$5:$W$504,0)),"")</f>
        <v/>
      </c>
      <c r="L84" s="42" t="str">
        <f aca="false">IFERROR(INDEX(资金流水!$I$5:$I$504,MATCH(ROW()-8,资金流水!$W$5:$W$504,0)),"")</f>
        <v/>
      </c>
      <c r="M84" s="42" t="str">
        <f aca="false">IFERROR(INDEX(资金流水!$H$5:$H$504,MATCH(ROW()-8,资金流水!$W$5:$W$504,0)),"")</f>
        <v/>
      </c>
    </row>
    <row r="85" customFormat="false" ht="15.75" hidden="false" customHeight="true" outlineLevel="0" collapsed="false">
      <c r="A85" s="76" t="str">
        <f aca="false">IFERROR(INDEX(采购录入!$B$5:$B$404,MATCH(ROW()-8,采购录入!$AA$5:$AA$404,0)),"")</f>
        <v/>
      </c>
      <c r="B85" s="35" t="str">
        <f aca="false">IFERROR(INDEX(采购录入!$E$5:$E$404,MATCH(ROW()-8,采购录入!$AA$5:$AA$404,0)),"")</f>
        <v/>
      </c>
      <c r="C85" s="64" t="str">
        <f aca="false">IFERROR(INDEX(采购录入!$F$5:$F$404,MATCH(ROW()-8,采购录入!$AA$5:$AA$404,0)),"")</f>
        <v/>
      </c>
      <c r="D85" s="54" t="str">
        <f aca="false">IFERROR(INDEX(采购录入!$G$5:$G$404,MATCH(ROW()-8,采购录入!$AA$5:$AA$404,0)),"")</f>
        <v/>
      </c>
      <c r="E85" s="54" t="str">
        <f aca="false">IFERROR(INDEX(采购录入!$S$5:$S$404,MATCH(ROW()-8,采购录入!$AA$5:$AA$404,0)),"")</f>
        <v/>
      </c>
      <c r="F85" s="76" t="str">
        <f aca="false">IFERROR(INDEX(采购录入!$T$5:$T$404,MATCH(ROW()-8,采购录入!$AA$5:$AA$404,0)),"")</f>
        <v/>
      </c>
      <c r="H85" s="76" t="str">
        <f aca="false">IFERROR(INDEX(资金流水!$B$5:$B$504,MATCH(ROW()-8,资金流水!$W$5:$W$504,0)),"")</f>
        <v/>
      </c>
      <c r="I85" s="42" t="str">
        <f aca="false">IFERROR(INDEX(资金流水!$F$5:$F$504,MATCH(ROW()-8,资金流水!$W$5:$W$504,0)),"")</f>
        <v/>
      </c>
      <c r="J85" s="54" t="str">
        <f aca="false">IFERROR(INDEX(资金流水!$N$5:$N$504,MATCH(ROW()-8,资金流水!$W$5:$W$504,0)),"")</f>
        <v/>
      </c>
      <c r="K85" s="35" t="str">
        <f aca="false">IFERROR(INDEX(资金流水!$J$5:$J$504,MATCH(ROW()-8,资金流水!$W$5:$W$504,0)),"")</f>
        <v/>
      </c>
      <c r="L85" s="42" t="str">
        <f aca="false">IFERROR(INDEX(资金流水!$I$5:$I$504,MATCH(ROW()-8,资金流水!$W$5:$W$504,0)),"")</f>
        <v/>
      </c>
      <c r="M85" s="42" t="str">
        <f aca="false">IFERROR(INDEX(资金流水!$H$5:$H$504,MATCH(ROW()-8,资金流水!$W$5:$W$504,0)),"")</f>
        <v/>
      </c>
    </row>
    <row r="86" customFormat="false" ht="15.75" hidden="false" customHeight="true" outlineLevel="0" collapsed="false">
      <c r="A86" s="76" t="str">
        <f aca="false">IFERROR(INDEX(采购录入!$B$5:$B$404,MATCH(ROW()-8,采购录入!$AA$5:$AA$404,0)),"")</f>
        <v/>
      </c>
      <c r="B86" s="35" t="str">
        <f aca="false">IFERROR(INDEX(采购录入!$E$5:$E$404,MATCH(ROW()-8,采购录入!$AA$5:$AA$404,0)),"")</f>
        <v/>
      </c>
      <c r="C86" s="64" t="str">
        <f aca="false">IFERROR(INDEX(采购录入!$F$5:$F$404,MATCH(ROW()-8,采购录入!$AA$5:$AA$404,0)),"")</f>
        <v/>
      </c>
      <c r="D86" s="54" t="str">
        <f aca="false">IFERROR(INDEX(采购录入!$G$5:$G$404,MATCH(ROW()-8,采购录入!$AA$5:$AA$404,0)),"")</f>
        <v/>
      </c>
      <c r="E86" s="54" t="str">
        <f aca="false">IFERROR(INDEX(采购录入!$S$5:$S$404,MATCH(ROW()-8,采购录入!$AA$5:$AA$404,0)),"")</f>
        <v/>
      </c>
      <c r="F86" s="76" t="str">
        <f aca="false">IFERROR(INDEX(采购录入!$T$5:$T$404,MATCH(ROW()-8,采购录入!$AA$5:$AA$404,0)),"")</f>
        <v/>
      </c>
      <c r="H86" s="76" t="str">
        <f aca="false">IFERROR(INDEX(资金流水!$B$5:$B$504,MATCH(ROW()-8,资金流水!$W$5:$W$504,0)),"")</f>
        <v/>
      </c>
      <c r="I86" s="42" t="str">
        <f aca="false">IFERROR(INDEX(资金流水!$F$5:$F$504,MATCH(ROW()-8,资金流水!$W$5:$W$504,0)),"")</f>
        <v/>
      </c>
      <c r="J86" s="54" t="str">
        <f aca="false">IFERROR(INDEX(资金流水!$N$5:$N$504,MATCH(ROW()-8,资金流水!$W$5:$W$504,0)),"")</f>
        <v/>
      </c>
      <c r="K86" s="35" t="str">
        <f aca="false">IFERROR(INDEX(资金流水!$J$5:$J$504,MATCH(ROW()-8,资金流水!$W$5:$W$504,0)),"")</f>
        <v/>
      </c>
      <c r="L86" s="42" t="str">
        <f aca="false">IFERROR(INDEX(资金流水!$I$5:$I$504,MATCH(ROW()-8,资金流水!$W$5:$W$504,0)),"")</f>
        <v/>
      </c>
      <c r="M86" s="42" t="str">
        <f aca="false">IFERROR(INDEX(资金流水!$H$5:$H$504,MATCH(ROW()-8,资金流水!$W$5:$W$504,0)),"")</f>
        <v/>
      </c>
    </row>
    <row r="87" customFormat="false" ht="15.75" hidden="false" customHeight="true" outlineLevel="0" collapsed="false">
      <c r="A87" s="76" t="str">
        <f aca="false">IFERROR(INDEX(采购录入!$B$5:$B$404,MATCH(ROW()-8,采购录入!$AA$5:$AA$404,0)),"")</f>
        <v/>
      </c>
      <c r="B87" s="35" t="str">
        <f aca="false">IFERROR(INDEX(采购录入!$E$5:$E$404,MATCH(ROW()-8,采购录入!$AA$5:$AA$404,0)),"")</f>
        <v/>
      </c>
      <c r="C87" s="64" t="str">
        <f aca="false">IFERROR(INDEX(采购录入!$F$5:$F$404,MATCH(ROW()-8,采购录入!$AA$5:$AA$404,0)),"")</f>
        <v/>
      </c>
      <c r="D87" s="54" t="str">
        <f aca="false">IFERROR(INDEX(采购录入!$G$5:$G$404,MATCH(ROW()-8,采购录入!$AA$5:$AA$404,0)),"")</f>
        <v/>
      </c>
      <c r="E87" s="54" t="str">
        <f aca="false">IFERROR(INDEX(采购录入!$S$5:$S$404,MATCH(ROW()-8,采购录入!$AA$5:$AA$404,0)),"")</f>
        <v/>
      </c>
      <c r="F87" s="76" t="str">
        <f aca="false">IFERROR(INDEX(采购录入!$T$5:$T$404,MATCH(ROW()-8,采购录入!$AA$5:$AA$404,0)),"")</f>
        <v/>
      </c>
      <c r="H87" s="76" t="str">
        <f aca="false">IFERROR(INDEX(资金流水!$B$5:$B$504,MATCH(ROW()-8,资金流水!$W$5:$W$504,0)),"")</f>
        <v/>
      </c>
      <c r="I87" s="42" t="str">
        <f aca="false">IFERROR(INDEX(资金流水!$F$5:$F$504,MATCH(ROW()-8,资金流水!$W$5:$W$504,0)),"")</f>
        <v/>
      </c>
      <c r="J87" s="54" t="str">
        <f aca="false">IFERROR(INDEX(资金流水!$N$5:$N$504,MATCH(ROW()-8,资金流水!$W$5:$W$504,0)),"")</f>
        <v/>
      </c>
      <c r="K87" s="35" t="str">
        <f aca="false">IFERROR(INDEX(资金流水!$J$5:$J$504,MATCH(ROW()-8,资金流水!$W$5:$W$504,0)),"")</f>
        <v/>
      </c>
      <c r="L87" s="42" t="str">
        <f aca="false">IFERROR(INDEX(资金流水!$I$5:$I$504,MATCH(ROW()-8,资金流水!$W$5:$W$504,0)),"")</f>
        <v/>
      </c>
      <c r="M87" s="42" t="str">
        <f aca="false">IFERROR(INDEX(资金流水!$H$5:$H$504,MATCH(ROW()-8,资金流水!$W$5:$W$504,0)),"")</f>
        <v/>
      </c>
    </row>
    <row r="88" customFormat="false" ht="15.75" hidden="false" customHeight="true" outlineLevel="0" collapsed="false">
      <c r="A88" s="76" t="str">
        <f aca="false">IFERROR(INDEX(采购录入!$B$5:$B$404,MATCH(ROW()-8,采购录入!$AA$5:$AA$404,0)),"")</f>
        <v/>
      </c>
      <c r="B88" s="35" t="str">
        <f aca="false">IFERROR(INDEX(采购录入!$E$5:$E$404,MATCH(ROW()-8,采购录入!$AA$5:$AA$404,0)),"")</f>
        <v/>
      </c>
      <c r="C88" s="64" t="str">
        <f aca="false">IFERROR(INDEX(采购录入!$F$5:$F$404,MATCH(ROW()-8,采购录入!$AA$5:$AA$404,0)),"")</f>
        <v/>
      </c>
      <c r="D88" s="54" t="str">
        <f aca="false">IFERROR(INDEX(采购录入!$G$5:$G$404,MATCH(ROW()-8,采购录入!$AA$5:$AA$404,0)),"")</f>
        <v/>
      </c>
      <c r="E88" s="54" t="str">
        <f aca="false">IFERROR(INDEX(采购录入!$S$5:$S$404,MATCH(ROW()-8,采购录入!$AA$5:$AA$404,0)),"")</f>
        <v/>
      </c>
      <c r="F88" s="76" t="str">
        <f aca="false">IFERROR(INDEX(采购录入!$T$5:$T$404,MATCH(ROW()-8,采购录入!$AA$5:$AA$404,0)),"")</f>
        <v/>
      </c>
      <c r="H88" s="76" t="str">
        <f aca="false">IFERROR(INDEX(资金流水!$B$5:$B$504,MATCH(ROW()-8,资金流水!$W$5:$W$504,0)),"")</f>
        <v/>
      </c>
      <c r="I88" s="42" t="str">
        <f aca="false">IFERROR(INDEX(资金流水!$F$5:$F$504,MATCH(ROW()-8,资金流水!$W$5:$W$504,0)),"")</f>
        <v/>
      </c>
      <c r="J88" s="54" t="str">
        <f aca="false">IFERROR(INDEX(资金流水!$N$5:$N$504,MATCH(ROW()-8,资金流水!$W$5:$W$504,0)),"")</f>
        <v/>
      </c>
      <c r="K88" s="35" t="str">
        <f aca="false">IFERROR(INDEX(资金流水!$J$5:$J$504,MATCH(ROW()-8,资金流水!$W$5:$W$504,0)),"")</f>
        <v/>
      </c>
      <c r="L88" s="42" t="str">
        <f aca="false">IFERROR(INDEX(资金流水!$I$5:$I$504,MATCH(ROW()-8,资金流水!$W$5:$W$504,0)),"")</f>
        <v/>
      </c>
      <c r="M88" s="42" t="str">
        <f aca="false">IFERROR(INDEX(资金流水!$H$5:$H$504,MATCH(ROW()-8,资金流水!$W$5:$W$504,0)),"")</f>
        <v/>
      </c>
    </row>
    <row r="89" customFormat="false" ht="15.75" hidden="false" customHeight="true" outlineLevel="0" collapsed="false">
      <c r="A89" s="76" t="str">
        <f aca="false">IFERROR(INDEX(采购录入!$B$5:$B$404,MATCH(ROW()-8,采购录入!$AA$5:$AA$404,0)),"")</f>
        <v/>
      </c>
      <c r="B89" s="35" t="str">
        <f aca="false">IFERROR(INDEX(采购录入!$E$5:$E$404,MATCH(ROW()-8,采购录入!$AA$5:$AA$404,0)),"")</f>
        <v/>
      </c>
      <c r="C89" s="64" t="str">
        <f aca="false">IFERROR(INDEX(采购录入!$F$5:$F$404,MATCH(ROW()-8,采购录入!$AA$5:$AA$404,0)),"")</f>
        <v/>
      </c>
      <c r="D89" s="54" t="str">
        <f aca="false">IFERROR(INDEX(采购录入!$G$5:$G$404,MATCH(ROW()-8,采购录入!$AA$5:$AA$404,0)),"")</f>
        <v/>
      </c>
      <c r="E89" s="54" t="str">
        <f aca="false">IFERROR(INDEX(采购录入!$S$5:$S$404,MATCH(ROW()-8,采购录入!$AA$5:$AA$404,0)),"")</f>
        <v/>
      </c>
      <c r="F89" s="76" t="str">
        <f aca="false">IFERROR(INDEX(采购录入!$T$5:$T$404,MATCH(ROW()-8,采购录入!$AA$5:$AA$404,0)),"")</f>
        <v/>
      </c>
      <c r="H89" s="76" t="str">
        <f aca="false">IFERROR(INDEX(资金流水!$B$5:$B$504,MATCH(ROW()-8,资金流水!$W$5:$W$504,0)),"")</f>
        <v/>
      </c>
      <c r="I89" s="42" t="str">
        <f aca="false">IFERROR(INDEX(资金流水!$F$5:$F$504,MATCH(ROW()-8,资金流水!$W$5:$W$504,0)),"")</f>
        <v/>
      </c>
      <c r="J89" s="54" t="str">
        <f aca="false">IFERROR(INDEX(资金流水!$N$5:$N$504,MATCH(ROW()-8,资金流水!$W$5:$W$504,0)),"")</f>
        <v/>
      </c>
      <c r="K89" s="35" t="str">
        <f aca="false">IFERROR(INDEX(资金流水!$J$5:$J$504,MATCH(ROW()-8,资金流水!$W$5:$W$504,0)),"")</f>
        <v/>
      </c>
      <c r="L89" s="42" t="str">
        <f aca="false">IFERROR(INDEX(资金流水!$I$5:$I$504,MATCH(ROW()-8,资金流水!$W$5:$W$504,0)),"")</f>
        <v/>
      </c>
      <c r="M89" s="42" t="str">
        <f aca="false">IFERROR(INDEX(资金流水!$H$5:$H$504,MATCH(ROW()-8,资金流水!$W$5:$W$504,0)),"")</f>
        <v/>
      </c>
    </row>
    <row r="90" customFormat="false" ht="15.75" hidden="false" customHeight="true" outlineLevel="0" collapsed="false">
      <c r="A90" s="76" t="str">
        <f aca="false">IFERROR(INDEX(采购录入!$B$5:$B$404,MATCH(ROW()-8,采购录入!$AA$5:$AA$404,0)),"")</f>
        <v/>
      </c>
      <c r="B90" s="35" t="str">
        <f aca="false">IFERROR(INDEX(采购录入!$E$5:$E$404,MATCH(ROW()-8,采购录入!$AA$5:$AA$404,0)),"")</f>
        <v/>
      </c>
      <c r="C90" s="64" t="str">
        <f aca="false">IFERROR(INDEX(采购录入!$F$5:$F$404,MATCH(ROW()-8,采购录入!$AA$5:$AA$404,0)),"")</f>
        <v/>
      </c>
      <c r="D90" s="54" t="str">
        <f aca="false">IFERROR(INDEX(采购录入!$G$5:$G$404,MATCH(ROW()-8,采购录入!$AA$5:$AA$404,0)),"")</f>
        <v/>
      </c>
      <c r="E90" s="54" t="str">
        <f aca="false">IFERROR(INDEX(采购录入!$S$5:$S$404,MATCH(ROW()-8,采购录入!$AA$5:$AA$404,0)),"")</f>
        <v/>
      </c>
      <c r="F90" s="76" t="str">
        <f aca="false">IFERROR(INDEX(采购录入!$T$5:$T$404,MATCH(ROW()-8,采购录入!$AA$5:$AA$404,0)),"")</f>
        <v/>
      </c>
      <c r="H90" s="76" t="str">
        <f aca="false">IFERROR(INDEX(资金流水!$B$5:$B$504,MATCH(ROW()-8,资金流水!$W$5:$W$504,0)),"")</f>
        <v/>
      </c>
      <c r="I90" s="42" t="str">
        <f aca="false">IFERROR(INDEX(资金流水!$F$5:$F$504,MATCH(ROW()-8,资金流水!$W$5:$W$504,0)),"")</f>
        <v/>
      </c>
      <c r="J90" s="54" t="str">
        <f aca="false">IFERROR(INDEX(资金流水!$N$5:$N$504,MATCH(ROW()-8,资金流水!$W$5:$W$504,0)),"")</f>
        <v/>
      </c>
      <c r="K90" s="35" t="str">
        <f aca="false">IFERROR(INDEX(资金流水!$J$5:$J$504,MATCH(ROW()-8,资金流水!$W$5:$W$504,0)),"")</f>
        <v/>
      </c>
      <c r="L90" s="42" t="str">
        <f aca="false">IFERROR(INDEX(资金流水!$I$5:$I$504,MATCH(ROW()-8,资金流水!$W$5:$W$504,0)),"")</f>
        <v/>
      </c>
      <c r="M90" s="42" t="str">
        <f aca="false">IFERROR(INDEX(资金流水!$H$5:$H$504,MATCH(ROW()-8,资金流水!$W$5:$W$504,0)),"")</f>
        <v/>
      </c>
    </row>
    <row r="91" customFormat="false" ht="15.75" hidden="false" customHeight="true" outlineLevel="0" collapsed="false">
      <c r="A91" s="76" t="str">
        <f aca="false">IFERROR(INDEX(采购录入!$B$5:$B$404,MATCH(ROW()-8,采购录入!$AA$5:$AA$404,0)),"")</f>
        <v/>
      </c>
      <c r="B91" s="35" t="str">
        <f aca="false">IFERROR(INDEX(采购录入!$E$5:$E$404,MATCH(ROW()-8,采购录入!$AA$5:$AA$404,0)),"")</f>
        <v/>
      </c>
      <c r="C91" s="64" t="str">
        <f aca="false">IFERROR(INDEX(采购录入!$F$5:$F$404,MATCH(ROW()-8,采购录入!$AA$5:$AA$404,0)),"")</f>
        <v/>
      </c>
      <c r="D91" s="54" t="str">
        <f aca="false">IFERROR(INDEX(采购录入!$G$5:$G$404,MATCH(ROW()-8,采购录入!$AA$5:$AA$404,0)),"")</f>
        <v/>
      </c>
      <c r="E91" s="54" t="str">
        <f aca="false">IFERROR(INDEX(采购录入!$S$5:$S$404,MATCH(ROW()-8,采购录入!$AA$5:$AA$404,0)),"")</f>
        <v/>
      </c>
      <c r="F91" s="76" t="str">
        <f aca="false">IFERROR(INDEX(采购录入!$T$5:$T$404,MATCH(ROW()-8,采购录入!$AA$5:$AA$404,0)),"")</f>
        <v/>
      </c>
      <c r="H91" s="76" t="str">
        <f aca="false">IFERROR(INDEX(资金流水!$B$5:$B$504,MATCH(ROW()-8,资金流水!$W$5:$W$504,0)),"")</f>
        <v/>
      </c>
      <c r="I91" s="42" t="str">
        <f aca="false">IFERROR(INDEX(资金流水!$F$5:$F$504,MATCH(ROW()-8,资金流水!$W$5:$W$504,0)),"")</f>
        <v/>
      </c>
      <c r="J91" s="54" t="str">
        <f aca="false">IFERROR(INDEX(资金流水!$N$5:$N$504,MATCH(ROW()-8,资金流水!$W$5:$W$504,0)),"")</f>
        <v/>
      </c>
      <c r="K91" s="35" t="str">
        <f aca="false">IFERROR(INDEX(资金流水!$J$5:$J$504,MATCH(ROW()-8,资金流水!$W$5:$W$504,0)),"")</f>
        <v/>
      </c>
      <c r="L91" s="42" t="str">
        <f aca="false">IFERROR(INDEX(资金流水!$I$5:$I$504,MATCH(ROW()-8,资金流水!$W$5:$W$504,0)),"")</f>
        <v/>
      </c>
      <c r="M91" s="42" t="str">
        <f aca="false">IFERROR(INDEX(资金流水!$H$5:$H$504,MATCH(ROW()-8,资金流水!$W$5:$W$504,0)),"")</f>
        <v/>
      </c>
    </row>
    <row r="92" customFormat="false" ht="15.75" hidden="false" customHeight="true" outlineLevel="0" collapsed="false">
      <c r="A92" s="76" t="str">
        <f aca="false">IFERROR(INDEX(采购录入!$B$5:$B$404,MATCH(ROW()-8,采购录入!$AA$5:$AA$404,0)),"")</f>
        <v/>
      </c>
      <c r="B92" s="35" t="str">
        <f aca="false">IFERROR(INDEX(采购录入!$E$5:$E$404,MATCH(ROW()-8,采购录入!$AA$5:$AA$404,0)),"")</f>
        <v/>
      </c>
      <c r="C92" s="64" t="str">
        <f aca="false">IFERROR(INDEX(采购录入!$F$5:$F$404,MATCH(ROW()-8,采购录入!$AA$5:$AA$404,0)),"")</f>
        <v/>
      </c>
      <c r="D92" s="54" t="str">
        <f aca="false">IFERROR(INDEX(采购录入!$G$5:$G$404,MATCH(ROW()-8,采购录入!$AA$5:$AA$404,0)),"")</f>
        <v/>
      </c>
      <c r="E92" s="54" t="str">
        <f aca="false">IFERROR(INDEX(采购录入!$S$5:$S$404,MATCH(ROW()-8,采购录入!$AA$5:$AA$404,0)),"")</f>
        <v/>
      </c>
      <c r="F92" s="76" t="str">
        <f aca="false">IFERROR(INDEX(采购录入!$T$5:$T$404,MATCH(ROW()-8,采购录入!$AA$5:$AA$404,0)),"")</f>
        <v/>
      </c>
      <c r="H92" s="76" t="str">
        <f aca="false">IFERROR(INDEX(资金流水!$B$5:$B$504,MATCH(ROW()-8,资金流水!$W$5:$W$504,0)),"")</f>
        <v/>
      </c>
      <c r="I92" s="42" t="str">
        <f aca="false">IFERROR(INDEX(资金流水!$F$5:$F$504,MATCH(ROW()-8,资金流水!$W$5:$W$504,0)),"")</f>
        <v/>
      </c>
      <c r="J92" s="54" t="str">
        <f aca="false">IFERROR(INDEX(资金流水!$N$5:$N$504,MATCH(ROW()-8,资金流水!$W$5:$W$504,0)),"")</f>
        <v/>
      </c>
      <c r="K92" s="35" t="str">
        <f aca="false">IFERROR(INDEX(资金流水!$J$5:$J$504,MATCH(ROW()-8,资金流水!$W$5:$W$504,0)),"")</f>
        <v/>
      </c>
      <c r="L92" s="42" t="str">
        <f aca="false">IFERROR(INDEX(资金流水!$I$5:$I$504,MATCH(ROW()-8,资金流水!$W$5:$W$504,0)),"")</f>
        <v/>
      </c>
      <c r="M92" s="42" t="str">
        <f aca="false">IFERROR(INDEX(资金流水!$H$5:$H$504,MATCH(ROW()-8,资金流水!$W$5:$W$504,0)),"")</f>
        <v/>
      </c>
    </row>
    <row r="93" customFormat="false" ht="15.75" hidden="false" customHeight="true" outlineLevel="0" collapsed="false">
      <c r="A93" s="76" t="str">
        <f aca="false">IFERROR(INDEX(采购录入!$B$5:$B$404,MATCH(ROW()-8,采购录入!$AA$5:$AA$404,0)),"")</f>
        <v/>
      </c>
      <c r="B93" s="35" t="str">
        <f aca="false">IFERROR(INDEX(采购录入!$E$5:$E$404,MATCH(ROW()-8,采购录入!$AA$5:$AA$404,0)),"")</f>
        <v/>
      </c>
      <c r="C93" s="64" t="str">
        <f aca="false">IFERROR(INDEX(采购录入!$F$5:$F$404,MATCH(ROW()-8,采购录入!$AA$5:$AA$404,0)),"")</f>
        <v/>
      </c>
      <c r="D93" s="54" t="str">
        <f aca="false">IFERROR(INDEX(采购录入!$G$5:$G$404,MATCH(ROW()-8,采购录入!$AA$5:$AA$404,0)),"")</f>
        <v/>
      </c>
      <c r="E93" s="54" t="str">
        <f aca="false">IFERROR(INDEX(采购录入!$S$5:$S$404,MATCH(ROW()-8,采购录入!$AA$5:$AA$404,0)),"")</f>
        <v/>
      </c>
      <c r="F93" s="76" t="str">
        <f aca="false">IFERROR(INDEX(采购录入!$T$5:$T$404,MATCH(ROW()-8,采购录入!$AA$5:$AA$404,0)),"")</f>
        <v/>
      </c>
      <c r="H93" s="76" t="str">
        <f aca="false">IFERROR(INDEX(资金流水!$B$5:$B$504,MATCH(ROW()-8,资金流水!$W$5:$W$504,0)),"")</f>
        <v/>
      </c>
      <c r="I93" s="42" t="str">
        <f aca="false">IFERROR(INDEX(资金流水!$F$5:$F$504,MATCH(ROW()-8,资金流水!$W$5:$W$504,0)),"")</f>
        <v/>
      </c>
      <c r="J93" s="54" t="str">
        <f aca="false">IFERROR(INDEX(资金流水!$N$5:$N$504,MATCH(ROW()-8,资金流水!$W$5:$W$504,0)),"")</f>
        <v/>
      </c>
      <c r="K93" s="35" t="str">
        <f aca="false">IFERROR(INDEX(资金流水!$J$5:$J$504,MATCH(ROW()-8,资金流水!$W$5:$W$504,0)),"")</f>
        <v/>
      </c>
      <c r="L93" s="42" t="str">
        <f aca="false">IFERROR(INDEX(资金流水!$I$5:$I$504,MATCH(ROW()-8,资金流水!$W$5:$W$504,0)),"")</f>
        <v/>
      </c>
      <c r="M93" s="42" t="str">
        <f aca="false">IFERROR(INDEX(资金流水!$H$5:$H$504,MATCH(ROW()-8,资金流水!$W$5:$W$504,0)),"")</f>
        <v/>
      </c>
    </row>
    <row r="94" customFormat="false" ht="15.75" hidden="false" customHeight="true" outlineLevel="0" collapsed="false">
      <c r="A94" s="76" t="str">
        <f aca="false">IFERROR(INDEX(采购录入!$B$5:$B$404,MATCH(ROW()-8,采购录入!$AA$5:$AA$404,0)),"")</f>
        <v/>
      </c>
      <c r="B94" s="35" t="str">
        <f aca="false">IFERROR(INDEX(采购录入!$E$5:$E$404,MATCH(ROW()-8,采购录入!$AA$5:$AA$404,0)),"")</f>
        <v/>
      </c>
      <c r="C94" s="64" t="str">
        <f aca="false">IFERROR(INDEX(采购录入!$F$5:$F$404,MATCH(ROW()-8,采购录入!$AA$5:$AA$404,0)),"")</f>
        <v/>
      </c>
      <c r="D94" s="54" t="str">
        <f aca="false">IFERROR(INDEX(采购录入!$G$5:$G$404,MATCH(ROW()-8,采购录入!$AA$5:$AA$404,0)),"")</f>
        <v/>
      </c>
      <c r="E94" s="54" t="str">
        <f aca="false">IFERROR(INDEX(采购录入!$S$5:$S$404,MATCH(ROW()-8,采购录入!$AA$5:$AA$404,0)),"")</f>
        <v/>
      </c>
      <c r="F94" s="76" t="str">
        <f aca="false">IFERROR(INDEX(采购录入!$T$5:$T$404,MATCH(ROW()-8,采购录入!$AA$5:$AA$404,0)),"")</f>
        <v/>
      </c>
      <c r="H94" s="76" t="str">
        <f aca="false">IFERROR(INDEX(资金流水!$B$5:$B$504,MATCH(ROW()-8,资金流水!$W$5:$W$504,0)),"")</f>
        <v/>
      </c>
      <c r="I94" s="42" t="str">
        <f aca="false">IFERROR(INDEX(资金流水!$F$5:$F$504,MATCH(ROW()-8,资金流水!$W$5:$W$504,0)),"")</f>
        <v/>
      </c>
      <c r="J94" s="54" t="str">
        <f aca="false">IFERROR(INDEX(资金流水!$N$5:$N$504,MATCH(ROW()-8,资金流水!$W$5:$W$504,0)),"")</f>
        <v/>
      </c>
      <c r="K94" s="35" t="str">
        <f aca="false">IFERROR(INDEX(资金流水!$J$5:$J$504,MATCH(ROW()-8,资金流水!$W$5:$W$504,0)),"")</f>
        <v/>
      </c>
      <c r="L94" s="42" t="str">
        <f aca="false">IFERROR(INDEX(资金流水!$I$5:$I$504,MATCH(ROW()-8,资金流水!$W$5:$W$504,0)),"")</f>
        <v/>
      </c>
      <c r="M94" s="42" t="str">
        <f aca="false">IFERROR(INDEX(资金流水!$H$5:$H$504,MATCH(ROW()-8,资金流水!$W$5:$W$504,0)),"")</f>
        <v/>
      </c>
    </row>
    <row r="95" customFormat="false" ht="15.75" hidden="false" customHeight="true" outlineLevel="0" collapsed="false">
      <c r="A95" s="76" t="str">
        <f aca="false">IFERROR(INDEX(采购录入!$B$5:$B$404,MATCH(ROW()-8,采购录入!$AA$5:$AA$404,0)),"")</f>
        <v/>
      </c>
      <c r="B95" s="35" t="str">
        <f aca="false">IFERROR(INDEX(采购录入!$E$5:$E$404,MATCH(ROW()-8,采购录入!$AA$5:$AA$404,0)),"")</f>
        <v/>
      </c>
      <c r="C95" s="64" t="str">
        <f aca="false">IFERROR(INDEX(采购录入!$F$5:$F$404,MATCH(ROW()-8,采购录入!$AA$5:$AA$404,0)),"")</f>
        <v/>
      </c>
      <c r="D95" s="54" t="str">
        <f aca="false">IFERROR(INDEX(采购录入!$G$5:$G$404,MATCH(ROW()-8,采购录入!$AA$5:$AA$404,0)),"")</f>
        <v/>
      </c>
      <c r="E95" s="54" t="str">
        <f aca="false">IFERROR(INDEX(采购录入!$S$5:$S$404,MATCH(ROW()-8,采购录入!$AA$5:$AA$404,0)),"")</f>
        <v/>
      </c>
      <c r="F95" s="76" t="str">
        <f aca="false">IFERROR(INDEX(采购录入!$T$5:$T$404,MATCH(ROW()-8,采购录入!$AA$5:$AA$404,0)),"")</f>
        <v/>
      </c>
      <c r="H95" s="76" t="str">
        <f aca="false">IFERROR(INDEX(资金流水!$B$5:$B$504,MATCH(ROW()-8,资金流水!$W$5:$W$504,0)),"")</f>
        <v/>
      </c>
      <c r="I95" s="42" t="str">
        <f aca="false">IFERROR(INDEX(资金流水!$F$5:$F$504,MATCH(ROW()-8,资金流水!$W$5:$W$504,0)),"")</f>
        <v/>
      </c>
      <c r="J95" s="54" t="str">
        <f aca="false">IFERROR(INDEX(资金流水!$N$5:$N$504,MATCH(ROW()-8,资金流水!$W$5:$W$504,0)),"")</f>
        <v/>
      </c>
      <c r="K95" s="35" t="str">
        <f aca="false">IFERROR(INDEX(资金流水!$J$5:$J$504,MATCH(ROW()-8,资金流水!$W$5:$W$504,0)),"")</f>
        <v/>
      </c>
      <c r="L95" s="42" t="str">
        <f aca="false">IFERROR(INDEX(资金流水!$I$5:$I$504,MATCH(ROW()-8,资金流水!$W$5:$W$504,0)),"")</f>
        <v/>
      </c>
      <c r="M95" s="42" t="str">
        <f aca="false">IFERROR(INDEX(资金流水!$H$5:$H$504,MATCH(ROW()-8,资金流水!$W$5:$W$504,0)),"")</f>
        <v/>
      </c>
    </row>
    <row r="96" customFormat="false" ht="15.75" hidden="false" customHeight="true" outlineLevel="0" collapsed="false">
      <c r="A96" s="76" t="str">
        <f aca="false">IFERROR(INDEX(采购录入!$B$5:$B$404,MATCH(ROW()-8,采购录入!$AA$5:$AA$404,0)),"")</f>
        <v/>
      </c>
      <c r="B96" s="35" t="str">
        <f aca="false">IFERROR(INDEX(采购录入!$E$5:$E$404,MATCH(ROW()-8,采购录入!$AA$5:$AA$404,0)),"")</f>
        <v/>
      </c>
      <c r="C96" s="64" t="str">
        <f aca="false">IFERROR(INDEX(采购录入!$F$5:$F$404,MATCH(ROW()-8,采购录入!$AA$5:$AA$404,0)),"")</f>
        <v/>
      </c>
      <c r="D96" s="54" t="str">
        <f aca="false">IFERROR(INDEX(采购录入!$G$5:$G$404,MATCH(ROW()-8,采购录入!$AA$5:$AA$404,0)),"")</f>
        <v/>
      </c>
      <c r="E96" s="54" t="str">
        <f aca="false">IFERROR(INDEX(采购录入!$S$5:$S$404,MATCH(ROW()-8,采购录入!$AA$5:$AA$404,0)),"")</f>
        <v/>
      </c>
      <c r="F96" s="76" t="str">
        <f aca="false">IFERROR(INDEX(采购录入!$T$5:$T$404,MATCH(ROW()-8,采购录入!$AA$5:$AA$404,0)),"")</f>
        <v/>
      </c>
      <c r="H96" s="76" t="str">
        <f aca="false">IFERROR(INDEX(资金流水!$B$5:$B$504,MATCH(ROW()-8,资金流水!$W$5:$W$504,0)),"")</f>
        <v/>
      </c>
      <c r="I96" s="42" t="str">
        <f aca="false">IFERROR(INDEX(资金流水!$F$5:$F$504,MATCH(ROW()-8,资金流水!$W$5:$W$504,0)),"")</f>
        <v/>
      </c>
      <c r="J96" s="54" t="str">
        <f aca="false">IFERROR(INDEX(资金流水!$N$5:$N$504,MATCH(ROW()-8,资金流水!$W$5:$W$504,0)),"")</f>
        <v/>
      </c>
      <c r="K96" s="35" t="str">
        <f aca="false">IFERROR(INDEX(资金流水!$J$5:$J$504,MATCH(ROW()-8,资金流水!$W$5:$W$504,0)),"")</f>
        <v/>
      </c>
      <c r="L96" s="42" t="str">
        <f aca="false">IFERROR(INDEX(资金流水!$I$5:$I$504,MATCH(ROW()-8,资金流水!$W$5:$W$504,0)),"")</f>
        <v/>
      </c>
      <c r="M96" s="42" t="str">
        <f aca="false">IFERROR(INDEX(资金流水!$H$5:$H$504,MATCH(ROW()-8,资金流水!$W$5:$W$504,0)),"")</f>
        <v/>
      </c>
    </row>
    <row r="97" customFormat="false" ht="15.75" hidden="false" customHeight="true" outlineLevel="0" collapsed="false">
      <c r="A97" s="76" t="str">
        <f aca="false">IFERROR(INDEX(采购录入!$B$5:$B$404,MATCH(ROW()-8,采购录入!$AA$5:$AA$404,0)),"")</f>
        <v/>
      </c>
      <c r="B97" s="35" t="str">
        <f aca="false">IFERROR(INDEX(采购录入!$E$5:$E$404,MATCH(ROW()-8,采购录入!$AA$5:$AA$404,0)),"")</f>
        <v/>
      </c>
      <c r="C97" s="64" t="str">
        <f aca="false">IFERROR(INDEX(采购录入!$F$5:$F$404,MATCH(ROW()-8,采购录入!$AA$5:$AA$404,0)),"")</f>
        <v/>
      </c>
      <c r="D97" s="54" t="str">
        <f aca="false">IFERROR(INDEX(采购录入!$G$5:$G$404,MATCH(ROW()-8,采购录入!$AA$5:$AA$404,0)),"")</f>
        <v/>
      </c>
      <c r="E97" s="54" t="str">
        <f aca="false">IFERROR(INDEX(采购录入!$S$5:$S$404,MATCH(ROW()-8,采购录入!$AA$5:$AA$404,0)),"")</f>
        <v/>
      </c>
      <c r="F97" s="76" t="str">
        <f aca="false">IFERROR(INDEX(采购录入!$T$5:$T$404,MATCH(ROW()-8,采购录入!$AA$5:$AA$404,0)),"")</f>
        <v/>
      </c>
      <c r="H97" s="76" t="str">
        <f aca="false">IFERROR(INDEX(资金流水!$B$5:$B$504,MATCH(ROW()-8,资金流水!$W$5:$W$504,0)),"")</f>
        <v/>
      </c>
      <c r="I97" s="42" t="str">
        <f aca="false">IFERROR(INDEX(资金流水!$F$5:$F$504,MATCH(ROW()-8,资金流水!$W$5:$W$504,0)),"")</f>
        <v/>
      </c>
      <c r="J97" s="54" t="str">
        <f aca="false">IFERROR(INDEX(资金流水!$N$5:$N$504,MATCH(ROW()-8,资金流水!$W$5:$W$504,0)),"")</f>
        <v/>
      </c>
      <c r="K97" s="35" t="str">
        <f aca="false">IFERROR(INDEX(资金流水!$J$5:$J$504,MATCH(ROW()-8,资金流水!$W$5:$W$504,0)),"")</f>
        <v/>
      </c>
      <c r="L97" s="42" t="str">
        <f aca="false">IFERROR(INDEX(资金流水!$I$5:$I$504,MATCH(ROW()-8,资金流水!$W$5:$W$504,0)),"")</f>
        <v/>
      </c>
      <c r="M97" s="42" t="str">
        <f aca="false">IFERROR(INDEX(资金流水!$H$5:$H$504,MATCH(ROW()-8,资金流水!$W$5:$W$504,0)),"")</f>
        <v/>
      </c>
    </row>
    <row r="98" customFormat="false" ht="15.75" hidden="false" customHeight="true" outlineLevel="0" collapsed="false">
      <c r="A98" s="76" t="str">
        <f aca="false">IFERROR(INDEX(采购录入!$B$5:$B$404,MATCH(ROW()-8,采购录入!$AA$5:$AA$404,0)),"")</f>
        <v/>
      </c>
      <c r="B98" s="35" t="str">
        <f aca="false">IFERROR(INDEX(采购录入!$E$5:$E$404,MATCH(ROW()-8,采购录入!$AA$5:$AA$404,0)),"")</f>
        <v/>
      </c>
      <c r="C98" s="64" t="str">
        <f aca="false">IFERROR(INDEX(采购录入!$F$5:$F$404,MATCH(ROW()-8,采购录入!$AA$5:$AA$404,0)),"")</f>
        <v/>
      </c>
      <c r="D98" s="54" t="str">
        <f aca="false">IFERROR(INDEX(采购录入!$G$5:$G$404,MATCH(ROW()-8,采购录入!$AA$5:$AA$404,0)),"")</f>
        <v/>
      </c>
      <c r="E98" s="54" t="str">
        <f aca="false">IFERROR(INDEX(采购录入!$S$5:$S$404,MATCH(ROW()-8,采购录入!$AA$5:$AA$404,0)),"")</f>
        <v/>
      </c>
      <c r="F98" s="76" t="str">
        <f aca="false">IFERROR(INDEX(采购录入!$T$5:$T$404,MATCH(ROW()-8,采购录入!$AA$5:$AA$404,0)),"")</f>
        <v/>
      </c>
      <c r="H98" s="76" t="str">
        <f aca="false">IFERROR(INDEX(资金流水!$B$5:$B$504,MATCH(ROW()-8,资金流水!$W$5:$W$504,0)),"")</f>
        <v/>
      </c>
      <c r="I98" s="42" t="str">
        <f aca="false">IFERROR(INDEX(资金流水!$F$5:$F$504,MATCH(ROW()-8,资金流水!$W$5:$W$504,0)),"")</f>
        <v/>
      </c>
      <c r="J98" s="54" t="str">
        <f aca="false">IFERROR(INDEX(资金流水!$N$5:$N$504,MATCH(ROW()-8,资金流水!$W$5:$W$504,0)),"")</f>
        <v/>
      </c>
      <c r="K98" s="35" t="str">
        <f aca="false">IFERROR(INDEX(资金流水!$J$5:$J$504,MATCH(ROW()-8,资金流水!$W$5:$W$504,0)),"")</f>
        <v/>
      </c>
      <c r="L98" s="42" t="str">
        <f aca="false">IFERROR(INDEX(资金流水!$I$5:$I$504,MATCH(ROW()-8,资金流水!$W$5:$W$504,0)),"")</f>
        <v/>
      </c>
      <c r="M98" s="42" t="str">
        <f aca="false">IFERROR(INDEX(资金流水!$H$5:$H$504,MATCH(ROW()-8,资金流水!$W$5:$W$504,0)),"")</f>
        <v/>
      </c>
    </row>
    <row r="99" customFormat="false" ht="15.75" hidden="false" customHeight="true" outlineLevel="0" collapsed="false">
      <c r="A99" s="76" t="str">
        <f aca="false">IFERROR(INDEX(采购录入!$B$5:$B$404,MATCH(ROW()-8,采购录入!$AA$5:$AA$404,0)),"")</f>
        <v/>
      </c>
      <c r="B99" s="35" t="str">
        <f aca="false">IFERROR(INDEX(采购录入!$E$5:$E$404,MATCH(ROW()-8,采购录入!$AA$5:$AA$404,0)),"")</f>
        <v/>
      </c>
      <c r="C99" s="64" t="str">
        <f aca="false">IFERROR(INDEX(采购录入!$F$5:$F$404,MATCH(ROW()-8,采购录入!$AA$5:$AA$404,0)),"")</f>
        <v/>
      </c>
      <c r="D99" s="54" t="str">
        <f aca="false">IFERROR(INDEX(采购录入!$G$5:$G$404,MATCH(ROW()-8,采购录入!$AA$5:$AA$404,0)),"")</f>
        <v/>
      </c>
      <c r="E99" s="54" t="str">
        <f aca="false">IFERROR(INDEX(采购录入!$S$5:$S$404,MATCH(ROW()-8,采购录入!$AA$5:$AA$404,0)),"")</f>
        <v/>
      </c>
      <c r="F99" s="76" t="str">
        <f aca="false">IFERROR(INDEX(采购录入!$T$5:$T$404,MATCH(ROW()-8,采购录入!$AA$5:$AA$404,0)),"")</f>
        <v/>
      </c>
      <c r="H99" s="76" t="str">
        <f aca="false">IFERROR(INDEX(资金流水!$B$5:$B$504,MATCH(ROW()-8,资金流水!$W$5:$W$504,0)),"")</f>
        <v/>
      </c>
      <c r="I99" s="42" t="str">
        <f aca="false">IFERROR(INDEX(资金流水!$F$5:$F$504,MATCH(ROW()-8,资金流水!$W$5:$W$504,0)),"")</f>
        <v/>
      </c>
      <c r="J99" s="54" t="str">
        <f aca="false">IFERROR(INDEX(资金流水!$N$5:$N$504,MATCH(ROW()-8,资金流水!$W$5:$W$504,0)),"")</f>
        <v/>
      </c>
      <c r="K99" s="35" t="str">
        <f aca="false">IFERROR(INDEX(资金流水!$J$5:$J$504,MATCH(ROW()-8,资金流水!$W$5:$W$504,0)),"")</f>
        <v/>
      </c>
      <c r="L99" s="42" t="str">
        <f aca="false">IFERROR(INDEX(资金流水!$I$5:$I$504,MATCH(ROW()-8,资金流水!$W$5:$W$504,0)),"")</f>
        <v/>
      </c>
      <c r="M99" s="42" t="str">
        <f aca="false">IFERROR(INDEX(资金流水!$H$5:$H$504,MATCH(ROW()-8,资金流水!$W$5:$W$504,0)),"")</f>
        <v/>
      </c>
    </row>
    <row r="100" customFormat="false" ht="15.75" hidden="false" customHeight="true" outlineLevel="0" collapsed="false">
      <c r="A100" s="76" t="str">
        <f aca="false">IFERROR(INDEX(采购录入!$B$5:$B$404,MATCH(ROW()-8,采购录入!$AA$5:$AA$404,0)),"")</f>
        <v/>
      </c>
      <c r="B100" s="35" t="str">
        <f aca="false">IFERROR(INDEX(采购录入!$E$5:$E$404,MATCH(ROW()-8,采购录入!$AA$5:$AA$404,0)),"")</f>
        <v/>
      </c>
      <c r="C100" s="64" t="str">
        <f aca="false">IFERROR(INDEX(采购录入!$F$5:$F$404,MATCH(ROW()-8,采购录入!$AA$5:$AA$404,0)),"")</f>
        <v/>
      </c>
      <c r="D100" s="54" t="str">
        <f aca="false">IFERROR(INDEX(采购录入!$G$5:$G$404,MATCH(ROW()-8,采购录入!$AA$5:$AA$404,0)),"")</f>
        <v/>
      </c>
      <c r="E100" s="54" t="str">
        <f aca="false">IFERROR(INDEX(采购录入!$S$5:$S$404,MATCH(ROW()-8,采购录入!$AA$5:$AA$404,0)),"")</f>
        <v/>
      </c>
      <c r="F100" s="76" t="str">
        <f aca="false">IFERROR(INDEX(采购录入!$T$5:$T$404,MATCH(ROW()-8,采购录入!$AA$5:$AA$404,0)),"")</f>
        <v/>
      </c>
      <c r="H100" s="76" t="str">
        <f aca="false">IFERROR(INDEX(资金流水!$B$5:$B$504,MATCH(ROW()-8,资金流水!$W$5:$W$504,0)),"")</f>
        <v/>
      </c>
      <c r="I100" s="42" t="str">
        <f aca="false">IFERROR(INDEX(资金流水!$F$5:$F$504,MATCH(ROW()-8,资金流水!$W$5:$W$504,0)),"")</f>
        <v/>
      </c>
      <c r="J100" s="54" t="str">
        <f aca="false">IFERROR(INDEX(资金流水!$N$5:$N$504,MATCH(ROW()-8,资金流水!$W$5:$W$504,0)),"")</f>
        <v/>
      </c>
      <c r="K100" s="35" t="str">
        <f aca="false">IFERROR(INDEX(资金流水!$J$5:$J$504,MATCH(ROW()-8,资金流水!$W$5:$W$504,0)),"")</f>
        <v/>
      </c>
      <c r="L100" s="42" t="str">
        <f aca="false">IFERROR(INDEX(资金流水!$I$5:$I$504,MATCH(ROW()-8,资金流水!$W$5:$W$504,0)),"")</f>
        <v/>
      </c>
      <c r="M100" s="42" t="str">
        <f aca="false">IFERROR(INDEX(资金流水!$H$5:$H$504,MATCH(ROW()-8,资金流水!$W$5:$W$504,0)),"")</f>
        <v/>
      </c>
    </row>
    <row r="101" customFormat="false" ht="15.75" hidden="false" customHeight="true" outlineLevel="0" collapsed="false">
      <c r="A101" s="76" t="str">
        <f aca="false">IFERROR(INDEX(采购录入!$B$5:$B$404,MATCH(ROW()-8,采购录入!$AA$5:$AA$404,0)),"")</f>
        <v/>
      </c>
      <c r="B101" s="35" t="str">
        <f aca="false">IFERROR(INDEX(采购录入!$E$5:$E$404,MATCH(ROW()-8,采购录入!$AA$5:$AA$404,0)),"")</f>
        <v/>
      </c>
      <c r="C101" s="64" t="str">
        <f aca="false">IFERROR(INDEX(采购录入!$F$5:$F$404,MATCH(ROW()-8,采购录入!$AA$5:$AA$404,0)),"")</f>
        <v/>
      </c>
      <c r="D101" s="54" t="str">
        <f aca="false">IFERROR(INDEX(采购录入!$G$5:$G$404,MATCH(ROW()-8,采购录入!$AA$5:$AA$404,0)),"")</f>
        <v/>
      </c>
      <c r="E101" s="54" t="str">
        <f aca="false">IFERROR(INDEX(采购录入!$S$5:$S$404,MATCH(ROW()-8,采购录入!$AA$5:$AA$404,0)),"")</f>
        <v/>
      </c>
      <c r="F101" s="76" t="str">
        <f aca="false">IFERROR(INDEX(采购录入!$T$5:$T$404,MATCH(ROW()-8,采购录入!$AA$5:$AA$404,0)),"")</f>
        <v/>
      </c>
      <c r="H101" s="76" t="str">
        <f aca="false">IFERROR(INDEX(资金流水!$B$5:$B$504,MATCH(ROW()-8,资金流水!$W$5:$W$504,0)),"")</f>
        <v/>
      </c>
      <c r="I101" s="42" t="str">
        <f aca="false">IFERROR(INDEX(资金流水!$F$5:$F$504,MATCH(ROW()-8,资金流水!$W$5:$W$504,0)),"")</f>
        <v/>
      </c>
      <c r="J101" s="54" t="str">
        <f aca="false">IFERROR(INDEX(资金流水!$N$5:$N$504,MATCH(ROW()-8,资金流水!$W$5:$W$504,0)),"")</f>
        <v/>
      </c>
      <c r="K101" s="35" t="str">
        <f aca="false">IFERROR(INDEX(资金流水!$J$5:$J$504,MATCH(ROW()-8,资金流水!$W$5:$W$504,0)),"")</f>
        <v/>
      </c>
      <c r="L101" s="42" t="str">
        <f aca="false">IFERROR(INDEX(资金流水!$I$5:$I$504,MATCH(ROW()-8,资金流水!$W$5:$W$504,0)),"")</f>
        <v/>
      </c>
      <c r="M101" s="42" t="str">
        <f aca="false">IFERROR(INDEX(资金流水!$H$5:$H$504,MATCH(ROW()-8,资金流水!$W$5:$W$504,0)),"")</f>
        <v/>
      </c>
    </row>
    <row r="102" customFormat="false" ht="15.75" hidden="false" customHeight="true" outlineLevel="0" collapsed="false">
      <c r="A102" s="76" t="str">
        <f aca="false">IFERROR(INDEX(采购录入!$B$5:$B$404,MATCH(ROW()-8,采购录入!$AA$5:$AA$404,0)),"")</f>
        <v/>
      </c>
      <c r="B102" s="35" t="str">
        <f aca="false">IFERROR(INDEX(采购录入!$E$5:$E$404,MATCH(ROW()-8,采购录入!$AA$5:$AA$404,0)),"")</f>
        <v/>
      </c>
      <c r="C102" s="64" t="str">
        <f aca="false">IFERROR(INDEX(采购录入!$F$5:$F$404,MATCH(ROW()-8,采购录入!$AA$5:$AA$404,0)),"")</f>
        <v/>
      </c>
      <c r="D102" s="54" t="str">
        <f aca="false">IFERROR(INDEX(采购录入!$G$5:$G$404,MATCH(ROW()-8,采购录入!$AA$5:$AA$404,0)),"")</f>
        <v/>
      </c>
      <c r="E102" s="54" t="str">
        <f aca="false">IFERROR(INDEX(采购录入!$S$5:$S$404,MATCH(ROW()-8,采购录入!$AA$5:$AA$404,0)),"")</f>
        <v/>
      </c>
      <c r="F102" s="76" t="str">
        <f aca="false">IFERROR(INDEX(采购录入!$T$5:$T$404,MATCH(ROW()-8,采购录入!$AA$5:$AA$404,0)),"")</f>
        <v/>
      </c>
      <c r="H102" s="76" t="str">
        <f aca="false">IFERROR(INDEX(资金流水!$B$5:$B$504,MATCH(ROW()-8,资金流水!$W$5:$W$504,0)),"")</f>
        <v/>
      </c>
      <c r="I102" s="42" t="str">
        <f aca="false">IFERROR(INDEX(资金流水!$F$5:$F$504,MATCH(ROW()-8,资金流水!$W$5:$W$504,0)),"")</f>
        <v/>
      </c>
      <c r="J102" s="54" t="str">
        <f aca="false">IFERROR(INDEX(资金流水!$N$5:$N$504,MATCH(ROW()-8,资金流水!$W$5:$W$504,0)),"")</f>
        <v/>
      </c>
      <c r="K102" s="35" t="str">
        <f aca="false">IFERROR(INDEX(资金流水!$J$5:$J$504,MATCH(ROW()-8,资金流水!$W$5:$W$504,0)),"")</f>
        <v/>
      </c>
      <c r="L102" s="42" t="str">
        <f aca="false">IFERROR(INDEX(资金流水!$I$5:$I$504,MATCH(ROW()-8,资金流水!$W$5:$W$504,0)),"")</f>
        <v/>
      </c>
      <c r="M102" s="42" t="str">
        <f aca="false">IFERROR(INDEX(资金流水!$H$5:$H$504,MATCH(ROW()-8,资金流水!$W$5:$W$504,0)),"")</f>
        <v/>
      </c>
    </row>
    <row r="103" customFormat="false" ht="15.75" hidden="false" customHeight="true" outlineLevel="0" collapsed="false">
      <c r="A103" s="76" t="str">
        <f aca="false">IFERROR(INDEX(采购录入!$B$5:$B$404,MATCH(ROW()-8,采购录入!$AA$5:$AA$404,0)),"")</f>
        <v/>
      </c>
      <c r="B103" s="35" t="str">
        <f aca="false">IFERROR(INDEX(采购录入!$E$5:$E$404,MATCH(ROW()-8,采购录入!$AA$5:$AA$404,0)),"")</f>
        <v/>
      </c>
      <c r="C103" s="64" t="str">
        <f aca="false">IFERROR(INDEX(采购录入!$F$5:$F$404,MATCH(ROW()-8,采购录入!$AA$5:$AA$404,0)),"")</f>
        <v/>
      </c>
      <c r="D103" s="54" t="str">
        <f aca="false">IFERROR(INDEX(采购录入!$G$5:$G$404,MATCH(ROW()-8,采购录入!$AA$5:$AA$404,0)),"")</f>
        <v/>
      </c>
      <c r="E103" s="54" t="str">
        <f aca="false">IFERROR(INDEX(采购录入!$S$5:$S$404,MATCH(ROW()-8,采购录入!$AA$5:$AA$404,0)),"")</f>
        <v/>
      </c>
      <c r="F103" s="76" t="str">
        <f aca="false">IFERROR(INDEX(采购录入!$T$5:$T$404,MATCH(ROW()-8,采购录入!$AA$5:$AA$404,0)),"")</f>
        <v/>
      </c>
      <c r="H103" s="76" t="str">
        <f aca="false">IFERROR(INDEX(资金流水!$B$5:$B$504,MATCH(ROW()-8,资金流水!$W$5:$W$504,0)),"")</f>
        <v/>
      </c>
      <c r="I103" s="42" t="str">
        <f aca="false">IFERROR(INDEX(资金流水!$F$5:$F$504,MATCH(ROW()-8,资金流水!$W$5:$W$504,0)),"")</f>
        <v/>
      </c>
      <c r="J103" s="54" t="str">
        <f aca="false">IFERROR(INDEX(资金流水!$N$5:$N$504,MATCH(ROW()-8,资金流水!$W$5:$W$504,0)),"")</f>
        <v/>
      </c>
      <c r="K103" s="35" t="str">
        <f aca="false">IFERROR(INDEX(资金流水!$J$5:$J$504,MATCH(ROW()-8,资金流水!$W$5:$W$504,0)),"")</f>
        <v/>
      </c>
      <c r="L103" s="42" t="str">
        <f aca="false">IFERROR(INDEX(资金流水!$I$5:$I$504,MATCH(ROW()-8,资金流水!$W$5:$W$504,0)),"")</f>
        <v/>
      </c>
      <c r="M103" s="42" t="str">
        <f aca="false">IFERROR(INDEX(资金流水!$H$5:$H$504,MATCH(ROW()-8,资金流水!$W$5:$W$504,0)),"")</f>
        <v/>
      </c>
    </row>
    <row r="104" customFormat="false" ht="15.75" hidden="false" customHeight="true" outlineLevel="0" collapsed="false">
      <c r="A104" s="76" t="str">
        <f aca="false">IFERROR(INDEX(采购录入!$B$5:$B$404,MATCH(ROW()-8,采购录入!$AA$5:$AA$404,0)),"")</f>
        <v/>
      </c>
      <c r="B104" s="35" t="str">
        <f aca="false">IFERROR(INDEX(采购录入!$E$5:$E$404,MATCH(ROW()-8,采购录入!$AA$5:$AA$404,0)),"")</f>
        <v/>
      </c>
      <c r="C104" s="64" t="str">
        <f aca="false">IFERROR(INDEX(采购录入!$F$5:$F$404,MATCH(ROW()-8,采购录入!$AA$5:$AA$404,0)),"")</f>
        <v/>
      </c>
      <c r="D104" s="54" t="str">
        <f aca="false">IFERROR(INDEX(采购录入!$G$5:$G$404,MATCH(ROW()-8,采购录入!$AA$5:$AA$404,0)),"")</f>
        <v/>
      </c>
      <c r="E104" s="54" t="str">
        <f aca="false">IFERROR(INDEX(采购录入!$S$5:$S$404,MATCH(ROW()-8,采购录入!$AA$5:$AA$404,0)),"")</f>
        <v/>
      </c>
      <c r="F104" s="76" t="str">
        <f aca="false">IFERROR(INDEX(采购录入!$T$5:$T$404,MATCH(ROW()-8,采购录入!$AA$5:$AA$404,0)),"")</f>
        <v/>
      </c>
      <c r="H104" s="76" t="str">
        <f aca="false">IFERROR(INDEX(资金流水!$B$5:$B$504,MATCH(ROW()-8,资金流水!$W$5:$W$504,0)),"")</f>
        <v/>
      </c>
      <c r="I104" s="42" t="str">
        <f aca="false">IFERROR(INDEX(资金流水!$F$5:$F$504,MATCH(ROW()-8,资金流水!$W$5:$W$504,0)),"")</f>
        <v/>
      </c>
      <c r="J104" s="54" t="str">
        <f aca="false">IFERROR(INDEX(资金流水!$N$5:$N$504,MATCH(ROW()-8,资金流水!$W$5:$W$504,0)),"")</f>
        <v/>
      </c>
      <c r="K104" s="35" t="str">
        <f aca="false">IFERROR(INDEX(资金流水!$J$5:$J$504,MATCH(ROW()-8,资金流水!$W$5:$W$504,0)),"")</f>
        <v/>
      </c>
      <c r="L104" s="42" t="str">
        <f aca="false">IFERROR(INDEX(资金流水!$I$5:$I$504,MATCH(ROW()-8,资金流水!$W$5:$W$504,0)),"")</f>
        <v/>
      </c>
      <c r="M104" s="42" t="str">
        <f aca="false">IFERROR(INDEX(资金流水!$H$5:$H$504,MATCH(ROW()-8,资金流水!$W$5:$W$504,0)),"")</f>
        <v/>
      </c>
    </row>
    <row r="105" customFormat="false" ht="15.75" hidden="false" customHeight="true" outlineLevel="0" collapsed="false">
      <c r="A105" s="76" t="str">
        <f aca="false">IFERROR(INDEX(采购录入!$B$5:$B$404,MATCH(ROW()-8,采购录入!$AA$5:$AA$404,0)),"")</f>
        <v/>
      </c>
      <c r="B105" s="35" t="str">
        <f aca="false">IFERROR(INDEX(采购录入!$E$5:$E$404,MATCH(ROW()-8,采购录入!$AA$5:$AA$404,0)),"")</f>
        <v/>
      </c>
      <c r="C105" s="64" t="str">
        <f aca="false">IFERROR(INDEX(采购录入!$F$5:$F$404,MATCH(ROW()-8,采购录入!$AA$5:$AA$404,0)),"")</f>
        <v/>
      </c>
      <c r="D105" s="54" t="str">
        <f aca="false">IFERROR(INDEX(采购录入!$G$5:$G$404,MATCH(ROW()-8,采购录入!$AA$5:$AA$404,0)),"")</f>
        <v/>
      </c>
      <c r="E105" s="54" t="str">
        <f aca="false">IFERROR(INDEX(采购录入!$S$5:$S$404,MATCH(ROW()-8,采购录入!$AA$5:$AA$404,0)),"")</f>
        <v/>
      </c>
      <c r="F105" s="76" t="str">
        <f aca="false">IFERROR(INDEX(采购录入!$T$5:$T$404,MATCH(ROW()-8,采购录入!$AA$5:$AA$404,0)),"")</f>
        <v/>
      </c>
      <c r="H105" s="76" t="str">
        <f aca="false">IFERROR(INDEX(资金流水!$B$5:$B$504,MATCH(ROW()-8,资金流水!$W$5:$W$504,0)),"")</f>
        <v/>
      </c>
      <c r="I105" s="42" t="str">
        <f aca="false">IFERROR(INDEX(资金流水!$F$5:$F$504,MATCH(ROW()-8,资金流水!$W$5:$W$504,0)),"")</f>
        <v/>
      </c>
      <c r="J105" s="54" t="str">
        <f aca="false">IFERROR(INDEX(资金流水!$N$5:$N$504,MATCH(ROW()-8,资金流水!$W$5:$W$504,0)),"")</f>
        <v/>
      </c>
      <c r="K105" s="35" t="str">
        <f aca="false">IFERROR(INDEX(资金流水!$J$5:$J$504,MATCH(ROW()-8,资金流水!$W$5:$W$504,0)),"")</f>
        <v/>
      </c>
      <c r="L105" s="42" t="str">
        <f aca="false">IFERROR(INDEX(资金流水!$I$5:$I$504,MATCH(ROW()-8,资金流水!$W$5:$W$504,0)),"")</f>
        <v/>
      </c>
      <c r="M105" s="42" t="str">
        <f aca="false">IFERROR(INDEX(资金流水!$H$5:$H$504,MATCH(ROW()-8,资金流水!$W$5:$W$504,0)),"")</f>
        <v/>
      </c>
    </row>
    <row r="106" customFormat="false" ht="15.75" hidden="false" customHeight="true" outlineLevel="0" collapsed="false">
      <c r="A106" s="76" t="str">
        <f aca="false">IFERROR(INDEX(采购录入!$B$5:$B$404,MATCH(ROW()-8,采购录入!$AA$5:$AA$404,0)),"")</f>
        <v/>
      </c>
      <c r="B106" s="35" t="str">
        <f aca="false">IFERROR(INDEX(采购录入!$E$5:$E$404,MATCH(ROW()-8,采购录入!$AA$5:$AA$404,0)),"")</f>
        <v/>
      </c>
      <c r="C106" s="64" t="str">
        <f aca="false">IFERROR(INDEX(采购录入!$F$5:$F$404,MATCH(ROW()-8,采购录入!$AA$5:$AA$404,0)),"")</f>
        <v/>
      </c>
      <c r="D106" s="54" t="str">
        <f aca="false">IFERROR(INDEX(采购录入!$G$5:$G$404,MATCH(ROW()-8,采购录入!$AA$5:$AA$404,0)),"")</f>
        <v/>
      </c>
      <c r="E106" s="54" t="str">
        <f aca="false">IFERROR(INDEX(采购录入!$S$5:$S$404,MATCH(ROW()-8,采购录入!$AA$5:$AA$404,0)),"")</f>
        <v/>
      </c>
      <c r="F106" s="76" t="str">
        <f aca="false">IFERROR(INDEX(采购录入!$T$5:$T$404,MATCH(ROW()-8,采购录入!$AA$5:$AA$404,0)),"")</f>
        <v/>
      </c>
      <c r="H106" s="76" t="str">
        <f aca="false">IFERROR(INDEX(资金流水!$B$5:$B$504,MATCH(ROW()-8,资金流水!$W$5:$W$504,0)),"")</f>
        <v/>
      </c>
      <c r="I106" s="42" t="str">
        <f aca="false">IFERROR(INDEX(资金流水!$F$5:$F$504,MATCH(ROW()-8,资金流水!$W$5:$W$504,0)),"")</f>
        <v/>
      </c>
      <c r="J106" s="54" t="str">
        <f aca="false">IFERROR(INDEX(资金流水!$N$5:$N$504,MATCH(ROW()-8,资金流水!$W$5:$W$504,0)),"")</f>
        <v/>
      </c>
      <c r="K106" s="35" t="str">
        <f aca="false">IFERROR(INDEX(资金流水!$J$5:$J$504,MATCH(ROW()-8,资金流水!$W$5:$W$504,0)),"")</f>
        <v/>
      </c>
      <c r="L106" s="42" t="str">
        <f aca="false">IFERROR(INDEX(资金流水!$I$5:$I$504,MATCH(ROW()-8,资金流水!$W$5:$W$504,0)),"")</f>
        <v/>
      </c>
      <c r="M106" s="42" t="str">
        <f aca="false">IFERROR(INDEX(资金流水!$H$5:$H$504,MATCH(ROW()-8,资金流水!$W$5:$W$504,0)),"")</f>
        <v/>
      </c>
    </row>
    <row r="107" customFormat="false" ht="15.75" hidden="false" customHeight="true" outlineLevel="0" collapsed="false">
      <c r="A107" s="76" t="str">
        <f aca="false">IFERROR(INDEX(采购录入!$B$5:$B$404,MATCH(ROW()-8,采购录入!$AA$5:$AA$404,0)),"")</f>
        <v/>
      </c>
      <c r="B107" s="35" t="str">
        <f aca="false">IFERROR(INDEX(采购录入!$E$5:$E$404,MATCH(ROW()-8,采购录入!$AA$5:$AA$404,0)),"")</f>
        <v/>
      </c>
      <c r="C107" s="64" t="str">
        <f aca="false">IFERROR(INDEX(采购录入!$F$5:$F$404,MATCH(ROW()-8,采购录入!$AA$5:$AA$404,0)),"")</f>
        <v/>
      </c>
      <c r="D107" s="54" t="str">
        <f aca="false">IFERROR(INDEX(采购录入!$G$5:$G$404,MATCH(ROW()-8,采购录入!$AA$5:$AA$404,0)),"")</f>
        <v/>
      </c>
      <c r="E107" s="54" t="str">
        <f aca="false">IFERROR(INDEX(采购录入!$S$5:$S$404,MATCH(ROW()-8,采购录入!$AA$5:$AA$404,0)),"")</f>
        <v/>
      </c>
      <c r="F107" s="76" t="str">
        <f aca="false">IFERROR(INDEX(采购录入!$T$5:$T$404,MATCH(ROW()-8,采购录入!$AA$5:$AA$404,0)),"")</f>
        <v/>
      </c>
      <c r="H107" s="76" t="str">
        <f aca="false">IFERROR(INDEX(资金流水!$B$5:$B$504,MATCH(ROW()-8,资金流水!$W$5:$W$504,0)),"")</f>
        <v/>
      </c>
      <c r="I107" s="42" t="str">
        <f aca="false">IFERROR(INDEX(资金流水!$F$5:$F$504,MATCH(ROW()-8,资金流水!$W$5:$W$504,0)),"")</f>
        <v/>
      </c>
      <c r="J107" s="54" t="str">
        <f aca="false">IFERROR(INDEX(资金流水!$N$5:$N$504,MATCH(ROW()-8,资金流水!$W$5:$W$504,0)),"")</f>
        <v/>
      </c>
      <c r="K107" s="35" t="str">
        <f aca="false">IFERROR(INDEX(资金流水!$J$5:$J$504,MATCH(ROW()-8,资金流水!$W$5:$W$504,0)),"")</f>
        <v/>
      </c>
      <c r="L107" s="42" t="str">
        <f aca="false">IFERROR(INDEX(资金流水!$I$5:$I$504,MATCH(ROW()-8,资金流水!$W$5:$W$504,0)),"")</f>
        <v/>
      </c>
      <c r="M107" s="42" t="str">
        <f aca="false">IFERROR(INDEX(资金流水!$H$5:$H$504,MATCH(ROW()-8,资金流水!$W$5:$W$504,0)),"")</f>
        <v/>
      </c>
    </row>
    <row r="108" customFormat="false" ht="15.75" hidden="false" customHeight="true" outlineLevel="0" collapsed="false">
      <c r="A108" s="76" t="str">
        <f aca="false">IFERROR(INDEX(采购录入!$B$5:$B$404,MATCH(ROW()-8,采购录入!$AA$5:$AA$404,0)),"")</f>
        <v/>
      </c>
      <c r="B108" s="35" t="str">
        <f aca="false">IFERROR(INDEX(采购录入!$E$5:$E$404,MATCH(ROW()-8,采购录入!$AA$5:$AA$404,0)),"")</f>
        <v/>
      </c>
      <c r="C108" s="64" t="str">
        <f aca="false">IFERROR(INDEX(采购录入!$F$5:$F$404,MATCH(ROW()-8,采购录入!$AA$5:$AA$404,0)),"")</f>
        <v/>
      </c>
      <c r="D108" s="54" t="str">
        <f aca="false">IFERROR(INDEX(采购录入!$G$5:$G$404,MATCH(ROW()-8,采购录入!$AA$5:$AA$404,0)),"")</f>
        <v/>
      </c>
      <c r="E108" s="54" t="str">
        <f aca="false">IFERROR(INDEX(采购录入!$S$5:$S$404,MATCH(ROW()-8,采购录入!$AA$5:$AA$404,0)),"")</f>
        <v/>
      </c>
      <c r="F108" s="76" t="str">
        <f aca="false">IFERROR(INDEX(采购录入!$T$5:$T$404,MATCH(ROW()-8,采购录入!$AA$5:$AA$404,0)),"")</f>
        <v/>
      </c>
      <c r="H108" s="76" t="str">
        <f aca="false">IFERROR(INDEX(资金流水!$B$5:$B$504,MATCH(ROW()-8,资金流水!$W$5:$W$504,0)),"")</f>
        <v/>
      </c>
      <c r="I108" s="42" t="str">
        <f aca="false">IFERROR(INDEX(资金流水!$F$5:$F$504,MATCH(ROW()-8,资金流水!$W$5:$W$504,0)),"")</f>
        <v/>
      </c>
      <c r="J108" s="54" t="str">
        <f aca="false">IFERROR(INDEX(资金流水!$N$5:$N$504,MATCH(ROW()-8,资金流水!$W$5:$W$504,0)),"")</f>
        <v/>
      </c>
      <c r="K108" s="35" t="str">
        <f aca="false">IFERROR(INDEX(资金流水!$J$5:$J$504,MATCH(ROW()-8,资金流水!$W$5:$W$504,0)),"")</f>
        <v/>
      </c>
      <c r="L108" s="42" t="str">
        <f aca="false">IFERROR(INDEX(资金流水!$I$5:$I$504,MATCH(ROW()-8,资金流水!$W$5:$W$504,0)),"")</f>
        <v/>
      </c>
      <c r="M108" s="42" t="str">
        <f aca="false">IFERROR(INDEX(资金流水!$H$5:$H$504,MATCH(ROW()-8,资金流水!$W$5:$W$504,0)),"")</f>
        <v/>
      </c>
    </row>
    <row r="109" customFormat="false" ht="15" hidden="false" customHeight="false" outlineLevel="0" collapsed="false">
      <c r="A109" s="55" t="s">
        <v>817</v>
      </c>
      <c r="B109" s="55"/>
      <c r="C109" s="55"/>
      <c r="D109" s="55"/>
      <c r="E109" s="39" t="n">
        <f aca="false">SUM(E9:E108)</f>
        <v>14125</v>
      </c>
      <c r="F109" s="55"/>
      <c r="H109" s="55" t="s">
        <v>817</v>
      </c>
      <c r="I109" s="55"/>
      <c r="J109" s="39" t="n">
        <f aca="false">SUM(J9:J108)</f>
        <v>40000</v>
      </c>
      <c r="K109" s="55"/>
      <c r="L109" s="55"/>
      <c r="M109" s="55"/>
    </row>
    <row r="111" customFormat="false" ht="15" hidden="false" customHeight="true" outlineLevel="0" collapsed="false">
      <c r="A111" s="6" t="s">
        <v>818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customFormat="false" ht="15" hidden="false" customHeight="true" outlineLevel="0" collapsed="false">
      <c r="A112" s="6" t="s">
        <v>819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</sheetData>
  <mergeCells count="7">
    <mergeCell ref="A1:M1"/>
    <mergeCell ref="A2:M2"/>
    <mergeCell ref="K3:M3"/>
    <mergeCell ref="A7:F7"/>
    <mergeCell ref="H7:M7"/>
    <mergeCell ref="A111:M111"/>
    <mergeCell ref="A112:M112"/>
  </mergeCells>
  <dataValidations count="1">
    <dataValidation allowBlank="true" error="必须选择下拉中已维护的值，手工输入会导致取数错位" errorStyle="stop" errorTitle="请从下拉中选择" operator="between" showDropDown="false" showErrorMessage="true" showInputMessage="false" sqref="B3" type="list">
      <formula1>基础资料!$AF$6:$AF$155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K18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9" min="6" style="0" width="14"/>
    <col collapsed="false" customWidth="true" hidden="false" outlineLevel="0" max="11" min="10" style="0" width="15"/>
  </cols>
  <sheetData>
    <row r="1" customFormat="false" ht="25.5" hidden="false" customHeight="true" outlineLevel="0" collapsed="false">
      <c r="A1" s="23" t="s">
        <v>827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customFormat="false" ht="15" hidden="false" customHeight="true" outlineLevel="0" collapsed="false">
      <c r="A2" s="6" t="s">
        <v>828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5" customFormat="false" ht="30" hidden="false" customHeight="true" outlineLevel="0" collapsed="false">
      <c r="A5" s="30" t="s">
        <v>513</v>
      </c>
      <c r="B5" s="30" t="s">
        <v>829</v>
      </c>
      <c r="C5" s="30" t="s">
        <v>125</v>
      </c>
      <c r="D5" s="30" t="s">
        <v>544</v>
      </c>
      <c r="E5" s="30" t="s">
        <v>730</v>
      </c>
      <c r="F5" s="30" t="s">
        <v>830</v>
      </c>
      <c r="G5" s="30" t="s">
        <v>831</v>
      </c>
      <c r="H5" s="30" t="s">
        <v>832</v>
      </c>
      <c r="I5" s="30" t="s">
        <v>833</v>
      </c>
      <c r="J5" s="30" t="s">
        <v>834</v>
      </c>
      <c r="K5" s="30" t="s">
        <v>835</v>
      </c>
    </row>
    <row r="6" customFormat="false" ht="18" hidden="false" customHeight="true" outlineLevel="0" collapsed="false">
      <c r="A6" s="77" t="str">
        <f aca="false">1&amp;"月"</f>
        <v>1月</v>
      </c>
      <c r="B6" s="54" t="n">
        <f aca="false">SUMIFS(销售录入!$O$5:$O$404,销售录入!$C$5:$C$404,TEXT(DATE(首页!$B$3,1,1),"yyyy-mm"))</f>
        <v>24600</v>
      </c>
      <c r="C6" s="54" t="n">
        <f aca="false">SUMIFS(销售录入!$S$5:$S$404,销售录入!$C$5:$C$404,TEXT(DATE(首页!$B$3,1,1),"yyyy-mm"))</f>
        <v>13462.5</v>
      </c>
      <c r="D6" s="44" t="n">
        <f aca="false">$B6-$C6</f>
        <v>11137.5</v>
      </c>
      <c r="E6" s="63" t="n">
        <f aca="false">IFERROR($D6/$B6,"")</f>
        <v>0.452743902439024</v>
      </c>
      <c r="F6" s="54" t="n">
        <f aca="false">SUMIFS(采购录入!$Q$5:$Q$404,采购录入!$C$5:$C$404,TEXT(DATE(首页!$B$3,1,1),"yyyy-mm"))</f>
        <v>19250</v>
      </c>
      <c r="G6" s="54" t="n">
        <f aca="false">SUMIFS(资金流水!$N$5:$N$504,资金流水!$O$5:$O$504,"66*",资金流水!$C$5:$C$504,TEXT(DATE(首页!$B$3,1,1),"yyyy-mm"))+SUMIFS(其他凭证!$H$5:$H$304,其他凭证!$F$5:$F$304,"66*",其他凭证!$C$5:$C$304,TEXT(DATE(首页!$B$3,1,1),"yyyy-mm"))+SUMIFS(采购录入!$W$5:$W$404,采购录入!$U$5:$U$404,"66*",采购录入!$C$5:$C$404,TEXT(DATE(首页!$B$3,1,1),"yyyy-mm"))+SUMIFS(资金流水!$N$5:$N$504,资金流水!$O$5:$O$504,"6403",资金流水!$C$5:$C$504,TEXT(DATE(首页!$B$3,1,1),"yyyy-mm"))+SUMIFS(其他凭证!$H$5:$H$304,其他凭证!$F$5:$F$304,"6403",其他凭证!$C$5:$C$304,TEXT(DATE(首页!$B$3,1,1),"yyyy-mm"))+SUMIFS(采购录入!$W$5:$W$404,采购录入!$U$5:$U$404,"6403",采购录入!$C$5:$C$404,TEXT(DATE(首页!$B$3,1,1),"yyyy-mm"))+SUMIFS(资金流水!$N$5:$N$504,资金流水!$O$5:$O$504,"6711",资金流水!$C$5:$C$504,TEXT(DATE(首页!$B$3,1,1),"yyyy-mm"))+SUMIFS(其他凭证!$H$5:$H$304,其他凭证!$F$5:$F$304,"6711",其他凭证!$C$5:$C$304,TEXT(DATE(首页!$B$3,1,1),"yyyy-mm"))+SUMIFS(采购录入!$W$5:$W$404,采购录入!$U$5:$U$404,"6711",采购录入!$C$5:$C$404,TEXT(DATE(首页!$B$3,1,1),"yyyy-mm"))</f>
        <v>31800</v>
      </c>
      <c r="H6" s="54" t="n">
        <f aca="false">SUMIFS(资金流水!$N$5:$N$504,资金流水!$C$5:$C$504,TEXT(DATE(首页!$B$3,1,1),"yyyy-mm"),资金流水!$D$5:$D$504,"收入")</f>
        <v>61000</v>
      </c>
      <c r="I6" s="44" t="n">
        <f aca="false">SUMIFS(资金流水!$N$5:$N$504,资金流水!$C$5:$C$504,TEXT(DATE(首页!$B$3,1,1),"yyyy-mm"),资金流水!$D$5:$D$504,"支出")</f>
        <v>63800</v>
      </c>
      <c r="J6" s="44" t="n">
        <f aca="false">$H6-$I6</f>
        <v>-2800</v>
      </c>
      <c r="K6" s="44" t="n">
        <f aca="false">SUM(期初数据!$B$6:$B$35)+SUM($J$6:$J6)</f>
        <v>332200</v>
      </c>
    </row>
    <row r="7" customFormat="false" ht="18" hidden="false" customHeight="true" outlineLevel="0" collapsed="false">
      <c r="A7" s="77" t="str">
        <f aca="false">2&amp;"月"</f>
        <v>2月</v>
      </c>
      <c r="B7" s="54" t="n">
        <f aca="false">SUMIFS(销售录入!$O$5:$O$404,销售录入!$C$5:$C$404,TEXT(DATE(首页!$B$3,2,1),"yyyy-mm"))</f>
        <v>0</v>
      </c>
      <c r="C7" s="54" t="n">
        <f aca="false">SUMIFS(销售录入!$S$5:$S$404,销售录入!$C$5:$C$404,TEXT(DATE(首页!$B$3,2,1),"yyyy-mm"))</f>
        <v>0</v>
      </c>
      <c r="D7" s="44" t="n">
        <f aca="false">$B7-$C7</f>
        <v>0</v>
      </c>
      <c r="E7" s="63" t="str">
        <f aca="false">IFERROR($D7/$B7,"")</f>
        <v/>
      </c>
      <c r="F7" s="54" t="n">
        <f aca="false">SUMIFS(采购录入!$Q$5:$Q$404,采购录入!$C$5:$C$404,TEXT(DATE(首页!$B$3,2,1),"yyyy-mm"))</f>
        <v>0</v>
      </c>
      <c r="G7" s="54" t="n">
        <f aca="false">SUMIFS(资金流水!$N$5:$N$504,资金流水!$O$5:$O$504,"66*",资金流水!$C$5:$C$504,TEXT(DATE(首页!$B$3,2,1),"yyyy-mm"))+SUMIFS(其他凭证!$H$5:$H$304,其他凭证!$F$5:$F$304,"66*",其他凭证!$C$5:$C$304,TEXT(DATE(首页!$B$3,2,1),"yyyy-mm"))+SUMIFS(采购录入!$W$5:$W$404,采购录入!$U$5:$U$404,"66*",采购录入!$C$5:$C$404,TEXT(DATE(首页!$B$3,2,1),"yyyy-mm"))+SUMIFS(资金流水!$N$5:$N$504,资金流水!$O$5:$O$504,"6403",资金流水!$C$5:$C$504,TEXT(DATE(首页!$B$3,2,1),"yyyy-mm"))+SUMIFS(其他凭证!$H$5:$H$304,其他凭证!$F$5:$F$304,"6403",其他凭证!$C$5:$C$304,TEXT(DATE(首页!$B$3,2,1),"yyyy-mm"))+SUMIFS(采购录入!$W$5:$W$404,采购录入!$U$5:$U$404,"6403",采购录入!$C$5:$C$404,TEXT(DATE(首页!$B$3,2,1),"yyyy-mm"))+SUMIFS(资金流水!$N$5:$N$504,资金流水!$O$5:$O$504,"6711",资金流水!$C$5:$C$504,TEXT(DATE(首页!$B$3,2,1),"yyyy-mm"))+SUMIFS(其他凭证!$H$5:$H$304,其他凭证!$F$5:$F$304,"6711",其他凭证!$C$5:$C$304,TEXT(DATE(首页!$B$3,2,1),"yyyy-mm"))+SUMIFS(采购录入!$W$5:$W$404,采购录入!$U$5:$U$404,"6711",采购录入!$C$5:$C$404,TEXT(DATE(首页!$B$3,2,1),"yyyy-mm"))</f>
        <v>0</v>
      </c>
      <c r="H7" s="54" t="n">
        <f aca="false">SUMIFS(资金流水!$N$5:$N$504,资金流水!$C$5:$C$504,TEXT(DATE(首页!$B$3,2,1),"yyyy-mm"),资金流水!$D$5:$D$504,"收入")</f>
        <v>0</v>
      </c>
      <c r="I7" s="44" t="n">
        <f aca="false">SUMIFS(资金流水!$N$5:$N$504,资金流水!$C$5:$C$504,TEXT(DATE(首页!$B$3,2,1),"yyyy-mm"),资金流水!$D$5:$D$504,"支出")</f>
        <v>0</v>
      </c>
      <c r="J7" s="44" t="n">
        <f aca="false">$H7-$I7</f>
        <v>0</v>
      </c>
      <c r="K7" s="44" t="n">
        <f aca="false">SUM(期初数据!$B$6:$B$35)+SUM($J$6:$J7)</f>
        <v>332200</v>
      </c>
    </row>
    <row r="8" customFormat="false" ht="18" hidden="false" customHeight="true" outlineLevel="0" collapsed="false">
      <c r="A8" s="77" t="str">
        <f aca="false">3&amp;"月"</f>
        <v>3月</v>
      </c>
      <c r="B8" s="54" t="n">
        <f aca="false">SUMIFS(销售录入!$O$5:$O$404,销售录入!$C$5:$C$404,TEXT(DATE(首页!$B$3,3,1),"yyyy-mm"))</f>
        <v>0</v>
      </c>
      <c r="C8" s="54" t="n">
        <f aca="false">SUMIFS(销售录入!$S$5:$S$404,销售录入!$C$5:$C$404,TEXT(DATE(首页!$B$3,3,1),"yyyy-mm"))</f>
        <v>0</v>
      </c>
      <c r="D8" s="44" t="n">
        <f aca="false">$B8-$C8</f>
        <v>0</v>
      </c>
      <c r="E8" s="63" t="str">
        <f aca="false">IFERROR($D8/$B8,"")</f>
        <v/>
      </c>
      <c r="F8" s="54" t="n">
        <f aca="false">SUMIFS(采购录入!$Q$5:$Q$404,采购录入!$C$5:$C$404,TEXT(DATE(首页!$B$3,3,1),"yyyy-mm"))</f>
        <v>0</v>
      </c>
      <c r="G8" s="54" t="n">
        <f aca="false">SUMIFS(资金流水!$N$5:$N$504,资金流水!$O$5:$O$504,"66*",资金流水!$C$5:$C$504,TEXT(DATE(首页!$B$3,3,1),"yyyy-mm"))+SUMIFS(其他凭证!$H$5:$H$304,其他凭证!$F$5:$F$304,"66*",其他凭证!$C$5:$C$304,TEXT(DATE(首页!$B$3,3,1),"yyyy-mm"))+SUMIFS(采购录入!$W$5:$W$404,采购录入!$U$5:$U$404,"66*",采购录入!$C$5:$C$404,TEXT(DATE(首页!$B$3,3,1),"yyyy-mm"))+SUMIFS(资金流水!$N$5:$N$504,资金流水!$O$5:$O$504,"6403",资金流水!$C$5:$C$504,TEXT(DATE(首页!$B$3,3,1),"yyyy-mm"))+SUMIFS(其他凭证!$H$5:$H$304,其他凭证!$F$5:$F$304,"6403",其他凭证!$C$5:$C$304,TEXT(DATE(首页!$B$3,3,1),"yyyy-mm"))+SUMIFS(采购录入!$W$5:$W$404,采购录入!$U$5:$U$404,"6403",采购录入!$C$5:$C$404,TEXT(DATE(首页!$B$3,3,1),"yyyy-mm"))+SUMIFS(资金流水!$N$5:$N$504,资金流水!$O$5:$O$504,"6711",资金流水!$C$5:$C$504,TEXT(DATE(首页!$B$3,3,1),"yyyy-mm"))+SUMIFS(其他凭证!$H$5:$H$304,其他凭证!$F$5:$F$304,"6711",其他凭证!$C$5:$C$304,TEXT(DATE(首页!$B$3,3,1),"yyyy-mm"))+SUMIFS(采购录入!$W$5:$W$404,采购录入!$U$5:$U$404,"6711",采购录入!$C$5:$C$404,TEXT(DATE(首页!$B$3,3,1),"yyyy-mm"))</f>
        <v>0</v>
      </c>
      <c r="H8" s="54" t="n">
        <f aca="false">SUMIFS(资金流水!$N$5:$N$504,资金流水!$C$5:$C$504,TEXT(DATE(首页!$B$3,3,1),"yyyy-mm"),资金流水!$D$5:$D$504,"收入")</f>
        <v>0</v>
      </c>
      <c r="I8" s="44" t="n">
        <f aca="false">SUMIFS(资金流水!$N$5:$N$504,资金流水!$C$5:$C$504,TEXT(DATE(首页!$B$3,3,1),"yyyy-mm"),资金流水!$D$5:$D$504,"支出")</f>
        <v>0</v>
      </c>
      <c r="J8" s="44" t="n">
        <f aca="false">$H8-$I8</f>
        <v>0</v>
      </c>
      <c r="K8" s="44" t="n">
        <f aca="false">SUM(期初数据!$B$6:$B$35)+SUM($J$6:$J8)</f>
        <v>332200</v>
      </c>
    </row>
    <row r="9" customFormat="false" ht="18" hidden="false" customHeight="true" outlineLevel="0" collapsed="false">
      <c r="A9" s="77" t="str">
        <f aca="false">4&amp;"月"</f>
        <v>4月</v>
      </c>
      <c r="B9" s="54" t="n">
        <f aca="false">SUMIFS(销售录入!$O$5:$O$404,销售录入!$C$5:$C$404,TEXT(DATE(首页!$B$3,4,1),"yyyy-mm"))</f>
        <v>0</v>
      </c>
      <c r="C9" s="54" t="n">
        <f aca="false">SUMIFS(销售录入!$S$5:$S$404,销售录入!$C$5:$C$404,TEXT(DATE(首页!$B$3,4,1),"yyyy-mm"))</f>
        <v>0</v>
      </c>
      <c r="D9" s="44" t="n">
        <f aca="false">$B9-$C9</f>
        <v>0</v>
      </c>
      <c r="E9" s="63" t="str">
        <f aca="false">IFERROR($D9/$B9,"")</f>
        <v/>
      </c>
      <c r="F9" s="54" t="n">
        <f aca="false">SUMIFS(采购录入!$Q$5:$Q$404,采购录入!$C$5:$C$404,TEXT(DATE(首页!$B$3,4,1),"yyyy-mm"))</f>
        <v>0</v>
      </c>
      <c r="G9" s="54" t="n">
        <f aca="false">SUMIFS(资金流水!$N$5:$N$504,资金流水!$O$5:$O$504,"66*",资金流水!$C$5:$C$504,TEXT(DATE(首页!$B$3,4,1),"yyyy-mm"))+SUMIFS(其他凭证!$H$5:$H$304,其他凭证!$F$5:$F$304,"66*",其他凭证!$C$5:$C$304,TEXT(DATE(首页!$B$3,4,1),"yyyy-mm"))+SUMIFS(采购录入!$W$5:$W$404,采购录入!$U$5:$U$404,"66*",采购录入!$C$5:$C$404,TEXT(DATE(首页!$B$3,4,1),"yyyy-mm"))+SUMIFS(资金流水!$N$5:$N$504,资金流水!$O$5:$O$504,"6403",资金流水!$C$5:$C$504,TEXT(DATE(首页!$B$3,4,1),"yyyy-mm"))+SUMIFS(其他凭证!$H$5:$H$304,其他凭证!$F$5:$F$304,"6403",其他凭证!$C$5:$C$304,TEXT(DATE(首页!$B$3,4,1),"yyyy-mm"))+SUMIFS(采购录入!$W$5:$W$404,采购录入!$U$5:$U$404,"6403",采购录入!$C$5:$C$404,TEXT(DATE(首页!$B$3,4,1),"yyyy-mm"))+SUMIFS(资金流水!$N$5:$N$504,资金流水!$O$5:$O$504,"6711",资金流水!$C$5:$C$504,TEXT(DATE(首页!$B$3,4,1),"yyyy-mm"))+SUMIFS(其他凭证!$H$5:$H$304,其他凭证!$F$5:$F$304,"6711",其他凭证!$C$5:$C$304,TEXT(DATE(首页!$B$3,4,1),"yyyy-mm"))+SUMIFS(采购录入!$W$5:$W$404,采购录入!$U$5:$U$404,"6711",采购录入!$C$5:$C$404,TEXT(DATE(首页!$B$3,4,1),"yyyy-mm"))</f>
        <v>0</v>
      </c>
      <c r="H9" s="54" t="n">
        <f aca="false">SUMIFS(资金流水!$N$5:$N$504,资金流水!$C$5:$C$504,TEXT(DATE(首页!$B$3,4,1),"yyyy-mm"),资金流水!$D$5:$D$504,"收入")</f>
        <v>0</v>
      </c>
      <c r="I9" s="44" t="n">
        <f aca="false">SUMIFS(资金流水!$N$5:$N$504,资金流水!$C$5:$C$504,TEXT(DATE(首页!$B$3,4,1),"yyyy-mm"),资金流水!$D$5:$D$504,"支出")</f>
        <v>0</v>
      </c>
      <c r="J9" s="44" t="n">
        <f aca="false">$H9-$I9</f>
        <v>0</v>
      </c>
      <c r="K9" s="44" t="n">
        <f aca="false">SUM(期初数据!$B$6:$B$35)+SUM($J$6:$J9)</f>
        <v>332200</v>
      </c>
    </row>
    <row r="10" customFormat="false" ht="18" hidden="false" customHeight="true" outlineLevel="0" collapsed="false">
      <c r="A10" s="77" t="str">
        <f aca="false">5&amp;"月"</f>
        <v>5月</v>
      </c>
      <c r="B10" s="54" t="n">
        <f aca="false">SUMIFS(销售录入!$O$5:$O$404,销售录入!$C$5:$C$404,TEXT(DATE(首页!$B$3,5,1),"yyyy-mm"))</f>
        <v>0</v>
      </c>
      <c r="C10" s="54" t="n">
        <f aca="false">SUMIFS(销售录入!$S$5:$S$404,销售录入!$C$5:$C$404,TEXT(DATE(首页!$B$3,5,1),"yyyy-mm"))</f>
        <v>0</v>
      </c>
      <c r="D10" s="44" t="n">
        <f aca="false">$B10-$C10</f>
        <v>0</v>
      </c>
      <c r="E10" s="63" t="str">
        <f aca="false">IFERROR($D10/$B10,"")</f>
        <v/>
      </c>
      <c r="F10" s="54" t="n">
        <f aca="false">SUMIFS(采购录入!$Q$5:$Q$404,采购录入!$C$5:$C$404,TEXT(DATE(首页!$B$3,5,1),"yyyy-mm"))</f>
        <v>0</v>
      </c>
      <c r="G10" s="54" t="n">
        <f aca="false">SUMIFS(资金流水!$N$5:$N$504,资金流水!$O$5:$O$504,"66*",资金流水!$C$5:$C$504,TEXT(DATE(首页!$B$3,5,1),"yyyy-mm"))+SUMIFS(其他凭证!$H$5:$H$304,其他凭证!$F$5:$F$304,"66*",其他凭证!$C$5:$C$304,TEXT(DATE(首页!$B$3,5,1),"yyyy-mm"))+SUMIFS(采购录入!$W$5:$W$404,采购录入!$U$5:$U$404,"66*",采购录入!$C$5:$C$404,TEXT(DATE(首页!$B$3,5,1),"yyyy-mm"))+SUMIFS(资金流水!$N$5:$N$504,资金流水!$O$5:$O$504,"6403",资金流水!$C$5:$C$504,TEXT(DATE(首页!$B$3,5,1),"yyyy-mm"))+SUMIFS(其他凭证!$H$5:$H$304,其他凭证!$F$5:$F$304,"6403",其他凭证!$C$5:$C$304,TEXT(DATE(首页!$B$3,5,1),"yyyy-mm"))+SUMIFS(采购录入!$W$5:$W$404,采购录入!$U$5:$U$404,"6403",采购录入!$C$5:$C$404,TEXT(DATE(首页!$B$3,5,1),"yyyy-mm"))+SUMIFS(资金流水!$N$5:$N$504,资金流水!$O$5:$O$504,"6711",资金流水!$C$5:$C$504,TEXT(DATE(首页!$B$3,5,1),"yyyy-mm"))+SUMIFS(其他凭证!$H$5:$H$304,其他凭证!$F$5:$F$304,"6711",其他凭证!$C$5:$C$304,TEXT(DATE(首页!$B$3,5,1),"yyyy-mm"))+SUMIFS(采购录入!$W$5:$W$404,采购录入!$U$5:$U$404,"6711",采购录入!$C$5:$C$404,TEXT(DATE(首页!$B$3,5,1),"yyyy-mm"))</f>
        <v>0</v>
      </c>
      <c r="H10" s="54" t="n">
        <f aca="false">SUMIFS(资金流水!$N$5:$N$504,资金流水!$C$5:$C$504,TEXT(DATE(首页!$B$3,5,1),"yyyy-mm"),资金流水!$D$5:$D$504,"收入")</f>
        <v>0</v>
      </c>
      <c r="I10" s="44" t="n">
        <f aca="false">SUMIFS(资金流水!$N$5:$N$504,资金流水!$C$5:$C$504,TEXT(DATE(首页!$B$3,5,1),"yyyy-mm"),资金流水!$D$5:$D$504,"支出")</f>
        <v>0</v>
      </c>
      <c r="J10" s="44" t="n">
        <f aca="false">$H10-$I10</f>
        <v>0</v>
      </c>
      <c r="K10" s="44" t="n">
        <f aca="false">SUM(期初数据!$B$6:$B$35)+SUM($J$6:$J10)</f>
        <v>332200</v>
      </c>
    </row>
    <row r="11" customFormat="false" ht="18" hidden="false" customHeight="true" outlineLevel="0" collapsed="false">
      <c r="A11" s="77" t="str">
        <f aca="false">6&amp;"月"</f>
        <v>6月</v>
      </c>
      <c r="B11" s="54" t="n">
        <f aca="false">SUMIFS(销售录入!$O$5:$O$404,销售录入!$C$5:$C$404,TEXT(DATE(首页!$B$3,6,1),"yyyy-mm"))</f>
        <v>0</v>
      </c>
      <c r="C11" s="54" t="n">
        <f aca="false">SUMIFS(销售录入!$S$5:$S$404,销售录入!$C$5:$C$404,TEXT(DATE(首页!$B$3,6,1),"yyyy-mm"))</f>
        <v>0</v>
      </c>
      <c r="D11" s="44" t="n">
        <f aca="false">$B11-$C11</f>
        <v>0</v>
      </c>
      <c r="E11" s="63" t="str">
        <f aca="false">IFERROR($D11/$B11,"")</f>
        <v/>
      </c>
      <c r="F11" s="54" t="n">
        <f aca="false">SUMIFS(采购录入!$Q$5:$Q$404,采购录入!$C$5:$C$404,TEXT(DATE(首页!$B$3,6,1),"yyyy-mm"))</f>
        <v>0</v>
      </c>
      <c r="G11" s="54" t="n">
        <f aca="false">SUMIFS(资金流水!$N$5:$N$504,资金流水!$O$5:$O$504,"66*",资金流水!$C$5:$C$504,TEXT(DATE(首页!$B$3,6,1),"yyyy-mm"))+SUMIFS(其他凭证!$H$5:$H$304,其他凭证!$F$5:$F$304,"66*",其他凭证!$C$5:$C$304,TEXT(DATE(首页!$B$3,6,1),"yyyy-mm"))+SUMIFS(采购录入!$W$5:$W$404,采购录入!$U$5:$U$404,"66*",采购录入!$C$5:$C$404,TEXT(DATE(首页!$B$3,6,1),"yyyy-mm"))+SUMIFS(资金流水!$N$5:$N$504,资金流水!$O$5:$O$504,"6403",资金流水!$C$5:$C$504,TEXT(DATE(首页!$B$3,6,1),"yyyy-mm"))+SUMIFS(其他凭证!$H$5:$H$304,其他凭证!$F$5:$F$304,"6403",其他凭证!$C$5:$C$304,TEXT(DATE(首页!$B$3,6,1),"yyyy-mm"))+SUMIFS(采购录入!$W$5:$W$404,采购录入!$U$5:$U$404,"6403",采购录入!$C$5:$C$404,TEXT(DATE(首页!$B$3,6,1),"yyyy-mm"))+SUMIFS(资金流水!$N$5:$N$504,资金流水!$O$5:$O$504,"6711",资金流水!$C$5:$C$504,TEXT(DATE(首页!$B$3,6,1),"yyyy-mm"))+SUMIFS(其他凭证!$H$5:$H$304,其他凭证!$F$5:$F$304,"6711",其他凭证!$C$5:$C$304,TEXT(DATE(首页!$B$3,6,1),"yyyy-mm"))+SUMIFS(采购录入!$W$5:$W$404,采购录入!$U$5:$U$404,"6711",采购录入!$C$5:$C$404,TEXT(DATE(首页!$B$3,6,1),"yyyy-mm"))</f>
        <v>0</v>
      </c>
      <c r="H11" s="54" t="n">
        <f aca="false">SUMIFS(资金流水!$N$5:$N$504,资金流水!$C$5:$C$504,TEXT(DATE(首页!$B$3,6,1),"yyyy-mm"),资金流水!$D$5:$D$504,"收入")</f>
        <v>0</v>
      </c>
      <c r="I11" s="44" t="n">
        <f aca="false">SUMIFS(资金流水!$N$5:$N$504,资金流水!$C$5:$C$504,TEXT(DATE(首页!$B$3,6,1),"yyyy-mm"),资金流水!$D$5:$D$504,"支出")</f>
        <v>0</v>
      </c>
      <c r="J11" s="44" t="n">
        <f aca="false">$H11-$I11</f>
        <v>0</v>
      </c>
      <c r="K11" s="44" t="n">
        <f aca="false">SUM(期初数据!$B$6:$B$35)+SUM($J$6:$J11)</f>
        <v>332200</v>
      </c>
    </row>
    <row r="12" customFormat="false" ht="18" hidden="false" customHeight="true" outlineLevel="0" collapsed="false">
      <c r="A12" s="77" t="str">
        <f aca="false">7&amp;"月"</f>
        <v>7月</v>
      </c>
      <c r="B12" s="54" t="n">
        <f aca="false">SUMIFS(销售录入!$O$5:$O$404,销售录入!$C$5:$C$404,TEXT(DATE(首页!$B$3,7,1),"yyyy-mm"))</f>
        <v>0</v>
      </c>
      <c r="C12" s="54" t="n">
        <f aca="false">SUMIFS(销售录入!$S$5:$S$404,销售录入!$C$5:$C$404,TEXT(DATE(首页!$B$3,7,1),"yyyy-mm"))</f>
        <v>0</v>
      </c>
      <c r="D12" s="44" t="n">
        <f aca="false">$B12-$C12</f>
        <v>0</v>
      </c>
      <c r="E12" s="63" t="str">
        <f aca="false">IFERROR($D12/$B12,"")</f>
        <v/>
      </c>
      <c r="F12" s="54" t="n">
        <f aca="false">SUMIFS(采购录入!$Q$5:$Q$404,采购录入!$C$5:$C$404,TEXT(DATE(首页!$B$3,7,1),"yyyy-mm"))</f>
        <v>0</v>
      </c>
      <c r="G12" s="54" t="n">
        <f aca="false">SUMIFS(资金流水!$N$5:$N$504,资金流水!$O$5:$O$504,"66*",资金流水!$C$5:$C$504,TEXT(DATE(首页!$B$3,7,1),"yyyy-mm"))+SUMIFS(其他凭证!$H$5:$H$304,其他凭证!$F$5:$F$304,"66*",其他凭证!$C$5:$C$304,TEXT(DATE(首页!$B$3,7,1),"yyyy-mm"))+SUMIFS(采购录入!$W$5:$W$404,采购录入!$U$5:$U$404,"66*",采购录入!$C$5:$C$404,TEXT(DATE(首页!$B$3,7,1),"yyyy-mm"))+SUMIFS(资金流水!$N$5:$N$504,资金流水!$O$5:$O$504,"6403",资金流水!$C$5:$C$504,TEXT(DATE(首页!$B$3,7,1),"yyyy-mm"))+SUMIFS(其他凭证!$H$5:$H$304,其他凭证!$F$5:$F$304,"6403",其他凭证!$C$5:$C$304,TEXT(DATE(首页!$B$3,7,1),"yyyy-mm"))+SUMIFS(采购录入!$W$5:$W$404,采购录入!$U$5:$U$404,"6403",采购录入!$C$5:$C$404,TEXT(DATE(首页!$B$3,7,1),"yyyy-mm"))+SUMIFS(资金流水!$N$5:$N$504,资金流水!$O$5:$O$504,"6711",资金流水!$C$5:$C$504,TEXT(DATE(首页!$B$3,7,1),"yyyy-mm"))+SUMIFS(其他凭证!$H$5:$H$304,其他凭证!$F$5:$F$304,"6711",其他凭证!$C$5:$C$304,TEXT(DATE(首页!$B$3,7,1),"yyyy-mm"))+SUMIFS(采购录入!$W$5:$W$404,采购录入!$U$5:$U$404,"6711",采购录入!$C$5:$C$404,TEXT(DATE(首页!$B$3,7,1),"yyyy-mm"))</f>
        <v>0</v>
      </c>
      <c r="H12" s="54" t="n">
        <f aca="false">SUMIFS(资金流水!$N$5:$N$504,资金流水!$C$5:$C$504,TEXT(DATE(首页!$B$3,7,1),"yyyy-mm"),资金流水!$D$5:$D$504,"收入")</f>
        <v>0</v>
      </c>
      <c r="I12" s="44" t="n">
        <f aca="false">SUMIFS(资金流水!$N$5:$N$504,资金流水!$C$5:$C$504,TEXT(DATE(首页!$B$3,7,1),"yyyy-mm"),资金流水!$D$5:$D$504,"支出")</f>
        <v>0</v>
      </c>
      <c r="J12" s="44" t="n">
        <f aca="false">$H12-$I12</f>
        <v>0</v>
      </c>
      <c r="K12" s="44" t="n">
        <f aca="false">SUM(期初数据!$B$6:$B$35)+SUM($J$6:$J12)</f>
        <v>332200</v>
      </c>
    </row>
    <row r="13" customFormat="false" ht="18" hidden="false" customHeight="true" outlineLevel="0" collapsed="false">
      <c r="A13" s="77" t="str">
        <f aca="false">8&amp;"月"</f>
        <v>8月</v>
      </c>
      <c r="B13" s="54" t="n">
        <f aca="false">SUMIFS(销售录入!$O$5:$O$404,销售录入!$C$5:$C$404,TEXT(DATE(首页!$B$3,8,1),"yyyy-mm"))</f>
        <v>0</v>
      </c>
      <c r="C13" s="54" t="n">
        <f aca="false">SUMIFS(销售录入!$S$5:$S$404,销售录入!$C$5:$C$404,TEXT(DATE(首页!$B$3,8,1),"yyyy-mm"))</f>
        <v>0</v>
      </c>
      <c r="D13" s="44" t="n">
        <f aca="false">$B13-$C13</f>
        <v>0</v>
      </c>
      <c r="E13" s="63" t="str">
        <f aca="false">IFERROR($D13/$B13,"")</f>
        <v/>
      </c>
      <c r="F13" s="54" t="n">
        <f aca="false">SUMIFS(采购录入!$Q$5:$Q$404,采购录入!$C$5:$C$404,TEXT(DATE(首页!$B$3,8,1),"yyyy-mm"))</f>
        <v>0</v>
      </c>
      <c r="G13" s="54" t="n">
        <f aca="false">SUMIFS(资金流水!$N$5:$N$504,资金流水!$O$5:$O$504,"66*",资金流水!$C$5:$C$504,TEXT(DATE(首页!$B$3,8,1),"yyyy-mm"))+SUMIFS(其他凭证!$H$5:$H$304,其他凭证!$F$5:$F$304,"66*",其他凭证!$C$5:$C$304,TEXT(DATE(首页!$B$3,8,1),"yyyy-mm"))+SUMIFS(采购录入!$W$5:$W$404,采购录入!$U$5:$U$404,"66*",采购录入!$C$5:$C$404,TEXT(DATE(首页!$B$3,8,1),"yyyy-mm"))+SUMIFS(资金流水!$N$5:$N$504,资金流水!$O$5:$O$504,"6403",资金流水!$C$5:$C$504,TEXT(DATE(首页!$B$3,8,1),"yyyy-mm"))+SUMIFS(其他凭证!$H$5:$H$304,其他凭证!$F$5:$F$304,"6403",其他凭证!$C$5:$C$304,TEXT(DATE(首页!$B$3,8,1),"yyyy-mm"))+SUMIFS(采购录入!$W$5:$W$404,采购录入!$U$5:$U$404,"6403",采购录入!$C$5:$C$404,TEXT(DATE(首页!$B$3,8,1),"yyyy-mm"))+SUMIFS(资金流水!$N$5:$N$504,资金流水!$O$5:$O$504,"6711",资金流水!$C$5:$C$504,TEXT(DATE(首页!$B$3,8,1),"yyyy-mm"))+SUMIFS(其他凭证!$H$5:$H$304,其他凭证!$F$5:$F$304,"6711",其他凭证!$C$5:$C$304,TEXT(DATE(首页!$B$3,8,1),"yyyy-mm"))+SUMIFS(采购录入!$W$5:$W$404,采购录入!$U$5:$U$404,"6711",采购录入!$C$5:$C$404,TEXT(DATE(首页!$B$3,8,1),"yyyy-mm"))</f>
        <v>0</v>
      </c>
      <c r="H13" s="54" t="n">
        <f aca="false">SUMIFS(资金流水!$N$5:$N$504,资金流水!$C$5:$C$504,TEXT(DATE(首页!$B$3,8,1),"yyyy-mm"),资金流水!$D$5:$D$504,"收入")</f>
        <v>0</v>
      </c>
      <c r="I13" s="44" t="n">
        <f aca="false">SUMIFS(资金流水!$N$5:$N$504,资金流水!$C$5:$C$504,TEXT(DATE(首页!$B$3,8,1),"yyyy-mm"),资金流水!$D$5:$D$504,"支出")</f>
        <v>0</v>
      </c>
      <c r="J13" s="44" t="n">
        <f aca="false">$H13-$I13</f>
        <v>0</v>
      </c>
      <c r="K13" s="44" t="n">
        <f aca="false">SUM(期初数据!$B$6:$B$35)+SUM($J$6:$J13)</f>
        <v>332200</v>
      </c>
    </row>
    <row r="14" customFormat="false" ht="18" hidden="false" customHeight="true" outlineLevel="0" collapsed="false">
      <c r="A14" s="77" t="str">
        <f aca="false">9&amp;"月"</f>
        <v>9月</v>
      </c>
      <c r="B14" s="54" t="n">
        <f aca="false">SUMIFS(销售录入!$O$5:$O$404,销售录入!$C$5:$C$404,TEXT(DATE(首页!$B$3,9,1),"yyyy-mm"))</f>
        <v>0</v>
      </c>
      <c r="C14" s="54" t="n">
        <f aca="false">SUMIFS(销售录入!$S$5:$S$404,销售录入!$C$5:$C$404,TEXT(DATE(首页!$B$3,9,1),"yyyy-mm"))</f>
        <v>0</v>
      </c>
      <c r="D14" s="44" t="n">
        <f aca="false">$B14-$C14</f>
        <v>0</v>
      </c>
      <c r="E14" s="63" t="str">
        <f aca="false">IFERROR($D14/$B14,"")</f>
        <v/>
      </c>
      <c r="F14" s="54" t="n">
        <f aca="false">SUMIFS(采购录入!$Q$5:$Q$404,采购录入!$C$5:$C$404,TEXT(DATE(首页!$B$3,9,1),"yyyy-mm"))</f>
        <v>0</v>
      </c>
      <c r="G14" s="54" t="n">
        <f aca="false">SUMIFS(资金流水!$N$5:$N$504,资金流水!$O$5:$O$504,"66*",资金流水!$C$5:$C$504,TEXT(DATE(首页!$B$3,9,1),"yyyy-mm"))+SUMIFS(其他凭证!$H$5:$H$304,其他凭证!$F$5:$F$304,"66*",其他凭证!$C$5:$C$304,TEXT(DATE(首页!$B$3,9,1),"yyyy-mm"))+SUMIFS(采购录入!$W$5:$W$404,采购录入!$U$5:$U$404,"66*",采购录入!$C$5:$C$404,TEXT(DATE(首页!$B$3,9,1),"yyyy-mm"))+SUMIFS(资金流水!$N$5:$N$504,资金流水!$O$5:$O$504,"6403",资金流水!$C$5:$C$504,TEXT(DATE(首页!$B$3,9,1),"yyyy-mm"))+SUMIFS(其他凭证!$H$5:$H$304,其他凭证!$F$5:$F$304,"6403",其他凭证!$C$5:$C$304,TEXT(DATE(首页!$B$3,9,1),"yyyy-mm"))+SUMIFS(采购录入!$W$5:$W$404,采购录入!$U$5:$U$404,"6403",采购录入!$C$5:$C$404,TEXT(DATE(首页!$B$3,9,1),"yyyy-mm"))+SUMIFS(资金流水!$N$5:$N$504,资金流水!$O$5:$O$504,"6711",资金流水!$C$5:$C$504,TEXT(DATE(首页!$B$3,9,1),"yyyy-mm"))+SUMIFS(其他凭证!$H$5:$H$304,其他凭证!$F$5:$F$304,"6711",其他凭证!$C$5:$C$304,TEXT(DATE(首页!$B$3,9,1),"yyyy-mm"))+SUMIFS(采购录入!$W$5:$W$404,采购录入!$U$5:$U$404,"6711",采购录入!$C$5:$C$404,TEXT(DATE(首页!$B$3,9,1),"yyyy-mm"))</f>
        <v>0</v>
      </c>
      <c r="H14" s="54" t="n">
        <f aca="false">SUMIFS(资金流水!$N$5:$N$504,资金流水!$C$5:$C$504,TEXT(DATE(首页!$B$3,9,1),"yyyy-mm"),资金流水!$D$5:$D$504,"收入")</f>
        <v>0</v>
      </c>
      <c r="I14" s="44" t="n">
        <f aca="false">SUMIFS(资金流水!$N$5:$N$504,资金流水!$C$5:$C$504,TEXT(DATE(首页!$B$3,9,1),"yyyy-mm"),资金流水!$D$5:$D$504,"支出")</f>
        <v>0</v>
      </c>
      <c r="J14" s="44" t="n">
        <f aca="false">$H14-$I14</f>
        <v>0</v>
      </c>
      <c r="K14" s="44" t="n">
        <f aca="false">SUM(期初数据!$B$6:$B$35)+SUM($J$6:$J14)</f>
        <v>332200</v>
      </c>
    </row>
    <row r="15" customFormat="false" ht="18" hidden="false" customHeight="true" outlineLevel="0" collapsed="false">
      <c r="A15" s="77" t="str">
        <f aca="false">10&amp;"月"</f>
        <v>10月</v>
      </c>
      <c r="B15" s="54" t="n">
        <f aca="false">SUMIFS(销售录入!$O$5:$O$404,销售录入!$C$5:$C$404,TEXT(DATE(首页!$B$3,10,1),"yyyy-mm"))</f>
        <v>0</v>
      </c>
      <c r="C15" s="54" t="n">
        <f aca="false">SUMIFS(销售录入!$S$5:$S$404,销售录入!$C$5:$C$404,TEXT(DATE(首页!$B$3,10,1),"yyyy-mm"))</f>
        <v>0</v>
      </c>
      <c r="D15" s="44" t="n">
        <f aca="false">$B15-$C15</f>
        <v>0</v>
      </c>
      <c r="E15" s="63" t="str">
        <f aca="false">IFERROR($D15/$B15,"")</f>
        <v/>
      </c>
      <c r="F15" s="54" t="n">
        <f aca="false">SUMIFS(采购录入!$Q$5:$Q$404,采购录入!$C$5:$C$404,TEXT(DATE(首页!$B$3,10,1),"yyyy-mm"))</f>
        <v>0</v>
      </c>
      <c r="G15" s="54" t="n">
        <f aca="false">SUMIFS(资金流水!$N$5:$N$504,资金流水!$O$5:$O$504,"66*",资金流水!$C$5:$C$504,TEXT(DATE(首页!$B$3,10,1),"yyyy-mm"))+SUMIFS(其他凭证!$H$5:$H$304,其他凭证!$F$5:$F$304,"66*",其他凭证!$C$5:$C$304,TEXT(DATE(首页!$B$3,10,1),"yyyy-mm"))+SUMIFS(采购录入!$W$5:$W$404,采购录入!$U$5:$U$404,"66*",采购录入!$C$5:$C$404,TEXT(DATE(首页!$B$3,10,1),"yyyy-mm"))+SUMIFS(资金流水!$N$5:$N$504,资金流水!$O$5:$O$504,"6403",资金流水!$C$5:$C$504,TEXT(DATE(首页!$B$3,10,1),"yyyy-mm"))+SUMIFS(其他凭证!$H$5:$H$304,其他凭证!$F$5:$F$304,"6403",其他凭证!$C$5:$C$304,TEXT(DATE(首页!$B$3,10,1),"yyyy-mm"))+SUMIFS(采购录入!$W$5:$W$404,采购录入!$U$5:$U$404,"6403",采购录入!$C$5:$C$404,TEXT(DATE(首页!$B$3,10,1),"yyyy-mm"))+SUMIFS(资金流水!$N$5:$N$504,资金流水!$O$5:$O$504,"6711",资金流水!$C$5:$C$504,TEXT(DATE(首页!$B$3,10,1),"yyyy-mm"))+SUMIFS(其他凭证!$H$5:$H$304,其他凭证!$F$5:$F$304,"6711",其他凭证!$C$5:$C$304,TEXT(DATE(首页!$B$3,10,1),"yyyy-mm"))+SUMIFS(采购录入!$W$5:$W$404,采购录入!$U$5:$U$404,"6711",采购录入!$C$5:$C$404,TEXT(DATE(首页!$B$3,10,1),"yyyy-mm"))</f>
        <v>0</v>
      </c>
      <c r="H15" s="54" t="n">
        <f aca="false">SUMIFS(资金流水!$N$5:$N$504,资金流水!$C$5:$C$504,TEXT(DATE(首页!$B$3,10,1),"yyyy-mm"),资金流水!$D$5:$D$504,"收入")</f>
        <v>0</v>
      </c>
      <c r="I15" s="44" t="n">
        <f aca="false">SUMIFS(资金流水!$N$5:$N$504,资金流水!$C$5:$C$504,TEXT(DATE(首页!$B$3,10,1),"yyyy-mm"),资金流水!$D$5:$D$504,"支出")</f>
        <v>0</v>
      </c>
      <c r="J15" s="44" t="n">
        <f aca="false">$H15-$I15</f>
        <v>0</v>
      </c>
      <c r="K15" s="44" t="n">
        <f aca="false">SUM(期初数据!$B$6:$B$35)+SUM($J$6:$J15)</f>
        <v>332200</v>
      </c>
    </row>
    <row r="16" customFormat="false" ht="18" hidden="false" customHeight="true" outlineLevel="0" collapsed="false">
      <c r="A16" s="77" t="str">
        <f aca="false">11&amp;"月"</f>
        <v>11月</v>
      </c>
      <c r="B16" s="54" t="n">
        <f aca="false">SUMIFS(销售录入!$O$5:$O$404,销售录入!$C$5:$C$404,TEXT(DATE(首页!$B$3,11,1),"yyyy-mm"))</f>
        <v>0</v>
      </c>
      <c r="C16" s="54" t="n">
        <f aca="false">SUMIFS(销售录入!$S$5:$S$404,销售录入!$C$5:$C$404,TEXT(DATE(首页!$B$3,11,1),"yyyy-mm"))</f>
        <v>0</v>
      </c>
      <c r="D16" s="44" t="n">
        <f aca="false">$B16-$C16</f>
        <v>0</v>
      </c>
      <c r="E16" s="63" t="str">
        <f aca="false">IFERROR($D16/$B16,"")</f>
        <v/>
      </c>
      <c r="F16" s="54" t="n">
        <f aca="false">SUMIFS(采购录入!$Q$5:$Q$404,采购录入!$C$5:$C$404,TEXT(DATE(首页!$B$3,11,1),"yyyy-mm"))</f>
        <v>0</v>
      </c>
      <c r="G16" s="54" t="n">
        <f aca="false">SUMIFS(资金流水!$N$5:$N$504,资金流水!$O$5:$O$504,"66*",资金流水!$C$5:$C$504,TEXT(DATE(首页!$B$3,11,1),"yyyy-mm"))+SUMIFS(其他凭证!$H$5:$H$304,其他凭证!$F$5:$F$304,"66*",其他凭证!$C$5:$C$304,TEXT(DATE(首页!$B$3,11,1),"yyyy-mm"))+SUMIFS(采购录入!$W$5:$W$404,采购录入!$U$5:$U$404,"66*",采购录入!$C$5:$C$404,TEXT(DATE(首页!$B$3,11,1),"yyyy-mm"))+SUMIFS(资金流水!$N$5:$N$504,资金流水!$O$5:$O$504,"6403",资金流水!$C$5:$C$504,TEXT(DATE(首页!$B$3,11,1),"yyyy-mm"))+SUMIFS(其他凭证!$H$5:$H$304,其他凭证!$F$5:$F$304,"6403",其他凭证!$C$5:$C$304,TEXT(DATE(首页!$B$3,11,1),"yyyy-mm"))+SUMIFS(采购录入!$W$5:$W$404,采购录入!$U$5:$U$404,"6403",采购录入!$C$5:$C$404,TEXT(DATE(首页!$B$3,11,1),"yyyy-mm"))+SUMIFS(资金流水!$N$5:$N$504,资金流水!$O$5:$O$504,"6711",资金流水!$C$5:$C$504,TEXT(DATE(首页!$B$3,11,1),"yyyy-mm"))+SUMIFS(其他凭证!$H$5:$H$304,其他凭证!$F$5:$F$304,"6711",其他凭证!$C$5:$C$304,TEXT(DATE(首页!$B$3,11,1),"yyyy-mm"))+SUMIFS(采购录入!$W$5:$W$404,采购录入!$U$5:$U$404,"6711",采购录入!$C$5:$C$404,TEXT(DATE(首页!$B$3,11,1),"yyyy-mm"))</f>
        <v>0</v>
      </c>
      <c r="H16" s="54" t="n">
        <f aca="false">SUMIFS(资金流水!$N$5:$N$504,资金流水!$C$5:$C$504,TEXT(DATE(首页!$B$3,11,1),"yyyy-mm"),资金流水!$D$5:$D$504,"收入")</f>
        <v>0</v>
      </c>
      <c r="I16" s="44" t="n">
        <f aca="false">SUMIFS(资金流水!$N$5:$N$504,资金流水!$C$5:$C$504,TEXT(DATE(首页!$B$3,11,1),"yyyy-mm"),资金流水!$D$5:$D$504,"支出")</f>
        <v>0</v>
      </c>
      <c r="J16" s="44" t="n">
        <f aca="false">$H16-$I16</f>
        <v>0</v>
      </c>
      <c r="K16" s="44" t="n">
        <f aca="false">SUM(期初数据!$B$6:$B$35)+SUM($J$6:$J16)</f>
        <v>332200</v>
      </c>
    </row>
    <row r="17" customFormat="false" ht="18" hidden="false" customHeight="true" outlineLevel="0" collapsed="false">
      <c r="A17" s="77" t="str">
        <f aca="false">12&amp;"月"</f>
        <v>12月</v>
      </c>
      <c r="B17" s="54" t="n">
        <f aca="false">SUMIFS(销售录入!$O$5:$O$404,销售录入!$C$5:$C$404,TEXT(DATE(首页!$B$3,12,1),"yyyy-mm"))</f>
        <v>0</v>
      </c>
      <c r="C17" s="54" t="n">
        <f aca="false">SUMIFS(销售录入!$S$5:$S$404,销售录入!$C$5:$C$404,TEXT(DATE(首页!$B$3,12,1),"yyyy-mm"))</f>
        <v>0</v>
      </c>
      <c r="D17" s="44" t="n">
        <f aca="false">$B17-$C17</f>
        <v>0</v>
      </c>
      <c r="E17" s="63" t="str">
        <f aca="false">IFERROR($D17/$B17,"")</f>
        <v/>
      </c>
      <c r="F17" s="54" t="n">
        <f aca="false">SUMIFS(采购录入!$Q$5:$Q$404,采购录入!$C$5:$C$404,TEXT(DATE(首页!$B$3,12,1),"yyyy-mm"))</f>
        <v>0</v>
      </c>
      <c r="G17" s="54" t="n">
        <f aca="false">SUMIFS(资金流水!$N$5:$N$504,资金流水!$O$5:$O$504,"66*",资金流水!$C$5:$C$504,TEXT(DATE(首页!$B$3,12,1),"yyyy-mm"))+SUMIFS(其他凭证!$H$5:$H$304,其他凭证!$F$5:$F$304,"66*",其他凭证!$C$5:$C$304,TEXT(DATE(首页!$B$3,12,1),"yyyy-mm"))+SUMIFS(采购录入!$W$5:$W$404,采购录入!$U$5:$U$404,"66*",采购录入!$C$5:$C$404,TEXT(DATE(首页!$B$3,12,1),"yyyy-mm"))+SUMIFS(资金流水!$N$5:$N$504,资金流水!$O$5:$O$504,"6403",资金流水!$C$5:$C$504,TEXT(DATE(首页!$B$3,12,1),"yyyy-mm"))+SUMIFS(其他凭证!$H$5:$H$304,其他凭证!$F$5:$F$304,"6403",其他凭证!$C$5:$C$304,TEXT(DATE(首页!$B$3,12,1),"yyyy-mm"))+SUMIFS(采购录入!$W$5:$W$404,采购录入!$U$5:$U$404,"6403",采购录入!$C$5:$C$404,TEXT(DATE(首页!$B$3,12,1),"yyyy-mm"))+SUMIFS(资金流水!$N$5:$N$504,资金流水!$O$5:$O$504,"6711",资金流水!$C$5:$C$504,TEXT(DATE(首页!$B$3,12,1),"yyyy-mm"))+SUMIFS(其他凭证!$H$5:$H$304,其他凭证!$F$5:$F$304,"6711",其他凭证!$C$5:$C$304,TEXT(DATE(首页!$B$3,12,1),"yyyy-mm"))+SUMIFS(采购录入!$W$5:$W$404,采购录入!$U$5:$U$404,"6711",采购录入!$C$5:$C$404,TEXT(DATE(首页!$B$3,12,1),"yyyy-mm"))</f>
        <v>0</v>
      </c>
      <c r="H17" s="54" t="n">
        <f aca="false">SUMIFS(资金流水!$N$5:$N$504,资金流水!$C$5:$C$504,TEXT(DATE(首页!$B$3,12,1),"yyyy-mm"),资金流水!$D$5:$D$504,"收入")</f>
        <v>0</v>
      </c>
      <c r="I17" s="44" t="n">
        <f aca="false">SUMIFS(资金流水!$N$5:$N$504,资金流水!$C$5:$C$504,TEXT(DATE(首页!$B$3,12,1),"yyyy-mm"),资金流水!$D$5:$D$504,"支出")</f>
        <v>0</v>
      </c>
      <c r="J17" s="44" t="n">
        <f aca="false">$H17-$I17</f>
        <v>0</v>
      </c>
      <c r="K17" s="44" t="n">
        <f aca="false">SUM(期初数据!$B$6:$B$35)+SUM($J$6:$J17)</f>
        <v>332200</v>
      </c>
    </row>
    <row r="18" customFormat="false" ht="15" hidden="false" customHeight="false" outlineLevel="0" collapsed="false">
      <c r="A18" s="55" t="s">
        <v>836</v>
      </c>
      <c r="B18" s="39" t="n">
        <f aca="false">SUM(B6:B17)</f>
        <v>24600</v>
      </c>
      <c r="C18" s="39" t="n">
        <f aca="false">SUM(C6:C17)</f>
        <v>13462.5</v>
      </c>
      <c r="D18" s="39" t="n">
        <f aca="false">SUM(D6:D17)</f>
        <v>11137.5</v>
      </c>
      <c r="E18" s="67" t="n">
        <f aca="false">IFERROR($D$18/$B$18,"")</f>
        <v>0.452743902439024</v>
      </c>
      <c r="F18" s="39" t="n">
        <f aca="false">SUM(F6:F17)</f>
        <v>19250</v>
      </c>
      <c r="G18" s="39" t="n">
        <f aca="false">SUM(G6:G17)</f>
        <v>31800</v>
      </c>
      <c r="H18" s="39" t="n">
        <f aca="false">SUM(H6:H17)</f>
        <v>61000</v>
      </c>
      <c r="I18" s="39" t="n">
        <f aca="false">SUM(I6:I17)</f>
        <v>63800</v>
      </c>
      <c r="J18" s="39" t="n">
        <f aca="false">SUM(J6:J17)</f>
        <v>-2800</v>
      </c>
      <c r="K18" s="39" t="n">
        <f aca="false">$K$17</f>
        <v>332200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F23"/>
  <sheetViews>
    <sheetView showFormulas="false" showGridLines="false" showRowColHeaders="true" showZeros="true" rightToLeft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7"/>
    <col collapsed="false" customWidth="true" hidden="false" outlineLevel="0" max="5" min="5" style="0" width="15"/>
    <col collapsed="false" customWidth="true" hidden="false" outlineLevel="0" max="6" min="6" style="0" width="46"/>
  </cols>
  <sheetData>
    <row r="1" customFormat="false" ht="25.5" hidden="false" customHeight="true" outlineLevel="0" collapsed="false">
      <c r="A1" s="23" t="s">
        <v>837</v>
      </c>
      <c r="B1" s="23"/>
      <c r="C1" s="23"/>
      <c r="D1" s="23"/>
      <c r="E1" s="23"/>
      <c r="F1" s="23"/>
    </row>
    <row r="2" customFormat="false" ht="15" hidden="false" customHeight="true" outlineLevel="0" collapsed="false">
      <c r="A2" s="6" t="s">
        <v>838</v>
      </c>
      <c r="B2" s="6"/>
      <c r="C2" s="6"/>
      <c r="D2" s="6"/>
      <c r="E2" s="6"/>
      <c r="F2" s="6"/>
    </row>
    <row r="5" customFormat="false" ht="30" hidden="false" customHeight="true" outlineLevel="0" collapsed="false">
      <c r="A5" s="78" t="s">
        <v>839</v>
      </c>
      <c r="B5" s="30" t="s">
        <v>840</v>
      </c>
      <c r="C5" s="30" t="s">
        <v>841</v>
      </c>
      <c r="D5" s="30" t="s">
        <v>842</v>
      </c>
      <c r="E5" s="30" t="s">
        <v>415</v>
      </c>
      <c r="F5" s="30" t="s">
        <v>843</v>
      </c>
    </row>
    <row r="6" customFormat="false" ht="30" hidden="false" customHeight="true" outlineLevel="0" collapsed="false">
      <c r="A6" s="34" t="n">
        <v>1</v>
      </c>
      <c r="B6" s="22" t="s">
        <v>844</v>
      </c>
      <c r="C6" s="54" t="n">
        <f aca="false">科目余额表!$E$3</f>
        <v>213701</v>
      </c>
      <c r="D6" s="54" t="n">
        <f aca="false">科目余额表!$G$3</f>
        <v>213701</v>
      </c>
      <c r="E6" s="61" t="str">
        <f aca="false">IF(ABS($C6-$D6)&lt;0.01,"✓ 正常","✗ 差 "&amp;TEXT($C6-$D6,"#,##0.00"))</f>
        <v>✓ 正常</v>
      </c>
      <c r="F6" s="79" t="s">
        <v>845</v>
      </c>
    </row>
    <row r="7" customFormat="false" ht="30" hidden="false" customHeight="true" outlineLevel="0" collapsed="false">
      <c r="A7" s="34" t="n">
        <v>2</v>
      </c>
      <c r="B7" s="22" t="s">
        <v>846</v>
      </c>
      <c r="C7" s="54" t="n">
        <f aca="false">SUM(期初数据!$Z$6:$Z$125)</f>
        <v>571600</v>
      </c>
      <c r="D7" s="54" t="n">
        <f aca="false">SUM(期初数据!$AA$6:$AA$125)</f>
        <v>571600</v>
      </c>
      <c r="E7" s="61" t="str">
        <f aca="false">IF(ABS($C7-$D7)&lt;0.01,"✓ 正常","✗ 差 "&amp;TEXT($C7-$D7,"#,##0.00"))</f>
        <v>✓ 正常</v>
      </c>
      <c r="F7" s="79" t="s">
        <v>847</v>
      </c>
    </row>
    <row r="8" customFormat="false" ht="30" hidden="false" customHeight="true" outlineLevel="0" collapsed="false">
      <c r="A8" s="34" t="n">
        <v>3</v>
      </c>
      <c r="B8" s="22" t="s">
        <v>848</v>
      </c>
      <c r="C8" s="54" t="n">
        <f aca="false">资产负债表!$C$25</f>
        <v>506773.5</v>
      </c>
      <c r="D8" s="54" t="n">
        <f aca="false">资产负债表!$G$29</f>
        <v>506773.5</v>
      </c>
      <c r="E8" s="61" t="str">
        <f aca="false">IF(ABS($C8-$D8)&lt;0.01,"✓ 正常","✗ 差 "&amp;TEXT($C8-$D8,"#,##0.00"))</f>
        <v>✓ 正常</v>
      </c>
      <c r="F8" s="79" t="s">
        <v>849</v>
      </c>
    </row>
    <row r="9" customFormat="false" ht="30" hidden="false" customHeight="true" outlineLevel="0" collapsed="false">
      <c r="A9" s="34" t="n">
        <v>4</v>
      </c>
      <c r="B9" s="22" t="s">
        <v>850</v>
      </c>
      <c r="C9" s="54" t="n">
        <f aca="false">SUM(期初数据!$B$6:$B$35)</f>
        <v>335000</v>
      </c>
      <c r="D9" s="54" t="n">
        <f aca="false">SUMIFS(科目余额表!$E$6:$E$125,科目余额表!$A$6:$A$125,"1001")-SUMIFS(科目余额表!$F$6:$F$125,科目余额表!$A$6:$A$125,"1001")+SUMIFS(科目余额表!$E$6:$E$125,科目余额表!$A$6:$A$125,"1002")-SUMIFS(科目余额表!$F$6:$F$125,科目余额表!$A$6:$A$125,"1002")+SUMIFS(科目余额表!$E$6:$E$125,科目余额表!$A$6:$A$125,"1012")-SUMIFS(科目余额表!$F$6:$F$125,科目余额表!$A$6:$A$125,"1012")</f>
        <v>335000</v>
      </c>
      <c r="E9" s="61" t="str">
        <f aca="false">IF(ABS($C9-$D9)&lt;0.01,"✓ 正常","✗ 差 "&amp;TEXT($C9-$D9,"#,##0.00"))</f>
        <v>✓ 正常</v>
      </c>
      <c r="F9" s="79" t="s">
        <v>851</v>
      </c>
    </row>
    <row r="10" customFormat="false" ht="30" hidden="false" customHeight="true" outlineLevel="0" collapsed="false">
      <c r="A10" s="34" t="n">
        <v>5</v>
      </c>
      <c r="B10" s="22" t="s">
        <v>852</v>
      </c>
      <c r="C10" s="54" t="n">
        <f aca="false">SUM(期初数据!$G$6:$G$155)</f>
        <v>80000</v>
      </c>
      <c r="D10" s="54" t="n">
        <f aca="false">SUMIFS(科目余额表!$E$6:$E$125,科目余额表!$A$6:$A$125,"1122")-SUMIFS(科目余额表!$F$6:$F$125,科目余额表!$A$6:$A$125,"1122")</f>
        <v>80000</v>
      </c>
      <c r="E10" s="61" t="str">
        <f aca="false">IF(ABS($C10-$D10)&lt;0.01,"✓ 正常","✗ 差 "&amp;TEXT($C10-$D10,"#,##0.00"))</f>
        <v>✓ 正常</v>
      </c>
      <c r="F10" s="79" t="s">
        <v>853</v>
      </c>
    </row>
    <row r="11" customFormat="false" ht="30" hidden="false" customHeight="true" outlineLevel="0" collapsed="false">
      <c r="A11" s="34" t="n">
        <v>6</v>
      </c>
      <c r="B11" s="22" t="s">
        <v>854</v>
      </c>
      <c r="C11" s="54" t="n">
        <f aca="false">SUM(期初数据!$L$6:$L$155)</f>
        <v>40000</v>
      </c>
      <c r="D11" s="54" t="n">
        <f aca="false">-(SUMIFS(科目余额表!$E$6:$E$125,科目余额表!$A$6:$A$125,"2202")-SUMIFS(科目余额表!$F$6:$F$125,科目余额表!$A$6:$A$125,"2202"))</f>
        <v>40000</v>
      </c>
      <c r="E11" s="61" t="str">
        <f aca="false">IF(ABS($C11-$D11)&lt;0.01,"✓ 正常","✗ 差 "&amp;TEXT($C11-$D11,"#,##0.00"))</f>
        <v>✓ 正常</v>
      </c>
      <c r="F11" s="79" t="s">
        <v>855</v>
      </c>
    </row>
    <row r="12" customFormat="false" ht="30" hidden="false" customHeight="true" outlineLevel="0" collapsed="false">
      <c r="A12" s="34" t="n">
        <v>7</v>
      </c>
      <c r="B12" s="22" t="s">
        <v>856</v>
      </c>
      <c r="C12" s="54" t="n">
        <f aca="false">SUM(期初数据!$T$6:$T$205)</f>
        <v>36600</v>
      </c>
      <c r="D12" s="54" t="n">
        <f aca="false">SUMIFS(科目余额表!$E$6:$E$125,科目余额表!$A$6:$A$125,"1405")-SUMIFS(科目余额表!$F$6:$F$125,科目余额表!$A$6:$A$125,"1405")</f>
        <v>36600</v>
      </c>
      <c r="E12" s="61" t="str">
        <f aca="false">IF(ABS($C12-$D12)&lt;0.01,"✓ 正常","✗ 差 "&amp;TEXT($C12-$D12,"#,##0.00"))</f>
        <v>✓ 正常</v>
      </c>
      <c r="F12" s="79" t="s">
        <v>857</v>
      </c>
    </row>
    <row r="13" customFormat="false" ht="30" hidden="false" customHeight="true" outlineLevel="0" collapsed="false">
      <c r="A13" s="34" t="n">
        <v>8</v>
      </c>
      <c r="B13" s="22" t="s">
        <v>858</v>
      </c>
      <c r="C13" s="54" t="n">
        <f aca="false">库存收发存!$K$206</f>
        <v>40387.5</v>
      </c>
      <c r="D13" s="54" t="n">
        <f aca="false">SUMIFS(科目余额表!$K$6:$K$125,科目余额表!$A$6:$A$125,"1405")</f>
        <v>40387.5</v>
      </c>
      <c r="E13" s="61" t="str">
        <f aca="false">IF(ABS($C13-$D13)&lt;0.01,"✓ 正常","✗ 差 "&amp;TEXT($C13-$D13,"#,##0.00"))</f>
        <v>✓ 正常</v>
      </c>
      <c r="F13" s="79" t="s">
        <v>859</v>
      </c>
    </row>
    <row r="14" customFormat="false" ht="30" hidden="false" customHeight="true" outlineLevel="0" collapsed="false">
      <c r="A14" s="34" t="n">
        <v>9</v>
      </c>
      <c r="B14" s="22" t="s">
        <v>860</v>
      </c>
      <c r="C14" s="54" t="n">
        <f aca="false">应收跟进!$F$156</f>
        <v>46686</v>
      </c>
      <c r="D14" s="54" t="n">
        <f aca="false">SUMIFS(科目余额表!$K$6:$K$125,科目余额表!$A$6:$A$125,"1122")</f>
        <v>46686</v>
      </c>
      <c r="E14" s="61" t="str">
        <f aca="false">IF(ABS($C14-$D14)&lt;0.01,"✓ 正常","✗ 差 "&amp;TEXT($C14-$D14,"#,##0.00"))</f>
        <v>✓ 正常</v>
      </c>
      <c r="F14" s="79" t="s">
        <v>861</v>
      </c>
    </row>
    <row r="15" customFormat="false" ht="30" hidden="false" customHeight="true" outlineLevel="0" collapsed="false">
      <c r="A15" s="34" t="n">
        <v>10</v>
      </c>
      <c r="B15" s="22" t="s">
        <v>862</v>
      </c>
      <c r="C15" s="54" t="n">
        <f aca="false">应付跟进!$F$156</f>
        <v>21752.5</v>
      </c>
      <c r="D15" s="54" t="n">
        <f aca="false">-(SUMIFS(科目余额表!$K$6:$K$125,科目余额表!$A$6:$A$125,"2202"))</f>
        <v>21752.5</v>
      </c>
      <c r="E15" s="61" t="str">
        <f aca="false">IF(ABS($C15-$D15)&lt;0.01,"✓ 正常","✗ 差 "&amp;TEXT($C15-$D15,"#,##0.00"))</f>
        <v>✓ 正常</v>
      </c>
      <c r="F15" s="79" t="s">
        <v>863</v>
      </c>
    </row>
    <row r="16" customFormat="false" ht="30" hidden="false" customHeight="true" outlineLevel="0" collapsed="false">
      <c r="A16" s="34" t="n">
        <v>11</v>
      </c>
      <c r="B16" s="22" t="s">
        <v>864</v>
      </c>
      <c r="C16" s="54" t="n">
        <f aca="false">账户余额!$H$36</f>
        <v>332200</v>
      </c>
      <c r="D16" s="54" t="n">
        <f aca="false">SUMIFS(科目余额表!$K$6:$K$125,科目余额表!$A$6:$A$125,"1001")+SUMIFS(科目余额表!$K$6:$K$125,科目余额表!$A$6:$A$125,"1002")+SUMIFS(科目余额表!$K$6:$K$125,科目余额表!$A$6:$A$125,"1012")</f>
        <v>332200</v>
      </c>
      <c r="E16" s="61" t="str">
        <f aca="false">IF(ABS($C16-$D16)&lt;0.01,"✓ 正常","✗ 差 "&amp;TEXT($C16-$D16,"#,##0.00"))</f>
        <v>✓ 正常</v>
      </c>
      <c r="F16" s="79" t="s">
        <v>865</v>
      </c>
    </row>
    <row r="17" customFormat="false" ht="30" hidden="false" customHeight="true" outlineLevel="0" collapsed="false">
      <c r="A17" s="34" t="n">
        <v>12</v>
      </c>
      <c r="B17" s="22" t="s">
        <v>866</v>
      </c>
      <c r="C17" s="54" t="n">
        <f aca="false">现金流量表!$D$35</f>
        <v>332200</v>
      </c>
      <c r="D17" s="54" t="n">
        <f aca="false">账户余额!$H$36</f>
        <v>332200</v>
      </c>
      <c r="E17" s="61" t="str">
        <f aca="false">IF(ABS($C17-$D17)&lt;0.01,"✓ 正常","✗ 差 "&amp;TEXT($C17-$D17,"#,##0.00"))</f>
        <v>✓ 正常</v>
      </c>
      <c r="F17" s="79" t="s">
        <v>867</v>
      </c>
    </row>
    <row r="18" customFormat="false" ht="30" hidden="false" customHeight="true" outlineLevel="0" collapsed="false">
      <c r="A18" s="34" t="n">
        <v>13</v>
      </c>
      <c r="B18" s="22" t="s">
        <v>868</v>
      </c>
      <c r="C18" s="54" t="n">
        <f aca="false">经营分析!$D$18</f>
        <v>11137.5</v>
      </c>
      <c r="D18" s="54" t="n">
        <f aca="false">利润表!$D$6-利润表!$D$9</f>
        <v>11137.5</v>
      </c>
      <c r="E18" s="61" t="str">
        <f aca="false">IF(ABS($C18-$D18)&lt;0.01,"✓ 正常","✗ 差 "&amp;TEXT($C18-$D18,"#,##0.00"))</f>
        <v>✓ 正常</v>
      </c>
      <c r="F18" s="79" t="s">
        <v>869</v>
      </c>
    </row>
    <row r="19" customFormat="false" ht="30" hidden="false" customHeight="true" outlineLevel="0" collapsed="false">
      <c r="A19" s="34" t="n">
        <v>14</v>
      </c>
      <c r="B19" s="22" t="s">
        <v>870</v>
      </c>
      <c r="C19" s="80" t="n">
        <f aca="false">COUNTIF(资金流水!$M$5:$M$504,"√")+COUNTIF(销售录入!$L$5:$L$404,"√")+COUNTIF(采购录入!$N$5:$N$404,"√")+COUNTIF(其他凭证!$L$5:$L$304,"√")</f>
        <v>17</v>
      </c>
      <c r="D19" s="80" t="n">
        <f aca="false">COUNT(资金流水!$B$5:$B$504)+COUNT(销售录入!$B$5:$B$404)+COUNT(采购录入!$B$5:$B$404)+COUNT(其他凭证!$B$5:$B$304)</f>
        <v>17</v>
      </c>
      <c r="E19" s="61" t="str">
        <f aca="false">IF(ABS($C19-$D19)&lt;0.01,"✓ 正常","✗ 有 "&amp;TEXT(ABS($C19-$D19),"0")&amp;" 处")</f>
        <v>✓ 正常</v>
      </c>
      <c r="F19" s="79" t="s">
        <v>871</v>
      </c>
    </row>
    <row r="20" customFormat="false" ht="30" hidden="false" customHeight="true" outlineLevel="0" collapsed="false">
      <c r="A20" s="34" t="n">
        <v>15</v>
      </c>
      <c r="B20" s="22" t="s">
        <v>872</v>
      </c>
      <c r="C20" s="80" t="n">
        <f aca="false">COUNTIF(资金流水!$C$5:$C$504,首页!$B$5)+COUNTIF(销售录入!$C$5:$C$404,首页!$B$5)+COUNTIF(采购录入!$C$5:$C$404,首页!$B$5)+COUNTIF(其他凭证!$C$5:$C$304,首页!$B$5)</f>
        <v>17</v>
      </c>
      <c r="D20" s="80" t="n">
        <f aca="false">0</f>
        <v>0</v>
      </c>
      <c r="E20" s="61" t="str">
        <f aca="false">IF($C20&gt;0,"✓ 正常","✗ 本月无数据")</f>
        <v>✓ 正常</v>
      </c>
      <c r="F20" s="79" t="s">
        <v>873</v>
      </c>
    </row>
    <row r="21" customFormat="false" ht="30" hidden="false" customHeight="true" outlineLevel="0" collapsed="false">
      <c r="A21" s="34" t="n">
        <v>16</v>
      </c>
      <c r="B21" s="22" t="s">
        <v>874</v>
      </c>
      <c r="C21" s="80" t="n">
        <f aca="false">SUMIFS(期初数据!$Z$6:$Z$125,期初数据!$W$6:$W$125,"&gt;=5000")+SUMIFS(期初数据!$AA$6:$AA$125,期初数据!$W$6:$W$125,"&gt;=5000")</f>
        <v>0</v>
      </c>
      <c r="D21" s="80" t="n">
        <f aca="false">0</f>
        <v>0</v>
      </c>
      <c r="E21" s="61" t="str">
        <f aca="false">IF(ABS($C21-$D21)&lt;0.01,"✓ 正常","✗ 有 "&amp;TEXT(ABS($C21-$D21),"0")&amp;" 处")</f>
        <v>✓ 正常</v>
      </c>
      <c r="F21" s="81" t="s">
        <v>875</v>
      </c>
    </row>
    <row r="23" customFormat="false" ht="15" hidden="false" customHeight="false" outlineLevel="0" collapsed="false">
      <c r="A23" s="55"/>
      <c r="B23" s="55" t="s">
        <v>876</v>
      </c>
      <c r="C23" s="53" t="str">
        <f aca="false">COUNTIF($E$6:$E$21,"✓*")&amp;" / 16 项通过"</f>
        <v>16 / 16 项通过</v>
      </c>
      <c r="D23" s="53"/>
      <c r="E23" s="61" t="str">
        <f aca="false">IF(COUNTIF($E$6:$E$21,"✗*")=0,"✓ 可以月结","✗ 不可月结")</f>
        <v>✓ 可以月结</v>
      </c>
      <c r="F23" s="55"/>
    </row>
  </sheetData>
  <mergeCells count="3">
    <mergeCell ref="A1:F1"/>
    <mergeCell ref="A2:F2"/>
    <mergeCell ref="C23:D23"/>
  </mergeCells>
  <conditionalFormatting sqref="E6:E23">
    <cfRule type="expression" priority="2" aboveAverage="0" equalAverage="0" bottom="0" percent="0" rank="0" text="" dxfId="9">
      <formula>LEFT($E6,1)="✗"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2026-09-12T07:50:32Z</dcterms:created>
  <dc:creator>openpyxl</dc:creator>
  <dc:description/>
  <dc:language>en-US</dc:language>
  <cp:lastModifiedBy/>
  <dcterms:modified xsi:type="dcterms:W3CDTF">2026-09-12T07:50:37Z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